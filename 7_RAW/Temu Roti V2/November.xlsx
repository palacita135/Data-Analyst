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nfo" sheetId="1" r:id="rId5"/>
    <sheet state="visible" name="Raw Data" sheetId="2" r:id="rId6"/>
    <sheet state="visible" name="Data" sheetId="3" r:id="rId7"/>
    <sheet state="visible" name="Processing 1" sheetId="4" r:id="rId8"/>
    <sheet state="visible" name="Data Result" sheetId="5" r:id="rId9"/>
    <sheet state="visible" name="Jodis Standar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<sst xmlns="http://schemas.openxmlformats.org/spreadsheetml/2006/main" count="40158" uniqueCount="1878">
  <si>
    <t>Days</t>
  </si>
  <si>
    <t>Days Number</t>
  </si>
  <si>
    <t>Weekend/day</t>
  </si>
  <si>
    <t>Monday</t>
  </si>
  <si>
    <t>Weekday</t>
  </si>
  <si>
    <t>Tuesday</t>
  </si>
  <si>
    <t>Wednesday</t>
  </si>
  <si>
    <t>Thursday</t>
  </si>
  <si>
    <t>Friday</t>
  </si>
  <si>
    <t>Saturday</t>
  </si>
  <si>
    <t>Weekend</t>
  </si>
  <si>
    <t>Sunday</t>
  </si>
  <si>
    <t>Months</t>
  </si>
  <si>
    <t>Months 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</si>
  <si>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</si>
  <si>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</si>
  <si>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</si>
  <si>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</si>
  <si>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</si>
  <si>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</si>
  <si>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</si>
  <si>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</si>
  <si>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</si>
  <si>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</si>
  <si>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</si>
  <si>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</si>
  <si>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Date,Receipt number,Receipt type,Category,SKU,Item,Variant,Modifiers applied,Quantity,Gross sales,Discounts,Net sales,Cost of goods,Gross profit,Taxes,Dining option,POS,Store,Cashier name,Customer name,Customer contacts,Comment,Status</t>
  </si>
  <si>
    <t>29/09/2024 20:25,2-9570,Refund,Roti,10000,Roti Bawang Saus Keju,,,-1.000,-29524.00,0.00,-29524.00,-0.00,-29524.00,-1476.00,Take Away,Kedai,Temu Roti,Owner,,,,Closed</t>
  </si>
  <si>
    <t>29/09/2024 20:24,2-9569,Refund,Minuman,10112,Air mineral,,,-2.000,-13334.00,0.00,-13334.00,-0.00,-13334.00,-667.00,Dine In,Kedai,Temu Roti,Owner,,,,Closed</t>
  </si>
  <si>
    <t>29/09/2024 20:16,2-9568,Sale,Roti,10002,Roti Cranberry,,,1.000,18571.00,0.00,18571.00,0.00,18571.00,929.00,Dine In,Kedai,Temu Roti,Owner,,,,Closed</t>
  </si>
  <si>
    <t>29/09/2024 18:40,2-9567,Sale,Minuman,10122,Rempah Madu Panas,,,2.000,43810.00,0.00,43810.00,0.00,43810.00,2191.00,Dine In,Kedai,Temu Roti,Owner,,,,Closed</t>
  </si>
  <si>
    <t>29/09/2024 18:40,2-9567,Sale,Kudapan,10051,Tahu baso,,,1.000,25238.00,0.00,25238.00,0.00,25238.00,1261.00,Dine In,Kedai,Temu Roti,Owner,,,,Closed</t>
  </si>
  <si>
    <t>29/09/2024 18:40,2-9566,Refund,Minuman,10122,Rempah Madu Panas,,,-1.000,-21905.00,0.00,-21905.00,-0.00,-21905.00,-1095.00,Dine In,Kedai,Temu Roti,Owner,,,,Closed</t>
  </si>
  <si>
    <t>29/09/2024 18:40,2-9566,Refund,Kudapan,10051,Tahu baso,,,-2.000,-50476.00,0.00,-50476.00,-0.00,-50476.00,-2524.00,Dine In,Kedai,Temu Roti,Owner,,,,Closed</t>
  </si>
  <si>
    <t>29/09/2024 18:36,2-9565,Sale,Minuman,10122,Rempah Madu Panas,,,1.000,21905.00,0.00,21905.00,0.00,21905.00,1095.00,Dine In,Kedai,Temu Roti,Owner,,,,Closed</t>
  </si>
  <si>
    <t>29/09/2024 18:36,2-9565,Sale,Kudapan,10051,Tahu baso,,,2.000,50476.00,0.00,50476.00,0.00,50476.00,2524.00,Dine In,Kedai,Temu Roti,Owner,,,,Closed</t>
  </si>
  <si>
    <t>29/09/2024 18:32,2-9564,Sale,Hidangan Utama,10104,Chicken Claypot Rice,,,1.000,34762.00,0.00,34762.00,0.00,34762.00,1738.00,Dine In,Kedai,Temu Roti,Owner,,,,Closed</t>
  </si>
  <si>
    <t>29/09/2024 18:32,2-9564,Sale,Minuman,10119,Teh Tawar Dingin,,,1.000,7143.00,0.00,7143.00,0.00,7143.00,357.00,Dine In,Kedai,Temu Roti,Owner,,,,Closed</t>
  </si>
  <si>
    <t>29/09/2024 18:16,2-9563,Sale,Minuman,10026,Es Kopi Lemon,,,1.000,21905.00,0.00,21905.00,0.00,21905.00,1095.00,Dine In,Kedai,Temu Roti,Owner,,,,Closed</t>
  </si>
  <si>
    <t>29/09/2024 18:16,2-9563,Sale,Minuman,10107,Korean Mango Fresh Milk,,,1.000,26667.00,0.00,26667.00,0.00,26667.00,1334.00,Dine In,Kedai,Temu Roti,Owner,,,,Closed</t>
  </si>
  <si>
    <t>29/09/2024 18:12,2-9562,Sale,Minuman,10056,Susu murni moca,,,1.000,19524.00,0.00,19524.00,0.00,19524.00,976.00,Dine In,Kedai,Temu Roti,Owner,,,,Closed</t>
  </si>
  <si>
    <t>29/09/2024 17:59,2-9561,Sale,Kudapan,10009,Jamur Enoki Krispi,,,1.000,26667.00,0.00,26667.00,0.00,26667.00,1333.00,Dine In,Kedai,Temu Roti,Owner,,,,Closed</t>
  </si>
  <si>
    <t>29/09/2024 17:53,2-9560,Sale,Hidangan Utama,10104,Chicken Claypot Rice,,,1.000,34762.00,0.00,34762.00,0.00,34762.00,1738.00,Dine In,Kedai,Temu Roti,Owner,,,,Closed</t>
  </si>
  <si>
    <t>29/09/2024 17:44,2-9559,Sale,Kudapan,10015,Tahu Lada Garam,,,1.000,25238.00,0.00,25238.00,0.00,25238.00,1262.00,Dine In,Kedai,Temu Roti,Owner,,,,Closed</t>
  </si>
  <si>
    <t>29/09/2024 17:40,2-9558,Sale,Minuman,10128,Es Kopi Susu,,,1.000,23333.00,0.00,23333.00,0.00,23333.00,1167.00,Dine In,Kedai,Temu Roti,Owner,,,,Closed</t>
  </si>
  <si>
    <t>29/09/2024 17:40,2-9558,Sale,Roti,10000,Roti Bawang Saus Keju,,,1.000,29524.00,0.00,29524.00,0.00,29524.00,1476.00,Dine In,Kedai,Temu Roti,Owner,,,,Closed</t>
  </si>
  <si>
    <t>29/09/2024 17:40,2-9558,Sale,Minuman,10117,Teh Manis Dingin,,,1.000,14286.00,0.00,14286.00,0.00,14286.00,714.00,Dine In,Kedai,Temu Roti,Owner,,,,Closed</t>
  </si>
  <si>
    <t>29/09/2024 17:34,2-9557,Sale,Roti,10000,Roti Bawang Saus Keju,,,1.000,29524.00,0.00,29524.00,0.00,29524.00,1476.00,Dine In,Kedai,Temu Roti,Owner,,,,Closed</t>
  </si>
  <si>
    <t>29/09/2024 17:34,2-9557,Sale,Minuman,10120,Lemon Tea Panas,,,1.000,19524.00,0.00,19524.00,0.00,19524.00,976.00,Dine In,Kedai,Temu Roti,Owner,,,,Closed</t>
  </si>
  <si>
    <t>29/09/2024 17:34,2-9557,Sale,Minuman,10122,Rempah Madu Panas,,,1.000,21905.00,0.00,21905.00,0.00,21905.00,1096.00,Dine In,Kedai,Temu Roti,Owner,,,,Closed</t>
  </si>
  <si>
    <t>29/09/2024 17:30,2-9556,Sale,Minuman,10128,Es Kopi Susu,,,1.000,23333.00,0.00,23333.00,0.00,23333.00,1167.00,Dine In,Kedai,Temu Roti,Owner,,,,Closed</t>
  </si>
  <si>
    <t>29/09/2024 17:30,2-9556,Sale,Roti,10002,Roti Cranberry,,,1.000,18571.00,0.00,18571.00,0.00,18571.00,928.00,Dine In,Kedai,Temu Roti,Owner,,,,Closed</t>
  </si>
  <si>
    <t>29/09/2024 17:15,2-9555,Sale,Roti,10000,Roti Bawang Saus Keju,,,1.000,29524.00,0.00,29524.00,0.00,29524.00,1476.00,Dine In,Kedai,Temu Roti,Owner,,,,Closed</t>
  </si>
  <si>
    <t>29/09/2024 17:15,2-9555,Sale,Minuman,10013,Kopi cur,,,1.000,23333.00,0.00,23333.00,0.00,23333.00,1167.00,Dine In,Kedai,Temu Roti,Owner,,,,Closed</t>
  </si>
  <si>
    <t>29/09/2024 17:15,2-9555,Sale,Minuman,10127,Kopi Tubruk Panas,,,1.000,18571.00,0.00,18571.00,0.00,18571.00,928.00,Dine In,Kedai,Temu Roti,Owner,,,,Closed</t>
  </si>
  <si>
    <t>29/09/2024 17:15,2-9555,Sale,Minuman,10070,Wedang laut,,,1.000,24762.00,0.00,24762.00,0.00,24762.00,1239.00,Dine In,Kedai,Temu Roti,Owner,,,,Closed</t>
  </si>
  <si>
    <t>29/09/2024 17:13,2-9554,Sale,Minuman,10128,Es Kopi Susu,,,1.000,23333.00,0.00,23333.00,0.00,23333.00,1167.00,Dine In,Kedai,Temu Roti,Owner,,,,Closed</t>
  </si>
  <si>
    <t>29/09/2024 16:58,2-9553,Sale,Minuman,10128,Es Kopi Susu,,,2.000,46666.00,0.00,46666.00,0.00,46666.00,2333.00,Dine In,Kedai,Temu Roti,Owner,,,,Closed</t>
  </si>
  <si>
    <t>29/09/2024 16:47,2-9552,Sale,Minuman,10063,Wedang Bulan,,,1.000,24762.00,0.00,24762.00,0.00,24762.00,1238.00,Dine In,Kedai,Temu Roti,Owner,,,,Closed</t>
  </si>
  <si>
    <t>29/09/2024 16:47,2-9552,Sale,Minuman,10107,Korean Mango Fresh Milk,,,1.000,26667.00,0.00,26667.00,0.00,26667.00,1333.00,Dine In,Kedai,Temu Roti,Owner,,,,Closed</t>
  </si>
  <si>
    <t>29/09/2024 16:47,2-9552,Sale,Roti,10005,Roti Gandum Cokelat,,,1.000,19524.00,0.00,19524.00,0.00,19524.00,977.00,Dine In,Kedai,Temu Roti,Owner,,,,Closed</t>
  </si>
  <si>
    <t>29/09/2024 16:47,2-9552,Sale,Roti,10002,Roti Cranberry,,,1.000,18571.00,0.00,18571.00,0.00,18571.00,928.00,Dine In,Kedai,Temu Roti,Owner,,,,Closed</t>
  </si>
  <si>
    <t>29/09/2024 15:27,2-9551,Refund,Roti,10007,Roti cranberry 2 pcs,,,-1.000,-33810.00,0.00,-33810.00,-0.00,-33810.00,-1691.00,Dine In,Kedai,Temu Roti,Owner,,,,Closed</t>
  </si>
  <si>
    <t>29/09/2024 15:27,2-9551,Refund,Roti,10055,Roti Gandum Cokelat 2 pcs,,,-1.000,-34762.00,0.00,-34762.00,-0.00,-34762.00,-1738.00,Dine In,Kedai,Temu Roti,Owner,,,,Closed</t>
  </si>
  <si>
    <t>29/09/2024 15:27,2-9551,Refund,Minuman,10107,Korean Mango Fresh Milk,,,-1.000,-26667.00,0.00,-26667.00,-0.00,-26667.00,-1333.00,Dine In,Kedai,Temu Roti,Owner,,,,Closed</t>
  </si>
  <si>
    <t>29/09/2024 15:27,2-9551,Refund,Minuman,10106,Korean Strawberry Fresh Milk,,,-1.000,-26667.00,0.00,-26667.00,-0.00,-26667.00,-1333.00,Dine In,Kedai,Temu Roti,Owner,,,,Closed</t>
  </si>
  <si>
    <t>29/09/2024 15:26,2-9550,Sale,Minuman,10106,Korean Strawberry Fresh Milk,,,1.000,26667.00,0.00,26667.00,0.00,26667.00,1333.00,Dine In,Kedai,Temu Roti,Owner,,,,Closed</t>
  </si>
  <si>
    <t>29/09/2024 15:26,2-9550,Sale,Minuman,10107,Korean Mango Fresh Milk,,,1.000,26667.00,0.00,26667.00,0.00,26667.00,1334.00,Dine In,Kedai,Temu Roti,Owner,,,,Closed</t>
  </si>
  <si>
    <t>29/09/2024 15:26,2-9550,Sale,Roti,10007,Roti cranberry 2 pcs,,,1.000,33810.00,0.00,33810.00,0.00,33810.00,1690.00,Dine In,Kedai,Temu Roti,Owner,,,,Closed</t>
  </si>
  <si>
    <t>29/09/2024 15:26,2-9550,Sale,Roti,10055,Roti Gandum Cokelat 2 pcs,,,1.000,34762.00,0.00,34762.00,0.00,34762.00,1738.00,Dine In,Kedai,Temu Roti,Owner,,,,Closed</t>
  </si>
  <si>
    <t>29/09/2024 15:23,2-9549,Sale,Roti,10007,Roti cranberry 2 pcs,,,1.000,33810.00,0.00,33810.00,0.00,33810.00,1691.00,Dine In,Kedai,Temu Roti,Owner,,,,Closed</t>
  </si>
  <si>
    <t>29/09/2024 15:23,2-9549,Sale,Roti,10055,Roti Gandum Cokelat 2 pcs,,,1.000,34762.00,0.00,34762.00,0.00,34762.00,1738.00,Dine In,Kedai,Temu Roti,Owner,,,,Closed</t>
  </si>
  <si>
    <t>29/09/2024 15:23,2-9549,Sale,Minuman,10107,Korean Mango Fresh Milk,,,1.000,26667.00,0.00,26667.00,0.00,26667.00,1333.00,Dine In,Kedai,Temu Roti,Owner,,,,Closed</t>
  </si>
  <si>
    <t>29/09/2024 15:23,2-9549,Sale,Minuman,10106,Korean Strawberry Fresh Milk,,,1.000,26667.00,0.00,26667.00,0.00,26667.00,1333.00,Dine In,Kedai,Temu Roti,Owner,,,,Closed</t>
  </si>
  <si>
    <t>29/09/2024 14:35,2-9548,Refund,Roti,10007,Roti cranberry 2 pcs,,,-1.000,-33810.00,0.00,-33810.00,-0.00,-33810.00,-1691.00,Take Away,Kedai,Temu Roti,Owner,,,,Closed</t>
  </si>
  <si>
    <t>29/09/2024 14:35,2-9548,Refund,Roti,10005,Roti Gandum Cokelat,,,-1.000,-19524.00,0.00,-19524.00,-0.00,-19524.00,-976.00,Take Away,Kedai,Temu Roti,Owner,,,,Closed</t>
  </si>
  <si>
    <t>29/09/2024 14:35,2-9548,Refund,Minuman,10013,Kopi cur,,,-1.000,-23333.00,0.00,-23333.00,-0.00,-23333.00,-1166.00,Take Away,Kedai,Temu Roti,Owner,,,,Closed</t>
  </si>
  <si>
    <t>29/09/2024 14:13,2-9547,Sale,Roti,10055,Roti Gandum Cokelat 2 pcs,,,1.000,34762.00,0.00,34762.00,0.00,34762.00,1738.00,Dine In,Kedai,Temu Roti,Owner,,,,Closed</t>
  </si>
  <si>
    <t>29/09/2024 14:13,2-9547,Sale,Kudapan,10009,Jamur Enoki Krispi,,,1.000,26667.00,0.00,26667.00,0.00,26667.00,1333.00,Dine In,Kedai,Temu Roti,Owner,,,,Closed</t>
  </si>
  <si>
    <t>29/09/2024 14:13,2-9547,Sale,Minuman,10117,Teh Manis Dingin,,,1.000,14286.00,0.00,14286.00,0.00,14286.00,715.00,Dine In,Kedai,Temu Roti,Owner,,,,Closed</t>
  </si>
  <si>
    <t>29/09/2024 14:13,2-9547,Sale,Minuman,10123,Rempah Madu Dingin,,,1.000,21905.00,0.00,21905.00,0.00,21905.00,1095.00,Dine In,Kedai,Temu Roti,Owner,,,,Closed</t>
  </si>
  <si>
    <t>29/09/2024 14:13,2-9547,Sale,Minuman,10126,Chamomile Lemongrass Hot Artisan Tea,,,1.000,23810.00,0.00,23810.00,0.00,23810.00,1191.00,Dine In,Kedai,Temu Roti,Owner,,,,Closed</t>
  </si>
  <si>
    <t>29/09/2024 14:10,2-9546,Refund,Minuman,10125,Gula Asam Dingin,,,-1.000,-20476.00,0.00,-20476.00,-0.00,-20476.00,-1024.00,Dine In,Kedai,Temu Roti,Owner,,,,Closed</t>
  </si>
  <si>
    <t>29/09/2024 14:10,2-9546,Refund,Minuman,10128,Es Kopi Susu,,,-1.000,-23333.00,0.00,-23333.00,-0.00,-23333.00,-1166.00,Dine In,Kedai,Temu Roti,Owner,,,,Closed</t>
  </si>
  <si>
    <t>29/09/2024 14:10,2-9546,Refund,Roti,10055,Roti Gandum Cokelat 2 pcs,,,-2.000,-69524.00,0.00,-69524.00,-0.00,-69524.00,-3477.00,Dine In,Kedai,Temu Roti,Owner,,,,Closed</t>
  </si>
  <si>
    <t>29/09/2024 14:07,2-9545,Sale,Roti,10002,Roti Cranberry,,,1.000,18571.00,0.00,18571.00,0.00,18571.00,929.00,Dine In,Kedai,Temu Roti,Owner,,,,Closed</t>
  </si>
  <si>
    <t>29/09/2024 14:07,2-9545,Sale,Roti,10005,Roti Gandum Cokelat,,,1.000,19524.00,0.00,19524.00,0.00,19524.00,976.00,Dine In,Kedai,Temu Roti,Owner,,,,Closed</t>
  </si>
  <si>
    <t>29/09/2024 14:07,2-9545,Sale,Minuman,10128,Es Kopi Susu,,,1.000,23333.00,0.00,23333.00,0.00,23333.00,1166.00,Dine In,Kedai,Temu Roti,Owner,,,,Closed</t>
  </si>
  <si>
    <t>29/09/2024 14:07,2-9545,Sale,Minuman,10125,Gula Asam Dingin,,,1.000,20476.00,0.00,20476.00,0.00,20476.00,1024.00,Dine In,Kedai,Temu Roti,Owner,,,,Closed</t>
  </si>
  <si>
    <t>29/09/2024 14:04,2-9544,Sale,Minuman,10125,Gula Asam Dingin,,,1.000,20476.00,0.00,20476.00,0.00,20476.00,1024.00,Dine In,Kedai,Temu Roti,Owner,,,,Closed</t>
  </si>
  <si>
    <t>29/09/2024 14:04,2-9544,Sale,Minuman,10128,Es Kopi Susu,,,1.000,23333.00,0.00,23333.00,0.00,23333.00,1166.00,Dine In,Kedai,Temu Roti,Owner,,,,Closed</t>
  </si>
  <si>
    <t>29/09/2024 14:04,2-9544,Sale,Roti,10055,Roti Gandum Cokelat 2 pcs,,,2.000,69524.00,0.00,69524.00,0.00,69524.00,3477.00,Dine In,Kedai,Temu Roti,Owner,,,,Closed</t>
  </si>
  <si>
    <t>29/09/2024 13:54,2-9543,Sale,Roti,10005,Roti Gandum Cokelat,,,1.000,19524.00,0.00,19524.00,0.00,19524.00,976.00,Dine In,Kedai,Temu Roti,Owner,,,,Closed</t>
  </si>
  <si>
    <t>29/09/2024 13:54,2-9543,Sale,Minuman,10128,Es Kopi Susu,,,1.000,23333.00,0.00,23333.00,0.00,23333.00,1167.00,Dine In,Kedai,Temu Roti,Owner,,,,Closed</t>
  </si>
  <si>
    <t>29/09/2024 13:54,2-9543,Sale,Roti,10007,Roti cranberry 2 pcs,,,1.000,33810.00,0.00,33810.00,0.00,33810.00,1690.00,Dine In,Kedai,Temu Roti,Owner,,,,Closed</t>
  </si>
  <si>
    <t>29/09/2024 12:52,2-9542,Sale,Roti,10002,Roti Cranberry,,,1.000,18571.00,0.00,18571.00,0.00,18571.00,929.00,Dine In,Kedai,Temu Roti,Owner,,,,Closed</t>
  </si>
  <si>
    <t>29/09/2024 12:52,2-9542,Sale,Hidangan Utama,10012,Mie joglo,,,1.000,29524.00,0.00,29524.00,0.00,29524.00,1476.00,Dine In,Kedai,Temu Roti,Owner,,,,Closed</t>
  </si>
  <si>
    <t>29/09/2024 12:52,2-9542,Sale,Minuman,10070,Wedang laut,,,1.000,24762.00,0.00,24762.00,0.00,24762.00,1238.00,Dine In,Kedai,Temu Roti,Owner,,,,Closed</t>
  </si>
  <si>
    <t>29/09/2024 12:52,2-9542,Sale,Hidangan Utama,10003,Nasi Goreng Temu,,,1.000,29524.00,0.00,29524.00,0.00,29524.00,1476.00,Dine In,Kedai,Temu Roti,Owner,,,,Closed</t>
  </si>
  <si>
    <t>29/09/2024 12:52,2-9542,Sale,Minuman,10118,Teh Tawar Panas,,,1.000,7143.00,0.00,7143.00,0.00,7143.00,357.00,Dine In,Kedai,Temu Roti,Owner,,,,Closed</t>
  </si>
  <si>
    <t>29/09/2024 12:47,2-9541,Sale,Roti,10002,Roti Cranberry,,,1.000,18571.00,0.00,18571.00,0.00,18571.00,929.00,Dine In,Kedai,Temu Roti,Owner,,,,Closed</t>
  </si>
  <si>
    <t>29/09/2024 12:47,2-9541,Sale,Roti,10005,Roti Gandum Cokelat,,,1.000,19524.00,0.00,19524.00,0.00,19524.00,976.00,Dine In,Kedai,Temu Roti,Owner,,,,Closed</t>
  </si>
  <si>
    <t>29/09/2024 12:47,2-9541,Sale,Minuman,10128,Es Kopi Susu,,,1.000,23333.00,0.00,23333.00,0.00,23333.00,1166.00,Dine In,Kedai,Temu Roti,Owner,,,,Closed</t>
  </si>
  <si>
    <t>29/09/2024 12:47,2-9541,Sale,Minuman,10120,Lemon Tea Panas,,,1.000,19524.00,0.00,19524.00,0.00,19524.00,977.00,Dine In,Kedai,Temu Roti,Owner,,,,Closed</t>
  </si>
  <si>
    <t>29/09/2024 12:33,2-9540,Sale,Minuman,10112,Air mineral,,,2.000,13334.00,0.00,13334.00,0.00,13334.00,667.00,Dine In,Kedai,Temu Roti,Owner,,,,Closed</t>
  </si>
  <si>
    <t>29/09/2024 12:10,2-9539,Sale,Kudapan,10011,Kentang Goreng,,,1.000,25238.00,0.00,25238.00,0.00,25238.00,1262.00,Dine In,Kedai,Temu Roti,Owner,,,,Closed</t>
  </si>
  <si>
    <t>29/09/2024 12:10,2-9539,Sale,Kudapan,10010,Pisang Goreng,,,1.000,25238.00,0.00,25238.00,0.00,25238.00,1262.00,Dine In,Kedai,Temu Roti,Owner,,,,Closed</t>
  </si>
  <si>
    <t>29/09/2024 12:00,2-9538,Sale,Roti,10000,Roti Bawang Saus Keju,,,1.000,29524.00,0.00,29524.00,0.00,29524.00,1476.00,Take Away,Kedai,Temu Roti,Owner,,,,Closed</t>
  </si>
  <si>
    <t>29/09/2024 11:59,2-9537,Sale,Roti,10000,Roti Bawang Saus Keju,,,1.000,29524.00,0.00,29524.00,0.00,29524.00,1476.00,Dine In,Kedai,Temu Roti,Owner,,,,Closed</t>
  </si>
  <si>
    <t>29/09/2024 11:58,2-9536,Sale,Minuman,10128,Es Kopi Susu,,,1.000,23333.00,0.00,23333.00,0.00,23333.00,1167.00,Dine In,Kedai,Temu Roti,Owner,,,,Closed</t>
  </si>
  <si>
    <t>29/09/2024 11:58,2-9536,Sale,Minuman,10013,Kopi cur,,,1.000,23333.00,0.00,23333.00,0.00,23333.00,1166.00,Dine In,Kedai,Temu Roti,Owner,,,,Closed</t>
  </si>
  <si>
    <t>29/09/2024 11:58,2-9536,Sale,Roti,10007,Roti cranberry 2 pcs,,,1.000,33810.00,0.00,33810.00,0.00,33810.00,1691.00,Dine In,Kedai,Temu Roti,Owner,,,,Closed</t>
  </si>
  <si>
    <t>29/09/2024 11:58,2-9536,Sale,Minuman,10122,Rempah Madu Panas,,,1.000,21905.00,0.00,21905.00,0.00,21905.00,1095.00,Dine In,Kedai,Temu Roti,Owner,,,,Closed</t>
  </si>
  <si>
    <t>29/09/2024 11:57,2-9535,Sale,Minuman,10122,Rempah Madu Panas,,,1.000,21905.00,0.00,21905.00,0.00,21905.00,1095.00,Dine In,Kedai,Temu Roti,Owner,,,,Closed</t>
  </si>
  <si>
    <t>29/09/2024 11:57,2-9535,Sale,Minuman,10128,Es Kopi Susu,,,1.000,23333.00,0.00,23333.00,0.00,23333.00,1167.00,Dine In,Kedai,Temu Roti,Owner,,,,Closed</t>
  </si>
  <si>
    <t>29/09/2024 11:57,2-9535,Sale,Minuman,10013,Kopi cur,,,1.000,23333.00,0.00,23333.00,0.00,23333.00,1167.00,Dine In,Kedai,Temu Roti,Owner,,,,Closed</t>
  </si>
  <si>
    <t>29/09/2024 11:47,2-9534,Sale,Minuman,10013,Kopi cur,,,1.000,23333.00,0.00,23333.00,0.00,23333.00,1167.00,Take Away,Kedai,Temu Roti,Owner,,,,Closed</t>
  </si>
  <si>
    <t>29/09/2024 11:47,2-9534,Sale,Roti,10007,Roti cranberry 2 pcs,,,1.000,33810.00,0.00,33810.00,0.00,33810.00,1690.00,Take Away,Kedai,Temu Roti,Owner,,,,Closed</t>
  </si>
  <si>
    <t>29/09/2024 11:47,2-9534,Sale,Roti,10005,Roti Gandum Cokelat,,,1.000,19524.00,0.00,19524.00,0.00,19524.00,976.00,Take Away,Kedai,Temu Roti,Owner,,,,Closed</t>
  </si>
  <si>
    <t>29/09/2024 11:47,2-9534,Sale,Kudapan,10004,Tahu walik,,,1.000,25238.00,0.00,25238.00,0.00,25238.00,1262.00,Take Away,Kedai,Temu Roti,Owner,,,,Closed</t>
  </si>
  <si>
    <t>29/09/2024 11:45,2-9533,Sale,Roti,10007,Roti cranberry 2 pcs,,,1.000,33810.00,0.00,33810.00,0.00,33810.00,1691.00,Take Away,Kedai,Temu Roti,Owner,,,,Closed</t>
  </si>
  <si>
    <t>29/09/2024 11:45,2-9533,Sale,Roti,10005,Roti Gandum Cokelat,,,1.000,19524.00,0.00,19524.00,0.00,19524.00,976.00,Take Away,Kedai,Temu Roti,Owner,,,,Closed</t>
  </si>
  <si>
    <t>29/09/2024 11:45,2-9533,Sale,Minuman,10013,Kopi cur,,,1.000,23333.00,0.00,23333.00,0.00,23333.00,1166.00,Take Away,Kedai,Temu Roti,Owner,,,,Closed</t>
  </si>
  <si>
    <t>29/09/2024 10:55,2-9532,Sale,Minuman,10026,Es Kopi Lemon,,,1.000,21905.00,0.00,21905.00,0.00,21905.00,1095.00,Dine In,Kedai,Temu Roti,Owner,,,,Closed</t>
  </si>
  <si>
    <t>29/09/2024 10:55,2-9532,Sale,Minuman,10107,Korean Mango Fresh Milk,,,1.000,26667.00,0.00,26667.00,0.00,26667.00,1334.00,Dine In,Kedai,Temu Roti,Owner,,,,Closed</t>
  </si>
  <si>
    <t>29/09/2024 10:55,2-9532,Sale,Kudapan,10051,Tahu baso,,,1.000,25238.00,0.00,25238.00,0.00,25238.00,1262.00,Dine In,Kedai,Temu Roti,Owner,,,,Closed</t>
  </si>
  <si>
    <t>29/09/2024 10:55,2-9532,Sale,Kudapan,10010,Pisang Goreng,,,1.000,25238.00,0.00,25238.00,0.00,25238.00,1261.00,Dine In,Kedai,Temu Roti,Owner,,,,Closed</t>
  </si>
  <si>
    <t>29/09/2024 10:55,2-9532,Sale,Minuman,10057,Susu murni strawberry,,,1.000,19524.00,0.00,19524.00,0.00,19524.00,977.00,Dine In,Kedai,Temu Roti,Owner,,,,Closed</t>
  </si>
  <si>
    <t>29/09/2024 10:55,2-9532,Sale,Minuman,10125,Gula Asam Dingin,,,1.000,20476.00,0.00,20476.00,0.00,20476.00,1023.00,Dine In,Kedai,Temu Roti,Owner,,,,Closed</t>
  </si>
  <si>
    <t>29/09/2024 10:55,2-9532,Sale,Roti,10007,Roti cranberry 2 pcs,,,1.000,33810.00,0.00,33810.00,0.00,33810.00,1691.00,Dine In,Kedai,Temu Roti,Owner,,,,Closed</t>
  </si>
  <si>
    <t>29/09/2024 09:53,2-9531,Sale,Minuman,10026,Es Kopi Lemon,,,1.000,21905.00,0.00,21905.00,0.00,21905.00,1095.00,Dine In,Kedai,Temu Roti,Owner,,,,Closed</t>
  </si>
  <si>
    <t>29/09/2024 09:53,2-9531,Sale,Minuman,10125,Gula Asam Dingin,,,1.000,20476.00,0.00,20476.00,0.00,20476.00,1024.00,Dine In,Kedai,Temu Roti,Owner,,,,Closed</t>
  </si>
  <si>
    <t>29/09/2024 09:53,2-9531,Sale,Minuman,10128,Es Kopi Susu,,,1.000,23333.00,0.00,23333.00,0.00,23333.00,1167.00,Dine In,Kedai,Temu Roti,Owner,,,,Closed</t>
  </si>
  <si>
    <t>29/09/2024 09:53,2-9531,Sale,Kudapan,10014,Tempe Mendoan,,,1.000,25238.00,0.00,25238.00,0.00,25238.00,1262.00,Dine In,Kedai,Temu Roti,Owner,,,,Closed</t>
  </si>
  <si>
    <t>29/09/2024 09:53,2-9531,Sale,Roti,10007,Roti cranberry 2 pcs,,,2.000,67620.00,0.00,67620.00,0.00,67620.00,3381.00,Dine In,Kedai,Temu Roti,Owner,,,,Closed</t>
  </si>
  <si>
    <t>29/09/2024 09:29,2-9530,Sale,Roti,10000,Roti Bawang Saus Keju,,,1.000,29524.00,0.00,29524.00,0.00,29524.00,1476.00,Take Away,Kedai,Temu Roti,Owner,,,,Closed</t>
  </si>
  <si>
    <t>29/09/2024 08:47,2-9529,Refund,Roti,10005,Roti Gandum Cokelat,,,-1.000,-19524.00,0.00,-19524.00,-0.00,-19524.00,-976.00,Dine In,Kedai,Temu Roti,Owner,,,,Closed</t>
  </si>
  <si>
    <t>29/09/2024 08:47,2-9529,Refund,Roti,10007,Roti cranberry 2 pcs,,,-1.000,-33810.00,0.00,-33810.00,-0.00,-33810.00,-1691.00,Dine In,Kedai,Temu Roti,Owner,,,,Closed</t>
  </si>
  <si>
    <t>29/09/2024 08:46,2-9528,Sale,Roti,10005,Roti Gandum Cokelat,,,1.000,19524.00,0.00,19524.00,0.00,19524.00,976.00,Dine In,Kedai,Temu Roti,Owner,,,,Closed</t>
  </si>
  <si>
    <t>29/09/2024 08:46,2-9528,Sale,Roti,10007,Roti cranberry 2 pcs,,,1.000,33810.00,0.00,33810.00,0.00,33810.00,1691.00,Dine In,Kedai,Temu Roti,Owner,,,,Closed</t>
  </si>
  <si>
    <t>28/09/2024 21:00,2-9527,Sale,Kudapan,10004,Tahu walik,,,1.000,25238.00,0.00,25238.00,0.00,25238.00,1262.00,Dine In,Kedai,Temu Roti,Owner,,,,Closed</t>
  </si>
  <si>
    <t>28/09/2024 19:38,2-9526,Sale,Minuman,10013,Kopi cur,,,1.000,23333.00,0.00,23333.00,0.00,23333.00,1167.00,Dine In,Kedai,Temu Roti,Owner,,,,Closed</t>
  </si>
  <si>
    <t>28/09/2024 19:38,2-9526,Sale,Minuman,10070,Wedang laut,,,1.000,24762.00,0.00,24762.00,0.00,24762.00,1238.00,Dine In,Kedai,Temu Roti,Owner,,,,Closed</t>
  </si>
  <si>
    <t>28/09/2024 19:38,2-9526,Sale,Roti,10000,Roti Bawang Saus Keju,,,1.000,29524.00,0.00,29524.00,0.00,29524.00,1476.00,Dine In,Kedai,Temu Roti,Owner,,,,Closed</t>
  </si>
  <si>
    <t>28/09/2024 19:29,2-9525,Sale,Roti,10054,Roti toast eskrim,,,1.000,25238.00,0.00,25238.00,0.00,25238.00,1262.00,Dine In,Kedai,Temu Roti,Owner,,,,Closed</t>
  </si>
  <si>
    <t>28/09/2024 19:29,2-9525,Sale,Kudapan,10051,Tahu baso,,,1.000,25238.00,0.00,25238.00,0.00,25238.00,1262.00,Dine In,Kedai,Temu Roti,Owner,,,,Closed</t>
  </si>
  <si>
    <t>28/09/2024 18:52,2-9524,Sale,Minuman,10106,Korean Strawberry Fresh Milk,,,1.000,26667.00,0.00,26667.00,0.00,26667.00,1333.00,Dine In,Kedai,Temu Roti,Owner,,,,Closed</t>
  </si>
  <si>
    <t>28/09/2024 18:52,2-9524,Sale,Hidangan Utama,10104,Chicken Claypot Rice,,,1.000,34762.00,0.00,34762.00,0.00,34762.00,1738.00,Dine In,Kedai,Temu Roti,Owner,,,,Closed</t>
  </si>
  <si>
    <t>28/09/2024 18:52,2-9524,Sale,Hidangan Utama,10105,Beef Claypot Rice,,,1.000,38095.00,0.00,38095.00,0.00,38095.00,1905.00,Dine In,Kedai,Temu Roti,Owner,,,,Closed</t>
  </si>
  <si>
    <t>28/09/2024 18:52,2-9524,Sale,Kudapan,10014,Tempe Mendoan,,,1.000,25238.00,0.00,25238.00,0.00,25238.00,1262.00,Dine In,Kedai,Temu Roti,Owner,,,,Closed</t>
  </si>
  <si>
    <t>28/09/2024 18:52,2-9524,Sale,Hidangan Utama,10003,Nasi Goreng Temu,,,1.000,29524.00,0.00,29524.00,0.00,29524.00,1476.00,Dine In,Kedai,Temu Roti,Owner,,,,Closed</t>
  </si>
  <si>
    <t>28/09/2024 18:41,2-9523,Sale,Minuman,10118,Teh Tawar Panas,,,1.000,7143.00,0.00,7143.00,0.00,7143.00,357.00,Dine In,Kedai,Temu Roti,Owner,,,,Closed</t>
  </si>
  <si>
    <t>28/09/2024 18:29,2-9522,Sale,Hidangan Utama,10003,Nasi Goreng Temu,,,1.000,29524.00,0.00,29524.00,0.00,29524.00,1476.00,Dine In,Kedai,Temu Roti,Owner,,,,Closed</t>
  </si>
  <si>
    <t>28/09/2024 18:29,2-9522,Sale,Minuman,10128,Es Kopi Susu,,,1.000,23333.00,0.00,23333.00,0.00,23333.00,1167.00,Dine In,Kedai,Temu Roti,Owner,,,,Closed</t>
  </si>
  <si>
    <t>28/09/2024 17:19,2-9521,Sale,Minuman,10128,Es Kopi Susu,,,1.000,23333.00,0.00,23333.00,0.00,23333.00,1167.00,Dine In,Kedai,Temu Roti,Owner,,,,Closed</t>
  </si>
  <si>
    <t>28/09/2024 17:19,2-9521,Sale,Hidangan Utama,10053,Nasi telor,,,1.000,25238.00,0.00,25238.00,0.00,25238.00,1262.00,Dine In,Kedai,Temu Roti,Owner,,,,Closed</t>
  </si>
  <si>
    <t>28/09/2024 17:18,2-9520,Refund,Minuman,10128,Es Kopi Susu,,,-1.000,-23333.00,0.00,-23333.00,-0.00,-23333.00,-1167.00,Dine In,Kedai,Temu Roti,Owner,,,,Closed</t>
  </si>
  <si>
    <t>28/09/2024 17:18,2-9520,Refund,Hidangan Utama,10053,Nasi telor,,,-1.000,-25238.00,0.00,-25238.00,-0.00,-25238.00,-1262.00,Dine In,Kedai,Temu Roti,Owner,,,,Closed</t>
  </si>
  <si>
    <t>28/09/2024 16:59,2-9519,Sale,Minuman,10122,Rempah Madu Panas,,,1.000,21905.00,0.00,21905.00,0.00,21905.00,1095.00,Dine In,Kedai,Temu Roti,Owner,,,,Closed</t>
  </si>
  <si>
    <t>28/09/2024 16:59,2-9519,Sale,Minuman,10125,Gula Asam Dingin,,,1.000,20476.00,0.00,20476.00,0.00,20476.00,1024.00,Dine In,Kedai,Temu Roti,Owner,,,,Closed</t>
  </si>
  <si>
    <t>28/09/2024 16:29,2-9518,Sale,Minuman,10057,Susu murni strawberry,,,1.000,19524.00,0.00,19524.00,0.00,19524.00,976.00,Dine In,Kedai,Temu Roti,Owner,,,,Closed</t>
  </si>
  <si>
    <t>28/09/2024 16:29,2-9518,Sale,Roti,10035,Roti panggang alpukat,,,1.000,21905.00,0.00,21905.00,0.00,21905.00,1095.00,Dine In,Kedai,Temu Roti,Owner,,,,Closed</t>
  </si>
  <si>
    <t>28/09/2024 16:07,2-9517,Sale,Roti,10000,Roti Bawang Saus Keju,,,2.000,59048.00,0.00,59048.00,0.00,59048.00,2952.00,Dine In,Kedai,Temu Roti,Owner,,,,Closed</t>
  </si>
  <si>
    <t>28/09/2024 15:39,2-9516,Sale,Hidangan Utama,10003,Nasi Goreng Temu,,,1.000,29524.00,0.00,29524.00,0.00,29524.00,1476.00,Dine In,Kedai,Temu Roti,Owner,,,,Closed</t>
  </si>
  <si>
    <t>28/09/2024 15:39,2-9516,Sale,Minuman,10112,Air mineral,,,1.000,6667.00,0.00,6667.00,0.00,6667.00,334.00,Dine In,Kedai,Temu Roti,Owner,,,,Closed</t>
  </si>
  <si>
    <t>28/09/2024 15:29,2-9515,Sale,Roti,10002,Roti Cranberry,,,1.000,18571.00,0.00,18571.00,0.00,18571.00,929.00,Dine In,Kedai,Temu Roti,Owner,,,,Closed</t>
  </si>
  <si>
    <t>28/09/2024 15:29,2-9515,Sale,Minuman,10128,Es Kopi Susu,,,1.000,23333.00,0.00,23333.00,0.00,23333.00,1166.00,Dine In,Kedai,Temu Roti,Owner,,,,Closed</t>
  </si>
  <si>
    <t>28/09/2024 15:29,2-9515,Sale,Minuman,10112,Air mineral,,,2.000,13334.00,0.00,13334.00,0.00,13334.00,667.00,Dine In,Kedai,Temu Roti,Owner,,,,Closed</t>
  </si>
  <si>
    <t>28/09/2024 15:28,2-9514,Sale,Minuman,10026,Es Kopi Lemon,,,1.000,21905.00,0.00,21905.00,0.00,21905.00,1095.00,Dine In,Kedai,Temu Roti,Owner,,,,Closed</t>
  </si>
  <si>
    <t>28/09/2024 15:28,2-9514,Sale,Minuman,10013,Kopi cur,,,1.000,23333.00,0.00,23333.00,0.00,23333.00,1167.00,Dine In,Kedai,Temu Roti,Owner,,,,Closed</t>
  </si>
  <si>
    <t>28/09/2024 15:28,2-9514,Sale,Roti,10002,Roti Cranberry,,,1.000,18571.00,0.00,18571.00,0.00,18571.00,928.00,Dine In,Kedai,Temu Roti,Owner,,,,Closed</t>
  </si>
  <si>
    <t>28/09/2024 15:25,2-9513,Sale,Roti,10054,Roti toast eskrim,,,1.000,25238.00,0.00,25238.00,0.00,25238.00,1262.00,Dine In,Kedai,Temu Roti,Owner,,,,Closed</t>
  </si>
  <si>
    <t>28/09/2024 15:25,2-9513,Sale,Minuman,10013,Kopi cur,,,1.000,23333.00,0.00,23333.00,0.00,23333.00,1167.00,Dine In,Kedai,Temu Roti,Owner,,,,Closed</t>
  </si>
  <si>
    <t>28/09/2024 15:25,2-9512,Sale,Minuman,10123,Rempah Madu Dingin,,,1.000,21905.00,0.00,21905.00,0.00,21905.00,1095.00,Dine In,Kedai,Temu Roti,Owner,,,,Closed</t>
  </si>
  <si>
    <t>28/09/2024 15:07,2-9511,Sale,Roti,10007,Roti cranberry 2 pcs,,,1.000,33810.00,0.00,33810.00,0.00,33810.00,1691.00,Dine In,Kedai,Temu Roti,Owner,,,,Closed</t>
  </si>
  <si>
    <t>28/09/2024 15:07,2-9511,Sale,Roti,10055,Roti Gandum Cokelat 2 pcs,,,2.000,69524.00,0.00,69524.00,0.00,69524.00,3476.00,Dine In,Kedai,Temu Roti,Owner,,,,Closed</t>
  </si>
  <si>
    <t>28/09/2024 15:04,2-9510,Sale,Roti,10055,Roti Gandum Cokelat 2 pcs,,,1.000,34762.00,0.00,34762.00,0.00,34762.00,1738.00,Dine In,Kedai,Temu Roti,Owner,,,,Closed</t>
  </si>
  <si>
    <t>28/09/2024 15:02,2-9509,Sale,Roti,10002,Roti Cranberry,,,1.000,18571.00,0.00,18571.00,0.00,18571.00,929.00,Dine In,Kedai,Temu Roti,Owner,,,,Closed</t>
  </si>
  <si>
    <t>28/09/2024 15:02,2-9509,Sale,Roti,10005,Roti Gandum Cokelat,,,1.000,19524.00,0.00,19524.00,0.00,19524.00,976.00,Dine In,Kedai,Temu Roti,Owner,,,,Closed</t>
  </si>
  <si>
    <t>28/09/2024 14:20,2-9508,Sale,Roti,10007,Roti cranberry 2 pcs,,,1.000,33810.00,0.00,33810.00,0.00,33810.00,1691.00,Dine In,Kedai,Temu Roti,Owner,,,,Closed</t>
  </si>
  <si>
    <t>28/09/2024 14:20,2-9508,Sale,Minuman,10126,Chamomile Lemongrass Hot Artisan Tea,,,1.000,23810.00,0.00,23810.00,0.00,23810.00,1190.00,Dine In,Kedai,Temu Roti,Owner,,,,Closed</t>
  </si>
  <si>
    <t>28/09/2024 14:20,2-9508,Sale,Minuman,10013,Kopi cur,,,1.000,23333.00,0.00,23333.00,0.00,23333.00,1167.00,Dine In,Kedai,Temu Roti,Owner,,,,Closed</t>
  </si>
  <si>
    <t>28/09/2024 13:42,2-9507,Sale,Roti,10055,Roti Gandum Cokelat 2 pcs,,,2.000,69524.00,0.00,69524.00,0.00,69524.00,3476.00,Take Away,Kedai,Temu Roti,Owner,,,,Closed</t>
  </si>
  <si>
    <t>28/09/2024 13:42,2-9507,Sale,Roti,10000,Roti Bawang Saus Keju,,,1.000,29524.00,0.00,29524.00,0.00,29524.00,1476.00,Take Away,Kedai,Temu Roti,Owner,,,,Closed</t>
  </si>
  <si>
    <t>28/09/2024 13:42,2-9507,Sale,Roti,10007,Roti cranberry 2 pcs,,,1.000,33810.00,0.00,33810.00,0.00,33810.00,1691.00,Take Away,Kedai,Temu Roti,Owner,,,,Closed</t>
  </si>
  <si>
    <t>28/09/2024 13:30,2-9506,Sale,Minuman,10127,Kopi Tubruk Panas,,,1.000,18571.00,0.00,18571.00,0.00,18571.00,929.00,Dine In,Kedai,Temu Roti,Owner,,,,Closed</t>
  </si>
  <si>
    <t>28/09/2024 13:30,2-9506,Sale,Minuman,10112,Air mineral,,,1.000,6667.00,0.00,6667.00,0.00,6667.00,333.00,Dine In,Kedai,Temu Roti,Owner,,,,Closed</t>
  </si>
  <si>
    <t>28/09/2024 13:19,2-9505,Sale,Minuman,10123,Rempah Madu Dingin,,,1.000,21905.00,0.00,21905.00,0.00,21905.00,1095.00,Dine In,Kedai,Temu Roti,Owner,,,,Closed</t>
  </si>
  <si>
    <t>28/09/2024 13:19,2-9505,Sale,Minuman,10026,Es Kopi Lemon,,,1.000,21905.00,0.00,21905.00,0.00,21905.00,1096.00,Dine In,Kedai,Temu Roti,Owner,,,,Closed</t>
  </si>
  <si>
    <t>28/09/2024 13:19,2-9505,Sale,Roti,10002,Roti Cranberry,,,1.000,18571.00,0.00,18571.00,0.00,18571.00,928.00,Dine In,Kedai,Temu Roti,Owner,,,,Closed</t>
  </si>
  <si>
    <t>28/09/2024 13:19,2-9505,Sale,Roti,10005,Roti Gandum Cokelat,,,1.000,19524.00,0.00,19524.00,0.00,19524.00,976.00,Dine In,Kedai,Temu Roti,Owner,,,,Closed</t>
  </si>
  <si>
    <t>28/09/2024 12:38,2-9504,Sale,Roti,10007,Roti cranberry 2 pcs,,,1.000,33810.00,0.00,33810.00,0.00,33810.00,1691.00,Take Away,Kedai,Temu Roti,Owner,,,,Closed</t>
  </si>
  <si>
    <t>28/09/2024 12:38,2-9504,Sale,Roti,10055,Roti Gandum Cokelat 2 pcs,,,1.000,34762.00,0.00,34762.00,0.00,34762.00,1738.00,Take Away,Kedai,Temu Roti,Owner,,,,Closed</t>
  </si>
  <si>
    <t>28/09/2024 12:38,2-9504,Sale,Roti,10000,Roti Bawang Saus Keju,,,1.000,29524.00,0.00,29524.00,0.00,29524.00,1476.00,Take Away,Kedai,Temu Roti,Owner,,,,Closed</t>
  </si>
  <si>
    <t>28/09/2024 12:38,2-9504,Sale,Roti,10007,Roti cranberry 2 pcs,,,1.000,33810.00,0.00,33810.00,0.00,33810.00,1690.00,Take Away,Kedai,Temu Roti,Owner,,,,Closed</t>
  </si>
  <si>
    <t>28/09/2024 12:13,2-9503,Sale,Minuman,10063,Wedang Bulan,,,1.000,24762.00,0.00,24762.00,0.00,24762.00,1238.00,Dine In,Kedai,Temu Roti,Owner,,,,Closed</t>
  </si>
  <si>
    <t>28/09/2024 12:13,2-9503,Sale,Minuman,10070,Wedang laut,,,1.000,24762.00,0.00,24762.00,0.00,24762.00,1238.00,Dine In,Kedai,Temu Roti,Owner,,,,Closed</t>
  </si>
  <si>
    <t>28/09/2024 12:13,2-9503,Sale,Roti,10002,Roti Cranberry,,,1.000,18571.00,0.00,18571.00,0.00,18571.00,929.00,Dine In,Kedai,Temu Roti,Owner,,,,Closed</t>
  </si>
  <si>
    <t>28/09/2024 11:45,2-9502,Sale,Minuman,10128,Es Kopi Susu,,,1.000,23333.00,0.00,23333.00,0.00,23333.00,1167.00,Dine In,Kedai,Temu Roti,Owner,,,,Closed</t>
  </si>
  <si>
    <t>28/09/2024 11:45,2-9502,Sale,Hidangan Utama,10053,Nasi telor,,,1.000,25238.00,0.00,25238.00,0.00,25238.00,1262.00,Dine In,Kedai,Temu Roti,Owner,,,,Closed</t>
  </si>
  <si>
    <t>28/09/2024 11:44,2-9501,Sale,Minuman,10128,Es Kopi Susu,,,1.000,23333.00,0.00,23333.00,0.00,23333.00,1167.00,Dine In,Kedai,Temu Roti,Owner,,,,Closed</t>
  </si>
  <si>
    <t>28/09/2024 11:44,2-9501,Sale,Hidangan Utama,10053,Nasi telor,,,1.000,25238.00,0.00,25238.00,0.00,25238.00,1262.00,Dine In,Kedai,Temu Roti,Owner,,,,Closed</t>
  </si>
  <si>
    <t>28/09/2024 11:30,2-9500,Sale,Minuman,10130,Kopi Susu Panas,,,1.000,23333.00,0.00,23333.00,0.00,23333.00,1167.00,Dine In,Kedai,Temu Roti,Owner,,,,Closed</t>
  </si>
  <si>
    <t>28/09/2024 11:30,2-9500,Sale,Minuman,10119,Teh Tawar Dingin,,,1.000,7143.00,0.00,7143.00,0.00,7143.00,357.00,Dine In,Kedai,Temu Roti,Owner,,,,Closed</t>
  </si>
  <si>
    <t>28/09/2024 11:30,2-9500,Sale,Roti,10002,Roti Cranberry,,,1.000,18571.00,0.00,18571.00,0.00,18571.00,928.00,Dine In,Kedai,Temu Roti,Owner,,,,Closed</t>
  </si>
  <si>
    <t>28/09/2024 11:30,2-9500,Sale,Minuman,10125,Gula Asam Dingin,,,1.000,20476.00,0.00,20476.00,0.00,20476.00,1024.00,Dine In,Kedai,Temu Roti,Owner,,,,Closed</t>
  </si>
  <si>
    <t>28/09/2024 10:41,2-9499,Sale,Roti,10007,Roti cranberry 2 pcs,,,1.000,33810.00,0.00,33810.00,0.00,33810.00,1691.00,Take Away,Kedai,Temu Roti,Owner,,,,Closed</t>
  </si>
  <si>
    <t>28/09/2024 10:40,2-9498,Sale,Roti,10007,Roti cranberry 2 pcs,,,1.000,33810.00,0.00,33810.00,0.00,33810.00,1691.00,Take Away,Kedai,Temu Roti,Owner,,,,Closed</t>
  </si>
  <si>
    <t>28/09/2024 10:40,2-9498,Sale,Roti,10000,Roti Bawang Saus Keju,,,1.000,29524.00,0.00,29524.00,0.00,29524.00,1476.00,Take Away,Kedai,Temu Roti,Owner,,,,Closed</t>
  </si>
  <si>
    <t>28/09/2024 10:40,2-9498,Sale,Roti,10055,Roti Gandum Cokelat 2 pcs,,,1.000,34762.00,0.00,34762.00,0.00,34762.00,1738.00,Take Away,Kedai,Temu Roti,Owner,,,,Closed</t>
  </si>
  <si>
    <t>28/09/2024 10:38,2-9497,Sale,Roti,10000,Roti Bawang Saus Keju,,,1.000,29524.00,0.00,29524.00,0.00,29524.00,1476.00,Dine In,Kedai,Temu Roti,Owner,,,,Closed</t>
  </si>
  <si>
    <t>28/09/2024 10:38,2-9497,Sale,Kudapan,10051,Tahu baso,,,1.000,25238.00,0.00,25238.00,0.00,25238.00,1262.00,Dine In,Kedai,Temu Roti,Owner,,,,Closed</t>
  </si>
  <si>
    <t>28/09/2024 10:38,2-9497,Sale,Minuman,10128,Es Kopi Susu,,,1.000,23333.00,0.00,23333.00,0.00,23333.00,1167.00,Dine In,Kedai,Temu Roti,Owner,,,,Closed</t>
  </si>
  <si>
    <t>28/09/2024 10:38,2-9497,Sale,Minuman,10013,Kopi cur,,,1.000,23333.00,0.00,23333.00,0.00,23333.00,1166.00,Dine In,Kedai,Temu Roti,Owner,,,,Closed</t>
  </si>
  <si>
    <t>28/09/2024 10:38,2-9497,Sale,Roti,10033,Roti panggang sarikaya,,,1.000,21905.00,0.00,21905.00,0.00,21905.00,1096.00,Dine In,Kedai,Temu Roti,Owner,,,,Closed</t>
  </si>
  <si>
    <t>28/09/2024 10:38,2-9497,Sale,Roti,10034,Roti panggang coklat,,,1.000,21905.00,0.00,21905.00,0.00,21905.00,1095.00,Dine In,Kedai,Temu Roti,Owner,,,,Closed</t>
  </si>
  <si>
    <t>28/09/2024 10:38,2-9497,Sale,Minuman,10107,Korean Mango Fresh Milk,,,1.000,26667.00,0.00,26667.00,0.00,26667.00,1333.00,Dine In,Kedai,Temu Roti,Owner,,,,Closed</t>
  </si>
  <si>
    <t>28/09/2024 10:38,2-9497,Sale,Minuman,10106,Korean Strawberry Fresh Milk,,,1.000,26667.00,0.00,26667.00,0.00,26667.00,1334.00,Dine In,Kedai,Temu Roti,Owner,,,,Closed</t>
  </si>
  <si>
    <t>28/09/2024 10:38,2-9497,Sale,Roti,10055,Roti Gandum Cokelat 2 pcs,,,1.000,34762.00,0.00,34762.00,0.00,34762.00,1738.00,Dine In,Kedai,Temu Roti,Owner,,,,Closed</t>
  </si>
  <si>
    <t>28/09/2024 10:38,2-9497,Sale,Minuman,10128,Es Kopi Susu,,,1.000,23333.00,0.00,23333.00,0.00,23333.00,1166.00,Dine In,Kedai,Temu Roti,Owner,,,,Closed</t>
  </si>
  <si>
    <t>28/09/2024 10:01,2-9496,Sale,Minuman,10107,Korean Mango Fresh Milk,,,1.000,26667.00,0.00,26667.00,0.00,26667.00,1333.00,Dine In,Kedai,Temu Roti,Owner,,,,Closed</t>
  </si>
  <si>
    <t>28/09/2024 10:01,2-9496,Sale,Minuman,10106,Korean Strawberry Fresh Milk,,,1.000,26667.00,0.00,26667.00,0.00,26667.00,1334.00,Dine In,Kedai,Temu Roti,Owner,,,,Closed</t>
  </si>
  <si>
    <t>28/09/2024 09:45,2-9495,Sale,Roti,10007,Roti cranberry 2 pcs,,,1.000,33810.00,0.00,33810.00,0.00,33810.00,1691.00,Dine In,Kedai,Temu Roti,Owner,,,,Closed</t>
  </si>
  <si>
    <t>28/09/2024 09:45,2-9495,Sale,Minuman,10119,Teh Tawar Dingin,,,1.000,7143.00,0.00,7143.00,0.00,7143.00,357.00,Dine In,Kedai,Temu Roti,Owner,,,,Closed</t>
  </si>
  <si>
    <t>28/09/2024 09:45,2-9495,Sale,Minuman,10056,Susu murni moca,,,1.000,19524.00,0.00,19524.00,0.00,19524.00,976.00,Dine In,Kedai,Temu Roti,Owner,,,,Closed</t>
  </si>
  <si>
    <t>28/09/2024 09:18,2-9494,Sale,Minuman,10107,Korean Mango Fresh Milk,,,1.000,26667.00,0.00,26667.00,0.00,26667.00,1333.00,Dine In,Kedai,Temu Roti,Owner,,,,Closed</t>
  </si>
  <si>
    <t>28/09/2024 09:18,2-9494,Sale,Minuman,10121,Lemon Tea Dingin,,,1.000,19524.00,0.00,19524.00,0.00,19524.00,977.00,Dine In,Kedai,Temu Roti,Owner,,,,Closed</t>
  </si>
  <si>
    <t>27/09/2024 21:05,2-9493,Sale,Minuman,10122,Rempah Madu Panas,,,1.000,21905.00,0.00,21905.00,0.00,21905.00,1095.00,Dine In,Kedai,Temu Roti,Owner,,,,Closed</t>
  </si>
  <si>
    <t>27/09/2024 21:05,2-9493,Sale,Minuman,10058,Susu murni ori,,,1.000,19524.00,0.00,19524.00,0.00,19524.00,976.00,Dine In,Kedai,Temu Roti,Owner,,,,Closed</t>
  </si>
  <si>
    <t>27/09/2024 21:05,2-9493,Sale,Roti,10033,Roti panggang sarikaya,,,1.000,21905.00,0.00,21905.00,0.00,21905.00,1096.00,Dine In,Kedai,Temu Roti,Owner,,,,Closed</t>
  </si>
  <si>
    <t>27/09/2024 21:05,2-9493,Sale,Kudapan,10051,Tahu baso,,,1.000,25238.00,0.00,25238.00,0.00,25238.00,1262.00,Dine In,Kedai,Temu Roti,Owner,,,,Closed</t>
  </si>
  <si>
    <t>27/09/2024 21:05,2-9493,Sale,Roti,10002,Roti Cranberry,,,1.000,18571.00,0.00,18571.00,0.00,18571.00,928.00,Dine In,Kedai,Temu Roti,Owner,,,,Closed</t>
  </si>
  <si>
    <t>27/09/2024 21:05,2-9493,Sale,Minuman,10119,Teh Tawar Dingin,,,1.000,7143.00,0.00,7143.00,0.00,7143.00,357.00,Dine In,Kedai,Temu Roti,Owner,,,,Closed</t>
  </si>
  <si>
    <t>27/09/2024 21:05,2-9493,Sale,Kudapan,10014,Tempe Mendoan,,,1.000,25238.00,0.00,25238.00,0.00,25238.00,1262.00,Dine In,Kedai,Temu Roti,Owner,,,,Closed</t>
  </si>
  <si>
    <t>27/09/2024 21:04,2-9492,Sale,Minuman,10117,Teh Manis Dingin,,,1.000,14286.00,0.00,14286.00,0.00,14286.00,714.00,Dine In,Kedai,Temu Roti,Owner,,,,Closed</t>
  </si>
  <si>
    <t>27/09/2024 21:04,2-9492,Sale,Minuman,10116,Teh Manis Panas,,,1.000,14286.00,0.00,14286.00,0.00,14286.00,715.00,Dine In,Kedai,Temu Roti,Owner,,,,Closed</t>
  </si>
  <si>
    <t>27/09/2024 21:04,2-9492,Sale,Kudapan,10011,Kentang Goreng,,,1.000,25238.00,0.00,25238.00,0.00,25238.00,1262.00,Dine In,Kedai,Temu Roti,Owner,,,,Closed</t>
  </si>
  <si>
    <t>27/09/2024 19:17,2-9491,Sale,Minuman,10058,Susu murni ori,,,1.000,19524.00,0.00,19524.00,0.00,19524.00,976.00,Dine In,Kedai,Temu Roti,Owner,,,,Closed</t>
  </si>
  <si>
    <t>27/09/2024 19:17,2-9491,Sale,Minuman,10119,Teh Tawar Dingin,,,1.000,7143.00,0.00,7143.00,0.00,7143.00,357.00,Dine In,Kedai,Temu Roti,Owner,,,,Closed</t>
  </si>
  <si>
    <t>27/09/2024 19:17,2-9491,Sale,Roti,10005,Roti Gandum Cokelat,,,1.000,19524.00,0.00,19524.00,0.00,19524.00,977.00,Dine In,Kedai,Temu Roti,Owner,,,,Closed</t>
  </si>
  <si>
    <t>27/09/2024 19:17,2-9491,Sale,Minuman,10112,Air mineral,,,1.000,6667.00,0.00,6667.00,0.00,6667.00,333.00,Dine In,Kedai,Temu Roti,Owner,,,,Closed</t>
  </si>
  <si>
    <t>27/09/2024 19:12,2-9490,Sale,Minuman,10013,Kopi cur,,,1.000,23333.00,0.00,23333.00,0.00,23333.00,1167.00,Dine In,Kedai,Temu Roti,Owner,,,,Closed</t>
  </si>
  <si>
    <t>27/09/2024 19:09,2-9489,Sale,Minuman,10112,Air mineral,,,1.000,6667.00,0.00,6667.00,0.00,6667.00,333.00,Dine In,Kedai,Temu Roti,Owner,,,,Closed</t>
  </si>
  <si>
    <t>27/09/2024 16:32,2-9488,Sale,Minuman,10107,Korean Mango Fresh Milk,,,1.000,26667.00,0.00,26667.00,0.00,26667.00,1333.00,Dine In,Kedai,Temu Roti,Owner,,,,Closed</t>
  </si>
  <si>
    <t>27/09/2024 16:32,2-9488,Sale,Roti,10005,Roti Gandum Cokelat,,,1.000,19524.00,0.00,19524.00,0.00,19524.00,977.00,Dine In,Kedai,Temu Roti,Owner,,,,Closed</t>
  </si>
  <si>
    <t>27/09/2024 16:32,2-9488,Sale,Minuman,10063,Wedang Bulan,,,1.000,24762.00,0.00,24762.00,0.00,24762.00,1238.00,Dine In,Kedai,Temu Roti,Owner,,,,Closed</t>
  </si>
  <si>
    <t>27/09/2024 16:32,2-9488,Sale,Roti,10002,Roti Cranberry,,,1.000,18571.00,0.00,18571.00,0.00,18571.00,928.00,Dine In,Kedai,Temu Roti,Owner,,,,Closed</t>
  </si>
  <si>
    <t>27/09/2024 16:32,2-9488,Sale,Minuman,10128,Es Kopi Susu,,,1.000,23333.00,0.00,23333.00,0.00,23333.00,1167.00,Dine In,Kedai,Temu Roti,Owner,,,,Closed</t>
  </si>
  <si>
    <t>27/09/2024 16:12,2-9487,Sale,Roti,10033,Roti panggang sarikaya,,,1.000,21905.00,0.00,21905.00,0.00,21905.00,1095.00,Dine In,Kedai,Temu Roti,Owner,,,,Closed</t>
  </si>
  <si>
    <t>27/09/2024 16:12,2-9487,Sale,Kudapan,10014,Tempe Mendoan,,,1.000,25238.00,0.00,25238.00,0.00,25238.00,1262.00,Dine In,Kedai,Temu Roti,Owner,,,,Closed</t>
  </si>
  <si>
    <t>27/09/2024 15:36,2-9486,Sale,Hidangan Utama,10012,Mie joglo,,,1.000,29524.00,0.00,29524.00,0.00,29524.00,1476.00,Dine In,Kedai,Temu Roti,Owner,,,,Closed</t>
  </si>
  <si>
    <t>27/09/2024 15:36,2-9486,Sale,Minuman,10058,Susu murni ori,,,1.000,19524.00,0.00,19524.00,0.00,19524.00,976.00,Dine In,Kedai,Temu Roti,Owner,,,,Closed</t>
  </si>
  <si>
    <t>27/09/2024 15:36,2-9486,Sale,Minuman,10128,Es Kopi Susu,,,1.000,23333.00,0.00,23333.00,0.00,23333.00,1167.00,Dine In,Kedai,Temu Roti,Owner,,,,Closed</t>
  </si>
  <si>
    <t>27/09/2024 15:36,2-9486,Sale,Hidangan Utama,10003,Nasi Goreng Temu,,,1.000,29524.00,0.00,29524.00,0.00,29524.00,1476.00,Dine In,Kedai,Temu Roti,Owner,,,,Closed</t>
  </si>
  <si>
    <t>27/09/2024 14:45,2-9485,Sale,Kudapan,10010,Pisang Goreng,,,1.000,25238.00,0.00,25238.00,0.00,25238.00,1262.00,Dine In,Kedai,Temu Roti,Owner,,,,Closed</t>
  </si>
  <si>
    <t>27/09/2024 14:43,2-9484,Sale,Roti,10007,Roti cranberry 2 pcs,,,2.000,67620.00,0.00,67620.00,0.00,67620.00,3381.00,Take Away,Kedai,Temu Roti,Owner,,,,Closed</t>
  </si>
  <si>
    <t>27/09/2024 14:11,2-9483,Sale,Roti,10007,Roti cranberry 2 pcs,,,1.000,33810.00,0.00,33810.00,0.00,33810.00,1691.00,Dine In,Kedai,Temu Roti,Owner,,,,Closed</t>
  </si>
  <si>
    <t>27/09/2024 14:11,2-9483,Sale,Roti,10035,Roti panggang alpukat,,,1.000,21905.00,0.00,21905.00,0.00,21905.00,1095.00,Dine In,Kedai,Temu Roti,Owner,,,,Closed</t>
  </si>
  <si>
    <t>27/09/2024 14:11,2-9483,Sale,Minuman,10128,Es Kopi Susu,,,1.000,23333.00,0.00,23333.00,0.00,23333.00,1166.00,Dine In,Kedai,Temu Roti,Owner,,,,Closed</t>
  </si>
  <si>
    <t>27/09/2024 12:21,2-9482,Sale,Hidangan Utama,10105,Beef Claypot Rice,,,1.000,38095.00,0.00,38095.00,0.00,38095.00,1905.00,Dine In,Kedai,Temu Roti,Owner,,,,Closed</t>
  </si>
  <si>
    <t>27/09/2024 12:21,2-9482,Sale,Minuman,10112,Air mineral,,,1.000,6667.00,0.00,6667.00,0.00,6667.00,333.00,Dine In,Kedai,Temu Roti,Owner,,,,Closed</t>
  </si>
  <si>
    <t>27/09/2024 12:09,2-9481,Sale,Roti,10055,Roti Gandum Cokelat 2 pcs,,,1.000,34762.00,0.00,34762.00,0.00,34762.00,1738.00,Dine In,Kedai,Temu Roti,Owner,,,,Closed</t>
  </si>
  <si>
    <t>27/09/2024 11:50,2-9480,Sale,Roti,10002,Roti Cranberry,,,1.000,18571.00,0.00,18571.00,0.00,18571.00,929.00,Dine In,Kedai,Temu Roti,Owner,,,,Closed</t>
  </si>
  <si>
    <t>27/09/2024 11:50,2-9480,Sale,Kudapan,10051,Tahu baso,,,1.000,25238.00,0.00,25238.00,0.00,25238.00,1261.00,Dine In,Kedai,Temu Roti,Owner,,,,Closed</t>
  </si>
  <si>
    <t>27/09/2024 11:50,2-9480,Sale,Minuman,10125,Gula Asam Dingin,,,1.000,20476.00,0.00,20476.00,0.00,20476.00,1024.00,Dine In,Kedai,Temu Roti,Owner,,,,Closed</t>
  </si>
  <si>
    <t>27/09/2024 11:50,2-9480,Sale,Minuman,10127,Kopi Tubruk Panas,,,1.000,18571.00,0.00,18571.00,0.00,18571.00,929.00,Dine In,Kedai,Temu Roti,Owner,,,,Closed</t>
  </si>
  <si>
    <t>27/09/2024 11:50,2-9480,Sale,Kudapan,10010,Pisang Goreng,,,1.000,25238.00,0.00,25238.00,0.00,25238.00,1262.00,Dine In,Kedai,Temu Roti,Owner,,,,Closed</t>
  </si>
  <si>
    <t>26/09/2024 20:37,2-9479,Sale,Roti,10007,Roti cranberry 2 pcs,,,1.000,33810.00,0.00,33810.00,0.00,33810.00,1691.00,Dine In,Kedai,Temu Roti,Owner,,,,Closed</t>
  </si>
  <si>
    <t>26/09/2024 18:39,2-9478,Sale,Hidangan Utama,10104,Chicken Claypot Rice,,,1.000,34762.00,0.00,34762.00,0.00,34762.00,1738.00,Dine In,Kedai,Temu Roti,Owner,,,,Closed</t>
  </si>
  <si>
    <t>26/09/2024 18:39,2-9478,Sale,Hidangan Utama,10012,Mie joglo,,,1.000,29524.00,0.00,29524.00,0.00,29524.00,1476.00,Dine In,Kedai,Temu Roti,Owner,,,,Closed</t>
  </si>
  <si>
    <t>26/09/2024 18:39,2-9478,Sale,Roti,10002,Roti Cranberry,,,1.000,18571.00,0.00,18571.00,0.00,18571.00,929.00,Dine In,Kedai,Temu Roti,Owner,,,,Closed</t>
  </si>
  <si>
    <t>26/09/2024 18:39,2-9478,Sale,Minuman,10122,Rempah Madu Panas,,,1.000,21905.00,0.00,21905.00,0.00,21905.00,1095.00,Dine In,Kedai,Temu Roti,Owner,,,,Closed</t>
  </si>
  <si>
    <t>26/09/2024 18:39,2-9478,Sale,Minuman,10069,Wedang hujan,,,1.000,24762.00,0.00,24762.00,0.00,24762.00,1238.00,Dine In,Kedai,Temu Roti,Owner,,,,Closed</t>
  </si>
  <si>
    <t>26/09/2024 17:42,2-9477,Sale,Minuman,10127,Kopi Tubruk Panas,,,1.000,18571.00,0.00,18571.00,0.00,18571.00,929.00,Dine In,Kedai,Temu Roti,Owner,,,,Closed</t>
  </si>
  <si>
    <t>26/09/2024 17:17,2-9476,Sale,Roti,10002,Roti Cranberry,,,1.000,18571.00,0.00,18571.00,0.00,18571.00,929.00,Dine In,Kedai,Temu Roti,Owner,,,,Closed</t>
  </si>
  <si>
    <t>26/09/2024 17:17,2-9475,Refund,Roti,10002,Roti Cranberry,,,-1.000,-18571.00,0.00,-18571.00,-0.00,-18571.00,-929.00,Dine In,Kedai,Temu Roti,Owner,,,,Closed</t>
  </si>
  <si>
    <t>26/09/2024 17:13,2-9474,Sale,Roti,10002,Roti Cranberry,,,1.000,18571.00,0.00,18571.00,0.00,18571.00,929.00,Dine In,Kedai,Temu Roti,Owner,,,,Closed</t>
  </si>
  <si>
    <t>26/09/2024 17:02,2-9473,Sale,Roti,10002,Roti Cranberry,,,1.000,18571.00,0.00,18571.00,0.00,18571.00,929.00,Dine In,Kedai,Temu Roti,Owner,,,,Closed</t>
  </si>
  <si>
    <t>26/09/2024 17:02,2-9473,Sale,Minuman,10128,Es Kopi Susu,,,2.000,46666.00,0.00,46666.00,0.00,46666.00,2333.00,Dine In,Kedai,Temu Roti,Owner,,,,Closed</t>
  </si>
  <si>
    <t>26/09/2024 15:43,2-9472,Sale,Roti,10005,Roti Gandum Cokelat,,,1.000,19524.00,0.00,19524.00,0.00,19524.00,976.00,Dine In,Kedai,Temu Roti,Owner,,,,Closed</t>
  </si>
  <si>
    <t>26/09/2024 15:43,2-9472,Sale,Minuman,10122,Rempah Madu Panas,,,1.000,21905.00,0.00,21905.00,0.00,21905.00,1095.00,Dine In,Kedai,Temu Roti,Owner,,,,Closed</t>
  </si>
  <si>
    <t>26/09/2024 12:45,2-9471,Sale,Hidangan Utama,10003,Nasi Goreng Temu,,,2.000,59048.00,0.00,59048.00,0.00,59048.00,2952.00,Dine In,Kedai,Temu Roti,Owner,,,,Closed</t>
  </si>
  <si>
    <t>26/09/2024 12:45,2-9471,Sale,Hidangan Utama,10012,Mie joglo,,,1.000,29524.00,0.00,29524.00,0.00,29524.00,1477.00,Dine In,Kedai,Temu Roti,Owner,,,,Closed</t>
  </si>
  <si>
    <t>26/09/2024 12:13,2-9470,Sale,Roti,10000,Roti Bawang Saus Keju,,,1.000,29524.00,0.00,29524.00,0.00,29524.00,1476.00,Dine In,Kedai,Temu Roti,Owner,,,,Closed</t>
  </si>
  <si>
    <t>26/09/2024 12:13,2-9470,Sale,Roti,10005,Roti Gandum Cokelat,,,1.000,19524.00,0.00,19524.00,0.00,19524.00,976.00,Dine In,Kedai,Temu Roti,Owner,,,,Closed</t>
  </si>
  <si>
    <t>26/09/2024 12:13,2-9470,Sale,Minuman,10128,Es Kopi Susu,,,1.000,23333.00,0.00,23333.00,0.00,23333.00,1167.00,Dine In,Kedai,Temu Roti,Owner,,,,Closed</t>
  </si>
  <si>
    <t>26/09/2024 12:12,2-9469,Sale,Minuman,10119,Teh Tawar Dingin,,,1.000,7143.00,0.00,7143.00,0.00,7143.00,357.00,Dine In,Kedai,Temu Roti,Owner,,,,Closed</t>
  </si>
  <si>
    <t>26/09/2024 10:12,2-9468,Sale,Roti,10000,Roti Bawang Saus Keju,,,1.000,29524.00,0.00,29524.00,0.00,29524.00,1476.00,Dine In,Kedai,Temu Roti,Owner,,,,Closed</t>
  </si>
  <si>
    <t>26/09/2024 10:12,2-9468,Sale,Roti,10005,Roti Gandum Cokelat,,,1.000,19524.00,0.00,19524.00,0.00,19524.00,976.00,Dine In,Kedai,Temu Roti,Owner,,,,Closed</t>
  </si>
  <si>
    <t>26/09/2024 10:12,2-9468,Sale,Roti,10002,Roti Cranberry,,,1.000,18571.00,0.00,18571.00,0.00,18571.00,929.00,Dine In,Kedai,Temu Roti,Owner,,,,Closed</t>
  </si>
  <si>
    <t>26/09/2024 10:12,2-9468,Sale,Minuman,10128,Es Kopi Susu,,,2.000,46666.00,0.00,46666.00,0.00,46666.00,2333.00,Dine In,Kedai,Temu Roti,Owner,,,,Closed</t>
  </si>
  <si>
    <t>26/09/2024 10:12,2-9468,Sale,Minuman,10106,Korean Strawberry Fresh Milk,,,1.000,26667.00,0.00,26667.00,0.00,26667.00,1334.00,Dine In,Kedai,Temu Roti,Owner,,,,Closed</t>
  </si>
  <si>
    <t>26/09/2024 10:12,2-9468,Sale,Minuman,10069,Wedang hujan,,,1.000,24762.00,0.00,24762.00,0.00,24762.00,1238.00,Dine In,Kedai,Temu Roti,Owner,,,,Closed</t>
  </si>
  <si>
    <t>26/09/2024 09:48,2-9467,Sale,Roti,10005,Roti Gandum Cokelat,,,1.000,19524.00,0.00,19524.00,0.00,19524.00,976.00,Dine In,Kedai,Temu Roti,Owner,,,,Closed</t>
  </si>
  <si>
    <t>26/09/2024 09:48,2-9467,Sale,Roti,10002,Roti Cranberry,,,1.000,18571.00,0.00,18571.00,0.00,18571.00,929.00,Dine In,Kedai,Temu Roti,Owner,,,,Closed</t>
  </si>
  <si>
    <t>26/09/2024 09:45,2-9466,Sale,Minuman,10067,Wedang angin,,,1.000,24762.00,0.00,24762.00,0.00,24762.00,1238.00,Dine In,Kedai,Temu Roti,Owner,,,,Closed</t>
  </si>
  <si>
    <t>26/09/2024 09:45,2-9466,Sale,Minuman,10128,Es Kopi Susu,,,1.000,23333.00,0.00,23333.00,0.00,23333.00,1167.00,Dine In,Kedai,Temu Roti,Owner,,,,Closed</t>
  </si>
  <si>
    <t>26/09/2024 09:45,2-9466,Sale,Roti,10007,Roti cranberry 2 pcs,,,1.000,33810.00,0.00,33810.00,0.00,33810.00,1690.00,Dine In,Kedai,Temu Roti,Owner,,,,Closed</t>
  </si>
  <si>
    <t>25/09/2024 21:08,2-9465,Sale,Roti,10002,Roti Cranberry,,,1.000,18571.00,0.00,18571.00,0.00,18571.00,929.00,Dine In,Kedai,Temu Roti,Owner,,,,Closed</t>
  </si>
  <si>
    <t>25/09/2024 19:37,2-9464,Sale,Minuman,10122,Rempah Madu Panas,,,1.000,21905.00,0.00,21905.00,0.00,21905.00,1095.00,Dine In,Kedai,Temu Roti,Owner,,,,Closed</t>
  </si>
  <si>
    <t>25/09/2024 19:37,2-9464,Sale,Minuman,10070,Wedang laut,,,1.000,24762.00,0.00,24762.00,0.00,24762.00,1238.00,Dine In,Kedai,Temu Roti,Owner,,,,Closed</t>
  </si>
  <si>
    <t>25/09/2024 18:46,2-9463,Sale,Roti,10000,Roti Bawang Saus Keju,,,1.000,29524.00,0.00,29524.00,0.00,29524.00,1476.00,Dine In,Kedai,Temu Roti,Owner,,,,Closed</t>
  </si>
  <si>
    <t>25/09/2024 18:46,2-9463,Sale,Minuman,10117,Teh Manis Dingin,,,1.000,14286.00,0.00,14286.00,0.00,14286.00,715.00,Dine In,Kedai,Temu Roti,Owner,,,,Closed</t>
  </si>
  <si>
    <t>25/09/2024 18:46,2-9463,Sale,Minuman,10118,Teh Tawar Panas,,,1.000,7143.00,0.00,7143.00,0.00,7143.00,357.00,Dine In,Kedai,Temu Roti,Owner,,,,Closed</t>
  </si>
  <si>
    <t>25/09/2024 18:46,2-9463,Sale,Minuman,10120,Lemon Tea Panas,,,2.000,39048.00,0.00,39048.00,0.00,39048.00,1952.00,Dine In,Kedai,Temu Roti,Owner,,,,Closed</t>
  </si>
  <si>
    <t>25/09/2024 18:46,2-9463,Sale,Minuman,10122,Rempah Madu Panas,,,1.000,21905.00,0.00,21905.00,0.00,21905.00,1095.00,Dine In,Kedai,Temu Roti,Owner,,,,Closed</t>
  </si>
  <si>
    <t>25/09/2024 18:46,2-9463,Sale,Kudapan,10010,Pisang Goreng,,,1.000,25238.00,0.00,25238.00,0.00,25238.00,1262.00,Dine In,Kedai,Temu Roti,Owner,,,,Closed</t>
  </si>
  <si>
    <t>25/09/2024 18:46,2-9463,Sale,Kudapan,10004,Tahu walik,,,1.000,25238.00,0.00,25238.00,0.00,25238.00,1262.00,Dine In,Kedai,Temu Roti,Owner,,,,Closed</t>
  </si>
  <si>
    <t>25/09/2024 18:46,2-9463,Sale,Minuman,10112,Air mineral,,,1.000,6667.00,0.00,6667.00,0.00,6667.00,333.00,Dine In,Kedai,Temu Roti,Owner,,,,Closed</t>
  </si>
  <si>
    <t>25/09/2024 18:46,2-9463,Sale,Kudapan,10014,Tempe Mendoan,,,1.000,25238.00,0.00,25238.00,0.00,25238.00,1262.00,Dine In,Kedai,Temu Roti,Owner,,,,Closed</t>
  </si>
  <si>
    <t>25/09/2024 18:46,2-9463,Sale,Roti,10039,Roti panggang strawberry,,,1.000,21905.00,0.00,21905.00,0.00,21905.00,1096.00,Dine In,Kedai,Temu Roti,Owner,,,,Closed</t>
  </si>
  <si>
    <t>24/09/2024 20:46,2-9462,Sale,Roti,10034,Roti panggang coklat,,,1.000,21905.00,0.00,21905.00,0.00,21905.00,1095.00,Dine In,Kedai,Temu Roti,Owner,,,,Closed</t>
  </si>
  <si>
    <t>24/09/2024 20:35,2-9461,Sale,Roti,10033,Roti panggang sarikaya,,,1.000,21905.00,0.00,21905.00,0.00,21905.00,1095.00,Dine In,Kedai,Temu Roti,Owner,,,,Closed</t>
  </si>
  <si>
    <t>24/09/2024 20:26,2-9460,Sale,Roti,10007,Roti cranberry 2 pcs,,,2.000,67620.00,0.00,67620.00,0.00,67620.00,3381.00,Dine In,Kedai,Temu Roti,Owner,,,,Closed</t>
  </si>
  <si>
    <t>24/09/2024 19:46,2-9459,Sale,Minuman,10125,Gula Asam Dingin,,,1.000,20476.00,0.00,20476.00,0.00,20476.00,1024.00,Dine In,Kedai,Temu Roti,Owner,,,,Closed</t>
  </si>
  <si>
    <t>24/09/2024 19:46,2-9459,Sale,Minuman,10122,Rempah Madu Panas,,,1.000,21905.00,0.00,21905.00,0.00,21905.00,1095.00,Dine In,Kedai,Temu Roti,Owner,,,,Closed</t>
  </si>
  <si>
    <t>24/09/2024 19:46,2-9459,Sale,Roti,10025,Roti Tawar Susu,,,1.000,24762.00,0.00,24762.00,0.00,24762.00,1238.00,Dine In,Kedai,Temu Roti,Owner,,,,Closed</t>
  </si>
  <si>
    <t>24/09/2024 19:46,2-9459,Sale,Kudapan,10004,Tahu walik,,,1.000,25238.00,0.00,25238.00,0.00,25238.00,1262.00,Dine In,Kedai,Temu Roti,Owner,,,,Closed</t>
  </si>
  <si>
    <t>24/09/2024 19:13,2-9458,Sale,Minuman,10026,Es Kopi Lemon,,,1.000,21905.00,0.00,21905.00,0.00,21905.00,1095.00,Dine In,Kedai,Temu Roti,Owner,,,,Closed</t>
  </si>
  <si>
    <t>24/09/2024 19:13,2-9458,Sale,Minuman,10057,Susu murni strawberry,,,1.000,19524.00,0.00,19524.00,0.00,19524.00,976.00,Dine In,Kedai,Temu Roti,Owner,,,,Closed</t>
  </si>
  <si>
    <t>24/09/2024 19:11,2-9457,Refund,Minuman,10026,Es Kopi Lemon,,,-1.000,-21905.00,0.00,-21905.00,-0.00,-21905.00,-1095.00,Dine In,Kedai,Temu Roti,Owner,,,,Closed</t>
  </si>
  <si>
    <t>24/09/2024 19:11,2-9457,Refund,Minuman,10057,Susu murni strawberry,,,-1.000,-19524.00,0.00,-19524.00,-0.00,-19524.00,-976.00,Dine In,Kedai,Temu Roti,Owner,,,,Closed</t>
  </si>
  <si>
    <t>24/09/2024 19:10,2-9456,Sale,Minuman,10026,Es Kopi Lemon,,,1.000,21905.00,0.00,21905.00,0.00,21905.00,1095.00,Dine In,Kedai,Temu Roti,Owner,,,,Closed</t>
  </si>
  <si>
    <t>24/09/2024 19:10,2-9456,Sale,Minuman,10057,Susu murni strawberry,,,1.000,19524.00,0.00,19524.00,0.00,19524.00,976.00,Dine In,Kedai,Temu Roti,Owner,,,,Closed</t>
  </si>
  <si>
    <t>24/09/2024 17:41,2-9455,Sale,Roti,10005,Roti Gandum Cokelat,,,1.000,19524.00,0.00,19524.00,0.00,19524.00,976.00,Dine In,Kedai,Temu Roti,Owner,,,,Closed</t>
  </si>
  <si>
    <t>24/09/2024 17:41,2-9455,Sale,Kudapan,10004,Tahu walik,,,1.000,25238.00,0.00,25238.00,0.00,25238.00,1262.00,Dine In,Kedai,Temu Roti,Owner,,,,Closed</t>
  </si>
  <si>
    <t>24/09/2024 17:15,2-9454,Sale,Roti,10002,Roti Cranberry,,,1.000,18571.00,0.00,18571.00,0.00,18571.00,929.00,Dine In,Kedai,Temu Roti,Owner,,,,Closed</t>
  </si>
  <si>
    <t>24/09/2024 17:15,2-9454,Sale,Roti,10005,Roti Gandum Cokelat,,,1.000,19524.00,0.00,19524.00,0.00,19524.00,976.00,Dine In,Kedai,Temu Roti,Owner,,,,Closed</t>
  </si>
  <si>
    <t>24/09/2024 16:57,2-9453,Sale,Hidangan Utama,10104,Chicken Claypot Rice,,,1.000,34762.00,0.00,34762.00,0.00,34762.00,1738.00,Dine In,Kedai,Temu Roti,Owner,,,,Closed</t>
  </si>
  <si>
    <t>24/09/2024 16:57,2-9453,Sale,Roti,10002,Roti Cranberry,,,1.000,18571.00,0.00,18571.00,0.00,18571.00,929.00,Dine In,Kedai,Temu Roti,Owner,,,,Closed</t>
  </si>
  <si>
    <t>24/09/2024 16:57,2-9453,Sale,Minuman,10057,Susu murni strawberry,,,1.000,19524.00,0.00,19524.00,0.00,19524.00,976.00,Dine In,Kedai,Temu Roti,Owner,,,,Closed</t>
  </si>
  <si>
    <t>24/09/2024 16:57,2-9453,Sale,Minuman,10116,Teh Manis Panas,,,1.000,14286.00,0.00,14286.00,0.00,14286.00,714.00,Dine In,Kedai,Temu Roti,Owner,,,,Closed</t>
  </si>
  <si>
    <t>24/09/2024 16:53,2-9452,Sale,Roti,10007,Roti cranberry 2 pcs,,,1.000,33810.00,0.00,33810.00,0.00,33810.00,1691.00,Take Away,Kedai,Temu Roti,Owner,,,,Closed</t>
  </si>
  <si>
    <t>24/09/2024 16:53,2-9452,Sale,Roti,10002,Roti Cranberry,,,1.000,18571.00,0.00,18571.00,0.00,18571.00,928.00,Take Away,Kedai,Temu Roti,Owner,,,,Closed</t>
  </si>
  <si>
    <t>24/09/2024 16:53,2-9452,Sale,Roti,10055,Roti Gandum Cokelat 2 pcs,,,1.000,34762.00,0.00,34762.00,0.00,34762.00,1738.00,Take Away,Kedai,Temu Roti,Owner,,,,Closed</t>
  </si>
  <si>
    <t>24/09/2024 16:53,2-9452,Sale,Roti,10005,Roti Gandum Cokelat,,,1.000,19524.00,0.00,19524.00,0.00,19524.00,976.00,Take Away,Kedai,Temu Roti,Owner,,,,Closed</t>
  </si>
  <si>
    <t>24/09/2024 14:53,2-9451,Sale,Minuman,10128,Es Kopi Susu,,,1.000,23333.00,0.00,23333.00,0.00,23333.00,1167.00,Dine In,Kedai,Temu Roti,Owner,,,,Closed</t>
  </si>
  <si>
    <t>24/09/2024 14:53,2-9451,Sale,Roti,10005,Roti Gandum Cokelat,,,1.000,19524.00,0.00,19524.00,0.00,19524.00,976.00,Dine In,Kedai,Temu Roti,Owner,,,,Closed</t>
  </si>
  <si>
    <t>24/09/2024 14:33,2-9450,Sale,Roti,10002,Roti Cranberry,,,1.000,18571.00,0.00,18571.00,0.00,18571.00,929.00,Dine In,Kedai,Temu Roti,Owner,,,,Closed</t>
  </si>
  <si>
    <t>24/09/2024 14:14,2-9449,Sale,Roti,10007,Roti cranberry 2 pcs,,,1.000,33810.00,0.00,33810.00,0.00,33810.00,1691.00,Take Away,Kedai,Temu Roti,Owner,,,,Closed</t>
  </si>
  <si>
    <t>24/09/2024 14:14,2-9449,Sale,Roti,10005,Roti Gandum Cokelat,,,1.000,19524.00,0.00,19524.00,0.00,19524.00,976.00,Take Away,Kedai,Temu Roti,Owner,,,,Closed</t>
  </si>
  <si>
    <t>24/09/2024 10:50,2-9448,Sale,Minuman,10128,Es Kopi Susu,,,1.000,23333.00,0.00,23333.00,0.00,23333.00,1167.00,Dine In,Kedai,Temu Roti,Owner,,,,Closed</t>
  </si>
  <si>
    <t>24/09/2024 10:50,2-9448,Sale,Minuman,10069,Wedang hujan,,,1.000,24762.00,0.00,24762.00,0.00,24762.00,1238.00,Dine In,Kedai,Temu Roti,Owner,,,,Closed</t>
  </si>
  <si>
    <t>24/09/2024 10:50,2-9448,Sale,Roti,10055,Roti Gandum Cokelat 2 pcs,,,1.000,34762.00,0.00,34762.00,0.00,34762.00,1738.00,Dine In,Kedai,Temu Roti,Owner,,,,Closed</t>
  </si>
  <si>
    <t>24/09/2024 10:49,2-9447,Sale,Roti,10005,Roti Gandum Cokelat,,,1.000,19524.00,0.00,19524.00,0.00,19524.00,976.00,Dine In,Kedai,Temu Roti,Owner,,,,Closed</t>
  </si>
  <si>
    <t>22/09/2024 21:04,2-9446,Sale,Roti,10005,Roti Gandum Cokelat,,,1.000,19524.00,0.00,19524.00,0.00,19524.00,976.00,Dine In,Kedai,Temu Roti,Owner,,,,Closed</t>
  </si>
  <si>
    <t>22/09/2024 21:02,2-9445,Sale,Minuman,10128,Es Kopi Susu,,,1.000,23333.00,0.00,23333.00,0.00,23333.00,1167.00,Dine In,Kedai,Temu Roti,Owner,,,,Closed</t>
  </si>
  <si>
    <t>22/09/2024 21:02,2-9445,Sale,Minuman,10112,Air mineral,,,1.000,6667.00,0.00,6667.00,0.00,6667.00,333.00,Dine In,Kedai,Temu Roti,Owner,,,,Closed</t>
  </si>
  <si>
    <t>22/09/2024 21:02,2-9445,Sale,Roti,10005,Roti Gandum Cokelat,,,1.000,19524.00,0.00,19524.00,0.00,19524.00,976.00,Dine In,Kedai,Temu Roti,Owner,,,,Closed</t>
  </si>
  <si>
    <t>22/09/2024 20:23,2-9444,Sale,Roti,10002,Roti Cranberry,,,1.000,18571.00,0.00,18571.00,0.00,18571.00,929.00,Dine In,Kedai,Temu Roti,Owner,,,,Closed</t>
  </si>
  <si>
    <t>22/09/2024 20:23,2-9444,Sale,Roti,10005,Roti Gandum Cokelat,,,1.000,19524.00,0.00,19524.00,0.00,19524.00,976.00,Dine In,Kedai,Temu Roti,Owner,,,,Closed</t>
  </si>
  <si>
    <t>22/09/2024 19:28,2-9443,Sale,Minuman,10026,Es Kopi Lemon,,,1.000,21905.00,0.00,21905.00,0.00,21905.00,1095.00,Dine In,Kedai,Temu Roti,Owner,,,,Closed</t>
  </si>
  <si>
    <t>22/09/2024 19:28,2-9443,Sale,Minuman,10112,Air mineral,,,1.000,6667.00,0.00,6667.00,0.00,6667.00,334.00,Dine In,Kedai,Temu Roti,Owner,,,,Closed</t>
  </si>
  <si>
    <t>22/09/2024 19:28,2-9443,Sale,Minuman,10127,Kopi Tubruk Panas,,,1.000,18571.00,0.00,18571.00,0.00,18571.00,928.00,Dine In,Kedai,Temu Roti,Owner,,,,Closed</t>
  </si>
  <si>
    <t>22/09/2024 18:43,2-9442,Sale,Roti,10002,Roti Cranberry,,,1.000,18571.00,0.00,18571.00,0.00,18571.00,929.00,Dine In,Kedai,Temu Roti,Owner,,,,Closed</t>
  </si>
  <si>
    <t>22/09/2024 16:54,2-9441,Sale,Minuman,10128,Es Kopi Susu,,,2.000,46666.00,0.00,46666.00,0.00,46666.00,2333.00,Dine In,Kedai,Temu Roti,Owner,,,,Closed</t>
  </si>
  <si>
    <t>22/09/2024 15:17,2-9440,Sale,Roti,10007,Roti cranberry 2 pcs,,,2.000,67620.00,0.00,67620.00,0.00,67620.00,3381.00,Take Away,Kedai,Temu Roti,Owner,,,,Closed</t>
  </si>
  <si>
    <t>22/09/2024 15:17,2-9440,Sale,Roti,10055,Roti Gandum Cokelat 2 pcs,,,2.000,69524.00,0.00,69524.00,0.00,69524.00,3476.00,Take Away,Kedai,Temu Roti,Owner,,,,Closed</t>
  </si>
  <si>
    <t>22/09/2024 14:51,2-9439,Sale,Roti,10007,Roti cranberry 2 pcs,,,1.000,33810.00,0.00,33810.00,0.00,33810.00,1691.00,Dine In,Kedai,Temu Roti,Owner,,,,Closed</t>
  </si>
  <si>
    <t>22/09/2024 14:51,2-9439,Sale,Roti,10005,Roti Gandum Cokelat,,,1.000,19524.00,0.00,19524.00,0.00,19524.00,976.00,Dine In,Kedai,Temu Roti,Owner,,,,Closed</t>
  </si>
  <si>
    <t>22/09/2024 14:48,2-9438,Sale,Hidangan Utama,10003,Nasi Goreng Temu,,,1.000,29524.00,0.00,29524.00,0.00,29524.00,1476.00,Dine In,Kedai,Temu Roti,Owner,,,,Closed</t>
  </si>
  <si>
    <t>22/09/2024 14:48,2-9438,Sale,Minuman,10121,Lemon Tea Dingin,,,1.000,19524.00,0.00,19524.00,0.00,19524.00,976.00,Dine In,Kedai,Temu Roti,Owner,,,,Closed</t>
  </si>
  <si>
    <t>22/09/2024 14:48,2-9438,Sale,Minuman,10128,Es Kopi Susu,,,1.000,23333.00,0.00,23333.00,0.00,23333.00,1167.00,Dine In,Kedai,Temu Roti,Owner,,,,Closed</t>
  </si>
  <si>
    <t>22/09/2024 14:48,2-9438,Sale,Roti,10000,Roti Bawang Saus Keju,,,1.000,29524.00,0.00,29524.00,0.00,29524.00,1476.00,Dine In,Kedai,Temu Roti,Owner,,,,Closed</t>
  </si>
  <si>
    <t>22/09/2024 13:49,2-9437,Sale,Roti,10007,Roti cranberry 2 pcs,,,1.000,33810.00,0.00,33810.00,0.00,33810.00,1691.00,Dine In,Kedai,Temu Roti,Owner,,,,Closed</t>
  </si>
  <si>
    <t>22/09/2024 13:49,2-9437,Sale,Minuman,10125,Gula Asam Dingin,,,1.000,20476.00,0.00,20476.00,0.00,20476.00,1023.00,Dine In,Kedai,Temu Roti,Owner,,,,Closed</t>
  </si>
  <si>
    <t>22/09/2024 13:49,2-9437,Sale,Minuman,10121,Lemon Tea Dingin,,,1.000,19524.00,0.00,19524.00,0.00,19524.00,977.00,Dine In,Kedai,Temu Roti,Owner,,,,Closed</t>
  </si>
  <si>
    <t>22/09/2024 13:49,2-9437,Sale,Minuman,10106,Korean Strawberry Fresh Milk,,,1.000,26667.00,0.00,26667.00,0.00,26667.00,1333.00,Dine In,Kedai,Temu Roti,Owner,,,,Closed</t>
  </si>
  <si>
    <t>22/09/2024 13:49,2-9437,Sale,Kudapan,10015,Tahu Lada Garam,,,1.000,25238.00,0.00,25238.00,0.00,25238.00,1262.00,Dine In,Kedai,Temu Roti,Owner,,,,Closed</t>
  </si>
  <si>
    <t>22/09/2024 13:49,2-9437,Sale,Kudapan,10014,Tempe Mendoan,,,1.000,25238.00,0.00,25238.00,0.00,25238.00,1262.00,Dine In,Kedai,Temu Roti,Owner,,,,Closed</t>
  </si>
  <si>
    <t>22/09/2024 13:44,2-9436,Sale,Roti,10055,Roti Gandum Cokelat 2 pcs,,,1.000,34762.00,0.00,34762.00,0.00,34762.00,1738.00,Dine In,Kedai,Temu Roti,Owner,,,,Closed</t>
  </si>
  <si>
    <t>22/09/2024 13:44,2-9436,Sale,Roti,10007,Roti cranberry 2 pcs,,,1.000,33810.00,0.00,33810.00,0.00,33810.00,1691.00,Dine In,Kedai,Temu Roti,Owner,,,,Closed</t>
  </si>
  <si>
    <t>22/09/2024 13:44,2-9436,Sale,Roti,10005,Roti Gandum Cokelat,,,1.000,19524.00,0.00,19524.00,0.00,19524.00,976.00,Dine In,Kedai,Temu Roti,Owner,,,,Closed</t>
  </si>
  <si>
    <t>22/09/2024 13:28,2-9435,Sale,Minuman,10013,Kopi cur,,,1.000,23333.00,0.00,23333.00,0.00,23333.00,1167.00,Dine In,Kedai,Temu Roti,Owner,,,,Closed</t>
  </si>
  <si>
    <t>22/09/2024 13:28,2-9435,Sale,Roti,10005,Roti Gandum Cokelat,,,1.000,19524.00,0.00,19524.00,0.00,19524.00,976.00,Dine In,Kedai,Temu Roti,Owner,,,,Closed</t>
  </si>
  <si>
    <t>22/09/2024 13:28,2-9435,Sale,Roti,10002,Roti Cranberry,,,1.000,18571.00,0.00,18571.00,0.00,18571.00,928.00,Dine In,Kedai,Temu Roti,Owner,,,,Closed</t>
  </si>
  <si>
    <t>22/09/2024 13:28,2-9435,Sale,Minuman,10057,Susu murni strawberry,,,1.000,19524.00,0.00,19524.00,0.00,19524.00,977.00,Dine In,Kedai,Temu Roti,Owner,,,Dingin,Closed</t>
  </si>
  <si>
    <t>22/09/2024 13:09,2-9434,Sale,Roti,10007,Roti cranberry 2 pcs,,,1.000,33810.00,0.00,33810.00,0.00,33810.00,1691.00,Dine In,Kedai,Temu Roti,Owner,,,,Closed</t>
  </si>
  <si>
    <t>22/09/2024 13:09,2-9434,Sale,Roti,10055,Roti Gandum Cokelat 2 pcs,,,1.000,34762.00,0.00,34762.00,0.00,34762.00,1738.00,Dine In,Kedai,Temu Roti,Owner,,,,Closed</t>
  </si>
  <si>
    <t>22/09/2024 13:09,2-9434,Sale,Roti,10000,Roti Bawang Saus Keju,,,1.000,29524.00,0.00,29524.00,0.00,29524.00,1476.00,Dine In,Kedai,Temu Roti,Owner,,,,Closed</t>
  </si>
  <si>
    <t>22/09/2024 13:09,2-9434,Sale,Minuman,10128,Es Kopi Susu,,,2.000,46666.00,0.00,46666.00,0.00,46666.00,2333.00,Dine In,Kedai,Temu Roti,Owner,,,,Closed</t>
  </si>
  <si>
    <t>22/09/2024 13:09,2-9434,Sale,Minuman,10107,Korean Mango Fresh Milk,,,1.000,26667.00,0.00,26667.00,0.00,26667.00,1333.00,Dine In,Kedai,Temu Roti,Owner,,,,Closed</t>
  </si>
  <si>
    <t>22/09/2024 13:03,2-9433,Sale,Roti,10000,Roti Bawang Saus Keju,,,1.000,29524.00,0.00,29524.00,0.00,29524.00,1476.00,Dine In,Kedai,Temu Roti,Owner,,,,Closed</t>
  </si>
  <si>
    <t>22/09/2024 13:03,2-9433,Sale,Roti,10055,Roti Gandum Cokelat 2 pcs,,,1.000,34762.00,0.00,34762.00,0.00,34762.00,1738.00,Dine In,Kedai,Temu Roti,Owner,,,,Closed</t>
  </si>
  <si>
    <t>22/09/2024 11:56,2-9432,Sale,Roti,10007,Roti cranberry 2 pcs,,,1.000,33810.00,0.00,33810.00,0.00,33810.00,1691.00,Dine In,Kedai,Temu Roti,Owner,,,,Closed</t>
  </si>
  <si>
    <t>22/09/2024 11:11,2-9431,Sale,Minuman,10128,Es Kopi Susu,,,1.000,23333.00,0.00,23333.00,0.00,23333.00,1167.00,Dine In,Kedai,Temu Roti,Owner,,,,Closed</t>
  </si>
  <si>
    <t>22/09/2024 11:11,2-9431,Sale,Minuman,10107,Korean Mango Fresh Milk,,,1.000,26667.00,0.00,26667.00,0.00,26667.00,1333.00,Dine In,Kedai,Temu Roti,Owner,,,,Closed</t>
  </si>
  <si>
    <t>22/09/2024 11:11,2-9431,Sale,Kudapan,10004,Tahu walik,,,1.000,25238.00,0.00,25238.00,0.00,25238.00,1262.00,Dine In,Kedai,Temu Roti,Owner,,,,Closed</t>
  </si>
  <si>
    <t>22/09/2024 11:07,2-9430,Sale,Minuman,10058,Susu murni ori,,,1.000,19524.00,0.00,19524.00,0.00,19524.00,976.00,Dine In,Kedai,Temu Roti,Owner,,,,Closed</t>
  </si>
  <si>
    <t>22/09/2024 11:07,2-9430,Sale,Minuman,10106,Korean Strawberry Fresh Milk,,,1.000,26667.00,0.00,26667.00,0.00,26667.00,1334.00,Dine In,Kedai,Temu Roti,Owner,,,,Closed</t>
  </si>
  <si>
    <t>22/09/2024 11:07,2-9430,Sale,Roti,10000,Roti Bawang Saus Keju,,,1.000,29524.00,0.00,29524.00,0.00,29524.00,1476.00,Dine In,Kedai,Temu Roti,Owner,,,,Closed</t>
  </si>
  <si>
    <t>22/09/2024 11:07,2-9430,Sale,Kudapan,10051,Tahu baso,,,1.000,25238.00,0.00,25238.00,0.00,25238.00,1262.00,Dine In,Kedai,Temu Roti,Owner,,,,Closed</t>
  </si>
  <si>
    <t>22/09/2024 11:07,2-9430,Sale,Hidangan Utama,10105,Beef Claypot Rice,,,1.000,38095.00,0.00,38095.00,0.00,38095.00,1904.00,Dine In,Kedai,Temu Roti,Owner,,,,Closed</t>
  </si>
  <si>
    <t>22/09/2024 10:29,2-9429,Sale,Roti,10007,Roti cranberry 2 pcs,,,1.000,33810.00,0.00,33810.00,0.00,33810.00,1691.00,Dine In,Kedai,Temu Roti,Owner,,,,Closed</t>
  </si>
  <si>
    <t>22/09/2024 10:29,2-9429,Sale,Roti,10002,Roti Cranberry,,,1.000,18571.00,0.00,18571.00,0.00,18571.00,928.00,Dine In,Kedai,Temu Roti,Owner,,,,Closed</t>
  </si>
  <si>
    <t>22/09/2024 10:29,2-9429,Sale,Minuman,10106,Korean Strawberry Fresh Milk,,,1.000,26667.00,0.00,26667.00,0.00,26667.00,1333.00,Dine In,Kedai,Temu Roti,Owner,,,,Closed</t>
  </si>
  <si>
    <t>22/09/2024 10:29,2-9429,Sale,Minuman,10107,Korean Mango Fresh Milk,,,1.000,26667.00,0.00,26667.00,0.00,26667.00,1334.00,Dine In,Kedai,Temu Roti,Owner,,,,Closed</t>
  </si>
  <si>
    <t>22/09/2024 10:29,2-9429,Sale,Minuman,10128,Es Kopi Susu,,,2.000,46666.00,0.00,46666.00,0.00,46666.00,2333.00,Dine In,Kedai,Temu Roti,Owner,,,,Closed</t>
  </si>
  <si>
    <t>22/09/2024 10:29,2-9429,Sale,Minuman,10069,Wedang hujan,,,1.000,24762.00,0.00,24762.00,0.00,24762.00,1238.00,Dine In,Kedai,Temu Roti,Owner,,,,Closed</t>
  </si>
  <si>
    <t>21/09/2024 20:22,2-9428,Sale,Minuman,10128,Es Kopi Susu,,,1.000,23333.00,0.00,23333.00,0.00,23333.00,1167.00,Dine In,Kedai,Temu Roti,Owner,,,,Closed</t>
  </si>
  <si>
    <t>21/09/2024 20:14,2-9427,Sale,Minuman,10123,Rempah Madu Dingin,,,1.000,21905.00,0.00,21905.00,0.00,21905.00,1095.00,Dine In,Kedai,Temu Roti,Owner,,,,Closed</t>
  </si>
  <si>
    <t>21/09/2024 20:08,2-9426,Sale,Minuman,10128,Es Kopi Susu,,,2.000,46666.00,0.00,46666.00,0.00,46666.00,2333.00,Dine In,Kedai,Temu Roti,Owner,,,,Closed</t>
  </si>
  <si>
    <t>21/09/2024 20:07,2-9425,Refund,Minuman,10128,Es Kopi Susu,,,-2.000,-46666.00,0.00,-46666.00,-0.00,-46666.00,-2333.00,Dine In,Kedai,Temu Roti,Owner,,,,Closed</t>
  </si>
  <si>
    <t>21/09/2024 20:07,2-9424,Sale,Minuman,10128,Es Kopi Susu,,,2.000,46666.00,0.00,46666.00,0.00,46666.00,2333.00,Dine In,Kedai,Temu Roti,Owner,,,,Closed</t>
  </si>
  <si>
    <t>21/09/2024 19:59,2-9423,Sale,Minuman,10128,Es Kopi Susu,,,1.000,23333.00,0.00,23333.00,0.00,23333.00,1167.00,Dine In,Kedai,Temu Roti,Owner,,,,Closed</t>
  </si>
  <si>
    <t>21/09/2024 19:59,2-9423,Sale,Minuman,10107,Korean Mango Fresh Milk,,,1.000,26667.00,0.00,26667.00,0.00,26667.00,1333.00,Dine In,Kedai,Temu Roti,Owner,,,,Closed</t>
  </si>
  <si>
    <t>21/09/2024 19:51,2-9422,Sale,Roti,10005,Roti Gandum Cokelat,,,1.000,19524.00,0.00,19524.00,0.00,19524.00,976.00,Dine In,Kedai,Temu Roti,Owner,,,,Closed</t>
  </si>
  <si>
    <t>21/09/2024 19:51,2-9422,Sale,Minuman,10128,Es Kopi Susu,,,1.000,23333.00,0.00,23333.00,0.00,23333.00,1167.00,Dine In,Kedai,Temu Roti,Owner,,,,Closed</t>
  </si>
  <si>
    <t>21/09/2024 19:16,2-9421,Sale,Roti,10033,Roti panggang sarikaya,,,1.000,21905.00,0.00,21905.00,0.00,21905.00,1095.00,Dine In,Kedai,Temu Roti,Owner,,,,Closed</t>
  </si>
  <si>
    <t>21/09/2024 19:15,2-9420,Sale,Roti,10000,Roti Bawang Saus Keju,,,1.000,29524.00,0.00,29524.00,0.00,29524.00,1476.00,Dine In,Kedai,Temu Roti,Owner,,,,Closed</t>
  </si>
  <si>
    <t>21/09/2024 19:11,2-9419,Sale,Minuman,10112,Air mineral,,,1.000,6667.00,0.00,6667.00,0.00,6667.00,333.00,Dine In,Kedai,Temu Roti,Owner,,,,Closed</t>
  </si>
  <si>
    <t>21/09/2024 18:22,2-9418,Sale,Minuman,10122,Rempah Madu Panas,,,1.000,21905.00,0.00,21905.00,0.00,21905.00,1095.00,Dine In,Kedai,Temu Roti,Owner,,,,Closed</t>
  </si>
  <si>
    <t>21/09/2024 18:22,2-9418,Sale,Roti,10055,Roti Gandum Cokelat 2 pcs,,,1.000,34762.00,0.00,34762.00,0.00,34762.00,1738.00,Dine In,Kedai,Temu Roti,Owner,,,,Closed</t>
  </si>
  <si>
    <t>21/09/2024 17:45,2-9417,Sale,Hidangan Utama,10012,Mie joglo,,,1.000,29524.00,0.00,29524.00,0.00,29524.00,1476.00,Dine In,Kedai,Temu Roti,Owner,,,,Closed</t>
  </si>
  <si>
    <t>21/09/2024 17:45,2-9417,Sale,Roti,10002,Roti Cranberry,,,1.000,18571.00,0.00,18571.00,0.00,18571.00,929.00,Dine In,Kedai,Temu Roti,Owner,,,,Closed</t>
  </si>
  <si>
    <t>21/09/2024 17:45,2-9417,Sale,Roti,10005,Roti Gandum Cokelat,,,1.000,19524.00,0.00,19524.00,0.00,19524.00,976.00,Dine In,Kedai,Temu Roti,Owner,,,,Closed</t>
  </si>
  <si>
    <t>21/09/2024 17:45,2-9417,Sale,Minuman,10118,Teh Tawar Panas,,,1.000,7143.00,0.00,7143.00,0.00,7143.00,357.00,Dine In,Kedai,Temu Roti,Owner,,,,Closed</t>
  </si>
  <si>
    <t>21/09/2024 17:45,2-9417,Sale,Minuman,10122,Rempah Madu Panas,,,1.000,21905.00,0.00,21905.00,0.00,21905.00,1095.00,Dine In,Kedai,Temu Roti,Owner,,,,Closed</t>
  </si>
  <si>
    <t>21/09/2024 17:26,2-9416,Sale,Minuman,10026,Es Kopi Lemon,,,1.000,21905.00,0.00,21905.00,0.00,21905.00,1095.00,Dine In,Kedai,Temu Roti,Owner,,,,Closed</t>
  </si>
  <si>
    <t>21/09/2024 17:26,2-9416,Sale,Roti,10033,Roti panggang sarikaya,,,1.000,21905.00,0.00,21905.00,0.00,21905.00,1096.00,Dine In,Kedai,Temu Roti,Owner,,,,Closed</t>
  </si>
  <si>
    <t>21/09/2024 17:26,2-9416,Sale,Minuman,10128,Es Kopi Susu,,,1.000,23333.00,0.00,23333.00,0.00,23333.00,1166.00,Dine In,Kedai,Temu Roti,Owner,,,,Closed</t>
  </si>
  <si>
    <t>21/09/2024 17:16,2-9415,Sale,Roti,10054,Roti toast eskrim,,,1.000,25238.00,0.00,25238.00,0.00,25238.00,1262.00,Dine In,Kedai,Temu Roti,Owner,,,,Closed</t>
  </si>
  <si>
    <t>21/09/2024 17:16,2-9415,Sale,Kudapan,10014,Tempe Mendoan,,,1.000,25238.00,0.00,25238.00,0.00,25238.00,1262.00,Dine In,Kedai,Temu Roti,Owner,,,,Closed</t>
  </si>
  <si>
    <t>21/09/2024 17:16,2-9415,Sale,Minuman,10119,Teh Tawar Dingin,,,1.000,7143.00,0.00,7143.00,0.00,7143.00,357.00,Dine In,Kedai,Temu Roti,Owner,,,,Closed</t>
  </si>
  <si>
    <t>21/09/2024 17:07,2-9414,Sale,Roti,10007,Roti cranberry 2 pcs,,,1.000,33810.00,0.00,33810.00,0.00,33810.00,1691.00,Dine In,Kedai,Temu Roti,Owner,,,,Closed</t>
  </si>
  <si>
    <t>21/09/2024 16:36,2-9413,Sale,Kudapan,10015,Tahu Lada Garam,,,1.000,25238.00,0.00,25238.00,0.00,25238.00,1262.00,Dine In,Kedai,Temu Roti,Owner,,,,Closed</t>
  </si>
  <si>
    <t>21/09/2024 16:36,2-9413,Sale,Minuman,10128,Es Kopi Susu,,,1.000,23333.00,0.00,23333.00,0.00,23333.00,1167.00,Dine In,Kedai,Temu Roti,Owner,,,,Closed</t>
  </si>
  <si>
    <t>21/09/2024 16:36,2-9413,Sale,Minuman,10123,Rempah Madu Dingin,,,1.000,21905.00,0.00,21905.00,0.00,21905.00,1095.00,Dine In,Kedai,Temu Roti,Owner,,,,Closed</t>
  </si>
  <si>
    <t>21/09/2024 16:36,2-9413,Sale,Roti,10002,Roti Cranberry,,,1.000,18571.00,0.00,18571.00,0.00,18571.00,928.00,Dine In,Kedai,Temu Roti,Owner,,,,Closed</t>
  </si>
  <si>
    <t>21/09/2024 16:36,2-9413,Sale,Roti,10005,Roti Gandum Cokelat,,,1.000,19524.00,0.00,19524.00,0.00,19524.00,977.00,Dine In,Kedai,Temu Roti,Owner,,,,Closed</t>
  </si>
  <si>
    <t>21/09/2024 16:25,2-9412,Sale,Minuman,10112,Air mineral,,,2.000,13334.00,0.00,13334.00,0.00,13334.00,667.00,Dine In,Kedai,Temu Roti,Owner,,,,Closed</t>
  </si>
  <si>
    <t>21/09/2024 16:03,2-9411,Sale,Roti,10007,Roti cranberry 2 pcs,,,1.000,33810.00,0.00,33810.00,0.00,33810.00,1691.00,Dine In,Kedai,Temu Roti,Owner,,,,Closed</t>
  </si>
  <si>
    <t>21/09/2024 15:36,2-9410,Sale,Roti,10002,Roti Cranberry,,,1.000,18571.00,0.00,18571.00,0.00,18571.00,929.00,Dine In,Kedai,Temu Roti,Owner,,,,Closed</t>
  </si>
  <si>
    <t>21/09/2024 15:36,2-9410,Sale,Roti,10033,Roti panggang sarikaya,,,1.000,21905.00,0.00,21905.00,0.00,21905.00,1095.00,Dine In,Kedai,Temu Roti,Owner,,,,Closed</t>
  </si>
  <si>
    <t>21/09/2024 15:36,2-9410,Sale,Minuman,10070,Wedang laut,,,1.000,24762.00,0.00,24762.00,0.00,24762.00,1238.00,Dine In,Kedai,Temu Roti,Owner,,,,Closed</t>
  </si>
  <si>
    <t>21/09/2024 15:36,2-9410,Sale,Hidangan Utama,10003,Nasi Goreng Temu,,,1.000,29524.00,0.00,29524.00,0.00,29524.00,1476.00,Dine In,Kedai,Temu Roti,Owner,,,,Closed</t>
  </si>
  <si>
    <t>21/09/2024 15:36,2-9410,Sale,Roti,10005,Roti Gandum Cokelat,,,1.000,19524.00,0.00,19524.00,0.00,19524.00,976.00,Dine In,Kedai,Temu Roti,Owner,,,,Closed</t>
  </si>
  <si>
    <t>21/09/2024 15:17,2-9409,Sale,Minuman,10125,Gula Asam Dingin,,,5.000,102380.00,0.00,102380.00,0.00,102380.00,5119.00,Dine In,Kedai,Temu Roti,Owner,,,,Closed</t>
  </si>
  <si>
    <t>21/09/2024 15:17,2-9409,Sale,Hidangan Utama,10053,Nasi telor,,,2.000,50476.00,0.00,50476.00,0.00,50476.00,2524.00,Dine In,Kedai,Temu Roti,Owner,,,,Closed</t>
  </si>
  <si>
    <t>21/09/2024 15:17,2-9409,Sale,Hidangan Utama,10104,Chicken Claypot Rice,,,1.000,34762.00,0.00,34762.00,0.00,34762.00,1738.00,Dine In,Kedai,Temu Roti,Owner,,,,Closed</t>
  </si>
  <si>
    <t>21/09/2024 15:17,2-9409,Sale,Roti,10033,Roti panggang sarikaya,,,1.000,21905.00,0.00,21905.00,0.00,21905.00,1095.00,Dine In,Kedai,Temu Roti,Owner,,,,Closed</t>
  </si>
  <si>
    <t>21/09/2024 15:17,2-9409,Sale,Minuman,10112,Air mineral,,,1.000,6667.00,0.00,6667.00,0.00,6667.00,334.00,Dine In,Kedai,Temu Roti,Owner,,,,Closed</t>
  </si>
  <si>
    <t>21/09/2024 15:17,2-9409,Sale,Roti,10007,Roti cranberry 2 pcs,,,1.000,33810.00,0.00,33810.00,0.00,33810.00,1690.00,Dine In,Kedai,Temu Roti,Owner,,,,Closed</t>
  </si>
  <si>
    <t>21/09/2024 15:17,2-9409,Sale,Minuman,10107,Korean Mango Fresh Milk,,,1.000,26667.00,0.00,26667.00,0.00,26667.00,1333.00,Dine In,Kedai,Temu Roti,Owner,,,,Closed</t>
  </si>
  <si>
    <t>21/09/2024 15:17,2-9409,Sale,Minuman,10106,Korean Strawberry Fresh Milk,,,1.000,26667.00,0.00,26667.00,0.00,26667.00,1334.00,Dine In,Kedai,Temu Roti,Owner,,,,Closed</t>
  </si>
  <si>
    <t>21/09/2024 15:17,2-9409,Sale,Roti,10005,Roti Gandum Cokelat,,,1.000,19524.00,0.00,19524.00,0.00,19524.00,977.00,Dine In,Kedai,Temu Roti,Owner,,,,Closed</t>
  </si>
  <si>
    <t>21/09/2024 15:16,2-9408,Sale,Kudapan,10014,Tempe Mendoan,,,1.000,25238.00,0.00,25238.00,0.00,25238.00,1262.00,Dine In,Kedai,Temu Roti,Owner,,,,Closed</t>
  </si>
  <si>
    <t>21/09/2024 13:48,2-9407,Sale,Kudapan,10014,Tempe Mendoan,,,1.000,25238.00,0.00,25238.00,0.00,25238.00,1262.00,Dine In,Kedai,Temu Roti,Owner,,,,Closed</t>
  </si>
  <si>
    <t>21/09/2024 13:48,2-9407,Sale,Roti,10054,Roti toast eskrim,,,2.000,50476.00,0.00,50476.00,0.00,50476.00,2524.00,Dine In,Kedai,Temu Roti,Owner,,,,Closed</t>
  </si>
  <si>
    <t>21/09/2024 13:48,2-9407,Sale,Minuman,10128,Es Kopi Susu,,,1.000,23333.00,0.00,23333.00,0.00,23333.00,1166.00,Dine In,Kedai,Temu Roti,Owner,,,,Closed</t>
  </si>
  <si>
    <t>21/09/2024 13:48,2-9407,Sale,Minuman,10121,Lemon Tea Dingin,,,1.000,19524.00,0.00,19524.00,0.00,19524.00,977.00,Dine In,Kedai,Temu Roti,Owner,,,,Closed</t>
  </si>
  <si>
    <t>21/09/2024 13:44,2-9406,Sale,Kudapan,10010,Pisang Goreng,,,2.000,50476.00,0.00,50476.00,0.00,50476.00,2524.00,Dine In,Kedai,Temu Roti,Owner,,,,Closed</t>
  </si>
  <si>
    <t>21/09/2024 13:44,2-9406,Sale,Kudapan,10015,Tahu Lada Garam,,,2.000,50476.00,0.00,50476.00,0.00,50476.00,2524.00,Dine In,Kedai,Temu Roti,Owner,,,,Closed</t>
  </si>
  <si>
    <t>21/09/2024 13:44,2-9406,Sale,Minuman,10128,Es Kopi Susu,,,6.000,139998.00,0.00,139998.00,0.00,139998.00,7000.00,Dine In,Kedai,Temu Roti,Owner,,,,Closed</t>
  </si>
  <si>
    <t>21/09/2024 13:44,2-9406,Sale,Minuman,10122,Rempah Madu Panas,,,5.000,109525.00,0.00,109525.00,0.00,109525.00,5476.00,Dine In,Kedai,Temu Roti,Owner,,,,Closed</t>
  </si>
  <si>
    <t>21/09/2024 13:44,2-9406,Sale,Minuman,10127,Kopi Tubruk Panas,,,3.000,55713.00,0.00,55713.00,0.00,55713.00,2785.00,Dine In,Kedai,Temu Roti,Owner,,,,Closed</t>
  </si>
  <si>
    <t>21/09/2024 13:44,2-9406,Sale,Minuman,10118,Teh Tawar Panas,,,1.000,7143.00,0.00,7143.00,0.00,7143.00,358.00,Dine In,Kedai,Temu Roti,Owner,,,,Closed</t>
  </si>
  <si>
    <t>21/09/2024 13:44,2-9406,Sale,Roti,10055,Roti Gandum Cokelat 2 pcs,,,1.000,34762.00,0.00,34762.00,0.00,34762.00,1738.00,Dine In,Kedai,Temu Roti,Owner,,,,Closed</t>
  </si>
  <si>
    <t>21/09/2024 13:44,2-9406,Sale,Minuman,10120,Lemon Tea Panas,,,2.000,39048.00,0.00,39048.00,0.00,39048.00,1952.00,Dine In,Kedai,Temu Roti,Owner,,,,Closed</t>
  </si>
  <si>
    <t>21/09/2024 13:44,2-9406,Sale,Kudapan,10011,Kentang Goreng,,,2.000,50476.00,0.00,50476.00,0.00,50476.00,2524.00,Dine In,Kedai,Temu Roti,Owner,,,,Closed</t>
  </si>
  <si>
    <t>21/09/2024 12:09,2-9405,Sale,Roti,10002,Roti Cranberry,,,1.000,18571.00,0.00,18571.00,0.00,18571.00,929.00,Take Away,Kedai,Temu Roti,Owner,,,,Closed</t>
  </si>
  <si>
    <t>21/09/2024 12:09,2-9405,Sale,Roti,10005,Roti Gandum Cokelat,,,1.000,19524.00,0.00,19524.00,0.00,19524.00,976.00,Take Away,Kedai,Temu Roti,Owner,,,,Closed</t>
  </si>
  <si>
    <t>21/09/2024 12:03,2-9404,Sale,Roti,10055,Roti Gandum Cokelat 2 pcs,,,1.000,34762.00,0.00,34762.00,0.00,34762.00,1738.00,Dine In,Kedai,Temu Roti,Owner,,,,Closed</t>
  </si>
  <si>
    <t>21/09/2024 11:46,2-9403,Sale,Roti,10002,Roti Cranberry,,,1.000,18571.00,0.00,18571.00,0.00,18571.00,929.00,Take Away,Kedai,Temu Roti,Owner,,,,Closed</t>
  </si>
  <si>
    <t>21/09/2024 11:46,2-9403,Sale,Roti,10005,Roti Gandum Cokelat,,,1.000,19524.00,0.00,19524.00,0.00,19524.00,976.00,Take Away,Kedai,Temu Roti,Owner,,,,Closed</t>
  </si>
  <si>
    <t>21/09/2024 11:39,2-9402,Sale,Roti,10007,Roti cranberry 2 pcs,,,1.000,33810.00,0.00,33810.00,0.00,33810.00,1691.00,Take Away,Kedai,Temu Roti,Owner,,,,Closed</t>
  </si>
  <si>
    <t>21/09/2024 11:24,2-9401,Sale,Hidangan Utama,10003,Nasi Goreng Temu,,,2.000,59048.00,0.00,59048.00,0.00,59048.00,2952.00,Take Away,Kedai,Temu Roti,Owner,,,,Closed</t>
  </si>
  <si>
    <t>21/09/2024 11:24,2-9401,Sale,Kudapan,10014,Tempe Mendoan,,,1.000,25238.00,0.00,25238.00,0.00,25238.00,1262.00,Take Away,Kedai,Temu Roti,Owner,,,,Closed</t>
  </si>
  <si>
    <t>21/09/2024 11:16,2-9400,Sale,Roti,10007,Roti cranberry 2 pcs,,,1.000,33810.00,0.00,33810.00,0.00,33810.00,1691.00,Dine In,Kedai,Temu Roti,Owner,,,,Closed</t>
  </si>
  <si>
    <t>21/09/2024 11:14,2-9399,Sale,Roti,10000,Roti Bawang Saus Keju,,,1.000,29524.00,0.00,29524.00,0.00,29524.00,1476.00,Take Away,Kedai,Temu Roti,Owner,,,,Closed</t>
  </si>
  <si>
    <t>21/09/2024 11:14,2-9399,Sale,Roti,10002,Roti Cranberry,,,1.000,18571.00,0.00,18571.00,0.00,18571.00,929.00,Take Away,Kedai,Temu Roti,Owner,,,,Closed</t>
  </si>
  <si>
    <t>21/09/2024 11:12,2-9398,Sale,Minuman,10067,Wedang angin,,,3.000,74286.00,0.00,74286.00,0.00,74286.00,3714.00,Dine In,Kedai,Temu Roti,Owner,,,,Closed</t>
  </si>
  <si>
    <t>21/09/2024 11:12,2-9398,Sale,Kudapan,10010,Pisang Goreng,,,1.000,25238.00,0.00,25238.00,0.00,25238.00,1262.00,Dine In,Kedai,Temu Roti,Owner,,,,Closed</t>
  </si>
  <si>
    <t>21/09/2024 11:12,2-9398,Sale,Minuman,10013,Kopi cur,,,1.000,23333.00,0.00,23333.00,0.00,23333.00,1167.00,Dine In,Kedai,Temu Roti,Owner,,,,Closed</t>
  </si>
  <si>
    <t>21/09/2024 11:12,2-9398,Sale,Minuman,10107,Korean Mango Fresh Milk,,,1.000,26667.00,0.00,26667.00,0.00,26667.00,1333.00,Dine In,Kedai,Temu Roti,Owner,,,,Closed</t>
  </si>
  <si>
    <t>21/09/2024 11:12,2-9398,Sale,Roti,10005,Roti Gandum Cokelat,,,1.000,19524.00,0.00,19524.00,0.00,19524.00,976.00,Dine In,Kedai,Temu Roti,Owner,,,,Closed</t>
  </si>
  <si>
    <t>21/09/2024 11:12,2-9398,Sale,Roti,10000,Roti Bawang Saus Keju,,,2.000,59048.00,0.00,59048.00,0.00,59048.00,2953.00,Dine In,Kedai,Temu Roti,Owner,,,,Closed</t>
  </si>
  <si>
    <t>21/09/2024 11:12,2-9398,Sale,Roti,10002,Roti Cranberry,,,1.000,18571.00,0.00,18571.00,0.00,18571.00,928.00,Dine In,Kedai,Temu Roti,Owner,,,,Closed</t>
  </si>
  <si>
    <t>21/09/2024 11:12,2-9398,Sale,Minuman,10058,Susu murni ori,,,1.000,19524.00,0.00,19524.00,0.00,19524.00,977.00,Dine In,Kedai,Temu Roti,Owner,,,,Closed</t>
  </si>
  <si>
    <t>21/09/2024 11:12,2-9398,Sale,Minuman,10079,Wedang angin (pack),,,8.000,114280.00,0.00,114280.00,0.00,114280.00,5714.00,Dine In,Kedai,Temu Roti,Owner,,,,Closed</t>
  </si>
  <si>
    <t>21/09/2024 10:50,2-9397,Sale,Roti,10007,Roti cranberry 2 pcs,,,1.000,33810.00,0.00,33810.00,0.00,33810.00,1691.00,Dine In,Kedai,Temu Roti,Owner,,,,Closed</t>
  </si>
  <si>
    <t>21/09/2024 10:50,2-9397,Sale,Roti,10002,Roti Cranberry,,,1.000,18571.00,0.00,18571.00,0.00,18571.00,928.00,Dine In,Kedai,Temu Roti,Owner,,,,Closed</t>
  </si>
  <si>
    <t>21/09/2024 10:50,2-9397,Sale,Kudapan,10011,Kentang Goreng,,,1.000,25238.00,0.00,25238.00,0.00,25238.00,1262.00,Dine In,Kedai,Temu Roti,Owner,,,,Closed</t>
  </si>
  <si>
    <t>21/09/2024 10:50,2-9397,Sale,Minuman,10128,Es Kopi Susu,,,1.000,23333.00,0.00,23333.00,0.00,23333.00,1167.00,Dine In,Kedai,Temu Roti,Owner,,,,Closed</t>
  </si>
  <si>
    <t>21/09/2024 10:50,2-9397,Sale,Minuman,10063,Wedang Bulan,,,1.000,24762.00,0.00,24762.00,0.00,24762.00,1238.00,Dine In,Kedai,Temu Roti,Owner,,,,Closed</t>
  </si>
  <si>
    <t>20/09/2024 21:01,2-9396,Sale,Roti,10055,Roti Gandum Cokelat 2 pcs,,,1.000,34762.00,0.00,34762.00,0.00,34762.00,1738.00,Dine In,Kedai,Temu Roti,Owner,,,,Closed</t>
  </si>
  <si>
    <t>20/09/2024 21:01,2-9396,Sale,Roti,10000,Roti Bawang Saus Keju,,,2.000,59048.00,0.00,59048.00,0.00,59048.00,2953.00,Dine In,Kedai,Temu Roti,Owner,,,,Closed</t>
  </si>
  <si>
    <t>20/09/2024 18:21,2-9395,Sale,Minuman,10106,Korean Strawberry Fresh Milk,,,1.000,26667.00,0.00,26667.00,0.00,26667.00,1333.00,Dine In,Kedai,Temu Roti,Owner,,,,Closed</t>
  </si>
  <si>
    <t>20/09/2024 18:21,2-9395,Sale,Minuman,10112,Air mineral,,,1.000,6667.00,0.00,6667.00,0.00,6667.00,334.00,Dine In,Kedai,Temu Roti,Owner,,,,Closed</t>
  </si>
  <si>
    <t>20/09/2024 18:21,2-9395,Sale,Minuman,10112,Air mineral,,,1.000,6667.00,0.00,6667.00,0.00,6667.00,333.00,Dine In,Kedai,Temu Roti,Owner,,,,Closed</t>
  </si>
  <si>
    <t>20/09/2024 18:21,2-9395,Sale,Kudapan,10015,Tahu Lada Garam,,,1.000,25238.00,0.00,25238.00,0.00,25238.00,1262.00,Dine In,Kedai,Temu Roti,Owner,,,,Closed</t>
  </si>
  <si>
    <t>20/09/2024 18:04,2-9394,Sale,Roti,10002,Roti Cranberry,,,1.000,18571.00,0.00,18571.00,0.00,18571.00,929.00,Dine In,Kedai,Temu Roti,Owner,,,,Closed</t>
  </si>
  <si>
    <t>20/09/2024 18:04,2-9394,Sale,Roti,10055,Roti Gandum Cokelat 2 pcs,,,1.000,34762.00,0.00,34762.00,0.00,34762.00,1738.00,Dine In,Kedai,Temu Roti,Owner,,,,Closed</t>
  </si>
  <si>
    <t>20/09/2024 18:04,2-9394,Sale,Roti,10005,Roti Gandum Cokelat,,,1.000,19524.00,0.00,19524.00,0.00,19524.00,976.00,Dine In,Kedai,Temu Roti,Owner,,,,Closed</t>
  </si>
  <si>
    <t>20/09/2024 14:58,2-9393,Sale,Roti,10000,Roti Bawang Saus Keju,,,1.000,29524.00,0.00,29524.00,0.00,29524.00,1476.00,Dine In,Kedai,Temu Roti,Owner,,,,Closed</t>
  </si>
  <si>
    <t>20/09/2024 14:58,2-9393,Sale,Roti,10055,Roti Gandum Cokelat 2 pcs,,,1.000,34762.00,0.00,34762.00,0.00,34762.00,1738.00,Dine In,Kedai,Temu Roti,Owner,,,,Closed</t>
  </si>
  <si>
    <t>20/09/2024 14:58,2-9393,Sale,Minuman,10128,Es Kopi Susu,,,1.000,23333.00,0.00,23333.00,0.00,23333.00,1167.00,Dine In,Kedai,Temu Roti,Owner,,,,Closed</t>
  </si>
  <si>
    <t>20/09/2024 14:58,2-9393,Sale,Kudapan,10014,Tempe Mendoan,,,1.000,25238.00,0.00,25238.00,0.00,25238.00,1262.00,Dine In,Kedai,Temu Roti,Owner,,,,Closed</t>
  </si>
  <si>
    <t>20/09/2024 14:58,2-9393,Sale,Roti,10007,Roti cranberry 2 pcs,,,1.000,33810.00,0.00,33810.00,0.00,33810.00,1690.00,Dine In,Kedai,Temu Roti,Owner,,,,Closed</t>
  </si>
  <si>
    <t>20/09/2024 14:58,2-9393,Sale,Minuman,10117,Teh Manis Dingin,,,1.000,14286.00,0.00,14286.00,0.00,14286.00,715.00,Dine In,Kedai,Temu Roti,Owner,,,,Closed</t>
  </si>
  <si>
    <t>20/09/2024 14:58,2-9393,Sale,Hidangan Utama,10003,Nasi Goreng Temu,,,1.000,29524.00,0.00,29524.00,0.00,29524.00,1476.00,Dine In,Kedai,Temu Roti,Owner,,,,Closed</t>
  </si>
  <si>
    <t>20/09/2024 14:58,2-9393,Sale,Minuman,10112,Air mineral,,,1.000,6667.00,0.00,6667.00,0.00,6667.00,333.00,Dine In,Kedai,Temu Roti,Owner,,,,Closed</t>
  </si>
  <si>
    <t>20/09/2024 14:49,2-9392,Sale,Minuman,10112,Air mineral,,,2.000,13334.00,0.00,13334.00,0.00,13334.00,667.00,Dine In,Kedai,Temu Roti,Owner,,,,Closed</t>
  </si>
  <si>
    <t>20/09/2024 14:49,2-9392,Sale,Kudapan,10014,Tempe Mendoan,,,1.000,25238.00,0.00,25238.00,0.00,25238.00,1262.00,Dine In,Kedai,Temu Roti,Owner,,,,Closed</t>
  </si>
  <si>
    <t>20/09/2024 14:49,2-9392,Sale,Kudapan,10015,Tahu Lada Garam,,,1.000,25238.00,0.00,25238.00,0.00,25238.00,1262.00,Dine In,Kedai,Temu Roti,Owner,,,,Closed</t>
  </si>
  <si>
    <t>20/09/2024 14:49,2-9392,Sale,Kudapan,10011,Kentang Goreng,,,1.000,25238.00,0.00,25238.00,0.00,25238.00,1261.00,Dine In,Kedai,Temu Roti,Owner,,,,Closed</t>
  </si>
  <si>
    <t>20/09/2024 14:49,2-9392,Sale,Roti,10055,Roti Gandum Cokelat 2 pcs,,,1.000,34762.00,0.00,34762.00,0.00,34762.00,1739.00,Dine In,Kedai,Temu Roti,Owner,,,,Closed</t>
  </si>
  <si>
    <t>20/09/2024 14:49,2-9392,Sale,Roti,10000,Roti Bawang Saus Keju,,,1.000,29524.00,0.00,29524.00,0.00,29524.00,1476.00,Dine In,Kedai,Temu Roti,Owner,,,,Closed</t>
  </si>
  <si>
    <t>20/09/2024 14:49,2-9392,Sale,Minuman,10128,Es Kopi Susu,,,4.000,93332.00,0.00,93332.00,0.00,93332.00,4666.00,Dine In,Kedai,Temu Roti,Owner,,,,Closed</t>
  </si>
  <si>
    <t>20/09/2024 14:49,2-9392,Sale,Minuman,10026,Es Kopi Lemon,,,1.000,21905.00,0.00,21905.00,0.00,21905.00,1096.00,Dine In,Kedai,Temu Roti,Owner,,,,Closed</t>
  </si>
  <si>
    <t>20/09/2024 14:49,2-9392,Sale,Roti,10007,Roti cranberry 2 pcs,,,1.000,33810.00,0.00,33810.00,0.00,33810.00,1690.00,Dine In,Kedai,Temu Roti,Owner,,,,Closed</t>
  </si>
  <si>
    <t>20/09/2024 14:43,2-9391,Sale,Kudapan,10015,Tahu Lada Garam,,,1.000,25238.00,0.00,25238.00,0.00,25238.00,1262.00,Dine In,Kedai,Temu Roti,Owner,,,,Closed</t>
  </si>
  <si>
    <t>20/09/2024 14:30,2-9390,Sale,Minuman,10112,Air mineral,,,1.000,6667.00,0.00,6667.00,0.00,6667.00,333.00,Dine In,Kedai,Temu Roti,Owner,,,,Closed</t>
  </si>
  <si>
    <t>20/09/2024 14:25,2-9389,Sale,Roti,10007,Roti cranberry 2 pcs,,,1.000,33810.00,0.00,33810.00,0.00,33810.00,1691.00,Dine In,Kedai,Temu Roti,Owner,,,,Closed</t>
  </si>
  <si>
    <t>20/09/2024 14:09,2-9388,Sale,Hidangan Utama,10105,Beef Claypot Rice,,,1.000,38095.00,0.00,38095.00,0.00,38095.00,1905.00,Dine In,Kedai,Temu Roti,Owner,,,,Closed</t>
  </si>
  <si>
    <t>20/09/2024 14:09,2-9388,Sale,Hidangan Utama,10003,Nasi Goreng Temu,,,1.000,29524.00,0.00,29524.00,0.00,29524.00,1476.00,Dine In,Kedai,Temu Roti,Owner,,,,Closed</t>
  </si>
  <si>
    <t>20/09/2024 14:09,2-9388,Sale,Minuman,10118,Teh Tawar Panas,,,1.000,7143.00,0.00,7143.00,0.00,7143.00,357.00,Dine In,Kedai,Temu Roti,Owner,,,,Closed</t>
  </si>
  <si>
    <t>20/09/2024 14:09,2-9388,Sale,Minuman,10121,Lemon Tea Dingin,,,1.000,19524.00,0.00,19524.00,0.00,19524.00,976.00,Dine In,Kedai,Temu Roti,Owner,,,,Closed</t>
  </si>
  <si>
    <t>20/09/2024 14:09,2-9388,Sale,Kudapan,10015,Tahu Lada Garam,,,1.000,25238.00,0.00,25238.00,0.00,25238.00,1262.00,Dine In,Kedai,Temu Roti,Owner,,,,Closed</t>
  </si>
  <si>
    <t>20/09/2024 14:07,2-9387,Sale,Minuman,10128,Es Kopi Susu,,,1.000,23333.00,0.00,23333.00,0.00,23333.00,1167.00,Dine In,Kedai,Temu Roti,Owner,,,,Closed</t>
  </si>
  <si>
    <t>20/09/2024 14:07,2-9387,Sale,Kudapan,10010,Pisang Goreng,,,1.000,25238.00,0.00,25238.00,0.00,25238.00,1262.00,Dine In,Kedai,Temu Roti,Owner,,,,Closed</t>
  </si>
  <si>
    <t>20/09/2024 12:46,2-9386,Sale,Minuman,10128,Es Kopi Susu,,,1.000,23333.00,0.00,23333.00,0.00,23333.00,1167.00,Dine In,Kedai,Temu Roti,Owner,,,,Closed</t>
  </si>
  <si>
    <t>20/09/2024 12:37,2-9385,Sale,Roti,10002,Roti Cranberry,,,1.000,18571.00,0.00,18571.00,0.00,18571.00,929.00,Take Away,Kedai,Temu Roti,Owner,,,,Closed</t>
  </si>
  <si>
    <t>20/09/2024 12:37,2-9385,Sale,Roti,10005,Roti Gandum Cokelat,,,1.000,19524.00,0.00,19524.00,0.00,19524.00,976.00,Take Away,Kedai,Temu Roti,Owner,,,,Closed</t>
  </si>
  <si>
    <t>20/09/2024 12:35,2-9384,Sale,Kudapan,10051,Tahu baso,,,1.000,25238.00,0.00,25238.00,0.00,25238.00,1262.00,Dine In,Kedai,Temu Roti,Owner,,,,Closed</t>
  </si>
  <si>
    <t>20/09/2024 12:35,2-9384,Sale,Minuman,10122,Rempah Madu Panas,,,1.000,21905.00,0.00,21905.00,0.00,21905.00,1095.00,Dine In,Kedai,Temu Roti,Owner,,,,Closed</t>
  </si>
  <si>
    <t>20/09/2024 12:11,2-9383,Sale,Hidangan Utama,10105,Beef Claypot Rice,,,2.000,76190.00,0.00,76190.00,0.00,76190.00,3810.00,Dine In,Kedai,Temu Roti,Owner,,,,Closed</t>
  </si>
  <si>
    <t>20/09/2024 12:11,2-9383,Sale,Minuman,10125,Gula Asam Dingin,,,1.000,20476.00,0.00,20476.00,0.00,20476.00,1023.00,Dine In,Kedai,Temu Roti,Owner,,,,Closed</t>
  </si>
  <si>
    <t>20/09/2024 12:11,2-9383,Sale,Minuman,10123,Rempah Madu Dingin,,,1.000,21905.00,0.00,21905.00,0.00,21905.00,1096.00,Dine In,Kedai,Temu Roti,Owner,,,,Closed</t>
  </si>
  <si>
    <t>20/09/2024 10:08,2-9382,Sale,Roti,10054,Roti toast eskrim,,,1.000,25238.00,0.00,25238.00,0.00,25238.00,1262.00,Dine In,Kedai,Temu Roti,Owner,,,,Closed</t>
  </si>
  <si>
    <t>20/09/2024 10:08,2-9382,Sale,Roti,10002,Roti Cranberry,,,1.000,18571.00,0.00,18571.00,0.00,18571.00,928.00,Dine In,Kedai,Temu Roti,Owner,,,,Closed</t>
  </si>
  <si>
    <t>20/09/2024 10:08,2-9382,Sale,Minuman,10128,Es Kopi Susu,,,1.000,23333.00,0.00,23333.00,0.00,23333.00,1167.00,Dine In,Kedai,Temu Roti,Owner,,,,Closed</t>
  </si>
  <si>
    <t>20/09/2024 10:08,2-9382,Sale,Minuman,10127,Kopi Tubruk Panas,,,1.000,18571.00,0.00,18571.00,0.00,18571.00,929.00,Dine In,Kedai,Temu Roti,Owner,,,,Closed</t>
  </si>
  <si>
    <t>20/09/2024 10:01,2-9381,Sale,Minuman,10117,Teh Manis Dingin,,,1.000,14286.00,0.00,14286.00,0.00,14286.00,714.00,Dine In,Kedai,Temu Roti,Owner,,,,Closed</t>
  </si>
  <si>
    <t>20/09/2024 09:32,2-9380,Sale,Roti,10033,Roti panggang sarikaya,,,1.000,21905.00,0.00,21905.00,0.00,21905.00,1095.00,Dine In,Kedai,Temu Roti,Owner,,,,Closed</t>
  </si>
  <si>
    <t>20/09/2024 09:32,2-9380,Sale,Minuman,10130,Kopi Susu Panas,,,1.000,23333.00,0.00,23333.00,0.00,23333.00,1167.00,Dine In,Kedai,Temu Roti,Owner,,,,Closed</t>
  </si>
  <si>
    <t>19/09/2024 21:03,2-9379,Sale,Roti,10055,Roti Gandum Cokelat 2 pcs,,,1.000,34762.00,0.00,34762.00,0.00,34762.00,1738.00,Dine In,Kedai,Temu Roti,Owner,,,,Closed</t>
  </si>
  <si>
    <t>19/09/2024 21:03,2-9379,Sale,Roti,10000,Roti Bawang Saus Keju,,,1.000,29524.00,0.00,29524.00,0.00,29524.00,1476.00,Dine In,Kedai,Temu Roti,Owner,,,,Closed</t>
  </si>
  <si>
    <t>19/09/2024 21:03,2-9379,Sale,Minuman,10057,Susu murni strawberry,,,2.000,39048.00,0.00,39048.00,0.00,39048.00,1953.00,Dine In,Kedai,Temu Roti,Owner,,,,Closed</t>
  </si>
  <si>
    <t>19/09/2024 21:03,2-9379,Sale,Minuman,10056,Susu murni moca,,,1.000,19524.00,0.00,19524.00,0.00,19524.00,976.00,Dine In,Kedai,Temu Roti,Owner,,,,Closed</t>
  </si>
  <si>
    <t>19/09/2024 21:03,2-9379,Sale,Roti,10002,Roti Cranberry,,,1.000,18571.00,0.00,18571.00,0.00,18571.00,928.00,Dine In,Kedai,Temu Roti,Owner,,,,Closed</t>
  </si>
  <si>
    <t>19/09/2024 21:03,2-9379,Sale,Roti,10055,Roti Gandum Cokelat 2 pcs,,,1.000,34762.00,0.00,34762.00,0.00,34762.00,1739.00,Dine In,Kedai,Temu Roti,Owner,,,,Closed</t>
  </si>
  <si>
    <t>19/09/2024 20:52,2-9378,Sale,Roti,10007,Roti cranberry 2 pcs,,,1.000,33810.00,0.00,33810.00,0.00,33810.00,1691.00,Dine In,Kedai,Temu Roti,Owner,,,,Closed</t>
  </si>
  <si>
    <t>19/09/2024 20:52,2-9378,Sale,Roti,10005,Roti Gandum Cokelat,,,1.000,19524.00,0.00,19524.00,0.00,19524.00,976.00,Dine In,Kedai,Temu Roti,Owner,,,,Closed</t>
  </si>
  <si>
    <t>19/09/2024 20:52,2-9378,Sale,Roti,10000,Roti Bawang Saus Keju,,,1.000,29524.00,0.00,29524.00,0.00,29524.00,1476.00,Dine In,Kedai,Temu Roti,Owner,,,,Closed</t>
  </si>
  <si>
    <t>19/09/2024 20:51,2-9377,Sale,Hidangan Utama,10012,Mie joglo,,,1.000,29524.00,0.00,29524.00,0.00,29524.00,1476.00,Dine In,Kedai,Temu Roti,Owner,,,,Closed</t>
  </si>
  <si>
    <t>19/09/2024 18:59,2-9376,Sale,Roti,10005,Roti Gandum Cokelat,,,1.000,19524.00,0.00,19524.00,0.00,19524.00,976.00,Dine In,Kedai,Temu Roti,Owner,,,,Closed</t>
  </si>
  <si>
    <t>19/09/2024 18:59,2-9376,Sale,Roti,10000,Roti Bawang Saus Keju,,,1.000,29524.00,0.00,29524.00,0.00,29524.00,1476.00,Dine In,Kedai,Temu Roti,Owner,,,,Closed</t>
  </si>
  <si>
    <t>19/09/2024 15:36,2-9375,Sale,Roti,10000,Roti Bawang Saus Keju,,,1.000,29524.00,0.00,29524.00,0.00,29524.00,1476.00,Dine In,Kedai,Temu Roti,Owner,,,,Closed</t>
  </si>
  <si>
    <t>19/09/2024 14:42,2-9374,Sale,Roti,10002,Roti Cranberry,,,1.000,18571.00,0.00,18571.00,0.00,18571.00,929.00,Dine In,Kedai,Temu Roti,Owner,,,,Closed</t>
  </si>
  <si>
    <t>19/09/2024 14:42,2-9374,Sale,Roti,10005,Roti Gandum Cokelat,,,1.000,19524.00,0.00,19524.00,0.00,19524.00,976.00,Dine In,Kedai,Temu Roti,Owner,,,,Closed</t>
  </si>
  <si>
    <t>19/09/2024 13:46,2-9373,Sale,Roti,10000,Roti Bawang Saus Keju,,,1.000,29524.00,0.00,29524.00,0.00,29524.00,1476.00,Dine In,Kedai,Temu Roti,Owner,,,,Closed</t>
  </si>
  <si>
    <t>19/09/2024 13:46,2-9373,Sale,Roti,10002,Roti Cranberry,,,1.000,18571.00,0.00,18571.00,0.00,18571.00,929.00,Dine In,Kedai,Temu Roti,Owner,,,,Closed</t>
  </si>
  <si>
    <t>19/09/2024 13:46,2-9373,Sale,Roti,10005,Roti Gandum Cokelat,,,1.000,19524.00,0.00,19524.00,0.00,19524.00,976.00,Dine In,Kedai,Temu Roti,Owner,,,,Closed</t>
  </si>
  <si>
    <t>19/09/2024 13:29,2-9372,Sale,Hidangan Utama,10104,Chicken Claypot Rice,,,1.000,34762.00,0.00,34762.00,0.00,34762.00,1738.00,Dine In,Kedai,Temu Roti,Owner,,,,Closed</t>
  </si>
  <si>
    <t>19/09/2024 13:29,2-9372,Sale,Minuman,10106,Korean Strawberry Fresh Milk,,,2.000,53334.00,0.00,53334.00,0.00,53334.00,2667.00,Dine In,Kedai,Temu Roti,Owner,,,,Closed</t>
  </si>
  <si>
    <t>19/09/2024 13:29,2-9372,Sale,Minuman,10112,Air mineral,,,2.000,13334.00,0.00,13334.00,0.00,13334.00,667.00,Dine In,Kedai,Temu Roti,Owner,,,,Closed</t>
  </si>
  <si>
    <t>19/09/2024 13:29,2-9372,Sale,Hidangan Utama,10105,Beef Claypot Rice,,,2.000,76190.00,0.00,76190.00,0.00,76190.00,3809.00,Dine In,Kedai,Temu Roti,Owner,,,,Closed</t>
  </si>
  <si>
    <t>19/09/2024 13:29,2-9372,Sale,Hidangan Utama,10003,Nasi Goreng Temu,,,3.000,88572.00,0.00,88572.00,0.00,88572.00,4429.00,Dine In,Kedai,Temu Roti,Owner,,,,Closed</t>
  </si>
  <si>
    <t>19/09/2024 13:29,2-9372,Sale,Minuman,10128,Es Kopi Susu,,,5.000,116665.00,0.00,116665.00,0.00,116665.00,5833.00,Dine In,Kedai,Temu Roti,Owner,,,,Closed</t>
  </si>
  <si>
    <t>19/09/2024 11:14,2-9371,Sale,Hidangan Utama,10003,Nasi Goreng Temu,,,1.000,29524.00,0.00,29524.00,0.00,29524.00,1476.00,Dine In,Kedai,Temu Roti,Owner,,,,Closed</t>
  </si>
  <si>
    <t>19/09/2024 11:14,2-9371,Sale,Minuman,10128,Es Kopi Susu,,,1.000,23333.00,0.00,23333.00,0.00,23333.00,1167.00,Dine In,Kedai,Temu Roti,Owner,,,,Closed</t>
  </si>
  <si>
    <t>18/09/2024 19:23,2-9370,Sale,Minuman,10119,Teh Tawar Dingin,,,1.000,7143.00,0.00,7143.00,0.00,7143.00,357.00,Dine In,Kedai,Temu Roti,Owner,,,,Closed</t>
  </si>
  <si>
    <t>18/09/2024 19:23,2-9370,Sale,Minuman,10058,Susu murni ori,,,1.000,19524.00,0.00,19524.00,0.00,19524.00,976.00,Dine In,Kedai,Temu Roti,Owner,,,,Closed</t>
  </si>
  <si>
    <t>18/09/2024 19:23,2-9370,Sale,Kudapan,10015,Tahu Lada Garam,,,1.000,25238.00,0.00,25238.00,0.00,25238.00,1262.00,Dine In,Kedai,Temu Roti,Owner,,,,Closed</t>
  </si>
  <si>
    <t>18/09/2024 17:26,2-9369,Sale,Roti,10055,Roti Gandum Cokelat 2 pcs,,,1.000,34762.00,0.00,34762.00,0.00,34762.00,1738.00,Dine In,Kedai,Temu Roti,Owner,,,,Closed</t>
  </si>
  <si>
    <t>18/09/2024 16:45,2-9368,Sale,Roti,10002,Roti Cranberry,,,1.000,18571.00,0.00,18571.00,0.00,18571.00,929.00,Dine In,Kedai,Temu Roti,Owner,,,,Closed</t>
  </si>
  <si>
    <t>18/09/2024 16:45,2-9368,Sale,Roti,10005,Roti Gandum Cokelat,,,1.000,19524.00,0.00,19524.00,0.00,19524.00,976.00,Dine In,Kedai,Temu Roti,Owner,,,,Closed</t>
  </si>
  <si>
    <t>18/09/2024 16:35,2-9367,Sale,Roti,10000,Roti Bawang Saus Keju,,,1.000,29524.00,0.00,29524.00,0.00,29524.00,1476.00,Dine In,Kedai,Temu Roti,Owner,,,,Closed</t>
  </si>
  <si>
    <t>18/09/2024 16:35,2-9367,Sale,Roti,10034,Roti panggang coklat,,,1.000,21905.00,0.00,21905.00,0.00,21905.00,1095.00,Dine In,Kedai,Temu Roti,Owner,,,,Closed</t>
  </si>
  <si>
    <t>18/09/2024 16:35,2-9367,Sale,Kudapan,10051,Tahu baso,,,1.000,25238.00,0.00,25238.00,0.00,25238.00,1262.00,Dine In,Kedai,Temu Roti,Owner,,,,Closed</t>
  </si>
  <si>
    <t>18/09/2024 16:35,2-9367,Sale,Minuman,10117,Teh Manis Dingin,,,1.000,14286.00,0.00,14286.00,0.00,14286.00,715.00,Dine In,Kedai,Temu Roti,Owner,,,,Closed</t>
  </si>
  <si>
    <t>18/09/2024 16:35,2-9367,Sale,Minuman,10128,Es Kopi Susu,,,1.000,23333.00,0.00,23333.00,0.00,23333.00,1166.00,Dine In,Kedai,Temu Roti,Owner,,,,Closed</t>
  </si>
  <si>
    <t>18/09/2024 16:31,2-9366,Sale,Roti,10007,Roti cranberry 2 pcs,,,1.000,33810.00,0.00,33810.00,0.00,33810.00,1691.00,Dine In,Kedai,Temu Roti,Owner,,,,Closed</t>
  </si>
  <si>
    <t>18/09/2024 16:31,2-9366,Sale,Minuman,10128,Es Kopi Susu,,,1.000,23333.00,0.00,23333.00,0.00,23333.00,1166.00,Dine In,Kedai,Temu Roti,Owner,,,,Closed</t>
  </si>
  <si>
    <t>18/09/2024 16:31,2-9366,Sale,Minuman,10107,Korean Mango Fresh Milk,,,1.000,26667.00,0.00,26667.00,0.00,26667.00,1334.00,Dine In,Kedai,Temu Roti,Owner,,,,Closed</t>
  </si>
  <si>
    <t>18/09/2024 16:12,2-9365,Sale,Roti,10000,Roti Bawang Saus Keju,,,1.000,29524.00,0.00,29524.00,0.00,29524.00,1476.00,Dine In,Kedai,Temu Roti,Owner,,,,Closed</t>
  </si>
  <si>
    <t>18/09/2024 16:12,2-9365,Sale,Kudapan,10010,Pisang Goreng,,,1.000,25238.00,0.00,25238.00,0.00,25238.00,1262.00,Dine In,Kedai,Temu Roti,Owner,,,,Closed</t>
  </si>
  <si>
    <t>18/09/2024 16:12,2-9365,Sale,Kudapan,10015,Tahu Lada Garam,,,1.000,25238.00,0.00,25238.00,0.00,25238.00,1262.00,Dine In,Kedai,Temu Roti,Owner,,,,Closed</t>
  </si>
  <si>
    <t>18/09/2024 16:12,2-9365,Sale,Kudapan,10014,Tempe Mendoan,,,1.000,25238.00,0.00,25238.00,0.00,25238.00,1262.00,Dine In,Kedai,Temu Roti,Owner,,,,Closed</t>
  </si>
  <si>
    <t>18/09/2024 16:07,2-9364,Sale,Roti,10002,Roti Cranberry,,,1.000,18571.00,0.00,18571.00,0.00,18571.00,929.00,Dine In,Kedai,Temu Roti,Owner,,,,Closed</t>
  </si>
  <si>
    <t>18/09/2024 15:22,2-9363,Sale,Minuman,10128,Es Kopi Susu,,,1.000,23333.00,0.00,23333.00,0.00,23333.00,1167.00,Dine In,Kedai,Temu Roti,Owner,,,,Closed</t>
  </si>
  <si>
    <t>18/09/2024 15:02,2-9362,Sale,Roti,10002,Roti Cranberry,,,1.000,18571.00,0.00,18571.00,0.00,18571.00,929.00,Dine In,Kedai,Temu Roti,Owner,,,,Closed</t>
  </si>
  <si>
    <t>18/09/2024 15:02,2-9362,Sale,Roti,10005,Roti Gandum Cokelat,,,1.000,19524.00,0.00,19524.00,0.00,19524.00,976.00,Dine In,Kedai,Temu Roti,Owner,,,,Closed</t>
  </si>
  <si>
    <t>18/09/2024 14:50,2-9361,Sale,Minuman,10067,Wedang angin,,,1.000,24762.00,0.00,24762.00,0.00,24762.00,1238.00,Dine In,Kedai,Temu Roti,Owner,,,,Closed</t>
  </si>
  <si>
    <t>18/09/2024 14:29,2-9360,Sale,Minuman,10069,Wedang hujan,,,1.000,24762.00,0.00,24762.00,0.00,24762.00,1238.00,Dine In,Kedai,Temu Roti,Owner,,,,Closed</t>
  </si>
  <si>
    <t>18/09/2024 14:29,2-9360,Sale,Minuman,10063,Wedang Bulan,,,1.000,24762.00,0.00,24762.00,0.00,24762.00,1238.00,Dine In,Kedai,Temu Roti,Owner,,,,Closed</t>
  </si>
  <si>
    <t>18/09/2024 14:29,2-9360,Sale,Roti,10000,Roti Bawang Saus Keju,,,1.000,29524.00,0.00,29524.00,0.00,29524.00,1476.00,Dine In,Kedai,Temu Roti,Owner,,,,Closed</t>
  </si>
  <si>
    <t>18/09/2024 13:51,2-9359,Sale,Kudapan,10051,Tahu baso,,,1.000,25238.00,0.00,25238.00,0.00,25238.00,1262.00,Dine In,Kedai,Temu Roti,Owner,,,,Closed</t>
  </si>
  <si>
    <t>18/09/2024 13:51,2-9359,Sale,Roti,10007,Roti cranberry 2 pcs,,,1.000,33810.00,0.00,33810.00,0.00,33810.00,1690.00,Dine In,Kedai,Temu Roti,Owner,,,,Closed</t>
  </si>
  <si>
    <t>18/09/2024 13:50,2-9358,Sale,Roti,10007,Roti cranberry 2 pcs,,,1.000,33810.00,0.00,33810.00,0.00,33810.00,1691.00,Dine In,Kedai,Temu Roti,Owner,,,,Closed</t>
  </si>
  <si>
    <t>18/09/2024 13:50,2-9358,Sale,Minuman,10128,Es Kopi Susu,,,1.000,23333.00,0.00,23333.00,0.00,23333.00,1166.00,Dine In,Kedai,Temu Roti,Owner,,,,Closed</t>
  </si>
  <si>
    <t>18/09/2024 13:28,2-9357,Sale,Kudapan,10004,Tahu walik,,,1.000,25238.00,0.00,25238.00,0.00,25238.00,1262.00,Dine In,Kedai,Temu Roti,Owner,,,,Closed</t>
  </si>
  <si>
    <t>18/09/2024 13:28,2-9357,Sale,Minuman,10112,Air mineral,,,1.000,6667.00,0.00,6667.00,0.00,6667.00,333.00,Dine In,Kedai,Temu Roti,Owner,,,,Closed</t>
  </si>
  <si>
    <t>18/09/2024 13:28,2-9357,Sale,Minuman,10125,Gula Asam Dingin,,,1.000,20476.00,0.00,20476.00,0.00,20476.00,1024.00,Dine In,Kedai,Temu Roti,Owner,,,,Closed</t>
  </si>
  <si>
    <t>18/09/2024 13:28,2-9357,Sale,Minuman,10123,Rempah Madu Dingin,,,1.000,21905.00,0.00,21905.00,0.00,21905.00,1095.00,Dine In,Kedai,Temu Roti,Owner,,,,Closed</t>
  </si>
  <si>
    <t>18/09/2024 13:28,2-9357,Sale,Hidangan Utama,10012,Mie joglo,,,2.000,59048.00,0.00,59048.00,0.00,59048.00,2953.00,Dine In,Kedai,Temu Roti,Owner,,,,Closed</t>
  </si>
  <si>
    <t>18/09/2024 13:28,2-9357,Sale,Kudapan,10014,Tempe Mendoan,,,1.000,25238.00,0.00,25238.00,0.00,25238.00,1262.00,Dine In,Kedai,Temu Roti,Owner,,,,Closed</t>
  </si>
  <si>
    <t>18/09/2024 12:53,2-9356,Sale,Roti,10007,Roti cranberry 2 pcs,,,1.000,33810.00,0.00,33810.00,0.00,33810.00,1691.00,Dine In,Kedai,Temu Roti,Owner,,,,Closed</t>
  </si>
  <si>
    <t>18/09/2024 12:16,2-9355,Sale,Minuman,10128,Es Kopi Susu,,,1.000,23333.00,0.00,23333.00,0.00,23333.00,1167.00,Dine In,Kedai,Temu Roti,Owner,,,,Closed</t>
  </si>
  <si>
    <t>18/09/2024 12:16,2-9355,Sale,Minuman,10069,Wedang hujan,,,1.000,24762.00,0.00,24762.00,0.00,24762.00,1238.00,Dine In,Kedai,Temu Roti,Owner,,,,Closed</t>
  </si>
  <si>
    <t>18/09/2024 12:16,2-9355,Sale,Roti,10039,Roti panggang strawberry,,,1.000,21905.00,0.00,21905.00,0.00,21905.00,1095.00,Dine In,Kedai,Temu Roti,Owner,,,,Closed</t>
  </si>
  <si>
    <t>18/09/2024 12:16,2-9355,Sale,Roti,10002,Roti Cranberry,,,1.000,18571.00,0.00,18571.00,0.00,18571.00,929.00,Dine In,Kedai,Temu Roti,Owner,,,,Closed</t>
  </si>
  <si>
    <t>18/09/2024 11:49,2-9354,Sale,Roti,10002,Roti Cranberry,,,1.000,18571.00,0.00,18571.00,0.00,18571.00,929.00,Dine In,Kedai,Temu Roti,Owner,,,,Closed</t>
  </si>
  <si>
    <t>18/09/2024 11:49,2-9354,Sale,Roti,10005,Roti Gandum Cokelat,,,1.000,19524.00,0.00,19524.00,0.00,19524.00,976.00,Dine In,Kedai,Temu Roti,Owner,,,,Closed</t>
  </si>
  <si>
    <t>18/09/2024 10:54,2-9353,Sale,Minuman,10067,Wedang angin,,,1.000,24762.00,0.00,24762.00,0.00,24762.00,1238.00,Dine In,Kedai,Temu Roti,Owner,,,,Closed</t>
  </si>
  <si>
    <t>18/09/2024 09:27,2-9352,Sale,Minuman,10106,Korean Strawberry Fresh Milk,,,1.000,26667.00,0.00,26667.00,0.00,26667.00,1333.00,Dine In,Kedai,Temu Roti,Owner,,,,Closed</t>
  </si>
  <si>
    <t>18/09/2024 09:27,2-9352,Sale,Roti,10034,Roti panggang coklat,,,1.000,21905.00,0.00,21905.00,0.00,21905.00,1096.00,Dine In,Kedai,Temu Roti,Owner,,,,Closed</t>
  </si>
  <si>
    <t>18/09/2024 09:24,2-9351,Sale,Roti,10055,Roti Gandum Cokelat 2 pcs,,,1.000,34762.00,0.00,34762.00,0.00,34762.00,1738.00,Dine In,Kedai,Temu Roti,Owner,,,,Closed</t>
  </si>
  <si>
    <t>17/09/2024 19:54,2-9350,Sale,Roti,10002,Roti Cranberry,,,1.000,18571.00,0.00,18571.00,0.00,18571.00,929.00,Dine In,Kedai,Temu Roti,Owner,,,,Closed</t>
  </si>
  <si>
    <t>17/09/2024 18:24,2-9349,Sale,Minuman,10112,Air mineral,,,1.000,6667.00,0.00,6667.00,0.00,6667.00,333.00,Dine In,Kedai,Temu Roti,Owner,,,,Closed</t>
  </si>
  <si>
    <t>17/09/2024 18:13,2-9348,Sale,Roti,10000,Roti Bawang Saus Keju,,,1.000,29524.00,0.00,29524.00,0.00,29524.00,1476.00,Dine In,Kedai,Temu Roti,Owner,,,,Closed</t>
  </si>
  <si>
    <t>17/09/2024 18:13,2-9348,Sale,Minuman,10069,Wedang hujan,,,1.000,24762.00,0.00,24762.00,0.00,24762.00,1238.00,Dine In,Kedai,Temu Roti,Owner,,,,Closed</t>
  </si>
  <si>
    <t>17/09/2024 18:13,2-9348,Sale,Minuman,10063,Wedang Bulan,,,1.000,24762.00,0.00,24762.00,0.00,24762.00,1238.00,Dine In,Kedai,Temu Roti,Owner,,,,Closed</t>
  </si>
  <si>
    <t>17/09/2024 18:01,2-9347,Sale,Minuman,10128,Es Kopi Susu,,,1.000,23333.00,0.00,23333.00,0.00,23333.00,1167.00,Dine In,Kedai,Temu Roti,Owner,,,,Closed</t>
  </si>
  <si>
    <t>17/09/2024 18:01,2-9347,Sale,Minuman,10112,Air mineral,,,1.000,6667.00,0.00,6667.00,0.00,6667.00,333.00,Dine In,Kedai,Temu Roti,Owner,,,,Closed</t>
  </si>
  <si>
    <t>17/09/2024 17:19,2-9346,Sale,Kudapan,10015,Tahu Lada Garam,,,1.000,25238.00,0.00,25238.00,0.00,25238.00,1262.00,Dine In,Kedai,Temu Roti,Owner,,,,Closed</t>
  </si>
  <si>
    <t>17/09/2024 16:19,2-9345,Sale,Minuman,10128,Es Kopi Susu,,,1.000,23333.00,0.00,23333.00,0.00,23333.00,1167.00,Dine In,Kedai,Temu Roti,Owner,,,,Closed</t>
  </si>
  <si>
    <t>17/09/2024 16:19,2-9345,Sale,Roti,10000,Roti Bawang Saus Keju,,,1.000,29524.00,0.00,29524.00,0.00,29524.00,1476.00,Dine In,Kedai,Temu Roti,Owner,,,,Closed</t>
  </si>
  <si>
    <t>17/09/2024 16:08,2-9344,Sale,Minuman,10069,Wedang hujan,,,1.000,24762.00,0.00,24762.00,0.00,24762.00,1238.00,Dine In,Kedai,Temu Roti,Owner,,,,Closed</t>
  </si>
  <si>
    <t>17/09/2024 13:54,2-9343,Sale,Roti,10000,Roti Bawang Saus Keju,,,1.000,29524.00,0.00,29524.00,0.00,29524.00,1476.00,Dine In,Kedai,Temu Roti,Owner,,,,Closed</t>
  </si>
  <si>
    <t>17/09/2024 13:54,2-9343,Sale,Minuman,10112,Air mineral,,,1.000,6667.00,0.00,6667.00,0.00,6667.00,334.00,Dine In,Kedai,Temu Roti,Owner,,,,Closed</t>
  </si>
  <si>
    <t>17/09/2024 13:37,2-9342,Sale,Kudapan,10004,Tahu walik,,,1.000,25238.00,0.00,25238.00,0.00,25238.00,1262.00,Dine In,Kedai,Temu Roti,Owner,,,,Closed</t>
  </si>
  <si>
    <t>17/09/2024 13:37,2-9342,Sale,Roti,10002,Roti Cranberry,,,1.000,18571.00,0.00,18571.00,0.00,18571.00,928.00,Dine In,Kedai,Temu Roti,Owner,,,,Closed</t>
  </si>
  <si>
    <t>17/09/2024 13:22,2-9341,Sale,Roti,10007,Roti cranberry 2 pcs,,,1.000,33810.00,0.00,33810.00,0.00,33810.00,1691.00,Dine In,Kedai,Temu Roti,Owner,,,,Closed</t>
  </si>
  <si>
    <t>17/09/2024 13:22,2-9341,Sale,Roti,10000,Roti Bawang Saus Keju,,,1.000,29524.00,0.00,29524.00,0.00,29524.00,1476.00,Dine In,Kedai,Temu Roti,Owner,,,,Closed</t>
  </si>
  <si>
    <t>17/09/2024 13:22,2-9341,Sale,Roti,10005,Roti Gandum Cokelat,,,1.000,19524.00,0.00,19524.00,0.00,19524.00,976.00,Dine In,Kedai,Temu Roti,Owner,,,,Closed</t>
  </si>
  <si>
    <t>17/09/2024 13:12,2-9340,Sale,Minuman,10026,Es Kopi Lemon,,,1.000,21905.00,0.00,21905.00,0.00,21905.00,1095.00,Dine In,Kedai,Temu Roti,Owner,,,,Closed</t>
  </si>
  <si>
    <t>17/09/2024 13:12,2-9340,Sale,Minuman,10123,Rempah Madu Dingin,,,1.000,21905.00,0.00,21905.00,0.00,21905.00,1096.00,Dine In,Kedai,Temu Roti,Owner,,,,Closed</t>
  </si>
  <si>
    <t>17/09/2024 13:12,2-9340,Sale,Kudapan,10004,Tahu walik,,,1.000,25238.00,0.00,25238.00,0.00,25238.00,1261.00,Dine In,Kedai,Temu Roti,Owner,,,,Closed</t>
  </si>
  <si>
    <t>17/09/2024 13:12,2-9340,Sale,Roti,10000,Roti Bawang Saus Keju,,,1.000,29524.00,0.00,29524.00,0.00,29524.00,1477.00,Dine In,Kedai,Temu Roti,Owner,,,,Closed</t>
  </si>
  <si>
    <t>17/09/2024 12:24,2-9339,Sale,Roti,10000,Roti Bawang Saus Keju,,,1.000,29524.00,0.00,29524.00,0.00,29524.00,1476.00,Dine In,Kedai,Temu Roti,Owner,,,,Closed</t>
  </si>
  <si>
    <t>17/09/2024 11:15,2-9338,Sale,Roti,10005,Roti Gandum Cokelat,,,1.000,19524.00,0.00,19524.00,0.00,19524.00,976.00,Dine In,Kedai,Temu Roti,Owner,,,,Closed</t>
  </si>
  <si>
    <t>17/09/2024 11:15,2-9338,Sale,Roti,10002,Roti Cranberry,,,1.000,18571.00,0.00,18571.00,0.00,18571.00,929.00,Dine In,Kedai,Temu Roti,Owner,,,,Closed</t>
  </si>
  <si>
    <t>17/09/2024 10:05,2-9337,Sale,Roti,10000,Roti Bawang Saus Keju,,,1.000,29524.00,0.00,29524.00,0.00,29524.00,1476.00,Dine In,Kedai,Temu Roti,Owner,,,,Closed</t>
  </si>
  <si>
    <t>17/09/2024 10:05,2-9337,Sale,Minuman,10070,Wedang laut,,,1.000,24762.00,0.00,24762.00,0.00,24762.00,1238.00,Dine In,Kedai,Temu Roti,Owner,,,,Closed</t>
  </si>
  <si>
    <t>17/09/2024 09:39,2-9336,Sale,Roti,10007,Roti cranberry 2 pcs,,,1.000,33810.00,10143.00,23667.00,0.00,23667.00,1183.00,Dine In,Kedai,Temu Roti,Owner,,,,Closed</t>
  </si>
  <si>
    <t>17/09/2024 09:31,2-9335,Sale,Minuman,10128,Es Kopi Susu,,,1.000,23333.00,0.00,23333.00,0.00,23333.00,1167.00,Dine In,Kedai,Temu Roti,Owner,,,,Closed</t>
  </si>
  <si>
    <t>17/09/2024 09:23,2-9334,Sale,Roti,10002,Roti Cranberry,,,1.000,18571.00,0.00,18571.00,0.00,18571.00,929.00,Dine In,Kedai,Temu Roti,Owner,,,,Closed</t>
  </si>
  <si>
    <t>17/09/2024 09:23,2-9334,Sale,Minuman,10122,Rempah Madu Panas,,,1.000,21905.00,0.00,21905.00,0.00,21905.00,1095.00,Dine In,Kedai,Temu Roti,Owner,,,,Closed</t>
  </si>
  <si>
    <t>15/09/2024 21:32,2-9333,Sale,Minuman,10070,Wedang laut,,,1.000,24762.00,0.00,24762.00,0.00,24762.00,1238.00,Dine In,Kedai,Temu Roti,Owner,,,,Closed</t>
  </si>
  <si>
    <t>15/09/2024 21:32,2-9333,Sale,Minuman,10128,Es Kopi Susu,,,1.000,23333.00,0.00,23333.00,0.00,23333.00,1167.00,Dine In,Kedai,Temu Roti,Owner,,,,Closed</t>
  </si>
  <si>
    <t>15/09/2024 21:32,2-9333,Sale,Minuman,10013,Kopi cur,,,1.000,23333.00,0.00,23333.00,0.00,23333.00,1166.00,Dine In,Kedai,Temu Roti,Owner,,,,Closed</t>
  </si>
  <si>
    <t>15/09/2024 21:32,2-9333,Sale,Kudapan,10011,Kentang Goreng,,,1.000,25238.00,0.00,25238.00,0.00,25238.00,1262.00,Dine In,Kedai,Temu Roti,Owner,,,,Closed</t>
  </si>
  <si>
    <t>15/09/2024 21:31,2-9332,Sale,Kudapan,10004,Tahu walik,,,1.000,25238.00,0.00,25238.00,0.00,25238.00,1262.00,Dine In,Kedai,Temu Roti,Owner,,,,Closed</t>
  </si>
  <si>
    <t>15/09/2024 20:58,2-9331,Sale,Hidangan Utama,10104,Chicken Claypot Rice,,,1.000,34762.00,0.00,34762.00,0.00,34762.00,1738.00,Dine In,Kedai,Temu Roti,Owner,,,,Closed</t>
  </si>
  <si>
    <t>15/09/2024 18:23,2-9330,Sale,Minuman,10120,Lemon Tea Panas,,,1.000,19524.00,0.00,19524.00,0.00,19524.00,976.00,Dine In,Kedai,Temu Roti,Owner,,,,Closed</t>
  </si>
  <si>
    <t>15/09/2024 18:12,2-9329,Sale,Roti,10005,Roti Gandum Cokelat,,,1.000,19524.00,0.00,19524.00,0.00,19524.00,976.00,Dine In,Kedai,Temu Roti,Owner,,,,Closed</t>
  </si>
  <si>
    <t>15/09/2024 18:11,2-9328,Sale,Hidangan Utama,10012,Mie joglo,,,1.000,29524.00,0.00,29524.00,0.00,29524.00,1476.00,Dine In,Kedai,Temu Roti,Owner,,,,Closed</t>
  </si>
  <si>
    <t>15/09/2024 18:11,2-9328,Sale,Roti,10005,Roti Gandum Cokelat,,,1.000,19524.00,0.00,19524.00,0.00,19524.00,976.00,Dine In,Kedai,Temu Roti,Owner,,,,Closed</t>
  </si>
  <si>
    <t>15/09/2024 18:11,2-9328,Sale,Kudapan,10051,Tahu baso,,,1.000,25238.00,0.00,25238.00,0.00,25238.00,1262.00,Dine In,Kedai,Temu Roti,Owner,,,,Closed</t>
  </si>
  <si>
    <t>15/09/2024 18:11,2-9327,Refund,Hidangan Utama,10012,Mie joglo,,,-1.000,-29524.00,0.00,-29524.00,-0.00,-29524.00,-1476.00,Dine In,Kedai,Temu Roti,Owner,,,,Closed</t>
  </si>
  <si>
    <t>15/09/2024 18:11,2-9327,Refund,Kudapan,10051,Tahu baso,,,-1.000,-25238.00,0.00,-25238.00,-0.00,-25238.00,-1262.00,Dine In,Kedai,Temu Roti,Owner,,,,Closed</t>
  </si>
  <si>
    <t>15/09/2024 18:11,2-9327,Refund,Roti,10005,Roti Gandum Cokelat,,,-1.000,-19524.00,0.00,-19524.00,-0.00,-19524.00,-976.00,Dine In,Kedai,Temu Roti,Owner,,,,Closed</t>
  </si>
  <si>
    <t>15/09/2024 17:51,2-9326,Sale,Roti,10000,Roti Bawang Saus Keju,,,1.000,29524.00,0.00,29524.00,0.00,29524.00,1476.00,Dine In,Kedai,Temu Roti,Owner,,,,Closed</t>
  </si>
  <si>
    <t>15/09/2024 17:51,2-9326,Sale,Roti,10055,Roti Gandum Cokelat 2 pcs,,,1.000,34762.00,0.00,34762.00,0.00,34762.00,1738.00,Dine In,Kedai,Temu Roti,Owner,,,,Closed</t>
  </si>
  <si>
    <t>15/09/2024 17:36,2-9325,Sale,Minuman,10120,Lemon Tea Panas,,,1.000,19524.00,0.00,19524.00,0.00,19524.00,976.00,Dine In,Kedai,Temu Roti,Owner,,,,Closed</t>
  </si>
  <si>
    <t>15/09/2024 17:32,2-9324,Sale,Roti,10002,Roti Cranberry,,,1.000,18571.00,0.00,18571.00,0.00,18571.00,929.00,Dine In,Kedai,Temu Roti,Owner,,,,Closed</t>
  </si>
  <si>
    <t>15/09/2024 17:32,2-9324,Sale,Minuman,10128,Es Kopi Susu,,,1.000,23333.00,0.00,23333.00,0.00,23333.00,1166.00,Dine In,Kedai,Temu Roti,Owner,,,,Closed</t>
  </si>
  <si>
    <t>15/09/2024 17:32,2-9324,Sale,Kudapan,10015,Tahu Lada Garam,,,1.000,25238.00,0.00,25238.00,0.00,25238.00,1262.00,Dine In,Kedai,Temu Roti,Owner,,,,Closed</t>
  </si>
  <si>
    <t>15/09/2024 17:32,2-9324,Sale,Hidangan Utama,10012,Mie joglo,,,1.000,29524.00,0.00,29524.00,0.00,29524.00,1476.00,Dine In,Kedai,Temu Roti,Owner,,,,Closed</t>
  </si>
  <si>
    <t>15/09/2024 17:32,2-9324,Sale,Minuman,10069,Wedang hujan,,,1.000,24762.00,0.00,24762.00,0.00,24762.00,1238.00,Dine In,Kedai,Temu Roti,Owner,,,,Closed</t>
  </si>
  <si>
    <t>15/09/2024 17:32,2-9324,Sale,Minuman,10063,Wedang Bulan,,,1.000,24762.00,0.00,24762.00,0.00,24762.00,1239.00,Dine In,Kedai,Temu Roti,Owner,,,,Closed</t>
  </si>
  <si>
    <t>15/09/2024 17:32,2-9324,Sale,Minuman,10112,Air mineral,,,1.000,6667.00,0.00,6667.00,0.00,6667.00,333.00,Dine In,Kedai,Temu Roti,Owner,,,,Closed</t>
  </si>
  <si>
    <t>15/09/2024 17:24,2-9323,Sale,Roti,10002,Roti Cranberry,,,1.000,18571.00,0.00,18571.00,0.00,18571.00,929.00,Dine In,Kedai,Temu Roti,Owner,,,,Closed</t>
  </si>
  <si>
    <t>15/09/2024 17:19,2-9322,Sale,Roti,10000,Roti Bawang Saus Keju,,,1.000,29524.00,0.00,29524.00,0.00,29524.00,1476.00,Dine In,Kedai,Temu Roti,Owner,,,,Closed</t>
  </si>
  <si>
    <t>15/09/2024 17:19,2-9322,Sale,Roti,10005,Roti Gandum Cokelat,,,1.000,19524.00,0.00,19524.00,0.00,19524.00,976.00,Dine In,Kedai,Temu Roti,Owner,,,,Closed</t>
  </si>
  <si>
    <t>15/09/2024 17:12,2-9321,Sale,Kudapan,10010,Pisang Goreng,,,1.000,25238.00,0.00,25238.00,0.00,25238.00,1262.00,Dine In,Kedai,Temu Roti,Owner,,,,Closed</t>
  </si>
  <si>
    <t>15/09/2024 17:12,2-9321,Sale,Minuman,10120,Lemon Tea Panas,,,1.000,19524.00,0.00,19524.00,0.00,19524.00,976.00,Dine In,Kedai,Temu Roti,Owner,,,,Closed</t>
  </si>
  <si>
    <t>15/09/2024 17:12,2-9321,Sale,Minuman,10128,Es Kopi Susu,,,1.000,23333.00,0.00,23333.00,0.00,23333.00,1167.00,Dine In,Kedai,Temu Roti,Owner,,,,Closed</t>
  </si>
  <si>
    <t>15/09/2024 17:12,2-9321,Sale,Roti,10002,Roti Cranberry,,,1.000,18571.00,0.00,18571.00,0.00,18571.00,928.00,Dine In,Kedai,Temu Roti,Owner,,,,Closed</t>
  </si>
  <si>
    <t>15/09/2024 17:09,2-9320,Sale,Hidangan Utama,10003,Nasi Goreng Temu,,,1.000,29524.00,0.00,29524.00,0.00,29524.00,1476.00,Dine In,Kedai,Temu Roti,Owner,,,,Closed</t>
  </si>
  <si>
    <t>15/09/2024 17:09,2-9320,Sale,Minuman,10026,Es Kopi Lemon,,,1.000,21905.00,0.00,21905.00,0.00,21905.00,1095.00,Dine In,Kedai,Temu Roti,Owner,,,,Closed</t>
  </si>
  <si>
    <t>15/09/2024 17:09,2-9320,Sale,Minuman,10070,Wedang laut,,,1.000,24762.00,0.00,24762.00,0.00,24762.00,1239.00,Dine In,Kedai,Temu Roti,Owner,,,,Closed</t>
  </si>
  <si>
    <t>15/09/2024 17:05,2-9319,Sale,Roti,10002,Roti Cranberry,,,1.000,18571.00,0.00,18571.00,0.00,18571.00,929.00,Dine In,Kedai,Temu Roti,Owner,,,,Closed</t>
  </si>
  <si>
    <t>15/09/2024 17:05,2-9319,Sale,Roti,10005,Roti Gandum Cokelat,,,1.000,19524.00,0.00,19524.00,0.00,19524.00,976.00,Dine In,Kedai,Temu Roti,Owner,,,,Closed</t>
  </si>
  <si>
    <t>15/09/2024 16:53,2-9318,Sale,Kudapan,10010,Pisang Goreng,,,1.000,25238.00,0.00,25238.00,0.00,25238.00,1262.00,Dine In,Kedai,Temu Roti,Owner,,,,Closed</t>
  </si>
  <si>
    <t>15/09/2024 16:53,2-9318,Sale,Kudapan,10014,Tempe Mendoan,,,1.000,25238.00,0.00,25238.00,0.00,25238.00,1262.00,Dine In,Kedai,Temu Roti,Owner,,,,Closed</t>
  </si>
  <si>
    <t>15/09/2024 16:39,2-9317,Sale,Roti,10002,Roti Cranberry,,,1.000,18571.00,0.00,18571.00,0.00,18571.00,929.00,Dine In,Kedai,Temu Roti,Owner,,,,Closed</t>
  </si>
  <si>
    <t>15/09/2024 16:33,2-9316,Sale,Roti,10005,Roti Gandum Cokelat,,,1.000,19524.00,0.00,19524.00,0.00,19524.00,976.00,Dine In,Kedai,Temu Roti,Owner,,,,Closed</t>
  </si>
  <si>
    <t>15/09/2024 16:33,2-9316,Sale,Roti,10007,Roti cranberry 2 pcs,,,1.000,33810.00,0.00,33810.00,0.00,33810.00,1691.00,Dine In,Kedai,Temu Roti,Owner,,,,Closed</t>
  </si>
  <si>
    <t>15/09/2024 16:33,2-9316,Sale,Roti,10000,Roti Bawang Saus Keju,,,1.000,29524.00,0.00,29524.00,0.00,29524.00,1476.00,Dine In,Kedai,Temu Roti,Owner,,,,Closed</t>
  </si>
  <si>
    <t>15/09/2024 16:33,2-9316,Sale,Minuman,10107,Korean Mango Fresh Milk,,,1.000,26667.00,0.00,26667.00,0.00,26667.00,1333.00,Dine In,Kedai,Temu Roti,Owner,,,,Closed</t>
  </si>
  <si>
    <t>15/09/2024 16:33,2-9316,Sale,Minuman,10128,Es Kopi Susu,,,1.000,23333.00,0.00,23333.00,0.00,23333.00,1167.00,Dine In,Kedai,Temu Roti,Owner,,,,Closed</t>
  </si>
  <si>
    <t>15/09/2024 16:33,2-9316,Sale,Minuman,10058,Susu murni ori,,,1.000,19524.00,0.00,19524.00,0.00,19524.00,976.00,Dine In,Kedai,Temu Roti,Owner,,,,Closed</t>
  </si>
  <si>
    <t>15/09/2024 16:30,2-9315,Sale,Roti,10007,Roti cranberry 2 pcs,,,1.000,33810.00,0.00,33810.00,0.00,33810.00,1691.00,Dine In,Kedai,Temu Roti,Owner,,,,Closed</t>
  </si>
  <si>
    <t>15/09/2024 16:30,2-9315,Sale,Roti,10055,Roti Gandum Cokelat 2 pcs,,,1.000,34762.00,0.00,34762.00,0.00,34762.00,1738.00,Dine In,Kedai,Temu Roti,Owner,,,,Closed</t>
  </si>
  <si>
    <t>15/09/2024 16:21,2-9314,Sale,Hidangan Utama,10003,Nasi Goreng Temu,,,1.000,29524.00,0.00,29524.00,0.00,29524.00,1476.00,Dine In,Kedai,Temu Roti,Owner,,,,Closed</t>
  </si>
  <si>
    <t>15/09/2024 16:21,2-9314,Sale,Minuman,10112,Air mineral,,,1.000,6667.00,0.00,6667.00,0.00,6667.00,334.00,Dine In,Kedai,Temu Roti,Owner,,,,Closed</t>
  </si>
  <si>
    <t>15/09/2024 16:21,2-9314,Sale,Roti,10002,Roti Cranberry,,,1.000,18571.00,0.00,18571.00,0.00,18571.00,928.00,Dine In,Kedai,Temu Roti,Owner,,,,Closed</t>
  </si>
  <si>
    <t>15/09/2024 16:18,2-9313,Sale,Kudapan,10010,Pisang Goreng,,,1.000,25238.00,0.00,25238.00,0.00,25238.00,1262.00,Dine In,Kedai,Temu Roti,Owner,,,,Closed</t>
  </si>
  <si>
    <t>15/09/2024 16:18,2-9313,Sale,Kudapan,10004,Tahu walik,,,1.000,25238.00,0.00,25238.00,0.00,25238.00,1262.00,Dine In,Kedai,Temu Roti,Owner,,,,Closed</t>
  </si>
  <si>
    <t>15/09/2024 16:18,2-9313,Sale,Kudapan,10014,Tempe Mendoan,,,1.000,25238.00,0.00,25238.00,0.00,25238.00,1262.00,Dine In,Kedai,Temu Roti,Owner,,,,Closed</t>
  </si>
  <si>
    <t>15/09/2024 16:18,2-9313,Sale,Minuman,10119,Teh Tawar Dingin,,,1.000,7143.00,0.00,7143.00,0.00,7143.00,357.00,Dine In,Kedai,Temu Roti,Owner,,,,Closed</t>
  </si>
  <si>
    <t>15/09/2024 16:18,2-9313,Sale,Minuman,10056,Susu murni moca,,,1.000,19524.00,0.00,19524.00,0.00,19524.00,976.00,Dine In,Kedai,Temu Roti,Owner,,,,Closed</t>
  </si>
  <si>
    <t>15/09/2024 16:09,2-9312,Sale,Minuman,10128,Es Kopi Susu,,,2.000,46666.00,0.00,46666.00,0.00,46666.00,2333.00,Dine In,Kedai,Temu Roti,Owner,,,,Closed</t>
  </si>
  <si>
    <t>15/09/2024 16:09,2-9312,Sale,Roti,10002,Roti Cranberry,,,1.000,18571.00,0.00,18571.00,0.00,18571.00,929.00,Dine In,Kedai,Temu Roti,Owner,,,,Closed</t>
  </si>
  <si>
    <t>15/09/2024 16:09,2-9312,Sale,Roti,10000,Roti Bawang Saus Keju,,,1.000,29524.00,0.00,29524.00,0.00,29524.00,1476.00,Dine In,Kedai,Temu Roti,Owner,,,,Closed</t>
  </si>
  <si>
    <t>15/09/2024 15:58,2-9311,Sale,Roti,10007,Roti cranberry 2 pcs,,,2.000,67620.00,0.00,67620.00,0.00,67620.00,3381.00,Take Away,Kedai,Temu Roti,Owner,,,,Closed</t>
  </si>
  <si>
    <t>15/09/2024 15:44,2-9310,Sale,Hidangan Utama,10003,Nasi Goreng Temu,,,1.000,29524.00,0.00,29524.00,0.00,29524.00,1476.00,Dine In,Kedai,Temu Roti,Owner,,,,Closed</t>
  </si>
  <si>
    <t>15/09/2024 15:44,2-9310,Sale,Minuman,10112,Air mineral,,,1.000,6667.00,0.00,6667.00,0.00,6667.00,334.00,Dine In,Kedai,Temu Roti,Owner,,,,Closed</t>
  </si>
  <si>
    <t>15/09/2024 15:29,2-9309,Sale,Kudapan,10011,Kentang Goreng,,,1.000,25238.00,0.00,25238.00,0.00,25238.00,1262.00,Dine In,Kedai,Temu Roti,Owner,,,,Closed</t>
  </si>
  <si>
    <t>15/09/2024 15:29,2-9309,Sale,Kudapan,10014,Tempe Mendoan,,,1.000,25238.00,0.00,25238.00,0.00,25238.00,1262.00,Dine In,Kedai,Temu Roti,Owner,,,,Closed</t>
  </si>
  <si>
    <t>15/09/2024 15:29,2-9309,Sale,Roti,10007,Roti cranberry 2 pcs,,,1.000,33810.00,0.00,33810.00,0.00,33810.00,1690.00,Dine In,Kedai,Temu Roti,Owner,,,,Closed</t>
  </si>
  <si>
    <t>15/09/2024 15:18,2-9308,Sale,Hidangan Utama,10105,Beef Claypot Rice,,,3.000,114285.00,0.00,114285.00,0.00,114285.00,5714.00,Dine In,Kedai,Temu Roti,Owner,,,,Closed</t>
  </si>
  <si>
    <t>15/09/2024 15:18,2-9308,Sale,Kudapan,10014,Tempe Mendoan,,,1.000,25238.00,0.00,25238.00,0.00,25238.00,1262.00,Dine In,Kedai,Temu Roti,Owner,,,,Closed</t>
  </si>
  <si>
    <t>15/09/2024 15:18,2-9308,Sale,Minuman,10119,Teh Tawar Dingin,,,1.000,7143.00,0.00,7143.00,0.00,7143.00,357.00,Dine In,Kedai,Temu Roti,Owner,,,,Closed</t>
  </si>
  <si>
    <t>15/09/2024 15:18,2-9308,Sale,Minuman,10118,Teh Tawar Panas,,,1.000,7143.00,0.00,7143.00,0.00,7143.00,357.00,Dine In,Kedai,Temu Roti,Owner,,,,Closed</t>
  </si>
  <si>
    <t>15/09/2024 15:08,2-9307,Sale,Minuman,10013,Kopi cur,,,1.000,23333.00,0.00,23333.00,0.00,23333.00,1167.00,Dine In,Kedai,Temu Roti,Owner,,,,Closed</t>
  </si>
  <si>
    <t>15/09/2024 15:08,2-9307,Sale,Minuman,10122,Rempah Madu Panas,,,1.000,21905.00,0.00,21905.00,0.00,21905.00,1095.00,Dine In,Kedai,Temu Roti,Owner,,,,Closed</t>
  </si>
  <si>
    <t>15/09/2024 15:08,2-9307,Sale,Roti,10055,Roti Gandum Cokelat 2 pcs,,,1.000,34762.00,0.00,34762.00,0.00,34762.00,1738.00,Dine In,Kedai,Temu Roti,Owner,,,,Closed</t>
  </si>
  <si>
    <t>15/09/2024 14:45,2-9306,Sale,Roti,10002,Roti Cranberry,,,1.000,18571.00,0.00,18571.00,0.00,18571.00,929.00,Take Away,Kedai,Temu Roti,Owner,,,,Closed</t>
  </si>
  <si>
    <t>15/09/2024 14:45,2-9306,Sale,Minuman,10026,Es Kopi Lemon,,,2.000,43810.00,0.00,43810.00,0.00,43810.00,2190.00,Take Away,Kedai,Temu Roti,Owner,,,,Closed</t>
  </si>
  <si>
    <t>15/09/2024 13:13,2-9305,Sale,Minuman,10121,Lemon Tea Dingin,,,1.000,19524.00,0.00,19524.00,0.00,19524.00,976.00,Dine In,Kedai,Temu Roti,Owner,,,,Closed</t>
  </si>
  <si>
    <t>15/09/2024 13:13,2-9305,Sale,Minuman,10106,Korean Strawberry Fresh Milk,,,1.000,26667.00,0.00,26667.00,0.00,26667.00,1334.00,Dine In,Kedai,Temu Roti,Owner,,,,Closed</t>
  </si>
  <si>
    <t>15/09/2024 13:13,2-9305,Sale,Minuman,10112,Air mineral,,,1.000,6667.00,0.00,6667.00,0.00,6667.00,333.00,Dine In,Kedai,Temu Roti,Owner,,,,Closed</t>
  </si>
  <si>
    <t>15/09/2024 13:13,2-9305,Sale,Kudapan,10015,Tahu Lada Garam,,,1.000,25238.00,0.00,25238.00,0.00,25238.00,1262.00,Dine In,Kedai,Temu Roti,Owner,,,,Closed</t>
  </si>
  <si>
    <t>15/09/2024 13:13,2-9305,Sale,Kudapan,10009,Jamur Enoki Krispi,,,1.000,26667.00,0.00,26667.00,0.00,26667.00,1333.00,Dine In,Kedai,Temu Roti,Owner,,,,Closed</t>
  </si>
  <si>
    <t>15/09/2024 12:26,2-9304,Sale,Minuman,10016,Kopi Arabica Bubuk 150gr,,,1.000,70000.00,0.00,70000.00,70000.00,0.00,0.00,Dine In,Kedai,Temu Roti,Owner,,,,Closed</t>
  </si>
  <si>
    <t>15/09/2024 12:15,2-9303,Sale,Roti,10002,Roti Cranberry,,,1.000,18571.00,0.00,18571.00,0.00,18571.00,929.00,Dine In,Kedai,Temu Roti,Owner,,,,Closed</t>
  </si>
  <si>
    <t>15/09/2024 12:06,2-9302,Sale,Roti,10002,Roti Cranberry,,,1.000,18571.00,0.00,18571.00,0.00,18571.00,929.00,Dine In,Kedai,Temu Roti,Owner,,,,Closed</t>
  </si>
  <si>
    <t>15/09/2024 12:06,2-9302,Sale,Roti,10005,Roti Gandum Cokelat,,,1.000,19524.00,0.00,19524.00,0.00,19524.00,976.00,Dine In,Kedai,Temu Roti,Owner,,,,Closed</t>
  </si>
  <si>
    <t>15/09/2024 12:06,2-9302,Sale,Minuman,10128,Es Kopi Susu,,,1.000,23333.00,0.00,23333.00,0.00,23333.00,1166.00,Dine In,Kedai,Temu Roti,Owner,,,,Closed</t>
  </si>
  <si>
    <t>15/09/2024 12:06,2-9302,Sale,Minuman,10058,Susu murni ori,,,1.000,19524.00,0.00,19524.00,0.00,19524.00,977.00,Dine In,Kedai,Temu Roti,Owner,,,,Closed</t>
  </si>
  <si>
    <t>15/09/2024 11:53,2-9301,Sale,Minuman,10106,Korean Strawberry Fresh Milk,,,1.000,26667.00,0.00,26667.00,0.00,26667.00,1333.00,Dine In,Kedai,Temu Roti,Owner,,,,Closed</t>
  </si>
  <si>
    <t>15/09/2024 11:53,2-9301,Sale,Roti,10007,Roti cranberry 2 pcs,,,1.000,33810.00,0.00,33810.00,0.00,33810.00,1691.00,Dine In,Kedai,Temu Roti,Owner,,,,Closed</t>
  </si>
  <si>
    <t>15/09/2024 11:26,2-9300,Sale,Minuman,10121,Lemon Tea Dingin,,,1.000,19524.00,0.00,19524.00,0.00,19524.00,976.00,Dine In,Kedai,Temu Roti,Owner,,,,Closed</t>
  </si>
  <si>
    <t>15/09/2024 11:26,2-9300,Sale,Minuman,10128,Es Kopi Susu,,,1.000,23333.00,0.00,23333.00,0.00,23333.00,1167.00,Dine In,Kedai,Temu Roti,Owner,,,,Closed</t>
  </si>
  <si>
    <t>15/09/2024 11:26,2-9300,Sale,Roti,10000,Roti Bawang Saus Keju,,,1.000,29524.00,0.00,29524.00,0.00,29524.00,1476.00,Dine In,Kedai,Temu Roti,Owner,,,,Closed</t>
  </si>
  <si>
    <t>15/09/2024 10:54,2-9299,Sale,Hidangan Utama,10012,Mie joglo,,,1.000,29524.00,0.00,29524.00,0.00,29524.00,1476.00,Dine In,Kedai,Temu Roti,Owner,,,,Closed</t>
  </si>
  <si>
    <t>15/09/2024 10:54,2-9299,Sale,Kudapan,10051,Tahu baso,,,1.000,25238.00,0.00,25238.00,0.00,25238.00,1262.00,Dine In,Kedai,Temu Roti,Owner,,,,Closed</t>
  </si>
  <si>
    <t>15/09/2024 10:54,2-9299,Sale,Roti,10005,Roti Gandum Cokelat,,,1.000,19524.00,0.00,19524.00,0.00,19524.00,976.00,Dine In,Kedai,Temu Roti,Owner,,,,Closed</t>
  </si>
  <si>
    <t>15/09/2024 10:53,2-9298,Sale,Minuman,10070,Wedang laut,,,1.000,24762.00,0.00,24762.00,0.00,24762.00,1238.00,Dine In,Kedai,Temu Roti,Owner,,,,Closed</t>
  </si>
  <si>
    <t>15/09/2024 10:53,2-9298,Sale,Kudapan,10004,Tahu walik,,,1.000,25238.00,0.00,25238.00,0.00,25238.00,1262.00,Dine In,Kedai,Temu Roti,Owner,,,,Closed</t>
  </si>
  <si>
    <t>15/09/2024 10:33,2-9297,Sale,Minuman,10013,Kopi cur,,,1.000,23333.00,0.00,23333.00,0.00,23333.00,1167.00,Dine In,Kedai,Temu Roti,Owner,,,,Closed</t>
  </si>
  <si>
    <t>15/09/2024 10:33,2-9297,Sale,Kudapan,10014,Tempe Mendoan,,,1.000,25238.00,0.00,25238.00,0.00,25238.00,1262.00,Dine In,Kedai,Temu Roti,Owner,,,,Closed</t>
  </si>
  <si>
    <t>15/09/2024 10:33,2-9297,Sale,Minuman,10068,Wedang surya,,,1.000,24762.00,0.00,24762.00,0.00,24762.00,1238.00,Dine In,Kedai,Temu Roti,Owner,,,,Closed</t>
  </si>
  <si>
    <t>15/09/2024 09:27,2-9296,Sale,Roti,10007,Roti cranberry 2 pcs,,,1.000,33810.00,0.00,33810.00,0.00,33810.00,1691.00,Dine In,Kedai,Temu Roti,Owner,,,,Closed</t>
  </si>
  <si>
    <t>15/09/2024 09:27,2-9296,Sale,Minuman,10128,Es Kopi Susu,,,1.000,23333.00,0.00,23333.00,0.00,23333.00,1166.00,Dine In,Kedai,Temu Roti,Owner,,,,Closed</t>
  </si>
  <si>
    <t>15/09/2024 09:27,2-9296,Sale,Kudapan,10015,Tahu Lada Garam,,,1.000,25238.00,0.00,25238.00,0.00,25238.00,1262.00,Dine In,Kedai,Temu Roti,Owner,,,,Closed</t>
  </si>
  <si>
    <t>15/09/2024 09:22,2-9295,Sale,Roti,10002,Roti Cranberry,,,1.000,18571.00,0.00,18571.00,0.00,18571.00,929.00,Dine In,Kedai,Temu Roti,Owner,,,,Closed</t>
  </si>
  <si>
    <t>15/09/2024 09:22,2-9295,Sale,Minuman,10125,Gula Asam Dingin,,,1.000,20476.00,0.00,20476.00,0.00,20476.00,1023.00,Dine In,Kedai,Temu Roti,Owner,,,,Closed</t>
  </si>
  <si>
    <t>15/09/2024 09:20,2-9294,Sale,Roti,10033,Roti panggang sarikaya,,,1.000,21905.00,0.00,21905.00,0.00,21905.00,1095.00,Dine In,Kedai,Temu Roti,Owner,,,,Closed</t>
  </si>
  <si>
    <t>15/09/2024 09:20,2-9294,Sale,Minuman,10127,Kopi Tubruk Panas,,,1.000,18571.00,0.00,18571.00,0.00,18571.00,929.00,Dine In,Kedai,Temu Roti,Owner,,,,Closed</t>
  </si>
  <si>
    <t>14/09/2024 20:34,2-9293,Sale,Kudapan,10015,Tahu Lada Garam,,,1.000,25238.00,0.00,25238.00,0.00,25238.00,1262.00,Dine In,Kedai,Temu Roti,Owner,,,,Closed</t>
  </si>
  <si>
    <t>14/09/2024 20:34,2-9293,Sale,Kudapan,10014,Tempe Mendoan,,,1.000,25238.00,0.00,25238.00,0.00,25238.00,1262.00,Dine In,Kedai,Temu Roti,Owner,,,,Closed</t>
  </si>
  <si>
    <t>14/09/2024 20:27,2-9292,Sale,Minuman,10128,Es Kopi Susu,,,1.000,23333.00,0.00,23333.00,0.00,23333.00,1167.00,Dine In,Kedai,Temu Roti,Owner,,,,Closed</t>
  </si>
  <si>
    <t>14/09/2024 20:27,2-9292,Sale,Kudapan,10011,Kentang Goreng,,,1.000,25238.00,0.00,25238.00,0.00,25238.00,1262.00,Dine In,Kedai,Temu Roti,Owner,,,,Closed</t>
  </si>
  <si>
    <t>14/09/2024 20:27,2-9292,Sale,Minuman,10107,Korean Mango Fresh Milk,,,1.000,26667.00,0.00,26667.00,0.00,26667.00,1333.00,Dine In,Kedai,Temu Roti,Owner,,,,Closed</t>
  </si>
  <si>
    <t>14/09/2024 19:19,2-9291,Sale,Roti,10054,Roti toast eskrim,,,1.000,25238.00,0.00,25238.00,0.00,25238.00,1262.00,Dine In,Kedai,Temu Roti,Owner,,,,Closed</t>
  </si>
  <si>
    <t>14/09/2024 18:56,2-9290,Sale,Minuman,10112,Air mineral,,,1.000,6667.00,0.00,6667.00,0.00,6667.00,333.00,Dine In,Kedai,Temu Roti,Owner,,,,Closed</t>
  </si>
  <si>
    <t>14/09/2024 18:23,2-9289,Sale,Kudapan,10010,Pisang Goreng,,,1.000,25238.00,0.00,25238.00,0.00,25238.00,1262.00,Dine In,Kedai,Temu Roti,Owner,,,,Closed</t>
  </si>
  <si>
    <t>14/09/2024 18:23,2-9289,Sale,Roti,10000,Roti Bawang Saus Keju,,,1.000,29524.00,0.00,29524.00,0.00,29524.00,1476.00,Dine In,Kedai,Temu Roti,Owner,,,,Closed</t>
  </si>
  <si>
    <t>14/09/2024 18:23,2-9289,Sale,Minuman,10128,Es Kopi Susu,,,1.000,23333.00,0.00,23333.00,0.00,23333.00,1167.00,Dine In,Kedai,Temu Roti,Owner,,,,Closed</t>
  </si>
  <si>
    <t>14/09/2024 18:23,2-9289,Sale,Minuman,10119,Teh Tawar Dingin,,,1.000,7143.00,0.00,7143.00,0.00,7143.00,357.00,Dine In,Kedai,Temu Roti,Owner,,,,Closed</t>
  </si>
  <si>
    <t>14/09/2024 18:00,2-9288,Sale,Minuman,10128,Es Kopi Susu,,,1.000,23333.00,0.00,23333.00,0.00,23333.00,1167.00,Dine In,Kedai,Temu Roti,Owner,,,,Closed</t>
  </si>
  <si>
    <t>14/09/2024 18:00,2-9288,Sale,Kudapan,10009,Jamur Enoki Krispi,,,1.000,26667.00,0.00,26667.00,0.00,26667.00,1333.00,Dine In,Kedai,Temu Roti,Owner,,,,Closed</t>
  </si>
  <si>
    <t>14/09/2024 18:00,2-9288,Sale,Minuman,10056,Susu murni moca,,,1.000,19524.00,0.00,19524.00,0.00,19524.00,976.00,Dine In,Kedai,Temu Roti,Owner,,,,Closed</t>
  </si>
  <si>
    <t>14/09/2024 17:48,2-9287,Sale,Kudapan,10014,Tempe Mendoan,,,1.000,25238.00,0.00,25238.00,0.00,25238.00,1262.00,Dine In,Kedai,Temu Roti,Owner,,,,Closed</t>
  </si>
  <si>
    <t>14/09/2024 17:10,2-9286,Sale,Kudapan,10010,Pisang Goreng,,,1.000,25238.00,0.00,25238.00,0.00,25238.00,1262.00,Dine In,Kedai,Temu Roti,Owner,,,,Closed</t>
  </si>
  <si>
    <t>14/09/2024 17:10,2-9286,Sale,Kudapan,10051,Tahu baso,,,1.000,25238.00,0.00,25238.00,0.00,25238.00,1262.00,Dine In,Kedai,Temu Roti,Owner,,,,Closed</t>
  </si>
  <si>
    <t>14/09/2024 16:43,2-9285,Sale,Kudapan,10009,Jamur Enoki Krispi,,,1.000,26667.00,0.00,26667.00,0.00,26667.00,1333.00,Dine In,Kedai,Temu Roti,Owner,,,,Closed</t>
  </si>
  <si>
    <t>14/09/2024 16:36,2-9284,Sale,Minuman,10128,Es Kopi Susu,,,1.000,23333.00,0.00,23333.00,0.00,23333.00,1167.00,Dine In,Kedai,Temu Roti,Owner,,,,Closed</t>
  </si>
  <si>
    <t>14/09/2024 16:36,2-9284,Sale,Kudapan,10051,Tahu baso,,,1.000,25238.00,0.00,25238.00,0.00,25238.00,1262.00,Dine In,Kedai,Temu Roti,Owner,,,,Closed</t>
  </si>
  <si>
    <t>14/09/2024 16:35,2-9283,Sale,Roti,10002,Roti Cranberry,,,1.000,18571.00,0.00,18571.00,0.00,18571.00,929.00,Dine In,Kedai,Temu Roti,Owner,,,,Closed</t>
  </si>
  <si>
    <t>14/09/2024 16:35,2-9283,Sale,Minuman,10128,Es Kopi Susu,,,1.000,23333.00,0.00,23333.00,0.00,23333.00,1166.00,Dine In,Kedai,Temu Roti,Owner,,,,Closed</t>
  </si>
  <si>
    <t>14/09/2024 16:35,2-9283,Sale,Minuman,10121,Lemon Tea Dingin,,,1.000,19524.00,0.00,19524.00,0.00,19524.00,976.00,Dine In,Kedai,Temu Roti,Owner,,,,Closed</t>
  </si>
  <si>
    <t>14/09/2024 16:33,2-9282,Sale,Roti,10033,Roti panggang sarikaya,,,1.000,21905.00,0.00,21905.00,0.00,21905.00,1095.00,Dine In,Kedai,Temu Roti,Owner,,,,Closed</t>
  </si>
  <si>
    <t>14/09/2024 16:33,2-9282,Sale,Roti,10002,Roti Cranberry,,,1.000,18571.00,0.00,18571.00,0.00,18571.00,929.00,Dine In,Kedai,Temu Roti,Owner,,,,Closed</t>
  </si>
  <si>
    <t>14/09/2024 16:33,2-9282,Sale,Minuman,10123,Rempah Madu Dingin,,,1.000,21905.00,0.00,21905.00,0.00,21905.00,1095.00,Dine In,Kedai,Temu Roti,Owner,,,,Closed</t>
  </si>
  <si>
    <t>14/09/2024 16:33,2-9282,Sale,Kudapan,10015,Tahu Lada Garam,,,1.000,25238.00,0.00,25238.00,0.00,25238.00,1262.00,Dine In,Kedai,Temu Roti,Owner,,,,Closed</t>
  </si>
  <si>
    <t>14/09/2024 16:33,2-9282,Sale,Minuman,10057,Susu murni strawberry,,,1.000,19524.00,0.00,19524.00,0.00,19524.00,976.00,Dine In,Kedai,Temu Roti,Owner,,,,Closed</t>
  </si>
  <si>
    <t>14/09/2024 16:30,2-9281,Sale,Roti,10000,Roti Bawang Saus Keju,,,1.000,29524.00,0.00,29524.00,0.00,29524.00,1476.00,Dine In,Kedai,Temu Roti,Owner,,,,Closed</t>
  </si>
  <si>
    <t>14/09/2024 16:30,2-9281,Sale,Roti,10007,Roti cranberry 2 pcs,,,1.000,33810.00,0.00,33810.00,0.00,33810.00,1691.00,Dine In,Kedai,Temu Roti,Owner,,,,Closed</t>
  </si>
  <si>
    <t>14/09/2024 16:30,2-9281,Sale,Kudapan,10010,Pisang Goreng,,,1.000,25238.00,0.00,25238.00,0.00,25238.00,1262.00,Dine In,Kedai,Temu Roti,Owner,,,,Closed</t>
  </si>
  <si>
    <t>14/09/2024 16:30,2-9281,Sale,Kudapan,10004,Tahu walik,,,1.000,25238.00,0.00,25238.00,0.00,25238.00,1262.00,Dine In,Kedai,Temu Roti,Owner,,,,Closed</t>
  </si>
  <si>
    <t>14/09/2024 16:30,2-9281,Sale,Roti,10005,Roti Gandum Cokelat,,,1.000,19524.00,0.00,19524.00,0.00,19524.00,976.00,Dine In,Kedai,Temu Roti,Owner,,,,Closed</t>
  </si>
  <si>
    <t>14/09/2024 16:30,2-9281,Sale,Minuman,10069,Wedang hujan,,,1.000,24762.00,0.00,24762.00,0.00,24762.00,1238.00,Dine In,Kedai,Temu Roti,Owner,,,,Closed</t>
  </si>
  <si>
    <t>14/09/2024 16:30,2-9281,Sale,Roti,10007,Roti cranberry 2 pcs,,,1.000,33810.00,0.00,33810.00,0.00,33810.00,1690.00,Dine In,Kedai,Temu Roti,Owner,,,,Closed</t>
  </si>
  <si>
    <t>14/09/2024 16:30,2-9281,Sale,Roti,10055,Roti Gandum Cokelat 2 pcs,,,1.000,34762.00,0.00,34762.00,0.00,34762.00,1738.00,Dine In,Kedai,Temu Roti,Owner,,,,Closed</t>
  </si>
  <si>
    <t>14/09/2024 16:30,2-9281,Sale,Roti,10000,Roti Bawang Saus Keju,,,2.000,59048.00,0.00,59048.00,0.00,59048.00,2952.00,Dine In,Kedai,Temu Roti,Owner,,,,Closed</t>
  </si>
  <si>
    <t>14/09/2024 16:30,2-9281,Sale,Kudapan,10011,Kentang Goreng,,,1.000,25238.00,0.00,25238.00,0.00,25238.00,1262.00,Dine In,Kedai,Temu Roti,Owner,,,,Closed</t>
  </si>
  <si>
    <t>14/09/2024 16:10,2-9280,Sale,Hidangan Utama,10105,Beef Claypot Rice,,,1.000,38095.00,0.00,38095.00,0.00,38095.00,1905.00,Dine In,Kedai,Temu Roti,Owner,,,,Closed</t>
  </si>
  <si>
    <t>14/09/2024 16:10,2-9280,Sale,Minuman,10119,Teh Tawar Dingin,,,1.000,7143.00,0.00,7143.00,0.00,7143.00,357.00,Dine In,Kedai,Temu Roti,Owner,,,,Closed</t>
  </si>
  <si>
    <t>14/09/2024 15:44,2-9279,Sale,Roti,10002,Roti Cranberry,,,1.000,18571.00,0.00,18571.00,0.00,18571.00,929.00,Dine In,Kedai,Temu Roti,Owner,,,,Closed</t>
  </si>
  <si>
    <t>14/09/2024 15:43,2-9278,Sale,Hidangan Utama,10104,Chicken Claypot Rice,,,1.000,34762.00,0.00,34762.00,0.00,34762.00,1738.00,Dine In,Kedai,Temu Roti,Owner,,,,Closed</t>
  </si>
  <si>
    <t>14/09/2024 15:43,2-9278,Sale,Hidangan Utama,10006,Nasi,,,1.000,7000.00,0.00,7000.00,0.00,7000.00,350.00,Dine In,Kedai,Temu Roti,Owner,,,,Closed</t>
  </si>
  <si>
    <t>14/09/2024 15:21,2-9277,Sale,Hidangan Utama,10053,Nasi telor,,,1.000,25238.00,0.00,25238.00,0.00,25238.00,1262.00,Dine In,Kedai,Temu Roti,Owner,,,,Closed</t>
  </si>
  <si>
    <t>14/09/2024 15:21,2-9277,Sale,Hidangan Utama,10012,Mie joglo,,,2.000,59048.00,0.00,59048.00,0.00,59048.00,2952.00,Dine In,Kedai,Temu Roti,Owner,,,,Closed</t>
  </si>
  <si>
    <t>14/09/2024 15:21,2-9277,Sale,Hidangan Utama,10105,Beef Claypot Rice,,,1.000,38095.00,0.00,38095.00,0.00,38095.00,1905.00,Dine In,Kedai,Temu Roti,Owner,,,,Closed</t>
  </si>
  <si>
    <t>14/09/2024 15:21,2-9277,Sale,Minuman,10128,Es Kopi Susu,,,1.000,23333.00,0.00,23333.00,0.00,23333.00,1167.00,Dine In,Kedai,Temu Roti,Owner,,,,Closed</t>
  </si>
  <si>
    <t>14/09/2024 15:21,2-9277,Sale,Minuman,10112,Air mineral,,,2.000,13334.00,0.00,13334.00,0.00,13334.00,666.00,Dine In,Kedai,Temu Roti,Owner,,,,Closed</t>
  </si>
  <si>
    <t>14/09/2024 15:21,2-9277,Sale,Kudapan,10051,Tahu baso,,,1.000,25238.00,0.00,25238.00,0.00,25238.00,1262.00,Dine In,Kedai,Temu Roti,Owner,,,,Closed</t>
  </si>
  <si>
    <t>14/09/2024 15:17,2-9276,Sale,Roti,10002,Roti Cranberry,,,1.000,18571.00,0.00,18571.00,0.00,18571.00,929.00,Take Away,Kedai,Temu Roti,Owner,,,,Closed</t>
  </si>
  <si>
    <t>14/09/2024 14:33,2-9275,Sale,Kudapan,10011,Kentang Goreng,,,1.000,25238.00,0.00,25238.00,0.00,25238.00,1262.00,Dine In,Kedai,Temu Roti,Owner,,,,Closed</t>
  </si>
  <si>
    <t>14/09/2024 14:26,2-9274,Sale,Roti,10007,Roti cranberry 2 pcs,,,1.000,33810.00,0.00,33810.00,0.00,33810.00,1691.00,Dine In,Kedai,Temu Roti,Owner,,,,Closed</t>
  </si>
  <si>
    <t>14/09/2024 14:26,2-9274,Sale,Minuman,10128,Es Kopi Susu,,,1.000,23333.00,0.00,23333.00,0.00,23333.00,1166.00,Dine In,Kedai,Temu Roti,Owner,,,,Closed</t>
  </si>
  <si>
    <t>14/09/2024 14:26,2-9274,Sale,Minuman,10121,Lemon Tea Dingin,,,1.000,19524.00,0.00,19524.00,0.00,19524.00,976.00,Dine In,Kedai,Temu Roti,Owner,,,,Closed</t>
  </si>
  <si>
    <t>14/09/2024 14:26,2-9274,Sale,Kudapan,10051,Tahu baso,,,1.000,25238.00,0.00,25238.00,0.00,25238.00,1262.00,Dine In,Kedai,Temu Roti,Owner,,,,Closed</t>
  </si>
  <si>
    <t>14/09/2024 14:04,2-9273,Sale,Roti,10005,Roti Gandum Cokelat,,,1.000,19524.00,0.00,19524.00,0.00,19524.00,976.00,Dine In,Kedai,Temu Roti,Owner,,,,Closed</t>
  </si>
  <si>
    <t>14/09/2024 13:51,2-9272,Sale,Roti,10002,Roti Cranberry,,,1.000,18571.00,0.00,18571.00,0.00,18571.00,929.00,Dine In,Kedai,Temu Roti,Owner,,,,Closed</t>
  </si>
  <si>
    <t>14/09/2024 13:50,2-9271,Sale,Minuman,10112,Air mineral,,,1.000,6667.00,0.00,6667.00,0.00,6667.00,333.00,Dine In,Kedai,Temu Roti,Owner,,,,Closed</t>
  </si>
  <si>
    <t>14/09/2024 13:50,2-9271,Sale,Roti,10002,Roti Cranberry,,,1.000,18571.00,0.00,18571.00,0.00,18571.00,929.00,Dine In,Kedai,Temu Roti,Owner,,,,Closed</t>
  </si>
  <si>
    <t>14/09/2024 13:35,2-9270,Sale,Hidangan Utama,10105,Beef Claypot Rice,,,1.000,38095.00,0.00,38095.00,0.00,38095.00,1905.00,Dine In,Kedai,Temu Roti,Owner,,,,Closed</t>
  </si>
  <si>
    <t>14/09/2024 13:35,2-9270,Sale,Hidangan Utama,10012,Mie joglo,,,1.000,29524.00,0.00,29524.00,0.00,29524.00,1476.00,Dine In,Kedai,Temu Roti,Owner,,,,Closed</t>
  </si>
  <si>
    <t>14/09/2024 13:35,2-9270,Sale,Minuman,10128,Es Kopi Susu,,,1.000,23333.00,0.00,23333.00,0.00,23333.00,1167.00,Dine In,Kedai,Temu Roti,Owner,,,,Closed</t>
  </si>
  <si>
    <t>14/09/2024 13:29,2-9269,Sale,Roti,10002,Roti Cranberry,,,1.000,18571.00,0.00,18571.00,0.00,18571.00,929.00,Dine In,Kedai,Temu Roti,Owner,,,,Closed</t>
  </si>
  <si>
    <t>14/09/2024 13:29,2-9268,Sale,Roti,10055,Roti Gandum Cokelat 2 pcs,,,1.000,34762.00,0.00,34762.00,0.00,34762.00,1738.00,Dine In,Kedai,Temu Roti,Owner,,,,Closed</t>
  </si>
  <si>
    <t>14/09/2024 13:11,2-9267,Sale,Roti,10002,Roti Cranberry,,,1.000,18571.00,0.00,18571.00,0.00,18571.00,929.00,Dine In,Kedai,Temu Roti,Owner,,,,Closed</t>
  </si>
  <si>
    <t>14/09/2024 13:11,2-9267,Sale,Minuman,10128,Es Kopi Susu,,,1.000,23333.00,0.00,23333.00,0.00,23333.00,1166.00,Dine In,Kedai,Temu Roti,Owner,,,,Closed</t>
  </si>
  <si>
    <t>14/09/2024 13:11,2-9267,Sale,Hidangan Utama,10105,Beef Claypot Rice,,,1.000,38095.00,0.00,38095.00,0.00,38095.00,1905.00,Dine In,Kedai,Temu Roti,Owner,,,,Closed</t>
  </si>
  <si>
    <t>14/09/2024 13:01,2-9266,Sale,Hidangan Utama,10012,Mie joglo,,,1.000,29524.00,0.00,29524.00,0.00,29524.00,1476.00,Dine In,Kedai,Temu Roti,Owner,,,,Closed</t>
  </si>
  <si>
    <t>14/09/2024 13:01,2-9266,Sale,Kudapan,10004,Tahu walik,,,1.000,25238.00,0.00,25238.00,0.00,25238.00,1262.00,Dine In,Kedai,Temu Roti,Owner,,,,Closed</t>
  </si>
  <si>
    <t>14/09/2024 12:47,2-9265,Sale,Hidangan Utama,10012,Mie joglo,,,1.000,29524.00,0.00,29524.00,0.00,29524.00,1476.00,Dine In,Kedai,Temu Roti,Owner,,,,Closed</t>
  </si>
  <si>
    <t>14/09/2024 12:47,2-9265,Sale,Kudapan,10014,Tempe Mendoan,,,1.000,25238.00,0.00,25238.00,0.00,25238.00,1262.00,Dine In,Kedai,Temu Roti,Owner,,,,Closed</t>
  </si>
  <si>
    <t>14/09/2024 12:47,2-9265,Sale,Minuman,10122,Rempah Madu Panas,,,1.000,21905.00,0.00,21905.00,0.00,21905.00,1095.00,Dine In,Kedai,Temu Roti,Owner,,,,Closed</t>
  </si>
  <si>
    <t>14/09/2024 12:47,2-9265,Sale,Minuman,10116,Teh Manis Panas,,,1.000,14286.00,0.00,14286.00,0.00,14286.00,715.00,Dine In,Kedai,Temu Roti,Owner,,,,Closed</t>
  </si>
  <si>
    <t>14/09/2024 12:18,2-9264,Sale,Roti,10002,Roti Cranberry,,,1.000,18571.00,0.00,18571.00,0.00,18571.00,929.00,Dine In,Kedai,Temu Roti,Owner,,,,Closed</t>
  </si>
  <si>
    <t>14/09/2024 12:18,2-9264,Sale,Roti,10000,Roti Bawang Saus Keju,,,1.000,29524.00,0.00,29524.00,0.00,29524.00,1476.00,Dine In,Kedai,Temu Roti,Owner,,,,Closed</t>
  </si>
  <si>
    <t>14/09/2024 12:11,2-9263,Sale,Roti,10002,Roti Cranberry,,,1.000,18571.00,0.00,18571.00,0.00,18571.00,929.00,Dine In,Kedai,Temu Roti,Owner,,,,Closed</t>
  </si>
  <si>
    <t>14/09/2024 12:11,2-9263,Sale,Minuman,10121,Lemon Tea Dingin,,,1.000,19524.00,0.00,19524.00,0.00,19524.00,976.00,Dine In,Kedai,Temu Roti,Owner,,,,Closed</t>
  </si>
  <si>
    <t>14/09/2024 11:37,2-9262,Sale,Roti,10034,Roti panggang coklat,,,1.000,21905.00,0.00,21905.00,0.00,21905.00,1095.00,Dine In,Kedai,Temu Roti,Owner,,,,Closed</t>
  </si>
  <si>
    <t>14/09/2024 11:37,2-9262,Sale,Minuman,10128,Es Kopi Susu,,,1.000,23333.00,0.00,23333.00,0.00,23333.00,1167.00,Dine In,Kedai,Temu Roti,Owner,,,,Closed</t>
  </si>
  <si>
    <t>14/09/2024 11:37,2-9262,Sale,Minuman,10117,Teh Manis Dingin,,,1.000,14286.00,0.00,14286.00,0.00,14286.00,714.00,Dine In,Kedai,Temu Roti,Owner,,,,Closed</t>
  </si>
  <si>
    <t>14/09/2024 11:22,2-9261,Sale,Roti,10055,Roti Gandum Cokelat 2 pcs,,,1.000,34762.00,0.00,34762.00,0.00,34762.00,1738.00,Dine In,Kedai,Temu Roti,Owner,,,,Closed</t>
  </si>
  <si>
    <t>14/09/2024 11:22,2-9261,Sale,Roti,10005,Roti Gandum Cokelat,,,1.000,19524.00,0.00,19524.00,0.00,19524.00,976.00,Dine In,Kedai,Temu Roti,Owner,,,,Closed</t>
  </si>
  <si>
    <t>14/09/2024 11:22,2-9261,Sale,Roti,10000,Roti Bawang Saus Keju,,,1.000,29524.00,0.00,29524.00,0.00,29524.00,1477.00,Dine In,Kedai,Temu Roti,Owner,,,,Closed</t>
  </si>
  <si>
    <t>14/09/2024 11:22,2-9261,Sale,Roti,10007,Roti cranberry 2 pcs,,,1.000,33810.00,0.00,33810.00,0.00,33810.00,1690.00,Dine In,Kedai,Temu Roti,Owner,,,,Closed</t>
  </si>
  <si>
    <t>14/09/2024 11:22,2-9261,Sale,Roti,10033,Roti panggang sarikaya,,,1.000,21905.00,0.00,21905.00,0.00,21905.00,1095.00,Dine In,Kedai,Temu Roti,Owner,,,,Closed</t>
  </si>
  <si>
    <t>14/09/2024 11:17,2-9260,Sale,Roti,10002,Roti Cranberry,,,1.000,18571.00,0.00,18571.00,0.00,18571.00,929.00,Dine In,Kedai,Temu Roti,Owner,,,,Closed</t>
  </si>
  <si>
    <t>14/09/2024 11:04,2-9259,Sale,Minuman,10123,Rempah Madu Dingin,,,3.000,65715.00,0.00,65715.00,0.00,65715.00,3286.00,Dine In,Kedai,Temu Roti,Owner,,,,Closed</t>
  </si>
  <si>
    <t>14/09/2024 10:48,2-9258,Sale,Minuman,10056,Susu murni moca,,,1.000,19524.00,0.00,19524.00,0.00,19524.00,976.00,Dine In,Kedai,Temu Roti,Owner,,,,Closed</t>
  </si>
  <si>
    <t>14/09/2024 10:48,2-9258,Sale,Minuman,10122,Rempah Madu Panas,,,1.000,21905.00,0.00,21905.00,0.00,21905.00,1095.00,Dine In,Kedai,Temu Roti,Owner,,,,Closed</t>
  </si>
  <si>
    <t>14/09/2024 10:48,2-9258,Sale,Roti,10000,Roti Bawang Saus Keju,,,1.000,29524.00,0.00,29524.00,0.00,29524.00,1477.00,Dine In,Kedai,Temu Roti,Owner,,,,Closed</t>
  </si>
  <si>
    <t>14/09/2024 10:48,2-9258,Sale,Roti,10007,Roti cranberry 2 pcs,,,1.000,33810.00,0.00,33810.00,0.00,33810.00,1690.00,Dine In,Kedai,Temu Roti,Owner,,,,Closed</t>
  </si>
  <si>
    <t>14/09/2024 10:48,2-9258,Sale,Roti,10055,Roti Gandum Cokelat 2 pcs,,,1.000,34762.00,0.00,34762.00,0.00,34762.00,1738.00,Dine In,Kedai,Temu Roti,Owner,,,,Closed</t>
  </si>
  <si>
    <t>14/09/2024 10:42,2-9257,Sale,Roti,10002,Roti Cranberry,,,1.000,18571.00,0.00,18571.00,0.00,18571.00,929.00,Dine In,Kedai,Temu Roti,Owner,,,,Closed</t>
  </si>
  <si>
    <t>13/09/2024 21:08,2-9256,Sale,Minuman,10106,Korean Strawberry Fresh Milk,,,1.000,26667.00,0.00,26667.00,0.00,26667.00,1333.00,Dine In,Kedai,Temu Roti,Owner,,,,Closed</t>
  </si>
  <si>
    <t>13/09/2024 21:08,2-9256,Sale,Minuman,10026,Es Kopi Lemon,,,1.000,21905.00,0.00,21905.00,0.00,21905.00,1096.00,Dine In,Kedai,Temu Roti,Owner,,,,Closed</t>
  </si>
  <si>
    <t>13/09/2024 21:08,2-9256,Sale,Hidangan Utama,10003,Nasi Goreng Temu,,,2.000,59048.00,0.00,59048.00,0.00,59048.00,2952.00,Dine In,Kedai,Temu Roti,Owner,,,,Closed</t>
  </si>
  <si>
    <t>13/09/2024 21:08,2-9256,Sale,Kudapan,10004,Tahu walik,,,1.000,25238.00,0.00,25238.00,0.00,25238.00,1262.00,Dine In,Kedai,Temu Roti,Owner,,,,Closed</t>
  </si>
  <si>
    <t>13/09/2024 21:08,2-9256,Sale,Minuman,10117,Teh Manis Dingin,,,1.000,14286.00,0.00,14286.00,0.00,14286.00,714.00,Dine In,Kedai,Temu Roti,Owner,,,,Closed</t>
  </si>
  <si>
    <t>13/09/2024 21:08,2-9256,Sale,Minuman,10106,Korean Strawberry Fresh Milk,,,1.000,26667.00,0.00,26667.00,0.00,26667.00,1334.00,Dine In,Kedai,Temu Roti,Owner,,,,Closed</t>
  </si>
  <si>
    <t>13/09/2024 21:07,2-9255,Refund,Minuman,10106,Korean Strawberry Fresh Milk,,,-1.000,-26667.00,0.00,-26667.00,-0.00,-26667.00,-1333.00,Dine In,Kedai,Temu Roti,Owner,,,,Closed</t>
  </si>
  <si>
    <t>13/09/2024 21:07,2-9255,Refund,Minuman,10026,Es Kopi Lemon,,,-1.000,-21905.00,0.00,-21905.00,-0.00,-21905.00,-1096.00,Dine In,Kedai,Temu Roti,Owner,,,,Closed</t>
  </si>
  <si>
    <t>13/09/2024 21:07,2-9255,Refund,Hidangan Utama,10003,Nasi Goreng Temu,,,-2.000,-59048.00,0.00,-59048.00,-0.00,-59048.00,-2952.00,Dine In,Kedai,Temu Roti,Owner,,,,Closed</t>
  </si>
  <si>
    <t>13/09/2024 21:07,2-9255,Refund,Kudapan,10004,Tahu walik,,,-1.000,-25238.00,0.00,-25238.00,-0.00,-25238.00,-1262.00,Dine In,Kedai,Temu Roti,Owner,,,,Closed</t>
  </si>
  <si>
    <t>13/09/2024 21:07,2-9255,Refund,Minuman,10117,Teh Manis Dingin,,,-1.000,-14286.00,0.00,-14286.00,-0.00,-14286.00,-714.00,Dine In,Kedai,Temu Roti,Owner,,,,Closed</t>
  </si>
  <si>
    <t>13/09/2024 21:07,2-9255,Refund,Minuman,10107,Korean Mango Fresh Milk,,,-1.000,-26667.00,0.00,-26667.00,-0.00,-26667.00,-1334.00,Dine In,Kedai,Temu Roti,Owner,,,,Closed</t>
  </si>
  <si>
    <t>13/09/2024 19:41,2-9254,Sale,Roti,10005,Roti Gandum Cokelat,,,1.000,19524.00,0.00,19524.00,0.00,19524.00,976.00,Dine In,Kedai,Temu Roti,Owner,,,,Closed</t>
  </si>
  <si>
    <t>13/09/2024 19:41,2-9254,Sale,Minuman,10125,Gula Asam Dingin,,,1.000,20476.00,0.00,20476.00,0.00,20476.00,1024.00,Dine In,Kedai,Temu Roti,Owner,,,,Closed</t>
  </si>
  <si>
    <t>13/09/2024 19:16,2-9253,Sale,Roti,10055,Roti Gandum Cokelat 2 pcs,,,1.000,34762.00,0.00,34762.00,0.00,34762.00,1738.00,Dine In,Kedai,Temu Roti,Owner,,,,Closed</t>
  </si>
  <si>
    <t>13/09/2024 19:16,2-9253,Sale,Roti,10000,Roti Bawang Saus Keju,,,1.000,29524.00,0.00,29524.00,0.00,29524.00,1476.00,Dine In,Kedai,Temu Roti,Owner,,,,Closed</t>
  </si>
  <si>
    <t>13/09/2024 19:15,2-9252,Sale,Roti,10000,Roti Bawang Saus Keju,,,1.000,29524.00,0.00,29524.00,0.00,29524.00,1476.00,Dine In,Kedai,Temu Roti,Owner,,,,Closed</t>
  </si>
  <si>
    <t>13/09/2024 18:53,2-9251,Sale,Minuman,10122,Rempah Madu Panas,,,2.000,43810.00,0.00,43810.00,0.00,43810.00,2191.00,Dine In,Kedai,Temu Roti,Owner,,,,Closed</t>
  </si>
  <si>
    <t>13/09/2024 18:53,2-9251,Sale,Roti,10034,Roti panggang coklat,,,1.000,21905.00,0.00,21905.00,0.00,21905.00,1095.00,Dine In,Kedai,Temu Roti,Owner,,,,Closed</t>
  </si>
  <si>
    <t>13/09/2024 18:53,2-9250,Refund,Roti,10005,Roti Gandum Cokelat,,,-1.000,-19524.00,0.00,-19524.00,-0.00,-19524.00,-976.00,Dine In,Kedai,Temu Roti,Owner,,,,Closed</t>
  </si>
  <si>
    <t>13/09/2024 18:53,2-9250,Refund,Minuman,10122,Rempah Madu Panas,,,-2.000,-43810.00,0.00,-43810.00,-0.00,-43810.00,-2191.00,Dine In,Kedai,Temu Roti,Owner,,,,Closed</t>
  </si>
  <si>
    <t>13/09/2024 18:49,2-9249,Sale,Minuman,10106,Korean Strawberry Fresh Milk,,,1.000,26667.00,0.00,26667.00,0.00,26667.00,1333.00,Dine In,Kedai,Temu Roti,Owner,,,,Closed</t>
  </si>
  <si>
    <t>13/09/2024 18:49,2-9249,Sale,Minuman,10026,Es Kopi Lemon,,,1.000,21905.00,0.00,21905.00,0.00,21905.00,1096.00,Dine In,Kedai,Temu Roti,Owner,,,,Closed</t>
  </si>
  <si>
    <t>13/09/2024 18:49,2-9249,Sale,Hidangan Utama,10003,Nasi Goreng Temu,,,2.000,59048.00,0.00,59048.00,0.00,59048.00,2952.00,Dine In,Kedai,Temu Roti,Owner,,,,Closed</t>
  </si>
  <si>
    <t>13/09/2024 18:49,2-9249,Sale,Kudapan,10004,Tahu walik,,,1.000,25238.00,0.00,25238.00,0.00,25238.00,1262.00,Dine In,Kedai,Temu Roti,Owner,,,,Closed</t>
  </si>
  <si>
    <t>13/09/2024 18:49,2-9249,Sale,Minuman,10117,Teh Manis Dingin,,,1.000,14286.00,0.00,14286.00,0.00,14286.00,714.00,Dine In,Kedai,Temu Roti,Owner,,,,Closed</t>
  </si>
  <si>
    <t>13/09/2024 18:49,2-9249,Sale,Minuman,10107,Korean Mango Fresh Milk,,,1.000,26667.00,0.00,26667.00,0.00,26667.00,1334.00,Dine In,Kedai,Temu Roti,Owner,,,,Closed</t>
  </si>
  <si>
    <t>13/09/2024 18:42,2-9248,Sale,Roti,10005,Roti Gandum Cokelat,,,1.000,19524.00,0.00,19524.00,0.00,19524.00,976.00,Dine In,Kedai,Temu Roti,Owner,,,,Closed</t>
  </si>
  <si>
    <t>13/09/2024 18:42,2-9248,Sale,Minuman,10122,Rempah Madu Panas,,,2.000,43810.00,0.00,43810.00,0.00,43810.00,2191.00,Dine In,Kedai,Temu Roti,Owner,,,,Closed</t>
  </si>
  <si>
    <t>13/09/2024 18:42,2-9247,Refund,Roti,10034,Roti panggang coklat,,,-1.000,-21905.00,0.00,-21905.00,-0.00,-21905.00,-1095.00,Dine In,Kedai,Temu Roti,Owner,,,,Closed</t>
  </si>
  <si>
    <t>13/09/2024 18:41,2-9246,Sale,Minuman,10122,Rempah Madu Panas,,,2.000,43810.00,0.00,43810.00,0.00,43810.00,2191.00,Dine In,Kedai,Temu Roti,Owner,,,,Closed</t>
  </si>
  <si>
    <t>13/09/2024 18:41,2-9246,Sale,Roti,10034,Roti panggang coklat,,,1.000,21905.00,0.00,21905.00,0.00,21905.00,1095.00,Dine In,Kedai,Temu Roti,Owner,,,,Closed</t>
  </si>
  <si>
    <t>13/09/2024 18:36,2-9245,Sale,Roti,10005,Roti Gandum Cokelat,,,1.000,19524.00,0.00,19524.00,0.00,19524.00,976.00,Dine In,Kedai,Temu Roti,Owner,,,,Closed</t>
  </si>
  <si>
    <t>13/09/2024 18:13,2-9244,Sale,Roti,10000,Roti Bawang Saus Keju,,,1.000,29524.00,0.00,29524.00,0.00,29524.00,1476.00,Dine In,Kedai,Temu Roti,Owner,,,,Closed</t>
  </si>
  <si>
    <t>13/09/2024 17:21,2-9243,Sale,Roti,10000,Roti Bawang Saus Keju,,,1.000,29524.00,0.00,29524.00,0.00,29524.00,1476.00,Dine In,Kedai,Temu Roti,Owner,,,,Closed</t>
  </si>
  <si>
    <t>13/09/2024 17:10,2-9242,Sale,Roti,10033,Roti panggang sarikaya,,,1.000,21905.00,0.00,21905.00,0.00,21905.00,1095.00,Dine In,Kedai,Temu Roti,Owner,,,,Closed</t>
  </si>
  <si>
    <t>13/09/2024 17:10,2-9242,Sale,Roti,10002,Roti Cranberry,,,1.000,18571.00,0.00,18571.00,0.00,18571.00,929.00,Dine In,Kedai,Temu Roti,Owner,,,,Closed</t>
  </si>
  <si>
    <t>13/09/2024 17:10,2-9242,Sale,Minuman,10128,Es Kopi Susu,,,1.000,23333.00,0.00,23333.00,0.00,23333.00,1166.00,Dine In,Kedai,Temu Roti,Owner,,,,Closed</t>
  </si>
  <si>
    <t>13/09/2024 17:10,2-9242,Sale,Minuman,10120,Lemon Tea Panas,,,1.000,19524.00,0.00,19524.00,0.00,19524.00,977.00,Dine In,Kedai,Temu Roti,Owner,,,,Closed</t>
  </si>
  <si>
    <t>13/09/2024 16:54,2-9241,Sale,Roti,10002,Roti Cranberry,,,1.000,18571.00,0.00,18571.00,0.00,18571.00,929.00,Dine In,Kedai,Temu Roti,Owner,,,,Closed</t>
  </si>
  <si>
    <t>13/09/2024 16:14,2-9240,Sale,Roti,10002,Roti Cranberry,,,1.000,18571.00,0.00,18571.00,0.00,18571.00,929.00,Dine In,Kedai,Temu Roti,Owner,,,,Closed</t>
  </si>
  <si>
    <t>13/09/2024 16:14,2-9240,Sale,Roti,10005,Roti Gandum Cokelat,,,1.000,19524.00,0.00,19524.00,0.00,19524.00,976.00,Dine In,Kedai,Temu Roti,Owner,,,,Closed</t>
  </si>
  <si>
    <t>13/09/2024 16:14,2-9240,Sale,Hidangan Utama,10053,Nasi telor,,,1.000,25238.00,0.00,25238.00,0.00,25238.00,1262.00,Dine In,Kedai,Temu Roti,Owner,,,,Closed</t>
  </si>
  <si>
    <t>13/09/2024 16:14,2-9240,Sale,Hidangan Utama,10104,Chicken Claypot Rice,,,1.000,34762.00,0.00,34762.00,0.00,34762.00,1738.00,Dine In,Kedai,Temu Roti,Owner,,,,Closed</t>
  </si>
  <si>
    <t>13/09/2024 16:14,2-9240,Sale,Kudapan,10014,Tempe Mendoan,,,1.000,25238.00,0.00,25238.00,0.00,25238.00,1262.00,Dine In,Kedai,Temu Roti,Owner,,,,Closed</t>
  </si>
  <si>
    <t>13/09/2024 15:45,2-9239,Sale,Roti,10000,Roti Bawang Saus Keju,,,1.000,29524.00,0.00,29524.00,0.00,29524.00,1476.00,Dine In,Kedai,Temu Roti,Owner,,,,Closed</t>
  </si>
  <si>
    <t>13/09/2024 15:45,2-9239,Sale,Minuman,10119,Teh Tawar Dingin,,,1.000,7143.00,0.00,7143.00,0.00,7143.00,357.00,Dine In,Kedai,Temu Roti,Owner,,,,Closed</t>
  </si>
  <si>
    <t>13/09/2024 15:45,2-9239,Sale,Minuman,10107,Korean Mango Fresh Milk,,,1.000,26667.00,0.00,26667.00,0.00,26667.00,1334.00,Dine In,Kedai,Temu Roti,Owner,,,,Closed</t>
  </si>
  <si>
    <t>13/09/2024 15:45,2-9239,Sale,Kudapan,10014,Tempe Mendoan,,,1.000,25238.00,0.00,25238.00,0.00,25238.00,1262.00,Dine In,Kedai,Temu Roti,Owner,,,,Closed</t>
  </si>
  <si>
    <t>13/09/2024 14:46,2-9238,Sale,Roti,10005,Roti Gandum Cokelat,,,1.000,19524.00,0.00,19524.00,0.00,19524.00,976.00,Dine In,Kedai,Temu Roti,Owner,,,,Closed</t>
  </si>
  <si>
    <t>13/09/2024 14:46,2-9238,Sale,Roti,10002,Roti Cranberry,,,1.000,18571.00,0.00,18571.00,0.00,18571.00,929.00,Dine In,Kedai,Temu Roti,Owner,,,,Closed</t>
  </si>
  <si>
    <t>13/09/2024 14:10,2-9237,Sale,Minuman,10128,Es Kopi Susu,,,1.000,23333.00,0.00,23333.00,0.00,23333.00,1167.00,Dine In,Kedai,Temu Roti,Owner,,,,Closed</t>
  </si>
  <si>
    <t>13/09/2024 14:10,2-9237,Sale,Roti,10002,Roti Cranberry,,,1.000,18571.00,0.00,18571.00,0.00,18571.00,928.00,Dine In,Kedai,Temu Roti,Owner,,,,Closed</t>
  </si>
  <si>
    <t>13/09/2024 14:07,2-9236,Sale,Promo,10023,(Voucher Gratis) Es Kopi Susu,,,3.000,0.00,0.00,0.00,0.00,0.00,0.00,Dine In,Kedai,Temu Roti,Owner,,,,Closed</t>
  </si>
  <si>
    <t>13/09/2024 14:07,2-9236,Sale,Promo,10021,(Voucher Gratis) Roti Gandum Coklat,,,2.000,0.00,0.00,0.00,0.00,0.00,0.00,Dine In,Kedai,Temu Roti,Owner,,,,Closed</t>
  </si>
  <si>
    <t>13/09/2024 14:07,2-9236,Sale,Promo,10022,(Voucher Gratis) Roti Cranberry Cheese,,,1.000,0.00,0.00,0.00,0.00,0.00,0.00,Dine In,Kedai,Temu Roti,Owner,,,,Closed</t>
  </si>
  <si>
    <t>13/09/2024 13:50,2-9235,Sale,Kudapan,10011,Kentang Goreng,,,1.000,25238.00,0.00,25238.00,0.00,25238.00,1262.00,Dine In,Kedai,Temu Roti,Owner,,,,Closed</t>
  </si>
  <si>
    <t>13/09/2024 13:50,2-9235,Sale,Minuman,10128,Es Kopi Susu,,,1.000,23333.00,0.00,23333.00,0.00,23333.00,1167.00,Dine In,Kedai,Temu Roti,Owner,,,,Closed</t>
  </si>
  <si>
    <t>13/09/2024 13:50,2-9235,Sale,Roti,10007,Roti cranberry 2 pcs,,,2.000,67620.00,0.00,67620.00,0.00,67620.00,3381.00,Dine In,Kedai,Temu Roti,Owner,,,,Closed</t>
  </si>
  <si>
    <t>12/09/2024 21:03,2-9234,Sale,Roti,10005,Roti Gandum Cokelat,,,2.000,39048.00,0.00,39048.00,0.00,39048.00,1952.00,Dine In,Kedai,Temu Roti,Owner,,,,Closed</t>
  </si>
  <si>
    <t>12/09/2024 20:55,2-9233,Sale,Roti,10005,Roti Gandum Cokelat,,,1.000,19524.00,0.00,19524.00,0.00,19524.00,976.00,Dine In,Kedai,Temu Roti,Owner,,,,Closed</t>
  </si>
  <si>
    <t>12/09/2024 19:51,2-9232,Sale,Minuman,10119,Teh Tawar Dingin,,,1.000,7143.00,0.00,7143.00,0.00,7143.00,357.00,Dine In,Kedai,Temu Roti,Owner,,,,Closed</t>
  </si>
  <si>
    <t>12/09/2024 19:51,2-9232,Sale,Roti,10000,Roti Bawang Saus Keju,,,1.000,29524.00,0.00,29524.00,0.00,29524.00,1476.00,Dine In,Kedai,Temu Roti,Owner,,,,Closed</t>
  </si>
  <si>
    <t>12/09/2024 19:51,2-9232,Sale,Minuman,10058,Susu murni ori,,,1.000,19524.00,0.00,19524.00,0.00,19524.00,977.00,Dine In,Kedai,Temu Roti,Owner,,,,Closed</t>
  </si>
  <si>
    <t>12/09/2024 19:51,2-9232,Sale,Kudapan,10015,Tahu Lada Garam,,,1.000,25238.00,0.00,25238.00,0.00,25238.00,1261.00,Dine In,Kedai,Temu Roti,Owner,,,,Closed</t>
  </si>
  <si>
    <t>12/09/2024 19:51,2-9232,Sale,Minuman,10112,Air mineral,,,2.000,13334.00,0.00,13334.00,0.00,13334.00,667.00,Dine In,Kedai,Temu Roti,Owner,,,,Closed</t>
  </si>
  <si>
    <t>12/09/2024 18:32,2-9231,Sale,Roti,10055,Roti Gandum Cokelat 2 pcs,,,2.000,69524.00,0.00,69524.00,0.00,69524.00,3476.00,Dine In,Kedai,Temu Roti,Owner,,,,Closed</t>
  </si>
  <si>
    <t>12/09/2024 17:31,2-9230,Sale,Minuman,10128,Es Kopi Susu,,,1.000,23333.00,0.00,23333.00,0.00,23333.00,1167.00,Dine In,Kedai,Temu Roti,Owner,,,,Closed</t>
  </si>
  <si>
    <t>12/09/2024 17:31,2-9230,Sale,Roti,10034,Roti panggang coklat,,,1.000,21905.00,0.00,21905.00,0.00,21905.00,1095.00,Dine In,Kedai,Temu Roti,Owner,,,,Closed</t>
  </si>
  <si>
    <t>12/09/2024 17:24,2-9229,Sale,Roti,10002,Roti Cranberry,,,1.000,18571.00,0.00,18571.00,0.00,18571.00,929.00,Dine In,Kedai,Temu Roti,Owner,,,,Closed</t>
  </si>
  <si>
    <t>12/09/2024 17:24,2-9229,Sale,Roti,10005,Roti Gandum Cokelat,,,1.000,19524.00,0.00,19524.00,0.00,19524.00,976.00,Dine In,Kedai,Temu Roti,Owner,,,,Closed</t>
  </si>
  <si>
    <t>12/09/2024 17:24,2-9229,Sale,Kudapan,10004,Tahu walik,,,1.000,25238.00,0.00,25238.00,0.00,25238.00,1262.00,Dine In,Kedai,Temu Roti,Owner,,,,Closed</t>
  </si>
  <si>
    <t>12/09/2024 17:19,2-9228,Sale,Roti,10000,Roti Bawang Saus Keju,,,1.000,29524.00,0.00,29524.00,0.00,29524.00,1476.00,Dine In,Kedai,Temu Roti,Owner,,,,Closed</t>
  </si>
  <si>
    <t>12/09/2024 17:19,2-9228,Sale,Roti,10007,Roti cranberry 2 pcs,,,1.000,33810.00,0.00,33810.00,0.00,33810.00,1691.00,Dine In,Kedai,Temu Roti,Owner,,,,Closed</t>
  </si>
  <si>
    <t>12/09/2024 17:15,2-9227,Sale,Roti,10000,Roti Bawang Saus Keju,,,1.000,29524.00,0.00,29524.00,0.00,29524.00,1476.00,Dine In,Kedai,Temu Roti,Owner,,,,Closed</t>
  </si>
  <si>
    <t>12/09/2024 16:36,2-9226,Sale,Minuman,10128,Es Kopi Susu,,,1.000,23333.00,0.00,23333.00,0.00,23333.00,1167.00,Dine In,Kedai,Temu Roti,Owner,,,,Closed</t>
  </si>
  <si>
    <t>12/09/2024 16:36,2-9226,Sale,Roti,10002,Roti Cranberry,,,1.000,18571.00,0.00,18571.00,0.00,18571.00,928.00,Dine In,Kedai,Temu Roti,Owner,,,,Closed</t>
  </si>
  <si>
    <t>12/09/2024 16:29,2-9225,Sale,Minuman,10123,Rempah Madu Dingin,,,1.000,21905.00,0.00,21905.00,0.00,21905.00,1095.00,Dine In,Kedai,Temu Roti,Owner,,,,Closed</t>
  </si>
  <si>
    <t>12/09/2024 16:29,2-9225,Sale,Kudapan,10014,Tempe Mendoan,,,1.000,25238.00,0.00,25238.00,0.00,25238.00,1262.00,Dine In,Kedai,Temu Roti,Owner,,,,Closed</t>
  </si>
  <si>
    <t>12/09/2024 16:29,2-9225,Sale,Roti,10000,Roti Bawang Saus Keju,,,1.000,29524.00,0.00,29524.00,0.00,29524.00,1476.00,Dine In,Kedai,Temu Roti,Owner,,,,Closed</t>
  </si>
  <si>
    <t>12/09/2024 15:29,2-9224,Sale,Roti,10000,Roti Bawang Saus Keju,,,1.000,29524.00,0.00,29524.00,0.00,29524.00,1476.00,Dine In,Kedai,Temu Roti,Owner,,,,Closed</t>
  </si>
  <si>
    <t>12/09/2024 15:29,2-9224,Sale,Minuman,10128,Es Kopi Susu,,,1.000,23333.00,0.00,23333.00,0.00,23333.00,1167.00,Dine In,Kedai,Temu Roti,Owner,,,,Closed</t>
  </si>
  <si>
    <t>12/09/2024 15:29,2-9224,Sale,Minuman,10057,Susu murni strawberry,,,1.000,19524.00,0.00,19524.00,0.00,19524.00,976.00,Dine In,Kedai,Temu Roti,Owner,,,,Closed</t>
  </si>
  <si>
    <t>12/09/2024 14:35,2-9223,Sale,Minuman,10121,Lemon Tea Dingin,,,1.000,19524.00,0.00,19524.00,0.00,19524.00,976.00,Dine In,Kedai,Temu Roti,Owner,,,,Closed</t>
  </si>
  <si>
    <t>12/09/2024 14:35,2-9223,Sale,Roti,10034,Roti panggang coklat,,,1.000,21905.00,0.00,21905.00,0.00,21905.00,1095.00,Dine In,Kedai,Temu Roti,Owner,,,,Closed</t>
  </si>
  <si>
    <t>12/09/2024 14:35,2-9223,Sale,Hidangan Utama,10104,Chicken Claypot Rice,,,1.000,34762.00,0.00,34762.00,0.00,34762.00,1739.00,Dine In,Kedai,Temu Roti,Owner,,,,Closed</t>
  </si>
  <si>
    <t>12/09/2024 14:33,2-9222,Refund,Minuman,10112,Air mineral,,,-2.000,-13334.00,0.00,-13334.00,-0.00,-13334.00,-667.00,Dine In,Kedai,Temu Roti,Owner,,,,Closed</t>
  </si>
  <si>
    <t>12/09/2024 14:33,2-9222,Refund,Minuman,10117,Teh Manis Dingin,,,-1.000,-14286.00,0.00,-14286.00,-0.00,-14286.00,-714.00,Dine In,Kedai,Temu Roti,Owner,,,,Closed</t>
  </si>
  <si>
    <t>12/09/2024 14:33,2-9222,Refund,Minuman,10128,Es Kopi Susu,,,-1.000,-23333.00,0.00,-23333.00,-0.00,-23333.00,-1167.00,Dine In,Kedai,Temu Roti,Owner,,,,Closed</t>
  </si>
  <si>
    <t>12/09/2024 14:33,2-9221,Sale,Minuman,10128,Es Kopi Susu,,,1.000,23333.00,0.00,23333.00,0.00,23333.00,1167.00,Dine In,Kedai,Temu Roti,Owner,,,,Closed</t>
  </si>
  <si>
    <t>12/09/2024 14:33,2-9221,Sale,Minuman,10117,Teh Manis Dingin,,,1.000,14286.00,0.00,14286.00,0.00,14286.00,714.00,Dine In,Kedai,Temu Roti,Owner,,,,Closed</t>
  </si>
  <si>
    <t>12/09/2024 14:33,2-9221,Sale,Minuman,10112,Air mineral,,,2.000,13334.00,0.00,13334.00,0.00,13334.00,667.00,Dine In,Kedai,Temu Roti,Owner,,,,Closed</t>
  </si>
  <si>
    <t>12/09/2024 14:32,2-9220,Sale,Minuman,10112,Air mineral,,,2.000,13334.00,0.00,13334.00,0.00,13334.00,667.00,Dine In,Kedai,Temu Roti,Owner,,,,Closed</t>
  </si>
  <si>
    <t>12/09/2024 14:32,2-9220,Sale,Minuman,10117,Teh Manis Dingin,,,1.000,14286.00,0.00,14286.00,0.00,14286.00,714.00,Dine In,Kedai,Temu Roti,Owner,,,,Closed</t>
  </si>
  <si>
    <t>12/09/2024 14:32,2-9220,Sale,Minuman,10128,Es Kopi Susu,,,1.000,23333.00,0.00,23333.00,0.00,23333.00,1167.00,Dine In,Kedai,Temu Roti,Owner,,,,Closed</t>
  </si>
  <si>
    <t>12/09/2024 13:26,2-9219,Sale,Kudapan,10009,Jamur Enoki Krispi,,,1.000,26667.00,0.00,26667.00,0.00,26667.00,1333.00,Dine In,Kedai,Temu Roti,Owner,,,,Closed</t>
  </si>
  <si>
    <t>12/09/2024 13:26,2-9219,Sale,Minuman,10106,Korean Strawberry Fresh Milk,,,1.000,26667.00,0.00,26667.00,0.00,26667.00,1334.00,Dine In,Kedai,Temu Roti,Owner,,,,Closed</t>
  </si>
  <si>
    <t>12/09/2024 13:15,2-9218,Sale,Roti,10033,Roti panggang sarikaya,,,1.000,21905.00,0.00,21905.00,0.00,21905.00,1095.00,Dine In,Kedai,Temu Roti,Owner,,,,Closed</t>
  </si>
  <si>
    <t>12/09/2024 13:15,2-9218,Sale,Roti,10039,Roti panggang strawberry,,,1.000,21905.00,0.00,21905.00,0.00,21905.00,1096.00,Dine In,Kedai,Temu Roti,Owner,,,,Closed</t>
  </si>
  <si>
    <t>12/09/2024 13:15,2-9218,Sale,Minuman,10128,Es Kopi Susu,,,2.000,46666.00,0.00,46666.00,0.00,46666.00,2333.00,Dine In,Kedai,Temu Roti,Owner,,,,Closed</t>
  </si>
  <si>
    <t>12/09/2024 13:01,2-9217,Sale,Roti,10007,Roti cranberry 2 pcs,,,1.000,33810.00,0.00,33810.00,0.00,33810.00,1691.00,Dine In,Kedai,Temu Roti,Owner,,,,Closed</t>
  </si>
  <si>
    <t>12/09/2024 12:57,2-9216,Sale,Roti,10005,Roti Gandum Cokelat,,,1.000,19524.00,0.00,19524.00,0.00,19524.00,976.00,Dine In,Kedai,Temu Roti,Owner,,,,Closed</t>
  </si>
  <si>
    <t>12/09/2024 12:57,2-9216,Sale,Minuman,10128,Es Kopi Susu,,,1.000,23333.00,0.00,23333.00,0.00,23333.00,1167.00,Dine In,Kedai,Temu Roti,Owner,,,,Closed</t>
  </si>
  <si>
    <t>12/09/2024 12:33,2-9215,Sale,Roti,10000,Roti Bawang Saus Keju,,,1.000,29524.00,0.00,29524.00,0.00,29524.00,1476.00,Dine In,Kedai,Temu Roti,Owner,,,,Closed</t>
  </si>
  <si>
    <t>12/09/2024 12:33,2-9215,Sale,Roti,10002,Roti Cranberry,,,1.000,18571.00,0.00,18571.00,0.00,18571.00,929.00,Dine In,Kedai,Temu Roti,Owner,,,,Closed</t>
  </si>
  <si>
    <t>12/09/2024 12:33,2-9215,Sale,Minuman,10128,Es Kopi Susu,,,1.000,23333.00,0.00,23333.00,0.00,23333.00,1166.00,Dine In,Kedai,Temu Roti,Owner,,,,Closed</t>
  </si>
  <si>
    <t>12/09/2024 11:57,2-9214,Sale,Roti,10000,Roti Bawang Saus Keju,,,1.000,29524.00,0.00,29524.00,0.00,29524.00,1476.00,Dine In,Kedai,Temu Roti,Owner,,,,Closed</t>
  </si>
  <si>
    <t>12/09/2024 11:57,2-9214,Sale,Kudapan,10009,Jamur Enoki Krispi,,,1.000,26667.00,0.00,26667.00,0.00,26667.00,1334.00,Dine In,Kedai,Temu Roti,Owner,,,,Closed</t>
  </si>
  <si>
    <t>12/09/2024 11:57,2-9214,Sale,Minuman,10128,Es Kopi Susu,,,2.000,46666.00,0.00,46666.00,0.00,46666.00,2333.00,Dine In,Kedai,Temu Roti,Owner,,,,Closed</t>
  </si>
  <si>
    <t>12/09/2024 11:57,2-9214,Sale,Roti,10002,Roti Cranberry,,,1.000,18571.00,0.00,18571.00,0.00,18571.00,928.00,Dine In,Kedai,Temu Roti,Owner,,,,Closed</t>
  </si>
  <si>
    <t>12/09/2024 11:15,2-9213,Sale,Roti,10002,Roti Cranberry,,,1.000,18571.00,0.00,18571.00,0.00,18571.00,929.00,Dine In,Kedai,Temu Roti,Owner,,,,Closed</t>
  </si>
  <si>
    <t>12/09/2024 11:15,2-9213,Sale,Roti,10005,Roti Gandum Cokelat,,,1.000,19524.00,0.00,19524.00,0.00,19524.00,976.00,Dine In,Kedai,Temu Roti,Owner,,,,Closed</t>
  </si>
  <si>
    <t>12/09/2024 11:15,2-9213,Sale,Kudapan,10051,Tahu baso,,,1.000,25238.00,0.00,25238.00,0.00,25238.00,1262.00,Dine In,Kedai,Temu Roti,Owner,,,,Closed</t>
  </si>
  <si>
    <t>12/09/2024 11:07,2-9212,Sale,Roti,10007,Roti cranberry 2 pcs,,,1.000,33810.00,0.00,33810.00,0.00,33810.00,1691.00,Dine In,Kedai,Temu Roti,Owner,,,,Closed</t>
  </si>
  <si>
    <t>12/09/2024 11:07,2-9212,Sale,Minuman,10128,Es Kopi Susu,,,2.000,46666.00,0.00,46666.00,0.00,46666.00,2333.00,Dine In,Kedai,Temu Roti,Owner,,,,Closed</t>
  </si>
  <si>
    <t>12/09/2024 11:07,2-9212,Sale,Hidangan Utama,10012,Mie joglo,,,1.000,29524.00,0.00,29524.00,0.00,29524.00,1476.00,Dine In,Kedai,Temu Roti,Owner,,,,Closed</t>
  </si>
  <si>
    <t>12/09/2024 09:51,2-9211,Sale,Roti,10005,Roti Gandum Cokelat,,,1.000,19524.00,0.00,19524.00,0.00,19524.00,976.00,Dine In,Kedai,Temu Roti,Owner,,,,Closed</t>
  </si>
  <si>
    <t>12/09/2024 09:51,2-9211,Sale,Roti,10033,Roti panggang sarikaya,,,1.000,21905.00,0.00,21905.00,0.00,21905.00,1095.00,Dine In,Kedai,Temu Roti,Owner,,,,Closed</t>
  </si>
  <si>
    <t>12/09/2024 09:51,2-9211,Sale,Minuman,10106,Korean Strawberry Fresh Milk,,,1.000,26667.00,0.00,26667.00,0.00,26667.00,1334.00,Dine In,Kedai,Temu Roti,Owner,,,,Closed</t>
  </si>
  <si>
    <t>12/09/2024 09:51,2-9211,Sale,Minuman,10122,Rempah Madu Panas,,,2.000,43810.00,0.00,43810.00,0.00,43810.00,2190.00,Dine In,Kedai,Temu Roti,Owner,,,,Closed</t>
  </si>
  <si>
    <t>12/09/2024 09:51,2-9211,Sale,Kudapan,10051,Tahu baso,,,1.000,25238.00,0.00,25238.00,0.00,25238.00,1262.00,Dine In,Kedai,Temu Roti,Owner,,,,Closed</t>
  </si>
  <si>
    <t>12/09/2024 09:51,2-9211,Sale,Kudapan,10014,Tempe Mendoan,,,1.000,25238.00,0.00,25238.00,0.00,25238.00,1262.00,Dine In,Kedai,Temu Roti,Owner,,,,Closed</t>
  </si>
  <si>
    <t>12/09/2024 09:50,2-9210,Sale,Roti,10007,Roti cranberry 2 pcs,,,1.000,33810.00,0.00,33810.00,0.00,33810.00,1691.00,Dine In,Kedai,Temu Roti,Owner,,,,Closed</t>
  </si>
  <si>
    <t>12/09/2024 09:50,2-9210,Sale,Minuman,10127,Kopi Tubruk Panas,,,1.000,18571.00,0.00,18571.00,0.00,18571.00,928.00,Dine In,Kedai,Temu Roti,Owner,,,,Closed</t>
  </si>
  <si>
    <t>12/09/2024 09:50,2-9210,Sale,Minuman,10118,Teh Tawar Panas,,,1.000,7143.00,0.00,7143.00,0.00,7143.00,357.00,Dine In,Kedai,Temu Roti,Owner,,,,Closed</t>
  </si>
  <si>
    <t>12/09/2024 09:50,2-9210,Sale,Kudapan,10014,Tempe Mendoan,,,1.000,25238.00,0.00,25238.00,0.00,25238.00,1262.00,Dine In,Kedai,Temu Roti,Owner,,,,Closed</t>
  </si>
  <si>
    <t>12/09/2024 09:50,2-9210,Sale,Roti,10005,Roti Gandum Cokelat,,,1.000,19524.00,0.00,19524.00,0.00,19524.00,976.00,Dine In,Kedai,Temu Roti,Owner,,,,Closed</t>
  </si>
  <si>
    <t>11/09/2024 19:43,2-9209,Sale,Minuman,10128,Es Kopi Susu,,,1.000,23333.00,0.00,23333.00,0.00,23333.00,1167.00,Dine In,Kedai,Temu Roti,Owner,,,,Closed</t>
  </si>
  <si>
    <t>11/09/2024 19:43,2-9209,Sale,Kudapan,10015,Tahu Lada Garam,,,1.000,25238.00,0.00,25238.00,0.00,25238.00,1262.00,Dine In,Kedai,Temu Roti,Owner,,,,Closed</t>
  </si>
  <si>
    <t>11/09/2024 19:41,2-9208,Sale,Roti,10005,Roti Gandum Cokelat,,,1.000,19524.00,0.00,19524.00,0.00,19524.00,976.00,Dine In,Kedai,Temu Roti,Owner,,,,Closed</t>
  </si>
  <si>
    <t>11/09/2024 19:04,2-9207,Sale,Minuman,10107,Korean Mango Fresh Milk,,,1.000,26667.00,0.00,26667.00,0.00,26667.00,1333.00,Dine In,Kedai,Temu Roti,Owner,,,,Closed</t>
  </si>
  <si>
    <t>11/09/2024 19:04,2-9207,Sale,Minuman,10069,Wedang hujan,,,1.000,24762.00,0.00,24762.00,0.00,24762.00,1238.00,Dine In,Kedai,Temu Roti,Owner,,,,Closed</t>
  </si>
  <si>
    <t>11/09/2024 18:28,2-9206,Sale,Roti,10000,Roti Bawang Saus Keju,,,1.000,29524.00,0.00,29524.00,0.00,29524.00,1476.00,Dine In,Kedai,Temu Roti,Owner,,,,Closed</t>
  </si>
  <si>
    <t>11/09/2024 18:28,2-9206,Sale,Roti,10007,Roti cranberry 2 pcs,,,1.000,33810.00,0.00,33810.00,0.00,33810.00,1691.00,Dine In,Kedai,Temu Roti,Owner,,,,Closed</t>
  </si>
  <si>
    <t>11/09/2024 17:44,2-9205,Sale,Minuman,10125,Gula Asam Dingin,,,1.000,20476.00,0.00,20476.00,0.00,20476.00,1024.00,Dine In,Kedai,Temu Roti,Owner,,,,Closed</t>
  </si>
  <si>
    <t>11/09/2024 17:44,2-9205,Sale,Minuman,10056,Susu murni moca,,,1.000,19524.00,0.00,19524.00,0.00,19524.00,976.00,Dine In,Kedai,Temu Roti,Owner,,,,Closed</t>
  </si>
  <si>
    <t>11/09/2024 17:44,2-9205,Sale,Minuman,10070,Wedang laut,,,1.000,24762.00,0.00,24762.00,0.00,24762.00,1238.00,Dine In,Kedai,Temu Roti,Owner,,,,Closed</t>
  </si>
  <si>
    <t>11/09/2024 17:44,2-9205,Sale,Roti,10000,Roti Bawang Saus Keju,,,1.000,29524.00,0.00,29524.00,0.00,29524.00,1476.00,Dine In,Kedai,Temu Roti,Owner,,,,Closed</t>
  </si>
  <si>
    <t>11/09/2024 17:42,2-9204,Sale,Kudapan,10009,Jamur Enoki Krispi,,,1.000,26667.00,0.00,26667.00,0.00,26667.00,1333.00,Dine In,Kedai,Temu Roti,Owner,,,,Closed</t>
  </si>
  <si>
    <t>11/09/2024 17:42,2-9204,Sale,Roti,10033,Roti panggang sarikaya,,,1.000,21905.00,0.00,21905.00,0.00,21905.00,1096.00,Dine In,Kedai,Temu Roti,Owner,,,,Closed</t>
  </si>
  <si>
    <t>11/09/2024 17:42,2-9204,Sale,Minuman,10119,Teh Tawar Dingin,,,2.000,14286.00,0.00,14286.00,0.00,14286.00,714.00,Dine In,Kedai,Temu Roti,Owner,,,,Closed</t>
  </si>
  <si>
    <t>11/09/2024 17:27,2-9203,Sale,Roti,10033,Roti panggang sarikaya,,,1.000,21905.00,0.00,21905.00,0.00,21905.00,1095.00,Dine In,Kedai,Temu Roti,Owner,,,,Closed</t>
  </si>
  <si>
    <t>11/09/2024 17:27,2-9203,Sale,Minuman,10122,Rempah Madu Panas,,,1.000,21905.00,0.00,21905.00,0.00,21905.00,1096.00,Dine In,Kedai,Temu Roti,Owner,,,,Closed</t>
  </si>
  <si>
    <t>11/09/2024 17:26,2-9202,Sale,Minuman,10128,Es Kopi Susu,,,2.000,46666.00,0.00,46666.00,0.00,46666.00,2333.00,Dine In,Kedai,Temu Roti,Owner,,,,Closed</t>
  </si>
  <si>
    <t>11/09/2024 17:26,2-9202,Sale,Roti,10005,Roti Gandum Cokelat,,,1.000,19524.00,0.00,19524.00,0.00,19524.00,977.00,Dine In,Kedai,Temu Roti,Owner,,,,Closed</t>
  </si>
  <si>
    <t>11/09/2024 17:16,2-9201,Sale,Roti,10002,Roti Cranberry,,,1.000,18571.00,0.00,18571.00,0.00,18571.00,929.00,Dine In,Kedai,Temu Roti,Owner,,,,Closed</t>
  </si>
  <si>
    <t>11/09/2024 17:16,2-9201,Sale,Roti,10005,Roti Gandum Cokelat,,,1.000,19524.00,0.00,19524.00,0.00,19524.00,976.00,Dine In,Kedai,Temu Roti,Owner,,,,Closed</t>
  </si>
  <si>
    <t>11/09/2024 17:16,2-9200,Refund,Roti,10005,Roti Gandum Cokelat,,,-1.000,-19524.00,0.00,-19524.00,-0.00,-19524.00,-976.00,Dine In,Kedai,Temu Roti,Owner,,,,Closed</t>
  </si>
  <si>
    <t>11/09/2024 17:16,2-9200,Refund,Roti,10002,Roti Cranberry,,,-1.000,-18571.00,0.00,-18571.00,-0.00,-18571.00,-929.00,Dine In,Kedai,Temu Roti,Owner,,,,Closed</t>
  </si>
  <si>
    <t>11/09/2024 17:13,2-9199,Sale,Roti,10005,Roti Gandum Cokelat,,,1.000,19524.00,0.00,19524.00,0.00,19524.00,976.00,Dine In,Kedai,Temu Roti,Owner,,,,Closed</t>
  </si>
  <si>
    <t>11/09/2024 17:13,2-9199,Sale,Roti,10002,Roti Cranberry,,,1.000,18571.00,0.00,18571.00,0.00,18571.00,929.00,Dine In,Kedai,Temu Roti,Owner,,,,Closed</t>
  </si>
  <si>
    <t>11/09/2024 17:10,2-9198,Sale,Roti,10002,Roti Cranberry,,,1.000,18571.00,0.00,18571.00,0.00,18571.00,929.00,Dine In,Kedai,Temu Roti,Owner,,,,Closed</t>
  </si>
  <si>
    <t>11/09/2024 17:10,2-9198,Sale,Roti,10005,Roti Gandum Cokelat,,,1.000,19524.00,0.00,19524.00,0.00,19524.00,976.00,Dine In,Kedai,Temu Roti,Owner,,,,Closed</t>
  </si>
  <si>
    <t>11/09/2024 16:20,2-9197,Sale,Minuman,10128,Es Kopi Susu,,,1.000,23333.00,0.00,23333.00,0.00,23333.00,1167.00,Dine In,Kedai,Temu Roti,Owner,,,,Closed</t>
  </si>
  <si>
    <t>11/09/2024 15:26,2-9196,Sale,Roti,10007,Roti cranberry 2 pcs,,,1.000,33810.00,0.00,33810.00,0.00,33810.00,1691.00,Dine In,Kedai,Temu Roti,Owner,,,,Closed</t>
  </si>
  <si>
    <t>11/09/2024 15:26,2-9196,Sale,Roti,10055,Roti Gandum Cokelat 2 pcs,,,1.000,34762.00,0.00,34762.00,0.00,34762.00,1738.00,Dine In,Kedai,Temu Roti,Owner,,,,Closed</t>
  </si>
  <si>
    <t>11/09/2024 12:59,2-9195,Sale,Roti,10007,Roti cranberry 2 pcs,,,1.000,33810.00,0.00,33810.00,0.00,33810.00,1691.00,Dine In,Kedai,Temu Roti,Owner,,,,Closed</t>
  </si>
  <si>
    <t>11/09/2024 11:01,2-9194,Sale,Roti,10002,Roti Cranberry,,,1.000,18571.00,0.00,18571.00,0.00,18571.00,929.00,Dine In,Kedai,Temu Roti,Owner,,,,Closed</t>
  </si>
  <si>
    <t>10/09/2024 20:02,2-9193,Sale,Minuman,10122,Rempah Madu Panas,,,1.000,21905.00,0.00,21905.00,0.00,21905.00,1095.00,Dine In,Kedai,Temu Roti,Owner,,,,Closed</t>
  </si>
  <si>
    <t>10/09/2024 19:21,2-9192,Sale,Kudapan,10011,Kentang Goreng,,,1.000,25238.00,0.00,25238.00,0.00,25238.00,1262.00,Dine In,Kedai,Temu Roti,Owner,,,,Closed</t>
  </si>
  <si>
    <t>10/09/2024 19:21,2-9192,Sale,Kudapan,10014,Tempe Mendoan,,,1.000,25238.00,0.00,25238.00,0.00,25238.00,1262.00,Dine In,Kedai,Temu Roti,Owner,,,,Closed</t>
  </si>
  <si>
    <t>10/09/2024 19:21,2-9192,Sale,Kudapan,10009,Jamur Enoki Krispi,,,1.000,26667.00,0.00,26667.00,0.00,26667.00,1333.00,Dine In,Kedai,Temu Roti,Owner,,,,Closed</t>
  </si>
  <si>
    <t>10/09/2024 17:44,2-9191,Sale,Kudapan,10004,Tahu walik,,,1.000,25238.00,0.00,25238.00,0.00,25238.00,1262.00,Dine In,Kedai,Temu Roti,Owner,,,,Closed</t>
  </si>
  <si>
    <t>10/09/2024 17:44,2-9191,Sale,Minuman,10122,Rempah Madu Panas,,,2.000,43810.00,0.00,43810.00,0.00,43810.00,2190.00,Dine In,Kedai,Temu Roti,Owner,,,,Closed</t>
  </si>
  <si>
    <t>10/09/2024 17:44,2-9191,Sale,Kudapan,10015,Tahu Lada Garam,,,1.000,25238.00,0.00,25238.00,0.00,25238.00,1262.00,Dine In,Kedai,Temu Roti,Owner,,,,Closed</t>
  </si>
  <si>
    <t>10/09/2024 17:44,2-9191,Sale,Minuman,10107,Korean Mango Fresh Milk,,,1.000,26667.00,0.00,26667.00,0.00,26667.00,1334.00,Dine In,Kedai,Temu Roti,Owner,,,,Closed</t>
  </si>
  <si>
    <t>10/09/2024 17:32,2-9190,Sale,Minuman,10122,Rempah Madu Panas,,,1.000,21905.00,0.00,21905.00,0.00,21905.00,1095.00,Dine In,Kedai,Temu Roti,Owner,,,,Closed</t>
  </si>
  <si>
    <t>10/09/2024 17:32,2-9190,Sale,Kudapan,10011,Kentang Goreng,,,1.000,25238.00,0.00,25238.00,0.00,25238.00,1262.00,Dine In,Kedai,Temu Roti,Owner,,,,Closed</t>
  </si>
  <si>
    <t>10/09/2024 17:30,2-9189,Sale,Minuman,10106,Korean Strawberry Fresh Milk,,,1.000,26667.00,0.00,26667.00,0.00,26667.00,1333.00,Dine In,Kedai,Temu Roti,Owner,,,,Closed</t>
  </si>
  <si>
    <t>10/09/2024 16:47,2-9188,Sale,Roti,10000,Roti Bawang Saus Keju,,,1.000,29524.00,0.00,29524.00,0.00,29524.00,1476.00,Dine In,Kedai,Temu Roti,Owner,,,,Closed</t>
  </si>
  <si>
    <t>10/09/2024 16:47,2-9188,Sale,Minuman,10106,Korean Strawberry Fresh Milk,,,2.000,53334.00,0.00,53334.00,0.00,53334.00,2667.00,Dine In,Kedai,Temu Roti,Owner,,,,Closed</t>
  </si>
  <si>
    <t>10/09/2024 16:47,2-9188,Sale,Kudapan,10015,Tahu Lada Garam,,,1.000,25238.00,0.00,25238.00,0.00,25238.00,1262.00,Dine In,Kedai,Temu Roti,Owner,,,,Closed</t>
  </si>
  <si>
    <t>10/09/2024 14:19,2-9187,Sale,Roti,10007,Roti cranberry 2 pcs,,,1.000,33810.00,0.00,33810.00,0.00,33810.00,1691.00,Dine In,Kedai,Temu Roti,Owner,,,,Closed</t>
  </si>
  <si>
    <t>10/09/2024 14:19,2-9187,Sale,Minuman,10125,Gula Asam Dingin,,,1.000,20476.00,0.00,20476.00,0.00,20476.00,1023.00,Dine In,Kedai,Temu Roti,Owner,,,,Closed</t>
  </si>
  <si>
    <t>10/09/2024 14:19,2-9187,Sale,Minuman,10063,Wedang Bulan,,,2.000,49524.00,0.00,49524.00,0.00,49524.00,2477.00,Dine In,Kedai,Temu Roti,Owner,,,,Closed</t>
  </si>
  <si>
    <t>10/09/2024 14:19,2-9187,Sale,Minuman,10119,Teh Tawar Dingin,,,1.000,7143.00,0.00,7143.00,0.00,7143.00,357.00,Dine In,Kedai,Temu Roti,Owner,,,,Closed</t>
  </si>
  <si>
    <t>10/09/2024 14:19,2-9187,Sale,Minuman,10067,Wedang angin,,,1.000,24762.00,0.00,24762.00,0.00,24762.00,1238.00,Dine In,Kedai,Temu Roti,Owner,,,,Closed</t>
  </si>
  <si>
    <t>10/09/2024 14:19,2-9187,Sale,Kudapan,10009,Jamur Enoki Krispi,,,1.000,26667.00,0.00,26667.00,0.00,26667.00,1333.00,Dine In,Kedai,Temu Roti,Owner,,,,Closed</t>
  </si>
  <si>
    <t>10/09/2024 14:19,2-9187,Sale,Minuman,10107,Korean Mango Fresh Milk,,,1.000,26667.00,0.00,26667.00,0.00,26667.00,1333.00,Dine In,Kedai,Temu Roti,Owner,,,,Closed</t>
  </si>
  <si>
    <t>10/09/2024 14:19,2-9187,Sale,Kudapan,10015,Tahu Lada Garam,,,1.000,25238.00,0.00,25238.00,0.00,25238.00,1262.00,Dine In,Kedai,Temu Roti,Owner,,,,Closed</t>
  </si>
  <si>
    <t>10/09/2024 14:19,2-9187,Sale,Roti,10000,Roti Bawang Saus Keju,,,1.000,29524.00,0.00,29524.00,0.00,29524.00,1477.00,Dine In,Kedai,Temu Roti,Owner,,,,Closed</t>
  </si>
  <si>
    <t>10/09/2024 12:45,2-9186,Sale,Kudapan,10004,Tahu walik,,,1.000,25238.00,0.00,25238.00,0.00,25238.00,1262.00,Dine In,Kedai,Temu Roti,Owner,,,,Closed</t>
  </si>
  <si>
    <t>10/09/2024 12:45,2-9186,Sale,Kudapan,10014,Tempe Mendoan,,,1.000,25238.00,0.00,25238.00,0.00,25238.00,1262.00,Dine In,Kedai,Temu Roti,Owner,,,,Closed</t>
  </si>
  <si>
    <t>10/09/2024 12:33,2-9185,Sale,Roti,10007,Roti cranberry 2 pcs,,,1.000,33810.00,0.00,33810.00,0.00,33810.00,1691.00,Take Away,Kedai,Temu Roti,Owner,,,,Closed</t>
  </si>
  <si>
    <t>10/09/2024 09:39,2-9184,Sale,Roti,10007,Roti cranberry 2 pcs,,,2.000,67620.00,0.00,67620.00,0.00,67620.00,3381.00,Take Away,Kedai,Temu Roti,Owner,,,,Closed</t>
  </si>
  <si>
    <t>10/09/2024 09:39,2-9184,Sale,Roti,10055,Roti Gandum Cokelat 2 pcs,,,1.000,34762.00,0.00,34762.00,0.00,34762.00,1738.00,Take Away,Kedai,Temu Roti,Owner,,,,Closed</t>
  </si>
  <si>
    <t>10/09/2024 09:39,2-9184,Sale,Roti,10005,Roti Gandum Cokelat,,,1.000,19524.00,0.00,19524.00,0.00,19524.00,976.00,Take Away,Kedai,Temu Roti,Owner,,,,Closed</t>
  </si>
  <si>
    <t>08/09/2024 20:15,2-9183,Sale,Minuman,10123,Rempah Madu Dingin,,,1.000,21905.00,0.00,21905.00,0.00,21905.00,1095.00,Dine In,Kedai,Temu Roti,Owner,,,,Closed</t>
  </si>
  <si>
    <t>08/09/2024 20:15,2-9183,Sale,Kudapan,10010,Pisang Goreng,,,1.000,25238.00,0.00,25238.00,0.00,25238.00,1262.00,Dine In,Kedai,Temu Roti,Owner,,,,Closed</t>
  </si>
  <si>
    <t>08/09/2024 19:29,2-9182,Sale,Minuman,10013,Kopi cur,,,1.000,23333.00,0.00,23333.00,0.00,23333.00,1167.00,Dine In,Kedai,Temu Roti,Owner,,,,Closed</t>
  </si>
  <si>
    <t>08/09/2024 19:02,2-9181,Sale,Roti,10000,Roti Bawang Saus Keju,,,1.000,29524.00,0.00,29524.00,0.00,29524.00,1476.00,Dine In,Kedai,Temu Roti,Owner,,,,Closed</t>
  </si>
  <si>
    <t>08/09/2024 19:02,2-9181,Sale,Roti,10002,Roti Cranberry,,,1.000,18571.00,0.00,18571.00,0.00,18571.00,929.00,Dine In,Kedai,Temu Roti,Owner,,,,Closed</t>
  </si>
  <si>
    <t>08/09/2024 18:47,2-9180,Sale,Roti,10000,Roti Bawang Saus Keju,,,2.000,59048.00,0.00,59048.00,0.00,59048.00,2952.00,Dine In,Kedai,Temu Roti,Owner,,,,Closed</t>
  </si>
  <si>
    <t>08/09/2024 18:47,2-9179,Refund,Roti,10000,Roti Bawang Saus Keju,,,-2.000,-59048.00,0.00,-59048.00,-0.00,-59048.00,-2952.00,Dine In,Kedai,Temu Roti,Owner,,,,Closed</t>
  </si>
  <si>
    <t>08/09/2024 18:44,2-9178,Sale,Roti,10000,Roti Bawang Saus Keju,,,2.000,59048.00,0.00,59048.00,0.00,59048.00,2952.00,Dine In,Kedai,Temu Roti,Owner,,,,Closed</t>
  </si>
  <si>
    <t>08/09/2024 17:47,2-9177,Sale,Kudapan,10010,Pisang Goreng,,,1.000,25238.00,0.00,25238.00,0.00,25238.00,1262.00,Dine In,Kedai,Temu Roti,Owner,,,,Closed</t>
  </si>
  <si>
    <t>08/09/2024 17:47,2-9177,Sale,Kudapan,10051,Tahu baso,,,1.000,25238.00,0.00,25238.00,0.00,25238.00,1262.00,Dine In,Kedai,Temu Roti,Owner,,,,Closed</t>
  </si>
  <si>
    <t>08/09/2024 17:44,2-9176,Sale,Kudapan,10004,Tahu walik,,,1.000,25238.00,0.00,25238.00,0.00,25238.00,1262.00,Dine In,Kedai,Temu Roti,Owner,,,,Closed</t>
  </si>
  <si>
    <t>08/09/2024 17:34,2-9175,Sale,Hidangan Utama,10003,Nasi Goreng Temu,,,1.000,29524.00,0.00,29524.00,0.00,29524.00,1476.00,Dine In,Kedai,Temu Roti,Owner,,,,Closed</t>
  </si>
  <si>
    <t>08/09/2024 17:29,2-9174,Sale,Kudapan,10051,Tahu baso,,,1.000,25238.00,0.00,25238.00,0.00,25238.00,1262.00,Dine In,Kedai,Temu Roti,Owner,,,,Closed</t>
  </si>
  <si>
    <t>08/09/2024 17:24,2-9173,Sale,Minuman,10128,Es Kopi Susu,,,1.000,23333.00,0.00,23333.00,0.00,23333.00,1167.00,Dine In,Kedai,Temu Roti,Owner,,,,Closed</t>
  </si>
  <si>
    <t>08/09/2024 17:24,2-9173,Sale,Minuman,10106,Korean Strawberry Fresh Milk,,,1.000,26667.00,0.00,26667.00,0.00,26667.00,1333.00,Dine In,Kedai,Temu Roti,Owner,,,,Closed</t>
  </si>
  <si>
    <t>08/09/2024 17:24,2-9173,Sale,Kudapan,10014,Tempe Mendoan,,,1.000,25238.00,0.00,25238.00,0.00,25238.00,1262.00,Dine In,Kedai,Temu Roti,Owner,,,,Closed</t>
  </si>
  <si>
    <t>08/09/2024 17:21,2-9172,Sale,Roti,10025,Roti Tawar Susu,,,1.000,24762.00,0.00,24762.00,0.00,24762.00,1238.00,Dine In,Kedai,Temu Roti,Owner,,,,Closed</t>
  </si>
  <si>
    <t>08/09/2024 17:20,2-9171,Sale,Kudapan,10004,Tahu walik,,,1.000,25238.00,0.00,25238.00,0.00,25238.00,1262.00,Dine In,Kedai,Temu Roti,Owner,,,,Closed</t>
  </si>
  <si>
    <t>08/09/2024 17:20,2-9171,Sale,Hidangan Utama,10003,Nasi Goreng Temu,,,1.000,29524.00,0.00,29524.00,0.00,29524.00,1476.00,Dine In,Kedai,Temu Roti,Owner,,,,Closed</t>
  </si>
  <si>
    <t>08/09/2024 17:20,2-9171,Sale,Minuman,10117,Teh Manis Dingin,,,1.000,14286.00,0.00,14286.00,0.00,14286.00,714.00,Dine In,Kedai,Temu Roti,Owner,,,,Closed</t>
  </si>
  <si>
    <t>08/09/2024 17:20,2-9171,Sale,Kudapan,10051,Tahu baso,,,1.000,25238.00,0.00,25238.00,0.00,25238.00,1262.00,Dine In,Kedai,Temu Roti,Owner,,,,Closed</t>
  </si>
  <si>
    <t>08/09/2024 17:20,2-9171,Sale,Minuman,10125,Gula Asam Dingin,,,1.000,20476.00,0.00,20476.00,0.00,20476.00,1024.00,Dine In,Kedai,Temu Roti,Owner,,,,Closed</t>
  </si>
  <si>
    <t>08/09/2024 17:19,2-9170,Sale,Hidangan Utama,10053,Nasi telor,,,1.000,25238.00,0.00,25238.00,0.00,25238.00,1262.00,Dine In,Kedai,Temu Roti,Owner,,,,Closed</t>
  </si>
  <si>
    <t>08/09/2024 17:12,2-9169,Refund,Roti,10000,Roti Bawang Saus Keju,,,-1.000,-29524.00,0.00,-29524.00,-0.00,-29524.00,-1476.00,Dine In,Kedai,Temu Roti,Owner,,,,Closed</t>
  </si>
  <si>
    <t>08/09/2024 17:12,2-9169,Refund,Roti,10002,Roti Cranberry,,,-1.000,-18571.00,0.00,-18571.00,-0.00,-18571.00,-929.00,Dine In,Kedai,Temu Roti,Owner,,,,Closed</t>
  </si>
  <si>
    <t>08/09/2024 17:11,2-9168,Sale,Minuman,10128,Es Kopi Susu,,,1.000,23333.00,0.00,23333.00,0.00,23333.00,1167.00,Dine In,Kedai,Temu Roti,Owner,,,,Closed</t>
  </si>
  <si>
    <t>08/09/2024 17:11,2-9168,Sale,Roti,10033,Roti panggang sarikaya,,,1.000,21905.00,0.00,21905.00,0.00,21905.00,1095.00,Dine In,Kedai,Temu Roti,Owner,,,,Closed</t>
  </si>
  <si>
    <t>08/09/2024 17:11,2-9168,Sale,Kudapan,10011,Kentang Goreng,,,1.000,25238.00,0.00,25238.00,0.00,25238.00,1262.00,Dine In,Kedai,Temu Roti,Owner,,,,Closed</t>
  </si>
  <si>
    <t>08/09/2024 17:07,2-9167,Sale,Roti,10034,Roti panggang coklat,,,3.000,65715.00,0.00,65715.00,0.00,65715.00,3286.00,Dine In,Kedai,Temu Roti,Owner,,,,Closed</t>
  </si>
  <si>
    <t>08/09/2024 17:05,2-9166,Sale,Roti,10000,Roti Bawang Saus Keju,,,1.000,29524.00,0.00,29524.00,0.00,29524.00,1476.00,Dine In,Kedai,Temu Roti,Owner,,,,Closed</t>
  </si>
  <si>
    <t>08/09/2024 17:05,2-9166,Sale,Roti,10002,Roti Cranberry,,,1.000,18571.00,0.00,18571.00,0.00,18571.00,929.00,Dine In,Kedai,Temu Roti,Owner,,,,Closed</t>
  </si>
  <si>
    <t>08/09/2024 16:56,2-9165,Sale,Minuman,10126,Chamomile Lemongrass Hot Artisan Tea,,,1.000,23810.00,0.00,23810.00,0.00,23810.00,1191.00,Dine In,Kedai,Temu Roti,Owner,,,,Closed</t>
  </si>
  <si>
    <t>08/09/2024 16:56,2-9165,Sale,Kudapan,10004,Tahu walik,,,1.000,25238.00,0.00,25238.00,0.00,25238.00,1261.00,Dine In,Kedai,Temu Roti,Owner,,,,Closed</t>
  </si>
  <si>
    <t>08/09/2024 16:29,2-9164,Sale,Roti,10000,Roti Bawang Saus Keju,,,1.000,29524.00,0.00,29524.00,0.00,29524.00,1476.00,Dine In,Kedai,Temu Roti,Owner,,,,Closed</t>
  </si>
  <si>
    <t>08/09/2024 16:29,2-9164,Sale,Minuman,10128,Es Kopi Susu,,,1.000,23333.00,0.00,23333.00,0.00,23333.00,1167.00,Dine In,Kedai,Temu Roti,Owner,,,,Closed</t>
  </si>
  <si>
    <t>08/09/2024 16:28,2-9163,Sale,Minuman,10128,Es Kopi Susu,,,1.000,23333.00,0.00,23333.00,0.00,23333.00,1167.00,Dine In,Kedai,Temu Roti,Owner,,,,Closed</t>
  </si>
  <si>
    <t>08/09/2024 16:28,2-9163,Sale,Roti,10002,Roti Cranberry,,,1.000,18571.00,0.00,18571.00,0.00,18571.00,928.00,Dine In,Kedai,Temu Roti,Owner,,,,Closed</t>
  </si>
  <si>
    <t>08/09/2024 16:24,2-9162,Sale,Minuman,10026,Es Kopi Lemon,,,1.000,21905.00,0.00,21905.00,0.00,21905.00,1095.00,Dine In,Kedai,Temu Roti,Owner,,,,Closed</t>
  </si>
  <si>
    <t>08/09/2024 16:24,2-9162,Sale,Minuman,10070,Wedang laut,,,1.000,24762.00,0.00,24762.00,0.00,24762.00,1238.00,Dine In,Kedai,Temu Roti,Owner,,,,Closed</t>
  </si>
  <si>
    <t>08/09/2024 16:24,2-9162,Sale,Kudapan,10004,Tahu walik,,,1.000,25238.00,0.00,25238.00,0.00,25238.00,1262.00,Dine In,Kedai,Temu Roti,Owner,,,,Closed</t>
  </si>
  <si>
    <t>08/09/2024 16:24,2-9162,Sale,Kudapan,10014,Tempe Mendoan,,,1.000,25238.00,0.00,25238.00,0.00,25238.00,1262.00,Dine In,Kedai,Temu Roti,Owner,,,,Closed</t>
  </si>
  <si>
    <t>08/09/2024 16:24,2-9162,Sale,Kudapan,10010,Pisang Goreng,,,1.000,25238.00,0.00,25238.00,0.00,25238.00,1262.00,Dine In,Kedai,Temu Roti,Owner,,,,Closed</t>
  </si>
  <si>
    <t>08/09/2024 16:24,2-9162,Sale,Minuman,10106,Korean Strawberry Fresh Milk,,,1.000,26667.00,0.00,26667.00,0.00,26667.00,1333.00,Dine In,Kedai,Temu Roti,Owner,,,,Closed</t>
  </si>
  <si>
    <t>08/09/2024 16:24,2-9162,Sale,Minuman,10128,Es Kopi Susu,,,1.000,23333.00,0.00,23333.00,0.00,23333.00,1167.00,Dine In,Kedai,Temu Roti,Owner,,,,Closed</t>
  </si>
  <si>
    <t>08/09/2024 16:24,2-9162,Sale,Roti,10002,Roti Cranberry,,,1.000,18571.00,0.00,18571.00,0.00,18571.00,929.00,Dine In,Kedai,Temu Roti,Owner,,,,Closed</t>
  </si>
  <si>
    <t>08/09/2024 15:32,2-9161,Sale,Minuman,10026,Es Kopi Lemon,,,1.000,21905.00,0.00,21905.00,0.00,21905.00,1095.00,Dine In,Kedai,Temu Roti,Owner,,,,Closed</t>
  </si>
  <si>
    <t>08/09/2024 15:32,2-9161,Sale,Kudapan,10011,Kentang Goreng,,,1.000,25238.00,0.00,25238.00,0.00,25238.00,1262.00,Dine In,Kedai,Temu Roti,Owner,,,,Closed</t>
  </si>
  <si>
    <t>08/09/2024 15:32,2-9161,Sale,Minuman,10070,Wedang laut,,,1.000,24762.00,0.00,24762.00,0.00,24762.00,1238.00,Dine In,Kedai,Temu Roti,Owner,,,,Closed</t>
  </si>
  <si>
    <t>08/09/2024 15:19,2-9160,Sale,Roti,10000,Roti Bawang Saus Keju,,,1.000,29524.00,0.00,29524.00,0.00,29524.00,1476.00,Dine In,Kedai,Temu Roti,Owner,,,,Closed</t>
  </si>
  <si>
    <t>08/09/2024 15:19,2-9160,Sale,Minuman,10128,Es Kopi Susu,,,3.000,69999.00,0.00,69999.00,0.00,69999.00,3500.00,Dine In,Kedai,Temu Roti,Owner,,,,Closed</t>
  </si>
  <si>
    <t>08/09/2024 15:19,2-9160,Sale,Kudapan,10010,Pisang Goreng,,,1.000,25238.00,0.00,25238.00,0.00,25238.00,1262.00,Dine In,Kedai,Temu Roti,Owner,,,,Closed</t>
  </si>
  <si>
    <t>08/09/2024 15:19,2-9160,Sale,Kudapan,10004,Tahu walik,,,1.000,25238.00,0.00,25238.00,0.00,25238.00,1262.00,Dine In,Kedai,Temu Roti,Owner,,,,Closed</t>
  </si>
  <si>
    <t>08/09/2024 14:22,2-9159,Sale,Minuman,10128,Es Kopi Susu,,,1.000,23333.00,0.00,23333.00,0.00,23333.00,1167.00,Dine In,Kedai,Temu Roti,Owner,,,,Closed</t>
  </si>
  <si>
    <t>08/09/2024 14:22,2-9159,Sale,Roti,10002,Roti Cranberry,,,1.000,18571.00,0.00,18571.00,0.00,18571.00,928.00,Dine In,Kedai,Temu Roti,Owner,,,,Closed</t>
  </si>
  <si>
    <t>08/09/2024 14:22,2-9158,Refund,Roti,10002,Roti Cranberry,,,-1.000,-18571.00,0.00,-18571.00,-0.00,-18571.00,-929.00,Dine In,Kedai,Temu Roti,Owner,,,,Closed</t>
  </si>
  <si>
    <t>08/09/2024 14:22,2-9158,Refund,Minuman,10128,Es Kopi Susu,,,-1.000,-23333.00,0.00,-23333.00,-0.00,-23333.00,-1166.00,Dine In,Kedai,Temu Roti,Owner,,,,Closed</t>
  </si>
  <si>
    <t>08/09/2024 14:21,2-9157,Sale,Roti,10002,Roti Cranberry,,,1.000,18571.00,0.00,18571.00,0.00,18571.00,929.00,Dine In,Kedai,Temu Roti,Owner,,,,Closed</t>
  </si>
  <si>
    <t>08/09/2024 14:21,2-9157,Sale,Minuman,10128,Es Kopi Susu,,,1.000,23333.00,0.00,23333.00,0.00,23333.00,1166.00,Dine In,Kedai,Temu Roti,Owner,,,,Closed</t>
  </si>
  <si>
    <t>08/09/2024 14:01,2-9156,Sale,Hidangan Utama,10003,Nasi Goreng Temu,,,1.000,29524.00,0.00,29524.00,0.00,29524.00,1476.00,Dine In,Kedai,Temu Roti,Owner,,,,Closed</t>
  </si>
  <si>
    <t>08/09/2024 14:01,2-9156,Sale,Minuman,10107,Korean Mango Fresh Milk,,,1.000,26667.00,0.00,26667.00,0.00,26667.00,1334.00,Dine In,Kedai,Temu Roti,Owner,,,,Closed</t>
  </si>
  <si>
    <t>08/09/2024 14:01,2-9156,Sale,Roti,10005,Roti Gandum Cokelat,,,1.000,19524.00,0.00,19524.00,0.00,19524.00,976.00,Dine In,Kedai,Temu Roti,Owner,,,,Closed</t>
  </si>
  <si>
    <t>08/09/2024 14:01,2-9156,Sale,Minuman,10106,Korean Strawberry Fresh Milk,,,1.000,26667.00,0.00,26667.00,0.00,26667.00,1333.00,Dine In,Kedai,Temu Roti,Owner,,,,Closed</t>
  </si>
  <si>
    <t>08/09/2024 13:54,2-9155,Sale,Minuman,10128,Es Kopi Susu,,,1.000,23333.00,0.00,23333.00,0.00,23333.00,1167.00,Dine In,Kedai,Temu Roti,Owner,,,,Closed</t>
  </si>
  <si>
    <t>08/09/2024 13:54,2-9155,Sale,Roti,10007,Roti cranberry 2 pcs,,,1.000,33810.00,0.00,33810.00,0.00,33810.00,1690.00,Dine In,Kedai,Temu Roti,Owner,,,,Closed</t>
  </si>
  <si>
    <t>08/09/2024 13:39,2-9154,Sale,Minuman,10107,Korean Mango Fresh Milk,,,1.000,26667.00,0.00,26667.00,0.00,26667.00,1333.00,Dine In,Kedai,Temu Roti,Owner,,,,Closed</t>
  </si>
  <si>
    <t>08/09/2024 13:32,2-9153,Sale,Minuman,10119,Teh Tawar Dingin,,,2.000,14286.00,0.00,14286.00,0.00,14286.00,714.00,Dine In,Kedai,Temu Roti,Owner,,,,Closed</t>
  </si>
  <si>
    <t>08/09/2024 13:32,2-9153,Sale,Minuman,10117,Teh Manis Dingin,,,1.000,14286.00,0.00,14286.00,0.00,14286.00,715.00,Dine In,Kedai,Temu Roti,Owner,,,,Closed</t>
  </si>
  <si>
    <t>08/09/2024 13:32,2-9153,Sale,Minuman,10112,Air mineral,,,1.000,6667.00,0.00,6667.00,0.00,6667.00,333.00,Dine In,Kedai,Temu Roti,Owner,,,,Closed</t>
  </si>
  <si>
    <t>08/09/2024 13:20,2-9152,Sale,Roti,10007,Roti cranberry 2 pcs,,,1.000,33810.00,0.00,33810.00,0.00,33810.00,1691.00,Dine In,Kedai,Temu Roti,Owner,,,,Closed</t>
  </si>
  <si>
    <t>08/09/2024 13:20,2-9152,Sale,Roti,10055,Roti Gandum Cokelat 2 pcs,,,1.000,34762.00,0.00,34762.00,0.00,34762.00,1738.00,Dine In,Kedai,Temu Roti,Owner,,,,Closed</t>
  </si>
  <si>
    <t>08/09/2024 13:20,2-9152,Sale,Roti,10005,Roti Gandum Cokelat,,,1.000,19524.00,0.00,19524.00,0.00,19524.00,976.00,Dine In,Kedai,Temu Roti,Owner,,,,Closed</t>
  </si>
  <si>
    <t>08/09/2024 13:18,2-9151,Sale,Roti,10055,Roti Gandum Cokelat 2 pcs,,,1.000,34762.00,0.00,34762.00,0.00,34762.00,1738.00,Dine In,Kedai,Temu Roti,Owner,,,,Closed</t>
  </si>
  <si>
    <t>08/09/2024 13:18,2-9151,Sale,Roti,10007,Roti cranberry 2 pcs,,,1.000,33810.00,0.00,33810.00,0.00,33810.00,1691.00,Dine In,Kedai,Temu Roti,Owner,,,,Closed</t>
  </si>
  <si>
    <t>08/09/2024 13:18,2-9151,Sale,Roti,10000,Roti Bawang Saus Keju,,,1.000,29524.00,0.00,29524.00,0.00,29524.00,1476.00,Dine In,Kedai,Temu Roti,Owner,,,,Closed</t>
  </si>
  <si>
    <t>08/09/2024 12:24,2-9150,Sale,Roti,10055,Roti Gandum Cokelat 2 pcs,,,1.000,34762.00,0.00,34762.00,0.00,34762.00,1738.00,Dine In,Kedai,Temu Roti,Owner,,,,Closed</t>
  </si>
  <si>
    <t>08/09/2024 12:21,2-9149,Sale,Hidangan Utama,10003,Nasi Goreng Temu,,,1.000,29524.00,0.00,29524.00,0.00,29524.00,1476.00,Dine In,Kedai,Temu Roti,Owner,,,,Closed</t>
  </si>
  <si>
    <t>08/09/2024 12:21,2-9149,Sale,Kudapan,10004,Tahu walik,,,1.000,25238.00,0.00,25238.00,0.00,25238.00,1262.00,Dine In,Kedai,Temu Roti,Owner,,,,Closed</t>
  </si>
  <si>
    <t>08/09/2024 12:21,2-9149,Sale,Hidangan Utama,10104,Chicken Claypot Rice,,,1.000,34762.00,0.00,34762.00,0.00,34762.00,1738.00,Dine In,Kedai,Temu Roti,Owner,,,,Closed</t>
  </si>
  <si>
    <t>08/09/2024 12:21,2-9149,Sale,Minuman,10125,Gula Asam Dingin,,,1.000,20476.00,0.00,20476.00,0.00,20476.00,1024.00,Dine In,Kedai,Temu Roti,Owner,,,,Closed</t>
  </si>
  <si>
    <t>08/09/2024 10:53,2-9148,Sale,Roti,10007,Roti cranberry 2 pcs,,,1.000,33810.00,0.00,33810.00,0.00,33810.00,1691.00,Take Away,Kedai,Temu Roti,Owner,,,,Closed</t>
  </si>
  <si>
    <t>08/09/2024 10:15,2-9147,Sale,Roti,10000,Roti Bawang Saus Keju,,,1.000,29524.00,0.00,29524.00,0.00,29524.00,1476.00,Dine In,Kedai,Temu Roti,Owner,,,,Closed</t>
  </si>
  <si>
    <t>08/09/2024 10:11,2-9146,Sale,Roti,10007,Roti cranberry 2 pcs,,,2.000,67620.00,0.00,67620.00,0.00,67620.00,3381.00,Dine In,Kedai,Temu Roti,Owner,,,,Closed</t>
  </si>
  <si>
    <t>08/09/2024 10:11,2-9146,Sale,Roti,10005,Roti Gandum Cokelat,,,1.000,19524.00,0.00,19524.00,0.00,19524.00,976.00,Dine In,Kedai,Temu Roti,Owner,,,,Closed</t>
  </si>
  <si>
    <t>08/09/2024 10:11,2-9146,Sale,Minuman,10128,Es Kopi Susu,,,1.000,23333.00,0.00,23333.00,0.00,23333.00,1167.00,Dine In,Kedai,Temu Roti,Owner,,,,Closed</t>
  </si>
  <si>
    <t>08/09/2024 10:11,2-9146,Sale,Minuman,10122,Rempah Madu Panas,,,1.000,21905.00,0.00,21905.00,0.00,21905.00,1095.00,Dine In,Kedai,Temu Roti,Owner,,,,Closed</t>
  </si>
  <si>
    <t>08/09/2024 10:11,2-9146,Sale,Minuman,10106,Korean Strawberry Fresh Milk,,,1.000,26667.00,0.00,26667.00,0.00,26667.00,1333.00,Dine In,Kedai,Temu Roti,Owner,,,,Closed</t>
  </si>
  <si>
    <t>08/09/2024 10:11,2-9146,Sale,Minuman,10112,Air mineral,,,1.000,6667.00,0.00,6667.00,0.00,6667.00,333.00,Dine In,Kedai,Temu Roti,Owner,,,,Closed</t>
  </si>
  <si>
    <t>08/09/2024 10:11,2-9146,Sale,Kudapan,10011,Kentang Goreng,,,1.000,25238.00,0.00,25238.00,0.00,25238.00,1262.00,Dine In,Kedai,Temu Roti,Owner,,,,Closed</t>
  </si>
  <si>
    <t>08/09/2024 10:11,2-9146,Sale,Minuman,10122,Rempah Madu Panas,,,1.000,21905.00,0.00,21905.00,0.00,21905.00,1096.00,Dine In,Kedai,Temu Roti,Owner,,,,Closed</t>
  </si>
  <si>
    <t>08/09/2024 10:11,2-9146,Sale,Minuman,10067,Wedang angin,,,1.000,24762.00,0.00,24762.00,0.00,24762.00,1238.00,Dine In,Kedai,Temu Roti,Owner,,,,Closed</t>
  </si>
  <si>
    <t>08/09/2024 10:11,2-9146,Sale,Roti,10002,Roti Cranberry,,,1.000,18571.00,0.00,18571.00,0.00,18571.00,928.00,Dine In,Kedai,Temu Roti,Owner,,,,Closed</t>
  </si>
  <si>
    <t>08/09/2024 09:53,2-9145,Sale,Roti,10007,Roti cranberry 2 pcs,,,1.000,33810.00,0.00,33810.00,0.00,33810.00,1691.00,Dine In,Kedai,Temu Roti,Owner,,,,Closed</t>
  </si>
  <si>
    <t>08/09/2024 09:53,2-9145,Sale,Minuman,10120,Lemon Tea Panas,,,1.000,19524.00,0.00,19524.00,0.00,19524.00,976.00,Dine In,Kedai,Temu Roti,Owner,,,,Closed</t>
  </si>
  <si>
    <t>08/09/2024 09:53,2-9145,Sale,Minuman,10121,Lemon Tea Dingin,,,1.000,19524.00,0.00,19524.00,0.00,19524.00,976.00,Dine In,Kedai,Temu Roti,Owner,,,,Closed</t>
  </si>
  <si>
    <t>08/09/2024 09:46,2-9144,Sale,Roti,10002,Roti Cranberry,,,1.000,18571.00,0.00,18571.00,0.00,18571.00,929.00,Dine In,Kedai,Temu Roti,Owner,,,,Closed</t>
  </si>
  <si>
    <t>08/09/2024 09:46,2-9144,Sale,Roti,10005,Roti Gandum Cokelat,,,1.000,19524.00,0.00,19524.00,0.00,19524.00,976.00,Dine In,Kedai,Temu Roti,Owner,,,,Closed</t>
  </si>
  <si>
    <t>08/09/2024 09:46,2-9144,Sale,Kudapan,10014,Tempe Mendoan,,,1.000,25238.00,0.00,25238.00,0.00,25238.00,1262.00,Dine In,Kedai,Temu Roti,Owner,,,,Closed</t>
  </si>
  <si>
    <t>08/09/2024 09:46,2-9144,Sale,Minuman,10128,Es Kopi Susu,,,2.000,46666.00,0.00,46666.00,0.00,46666.00,2333.00,Dine In,Kedai,Temu Roti,Owner,,,,Closed</t>
  </si>
  <si>
    <t>08/09/2024 09:46,2-9144,Sale,Minuman,10013,Kopi cur,,,1.000,23333.00,0.00,23333.00,0.00,23333.00,1167.00,Dine In,Kedai,Temu Roti,Owner,,,,Closed</t>
  </si>
  <si>
    <t>08/09/2024 09:46,2-9144,Sale,Minuman,10106,Korean Strawberry Fresh Milk,,,1.000,26667.00,0.00,26667.00,0.00,26667.00,1333.00,Dine In,Kedai,Temu Roti,Owner,,,,Closed</t>
  </si>
  <si>
    <t>08/09/2024 09:46,2-9144,Sale,Minuman,10056,Susu murni moca,,,1.000,19524.00,0.00,19524.00,0.00,19524.00,976.00,Dine In,Kedai,Temu Roti,Owner,,,,Closed</t>
  </si>
  <si>
    <t>08/09/2024 09:46,2-9144,Sale,Kudapan,10051,Tahu baso,,,1.000,25238.00,0.00,25238.00,0.00,25238.00,1262.00,Dine In,Kedai,Temu Roti,Owner,,,,Closed</t>
  </si>
  <si>
    <t>08/09/2024 09:14,2-9143,Sale,Roti,10005,Roti Gandum Cokelat,,,1.000,19524.00,0.00,19524.00,0.00,19524.00,976.00,Dine In,Kedai,Temu Roti,Owner,,,,Closed</t>
  </si>
  <si>
    <t>08/09/2024 09:14,2-9143,Sale,Roti,10007,Roti cranberry 2 pcs,,,1.000,33810.00,0.00,33810.00,0.00,33810.00,1691.00,Dine In,Kedai,Temu Roti,Owner,,,,Closed</t>
  </si>
  <si>
    <t>08/09/2024 09:14,2-9143,Sale,Minuman,10026,Es Kopi Lemon,,,1.000,21905.00,0.00,21905.00,0.00,21905.00,1095.00,Dine In,Kedai,Temu Roti,Owner,,,,Closed</t>
  </si>
  <si>
    <t>08/09/2024 09:14,2-9143,Sale,Kudapan,10015,Tahu Lada Garam,,,1.000,25238.00,0.00,25238.00,0.00,25238.00,1262.00,Dine In,Kedai,Temu Roti,Owner,,,,Closed</t>
  </si>
  <si>
    <t>08/09/2024 09:14,2-9143,Sale,Minuman,10121,Lemon Tea Dingin,,,1.000,19524.00,0.00,19524.00,0.00,19524.00,976.00,Dine In,Kedai,Temu Roti,Owner,,,,Closed</t>
  </si>
  <si>
    <t>08/09/2024 08:36,2-9142,Sale,Roti,10002,Roti Cranberry,,,1.000,18571.00,0.00,18571.00,0.00,18571.00,929.00,Dine In,Kedai,Temu Roti,Owner,,,,Closed</t>
  </si>
  <si>
    <t>08/09/2024 08:36,2-9142,Sale,Roti,10005,Roti Gandum Cokelat,,,1.000,19524.00,0.00,19524.00,0.00,19524.00,976.00,Dine In,Kedai,Temu Roti,Owner,,,,Closed</t>
  </si>
  <si>
    <t>08/09/2024 07:30,2-9141,Sale,Roti,10002,Roti Cranberry,,,1.000,18571.00,0.00,18571.00,0.00,18571.00,929.00,Dine In,Kedai,Temu Roti,Owner,,,,Closed</t>
  </si>
  <si>
    <t>08/09/2024 07:30,2-9141,Sale,Roti,10000,Roti Bawang Saus Keju,,,1.000,29524.00,0.00,29524.00,0.00,29524.00,1476.00,Dine In,Kedai,Temu Roti,Owner,,,,Closed</t>
  </si>
  <si>
    <t>07/09/2024 21:10,2-9140,Sale,Minuman,10013,Kopi cur,,,1.000,23333.00,0.00,23333.00,0.00,23333.00,1167.00,Dine In,Kedai,Temu Roti,Owner,,,,Closed</t>
  </si>
  <si>
    <t>07/09/2024 21:09,2-9139,Sale,Kudapan,10051,Tahu baso,,,1.000,25238.00,0.00,25238.00,0.00,25238.00,1262.00,Dine In,Kedai,Temu Roti,Owner,,,,Closed</t>
  </si>
  <si>
    <t>07/09/2024 21:09,2-9139,Sale,Roti,10002,Roti Cranberry,,,1.000,18571.00,0.00,18571.00,0.00,18571.00,928.00,Dine In,Kedai,Temu Roti,Owner,,,,Closed</t>
  </si>
  <si>
    <t>07/09/2024 21:09,2-9139,Sale,Minuman,10122,Rempah Madu Panas,,,1.000,21905.00,0.00,21905.00,0.00,21905.00,1096.00,Dine In,Kedai,Temu Roti,Owner,,,,Closed</t>
  </si>
  <si>
    <t>07/09/2024 21:00,2-9138,Sale,Minuman,10057,Susu murni strawberry,,,1.000,19524.00,0.00,19524.00,0.00,19524.00,976.00,Dine In,Kedai,Temu Roti,Owner,,,,Closed</t>
  </si>
  <si>
    <t>07/09/2024 20:55,2-9137,Sale,Kudapan,10051,Tahu baso,,,1.000,25238.00,0.00,25238.00,0.00,25238.00,1262.00,Dine In,Kedai,Temu Roti,Owner,,,,Closed</t>
  </si>
  <si>
    <t>07/09/2024 20:55,2-9137,Sale,Roti,10054,Roti toast eskrim,,,1.000,25238.00,0.00,25238.00,0.00,25238.00,1262.00,Dine In,Kedai,Temu Roti,Owner,,,,Closed</t>
  </si>
  <si>
    <t>07/09/2024 20:19,2-9136,Sale,Roti,10007,Roti cranberry 2 pcs,,,1.000,33810.00,0.00,33810.00,0.00,33810.00,1691.00,Dine In,Kedai,Temu Roti,Owner,,,,Closed</t>
  </si>
  <si>
    <t>07/09/2024 19:51,2-9135,Sale,Minuman,10063,Wedang Bulan,,,1.000,24762.00,0.00,24762.00,0.00,24762.00,1238.00,Dine In,Kedai,Temu Roti,Owner,,,,Closed</t>
  </si>
  <si>
    <t>07/09/2024 19:51,2-9135,Sale,Minuman,10057,Susu murni strawberry,,,1.000,19524.00,0.00,19524.00,0.00,19524.00,976.00,Dine In,Kedai,Temu Roti,Owner,,,,Closed</t>
  </si>
  <si>
    <t>07/09/2024 19:51,2-9135,Sale,Hidangan Utama,10003,Nasi Goreng Temu,,,1.000,29524.00,0.00,29524.00,0.00,29524.00,1477.00,Dine In,Kedai,Temu Roti,Owner,,,,Closed</t>
  </si>
  <si>
    <t>07/09/2024 19:51,2-9135,Sale,Kudapan,10014,Tempe Mendoan,,,1.000,25238.00,0.00,25238.00,0.00,25238.00,1261.00,Dine In,Kedai,Temu Roti,Owner,,,,Closed</t>
  </si>
  <si>
    <t>07/09/2024 19:43,2-9134,Refund,Roti,10002,Roti Cranberry,,,-1.000,-18571.00,0.00,-18571.00,-0.00,-18571.00,-929.00,Dine In,Kedai,Temu Roti,Owner,,,,Closed</t>
  </si>
  <si>
    <t>07/09/2024 19:43,2-9134,Refund,Minuman,10122,Rempah Madu Panas,,,-1.000,-21905.00,0.00,-21905.00,-0.00,-21905.00,-1095.00,Dine In,Kedai,Temu Roti,Owner,,,,Closed</t>
  </si>
  <si>
    <t>07/09/2024 19:43,2-9134,Refund,Kudapan,10051,Tahu baso,,,-1.000,-25238.00,0.00,-25238.00,-0.00,-25238.00,-1262.00,Dine In,Kedai,Temu Roti,Owner,,,,Closed</t>
  </si>
  <si>
    <t>07/09/2024 19:41,2-9133,Sale,Roti,10002,Roti Cranberry,,,1.000,18571.00,0.00,18571.00,0.00,18571.00,929.00,Dine In,Kedai,Temu Roti,Owner,,,,Closed</t>
  </si>
  <si>
    <t>07/09/2024 19:41,2-9133,Sale,Minuman,10122,Rempah Madu Panas,,,1.000,21905.00,0.00,21905.00,0.00,21905.00,1095.00,Dine In,Kedai,Temu Roti,Owner,,,,Closed</t>
  </si>
  <si>
    <t>07/09/2024 19:41,2-9133,Sale,Kudapan,10051,Tahu baso,,,1.000,25238.00,0.00,25238.00,0.00,25238.00,1262.00,Dine In,Kedai,Temu Roti,Owner,,,,Closed</t>
  </si>
  <si>
    <t>07/09/2024 19:33,2-9132,Sale,Kudapan,10010,Pisang Goreng,,,1.000,25238.00,0.00,25238.00,0.00,25238.00,1262.00,Dine In,Kedai,Temu Roti,Owner,,,,Closed</t>
  </si>
  <si>
    <t>07/09/2024 19:30,2-9131,Sale,Kudapan,10004,Tahu walik,,,1.000,25238.00,0.00,25238.00,0.00,25238.00,1262.00,Dine In,Kedai,Temu Roti,Owner,,,,Closed</t>
  </si>
  <si>
    <t>07/09/2024 19:20,2-9130,Sale,Kudapan,10014,Tempe Mendoan,,,1.000,25238.00,0.00,25238.00,0.00,25238.00,1262.00,Dine In,Kedai,Temu Roti,Owner,,,,Closed</t>
  </si>
  <si>
    <t>07/09/2024 19:20,2-9129,Sale,Hidangan Utama,10104,Chicken Claypot Rice,,,2.000,69524.00,0.00,69524.00,0.00,69524.00,3476.00,Dine In,Kedai,Temu Roti,Owner,,,,Closed</t>
  </si>
  <si>
    <t>07/09/2024 19:20,2-9129,Sale,Hidangan Utama,10012,Mie joglo,,,1.000,29524.00,0.00,29524.00,0.00,29524.00,1476.00,Dine In,Kedai,Temu Roti,Owner,,,,Closed</t>
  </si>
  <si>
    <t>07/09/2024 19:20,2-9129,Sale,Minuman,10120,Lemon Tea Panas,,,2.000,39048.00,0.00,39048.00,0.00,39048.00,1953.00,Dine In,Kedai,Temu Roti,Owner,,,,Closed</t>
  </si>
  <si>
    <t>07/09/2024 19:20,2-9129,Sale,Kudapan,10009,Jamur Enoki Krispi,,,1.000,26667.00,0.00,26667.00,0.00,26667.00,1333.00,Dine In,Kedai,Temu Roti,Owner,,,,Closed</t>
  </si>
  <si>
    <t>07/09/2024 19:20,2-9129,Sale,Minuman,10118,Teh Tawar Panas,,,1.000,7143.00,0.00,7143.00,0.00,7143.00,357.00,Dine In,Kedai,Temu Roti,Owner,,,,Closed</t>
  </si>
  <si>
    <t>07/09/2024 19:13,2-9128,Sale,Minuman,10106,Korean Strawberry Fresh Milk,,,1.000,26667.00,0.00,26667.00,0.00,26667.00,1333.00,Dine In,Kedai,Temu Roti,Owner,,,,Closed</t>
  </si>
  <si>
    <t>07/09/2024 19:07,2-9127,Sale,Hidangan Utama,10105,Beef Claypot Rice,,,1.000,38095.00,0.00,38095.00,0.00,38095.00,1905.00,Dine In,Kedai,Temu Roti,Owner,,,,Closed</t>
  </si>
  <si>
    <t>07/09/2024 19:07,2-9127,Sale,Hidangan Utama,10104,Chicken Claypot Rice,,,1.000,34762.00,0.00,34762.00,0.00,34762.00,1738.00,Dine In,Kedai,Temu Roti,Owner,,,,Closed</t>
  </si>
  <si>
    <t>07/09/2024 19:05,2-9126,Sale,Roti,10005,Roti Gandum Cokelat,,,1.000,19524.00,0.00,19524.00,0.00,19524.00,976.00,Dine In,Kedai,Temu Roti,Owner,,,,Closed</t>
  </si>
  <si>
    <t>07/09/2024 19:05,2-9126,Sale,Roti,10002,Roti Cranberry,,,1.000,18571.00,0.00,18571.00,0.00,18571.00,929.00,Dine In,Kedai,Temu Roti,Owner,,,,Closed</t>
  </si>
  <si>
    <t>07/09/2024 18:51,2-9125,Sale,Minuman,10128,Es Kopi Susu,,,1.000,23333.00,0.00,23333.00,0.00,23333.00,1167.00,Dine In,Kedai,Temu Roti,Owner,,,,Closed</t>
  </si>
  <si>
    <t>07/09/2024 18:51,2-9125,Sale,Kudapan,10014,Tempe Mendoan,,,1.000,25238.00,0.00,25238.00,0.00,25238.00,1262.00,Dine In,Kedai,Temu Roti,Owner,,,,Closed</t>
  </si>
  <si>
    <t>07/09/2024 18:51,2-9125,Sale,Roti,10002,Roti Cranberry,,,1.000,18571.00,0.00,18571.00,0.00,18571.00,928.00,Dine In,Kedai,Temu Roti,Owner,,,,Closed</t>
  </si>
  <si>
    <t>07/09/2024 18:44,2-9124,Sale,Minuman,10026,Es Kopi Lemon,,,1.000,21905.00,0.00,21905.00,0.00,21905.00,1095.00,Dine In,Kedai,Temu Roti,Owner,,,,Closed</t>
  </si>
  <si>
    <t>07/09/2024 18:44,2-9124,Sale,Minuman,10128,Es Kopi Susu,,,1.000,23333.00,0.00,23333.00,0.00,23333.00,1167.00,Dine In,Kedai,Temu Roti,Owner,,,,Closed</t>
  </si>
  <si>
    <t>07/09/2024 18:44,2-9124,Sale,Kudapan,10004,Tahu walik,,,1.000,25238.00,0.00,25238.00,0.00,25238.00,1262.00,Dine In,Kedai,Temu Roti,Owner,,,,Closed</t>
  </si>
  <si>
    <t>07/09/2024 18:19,2-9123,Sale,Roti,10055,Roti Gandum Cokelat 2 pcs,,,1.000,34762.00,0.00,34762.00,0.00,34762.00,1738.00,Dine In,Kedai,Temu Roti,Owner,,,,Closed</t>
  </si>
  <si>
    <t>07/09/2024 18:19,2-9123,Sale,Roti,10007,Roti cranberry 2 pcs,,,1.000,33810.00,0.00,33810.00,0.00,33810.00,1691.00,Dine In,Kedai,Temu Roti,Owner,,,,Closed</t>
  </si>
  <si>
    <t>07/09/2024 18:15,2-9122,Sale,Roti,10005,Roti Gandum Cokelat,,,1.000,19524.00,0.00,19524.00,0.00,19524.00,976.00,Dine In,Kedai,Temu Roti,Owner,,,,Closed</t>
  </si>
  <si>
    <t>07/09/2024 18:13,2-9121,Sale,Minuman,10125,Gula Asam Dingin,,,1.000,20476.00,0.00,20476.00,0.00,20476.00,1024.00,Dine In,Kedai,Temu Roti,Owner,,,,Closed</t>
  </si>
  <si>
    <t>07/09/2024 17:41,2-9120,Sale,Minuman,10112,Air mineral,,,1.000,6667.00,0.00,6667.00,0.00,6667.00,333.00,Dine In,Kedai,Temu Roti,Owner,,,,Closed</t>
  </si>
  <si>
    <t>07/09/2024 17:41,2-9120,Sale,Minuman,10026,Es Kopi Lemon,,,2.000,43810.00,0.00,43810.00,0.00,43810.00,2191.00,Dine In,Kedai,Temu Roti,Owner,,,,Closed</t>
  </si>
  <si>
    <t>07/09/2024 17:41,2-9120,Sale,Roti,10002,Roti Cranberry,,,1.000,18571.00,0.00,18571.00,0.00,18571.00,928.00,Dine In,Kedai,Temu Roti,Owner,,,,Closed</t>
  </si>
  <si>
    <t>07/09/2024 17:41,2-9120,Sale,Roti,10005,Roti Gandum Cokelat,,,1.000,19524.00,0.00,19524.00,0.00,19524.00,977.00,Dine In,Kedai,Temu Roti,Owner,,,,Closed</t>
  </si>
  <si>
    <t>07/09/2024 17:17,2-9119,Sale,Roti,10054,Roti toast eskrim,,,1.000,25238.00,0.00,25238.00,0.00,25238.00,1262.00,Dine In,Kedai,Temu Roti,Owner,,,,Closed</t>
  </si>
  <si>
    <t>07/09/2024 17:17,2-9119,Sale,Roti,10002,Roti Cranberry,,,1.000,18571.00,0.00,18571.00,0.00,18571.00,928.00,Dine In,Kedai,Temu Roti,Owner,,,,Closed</t>
  </si>
  <si>
    <t>07/09/2024 17:17,2-9119,Sale,Roti,10005,Roti Gandum Cokelat,,,1.000,19524.00,0.00,19524.00,0.00,19524.00,977.00,Dine In,Kedai,Temu Roti,Owner,,,,Closed</t>
  </si>
  <si>
    <t>07/09/2024 17:17,2-9119,Sale,Roti,10000,Roti Bawang Saus Keju,,,1.000,29524.00,0.00,29524.00,0.00,29524.00,1476.00,Dine In,Kedai,Temu Roti,Owner,,,,Closed</t>
  </si>
  <si>
    <t>07/09/2024 16:54,2-9118,Sale,Minuman,10118,Teh Tawar Panas,,,1.000,7143.00,0.00,7143.00,0.00,7143.00,357.00,Dine In,Kedai,Temu Roti,Owner,,,,Closed</t>
  </si>
  <si>
    <t>07/09/2024 16:54,2-9118,Sale,Roti,10002,Roti Cranberry,,,1.000,18571.00,0.00,18571.00,0.00,18571.00,929.00,Dine In,Kedai,Temu Roti,Owner,,,,Closed</t>
  </si>
  <si>
    <t>07/09/2024 16:54,2-9118,Sale,Kudapan,10014,Tempe Mendoan,,,1.000,25238.00,0.00,25238.00,0.00,25238.00,1262.00,Dine In,Kedai,Temu Roti,Owner,,,,Closed</t>
  </si>
  <si>
    <t>07/09/2024 16:54,2-9118,Sale,Minuman,10107,Korean Mango Fresh Milk,,,1.000,26667.00,0.00,26667.00,0.00,26667.00,1333.00,Dine In,Kedai,Temu Roti,Owner,,,,Closed</t>
  </si>
  <si>
    <t>07/09/2024 16:33,2-9117,Sale,Kudapan,10051,Tahu baso,,,1.000,25238.00,0.00,25238.00,0.00,25238.00,1262.00,Dine In,Kedai,Temu Roti,Owner,,,,Closed</t>
  </si>
  <si>
    <t>07/09/2024 16:28,2-9116,Sale,Minuman,10128,Es Kopi Susu,,,1.000,23333.00,0.00,23333.00,0.00,23333.00,1167.00,Dine In,Kedai,Temu Roti,Owner,,,,Closed</t>
  </si>
  <si>
    <t>07/09/2024 16:28,2-9116,Sale,Hidangan Utama,10012,Mie joglo,,,1.000,29524.00,0.00,29524.00,0.00,29524.00,1476.00,Dine In,Kedai,Temu Roti,Owner,,,,Closed</t>
  </si>
  <si>
    <t>07/09/2024 16:28,2-9116,Sale,Roti,10002,Roti Cranberry,,,1.000,18571.00,0.00,18571.00,0.00,18571.00,928.00,Dine In,Kedai,Temu Roti,Owner,,,,Closed</t>
  </si>
  <si>
    <t>07/09/2024 16:28,2-9116,Sale,Roti,10054,Roti toast eskrim,,,1.000,25238.00,0.00,25238.00,0.00,25238.00,1262.00,Dine In,Kedai,Temu Roti,Owner,,,,Closed</t>
  </si>
  <si>
    <t>07/09/2024 16:26,2-9115,Sale,Roti,10054,Roti toast eskrim,,,1.000,25238.00,0.00,25238.00,0.00,25238.00,1262.00,Dine In,Kedai,Temu Roti,Owner,,,,Closed</t>
  </si>
  <si>
    <t>07/09/2024 16:25,2-9114,Sale,Minuman,10070,Wedang laut,,,1.000,24762.00,0.00,24762.00,0.00,24762.00,1238.00,Dine In,Kedai,Temu Roti,Owner,,,,Closed</t>
  </si>
  <si>
    <t>07/09/2024 16:13,2-9113,Sale,Minuman,10125,Gula Asam Dingin,,,1.000,20476.00,0.00,20476.00,0.00,20476.00,1024.00,Dine In,Kedai,Temu Roti,Owner,,,,Closed</t>
  </si>
  <si>
    <t>07/09/2024 16:13,2-9113,Sale,Minuman,10121,Lemon Tea Dingin,,,1.000,19524.00,0.00,19524.00,0.00,19524.00,976.00,Dine In,Kedai,Temu Roti,Owner,,,,Closed</t>
  </si>
  <si>
    <t>07/09/2024 16:13,2-9113,Sale,Hidangan Utama,10012,Mie joglo,,,1.000,29524.00,0.00,29524.00,0.00,29524.00,1476.00,Dine In,Kedai,Temu Roti,Owner,,,,Closed</t>
  </si>
  <si>
    <t>07/09/2024 16:10,2-9112,Sale,Roti,10034,Roti panggang coklat,,,1.000,21905.00,0.00,21905.00,0.00,21905.00,1095.00,Dine In,Kedai,Temu Roti,Owner,,,,Closed</t>
  </si>
  <si>
    <t>07/09/2024 16:10,2-9112,Sale,Roti,10002,Roti Cranberry,,,1.000,18571.00,0.00,18571.00,0.00,18571.00,929.00,Dine In,Kedai,Temu Roti,Owner,,,,Closed</t>
  </si>
  <si>
    <t>07/09/2024 16:08,2-9111,Sale,Roti,10007,Roti cranberry 2 pcs,,,1.000,33810.00,0.00,33810.00,0.00,33810.00,1691.00,Dine In,Kedai,Temu Roti,Owner,,,,Closed</t>
  </si>
  <si>
    <t>07/09/2024 15:54,2-9110,Sale,Roti,10000,Roti Bawang Saus Keju,,,1.000,29524.00,0.00,29524.00,0.00,29524.00,1476.00,Dine In,Kedai,Temu Roti,Owner,,,,Closed</t>
  </si>
  <si>
    <t>07/09/2024 15:54,2-9110,Sale,Roti,10002,Roti Cranberry,,,1.000,18571.00,0.00,18571.00,0.00,18571.00,929.00,Dine In,Kedai,Temu Roti,Owner,,,,Closed</t>
  </si>
  <si>
    <t>07/09/2024 15:54,2-9110,Sale,Roti,10005,Roti Gandum Cokelat,,,1.000,19524.00,0.00,19524.00,0.00,19524.00,976.00,Dine In,Kedai,Temu Roti,Owner,,,,Closed</t>
  </si>
  <si>
    <t>07/09/2024 15:53,2-9109,Sale,Roti,10000,Roti Bawang Saus Keju,,,1.000,29524.00,0.00,29524.00,0.00,29524.00,1476.00,Dine In,Kedai,Temu Roti,Owner,,,,Closed</t>
  </si>
  <si>
    <t>07/09/2024 15:53,2-9109,Sale,Minuman,10128,Es Kopi Susu,,,1.000,23333.00,0.00,23333.00,0.00,23333.00,1167.00,Dine In,Kedai,Temu Roti,Owner,,,,Closed</t>
  </si>
  <si>
    <t>07/09/2024 15:53,2-9109,Sale,Minuman,10026,Es Kopi Lemon,,,1.000,21905.00,0.00,21905.00,0.00,21905.00,1095.00,Dine In,Kedai,Temu Roti,Owner,,,,Closed</t>
  </si>
  <si>
    <t>07/09/2024 15:37,2-9108,Sale,Roti,10002,Roti Cranberry,,,1.000,18571.00,0.00,18571.00,0.00,18571.00,929.00,Dine In,Kedai,Temu Roti,Owner,,,,Closed</t>
  </si>
  <si>
    <t>07/09/2024 15:37,2-9108,Sale,Roti,10005,Roti Gandum Cokelat,,,1.000,19524.00,0.00,19524.00,0.00,19524.00,976.00,Dine In,Kedai,Temu Roti,Owner,,,,Closed</t>
  </si>
  <si>
    <t>07/09/2024 15:16,2-9107,Sale,Roti,10002,Roti Cranberry,,,1.000,18571.00,0.00,18571.00,0.00,18571.00,929.00,Dine In,Kedai,Temu Roti,Owner,,,,Closed</t>
  </si>
  <si>
    <t>07/09/2024 15:09,2-9106,Sale,Roti,10054,Roti toast eskrim,,,1.000,25238.00,0.00,25238.00,0.00,25238.00,1262.00,Dine In,Kedai,Temu Roti,Owner,,,,Closed</t>
  </si>
  <si>
    <t>07/09/2024 15:09,2-9106,Sale,Kudapan,10015,Tahu Lada Garam,,,1.000,25238.00,0.00,25238.00,0.00,25238.00,1262.00,Dine In,Kedai,Temu Roti,Owner,,,,Closed</t>
  </si>
  <si>
    <t>07/09/2024 15:09,2-9106,Sale,Minuman,10112,Air mineral,,,1.000,6667.00,0.00,6667.00,0.00,6667.00,333.00,Dine In,Kedai,Temu Roti,Owner,,,,Closed</t>
  </si>
  <si>
    <t>07/09/2024 15:07,2-9105,Sale,Minuman,10128,Es Kopi Susu,,,2.000,46666.00,0.00,46666.00,0.00,46666.00,2333.00,Dine In,Kedai,Temu Roti,Owner,,,,Closed</t>
  </si>
  <si>
    <t>07/09/2024 15:07,2-9105,Sale,Minuman,10067,Wedang angin,,,1.000,24762.00,0.00,24762.00,0.00,24762.00,1238.00,Dine In,Kedai,Temu Roti,Owner,,,,Closed</t>
  </si>
  <si>
    <t>07/09/2024 15:07,2-9105,Sale,Roti,10007,Roti cranberry 2 pcs,,,1.000,33810.00,0.00,33810.00,0.00,33810.00,1691.00,Dine In,Kedai,Temu Roti,Owner,,,,Closed</t>
  </si>
  <si>
    <t>07/09/2024 15:07,2-9105,Sale,Roti,10033,Roti panggang sarikaya,,,1.000,21905.00,0.00,21905.00,0.00,21905.00,1095.00,Dine In,Kedai,Temu Roti,Owner,,,,Closed</t>
  </si>
  <si>
    <t>07/09/2024 13:13,2-9104,Sale,Minuman,10112,Air mineral,,,1.000,6667.00,0.00,6667.00,0.00,6667.00,333.00,Dine In,Kedai,Temu Roti,Owner,,,,Closed</t>
  </si>
  <si>
    <t>07/09/2024 13:13,2-9104,Sale,Kudapan,10014,Tempe Mendoan,,,1.000,25238.00,0.00,25238.00,0.00,25238.00,1262.00,Dine In,Kedai,Temu Roti,Owner,,,,Closed</t>
  </si>
  <si>
    <t>07/09/2024 12:56,2-9103,Sale,Minuman,10107,Korean Mango Fresh Milk,,,2.000,53334.00,0.00,53334.00,0.00,53334.00,2667.00,Dine In,Kedai,Temu Roti,Owner,,,,Closed</t>
  </si>
  <si>
    <t>07/09/2024 12:56,2-9103,Sale,Kudapan,10009,Jamur Enoki Krispi,,,1.000,26667.00,0.00,26667.00,0.00,26667.00,1333.00,Dine In,Kedai,Temu Roti,Owner,,,,Closed</t>
  </si>
  <si>
    <t>07/09/2024 09:47,2-9102,Sale,Minuman,10128,Es Kopi Susu,,,2.000,46666.00,0.00,46666.00,0.00,46666.00,2333.00,Dine In,Kedai,Temu Roti,Owner,,,,Closed</t>
  </si>
  <si>
    <t>07/09/2024 09:47,2-9102,Sale,Roti,10033,Roti panggang sarikaya,,,1.000,21905.00,0.00,21905.00,0.00,21905.00,1096.00,Dine In,Kedai,Temu Roti,Owner,,,,Closed</t>
  </si>
  <si>
    <t>07/09/2024 09:47,2-9102,Sale,Kudapan,10051,Tahu baso,,,1.000,25238.00,0.00,25238.00,0.00,25238.00,1261.00,Dine In,Kedai,Temu Roti,Owner,,,,Closed</t>
  </si>
  <si>
    <t>07/09/2024 09:47,2-9102,Sale,Roti,10002,Roti Cranberry,,,1.000,18571.00,0.00,18571.00,0.00,18571.00,929.00,Dine In,Kedai,Temu Roti,Owner,,,,Closed</t>
  </si>
  <si>
    <t>06/09/2024 19:12,2-9101,Sale,Minuman,10112,Air mineral,,,1.000,6667.00,0.00,6667.00,0.00,6667.00,333.00,Dine In,Kedai,Temu Roti,Owner,,,,Closed</t>
  </si>
  <si>
    <t>06/09/2024 17:59,2-9100,Sale,Kudapan,10011,Kentang Goreng,,,1.000,25238.00,0.00,25238.00,0.00,25238.00,1262.00,Dine In,Kedai,Temu Roti,Owner,,,,Closed</t>
  </si>
  <si>
    <t>06/09/2024 17:59,2-9100,Sale,Roti,10002,Roti Cranberry,,,1.000,18571.00,0.00,18571.00,0.00,18571.00,928.00,Dine In,Kedai,Temu Roti,Owner,,,,Closed</t>
  </si>
  <si>
    <t>06/09/2024 17:07,2-9099,Sale,Roti,10007,Roti cranberry 2 pcs,,,1.000,33810.00,0.00,33810.00,0.00,33810.00,1691.00,Dine In,Kedai,Temu Roti,Owner,,,,Closed</t>
  </si>
  <si>
    <t>06/09/2024 17:07,2-9099,Sale,Roti,10055,Roti Gandum Cokelat 2 pcs,,,1.000,34762.00,0.00,34762.00,0.00,34762.00,1738.00,Dine In,Kedai,Temu Roti,Owner,,,,Closed</t>
  </si>
  <si>
    <t>06/09/2024 16:23,2-9098,Sale,Minuman,10128,Es Kopi Susu,,,1.000,23333.00,0.00,23333.00,0.00,23333.00,1167.00,Dine In,Kedai,Temu Roti,Owner,,,,Closed</t>
  </si>
  <si>
    <t>06/09/2024 16:20,2-9097,Sale,Roti,10002,Roti Cranberry,,,1.000,18571.00,0.00,18571.00,0.00,18571.00,929.00,Dine In,Kedai,Temu Roti,Owner,,,,Closed</t>
  </si>
  <si>
    <t>06/09/2024 16:20,2-9097,Sale,Minuman,10065,Jasmine Green Sencha Hot Artisan Tea,,,1.000,23810.00,0.00,23810.00,0.00,23810.00,1190.00,Dine In,Kedai,Temu Roti,Owner,,,,Closed</t>
  </si>
  <si>
    <t>06/09/2024 16:20,2-9097,Sale,Kudapan,10014,Tempe Mendoan,,,1.000,25238.00,0.00,25238.00,0.00,25238.00,1262.00,Dine In,Kedai,Temu Roti,Owner,,,,Closed</t>
  </si>
  <si>
    <t>06/09/2024 16:17,2-9096,Sale,Roti,10054,Roti toast eskrim,,,1.000,25238.00,0.00,25238.00,0.00,25238.00,1262.00,Dine In,Kedai,Temu Roti,Owner,,,,Closed</t>
  </si>
  <si>
    <t>06/09/2024 16:17,2-9096,Sale,Roti,10042,Roti coklat,,,1.000,9524.00,0.00,9524.00,0.00,9524.00,476.00,Dine In,Kedai,Temu Roti,Owner,,,,Closed</t>
  </si>
  <si>
    <t>06/09/2024 16:17,2-9096,Sale,Minuman,10112,Air mineral,,,1.000,6667.00,0.00,6667.00,0.00,6667.00,333.00,Dine In,Kedai,Temu Roti,Owner,,,,Closed</t>
  </si>
  <si>
    <t>06/09/2024 16:17,2-9096,Sale,Minuman,10117,Teh Manis Dingin,,,1.000,14286.00,0.00,14286.00,0.00,14286.00,715.00,Dine In,Kedai,Temu Roti,Owner,,,,Closed</t>
  </si>
  <si>
    <t>06/09/2024 16:17,2-9096,Sale,Minuman,10128,Es Kopi Susu,,,1.000,23333.00,0.00,23333.00,0.00,23333.00,1166.00,Dine In,Kedai,Temu Roti,Owner,,,,Closed</t>
  </si>
  <si>
    <t>06/09/2024 16:02,2-9095,Sale,Minuman,10128,Es Kopi Susu,,,2.000,46666.00,0.00,46666.00,0.00,46666.00,2333.00,Dine In,Kedai,Temu Roti,Owner,,,,Closed</t>
  </si>
  <si>
    <t>06/09/2024 16:02,2-9095,Sale,Roti,10007,Roti cranberry 2 pcs,,,1.000,33810.00,0.00,33810.00,0.00,33810.00,1691.00,Dine In,Kedai,Temu Roti,Owner,,,,Closed</t>
  </si>
  <si>
    <t>06/09/2024 16:02,2-9095,Sale,Roti,10002,Roti Cranberry,,,1.000,18571.00,0.00,18571.00,0.00,18571.00,928.00,Dine In,Kedai,Temu Roti,Owner,,,,Closed</t>
  </si>
  <si>
    <t>06/09/2024 16:02,2-9095,Sale,Hidangan Utama,10012,Mie joglo,,,1.000,29524.00,0.00,29524.00,0.00,29524.00,1477.00,Dine In,Kedai,Temu Roti,Owner,,,,Closed</t>
  </si>
  <si>
    <t>06/09/2024 16:02,2-9095,Sale,Kudapan,10051,Tahu baso,,,1.000,25238.00,0.00,25238.00,0.00,25238.00,1261.00,Dine In,Kedai,Temu Roti,Owner,,,,Closed</t>
  </si>
  <si>
    <t>06/09/2024 15:39,2-9094,Sale,Minuman,10026,Es Kopi Lemon,,,1.000,21905.00,0.00,21905.00,0.00,21905.00,1095.00,Dine In,Kedai,Temu Roti,Owner,,,,Closed</t>
  </si>
  <si>
    <t>06/09/2024 15:39,2-9094,Sale,Minuman,10128,Es Kopi Susu,,,1.000,23333.00,0.00,23333.00,0.00,23333.00,1167.00,Dine In,Kedai,Temu Roti,Owner,,,,Closed</t>
  </si>
  <si>
    <t>06/09/2024 15:39,2-9094,Sale,Kudapan,10010,Pisang Goreng,,,1.000,25238.00,0.00,25238.00,0.00,25238.00,1262.00,Dine In,Kedai,Temu Roti,Owner,,,,Closed</t>
  </si>
  <si>
    <t>06/09/2024 15:13,2-9093,Sale,Minuman,10128,Es Kopi Susu,,,1.000,23333.00,0.00,23333.00,0.00,23333.00,1167.00,Dine In,Kedai,Temu Roti,Owner,,,,Closed</t>
  </si>
  <si>
    <t>06/09/2024 14:27,2-9092,Sale,Minuman,10128,Es Kopi Susu,,,1.000,23333.00,0.00,23333.00,0.00,23333.00,1167.00,Dine In,Kedai,Temu Roti,Owner,,,,Closed</t>
  </si>
  <si>
    <t>06/09/2024 13:29,2-9091,Sale,Minuman,10058,Susu murni ori,,,1.000,19524.00,0.00,19524.00,0.00,19524.00,976.00,Dine In,Kedai,Temu Roti,Owner,,,,Closed</t>
  </si>
  <si>
    <t>06/09/2024 12:53,2-9090,Sale,Roti,10000,Roti Bawang Saus Keju,,,1.000,29524.00,0.00,29524.00,0.00,29524.00,1476.00,Dine In,Kedai,Temu Roti,Owner,,,,Closed</t>
  </si>
  <si>
    <t>06/09/2024 12:53,2-9090,Sale,Minuman,10013,Kopi cur,,,1.000,23333.00,0.00,23333.00,0.00,23333.00,1167.00,Dine In,Kedai,Temu Roti,Owner,,,,Closed</t>
  </si>
  <si>
    <t>06/09/2024 12:53,2-9090,Sale,Minuman,10128,Es Kopi Susu,,,1.000,23333.00,0.00,23333.00,0.00,23333.00,1167.00,Dine In,Kedai,Temu Roti,Owner,,,,Closed</t>
  </si>
  <si>
    <t>06/09/2024 11:22,2-9089,Sale,Roti,10042,Roti coklat,,,1.000,9524.00,0.00,9524.00,0.00,9524.00,476.00,Dine In,Kedai,Temu Roti,Owner,,,,Closed</t>
  </si>
  <si>
    <t>06/09/2024 11:22,2-9089,Sale,Minuman,10117,Teh Manis Dingin,,,1.000,14286.00,0.00,14286.00,0.00,14286.00,715.00,Dine In,Kedai,Temu Roti,Owner,,,,Closed</t>
  </si>
  <si>
    <t>06/09/2024 10:40,2-9088,Sale,Promo,10023,(Voucher Gratis) Es Kopi Susu,,,1.000,0.00,0.00,0.00,0.00,0.00,0.00,Dine In,Kedai,Temu Roti,Owner,,,,Closed</t>
  </si>
  <si>
    <t>06/09/2024 10:40,2-9088,Sale,Promo,10021,(Voucher Gratis) Roti Gandum Coklat,,,1.000,0.00,0.00,0.00,0.00,0.00,0.00,Dine In,Kedai,Temu Roti,Owner,,,,Closed</t>
  </si>
  <si>
    <t>06/09/2024 10:40,2-9088,Sale,Promo,10023,(Voucher Gratis) Es Kopi Susu,,,2.000,0.00,0.00,0.00,0.00,0.00,0.00,Dine In,Kedai,Temu Roti,Owner,,,,Closed</t>
  </si>
  <si>
    <t>06/09/2024 10:40,2-9088,Sale,Promo,10021,(Voucher Gratis) Roti Gandum Coklat,,,2.000,0.00,0.00,0.00,0.00,0.00,0.00,Dine In,Kedai,Temu Roti,Owner,,,,Closed</t>
  </si>
  <si>
    <t>06/09/2024 10:38,2-9087,Sale,Minuman,10112,Air mineral,,,1.000,6667.00,0.00,6667.00,0.00,6667.00,333.00,Dine In,Kedai,Temu Roti,Owner,,,,Closed</t>
  </si>
  <si>
    <t>06/09/2024 10:38,2-9087,Sale,Roti,10002,Roti Cranberry,,,1.000,18571.00,0.00,18571.00,0.00,18571.00,929.00,Dine In,Kedai,Temu Roti,Owner,,,,Closed</t>
  </si>
  <si>
    <t>06/09/2024 10:38,2-9087,Sale,Roti,10005,Roti Gandum Cokelat,,,1.000,19524.00,0.00,19524.00,0.00,19524.00,976.00,Dine In,Kedai,Temu Roti,Owner,,,,Closed</t>
  </si>
  <si>
    <t>06/09/2024 09:20,2-9086,Sale,Minuman,10058,Susu murni ori,,,1.000,19524.00,0.00,19524.00,0.00,19524.00,976.00,Dine In,Kedai,Temu Roti,Owner,,,,Closed</t>
  </si>
  <si>
    <t>06/09/2024 09:06,2-9085,Sale,Roti,10005,Roti Gandum Cokelat,,,1.000,19524.00,0.00,19524.00,0.00,19524.00,976.00,Dine In,Kedai,Temu Roti,Owner,,,,Closed</t>
  </si>
  <si>
    <t>05/09/2024 21:07,2-9084,Sale,Kudapan,10015,Tahu Lada Garam,,,1.000,25238.00,0.00,25238.00,0.00,25238.00,1262.00,Dine In,Kedai,Temu Roti,Owner,,,,Closed</t>
  </si>
  <si>
    <t>05/09/2024 21:07,2-9084,Sale,Kudapan,10014,Tempe Mendoan,,,1.000,25238.00,0.00,25238.00,0.00,25238.00,1262.00,Dine In,Kedai,Temu Roti,Owner,,,,Closed</t>
  </si>
  <si>
    <t>05/09/2024 21:07,2-9084,Sale,Kudapan,10010,Pisang Goreng,,,1.000,25238.00,0.00,25238.00,0.00,25238.00,1262.00,Dine In,Kedai,Temu Roti,Owner,,,,Closed</t>
  </si>
  <si>
    <t>05/09/2024 21:07,2-9084,Sale,Hidangan Utama,10003,Nasi Goreng Temu,,,1.000,29524.00,0.00,29524.00,0.00,29524.00,1476.00,Dine In,Kedai,Temu Roti,Owner,,,,Closed</t>
  </si>
  <si>
    <t>05/09/2024 21:00,2-9083,Sale,Kudapan,10051,Tahu baso,,,1.000,25238.00,0.00,25238.00,0.00,25238.00,1262.00,Dine In,Kedai,Temu Roti,Owner,,,,Closed</t>
  </si>
  <si>
    <t>05/09/2024 21:00,2-9083,Sale,Roti,10002,Roti Cranberry,,,1.000,18571.00,0.00,18571.00,0.00,18571.00,928.00,Dine In,Kedai,Temu Roti,Owner,,,,Closed</t>
  </si>
  <si>
    <t>05/09/2024 19:47,2-9082,Sale,Roti,10002,Roti Cranberry,,,1.000,18571.00,0.00,18571.00,0.00,18571.00,929.00,Dine In,Kedai,Temu Roti,Owner,,,,Closed</t>
  </si>
  <si>
    <t>05/09/2024 19:43,2-9081,Sale,Minuman,10122,Rempah Madu Panas,,,1.000,21905.00,0.00,21905.00,0.00,21905.00,1095.00,Dine In,Kedai,Temu Roti,Owner,,,,Closed</t>
  </si>
  <si>
    <t>05/09/2024 19:43,2-9081,Sale,Hidangan Utama,10003,Nasi Goreng Temu,,,1.000,29524.00,0.00,29524.00,0.00,29524.00,1476.00,Dine In,Kedai,Temu Roti,Owner,,,,Closed</t>
  </si>
  <si>
    <t>05/09/2024 19:43,2-9081,Sale,Kudapan,10051,Tahu baso,,,1.000,25238.00,0.00,25238.00,0.00,25238.00,1262.00,Dine In,Kedai,Temu Roti,Owner,,,,Closed</t>
  </si>
  <si>
    <t>05/09/2024 19:43,2-9081,Sale,Minuman,10112,Air mineral,,,1.000,6667.00,0.00,6667.00,0.00,6667.00,334.00,Dine In,Kedai,Temu Roti,Owner,,,,Closed</t>
  </si>
  <si>
    <t>05/09/2024 19:43,2-9081,Sale,Roti,10002,Roti Cranberry,,,1.000,18571.00,0.00,18571.00,0.00,18571.00,928.00,Dine In,Kedai,Temu Roti,Owner,,,,Closed</t>
  </si>
  <si>
    <t>05/09/2024 19:27,2-9080,Sale,Roti,10000,Roti Bawang Saus Keju,,,1.000,29524.00,0.00,29524.00,0.00,29524.00,1476.00,Dine In,Kedai,Temu Roti,Owner,,,,Closed</t>
  </si>
  <si>
    <t>05/09/2024 19:27,2-9080,Sale,Minuman,10112,Air mineral,,,1.000,6667.00,0.00,6667.00,0.00,6667.00,334.00,Dine In,Kedai,Temu Roti,Owner,,,,Closed</t>
  </si>
  <si>
    <t>05/09/2024 19:26,2-9079,Sale,Roti,10005,Roti Gandum Cokelat,,,1.000,19524.00,0.00,19524.00,0.00,19524.00,976.00,Dine In,Kedai,Temu Roti,Owner,,,,Closed</t>
  </si>
  <si>
    <t>05/09/2024 19:25,2-9078,Sale,Roti,10042,Roti coklat,,,1.000,9524.00,0.00,9524.00,0.00,9524.00,476.00,Dine In,Kedai,Temu Roti,Owner,,,,Closed</t>
  </si>
  <si>
    <t>05/09/2024 19:19,2-9077,Sale,Kudapan,10010,Pisang Goreng,,,1.000,25238.00,0.00,25238.00,0.00,25238.00,1262.00,Dine In,Kedai,Temu Roti,Owner,,,,Closed</t>
  </si>
  <si>
    <t>05/09/2024 19:19,2-9077,Sale,Kudapan,10051,Tahu baso,,,1.000,25238.00,0.00,25238.00,0.00,25238.00,1262.00,Dine In,Kedai,Temu Roti,Owner,,,,Closed</t>
  </si>
  <si>
    <t>05/09/2024 19:19,2-9076,Refund,Kudapan,10051,Tahu baso,,,-1.000,-25238.00,0.00,-25238.00,-0.00,-25238.00,-1262.00,Dine In,Kedai,Temu Roti,Owner,,,,Closed</t>
  </si>
  <si>
    <t>05/09/2024 19:19,2-9076,Refund,Kudapan,10010,Pisang Goreng,,,-1.000,-25238.00,0.00,-25238.00,-0.00,-25238.00,-1262.00,Dine In,Kedai,Temu Roti,Owner,,,,Closed</t>
  </si>
  <si>
    <t>05/09/2024 19:18,2-9075,Sale,Kudapan,10051,Tahu baso,,,1.000,25238.00,0.00,25238.00,0.00,25238.00,1262.00,Dine In,Kedai,Temu Roti,Owner,,,,Closed</t>
  </si>
  <si>
    <t>05/09/2024 19:18,2-9075,Sale,Kudapan,10010,Pisang Goreng,,,1.000,25238.00,0.00,25238.00,0.00,25238.00,1262.00,Dine In,Kedai,Temu Roti,Owner,,,,Closed</t>
  </si>
  <si>
    <t>05/09/2024 19:01,2-9074,Sale,Roti,10007,Roti cranberry 2 pcs,,,1.000,33810.00,0.00,33810.00,0.00,33810.00,1691.00,Dine In,Kedai,Temu Roti,Owner,,,,Closed</t>
  </si>
  <si>
    <t>05/09/2024 19:01,2-9074,Sale,Minuman,10128,Es Kopi Susu,,,1.000,23333.00,0.00,23333.00,0.00,23333.00,1166.00,Dine In,Kedai,Temu Roti,Owner,,,,Closed</t>
  </si>
  <si>
    <t>05/09/2024 19:01,2-9074,Sale,Kudapan,10051,Tahu baso,,,1.000,25238.00,0.00,25238.00,0.00,25238.00,1262.00,Dine In,Kedai,Temu Roti,Owner,,,,Closed</t>
  </si>
  <si>
    <t>05/09/2024 19:01,2-9074,Sale,Minuman,10026,Es Kopi Lemon,,,1.000,21905.00,0.00,21905.00,0.00,21905.00,1095.00,Dine In,Kedai,Temu Roti,Owner,,,,Closed</t>
  </si>
  <si>
    <t>05/09/2024 18:48,2-9073,Sale,Minuman,10026,Es Kopi Lemon,,,1.000,21905.00,0.00,21905.00,0.00,21905.00,1095.00,Dine In,Kedai,Temu Roti,Owner,,,,Closed</t>
  </si>
  <si>
    <t>05/09/2024 18:48,2-9073,Sale,Kudapan,10051,Tahu baso,,,1.000,25238.00,0.00,25238.00,0.00,25238.00,1262.00,Dine In,Kedai,Temu Roti,Owner,,,,Closed</t>
  </si>
  <si>
    <t>05/09/2024 18:48,2-9073,Sale,Minuman,10128,Es Kopi Susu,,,1.000,23333.00,0.00,23333.00,0.00,23333.00,1167.00,Dine In,Kedai,Temu Roti,Owner,,,,Closed</t>
  </si>
  <si>
    <t>05/09/2024 18:41,2-9072,Refund,Roti,10002,Roti Cranberry,,,-1.000,-18571.00,0.00,-18571.00,-0.00,-18571.00,-929.00,Dine In,Kedai,Temu Roti,Owner,,,,Closed</t>
  </si>
  <si>
    <t>05/09/2024 18:41,2-9072,Refund,Roti,10042,Roti coklat,,,-1.000,-9524.00,0.00,-9524.00,-0.00,-9524.00,-476.00,Dine In,Kedai,Temu Roti,Owner,,,,Closed</t>
  </si>
  <si>
    <t>05/09/2024 18:41,2-9071,Sale,Roti,10002,Roti Cranberry,,,1.000,18571.00,0.00,18571.00,0.00,18571.00,929.00,Dine In,Kedai,Temu Roti,Owner,,,,Closed</t>
  </si>
  <si>
    <t>05/09/2024 18:41,2-9071,Sale,Roti,10042,Roti coklat,,,1.000,9524.00,0.00,9524.00,0.00,9524.00,476.00,Dine In,Kedai,Temu Roti,Owner,,,,Closed</t>
  </si>
  <si>
    <t>05/09/2024 18:40,2-9070,Sale,Roti,10042,Roti coklat,,,1.000,9524.00,0.00,9524.00,0.00,9524.00,476.00,Dine In,Kedai,Temu Roti,Owner,,,,Closed</t>
  </si>
  <si>
    <t>05/09/2024 18:40,2-9070,Sale,Roti,10002,Roti Cranberry,,,1.000,18571.00,0.00,18571.00,0.00,18571.00,929.00,Dine In,Kedai,Temu Roti,Owner,,,,Closed</t>
  </si>
  <si>
    <t>05/09/2024 16:47,2-9069,Sale,Roti,10055,Roti Gandum Cokelat 2 pcs,,,1.000,34762.00,0.00,34762.00,0.00,34762.00,1738.00,Dine In,Kedai,Temu Roti,Owner,,,,Closed</t>
  </si>
  <si>
    <t>05/09/2024 16:17,2-9068,Sale,Roti,10000,Roti Bawang Saus Keju,,,1.000,29524.00,0.00,29524.00,0.00,29524.00,1476.00,Dine In,Kedai,Temu Roti,Owner,,,,Closed</t>
  </si>
  <si>
    <t>05/09/2024 16:17,2-9067,Sale,Roti,10000,Roti Bawang Saus Keju,,,1.000,29524.00,0.00,29524.00,0.00,29524.00,1476.00,Dine In,Kedai,Temu Roti,Owner,,,,Closed</t>
  </si>
  <si>
    <t>05/09/2024 16:17,2-9067,Sale,Roti,10007,Roti cranberry 2 pcs,,,1.000,33810.00,0.00,33810.00,0.00,33810.00,1691.00,Dine In,Kedai,Temu Roti,Owner,,,,Closed</t>
  </si>
  <si>
    <t>05/09/2024 15:35,2-9066,Sale,Roti,10002,Roti Cranberry,,,1.000,18571.00,0.00,18571.00,0.00,18571.00,929.00,Dine In,Kedai,Temu Roti,Owner,,,,Closed</t>
  </si>
  <si>
    <t>05/09/2024 15:32,2-9065,Sale,Roti,10000,Roti Bawang Saus Keju,,,1.000,29524.00,0.00,29524.00,0.00,29524.00,1476.00,Dine In,Kedai,Temu Roti,Owner,,,,Closed</t>
  </si>
  <si>
    <t>05/09/2024 15:32,2-9065,Sale,Roti,10007,Roti cranberry 2 pcs,,,2.000,67620.00,0.00,67620.00,0.00,67620.00,3381.00,Dine In,Kedai,Temu Roti,Owner,,,,Closed</t>
  </si>
  <si>
    <t>05/09/2024 15:32,2-9065,Sale,Roti,10043,Roti keju,,,1.000,9524.00,0.00,9524.00,0.00,9524.00,476.00,Dine In,Kedai,Temu Roti,Owner,,,,Closed</t>
  </si>
  <si>
    <t>05/09/2024 15:02,2-9064,Sale,Roti,10042,Roti coklat,,,1.000,9524.00,0.00,9524.00,0.00,9524.00,476.00,Dine In,Kedai,Temu Roti,Owner,,,,Closed</t>
  </si>
  <si>
    <t>05/09/2024 14:58,2-9063,Sale,Minuman,10063,Wedang Bulan,,,1.000,24762.00,0.00,24762.00,0.00,24762.00,1238.00,Dine In,Kedai,Temu Roti,Owner,,,,Closed</t>
  </si>
  <si>
    <t>05/09/2024 14:58,2-9063,Sale,Roti,10042,Roti coklat,,,1.000,9524.00,0.00,9524.00,0.00,9524.00,476.00,Dine In,Kedai,Temu Roti,Owner,,,,Closed</t>
  </si>
  <si>
    <t>05/09/2024 14:51,2-9062,Sale,Hidangan Utama,10053,Nasi telor,,,1.000,25238.00,0.00,25238.00,0.00,25238.00,1262.00,Dine In,Kedai,Temu Roti,Owner,,,,Closed</t>
  </si>
  <si>
    <t>05/09/2024 14:51,2-9062,Sale,Roti,10002,Roti Cranberry,,,1.000,18571.00,0.00,18571.00,0.00,18571.00,928.00,Dine In,Kedai,Temu Roti,Owner,,,,Closed</t>
  </si>
  <si>
    <t>05/09/2024 13:49,2-9061,Sale,Roti,10007,Roti cranberry 2 pcs,,,1.000,33810.00,0.00,33810.00,0.00,33810.00,1691.00,Dine In,Kedai,Temu Roti,Owner,,,,Closed</t>
  </si>
  <si>
    <t>05/09/2024 13:49,2-9061,Sale,Roti,10042,Roti coklat,,,2.000,19048.00,0.00,19048.00,0.00,19048.00,952.00,Dine In,Kedai,Temu Roti,Owner,,,,Closed</t>
  </si>
  <si>
    <t>05/09/2024 13:49,2-9061,Sale,Roti,10043,Roti keju,,,1.000,9524.00,0.00,9524.00,0.00,9524.00,476.00,Dine In,Kedai,Temu Roti,Owner,,,,Closed</t>
  </si>
  <si>
    <t>05/09/2024 13:08,2-9060,Sale,Hidangan Utama,10003,Nasi Goreng Temu,,,3.000,88572.00,0.00,88572.00,0.00,88572.00,4429.00,Dine In,Kedai,Temu Roti,Owner,,,,Closed</t>
  </si>
  <si>
    <t>05/09/2024 12:03,2-9059,Sale,Minuman,10026,Es Kopi Lemon,,,1.000,21905.00,0.00,21905.00,0.00,21905.00,1095.00,Dine In,Kedai,Temu Roti,Owner,,,,Closed</t>
  </si>
  <si>
    <t>05/09/2024 12:03,2-9059,Sale,Hidangan Utama,10053,Nasi telor,,,1.000,25238.00,0.00,25238.00,0.00,25238.00,1262.00,Dine In,Kedai,Temu Roti,Owner,,,,Closed</t>
  </si>
  <si>
    <t>04/09/2024 18:16,2-9058,Sale,Roti,10054,Roti toast eskrim,,,1.000,25238.00,0.00,25238.00,0.00,25238.00,1262.00,Dine In,Kedai,Temu Roti,Owner,,,,Closed</t>
  </si>
  <si>
    <t>04/09/2024 17:43,2-9057,Sale,Hidangan Utama,10003,Nasi Goreng Temu,,,1.000,29524.00,0.00,29524.00,0.00,29524.00,1476.00,Dine In,Kedai,Temu Roti,Owner,,,,Closed</t>
  </si>
  <si>
    <t>04/09/2024 17:43,2-9056,Sale,Roti,10005,Roti Gandum Cokelat,,,1.000,19524.00,0.00,19524.00,0.00,19524.00,976.00,Dine In,Kedai,Temu Roti,Owner,,,,Closed</t>
  </si>
  <si>
    <t>04/09/2024 17:40,2-9055,Sale,Hidangan Utama,10003,Nasi Goreng Temu,,,1.000,29524.00,0.00,29524.00,0.00,29524.00,1476.00,Dine In,Kedai,Temu Roti,Owner,,,,Closed</t>
  </si>
  <si>
    <t>04/09/2024 17:40,2-9055,Sale,Kudapan,10015,Tahu Lada Garam,,,1.000,25238.00,0.00,25238.00,0.00,25238.00,1262.00,Dine In,Kedai,Temu Roti,Owner,,,,Closed</t>
  </si>
  <si>
    <t>04/09/2024 17:12,2-9054,Sale,Roti,10007,Roti cranberry 2 pcs,,,3.000,101430.00,0.00,101430.00,0.00,101430.00,5072.00,Dine In,Kedai,Temu Roti,Owner,,,,Closed</t>
  </si>
  <si>
    <t>04/09/2024 17:12,2-9054,Sale,Roti,10002,Roti Cranberry,,,1.000,18571.00,0.00,18571.00,0.00,18571.00,928.00,Dine In,Kedai,Temu Roti,Owner,,,,Closed</t>
  </si>
  <si>
    <t>04/09/2024 17:12,2-9054,Sale,Roti,10055,Roti Gandum Cokelat 2 pcs,,,2.000,69524.00,0.00,69524.00,0.00,69524.00,3476.00,Dine In,Kedai,Temu Roti,Owner,,,,Closed</t>
  </si>
  <si>
    <t>04/09/2024 17:12,2-9054,Sale,Roti,10005,Roti Gandum Cokelat,,,1.000,19524.00,0.00,19524.00,0.00,19524.00,976.00,Dine In,Kedai,Temu Roti,Owner,,,,Closed</t>
  </si>
  <si>
    <t>04/09/2024 17:12,2-9054,Sale,Roti,10000,Roti Bawang Saus Keju,,,2.000,59048.00,0.00,59048.00,0.00,59048.00,2953.00,Dine In,Kedai,Temu Roti,Owner,,,,Closed</t>
  </si>
  <si>
    <t>04/09/2024 17:07,2-9053,Sale,Minuman,10128,Es Kopi Susu,,,1.000,23333.00,0.00,23333.00,0.00,23333.00,1167.00,Dine In,Kedai,Temu Roti,Owner,,,,Closed</t>
  </si>
  <si>
    <t>04/09/2024 17:07,2-9053,Sale,Kudapan,10004,Tahu walik,,,1.000,25238.00,0.00,25238.00,0.00,25238.00,1262.00,Dine In,Kedai,Temu Roti,Owner,,,,Closed</t>
  </si>
  <si>
    <t>04/09/2024 16:46,2-9052,Sale,Roti,10005,Roti Gandum Cokelat,,,1.000,19524.00,0.00,19524.00,0.00,19524.00,976.00,Dine In,Kedai,Temu Roti,Owner,,,,Closed</t>
  </si>
  <si>
    <t>04/09/2024 16:00,2-9051,Sale,Roti,10007,Roti cranberry 2 pcs,,,1.000,33810.00,0.00,33810.00,0.00,33810.00,1691.00,Dine In,Kedai,Temu Roti,Owner,,,,Closed</t>
  </si>
  <si>
    <t>04/09/2024 15:46,2-9050,Sale,Minuman,10107,Korean Mango Fresh Milk,,,1.000,26667.00,0.00,26667.00,0.00,26667.00,1333.00,Dine In,Kedai,Temu Roti,Owner,,,,Closed</t>
  </si>
  <si>
    <t>04/09/2024 15:46,2-9050,Sale,Minuman,10128,Es Kopi Susu,,,1.000,23333.00,0.00,23333.00,0.00,23333.00,1167.00,Dine In,Kedai,Temu Roti,Owner,,,,Closed</t>
  </si>
  <si>
    <t>04/09/2024 15:44,2-9049,Sale,Minuman,10119,Teh Tawar Dingin,,,1.000,7143.00,0.00,7143.00,0.00,7143.00,357.00,Dine In,Kedai,Temu Roti,Owner,,,,Closed</t>
  </si>
  <si>
    <t>04/09/2024 15:44,2-9049,Sale,Minuman,10125,Gula Asam Dingin,,,1.000,20476.00,0.00,20476.00,0.00,20476.00,1024.00,Dine In,Kedai,Temu Roti,Owner,,,,Closed</t>
  </si>
  <si>
    <t>04/09/2024 15:44,2-9049,Sale,Roti,10033,Roti panggang sarikaya,,,1.000,21905.00,0.00,21905.00,0.00,21905.00,1095.00,Dine In,Kedai,Temu Roti,Owner,,,,Closed</t>
  </si>
  <si>
    <t>04/09/2024 15:20,2-9048,Sale,Roti,10043,Roti keju,,,2.000,19048.00,0.00,19048.00,0.00,19048.00,952.00,Dine In,Kedai,Temu Roti,Owner,,,,Closed</t>
  </si>
  <si>
    <t>04/09/2024 15:06,2-9047,Sale,Roti,10007,Roti cranberry 2 pcs,,,1.000,33810.00,0.00,33810.00,0.00,33810.00,1691.00,Dine In,Kedai,Temu Roti,Owner,,,,Closed</t>
  </si>
  <si>
    <t>04/09/2024 15:06,2-9047,Sale,Roti,10002,Roti Cranberry,,,1.000,18571.00,0.00,18571.00,0.00,18571.00,928.00,Dine In,Kedai,Temu Roti,Owner,,,,Closed</t>
  </si>
  <si>
    <t>04/09/2024 15:06,2-9047,Sale,Roti,10055,Roti Gandum Cokelat 2 pcs,,,1.000,34762.00,0.00,34762.00,0.00,34762.00,1738.00,Dine In,Kedai,Temu Roti,Owner,,,,Closed</t>
  </si>
  <si>
    <t>04/09/2024 14:36,2-9046,Sale,Roti,10005,Roti Gandum Cokelat,,,1.000,19524.00,0.00,19524.00,0.00,19524.00,976.00,Dine In,Kedai,Temu Roti,Owner,,,,Closed</t>
  </si>
  <si>
    <t>04/09/2024 14:36,2-9046,Sale,Roti,10002,Roti Cranberry,,,1.000,18571.00,0.00,18571.00,0.00,18571.00,929.00,Dine In,Kedai,Temu Roti,Owner,,,,Closed</t>
  </si>
  <si>
    <t>04/09/2024 14:36,2-9046,Sale,Minuman,10128,Es Kopi Susu,,,1.000,23333.00,0.00,23333.00,0.00,23333.00,1166.00,Dine In,Kedai,Temu Roti,Owner,,,,Closed</t>
  </si>
  <si>
    <t>04/09/2024 14:36,2-9046,Sale,Minuman,10107,Korean Mango Fresh Milk,,,1.000,26667.00,0.00,26667.00,0.00,26667.00,1334.00,Dine In,Kedai,Temu Roti,Owner,,,,Closed</t>
  </si>
  <si>
    <t>04/09/2024 14:20,2-9045,Sale,Kudapan,10004,Tahu walik,,,1.000,25238.00,0.00,25238.00,0.00,25238.00,1262.00,Dine In,Kedai,Temu Roti,Owner,,,,Closed</t>
  </si>
  <si>
    <t>04/09/2024 14:20,2-9045,Sale,Roti,10007,Roti cranberry 2 pcs,,,1.000,33810.00,0.00,33810.00,0.00,33810.00,1690.00,Dine In,Kedai,Temu Roti,Owner,,,,Closed</t>
  </si>
  <si>
    <t>04/09/2024 13:40,2-9044,Sale,Minuman,10107,Korean Mango Fresh Milk,,,1.000,26667.00,0.00,26667.00,0.00,26667.00,1333.00,Dine In,Kedai,Temu Roti,Owner,,,,Closed</t>
  </si>
  <si>
    <t>04/09/2024 13:38,2-9043,Sale,Roti,10000,Roti Bawang Saus Keju,,,1.000,29524.00,0.00,29524.00,0.00,29524.00,1476.00,Dine In,Kedai,Temu Roti,Owner,,,,Closed</t>
  </si>
  <si>
    <t>04/09/2024 13:38,2-9043,Sale,Minuman,10117,Teh Manis Dingin,,,1.000,14286.00,0.00,14286.00,0.00,14286.00,715.00,Dine In,Kedai,Temu Roti,Owner,,,,Closed</t>
  </si>
  <si>
    <t>04/09/2024 13:38,2-9043,Sale,Roti,10002,Roti Cranberry,,,1.000,18571.00,0.00,18571.00,0.00,18571.00,928.00,Dine In,Kedai,Temu Roti,Owner,,,,Closed</t>
  </si>
  <si>
    <t>04/09/2024 09:56,2-9042,Sale,Roti,10002,Roti Cranberry,,,1.000,18571.00,0.00,18571.00,0.00,18571.00,929.00,Dine In,Kedai,Temu Roti,Owner,,,,Closed</t>
  </si>
  <si>
    <t>04/09/2024 09:56,2-9042,Sale,Roti,10043,Roti keju,,,1.000,9524.00,0.00,9524.00,0.00,9524.00,476.00,Dine In,Kedai,Temu Roti,Owner,,,,Closed</t>
  </si>
  <si>
    <t>04/09/2024 09:40,2-9041,Sale,Minuman,10112,Air mineral,,,1.000,6667.00,0.00,6667.00,0.00,6667.00,333.00,Dine In,Kedai,Temu Roti,Owner,,,,Closed</t>
  </si>
  <si>
    <t>04/09/2024 09:31,2-9040,Sale,Roti,10002,Roti Cranberry,,,1.000,18571.00,0.00,18571.00,0.00,18571.00,929.00,Dine In,Kedai,Temu Roti,Owner,,,,Closed</t>
  </si>
  <si>
    <t>04/09/2024 09:31,2-9040,Sale,Minuman,10128,Es Kopi Susu,,,1.000,23333.00,0.00,23333.00,0.00,23333.00,1166.00,Dine In,Kedai,Temu Roti,Owner,,,,Closed</t>
  </si>
  <si>
    <t>04/09/2024 09:31,2-9040,Sale,Minuman,10026,Es Kopi Lemon,,,1.000,21905.00,0.00,21905.00,0.00,21905.00,1095.00,Dine In,Kedai,Temu Roti,Owner,,,,Closed</t>
  </si>
  <si>
    <t>04/09/2024 09:31,2-9040,Sale,Kudapan,10004,Tahu walik,,,1.000,25238.00,0.00,25238.00,0.00,25238.00,1262.00,Dine In,Kedai,Temu Roti,Owner,,,,Closed</t>
  </si>
  <si>
    <t>04/09/2024 09:27,2-9039,Sale,Minuman,10112,Air mineral,,,1.000,6667.00,0.00,6667.00,0.00,6667.00,333.00,Dine In,Kedai,Temu Roti,Owner,,,,Closed</t>
  </si>
  <si>
    <t>04/09/2024 09:27,2-9039,Sale,Kudapan,10011,Kentang Goreng,,,1.000,25238.00,0.00,25238.00,0.00,25238.00,1262.00,Dine In,Kedai,Temu Roti,Owner,,,,Closed</t>
  </si>
  <si>
    <t>03/09/2024 21:04,2-9038,Sale,Hidangan Utama,10012,Mie joglo,,,1.000,29524.00,0.00,29524.00,0.00,29524.00,1476.00,Dine In,Kedai,Temu Roti,Owner,,,,Closed</t>
  </si>
  <si>
    <t>03/09/2024 21:04,2-9038,Sale,Kudapan,10014,Tempe Mendoan,,,1.000,25238.00,0.00,25238.00,0.00,25238.00,1262.00,Dine In,Kedai,Temu Roti,Owner,,,,Closed</t>
  </si>
  <si>
    <t>03/09/2024 20:47,2-9037,Sale,Kudapan,10004,Tahu walik,,,1.000,25238.00,0.00,25238.00,0.00,25238.00,1262.00,Dine In,Kedai,Temu Roti,Owner,,,,Closed</t>
  </si>
  <si>
    <t>03/09/2024 20:47,2-9037,Sale,Roti,10033,Roti panggang sarikaya,,,1.000,21905.00,0.00,21905.00,0.00,21905.00,1095.00,Dine In,Kedai,Temu Roti,Owner,,,,Closed</t>
  </si>
  <si>
    <t>03/09/2024 20:47,2-9037,Sale,Roti,10007,Roti cranberry 2 pcs,,,1.000,33810.00,0.00,33810.00,0.00,33810.00,1691.00,Dine In,Kedai,Temu Roti,Owner,,,,Closed</t>
  </si>
  <si>
    <t>03/09/2024 20:47,2-9037,Sale,Hidangan Utama,10012,Mie joglo,,,1.000,29524.00,0.00,29524.00,0.00,29524.00,1476.00,Dine In,Kedai,Temu Roti,Owner,,,,Closed</t>
  </si>
  <si>
    <t>03/09/2024 20:47,2-9036,Refund,Roti,10033,Roti panggang sarikaya,,,-1.000,-21905.00,0.00,-21905.00,-0.00,-21905.00,-1095.00,Dine In,Kedai,Temu Roti,Owner,,,Sarikaya sedikit,Closed</t>
  </si>
  <si>
    <t>03/09/2024 20:47,2-9036,Refund,Kudapan,10004,Tahu walik,,,-1.000,-25238.00,0.00,-25238.00,-0.00,-25238.00,-1262.00,Dine In,Kedai,Temu Roti,Owner,,,,Closed</t>
  </si>
  <si>
    <t>03/09/2024 20:47,2-9036,Refund,Hidangan Utama,10012,Mie joglo,,,-1.000,-29524.00,0.00,-29524.00,-0.00,-29524.00,-1476.00,Dine In,Kedai,Temu Roti,Owner,,,Manis pedas,Closed</t>
  </si>
  <si>
    <t>03/09/2024 20:47,2-9036,Refund,Roti,10007,Roti cranberry 2 pcs,,,-1.000,-33810.00,0.00,-33810.00,-0.00,-33810.00,-1691.00,Dine In,Kedai,Temu Roti,Owner,,,,Closed</t>
  </si>
  <si>
    <t>03/09/2024 20:46,2-9035,Sale,Roti,10000,Roti Bawang Saus Keju,,,1.000,29524.00,0.00,29524.00,0.00,29524.00,1476.00,Dine In,Kedai,Temu Roti,Owner,,,,Closed</t>
  </si>
  <si>
    <t>03/09/2024 20:46,2-9035,Sale,Minuman,10128,Es Kopi Susu,,,1.000,23333.00,0.00,23333.00,0.00,23333.00,1167.00,Dine In,Kedai,Temu Roti,Owner,,,,Closed</t>
  </si>
  <si>
    <t>03/09/2024 20:46,2-9035,Sale,Kudapan,10009,Jamur Enoki Krispi,,,1.000,26667.00,0.00,26667.00,0.00,26667.00,1333.00,Dine In,Kedai,Temu Roti,Owner,,,,Closed</t>
  </si>
  <si>
    <t>03/09/2024 20:46,2-9034,Refund,Minuman,10128,Es Kopi Susu,,,-1.000,-23333.00,0.00,-23333.00,-0.00,-23333.00,-1167.00,Dine In,Kedai,Temu Roti,Owner,,,,Closed</t>
  </si>
  <si>
    <t>03/09/2024 20:46,2-9034,Refund,Kudapan,10009,Jamur Enoki Krispi,,,-1.000,-26667.00,0.00,-26667.00,-0.00,-26667.00,-1333.00,Dine In,Kedai,Temu Roti,Owner,,,,Closed</t>
  </si>
  <si>
    <t>03/09/2024 20:46,2-9034,Refund,Roti,10000,Roti Bawang Saus Keju,,,-1.000,-29524.00,0.00,-29524.00,-0.00,-29524.00,-1476.00,Dine In,Kedai,Temu Roti,Owner,,,,Closed</t>
  </si>
  <si>
    <t>03/09/2024 20:10,2-9033,Sale,Roti,10007,Roti cranberry 2 pcs,,,1.000,33810.00,0.00,33810.00,0.00,33810.00,1691.00,Take Away,Kedai,Temu Roti,Owner,,,,Closed</t>
  </si>
  <si>
    <t>03/09/2024 20:10,2-9033,Sale,Roti,10002,Roti Cranberry,,,1.000,18571.00,0.00,18571.00,0.00,18571.00,928.00,Take Away,Kedai,Temu Roti,Owner,,,,Closed</t>
  </si>
  <si>
    <t>03/09/2024 20:10,2-9033,Sale,Minuman,10107,Korean Mango Fresh Milk,,,1.000,26667.00,0.00,26667.00,0.00,26667.00,1333.00,Take Away,Kedai,Temu Roti,Owner,,,,Closed</t>
  </si>
  <si>
    <t>03/09/2024 20:05,2-9032,Sale,Roti,10007,Roti cranberry 2 pcs,,,1.000,33810.00,0.00,33810.00,0.00,33810.00,1691.00,Dine In,Kedai,Temu Roti,Owner,,,,Closed</t>
  </si>
  <si>
    <t>03/09/2024 19:58,2-9031,Sale,Minuman,10128,Es Kopi Susu,,,1.000,23333.00,0.00,23333.00,0.00,23333.00,1167.00,Dine In,Kedai,Temu Roti,Owner,,,,Closed</t>
  </si>
  <si>
    <t>03/09/2024 19:58,2-9031,Sale,Kudapan,10009,Jamur Enoki Krispi,,,1.000,26667.00,0.00,26667.00,0.00,26667.00,1333.00,Dine In,Kedai,Temu Roti,Owner,,,,Closed</t>
  </si>
  <si>
    <t>03/09/2024 19:58,2-9031,Sale,Roti,10000,Roti Bawang Saus Keju,,,1.000,29524.00,0.00,29524.00,0.00,29524.00,1476.00,Dine In,Kedai,Temu Roti,Owner,,,,Closed</t>
  </si>
  <si>
    <t>03/09/2024 19:55,2-9030,Sale,Roti,10033,Roti panggang sarikaya,,,1.000,21905.00,0.00,21905.00,0.00,21905.00,1095.00,Dine In,Kedai,Temu Roti,Owner,,,Sarikaya sedikit,Closed</t>
  </si>
  <si>
    <t>03/09/2024 19:55,2-9030,Sale,Kudapan,10004,Tahu walik,,,1.000,25238.00,0.00,25238.00,0.00,25238.00,1262.00,Dine In,Kedai,Temu Roti,Owner,,,,Closed</t>
  </si>
  <si>
    <t>03/09/2024 19:55,2-9030,Sale,Hidangan Utama,10012,Mie joglo,,,1.000,29524.00,0.00,29524.00,0.00,29524.00,1476.00,Dine In,Kedai,Temu Roti,Owner,,,Manis pedas,Closed</t>
  </si>
  <si>
    <t>03/09/2024 19:55,2-9030,Sale,Roti,10007,Roti cranberry 2 pcs,,,1.000,33810.00,0.00,33810.00,0.00,33810.00,1691.00,Dine In,Kedai,Temu Roti,Owner,,,,Closed</t>
  </si>
  <si>
    <t>03/09/2024 19:39,2-9029,Sale,Kudapan,10004,Tahu walik,,,1.000,25238.00,0.00,25238.00,0.00,25238.00,1262.00,Dine In,Kedai,Temu Roti,Owner,,,,Closed</t>
  </si>
  <si>
    <t>03/09/2024 19:39,2-9029,Sale,Minuman,10112,Air mineral,,,1.000,6667.00,0.00,6667.00,0.00,6667.00,333.00,Dine In,Kedai,Temu Roti,Owner,,,,Closed</t>
  </si>
  <si>
    <t>03/09/2024 19:39,2-9029,Sale,Kudapan,10015,Tahu Lada Garam,,,1.000,25238.00,0.00,25238.00,0.00,25238.00,1262.00,Dine In,Kedai,Temu Roti,Owner,,,,Closed</t>
  </si>
  <si>
    <t>03/09/2024 19:39,2-9029,Sale,Kudapan,10051,Tahu baso,,,1.000,25238.00,0.00,25238.00,0.00,25238.00,1262.00,Dine In,Kedai,Temu Roti,Owner,,,,Closed</t>
  </si>
  <si>
    <t>03/09/2024 19:38,2-9028,Sale,Roti,10002,Roti Cranberry,,,1.000,18571.00,0.00,18571.00,0.00,18571.00,929.00,Dine In,Kedai,Temu Roti,Owner,,,,Closed</t>
  </si>
  <si>
    <t>03/09/2024 19:38,2-9028,Sale,Roti,10005,Roti Gandum Cokelat,,,1.000,19524.00,0.00,19524.00,0.00,19524.00,976.00,Dine In,Kedai,Temu Roti,Owner,,,,Closed</t>
  </si>
  <si>
    <t>03/09/2024 19:20,2-9027,Sale,Roti,10034,Roti panggang coklat,,,1.000,21905.00,0.00,21905.00,0.00,21905.00,1095.00,Dine In,Kedai,Temu Roti,Owner,,,,Closed</t>
  </si>
  <si>
    <t>03/09/2024 19:20,2-9027,Sale,Minuman,10122,Rempah Madu Panas,,,1.000,21905.00,0.00,21905.00,0.00,21905.00,1096.00,Dine In,Kedai,Temu Roti,Owner,,,,Closed</t>
  </si>
  <si>
    <t>03/09/2024 19:20,2-9027,Sale,Kudapan,10014,Tempe Mendoan,,,1.000,25238.00,0.00,25238.00,0.00,25238.00,1261.00,Dine In,Kedai,Temu Roti,Owner,,,,Closed</t>
  </si>
  <si>
    <t>03/09/2024 19:20,2-9027,Sale,Minuman,10112,Air mineral,,,1.000,6667.00,0.00,6667.00,0.00,6667.00,334.00,Dine In,Kedai,Temu Roti,Owner,,,,Closed</t>
  </si>
  <si>
    <t>03/09/2024 19:18,2-9026,Sale,Minuman,10128,Es Kopi Susu,,,1.000,23333.00,0.00,23333.00,0.00,23333.00,1167.00,Dine In,Kedai,Temu Roti,Owner,,,,Closed</t>
  </si>
  <si>
    <t>03/09/2024 19:18,2-9026,Sale,Roti,10002,Roti Cranberry,,,1.000,18571.00,0.00,18571.00,0.00,18571.00,928.00,Dine In,Kedai,Temu Roti,Owner,,,,Closed</t>
  </si>
  <si>
    <t>03/09/2024 19:18,2-9026,Sale,Roti,10005,Roti Gandum Cokelat,,,1.000,19524.00,0.00,19524.00,0.00,19524.00,976.00,Dine In,Kedai,Temu Roti,Owner,,,,Closed</t>
  </si>
  <si>
    <t>03/09/2024 19:18,2-9026,Sale,Roti,10043,Roti keju,,,1.000,9524.00,0.00,9524.00,0.00,9524.00,477.00,Dine In,Kedai,Temu Roti,Owner,,,,Closed</t>
  </si>
  <si>
    <t>03/09/2024 19:08,2-9025,Sale,Roti,10000,Roti Bawang Saus Keju,,,1.000,29524.00,0.00,29524.00,0.00,29524.00,1476.00,Dine In,Kedai,Temu Roti,Owner,,,,Closed</t>
  </si>
  <si>
    <t>03/09/2024 19:06,2-9024,Sale,Kudapan,10004,Tahu walik,,,1.000,25238.00,0.00,25238.00,0.00,25238.00,1262.00,Dine In,Kedai,Temu Roti,Owner,,,,Closed</t>
  </si>
  <si>
    <t>03/09/2024 19:06,2-9024,Sale,Minuman,10128,Es Kopi Susu,,,1.000,23333.00,0.00,23333.00,0.00,23333.00,1167.00,Dine In,Kedai,Temu Roti,Owner,,,,Closed</t>
  </si>
  <si>
    <t>03/09/2024 19:06,2-9024,Sale,Minuman,10067,Wedang angin,,,1.000,24762.00,0.00,24762.00,0.00,24762.00,1238.00,Dine In,Kedai,Temu Roti,Owner,,,,Closed</t>
  </si>
  <si>
    <t>03/09/2024 19:06,2-9024,Sale,Minuman,10107,Korean Mango Fresh Milk,,,1.000,26667.00,0.00,26667.00,0.00,26667.00,1333.00,Dine In,Kedai,Temu Roti,Owner,,,,Closed</t>
  </si>
  <si>
    <t>03/09/2024 19:06,2-9024,Sale,Hidangan Utama,10012,Mie joglo,,,1.000,29524.00,0.00,29524.00,0.00,29524.00,1476.00,Dine In,Kedai,Temu Roti,Owner,,,,Closed</t>
  </si>
  <si>
    <t>03/09/2024 19:02,2-9023,Sale,Roti,10054,Roti toast eskrim,,,1.000,25238.00,0.00,25238.00,0.00,25238.00,1262.00,Dine In,Kedai,Temu Roti,Owner,,,,Closed</t>
  </si>
  <si>
    <t>03/09/2024 19:02,2-9023,Sale,Kudapan,10014,Tempe Mendoan,,,1.000,25238.00,0.00,25238.00,0.00,25238.00,1262.00,Dine In,Kedai,Temu Roti,Owner,,,,Closed</t>
  </si>
  <si>
    <t>03/09/2024 19:02,2-9023,Sale,Kudapan,10004,Tahu walik,,,1.000,25238.00,0.00,25238.00,0.00,25238.00,1262.00,Dine In,Kedai,Temu Roti,Owner,,,,Closed</t>
  </si>
  <si>
    <t>03/09/2024 19:02,2-9023,Sale,Minuman,10107,Korean Mango Fresh Milk,,,1.000,26667.00,0.00,26667.00,0.00,26667.00,1333.00,Dine In,Kedai,Temu Roti,Owner,,,,Closed</t>
  </si>
  <si>
    <t>03/09/2024 19:02,2-9023,Sale,Minuman,10106,Korean Strawberry Fresh Milk,,,1.000,26667.00,0.00,26667.00,0.00,26667.00,1333.00,Dine In,Kedai,Temu Roti,Owner,,,,Closed</t>
  </si>
  <si>
    <t>03/09/2024 19:02,2-9023,Sale,Minuman,10128,Es Kopi Susu,,,1.000,23333.00,0.00,23333.00,0.00,23333.00,1167.00,Dine In,Kedai,Temu Roti,Owner,,,,Closed</t>
  </si>
  <si>
    <t>03/09/2024 16:39,2-9022,Sale,Minuman,10121,Lemon Tea Dingin,,,1.000,19524.00,0.00,19524.00,0.00,19524.00,976.00,Dine In,Kedai,Temu Roti,Owner,,,,Closed</t>
  </si>
  <si>
    <t>03/09/2024 15:47,2-9021,Sale,Roti,10002,Roti Cranberry,,,1.000,18571.00,0.00,18571.00,0.00,18571.00,929.00,Dine In,Kedai,Temu Roti,Owner,,,,Closed</t>
  </si>
  <si>
    <t>03/09/2024 15:46,2-9020,Sale,Roti,10007,Roti cranberry 2 pcs,,,1.000,33810.00,0.00,33810.00,0.00,33810.00,1691.00,Dine In,Kedai,Temu Roti,Owner,,,,Closed</t>
  </si>
  <si>
    <t>03/09/2024 15:46,2-9020,Sale,Minuman,10128,Es Kopi Susu,,,1.000,23333.00,0.00,23333.00,0.00,23333.00,1166.00,Dine In,Kedai,Temu Roti,Owner,,,,Closed</t>
  </si>
  <si>
    <t>03/09/2024 14:37,2-9019,Sale,Roti,10002,Roti Cranberry,,,1.000,18571.00,0.00,18571.00,0.00,18571.00,929.00,Dine In,Kedai,Temu Roti,Owner,,,,Closed</t>
  </si>
  <si>
    <t>03/09/2024 14:14,2-9018,Sale,Minuman,10128,Es Kopi Susu,,,1.000,23333.00,0.00,23333.00,0.00,23333.00,1167.00,Dine In,Kedai,Temu Roti,Owner,,,,Closed</t>
  </si>
  <si>
    <t>03/09/2024 14:02,2-9017,Sale,Kudapan,10014,Tempe Mendoan,,,1.000,25238.00,0.00,25238.00,0.00,25238.00,1262.00,Dine In,Kedai,Temu Roti,Owner,,,,Closed</t>
  </si>
  <si>
    <t>03/09/2024 13:41,2-9016,Sale,Roti,10034,Roti panggang coklat,,,1.000,21905.00,0.00,21905.00,0.00,21905.00,1095.00,Dine In,Kedai,Temu Roti,Owner,,,,Closed</t>
  </si>
  <si>
    <t>03/09/2024 13:41,2-9016,Sale,Minuman,10125,Gula Asam Dingin,,,1.000,20476.00,0.00,20476.00,0.00,20476.00,1024.00,Dine In,Kedai,Temu Roti,Owner,,,,Closed</t>
  </si>
  <si>
    <t>03/09/2024 13:07,2-9015,Sale,Minuman,10128,Es Kopi Susu,,,1.000,23333.00,0.00,23333.00,0.00,23333.00,1167.00,Dine In,Kedai,Temu Roti,Owner,,,,Closed</t>
  </si>
  <si>
    <t>03/09/2024 13:06,2-9014,Sale,Minuman,10128,Es Kopi Susu,,,1.000,23333.00,0.00,23333.00,0.00,23333.00,1167.00,Dine In,Kedai,Temu Roti,Owner,,,,Closed</t>
  </si>
  <si>
    <t>03/09/2024 13:06,2-9014,Sale,Minuman,10057,Susu murni strawberry,,,1.000,19524.00,0.00,19524.00,0.00,19524.00,976.00,Dine In,Kedai,Temu Roti,Owner,,,,Closed</t>
  </si>
  <si>
    <t>03/09/2024 13:06,2-9014,Sale,Kudapan,10015,Tahu Lada Garam,,,1.000,25238.00,0.00,25238.00,0.00,25238.00,1262.00,Dine In,Kedai,Temu Roti,Owner,,,,Closed</t>
  </si>
  <si>
    <t>03/09/2024 13:06,2-9014,Sale,Hidangan Utama,10003,Nasi Goreng Temu,,,1.000,29524.00,0.00,29524.00,0.00,29524.00,1476.00,Dine In,Kedai,Temu Roti,Owner,,,,Closed</t>
  </si>
  <si>
    <t>03/09/2024 12:33,2-9013,Sale,Kudapan,10051,Tahu baso,,,1.000,25238.00,0.00,25238.00,0.00,25238.00,1262.00,Dine In,Kedai,Temu Roti,Owner,,,,Closed</t>
  </si>
  <si>
    <t>03/09/2024 12:33,2-9013,Sale,Minuman,10112,Air mineral,,,1.000,6667.00,0.00,6667.00,0.00,6667.00,333.00,Dine In,Kedai,Temu Roti,Owner,,,,Closed</t>
  </si>
  <si>
    <t>03/09/2024 12:07,2-9012,Sale,Minuman,10112,Air mineral,,,1.000,6667.00,0.00,6667.00,0.00,6667.00,333.00,Dine In,Kedai,Temu Roti,Owner,,,,Closed</t>
  </si>
  <si>
    <t>03/09/2024 12:07,2-9012,Sale,Hidangan Utama,10012,Mie joglo,,,1.000,29524.00,0.00,29524.00,0.00,29524.00,1477.00,Dine In,Kedai,Temu Roti,Owner,,,,Closed</t>
  </si>
  <si>
    <t>03/09/2024 11:12,2-9011,Sale,Roti,10002,Roti Cranberry,,,1.000,18571.00,0.00,18571.00,0.00,18571.00,929.00,Dine In,Kedai,Temu Roti,Owner,,,,Closed</t>
  </si>
  <si>
    <t>03/09/2024 11:12,2-9011,Sale,Minuman,10118,Teh Tawar Panas,,,1.000,7143.00,0.00,7143.00,0.00,7143.00,357.00,Dine In,Kedai,Temu Roti,Owner,,,,Closed</t>
  </si>
  <si>
    <t>03/09/2024 11:12,2-9011,Sale,Roti,10007,Roti cranberry 2 pcs,,,1.000,33810.00,0.00,33810.00,0.00,33810.00,1690.00,Dine In,Kedai,Temu Roti,Owner,,,,Closed</t>
  </si>
  <si>
    <t>03/09/2024 11:12,2-9011,Sale,Roti,10055,Roti Gandum Cokelat 2 pcs,,,1.000,34762.00,0.00,34762.00,0.00,34762.00,1738.00,Dine In,Kedai,Temu Roti,Owner,,,,Closed</t>
  </si>
  <si>
    <t>03/09/2024 11:12,2-9011,Sale,Roti,10043,Roti keju,,,1.000,9524.00,0.00,9524.00,0.00,9524.00,477.00,Dine In,Kedai,Temu Roti,Owner,,,,Closed</t>
  </si>
  <si>
    <t>03/09/2024 10:44,2-9010,Sale,Minuman,10056,Susu murni moca,,,1.000,19524.00,0.00,19524.00,0.00,19524.00,976.00,Dine In,Kedai,Temu Roti,Owner,,,,Closed</t>
  </si>
  <si>
    <t>03/09/2024 10:44,2-9010,Sale,Minuman,10057,Susu murni strawberry,,,1.000,19524.00,0.00,19524.00,0.00,19524.00,976.00,Dine In,Kedai,Temu Roti,Owner,,,,Closed</t>
  </si>
  <si>
    <t>03/09/2024 10:44,2-9010,Sale,Roti,10043,Roti keju,,,1.000,9524.00,0.00,9524.00,0.00,9524.00,477.00,Dine In,Kedai,Temu Roti,Owner,,,,Closed</t>
  </si>
  <si>
    <t>03/09/2024 10:44,2-9010,Sale,Minuman,10106,Korean Strawberry Fresh Milk,,,1.000,26667.00,0.00,26667.00,0.00,26667.00,1333.00,Dine In,Kedai,Temu Roti,Owner,,,,Closed</t>
  </si>
  <si>
    <t>03/09/2024 10:44,2-9010,Sale,Roti,10007,Roti cranberry 2 pcs,,,1.000,33810.00,0.00,33810.00,0.00,33810.00,1690.00,Dine In,Kedai,Temu Roti,Owner,,,,Closed</t>
  </si>
  <si>
    <t>01/09/2024 20:47,2-9009,Sale,Minuman,10107,Korean Mango Fresh Milk,,,1.000,26667.00,0.00,26667.00,0.00,26667.00,1333.00,Dine In,Kedai,Temu Roti,Owner,,,,Closed</t>
  </si>
  <si>
    <t>01/09/2024 20:47,2-9009,Sale,Minuman,10120,Lemon Tea Panas,,,1.000,19524.00,0.00,19524.00,0.00,19524.00,977.00,Dine In,Kedai,Temu Roti,Owner,,,,Closed</t>
  </si>
  <si>
    <t>01/09/2024 20:47,2-9009,Sale,Minuman,10119,Teh Tawar Dingin,,,2.000,14286.00,0.00,14286.00,0.00,14286.00,714.00,Dine In,Kedai,Temu Roti,Owner,,,,Closed</t>
  </si>
  <si>
    <t>01/09/2024 20:47,2-9009,Sale,Hidangan Utama,10003,Nasi Goreng Temu,,,2.000,59048.00,0.00,59048.00,0.00,59048.00,2952.00,Dine In,Kedai,Temu Roti,Owner,,,,Closed</t>
  </si>
  <si>
    <t>01/09/2024 20:47,2-9009,Sale,Minuman,10106,Korean Strawberry Fresh Milk,,,2.000,53334.00,0.00,53334.00,0.00,53334.00,2667.00,Dine In,Kedai,Temu Roti,Owner,,,,Closed</t>
  </si>
  <si>
    <t>01/09/2024 20:47,2-9009,Sale,Kudapan,10015,Tahu Lada Garam,,,1.000,25238.00,0.00,25238.00,0.00,25238.00,1262.00,Dine In,Kedai,Temu Roti,Owner,,,,Closed</t>
  </si>
  <si>
    <t>01/09/2024 20:47,2-9009,Sale,Roti,10005,Roti Gandum Cokelat,,,1.000,19524.00,0.00,19524.00,0.00,19524.00,976.00,Dine In,Kedai,Temu Roti,Owner,,,,Closed</t>
  </si>
  <si>
    <t>01/09/2024 20:47,2-9009,Sale,Minuman,10121,Lemon Tea Dingin,,,1.000,19524.00,0.00,19524.00,0.00,19524.00,976.00,Dine In,Kedai,Temu Roti,Owner,,,,Closed</t>
  </si>
  <si>
    <t>01/09/2024 20:40,2-9008,Sale,Roti,10000,Roti Bawang Saus Keju,,,1.000,29524.00,0.00,29524.00,0.00,29524.00,1476.00,Dine In,Kedai,Temu Roti,Owner,,,,Closed</t>
  </si>
  <si>
    <t>01/09/2024 20:40,2-9008,Sale,Roti,10002,Roti Cranberry,,,1.000,18571.00,0.00,18571.00,0.00,18571.00,929.00,Dine In,Kedai,Temu Roti,Owner,,,,Closed</t>
  </si>
  <si>
    <t>01/09/2024 20:40,2-9008,Sale,Minuman,10125,Gula Asam Dingin,,,1.000,20476.00,0.00,20476.00,0.00,20476.00,1024.00,Dine In,Kedai,Temu Roti,Owner,,,,Closed</t>
  </si>
  <si>
    <t>01/09/2024 20:40,2-9008,Sale,Minuman,10117,Teh Manis Dingin,,,1.000,14286.00,0.00,14286.00,0.00,14286.00,714.00,Dine In,Kedai,Temu Roti,Owner,,,,Closed</t>
  </si>
  <si>
    <t>01/09/2024 19:53,2-9007,Sale,Roti,10000,Roti Bawang Saus Keju,,,1.000,29524.00,0.00,29524.00,0.00,29524.00,1476.00,Dine In,Kedai,Temu Roti,Owner,,,,Closed</t>
  </si>
  <si>
    <t>01/09/2024 19:53,2-9007,Sale,Minuman,10128,Es Kopi Susu,,,1.000,23333.00,0.00,23333.00,0.00,23333.00,1167.00,Dine In,Kedai,Temu Roti,Owner,,,,Closed</t>
  </si>
  <si>
    <t>01/09/2024 19:08,2-9006,Sale,Kudapan,10004,Tahu walik,,,1.000,25238.00,0.00,25238.00,0.00,25238.00,1262.00,Dine In,Kedai,Temu Roti,Owner,,,,Closed</t>
  </si>
  <si>
    <t>01/09/2024 18:57,2-9005,Sale,Minuman,10128,Es Kopi Susu,,,1.000,23333.00,0.00,23333.00,0.00,23333.00,1167.00,Dine In,Kedai,Temu Roti,Owner,,,,Closed</t>
  </si>
  <si>
    <t>01/09/2024 18:40,2-9004,Sale,Minuman,10127,Kopi Tubruk Panas,,,1.000,18571.00,0.00,18571.00,0.00,18571.00,929.00,Dine In,Kedai,Temu Roti,Owner,,,,Closed</t>
  </si>
  <si>
    <t>01/09/2024 18:37,2-9003,Sale,Minuman,10013,Kopi cur,,,1.000,23333.00,0.00,23333.00,0.00,23333.00,1167.00,Dine In,Kedai,Temu Roti,Owner,,,,Closed</t>
  </si>
  <si>
    <t>01/09/2024 18:37,2-9003,Sale,Kudapan,10014,Tempe Mendoan,,,1.000,25238.00,0.00,25238.00,0.00,25238.00,1262.00,Dine In,Kedai,Temu Roti,Owner,,,,Closed</t>
  </si>
  <si>
    <t>01/09/2024 17:56,2-9002,Sale,Roti,10005,Roti Gandum Cokelat,,,1.000,19524.00,0.00,19524.00,0.00,19524.00,976.00,Dine In,Kedai,Temu Roti,Owner,,,,Closed</t>
  </si>
  <si>
    <t>01/09/2024 17:56,2-9002,Sale,Roti,10002,Roti Cranberry,,,1.000,18571.00,0.00,18571.00,0.00,18571.00,929.00,Dine In,Kedai,Temu Roti,Owner,,,,Closed</t>
  </si>
  <si>
    <t>01/09/2024 17:35,2-9001,Sale,Kudapan,10004,Tahu walik,,,2.000,50476.00,0.00,50476.00,0.00,50476.00,2524.00,Dine In,Kedai,Temu Roti,Owner,,,,Closed</t>
  </si>
  <si>
    <t>01/09/2024 17:35,2-9001,Sale,Kudapan,10014,Tempe Mendoan,,,2.000,50476.00,0.00,50476.00,0.00,50476.00,2524.00,Dine In,Kedai,Temu Roti,Owner,,,,Closed</t>
  </si>
  <si>
    <t>01/09/2024 17:35,2-9001,Sale,Kudapan,10010,Pisang Goreng,,,1.000,25238.00,0.00,25238.00,0.00,25238.00,1262.00,Dine In,Kedai,Temu Roti,Owner,,,,Closed</t>
  </si>
  <si>
    <t>01/09/2024 16:34,2-9000,Sale,Minuman,10128,Es Kopi Susu,,,1.000,23333.00,0.00,23333.00,0.00,23333.00,1167.00,Dine In,Kedai,Temu Roti,Owner,,,,Closed</t>
  </si>
  <si>
    <t>01/09/2024 16:34,2-9000,Sale,Minuman,10063,Wedang Bulan,,,1.000,24762.00,0.00,24762.00,0.00,24762.00,1238.00,Dine In,Kedai,Temu Roti,Owner,,,,Closed</t>
  </si>
  <si>
    <t>01/09/2024 16:15,2-8999,Sale,Minuman,10128,Es Kopi Susu,,,1.000,23333.00,0.00,23333.00,0.00,23333.00,1167.00,Dine In,Kedai,Temu Roti,Owner,,,,Closed</t>
  </si>
  <si>
    <t>01/09/2024 15:57,2-8998,Sale,Roti,10002,Roti Cranberry,,,1.000,18571.00,0.00,18571.00,0.00,18571.00,929.00,Dine In,Kedai,Temu Roti,Owner,,,,Closed</t>
  </si>
  <si>
    <t>01/09/2024 15:57,2-8998,Sale,Minuman,10118,Teh Tawar Panas,,,1.000,7143.00,0.00,7143.00,0.00,7143.00,357.00,Dine In,Kedai,Temu Roti,Owner,,,,Closed</t>
  </si>
  <si>
    <t>01/09/2024 15:52,2-8997,Sale,Minuman,10128,Es Kopi Susu,,,1.000,23333.00,0.00,23333.00,0.00,23333.00,1167.00,Dine In,Kedai,Temu Roti,Owner,,,,Closed</t>
  </si>
  <si>
    <t>01/09/2024 15:52,2-8997,Sale,Hidangan Utama,10104,Chicken Claypot Rice,,,1.000,34762.00,0.00,34762.00,0.00,34762.00,1738.00,Dine In,Kedai,Temu Roti,Owner,,,,Closed</t>
  </si>
  <si>
    <t>01/09/2024 15:52,2-8997,Sale,Roti,10002,Roti Cranberry,,,1.000,18571.00,0.00,18571.00,0.00,18571.00,928.00,Dine In,Kedai,Temu Roti,Owner,,,,Closed</t>
  </si>
  <si>
    <t>01/09/2024 15:52,2-8997,Sale,Kudapan,10004,Tahu walik,,,1.000,25238.00,0.00,25238.00,0.00,25238.00,1262.00,Dine In,Kedai,Temu Roti,Owner,,,,Closed</t>
  </si>
  <si>
    <t>01/09/2024 15:41,2-8996,Sale,Minuman,10121,Lemon Tea Dingin,,,1.000,19524.00,0.00,19524.00,0.00,19524.00,976.00,Dine In,Kedai,Temu Roti,Owner,,,,Closed</t>
  </si>
  <si>
    <t>01/09/2024 15:26,2-8995,Sale,Minuman,10128,Es Kopi Susu,,,1.000,23333.00,0.00,23333.00,0.00,23333.00,1167.00,Dine In,Kedai,Temu Roti,Owner,,,,Closed</t>
  </si>
  <si>
    <t>01/09/2024 15:26,2-8995,Sale,Roti,10007,Roti cranberry 2 pcs,,,1.000,33810.00,0.00,33810.00,0.00,33810.00,1690.00,Dine In,Kedai,Temu Roti,Owner,,,,Closed</t>
  </si>
  <si>
    <t>01/09/2024 15:25,2-8994,Sale,Hidangan Utama,10104,Chicken Claypot Rice,,,2.000,69524.00,0.00,69524.00,0.00,69524.00,3476.00,Dine In,Kedai,Temu Roti,Owner,,,,Closed</t>
  </si>
  <si>
    <t>01/09/2024 15:25,2-8994,Sale,Minuman,10107,Korean Mango Fresh Milk,,,1.000,26667.00,0.00,26667.00,0.00,26667.00,1334.00,Dine In,Kedai,Temu Roti,Owner,,,,Closed</t>
  </si>
  <si>
    <t>01/09/2024 15:25,2-8994,Sale,Minuman,10106,Korean Strawberry Fresh Milk,,,1.000,26667.00,0.00,26667.00,0.00,26667.00,1333.00,Dine In,Kedai,Temu Roti,Owner,,,,Closed</t>
  </si>
  <si>
    <t>01/09/2024 15:06,2-8993,Sale,Kudapan,10004,Tahu walik,,,1.000,25238.00,0.00,25238.00,0.00,25238.00,1262.00,Dine In,Kedai,Temu Roti,Owner,,,,Closed</t>
  </si>
  <si>
    <t>01/09/2024 15:05,2-8992,Refund,Kudapan,10011,Kentang Goreng,,,-1.000,-25238.00,0.00,-25238.00,-0.00,-25238.00,-1262.00,Dine In,Kedai,Temu Roti,Owner,,,,Closed</t>
  </si>
  <si>
    <t>01/09/2024 14:53,2-8991,Sale,Roti,10002,Roti Cranberry,,,1.000,18571.00,0.00,18571.00,0.00,18571.00,929.00,Dine In,Kedai,Temu Roti,Owner,,,,Closed</t>
  </si>
  <si>
    <t>01/09/2024 14:53,2-8991,Sale,Roti,10000,Roti Bawang Saus Keju,,,1.000,29524.00,0.00,29524.00,0.00,29524.00,1476.00,Dine In,Kedai,Temu Roti,Owner,,,,Closed</t>
  </si>
  <si>
    <t>01/09/2024 14:43,2-8990,Sale,Minuman,10125,Gula Asam Dingin,,,1.000,20476.00,0.00,20476.00,0.00,20476.00,1024.00,Dine In,Kedai,Temu Roti,Owner,,,,Closed</t>
  </si>
  <si>
    <t>01/09/2024 14:40,2-8989,Sale,Minuman,10128,Es Kopi Susu,,,1.000,23333.00,0.00,23333.00,0.00,23333.00,1167.00,Dine In,Kedai,Temu Roti,Owner,,,,Closed</t>
  </si>
  <si>
    <t>01/09/2024 14:40,2-8989,Sale,Kudapan,10011,Kentang Goreng,,,1.000,25238.00,0.00,25238.00,0.00,25238.00,1262.00,Dine In,Kedai,Temu Roti,Owner,,,,Closed</t>
  </si>
  <si>
    <t>01/09/2024 14:31,2-8988,Sale,Roti,10034,Roti panggang coklat,,,1.000,21905.00,0.00,21905.00,0.00,21905.00,1095.00,Dine In,Kedai,Temu Roti,Owner,,,,Closed</t>
  </si>
  <si>
    <t>01/09/2024 14:31,2-8988,Sale,Minuman,10026,Es Kopi Lemon,,,1.000,21905.00,0.00,21905.00,0.00,21905.00,1096.00,Dine In,Kedai,Temu Roti,Owner,,,,Closed</t>
  </si>
  <si>
    <t>01/09/2024 14:31,2-8988,Sale,Minuman,10128,Es Kopi Susu,,,1.000,23333.00,0.00,23333.00,0.00,23333.00,1166.00,Dine In,Kedai,Temu Roti,Owner,,,,Closed</t>
  </si>
  <si>
    <t>01/09/2024 14:26,2-8987,Sale,Roti,10039,Roti panggang strawberry,,,1.000,21905.00,0.00,21905.00,0.00,21905.00,1095.00,Dine In,Kedai,Temu Roti,Owner,,,,Closed</t>
  </si>
  <si>
    <t>01/09/2024 14:26,2-8987,Sale,Roti,10000,Roti Bawang Saus Keju,,,1.000,29524.00,0.00,29524.00,0.00,29524.00,1476.00,Dine In,Kedai,Temu Roti,Owner,,,,Closed</t>
  </si>
  <si>
    <t>01/09/2024 14:26,2-8987,Sale,Minuman,10106,Korean Strawberry Fresh Milk,,,1.000,26667.00,0.00,26667.00,0.00,26667.00,1334.00,Dine In,Kedai,Temu Roti,Owner,,,,Closed</t>
  </si>
  <si>
    <t>01/09/2024 14:26,2-8987,Sale,Minuman,10069,Wedang hujan,,,1.000,24762.00,0.00,24762.00,0.00,24762.00,1238.00,Dine In,Kedai,Temu Roti,Owner,,,,Closed</t>
  </si>
  <si>
    <t>01/09/2024 14:07,2-8986,Sale,Roti,10002,Roti Cranberry,,,1.000,18571.00,0.00,18571.00,0.00,18571.00,929.00,Dine In,Kedai,Temu Roti,Owner,,,,Closed</t>
  </si>
  <si>
    <t>01/09/2024 14:07,2-8986,Sale,Kudapan,10009,Jamur Enoki Krispi,,,1.000,26667.00,0.00,26667.00,0.00,26667.00,1333.00,Dine In,Kedai,Temu Roti,Owner,,,,Closed</t>
  </si>
  <si>
    <t>01/09/2024 14:07,2-8986,Sale,Minuman,10067,Wedang angin,,,1.000,24762.00,0.00,24762.00,0.00,24762.00,1238.00,Dine In,Kedai,Temu Roti,Owner,,,,Closed</t>
  </si>
  <si>
    <t>01/09/2024 14:07,2-8986,Sale,Minuman,10026,Es Kopi Lemon,,,1.000,21905.00,0.00,21905.00,0.00,21905.00,1095.00,Dine In,Kedai,Temu Roti,Owner,,,,Closed</t>
  </si>
  <si>
    <t>01/09/2024 14:07,2-8986,Sale,Kudapan,10011,Kentang Goreng,,,1.000,25238.00,0.00,25238.00,0.00,25238.00,1262.00,Dine In,Kedai,Temu Roti,Owner,,,,Closed</t>
  </si>
  <si>
    <t>01/09/2024 14:07,2-8986,Sale,Minuman,10128,Es Kopi Susu,,,1.000,23333.00,0.00,23333.00,0.00,23333.00,1167.00,Dine In,Kedai,Temu Roti,Owner,,,,Closed</t>
  </si>
  <si>
    <t>01/09/2024 14:07,2-8986,Sale,Minuman,10122,Rempah Madu Panas,,,1.000,21905.00,0.00,21905.00,0.00,21905.00,1095.00,Dine In,Kedai,Temu Roti,Owner,,,,Closed</t>
  </si>
  <si>
    <t>01/09/2024 13:53,2-8985,Sale,Roti,10002,Roti Cranberry,,,1.000,18571.00,0.00,18571.00,0.00,18571.00,929.00,Dine In,Kedai,Temu Roti,Owner,,,,Closed</t>
  </si>
  <si>
    <t>01/09/2024 13:28,2-8984,Sale,Roti,10000,Roti Bawang Saus Keju,,,1.000,29524.00,0.00,29524.00,0.00,29524.00,1476.00,Dine In,Kedai,Temu Roti,Owner,,,,Closed</t>
  </si>
  <si>
    <t>01/09/2024 13:28,2-8984,Sale,Roti,10002,Roti Cranberry,,,1.000,18571.00,0.00,18571.00,0.00,18571.00,929.00,Dine In,Kedai,Temu Roti,Owner,,,,Closed</t>
  </si>
  <si>
    <t>01/09/2024 13:28,2-8984,Sale,Roti,10005,Roti Gandum Cokelat,,,1.000,19524.00,0.00,19524.00,0.00,19524.00,976.00,Dine In,Kedai,Temu Roti,Owner,,,,Closed</t>
  </si>
  <si>
    <t>01/09/2024 13:28,2-8984,Sale,Minuman,10126,Chamomile Lemongrass Hot Artisan Tea,,,1.000,23810.00,0.00,23810.00,0.00,23810.00,1190.00,Dine In,Kedai,Temu Roti,Owner,,,,Closed</t>
  </si>
  <si>
    <t>01/09/2024 13:28,2-8984,Sale,Roti,10033,Roti panggang sarikaya,,,1.000,21905.00,0.00,21905.00,0.00,21905.00,1096.00,Dine In,Kedai,Temu Roti,Owner,,,,Closed</t>
  </si>
  <si>
    <t>01/09/2024 13:28,2-8984,Sale,Minuman,10107,Korean Mango Fresh Milk,,,1.000,26667.00,0.00,26667.00,0.00,26667.00,1333.00,Dine In,Kedai,Temu Roti,Owner,,,,Closed</t>
  </si>
  <si>
    <t>01/09/2024 13:28,2-8984,Sale,Minuman,10063,Wedang Bulan,,,1.000,24762.00,0.00,24762.00,0.00,24762.00,1238.00,Dine In,Kedai,Temu Roti,Owner,,,,Closed</t>
  </si>
  <si>
    <t>01/09/2024 13:28,2-8984,Sale,Minuman,10058,Susu murni ori,,,1.000,19524.00,0.00,19524.00,0.00,19524.00,976.00,Dine In,Kedai,Temu Roti,Owner,,,,Closed</t>
  </si>
  <si>
    <t>01/09/2024 13:26,2-8983,Sale,Minuman,10128,Es Kopi Susu,,,1.000,23333.00,0.00,23333.00,0.00,23333.00,1167.00,Dine In,Kedai,Temu Roti,Owner,,,,Closed</t>
  </si>
  <si>
    <t>01/09/2024 13:26,2-8983,Sale,Minuman,10106,Korean Strawberry Fresh Milk,,,1.000,26667.00,0.00,26667.00,0.00,26667.00,1333.00,Dine In,Kedai,Temu Roti,Owner,,,,Closed</t>
  </si>
  <si>
    <t>01/09/2024 13:26,2-8983,Sale,Roti,10002,Roti Cranberry,,,1.000,18571.00,0.00,18571.00,0.00,18571.00,929.00,Dine In,Kedai,Temu Roti,Owner,,,,Closed</t>
  </si>
  <si>
    <t>01/09/2024 13:07,2-8982,Sale,Minuman,10107,Korean Mango Fresh Milk,,,1.000,26667.00,0.00,26667.00,0.00,26667.00,1333.00,Dine In,Kedai,Temu Roti,Owner,,,,Closed</t>
  </si>
  <si>
    <t>01/09/2024 13:06,2-8981,Sale,Hidangan Utama,10012,Mie joglo,,,1.000,29524.00,0.00,29524.00,0.00,29524.00,1476.00,Dine In,Kedai,Temu Roti,Owner,,,,Closed</t>
  </si>
  <si>
    <t>01/09/2024 13:06,2-8981,Sale,Minuman,10106,Korean Strawberry Fresh Milk,,,1.000,26667.00,0.00,26667.00,0.00,26667.00,1334.00,Dine In,Kedai,Temu Roti,Owner,,,,Closed</t>
  </si>
  <si>
    <t>01/09/2024 13:04,2-8980,Sale,Roti,10002,Roti Cranberry,,,1.000,18571.00,0.00,18571.00,0.00,18571.00,929.00,Dine In,Kedai,Temu Roti,Owner,,,,Closed</t>
  </si>
  <si>
    <t>01/09/2024 13:04,2-8980,Sale,Roti,10005,Roti Gandum Cokelat,,,1.000,19524.00,0.00,19524.00,0.00,19524.00,976.00,Dine In,Kedai,Temu Roti,Owner,,,,Closed</t>
  </si>
  <si>
    <t>01/09/2024 13:04,2-8980,Sale,Minuman,10026,Es Kopi Lemon,,,1.000,21905.00,0.00,21905.00,0.00,21905.00,1095.00,Dine In,Kedai,Temu Roti,Owner,,,,Closed</t>
  </si>
  <si>
    <t>01/09/2024 13:04,2-8980,Sale,Minuman,10128,Es Kopi Susu,,,1.000,23333.00,0.00,23333.00,0.00,23333.00,1167.00,Dine In,Kedai,Temu Roti,Owner,,,,Closed</t>
  </si>
  <si>
    <t>01/09/2024 12:26,2-8979,Sale,Roti,10054,Roti toast eskrim,,,1.000,25238.00,0.00,25238.00,0.00,25238.00,1262.00,Dine In,Kedai,Temu Roti,Owner,,,,Closed</t>
  </si>
  <si>
    <t>01/09/2024 12:26,2-8979,Sale,Kudapan,10015,Tahu Lada Garam,,,1.000,25238.00,0.00,25238.00,0.00,25238.00,1262.00,Dine In,Kedai,Temu Roti,Owner,,,,Closed</t>
  </si>
  <si>
    <t>01/09/2024 12:26,2-8978,Sale,Roti,10007,Roti cranberry 2 pcs,,,1.000,33810.00,0.00,33810.00,0.00,33810.00,1691.00,Take Away,Kedai,Temu Roti,Owner,,,,Closed</t>
  </si>
  <si>
    <t>01/09/2024 12:26,2-8978,Sale,Roti,10055,Roti Gandum Cokelat 2 pcs,,,1.000,34762.00,0.00,34762.00,0.00,34762.00,1738.00,Take Away,Kedai,Temu Roti,Owner,,,,Closed</t>
  </si>
  <si>
    <t>01/09/2024 12:26,2-8978,Sale,Roti,10005,Roti Gandum Cokelat,,,1.000,19524.00,0.00,19524.00,0.00,19524.00,976.00,Take Away,Kedai,Temu Roti,Owner,,,,Closed</t>
  </si>
  <si>
    <t>01/09/2024 11:49,2-8977,Sale,Minuman,10128,Es Kopi Susu,,,1.000,23333.00,0.00,23333.00,0.00,23333.00,1167.00,Dine In,Kedai,Temu Roti,Owner,,,,Closed</t>
  </si>
  <si>
    <t>01/09/2024 11:49,2-8977,Sale,Hidangan Utama,10012,Mie joglo,,,1.000,29524.00,0.00,29524.00,0.00,29524.00,1476.00,Dine In,Kedai,Temu Roti,Owner,,,,Closed</t>
  </si>
  <si>
    <t>01/09/2024 11:40,2-8976,Sale,Roti,10002,Roti Cranberry,,,1.000,18571.00,0.00,18571.00,0.00,18571.00,929.00,Dine In,Kedai,Temu Roti,Owner,,,,Closed</t>
  </si>
  <si>
    <t>01/09/2024 11:40,2-8976,Sale,Roti,10042,Roti coklat,,,1.000,9524.00,0.00,9524.00,0.00,9524.00,476.00,Dine In,Kedai,Temu Roti,Owner,,,,Closed</t>
  </si>
  <si>
    <t>01/09/2024 11:40,2-8976,Sale,Minuman,10106,Korean Strawberry Fresh Milk,,,1.000,26667.00,0.00,26667.00,0.00,26667.00,1333.00,Dine In,Kedai,Temu Roti,Owner,,,,Closed</t>
  </si>
  <si>
    <t>01/09/2024 11:40,2-8976,Sale,Minuman,10118,Teh Tawar Panas,,,1.000,7143.00,0.00,7143.00,0.00,7143.00,357.00,Dine In,Kedai,Temu Roti,Owner,,,,Closed</t>
  </si>
  <si>
    <t>01/09/2024 11:40,2-8976,Sale,Hidangan Utama,10003,Nasi Goreng Temu,,,1.000,29524.00,0.00,29524.00,0.00,29524.00,1476.00,Dine In,Kedai,Temu Roti,Owner,,,,Closed</t>
  </si>
  <si>
    <t>01/09/2024 11:33,2-8975,Sale,Roti,10007,Roti cranberry 2 pcs,,,1.000,33810.00,0.00,33810.00,0.00,33810.00,1691.00,Dine In,Kedai,Temu Roti,Owner,,,,Closed</t>
  </si>
  <si>
    <t>01/09/2024 11:33,2-8975,Sale,Roti,10054,Roti toast eskrim,,,1.000,25238.00,0.00,25238.00,0.00,25238.00,1261.00,Dine In,Kedai,Temu Roti,Owner,,,,Closed</t>
  </si>
  <si>
    <t>01/09/2024 11:33,2-8975,Sale,Minuman,10026,Es Kopi Lemon,,,1.000,21905.00,0.00,21905.00,0.00,21905.00,1096.00,Dine In,Kedai,Temu Roti,Owner,,,,Closed</t>
  </si>
  <si>
    <t>01/09/2024 11:33,2-8975,Sale,Minuman,10128,Es Kopi Susu,,,1.000,23333.00,0.00,23333.00,0.00,23333.00,1166.00,Dine In,Kedai,Temu Roti,Owner,,,,Closed</t>
  </si>
  <si>
    <t>01/09/2024 10:32,2-8974,Sale,Roti,10007,Roti cranberry 2 pcs,,,1.000,33810.00,0.00,33810.00,0.00,33810.00,1691.00,Dine In,Kedai,Temu Roti,Owner,,,,Closed</t>
  </si>
  <si>
    <t>01/09/2024 10:04,2-8973,Sale,Roti,10042,Roti coklat,,,1.000,9524.00,0.00,9524.00,0.00,9524.00,476.00,Take Away,Kedai,Temu Roti,Owner,,,,Closed</t>
  </si>
  <si>
    <t>01/09/2024 10:04,2-8973,Sale,Roti,10002,Roti Cranberry,,,1.000,18571.00,0.00,18571.00,0.00,18571.00,929.00,Take Away,Kedai,Temu Roti,Owner,,,,Closed</t>
  </si>
  <si>
    <t>01/09/2024 09:39,2-8972,Sale,Minuman,10065,Jasmine Green Sencha Hot Artisan Tea,,,1.000,23810.00,0.00,23810.00,0.00,23810.00,1191.00,Dine In,Kedai,Temu Roti,Owner,,,,Closed</t>
  </si>
  <si>
    <t>01/09/2024 09:39,2-8972,Sale,Roti,10033,Roti panggang sarikaya,,,1.000,21905.00,0.00,21905.00,0.00,21905.00,1095.00,Dine In,Kedai,Temu Roti,Owner,,,,Closed</t>
  </si>
  <si>
    <t>Date</t>
  </si>
  <si>
    <t>Receipt number</t>
  </si>
  <si>
    <t>Receipt type</t>
  </si>
  <si>
    <t>Category</t>
  </si>
  <si>
    <t>SKU</t>
  </si>
  <si>
    <t>Item</t>
  </si>
  <si>
    <t>Variant</t>
  </si>
  <si>
    <t>Modifiers applied</t>
  </si>
  <si>
    <t>Quantity</t>
  </si>
  <si>
    <t>Gross sales</t>
  </si>
  <si>
    <t>Discounts</t>
  </si>
  <si>
    <t>Net sales</t>
  </si>
  <si>
    <t>Cost of goods</t>
  </si>
  <si>
    <t>Gross profit</t>
  </si>
  <si>
    <t>Taxes</t>
  </si>
  <si>
    <t>Dining option</t>
  </si>
  <si>
    <t>POS</t>
  </si>
  <si>
    <t>Store</t>
  </si>
  <si>
    <t>Cashier name</t>
  </si>
  <si>
    <t>Customer name</t>
  </si>
  <si>
    <t>Customer contacts</t>
  </si>
  <si>
    <t>Comment</t>
  </si>
  <si>
    <t>Status</t>
  </si>
  <si>
    <t>Refund</t>
  </si>
  <si>
    <t>Roti</t>
  </si>
  <si>
    <t>Roti Bawang Saus Keju</t>
  </si>
  <si>
    <t>Take Away</t>
  </si>
  <si>
    <t>Kedai</t>
  </si>
  <si>
    <t>Temu Roti</t>
  </si>
  <si>
    <t>Owner</t>
  </si>
  <si>
    <t>Closed</t>
  </si>
  <si>
    <t>Minuman</t>
  </si>
  <si>
    <t>Air mineral</t>
  </si>
  <si>
    <t>Dine In</t>
  </si>
  <si>
    <t>Sale</t>
  </si>
  <si>
    <t>Roti Cranberry</t>
  </si>
  <si>
    <t>Rempah Madu Panas</t>
  </si>
  <si>
    <t>Kudapan</t>
  </si>
  <si>
    <t>Tahu baso</t>
  </si>
  <si>
    <t>Hidangan Utama</t>
  </si>
  <si>
    <t>Chicken Claypot Rice</t>
  </si>
  <si>
    <t>Teh Tawar Dingin</t>
  </si>
  <si>
    <t>Es Kopi Lemon</t>
  </si>
  <si>
    <t>Korean Mango Fresh Milk</t>
  </si>
  <si>
    <t>Susu murni moca</t>
  </si>
  <si>
    <t>Jamur Enoki Krispi</t>
  </si>
  <si>
    <t>Tahu Lada Garam</t>
  </si>
  <si>
    <t>Es Kopi Susu</t>
  </si>
  <si>
    <t>Teh Manis Dingin</t>
  </si>
  <si>
    <t>Lemon Tea Panas</t>
  </si>
  <si>
    <t>Kopi cur</t>
  </si>
  <si>
    <t>Kopi Tubruk Panas</t>
  </si>
  <si>
    <t>Wedang laut</t>
  </si>
  <si>
    <t>Wedang Bulan</t>
  </si>
  <si>
    <t>Roti Gandum Cokelat</t>
  </si>
  <si>
    <t>Roti cranberry 2 pcs</t>
  </si>
  <si>
    <t>Roti Gandum Cokelat 2 pcs</t>
  </si>
  <si>
    <t>Korean Strawberry Fresh Milk</t>
  </si>
  <si>
    <t>Rempah Madu Dingin</t>
  </si>
  <si>
    <t>Chamomile Lemongrass Hot Artisan Tea</t>
  </si>
  <si>
    <t>Gula Asam Dingin</t>
  </si>
  <si>
    <t>Mie joglo</t>
  </si>
  <si>
    <t>Nasi Goreng Temu</t>
  </si>
  <si>
    <t>Teh Tawar Panas</t>
  </si>
  <si>
    <t>Kentang Goreng</t>
  </si>
  <si>
    <t>Pisang Goreng</t>
  </si>
  <si>
    <t>Tahu walik</t>
  </si>
  <si>
    <t>Susu murni strawberry</t>
  </si>
  <si>
    <t>Tempe Mendoan</t>
  </si>
  <si>
    <t>Roti toast eskrim</t>
  </si>
  <si>
    <t>Beef Claypot Rice</t>
  </si>
  <si>
    <t>Nasi telor</t>
  </si>
  <si>
    <t>Roti panggang alpukat</t>
  </si>
  <si>
    <t>Kopi Susu Panas</t>
  </si>
  <si>
    <t>Roti panggang sarikaya</t>
  </si>
  <si>
    <t>Roti panggang coklat</t>
  </si>
  <si>
    <t>Lemon Tea Dingin</t>
  </si>
  <si>
    <t>Susu murni ori</t>
  </si>
  <si>
    <t>Teh Manis Panas</t>
  </si>
  <si>
    <t>Wedang hujan</t>
  </si>
  <si>
    <t>Wedang angin</t>
  </si>
  <si>
    <t>Roti panggang strawberry</t>
  </si>
  <si>
    <t>Roti Tawar Susu</t>
  </si>
  <si>
    <t>Dingin</t>
  </si>
  <si>
    <t>Wedang angin (pack)</t>
  </si>
  <si>
    <t>Kopi Arabica Bubuk 150gr</t>
  </si>
  <si>
    <t>Wedang surya</t>
  </si>
  <si>
    <t>Nasi</t>
  </si>
  <si>
    <t>Promo</t>
  </si>
  <si>
    <t>(Voucher Gratis) Es Kopi Susu</t>
  </si>
  <si>
    <t>(Voucher Gratis) Roti Gandum Coklat</t>
  </si>
  <si>
    <t>(Voucher Gratis) Roti Cranberry Cheese</t>
  </si>
  <si>
    <t>Jasmine Green Sencha Hot Artisan Tea</t>
  </si>
  <si>
    <t>Roti coklat</t>
  </si>
  <si>
    <t>Roti keju</t>
  </si>
  <si>
    <t>Sarikaya sedikit</t>
  </si>
  <si>
    <t>Manis pedas</t>
  </si>
  <si>
    <t>Split</t>
  </si>
  <si>
    <t>Hour</t>
  </si>
  <si>
    <t>Day</t>
  </si>
  <si>
    <t>Month</t>
  </si>
  <si>
    <t>Year</t>
  </si>
  <si>
    <t>Text join</t>
  </si>
  <si>
    <t>Item replace</t>
  </si>
  <si>
    <t>days</t>
  </si>
  <si>
    <t>Week</t>
  </si>
  <si>
    <t>Time</t>
  </si>
  <si>
    <t>29</t>
  </si>
  <si>
    <t>0.00</t>
  </si>
  <si>
    <t>-0.00</t>
  </si>
  <si>
    <t>-29524.00</t>
  </si>
  <si>
    <t>-1476.00</t>
  </si>
  <si>
    <t>2024/9/29</t>
  </si>
  <si>
    <t>-13334.00</t>
  </si>
  <si>
    <t>-667.00</t>
  </si>
  <si>
    <t>18571.00</t>
  </si>
  <si>
    <t>929.00</t>
  </si>
  <si>
    <t>43810.00</t>
  </si>
  <si>
    <t>2191.00</t>
  </si>
  <si>
    <t>25238.00</t>
  </si>
  <si>
    <t>1261.00</t>
  </si>
  <si>
    <t>-21905.00</t>
  </si>
  <si>
    <t>-1095.00</t>
  </si>
  <si>
    <t>-50476.00</t>
  </si>
  <si>
    <t>-2524.00</t>
  </si>
  <si>
    <t>21905.00</t>
  </si>
  <si>
    <t>1095.00</t>
  </si>
  <si>
    <t>50476.00</t>
  </si>
  <si>
    <t>2524.00</t>
  </si>
  <si>
    <t>34762.00</t>
  </si>
  <si>
    <t>1738.00</t>
  </si>
  <si>
    <t>7143.00</t>
  </si>
  <si>
    <t>357.00</t>
  </si>
  <si>
    <t>26667.00</t>
  </si>
  <si>
    <t>1334.00</t>
  </si>
  <si>
    <t>19524.00</t>
  </si>
  <si>
    <t>976.00</t>
  </si>
  <si>
    <t>26667,00</t>
  </si>
  <si>
    <t>1333.00</t>
  </si>
  <si>
    <t>1262.00</t>
  </si>
  <si>
    <t>23333.00</t>
  </si>
  <si>
    <t>1167.00</t>
  </si>
  <si>
    <t>29524.00</t>
  </si>
  <si>
    <t>1476.00</t>
  </si>
  <si>
    <t>14286.00</t>
  </si>
  <si>
    <t>714.00</t>
  </si>
  <si>
    <t>1096.00</t>
  </si>
  <si>
    <t>928.00</t>
  </si>
  <si>
    <t>24762.00</t>
  </si>
  <si>
    <t>1239.00</t>
  </si>
  <si>
    <t>46666.00</t>
  </si>
  <si>
    <t>2333.00</t>
  </si>
  <si>
    <t>1238.00</t>
  </si>
  <si>
    <t>977.00</t>
  </si>
  <si>
    <t>-33810.00</t>
  </si>
  <si>
    <t>-1691.00</t>
  </si>
  <si>
    <t>-34762.00</t>
  </si>
  <si>
    <t>-1738.00</t>
  </si>
  <si>
    <t>-26667.00</t>
  </si>
  <si>
    <t>-1333.00</t>
  </si>
  <si>
    <t>33810.00</t>
  </si>
  <si>
    <t>1690.00</t>
  </si>
  <si>
    <t>1691.00</t>
  </si>
  <si>
    <t>-19524.00</t>
  </si>
  <si>
    <t>-976.00</t>
  </si>
  <si>
    <t>-23333.00</t>
  </si>
  <si>
    <t>-1166.00</t>
  </si>
  <si>
    <t>715.00</t>
  </si>
  <si>
    <t>23810.00</t>
  </si>
  <si>
    <t>1191.00</t>
  </si>
  <si>
    <t>-20476.00</t>
  </si>
  <si>
    <t>-1024.00</t>
  </si>
  <si>
    <t>-69524.00</t>
  </si>
  <si>
    <t>-3477.00</t>
  </si>
  <si>
    <t>1166.00</t>
  </si>
  <si>
    <t>20476.00</t>
  </si>
  <si>
    <t>1024.00</t>
  </si>
  <si>
    <t>69524.00</t>
  </si>
  <si>
    <t>3477.00</t>
  </si>
  <si>
    <t>13334.00</t>
  </si>
  <si>
    <t>667.00</t>
  </si>
  <si>
    <t>1023.00</t>
  </si>
  <si>
    <t>67620.00</t>
  </si>
  <si>
    <t>3381.00</t>
  </si>
  <si>
    <t>2024/9/28</t>
  </si>
  <si>
    <t>28</t>
  </si>
  <si>
    <t>38095.00</t>
  </si>
  <si>
    <t>1905.00</t>
  </si>
  <si>
    <t>-1167.00</t>
  </si>
  <si>
    <t>-25238.00</t>
  </si>
  <si>
    <t>-1262.00</t>
  </si>
  <si>
    <t>59048.00</t>
  </si>
  <si>
    <t>2952.00</t>
  </si>
  <si>
    <t>6667.00</t>
  </si>
  <si>
    <t>334.00</t>
  </si>
  <si>
    <t>3476.00</t>
  </si>
  <si>
    <t>1190.00</t>
  </si>
  <si>
    <t>333.00</t>
  </si>
  <si>
    <t>2024/9/27</t>
  </si>
  <si>
    <t>27</t>
  </si>
  <si>
    <t>2024/9/26</t>
  </si>
  <si>
    <t>26</t>
  </si>
  <si>
    <t>-18571.00</t>
  </si>
  <si>
    <t>-929.00</t>
  </si>
  <si>
    <t>1477.00</t>
  </si>
  <si>
    <t>2024/9/25</t>
  </si>
  <si>
    <t>25</t>
  </si>
  <si>
    <t>39048.00</t>
  </si>
  <si>
    <t>1952.00</t>
  </si>
  <si>
    <t>2024/9/24</t>
  </si>
  <si>
    <t>24</t>
  </si>
  <si>
    <t>2024/9/22</t>
  </si>
  <si>
    <t>22</t>
  </si>
  <si>
    <t>1904.00</t>
  </si>
  <si>
    <t>2024/9/21</t>
  </si>
  <si>
    <t>21</t>
  </si>
  <si>
    <t>-46666.00</t>
  </si>
  <si>
    <t>-2333.00</t>
  </si>
  <si>
    <t>102380.00</t>
  </si>
  <si>
    <t>5119.00</t>
  </si>
  <si>
    <t>139998.00</t>
  </si>
  <si>
    <t>7000.00</t>
  </si>
  <si>
    <t>109525.00</t>
  </si>
  <si>
    <t>5476.00</t>
  </si>
  <si>
    <t>55713.00</t>
  </si>
  <si>
    <t>2785.00</t>
  </si>
  <si>
    <t>358.00</t>
  </si>
  <si>
    <t>74286.00</t>
  </si>
  <si>
    <t>3714.00</t>
  </si>
  <si>
    <t>2953.00</t>
  </si>
  <si>
    <t>114280.00</t>
  </si>
  <si>
    <t>5714.00</t>
  </si>
  <si>
    <t>2024/9/20</t>
  </si>
  <si>
    <t>20</t>
  </si>
  <si>
    <t>1739.00</t>
  </si>
  <si>
    <t>93332.00</t>
  </si>
  <si>
    <t>4666.00</t>
  </si>
  <si>
    <t>76190.00</t>
  </si>
  <si>
    <t>3810.00</t>
  </si>
  <si>
    <t>2024/9/19</t>
  </si>
  <si>
    <t>19</t>
  </si>
  <si>
    <t>1953.00</t>
  </si>
  <si>
    <t>53334.00</t>
  </si>
  <si>
    <t>2667.00</t>
  </si>
  <si>
    <t>3809.00</t>
  </si>
  <si>
    <t>88572.00</t>
  </si>
  <si>
    <t>4429.00</t>
  </si>
  <si>
    <t>116665.00</t>
  </si>
  <si>
    <t>5833.00</t>
  </si>
  <si>
    <t>2024/9/18</t>
  </si>
  <si>
    <t>18</t>
  </si>
  <si>
    <t>2024/9/17</t>
  </si>
  <si>
    <t>17</t>
  </si>
  <si>
    <t>10143.00</t>
  </si>
  <si>
    <t>23667.00</t>
  </si>
  <si>
    <t>1183.00</t>
  </si>
  <si>
    <t>2024/9/15</t>
  </si>
  <si>
    <t>15</t>
  </si>
  <si>
    <t>114285.00</t>
  </si>
  <si>
    <t>2190.00</t>
  </si>
  <si>
    <t>70000.00</t>
  </si>
  <si>
    <t>2024/9/14</t>
  </si>
  <si>
    <t>14</t>
  </si>
  <si>
    <t>350.00</t>
  </si>
  <si>
    <t>666.00</t>
  </si>
  <si>
    <t>65715.00</t>
  </si>
  <si>
    <t>3286.00</t>
  </si>
  <si>
    <t>2024/9/13</t>
  </si>
  <si>
    <t>13</t>
  </si>
  <si>
    <t>-1096.00</t>
  </si>
  <si>
    <t>-59048.00</t>
  </si>
  <si>
    <t>-2952.00</t>
  </si>
  <si>
    <t>-14286.00</t>
  </si>
  <si>
    <t>-714.00</t>
  </si>
  <si>
    <t>-1334.00</t>
  </si>
  <si>
    <t>-43810.00</t>
  </si>
  <si>
    <t>-2191.00</t>
  </si>
  <si>
    <t>2024/9/12</t>
  </si>
  <si>
    <t>12</t>
  </si>
  <si>
    <t>2024/9/11</t>
  </si>
  <si>
    <t>11</t>
  </si>
  <si>
    <t>2024/9/10</t>
  </si>
  <si>
    <t>10</t>
  </si>
  <si>
    <t>49524.00</t>
  </si>
  <si>
    <t>2477.00</t>
  </si>
  <si>
    <t>2024/9/8</t>
  </si>
  <si>
    <t>8</t>
  </si>
  <si>
    <t>69999.00</t>
  </si>
  <si>
    <t>3500.00</t>
  </si>
  <si>
    <t>2024/9/7</t>
  </si>
  <si>
    <t>7</t>
  </si>
  <si>
    <t>2024/9/6</t>
  </si>
  <si>
    <t>6</t>
  </si>
  <si>
    <t>9524.00</t>
  </si>
  <si>
    <t>476.00</t>
  </si>
  <si>
    <t>2024/9/5</t>
  </si>
  <si>
    <t>5</t>
  </si>
  <si>
    <t>-9524.00</t>
  </si>
  <si>
    <t>-476.00</t>
  </si>
  <si>
    <t>19048.00</t>
  </si>
  <si>
    <t>952.00</t>
  </si>
  <si>
    <t>2024/9/4</t>
  </si>
  <si>
    <t>4</t>
  </si>
  <si>
    <t>101430.00</t>
  </si>
  <si>
    <t>5072.00</t>
  </si>
  <si>
    <t>2024/9/3</t>
  </si>
  <si>
    <t>3</t>
  </si>
  <si>
    <t>477.00</t>
  </si>
  <si>
    <t>2024/9/1</t>
  </si>
  <si>
    <t>1</t>
  </si>
  <si>
    <t>Unique untuk per tanggal</t>
  </si>
  <si>
    <t>Menghitung banyaknya hari dalam satu bulan</t>
  </si>
  <si>
    <t>Tabel atas adalah jumlah net sales di hari dan category</t>
  </si>
  <si>
    <t>detail net sales per category terhadap tiap tanggal untuk satu bulan</t>
  </si>
  <si>
    <t>Detail Net sales di tertentu pada satu bulan untuk setiap kategori</t>
  </si>
  <si>
    <t>Detail Net sales dan jumlah yang terjual untuk setiap Item pada satu bulan penjualan</t>
  </si>
  <si>
    <t>Jumlah item yang terjual lalu dicari rata-ratanya per hari lalu dicari rata-rata untuk weekday dan weekend</t>
  </si>
  <si>
    <t>Jumlah  item yang terjual per jam di tiap hari lalu di cari rata-rata per hari lalu dicari rata-rata untuk weekday dan weekend</t>
  </si>
  <si>
    <t>Jumlah Net sales pada tiap jenis transaksi dan jumlahnya transaksinya</t>
  </si>
  <si>
    <t>Jumlah transaksi untuk setiap hari</t>
  </si>
  <si>
    <t>Jumlah transaksi untuk tiap jam di tiap harinya. lalu dicari rata rata transaksi di tiap jamnya. lalu dicari rata-rata weekday weekend</t>
  </si>
  <si>
    <t>untuk menentukan banyaknya hari dalam satu bulan</t>
  </si>
  <si>
    <t>Tabel bawah adalah rata rata net sales di hari dan category</t>
  </si>
  <si>
    <t>Dalam page ini hari yang dipilih adalah hari kamis</t>
  </si>
  <si>
    <t>lalu di cari rata-rata sale/transaksi</t>
  </si>
  <si>
    <t>Rata rata transaksi di tiap harinya</t>
  </si>
  <si>
    <t>serta terdapat rata-rata net sales per category untuk di weekday dan weekend</t>
  </si>
  <si>
    <t>maka tabel dibawah menunjukan Net sales disetiap hari kamis pada bulan november untuk setiap kategori</t>
  </si>
  <si>
    <t>Day Count</t>
  </si>
  <si>
    <t>SUM of Net sales</t>
  </si>
  <si>
    <t>Columns</t>
  </si>
  <si>
    <t>SUM of Quantity</t>
  </si>
  <si>
    <t>COUNTUNIQUE of Receipt number</t>
  </si>
  <si>
    <t>Average</t>
  </si>
  <si>
    <t>Grand Total</t>
  </si>
  <si>
    <t>Rows</t>
  </si>
  <si>
    <t>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</si>
</sst>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h:mm"/>
    <numFmt numFmtId="165" formatCode="m-yyyy"/>
    <numFmt numFmtId="166" formatCode="dd/mm/yyyy"/>
    <numFmt numFmtId="167" formatCode="hh:mm"/>
    <numFmt numFmtId="168" formatCode="[$Rp]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4" xfId="0" applyFont="1" applyNumberFormat="1"/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" numFmtId="166" xfId="0" applyFont="1" applyNumberFormat="1"/>
    <xf borderId="0" fillId="0" fontId="1" numFmtId="167" xfId="0" applyFont="1" applyNumberFormat="1"/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/>
    </xf>
    <xf borderId="0" fillId="0" fontId="1" numFmtId="4" xfId="0" applyAlignment="1" applyFont="1" applyNumberFormat="1">
      <alignment horizontal="right" readingOrder="0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2" fillId="0" fontId="3" numFmtId="1" xfId="0" applyAlignment="1" applyBorder="1" applyFont="1" applyNumberFormat="1">
      <alignment vertical="bottom"/>
    </xf>
    <xf borderId="0" fillId="0" fontId="1" numFmtId="1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2030" sheet="Data Result"/>
  </cacheSource>
  <cacheFields>
    <cacheField name="Date" numFmtId="0">
      <sharedItems containsBlank="1">
        <s v="2024/9/29"/>
        <s v="2024/9/28"/>
        <s v="2024/9/27"/>
        <s v="2024/9/26"/>
        <s v="2024/9/25"/>
        <s v="2024/9/24"/>
        <s v="2024/9/22"/>
        <s v="2024/9/21"/>
        <s v="2024/9/20"/>
        <s v="2024/9/19"/>
        <s v="2024/9/18"/>
        <s v="2024/9/17"/>
        <s v="2024/9/15"/>
        <s v="2024/9/14"/>
        <s v="2024/9/13"/>
        <s v="2024/9/12"/>
        <s v="2024/9/11"/>
        <s v="2024/9/10"/>
        <s v="2024/9/8"/>
        <s v="2024/9/7"/>
        <s v="2024/9/6"/>
        <s v="2024/9/5"/>
        <s v="2024/9/4"/>
        <s v="2024/9/3"/>
        <s v="2024/9/1"/>
        <m/>
      </sharedItems>
    </cacheField>
    <cacheField name="Time" numFmtId="0">
      <sharedItems containsString="0" containsBlank="1" containsNumber="1" containsInteger="1">
        <n v="20.0"/>
        <n v="18.0"/>
        <n v="17.0"/>
        <n v="16.0"/>
        <n v="15.0"/>
        <n v="14.0"/>
        <n v="13.0"/>
        <n v="12.0"/>
        <n v="11.0"/>
        <n v="10.0"/>
        <n v="9.0"/>
        <n v="8.0"/>
        <n v="21.0"/>
        <n v="19.0"/>
        <n v="7.0"/>
        <m/>
      </sharedItems>
    </cacheField>
    <cacheField name="days" numFmtId="0">
      <sharedItems containsBlank="1">
        <s v="Sunday"/>
        <s v="Saturday"/>
        <s v="Friday"/>
        <s v="Thursday"/>
        <s v="Wednesday"/>
        <s v="Tuesday"/>
        <m/>
      </sharedItems>
    </cacheField>
    <cacheField name="date2" numFmtId="0">
      <sharedItems containsBlank="1">
        <s v="29"/>
        <s v="28"/>
        <s v="27"/>
        <s v="26"/>
        <s v="25"/>
        <s v="24"/>
        <s v="22"/>
        <s v="21"/>
        <s v="20"/>
        <s v="19"/>
        <s v="18"/>
        <s v="17"/>
        <s v="15"/>
        <s v="14"/>
        <s v="13"/>
        <s v="12"/>
        <s v="11"/>
        <s v="10"/>
        <s v="8"/>
        <s v="7"/>
        <s v="6"/>
        <s v="5"/>
        <s v="4"/>
        <s v="3"/>
        <s v="1"/>
        <m/>
      </sharedItems>
    </cacheField>
    <cacheField name="Days Number" numFmtId="0">
      <sharedItems containsString="0" containsBlank="1" containsNumber="1" containsInteger="1">
        <n v="7.0"/>
        <n v="6.0"/>
        <n v="5.0"/>
        <n v="4.0"/>
        <n v="3.0"/>
        <n v="2.0"/>
        <m/>
      </sharedItems>
    </cacheField>
    <cacheField name="Week" numFmtId="0">
      <sharedItems containsBlank="1">
        <s v="Weekend"/>
        <s v="Weekday"/>
        <m/>
      </sharedItems>
    </cacheField>
    <cacheField name="Receipt number" numFmtId="165">
      <sharedItems containsDate="1" containsString="0" containsBlank="1">
        <d v="9570-02-01T00:00:00Z"/>
        <d v="9569-02-01T00:00:00Z"/>
        <d v="9568-02-01T00:00:00Z"/>
        <d v="9567-02-01T00:00:00Z"/>
        <d v="9566-02-01T00:00:00Z"/>
        <d v="9565-02-01T00:00:00Z"/>
        <d v="9564-02-01T00:00:00Z"/>
        <d v="9563-02-01T00:00:00Z"/>
        <d v="9562-02-01T00:00:00Z"/>
        <d v="9561-02-01T00:00:00Z"/>
        <d v="9560-02-01T00:00:00Z"/>
        <d v="9559-02-01T00:00:00Z"/>
        <d v="9558-02-01T00:00:00Z"/>
        <d v="9557-02-01T00:00:00Z"/>
        <d v="9556-02-01T00:00:00Z"/>
        <d v="9555-02-01T00:00:00Z"/>
        <d v="9554-02-01T00:00:00Z"/>
        <d v="9553-02-01T00:00:00Z"/>
        <d v="9552-02-01T00:00:00Z"/>
        <d v="9551-02-01T00:00:00Z"/>
        <d v="9550-02-01T00:00:00Z"/>
        <d v="9549-02-01T00:00:00Z"/>
        <d v="9548-02-01T00:00:00Z"/>
        <d v="9547-02-01T00:00:00Z"/>
        <d v="9546-02-01T00:00:00Z"/>
        <d v="9545-02-01T00:00:00Z"/>
        <d v="9544-02-01T00:00:00Z"/>
        <d v="9543-02-01T00:00:00Z"/>
        <d v="9542-02-01T00:00:00Z"/>
        <d v="9541-02-01T00:00:00Z"/>
        <d v="9540-02-01T00:00:00Z"/>
        <d v="9539-02-01T00:00:00Z"/>
        <d v="9538-02-01T00:00:00Z"/>
        <d v="9537-02-01T00:00:00Z"/>
        <d v="9536-02-01T00:00:00Z"/>
        <d v="9535-02-01T00:00:00Z"/>
        <d v="9534-02-01T00:00:00Z"/>
        <d v="9533-02-01T00:00:00Z"/>
        <d v="9532-02-01T00:00:00Z"/>
        <d v="9531-02-01T00:00:00Z"/>
        <d v="9530-02-01T00:00:00Z"/>
        <d v="9529-02-01T00:00:00Z"/>
        <d v="9528-02-01T00:00:00Z"/>
        <d v="9527-02-01T00:00:00Z"/>
        <d v="9526-02-01T00:00:00Z"/>
        <d v="9525-02-01T00:00:00Z"/>
        <d v="9524-02-01T00:00:00Z"/>
        <d v="9523-02-01T00:00:00Z"/>
        <d v="9522-02-01T00:00:00Z"/>
        <d v="9521-02-01T00:00:00Z"/>
        <d v="9520-02-01T00:00:00Z"/>
        <d v="9519-02-01T00:00:00Z"/>
        <d v="9518-02-01T00:00:00Z"/>
        <d v="9517-02-01T00:00:00Z"/>
        <d v="9516-02-01T00:00:00Z"/>
        <d v="9515-02-01T00:00:00Z"/>
        <d v="9514-02-01T00:00:00Z"/>
        <d v="9513-02-01T00:00:00Z"/>
        <d v="9512-02-01T00:00:00Z"/>
        <d v="9511-02-01T00:00:00Z"/>
        <d v="9510-02-01T00:00:00Z"/>
        <d v="9509-02-01T00:00:00Z"/>
        <d v="9508-02-01T00:00:00Z"/>
        <d v="9507-02-01T00:00:00Z"/>
        <d v="9506-02-01T00:00:00Z"/>
        <d v="9505-02-01T00:00:00Z"/>
        <d v="9504-02-01T00:00:00Z"/>
        <d v="9503-02-01T00:00:00Z"/>
        <d v="9502-02-01T00:00:00Z"/>
        <d v="9501-02-01T00:00:00Z"/>
        <d v="9500-02-01T00:00:00Z"/>
        <d v="9499-02-01T00:00:00Z"/>
        <d v="9498-02-01T00:00:00Z"/>
        <d v="9497-02-01T00:00:00Z"/>
        <d v="9496-02-01T00:00:00Z"/>
        <d v="9495-02-01T00:00:00Z"/>
        <d v="9494-02-01T00:00:00Z"/>
        <d v="9493-02-01T00:00:00Z"/>
        <d v="9492-02-01T00:00:00Z"/>
        <d v="9491-02-01T00:00:00Z"/>
        <d v="9490-02-01T00:00:00Z"/>
        <d v="9489-02-01T00:00:00Z"/>
        <d v="9488-02-01T00:00:00Z"/>
        <d v="9487-02-01T00:00:00Z"/>
        <d v="9486-02-01T00:00:00Z"/>
        <d v="9485-02-01T00:00:00Z"/>
        <d v="9484-02-01T00:00:00Z"/>
        <d v="9483-02-01T00:00:00Z"/>
        <d v="9482-02-01T00:00:00Z"/>
        <d v="9481-02-01T00:00:00Z"/>
        <d v="9480-02-01T00:00:00Z"/>
        <d v="9479-02-01T00:00:00Z"/>
        <d v="9478-02-01T00:00:00Z"/>
        <d v="9477-02-01T00:00:00Z"/>
        <d v="9476-02-01T00:00:00Z"/>
        <d v="9475-02-01T00:00:00Z"/>
        <d v="9474-02-01T00:00:00Z"/>
        <d v="9473-02-01T00:00:00Z"/>
        <d v="9472-02-01T00:00:00Z"/>
        <d v="9471-02-01T00:00:00Z"/>
        <d v="9470-02-01T00:00:00Z"/>
        <d v="9469-02-01T00:00:00Z"/>
        <d v="9468-02-01T00:00:00Z"/>
        <d v="9467-02-01T00:00:00Z"/>
        <d v="9466-02-01T00:00:00Z"/>
        <d v="9465-02-01T00:00:00Z"/>
        <d v="9464-02-01T00:00:00Z"/>
        <d v="9463-02-01T00:00:00Z"/>
        <d v="9462-02-01T00:00:00Z"/>
        <d v="9461-02-01T00:00:00Z"/>
        <d v="9460-02-01T00:00:00Z"/>
        <d v="9459-02-01T00:00:00Z"/>
        <d v="9458-02-01T00:00:00Z"/>
        <d v="9457-02-01T00:00:00Z"/>
        <d v="9456-02-01T00:00:00Z"/>
        <d v="9455-02-01T00:00:00Z"/>
        <d v="9454-02-01T00:00:00Z"/>
        <d v="9453-02-01T00:00:00Z"/>
        <d v="9452-02-01T00:00:00Z"/>
        <d v="9451-02-01T00:00:00Z"/>
        <d v="9450-02-01T00:00:00Z"/>
        <d v="9449-02-01T00:00:00Z"/>
        <d v="9448-02-01T00:00:00Z"/>
        <d v="9447-02-01T00:00:00Z"/>
        <d v="9446-02-01T00:00:00Z"/>
        <d v="9445-02-01T00:00:00Z"/>
        <d v="9444-02-01T00:00:00Z"/>
        <d v="9443-02-01T00:00:00Z"/>
        <d v="9442-02-01T00:00:00Z"/>
        <d v="9441-02-01T00:00:00Z"/>
        <d v="9440-02-01T00:00:00Z"/>
        <d v="9439-02-01T00:00:00Z"/>
        <d v="9438-02-01T00:00:00Z"/>
        <d v="9437-02-01T00:00:00Z"/>
        <d v="9436-02-01T00:00:00Z"/>
        <d v="9435-02-01T00:00:00Z"/>
        <d v="9434-02-01T00:00:00Z"/>
        <d v="9433-02-01T00:00:00Z"/>
        <d v="9432-02-01T00:00:00Z"/>
        <d v="9431-02-01T00:00:00Z"/>
        <d v="9430-02-01T00:00:00Z"/>
        <d v="9429-02-01T00:00:00Z"/>
        <d v="9428-02-01T00:00:00Z"/>
        <d v="9427-02-01T00:00:00Z"/>
        <d v="9426-02-01T00:00:00Z"/>
        <d v="9425-02-01T00:00:00Z"/>
        <d v="9424-02-01T00:00:00Z"/>
        <d v="9423-02-01T00:00:00Z"/>
        <d v="9422-02-01T00:00:00Z"/>
        <d v="9421-02-01T00:00:00Z"/>
        <d v="9420-02-01T00:00:00Z"/>
        <d v="9419-02-01T00:00:00Z"/>
        <d v="9418-02-01T00:00:00Z"/>
        <d v="9417-02-01T00:00:00Z"/>
        <d v="9416-02-01T00:00:00Z"/>
        <d v="9415-02-01T00:00:00Z"/>
        <d v="9414-02-01T00:00:00Z"/>
        <d v="9413-02-01T00:00:00Z"/>
        <d v="9412-02-01T00:00:00Z"/>
        <d v="9411-02-01T00:00:00Z"/>
        <d v="9410-02-01T00:00:00Z"/>
        <d v="9409-02-01T00:00:00Z"/>
        <d v="9408-02-01T00:00:00Z"/>
        <d v="9407-02-01T00:00:00Z"/>
        <d v="9406-02-01T00:00:00Z"/>
        <d v="9405-02-01T00:00:00Z"/>
        <d v="9404-02-01T00:00:00Z"/>
        <d v="9403-02-01T00:00:00Z"/>
        <d v="9402-02-01T00:00:00Z"/>
        <d v="9401-02-01T00:00:00Z"/>
        <d v="9400-02-01T00:00:00Z"/>
        <d v="9399-02-01T00:00:00Z"/>
        <d v="9398-02-01T00:00:00Z"/>
        <d v="9397-02-01T00:00:00Z"/>
        <d v="9396-02-01T00:00:00Z"/>
        <d v="9395-02-01T00:00:00Z"/>
        <d v="9394-02-01T00:00:00Z"/>
        <d v="9393-02-01T00:00:00Z"/>
        <d v="9392-02-01T00:00:00Z"/>
        <d v="9391-02-01T00:00:00Z"/>
        <d v="9390-02-01T00:00:00Z"/>
        <d v="9389-02-01T00:00:00Z"/>
        <d v="9388-02-01T00:00:00Z"/>
        <d v="9387-02-01T00:00:00Z"/>
        <d v="9386-02-01T00:00:00Z"/>
        <d v="9385-02-01T00:00:00Z"/>
        <d v="9384-02-01T00:00:00Z"/>
        <d v="9383-02-01T00:00:00Z"/>
        <d v="9382-02-01T00:00:00Z"/>
        <d v="9381-02-01T00:00:00Z"/>
        <d v="9380-02-01T00:00:00Z"/>
        <d v="9379-02-01T00:00:00Z"/>
        <d v="9378-02-01T00:00:00Z"/>
        <d v="9377-02-01T00:00:00Z"/>
        <d v="9376-02-01T00:00:00Z"/>
        <d v="9375-02-01T00:00:00Z"/>
        <d v="9374-02-01T00:00:00Z"/>
        <d v="9373-02-01T00:00:00Z"/>
        <d v="9372-02-01T00:00:00Z"/>
        <d v="9371-02-01T00:00:00Z"/>
        <d v="9370-02-01T00:00:00Z"/>
        <d v="9369-02-01T00:00:00Z"/>
        <d v="9368-02-01T00:00:00Z"/>
        <d v="9367-02-01T00:00:00Z"/>
        <d v="9366-02-01T00:00:00Z"/>
        <d v="9365-02-01T00:00:00Z"/>
        <d v="9364-02-01T00:00:00Z"/>
        <d v="9363-02-01T00:00:00Z"/>
        <d v="9362-02-01T00:00:00Z"/>
        <d v="9361-02-01T00:00:00Z"/>
        <d v="9360-02-01T00:00:00Z"/>
        <d v="9359-02-01T00:00:00Z"/>
        <d v="9358-02-01T00:00:00Z"/>
        <d v="9357-02-01T00:00:00Z"/>
        <d v="9356-02-01T00:00:00Z"/>
        <d v="9355-02-01T00:00:00Z"/>
        <d v="9354-02-01T00:00:00Z"/>
        <d v="9353-02-01T00:00:00Z"/>
        <d v="9352-02-01T00:00:00Z"/>
        <d v="9351-02-01T00:00:00Z"/>
        <d v="9350-02-01T00:00:00Z"/>
        <d v="9349-02-01T00:00:00Z"/>
        <d v="9348-02-01T00:00:00Z"/>
        <d v="9347-02-01T00:00:00Z"/>
        <d v="9346-02-01T00:00:00Z"/>
        <d v="9345-02-01T00:00:00Z"/>
        <d v="9344-02-01T00:00:00Z"/>
        <d v="9343-02-01T00:00:00Z"/>
        <d v="9342-02-01T00:00:00Z"/>
        <d v="9341-02-01T00:00:00Z"/>
        <d v="9340-02-01T00:00:00Z"/>
        <d v="9339-02-01T00:00:00Z"/>
        <d v="9338-02-01T00:00:00Z"/>
        <d v="9337-02-01T00:00:00Z"/>
        <d v="9336-02-01T00:00:00Z"/>
        <d v="9335-02-01T00:00:00Z"/>
        <d v="9334-02-01T00:00:00Z"/>
        <d v="9333-02-01T00:00:00Z"/>
        <d v="9332-02-01T00:00:00Z"/>
        <d v="9331-02-01T00:00:00Z"/>
        <d v="9330-02-01T00:00:00Z"/>
        <d v="9329-02-01T00:00:00Z"/>
        <d v="9328-02-01T00:00:00Z"/>
        <d v="9327-02-01T00:00:00Z"/>
        <d v="9326-02-01T00:00:00Z"/>
        <d v="9325-02-01T00:00:00Z"/>
        <d v="9324-02-01T00:00:00Z"/>
        <d v="9323-02-01T00:00:00Z"/>
        <d v="9322-02-01T00:00:00Z"/>
        <d v="9321-02-01T00:00:00Z"/>
        <d v="9320-02-01T00:00:00Z"/>
        <d v="9319-02-01T00:00:00Z"/>
        <d v="9318-02-01T00:00:00Z"/>
        <d v="9317-02-01T00:00:00Z"/>
        <d v="9316-02-01T00:00:00Z"/>
        <d v="9315-02-01T00:00:00Z"/>
        <d v="9314-02-01T00:00:00Z"/>
        <d v="9313-02-01T00:00:00Z"/>
        <d v="9312-02-01T00:00:00Z"/>
        <d v="9311-02-01T00:00:00Z"/>
        <d v="9310-02-01T00:00:00Z"/>
        <d v="9309-02-01T00:00:00Z"/>
        <d v="9308-02-01T00:00:00Z"/>
        <d v="9307-02-01T00:00:00Z"/>
        <d v="9306-02-01T00:00:00Z"/>
        <d v="9305-02-01T00:00:00Z"/>
        <d v="9304-02-01T00:00:00Z"/>
        <d v="9303-02-01T00:00:00Z"/>
        <d v="9302-02-01T00:00:00Z"/>
        <d v="9301-02-01T00:00:00Z"/>
        <d v="9300-02-01T00:00:00Z"/>
        <d v="9299-02-01T00:00:00Z"/>
        <d v="9298-02-01T00:00:00Z"/>
        <d v="9297-02-01T00:00:00Z"/>
        <d v="9296-02-01T00:00:00Z"/>
        <d v="9295-02-01T00:00:00Z"/>
        <d v="9294-02-01T00:00:00Z"/>
        <d v="9293-02-01T00:00:00Z"/>
        <d v="9292-02-01T00:00:00Z"/>
        <d v="9291-02-01T00:00:00Z"/>
        <d v="9290-02-01T00:00:00Z"/>
        <d v="9289-02-01T00:00:00Z"/>
        <d v="9288-02-01T00:00:00Z"/>
        <d v="9287-02-01T00:00:00Z"/>
        <d v="9286-02-01T00:00:00Z"/>
        <d v="9285-02-01T00:00:00Z"/>
        <d v="9284-02-01T00:00:00Z"/>
        <d v="9283-02-01T00:00:00Z"/>
        <d v="9282-02-01T00:00:00Z"/>
        <d v="9281-02-01T00:00:00Z"/>
        <d v="9280-02-01T00:00:00Z"/>
        <d v="9279-02-01T00:00:00Z"/>
        <d v="9278-02-01T00:00:00Z"/>
        <d v="9277-02-01T00:00:00Z"/>
        <d v="9276-02-01T00:00:00Z"/>
        <d v="9275-02-01T00:00:00Z"/>
        <d v="9274-02-01T00:00:00Z"/>
        <d v="9273-02-01T00:00:00Z"/>
        <d v="9272-02-01T00:00:00Z"/>
        <d v="9271-02-01T00:00:00Z"/>
        <d v="9270-02-01T00:00:00Z"/>
        <d v="9269-02-01T00:00:00Z"/>
        <d v="9268-02-01T00:00:00Z"/>
        <d v="9267-02-01T00:00:00Z"/>
        <d v="9266-02-01T00:00:00Z"/>
        <d v="9265-02-01T00:00:00Z"/>
        <d v="9264-02-01T00:00:00Z"/>
        <d v="9263-02-01T00:00:00Z"/>
        <d v="9262-02-01T00:00:00Z"/>
        <d v="9261-02-01T00:00:00Z"/>
        <d v="9260-02-01T00:00:00Z"/>
        <d v="9259-02-01T00:00:00Z"/>
        <d v="9258-02-01T00:00:00Z"/>
        <d v="9257-02-01T00:00:00Z"/>
        <d v="9256-02-01T00:00:00Z"/>
        <d v="9255-02-01T00:00:00Z"/>
        <d v="9254-02-01T00:00:00Z"/>
        <d v="9253-02-01T00:00:00Z"/>
        <d v="9252-02-01T00:00:00Z"/>
        <d v="9251-02-01T00:00:00Z"/>
        <d v="9250-02-01T00:00:00Z"/>
        <d v="9249-02-01T00:00:00Z"/>
        <d v="9248-02-01T00:00:00Z"/>
        <d v="9247-02-01T00:00:00Z"/>
        <d v="9246-02-01T00:00:00Z"/>
        <d v="9245-02-01T00:00:00Z"/>
        <d v="9244-02-01T00:00:00Z"/>
        <d v="9243-02-01T00:00:00Z"/>
        <d v="9242-02-01T00:00:00Z"/>
        <d v="9241-02-01T00:00:00Z"/>
        <d v="9240-02-01T00:00:00Z"/>
        <d v="9239-02-01T00:00:00Z"/>
        <d v="9238-02-01T00:00:00Z"/>
        <d v="9237-02-01T00:00:00Z"/>
        <d v="9236-02-01T00:00:00Z"/>
        <d v="9235-02-01T00:00:00Z"/>
        <d v="9234-02-01T00:00:00Z"/>
        <d v="9233-02-01T00:00:00Z"/>
        <d v="9232-02-01T00:00:00Z"/>
        <d v="9231-02-01T00:00:00Z"/>
        <d v="9230-02-01T00:00:00Z"/>
        <d v="9229-02-01T00:00:00Z"/>
        <d v="9228-02-01T00:00:00Z"/>
        <d v="9227-02-01T00:00:00Z"/>
        <d v="9226-02-01T00:00:00Z"/>
        <d v="9225-02-01T00:00:00Z"/>
        <d v="9224-02-01T00:00:00Z"/>
        <d v="9223-02-01T00:00:00Z"/>
        <d v="9222-02-01T00:00:00Z"/>
        <d v="9221-02-01T00:00:00Z"/>
        <d v="9220-02-01T00:00:00Z"/>
        <d v="9219-02-01T00:00:00Z"/>
        <d v="9218-02-01T00:00:00Z"/>
        <d v="9217-02-01T00:00:00Z"/>
        <d v="9216-02-01T00:00:00Z"/>
        <d v="9215-02-01T00:00:00Z"/>
        <d v="9214-02-01T00:00:00Z"/>
        <d v="9213-02-01T00:00:00Z"/>
        <d v="9212-02-01T00:00:00Z"/>
        <d v="9211-02-01T00:00:00Z"/>
        <d v="9210-02-01T00:00:00Z"/>
        <d v="9209-02-01T00:00:00Z"/>
        <d v="9208-02-01T00:00:00Z"/>
        <d v="9207-02-01T00:00:00Z"/>
        <d v="9206-02-01T00:00:00Z"/>
        <d v="9205-02-01T00:00:00Z"/>
        <d v="9204-02-01T00:00:00Z"/>
        <d v="9203-02-01T00:00:00Z"/>
        <d v="9202-02-01T00:00:00Z"/>
        <d v="9201-02-01T00:00:00Z"/>
        <d v="9200-02-01T00:00:00Z"/>
        <d v="9199-02-01T00:00:00Z"/>
        <d v="9198-02-01T00:00:00Z"/>
        <d v="9197-02-01T00:00:00Z"/>
        <d v="9196-02-01T00:00:00Z"/>
        <d v="9195-02-01T00:00:00Z"/>
        <d v="9194-02-01T00:00:00Z"/>
        <d v="9193-02-01T00:00:00Z"/>
        <d v="9192-02-01T00:00:00Z"/>
        <d v="9191-02-01T00:00:00Z"/>
        <d v="9190-02-01T00:00:00Z"/>
        <d v="9189-02-01T00:00:00Z"/>
        <d v="9188-02-01T00:00:00Z"/>
        <d v="9187-02-01T00:00:00Z"/>
        <d v="9186-02-01T00:00:00Z"/>
        <d v="9185-02-01T00:00:00Z"/>
        <d v="9184-02-01T00:00:00Z"/>
        <d v="9183-02-01T00:00:00Z"/>
        <d v="9182-02-01T00:00:00Z"/>
        <d v="9181-02-01T00:00:00Z"/>
        <d v="9180-02-01T00:00:00Z"/>
        <d v="9179-02-01T00:00:00Z"/>
        <d v="9178-02-01T00:00:00Z"/>
        <d v="9177-02-01T00:00:00Z"/>
        <d v="9176-02-01T00:00:00Z"/>
        <d v="9175-02-01T00:00:00Z"/>
        <d v="9174-02-01T00:00:00Z"/>
        <d v="9173-02-01T00:00:00Z"/>
        <d v="9172-02-01T00:00:00Z"/>
        <d v="9171-02-01T00:00:00Z"/>
        <d v="9170-02-01T00:00:00Z"/>
        <d v="9169-02-01T00:00:00Z"/>
        <d v="9168-02-01T00:00:00Z"/>
        <d v="9167-02-01T00:00:00Z"/>
        <d v="9166-02-01T00:00:00Z"/>
        <d v="9165-02-01T00:00:00Z"/>
        <d v="9164-02-01T00:00:00Z"/>
        <d v="9163-02-01T00:00:00Z"/>
        <d v="9162-02-01T00:00:00Z"/>
        <d v="9161-02-01T00:00:00Z"/>
        <d v="9160-02-01T00:00:00Z"/>
        <d v="9159-02-01T00:00:00Z"/>
        <d v="9158-02-01T00:00:00Z"/>
        <d v="9157-02-01T00:00:00Z"/>
        <d v="9156-02-01T00:00:00Z"/>
        <d v="9155-02-01T00:00:00Z"/>
        <d v="9154-02-01T00:00:00Z"/>
        <d v="9153-02-01T00:00:00Z"/>
        <d v="9152-02-01T00:00:00Z"/>
        <d v="9151-02-01T00:00:00Z"/>
        <d v="9150-02-01T00:00:00Z"/>
        <d v="9149-02-01T00:00:00Z"/>
        <d v="9148-02-01T00:00:00Z"/>
        <d v="9147-02-01T00:00:00Z"/>
        <d v="9146-02-01T00:00:00Z"/>
        <d v="9145-02-01T00:00:00Z"/>
        <d v="9144-02-01T00:00:00Z"/>
        <d v="9143-02-01T00:00:00Z"/>
        <d v="9142-02-01T00:00:00Z"/>
        <d v="9141-02-01T00:00:00Z"/>
        <d v="9140-02-01T00:00:00Z"/>
        <d v="9139-02-01T00:00:00Z"/>
        <d v="9138-02-01T00:00:00Z"/>
        <d v="9137-02-01T00:00:00Z"/>
        <d v="9136-02-01T00:00:00Z"/>
        <d v="9135-02-01T00:00:00Z"/>
        <d v="9134-02-01T00:00:00Z"/>
        <d v="9133-02-01T00:00:00Z"/>
        <d v="9132-02-01T00:00:00Z"/>
        <d v="9131-02-01T00:00:00Z"/>
        <d v="9130-02-01T00:00:00Z"/>
        <d v="9129-02-01T00:00:00Z"/>
        <d v="9128-02-01T00:00:00Z"/>
        <d v="9127-02-01T00:00:00Z"/>
        <d v="9126-02-01T00:00:00Z"/>
        <d v="9125-02-01T00:00:00Z"/>
        <d v="9124-02-01T00:00:00Z"/>
        <d v="9123-02-01T00:00:00Z"/>
        <d v="9122-02-01T00:00:00Z"/>
        <d v="9121-02-01T00:00:00Z"/>
        <d v="9120-02-01T00:00:00Z"/>
        <d v="9119-02-01T00:00:00Z"/>
        <d v="9118-02-01T00:00:00Z"/>
        <d v="9117-02-01T00:00:00Z"/>
        <d v="9116-02-01T00:00:00Z"/>
        <d v="9115-02-01T00:00:00Z"/>
        <d v="9114-02-01T00:00:00Z"/>
        <d v="9113-02-01T00:00:00Z"/>
        <d v="9112-02-01T00:00:00Z"/>
        <d v="9111-02-01T00:00:00Z"/>
        <d v="9110-02-01T00:00:00Z"/>
        <d v="9109-02-01T00:00:00Z"/>
        <d v="9108-02-01T00:00:00Z"/>
        <d v="9107-02-01T00:00:00Z"/>
        <d v="9106-02-01T00:00:00Z"/>
        <d v="9105-02-01T00:00:00Z"/>
        <d v="9104-02-01T00:00:00Z"/>
        <d v="9103-02-01T00:00:00Z"/>
        <d v="9102-02-01T00:00:00Z"/>
        <d v="9101-02-01T00:00:00Z"/>
        <d v="9100-02-01T00:00:00Z"/>
        <d v="9099-02-01T00:00:00Z"/>
        <d v="9098-02-01T00:00:00Z"/>
        <d v="9097-02-01T00:00:00Z"/>
        <d v="9096-02-01T00:00:00Z"/>
        <d v="9095-02-01T00:00:00Z"/>
        <d v="9094-02-01T00:00:00Z"/>
        <d v="9093-02-01T00:00:00Z"/>
        <d v="9092-02-01T00:00:00Z"/>
        <d v="9091-02-01T00:00:00Z"/>
        <d v="9090-02-01T00:00:00Z"/>
        <d v="9089-02-01T00:00:00Z"/>
        <d v="9088-02-01T00:00:00Z"/>
        <d v="9087-02-01T00:00:00Z"/>
        <d v="9086-02-01T00:00:00Z"/>
        <d v="9085-02-01T00:00:00Z"/>
        <d v="9084-02-01T00:00:00Z"/>
        <d v="9083-02-01T00:00:00Z"/>
        <d v="9082-02-01T00:00:00Z"/>
        <d v="9081-02-01T00:00:00Z"/>
        <d v="9080-02-01T00:00:00Z"/>
        <d v="9079-02-01T00:00:00Z"/>
        <d v="9078-02-01T00:00:00Z"/>
        <d v="9077-02-01T00:00:00Z"/>
        <d v="9076-02-01T00:00:00Z"/>
        <d v="9075-02-01T00:00:00Z"/>
        <d v="9074-02-01T00:00:00Z"/>
        <d v="9073-02-01T00:00:00Z"/>
        <d v="9072-02-01T00:00:00Z"/>
        <d v="9071-02-01T00:00:00Z"/>
        <d v="9070-02-01T00:00:00Z"/>
        <d v="9069-02-01T00:00:00Z"/>
        <d v="9068-02-01T00:00:00Z"/>
        <d v="9067-02-01T00:00:00Z"/>
        <d v="9066-02-01T00:00:00Z"/>
        <d v="9065-02-01T00:00:00Z"/>
        <d v="9064-02-01T00:00:00Z"/>
        <d v="9063-02-01T00:00:00Z"/>
        <d v="9062-02-01T00:00:00Z"/>
        <d v="9061-02-01T00:00:00Z"/>
        <d v="9060-02-01T00:00:00Z"/>
        <d v="9059-02-01T00:00:00Z"/>
        <d v="9058-02-01T00:00:00Z"/>
        <d v="9057-02-01T00:00:00Z"/>
        <d v="9056-02-01T00:00:00Z"/>
        <d v="9055-02-01T00:00:00Z"/>
        <d v="9054-02-01T00:00:00Z"/>
        <d v="9053-02-01T00:00:00Z"/>
        <d v="9052-02-01T00:00:00Z"/>
        <d v="9051-02-01T00:00:00Z"/>
        <d v="9050-02-01T00:00:00Z"/>
        <d v="9049-02-01T00:00:00Z"/>
        <d v="9048-02-01T00:00:00Z"/>
        <d v="9047-02-01T00:00:00Z"/>
        <d v="9046-02-01T00:00:00Z"/>
        <d v="9045-02-01T00:00:00Z"/>
        <d v="9044-02-01T00:00:00Z"/>
        <d v="9043-02-01T00:00:00Z"/>
        <d v="9042-02-01T00:00:00Z"/>
        <d v="9041-02-01T00:00:00Z"/>
        <d v="9040-02-01T00:00:00Z"/>
        <d v="9039-02-01T00:00:00Z"/>
        <d v="9038-02-01T00:00:00Z"/>
        <d v="9037-02-01T00:00:00Z"/>
        <d v="9036-02-01T00:00:00Z"/>
        <d v="9035-02-01T00:00:00Z"/>
        <d v="9034-02-01T00:00:00Z"/>
        <d v="9033-02-01T00:00:00Z"/>
        <d v="9032-02-01T00:00:00Z"/>
        <d v="9031-02-01T00:00:00Z"/>
        <d v="9030-02-01T00:00:00Z"/>
        <d v="9029-02-01T00:00:00Z"/>
        <d v="9028-02-01T00:00:00Z"/>
        <d v="9027-02-01T00:00:00Z"/>
        <d v="9026-02-01T00:00:00Z"/>
        <d v="9025-02-01T00:00:00Z"/>
        <d v="9024-02-01T00:00:00Z"/>
        <d v="9023-02-01T00:00:00Z"/>
        <d v="9022-02-01T00:00:00Z"/>
        <d v="9021-02-01T00:00:00Z"/>
        <d v="9020-02-01T00:00:00Z"/>
        <d v="9019-02-01T00:00:00Z"/>
        <d v="9018-02-01T00:00:00Z"/>
        <d v="9017-02-01T00:00:00Z"/>
        <d v="9016-02-01T00:00:00Z"/>
        <d v="9015-02-01T00:00:00Z"/>
        <d v="9014-02-01T00:00:00Z"/>
        <d v="9013-02-01T00:00:00Z"/>
        <d v="9012-02-01T00:00:00Z"/>
        <d v="9011-02-01T00:00:00Z"/>
        <d v="9010-02-01T00:00:00Z"/>
        <d v="9009-02-01T00:00:00Z"/>
        <d v="9008-02-01T00:00:00Z"/>
        <d v="9007-02-01T00:00:00Z"/>
        <d v="9006-02-01T00:00:00Z"/>
        <d v="9005-02-01T00:00:00Z"/>
        <d v="9004-02-01T00:00:00Z"/>
        <d v="9003-02-01T00:00:00Z"/>
        <d v="9002-02-01T00:00:00Z"/>
        <d v="9001-02-01T00:00:00Z"/>
        <d v="9000-02-01T00:00:00Z"/>
        <d v="8999-02-01T00:00:00Z"/>
        <d v="8998-02-01T00:00:00Z"/>
        <d v="8997-02-01T00:00:00Z"/>
        <d v="8996-02-01T00:00:00Z"/>
        <d v="8995-02-01T00:00:00Z"/>
        <d v="8994-02-01T00:00:00Z"/>
        <d v="8993-02-01T00:00:00Z"/>
        <d v="8992-02-01T00:00:00Z"/>
        <d v="8991-02-01T00:00:00Z"/>
        <d v="8990-02-01T00:00:00Z"/>
        <d v="8989-02-01T00:00:00Z"/>
        <d v="8988-02-01T00:00:00Z"/>
        <d v="8987-02-01T00:00:00Z"/>
        <d v="8986-02-01T00:00:00Z"/>
        <d v="8985-02-01T00:00:00Z"/>
        <d v="8984-02-01T00:00:00Z"/>
        <d v="8983-02-01T00:00:00Z"/>
        <d v="8982-02-01T00:00:00Z"/>
        <d v="8981-02-01T00:00:00Z"/>
        <d v="8980-02-01T00:00:00Z"/>
        <d v="8979-02-01T00:00:00Z"/>
        <d v="8978-02-01T00:00:00Z"/>
        <d v="8977-02-01T00:00:00Z"/>
        <d v="8976-02-01T00:00:00Z"/>
        <d v="8975-02-01T00:00:00Z"/>
        <d v="8974-02-01T00:00:00Z"/>
        <d v="8973-02-01T00:00:00Z"/>
        <d v="8972-02-01T00:00:00Z"/>
        <m/>
      </sharedItems>
    </cacheField>
    <cacheField name="Receipt type" numFmtId="0">
      <sharedItems containsBlank="1">
        <s v="Refund"/>
        <s v="Sale"/>
        <m/>
      </sharedItems>
    </cacheField>
    <cacheField name="Category" numFmtId="0">
      <sharedItems containsBlank="1">
        <s v="Roti"/>
        <s v="Minuman"/>
        <s v="Kudapan"/>
        <s v="Hidangan Utama"/>
        <s v="Promo"/>
        <m/>
      </sharedItems>
    </cacheField>
    <cacheField name="SKU" numFmtId="0">
      <sharedItems containsString="0" containsBlank="1" containsNumber="1" containsInteger="1">
        <n v="10000.0"/>
        <n v="10112.0"/>
        <n v="10002.0"/>
        <n v="10122.0"/>
        <n v="10051.0"/>
        <n v="10104.0"/>
        <n v="10119.0"/>
        <n v="10026.0"/>
        <n v="10107.0"/>
        <n v="10056.0"/>
        <n v="10009.0"/>
        <n v="10015.0"/>
        <n v="10128.0"/>
        <n v="10117.0"/>
        <n v="10120.0"/>
        <n v="10013.0"/>
        <n v="10127.0"/>
        <n v="10070.0"/>
        <n v="10063.0"/>
        <n v="10005.0"/>
        <n v="10007.0"/>
        <n v="10055.0"/>
        <n v="10106.0"/>
        <n v="10123.0"/>
        <n v="10126.0"/>
        <n v="10125.0"/>
        <n v="10012.0"/>
        <n v="10003.0"/>
        <n v="10118.0"/>
        <n v="10011.0"/>
        <n v="10010.0"/>
        <n v="10004.0"/>
        <n v="10057.0"/>
        <n v="10014.0"/>
        <n v="10054.0"/>
        <n v="10105.0"/>
        <n v="10053.0"/>
        <n v="10035.0"/>
        <n v="10130.0"/>
        <n v="10033.0"/>
        <n v="10034.0"/>
        <n v="10121.0"/>
        <n v="10058.0"/>
        <n v="10116.0"/>
        <n v="10069.0"/>
        <n v="10067.0"/>
        <n v="10039.0"/>
        <n v="10025.0"/>
        <n v="10079.0"/>
        <n v="10016.0"/>
        <n v="10068.0"/>
        <n v="10006.0"/>
        <n v="10023.0"/>
        <n v="10021.0"/>
        <n v="10022.0"/>
        <n v="10065.0"/>
        <n v="10042.0"/>
        <n v="10043.0"/>
        <m/>
      </sharedItems>
    </cacheField>
    <cacheField name="Item" numFmtId="0">
      <sharedItems containsBlank="1">
        <s v="Roti Bawang Saus Keju"/>
        <s v="Air mineral"/>
        <s v="Roti Cranberry"/>
        <s v="Rempah Madu Panas"/>
        <s v="Tahu baso"/>
        <s v="Chicken Claypot Rice"/>
        <s v="Teh Tawar Dingin"/>
        <s v="Es Kopi Lemon"/>
        <s v="Korean Mango Fresh Milk"/>
        <s v="Susu murni moca"/>
        <s v="Jamur Enoki Krispi"/>
        <s v="Tahu Lada Garam"/>
        <s v="Es Kopi Susu"/>
        <s v="Teh Manis Dingin"/>
        <s v="Lemon Tea Panas"/>
        <s v="Kopi cur"/>
        <s v="Kopi Tubruk Panas"/>
        <s v="Wedang laut"/>
        <s v="Wedang Bulan"/>
        <s v="Roti Gandum Cokelat"/>
        <s v="Korean Strawberry Fresh Milk"/>
        <s v="Rempah Madu Dingin"/>
        <s v="Chamomile Lemongrass Hot Artisan Tea"/>
        <s v="Gula Asam Dingin"/>
        <s v="Mie joglo"/>
        <s v="Nasi Goreng Temu"/>
        <s v="Teh Tawar Panas"/>
        <s v="Kentang Goreng"/>
        <s v="Pisang Goreng"/>
        <s v="Tahu walik"/>
        <s v="Susu murni strawberry"/>
        <s v="Tempe Mendoan"/>
        <s v="Roti toast eskrim"/>
        <s v="Beef Claypot Rice"/>
        <s v="Nasi telor"/>
        <s v="Roti panggang alpukat"/>
        <s v="Kopi Susu Panas"/>
        <s v="Roti panggang sarikaya"/>
        <s v="Roti panggang coklat"/>
        <s v="Lemon Tea Dingin"/>
        <s v="Susu murni ori"/>
        <s v="Teh Manis Panas"/>
        <s v="Wedang hujan"/>
        <s v="Wedang angin"/>
        <s v="Roti panggang strawberry"/>
        <s v="Roti Tawar Susu"/>
        <s v="Wedang angin (pack)"/>
        <s v="Kopi Arabica Bubuk 150gr"/>
        <s v="Wedang surya"/>
        <s v="Nasi"/>
        <s v="(Voucher Gratis) Es Kopi Susu"/>
        <s v="(Voucher Gratis) Roti Gandum Coklat"/>
        <s v="(Voucher Gratis) Roti Cranberry Cheese"/>
        <s v="Jasmine Green Sencha Hot Artisan Tea"/>
        <s v="Roti coklat"/>
        <s v="Roti keju"/>
        <m/>
      </sharedItems>
    </cacheField>
    <cacheField name="Variant" numFmtId="0">
      <sharedItems containsString="0" containsBlank="1">
        <m/>
      </sharedItems>
    </cacheField>
    <cacheField name="Modifiers applied" numFmtId="0">
      <sharedItems containsString="0" containsBlank="1">
        <m/>
      </sharedItems>
    </cacheField>
    <cacheField name="Quantity" numFmtId="3">
      <sharedItems containsString="0" containsBlank="1" containsNumber="1" containsInteger="1">
        <n v="-1.0"/>
        <n v="-2.0"/>
        <n v="1.0"/>
        <n v="2.0"/>
        <n v="5.0"/>
        <n v="6.0"/>
        <n v="3.0"/>
        <n v="8.0"/>
        <n v="4.0"/>
        <m/>
      </sharedItems>
    </cacheField>
    <cacheField name="Gross sales">
      <sharedItems containsBlank="1" containsMixedTypes="1" containsNumber="1" containsInteger="1">
        <n v="-29524.0"/>
        <n v="-13334.0"/>
        <n v="18571.0"/>
        <n v="43810.0"/>
        <n v="25238.0"/>
        <n v="-21905.0"/>
        <n v="-50476.0"/>
        <n v="21905.0"/>
        <n v="50476.0"/>
        <n v="34762.0"/>
        <n v="7143.0"/>
        <n v="26667.0"/>
        <n v="19524.0"/>
        <s v="26667,00"/>
        <n v="23333.0"/>
        <n v="29524.0"/>
        <n v="14286.0"/>
        <n v="24762.0"/>
        <n v="46666.0"/>
        <n v="-33810.0"/>
        <n v="-34762.0"/>
        <n v="-26667.0"/>
        <n v="33810.0"/>
        <n v="-19524.0"/>
        <n v="-23333.0"/>
        <n v="23810.0"/>
        <n v="-20476.0"/>
        <n v="-69524.0"/>
        <n v="20476.0"/>
        <n v="69524.0"/>
        <n v="13334.0"/>
        <n v="67620.0"/>
        <n v="38095.0"/>
        <n v="-25238.0"/>
        <n v="59048.0"/>
        <n v="6667.0"/>
        <n v="-18571.0"/>
        <n v="39048.0"/>
        <n v="-46666.0"/>
        <n v="102380.0"/>
        <n v="139998.0"/>
        <n v="109525.0"/>
        <n v="55713.0"/>
        <n v="74286.0"/>
        <n v="114280.0"/>
        <n v="93332.0"/>
        <n v="76190.0"/>
        <n v="53334.0"/>
        <n v="88572.0"/>
        <n v="116665.0"/>
        <n v="114285.0"/>
        <n v="70000.0"/>
        <n v="7000.0"/>
        <n v="65715.0"/>
        <n v="-59048.0"/>
        <n v="-14286.0"/>
        <n v="-43810.0"/>
        <n v="0.0"/>
        <n v="49524.0"/>
        <n v="69999.0"/>
        <n v="9524.0"/>
        <n v="-9524.0"/>
        <n v="19048.0"/>
        <n v="101430.0"/>
        <m/>
      </sharedItems>
    </cacheField>
    <cacheField name="Discounts" numFmtId="0">
      <sharedItems containsBlank="1">
        <s v="0.00"/>
        <s v="10143.00"/>
        <m/>
      </sharedItems>
    </cacheField>
    <cacheField name="Net sales" numFmtId="4">
      <sharedItems containsString="0" containsBlank="1" containsNumber="1" containsInteger="1">
        <n v="-29524.0"/>
        <n v="-13334.0"/>
        <n v="18571.0"/>
        <n v="43810.0"/>
        <n v="25238.0"/>
        <n v="-21905.0"/>
        <n v="-50476.0"/>
        <n v="21905.0"/>
        <n v="50476.0"/>
        <n v="34762.0"/>
        <n v="7143.0"/>
        <n v="26667.0"/>
        <n v="19524.0"/>
        <n v="23333.0"/>
        <n v="29524.0"/>
        <n v="14286.0"/>
        <n v="24762.0"/>
        <n v="46666.0"/>
        <n v="-33810.0"/>
        <n v="-34762.0"/>
        <n v="-26667.0"/>
        <n v="33810.0"/>
        <n v="-19524.0"/>
        <n v="-23333.0"/>
        <n v="23810.0"/>
        <n v="-20476.0"/>
        <n v="-69524.0"/>
        <n v="20476.0"/>
        <n v="69524.0"/>
        <n v="13334.0"/>
        <n v="67620.0"/>
        <n v="38095.0"/>
        <n v="-25238.0"/>
        <n v="59048.0"/>
        <n v="6667.0"/>
        <n v="-18571.0"/>
        <n v="39048.0"/>
        <n v="-46666.0"/>
        <n v="102380.0"/>
        <n v="139998.0"/>
        <n v="109525.0"/>
        <n v="55713.0"/>
        <n v="74286.0"/>
        <n v="114280.0"/>
        <n v="93332.0"/>
        <n v="76190.0"/>
        <n v="53334.0"/>
        <n v="88572.0"/>
        <n v="116665.0"/>
        <n v="23667.0"/>
        <n v="114285.0"/>
        <n v="70000.0"/>
        <n v="7000.0"/>
        <n v="65715.0"/>
        <n v="-59048.0"/>
        <n v="-14286.0"/>
        <n v="-43810.0"/>
        <n v="0.0"/>
        <n v="49524.0"/>
        <n v="69999.0"/>
        <n v="9524.0"/>
        <n v="-9524.0"/>
        <n v="19048.0"/>
        <n v="101430.0"/>
        <m/>
      </sharedItems>
    </cacheField>
    <cacheField name="Cost of goods" numFmtId="0">
      <sharedItems containsBlank="1">
        <s v="-0.00"/>
        <s v="0.00"/>
        <s v="70000.00"/>
        <m/>
      </sharedItems>
    </cacheField>
    <cacheField name="Gross profit" numFmtId="0">
      <sharedItems containsBlank="1">
        <s v="-29524.00"/>
        <s v="-13334.00"/>
        <s v="18571.00"/>
        <s v="43810.00"/>
        <s v="25238.00"/>
        <s v="-21905.00"/>
        <s v="-50476.00"/>
        <s v="21905.00"/>
        <s v="50476.00"/>
        <s v="34762.00"/>
        <s v="7143.00"/>
        <s v="26667.00"/>
        <s v="19524.00"/>
        <s v="23333.00"/>
        <s v="29524.00"/>
        <s v="14286.00"/>
        <s v="24762.00"/>
        <s v="46666.00"/>
        <s v="-33810.00"/>
        <s v="-34762.00"/>
        <s v="-26667.00"/>
        <s v="33810.00"/>
        <s v="-19524.00"/>
        <s v="-23333.00"/>
        <s v="23810.00"/>
        <s v="-20476.00"/>
        <s v="-69524.00"/>
        <s v="20476.00"/>
        <s v="69524.00"/>
        <s v="13334.00"/>
        <s v="67620.00"/>
        <s v="38095.00"/>
        <s v="-25238.00"/>
        <s v="59048.00"/>
        <s v="6667.00"/>
        <s v="-18571.00"/>
        <s v="39048.00"/>
        <s v="-46666.00"/>
        <s v="102380.00"/>
        <s v="139998.00"/>
        <s v="109525.00"/>
        <s v="55713.00"/>
        <s v="74286.00"/>
        <s v="114280.00"/>
        <s v="93332.00"/>
        <s v="76190.00"/>
        <s v="53334.00"/>
        <s v="88572.00"/>
        <s v="116665.00"/>
        <s v="23667.00"/>
        <s v="114285.00"/>
        <s v="0.00"/>
        <s v="7000.00"/>
        <s v="65715.00"/>
        <s v="-59048.00"/>
        <s v="-14286.00"/>
        <s v="-43810.00"/>
        <s v="49524.00"/>
        <s v="69999.00"/>
        <s v="9524.00"/>
        <s v="-9524.00"/>
        <s v="19048.00"/>
        <s v="101430.00"/>
        <m/>
      </sharedItems>
    </cacheField>
    <cacheField name="Taxes" numFmtId="0">
      <sharedItems containsBlank="1">
        <s v="-1476.00"/>
        <s v="-667.00"/>
        <s v="929.00"/>
        <s v="2191.00"/>
        <s v="1261.00"/>
        <s v="-1095.00"/>
        <s v="-2524.00"/>
        <s v="1095.00"/>
        <s v="2524.00"/>
        <s v="1738.00"/>
        <s v="357.00"/>
        <s v="1334.00"/>
        <s v="976.00"/>
        <s v="1333.00"/>
        <s v="1262.00"/>
        <s v="1167.00"/>
        <s v="1476.00"/>
        <s v="714.00"/>
        <s v="1096.00"/>
        <s v="928.00"/>
        <s v="1239.00"/>
        <s v="2333.00"/>
        <s v="1238.00"/>
        <s v="977.00"/>
        <s v="-1691.00"/>
        <s v="-1738.00"/>
        <s v="-1333.00"/>
        <s v="1690.00"/>
        <s v="1691.00"/>
        <s v="-976.00"/>
        <s v="-1166.00"/>
        <s v="715.00"/>
        <s v="1191.00"/>
        <s v="-1024.00"/>
        <s v="-3477.00"/>
        <s v="1166.00"/>
        <s v="1024.00"/>
        <s v="3477.00"/>
        <s v="667.00"/>
        <s v="1023.00"/>
        <s v="3381.00"/>
        <s v="1905.00"/>
        <s v="-1167.00"/>
        <s v="-1262.00"/>
        <s v="2952.00"/>
        <s v="334.00"/>
        <s v="3476.00"/>
        <s v="1190.00"/>
        <s v="333.00"/>
        <s v="-929.00"/>
        <s v="1477.00"/>
        <s v="1952.00"/>
        <s v="1904.00"/>
        <s v="-2333.00"/>
        <s v="5119.00"/>
        <s v="7000.00"/>
        <s v="5476.00"/>
        <s v="2785.00"/>
        <s v="358.00"/>
        <s v="3714.00"/>
        <s v="2953.00"/>
        <s v="5714.00"/>
        <s v="1739.00"/>
        <s v="4666.00"/>
        <s v="3810.00"/>
        <s v="1953.00"/>
        <s v="2667.00"/>
        <s v="3809.00"/>
        <s v="4429.00"/>
        <s v="5833.00"/>
        <s v="1183.00"/>
        <s v="2190.00"/>
        <s v="0.00"/>
        <s v="350.00"/>
        <s v="666.00"/>
        <s v="3286.00"/>
        <s v="-1096.00"/>
        <s v="-2952.00"/>
        <s v="-714.00"/>
        <s v="-1334.00"/>
        <s v="-2191.00"/>
        <s v="2477.00"/>
        <s v="3500.00"/>
        <s v="476.00"/>
        <s v="-476.00"/>
        <s v="952.00"/>
        <s v="5072.00"/>
        <s v="477.00"/>
        <m/>
      </sharedItems>
    </cacheField>
    <cacheField name="Dining option" numFmtId="0">
      <sharedItems containsBlank="1">
        <s v="Take Away"/>
        <s v="Dine In"/>
        <m/>
      </sharedItems>
    </cacheField>
    <cacheField name="POS" numFmtId="0">
      <sharedItems containsBlank="1">
        <s v="Kedai"/>
        <m/>
      </sharedItems>
    </cacheField>
    <cacheField name="Store" numFmtId="0">
      <sharedItems containsBlank="1">
        <s v="Temu Roti"/>
        <m/>
      </sharedItems>
    </cacheField>
    <cacheField name="Cashier name" numFmtId="0">
      <sharedItems containsBlank="1">
        <s v="Owner"/>
        <m/>
      </sharedItems>
    </cacheField>
    <cacheField name="Customer name" numFmtId="0">
      <sharedItems containsString="0" containsBlank="1">
        <m/>
      </sharedItems>
    </cacheField>
    <cacheField name="Customer contacts" numFmtId="0">
      <sharedItems containsString="0" containsBlank="1">
        <m/>
      </sharedItems>
    </cacheField>
    <cacheField name="Comment" numFmtId="0">
      <sharedItems containsBlank="1">
        <m/>
        <s v="Dingin"/>
        <s v="Sarikaya sedikit"/>
        <s v="Manis pedas"/>
      </sharedItems>
    </cacheField>
    <cacheField name="Status" numFmtId="0">
      <sharedItems containsBlank="1">
        <s v="Closed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Jodis Standar" cacheId="0" dataCaption="" colGrandTotals="0" compact="0" compactData="0">
  <location ref="G7:M15" firstHeaderRow="0" firstDataRow="1" firstDataCol="2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ays" axis="axisCol" compact="0" outline="0" multipleItemSelectionAllowed="1" showAll="0" sortType="ascending" defaultSubtotal="0">
      <items>
        <item x="6"/>
        <item x="2"/>
        <item x="1"/>
        <item x="0"/>
        <item x="3"/>
        <item x="5"/>
        <item x="4"/>
      </items>
    </pivotField>
    <pivotField name="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ays Numb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" axis="axisCol" compact="0" outline="0" multipleItemSelectionAllowed="1" showAll="0" sortType="ascending">
      <items>
        <item x="2"/>
        <item x="1"/>
        <item x="0"/>
        <item t="default"/>
      </items>
    </pivotField>
    <pivotField name="Receipt numbe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Receipt type" compact="0" outline="0" multipleItemSelectionAllowed="1" showAll="0">
      <items>
        <item x="0"/>
        <item x="1"/>
        <item x="2"/>
        <item t="default"/>
      </items>
    </pivotField>
    <pivotField name="Category" axis="axisRow" compact="0" outline="0" multipleItemSelectionAllowed="1" showAll="0" sortType="ascending">
      <items>
        <item h="1" x="5"/>
        <item x="3"/>
        <item x="2"/>
        <item x="1"/>
        <item x="4"/>
        <item x="0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Variant" compact="0" outline="0" multipleItemSelectionAllowed="1" showAll="0">
      <items>
        <item x="0"/>
        <item t="default"/>
      </items>
    </pivotField>
    <pivotField name="Modifiers applied" compact="0" outline="0" multipleItemSelectionAllowed="1" showAll="0">
      <items>
        <item x="0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ross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counts" compact="0" outline="0" multipleItemSelectionAllowed="1" showAll="0">
      <items>
        <item x="0"/>
        <item x="1"/>
        <item x="2"/>
        <item t="default"/>
      </items>
    </pivotField>
    <pivotField name="Net 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ost of goods" compact="0" outline="0" multipleItemSelectionAllowed="1" showAll="0">
      <items>
        <item x="0"/>
        <item x="1"/>
        <item x="2"/>
        <item x="3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a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ning option" compact="0" outline="0" multipleItemSelectionAllowed="1" showAll="0">
      <items>
        <item x="0"/>
        <item x="1"/>
        <item x="2"/>
        <item t="default"/>
      </items>
    </pivotField>
    <pivotField name="POS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Cashier nam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t="default"/>
      </items>
    </pivotField>
    <pivotField name="Customer contacts" compact="0" outline="0" multipleItemSelectionAllowed="1" showAll="0">
      <items>
        <item x="0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8"/>
  </rowFields>
  <colFields>
    <field x="2"/>
    <field x="5"/>
  </colFields>
  <dataFields>
    <dataField name="SUM of Net sales" fld="16" baseField="0"/>
  </dataFields>
</pivotTableDefinition>
</file>

<file path=xl/pivotTables/pivotTable2.xml><?xml version="1.0" encoding="utf-8"?>
<pivotTableDefinition xmlns="http://schemas.openxmlformats.org/spreadsheetml/2006/main" name="Jodis Standar 2" cacheId="0" dataCaption="" compact="0" compactData="0">
  <location ref="R7:X34" firstHeaderRow="0" firstDataRow="1" firstDataCol="1" rowPageCount="1" colPageCount="1"/>
  <pivotFields>
    <pivotField name="Date" axis="axisRow" compact="0" outline="0" multipleItemSelectionAllowed="1" showAll="0" sortType="ascending">
      <items>
        <item x="25"/>
        <item x="24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3"/>
        <item x="22"/>
        <item x="21"/>
        <item x="20"/>
        <item x="19"/>
        <item x="18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ay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2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t="default"/>
      </items>
    </pivotField>
    <pivotField name="Days Numb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" compact="0" outline="0" multipleItemSelectionAllowed="1" showAll="0">
      <items>
        <item x="0"/>
        <item x="1"/>
        <item x="2"/>
        <item t="default"/>
      </items>
    </pivotField>
    <pivotField name="Receipt numbe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Receipt type" compact="0" outline="0" multipleItemSelectionAllowed="1" showAll="0">
      <items>
        <item x="0"/>
        <item x="1"/>
        <item x="2"/>
        <item t="default"/>
      </items>
    </pivotField>
    <pivotField name="Category" axis="axisCol" compact="0" outline="0" multipleItemSelectionAllowed="1" showAll="0" sortType="ascending">
      <items>
        <item x="5"/>
        <item x="3"/>
        <item x="2"/>
        <item x="1"/>
        <item x="4"/>
        <item x="0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Variant" compact="0" outline="0" multipleItemSelectionAllowed="1" showAll="0">
      <items>
        <item x="0"/>
        <item t="default"/>
      </items>
    </pivotField>
    <pivotField name="Modifiers applied" compact="0" outline="0" multipleItemSelectionAllowed="1" showAll="0">
      <items>
        <item x="0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ross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counts" compact="0" outline="0" multipleItemSelectionAllowed="1" showAll="0">
      <items>
        <item x="0"/>
        <item x="1"/>
        <item x="2"/>
        <item t="default"/>
      </items>
    </pivotField>
    <pivotField name="Net 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ost of goods" compact="0" outline="0" multipleItemSelectionAllowed="1" showAll="0">
      <items>
        <item x="0"/>
        <item x="1"/>
        <item x="2"/>
        <item x="3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a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ning option" compact="0" outline="0" multipleItemSelectionAllowed="1" showAll="0">
      <items>
        <item x="0"/>
        <item x="1"/>
        <item x="2"/>
        <item t="default"/>
      </items>
    </pivotField>
    <pivotField name="POS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Cashier nam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t="default"/>
      </items>
    </pivotField>
    <pivotField name="Customer contacts" compact="0" outline="0" multipleItemSelectionAllowed="1" showAll="0">
      <items>
        <item x="0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8"/>
  </colFields>
  <pageFields>
    <pageField fld="3"/>
  </pageFields>
  <dataFields>
    <dataField name="SUM of Net sales" fld="16" baseField="0"/>
  </dataFields>
</pivotTableDefinition>
</file>

<file path=xl/pivotTables/pivotTable3.xml><?xml version="1.0" encoding="utf-8"?>
<pivotTableDefinition xmlns="http://schemas.openxmlformats.org/spreadsheetml/2006/main" name="Jodis Standar 3" cacheId="0" dataCaption="" compact="0" compactData="0">
  <location ref="AA7:AE16" firstHeaderRow="0" firstDataRow="0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ay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ays Numb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" compact="0" outline="0" multipleItemSelectionAllowed="1" showAll="0">
      <items>
        <item x="0"/>
        <item x="1"/>
        <item x="2"/>
        <item t="default"/>
      </items>
    </pivotField>
    <pivotField name="Receipt numbe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Receipt type" compact="0" outline="0" multipleItemSelectionAllowed="1" showAll="0">
      <items>
        <item x="0"/>
        <item x="1"/>
        <item x="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Variant" compact="0" outline="0" multipleItemSelectionAllowed="1" showAll="0">
      <items>
        <item x="0"/>
        <item t="default"/>
      </items>
    </pivotField>
    <pivotField name="Modifiers applied" compact="0" outline="0" multipleItemSelectionAllowed="1" showAll="0">
      <items>
        <item x="0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ross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counts" compact="0" outline="0" multipleItemSelectionAllowed="1" showAll="0">
      <items>
        <item x="0"/>
        <item x="1"/>
        <item x="2"/>
        <item t="default"/>
      </items>
    </pivotField>
    <pivotField name="Net 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ost of goods" compact="0" outline="0" multipleItemSelectionAllowed="1" showAll="0">
      <items>
        <item x="0"/>
        <item x="1"/>
        <item x="2"/>
        <item x="3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a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ning option" compact="0" outline="0" multipleItemSelectionAllowed="1" showAll="0">
      <items>
        <item x="0"/>
        <item x="1"/>
        <item x="2"/>
        <item t="default"/>
      </items>
    </pivotField>
    <pivotField name="POS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Cashier nam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t="default"/>
      </items>
    </pivotField>
    <pivotField name="Customer contacts" compact="0" outline="0" multipleItemSelectionAllowed="1" showAll="0">
      <items>
        <item x="0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</pivotTableDefinition>
</file>

<file path=xl/pivotTables/pivotTable4.xml><?xml version="1.0" encoding="utf-8"?>
<pivotTableDefinition xmlns="http://schemas.openxmlformats.org/spreadsheetml/2006/main" name="Jodis Standar 4" cacheId="0" dataCaption="" compact="0" compactData="0">
  <location ref="AI7:AK62" firstHeaderRow="0" firstDataRow="2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ay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ays Numb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" compact="0" outline="0" multipleItemSelectionAllowed="1" showAll="0">
      <items>
        <item x="0"/>
        <item x="1"/>
        <item x="2"/>
        <item t="default"/>
      </items>
    </pivotField>
    <pivotField name="Receipt numbe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Receipt type" compact="0" outline="0" multipleItemSelectionAllowed="1" showAll="0">
      <items>
        <item x="0"/>
        <item x="1"/>
        <item x="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Ite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h="1" x="50"/>
        <item h="1" x="51"/>
        <item h="1" x="52"/>
        <item x="53"/>
        <item x="54"/>
        <item x="55"/>
        <item x="5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Variant" compact="0" outline="0" multipleItemSelectionAllowed="1" showAll="0">
      <items>
        <item x="0"/>
        <item t="default"/>
      </items>
    </pivotField>
    <pivotField name="Modifiers applied" compact="0" outline="0" multipleItemSelectionAllowed="1" showAll="0">
      <items>
        <item x="0"/>
        <item t="default"/>
      </items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ross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counts" compact="0" outline="0" multipleItemSelectionAllowed="1" showAll="0">
      <items>
        <item x="0"/>
        <item x="1"/>
        <item x="2"/>
        <item t="default"/>
      </items>
    </pivotField>
    <pivotField name="Net 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ost of goods" compact="0" outline="0" multipleItemSelectionAllowed="1" showAll="0">
      <items>
        <item x="0"/>
        <item x="1"/>
        <item x="2"/>
        <item x="3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a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ning option" compact="0" outline="0" multipleItemSelectionAllowed="1" showAll="0">
      <items>
        <item x="0"/>
        <item x="1"/>
        <item x="2"/>
        <item t="default"/>
      </items>
    </pivotField>
    <pivotField name="POS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Cashier nam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t="default"/>
      </items>
    </pivotField>
    <pivotField name="Customer contacts" compact="0" outline="0" multipleItemSelectionAllowed="1" showAll="0">
      <items>
        <item x="0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10"/>
  </rowFields>
  <colFields>
    <field x="-2"/>
  </colFields>
  <dataFields>
    <dataField name="SUM of Net sales" fld="16" baseField="0"/>
    <dataField name="SUM of Quantity" fld="13" baseField="0"/>
  </dataFields>
</pivotTableDefinition>
</file>

<file path=xl/pivotTables/pivotTable5.xml><?xml version="1.0" encoding="utf-8"?>
<pivotTableDefinition xmlns="http://schemas.openxmlformats.org/spreadsheetml/2006/main" name="Jodis Standar 5" cacheId="0" dataCaption="" compact="0" compactData="0">
  <location ref="AM7:AT64" firstHeaderRow="0" firstDataRow="1" firstDataCol="3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ays" axis="axisCol" compact="0" outline="0" multipleItemSelectionAllowed="1" showAll="0" sortType="ascending">
      <items>
        <item x="6"/>
        <item x="2"/>
        <item x="1"/>
        <item x="0"/>
        <item x="3"/>
        <item x="5"/>
        <item x="4"/>
        <item t="default"/>
      </items>
    </pivotField>
    <pivotField name="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ays Number" axis="axisCol" compact="0" outline="0" multipleItemSelectionAllowed="1" showAll="0" sortType="ascending" defaultSubtotal="0">
      <items>
        <item x="6"/>
        <item x="5"/>
        <item x="4"/>
        <item x="3"/>
        <item x="2"/>
        <item x="1"/>
        <item x="0"/>
      </items>
    </pivotField>
    <pivotField name="Week" axis="axisCol" compact="0" outline="0" multipleItemSelectionAllowed="1" showAll="0" sortType="ascending" defaultSubtotal="0">
      <items>
        <item x="2"/>
        <item x="1"/>
        <item x="0"/>
      </items>
    </pivotField>
    <pivotField name="Receipt numbe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Receipt type" compact="0" outline="0" multipleItemSelectionAllowed="1" showAll="0">
      <items>
        <item x="0"/>
        <item x="1"/>
        <item x="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Ite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h="1" x="50"/>
        <item h="1" x="51"/>
        <item h="1" x="52"/>
        <item x="53"/>
        <item x="54"/>
        <item x="55"/>
        <item h="1" x="5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Variant" compact="0" outline="0" multipleItemSelectionAllowed="1" showAll="0">
      <items>
        <item x="0"/>
        <item t="default"/>
      </items>
    </pivotField>
    <pivotField name="Modifiers applied" compact="0" outline="0" multipleItemSelectionAllowed="1" showAll="0">
      <items>
        <item x="0"/>
        <item t="default"/>
      </items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ross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counts" compact="0" outline="0" multipleItemSelectionAllowed="1" showAll="0">
      <items>
        <item x="0"/>
        <item x="1"/>
        <item x="2"/>
        <item t="default"/>
      </items>
    </pivotField>
    <pivotField name="Net 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ost of goods" compact="0" outline="0" multipleItemSelectionAllowed="1" showAll="0">
      <items>
        <item x="0"/>
        <item x="1"/>
        <item x="2"/>
        <item x="3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a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ning option" compact="0" outline="0" multipleItemSelectionAllowed="1" showAll="0">
      <items>
        <item x="0"/>
        <item x="1"/>
        <item x="2"/>
        <item t="default"/>
      </items>
    </pivotField>
    <pivotField name="POS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Cashier nam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t="default"/>
      </items>
    </pivotField>
    <pivotField name="Customer contacts" compact="0" outline="0" multipleItemSelectionAllowed="1" showAll="0">
      <items>
        <item x="0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10"/>
  </rowFields>
  <colFields>
    <field x="4"/>
    <field x="5"/>
    <field x="2"/>
  </colFields>
  <dataFields>
    <dataField name="SUM of Quantity" fld="13" baseField="0"/>
  </dataFields>
</pivotTableDefinition>
</file>

<file path=xl/pivotTables/pivotTable6.xml><?xml version="1.0" encoding="utf-8"?>
<pivotTableDefinition xmlns="http://schemas.openxmlformats.org/spreadsheetml/2006/main" name="Jodis Standar 6" cacheId="0" dataCaption="" rowGrandTotals="0" compact="0" compactData="0">
  <location ref="BF7:BM25" firstHeaderRow="0" firstDataRow="1" firstDataCol="3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axis="axisRow" compact="0" outline="0" multipleItemSelectionAllowed="1" showAll="0" sortType="ascending">
      <items>
        <item h="1" x="15"/>
        <item x="14"/>
        <item x="11"/>
        <item x="10"/>
        <item x="9"/>
        <item x="8"/>
        <item x="7"/>
        <item x="6"/>
        <item x="5"/>
        <item x="4"/>
        <item x="3"/>
        <item x="2"/>
        <item x="1"/>
        <item x="13"/>
        <item x="0"/>
        <item x="12"/>
        <item t="default"/>
      </items>
    </pivotField>
    <pivotField name="days" axis="axisCol" compact="0" outline="0" multipleItemSelectionAllowed="1" showAll="0" sortType="ascending">
      <items>
        <item x="6"/>
        <item x="2"/>
        <item x="1"/>
        <item x="0"/>
        <item x="3"/>
        <item x="5"/>
        <item x="4"/>
        <item t="default"/>
      </items>
    </pivotField>
    <pivotField name="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ays Number" axis="axisCol" compact="0" outline="0" multipleItemSelectionAllowed="1" showAll="0" sortType="ascending" defaultSubtotal="0">
      <items>
        <item x="6"/>
        <item x="5"/>
        <item x="4"/>
        <item x="3"/>
        <item x="2"/>
        <item x="1"/>
        <item x="0"/>
      </items>
    </pivotField>
    <pivotField name="Week" axis="axisCol" compact="0" outline="0" multipleItemSelectionAllowed="1" showAll="0" sortType="ascending" defaultSubtotal="0">
      <items>
        <item x="2"/>
        <item x="1"/>
        <item x="0"/>
      </items>
    </pivotField>
    <pivotField name="Receipt numbe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Receipt type" compact="0" outline="0" multipleItemSelectionAllowed="1" showAll="0">
      <items>
        <item x="0"/>
        <item x="1"/>
        <item x="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Variant" compact="0" outline="0" multipleItemSelectionAllowed="1" showAll="0">
      <items>
        <item x="0"/>
        <item t="default"/>
      </items>
    </pivotField>
    <pivotField name="Modifiers applied" compact="0" outline="0" multipleItemSelectionAllowed="1" showAll="0">
      <items>
        <item x="0"/>
        <item t="default"/>
      </items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ross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counts" compact="0" outline="0" multipleItemSelectionAllowed="1" showAll="0">
      <items>
        <item x="0"/>
        <item x="1"/>
        <item x="2"/>
        <item t="default"/>
      </items>
    </pivotField>
    <pivotField name="Net 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ost of goods" compact="0" outline="0" multipleItemSelectionAllowed="1" showAll="0">
      <items>
        <item x="0"/>
        <item x="1"/>
        <item x="2"/>
        <item x="3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a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ning option" compact="0" outline="0" multipleItemSelectionAllowed="1" showAll="0">
      <items>
        <item x="0"/>
        <item x="1"/>
        <item x="2"/>
        <item t="default"/>
      </items>
    </pivotField>
    <pivotField name="POS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Cashier nam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t="default"/>
      </items>
    </pivotField>
    <pivotField name="Customer contacts" compact="0" outline="0" multipleItemSelectionAllowed="1" showAll="0">
      <items>
        <item x="0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4"/>
    <field x="5"/>
    <field x="2"/>
  </colFields>
  <dataFields>
    <dataField name="SUM of Quantity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f t="array" ref="B2:B8">SEQUENCE(7,1)</f>
        <v>1</v>
      </c>
      <c r="C2" s="1" t="s">
        <v>4</v>
      </c>
    </row>
    <row r="3">
      <c r="A3" s="1" t="s">
        <v>5</v>
      </c>
      <c r="B3" s="2">
        <v>2.0</v>
      </c>
      <c r="C3" s="1" t="s">
        <v>4</v>
      </c>
    </row>
    <row r="4">
      <c r="A4" s="1" t="s">
        <v>6</v>
      </c>
      <c r="B4" s="2">
        <v>3.0</v>
      </c>
      <c r="C4" s="1" t="s">
        <v>4</v>
      </c>
    </row>
    <row r="5">
      <c r="A5" s="1" t="s">
        <v>7</v>
      </c>
      <c r="B5" s="2">
        <v>4.0</v>
      </c>
      <c r="C5" s="1" t="s">
        <v>4</v>
      </c>
    </row>
    <row r="6">
      <c r="A6" s="1" t="s">
        <v>8</v>
      </c>
      <c r="B6" s="2">
        <v>5.0</v>
      </c>
      <c r="C6" s="1" t="s">
        <v>4</v>
      </c>
    </row>
    <row r="7">
      <c r="A7" s="1" t="s">
        <v>9</v>
      </c>
      <c r="B7" s="2">
        <v>6.0</v>
      </c>
      <c r="C7" s="1" t="s">
        <v>10</v>
      </c>
    </row>
    <row r="8">
      <c r="A8" s="1" t="s">
        <v>11</v>
      </c>
      <c r="B8" s="2">
        <v>7.0</v>
      </c>
      <c r="C8" s="1" t="s">
        <v>10</v>
      </c>
    </row>
    <row r="10">
      <c r="A10" s="1" t="s">
        <v>12</v>
      </c>
      <c r="B10" s="1" t="s">
        <v>13</v>
      </c>
    </row>
    <row r="11">
      <c r="A11" s="1" t="s">
        <v>14</v>
      </c>
      <c r="B11" s="2">
        <f t="array" ref="B11:B22">SEQUENCE(12,1)</f>
        <v>1</v>
      </c>
    </row>
    <row r="12">
      <c r="A12" s="1" t="s">
        <v>15</v>
      </c>
      <c r="B12" s="2">
        <v>2.0</v>
      </c>
    </row>
    <row r="13">
      <c r="A13" s="1" t="s">
        <v>16</v>
      </c>
      <c r="B13" s="2">
        <v>3.0</v>
      </c>
    </row>
    <row r="14">
      <c r="A14" s="1" t="s">
        <v>17</v>
      </c>
      <c r="B14" s="2">
        <v>4.0</v>
      </c>
    </row>
    <row r="15">
      <c r="A15" s="1" t="s">
        <v>18</v>
      </c>
      <c r="B15" s="2">
        <v>5.0</v>
      </c>
    </row>
    <row r="16">
      <c r="A16" s="1" t="s">
        <v>19</v>
      </c>
      <c r="B16" s="2">
        <v>6.0</v>
      </c>
    </row>
    <row r="17">
      <c r="A17" s="1" t="s">
        <v>20</v>
      </c>
      <c r="B17" s="2">
        <v>7.0</v>
      </c>
    </row>
    <row r="18">
      <c r="A18" s="1" t="s">
        <v>21</v>
      </c>
      <c r="B18" s="2">
        <v>8.0</v>
      </c>
    </row>
    <row r="19">
      <c r="A19" s="1" t="s">
        <v>22</v>
      </c>
      <c r="B19" s="2">
        <v>9.0</v>
      </c>
    </row>
    <row r="20">
      <c r="A20" s="1" t="s">
        <v>23</v>
      </c>
      <c r="B20" s="2">
        <v>10.0</v>
      </c>
    </row>
    <row r="21">
      <c r="A21" s="1" t="s">
        <v>24</v>
      </c>
      <c r="B21" s="2">
        <v>11.0</v>
      </c>
    </row>
    <row r="22">
      <c r="A22" s="1" t="s">
        <v>25</v>
      </c>
      <c r="B22" s="2">
        <v>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26</v>
      </c>
      <c r="B1" s="2" t="str">
        <f>IFERROR(__xludf.DUMMYFUNCTION("SPLIT(A1,"","")"),"Date")</f>
        <v>Date</v>
      </c>
      <c r="C1" s="2" t="str">
        <f>IFERROR(__xludf.DUMMYFUNCTION("""COMPUTED_VALUE"""),"Receipt number")</f>
        <v>Receipt number</v>
      </c>
      <c r="D1" s="2" t="str">
        <f>IFERROR(__xludf.DUMMYFUNCTION("""COMPUTED_VALUE"""),"Receipt type")</f>
        <v>Receipt type</v>
      </c>
      <c r="E1" s="2" t="str">
        <f>IFERROR(__xludf.DUMMYFUNCTION("""COMPUTED_VALUE"""),"Category")</f>
        <v>Category</v>
      </c>
      <c r="F1" s="2" t="str">
        <f>IFERROR(__xludf.DUMMYFUNCTION("""COMPUTED_VALUE"""),"SKU")</f>
        <v>SKU</v>
      </c>
      <c r="G1" s="2" t="str">
        <f>IFERROR(__xludf.DUMMYFUNCTION("""COMPUTED_VALUE"""),"Item")</f>
        <v>Item</v>
      </c>
      <c r="H1" s="2" t="str">
        <f>IFERROR(__xludf.DUMMYFUNCTION("""COMPUTED_VALUE"""),"Variant")</f>
        <v>Variant</v>
      </c>
      <c r="I1" s="2" t="str">
        <f>IFERROR(__xludf.DUMMYFUNCTION("""COMPUTED_VALUE"""),"Modifiers applied")</f>
        <v>Modifiers applied</v>
      </c>
      <c r="J1" s="2" t="str">
        <f>IFERROR(__xludf.DUMMYFUNCTION("""COMPUTED_VALUE"""),"Quantity")</f>
        <v>Quantity</v>
      </c>
      <c r="K1" s="2" t="str">
        <f>IFERROR(__xludf.DUMMYFUNCTION("""COMPUTED_VALUE"""),"Gross sales")</f>
        <v>Gross sales</v>
      </c>
      <c r="L1" s="2" t="str">
        <f>IFERROR(__xludf.DUMMYFUNCTION("""COMPUTED_VALUE"""),"Discounts")</f>
        <v>Discounts</v>
      </c>
      <c r="M1" s="2" t="str">
        <f>IFERROR(__xludf.DUMMYFUNCTION("""COMPUTED_VALUE"""),"Net sales")</f>
        <v>Net sales</v>
      </c>
      <c r="N1" s="2" t="str">
        <f>IFERROR(__xludf.DUMMYFUNCTION("""COMPUTED_VALUE"""),"Cost of goods")</f>
        <v>Cost of goods</v>
      </c>
      <c r="O1" s="2" t="str">
        <f>IFERROR(__xludf.DUMMYFUNCTION("""COMPUTED_VALUE"""),"Gross profit")</f>
        <v>Gross profit</v>
      </c>
      <c r="P1" s="2" t="str">
        <f>IFERROR(__xludf.DUMMYFUNCTION("""COMPUTED_VALUE"""),"Taxes")</f>
        <v>Taxes</v>
      </c>
      <c r="Q1" s="2" t="str">
        <f>IFERROR(__xludf.DUMMYFUNCTION("""COMPUTED_VALUE"""),"Dining option")</f>
        <v>Dining option</v>
      </c>
      <c r="R1" s="2" t="str">
        <f>IFERROR(__xludf.DUMMYFUNCTION("""COMPUTED_VALUE"""),"POS")</f>
        <v>POS</v>
      </c>
      <c r="S1" s="2" t="str">
        <f>IFERROR(__xludf.DUMMYFUNCTION("""COMPUTED_VALUE"""),"Store")</f>
        <v>Store</v>
      </c>
      <c r="T1" s="2" t="str">
        <f>IFERROR(__xludf.DUMMYFUNCTION("""COMPUTED_VALUE"""),"Cashier name")</f>
        <v>Cashier name</v>
      </c>
      <c r="U1" s="2" t="str">
        <f>IFERROR(__xludf.DUMMYFUNCTION("""COMPUTED_VALUE"""),"Customer name")</f>
        <v>Customer name</v>
      </c>
      <c r="V1" s="2" t="str">
        <f>IFERROR(__xludf.DUMMYFUNCTION("""COMPUTED_VALUE"""),"Customer contacts")</f>
        <v>Customer contacts</v>
      </c>
      <c r="W1" s="2" t="str">
        <f>IFERROR(__xludf.DUMMYFUNCTION("""COMPUTED_VALUE"""),"Comment")</f>
        <v>Comment</v>
      </c>
      <c r="X1" s="2" t="str">
        <f>IFERROR(__xludf.DUMMYFUNCTION("""COMPUTED_VALUE"""),"Status")</f>
        <v>Status</v>
      </c>
    </row>
    <row r="2">
      <c r="A2" s="3" t="s">
        <v>27</v>
      </c>
      <c r="B2" s="4">
        <f>IFERROR(__xludf.DUMMYFUNCTION("SPLIT(A2,"","",0,0)"),45564.850694444445)</f>
        <v>45564.85069</v>
      </c>
      <c r="C2" s="5">
        <f>IFERROR(__xludf.DUMMYFUNCTION("""COMPUTED_VALUE"""),2801443.0)</f>
        <v>2801443</v>
      </c>
      <c r="D2" s="2" t="str">
        <f>IFERROR(__xludf.DUMMYFUNCTION("""COMPUTED_VALUE"""),"Refund")</f>
        <v>Refund</v>
      </c>
      <c r="E2" s="2" t="str">
        <f>IFERROR(__xludf.DUMMYFUNCTION("""COMPUTED_VALUE"""),"Roti")</f>
        <v>Roti</v>
      </c>
      <c r="F2" s="2">
        <f>IFERROR(__xludf.DUMMYFUNCTION("""COMPUTED_VALUE"""),10000.0)</f>
        <v>10000</v>
      </c>
      <c r="G2" s="2" t="str">
        <f>IFERROR(__xludf.DUMMYFUNCTION("""COMPUTED_VALUE"""),"Roti Bawang Saus Keju")</f>
        <v>Roti Bawang Saus Keju</v>
      </c>
      <c r="H2" s="2"/>
      <c r="I2" s="2"/>
      <c r="J2" s="2">
        <f>IFERROR(__xludf.DUMMYFUNCTION("""COMPUTED_VALUE"""),-1.0)</f>
        <v>-1</v>
      </c>
      <c r="K2" s="6">
        <f>IFERROR(__xludf.DUMMYFUNCTION("""COMPUTED_VALUE"""),-29524.0)</f>
        <v>-29524</v>
      </c>
      <c r="L2" s="2">
        <f>IFERROR(__xludf.DUMMYFUNCTION("""COMPUTED_VALUE"""),0.0)</f>
        <v>0</v>
      </c>
      <c r="M2" s="2">
        <f>IFERROR(__xludf.DUMMYFUNCTION("""COMPUTED_VALUE"""),-29524.0)</f>
        <v>-29524</v>
      </c>
      <c r="N2" s="2">
        <f>IFERROR(__xludf.DUMMYFUNCTION("""COMPUTED_VALUE"""),0.0)</f>
        <v>0</v>
      </c>
      <c r="O2" s="2">
        <f>IFERROR(__xludf.DUMMYFUNCTION("""COMPUTED_VALUE"""),-29524.0)</f>
        <v>-29524</v>
      </c>
      <c r="P2" s="2">
        <f>IFERROR(__xludf.DUMMYFUNCTION("""COMPUTED_VALUE"""),-1476.0)</f>
        <v>-1476</v>
      </c>
      <c r="Q2" s="2" t="str">
        <f>IFERROR(__xludf.DUMMYFUNCTION("""COMPUTED_VALUE"""),"Take Away")</f>
        <v>Take Away</v>
      </c>
      <c r="R2" s="2" t="str">
        <f>IFERROR(__xludf.DUMMYFUNCTION("""COMPUTED_VALUE"""),"Kedai")</f>
        <v>Kedai</v>
      </c>
      <c r="S2" s="2" t="str">
        <f>IFERROR(__xludf.DUMMYFUNCTION("""COMPUTED_VALUE"""),"Temu Roti")</f>
        <v>Temu Roti</v>
      </c>
      <c r="T2" s="2" t="str">
        <f>IFERROR(__xludf.DUMMYFUNCTION("""COMPUTED_VALUE"""),"Owner")</f>
        <v>Owner</v>
      </c>
      <c r="U2" s="2"/>
      <c r="V2" s="2"/>
      <c r="W2" s="2"/>
      <c r="X2" s="2" t="str">
        <f>IFERROR(__xludf.DUMMYFUNCTION("""COMPUTED_VALUE"""),"Closed")</f>
        <v>Closed</v>
      </c>
    </row>
    <row r="3">
      <c r="A3" s="3" t="s">
        <v>28</v>
      </c>
      <c r="B3" s="4">
        <f>IFERROR(__xludf.DUMMYFUNCTION("SPLIT(A3,"","",0,0)"),45564.85)</f>
        <v>45564.85</v>
      </c>
      <c r="C3" s="5">
        <f>IFERROR(__xludf.DUMMYFUNCTION("""COMPUTED_VALUE"""),2801078.0)</f>
        <v>2801078</v>
      </c>
      <c r="D3" s="2" t="str">
        <f>IFERROR(__xludf.DUMMYFUNCTION("""COMPUTED_VALUE"""),"Refund")</f>
        <v>Refund</v>
      </c>
      <c r="E3" s="2" t="str">
        <f>IFERROR(__xludf.DUMMYFUNCTION("""COMPUTED_VALUE"""),"Minuman")</f>
        <v>Minuman</v>
      </c>
      <c r="F3" s="2">
        <f>IFERROR(__xludf.DUMMYFUNCTION("""COMPUTED_VALUE"""),10112.0)</f>
        <v>10112</v>
      </c>
      <c r="G3" s="2" t="str">
        <f>IFERROR(__xludf.DUMMYFUNCTION("""COMPUTED_VALUE"""),"Air mineral")</f>
        <v>Air mineral</v>
      </c>
      <c r="H3" s="2"/>
      <c r="I3" s="2"/>
      <c r="J3" s="2">
        <f>IFERROR(__xludf.DUMMYFUNCTION("""COMPUTED_VALUE"""),-2.0)</f>
        <v>-2</v>
      </c>
      <c r="K3" s="6">
        <f>IFERROR(__xludf.DUMMYFUNCTION("""COMPUTED_VALUE"""),-13334.0)</f>
        <v>-13334</v>
      </c>
      <c r="L3" s="2">
        <f>IFERROR(__xludf.DUMMYFUNCTION("""COMPUTED_VALUE"""),0.0)</f>
        <v>0</v>
      </c>
      <c r="M3" s="2">
        <f>IFERROR(__xludf.DUMMYFUNCTION("""COMPUTED_VALUE"""),-13334.0)</f>
        <v>-13334</v>
      </c>
      <c r="N3" s="2">
        <f>IFERROR(__xludf.DUMMYFUNCTION("""COMPUTED_VALUE"""),0.0)</f>
        <v>0</v>
      </c>
      <c r="O3" s="2">
        <f>IFERROR(__xludf.DUMMYFUNCTION("""COMPUTED_VALUE"""),-13334.0)</f>
        <v>-13334</v>
      </c>
      <c r="P3" s="2">
        <f>IFERROR(__xludf.DUMMYFUNCTION("""COMPUTED_VALUE"""),-667.0)</f>
        <v>-667</v>
      </c>
      <c r="Q3" s="2" t="str">
        <f>IFERROR(__xludf.DUMMYFUNCTION("""COMPUTED_VALUE"""),"Dine In")</f>
        <v>Dine In</v>
      </c>
      <c r="R3" s="2" t="str">
        <f>IFERROR(__xludf.DUMMYFUNCTION("""COMPUTED_VALUE"""),"Kedai")</f>
        <v>Kedai</v>
      </c>
      <c r="S3" s="2" t="str">
        <f>IFERROR(__xludf.DUMMYFUNCTION("""COMPUTED_VALUE"""),"Temu Roti")</f>
        <v>Temu Roti</v>
      </c>
      <c r="T3" s="2" t="str">
        <f>IFERROR(__xludf.DUMMYFUNCTION("""COMPUTED_VALUE"""),"Owner")</f>
        <v>Owner</v>
      </c>
      <c r="U3" s="2"/>
      <c r="V3" s="2"/>
      <c r="W3" s="2"/>
      <c r="X3" s="2" t="str">
        <f>IFERROR(__xludf.DUMMYFUNCTION("""COMPUTED_VALUE"""),"Closed")</f>
        <v>Closed</v>
      </c>
    </row>
    <row r="4">
      <c r="A4" s="3" t="s">
        <v>29</v>
      </c>
      <c r="B4" s="4">
        <f>IFERROR(__xludf.DUMMYFUNCTION("SPLIT(A4,"","",0,0)"),45564.84444444445)</f>
        <v>45564.84444</v>
      </c>
      <c r="C4" s="5">
        <f>IFERROR(__xludf.DUMMYFUNCTION("""COMPUTED_VALUE"""),2800712.0)</f>
        <v>2800712</v>
      </c>
      <c r="D4" s="2" t="str">
        <f>IFERROR(__xludf.DUMMYFUNCTION("""COMPUTED_VALUE"""),"Sale")</f>
        <v>Sale</v>
      </c>
      <c r="E4" s="2" t="str">
        <f>IFERROR(__xludf.DUMMYFUNCTION("""COMPUTED_VALUE"""),"Roti")</f>
        <v>Roti</v>
      </c>
      <c r="F4" s="2">
        <f>IFERROR(__xludf.DUMMYFUNCTION("""COMPUTED_VALUE"""),10002.0)</f>
        <v>10002</v>
      </c>
      <c r="G4" s="2" t="str">
        <f>IFERROR(__xludf.DUMMYFUNCTION("""COMPUTED_VALUE"""),"Roti Cranberry")</f>
        <v>Roti Cranberry</v>
      </c>
      <c r="H4" s="2"/>
      <c r="I4" s="2"/>
      <c r="J4" s="2">
        <f>IFERROR(__xludf.DUMMYFUNCTION("""COMPUTED_VALUE"""),1.0)</f>
        <v>1</v>
      </c>
      <c r="K4" s="6">
        <f>IFERROR(__xludf.DUMMYFUNCTION("""COMPUTED_VALUE"""),18571.0)</f>
        <v>18571</v>
      </c>
      <c r="L4" s="2">
        <f>IFERROR(__xludf.DUMMYFUNCTION("""COMPUTED_VALUE"""),0.0)</f>
        <v>0</v>
      </c>
      <c r="M4" s="2">
        <f>IFERROR(__xludf.DUMMYFUNCTION("""COMPUTED_VALUE"""),18571.0)</f>
        <v>18571</v>
      </c>
      <c r="N4" s="2">
        <f>IFERROR(__xludf.DUMMYFUNCTION("""COMPUTED_VALUE"""),0.0)</f>
        <v>0</v>
      </c>
      <c r="O4" s="2">
        <f>IFERROR(__xludf.DUMMYFUNCTION("""COMPUTED_VALUE"""),18571.0)</f>
        <v>18571</v>
      </c>
      <c r="P4" s="2">
        <f>IFERROR(__xludf.DUMMYFUNCTION("""COMPUTED_VALUE"""),929.0)</f>
        <v>929</v>
      </c>
      <c r="Q4" s="2" t="str">
        <f>IFERROR(__xludf.DUMMYFUNCTION("""COMPUTED_VALUE"""),"Dine In")</f>
        <v>Dine In</v>
      </c>
      <c r="R4" s="2" t="str">
        <f>IFERROR(__xludf.DUMMYFUNCTION("""COMPUTED_VALUE"""),"Kedai")</f>
        <v>Kedai</v>
      </c>
      <c r="S4" s="2" t="str">
        <f>IFERROR(__xludf.DUMMYFUNCTION("""COMPUTED_VALUE"""),"Temu Roti")</f>
        <v>Temu Roti</v>
      </c>
      <c r="T4" s="2" t="str">
        <f>IFERROR(__xludf.DUMMYFUNCTION("""COMPUTED_VALUE"""),"Owner")</f>
        <v>Owner</v>
      </c>
      <c r="U4" s="2"/>
      <c r="V4" s="2"/>
      <c r="W4" s="2"/>
      <c r="X4" s="2" t="str">
        <f>IFERROR(__xludf.DUMMYFUNCTION("""COMPUTED_VALUE"""),"Closed")</f>
        <v>Closed</v>
      </c>
    </row>
    <row r="5">
      <c r="A5" s="3" t="s">
        <v>30</v>
      </c>
      <c r="B5" s="4">
        <f>IFERROR(__xludf.DUMMYFUNCTION("SPLIT(A5,"","",0,0)"),45564.77777777778)</f>
        <v>45564.77778</v>
      </c>
      <c r="C5" s="5">
        <f>IFERROR(__xludf.DUMMYFUNCTION("""COMPUTED_VALUE"""),2800347.0)</f>
        <v>2800347</v>
      </c>
      <c r="D5" s="2" t="str">
        <f>IFERROR(__xludf.DUMMYFUNCTION("""COMPUTED_VALUE"""),"Sale")</f>
        <v>Sale</v>
      </c>
      <c r="E5" s="2" t="str">
        <f>IFERROR(__xludf.DUMMYFUNCTION("""COMPUTED_VALUE"""),"Minuman")</f>
        <v>Minuman</v>
      </c>
      <c r="F5" s="2">
        <f>IFERROR(__xludf.DUMMYFUNCTION("""COMPUTED_VALUE"""),10122.0)</f>
        <v>10122</v>
      </c>
      <c r="G5" s="2" t="str">
        <f>IFERROR(__xludf.DUMMYFUNCTION("""COMPUTED_VALUE"""),"Rempah Madu Panas")</f>
        <v>Rempah Madu Panas</v>
      </c>
      <c r="H5" s="2"/>
      <c r="I5" s="2"/>
      <c r="J5" s="2">
        <f>IFERROR(__xludf.DUMMYFUNCTION("""COMPUTED_VALUE"""),2.0)</f>
        <v>2</v>
      </c>
      <c r="K5" s="6">
        <f>IFERROR(__xludf.DUMMYFUNCTION("""COMPUTED_VALUE"""),43810.0)</f>
        <v>43810</v>
      </c>
      <c r="L5" s="2">
        <f>IFERROR(__xludf.DUMMYFUNCTION("""COMPUTED_VALUE"""),0.0)</f>
        <v>0</v>
      </c>
      <c r="M5" s="2">
        <f>IFERROR(__xludf.DUMMYFUNCTION("""COMPUTED_VALUE"""),43810.0)</f>
        <v>43810</v>
      </c>
      <c r="N5" s="2">
        <f>IFERROR(__xludf.DUMMYFUNCTION("""COMPUTED_VALUE"""),0.0)</f>
        <v>0</v>
      </c>
      <c r="O5" s="2">
        <f>IFERROR(__xludf.DUMMYFUNCTION("""COMPUTED_VALUE"""),43810.0)</f>
        <v>43810</v>
      </c>
      <c r="P5" s="2">
        <f>IFERROR(__xludf.DUMMYFUNCTION("""COMPUTED_VALUE"""),2191.0)</f>
        <v>2191</v>
      </c>
      <c r="Q5" s="2" t="str">
        <f>IFERROR(__xludf.DUMMYFUNCTION("""COMPUTED_VALUE"""),"Dine In")</f>
        <v>Dine In</v>
      </c>
      <c r="R5" s="2" t="str">
        <f>IFERROR(__xludf.DUMMYFUNCTION("""COMPUTED_VALUE"""),"Kedai")</f>
        <v>Kedai</v>
      </c>
      <c r="S5" s="2" t="str">
        <f>IFERROR(__xludf.DUMMYFUNCTION("""COMPUTED_VALUE"""),"Temu Roti")</f>
        <v>Temu Roti</v>
      </c>
      <c r="T5" s="2" t="str">
        <f>IFERROR(__xludf.DUMMYFUNCTION("""COMPUTED_VALUE"""),"Owner")</f>
        <v>Owner</v>
      </c>
      <c r="U5" s="2"/>
      <c r="V5" s="2"/>
      <c r="W5" s="2"/>
      <c r="X5" s="2" t="str">
        <f>IFERROR(__xludf.DUMMYFUNCTION("""COMPUTED_VALUE"""),"Closed")</f>
        <v>Closed</v>
      </c>
    </row>
    <row r="6">
      <c r="A6" s="3" t="s">
        <v>31</v>
      </c>
      <c r="B6" s="4">
        <f>IFERROR(__xludf.DUMMYFUNCTION("SPLIT(A6,"","",0,0)"),45564.77777777778)</f>
        <v>45564.77778</v>
      </c>
      <c r="C6" s="5">
        <f>IFERROR(__xludf.DUMMYFUNCTION("""COMPUTED_VALUE"""),2800347.0)</f>
        <v>2800347</v>
      </c>
      <c r="D6" s="2" t="str">
        <f>IFERROR(__xludf.DUMMYFUNCTION("""COMPUTED_VALUE"""),"Sale")</f>
        <v>Sale</v>
      </c>
      <c r="E6" s="2" t="str">
        <f>IFERROR(__xludf.DUMMYFUNCTION("""COMPUTED_VALUE"""),"Kudapan")</f>
        <v>Kudapan</v>
      </c>
      <c r="F6" s="2">
        <f>IFERROR(__xludf.DUMMYFUNCTION("""COMPUTED_VALUE"""),10051.0)</f>
        <v>10051</v>
      </c>
      <c r="G6" s="2" t="str">
        <f>IFERROR(__xludf.DUMMYFUNCTION("""COMPUTED_VALUE"""),"Tahu baso")</f>
        <v>Tahu baso</v>
      </c>
      <c r="H6" s="2"/>
      <c r="I6" s="2"/>
      <c r="J6" s="2">
        <f>IFERROR(__xludf.DUMMYFUNCTION("""COMPUTED_VALUE"""),1.0)</f>
        <v>1</v>
      </c>
      <c r="K6" s="6">
        <f>IFERROR(__xludf.DUMMYFUNCTION("""COMPUTED_VALUE"""),25238.0)</f>
        <v>25238</v>
      </c>
      <c r="L6" s="2">
        <f>IFERROR(__xludf.DUMMYFUNCTION("""COMPUTED_VALUE"""),0.0)</f>
        <v>0</v>
      </c>
      <c r="M6" s="2">
        <f>IFERROR(__xludf.DUMMYFUNCTION("""COMPUTED_VALUE"""),25238.0)</f>
        <v>25238</v>
      </c>
      <c r="N6" s="2">
        <f>IFERROR(__xludf.DUMMYFUNCTION("""COMPUTED_VALUE"""),0.0)</f>
        <v>0</v>
      </c>
      <c r="O6" s="2">
        <f>IFERROR(__xludf.DUMMYFUNCTION("""COMPUTED_VALUE"""),25238.0)</f>
        <v>25238</v>
      </c>
      <c r="P6" s="2">
        <f>IFERROR(__xludf.DUMMYFUNCTION("""COMPUTED_VALUE"""),1261.0)</f>
        <v>1261</v>
      </c>
      <c r="Q6" s="2" t="str">
        <f>IFERROR(__xludf.DUMMYFUNCTION("""COMPUTED_VALUE"""),"Dine In")</f>
        <v>Dine In</v>
      </c>
      <c r="R6" s="2" t="str">
        <f>IFERROR(__xludf.DUMMYFUNCTION("""COMPUTED_VALUE"""),"Kedai")</f>
        <v>Kedai</v>
      </c>
      <c r="S6" s="2" t="str">
        <f>IFERROR(__xludf.DUMMYFUNCTION("""COMPUTED_VALUE"""),"Temu Roti")</f>
        <v>Temu Roti</v>
      </c>
      <c r="T6" s="2" t="str">
        <f>IFERROR(__xludf.DUMMYFUNCTION("""COMPUTED_VALUE"""),"Owner")</f>
        <v>Owner</v>
      </c>
      <c r="U6" s="2"/>
      <c r="V6" s="2"/>
      <c r="W6" s="2"/>
      <c r="X6" s="2" t="str">
        <f>IFERROR(__xludf.DUMMYFUNCTION("""COMPUTED_VALUE"""),"Closed")</f>
        <v>Closed</v>
      </c>
    </row>
    <row r="7">
      <c r="A7" s="3" t="s">
        <v>32</v>
      </c>
      <c r="B7" s="4">
        <f>IFERROR(__xludf.DUMMYFUNCTION("SPLIT(A7,"","",0,0)"),45564.77777777778)</f>
        <v>45564.77778</v>
      </c>
      <c r="C7" s="5">
        <f>IFERROR(__xludf.DUMMYFUNCTION("""COMPUTED_VALUE"""),2799982.0)</f>
        <v>2799982</v>
      </c>
      <c r="D7" s="2" t="str">
        <f>IFERROR(__xludf.DUMMYFUNCTION("""COMPUTED_VALUE"""),"Refund")</f>
        <v>Refund</v>
      </c>
      <c r="E7" s="2" t="str">
        <f>IFERROR(__xludf.DUMMYFUNCTION("""COMPUTED_VALUE"""),"Minuman")</f>
        <v>Minuman</v>
      </c>
      <c r="F7" s="2">
        <f>IFERROR(__xludf.DUMMYFUNCTION("""COMPUTED_VALUE"""),10122.0)</f>
        <v>10122</v>
      </c>
      <c r="G7" s="2" t="str">
        <f>IFERROR(__xludf.DUMMYFUNCTION("""COMPUTED_VALUE"""),"Rempah Madu Panas")</f>
        <v>Rempah Madu Panas</v>
      </c>
      <c r="H7" s="2"/>
      <c r="I7" s="2"/>
      <c r="J7" s="2">
        <f>IFERROR(__xludf.DUMMYFUNCTION("""COMPUTED_VALUE"""),-1.0)</f>
        <v>-1</v>
      </c>
      <c r="K7" s="6">
        <f>IFERROR(__xludf.DUMMYFUNCTION("""COMPUTED_VALUE"""),-21905.0)</f>
        <v>-21905</v>
      </c>
      <c r="L7" s="2">
        <f>IFERROR(__xludf.DUMMYFUNCTION("""COMPUTED_VALUE"""),0.0)</f>
        <v>0</v>
      </c>
      <c r="M7" s="2">
        <f>IFERROR(__xludf.DUMMYFUNCTION("""COMPUTED_VALUE"""),-21905.0)</f>
        <v>-21905</v>
      </c>
      <c r="N7" s="2">
        <f>IFERROR(__xludf.DUMMYFUNCTION("""COMPUTED_VALUE"""),0.0)</f>
        <v>0</v>
      </c>
      <c r="O7" s="2">
        <f>IFERROR(__xludf.DUMMYFUNCTION("""COMPUTED_VALUE"""),-21905.0)</f>
        <v>-21905</v>
      </c>
      <c r="P7" s="2">
        <f>IFERROR(__xludf.DUMMYFUNCTION("""COMPUTED_VALUE"""),-1095.0)</f>
        <v>-1095</v>
      </c>
      <c r="Q7" s="2" t="str">
        <f>IFERROR(__xludf.DUMMYFUNCTION("""COMPUTED_VALUE"""),"Dine In")</f>
        <v>Dine In</v>
      </c>
      <c r="R7" s="2" t="str">
        <f>IFERROR(__xludf.DUMMYFUNCTION("""COMPUTED_VALUE"""),"Kedai")</f>
        <v>Kedai</v>
      </c>
      <c r="S7" s="2" t="str">
        <f>IFERROR(__xludf.DUMMYFUNCTION("""COMPUTED_VALUE"""),"Temu Roti")</f>
        <v>Temu Roti</v>
      </c>
      <c r="T7" s="2" t="str">
        <f>IFERROR(__xludf.DUMMYFUNCTION("""COMPUTED_VALUE"""),"Owner")</f>
        <v>Owner</v>
      </c>
      <c r="U7" s="2"/>
      <c r="V7" s="2"/>
      <c r="W7" s="2"/>
      <c r="X7" s="2" t="str">
        <f>IFERROR(__xludf.DUMMYFUNCTION("""COMPUTED_VALUE"""),"Closed")</f>
        <v>Closed</v>
      </c>
    </row>
    <row r="8">
      <c r="A8" s="3" t="s">
        <v>33</v>
      </c>
      <c r="B8" s="4">
        <f>IFERROR(__xludf.DUMMYFUNCTION("SPLIT(A8,"","",0,0)"),45564.77777777778)</f>
        <v>45564.77778</v>
      </c>
      <c r="C8" s="5">
        <f>IFERROR(__xludf.DUMMYFUNCTION("""COMPUTED_VALUE"""),2799982.0)</f>
        <v>2799982</v>
      </c>
      <c r="D8" s="2" t="str">
        <f>IFERROR(__xludf.DUMMYFUNCTION("""COMPUTED_VALUE"""),"Refund")</f>
        <v>Refund</v>
      </c>
      <c r="E8" s="2" t="str">
        <f>IFERROR(__xludf.DUMMYFUNCTION("""COMPUTED_VALUE"""),"Kudapan")</f>
        <v>Kudapan</v>
      </c>
      <c r="F8" s="2">
        <f>IFERROR(__xludf.DUMMYFUNCTION("""COMPUTED_VALUE"""),10051.0)</f>
        <v>10051</v>
      </c>
      <c r="G8" s="2" t="str">
        <f>IFERROR(__xludf.DUMMYFUNCTION("""COMPUTED_VALUE"""),"Tahu baso")</f>
        <v>Tahu baso</v>
      </c>
      <c r="H8" s="2"/>
      <c r="I8" s="2"/>
      <c r="J8" s="2">
        <f>IFERROR(__xludf.DUMMYFUNCTION("""COMPUTED_VALUE"""),-2.0)</f>
        <v>-2</v>
      </c>
      <c r="K8" s="6">
        <f>IFERROR(__xludf.DUMMYFUNCTION("""COMPUTED_VALUE"""),-50476.0)</f>
        <v>-50476</v>
      </c>
      <c r="L8" s="2">
        <f>IFERROR(__xludf.DUMMYFUNCTION("""COMPUTED_VALUE"""),0.0)</f>
        <v>0</v>
      </c>
      <c r="M8" s="2">
        <f>IFERROR(__xludf.DUMMYFUNCTION("""COMPUTED_VALUE"""),-50476.0)</f>
        <v>-50476</v>
      </c>
      <c r="N8" s="2">
        <f>IFERROR(__xludf.DUMMYFUNCTION("""COMPUTED_VALUE"""),0.0)</f>
        <v>0</v>
      </c>
      <c r="O8" s="2">
        <f>IFERROR(__xludf.DUMMYFUNCTION("""COMPUTED_VALUE"""),-50476.0)</f>
        <v>-50476</v>
      </c>
      <c r="P8" s="2">
        <f>IFERROR(__xludf.DUMMYFUNCTION("""COMPUTED_VALUE"""),-2524.0)</f>
        <v>-2524</v>
      </c>
      <c r="Q8" s="2" t="str">
        <f>IFERROR(__xludf.DUMMYFUNCTION("""COMPUTED_VALUE"""),"Dine In")</f>
        <v>Dine In</v>
      </c>
      <c r="R8" s="2" t="str">
        <f>IFERROR(__xludf.DUMMYFUNCTION("""COMPUTED_VALUE"""),"Kedai")</f>
        <v>Kedai</v>
      </c>
      <c r="S8" s="2" t="str">
        <f>IFERROR(__xludf.DUMMYFUNCTION("""COMPUTED_VALUE"""),"Temu Roti")</f>
        <v>Temu Roti</v>
      </c>
      <c r="T8" s="2" t="str">
        <f>IFERROR(__xludf.DUMMYFUNCTION("""COMPUTED_VALUE"""),"Owner")</f>
        <v>Owner</v>
      </c>
      <c r="U8" s="2"/>
      <c r="V8" s="2"/>
      <c r="W8" s="2"/>
      <c r="X8" s="2" t="str">
        <f>IFERROR(__xludf.DUMMYFUNCTION("""COMPUTED_VALUE"""),"Closed")</f>
        <v>Closed</v>
      </c>
    </row>
    <row r="9">
      <c r="A9" s="3" t="s">
        <v>32</v>
      </c>
      <c r="B9" s="4">
        <f>IFERROR(__xludf.DUMMYFUNCTION("SPLIT(A9,"","",0,0)"),45564.77777777778)</f>
        <v>45564.77778</v>
      </c>
      <c r="C9" s="5">
        <f>IFERROR(__xludf.DUMMYFUNCTION("""COMPUTED_VALUE"""),2799982.0)</f>
        <v>2799982</v>
      </c>
      <c r="D9" s="2" t="str">
        <f>IFERROR(__xludf.DUMMYFUNCTION("""COMPUTED_VALUE"""),"Refund")</f>
        <v>Refund</v>
      </c>
      <c r="E9" s="2" t="str">
        <f>IFERROR(__xludf.DUMMYFUNCTION("""COMPUTED_VALUE"""),"Minuman")</f>
        <v>Minuman</v>
      </c>
      <c r="F9" s="2">
        <f>IFERROR(__xludf.DUMMYFUNCTION("""COMPUTED_VALUE"""),10122.0)</f>
        <v>10122</v>
      </c>
      <c r="G9" s="2" t="str">
        <f>IFERROR(__xludf.DUMMYFUNCTION("""COMPUTED_VALUE"""),"Rempah Madu Panas")</f>
        <v>Rempah Madu Panas</v>
      </c>
      <c r="H9" s="2"/>
      <c r="I9" s="2"/>
      <c r="J9" s="2">
        <f>IFERROR(__xludf.DUMMYFUNCTION("""COMPUTED_VALUE"""),-1.0)</f>
        <v>-1</v>
      </c>
      <c r="K9" s="6">
        <f>IFERROR(__xludf.DUMMYFUNCTION("""COMPUTED_VALUE"""),-21905.0)</f>
        <v>-21905</v>
      </c>
      <c r="L9" s="2">
        <f>IFERROR(__xludf.DUMMYFUNCTION("""COMPUTED_VALUE"""),0.0)</f>
        <v>0</v>
      </c>
      <c r="M9" s="2">
        <f>IFERROR(__xludf.DUMMYFUNCTION("""COMPUTED_VALUE"""),-21905.0)</f>
        <v>-21905</v>
      </c>
      <c r="N9" s="2">
        <f>IFERROR(__xludf.DUMMYFUNCTION("""COMPUTED_VALUE"""),0.0)</f>
        <v>0</v>
      </c>
      <c r="O9" s="2">
        <f>IFERROR(__xludf.DUMMYFUNCTION("""COMPUTED_VALUE"""),-21905.0)</f>
        <v>-21905</v>
      </c>
      <c r="P9" s="2">
        <f>IFERROR(__xludf.DUMMYFUNCTION("""COMPUTED_VALUE"""),-1095.0)</f>
        <v>-1095</v>
      </c>
      <c r="Q9" s="2" t="str">
        <f>IFERROR(__xludf.DUMMYFUNCTION("""COMPUTED_VALUE"""),"Dine In")</f>
        <v>Dine In</v>
      </c>
      <c r="R9" s="2" t="str">
        <f>IFERROR(__xludf.DUMMYFUNCTION("""COMPUTED_VALUE"""),"Kedai")</f>
        <v>Kedai</v>
      </c>
      <c r="S9" s="2" t="str">
        <f>IFERROR(__xludf.DUMMYFUNCTION("""COMPUTED_VALUE"""),"Temu Roti")</f>
        <v>Temu Roti</v>
      </c>
      <c r="T9" s="2" t="str">
        <f>IFERROR(__xludf.DUMMYFUNCTION("""COMPUTED_VALUE"""),"Owner")</f>
        <v>Owner</v>
      </c>
      <c r="U9" s="2"/>
      <c r="V9" s="2"/>
      <c r="W9" s="2"/>
      <c r="X9" s="2" t="str">
        <f>IFERROR(__xludf.DUMMYFUNCTION("""COMPUTED_VALUE"""),"Closed")</f>
        <v>Closed</v>
      </c>
    </row>
    <row r="10">
      <c r="A10" s="3" t="s">
        <v>34</v>
      </c>
      <c r="B10" s="4">
        <f>IFERROR(__xludf.DUMMYFUNCTION("SPLIT(A10,"","",0,0)"),45564.775)</f>
        <v>45564.775</v>
      </c>
      <c r="C10" s="5">
        <f>IFERROR(__xludf.DUMMYFUNCTION("""COMPUTED_VALUE"""),2799617.0)</f>
        <v>2799617</v>
      </c>
      <c r="D10" s="2" t="str">
        <f>IFERROR(__xludf.DUMMYFUNCTION("""COMPUTED_VALUE"""),"Sale")</f>
        <v>Sale</v>
      </c>
      <c r="E10" s="2" t="str">
        <f>IFERROR(__xludf.DUMMYFUNCTION("""COMPUTED_VALUE"""),"Minuman")</f>
        <v>Minuman</v>
      </c>
      <c r="F10" s="2">
        <f>IFERROR(__xludf.DUMMYFUNCTION("""COMPUTED_VALUE"""),10122.0)</f>
        <v>10122</v>
      </c>
      <c r="G10" s="2" t="str">
        <f>IFERROR(__xludf.DUMMYFUNCTION("""COMPUTED_VALUE"""),"Rempah Madu Panas")</f>
        <v>Rempah Madu Panas</v>
      </c>
      <c r="H10" s="2"/>
      <c r="I10" s="2"/>
      <c r="J10" s="2">
        <f>IFERROR(__xludf.DUMMYFUNCTION("""COMPUTED_VALUE"""),1.0)</f>
        <v>1</v>
      </c>
      <c r="K10" s="6">
        <f>IFERROR(__xludf.DUMMYFUNCTION("""COMPUTED_VALUE"""),21905.0)</f>
        <v>21905</v>
      </c>
      <c r="L10" s="2">
        <f>IFERROR(__xludf.DUMMYFUNCTION("""COMPUTED_VALUE"""),0.0)</f>
        <v>0</v>
      </c>
      <c r="M10" s="2">
        <f>IFERROR(__xludf.DUMMYFUNCTION("""COMPUTED_VALUE"""),21905.0)</f>
        <v>21905</v>
      </c>
      <c r="N10" s="2">
        <f>IFERROR(__xludf.DUMMYFUNCTION("""COMPUTED_VALUE"""),0.0)</f>
        <v>0</v>
      </c>
      <c r="O10" s="2">
        <f>IFERROR(__xludf.DUMMYFUNCTION("""COMPUTED_VALUE"""),21905.0)</f>
        <v>21905</v>
      </c>
      <c r="P10" s="2">
        <f>IFERROR(__xludf.DUMMYFUNCTION("""COMPUTED_VALUE"""),1095.0)</f>
        <v>1095</v>
      </c>
      <c r="Q10" s="2" t="str">
        <f>IFERROR(__xludf.DUMMYFUNCTION("""COMPUTED_VALUE"""),"Dine In")</f>
        <v>Dine In</v>
      </c>
      <c r="R10" s="2" t="str">
        <f>IFERROR(__xludf.DUMMYFUNCTION("""COMPUTED_VALUE"""),"Kedai")</f>
        <v>Kedai</v>
      </c>
      <c r="S10" s="2" t="str">
        <f>IFERROR(__xludf.DUMMYFUNCTION("""COMPUTED_VALUE"""),"Temu Roti")</f>
        <v>Temu Roti</v>
      </c>
      <c r="T10" s="2" t="str">
        <f>IFERROR(__xludf.DUMMYFUNCTION("""COMPUTED_VALUE"""),"Owner")</f>
        <v>Owner</v>
      </c>
      <c r="U10" s="2"/>
      <c r="V10" s="2"/>
      <c r="W10" s="2"/>
      <c r="X10" s="2" t="str">
        <f>IFERROR(__xludf.DUMMYFUNCTION("""COMPUTED_VALUE"""),"Closed")</f>
        <v>Closed</v>
      </c>
    </row>
    <row r="11">
      <c r="A11" s="3" t="s">
        <v>35</v>
      </c>
      <c r="B11" s="4">
        <f>IFERROR(__xludf.DUMMYFUNCTION("SPLIT(A11,"","",0,0)"),45564.775)</f>
        <v>45564.775</v>
      </c>
      <c r="C11" s="5">
        <f>IFERROR(__xludf.DUMMYFUNCTION("""COMPUTED_VALUE"""),2799617.0)</f>
        <v>2799617</v>
      </c>
      <c r="D11" s="2" t="str">
        <f>IFERROR(__xludf.DUMMYFUNCTION("""COMPUTED_VALUE"""),"Sale")</f>
        <v>Sale</v>
      </c>
      <c r="E11" s="2" t="str">
        <f>IFERROR(__xludf.DUMMYFUNCTION("""COMPUTED_VALUE"""),"Kudapan")</f>
        <v>Kudapan</v>
      </c>
      <c r="F11" s="2">
        <f>IFERROR(__xludf.DUMMYFUNCTION("""COMPUTED_VALUE"""),10051.0)</f>
        <v>10051</v>
      </c>
      <c r="G11" s="2" t="str">
        <f>IFERROR(__xludf.DUMMYFUNCTION("""COMPUTED_VALUE"""),"Tahu baso")</f>
        <v>Tahu baso</v>
      </c>
      <c r="H11" s="2"/>
      <c r="I11" s="2"/>
      <c r="J11" s="2">
        <f>IFERROR(__xludf.DUMMYFUNCTION("""COMPUTED_VALUE"""),2.0)</f>
        <v>2</v>
      </c>
      <c r="K11" s="6">
        <f>IFERROR(__xludf.DUMMYFUNCTION("""COMPUTED_VALUE"""),50476.0)</f>
        <v>50476</v>
      </c>
      <c r="L11" s="2">
        <f>IFERROR(__xludf.DUMMYFUNCTION("""COMPUTED_VALUE"""),0.0)</f>
        <v>0</v>
      </c>
      <c r="M11" s="2">
        <f>IFERROR(__xludf.DUMMYFUNCTION("""COMPUTED_VALUE"""),50476.0)</f>
        <v>50476</v>
      </c>
      <c r="N11" s="2">
        <f>IFERROR(__xludf.DUMMYFUNCTION("""COMPUTED_VALUE"""),0.0)</f>
        <v>0</v>
      </c>
      <c r="O11" s="2">
        <f>IFERROR(__xludf.DUMMYFUNCTION("""COMPUTED_VALUE"""),50476.0)</f>
        <v>50476</v>
      </c>
      <c r="P11" s="2">
        <f>IFERROR(__xludf.DUMMYFUNCTION("""COMPUTED_VALUE"""),2524.0)</f>
        <v>2524</v>
      </c>
      <c r="Q11" s="2" t="str">
        <f>IFERROR(__xludf.DUMMYFUNCTION("""COMPUTED_VALUE"""),"Dine In")</f>
        <v>Dine In</v>
      </c>
      <c r="R11" s="2" t="str">
        <f>IFERROR(__xludf.DUMMYFUNCTION("""COMPUTED_VALUE"""),"Kedai")</f>
        <v>Kedai</v>
      </c>
      <c r="S11" s="2" t="str">
        <f>IFERROR(__xludf.DUMMYFUNCTION("""COMPUTED_VALUE"""),"Temu Roti")</f>
        <v>Temu Roti</v>
      </c>
      <c r="T11" s="2" t="str">
        <f>IFERROR(__xludf.DUMMYFUNCTION("""COMPUTED_VALUE"""),"Owner")</f>
        <v>Owner</v>
      </c>
      <c r="U11" s="2"/>
      <c r="V11" s="2"/>
      <c r="W11" s="2"/>
      <c r="X11" s="2" t="str">
        <f>IFERROR(__xludf.DUMMYFUNCTION("""COMPUTED_VALUE"""),"Closed")</f>
        <v>Closed</v>
      </c>
    </row>
    <row r="12">
      <c r="A12" s="3" t="s">
        <v>34</v>
      </c>
      <c r="B12" s="4">
        <f>IFERROR(__xludf.DUMMYFUNCTION("SPLIT(A12,"","",0,0)"),45564.775)</f>
        <v>45564.775</v>
      </c>
      <c r="C12" s="5">
        <f>IFERROR(__xludf.DUMMYFUNCTION("""COMPUTED_VALUE"""),2799617.0)</f>
        <v>2799617</v>
      </c>
      <c r="D12" s="2" t="str">
        <f>IFERROR(__xludf.DUMMYFUNCTION("""COMPUTED_VALUE"""),"Sale")</f>
        <v>Sale</v>
      </c>
      <c r="E12" s="2" t="str">
        <f>IFERROR(__xludf.DUMMYFUNCTION("""COMPUTED_VALUE"""),"Minuman")</f>
        <v>Minuman</v>
      </c>
      <c r="F12" s="2">
        <f>IFERROR(__xludf.DUMMYFUNCTION("""COMPUTED_VALUE"""),10122.0)</f>
        <v>10122</v>
      </c>
      <c r="G12" s="2" t="str">
        <f>IFERROR(__xludf.DUMMYFUNCTION("""COMPUTED_VALUE"""),"Rempah Madu Panas")</f>
        <v>Rempah Madu Panas</v>
      </c>
      <c r="H12" s="2"/>
      <c r="I12" s="2"/>
      <c r="J12" s="2">
        <f>IFERROR(__xludf.DUMMYFUNCTION("""COMPUTED_VALUE"""),1.0)</f>
        <v>1</v>
      </c>
      <c r="K12" s="6">
        <f>IFERROR(__xludf.DUMMYFUNCTION("""COMPUTED_VALUE"""),21905.0)</f>
        <v>21905</v>
      </c>
      <c r="L12" s="2">
        <f>IFERROR(__xludf.DUMMYFUNCTION("""COMPUTED_VALUE"""),0.0)</f>
        <v>0</v>
      </c>
      <c r="M12" s="2">
        <f>IFERROR(__xludf.DUMMYFUNCTION("""COMPUTED_VALUE"""),21905.0)</f>
        <v>21905</v>
      </c>
      <c r="N12" s="2">
        <f>IFERROR(__xludf.DUMMYFUNCTION("""COMPUTED_VALUE"""),0.0)</f>
        <v>0</v>
      </c>
      <c r="O12" s="2">
        <f>IFERROR(__xludf.DUMMYFUNCTION("""COMPUTED_VALUE"""),21905.0)</f>
        <v>21905</v>
      </c>
      <c r="P12" s="2">
        <f>IFERROR(__xludf.DUMMYFUNCTION("""COMPUTED_VALUE"""),1095.0)</f>
        <v>1095</v>
      </c>
      <c r="Q12" s="2" t="str">
        <f>IFERROR(__xludf.DUMMYFUNCTION("""COMPUTED_VALUE"""),"Dine In")</f>
        <v>Dine In</v>
      </c>
      <c r="R12" s="2" t="str">
        <f>IFERROR(__xludf.DUMMYFUNCTION("""COMPUTED_VALUE"""),"Kedai")</f>
        <v>Kedai</v>
      </c>
      <c r="S12" s="2" t="str">
        <f>IFERROR(__xludf.DUMMYFUNCTION("""COMPUTED_VALUE"""),"Temu Roti")</f>
        <v>Temu Roti</v>
      </c>
      <c r="T12" s="2" t="str">
        <f>IFERROR(__xludf.DUMMYFUNCTION("""COMPUTED_VALUE"""),"Owner")</f>
        <v>Owner</v>
      </c>
      <c r="U12" s="2"/>
      <c r="V12" s="2"/>
      <c r="W12" s="2"/>
      <c r="X12" s="2" t="str">
        <f>IFERROR(__xludf.DUMMYFUNCTION("""COMPUTED_VALUE"""),"Closed")</f>
        <v>Closed</v>
      </c>
    </row>
    <row r="13">
      <c r="A13" s="3" t="s">
        <v>36</v>
      </c>
      <c r="B13" s="4">
        <f>IFERROR(__xludf.DUMMYFUNCTION("SPLIT(A13,"","",0,0)"),45564.77222222222)</f>
        <v>45564.77222</v>
      </c>
      <c r="C13" s="5">
        <f>IFERROR(__xludf.DUMMYFUNCTION("""COMPUTED_VALUE"""),2799251.0)</f>
        <v>2799251</v>
      </c>
      <c r="D13" s="2" t="str">
        <f>IFERROR(__xludf.DUMMYFUNCTION("""COMPUTED_VALUE"""),"Sale")</f>
        <v>Sale</v>
      </c>
      <c r="E13" s="2" t="str">
        <f>IFERROR(__xludf.DUMMYFUNCTION("""COMPUTED_VALUE"""),"Hidangan Utama")</f>
        <v>Hidangan Utama</v>
      </c>
      <c r="F13" s="2">
        <f>IFERROR(__xludf.DUMMYFUNCTION("""COMPUTED_VALUE"""),10104.0)</f>
        <v>10104</v>
      </c>
      <c r="G13" s="2" t="str">
        <f>IFERROR(__xludf.DUMMYFUNCTION("""COMPUTED_VALUE"""),"Chicken Claypot Rice")</f>
        <v>Chicken Claypot Rice</v>
      </c>
      <c r="H13" s="2"/>
      <c r="I13" s="2"/>
      <c r="J13" s="2">
        <f>IFERROR(__xludf.DUMMYFUNCTION("""COMPUTED_VALUE"""),1.0)</f>
        <v>1</v>
      </c>
      <c r="K13" s="6">
        <f>IFERROR(__xludf.DUMMYFUNCTION("""COMPUTED_VALUE"""),34762.0)</f>
        <v>34762</v>
      </c>
      <c r="L13" s="2">
        <f>IFERROR(__xludf.DUMMYFUNCTION("""COMPUTED_VALUE"""),0.0)</f>
        <v>0</v>
      </c>
      <c r="M13" s="2">
        <f>IFERROR(__xludf.DUMMYFUNCTION("""COMPUTED_VALUE"""),34762.0)</f>
        <v>34762</v>
      </c>
      <c r="N13" s="2">
        <f>IFERROR(__xludf.DUMMYFUNCTION("""COMPUTED_VALUE"""),0.0)</f>
        <v>0</v>
      </c>
      <c r="O13" s="2">
        <f>IFERROR(__xludf.DUMMYFUNCTION("""COMPUTED_VALUE"""),34762.0)</f>
        <v>34762</v>
      </c>
      <c r="P13" s="2">
        <f>IFERROR(__xludf.DUMMYFUNCTION("""COMPUTED_VALUE"""),1738.0)</f>
        <v>1738</v>
      </c>
      <c r="Q13" s="2" t="str">
        <f>IFERROR(__xludf.DUMMYFUNCTION("""COMPUTED_VALUE"""),"Dine In")</f>
        <v>Dine In</v>
      </c>
      <c r="R13" s="2" t="str">
        <f>IFERROR(__xludf.DUMMYFUNCTION("""COMPUTED_VALUE"""),"Kedai")</f>
        <v>Kedai</v>
      </c>
      <c r="S13" s="2" t="str">
        <f>IFERROR(__xludf.DUMMYFUNCTION("""COMPUTED_VALUE"""),"Temu Roti")</f>
        <v>Temu Roti</v>
      </c>
      <c r="T13" s="2" t="str">
        <f>IFERROR(__xludf.DUMMYFUNCTION("""COMPUTED_VALUE"""),"Owner")</f>
        <v>Owner</v>
      </c>
      <c r="U13" s="2"/>
      <c r="V13" s="2"/>
      <c r="W13" s="2"/>
      <c r="X13" s="2" t="str">
        <f>IFERROR(__xludf.DUMMYFUNCTION("""COMPUTED_VALUE"""),"Closed")</f>
        <v>Closed</v>
      </c>
    </row>
    <row r="14">
      <c r="A14" s="3" t="s">
        <v>37</v>
      </c>
      <c r="B14" s="4">
        <f>IFERROR(__xludf.DUMMYFUNCTION("SPLIT(A14,"","",0,0)"),45564.77222222222)</f>
        <v>45564.77222</v>
      </c>
      <c r="C14" s="5">
        <f>IFERROR(__xludf.DUMMYFUNCTION("""COMPUTED_VALUE"""),2799251.0)</f>
        <v>2799251</v>
      </c>
      <c r="D14" s="2" t="str">
        <f>IFERROR(__xludf.DUMMYFUNCTION("""COMPUTED_VALUE"""),"Sale")</f>
        <v>Sale</v>
      </c>
      <c r="E14" s="2" t="str">
        <f>IFERROR(__xludf.DUMMYFUNCTION("""COMPUTED_VALUE"""),"Minuman")</f>
        <v>Minuman</v>
      </c>
      <c r="F14" s="2">
        <f>IFERROR(__xludf.DUMMYFUNCTION("""COMPUTED_VALUE"""),10119.0)</f>
        <v>10119</v>
      </c>
      <c r="G14" s="2" t="str">
        <f>IFERROR(__xludf.DUMMYFUNCTION("""COMPUTED_VALUE"""),"Teh Tawar Dingin")</f>
        <v>Teh Tawar Dingin</v>
      </c>
      <c r="H14" s="2"/>
      <c r="I14" s="2"/>
      <c r="J14" s="2">
        <f>IFERROR(__xludf.DUMMYFUNCTION("""COMPUTED_VALUE"""),1.0)</f>
        <v>1</v>
      </c>
      <c r="K14" s="6">
        <f>IFERROR(__xludf.DUMMYFUNCTION("""COMPUTED_VALUE"""),7143.0)</f>
        <v>7143</v>
      </c>
      <c r="L14" s="2">
        <f>IFERROR(__xludf.DUMMYFUNCTION("""COMPUTED_VALUE"""),0.0)</f>
        <v>0</v>
      </c>
      <c r="M14" s="2">
        <f>IFERROR(__xludf.DUMMYFUNCTION("""COMPUTED_VALUE"""),7143.0)</f>
        <v>7143</v>
      </c>
      <c r="N14" s="2">
        <f>IFERROR(__xludf.DUMMYFUNCTION("""COMPUTED_VALUE"""),0.0)</f>
        <v>0</v>
      </c>
      <c r="O14" s="2">
        <f>IFERROR(__xludf.DUMMYFUNCTION("""COMPUTED_VALUE"""),7143.0)</f>
        <v>7143</v>
      </c>
      <c r="P14" s="2">
        <f>IFERROR(__xludf.DUMMYFUNCTION("""COMPUTED_VALUE"""),357.0)</f>
        <v>357</v>
      </c>
      <c r="Q14" s="2" t="str">
        <f>IFERROR(__xludf.DUMMYFUNCTION("""COMPUTED_VALUE"""),"Dine In")</f>
        <v>Dine In</v>
      </c>
      <c r="R14" s="2" t="str">
        <f>IFERROR(__xludf.DUMMYFUNCTION("""COMPUTED_VALUE"""),"Kedai")</f>
        <v>Kedai</v>
      </c>
      <c r="S14" s="2" t="str">
        <f>IFERROR(__xludf.DUMMYFUNCTION("""COMPUTED_VALUE"""),"Temu Roti")</f>
        <v>Temu Roti</v>
      </c>
      <c r="T14" s="2" t="str">
        <f>IFERROR(__xludf.DUMMYFUNCTION("""COMPUTED_VALUE"""),"Owner")</f>
        <v>Owner</v>
      </c>
      <c r="U14" s="2"/>
      <c r="V14" s="2"/>
      <c r="W14" s="2"/>
      <c r="X14" s="2" t="str">
        <f>IFERROR(__xludf.DUMMYFUNCTION("""COMPUTED_VALUE"""),"Closed")</f>
        <v>Closed</v>
      </c>
    </row>
    <row r="15">
      <c r="A15" s="3" t="s">
        <v>38</v>
      </c>
      <c r="B15" s="4">
        <f>IFERROR(__xludf.DUMMYFUNCTION("SPLIT(A15,"","",0,0)"),45564.76111111111)</f>
        <v>45564.76111</v>
      </c>
      <c r="C15" s="5">
        <f>IFERROR(__xludf.DUMMYFUNCTION("""COMPUTED_VALUE"""),2798886.0)</f>
        <v>2798886</v>
      </c>
      <c r="D15" s="2" t="str">
        <f>IFERROR(__xludf.DUMMYFUNCTION("""COMPUTED_VALUE"""),"Sale")</f>
        <v>Sale</v>
      </c>
      <c r="E15" s="2" t="str">
        <f>IFERROR(__xludf.DUMMYFUNCTION("""COMPUTED_VALUE"""),"Minuman")</f>
        <v>Minuman</v>
      </c>
      <c r="F15" s="2">
        <f>IFERROR(__xludf.DUMMYFUNCTION("""COMPUTED_VALUE"""),10026.0)</f>
        <v>10026</v>
      </c>
      <c r="G15" s="2" t="str">
        <f>IFERROR(__xludf.DUMMYFUNCTION("""COMPUTED_VALUE"""),"Es Kopi Lemon")</f>
        <v>Es Kopi Lemon</v>
      </c>
      <c r="H15" s="2"/>
      <c r="I15" s="2"/>
      <c r="J15" s="2">
        <f>IFERROR(__xludf.DUMMYFUNCTION("""COMPUTED_VALUE"""),1.0)</f>
        <v>1</v>
      </c>
      <c r="K15" s="6">
        <f>IFERROR(__xludf.DUMMYFUNCTION("""COMPUTED_VALUE"""),21905.0)</f>
        <v>21905</v>
      </c>
      <c r="L15" s="2">
        <f>IFERROR(__xludf.DUMMYFUNCTION("""COMPUTED_VALUE"""),0.0)</f>
        <v>0</v>
      </c>
      <c r="M15" s="2">
        <f>IFERROR(__xludf.DUMMYFUNCTION("""COMPUTED_VALUE"""),21905.0)</f>
        <v>21905</v>
      </c>
      <c r="N15" s="2">
        <f>IFERROR(__xludf.DUMMYFUNCTION("""COMPUTED_VALUE"""),0.0)</f>
        <v>0</v>
      </c>
      <c r="O15" s="2">
        <f>IFERROR(__xludf.DUMMYFUNCTION("""COMPUTED_VALUE"""),21905.0)</f>
        <v>21905</v>
      </c>
      <c r="P15" s="2">
        <f>IFERROR(__xludf.DUMMYFUNCTION("""COMPUTED_VALUE"""),1095.0)</f>
        <v>1095</v>
      </c>
      <c r="Q15" s="2" t="str">
        <f>IFERROR(__xludf.DUMMYFUNCTION("""COMPUTED_VALUE"""),"Dine In")</f>
        <v>Dine In</v>
      </c>
      <c r="R15" s="2" t="str">
        <f>IFERROR(__xludf.DUMMYFUNCTION("""COMPUTED_VALUE"""),"Kedai")</f>
        <v>Kedai</v>
      </c>
      <c r="S15" s="2" t="str">
        <f>IFERROR(__xludf.DUMMYFUNCTION("""COMPUTED_VALUE"""),"Temu Roti")</f>
        <v>Temu Roti</v>
      </c>
      <c r="T15" s="2" t="str">
        <f>IFERROR(__xludf.DUMMYFUNCTION("""COMPUTED_VALUE"""),"Owner")</f>
        <v>Owner</v>
      </c>
      <c r="U15" s="2"/>
      <c r="V15" s="2"/>
      <c r="W15" s="2"/>
      <c r="X15" s="2" t="str">
        <f>IFERROR(__xludf.DUMMYFUNCTION("""COMPUTED_VALUE"""),"Closed")</f>
        <v>Closed</v>
      </c>
    </row>
    <row r="16">
      <c r="A16" s="3" t="s">
        <v>39</v>
      </c>
      <c r="B16" s="4">
        <f>IFERROR(__xludf.DUMMYFUNCTION("SPLIT(A16,"","",0,0)"),45564.76111111111)</f>
        <v>45564.76111</v>
      </c>
      <c r="C16" s="5">
        <f>IFERROR(__xludf.DUMMYFUNCTION("""COMPUTED_VALUE"""),2798886.0)</f>
        <v>2798886</v>
      </c>
      <c r="D16" s="2" t="str">
        <f>IFERROR(__xludf.DUMMYFUNCTION("""COMPUTED_VALUE"""),"Sale")</f>
        <v>Sale</v>
      </c>
      <c r="E16" s="2" t="str">
        <f>IFERROR(__xludf.DUMMYFUNCTION("""COMPUTED_VALUE"""),"Minuman")</f>
        <v>Minuman</v>
      </c>
      <c r="F16" s="2">
        <f>IFERROR(__xludf.DUMMYFUNCTION("""COMPUTED_VALUE"""),10107.0)</f>
        <v>10107</v>
      </c>
      <c r="G16" s="2" t="str">
        <f>IFERROR(__xludf.DUMMYFUNCTION("""COMPUTED_VALUE"""),"Korean Mango Fresh Milk")</f>
        <v>Korean Mango Fresh Milk</v>
      </c>
      <c r="H16" s="2"/>
      <c r="I16" s="2"/>
      <c r="J16" s="2">
        <f>IFERROR(__xludf.DUMMYFUNCTION("""COMPUTED_VALUE"""),1.0)</f>
        <v>1</v>
      </c>
      <c r="K16" s="6">
        <f>IFERROR(__xludf.DUMMYFUNCTION("""COMPUTED_VALUE"""),26667.0)</f>
        <v>26667</v>
      </c>
      <c r="L16" s="2">
        <f>IFERROR(__xludf.DUMMYFUNCTION("""COMPUTED_VALUE"""),0.0)</f>
        <v>0</v>
      </c>
      <c r="M16" s="2">
        <f>IFERROR(__xludf.DUMMYFUNCTION("""COMPUTED_VALUE"""),26667.0)</f>
        <v>26667</v>
      </c>
      <c r="N16" s="2">
        <f>IFERROR(__xludf.DUMMYFUNCTION("""COMPUTED_VALUE"""),0.0)</f>
        <v>0</v>
      </c>
      <c r="O16" s="2">
        <f>IFERROR(__xludf.DUMMYFUNCTION("""COMPUTED_VALUE"""),26667.0)</f>
        <v>26667</v>
      </c>
      <c r="P16" s="2">
        <f>IFERROR(__xludf.DUMMYFUNCTION("""COMPUTED_VALUE"""),1334.0)</f>
        <v>1334</v>
      </c>
      <c r="Q16" s="2" t="str">
        <f>IFERROR(__xludf.DUMMYFUNCTION("""COMPUTED_VALUE"""),"Dine In")</f>
        <v>Dine In</v>
      </c>
      <c r="R16" s="2" t="str">
        <f>IFERROR(__xludf.DUMMYFUNCTION("""COMPUTED_VALUE"""),"Kedai")</f>
        <v>Kedai</v>
      </c>
      <c r="S16" s="2" t="str">
        <f>IFERROR(__xludf.DUMMYFUNCTION("""COMPUTED_VALUE"""),"Temu Roti")</f>
        <v>Temu Roti</v>
      </c>
      <c r="T16" s="2" t="str">
        <f>IFERROR(__xludf.DUMMYFUNCTION("""COMPUTED_VALUE"""),"Owner")</f>
        <v>Owner</v>
      </c>
      <c r="U16" s="2"/>
      <c r="V16" s="2"/>
      <c r="W16" s="2"/>
      <c r="X16" s="2" t="str">
        <f>IFERROR(__xludf.DUMMYFUNCTION("""COMPUTED_VALUE"""),"Closed")</f>
        <v>Closed</v>
      </c>
    </row>
    <row r="17">
      <c r="A17" s="3" t="s">
        <v>40</v>
      </c>
      <c r="B17" s="4">
        <f>IFERROR(__xludf.DUMMYFUNCTION("SPLIT(A17,"","",0,0)"),45564.75833333333)</f>
        <v>45564.75833</v>
      </c>
      <c r="C17" s="5">
        <f>IFERROR(__xludf.DUMMYFUNCTION("""COMPUTED_VALUE"""),2798521.0)</f>
        <v>2798521</v>
      </c>
      <c r="D17" s="2" t="str">
        <f>IFERROR(__xludf.DUMMYFUNCTION("""COMPUTED_VALUE"""),"Sale")</f>
        <v>Sale</v>
      </c>
      <c r="E17" s="2" t="str">
        <f>IFERROR(__xludf.DUMMYFUNCTION("""COMPUTED_VALUE"""),"Minuman")</f>
        <v>Minuman</v>
      </c>
      <c r="F17" s="2">
        <f>IFERROR(__xludf.DUMMYFUNCTION("""COMPUTED_VALUE"""),10056.0)</f>
        <v>10056</v>
      </c>
      <c r="G17" s="2" t="str">
        <f>IFERROR(__xludf.DUMMYFUNCTION("""COMPUTED_VALUE"""),"Susu murni moca")</f>
        <v>Susu murni moca</v>
      </c>
      <c r="H17" s="2"/>
      <c r="I17" s="2"/>
      <c r="J17" s="2">
        <f>IFERROR(__xludf.DUMMYFUNCTION("""COMPUTED_VALUE"""),1.0)</f>
        <v>1</v>
      </c>
      <c r="K17" s="6">
        <f>IFERROR(__xludf.DUMMYFUNCTION("""COMPUTED_VALUE"""),19524.0)</f>
        <v>19524</v>
      </c>
      <c r="L17" s="2">
        <f>IFERROR(__xludf.DUMMYFUNCTION("""COMPUTED_VALUE"""),0.0)</f>
        <v>0</v>
      </c>
      <c r="M17" s="2">
        <f>IFERROR(__xludf.DUMMYFUNCTION("""COMPUTED_VALUE"""),19524.0)</f>
        <v>19524</v>
      </c>
      <c r="N17" s="2">
        <f>IFERROR(__xludf.DUMMYFUNCTION("""COMPUTED_VALUE"""),0.0)</f>
        <v>0</v>
      </c>
      <c r="O17" s="2">
        <f>IFERROR(__xludf.DUMMYFUNCTION("""COMPUTED_VALUE"""),19524.0)</f>
        <v>19524</v>
      </c>
      <c r="P17" s="2">
        <f>IFERROR(__xludf.DUMMYFUNCTION("""COMPUTED_VALUE"""),976.0)</f>
        <v>976</v>
      </c>
      <c r="Q17" s="2" t="str">
        <f>IFERROR(__xludf.DUMMYFUNCTION("""COMPUTED_VALUE"""),"Dine In")</f>
        <v>Dine In</v>
      </c>
      <c r="R17" s="2" t="str">
        <f>IFERROR(__xludf.DUMMYFUNCTION("""COMPUTED_VALUE"""),"Kedai")</f>
        <v>Kedai</v>
      </c>
      <c r="S17" s="2" t="str">
        <f>IFERROR(__xludf.DUMMYFUNCTION("""COMPUTED_VALUE"""),"Temu Roti")</f>
        <v>Temu Roti</v>
      </c>
      <c r="T17" s="2" t="str">
        <f>IFERROR(__xludf.DUMMYFUNCTION("""COMPUTED_VALUE"""),"Owner")</f>
        <v>Owner</v>
      </c>
      <c r="U17" s="2"/>
      <c r="V17" s="2"/>
      <c r="W17" s="2"/>
      <c r="X17" s="2" t="str">
        <f>IFERROR(__xludf.DUMMYFUNCTION("""COMPUTED_VALUE"""),"Closed")</f>
        <v>Closed</v>
      </c>
    </row>
    <row r="18">
      <c r="A18" s="3" t="s">
        <v>41</v>
      </c>
      <c r="B18" s="4">
        <f>IFERROR(__xludf.DUMMYFUNCTION("SPLIT(A18,"","",0,0)"),45564.74930555555)</f>
        <v>45564.74931</v>
      </c>
      <c r="C18" s="5">
        <f>IFERROR(__xludf.DUMMYFUNCTION("""COMPUTED_VALUE"""),2798156.0)</f>
        <v>2798156</v>
      </c>
      <c r="D18" s="2" t="str">
        <f>IFERROR(__xludf.DUMMYFUNCTION("""COMPUTED_VALUE"""),"Sale")</f>
        <v>Sale</v>
      </c>
      <c r="E18" s="2" t="str">
        <f>IFERROR(__xludf.DUMMYFUNCTION("""COMPUTED_VALUE"""),"Kudapan")</f>
        <v>Kudapan</v>
      </c>
      <c r="F18" s="2">
        <f>IFERROR(__xludf.DUMMYFUNCTION("""COMPUTED_VALUE"""),10009.0)</f>
        <v>10009</v>
      </c>
      <c r="G18" s="2" t="str">
        <f>IFERROR(__xludf.DUMMYFUNCTION("""COMPUTED_VALUE"""),"Jamur Enoki Krispi")</f>
        <v>Jamur Enoki Krispi</v>
      </c>
      <c r="H18" s="2"/>
      <c r="I18" s="2"/>
      <c r="J18" s="2">
        <f>IFERROR(__xludf.DUMMYFUNCTION("""COMPUTED_VALUE"""),1.0)</f>
        <v>1</v>
      </c>
      <c r="K18" s="6">
        <f>IFERROR(__xludf.DUMMYFUNCTION("""COMPUTED_VALUE"""),26667.0)</f>
        <v>26667</v>
      </c>
      <c r="L18" s="2">
        <f>IFERROR(__xludf.DUMMYFUNCTION("""COMPUTED_VALUE"""),0.0)</f>
        <v>0</v>
      </c>
      <c r="M18" s="2">
        <f>IFERROR(__xludf.DUMMYFUNCTION("""COMPUTED_VALUE"""),26667.0)</f>
        <v>26667</v>
      </c>
      <c r="N18" s="2">
        <f>IFERROR(__xludf.DUMMYFUNCTION("""COMPUTED_VALUE"""),0.0)</f>
        <v>0</v>
      </c>
      <c r="O18" s="2">
        <f>IFERROR(__xludf.DUMMYFUNCTION("""COMPUTED_VALUE"""),26667.0)</f>
        <v>26667</v>
      </c>
      <c r="P18" s="2">
        <f>IFERROR(__xludf.DUMMYFUNCTION("""COMPUTED_VALUE"""),1333.0)</f>
        <v>1333</v>
      </c>
      <c r="Q18" s="2" t="str">
        <f>IFERROR(__xludf.DUMMYFUNCTION("""COMPUTED_VALUE"""),"Dine In")</f>
        <v>Dine In</v>
      </c>
      <c r="R18" s="2" t="str">
        <f>IFERROR(__xludf.DUMMYFUNCTION("""COMPUTED_VALUE"""),"Kedai")</f>
        <v>Kedai</v>
      </c>
      <c r="S18" s="2" t="str">
        <f>IFERROR(__xludf.DUMMYFUNCTION("""COMPUTED_VALUE"""),"Temu Roti")</f>
        <v>Temu Roti</v>
      </c>
      <c r="T18" s="2" t="str">
        <f>IFERROR(__xludf.DUMMYFUNCTION("""COMPUTED_VALUE"""),"Owner")</f>
        <v>Owner</v>
      </c>
      <c r="U18" s="2"/>
      <c r="V18" s="2"/>
      <c r="W18" s="2"/>
      <c r="X18" s="2" t="str">
        <f>IFERROR(__xludf.DUMMYFUNCTION("""COMPUTED_VALUE"""),"Closed")</f>
        <v>Closed</v>
      </c>
    </row>
    <row r="19">
      <c r="A19" s="3" t="s">
        <v>42</v>
      </c>
      <c r="B19" s="4">
        <f>IFERROR(__xludf.DUMMYFUNCTION("SPLIT(A19,"","",0,0)"),45564.74513888889)</f>
        <v>45564.74514</v>
      </c>
      <c r="C19" s="5">
        <f>IFERROR(__xludf.DUMMYFUNCTION("""COMPUTED_VALUE"""),2797790.0)</f>
        <v>2797790</v>
      </c>
      <c r="D19" s="2" t="str">
        <f>IFERROR(__xludf.DUMMYFUNCTION("""COMPUTED_VALUE"""),"Sale")</f>
        <v>Sale</v>
      </c>
      <c r="E19" s="2" t="str">
        <f>IFERROR(__xludf.DUMMYFUNCTION("""COMPUTED_VALUE"""),"Hidangan Utama")</f>
        <v>Hidangan Utama</v>
      </c>
      <c r="F19" s="2">
        <f>IFERROR(__xludf.DUMMYFUNCTION("""COMPUTED_VALUE"""),10104.0)</f>
        <v>10104</v>
      </c>
      <c r="G19" s="2" t="str">
        <f>IFERROR(__xludf.DUMMYFUNCTION("""COMPUTED_VALUE"""),"Chicken Claypot Rice")</f>
        <v>Chicken Claypot Rice</v>
      </c>
      <c r="H19" s="2"/>
      <c r="I19" s="2"/>
      <c r="J19" s="2">
        <f>IFERROR(__xludf.DUMMYFUNCTION("""COMPUTED_VALUE"""),1.0)</f>
        <v>1</v>
      </c>
      <c r="K19" s="6">
        <f>IFERROR(__xludf.DUMMYFUNCTION("""COMPUTED_VALUE"""),34762.0)</f>
        <v>34762</v>
      </c>
      <c r="L19" s="2">
        <f>IFERROR(__xludf.DUMMYFUNCTION("""COMPUTED_VALUE"""),0.0)</f>
        <v>0</v>
      </c>
      <c r="M19" s="2">
        <f>IFERROR(__xludf.DUMMYFUNCTION("""COMPUTED_VALUE"""),34762.0)</f>
        <v>34762</v>
      </c>
      <c r="N19" s="2">
        <f>IFERROR(__xludf.DUMMYFUNCTION("""COMPUTED_VALUE"""),0.0)</f>
        <v>0</v>
      </c>
      <c r="O19" s="2">
        <f>IFERROR(__xludf.DUMMYFUNCTION("""COMPUTED_VALUE"""),34762.0)</f>
        <v>34762</v>
      </c>
      <c r="P19" s="2">
        <f>IFERROR(__xludf.DUMMYFUNCTION("""COMPUTED_VALUE"""),1738.0)</f>
        <v>1738</v>
      </c>
      <c r="Q19" s="2" t="str">
        <f>IFERROR(__xludf.DUMMYFUNCTION("""COMPUTED_VALUE"""),"Dine In")</f>
        <v>Dine In</v>
      </c>
      <c r="R19" s="2" t="str">
        <f>IFERROR(__xludf.DUMMYFUNCTION("""COMPUTED_VALUE"""),"Kedai")</f>
        <v>Kedai</v>
      </c>
      <c r="S19" s="2" t="str">
        <f>IFERROR(__xludf.DUMMYFUNCTION("""COMPUTED_VALUE"""),"Temu Roti")</f>
        <v>Temu Roti</v>
      </c>
      <c r="T19" s="2" t="str">
        <f>IFERROR(__xludf.DUMMYFUNCTION("""COMPUTED_VALUE"""),"Owner")</f>
        <v>Owner</v>
      </c>
      <c r="U19" s="2"/>
      <c r="V19" s="2"/>
      <c r="W19" s="2"/>
      <c r="X19" s="2" t="str">
        <f>IFERROR(__xludf.DUMMYFUNCTION("""COMPUTED_VALUE"""),"Closed")</f>
        <v>Closed</v>
      </c>
    </row>
    <row r="20">
      <c r="A20" s="3" t="s">
        <v>43</v>
      </c>
      <c r="B20" s="4">
        <f>IFERROR(__xludf.DUMMYFUNCTION("SPLIT(A20,"","",0,0)"),45564.73888888889)</f>
        <v>45564.73889</v>
      </c>
      <c r="C20" s="5">
        <f>IFERROR(__xludf.DUMMYFUNCTION("""COMPUTED_VALUE"""),2797425.0)</f>
        <v>2797425</v>
      </c>
      <c r="D20" s="2" t="str">
        <f>IFERROR(__xludf.DUMMYFUNCTION("""COMPUTED_VALUE"""),"Sale")</f>
        <v>Sale</v>
      </c>
      <c r="E20" s="2" t="str">
        <f>IFERROR(__xludf.DUMMYFUNCTION("""COMPUTED_VALUE"""),"Kudapan")</f>
        <v>Kudapan</v>
      </c>
      <c r="F20" s="2">
        <f>IFERROR(__xludf.DUMMYFUNCTION("""COMPUTED_VALUE"""),10015.0)</f>
        <v>10015</v>
      </c>
      <c r="G20" s="2" t="str">
        <f>IFERROR(__xludf.DUMMYFUNCTION("""COMPUTED_VALUE"""),"Tahu Lada Garam")</f>
        <v>Tahu Lada Garam</v>
      </c>
      <c r="H20" s="2"/>
      <c r="I20" s="2"/>
      <c r="J20" s="2">
        <f>IFERROR(__xludf.DUMMYFUNCTION("""COMPUTED_VALUE"""),1.0)</f>
        <v>1</v>
      </c>
      <c r="K20" s="6">
        <f>IFERROR(__xludf.DUMMYFUNCTION("""COMPUTED_VALUE"""),25238.0)</f>
        <v>25238</v>
      </c>
      <c r="L20" s="2">
        <f>IFERROR(__xludf.DUMMYFUNCTION("""COMPUTED_VALUE"""),0.0)</f>
        <v>0</v>
      </c>
      <c r="M20" s="2">
        <f>IFERROR(__xludf.DUMMYFUNCTION("""COMPUTED_VALUE"""),25238.0)</f>
        <v>25238</v>
      </c>
      <c r="N20" s="2">
        <f>IFERROR(__xludf.DUMMYFUNCTION("""COMPUTED_VALUE"""),0.0)</f>
        <v>0</v>
      </c>
      <c r="O20" s="2">
        <f>IFERROR(__xludf.DUMMYFUNCTION("""COMPUTED_VALUE"""),25238.0)</f>
        <v>25238</v>
      </c>
      <c r="P20" s="2">
        <f>IFERROR(__xludf.DUMMYFUNCTION("""COMPUTED_VALUE"""),1262.0)</f>
        <v>1262</v>
      </c>
      <c r="Q20" s="2" t="str">
        <f>IFERROR(__xludf.DUMMYFUNCTION("""COMPUTED_VALUE"""),"Dine In")</f>
        <v>Dine In</v>
      </c>
      <c r="R20" s="2" t="str">
        <f>IFERROR(__xludf.DUMMYFUNCTION("""COMPUTED_VALUE"""),"Kedai")</f>
        <v>Kedai</v>
      </c>
      <c r="S20" s="2" t="str">
        <f>IFERROR(__xludf.DUMMYFUNCTION("""COMPUTED_VALUE"""),"Temu Roti")</f>
        <v>Temu Roti</v>
      </c>
      <c r="T20" s="2" t="str">
        <f>IFERROR(__xludf.DUMMYFUNCTION("""COMPUTED_VALUE"""),"Owner")</f>
        <v>Owner</v>
      </c>
      <c r="U20" s="2"/>
      <c r="V20" s="2"/>
      <c r="W20" s="2"/>
      <c r="X20" s="2" t="str">
        <f>IFERROR(__xludf.DUMMYFUNCTION("""COMPUTED_VALUE"""),"Closed")</f>
        <v>Closed</v>
      </c>
    </row>
    <row r="21">
      <c r="A21" s="3" t="s">
        <v>44</v>
      </c>
      <c r="B21" s="4">
        <f>IFERROR(__xludf.DUMMYFUNCTION("SPLIT(A21,"","",0,0)"),45564.73611111111)</f>
        <v>45564.73611</v>
      </c>
      <c r="C21" s="5">
        <f>IFERROR(__xludf.DUMMYFUNCTION("""COMPUTED_VALUE"""),2797060.0)</f>
        <v>2797060</v>
      </c>
      <c r="D21" s="2" t="str">
        <f>IFERROR(__xludf.DUMMYFUNCTION("""COMPUTED_VALUE"""),"Sale")</f>
        <v>Sale</v>
      </c>
      <c r="E21" s="2" t="str">
        <f>IFERROR(__xludf.DUMMYFUNCTION("""COMPUTED_VALUE"""),"Minuman")</f>
        <v>Minuman</v>
      </c>
      <c r="F21" s="2">
        <f>IFERROR(__xludf.DUMMYFUNCTION("""COMPUTED_VALUE"""),10128.0)</f>
        <v>10128</v>
      </c>
      <c r="G21" s="2" t="str">
        <f>IFERROR(__xludf.DUMMYFUNCTION("""COMPUTED_VALUE"""),"Es Kopi Susu")</f>
        <v>Es Kopi Susu</v>
      </c>
      <c r="H21" s="2"/>
      <c r="I21" s="2"/>
      <c r="J21" s="2">
        <f>IFERROR(__xludf.DUMMYFUNCTION("""COMPUTED_VALUE"""),1.0)</f>
        <v>1</v>
      </c>
      <c r="K21" s="6">
        <f>IFERROR(__xludf.DUMMYFUNCTION("""COMPUTED_VALUE"""),23333.0)</f>
        <v>23333</v>
      </c>
      <c r="L21" s="2">
        <f>IFERROR(__xludf.DUMMYFUNCTION("""COMPUTED_VALUE"""),0.0)</f>
        <v>0</v>
      </c>
      <c r="M21" s="2">
        <f>IFERROR(__xludf.DUMMYFUNCTION("""COMPUTED_VALUE"""),23333.0)</f>
        <v>23333</v>
      </c>
      <c r="N21" s="2">
        <f>IFERROR(__xludf.DUMMYFUNCTION("""COMPUTED_VALUE"""),0.0)</f>
        <v>0</v>
      </c>
      <c r="O21" s="2">
        <f>IFERROR(__xludf.DUMMYFUNCTION("""COMPUTED_VALUE"""),23333.0)</f>
        <v>23333</v>
      </c>
      <c r="P21" s="2">
        <f>IFERROR(__xludf.DUMMYFUNCTION("""COMPUTED_VALUE"""),1167.0)</f>
        <v>1167</v>
      </c>
      <c r="Q21" s="2" t="str">
        <f>IFERROR(__xludf.DUMMYFUNCTION("""COMPUTED_VALUE"""),"Dine In")</f>
        <v>Dine In</v>
      </c>
      <c r="R21" s="2" t="str">
        <f>IFERROR(__xludf.DUMMYFUNCTION("""COMPUTED_VALUE"""),"Kedai")</f>
        <v>Kedai</v>
      </c>
      <c r="S21" s="2" t="str">
        <f>IFERROR(__xludf.DUMMYFUNCTION("""COMPUTED_VALUE"""),"Temu Roti")</f>
        <v>Temu Roti</v>
      </c>
      <c r="T21" s="2" t="str">
        <f>IFERROR(__xludf.DUMMYFUNCTION("""COMPUTED_VALUE"""),"Owner")</f>
        <v>Owner</v>
      </c>
      <c r="U21" s="2"/>
      <c r="V21" s="2"/>
      <c r="W21" s="2"/>
      <c r="X21" s="2" t="str">
        <f>IFERROR(__xludf.DUMMYFUNCTION("""COMPUTED_VALUE"""),"Closed")</f>
        <v>Closed</v>
      </c>
    </row>
    <row r="22">
      <c r="A22" s="3" t="s">
        <v>45</v>
      </c>
      <c r="B22" s="4">
        <f>IFERROR(__xludf.DUMMYFUNCTION("SPLIT(A22,"","",0,0)"),45564.73611111111)</f>
        <v>45564.73611</v>
      </c>
      <c r="C22" s="5">
        <f>IFERROR(__xludf.DUMMYFUNCTION("""COMPUTED_VALUE"""),2797060.0)</f>
        <v>2797060</v>
      </c>
      <c r="D22" s="2" t="str">
        <f>IFERROR(__xludf.DUMMYFUNCTION("""COMPUTED_VALUE"""),"Sale")</f>
        <v>Sale</v>
      </c>
      <c r="E22" s="2" t="str">
        <f>IFERROR(__xludf.DUMMYFUNCTION("""COMPUTED_VALUE"""),"Roti")</f>
        <v>Roti</v>
      </c>
      <c r="F22" s="2">
        <f>IFERROR(__xludf.DUMMYFUNCTION("""COMPUTED_VALUE"""),10000.0)</f>
        <v>10000</v>
      </c>
      <c r="G22" s="2" t="str">
        <f>IFERROR(__xludf.DUMMYFUNCTION("""COMPUTED_VALUE"""),"Roti Bawang Saus Keju")</f>
        <v>Roti Bawang Saus Keju</v>
      </c>
      <c r="H22" s="2"/>
      <c r="I22" s="2"/>
      <c r="J22" s="2">
        <f>IFERROR(__xludf.DUMMYFUNCTION("""COMPUTED_VALUE"""),1.0)</f>
        <v>1</v>
      </c>
      <c r="K22" s="6">
        <f>IFERROR(__xludf.DUMMYFUNCTION("""COMPUTED_VALUE"""),29524.0)</f>
        <v>29524</v>
      </c>
      <c r="L22" s="2">
        <f>IFERROR(__xludf.DUMMYFUNCTION("""COMPUTED_VALUE"""),0.0)</f>
        <v>0</v>
      </c>
      <c r="M22" s="2">
        <f>IFERROR(__xludf.DUMMYFUNCTION("""COMPUTED_VALUE"""),29524.0)</f>
        <v>29524</v>
      </c>
      <c r="N22" s="2">
        <f>IFERROR(__xludf.DUMMYFUNCTION("""COMPUTED_VALUE"""),0.0)</f>
        <v>0</v>
      </c>
      <c r="O22" s="2">
        <f>IFERROR(__xludf.DUMMYFUNCTION("""COMPUTED_VALUE"""),29524.0)</f>
        <v>29524</v>
      </c>
      <c r="P22" s="2">
        <f>IFERROR(__xludf.DUMMYFUNCTION("""COMPUTED_VALUE"""),1476.0)</f>
        <v>1476</v>
      </c>
      <c r="Q22" s="2" t="str">
        <f>IFERROR(__xludf.DUMMYFUNCTION("""COMPUTED_VALUE"""),"Dine In")</f>
        <v>Dine In</v>
      </c>
      <c r="R22" s="2" t="str">
        <f>IFERROR(__xludf.DUMMYFUNCTION("""COMPUTED_VALUE"""),"Kedai")</f>
        <v>Kedai</v>
      </c>
      <c r="S22" s="2" t="str">
        <f>IFERROR(__xludf.DUMMYFUNCTION("""COMPUTED_VALUE"""),"Temu Roti")</f>
        <v>Temu Roti</v>
      </c>
      <c r="T22" s="2" t="str">
        <f>IFERROR(__xludf.DUMMYFUNCTION("""COMPUTED_VALUE"""),"Owner")</f>
        <v>Owner</v>
      </c>
      <c r="U22" s="2"/>
      <c r="V22" s="2"/>
      <c r="W22" s="2"/>
      <c r="X22" s="2" t="str">
        <f>IFERROR(__xludf.DUMMYFUNCTION("""COMPUTED_VALUE"""),"Closed")</f>
        <v>Closed</v>
      </c>
    </row>
    <row r="23">
      <c r="A23" s="3" t="s">
        <v>46</v>
      </c>
      <c r="B23" s="4">
        <f>IFERROR(__xludf.DUMMYFUNCTION("SPLIT(A23,"","",0,0)"),45564.73611111111)</f>
        <v>45564.73611</v>
      </c>
      <c r="C23" s="5">
        <f>IFERROR(__xludf.DUMMYFUNCTION("""COMPUTED_VALUE"""),2797060.0)</f>
        <v>2797060</v>
      </c>
      <c r="D23" s="2" t="str">
        <f>IFERROR(__xludf.DUMMYFUNCTION("""COMPUTED_VALUE"""),"Sale")</f>
        <v>Sale</v>
      </c>
      <c r="E23" s="2" t="str">
        <f>IFERROR(__xludf.DUMMYFUNCTION("""COMPUTED_VALUE"""),"Minuman")</f>
        <v>Minuman</v>
      </c>
      <c r="F23" s="2">
        <f>IFERROR(__xludf.DUMMYFUNCTION("""COMPUTED_VALUE"""),10117.0)</f>
        <v>10117</v>
      </c>
      <c r="G23" s="2" t="str">
        <f>IFERROR(__xludf.DUMMYFUNCTION("""COMPUTED_VALUE"""),"Teh Manis Dingin")</f>
        <v>Teh Manis Dingin</v>
      </c>
      <c r="H23" s="2"/>
      <c r="I23" s="2"/>
      <c r="J23" s="2">
        <f>IFERROR(__xludf.DUMMYFUNCTION("""COMPUTED_VALUE"""),1.0)</f>
        <v>1</v>
      </c>
      <c r="K23" s="6">
        <f>IFERROR(__xludf.DUMMYFUNCTION("""COMPUTED_VALUE"""),14286.0)</f>
        <v>14286</v>
      </c>
      <c r="L23" s="2">
        <f>IFERROR(__xludf.DUMMYFUNCTION("""COMPUTED_VALUE"""),0.0)</f>
        <v>0</v>
      </c>
      <c r="M23" s="2">
        <f>IFERROR(__xludf.DUMMYFUNCTION("""COMPUTED_VALUE"""),14286.0)</f>
        <v>14286</v>
      </c>
      <c r="N23" s="2">
        <f>IFERROR(__xludf.DUMMYFUNCTION("""COMPUTED_VALUE"""),0.0)</f>
        <v>0</v>
      </c>
      <c r="O23" s="2">
        <f>IFERROR(__xludf.DUMMYFUNCTION("""COMPUTED_VALUE"""),14286.0)</f>
        <v>14286</v>
      </c>
      <c r="P23" s="2">
        <f>IFERROR(__xludf.DUMMYFUNCTION("""COMPUTED_VALUE"""),714.0)</f>
        <v>714</v>
      </c>
      <c r="Q23" s="2" t="str">
        <f>IFERROR(__xludf.DUMMYFUNCTION("""COMPUTED_VALUE"""),"Dine In")</f>
        <v>Dine In</v>
      </c>
      <c r="R23" s="2" t="str">
        <f>IFERROR(__xludf.DUMMYFUNCTION("""COMPUTED_VALUE"""),"Kedai")</f>
        <v>Kedai</v>
      </c>
      <c r="S23" s="2" t="str">
        <f>IFERROR(__xludf.DUMMYFUNCTION("""COMPUTED_VALUE"""),"Temu Roti")</f>
        <v>Temu Roti</v>
      </c>
      <c r="T23" s="2" t="str">
        <f>IFERROR(__xludf.DUMMYFUNCTION("""COMPUTED_VALUE"""),"Owner")</f>
        <v>Owner</v>
      </c>
      <c r="U23" s="2"/>
      <c r="V23" s="2"/>
      <c r="W23" s="2"/>
      <c r="X23" s="2" t="str">
        <f>IFERROR(__xludf.DUMMYFUNCTION("""COMPUTED_VALUE"""),"Closed")</f>
        <v>Closed</v>
      </c>
    </row>
    <row r="24">
      <c r="A24" s="3" t="s">
        <v>47</v>
      </c>
      <c r="B24" s="4">
        <f>IFERROR(__xludf.DUMMYFUNCTION("SPLIT(A24,"","",0,0)"),45564.731944444444)</f>
        <v>45564.73194</v>
      </c>
      <c r="C24" s="5">
        <f>IFERROR(__xludf.DUMMYFUNCTION("""COMPUTED_VALUE"""),2796695.0)</f>
        <v>2796695</v>
      </c>
      <c r="D24" s="2" t="str">
        <f>IFERROR(__xludf.DUMMYFUNCTION("""COMPUTED_VALUE"""),"Sale")</f>
        <v>Sale</v>
      </c>
      <c r="E24" s="2" t="str">
        <f>IFERROR(__xludf.DUMMYFUNCTION("""COMPUTED_VALUE"""),"Roti")</f>
        <v>Roti</v>
      </c>
      <c r="F24" s="2">
        <f>IFERROR(__xludf.DUMMYFUNCTION("""COMPUTED_VALUE"""),10000.0)</f>
        <v>10000</v>
      </c>
      <c r="G24" s="2" t="str">
        <f>IFERROR(__xludf.DUMMYFUNCTION("""COMPUTED_VALUE"""),"Roti Bawang Saus Keju")</f>
        <v>Roti Bawang Saus Keju</v>
      </c>
      <c r="H24" s="2"/>
      <c r="I24" s="2"/>
      <c r="J24" s="2">
        <f>IFERROR(__xludf.DUMMYFUNCTION("""COMPUTED_VALUE"""),1.0)</f>
        <v>1</v>
      </c>
      <c r="K24" s="6">
        <f>IFERROR(__xludf.DUMMYFUNCTION("""COMPUTED_VALUE"""),29524.0)</f>
        <v>29524</v>
      </c>
      <c r="L24" s="2">
        <f>IFERROR(__xludf.DUMMYFUNCTION("""COMPUTED_VALUE"""),0.0)</f>
        <v>0</v>
      </c>
      <c r="M24" s="2">
        <f>IFERROR(__xludf.DUMMYFUNCTION("""COMPUTED_VALUE"""),29524.0)</f>
        <v>29524</v>
      </c>
      <c r="N24" s="2">
        <f>IFERROR(__xludf.DUMMYFUNCTION("""COMPUTED_VALUE"""),0.0)</f>
        <v>0</v>
      </c>
      <c r="O24" s="2">
        <f>IFERROR(__xludf.DUMMYFUNCTION("""COMPUTED_VALUE"""),29524.0)</f>
        <v>29524</v>
      </c>
      <c r="P24" s="2">
        <f>IFERROR(__xludf.DUMMYFUNCTION("""COMPUTED_VALUE"""),1476.0)</f>
        <v>1476</v>
      </c>
      <c r="Q24" s="2" t="str">
        <f>IFERROR(__xludf.DUMMYFUNCTION("""COMPUTED_VALUE"""),"Dine In")</f>
        <v>Dine In</v>
      </c>
      <c r="R24" s="2" t="str">
        <f>IFERROR(__xludf.DUMMYFUNCTION("""COMPUTED_VALUE"""),"Kedai")</f>
        <v>Kedai</v>
      </c>
      <c r="S24" s="2" t="str">
        <f>IFERROR(__xludf.DUMMYFUNCTION("""COMPUTED_VALUE"""),"Temu Roti")</f>
        <v>Temu Roti</v>
      </c>
      <c r="T24" s="2" t="str">
        <f>IFERROR(__xludf.DUMMYFUNCTION("""COMPUTED_VALUE"""),"Owner")</f>
        <v>Owner</v>
      </c>
      <c r="U24" s="2"/>
      <c r="V24" s="2"/>
      <c r="W24" s="2"/>
      <c r="X24" s="2" t="str">
        <f>IFERROR(__xludf.DUMMYFUNCTION("""COMPUTED_VALUE"""),"Closed")</f>
        <v>Closed</v>
      </c>
    </row>
    <row r="25">
      <c r="A25" s="3" t="s">
        <v>48</v>
      </c>
      <c r="B25" s="4">
        <f>IFERROR(__xludf.DUMMYFUNCTION("SPLIT(A25,"","",0,0)"),45564.731944444444)</f>
        <v>45564.73194</v>
      </c>
      <c r="C25" s="5">
        <f>IFERROR(__xludf.DUMMYFUNCTION("""COMPUTED_VALUE"""),2796695.0)</f>
        <v>2796695</v>
      </c>
      <c r="D25" s="2" t="str">
        <f>IFERROR(__xludf.DUMMYFUNCTION("""COMPUTED_VALUE"""),"Sale")</f>
        <v>Sale</v>
      </c>
      <c r="E25" s="2" t="str">
        <f>IFERROR(__xludf.DUMMYFUNCTION("""COMPUTED_VALUE"""),"Minuman")</f>
        <v>Minuman</v>
      </c>
      <c r="F25" s="2">
        <f>IFERROR(__xludf.DUMMYFUNCTION("""COMPUTED_VALUE"""),10120.0)</f>
        <v>10120</v>
      </c>
      <c r="G25" s="2" t="str">
        <f>IFERROR(__xludf.DUMMYFUNCTION("""COMPUTED_VALUE"""),"Lemon Tea Panas")</f>
        <v>Lemon Tea Panas</v>
      </c>
      <c r="H25" s="2"/>
      <c r="I25" s="2"/>
      <c r="J25" s="2">
        <f>IFERROR(__xludf.DUMMYFUNCTION("""COMPUTED_VALUE"""),1.0)</f>
        <v>1</v>
      </c>
      <c r="K25" s="6">
        <f>IFERROR(__xludf.DUMMYFUNCTION("""COMPUTED_VALUE"""),19524.0)</f>
        <v>19524</v>
      </c>
      <c r="L25" s="2">
        <f>IFERROR(__xludf.DUMMYFUNCTION("""COMPUTED_VALUE"""),0.0)</f>
        <v>0</v>
      </c>
      <c r="M25" s="2">
        <f>IFERROR(__xludf.DUMMYFUNCTION("""COMPUTED_VALUE"""),19524.0)</f>
        <v>19524</v>
      </c>
      <c r="N25" s="2">
        <f>IFERROR(__xludf.DUMMYFUNCTION("""COMPUTED_VALUE"""),0.0)</f>
        <v>0</v>
      </c>
      <c r="O25" s="2">
        <f>IFERROR(__xludf.DUMMYFUNCTION("""COMPUTED_VALUE"""),19524.0)</f>
        <v>19524</v>
      </c>
      <c r="P25" s="2">
        <f>IFERROR(__xludf.DUMMYFUNCTION("""COMPUTED_VALUE"""),976.0)</f>
        <v>976</v>
      </c>
      <c r="Q25" s="2" t="str">
        <f>IFERROR(__xludf.DUMMYFUNCTION("""COMPUTED_VALUE"""),"Dine In")</f>
        <v>Dine In</v>
      </c>
      <c r="R25" s="2" t="str">
        <f>IFERROR(__xludf.DUMMYFUNCTION("""COMPUTED_VALUE"""),"Kedai")</f>
        <v>Kedai</v>
      </c>
      <c r="S25" s="2" t="str">
        <f>IFERROR(__xludf.DUMMYFUNCTION("""COMPUTED_VALUE"""),"Temu Roti")</f>
        <v>Temu Roti</v>
      </c>
      <c r="T25" s="2" t="str">
        <f>IFERROR(__xludf.DUMMYFUNCTION("""COMPUTED_VALUE"""),"Owner")</f>
        <v>Owner</v>
      </c>
      <c r="U25" s="2"/>
      <c r="V25" s="2"/>
      <c r="W25" s="2"/>
      <c r="X25" s="2" t="str">
        <f>IFERROR(__xludf.DUMMYFUNCTION("""COMPUTED_VALUE"""),"Closed")</f>
        <v>Closed</v>
      </c>
    </row>
    <row r="26">
      <c r="A26" s="3" t="s">
        <v>49</v>
      </c>
      <c r="B26" s="4">
        <f>IFERROR(__xludf.DUMMYFUNCTION("SPLIT(A26,"","",0,0)"),45564.731944444444)</f>
        <v>45564.73194</v>
      </c>
      <c r="C26" s="5">
        <f>IFERROR(__xludf.DUMMYFUNCTION("""COMPUTED_VALUE"""),2796695.0)</f>
        <v>2796695</v>
      </c>
      <c r="D26" s="2" t="str">
        <f>IFERROR(__xludf.DUMMYFUNCTION("""COMPUTED_VALUE"""),"Sale")</f>
        <v>Sale</v>
      </c>
      <c r="E26" s="2" t="str">
        <f>IFERROR(__xludf.DUMMYFUNCTION("""COMPUTED_VALUE"""),"Minuman")</f>
        <v>Minuman</v>
      </c>
      <c r="F26" s="2">
        <f>IFERROR(__xludf.DUMMYFUNCTION("""COMPUTED_VALUE"""),10122.0)</f>
        <v>10122</v>
      </c>
      <c r="G26" s="2" t="str">
        <f>IFERROR(__xludf.DUMMYFUNCTION("""COMPUTED_VALUE"""),"Rempah Madu Panas")</f>
        <v>Rempah Madu Panas</v>
      </c>
      <c r="H26" s="2"/>
      <c r="I26" s="2"/>
      <c r="J26" s="2">
        <f>IFERROR(__xludf.DUMMYFUNCTION("""COMPUTED_VALUE"""),1.0)</f>
        <v>1</v>
      </c>
      <c r="K26" s="6">
        <f>IFERROR(__xludf.DUMMYFUNCTION("""COMPUTED_VALUE"""),21905.0)</f>
        <v>21905</v>
      </c>
      <c r="L26" s="2">
        <f>IFERROR(__xludf.DUMMYFUNCTION("""COMPUTED_VALUE"""),0.0)</f>
        <v>0</v>
      </c>
      <c r="M26" s="2">
        <f>IFERROR(__xludf.DUMMYFUNCTION("""COMPUTED_VALUE"""),21905.0)</f>
        <v>21905</v>
      </c>
      <c r="N26" s="2">
        <f>IFERROR(__xludf.DUMMYFUNCTION("""COMPUTED_VALUE"""),0.0)</f>
        <v>0</v>
      </c>
      <c r="O26" s="2">
        <f>IFERROR(__xludf.DUMMYFUNCTION("""COMPUTED_VALUE"""),21905.0)</f>
        <v>21905</v>
      </c>
      <c r="P26" s="2">
        <f>IFERROR(__xludf.DUMMYFUNCTION("""COMPUTED_VALUE"""),1096.0)</f>
        <v>1096</v>
      </c>
      <c r="Q26" s="2" t="str">
        <f>IFERROR(__xludf.DUMMYFUNCTION("""COMPUTED_VALUE"""),"Dine In")</f>
        <v>Dine In</v>
      </c>
      <c r="R26" s="2" t="str">
        <f>IFERROR(__xludf.DUMMYFUNCTION("""COMPUTED_VALUE"""),"Kedai")</f>
        <v>Kedai</v>
      </c>
      <c r="S26" s="2" t="str">
        <f>IFERROR(__xludf.DUMMYFUNCTION("""COMPUTED_VALUE"""),"Temu Roti")</f>
        <v>Temu Roti</v>
      </c>
      <c r="T26" s="2" t="str">
        <f>IFERROR(__xludf.DUMMYFUNCTION("""COMPUTED_VALUE"""),"Owner")</f>
        <v>Owner</v>
      </c>
      <c r="U26" s="2"/>
      <c r="V26" s="2"/>
      <c r="W26" s="2"/>
      <c r="X26" s="2" t="str">
        <f>IFERROR(__xludf.DUMMYFUNCTION("""COMPUTED_VALUE"""),"Closed")</f>
        <v>Closed</v>
      </c>
    </row>
    <row r="27">
      <c r="A27" s="3" t="s">
        <v>50</v>
      </c>
      <c r="B27" s="4">
        <f>IFERROR(__xludf.DUMMYFUNCTION("SPLIT(A27,"","",0,0)"),45564.729166666664)</f>
        <v>45564.72917</v>
      </c>
      <c r="C27" s="5">
        <f>IFERROR(__xludf.DUMMYFUNCTION("""COMPUTED_VALUE"""),2796329.0)</f>
        <v>2796329</v>
      </c>
      <c r="D27" s="2" t="str">
        <f>IFERROR(__xludf.DUMMYFUNCTION("""COMPUTED_VALUE"""),"Sale")</f>
        <v>Sale</v>
      </c>
      <c r="E27" s="2" t="str">
        <f>IFERROR(__xludf.DUMMYFUNCTION("""COMPUTED_VALUE"""),"Minuman")</f>
        <v>Minuman</v>
      </c>
      <c r="F27" s="2">
        <f>IFERROR(__xludf.DUMMYFUNCTION("""COMPUTED_VALUE"""),10128.0)</f>
        <v>10128</v>
      </c>
      <c r="G27" s="2" t="str">
        <f>IFERROR(__xludf.DUMMYFUNCTION("""COMPUTED_VALUE"""),"Es Kopi Susu")</f>
        <v>Es Kopi Susu</v>
      </c>
      <c r="H27" s="2"/>
      <c r="I27" s="2"/>
      <c r="J27" s="2">
        <f>IFERROR(__xludf.DUMMYFUNCTION("""COMPUTED_VALUE"""),1.0)</f>
        <v>1</v>
      </c>
      <c r="K27" s="6">
        <f>IFERROR(__xludf.DUMMYFUNCTION("""COMPUTED_VALUE"""),23333.0)</f>
        <v>23333</v>
      </c>
      <c r="L27" s="2">
        <f>IFERROR(__xludf.DUMMYFUNCTION("""COMPUTED_VALUE"""),0.0)</f>
        <v>0</v>
      </c>
      <c r="M27" s="2">
        <f>IFERROR(__xludf.DUMMYFUNCTION("""COMPUTED_VALUE"""),23333.0)</f>
        <v>23333</v>
      </c>
      <c r="N27" s="2">
        <f>IFERROR(__xludf.DUMMYFUNCTION("""COMPUTED_VALUE"""),0.0)</f>
        <v>0</v>
      </c>
      <c r="O27" s="2">
        <f>IFERROR(__xludf.DUMMYFUNCTION("""COMPUTED_VALUE"""),23333.0)</f>
        <v>23333</v>
      </c>
      <c r="P27" s="2">
        <f>IFERROR(__xludf.DUMMYFUNCTION("""COMPUTED_VALUE"""),1167.0)</f>
        <v>1167</v>
      </c>
      <c r="Q27" s="2" t="str">
        <f>IFERROR(__xludf.DUMMYFUNCTION("""COMPUTED_VALUE"""),"Dine In")</f>
        <v>Dine In</v>
      </c>
      <c r="R27" s="2" t="str">
        <f>IFERROR(__xludf.DUMMYFUNCTION("""COMPUTED_VALUE"""),"Kedai")</f>
        <v>Kedai</v>
      </c>
      <c r="S27" s="2" t="str">
        <f>IFERROR(__xludf.DUMMYFUNCTION("""COMPUTED_VALUE"""),"Temu Roti")</f>
        <v>Temu Roti</v>
      </c>
      <c r="T27" s="2" t="str">
        <f>IFERROR(__xludf.DUMMYFUNCTION("""COMPUTED_VALUE"""),"Owner")</f>
        <v>Owner</v>
      </c>
      <c r="U27" s="2"/>
      <c r="V27" s="2"/>
      <c r="W27" s="2"/>
      <c r="X27" s="2" t="str">
        <f>IFERROR(__xludf.DUMMYFUNCTION("""COMPUTED_VALUE"""),"Closed")</f>
        <v>Closed</v>
      </c>
    </row>
    <row r="28">
      <c r="A28" s="3" t="s">
        <v>51</v>
      </c>
      <c r="B28" s="4">
        <f>IFERROR(__xludf.DUMMYFUNCTION("SPLIT(A28,"","",0,0)"),45564.729166666664)</f>
        <v>45564.72917</v>
      </c>
      <c r="C28" s="5">
        <f>IFERROR(__xludf.DUMMYFUNCTION("""COMPUTED_VALUE"""),2796329.0)</f>
        <v>2796329</v>
      </c>
      <c r="D28" s="2" t="str">
        <f>IFERROR(__xludf.DUMMYFUNCTION("""COMPUTED_VALUE"""),"Sale")</f>
        <v>Sale</v>
      </c>
      <c r="E28" s="2" t="str">
        <f>IFERROR(__xludf.DUMMYFUNCTION("""COMPUTED_VALUE"""),"Roti")</f>
        <v>Roti</v>
      </c>
      <c r="F28" s="2">
        <f>IFERROR(__xludf.DUMMYFUNCTION("""COMPUTED_VALUE"""),10002.0)</f>
        <v>10002</v>
      </c>
      <c r="G28" s="2" t="str">
        <f>IFERROR(__xludf.DUMMYFUNCTION("""COMPUTED_VALUE"""),"Roti Cranberry")</f>
        <v>Roti Cranberry</v>
      </c>
      <c r="H28" s="2"/>
      <c r="I28" s="2"/>
      <c r="J28" s="2">
        <f>IFERROR(__xludf.DUMMYFUNCTION("""COMPUTED_VALUE"""),1.0)</f>
        <v>1</v>
      </c>
      <c r="K28" s="6">
        <f>IFERROR(__xludf.DUMMYFUNCTION("""COMPUTED_VALUE"""),18571.0)</f>
        <v>18571</v>
      </c>
      <c r="L28" s="2">
        <f>IFERROR(__xludf.DUMMYFUNCTION("""COMPUTED_VALUE"""),0.0)</f>
        <v>0</v>
      </c>
      <c r="M28" s="2">
        <f>IFERROR(__xludf.DUMMYFUNCTION("""COMPUTED_VALUE"""),18571.0)</f>
        <v>18571</v>
      </c>
      <c r="N28" s="2">
        <f>IFERROR(__xludf.DUMMYFUNCTION("""COMPUTED_VALUE"""),0.0)</f>
        <v>0</v>
      </c>
      <c r="O28" s="2">
        <f>IFERROR(__xludf.DUMMYFUNCTION("""COMPUTED_VALUE"""),18571.0)</f>
        <v>18571</v>
      </c>
      <c r="P28" s="2">
        <f>IFERROR(__xludf.DUMMYFUNCTION("""COMPUTED_VALUE"""),928.0)</f>
        <v>928</v>
      </c>
      <c r="Q28" s="2" t="str">
        <f>IFERROR(__xludf.DUMMYFUNCTION("""COMPUTED_VALUE"""),"Dine In")</f>
        <v>Dine In</v>
      </c>
      <c r="R28" s="2" t="str">
        <f>IFERROR(__xludf.DUMMYFUNCTION("""COMPUTED_VALUE"""),"Kedai")</f>
        <v>Kedai</v>
      </c>
      <c r="S28" s="2" t="str">
        <f>IFERROR(__xludf.DUMMYFUNCTION("""COMPUTED_VALUE"""),"Temu Roti")</f>
        <v>Temu Roti</v>
      </c>
      <c r="T28" s="2" t="str">
        <f>IFERROR(__xludf.DUMMYFUNCTION("""COMPUTED_VALUE"""),"Owner")</f>
        <v>Owner</v>
      </c>
      <c r="U28" s="2"/>
      <c r="V28" s="2"/>
      <c r="W28" s="2"/>
      <c r="X28" s="2" t="str">
        <f>IFERROR(__xludf.DUMMYFUNCTION("""COMPUTED_VALUE"""),"Closed")</f>
        <v>Closed</v>
      </c>
    </row>
    <row r="29">
      <c r="A29" s="3" t="s">
        <v>52</v>
      </c>
      <c r="B29" s="4">
        <f>IFERROR(__xludf.DUMMYFUNCTION("SPLIT(A29,"","",0,0)"),45564.71875)</f>
        <v>45564.71875</v>
      </c>
      <c r="C29" s="5">
        <f>IFERROR(__xludf.DUMMYFUNCTION("""COMPUTED_VALUE"""),2795964.0)</f>
        <v>2795964</v>
      </c>
      <c r="D29" s="2" t="str">
        <f>IFERROR(__xludf.DUMMYFUNCTION("""COMPUTED_VALUE"""),"Sale")</f>
        <v>Sale</v>
      </c>
      <c r="E29" s="2" t="str">
        <f>IFERROR(__xludf.DUMMYFUNCTION("""COMPUTED_VALUE"""),"Roti")</f>
        <v>Roti</v>
      </c>
      <c r="F29" s="2">
        <f>IFERROR(__xludf.DUMMYFUNCTION("""COMPUTED_VALUE"""),10000.0)</f>
        <v>10000</v>
      </c>
      <c r="G29" s="2" t="str">
        <f>IFERROR(__xludf.DUMMYFUNCTION("""COMPUTED_VALUE"""),"Roti Bawang Saus Keju")</f>
        <v>Roti Bawang Saus Keju</v>
      </c>
      <c r="H29" s="2"/>
      <c r="I29" s="2"/>
      <c r="J29" s="2">
        <f>IFERROR(__xludf.DUMMYFUNCTION("""COMPUTED_VALUE"""),1.0)</f>
        <v>1</v>
      </c>
      <c r="K29" s="6">
        <f>IFERROR(__xludf.DUMMYFUNCTION("""COMPUTED_VALUE"""),29524.0)</f>
        <v>29524</v>
      </c>
      <c r="L29" s="2">
        <f>IFERROR(__xludf.DUMMYFUNCTION("""COMPUTED_VALUE"""),0.0)</f>
        <v>0</v>
      </c>
      <c r="M29" s="2">
        <f>IFERROR(__xludf.DUMMYFUNCTION("""COMPUTED_VALUE"""),29524.0)</f>
        <v>29524</v>
      </c>
      <c r="N29" s="2">
        <f>IFERROR(__xludf.DUMMYFUNCTION("""COMPUTED_VALUE"""),0.0)</f>
        <v>0</v>
      </c>
      <c r="O29" s="2">
        <f>IFERROR(__xludf.DUMMYFUNCTION("""COMPUTED_VALUE"""),29524.0)</f>
        <v>29524</v>
      </c>
      <c r="P29" s="2">
        <f>IFERROR(__xludf.DUMMYFUNCTION("""COMPUTED_VALUE"""),1476.0)</f>
        <v>1476</v>
      </c>
      <c r="Q29" s="2" t="str">
        <f>IFERROR(__xludf.DUMMYFUNCTION("""COMPUTED_VALUE"""),"Dine In")</f>
        <v>Dine In</v>
      </c>
      <c r="R29" s="2" t="str">
        <f>IFERROR(__xludf.DUMMYFUNCTION("""COMPUTED_VALUE"""),"Kedai")</f>
        <v>Kedai</v>
      </c>
      <c r="S29" s="2" t="str">
        <f>IFERROR(__xludf.DUMMYFUNCTION("""COMPUTED_VALUE"""),"Temu Roti")</f>
        <v>Temu Roti</v>
      </c>
      <c r="T29" s="2" t="str">
        <f>IFERROR(__xludf.DUMMYFUNCTION("""COMPUTED_VALUE"""),"Owner")</f>
        <v>Owner</v>
      </c>
      <c r="U29" s="2"/>
      <c r="V29" s="2"/>
      <c r="W29" s="2"/>
      <c r="X29" s="2" t="str">
        <f>IFERROR(__xludf.DUMMYFUNCTION("""COMPUTED_VALUE"""),"Closed")</f>
        <v>Closed</v>
      </c>
    </row>
    <row r="30">
      <c r="A30" s="3" t="s">
        <v>53</v>
      </c>
      <c r="B30" s="4">
        <f>IFERROR(__xludf.DUMMYFUNCTION("SPLIT(A30,"","",0,0)"),45564.71875)</f>
        <v>45564.71875</v>
      </c>
      <c r="C30" s="5">
        <f>IFERROR(__xludf.DUMMYFUNCTION("""COMPUTED_VALUE"""),2795964.0)</f>
        <v>2795964</v>
      </c>
      <c r="D30" s="2" t="str">
        <f>IFERROR(__xludf.DUMMYFUNCTION("""COMPUTED_VALUE"""),"Sale")</f>
        <v>Sale</v>
      </c>
      <c r="E30" s="2" t="str">
        <f>IFERROR(__xludf.DUMMYFUNCTION("""COMPUTED_VALUE"""),"Minuman")</f>
        <v>Minuman</v>
      </c>
      <c r="F30" s="2">
        <f>IFERROR(__xludf.DUMMYFUNCTION("""COMPUTED_VALUE"""),10013.0)</f>
        <v>10013</v>
      </c>
      <c r="G30" s="2" t="str">
        <f>IFERROR(__xludf.DUMMYFUNCTION("""COMPUTED_VALUE"""),"Kopi cur")</f>
        <v>Kopi cur</v>
      </c>
      <c r="H30" s="2"/>
      <c r="I30" s="2"/>
      <c r="J30" s="2">
        <f>IFERROR(__xludf.DUMMYFUNCTION("""COMPUTED_VALUE"""),1.0)</f>
        <v>1</v>
      </c>
      <c r="K30" s="6">
        <f>IFERROR(__xludf.DUMMYFUNCTION("""COMPUTED_VALUE"""),23333.0)</f>
        <v>23333</v>
      </c>
      <c r="L30" s="2">
        <f>IFERROR(__xludf.DUMMYFUNCTION("""COMPUTED_VALUE"""),0.0)</f>
        <v>0</v>
      </c>
      <c r="M30" s="2">
        <f>IFERROR(__xludf.DUMMYFUNCTION("""COMPUTED_VALUE"""),23333.0)</f>
        <v>23333</v>
      </c>
      <c r="N30" s="2">
        <f>IFERROR(__xludf.DUMMYFUNCTION("""COMPUTED_VALUE"""),0.0)</f>
        <v>0</v>
      </c>
      <c r="O30" s="2">
        <f>IFERROR(__xludf.DUMMYFUNCTION("""COMPUTED_VALUE"""),23333.0)</f>
        <v>23333</v>
      </c>
      <c r="P30" s="2">
        <f>IFERROR(__xludf.DUMMYFUNCTION("""COMPUTED_VALUE"""),1167.0)</f>
        <v>1167</v>
      </c>
      <c r="Q30" s="2" t="str">
        <f>IFERROR(__xludf.DUMMYFUNCTION("""COMPUTED_VALUE"""),"Dine In")</f>
        <v>Dine In</v>
      </c>
      <c r="R30" s="2" t="str">
        <f>IFERROR(__xludf.DUMMYFUNCTION("""COMPUTED_VALUE"""),"Kedai")</f>
        <v>Kedai</v>
      </c>
      <c r="S30" s="2" t="str">
        <f>IFERROR(__xludf.DUMMYFUNCTION("""COMPUTED_VALUE"""),"Temu Roti")</f>
        <v>Temu Roti</v>
      </c>
      <c r="T30" s="2" t="str">
        <f>IFERROR(__xludf.DUMMYFUNCTION("""COMPUTED_VALUE"""),"Owner")</f>
        <v>Owner</v>
      </c>
      <c r="U30" s="2"/>
      <c r="V30" s="2"/>
      <c r="W30" s="2"/>
      <c r="X30" s="2" t="str">
        <f>IFERROR(__xludf.DUMMYFUNCTION("""COMPUTED_VALUE"""),"Closed")</f>
        <v>Closed</v>
      </c>
    </row>
    <row r="31">
      <c r="A31" s="3" t="s">
        <v>54</v>
      </c>
      <c r="B31" s="4">
        <f>IFERROR(__xludf.DUMMYFUNCTION("SPLIT(A31,"","",0,0)"),45564.71875)</f>
        <v>45564.71875</v>
      </c>
      <c r="C31" s="5">
        <f>IFERROR(__xludf.DUMMYFUNCTION("""COMPUTED_VALUE"""),2795964.0)</f>
        <v>2795964</v>
      </c>
      <c r="D31" s="2" t="str">
        <f>IFERROR(__xludf.DUMMYFUNCTION("""COMPUTED_VALUE"""),"Sale")</f>
        <v>Sale</v>
      </c>
      <c r="E31" s="2" t="str">
        <f>IFERROR(__xludf.DUMMYFUNCTION("""COMPUTED_VALUE"""),"Minuman")</f>
        <v>Minuman</v>
      </c>
      <c r="F31" s="2">
        <f>IFERROR(__xludf.DUMMYFUNCTION("""COMPUTED_VALUE"""),10127.0)</f>
        <v>10127</v>
      </c>
      <c r="G31" s="2" t="str">
        <f>IFERROR(__xludf.DUMMYFUNCTION("""COMPUTED_VALUE"""),"Kopi Tubruk Panas")</f>
        <v>Kopi Tubruk Panas</v>
      </c>
      <c r="H31" s="2"/>
      <c r="I31" s="2"/>
      <c r="J31" s="2">
        <f>IFERROR(__xludf.DUMMYFUNCTION("""COMPUTED_VALUE"""),1.0)</f>
        <v>1</v>
      </c>
      <c r="K31" s="6">
        <f>IFERROR(__xludf.DUMMYFUNCTION("""COMPUTED_VALUE"""),18571.0)</f>
        <v>18571</v>
      </c>
      <c r="L31" s="2">
        <f>IFERROR(__xludf.DUMMYFUNCTION("""COMPUTED_VALUE"""),0.0)</f>
        <v>0</v>
      </c>
      <c r="M31" s="2">
        <f>IFERROR(__xludf.DUMMYFUNCTION("""COMPUTED_VALUE"""),18571.0)</f>
        <v>18571</v>
      </c>
      <c r="N31" s="2">
        <f>IFERROR(__xludf.DUMMYFUNCTION("""COMPUTED_VALUE"""),0.0)</f>
        <v>0</v>
      </c>
      <c r="O31" s="2">
        <f>IFERROR(__xludf.DUMMYFUNCTION("""COMPUTED_VALUE"""),18571.0)</f>
        <v>18571</v>
      </c>
      <c r="P31" s="2">
        <f>IFERROR(__xludf.DUMMYFUNCTION("""COMPUTED_VALUE"""),928.0)</f>
        <v>928</v>
      </c>
      <c r="Q31" s="2" t="str">
        <f>IFERROR(__xludf.DUMMYFUNCTION("""COMPUTED_VALUE"""),"Dine In")</f>
        <v>Dine In</v>
      </c>
      <c r="R31" s="2" t="str">
        <f>IFERROR(__xludf.DUMMYFUNCTION("""COMPUTED_VALUE"""),"Kedai")</f>
        <v>Kedai</v>
      </c>
      <c r="S31" s="2" t="str">
        <f>IFERROR(__xludf.DUMMYFUNCTION("""COMPUTED_VALUE"""),"Temu Roti")</f>
        <v>Temu Roti</v>
      </c>
      <c r="T31" s="2" t="str">
        <f>IFERROR(__xludf.DUMMYFUNCTION("""COMPUTED_VALUE"""),"Owner")</f>
        <v>Owner</v>
      </c>
      <c r="U31" s="2"/>
      <c r="V31" s="2"/>
      <c r="W31" s="2"/>
      <c r="X31" s="2" t="str">
        <f>IFERROR(__xludf.DUMMYFUNCTION("""COMPUTED_VALUE"""),"Closed")</f>
        <v>Closed</v>
      </c>
    </row>
    <row r="32">
      <c r="A32" s="3" t="s">
        <v>55</v>
      </c>
      <c r="B32" s="4">
        <f>IFERROR(__xludf.DUMMYFUNCTION("SPLIT(A32,"","",0,0)"),45564.71875)</f>
        <v>45564.71875</v>
      </c>
      <c r="C32" s="5">
        <f>IFERROR(__xludf.DUMMYFUNCTION("""COMPUTED_VALUE"""),2795964.0)</f>
        <v>2795964</v>
      </c>
      <c r="D32" s="2" t="str">
        <f>IFERROR(__xludf.DUMMYFUNCTION("""COMPUTED_VALUE"""),"Sale")</f>
        <v>Sale</v>
      </c>
      <c r="E32" s="2" t="str">
        <f>IFERROR(__xludf.DUMMYFUNCTION("""COMPUTED_VALUE"""),"Minuman")</f>
        <v>Minuman</v>
      </c>
      <c r="F32" s="2">
        <f>IFERROR(__xludf.DUMMYFUNCTION("""COMPUTED_VALUE"""),10070.0)</f>
        <v>10070</v>
      </c>
      <c r="G32" s="2" t="str">
        <f>IFERROR(__xludf.DUMMYFUNCTION("""COMPUTED_VALUE"""),"Wedang laut")</f>
        <v>Wedang laut</v>
      </c>
      <c r="H32" s="2"/>
      <c r="I32" s="2"/>
      <c r="J32" s="2">
        <f>IFERROR(__xludf.DUMMYFUNCTION("""COMPUTED_VALUE"""),1.0)</f>
        <v>1</v>
      </c>
      <c r="K32" s="6">
        <f>IFERROR(__xludf.DUMMYFUNCTION("""COMPUTED_VALUE"""),24762.0)</f>
        <v>24762</v>
      </c>
      <c r="L32" s="2">
        <f>IFERROR(__xludf.DUMMYFUNCTION("""COMPUTED_VALUE"""),0.0)</f>
        <v>0</v>
      </c>
      <c r="M32" s="2">
        <f>IFERROR(__xludf.DUMMYFUNCTION("""COMPUTED_VALUE"""),24762.0)</f>
        <v>24762</v>
      </c>
      <c r="N32" s="2">
        <f>IFERROR(__xludf.DUMMYFUNCTION("""COMPUTED_VALUE"""),0.0)</f>
        <v>0</v>
      </c>
      <c r="O32" s="2">
        <f>IFERROR(__xludf.DUMMYFUNCTION("""COMPUTED_VALUE"""),24762.0)</f>
        <v>24762</v>
      </c>
      <c r="P32" s="2">
        <f>IFERROR(__xludf.DUMMYFUNCTION("""COMPUTED_VALUE"""),1239.0)</f>
        <v>1239</v>
      </c>
      <c r="Q32" s="2" t="str">
        <f>IFERROR(__xludf.DUMMYFUNCTION("""COMPUTED_VALUE"""),"Dine In")</f>
        <v>Dine In</v>
      </c>
      <c r="R32" s="2" t="str">
        <f>IFERROR(__xludf.DUMMYFUNCTION("""COMPUTED_VALUE"""),"Kedai")</f>
        <v>Kedai</v>
      </c>
      <c r="S32" s="2" t="str">
        <f>IFERROR(__xludf.DUMMYFUNCTION("""COMPUTED_VALUE"""),"Temu Roti")</f>
        <v>Temu Roti</v>
      </c>
      <c r="T32" s="2" t="str">
        <f>IFERROR(__xludf.DUMMYFUNCTION("""COMPUTED_VALUE"""),"Owner")</f>
        <v>Owner</v>
      </c>
      <c r="U32" s="2"/>
      <c r="V32" s="2"/>
      <c r="W32" s="2"/>
      <c r="X32" s="2" t="str">
        <f>IFERROR(__xludf.DUMMYFUNCTION("""COMPUTED_VALUE"""),"Closed")</f>
        <v>Closed</v>
      </c>
    </row>
    <row r="33">
      <c r="A33" s="3" t="s">
        <v>56</v>
      </c>
      <c r="B33" s="4">
        <f>IFERROR(__xludf.DUMMYFUNCTION("SPLIT(A33,"","",0,0)"),45564.717361111114)</f>
        <v>45564.71736</v>
      </c>
      <c r="C33" s="5">
        <f>IFERROR(__xludf.DUMMYFUNCTION("""COMPUTED_VALUE"""),2795599.0)</f>
        <v>2795599</v>
      </c>
      <c r="D33" s="2" t="str">
        <f>IFERROR(__xludf.DUMMYFUNCTION("""COMPUTED_VALUE"""),"Sale")</f>
        <v>Sale</v>
      </c>
      <c r="E33" s="2" t="str">
        <f>IFERROR(__xludf.DUMMYFUNCTION("""COMPUTED_VALUE"""),"Minuman")</f>
        <v>Minuman</v>
      </c>
      <c r="F33" s="2">
        <f>IFERROR(__xludf.DUMMYFUNCTION("""COMPUTED_VALUE"""),10128.0)</f>
        <v>10128</v>
      </c>
      <c r="G33" s="2" t="str">
        <f>IFERROR(__xludf.DUMMYFUNCTION("""COMPUTED_VALUE"""),"Es Kopi Susu")</f>
        <v>Es Kopi Susu</v>
      </c>
      <c r="H33" s="2"/>
      <c r="I33" s="2"/>
      <c r="J33" s="2">
        <f>IFERROR(__xludf.DUMMYFUNCTION("""COMPUTED_VALUE"""),1.0)</f>
        <v>1</v>
      </c>
      <c r="K33" s="6">
        <f>IFERROR(__xludf.DUMMYFUNCTION("""COMPUTED_VALUE"""),23333.0)</f>
        <v>23333</v>
      </c>
      <c r="L33" s="2">
        <f>IFERROR(__xludf.DUMMYFUNCTION("""COMPUTED_VALUE"""),0.0)</f>
        <v>0</v>
      </c>
      <c r="M33" s="2">
        <f>IFERROR(__xludf.DUMMYFUNCTION("""COMPUTED_VALUE"""),23333.0)</f>
        <v>23333</v>
      </c>
      <c r="N33" s="2">
        <f>IFERROR(__xludf.DUMMYFUNCTION("""COMPUTED_VALUE"""),0.0)</f>
        <v>0</v>
      </c>
      <c r="O33" s="2">
        <f>IFERROR(__xludf.DUMMYFUNCTION("""COMPUTED_VALUE"""),23333.0)</f>
        <v>23333</v>
      </c>
      <c r="P33" s="2">
        <f>IFERROR(__xludf.DUMMYFUNCTION("""COMPUTED_VALUE"""),1167.0)</f>
        <v>1167</v>
      </c>
      <c r="Q33" s="2" t="str">
        <f>IFERROR(__xludf.DUMMYFUNCTION("""COMPUTED_VALUE"""),"Dine In")</f>
        <v>Dine In</v>
      </c>
      <c r="R33" s="2" t="str">
        <f>IFERROR(__xludf.DUMMYFUNCTION("""COMPUTED_VALUE"""),"Kedai")</f>
        <v>Kedai</v>
      </c>
      <c r="S33" s="2" t="str">
        <f>IFERROR(__xludf.DUMMYFUNCTION("""COMPUTED_VALUE"""),"Temu Roti")</f>
        <v>Temu Roti</v>
      </c>
      <c r="T33" s="2" t="str">
        <f>IFERROR(__xludf.DUMMYFUNCTION("""COMPUTED_VALUE"""),"Owner")</f>
        <v>Owner</v>
      </c>
      <c r="U33" s="2"/>
      <c r="V33" s="2"/>
      <c r="W33" s="2"/>
      <c r="X33" s="2" t="str">
        <f>IFERROR(__xludf.DUMMYFUNCTION("""COMPUTED_VALUE"""),"Closed")</f>
        <v>Closed</v>
      </c>
    </row>
    <row r="34">
      <c r="A34" s="3" t="s">
        <v>57</v>
      </c>
      <c r="B34" s="4">
        <f>IFERROR(__xludf.DUMMYFUNCTION("SPLIT(A34,"","",0,0)"),45564.70694444444)</f>
        <v>45564.70694</v>
      </c>
      <c r="C34" s="5">
        <f>IFERROR(__xludf.DUMMYFUNCTION("""COMPUTED_VALUE"""),2795234.0)</f>
        <v>2795234</v>
      </c>
      <c r="D34" s="2" t="str">
        <f>IFERROR(__xludf.DUMMYFUNCTION("""COMPUTED_VALUE"""),"Sale")</f>
        <v>Sale</v>
      </c>
      <c r="E34" s="2" t="str">
        <f>IFERROR(__xludf.DUMMYFUNCTION("""COMPUTED_VALUE"""),"Minuman")</f>
        <v>Minuman</v>
      </c>
      <c r="F34" s="2">
        <f>IFERROR(__xludf.DUMMYFUNCTION("""COMPUTED_VALUE"""),10128.0)</f>
        <v>10128</v>
      </c>
      <c r="G34" s="2" t="str">
        <f>IFERROR(__xludf.DUMMYFUNCTION("""COMPUTED_VALUE"""),"Es Kopi Susu")</f>
        <v>Es Kopi Susu</v>
      </c>
      <c r="H34" s="2"/>
      <c r="I34" s="2"/>
      <c r="J34" s="2">
        <f>IFERROR(__xludf.DUMMYFUNCTION("""COMPUTED_VALUE"""),2.0)</f>
        <v>2</v>
      </c>
      <c r="K34" s="6">
        <f>IFERROR(__xludf.DUMMYFUNCTION("""COMPUTED_VALUE"""),46666.0)</f>
        <v>46666</v>
      </c>
      <c r="L34" s="2">
        <f>IFERROR(__xludf.DUMMYFUNCTION("""COMPUTED_VALUE"""),0.0)</f>
        <v>0</v>
      </c>
      <c r="M34" s="2">
        <f>IFERROR(__xludf.DUMMYFUNCTION("""COMPUTED_VALUE"""),46666.0)</f>
        <v>46666</v>
      </c>
      <c r="N34" s="2">
        <f>IFERROR(__xludf.DUMMYFUNCTION("""COMPUTED_VALUE"""),0.0)</f>
        <v>0</v>
      </c>
      <c r="O34" s="2">
        <f>IFERROR(__xludf.DUMMYFUNCTION("""COMPUTED_VALUE"""),46666.0)</f>
        <v>46666</v>
      </c>
      <c r="P34" s="2">
        <f>IFERROR(__xludf.DUMMYFUNCTION("""COMPUTED_VALUE"""),2333.0)</f>
        <v>2333</v>
      </c>
      <c r="Q34" s="2" t="str">
        <f>IFERROR(__xludf.DUMMYFUNCTION("""COMPUTED_VALUE"""),"Dine In")</f>
        <v>Dine In</v>
      </c>
      <c r="R34" s="2" t="str">
        <f>IFERROR(__xludf.DUMMYFUNCTION("""COMPUTED_VALUE"""),"Kedai")</f>
        <v>Kedai</v>
      </c>
      <c r="S34" s="2" t="str">
        <f>IFERROR(__xludf.DUMMYFUNCTION("""COMPUTED_VALUE"""),"Temu Roti")</f>
        <v>Temu Roti</v>
      </c>
      <c r="T34" s="2" t="str">
        <f>IFERROR(__xludf.DUMMYFUNCTION("""COMPUTED_VALUE"""),"Owner")</f>
        <v>Owner</v>
      </c>
      <c r="U34" s="2"/>
      <c r="V34" s="2"/>
      <c r="W34" s="2"/>
      <c r="X34" s="2" t="str">
        <f>IFERROR(__xludf.DUMMYFUNCTION("""COMPUTED_VALUE"""),"Closed")</f>
        <v>Closed</v>
      </c>
    </row>
    <row r="35">
      <c r="A35" s="3" t="s">
        <v>58</v>
      </c>
      <c r="B35" s="4">
        <f>IFERROR(__xludf.DUMMYFUNCTION("SPLIT(A35,"","",0,0)"),45564.69930555556)</f>
        <v>45564.69931</v>
      </c>
      <c r="C35" s="5">
        <f>IFERROR(__xludf.DUMMYFUNCTION("""COMPUTED_VALUE"""),2794868.0)</f>
        <v>2794868</v>
      </c>
      <c r="D35" s="2" t="str">
        <f>IFERROR(__xludf.DUMMYFUNCTION("""COMPUTED_VALUE"""),"Sale")</f>
        <v>Sale</v>
      </c>
      <c r="E35" s="2" t="str">
        <f>IFERROR(__xludf.DUMMYFUNCTION("""COMPUTED_VALUE"""),"Minuman")</f>
        <v>Minuman</v>
      </c>
      <c r="F35" s="2">
        <f>IFERROR(__xludf.DUMMYFUNCTION("""COMPUTED_VALUE"""),10063.0)</f>
        <v>10063</v>
      </c>
      <c r="G35" s="2" t="str">
        <f>IFERROR(__xludf.DUMMYFUNCTION("""COMPUTED_VALUE"""),"Wedang Bulan")</f>
        <v>Wedang Bulan</v>
      </c>
      <c r="H35" s="2"/>
      <c r="I35" s="2"/>
      <c r="J35" s="2">
        <f>IFERROR(__xludf.DUMMYFUNCTION("""COMPUTED_VALUE"""),1.0)</f>
        <v>1</v>
      </c>
      <c r="K35" s="6">
        <f>IFERROR(__xludf.DUMMYFUNCTION("""COMPUTED_VALUE"""),24762.0)</f>
        <v>24762</v>
      </c>
      <c r="L35" s="2">
        <f>IFERROR(__xludf.DUMMYFUNCTION("""COMPUTED_VALUE"""),0.0)</f>
        <v>0</v>
      </c>
      <c r="M35" s="2">
        <f>IFERROR(__xludf.DUMMYFUNCTION("""COMPUTED_VALUE"""),24762.0)</f>
        <v>24762</v>
      </c>
      <c r="N35" s="2">
        <f>IFERROR(__xludf.DUMMYFUNCTION("""COMPUTED_VALUE"""),0.0)</f>
        <v>0</v>
      </c>
      <c r="O35" s="2">
        <f>IFERROR(__xludf.DUMMYFUNCTION("""COMPUTED_VALUE"""),24762.0)</f>
        <v>24762</v>
      </c>
      <c r="P35" s="2">
        <f>IFERROR(__xludf.DUMMYFUNCTION("""COMPUTED_VALUE"""),1238.0)</f>
        <v>1238</v>
      </c>
      <c r="Q35" s="2" t="str">
        <f>IFERROR(__xludf.DUMMYFUNCTION("""COMPUTED_VALUE"""),"Dine In")</f>
        <v>Dine In</v>
      </c>
      <c r="R35" s="2" t="str">
        <f>IFERROR(__xludf.DUMMYFUNCTION("""COMPUTED_VALUE"""),"Kedai")</f>
        <v>Kedai</v>
      </c>
      <c r="S35" s="2" t="str">
        <f>IFERROR(__xludf.DUMMYFUNCTION("""COMPUTED_VALUE"""),"Temu Roti")</f>
        <v>Temu Roti</v>
      </c>
      <c r="T35" s="2" t="str">
        <f>IFERROR(__xludf.DUMMYFUNCTION("""COMPUTED_VALUE"""),"Owner")</f>
        <v>Owner</v>
      </c>
      <c r="U35" s="2"/>
      <c r="V35" s="2"/>
      <c r="W35" s="2"/>
      <c r="X35" s="2" t="str">
        <f>IFERROR(__xludf.DUMMYFUNCTION("""COMPUTED_VALUE"""),"Closed")</f>
        <v>Closed</v>
      </c>
    </row>
    <row r="36">
      <c r="A36" s="3" t="s">
        <v>59</v>
      </c>
      <c r="B36" s="4">
        <f>IFERROR(__xludf.DUMMYFUNCTION("SPLIT(A36,"","",0,0)"),45564.69930555556)</f>
        <v>45564.69931</v>
      </c>
      <c r="C36" s="5">
        <f>IFERROR(__xludf.DUMMYFUNCTION("""COMPUTED_VALUE"""),2794868.0)</f>
        <v>2794868</v>
      </c>
      <c r="D36" s="2" t="str">
        <f>IFERROR(__xludf.DUMMYFUNCTION("""COMPUTED_VALUE"""),"Sale")</f>
        <v>Sale</v>
      </c>
      <c r="E36" s="2" t="str">
        <f>IFERROR(__xludf.DUMMYFUNCTION("""COMPUTED_VALUE"""),"Minuman")</f>
        <v>Minuman</v>
      </c>
      <c r="F36" s="2">
        <f>IFERROR(__xludf.DUMMYFUNCTION("""COMPUTED_VALUE"""),10107.0)</f>
        <v>10107</v>
      </c>
      <c r="G36" s="2" t="str">
        <f>IFERROR(__xludf.DUMMYFUNCTION("""COMPUTED_VALUE"""),"Korean Mango Fresh Milk")</f>
        <v>Korean Mango Fresh Milk</v>
      </c>
      <c r="H36" s="2"/>
      <c r="I36" s="2"/>
      <c r="J36" s="2">
        <f>IFERROR(__xludf.DUMMYFUNCTION("""COMPUTED_VALUE"""),1.0)</f>
        <v>1</v>
      </c>
      <c r="K36" s="6">
        <f>IFERROR(__xludf.DUMMYFUNCTION("""COMPUTED_VALUE"""),26667.0)</f>
        <v>26667</v>
      </c>
      <c r="L36" s="2">
        <f>IFERROR(__xludf.DUMMYFUNCTION("""COMPUTED_VALUE"""),0.0)</f>
        <v>0</v>
      </c>
      <c r="M36" s="2">
        <f>IFERROR(__xludf.DUMMYFUNCTION("""COMPUTED_VALUE"""),26667.0)</f>
        <v>26667</v>
      </c>
      <c r="N36" s="2">
        <f>IFERROR(__xludf.DUMMYFUNCTION("""COMPUTED_VALUE"""),0.0)</f>
        <v>0</v>
      </c>
      <c r="O36" s="2">
        <f>IFERROR(__xludf.DUMMYFUNCTION("""COMPUTED_VALUE"""),26667.0)</f>
        <v>26667</v>
      </c>
      <c r="P36" s="2">
        <f>IFERROR(__xludf.DUMMYFUNCTION("""COMPUTED_VALUE"""),1333.0)</f>
        <v>1333</v>
      </c>
      <c r="Q36" s="2" t="str">
        <f>IFERROR(__xludf.DUMMYFUNCTION("""COMPUTED_VALUE"""),"Dine In")</f>
        <v>Dine In</v>
      </c>
      <c r="R36" s="2" t="str">
        <f>IFERROR(__xludf.DUMMYFUNCTION("""COMPUTED_VALUE"""),"Kedai")</f>
        <v>Kedai</v>
      </c>
      <c r="S36" s="2" t="str">
        <f>IFERROR(__xludf.DUMMYFUNCTION("""COMPUTED_VALUE"""),"Temu Roti")</f>
        <v>Temu Roti</v>
      </c>
      <c r="T36" s="2" t="str">
        <f>IFERROR(__xludf.DUMMYFUNCTION("""COMPUTED_VALUE"""),"Owner")</f>
        <v>Owner</v>
      </c>
      <c r="U36" s="2"/>
      <c r="V36" s="2"/>
      <c r="W36" s="2"/>
      <c r="X36" s="2" t="str">
        <f>IFERROR(__xludf.DUMMYFUNCTION("""COMPUTED_VALUE"""),"Closed")</f>
        <v>Closed</v>
      </c>
    </row>
    <row r="37">
      <c r="A37" s="3" t="s">
        <v>60</v>
      </c>
      <c r="B37" s="4">
        <f>IFERROR(__xludf.DUMMYFUNCTION("SPLIT(A37,"","",0,0)"),45564.69930555556)</f>
        <v>45564.69931</v>
      </c>
      <c r="C37" s="5">
        <f>IFERROR(__xludf.DUMMYFUNCTION("""COMPUTED_VALUE"""),2794868.0)</f>
        <v>2794868</v>
      </c>
      <c r="D37" s="2" t="str">
        <f>IFERROR(__xludf.DUMMYFUNCTION("""COMPUTED_VALUE"""),"Sale")</f>
        <v>Sale</v>
      </c>
      <c r="E37" s="2" t="str">
        <f>IFERROR(__xludf.DUMMYFUNCTION("""COMPUTED_VALUE"""),"Roti")</f>
        <v>Roti</v>
      </c>
      <c r="F37" s="2">
        <f>IFERROR(__xludf.DUMMYFUNCTION("""COMPUTED_VALUE"""),10005.0)</f>
        <v>10005</v>
      </c>
      <c r="G37" s="2" t="str">
        <f>IFERROR(__xludf.DUMMYFUNCTION("""COMPUTED_VALUE"""),"Roti Gandum Cokelat")</f>
        <v>Roti Gandum Cokelat</v>
      </c>
      <c r="H37" s="2"/>
      <c r="I37" s="2"/>
      <c r="J37" s="2">
        <f>IFERROR(__xludf.DUMMYFUNCTION("""COMPUTED_VALUE"""),1.0)</f>
        <v>1</v>
      </c>
      <c r="K37" s="6">
        <f>IFERROR(__xludf.DUMMYFUNCTION("""COMPUTED_VALUE"""),19524.0)</f>
        <v>19524</v>
      </c>
      <c r="L37" s="2">
        <f>IFERROR(__xludf.DUMMYFUNCTION("""COMPUTED_VALUE"""),0.0)</f>
        <v>0</v>
      </c>
      <c r="M37" s="2">
        <f>IFERROR(__xludf.DUMMYFUNCTION("""COMPUTED_VALUE"""),19524.0)</f>
        <v>19524</v>
      </c>
      <c r="N37" s="2">
        <f>IFERROR(__xludf.DUMMYFUNCTION("""COMPUTED_VALUE"""),0.0)</f>
        <v>0</v>
      </c>
      <c r="O37" s="2">
        <f>IFERROR(__xludf.DUMMYFUNCTION("""COMPUTED_VALUE"""),19524.0)</f>
        <v>19524</v>
      </c>
      <c r="P37" s="2">
        <f>IFERROR(__xludf.DUMMYFUNCTION("""COMPUTED_VALUE"""),977.0)</f>
        <v>977</v>
      </c>
      <c r="Q37" s="2" t="str">
        <f>IFERROR(__xludf.DUMMYFUNCTION("""COMPUTED_VALUE"""),"Dine In")</f>
        <v>Dine In</v>
      </c>
      <c r="R37" s="2" t="str">
        <f>IFERROR(__xludf.DUMMYFUNCTION("""COMPUTED_VALUE"""),"Kedai")</f>
        <v>Kedai</v>
      </c>
      <c r="S37" s="2" t="str">
        <f>IFERROR(__xludf.DUMMYFUNCTION("""COMPUTED_VALUE"""),"Temu Roti")</f>
        <v>Temu Roti</v>
      </c>
      <c r="T37" s="2" t="str">
        <f>IFERROR(__xludf.DUMMYFUNCTION("""COMPUTED_VALUE"""),"Owner")</f>
        <v>Owner</v>
      </c>
      <c r="U37" s="2"/>
      <c r="V37" s="2"/>
      <c r="W37" s="2"/>
      <c r="X37" s="2" t="str">
        <f>IFERROR(__xludf.DUMMYFUNCTION("""COMPUTED_VALUE"""),"Closed")</f>
        <v>Closed</v>
      </c>
    </row>
    <row r="38">
      <c r="A38" s="3" t="s">
        <v>61</v>
      </c>
      <c r="B38" s="4">
        <f>IFERROR(__xludf.DUMMYFUNCTION("SPLIT(A38,"","",0,0)"),45564.69930555556)</f>
        <v>45564.69931</v>
      </c>
      <c r="C38" s="5">
        <f>IFERROR(__xludf.DUMMYFUNCTION("""COMPUTED_VALUE"""),2794868.0)</f>
        <v>2794868</v>
      </c>
      <c r="D38" s="2" t="str">
        <f>IFERROR(__xludf.DUMMYFUNCTION("""COMPUTED_VALUE"""),"Sale")</f>
        <v>Sale</v>
      </c>
      <c r="E38" s="2" t="str">
        <f>IFERROR(__xludf.DUMMYFUNCTION("""COMPUTED_VALUE"""),"Roti")</f>
        <v>Roti</v>
      </c>
      <c r="F38" s="2">
        <f>IFERROR(__xludf.DUMMYFUNCTION("""COMPUTED_VALUE"""),10002.0)</f>
        <v>10002</v>
      </c>
      <c r="G38" s="2" t="str">
        <f>IFERROR(__xludf.DUMMYFUNCTION("""COMPUTED_VALUE"""),"Roti Cranberry")</f>
        <v>Roti Cranberry</v>
      </c>
      <c r="H38" s="2"/>
      <c r="I38" s="2"/>
      <c r="J38" s="2">
        <f>IFERROR(__xludf.DUMMYFUNCTION("""COMPUTED_VALUE"""),1.0)</f>
        <v>1</v>
      </c>
      <c r="K38" s="6">
        <f>IFERROR(__xludf.DUMMYFUNCTION("""COMPUTED_VALUE"""),18571.0)</f>
        <v>18571</v>
      </c>
      <c r="L38" s="2">
        <f>IFERROR(__xludf.DUMMYFUNCTION("""COMPUTED_VALUE"""),0.0)</f>
        <v>0</v>
      </c>
      <c r="M38" s="2">
        <f>IFERROR(__xludf.DUMMYFUNCTION("""COMPUTED_VALUE"""),18571.0)</f>
        <v>18571</v>
      </c>
      <c r="N38" s="2">
        <f>IFERROR(__xludf.DUMMYFUNCTION("""COMPUTED_VALUE"""),0.0)</f>
        <v>0</v>
      </c>
      <c r="O38" s="2">
        <f>IFERROR(__xludf.DUMMYFUNCTION("""COMPUTED_VALUE"""),18571.0)</f>
        <v>18571</v>
      </c>
      <c r="P38" s="2">
        <f>IFERROR(__xludf.DUMMYFUNCTION("""COMPUTED_VALUE"""),928.0)</f>
        <v>928</v>
      </c>
      <c r="Q38" s="2" t="str">
        <f>IFERROR(__xludf.DUMMYFUNCTION("""COMPUTED_VALUE"""),"Dine In")</f>
        <v>Dine In</v>
      </c>
      <c r="R38" s="2" t="str">
        <f>IFERROR(__xludf.DUMMYFUNCTION("""COMPUTED_VALUE"""),"Kedai")</f>
        <v>Kedai</v>
      </c>
      <c r="S38" s="2" t="str">
        <f>IFERROR(__xludf.DUMMYFUNCTION("""COMPUTED_VALUE"""),"Temu Roti")</f>
        <v>Temu Roti</v>
      </c>
      <c r="T38" s="2" t="str">
        <f>IFERROR(__xludf.DUMMYFUNCTION("""COMPUTED_VALUE"""),"Owner")</f>
        <v>Owner</v>
      </c>
      <c r="U38" s="2"/>
      <c r="V38" s="2"/>
      <c r="W38" s="2"/>
      <c r="X38" s="2" t="str">
        <f>IFERROR(__xludf.DUMMYFUNCTION("""COMPUTED_VALUE"""),"Closed")</f>
        <v>Closed</v>
      </c>
    </row>
    <row r="39">
      <c r="A39" s="3" t="s">
        <v>62</v>
      </c>
      <c r="B39" s="4">
        <f>IFERROR(__xludf.DUMMYFUNCTION("SPLIT(A39,"","",0,0)"),45564.64375)</f>
        <v>45564.64375</v>
      </c>
      <c r="C39" s="5">
        <f>IFERROR(__xludf.DUMMYFUNCTION("""COMPUTED_VALUE"""),2794503.0)</f>
        <v>2794503</v>
      </c>
      <c r="D39" s="2" t="str">
        <f>IFERROR(__xludf.DUMMYFUNCTION("""COMPUTED_VALUE"""),"Refund")</f>
        <v>Refund</v>
      </c>
      <c r="E39" s="2" t="str">
        <f>IFERROR(__xludf.DUMMYFUNCTION("""COMPUTED_VALUE"""),"Roti")</f>
        <v>Roti</v>
      </c>
      <c r="F39" s="2">
        <f>IFERROR(__xludf.DUMMYFUNCTION("""COMPUTED_VALUE"""),10007.0)</f>
        <v>10007</v>
      </c>
      <c r="G39" s="2" t="str">
        <f>IFERROR(__xludf.DUMMYFUNCTION("""COMPUTED_VALUE"""),"Roti cranberry 2 pcs")</f>
        <v>Roti cranberry 2 pcs</v>
      </c>
      <c r="H39" s="2"/>
      <c r="I39" s="2"/>
      <c r="J39" s="2">
        <f>IFERROR(__xludf.DUMMYFUNCTION("""COMPUTED_VALUE"""),-1.0)</f>
        <v>-1</v>
      </c>
      <c r="K39" s="6">
        <f>IFERROR(__xludf.DUMMYFUNCTION("""COMPUTED_VALUE"""),-33810.0)</f>
        <v>-33810</v>
      </c>
      <c r="L39" s="2">
        <f>IFERROR(__xludf.DUMMYFUNCTION("""COMPUTED_VALUE"""),0.0)</f>
        <v>0</v>
      </c>
      <c r="M39" s="2">
        <f>IFERROR(__xludf.DUMMYFUNCTION("""COMPUTED_VALUE"""),-33810.0)</f>
        <v>-33810</v>
      </c>
      <c r="N39" s="2">
        <f>IFERROR(__xludf.DUMMYFUNCTION("""COMPUTED_VALUE"""),0.0)</f>
        <v>0</v>
      </c>
      <c r="O39" s="2">
        <f>IFERROR(__xludf.DUMMYFUNCTION("""COMPUTED_VALUE"""),-33810.0)</f>
        <v>-33810</v>
      </c>
      <c r="P39" s="2">
        <f>IFERROR(__xludf.DUMMYFUNCTION("""COMPUTED_VALUE"""),-1691.0)</f>
        <v>-1691</v>
      </c>
      <c r="Q39" s="2" t="str">
        <f>IFERROR(__xludf.DUMMYFUNCTION("""COMPUTED_VALUE"""),"Dine In")</f>
        <v>Dine In</v>
      </c>
      <c r="R39" s="2" t="str">
        <f>IFERROR(__xludf.DUMMYFUNCTION("""COMPUTED_VALUE"""),"Kedai")</f>
        <v>Kedai</v>
      </c>
      <c r="S39" s="2" t="str">
        <f>IFERROR(__xludf.DUMMYFUNCTION("""COMPUTED_VALUE"""),"Temu Roti")</f>
        <v>Temu Roti</v>
      </c>
      <c r="T39" s="2" t="str">
        <f>IFERROR(__xludf.DUMMYFUNCTION("""COMPUTED_VALUE"""),"Owner")</f>
        <v>Owner</v>
      </c>
      <c r="U39" s="2"/>
      <c r="V39" s="2"/>
      <c r="W39" s="2"/>
      <c r="X39" s="2" t="str">
        <f>IFERROR(__xludf.DUMMYFUNCTION("""COMPUTED_VALUE"""),"Closed")</f>
        <v>Closed</v>
      </c>
    </row>
    <row r="40">
      <c r="A40" s="3" t="s">
        <v>63</v>
      </c>
      <c r="B40" s="4">
        <f>IFERROR(__xludf.DUMMYFUNCTION("SPLIT(A40,"","",0,0)"),45564.64375)</f>
        <v>45564.64375</v>
      </c>
      <c r="C40" s="5">
        <f>IFERROR(__xludf.DUMMYFUNCTION("""COMPUTED_VALUE"""),2794503.0)</f>
        <v>2794503</v>
      </c>
      <c r="D40" s="2" t="str">
        <f>IFERROR(__xludf.DUMMYFUNCTION("""COMPUTED_VALUE"""),"Refund")</f>
        <v>Refund</v>
      </c>
      <c r="E40" s="2" t="str">
        <f>IFERROR(__xludf.DUMMYFUNCTION("""COMPUTED_VALUE"""),"Roti")</f>
        <v>Roti</v>
      </c>
      <c r="F40" s="2">
        <f>IFERROR(__xludf.DUMMYFUNCTION("""COMPUTED_VALUE"""),10055.0)</f>
        <v>10055</v>
      </c>
      <c r="G40" s="2" t="str">
        <f>IFERROR(__xludf.DUMMYFUNCTION("""COMPUTED_VALUE"""),"Roti Gandum Cokelat 2 pcs")</f>
        <v>Roti Gandum Cokelat 2 pcs</v>
      </c>
      <c r="H40" s="2"/>
      <c r="I40" s="2"/>
      <c r="J40" s="2">
        <f>IFERROR(__xludf.DUMMYFUNCTION("""COMPUTED_VALUE"""),-1.0)</f>
        <v>-1</v>
      </c>
      <c r="K40" s="6">
        <f>IFERROR(__xludf.DUMMYFUNCTION("""COMPUTED_VALUE"""),-34762.0)</f>
        <v>-34762</v>
      </c>
      <c r="L40" s="2">
        <f>IFERROR(__xludf.DUMMYFUNCTION("""COMPUTED_VALUE"""),0.0)</f>
        <v>0</v>
      </c>
      <c r="M40" s="2">
        <f>IFERROR(__xludf.DUMMYFUNCTION("""COMPUTED_VALUE"""),-34762.0)</f>
        <v>-34762</v>
      </c>
      <c r="N40" s="2">
        <f>IFERROR(__xludf.DUMMYFUNCTION("""COMPUTED_VALUE"""),0.0)</f>
        <v>0</v>
      </c>
      <c r="O40" s="2">
        <f>IFERROR(__xludf.DUMMYFUNCTION("""COMPUTED_VALUE"""),-34762.0)</f>
        <v>-34762</v>
      </c>
      <c r="P40" s="2">
        <f>IFERROR(__xludf.DUMMYFUNCTION("""COMPUTED_VALUE"""),-1738.0)</f>
        <v>-1738</v>
      </c>
      <c r="Q40" s="2" t="str">
        <f>IFERROR(__xludf.DUMMYFUNCTION("""COMPUTED_VALUE"""),"Dine In")</f>
        <v>Dine In</v>
      </c>
      <c r="R40" s="2" t="str">
        <f>IFERROR(__xludf.DUMMYFUNCTION("""COMPUTED_VALUE"""),"Kedai")</f>
        <v>Kedai</v>
      </c>
      <c r="S40" s="2" t="str">
        <f>IFERROR(__xludf.DUMMYFUNCTION("""COMPUTED_VALUE"""),"Temu Roti")</f>
        <v>Temu Roti</v>
      </c>
      <c r="T40" s="2" t="str">
        <f>IFERROR(__xludf.DUMMYFUNCTION("""COMPUTED_VALUE"""),"Owner")</f>
        <v>Owner</v>
      </c>
      <c r="U40" s="2"/>
      <c r="V40" s="2"/>
      <c r="W40" s="2"/>
      <c r="X40" s="2" t="str">
        <f>IFERROR(__xludf.DUMMYFUNCTION("""COMPUTED_VALUE"""),"Closed")</f>
        <v>Closed</v>
      </c>
    </row>
    <row r="41">
      <c r="A41" s="3" t="s">
        <v>64</v>
      </c>
      <c r="B41" s="4">
        <f>IFERROR(__xludf.DUMMYFUNCTION("SPLIT(A41,"","",0,0)"),45564.64375)</f>
        <v>45564.64375</v>
      </c>
      <c r="C41" s="5">
        <f>IFERROR(__xludf.DUMMYFUNCTION("""COMPUTED_VALUE"""),2794503.0)</f>
        <v>2794503</v>
      </c>
      <c r="D41" s="2" t="str">
        <f>IFERROR(__xludf.DUMMYFUNCTION("""COMPUTED_VALUE"""),"Refund")</f>
        <v>Refund</v>
      </c>
      <c r="E41" s="2" t="str">
        <f>IFERROR(__xludf.DUMMYFUNCTION("""COMPUTED_VALUE"""),"Minuman")</f>
        <v>Minuman</v>
      </c>
      <c r="F41" s="2">
        <f>IFERROR(__xludf.DUMMYFUNCTION("""COMPUTED_VALUE"""),10107.0)</f>
        <v>10107</v>
      </c>
      <c r="G41" s="2" t="str">
        <f>IFERROR(__xludf.DUMMYFUNCTION("""COMPUTED_VALUE"""),"Korean Mango Fresh Milk")</f>
        <v>Korean Mango Fresh Milk</v>
      </c>
      <c r="H41" s="2"/>
      <c r="I41" s="2"/>
      <c r="J41" s="2">
        <f>IFERROR(__xludf.DUMMYFUNCTION("""COMPUTED_VALUE"""),-1.0)</f>
        <v>-1</v>
      </c>
      <c r="K41" s="6">
        <f>IFERROR(__xludf.DUMMYFUNCTION("""COMPUTED_VALUE"""),-26667.0)</f>
        <v>-26667</v>
      </c>
      <c r="L41" s="2">
        <f>IFERROR(__xludf.DUMMYFUNCTION("""COMPUTED_VALUE"""),0.0)</f>
        <v>0</v>
      </c>
      <c r="M41" s="2">
        <f>IFERROR(__xludf.DUMMYFUNCTION("""COMPUTED_VALUE"""),-26667.0)</f>
        <v>-26667</v>
      </c>
      <c r="N41" s="2">
        <f>IFERROR(__xludf.DUMMYFUNCTION("""COMPUTED_VALUE"""),0.0)</f>
        <v>0</v>
      </c>
      <c r="O41" s="2">
        <f>IFERROR(__xludf.DUMMYFUNCTION("""COMPUTED_VALUE"""),-26667.0)</f>
        <v>-26667</v>
      </c>
      <c r="P41" s="2">
        <f>IFERROR(__xludf.DUMMYFUNCTION("""COMPUTED_VALUE"""),-1333.0)</f>
        <v>-1333</v>
      </c>
      <c r="Q41" s="2" t="str">
        <f>IFERROR(__xludf.DUMMYFUNCTION("""COMPUTED_VALUE"""),"Dine In")</f>
        <v>Dine In</v>
      </c>
      <c r="R41" s="2" t="str">
        <f>IFERROR(__xludf.DUMMYFUNCTION("""COMPUTED_VALUE"""),"Kedai")</f>
        <v>Kedai</v>
      </c>
      <c r="S41" s="2" t="str">
        <f>IFERROR(__xludf.DUMMYFUNCTION("""COMPUTED_VALUE"""),"Temu Roti")</f>
        <v>Temu Roti</v>
      </c>
      <c r="T41" s="2" t="str">
        <f>IFERROR(__xludf.DUMMYFUNCTION("""COMPUTED_VALUE"""),"Owner")</f>
        <v>Owner</v>
      </c>
      <c r="U41" s="2"/>
      <c r="V41" s="2"/>
      <c r="W41" s="2"/>
      <c r="X41" s="2" t="str">
        <f>IFERROR(__xludf.DUMMYFUNCTION("""COMPUTED_VALUE"""),"Closed")</f>
        <v>Closed</v>
      </c>
    </row>
    <row r="42">
      <c r="A42" s="3" t="s">
        <v>65</v>
      </c>
      <c r="B42" s="4">
        <f>IFERROR(__xludf.DUMMYFUNCTION("SPLIT(A42,"","",0,0)"),45564.64375)</f>
        <v>45564.64375</v>
      </c>
      <c r="C42" s="5">
        <f>IFERROR(__xludf.DUMMYFUNCTION("""COMPUTED_VALUE"""),2794503.0)</f>
        <v>2794503</v>
      </c>
      <c r="D42" s="2" t="str">
        <f>IFERROR(__xludf.DUMMYFUNCTION("""COMPUTED_VALUE"""),"Refund")</f>
        <v>Refund</v>
      </c>
      <c r="E42" s="2" t="str">
        <f>IFERROR(__xludf.DUMMYFUNCTION("""COMPUTED_VALUE"""),"Minuman")</f>
        <v>Minuman</v>
      </c>
      <c r="F42" s="2">
        <f>IFERROR(__xludf.DUMMYFUNCTION("""COMPUTED_VALUE"""),10106.0)</f>
        <v>10106</v>
      </c>
      <c r="G42" s="2" t="str">
        <f>IFERROR(__xludf.DUMMYFUNCTION("""COMPUTED_VALUE"""),"Korean Strawberry Fresh Milk")</f>
        <v>Korean Strawberry Fresh Milk</v>
      </c>
      <c r="H42" s="2"/>
      <c r="I42" s="2"/>
      <c r="J42" s="2">
        <f>IFERROR(__xludf.DUMMYFUNCTION("""COMPUTED_VALUE"""),-1.0)</f>
        <v>-1</v>
      </c>
      <c r="K42" s="6">
        <f>IFERROR(__xludf.DUMMYFUNCTION("""COMPUTED_VALUE"""),-26667.0)</f>
        <v>-26667</v>
      </c>
      <c r="L42" s="2">
        <f>IFERROR(__xludf.DUMMYFUNCTION("""COMPUTED_VALUE"""),0.0)</f>
        <v>0</v>
      </c>
      <c r="M42" s="2">
        <f>IFERROR(__xludf.DUMMYFUNCTION("""COMPUTED_VALUE"""),-26667.0)</f>
        <v>-26667</v>
      </c>
      <c r="N42" s="2">
        <f>IFERROR(__xludf.DUMMYFUNCTION("""COMPUTED_VALUE"""),0.0)</f>
        <v>0</v>
      </c>
      <c r="O42" s="2">
        <f>IFERROR(__xludf.DUMMYFUNCTION("""COMPUTED_VALUE"""),-26667.0)</f>
        <v>-26667</v>
      </c>
      <c r="P42" s="2">
        <f>IFERROR(__xludf.DUMMYFUNCTION("""COMPUTED_VALUE"""),-1333.0)</f>
        <v>-1333</v>
      </c>
      <c r="Q42" s="2" t="str">
        <f>IFERROR(__xludf.DUMMYFUNCTION("""COMPUTED_VALUE"""),"Dine In")</f>
        <v>Dine In</v>
      </c>
      <c r="R42" s="2" t="str">
        <f>IFERROR(__xludf.DUMMYFUNCTION("""COMPUTED_VALUE"""),"Kedai")</f>
        <v>Kedai</v>
      </c>
      <c r="S42" s="2" t="str">
        <f>IFERROR(__xludf.DUMMYFUNCTION("""COMPUTED_VALUE"""),"Temu Roti")</f>
        <v>Temu Roti</v>
      </c>
      <c r="T42" s="2" t="str">
        <f>IFERROR(__xludf.DUMMYFUNCTION("""COMPUTED_VALUE"""),"Owner")</f>
        <v>Owner</v>
      </c>
      <c r="U42" s="2"/>
      <c r="V42" s="2"/>
      <c r="W42" s="2"/>
      <c r="X42" s="2" t="str">
        <f>IFERROR(__xludf.DUMMYFUNCTION("""COMPUTED_VALUE"""),"Closed")</f>
        <v>Closed</v>
      </c>
    </row>
    <row r="43">
      <c r="A43" s="3" t="s">
        <v>66</v>
      </c>
      <c r="B43" s="4">
        <f>IFERROR(__xludf.DUMMYFUNCTION("SPLIT(A43,"","",0,0)"),45564.643055555556)</f>
        <v>45564.64306</v>
      </c>
      <c r="C43" s="5">
        <f>IFERROR(__xludf.DUMMYFUNCTION("""COMPUTED_VALUE"""),2794138.0)</f>
        <v>2794138</v>
      </c>
      <c r="D43" s="2" t="str">
        <f>IFERROR(__xludf.DUMMYFUNCTION("""COMPUTED_VALUE"""),"Sale")</f>
        <v>Sale</v>
      </c>
      <c r="E43" s="2" t="str">
        <f>IFERROR(__xludf.DUMMYFUNCTION("""COMPUTED_VALUE"""),"Minuman")</f>
        <v>Minuman</v>
      </c>
      <c r="F43" s="2">
        <f>IFERROR(__xludf.DUMMYFUNCTION("""COMPUTED_VALUE"""),10106.0)</f>
        <v>10106</v>
      </c>
      <c r="G43" s="2" t="str">
        <f>IFERROR(__xludf.DUMMYFUNCTION("""COMPUTED_VALUE"""),"Korean Strawberry Fresh Milk")</f>
        <v>Korean Strawberry Fresh Milk</v>
      </c>
      <c r="H43" s="2"/>
      <c r="I43" s="2"/>
      <c r="J43" s="2">
        <f>IFERROR(__xludf.DUMMYFUNCTION("""COMPUTED_VALUE"""),1.0)</f>
        <v>1</v>
      </c>
      <c r="K43" s="6">
        <f>IFERROR(__xludf.DUMMYFUNCTION("""COMPUTED_VALUE"""),26667.0)</f>
        <v>26667</v>
      </c>
      <c r="L43" s="2">
        <f>IFERROR(__xludf.DUMMYFUNCTION("""COMPUTED_VALUE"""),0.0)</f>
        <v>0</v>
      </c>
      <c r="M43" s="2">
        <f>IFERROR(__xludf.DUMMYFUNCTION("""COMPUTED_VALUE"""),26667.0)</f>
        <v>26667</v>
      </c>
      <c r="N43" s="2">
        <f>IFERROR(__xludf.DUMMYFUNCTION("""COMPUTED_VALUE"""),0.0)</f>
        <v>0</v>
      </c>
      <c r="O43" s="2">
        <f>IFERROR(__xludf.DUMMYFUNCTION("""COMPUTED_VALUE"""),26667.0)</f>
        <v>26667</v>
      </c>
      <c r="P43" s="2">
        <f>IFERROR(__xludf.DUMMYFUNCTION("""COMPUTED_VALUE"""),1333.0)</f>
        <v>1333</v>
      </c>
      <c r="Q43" s="2" t="str">
        <f>IFERROR(__xludf.DUMMYFUNCTION("""COMPUTED_VALUE"""),"Dine In")</f>
        <v>Dine In</v>
      </c>
      <c r="R43" s="2" t="str">
        <f>IFERROR(__xludf.DUMMYFUNCTION("""COMPUTED_VALUE"""),"Kedai")</f>
        <v>Kedai</v>
      </c>
      <c r="S43" s="2" t="str">
        <f>IFERROR(__xludf.DUMMYFUNCTION("""COMPUTED_VALUE"""),"Temu Roti")</f>
        <v>Temu Roti</v>
      </c>
      <c r="T43" s="2" t="str">
        <f>IFERROR(__xludf.DUMMYFUNCTION("""COMPUTED_VALUE"""),"Owner")</f>
        <v>Owner</v>
      </c>
      <c r="U43" s="2"/>
      <c r="V43" s="2"/>
      <c r="W43" s="2"/>
      <c r="X43" s="2" t="str">
        <f>IFERROR(__xludf.DUMMYFUNCTION("""COMPUTED_VALUE"""),"Closed")</f>
        <v>Closed</v>
      </c>
    </row>
    <row r="44">
      <c r="A44" s="3" t="s">
        <v>67</v>
      </c>
      <c r="B44" s="4">
        <f>IFERROR(__xludf.DUMMYFUNCTION("SPLIT(A44,"","",0,0)"),45564.643055555556)</f>
        <v>45564.64306</v>
      </c>
      <c r="C44" s="5">
        <f>IFERROR(__xludf.DUMMYFUNCTION("""COMPUTED_VALUE"""),2794138.0)</f>
        <v>2794138</v>
      </c>
      <c r="D44" s="2" t="str">
        <f>IFERROR(__xludf.DUMMYFUNCTION("""COMPUTED_VALUE"""),"Sale")</f>
        <v>Sale</v>
      </c>
      <c r="E44" s="2" t="str">
        <f>IFERROR(__xludf.DUMMYFUNCTION("""COMPUTED_VALUE"""),"Minuman")</f>
        <v>Minuman</v>
      </c>
      <c r="F44" s="2">
        <f>IFERROR(__xludf.DUMMYFUNCTION("""COMPUTED_VALUE"""),10107.0)</f>
        <v>10107</v>
      </c>
      <c r="G44" s="2" t="str">
        <f>IFERROR(__xludf.DUMMYFUNCTION("""COMPUTED_VALUE"""),"Korean Mango Fresh Milk")</f>
        <v>Korean Mango Fresh Milk</v>
      </c>
      <c r="H44" s="2"/>
      <c r="I44" s="2"/>
      <c r="J44" s="2">
        <f>IFERROR(__xludf.DUMMYFUNCTION("""COMPUTED_VALUE"""),1.0)</f>
        <v>1</v>
      </c>
      <c r="K44" s="6">
        <f>IFERROR(__xludf.DUMMYFUNCTION("""COMPUTED_VALUE"""),26667.0)</f>
        <v>26667</v>
      </c>
      <c r="L44" s="2">
        <f>IFERROR(__xludf.DUMMYFUNCTION("""COMPUTED_VALUE"""),0.0)</f>
        <v>0</v>
      </c>
      <c r="M44" s="2">
        <f>IFERROR(__xludf.DUMMYFUNCTION("""COMPUTED_VALUE"""),26667.0)</f>
        <v>26667</v>
      </c>
      <c r="N44" s="2">
        <f>IFERROR(__xludf.DUMMYFUNCTION("""COMPUTED_VALUE"""),0.0)</f>
        <v>0</v>
      </c>
      <c r="O44" s="2">
        <f>IFERROR(__xludf.DUMMYFUNCTION("""COMPUTED_VALUE"""),26667.0)</f>
        <v>26667</v>
      </c>
      <c r="P44" s="2">
        <f>IFERROR(__xludf.DUMMYFUNCTION("""COMPUTED_VALUE"""),1334.0)</f>
        <v>1334</v>
      </c>
      <c r="Q44" s="2" t="str">
        <f>IFERROR(__xludf.DUMMYFUNCTION("""COMPUTED_VALUE"""),"Dine In")</f>
        <v>Dine In</v>
      </c>
      <c r="R44" s="2" t="str">
        <f>IFERROR(__xludf.DUMMYFUNCTION("""COMPUTED_VALUE"""),"Kedai")</f>
        <v>Kedai</v>
      </c>
      <c r="S44" s="2" t="str">
        <f>IFERROR(__xludf.DUMMYFUNCTION("""COMPUTED_VALUE"""),"Temu Roti")</f>
        <v>Temu Roti</v>
      </c>
      <c r="T44" s="2" t="str">
        <f>IFERROR(__xludf.DUMMYFUNCTION("""COMPUTED_VALUE"""),"Owner")</f>
        <v>Owner</v>
      </c>
      <c r="U44" s="2"/>
      <c r="V44" s="2"/>
      <c r="W44" s="2"/>
      <c r="X44" s="2" t="str">
        <f>IFERROR(__xludf.DUMMYFUNCTION("""COMPUTED_VALUE"""),"Closed")</f>
        <v>Closed</v>
      </c>
    </row>
    <row r="45">
      <c r="A45" s="3" t="s">
        <v>68</v>
      </c>
      <c r="B45" s="4">
        <f>IFERROR(__xludf.DUMMYFUNCTION("SPLIT(A45,"","",0,0)"),45564.643055555556)</f>
        <v>45564.64306</v>
      </c>
      <c r="C45" s="5">
        <f>IFERROR(__xludf.DUMMYFUNCTION("""COMPUTED_VALUE"""),2794138.0)</f>
        <v>2794138</v>
      </c>
      <c r="D45" s="2" t="str">
        <f>IFERROR(__xludf.DUMMYFUNCTION("""COMPUTED_VALUE"""),"Sale")</f>
        <v>Sale</v>
      </c>
      <c r="E45" s="2" t="str">
        <f>IFERROR(__xludf.DUMMYFUNCTION("""COMPUTED_VALUE"""),"Roti")</f>
        <v>Roti</v>
      </c>
      <c r="F45" s="2">
        <f>IFERROR(__xludf.DUMMYFUNCTION("""COMPUTED_VALUE"""),10007.0)</f>
        <v>10007</v>
      </c>
      <c r="G45" s="2" t="str">
        <f>IFERROR(__xludf.DUMMYFUNCTION("""COMPUTED_VALUE"""),"Roti cranberry 2 pcs")</f>
        <v>Roti cranberry 2 pcs</v>
      </c>
      <c r="H45" s="2"/>
      <c r="I45" s="2"/>
      <c r="J45" s="2">
        <f>IFERROR(__xludf.DUMMYFUNCTION("""COMPUTED_VALUE"""),1.0)</f>
        <v>1</v>
      </c>
      <c r="K45" s="6">
        <f>IFERROR(__xludf.DUMMYFUNCTION("""COMPUTED_VALUE"""),33810.0)</f>
        <v>33810</v>
      </c>
      <c r="L45" s="2">
        <f>IFERROR(__xludf.DUMMYFUNCTION("""COMPUTED_VALUE"""),0.0)</f>
        <v>0</v>
      </c>
      <c r="M45" s="2">
        <f>IFERROR(__xludf.DUMMYFUNCTION("""COMPUTED_VALUE"""),33810.0)</f>
        <v>33810</v>
      </c>
      <c r="N45" s="2">
        <f>IFERROR(__xludf.DUMMYFUNCTION("""COMPUTED_VALUE"""),0.0)</f>
        <v>0</v>
      </c>
      <c r="O45" s="2">
        <f>IFERROR(__xludf.DUMMYFUNCTION("""COMPUTED_VALUE"""),33810.0)</f>
        <v>33810</v>
      </c>
      <c r="P45" s="2">
        <f>IFERROR(__xludf.DUMMYFUNCTION("""COMPUTED_VALUE"""),1690.0)</f>
        <v>1690</v>
      </c>
      <c r="Q45" s="2" t="str">
        <f>IFERROR(__xludf.DUMMYFUNCTION("""COMPUTED_VALUE"""),"Dine In")</f>
        <v>Dine In</v>
      </c>
      <c r="R45" s="2" t="str">
        <f>IFERROR(__xludf.DUMMYFUNCTION("""COMPUTED_VALUE"""),"Kedai")</f>
        <v>Kedai</v>
      </c>
      <c r="S45" s="2" t="str">
        <f>IFERROR(__xludf.DUMMYFUNCTION("""COMPUTED_VALUE"""),"Temu Roti")</f>
        <v>Temu Roti</v>
      </c>
      <c r="T45" s="2" t="str">
        <f>IFERROR(__xludf.DUMMYFUNCTION("""COMPUTED_VALUE"""),"Owner")</f>
        <v>Owner</v>
      </c>
      <c r="U45" s="2"/>
      <c r="V45" s="2"/>
      <c r="W45" s="2"/>
      <c r="X45" s="2" t="str">
        <f>IFERROR(__xludf.DUMMYFUNCTION("""COMPUTED_VALUE"""),"Closed")</f>
        <v>Closed</v>
      </c>
    </row>
    <row r="46">
      <c r="A46" s="3" t="s">
        <v>69</v>
      </c>
      <c r="B46" s="4">
        <f>IFERROR(__xludf.DUMMYFUNCTION("SPLIT(A46,"","",0,0)"),45564.643055555556)</f>
        <v>45564.64306</v>
      </c>
      <c r="C46" s="5">
        <f>IFERROR(__xludf.DUMMYFUNCTION("""COMPUTED_VALUE"""),2794138.0)</f>
        <v>2794138</v>
      </c>
      <c r="D46" s="2" t="str">
        <f>IFERROR(__xludf.DUMMYFUNCTION("""COMPUTED_VALUE"""),"Sale")</f>
        <v>Sale</v>
      </c>
      <c r="E46" s="2" t="str">
        <f>IFERROR(__xludf.DUMMYFUNCTION("""COMPUTED_VALUE"""),"Roti")</f>
        <v>Roti</v>
      </c>
      <c r="F46" s="2">
        <f>IFERROR(__xludf.DUMMYFUNCTION("""COMPUTED_VALUE"""),10055.0)</f>
        <v>10055</v>
      </c>
      <c r="G46" s="2" t="str">
        <f>IFERROR(__xludf.DUMMYFUNCTION("""COMPUTED_VALUE"""),"Roti Gandum Cokelat 2 pcs")</f>
        <v>Roti Gandum Cokelat 2 pcs</v>
      </c>
      <c r="H46" s="2"/>
      <c r="I46" s="2"/>
      <c r="J46" s="2">
        <f>IFERROR(__xludf.DUMMYFUNCTION("""COMPUTED_VALUE"""),1.0)</f>
        <v>1</v>
      </c>
      <c r="K46" s="6">
        <f>IFERROR(__xludf.DUMMYFUNCTION("""COMPUTED_VALUE"""),34762.0)</f>
        <v>34762</v>
      </c>
      <c r="L46" s="2">
        <f>IFERROR(__xludf.DUMMYFUNCTION("""COMPUTED_VALUE"""),0.0)</f>
        <v>0</v>
      </c>
      <c r="M46" s="2">
        <f>IFERROR(__xludf.DUMMYFUNCTION("""COMPUTED_VALUE"""),34762.0)</f>
        <v>34762</v>
      </c>
      <c r="N46" s="2">
        <f>IFERROR(__xludf.DUMMYFUNCTION("""COMPUTED_VALUE"""),0.0)</f>
        <v>0</v>
      </c>
      <c r="O46" s="2">
        <f>IFERROR(__xludf.DUMMYFUNCTION("""COMPUTED_VALUE"""),34762.0)</f>
        <v>34762</v>
      </c>
      <c r="P46" s="2">
        <f>IFERROR(__xludf.DUMMYFUNCTION("""COMPUTED_VALUE"""),1738.0)</f>
        <v>1738</v>
      </c>
      <c r="Q46" s="2" t="str">
        <f>IFERROR(__xludf.DUMMYFUNCTION("""COMPUTED_VALUE"""),"Dine In")</f>
        <v>Dine In</v>
      </c>
      <c r="R46" s="2" t="str">
        <f>IFERROR(__xludf.DUMMYFUNCTION("""COMPUTED_VALUE"""),"Kedai")</f>
        <v>Kedai</v>
      </c>
      <c r="S46" s="2" t="str">
        <f>IFERROR(__xludf.DUMMYFUNCTION("""COMPUTED_VALUE"""),"Temu Roti")</f>
        <v>Temu Roti</v>
      </c>
      <c r="T46" s="2" t="str">
        <f>IFERROR(__xludf.DUMMYFUNCTION("""COMPUTED_VALUE"""),"Owner")</f>
        <v>Owner</v>
      </c>
      <c r="U46" s="2"/>
      <c r="V46" s="2"/>
      <c r="W46" s="2"/>
      <c r="X46" s="2" t="str">
        <f>IFERROR(__xludf.DUMMYFUNCTION("""COMPUTED_VALUE"""),"Closed")</f>
        <v>Closed</v>
      </c>
    </row>
    <row r="47">
      <c r="A47" s="3" t="s">
        <v>70</v>
      </c>
      <c r="B47" s="4">
        <f>IFERROR(__xludf.DUMMYFUNCTION("SPLIT(A47,"","",0,0)"),45564.64097222222)</f>
        <v>45564.64097</v>
      </c>
      <c r="C47" s="5">
        <f>IFERROR(__xludf.DUMMYFUNCTION("""COMPUTED_VALUE"""),2793773.0)</f>
        <v>2793773</v>
      </c>
      <c r="D47" s="2" t="str">
        <f>IFERROR(__xludf.DUMMYFUNCTION("""COMPUTED_VALUE"""),"Sale")</f>
        <v>Sale</v>
      </c>
      <c r="E47" s="2" t="str">
        <f>IFERROR(__xludf.DUMMYFUNCTION("""COMPUTED_VALUE"""),"Roti")</f>
        <v>Roti</v>
      </c>
      <c r="F47" s="2">
        <f>IFERROR(__xludf.DUMMYFUNCTION("""COMPUTED_VALUE"""),10007.0)</f>
        <v>10007</v>
      </c>
      <c r="G47" s="2" t="str">
        <f>IFERROR(__xludf.DUMMYFUNCTION("""COMPUTED_VALUE"""),"Roti cranberry 2 pcs")</f>
        <v>Roti cranberry 2 pcs</v>
      </c>
      <c r="H47" s="2"/>
      <c r="I47" s="2"/>
      <c r="J47" s="2">
        <f>IFERROR(__xludf.DUMMYFUNCTION("""COMPUTED_VALUE"""),1.0)</f>
        <v>1</v>
      </c>
      <c r="K47" s="6">
        <f>IFERROR(__xludf.DUMMYFUNCTION("""COMPUTED_VALUE"""),33810.0)</f>
        <v>33810</v>
      </c>
      <c r="L47" s="2">
        <f>IFERROR(__xludf.DUMMYFUNCTION("""COMPUTED_VALUE"""),0.0)</f>
        <v>0</v>
      </c>
      <c r="M47" s="2">
        <f>IFERROR(__xludf.DUMMYFUNCTION("""COMPUTED_VALUE"""),33810.0)</f>
        <v>33810</v>
      </c>
      <c r="N47" s="2">
        <f>IFERROR(__xludf.DUMMYFUNCTION("""COMPUTED_VALUE"""),0.0)</f>
        <v>0</v>
      </c>
      <c r="O47" s="2">
        <f>IFERROR(__xludf.DUMMYFUNCTION("""COMPUTED_VALUE"""),33810.0)</f>
        <v>33810</v>
      </c>
      <c r="P47" s="2">
        <f>IFERROR(__xludf.DUMMYFUNCTION("""COMPUTED_VALUE"""),1691.0)</f>
        <v>1691</v>
      </c>
      <c r="Q47" s="2" t="str">
        <f>IFERROR(__xludf.DUMMYFUNCTION("""COMPUTED_VALUE"""),"Dine In")</f>
        <v>Dine In</v>
      </c>
      <c r="R47" s="2" t="str">
        <f>IFERROR(__xludf.DUMMYFUNCTION("""COMPUTED_VALUE"""),"Kedai")</f>
        <v>Kedai</v>
      </c>
      <c r="S47" s="2" t="str">
        <f>IFERROR(__xludf.DUMMYFUNCTION("""COMPUTED_VALUE"""),"Temu Roti")</f>
        <v>Temu Roti</v>
      </c>
      <c r="T47" s="2" t="str">
        <f>IFERROR(__xludf.DUMMYFUNCTION("""COMPUTED_VALUE"""),"Owner")</f>
        <v>Owner</v>
      </c>
      <c r="U47" s="2"/>
      <c r="V47" s="2"/>
      <c r="W47" s="2"/>
      <c r="X47" s="2" t="str">
        <f>IFERROR(__xludf.DUMMYFUNCTION("""COMPUTED_VALUE"""),"Closed")</f>
        <v>Closed</v>
      </c>
    </row>
    <row r="48">
      <c r="A48" s="3" t="s">
        <v>71</v>
      </c>
      <c r="B48" s="4">
        <f>IFERROR(__xludf.DUMMYFUNCTION("SPLIT(A48,"","",0,0)"),45564.64097222222)</f>
        <v>45564.64097</v>
      </c>
      <c r="C48" s="5">
        <f>IFERROR(__xludf.DUMMYFUNCTION("""COMPUTED_VALUE"""),2793773.0)</f>
        <v>2793773</v>
      </c>
      <c r="D48" s="2" t="str">
        <f>IFERROR(__xludf.DUMMYFUNCTION("""COMPUTED_VALUE"""),"Sale")</f>
        <v>Sale</v>
      </c>
      <c r="E48" s="2" t="str">
        <f>IFERROR(__xludf.DUMMYFUNCTION("""COMPUTED_VALUE"""),"Roti")</f>
        <v>Roti</v>
      </c>
      <c r="F48" s="2">
        <f>IFERROR(__xludf.DUMMYFUNCTION("""COMPUTED_VALUE"""),10055.0)</f>
        <v>10055</v>
      </c>
      <c r="G48" s="2" t="str">
        <f>IFERROR(__xludf.DUMMYFUNCTION("""COMPUTED_VALUE"""),"Roti Gandum Cokelat 2 pcs")</f>
        <v>Roti Gandum Cokelat 2 pcs</v>
      </c>
      <c r="H48" s="2"/>
      <c r="I48" s="2"/>
      <c r="J48" s="2">
        <f>IFERROR(__xludf.DUMMYFUNCTION("""COMPUTED_VALUE"""),1.0)</f>
        <v>1</v>
      </c>
      <c r="K48" s="6">
        <f>IFERROR(__xludf.DUMMYFUNCTION("""COMPUTED_VALUE"""),34762.0)</f>
        <v>34762</v>
      </c>
      <c r="L48" s="2">
        <f>IFERROR(__xludf.DUMMYFUNCTION("""COMPUTED_VALUE"""),0.0)</f>
        <v>0</v>
      </c>
      <c r="M48" s="2">
        <f>IFERROR(__xludf.DUMMYFUNCTION("""COMPUTED_VALUE"""),34762.0)</f>
        <v>34762</v>
      </c>
      <c r="N48" s="2">
        <f>IFERROR(__xludf.DUMMYFUNCTION("""COMPUTED_VALUE"""),0.0)</f>
        <v>0</v>
      </c>
      <c r="O48" s="2">
        <f>IFERROR(__xludf.DUMMYFUNCTION("""COMPUTED_VALUE"""),34762.0)</f>
        <v>34762</v>
      </c>
      <c r="P48" s="2">
        <f>IFERROR(__xludf.DUMMYFUNCTION("""COMPUTED_VALUE"""),1738.0)</f>
        <v>1738</v>
      </c>
      <c r="Q48" s="2" t="str">
        <f>IFERROR(__xludf.DUMMYFUNCTION("""COMPUTED_VALUE"""),"Dine In")</f>
        <v>Dine In</v>
      </c>
      <c r="R48" s="2" t="str">
        <f>IFERROR(__xludf.DUMMYFUNCTION("""COMPUTED_VALUE"""),"Kedai")</f>
        <v>Kedai</v>
      </c>
      <c r="S48" s="2" t="str">
        <f>IFERROR(__xludf.DUMMYFUNCTION("""COMPUTED_VALUE"""),"Temu Roti")</f>
        <v>Temu Roti</v>
      </c>
      <c r="T48" s="2" t="str">
        <f>IFERROR(__xludf.DUMMYFUNCTION("""COMPUTED_VALUE"""),"Owner")</f>
        <v>Owner</v>
      </c>
      <c r="U48" s="2"/>
      <c r="V48" s="2"/>
      <c r="W48" s="2"/>
      <c r="X48" s="2" t="str">
        <f>IFERROR(__xludf.DUMMYFUNCTION("""COMPUTED_VALUE"""),"Closed")</f>
        <v>Closed</v>
      </c>
    </row>
    <row r="49">
      <c r="A49" s="3" t="s">
        <v>72</v>
      </c>
      <c r="B49" s="4">
        <f>IFERROR(__xludf.DUMMYFUNCTION("SPLIT(A49,"","",0,0)"),45564.64097222222)</f>
        <v>45564.64097</v>
      </c>
      <c r="C49" s="5">
        <f>IFERROR(__xludf.DUMMYFUNCTION("""COMPUTED_VALUE"""),2793773.0)</f>
        <v>2793773</v>
      </c>
      <c r="D49" s="2" t="str">
        <f>IFERROR(__xludf.DUMMYFUNCTION("""COMPUTED_VALUE"""),"Sale")</f>
        <v>Sale</v>
      </c>
      <c r="E49" s="2" t="str">
        <f>IFERROR(__xludf.DUMMYFUNCTION("""COMPUTED_VALUE"""),"Minuman")</f>
        <v>Minuman</v>
      </c>
      <c r="F49" s="2">
        <f>IFERROR(__xludf.DUMMYFUNCTION("""COMPUTED_VALUE"""),10107.0)</f>
        <v>10107</v>
      </c>
      <c r="G49" s="2" t="str">
        <f>IFERROR(__xludf.DUMMYFUNCTION("""COMPUTED_VALUE"""),"Korean Mango Fresh Milk")</f>
        <v>Korean Mango Fresh Milk</v>
      </c>
      <c r="H49" s="2"/>
      <c r="I49" s="2"/>
      <c r="J49" s="2">
        <f>IFERROR(__xludf.DUMMYFUNCTION("""COMPUTED_VALUE"""),1.0)</f>
        <v>1</v>
      </c>
      <c r="K49" s="6">
        <f>IFERROR(__xludf.DUMMYFUNCTION("""COMPUTED_VALUE"""),26667.0)</f>
        <v>26667</v>
      </c>
      <c r="L49" s="2">
        <f>IFERROR(__xludf.DUMMYFUNCTION("""COMPUTED_VALUE"""),0.0)</f>
        <v>0</v>
      </c>
      <c r="M49" s="2">
        <f>IFERROR(__xludf.DUMMYFUNCTION("""COMPUTED_VALUE"""),26667.0)</f>
        <v>26667</v>
      </c>
      <c r="N49" s="2">
        <f>IFERROR(__xludf.DUMMYFUNCTION("""COMPUTED_VALUE"""),0.0)</f>
        <v>0</v>
      </c>
      <c r="O49" s="2">
        <f>IFERROR(__xludf.DUMMYFUNCTION("""COMPUTED_VALUE"""),26667.0)</f>
        <v>26667</v>
      </c>
      <c r="P49" s="2">
        <f>IFERROR(__xludf.DUMMYFUNCTION("""COMPUTED_VALUE"""),1333.0)</f>
        <v>1333</v>
      </c>
      <c r="Q49" s="2" t="str">
        <f>IFERROR(__xludf.DUMMYFUNCTION("""COMPUTED_VALUE"""),"Dine In")</f>
        <v>Dine In</v>
      </c>
      <c r="R49" s="2" t="str">
        <f>IFERROR(__xludf.DUMMYFUNCTION("""COMPUTED_VALUE"""),"Kedai")</f>
        <v>Kedai</v>
      </c>
      <c r="S49" s="2" t="str">
        <f>IFERROR(__xludf.DUMMYFUNCTION("""COMPUTED_VALUE"""),"Temu Roti")</f>
        <v>Temu Roti</v>
      </c>
      <c r="T49" s="2" t="str">
        <f>IFERROR(__xludf.DUMMYFUNCTION("""COMPUTED_VALUE"""),"Owner")</f>
        <v>Owner</v>
      </c>
      <c r="U49" s="2"/>
      <c r="V49" s="2"/>
      <c r="W49" s="2"/>
      <c r="X49" s="2" t="str">
        <f>IFERROR(__xludf.DUMMYFUNCTION("""COMPUTED_VALUE"""),"Closed")</f>
        <v>Closed</v>
      </c>
    </row>
    <row r="50">
      <c r="A50" s="3" t="s">
        <v>73</v>
      </c>
      <c r="B50" s="4">
        <f>IFERROR(__xludf.DUMMYFUNCTION("SPLIT(A50,"","",0,0)"),45564.64097222222)</f>
        <v>45564.64097</v>
      </c>
      <c r="C50" s="5">
        <f>IFERROR(__xludf.DUMMYFUNCTION("""COMPUTED_VALUE"""),2793773.0)</f>
        <v>2793773</v>
      </c>
      <c r="D50" s="2" t="str">
        <f>IFERROR(__xludf.DUMMYFUNCTION("""COMPUTED_VALUE"""),"Sale")</f>
        <v>Sale</v>
      </c>
      <c r="E50" s="2" t="str">
        <f>IFERROR(__xludf.DUMMYFUNCTION("""COMPUTED_VALUE"""),"Minuman")</f>
        <v>Minuman</v>
      </c>
      <c r="F50" s="2">
        <f>IFERROR(__xludf.DUMMYFUNCTION("""COMPUTED_VALUE"""),10106.0)</f>
        <v>10106</v>
      </c>
      <c r="G50" s="2" t="str">
        <f>IFERROR(__xludf.DUMMYFUNCTION("""COMPUTED_VALUE"""),"Korean Strawberry Fresh Milk")</f>
        <v>Korean Strawberry Fresh Milk</v>
      </c>
      <c r="H50" s="2"/>
      <c r="I50" s="2"/>
      <c r="J50" s="2">
        <f>IFERROR(__xludf.DUMMYFUNCTION("""COMPUTED_VALUE"""),1.0)</f>
        <v>1</v>
      </c>
      <c r="K50" s="6">
        <f>IFERROR(__xludf.DUMMYFUNCTION("""COMPUTED_VALUE"""),26667.0)</f>
        <v>26667</v>
      </c>
      <c r="L50" s="2">
        <f>IFERROR(__xludf.DUMMYFUNCTION("""COMPUTED_VALUE"""),0.0)</f>
        <v>0</v>
      </c>
      <c r="M50" s="2">
        <f>IFERROR(__xludf.DUMMYFUNCTION("""COMPUTED_VALUE"""),26667.0)</f>
        <v>26667</v>
      </c>
      <c r="N50" s="2">
        <f>IFERROR(__xludf.DUMMYFUNCTION("""COMPUTED_VALUE"""),0.0)</f>
        <v>0</v>
      </c>
      <c r="O50" s="2">
        <f>IFERROR(__xludf.DUMMYFUNCTION("""COMPUTED_VALUE"""),26667.0)</f>
        <v>26667</v>
      </c>
      <c r="P50" s="2">
        <f>IFERROR(__xludf.DUMMYFUNCTION("""COMPUTED_VALUE"""),1333.0)</f>
        <v>1333</v>
      </c>
      <c r="Q50" s="2" t="str">
        <f>IFERROR(__xludf.DUMMYFUNCTION("""COMPUTED_VALUE"""),"Dine In")</f>
        <v>Dine In</v>
      </c>
      <c r="R50" s="2" t="str">
        <f>IFERROR(__xludf.DUMMYFUNCTION("""COMPUTED_VALUE"""),"Kedai")</f>
        <v>Kedai</v>
      </c>
      <c r="S50" s="2" t="str">
        <f>IFERROR(__xludf.DUMMYFUNCTION("""COMPUTED_VALUE"""),"Temu Roti")</f>
        <v>Temu Roti</v>
      </c>
      <c r="T50" s="2" t="str">
        <f>IFERROR(__xludf.DUMMYFUNCTION("""COMPUTED_VALUE"""),"Owner")</f>
        <v>Owner</v>
      </c>
      <c r="U50" s="2"/>
      <c r="V50" s="2"/>
      <c r="W50" s="2"/>
      <c r="X50" s="2" t="str">
        <f>IFERROR(__xludf.DUMMYFUNCTION("""COMPUTED_VALUE"""),"Closed")</f>
        <v>Closed</v>
      </c>
    </row>
    <row r="51">
      <c r="A51" s="3" t="s">
        <v>74</v>
      </c>
      <c r="B51" s="4">
        <f>IFERROR(__xludf.DUMMYFUNCTION("SPLIT(A51,"","",0,0)"),45564.60763888889)</f>
        <v>45564.60764</v>
      </c>
      <c r="C51" s="5">
        <f>IFERROR(__xludf.DUMMYFUNCTION("""COMPUTED_VALUE"""),2793407.0)</f>
        <v>2793407</v>
      </c>
      <c r="D51" s="2" t="str">
        <f>IFERROR(__xludf.DUMMYFUNCTION("""COMPUTED_VALUE"""),"Refund")</f>
        <v>Refund</v>
      </c>
      <c r="E51" s="2" t="str">
        <f>IFERROR(__xludf.DUMMYFUNCTION("""COMPUTED_VALUE"""),"Roti")</f>
        <v>Roti</v>
      </c>
      <c r="F51" s="2">
        <f>IFERROR(__xludf.DUMMYFUNCTION("""COMPUTED_VALUE"""),10007.0)</f>
        <v>10007</v>
      </c>
      <c r="G51" s="2" t="str">
        <f>IFERROR(__xludf.DUMMYFUNCTION("""COMPUTED_VALUE"""),"Roti cranberry 2 pcs")</f>
        <v>Roti cranberry 2 pcs</v>
      </c>
      <c r="H51" s="2"/>
      <c r="I51" s="2"/>
      <c r="J51" s="2">
        <f>IFERROR(__xludf.DUMMYFUNCTION("""COMPUTED_VALUE"""),-1.0)</f>
        <v>-1</v>
      </c>
      <c r="K51" s="6">
        <f>IFERROR(__xludf.DUMMYFUNCTION("""COMPUTED_VALUE"""),-33810.0)</f>
        <v>-33810</v>
      </c>
      <c r="L51" s="2">
        <f>IFERROR(__xludf.DUMMYFUNCTION("""COMPUTED_VALUE"""),0.0)</f>
        <v>0</v>
      </c>
      <c r="M51" s="2">
        <f>IFERROR(__xludf.DUMMYFUNCTION("""COMPUTED_VALUE"""),-33810.0)</f>
        <v>-33810</v>
      </c>
      <c r="N51" s="2">
        <f>IFERROR(__xludf.DUMMYFUNCTION("""COMPUTED_VALUE"""),0.0)</f>
        <v>0</v>
      </c>
      <c r="O51" s="2">
        <f>IFERROR(__xludf.DUMMYFUNCTION("""COMPUTED_VALUE"""),-33810.0)</f>
        <v>-33810</v>
      </c>
      <c r="P51" s="2">
        <f>IFERROR(__xludf.DUMMYFUNCTION("""COMPUTED_VALUE"""),-1691.0)</f>
        <v>-1691</v>
      </c>
      <c r="Q51" s="2" t="str">
        <f>IFERROR(__xludf.DUMMYFUNCTION("""COMPUTED_VALUE"""),"Take Away")</f>
        <v>Take Away</v>
      </c>
      <c r="R51" s="2" t="str">
        <f>IFERROR(__xludf.DUMMYFUNCTION("""COMPUTED_VALUE"""),"Kedai")</f>
        <v>Kedai</v>
      </c>
      <c r="S51" s="2" t="str">
        <f>IFERROR(__xludf.DUMMYFUNCTION("""COMPUTED_VALUE"""),"Temu Roti")</f>
        <v>Temu Roti</v>
      </c>
      <c r="T51" s="2" t="str">
        <f>IFERROR(__xludf.DUMMYFUNCTION("""COMPUTED_VALUE"""),"Owner")</f>
        <v>Owner</v>
      </c>
      <c r="U51" s="2"/>
      <c r="V51" s="2"/>
      <c r="W51" s="2"/>
      <c r="X51" s="2" t="str">
        <f>IFERROR(__xludf.DUMMYFUNCTION("""COMPUTED_VALUE"""),"Closed")</f>
        <v>Closed</v>
      </c>
    </row>
    <row r="52">
      <c r="A52" s="3" t="s">
        <v>75</v>
      </c>
      <c r="B52" s="4">
        <f>IFERROR(__xludf.DUMMYFUNCTION("SPLIT(A52,"","",0,0)"),45564.60763888889)</f>
        <v>45564.60764</v>
      </c>
      <c r="C52" s="5">
        <f>IFERROR(__xludf.DUMMYFUNCTION("""COMPUTED_VALUE"""),2793407.0)</f>
        <v>2793407</v>
      </c>
      <c r="D52" s="2" t="str">
        <f>IFERROR(__xludf.DUMMYFUNCTION("""COMPUTED_VALUE"""),"Refund")</f>
        <v>Refund</v>
      </c>
      <c r="E52" s="2" t="str">
        <f>IFERROR(__xludf.DUMMYFUNCTION("""COMPUTED_VALUE"""),"Roti")</f>
        <v>Roti</v>
      </c>
      <c r="F52" s="2">
        <f>IFERROR(__xludf.DUMMYFUNCTION("""COMPUTED_VALUE"""),10005.0)</f>
        <v>10005</v>
      </c>
      <c r="G52" s="2" t="str">
        <f>IFERROR(__xludf.DUMMYFUNCTION("""COMPUTED_VALUE"""),"Roti Gandum Cokelat")</f>
        <v>Roti Gandum Cokelat</v>
      </c>
      <c r="H52" s="2"/>
      <c r="I52" s="2"/>
      <c r="J52" s="2">
        <f>IFERROR(__xludf.DUMMYFUNCTION("""COMPUTED_VALUE"""),-1.0)</f>
        <v>-1</v>
      </c>
      <c r="K52" s="6">
        <f>IFERROR(__xludf.DUMMYFUNCTION("""COMPUTED_VALUE"""),-19524.0)</f>
        <v>-19524</v>
      </c>
      <c r="L52" s="2">
        <f>IFERROR(__xludf.DUMMYFUNCTION("""COMPUTED_VALUE"""),0.0)</f>
        <v>0</v>
      </c>
      <c r="M52" s="2">
        <f>IFERROR(__xludf.DUMMYFUNCTION("""COMPUTED_VALUE"""),-19524.0)</f>
        <v>-19524</v>
      </c>
      <c r="N52" s="2">
        <f>IFERROR(__xludf.DUMMYFUNCTION("""COMPUTED_VALUE"""),0.0)</f>
        <v>0</v>
      </c>
      <c r="O52" s="2">
        <f>IFERROR(__xludf.DUMMYFUNCTION("""COMPUTED_VALUE"""),-19524.0)</f>
        <v>-19524</v>
      </c>
      <c r="P52" s="2">
        <f>IFERROR(__xludf.DUMMYFUNCTION("""COMPUTED_VALUE"""),-976.0)</f>
        <v>-976</v>
      </c>
      <c r="Q52" s="2" t="str">
        <f>IFERROR(__xludf.DUMMYFUNCTION("""COMPUTED_VALUE"""),"Take Away")</f>
        <v>Take Away</v>
      </c>
      <c r="R52" s="2" t="str">
        <f>IFERROR(__xludf.DUMMYFUNCTION("""COMPUTED_VALUE"""),"Kedai")</f>
        <v>Kedai</v>
      </c>
      <c r="S52" s="2" t="str">
        <f>IFERROR(__xludf.DUMMYFUNCTION("""COMPUTED_VALUE"""),"Temu Roti")</f>
        <v>Temu Roti</v>
      </c>
      <c r="T52" s="2" t="str">
        <f>IFERROR(__xludf.DUMMYFUNCTION("""COMPUTED_VALUE"""),"Owner")</f>
        <v>Owner</v>
      </c>
      <c r="U52" s="2"/>
      <c r="V52" s="2"/>
      <c r="W52" s="2"/>
      <c r="X52" s="2" t="str">
        <f>IFERROR(__xludf.DUMMYFUNCTION("""COMPUTED_VALUE"""),"Closed")</f>
        <v>Closed</v>
      </c>
    </row>
    <row r="53">
      <c r="A53" s="3" t="s">
        <v>76</v>
      </c>
      <c r="B53" s="4">
        <f>IFERROR(__xludf.DUMMYFUNCTION("SPLIT(A53,"","",0,0)"),45564.60763888889)</f>
        <v>45564.60764</v>
      </c>
      <c r="C53" s="5">
        <f>IFERROR(__xludf.DUMMYFUNCTION("""COMPUTED_VALUE"""),2793407.0)</f>
        <v>2793407</v>
      </c>
      <c r="D53" s="2" t="str">
        <f>IFERROR(__xludf.DUMMYFUNCTION("""COMPUTED_VALUE"""),"Refund")</f>
        <v>Refund</v>
      </c>
      <c r="E53" s="2" t="str">
        <f>IFERROR(__xludf.DUMMYFUNCTION("""COMPUTED_VALUE"""),"Minuman")</f>
        <v>Minuman</v>
      </c>
      <c r="F53" s="2">
        <f>IFERROR(__xludf.DUMMYFUNCTION("""COMPUTED_VALUE"""),10013.0)</f>
        <v>10013</v>
      </c>
      <c r="G53" s="2" t="str">
        <f>IFERROR(__xludf.DUMMYFUNCTION("""COMPUTED_VALUE"""),"Kopi cur")</f>
        <v>Kopi cur</v>
      </c>
      <c r="H53" s="2"/>
      <c r="I53" s="2"/>
      <c r="J53" s="2">
        <f>IFERROR(__xludf.DUMMYFUNCTION("""COMPUTED_VALUE"""),-1.0)</f>
        <v>-1</v>
      </c>
      <c r="K53" s="6">
        <f>IFERROR(__xludf.DUMMYFUNCTION("""COMPUTED_VALUE"""),-23333.0)</f>
        <v>-23333</v>
      </c>
      <c r="L53" s="2">
        <f>IFERROR(__xludf.DUMMYFUNCTION("""COMPUTED_VALUE"""),0.0)</f>
        <v>0</v>
      </c>
      <c r="M53" s="2">
        <f>IFERROR(__xludf.DUMMYFUNCTION("""COMPUTED_VALUE"""),-23333.0)</f>
        <v>-23333</v>
      </c>
      <c r="N53" s="2">
        <f>IFERROR(__xludf.DUMMYFUNCTION("""COMPUTED_VALUE"""),0.0)</f>
        <v>0</v>
      </c>
      <c r="O53" s="2">
        <f>IFERROR(__xludf.DUMMYFUNCTION("""COMPUTED_VALUE"""),-23333.0)</f>
        <v>-23333</v>
      </c>
      <c r="P53" s="2">
        <f>IFERROR(__xludf.DUMMYFUNCTION("""COMPUTED_VALUE"""),-1166.0)</f>
        <v>-1166</v>
      </c>
      <c r="Q53" s="2" t="str">
        <f>IFERROR(__xludf.DUMMYFUNCTION("""COMPUTED_VALUE"""),"Take Away")</f>
        <v>Take Away</v>
      </c>
      <c r="R53" s="2" t="str">
        <f>IFERROR(__xludf.DUMMYFUNCTION("""COMPUTED_VALUE"""),"Kedai")</f>
        <v>Kedai</v>
      </c>
      <c r="S53" s="2" t="str">
        <f>IFERROR(__xludf.DUMMYFUNCTION("""COMPUTED_VALUE"""),"Temu Roti")</f>
        <v>Temu Roti</v>
      </c>
      <c r="T53" s="2" t="str">
        <f>IFERROR(__xludf.DUMMYFUNCTION("""COMPUTED_VALUE"""),"Owner")</f>
        <v>Owner</v>
      </c>
      <c r="U53" s="2"/>
      <c r="V53" s="2"/>
      <c r="W53" s="2"/>
      <c r="X53" s="2" t="str">
        <f>IFERROR(__xludf.DUMMYFUNCTION("""COMPUTED_VALUE"""),"Closed")</f>
        <v>Closed</v>
      </c>
    </row>
    <row r="54">
      <c r="A54" s="3" t="s">
        <v>77</v>
      </c>
      <c r="B54" s="4">
        <f>IFERROR(__xludf.DUMMYFUNCTION("SPLIT(A54,"","",0,0)"),45564.592361111114)</f>
        <v>45564.59236</v>
      </c>
      <c r="C54" s="5">
        <f>IFERROR(__xludf.DUMMYFUNCTION("""COMPUTED_VALUE"""),2793042.0)</f>
        <v>2793042</v>
      </c>
      <c r="D54" s="2" t="str">
        <f>IFERROR(__xludf.DUMMYFUNCTION("""COMPUTED_VALUE"""),"Sale")</f>
        <v>Sale</v>
      </c>
      <c r="E54" s="2" t="str">
        <f>IFERROR(__xludf.DUMMYFUNCTION("""COMPUTED_VALUE"""),"Roti")</f>
        <v>Roti</v>
      </c>
      <c r="F54" s="2">
        <f>IFERROR(__xludf.DUMMYFUNCTION("""COMPUTED_VALUE"""),10055.0)</f>
        <v>10055</v>
      </c>
      <c r="G54" s="2" t="str">
        <f>IFERROR(__xludf.DUMMYFUNCTION("""COMPUTED_VALUE"""),"Roti Gandum Cokelat 2 pcs")</f>
        <v>Roti Gandum Cokelat 2 pcs</v>
      </c>
      <c r="H54" s="2"/>
      <c r="I54" s="2"/>
      <c r="J54" s="2">
        <f>IFERROR(__xludf.DUMMYFUNCTION("""COMPUTED_VALUE"""),1.0)</f>
        <v>1</v>
      </c>
      <c r="K54" s="6">
        <f>IFERROR(__xludf.DUMMYFUNCTION("""COMPUTED_VALUE"""),34762.0)</f>
        <v>34762</v>
      </c>
      <c r="L54" s="2">
        <f>IFERROR(__xludf.DUMMYFUNCTION("""COMPUTED_VALUE"""),0.0)</f>
        <v>0</v>
      </c>
      <c r="M54" s="2">
        <f>IFERROR(__xludf.DUMMYFUNCTION("""COMPUTED_VALUE"""),34762.0)</f>
        <v>34762</v>
      </c>
      <c r="N54" s="2">
        <f>IFERROR(__xludf.DUMMYFUNCTION("""COMPUTED_VALUE"""),0.0)</f>
        <v>0</v>
      </c>
      <c r="O54" s="2">
        <f>IFERROR(__xludf.DUMMYFUNCTION("""COMPUTED_VALUE"""),34762.0)</f>
        <v>34762</v>
      </c>
      <c r="P54" s="2">
        <f>IFERROR(__xludf.DUMMYFUNCTION("""COMPUTED_VALUE"""),1738.0)</f>
        <v>1738</v>
      </c>
      <c r="Q54" s="2" t="str">
        <f>IFERROR(__xludf.DUMMYFUNCTION("""COMPUTED_VALUE"""),"Dine In")</f>
        <v>Dine In</v>
      </c>
      <c r="R54" s="2" t="str">
        <f>IFERROR(__xludf.DUMMYFUNCTION("""COMPUTED_VALUE"""),"Kedai")</f>
        <v>Kedai</v>
      </c>
      <c r="S54" s="2" t="str">
        <f>IFERROR(__xludf.DUMMYFUNCTION("""COMPUTED_VALUE"""),"Temu Roti")</f>
        <v>Temu Roti</v>
      </c>
      <c r="T54" s="2" t="str">
        <f>IFERROR(__xludf.DUMMYFUNCTION("""COMPUTED_VALUE"""),"Owner")</f>
        <v>Owner</v>
      </c>
      <c r="U54" s="2"/>
      <c r="V54" s="2"/>
      <c r="W54" s="2"/>
      <c r="X54" s="2" t="str">
        <f>IFERROR(__xludf.DUMMYFUNCTION("""COMPUTED_VALUE"""),"Closed")</f>
        <v>Closed</v>
      </c>
    </row>
    <row r="55">
      <c r="A55" s="3" t="s">
        <v>78</v>
      </c>
      <c r="B55" s="4">
        <f>IFERROR(__xludf.DUMMYFUNCTION("SPLIT(A55,"","",0,0)"),45564.592361111114)</f>
        <v>45564.59236</v>
      </c>
      <c r="C55" s="5">
        <f>IFERROR(__xludf.DUMMYFUNCTION("""COMPUTED_VALUE"""),2793042.0)</f>
        <v>2793042</v>
      </c>
      <c r="D55" s="2" t="str">
        <f>IFERROR(__xludf.DUMMYFUNCTION("""COMPUTED_VALUE"""),"Sale")</f>
        <v>Sale</v>
      </c>
      <c r="E55" s="2" t="str">
        <f>IFERROR(__xludf.DUMMYFUNCTION("""COMPUTED_VALUE"""),"Kudapan")</f>
        <v>Kudapan</v>
      </c>
      <c r="F55" s="2">
        <f>IFERROR(__xludf.DUMMYFUNCTION("""COMPUTED_VALUE"""),10009.0)</f>
        <v>10009</v>
      </c>
      <c r="G55" s="2" t="str">
        <f>IFERROR(__xludf.DUMMYFUNCTION("""COMPUTED_VALUE"""),"Jamur Enoki Krispi")</f>
        <v>Jamur Enoki Krispi</v>
      </c>
      <c r="H55" s="2"/>
      <c r="I55" s="2"/>
      <c r="J55" s="2">
        <f>IFERROR(__xludf.DUMMYFUNCTION("""COMPUTED_VALUE"""),1.0)</f>
        <v>1</v>
      </c>
      <c r="K55" s="6">
        <f>IFERROR(__xludf.DUMMYFUNCTION("""COMPUTED_VALUE"""),26667.0)</f>
        <v>26667</v>
      </c>
      <c r="L55" s="2">
        <f>IFERROR(__xludf.DUMMYFUNCTION("""COMPUTED_VALUE"""),0.0)</f>
        <v>0</v>
      </c>
      <c r="M55" s="2">
        <f>IFERROR(__xludf.DUMMYFUNCTION("""COMPUTED_VALUE"""),26667.0)</f>
        <v>26667</v>
      </c>
      <c r="N55" s="2">
        <f>IFERROR(__xludf.DUMMYFUNCTION("""COMPUTED_VALUE"""),0.0)</f>
        <v>0</v>
      </c>
      <c r="O55" s="2">
        <f>IFERROR(__xludf.DUMMYFUNCTION("""COMPUTED_VALUE"""),26667.0)</f>
        <v>26667</v>
      </c>
      <c r="P55" s="2">
        <f>IFERROR(__xludf.DUMMYFUNCTION("""COMPUTED_VALUE"""),1333.0)</f>
        <v>1333</v>
      </c>
      <c r="Q55" s="2" t="str">
        <f>IFERROR(__xludf.DUMMYFUNCTION("""COMPUTED_VALUE"""),"Dine In")</f>
        <v>Dine In</v>
      </c>
      <c r="R55" s="2" t="str">
        <f>IFERROR(__xludf.DUMMYFUNCTION("""COMPUTED_VALUE"""),"Kedai")</f>
        <v>Kedai</v>
      </c>
      <c r="S55" s="2" t="str">
        <f>IFERROR(__xludf.DUMMYFUNCTION("""COMPUTED_VALUE"""),"Temu Roti")</f>
        <v>Temu Roti</v>
      </c>
      <c r="T55" s="2" t="str">
        <f>IFERROR(__xludf.DUMMYFUNCTION("""COMPUTED_VALUE"""),"Owner")</f>
        <v>Owner</v>
      </c>
      <c r="U55" s="2"/>
      <c r="V55" s="2"/>
      <c r="W55" s="2"/>
      <c r="X55" s="2" t="str">
        <f>IFERROR(__xludf.DUMMYFUNCTION("""COMPUTED_VALUE"""),"Closed")</f>
        <v>Closed</v>
      </c>
    </row>
    <row r="56">
      <c r="A56" s="3" t="s">
        <v>79</v>
      </c>
      <c r="B56" s="4">
        <f>IFERROR(__xludf.DUMMYFUNCTION("SPLIT(A56,"","",0,0)"),45564.592361111114)</f>
        <v>45564.59236</v>
      </c>
      <c r="C56" s="5">
        <f>IFERROR(__xludf.DUMMYFUNCTION("""COMPUTED_VALUE"""),2793042.0)</f>
        <v>2793042</v>
      </c>
      <c r="D56" s="2" t="str">
        <f>IFERROR(__xludf.DUMMYFUNCTION("""COMPUTED_VALUE"""),"Sale")</f>
        <v>Sale</v>
      </c>
      <c r="E56" s="2" t="str">
        <f>IFERROR(__xludf.DUMMYFUNCTION("""COMPUTED_VALUE"""),"Minuman")</f>
        <v>Minuman</v>
      </c>
      <c r="F56" s="2">
        <f>IFERROR(__xludf.DUMMYFUNCTION("""COMPUTED_VALUE"""),10117.0)</f>
        <v>10117</v>
      </c>
      <c r="G56" s="2" t="str">
        <f>IFERROR(__xludf.DUMMYFUNCTION("""COMPUTED_VALUE"""),"Teh Manis Dingin")</f>
        <v>Teh Manis Dingin</v>
      </c>
      <c r="H56" s="2"/>
      <c r="I56" s="2"/>
      <c r="J56" s="2">
        <f>IFERROR(__xludf.DUMMYFUNCTION("""COMPUTED_VALUE"""),1.0)</f>
        <v>1</v>
      </c>
      <c r="K56" s="6">
        <f>IFERROR(__xludf.DUMMYFUNCTION("""COMPUTED_VALUE"""),14286.0)</f>
        <v>14286</v>
      </c>
      <c r="L56" s="2">
        <f>IFERROR(__xludf.DUMMYFUNCTION("""COMPUTED_VALUE"""),0.0)</f>
        <v>0</v>
      </c>
      <c r="M56" s="2">
        <f>IFERROR(__xludf.DUMMYFUNCTION("""COMPUTED_VALUE"""),14286.0)</f>
        <v>14286</v>
      </c>
      <c r="N56" s="2">
        <f>IFERROR(__xludf.DUMMYFUNCTION("""COMPUTED_VALUE"""),0.0)</f>
        <v>0</v>
      </c>
      <c r="O56" s="2">
        <f>IFERROR(__xludf.DUMMYFUNCTION("""COMPUTED_VALUE"""),14286.0)</f>
        <v>14286</v>
      </c>
      <c r="P56" s="2">
        <f>IFERROR(__xludf.DUMMYFUNCTION("""COMPUTED_VALUE"""),715.0)</f>
        <v>715</v>
      </c>
      <c r="Q56" s="2" t="str">
        <f>IFERROR(__xludf.DUMMYFUNCTION("""COMPUTED_VALUE"""),"Dine In")</f>
        <v>Dine In</v>
      </c>
      <c r="R56" s="2" t="str">
        <f>IFERROR(__xludf.DUMMYFUNCTION("""COMPUTED_VALUE"""),"Kedai")</f>
        <v>Kedai</v>
      </c>
      <c r="S56" s="2" t="str">
        <f>IFERROR(__xludf.DUMMYFUNCTION("""COMPUTED_VALUE"""),"Temu Roti")</f>
        <v>Temu Roti</v>
      </c>
      <c r="T56" s="2" t="str">
        <f>IFERROR(__xludf.DUMMYFUNCTION("""COMPUTED_VALUE"""),"Owner")</f>
        <v>Owner</v>
      </c>
      <c r="U56" s="2"/>
      <c r="V56" s="2"/>
      <c r="W56" s="2"/>
      <c r="X56" s="2" t="str">
        <f>IFERROR(__xludf.DUMMYFUNCTION("""COMPUTED_VALUE"""),"Closed")</f>
        <v>Closed</v>
      </c>
    </row>
    <row r="57">
      <c r="A57" s="3" t="s">
        <v>80</v>
      </c>
      <c r="B57" s="4">
        <f>IFERROR(__xludf.DUMMYFUNCTION("SPLIT(A57,"","",0,0)"),45564.592361111114)</f>
        <v>45564.59236</v>
      </c>
      <c r="C57" s="5">
        <f>IFERROR(__xludf.DUMMYFUNCTION("""COMPUTED_VALUE"""),2793042.0)</f>
        <v>2793042</v>
      </c>
      <c r="D57" s="2" t="str">
        <f>IFERROR(__xludf.DUMMYFUNCTION("""COMPUTED_VALUE"""),"Sale")</f>
        <v>Sale</v>
      </c>
      <c r="E57" s="2" t="str">
        <f>IFERROR(__xludf.DUMMYFUNCTION("""COMPUTED_VALUE"""),"Minuman")</f>
        <v>Minuman</v>
      </c>
      <c r="F57" s="2">
        <f>IFERROR(__xludf.DUMMYFUNCTION("""COMPUTED_VALUE"""),10123.0)</f>
        <v>10123</v>
      </c>
      <c r="G57" s="2" t="str">
        <f>IFERROR(__xludf.DUMMYFUNCTION("""COMPUTED_VALUE"""),"Rempah Madu Dingin")</f>
        <v>Rempah Madu Dingin</v>
      </c>
      <c r="H57" s="2"/>
      <c r="I57" s="2"/>
      <c r="J57" s="2">
        <f>IFERROR(__xludf.DUMMYFUNCTION("""COMPUTED_VALUE"""),1.0)</f>
        <v>1</v>
      </c>
      <c r="K57" s="6">
        <f>IFERROR(__xludf.DUMMYFUNCTION("""COMPUTED_VALUE"""),21905.0)</f>
        <v>21905</v>
      </c>
      <c r="L57" s="2">
        <f>IFERROR(__xludf.DUMMYFUNCTION("""COMPUTED_VALUE"""),0.0)</f>
        <v>0</v>
      </c>
      <c r="M57" s="2">
        <f>IFERROR(__xludf.DUMMYFUNCTION("""COMPUTED_VALUE"""),21905.0)</f>
        <v>21905</v>
      </c>
      <c r="N57" s="2">
        <f>IFERROR(__xludf.DUMMYFUNCTION("""COMPUTED_VALUE"""),0.0)</f>
        <v>0</v>
      </c>
      <c r="O57" s="2">
        <f>IFERROR(__xludf.DUMMYFUNCTION("""COMPUTED_VALUE"""),21905.0)</f>
        <v>21905</v>
      </c>
      <c r="P57" s="2">
        <f>IFERROR(__xludf.DUMMYFUNCTION("""COMPUTED_VALUE"""),1095.0)</f>
        <v>1095</v>
      </c>
      <c r="Q57" s="2" t="str">
        <f>IFERROR(__xludf.DUMMYFUNCTION("""COMPUTED_VALUE"""),"Dine In")</f>
        <v>Dine In</v>
      </c>
      <c r="R57" s="2" t="str">
        <f>IFERROR(__xludf.DUMMYFUNCTION("""COMPUTED_VALUE"""),"Kedai")</f>
        <v>Kedai</v>
      </c>
      <c r="S57" s="2" t="str">
        <f>IFERROR(__xludf.DUMMYFUNCTION("""COMPUTED_VALUE"""),"Temu Roti")</f>
        <v>Temu Roti</v>
      </c>
      <c r="T57" s="2" t="str">
        <f>IFERROR(__xludf.DUMMYFUNCTION("""COMPUTED_VALUE"""),"Owner")</f>
        <v>Owner</v>
      </c>
      <c r="U57" s="2"/>
      <c r="V57" s="2"/>
      <c r="W57" s="2"/>
      <c r="X57" s="2" t="str">
        <f>IFERROR(__xludf.DUMMYFUNCTION("""COMPUTED_VALUE"""),"Closed")</f>
        <v>Closed</v>
      </c>
    </row>
    <row r="58">
      <c r="A58" s="3" t="s">
        <v>81</v>
      </c>
      <c r="B58" s="4">
        <f>IFERROR(__xludf.DUMMYFUNCTION("SPLIT(A58,"","",0,0)"),45564.592361111114)</f>
        <v>45564.59236</v>
      </c>
      <c r="C58" s="5">
        <f>IFERROR(__xludf.DUMMYFUNCTION("""COMPUTED_VALUE"""),2793042.0)</f>
        <v>2793042</v>
      </c>
      <c r="D58" s="2" t="str">
        <f>IFERROR(__xludf.DUMMYFUNCTION("""COMPUTED_VALUE"""),"Sale")</f>
        <v>Sale</v>
      </c>
      <c r="E58" s="2" t="str">
        <f>IFERROR(__xludf.DUMMYFUNCTION("""COMPUTED_VALUE"""),"Minuman")</f>
        <v>Minuman</v>
      </c>
      <c r="F58" s="2">
        <f>IFERROR(__xludf.DUMMYFUNCTION("""COMPUTED_VALUE"""),10126.0)</f>
        <v>10126</v>
      </c>
      <c r="G58" s="2" t="str">
        <f>IFERROR(__xludf.DUMMYFUNCTION("""COMPUTED_VALUE"""),"Chamomile Lemongrass Hot Artisan Tea")</f>
        <v>Chamomile Lemongrass Hot Artisan Tea</v>
      </c>
      <c r="H58" s="2"/>
      <c r="I58" s="2"/>
      <c r="J58" s="2">
        <f>IFERROR(__xludf.DUMMYFUNCTION("""COMPUTED_VALUE"""),1.0)</f>
        <v>1</v>
      </c>
      <c r="K58" s="6">
        <f>IFERROR(__xludf.DUMMYFUNCTION("""COMPUTED_VALUE"""),23810.0)</f>
        <v>23810</v>
      </c>
      <c r="L58" s="2">
        <f>IFERROR(__xludf.DUMMYFUNCTION("""COMPUTED_VALUE"""),0.0)</f>
        <v>0</v>
      </c>
      <c r="M58" s="2">
        <f>IFERROR(__xludf.DUMMYFUNCTION("""COMPUTED_VALUE"""),23810.0)</f>
        <v>23810</v>
      </c>
      <c r="N58" s="2">
        <f>IFERROR(__xludf.DUMMYFUNCTION("""COMPUTED_VALUE"""),0.0)</f>
        <v>0</v>
      </c>
      <c r="O58" s="2">
        <f>IFERROR(__xludf.DUMMYFUNCTION("""COMPUTED_VALUE"""),23810.0)</f>
        <v>23810</v>
      </c>
      <c r="P58" s="2">
        <f>IFERROR(__xludf.DUMMYFUNCTION("""COMPUTED_VALUE"""),1191.0)</f>
        <v>1191</v>
      </c>
      <c r="Q58" s="2" t="str">
        <f>IFERROR(__xludf.DUMMYFUNCTION("""COMPUTED_VALUE"""),"Dine In")</f>
        <v>Dine In</v>
      </c>
      <c r="R58" s="2" t="str">
        <f>IFERROR(__xludf.DUMMYFUNCTION("""COMPUTED_VALUE"""),"Kedai")</f>
        <v>Kedai</v>
      </c>
      <c r="S58" s="2" t="str">
        <f>IFERROR(__xludf.DUMMYFUNCTION("""COMPUTED_VALUE"""),"Temu Roti")</f>
        <v>Temu Roti</v>
      </c>
      <c r="T58" s="2" t="str">
        <f>IFERROR(__xludf.DUMMYFUNCTION("""COMPUTED_VALUE"""),"Owner")</f>
        <v>Owner</v>
      </c>
      <c r="U58" s="2"/>
      <c r="V58" s="2"/>
      <c r="W58" s="2"/>
      <c r="X58" s="2" t="str">
        <f>IFERROR(__xludf.DUMMYFUNCTION("""COMPUTED_VALUE"""),"Closed")</f>
        <v>Closed</v>
      </c>
    </row>
    <row r="59">
      <c r="A59" s="3" t="s">
        <v>82</v>
      </c>
      <c r="B59" s="4">
        <f>IFERROR(__xludf.DUMMYFUNCTION("SPLIT(A59,"","",0,0)"),45564.59027777778)</f>
        <v>45564.59028</v>
      </c>
      <c r="C59" s="5">
        <f>IFERROR(__xludf.DUMMYFUNCTION("""COMPUTED_VALUE"""),2792677.0)</f>
        <v>2792677</v>
      </c>
      <c r="D59" s="2" t="str">
        <f>IFERROR(__xludf.DUMMYFUNCTION("""COMPUTED_VALUE"""),"Refund")</f>
        <v>Refund</v>
      </c>
      <c r="E59" s="2" t="str">
        <f>IFERROR(__xludf.DUMMYFUNCTION("""COMPUTED_VALUE"""),"Minuman")</f>
        <v>Minuman</v>
      </c>
      <c r="F59" s="2">
        <f>IFERROR(__xludf.DUMMYFUNCTION("""COMPUTED_VALUE"""),10125.0)</f>
        <v>10125</v>
      </c>
      <c r="G59" s="2" t="str">
        <f>IFERROR(__xludf.DUMMYFUNCTION("""COMPUTED_VALUE"""),"Gula Asam Dingin")</f>
        <v>Gula Asam Dingin</v>
      </c>
      <c r="H59" s="2"/>
      <c r="I59" s="2"/>
      <c r="J59" s="2">
        <f>IFERROR(__xludf.DUMMYFUNCTION("""COMPUTED_VALUE"""),-1.0)</f>
        <v>-1</v>
      </c>
      <c r="K59" s="6">
        <f>IFERROR(__xludf.DUMMYFUNCTION("""COMPUTED_VALUE"""),-20476.0)</f>
        <v>-20476</v>
      </c>
      <c r="L59" s="2">
        <f>IFERROR(__xludf.DUMMYFUNCTION("""COMPUTED_VALUE"""),0.0)</f>
        <v>0</v>
      </c>
      <c r="M59" s="2">
        <f>IFERROR(__xludf.DUMMYFUNCTION("""COMPUTED_VALUE"""),-20476.0)</f>
        <v>-20476</v>
      </c>
      <c r="N59" s="2">
        <f>IFERROR(__xludf.DUMMYFUNCTION("""COMPUTED_VALUE"""),0.0)</f>
        <v>0</v>
      </c>
      <c r="O59" s="2">
        <f>IFERROR(__xludf.DUMMYFUNCTION("""COMPUTED_VALUE"""),-20476.0)</f>
        <v>-20476</v>
      </c>
      <c r="P59" s="2">
        <f>IFERROR(__xludf.DUMMYFUNCTION("""COMPUTED_VALUE"""),-1024.0)</f>
        <v>-1024</v>
      </c>
      <c r="Q59" s="2" t="str">
        <f>IFERROR(__xludf.DUMMYFUNCTION("""COMPUTED_VALUE"""),"Dine In")</f>
        <v>Dine In</v>
      </c>
      <c r="R59" s="2" t="str">
        <f>IFERROR(__xludf.DUMMYFUNCTION("""COMPUTED_VALUE"""),"Kedai")</f>
        <v>Kedai</v>
      </c>
      <c r="S59" s="2" t="str">
        <f>IFERROR(__xludf.DUMMYFUNCTION("""COMPUTED_VALUE"""),"Temu Roti")</f>
        <v>Temu Roti</v>
      </c>
      <c r="T59" s="2" t="str">
        <f>IFERROR(__xludf.DUMMYFUNCTION("""COMPUTED_VALUE"""),"Owner")</f>
        <v>Owner</v>
      </c>
      <c r="U59" s="2"/>
      <c r="V59" s="2"/>
      <c r="W59" s="2"/>
      <c r="X59" s="2" t="str">
        <f>IFERROR(__xludf.DUMMYFUNCTION("""COMPUTED_VALUE"""),"Closed")</f>
        <v>Closed</v>
      </c>
    </row>
    <row r="60">
      <c r="A60" s="3" t="s">
        <v>83</v>
      </c>
      <c r="B60" s="4">
        <f>IFERROR(__xludf.DUMMYFUNCTION("SPLIT(A60,"","",0,0)"),45564.59027777778)</f>
        <v>45564.59028</v>
      </c>
      <c r="C60" s="5">
        <f>IFERROR(__xludf.DUMMYFUNCTION("""COMPUTED_VALUE"""),2792677.0)</f>
        <v>2792677</v>
      </c>
      <c r="D60" s="2" t="str">
        <f>IFERROR(__xludf.DUMMYFUNCTION("""COMPUTED_VALUE"""),"Refund")</f>
        <v>Refund</v>
      </c>
      <c r="E60" s="2" t="str">
        <f>IFERROR(__xludf.DUMMYFUNCTION("""COMPUTED_VALUE"""),"Minuman")</f>
        <v>Minuman</v>
      </c>
      <c r="F60" s="2">
        <f>IFERROR(__xludf.DUMMYFUNCTION("""COMPUTED_VALUE"""),10128.0)</f>
        <v>10128</v>
      </c>
      <c r="G60" s="2" t="str">
        <f>IFERROR(__xludf.DUMMYFUNCTION("""COMPUTED_VALUE"""),"Es Kopi Susu")</f>
        <v>Es Kopi Susu</v>
      </c>
      <c r="H60" s="2"/>
      <c r="I60" s="2"/>
      <c r="J60" s="2">
        <f>IFERROR(__xludf.DUMMYFUNCTION("""COMPUTED_VALUE"""),-1.0)</f>
        <v>-1</v>
      </c>
      <c r="K60" s="6">
        <f>IFERROR(__xludf.DUMMYFUNCTION("""COMPUTED_VALUE"""),-23333.0)</f>
        <v>-23333</v>
      </c>
      <c r="L60" s="2">
        <f>IFERROR(__xludf.DUMMYFUNCTION("""COMPUTED_VALUE"""),0.0)</f>
        <v>0</v>
      </c>
      <c r="M60" s="2">
        <f>IFERROR(__xludf.DUMMYFUNCTION("""COMPUTED_VALUE"""),-23333.0)</f>
        <v>-23333</v>
      </c>
      <c r="N60" s="2">
        <f>IFERROR(__xludf.DUMMYFUNCTION("""COMPUTED_VALUE"""),0.0)</f>
        <v>0</v>
      </c>
      <c r="O60" s="2">
        <f>IFERROR(__xludf.DUMMYFUNCTION("""COMPUTED_VALUE"""),-23333.0)</f>
        <v>-23333</v>
      </c>
      <c r="P60" s="2">
        <f>IFERROR(__xludf.DUMMYFUNCTION("""COMPUTED_VALUE"""),-1166.0)</f>
        <v>-1166</v>
      </c>
      <c r="Q60" s="2" t="str">
        <f>IFERROR(__xludf.DUMMYFUNCTION("""COMPUTED_VALUE"""),"Dine In")</f>
        <v>Dine In</v>
      </c>
      <c r="R60" s="2" t="str">
        <f>IFERROR(__xludf.DUMMYFUNCTION("""COMPUTED_VALUE"""),"Kedai")</f>
        <v>Kedai</v>
      </c>
      <c r="S60" s="2" t="str">
        <f>IFERROR(__xludf.DUMMYFUNCTION("""COMPUTED_VALUE"""),"Temu Roti")</f>
        <v>Temu Roti</v>
      </c>
      <c r="T60" s="2" t="str">
        <f>IFERROR(__xludf.DUMMYFUNCTION("""COMPUTED_VALUE"""),"Owner")</f>
        <v>Owner</v>
      </c>
      <c r="U60" s="2"/>
      <c r="V60" s="2"/>
      <c r="W60" s="2"/>
      <c r="X60" s="2" t="str">
        <f>IFERROR(__xludf.DUMMYFUNCTION("""COMPUTED_VALUE"""),"Closed")</f>
        <v>Closed</v>
      </c>
    </row>
    <row r="61">
      <c r="A61" s="3" t="s">
        <v>84</v>
      </c>
      <c r="B61" s="4">
        <f>IFERROR(__xludf.DUMMYFUNCTION("SPLIT(A61,"","",0,0)"),45564.59027777778)</f>
        <v>45564.59028</v>
      </c>
      <c r="C61" s="5">
        <f>IFERROR(__xludf.DUMMYFUNCTION("""COMPUTED_VALUE"""),2792677.0)</f>
        <v>2792677</v>
      </c>
      <c r="D61" s="2" t="str">
        <f>IFERROR(__xludf.DUMMYFUNCTION("""COMPUTED_VALUE"""),"Refund")</f>
        <v>Refund</v>
      </c>
      <c r="E61" s="2" t="str">
        <f>IFERROR(__xludf.DUMMYFUNCTION("""COMPUTED_VALUE"""),"Roti")</f>
        <v>Roti</v>
      </c>
      <c r="F61" s="2">
        <f>IFERROR(__xludf.DUMMYFUNCTION("""COMPUTED_VALUE"""),10055.0)</f>
        <v>10055</v>
      </c>
      <c r="G61" s="2" t="str">
        <f>IFERROR(__xludf.DUMMYFUNCTION("""COMPUTED_VALUE"""),"Roti Gandum Cokelat 2 pcs")</f>
        <v>Roti Gandum Cokelat 2 pcs</v>
      </c>
      <c r="H61" s="2"/>
      <c r="I61" s="2"/>
      <c r="J61" s="2">
        <f>IFERROR(__xludf.DUMMYFUNCTION("""COMPUTED_VALUE"""),-2.0)</f>
        <v>-2</v>
      </c>
      <c r="K61" s="6">
        <f>IFERROR(__xludf.DUMMYFUNCTION("""COMPUTED_VALUE"""),-69524.0)</f>
        <v>-69524</v>
      </c>
      <c r="L61" s="2">
        <f>IFERROR(__xludf.DUMMYFUNCTION("""COMPUTED_VALUE"""),0.0)</f>
        <v>0</v>
      </c>
      <c r="M61" s="2">
        <f>IFERROR(__xludf.DUMMYFUNCTION("""COMPUTED_VALUE"""),-69524.0)</f>
        <v>-69524</v>
      </c>
      <c r="N61" s="2">
        <f>IFERROR(__xludf.DUMMYFUNCTION("""COMPUTED_VALUE"""),0.0)</f>
        <v>0</v>
      </c>
      <c r="O61" s="2">
        <f>IFERROR(__xludf.DUMMYFUNCTION("""COMPUTED_VALUE"""),-69524.0)</f>
        <v>-69524</v>
      </c>
      <c r="P61" s="2">
        <f>IFERROR(__xludf.DUMMYFUNCTION("""COMPUTED_VALUE"""),-3477.0)</f>
        <v>-3477</v>
      </c>
      <c r="Q61" s="2" t="str">
        <f>IFERROR(__xludf.DUMMYFUNCTION("""COMPUTED_VALUE"""),"Dine In")</f>
        <v>Dine In</v>
      </c>
      <c r="R61" s="2" t="str">
        <f>IFERROR(__xludf.DUMMYFUNCTION("""COMPUTED_VALUE"""),"Kedai")</f>
        <v>Kedai</v>
      </c>
      <c r="S61" s="2" t="str">
        <f>IFERROR(__xludf.DUMMYFUNCTION("""COMPUTED_VALUE"""),"Temu Roti")</f>
        <v>Temu Roti</v>
      </c>
      <c r="T61" s="2" t="str">
        <f>IFERROR(__xludf.DUMMYFUNCTION("""COMPUTED_VALUE"""),"Owner")</f>
        <v>Owner</v>
      </c>
      <c r="U61" s="2"/>
      <c r="V61" s="2"/>
      <c r="W61" s="2"/>
      <c r="X61" s="2" t="str">
        <f>IFERROR(__xludf.DUMMYFUNCTION("""COMPUTED_VALUE"""),"Closed")</f>
        <v>Closed</v>
      </c>
    </row>
    <row r="62">
      <c r="A62" s="3" t="s">
        <v>85</v>
      </c>
      <c r="B62" s="4">
        <f>IFERROR(__xludf.DUMMYFUNCTION("SPLIT(A62,"","",0,0)"),45564.58819444444)</f>
        <v>45564.58819</v>
      </c>
      <c r="C62" s="5">
        <f>IFERROR(__xludf.DUMMYFUNCTION("""COMPUTED_VALUE"""),2792312.0)</f>
        <v>2792312</v>
      </c>
      <c r="D62" s="2" t="str">
        <f>IFERROR(__xludf.DUMMYFUNCTION("""COMPUTED_VALUE"""),"Sale")</f>
        <v>Sale</v>
      </c>
      <c r="E62" s="2" t="str">
        <f>IFERROR(__xludf.DUMMYFUNCTION("""COMPUTED_VALUE"""),"Roti")</f>
        <v>Roti</v>
      </c>
      <c r="F62" s="2">
        <f>IFERROR(__xludf.DUMMYFUNCTION("""COMPUTED_VALUE"""),10002.0)</f>
        <v>10002</v>
      </c>
      <c r="G62" s="2" t="str">
        <f>IFERROR(__xludf.DUMMYFUNCTION("""COMPUTED_VALUE"""),"Roti Cranberry")</f>
        <v>Roti Cranberry</v>
      </c>
      <c r="H62" s="2"/>
      <c r="I62" s="2"/>
      <c r="J62" s="2">
        <f>IFERROR(__xludf.DUMMYFUNCTION("""COMPUTED_VALUE"""),1.0)</f>
        <v>1</v>
      </c>
      <c r="K62" s="6">
        <f>IFERROR(__xludf.DUMMYFUNCTION("""COMPUTED_VALUE"""),18571.0)</f>
        <v>18571</v>
      </c>
      <c r="L62" s="2">
        <f>IFERROR(__xludf.DUMMYFUNCTION("""COMPUTED_VALUE"""),0.0)</f>
        <v>0</v>
      </c>
      <c r="M62" s="2">
        <f>IFERROR(__xludf.DUMMYFUNCTION("""COMPUTED_VALUE"""),18571.0)</f>
        <v>18571</v>
      </c>
      <c r="N62" s="2">
        <f>IFERROR(__xludf.DUMMYFUNCTION("""COMPUTED_VALUE"""),0.0)</f>
        <v>0</v>
      </c>
      <c r="O62" s="2">
        <f>IFERROR(__xludf.DUMMYFUNCTION("""COMPUTED_VALUE"""),18571.0)</f>
        <v>18571</v>
      </c>
      <c r="P62" s="2">
        <f>IFERROR(__xludf.DUMMYFUNCTION("""COMPUTED_VALUE"""),929.0)</f>
        <v>929</v>
      </c>
      <c r="Q62" s="2" t="str">
        <f>IFERROR(__xludf.DUMMYFUNCTION("""COMPUTED_VALUE"""),"Dine In")</f>
        <v>Dine In</v>
      </c>
      <c r="R62" s="2" t="str">
        <f>IFERROR(__xludf.DUMMYFUNCTION("""COMPUTED_VALUE"""),"Kedai")</f>
        <v>Kedai</v>
      </c>
      <c r="S62" s="2" t="str">
        <f>IFERROR(__xludf.DUMMYFUNCTION("""COMPUTED_VALUE"""),"Temu Roti")</f>
        <v>Temu Roti</v>
      </c>
      <c r="T62" s="2" t="str">
        <f>IFERROR(__xludf.DUMMYFUNCTION("""COMPUTED_VALUE"""),"Owner")</f>
        <v>Owner</v>
      </c>
      <c r="U62" s="2"/>
      <c r="V62" s="2"/>
      <c r="W62" s="2"/>
      <c r="X62" s="2" t="str">
        <f>IFERROR(__xludf.DUMMYFUNCTION("""COMPUTED_VALUE"""),"Closed")</f>
        <v>Closed</v>
      </c>
    </row>
    <row r="63">
      <c r="A63" s="3" t="s">
        <v>86</v>
      </c>
      <c r="B63" s="4">
        <f>IFERROR(__xludf.DUMMYFUNCTION("SPLIT(A63,"","",0,0)"),45564.58819444444)</f>
        <v>45564.58819</v>
      </c>
      <c r="C63" s="5">
        <f>IFERROR(__xludf.DUMMYFUNCTION("""COMPUTED_VALUE"""),2792312.0)</f>
        <v>2792312</v>
      </c>
      <c r="D63" s="2" t="str">
        <f>IFERROR(__xludf.DUMMYFUNCTION("""COMPUTED_VALUE"""),"Sale")</f>
        <v>Sale</v>
      </c>
      <c r="E63" s="2" t="str">
        <f>IFERROR(__xludf.DUMMYFUNCTION("""COMPUTED_VALUE"""),"Roti")</f>
        <v>Roti</v>
      </c>
      <c r="F63" s="2">
        <f>IFERROR(__xludf.DUMMYFUNCTION("""COMPUTED_VALUE"""),10005.0)</f>
        <v>10005</v>
      </c>
      <c r="G63" s="2" t="str">
        <f>IFERROR(__xludf.DUMMYFUNCTION("""COMPUTED_VALUE"""),"Roti Gandum Cokelat")</f>
        <v>Roti Gandum Cokelat</v>
      </c>
      <c r="H63" s="2"/>
      <c r="I63" s="2"/>
      <c r="J63" s="2">
        <f>IFERROR(__xludf.DUMMYFUNCTION("""COMPUTED_VALUE"""),1.0)</f>
        <v>1</v>
      </c>
      <c r="K63" s="6">
        <f>IFERROR(__xludf.DUMMYFUNCTION("""COMPUTED_VALUE"""),19524.0)</f>
        <v>19524</v>
      </c>
      <c r="L63" s="2">
        <f>IFERROR(__xludf.DUMMYFUNCTION("""COMPUTED_VALUE"""),0.0)</f>
        <v>0</v>
      </c>
      <c r="M63" s="2">
        <f>IFERROR(__xludf.DUMMYFUNCTION("""COMPUTED_VALUE"""),19524.0)</f>
        <v>19524</v>
      </c>
      <c r="N63" s="2">
        <f>IFERROR(__xludf.DUMMYFUNCTION("""COMPUTED_VALUE"""),0.0)</f>
        <v>0</v>
      </c>
      <c r="O63" s="2">
        <f>IFERROR(__xludf.DUMMYFUNCTION("""COMPUTED_VALUE"""),19524.0)</f>
        <v>19524</v>
      </c>
      <c r="P63" s="2">
        <f>IFERROR(__xludf.DUMMYFUNCTION("""COMPUTED_VALUE"""),976.0)</f>
        <v>976</v>
      </c>
      <c r="Q63" s="2" t="str">
        <f>IFERROR(__xludf.DUMMYFUNCTION("""COMPUTED_VALUE"""),"Dine In")</f>
        <v>Dine In</v>
      </c>
      <c r="R63" s="2" t="str">
        <f>IFERROR(__xludf.DUMMYFUNCTION("""COMPUTED_VALUE"""),"Kedai")</f>
        <v>Kedai</v>
      </c>
      <c r="S63" s="2" t="str">
        <f>IFERROR(__xludf.DUMMYFUNCTION("""COMPUTED_VALUE"""),"Temu Roti")</f>
        <v>Temu Roti</v>
      </c>
      <c r="T63" s="2" t="str">
        <f>IFERROR(__xludf.DUMMYFUNCTION("""COMPUTED_VALUE"""),"Owner")</f>
        <v>Owner</v>
      </c>
      <c r="U63" s="2"/>
      <c r="V63" s="2"/>
      <c r="W63" s="2"/>
      <c r="X63" s="2" t="str">
        <f>IFERROR(__xludf.DUMMYFUNCTION("""COMPUTED_VALUE"""),"Closed")</f>
        <v>Closed</v>
      </c>
    </row>
    <row r="64">
      <c r="A64" s="3" t="s">
        <v>87</v>
      </c>
      <c r="B64" s="4">
        <f>IFERROR(__xludf.DUMMYFUNCTION("SPLIT(A64,"","",0,0)"),45564.58819444444)</f>
        <v>45564.58819</v>
      </c>
      <c r="C64" s="5">
        <f>IFERROR(__xludf.DUMMYFUNCTION("""COMPUTED_VALUE"""),2792312.0)</f>
        <v>2792312</v>
      </c>
      <c r="D64" s="2" t="str">
        <f>IFERROR(__xludf.DUMMYFUNCTION("""COMPUTED_VALUE"""),"Sale")</f>
        <v>Sale</v>
      </c>
      <c r="E64" s="2" t="str">
        <f>IFERROR(__xludf.DUMMYFUNCTION("""COMPUTED_VALUE"""),"Minuman")</f>
        <v>Minuman</v>
      </c>
      <c r="F64" s="2">
        <f>IFERROR(__xludf.DUMMYFUNCTION("""COMPUTED_VALUE"""),10128.0)</f>
        <v>10128</v>
      </c>
      <c r="G64" s="2" t="str">
        <f>IFERROR(__xludf.DUMMYFUNCTION("""COMPUTED_VALUE"""),"Es Kopi Susu")</f>
        <v>Es Kopi Susu</v>
      </c>
      <c r="H64" s="2"/>
      <c r="I64" s="2"/>
      <c r="J64" s="2">
        <f>IFERROR(__xludf.DUMMYFUNCTION("""COMPUTED_VALUE"""),1.0)</f>
        <v>1</v>
      </c>
      <c r="K64" s="6">
        <f>IFERROR(__xludf.DUMMYFUNCTION("""COMPUTED_VALUE"""),23333.0)</f>
        <v>23333</v>
      </c>
      <c r="L64" s="2">
        <f>IFERROR(__xludf.DUMMYFUNCTION("""COMPUTED_VALUE"""),0.0)</f>
        <v>0</v>
      </c>
      <c r="M64" s="2">
        <f>IFERROR(__xludf.DUMMYFUNCTION("""COMPUTED_VALUE"""),23333.0)</f>
        <v>23333</v>
      </c>
      <c r="N64" s="2">
        <f>IFERROR(__xludf.DUMMYFUNCTION("""COMPUTED_VALUE"""),0.0)</f>
        <v>0</v>
      </c>
      <c r="O64" s="2">
        <f>IFERROR(__xludf.DUMMYFUNCTION("""COMPUTED_VALUE"""),23333.0)</f>
        <v>23333</v>
      </c>
      <c r="P64" s="2">
        <f>IFERROR(__xludf.DUMMYFUNCTION("""COMPUTED_VALUE"""),1166.0)</f>
        <v>1166</v>
      </c>
      <c r="Q64" s="2" t="str">
        <f>IFERROR(__xludf.DUMMYFUNCTION("""COMPUTED_VALUE"""),"Dine In")</f>
        <v>Dine In</v>
      </c>
      <c r="R64" s="2" t="str">
        <f>IFERROR(__xludf.DUMMYFUNCTION("""COMPUTED_VALUE"""),"Kedai")</f>
        <v>Kedai</v>
      </c>
      <c r="S64" s="2" t="str">
        <f>IFERROR(__xludf.DUMMYFUNCTION("""COMPUTED_VALUE"""),"Temu Roti")</f>
        <v>Temu Roti</v>
      </c>
      <c r="T64" s="2" t="str">
        <f>IFERROR(__xludf.DUMMYFUNCTION("""COMPUTED_VALUE"""),"Owner")</f>
        <v>Owner</v>
      </c>
      <c r="U64" s="2"/>
      <c r="V64" s="2"/>
      <c r="W64" s="2"/>
      <c r="X64" s="2" t="str">
        <f>IFERROR(__xludf.DUMMYFUNCTION("""COMPUTED_VALUE"""),"Closed")</f>
        <v>Closed</v>
      </c>
    </row>
    <row r="65">
      <c r="A65" s="3" t="s">
        <v>88</v>
      </c>
      <c r="B65" s="4">
        <f>IFERROR(__xludf.DUMMYFUNCTION("SPLIT(A65,"","",0,0)"),45564.58819444444)</f>
        <v>45564.58819</v>
      </c>
      <c r="C65" s="5">
        <f>IFERROR(__xludf.DUMMYFUNCTION("""COMPUTED_VALUE"""),2792312.0)</f>
        <v>2792312</v>
      </c>
      <c r="D65" s="2" t="str">
        <f>IFERROR(__xludf.DUMMYFUNCTION("""COMPUTED_VALUE"""),"Sale")</f>
        <v>Sale</v>
      </c>
      <c r="E65" s="2" t="str">
        <f>IFERROR(__xludf.DUMMYFUNCTION("""COMPUTED_VALUE"""),"Minuman")</f>
        <v>Minuman</v>
      </c>
      <c r="F65" s="2">
        <f>IFERROR(__xludf.DUMMYFUNCTION("""COMPUTED_VALUE"""),10125.0)</f>
        <v>10125</v>
      </c>
      <c r="G65" s="2" t="str">
        <f>IFERROR(__xludf.DUMMYFUNCTION("""COMPUTED_VALUE"""),"Gula Asam Dingin")</f>
        <v>Gula Asam Dingin</v>
      </c>
      <c r="H65" s="2"/>
      <c r="I65" s="2"/>
      <c r="J65" s="2">
        <f>IFERROR(__xludf.DUMMYFUNCTION("""COMPUTED_VALUE"""),1.0)</f>
        <v>1</v>
      </c>
      <c r="K65" s="6">
        <f>IFERROR(__xludf.DUMMYFUNCTION("""COMPUTED_VALUE"""),20476.0)</f>
        <v>20476</v>
      </c>
      <c r="L65" s="2">
        <f>IFERROR(__xludf.DUMMYFUNCTION("""COMPUTED_VALUE"""),0.0)</f>
        <v>0</v>
      </c>
      <c r="M65" s="2">
        <f>IFERROR(__xludf.DUMMYFUNCTION("""COMPUTED_VALUE"""),20476.0)</f>
        <v>20476</v>
      </c>
      <c r="N65" s="2">
        <f>IFERROR(__xludf.DUMMYFUNCTION("""COMPUTED_VALUE"""),0.0)</f>
        <v>0</v>
      </c>
      <c r="O65" s="2">
        <f>IFERROR(__xludf.DUMMYFUNCTION("""COMPUTED_VALUE"""),20476.0)</f>
        <v>20476</v>
      </c>
      <c r="P65" s="2">
        <f>IFERROR(__xludf.DUMMYFUNCTION("""COMPUTED_VALUE"""),1024.0)</f>
        <v>1024</v>
      </c>
      <c r="Q65" s="2" t="str">
        <f>IFERROR(__xludf.DUMMYFUNCTION("""COMPUTED_VALUE"""),"Dine In")</f>
        <v>Dine In</v>
      </c>
      <c r="R65" s="2" t="str">
        <f>IFERROR(__xludf.DUMMYFUNCTION("""COMPUTED_VALUE"""),"Kedai")</f>
        <v>Kedai</v>
      </c>
      <c r="S65" s="2" t="str">
        <f>IFERROR(__xludf.DUMMYFUNCTION("""COMPUTED_VALUE"""),"Temu Roti")</f>
        <v>Temu Roti</v>
      </c>
      <c r="T65" s="2" t="str">
        <f>IFERROR(__xludf.DUMMYFUNCTION("""COMPUTED_VALUE"""),"Owner")</f>
        <v>Owner</v>
      </c>
      <c r="U65" s="2"/>
      <c r="V65" s="2"/>
      <c r="W65" s="2"/>
      <c r="X65" s="2" t="str">
        <f>IFERROR(__xludf.DUMMYFUNCTION("""COMPUTED_VALUE"""),"Closed")</f>
        <v>Closed</v>
      </c>
    </row>
    <row r="66">
      <c r="A66" s="3" t="s">
        <v>89</v>
      </c>
      <c r="B66" s="4">
        <f>IFERROR(__xludf.DUMMYFUNCTION("SPLIT(A66,"","",0,0)"),45564.58611111111)</f>
        <v>45564.58611</v>
      </c>
      <c r="C66" s="5">
        <f>IFERROR(__xludf.DUMMYFUNCTION("""COMPUTED_VALUE"""),2791946.0)</f>
        <v>2791946</v>
      </c>
      <c r="D66" s="2" t="str">
        <f>IFERROR(__xludf.DUMMYFUNCTION("""COMPUTED_VALUE"""),"Sale")</f>
        <v>Sale</v>
      </c>
      <c r="E66" s="2" t="str">
        <f>IFERROR(__xludf.DUMMYFUNCTION("""COMPUTED_VALUE"""),"Minuman")</f>
        <v>Minuman</v>
      </c>
      <c r="F66" s="2">
        <f>IFERROR(__xludf.DUMMYFUNCTION("""COMPUTED_VALUE"""),10125.0)</f>
        <v>10125</v>
      </c>
      <c r="G66" s="2" t="str">
        <f>IFERROR(__xludf.DUMMYFUNCTION("""COMPUTED_VALUE"""),"Gula Asam Dingin")</f>
        <v>Gula Asam Dingin</v>
      </c>
      <c r="H66" s="2"/>
      <c r="I66" s="2"/>
      <c r="J66" s="2">
        <f>IFERROR(__xludf.DUMMYFUNCTION("""COMPUTED_VALUE"""),1.0)</f>
        <v>1</v>
      </c>
      <c r="K66" s="6">
        <f>IFERROR(__xludf.DUMMYFUNCTION("""COMPUTED_VALUE"""),20476.0)</f>
        <v>20476</v>
      </c>
      <c r="L66" s="2">
        <f>IFERROR(__xludf.DUMMYFUNCTION("""COMPUTED_VALUE"""),0.0)</f>
        <v>0</v>
      </c>
      <c r="M66" s="2">
        <f>IFERROR(__xludf.DUMMYFUNCTION("""COMPUTED_VALUE"""),20476.0)</f>
        <v>20476</v>
      </c>
      <c r="N66" s="2">
        <f>IFERROR(__xludf.DUMMYFUNCTION("""COMPUTED_VALUE"""),0.0)</f>
        <v>0</v>
      </c>
      <c r="O66" s="2">
        <f>IFERROR(__xludf.DUMMYFUNCTION("""COMPUTED_VALUE"""),20476.0)</f>
        <v>20476</v>
      </c>
      <c r="P66" s="2">
        <f>IFERROR(__xludf.DUMMYFUNCTION("""COMPUTED_VALUE"""),1024.0)</f>
        <v>1024</v>
      </c>
      <c r="Q66" s="2" t="str">
        <f>IFERROR(__xludf.DUMMYFUNCTION("""COMPUTED_VALUE"""),"Dine In")</f>
        <v>Dine In</v>
      </c>
      <c r="R66" s="2" t="str">
        <f>IFERROR(__xludf.DUMMYFUNCTION("""COMPUTED_VALUE"""),"Kedai")</f>
        <v>Kedai</v>
      </c>
      <c r="S66" s="2" t="str">
        <f>IFERROR(__xludf.DUMMYFUNCTION("""COMPUTED_VALUE"""),"Temu Roti")</f>
        <v>Temu Roti</v>
      </c>
      <c r="T66" s="2" t="str">
        <f>IFERROR(__xludf.DUMMYFUNCTION("""COMPUTED_VALUE"""),"Owner")</f>
        <v>Owner</v>
      </c>
      <c r="U66" s="2"/>
      <c r="V66" s="2"/>
      <c r="W66" s="2"/>
      <c r="X66" s="2" t="str">
        <f>IFERROR(__xludf.DUMMYFUNCTION("""COMPUTED_VALUE"""),"Closed")</f>
        <v>Closed</v>
      </c>
    </row>
    <row r="67">
      <c r="A67" s="3" t="s">
        <v>90</v>
      </c>
      <c r="B67" s="4">
        <f>IFERROR(__xludf.DUMMYFUNCTION("SPLIT(A67,"","",0,0)"),45564.58611111111)</f>
        <v>45564.58611</v>
      </c>
      <c r="C67" s="5">
        <f>IFERROR(__xludf.DUMMYFUNCTION("""COMPUTED_VALUE"""),2791946.0)</f>
        <v>2791946</v>
      </c>
      <c r="D67" s="2" t="str">
        <f>IFERROR(__xludf.DUMMYFUNCTION("""COMPUTED_VALUE"""),"Sale")</f>
        <v>Sale</v>
      </c>
      <c r="E67" s="2" t="str">
        <f>IFERROR(__xludf.DUMMYFUNCTION("""COMPUTED_VALUE"""),"Minuman")</f>
        <v>Minuman</v>
      </c>
      <c r="F67" s="2">
        <f>IFERROR(__xludf.DUMMYFUNCTION("""COMPUTED_VALUE"""),10128.0)</f>
        <v>10128</v>
      </c>
      <c r="G67" s="2" t="str">
        <f>IFERROR(__xludf.DUMMYFUNCTION("""COMPUTED_VALUE"""),"Es Kopi Susu")</f>
        <v>Es Kopi Susu</v>
      </c>
      <c r="H67" s="2"/>
      <c r="I67" s="2"/>
      <c r="J67" s="2">
        <f>IFERROR(__xludf.DUMMYFUNCTION("""COMPUTED_VALUE"""),1.0)</f>
        <v>1</v>
      </c>
      <c r="K67" s="6">
        <f>IFERROR(__xludf.DUMMYFUNCTION("""COMPUTED_VALUE"""),23333.0)</f>
        <v>23333</v>
      </c>
      <c r="L67" s="2">
        <f>IFERROR(__xludf.DUMMYFUNCTION("""COMPUTED_VALUE"""),0.0)</f>
        <v>0</v>
      </c>
      <c r="M67" s="2">
        <f>IFERROR(__xludf.DUMMYFUNCTION("""COMPUTED_VALUE"""),23333.0)</f>
        <v>23333</v>
      </c>
      <c r="N67" s="2">
        <f>IFERROR(__xludf.DUMMYFUNCTION("""COMPUTED_VALUE"""),0.0)</f>
        <v>0</v>
      </c>
      <c r="O67" s="2">
        <f>IFERROR(__xludf.DUMMYFUNCTION("""COMPUTED_VALUE"""),23333.0)</f>
        <v>23333</v>
      </c>
      <c r="P67" s="2">
        <f>IFERROR(__xludf.DUMMYFUNCTION("""COMPUTED_VALUE"""),1166.0)</f>
        <v>1166</v>
      </c>
      <c r="Q67" s="2" t="str">
        <f>IFERROR(__xludf.DUMMYFUNCTION("""COMPUTED_VALUE"""),"Dine In")</f>
        <v>Dine In</v>
      </c>
      <c r="R67" s="2" t="str">
        <f>IFERROR(__xludf.DUMMYFUNCTION("""COMPUTED_VALUE"""),"Kedai")</f>
        <v>Kedai</v>
      </c>
      <c r="S67" s="2" t="str">
        <f>IFERROR(__xludf.DUMMYFUNCTION("""COMPUTED_VALUE"""),"Temu Roti")</f>
        <v>Temu Roti</v>
      </c>
      <c r="T67" s="2" t="str">
        <f>IFERROR(__xludf.DUMMYFUNCTION("""COMPUTED_VALUE"""),"Owner")</f>
        <v>Owner</v>
      </c>
      <c r="U67" s="2"/>
      <c r="V67" s="2"/>
      <c r="W67" s="2"/>
      <c r="X67" s="2" t="str">
        <f>IFERROR(__xludf.DUMMYFUNCTION("""COMPUTED_VALUE"""),"Closed")</f>
        <v>Closed</v>
      </c>
    </row>
    <row r="68">
      <c r="A68" s="3" t="s">
        <v>91</v>
      </c>
      <c r="B68" s="4">
        <f>IFERROR(__xludf.DUMMYFUNCTION("SPLIT(A68,"","",0,0)"),45564.58611111111)</f>
        <v>45564.58611</v>
      </c>
      <c r="C68" s="5">
        <f>IFERROR(__xludf.DUMMYFUNCTION("""COMPUTED_VALUE"""),2791946.0)</f>
        <v>2791946</v>
      </c>
      <c r="D68" s="2" t="str">
        <f>IFERROR(__xludf.DUMMYFUNCTION("""COMPUTED_VALUE"""),"Sale")</f>
        <v>Sale</v>
      </c>
      <c r="E68" s="2" t="str">
        <f>IFERROR(__xludf.DUMMYFUNCTION("""COMPUTED_VALUE"""),"Roti")</f>
        <v>Roti</v>
      </c>
      <c r="F68" s="2">
        <f>IFERROR(__xludf.DUMMYFUNCTION("""COMPUTED_VALUE"""),10055.0)</f>
        <v>10055</v>
      </c>
      <c r="G68" s="2" t="str">
        <f>IFERROR(__xludf.DUMMYFUNCTION("""COMPUTED_VALUE"""),"Roti Gandum Cokelat 2 pcs")</f>
        <v>Roti Gandum Cokelat 2 pcs</v>
      </c>
      <c r="H68" s="2"/>
      <c r="I68" s="2"/>
      <c r="J68" s="2">
        <f>IFERROR(__xludf.DUMMYFUNCTION("""COMPUTED_VALUE"""),2.0)</f>
        <v>2</v>
      </c>
      <c r="K68" s="6">
        <f>IFERROR(__xludf.DUMMYFUNCTION("""COMPUTED_VALUE"""),69524.0)</f>
        <v>69524</v>
      </c>
      <c r="L68" s="2">
        <f>IFERROR(__xludf.DUMMYFUNCTION("""COMPUTED_VALUE"""),0.0)</f>
        <v>0</v>
      </c>
      <c r="M68" s="2">
        <f>IFERROR(__xludf.DUMMYFUNCTION("""COMPUTED_VALUE"""),69524.0)</f>
        <v>69524</v>
      </c>
      <c r="N68" s="2">
        <f>IFERROR(__xludf.DUMMYFUNCTION("""COMPUTED_VALUE"""),0.0)</f>
        <v>0</v>
      </c>
      <c r="O68" s="2">
        <f>IFERROR(__xludf.DUMMYFUNCTION("""COMPUTED_VALUE"""),69524.0)</f>
        <v>69524</v>
      </c>
      <c r="P68" s="2">
        <f>IFERROR(__xludf.DUMMYFUNCTION("""COMPUTED_VALUE"""),3477.0)</f>
        <v>3477</v>
      </c>
      <c r="Q68" s="2" t="str">
        <f>IFERROR(__xludf.DUMMYFUNCTION("""COMPUTED_VALUE"""),"Dine In")</f>
        <v>Dine In</v>
      </c>
      <c r="R68" s="2" t="str">
        <f>IFERROR(__xludf.DUMMYFUNCTION("""COMPUTED_VALUE"""),"Kedai")</f>
        <v>Kedai</v>
      </c>
      <c r="S68" s="2" t="str">
        <f>IFERROR(__xludf.DUMMYFUNCTION("""COMPUTED_VALUE"""),"Temu Roti")</f>
        <v>Temu Roti</v>
      </c>
      <c r="T68" s="2" t="str">
        <f>IFERROR(__xludf.DUMMYFUNCTION("""COMPUTED_VALUE"""),"Owner")</f>
        <v>Owner</v>
      </c>
      <c r="U68" s="2"/>
      <c r="V68" s="2"/>
      <c r="W68" s="2"/>
      <c r="X68" s="2" t="str">
        <f>IFERROR(__xludf.DUMMYFUNCTION("""COMPUTED_VALUE"""),"Closed")</f>
        <v>Closed</v>
      </c>
    </row>
    <row r="69">
      <c r="A69" s="3" t="s">
        <v>92</v>
      </c>
      <c r="B69" s="4">
        <f>IFERROR(__xludf.DUMMYFUNCTION("SPLIT(A69,"","",0,0)"),45564.57916666667)</f>
        <v>45564.57917</v>
      </c>
      <c r="C69" s="5">
        <f>IFERROR(__xludf.DUMMYFUNCTION("""COMPUTED_VALUE"""),2791581.0)</f>
        <v>2791581</v>
      </c>
      <c r="D69" s="2" t="str">
        <f>IFERROR(__xludf.DUMMYFUNCTION("""COMPUTED_VALUE"""),"Sale")</f>
        <v>Sale</v>
      </c>
      <c r="E69" s="2" t="str">
        <f>IFERROR(__xludf.DUMMYFUNCTION("""COMPUTED_VALUE"""),"Roti")</f>
        <v>Roti</v>
      </c>
      <c r="F69" s="2">
        <f>IFERROR(__xludf.DUMMYFUNCTION("""COMPUTED_VALUE"""),10005.0)</f>
        <v>10005</v>
      </c>
      <c r="G69" s="2" t="str">
        <f>IFERROR(__xludf.DUMMYFUNCTION("""COMPUTED_VALUE"""),"Roti Gandum Cokelat")</f>
        <v>Roti Gandum Cokelat</v>
      </c>
      <c r="H69" s="2"/>
      <c r="I69" s="2"/>
      <c r="J69" s="2">
        <f>IFERROR(__xludf.DUMMYFUNCTION("""COMPUTED_VALUE"""),1.0)</f>
        <v>1</v>
      </c>
      <c r="K69" s="6">
        <f>IFERROR(__xludf.DUMMYFUNCTION("""COMPUTED_VALUE"""),19524.0)</f>
        <v>19524</v>
      </c>
      <c r="L69" s="2">
        <f>IFERROR(__xludf.DUMMYFUNCTION("""COMPUTED_VALUE"""),0.0)</f>
        <v>0</v>
      </c>
      <c r="M69" s="2">
        <f>IFERROR(__xludf.DUMMYFUNCTION("""COMPUTED_VALUE"""),19524.0)</f>
        <v>19524</v>
      </c>
      <c r="N69" s="2">
        <f>IFERROR(__xludf.DUMMYFUNCTION("""COMPUTED_VALUE"""),0.0)</f>
        <v>0</v>
      </c>
      <c r="O69" s="2">
        <f>IFERROR(__xludf.DUMMYFUNCTION("""COMPUTED_VALUE"""),19524.0)</f>
        <v>19524</v>
      </c>
      <c r="P69" s="2">
        <f>IFERROR(__xludf.DUMMYFUNCTION("""COMPUTED_VALUE"""),976.0)</f>
        <v>976</v>
      </c>
      <c r="Q69" s="2" t="str">
        <f>IFERROR(__xludf.DUMMYFUNCTION("""COMPUTED_VALUE"""),"Dine In")</f>
        <v>Dine In</v>
      </c>
      <c r="R69" s="2" t="str">
        <f>IFERROR(__xludf.DUMMYFUNCTION("""COMPUTED_VALUE"""),"Kedai")</f>
        <v>Kedai</v>
      </c>
      <c r="S69" s="2" t="str">
        <f>IFERROR(__xludf.DUMMYFUNCTION("""COMPUTED_VALUE"""),"Temu Roti")</f>
        <v>Temu Roti</v>
      </c>
      <c r="T69" s="2" t="str">
        <f>IFERROR(__xludf.DUMMYFUNCTION("""COMPUTED_VALUE"""),"Owner")</f>
        <v>Owner</v>
      </c>
      <c r="U69" s="2"/>
      <c r="V69" s="2"/>
      <c r="W69" s="2"/>
      <c r="X69" s="2" t="str">
        <f>IFERROR(__xludf.DUMMYFUNCTION("""COMPUTED_VALUE"""),"Closed")</f>
        <v>Closed</v>
      </c>
    </row>
    <row r="70">
      <c r="A70" s="3" t="s">
        <v>93</v>
      </c>
      <c r="B70" s="4">
        <f>IFERROR(__xludf.DUMMYFUNCTION("SPLIT(A70,"","",0,0)"),45564.57916666667)</f>
        <v>45564.57917</v>
      </c>
      <c r="C70" s="5">
        <f>IFERROR(__xludf.DUMMYFUNCTION("""COMPUTED_VALUE"""),2791581.0)</f>
        <v>2791581</v>
      </c>
      <c r="D70" s="2" t="str">
        <f>IFERROR(__xludf.DUMMYFUNCTION("""COMPUTED_VALUE"""),"Sale")</f>
        <v>Sale</v>
      </c>
      <c r="E70" s="2" t="str">
        <f>IFERROR(__xludf.DUMMYFUNCTION("""COMPUTED_VALUE"""),"Minuman")</f>
        <v>Minuman</v>
      </c>
      <c r="F70" s="2">
        <f>IFERROR(__xludf.DUMMYFUNCTION("""COMPUTED_VALUE"""),10128.0)</f>
        <v>10128</v>
      </c>
      <c r="G70" s="2" t="str">
        <f>IFERROR(__xludf.DUMMYFUNCTION("""COMPUTED_VALUE"""),"Es Kopi Susu")</f>
        <v>Es Kopi Susu</v>
      </c>
      <c r="H70" s="2"/>
      <c r="I70" s="2"/>
      <c r="J70" s="2">
        <f>IFERROR(__xludf.DUMMYFUNCTION("""COMPUTED_VALUE"""),1.0)</f>
        <v>1</v>
      </c>
      <c r="K70" s="6">
        <f>IFERROR(__xludf.DUMMYFUNCTION("""COMPUTED_VALUE"""),23333.0)</f>
        <v>23333</v>
      </c>
      <c r="L70" s="2">
        <f>IFERROR(__xludf.DUMMYFUNCTION("""COMPUTED_VALUE"""),0.0)</f>
        <v>0</v>
      </c>
      <c r="M70" s="2">
        <f>IFERROR(__xludf.DUMMYFUNCTION("""COMPUTED_VALUE"""),23333.0)</f>
        <v>23333</v>
      </c>
      <c r="N70" s="2">
        <f>IFERROR(__xludf.DUMMYFUNCTION("""COMPUTED_VALUE"""),0.0)</f>
        <v>0</v>
      </c>
      <c r="O70" s="2">
        <f>IFERROR(__xludf.DUMMYFUNCTION("""COMPUTED_VALUE"""),23333.0)</f>
        <v>23333</v>
      </c>
      <c r="P70" s="2">
        <f>IFERROR(__xludf.DUMMYFUNCTION("""COMPUTED_VALUE"""),1167.0)</f>
        <v>1167</v>
      </c>
      <c r="Q70" s="2" t="str">
        <f>IFERROR(__xludf.DUMMYFUNCTION("""COMPUTED_VALUE"""),"Dine In")</f>
        <v>Dine In</v>
      </c>
      <c r="R70" s="2" t="str">
        <f>IFERROR(__xludf.DUMMYFUNCTION("""COMPUTED_VALUE"""),"Kedai")</f>
        <v>Kedai</v>
      </c>
      <c r="S70" s="2" t="str">
        <f>IFERROR(__xludf.DUMMYFUNCTION("""COMPUTED_VALUE"""),"Temu Roti")</f>
        <v>Temu Roti</v>
      </c>
      <c r="T70" s="2" t="str">
        <f>IFERROR(__xludf.DUMMYFUNCTION("""COMPUTED_VALUE"""),"Owner")</f>
        <v>Owner</v>
      </c>
      <c r="U70" s="2"/>
      <c r="V70" s="2"/>
      <c r="W70" s="2"/>
      <c r="X70" s="2" t="str">
        <f>IFERROR(__xludf.DUMMYFUNCTION("""COMPUTED_VALUE"""),"Closed")</f>
        <v>Closed</v>
      </c>
    </row>
    <row r="71">
      <c r="A71" s="3" t="s">
        <v>94</v>
      </c>
      <c r="B71" s="4">
        <f>IFERROR(__xludf.DUMMYFUNCTION("SPLIT(A71,"","",0,0)"),45564.57916666667)</f>
        <v>45564.57917</v>
      </c>
      <c r="C71" s="5">
        <f>IFERROR(__xludf.DUMMYFUNCTION("""COMPUTED_VALUE"""),2791581.0)</f>
        <v>2791581</v>
      </c>
      <c r="D71" s="2" t="str">
        <f>IFERROR(__xludf.DUMMYFUNCTION("""COMPUTED_VALUE"""),"Sale")</f>
        <v>Sale</v>
      </c>
      <c r="E71" s="2" t="str">
        <f>IFERROR(__xludf.DUMMYFUNCTION("""COMPUTED_VALUE"""),"Roti")</f>
        <v>Roti</v>
      </c>
      <c r="F71" s="2">
        <f>IFERROR(__xludf.DUMMYFUNCTION("""COMPUTED_VALUE"""),10007.0)</f>
        <v>10007</v>
      </c>
      <c r="G71" s="2" t="str">
        <f>IFERROR(__xludf.DUMMYFUNCTION("""COMPUTED_VALUE"""),"Roti cranberry 2 pcs")</f>
        <v>Roti cranberry 2 pcs</v>
      </c>
      <c r="H71" s="2"/>
      <c r="I71" s="2"/>
      <c r="J71" s="2">
        <f>IFERROR(__xludf.DUMMYFUNCTION("""COMPUTED_VALUE"""),1.0)</f>
        <v>1</v>
      </c>
      <c r="K71" s="6">
        <f>IFERROR(__xludf.DUMMYFUNCTION("""COMPUTED_VALUE"""),33810.0)</f>
        <v>33810</v>
      </c>
      <c r="L71" s="2">
        <f>IFERROR(__xludf.DUMMYFUNCTION("""COMPUTED_VALUE"""),0.0)</f>
        <v>0</v>
      </c>
      <c r="M71" s="2">
        <f>IFERROR(__xludf.DUMMYFUNCTION("""COMPUTED_VALUE"""),33810.0)</f>
        <v>33810</v>
      </c>
      <c r="N71" s="2">
        <f>IFERROR(__xludf.DUMMYFUNCTION("""COMPUTED_VALUE"""),0.0)</f>
        <v>0</v>
      </c>
      <c r="O71" s="2">
        <f>IFERROR(__xludf.DUMMYFUNCTION("""COMPUTED_VALUE"""),33810.0)</f>
        <v>33810</v>
      </c>
      <c r="P71" s="2">
        <f>IFERROR(__xludf.DUMMYFUNCTION("""COMPUTED_VALUE"""),1690.0)</f>
        <v>1690</v>
      </c>
      <c r="Q71" s="2" t="str">
        <f>IFERROR(__xludf.DUMMYFUNCTION("""COMPUTED_VALUE"""),"Dine In")</f>
        <v>Dine In</v>
      </c>
      <c r="R71" s="2" t="str">
        <f>IFERROR(__xludf.DUMMYFUNCTION("""COMPUTED_VALUE"""),"Kedai")</f>
        <v>Kedai</v>
      </c>
      <c r="S71" s="2" t="str">
        <f>IFERROR(__xludf.DUMMYFUNCTION("""COMPUTED_VALUE"""),"Temu Roti")</f>
        <v>Temu Roti</v>
      </c>
      <c r="T71" s="2" t="str">
        <f>IFERROR(__xludf.DUMMYFUNCTION("""COMPUTED_VALUE"""),"Owner")</f>
        <v>Owner</v>
      </c>
      <c r="U71" s="2"/>
      <c r="V71" s="2"/>
      <c r="W71" s="2"/>
      <c r="X71" s="2" t="str">
        <f>IFERROR(__xludf.DUMMYFUNCTION("""COMPUTED_VALUE"""),"Closed")</f>
        <v>Closed</v>
      </c>
    </row>
    <row r="72">
      <c r="A72" s="3" t="s">
        <v>95</v>
      </c>
      <c r="B72" s="4">
        <f>IFERROR(__xludf.DUMMYFUNCTION("SPLIT(A72,"","",0,0)"),45564.53611111111)</f>
        <v>45564.53611</v>
      </c>
      <c r="C72" s="5">
        <f>IFERROR(__xludf.DUMMYFUNCTION("""COMPUTED_VALUE"""),2791216.0)</f>
        <v>2791216</v>
      </c>
      <c r="D72" s="2" t="str">
        <f>IFERROR(__xludf.DUMMYFUNCTION("""COMPUTED_VALUE"""),"Sale")</f>
        <v>Sale</v>
      </c>
      <c r="E72" s="2" t="str">
        <f>IFERROR(__xludf.DUMMYFUNCTION("""COMPUTED_VALUE"""),"Roti")</f>
        <v>Roti</v>
      </c>
      <c r="F72" s="2">
        <f>IFERROR(__xludf.DUMMYFUNCTION("""COMPUTED_VALUE"""),10002.0)</f>
        <v>10002</v>
      </c>
      <c r="G72" s="2" t="str">
        <f>IFERROR(__xludf.DUMMYFUNCTION("""COMPUTED_VALUE"""),"Roti Cranberry")</f>
        <v>Roti Cranberry</v>
      </c>
      <c r="H72" s="2"/>
      <c r="I72" s="2"/>
      <c r="J72" s="2">
        <f>IFERROR(__xludf.DUMMYFUNCTION("""COMPUTED_VALUE"""),1.0)</f>
        <v>1</v>
      </c>
      <c r="K72" s="6">
        <f>IFERROR(__xludf.DUMMYFUNCTION("""COMPUTED_VALUE"""),18571.0)</f>
        <v>18571</v>
      </c>
      <c r="L72" s="2">
        <f>IFERROR(__xludf.DUMMYFUNCTION("""COMPUTED_VALUE"""),0.0)</f>
        <v>0</v>
      </c>
      <c r="M72" s="2">
        <f>IFERROR(__xludf.DUMMYFUNCTION("""COMPUTED_VALUE"""),18571.0)</f>
        <v>18571</v>
      </c>
      <c r="N72" s="2">
        <f>IFERROR(__xludf.DUMMYFUNCTION("""COMPUTED_VALUE"""),0.0)</f>
        <v>0</v>
      </c>
      <c r="O72" s="2">
        <f>IFERROR(__xludf.DUMMYFUNCTION("""COMPUTED_VALUE"""),18571.0)</f>
        <v>18571</v>
      </c>
      <c r="P72" s="2">
        <f>IFERROR(__xludf.DUMMYFUNCTION("""COMPUTED_VALUE"""),929.0)</f>
        <v>929</v>
      </c>
      <c r="Q72" s="2" t="str">
        <f>IFERROR(__xludf.DUMMYFUNCTION("""COMPUTED_VALUE"""),"Dine In")</f>
        <v>Dine In</v>
      </c>
      <c r="R72" s="2" t="str">
        <f>IFERROR(__xludf.DUMMYFUNCTION("""COMPUTED_VALUE"""),"Kedai")</f>
        <v>Kedai</v>
      </c>
      <c r="S72" s="2" t="str">
        <f>IFERROR(__xludf.DUMMYFUNCTION("""COMPUTED_VALUE"""),"Temu Roti")</f>
        <v>Temu Roti</v>
      </c>
      <c r="T72" s="2" t="str">
        <f>IFERROR(__xludf.DUMMYFUNCTION("""COMPUTED_VALUE"""),"Owner")</f>
        <v>Owner</v>
      </c>
      <c r="U72" s="2"/>
      <c r="V72" s="2"/>
      <c r="W72" s="2"/>
      <c r="X72" s="2" t="str">
        <f>IFERROR(__xludf.DUMMYFUNCTION("""COMPUTED_VALUE"""),"Closed")</f>
        <v>Closed</v>
      </c>
    </row>
    <row r="73">
      <c r="A73" s="3" t="s">
        <v>96</v>
      </c>
      <c r="B73" s="4">
        <f>IFERROR(__xludf.DUMMYFUNCTION("SPLIT(A73,"","",0,0)"),45564.53611111111)</f>
        <v>45564.53611</v>
      </c>
      <c r="C73" s="5">
        <f>IFERROR(__xludf.DUMMYFUNCTION("""COMPUTED_VALUE"""),2791216.0)</f>
        <v>2791216</v>
      </c>
      <c r="D73" s="2" t="str">
        <f>IFERROR(__xludf.DUMMYFUNCTION("""COMPUTED_VALUE"""),"Sale")</f>
        <v>Sale</v>
      </c>
      <c r="E73" s="2" t="str">
        <f>IFERROR(__xludf.DUMMYFUNCTION("""COMPUTED_VALUE"""),"Hidangan Utama")</f>
        <v>Hidangan Utama</v>
      </c>
      <c r="F73" s="2">
        <f>IFERROR(__xludf.DUMMYFUNCTION("""COMPUTED_VALUE"""),10012.0)</f>
        <v>10012</v>
      </c>
      <c r="G73" s="2" t="str">
        <f>IFERROR(__xludf.DUMMYFUNCTION("""COMPUTED_VALUE"""),"Mie joglo")</f>
        <v>Mie joglo</v>
      </c>
      <c r="H73" s="2"/>
      <c r="I73" s="2"/>
      <c r="J73" s="2">
        <f>IFERROR(__xludf.DUMMYFUNCTION("""COMPUTED_VALUE"""),1.0)</f>
        <v>1</v>
      </c>
      <c r="K73" s="6">
        <f>IFERROR(__xludf.DUMMYFUNCTION("""COMPUTED_VALUE"""),29524.0)</f>
        <v>29524</v>
      </c>
      <c r="L73" s="2">
        <f>IFERROR(__xludf.DUMMYFUNCTION("""COMPUTED_VALUE"""),0.0)</f>
        <v>0</v>
      </c>
      <c r="M73" s="2">
        <f>IFERROR(__xludf.DUMMYFUNCTION("""COMPUTED_VALUE"""),29524.0)</f>
        <v>29524</v>
      </c>
      <c r="N73" s="2">
        <f>IFERROR(__xludf.DUMMYFUNCTION("""COMPUTED_VALUE"""),0.0)</f>
        <v>0</v>
      </c>
      <c r="O73" s="2">
        <f>IFERROR(__xludf.DUMMYFUNCTION("""COMPUTED_VALUE"""),29524.0)</f>
        <v>29524</v>
      </c>
      <c r="P73" s="2">
        <f>IFERROR(__xludf.DUMMYFUNCTION("""COMPUTED_VALUE"""),1476.0)</f>
        <v>1476</v>
      </c>
      <c r="Q73" s="2" t="str">
        <f>IFERROR(__xludf.DUMMYFUNCTION("""COMPUTED_VALUE"""),"Dine In")</f>
        <v>Dine In</v>
      </c>
      <c r="R73" s="2" t="str">
        <f>IFERROR(__xludf.DUMMYFUNCTION("""COMPUTED_VALUE"""),"Kedai")</f>
        <v>Kedai</v>
      </c>
      <c r="S73" s="2" t="str">
        <f>IFERROR(__xludf.DUMMYFUNCTION("""COMPUTED_VALUE"""),"Temu Roti")</f>
        <v>Temu Roti</v>
      </c>
      <c r="T73" s="2" t="str">
        <f>IFERROR(__xludf.DUMMYFUNCTION("""COMPUTED_VALUE"""),"Owner")</f>
        <v>Owner</v>
      </c>
      <c r="U73" s="2"/>
      <c r="V73" s="2"/>
      <c r="W73" s="2"/>
      <c r="X73" s="2" t="str">
        <f>IFERROR(__xludf.DUMMYFUNCTION("""COMPUTED_VALUE"""),"Closed")</f>
        <v>Closed</v>
      </c>
    </row>
    <row r="74">
      <c r="A74" s="3" t="s">
        <v>97</v>
      </c>
      <c r="B74" s="4">
        <f>IFERROR(__xludf.DUMMYFUNCTION("SPLIT(A74,"","",0,0)"),45564.53611111111)</f>
        <v>45564.53611</v>
      </c>
      <c r="C74" s="5">
        <f>IFERROR(__xludf.DUMMYFUNCTION("""COMPUTED_VALUE"""),2791216.0)</f>
        <v>2791216</v>
      </c>
      <c r="D74" s="2" t="str">
        <f>IFERROR(__xludf.DUMMYFUNCTION("""COMPUTED_VALUE"""),"Sale")</f>
        <v>Sale</v>
      </c>
      <c r="E74" s="2" t="str">
        <f>IFERROR(__xludf.DUMMYFUNCTION("""COMPUTED_VALUE"""),"Minuman")</f>
        <v>Minuman</v>
      </c>
      <c r="F74" s="2">
        <f>IFERROR(__xludf.DUMMYFUNCTION("""COMPUTED_VALUE"""),10070.0)</f>
        <v>10070</v>
      </c>
      <c r="G74" s="2" t="str">
        <f>IFERROR(__xludf.DUMMYFUNCTION("""COMPUTED_VALUE"""),"Wedang laut")</f>
        <v>Wedang laut</v>
      </c>
      <c r="H74" s="2"/>
      <c r="I74" s="2"/>
      <c r="J74" s="2">
        <f>IFERROR(__xludf.DUMMYFUNCTION("""COMPUTED_VALUE"""),1.0)</f>
        <v>1</v>
      </c>
      <c r="K74" s="6">
        <f>IFERROR(__xludf.DUMMYFUNCTION("""COMPUTED_VALUE"""),24762.0)</f>
        <v>24762</v>
      </c>
      <c r="L74" s="2">
        <f>IFERROR(__xludf.DUMMYFUNCTION("""COMPUTED_VALUE"""),0.0)</f>
        <v>0</v>
      </c>
      <c r="M74" s="2">
        <f>IFERROR(__xludf.DUMMYFUNCTION("""COMPUTED_VALUE"""),24762.0)</f>
        <v>24762</v>
      </c>
      <c r="N74" s="2">
        <f>IFERROR(__xludf.DUMMYFUNCTION("""COMPUTED_VALUE"""),0.0)</f>
        <v>0</v>
      </c>
      <c r="O74" s="2">
        <f>IFERROR(__xludf.DUMMYFUNCTION("""COMPUTED_VALUE"""),24762.0)</f>
        <v>24762</v>
      </c>
      <c r="P74" s="2">
        <f>IFERROR(__xludf.DUMMYFUNCTION("""COMPUTED_VALUE"""),1238.0)</f>
        <v>1238</v>
      </c>
      <c r="Q74" s="2" t="str">
        <f>IFERROR(__xludf.DUMMYFUNCTION("""COMPUTED_VALUE"""),"Dine In")</f>
        <v>Dine In</v>
      </c>
      <c r="R74" s="2" t="str">
        <f>IFERROR(__xludf.DUMMYFUNCTION("""COMPUTED_VALUE"""),"Kedai")</f>
        <v>Kedai</v>
      </c>
      <c r="S74" s="2" t="str">
        <f>IFERROR(__xludf.DUMMYFUNCTION("""COMPUTED_VALUE"""),"Temu Roti")</f>
        <v>Temu Roti</v>
      </c>
      <c r="T74" s="2" t="str">
        <f>IFERROR(__xludf.DUMMYFUNCTION("""COMPUTED_VALUE"""),"Owner")</f>
        <v>Owner</v>
      </c>
      <c r="U74" s="2"/>
      <c r="V74" s="2"/>
      <c r="W74" s="2"/>
      <c r="X74" s="2" t="str">
        <f>IFERROR(__xludf.DUMMYFUNCTION("""COMPUTED_VALUE"""),"Closed")</f>
        <v>Closed</v>
      </c>
    </row>
    <row r="75">
      <c r="A75" s="3" t="s">
        <v>98</v>
      </c>
      <c r="B75" s="4">
        <f>IFERROR(__xludf.DUMMYFUNCTION("SPLIT(A75,"","",0,0)"),45564.53611111111)</f>
        <v>45564.53611</v>
      </c>
      <c r="C75" s="5">
        <f>IFERROR(__xludf.DUMMYFUNCTION("""COMPUTED_VALUE"""),2791216.0)</f>
        <v>2791216</v>
      </c>
      <c r="D75" s="2" t="str">
        <f>IFERROR(__xludf.DUMMYFUNCTION("""COMPUTED_VALUE"""),"Sale")</f>
        <v>Sale</v>
      </c>
      <c r="E75" s="2" t="str">
        <f>IFERROR(__xludf.DUMMYFUNCTION("""COMPUTED_VALUE"""),"Hidangan Utama")</f>
        <v>Hidangan Utama</v>
      </c>
      <c r="F75" s="2">
        <f>IFERROR(__xludf.DUMMYFUNCTION("""COMPUTED_VALUE"""),10003.0)</f>
        <v>10003</v>
      </c>
      <c r="G75" s="2" t="str">
        <f>IFERROR(__xludf.DUMMYFUNCTION("""COMPUTED_VALUE"""),"Nasi Goreng Temu")</f>
        <v>Nasi Goreng Temu</v>
      </c>
      <c r="H75" s="2"/>
      <c r="I75" s="2"/>
      <c r="J75" s="2">
        <f>IFERROR(__xludf.DUMMYFUNCTION("""COMPUTED_VALUE"""),1.0)</f>
        <v>1</v>
      </c>
      <c r="K75" s="6">
        <f>IFERROR(__xludf.DUMMYFUNCTION("""COMPUTED_VALUE"""),29524.0)</f>
        <v>29524</v>
      </c>
      <c r="L75" s="2">
        <f>IFERROR(__xludf.DUMMYFUNCTION("""COMPUTED_VALUE"""),0.0)</f>
        <v>0</v>
      </c>
      <c r="M75" s="2">
        <f>IFERROR(__xludf.DUMMYFUNCTION("""COMPUTED_VALUE"""),29524.0)</f>
        <v>29524</v>
      </c>
      <c r="N75" s="2">
        <f>IFERROR(__xludf.DUMMYFUNCTION("""COMPUTED_VALUE"""),0.0)</f>
        <v>0</v>
      </c>
      <c r="O75" s="2">
        <f>IFERROR(__xludf.DUMMYFUNCTION("""COMPUTED_VALUE"""),29524.0)</f>
        <v>29524</v>
      </c>
      <c r="P75" s="2">
        <f>IFERROR(__xludf.DUMMYFUNCTION("""COMPUTED_VALUE"""),1476.0)</f>
        <v>1476</v>
      </c>
      <c r="Q75" s="2" t="str">
        <f>IFERROR(__xludf.DUMMYFUNCTION("""COMPUTED_VALUE"""),"Dine In")</f>
        <v>Dine In</v>
      </c>
      <c r="R75" s="2" t="str">
        <f>IFERROR(__xludf.DUMMYFUNCTION("""COMPUTED_VALUE"""),"Kedai")</f>
        <v>Kedai</v>
      </c>
      <c r="S75" s="2" t="str">
        <f>IFERROR(__xludf.DUMMYFUNCTION("""COMPUTED_VALUE"""),"Temu Roti")</f>
        <v>Temu Roti</v>
      </c>
      <c r="T75" s="2" t="str">
        <f>IFERROR(__xludf.DUMMYFUNCTION("""COMPUTED_VALUE"""),"Owner")</f>
        <v>Owner</v>
      </c>
      <c r="U75" s="2"/>
      <c r="V75" s="2"/>
      <c r="W75" s="2"/>
      <c r="X75" s="2" t="str">
        <f>IFERROR(__xludf.DUMMYFUNCTION("""COMPUTED_VALUE"""),"Closed")</f>
        <v>Closed</v>
      </c>
    </row>
    <row r="76">
      <c r="A76" s="3" t="s">
        <v>99</v>
      </c>
      <c r="B76" s="4">
        <f>IFERROR(__xludf.DUMMYFUNCTION("SPLIT(A76,"","",0,0)"),45564.53611111111)</f>
        <v>45564.53611</v>
      </c>
      <c r="C76" s="5">
        <f>IFERROR(__xludf.DUMMYFUNCTION("""COMPUTED_VALUE"""),2791216.0)</f>
        <v>2791216</v>
      </c>
      <c r="D76" s="2" t="str">
        <f>IFERROR(__xludf.DUMMYFUNCTION("""COMPUTED_VALUE"""),"Sale")</f>
        <v>Sale</v>
      </c>
      <c r="E76" s="2" t="str">
        <f>IFERROR(__xludf.DUMMYFUNCTION("""COMPUTED_VALUE"""),"Minuman")</f>
        <v>Minuman</v>
      </c>
      <c r="F76" s="2">
        <f>IFERROR(__xludf.DUMMYFUNCTION("""COMPUTED_VALUE"""),10118.0)</f>
        <v>10118</v>
      </c>
      <c r="G76" s="2" t="str">
        <f>IFERROR(__xludf.DUMMYFUNCTION("""COMPUTED_VALUE"""),"Teh Tawar Panas")</f>
        <v>Teh Tawar Panas</v>
      </c>
      <c r="H76" s="2"/>
      <c r="I76" s="2"/>
      <c r="J76" s="2">
        <f>IFERROR(__xludf.DUMMYFUNCTION("""COMPUTED_VALUE"""),1.0)</f>
        <v>1</v>
      </c>
      <c r="K76" s="6">
        <f>IFERROR(__xludf.DUMMYFUNCTION("""COMPUTED_VALUE"""),7143.0)</f>
        <v>7143</v>
      </c>
      <c r="L76" s="2">
        <f>IFERROR(__xludf.DUMMYFUNCTION("""COMPUTED_VALUE"""),0.0)</f>
        <v>0</v>
      </c>
      <c r="M76" s="2">
        <f>IFERROR(__xludf.DUMMYFUNCTION("""COMPUTED_VALUE"""),7143.0)</f>
        <v>7143</v>
      </c>
      <c r="N76" s="2">
        <f>IFERROR(__xludf.DUMMYFUNCTION("""COMPUTED_VALUE"""),0.0)</f>
        <v>0</v>
      </c>
      <c r="O76" s="2">
        <f>IFERROR(__xludf.DUMMYFUNCTION("""COMPUTED_VALUE"""),7143.0)</f>
        <v>7143</v>
      </c>
      <c r="P76" s="2">
        <f>IFERROR(__xludf.DUMMYFUNCTION("""COMPUTED_VALUE"""),357.0)</f>
        <v>357</v>
      </c>
      <c r="Q76" s="2" t="str">
        <f>IFERROR(__xludf.DUMMYFUNCTION("""COMPUTED_VALUE"""),"Dine In")</f>
        <v>Dine In</v>
      </c>
      <c r="R76" s="2" t="str">
        <f>IFERROR(__xludf.DUMMYFUNCTION("""COMPUTED_VALUE"""),"Kedai")</f>
        <v>Kedai</v>
      </c>
      <c r="S76" s="2" t="str">
        <f>IFERROR(__xludf.DUMMYFUNCTION("""COMPUTED_VALUE"""),"Temu Roti")</f>
        <v>Temu Roti</v>
      </c>
      <c r="T76" s="2" t="str">
        <f>IFERROR(__xludf.DUMMYFUNCTION("""COMPUTED_VALUE"""),"Owner")</f>
        <v>Owner</v>
      </c>
      <c r="U76" s="2"/>
      <c r="V76" s="2"/>
      <c r="W76" s="2"/>
      <c r="X76" s="2" t="str">
        <f>IFERROR(__xludf.DUMMYFUNCTION("""COMPUTED_VALUE"""),"Closed")</f>
        <v>Closed</v>
      </c>
    </row>
    <row r="77">
      <c r="A77" s="3" t="s">
        <v>100</v>
      </c>
      <c r="B77" s="4">
        <f>IFERROR(__xludf.DUMMYFUNCTION("SPLIT(A77,"","",0,0)"),45564.532638888886)</f>
        <v>45564.53264</v>
      </c>
      <c r="C77" s="5">
        <f>IFERROR(__xludf.DUMMYFUNCTION("""COMPUTED_VALUE"""),2790851.0)</f>
        <v>2790851</v>
      </c>
      <c r="D77" s="2" t="str">
        <f>IFERROR(__xludf.DUMMYFUNCTION("""COMPUTED_VALUE"""),"Sale")</f>
        <v>Sale</v>
      </c>
      <c r="E77" s="2" t="str">
        <f>IFERROR(__xludf.DUMMYFUNCTION("""COMPUTED_VALUE"""),"Roti")</f>
        <v>Roti</v>
      </c>
      <c r="F77" s="2">
        <f>IFERROR(__xludf.DUMMYFUNCTION("""COMPUTED_VALUE"""),10002.0)</f>
        <v>10002</v>
      </c>
      <c r="G77" s="2" t="str">
        <f>IFERROR(__xludf.DUMMYFUNCTION("""COMPUTED_VALUE"""),"Roti Cranberry")</f>
        <v>Roti Cranberry</v>
      </c>
      <c r="H77" s="2"/>
      <c r="I77" s="2"/>
      <c r="J77" s="2">
        <f>IFERROR(__xludf.DUMMYFUNCTION("""COMPUTED_VALUE"""),1.0)</f>
        <v>1</v>
      </c>
      <c r="K77" s="6">
        <f>IFERROR(__xludf.DUMMYFUNCTION("""COMPUTED_VALUE"""),18571.0)</f>
        <v>18571</v>
      </c>
      <c r="L77" s="2">
        <f>IFERROR(__xludf.DUMMYFUNCTION("""COMPUTED_VALUE"""),0.0)</f>
        <v>0</v>
      </c>
      <c r="M77" s="2">
        <f>IFERROR(__xludf.DUMMYFUNCTION("""COMPUTED_VALUE"""),18571.0)</f>
        <v>18571</v>
      </c>
      <c r="N77" s="2">
        <f>IFERROR(__xludf.DUMMYFUNCTION("""COMPUTED_VALUE"""),0.0)</f>
        <v>0</v>
      </c>
      <c r="O77" s="2">
        <f>IFERROR(__xludf.DUMMYFUNCTION("""COMPUTED_VALUE"""),18571.0)</f>
        <v>18571</v>
      </c>
      <c r="P77" s="2">
        <f>IFERROR(__xludf.DUMMYFUNCTION("""COMPUTED_VALUE"""),929.0)</f>
        <v>929</v>
      </c>
      <c r="Q77" s="2" t="str">
        <f>IFERROR(__xludf.DUMMYFUNCTION("""COMPUTED_VALUE"""),"Dine In")</f>
        <v>Dine In</v>
      </c>
      <c r="R77" s="2" t="str">
        <f>IFERROR(__xludf.DUMMYFUNCTION("""COMPUTED_VALUE"""),"Kedai")</f>
        <v>Kedai</v>
      </c>
      <c r="S77" s="2" t="str">
        <f>IFERROR(__xludf.DUMMYFUNCTION("""COMPUTED_VALUE"""),"Temu Roti")</f>
        <v>Temu Roti</v>
      </c>
      <c r="T77" s="2" t="str">
        <f>IFERROR(__xludf.DUMMYFUNCTION("""COMPUTED_VALUE"""),"Owner")</f>
        <v>Owner</v>
      </c>
      <c r="U77" s="2"/>
      <c r="V77" s="2"/>
      <c r="W77" s="2"/>
      <c r="X77" s="2" t="str">
        <f>IFERROR(__xludf.DUMMYFUNCTION("""COMPUTED_VALUE"""),"Closed")</f>
        <v>Closed</v>
      </c>
    </row>
    <row r="78">
      <c r="A78" s="3" t="s">
        <v>101</v>
      </c>
      <c r="B78" s="4">
        <f>IFERROR(__xludf.DUMMYFUNCTION("SPLIT(A78,"","",0,0)"),45564.532638888886)</f>
        <v>45564.53264</v>
      </c>
      <c r="C78" s="5">
        <f>IFERROR(__xludf.DUMMYFUNCTION("""COMPUTED_VALUE"""),2790851.0)</f>
        <v>2790851</v>
      </c>
      <c r="D78" s="2" t="str">
        <f>IFERROR(__xludf.DUMMYFUNCTION("""COMPUTED_VALUE"""),"Sale")</f>
        <v>Sale</v>
      </c>
      <c r="E78" s="2" t="str">
        <f>IFERROR(__xludf.DUMMYFUNCTION("""COMPUTED_VALUE"""),"Roti")</f>
        <v>Roti</v>
      </c>
      <c r="F78" s="2">
        <f>IFERROR(__xludf.DUMMYFUNCTION("""COMPUTED_VALUE"""),10005.0)</f>
        <v>10005</v>
      </c>
      <c r="G78" s="2" t="str">
        <f>IFERROR(__xludf.DUMMYFUNCTION("""COMPUTED_VALUE"""),"Roti Gandum Cokelat")</f>
        <v>Roti Gandum Cokelat</v>
      </c>
      <c r="H78" s="2"/>
      <c r="I78" s="2"/>
      <c r="J78" s="2">
        <f>IFERROR(__xludf.DUMMYFUNCTION("""COMPUTED_VALUE"""),1.0)</f>
        <v>1</v>
      </c>
      <c r="K78" s="6">
        <f>IFERROR(__xludf.DUMMYFUNCTION("""COMPUTED_VALUE"""),19524.0)</f>
        <v>19524</v>
      </c>
      <c r="L78" s="2">
        <f>IFERROR(__xludf.DUMMYFUNCTION("""COMPUTED_VALUE"""),0.0)</f>
        <v>0</v>
      </c>
      <c r="M78" s="2">
        <f>IFERROR(__xludf.DUMMYFUNCTION("""COMPUTED_VALUE"""),19524.0)</f>
        <v>19524</v>
      </c>
      <c r="N78" s="2">
        <f>IFERROR(__xludf.DUMMYFUNCTION("""COMPUTED_VALUE"""),0.0)</f>
        <v>0</v>
      </c>
      <c r="O78" s="2">
        <f>IFERROR(__xludf.DUMMYFUNCTION("""COMPUTED_VALUE"""),19524.0)</f>
        <v>19524</v>
      </c>
      <c r="P78" s="2">
        <f>IFERROR(__xludf.DUMMYFUNCTION("""COMPUTED_VALUE"""),976.0)</f>
        <v>976</v>
      </c>
      <c r="Q78" s="2" t="str">
        <f>IFERROR(__xludf.DUMMYFUNCTION("""COMPUTED_VALUE"""),"Dine In")</f>
        <v>Dine In</v>
      </c>
      <c r="R78" s="2" t="str">
        <f>IFERROR(__xludf.DUMMYFUNCTION("""COMPUTED_VALUE"""),"Kedai")</f>
        <v>Kedai</v>
      </c>
      <c r="S78" s="2" t="str">
        <f>IFERROR(__xludf.DUMMYFUNCTION("""COMPUTED_VALUE"""),"Temu Roti")</f>
        <v>Temu Roti</v>
      </c>
      <c r="T78" s="2" t="str">
        <f>IFERROR(__xludf.DUMMYFUNCTION("""COMPUTED_VALUE"""),"Owner")</f>
        <v>Owner</v>
      </c>
      <c r="U78" s="2"/>
      <c r="V78" s="2"/>
      <c r="W78" s="2"/>
      <c r="X78" s="2" t="str">
        <f>IFERROR(__xludf.DUMMYFUNCTION("""COMPUTED_VALUE"""),"Closed")</f>
        <v>Closed</v>
      </c>
    </row>
    <row r="79">
      <c r="A79" s="3" t="s">
        <v>102</v>
      </c>
      <c r="B79" s="4">
        <f>IFERROR(__xludf.DUMMYFUNCTION("SPLIT(A79,"","",0,0)"),45564.532638888886)</f>
        <v>45564.53264</v>
      </c>
      <c r="C79" s="5">
        <f>IFERROR(__xludf.DUMMYFUNCTION("""COMPUTED_VALUE"""),2790851.0)</f>
        <v>2790851</v>
      </c>
      <c r="D79" s="2" t="str">
        <f>IFERROR(__xludf.DUMMYFUNCTION("""COMPUTED_VALUE"""),"Sale")</f>
        <v>Sale</v>
      </c>
      <c r="E79" s="2" t="str">
        <f>IFERROR(__xludf.DUMMYFUNCTION("""COMPUTED_VALUE"""),"Minuman")</f>
        <v>Minuman</v>
      </c>
      <c r="F79" s="2">
        <f>IFERROR(__xludf.DUMMYFUNCTION("""COMPUTED_VALUE"""),10128.0)</f>
        <v>10128</v>
      </c>
      <c r="G79" s="2" t="str">
        <f>IFERROR(__xludf.DUMMYFUNCTION("""COMPUTED_VALUE"""),"Es Kopi Susu")</f>
        <v>Es Kopi Susu</v>
      </c>
      <c r="H79" s="2"/>
      <c r="I79" s="2"/>
      <c r="J79" s="2">
        <f>IFERROR(__xludf.DUMMYFUNCTION("""COMPUTED_VALUE"""),1.0)</f>
        <v>1</v>
      </c>
      <c r="K79" s="6">
        <f>IFERROR(__xludf.DUMMYFUNCTION("""COMPUTED_VALUE"""),23333.0)</f>
        <v>23333</v>
      </c>
      <c r="L79" s="2">
        <f>IFERROR(__xludf.DUMMYFUNCTION("""COMPUTED_VALUE"""),0.0)</f>
        <v>0</v>
      </c>
      <c r="M79" s="2">
        <f>IFERROR(__xludf.DUMMYFUNCTION("""COMPUTED_VALUE"""),23333.0)</f>
        <v>23333</v>
      </c>
      <c r="N79" s="2">
        <f>IFERROR(__xludf.DUMMYFUNCTION("""COMPUTED_VALUE"""),0.0)</f>
        <v>0</v>
      </c>
      <c r="O79" s="2">
        <f>IFERROR(__xludf.DUMMYFUNCTION("""COMPUTED_VALUE"""),23333.0)</f>
        <v>23333</v>
      </c>
      <c r="P79" s="2">
        <f>IFERROR(__xludf.DUMMYFUNCTION("""COMPUTED_VALUE"""),1166.0)</f>
        <v>1166</v>
      </c>
      <c r="Q79" s="2" t="str">
        <f>IFERROR(__xludf.DUMMYFUNCTION("""COMPUTED_VALUE"""),"Dine In")</f>
        <v>Dine In</v>
      </c>
      <c r="R79" s="2" t="str">
        <f>IFERROR(__xludf.DUMMYFUNCTION("""COMPUTED_VALUE"""),"Kedai")</f>
        <v>Kedai</v>
      </c>
      <c r="S79" s="2" t="str">
        <f>IFERROR(__xludf.DUMMYFUNCTION("""COMPUTED_VALUE"""),"Temu Roti")</f>
        <v>Temu Roti</v>
      </c>
      <c r="T79" s="2" t="str">
        <f>IFERROR(__xludf.DUMMYFUNCTION("""COMPUTED_VALUE"""),"Owner")</f>
        <v>Owner</v>
      </c>
      <c r="U79" s="2"/>
      <c r="V79" s="2"/>
      <c r="W79" s="2"/>
      <c r="X79" s="2" t="str">
        <f>IFERROR(__xludf.DUMMYFUNCTION("""COMPUTED_VALUE"""),"Closed")</f>
        <v>Closed</v>
      </c>
    </row>
    <row r="80">
      <c r="A80" s="3" t="s">
        <v>103</v>
      </c>
      <c r="B80" s="4">
        <f>IFERROR(__xludf.DUMMYFUNCTION("SPLIT(A80,"","",0,0)"),45564.532638888886)</f>
        <v>45564.53264</v>
      </c>
      <c r="C80" s="5">
        <f>IFERROR(__xludf.DUMMYFUNCTION("""COMPUTED_VALUE"""),2790851.0)</f>
        <v>2790851</v>
      </c>
      <c r="D80" s="2" t="str">
        <f>IFERROR(__xludf.DUMMYFUNCTION("""COMPUTED_VALUE"""),"Sale")</f>
        <v>Sale</v>
      </c>
      <c r="E80" s="2" t="str">
        <f>IFERROR(__xludf.DUMMYFUNCTION("""COMPUTED_VALUE"""),"Minuman")</f>
        <v>Minuman</v>
      </c>
      <c r="F80" s="2">
        <f>IFERROR(__xludf.DUMMYFUNCTION("""COMPUTED_VALUE"""),10120.0)</f>
        <v>10120</v>
      </c>
      <c r="G80" s="2" t="str">
        <f>IFERROR(__xludf.DUMMYFUNCTION("""COMPUTED_VALUE"""),"Lemon Tea Panas")</f>
        <v>Lemon Tea Panas</v>
      </c>
      <c r="H80" s="2"/>
      <c r="I80" s="2"/>
      <c r="J80" s="2">
        <f>IFERROR(__xludf.DUMMYFUNCTION("""COMPUTED_VALUE"""),1.0)</f>
        <v>1</v>
      </c>
      <c r="K80" s="6">
        <f>IFERROR(__xludf.DUMMYFUNCTION("""COMPUTED_VALUE"""),19524.0)</f>
        <v>19524</v>
      </c>
      <c r="L80" s="2">
        <f>IFERROR(__xludf.DUMMYFUNCTION("""COMPUTED_VALUE"""),0.0)</f>
        <v>0</v>
      </c>
      <c r="M80" s="2">
        <f>IFERROR(__xludf.DUMMYFUNCTION("""COMPUTED_VALUE"""),19524.0)</f>
        <v>19524</v>
      </c>
      <c r="N80" s="2">
        <f>IFERROR(__xludf.DUMMYFUNCTION("""COMPUTED_VALUE"""),0.0)</f>
        <v>0</v>
      </c>
      <c r="O80" s="2">
        <f>IFERROR(__xludf.DUMMYFUNCTION("""COMPUTED_VALUE"""),19524.0)</f>
        <v>19524</v>
      </c>
      <c r="P80" s="2">
        <f>IFERROR(__xludf.DUMMYFUNCTION("""COMPUTED_VALUE"""),977.0)</f>
        <v>977</v>
      </c>
      <c r="Q80" s="2" t="str">
        <f>IFERROR(__xludf.DUMMYFUNCTION("""COMPUTED_VALUE"""),"Dine In")</f>
        <v>Dine In</v>
      </c>
      <c r="R80" s="2" t="str">
        <f>IFERROR(__xludf.DUMMYFUNCTION("""COMPUTED_VALUE"""),"Kedai")</f>
        <v>Kedai</v>
      </c>
      <c r="S80" s="2" t="str">
        <f>IFERROR(__xludf.DUMMYFUNCTION("""COMPUTED_VALUE"""),"Temu Roti")</f>
        <v>Temu Roti</v>
      </c>
      <c r="T80" s="2" t="str">
        <f>IFERROR(__xludf.DUMMYFUNCTION("""COMPUTED_VALUE"""),"Owner")</f>
        <v>Owner</v>
      </c>
      <c r="U80" s="2"/>
      <c r="V80" s="2"/>
      <c r="W80" s="2"/>
      <c r="X80" s="2" t="str">
        <f>IFERROR(__xludf.DUMMYFUNCTION("""COMPUTED_VALUE"""),"Closed")</f>
        <v>Closed</v>
      </c>
    </row>
    <row r="81">
      <c r="A81" s="3" t="s">
        <v>104</v>
      </c>
      <c r="B81" s="4">
        <f>IFERROR(__xludf.DUMMYFUNCTION("SPLIT(A81,"","",0,0)"),45564.52291666667)</f>
        <v>45564.52292</v>
      </c>
      <c r="C81" s="5">
        <f>IFERROR(__xludf.DUMMYFUNCTION("""COMPUTED_VALUE"""),2790485.0)</f>
        <v>2790485</v>
      </c>
      <c r="D81" s="2" t="str">
        <f>IFERROR(__xludf.DUMMYFUNCTION("""COMPUTED_VALUE"""),"Sale")</f>
        <v>Sale</v>
      </c>
      <c r="E81" s="2" t="str">
        <f>IFERROR(__xludf.DUMMYFUNCTION("""COMPUTED_VALUE"""),"Minuman")</f>
        <v>Minuman</v>
      </c>
      <c r="F81" s="2">
        <f>IFERROR(__xludf.DUMMYFUNCTION("""COMPUTED_VALUE"""),10112.0)</f>
        <v>10112</v>
      </c>
      <c r="G81" s="2" t="str">
        <f>IFERROR(__xludf.DUMMYFUNCTION("""COMPUTED_VALUE"""),"Air mineral")</f>
        <v>Air mineral</v>
      </c>
      <c r="H81" s="2"/>
      <c r="I81" s="2"/>
      <c r="J81" s="2">
        <f>IFERROR(__xludf.DUMMYFUNCTION("""COMPUTED_VALUE"""),2.0)</f>
        <v>2</v>
      </c>
      <c r="K81" s="6">
        <f>IFERROR(__xludf.DUMMYFUNCTION("""COMPUTED_VALUE"""),13334.0)</f>
        <v>13334</v>
      </c>
      <c r="L81" s="2">
        <f>IFERROR(__xludf.DUMMYFUNCTION("""COMPUTED_VALUE"""),0.0)</f>
        <v>0</v>
      </c>
      <c r="M81" s="2">
        <f>IFERROR(__xludf.DUMMYFUNCTION("""COMPUTED_VALUE"""),13334.0)</f>
        <v>13334</v>
      </c>
      <c r="N81" s="2">
        <f>IFERROR(__xludf.DUMMYFUNCTION("""COMPUTED_VALUE"""),0.0)</f>
        <v>0</v>
      </c>
      <c r="O81" s="2">
        <f>IFERROR(__xludf.DUMMYFUNCTION("""COMPUTED_VALUE"""),13334.0)</f>
        <v>13334</v>
      </c>
      <c r="P81" s="2">
        <f>IFERROR(__xludf.DUMMYFUNCTION("""COMPUTED_VALUE"""),667.0)</f>
        <v>667</v>
      </c>
      <c r="Q81" s="2" t="str">
        <f>IFERROR(__xludf.DUMMYFUNCTION("""COMPUTED_VALUE"""),"Dine In")</f>
        <v>Dine In</v>
      </c>
      <c r="R81" s="2" t="str">
        <f>IFERROR(__xludf.DUMMYFUNCTION("""COMPUTED_VALUE"""),"Kedai")</f>
        <v>Kedai</v>
      </c>
      <c r="S81" s="2" t="str">
        <f>IFERROR(__xludf.DUMMYFUNCTION("""COMPUTED_VALUE"""),"Temu Roti")</f>
        <v>Temu Roti</v>
      </c>
      <c r="T81" s="2" t="str">
        <f>IFERROR(__xludf.DUMMYFUNCTION("""COMPUTED_VALUE"""),"Owner")</f>
        <v>Owner</v>
      </c>
      <c r="U81" s="2"/>
      <c r="V81" s="2"/>
      <c r="W81" s="2"/>
      <c r="X81" s="2" t="str">
        <f>IFERROR(__xludf.DUMMYFUNCTION("""COMPUTED_VALUE"""),"Closed")</f>
        <v>Closed</v>
      </c>
    </row>
    <row r="82">
      <c r="A82" s="3" t="s">
        <v>105</v>
      </c>
      <c r="B82" s="4">
        <f>IFERROR(__xludf.DUMMYFUNCTION("SPLIT(A82,"","",0,0)"),45564.506944444445)</f>
        <v>45564.50694</v>
      </c>
      <c r="C82" s="5">
        <f>IFERROR(__xludf.DUMMYFUNCTION("""COMPUTED_VALUE"""),2790120.0)</f>
        <v>2790120</v>
      </c>
      <c r="D82" s="2" t="str">
        <f>IFERROR(__xludf.DUMMYFUNCTION("""COMPUTED_VALUE"""),"Sale")</f>
        <v>Sale</v>
      </c>
      <c r="E82" s="2" t="str">
        <f>IFERROR(__xludf.DUMMYFUNCTION("""COMPUTED_VALUE"""),"Kudapan")</f>
        <v>Kudapan</v>
      </c>
      <c r="F82" s="2">
        <f>IFERROR(__xludf.DUMMYFUNCTION("""COMPUTED_VALUE"""),10011.0)</f>
        <v>10011</v>
      </c>
      <c r="G82" s="2" t="str">
        <f>IFERROR(__xludf.DUMMYFUNCTION("""COMPUTED_VALUE"""),"Kentang Goreng")</f>
        <v>Kentang Goreng</v>
      </c>
      <c r="H82" s="2"/>
      <c r="I82" s="2"/>
      <c r="J82" s="2">
        <f>IFERROR(__xludf.DUMMYFUNCTION("""COMPUTED_VALUE"""),1.0)</f>
        <v>1</v>
      </c>
      <c r="K82" s="6">
        <f>IFERROR(__xludf.DUMMYFUNCTION("""COMPUTED_VALUE"""),25238.0)</f>
        <v>25238</v>
      </c>
      <c r="L82" s="2">
        <f>IFERROR(__xludf.DUMMYFUNCTION("""COMPUTED_VALUE"""),0.0)</f>
        <v>0</v>
      </c>
      <c r="M82" s="2">
        <f>IFERROR(__xludf.DUMMYFUNCTION("""COMPUTED_VALUE"""),25238.0)</f>
        <v>25238</v>
      </c>
      <c r="N82" s="2">
        <f>IFERROR(__xludf.DUMMYFUNCTION("""COMPUTED_VALUE"""),0.0)</f>
        <v>0</v>
      </c>
      <c r="O82" s="2">
        <f>IFERROR(__xludf.DUMMYFUNCTION("""COMPUTED_VALUE"""),25238.0)</f>
        <v>25238</v>
      </c>
      <c r="P82" s="2">
        <f>IFERROR(__xludf.DUMMYFUNCTION("""COMPUTED_VALUE"""),1262.0)</f>
        <v>1262</v>
      </c>
      <c r="Q82" s="2" t="str">
        <f>IFERROR(__xludf.DUMMYFUNCTION("""COMPUTED_VALUE"""),"Dine In")</f>
        <v>Dine In</v>
      </c>
      <c r="R82" s="2" t="str">
        <f>IFERROR(__xludf.DUMMYFUNCTION("""COMPUTED_VALUE"""),"Kedai")</f>
        <v>Kedai</v>
      </c>
      <c r="S82" s="2" t="str">
        <f>IFERROR(__xludf.DUMMYFUNCTION("""COMPUTED_VALUE"""),"Temu Roti")</f>
        <v>Temu Roti</v>
      </c>
      <c r="T82" s="2" t="str">
        <f>IFERROR(__xludf.DUMMYFUNCTION("""COMPUTED_VALUE"""),"Owner")</f>
        <v>Owner</v>
      </c>
      <c r="U82" s="2"/>
      <c r="V82" s="2"/>
      <c r="W82" s="2"/>
      <c r="X82" s="2" t="str">
        <f>IFERROR(__xludf.DUMMYFUNCTION("""COMPUTED_VALUE"""),"Closed")</f>
        <v>Closed</v>
      </c>
    </row>
    <row r="83">
      <c r="A83" s="3" t="s">
        <v>106</v>
      </c>
      <c r="B83" s="4">
        <f>IFERROR(__xludf.DUMMYFUNCTION("SPLIT(A83,"","",0,0)"),45564.506944444445)</f>
        <v>45564.50694</v>
      </c>
      <c r="C83" s="5">
        <f>IFERROR(__xludf.DUMMYFUNCTION("""COMPUTED_VALUE"""),2790120.0)</f>
        <v>2790120</v>
      </c>
      <c r="D83" s="2" t="str">
        <f>IFERROR(__xludf.DUMMYFUNCTION("""COMPUTED_VALUE"""),"Sale")</f>
        <v>Sale</v>
      </c>
      <c r="E83" s="2" t="str">
        <f>IFERROR(__xludf.DUMMYFUNCTION("""COMPUTED_VALUE"""),"Kudapan")</f>
        <v>Kudapan</v>
      </c>
      <c r="F83" s="2">
        <f>IFERROR(__xludf.DUMMYFUNCTION("""COMPUTED_VALUE"""),10010.0)</f>
        <v>10010</v>
      </c>
      <c r="G83" s="2" t="str">
        <f>IFERROR(__xludf.DUMMYFUNCTION("""COMPUTED_VALUE"""),"Pisang Goreng")</f>
        <v>Pisang Goreng</v>
      </c>
      <c r="H83" s="2"/>
      <c r="I83" s="2"/>
      <c r="J83" s="2">
        <f>IFERROR(__xludf.DUMMYFUNCTION("""COMPUTED_VALUE"""),1.0)</f>
        <v>1</v>
      </c>
      <c r="K83" s="6">
        <f>IFERROR(__xludf.DUMMYFUNCTION("""COMPUTED_VALUE"""),25238.0)</f>
        <v>25238</v>
      </c>
      <c r="L83" s="2">
        <f>IFERROR(__xludf.DUMMYFUNCTION("""COMPUTED_VALUE"""),0.0)</f>
        <v>0</v>
      </c>
      <c r="M83" s="2">
        <f>IFERROR(__xludf.DUMMYFUNCTION("""COMPUTED_VALUE"""),25238.0)</f>
        <v>25238</v>
      </c>
      <c r="N83" s="2">
        <f>IFERROR(__xludf.DUMMYFUNCTION("""COMPUTED_VALUE"""),0.0)</f>
        <v>0</v>
      </c>
      <c r="O83" s="2">
        <f>IFERROR(__xludf.DUMMYFUNCTION("""COMPUTED_VALUE"""),25238.0)</f>
        <v>25238</v>
      </c>
      <c r="P83" s="2">
        <f>IFERROR(__xludf.DUMMYFUNCTION("""COMPUTED_VALUE"""),1262.0)</f>
        <v>1262</v>
      </c>
      <c r="Q83" s="2" t="str">
        <f>IFERROR(__xludf.DUMMYFUNCTION("""COMPUTED_VALUE"""),"Dine In")</f>
        <v>Dine In</v>
      </c>
      <c r="R83" s="2" t="str">
        <f>IFERROR(__xludf.DUMMYFUNCTION("""COMPUTED_VALUE"""),"Kedai")</f>
        <v>Kedai</v>
      </c>
      <c r="S83" s="2" t="str">
        <f>IFERROR(__xludf.DUMMYFUNCTION("""COMPUTED_VALUE"""),"Temu Roti")</f>
        <v>Temu Roti</v>
      </c>
      <c r="T83" s="2" t="str">
        <f>IFERROR(__xludf.DUMMYFUNCTION("""COMPUTED_VALUE"""),"Owner")</f>
        <v>Owner</v>
      </c>
      <c r="U83" s="2"/>
      <c r="V83" s="2"/>
      <c r="W83" s="2"/>
      <c r="X83" s="2" t="str">
        <f>IFERROR(__xludf.DUMMYFUNCTION("""COMPUTED_VALUE"""),"Closed")</f>
        <v>Closed</v>
      </c>
    </row>
    <row r="84">
      <c r="A84" s="3" t="s">
        <v>107</v>
      </c>
      <c r="B84" s="4">
        <f>IFERROR(__xludf.DUMMYFUNCTION("SPLIT(A84,"","",0,0)"),45564.5)</f>
        <v>45564.5</v>
      </c>
      <c r="C84" s="5">
        <f>IFERROR(__xludf.DUMMYFUNCTION("""COMPUTED_VALUE"""),2789755.0)</f>
        <v>2789755</v>
      </c>
      <c r="D84" s="2" t="str">
        <f>IFERROR(__xludf.DUMMYFUNCTION("""COMPUTED_VALUE"""),"Sale")</f>
        <v>Sale</v>
      </c>
      <c r="E84" s="2" t="str">
        <f>IFERROR(__xludf.DUMMYFUNCTION("""COMPUTED_VALUE"""),"Roti")</f>
        <v>Roti</v>
      </c>
      <c r="F84" s="2">
        <f>IFERROR(__xludf.DUMMYFUNCTION("""COMPUTED_VALUE"""),10000.0)</f>
        <v>10000</v>
      </c>
      <c r="G84" s="2" t="str">
        <f>IFERROR(__xludf.DUMMYFUNCTION("""COMPUTED_VALUE"""),"Roti Bawang Saus Keju")</f>
        <v>Roti Bawang Saus Keju</v>
      </c>
      <c r="H84" s="2"/>
      <c r="I84" s="2"/>
      <c r="J84" s="2">
        <f>IFERROR(__xludf.DUMMYFUNCTION("""COMPUTED_VALUE"""),1.0)</f>
        <v>1</v>
      </c>
      <c r="K84" s="6">
        <f>IFERROR(__xludf.DUMMYFUNCTION("""COMPUTED_VALUE"""),29524.0)</f>
        <v>29524</v>
      </c>
      <c r="L84" s="2">
        <f>IFERROR(__xludf.DUMMYFUNCTION("""COMPUTED_VALUE"""),0.0)</f>
        <v>0</v>
      </c>
      <c r="M84" s="2">
        <f>IFERROR(__xludf.DUMMYFUNCTION("""COMPUTED_VALUE"""),29524.0)</f>
        <v>29524</v>
      </c>
      <c r="N84" s="2">
        <f>IFERROR(__xludf.DUMMYFUNCTION("""COMPUTED_VALUE"""),0.0)</f>
        <v>0</v>
      </c>
      <c r="O84" s="2">
        <f>IFERROR(__xludf.DUMMYFUNCTION("""COMPUTED_VALUE"""),29524.0)</f>
        <v>29524</v>
      </c>
      <c r="P84" s="2">
        <f>IFERROR(__xludf.DUMMYFUNCTION("""COMPUTED_VALUE"""),1476.0)</f>
        <v>1476</v>
      </c>
      <c r="Q84" s="2" t="str">
        <f>IFERROR(__xludf.DUMMYFUNCTION("""COMPUTED_VALUE"""),"Take Away")</f>
        <v>Take Away</v>
      </c>
      <c r="R84" s="2" t="str">
        <f>IFERROR(__xludf.DUMMYFUNCTION("""COMPUTED_VALUE"""),"Kedai")</f>
        <v>Kedai</v>
      </c>
      <c r="S84" s="2" t="str">
        <f>IFERROR(__xludf.DUMMYFUNCTION("""COMPUTED_VALUE"""),"Temu Roti")</f>
        <v>Temu Roti</v>
      </c>
      <c r="T84" s="2" t="str">
        <f>IFERROR(__xludf.DUMMYFUNCTION("""COMPUTED_VALUE"""),"Owner")</f>
        <v>Owner</v>
      </c>
      <c r="U84" s="2"/>
      <c r="V84" s="2"/>
      <c r="W84" s="2"/>
      <c r="X84" s="2" t="str">
        <f>IFERROR(__xludf.DUMMYFUNCTION("""COMPUTED_VALUE"""),"Closed")</f>
        <v>Closed</v>
      </c>
    </row>
    <row r="85">
      <c r="A85" s="3" t="s">
        <v>108</v>
      </c>
      <c r="B85" s="4">
        <f>IFERROR(__xludf.DUMMYFUNCTION("SPLIT(A85,"","",0,0)"),45564.49930555555)</f>
        <v>45564.49931</v>
      </c>
      <c r="C85" s="5">
        <f>IFERROR(__xludf.DUMMYFUNCTION("""COMPUTED_VALUE"""),2789390.0)</f>
        <v>2789390</v>
      </c>
      <c r="D85" s="2" t="str">
        <f>IFERROR(__xludf.DUMMYFUNCTION("""COMPUTED_VALUE"""),"Sale")</f>
        <v>Sale</v>
      </c>
      <c r="E85" s="2" t="str">
        <f>IFERROR(__xludf.DUMMYFUNCTION("""COMPUTED_VALUE"""),"Roti")</f>
        <v>Roti</v>
      </c>
      <c r="F85" s="2">
        <f>IFERROR(__xludf.DUMMYFUNCTION("""COMPUTED_VALUE"""),10000.0)</f>
        <v>10000</v>
      </c>
      <c r="G85" s="2" t="str">
        <f>IFERROR(__xludf.DUMMYFUNCTION("""COMPUTED_VALUE"""),"Roti Bawang Saus Keju")</f>
        <v>Roti Bawang Saus Keju</v>
      </c>
      <c r="H85" s="2"/>
      <c r="I85" s="2"/>
      <c r="J85" s="2">
        <f>IFERROR(__xludf.DUMMYFUNCTION("""COMPUTED_VALUE"""),1.0)</f>
        <v>1</v>
      </c>
      <c r="K85" s="6">
        <f>IFERROR(__xludf.DUMMYFUNCTION("""COMPUTED_VALUE"""),29524.0)</f>
        <v>29524</v>
      </c>
      <c r="L85" s="2">
        <f>IFERROR(__xludf.DUMMYFUNCTION("""COMPUTED_VALUE"""),0.0)</f>
        <v>0</v>
      </c>
      <c r="M85" s="2">
        <f>IFERROR(__xludf.DUMMYFUNCTION("""COMPUTED_VALUE"""),29524.0)</f>
        <v>29524</v>
      </c>
      <c r="N85" s="2">
        <f>IFERROR(__xludf.DUMMYFUNCTION("""COMPUTED_VALUE"""),0.0)</f>
        <v>0</v>
      </c>
      <c r="O85" s="2">
        <f>IFERROR(__xludf.DUMMYFUNCTION("""COMPUTED_VALUE"""),29524.0)</f>
        <v>29524</v>
      </c>
      <c r="P85" s="2">
        <f>IFERROR(__xludf.DUMMYFUNCTION("""COMPUTED_VALUE"""),1476.0)</f>
        <v>1476</v>
      </c>
      <c r="Q85" s="2" t="str">
        <f>IFERROR(__xludf.DUMMYFUNCTION("""COMPUTED_VALUE"""),"Dine In")</f>
        <v>Dine In</v>
      </c>
      <c r="R85" s="2" t="str">
        <f>IFERROR(__xludf.DUMMYFUNCTION("""COMPUTED_VALUE"""),"Kedai")</f>
        <v>Kedai</v>
      </c>
      <c r="S85" s="2" t="str">
        <f>IFERROR(__xludf.DUMMYFUNCTION("""COMPUTED_VALUE"""),"Temu Roti")</f>
        <v>Temu Roti</v>
      </c>
      <c r="T85" s="2" t="str">
        <f>IFERROR(__xludf.DUMMYFUNCTION("""COMPUTED_VALUE"""),"Owner")</f>
        <v>Owner</v>
      </c>
      <c r="U85" s="2"/>
      <c r="V85" s="2"/>
      <c r="W85" s="2"/>
      <c r="X85" s="2" t="str">
        <f>IFERROR(__xludf.DUMMYFUNCTION("""COMPUTED_VALUE"""),"Closed")</f>
        <v>Closed</v>
      </c>
    </row>
    <row r="86">
      <c r="A86" s="3" t="s">
        <v>109</v>
      </c>
      <c r="B86" s="4">
        <f>IFERROR(__xludf.DUMMYFUNCTION("SPLIT(A86,"","",0,0)"),45564.498611111114)</f>
        <v>45564.49861</v>
      </c>
      <c r="C86" s="5">
        <f>IFERROR(__xludf.DUMMYFUNCTION("""COMPUTED_VALUE"""),2789024.0)</f>
        <v>2789024</v>
      </c>
      <c r="D86" s="2" t="str">
        <f>IFERROR(__xludf.DUMMYFUNCTION("""COMPUTED_VALUE"""),"Sale")</f>
        <v>Sale</v>
      </c>
      <c r="E86" s="2" t="str">
        <f>IFERROR(__xludf.DUMMYFUNCTION("""COMPUTED_VALUE"""),"Minuman")</f>
        <v>Minuman</v>
      </c>
      <c r="F86" s="2">
        <f>IFERROR(__xludf.DUMMYFUNCTION("""COMPUTED_VALUE"""),10128.0)</f>
        <v>10128</v>
      </c>
      <c r="G86" s="2" t="str">
        <f>IFERROR(__xludf.DUMMYFUNCTION("""COMPUTED_VALUE"""),"Es Kopi Susu")</f>
        <v>Es Kopi Susu</v>
      </c>
      <c r="H86" s="2"/>
      <c r="I86" s="2"/>
      <c r="J86" s="2">
        <f>IFERROR(__xludf.DUMMYFUNCTION("""COMPUTED_VALUE"""),1.0)</f>
        <v>1</v>
      </c>
      <c r="K86" s="6">
        <f>IFERROR(__xludf.DUMMYFUNCTION("""COMPUTED_VALUE"""),23333.0)</f>
        <v>23333</v>
      </c>
      <c r="L86" s="2">
        <f>IFERROR(__xludf.DUMMYFUNCTION("""COMPUTED_VALUE"""),0.0)</f>
        <v>0</v>
      </c>
      <c r="M86" s="2">
        <f>IFERROR(__xludf.DUMMYFUNCTION("""COMPUTED_VALUE"""),23333.0)</f>
        <v>23333</v>
      </c>
      <c r="N86" s="2">
        <f>IFERROR(__xludf.DUMMYFUNCTION("""COMPUTED_VALUE"""),0.0)</f>
        <v>0</v>
      </c>
      <c r="O86" s="2">
        <f>IFERROR(__xludf.DUMMYFUNCTION("""COMPUTED_VALUE"""),23333.0)</f>
        <v>23333</v>
      </c>
      <c r="P86" s="2">
        <f>IFERROR(__xludf.DUMMYFUNCTION("""COMPUTED_VALUE"""),1167.0)</f>
        <v>1167</v>
      </c>
      <c r="Q86" s="2" t="str">
        <f>IFERROR(__xludf.DUMMYFUNCTION("""COMPUTED_VALUE"""),"Dine In")</f>
        <v>Dine In</v>
      </c>
      <c r="R86" s="2" t="str">
        <f>IFERROR(__xludf.DUMMYFUNCTION("""COMPUTED_VALUE"""),"Kedai")</f>
        <v>Kedai</v>
      </c>
      <c r="S86" s="2" t="str">
        <f>IFERROR(__xludf.DUMMYFUNCTION("""COMPUTED_VALUE"""),"Temu Roti")</f>
        <v>Temu Roti</v>
      </c>
      <c r="T86" s="2" t="str">
        <f>IFERROR(__xludf.DUMMYFUNCTION("""COMPUTED_VALUE"""),"Owner")</f>
        <v>Owner</v>
      </c>
      <c r="U86" s="2"/>
      <c r="V86" s="2"/>
      <c r="W86" s="2"/>
      <c r="X86" s="2" t="str">
        <f>IFERROR(__xludf.DUMMYFUNCTION("""COMPUTED_VALUE"""),"Closed")</f>
        <v>Closed</v>
      </c>
    </row>
    <row r="87">
      <c r="A87" s="3" t="s">
        <v>110</v>
      </c>
      <c r="B87" s="4">
        <f>IFERROR(__xludf.DUMMYFUNCTION("SPLIT(A87,"","",0,0)"),45564.498611111114)</f>
        <v>45564.49861</v>
      </c>
      <c r="C87" s="5">
        <f>IFERROR(__xludf.DUMMYFUNCTION("""COMPUTED_VALUE"""),2789024.0)</f>
        <v>2789024</v>
      </c>
      <c r="D87" s="2" t="str">
        <f>IFERROR(__xludf.DUMMYFUNCTION("""COMPUTED_VALUE"""),"Sale")</f>
        <v>Sale</v>
      </c>
      <c r="E87" s="2" t="str">
        <f>IFERROR(__xludf.DUMMYFUNCTION("""COMPUTED_VALUE"""),"Minuman")</f>
        <v>Minuman</v>
      </c>
      <c r="F87" s="2">
        <f>IFERROR(__xludf.DUMMYFUNCTION("""COMPUTED_VALUE"""),10013.0)</f>
        <v>10013</v>
      </c>
      <c r="G87" s="2" t="str">
        <f>IFERROR(__xludf.DUMMYFUNCTION("""COMPUTED_VALUE"""),"Kopi cur")</f>
        <v>Kopi cur</v>
      </c>
      <c r="H87" s="2"/>
      <c r="I87" s="2"/>
      <c r="J87" s="2">
        <f>IFERROR(__xludf.DUMMYFUNCTION("""COMPUTED_VALUE"""),1.0)</f>
        <v>1</v>
      </c>
      <c r="K87" s="6">
        <f>IFERROR(__xludf.DUMMYFUNCTION("""COMPUTED_VALUE"""),23333.0)</f>
        <v>23333</v>
      </c>
      <c r="L87" s="2">
        <f>IFERROR(__xludf.DUMMYFUNCTION("""COMPUTED_VALUE"""),0.0)</f>
        <v>0</v>
      </c>
      <c r="M87" s="2">
        <f>IFERROR(__xludf.DUMMYFUNCTION("""COMPUTED_VALUE"""),23333.0)</f>
        <v>23333</v>
      </c>
      <c r="N87" s="2">
        <f>IFERROR(__xludf.DUMMYFUNCTION("""COMPUTED_VALUE"""),0.0)</f>
        <v>0</v>
      </c>
      <c r="O87" s="2">
        <f>IFERROR(__xludf.DUMMYFUNCTION("""COMPUTED_VALUE"""),23333.0)</f>
        <v>23333</v>
      </c>
      <c r="P87" s="2">
        <f>IFERROR(__xludf.DUMMYFUNCTION("""COMPUTED_VALUE"""),1166.0)</f>
        <v>1166</v>
      </c>
      <c r="Q87" s="2" t="str">
        <f>IFERROR(__xludf.DUMMYFUNCTION("""COMPUTED_VALUE"""),"Dine In")</f>
        <v>Dine In</v>
      </c>
      <c r="R87" s="2" t="str">
        <f>IFERROR(__xludf.DUMMYFUNCTION("""COMPUTED_VALUE"""),"Kedai")</f>
        <v>Kedai</v>
      </c>
      <c r="S87" s="2" t="str">
        <f>IFERROR(__xludf.DUMMYFUNCTION("""COMPUTED_VALUE"""),"Temu Roti")</f>
        <v>Temu Roti</v>
      </c>
      <c r="T87" s="2" t="str">
        <f>IFERROR(__xludf.DUMMYFUNCTION("""COMPUTED_VALUE"""),"Owner")</f>
        <v>Owner</v>
      </c>
      <c r="U87" s="2"/>
      <c r="V87" s="2"/>
      <c r="W87" s="2"/>
      <c r="X87" s="2" t="str">
        <f>IFERROR(__xludf.DUMMYFUNCTION("""COMPUTED_VALUE"""),"Closed")</f>
        <v>Closed</v>
      </c>
    </row>
    <row r="88">
      <c r="A88" s="3" t="s">
        <v>111</v>
      </c>
      <c r="B88" s="4">
        <f>IFERROR(__xludf.DUMMYFUNCTION("SPLIT(A88,"","",0,0)"),45564.498611111114)</f>
        <v>45564.49861</v>
      </c>
      <c r="C88" s="5">
        <f>IFERROR(__xludf.DUMMYFUNCTION("""COMPUTED_VALUE"""),2789024.0)</f>
        <v>2789024</v>
      </c>
      <c r="D88" s="2" t="str">
        <f>IFERROR(__xludf.DUMMYFUNCTION("""COMPUTED_VALUE"""),"Sale")</f>
        <v>Sale</v>
      </c>
      <c r="E88" s="2" t="str">
        <f>IFERROR(__xludf.DUMMYFUNCTION("""COMPUTED_VALUE"""),"Roti")</f>
        <v>Roti</v>
      </c>
      <c r="F88" s="2">
        <f>IFERROR(__xludf.DUMMYFUNCTION("""COMPUTED_VALUE"""),10007.0)</f>
        <v>10007</v>
      </c>
      <c r="G88" s="2" t="str">
        <f>IFERROR(__xludf.DUMMYFUNCTION("""COMPUTED_VALUE"""),"Roti cranberry 2 pcs")</f>
        <v>Roti cranberry 2 pcs</v>
      </c>
      <c r="H88" s="2"/>
      <c r="I88" s="2"/>
      <c r="J88" s="2">
        <f>IFERROR(__xludf.DUMMYFUNCTION("""COMPUTED_VALUE"""),1.0)</f>
        <v>1</v>
      </c>
      <c r="K88" s="6">
        <f>IFERROR(__xludf.DUMMYFUNCTION("""COMPUTED_VALUE"""),33810.0)</f>
        <v>33810</v>
      </c>
      <c r="L88" s="2">
        <f>IFERROR(__xludf.DUMMYFUNCTION("""COMPUTED_VALUE"""),0.0)</f>
        <v>0</v>
      </c>
      <c r="M88" s="2">
        <f>IFERROR(__xludf.DUMMYFUNCTION("""COMPUTED_VALUE"""),33810.0)</f>
        <v>33810</v>
      </c>
      <c r="N88" s="2">
        <f>IFERROR(__xludf.DUMMYFUNCTION("""COMPUTED_VALUE"""),0.0)</f>
        <v>0</v>
      </c>
      <c r="O88" s="2">
        <f>IFERROR(__xludf.DUMMYFUNCTION("""COMPUTED_VALUE"""),33810.0)</f>
        <v>33810</v>
      </c>
      <c r="P88" s="2">
        <f>IFERROR(__xludf.DUMMYFUNCTION("""COMPUTED_VALUE"""),1691.0)</f>
        <v>1691</v>
      </c>
      <c r="Q88" s="2" t="str">
        <f>IFERROR(__xludf.DUMMYFUNCTION("""COMPUTED_VALUE"""),"Dine In")</f>
        <v>Dine In</v>
      </c>
      <c r="R88" s="2" t="str">
        <f>IFERROR(__xludf.DUMMYFUNCTION("""COMPUTED_VALUE"""),"Kedai")</f>
        <v>Kedai</v>
      </c>
      <c r="S88" s="2" t="str">
        <f>IFERROR(__xludf.DUMMYFUNCTION("""COMPUTED_VALUE"""),"Temu Roti")</f>
        <v>Temu Roti</v>
      </c>
      <c r="T88" s="2" t="str">
        <f>IFERROR(__xludf.DUMMYFUNCTION("""COMPUTED_VALUE"""),"Owner")</f>
        <v>Owner</v>
      </c>
      <c r="U88" s="2"/>
      <c r="V88" s="2"/>
      <c r="W88" s="2"/>
      <c r="X88" s="2" t="str">
        <f>IFERROR(__xludf.DUMMYFUNCTION("""COMPUTED_VALUE"""),"Closed")</f>
        <v>Closed</v>
      </c>
    </row>
    <row r="89">
      <c r="A89" s="3" t="s">
        <v>112</v>
      </c>
      <c r="B89" s="4">
        <f>IFERROR(__xludf.DUMMYFUNCTION("SPLIT(A89,"","",0,0)"),45564.498611111114)</f>
        <v>45564.49861</v>
      </c>
      <c r="C89" s="5">
        <f>IFERROR(__xludf.DUMMYFUNCTION("""COMPUTED_VALUE"""),2789024.0)</f>
        <v>2789024</v>
      </c>
      <c r="D89" s="2" t="str">
        <f>IFERROR(__xludf.DUMMYFUNCTION("""COMPUTED_VALUE"""),"Sale")</f>
        <v>Sale</v>
      </c>
      <c r="E89" s="2" t="str">
        <f>IFERROR(__xludf.DUMMYFUNCTION("""COMPUTED_VALUE"""),"Minuman")</f>
        <v>Minuman</v>
      </c>
      <c r="F89" s="2">
        <f>IFERROR(__xludf.DUMMYFUNCTION("""COMPUTED_VALUE"""),10122.0)</f>
        <v>10122</v>
      </c>
      <c r="G89" s="2" t="str">
        <f>IFERROR(__xludf.DUMMYFUNCTION("""COMPUTED_VALUE"""),"Rempah Madu Panas")</f>
        <v>Rempah Madu Panas</v>
      </c>
      <c r="H89" s="2"/>
      <c r="I89" s="2"/>
      <c r="J89" s="2">
        <f>IFERROR(__xludf.DUMMYFUNCTION("""COMPUTED_VALUE"""),1.0)</f>
        <v>1</v>
      </c>
      <c r="K89" s="6">
        <f>IFERROR(__xludf.DUMMYFUNCTION("""COMPUTED_VALUE"""),21905.0)</f>
        <v>21905</v>
      </c>
      <c r="L89" s="2">
        <f>IFERROR(__xludf.DUMMYFUNCTION("""COMPUTED_VALUE"""),0.0)</f>
        <v>0</v>
      </c>
      <c r="M89" s="2">
        <f>IFERROR(__xludf.DUMMYFUNCTION("""COMPUTED_VALUE"""),21905.0)</f>
        <v>21905</v>
      </c>
      <c r="N89" s="2">
        <f>IFERROR(__xludf.DUMMYFUNCTION("""COMPUTED_VALUE"""),0.0)</f>
        <v>0</v>
      </c>
      <c r="O89" s="2">
        <f>IFERROR(__xludf.DUMMYFUNCTION("""COMPUTED_VALUE"""),21905.0)</f>
        <v>21905</v>
      </c>
      <c r="P89" s="2">
        <f>IFERROR(__xludf.DUMMYFUNCTION("""COMPUTED_VALUE"""),1095.0)</f>
        <v>1095</v>
      </c>
      <c r="Q89" s="2" t="str">
        <f>IFERROR(__xludf.DUMMYFUNCTION("""COMPUTED_VALUE"""),"Dine In")</f>
        <v>Dine In</v>
      </c>
      <c r="R89" s="2" t="str">
        <f>IFERROR(__xludf.DUMMYFUNCTION("""COMPUTED_VALUE"""),"Kedai")</f>
        <v>Kedai</v>
      </c>
      <c r="S89" s="2" t="str">
        <f>IFERROR(__xludf.DUMMYFUNCTION("""COMPUTED_VALUE"""),"Temu Roti")</f>
        <v>Temu Roti</v>
      </c>
      <c r="T89" s="2" t="str">
        <f>IFERROR(__xludf.DUMMYFUNCTION("""COMPUTED_VALUE"""),"Owner")</f>
        <v>Owner</v>
      </c>
      <c r="U89" s="2"/>
      <c r="V89" s="2"/>
      <c r="W89" s="2"/>
      <c r="X89" s="2" t="str">
        <f>IFERROR(__xludf.DUMMYFUNCTION("""COMPUTED_VALUE"""),"Closed")</f>
        <v>Closed</v>
      </c>
    </row>
    <row r="90">
      <c r="A90" s="3" t="s">
        <v>113</v>
      </c>
      <c r="B90" s="4">
        <f>IFERROR(__xludf.DUMMYFUNCTION("SPLIT(A90,"","",0,0)"),45564.49791666667)</f>
        <v>45564.49792</v>
      </c>
      <c r="C90" s="5">
        <f>IFERROR(__xludf.DUMMYFUNCTION("""COMPUTED_VALUE"""),2788659.0)</f>
        <v>2788659</v>
      </c>
      <c r="D90" s="2" t="str">
        <f>IFERROR(__xludf.DUMMYFUNCTION("""COMPUTED_VALUE"""),"Sale")</f>
        <v>Sale</v>
      </c>
      <c r="E90" s="2" t="str">
        <f>IFERROR(__xludf.DUMMYFUNCTION("""COMPUTED_VALUE"""),"Minuman")</f>
        <v>Minuman</v>
      </c>
      <c r="F90" s="2">
        <f>IFERROR(__xludf.DUMMYFUNCTION("""COMPUTED_VALUE"""),10122.0)</f>
        <v>10122</v>
      </c>
      <c r="G90" s="2" t="str">
        <f>IFERROR(__xludf.DUMMYFUNCTION("""COMPUTED_VALUE"""),"Rempah Madu Panas")</f>
        <v>Rempah Madu Panas</v>
      </c>
      <c r="H90" s="2"/>
      <c r="I90" s="2"/>
      <c r="J90" s="2">
        <f>IFERROR(__xludf.DUMMYFUNCTION("""COMPUTED_VALUE"""),1.0)</f>
        <v>1</v>
      </c>
      <c r="K90" s="6">
        <f>IFERROR(__xludf.DUMMYFUNCTION("""COMPUTED_VALUE"""),21905.0)</f>
        <v>21905</v>
      </c>
      <c r="L90" s="2">
        <f>IFERROR(__xludf.DUMMYFUNCTION("""COMPUTED_VALUE"""),0.0)</f>
        <v>0</v>
      </c>
      <c r="M90" s="2">
        <f>IFERROR(__xludf.DUMMYFUNCTION("""COMPUTED_VALUE"""),21905.0)</f>
        <v>21905</v>
      </c>
      <c r="N90" s="2">
        <f>IFERROR(__xludf.DUMMYFUNCTION("""COMPUTED_VALUE"""),0.0)</f>
        <v>0</v>
      </c>
      <c r="O90" s="2">
        <f>IFERROR(__xludf.DUMMYFUNCTION("""COMPUTED_VALUE"""),21905.0)</f>
        <v>21905</v>
      </c>
      <c r="P90" s="2">
        <f>IFERROR(__xludf.DUMMYFUNCTION("""COMPUTED_VALUE"""),1095.0)</f>
        <v>1095</v>
      </c>
      <c r="Q90" s="2" t="str">
        <f>IFERROR(__xludf.DUMMYFUNCTION("""COMPUTED_VALUE"""),"Dine In")</f>
        <v>Dine In</v>
      </c>
      <c r="R90" s="2" t="str">
        <f>IFERROR(__xludf.DUMMYFUNCTION("""COMPUTED_VALUE"""),"Kedai")</f>
        <v>Kedai</v>
      </c>
      <c r="S90" s="2" t="str">
        <f>IFERROR(__xludf.DUMMYFUNCTION("""COMPUTED_VALUE"""),"Temu Roti")</f>
        <v>Temu Roti</v>
      </c>
      <c r="T90" s="2" t="str">
        <f>IFERROR(__xludf.DUMMYFUNCTION("""COMPUTED_VALUE"""),"Owner")</f>
        <v>Owner</v>
      </c>
      <c r="U90" s="2"/>
      <c r="V90" s="2"/>
      <c r="W90" s="2"/>
      <c r="X90" s="2" t="str">
        <f>IFERROR(__xludf.DUMMYFUNCTION("""COMPUTED_VALUE"""),"Closed")</f>
        <v>Closed</v>
      </c>
    </row>
    <row r="91">
      <c r="A91" s="3" t="s">
        <v>114</v>
      </c>
      <c r="B91" s="4">
        <f>IFERROR(__xludf.DUMMYFUNCTION("SPLIT(A91,"","",0,0)"),45564.49791666667)</f>
        <v>45564.49792</v>
      </c>
      <c r="C91" s="5">
        <f>IFERROR(__xludf.DUMMYFUNCTION("""COMPUTED_VALUE"""),2788659.0)</f>
        <v>2788659</v>
      </c>
      <c r="D91" s="2" t="str">
        <f>IFERROR(__xludf.DUMMYFUNCTION("""COMPUTED_VALUE"""),"Sale")</f>
        <v>Sale</v>
      </c>
      <c r="E91" s="2" t="str">
        <f>IFERROR(__xludf.DUMMYFUNCTION("""COMPUTED_VALUE"""),"Minuman")</f>
        <v>Minuman</v>
      </c>
      <c r="F91" s="2">
        <f>IFERROR(__xludf.DUMMYFUNCTION("""COMPUTED_VALUE"""),10128.0)</f>
        <v>10128</v>
      </c>
      <c r="G91" s="2" t="str">
        <f>IFERROR(__xludf.DUMMYFUNCTION("""COMPUTED_VALUE"""),"Es Kopi Susu")</f>
        <v>Es Kopi Susu</v>
      </c>
      <c r="H91" s="2"/>
      <c r="I91" s="2"/>
      <c r="J91" s="2">
        <f>IFERROR(__xludf.DUMMYFUNCTION("""COMPUTED_VALUE"""),1.0)</f>
        <v>1</v>
      </c>
      <c r="K91" s="6">
        <f>IFERROR(__xludf.DUMMYFUNCTION("""COMPUTED_VALUE"""),23333.0)</f>
        <v>23333</v>
      </c>
      <c r="L91" s="2">
        <f>IFERROR(__xludf.DUMMYFUNCTION("""COMPUTED_VALUE"""),0.0)</f>
        <v>0</v>
      </c>
      <c r="M91" s="2">
        <f>IFERROR(__xludf.DUMMYFUNCTION("""COMPUTED_VALUE"""),23333.0)</f>
        <v>23333</v>
      </c>
      <c r="N91" s="2">
        <f>IFERROR(__xludf.DUMMYFUNCTION("""COMPUTED_VALUE"""),0.0)</f>
        <v>0</v>
      </c>
      <c r="O91" s="2">
        <f>IFERROR(__xludf.DUMMYFUNCTION("""COMPUTED_VALUE"""),23333.0)</f>
        <v>23333</v>
      </c>
      <c r="P91" s="2">
        <f>IFERROR(__xludf.DUMMYFUNCTION("""COMPUTED_VALUE"""),1167.0)</f>
        <v>1167</v>
      </c>
      <c r="Q91" s="2" t="str">
        <f>IFERROR(__xludf.DUMMYFUNCTION("""COMPUTED_VALUE"""),"Dine In")</f>
        <v>Dine In</v>
      </c>
      <c r="R91" s="2" t="str">
        <f>IFERROR(__xludf.DUMMYFUNCTION("""COMPUTED_VALUE"""),"Kedai")</f>
        <v>Kedai</v>
      </c>
      <c r="S91" s="2" t="str">
        <f>IFERROR(__xludf.DUMMYFUNCTION("""COMPUTED_VALUE"""),"Temu Roti")</f>
        <v>Temu Roti</v>
      </c>
      <c r="T91" s="2" t="str">
        <f>IFERROR(__xludf.DUMMYFUNCTION("""COMPUTED_VALUE"""),"Owner")</f>
        <v>Owner</v>
      </c>
      <c r="U91" s="2"/>
      <c r="V91" s="2"/>
      <c r="W91" s="2"/>
      <c r="X91" s="2" t="str">
        <f>IFERROR(__xludf.DUMMYFUNCTION("""COMPUTED_VALUE"""),"Closed")</f>
        <v>Closed</v>
      </c>
    </row>
    <row r="92">
      <c r="A92" s="3" t="s">
        <v>115</v>
      </c>
      <c r="B92" s="4">
        <f>IFERROR(__xludf.DUMMYFUNCTION("SPLIT(A92,"","",0,0)"),45564.49791666667)</f>
        <v>45564.49792</v>
      </c>
      <c r="C92" s="5">
        <f>IFERROR(__xludf.DUMMYFUNCTION("""COMPUTED_VALUE"""),2788659.0)</f>
        <v>2788659</v>
      </c>
      <c r="D92" s="2" t="str">
        <f>IFERROR(__xludf.DUMMYFUNCTION("""COMPUTED_VALUE"""),"Sale")</f>
        <v>Sale</v>
      </c>
      <c r="E92" s="2" t="str">
        <f>IFERROR(__xludf.DUMMYFUNCTION("""COMPUTED_VALUE"""),"Minuman")</f>
        <v>Minuman</v>
      </c>
      <c r="F92" s="2">
        <f>IFERROR(__xludf.DUMMYFUNCTION("""COMPUTED_VALUE"""),10013.0)</f>
        <v>10013</v>
      </c>
      <c r="G92" s="2" t="str">
        <f>IFERROR(__xludf.DUMMYFUNCTION("""COMPUTED_VALUE"""),"Kopi cur")</f>
        <v>Kopi cur</v>
      </c>
      <c r="H92" s="2"/>
      <c r="I92" s="2"/>
      <c r="J92" s="2">
        <f>IFERROR(__xludf.DUMMYFUNCTION("""COMPUTED_VALUE"""),1.0)</f>
        <v>1</v>
      </c>
      <c r="K92" s="6">
        <f>IFERROR(__xludf.DUMMYFUNCTION("""COMPUTED_VALUE"""),23333.0)</f>
        <v>23333</v>
      </c>
      <c r="L92" s="2">
        <f>IFERROR(__xludf.DUMMYFUNCTION("""COMPUTED_VALUE"""),0.0)</f>
        <v>0</v>
      </c>
      <c r="M92" s="2">
        <f>IFERROR(__xludf.DUMMYFUNCTION("""COMPUTED_VALUE"""),23333.0)</f>
        <v>23333</v>
      </c>
      <c r="N92" s="2">
        <f>IFERROR(__xludf.DUMMYFUNCTION("""COMPUTED_VALUE"""),0.0)</f>
        <v>0</v>
      </c>
      <c r="O92" s="2">
        <f>IFERROR(__xludf.DUMMYFUNCTION("""COMPUTED_VALUE"""),23333.0)</f>
        <v>23333</v>
      </c>
      <c r="P92" s="2">
        <f>IFERROR(__xludf.DUMMYFUNCTION("""COMPUTED_VALUE"""),1167.0)</f>
        <v>1167</v>
      </c>
      <c r="Q92" s="2" t="str">
        <f>IFERROR(__xludf.DUMMYFUNCTION("""COMPUTED_VALUE"""),"Dine In")</f>
        <v>Dine In</v>
      </c>
      <c r="R92" s="2" t="str">
        <f>IFERROR(__xludf.DUMMYFUNCTION("""COMPUTED_VALUE"""),"Kedai")</f>
        <v>Kedai</v>
      </c>
      <c r="S92" s="2" t="str">
        <f>IFERROR(__xludf.DUMMYFUNCTION("""COMPUTED_VALUE"""),"Temu Roti")</f>
        <v>Temu Roti</v>
      </c>
      <c r="T92" s="2" t="str">
        <f>IFERROR(__xludf.DUMMYFUNCTION("""COMPUTED_VALUE"""),"Owner")</f>
        <v>Owner</v>
      </c>
      <c r="U92" s="2"/>
      <c r="V92" s="2"/>
      <c r="W92" s="2"/>
      <c r="X92" s="2" t="str">
        <f>IFERROR(__xludf.DUMMYFUNCTION("""COMPUTED_VALUE"""),"Closed")</f>
        <v>Closed</v>
      </c>
    </row>
    <row r="93">
      <c r="A93" s="3" t="s">
        <v>116</v>
      </c>
      <c r="B93" s="4">
        <f>IFERROR(__xludf.DUMMYFUNCTION("SPLIT(A93,"","",0,0)"),45564.49097222222)</f>
        <v>45564.49097</v>
      </c>
      <c r="C93" s="5">
        <f>IFERROR(__xludf.DUMMYFUNCTION("""COMPUTED_VALUE"""),2788294.0)</f>
        <v>2788294</v>
      </c>
      <c r="D93" s="2" t="str">
        <f>IFERROR(__xludf.DUMMYFUNCTION("""COMPUTED_VALUE"""),"Sale")</f>
        <v>Sale</v>
      </c>
      <c r="E93" s="2" t="str">
        <f>IFERROR(__xludf.DUMMYFUNCTION("""COMPUTED_VALUE"""),"Minuman")</f>
        <v>Minuman</v>
      </c>
      <c r="F93" s="2">
        <f>IFERROR(__xludf.DUMMYFUNCTION("""COMPUTED_VALUE"""),10013.0)</f>
        <v>10013</v>
      </c>
      <c r="G93" s="2" t="str">
        <f>IFERROR(__xludf.DUMMYFUNCTION("""COMPUTED_VALUE"""),"Kopi cur")</f>
        <v>Kopi cur</v>
      </c>
      <c r="H93" s="2"/>
      <c r="I93" s="2"/>
      <c r="J93" s="2">
        <f>IFERROR(__xludf.DUMMYFUNCTION("""COMPUTED_VALUE"""),1.0)</f>
        <v>1</v>
      </c>
      <c r="K93" s="6">
        <f>IFERROR(__xludf.DUMMYFUNCTION("""COMPUTED_VALUE"""),23333.0)</f>
        <v>23333</v>
      </c>
      <c r="L93" s="2">
        <f>IFERROR(__xludf.DUMMYFUNCTION("""COMPUTED_VALUE"""),0.0)</f>
        <v>0</v>
      </c>
      <c r="M93" s="2">
        <f>IFERROR(__xludf.DUMMYFUNCTION("""COMPUTED_VALUE"""),23333.0)</f>
        <v>23333</v>
      </c>
      <c r="N93" s="2">
        <f>IFERROR(__xludf.DUMMYFUNCTION("""COMPUTED_VALUE"""),0.0)</f>
        <v>0</v>
      </c>
      <c r="O93" s="2">
        <f>IFERROR(__xludf.DUMMYFUNCTION("""COMPUTED_VALUE"""),23333.0)</f>
        <v>23333</v>
      </c>
      <c r="P93" s="2">
        <f>IFERROR(__xludf.DUMMYFUNCTION("""COMPUTED_VALUE"""),1167.0)</f>
        <v>1167</v>
      </c>
      <c r="Q93" s="2" t="str">
        <f>IFERROR(__xludf.DUMMYFUNCTION("""COMPUTED_VALUE"""),"Take Away")</f>
        <v>Take Away</v>
      </c>
      <c r="R93" s="2" t="str">
        <f>IFERROR(__xludf.DUMMYFUNCTION("""COMPUTED_VALUE"""),"Kedai")</f>
        <v>Kedai</v>
      </c>
      <c r="S93" s="2" t="str">
        <f>IFERROR(__xludf.DUMMYFUNCTION("""COMPUTED_VALUE"""),"Temu Roti")</f>
        <v>Temu Roti</v>
      </c>
      <c r="T93" s="2" t="str">
        <f>IFERROR(__xludf.DUMMYFUNCTION("""COMPUTED_VALUE"""),"Owner")</f>
        <v>Owner</v>
      </c>
      <c r="U93" s="2"/>
      <c r="V93" s="2"/>
      <c r="W93" s="2"/>
      <c r="X93" s="2" t="str">
        <f>IFERROR(__xludf.DUMMYFUNCTION("""COMPUTED_VALUE"""),"Closed")</f>
        <v>Closed</v>
      </c>
    </row>
    <row r="94">
      <c r="A94" s="3" t="s">
        <v>117</v>
      </c>
      <c r="B94" s="4">
        <f>IFERROR(__xludf.DUMMYFUNCTION("SPLIT(A94,"","",0,0)"),45564.49097222222)</f>
        <v>45564.49097</v>
      </c>
      <c r="C94" s="5">
        <f>IFERROR(__xludf.DUMMYFUNCTION("""COMPUTED_VALUE"""),2788294.0)</f>
        <v>2788294</v>
      </c>
      <c r="D94" s="2" t="str">
        <f>IFERROR(__xludf.DUMMYFUNCTION("""COMPUTED_VALUE"""),"Sale")</f>
        <v>Sale</v>
      </c>
      <c r="E94" s="2" t="str">
        <f>IFERROR(__xludf.DUMMYFUNCTION("""COMPUTED_VALUE"""),"Roti")</f>
        <v>Roti</v>
      </c>
      <c r="F94" s="2">
        <f>IFERROR(__xludf.DUMMYFUNCTION("""COMPUTED_VALUE"""),10007.0)</f>
        <v>10007</v>
      </c>
      <c r="G94" s="2" t="str">
        <f>IFERROR(__xludf.DUMMYFUNCTION("""COMPUTED_VALUE"""),"Roti cranberry 2 pcs")</f>
        <v>Roti cranberry 2 pcs</v>
      </c>
      <c r="H94" s="2"/>
      <c r="I94" s="2"/>
      <c r="J94" s="2">
        <f>IFERROR(__xludf.DUMMYFUNCTION("""COMPUTED_VALUE"""),1.0)</f>
        <v>1</v>
      </c>
      <c r="K94" s="6">
        <f>IFERROR(__xludf.DUMMYFUNCTION("""COMPUTED_VALUE"""),33810.0)</f>
        <v>33810</v>
      </c>
      <c r="L94" s="2">
        <f>IFERROR(__xludf.DUMMYFUNCTION("""COMPUTED_VALUE"""),0.0)</f>
        <v>0</v>
      </c>
      <c r="M94" s="2">
        <f>IFERROR(__xludf.DUMMYFUNCTION("""COMPUTED_VALUE"""),33810.0)</f>
        <v>33810</v>
      </c>
      <c r="N94" s="2">
        <f>IFERROR(__xludf.DUMMYFUNCTION("""COMPUTED_VALUE"""),0.0)</f>
        <v>0</v>
      </c>
      <c r="O94" s="2">
        <f>IFERROR(__xludf.DUMMYFUNCTION("""COMPUTED_VALUE"""),33810.0)</f>
        <v>33810</v>
      </c>
      <c r="P94" s="2">
        <f>IFERROR(__xludf.DUMMYFUNCTION("""COMPUTED_VALUE"""),1690.0)</f>
        <v>1690</v>
      </c>
      <c r="Q94" s="2" t="str">
        <f>IFERROR(__xludf.DUMMYFUNCTION("""COMPUTED_VALUE"""),"Take Away")</f>
        <v>Take Away</v>
      </c>
      <c r="R94" s="2" t="str">
        <f>IFERROR(__xludf.DUMMYFUNCTION("""COMPUTED_VALUE"""),"Kedai")</f>
        <v>Kedai</v>
      </c>
      <c r="S94" s="2" t="str">
        <f>IFERROR(__xludf.DUMMYFUNCTION("""COMPUTED_VALUE"""),"Temu Roti")</f>
        <v>Temu Roti</v>
      </c>
      <c r="T94" s="2" t="str">
        <f>IFERROR(__xludf.DUMMYFUNCTION("""COMPUTED_VALUE"""),"Owner")</f>
        <v>Owner</v>
      </c>
      <c r="U94" s="2"/>
      <c r="V94" s="2"/>
      <c r="W94" s="2"/>
      <c r="X94" s="2" t="str">
        <f>IFERROR(__xludf.DUMMYFUNCTION("""COMPUTED_VALUE"""),"Closed")</f>
        <v>Closed</v>
      </c>
    </row>
    <row r="95">
      <c r="A95" s="3" t="s">
        <v>118</v>
      </c>
      <c r="B95" s="4">
        <f>IFERROR(__xludf.DUMMYFUNCTION("SPLIT(A95,"","",0,0)"),45564.49097222222)</f>
        <v>45564.49097</v>
      </c>
      <c r="C95" s="5">
        <f>IFERROR(__xludf.DUMMYFUNCTION("""COMPUTED_VALUE"""),2788294.0)</f>
        <v>2788294</v>
      </c>
      <c r="D95" s="2" t="str">
        <f>IFERROR(__xludf.DUMMYFUNCTION("""COMPUTED_VALUE"""),"Sale")</f>
        <v>Sale</v>
      </c>
      <c r="E95" s="2" t="str">
        <f>IFERROR(__xludf.DUMMYFUNCTION("""COMPUTED_VALUE"""),"Roti")</f>
        <v>Roti</v>
      </c>
      <c r="F95" s="2">
        <f>IFERROR(__xludf.DUMMYFUNCTION("""COMPUTED_VALUE"""),10005.0)</f>
        <v>10005</v>
      </c>
      <c r="G95" s="2" t="str">
        <f>IFERROR(__xludf.DUMMYFUNCTION("""COMPUTED_VALUE"""),"Roti Gandum Cokelat")</f>
        <v>Roti Gandum Cokelat</v>
      </c>
      <c r="H95" s="2"/>
      <c r="I95" s="2"/>
      <c r="J95" s="2">
        <f>IFERROR(__xludf.DUMMYFUNCTION("""COMPUTED_VALUE"""),1.0)</f>
        <v>1</v>
      </c>
      <c r="K95" s="6">
        <f>IFERROR(__xludf.DUMMYFUNCTION("""COMPUTED_VALUE"""),19524.0)</f>
        <v>19524</v>
      </c>
      <c r="L95" s="2">
        <f>IFERROR(__xludf.DUMMYFUNCTION("""COMPUTED_VALUE"""),0.0)</f>
        <v>0</v>
      </c>
      <c r="M95" s="2">
        <f>IFERROR(__xludf.DUMMYFUNCTION("""COMPUTED_VALUE"""),19524.0)</f>
        <v>19524</v>
      </c>
      <c r="N95" s="2">
        <f>IFERROR(__xludf.DUMMYFUNCTION("""COMPUTED_VALUE"""),0.0)</f>
        <v>0</v>
      </c>
      <c r="O95" s="2">
        <f>IFERROR(__xludf.DUMMYFUNCTION("""COMPUTED_VALUE"""),19524.0)</f>
        <v>19524</v>
      </c>
      <c r="P95" s="2">
        <f>IFERROR(__xludf.DUMMYFUNCTION("""COMPUTED_VALUE"""),976.0)</f>
        <v>976</v>
      </c>
      <c r="Q95" s="2" t="str">
        <f>IFERROR(__xludf.DUMMYFUNCTION("""COMPUTED_VALUE"""),"Take Away")</f>
        <v>Take Away</v>
      </c>
      <c r="R95" s="2" t="str">
        <f>IFERROR(__xludf.DUMMYFUNCTION("""COMPUTED_VALUE"""),"Kedai")</f>
        <v>Kedai</v>
      </c>
      <c r="S95" s="2" t="str">
        <f>IFERROR(__xludf.DUMMYFUNCTION("""COMPUTED_VALUE"""),"Temu Roti")</f>
        <v>Temu Roti</v>
      </c>
      <c r="T95" s="2" t="str">
        <f>IFERROR(__xludf.DUMMYFUNCTION("""COMPUTED_VALUE"""),"Owner")</f>
        <v>Owner</v>
      </c>
      <c r="U95" s="2"/>
      <c r="V95" s="2"/>
      <c r="W95" s="2"/>
      <c r="X95" s="2" t="str">
        <f>IFERROR(__xludf.DUMMYFUNCTION("""COMPUTED_VALUE"""),"Closed")</f>
        <v>Closed</v>
      </c>
    </row>
    <row r="96">
      <c r="A96" s="3" t="s">
        <v>119</v>
      </c>
      <c r="B96" s="4">
        <f>IFERROR(__xludf.DUMMYFUNCTION("SPLIT(A96,"","",0,0)"),45564.49097222222)</f>
        <v>45564.49097</v>
      </c>
      <c r="C96" s="5">
        <f>IFERROR(__xludf.DUMMYFUNCTION("""COMPUTED_VALUE"""),2788294.0)</f>
        <v>2788294</v>
      </c>
      <c r="D96" s="2" t="str">
        <f>IFERROR(__xludf.DUMMYFUNCTION("""COMPUTED_VALUE"""),"Sale")</f>
        <v>Sale</v>
      </c>
      <c r="E96" s="2" t="str">
        <f>IFERROR(__xludf.DUMMYFUNCTION("""COMPUTED_VALUE"""),"Kudapan")</f>
        <v>Kudapan</v>
      </c>
      <c r="F96" s="2">
        <f>IFERROR(__xludf.DUMMYFUNCTION("""COMPUTED_VALUE"""),10004.0)</f>
        <v>10004</v>
      </c>
      <c r="G96" s="2" t="str">
        <f>IFERROR(__xludf.DUMMYFUNCTION("""COMPUTED_VALUE"""),"Tahu walik")</f>
        <v>Tahu walik</v>
      </c>
      <c r="H96" s="2"/>
      <c r="I96" s="2"/>
      <c r="J96" s="2">
        <f>IFERROR(__xludf.DUMMYFUNCTION("""COMPUTED_VALUE"""),1.0)</f>
        <v>1</v>
      </c>
      <c r="K96" s="6">
        <f>IFERROR(__xludf.DUMMYFUNCTION("""COMPUTED_VALUE"""),25238.0)</f>
        <v>25238</v>
      </c>
      <c r="L96" s="2">
        <f>IFERROR(__xludf.DUMMYFUNCTION("""COMPUTED_VALUE"""),0.0)</f>
        <v>0</v>
      </c>
      <c r="M96" s="2">
        <f>IFERROR(__xludf.DUMMYFUNCTION("""COMPUTED_VALUE"""),25238.0)</f>
        <v>25238</v>
      </c>
      <c r="N96" s="2">
        <f>IFERROR(__xludf.DUMMYFUNCTION("""COMPUTED_VALUE"""),0.0)</f>
        <v>0</v>
      </c>
      <c r="O96" s="2">
        <f>IFERROR(__xludf.DUMMYFUNCTION("""COMPUTED_VALUE"""),25238.0)</f>
        <v>25238</v>
      </c>
      <c r="P96" s="2">
        <f>IFERROR(__xludf.DUMMYFUNCTION("""COMPUTED_VALUE"""),1262.0)</f>
        <v>1262</v>
      </c>
      <c r="Q96" s="2" t="str">
        <f>IFERROR(__xludf.DUMMYFUNCTION("""COMPUTED_VALUE"""),"Take Away")</f>
        <v>Take Away</v>
      </c>
      <c r="R96" s="2" t="str">
        <f>IFERROR(__xludf.DUMMYFUNCTION("""COMPUTED_VALUE"""),"Kedai")</f>
        <v>Kedai</v>
      </c>
      <c r="S96" s="2" t="str">
        <f>IFERROR(__xludf.DUMMYFUNCTION("""COMPUTED_VALUE"""),"Temu Roti")</f>
        <v>Temu Roti</v>
      </c>
      <c r="T96" s="2" t="str">
        <f>IFERROR(__xludf.DUMMYFUNCTION("""COMPUTED_VALUE"""),"Owner")</f>
        <v>Owner</v>
      </c>
      <c r="U96" s="2"/>
      <c r="V96" s="2"/>
      <c r="W96" s="2"/>
      <c r="X96" s="2" t="str">
        <f>IFERROR(__xludf.DUMMYFUNCTION("""COMPUTED_VALUE"""),"Closed")</f>
        <v>Closed</v>
      </c>
    </row>
    <row r="97">
      <c r="A97" s="3" t="s">
        <v>120</v>
      </c>
      <c r="B97" s="4">
        <f>IFERROR(__xludf.DUMMYFUNCTION("SPLIT(A97,"","",0,0)"),45564.489583333336)</f>
        <v>45564.48958</v>
      </c>
      <c r="C97" s="5">
        <f>IFERROR(__xludf.DUMMYFUNCTION("""COMPUTED_VALUE"""),2787929.0)</f>
        <v>2787929</v>
      </c>
      <c r="D97" s="2" t="str">
        <f>IFERROR(__xludf.DUMMYFUNCTION("""COMPUTED_VALUE"""),"Sale")</f>
        <v>Sale</v>
      </c>
      <c r="E97" s="2" t="str">
        <f>IFERROR(__xludf.DUMMYFUNCTION("""COMPUTED_VALUE"""),"Roti")</f>
        <v>Roti</v>
      </c>
      <c r="F97" s="2">
        <f>IFERROR(__xludf.DUMMYFUNCTION("""COMPUTED_VALUE"""),10007.0)</f>
        <v>10007</v>
      </c>
      <c r="G97" s="2" t="str">
        <f>IFERROR(__xludf.DUMMYFUNCTION("""COMPUTED_VALUE"""),"Roti cranberry 2 pcs")</f>
        <v>Roti cranberry 2 pcs</v>
      </c>
      <c r="H97" s="2"/>
      <c r="I97" s="2"/>
      <c r="J97" s="2">
        <f>IFERROR(__xludf.DUMMYFUNCTION("""COMPUTED_VALUE"""),1.0)</f>
        <v>1</v>
      </c>
      <c r="K97" s="6">
        <f>IFERROR(__xludf.DUMMYFUNCTION("""COMPUTED_VALUE"""),33810.0)</f>
        <v>33810</v>
      </c>
      <c r="L97" s="2">
        <f>IFERROR(__xludf.DUMMYFUNCTION("""COMPUTED_VALUE"""),0.0)</f>
        <v>0</v>
      </c>
      <c r="M97" s="2">
        <f>IFERROR(__xludf.DUMMYFUNCTION("""COMPUTED_VALUE"""),33810.0)</f>
        <v>33810</v>
      </c>
      <c r="N97" s="2">
        <f>IFERROR(__xludf.DUMMYFUNCTION("""COMPUTED_VALUE"""),0.0)</f>
        <v>0</v>
      </c>
      <c r="O97" s="2">
        <f>IFERROR(__xludf.DUMMYFUNCTION("""COMPUTED_VALUE"""),33810.0)</f>
        <v>33810</v>
      </c>
      <c r="P97" s="2">
        <f>IFERROR(__xludf.DUMMYFUNCTION("""COMPUTED_VALUE"""),1691.0)</f>
        <v>1691</v>
      </c>
      <c r="Q97" s="2" t="str">
        <f>IFERROR(__xludf.DUMMYFUNCTION("""COMPUTED_VALUE"""),"Take Away")</f>
        <v>Take Away</v>
      </c>
      <c r="R97" s="2" t="str">
        <f>IFERROR(__xludf.DUMMYFUNCTION("""COMPUTED_VALUE"""),"Kedai")</f>
        <v>Kedai</v>
      </c>
      <c r="S97" s="2" t="str">
        <f>IFERROR(__xludf.DUMMYFUNCTION("""COMPUTED_VALUE"""),"Temu Roti")</f>
        <v>Temu Roti</v>
      </c>
      <c r="T97" s="2" t="str">
        <f>IFERROR(__xludf.DUMMYFUNCTION("""COMPUTED_VALUE"""),"Owner")</f>
        <v>Owner</v>
      </c>
      <c r="U97" s="2"/>
      <c r="V97" s="2"/>
      <c r="W97" s="2"/>
      <c r="X97" s="2" t="str">
        <f>IFERROR(__xludf.DUMMYFUNCTION("""COMPUTED_VALUE"""),"Closed")</f>
        <v>Closed</v>
      </c>
    </row>
    <row r="98">
      <c r="A98" s="3" t="s">
        <v>121</v>
      </c>
      <c r="B98" s="4">
        <f>IFERROR(__xludf.DUMMYFUNCTION("SPLIT(A98,"","",0,0)"),45564.489583333336)</f>
        <v>45564.48958</v>
      </c>
      <c r="C98" s="5">
        <f>IFERROR(__xludf.DUMMYFUNCTION("""COMPUTED_VALUE"""),2787929.0)</f>
        <v>2787929</v>
      </c>
      <c r="D98" s="2" t="str">
        <f>IFERROR(__xludf.DUMMYFUNCTION("""COMPUTED_VALUE"""),"Sale")</f>
        <v>Sale</v>
      </c>
      <c r="E98" s="2" t="str">
        <f>IFERROR(__xludf.DUMMYFUNCTION("""COMPUTED_VALUE"""),"Roti")</f>
        <v>Roti</v>
      </c>
      <c r="F98" s="2">
        <f>IFERROR(__xludf.DUMMYFUNCTION("""COMPUTED_VALUE"""),10005.0)</f>
        <v>10005</v>
      </c>
      <c r="G98" s="2" t="str">
        <f>IFERROR(__xludf.DUMMYFUNCTION("""COMPUTED_VALUE"""),"Roti Gandum Cokelat")</f>
        <v>Roti Gandum Cokelat</v>
      </c>
      <c r="H98" s="2"/>
      <c r="I98" s="2"/>
      <c r="J98" s="2">
        <f>IFERROR(__xludf.DUMMYFUNCTION("""COMPUTED_VALUE"""),1.0)</f>
        <v>1</v>
      </c>
      <c r="K98" s="6">
        <f>IFERROR(__xludf.DUMMYFUNCTION("""COMPUTED_VALUE"""),19524.0)</f>
        <v>19524</v>
      </c>
      <c r="L98" s="2">
        <f>IFERROR(__xludf.DUMMYFUNCTION("""COMPUTED_VALUE"""),0.0)</f>
        <v>0</v>
      </c>
      <c r="M98" s="2">
        <f>IFERROR(__xludf.DUMMYFUNCTION("""COMPUTED_VALUE"""),19524.0)</f>
        <v>19524</v>
      </c>
      <c r="N98" s="2">
        <f>IFERROR(__xludf.DUMMYFUNCTION("""COMPUTED_VALUE"""),0.0)</f>
        <v>0</v>
      </c>
      <c r="O98" s="2">
        <f>IFERROR(__xludf.DUMMYFUNCTION("""COMPUTED_VALUE"""),19524.0)</f>
        <v>19524</v>
      </c>
      <c r="P98" s="2">
        <f>IFERROR(__xludf.DUMMYFUNCTION("""COMPUTED_VALUE"""),976.0)</f>
        <v>976</v>
      </c>
      <c r="Q98" s="2" t="str">
        <f>IFERROR(__xludf.DUMMYFUNCTION("""COMPUTED_VALUE"""),"Take Away")</f>
        <v>Take Away</v>
      </c>
      <c r="R98" s="2" t="str">
        <f>IFERROR(__xludf.DUMMYFUNCTION("""COMPUTED_VALUE"""),"Kedai")</f>
        <v>Kedai</v>
      </c>
      <c r="S98" s="2" t="str">
        <f>IFERROR(__xludf.DUMMYFUNCTION("""COMPUTED_VALUE"""),"Temu Roti")</f>
        <v>Temu Roti</v>
      </c>
      <c r="T98" s="2" t="str">
        <f>IFERROR(__xludf.DUMMYFUNCTION("""COMPUTED_VALUE"""),"Owner")</f>
        <v>Owner</v>
      </c>
      <c r="U98" s="2"/>
      <c r="V98" s="2"/>
      <c r="W98" s="2"/>
      <c r="X98" s="2" t="str">
        <f>IFERROR(__xludf.DUMMYFUNCTION("""COMPUTED_VALUE"""),"Closed")</f>
        <v>Closed</v>
      </c>
    </row>
    <row r="99">
      <c r="A99" s="3" t="s">
        <v>122</v>
      </c>
      <c r="B99" s="4">
        <f>IFERROR(__xludf.DUMMYFUNCTION("SPLIT(A99,"","",0,0)"),45564.489583333336)</f>
        <v>45564.48958</v>
      </c>
      <c r="C99" s="5">
        <f>IFERROR(__xludf.DUMMYFUNCTION("""COMPUTED_VALUE"""),2787929.0)</f>
        <v>2787929</v>
      </c>
      <c r="D99" s="2" t="str">
        <f>IFERROR(__xludf.DUMMYFUNCTION("""COMPUTED_VALUE"""),"Sale")</f>
        <v>Sale</v>
      </c>
      <c r="E99" s="2" t="str">
        <f>IFERROR(__xludf.DUMMYFUNCTION("""COMPUTED_VALUE"""),"Minuman")</f>
        <v>Minuman</v>
      </c>
      <c r="F99" s="2">
        <f>IFERROR(__xludf.DUMMYFUNCTION("""COMPUTED_VALUE"""),10013.0)</f>
        <v>10013</v>
      </c>
      <c r="G99" s="2" t="str">
        <f>IFERROR(__xludf.DUMMYFUNCTION("""COMPUTED_VALUE"""),"Kopi cur")</f>
        <v>Kopi cur</v>
      </c>
      <c r="H99" s="2"/>
      <c r="I99" s="2"/>
      <c r="J99" s="2">
        <f>IFERROR(__xludf.DUMMYFUNCTION("""COMPUTED_VALUE"""),1.0)</f>
        <v>1</v>
      </c>
      <c r="K99" s="6">
        <f>IFERROR(__xludf.DUMMYFUNCTION("""COMPUTED_VALUE"""),23333.0)</f>
        <v>23333</v>
      </c>
      <c r="L99" s="2">
        <f>IFERROR(__xludf.DUMMYFUNCTION("""COMPUTED_VALUE"""),0.0)</f>
        <v>0</v>
      </c>
      <c r="M99" s="2">
        <f>IFERROR(__xludf.DUMMYFUNCTION("""COMPUTED_VALUE"""),23333.0)</f>
        <v>23333</v>
      </c>
      <c r="N99" s="2">
        <f>IFERROR(__xludf.DUMMYFUNCTION("""COMPUTED_VALUE"""),0.0)</f>
        <v>0</v>
      </c>
      <c r="O99" s="2">
        <f>IFERROR(__xludf.DUMMYFUNCTION("""COMPUTED_VALUE"""),23333.0)</f>
        <v>23333</v>
      </c>
      <c r="P99" s="2">
        <f>IFERROR(__xludf.DUMMYFUNCTION("""COMPUTED_VALUE"""),1166.0)</f>
        <v>1166</v>
      </c>
      <c r="Q99" s="2" t="str">
        <f>IFERROR(__xludf.DUMMYFUNCTION("""COMPUTED_VALUE"""),"Take Away")</f>
        <v>Take Away</v>
      </c>
      <c r="R99" s="2" t="str">
        <f>IFERROR(__xludf.DUMMYFUNCTION("""COMPUTED_VALUE"""),"Kedai")</f>
        <v>Kedai</v>
      </c>
      <c r="S99" s="2" t="str">
        <f>IFERROR(__xludf.DUMMYFUNCTION("""COMPUTED_VALUE"""),"Temu Roti")</f>
        <v>Temu Roti</v>
      </c>
      <c r="T99" s="2" t="str">
        <f>IFERROR(__xludf.DUMMYFUNCTION("""COMPUTED_VALUE"""),"Owner")</f>
        <v>Owner</v>
      </c>
      <c r="U99" s="2"/>
      <c r="V99" s="2"/>
      <c r="W99" s="2"/>
      <c r="X99" s="2" t="str">
        <f>IFERROR(__xludf.DUMMYFUNCTION("""COMPUTED_VALUE"""),"Closed")</f>
        <v>Closed</v>
      </c>
    </row>
    <row r="100">
      <c r="A100" s="3" t="s">
        <v>123</v>
      </c>
      <c r="B100" s="4">
        <f>IFERROR(__xludf.DUMMYFUNCTION("SPLIT(A100,"","",0,0)"),45564.45486111111)</f>
        <v>45564.45486</v>
      </c>
      <c r="C100" s="5">
        <f>IFERROR(__xludf.DUMMYFUNCTION("""COMPUTED_VALUE"""),2787563.0)</f>
        <v>2787563</v>
      </c>
      <c r="D100" s="2" t="str">
        <f>IFERROR(__xludf.DUMMYFUNCTION("""COMPUTED_VALUE"""),"Sale")</f>
        <v>Sale</v>
      </c>
      <c r="E100" s="2" t="str">
        <f>IFERROR(__xludf.DUMMYFUNCTION("""COMPUTED_VALUE"""),"Minuman")</f>
        <v>Minuman</v>
      </c>
      <c r="F100" s="2">
        <f>IFERROR(__xludf.DUMMYFUNCTION("""COMPUTED_VALUE"""),10026.0)</f>
        <v>10026</v>
      </c>
      <c r="G100" s="2" t="str">
        <f>IFERROR(__xludf.DUMMYFUNCTION("""COMPUTED_VALUE"""),"Es Kopi Lemon")</f>
        <v>Es Kopi Lemon</v>
      </c>
      <c r="H100" s="2"/>
      <c r="I100" s="2"/>
      <c r="J100" s="2">
        <f>IFERROR(__xludf.DUMMYFUNCTION("""COMPUTED_VALUE"""),1.0)</f>
        <v>1</v>
      </c>
      <c r="K100" s="6">
        <f>IFERROR(__xludf.DUMMYFUNCTION("""COMPUTED_VALUE"""),21905.0)</f>
        <v>21905</v>
      </c>
      <c r="L100" s="2">
        <f>IFERROR(__xludf.DUMMYFUNCTION("""COMPUTED_VALUE"""),0.0)</f>
        <v>0</v>
      </c>
      <c r="M100" s="2">
        <f>IFERROR(__xludf.DUMMYFUNCTION("""COMPUTED_VALUE"""),21905.0)</f>
        <v>21905</v>
      </c>
      <c r="N100" s="2">
        <f>IFERROR(__xludf.DUMMYFUNCTION("""COMPUTED_VALUE"""),0.0)</f>
        <v>0</v>
      </c>
      <c r="O100" s="2">
        <f>IFERROR(__xludf.DUMMYFUNCTION("""COMPUTED_VALUE"""),21905.0)</f>
        <v>21905</v>
      </c>
      <c r="P100" s="2">
        <f>IFERROR(__xludf.DUMMYFUNCTION("""COMPUTED_VALUE"""),1095.0)</f>
        <v>1095</v>
      </c>
      <c r="Q100" s="2" t="str">
        <f>IFERROR(__xludf.DUMMYFUNCTION("""COMPUTED_VALUE"""),"Dine In")</f>
        <v>Dine In</v>
      </c>
      <c r="R100" s="2" t="str">
        <f>IFERROR(__xludf.DUMMYFUNCTION("""COMPUTED_VALUE"""),"Kedai")</f>
        <v>Kedai</v>
      </c>
      <c r="S100" s="2" t="str">
        <f>IFERROR(__xludf.DUMMYFUNCTION("""COMPUTED_VALUE"""),"Temu Roti")</f>
        <v>Temu Roti</v>
      </c>
      <c r="T100" s="2" t="str">
        <f>IFERROR(__xludf.DUMMYFUNCTION("""COMPUTED_VALUE"""),"Owner")</f>
        <v>Owner</v>
      </c>
      <c r="U100" s="2"/>
      <c r="V100" s="2"/>
      <c r="W100" s="2"/>
      <c r="X100" s="2" t="str">
        <f>IFERROR(__xludf.DUMMYFUNCTION("""COMPUTED_VALUE"""),"Closed")</f>
        <v>Closed</v>
      </c>
    </row>
    <row r="101">
      <c r="A101" s="3" t="s">
        <v>124</v>
      </c>
      <c r="B101" s="4">
        <f>IFERROR(__xludf.DUMMYFUNCTION("SPLIT(A101,"","",0,0)"),45564.45486111111)</f>
        <v>45564.45486</v>
      </c>
      <c r="C101" s="5">
        <f>IFERROR(__xludf.DUMMYFUNCTION("""COMPUTED_VALUE"""),2787563.0)</f>
        <v>2787563</v>
      </c>
      <c r="D101" s="2" t="str">
        <f>IFERROR(__xludf.DUMMYFUNCTION("""COMPUTED_VALUE"""),"Sale")</f>
        <v>Sale</v>
      </c>
      <c r="E101" s="2" t="str">
        <f>IFERROR(__xludf.DUMMYFUNCTION("""COMPUTED_VALUE"""),"Minuman")</f>
        <v>Minuman</v>
      </c>
      <c r="F101" s="2">
        <f>IFERROR(__xludf.DUMMYFUNCTION("""COMPUTED_VALUE"""),10107.0)</f>
        <v>10107</v>
      </c>
      <c r="G101" s="2" t="str">
        <f>IFERROR(__xludf.DUMMYFUNCTION("""COMPUTED_VALUE"""),"Korean Mango Fresh Milk")</f>
        <v>Korean Mango Fresh Milk</v>
      </c>
      <c r="H101" s="2"/>
      <c r="I101" s="2"/>
      <c r="J101" s="2">
        <f>IFERROR(__xludf.DUMMYFUNCTION("""COMPUTED_VALUE"""),1.0)</f>
        <v>1</v>
      </c>
      <c r="K101" s="6">
        <f>IFERROR(__xludf.DUMMYFUNCTION("""COMPUTED_VALUE"""),26667.0)</f>
        <v>26667</v>
      </c>
      <c r="L101" s="2">
        <f>IFERROR(__xludf.DUMMYFUNCTION("""COMPUTED_VALUE"""),0.0)</f>
        <v>0</v>
      </c>
      <c r="M101" s="2">
        <f>IFERROR(__xludf.DUMMYFUNCTION("""COMPUTED_VALUE"""),26667.0)</f>
        <v>26667</v>
      </c>
      <c r="N101" s="2">
        <f>IFERROR(__xludf.DUMMYFUNCTION("""COMPUTED_VALUE"""),0.0)</f>
        <v>0</v>
      </c>
      <c r="O101" s="2">
        <f>IFERROR(__xludf.DUMMYFUNCTION("""COMPUTED_VALUE"""),26667.0)</f>
        <v>26667</v>
      </c>
      <c r="P101" s="2">
        <f>IFERROR(__xludf.DUMMYFUNCTION("""COMPUTED_VALUE"""),1334.0)</f>
        <v>1334</v>
      </c>
      <c r="Q101" s="2" t="str">
        <f>IFERROR(__xludf.DUMMYFUNCTION("""COMPUTED_VALUE"""),"Dine In")</f>
        <v>Dine In</v>
      </c>
      <c r="R101" s="2" t="str">
        <f>IFERROR(__xludf.DUMMYFUNCTION("""COMPUTED_VALUE"""),"Kedai")</f>
        <v>Kedai</v>
      </c>
      <c r="S101" s="2" t="str">
        <f>IFERROR(__xludf.DUMMYFUNCTION("""COMPUTED_VALUE"""),"Temu Roti")</f>
        <v>Temu Roti</v>
      </c>
      <c r="T101" s="2" t="str">
        <f>IFERROR(__xludf.DUMMYFUNCTION("""COMPUTED_VALUE"""),"Owner")</f>
        <v>Owner</v>
      </c>
      <c r="U101" s="2"/>
      <c r="V101" s="2"/>
      <c r="W101" s="2"/>
      <c r="X101" s="2" t="str">
        <f>IFERROR(__xludf.DUMMYFUNCTION("""COMPUTED_VALUE"""),"Closed")</f>
        <v>Closed</v>
      </c>
    </row>
    <row r="102">
      <c r="A102" s="3" t="s">
        <v>125</v>
      </c>
      <c r="B102" s="4">
        <f>IFERROR(__xludf.DUMMYFUNCTION("SPLIT(A102,"","",0,0)"),45564.45486111111)</f>
        <v>45564.45486</v>
      </c>
      <c r="C102" s="5">
        <f>IFERROR(__xludf.DUMMYFUNCTION("""COMPUTED_VALUE"""),2787563.0)</f>
        <v>2787563</v>
      </c>
      <c r="D102" s="2" t="str">
        <f>IFERROR(__xludf.DUMMYFUNCTION("""COMPUTED_VALUE"""),"Sale")</f>
        <v>Sale</v>
      </c>
      <c r="E102" s="2" t="str">
        <f>IFERROR(__xludf.DUMMYFUNCTION("""COMPUTED_VALUE"""),"Kudapan")</f>
        <v>Kudapan</v>
      </c>
      <c r="F102" s="2">
        <f>IFERROR(__xludf.DUMMYFUNCTION("""COMPUTED_VALUE"""),10051.0)</f>
        <v>10051</v>
      </c>
      <c r="G102" s="2" t="str">
        <f>IFERROR(__xludf.DUMMYFUNCTION("""COMPUTED_VALUE"""),"Tahu baso")</f>
        <v>Tahu baso</v>
      </c>
      <c r="H102" s="2"/>
      <c r="I102" s="2"/>
      <c r="J102" s="2">
        <f>IFERROR(__xludf.DUMMYFUNCTION("""COMPUTED_VALUE"""),1.0)</f>
        <v>1</v>
      </c>
      <c r="K102" s="6">
        <f>IFERROR(__xludf.DUMMYFUNCTION("""COMPUTED_VALUE"""),25238.0)</f>
        <v>25238</v>
      </c>
      <c r="L102" s="2">
        <f>IFERROR(__xludf.DUMMYFUNCTION("""COMPUTED_VALUE"""),0.0)</f>
        <v>0</v>
      </c>
      <c r="M102" s="2">
        <f>IFERROR(__xludf.DUMMYFUNCTION("""COMPUTED_VALUE"""),25238.0)</f>
        <v>25238</v>
      </c>
      <c r="N102" s="2">
        <f>IFERROR(__xludf.DUMMYFUNCTION("""COMPUTED_VALUE"""),0.0)</f>
        <v>0</v>
      </c>
      <c r="O102" s="2">
        <f>IFERROR(__xludf.DUMMYFUNCTION("""COMPUTED_VALUE"""),25238.0)</f>
        <v>25238</v>
      </c>
      <c r="P102" s="2">
        <f>IFERROR(__xludf.DUMMYFUNCTION("""COMPUTED_VALUE"""),1262.0)</f>
        <v>1262</v>
      </c>
      <c r="Q102" s="2" t="str">
        <f>IFERROR(__xludf.DUMMYFUNCTION("""COMPUTED_VALUE"""),"Dine In")</f>
        <v>Dine In</v>
      </c>
      <c r="R102" s="2" t="str">
        <f>IFERROR(__xludf.DUMMYFUNCTION("""COMPUTED_VALUE"""),"Kedai")</f>
        <v>Kedai</v>
      </c>
      <c r="S102" s="2" t="str">
        <f>IFERROR(__xludf.DUMMYFUNCTION("""COMPUTED_VALUE"""),"Temu Roti")</f>
        <v>Temu Roti</v>
      </c>
      <c r="T102" s="2" t="str">
        <f>IFERROR(__xludf.DUMMYFUNCTION("""COMPUTED_VALUE"""),"Owner")</f>
        <v>Owner</v>
      </c>
      <c r="U102" s="2"/>
      <c r="V102" s="2"/>
      <c r="W102" s="2"/>
      <c r="X102" s="2" t="str">
        <f>IFERROR(__xludf.DUMMYFUNCTION("""COMPUTED_VALUE"""),"Closed")</f>
        <v>Closed</v>
      </c>
    </row>
    <row r="103">
      <c r="A103" s="3" t="s">
        <v>126</v>
      </c>
      <c r="B103" s="4">
        <f>IFERROR(__xludf.DUMMYFUNCTION("SPLIT(A103,"","",0,0)"),45564.45486111111)</f>
        <v>45564.45486</v>
      </c>
      <c r="C103" s="5">
        <f>IFERROR(__xludf.DUMMYFUNCTION("""COMPUTED_VALUE"""),2787563.0)</f>
        <v>2787563</v>
      </c>
      <c r="D103" s="2" t="str">
        <f>IFERROR(__xludf.DUMMYFUNCTION("""COMPUTED_VALUE"""),"Sale")</f>
        <v>Sale</v>
      </c>
      <c r="E103" s="2" t="str">
        <f>IFERROR(__xludf.DUMMYFUNCTION("""COMPUTED_VALUE"""),"Kudapan")</f>
        <v>Kudapan</v>
      </c>
      <c r="F103" s="2">
        <f>IFERROR(__xludf.DUMMYFUNCTION("""COMPUTED_VALUE"""),10010.0)</f>
        <v>10010</v>
      </c>
      <c r="G103" s="2" t="str">
        <f>IFERROR(__xludf.DUMMYFUNCTION("""COMPUTED_VALUE"""),"Pisang Goreng")</f>
        <v>Pisang Goreng</v>
      </c>
      <c r="H103" s="2"/>
      <c r="I103" s="2"/>
      <c r="J103" s="2">
        <f>IFERROR(__xludf.DUMMYFUNCTION("""COMPUTED_VALUE"""),1.0)</f>
        <v>1</v>
      </c>
      <c r="K103" s="6">
        <f>IFERROR(__xludf.DUMMYFUNCTION("""COMPUTED_VALUE"""),25238.0)</f>
        <v>25238</v>
      </c>
      <c r="L103" s="2">
        <f>IFERROR(__xludf.DUMMYFUNCTION("""COMPUTED_VALUE"""),0.0)</f>
        <v>0</v>
      </c>
      <c r="M103" s="2">
        <f>IFERROR(__xludf.DUMMYFUNCTION("""COMPUTED_VALUE"""),25238.0)</f>
        <v>25238</v>
      </c>
      <c r="N103" s="2">
        <f>IFERROR(__xludf.DUMMYFUNCTION("""COMPUTED_VALUE"""),0.0)</f>
        <v>0</v>
      </c>
      <c r="O103" s="2">
        <f>IFERROR(__xludf.DUMMYFUNCTION("""COMPUTED_VALUE"""),25238.0)</f>
        <v>25238</v>
      </c>
      <c r="P103" s="2">
        <f>IFERROR(__xludf.DUMMYFUNCTION("""COMPUTED_VALUE"""),1261.0)</f>
        <v>1261</v>
      </c>
      <c r="Q103" s="2" t="str">
        <f>IFERROR(__xludf.DUMMYFUNCTION("""COMPUTED_VALUE"""),"Dine In")</f>
        <v>Dine In</v>
      </c>
      <c r="R103" s="2" t="str">
        <f>IFERROR(__xludf.DUMMYFUNCTION("""COMPUTED_VALUE"""),"Kedai")</f>
        <v>Kedai</v>
      </c>
      <c r="S103" s="2" t="str">
        <f>IFERROR(__xludf.DUMMYFUNCTION("""COMPUTED_VALUE"""),"Temu Roti")</f>
        <v>Temu Roti</v>
      </c>
      <c r="T103" s="2" t="str">
        <f>IFERROR(__xludf.DUMMYFUNCTION("""COMPUTED_VALUE"""),"Owner")</f>
        <v>Owner</v>
      </c>
      <c r="U103" s="2"/>
      <c r="V103" s="2"/>
      <c r="W103" s="2"/>
      <c r="X103" s="2" t="str">
        <f>IFERROR(__xludf.DUMMYFUNCTION("""COMPUTED_VALUE"""),"Closed")</f>
        <v>Closed</v>
      </c>
    </row>
    <row r="104">
      <c r="A104" s="3" t="s">
        <v>127</v>
      </c>
      <c r="B104" s="4">
        <f>IFERROR(__xludf.DUMMYFUNCTION("SPLIT(A104,"","",0,0)"),45564.45486111111)</f>
        <v>45564.45486</v>
      </c>
      <c r="C104" s="5">
        <f>IFERROR(__xludf.DUMMYFUNCTION("""COMPUTED_VALUE"""),2787563.0)</f>
        <v>2787563</v>
      </c>
      <c r="D104" s="2" t="str">
        <f>IFERROR(__xludf.DUMMYFUNCTION("""COMPUTED_VALUE"""),"Sale")</f>
        <v>Sale</v>
      </c>
      <c r="E104" s="2" t="str">
        <f>IFERROR(__xludf.DUMMYFUNCTION("""COMPUTED_VALUE"""),"Minuman")</f>
        <v>Minuman</v>
      </c>
      <c r="F104" s="2">
        <f>IFERROR(__xludf.DUMMYFUNCTION("""COMPUTED_VALUE"""),10057.0)</f>
        <v>10057</v>
      </c>
      <c r="G104" s="2" t="str">
        <f>IFERROR(__xludf.DUMMYFUNCTION("""COMPUTED_VALUE"""),"Susu murni strawberry")</f>
        <v>Susu murni strawberry</v>
      </c>
      <c r="H104" s="2"/>
      <c r="I104" s="2"/>
      <c r="J104" s="2">
        <f>IFERROR(__xludf.DUMMYFUNCTION("""COMPUTED_VALUE"""),1.0)</f>
        <v>1</v>
      </c>
      <c r="K104" s="6">
        <f>IFERROR(__xludf.DUMMYFUNCTION("""COMPUTED_VALUE"""),19524.0)</f>
        <v>19524</v>
      </c>
      <c r="L104" s="2">
        <f>IFERROR(__xludf.DUMMYFUNCTION("""COMPUTED_VALUE"""),0.0)</f>
        <v>0</v>
      </c>
      <c r="M104" s="2">
        <f>IFERROR(__xludf.DUMMYFUNCTION("""COMPUTED_VALUE"""),19524.0)</f>
        <v>19524</v>
      </c>
      <c r="N104" s="2">
        <f>IFERROR(__xludf.DUMMYFUNCTION("""COMPUTED_VALUE"""),0.0)</f>
        <v>0</v>
      </c>
      <c r="O104" s="2">
        <f>IFERROR(__xludf.DUMMYFUNCTION("""COMPUTED_VALUE"""),19524.0)</f>
        <v>19524</v>
      </c>
      <c r="P104" s="2">
        <f>IFERROR(__xludf.DUMMYFUNCTION("""COMPUTED_VALUE"""),977.0)</f>
        <v>977</v>
      </c>
      <c r="Q104" s="2" t="str">
        <f>IFERROR(__xludf.DUMMYFUNCTION("""COMPUTED_VALUE"""),"Dine In")</f>
        <v>Dine In</v>
      </c>
      <c r="R104" s="2" t="str">
        <f>IFERROR(__xludf.DUMMYFUNCTION("""COMPUTED_VALUE"""),"Kedai")</f>
        <v>Kedai</v>
      </c>
      <c r="S104" s="2" t="str">
        <f>IFERROR(__xludf.DUMMYFUNCTION("""COMPUTED_VALUE"""),"Temu Roti")</f>
        <v>Temu Roti</v>
      </c>
      <c r="T104" s="2" t="str">
        <f>IFERROR(__xludf.DUMMYFUNCTION("""COMPUTED_VALUE"""),"Owner")</f>
        <v>Owner</v>
      </c>
      <c r="U104" s="2"/>
      <c r="V104" s="2"/>
      <c r="W104" s="2"/>
      <c r="X104" s="2" t="str">
        <f>IFERROR(__xludf.DUMMYFUNCTION("""COMPUTED_VALUE"""),"Closed")</f>
        <v>Closed</v>
      </c>
    </row>
    <row r="105">
      <c r="A105" s="3" t="s">
        <v>128</v>
      </c>
      <c r="B105" s="4">
        <f>IFERROR(__xludf.DUMMYFUNCTION("SPLIT(A105,"","",0,0)"),45564.45486111111)</f>
        <v>45564.45486</v>
      </c>
      <c r="C105" s="5">
        <f>IFERROR(__xludf.DUMMYFUNCTION("""COMPUTED_VALUE"""),2787563.0)</f>
        <v>2787563</v>
      </c>
      <c r="D105" s="2" t="str">
        <f>IFERROR(__xludf.DUMMYFUNCTION("""COMPUTED_VALUE"""),"Sale")</f>
        <v>Sale</v>
      </c>
      <c r="E105" s="2" t="str">
        <f>IFERROR(__xludf.DUMMYFUNCTION("""COMPUTED_VALUE"""),"Minuman")</f>
        <v>Minuman</v>
      </c>
      <c r="F105" s="2">
        <f>IFERROR(__xludf.DUMMYFUNCTION("""COMPUTED_VALUE"""),10125.0)</f>
        <v>10125</v>
      </c>
      <c r="G105" s="2" t="str">
        <f>IFERROR(__xludf.DUMMYFUNCTION("""COMPUTED_VALUE"""),"Gula Asam Dingin")</f>
        <v>Gula Asam Dingin</v>
      </c>
      <c r="H105" s="2"/>
      <c r="I105" s="2"/>
      <c r="J105" s="2">
        <f>IFERROR(__xludf.DUMMYFUNCTION("""COMPUTED_VALUE"""),1.0)</f>
        <v>1</v>
      </c>
      <c r="K105" s="6">
        <f>IFERROR(__xludf.DUMMYFUNCTION("""COMPUTED_VALUE"""),20476.0)</f>
        <v>20476</v>
      </c>
      <c r="L105" s="2">
        <f>IFERROR(__xludf.DUMMYFUNCTION("""COMPUTED_VALUE"""),0.0)</f>
        <v>0</v>
      </c>
      <c r="M105" s="2">
        <f>IFERROR(__xludf.DUMMYFUNCTION("""COMPUTED_VALUE"""),20476.0)</f>
        <v>20476</v>
      </c>
      <c r="N105" s="2">
        <f>IFERROR(__xludf.DUMMYFUNCTION("""COMPUTED_VALUE"""),0.0)</f>
        <v>0</v>
      </c>
      <c r="O105" s="2">
        <f>IFERROR(__xludf.DUMMYFUNCTION("""COMPUTED_VALUE"""),20476.0)</f>
        <v>20476</v>
      </c>
      <c r="P105" s="2">
        <f>IFERROR(__xludf.DUMMYFUNCTION("""COMPUTED_VALUE"""),1023.0)</f>
        <v>1023</v>
      </c>
      <c r="Q105" s="2" t="str">
        <f>IFERROR(__xludf.DUMMYFUNCTION("""COMPUTED_VALUE"""),"Dine In")</f>
        <v>Dine In</v>
      </c>
      <c r="R105" s="2" t="str">
        <f>IFERROR(__xludf.DUMMYFUNCTION("""COMPUTED_VALUE"""),"Kedai")</f>
        <v>Kedai</v>
      </c>
      <c r="S105" s="2" t="str">
        <f>IFERROR(__xludf.DUMMYFUNCTION("""COMPUTED_VALUE"""),"Temu Roti")</f>
        <v>Temu Roti</v>
      </c>
      <c r="T105" s="2" t="str">
        <f>IFERROR(__xludf.DUMMYFUNCTION("""COMPUTED_VALUE"""),"Owner")</f>
        <v>Owner</v>
      </c>
      <c r="U105" s="2"/>
      <c r="V105" s="2"/>
      <c r="W105" s="2"/>
      <c r="X105" s="2" t="str">
        <f>IFERROR(__xludf.DUMMYFUNCTION("""COMPUTED_VALUE"""),"Closed")</f>
        <v>Closed</v>
      </c>
    </row>
    <row r="106">
      <c r="A106" s="3" t="s">
        <v>129</v>
      </c>
      <c r="B106" s="4">
        <f>IFERROR(__xludf.DUMMYFUNCTION("SPLIT(A106,"","",0,0)"),45564.45486111111)</f>
        <v>45564.45486</v>
      </c>
      <c r="C106" s="5">
        <f>IFERROR(__xludf.DUMMYFUNCTION("""COMPUTED_VALUE"""),2787563.0)</f>
        <v>2787563</v>
      </c>
      <c r="D106" s="2" t="str">
        <f>IFERROR(__xludf.DUMMYFUNCTION("""COMPUTED_VALUE"""),"Sale")</f>
        <v>Sale</v>
      </c>
      <c r="E106" s="2" t="str">
        <f>IFERROR(__xludf.DUMMYFUNCTION("""COMPUTED_VALUE"""),"Roti")</f>
        <v>Roti</v>
      </c>
      <c r="F106" s="2">
        <f>IFERROR(__xludf.DUMMYFUNCTION("""COMPUTED_VALUE"""),10007.0)</f>
        <v>10007</v>
      </c>
      <c r="G106" s="2" t="str">
        <f>IFERROR(__xludf.DUMMYFUNCTION("""COMPUTED_VALUE"""),"Roti cranberry 2 pcs")</f>
        <v>Roti cranberry 2 pcs</v>
      </c>
      <c r="H106" s="2"/>
      <c r="I106" s="2"/>
      <c r="J106" s="2">
        <f>IFERROR(__xludf.DUMMYFUNCTION("""COMPUTED_VALUE"""),1.0)</f>
        <v>1</v>
      </c>
      <c r="K106" s="6">
        <f>IFERROR(__xludf.DUMMYFUNCTION("""COMPUTED_VALUE"""),33810.0)</f>
        <v>33810</v>
      </c>
      <c r="L106" s="2">
        <f>IFERROR(__xludf.DUMMYFUNCTION("""COMPUTED_VALUE"""),0.0)</f>
        <v>0</v>
      </c>
      <c r="M106" s="2">
        <f>IFERROR(__xludf.DUMMYFUNCTION("""COMPUTED_VALUE"""),33810.0)</f>
        <v>33810</v>
      </c>
      <c r="N106" s="2">
        <f>IFERROR(__xludf.DUMMYFUNCTION("""COMPUTED_VALUE"""),0.0)</f>
        <v>0</v>
      </c>
      <c r="O106" s="2">
        <f>IFERROR(__xludf.DUMMYFUNCTION("""COMPUTED_VALUE"""),33810.0)</f>
        <v>33810</v>
      </c>
      <c r="P106" s="2">
        <f>IFERROR(__xludf.DUMMYFUNCTION("""COMPUTED_VALUE"""),1691.0)</f>
        <v>1691</v>
      </c>
      <c r="Q106" s="2" t="str">
        <f>IFERROR(__xludf.DUMMYFUNCTION("""COMPUTED_VALUE"""),"Dine In")</f>
        <v>Dine In</v>
      </c>
      <c r="R106" s="2" t="str">
        <f>IFERROR(__xludf.DUMMYFUNCTION("""COMPUTED_VALUE"""),"Kedai")</f>
        <v>Kedai</v>
      </c>
      <c r="S106" s="2" t="str">
        <f>IFERROR(__xludf.DUMMYFUNCTION("""COMPUTED_VALUE"""),"Temu Roti")</f>
        <v>Temu Roti</v>
      </c>
      <c r="T106" s="2" t="str">
        <f>IFERROR(__xludf.DUMMYFUNCTION("""COMPUTED_VALUE"""),"Owner")</f>
        <v>Owner</v>
      </c>
      <c r="U106" s="2"/>
      <c r="V106" s="2"/>
      <c r="W106" s="2"/>
      <c r="X106" s="2" t="str">
        <f>IFERROR(__xludf.DUMMYFUNCTION("""COMPUTED_VALUE"""),"Closed")</f>
        <v>Closed</v>
      </c>
    </row>
    <row r="107">
      <c r="A107" s="3" t="s">
        <v>130</v>
      </c>
      <c r="B107" s="4">
        <f>IFERROR(__xludf.DUMMYFUNCTION("SPLIT(A107,"","",0,0)"),45564.41180555556)</f>
        <v>45564.41181</v>
      </c>
      <c r="C107" s="5">
        <f>IFERROR(__xludf.DUMMYFUNCTION("""COMPUTED_VALUE"""),2787198.0)</f>
        <v>2787198</v>
      </c>
      <c r="D107" s="2" t="str">
        <f>IFERROR(__xludf.DUMMYFUNCTION("""COMPUTED_VALUE"""),"Sale")</f>
        <v>Sale</v>
      </c>
      <c r="E107" s="2" t="str">
        <f>IFERROR(__xludf.DUMMYFUNCTION("""COMPUTED_VALUE"""),"Minuman")</f>
        <v>Minuman</v>
      </c>
      <c r="F107" s="2">
        <f>IFERROR(__xludf.DUMMYFUNCTION("""COMPUTED_VALUE"""),10026.0)</f>
        <v>10026</v>
      </c>
      <c r="G107" s="2" t="str">
        <f>IFERROR(__xludf.DUMMYFUNCTION("""COMPUTED_VALUE"""),"Es Kopi Lemon")</f>
        <v>Es Kopi Lemon</v>
      </c>
      <c r="H107" s="2"/>
      <c r="I107" s="2"/>
      <c r="J107" s="2">
        <f>IFERROR(__xludf.DUMMYFUNCTION("""COMPUTED_VALUE"""),1.0)</f>
        <v>1</v>
      </c>
      <c r="K107" s="6">
        <f>IFERROR(__xludf.DUMMYFUNCTION("""COMPUTED_VALUE"""),21905.0)</f>
        <v>21905</v>
      </c>
      <c r="L107" s="2">
        <f>IFERROR(__xludf.DUMMYFUNCTION("""COMPUTED_VALUE"""),0.0)</f>
        <v>0</v>
      </c>
      <c r="M107" s="2">
        <f>IFERROR(__xludf.DUMMYFUNCTION("""COMPUTED_VALUE"""),21905.0)</f>
        <v>21905</v>
      </c>
      <c r="N107" s="2">
        <f>IFERROR(__xludf.DUMMYFUNCTION("""COMPUTED_VALUE"""),0.0)</f>
        <v>0</v>
      </c>
      <c r="O107" s="2">
        <f>IFERROR(__xludf.DUMMYFUNCTION("""COMPUTED_VALUE"""),21905.0)</f>
        <v>21905</v>
      </c>
      <c r="P107" s="2">
        <f>IFERROR(__xludf.DUMMYFUNCTION("""COMPUTED_VALUE"""),1095.0)</f>
        <v>1095</v>
      </c>
      <c r="Q107" s="2" t="str">
        <f>IFERROR(__xludf.DUMMYFUNCTION("""COMPUTED_VALUE"""),"Dine In")</f>
        <v>Dine In</v>
      </c>
      <c r="R107" s="2" t="str">
        <f>IFERROR(__xludf.DUMMYFUNCTION("""COMPUTED_VALUE"""),"Kedai")</f>
        <v>Kedai</v>
      </c>
      <c r="S107" s="2" t="str">
        <f>IFERROR(__xludf.DUMMYFUNCTION("""COMPUTED_VALUE"""),"Temu Roti")</f>
        <v>Temu Roti</v>
      </c>
      <c r="T107" s="2" t="str">
        <f>IFERROR(__xludf.DUMMYFUNCTION("""COMPUTED_VALUE"""),"Owner")</f>
        <v>Owner</v>
      </c>
      <c r="U107" s="2"/>
      <c r="V107" s="2"/>
      <c r="W107" s="2"/>
      <c r="X107" s="2" t="str">
        <f>IFERROR(__xludf.DUMMYFUNCTION("""COMPUTED_VALUE"""),"Closed")</f>
        <v>Closed</v>
      </c>
    </row>
    <row r="108">
      <c r="A108" s="3" t="s">
        <v>131</v>
      </c>
      <c r="B108" s="4">
        <f>IFERROR(__xludf.DUMMYFUNCTION("SPLIT(A108,"","",0,0)"),45564.41180555556)</f>
        <v>45564.41181</v>
      </c>
      <c r="C108" s="5">
        <f>IFERROR(__xludf.DUMMYFUNCTION("""COMPUTED_VALUE"""),2787198.0)</f>
        <v>2787198</v>
      </c>
      <c r="D108" s="2" t="str">
        <f>IFERROR(__xludf.DUMMYFUNCTION("""COMPUTED_VALUE"""),"Sale")</f>
        <v>Sale</v>
      </c>
      <c r="E108" s="2" t="str">
        <f>IFERROR(__xludf.DUMMYFUNCTION("""COMPUTED_VALUE"""),"Minuman")</f>
        <v>Minuman</v>
      </c>
      <c r="F108" s="2">
        <f>IFERROR(__xludf.DUMMYFUNCTION("""COMPUTED_VALUE"""),10125.0)</f>
        <v>10125</v>
      </c>
      <c r="G108" s="2" t="str">
        <f>IFERROR(__xludf.DUMMYFUNCTION("""COMPUTED_VALUE"""),"Gula Asam Dingin")</f>
        <v>Gula Asam Dingin</v>
      </c>
      <c r="H108" s="2"/>
      <c r="I108" s="2"/>
      <c r="J108" s="2">
        <f>IFERROR(__xludf.DUMMYFUNCTION("""COMPUTED_VALUE"""),1.0)</f>
        <v>1</v>
      </c>
      <c r="K108" s="6">
        <f>IFERROR(__xludf.DUMMYFUNCTION("""COMPUTED_VALUE"""),20476.0)</f>
        <v>20476</v>
      </c>
      <c r="L108" s="2">
        <f>IFERROR(__xludf.DUMMYFUNCTION("""COMPUTED_VALUE"""),0.0)</f>
        <v>0</v>
      </c>
      <c r="M108" s="2">
        <f>IFERROR(__xludf.DUMMYFUNCTION("""COMPUTED_VALUE"""),20476.0)</f>
        <v>20476</v>
      </c>
      <c r="N108" s="2">
        <f>IFERROR(__xludf.DUMMYFUNCTION("""COMPUTED_VALUE"""),0.0)</f>
        <v>0</v>
      </c>
      <c r="O108" s="2">
        <f>IFERROR(__xludf.DUMMYFUNCTION("""COMPUTED_VALUE"""),20476.0)</f>
        <v>20476</v>
      </c>
      <c r="P108" s="2">
        <f>IFERROR(__xludf.DUMMYFUNCTION("""COMPUTED_VALUE"""),1024.0)</f>
        <v>1024</v>
      </c>
      <c r="Q108" s="2" t="str">
        <f>IFERROR(__xludf.DUMMYFUNCTION("""COMPUTED_VALUE"""),"Dine In")</f>
        <v>Dine In</v>
      </c>
      <c r="R108" s="2" t="str">
        <f>IFERROR(__xludf.DUMMYFUNCTION("""COMPUTED_VALUE"""),"Kedai")</f>
        <v>Kedai</v>
      </c>
      <c r="S108" s="2" t="str">
        <f>IFERROR(__xludf.DUMMYFUNCTION("""COMPUTED_VALUE"""),"Temu Roti")</f>
        <v>Temu Roti</v>
      </c>
      <c r="T108" s="2" t="str">
        <f>IFERROR(__xludf.DUMMYFUNCTION("""COMPUTED_VALUE"""),"Owner")</f>
        <v>Owner</v>
      </c>
      <c r="U108" s="2"/>
      <c r="V108" s="2"/>
      <c r="W108" s="2"/>
      <c r="X108" s="2" t="str">
        <f>IFERROR(__xludf.DUMMYFUNCTION("""COMPUTED_VALUE"""),"Closed")</f>
        <v>Closed</v>
      </c>
    </row>
    <row r="109">
      <c r="A109" s="3" t="s">
        <v>132</v>
      </c>
      <c r="B109" s="4">
        <f>IFERROR(__xludf.DUMMYFUNCTION("SPLIT(A109,"","",0,0)"),45564.41180555556)</f>
        <v>45564.41181</v>
      </c>
      <c r="C109" s="5">
        <f>IFERROR(__xludf.DUMMYFUNCTION("""COMPUTED_VALUE"""),2787198.0)</f>
        <v>2787198</v>
      </c>
      <c r="D109" s="2" t="str">
        <f>IFERROR(__xludf.DUMMYFUNCTION("""COMPUTED_VALUE"""),"Sale")</f>
        <v>Sale</v>
      </c>
      <c r="E109" s="2" t="str">
        <f>IFERROR(__xludf.DUMMYFUNCTION("""COMPUTED_VALUE"""),"Minuman")</f>
        <v>Minuman</v>
      </c>
      <c r="F109" s="2">
        <f>IFERROR(__xludf.DUMMYFUNCTION("""COMPUTED_VALUE"""),10128.0)</f>
        <v>10128</v>
      </c>
      <c r="G109" s="2" t="str">
        <f>IFERROR(__xludf.DUMMYFUNCTION("""COMPUTED_VALUE"""),"Es Kopi Susu")</f>
        <v>Es Kopi Susu</v>
      </c>
      <c r="H109" s="2"/>
      <c r="I109" s="2"/>
      <c r="J109" s="2">
        <f>IFERROR(__xludf.DUMMYFUNCTION("""COMPUTED_VALUE"""),1.0)</f>
        <v>1</v>
      </c>
      <c r="K109" s="6">
        <f>IFERROR(__xludf.DUMMYFUNCTION("""COMPUTED_VALUE"""),23333.0)</f>
        <v>23333</v>
      </c>
      <c r="L109" s="2">
        <f>IFERROR(__xludf.DUMMYFUNCTION("""COMPUTED_VALUE"""),0.0)</f>
        <v>0</v>
      </c>
      <c r="M109" s="2">
        <f>IFERROR(__xludf.DUMMYFUNCTION("""COMPUTED_VALUE"""),23333.0)</f>
        <v>23333</v>
      </c>
      <c r="N109" s="2">
        <f>IFERROR(__xludf.DUMMYFUNCTION("""COMPUTED_VALUE"""),0.0)</f>
        <v>0</v>
      </c>
      <c r="O109" s="2">
        <f>IFERROR(__xludf.DUMMYFUNCTION("""COMPUTED_VALUE"""),23333.0)</f>
        <v>23333</v>
      </c>
      <c r="P109" s="2">
        <f>IFERROR(__xludf.DUMMYFUNCTION("""COMPUTED_VALUE"""),1167.0)</f>
        <v>1167</v>
      </c>
      <c r="Q109" s="2" t="str">
        <f>IFERROR(__xludf.DUMMYFUNCTION("""COMPUTED_VALUE"""),"Dine In")</f>
        <v>Dine In</v>
      </c>
      <c r="R109" s="2" t="str">
        <f>IFERROR(__xludf.DUMMYFUNCTION("""COMPUTED_VALUE"""),"Kedai")</f>
        <v>Kedai</v>
      </c>
      <c r="S109" s="2" t="str">
        <f>IFERROR(__xludf.DUMMYFUNCTION("""COMPUTED_VALUE"""),"Temu Roti")</f>
        <v>Temu Roti</v>
      </c>
      <c r="T109" s="2" t="str">
        <f>IFERROR(__xludf.DUMMYFUNCTION("""COMPUTED_VALUE"""),"Owner")</f>
        <v>Owner</v>
      </c>
      <c r="U109" s="2"/>
      <c r="V109" s="2"/>
      <c r="W109" s="2"/>
      <c r="X109" s="2" t="str">
        <f>IFERROR(__xludf.DUMMYFUNCTION("""COMPUTED_VALUE"""),"Closed")</f>
        <v>Closed</v>
      </c>
    </row>
    <row r="110">
      <c r="A110" s="3" t="s">
        <v>133</v>
      </c>
      <c r="B110" s="4">
        <f>IFERROR(__xludf.DUMMYFUNCTION("SPLIT(A110,"","",0,0)"),45564.41180555556)</f>
        <v>45564.41181</v>
      </c>
      <c r="C110" s="5">
        <f>IFERROR(__xludf.DUMMYFUNCTION("""COMPUTED_VALUE"""),2787198.0)</f>
        <v>2787198</v>
      </c>
      <c r="D110" s="2" t="str">
        <f>IFERROR(__xludf.DUMMYFUNCTION("""COMPUTED_VALUE"""),"Sale")</f>
        <v>Sale</v>
      </c>
      <c r="E110" s="2" t="str">
        <f>IFERROR(__xludf.DUMMYFUNCTION("""COMPUTED_VALUE"""),"Kudapan")</f>
        <v>Kudapan</v>
      </c>
      <c r="F110" s="2">
        <f>IFERROR(__xludf.DUMMYFUNCTION("""COMPUTED_VALUE"""),10014.0)</f>
        <v>10014</v>
      </c>
      <c r="G110" s="2" t="str">
        <f>IFERROR(__xludf.DUMMYFUNCTION("""COMPUTED_VALUE"""),"Tempe Mendoan")</f>
        <v>Tempe Mendoan</v>
      </c>
      <c r="H110" s="2"/>
      <c r="I110" s="2"/>
      <c r="J110" s="2">
        <f>IFERROR(__xludf.DUMMYFUNCTION("""COMPUTED_VALUE"""),1.0)</f>
        <v>1</v>
      </c>
      <c r="K110" s="6">
        <f>IFERROR(__xludf.DUMMYFUNCTION("""COMPUTED_VALUE"""),25238.0)</f>
        <v>25238</v>
      </c>
      <c r="L110" s="2">
        <f>IFERROR(__xludf.DUMMYFUNCTION("""COMPUTED_VALUE"""),0.0)</f>
        <v>0</v>
      </c>
      <c r="M110" s="2">
        <f>IFERROR(__xludf.DUMMYFUNCTION("""COMPUTED_VALUE"""),25238.0)</f>
        <v>25238</v>
      </c>
      <c r="N110" s="2">
        <f>IFERROR(__xludf.DUMMYFUNCTION("""COMPUTED_VALUE"""),0.0)</f>
        <v>0</v>
      </c>
      <c r="O110" s="2">
        <f>IFERROR(__xludf.DUMMYFUNCTION("""COMPUTED_VALUE"""),25238.0)</f>
        <v>25238</v>
      </c>
      <c r="P110" s="2">
        <f>IFERROR(__xludf.DUMMYFUNCTION("""COMPUTED_VALUE"""),1262.0)</f>
        <v>1262</v>
      </c>
      <c r="Q110" s="2" t="str">
        <f>IFERROR(__xludf.DUMMYFUNCTION("""COMPUTED_VALUE"""),"Dine In")</f>
        <v>Dine In</v>
      </c>
      <c r="R110" s="2" t="str">
        <f>IFERROR(__xludf.DUMMYFUNCTION("""COMPUTED_VALUE"""),"Kedai")</f>
        <v>Kedai</v>
      </c>
      <c r="S110" s="2" t="str">
        <f>IFERROR(__xludf.DUMMYFUNCTION("""COMPUTED_VALUE"""),"Temu Roti")</f>
        <v>Temu Roti</v>
      </c>
      <c r="T110" s="2" t="str">
        <f>IFERROR(__xludf.DUMMYFUNCTION("""COMPUTED_VALUE"""),"Owner")</f>
        <v>Owner</v>
      </c>
      <c r="U110" s="2"/>
      <c r="V110" s="2"/>
      <c r="W110" s="2"/>
      <c r="X110" s="2" t="str">
        <f>IFERROR(__xludf.DUMMYFUNCTION("""COMPUTED_VALUE"""),"Closed")</f>
        <v>Closed</v>
      </c>
    </row>
    <row r="111">
      <c r="A111" s="3" t="s">
        <v>134</v>
      </c>
      <c r="B111" s="4">
        <f>IFERROR(__xludf.DUMMYFUNCTION("SPLIT(A111,"","",0,0)"),45564.41180555556)</f>
        <v>45564.41181</v>
      </c>
      <c r="C111" s="5">
        <f>IFERROR(__xludf.DUMMYFUNCTION("""COMPUTED_VALUE"""),2787198.0)</f>
        <v>2787198</v>
      </c>
      <c r="D111" s="2" t="str">
        <f>IFERROR(__xludf.DUMMYFUNCTION("""COMPUTED_VALUE"""),"Sale")</f>
        <v>Sale</v>
      </c>
      <c r="E111" s="2" t="str">
        <f>IFERROR(__xludf.DUMMYFUNCTION("""COMPUTED_VALUE"""),"Roti")</f>
        <v>Roti</v>
      </c>
      <c r="F111" s="2">
        <f>IFERROR(__xludf.DUMMYFUNCTION("""COMPUTED_VALUE"""),10007.0)</f>
        <v>10007</v>
      </c>
      <c r="G111" s="2" t="str">
        <f>IFERROR(__xludf.DUMMYFUNCTION("""COMPUTED_VALUE"""),"Roti cranberry 2 pcs")</f>
        <v>Roti cranberry 2 pcs</v>
      </c>
      <c r="H111" s="2"/>
      <c r="I111" s="2"/>
      <c r="J111" s="2">
        <f>IFERROR(__xludf.DUMMYFUNCTION("""COMPUTED_VALUE"""),2.0)</f>
        <v>2</v>
      </c>
      <c r="K111" s="6">
        <f>IFERROR(__xludf.DUMMYFUNCTION("""COMPUTED_VALUE"""),67620.0)</f>
        <v>67620</v>
      </c>
      <c r="L111" s="2">
        <f>IFERROR(__xludf.DUMMYFUNCTION("""COMPUTED_VALUE"""),0.0)</f>
        <v>0</v>
      </c>
      <c r="M111" s="2">
        <f>IFERROR(__xludf.DUMMYFUNCTION("""COMPUTED_VALUE"""),67620.0)</f>
        <v>67620</v>
      </c>
      <c r="N111" s="2">
        <f>IFERROR(__xludf.DUMMYFUNCTION("""COMPUTED_VALUE"""),0.0)</f>
        <v>0</v>
      </c>
      <c r="O111" s="2">
        <f>IFERROR(__xludf.DUMMYFUNCTION("""COMPUTED_VALUE"""),67620.0)</f>
        <v>67620</v>
      </c>
      <c r="P111" s="2">
        <f>IFERROR(__xludf.DUMMYFUNCTION("""COMPUTED_VALUE"""),3381.0)</f>
        <v>3381</v>
      </c>
      <c r="Q111" s="2" t="str">
        <f>IFERROR(__xludf.DUMMYFUNCTION("""COMPUTED_VALUE"""),"Dine In")</f>
        <v>Dine In</v>
      </c>
      <c r="R111" s="2" t="str">
        <f>IFERROR(__xludf.DUMMYFUNCTION("""COMPUTED_VALUE"""),"Kedai")</f>
        <v>Kedai</v>
      </c>
      <c r="S111" s="2" t="str">
        <f>IFERROR(__xludf.DUMMYFUNCTION("""COMPUTED_VALUE"""),"Temu Roti")</f>
        <v>Temu Roti</v>
      </c>
      <c r="T111" s="2" t="str">
        <f>IFERROR(__xludf.DUMMYFUNCTION("""COMPUTED_VALUE"""),"Owner")</f>
        <v>Owner</v>
      </c>
      <c r="U111" s="2"/>
      <c r="V111" s="2"/>
      <c r="W111" s="2"/>
      <c r="X111" s="2" t="str">
        <f>IFERROR(__xludf.DUMMYFUNCTION("""COMPUTED_VALUE"""),"Closed")</f>
        <v>Closed</v>
      </c>
    </row>
    <row r="112">
      <c r="A112" s="3" t="s">
        <v>135</v>
      </c>
      <c r="B112" s="4">
        <f>IFERROR(__xludf.DUMMYFUNCTION("SPLIT(A112,"","",0,0)"),45564.39513888889)</f>
        <v>45564.39514</v>
      </c>
      <c r="C112" s="5">
        <f>IFERROR(__xludf.DUMMYFUNCTION("""COMPUTED_VALUE"""),2786833.0)</f>
        <v>2786833</v>
      </c>
      <c r="D112" s="2" t="str">
        <f>IFERROR(__xludf.DUMMYFUNCTION("""COMPUTED_VALUE"""),"Sale")</f>
        <v>Sale</v>
      </c>
      <c r="E112" s="2" t="str">
        <f>IFERROR(__xludf.DUMMYFUNCTION("""COMPUTED_VALUE"""),"Roti")</f>
        <v>Roti</v>
      </c>
      <c r="F112" s="2">
        <f>IFERROR(__xludf.DUMMYFUNCTION("""COMPUTED_VALUE"""),10000.0)</f>
        <v>10000</v>
      </c>
      <c r="G112" s="2" t="str">
        <f>IFERROR(__xludf.DUMMYFUNCTION("""COMPUTED_VALUE"""),"Roti Bawang Saus Keju")</f>
        <v>Roti Bawang Saus Keju</v>
      </c>
      <c r="H112" s="2"/>
      <c r="I112" s="2"/>
      <c r="J112" s="2">
        <f>IFERROR(__xludf.DUMMYFUNCTION("""COMPUTED_VALUE"""),1.0)</f>
        <v>1</v>
      </c>
      <c r="K112" s="6">
        <f>IFERROR(__xludf.DUMMYFUNCTION("""COMPUTED_VALUE"""),29524.0)</f>
        <v>29524</v>
      </c>
      <c r="L112" s="2">
        <f>IFERROR(__xludf.DUMMYFUNCTION("""COMPUTED_VALUE"""),0.0)</f>
        <v>0</v>
      </c>
      <c r="M112" s="2">
        <f>IFERROR(__xludf.DUMMYFUNCTION("""COMPUTED_VALUE"""),29524.0)</f>
        <v>29524</v>
      </c>
      <c r="N112" s="2">
        <f>IFERROR(__xludf.DUMMYFUNCTION("""COMPUTED_VALUE"""),0.0)</f>
        <v>0</v>
      </c>
      <c r="O112" s="2">
        <f>IFERROR(__xludf.DUMMYFUNCTION("""COMPUTED_VALUE"""),29524.0)</f>
        <v>29524</v>
      </c>
      <c r="P112" s="2">
        <f>IFERROR(__xludf.DUMMYFUNCTION("""COMPUTED_VALUE"""),1476.0)</f>
        <v>1476</v>
      </c>
      <c r="Q112" s="2" t="str">
        <f>IFERROR(__xludf.DUMMYFUNCTION("""COMPUTED_VALUE"""),"Take Away")</f>
        <v>Take Away</v>
      </c>
      <c r="R112" s="2" t="str">
        <f>IFERROR(__xludf.DUMMYFUNCTION("""COMPUTED_VALUE"""),"Kedai")</f>
        <v>Kedai</v>
      </c>
      <c r="S112" s="2" t="str">
        <f>IFERROR(__xludf.DUMMYFUNCTION("""COMPUTED_VALUE"""),"Temu Roti")</f>
        <v>Temu Roti</v>
      </c>
      <c r="T112" s="2" t="str">
        <f>IFERROR(__xludf.DUMMYFUNCTION("""COMPUTED_VALUE"""),"Owner")</f>
        <v>Owner</v>
      </c>
      <c r="U112" s="2"/>
      <c r="V112" s="2"/>
      <c r="W112" s="2"/>
      <c r="X112" s="2" t="str">
        <f>IFERROR(__xludf.DUMMYFUNCTION("""COMPUTED_VALUE"""),"Closed")</f>
        <v>Closed</v>
      </c>
    </row>
    <row r="113">
      <c r="A113" s="3" t="s">
        <v>136</v>
      </c>
      <c r="B113" s="4">
        <f>IFERROR(__xludf.DUMMYFUNCTION("SPLIT(A113,"","",0,0)"),45564.36597222222)</f>
        <v>45564.36597</v>
      </c>
      <c r="C113" s="5">
        <f>IFERROR(__xludf.DUMMYFUNCTION("""COMPUTED_VALUE"""),2786468.0)</f>
        <v>2786468</v>
      </c>
      <c r="D113" s="2" t="str">
        <f>IFERROR(__xludf.DUMMYFUNCTION("""COMPUTED_VALUE"""),"Refund")</f>
        <v>Refund</v>
      </c>
      <c r="E113" s="2" t="str">
        <f>IFERROR(__xludf.DUMMYFUNCTION("""COMPUTED_VALUE"""),"Roti")</f>
        <v>Roti</v>
      </c>
      <c r="F113" s="2">
        <f>IFERROR(__xludf.DUMMYFUNCTION("""COMPUTED_VALUE"""),10005.0)</f>
        <v>10005</v>
      </c>
      <c r="G113" s="2" t="str">
        <f>IFERROR(__xludf.DUMMYFUNCTION("""COMPUTED_VALUE"""),"Roti Gandum Cokelat")</f>
        <v>Roti Gandum Cokelat</v>
      </c>
      <c r="H113" s="2"/>
      <c r="I113" s="2"/>
      <c r="J113" s="2">
        <f>IFERROR(__xludf.DUMMYFUNCTION("""COMPUTED_VALUE"""),-1.0)</f>
        <v>-1</v>
      </c>
      <c r="K113" s="6">
        <f>IFERROR(__xludf.DUMMYFUNCTION("""COMPUTED_VALUE"""),-19524.0)</f>
        <v>-19524</v>
      </c>
      <c r="L113" s="2">
        <f>IFERROR(__xludf.DUMMYFUNCTION("""COMPUTED_VALUE"""),0.0)</f>
        <v>0</v>
      </c>
      <c r="M113" s="2">
        <f>IFERROR(__xludf.DUMMYFUNCTION("""COMPUTED_VALUE"""),-19524.0)</f>
        <v>-19524</v>
      </c>
      <c r="N113" s="2">
        <f>IFERROR(__xludf.DUMMYFUNCTION("""COMPUTED_VALUE"""),0.0)</f>
        <v>0</v>
      </c>
      <c r="O113" s="2">
        <f>IFERROR(__xludf.DUMMYFUNCTION("""COMPUTED_VALUE"""),-19524.0)</f>
        <v>-19524</v>
      </c>
      <c r="P113" s="2">
        <f>IFERROR(__xludf.DUMMYFUNCTION("""COMPUTED_VALUE"""),-976.0)</f>
        <v>-976</v>
      </c>
      <c r="Q113" s="2" t="str">
        <f>IFERROR(__xludf.DUMMYFUNCTION("""COMPUTED_VALUE"""),"Dine In")</f>
        <v>Dine In</v>
      </c>
      <c r="R113" s="2" t="str">
        <f>IFERROR(__xludf.DUMMYFUNCTION("""COMPUTED_VALUE"""),"Kedai")</f>
        <v>Kedai</v>
      </c>
      <c r="S113" s="2" t="str">
        <f>IFERROR(__xludf.DUMMYFUNCTION("""COMPUTED_VALUE"""),"Temu Roti")</f>
        <v>Temu Roti</v>
      </c>
      <c r="T113" s="2" t="str">
        <f>IFERROR(__xludf.DUMMYFUNCTION("""COMPUTED_VALUE"""),"Owner")</f>
        <v>Owner</v>
      </c>
      <c r="U113" s="2"/>
      <c r="V113" s="2"/>
      <c r="W113" s="2"/>
      <c r="X113" s="2" t="str">
        <f>IFERROR(__xludf.DUMMYFUNCTION("""COMPUTED_VALUE"""),"Closed")</f>
        <v>Closed</v>
      </c>
    </row>
    <row r="114">
      <c r="A114" s="3" t="s">
        <v>137</v>
      </c>
      <c r="B114" s="4">
        <f>IFERROR(__xludf.DUMMYFUNCTION("SPLIT(A114,"","",0,0)"),45564.36597222222)</f>
        <v>45564.36597</v>
      </c>
      <c r="C114" s="5">
        <f>IFERROR(__xludf.DUMMYFUNCTION("""COMPUTED_VALUE"""),2786468.0)</f>
        <v>2786468</v>
      </c>
      <c r="D114" s="2" t="str">
        <f>IFERROR(__xludf.DUMMYFUNCTION("""COMPUTED_VALUE"""),"Refund")</f>
        <v>Refund</v>
      </c>
      <c r="E114" s="2" t="str">
        <f>IFERROR(__xludf.DUMMYFUNCTION("""COMPUTED_VALUE"""),"Roti")</f>
        <v>Roti</v>
      </c>
      <c r="F114" s="2">
        <f>IFERROR(__xludf.DUMMYFUNCTION("""COMPUTED_VALUE"""),10007.0)</f>
        <v>10007</v>
      </c>
      <c r="G114" s="2" t="str">
        <f>IFERROR(__xludf.DUMMYFUNCTION("""COMPUTED_VALUE"""),"Roti cranberry 2 pcs")</f>
        <v>Roti cranberry 2 pcs</v>
      </c>
      <c r="H114" s="2"/>
      <c r="I114" s="2"/>
      <c r="J114" s="2">
        <f>IFERROR(__xludf.DUMMYFUNCTION("""COMPUTED_VALUE"""),-1.0)</f>
        <v>-1</v>
      </c>
      <c r="K114" s="6">
        <f>IFERROR(__xludf.DUMMYFUNCTION("""COMPUTED_VALUE"""),-33810.0)</f>
        <v>-33810</v>
      </c>
      <c r="L114" s="2">
        <f>IFERROR(__xludf.DUMMYFUNCTION("""COMPUTED_VALUE"""),0.0)</f>
        <v>0</v>
      </c>
      <c r="M114" s="2">
        <f>IFERROR(__xludf.DUMMYFUNCTION("""COMPUTED_VALUE"""),-33810.0)</f>
        <v>-33810</v>
      </c>
      <c r="N114" s="2">
        <f>IFERROR(__xludf.DUMMYFUNCTION("""COMPUTED_VALUE"""),0.0)</f>
        <v>0</v>
      </c>
      <c r="O114" s="2">
        <f>IFERROR(__xludf.DUMMYFUNCTION("""COMPUTED_VALUE"""),-33810.0)</f>
        <v>-33810</v>
      </c>
      <c r="P114" s="2">
        <f>IFERROR(__xludf.DUMMYFUNCTION("""COMPUTED_VALUE"""),-1691.0)</f>
        <v>-1691</v>
      </c>
      <c r="Q114" s="2" t="str">
        <f>IFERROR(__xludf.DUMMYFUNCTION("""COMPUTED_VALUE"""),"Dine In")</f>
        <v>Dine In</v>
      </c>
      <c r="R114" s="2" t="str">
        <f>IFERROR(__xludf.DUMMYFUNCTION("""COMPUTED_VALUE"""),"Kedai")</f>
        <v>Kedai</v>
      </c>
      <c r="S114" s="2" t="str">
        <f>IFERROR(__xludf.DUMMYFUNCTION("""COMPUTED_VALUE"""),"Temu Roti")</f>
        <v>Temu Roti</v>
      </c>
      <c r="T114" s="2" t="str">
        <f>IFERROR(__xludf.DUMMYFUNCTION("""COMPUTED_VALUE"""),"Owner")</f>
        <v>Owner</v>
      </c>
      <c r="U114" s="2"/>
      <c r="V114" s="2"/>
      <c r="W114" s="2"/>
      <c r="X114" s="2" t="str">
        <f>IFERROR(__xludf.DUMMYFUNCTION("""COMPUTED_VALUE"""),"Closed")</f>
        <v>Closed</v>
      </c>
    </row>
    <row r="115">
      <c r="A115" s="3" t="s">
        <v>138</v>
      </c>
      <c r="B115" s="4">
        <f>IFERROR(__xludf.DUMMYFUNCTION("SPLIT(A115,"","",0,0)"),45564.365277777775)</f>
        <v>45564.36528</v>
      </c>
      <c r="C115" s="5">
        <f>IFERROR(__xludf.DUMMYFUNCTION("""COMPUTED_VALUE"""),2786102.0)</f>
        <v>2786102</v>
      </c>
      <c r="D115" s="2" t="str">
        <f>IFERROR(__xludf.DUMMYFUNCTION("""COMPUTED_VALUE"""),"Sale")</f>
        <v>Sale</v>
      </c>
      <c r="E115" s="2" t="str">
        <f>IFERROR(__xludf.DUMMYFUNCTION("""COMPUTED_VALUE"""),"Roti")</f>
        <v>Roti</v>
      </c>
      <c r="F115" s="2">
        <f>IFERROR(__xludf.DUMMYFUNCTION("""COMPUTED_VALUE"""),10005.0)</f>
        <v>10005</v>
      </c>
      <c r="G115" s="2" t="str">
        <f>IFERROR(__xludf.DUMMYFUNCTION("""COMPUTED_VALUE"""),"Roti Gandum Cokelat")</f>
        <v>Roti Gandum Cokelat</v>
      </c>
      <c r="H115" s="2"/>
      <c r="I115" s="2"/>
      <c r="J115" s="2">
        <f>IFERROR(__xludf.DUMMYFUNCTION("""COMPUTED_VALUE"""),1.0)</f>
        <v>1</v>
      </c>
      <c r="K115" s="6">
        <f>IFERROR(__xludf.DUMMYFUNCTION("""COMPUTED_VALUE"""),19524.0)</f>
        <v>19524</v>
      </c>
      <c r="L115" s="2">
        <f>IFERROR(__xludf.DUMMYFUNCTION("""COMPUTED_VALUE"""),0.0)</f>
        <v>0</v>
      </c>
      <c r="M115" s="2">
        <f>IFERROR(__xludf.DUMMYFUNCTION("""COMPUTED_VALUE"""),19524.0)</f>
        <v>19524</v>
      </c>
      <c r="N115" s="2">
        <f>IFERROR(__xludf.DUMMYFUNCTION("""COMPUTED_VALUE"""),0.0)</f>
        <v>0</v>
      </c>
      <c r="O115" s="2">
        <f>IFERROR(__xludf.DUMMYFUNCTION("""COMPUTED_VALUE"""),19524.0)</f>
        <v>19524</v>
      </c>
      <c r="P115" s="2">
        <f>IFERROR(__xludf.DUMMYFUNCTION("""COMPUTED_VALUE"""),976.0)</f>
        <v>976</v>
      </c>
      <c r="Q115" s="2" t="str">
        <f>IFERROR(__xludf.DUMMYFUNCTION("""COMPUTED_VALUE"""),"Dine In")</f>
        <v>Dine In</v>
      </c>
      <c r="R115" s="2" t="str">
        <f>IFERROR(__xludf.DUMMYFUNCTION("""COMPUTED_VALUE"""),"Kedai")</f>
        <v>Kedai</v>
      </c>
      <c r="S115" s="2" t="str">
        <f>IFERROR(__xludf.DUMMYFUNCTION("""COMPUTED_VALUE"""),"Temu Roti")</f>
        <v>Temu Roti</v>
      </c>
      <c r="T115" s="2" t="str">
        <f>IFERROR(__xludf.DUMMYFUNCTION("""COMPUTED_VALUE"""),"Owner")</f>
        <v>Owner</v>
      </c>
      <c r="U115" s="2"/>
      <c r="V115" s="2"/>
      <c r="W115" s="2"/>
      <c r="X115" s="2" t="str">
        <f>IFERROR(__xludf.DUMMYFUNCTION("""COMPUTED_VALUE"""),"Closed")</f>
        <v>Closed</v>
      </c>
    </row>
    <row r="116">
      <c r="A116" s="3" t="s">
        <v>139</v>
      </c>
      <c r="B116" s="4">
        <f>IFERROR(__xludf.DUMMYFUNCTION("SPLIT(A116,"","",0,0)"),45564.365277777775)</f>
        <v>45564.36528</v>
      </c>
      <c r="C116" s="5">
        <f>IFERROR(__xludf.DUMMYFUNCTION("""COMPUTED_VALUE"""),2786102.0)</f>
        <v>2786102</v>
      </c>
      <c r="D116" s="2" t="str">
        <f>IFERROR(__xludf.DUMMYFUNCTION("""COMPUTED_VALUE"""),"Sale")</f>
        <v>Sale</v>
      </c>
      <c r="E116" s="2" t="str">
        <f>IFERROR(__xludf.DUMMYFUNCTION("""COMPUTED_VALUE"""),"Roti")</f>
        <v>Roti</v>
      </c>
      <c r="F116" s="2">
        <f>IFERROR(__xludf.DUMMYFUNCTION("""COMPUTED_VALUE"""),10007.0)</f>
        <v>10007</v>
      </c>
      <c r="G116" s="2" t="str">
        <f>IFERROR(__xludf.DUMMYFUNCTION("""COMPUTED_VALUE"""),"Roti cranberry 2 pcs")</f>
        <v>Roti cranberry 2 pcs</v>
      </c>
      <c r="H116" s="2"/>
      <c r="I116" s="2"/>
      <c r="J116" s="2">
        <f>IFERROR(__xludf.DUMMYFUNCTION("""COMPUTED_VALUE"""),1.0)</f>
        <v>1</v>
      </c>
      <c r="K116" s="6">
        <f>IFERROR(__xludf.DUMMYFUNCTION("""COMPUTED_VALUE"""),33810.0)</f>
        <v>33810</v>
      </c>
      <c r="L116" s="2">
        <f>IFERROR(__xludf.DUMMYFUNCTION("""COMPUTED_VALUE"""),0.0)</f>
        <v>0</v>
      </c>
      <c r="M116" s="2">
        <f>IFERROR(__xludf.DUMMYFUNCTION("""COMPUTED_VALUE"""),33810.0)</f>
        <v>33810</v>
      </c>
      <c r="N116" s="2">
        <f>IFERROR(__xludf.DUMMYFUNCTION("""COMPUTED_VALUE"""),0.0)</f>
        <v>0</v>
      </c>
      <c r="O116" s="2">
        <f>IFERROR(__xludf.DUMMYFUNCTION("""COMPUTED_VALUE"""),33810.0)</f>
        <v>33810</v>
      </c>
      <c r="P116" s="2">
        <f>IFERROR(__xludf.DUMMYFUNCTION("""COMPUTED_VALUE"""),1691.0)</f>
        <v>1691</v>
      </c>
      <c r="Q116" s="2" t="str">
        <f>IFERROR(__xludf.DUMMYFUNCTION("""COMPUTED_VALUE"""),"Dine In")</f>
        <v>Dine In</v>
      </c>
      <c r="R116" s="2" t="str">
        <f>IFERROR(__xludf.DUMMYFUNCTION("""COMPUTED_VALUE"""),"Kedai")</f>
        <v>Kedai</v>
      </c>
      <c r="S116" s="2" t="str">
        <f>IFERROR(__xludf.DUMMYFUNCTION("""COMPUTED_VALUE"""),"Temu Roti")</f>
        <v>Temu Roti</v>
      </c>
      <c r="T116" s="2" t="str">
        <f>IFERROR(__xludf.DUMMYFUNCTION("""COMPUTED_VALUE"""),"Owner")</f>
        <v>Owner</v>
      </c>
      <c r="U116" s="2"/>
      <c r="V116" s="2"/>
      <c r="W116" s="2"/>
      <c r="X116" s="2" t="str">
        <f>IFERROR(__xludf.DUMMYFUNCTION("""COMPUTED_VALUE"""),"Closed")</f>
        <v>Closed</v>
      </c>
    </row>
    <row r="117">
      <c r="A117" s="3" t="s">
        <v>140</v>
      </c>
      <c r="B117" s="4">
        <f>IFERROR(__xludf.DUMMYFUNCTION("SPLIT(A117,"","",0,0)"),45563.875)</f>
        <v>45563.875</v>
      </c>
      <c r="C117" s="5">
        <f>IFERROR(__xludf.DUMMYFUNCTION("""COMPUTED_VALUE"""),2785737.0)</f>
        <v>2785737</v>
      </c>
      <c r="D117" s="2" t="str">
        <f>IFERROR(__xludf.DUMMYFUNCTION("""COMPUTED_VALUE"""),"Sale")</f>
        <v>Sale</v>
      </c>
      <c r="E117" s="2" t="str">
        <f>IFERROR(__xludf.DUMMYFUNCTION("""COMPUTED_VALUE"""),"Kudapan")</f>
        <v>Kudapan</v>
      </c>
      <c r="F117" s="2">
        <f>IFERROR(__xludf.DUMMYFUNCTION("""COMPUTED_VALUE"""),10004.0)</f>
        <v>10004</v>
      </c>
      <c r="G117" s="2" t="str">
        <f>IFERROR(__xludf.DUMMYFUNCTION("""COMPUTED_VALUE"""),"Tahu walik")</f>
        <v>Tahu walik</v>
      </c>
      <c r="H117" s="2"/>
      <c r="I117" s="2"/>
      <c r="J117" s="2">
        <f>IFERROR(__xludf.DUMMYFUNCTION("""COMPUTED_VALUE"""),1.0)</f>
        <v>1</v>
      </c>
      <c r="K117" s="6">
        <f>IFERROR(__xludf.DUMMYFUNCTION("""COMPUTED_VALUE"""),25238.0)</f>
        <v>25238</v>
      </c>
      <c r="L117" s="2">
        <f>IFERROR(__xludf.DUMMYFUNCTION("""COMPUTED_VALUE"""),0.0)</f>
        <v>0</v>
      </c>
      <c r="M117" s="2">
        <f>IFERROR(__xludf.DUMMYFUNCTION("""COMPUTED_VALUE"""),25238.0)</f>
        <v>25238</v>
      </c>
      <c r="N117" s="2">
        <f>IFERROR(__xludf.DUMMYFUNCTION("""COMPUTED_VALUE"""),0.0)</f>
        <v>0</v>
      </c>
      <c r="O117" s="2">
        <f>IFERROR(__xludf.DUMMYFUNCTION("""COMPUTED_VALUE"""),25238.0)</f>
        <v>25238</v>
      </c>
      <c r="P117" s="2">
        <f>IFERROR(__xludf.DUMMYFUNCTION("""COMPUTED_VALUE"""),1262.0)</f>
        <v>1262</v>
      </c>
      <c r="Q117" s="2" t="str">
        <f>IFERROR(__xludf.DUMMYFUNCTION("""COMPUTED_VALUE"""),"Dine In")</f>
        <v>Dine In</v>
      </c>
      <c r="R117" s="2" t="str">
        <f>IFERROR(__xludf.DUMMYFUNCTION("""COMPUTED_VALUE"""),"Kedai")</f>
        <v>Kedai</v>
      </c>
      <c r="S117" s="2" t="str">
        <f>IFERROR(__xludf.DUMMYFUNCTION("""COMPUTED_VALUE"""),"Temu Roti")</f>
        <v>Temu Roti</v>
      </c>
      <c r="T117" s="2" t="str">
        <f>IFERROR(__xludf.DUMMYFUNCTION("""COMPUTED_VALUE"""),"Owner")</f>
        <v>Owner</v>
      </c>
      <c r="U117" s="2"/>
      <c r="V117" s="2"/>
      <c r="W117" s="2"/>
      <c r="X117" s="2" t="str">
        <f>IFERROR(__xludf.DUMMYFUNCTION("""COMPUTED_VALUE"""),"Closed")</f>
        <v>Closed</v>
      </c>
    </row>
    <row r="118">
      <c r="A118" s="3" t="s">
        <v>141</v>
      </c>
      <c r="B118" s="4">
        <f>IFERROR(__xludf.DUMMYFUNCTION("SPLIT(A118,"","",0,0)"),45563.81805555556)</f>
        <v>45563.81806</v>
      </c>
      <c r="C118" s="5">
        <f>IFERROR(__xludf.DUMMYFUNCTION("""COMPUTED_VALUE"""),2785372.0)</f>
        <v>2785372</v>
      </c>
      <c r="D118" s="2" t="str">
        <f>IFERROR(__xludf.DUMMYFUNCTION("""COMPUTED_VALUE"""),"Sale")</f>
        <v>Sale</v>
      </c>
      <c r="E118" s="2" t="str">
        <f>IFERROR(__xludf.DUMMYFUNCTION("""COMPUTED_VALUE"""),"Minuman")</f>
        <v>Minuman</v>
      </c>
      <c r="F118" s="2">
        <f>IFERROR(__xludf.DUMMYFUNCTION("""COMPUTED_VALUE"""),10013.0)</f>
        <v>10013</v>
      </c>
      <c r="G118" s="2" t="str">
        <f>IFERROR(__xludf.DUMMYFUNCTION("""COMPUTED_VALUE"""),"Kopi cur")</f>
        <v>Kopi cur</v>
      </c>
      <c r="H118" s="2"/>
      <c r="I118" s="2"/>
      <c r="J118" s="2">
        <f>IFERROR(__xludf.DUMMYFUNCTION("""COMPUTED_VALUE"""),1.0)</f>
        <v>1</v>
      </c>
      <c r="K118" s="6">
        <f>IFERROR(__xludf.DUMMYFUNCTION("""COMPUTED_VALUE"""),23333.0)</f>
        <v>23333</v>
      </c>
      <c r="L118" s="2">
        <f>IFERROR(__xludf.DUMMYFUNCTION("""COMPUTED_VALUE"""),0.0)</f>
        <v>0</v>
      </c>
      <c r="M118" s="2">
        <f>IFERROR(__xludf.DUMMYFUNCTION("""COMPUTED_VALUE"""),23333.0)</f>
        <v>23333</v>
      </c>
      <c r="N118" s="2">
        <f>IFERROR(__xludf.DUMMYFUNCTION("""COMPUTED_VALUE"""),0.0)</f>
        <v>0</v>
      </c>
      <c r="O118" s="2">
        <f>IFERROR(__xludf.DUMMYFUNCTION("""COMPUTED_VALUE"""),23333.0)</f>
        <v>23333</v>
      </c>
      <c r="P118" s="2">
        <f>IFERROR(__xludf.DUMMYFUNCTION("""COMPUTED_VALUE"""),1167.0)</f>
        <v>1167</v>
      </c>
      <c r="Q118" s="2" t="str">
        <f>IFERROR(__xludf.DUMMYFUNCTION("""COMPUTED_VALUE"""),"Dine In")</f>
        <v>Dine In</v>
      </c>
      <c r="R118" s="2" t="str">
        <f>IFERROR(__xludf.DUMMYFUNCTION("""COMPUTED_VALUE"""),"Kedai")</f>
        <v>Kedai</v>
      </c>
      <c r="S118" s="2" t="str">
        <f>IFERROR(__xludf.DUMMYFUNCTION("""COMPUTED_VALUE"""),"Temu Roti")</f>
        <v>Temu Roti</v>
      </c>
      <c r="T118" s="2" t="str">
        <f>IFERROR(__xludf.DUMMYFUNCTION("""COMPUTED_VALUE"""),"Owner")</f>
        <v>Owner</v>
      </c>
      <c r="U118" s="2"/>
      <c r="V118" s="2"/>
      <c r="W118" s="2"/>
      <c r="X118" s="2" t="str">
        <f>IFERROR(__xludf.DUMMYFUNCTION("""COMPUTED_VALUE"""),"Closed")</f>
        <v>Closed</v>
      </c>
    </row>
    <row r="119">
      <c r="A119" s="3" t="s">
        <v>142</v>
      </c>
      <c r="B119" s="4">
        <f>IFERROR(__xludf.DUMMYFUNCTION("SPLIT(A119,"","",0,0)"),45563.81805555556)</f>
        <v>45563.81806</v>
      </c>
      <c r="C119" s="5">
        <f>IFERROR(__xludf.DUMMYFUNCTION("""COMPUTED_VALUE"""),2785372.0)</f>
        <v>2785372</v>
      </c>
      <c r="D119" s="2" t="str">
        <f>IFERROR(__xludf.DUMMYFUNCTION("""COMPUTED_VALUE"""),"Sale")</f>
        <v>Sale</v>
      </c>
      <c r="E119" s="2" t="str">
        <f>IFERROR(__xludf.DUMMYFUNCTION("""COMPUTED_VALUE"""),"Minuman")</f>
        <v>Minuman</v>
      </c>
      <c r="F119" s="2">
        <f>IFERROR(__xludf.DUMMYFUNCTION("""COMPUTED_VALUE"""),10070.0)</f>
        <v>10070</v>
      </c>
      <c r="G119" s="2" t="str">
        <f>IFERROR(__xludf.DUMMYFUNCTION("""COMPUTED_VALUE"""),"Wedang laut")</f>
        <v>Wedang laut</v>
      </c>
      <c r="H119" s="2"/>
      <c r="I119" s="2"/>
      <c r="J119" s="2">
        <f>IFERROR(__xludf.DUMMYFUNCTION("""COMPUTED_VALUE"""),1.0)</f>
        <v>1</v>
      </c>
      <c r="K119" s="6">
        <f>IFERROR(__xludf.DUMMYFUNCTION("""COMPUTED_VALUE"""),24762.0)</f>
        <v>24762</v>
      </c>
      <c r="L119" s="2">
        <f>IFERROR(__xludf.DUMMYFUNCTION("""COMPUTED_VALUE"""),0.0)</f>
        <v>0</v>
      </c>
      <c r="M119" s="2">
        <f>IFERROR(__xludf.DUMMYFUNCTION("""COMPUTED_VALUE"""),24762.0)</f>
        <v>24762</v>
      </c>
      <c r="N119" s="2">
        <f>IFERROR(__xludf.DUMMYFUNCTION("""COMPUTED_VALUE"""),0.0)</f>
        <v>0</v>
      </c>
      <c r="O119" s="2">
        <f>IFERROR(__xludf.DUMMYFUNCTION("""COMPUTED_VALUE"""),24762.0)</f>
        <v>24762</v>
      </c>
      <c r="P119" s="2">
        <f>IFERROR(__xludf.DUMMYFUNCTION("""COMPUTED_VALUE"""),1238.0)</f>
        <v>1238</v>
      </c>
      <c r="Q119" s="2" t="str">
        <f>IFERROR(__xludf.DUMMYFUNCTION("""COMPUTED_VALUE"""),"Dine In")</f>
        <v>Dine In</v>
      </c>
      <c r="R119" s="2" t="str">
        <f>IFERROR(__xludf.DUMMYFUNCTION("""COMPUTED_VALUE"""),"Kedai")</f>
        <v>Kedai</v>
      </c>
      <c r="S119" s="2" t="str">
        <f>IFERROR(__xludf.DUMMYFUNCTION("""COMPUTED_VALUE"""),"Temu Roti")</f>
        <v>Temu Roti</v>
      </c>
      <c r="T119" s="2" t="str">
        <f>IFERROR(__xludf.DUMMYFUNCTION("""COMPUTED_VALUE"""),"Owner")</f>
        <v>Owner</v>
      </c>
      <c r="U119" s="2"/>
      <c r="V119" s="2"/>
      <c r="W119" s="2"/>
      <c r="X119" s="2" t="str">
        <f>IFERROR(__xludf.DUMMYFUNCTION("""COMPUTED_VALUE"""),"Closed")</f>
        <v>Closed</v>
      </c>
    </row>
    <row r="120">
      <c r="A120" s="3" t="s">
        <v>143</v>
      </c>
      <c r="B120" s="4">
        <f>IFERROR(__xludf.DUMMYFUNCTION("SPLIT(A120,"","",0,0)"),45563.81805555556)</f>
        <v>45563.81806</v>
      </c>
      <c r="C120" s="5">
        <f>IFERROR(__xludf.DUMMYFUNCTION("""COMPUTED_VALUE"""),2785372.0)</f>
        <v>2785372</v>
      </c>
      <c r="D120" s="2" t="str">
        <f>IFERROR(__xludf.DUMMYFUNCTION("""COMPUTED_VALUE"""),"Sale")</f>
        <v>Sale</v>
      </c>
      <c r="E120" s="2" t="str">
        <f>IFERROR(__xludf.DUMMYFUNCTION("""COMPUTED_VALUE"""),"Roti")</f>
        <v>Roti</v>
      </c>
      <c r="F120" s="2">
        <f>IFERROR(__xludf.DUMMYFUNCTION("""COMPUTED_VALUE"""),10000.0)</f>
        <v>10000</v>
      </c>
      <c r="G120" s="2" t="str">
        <f>IFERROR(__xludf.DUMMYFUNCTION("""COMPUTED_VALUE"""),"Roti Bawang Saus Keju")</f>
        <v>Roti Bawang Saus Keju</v>
      </c>
      <c r="H120" s="2"/>
      <c r="I120" s="2"/>
      <c r="J120" s="2">
        <f>IFERROR(__xludf.DUMMYFUNCTION("""COMPUTED_VALUE"""),1.0)</f>
        <v>1</v>
      </c>
      <c r="K120" s="6">
        <f>IFERROR(__xludf.DUMMYFUNCTION("""COMPUTED_VALUE"""),29524.0)</f>
        <v>29524</v>
      </c>
      <c r="L120" s="2">
        <f>IFERROR(__xludf.DUMMYFUNCTION("""COMPUTED_VALUE"""),0.0)</f>
        <v>0</v>
      </c>
      <c r="M120" s="2">
        <f>IFERROR(__xludf.DUMMYFUNCTION("""COMPUTED_VALUE"""),29524.0)</f>
        <v>29524</v>
      </c>
      <c r="N120" s="2">
        <f>IFERROR(__xludf.DUMMYFUNCTION("""COMPUTED_VALUE"""),0.0)</f>
        <v>0</v>
      </c>
      <c r="O120" s="2">
        <f>IFERROR(__xludf.DUMMYFUNCTION("""COMPUTED_VALUE"""),29524.0)</f>
        <v>29524</v>
      </c>
      <c r="P120" s="2">
        <f>IFERROR(__xludf.DUMMYFUNCTION("""COMPUTED_VALUE"""),1476.0)</f>
        <v>1476</v>
      </c>
      <c r="Q120" s="2" t="str">
        <f>IFERROR(__xludf.DUMMYFUNCTION("""COMPUTED_VALUE"""),"Dine In")</f>
        <v>Dine In</v>
      </c>
      <c r="R120" s="2" t="str">
        <f>IFERROR(__xludf.DUMMYFUNCTION("""COMPUTED_VALUE"""),"Kedai")</f>
        <v>Kedai</v>
      </c>
      <c r="S120" s="2" t="str">
        <f>IFERROR(__xludf.DUMMYFUNCTION("""COMPUTED_VALUE"""),"Temu Roti")</f>
        <v>Temu Roti</v>
      </c>
      <c r="T120" s="2" t="str">
        <f>IFERROR(__xludf.DUMMYFUNCTION("""COMPUTED_VALUE"""),"Owner")</f>
        <v>Owner</v>
      </c>
      <c r="U120" s="2"/>
      <c r="V120" s="2"/>
      <c r="W120" s="2"/>
      <c r="X120" s="2" t="str">
        <f>IFERROR(__xludf.DUMMYFUNCTION("""COMPUTED_VALUE"""),"Closed")</f>
        <v>Closed</v>
      </c>
    </row>
    <row r="121">
      <c r="A121" s="3" t="s">
        <v>144</v>
      </c>
      <c r="B121" s="4">
        <f>IFERROR(__xludf.DUMMYFUNCTION("SPLIT(A121,"","",0,0)"),45563.81180555555)</f>
        <v>45563.81181</v>
      </c>
      <c r="C121" s="5">
        <f>IFERROR(__xludf.DUMMYFUNCTION("""COMPUTED_VALUE"""),2785007.0)</f>
        <v>2785007</v>
      </c>
      <c r="D121" s="2" t="str">
        <f>IFERROR(__xludf.DUMMYFUNCTION("""COMPUTED_VALUE"""),"Sale")</f>
        <v>Sale</v>
      </c>
      <c r="E121" s="2" t="str">
        <f>IFERROR(__xludf.DUMMYFUNCTION("""COMPUTED_VALUE"""),"Roti")</f>
        <v>Roti</v>
      </c>
      <c r="F121" s="2">
        <f>IFERROR(__xludf.DUMMYFUNCTION("""COMPUTED_VALUE"""),10054.0)</f>
        <v>10054</v>
      </c>
      <c r="G121" s="2" t="str">
        <f>IFERROR(__xludf.DUMMYFUNCTION("""COMPUTED_VALUE"""),"Roti toast eskrim")</f>
        <v>Roti toast eskrim</v>
      </c>
      <c r="H121" s="2"/>
      <c r="I121" s="2"/>
      <c r="J121" s="2">
        <f>IFERROR(__xludf.DUMMYFUNCTION("""COMPUTED_VALUE"""),1.0)</f>
        <v>1</v>
      </c>
      <c r="K121" s="6">
        <f>IFERROR(__xludf.DUMMYFUNCTION("""COMPUTED_VALUE"""),25238.0)</f>
        <v>25238</v>
      </c>
      <c r="L121" s="2">
        <f>IFERROR(__xludf.DUMMYFUNCTION("""COMPUTED_VALUE"""),0.0)</f>
        <v>0</v>
      </c>
      <c r="M121" s="2">
        <f>IFERROR(__xludf.DUMMYFUNCTION("""COMPUTED_VALUE"""),25238.0)</f>
        <v>25238</v>
      </c>
      <c r="N121" s="2">
        <f>IFERROR(__xludf.DUMMYFUNCTION("""COMPUTED_VALUE"""),0.0)</f>
        <v>0</v>
      </c>
      <c r="O121" s="2">
        <f>IFERROR(__xludf.DUMMYFUNCTION("""COMPUTED_VALUE"""),25238.0)</f>
        <v>25238</v>
      </c>
      <c r="P121" s="2">
        <f>IFERROR(__xludf.DUMMYFUNCTION("""COMPUTED_VALUE"""),1262.0)</f>
        <v>1262</v>
      </c>
      <c r="Q121" s="2" t="str">
        <f>IFERROR(__xludf.DUMMYFUNCTION("""COMPUTED_VALUE"""),"Dine In")</f>
        <v>Dine In</v>
      </c>
      <c r="R121" s="2" t="str">
        <f>IFERROR(__xludf.DUMMYFUNCTION("""COMPUTED_VALUE"""),"Kedai")</f>
        <v>Kedai</v>
      </c>
      <c r="S121" s="2" t="str">
        <f>IFERROR(__xludf.DUMMYFUNCTION("""COMPUTED_VALUE"""),"Temu Roti")</f>
        <v>Temu Roti</v>
      </c>
      <c r="T121" s="2" t="str">
        <f>IFERROR(__xludf.DUMMYFUNCTION("""COMPUTED_VALUE"""),"Owner")</f>
        <v>Owner</v>
      </c>
      <c r="U121" s="2"/>
      <c r="V121" s="2"/>
      <c r="W121" s="2"/>
      <c r="X121" s="2" t="str">
        <f>IFERROR(__xludf.DUMMYFUNCTION("""COMPUTED_VALUE"""),"Closed")</f>
        <v>Closed</v>
      </c>
    </row>
    <row r="122">
      <c r="A122" s="3" t="s">
        <v>145</v>
      </c>
      <c r="B122" s="4">
        <f>IFERROR(__xludf.DUMMYFUNCTION("SPLIT(A122,"","",0,0)"),45563.81180555555)</f>
        <v>45563.81181</v>
      </c>
      <c r="C122" s="5">
        <f>IFERROR(__xludf.DUMMYFUNCTION("""COMPUTED_VALUE"""),2785007.0)</f>
        <v>2785007</v>
      </c>
      <c r="D122" s="2" t="str">
        <f>IFERROR(__xludf.DUMMYFUNCTION("""COMPUTED_VALUE"""),"Sale")</f>
        <v>Sale</v>
      </c>
      <c r="E122" s="2" t="str">
        <f>IFERROR(__xludf.DUMMYFUNCTION("""COMPUTED_VALUE"""),"Kudapan")</f>
        <v>Kudapan</v>
      </c>
      <c r="F122" s="2">
        <f>IFERROR(__xludf.DUMMYFUNCTION("""COMPUTED_VALUE"""),10051.0)</f>
        <v>10051</v>
      </c>
      <c r="G122" s="2" t="str">
        <f>IFERROR(__xludf.DUMMYFUNCTION("""COMPUTED_VALUE"""),"Tahu baso")</f>
        <v>Tahu baso</v>
      </c>
      <c r="H122" s="2"/>
      <c r="I122" s="2"/>
      <c r="J122" s="2">
        <f>IFERROR(__xludf.DUMMYFUNCTION("""COMPUTED_VALUE"""),1.0)</f>
        <v>1</v>
      </c>
      <c r="K122" s="6">
        <f>IFERROR(__xludf.DUMMYFUNCTION("""COMPUTED_VALUE"""),25238.0)</f>
        <v>25238</v>
      </c>
      <c r="L122" s="2">
        <f>IFERROR(__xludf.DUMMYFUNCTION("""COMPUTED_VALUE"""),0.0)</f>
        <v>0</v>
      </c>
      <c r="M122" s="2">
        <f>IFERROR(__xludf.DUMMYFUNCTION("""COMPUTED_VALUE"""),25238.0)</f>
        <v>25238</v>
      </c>
      <c r="N122" s="2">
        <f>IFERROR(__xludf.DUMMYFUNCTION("""COMPUTED_VALUE"""),0.0)</f>
        <v>0</v>
      </c>
      <c r="O122" s="2">
        <f>IFERROR(__xludf.DUMMYFUNCTION("""COMPUTED_VALUE"""),25238.0)</f>
        <v>25238</v>
      </c>
      <c r="P122" s="2">
        <f>IFERROR(__xludf.DUMMYFUNCTION("""COMPUTED_VALUE"""),1262.0)</f>
        <v>1262</v>
      </c>
      <c r="Q122" s="2" t="str">
        <f>IFERROR(__xludf.DUMMYFUNCTION("""COMPUTED_VALUE"""),"Dine In")</f>
        <v>Dine In</v>
      </c>
      <c r="R122" s="2" t="str">
        <f>IFERROR(__xludf.DUMMYFUNCTION("""COMPUTED_VALUE"""),"Kedai")</f>
        <v>Kedai</v>
      </c>
      <c r="S122" s="2" t="str">
        <f>IFERROR(__xludf.DUMMYFUNCTION("""COMPUTED_VALUE"""),"Temu Roti")</f>
        <v>Temu Roti</v>
      </c>
      <c r="T122" s="2" t="str">
        <f>IFERROR(__xludf.DUMMYFUNCTION("""COMPUTED_VALUE"""),"Owner")</f>
        <v>Owner</v>
      </c>
      <c r="U122" s="2"/>
      <c r="V122" s="2"/>
      <c r="W122" s="2"/>
      <c r="X122" s="2" t="str">
        <f>IFERROR(__xludf.DUMMYFUNCTION("""COMPUTED_VALUE"""),"Closed")</f>
        <v>Closed</v>
      </c>
    </row>
    <row r="123">
      <c r="A123" s="3" t="s">
        <v>146</v>
      </c>
      <c r="B123" s="4">
        <f>IFERROR(__xludf.DUMMYFUNCTION("SPLIT(A123,"","",0,0)"),45563.78611111111)</f>
        <v>45563.78611</v>
      </c>
      <c r="C123" s="5">
        <f>IFERROR(__xludf.DUMMYFUNCTION("""COMPUTED_VALUE"""),2784641.0)</f>
        <v>2784641</v>
      </c>
      <c r="D123" s="2" t="str">
        <f>IFERROR(__xludf.DUMMYFUNCTION("""COMPUTED_VALUE"""),"Sale")</f>
        <v>Sale</v>
      </c>
      <c r="E123" s="2" t="str">
        <f>IFERROR(__xludf.DUMMYFUNCTION("""COMPUTED_VALUE"""),"Minuman")</f>
        <v>Minuman</v>
      </c>
      <c r="F123" s="2">
        <f>IFERROR(__xludf.DUMMYFUNCTION("""COMPUTED_VALUE"""),10106.0)</f>
        <v>10106</v>
      </c>
      <c r="G123" s="2" t="str">
        <f>IFERROR(__xludf.DUMMYFUNCTION("""COMPUTED_VALUE"""),"Korean Strawberry Fresh Milk")</f>
        <v>Korean Strawberry Fresh Milk</v>
      </c>
      <c r="H123" s="2"/>
      <c r="I123" s="2"/>
      <c r="J123" s="2">
        <f>IFERROR(__xludf.DUMMYFUNCTION("""COMPUTED_VALUE"""),1.0)</f>
        <v>1</v>
      </c>
      <c r="K123" s="6">
        <f>IFERROR(__xludf.DUMMYFUNCTION("""COMPUTED_VALUE"""),26667.0)</f>
        <v>26667</v>
      </c>
      <c r="L123" s="2">
        <f>IFERROR(__xludf.DUMMYFUNCTION("""COMPUTED_VALUE"""),0.0)</f>
        <v>0</v>
      </c>
      <c r="M123" s="2">
        <f>IFERROR(__xludf.DUMMYFUNCTION("""COMPUTED_VALUE"""),26667.0)</f>
        <v>26667</v>
      </c>
      <c r="N123" s="2">
        <f>IFERROR(__xludf.DUMMYFUNCTION("""COMPUTED_VALUE"""),0.0)</f>
        <v>0</v>
      </c>
      <c r="O123" s="2">
        <f>IFERROR(__xludf.DUMMYFUNCTION("""COMPUTED_VALUE"""),26667.0)</f>
        <v>26667</v>
      </c>
      <c r="P123" s="2">
        <f>IFERROR(__xludf.DUMMYFUNCTION("""COMPUTED_VALUE"""),1333.0)</f>
        <v>1333</v>
      </c>
      <c r="Q123" s="2" t="str">
        <f>IFERROR(__xludf.DUMMYFUNCTION("""COMPUTED_VALUE"""),"Dine In")</f>
        <v>Dine In</v>
      </c>
      <c r="R123" s="2" t="str">
        <f>IFERROR(__xludf.DUMMYFUNCTION("""COMPUTED_VALUE"""),"Kedai")</f>
        <v>Kedai</v>
      </c>
      <c r="S123" s="2" t="str">
        <f>IFERROR(__xludf.DUMMYFUNCTION("""COMPUTED_VALUE"""),"Temu Roti")</f>
        <v>Temu Roti</v>
      </c>
      <c r="T123" s="2" t="str">
        <f>IFERROR(__xludf.DUMMYFUNCTION("""COMPUTED_VALUE"""),"Owner")</f>
        <v>Owner</v>
      </c>
      <c r="U123" s="2"/>
      <c r="V123" s="2"/>
      <c r="W123" s="2"/>
      <c r="X123" s="2" t="str">
        <f>IFERROR(__xludf.DUMMYFUNCTION("""COMPUTED_VALUE"""),"Closed")</f>
        <v>Closed</v>
      </c>
    </row>
    <row r="124">
      <c r="A124" s="3" t="s">
        <v>147</v>
      </c>
      <c r="B124" s="4">
        <f>IFERROR(__xludf.DUMMYFUNCTION("SPLIT(A124,"","",0,0)"),45563.78611111111)</f>
        <v>45563.78611</v>
      </c>
      <c r="C124" s="5">
        <f>IFERROR(__xludf.DUMMYFUNCTION("""COMPUTED_VALUE"""),2784641.0)</f>
        <v>2784641</v>
      </c>
      <c r="D124" s="2" t="str">
        <f>IFERROR(__xludf.DUMMYFUNCTION("""COMPUTED_VALUE"""),"Sale")</f>
        <v>Sale</v>
      </c>
      <c r="E124" s="2" t="str">
        <f>IFERROR(__xludf.DUMMYFUNCTION("""COMPUTED_VALUE"""),"Hidangan Utama")</f>
        <v>Hidangan Utama</v>
      </c>
      <c r="F124" s="2">
        <f>IFERROR(__xludf.DUMMYFUNCTION("""COMPUTED_VALUE"""),10104.0)</f>
        <v>10104</v>
      </c>
      <c r="G124" s="2" t="str">
        <f>IFERROR(__xludf.DUMMYFUNCTION("""COMPUTED_VALUE"""),"Chicken Claypot Rice")</f>
        <v>Chicken Claypot Rice</v>
      </c>
      <c r="H124" s="2"/>
      <c r="I124" s="2"/>
      <c r="J124" s="2">
        <f>IFERROR(__xludf.DUMMYFUNCTION("""COMPUTED_VALUE"""),1.0)</f>
        <v>1</v>
      </c>
      <c r="K124" s="6">
        <f>IFERROR(__xludf.DUMMYFUNCTION("""COMPUTED_VALUE"""),34762.0)</f>
        <v>34762</v>
      </c>
      <c r="L124" s="2">
        <f>IFERROR(__xludf.DUMMYFUNCTION("""COMPUTED_VALUE"""),0.0)</f>
        <v>0</v>
      </c>
      <c r="M124" s="2">
        <f>IFERROR(__xludf.DUMMYFUNCTION("""COMPUTED_VALUE"""),34762.0)</f>
        <v>34762</v>
      </c>
      <c r="N124" s="2">
        <f>IFERROR(__xludf.DUMMYFUNCTION("""COMPUTED_VALUE"""),0.0)</f>
        <v>0</v>
      </c>
      <c r="O124" s="2">
        <f>IFERROR(__xludf.DUMMYFUNCTION("""COMPUTED_VALUE"""),34762.0)</f>
        <v>34762</v>
      </c>
      <c r="P124" s="2">
        <f>IFERROR(__xludf.DUMMYFUNCTION("""COMPUTED_VALUE"""),1738.0)</f>
        <v>1738</v>
      </c>
      <c r="Q124" s="2" t="str">
        <f>IFERROR(__xludf.DUMMYFUNCTION("""COMPUTED_VALUE"""),"Dine In")</f>
        <v>Dine In</v>
      </c>
      <c r="R124" s="2" t="str">
        <f>IFERROR(__xludf.DUMMYFUNCTION("""COMPUTED_VALUE"""),"Kedai")</f>
        <v>Kedai</v>
      </c>
      <c r="S124" s="2" t="str">
        <f>IFERROR(__xludf.DUMMYFUNCTION("""COMPUTED_VALUE"""),"Temu Roti")</f>
        <v>Temu Roti</v>
      </c>
      <c r="T124" s="2" t="str">
        <f>IFERROR(__xludf.DUMMYFUNCTION("""COMPUTED_VALUE"""),"Owner")</f>
        <v>Owner</v>
      </c>
      <c r="U124" s="2"/>
      <c r="V124" s="2"/>
      <c r="W124" s="2"/>
      <c r="X124" s="2" t="str">
        <f>IFERROR(__xludf.DUMMYFUNCTION("""COMPUTED_VALUE"""),"Closed")</f>
        <v>Closed</v>
      </c>
    </row>
    <row r="125">
      <c r="A125" s="3" t="s">
        <v>148</v>
      </c>
      <c r="B125" s="4">
        <f>IFERROR(__xludf.DUMMYFUNCTION("SPLIT(A125,"","",0,0)"),45563.78611111111)</f>
        <v>45563.78611</v>
      </c>
      <c r="C125" s="5">
        <f>IFERROR(__xludf.DUMMYFUNCTION("""COMPUTED_VALUE"""),2784641.0)</f>
        <v>2784641</v>
      </c>
      <c r="D125" s="2" t="str">
        <f>IFERROR(__xludf.DUMMYFUNCTION("""COMPUTED_VALUE"""),"Sale")</f>
        <v>Sale</v>
      </c>
      <c r="E125" s="2" t="str">
        <f>IFERROR(__xludf.DUMMYFUNCTION("""COMPUTED_VALUE"""),"Hidangan Utama")</f>
        <v>Hidangan Utama</v>
      </c>
      <c r="F125" s="2">
        <f>IFERROR(__xludf.DUMMYFUNCTION("""COMPUTED_VALUE"""),10105.0)</f>
        <v>10105</v>
      </c>
      <c r="G125" s="2" t="str">
        <f>IFERROR(__xludf.DUMMYFUNCTION("""COMPUTED_VALUE"""),"Beef Claypot Rice")</f>
        <v>Beef Claypot Rice</v>
      </c>
      <c r="H125" s="2"/>
      <c r="I125" s="2"/>
      <c r="J125" s="2">
        <f>IFERROR(__xludf.DUMMYFUNCTION("""COMPUTED_VALUE"""),1.0)</f>
        <v>1</v>
      </c>
      <c r="K125" s="6">
        <f>IFERROR(__xludf.DUMMYFUNCTION("""COMPUTED_VALUE"""),38095.0)</f>
        <v>38095</v>
      </c>
      <c r="L125" s="2">
        <f>IFERROR(__xludf.DUMMYFUNCTION("""COMPUTED_VALUE"""),0.0)</f>
        <v>0</v>
      </c>
      <c r="M125" s="2">
        <f>IFERROR(__xludf.DUMMYFUNCTION("""COMPUTED_VALUE"""),38095.0)</f>
        <v>38095</v>
      </c>
      <c r="N125" s="2">
        <f>IFERROR(__xludf.DUMMYFUNCTION("""COMPUTED_VALUE"""),0.0)</f>
        <v>0</v>
      </c>
      <c r="O125" s="2">
        <f>IFERROR(__xludf.DUMMYFUNCTION("""COMPUTED_VALUE"""),38095.0)</f>
        <v>38095</v>
      </c>
      <c r="P125" s="2">
        <f>IFERROR(__xludf.DUMMYFUNCTION("""COMPUTED_VALUE"""),1905.0)</f>
        <v>1905</v>
      </c>
      <c r="Q125" s="2" t="str">
        <f>IFERROR(__xludf.DUMMYFUNCTION("""COMPUTED_VALUE"""),"Dine In")</f>
        <v>Dine In</v>
      </c>
      <c r="R125" s="2" t="str">
        <f>IFERROR(__xludf.DUMMYFUNCTION("""COMPUTED_VALUE"""),"Kedai")</f>
        <v>Kedai</v>
      </c>
      <c r="S125" s="2" t="str">
        <f>IFERROR(__xludf.DUMMYFUNCTION("""COMPUTED_VALUE"""),"Temu Roti")</f>
        <v>Temu Roti</v>
      </c>
      <c r="T125" s="2" t="str">
        <f>IFERROR(__xludf.DUMMYFUNCTION("""COMPUTED_VALUE"""),"Owner")</f>
        <v>Owner</v>
      </c>
      <c r="U125" s="2"/>
      <c r="V125" s="2"/>
      <c r="W125" s="2"/>
      <c r="X125" s="2" t="str">
        <f>IFERROR(__xludf.DUMMYFUNCTION("""COMPUTED_VALUE"""),"Closed")</f>
        <v>Closed</v>
      </c>
    </row>
    <row r="126">
      <c r="A126" s="3" t="s">
        <v>149</v>
      </c>
      <c r="B126" s="4">
        <f>IFERROR(__xludf.DUMMYFUNCTION("SPLIT(A126,"","",0,0)"),45563.78611111111)</f>
        <v>45563.78611</v>
      </c>
      <c r="C126" s="5">
        <f>IFERROR(__xludf.DUMMYFUNCTION("""COMPUTED_VALUE"""),2784641.0)</f>
        <v>2784641</v>
      </c>
      <c r="D126" s="2" t="str">
        <f>IFERROR(__xludf.DUMMYFUNCTION("""COMPUTED_VALUE"""),"Sale")</f>
        <v>Sale</v>
      </c>
      <c r="E126" s="2" t="str">
        <f>IFERROR(__xludf.DUMMYFUNCTION("""COMPUTED_VALUE"""),"Kudapan")</f>
        <v>Kudapan</v>
      </c>
      <c r="F126" s="2">
        <f>IFERROR(__xludf.DUMMYFUNCTION("""COMPUTED_VALUE"""),10014.0)</f>
        <v>10014</v>
      </c>
      <c r="G126" s="2" t="str">
        <f>IFERROR(__xludf.DUMMYFUNCTION("""COMPUTED_VALUE"""),"Tempe Mendoan")</f>
        <v>Tempe Mendoan</v>
      </c>
      <c r="H126" s="2"/>
      <c r="I126" s="2"/>
      <c r="J126" s="2">
        <f>IFERROR(__xludf.DUMMYFUNCTION("""COMPUTED_VALUE"""),1.0)</f>
        <v>1</v>
      </c>
      <c r="K126" s="6">
        <f>IFERROR(__xludf.DUMMYFUNCTION("""COMPUTED_VALUE"""),25238.0)</f>
        <v>25238</v>
      </c>
      <c r="L126" s="2">
        <f>IFERROR(__xludf.DUMMYFUNCTION("""COMPUTED_VALUE"""),0.0)</f>
        <v>0</v>
      </c>
      <c r="M126" s="2">
        <f>IFERROR(__xludf.DUMMYFUNCTION("""COMPUTED_VALUE"""),25238.0)</f>
        <v>25238</v>
      </c>
      <c r="N126" s="2">
        <f>IFERROR(__xludf.DUMMYFUNCTION("""COMPUTED_VALUE"""),0.0)</f>
        <v>0</v>
      </c>
      <c r="O126" s="2">
        <f>IFERROR(__xludf.DUMMYFUNCTION("""COMPUTED_VALUE"""),25238.0)</f>
        <v>25238</v>
      </c>
      <c r="P126" s="2">
        <f>IFERROR(__xludf.DUMMYFUNCTION("""COMPUTED_VALUE"""),1262.0)</f>
        <v>1262</v>
      </c>
      <c r="Q126" s="2" t="str">
        <f>IFERROR(__xludf.DUMMYFUNCTION("""COMPUTED_VALUE"""),"Dine In")</f>
        <v>Dine In</v>
      </c>
      <c r="R126" s="2" t="str">
        <f>IFERROR(__xludf.DUMMYFUNCTION("""COMPUTED_VALUE"""),"Kedai")</f>
        <v>Kedai</v>
      </c>
      <c r="S126" s="2" t="str">
        <f>IFERROR(__xludf.DUMMYFUNCTION("""COMPUTED_VALUE"""),"Temu Roti")</f>
        <v>Temu Roti</v>
      </c>
      <c r="T126" s="2" t="str">
        <f>IFERROR(__xludf.DUMMYFUNCTION("""COMPUTED_VALUE"""),"Owner")</f>
        <v>Owner</v>
      </c>
      <c r="U126" s="2"/>
      <c r="V126" s="2"/>
      <c r="W126" s="2"/>
      <c r="X126" s="2" t="str">
        <f>IFERROR(__xludf.DUMMYFUNCTION("""COMPUTED_VALUE"""),"Closed")</f>
        <v>Closed</v>
      </c>
    </row>
    <row r="127">
      <c r="A127" s="3" t="s">
        <v>150</v>
      </c>
      <c r="B127" s="4">
        <f>IFERROR(__xludf.DUMMYFUNCTION("SPLIT(A127,"","",0,0)"),45563.78611111111)</f>
        <v>45563.78611</v>
      </c>
      <c r="C127" s="5">
        <f>IFERROR(__xludf.DUMMYFUNCTION("""COMPUTED_VALUE"""),2784641.0)</f>
        <v>2784641</v>
      </c>
      <c r="D127" s="2" t="str">
        <f>IFERROR(__xludf.DUMMYFUNCTION("""COMPUTED_VALUE"""),"Sale")</f>
        <v>Sale</v>
      </c>
      <c r="E127" s="2" t="str">
        <f>IFERROR(__xludf.DUMMYFUNCTION("""COMPUTED_VALUE"""),"Hidangan Utama")</f>
        <v>Hidangan Utama</v>
      </c>
      <c r="F127" s="2">
        <f>IFERROR(__xludf.DUMMYFUNCTION("""COMPUTED_VALUE"""),10003.0)</f>
        <v>10003</v>
      </c>
      <c r="G127" s="2" t="str">
        <f>IFERROR(__xludf.DUMMYFUNCTION("""COMPUTED_VALUE"""),"Nasi Goreng Temu")</f>
        <v>Nasi Goreng Temu</v>
      </c>
      <c r="H127" s="2"/>
      <c r="I127" s="2"/>
      <c r="J127" s="2">
        <f>IFERROR(__xludf.DUMMYFUNCTION("""COMPUTED_VALUE"""),1.0)</f>
        <v>1</v>
      </c>
      <c r="K127" s="6">
        <f>IFERROR(__xludf.DUMMYFUNCTION("""COMPUTED_VALUE"""),29524.0)</f>
        <v>29524</v>
      </c>
      <c r="L127" s="2">
        <f>IFERROR(__xludf.DUMMYFUNCTION("""COMPUTED_VALUE"""),0.0)</f>
        <v>0</v>
      </c>
      <c r="M127" s="2">
        <f>IFERROR(__xludf.DUMMYFUNCTION("""COMPUTED_VALUE"""),29524.0)</f>
        <v>29524</v>
      </c>
      <c r="N127" s="2">
        <f>IFERROR(__xludf.DUMMYFUNCTION("""COMPUTED_VALUE"""),0.0)</f>
        <v>0</v>
      </c>
      <c r="O127" s="2">
        <f>IFERROR(__xludf.DUMMYFUNCTION("""COMPUTED_VALUE"""),29524.0)</f>
        <v>29524</v>
      </c>
      <c r="P127" s="2">
        <f>IFERROR(__xludf.DUMMYFUNCTION("""COMPUTED_VALUE"""),1476.0)</f>
        <v>1476</v>
      </c>
      <c r="Q127" s="2" t="str">
        <f>IFERROR(__xludf.DUMMYFUNCTION("""COMPUTED_VALUE"""),"Dine In")</f>
        <v>Dine In</v>
      </c>
      <c r="R127" s="2" t="str">
        <f>IFERROR(__xludf.DUMMYFUNCTION("""COMPUTED_VALUE"""),"Kedai")</f>
        <v>Kedai</v>
      </c>
      <c r="S127" s="2" t="str">
        <f>IFERROR(__xludf.DUMMYFUNCTION("""COMPUTED_VALUE"""),"Temu Roti")</f>
        <v>Temu Roti</v>
      </c>
      <c r="T127" s="2" t="str">
        <f>IFERROR(__xludf.DUMMYFUNCTION("""COMPUTED_VALUE"""),"Owner")</f>
        <v>Owner</v>
      </c>
      <c r="U127" s="2"/>
      <c r="V127" s="2"/>
      <c r="W127" s="2"/>
      <c r="X127" s="2" t="str">
        <f>IFERROR(__xludf.DUMMYFUNCTION("""COMPUTED_VALUE"""),"Closed")</f>
        <v>Closed</v>
      </c>
    </row>
    <row r="128">
      <c r="A128" s="3" t="s">
        <v>151</v>
      </c>
      <c r="B128" s="4">
        <f>IFERROR(__xludf.DUMMYFUNCTION("SPLIT(A128,"","",0,0)"),45563.77847222222)</f>
        <v>45563.77847</v>
      </c>
      <c r="C128" s="5">
        <f>IFERROR(__xludf.DUMMYFUNCTION("""COMPUTED_VALUE"""),2784276.0)</f>
        <v>2784276</v>
      </c>
      <c r="D128" s="2" t="str">
        <f>IFERROR(__xludf.DUMMYFUNCTION("""COMPUTED_VALUE"""),"Sale")</f>
        <v>Sale</v>
      </c>
      <c r="E128" s="2" t="str">
        <f>IFERROR(__xludf.DUMMYFUNCTION("""COMPUTED_VALUE"""),"Minuman")</f>
        <v>Minuman</v>
      </c>
      <c r="F128" s="2">
        <f>IFERROR(__xludf.DUMMYFUNCTION("""COMPUTED_VALUE"""),10118.0)</f>
        <v>10118</v>
      </c>
      <c r="G128" s="2" t="str">
        <f>IFERROR(__xludf.DUMMYFUNCTION("""COMPUTED_VALUE"""),"Teh Tawar Panas")</f>
        <v>Teh Tawar Panas</v>
      </c>
      <c r="H128" s="2"/>
      <c r="I128" s="2"/>
      <c r="J128" s="2">
        <f>IFERROR(__xludf.DUMMYFUNCTION("""COMPUTED_VALUE"""),1.0)</f>
        <v>1</v>
      </c>
      <c r="K128" s="6">
        <f>IFERROR(__xludf.DUMMYFUNCTION("""COMPUTED_VALUE"""),7143.0)</f>
        <v>7143</v>
      </c>
      <c r="L128" s="2">
        <f>IFERROR(__xludf.DUMMYFUNCTION("""COMPUTED_VALUE"""),0.0)</f>
        <v>0</v>
      </c>
      <c r="M128" s="2">
        <f>IFERROR(__xludf.DUMMYFUNCTION("""COMPUTED_VALUE"""),7143.0)</f>
        <v>7143</v>
      </c>
      <c r="N128" s="2">
        <f>IFERROR(__xludf.DUMMYFUNCTION("""COMPUTED_VALUE"""),0.0)</f>
        <v>0</v>
      </c>
      <c r="O128" s="2">
        <f>IFERROR(__xludf.DUMMYFUNCTION("""COMPUTED_VALUE"""),7143.0)</f>
        <v>7143</v>
      </c>
      <c r="P128" s="2">
        <f>IFERROR(__xludf.DUMMYFUNCTION("""COMPUTED_VALUE"""),357.0)</f>
        <v>357</v>
      </c>
      <c r="Q128" s="2" t="str">
        <f>IFERROR(__xludf.DUMMYFUNCTION("""COMPUTED_VALUE"""),"Dine In")</f>
        <v>Dine In</v>
      </c>
      <c r="R128" s="2" t="str">
        <f>IFERROR(__xludf.DUMMYFUNCTION("""COMPUTED_VALUE"""),"Kedai")</f>
        <v>Kedai</v>
      </c>
      <c r="S128" s="2" t="str">
        <f>IFERROR(__xludf.DUMMYFUNCTION("""COMPUTED_VALUE"""),"Temu Roti")</f>
        <v>Temu Roti</v>
      </c>
      <c r="T128" s="2" t="str">
        <f>IFERROR(__xludf.DUMMYFUNCTION("""COMPUTED_VALUE"""),"Owner")</f>
        <v>Owner</v>
      </c>
      <c r="U128" s="2"/>
      <c r="V128" s="2"/>
      <c r="W128" s="2"/>
      <c r="X128" s="2" t="str">
        <f>IFERROR(__xludf.DUMMYFUNCTION("""COMPUTED_VALUE"""),"Closed")</f>
        <v>Closed</v>
      </c>
    </row>
    <row r="129">
      <c r="A129" s="3" t="s">
        <v>152</v>
      </c>
      <c r="B129" s="4">
        <f>IFERROR(__xludf.DUMMYFUNCTION("SPLIT(A129,"","",0,0)"),45563.77013888889)</f>
        <v>45563.77014</v>
      </c>
      <c r="C129" s="5">
        <f>IFERROR(__xludf.DUMMYFUNCTION("""COMPUTED_VALUE"""),2783911.0)</f>
        <v>2783911</v>
      </c>
      <c r="D129" s="2" t="str">
        <f>IFERROR(__xludf.DUMMYFUNCTION("""COMPUTED_VALUE"""),"Sale")</f>
        <v>Sale</v>
      </c>
      <c r="E129" s="2" t="str">
        <f>IFERROR(__xludf.DUMMYFUNCTION("""COMPUTED_VALUE"""),"Hidangan Utama")</f>
        <v>Hidangan Utama</v>
      </c>
      <c r="F129" s="2">
        <f>IFERROR(__xludf.DUMMYFUNCTION("""COMPUTED_VALUE"""),10003.0)</f>
        <v>10003</v>
      </c>
      <c r="G129" s="2" t="str">
        <f>IFERROR(__xludf.DUMMYFUNCTION("""COMPUTED_VALUE"""),"Nasi Goreng Temu")</f>
        <v>Nasi Goreng Temu</v>
      </c>
      <c r="H129" s="2"/>
      <c r="I129" s="2"/>
      <c r="J129" s="2">
        <f>IFERROR(__xludf.DUMMYFUNCTION("""COMPUTED_VALUE"""),1.0)</f>
        <v>1</v>
      </c>
      <c r="K129" s="6">
        <f>IFERROR(__xludf.DUMMYFUNCTION("""COMPUTED_VALUE"""),29524.0)</f>
        <v>29524</v>
      </c>
      <c r="L129" s="2">
        <f>IFERROR(__xludf.DUMMYFUNCTION("""COMPUTED_VALUE"""),0.0)</f>
        <v>0</v>
      </c>
      <c r="M129" s="2">
        <f>IFERROR(__xludf.DUMMYFUNCTION("""COMPUTED_VALUE"""),29524.0)</f>
        <v>29524</v>
      </c>
      <c r="N129" s="2">
        <f>IFERROR(__xludf.DUMMYFUNCTION("""COMPUTED_VALUE"""),0.0)</f>
        <v>0</v>
      </c>
      <c r="O129" s="2">
        <f>IFERROR(__xludf.DUMMYFUNCTION("""COMPUTED_VALUE"""),29524.0)</f>
        <v>29524</v>
      </c>
      <c r="P129" s="2">
        <f>IFERROR(__xludf.DUMMYFUNCTION("""COMPUTED_VALUE"""),1476.0)</f>
        <v>1476</v>
      </c>
      <c r="Q129" s="2" t="str">
        <f>IFERROR(__xludf.DUMMYFUNCTION("""COMPUTED_VALUE"""),"Dine In")</f>
        <v>Dine In</v>
      </c>
      <c r="R129" s="2" t="str">
        <f>IFERROR(__xludf.DUMMYFUNCTION("""COMPUTED_VALUE"""),"Kedai")</f>
        <v>Kedai</v>
      </c>
      <c r="S129" s="2" t="str">
        <f>IFERROR(__xludf.DUMMYFUNCTION("""COMPUTED_VALUE"""),"Temu Roti")</f>
        <v>Temu Roti</v>
      </c>
      <c r="T129" s="2" t="str">
        <f>IFERROR(__xludf.DUMMYFUNCTION("""COMPUTED_VALUE"""),"Owner")</f>
        <v>Owner</v>
      </c>
      <c r="U129" s="2"/>
      <c r="V129" s="2"/>
      <c r="W129" s="2"/>
      <c r="X129" s="2" t="str">
        <f>IFERROR(__xludf.DUMMYFUNCTION("""COMPUTED_VALUE"""),"Closed")</f>
        <v>Closed</v>
      </c>
    </row>
    <row r="130">
      <c r="A130" s="3" t="s">
        <v>153</v>
      </c>
      <c r="B130" s="4">
        <f>IFERROR(__xludf.DUMMYFUNCTION("SPLIT(A130,"","",0,0)"),45563.77013888889)</f>
        <v>45563.77014</v>
      </c>
      <c r="C130" s="5">
        <f>IFERROR(__xludf.DUMMYFUNCTION("""COMPUTED_VALUE"""),2783911.0)</f>
        <v>2783911</v>
      </c>
      <c r="D130" s="2" t="str">
        <f>IFERROR(__xludf.DUMMYFUNCTION("""COMPUTED_VALUE"""),"Sale")</f>
        <v>Sale</v>
      </c>
      <c r="E130" s="2" t="str">
        <f>IFERROR(__xludf.DUMMYFUNCTION("""COMPUTED_VALUE"""),"Minuman")</f>
        <v>Minuman</v>
      </c>
      <c r="F130" s="2">
        <f>IFERROR(__xludf.DUMMYFUNCTION("""COMPUTED_VALUE"""),10128.0)</f>
        <v>10128</v>
      </c>
      <c r="G130" s="2" t="str">
        <f>IFERROR(__xludf.DUMMYFUNCTION("""COMPUTED_VALUE"""),"Es Kopi Susu")</f>
        <v>Es Kopi Susu</v>
      </c>
      <c r="H130" s="2"/>
      <c r="I130" s="2"/>
      <c r="J130" s="2">
        <f>IFERROR(__xludf.DUMMYFUNCTION("""COMPUTED_VALUE"""),1.0)</f>
        <v>1</v>
      </c>
      <c r="K130" s="6">
        <f>IFERROR(__xludf.DUMMYFUNCTION("""COMPUTED_VALUE"""),23333.0)</f>
        <v>23333</v>
      </c>
      <c r="L130" s="2">
        <f>IFERROR(__xludf.DUMMYFUNCTION("""COMPUTED_VALUE"""),0.0)</f>
        <v>0</v>
      </c>
      <c r="M130" s="2">
        <f>IFERROR(__xludf.DUMMYFUNCTION("""COMPUTED_VALUE"""),23333.0)</f>
        <v>23333</v>
      </c>
      <c r="N130" s="2">
        <f>IFERROR(__xludf.DUMMYFUNCTION("""COMPUTED_VALUE"""),0.0)</f>
        <v>0</v>
      </c>
      <c r="O130" s="2">
        <f>IFERROR(__xludf.DUMMYFUNCTION("""COMPUTED_VALUE"""),23333.0)</f>
        <v>23333</v>
      </c>
      <c r="P130" s="2">
        <f>IFERROR(__xludf.DUMMYFUNCTION("""COMPUTED_VALUE"""),1167.0)</f>
        <v>1167</v>
      </c>
      <c r="Q130" s="2" t="str">
        <f>IFERROR(__xludf.DUMMYFUNCTION("""COMPUTED_VALUE"""),"Dine In")</f>
        <v>Dine In</v>
      </c>
      <c r="R130" s="2" t="str">
        <f>IFERROR(__xludf.DUMMYFUNCTION("""COMPUTED_VALUE"""),"Kedai")</f>
        <v>Kedai</v>
      </c>
      <c r="S130" s="2" t="str">
        <f>IFERROR(__xludf.DUMMYFUNCTION("""COMPUTED_VALUE"""),"Temu Roti")</f>
        <v>Temu Roti</v>
      </c>
      <c r="T130" s="2" t="str">
        <f>IFERROR(__xludf.DUMMYFUNCTION("""COMPUTED_VALUE"""),"Owner")</f>
        <v>Owner</v>
      </c>
      <c r="U130" s="2"/>
      <c r="V130" s="2"/>
      <c r="W130" s="2"/>
      <c r="X130" s="2" t="str">
        <f>IFERROR(__xludf.DUMMYFUNCTION("""COMPUTED_VALUE"""),"Closed")</f>
        <v>Closed</v>
      </c>
    </row>
    <row r="131">
      <c r="A131" s="3" t="s">
        <v>154</v>
      </c>
      <c r="B131" s="4">
        <f>IFERROR(__xludf.DUMMYFUNCTION("SPLIT(A131,"","",0,0)"),45563.72152777778)</f>
        <v>45563.72153</v>
      </c>
      <c r="C131" s="5">
        <f>IFERROR(__xludf.DUMMYFUNCTION("""COMPUTED_VALUE"""),2783546.0)</f>
        <v>2783546</v>
      </c>
      <c r="D131" s="2" t="str">
        <f>IFERROR(__xludf.DUMMYFUNCTION("""COMPUTED_VALUE"""),"Sale")</f>
        <v>Sale</v>
      </c>
      <c r="E131" s="2" t="str">
        <f>IFERROR(__xludf.DUMMYFUNCTION("""COMPUTED_VALUE"""),"Minuman")</f>
        <v>Minuman</v>
      </c>
      <c r="F131" s="2">
        <f>IFERROR(__xludf.DUMMYFUNCTION("""COMPUTED_VALUE"""),10128.0)</f>
        <v>10128</v>
      </c>
      <c r="G131" s="2" t="str">
        <f>IFERROR(__xludf.DUMMYFUNCTION("""COMPUTED_VALUE"""),"Es Kopi Susu")</f>
        <v>Es Kopi Susu</v>
      </c>
      <c r="H131" s="2"/>
      <c r="I131" s="2"/>
      <c r="J131" s="2">
        <f>IFERROR(__xludf.DUMMYFUNCTION("""COMPUTED_VALUE"""),1.0)</f>
        <v>1</v>
      </c>
      <c r="K131" s="6">
        <f>IFERROR(__xludf.DUMMYFUNCTION("""COMPUTED_VALUE"""),23333.0)</f>
        <v>23333</v>
      </c>
      <c r="L131" s="2">
        <f>IFERROR(__xludf.DUMMYFUNCTION("""COMPUTED_VALUE"""),0.0)</f>
        <v>0</v>
      </c>
      <c r="M131" s="2">
        <f>IFERROR(__xludf.DUMMYFUNCTION("""COMPUTED_VALUE"""),23333.0)</f>
        <v>23333</v>
      </c>
      <c r="N131" s="2">
        <f>IFERROR(__xludf.DUMMYFUNCTION("""COMPUTED_VALUE"""),0.0)</f>
        <v>0</v>
      </c>
      <c r="O131" s="2">
        <f>IFERROR(__xludf.DUMMYFUNCTION("""COMPUTED_VALUE"""),23333.0)</f>
        <v>23333</v>
      </c>
      <c r="P131" s="2">
        <f>IFERROR(__xludf.DUMMYFUNCTION("""COMPUTED_VALUE"""),1167.0)</f>
        <v>1167</v>
      </c>
      <c r="Q131" s="2" t="str">
        <f>IFERROR(__xludf.DUMMYFUNCTION("""COMPUTED_VALUE"""),"Dine In")</f>
        <v>Dine In</v>
      </c>
      <c r="R131" s="2" t="str">
        <f>IFERROR(__xludf.DUMMYFUNCTION("""COMPUTED_VALUE"""),"Kedai")</f>
        <v>Kedai</v>
      </c>
      <c r="S131" s="2" t="str">
        <f>IFERROR(__xludf.DUMMYFUNCTION("""COMPUTED_VALUE"""),"Temu Roti")</f>
        <v>Temu Roti</v>
      </c>
      <c r="T131" s="2" t="str">
        <f>IFERROR(__xludf.DUMMYFUNCTION("""COMPUTED_VALUE"""),"Owner")</f>
        <v>Owner</v>
      </c>
      <c r="U131" s="2"/>
      <c r="V131" s="2"/>
      <c r="W131" s="2"/>
      <c r="X131" s="2" t="str">
        <f>IFERROR(__xludf.DUMMYFUNCTION("""COMPUTED_VALUE"""),"Closed")</f>
        <v>Closed</v>
      </c>
    </row>
    <row r="132">
      <c r="A132" s="3" t="s">
        <v>155</v>
      </c>
      <c r="B132" s="4">
        <f>IFERROR(__xludf.DUMMYFUNCTION("SPLIT(A132,"","",0,0)"),45563.72152777778)</f>
        <v>45563.72153</v>
      </c>
      <c r="C132" s="5">
        <f>IFERROR(__xludf.DUMMYFUNCTION("""COMPUTED_VALUE"""),2783546.0)</f>
        <v>2783546</v>
      </c>
      <c r="D132" s="2" t="str">
        <f>IFERROR(__xludf.DUMMYFUNCTION("""COMPUTED_VALUE"""),"Sale")</f>
        <v>Sale</v>
      </c>
      <c r="E132" s="2" t="str">
        <f>IFERROR(__xludf.DUMMYFUNCTION("""COMPUTED_VALUE"""),"Hidangan Utama")</f>
        <v>Hidangan Utama</v>
      </c>
      <c r="F132" s="2">
        <f>IFERROR(__xludf.DUMMYFUNCTION("""COMPUTED_VALUE"""),10053.0)</f>
        <v>10053</v>
      </c>
      <c r="G132" s="2" t="str">
        <f>IFERROR(__xludf.DUMMYFUNCTION("""COMPUTED_VALUE"""),"Nasi telor")</f>
        <v>Nasi telor</v>
      </c>
      <c r="H132" s="2"/>
      <c r="I132" s="2"/>
      <c r="J132" s="2">
        <f>IFERROR(__xludf.DUMMYFUNCTION("""COMPUTED_VALUE"""),1.0)</f>
        <v>1</v>
      </c>
      <c r="K132" s="6">
        <f>IFERROR(__xludf.DUMMYFUNCTION("""COMPUTED_VALUE"""),25238.0)</f>
        <v>25238</v>
      </c>
      <c r="L132" s="2">
        <f>IFERROR(__xludf.DUMMYFUNCTION("""COMPUTED_VALUE"""),0.0)</f>
        <v>0</v>
      </c>
      <c r="M132" s="2">
        <f>IFERROR(__xludf.DUMMYFUNCTION("""COMPUTED_VALUE"""),25238.0)</f>
        <v>25238</v>
      </c>
      <c r="N132" s="2">
        <f>IFERROR(__xludf.DUMMYFUNCTION("""COMPUTED_VALUE"""),0.0)</f>
        <v>0</v>
      </c>
      <c r="O132" s="2">
        <f>IFERROR(__xludf.DUMMYFUNCTION("""COMPUTED_VALUE"""),25238.0)</f>
        <v>25238</v>
      </c>
      <c r="P132" s="2">
        <f>IFERROR(__xludf.DUMMYFUNCTION("""COMPUTED_VALUE"""),1262.0)</f>
        <v>1262</v>
      </c>
      <c r="Q132" s="2" t="str">
        <f>IFERROR(__xludf.DUMMYFUNCTION("""COMPUTED_VALUE"""),"Dine In")</f>
        <v>Dine In</v>
      </c>
      <c r="R132" s="2" t="str">
        <f>IFERROR(__xludf.DUMMYFUNCTION("""COMPUTED_VALUE"""),"Kedai")</f>
        <v>Kedai</v>
      </c>
      <c r="S132" s="2" t="str">
        <f>IFERROR(__xludf.DUMMYFUNCTION("""COMPUTED_VALUE"""),"Temu Roti")</f>
        <v>Temu Roti</v>
      </c>
      <c r="T132" s="2" t="str">
        <f>IFERROR(__xludf.DUMMYFUNCTION("""COMPUTED_VALUE"""),"Owner")</f>
        <v>Owner</v>
      </c>
      <c r="U132" s="2"/>
      <c r="V132" s="2"/>
      <c r="W132" s="2"/>
      <c r="X132" s="2" t="str">
        <f>IFERROR(__xludf.DUMMYFUNCTION("""COMPUTED_VALUE"""),"Closed")</f>
        <v>Closed</v>
      </c>
    </row>
    <row r="133">
      <c r="A133" s="3" t="s">
        <v>156</v>
      </c>
      <c r="B133" s="4">
        <f>IFERROR(__xludf.DUMMYFUNCTION("SPLIT(A133,"","",0,0)"),45563.72083333333)</f>
        <v>45563.72083</v>
      </c>
      <c r="C133" s="5">
        <f>IFERROR(__xludf.DUMMYFUNCTION("""COMPUTED_VALUE"""),2783180.0)</f>
        <v>2783180</v>
      </c>
      <c r="D133" s="2" t="str">
        <f>IFERROR(__xludf.DUMMYFUNCTION("""COMPUTED_VALUE"""),"Refund")</f>
        <v>Refund</v>
      </c>
      <c r="E133" s="2" t="str">
        <f>IFERROR(__xludf.DUMMYFUNCTION("""COMPUTED_VALUE"""),"Minuman")</f>
        <v>Minuman</v>
      </c>
      <c r="F133" s="2">
        <f>IFERROR(__xludf.DUMMYFUNCTION("""COMPUTED_VALUE"""),10128.0)</f>
        <v>10128</v>
      </c>
      <c r="G133" s="2" t="str">
        <f>IFERROR(__xludf.DUMMYFUNCTION("""COMPUTED_VALUE"""),"Es Kopi Susu")</f>
        <v>Es Kopi Susu</v>
      </c>
      <c r="H133" s="2"/>
      <c r="I133" s="2"/>
      <c r="J133" s="2">
        <f>IFERROR(__xludf.DUMMYFUNCTION("""COMPUTED_VALUE"""),-1.0)</f>
        <v>-1</v>
      </c>
      <c r="K133" s="6">
        <f>IFERROR(__xludf.DUMMYFUNCTION("""COMPUTED_VALUE"""),-23333.0)</f>
        <v>-23333</v>
      </c>
      <c r="L133" s="2">
        <f>IFERROR(__xludf.DUMMYFUNCTION("""COMPUTED_VALUE"""),0.0)</f>
        <v>0</v>
      </c>
      <c r="M133" s="2">
        <f>IFERROR(__xludf.DUMMYFUNCTION("""COMPUTED_VALUE"""),-23333.0)</f>
        <v>-23333</v>
      </c>
      <c r="N133" s="2">
        <f>IFERROR(__xludf.DUMMYFUNCTION("""COMPUTED_VALUE"""),0.0)</f>
        <v>0</v>
      </c>
      <c r="O133" s="2">
        <f>IFERROR(__xludf.DUMMYFUNCTION("""COMPUTED_VALUE"""),-23333.0)</f>
        <v>-23333</v>
      </c>
      <c r="P133" s="2">
        <f>IFERROR(__xludf.DUMMYFUNCTION("""COMPUTED_VALUE"""),-1167.0)</f>
        <v>-1167</v>
      </c>
      <c r="Q133" s="2" t="str">
        <f>IFERROR(__xludf.DUMMYFUNCTION("""COMPUTED_VALUE"""),"Dine In")</f>
        <v>Dine In</v>
      </c>
      <c r="R133" s="2" t="str">
        <f>IFERROR(__xludf.DUMMYFUNCTION("""COMPUTED_VALUE"""),"Kedai")</f>
        <v>Kedai</v>
      </c>
      <c r="S133" s="2" t="str">
        <f>IFERROR(__xludf.DUMMYFUNCTION("""COMPUTED_VALUE"""),"Temu Roti")</f>
        <v>Temu Roti</v>
      </c>
      <c r="T133" s="2" t="str">
        <f>IFERROR(__xludf.DUMMYFUNCTION("""COMPUTED_VALUE"""),"Owner")</f>
        <v>Owner</v>
      </c>
      <c r="U133" s="2"/>
      <c r="V133" s="2"/>
      <c r="W133" s="2"/>
      <c r="X133" s="2" t="str">
        <f>IFERROR(__xludf.DUMMYFUNCTION("""COMPUTED_VALUE"""),"Closed")</f>
        <v>Closed</v>
      </c>
    </row>
    <row r="134">
      <c r="A134" s="3" t="s">
        <v>157</v>
      </c>
      <c r="B134" s="4">
        <f>IFERROR(__xludf.DUMMYFUNCTION("SPLIT(A134,"","",0,0)"),45563.72083333333)</f>
        <v>45563.72083</v>
      </c>
      <c r="C134" s="5">
        <f>IFERROR(__xludf.DUMMYFUNCTION("""COMPUTED_VALUE"""),2783180.0)</f>
        <v>2783180</v>
      </c>
      <c r="D134" s="2" t="str">
        <f>IFERROR(__xludf.DUMMYFUNCTION("""COMPUTED_VALUE"""),"Refund")</f>
        <v>Refund</v>
      </c>
      <c r="E134" s="2" t="str">
        <f>IFERROR(__xludf.DUMMYFUNCTION("""COMPUTED_VALUE"""),"Hidangan Utama")</f>
        <v>Hidangan Utama</v>
      </c>
      <c r="F134" s="2">
        <f>IFERROR(__xludf.DUMMYFUNCTION("""COMPUTED_VALUE"""),10053.0)</f>
        <v>10053</v>
      </c>
      <c r="G134" s="2" t="str">
        <f>IFERROR(__xludf.DUMMYFUNCTION("""COMPUTED_VALUE"""),"Nasi telor")</f>
        <v>Nasi telor</v>
      </c>
      <c r="H134" s="2"/>
      <c r="I134" s="2"/>
      <c r="J134" s="2">
        <f>IFERROR(__xludf.DUMMYFUNCTION("""COMPUTED_VALUE"""),-1.0)</f>
        <v>-1</v>
      </c>
      <c r="K134" s="6">
        <f>IFERROR(__xludf.DUMMYFUNCTION("""COMPUTED_VALUE"""),-25238.0)</f>
        <v>-25238</v>
      </c>
      <c r="L134" s="2">
        <f>IFERROR(__xludf.DUMMYFUNCTION("""COMPUTED_VALUE"""),0.0)</f>
        <v>0</v>
      </c>
      <c r="M134" s="2">
        <f>IFERROR(__xludf.DUMMYFUNCTION("""COMPUTED_VALUE"""),-25238.0)</f>
        <v>-25238</v>
      </c>
      <c r="N134" s="2">
        <f>IFERROR(__xludf.DUMMYFUNCTION("""COMPUTED_VALUE"""),0.0)</f>
        <v>0</v>
      </c>
      <c r="O134" s="2">
        <f>IFERROR(__xludf.DUMMYFUNCTION("""COMPUTED_VALUE"""),-25238.0)</f>
        <v>-25238</v>
      </c>
      <c r="P134" s="2">
        <f>IFERROR(__xludf.DUMMYFUNCTION("""COMPUTED_VALUE"""),-1262.0)</f>
        <v>-1262</v>
      </c>
      <c r="Q134" s="2" t="str">
        <f>IFERROR(__xludf.DUMMYFUNCTION("""COMPUTED_VALUE"""),"Dine In")</f>
        <v>Dine In</v>
      </c>
      <c r="R134" s="2" t="str">
        <f>IFERROR(__xludf.DUMMYFUNCTION("""COMPUTED_VALUE"""),"Kedai")</f>
        <v>Kedai</v>
      </c>
      <c r="S134" s="2" t="str">
        <f>IFERROR(__xludf.DUMMYFUNCTION("""COMPUTED_VALUE"""),"Temu Roti")</f>
        <v>Temu Roti</v>
      </c>
      <c r="T134" s="2" t="str">
        <f>IFERROR(__xludf.DUMMYFUNCTION("""COMPUTED_VALUE"""),"Owner")</f>
        <v>Owner</v>
      </c>
      <c r="U134" s="2"/>
      <c r="V134" s="2"/>
      <c r="W134" s="2"/>
      <c r="X134" s="2" t="str">
        <f>IFERROR(__xludf.DUMMYFUNCTION("""COMPUTED_VALUE"""),"Closed")</f>
        <v>Closed</v>
      </c>
    </row>
    <row r="135">
      <c r="A135" s="3" t="s">
        <v>158</v>
      </c>
      <c r="B135" s="4">
        <f>IFERROR(__xludf.DUMMYFUNCTION("SPLIT(A135,"","",0,0)"),45563.70763888889)</f>
        <v>45563.70764</v>
      </c>
      <c r="C135" s="5">
        <f>IFERROR(__xludf.DUMMYFUNCTION("""COMPUTED_VALUE"""),2782815.0)</f>
        <v>2782815</v>
      </c>
      <c r="D135" s="2" t="str">
        <f>IFERROR(__xludf.DUMMYFUNCTION("""COMPUTED_VALUE"""),"Sale")</f>
        <v>Sale</v>
      </c>
      <c r="E135" s="2" t="str">
        <f>IFERROR(__xludf.DUMMYFUNCTION("""COMPUTED_VALUE"""),"Minuman")</f>
        <v>Minuman</v>
      </c>
      <c r="F135" s="2">
        <f>IFERROR(__xludf.DUMMYFUNCTION("""COMPUTED_VALUE"""),10122.0)</f>
        <v>10122</v>
      </c>
      <c r="G135" s="2" t="str">
        <f>IFERROR(__xludf.DUMMYFUNCTION("""COMPUTED_VALUE"""),"Rempah Madu Panas")</f>
        <v>Rempah Madu Panas</v>
      </c>
      <c r="H135" s="2"/>
      <c r="I135" s="2"/>
      <c r="J135" s="2">
        <f>IFERROR(__xludf.DUMMYFUNCTION("""COMPUTED_VALUE"""),1.0)</f>
        <v>1</v>
      </c>
      <c r="K135" s="6">
        <f>IFERROR(__xludf.DUMMYFUNCTION("""COMPUTED_VALUE"""),21905.0)</f>
        <v>21905</v>
      </c>
      <c r="L135" s="2">
        <f>IFERROR(__xludf.DUMMYFUNCTION("""COMPUTED_VALUE"""),0.0)</f>
        <v>0</v>
      </c>
      <c r="M135" s="2">
        <f>IFERROR(__xludf.DUMMYFUNCTION("""COMPUTED_VALUE"""),21905.0)</f>
        <v>21905</v>
      </c>
      <c r="N135" s="2">
        <f>IFERROR(__xludf.DUMMYFUNCTION("""COMPUTED_VALUE"""),0.0)</f>
        <v>0</v>
      </c>
      <c r="O135" s="2">
        <f>IFERROR(__xludf.DUMMYFUNCTION("""COMPUTED_VALUE"""),21905.0)</f>
        <v>21905</v>
      </c>
      <c r="P135" s="2">
        <f>IFERROR(__xludf.DUMMYFUNCTION("""COMPUTED_VALUE"""),1095.0)</f>
        <v>1095</v>
      </c>
      <c r="Q135" s="2" t="str">
        <f>IFERROR(__xludf.DUMMYFUNCTION("""COMPUTED_VALUE"""),"Dine In")</f>
        <v>Dine In</v>
      </c>
      <c r="R135" s="2" t="str">
        <f>IFERROR(__xludf.DUMMYFUNCTION("""COMPUTED_VALUE"""),"Kedai")</f>
        <v>Kedai</v>
      </c>
      <c r="S135" s="2" t="str">
        <f>IFERROR(__xludf.DUMMYFUNCTION("""COMPUTED_VALUE"""),"Temu Roti")</f>
        <v>Temu Roti</v>
      </c>
      <c r="T135" s="2" t="str">
        <f>IFERROR(__xludf.DUMMYFUNCTION("""COMPUTED_VALUE"""),"Owner")</f>
        <v>Owner</v>
      </c>
      <c r="U135" s="2"/>
      <c r="V135" s="2"/>
      <c r="W135" s="2"/>
      <c r="X135" s="2" t="str">
        <f>IFERROR(__xludf.DUMMYFUNCTION("""COMPUTED_VALUE"""),"Closed")</f>
        <v>Closed</v>
      </c>
    </row>
    <row r="136">
      <c r="A136" s="3" t="s">
        <v>159</v>
      </c>
      <c r="B136" s="4">
        <f>IFERROR(__xludf.DUMMYFUNCTION("SPLIT(A136,"","",0,0)"),45563.70763888889)</f>
        <v>45563.70764</v>
      </c>
      <c r="C136" s="5">
        <f>IFERROR(__xludf.DUMMYFUNCTION("""COMPUTED_VALUE"""),2782815.0)</f>
        <v>2782815</v>
      </c>
      <c r="D136" s="2" t="str">
        <f>IFERROR(__xludf.DUMMYFUNCTION("""COMPUTED_VALUE"""),"Sale")</f>
        <v>Sale</v>
      </c>
      <c r="E136" s="2" t="str">
        <f>IFERROR(__xludf.DUMMYFUNCTION("""COMPUTED_VALUE"""),"Minuman")</f>
        <v>Minuman</v>
      </c>
      <c r="F136" s="2">
        <f>IFERROR(__xludf.DUMMYFUNCTION("""COMPUTED_VALUE"""),10125.0)</f>
        <v>10125</v>
      </c>
      <c r="G136" s="2" t="str">
        <f>IFERROR(__xludf.DUMMYFUNCTION("""COMPUTED_VALUE"""),"Gula Asam Dingin")</f>
        <v>Gula Asam Dingin</v>
      </c>
      <c r="H136" s="2"/>
      <c r="I136" s="2"/>
      <c r="J136" s="2">
        <f>IFERROR(__xludf.DUMMYFUNCTION("""COMPUTED_VALUE"""),1.0)</f>
        <v>1</v>
      </c>
      <c r="K136" s="6">
        <f>IFERROR(__xludf.DUMMYFUNCTION("""COMPUTED_VALUE"""),20476.0)</f>
        <v>20476</v>
      </c>
      <c r="L136" s="2">
        <f>IFERROR(__xludf.DUMMYFUNCTION("""COMPUTED_VALUE"""),0.0)</f>
        <v>0</v>
      </c>
      <c r="M136" s="2">
        <f>IFERROR(__xludf.DUMMYFUNCTION("""COMPUTED_VALUE"""),20476.0)</f>
        <v>20476</v>
      </c>
      <c r="N136" s="2">
        <f>IFERROR(__xludf.DUMMYFUNCTION("""COMPUTED_VALUE"""),0.0)</f>
        <v>0</v>
      </c>
      <c r="O136" s="2">
        <f>IFERROR(__xludf.DUMMYFUNCTION("""COMPUTED_VALUE"""),20476.0)</f>
        <v>20476</v>
      </c>
      <c r="P136" s="2">
        <f>IFERROR(__xludf.DUMMYFUNCTION("""COMPUTED_VALUE"""),1024.0)</f>
        <v>1024</v>
      </c>
      <c r="Q136" s="2" t="str">
        <f>IFERROR(__xludf.DUMMYFUNCTION("""COMPUTED_VALUE"""),"Dine In")</f>
        <v>Dine In</v>
      </c>
      <c r="R136" s="2" t="str">
        <f>IFERROR(__xludf.DUMMYFUNCTION("""COMPUTED_VALUE"""),"Kedai")</f>
        <v>Kedai</v>
      </c>
      <c r="S136" s="2" t="str">
        <f>IFERROR(__xludf.DUMMYFUNCTION("""COMPUTED_VALUE"""),"Temu Roti")</f>
        <v>Temu Roti</v>
      </c>
      <c r="T136" s="2" t="str">
        <f>IFERROR(__xludf.DUMMYFUNCTION("""COMPUTED_VALUE"""),"Owner")</f>
        <v>Owner</v>
      </c>
      <c r="U136" s="2"/>
      <c r="V136" s="2"/>
      <c r="W136" s="2"/>
      <c r="X136" s="2" t="str">
        <f>IFERROR(__xludf.DUMMYFUNCTION("""COMPUTED_VALUE"""),"Closed")</f>
        <v>Closed</v>
      </c>
    </row>
    <row r="137">
      <c r="A137" s="3" t="s">
        <v>160</v>
      </c>
      <c r="B137" s="4">
        <f>IFERROR(__xludf.DUMMYFUNCTION("SPLIT(A137,"","",0,0)"),45563.68680555555)</f>
        <v>45563.68681</v>
      </c>
      <c r="C137" s="5">
        <f>IFERROR(__xludf.DUMMYFUNCTION("""COMPUTED_VALUE"""),2782450.0)</f>
        <v>2782450</v>
      </c>
      <c r="D137" s="2" t="str">
        <f>IFERROR(__xludf.DUMMYFUNCTION("""COMPUTED_VALUE"""),"Sale")</f>
        <v>Sale</v>
      </c>
      <c r="E137" s="2" t="str">
        <f>IFERROR(__xludf.DUMMYFUNCTION("""COMPUTED_VALUE"""),"Minuman")</f>
        <v>Minuman</v>
      </c>
      <c r="F137" s="2">
        <f>IFERROR(__xludf.DUMMYFUNCTION("""COMPUTED_VALUE"""),10057.0)</f>
        <v>10057</v>
      </c>
      <c r="G137" s="2" t="str">
        <f>IFERROR(__xludf.DUMMYFUNCTION("""COMPUTED_VALUE"""),"Susu murni strawberry")</f>
        <v>Susu murni strawberry</v>
      </c>
      <c r="H137" s="2"/>
      <c r="I137" s="2"/>
      <c r="J137" s="2">
        <f>IFERROR(__xludf.DUMMYFUNCTION("""COMPUTED_VALUE"""),1.0)</f>
        <v>1</v>
      </c>
      <c r="K137" s="6">
        <f>IFERROR(__xludf.DUMMYFUNCTION("""COMPUTED_VALUE"""),19524.0)</f>
        <v>19524</v>
      </c>
      <c r="L137" s="2">
        <f>IFERROR(__xludf.DUMMYFUNCTION("""COMPUTED_VALUE"""),0.0)</f>
        <v>0</v>
      </c>
      <c r="M137" s="2">
        <f>IFERROR(__xludf.DUMMYFUNCTION("""COMPUTED_VALUE"""),19524.0)</f>
        <v>19524</v>
      </c>
      <c r="N137" s="2">
        <f>IFERROR(__xludf.DUMMYFUNCTION("""COMPUTED_VALUE"""),0.0)</f>
        <v>0</v>
      </c>
      <c r="O137" s="2">
        <f>IFERROR(__xludf.DUMMYFUNCTION("""COMPUTED_VALUE"""),19524.0)</f>
        <v>19524</v>
      </c>
      <c r="P137" s="2">
        <f>IFERROR(__xludf.DUMMYFUNCTION("""COMPUTED_VALUE"""),976.0)</f>
        <v>976</v>
      </c>
      <c r="Q137" s="2" t="str">
        <f>IFERROR(__xludf.DUMMYFUNCTION("""COMPUTED_VALUE"""),"Dine In")</f>
        <v>Dine In</v>
      </c>
      <c r="R137" s="2" t="str">
        <f>IFERROR(__xludf.DUMMYFUNCTION("""COMPUTED_VALUE"""),"Kedai")</f>
        <v>Kedai</v>
      </c>
      <c r="S137" s="2" t="str">
        <f>IFERROR(__xludf.DUMMYFUNCTION("""COMPUTED_VALUE"""),"Temu Roti")</f>
        <v>Temu Roti</v>
      </c>
      <c r="T137" s="2" t="str">
        <f>IFERROR(__xludf.DUMMYFUNCTION("""COMPUTED_VALUE"""),"Owner")</f>
        <v>Owner</v>
      </c>
      <c r="U137" s="2"/>
      <c r="V137" s="2"/>
      <c r="W137" s="2"/>
      <c r="X137" s="2" t="str">
        <f>IFERROR(__xludf.DUMMYFUNCTION("""COMPUTED_VALUE"""),"Closed")</f>
        <v>Closed</v>
      </c>
    </row>
    <row r="138">
      <c r="A138" s="3" t="s">
        <v>161</v>
      </c>
      <c r="B138" s="4">
        <f>IFERROR(__xludf.DUMMYFUNCTION("SPLIT(A138,"","",0,0)"),45563.68680555555)</f>
        <v>45563.68681</v>
      </c>
      <c r="C138" s="5">
        <f>IFERROR(__xludf.DUMMYFUNCTION("""COMPUTED_VALUE"""),2782450.0)</f>
        <v>2782450</v>
      </c>
      <c r="D138" s="2" t="str">
        <f>IFERROR(__xludf.DUMMYFUNCTION("""COMPUTED_VALUE"""),"Sale")</f>
        <v>Sale</v>
      </c>
      <c r="E138" s="2" t="str">
        <f>IFERROR(__xludf.DUMMYFUNCTION("""COMPUTED_VALUE"""),"Roti")</f>
        <v>Roti</v>
      </c>
      <c r="F138" s="2">
        <f>IFERROR(__xludf.DUMMYFUNCTION("""COMPUTED_VALUE"""),10035.0)</f>
        <v>10035</v>
      </c>
      <c r="G138" s="2" t="str">
        <f>IFERROR(__xludf.DUMMYFUNCTION("""COMPUTED_VALUE"""),"Roti panggang alpukat")</f>
        <v>Roti panggang alpukat</v>
      </c>
      <c r="H138" s="2"/>
      <c r="I138" s="2"/>
      <c r="J138" s="2">
        <f>IFERROR(__xludf.DUMMYFUNCTION("""COMPUTED_VALUE"""),1.0)</f>
        <v>1</v>
      </c>
      <c r="K138" s="6">
        <f>IFERROR(__xludf.DUMMYFUNCTION("""COMPUTED_VALUE"""),21905.0)</f>
        <v>21905</v>
      </c>
      <c r="L138" s="2">
        <f>IFERROR(__xludf.DUMMYFUNCTION("""COMPUTED_VALUE"""),0.0)</f>
        <v>0</v>
      </c>
      <c r="M138" s="2">
        <f>IFERROR(__xludf.DUMMYFUNCTION("""COMPUTED_VALUE"""),21905.0)</f>
        <v>21905</v>
      </c>
      <c r="N138" s="2">
        <f>IFERROR(__xludf.DUMMYFUNCTION("""COMPUTED_VALUE"""),0.0)</f>
        <v>0</v>
      </c>
      <c r="O138" s="2">
        <f>IFERROR(__xludf.DUMMYFUNCTION("""COMPUTED_VALUE"""),21905.0)</f>
        <v>21905</v>
      </c>
      <c r="P138" s="2">
        <f>IFERROR(__xludf.DUMMYFUNCTION("""COMPUTED_VALUE"""),1095.0)</f>
        <v>1095</v>
      </c>
      <c r="Q138" s="2" t="str">
        <f>IFERROR(__xludf.DUMMYFUNCTION("""COMPUTED_VALUE"""),"Dine In")</f>
        <v>Dine In</v>
      </c>
      <c r="R138" s="2" t="str">
        <f>IFERROR(__xludf.DUMMYFUNCTION("""COMPUTED_VALUE"""),"Kedai")</f>
        <v>Kedai</v>
      </c>
      <c r="S138" s="2" t="str">
        <f>IFERROR(__xludf.DUMMYFUNCTION("""COMPUTED_VALUE"""),"Temu Roti")</f>
        <v>Temu Roti</v>
      </c>
      <c r="T138" s="2" t="str">
        <f>IFERROR(__xludf.DUMMYFUNCTION("""COMPUTED_VALUE"""),"Owner")</f>
        <v>Owner</v>
      </c>
      <c r="U138" s="2"/>
      <c r="V138" s="2"/>
      <c r="W138" s="2"/>
      <c r="X138" s="2" t="str">
        <f>IFERROR(__xludf.DUMMYFUNCTION("""COMPUTED_VALUE"""),"Closed")</f>
        <v>Closed</v>
      </c>
    </row>
    <row r="139">
      <c r="A139" s="3" t="s">
        <v>162</v>
      </c>
      <c r="B139" s="4">
        <f>IFERROR(__xludf.DUMMYFUNCTION("SPLIT(A139,"","",0,0)"),45563.67152777778)</f>
        <v>45563.67153</v>
      </c>
      <c r="C139" s="5">
        <f>IFERROR(__xludf.DUMMYFUNCTION("""COMPUTED_VALUE"""),2782085.0)</f>
        <v>2782085</v>
      </c>
      <c r="D139" s="2" t="str">
        <f>IFERROR(__xludf.DUMMYFUNCTION("""COMPUTED_VALUE"""),"Sale")</f>
        <v>Sale</v>
      </c>
      <c r="E139" s="2" t="str">
        <f>IFERROR(__xludf.DUMMYFUNCTION("""COMPUTED_VALUE"""),"Roti")</f>
        <v>Roti</v>
      </c>
      <c r="F139" s="2">
        <f>IFERROR(__xludf.DUMMYFUNCTION("""COMPUTED_VALUE"""),10000.0)</f>
        <v>10000</v>
      </c>
      <c r="G139" s="2" t="str">
        <f>IFERROR(__xludf.DUMMYFUNCTION("""COMPUTED_VALUE"""),"Roti Bawang Saus Keju")</f>
        <v>Roti Bawang Saus Keju</v>
      </c>
      <c r="H139" s="2"/>
      <c r="I139" s="2"/>
      <c r="J139" s="2">
        <f>IFERROR(__xludf.DUMMYFUNCTION("""COMPUTED_VALUE"""),2.0)</f>
        <v>2</v>
      </c>
      <c r="K139" s="6">
        <f>IFERROR(__xludf.DUMMYFUNCTION("""COMPUTED_VALUE"""),59048.0)</f>
        <v>59048</v>
      </c>
      <c r="L139" s="2">
        <f>IFERROR(__xludf.DUMMYFUNCTION("""COMPUTED_VALUE"""),0.0)</f>
        <v>0</v>
      </c>
      <c r="M139" s="2">
        <f>IFERROR(__xludf.DUMMYFUNCTION("""COMPUTED_VALUE"""),59048.0)</f>
        <v>59048</v>
      </c>
      <c r="N139" s="2">
        <f>IFERROR(__xludf.DUMMYFUNCTION("""COMPUTED_VALUE"""),0.0)</f>
        <v>0</v>
      </c>
      <c r="O139" s="2">
        <f>IFERROR(__xludf.DUMMYFUNCTION("""COMPUTED_VALUE"""),59048.0)</f>
        <v>59048</v>
      </c>
      <c r="P139" s="2">
        <f>IFERROR(__xludf.DUMMYFUNCTION("""COMPUTED_VALUE"""),2952.0)</f>
        <v>2952</v>
      </c>
      <c r="Q139" s="2" t="str">
        <f>IFERROR(__xludf.DUMMYFUNCTION("""COMPUTED_VALUE"""),"Dine In")</f>
        <v>Dine In</v>
      </c>
      <c r="R139" s="2" t="str">
        <f>IFERROR(__xludf.DUMMYFUNCTION("""COMPUTED_VALUE"""),"Kedai")</f>
        <v>Kedai</v>
      </c>
      <c r="S139" s="2" t="str">
        <f>IFERROR(__xludf.DUMMYFUNCTION("""COMPUTED_VALUE"""),"Temu Roti")</f>
        <v>Temu Roti</v>
      </c>
      <c r="T139" s="2" t="str">
        <f>IFERROR(__xludf.DUMMYFUNCTION("""COMPUTED_VALUE"""),"Owner")</f>
        <v>Owner</v>
      </c>
      <c r="U139" s="2"/>
      <c r="V139" s="2"/>
      <c r="W139" s="2"/>
      <c r="X139" s="2" t="str">
        <f>IFERROR(__xludf.DUMMYFUNCTION("""COMPUTED_VALUE"""),"Closed")</f>
        <v>Closed</v>
      </c>
    </row>
    <row r="140">
      <c r="A140" s="3" t="s">
        <v>163</v>
      </c>
      <c r="B140" s="4">
        <f>IFERROR(__xludf.DUMMYFUNCTION("SPLIT(A140,"","",0,0)"),45563.652083333334)</f>
        <v>45563.65208</v>
      </c>
      <c r="C140" s="5">
        <f>IFERROR(__xludf.DUMMYFUNCTION("""COMPUTED_VALUE"""),2781719.0)</f>
        <v>2781719</v>
      </c>
      <c r="D140" s="2" t="str">
        <f>IFERROR(__xludf.DUMMYFUNCTION("""COMPUTED_VALUE"""),"Sale")</f>
        <v>Sale</v>
      </c>
      <c r="E140" s="2" t="str">
        <f>IFERROR(__xludf.DUMMYFUNCTION("""COMPUTED_VALUE"""),"Hidangan Utama")</f>
        <v>Hidangan Utama</v>
      </c>
      <c r="F140" s="2">
        <f>IFERROR(__xludf.DUMMYFUNCTION("""COMPUTED_VALUE"""),10003.0)</f>
        <v>10003</v>
      </c>
      <c r="G140" s="2" t="str">
        <f>IFERROR(__xludf.DUMMYFUNCTION("""COMPUTED_VALUE"""),"Nasi Goreng Temu")</f>
        <v>Nasi Goreng Temu</v>
      </c>
      <c r="H140" s="2"/>
      <c r="I140" s="2"/>
      <c r="J140" s="2">
        <f>IFERROR(__xludf.DUMMYFUNCTION("""COMPUTED_VALUE"""),1.0)</f>
        <v>1</v>
      </c>
      <c r="K140" s="6">
        <f>IFERROR(__xludf.DUMMYFUNCTION("""COMPUTED_VALUE"""),29524.0)</f>
        <v>29524</v>
      </c>
      <c r="L140" s="2">
        <f>IFERROR(__xludf.DUMMYFUNCTION("""COMPUTED_VALUE"""),0.0)</f>
        <v>0</v>
      </c>
      <c r="M140" s="2">
        <f>IFERROR(__xludf.DUMMYFUNCTION("""COMPUTED_VALUE"""),29524.0)</f>
        <v>29524</v>
      </c>
      <c r="N140" s="2">
        <f>IFERROR(__xludf.DUMMYFUNCTION("""COMPUTED_VALUE"""),0.0)</f>
        <v>0</v>
      </c>
      <c r="O140" s="2">
        <f>IFERROR(__xludf.DUMMYFUNCTION("""COMPUTED_VALUE"""),29524.0)</f>
        <v>29524</v>
      </c>
      <c r="P140" s="2">
        <f>IFERROR(__xludf.DUMMYFUNCTION("""COMPUTED_VALUE"""),1476.0)</f>
        <v>1476</v>
      </c>
      <c r="Q140" s="2" t="str">
        <f>IFERROR(__xludf.DUMMYFUNCTION("""COMPUTED_VALUE"""),"Dine In")</f>
        <v>Dine In</v>
      </c>
      <c r="R140" s="2" t="str">
        <f>IFERROR(__xludf.DUMMYFUNCTION("""COMPUTED_VALUE"""),"Kedai")</f>
        <v>Kedai</v>
      </c>
      <c r="S140" s="2" t="str">
        <f>IFERROR(__xludf.DUMMYFUNCTION("""COMPUTED_VALUE"""),"Temu Roti")</f>
        <v>Temu Roti</v>
      </c>
      <c r="T140" s="2" t="str">
        <f>IFERROR(__xludf.DUMMYFUNCTION("""COMPUTED_VALUE"""),"Owner")</f>
        <v>Owner</v>
      </c>
      <c r="U140" s="2"/>
      <c r="V140" s="2"/>
      <c r="W140" s="2"/>
      <c r="X140" s="2" t="str">
        <f>IFERROR(__xludf.DUMMYFUNCTION("""COMPUTED_VALUE"""),"Closed")</f>
        <v>Closed</v>
      </c>
    </row>
    <row r="141">
      <c r="A141" s="3" t="s">
        <v>164</v>
      </c>
      <c r="B141" s="4">
        <f>IFERROR(__xludf.DUMMYFUNCTION("SPLIT(A141,"","",0,0)"),45563.652083333334)</f>
        <v>45563.65208</v>
      </c>
      <c r="C141" s="5">
        <f>IFERROR(__xludf.DUMMYFUNCTION("""COMPUTED_VALUE"""),2781719.0)</f>
        <v>2781719</v>
      </c>
      <c r="D141" s="2" t="str">
        <f>IFERROR(__xludf.DUMMYFUNCTION("""COMPUTED_VALUE"""),"Sale")</f>
        <v>Sale</v>
      </c>
      <c r="E141" s="2" t="str">
        <f>IFERROR(__xludf.DUMMYFUNCTION("""COMPUTED_VALUE"""),"Minuman")</f>
        <v>Minuman</v>
      </c>
      <c r="F141" s="2">
        <f>IFERROR(__xludf.DUMMYFUNCTION("""COMPUTED_VALUE"""),10112.0)</f>
        <v>10112</v>
      </c>
      <c r="G141" s="2" t="str">
        <f>IFERROR(__xludf.DUMMYFUNCTION("""COMPUTED_VALUE"""),"Air mineral")</f>
        <v>Air mineral</v>
      </c>
      <c r="H141" s="2"/>
      <c r="I141" s="2"/>
      <c r="J141" s="2">
        <f>IFERROR(__xludf.DUMMYFUNCTION("""COMPUTED_VALUE"""),1.0)</f>
        <v>1</v>
      </c>
      <c r="K141" s="6">
        <f>IFERROR(__xludf.DUMMYFUNCTION("""COMPUTED_VALUE"""),6667.0)</f>
        <v>6667</v>
      </c>
      <c r="L141" s="2">
        <f>IFERROR(__xludf.DUMMYFUNCTION("""COMPUTED_VALUE"""),0.0)</f>
        <v>0</v>
      </c>
      <c r="M141" s="2">
        <f>IFERROR(__xludf.DUMMYFUNCTION("""COMPUTED_VALUE"""),6667.0)</f>
        <v>6667</v>
      </c>
      <c r="N141" s="2">
        <f>IFERROR(__xludf.DUMMYFUNCTION("""COMPUTED_VALUE"""),0.0)</f>
        <v>0</v>
      </c>
      <c r="O141" s="2">
        <f>IFERROR(__xludf.DUMMYFUNCTION("""COMPUTED_VALUE"""),6667.0)</f>
        <v>6667</v>
      </c>
      <c r="P141" s="2">
        <f>IFERROR(__xludf.DUMMYFUNCTION("""COMPUTED_VALUE"""),334.0)</f>
        <v>334</v>
      </c>
      <c r="Q141" s="2" t="str">
        <f>IFERROR(__xludf.DUMMYFUNCTION("""COMPUTED_VALUE"""),"Dine In")</f>
        <v>Dine In</v>
      </c>
      <c r="R141" s="2" t="str">
        <f>IFERROR(__xludf.DUMMYFUNCTION("""COMPUTED_VALUE"""),"Kedai")</f>
        <v>Kedai</v>
      </c>
      <c r="S141" s="2" t="str">
        <f>IFERROR(__xludf.DUMMYFUNCTION("""COMPUTED_VALUE"""),"Temu Roti")</f>
        <v>Temu Roti</v>
      </c>
      <c r="T141" s="2" t="str">
        <f>IFERROR(__xludf.DUMMYFUNCTION("""COMPUTED_VALUE"""),"Owner")</f>
        <v>Owner</v>
      </c>
      <c r="U141" s="2"/>
      <c r="V141" s="2"/>
      <c r="W141" s="2"/>
      <c r="X141" s="2" t="str">
        <f>IFERROR(__xludf.DUMMYFUNCTION("""COMPUTED_VALUE"""),"Closed")</f>
        <v>Closed</v>
      </c>
    </row>
    <row r="142">
      <c r="A142" s="3" t="s">
        <v>165</v>
      </c>
      <c r="B142" s="4">
        <f>IFERROR(__xludf.DUMMYFUNCTION("SPLIT(A142,"","",0,0)"),45563.64513888889)</f>
        <v>45563.64514</v>
      </c>
      <c r="C142" s="5">
        <f>IFERROR(__xludf.DUMMYFUNCTION("""COMPUTED_VALUE"""),2781354.0)</f>
        <v>2781354</v>
      </c>
      <c r="D142" s="2" t="str">
        <f>IFERROR(__xludf.DUMMYFUNCTION("""COMPUTED_VALUE"""),"Sale")</f>
        <v>Sale</v>
      </c>
      <c r="E142" s="2" t="str">
        <f>IFERROR(__xludf.DUMMYFUNCTION("""COMPUTED_VALUE"""),"Roti")</f>
        <v>Roti</v>
      </c>
      <c r="F142" s="2">
        <f>IFERROR(__xludf.DUMMYFUNCTION("""COMPUTED_VALUE"""),10002.0)</f>
        <v>10002</v>
      </c>
      <c r="G142" s="2" t="str">
        <f>IFERROR(__xludf.DUMMYFUNCTION("""COMPUTED_VALUE"""),"Roti Cranberry")</f>
        <v>Roti Cranberry</v>
      </c>
      <c r="H142" s="2"/>
      <c r="I142" s="2"/>
      <c r="J142" s="2">
        <f>IFERROR(__xludf.DUMMYFUNCTION("""COMPUTED_VALUE"""),1.0)</f>
        <v>1</v>
      </c>
      <c r="K142" s="6">
        <f>IFERROR(__xludf.DUMMYFUNCTION("""COMPUTED_VALUE"""),18571.0)</f>
        <v>18571</v>
      </c>
      <c r="L142" s="2">
        <f>IFERROR(__xludf.DUMMYFUNCTION("""COMPUTED_VALUE"""),0.0)</f>
        <v>0</v>
      </c>
      <c r="M142" s="2">
        <f>IFERROR(__xludf.DUMMYFUNCTION("""COMPUTED_VALUE"""),18571.0)</f>
        <v>18571</v>
      </c>
      <c r="N142" s="2">
        <f>IFERROR(__xludf.DUMMYFUNCTION("""COMPUTED_VALUE"""),0.0)</f>
        <v>0</v>
      </c>
      <c r="O142" s="2">
        <f>IFERROR(__xludf.DUMMYFUNCTION("""COMPUTED_VALUE"""),18571.0)</f>
        <v>18571</v>
      </c>
      <c r="P142" s="2">
        <f>IFERROR(__xludf.DUMMYFUNCTION("""COMPUTED_VALUE"""),929.0)</f>
        <v>929</v>
      </c>
      <c r="Q142" s="2" t="str">
        <f>IFERROR(__xludf.DUMMYFUNCTION("""COMPUTED_VALUE"""),"Dine In")</f>
        <v>Dine In</v>
      </c>
      <c r="R142" s="2" t="str">
        <f>IFERROR(__xludf.DUMMYFUNCTION("""COMPUTED_VALUE"""),"Kedai")</f>
        <v>Kedai</v>
      </c>
      <c r="S142" s="2" t="str">
        <f>IFERROR(__xludf.DUMMYFUNCTION("""COMPUTED_VALUE"""),"Temu Roti")</f>
        <v>Temu Roti</v>
      </c>
      <c r="T142" s="2" t="str">
        <f>IFERROR(__xludf.DUMMYFUNCTION("""COMPUTED_VALUE"""),"Owner")</f>
        <v>Owner</v>
      </c>
      <c r="U142" s="2"/>
      <c r="V142" s="2"/>
      <c r="W142" s="2"/>
      <c r="X142" s="2" t="str">
        <f>IFERROR(__xludf.DUMMYFUNCTION("""COMPUTED_VALUE"""),"Closed")</f>
        <v>Closed</v>
      </c>
    </row>
    <row r="143">
      <c r="A143" s="3" t="s">
        <v>166</v>
      </c>
      <c r="B143" s="4">
        <f>IFERROR(__xludf.DUMMYFUNCTION("SPLIT(A143,"","",0,0)"),45563.64513888889)</f>
        <v>45563.64514</v>
      </c>
      <c r="C143" s="5">
        <f>IFERROR(__xludf.DUMMYFUNCTION("""COMPUTED_VALUE"""),2781354.0)</f>
        <v>2781354</v>
      </c>
      <c r="D143" s="2" t="str">
        <f>IFERROR(__xludf.DUMMYFUNCTION("""COMPUTED_VALUE"""),"Sale")</f>
        <v>Sale</v>
      </c>
      <c r="E143" s="2" t="str">
        <f>IFERROR(__xludf.DUMMYFUNCTION("""COMPUTED_VALUE"""),"Minuman")</f>
        <v>Minuman</v>
      </c>
      <c r="F143" s="2">
        <f>IFERROR(__xludf.DUMMYFUNCTION("""COMPUTED_VALUE"""),10128.0)</f>
        <v>10128</v>
      </c>
      <c r="G143" s="2" t="str">
        <f>IFERROR(__xludf.DUMMYFUNCTION("""COMPUTED_VALUE"""),"Es Kopi Susu")</f>
        <v>Es Kopi Susu</v>
      </c>
      <c r="H143" s="2"/>
      <c r="I143" s="2"/>
      <c r="J143" s="2">
        <f>IFERROR(__xludf.DUMMYFUNCTION("""COMPUTED_VALUE"""),1.0)</f>
        <v>1</v>
      </c>
      <c r="K143" s="6">
        <f>IFERROR(__xludf.DUMMYFUNCTION("""COMPUTED_VALUE"""),23333.0)</f>
        <v>23333</v>
      </c>
      <c r="L143" s="2">
        <f>IFERROR(__xludf.DUMMYFUNCTION("""COMPUTED_VALUE"""),0.0)</f>
        <v>0</v>
      </c>
      <c r="M143" s="2">
        <f>IFERROR(__xludf.DUMMYFUNCTION("""COMPUTED_VALUE"""),23333.0)</f>
        <v>23333</v>
      </c>
      <c r="N143" s="2">
        <f>IFERROR(__xludf.DUMMYFUNCTION("""COMPUTED_VALUE"""),0.0)</f>
        <v>0</v>
      </c>
      <c r="O143" s="2">
        <f>IFERROR(__xludf.DUMMYFUNCTION("""COMPUTED_VALUE"""),23333.0)</f>
        <v>23333</v>
      </c>
      <c r="P143" s="2">
        <f>IFERROR(__xludf.DUMMYFUNCTION("""COMPUTED_VALUE"""),1166.0)</f>
        <v>1166</v>
      </c>
      <c r="Q143" s="2" t="str">
        <f>IFERROR(__xludf.DUMMYFUNCTION("""COMPUTED_VALUE"""),"Dine In")</f>
        <v>Dine In</v>
      </c>
      <c r="R143" s="2" t="str">
        <f>IFERROR(__xludf.DUMMYFUNCTION("""COMPUTED_VALUE"""),"Kedai")</f>
        <v>Kedai</v>
      </c>
      <c r="S143" s="2" t="str">
        <f>IFERROR(__xludf.DUMMYFUNCTION("""COMPUTED_VALUE"""),"Temu Roti")</f>
        <v>Temu Roti</v>
      </c>
      <c r="T143" s="2" t="str">
        <f>IFERROR(__xludf.DUMMYFUNCTION("""COMPUTED_VALUE"""),"Owner")</f>
        <v>Owner</v>
      </c>
      <c r="U143" s="2"/>
      <c r="V143" s="2"/>
      <c r="W143" s="2"/>
      <c r="X143" s="2" t="str">
        <f>IFERROR(__xludf.DUMMYFUNCTION("""COMPUTED_VALUE"""),"Closed")</f>
        <v>Closed</v>
      </c>
    </row>
    <row r="144">
      <c r="A144" s="3" t="s">
        <v>167</v>
      </c>
      <c r="B144" s="4">
        <f>IFERROR(__xludf.DUMMYFUNCTION("SPLIT(A144,"","",0,0)"),45563.64513888889)</f>
        <v>45563.64514</v>
      </c>
      <c r="C144" s="5">
        <f>IFERROR(__xludf.DUMMYFUNCTION("""COMPUTED_VALUE"""),2781354.0)</f>
        <v>2781354</v>
      </c>
      <c r="D144" s="2" t="str">
        <f>IFERROR(__xludf.DUMMYFUNCTION("""COMPUTED_VALUE"""),"Sale")</f>
        <v>Sale</v>
      </c>
      <c r="E144" s="2" t="str">
        <f>IFERROR(__xludf.DUMMYFUNCTION("""COMPUTED_VALUE"""),"Minuman")</f>
        <v>Minuman</v>
      </c>
      <c r="F144" s="2">
        <f>IFERROR(__xludf.DUMMYFUNCTION("""COMPUTED_VALUE"""),10112.0)</f>
        <v>10112</v>
      </c>
      <c r="G144" s="2" t="str">
        <f>IFERROR(__xludf.DUMMYFUNCTION("""COMPUTED_VALUE"""),"Air mineral")</f>
        <v>Air mineral</v>
      </c>
      <c r="H144" s="2"/>
      <c r="I144" s="2"/>
      <c r="J144" s="2">
        <f>IFERROR(__xludf.DUMMYFUNCTION("""COMPUTED_VALUE"""),2.0)</f>
        <v>2</v>
      </c>
      <c r="K144" s="6">
        <f>IFERROR(__xludf.DUMMYFUNCTION("""COMPUTED_VALUE"""),13334.0)</f>
        <v>13334</v>
      </c>
      <c r="L144" s="2">
        <f>IFERROR(__xludf.DUMMYFUNCTION("""COMPUTED_VALUE"""),0.0)</f>
        <v>0</v>
      </c>
      <c r="M144" s="2">
        <f>IFERROR(__xludf.DUMMYFUNCTION("""COMPUTED_VALUE"""),13334.0)</f>
        <v>13334</v>
      </c>
      <c r="N144" s="2">
        <f>IFERROR(__xludf.DUMMYFUNCTION("""COMPUTED_VALUE"""),0.0)</f>
        <v>0</v>
      </c>
      <c r="O144" s="2">
        <f>IFERROR(__xludf.DUMMYFUNCTION("""COMPUTED_VALUE"""),13334.0)</f>
        <v>13334</v>
      </c>
      <c r="P144" s="2">
        <f>IFERROR(__xludf.DUMMYFUNCTION("""COMPUTED_VALUE"""),667.0)</f>
        <v>667</v>
      </c>
      <c r="Q144" s="2" t="str">
        <f>IFERROR(__xludf.DUMMYFUNCTION("""COMPUTED_VALUE"""),"Dine In")</f>
        <v>Dine In</v>
      </c>
      <c r="R144" s="2" t="str">
        <f>IFERROR(__xludf.DUMMYFUNCTION("""COMPUTED_VALUE"""),"Kedai")</f>
        <v>Kedai</v>
      </c>
      <c r="S144" s="2" t="str">
        <f>IFERROR(__xludf.DUMMYFUNCTION("""COMPUTED_VALUE"""),"Temu Roti")</f>
        <v>Temu Roti</v>
      </c>
      <c r="T144" s="2" t="str">
        <f>IFERROR(__xludf.DUMMYFUNCTION("""COMPUTED_VALUE"""),"Owner")</f>
        <v>Owner</v>
      </c>
      <c r="U144" s="2"/>
      <c r="V144" s="2"/>
      <c r="W144" s="2"/>
      <c r="X144" s="2" t="str">
        <f>IFERROR(__xludf.DUMMYFUNCTION("""COMPUTED_VALUE"""),"Closed")</f>
        <v>Closed</v>
      </c>
    </row>
    <row r="145">
      <c r="A145" s="3" t="s">
        <v>168</v>
      </c>
      <c r="B145" s="4">
        <f>IFERROR(__xludf.DUMMYFUNCTION("SPLIT(A145,"","",0,0)"),45563.64444444444)</f>
        <v>45563.64444</v>
      </c>
      <c r="C145" s="5">
        <f>IFERROR(__xludf.DUMMYFUNCTION("""COMPUTED_VALUE"""),2780989.0)</f>
        <v>2780989</v>
      </c>
      <c r="D145" s="2" t="str">
        <f>IFERROR(__xludf.DUMMYFUNCTION("""COMPUTED_VALUE"""),"Sale")</f>
        <v>Sale</v>
      </c>
      <c r="E145" s="2" t="str">
        <f>IFERROR(__xludf.DUMMYFUNCTION("""COMPUTED_VALUE"""),"Minuman")</f>
        <v>Minuman</v>
      </c>
      <c r="F145" s="2">
        <f>IFERROR(__xludf.DUMMYFUNCTION("""COMPUTED_VALUE"""),10026.0)</f>
        <v>10026</v>
      </c>
      <c r="G145" s="2" t="str">
        <f>IFERROR(__xludf.DUMMYFUNCTION("""COMPUTED_VALUE"""),"Es Kopi Lemon")</f>
        <v>Es Kopi Lemon</v>
      </c>
      <c r="H145" s="2"/>
      <c r="I145" s="2"/>
      <c r="J145" s="2">
        <f>IFERROR(__xludf.DUMMYFUNCTION("""COMPUTED_VALUE"""),1.0)</f>
        <v>1</v>
      </c>
      <c r="K145" s="6">
        <f>IFERROR(__xludf.DUMMYFUNCTION("""COMPUTED_VALUE"""),21905.0)</f>
        <v>21905</v>
      </c>
      <c r="L145" s="2">
        <f>IFERROR(__xludf.DUMMYFUNCTION("""COMPUTED_VALUE"""),0.0)</f>
        <v>0</v>
      </c>
      <c r="M145" s="2">
        <f>IFERROR(__xludf.DUMMYFUNCTION("""COMPUTED_VALUE"""),21905.0)</f>
        <v>21905</v>
      </c>
      <c r="N145" s="2">
        <f>IFERROR(__xludf.DUMMYFUNCTION("""COMPUTED_VALUE"""),0.0)</f>
        <v>0</v>
      </c>
      <c r="O145" s="2">
        <f>IFERROR(__xludf.DUMMYFUNCTION("""COMPUTED_VALUE"""),21905.0)</f>
        <v>21905</v>
      </c>
      <c r="P145" s="2">
        <f>IFERROR(__xludf.DUMMYFUNCTION("""COMPUTED_VALUE"""),1095.0)</f>
        <v>1095</v>
      </c>
      <c r="Q145" s="2" t="str">
        <f>IFERROR(__xludf.DUMMYFUNCTION("""COMPUTED_VALUE"""),"Dine In")</f>
        <v>Dine In</v>
      </c>
      <c r="R145" s="2" t="str">
        <f>IFERROR(__xludf.DUMMYFUNCTION("""COMPUTED_VALUE"""),"Kedai")</f>
        <v>Kedai</v>
      </c>
      <c r="S145" s="2" t="str">
        <f>IFERROR(__xludf.DUMMYFUNCTION("""COMPUTED_VALUE"""),"Temu Roti")</f>
        <v>Temu Roti</v>
      </c>
      <c r="T145" s="2" t="str">
        <f>IFERROR(__xludf.DUMMYFUNCTION("""COMPUTED_VALUE"""),"Owner")</f>
        <v>Owner</v>
      </c>
      <c r="U145" s="2"/>
      <c r="V145" s="2"/>
      <c r="W145" s="2"/>
      <c r="X145" s="2" t="str">
        <f>IFERROR(__xludf.DUMMYFUNCTION("""COMPUTED_VALUE"""),"Closed")</f>
        <v>Closed</v>
      </c>
    </row>
    <row r="146">
      <c r="A146" s="3" t="s">
        <v>169</v>
      </c>
      <c r="B146" s="4">
        <f>IFERROR(__xludf.DUMMYFUNCTION("SPLIT(A146,"","",0,0)"),45563.64444444444)</f>
        <v>45563.64444</v>
      </c>
      <c r="C146" s="5">
        <f>IFERROR(__xludf.DUMMYFUNCTION("""COMPUTED_VALUE"""),2780989.0)</f>
        <v>2780989</v>
      </c>
      <c r="D146" s="2" t="str">
        <f>IFERROR(__xludf.DUMMYFUNCTION("""COMPUTED_VALUE"""),"Sale")</f>
        <v>Sale</v>
      </c>
      <c r="E146" s="2" t="str">
        <f>IFERROR(__xludf.DUMMYFUNCTION("""COMPUTED_VALUE"""),"Minuman")</f>
        <v>Minuman</v>
      </c>
      <c r="F146" s="2">
        <f>IFERROR(__xludf.DUMMYFUNCTION("""COMPUTED_VALUE"""),10013.0)</f>
        <v>10013</v>
      </c>
      <c r="G146" s="2" t="str">
        <f>IFERROR(__xludf.DUMMYFUNCTION("""COMPUTED_VALUE"""),"Kopi cur")</f>
        <v>Kopi cur</v>
      </c>
      <c r="H146" s="2"/>
      <c r="I146" s="2"/>
      <c r="J146" s="2">
        <f>IFERROR(__xludf.DUMMYFUNCTION("""COMPUTED_VALUE"""),1.0)</f>
        <v>1</v>
      </c>
      <c r="K146" s="6">
        <f>IFERROR(__xludf.DUMMYFUNCTION("""COMPUTED_VALUE"""),23333.0)</f>
        <v>23333</v>
      </c>
      <c r="L146" s="2">
        <f>IFERROR(__xludf.DUMMYFUNCTION("""COMPUTED_VALUE"""),0.0)</f>
        <v>0</v>
      </c>
      <c r="M146" s="2">
        <f>IFERROR(__xludf.DUMMYFUNCTION("""COMPUTED_VALUE"""),23333.0)</f>
        <v>23333</v>
      </c>
      <c r="N146" s="2">
        <f>IFERROR(__xludf.DUMMYFUNCTION("""COMPUTED_VALUE"""),0.0)</f>
        <v>0</v>
      </c>
      <c r="O146" s="2">
        <f>IFERROR(__xludf.DUMMYFUNCTION("""COMPUTED_VALUE"""),23333.0)</f>
        <v>23333</v>
      </c>
      <c r="P146" s="2">
        <f>IFERROR(__xludf.DUMMYFUNCTION("""COMPUTED_VALUE"""),1167.0)</f>
        <v>1167</v>
      </c>
      <c r="Q146" s="2" t="str">
        <f>IFERROR(__xludf.DUMMYFUNCTION("""COMPUTED_VALUE"""),"Dine In")</f>
        <v>Dine In</v>
      </c>
      <c r="R146" s="2" t="str">
        <f>IFERROR(__xludf.DUMMYFUNCTION("""COMPUTED_VALUE"""),"Kedai")</f>
        <v>Kedai</v>
      </c>
      <c r="S146" s="2" t="str">
        <f>IFERROR(__xludf.DUMMYFUNCTION("""COMPUTED_VALUE"""),"Temu Roti")</f>
        <v>Temu Roti</v>
      </c>
      <c r="T146" s="2" t="str">
        <f>IFERROR(__xludf.DUMMYFUNCTION("""COMPUTED_VALUE"""),"Owner")</f>
        <v>Owner</v>
      </c>
      <c r="U146" s="2"/>
      <c r="V146" s="2"/>
      <c r="W146" s="2"/>
      <c r="X146" s="2" t="str">
        <f>IFERROR(__xludf.DUMMYFUNCTION("""COMPUTED_VALUE"""),"Closed")</f>
        <v>Closed</v>
      </c>
    </row>
    <row r="147">
      <c r="A147" s="3" t="s">
        <v>170</v>
      </c>
      <c r="B147" s="4">
        <f>IFERROR(__xludf.DUMMYFUNCTION("SPLIT(A147,"","",0,0)"),45563.64444444444)</f>
        <v>45563.64444</v>
      </c>
      <c r="C147" s="5">
        <f>IFERROR(__xludf.DUMMYFUNCTION("""COMPUTED_VALUE"""),2780989.0)</f>
        <v>2780989</v>
      </c>
      <c r="D147" s="2" t="str">
        <f>IFERROR(__xludf.DUMMYFUNCTION("""COMPUTED_VALUE"""),"Sale")</f>
        <v>Sale</v>
      </c>
      <c r="E147" s="2" t="str">
        <f>IFERROR(__xludf.DUMMYFUNCTION("""COMPUTED_VALUE"""),"Roti")</f>
        <v>Roti</v>
      </c>
      <c r="F147" s="2">
        <f>IFERROR(__xludf.DUMMYFUNCTION("""COMPUTED_VALUE"""),10002.0)</f>
        <v>10002</v>
      </c>
      <c r="G147" s="2" t="str">
        <f>IFERROR(__xludf.DUMMYFUNCTION("""COMPUTED_VALUE"""),"Roti Cranberry")</f>
        <v>Roti Cranberry</v>
      </c>
      <c r="H147" s="2"/>
      <c r="I147" s="2"/>
      <c r="J147" s="2">
        <f>IFERROR(__xludf.DUMMYFUNCTION("""COMPUTED_VALUE"""),1.0)</f>
        <v>1</v>
      </c>
      <c r="K147" s="6">
        <f>IFERROR(__xludf.DUMMYFUNCTION("""COMPUTED_VALUE"""),18571.0)</f>
        <v>18571</v>
      </c>
      <c r="L147" s="2">
        <f>IFERROR(__xludf.DUMMYFUNCTION("""COMPUTED_VALUE"""),0.0)</f>
        <v>0</v>
      </c>
      <c r="M147" s="2">
        <f>IFERROR(__xludf.DUMMYFUNCTION("""COMPUTED_VALUE"""),18571.0)</f>
        <v>18571</v>
      </c>
      <c r="N147" s="2">
        <f>IFERROR(__xludf.DUMMYFUNCTION("""COMPUTED_VALUE"""),0.0)</f>
        <v>0</v>
      </c>
      <c r="O147" s="2">
        <f>IFERROR(__xludf.DUMMYFUNCTION("""COMPUTED_VALUE"""),18571.0)</f>
        <v>18571</v>
      </c>
      <c r="P147" s="2">
        <f>IFERROR(__xludf.DUMMYFUNCTION("""COMPUTED_VALUE"""),928.0)</f>
        <v>928</v>
      </c>
      <c r="Q147" s="2" t="str">
        <f>IFERROR(__xludf.DUMMYFUNCTION("""COMPUTED_VALUE"""),"Dine In")</f>
        <v>Dine In</v>
      </c>
      <c r="R147" s="2" t="str">
        <f>IFERROR(__xludf.DUMMYFUNCTION("""COMPUTED_VALUE"""),"Kedai")</f>
        <v>Kedai</v>
      </c>
      <c r="S147" s="2" t="str">
        <f>IFERROR(__xludf.DUMMYFUNCTION("""COMPUTED_VALUE"""),"Temu Roti")</f>
        <v>Temu Roti</v>
      </c>
      <c r="T147" s="2" t="str">
        <f>IFERROR(__xludf.DUMMYFUNCTION("""COMPUTED_VALUE"""),"Owner")</f>
        <v>Owner</v>
      </c>
      <c r="U147" s="2"/>
      <c r="V147" s="2"/>
      <c r="W147" s="2"/>
      <c r="X147" s="2" t="str">
        <f>IFERROR(__xludf.DUMMYFUNCTION("""COMPUTED_VALUE"""),"Closed")</f>
        <v>Closed</v>
      </c>
    </row>
    <row r="148">
      <c r="A148" s="3" t="s">
        <v>171</v>
      </c>
      <c r="B148" s="4">
        <f>IFERROR(__xludf.DUMMYFUNCTION("SPLIT(A148,"","",0,0)"),45563.64236111111)</f>
        <v>45563.64236</v>
      </c>
      <c r="C148" s="5">
        <f>IFERROR(__xludf.DUMMYFUNCTION("""COMPUTED_VALUE"""),2780624.0)</f>
        <v>2780624</v>
      </c>
      <c r="D148" s="2" t="str">
        <f>IFERROR(__xludf.DUMMYFUNCTION("""COMPUTED_VALUE"""),"Sale")</f>
        <v>Sale</v>
      </c>
      <c r="E148" s="2" t="str">
        <f>IFERROR(__xludf.DUMMYFUNCTION("""COMPUTED_VALUE"""),"Roti")</f>
        <v>Roti</v>
      </c>
      <c r="F148" s="2">
        <f>IFERROR(__xludf.DUMMYFUNCTION("""COMPUTED_VALUE"""),10054.0)</f>
        <v>10054</v>
      </c>
      <c r="G148" s="2" t="str">
        <f>IFERROR(__xludf.DUMMYFUNCTION("""COMPUTED_VALUE"""),"Roti toast eskrim")</f>
        <v>Roti toast eskrim</v>
      </c>
      <c r="H148" s="2"/>
      <c r="I148" s="2"/>
      <c r="J148" s="2">
        <f>IFERROR(__xludf.DUMMYFUNCTION("""COMPUTED_VALUE"""),1.0)</f>
        <v>1</v>
      </c>
      <c r="K148" s="6">
        <f>IFERROR(__xludf.DUMMYFUNCTION("""COMPUTED_VALUE"""),25238.0)</f>
        <v>25238</v>
      </c>
      <c r="L148" s="2">
        <f>IFERROR(__xludf.DUMMYFUNCTION("""COMPUTED_VALUE"""),0.0)</f>
        <v>0</v>
      </c>
      <c r="M148" s="2">
        <f>IFERROR(__xludf.DUMMYFUNCTION("""COMPUTED_VALUE"""),25238.0)</f>
        <v>25238</v>
      </c>
      <c r="N148" s="2">
        <f>IFERROR(__xludf.DUMMYFUNCTION("""COMPUTED_VALUE"""),0.0)</f>
        <v>0</v>
      </c>
      <c r="O148" s="2">
        <f>IFERROR(__xludf.DUMMYFUNCTION("""COMPUTED_VALUE"""),25238.0)</f>
        <v>25238</v>
      </c>
      <c r="P148" s="2">
        <f>IFERROR(__xludf.DUMMYFUNCTION("""COMPUTED_VALUE"""),1262.0)</f>
        <v>1262</v>
      </c>
      <c r="Q148" s="2" t="str">
        <f>IFERROR(__xludf.DUMMYFUNCTION("""COMPUTED_VALUE"""),"Dine In")</f>
        <v>Dine In</v>
      </c>
      <c r="R148" s="2" t="str">
        <f>IFERROR(__xludf.DUMMYFUNCTION("""COMPUTED_VALUE"""),"Kedai")</f>
        <v>Kedai</v>
      </c>
      <c r="S148" s="2" t="str">
        <f>IFERROR(__xludf.DUMMYFUNCTION("""COMPUTED_VALUE"""),"Temu Roti")</f>
        <v>Temu Roti</v>
      </c>
      <c r="T148" s="2" t="str">
        <f>IFERROR(__xludf.DUMMYFUNCTION("""COMPUTED_VALUE"""),"Owner")</f>
        <v>Owner</v>
      </c>
      <c r="U148" s="2"/>
      <c r="V148" s="2"/>
      <c r="W148" s="2"/>
      <c r="X148" s="2" t="str">
        <f>IFERROR(__xludf.DUMMYFUNCTION("""COMPUTED_VALUE"""),"Closed")</f>
        <v>Closed</v>
      </c>
    </row>
    <row r="149">
      <c r="A149" s="3" t="s">
        <v>172</v>
      </c>
      <c r="B149" s="4">
        <f>IFERROR(__xludf.DUMMYFUNCTION("SPLIT(A149,"","",0,0)"),45563.64236111111)</f>
        <v>45563.64236</v>
      </c>
      <c r="C149" s="5">
        <f>IFERROR(__xludf.DUMMYFUNCTION("""COMPUTED_VALUE"""),2780624.0)</f>
        <v>2780624</v>
      </c>
      <c r="D149" s="2" t="str">
        <f>IFERROR(__xludf.DUMMYFUNCTION("""COMPUTED_VALUE"""),"Sale")</f>
        <v>Sale</v>
      </c>
      <c r="E149" s="2" t="str">
        <f>IFERROR(__xludf.DUMMYFUNCTION("""COMPUTED_VALUE"""),"Minuman")</f>
        <v>Minuman</v>
      </c>
      <c r="F149" s="2">
        <f>IFERROR(__xludf.DUMMYFUNCTION("""COMPUTED_VALUE"""),10013.0)</f>
        <v>10013</v>
      </c>
      <c r="G149" s="2" t="str">
        <f>IFERROR(__xludf.DUMMYFUNCTION("""COMPUTED_VALUE"""),"Kopi cur")</f>
        <v>Kopi cur</v>
      </c>
      <c r="H149" s="2"/>
      <c r="I149" s="2"/>
      <c r="J149" s="2">
        <f>IFERROR(__xludf.DUMMYFUNCTION("""COMPUTED_VALUE"""),1.0)</f>
        <v>1</v>
      </c>
      <c r="K149" s="6">
        <f>IFERROR(__xludf.DUMMYFUNCTION("""COMPUTED_VALUE"""),23333.0)</f>
        <v>23333</v>
      </c>
      <c r="L149" s="2">
        <f>IFERROR(__xludf.DUMMYFUNCTION("""COMPUTED_VALUE"""),0.0)</f>
        <v>0</v>
      </c>
      <c r="M149" s="2">
        <f>IFERROR(__xludf.DUMMYFUNCTION("""COMPUTED_VALUE"""),23333.0)</f>
        <v>23333</v>
      </c>
      <c r="N149" s="2">
        <f>IFERROR(__xludf.DUMMYFUNCTION("""COMPUTED_VALUE"""),0.0)</f>
        <v>0</v>
      </c>
      <c r="O149" s="2">
        <f>IFERROR(__xludf.DUMMYFUNCTION("""COMPUTED_VALUE"""),23333.0)</f>
        <v>23333</v>
      </c>
      <c r="P149" s="2">
        <f>IFERROR(__xludf.DUMMYFUNCTION("""COMPUTED_VALUE"""),1167.0)</f>
        <v>1167</v>
      </c>
      <c r="Q149" s="2" t="str">
        <f>IFERROR(__xludf.DUMMYFUNCTION("""COMPUTED_VALUE"""),"Dine In")</f>
        <v>Dine In</v>
      </c>
      <c r="R149" s="2" t="str">
        <f>IFERROR(__xludf.DUMMYFUNCTION("""COMPUTED_VALUE"""),"Kedai")</f>
        <v>Kedai</v>
      </c>
      <c r="S149" s="2" t="str">
        <f>IFERROR(__xludf.DUMMYFUNCTION("""COMPUTED_VALUE"""),"Temu Roti")</f>
        <v>Temu Roti</v>
      </c>
      <c r="T149" s="2" t="str">
        <f>IFERROR(__xludf.DUMMYFUNCTION("""COMPUTED_VALUE"""),"Owner")</f>
        <v>Owner</v>
      </c>
      <c r="U149" s="2"/>
      <c r="V149" s="2"/>
      <c r="W149" s="2"/>
      <c r="X149" s="2" t="str">
        <f>IFERROR(__xludf.DUMMYFUNCTION("""COMPUTED_VALUE"""),"Closed")</f>
        <v>Closed</v>
      </c>
    </row>
    <row r="150">
      <c r="A150" s="3" t="s">
        <v>173</v>
      </c>
      <c r="B150" s="4">
        <f>IFERROR(__xludf.DUMMYFUNCTION("SPLIT(A150,"","",0,0)"),45563.64236111111)</f>
        <v>45563.64236</v>
      </c>
      <c r="C150" s="5">
        <f>IFERROR(__xludf.DUMMYFUNCTION("""COMPUTED_VALUE"""),2780258.0)</f>
        <v>2780258</v>
      </c>
      <c r="D150" s="2" t="str">
        <f>IFERROR(__xludf.DUMMYFUNCTION("""COMPUTED_VALUE"""),"Sale")</f>
        <v>Sale</v>
      </c>
      <c r="E150" s="2" t="str">
        <f>IFERROR(__xludf.DUMMYFUNCTION("""COMPUTED_VALUE"""),"Minuman")</f>
        <v>Minuman</v>
      </c>
      <c r="F150" s="2">
        <f>IFERROR(__xludf.DUMMYFUNCTION("""COMPUTED_VALUE"""),10123.0)</f>
        <v>10123</v>
      </c>
      <c r="G150" s="2" t="str">
        <f>IFERROR(__xludf.DUMMYFUNCTION("""COMPUTED_VALUE"""),"Rempah Madu Dingin")</f>
        <v>Rempah Madu Dingin</v>
      </c>
      <c r="H150" s="2"/>
      <c r="I150" s="2"/>
      <c r="J150" s="2">
        <f>IFERROR(__xludf.DUMMYFUNCTION("""COMPUTED_VALUE"""),1.0)</f>
        <v>1</v>
      </c>
      <c r="K150" s="6">
        <f>IFERROR(__xludf.DUMMYFUNCTION("""COMPUTED_VALUE"""),21905.0)</f>
        <v>21905</v>
      </c>
      <c r="L150" s="2">
        <f>IFERROR(__xludf.DUMMYFUNCTION("""COMPUTED_VALUE"""),0.0)</f>
        <v>0</v>
      </c>
      <c r="M150" s="2">
        <f>IFERROR(__xludf.DUMMYFUNCTION("""COMPUTED_VALUE"""),21905.0)</f>
        <v>21905</v>
      </c>
      <c r="N150" s="2">
        <f>IFERROR(__xludf.DUMMYFUNCTION("""COMPUTED_VALUE"""),0.0)</f>
        <v>0</v>
      </c>
      <c r="O150" s="2">
        <f>IFERROR(__xludf.DUMMYFUNCTION("""COMPUTED_VALUE"""),21905.0)</f>
        <v>21905</v>
      </c>
      <c r="P150" s="2">
        <f>IFERROR(__xludf.DUMMYFUNCTION("""COMPUTED_VALUE"""),1095.0)</f>
        <v>1095</v>
      </c>
      <c r="Q150" s="2" t="str">
        <f>IFERROR(__xludf.DUMMYFUNCTION("""COMPUTED_VALUE"""),"Dine In")</f>
        <v>Dine In</v>
      </c>
      <c r="R150" s="2" t="str">
        <f>IFERROR(__xludf.DUMMYFUNCTION("""COMPUTED_VALUE"""),"Kedai")</f>
        <v>Kedai</v>
      </c>
      <c r="S150" s="2" t="str">
        <f>IFERROR(__xludf.DUMMYFUNCTION("""COMPUTED_VALUE"""),"Temu Roti")</f>
        <v>Temu Roti</v>
      </c>
      <c r="T150" s="2" t="str">
        <f>IFERROR(__xludf.DUMMYFUNCTION("""COMPUTED_VALUE"""),"Owner")</f>
        <v>Owner</v>
      </c>
      <c r="U150" s="2"/>
      <c r="V150" s="2"/>
      <c r="W150" s="2"/>
      <c r="X150" s="2" t="str">
        <f>IFERROR(__xludf.DUMMYFUNCTION("""COMPUTED_VALUE"""),"Closed")</f>
        <v>Closed</v>
      </c>
    </row>
    <row r="151">
      <c r="A151" s="3" t="s">
        <v>174</v>
      </c>
      <c r="B151" s="4">
        <f>IFERROR(__xludf.DUMMYFUNCTION("SPLIT(A151,"","",0,0)"),45563.62986111111)</f>
        <v>45563.62986</v>
      </c>
      <c r="C151" s="5">
        <f>IFERROR(__xludf.DUMMYFUNCTION("""COMPUTED_VALUE"""),2779893.0)</f>
        <v>2779893</v>
      </c>
      <c r="D151" s="2" t="str">
        <f>IFERROR(__xludf.DUMMYFUNCTION("""COMPUTED_VALUE"""),"Sale")</f>
        <v>Sale</v>
      </c>
      <c r="E151" s="2" t="str">
        <f>IFERROR(__xludf.DUMMYFUNCTION("""COMPUTED_VALUE"""),"Roti")</f>
        <v>Roti</v>
      </c>
      <c r="F151" s="2">
        <f>IFERROR(__xludf.DUMMYFUNCTION("""COMPUTED_VALUE"""),10007.0)</f>
        <v>10007</v>
      </c>
      <c r="G151" s="2" t="str">
        <f>IFERROR(__xludf.DUMMYFUNCTION("""COMPUTED_VALUE"""),"Roti cranberry 2 pcs")</f>
        <v>Roti cranberry 2 pcs</v>
      </c>
      <c r="H151" s="2"/>
      <c r="I151" s="2"/>
      <c r="J151" s="2">
        <f>IFERROR(__xludf.DUMMYFUNCTION("""COMPUTED_VALUE"""),1.0)</f>
        <v>1</v>
      </c>
      <c r="K151" s="6">
        <f>IFERROR(__xludf.DUMMYFUNCTION("""COMPUTED_VALUE"""),33810.0)</f>
        <v>33810</v>
      </c>
      <c r="L151" s="2">
        <f>IFERROR(__xludf.DUMMYFUNCTION("""COMPUTED_VALUE"""),0.0)</f>
        <v>0</v>
      </c>
      <c r="M151" s="2">
        <f>IFERROR(__xludf.DUMMYFUNCTION("""COMPUTED_VALUE"""),33810.0)</f>
        <v>33810</v>
      </c>
      <c r="N151" s="2">
        <f>IFERROR(__xludf.DUMMYFUNCTION("""COMPUTED_VALUE"""),0.0)</f>
        <v>0</v>
      </c>
      <c r="O151" s="2">
        <f>IFERROR(__xludf.DUMMYFUNCTION("""COMPUTED_VALUE"""),33810.0)</f>
        <v>33810</v>
      </c>
      <c r="P151" s="2">
        <f>IFERROR(__xludf.DUMMYFUNCTION("""COMPUTED_VALUE"""),1691.0)</f>
        <v>1691</v>
      </c>
      <c r="Q151" s="2" t="str">
        <f>IFERROR(__xludf.DUMMYFUNCTION("""COMPUTED_VALUE"""),"Dine In")</f>
        <v>Dine In</v>
      </c>
      <c r="R151" s="2" t="str">
        <f>IFERROR(__xludf.DUMMYFUNCTION("""COMPUTED_VALUE"""),"Kedai")</f>
        <v>Kedai</v>
      </c>
      <c r="S151" s="2" t="str">
        <f>IFERROR(__xludf.DUMMYFUNCTION("""COMPUTED_VALUE"""),"Temu Roti")</f>
        <v>Temu Roti</v>
      </c>
      <c r="T151" s="2" t="str">
        <f>IFERROR(__xludf.DUMMYFUNCTION("""COMPUTED_VALUE"""),"Owner")</f>
        <v>Owner</v>
      </c>
      <c r="U151" s="2"/>
      <c r="V151" s="2"/>
      <c r="W151" s="2"/>
      <c r="X151" s="2" t="str">
        <f>IFERROR(__xludf.DUMMYFUNCTION("""COMPUTED_VALUE"""),"Closed")</f>
        <v>Closed</v>
      </c>
    </row>
    <row r="152">
      <c r="A152" s="3" t="s">
        <v>175</v>
      </c>
      <c r="B152" s="4">
        <f>IFERROR(__xludf.DUMMYFUNCTION("SPLIT(A152,"","",0,0)"),45563.62986111111)</f>
        <v>45563.62986</v>
      </c>
      <c r="C152" s="5">
        <f>IFERROR(__xludf.DUMMYFUNCTION("""COMPUTED_VALUE"""),2779893.0)</f>
        <v>2779893</v>
      </c>
      <c r="D152" s="2" t="str">
        <f>IFERROR(__xludf.DUMMYFUNCTION("""COMPUTED_VALUE"""),"Sale")</f>
        <v>Sale</v>
      </c>
      <c r="E152" s="2" t="str">
        <f>IFERROR(__xludf.DUMMYFUNCTION("""COMPUTED_VALUE"""),"Roti")</f>
        <v>Roti</v>
      </c>
      <c r="F152" s="2">
        <f>IFERROR(__xludf.DUMMYFUNCTION("""COMPUTED_VALUE"""),10055.0)</f>
        <v>10055</v>
      </c>
      <c r="G152" s="2" t="str">
        <f>IFERROR(__xludf.DUMMYFUNCTION("""COMPUTED_VALUE"""),"Roti Gandum Cokelat 2 pcs")</f>
        <v>Roti Gandum Cokelat 2 pcs</v>
      </c>
      <c r="H152" s="2"/>
      <c r="I152" s="2"/>
      <c r="J152" s="2">
        <f>IFERROR(__xludf.DUMMYFUNCTION("""COMPUTED_VALUE"""),2.0)</f>
        <v>2</v>
      </c>
      <c r="K152" s="6">
        <f>IFERROR(__xludf.DUMMYFUNCTION("""COMPUTED_VALUE"""),69524.0)</f>
        <v>69524</v>
      </c>
      <c r="L152" s="2">
        <f>IFERROR(__xludf.DUMMYFUNCTION("""COMPUTED_VALUE"""),0.0)</f>
        <v>0</v>
      </c>
      <c r="M152" s="2">
        <f>IFERROR(__xludf.DUMMYFUNCTION("""COMPUTED_VALUE"""),69524.0)</f>
        <v>69524</v>
      </c>
      <c r="N152" s="2">
        <f>IFERROR(__xludf.DUMMYFUNCTION("""COMPUTED_VALUE"""),0.0)</f>
        <v>0</v>
      </c>
      <c r="O152" s="2">
        <f>IFERROR(__xludf.DUMMYFUNCTION("""COMPUTED_VALUE"""),69524.0)</f>
        <v>69524</v>
      </c>
      <c r="P152" s="2">
        <f>IFERROR(__xludf.DUMMYFUNCTION("""COMPUTED_VALUE"""),3476.0)</f>
        <v>3476</v>
      </c>
      <c r="Q152" s="2" t="str">
        <f>IFERROR(__xludf.DUMMYFUNCTION("""COMPUTED_VALUE"""),"Dine In")</f>
        <v>Dine In</v>
      </c>
      <c r="R152" s="2" t="str">
        <f>IFERROR(__xludf.DUMMYFUNCTION("""COMPUTED_VALUE"""),"Kedai")</f>
        <v>Kedai</v>
      </c>
      <c r="S152" s="2" t="str">
        <f>IFERROR(__xludf.DUMMYFUNCTION("""COMPUTED_VALUE"""),"Temu Roti")</f>
        <v>Temu Roti</v>
      </c>
      <c r="T152" s="2" t="str">
        <f>IFERROR(__xludf.DUMMYFUNCTION("""COMPUTED_VALUE"""),"Owner")</f>
        <v>Owner</v>
      </c>
      <c r="U152" s="2"/>
      <c r="V152" s="2"/>
      <c r="W152" s="2"/>
      <c r="X152" s="2" t="str">
        <f>IFERROR(__xludf.DUMMYFUNCTION("""COMPUTED_VALUE"""),"Closed")</f>
        <v>Closed</v>
      </c>
    </row>
    <row r="153">
      <c r="A153" s="3" t="s">
        <v>176</v>
      </c>
      <c r="B153" s="4">
        <f>IFERROR(__xludf.DUMMYFUNCTION("SPLIT(A153,"","",0,0)"),45563.62777777778)</f>
        <v>45563.62778</v>
      </c>
      <c r="C153" s="5">
        <f>IFERROR(__xludf.DUMMYFUNCTION("""COMPUTED_VALUE"""),2779528.0)</f>
        <v>2779528</v>
      </c>
      <c r="D153" s="2" t="str">
        <f>IFERROR(__xludf.DUMMYFUNCTION("""COMPUTED_VALUE"""),"Sale")</f>
        <v>Sale</v>
      </c>
      <c r="E153" s="2" t="str">
        <f>IFERROR(__xludf.DUMMYFUNCTION("""COMPUTED_VALUE"""),"Roti")</f>
        <v>Roti</v>
      </c>
      <c r="F153" s="2">
        <f>IFERROR(__xludf.DUMMYFUNCTION("""COMPUTED_VALUE"""),10055.0)</f>
        <v>10055</v>
      </c>
      <c r="G153" s="2" t="str">
        <f>IFERROR(__xludf.DUMMYFUNCTION("""COMPUTED_VALUE"""),"Roti Gandum Cokelat 2 pcs")</f>
        <v>Roti Gandum Cokelat 2 pcs</v>
      </c>
      <c r="H153" s="2"/>
      <c r="I153" s="2"/>
      <c r="J153" s="2">
        <f>IFERROR(__xludf.DUMMYFUNCTION("""COMPUTED_VALUE"""),1.0)</f>
        <v>1</v>
      </c>
      <c r="K153" s="6">
        <f>IFERROR(__xludf.DUMMYFUNCTION("""COMPUTED_VALUE"""),34762.0)</f>
        <v>34762</v>
      </c>
      <c r="L153" s="2">
        <f>IFERROR(__xludf.DUMMYFUNCTION("""COMPUTED_VALUE"""),0.0)</f>
        <v>0</v>
      </c>
      <c r="M153" s="2">
        <f>IFERROR(__xludf.DUMMYFUNCTION("""COMPUTED_VALUE"""),34762.0)</f>
        <v>34762</v>
      </c>
      <c r="N153" s="2">
        <f>IFERROR(__xludf.DUMMYFUNCTION("""COMPUTED_VALUE"""),0.0)</f>
        <v>0</v>
      </c>
      <c r="O153" s="2">
        <f>IFERROR(__xludf.DUMMYFUNCTION("""COMPUTED_VALUE"""),34762.0)</f>
        <v>34762</v>
      </c>
      <c r="P153" s="2">
        <f>IFERROR(__xludf.DUMMYFUNCTION("""COMPUTED_VALUE"""),1738.0)</f>
        <v>1738</v>
      </c>
      <c r="Q153" s="2" t="str">
        <f>IFERROR(__xludf.DUMMYFUNCTION("""COMPUTED_VALUE"""),"Dine In")</f>
        <v>Dine In</v>
      </c>
      <c r="R153" s="2" t="str">
        <f>IFERROR(__xludf.DUMMYFUNCTION("""COMPUTED_VALUE"""),"Kedai")</f>
        <v>Kedai</v>
      </c>
      <c r="S153" s="2" t="str">
        <f>IFERROR(__xludf.DUMMYFUNCTION("""COMPUTED_VALUE"""),"Temu Roti")</f>
        <v>Temu Roti</v>
      </c>
      <c r="T153" s="2" t="str">
        <f>IFERROR(__xludf.DUMMYFUNCTION("""COMPUTED_VALUE"""),"Owner")</f>
        <v>Owner</v>
      </c>
      <c r="U153" s="2"/>
      <c r="V153" s="2"/>
      <c r="W153" s="2"/>
      <c r="X153" s="2" t="str">
        <f>IFERROR(__xludf.DUMMYFUNCTION("""COMPUTED_VALUE"""),"Closed")</f>
        <v>Closed</v>
      </c>
    </row>
    <row r="154">
      <c r="A154" s="3" t="s">
        <v>177</v>
      </c>
      <c r="B154" s="4">
        <f>IFERROR(__xludf.DUMMYFUNCTION("SPLIT(A154,"","",0,0)"),45563.626388888886)</f>
        <v>45563.62639</v>
      </c>
      <c r="C154" s="5">
        <f>IFERROR(__xludf.DUMMYFUNCTION("""COMPUTED_VALUE"""),2779163.0)</f>
        <v>2779163</v>
      </c>
      <c r="D154" s="2" t="str">
        <f>IFERROR(__xludf.DUMMYFUNCTION("""COMPUTED_VALUE"""),"Sale")</f>
        <v>Sale</v>
      </c>
      <c r="E154" s="2" t="str">
        <f>IFERROR(__xludf.DUMMYFUNCTION("""COMPUTED_VALUE"""),"Roti")</f>
        <v>Roti</v>
      </c>
      <c r="F154" s="2">
        <f>IFERROR(__xludf.DUMMYFUNCTION("""COMPUTED_VALUE"""),10002.0)</f>
        <v>10002</v>
      </c>
      <c r="G154" s="2" t="str">
        <f>IFERROR(__xludf.DUMMYFUNCTION("""COMPUTED_VALUE"""),"Roti Cranberry")</f>
        <v>Roti Cranberry</v>
      </c>
      <c r="H154" s="2"/>
      <c r="I154" s="2"/>
      <c r="J154" s="2">
        <f>IFERROR(__xludf.DUMMYFUNCTION("""COMPUTED_VALUE"""),1.0)</f>
        <v>1</v>
      </c>
      <c r="K154" s="6">
        <f>IFERROR(__xludf.DUMMYFUNCTION("""COMPUTED_VALUE"""),18571.0)</f>
        <v>18571</v>
      </c>
      <c r="L154" s="2">
        <f>IFERROR(__xludf.DUMMYFUNCTION("""COMPUTED_VALUE"""),0.0)</f>
        <v>0</v>
      </c>
      <c r="M154" s="2">
        <f>IFERROR(__xludf.DUMMYFUNCTION("""COMPUTED_VALUE"""),18571.0)</f>
        <v>18571</v>
      </c>
      <c r="N154" s="2">
        <f>IFERROR(__xludf.DUMMYFUNCTION("""COMPUTED_VALUE"""),0.0)</f>
        <v>0</v>
      </c>
      <c r="O154" s="2">
        <f>IFERROR(__xludf.DUMMYFUNCTION("""COMPUTED_VALUE"""),18571.0)</f>
        <v>18571</v>
      </c>
      <c r="P154" s="2">
        <f>IFERROR(__xludf.DUMMYFUNCTION("""COMPUTED_VALUE"""),929.0)</f>
        <v>929</v>
      </c>
      <c r="Q154" s="2" t="str">
        <f>IFERROR(__xludf.DUMMYFUNCTION("""COMPUTED_VALUE"""),"Dine In")</f>
        <v>Dine In</v>
      </c>
      <c r="R154" s="2" t="str">
        <f>IFERROR(__xludf.DUMMYFUNCTION("""COMPUTED_VALUE"""),"Kedai")</f>
        <v>Kedai</v>
      </c>
      <c r="S154" s="2" t="str">
        <f>IFERROR(__xludf.DUMMYFUNCTION("""COMPUTED_VALUE"""),"Temu Roti")</f>
        <v>Temu Roti</v>
      </c>
      <c r="T154" s="2" t="str">
        <f>IFERROR(__xludf.DUMMYFUNCTION("""COMPUTED_VALUE"""),"Owner")</f>
        <v>Owner</v>
      </c>
      <c r="U154" s="2"/>
      <c r="V154" s="2"/>
      <c r="W154" s="2"/>
      <c r="X154" s="2" t="str">
        <f>IFERROR(__xludf.DUMMYFUNCTION("""COMPUTED_VALUE"""),"Closed")</f>
        <v>Closed</v>
      </c>
    </row>
    <row r="155">
      <c r="A155" s="3" t="s">
        <v>178</v>
      </c>
      <c r="B155" s="4">
        <f>IFERROR(__xludf.DUMMYFUNCTION("SPLIT(A155,"","",0,0)"),45563.626388888886)</f>
        <v>45563.62639</v>
      </c>
      <c r="C155" s="5">
        <f>IFERROR(__xludf.DUMMYFUNCTION("""COMPUTED_VALUE"""),2779163.0)</f>
        <v>2779163</v>
      </c>
      <c r="D155" s="2" t="str">
        <f>IFERROR(__xludf.DUMMYFUNCTION("""COMPUTED_VALUE"""),"Sale")</f>
        <v>Sale</v>
      </c>
      <c r="E155" s="2" t="str">
        <f>IFERROR(__xludf.DUMMYFUNCTION("""COMPUTED_VALUE"""),"Roti")</f>
        <v>Roti</v>
      </c>
      <c r="F155" s="2">
        <f>IFERROR(__xludf.DUMMYFUNCTION("""COMPUTED_VALUE"""),10005.0)</f>
        <v>10005</v>
      </c>
      <c r="G155" s="2" t="str">
        <f>IFERROR(__xludf.DUMMYFUNCTION("""COMPUTED_VALUE"""),"Roti Gandum Cokelat")</f>
        <v>Roti Gandum Cokelat</v>
      </c>
      <c r="H155" s="2"/>
      <c r="I155" s="2"/>
      <c r="J155" s="2">
        <f>IFERROR(__xludf.DUMMYFUNCTION("""COMPUTED_VALUE"""),1.0)</f>
        <v>1</v>
      </c>
      <c r="K155" s="6">
        <f>IFERROR(__xludf.DUMMYFUNCTION("""COMPUTED_VALUE"""),19524.0)</f>
        <v>19524</v>
      </c>
      <c r="L155" s="2">
        <f>IFERROR(__xludf.DUMMYFUNCTION("""COMPUTED_VALUE"""),0.0)</f>
        <v>0</v>
      </c>
      <c r="M155" s="2">
        <f>IFERROR(__xludf.DUMMYFUNCTION("""COMPUTED_VALUE"""),19524.0)</f>
        <v>19524</v>
      </c>
      <c r="N155" s="2">
        <f>IFERROR(__xludf.DUMMYFUNCTION("""COMPUTED_VALUE"""),0.0)</f>
        <v>0</v>
      </c>
      <c r="O155" s="2">
        <f>IFERROR(__xludf.DUMMYFUNCTION("""COMPUTED_VALUE"""),19524.0)</f>
        <v>19524</v>
      </c>
      <c r="P155" s="2">
        <f>IFERROR(__xludf.DUMMYFUNCTION("""COMPUTED_VALUE"""),976.0)</f>
        <v>976</v>
      </c>
      <c r="Q155" s="2" t="str">
        <f>IFERROR(__xludf.DUMMYFUNCTION("""COMPUTED_VALUE"""),"Dine In")</f>
        <v>Dine In</v>
      </c>
      <c r="R155" s="2" t="str">
        <f>IFERROR(__xludf.DUMMYFUNCTION("""COMPUTED_VALUE"""),"Kedai")</f>
        <v>Kedai</v>
      </c>
      <c r="S155" s="2" t="str">
        <f>IFERROR(__xludf.DUMMYFUNCTION("""COMPUTED_VALUE"""),"Temu Roti")</f>
        <v>Temu Roti</v>
      </c>
      <c r="T155" s="2" t="str">
        <f>IFERROR(__xludf.DUMMYFUNCTION("""COMPUTED_VALUE"""),"Owner")</f>
        <v>Owner</v>
      </c>
      <c r="U155" s="2"/>
      <c r="V155" s="2"/>
      <c r="W155" s="2"/>
      <c r="X155" s="2" t="str">
        <f>IFERROR(__xludf.DUMMYFUNCTION("""COMPUTED_VALUE"""),"Closed")</f>
        <v>Closed</v>
      </c>
    </row>
    <row r="156">
      <c r="A156" s="3" t="s">
        <v>179</v>
      </c>
      <c r="B156" s="4">
        <f>IFERROR(__xludf.DUMMYFUNCTION("SPLIT(A156,"","",0,0)"),45563.59722222222)</f>
        <v>45563.59722</v>
      </c>
      <c r="C156" s="5">
        <f>IFERROR(__xludf.DUMMYFUNCTION("""COMPUTED_VALUE"""),2778797.0)</f>
        <v>2778797</v>
      </c>
      <c r="D156" s="2" t="str">
        <f>IFERROR(__xludf.DUMMYFUNCTION("""COMPUTED_VALUE"""),"Sale")</f>
        <v>Sale</v>
      </c>
      <c r="E156" s="2" t="str">
        <f>IFERROR(__xludf.DUMMYFUNCTION("""COMPUTED_VALUE"""),"Roti")</f>
        <v>Roti</v>
      </c>
      <c r="F156" s="2">
        <f>IFERROR(__xludf.DUMMYFUNCTION("""COMPUTED_VALUE"""),10007.0)</f>
        <v>10007</v>
      </c>
      <c r="G156" s="2" t="str">
        <f>IFERROR(__xludf.DUMMYFUNCTION("""COMPUTED_VALUE"""),"Roti cranberry 2 pcs")</f>
        <v>Roti cranberry 2 pcs</v>
      </c>
      <c r="H156" s="2"/>
      <c r="I156" s="2"/>
      <c r="J156" s="2">
        <f>IFERROR(__xludf.DUMMYFUNCTION("""COMPUTED_VALUE"""),1.0)</f>
        <v>1</v>
      </c>
      <c r="K156" s="6">
        <f>IFERROR(__xludf.DUMMYFUNCTION("""COMPUTED_VALUE"""),33810.0)</f>
        <v>33810</v>
      </c>
      <c r="L156" s="2">
        <f>IFERROR(__xludf.DUMMYFUNCTION("""COMPUTED_VALUE"""),0.0)</f>
        <v>0</v>
      </c>
      <c r="M156" s="2">
        <f>IFERROR(__xludf.DUMMYFUNCTION("""COMPUTED_VALUE"""),33810.0)</f>
        <v>33810</v>
      </c>
      <c r="N156" s="2">
        <f>IFERROR(__xludf.DUMMYFUNCTION("""COMPUTED_VALUE"""),0.0)</f>
        <v>0</v>
      </c>
      <c r="O156" s="2">
        <f>IFERROR(__xludf.DUMMYFUNCTION("""COMPUTED_VALUE"""),33810.0)</f>
        <v>33810</v>
      </c>
      <c r="P156" s="2">
        <f>IFERROR(__xludf.DUMMYFUNCTION("""COMPUTED_VALUE"""),1691.0)</f>
        <v>1691</v>
      </c>
      <c r="Q156" s="2" t="str">
        <f>IFERROR(__xludf.DUMMYFUNCTION("""COMPUTED_VALUE"""),"Dine In")</f>
        <v>Dine In</v>
      </c>
      <c r="R156" s="2" t="str">
        <f>IFERROR(__xludf.DUMMYFUNCTION("""COMPUTED_VALUE"""),"Kedai")</f>
        <v>Kedai</v>
      </c>
      <c r="S156" s="2" t="str">
        <f>IFERROR(__xludf.DUMMYFUNCTION("""COMPUTED_VALUE"""),"Temu Roti")</f>
        <v>Temu Roti</v>
      </c>
      <c r="T156" s="2" t="str">
        <f>IFERROR(__xludf.DUMMYFUNCTION("""COMPUTED_VALUE"""),"Owner")</f>
        <v>Owner</v>
      </c>
      <c r="U156" s="2"/>
      <c r="V156" s="2"/>
      <c r="W156" s="2"/>
      <c r="X156" s="2" t="str">
        <f>IFERROR(__xludf.DUMMYFUNCTION("""COMPUTED_VALUE"""),"Closed")</f>
        <v>Closed</v>
      </c>
    </row>
    <row r="157">
      <c r="A157" s="3" t="s">
        <v>180</v>
      </c>
      <c r="B157" s="4">
        <f>IFERROR(__xludf.DUMMYFUNCTION("SPLIT(A157,"","",0,0)"),45563.59722222222)</f>
        <v>45563.59722</v>
      </c>
      <c r="C157" s="5">
        <f>IFERROR(__xludf.DUMMYFUNCTION("""COMPUTED_VALUE"""),2778797.0)</f>
        <v>2778797</v>
      </c>
      <c r="D157" s="2" t="str">
        <f>IFERROR(__xludf.DUMMYFUNCTION("""COMPUTED_VALUE"""),"Sale")</f>
        <v>Sale</v>
      </c>
      <c r="E157" s="2" t="str">
        <f>IFERROR(__xludf.DUMMYFUNCTION("""COMPUTED_VALUE"""),"Minuman")</f>
        <v>Minuman</v>
      </c>
      <c r="F157" s="2">
        <f>IFERROR(__xludf.DUMMYFUNCTION("""COMPUTED_VALUE"""),10126.0)</f>
        <v>10126</v>
      </c>
      <c r="G157" s="2" t="str">
        <f>IFERROR(__xludf.DUMMYFUNCTION("""COMPUTED_VALUE"""),"Chamomile Lemongrass Hot Artisan Tea")</f>
        <v>Chamomile Lemongrass Hot Artisan Tea</v>
      </c>
      <c r="H157" s="2"/>
      <c r="I157" s="2"/>
      <c r="J157" s="2">
        <f>IFERROR(__xludf.DUMMYFUNCTION("""COMPUTED_VALUE"""),1.0)</f>
        <v>1</v>
      </c>
      <c r="K157" s="6">
        <f>IFERROR(__xludf.DUMMYFUNCTION("""COMPUTED_VALUE"""),23810.0)</f>
        <v>23810</v>
      </c>
      <c r="L157" s="2">
        <f>IFERROR(__xludf.DUMMYFUNCTION("""COMPUTED_VALUE"""),0.0)</f>
        <v>0</v>
      </c>
      <c r="M157" s="2">
        <f>IFERROR(__xludf.DUMMYFUNCTION("""COMPUTED_VALUE"""),23810.0)</f>
        <v>23810</v>
      </c>
      <c r="N157" s="2">
        <f>IFERROR(__xludf.DUMMYFUNCTION("""COMPUTED_VALUE"""),0.0)</f>
        <v>0</v>
      </c>
      <c r="O157" s="2">
        <f>IFERROR(__xludf.DUMMYFUNCTION("""COMPUTED_VALUE"""),23810.0)</f>
        <v>23810</v>
      </c>
      <c r="P157" s="2">
        <f>IFERROR(__xludf.DUMMYFUNCTION("""COMPUTED_VALUE"""),1190.0)</f>
        <v>1190</v>
      </c>
      <c r="Q157" s="2" t="str">
        <f>IFERROR(__xludf.DUMMYFUNCTION("""COMPUTED_VALUE"""),"Dine In")</f>
        <v>Dine In</v>
      </c>
      <c r="R157" s="2" t="str">
        <f>IFERROR(__xludf.DUMMYFUNCTION("""COMPUTED_VALUE"""),"Kedai")</f>
        <v>Kedai</v>
      </c>
      <c r="S157" s="2" t="str">
        <f>IFERROR(__xludf.DUMMYFUNCTION("""COMPUTED_VALUE"""),"Temu Roti")</f>
        <v>Temu Roti</v>
      </c>
      <c r="T157" s="2" t="str">
        <f>IFERROR(__xludf.DUMMYFUNCTION("""COMPUTED_VALUE"""),"Owner")</f>
        <v>Owner</v>
      </c>
      <c r="U157" s="2"/>
      <c r="V157" s="2"/>
      <c r="W157" s="2"/>
      <c r="X157" s="2" t="str">
        <f>IFERROR(__xludf.DUMMYFUNCTION("""COMPUTED_VALUE"""),"Closed")</f>
        <v>Closed</v>
      </c>
    </row>
    <row r="158">
      <c r="A158" s="3" t="s">
        <v>181</v>
      </c>
      <c r="B158" s="4">
        <f>IFERROR(__xludf.DUMMYFUNCTION("SPLIT(A158,"","",0,0)"),45563.59722222222)</f>
        <v>45563.59722</v>
      </c>
      <c r="C158" s="5">
        <f>IFERROR(__xludf.DUMMYFUNCTION("""COMPUTED_VALUE"""),2778797.0)</f>
        <v>2778797</v>
      </c>
      <c r="D158" s="2" t="str">
        <f>IFERROR(__xludf.DUMMYFUNCTION("""COMPUTED_VALUE"""),"Sale")</f>
        <v>Sale</v>
      </c>
      <c r="E158" s="2" t="str">
        <f>IFERROR(__xludf.DUMMYFUNCTION("""COMPUTED_VALUE"""),"Minuman")</f>
        <v>Minuman</v>
      </c>
      <c r="F158" s="2">
        <f>IFERROR(__xludf.DUMMYFUNCTION("""COMPUTED_VALUE"""),10013.0)</f>
        <v>10013</v>
      </c>
      <c r="G158" s="2" t="str">
        <f>IFERROR(__xludf.DUMMYFUNCTION("""COMPUTED_VALUE"""),"Kopi cur")</f>
        <v>Kopi cur</v>
      </c>
      <c r="H158" s="2"/>
      <c r="I158" s="2"/>
      <c r="J158" s="2">
        <f>IFERROR(__xludf.DUMMYFUNCTION("""COMPUTED_VALUE"""),1.0)</f>
        <v>1</v>
      </c>
      <c r="K158" s="6">
        <f>IFERROR(__xludf.DUMMYFUNCTION("""COMPUTED_VALUE"""),23333.0)</f>
        <v>23333</v>
      </c>
      <c r="L158" s="2">
        <f>IFERROR(__xludf.DUMMYFUNCTION("""COMPUTED_VALUE"""),0.0)</f>
        <v>0</v>
      </c>
      <c r="M158" s="2">
        <f>IFERROR(__xludf.DUMMYFUNCTION("""COMPUTED_VALUE"""),23333.0)</f>
        <v>23333</v>
      </c>
      <c r="N158" s="2">
        <f>IFERROR(__xludf.DUMMYFUNCTION("""COMPUTED_VALUE"""),0.0)</f>
        <v>0</v>
      </c>
      <c r="O158" s="2">
        <f>IFERROR(__xludf.DUMMYFUNCTION("""COMPUTED_VALUE"""),23333.0)</f>
        <v>23333</v>
      </c>
      <c r="P158" s="2">
        <f>IFERROR(__xludf.DUMMYFUNCTION("""COMPUTED_VALUE"""),1167.0)</f>
        <v>1167</v>
      </c>
      <c r="Q158" s="2" t="str">
        <f>IFERROR(__xludf.DUMMYFUNCTION("""COMPUTED_VALUE"""),"Dine In")</f>
        <v>Dine In</v>
      </c>
      <c r="R158" s="2" t="str">
        <f>IFERROR(__xludf.DUMMYFUNCTION("""COMPUTED_VALUE"""),"Kedai")</f>
        <v>Kedai</v>
      </c>
      <c r="S158" s="2" t="str">
        <f>IFERROR(__xludf.DUMMYFUNCTION("""COMPUTED_VALUE"""),"Temu Roti")</f>
        <v>Temu Roti</v>
      </c>
      <c r="T158" s="2" t="str">
        <f>IFERROR(__xludf.DUMMYFUNCTION("""COMPUTED_VALUE"""),"Owner")</f>
        <v>Owner</v>
      </c>
      <c r="U158" s="2"/>
      <c r="V158" s="2"/>
      <c r="W158" s="2"/>
      <c r="X158" s="2" t="str">
        <f>IFERROR(__xludf.DUMMYFUNCTION("""COMPUTED_VALUE"""),"Closed")</f>
        <v>Closed</v>
      </c>
    </row>
    <row r="159">
      <c r="A159" s="3" t="s">
        <v>182</v>
      </c>
      <c r="B159" s="4">
        <f>IFERROR(__xludf.DUMMYFUNCTION("SPLIT(A159,"","",0,0)"),45563.57083333333)</f>
        <v>45563.57083</v>
      </c>
      <c r="C159" s="5">
        <f>IFERROR(__xludf.DUMMYFUNCTION("""COMPUTED_VALUE"""),2778432.0)</f>
        <v>2778432</v>
      </c>
      <c r="D159" s="2" t="str">
        <f>IFERROR(__xludf.DUMMYFUNCTION("""COMPUTED_VALUE"""),"Sale")</f>
        <v>Sale</v>
      </c>
      <c r="E159" s="2" t="str">
        <f>IFERROR(__xludf.DUMMYFUNCTION("""COMPUTED_VALUE"""),"Roti")</f>
        <v>Roti</v>
      </c>
      <c r="F159" s="2">
        <f>IFERROR(__xludf.DUMMYFUNCTION("""COMPUTED_VALUE"""),10055.0)</f>
        <v>10055</v>
      </c>
      <c r="G159" s="2" t="str">
        <f>IFERROR(__xludf.DUMMYFUNCTION("""COMPUTED_VALUE"""),"Roti Gandum Cokelat 2 pcs")</f>
        <v>Roti Gandum Cokelat 2 pcs</v>
      </c>
      <c r="H159" s="2"/>
      <c r="I159" s="2"/>
      <c r="J159" s="2">
        <f>IFERROR(__xludf.DUMMYFUNCTION("""COMPUTED_VALUE"""),2.0)</f>
        <v>2</v>
      </c>
      <c r="K159" s="6">
        <f>IFERROR(__xludf.DUMMYFUNCTION("""COMPUTED_VALUE"""),69524.0)</f>
        <v>69524</v>
      </c>
      <c r="L159" s="2">
        <f>IFERROR(__xludf.DUMMYFUNCTION("""COMPUTED_VALUE"""),0.0)</f>
        <v>0</v>
      </c>
      <c r="M159" s="2">
        <f>IFERROR(__xludf.DUMMYFUNCTION("""COMPUTED_VALUE"""),69524.0)</f>
        <v>69524</v>
      </c>
      <c r="N159" s="2">
        <f>IFERROR(__xludf.DUMMYFUNCTION("""COMPUTED_VALUE"""),0.0)</f>
        <v>0</v>
      </c>
      <c r="O159" s="2">
        <f>IFERROR(__xludf.DUMMYFUNCTION("""COMPUTED_VALUE"""),69524.0)</f>
        <v>69524</v>
      </c>
      <c r="P159" s="2">
        <f>IFERROR(__xludf.DUMMYFUNCTION("""COMPUTED_VALUE"""),3476.0)</f>
        <v>3476</v>
      </c>
      <c r="Q159" s="2" t="str">
        <f>IFERROR(__xludf.DUMMYFUNCTION("""COMPUTED_VALUE"""),"Take Away")</f>
        <v>Take Away</v>
      </c>
      <c r="R159" s="2" t="str">
        <f>IFERROR(__xludf.DUMMYFUNCTION("""COMPUTED_VALUE"""),"Kedai")</f>
        <v>Kedai</v>
      </c>
      <c r="S159" s="2" t="str">
        <f>IFERROR(__xludf.DUMMYFUNCTION("""COMPUTED_VALUE"""),"Temu Roti")</f>
        <v>Temu Roti</v>
      </c>
      <c r="T159" s="2" t="str">
        <f>IFERROR(__xludf.DUMMYFUNCTION("""COMPUTED_VALUE"""),"Owner")</f>
        <v>Owner</v>
      </c>
      <c r="U159" s="2"/>
      <c r="V159" s="2"/>
      <c r="W159" s="2"/>
      <c r="X159" s="2" t="str">
        <f>IFERROR(__xludf.DUMMYFUNCTION("""COMPUTED_VALUE"""),"Closed")</f>
        <v>Closed</v>
      </c>
    </row>
    <row r="160">
      <c r="A160" s="3" t="s">
        <v>183</v>
      </c>
      <c r="B160" s="4">
        <f>IFERROR(__xludf.DUMMYFUNCTION("SPLIT(A160,"","",0,0)"),45563.57083333333)</f>
        <v>45563.57083</v>
      </c>
      <c r="C160" s="5">
        <f>IFERROR(__xludf.DUMMYFUNCTION("""COMPUTED_VALUE"""),2778432.0)</f>
        <v>2778432</v>
      </c>
      <c r="D160" s="2" t="str">
        <f>IFERROR(__xludf.DUMMYFUNCTION("""COMPUTED_VALUE"""),"Sale")</f>
        <v>Sale</v>
      </c>
      <c r="E160" s="2" t="str">
        <f>IFERROR(__xludf.DUMMYFUNCTION("""COMPUTED_VALUE"""),"Roti")</f>
        <v>Roti</v>
      </c>
      <c r="F160" s="2">
        <f>IFERROR(__xludf.DUMMYFUNCTION("""COMPUTED_VALUE"""),10000.0)</f>
        <v>10000</v>
      </c>
      <c r="G160" s="2" t="str">
        <f>IFERROR(__xludf.DUMMYFUNCTION("""COMPUTED_VALUE"""),"Roti Bawang Saus Keju")</f>
        <v>Roti Bawang Saus Keju</v>
      </c>
      <c r="H160" s="2"/>
      <c r="I160" s="2"/>
      <c r="J160" s="2">
        <f>IFERROR(__xludf.DUMMYFUNCTION("""COMPUTED_VALUE"""),1.0)</f>
        <v>1</v>
      </c>
      <c r="K160" s="6">
        <f>IFERROR(__xludf.DUMMYFUNCTION("""COMPUTED_VALUE"""),29524.0)</f>
        <v>29524</v>
      </c>
      <c r="L160" s="2">
        <f>IFERROR(__xludf.DUMMYFUNCTION("""COMPUTED_VALUE"""),0.0)</f>
        <v>0</v>
      </c>
      <c r="M160" s="2">
        <f>IFERROR(__xludf.DUMMYFUNCTION("""COMPUTED_VALUE"""),29524.0)</f>
        <v>29524</v>
      </c>
      <c r="N160" s="2">
        <f>IFERROR(__xludf.DUMMYFUNCTION("""COMPUTED_VALUE"""),0.0)</f>
        <v>0</v>
      </c>
      <c r="O160" s="2">
        <f>IFERROR(__xludf.DUMMYFUNCTION("""COMPUTED_VALUE"""),29524.0)</f>
        <v>29524</v>
      </c>
      <c r="P160" s="2">
        <f>IFERROR(__xludf.DUMMYFUNCTION("""COMPUTED_VALUE"""),1476.0)</f>
        <v>1476</v>
      </c>
      <c r="Q160" s="2" t="str">
        <f>IFERROR(__xludf.DUMMYFUNCTION("""COMPUTED_VALUE"""),"Take Away")</f>
        <v>Take Away</v>
      </c>
      <c r="R160" s="2" t="str">
        <f>IFERROR(__xludf.DUMMYFUNCTION("""COMPUTED_VALUE"""),"Kedai")</f>
        <v>Kedai</v>
      </c>
      <c r="S160" s="2" t="str">
        <f>IFERROR(__xludf.DUMMYFUNCTION("""COMPUTED_VALUE"""),"Temu Roti")</f>
        <v>Temu Roti</v>
      </c>
      <c r="T160" s="2" t="str">
        <f>IFERROR(__xludf.DUMMYFUNCTION("""COMPUTED_VALUE"""),"Owner")</f>
        <v>Owner</v>
      </c>
      <c r="U160" s="2"/>
      <c r="V160" s="2"/>
      <c r="W160" s="2"/>
      <c r="X160" s="2" t="str">
        <f>IFERROR(__xludf.DUMMYFUNCTION("""COMPUTED_VALUE"""),"Closed")</f>
        <v>Closed</v>
      </c>
    </row>
    <row r="161">
      <c r="A161" s="3" t="s">
        <v>184</v>
      </c>
      <c r="B161" s="4">
        <f>IFERROR(__xludf.DUMMYFUNCTION("SPLIT(A161,"","",0,0)"),45563.57083333333)</f>
        <v>45563.57083</v>
      </c>
      <c r="C161" s="5">
        <f>IFERROR(__xludf.DUMMYFUNCTION("""COMPUTED_VALUE"""),2778432.0)</f>
        <v>2778432</v>
      </c>
      <c r="D161" s="2" t="str">
        <f>IFERROR(__xludf.DUMMYFUNCTION("""COMPUTED_VALUE"""),"Sale")</f>
        <v>Sale</v>
      </c>
      <c r="E161" s="2" t="str">
        <f>IFERROR(__xludf.DUMMYFUNCTION("""COMPUTED_VALUE"""),"Roti")</f>
        <v>Roti</v>
      </c>
      <c r="F161" s="2">
        <f>IFERROR(__xludf.DUMMYFUNCTION("""COMPUTED_VALUE"""),10007.0)</f>
        <v>10007</v>
      </c>
      <c r="G161" s="2" t="str">
        <f>IFERROR(__xludf.DUMMYFUNCTION("""COMPUTED_VALUE"""),"Roti cranberry 2 pcs")</f>
        <v>Roti cranberry 2 pcs</v>
      </c>
      <c r="H161" s="2"/>
      <c r="I161" s="2"/>
      <c r="J161" s="2">
        <f>IFERROR(__xludf.DUMMYFUNCTION("""COMPUTED_VALUE"""),1.0)</f>
        <v>1</v>
      </c>
      <c r="K161" s="6">
        <f>IFERROR(__xludf.DUMMYFUNCTION("""COMPUTED_VALUE"""),33810.0)</f>
        <v>33810</v>
      </c>
      <c r="L161" s="2">
        <f>IFERROR(__xludf.DUMMYFUNCTION("""COMPUTED_VALUE"""),0.0)</f>
        <v>0</v>
      </c>
      <c r="M161" s="2">
        <f>IFERROR(__xludf.DUMMYFUNCTION("""COMPUTED_VALUE"""),33810.0)</f>
        <v>33810</v>
      </c>
      <c r="N161" s="2">
        <f>IFERROR(__xludf.DUMMYFUNCTION("""COMPUTED_VALUE"""),0.0)</f>
        <v>0</v>
      </c>
      <c r="O161" s="2">
        <f>IFERROR(__xludf.DUMMYFUNCTION("""COMPUTED_VALUE"""),33810.0)</f>
        <v>33810</v>
      </c>
      <c r="P161" s="2">
        <f>IFERROR(__xludf.DUMMYFUNCTION("""COMPUTED_VALUE"""),1691.0)</f>
        <v>1691</v>
      </c>
      <c r="Q161" s="2" t="str">
        <f>IFERROR(__xludf.DUMMYFUNCTION("""COMPUTED_VALUE"""),"Take Away")</f>
        <v>Take Away</v>
      </c>
      <c r="R161" s="2" t="str">
        <f>IFERROR(__xludf.DUMMYFUNCTION("""COMPUTED_VALUE"""),"Kedai")</f>
        <v>Kedai</v>
      </c>
      <c r="S161" s="2" t="str">
        <f>IFERROR(__xludf.DUMMYFUNCTION("""COMPUTED_VALUE"""),"Temu Roti")</f>
        <v>Temu Roti</v>
      </c>
      <c r="T161" s="2" t="str">
        <f>IFERROR(__xludf.DUMMYFUNCTION("""COMPUTED_VALUE"""),"Owner")</f>
        <v>Owner</v>
      </c>
      <c r="U161" s="2"/>
      <c r="V161" s="2"/>
      <c r="W161" s="2"/>
      <c r="X161" s="2" t="str">
        <f>IFERROR(__xludf.DUMMYFUNCTION("""COMPUTED_VALUE"""),"Closed")</f>
        <v>Closed</v>
      </c>
    </row>
    <row r="162">
      <c r="A162" s="3" t="s">
        <v>185</v>
      </c>
      <c r="B162" s="4">
        <f>IFERROR(__xludf.DUMMYFUNCTION("SPLIT(A162,"","",0,0)"),45563.5625)</f>
        <v>45563.5625</v>
      </c>
      <c r="C162" s="5">
        <f>IFERROR(__xludf.DUMMYFUNCTION("""COMPUTED_VALUE"""),2778067.0)</f>
        <v>2778067</v>
      </c>
      <c r="D162" s="2" t="str">
        <f>IFERROR(__xludf.DUMMYFUNCTION("""COMPUTED_VALUE"""),"Sale")</f>
        <v>Sale</v>
      </c>
      <c r="E162" s="2" t="str">
        <f>IFERROR(__xludf.DUMMYFUNCTION("""COMPUTED_VALUE"""),"Minuman")</f>
        <v>Minuman</v>
      </c>
      <c r="F162" s="2">
        <f>IFERROR(__xludf.DUMMYFUNCTION("""COMPUTED_VALUE"""),10127.0)</f>
        <v>10127</v>
      </c>
      <c r="G162" s="2" t="str">
        <f>IFERROR(__xludf.DUMMYFUNCTION("""COMPUTED_VALUE"""),"Kopi Tubruk Panas")</f>
        <v>Kopi Tubruk Panas</v>
      </c>
      <c r="H162" s="2"/>
      <c r="I162" s="2"/>
      <c r="J162" s="2">
        <f>IFERROR(__xludf.DUMMYFUNCTION("""COMPUTED_VALUE"""),1.0)</f>
        <v>1</v>
      </c>
      <c r="K162" s="6">
        <f>IFERROR(__xludf.DUMMYFUNCTION("""COMPUTED_VALUE"""),18571.0)</f>
        <v>18571</v>
      </c>
      <c r="L162" s="2">
        <f>IFERROR(__xludf.DUMMYFUNCTION("""COMPUTED_VALUE"""),0.0)</f>
        <v>0</v>
      </c>
      <c r="M162" s="2">
        <f>IFERROR(__xludf.DUMMYFUNCTION("""COMPUTED_VALUE"""),18571.0)</f>
        <v>18571</v>
      </c>
      <c r="N162" s="2">
        <f>IFERROR(__xludf.DUMMYFUNCTION("""COMPUTED_VALUE"""),0.0)</f>
        <v>0</v>
      </c>
      <c r="O162" s="2">
        <f>IFERROR(__xludf.DUMMYFUNCTION("""COMPUTED_VALUE"""),18571.0)</f>
        <v>18571</v>
      </c>
      <c r="P162" s="2">
        <f>IFERROR(__xludf.DUMMYFUNCTION("""COMPUTED_VALUE"""),929.0)</f>
        <v>929</v>
      </c>
      <c r="Q162" s="2" t="str">
        <f>IFERROR(__xludf.DUMMYFUNCTION("""COMPUTED_VALUE"""),"Dine In")</f>
        <v>Dine In</v>
      </c>
      <c r="R162" s="2" t="str">
        <f>IFERROR(__xludf.DUMMYFUNCTION("""COMPUTED_VALUE"""),"Kedai")</f>
        <v>Kedai</v>
      </c>
      <c r="S162" s="2" t="str">
        <f>IFERROR(__xludf.DUMMYFUNCTION("""COMPUTED_VALUE"""),"Temu Roti")</f>
        <v>Temu Roti</v>
      </c>
      <c r="T162" s="2" t="str">
        <f>IFERROR(__xludf.DUMMYFUNCTION("""COMPUTED_VALUE"""),"Owner")</f>
        <v>Owner</v>
      </c>
      <c r="U162" s="2"/>
      <c r="V162" s="2"/>
      <c r="W162" s="2"/>
      <c r="X162" s="2" t="str">
        <f>IFERROR(__xludf.DUMMYFUNCTION("""COMPUTED_VALUE"""),"Closed")</f>
        <v>Closed</v>
      </c>
    </row>
    <row r="163">
      <c r="A163" s="3" t="s">
        <v>186</v>
      </c>
      <c r="B163" s="4">
        <f>IFERROR(__xludf.DUMMYFUNCTION("SPLIT(A163,"","",0,0)"),45563.5625)</f>
        <v>45563.5625</v>
      </c>
      <c r="C163" s="5">
        <f>IFERROR(__xludf.DUMMYFUNCTION("""COMPUTED_VALUE"""),2778067.0)</f>
        <v>2778067</v>
      </c>
      <c r="D163" s="2" t="str">
        <f>IFERROR(__xludf.DUMMYFUNCTION("""COMPUTED_VALUE"""),"Sale")</f>
        <v>Sale</v>
      </c>
      <c r="E163" s="2" t="str">
        <f>IFERROR(__xludf.DUMMYFUNCTION("""COMPUTED_VALUE"""),"Minuman")</f>
        <v>Minuman</v>
      </c>
      <c r="F163" s="2">
        <f>IFERROR(__xludf.DUMMYFUNCTION("""COMPUTED_VALUE"""),10112.0)</f>
        <v>10112</v>
      </c>
      <c r="G163" s="2" t="str">
        <f>IFERROR(__xludf.DUMMYFUNCTION("""COMPUTED_VALUE"""),"Air mineral")</f>
        <v>Air mineral</v>
      </c>
      <c r="H163" s="2"/>
      <c r="I163" s="2"/>
      <c r="J163" s="2">
        <f>IFERROR(__xludf.DUMMYFUNCTION("""COMPUTED_VALUE"""),1.0)</f>
        <v>1</v>
      </c>
      <c r="K163" s="6">
        <f>IFERROR(__xludf.DUMMYFUNCTION("""COMPUTED_VALUE"""),6667.0)</f>
        <v>6667</v>
      </c>
      <c r="L163" s="2">
        <f>IFERROR(__xludf.DUMMYFUNCTION("""COMPUTED_VALUE"""),0.0)</f>
        <v>0</v>
      </c>
      <c r="M163" s="2">
        <f>IFERROR(__xludf.DUMMYFUNCTION("""COMPUTED_VALUE"""),6667.0)</f>
        <v>6667</v>
      </c>
      <c r="N163" s="2">
        <f>IFERROR(__xludf.DUMMYFUNCTION("""COMPUTED_VALUE"""),0.0)</f>
        <v>0</v>
      </c>
      <c r="O163" s="2">
        <f>IFERROR(__xludf.DUMMYFUNCTION("""COMPUTED_VALUE"""),6667.0)</f>
        <v>6667</v>
      </c>
      <c r="P163" s="2">
        <f>IFERROR(__xludf.DUMMYFUNCTION("""COMPUTED_VALUE"""),333.0)</f>
        <v>333</v>
      </c>
      <c r="Q163" s="2" t="str">
        <f>IFERROR(__xludf.DUMMYFUNCTION("""COMPUTED_VALUE"""),"Dine In")</f>
        <v>Dine In</v>
      </c>
      <c r="R163" s="2" t="str">
        <f>IFERROR(__xludf.DUMMYFUNCTION("""COMPUTED_VALUE"""),"Kedai")</f>
        <v>Kedai</v>
      </c>
      <c r="S163" s="2" t="str">
        <f>IFERROR(__xludf.DUMMYFUNCTION("""COMPUTED_VALUE"""),"Temu Roti")</f>
        <v>Temu Roti</v>
      </c>
      <c r="T163" s="2" t="str">
        <f>IFERROR(__xludf.DUMMYFUNCTION("""COMPUTED_VALUE"""),"Owner")</f>
        <v>Owner</v>
      </c>
      <c r="U163" s="2"/>
      <c r="V163" s="2"/>
      <c r="W163" s="2"/>
      <c r="X163" s="2" t="str">
        <f>IFERROR(__xludf.DUMMYFUNCTION("""COMPUTED_VALUE"""),"Closed")</f>
        <v>Closed</v>
      </c>
    </row>
    <row r="164">
      <c r="A164" s="3" t="s">
        <v>187</v>
      </c>
      <c r="B164" s="4">
        <f>IFERROR(__xludf.DUMMYFUNCTION("SPLIT(A164,"","",0,0)"),45563.55486111111)</f>
        <v>45563.55486</v>
      </c>
      <c r="C164" s="5">
        <f>IFERROR(__xludf.DUMMYFUNCTION("""COMPUTED_VALUE"""),2777702.0)</f>
        <v>2777702</v>
      </c>
      <c r="D164" s="2" t="str">
        <f>IFERROR(__xludf.DUMMYFUNCTION("""COMPUTED_VALUE"""),"Sale")</f>
        <v>Sale</v>
      </c>
      <c r="E164" s="2" t="str">
        <f>IFERROR(__xludf.DUMMYFUNCTION("""COMPUTED_VALUE"""),"Minuman")</f>
        <v>Minuman</v>
      </c>
      <c r="F164" s="2">
        <f>IFERROR(__xludf.DUMMYFUNCTION("""COMPUTED_VALUE"""),10123.0)</f>
        <v>10123</v>
      </c>
      <c r="G164" s="2" t="str">
        <f>IFERROR(__xludf.DUMMYFUNCTION("""COMPUTED_VALUE"""),"Rempah Madu Dingin")</f>
        <v>Rempah Madu Dingin</v>
      </c>
      <c r="H164" s="2"/>
      <c r="I164" s="2"/>
      <c r="J164" s="2">
        <f>IFERROR(__xludf.DUMMYFUNCTION("""COMPUTED_VALUE"""),1.0)</f>
        <v>1</v>
      </c>
      <c r="K164" s="6">
        <f>IFERROR(__xludf.DUMMYFUNCTION("""COMPUTED_VALUE"""),21905.0)</f>
        <v>21905</v>
      </c>
      <c r="L164" s="2">
        <f>IFERROR(__xludf.DUMMYFUNCTION("""COMPUTED_VALUE"""),0.0)</f>
        <v>0</v>
      </c>
      <c r="M164" s="2">
        <f>IFERROR(__xludf.DUMMYFUNCTION("""COMPUTED_VALUE"""),21905.0)</f>
        <v>21905</v>
      </c>
      <c r="N164" s="2">
        <f>IFERROR(__xludf.DUMMYFUNCTION("""COMPUTED_VALUE"""),0.0)</f>
        <v>0</v>
      </c>
      <c r="O164" s="2">
        <f>IFERROR(__xludf.DUMMYFUNCTION("""COMPUTED_VALUE"""),21905.0)</f>
        <v>21905</v>
      </c>
      <c r="P164" s="2">
        <f>IFERROR(__xludf.DUMMYFUNCTION("""COMPUTED_VALUE"""),1095.0)</f>
        <v>1095</v>
      </c>
      <c r="Q164" s="2" t="str">
        <f>IFERROR(__xludf.DUMMYFUNCTION("""COMPUTED_VALUE"""),"Dine In")</f>
        <v>Dine In</v>
      </c>
      <c r="R164" s="2" t="str">
        <f>IFERROR(__xludf.DUMMYFUNCTION("""COMPUTED_VALUE"""),"Kedai")</f>
        <v>Kedai</v>
      </c>
      <c r="S164" s="2" t="str">
        <f>IFERROR(__xludf.DUMMYFUNCTION("""COMPUTED_VALUE"""),"Temu Roti")</f>
        <v>Temu Roti</v>
      </c>
      <c r="T164" s="2" t="str">
        <f>IFERROR(__xludf.DUMMYFUNCTION("""COMPUTED_VALUE"""),"Owner")</f>
        <v>Owner</v>
      </c>
      <c r="U164" s="2"/>
      <c r="V164" s="2"/>
      <c r="W164" s="2"/>
      <c r="X164" s="2" t="str">
        <f>IFERROR(__xludf.DUMMYFUNCTION("""COMPUTED_VALUE"""),"Closed")</f>
        <v>Closed</v>
      </c>
    </row>
    <row r="165">
      <c r="A165" s="3" t="s">
        <v>188</v>
      </c>
      <c r="B165" s="4">
        <f>IFERROR(__xludf.DUMMYFUNCTION("SPLIT(A165,"","",0,0)"),45563.55486111111)</f>
        <v>45563.55486</v>
      </c>
      <c r="C165" s="5">
        <f>IFERROR(__xludf.DUMMYFUNCTION("""COMPUTED_VALUE"""),2777702.0)</f>
        <v>2777702</v>
      </c>
      <c r="D165" s="2" t="str">
        <f>IFERROR(__xludf.DUMMYFUNCTION("""COMPUTED_VALUE"""),"Sale")</f>
        <v>Sale</v>
      </c>
      <c r="E165" s="2" t="str">
        <f>IFERROR(__xludf.DUMMYFUNCTION("""COMPUTED_VALUE"""),"Minuman")</f>
        <v>Minuman</v>
      </c>
      <c r="F165" s="2">
        <f>IFERROR(__xludf.DUMMYFUNCTION("""COMPUTED_VALUE"""),10026.0)</f>
        <v>10026</v>
      </c>
      <c r="G165" s="2" t="str">
        <f>IFERROR(__xludf.DUMMYFUNCTION("""COMPUTED_VALUE"""),"Es Kopi Lemon")</f>
        <v>Es Kopi Lemon</v>
      </c>
      <c r="H165" s="2"/>
      <c r="I165" s="2"/>
      <c r="J165" s="2">
        <f>IFERROR(__xludf.DUMMYFUNCTION("""COMPUTED_VALUE"""),1.0)</f>
        <v>1</v>
      </c>
      <c r="K165" s="6">
        <f>IFERROR(__xludf.DUMMYFUNCTION("""COMPUTED_VALUE"""),21905.0)</f>
        <v>21905</v>
      </c>
      <c r="L165" s="2">
        <f>IFERROR(__xludf.DUMMYFUNCTION("""COMPUTED_VALUE"""),0.0)</f>
        <v>0</v>
      </c>
      <c r="M165" s="2">
        <f>IFERROR(__xludf.DUMMYFUNCTION("""COMPUTED_VALUE"""),21905.0)</f>
        <v>21905</v>
      </c>
      <c r="N165" s="2">
        <f>IFERROR(__xludf.DUMMYFUNCTION("""COMPUTED_VALUE"""),0.0)</f>
        <v>0</v>
      </c>
      <c r="O165" s="2">
        <f>IFERROR(__xludf.DUMMYFUNCTION("""COMPUTED_VALUE"""),21905.0)</f>
        <v>21905</v>
      </c>
      <c r="P165" s="2">
        <f>IFERROR(__xludf.DUMMYFUNCTION("""COMPUTED_VALUE"""),1096.0)</f>
        <v>1096</v>
      </c>
      <c r="Q165" s="2" t="str">
        <f>IFERROR(__xludf.DUMMYFUNCTION("""COMPUTED_VALUE"""),"Dine In")</f>
        <v>Dine In</v>
      </c>
      <c r="R165" s="2" t="str">
        <f>IFERROR(__xludf.DUMMYFUNCTION("""COMPUTED_VALUE"""),"Kedai")</f>
        <v>Kedai</v>
      </c>
      <c r="S165" s="2" t="str">
        <f>IFERROR(__xludf.DUMMYFUNCTION("""COMPUTED_VALUE"""),"Temu Roti")</f>
        <v>Temu Roti</v>
      </c>
      <c r="T165" s="2" t="str">
        <f>IFERROR(__xludf.DUMMYFUNCTION("""COMPUTED_VALUE"""),"Owner")</f>
        <v>Owner</v>
      </c>
      <c r="U165" s="2"/>
      <c r="V165" s="2"/>
      <c r="W165" s="2"/>
      <c r="X165" s="2" t="str">
        <f>IFERROR(__xludf.DUMMYFUNCTION("""COMPUTED_VALUE"""),"Closed")</f>
        <v>Closed</v>
      </c>
    </row>
    <row r="166">
      <c r="A166" s="3" t="s">
        <v>189</v>
      </c>
      <c r="B166" s="4">
        <f>IFERROR(__xludf.DUMMYFUNCTION("SPLIT(A166,"","",0,0)"),45563.55486111111)</f>
        <v>45563.55486</v>
      </c>
      <c r="C166" s="5">
        <f>IFERROR(__xludf.DUMMYFUNCTION("""COMPUTED_VALUE"""),2777702.0)</f>
        <v>2777702</v>
      </c>
      <c r="D166" s="2" t="str">
        <f>IFERROR(__xludf.DUMMYFUNCTION("""COMPUTED_VALUE"""),"Sale")</f>
        <v>Sale</v>
      </c>
      <c r="E166" s="2" t="str">
        <f>IFERROR(__xludf.DUMMYFUNCTION("""COMPUTED_VALUE"""),"Roti")</f>
        <v>Roti</v>
      </c>
      <c r="F166" s="2">
        <f>IFERROR(__xludf.DUMMYFUNCTION("""COMPUTED_VALUE"""),10002.0)</f>
        <v>10002</v>
      </c>
      <c r="G166" s="2" t="str">
        <f>IFERROR(__xludf.DUMMYFUNCTION("""COMPUTED_VALUE"""),"Roti Cranberry")</f>
        <v>Roti Cranberry</v>
      </c>
      <c r="H166" s="2"/>
      <c r="I166" s="2"/>
      <c r="J166" s="2">
        <f>IFERROR(__xludf.DUMMYFUNCTION("""COMPUTED_VALUE"""),1.0)</f>
        <v>1</v>
      </c>
      <c r="K166" s="6">
        <f>IFERROR(__xludf.DUMMYFUNCTION("""COMPUTED_VALUE"""),18571.0)</f>
        <v>18571</v>
      </c>
      <c r="L166" s="2">
        <f>IFERROR(__xludf.DUMMYFUNCTION("""COMPUTED_VALUE"""),0.0)</f>
        <v>0</v>
      </c>
      <c r="M166" s="2">
        <f>IFERROR(__xludf.DUMMYFUNCTION("""COMPUTED_VALUE"""),18571.0)</f>
        <v>18571</v>
      </c>
      <c r="N166" s="2">
        <f>IFERROR(__xludf.DUMMYFUNCTION("""COMPUTED_VALUE"""),0.0)</f>
        <v>0</v>
      </c>
      <c r="O166" s="2">
        <f>IFERROR(__xludf.DUMMYFUNCTION("""COMPUTED_VALUE"""),18571.0)</f>
        <v>18571</v>
      </c>
      <c r="P166" s="2">
        <f>IFERROR(__xludf.DUMMYFUNCTION("""COMPUTED_VALUE"""),928.0)</f>
        <v>928</v>
      </c>
      <c r="Q166" s="2" t="str">
        <f>IFERROR(__xludf.DUMMYFUNCTION("""COMPUTED_VALUE"""),"Dine In")</f>
        <v>Dine In</v>
      </c>
      <c r="R166" s="2" t="str">
        <f>IFERROR(__xludf.DUMMYFUNCTION("""COMPUTED_VALUE"""),"Kedai")</f>
        <v>Kedai</v>
      </c>
      <c r="S166" s="2" t="str">
        <f>IFERROR(__xludf.DUMMYFUNCTION("""COMPUTED_VALUE"""),"Temu Roti")</f>
        <v>Temu Roti</v>
      </c>
      <c r="T166" s="2" t="str">
        <f>IFERROR(__xludf.DUMMYFUNCTION("""COMPUTED_VALUE"""),"Owner")</f>
        <v>Owner</v>
      </c>
      <c r="U166" s="2"/>
      <c r="V166" s="2"/>
      <c r="W166" s="2"/>
      <c r="X166" s="2" t="str">
        <f>IFERROR(__xludf.DUMMYFUNCTION("""COMPUTED_VALUE"""),"Closed")</f>
        <v>Closed</v>
      </c>
    </row>
    <row r="167">
      <c r="A167" s="3" t="s">
        <v>190</v>
      </c>
      <c r="B167" s="4">
        <f>IFERROR(__xludf.DUMMYFUNCTION("SPLIT(A167,"","",0,0)"),45563.55486111111)</f>
        <v>45563.55486</v>
      </c>
      <c r="C167" s="5">
        <f>IFERROR(__xludf.DUMMYFUNCTION("""COMPUTED_VALUE"""),2777702.0)</f>
        <v>2777702</v>
      </c>
      <c r="D167" s="2" t="str">
        <f>IFERROR(__xludf.DUMMYFUNCTION("""COMPUTED_VALUE"""),"Sale")</f>
        <v>Sale</v>
      </c>
      <c r="E167" s="2" t="str">
        <f>IFERROR(__xludf.DUMMYFUNCTION("""COMPUTED_VALUE"""),"Roti")</f>
        <v>Roti</v>
      </c>
      <c r="F167" s="2">
        <f>IFERROR(__xludf.DUMMYFUNCTION("""COMPUTED_VALUE"""),10005.0)</f>
        <v>10005</v>
      </c>
      <c r="G167" s="2" t="str">
        <f>IFERROR(__xludf.DUMMYFUNCTION("""COMPUTED_VALUE"""),"Roti Gandum Cokelat")</f>
        <v>Roti Gandum Cokelat</v>
      </c>
      <c r="H167" s="2"/>
      <c r="I167" s="2"/>
      <c r="J167" s="2">
        <f>IFERROR(__xludf.DUMMYFUNCTION("""COMPUTED_VALUE"""),1.0)</f>
        <v>1</v>
      </c>
      <c r="K167" s="6">
        <f>IFERROR(__xludf.DUMMYFUNCTION("""COMPUTED_VALUE"""),19524.0)</f>
        <v>19524</v>
      </c>
      <c r="L167" s="2">
        <f>IFERROR(__xludf.DUMMYFUNCTION("""COMPUTED_VALUE"""),0.0)</f>
        <v>0</v>
      </c>
      <c r="M167" s="2">
        <f>IFERROR(__xludf.DUMMYFUNCTION("""COMPUTED_VALUE"""),19524.0)</f>
        <v>19524</v>
      </c>
      <c r="N167" s="2">
        <f>IFERROR(__xludf.DUMMYFUNCTION("""COMPUTED_VALUE"""),0.0)</f>
        <v>0</v>
      </c>
      <c r="O167" s="2">
        <f>IFERROR(__xludf.DUMMYFUNCTION("""COMPUTED_VALUE"""),19524.0)</f>
        <v>19524</v>
      </c>
      <c r="P167" s="2">
        <f>IFERROR(__xludf.DUMMYFUNCTION("""COMPUTED_VALUE"""),976.0)</f>
        <v>976</v>
      </c>
      <c r="Q167" s="2" t="str">
        <f>IFERROR(__xludf.DUMMYFUNCTION("""COMPUTED_VALUE"""),"Dine In")</f>
        <v>Dine In</v>
      </c>
      <c r="R167" s="2" t="str">
        <f>IFERROR(__xludf.DUMMYFUNCTION("""COMPUTED_VALUE"""),"Kedai")</f>
        <v>Kedai</v>
      </c>
      <c r="S167" s="2" t="str">
        <f>IFERROR(__xludf.DUMMYFUNCTION("""COMPUTED_VALUE"""),"Temu Roti")</f>
        <v>Temu Roti</v>
      </c>
      <c r="T167" s="2" t="str">
        <f>IFERROR(__xludf.DUMMYFUNCTION("""COMPUTED_VALUE"""),"Owner")</f>
        <v>Owner</v>
      </c>
      <c r="U167" s="2"/>
      <c r="V167" s="2"/>
      <c r="W167" s="2"/>
      <c r="X167" s="2" t="str">
        <f>IFERROR(__xludf.DUMMYFUNCTION("""COMPUTED_VALUE"""),"Closed")</f>
        <v>Closed</v>
      </c>
    </row>
    <row r="168">
      <c r="A168" s="3" t="s">
        <v>191</v>
      </c>
      <c r="B168" s="4">
        <f>IFERROR(__xludf.DUMMYFUNCTION("SPLIT(A168,"","",0,0)"),45563.52638888889)</f>
        <v>45563.52639</v>
      </c>
      <c r="C168" s="5">
        <f>IFERROR(__xludf.DUMMYFUNCTION("""COMPUTED_VALUE"""),2777336.0)</f>
        <v>2777336</v>
      </c>
      <c r="D168" s="2" t="str">
        <f>IFERROR(__xludf.DUMMYFUNCTION("""COMPUTED_VALUE"""),"Sale")</f>
        <v>Sale</v>
      </c>
      <c r="E168" s="2" t="str">
        <f>IFERROR(__xludf.DUMMYFUNCTION("""COMPUTED_VALUE"""),"Roti")</f>
        <v>Roti</v>
      </c>
      <c r="F168" s="2">
        <f>IFERROR(__xludf.DUMMYFUNCTION("""COMPUTED_VALUE"""),10007.0)</f>
        <v>10007</v>
      </c>
      <c r="G168" s="2" t="str">
        <f>IFERROR(__xludf.DUMMYFUNCTION("""COMPUTED_VALUE"""),"Roti cranberry 2 pcs")</f>
        <v>Roti cranberry 2 pcs</v>
      </c>
      <c r="H168" s="2"/>
      <c r="I168" s="2"/>
      <c r="J168" s="2">
        <f>IFERROR(__xludf.DUMMYFUNCTION("""COMPUTED_VALUE"""),1.0)</f>
        <v>1</v>
      </c>
      <c r="K168" s="6">
        <f>IFERROR(__xludf.DUMMYFUNCTION("""COMPUTED_VALUE"""),33810.0)</f>
        <v>33810</v>
      </c>
      <c r="L168" s="2">
        <f>IFERROR(__xludf.DUMMYFUNCTION("""COMPUTED_VALUE"""),0.0)</f>
        <v>0</v>
      </c>
      <c r="M168" s="2">
        <f>IFERROR(__xludf.DUMMYFUNCTION("""COMPUTED_VALUE"""),33810.0)</f>
        <v>33810</v>
      </c>
      <c r="N168" s="2">
        <f>IFERROR(__xludf.DUMMYFUNCTION("""COMPUTED_VALUE"""),0.0)</f>
        <v>0</v>
      </c>
      <c r="O168" s="2">
        <f>IFERROR(__xludf.DUMMYFUNCTION("""COMPUTED_VALUE"""),33810.0)</f>
        <v>33810</v>
      </c>
      <c r="P168" s="2">
        <f>IFERROR(__xludf.DUMMYFUNCTION("""COMPUTED_VALUE"""),1691.0)</f>
        <v>1691</v>
      </c>
      <c r="Q168" s="2" t="str">
        <f>IFERROR(__xludf.DUMMYFUNCTION("""COMPUTED_VALUE"""),"Take Away")</f>
        <v>Take Away</v>
      </c>
      <c r="R168" s="2" t="str">
        <f>IFERROR(__xludf.DUMMYFUNCTION("""COMPUTED_VALUE"""),"Kedai")</f>
        <v>Kedai</v>
      </c>
      <c r="S168" s="2" t="str">
        <f>IFERROR(__xludf.DUMMYFUNCTION("""COMPUTED_VALUE"""),"Temu Roti")</f>
        <v>Temu Roti</v>
      </c>
      <c r="T168" s="2" t="str">
        <f>IFERROR(__xludf.DUMMYFUNCTION("""COMPUTED_VALUE"""),"Owner")</f>
        <v>Owner</v>
      </c>
      <c r="U168" s="2"/>
      <c r="V168" s="2"/>
      <c r="W168" s="2"/>
      <c r="X168" s="2" t="str">
        <f>IFERROR(__xludf.DUMMYFUNCTION("""COMPUTED_VALUE"""),"Closed")</f>
        <v>Closed</v>
      </c>
    </row>
    <row r="169">
      <c r="A169" s="3" t="s">
        <v>192</v>
      </c>
      <c r="B169" s="4">
        <f>IFERROR(__xludf.DUMMYFUNCTION("SPLIT(A169,"","",0,0)"),45563.52638888889)</f>
        <v>45563.52639</v>
      </c>
      <c r="C169" s="5">
        <f>IFERROR(__xludf.DUMMYFUNCTION("""COMPUTED_VALUE"""),2777336.0)</f>
        <v>2777336</v>
      </c>
      <c r="D169" s="2" t="str">
        <f>IFERROR(__xludf.DUMMYFUNCTION("""COMPUTED_VALUE"""),"Sale")</f>
        <v>Sale</v>
      </c>
      <c r="E169" s="2" t="str">
        <f>IFERROR(__xludf.DUMMYFUNCTION("""COMPUTED_VALUE"""),"Roti")</f>
        <v>Roti</v>
      </c>
      <c r="F169" s="2">
        <f>IFERROR(__xludf.DUMMYFUNCTION("""COMPUTED_VALUE"""),10055.0)</f>
        <v>10055</v>
      </c>
      <c r="G169" s="2" t="str">
        <f>IFERROR(__xludf.DUMMYFUNCTION("""COMPUTED_VALUE"""),"Roti Gandum Cokelat 2 pcs")</f>
        <v>Roti Gandum Cokelat 2 pcs</v>
      </c>
      <c r="H169" s="2"/>
      <c r="I169" s="2"/>
      <c r="J169" s="2">
        <f>IFERROR(__xludf.DUMMYFUNCTION("""COMPUTED_VALUE"""),1.0)</f>
        <v>1</v>
      </c>
      <c r="K169" s="6">
        <f>IFERROR(__xludf.DUMMYFUNCTION("""COMPUTED_VALUE"""),34762.0)</f>
        <v>34762</v>
      </c>
      <c r="L169" s="2">
        <f>IFERROR(__xludf.DUMMYFUNCTION("""COMPUTED_VALUE"""),0.0)</f>
        <v>0</v>
      </c>
      <c r="M169" s="2">
        <f>IFERROR(__xludf.DUMMYFUNCTION("""COMPUTED_VALUE"""),34762.0)</f>
        <v>34762</v>
      </c>
      <c r="N169" s="2">
        <f>IFERROR(__xludf.DUMMYFUNCTION("""COMPUTED_VALUE"""),0.0)</f>
        <v>0</v>
      </c>
      <c r="O169" s="2">
        <f>IFERROR(__xludf.DUMMYFUNCTION("""COMPUTED_VALUE"""),34762.0)</f>
        <v>34762</v>
      </c>
      <c r="P169" s="2">
        <f>IFERROR(__xludf.DUMMYFUNCTION("""COMPUTED_VALUE"""),1738.0)</f>
        <v>1738</v>
      </c>
      <c r="Q169" s="2" t="str">
        <f>IFERROR(__xludf.DUMMYFUNCTION("""COMPUTED_VALUE"""),"Take Away")</f>
        <v>Take Away</v>
      </c>
      <c r="R169" s="2" t="str">
        <f>IFERROR(__xludf.DUMMYFUNCTION("""COMPUTED_VALUE"""),"Kedai")</f>
        <v>Kedai</v>
      </c>
      <c r="S169" s="2" t="str">
        <f>IFERROR(__xludf.DUMMYFUNCTION("""COMPUTED_VALUE"""),"Temu Roti")</f>
        <v>Temu Roti</v>
      </c>
      <c r="T169" s="2" t="str">
        <f>IFERROR(__xludf.DUMMYFUNCTION("""COMPUTED_VALUE"""),"Owner")</f>
        <v>Owner</v>
      </c>
      <c r="U169" s="2"/>
      <c r="V169" s="2"/>
      <c r="W169" s="2"/>
      <c r="X169" s="2" t="str">
        <f>IFERROR(__xludf.DUMMYFUNCTION("""COMPUTED_VALUE"""),"Closed")</f>
        <v>Closed</v>
      </c>
    </row>
    <row r="170">
      <c r="A170" s="3" t="s">
        <v>193</v>
      </c>
      <c r="B170" s="4">
        <f>IFERROR(__xludf.DUMMYFUNCTION("SPLIT(A170,"","",0,0)"),45563.52638888889)</f>
        <v>45563.52639</v>
      </c>
      <c r="C170" s="5">
        <f>IFERROR(__xludf.DUMMYFUNCTION("""COMPUTED_VALUE"""),2777336.0)</f>
        <v>2777336</v>
      </c>
      <c r="D170" s="2" t="str">
        <f>IFERROR(__xludf.DUMMYFUNCTION("""COMPUTED_VALUE"""),"Sale")</f>
        <v>Sale</v>
      </c>
      <c r="E170" s="2" t="str">
        <f>IFERROR(__xludf.DUMMYFUNCTION("""COMPUTED_VALUE"""),"Roti")</f>
        <v>Roti</v>
      </c>
      <c r="F170" s="2">
        <f>IFERROR(__xludf.DUMMYFUNCTION("""COMPUTED_VALUE"""),10000.0)</f>
        <v>10000</v>
      </c>
      <c r="G170" s="2" t="str">
        <f>IFERROR(__xludf.DUMMYFUNCTION("""COMPUTED_VALUE"""),"Roti Bawang Saus Keju")</f>
        <v>Roti Bawang Saus Keju</v>
      </c>
      <c r="H170" s="2"/>
      <c r="I170" s="2"/>
      <c r="J170" s="2">
        <f>IFERROR(__xludf.DUMMYFUNCTION("""COMPUTED_VALUE"""),1.0)</f>
        <v>1</v>
      </c>
      <c r="K170" s="6">
        <f>IFERROR(__xludf.DUMMYFUNCTION("""COMPUTED_VALUE"""),29524.0)</f>
        <v>29524</v>
      </c>
      <c r="L170" s="2">
        <f>IFERROR(__xludf.DUMMYFUNCTION("""COMPUTED_VALUE"""),0.0)</f>
        <v>0</v>
      </c>
      <c r="M170" s="2">
        <f>IFERROR(__xludf.DUMMYFUNCTION("""COMPUTED_VALUE"""),29524.0)</f>
        <v>29524</v>
      </c>
      <c r="N170" s="2">
        <f>IFERROR(__xludf.DUMMYFUNCTION("""COMPUTED_VALUE"""),0.0)</f>
        <v>0</v>
      </c>
      <c r="O170" s="2">
        <f>IFERROR(__xludf.DUMMYFUNCTION("""COMPUTED_VALUE"""),29524.0)</f>
        <v>29524</v>
      </c>
      <c r="P170" s="2">
        <f>IFERROR(__xludf.DUMMYFUNCTION("""COMPUTED_VALUE"""),1476.0)</f>
        <v>1476</v>
      </c>
      <c r="Q170" s="2" t="str">
        <f>IFERROR(__xludf.DUMMYFUNCTION("""COMPUTED_VALUE"""),"Take Away")</f>
        <v>Take Away</v>
      </c>
      <c r="R170" s="2" t="str">
        <f>IFERROR(__xludf.DUMMYFUNCTION("""COMPUTED_VALUE"""),"Kedai")</f>
        <v>Kedai</v>
      </c>
      <c r="S170" s="2" t="str">
        <f>IFERROR(__xludf.DUMMYFUNCTION("""COMPUTED_VALUE"""),"Temu Roti")</f>
        <v>Temu Roti</v>
      </c>
      <c r="T170" s="2" t="str">
        <f>IFERROR(__xludf.DUMMYFUNCTION("""COMPUTED_VALUE"""),"Owner")</f>
        <v>Owner</v>
      </c>
      <c r="U170" s="2"/>
      <c r="V170" s="2"/>
      <c r="W170" s="2"/>
      <c r="X170" s="2" t="str">
        <f>IFERROR(__xludf.DUMMYFUNCTION("""COMPUTED_VALUE"""),"Closed")</f>
        <v>Closed</v>
      </c>
    </row>
    <row r="171">
      <c r="A171" s="3" t="s">
        <v>194</v>
      </c>
      <c r="B171" s="4">
        <f>IFERROR(__xludf.DUMMYFUNCTION("SPLIT(A171,"","",0,0)"),45563.52638888889)</f>
        <v>45563.52639</v>
      </c>
      <c r="C171" s="5">
        <f>IFERROR(__xludf.DUMMYFUNCTION("""COMPUTED_VALUE"""),2777336.0)</f>
        <v>2777336</v>
      </c>
      <c r="D171" s="2" t="str">
        <f>IFERROR(__xludf.DUMMYFUNCTION("""COMPUTED_VALUE"""),"Sale")</f>
        <v>Sale</v>
      </c>
      <c r="E171" s="2" t="str">
        <f>IFERROR(__xludf.DUMMYFUNCTION("""COMPUTED_VALUE"""),"Roti")</f>
        <v>Roti</v>
      </c>
      <c r="F171" s="2">
        <f>IFERROR(__xludf.DUMMYFUNCTION("""COMPUTED_VALUE"""),10007.0)</f>
        <v>10007</v>
      </c>
      <c r="G171" s="2" t="str">
        <f>IFERROR(__xludf.DUMMYFUNCTION("""COMPUTED_VALUE"""),"Roti cranberry 2 pcs")</f>
        <v>Roti cranberry 2 pcs</v>
      </c>
      <c r="H171" s="2"/>
      <c r="I171" s="2"/>
      <c r="J171" s="2">
        <f>IFERROR(__xludf.DUMMYFUNCTION("""COMPUTED_VALUE"""),1.0)</f>
        <v>1</v>
      </c>
      <c r="K171" s="6">
        <f>IFERROR(__xludf.DUMMYFUNCTION("""COMPUTED_VALUE"""),33810.0)</f>
        <v>33810</v>
      </c>
      <c r="L171" s="2">
        <f>IFERROR(__xludf.DUMMYFUNCTION("""COMPUTED_VALUE"""),0.0)</f>
        <v>0</v>
      </c>
      <c r="M171" s="2">
        <f>IFERROR(__xludf.DUMMYFUNCTION("""COMPUTED_VALUE"""),33810.0)</f>
        <v>33810</v>
      </c>
      <c r="N171" s="2">
        <f>IFERROR(__xludf.DUMMYFUNCTION("""COMPUTED_VALUE"""),0.0)</f>
        <v>0</v>
      </c>
      <c r="O171" s="2">
        <f>IFERROR(__xludf.DUMMYFUNCTION("""COMPUTED_VALUE"""),33810.0)</f>
        <v>33810</v>
      </c>
      <c r="P171" s="2">
        <f>IFERROR(__xludf.DUMMYFUNCTION("""COMPUTED_VALUE"""),1690.0)</f>
        <v>1690</v>
      </c>
      <c r="Q171" s="2" t="str">
        <f>IFERROR(__xludf.DUMMYFUNCTION("""COMPUTED_VALUE"""),"Take Away")</f>
        <v>Take Away</v>
      </c>
      <c r="R171" s="2" t="str">
        <f>IFERROR(__xludf.DUMMYFUNCTION("""COMPUTED_VALUE"""),"Kedai")</f>
        <v>Kedai</v>
      </c>
      <c r="S171" s="2" t="str">
        <f>IFERROR(__xludf.DUMMYFUNCTION("""COMPUTED_VALUE"""),"Temu Roti")</f>
        <v>Temu Roti</v>
      </c>
      <c r="T171" s="2" t="str">
        <f>IFERROR(__xludf.DUMMYFUNCTION("""COMPUTED_VALUE"""),"Owner")</f>
        <v>Owner</v>
      </c>
      <c r="U171" s="2"/>
      <c r="V171" s="2"/>
      <c r="W171" s="2"/>
      <c r="X171" s="2" t="str">
        <f>IFERROR(__xludf.DUMMYFUNCTION("""COMPUTED_VALUE"""),"Closed")</f>
        <v>Closed</v>
      </c>
    </row>
    <row r="172">
      <c r="A172" s="3" t="s">
        <v>195</v>
      </c>
      <c r="B172" s="4">
        <f>IFERROR(__xludf.DUMMYFUNCTION("SPLIT(A172,"","",0,0)"),45563.50902777778)</f>
        <v>45563.50903</v>
      </c>
      <c r="C172" s="5">
        <f>IFERROR(__xludf.DUMMYFUNCTION("""COMPUTED_VALUE"""),2776971.0)</f>
        <v>2776971</v>
      </c>
      <c r="D172" s="2" t="str">
        <f>IFERROR(__xludf.DUMMYFUNCTION("""COMPUTED_VALUE"""),"Sale")</f>
        <v>Sale</v>
      </c>
      <c r="E172" s="2" t="str">
        <f>IFERROR(__xludf.DUMMYFUNCTION("""COMPUTED_VALUE"""),"Minuman")</f>
        <v>Minuman</v>
      </c>
      <c r="F172" s="2">
        <f>IFERROR(__xludf.DUMMYFUNCTION("""COMPUTED_VALUE"""),10063.0)</f>
        <v>10063</v>
      </c>
      <c r="G172" s="2" t="str">
        <f>IFERROR(__xludf.DUMMYFUNCTION("""COMPUTED_VALUE"""),"Wedang Bulan")</f>
        <v>Wedang Bulan</v>
      </c>
      <c r="H172" s="2"/>
      <c r="I172" s="2"/>
      <c r="J172" s="2">
        <f>IFERROR(__xludf.DUMMYFUNCTION("""COMPUTED_VALUE"""),1.0)</f>
        <v>1</v>
      </c>
      <c r="K172" s="6">
        <f>IFERROR(__xludf.DUMMYFUNCTION("""COMPUTED_VALUE"""),24762.0)</f>
        <v>24762</v>
      </c>
      <c r="L172" s="2">
        <f>IFERROR(__xludf.DUMMYFUNCTION("""COMPUTED_VALUE"""),0.0)</f>
        <v>0</v>
      </c>
      <c r="M172" s="2">
        <f>IFERROR(__xludf.DUMMYFUNCTION("""COMPUTED_VALUE"""),24762.0)</f>
        <v>24762</v>
      </c>
      <c r="N172" s="2">
        <f>IFERROR(__xludf.DUMMYFUNCTION("""COMPUTED_VALUE"""),0.0)</f>
        <v>0</v>
      </c>
      <c r="O172" s="2">
        <f>IFERROR(__xludf.DUMMYFUNCTION("""COMPUTED_VALUE"""),24762.0)</f>
        <v>24762</v>
      </c>
      <c r="P172" s="2">
        <f>IFERROR(__xludf.DUMMYFUNCTION("""COMPUTED_VALUE"""),1238.0)</f>
        <v>1238</v>
      </c>
      <c r="Q172" s="2" t="str">
        <f>IFERROR(__xludf.DUMMYFUNCTION("""COMPUTED_VALUE"""),"Dine In")</f>
        <v>Dine In</v>
      </c>
      <c r="R172" s="2" t="str">
        <f>IFERROR(__xludf.DUMMYFUNCTION("""COMPUTED_VALUE"""),"Kedai")</f>
        <v>Kedai</v>
      </c>
      <c r="S172" s="2" t="str">
        <f>IFERROR(__xludf.DUMMYFUNCTION("""COMPUTED_VALUE"""),"Temu Roti")</f>
        <v>Temu Roti</v>
      </c>
      <c r="T172" s="2" t="str">
        <f>IFERROR(__xludf.DUMMYFUNCTION("""COMPUTED_VALUE"""),"Owner")</f>
        <v>Owner</v>
      </c>
      <c r="U172" s="2"/>
      <c r="V172" s="2"/>
      <c r="W172" s="2"/>
      <c r="X172" s="2" t="str">
        <f>IFERROR(__xludf.DUMMYFUNCTION("""COMPUTED_VALUE"""),"Closed")</f>
        <v>Closed</v>
      </c>
    </row>
    <row r="173">
      <c r="A173" s="3" t="s">
        <v>196</v>
      </c>
      <c r="B173" s="4">
        <f>IFERROR(__xludf.DUMMYFUNCTION("SPLIT(A173,"","",0,0)"),45563.50902777778)</f>
        <v>45563.50903</v>
      </c>
      <c r="C173" s="5">
        <f>IFERROR(__xludf.DUMMYFUNCTION("""COMPUTED_VALUE"""),2776971.0)</f>
        <v>2776971</v>
      </c>
      <c r="D173" s="2" t="str">
        <f>IFERROR(__xludf.DUMMYFUNCTION("""COMPUTED_VALUE"""),"Sale")</f>
        <v>Sale</v>
      </c>
      <c r="E173" s="2" t="str">
        <f>IFERROR(__xludf.DUMMYFUNCTION("""COMPUTED_VALUE"""),"Minuman")</f>
        <v>Minuman</v>
      </c>
      <c r="F173" s="2">
        <f>IFERROR(__xludf.DUMMYFUNCTION("""COMPUTED_VALUE"""),10070.0)</f>
        <v>10070</v>
      </c>
      <c r="G173" s="2" t="str">
        <f>IFERROR(__xludf.DUMMYFUNCTION("""COMPUTED_VALUE"""),"Wedang laut")</f>
        <v>Wedang laut</v>
      </c>
      <c r="H173" s="2"/>
      <c r="I173" s="2"/>
      <c r="J173" s="2">
        <f>IFERROR(__xludf.DUMMYFUNCTION("""COMPUTED_VALUE"""),1.0)</f>
        <v>1</v>
      </c>
      <c r="K173" s="6">
        <f>IFERROR(__xludf.DUMMYFUNCTION("""COMPUTED_VALUE"""),24762.0)</f>
        <v>24762</v>
      </c>
      <c r="L173" s="2">
        <f>IFERROR(__xludf.DUMMYFUNCTION("""COMPUTED_VALUE"""),0.0)</f>
        <v>0</v>
      </c>
      <c r="M173" s="2">
        <f>IFERROR(__xludf.DUMMYFUNCTION("""COMPUTED_VALUE"""),24762.0)</f>
        <v>24762</v>
      </c>
      <c r="N173" s="2">
        <f>IFERROR(__xludf.DUMMYFUNCTION("""COMPUTED_VALUE"""),0.0)</f>
        <v>0</v>
      </c>
      <c r="O173" s="2">
        <f>IFERROR(__xludf.DUMMYFUNCTION("""COMPUTED_VALUE"""),24762.0)</f>
        <v>24762</v>
      </c>
      <c r="P173" s="2">
        <f>IFERROR(__xludf.DUMMYFUNCTION("""COMPUTED_VALUE"""),1238.0)</f>
        <v>1238</v>
      </c>
      <c r="Q173" s="2" t="str">
        <f>IFERROR(__xludf.DUMMYFUNCTION("""COMPUTED_VALUE"""),"Dine In")</f>
        <v>Dine In</v>
      </c>
      <c r="R173" s="2" t="str">
        <f>IFERROR(__xludf.DUMMYFUNCTION("""COMPUTED_VALUE"""),"Kedai")</f>
        <v>Kedai</v>
      </c>
      <c r="S173" s="2" t="str">
        <f>IFERROR(__xludf.DUMMYFUNCTION("""COMPUTED_VALUE"""),"Temu Roti")</f>
        <v>Temu Roti</v>
      </c>
      <c r="T173" s="2" t="str">
        <f>IFERROR(__xludf.DUMMYFUNCTION("""COMPUTED_VALUE"""),"Owner")</f>
        <v>Owner</v>
      </c>
      <c r="U173" s="2"/>
      <c r="V173" s="2"/>
      <c r="W173" s="2"/>
      <c r="X173" s="2" t="str">
        <f>IFERROR(__xludf.DUMMYFUNCTION("""COMPUTED_VALUE"""),"Closed")</f>
        <v>Closed</v>
      </c>
    </row>
    <row r="174">
      <c r="A174" s="3" t="s">
        <v>197</v>
      </c>
      <c r="B174" s="4">
        <f>IFERROR(__xludf.DUMMYFUNCTION("SPLIT(A174,"","",0,0)"),45563.50902777778)</f>
        <v>45563.50903</v>
      </c>
      <c r="C174" s="5">
        <f>IFERROR(__xludf.DUMMYFUNCTION("""COMPUTED_VALUE"""),2776971.0)</f>
        <v>2776971</v>
      </c>
      <c r="D174" s="2" t="str">
        <f>IFERROR(__xludf.DUMMYFUNCTION("""COMPUTED_VALUE"""),"Sale")</f>
        <v>Sale</v>
      </c>
      <c r="E174" s="2" t="str">
        <f>IFERROR(__xludf.DUMMYFUNCTION("""COMPUTED_VALUE"""),"Roti")</f>
        <v>Roti</v>
      </c>
      <c r="F174" s="2">
        <f>IFERROR(__xludf.DUMMYFUNCTION("""COMPUTED_VALUE"""),10002.0)</f>
        <v>10002</v>
      </c>
      <c r="G174" s="2" t="str">
        <f>IFERROR(__xludf.DUMMYFUNCTION("""COMPUTED_VALUE"""),"Roti Cranberry")</f>
        <v>Roti Cranberry</v>
      </c>
      <c r="H174" s="2"/>
      <c r="I174" s="2"/>
      <c r="J174" s="2">
        <f>IFERROR(__xludf.DUMMYFUNCTION("""COMPUTED_VALUE"""),1.0)</f>
        <v>1</v>
      </c>
      <c r="K174" s="6">
        <f>IFERROR(__xludf.DUMMYFUNCTION("""COMPUTED_VALUE"""),18571.0)</f>
        <v>18571</v>
      </c>
      <c r="L174" s="2">
        <f>IFERROR(__xludf.DUMMYFUNCTION("""COMPUTED_VALUE"""),0.0)</f>
        <v>0</v>
      </c>
      <c r="M174" s="2">
        <f>IFERROR(__xludf.DUMMYFUNCTION("""COMPUTED_VALUE"""),18571.0)</f>
        <v>18571</v>
      </c>
      <c r="N174" s="2">
        <f>IFERROR(__xludf.DUMMYFUNCTION("""COMPUTED_VALUE"""),0.0)</f>
        <v>0</v>
      </c>
      <c r="O174" s="2">
        <f>IFERROR(__xludf.DUMMYFUNCTION("""COMPUTED_VALUE"""),18571.0)</f>
        <v>18571</v>
      </c>
      <c r="P174" s="2">
        <f>IFERROR(__xludf.DUMMYFUNCTION("""COMPUTED_VALUE"""),929.0)</f>
        <v>929</v>
      </c>
      <c r="Q174" s="2" t="str">
        <f>IFERROR(__xludf.DUMMYFUNCTION("""COMPUTED_VALUE"""),"Dine In")</f>
        <v>Dine In</v>
      </c>
      <c r="R174" s="2" t="str">
        <f>IFERROR(__xludf.DUMMYFUNCTION("""COMPUTED_VALUE"""),"Kedai")</f>
        <v>Kedai</v>
      </c>
      <c r="S174" s="2" t="str">
        <f>IFERROR(__xludf.DUMMYFUNCTION("""COMPUTED_VALUE"""),"Temu Roti")</f>
        <v>Temu Roti</v>
      </c>
      <c r="T174" s="2" t="str">
        <f>IFERROR(__xludf.DUMMYFUNCTION("""COMPUTED_VALUE"""),"Owner")</f>
        <v>Owner</v>
      </c>
      <c r="U174" s="2"/>
      <c r="V174" s="2"/>
      <c r="W174" s="2"/>
      <c r="X174" s="2" t="str">
        <f>IFERROR(__xludf.DUMMYFUNCTION("""COMPUTED_VALUE"""),"Closed")</f>
        <v>Closed</v>
      </c>
    </row>
    <row r="175">
      <c r="A175" s="3" t="s">
        <v>198</v>
      </c>
      <c r="B175" s="4">
        <f>IFERROR(__xludf.DUMMYFUNCTION("SPLIT(A175,"","",0,0)"),45563.489583333336)</f>
        <v>45563.48958</v>
      </c>
      <c r="C175" s="5">
        <f>IFERROR(__xludf.DUMMYFUNCTION("""COMPUTED_VALUE"""),2776606.0)</f>
        <v>2776606</v>
      </c>
      <c r="D175" s="2" t="str">
        <f>IFERROR(__xludf.DUMMYFUNCTION("""COMPUTED_VALUE"""),"Sale")</f>
        <v>Sale</v>
      </c>
      <c r="E175" s="2" t="str">
        <f>IFERROR(__xludf.DUMMYFUNCTION("""COMPUTED_VALUE"""),"Minuman")</f>
        <v>Minuman</v>
      </c>
      <c r="F175" s="2">
        <f>IFERROR(__xludf.DUMMYFUNCTION("""COMPUTED_VALUE"""),10128.0)</f>
        <v>10128</v>
      </c>
      <c r="G175" s="2" t="str">
        <f>IFERROR(__xludf.DUMMYFUNCTION("""COMPUTED_VALUE"""),"Es Kopi Susu")</f>
        <v>Es Kopi Susu</v>
      </c>
      <c r="H175" s="2"/>
      <c r="I175" s="2"/>
      <c r="J175" s="2">
        <f>IFERROR(__xludf.DUMMYFUNCTION("""COMPUTED_VALUE"""),1.0)</f>
        <v>1</v>
      </c>
      <c r="K175" s="6">
        <f>IFERROR(__xludf.DUMMYFUNCTION("""COMPUTED_VALUE"""),23333.0)</f>
        <v>23333</v>
      </c>
      <c r="L175" s="2">
        <f>IFERROR(__xludf.DUMMYFUNCTION("""COMPUTED_VALUE"""),0.0)</f>
        <v>0</v>
      </c>
      <c r="M175" s="2">
        <f>IFERROR(__xludf.DUMMYFUNCTION("""COMPUTED_VALUE"""),23333.0)</f>
        <v>23333</v>
      </c>
      <c r="N175" s="2">
        <f>IFERROR(__xludf.DUMMYFUNCTION("""COMPUTED_VALUE"""),0.0)</f>
        <v>0</v>
      </c>
      <c r="O175" s="2">
        <f>IFERROR(__xludf.DUMMYFUNCTION("""COMPUTED_VALUE"""),23333.0)</f>
        <v>23333</v>
      </c>
      <c r="P175" s="2">
        <f>IFERROR(__xludf.DUMMYFUNCTION("""COMPUTED_VALUE"""),1167.0)</f>
        <v>1167</v>
      </c>
      <c r="Q175" s="2" t="str">
        <f>IFERROR(__xludf.DUMMYFUNCTION("""COMPUTED_VALUE"""),"Dine In")</f>
        <v>Dine In</v>
      </c>
      <c r="R175" s="2" t="str">
        <f>IFERROR(__xludf.DUMMYFUNCTION("""COMPUTED_VALUE"""),"Kedai")</f>
        <v>Kedai</v>
      </c>
      <c r="S175" s="2" t="str">
        <f>IFERROR(__xludf.DUMMYFUNCTION("""COMPUTED_VALUE"""),"Temu Roti")</f>
        <v>Temu Roti</v>
      </c>
      <c r="T175" s="2" t="str">
        <f>IFERROR(__xludf.DUMMYFUNCTION("""COMPUTED_VALUE"""),"Owner")</f>
        <v>Owner</v>
      </c>
      <c r="U175" s="2"/>
      <c r="V175" s="2"/>
      <c r="W175" s="2"/>
      <c r="X175" s="2" t="str">
        <f>IFERROR(__xludf.DUMMYFUNCTION("""COMPUTED_VALUE"""),"Closed")</f>
        <v>Closed</v>
      </c>
    </row>
    <row r="176">
      <c r="A176" s="3" t="s">
        <v>199</v>
      </c>
      <c r="B176" s="4">
        <f>IFERROR(__xludf.DUMMYFUNCTION("SPLIT(A176,"","",0,0)"),45563.489583333336)</f>
        <v>45563.48958</v>
      </c>
      <c r="C176" s="5">
        <f>IFERROR(__xludf.DUMMYFUNCTION("""COMPUTED_VALUE"""),2776606.0)</f>
        <v>2776606</v>
      </c>
      <c r="D176" s="2" t="str">
        <f>IFERROR(__xludf.DUMMYFUNCTION("""COMPUTED_VALUE"""),"Sale")</f>
        <v>Sale</v>
      </c>
      <c r="E176" s="2" t="str">
        <f>IFERROR(__xludf.DUMMYFUNCTION("""COMPUTED_VALUE"""),"Hidangan Utama")</f>
        <v>Hidangan Utama</v>
      </c>
      <c r="F176" s="2">
        <f>IFERROR(__xludf.DUMMYFUNCTION("""COMPUTED_VALUE"""),10053.0)</f>
        <v>10053</v>
      </c>
      <c r="G176" s="2" t="str">
        <f>IFERROR(__xludf.DUMMYFUNCTION("""COMPUTED_VALUE"""),"Nasi telor")</f>
        <v>Nasi telor</v>
      </c>
      <c r="H176" s="2"/>
      <c r="I176" s="2"/>
      <c r="J176" s="2">
        <f>IFERROR(__xludf.DUMMYFUNCTION("""COMPUTED_VALUE"""),1.0)</f>
        <v>1</v>
      </c>
      <c r="K176" s="6">
        <f>IFERROR(__xludf.DUMMYFUNCTION("""COMPUTED_VALUE"""),25238.0)</f>
        <v>25238</v>
      </c>
      <c r="L176" s="2">
        <f>IFERROR(__xludf.DUMMYFUNCTION("""COMPUTED_VALUE"""),0.0)</f>
        <v>0</v>
      </c>
      <c r="M176" s="2">
        <f>IFERROR(__xludf.DUMMYFUNCTION("""COMPUTED_VALUE"""),25238.0)</f>
        <v>25238</v>
      </c>
      <c r="N176" s="2">
        <f>IFERROR(__xludf.DUMMYFUNCTION("""COMPUTED_VALUE"""),0.0)</f>
        <v>0</v>
      </c>
      <c r="O176" s="2">
        <f>IFERROR(__xludf.DUMMYFUNCTION("""COMPUTED_VALUE"""),25238.0)</f>
        <v>25238</v>
      </c>
      <c r="P176" s="2">
        <f>IFERROR(__xludf.DUMMYFUNCTION("""COMPUTED_VALUE"""),1262.0)</f>
        <v>1262</v>
      </c>
      <c r="Q176" s="2" t="str">
        <f>IFERROR(__xludf.DUMMYFUNCTION("""COMPUTED_VALUE"""),"Dine In")</f>
        <v>Dine In</v>
      </c>
      <c r="R176" s="2" t="str">
        <f>IFERROR(__xludf.DUMMYFUNCTION("""COMPUTED_VALUE"""),"Kedai")</f>
        <v>Kedai</v>
      </c>
      <c r="S176" s="2" t="str">
        <f>IFERROR(__xludf.DUMMYFUNCTION("""COMPUTED_VALUE"""),"Temu Roti")</f>
        <v>Temu Roti</v>
      </c>
      <c r="T176" s="2" t="str">
        <f>IFERROR(__xludf.DUMMYFUNCTION("""COMPUTED_VALUE"""),"Owner")</f>
        <v>Owner</v>
      </c>
      <c r="U176" s="2"/>
      <c r="V176" s="2"/>
      <c r="W176" s="2"/>
      <c r="X176" s="2" t="str">
        <f>IFERROR(__xludf.DUMMYFUNCTION("""COMPUTED_VALUE"""),"Closed")</f>
        <v>Closed</v>
      </c>
    </row>
    <row r="177">
      <c r="A177" s="3" t="s">
        <v>200</v>
      </c>
      <c r="B177" s="4">
        <f>IFERROR(__xludf.DUMMYFUNCTION("SPLIT(A177,"","",0,0)"),45563.48888888889)</f>
        <v>45563.48889</v>
      </c>
      <c r="C177" s="5">
        <f>IFERROR(__xludf.DUMMYFUNCTION("""COMPUTED_VALUE"""),2776241.0)</f>
        <v>2776241</v>
      </c>
      <c r="D177" s="2" t="str">
        <f>IFERROR(__xludf.DUMMYFUNCTION("""COMPUTED_VALUE"""),"Sale")</f>
        <v>Sale</v>
      </c>
      <c r="E177" s="2" t="str">
        <f>IFERROR(__xludf.DUMMYFUNCTION("""COMPUTED_VALUE"""),"Minuman")</f>
        <v>Minuman</v>
      </c>
      <c r="F177" s="2">
        <f>IFERROR(__xludf.DUMMYFUNCTION("""COMPUTED_VALUE"""),10128.0)</f>
        <v>10128</v>
      </c>
      <c r="G177" s="2" t="str">
        <f>IFERROR(__xludf.DUMMYFUNCTION("""COMPUTED_VALUE"""),"Es Kopi Susu")</f>
        <v>Es Kopi Susu</v>
      </c>
      <c r="H177" s="2"/>
      <c r="I177" s="2"/>
      <c r="J177" s="2">
        <f>IFERROR(__xludf.DUMMYFUNCTION("""COMPUTED_VALUE"""),1.0)</f>
        <v>1</v>
      </c>
      <c r="K177" s="6">
        <f>IFERROR(__xludf.DUMMYFUNCTION("""COMPUTED_VALUE"""),23333.0)</f>
        <v>23333</v>
      </c>
      <c r="L177" s="2">
        <f>IFERROR(__xludf.DUMMYFUNCTION("""COMPUTED_VALUE"""),0.0)</f>
        <v>0</v>
      </c>
      <c r="M177" s="2">
        <f>IFERROR(__xludf.DUMMYFUNCTION("""COMPUTED_VALUE"""),23333.0)</f>
        <v>23333</v>
      </c>
      <c r="N177" s="2">
        <f>IFERROR(__xludf.DUMMYFUNCTION("""COMPUTED_VALUE"""),0.0)</f>
        <v>0</v>
      </c>
      <c r="O177" s="2">
        <f>IFERROR(__xludf.DUMMYFUNCTION("""COMPUTED_VALUE"""),23333.0)</f>
        <v>23333</v>
      </c>
      <c r="P177" s="2">
        <f>IFERROR(__xludf.DUMMYFUNCTION("""COMPUTED_VALUE"""),1167.0)</f>
        <v>1167</v>
      </c>
      <c r="Q177" s="2" t="str">
        <f>IFERROR(__xludf.DUMMYFUNCTION("""COMPUTED_VALUE"""),"Dine In")</f>
        <v>Dine In</v>
      </c>
      <c r="R177" s="2" t="str">
        <f>IFERROR(__xludf.DUMMYFUNCTION("""COMPUTED_VALUE"""),"Kedai")</f>
        <v>Kedai</v>
      </c>
      <c r="S177" s="2" t="str">
        <f>IFERROR(__xludf.DUMMYFUNCTION("""COMPUTED_VALUE"""),"Temu Roti")</f>
        <v>Temu Roti</v>
      </c>
      <c r="T177" s="2" t="str">
        <f>IFERROR(__xludf.DUMMYFUNCTION("""COMPUTED_VALUE"""),"Owner")</f>
        <v>Owner</v>
      </c>
      <c r="U177" s="2"/>
      <c r="V177" s="2"/>
      <c r="W177" s="2"/>
      <c r="X177" s="2" t="str">
        <f>IFERROR(__xludf.DUMMYFUNCTION("""COMPUTED_VALUE"""),"Closed")</f>
        <v>Closed</v>
      </c>
    </row>
    <row r="178">
      <c r="A178" s="3" t="s">
        <v>201</v>
      </c>
      <c r="B178" s="4">
        <f>IFERROR(__xludf.DUMMYFUNCTION("SPLIT(A178,"","",0,0)"),45563.48888888889)</f>
        <v>45563.48889</v>
      </c>
      <c r="C178" s="5">
        <f>IFERROR(__xludf.DUMMYFUNCTION("""COMPUTED_VALUE"""),2776241.0)</f>
        <v>2776241</v>
      </c>
      <c r="D178" s="2" t="str">
        <f>IFERROR(__xludf.DUMMYFUNCTION("""COMPUTED_VALUE"""),"Sale")</f>
        <v>Sale</v>
      </c>
      <c r="E178" s="2" t="str">
        <f>IFERROR(__xludf.DUMMYFUNCTION("""COMPUTED_VALUE"""),"Hidangan Utama")</f>
        <v>Hidangan Utama</v>
      </c>
      <c r="F178" s="2">
        <f>IFERROR(__xludf.DUMMYFUNCTION("""COMPUTED_VALUE"""),10053.0)</f>
        <v>10053</v>
      </c>
      <c r="G178" s="2" t="str">
        <f>IFERROR(__xludf.DUMMYFUNCTION("""COMPUTED_VALUE"""),"Nasi telor")</f>
        <v>Nasi telor</v>
      </c>
      <c r="H178" s="2"/>
      <c r="I178" s="2"/>
      <c r="J178" s="2">
        <f>IFERROR(__xludf.DUMMYFUNCTION("""COMPUTED_VALUE"""),1.0)</f>
        <v>1</v>
      </c>
      <c r="K178" s="6">
        <f>IFERROR(__xludf.DUMMYFUNCTION("""COMPUTED_VALUE"""),25238.0)</f>
        <v>25238</v>
      </c>
      <c r="L178" s="2">
        <f>IFERROR(__xludf.DUMMYFUNCTION("""COMPUTED_VALUE"""),0.0)</f>
        <v>0</v>
      </c>
      <c r="M178" s="2">
        <f>IFERROR(__xludf.DUMMYFUNCTION("""COMPUTED_VALUE"""),25238.0)</f>
        <v>25238</v>
      </c>
      <c r="N178" s="2">
        <f>IFERROR(__xludf.DUMMYFUNCTION("""COMPUTED_VALUE"""),0.0)</f>
        <v>0</v>
      </c>
      <c r="O178" s="2">
        <f>IFERROR(__xludf.DUMMYFUNCTION("""COMPUTED_VALUE"""),25238.0)</f>
        <v>25238</v>
      </c>
      <c r="P178" s="2">
        <f>IFERROR(__xludf.DUMMYFUNCTION("""COMPUTED_VALUE"""),1262.0)</f>
        <v>1262</v>
      </c>
      <c r="Q178" s="2" t="str">
        <f>IFERROR(__xludf.DUMMYFUNCTION("""COMPUTED_VALUE"""),"Dine In")</f>
        <v>Dine In</v>
      </c>
      <c r="R178" s="2" t="str">
        <f>IFERROR(__xludf.DUMMYFUNCTION("""COMPUTED_VALUE"""),"Kedai")</f>
        <v>Kedai</v>
      </c>
      <c r="S178" s="2" t="str">
        <f>IFERROR(__xludf.DUMMYFUNCTION("""COMPUTED_VALUE"""),"Temu Roti")</f>
        <v>Temu Roti</v>
      </c>
      <c r="T178" s="2" t="str">
        <f>IFERROR(__xludf.DUMMYFUNCTION("""COMPUTED_VALUE"""),"Owner")</f>
        <v>Owner</v>
      </c>
      <c r="U178" s="2"/>
      <c r="V178" s="2"/>
      <c r="W178" s="2"/>
      <c r="X178" s="2" t="str">
        <f>IFERROR(__xludf.DUMMYFUNCTION("""COMPUTED_VALUE"""),"Closed")</f>
        <v>Closed</v>
      </c>
    </row>
    <row r="179">
      <c r="A179" s="3" t="s">
        <v>202</v>
      </c>
      <c r="B179" s="4">
        <f>IFERROR(__xludf.DUMMYFUNCTION("SPLIT(A179,"","",0,0)"),45563.479166666664)</f>
        <v>45563.47917</v>
      </c>
      <c r="C179" s="5">
        <f>IFERROR(__xludf.DUMMYFUNCTION("""COMPUTED_VALUE"""),2775876.0)</f>
        <v>2775876</v>
      </c>
      <c r="D179" s="2" t="str">
        <f>IFERROR(__xludf.DUMMYFUNCTION("""COMPUTED_VALUE"""),"Sale")</f>
        <v>Sale</v>
      </c>
      <c r="E179" s="2" t="str">
        <f>IFERROR(__xludf.DUMMYFUNCTION("""COMPUTED_VALUE"""),"Minuman")</f>
        <v>Minuman</v>
      </c>
      <c r="F179" s="2">
        <f>IFERROR(__xludf.DUMMYFUNCTION("""COMPUTED_VALUE"""),10130.0)</f>
        <v>10130</v>
      </c>
      <c r="G179" s="2" t="str">
        <f>IFERROR(__xludf.DUMMYFUNCTION("""COMPUTED_VALUE"""),"Kopi Susu Panas")</f>
        <v>Kopi Susu Panas</v>
      </c>
      <c r="H179" s="2"/>
      <c r="I179" s="2"/>
      <c r="J179" s="2">
        <f>IFERROR(__xludf.DUMMYFUNCTION("""COMPUTED_VALUE"""),1.0)</f>
        <v>1</v>
      </c>
      <c r="K179" s="6">
        <f>IFERROR(__xludf.DUMMYFUNCTION("""COMPUTED_VALUE"""),23333.0)</f>
        <v>23333</v>
      </c>
      <c r="L179" s="2">
        <f>IFERROR(__xludf.DUMMYFUNCTION("""COMPUTED_VALUE"""),0.0)</f>
        <v>0</v>
      </c>
      <c r="M179" s="2">
        <f>IFERROR(__xludf.DUMMYFUNCTION("""COMPUTED_VALUE"""),23333.0)</f>
        <v>23333</v>
      </c>
      <c r="N179" s="2">
        <f>IFERROR(__xludf.DUMMYFUNCTION("""COMPUTED_VALUE"""),0.0)</f>
        <v>0</v>
      </c>
      <c r="O179" s="2">
        <f>IFERROR(__xludf.DUMMYFUNCTION("""COMPUTED_VALUE"""),23333.0)</f>
        <v>23333</v>
      </c>
      <c r="P179" s="2">
        <f>IFERROR(__xludf.DUMMYFUNCTION("""COMPUTED_VALUE"""),1167.0)</f>
        <v>1167</v>
      </c>
      <c r="Q179" s="2" t="str">
        <f>IFERROR(__xludf.DUMMYFUNCTION("""COMPUTED_VALUE"""),"Dine In")</f>
        <v>Dine In</v>
      </c>
      <c r="R179" s="2" t="str">
        <f>IFERROR(__xludf.DUMMYFUNCTION("""COMPUTED_VALUE"""),"Kedai")</f>
        <v>Kedai</v>
      </c>
      <c r="S179" s="2" t="str">
        <f>IFERROR(__xludf.DUMMYFUNCTION("""COMPUTED_VALUE"""),"Temu Roti")</f>
        <v>Temu Roti</v>
      </c>
      <c r="T179" s="2" t="str">
        <f>IFERROR(__xludf.DUMMYFUNCTION("""COMPUTED_VALUE"""),"Owner")</f>
        <v>Owner</v>
      </c>
      <c r="U179" s="2"/>
      <c r="V179" s="2"/>
      <c r="W179" s="2"/>
      <c r="X179" s="2" t="str">
        <f>IFERROR(__xludf.DUMMYFUNCTION("""COMPUTED_VALUE"""),"Closed")</f>
        <v>Closed</v>
      </c>
    </row>
    <row r="180">
      <c r="A180" s="3" t="s">
        <v>203</v>
      </c>
      <c r="B180" s="4">
        <f>IFERROR(__xludf.DUMMYFUNCTION("SPLIT(A180,"","",0,0)"),45563.479166666664)</f>
        <v>45563.47917</v>
      </c>
      <c r="C180" s="5">
        <f>IFERROR(__xludf.DUMMYFUNCTION("""COMPUTED_VALUE"""),2775876.0)</f>
        <v>2775876</v>
      </c>
      <c r="D180" s="2" t="str">
        <f>IFERROR(__xludf.DUMMYFUNCTION("""COMPUTED_VALUE"""),"Sale")</f>
        <v>Sale</v>
      </c>
      <c r="E180" s="2" t="str">
        <f>IFERROR(__xludf.DUMMYFUNCTION("""COMPUTED_VALUE"""),"Minuman")</f>
        <v>Minuman</v>
      </c>
      <c r="F180" s="2">
        <f>IFERROR(__xludf.DUMMYFUNCTION("""COMPUTED_VALUE"""),10119.0)</f>
        <v>10119</v>
      </c>
      <c r="G180" s="2" t="str">
        <f>IFERROR(__xludf.DUMMYFUNCTION("""COMPUTED_VALUE"""),"Teh Tawar Dingin")</f>
        <v>Teh Tawar Dingin</v>
      </c>
      <c r="H180" s="2"/>
      <c r="I180" s="2"/>
      <c r="J180" s="2">
        <f>IFERROR(__xludf.DUMMYFUNCTION("""COMPUTED_VALUE"""),1.0)</f>
        <v>1</v>
      </c>
      <c r="K180" s="6">
        <f>IFERROR(__xludf.DUMMYFUNCTION("""COMPUTED_VALUE"""),7143.0)</f>
        <v>7143</v>
      </c>
      <c r="L180" s="2">
        <f>IFERROR(__xludf.DUMMYFUNCTION("""COMPUTED_VALUE"""),0.0)</f>
        <v>0</v>
      </c>
      <c r="M180" s="2">
        <f>IFERROR(__xludf.DUMMYFUNCTION("""COMPUTED_VALUE"""),7143.0)</f>
        <v>7143</v>
      </c>
      <c r="N180" s="2">
        <f>IFERROR(__xludf.DUMMYFUNCTION("""COMPUTED_VALUE"""),0.0)</f>
        <v>0</v>
      </c>
      <c r="O180" s="2">
        <f>IFERROR(__xludf.DUMMYFUNCTION("""COMPUTED_VALUE"""),7143.0)</f>
        <v>7143</v>
      </c>
      <c r="P180" s="2">
        <f>IFERROR(__xludf.DUMMYFUNCTION("""COMPUTED_VALUE"""),357.0)</f>
        <v>357</v>
      </c>
      <c r="Q180" s="2" t="str">
        <f>IFERROR(__xludf.DUMMYFUNCTION("""COMPUTED_VALUE"""),"Dine In")</f>
        <v>Dine In</v>
      </c>
      <c r="R180" s="2" t="str">
        <f>IFERROR(__xludf.DUMMYFUNCTION("""COMPUTED_VALUE"""),"Kedai")</f>
        <v>Kedai</v>
      </c>
      <c r="S180" s="2" t="str">
        <f>IFERROR(__xludf.DUMMYFUNCTION("""COMPUTED_VALUE"""),"Temu Roti")</f>
        <v>Temu Roti</v>
      </c>
      <c r="T180" s="2" t="str">
        <f>IFERROR(__xludf.DUMMYFUNCTION("""COMPUTED_VALUE"""),"Owner")</f>
        <v>Owner</v>
      </c>
      <c r="U180" s="2"/>
      <c r="V180" s="2"/>
      <c r="W180" s="2"/>
      <c r="X180" s="2" t="str">
        <f>IFERROR(__xludf.DUMMYFUNCTION("""COMPUTED_VALUE"""),"Closed")</f>
        <v>Closed</v>
      </c>
    </row>
    <row r="181">
      <c r="A181" s="3" t="s">
        <v>204</v>
      </c>
      <c r="B181" s="4">
        <f>IFERROR(__xludf.DUMMYFUNCTION("SPLIT(A181,"","",0,0)"),45563.479166666664)</f>
        <v>45563.47917</v>
      </c>
      <c r="C181" s="5">
        <f>IFERROR(__xludf.DUMMYFUNCTION("""COMPUTED_VALUE"""),2775876.0)</f>
        <v>2775876</v>
      </c>
      <c r="D181" s="2" t="str">
        <f>IFERROR(__xludf.DUMMYFUNCTION("""COMPUTED_VALUE"""),"Sale")</f>
        <v>Sale</v>
      </c>
      <c r="E181" s="2" t="str">
        <f>IFERROR(__xludf.DUMMYFUNCTION("""COMPUTED_VALUE"""),"Roti")</f>
        <v>Roti</v>
      </c>
      <c r="F181" s="2">
        <f>IFERROR(__xludf.DUMMYFUNCTION("""COMPUTED_VALUE"""),10002.0)</f>
        <v>10002</v>
      </c>
      <c r="G181" s="2" t="str">
        <f>IFERROR(__xludf.DUMMYFUNCTION("""COMPUTED_VALUE"""),"Roti Cranberry")</f>
        <v>Roti Cranberry</v>
      </c>
      <c r="H181" s="2"/>
      <c r="I181" s="2"/>
      <c r="J181" s="2">
        <f>IFERROR(__xludf.DUMMYFUNCTION("""COMPUTED_VALUE"""),1.0)</f>
        <v>1</v>
      </c>
      <c r="K181" s="6">
        <f>IFERROR(__xludf.DUMMYFUNCTION("""COMPUTED_VALUE"""),18571.0)</f>
        <v>18571</v>
      </c>
      <c r="L181" s="2">
        <f>IFERROR(__xludf.DUMMYFUNCTION("""COMPUTED_VALUE"""),0.0)</f>
        <v>0</v>
      </c>
      <c r="M181" s="2">
        <f>IFERROR(__xludf.DUMMYFUNCTION("""COMPUTED_VALUE"""),18571.0)</f>
        <v>18571</v>
      </c>
      <c r="N181" s="2">
        <f>IFERROR(__xludf.DUMMYFUNCTION("""COMPUTED_VALUE"""),0.0)</f>
        <v>0</v>
      </c>
      <c r="O181" s="2">
        <f>IFERROR(__xludf.DUMMYFUNCTION("""COMPUTED_VALUE"""),18571.0)</f>
        <v>18571</v>
      </c>
      <c r="P181" s="2">
        <f>IFERROR(__xludf.DUMMYFUNCTION("""COMPUTED_VALUE"""),928.0)</f>
        <v>928</v>
      </c>
      <c r="Q181" s="2" t="str">
        <f>IFERROR(__xludf.DUMMYFUNCTION("""COMPUTED_VALUE"""),"Dine In")</f>
        <v>Dine In</v>
      </c>
      <c r="R181" s="2" t="str">
        <f>IFERROR(__xludf.DUMMYFUNCTION("""COMPUTED_VALUE"""),"Kedai")</f>
        <v>Kedai</v>
      </c>
      <c r="S181" s="2" t="str">
        <f>IFERROR(__xludf.DUMMYFUNCTION("""COMPUTED_VALUE"""),"Temu Roti")</f>
        <v>Temu Roti</v>
      </c>
      <c r="T181" s="2" t="str">
        <f>IFERROR(__xludf.DUMMYFUNCTION("""COMPUTED_VALUE"""),"Owner")</f>
        <v>Owner</v>
      </c>
      <c r="U181" s="2"/>
      <c r="V181" s="2"/>
      <c r="W181" s="2"/>
      <c r="X181" s="2" t="str">
        <f>IFERROR(__xludf.DUMMYFUNCTION("""COMPUTED_VALUE"""),"Closed")</f>
        <v>Closed</v>
      </c>
    </row>
    <row r="182">
      <c r="A182" s="3" t="s">
        <v>205</v>
      </c>
      <c r="B182" s="4">
        <f>IFERROR(__xludf.DUMMYFUNCTION("SPLIT(A182,"","",0,0)"),45563.479166666664)</f>
        <v>45563.47917</v>
      </c>
      <c r="C182" s="5">
        <f>IFERROR(__xludf.DUMMYFUNCTION("""COMPUTED_VALUE"""),2775876.0)</f>
        <v>2775876</v>
      </c>
      <c r="D182" s="2" t="str">
        <f>IFERROR(__xludf.DUMMYFUNCTION("""COMPUTED_VALUE"""),"Sale")</f>
        <v>Sale</v>
      </c>
      <c r="E182" s="2" t="str">
        <f>IFERROR(__xludf.DUMMYFUNCTION("""COMPUTED_VALUE"""),"Minuman")</f>
        <v>Minuman</v>
      </c>
      <c r="F182" s="2">
        <f>IFERROR(__xludf.DUMMYFUNCTION("""COMPUTED_VALUE"""),10125.0)</f>
        <v>10125</v>
      </c>
      <c r="G182" s="2" t="str">
        <f>IFERROR(__xludf.DUMMYFUNCTION("""COMPUTED_VALUE"""),"Gula Asam Dingin")</f>
        <v>Gula Asam Dingin</v>
      </c>
      <c r="H182" s="2"/>
      <c r="I182" s="2"/>
      <c r="J182" s="2">
        <f>IFERROR(__xludf.DUMMYFUNCTION("""COMPUTED_VALUE"""),1.0)</f>
        <v>1</v>
      </c>
      <c r="K182" s="6">
        <f>IFERROR(__xludf.DUMMYFUNCTION("""COMPUTED_VALUE"""),20476.0)</f>
        <v>20476</v>
      </c>
      <c r="L182" s="2">
        <f>IFERROR(__xludf.DUMMYFUNCTION("""COMPUTED_VALUE"""),0.0)</f>
        <v>0</v>
      </c>
      <c r="M182" s="2">
        <f>IFERROR(__xludf.DUMMYFUNCTION("""COMPUTED_VALUE"""),20476.0)</f>
        <v>20476</v>
      </c>
      <c r="N182" s="2">
        <f>IFERROR(__xludf.DUMMYFUNCTION("""COMPUTED_VALUE"""),0.0)</f>
        <v>0</v>
      </c>
      <c r="O182" s="2">
        <f>IFERROR(__xludf.DUMMYFUNCTION("""COMPUTED_VALUE"""),20476.0)</f>
        <v>20476</v>
      </c>
      <c r="P182" s="2">
        <f>IFERROR(__xludf.DUMMYFUNCTION("""COMPUTED_VALUE"""),1024.0)</f>
        <v>1024</v>
      </c>
      <c r="Q182" s="2" t="str">
        <f>IFERROR(__xludf.DUMMYFUNCTION("""COMPUTED_VALUE"""),"Dine In")</f>
        <v>Dine In</v>
      </c>
      <c r="R182" s="2" t="str">
        <f>IFERROR(__xludf.DUMMYFUNCTION("""COMPUTED_VALUE"""),"Kedai")</f>
        <v>Kedai</v>
      </c>
      <c r="S182" s="2" t="str">
        <f>IFERROR(__xludf.DUMMYFUNCTION("""COMPUTED_VALUE"""),"Temu Roti")</f>
        <v>Temu Roti</v>
      </c>
      <c r="T182" s="2" t="str">
        <f>IFERROR(__xludf.DUMMYFUNCTION("""COMPUTED_VALUE"""),"Owner")</f>
        <v>Owner</v>
      </c>
      <c r="U182" s="2"/>
      <c r="V182" s="2"/>
      <c r="W182" s="2"/>
      <c r="X182" s="2" t="str">
        <f>IFERROR(__xludf.DUMMYFUNCTION("""COMPUTED_VALUE"""),"Closed")</f>
        <v>Closed</v>
      </c>
    </row>
    <row r="183">
      <c r="A183" s="3" t="s">
        <v>206</v>
      </c>
      <c r="B183" s="4">
        <f>IFERROR(__xludf.DUMMYFUNCTION("SPLIT(A183,"","",0,0)"),45563.44513888889)</f>
        <v>45563.44514</v>
      </c>
      <c r="C183" s="5">
        <f>IFERROR(__xludf.DUMMYFUNCTION("""COMPUTED_VALUE"""),2775511.0)</f>
        <v>2775511</v>
      </c>
      <c r="D183" s="2" t="str">
        <f>IFERROR(__xludf.DUMMYFUNCTION("""COMPUTED_VALUE"""),"Sale")</f>
        <v>Sale</v>
      </c>
      <c r="E183" s="2" t="str">
        <f>IFERROR(__xludf.DUMMYFUNCTION("""COMPUTED_VALUE"""),"Roti")</f>
        <v>Roti</v>
      </c>
      <c r="F183" s="2">
        <f>IFERROR(__xludf.DUMMYFUNCTION("""COMPUTED_VALUE"""),10007.0)</f>
        <v>10007</v>
      </c>
      <c r="G183" s="2" t="str">
        <f>IFERROR(__xludf.DUMMYFUNCTION("""COMPUTED_VALUE"""),"Roti cranberry 2 pcs")</f>
        <v>Roti cranberry 2 pcs</v>
      </c>
      <c r="H183" s="2"/>
      <c r="I183" s="2"/>
      <c r="J183" s="2">
        <f>IFERROR(__xludf.DUMMYFUNCTION("""COMPUTED_VALUE"""),1.0)</f>
        <v>1</v>
      </c>
      <c r="K183" s="6">
        <f>IFERROR(__xludf.DUMMYFUNCTION("""COMPUTED_VALUE"""),33810.0)</f>
        <v>33810</v>
      </c>
      <c r="L183" s="2">
        <f>IFERROR(__xludf.DUMMYFUNCTION("""COMPUTED_VALUE"""),0.0)</f>
        <v>0</v>
      </c>
      <c r="M183" s="2">
        <f>IFERROR(__xludf.DUMMYFUNCTION("""COMPUTED_VALUE"""),33810.0)</f>
        <v>33810</v>
      </c>
      <c r="N183" s="2">
        <f>IFERROR(__xludf.DUMMYFUNCTION("""COMPUTED_VALUE"""),0.0)</f>
        <v>0</v>
      </c>
      <c r="O183" s="2">
        <f>IFERROR(__xludf.DUMMYFUNCTION("""COMPUTED_VALUE"""),33810.0)</f>
        <v>33810</v>
      </c>
      <c r="P183" s="2">
        <f>IFERROR(__xludf.DUMMYFUNCTION("""COMPUTED_VALUE"""),1691.0)</f>
        <v>1691</v>
      </c>
      <c r="Q183" s="2" t="str">
        <f>IFERROR(__xludf.DUMMYFUNCTION("""COMPUTED_VALUE"""),"Take Away")</f>
        <v>Take Away</v>
      </c>
      <c r="R183" s="2" t="str">
        <f>IFERROR(__xludf.DUMMYFUNCTION("""COMPUTED_VALUE"""),"Kedai")</f>
        <v>Kedai</v>
      </c>
      <c r="S183" s="2" t="str">
        <f>IFERROR(__xludf.DUMMYFUNCTION("""COMPUTED_VALUE"""),"Temu Roti")</f>
        <v>Temu Roti</v>
      </c>
      <c r="T183" s="2" t="str">
        <f>IFERROR(__xludf.DUMMYFUNCTION("""COMPUTED_VALUE"""),"Owner")</f>
        <v>Owner</v>
      </c>
      <c r="U183" s="2"/>
      <c r="V183" s="2"/>
      <c r="W183" s="2"/>
      <c r="X183" s="2" t="str">
        <f>IFERROR(__xludf.DUMMYFUNCTION("""COMPUTED_VALUE"""),"Closed")</f>
        <v>Closed</v>
      </c>
    </row>
    <row r="184">
      <c r="A184" s="3" t="s">
        <v>207</v>
      </c>
      <c r="B184" s="4">
        <f>IFERROR(__xludf.DUMMYFUNCTION("SPLIT(A184,"","",0,0)"),45563.444444444445)</f>
        <v>45563.44444</v>
      </c>
      <c r="C184" s="5">
        <f>IFERROR(__xludf.DUMMYFUNCTION("""COMPUTED_VALUE"""),2775146.0)</f>
        <v>2775146</v>
      </c>
      <c r="D184" s="2" t="str">
        <f>IFERROR(__xludf.DUMMYFUNCTION("""COMPUTED_VALUE"""),"Sale")</f>
        <v>Sale</v>
      </c>
      <c r="E184" s="2" t="str">
        <f>IFERROR(__xludf.DUMMYFUNCTION("""COMPUTED_VALUE"""),"Roti")</f>
        <v>Roti</v>
      </c>
      <c r="F184" s="2">
        <f>IFERROR(__xludf.DUMMYFUNCTION("""COMPUTED_VALUE"""),10007.0)</f>
        <v>10007</v>
      </c>
      <c r="G184" s="2" t="str">
        <f>IFERROR(__xludf.DUMMYFUNCTION("""COMPUTED_VALUE"""),"Roti cranberry 2 pcs")</f>
        <v>Roti cranberry 2 pcs</v>
      </c>
      <c r="H184" s="2"/>
      <c r="I184" s="2"/>
      <c r="J184" s="2">
        <f>IFERROR(__xludf.DUMMYFUNCTION("""COMPUTED_VALUE"""),1.0)</f>
        <v>1</v>
      </c>
      <c r="K184" s="6">
        <f>IFERROR(__xludf.DUMMYFUNCTION("""COMPUTED_VALUE"""),33810.0)</f>
        <v>33810</v>
      </c>
      <c r="L184" s="2">
        <f>IFERROR(__xludf.DUMMYFUNCTION("""COMPUTED_VALUE"""),0.0)</f>
        <v>0</v>
      </c>
      <c r="M184" s="2">
        <f>IFERROR(__xludf.DUMMYFUNCTION("""COMPUTED_VALUE"""),33810.0)</f>
        <v>33810</v>
      </c>
      <c r="N184" s="2">
        <f>IFERROR(__xludf.DUMMYFUNCTION("""COMPUTED_VALUE"""),0.0)</f>
        <v>0</v>
      </c>
      <c r="O184" s="2">
        <f>IFERROR(__xludf.DUMMYFUNCTION("""COMPUTED_VALUE"""),33810.0)</f>
        <v>33810</v>
      </c>
      <c r="P184" s="2">
        <f>IFERROR(__xludf.DUMMYFUNCTION("""COMPUTED_VALUE"""),1691.0)</f>
        <v>1691</v>
      </c>
      <c r="Q184" s="2" t="str">
        <f>IFERROR(__xludf.DUMMYFUNCTION("""COMPUTED_VALUE"""),"Take Away")</f>
        <v>Take Away</v>
      </c>
      <c r="R184" s="2" t="str">
        <f>IFERROR(__xludf.DUMMYFUNCTION("""COMPUTED_VALUE"""),"Kedai")</f>
        <v>Kedai</v>
      </c>
      <c r="S184" s="2" t="str">
        <f>IFERROR(__xludf.DUMMYFUNCTION("""COMPUTED_VALUE"""),"Temu Roti")</f>
        <v>Temu Roti</v>
      </c>
      <c r="T184" s="2" t="str">
        <f>IFERROR(__xludf.DUMMYFUNCTION("""COMPUTED_VALUE"""),"Owner")</f>
        <v>Owner</v>
      </c>
      <c r="U184" s="2"/>
      <c r="V184" s="2"/>
      <c r="W184" s="2"/>
      <c r="X184" s="2" t="str">
        <f>IFERROR(__xludf.DUMMYFUNCTION("""COMPUTED_VALUE"""),"Closed")</f>
        <v>Closed</v>
      </c>
    </row>
    <row r="185">
      <c r="A185" s="3" t="s">
        <v>208</v>
      </c>
      <c r="B185" s="4">
        <f>IFERROR(__xludf.DUMMYFUNCTION("SPLIT(A185,"","",0,0)"),45563.444444444445)</f>
        <v>45563.44444</v>
      </c>
      <c r="C185" s="5">
        <f>IFERROR(__xludf.DUMMYFUNCTION("""COMPUTED_VALUE"""),2775146.0)</f>
        <v>2775146</v>
      </c>
      <c r="D185" s="2" t="str">
        <f>IFERROR(__xludf.DUMMYFUNCTION("""COMPUTED_VALUE"""),"Sale")</f>
        <v>Sale</v>
      </c>
      <c r="E185" s="2" t="str">
        <f>IFERROR(__xludf.DUMMYFUNCTION("""COMPUTED_VALUE"""),"Roti")</f>
        <v>Roti</v>
      </c>
      <c r="F185" s="2">
        <f>IFERROR(__xludf.DUMMYFUNCTION("""COMPUTED_VALUE"""),10000.0)</f>
        <v>10000</v>
      </c>
      <c r="G185" s="2" t="str">
        <f>IFERROR(__xludf.DUMMYFUNCTION("""COMPUTED_VALUE"""),"Roti Bawang Saus Keju")</f>
        <v>Roti Bawang Saus Keju</v>
      </c>
      <c r="H185" s="2"/>
      <c r="I185" s="2"/>
      <c r="J185" s="2">
        <f>IFERROR(__xludf.DUMMYFUNCTION("""COMPUTED_VALUE"""),1.0)</f>
        <v>1</v>
      </c>
      <c r="K185" s="6">
        <f>IFERROR(__xludf.DUMMYFUNCTION("""COMPUTED_VALUE"""),29524.0)</f>
        <v>29524</v>
      </c>
      <c r="L185" s="2">
        <f>IFERROR(__xludf.DUMMYFUNCTION("""COMPUTED_VALUE"""),0.0)</f>
        <v>0</v>
      </c>
      <c r="M185" s="2">
        <f>IFERROR(__xludf.DUMMYFUNCTION("""COMPUTED_VALUE"""),29524.0)</f>
        <v>29524</v>
      </c>
      <c r="N185" s="2">
        <f>IFERROR(__xludf.DUMMYFUNCTION("""COMPUTED_VALUE"""),0.0)</f>
        <v>0</v>
      </c>
      <c r="O185" s="2">
        <f>IFERROR(__xludf.DUMMYFUNCTION("""COMPUTED_VALUE"""),29524.0)</f>
        <v>29524</v>
      </c>
      <c r="P185" s="2">
        <f>IFERROR(__xludf.DUMMYFUNCTION("""COMPUTED_VALUE"""),1476.0)</f>
        <v>1476</v>
      </c>
      <c r="Q185" s="2" t="str">
        <f>IFERROR(__xludf.DUMMYFUNCTION("""COMPUTED_VALUE"""),"Take Away")</f>
        <v>Take Away</v>
      </c>
      <c r="R185" s="2" t="str">
        <f>IFERROR(__xludf.DUMMYFUNCTION("""COMPUTED_VALUE"""),"Kedai")</f>
        <v>Kedai</v>
      </c>
      <c r="S185" s="2" t="str">
        <f>IFERROR(__xludf.DUMMYFUNCTION("""COMPUTED_VALUE"""),"Temu Roti")</f>
        <v>Temu Roti</v>
      </c>
      <c r="T185" s="2" t="str">
        <f>IFERROR(__xludf.DUMMYFUNCTION("""COMPUTED_VALUE"""),"Owner")</f>
        <v>Owner</v>
      </c>
      <c r="U185" s="2"/>
      <c r="V185" s="2"/>
      <c r="W185" s="2"/>
      <c r="X185" s="2" t="str">
        <f>IFERROR(__xludf.DUMMYFUNCTION("""COMPUTED_VALUE"""),"Closed")</f>
        <v>Closed</v>
      </c>
    </row>
    <row r="186">
      <c r="A186" s="3" t="s">
        <v>209</v>
      </c>
      <c r="B186" s="4">
        <f>IFERROR(__xludf.DUMMYFUNCTION("SPLIT(A186,"","",0,0)"),45563.444444444445)</f>
        <v>45563.44444</v>
      </c>
      <c r="C186" s="5">
        <f>IFERROR(__xludf.DUMMYFUNCTION("""COMPUTED_VALUE"""),2775146.0)</f>
        <v>2775146</v>
      </c>
      <c r="D186" s="2" t="str">
        <f>IFERROR(__xludf.DUMMYFUNCTION("""COMPUTED_VALUE"""),"Sale")</f>
        <v>Sale</v>
      </c>
      <c r="E186" s="2" t="str">
        <f>IFERROR(__xludf.DUMMYFUNCTION("""COMPUTED_VALUE"""),"Roti")</f>
        <v>Roti</v>
      </c>
      <c r="F186" s="2">
        <f>IFERROR(__xludf.DUMMYFUNCTION("""COMPUTED_VALUE"""),10055.0)</f>
        <v>10055</v>
      </c>
      <c r="G186" s="2" t="str">
        <f>IFERROR(__xludf.DUMMYFUNCTION("""COMPUTED_VALUE"""),"Roti Gandum Cokelat 2 pcs")</f>
        <v>Roti Gandum Cokelat 2 pcs</v>
      </c>
      <c r="H186" s="2"/>
      <c r="I186" s="2"/>
      <c r="J186" s="2">
        <f>IFERROR(__xludf.DUMMYFUNCTION("""COMPUTED_VALUE"""),1.0)</f>
        <v>1</v>
      </c>
      <c r="K186" s="6">
        <f>IFERROR(__xludf.DUMMYFUNCTION("""COMPUTED_VALUE"""),34762.0)</f>
        <v>34762</v>
      </c>
      <c r="L186" s="2">
        <f>IFERROR(__xludf.DUMMYFUNCTION("""COMPUTED_VALUE"""),0.0)</f>
        <v>0</v>
      </c>
      <c r="M186" s="2">
        <f>IFERROR(__xludf.DUMMYFUNCTION("""COMPUTED_VALUE"""),34762.0)</f>
        <v>34762</v>
      </c>
      <c r="N186" s="2">
        <f>IFERROR(__xludf.DUMMYFUNCTION("""COMPUTED_VALUE"""),0.0)</f>
        <v>0</v>
      </c>
      <c r="O186" s="2">
        <f>IFERROR(__xludf.DUMMYFUNCTION("""COMPUTED_VALUE"""),34762.0)</f>
        <v>34762</v>
      </c>
      <c r="P186" s="2">
        <f>IFERROR(__xludf.DUMMYFUNCTION("""COMPUTED_VALUE"""),1738.0)</f>
        <v>1738</v>
      </c>
      <c r="Q186" s="2" t="str">
        <f>IFERROR(__xludf.DUMMYFUNCTION("""COMPUTED_VALUE"""),"Take Away")</f>
        <v>Take Away</v>
      </c>
      <c r="R186" s="2" t="str">
        <f>IFERROR(__xludf.DUMMYFUNCTION("""COMPUTED_VALUE"""),"Kedai")</f>
        <v>Kedai</v>
      </c>
      <c r="S186" s="2" t="str">
        <f>IFERROR(__xludf.DUMMYFUNCTION("""COMPUTED_VALUE"""),"Temu Roti")</f>
        <v>Temu Roti</v>
      </c>
      <c r="T186" s="2" t="str">
        <f>IFERROR(__xludf.DUMMYFUNCTION("""COMPUTED_VALUE"""),"Owner")</f>
        <v>Owner</v>
      </c>
      <c r="U186" s="2"/>
      <c r="V186" s="2"/>
      <c r="W186" s="2"/>
      <c r="X186" s="2" t="str">
        <f>IFERROR(__xludf.DUMMYFUNCTION("""COMPUTED_VALUE"""),"Closed")</f>
        <v>Closed</v>
      </c>
    </row>
    <row r="187">
      <c r="A187" s="3" t="s">
        <v>210</v>
      </c>
      <c r="B187" s="4">
        <f>IFERROR(__xludf.DUMMYFUNCTION("SPLIT(A187,"","",0,0)"),45563.44305555556)</f>
        <v>45563.44306</v>
      </c>
      <c r="C187" s="5">
        <f>IFERROR(__xludf.DUMMYFUNCTION("""COMPUTED_VALUE"""),2774781.0)</f>
        <v>2774781</v>
      </c>
      <c r="D187" s="2" t="str">
        <f>IFERROR(__xludf.DUMMYFUNCTION("""COMPUTED_VALUE"""),"Sale")</f>
        <v>Sale</v>
      </c>
      <c r="E187" s="2" t="str">
        <f>IFERROR(__xludf.DUMMYFUNCTION("""COMPUTED_VALUE"""),"Roti")</f>
        <v>Roti</v>
      </c>
      <c r="F187" s="2">
        <f>IFERROR(__xludf.DUMMYFUNCTION("""COMPUTED_VALUE"""),10000.0)</f>
        <v>10000</v>
      </c>
      <c r="G187" s="2" t="str">
        <f>IFERROR(__xludf.DUMMYFUNCTION("""COMPUTED_VALUE"""),"Roti Bawang Saus Keju")</f>
        <v>Roti Bawang Saus Keju</v>
      </c>
      <c r="H187" s="2"/>
      <c r="I187" s="2"/>
      <c r="J187" s="2">
        <f>IFERROR(__xludf.DUMMYFUNCTION("""COMPUTED_VALUE"""),1.0)</f>
        <v>1</v>
      </c>
      <c r="K187" s="6">
        <f>IFERROR(__xludf.DUMMYFUNCTION("""COMPUTED_VALUE"""),29524.0)</f>
        <v>29524</v>
      </c>
      <c r="L187" s="2">
        <f>IFERROR(__xludf.DUMMYFUNCTION("""COMPUTED_VALUE"""),0.0)</f>
        <v>0</v>
      </c>
      <c r="M187" s="2">
        <f>IFERROR(__xludf.DUMMYFUNCTION("""COMPUTED_VALUE"""),29524.0)</f>
        <v>29524</v>
      </c>
      <c r="N187" s="2">
        <f>IFERROR(__xludf.DUMMYFUNCTION("""COMPUTED_VALUE"""),0.0)</f>
        <v>0</v>
      </c>
      <c r="O187" s="2">
        <f>IFERROR(__xludf.DUMMYFUNCTION("""COMPUTED_VALUE"""),29524.0)</f>
        <v>29524</v>
      </c>
      <c r="P187" s="2">
        <f>IFERROR(__xludf.DUMMYFUNCTION("""COMPUTED_VALUE"""),1476.0)</f>
        <v>1476</v>
      </c>
      <c r="Q187" s="2" t="str">
        <f>IFERROR(__xludf.DUMMYFUNCTION("""COMPUTED_VALUE"""),"Dine In")</f>
        <v>Dine In</v>
      </c>
      <c r="R187" s="2" t="str">
        <f>IFERROR(__xludf.DUMMYFUNCTION("""COMPUTED_VALUE"""),"Kedai")</f>
        <v>Kedai</v>
      </c>
      <c r="S187" s="2" t="str">
        <f>IFERROR(__xludf.DUMMYFUNCTION("""COMPUTED_VALUE"""),"Temu Roti")</f>
        <v>Temu Roti</v>
      </c>
      <c r="T187" s="2" t="str">
        <f>IFERROR(__xludf.DUMMYFUNCTION("""COMPUTED_VALUE"""),"Owner")</f>
        <v>Owner</v>
      </c>
      <c r="U187" s="2"/>
      <c r="V187" s="2"/>
      <c r="W187" s="2"/>
      <c r="X187" s="2" t="str">
        <f>IFERROR(__xludf.DUMMYFUNCTION("""COMPUTED_VALUE"""),"Closed")</f>
        <v>Closed</v>
      </c>
    </row>
    <row r="188">
      <c r="A188" s="3" t="s">
        <v>211</v>
      </c>
      <c r="B188" s="4">
        <f>IFERROR(__xludf.DUMMYFUNCTION("SPLIT(A188,"","",0,0)"),45563.44305555556)</f>
        <v>45563.44306</v>
      </c>
      <c r="C188" s="5">
        <f>IFERROR(__xludf.DUMMYFUNCTION("""COMPUTED_VALUE"""),2774781.0)</f>
        <v>2774781</v>
      </c>
      <c r="D188" s="2" t="str">
        <f>IFERROR(__xludf.DUMMYFUNCTION("""COMPUTED_VALUE"""),"Sale")</f>
        <v>Sale</v>
      </c>
      <c r="E188" s="2" t="str">
        <f>IFERROR(__xludf.DUMMYFUNCTION("""COMPUTED_VALUE"""),"Kudapan")</f>
        <v>Kudapan</v>
      </c>
      <c r="F188" s="2">
        <f>IFERROR(__xludf.DUMMYFUNCTION("""COMPUTED_VALUE"""),10051.0)</f>
        <v>10051</v>
      </c>
      <c r="G188" s="2" t="str">
        <f>IFERROR(__xludf.DUMMYFUNCTION("""COMPUTED_VALUE"""),"Tahu baso")</f>
        <v>Tahu baso</v>
      </c>
      <c r="H188" s="2"/>
      <c r="I188" s="2"/>
      <c r="J188" s="2">
        <f>IFERROR(__xludf.DUMMYFUNCTION("""COMPUTED_VALUE"""),1.0)</f>
        <v>1</v>
      </c>
      <c r="K188" s="6">
        <f>IFERROR(__xludf.DUMMYFUNCTION("""COMPUTED_VALUE"""),25238.0)</f>
        <v>25238</v>
      </c>
      <c r="L188" s="2">
        <f>IFERROR(__xludf.DUMMYFUNCTION("""COMPUTED_VALUE"""),0.0)</f>
        <v>0</v>
      </c>
      <c r="M188" s="2">
        <f>IFERROR(__xludf.DUMMYFUNCTION("""COMPUTED_VALUE"""),25238.0)</f>
        <v>25238</v>
      </c>
      <c r="N188" s="2">
        <f>IFERROR(__xludf.DUMMYFUNCTION("""COMPUTED_VALUE"""),0.0)</f>
        <v>0</v>
      </c>
      <c r="O188" s="2">
        <f>IFERROR(__xludf.DUMMYFUNCTION("""COMPUTED_VALUE"""),25238.0)</f>
        <v>25238</v>
      </c>
      <c r="P188" s="2">
        <f>IFERROR(__xludf.DUMMYFUNCTION("""COMPUTED_VALUE"""),1262.0)</f>
        <v>1262</v>
      </c>
      <c r="Q188" s="2" t="str">
        <f>IFERROR(__xludf.DUMMYFUNCTION("""COMPUTED_VALUE"""),"Dine In")</f>
        <v>Dine In</v>
      </c>
      <c r="R188" s="2" t="str">
        <f>IFERROR(__xludf.DUMMYFUNCTION("""COMPUTED_VALUE"""),"Kedai")</f>
        <v>Kedai</v>
      </c>
      <c r="S188" s="2" t="str">
        <f>IFERROR(__xludf.DUMMYFUNCTION("""COMPUTED_VALUE"""),"Temu Roti")</f>
        <v>Temu Roti</v>
      </c>
      <c r="T188" s="2" t="str">
        <f>IFERROR(__xludf.DUMMYFUNCTION("""COMPUTED_VALUE"""),"Owner")</f>
        <v>Owner</v>
      </c>
      <c r="U188" s="2"/>
      <c r="V188" s="2"/>
      <c r="W188" s="2"/>
      <c r="X188" s="2" t="str">
        <f>IFERROR(__xludf.DUMMYFUNCTION("""COMPUTED_VALUE"""),"Closed")</f>
        <v>Closed</v>
      </c>
    </row>
    <row r="189">
      <c r="A189" s="3" t="s">
        <v>212</v>
      </c>
      <c r="B189" s="4">
        <f>IFERROR(__xludf.DUMMYFUNCTION("SPLIT(A189,"","",0,0)"),45563.44305555556)</f>
        <v>45563.44306</v>
      </c>
      <c r="C189" s="5">
        <f>IFERROR(__xludf.DUMMYFUNCTION("""COMPUTED_VALUE"""),2774781.0)</f>
        <v>2774781</v>
      </c>
      <c r="D189" s="2" t="str">
        <f>IFERROR(__xludf.DUMMYFUNCTION("""COMPUTED_VALUE"""),"Sale")</f>
        <v>Sale</v>
      </c>
      <c r="E189" s="2" t="str">
        <f>IFERROR(__xludf.DUMMYFUNCTION("""COMPUTED_VALUE"""),"Minuman")</f>
        <v>Minuman</v>
      </c>
      <c r="F189" s="2">
        <f>IFERROR(__xludf.DUMMYFUNCTION("""COMPUTED_VALUE"""),10128.0)</f>
        <v>10128</v>
      </c>
      <c r="G189" s="2" t="str">
        <f>IFERROR(__xludf.DUMMYFUNCTION("""COMPUTED_VALUE"""),"Es Kopi Susu")</f>
        <v>Es Kopi Susu</v>
      </c>
      <c r="H189" s="2"/>
      <c r="I189" s="2"/>
      <c r="J189" s="2">
        <f>IFERROR(__xludf.DUMMYFUNCTION("""COMPUTED_VALUE"""),1.0)</f>
        <v>1</v>
      </c>
      <c r="K189" s="6">
        <f>IFERROR(__xludf.DUMMYFUNCTION("""COMPUTED_VALUE"""),23333.0)</f>
        <v>23333</v>
      </c>
      <c r="L189" s="2">
        <f>IFERROR(__xludf.DUMMYFUNCTION("""COMPUTED_VALUE"""),0.0)</f>
        <v>0</v>
      </c>
      <c r="M189" s="2">
        <f>IFERROR(__xludf.DUMMYFUNCTION("""COMPUTED_VALUE"""),23333.0)</f>
        <v>23333</v>
      </c>
      <c r="N189" s="2">
        <f>IFERROR(__xludf.DUMMYFUNCTION("""COMPUTED_VALUE"""),0.0)</f>
        <v>0</v>
      </c>
      <c r="O189" s="2">
        <f>IFERROR(__xludf.DUMMYFUNCTION("""COMPUTED_VALUE"""),23333.0)</f>
        <v>23333</v>
      </c>
      <c r="P189" s="2">
        <f>IFERROR(__xludf.DUMMYFUNCTION("""COMPUTED_VALUE"""),1167.0)</f>
        <v>1167</v>
      </c>
      <c r="Q189" s="2" t="str">
        <f>IFERROR(__xludf.DUMMYFUNCTION("""COMPUTED_VALUE"""),"Dine In")</f>
        <v>Dine In</v>
      </c>
      <c r="R189" s="2" t="str">
        <f>IFERROR(__xludf.DUMMYFUNCTION("""COMPUTED_VALUE"""),"Kedai")</f>
        <v>Kedai</v>
      </c>
      <c r="S189" s="2" t="str">
        <f>IFERROR(__xludf.DUMMYFUNCTION("""COMPUTED_VALUE"""),"Temu Roti")</f>
        <v>Temu Roti</v>
      </c>
      <c r="T189" s="2" t="str">
        <f>IFERROR(__xludf.DUMMYFUNCTION("""COMPUTED_VALUE"""),"Owner")</f>
        <v>Owner</v>
      </c>
      <c r="U189" s="2"/>
      <c r="V189" s="2"/>
      <c r="W189" s="2"/>
      <c r="X189" s="2" t="str">
        <f>IFERROR(__xludf.DUMMYFUNCTION("""COMPUTED_VALUE"""),"Closed")</f>
        <v>Closed</v>
      </c>
    </row>
    <row r="190">
      <c r="A190" s="3" t="s">
        <v>213</v>
      </c>
      <c r="B190" s="4">
        <f>IFERROR(__xludf.DUMMYFUNCTION("SPLIT(A190,"","",0,0)"),45563.44305555556)</f>
        <v>45563.44306</v>
      </c>
      <c r="C190" s="5">
        <f>IFERROR(__xludf.DUMMYFUNCTION("""COMPUTED_VALUE"""),2774781.0)</f>
        <v>2774781</v>
      </c>
      <c r="D190" s="2" t="str">
        <f>IFERROR(__xludf.DUMMYFUNCTION("""COMPUTED_VALUE"""),"Sale")</f>
        <v>Sale</v>
      </c>
      <c r="E190" s="2" t="str">
        <f>IFERROR(__xludf.DUMMYFUNCTION("""COMPUTED_VALUE"""),"Minuman")</f>
        <v>Minuman</v>
      </c>
      <c r="F190" s="2">
        <f>IFERROR(__xludf.DUMMYFUNCTION("""COMPUTED_VALUE"""),10013.0)</f>
        <v>10013</v>
      </c>
      <c r="G190" s="2" t="str">
        <f>IFERROR(__xludf.DUMMYFUNCTION("""COMPUTED_VALUE"""),"Kopi cur")</f>
        <v>Kopi cur</v>
      </c>
      <c r="H190" s="2"/>
      <c r="I190" s="2"/>
      <c r="J190" s="2">
        <f>IFERROR(__xludf.DUMMYFUNCTION("""COMPUTED_VALUE"""),1.0)</f>
        <v>1</v>
      </c>
      <c r="K190" s="6">
        <f>IFERROR(__xludf.DUMMYFUNCTION("""COMPUTED_VALUE"""),23333.0)</f>
        <v>23333</v>
      </c>
      <c r="L190" s="2">
        <f>IFERROR(__xludf.DUMMYFUNCTION("""COMPUTED_VALUE"""),0.0)</f>
        <v>0</v>
      </c>
      <c r="M190" s="2">
        <f>IFERROR(__xludf.DUMMYFUNCTION("""COMPUTED_VALUE"""),23333.0)</f>
        <v>23333</v>
      </c>
      <c r="N190" s="2">
        <f>IFERROR(__xludf.DUMMYFUNCTION("""COMPUTED_VALUE"""),0.0)</f>
        <v>0</v>
      </c>
      <c r="O190" s="2">
        <f>IFERROR(__xludf.DUMMYFUNCTION("""COMPUTED_VALUE"""),23333.0)</f>
        <v>23333</v>
      </c>
      <c r="P190" s="2">
        <f>IFERROR(__xludf.DUMMYFUNCTION("""COMPUTED_VALUE"""),1166.0)</f>
        <v>1166</v>
      </c>
      <c r="Q190" s="2" t="str">
        <f>IFERROR(__xludf.DUMMYFUNCTION("""COMPUTED_VALUE"""),"Dine In")</f>
        <v>Dine In</v>
      </c>
      <c r="R190" s="2" t="str">
        <f>IFERROR(__xludf.DUMMYFUNCTION("""COMPUTED_VALUE"""),"Kedai")</f>
        <v>Kedai</v>
      </c>
      <c r="S190" s="2" t="str">
        <f>IFERROR(__xludf.DUMMYFUNCTION("""COMPUTED_VALUE"""),"Temu Roti")</f>
        <v>Temu Roti</v>
      </c>
      <c r="T190" s="2" t="str">
        <f>IFERROR(__xludf.DUMMYFUNCTION("""COMPUTED_VALUE"""),"Owner")</f>
        <v>Owner</v>
      </c>
      <c r="U190" s="2"/>
      <c r="V190" s="2"/>
      <c r="W190" s="2"/>
      <c r="X190" s="2" t="str">
        <f>IFERROR(__xludf.DUMMYFUNCTION("""COMPUTED_VALUE"""),"Closed")</f>
        <v>Closed</v>
      </c>
    </row>
    <row r="191">
      <c r="A191" s="3" t="s">
        <v>214</v>
      </c>
      <c r="B191" s="4">
        <f>IFERROR(__xludf.DUMMYFUNCTION("SPLIT(A191,"","",0,0)"),45563.44305555556)</f>
        <v>45563.44306</v>
      </c>
      <c r="C191" s="5">
        <f>IFERROR(__xludf.DUMMYFUNCTION("""COMPUTED_VALUE"""),2774781.0)</f>
        <v>2774781</v>
      </c>
      <c r="D191" s="2" t="str">
        <f>IFERROR(__xludf.DUMMYFUNCTION("""COMPUTED_VALUE"""),"Sale")</f>
        <v>Sale</v>
      </c>
      <c r="E191" s="2" t="str">
        <f>IFERROR(__xludf.DUMMYFUNCTION("""COMPUTED_VALUE"""),"Roti")</f>
        <v>Roti</v>
      </c>
      <c r="F191" s="2">
        <f>IFERROR(__xludf.DUMMYFUNCTION("""COMPUTED_VALUE"""),10033.0)</f>
        <v>10033</v>
      </c>
      <c r="G191" s="2" t="str">
        <f>IFERROR(__xludf.DUMMYFUNCTION("""COMPUTED_VALUE"""),"Roti panggang sarikaya")</f>
        <v>Roti panggang sarikaya</v>
      </c>
      <c r="H191" s="2"/>
      <c r="I191" s="2"/>
      <c r="J191" s="2">
        <f>IFERROR(__xludf.DUMMYFUNCTION("""COMPUTED_VALUE"""),1.0)</f>
        <v>1</v>
      </c>
      <c r="K191" s="6">
        <f>IFERROR(__xludf.DUMMYFUNCTION("""COMPUTED_VALUE"""),21905.0)</f>
        <v>21905</v>
      </c>
      <c r="L191" s="2">
        <f>IFERROR(__xludf.DUMMYFUNCTION("""COMPUTED_VALUE"""),0.0)</f>
        <v>0</v>
      </c>
      <c r="M191" s="2">
        <f>IFERROR(__xludf.DUMMYFUNCTION("""COMPUTED_VALUE"""),21905.0)</f>
        <v>21905</v>
      </c>
      <c r="N191" s="2">
        <f>IFERROR(__xludf.DUMMYFUNCTION("""COMPUTED_VALUE"""),0.0)</f>
        <v>0</v>
      </c>
      <c r="O191" s="2">
        <f>IFERROR(__xludf.DUMMYFUNCTION("""COMPUTED_VALUE"""),21905.0)</f>
        <v>21905</v>
      </c>
      <c r="P191" s="2">
        <f>IFERROR(__xludf.DUMMYFUNCTION("""COMPUTED_VALUE"""),1096.0)</f>
        <v>1096</v>
      </c>
      <c r="Q191" s="2" t="str">
        <f>IFERROR(__xludf.DUMMYFUNCTION("""COMPUTED_VALUE"""),"Dine In")</f>
        <v>Dine In</v>
      </c>
      <c r="R191" s="2" t="str">
        <f>IFERROR(__xludf.DUMMYFUNCTION("""COMPUTED_VALUE"""),"Kedai")</f>
        <v>Kedai</v>
      </c>
      <c r="S191" s="2" t="str">
        <f>IFERROR(__xludf.DUMMYFUNCTION("""COMPUTED_VALUE"""),"Temu Roti")</f>
        <v>Temu Roti</v>
      </c>
      <c r="T191" s="2" t="str">
        <f>IFERROR(__xludf.DUMMYFUNCTION("""COMPUTED_VALUE"""),"Owner")</f>
        <v>Owner</v>
      </c>
      <c r="U191" s="2"/>
      <c r="V191" s="2"/>
      <c r="W191" s="2"/>
      <c r="X191" s="2" t="str">
        <f>IFERROR(__xludf.DUMMYFUNCTION("""COMPUTED_VALUE"""),"Closed")</f>
        <v>Closed</v>
      </c>
    </row>
    <row r="192">
      <c r="A192" s="3" t="s">
        <v>215</v>
      </c>
      <c r="B192" s="4">
        <f>IFERROR(__xludf.DUMMYFUNCTION("SPLIT(A192,"","",0,0)"),45563.44305555556)</f>
        <v>45563.44306</v>
      </c>
      <c r="C192" s="5">
        <f>IFERROR(__xludf.DUMMYFUNCTION("""COMPUTED_VALUE"""),2774781.0)</f>
        <v>2774781</v>
      </c>
      <c r="D192" s="2" t="str">
        <f>IFERROR(__xludf.DUMMYFUNCTION("""COMPUTED_VALUE"""),"Sale")</f>
        <v>Sale</v>
      </c>
      <c r="E192" s="2" t="str">
        <f>IFERROR(__xludf.DUMMYFUNCTION("""COMPUTED_VALUE"""),"Roti")</f>
        <v>Roti</v>
      </c>
      <c r="F192" s="2">
        <f>IFERROR(__xludf.DUMMYFUNCTION("""COMPUTED_VALUE"""),10034.0)</f>
        <v>10034</v>
      </c>
      <c r="G192" s="2" t="str">
        <f>IFERROR(__xludf.DUMMYFUNCTION("""COMPUTED_VALUE"""),"Roti panggang coklat")</f>
        <v>Roti panggang coklat</v>
      </c>
      <c r="H192" s="2"/>
      <c r="I192" s="2"/>
      <c r="J192" s="2">
        <f>IFERROR(__xludf.DUMMYFUNCTION("""COMPUTED_VALUE"""),1.0)</f>
        <v>1</v>
      </c>
      <c r="K192" s="6">
        <f>IFERROR(__xludf.DUMMYFUNCTION("""COMPUTED_VALUE"""),21905.0)</f>
        <v>21905</v>
      </c>
      <c r="L192" s="2">
        <f>IFERROR(__xludf.DUMMYFUNCTION("""COMPUTED_VALUE"""),0.0)</f>
        <v>0</v>
      </c>
      <c r="M192" s="2">
        <f>IFERROR(__xludf.DUMMYFUNCTION("""COMPUTED_VALUE"""),21905.0)</f>
        <v>21905</v>
      </c>
      <c r="N192" s="2">
        <f>IFERROR(__xludf.DUMMYFUNCTION("""COMPUTED_VALUE"""),0.0)</f>
        <v>0</v>
      </c>
      <c r="O192" s="2">
        <f>IFERROR(__xludf.DUMMYFUNCTION("""COMPUTED_VALUE"""),21905.0)</f>
        <v>21905</v>
      </c>
      <c r="P192" s="2">
        <f>IFERROR(__xludf.DUMMYFUNCTION("""COMPUTED_VALUE"""),1095.0)</f>
        <v>1095</v>
      </c>
      <c r="Q192" s="2" t="str">
        <f>IFERROR(__xludf.DUMMYFUNCTION("""COMPUTED_VALUE"""),"Dine In")</f>
        <v>Dine In</v>
      </c>
      <c r="R192" s="2" t="str">
        <f>IFERROR(__xludf.DUMMYFUNCTION("""COMPUTED_VALUE"""),"Kedai")</f>
        <v>Kedai</v>
      </c>
      <c r="S192" s="2" t="str">
        <f>IFERROR(__xludf.DUMMYFUNCTION("""COMPUTED_VALUE"""),"Temu Roti")</f>
        <v>Temu Roti</v>
      </c>
      <c r="T192" s="2" t="str">
        <f>IFERROR(__xludf.DUMMYFUNCTION("""COMPUTED_VALUE"""),"Owner")</f>
        <v>Owner</v>
      </c>
      <c r="U192" s="2"/>
      <c r="V192" s="2"/>
      <c r="W192" s="2"/>
      <c r="X192" s="2" t="str">
        <f>IFERROR(__xludf.DUMMYFUNCTION("""COMPUTED_VALUE"""),"Closed")</f>
        <v>Closed</v>
      </c>
    </row>
    <row r="193">
      <c r="A193" s="3" t="s">
        <v>216</v>
      </c>
      <c r="B193" s="4">
        <f>IFERROR(__xludf.DUMMYFUNCTION("SPLIT(A193,"","",0,0)"),45563.44305555556)</f>
        <v>45563.44306</v>
      </c>
      <c r="C193" s="5">
        <f>IFERROR(__xludf.DUMMYFUNCTION("""COMPUTED_VALUE"""),2774781.0)</f>
        <v>2774781</v>
      </c>
      <c r="D193" s="2" t="str">
        <f>IFERROR(__xludf.DUMMYFUNCTION("""COMPUTED_VALUE"""),"Sale")</f>
        <v>Sale</v>
      </c>
      <c r="E193" s="2" t="str">
        <f>IFERROR(__xludf.DUMMYFUNCTION("""COMPUTED_VALUE"""),"Minuman")</f>
        <v>Minuman</v>
      </c>
      <c r="F193" s="2">
        <f>IFERROR(__xludf.DUMMYFUNCTION("""COMPUTED_VALUE"""),10107.0)</f>
        <v>10107</v>
      </c>
      <c r="G193" s="2" t="str">
        <f>IFERROR(__xludf.DUMMYFUNCTION("""COMPUTED_VALUE"""),"Korean Mango Fresh Milk")</f>
        <v>Korean Mango Fresh Milk</v>
      </c>
      <c r="H193" s="2"/>
      <c r="I193" s="2"/>
      <c r="J193" s="2">
        <f>IFERROR(__xludf.DUMMYFUNCTION("""COMPUTED_VALUE"""),1.0)</f>
        <v>1</v>
      </c>
      <c r="K193" s="6">
        <f>IFERROR(__xludf.DUMMYFUNCTION("""COMPUTED_VALUE"""),26667.0)</f>
        <v>26667</v>
      </c>
      <c r="L193" s="2">
        <f>IFERROR(__xludf.DUMMYFUNCTION("""COMPUTED_VALUE"""),0.0)</f>
        <v>0</v>
      </c>
      <c r="M193" s="2">
        <f>IFERROR(__xludf.DUMMYFUNCTION("""COMPUTED_VALUE"""),26667.0)</f>
        <v>26667</v>
      </c>
      <c r="N193" s="2">
        <f>IFERROR(__xludf.DUMMYFUNCTION("""COMPUTED_VALUE"""),0.0)</f>
        <v>0</v>
      </c>
      <c r="O193" s="2">
        <f>IFERROR(__xludf.DUMMYFUNCTION("""COMPUTED_VALUE"""),26667.0)</f>
        <v>26667</v>
      </c>
      <c r="P193" s="2">
        <f>IFERROR(__xludf.DUMMYFUNCTION("""COMPUTED_VALUE"""),1333.0)</f>
        <v>1333</v>
      </c>
      <c r="Q193" s="2" t="str">
        <f>IFERROR(__xludf.DUMMYFUNCTION("""COMPUTED_VALUE"""),"Dine In")</f>
        <v>Dine In</v>
      </c>
      <c r="R193" s="2" t="str">
        <f>IFERROR(__xludf.DUMMYFUNCTION("""COMPUTED_VALUE"""),"Kedai")</f>
        <v>Kedai</v>
      </c>
      <c r="S193" s="2" t="str">
        <f>IFERROR(__xludf.DUMMYFUNCTION("""COMPUTED_VALUE"""),"Temu Roti")</f>
        <v>Temu Roti</v>
      </c>
      <c r="T193" s="2" t="str">
        <f>IFERROR(__xludf.DUMMYFUNCTION("""COMPUTED_VALUE"""),"Owner")</f>
        <v>Owner</v>
      </c>
      <c r="U193" s="2"/>
      <c r="V193" s="2"/>
      <c r="W193" s="2"/>
      <c r="X193" s="2" t="str">
        <f>IFERROR(__xludf.DUMMYFUNCTION("""COMPUTED_VALUE"""),"Closed")</f>
        <v>Closed</v>
      </c>
    </row>
    <row r="194">
      <c r="A194" s="3" t="s">
        <v>217</v>
      </c>
      <c r="B194" s="4">
        <f>IFERROR(__xludf.DUMMYFUNCTION("SPLIT(A194,"","",0,0)"),45563.44305555556)</f>
        <v>45563.44306</v>
      </c>
      <c r="C194" s="5">
        <f>IFERROR(__xludf.DUMMYFUNCTION("""COMPUTED_VALUE"""),2774781.0)</f>
        <v>2774781</v>
      </c>
      <c r="D194" s="2" t="str">
        <f>IFERROR(__xludf.DUMMYFUNCTION("""COMPUTED_VALUE"""),"Sale")</f>
        <v>Sale</v>
      </c>
      <c r="E194" s="2" t="str">
        <f>IFERROR(__xludf.DUMMYFUNCTION("""COMPUTED_VALUE"""),"Minuman")</f>
        <v>Minuman</v>
      </c>
      <c r="F194" s="2">
        <f>IFERROR(__xludf.DUMMYFUNCTION("""COMPUTED_VALUE"""),10106.0)</f>
        <v>10106</v>
      </c>
      <c r="G194" s="2" t="str">
        <f>IFERROR(__xludf.DUMMYFUNCTION("""COMPUTED_VALUE"""),"Korean Strawberry Fresh Milk")</f>
        <v>Korean Strawberry Fresh Milk</v>
      </c>
      <c r="H194" s="2"/>
      <c r="I194" s="2"/>
      <c r="J194" s="2">
        <f>IFERROR(__xludf.DUMMYFUNCTION("""COMPUTED_VALUE"""),1.0)</f>
        <v>1</v>
      </c>
      <c r="K194" s="6">
        <f>IFERROR(__xludf.DUMMYFUNCTION("""COMPUTED_VALUE"""),26667.0)</f>
        <v>26667</v>
      </c>
      <c r="L194" s="2">
        <f>IFERROR(__xludf.DUMMYFUNCTION("""COMPUTED_VALUE"""),0.0)</f>
        <v>0</v>
      </c>
      <c r="M194" s="2">
        <f>IFERROR(__xludf.DUMMYFUNCTION("""COMPUTED_VALUE"""),26667.0)</f>
        <v>26667</v>
      </c>
      <c r="N194" s="2">
        <f>IFERROR(__xludf.DUMMYFUNCTION("""COMPUTED_VALUE"""),0.0)</f>
        <v>0</v>
      </c>
      <c r="O194" s="2">
        <f>IFERROR(__xludf.DUMMYFUNCTION("""COMPUTED_VALUE"""),26667.0)</f>
        <v>26667</v>
      </c>
      <c r="P194" s="2">
        <f>IFERROR(__xludf.DUMMYFUNCTION("""COMPUTED_VALUE"""),1334.0)</f>
        <v>1334</v>
      </c>
      <c r="Q194" s="2" t="str">
        <f>IFERROR(__xludf.DUMMYFUNCTION("""COMPUTED_VALUE"""),"Dine In")</f>
        <v>Dine In</v>
      </c>
      <c r="R194" s="2" t="str">
        <f>IFERROR(__xludf.DUMMYFUNCTION("""COMPUTED_VALUE"""),"Kedai")</f>
        <v>Kedai</v>
      </c>
      <c r="S194" s="2" t="str">
        <f>IFERROR(__xludf.DUMMYFUNCTION("""COMPUTED_VALUE"""),"Temu Roti")</f>
        <v>Temu Roti</v>
      </c>
      <c r="T194" s="2" t="str">
        <f>IFERROR(__xludf.DUMMYFUNCTION("""COMPUTED_VALUE"""),"Owner")</f>
        <v>Owner</v>
      </c>
      <c r="U194" s="2"/>
      <c r="V194" s="2"/>
      <c r="W194" s="2"/>
      <c r="X194" s="2" t="str">
        <f>IFERROR(__xludf.DUMMYFUNCTION("""COMPUTED_VALUE"""),"Closed")</f>
        <v>Closed</v>
      </c>
    </row>
    <row r="195">
      <c r="A195" s="3" t="s">
        <v>218</v>
      </c>
      <c r="B195" s="4">
        <f>IFERROR(__xludf.DUMMYFUNCTION("SPLIT(A195,"","",0,0)"),45563.44305555556)</f>
        <v>45563.44306</v>
      </c>
      <c r="C195" s="5">
        <f>IFERROR(__xludf.DUMMYFUNCTION("""COMPUTED_VALUE"""),2774781.0)</f>
        <v>2774781</v>
      </c>
      <c r="D195" s="2" t="str">
        <f>IFERROR(__xludf.DUMMYFUNCTION("""COMPUTED_VALUE"""),"Sale")</f>
        <v>Sale</v>
      </c>
      <c r="E195" s="2" t="str">
        <f>IFERROR(__xludf.DUMMYFUNCTION("""COMPUTED_VALUE"""),"Roti")</f>
        <v>Roti</v>
      </c>
      <c r="F195" s="2">
        <f>IFERROR(__xludf.DUMMYFUNCTION("""COMPUTED_VALUE"""),10055.0)</f>
        <v>10055</v>
      </c>
      <c r="G195" s="2" t="str">
        <f>IFERROR(__xludf.DUMMYFUNCTION("""COMPUTED_VALUE"""),"Roti Gandum Cokelat 2 pcs")</f>
        <v>Roti Gandum Cokelat 2 pcs</v>
      </c>
      <c r="H195" s="2"/>
      <c r="I195" s="2"/>
      <c r="J195" s="2">
        <f>IFERROR(__xludf.DUMMYFUNCTION("""COMPUTED_VALUE"""),1.0)</f>
        <v>1</v>
      </c>
      <c r="K195" s="6">
        <f>IFERROR(__xludf.DUMMYFUNCTION("""COMPUTED_VALUE"""),34762.0)</f>
        <v>34762</v>
      </c>
      <c r="L195" s="2">
        <f>IFERROR(__xludf.DUMMYFUNCTION("""COMPUTED_VALUE"""),0.0)</f>
        <v>0</v>
      </c>
      <c r="M195" s="2">
        <f>IFERROR(__xludf.DUMMYFUNCTION("""COMPUTED_VALUE"""),34762.0)</f>
        <v>34762</v>
      </c>
      <c r="N195" s="2">
        <f>IFERROR(__xludf.DUMMYFUNCTION("""COMPUTED_VALUE"""),0.0)</f>
        <v>0</v>
      </c>
      <c r="O195" s="2">
        <f>IFERROR(__xludf.DUMMYFUNCTION("""COMPUTED_VALUE"""),34762.0)</f>
        <v>34762</v>
      </c>
      <c r="P195" s="2">
        <f>IFERROR(__xludf.DUMMYFUNCTION("""COMPUTED_VALUE"""),1738.0)</f>
        <v>1738</v>
      </c>
      <c r="Q195" s="2" t="str">
        <f>IFERROR(__xludf.DUMMYFUNCTION("""COMPUTED_VALUE"""),"Dine In")</f>
        <v>Dine In</v>
      </c>
      <c r="R195" s="2" t="str">
        <f>IFERROR(__xludf.DUMMYFUNCTION("""COMPUTED_VALUE"""),"Kedai")</f>
        <v>Kedai</v>
      </c>
      <c r="S195" s="2" t="str">
        <f>IFERROR(__xludf.DUMMYFUNCTION("""COMPUTED_VALUE"""),"Temu Roti")</f>
        <v>Temu Roti</v>
      </c>
      <c r="T195" s="2" t="str">
        <f>IFERROR(__xludf.DUMMYFUNCTION("""COMPUTED_VALUE"""),"Owner")</f>
        <v>Owner</v>
      </c>
      <c r="U195" s="2"/>
      <c r="V195" s="2"/>
      <c r="W195" s="2"/>
      <c r="X195" s="2" t="str">
        <f>IFERROR(__xludf.DUMMYFUNCTION("""COMPUTED_VALUE"""),"Closed")</f>
        <v>Closed</v>
      </c>
    </row>
    <row r="196">
      <c r="A196" s="3" t="s">
        <v>219</v>
      </c>
      <c r="B196" s="4">
        <f>IFERROR(__xludf.DUMMYFUNCTION("SPLIT(A196,"","",0,0)"),45563.44305555556)</f>
        <v>45563.44306</v>
      </c>
      <c r="C196" s="5">
        <f>IFERROR(__xludf.DUMMYFUNCTION("""COMPUTED_VALUE"""),2774781.0)</f>
        <v>2774781</v>
      </c>
      <c r="D196" s="2" t="str">
        <f>IFERROR(__xludf.DUMMYFUNCTION("""COMPUTED_VALUE"""),"Sale")</f>
        <v>Sale</v>
      </c>
      <c r="E196" s="2" t="str">
        <f>IFERROR(__xludf.DUMMYFUNCTION("""COMPUTED_VALUE"""),"Minuman")</f>
        <v>Minuman</v>
      </c>
      <c r="F196" s="2">
        <f>IFERROR(__xludf.DUMMYFUNCTION("""COMPUTED_VALUE"""),10128.0)</f>
        <v>10128</v>
      </c>
      <c r="G196" s="2" t="str">
        <f>IFERROR(__xludf.DUMMYFUNCTION("""COMPUTED_VALUE"""),"Es Kopi Susu")</f>
        <v>Es Kopi Susu</v>
      </c>
      <c r="H196" s="2"/>
      <c r="I196" s="2"/>
      <c r="J196" s="2">
        <f>IFERROR(__xludf.DUMMYFUNCTION("""COMPUTED_VALUE"""),1.0)</f>
        <v>1</v>
      </c>
      <c r="K196" s="6">
        <f>IFERROR(__xludf.DUMMYFUNCTION("""COMPUTED_VALUE"""),23333.0)</f>
        <v>23333</v>
      </c>
      <c r="L196" s="2">
        <f>IFERROR(__xludf.DUMMYFUNCTION("""COMPUTED_VALUE"""),0.0)</f>
        <v>0</v>
      </c>
      <c r="M196" s="2">
        <f>IFERROR(__xludf.DUMMYFUNCTION("""COMPUTED_VALUE"""),23333.0)</f>
        <v>23333</v>
      </c>
      <c r="N196" s="2">
        <f>IFERROR(__xludf.DUMMYFUNCTION("""COMPUTED_VALUE"""),0.0)</f>
        <v>0</v>
      </c>
      <c r="O196" s="2">
        <f>IFERROR(__xludf.DUMMYFUNCTION("""COMPUTED_VALUE"""),23333.0)</f>
        <v>23333</v>
      </c>
      <c r="P196" s="2">
        <f>IFERROR(__xludf.DUMMYFUNCTION("""COMPUTED_VALUE"""),1166.0)</f>
        <v>1166</v>
      </c>
      <c r="Q196" s="2" t="str">
        <f>IFERROR(__xludf.DUMMYFUNCTION("""COMPUTED_VALUE"""),"Dine In")</f>
        <v>Dine In</v>
      </c>
      <c r="R196" s="2" t="str">
        <f>IFERROR(__xludf.DUMMYFUNCTION("""COMPUTED_VALUE"""),"Kedai")</f>
        <v>Kedai</v>
      </c>
      <c r="S196" s="2" t="str">
        <f>IFERROR(__xludf.DUMMYFUNCTION("""COMPUTED_VALUE"""),"Temu Roti")</f>
        <v>Temu Roti</v>
      </c>
      <c r="T196" s="2" t="str">
        <f>IFERROR(__xludf.DUMMYFUNCTION("""COMPUTED_VALUE"""),"Owner")</f>
        <v>Owner</v>
      </c>
      <c r="U196" s="2"/>
      <c r="V196" s="2"/>
      <c r="W196" s="2"/>
      <c r="X196" s="2" t="str">
        <f>IFERROR(__xludf.DUMMYFUNCTION("""COMPUTED_VALUE"""),"Closed")</f>
        <v>Closed</v>
      </c>
    </row>
    <row r="197">
      <c r="A197" s="3" t="s">
        <v>217</v>
      </c>
      <c r="B197" s="4">
        <f>IFERROR(__xludf.DUMMYFUNCTION("SPLIT(A197,"","",0,0)"),45563.44305555556)</f>
        <v>45563.44306</v>
      </c>
      <c r="C197" s="5">
        <f>IFERROR(__xludf.DUMMYFUNCTION("""COMPUTED_VALUE"""),2774781.0)</f>
        <v>2774781</v>
      </c>
      <c r="D197" s="2" t="str">
        <f>IFERROR(__xludf.DUMMYFUNCTION("""COMPUTED_VALUE"""),"Sale")</f>
        <v>Sale</v>
      </c>
      <c r="E197" s="2" t="str">
        <f>IFERROR(__xludf.DUMMYFUNCTION("""COMPUTED_VALUE"""),"Minuman")</f>
        <v>Minuman</v>
      </c>
      <c r="F197" s="2">
        <f>IFERROR(__xludf.DUMMYFUNCTION("""COMPUTED_VALUE"""),10106.0)</f>
        <v>10106</v>
      </c>
      <c r="G197" s="2" t="str">
        <f>IFERROR(__xludf.DUMMYFUNCTION("""COMPUTED_VALUE"""),"Korean Strawberry Fresh Milk")</f>
        <v>Korean Strawberry Fresh Milk</v>
      </c>
      <c r="H197" s="2"/>
      <c r="I197" s="2"/>
      <c r="J197" s="2">
        <f>IFERROR(__xludf.DUMMYFUNCTION("""COMPUTED_VALUE"""),1.0)</f>
        <v>1</v>
      </c>
      <c r="K197" s="6">
        <f>IFERROR(__xludf.DUMMYFUNCTION("""COMPUTED_VALUE"""),26667.0)</f>
        <v>26667</v>
      </c>
      <c r="L197" s="2">
        <f>IFERROR(__xludf.DUMMYFUNCTION("""COMPUTED_VALUE"""),0.0)</f>
        <v>0</v>
      </c>
      <c r="M197" s="2">
        <f>IFERROR(__xludf.DUMMYFUNCTION("""COMPUTED_VALUE"""),26667.0)</f>
        <v>26667</v>
      </c>
      <c r="N197" s="2">
        <f>IFERROR(__xludf.DUMMYFUNCTION("""COMPUTED_VALUE"""),0.0)</f>
        <v>0</v>
      </c>
      <c r="O197" s="2">
        <f>IFERROR(__xludf.DUMMYFUNCTION("""COMPUTED_VALUE"""),26667.0)</f>
        <v>26667</v>
      </c>
      <c r="P197" s="2">
        <f>IFERROR(__xludf.DUMMYFUNCTION("""COMPUTED_VALUE"""),1334.0)</f>
        <v>1334</v>
      </c>
      <c r="Q197" s="2" t="str">
        <f>IFERROR(__xludf.DUMMYFUNCTION("""COMPUTED_VALUE"""),"Dine In")</f>
        <v>Dine In</v>
      </c>
      <c r="R197" s="2" t="str">
        <f>IFERROR(__xludf.DUMMYFUNCTION("""COMPUTED_VALUE"""),"Kedai")</f>
        <v>Kedai</v>
      </c>
      <c r="S197" s="2" t="str">
        <f>IFERROR(__xludf.DUMMYFUNCTION("""COMPUTED_VALUE"""),"Temu Roti")</f>
        <v>Temu Roti</v>
      </c>
      <c r="T197" s="2" t="str">
        <f>IFERROR(__xludf.DUMMYFUNCTION("""COMPUTED_VALUE"""),"Owner")</f>
        <v>Owner</v>
      </c>
      <c r="U197" s="2"/>
      <c r="V197" s="2"/>
      <c r="W197" s="2"/>
      <c r="X197" s="2" t="str">
        <f>IFERROR(__xludf.DUMMYFUNCTION("""COMPUTED_VALUE"""),"Closed")</f>
        <v>Closed</v>
      </c>
    </row>
    <row r="198">
      <c r="A198" s="3" t="s">
        <v>220</v>
      </c>
      <c r="B198" s="4">
        <f>IFERROR(__xludf.DUMMYFUNCTION("SPLIT(A198,"","",0,0)"),45563.41736111111)</f>
        <v>45563.41736</v>
      </c>
      <c r="C198" s="5">
        <f>IFERROR(__xludf.DUMMYFUNCTION("""COMPUTED_VALUE"""),2774415.0)</f>
        <v>2774415</v>
      </c>
      <c r="D198" s="2" t="str">
        <f>IFERROR(__xludf.DUMMYFUNCTION("""COMPUTED_VALUE"""),"Sale")</f>
        <v>Sale</v>
      </c>
      <c r="E198" s="2" t="str">
        <f>IFERROR(__xludf.DUMMYFUNCTION("""COMPUTED_VALUE"""),"Minuman")</f>
        <v>Minuman</v>
      </c>
      <c r="F198" s="2">
        <f>IFERROR(__xludf.DUMMYFUNCTION("""COMPUTED_VALUE"""),10107.0)</f>
        <v>10107</v>
      </c>
      <c r="G198" s="2" t="str">
        <f>IFERROR(__xludf.DUMMYFUNCTION("""COMPUTED_VALUE"""),"Korean Mango Fresh Milk")</f>
        <v>Korean Mango Fresh Milk</v>
      </c>
      <c r="H198" s="2"/>
      <c r="I198" s="2"/>
      <c r="J198" s="2">
        <f>IFERROR(__xludf.DUMMYFUNCTION("""COMPUTED_VALUE"""),1.0)</f>
        <v>1</v>
      </c>
      <c r="K198" s="6">
        <f>IFERROR(__xludf.DUMMYFUNCTION("""COMPUTED_VALUE"""),26667.0)</f>
        <v>26667</v>
      </c>
      <c r="L198" s="2">
        <f>IFERROR(__xludf.DUMMYFUNCTION("""COMPUTED_VALUE"""),0.0)</f>
        <v>0</v>
      </c>
      <c r="M198" s="2">
        <f>IFERROR(__xludf.DUMMYFUNCTION("""COMPUTED_VALUE"""),26667.0)</f>
        <v>26667</v>
      </c>
      <c r="N198" s="2">
        <f>IFERROR(__xludf.DUMMYFUNCTION("""COMPUTED_VALUE"""),0.0)</f>
        <v>0</v>
      </c>
      <c r="O198" s="2">
        <f>IFERROR(__xludf.DUMMYFUNCTION("""COMPUTED_VALUE"""),26667.0)</f>
        <v>26667</v>
      </c>
      <c r="P198" s="2">
        <f>IFERROR(__xludf.DUMMYFUNCTION("""COMPUTED_VALUE"""),1333.0)</f>
        <v>1333</v>
      </c>
      <c r="Q198" s="2" t="str">
        <f>IFERROR(__xludf.DUMMYFUNCTION("""COMPUTED_VALUE"""),"Dine In")</f>
        <v>Dine In</v>
      </c>
      <c r="R198" s="2" t="str">
        <f>IFERROR(__xludf.DUMMYFUNCTION("""COMPUTED_VALUE"""),"Kedai")</f>
        <v>Kedai</v>
      </c>
      <c r="S198" s="2" t="str">
        <f>IFERROR(__xludf.DUMMYFUNCTION("""COMPUTED_VALUE"""),"Temu Roti")</f>
        <v>Temu Roti</v>
      </c>
      <c r="T198" s="2" t="str">
        <f>IFERROR(__xludf.DUMMYFUNCTION("""COMPUTED_VALUE"""),"Owner")</f>
        <v>Owner</v>
      </c>
      <c r="U198" s="2"/>
      <c r="V198" s="2"/>
      <c r="W198" s="2"/>
      <c r="X198" s="2" t="str">
        <f>IFERROR(__xludf.DUMMYFUNCTION("""COMPUTED_VALUE"""),"Closed")</f>
        <v>Closed</v>
      </c>
    </row>
    <row r="199">
      <c r="A199" s="3" t="s">
        <v>221</v>
      </c>
      <c r="B199" s="4">
        <f>IFERROR(__xludf.DUMMYFUNCTION("SPLIT(A199,"","",0,0)"),45563.41736111111)</f>
        <v>45563.41736</v>
      </c>
      <c r="C199" s="5">
        <f>IFERROR(__xludf.DUMMYFUNCTION("""COMPUTED_VALUE"""),2774415.0)</f>
        <v>2774415</v>
      </c>
      <c r="D199" s="2" t="str">
        <f>IFERROR(__xludf.DUMMYFUNCTION("""COMPUTED_VALUE"""),"Sale")</f>
        <v>Sale</v>
      </c>
      <c r="E199" s="2" t="str">
        <f>IFERROR(__xludf.DUMMYFUNCTION("""COMPUTED_VALUE"""),"Minuman")</f>
        <v>Minuman</v>
      </c>
      <c r="F199" s="2">
        <f>IFERROR(__xludf.DUMMYFUNCTION("""COMPUTED_VALUE"""),10106.0)</f>
        <v>10106</v>
      </c>
      <c r="G199" s="2" t="str">
        <f>IFERROR(__xludf.DUMMYFUNCTION("""COMPUTED_VALUE"""),"Korean Strawberry Fresh Milk")</f>
        <v>Korean Strawberry Fresh Milk</v>
      </c>
      <c r="H199" s="2"/>
      <c r="I199" s="2"/>
      <c r="J199" s="2">
        <f>IFERROR(__xludf.DUMMYFUNCTION("""COMPUTED_VALUE"""),1.0)</f>
        <v>1</v>
      </c>
      <c r="K199" s="6">
        <f>IFERROR(__xludf.DUMMYFUNCTION("""COMPUTED_VALUE"""),26667.0)</f>
        <v>26667</v>
      </c>
      <c r="L199" s="2">
        <f>IFERROR(__xludf.DUMMYFUNCTION("""COMPUTED_VALUE"""),0.0)</f>
        <v>0</v>
      </c>
      <c r="M199" s="2">
        <f>IFERROR(__xludf.DUMMYFUNCTION("""COMPUTED_VALUE"""),26667.0)</f>
        <v>26667</v>
      </c>
      <c r="N199" s="2">
        <f>IFERROR(__xludf.DUMMYFUNCTION("""COMPUTED_VALUE"""),0.0)</f>
        <v>0</v>
      </c>
      <c r="O199" s="2">
        <f>IFERROR(__xludf.DUMMYFUNCTION("""COMPUTED_VALUE"""),26667.0)</f>
        <v>26667</v>
      </c>
      <c r="P199" s="2">
        <f>IFERROR(__xludf.DUMMYFUNCTION("""COMPUTED_VALUE"""),1334.0)</f>
        <v>1334</v>
      </c>
      <c r="Q199" s="2" t="str">
        <f>IFERROR(__xludf.DUMMYFUNCTION("""COMPUTED_VALUE"""),"Dine In")</f>
        <v>Dine In</v>
      </c>
      <c r="R199" s="2" t="str">
        <f>IFERROR(__xludf.DUMMYFUNCTION("""COMPUTED_VALUE"""),"Kedai")</f>
        <v>Kedai</v>
      </c>
      <c r="S199" s="2" t="str">
        <f>IFERROR(__xludf.DUMMYFUNCTION("""COMPUTED_VALUE"""),"Temu Roti")</f>
        <v>Temu Roti</v>
      </c>
      <c r="T199" s="2" t="str">
        <f>IFERROR(__xludf.DUMMYFUNCTION("""COMPUTED_VALUE"""),"Owner")</f>
        <v>Owner</v>
      </c>
      <c r="U199" s="2"/>
      <c r="V199" s="2"/>
      <c r="W199" s="2"/>
      <c r="X199" s="2" t="str">
        <f>IFERROR(__xludf.DUMMYFUNCTION("""COMPUTED_VALUE"""),"Closed")</f>
        <v>Closed</v>
      </c>
    </row>
    <row r="200">
      <c r="A200" s="3" t="s">
        <v>222</v>
      </c>
      <c r="B200" s="4">
        <f>IFERROR(__xludf.DUMMYFUNCTION("SPLIT(A200,"","",0,0)"),45563.40625)</f>
        <v>45563.40625</v>
      </c>
      <c r="C200" s="5">
        <f>IFERROR(__xludf.DUMMYFUNCTION("""COMPUTED_VALUE"""),2774050.0)</f>
        <v>2774050</v>
      </c>
      <c r="D200" s="2" t="str">
        <f>IFERROR(__xludf.DUMMYFUNCTION("""COMPUTED_VALUE"""),"Sale")</f>
        <v>Sale</v>
      </c>
      <c r="E200" s="2" t="str">
        <f>IFERROR(__xludf.DUMMYFUNCTION("""COMPUTED_VALUE"""),"Roti")</f>
        <v>Roti</v>
      </c>
      <c r="F200" s="2">
        <f>IFERROR(__xludf.DUMMYFUNCTION("""COMPUTED_VALUE"""),10007.0)</f>
        <v>10007</v>
      </c>
      <c r="G200" s="2" t="str">
        <f>IFERROR(__xludf.DUMMYFUNCTION("""COMPUTED_VALUE"""),"Roti cranberry 2 pcs")</f>
        <v>Roti cranberry 2 pcs</v>
      </c>
      <c r="H200" s="2"/>
      <c r="I200" s="2"/>
      <c r="J200" s="2">
        <f>IFERROR(__xludf.DUMMYFUNCTION("""COMPUTED_VALUE"""),1.0)</f>
        <v>1</v>
      </c>
      <c r="K200" s="6">
        <f>IFERROR(__xludf.DUMMYFUNCTION("""COMPUTED_VALUE"""),33810.0)</f>
        <v>33810</v>
      </c>
      <c r="L200" s="2">
        <f>IFERROR(__xludf.DUMMYFUNCTION("""COMPUTED_VALUE"""),0.0)</f>
        <v>0</v>
      </c>
      <c r="M200" s="2">
        <f>IFERROR(__xludf.DUMMYFUNCTION("""COMPUTED_VALUE"""),33810.0)</f>
        <v>33810</v>
      </c>
      <c r="N200" s="2">
        <f>IFERROR(__xludf.DUMMYFUNCTION("""COMPUTED_VALUE"""),0.0)</f>
        <v>0</v>
      </c>
      <c r="O200" s="2">
        <f>IFERROR(__xludf.DUMMYFUNCTION("""COMPUTED_VALUE"""),33810.0)</f>
        <v>33810</v>
      </c>
      <c r="P200" s="2">
        <f>IFERROR(__xludf.DUMMYFUNCTION("""COMPUTED_VALUE"""),1691.0)</f>
        <v>1691</v>
      </c>
      <c r="Q200" s="2" t="str">
        <f>IFERROR(__xludf.DUMMYFUNCTION("""COMPUTED_VALUE"""),"Dine In")</f>
        <v>Dine In</v>
      </c>
      <c r="R200" s="2" t="str">
        <f>IFERROR(__xludf.DUMMYFUNCTION("""COMPUTED_VALUE"""),"Kedai")</f>
        <v>Kedai</v>
      </c>
      <c r="S200" s="2" t="str">
        <f>IFERROR(__xludf.DUMMYFUNCTION("""COMPUTED_VALUE"""),"Temu Roti")</f>
        <v>Temu Roti</v>
      </c>
      <c r="T200" s="2" t="str">
        <f>IFERROR(__xludf.DUMMYFUNCTION("""COMPUTED_VALUE"""),"Owner")</f>
        <v>Owner</v>
      </c>
      <c r="U200" s="2"/>
      <c r="V200" s="2"/>
      <c r="W200" s="2"/>
      <c r="X200" s="2" t="str">
        <f>IFERROR(__xludf.DUMMYFUNCTION("""COMPUTED_VALUE"""),"Closed")</f>
        <v>Closed</v>
      </c>
    </row>
    <row r="201">
      <c r="A201" s="3" t="s">
        <v>223</v>
      </c>
      <c r="B201" s="4">
        <f>IFERROR(__xludf.DUMMYFUNCTION("SPLIT(A201,"","",0,0)"),45563.40625)</f>
        <v>45563.40625</v>
      </c>
      <c r="C201" s="5">
        <f>IFERROR(__xludf.DUMMYFUNCTION("""COMPUTED_VALUE"""),2774050.0)</f>
        <v>2774050</v>
      </c>
      <c r="D201" s="2" t="str">
        <f>IFERROR(__xludf.DUMMYFUNCTION("""COMPUTED_VALUE"""),"Sale")</f>
        <v>Sale</v>
      </c>
      <c r="E201" s="2" t="str">
        <f>IFERROR(__xludf.DUMMYFUNCTION("""COMPUTED_VALUE"""),"Minuman")</f>
        <v>Minuman</v>
      </c>
      <c r="F201" s="2">
        <f>IFERROR(__xludf.DUMMYFUNCTION("""COMPUTED_VALUE"""),10119.0)</f>
        <v>10119</v>
      </c>
      <c r="G201" s="2" t="str">
        <f>IFERROR(__xludf.DUMMYFUNCTION("""COMPUTED_VALUE"""),"Teh Tawar Dingin")</f>
        <v>Teh Tawar Dingin</v>
      </c>
      <c r="H201" s="2"/>
      <c r="I201" s="2"/>
      <c r="J201" s="2">
        <f>IFERROR(__xludf.DUMMYFUNCTION("""COMPUTED_VALUE"""),1.0)</f>
        <v>1</v>
      </c>
      <c r="K201" s="6">
        <f>IFERROR(__xludf.DUMMYFUNCTION("""COMPUTED_VALUE"""),7143.0)</f>
        <v>7143</v>
      </c>
      <c r="L201" s="2">
        <f>IFERROR(__xludf.DUMMYFUNCTION("""COMPUTED_VALUE"""),0.0)</f>
        <v>0</v>
      </c>
      <c r="M201" s="2">
        <f>IFERROR(__xludf.DUMMYFUNCTION("""COMPUTED_VALUE"""),7143.0)</f>
        <v>7143</v>
      </c>
      <c r="N201" s="2">
        <f>IFERROR(__xludf.DUMMYFUNCTION("""COMPUTED_VALUE"""),0.0)</f>
        <v>0</v>
      </c>
      <c r="O201" s="2">
        <f>IFERROR(__xludf.DUMMYFUNCTION("""COMPUTED_VALUE"""),7143.0)</f>
        <v>7143</v>
      </c>
      <c r="P201" s="2">
        <f>IFERROR(__xludf.DUMMYFUNCTION("""COMPUTED_VALUE"""),357.0)</f>
        <v>357</v>
      </c>
      <c r="Q201" s="2" t="str">
        <f>IFERROR(__xludf.DUMMYFUNCTION("""COMPUTED_VALUE"""),"Dine In")</f>
        <v>Dine In</v>
      </c>
      <c r="R201" s="2" t="str">
        <f>IFERROR(__xludf.DUMMYFUNCTION("""COMPUTED_VALUE"""),"Kedai")</f>
        <v>Kedai</v>
      </c>
      <c r="S201" s="2" t="str">
        <f>IFERROR(__xludf.DUMMYFUNCTION("""COMPUTED_VALUE"""),"Temu Roti")</f>
        <v>Temu Roti</v>
      </c>
      <c r="T201" s="2" t="str">
        <f>IFERROR(__xludf.DUMMYFUNCTION("""COMPUTED_VALUE"""),"Owner")</f>
        <v>Owner</v>
      </c>
      <c r="U201" s="2"/>
      <c r="V201" s="2"/>
      <c r="W201" s="2"/>
      <c r="X201" s="2" t="str">
        <f>IFERROR(__xludf.DUMMYFUNCTION("""COMPUTED_VALUE"""),"Closed")</f>
        <v>Closed</v>
      </c>
    </row>
    <row r="202">
      <c r="A202" s="3" t="s">
        <v>224</v>
      </c>
      <c r="B202" s="4">
        <f>IFERROR(__xludf.DUMMYFUNCTION("SPLIT(A202,"","",0,0)"),45563.40625)</f>
        <v>45563.40625</v>
      </c>
      <c r="C202" s="5">
        <f>IFERROR(__xludf.DUMMYFUNCTION("""COMPUTED_VALUE"""),2774050.0)</f>
        <v>2774050</v>
      </c>
      <c r="D202" s="2" t="str">
        <f>IFERROR(__xludf.DUMMYFUNCTION("""COMPUTED_VALUE"""),"Sale")</f>
        <v>Sale</v>
      </c>
      <c r="E202" s="2" t="str">
        <f>IFERROR(__xludf.DUMMYFUNCTION("""COMPUTED_VALUE"""),"Minuman")</f>
        <v>Minuman</v>
      </c>
      <c r="F202" s="2">
        <f>IFERROR(__xludf.DUMMYFUNCTION("""COMPUTED_VALUE"""),10056.0)</f>
        <v>10056</v>
      </c>
      <c r="G202" s="2" t="str">
        <f>IFERROR(__xludf.DUMMYFUNCTION("""COMPUTED_VALUE"""),"Susu murni moca")</f>
        <v>Susu murni moca</v>
      </c>
      <c r="H202" s="2"/>
      <c r="I202" s="2"/>
      <c r="J202" s="2">
        <f>IFERROR(__xludf.DUMMYFUNCTION("""COMPUTED_VALUE"""),1.0)</f>
        <v>1</v>
      </c>
      <c r="K202" s="6">
        <f>IFERROR(__xludf.DUMMYFUNCTION("""COMPUTED_VALUE"""),19524.0)</f>
        <v>19524</v>
      </c>
      <c r="L202" s="2">
        <f>IFERROR(__xludf.DUMMYFUNCTION("""COMPUTED_VALUE"""),0.0)</f>
        <v>0</v>
      </c>
      <c r="M202" s="2">
        <f>IFERROR(__xludf.DUMMYFUNCTION("""COMPUTED_VALUE"""),19524.0)</f>
        <v>19524</v>
      </c>
      <c r="N202" s="2">
        <f>IFERROR(__xludf.DUMMYFUNCTION("""COMPUTED_VALUE"""),0.0)</f>
        <v>0</v>
      </c>
      <c r="O202" s="2">
        <f>IFERROR(__xludf.DUMMYFUNCTION("""COMPUTED_VALUE"""),19524.0)</f>
        <v>19524</v>
      </c>
      <c r="P202" s="2">
        <f>IFERROR(__xludf.DUMMYFUNCTION("""COMPUTED_VALUE"""),976.0)</f>
        <v>976</v>
      </c>
      <c r="Q202" s="2" t="str">
        <f>IFERROR(__xludf.DUMMYFUNCTION("""COMPUTED_VALUE"""),"Dine In")</f>
        <v>Dine In</v>
      </c>
      <c r="R202" s="2" t="str">
        <f>IFERROR(__xludf.DUMMYFUNCTION("""COMPUTED_VALUE"""),"Kedai")</f>
        <v>Kedai</v>
      </c>
      <c r="S202" s="2" t="str">
        <f>IFERROR(__xludf.DUMMYFUNCTION("""COMPUTED_VALUE"""),"Temu Roti")</f>
        <v>Temu Roti</v>
      </c>
      <c r="T202" s="2" t="str">
        <f>IFERROR(__xludf.DUMMYFUNCTION("""COMPUTED_VALUE"""),"Owner")</f>
        <v>Owner</v>
      </c>
      <c r="U202" s="2"/>
      <c r="V202" s="2"/>
      <c r="W202" s="2"/>
      <c r="X202" s="2" t="str">
        <f>IFERROR(__xludf.DUMMYFUNCTION("""COMPUTED_VALUE"""),"Closed")</f>
        <v>Closed</v>
      </c>
    </row>
    <row r="203">
      <c r="A203" s="3" t="s">
        <v>225</v>
      </c>
      <c r="B203" s="4">
        <f>IFERROR(__xludf.DUMMYFUNCTION("SPLIT(A203,"","",0,0)"),45563.3875)</f>
        <v>45563.3875</v>
      </c>
      <c r="C203" s="5">
        <f>IFERROR(__xludf.DUMMYFUNCTION("""COMPUTED_VALUE"""),2773685.0)</f>
        <v>2773685</v>
      </c>
      <c r="D203" s="2" t="str">
        <f>IFERROR(__xludf.DUMMYFUNCTION("""COMPUTED_VALUE"""),"Sale")</f>
        <v>Sale</v>
      </c>
      <c r="E203" s="2" t="str">
        <f>IFERROR(__xludf.DUMMYFUNCTION("""COMPUTED_VALUE"""),"Minuman")</f>
        <v>Minuman</v>
      </c>
      <c r="F203" s="2">
        <f>IFERROR(__xludf.DUMMYFUNCTION("""COMPUTED_VALUE"""),10107.0)</f>
        <v>10107</v>
      </c>
      <c r="G203" s="2" t="str">
        <f>IFERROR(__xludf.DUMMYFUNCTION("""COMPUTED_VALUE"""),"Korean Mango Fresh Milk")</f>
        <v>Korean Mango Fresh Milk</v>
      </c>
      <c r="H203" s="2"/>
      <c r="I203" s="2"/>
      <c r="J203" s="2">
        <f>IFERROR(__xludf.DUMMYFUNCTION("""COMPUTED_VALUE"""),1.0)</f>
        <v>1</v>
      </c>
      <c r="K203" s="6">
        <f>IFERROR(__xludf.DUMMYFUNCTION("""COMPUTED_VALUE"""),26667.0)</f>
        <v>26667</v>
      </c>
      <c r="L203" s="2">
        <f>IFERROR(__xludf.DUMMYFUNCTION("""COMPUTED_VALUE"""),0.0)</f>
        <v>0</v>
      </c>
      <c r="M203" s="2">
        <f>IFERROR(__xludf.DUMMYFUNCTION("""COMPUTED_VALUE"""),26667.0)</f>
        <v>26667</v>
      </c>
      <c r="N203" s="2">
        <f>IFERROR(__xludf.DUMMYFUNCTION("""COMPUTED_VALUE"""),0.0)</f>
        <v>0</v>
      </c>
      <c r="O203" s="2">
        <f>IFERROR(__xludf.DUMMYFUNCTION("""COMPUTED_VALUE"""),26667.0)</f>
        <v>26667</v>
      </c>
      <c r="P203" s="2">
        <f>IFERROR(__xludf.DUMMYFUNCTION("""COMPUTED_VALUE"""),1333.0)</f>
        <v>1333</v>
      </c>
      <c r="Q203" s="2" t="str">
        <f>IFERROR(__xludf.DUMMYFUNCTION("""COMPUTED_VALUE"""),"Dine In")</f>
        <v>Dine In</v>
      </c>
      <c r="R203" s="2" t="str">
        <f>IFERROR(__xludf.DUMMYFUNCTION("""COMPUTED_VALUE"""),"Kedai")</f>
        <v>Kedai</v>
      </c>
      <c r="S203" s="2" t="str">
        <f>IFERROR(__xludf.DUMMYFUNCTION("""COMPUTED_VALUE"""),"Temu Roti")</f>
        <v>Temu Roti</v>
      </c>
      <c r="T203" s="2" t="str">
        <f>IFERROR(__xludf.DUMMYFUNCTION("""COMPUTED_VALUE"""),"Owner")</f>
        <v>Owner</v>
      </c>
      <c r="U203" s="2"/>
      <c r="V203" s="2"/>
      <c r="W203" s="2"/>
      <c r="X203" s="2" t="str">
        <f>IFERROR(__xludf.DUMMYFUNCTION("""COMPUTED_VALUE"""),"Closed")</f>
        <v>Closed</v>
      </c>
    </row>
    <row r="204">
      <c r="A204" s="3" t="s">
        <v>226</v>
      </c>
      <c r="B204" s="4">
        <f>IFERROR(__xludf.DUMMYFUNCTION("SPLIT(A204,"","",0,0)"),45563.3875)</f>
        <v>45563.3875</v>
      </c>
      <c r="C204" s="5">
        <f>IFERROR(__xludf.DUMMYFUNCTION("""COMPUTED_VALUE"""),2773685.0)</f>
        <v>2773685</v>
      </c>
      <c r="D204" s="2" t="str">
        <f>IFERROR(__xludf.DUMMYFUNCTION("""COMPUTED_VALUE"""),"Sale")</f>
        <v>Sale</v>
      </c>
      <c r="E204" s="2" t="str">
        <f>IFERROR(__xludf.DUMMYFUNCTION("""COMPUTED_VALUE"""),"Minuman")</f>
        <v>Minuman</v>
      </c>
      <c r="F204" s="2">
        <f>IFERROR(__xludf.DUMMYFUNCTION("""COMPUTED_VALUE"""),10121.0)</f>
        <v>10121</v>
      </c>
      <c r="G204" s="2" t="str">
        <f>IFERROR(__xludf.DUMMYFUNCTION("""COMPUTED_VALUE"""),"Lemon Tea Dingin")</f>
        <v>Lemon Tea Dingin</v>
      </c>
      <c r="H204" s="2"/>
      <c r="I204" s="2"/>
      <c r="J204" s="2">
        <f>IFERROR(__xludf.DUMMYFUNCTION("""COMPUTED_VALUE"""),1.0)</f>
        <v>1</v>
      </c>
      <c r="K204" s="6">
        <f>IFERROR(__xludf.DUMMYFUNCTION("""COMPUTED_VALUE"""),19524.0)</f>
        <v>19524</v>
      </c>
      <c r="L204" s="2">
        <f>IFERROR(__xludf.DUMMYFUNCTION("""COMPUTED_VALUE"""),0.0)</f>
        <v>0</v>
      </c>
      <c r="M204" s="2">
        <f>IFERROR(__xludf.DUMMYFUNCTION("""COMPUTED_VALUE"""),19524.0)</f>
        <v>19524</v>
      </c>
      <c r="N204" s="2">
        <f>IFERROR(__xludf.DUMMYFUNCTION("""COMPUTED_VALUE"""),0.0)</f>
        <v>0</v>
      </c>
      <c r="O204" s="2">
        <f>IFERROR(__xludf.DUMMYFUNCTION("""COMPUTED_VALUE"""),19524.0)</f>
        <v>19524</v>
      </c>
      <c r="P204" s="2">
        <f>IFERROR(__xludf.DUMMYFUNCTION("""COMPUTED_VALUE"""),977.0)</f>
        <v>977</v>
      </c>
      <c r="Q204" s="2" t="str">
        <f>IFERROR(__xludf.DUMMYFUNCTION("""COMPUTED_VALUE"""),"Dine In")</f>
        <v>Dine In</v>
      </c>
      <c r="R204" s="2" t="str">
        <f>IFERROR(__xludf.DUMMYFUNCTION("""COMPUTED_VALUE"""),"Kedai")</f>
        <v>Kedai</v>
      </c>
      <c r="S204" s="2" t="str">
        <f>IFERROR(__xludf.DUMMYFUNCTION("""COMPUTED_VALUE"""),"Temu Roti")</f>
        <v>Temu Roti</v>
      </c>
      <c r="T204" s="2" t="str">
        <f>IFERROR(__xludf.DUMMYFUNCTION("""COMPUTED_VALUE"""),"Owner")</f>
        <v>Owner</v>
      </c>
      <c r="U204" s="2"/>
      <c r="V204" s="2"/>
      <c r="W204" s="2"/>
      <c r="X204" s="2" t="str">
        <f>IFERROR(__xludf.DUMMYFUNCTION("""COMPUTED_VALUE"""),"Closed")</f>
        <v>Closed</v>
      </c>
    </row>
    <row r="205">
      <c r="A205" s="3" t="s">
        <v>227</v>
      </c>
      <c r="B205" s="4">
        <f>IFERROR(__xludf.DUMMYFUNCTION("SPLIT(A205,"","",0,0)"),45562.87847222222)</f>
        <v>45562.87847</v>
      </c>
      <c r="C205" s="5">
        <f>IFERROR(__xludf.DUMMYFUNCTION("""COMPUTED_VALUE"""),2773320.0)</f>
        <v>2773320</v>
      </c>
      <c r="D205" s="2" t="str">
        <f>IFERROR(__xludf.DUMMYFUNCTION("""COMPUTED_VALUE"""),"Sale")</f>
        <v>Sale</v>
      </c>
      <c r="E205" s="2" t="str">
        <f>IFERROR(__xludf.DUMMYFUNCTION("""COMPUTED_VALUE"""),"Minuman")</f>
        <v>Minuman</v>
      </c>
      <c r="F205" s="2">
        <f>IFERROR(__xludf.DUMMYFUNCTION("""COMPUTED_VALUE"""),10122.0)</f>
        <v>10122</v>
      </c>
      <c r="G205" s="2" t="str">
        <f>IFERROR(__xludf.DUMMYFUNCTION("""COMPUTED_VALUE"""),"Rempah Madu Panas")</f>
        <v>Rempah Madu Panas</v>
      </c>
      <c r="H205" s="2"/>
      <c r="I205" s="2"/>
      <c r="J205" s="2">
        <f>IFERROR(__xludf.DUMMYFUNCTION("""COMPUTED_VALUE"""),1.0)</f>
        <v>1</v>
      </c>
      <c r="K205" s="6">
        <f>IFERROR(__xludf.DUMMYFUNCTION("""COMPUTED_VALUE"""),21905.0)</f>
        <v>21905</v>
      </c>
      <c r="L205" s="2">
        <f>IFERROR(__xludf.DUMMYFUNCTION("""COMPUTED_VALUE"""),0.0)</f>
        <v>0</v>
      </c>
      <c r="M205" s="2">
        <f>IFERROR(__xludf.DUMMYFUNCTION("""COMPUTED_VALUE"""),21905.0)</f>
        <v>21905</v>
      </c>
      <c r="N205" s="2">
        <f>IFERROR(__xludf.DUMMYFUNCTION("""COMPUTED_VALUE"""),0.0)</f>
        <v>0</v>
      </c>
      <c r="O205" s="2">
        <f>IFERROR(__xludf.DUMMYFUNCTION("""COMPUTED_VALUE"""),21905.0)</f>
        <v>21905</v>
      </c>
      <c r="P205" s="2">
        <f>IFERROR(__xludf.DUMMYFUNCTION("""COMPUTED_VALUE"""),1095.0)</f>
        <v>1095</v>
      </c>
      <c r="Q205" s="2" t="str">
        <f>IFERROR(__xludf.DUMMYFUNCTION("""COMPUTED_VALUE"""),"Dine In")</f>
        <v>Dine In</v>
      </c>
      <c r="R205" s="2" t="str">
        <f>IFERROR(__xludf.DUMMYFUNCTION("""COMPUTED_VALUE"""),"Kedai")</f>
        <v>Kedai</v>
      </c>
      <c r="S205" s="2" t="str">
        <f>IFERROR(__xludf.DUMMYFUNCTION("""COMPUTED_VALUE"""),"Temu Roti")</f>
        <v>Temu Roti</v>
      </c>
      <c r="T205" s="2" t="str">
        <f>IFERROR(__xludf.DUMMYFUNCTION("""COMPUTED_VALUE"""),"Owner")</f>
        <v>Owner</v>
      </c>
      <c r="U205" s="2"/>
      <c r="V205" s="2"/>
      <c r="W205" s="2"/>
      <c r="X205" s="2" t="str">
        <f>IFERROR(__xludf.DUMMYFUNCTION("""COMPUTED_VALUE"""),"Closed")</f>
        <v>Closed</v>
      </c>
    </row>
    <row r="206">
      <c r="A206" s="3" t="s">
        <v>228</v>
      </c>
      <c r="B206" s="4">
        <f>IFERROR(__xludf.DUMMYFUNCTION("SPLIT(A206,"","",0,0)"),45562.87847222222)</f>
        <v>45562.87847</v>
      </c>
      <c r="C206" s="5">
        <f>IFERROR(__xludf.DUMMYFUNCTION("""COMPUTED_VALUE"""),2773320.0)</f>
        <v>2773320</v>
      </c>
      <c r="D206" s="2" t="str">
        <f>IFERROR(__xludf.DUMMYFUNCTION("""COMPUTED_VALUE"""),"Sale")</f>
        <v>Sale</v>
      </c>
      <c r="E206" s="2" t="str">
        <f>IFERROR(__xludf.DUMMYFUNCTION("""COMPUTED_VALUE"""),"Minuman")</f>
        <v>Minuman</v>
      </c>
      <c r="F206" s="2">
        <f>IFERROR(__xludf.DUMMYFUNCTION("""COMPUTED_VALUE"""),10058.0)</f>
        <v>10058</v>
      </c>
      <c r="G206" s="2" t="str">
        <f>IFERROR(__xludf.DUMMYFUNCTION("""COMPUTED_VALUE"""),"Susu murni ori")</f>
        <v>Susu murni ori</v>
      </c>
      <c r="H206" s="2"/>
      <c r="I206" s="2"/>
      <c r="J206" s="2">
        <f>IFERROR(__xludf.DUMMYFUNCTION("""COMPUTED_VALUE"""),1.0)</f>
        <v>1</v>
      </c>
      <c r="K206" s="6">
        <f>IFERROR(__xludf.DUMMYFUNCTION("""COMPUTED_VALUE"""),19524.0)</f>
        <v>19524</v>
      </c>
      <c r="L206" s="2">
        <f>IFERROR(__xludf.DUMMYFUNCTION("""COMPUTED_VALUE"""),0.0)</f>
        <v>0</v>
      </c>
      <c r="M206" s="2">
        <f>IFERROR(__xludf.DUMMYFUNCTION("""COMPUTED_VALUE"""),19524.0)</f>
        <v>19524</v>
      </c>
      <c r="N206" s="2">
        <f>IFERROR(__xludf.DUMMYFUNCTION("""COMPUTED_VALUE"""),0.0)</f>
        <v>0</v>
      </c>
      <c r="O206" s="2">
        <f>IFERROR(__xludf.DUMMYFUNCTION("""COMPUTED_VALUE"""),19524.0)</f>
        <v>19524</v>
      </c>
      <c r="P206" s="2">
        <f>IFERROR(__xludf.DUMMYFUNCTION("""COMPUTED_VALUE"""),976.0)</f>
        <v>976</v>
      </c>
      <c r="Q206" s="2" t="str">
        <f>IFERROR(__xludf.DUMMYFUNCTION("""COMPUTED_VALUE"""),"Dine In")</f>
        <v>Dine In</v>
      </c>
      <c r="R206" s="2" t="str">
        <f>IFERROR(__xludf.DUMMYFUNCTION("""COMPUTED_VALUE"""),"Kedai")</f>
        <v>Kedai</v>
      </c>
      <c r="S206" s="2" t="str">
        <f>IFERROR(__xludf.DUMMYFUNCTION("""COMPUTED_VALUE"""),"Temu Roti")</f>
        <v>Temu Roti</v>
      </c>
      <c r="T206" s="2" t="str">
        <f>IFERROR(__xludf.DUMMYFUNCTION("""COMPUTED_VALUE"""),"Owner")</f>
        <v>Owner</v>
      </c>
      <c r="U206" s="2"/>
      <c r="V206" s="2"/>
      <c r="W206" s="2"/>
      <c r="X206" s="2" t="str">
        <f>IFERROR(__xludf.DUMMYFUNCTION("""COMPUTED_VALUE"""),"Closed")</f>
        <v>Closed</v>
      </c>
    </row>
    <row r="207">
      <c r="A207" s="3" t="s">
        <v>229</v>
      </c>
      <c r="B207" s="4">
        <f>IFERROR(__xludf.DUMMYFUNCTION("SPLIT(A207,"","",0,0)"),45562.87847222222)</f>
        <v>45562.87847</v>
      </c>
      <c r="C207" s="5">
        <f>IFERROR(__xludf.DUMMYFUNCTION("""COMPUTED_VALUE"""),2773320.0)</f>
        <v>2773320</v>
      </c>
      <c r="D207" s="2" t="str">
        <f>IFERROR(__xludf.DUMMYFUNCTION("""COMPUTED_VALUE"""),"Sale")</f>
        <v>Sale</v>
      </c>
      <c r="E207" s="2" t="str">
        <f>IFERROR(__xludf.DUMMYFUNCTION("""COMPUTED_VALUE"""),"Roti")</f>
        <v>Roti</v>
      </c>
      <c r="F207" s="2">
        <f>IFERROR(__xludf.DUMMYFUNCTION("""COMPUTED_VALUE"""),10033.0)</f>
        <v>10033</v>
      </c>
      <c r="G207" s="2" t="str">
        <f>IFERROR(__xludf.DUMMYFUNCTION("""COMPUTED_VALUE"""),"Roti panggang sarikaya")</f>
        <v>Roti panggang sarikaya</v>
      </c>
      <c r="H207" s="2"/>
      <c r="I207" s="2"/>
      <c r="J207" s="2">
        <f>IFERROR(__xludf.DUMMYFUNCTION("""COMPUTED_VALUE"""),1.0)</f>
        <v>1</v>
      </c>
      <c r="K207" s="6">
        <f>IFERROR(__xludf.DUMMYFUNCTION("""COMPUTED_VALUE"""),21905.0)</f>
        <v>21905</v>
      </c>
      <c r="L207" s="2">
        <f>IFERROR(__xludf.DUMMYFUNCTION("""COMPUTED_VALUE"""),0.0)</f>
        <v>0</v>
      </c>
      <c r="M207" s="2">
        <f>IFERROR(__xludf.DUMMYFUNCTION("""COMPUTED_VALUE"""),21905.0)</f>
        <v>21905</v>
      </c>
      <c r="N207" s="2">
        <f>IFERROR(__xludf.DUMMYFUNCTION("""COMPUTED_VALUE"""),0.0)</f>
        <v>0</v>
      </c>
      <c r="O207" s="2">
        <f>IFERROR(__xludf.DUMMYFUNCTION("""COMPUTED_VALUE"""),21905.0)</f>
        <v>21905</v>
      </c>
      <c r="P207" s="2">
        <f>IFERROR(__xludf.DUMMYFUNCTION("""COMPUTED_VALUE"""),1096.0)</f>
        <v>1096</v>
      </c>
      <c r="Q207" s="2" t="str">
        <f>IFERROR(__xludf.DUMMYFUNCTION("""COMPUTED_VALUE"""),"Dine In")</f>
        <v>Dine In</v>
      </c>
      <c r="R207" s="2" t="str">
        <f>IFERROR(__xludf.DUMMYFUNCTION("""COMPUTED_VALUE"""),"Kedai")</f>
        <v>Kedai</v>
      </c>
      <c r="S207" s="2" t="str">
        <f>IFERROR(__xludf.DUMMYFUNCTION("""COMPUTED_VALUE"""),"Temu Roti")</f>
        <v>Temu Roti</v>
      </c>
      <c r="T207" s="2" t="str">
        <f>IFERROR(__xludf.DUMMYFUNCTION("""COMPUTED_VALUE"""),"Owner")</f>
        <v>Owner</v>
      </c>
      <c r="U207" s="2"/>
      <c r="V207" s="2"/>
      <c r="W207" s="2"/>
      <c r="X207" s="2" t="str">
        <f>IFERROR(__xludf.DUMMYFUNCTION("""COMPUTED_VALUE"""),"Closed")</f>
        <v>Closed</v>
      </c>
    </row>
    <row r="208">
      <c r="A208" s="3" t="s">
        <v>230</v>
      </c>
      <c r="B208" s="4">
        <f>IFERROR(__xludf.DUMMYFUNCTION("SPLIT(A208,"","",0,0)"),45562.87847222222)</f>
        <v>45562.87847</v>
      </c>
      <c r="C208" s="5">
        <f>IFERROR(__xludf.DUMMYFUNCTION("""COMPUTED_VALUE"""),2773320.0)</f>
        <v>2773320</v>
      </c>
      <c r="D208" s="2" t="str">
        <f>IFERROR(__xludf.DUMMYFUNCTION("""COMPUTED_VALUE"""),"Sale")</f>
        <v>Sale</v>
      </c>
      <c r="E208" s="2" t="str">
        <f>IFERROR(__xludf.DUMMYFUNCTION("""COMPUTED_VALUE"""),"Kudapan")</f>
        <v>Kudapan</v>
      </c>
      <c r="F208" s="2">
        <f>IFERROR(__xludf.DUMMYFUNCTION("""COMPUTED_VALUE"""),10051.0)</f>
        <v>10051</v>
      </c>
      <c r="G208" s="2" t="str">
        <f>IFERROR(__xludf.DUMMYFUNCTION("""COMPUTED_VALUE"""),"Tahu baso")</f>
        <v>Tahu baso</v>
      </c>
      <c r="H208" s="2"/>
      <c r="I208" s="2"/>
      <c r="J208" s="2">
        <f>IFERROR(__xludf.DUMMYFUNCTION("""COMPUTED_VALUE"""),1.0)</f>
        <v>1</v>
      </c>
      <c r="K208" s="6">
        <f>IFERROR(__xludf.DUMMYFUNCTION("""COMPUTED_VALUE"""),25238.0)</f>
        <v>25238</v>
      </c>
      <c r="L208" s="2">
        <f>IFERROR(__xludf.DUMMYFUNCTION("""COMPUTED_VALUE"""),0.0)</f>
        <v>0</v>
      </c>
      <c r="M208" s="2">
        <f>IFERROR(__xludf.DUMMYFUNCTION("""COMPUTED_VALUE"""),25238.0)</f>
        <v>25238</v>
      </c>
      <c r="N208" s="2">
        <f>IFERROR(__xludf.DUMMYFUNCTION("""COMPUTED_VALUE"""),0.0)</f>
        <v>0</v>
      </c>
      <c r="O208" s="2">
        <f>IFERROR(__xludf.DUMMYFUNCTION("""COMPUTED_VALUE"""),25238.0)</f>
        <v>25238</v>
      </c>
      <c r="P208" s="2">
        <f>IFERROR(__xludf.DUMMYFUNCTION("""COMPUTED_VALUE"""),1262.0)</f>
        <v>1262</v>
      </c>
      <c r="Q208" s="2" t="str">
        <f>IFERROR(__xludf.DUMMYFUNCTION("""COMPUTED_VALUE"""),"Dine In")</f>
        <v>Dine In</v>
      </c>
      <c r="R208" s="2" t="str">
        <f>IFERROR(__xludf.DUMMYFUNCTION("""COMPUTED_VALUE"""),"Kedai")</f>
        <v>Kedai</v>
      </c>
      <c r="S208" s="2" t="str">
        <f>IFERROR(__xludf.DUMMYFUNCTION("""COMPUTED_VALUE"""),"Temu Roti")</f>
        <v>Temu Roti</v>
      </c>
      <c r="T208" s="2" t="str">
        <f>IFERROR(__xludf.DUMMYFUNCTION("""COMPUTED_VALUE"""),"Owner")</f>
        <v>Owner</v>
      </c>
      <c r="U208" s="2"/>
      <c r="V208" s="2"/>
      <c r="W208" s="2"/>
      <c r="X208" s="2" t="str">
        <f>IFERROR(__xludf.DUMMYFUNCTION("""COMPUTED_VALUE"""),"Closed")</f>
        <v>Closed</v>
      </c>
    </row>
    <row r="209">
      <c r="A209" s="3" t="s">
        <v>231</v>
      </c>
      <c r="B209" s="4">
        <f>IFERROR(__xludf.DUMMYFUNCTION("SPLIT(A209,"","",0,0)"),45562.87847222222)</f>
        <v>45562.87847</v>
      </c>
      <c r="C209" s="5">
        <f>IFERROR(__xludf.DUMMYFUNCTION("""COMPUTED_VALUE"""),2773320.0)</f>
        <v>2773320</v>
      </c>
      <c r="D209" s="2" t="str">
        <f>IFERROR(__xludf.DUMMYFUNCTION("""COMPUTED_VALUE"""),"Sale")</f>
        <v>Sale</v>
      </c>
      <c r="E209" s="2" t="str">
        <f>IFERROR(__xludf.DUMMYFUNCTION("""COMPUTED_VALUE"""),"Roti")</f>
        <v>Roti</v>
      </c>
      <c r="F209" s="2">
        <f>IFERROR(__xludf.DUMMYFUNCTION("""COMPUTED_VALUE"""),10002.0)</f>
        <v>10002</v>
      </c>
      <c r="G209" s="2" t="str">
        <f>IFERROR(__xludf.DUMMYFUNCTION("""COMPUTED_VALUE"""),"Roti Cranberry")</f>
        <v>Roti Cranberry</v>
      </c>
      <c r="H209" s="2"/>
      <c r="I209" s="2"/>
      <c r="J209" s="2">
        <f>IFERROR(__xludf.DUMMYFUNCTION("""COMPUTED_VALUE"""),1.0)</f>
        <v>1</v>
      </c>
      <c r="K209" s="6">
        <f>IFERROR(__xludf.DUMMYFUNCTION("""COMPUTED_VALUE"""),18571.0)</f>
        <v>18571</v>
      </c>
      <c r="L209" s="2">
        <f>IFERROR(__xludf.DUMMYFUNCTION("""COMPUTED_VALUE"""),0.0)</f>
        <v>0</v>
      </c>
      <c r="M209" s="2">
        <f>IFERROR(__xludf.DUMMYFUNCTION("""COMPUTED_VALUE"""),18571.0)</f>
        <v>18571</v>
      </c>
      <c r="N209" s="2">
        <f>IFERROR(__xludf.DUMMYFUNCTION("""COMPUTED_VALUE"""),0.0)</f>
        <v>0</v>
      </c>
      <c r="O209" s="2">
        <f>IFERROR(__xludf.DUMMYFUNCTION("""COMPUTED_VALUE"""),18571.0)</f>
        <v>18571</v>
      </c>
      <c r="P209" s="2">
        <f>IFERROR(__xludf.DUMMYFUNCTION("""COMPUTED_VALUE"""),928.0)</f>
        <v>928</v>
      </c>
      <c r="Q209" s="2" t="str">
        <f>IFERROR(__xludf.DUMMYFUNCTION("""COMPUTED_VALUE"""),"Dine In")</f>
        <v>Dine In</v>
      </c>
      <c r="R209" s="2" t="str">
        <f>IFERROR(__xludf.DUMMYFUNCTION("""COMPUTED_VALUE"""),"Kedai")</f>
        <v>Kedai</v>
      </c>
      <c r="S209" s="2" t="str">
        <f>IFERROR(__xludf.DUMMYFUNCTION("""COMPUTED_VALUE"""),"Temu Roti")</f>
        <v>Temu Roti</v>
      </c>
      <c r="T209" s="2" t="str">
        <f>IFERROR(__xludf.DUMMYFUNCTION("""COMPUTED_VALUE"""),"Owner")</f>
        <v>Owner</v>
      </c>
      <c r="U209" s="2"/>
      <c r="V209" s="2"/>
      <c r="W209" s="2"/>
      <c r="X209" s="2" t="str">
        <f>IFERROR(__xludf.DUMMYFUNCTION("""COMPUTED_VALUE"""),"Closed")</f>
        <v>Closed</v>
      </c>
    </row>
    <row r="210">
      <c r="A210" s="3" t="s">
        <v>232</v>
      </c>
      <c r="B210" s="4">
        <f>IFERROR(__xludf.DUMMYFUNCTION("SPLIT(A210,"","",0,0)"),45562.87847222222)</f>
        <v>45562.87847</v>
      </c>
      <c r="C210" s="5">
        <f>IFERROR(__xludf.DUMMYFUNCTION("""COMPUTED_VALUE"""),2773320.0)</f>
        <v>2773320</v>
      </c>
      <c r="D210" s="2" t="str">
        <f>IFERROR(__xludf.DUMMYFUNCTION("""COMPUTED_VALUE"""),"Sale")</f>
        <v>Sale</v>
      </c>
      <c r="E210" s="2" t="str">
        <f>IFERROR(__xludf.DUMMYFUNCTION("""COMPUTED_VALUE"""),"Minuman")</f>
        <v>Minuman</v>
      </c>
      <c r="F210" s="2">
        <f>IFERROR(__xludf.DUMMYFUNCTION("""COMPUTED_VALUE"""),10119.0)</f>
        <v>10119</v>
      </c>
      <c r="G210" s="2" t="str">
        <f>IFERROR(__xludf.DUMMYFUNCTION("""COMPUTED_VALUE"""),"Teh Tawar Dingin")</f>
        <v>Teh Tawar Dingin</v>
      </c>
      <c r="H210" s="2"/>
      <c r="I210" s="2"/>
      <c r="J210" s="2">
        <f>IFERROR(__xludf.DUMMYFUNCTION("""COMPUTED_VALUE"""),1.0)</f>
        <v>1</v>
      </c>
      <c r="K210" s="6">
        <f>IFERROR(__xludf.DUMMYFUNCTION("""COMPUTED_VALUE"""),7143.0)</f>
        <v>7143</v>
      </c>
      <c r="L210" s="2">
        <f>IFERROR(__xludf.DUMMYFUNCTION("""COMPUTED_VALUE"""),0.0)</f>
        <v>0</v>
      </c>
      <c r="M210" s="2">
        <f>IFERROR(__xludf.DUMMYFUNCTION("""COMPUTED_VALUE"""),7143.0)</f>
        <v>7143</v>
      </c>
      <c r="N210" s="2">
        <f>IFERROR(__xludf.DUMMYFUNCTION("""COMPUTED_VALUE"""),0.0)</f>
        <v>0</v>
      </c>
      <c r="O210" s="2">
        <f>IFERROR(__xludf.DUMMYFUNCTION("""COMPUTED_VALUE"""),7143.0)</f>
        <v>7143</v>
      </c>
      <c r="P210" s="2">
        <f>IFERROR(__xludf.DUMMYFUNCTION("""COMPUTED_VALUE"""),357.0)</f>
        <v>357</v>
      </c>
      <c r="Q210" s="2" t="str">
        <f>IFERROR(__xludf.DUMMYFUNCTION("""COMPUTED_VALUE"""),"Dine In")</f>
        <v>Dine In</v>
      </c>
      <c r="R210" s="2" t="str">
        <f>IFERROR(__xludf.DUMMYFUNCTION("""COMPUTED_VALUE"""),"Kedai")</f>
        <v>Kedai</v>
      </c>
      <c r="S210" s="2" t="str">
        <f>IFERROR(__xludf.DUMMYFUNCTION("""COMPUTED_VALUE"""),"Temu Roti")</f>
        <v>Temu Roti</v>
      </c>
      <c r="T210" s="2" t="str">
        <f>IFERROR(__xludf.DUMMYFUNCTION("""COMPUTED_VALUE"""),"Owner")</f>
        <v>Owner</v>
      </c>
      <c r="U210" s="2"/>
      <c r="V210" s="2"/>
      <c r="W210" s="2"/>
      <c r="X210" s="2" t="str">
        <f>IFERROR(__xludf.DUMMYFUNCTION("""COMPUTED_VALUE"""),"Closed")</f>
        <v>Closed</v>
      </c>
    </row>
    <row r="211">
      <c r="A211" s="3" t="s">
        <v>233</v>
      </c>
      <c r="B211" s="4">
        <f>IFERROR(__xludf.DUMMYFUNCTION("SPLIT(A211,"","",0,0)"),45562.87847222222)</f>
        <v>45562.87847</v>
      </c>
      <c r="C211" s="5">
        <f>IFERROR(__xludf.DUMMYFUNCTION("""COMPUTED_VALUE"""),2773320.0)</f>
        <v>2773320</v>
      </c>
      <c r="D211" s="2" t="str">
        <f>IFERROR(__xludf.DUMMYFUNCTION("""COMPUTED_VALUE"""),"Sale")</f>
        <v>Sale</v>
      </c>
      <c r="E211" s="2" t="str">
        <f>IFERROR(__xludf.DUMMYFUNCTION("""COMPUTED_VALUE"""),"Kudapan")</f>
        <v>Kudapan</v>
      </c>
      <c r="F211" s="2">
        <f>IFERROR(__xludf.DUMMYFUNCTION("""COMPUTED_VALUE"""),10014.0)</f>
        <v>10014</v>
      </c>
      <c r="G211" s="2" t="str">
        <f>IFERROR(__xludf.DUMMYFUNCTION("""COMPUTED_VALUE"""),"Tempe Mendoan")</f>
        <v>Tempe Mendoan</v>
      </c>
      <c r="H211" s="2"/>
      <c r="I211" s="2"/>
      <c r="J211" s="2">
        <f>IFERROR(__xludf.DUMMYFUNCTION("""COMPUTED_VALUE"""),1.0)</f>
        <v>1</v>
      </c>
      <c r="K211" s="6">
        <f>IFERROR(__xludf.DUMMYFUNCTION("""COMPUTED_VALUE"""),25238.0)</f>
        <v>25238</v>
      </c>
      <c r="L211" s="2">
        <f>IFERROR(__xludf.DUMMYFUNCTION("""COMPUTED_VALUE"""),0.0)</f>
        <v>0</v>
      </c>
      <c r="M211" s="2">
        <f>IFERROR(__xludf.DUMMYFUNCTION("""COMPUTED_VALUE"""),25238.0)</f>
        <v>25238</v>
      </c>
      <c r="N211" s="2">
        <f>IFERROR(__xludf.DUMMYFUNCTION("""COMPUTED_VALUE"""),0.0)</f>
        <v>0</v>
      </c>
      <c r="O211" s="2">
        <f>IFERROR(__xludf.DUMMYFUNCTION("""COMPUTED_VALUE"""),25238.0)</f>
        <v>25238</v>
      </c>
      <c r="P211" s="2">
        <f>IFERROR(__xludf.DUMMYFUNCTION("""COMPUTED_VALUE"""),1262.0)</f>
        <v>1262</v>
      </c>
      <c r="Q211" s="2" t="str">
        <f>IFERROR(__xludf.DUMMYFUNCTION("""COMPUTED_VALUE"""),"Dine In")</f>
        <v>Dine In</v>
      </c>
      <c r="R211" s="2" t="str">
        <f>IFERROR(__xludf.DUMMYFUNCTION("""COMPUTED_VALUE"""),"Kedai")</f>
        <v>Kedai</v>
      </c>
      <c r="S211" s="2" t="str">
        <f>IFERROR(__xludf.DUMMYFUNCTION("""COMPUTED_VALUE"""),"Temu Roti")</f>
        <v>Temu Roti</v>
      </c>
      <c r="T211" s="2" t="str">
        <f>IFERROR(__xludf.DUMMYFUNCTION("""COMPUTED_VALUE"""),"Owner")</f>
        <v>Owner</v>
      </c>
      <c r="U211" s="2"/>
      <c r="V211" s="2"/>
      <c r="W211" s="2"/>
      <c r="X211" s="2" t="str">
        <f>IFERROR(__xludf.DUMMYFUNCTION("""COMPUTED_VALUE"""),"Closed")</f>
        <v>Closed</v>
      </c>
    </row>
    <row r="212">
      <c r="A212" s="3" t="s">
        <v>232</v>
      </c>
      <c r="B212" s="4">
        <f>IFERROR(__xludf.DUMMYFUNCTION("SPLIT(A212,"","",0,0)"),45562.87847222222)</f>
        <v>45562.87847</v>
      </c>
      <c r="C212" s="5">
        <f>IFERROR(__xludf.DUMMYFUNCTION("""COMPUTED_VALUE"""),2773320.0)</f>
        <v>2773320</v>
      </c>
      <c r="D212" s="2" t="str">
        <f>IFERROR(__xludf.DUMMYFUNCTION("""COMPUTED_VALUE"""),"Sale")</f>
        <v>Sale</v>
      </c>
      <c r="E212" s="2" t="str">
        <f>IFERROR(__xludf.DUMMYFUNCTION("""COMPUTED_VALUE"""),"Minuman")</f>
        <v>Minuman</v>
      </c>
      <c r="F212" s="2">
        <f>IFERROR(__xludf.DUMMYFUNCTION("""COMPUTED_VALUE"""),10119.0)</f>
        <v>10119</v>
      </c>
      <c r="G212" s="2" t="str">
        <f>IFERROR(__xludf.DUMMYFUNCTION("""COMPUTED_VALUE"""),"Teh Tawar Dingin")</f>
        <v>Teh Tawar Dingin</v>
      </c>
      <c r="H212" s="2"/>
      <c r="I212" s="2"/>
      <c r="J212" s="2">
        <f>IFERROR(__xludf.DUMMYFUNCTION("""COMPUTED_VALUE"""),1.0)</f>
        <v>1</v>
      </c>
      <c r="K212" s="6">
        <f>IFERROR(__xludf.DUMMYFUNCTION("""COMPUTED_VALUE"""),7143.0)</f>
        <v>7143</v>
      </c>
      <c r="L212" s="2">
        <f>IFERROR(__xludf.DUMMYFUNCTION("""COMPUTED_VALUE"""),0.0)</f>
        <v>0</v>
      </c>
      <c r="M212" s="2">
        <f>IFERROR(__xludf.DUMMYFUNCTION("""COMPUTED_VALUE"""),7143.0)</f>
        <v>7143</v>
      </c>
      <c r="N212" s="2">
        <f>IFERROR(__xludf.DUMMYFUNCTION("""COMPUTED_VALUE"""),0.0)</f>
        <v>0</v>
      </c>
      <c r="O212" s="2">
        <f>IFERROR(__xludf.DUMMYFUNCTION("""COMPUTED_VALUE"""),7143.0)</f>
        <v>7143</v>
      </c>
      <c r="P212" s="2">
        <f>IFERROR(__xludf.DUMMYFUNCTION("""COMPUTED_VALUE"""),357.0)</f>
        <v>357</v>
      </c>
      <c r="Q212" s="2" t="str">
        <f>IFERROR(__xludf.DUMMYFUNCTION("""COMPUTED_VALUE"""),"Dine In")</f>
        <v>Dine In</v>
      </c>
      <c r="R212" s="2" t="str">
        <f>IFERROR(__xludf.DUMMYFUNCTION("""COMPUTED_VALUE"""),"Kedai")</f>
        <v>Kedai</v>
      </c>
      <c r="S212" s="2" t="str">
        <f>IFERROR(__xludf.DUMMYFUNCTION("""COMPUTED_VALUE"""),"Temu Roti")</f>
        <v>Temu Roti</v>
      </c>
      <c r="T212" s="2" t="str">
        <f>IFERROR(__xludf.DUMMYFUNCTION("""COMPUTED_VALUE"""),"Owner")</f>
        <v>Owner</v>
      </c>
      <c r="U212" s="2"/>
      <c r="V212" s="2"/>
      <c r="W212" s="2"/>
      <c r="X212" s="2" t="str">
        <f>IFERROR(__xludf.DUMMYFUNCTION("""COMPUTED_VALUE"""),"Closed")</f>
        <v>Closed</v>
      </c>
    </row>
    <row r="213">
      <c r="A213" s="3" t="s">
        <v>234</v>
      </c>
      <c r="B213" s="4">
        <f>IFERROR(__xludf.DUMMYFUNCTION("SPLIT(A213,"","",0,0)"),45562.87777777778)</f>
        <v>45562.87778</v>
      </c>
      <c r="C213" s="5">
        <f>IFERROR(__xludf.DUMMYFUNCTION("""COMPUTED_VALUE"""),2772954.0)</f>
        <v>2772954</v>
      </c>
      <c r="D213" s="2" t="str">
        <f>IFERROR(__xludf.DUMMYFUNCTION("""COMPUTED_VALUE"""),"Sale")</f>
        <v>Sale</v>
      </c>
      <c r="E213" s="2" t="str">
        <f>IFERROR(__xludf.DUMMYFUNCTION("""COMPUTED_VALUE"""),"Minuman")</f>
        <v>Minuman</v>
      </c>
      <c r="F213" s="2">
        <f>IFERROR(__xludf.DUMMYFUNCTION("""COMPUTED_VALUE"""),10117.0)</f>
        <v>10117</v>
      </c>
      <c r="G213" s="2" t="str">
        <f>IFERROR(__xludf.DUMMYFUNCTION("""COMPUTED_VALUE"""),"Teh Manis Dingin")</f>
        <v>Teh Manis Dingin</v>
      </c>
      <c r="H213" s="2"/>
      <c r="I213" s="2"/>
      <c r="J213" s="2">
        <f>IFERROR(__xludf.DUMMYFUNCTION("""COMPUTED_VALUE"""),1.0)</f>
        <v>1</v>
      </c>
      <c r="K213" s="6">
        <f>IFERROR(__xludf.DUMMYFUNCTION("""COMPUTED_VALUE"""),14286.0)</f>
        <v>14286</v>
      </c>
      <c r="L213" s="2">
        <f>IFERROR(__xludf.DUMMYFUNCTION("""COMPUTED_VALUE"""),0.0)</f>
        <v>0</v>
      </c>
      <c r="M213" s="2">
        <f>IFERROR(__xludf.DUMMYFUNCTION("""COMPUTED_VALUE"""),14286.0)</f>
        <v>14286</v>
      </c>
      <c r="N213" s="2">
        <f>IFERROR(__xludf.DUMMYFUNCTION("""COMPUTED_VALUE"""),0.0)</f>
        <v>0</v>
      </c>
      <c r="O213" s="2">
        <f>IFERROR(__xludf.DUMMYFUNCTION("""COMPUTED_VALUE"""),14286.0)</f>
        <v>14286</v>
      </c>
      <c r="P213" s="2">
        <f>IFERROR(__xludf.DUMMYFUNCTION("""COMPUTED_VALUE"""),714.0)</f>
        <v>714</v>
      </c>
      <c r="Q213" s="2" t="str">
        <f>IFERROR(__xludf.DUMMYFUNCTION("""COMPUTED_VALUE"""),"Dine In")</f>
        <v>Dine In</v>
      </c>
      <c r="R213" s="2" t="str">
        <f>IFERROR(__xludf.DUMMYFUNCTION("""COMPUTED_VALUE"""),"Kedai")</f>
        <v>Kedai</v>
      </c>
      <c r="S213" s="2" t="str">
        <f>IFERROR(__xludf.DUMMYFUNCTION("""COMPUTED_VALUE"""),"Temu Roti")</f>
        <v>Temu Roti</v>
      </c>
      <c r="T213" s="2" t="str">
        <f>IFERROR(__xludf.DUMMYFUNCTION("""COMPUTED_VALUE"""),"Owner")</f>
        <v>Owner</v>
      </c>
      <c r="U213" s="2"/>
      <c r="V213" s="2"/>
      <c r="W213" s="2"/>
      <c r="X213" s="2" t="str">
        <f>IFERROR(__xludf.DUMMYFUNCTION("""COMPUTED_VALUE"""),"Closed")</f>
        <v>Closed</v>
      </c>
    </row>
    <row r="214">
      <c r="A214" s="3" t="s">
        <v>235</v>
      </c>
      <c r="B214" s="4">
        <f>IFERROR(__xludf.DUMMYFUNCTION("SPLIT(A214,"","",0,0)"),45562.87777777778)</f>
        <v>45562.87778</v>
      </c>
      <c r="C214" s="5">
        <f>IFERROR(__xludf.DUMMYFUNCTION("""COMPUTED_VALUE"""),2772954.0)</f>
        <v>2772954</v>
      </c>
      <c r="D214" s="2" t="str">
        <f>IFERROR(__xludf.DUMMYFUNCTION("""COMPUTED_VALUE"""),"Sale")</f>
        <v>Sale</v>
      </c>
      <c r="E214" s="2" t="str">
        <f>IFERROR(__xludf.DUMMYFUNCTION("""COMPUTED_VALUE"""),"Minuman")</f>
        <v>Minuman</v>
      </c>
      <c r="F214" s="2">
        <f>IFERROR(__xludf.DUMMYFUNCTION("""COMPUTED_VALUE"""),10116.0)</f>
        <v>10116</v>
      </c>
      <c r="G214" s="2" t="str">
        <f>IFERROR(__xludf.DUMMYFUNCTION("""COMPUTED_VALUE"""),"Teh Manis Panas")</f>
        <v>Teh Manis Panas</v>
      </c>
      <c r="H214" s="2"/>
      <c r="I214" s="2"/>
      <c r="J214" s="2">
        <f>IFERROR(__xludf.DUMMYFUNCTION("""COMPUTED_VALUE"""),1.0)</f>
        <v>1</v>
      </c>
      <c r="K214" s="6">
        <f>IFERROR(__xludf.DUMMYFUNCTION("""COMPUTED_VALUE"""),14286.0)</f>
        <v>14286</v>
      </c>
      <c r="L214" s="2">
        <f>IFERROR(__xludf.DUMMYFUNCTION("""COMPUTED_VALUE"""),0.0)</f>
        <v>0</v>
      </c>
      <c r="M214" s="2">
        <f>IFERROR(__xludf.DUMMYFUNCTION("""COMPUTED_VALUE"""),14286.0)</f>
        <v>14286</v>
      </c>
      <c r="N214" s="2">
        <f>IFERROR(__xludf.DUMMYFUNCTION("""COMPUTED_VALUE"""),0.0)</f>
        <v>0</v>
      </c>
      <c r="O214" s="2">
        <f>IFERROR(__xludf.DUMMYFUNCTION("""COMPUTED_VALUE"""),14286.0)</f>
        <v>14286</v>
      </c>
      <c r="P214" s="2">
        <f>IFERROR(__xludf.DUMMYFUNCTION("""COMPUTED_VALUE"""),715.0)</f>
        <v>715</v>
      </c>
      <c r="Q214" s="2" t="str">
        <f>IFERROR(__xludf.DUMMYFUNCTION("""COMPUTED_VALUE"""),"Dine In")</f>
        <v>Dine In</v>
      </c>
      <c r="R214" s="2" t="str">
        <f>IFERROR(__xludf.DUMMYFUNCTION("""COMPUTED_VALUE"""),"Kedai")</f>
        <v>Kedai</v>
      </c>
      <c r="S214" s="2" t="str">
        <f>IFERROR(__xludf.DUMMYFUNCTION("""COMPUTED_VALUE"""),"Temu Roti")</f>
        <v>Temu Roti</v>
      </c>
      <c r="T214" s="2" t="str">
        <f>IFERROR(__xludf.DUMMYFUNCTION("""COMPUTED_VALUE"""),"Owner")</f>
        <v>Owner</v>
      </c>
      <c r="U214" s="2"/>
      <c r="V214" s="2"/>
      <c r="W214" s="2"/>
      <c r="X214" s="2" t="str">
        <f>IFERROR(__xludf.DUMMYFUNCTION("""COMPUTED_VALUE"""),"Closed")</f>
        <v>Closed</v>
      </c>
    </row>
    <row r="215">
      <c r="A215" s="3" t="s">
        <v>236</v>
      </c>
      <c r="B215" s="4">
        <f>IFERROR(__xludf.DUMMYFUNCTION("SPLIT(A215,"","",0,0)"),45562.87777777778)</f>
        <v>45562.87778</v>
      </c>
      <c r="C215" s="5">
        <f>IFERROR(__xludf.DUMMYFUNCTION("""COMPUTED_VALUE"""),2772954.0)</f>
        <v>2772954</v>
      </c>
      <c r="D215" s="2" t="str">
        <f>IFERROR(__xludf.DUMMYFUNCTION("""COMPUTED_VALUE"""),"Sale")</f>
        <v>Sale</v>
      </c>
      <c r="E215" s="2" t="str">
        <f>IFERROR(__xludf.DUMMYFUNCTION("""COMPUTED_VALUE"""),"Kudapan")</f>
        <v>Kudapan</v>
      </c>
      <c r="F215" s="2">
        <f>IFERROR(__xludf.DUMMYFUNCTION("""COMPUTED_VALUE"""),10011.0)</f>
        <v>10011</v>
      </c>
      <c r="G215" s="2" t="str">
        <f>IFERROR(__xludf.DUMMYFUNCTION("""COMPUTED_VALUE"""),"Kentang Goreng")</f>
        <v>Kentang Goreng</v>
      </c>
      <c r="H215" s="2"/>
      <c r="I215" s="2"/>
      <c r="J215" s="2">
        <f>IFERROR(__xludf.DUMMYFUNCTION("""COMPUTED_VALUE"""),1.0)</f>
        <v>1</v>
      </c>
      <c r="K215" s="6">
        <f>IFERROR(__xludf.DUMMYFUNCTION("""COMPUTED_VALUE"""),25238.0)</f>
        <v>25238</v>
      </c>
      <c r="L215" s="2">
        <f>IFERROR(__xludf.DUMMYFUNCTION("""COMPUTED_VALUE"""),0.0)</f>
        <v>0</v>
      </c>
      <c r="M215" s="2">
        <f>IFERROR(__xludf.DUMMYFUNCTION("""COMPUTED_VALUE"""),25238.0)</f>
        <v>25238</v>
      </c>
      <c r="N215" s="2">
        <f>IFERROR(__xludf.DUMMYFUNCTION("""COMPUTED_VALUE"""),0.0)</f>
        <v>0</v>
      </c>
      <c r="O215" s="2">
        <f>IFERROR(__xludf.DUMMYFUNCTION("""COMPUTED_VALUE"""),25238.0)</f>
        <v>25238</v>
      </c>
      <c r="P215" s="2">
        <f>IFERROR(__xludf.DUMMYFUNCTION("""COMPUTED_VALUE"""),1262.0)</f>
        <v>1262</v>
      </c>
      <c r="Q215" s="2" t="str">
        <f>IFERROR(__xludf.DUMMYFUNCTION("""COMPUTED_VALUE"""),"Dine In")</f>
        <v>Dine In</v>
      </c>
      <c r="R215" s="2" t="str">
        <f>IFERROR(__xludf.DUMMYFUNCTION("""COMPUTED_VALUE"""),"Kedai")</f>
        <v>Kedai</v>
      </c>
      <c r="S215" s="2" t="str">
        <f>IFERROR(__xludf.DUMMYFUNCTION("""COMPUTED_VALUE"""),"Temu Roti")</f>
        <v>Temu Roti</v>
      </c>
      <c r="T215" s="2" t="str">
        <f>IFERROR(__xludf.DUMMYFUNCTION("""COMPUTED_VALUE"""),"Owner")</f>
        <v>Owner</v>
      </c>
      <c r="U215" s="2"/>
      <c r="V215" s="2"/>
      <c r="W215" s="2"/>
      <c r="X215" s="2" t="str">
        <f>IFERROR(__xludf.DUMMYFUNCTION("""COMPUTED_VALUE"""),"Closed")</f>
        <v>Closed</v>
      </c>
    </row>
    <row r="216">
      <c r="A216" s="3" t="s">
        <v>237</v>
      </c>
      <c r="B216" s="4">
        <f>IFERROR(__xludf.DUMMYFUNCTION("SPLIT(A216,"","",0,0)"),45562.80347222222)</f>
        <v>45562.80347</v>
      </c>
      <c r="C216" s="5">
        <f>IFERROR(__xludf.DUMMYFUNCTION("""COMPUTED_VALUE"""),2772589.0)</f>
        <v>2772589</v>
      </c>
      <c r="D216" s="2" t="str">
        <f>IFERROR(__xludf.DUMMYFUNCTION("""COMPUTED_VALUE"""),"Sale")</f>
        <v>Sale</v>
      </c>
      <c r="E216" s="2" t="str">
        <f>IFERROR(__xludf.DUMMYFUNCTION("""COMPUTED_VALUE"""),"Minuman")</f>
        <v>Minuman</v>
      </c>
      <c r="F216" s="2">
        <f>IFERROR(__xludf.DUMMYFUNCTION("""COMPUTED_VALUE"""),10058.0)</f>
        <v>10058</v>
      </c>
      <c r="G216" s="2" t="str">
        <f>IFERROR(__xludf.DUMMYFUNCTION("""COMPUTED_VALUE"""),"Susu murni ori")</f>
        <v>Susu murni ori</v>
      </c>
      <c r="H216" s="2"/>
      <c r="I216" s="2"/>
      <c r="J216" s="2">
        <f>IFERROR(__xludf.DUMMYFUNCTION("""COMPUTED_VALUE"""),1.0)</f>
        <v>1</v>
      </c>
      <c r="K216" s="6">
        <f>IFERROR(__xludf.DUMMYFUNCTION("""COMPUTED_VALUE"""),19524.0)</f>
        <v>19524</v>
      </c>
      <c r="L216" s="2">
        <f>IFERROR(__xludf.DUMMYFUNCTION("""COMPUTED_VALUE"""),0.0)</f>
        <v>0</v>
      </c>
      <c r="M216" s="2">
        <f>IFERROR(__xludf.DUMMYFUNCTION("""COMPUTED_VALUE"""),19524.0)</f>
        <v>19524</v>
      </c>
      <c r="N216" s="2">
        <f>IFERROR(__xludf.DUMMYFUNCTION("""COMPUTED_VALUE"""),0.0)</f>
        <v>0</v>
      </c>
      <c r="O216" s="2">
        <f>IFERROR(__xludf.DUMMYFUNCTION("""COMPUTED_VALUE"""),19524.0)</f>
        <v>19524</v>
      </c>
      <c r="P216" s="2">
        <f>IFERROR(__xludf.DUMMYFUNCTION("""COMPUTED_VALUE"""),976.0)</f>
        <v>976</v>
      </c>
      <c r="Q216" s="2" t="str">
        <f>IFERROR(__xludf.DUMMYFUNCTION("""COMPUTED_VALUE"""),"Dine In")</f>
        <v>Dine In</v>
      </c>
      <c r="R216" s="2" t="str">
        <f>IFERROR(__xludf.DUMMYFUNCTION("""COMPUTED_VALUE"""),"Kedai")</f>
        <v>Kedai</v>
      </c>
      <c r="S216" s="2" t="str">
        <f>IFERROR(__xludf.DUMMYFUNCTION("""COMPUTED_VALUE"""),"Temu Roti")</f>
        <v>Temu Roti</v>
      </c>
      <c r="T216" s="2" t="str">
        <f>IFERROR(__xludf.DUMMYFUNCTION("""COMPUTED_VALUE"""),"Owner")</f>
        <v>Owner</v>
      </c>
      <c r="U216" s="2"/>
      <c r="V216" s="2"/>
      <c r="W216" s="2"/>
      <c r="X216" s="2" t="str">
        <f>IFERROR(__xludf.DUMMYFUNCTION("""COMPUTED_VALUE"""),"Closed")</f>
        <v>Closed</v>
      </c>
    </row>
    <row r="217">
      <c r="A217" s="3" t="s">
        <v>238</v>
      </c>
      <c r="B217" s="4">
        <f>IFERROR(__xludf.DUMMYFUNCTION("SPLIT(A217,"","",0,0)"),45562.80347222222)</f>
        <v>45562.80347</v>
      </c>
      <c r="C217" s="5">
        <f>IFERROR(__xludf.DUMMYFUNCTION("""COMPUTED_VALUE"""),2772589.0)</f>
        <v>2772589</v>
      </c>
      <c r="D217" s="2" t="str">
        <f>IFERROR(__xludf.DUMMYFUNCTION("""COMPUTED_VALUE"""),"Sale")</f>
        <v>Sale</v>
      </c>
      <c r="E217" s="2" t="str">
        <f>IFERROR(__xludf.DUMMYFUNCTION("""COMPUTED_VALUE"""),"Minuman")</f>
        <v>Minuman</v>
      </c>
      <c r="F217" s="2">
        <f>IFERROR(__xludf.DUMMYFUNCTION("""COMPUTED_VALUE"""),10119.0)</f>
        <v>10119</v>
      </c>
      <c r="G217" s="2" t="str">
        <f>IFERROR(__xludf.DUMMYFUNCTION("""COMPUTED_VALUE"""),"Teh Tawar Dingin")</f>
        <v>Teh Tawar Dingin</v>
      </c>
      <c r="H217" s="2"/>
      <c r="I217" s="2"/>
      <c r="J217" s="2">
        <f>IFERROR(__xludf.DUMMYFUNCTION("""COMPUTED_VALUE"""),1.0)</f>
        <v>1</v>
      </c>
      <c r="K217" s="6">
        <f>IFERROR(__xludf.DUMMYFUNCTION("""COMPUTED_VALUE"""),7143.0)</f>
        <v>7143</v>
      </c>
      <c r="L217" s="2">
        <f>IFERROR(__xludf.DUMMYFUNCTION("""COMPUTED_VALUE"""),0.0)</f>
        <v>0</v>
      </c>
      <c r="M217" s="2">
        <f>IFERROR(__xludf.DUMMYFUNCTION("""COMPUTED_VALUE"""),7143.0)</f>
        <v>7143</v>
      </c>
      <c r="N217" s="2">
        <f>IFERROR(__xludf.DUMMYFUNCTION("""COMPUTED_VALUE"""),0.0)</f>
        <v>0</v>
      </c>
      <c r="O217" s="2">
        <f>IFERROR(__xludf.DUMMYFUNCTION("""COMPUTED_VALUE"""),7143.0)</f>
        <v>7143</v>
      </c>
      <c r="P217" s="2">
        <f>IFERROR(__xludf.DUMMYFUNCTION("""COMPUTED_VALUE"""),357.0)</f>
        <v>357</v>
      </c>
      <c r="Q217" s="2" t="str">
        <f>IFERROR(__xludf.DUMMYFUNCTION("""COMPUTED_VALUE"""),"Dine In")</f>
        <v>Dine In</v>
      </c>
      <c r="R217" s="2" t="str">
        <f>IFERROR(__xludf.DUMMYFUNCTION("""COMPUTED_VALUE"""),"Kedai")</f>
        <v>Kedai</v>
      </c>
      <c r="S217" s="2" t="str">
        <f>IFERROR(__xludf.DUMMYFUNCTION("""COMPUTED_VALUE"""),"Temu Roti")</f>
        <v>Temu Roti</v>
      </c>
      <c r="T217" s="2" t="str">
        <f>IFERROR(__xludf.DUMMYFUNCTION("""COMPUTED_VALUE"""),"Owner")</f>
        <v>Owner</v>
      </c>
      <c r="U217" s="2"/>
      <c r="V217" s="2"/>
      <c r="W217" s="2"/>
      <c r="X217" s="2" t="str">
        <f>IFERROR(__xludf.DUMMYFUNCTION("""COMPUTED_VALUE"""),"Closed")</f>
        <v>Closed</v>
      </c>
    </row>
    <row r="218">
      <c r="A218" s="3" t="s">
        <v>239</v>
      </c>
      <c r="B218" s="4">
        <f>IFERROR(__xludf.DUMMYFUNCTION("SPLIT(A218,"","",0,0)"),45562.80347222222)</f>
        <v>45562.80347</v>
      </c>
      <c r="C218" s="5">
        <f>IFERROR(__xludf.DUMMYFUNCTION("""COMPUTED_VALUE"""),2772589.0)</f>
        <v>2772589</v>
      </c>
      <c r="D218" s="2" t="str">
        <f>IFERROR(__xludf.DUMMYFUNCTION("""COMPUTED_VALUE"""),"Sale")</f>
        <v>Sale</v>
      </c>
      <c r="E218" s="2" t="str">
        <f>IFERROR(__xludf.DUMMYFUNCTION("""COMPUTED_VALUE"""),"Roti")</f>
        <v>Roti</v>
      </c>
      <c r="F218" s="2">
        <f>IFERROR(__xludf.DUMMYFUNCTION("""COMPUTED_VALUE"""),10005.0)</f>
        <v>10005</v>
      </c>
      <c r="G218" s="2" t="str">
        <f>IFERROR(__xludf.DUMMYFUNCTION("""COMPUTED_VALUE"""),"Roti Gandum Cokelat")</f>
        <v>Roti Gandum Cokelat</v>
      </c>
      <c r="H218" s="2"/>
      <c r="I218" s="2"/>
      <c r="J218" s="2">
        <f>IFERROR(__xludf.DUMMYFUNCTION("""COMPUTED_VALUE"""),1.0)</f>
        <v>1</v>
      </c>
      <c r="K218" s="6">
        <f>IFERROR(__xludf.DUMMYFUNCTION("""COMPUTED_VALUE"""),19524.0)</f>
        <v>19524</v>
      </c>
      <c r="L218" s="2">
        <f>IFERROR(__xludf.DUMMYFUNCTION("""COMPUTED_VALUE"""),0.0)</f>
        <v>0</v>
      </c>
      <c r="M218" s="2">
        <f>IFERROR(__xludf.DUMMYFUNCTION("""COMPUTED_VALUE"""),19524.0)</f>
        <v>19524</v>
      </c>
      <c r="N218" s="2">
        <f>IFERROR(__xludf.DUMMYFUNCTION("""COMPUTED_VALUE"""),0.0)</f>
        <v>0</v>
      </c>
      <c r="O218" s="2">
        <f>IFERROR(__xludf.DUMMYFUNCTION("""COMPUTED_VALUE"""),19524.0)</f>
        <v>19524</v>
      </c>
      <c r="P218" s="2">
        <f>IFERROR(__xludf.DUMMYFUNCTION("""COMPUTED_VALUE"""),977.0)</f>
        <v>977</v>
      </c>
      <c r="Q218" s="2" t="str">
        <f>IFERROR(__xludf.DUMMYFUNCTION("""COMPUTED_VALUE"""),"Dine In")</f>
        <v>Dine In</v>
      </c>
      <c r="R218" s="2" t="str">
        <f>IFERROR(__xludf.DUMMYFUNCTION("""COMPUTED_VALUE"""),"Kedai")</f>
        <v>Kedai</v>
      </c>
      <c r="S218" s="2" t="str">
        <f>IFERROR(__xludf.DUMMYFUNCTION("""COMPUTED_VALUE"""),"Temu Roti")</f>
        <v>Temu Roti</v>
      </c>
      <c r="T218" s="2" t="str">
        <f>IFERROR(__xludf.DUMMYFUNCTION("""COMPUTED_VALUE"""),"Owner")</f>
        <v>Owner</v>
      </c>
      <c r="U218" s="2"/>
      <c r="V218" s="2"/>
      <c r="W218" s="2"/>
      <c r="X218" s="2" t="str">
        <f>IFERROR(__xludf.DUMMYFUNCTION("""COMPUTED_VALUE"""),"Closed")</f>
        <v>Closed</v>
      </c>
    </row>
    <row r="219">
      <c r="A219" s="3" t="s">
        <v>240</v>
      </c>
      <c r="B219" s="4">
        <f>IFERROR(__xludf.DUMMYFUNCTION("SPLIT(A219,"","",0,0)"),45562.80347222222)</f>
        <v>45562.80347</v>
      </c>
      <c r="C219" s="5">
        <f>IFERROR(__xludf.DUMMYFUNCTION("""COMPUTED_VALUE"""),2772589.0)</f>
        <v>2772589</v>
      </c>
      <c r="D219" s="2" t="str">
        <f>IFERROR(__xludf.DUMMYFUNCTION("""COMPUTED_VALUE"""),"Sale")</f>
        <v>Sale</v>
      </c>
      <c r="E219" s="2" t="str">
        <f>IFERROR(__xludf.DUMMYFUNCTION("""COMPUTED_VALUE"""),"Minuman")</f>
        <v>Minuman</v>
      </c>
      <c r="F219" s="2">
        <f>IFERROR(__xludf.DUMMYFUNCTION("""COMPUTED_VALUE"""),10112.0)</f>
        <v>10112</v>
      </c>
      <c r="G219" s="2" t="str">
        <f>IFERROR(__xludf.DUMMYFUNCTION("""COMPUTED_VALUE"""),"Air mineral")</f>
        <v>Air mineral</v>
      </c>
      <c r="H219" s="2"/>
      <c r="I219" s="2"/>
      <c r="J219" s="2">
        <f>IFERROR(__xludf.DUMMYFUNCTION("""COMPUTED_VALUE"""),1.0)</f>
        <v>1</v>
      </c>
      <c r="K219" s="6">
        <f>IFERROR(__xludf.DUMMYFUNCTION("""COMPUTED_VALUE"""),6667.0)</f>
        <v>6667</v>
      </c>
      <c r="L219" s="2">
        <f>IFERROR(__xludf.DUMMYFUNCTION("""COMPUTED_VALUE"""),0.0)</f>
        <v>0</v>
      </c>
      <c r="M219" s="2">
        <f>IFERROR(__xludf.DUMMYFUNCTION("""COMPUTED_VALUE"""),6667.0)</f>
        <v>6667</v>
      </c>
      <c r="N219" s="2">
        <f>IFERROR(__xludf.DUMMYFUNCTION("""COMPUTED_VALUE"""),0.0)</f>
        <v>0</v>
      </c>
      <c r="O219" s="2">
        <f>IFERROR(__xludf.DUMMYFUNCTION("""COMPUTED_VALUE"""),6667.0)</f>
        <v>6667</v>
      </c>
      <c r="P219" s="2">
        <f>IFERROR(__xludf.DUMMYFUNCTION("""COMPUTED_VALUE"""),333.0)</f>
        <v>333</v>
      </c>
      <c r="Q219" s="2" t="str">
        <f>IFERROR(__xludf.DUMMYFUNCTION("""COMPUTED_VALUE"""),"Dine In")</f>
        <v>Dine In</v>
      </c>
      <c r="R219" s="2" t="str">
        <f>IFERROR(__xludf.DUMMYFUNCTION("""COMPUTED_VALUE"""),"Kedai")</f>
        <v>Kedai</v>
      </c>
      <c r="S219" s="2" t="str">
        <f>IFERROR(__xludf.DUMMYFUNCTION("""COMPUTED_VALUE"""),"Temu Roti")</f>
        <v>Temu Roti</v>
      </c>
      <c r="T219" s="2" t="str">
        <f>IFERROR(__xludf.DUMMYFUNCTION("""COMPUTED_VALUE"""),"Owner")</f>
        <v>Owner</v>
      </c>
      <c r="U219" s="2"/>
      <c r="V219" s="2"/>
      <c r="W219" s="2"/>
      <c r="X219" s="2" t="str">
        <f>IFERROR(__xludf.DUMMYFUNCTION("""COMPUTED_VALUE"""),"Closed")</f>
        <v>Closed</v>
      </c>
    </row>
    <row r="220">
      <c r="A220" s="3" t="s">
        <v>241</v>
      </c>
      <c r="B220" s="4">
        <f>IFERROR(__xludf.DUMMYFUNCTION("SPLIT(A220,"","",0,0)"),45562.8)</f>
        <v>45562.8</v>
      </c>
      <c r="C220" s="5">
        <f>IFERROR(__xludf.DUMMYFUNCTION("""COMPUTED_VALUE"""),2772224.0)</f>
        <v>2772224</v>
      </c>
      <c r="D220" s="2" t="str">
        <f>IFERROR(__xludf.DUMMYFUNCTION("""COMPUTED_VALUE"""),"Sale")</f>
        <v>Sale</v>
      </c>
      <c r="E220" s="2" t="str">
        <f>IFERROR(__xludf.DUMMYFUNCTION("""COMPUTED_VALUE"""),"Minuman")</f>
        <v>Minuman</v>
      </c>
      <c r="F220" s="2">
        <f>IFERROR(__xludf.DUMMYFUNCTION("""COMPUTED_VALUE"""),10013.0)</f>
        <v>10013</v>
      </c>
      <c r="G220" s="2" t="str">
        <f>IFERROR(__xludf.DUMMYFUNCTION("""COMPUTED_VALUE"""),"Kopi cur")</f>
        <v>Kopi cur</v>
      </c>
      <c r="H220" s="2"/>
      <c r="I220" s="2"/>
      <c r="J220" s="2">
        <f>IFERROR(__xludf.DUMMYFUNCTION("""COMPUTED_VALUE"""),1.0)</f>
        <v>1</v>
      </c>
      <c r="K220" s="6">
        <f>IFERROR(__xludf.DUMMYFUNCTION("""COMPUTED_VALUE"""),23333.0)</f>
        <v>23333</v>
      </c>
      <c r="L220" s="2">
        <f>IFERROR(__xludf.DUMMYFUNCTION("""COMPUTED_VALUE"""),0.0)</f>
        <v>0</v>
      </c>
      <c r="M220" s="2">
        <f>IFERROR(__xludf.DUMMYFUNCTION("""COMPUTED_VALUE"""),23333.0)</f>
        <v>23333</v>
      </c>
      <c r="N220" s="2">
        <f>IFERROR(__xludf.DUMMYFUNCTION("""COMPUTED_VALUE"""),0.0)</f>
        <v>0</v>
      </c>
      <c r="O220" s="2">
        <f>IFERROR(__xludf.DUMMYFUNCTION("""COMPUTED_VALUE"""),23333.0)</f>
        <v>23333</v>
      </c>
      <c r="P220" s="2">
        <f>IFERROR(__xludf.DUMMYFUNCTION("""COMPUTED_VALUE"""),1167.0)</f>
        <v>1167</v>
      </c>
      <c r="Q220" s="2" t="str">
        <f>IFERROR(__xludf.DUMMYFUNCTION("""COMPUTED_VALUE"""),"Dine In")</f>
        <v>Dine In</v>
      </c>
      <c r="R220" s="2" t="str">
        <f>IFERROR(__xludf.DUMMYFUNCTION("""COMPUTED_VALUE"""),"Kedai")</f>
        <v>Kedai</v>
      </c>
      <c r="S220" s="2" t="str">
        <f>IFERROR(__xludf.DUMMYFUNCTION("""COMPUTED_VALUE"""),"Temu Roti")</f>
        <v>Temu Roti</v>
      </c>
      <c r="T220" s="2" t="str">
        <f>IFERROR(__xludf.DUMMYFUNCTION("""COMPUTED_VALUE"""),"Owner")</f>
        <v>Owner</v>
      </c>
      <c r="U220" s="2"/>
      <c r="V220" s="2"/>
      <c r="W220" s="2"/>
      <c r="X220" s="2" t="str">
        <f>IFERROR(__xludf.DUMMYFUNCTION("""COMPUTED_VALUE"""),"Closed")</f>
        <v>Closed</v>
      </c>
    </row>
    <row r="221">
      <c r="A221" s="3" t="s">
        <v>242</v>
      </c>
      <c r="B221" s="4">
        <f>IFERROR(__xludf.DUMMYFUNCTION("SPLIT(A221,"","",0,0)"),45562.79791666667)</f>
        <v>45562.79792</v>
      </c>
      <c r="C221" s="5">
        <f>IFERROR(__xludf.DUMMYFUNCTION("""COMPUTED_VALUE"""),2771859.0)</f>
        <v>2771859</v>
      </c>
      <c r="D221" s="2" t="str">
        <f>IFERROR(__xludf.DUMMYFUNCTION("""COMPUTED_VALUE"""),"Sale")</f>
        <v>Sale</v>
      </c>
      <c r="E221" s="2" t="str">
        <f>IFERROR(__xludf.DUMMYFUNCTION("""COMPUTED_VALUE"""),"Minuman")</f>
        <v>Minuman</v>
      </c>
      <c r="F221" s="2">
        <f>IFERROR(__xludf.DUMMYFUNCTION("""COMPUTED_VALUE"""),10112.0)</f>
        <v>10112</v>
      </c>
      <c r="G221" s="2" t="str">
        <f>IFERROR(__xludf.DUMMYFUNCTION("""COMPUTED_VALUE"""),"Air mineral")</f>
        <v>Air mineral</v>
      </c>
      <c r="H221" s="2"/>
      <c r="I221" s="2"/>
      <c r="J221" s="2">
        <f>IFERROR(__xludf.DUMMYFUNCTION("""COMPUTED_VALUE"""),1.0)</f>
        <v>1</v>
      </c>
      <c r="K221" s="6">
        <f>IFERROR(__xludf.DUMMYFUNCTION("""COMPUTED_VALUE"""),6667.0)</f>
        <v>6667</v>
      </c>
      <c r="L221" s="2">
        <f>IFERROR(__xludf.DUMMYFUNCTION("""COMPUTED_VALUE"""),0.0)</f>
        <v>0</v>
      </c>
      <c r="M221" s="2">
        <f>IFERROR(__xludf.DUMMYFUNCTION("""COMPUTED_VALUE"""),6667.0)</f>
        <v>6667</v>
      </c>
      <c r="N221" s="2">
        <f>IFERROR(__xludf.DUMMYFUNCTION("""COMPUTED_VALUE"""),0.0)</f>
        <v>0</v>
      </c>
      <c r="O221" s="2">
        <f>IFERROR(__xludf.DUMMYFUNCTION("""COMPUTED_VALUE"""),6667.0)</f>
        <v>6667</v>
      </c>
      <c r="P221" s="2">
        <f>IFERROR(__xludf.DUMMYFUNCTION("""COMPUTED_VALUE"""),333.0)</f>
        <v>333</v>
      </c>
      <c r="Q221" s="2" t="str">
        <f>IFERROR(__xludf.DUMMYFUNCTION("""COMPUTED_VALUE"""),"Dine In")</f>
        <v>Dine In</v>
      </c>
      <c r="R221" s="2" t="str">
        <f>IFERROR(__xludf.DUMMYFUNCTION("""COMPUTED_VALUE"""),"Kedai")</f>
        <v>Kedai</v>
      </c>
      <c r="S221" s="2" t="str">
        <f>IFERROR(__xludf.DUMMYFUNCTION("""COMPUTED_VALUE"""),"Temu Roti")</f>
        <v>Temu Roti</v>
      </c>
      <c r="T221" s="2" t="str">
        <f>IFERROR(__xludf.DUMMYFUNCTION("""COMPUTED_VALUE"""),"Owner")</f>
        <v>Owner</v>
      </c>
      <c r="U221" s="2"/>
      <c r="V221" s="2"/>
      <c r="W221" s="2"/>
      <c r="X221" s="2" t="str">
        <f>IFERROR(__xludf.DUMMYFUNCTION("""COMPUTED_VALUE"""),"Closed")</f>
        <v>Closed</v>
      </c>
    </row>
    <row r="222">
      <c r="A222" s="3" t="s">
        <v>243</v>
      </c>
      <c r="B222" s="4">
        <f>IFERROR(__xludf.DUMMYFUNCTION("SPLIT(A222,"","",0,0)"),45562.688888888886)</f>
        <v>45562.68889</v>
      </c>
      <c r="C222" s="5">
        <f>IFERROR(__xludf.DUMMYFUNCTION("""COMPUTED_VALUE"""),2771493.0)</f>
        <v>2771493</v>
      </c>
      <c r="D222" s="2" t="str">
        <f>IFERROR(__xludf.DUMMYFUNCTION("""COMPUTED_VALUE"""),"Sale")</f>
        <v>Sale</v>
      </c>
      <c r="E222" s="2" t="str">
        <f>IFERROR(__xludf.DUMMYFUNCTION("""COMPUTED_VALUE"""),"Minuman")</f>
        <v>Minuman</v>
      </c>
      <c r="F222" s="2">
        <f>IFERROR(__xludf.DUMMYFUNCTION("""COMPUTED_VALUE"""),10107.0)</f>
        <v>10107</v>
      </c>
      <c r="G222" s="2" t="str">
        <f>IFERROR(__xludf.DUMMYFUNCTION("""COMPUTED_VALUE"""),"Korean Mango Fresh Milk")</f>
        <v>Korean Mango Fresh Milk</v>
      </c>
      <c r="H222" s="2"/>
      <c r="I222" s="2"/>
      <c r="J222" s="2">
        <f>IFERROR(__xludf.DUMMYFUNCTION("""COMPUTED_VALUE"""),1.0)</f>
        <v>1</v>
      </c>
      <c r="K222" s="6">
        <f>IFERROR(__xludf.DUMMYFUNCTION("""COMPUTED_VALUE"""),26667.0)</f>
        <v>26667</v>
      </c>
      <c r="L222" s="2">
        <f>IFERROR(__xludf.DUMMYFUNCTION("""COMPUTED_VALUE"""),0.0)</f>
        <v>0</v>
      </c>
      <c r="M222" s="2">
        <f>IFERROR(__xludf.DUMMYFUNCTION("""COMPUTED_VALUE"""),26667.0)</f>
        <v>26667</v>
      </c>
      <c r="N222" s="2">
        <f>IFERROR(__xludf.DUMMYFUNCTION("""COMPUTED_VALUE"""),0.0)</f>
        <v>0</v>
      </c>
      <c r="O222" s="2">
        <f>IFERROR(__xludf.DUMMYFUNCTION("""COMPUTED_VALUE"""),26667.0)</f>
        <v>26667</v>
      </c>
      <c r="P222" s="2">
        <f>IFERROR(__xludf.DUMMYFUNCTION("""COMPUTED_VALUE"""),1333.0)</f>
        <v>1333</v>
      </c>
      <c r="Q222" s="2" t="str">
        <f>IFERROR(__xludf.DUMMYFUNCTION("""COMPUTED_VALUE"""),"Dine In")</f>
        <v>Dine In</v>
      </c>
      <c r="R222" s="2" t="str">
        <f>IFERROR(__xludf.DUMMYFUNCTION("""COMPUTED_VALUE"""),"Kedai")</f>
        <v>Kedai</v>
      </c>
      <c r="S222" s="2" t="str">
        <f>IFERROR(__xludf.DUMMYFUNCTION("""COMPUTED_VALUE"""),"Temu Roti")</f>
        <v>Temu Roti</v>
      </c>
      <c r="T222" s="2" t="str">
        <f>IFERROR(__xludf.DUMMYFUNCTION("""COMPUTED_VALUE"""),"Owner")</f>
        <v>Owner</v>
      </c>
      <c r="U222" s="2"/>
      <c r="V222" s="2"/>
      <c r="W222" s="2"/>
      <c r="X222" s="2" t="str">
        <f>IFERROR(__xludf.DUMMYFUNCTION("""COMPUTED_VALUE"""),"Closed")</f>
        <v>Closed</v>
      </c>
    </row>
    <row r="223">
      <c r="A223" s="3" t="s">
        <v>244</v>
      </c>
      <c r="B223" s="4">
        <f>IFERROR(__xludf.DUMMYFUNCTION("SPLIT(A223,"","",0,0)"),45562.688888888886)</f>
        <v>45562.68889</v>
      </c>
      <c r="C223" s="5">
        <f>IFERROR(__xludf.DUMMYFUNCTION("""COMPUTED_VALUE"""),2771493.0)</f>
        <v>2771493</v>
      </c>
      <c r="D223" s="2" t="str">
        <f>IFERROR(__xludf.DUMMYFUNCTION("""COMPUTED_VALUE"""),"Sale")</f>
        <v>Sale</v>
      </c>
      <c r="E223" s="2" t="str">
        <f>IFERROR(__xludf.DUMMYFUNCTION("""COMPUTED_VALUE"""),"Roti")</f>
        <v>Roti</v>
      </c>
      <c r="F223" s="2">
        <f>IFERROR(__xludf.DUMMYFUNCTION("""COMPUTED_VALUE"""),10005.0)</f>
        <v>10005</v>
      </c>
      <c r="G223" s="2" t="str">
        <f>IFERROR(__xludf.DUMMYFUNCTION("""COMPUTED_VALUE"""),"Roti Gandum Cokelat")</f>
        <v>Roti Gandum Cokelat</v>
      </c>
      <c r="H223" s="2"/>
      <c r="I223" s="2"/>
      <c r="J223" s="2">
        <f>IFERROR(__xludf.DUMMYFUNCTION("""COMPUTED_VALUE"""),1.0)</f>
        <v>1</v>
      </c>
      <c r="K223" s="6">
        <f>IFERROR(__xludf.DUMMYFUNCTION("""COMPUTED_VALUE"""),19524.0)</f>
        <v>19524</v>
      </c>
      <c r="L223" s="2">
        <f>IFERROR(__xludf.DUMMYFUNCTION("""COMPUTED_VALUE"""),0.0)</f>
        <v>0</v>
      </c>
      <c r="M223" s="2">
        <f>IFERROR(__xludf.DUMMYFUNCTION("""COMPUTED_VALUE"""),19524.0)</f>
        <v>19524</v>
      </c>
      <c r="N223" s="2">
        <f>IFERROR(__xludf.DUMMYFUNCTION("""COMPUTED_VALUE"""),0.0)</f>
        <v>0</v>
      </c>
      <c r="O223" s="2">
        <f>IFERROR(__xludf.DUMMYFUNCTION("""COMPUTED_VALUE"""),19524.0)</f>
        <v>19524</v>
      </c>
      <c r="P223" s="2">
        <f>IFERROR(__xludf.DUMMYFUNCTION("""COMPUTED_VALUE"""),977.0)</f>
        <v>977</v>
      </c>
      <c r="Q223" s="2" t="str">
        <f>IFERROR(__xludf.DUMMYFUNCTION("""COMPUTED_VALUE"""),"Dine In")</f>
        <v>Dine In</v>
      </c>
      <c r="R223" s="2" t="str">
        <f>IFERROR(__xludf.DUMMYFUNCTION("""COMPUTED_VALUE"""),"Kedai")</f>
        <v>Kedai</v>
      </c>
      <c r="S223" s="2" t="str">
        <f>IFERROR(__xludf.DUMMYFUNCTION("""COMPUTED_VALUE"""),"Temu Roti")</f>
        <v>Temu Roti</v>
      </c>
      <c r="T223" s="2" t="str">
        <f>IFERROR(__xludf.DUMMYFUNCTION("""COMPUTED_VALUE"""),"Owner")</f>
        <v>Owner</v>
      </c>
      <c r="U223" s="2"/>
      <c r="V223" s="2"/>
      <c r="W223" s="2"/>
      <c r="X223" s="2" t="str">
        <f>IFERROR(__xludf.DUMMYFUNCTION("""COMPUTED_VALUE"""),"Closed")</f>
        <v>Closed</v>
      </c>
    </row>
    <row r="224">
      <c r="A224" s="3" t="s">
        <v>245</v>
      </c>
      <c r="B224" s="4">
        <f>IFERROR(__xludf.DUMMYFUNCTION("SPLIT(A224,"","",0,0)"),45562.688888888886)</f>
        <v>45562.68889</v>
      </c>
      <c r="C224" s="5">
        <f>IFERROR(__xludf.DUMMYFUNCTION("""COMPUTED_VALUE"""),2771493.0)</f>
        <v>2771493</v>
      </c>
      <c r="D224" s="2" t="str">
        <f>IFERROR(__xludf.DUMMYFUNCTION("""COMPUTED_VALUE"""),"Sale")</f>
        <v>Sale</v>
      </c>
      <c r="E224" s="2" t="str">
        <f>IFERROR(__xludf.DUMMYFUNCTION("""COMPUTED_VALUE"""),"Minuman")</f>
        <v>Minuman</v>
      </c>
      <c r="F224" s="2">
        <f>IFERROR(__xludf.DUMMYFUNCTION("""COMPUTED_VALUE"""),10063.0)</f>
        <v>10063</v>
      </c>
      <c r="G224" s="2" t="str">
        <f>IFERROR(__xludf.DUMMYFUNCTION("""COMPUTED_VALUE"""),"Wedang Bulan")</f>
        <v>Wedang Bulan</v>
      </c>
      <c r="H224" s="2"/>
      <c r="I224" s="2"/>
      <c r="J224" s="2">
        <f>IFERROR(__xludf.DUMMYFUNCTION("""COMPUTED_VALUE"""),1.0)</f>
        <v>1</v>
      </c>
      <c r="K224" s="6">
        <f>IFERROR(__xludf.DUMMYFUNCTION("""COMPUTED_VALUE"""),24762.0)</f>
        <v>24762</v>
      </c>
      <c r="L224" s="2">
        <f>IFERROR(__xludf.DUMMYFUNCTION("""COMPUTED_VALUE"""),0.0)</f>
        <v>0</v>
      </c>
      <c r="M224" s="2">
        <f>IFERROR(__xludf.DUMMYFUNCTION("""COMPUTED_VALUE"""),24762.0)</f>
        <v>24762</v>
      </c>
      <c r="N224" s="2">
        <f>IFERROR(__xludf.DUMMYFUNCTION("""COMPUTED_VALUE"""),0.0)</f>
        <v>0</v>
      </c>
      <c r="O224" s="2">
        <f>IFERROR(__xludf.DUMMYFUNCTION("""COMPUTED_VALUE"""),24762.0)</f>
        <v>24762</v>
      </c>
      <c r="P224" s="2">
        <f>IFERROR(__xludf.DUMMYFUNCTION("""COMPUTED_VALUE"""),1238.0)</f>
        <v>1238</v>
      </c>
      <c r="Q224" s="2" t="str">
        <f>IFERROR(__xludf.DUMMYFUNCTION("""COMPUTED_VALUE"""),"Dine In")</f>
        <v>Dine In</v>
      </c>
      <c r="R224" s="2" t="str">
        <f>IFERROR(__xludf.DUMMYFUNCTION("""COMPUTED_VALUE"""),"Kedai")</f>
        <v>Kedai</v>
      </c>
      <c r="S224" s="2" t="str">
        <f>IFERROR(__xludf.DUMMYFUNCTION("""COMPUTED_VALUE"""),"Temu Roti")</f>
        <v>Temu Roti</v>
      </c>
      <c r="T224" s="2" t="str">
        <f>IFERROR(__xludf.DUMMYFUNCTION("""COMPUTED_VALUE"""),"Owner")</f>
        <v>Owner</v>
      </c>
      <c r="U224" s="2"/>
      <c r="V224" s="2"/>
      <c r="W224" s="2"/>
      <c r="X224" s="2" t="str">
        <f>IFERROR(__xludf.DUMMYFUNCTION("""COMPUTED_VALUE"""),"Closed")</f>
        <v>Closed</v>
      </c>
    </row>
    <row r="225">
      <c r="A225" s="3" t="s">
        <v>246</v>
      </c>
      <c r="B225" s="4">
        <f>IFERROR(__xludf.DUMMYFUNCTION("SPLIT(A225,"","",0,0)"),45562.688888888886)</f>
        <v>45562.68889</v>
      </c>
      <c r="C225" s="5">
        <f>IFERROR(__xludf.DUMMYFUNCTION("""COMPUTED_VALUE"""),2771493.0)</f>
        <v>2771493</v>
      </c>
      <c r="D225" s="2" t="str">
        <f>IFERROR(__xludf.DUMMYFUNCTION("""COMPUTED_VALUE"""),"Sale")</f>
        <v>Sale</v>
      </c>
      <c r="E225" s="2" t="str">
        <f>IFERROR(__xludf.DUMMYFUNCTION("""COMPUTED_VALUE"""),"Roti")</f>
        <v>Roti</v>
      </c>
      <c r="F225" s="2">
        <f>IFERROR(__xludf.DUMMYFUNCTION("""COMPUTED_VALUE"""),10002.0)</f>
        <v>10002</v>
      </c>
      <c r="G225" s="2" t="str">
        <f>IFERROR(__xludf.DUMMYFUNCTION("""COMPUTED_VALUE"""),"Roti Cranberry")</f>
        <v>Roti Cranberry</v>
      </c>
      <c r="H225" s="2"/>
      <c r="I225" s="2"/>
      <c r="J225" s="2">
        <f>IFERROR(__xludf.DUMMYFUNCTION("""COMPUTED_VALUE"""),1.0)</f>
        <v>1</v>
      </c>
      <c r="K225" s="6">
        <f>IFERROR(__xludf.DUMMYFUNCTION("""COMPUTED_VALUE"""),18571.0)</f>
        <v>18571</v>
      </c>
      <c r="L225" s="2">
        <f>IFERROR(__xludf.DUMMYFUNCTION("""COMPUTED_VALUE"""),0.0)</f>
        <v>0</v>
      </c>
      <c r="M225" s="2">
        <f>IFERROR(__xludf.DUMMYFUNCTION("""COMPUTED_VALUE"""),18571.0)</f>
        <v>18571</v>
      </c>
      <c r="N225" s="2">
        <f>IFERROR(__xludf.DUMMYFUNCTION("""COMPUTED_VALUE"""),0.0)</f>
        <v>0</v>
      </c>
      <c r="O225" s="2">
        <f>IFERROR(__xludf.DUMMYFUNCTION("""COMPUTED_VALUE"""),18571.0)</f>
        <v>18571</v>
      </c>
      <c r="P225" s="2">
        <f>IFERROR(__xludf.DUMMYFUNCTION("""COMPUTED_VALUE"""),928.0)</f>
        <v>928</v>
      </c>
      <c r="Q225" s="2" t="str">
        <f>IFERROR(__xludf.DUMMYFUNCTION("""COMPUTED_VALUE"""),"Dine In")</f>
        <v>Dine In</v>
      </c>
      <c r="R225" s="2" t="str">
        <f>IFERROR(__xludf.DUMMYFUNCTION("""COMPUTED_VALUE"""),"Kedai")</f>
        <v>Kedai</v>
      </c>
      <c r="S225" s="2" t="str">
        <f>IFERROR(__xludf.DUMMYFUNCTION("""COMPUTED_VALUE"""),"Temu Roti")</f>
        <v>Temu Roti</v>
      </c>
      <c r="T225" s="2" t="str">
        <f>IFERROR(__xludf.DUMMYFUNCTION("""COMPUTED_VALUE"""),"Owner")</f>
        <v>Owner</v>
      </c>
      <c r="U225" s="2"/>
      <c r="V225" s="2"/>
      <c r="W225" s="2"/>
      <c r="X225" s="2" t="str">
        <f>IFERROR(__xludf.DUMMYFUNCTION("""COMPUTED_VALUE"""),"Closed")</f>
        <v>Closed</v>
      </c>
    </row>
    <row r="226">
      <c r="A226" s="3" t="s">
        <v>247</v>
      </c>
      <c r="B226" s="4">
        <f>IFERROR(__xludf.DUMMYFUNCTION("SPLIT(A226,"","",0,0)"),45562.688888888886)</f>
        <v>45562.68889</v>
      </c>
      <c r="C226" s="5">
        <f>IFERROR(__xludf.DUMMYFUNCTION("""COMPUTED_VALUE"""),2771493.0)</f>
        <v>2771493</v>
      </c>
      <c r="D226" s="2" t="str">
        <f>IFERROR(__xludf.DUMMYFUNCTION("""COMPUTED_VALUE"""),"Sale")</f>
        <v>Sale</v>
      </c>
      <c r="E226" s="2" t="str">
        <f>IFERROR(__xludf.DUMMYFUNCTION("""COMPUTED_VALUE"""),"Minuman")</f>
        <v>Minuman</v>
      </c>
      <c r="F226" s="2">
        <f>IFERROR(__xludf.DUMMYFUNCTION("""COMPUTED_VALUE"""),10128.0)</f>
        <v>10128</v>
      </c>
      <c r="G226" s="2" t="str">
        <f>IFERROR(__xludf.DUMMYFUNCTION("""COMPUTED_VALUE"""),"Es Kopi Susu")</f>
        <v>Es Kopi Susu</v>
      </c>
      <c r="H226" s="2"/>
      <c r="I226" s="2"/>
      <c r="J226" s="2">
        <f>IFERROR(__xludf.DUMMYFUNCTION("""COMPUTED_VALUE"""),1.0)</f>
        <v>1</v>
      </c>
      <c r="K226" s="6">
        <f>IFERROR(__xludf.DUMMYFUNCTION("""COMPUTED_VALUE"""),23333.0)</f>
        <v>23333</v>
      </c>
      <c r="L226" s="2">
        <f>IFERROR(__xludf.DUMMYFUNCTION("""COMPUTED_VALUE"""),0.0)</f>
        <v>0</v>
      </c>
      <c r="M226" s="2">
        <f>IFERROR(__xludf.DUMMYFUNCTION("""COMPUTED_VALUE"""),23333.0)</f>
        <v>23333</v>
      </c>
      <c r="N226" s="2">
        <f>IFERROR(__xludf.DUMMYFUNCTION("""COMPUTED_VALUE"""),0.0)</f>
        <v>0</v>
      </c>
      <c r="O226" s="2">
        <f>IFERROR(__xludf.DUMMYFUNCTION("""COMPUTED_VALUE"""),23333.0)</f>
        <v>23333</v>
      </c>
      <c r="P226" s="2">
        <f>IFERROR(__xludf.DUMMYFUNCTION("""COMPUTED_VALUE"""),1167.0)</f>
        <v>1167</v>
      </c>
      <c r="Q226" s="2" t="str">
        <f>IFERROR(__xludf.DUMMYFUNCTION("""COMPUTED_VALUE"""),"Dine In")</f>
        <v>Dine In</v>
      </c>
      <c r="R226" s="2" t="str">
        <f>IFERROR(__xludf.DUMMYFUNCTION("""COMPUTED_VALUE"""),"Kedai")</f>
        <v>Kedai</v>
      </c>
      <c r="S226" s="2" t="str">
        <f>IFERROR(__xludf.DUMMYFUNCTION("""COMPUTED_VALUE"""),"Temu Roti")</f>
        <v>Temu Roti</v>
      </c>
      <c r="T226" s="2" t="str">
        <f>IFERROR(__xludf.DUMMYFUNCTION("""COMPUTED_VALUE"""),"Owner")</f>
        <v>Owner</v>
      </c>
      <c r="U226" s="2"/>
      <c r="V226" s="2"/>
      <c r="W226" s="2"/>
      <c r="X226" s="2" t="str">
        <f>IFERROR(__xludf.DUMMYFUNCTION("""COMPUTED_VALUE"""),"Closed")</f>
        <v>Closed</v>
      </c>
    </row>
    <row r="227">
      <c r="A227" s="3" t="s">
        <v>248</v>
      </c>
      <c r="B227" s="4">
        <f>IFERROR(__xludf.DUMMYFUNCTION("SPLIT(A227,"","",0,0)"),45562.675)</f>
        <v>45562.675</v>
      </c>
      <c r="C227" s="5">
        <f>IFERROR(__xludf.DUMMYFUNCTION("""COMPUTED_VALUE"""),2771128.0)</f>
        <v>2771128</v>
      </c>
      <c r="D227" s="2" t="str">
        <f>IFERROR(__xludf.DUMMYFUNCTION("""COMPUTED_VALUE"""),"Sale")</f>
        <v>Sale</v>
      </c>
      <c r="E227" s="2" t="str">
        <f>IFERROR(__xludf.DUMMYFUNCTION("""COMPUTED_VALUE"""),"Roti")</f>
        <v>Roti</v>
      </c>
      <c r="F227" s="2">
        <f>IFERROR(__xludf.DUMMYFUNCTION("""COMPUTED_VALUE"""),10033.0)</f>
        <v>10033</v>
      </c>
      <c r="G227" s="2" t="str">
        <f>IFERROR(__xludf.DUMMYFUNCTION("""COMPUTED_VALUE"""),"Roti panggang sarikaya")</f>
        <v>Roti panggang sarikaya</v>
      </c>
      <c r="H227" s="2"/>
      <c r="I227" s="2"/>
      <c r="J227" s="2">
        <f>IFERROR(__xludf.DUMMYFUNCTION("""COMPUTED_VALUE"""),1.0)</f>
        <v>1</v>
      </c>
      <c r="K227" s="6">
        <f>IFERROR(__xludf.DUMMYFUNCTION("""COMPUTED_VALUE"""),21905.0)</f>
        <v>21905</v>
      </c>
      <c r="L227" s="2">
        <f>IFERROR(__xludf.DUMMYFUNCTION("""COMPUTED_VALUE"""),0.0)</f>
        <v>0</v>
      </c>
      <c r="M227" s="2">
        <f>IFERROR(__xludf.DUMMYFUNCTION("""COMPUTED_VALUE"""),21905.0)</f>
        <v>21905</v>
      </c>
      <c r="N227" s="2">
        <f>IFERROR(__xludf.DUMMYFUNCTION("""COMPUTED_VALUE"""),0.0)</f>
        <v>0</v>
      </c>
      <c r="O227" s="2">
        <f>IFERROR(__xludf.DUMMYFUNCTION("""COMPUTED_VALUE"""),21905.0)</f>
        <v>21905</v>
      </c>
      <c r="P227" s="2">
        <f>IFERROR(__xludf.DUMMYFUNCTION("""COMPUTED_VALUE"""),1095.0)</f>
        <v>1095</v>
      </c>
      <c r="Q227" s="2" t="str">
        <f>IFERROR(__xludf.DUMMYFUNCTION("""COMPUTED_VALUE"""),"Dine In")</f>
        <v>Dine In</v>
      </c>
      <c r="R227" s="2" t="str">
        <f>IFERROR(__xludf.DUMMYFUNCTION("""COMPUTED_VALUE"""),"Kedai")</f>
        <v>Kedai</v>
      </c>
      <c r="S227" s="2" t="str">
        <f>IFERROR(__xludf.DUMMYFUNCTION("""COMPUTED_VALUE"""),"Temu Roti")</f>
        <v>Temu Roti</v>
      </c>
      <c r="T227" s="2" t="str">
        <f>IFERROR(__xludf.DUMMYFUNCTION("""COMPUTED_VALUE"""),"Owner")</f>
        <v>Owner</v>
      </c>
      <c r="U227" s="2"/>
      <c r="V227" s="2"/>
      <c r="W227" s="2"/>
      <c r="X227" s="2" t="str">
        <f>IFERROR(__xludf.DUMMYFUNCTION("""COMPUTED_VALUE"""),"Closed")</f>
        <v>Closed</v>
      </c>
    </row>
    <row r="228">
      <c r="A228" s="3" t="s">
        <v>249</v>
      </c>
      <c r="B228" s="4">
        <f>IFERROR(__xludf.DUMMYFUNCTION("SPLIT(A228,"","",0,0)"),45562.675)</f>
        <v>45562.675</v>
      </c>
      <c r="C228" s="5">
        <f>IFERROR(__xludf.DUMMYFUNCTION("""COMPUTED_VALUE"""),2771128.0)</f>
        <v>2771128</v>
      </c>
      <c r="D228" s="2" t="str">
        <f>IFERROR(__xludf.DUMMYFUNCTION("""COMPUTED_VALUE"""),"Sale")</f>
        <v>Sale</v>
      </c>
      <c r="E228" s="2" t="str">
        <f>IFERROR(__xludf.DUMMYFUNCTION("""COMPUTED_VALUE"""),"Kudapan")</f>
        <v>Kudapan</v>
      </c>
      <c r="F228" s="2">
        <f>IFERROR(__xludf.DUMMYFUNCTION("""COMPUTED_VALUE"""),10014.0)</f>
        <v>10014</v>
      </c>
      <c r="G228" s="2" t="str">
        <f>IFERROR(__xludf.DUMMYFUNCTION("""COMPUTED_VALUE"""),"Tempe Mendoan")</f>
        <v>Tempe Mendoan</v>
      </c>
      <c r="H228" s="2"/>
      <c r="I228" s="2"/>
      <c r="J228" s="2">
        <f>IFERROR(__xludf.DUMMYFUNCTION("""COMPUTED_VALUE"""),1.0)</f>
        <v>1</v>
      </c>
      <c r="K228" s="6">
        <f>IFERROR(__xludf.DUMMYFUNCTION("""COMPUTED_VALUE"""),25238.0)</f>
        <v>25238</v>
      </c>
      <c r="L228" s="2">
        <f>IFERROR(__xludf.DUMMYFUNCTION("""COMPUTED_VALUE"""),0.0)</f>
        <v>0</v>
      </c>
      <c r="M228" s="2">
        <f>IFERROR(__xludf.DUMMYFUNCTION("""COMPUTED_VALUE"""),25238.0)</f>
        <v>25238</v>
      </c>
      <c r="N228" s="2">
        <f>IFERROR(__xludf.DUMMYFUNCTION("""COMPUTED_VALUE"""),0.0)</f>
        <v>0</v>
      </c>
      <c r="O228" s="2">
        <f>IFERROR(__xludf.DUMMYFUNCTION("""COMPUTED_VALUE"""),25238.0)</f>
        <v>25238</v>
      </c>
      <c r="P228" s="2">
        <f>IFERROR(__xludf.DUMMYFUNCTION("""COMPUTED_VALUE"""),1262.0)</f>
        <v>1262</v>
      </c>
      <c r="Q228" s="2" t="str">
        <f>IFERROR(__xludf.DUMMYFUNCTION("""COMPUTED_VALUE"""),"Dine In")</f>
        <v>Dine In</v>
      </c>
      <c r="R228" s="2" t="str">
        <f>IFERROR(__xludf.DUMMYFUNCTION("""COMPUTED_VALUE"""),"Kedai")</f>
        <v>Kedai</v>
      </c>
      <c r="S228" s="2" t="str">
        <f>IFERROR(__xludf.DUMMYFUNCTION("""COMPUTED_VALUE"""),"Temu Roti")</f>
        <v>Temu Roti</v>
      </c>
      <c r="T228" s="2" t="str">
        <f>IFERROR(__xludf.DUMMYFUNCTION("""COMPUTED_VALUE"""),"Owner")</f>
        <v>Owner</v>
      </c>
      <c r="U228" s="2"/>
      <c r="V228" s="2"/>
      <c r="W228" s="2"/>
      <c r="X228" s="2" t="str">
        <f>IFERROR(__xludf.DUMMYFUNCTION("""COMPUTED_VALUE"""),"Closed")</f>
        <v>Closed</v>
      </c>
    </row>
    <row r="229">
      <c r="A229" s="3" t="s">
        <v>250</v>
      </c>
      <c r="B229" s="4">
        <f>IFERROR(__xludf.DUMMYFUNCTION("SPLIT(A229,"","",0,0)"),45562.65)</f>
        <v>45562.65</v>
      </c>
      <c r="C229" s="5">
        <f>IFERROR(__xludf.DUMMYFUNCTION("""COMPUTED_VALUE"""),2770763.0)</f>
        <v>2770763</v>
      </c>
      <c r="D229" s="2" t="str">
        <f>IFERROR(__xludf.DUMMYFUNCTION("""COMPUTED_VALUE"""),"Sale")</f>
        <v>Sale</v>
      </c>
      <c r="E229" s="2" t="str">
        <f>IFERROR(__xludf.DUMMYFUNCTION("""COMPUTED_VALUE"""),"Hidangan Utama")</f>
        <v>Hidangan Utama</v>
      </c>
      <c r="F229" s="2">
        <f>IFERROR(__xludf.DUMMYFUNCTION("""COMPUTED_VALUE"""),10012.0)</f>
        <v>10012</v>
      </c>
      <c r="G229" s="2" t="str">
        <f>IFERROR(__xludf.DUMMYFUNCTION("""COMPUTED_VALUE"""),"Mie joglo")</f>
        <v>Mie joglo</v>
      </c>
      <c r="H229" s="2"/>
      <c r="I229" s="2"/>
      <c r="J229" s="2">
        <f>IFERROR(__xludf.DUMMYFUNCTION("""COMPUTED_VALUE"""),1.0)</f>
        <v>1</v>
      </c>
      <c r="K229" s="6">
        <f>IFERROR(__xludf.DUMMYFUNCTION("""COMPUTED_VALUE"""),29524.0)</f>
        <v>29524</v>
      </c>
      <c r="L229" s="2">
        <f>IFERROR(__xludf.DUMMYFUNCTION("""COMPUTED_VALUE"""),0.0)</f>
        <v>0</v>
      </c>
      <c r="M229" s="2">
        <f>IFERROR(__xludf.DUMMYFUNCTION("""COMPUTED_VALUE"""),29524.0)</f>
        <v>29524</v>
      </c>
      <c r="N229" s="2">
        <f>IFERROR(__xludf.DUMMYFUNCTION("""COMPUTED_VALUE"""),0.0)</f>
        <v>0</v>
      </c>
      <c r="O229" s="2">
        <f>IFERROR(__xludf.DUMMYFUNCTION("""COMPUTED_VALUE"""),29524.0)</f>
        <v>29524</v>
      </c>
      <c r="P229" s="2">
        <f>IFERROR(__xludf.DUMMYFUNCTION("""COMPUTED_VALUE"""),1476.0)</f>
        <v>1476</v>
      </c>
      <c r="Q229" s="2" t="str">
        <f>IFERROR(__xludf.DUMMYFUNCTION("""COMPUTED_VALUE"""),"Dine In")</f>
        <v>Dine In</v>
      </c>
      <c r="R229" s="2" t="str">
        <f>IFERROR(__xludf.DUMMYFUNCTION("""COMPUTED_VALUE"""),"Kedai")</f>
        <v>Kedai</v>
      </c>
      <c r="S229" s="2" t="str">
        <f>IFERROR(__xludf.DUMMYFUNCTION("""COMPUTED_VALUE"""),"Temu Roti")</f>
        <v>Temu Roti</v>
      </c>
      <c r="T229" s="2" t="str">
        <f>IFERROR(__xludf.DUMMYFUNCTION("""COMPUTED_VALUE"""),"Owner")</f>
        <v>Owner</v>
      </c>
      <c r="U229" s="2"/>
      <c r="V229" s="2"/>
      <c r="W229" s="2"/>
      <c r="X229" s="2" t="str">
        <f>IFERROR(__xludf.DUMMYFUNCTION("""COMPUTED_VALUE"""),"Closed")</f>
        <v>Closed</v>
      </c>
    </row>
    <row r="230">
      <c r="A230" s="3" t="s">
        <v>251</v>
      </c>
      <c r="B230" s="4">
        <f>IFERROR(__xludf.DUMMYFUNCTION("SPLIT(A230,"","",0,0)"),45562.65)</f>
        <v>45562.65</v>
      </c>
      <c r="C230" s="5">
        <f>IFERROR(__xludf.DUMMYFUNCTION("""COMPUTED_VALUE"""),2770763.0)</f>
        <v>2770763</v>
      </c>
      <c r="D230" s="2" t="str">
        <f>IFERROR(__xludf.DUMMYFUNCTION("""COMPUTED_VALUE"""),"Sale")</f>
        <v>Sale</v>
      </c>
      <c r="E230" s="2" t="str">
        <f>IFERROR(__xludf.DUMMYFUNCTION("""COMPUTED_VALUE"""),"Minuman")</f>
        <v>Minuman</v>
      </c>
      <c r="F230" s="2">
        <f>IFERROR(__xludf.DUMMYFUNCTION("""COMPUTED_VALUE"""),10058.0)</f>
        <v>10058</v>
      </c>
      <c r="G230" s="2" t="str">
        <f>IFERROR(__xludf.DUMMYFUNCTION("""COMPUTED_VALUE"""),"Susu murni ori")</f>
        <v>Susu murni ori</v>
      </c>
      <c r="H230" s="2"/>
      <c r="I230" s="2"/>
      <c r="J230" s="2">
        <f>IFERROR(__xludf.DUMMYFUNCTION("""COMPUTED_VALUE"""),1.0)</f>
        <v>1</v>
      </c>
      <c r="K230" s="6">
        <f>IFERROR(__xludf.DUMMYFUNCTION("""COMPUTED_VALUE"""),19524.0)</f>
        <v>19524</v>
      </c>
      <c r="L230" s="2">
        <f>IFERROR(__xludf.DUMMYFUNCTION("""COMPUTED_VALUE"""),0.0)</f>
        <v>0</v>
      </c>
      <c r="M230" s="2">
        <f>IFERROR(__xludf.DUMMYFUNCTION("""COMPUTED_VALUE"""),19524.0)</f>
        <v>19524</v>
      </c>
      <c r="N230" s="2">
        <f>IFERROR(__xludf.DUMMYFUNCTION("""COMPUTED_VALUE"""),0.0)</f>
        <v>0</v>
      </c>
      <c r="O230" s="2">
        <f>IFERROR(__xludf.DUMMYFUNCTION("""COMPUTED_VALUE"""),19524.0)</f>
        <v>19524</v>
      </c>
      <c r="P230" s="2">
        <f>IFERROR(__xludf.DUMMYFUNCTION("""COMPUTED_VALUE"""),976.0)</f>
        <v>976</v>
      </c>
      <c r="Q230" s="2" t="str">
        <f>IFERROR(__xludf.DUMMYFUNCTION("""COMPUTED_VALUE"""),"Dine In")</f>
        <v>Dine In</v>
      </c>
      <c r="R230" s="2" t="str">
        <f>IFERROR(__xludf.DUMMYFUNCTION("""COMPUTED_VALUE"""),"Kedai")</f>
        <v>Kedai</v>
      </c>
      <c r="S230" s="2" t="str">
        <f>IFERROR(__xludf.DUMMYFUNCTION("""COMPUTED_VALUE"""),"Temu Roti")</f>
        <v>Temu Roti</v>
      </c>
      <c r="T230" s="2" t="str">
        <f>IFERROR(__xludf.DUMMYFUNCTION("""COMPUTED_VALUE"""),"Owner")</f>
        <v>Owner</v>
      </c>
      <c r="U230" s="2"/>
      <c r="V230" s="2"/>
      <c r="W230" s="2"/>
      <c r="X230" s="2" t="str">
        <f>IFERROR(__xludf.DUMMYFUNCTION("""COMPUTED_VALUE"""),"Closed")</f>
        <v>Closed</v>
      </c>
    </row>
    <row r="231">
      <c r="A231" s="3" t="s">
        <v>252</v>
      </c>
      <c r="B231" s="4">
        <f>IFERROR(__xludf.DUMMYFUNCTION("SPLIT(A231,"","",0,0)"),45562.65)</f>
        <v>45562.65</v>
      </c>
      <c r="C231" s="5">
        <f>IFERROR(__xludf.DUMMYFUNCTION("""COMPUTED_VALUE"""),2770763.0)</f>
        <v>2770763</v>
      </c>
      <c r="D231" s="2" t="str">
        <f>IFERROR(__xludf.DUMMYFUNCTION("""COMPUTED_VALUE"""),"Sale")</f>
        <v>Sale</v>
      </c>
      <c r="E231" s="2" t="str">
        <f>IFERROR(__xludf.DUMMYFUNCTION("""COMPUTED_VALUE"""),"Minuman")</f>
        <v>Minuman</v>
      </c>
      <c r="F231" s="2">
        <f>IFERROR(__xludf.DUMMYFUNCTION("""COMPUTED_VALUE"""),10128.0)</f>
        <v>10128</v>
      </c>
      <c r="G231" s="2" t="str">
        <f>IFERROR(__xludf.DUMMYFUNCTION("""COMPUTED_VALUE"""),"Es Kopi Susu")</f>
        <v>Es Kopi Susu</v>
      </c>
      <c r="H231" s="2"/>
      <c r="I231" s="2"/>
      <c r="J231" s="2">
        <f>IFERROR(__xludf.DUMMYFUNCTION("""COMPUTED_VALUE"""),1.0)</f>
        <v>1</v>
      </c>
      <c r="K231" s="6">
        <f>IFERROR(__xludf.DUMMYFUNCTION("""COMPUTED_VALUE"""),23333.0)</f>
        <v>23333</v>
      </c>
      <c r="L231" s="2">
        <f>IFERROR(__xludf.DUMMYFUNCTION("""COMPUTED_VALUE"""),0.0)</f>
        <v>0</v>
      </c>
      <c r="M231" s="2">
        <f>IFERROR(__xludf.DUMMYFUNCTION("""COMPUTED_VALUE"""),23333.0)</f>
        <v>23333</v>
      </c>
      <c r="N231" s="2">
        <f>IFERROR(__xludf.DUMMYFUNCTION("""COMPUTED_VALUE"""),0.0)</f>
        <v>0</v>
      </c>
      <c r="O231" s="2">
        <f>IFERROR(__xludf.DUMMYFUNCTION("""COMPUTED_VALUE"""),23333.0)</f>
        <v>23333</v>
      </c>
      <c r="P231" s="2">
        <f>IFERROR(__xludf.DUMMYFUNCTION("""COMPUTED_VALUE"""),1167.0)</f>
        <v>1167</v>
      </c>
      <c r="Q231" s="2" t="str">
        <f>IFERROR(__xludf.DUMMYFUNCTION("""COMPUTED_VALUE"""),"Dine In")</f>
        <v>Dine In</v>
      </c>
      <c r="R231" s="2" t="str">
        <f>IFERROR(__xludf.DUMMYFUNCTION("""COMPUTED_VALUE"""),"Kedai")</f>
        <v>Kedai</v>
      </c>
      <c r="S231" s="2" t="str">
        <f>IFERROR(__xludf.DUMMYFUNCTION("""COMPUTED_VALUE"""),"Temu Roti")</f>
        <v>Temu Roti</v>
      </c>
      <c r="T231" s="2" t="str">
        <f>IFERROR(__xludf.DUMMYFUNCTION("""COMPUTED_VALUE"""),"Owner")</f>
        <v>Owner</v>
      </c>
      <c r="U231" s="2"/>
      <c r="V231" s="2"/>
      <c r="W231" s="2"/>
      <c r="X231" s="2" t="str">
        <f>IFERROR(__xludf.DUMMYFUNCTION("""COMPUTED_VALUE"""),"Closed")</f>
        <v>Closed</v>
      </c>
    </row>
    <row r="232">
      <c r="A232" s="3" t="s">
        <v>253</v>
      </c>
      <c r="B232" s="4">
        <f>IFERROR(__xludf.DUMMYFUNCTION("SPLIT(A232,"","",0,0)"),45562.65)</f>
        <v>45562.65</v>
      </c>
      <c r="C232" s="5">
        <f>IFERROR(__xludf.DUMMYFUNCTION("""COMPUTED_VALUE"""),2770763.0)</f>
        <v>2770763</v>
      </c>
      <c r="D232" s="2" t="str">
        <f>IFERROR(__xludf.DUMMYFUNCTION("""COMPUTED_VALUE"""),"Sale")</f>
        <v>Sale</v>
      </c>
      <c r="E232" s="2" t="str">
        <f>IFERROR(__xludf.DUMMYFUNCTION("""COMPUTED_VALUE"""),"Hidangan Utama")</f>
        <v>Hidangan Utama</v>
      </c>
      <c r="F232" s="2">
        <f>IFERROR(__xludf.DUMMYFUNCTION("""COMPUTED_VALUE"""),10003.0)</f>
        <v>10003</v>
      </c>
      <c r="G232" s="2" t="str">
        <f>IFERROR(__xludf.DUMMYFUNCTION("""COMPUTED_VALUE"""),"Nasi Goreng Temu")</f>
        <v>Nasi Goreng Temu</v>
      </c>
      <c r="H232" s="2"/>
      <c r="I232" s="2"/>
      <c r="J232" s="2">
        <f>IFERROR(__xludf.DUMMYFUNCTION("""COMPUTED_VALUE"""),1.0)</f>
        <v>1</v>
      </c>
      <c r="K232" s="6">
        <f>IFERROR(__xludf.DUMMYFUNCTION("""COMPUTED_VALUE"""),29524.0)</f>
        <v>29524</v>
      </c>
      <c r="L232" s="2">
        <f>IFERROR(__xludf.DUMMYFUNCTION("""COMPUTED_VALUE"""),0.0)</f>
        <v>0</v>
      </c>
      <c r="M232" s="2">
        <f>IFERROR(__xludf.DUMMYFUNCTION("""COMPUTED_VALUE"""),29524.0)</f>
        <v>29524</v>
      </c>
      <c r="N232" s="2">
        <f>IFERROR(__xludf.DUMMYFUNCTION("""COMPUTED_VALUE"""),0.0)</f>
        <v>0</v>
      </c>
      <c r="O232" s="2">
        <f>IFERROR(__xludf.DUMMYFUNCTION("""COMPUTED_VALUE"""),29524.0)</f>
        <v>29524</v>
      </c>
      <c r="P232" s="2">
        <f>IFERROR(__xludf.DUMMYFUNCTION("""COMPUTED_VALUE"""),1476.0)</f>
        <v>1476</v>
      </c>
      <c r="Q232" s="2" t="str">
        <f>IFERROR(__xludf.DUMMYFUNCTION("""COMPUTED_VALUE"""),"Dine In")</f>
        <v>Dine In</v>
      </c>
      <c r="R232" s="2" t="str">
        <f>IFERROR(__xludf.DUMMYFUNCTION("""COMPUTED_VALUE"""),"Kedai")</f>
        <v>Kedai</v>
      </c>
      <c r="S232" s="2" t="str">
        <f>IFERROR(__xludf.DUMMYFUNCTION("""COMPUTED_VALUE"""),"Temu Roti")</f>
        <v>Temu Roti</v>
      </c>
      <c r="T232" s="2" t="str">
        <f>IFERROR(__xludf.DUMMYFUNCTION("""COMPUTED_VALUE"""),"Owner")</f>
        <v>Owner</v>
      </c>
      <c r="U232" s="2"/>
      <c r="V232" s="2"/>
      <c r="W232" s="2"/>
      <c r="X232" s="2" t="str">
        <f>IFERROR(__xludf.DUMMYFUNCTION("""COMPUTED_VALUE"""),"Closed")</f>
        <v>Closed</v>
      </c>
    </row>
    <row r="233">
      <c r="A233" s="3" t="s">
        <v>254</v>
      </c>
      <c r="B233" s="4">
        <f>IFERROR(__xludf.DUMMYFUNCTION("SPLIT(A233,"","",0,0)"),45562.614583333336)</f>
        <v>45562.61458</v>
      </c>
      <c r="C233" s="5">
        <f>IFERROR(__xludf.DUMMYFUNCTION("""COMPUTED_VALUE"""),2770398.0)</f>
        <v>2770398</v>
      </c>
      <c r="D233" s="2" t="str">
        <f>IFERROR(__xludf.DUMMYFUNCTION("""COMPUTED_VALUE"""),"Sale")</f>
        <v>Sale</v>
      </c>
      <c r="E233" s="2" t="str">
        <f>IFERROR(__xludf.DUMMYFUNCTION("""COMPUTED_VALUE"""),"Kudapan")</f>
        <v>Kudapan</v>
      </c>
      <c r="F233" s="2">
        <f>IFERROR(__xludf.DUMMYFUNCTION("""COMPUTED_VALUE"""),10010.0)</f>
        <v>10010</v>
      </c>
      <c r="G233" s="2" t="str">
        <f>IFERROR(__xludf.DUMMYFUNCTION("""COMPUTED_VALUE"""),"Pisang Goreng")</f>
        <v>Pisang Goreng</v>
      </c>
      <c r="H233" s="2"/>
      <c r="I233" s="2"/>
      <c r="J233" s="2">
        <f>IFERROR(__xludf.DUMMYFUNCTION("""COMPUTED_VALUE"""),1.0)</f>
        <v>1</v>
      </c>
      <c r="K233" s="6">
        <f>IFERROR(__xludf.DUMMYFUNCTION("""COMPUTED_VALUE"""),25238.0)</f>
        <v>25238</v>
      </c>
      <c r="L233" s="2">
        <f>IFERROR(__xludf.DUMMYFUNCTION("""COMPUTED_VALUE"""),0.0)</f>
        <v>0</v>
      </c>
      <c r="M233" s="2">
        <f>IFERROR(__xludf.DUMMYFUNCTION("""COMPUTED_VALUE"""),25238.0)</f>
        <v>25238</v>
      </c>
      <c r="N233" s="2">
        <f>IFERROR(__xludf.DUMMYFUNCTION("""COMPUTED_VALUE"""),0.0)</f>
        <v>0</v>
      </c>
      <c r="O233" s="2">
        <f>IFERROR(__xludf.DUMMYFUNCTION("""COMPUTED_VALUE"""),25238.0)</f>
        <v>25238</v>
      </c>
      <c r="P233" s="2">
        <f>IFERROR(__xludf.DUMMYFUNCTION("""COMPUTED_VALUE"""),1262.0)</f>
        <v>1262</v>
      </c>
      <c r="Q233" s="2" t="str">
        <f>IFERROR(__xludf.DUMMYFUNCTION("""COMPUTED_VALUE"""),"Dine In")</f>
        <v>Dine In</v>
      </c>
      <c r="R233" s="2" t="str">
        <f>IFERROR(__xludf.DUMMYFUNCTION("""COMPUTED_VALUE"""),"Kedai")</f>
        <v>Kedai</v>
      </c>
      <c r="S233" s="2" t="str">
        <f>IFERROR(__xludf.DUMMYFUNCTION("""COMPUTED_VALUE"""),"Temu Roti")</f>
        <v>Temu Roti</v>
      </c>
      <c r="T233" s="2" t="str">
        <f>IFERROR(__xludf.DUMMYFUNCTION("""COMPUTED_VALUE"""),"Owner")</f>
        <v>Owner</v>
      </c>
      <c r="U233" s="2"/>
      <c r="V233" s="2"/>
      <c r="W233" s="2"/>
      <c r="X233" s="2" t="str">
        <f>IFERROR(__xludf.DUMMYFUNCTION("""COMPUTED_VALUE"""),"Closed")</f>
        <v>Closed</v>
      </c>
    </row>
    <row r="234">
      <c r="A234" s="3" t="s">
        <v>255</v>
      </c>
      <c r="B234" s="4">
        <f>IFERROR(__xludf.DUMMYFUNCTION("SPLIT(A234,"","",0,0)"),45562.61319444444)</f>
        <v>45562.61319</v>
      </c>
      <c r="C234" s="5">
        <f>IFERROR(__xludf.DUMMYFUNCTION("""COMPUTED_VALUE"""),2770032.0)</f>
        <v>2770032</v>
      </c>
      <c r="D234" s="2" t="str">
        <f>IFERROR(__xludf.DUMMYFUNCTION("""COMPUTED_VALUE"""),"Sale")</f>
        <v>Sale</v>
      </c>
      <c r="E234" s="2" t="str">
        <f>IFERROR(__xludf.DUMMYFUNCTION("""COMPUTED_VALUE"""),"Roti")</f>
        <v>Roti</v>
      </c>
      <c r="F234" s="2">
        <f>IFERROR(__xludf.DUMMYFUNCTION("""COMPUTED_VALUE"""),10007.0)</f>
        <v>10007</v>
      </c>
      <c r="G234" s="2" t="str">
        <f>IFERROR(__xludf.DUMMYFUNCTION("""COMPUTED_VALUE"""),"Roti cranberry 2 pcs")</f>
        <v>Roti cranberry 2 pcs</v>
      </c>
      <c r="H234" s="2"/>
      <c r="I234" s="2"/>
      <c r="J234" s="2">
        <f>IFERROR(__xludf.DUMMYFUNCTION("""COMPUTED_VALUE"""),2.0)</f>
        <v>2</v>
      </c>
      <c r="K234" s="6">
        <f>IFERROR(__xludf.DUMMYFUNCTION("""COMPUTED_VALUE"""),67620.0)</f>
        <v>67620</v>
      </c>
      <c r="L234" s="2">
        <f>IFERROR(__xludf.DUMMYFUNCTION("""COMPUTED_VALUE"""),0.0)</f>
        <v>0</v>
      </c>
      <c r="M234" s="2">
        <f>IFERROR(__xludf.DUMMYFUNCTION("""COMPUTED_VALUE"""),67620.0)</f>
        <v>67620</v>
      </c>
      <c r="N234" s="2">
        <f>IFERROR(__xludf.DUMMYFUNCTION("""COMPUTED_VALUE"""),0.0)</f>
        <v>0</v>
      </c>
      <c r="O234" s="2">
        <f>IFERROR(__xludf.DUMMYFUNCTION("""COMPUTED_VALUE"""),67620.0)</f>
        <v>67620</v>
      </c>
      <c r="P234" s="2">
        <f>IFERROR(__xludf.DUMMYFUNCTION("""COMPUTED_VALUE"""),3381.0)</f>
        <v>3381</v>
      </c>
      <c r="Q234" s="2" t="str">
        <f>IFERROR(__xludf.DUMMYFUNCTION("""COMPUTED_VALUE"""),"Take Away")</f>
        <v>Take Away</v>
      </c>
      <c r="R234" s="2" t="str">
        <f>IFERROR(__xludf.DUMMYFUNCTION("""COMPUTED_VALUE"""),"Kedai")</f>
        <v>Kedai</v>
      </c>
      <c r="S234" s="2" t="str">
        <f>IFERROR(__xludf.DUMMYFUNCTION("""COMPUTED_VALUE"""),"Temu Roti")</f>
        <v>Temu Roti</v>
      </c>
      <c r="T234" s="2" t="str">
        <f>IFERROR(__xludf.DUMMYFUNCTION("""COMPUTED_VALUE"""),"Owner")</f>
        <v>Owner</v>
      </c>
      <c r="U234" s="2"/>
      <c r="V234" s="2"/>
      <c r="W234" s="2"/>
      <c r="X234" s="2" t="str">
        <f>IFERROR(__xludf.DUMMYFUNCTION("""COMPUTED_VALUE"""),"Closed")</f>
        <v>Closed</v>
      </c>
    </row>
    <row r="235">
      <c r="A235" s="3" t="s">
        <v>256</v>
      </c>
      <c r="B235" s="4">
        <f>IFERROR(__xludf.DUMMYFUNCTION("SPLIT(A235,"","",0,0)"),45562.59097222222)</f>
        <v>45562.59097</v>
      </c>
      <c r="C235" s="5">
        <f>IFERROR(__xludf.DUMMYFUNCTION("""COMPUTED_VALUE"""),2769667.0)</f>
        <v>2769667</v>
      </c>
      <c r="D235" s="2" t="str">
        <f>IFERROR(__xludf.DUMMYFUNCTION("""COMPUTED_VALUE"""),"Sale")</f>
        <v>Sale</v>
      </c>
      <c r="E235" s="2" t="str">
        <f>IFERROR(__xludf.DUMMYFUNCTION("""COMPUTED_VALUE"""),"Roti")</f>
        <v>Roti</v>
      </c>
      <c r="F235" s="2">
        <f>IFERROR(__xludf.DUMMYFUNCTION("""COMPUTED_VALUE"""),10007.0)</f>
        <v>10007</v>
      </c>
      <c r="G235" s="2" t="str">
        <f>IFERROR(__xludf.DUMMYFUNCTION("""COMPUTED_VALUE"""),"Roti cranberry 2 pcs")</f>
        <v>Roti cranberry 2 pcs</v>
      </c>
      <c r="H235" s="2"/>
      <c r="I235" s="2"/>
      <c r="J235" s="2">
        <f>IFERROR(__xludf.DUMMYFUNCTION("""COMPUTED_VALUE"""),1.0)</f>
        <v>1</v>
      </c>
      <c r="K235" s="6">
        <f>IFERROR(__xludf.DUMMYFUNCTION("""COMPUTED_VALUE"""),33810.0)</f>
        <v>33810</v>
      </c>
      <c r="L235" s="2">
        <f>IFERROR(__xludf.DUMMYFUNCTION("""COMPUTED_VALUE"""),0.0)</f>
        <v>0</v>
      </c>
      <c r="M235" s="2">
        <f>IFERROR(__xludf.DUMMYFUNCTION("""COMPUTED_VALUE"""),33810.0)</f>
        <v>33810</v>
      </c>
      <c r="N235" s="2">
        <f>IFERROR(__xludf.DUMMYFUNCTION("""COMPUTED_VALUE"""),0.0)</f>
        <v>0</v>
      </c>
      <c r="O235" s="2">
        <f>IFERROR(__xludf.DUMMYFUNCTION("""COMPUTED_VALUE"""),33810.0)</f>
        <v>33810</v>
      </c>
      <c r="P235" s="2">
        <f>IFERROR(__xludf.DUMMYFUNCTION("""COMPUTED_VALUE"""),1691.0)</f>
        <v>1691</v>
      </c>
      <c r="Q235" s="2" t="str">
        <f>IFERROR(__xludf.DUMMYFUNCTION("""COMPUTED_VALUE"""),"Dine In")</f>
        <v>Dine In</v>
      </c>
      <c r="R235" s="2" t="str">
        <f>IFERROR(__xludf.DUMMYFUNCTION("""COMPUTED_VALUE"""),"Kedai")</f>
        <v>Kedai</v>
      </c>
      <c r="S235" s="2" t="str">
        <f>IFERROR(__xludf.DUMMYFUNCTION("""COMPUTED_VALUE"""),"Temu Roti")</f>
        <v>Temu Roti</v>
      </c>
      <c r="T235" s="2" t="str">
        <f>IFERROR(__xludf.DUMMYFUNCTION("""COMPUTED_VALUE"""),"Owner")</f>
        <v>Owner</v>
      </c>
      <c r="U235" s="2"/>
      <c r="V235" s="2"/>
      <c r="W235" s="2"/>
      <c r="X235" s="2" t="str">
        <f>IFERROR(__xludf.DUMMYFUNCTION("""COMPUTED_VALUE"""),"Closed")</f>
        <v>Closed</v>
      </c>
    </row>
    <row r="236">
      <c r="A236" s="3" t="s">
        <v>257</v>
      </c>
      <c r="B236" s="4">
        <f>IFERROR(__xludf.DUMMYFUNCTION("SPLIT(A236,"","",0,0)"),45562.59097222222)</f>
        <v>45562.59097</v>
      </c>
      <c r="C236" s="5">
        <f>IFERROR(__xludf.DUMMYFUNCTION("""COMPUTED_VALUE"""),2769667.0)</f>
        <v>2769667</v>
      </c>
      <c r="D236" s="2" t="str">
        <f>IFERROR(__xludf.DUMMYFUNCTION("""COMPUTED_VALUE"""),"Sale")</f>
        <v>Sale</v>
      </c>
      <c r="E236" s="2" t="str">
        <f>IFERROR(__xludf.DUMMYFUNCTION("""COMPUTED_VALUE"""),"Roti")</f>
        <v>Roti</v>
      </c>
      <c r="F236" s="2">
        <f>IFERROR(__xludf.DUMMYFUNCTION("""COMPUTED_VALUE"""),10035.0)</f>
        <v>10035</v>
      </c>
      <c r="G236" s="2" t="str">
        <f>IFERROR(__xludf.DUMMYFUNCTION("""COMPUTED_VALUE"""),"Roti panggang alpukat")</f>
        <v>Roti panggang alpukat</v>
      </c>
      <c r="H236" s="2"/>
      <c r="I236" s="2"/>
      <c r="J236" s="2">
        <f>IFERROR(__xludf.DUMMYFUNCTION("""COMPUTED_VALUE"""),1.0)</f>
        <v>1</v>
      </c>
      <c r="K236" s="6">
        <f>IFERROR(__xludf.DUMMYFUNCTION("""COMPUTED_VALUE"""),21905.0)</f>
        <v>21905</v>
      </c>
      <c r="L236" s="2">
        <f>IFERROR(__xludf.DUMMYFUNCTION("""COMPUTED_VALUE"""),0.0)</f>
        <v>0</v>
      </c>
      <c r="M236" s="2">
        <f>IFERROR(__xludf.DUMMYFUNCTION("""COMPUTED_VALUE"""),21905.0)</f>
        <v>21905</v>
      </c>
      <c r="N236" s="2">
        <f>IFERROR(__xludf.DUMMYFUNCTION("""COMPUTED_VALUE"""),0.0)</f>
        <v>0</v>
      </c>
      <c r="O236" s="2">
        <f>IFERROR(__xludf.DUMMYFUNCTION("""COMPUTED_VALUE"""),21905.0)</f>
        <v>21905</v>
      </c>
      <c r="P236" s="2">
        <f>IFERROR(__xludf.DUMMYFUNCTION("""COMPUTED_VALUE"""),1095.0)</f>
        <v>1095</v>
      </c>
      <c r="Q236" s="2" t="str">
        <f>IFERROR(__xludf.DUMMYFUNCTION("""COMPUTED_VALUE"""),"Dine In")</f>
        <v>Dine In</v>
      </c>
      <c r="R236" s="2" t="str">
        <f>IFERROR(__xludf.DUMMYFUNCTION("""COMPUTED_VALUE"""),"Kedai")</f>
        <v>Kedai</v>
      </c>
      <c r="S236" s="2" t="str">
        <f>IFERROR(__xludf.DUMMYFUNCTION("""COMPUTED_VALUE"""),"Temu Roti")</f>
        <v>Temu Roti</v>
      </c>
      <c r="T236" s="2" t="str">
        <f>IFERROR(__xludf.DUMMYFUNCTION("""COMPUTED_VALUE"""),"Owner")</f>
        <v>Owner</v>
      </c>
      <c r="U236" s="2"/>
      <c r="V236" s="2"/>
      <c r="W236" s="2"/>
      <c r="X236" s="2" t="str">
        <f>IFERROR(__xludf.DUMMYFUNCTION("""COMPUTED_VALUE"""),"Closed")</f>
        <v>Closed</v>
      </c>
    </row>
    <row r="237">
      <c r="A237" s="3" t="s">
        <v>258</v>
      </c>
      <c r="B237" s="4">
        <f>IFERROR(__xludf.DUMMYFUNCTION("SPLIT(A237,"","",0,0)"),45562.59097222222)</f>
        <v>45562.59097</v>
      </c>
      <c r="C237" s="5">
        <f>IFERROR(__xludf.DUMMYFUNCTION("""COMPUTED_VALUE"""),2769667.0)</f>
        <v>2769667</v>
      </c>
      <c r="D237" s="2" t="str">
        <f>IFERROR(__xludf.DUMMYFUNCTION("""COMPUTED_VALUE"""),"Sale")</f>
        <v>Sale</v>
      </c>
      <c r="E237" s="2" t="str">
        <f>IFERROR(__xludf.DUMMYFUNCTION("""COMPUTED_VALUE"""),"Minuman")</f>
        <v>Minuman</v>
      </c>
      <c r="F237" s="2">
        <f>IFERROR(__xludf.DUMMYFUNCTION("""COMPUTED_VALUE"""),10128.0)</f>
        <v>10128</v>
      </c>
      <c r="G237" s="2" t="str">
        <f>IFERROR(__xludf.DUMMYFUNCTION("""COMPUTED_VALUE"""),"Es Kopi Susu")</f>
        <v>Es Kopi Susu</v>
      </c>
      <c r="H237" s="2"/>
      <c r="I237" s="2"/>
      <c r="J237" s="2">
        <f>IFERROR(__xludf.DUMMYFUNCTION("""COMPUTED_VALUE"""),1.0)</f>
        <v>1</v>
      </c>
      <c r="K237" s="6">
        <f>IFERROR(__xludf.DUMMYFUNCTION("""COMPUTED_VALUE"""),23333.0)</f>
        <v>23333</v>
      </c>
      <c r="L237" s="2">
        <f>IFERROR(__xludf.DUMMYFUNCTION("""COMPUTED_VALUE"""),0.0)</f>
        <v>0</v>
      </c>
      <c r="M237" s="2">
        <f>IFERROR(__xludf.DUMMYFUNCTION("""COMPUTED_VALUE"""),23333.0)</f>
        <v>23333</v>
      </c>
      <c r="N237" s="2">
        <f>IFERROR(__xludf.DUMMYFUNCTION("""COMPUTED_VALUE"""),0.0)</f>
        <v>0</v>
      </c>
      <c r="O237" s="2">
        <f>IFERROR(__xludf.DUMMYFUNCTION("""COMPUTED_VALUE"""),23333.0)</f>
        <v>23333</v>
      </c>
      <c r="P237" s="2">
        <f>IFERROR(__xludf.DUMMYFUNCTION("""COMPUTED_VALUE"""),1166.0)</f>
        <v>1166</v>
      </c>
      <c r="Q237" s="2" t="str">
        <f>IFERROR(__xludf.DUMMYFUNCTION("""COMPUTED_VALUE"""),"Dine In")</f>
        <v>Dine In</v>
      </c>
      <c r="R237" s="2" t="str">
        <f>IFERROR(__xludf.DUMMYFUNCTION("""COMPUTED_VALUE"""),"Kedai")</f>
        <v>Kedai</v>
      </c>
      <c r="S237" s="2" t="str">
        <f>IFERROR(__xludf.DUMMYFUNCTION("""COMPUTED_VALUE"""),"Temu Roti")</f>
        <v>Temu Roti</v>
      </c>
      <c r="T237" s="2" t="str">
        <f>IFERROR(__xludf.DUMMYFUNCTION("""COMPUTED_VALUE"""),"Owner")</f>
        <v>Owner</v>
      </c>
      <c r="U237" s="2"/>
      <c r="V237" s="2"/>
      <c r="W237" s="2"/>
      <c r="X237" s="2" t="str">
        <f>IFERROR(__xludf.DUMMYFUNCTION("""COMPUTED_VALUE"""),"Closed")</f>
        <v>Closed</v>
      </c>
    </row>
    <row r="238">
      <c r="A238" s="3" t="s">
        <v>259</v>
      </c>
      <c r="B238" s="4">
        <f>IFERROR(__xludf.DUMMYFUNCTION("SPLIT(A238,"","",0,0)"),45562.51458333333)</f>
        <v>45562.51458</v>
      </c>
      <c r="C238" s="5">
        <f>IFERROR(__xludf.DUMMYFUNCTION("""COMPUTED_VALUE"""),2769302.0)</f>
        <v>2769302</v>
      </c>
      <c r="D238" s="2" t="str">
        <f>IFERROR(__xludf.DUMMYFUNCTION("""COMPUTED_VALUE"""),"Sale")</f>
        <v>Sale</v>
      </c>
      <c r="E238" s="2" t="str">
        <f>IFERROR(__xludf.DUMMYFUNCTION("""COMPUTED_VALUE"""),"Hidangan Utama")</f>
        <v>Hidangan Utama</v>
      </c>
      <c r="F238" s="2">
        <f>IFERROR(__xludf.DUMMYFUNCTION("""COMPUTED_VALUE"""),10105.0)</f>
        <v>10105</v>
      </c>
      <c r="G238" s="2" t="str">
        <f>IFERROR(__xludf.DUMMYFUNCTION("""COMPUTED_VALUE"""),"Beef Claypot Rice")</f>
        <v>Beef Claypot Rice</v>
      </c>
      <c r="H238" s="2"/>
      <c r="I238" s="2"/>
      <c r="J238" s="2">
        <f>IFERROR(__xludf.DUMMYFUNCTION("""COMPUTED_VALUE"""),1.0)</f>
        <v>1</v>
      </c>
      <c r="K238" s="6">
        <f>IFERROR(__xludf.DUMMYFUNCTION("""COMPUTED_VALUE"""),38095.0)</f>
        <v>38095</v>
      </c>
      <c r="L238" s="2">
        <f>IFERROR(__xludf.DUMMYFUNCTION("""COMPUTED_VALUE"""),0.0)</f>
        <v>0</v>
      </c>
      <c r="M238" s="2">
        <f>IFERROR(__xludf.DUMMYFUNCTION("""COMPUTED_VALUE"""),38095.0)</f>
        <v>38095</v>
      </c>
      <c r="N238" s="2">
        <f>IFERROR(__xludf.DUMMYFUNCTION("""COMPUTED_VALUE"""),0.0)</f>
        <v>0</v>
      </c>
      <c r="O238" s="2">
        <f>IFERROR(__xludf.DUMMYFUNCTION("""COMPUTED_VALUE"""),38095.0)</f>
        <v>38095</v>
      </c>
      <c r="P238" s="2">
        <f>IFERROR(__xludf.DUMMYFUNCTION("""COMPUTED_VALUE"""),1905.0)</f>
        <v>1905</v>
      </c>
      <c r="Q238" s="2" t="str">
        <f>IFERROR(__xludf.DUMMYFUNCTION("""COMPUTED_VALUE"""),"Dine In")</f>
        <v>Dine In</v>
      </c>
      <c r="R238" s="2" t="str">
        <f>IFERROR(__xludf.DUMMYFUNCTION("""COMPUTED_VALUE"""),"Kedai")</f>
        <v>Kedai</v>
      </c>
      <c r="S238" s="2" t="str">
        <f>IFERROR(__xludf.DUMMYFUNCTION("""COMPUTED_VALUE"""),"Temu Roti")</f>
        <v>Temu Roti</v>
      </c>
      <c r="T238" s="2" t="str">
        <f>IFERROR(__xludf.DUMMYFUNCTION("""COMPUTED_VALUE"""),"Owner")</f>
        <v>Owner</v>
      </c>
      <c r="U238" s="2"/>
      <c r="V238" s="2"/>
      <c r="W238" s="2"/>
      <c r="X238" s="2" t="str">
        <f>IFERROR(__xludf.DUMMYFUNCTION("""COMPUTED_VALUE"""),"Closed")</f>
        <v>Closed</v>
      </c>
    </row>
    <row r="239">
      <c r="A239" s="3" t="s">
        <v>260</v>
      </c>
      <c r="B239" s="4">
        <f>IFERROR(__xludf.DUMMYFUNCTION("SPLIT(A239,"","",0,0)"),45562.51458333333)</f>
        <v>45562.51458</v>
      </c>
      <c r="C239" s="5">
        <f>IFERROR(__xludf.DUMMYFUNCTION("""COMPUTED_VALUE"""),2769302.0)</f>
        <v>2769302</v>
      </c>
      <c r="D239" s="2" t="str">
        <f>IFERROR(__xludf.DUMMYFUNCTION("""COMPUTED_VALUE"""),"Sale")</f>
        <v>Sale</v>
      </c>
      <c r="E239" s="2" t="str">
        <f>IFERROR(__xludf.DUMMYFUNCTION("""COMPUTED_VALUE"""),"Minuman")</f>
        <v>Minuman</v>
      </c>
      <c r="F239" s="2">
        <f>IFERROR(__xludf.DUMMYFUNCTION("""COMPUTED_VALUE"""),10112.0)</f>
        <v>10112</v>
      </c>
      <c r="G239" s="2" t="str">
        <f>IFERROR(__xludf.DUMMYFUNCTION("""COMPUTED_VALUE"""),"Air mineral")</f>
        <v>Air mineral</v>
      </c>
      <c r="H239" s="2"/>
      <c r="I239" s="2"/>
      <c r="J239" s="2">
        <f>IFERROR(__xludf.DUMMYFUNCTION("""COMPUTED_VALUE"""),1.0)</f>
        <v>1</v>
      </c>
      <c r="K239" s="6">
        <f>IFERROR(__xludf.DUMMYFUNCTION("""COMPUTED_VALUE"""),6667.0)</f>
        <v>6667</v>
      </c>
      <c r="L239" s="2">
        <f>IFERROR(__xludf.DUMMYFUNCTION("""COMPUTED_VALUE"""),0.0)</f>
        <v>0</v>
      </c>
      <c r="M239" s="2">
        <f>IFERROR(__xludf.DUMMYFUNCTION("""COMPUTED_VALUE"""),6667.0)</f>
        <v>6667</v>
      </c>
      <c r="N239" s="2">
        <f>IFERROR(__xludf.DUMMYFUNCTION("""COMPUTED_VALUE"""),0.0)</f>
        <v>0</v>
      </c>
      <c r="O239" s="2">
        <f>IFERROR(__xludf.DUMMYFUNCTION("""COMPUTED_VALUE"""),6667.0)</f>
        <v>6667</v>
      </c>
      <c r="P239" s="2">
        <f>IFERROR(__xludf.DUMMYFUNCTION("""COMPUTED_VALUE"""),333.0)</f>
        <v>333</v>
      </c>
      <c r="Q239" s="2" t="str">
        <f>IFERROR(__xludf.DUMMYFUNCTION("""COMPUTED_VALUE"""),"Dine In")</f>
        <v>Dine In</v>
      </c>
      <c r="R239" s="2" t="str">
        <f>IFERROR(__xludf.DUMMYFUNCTION("""COMPUTED_VALUE"""),"Kedai")</f>
        <v>Kedai</v>
      </c>
      <c r="S239" s="2" t="str">
        <f>IFERROR(__xludf.DUMMYFUNCTION("""COMPUTED_VALUE"""),"Temu Roti")</f>
        <v>Temu Roti</v>
      </c>
      <c r="T239" s="2" t="str">
        <f>IFERROR(__xludf.DUMMYFUNCTION("""COMPUTED_VALUE"""),"Owner")</f>
        <v>Owner</v>
      </c>
      <c r="U239" s="2"/>
      <c r="V239" s="2"/>
      <c r="W239" s="2"/>
      <c r="X239" s="2" t="str">
        <f>IFERROR(__xludf.DUMMYFUNCTION("""COMPUTED_VALUE"""),"Closed")</f>
        <v>Closed</v>
      </c>
    </row>
    <row r="240">
      <c r="A240" s="3" t="s">
        <v>261</v>
      </c>
      <c r="B240" s="4">
        <f>IFERROR(__xludf.DUMMYFUNCTION("SPLIT(A240,"","",0,0)"),45562.50625)</f>
        <v>45562.50625</v>
      </c>
      <c r="C240" s="5">
        <f>IFERROR(__xludf.DUMMYFUNCTION("""COMPUTED_VALUE"""),2768937.0)</f>
        <v>2768937</v>
      </c>
      <c r="D240" s="2" t="str">
        <f>IFERROR(__xludf.DUMMYFUNCTION("""COMPUTED_VALUE"""),"Sale")</f>
        <v>Sale</v>
      </c>
      <c r="E240" s="2" t="str">
        <f>IFERROR(__xludf.DUMMYFUNCTION("""COMPUTED_VALUE"""),"Roti")</f>
        <v>Roti</v>
      </c>
      <c r="F240" s="2">
        <f>IFERROR(__xludf.DUMMYFUNCTION("""COMPUTED_VALUE"""),10055.0)</f>
        <v>10055</v>
      </c>
      <c r="G240" s="2" t="str">
        <f>IFERROR(__xludf.DUMMYFUNCTION("""COMPUTED_VALUE"""),"Roti Gandum Cokelat 2 pcs")</f>
        <v>Roti Gandum Cokelat 2 pcs</v>
      </c>
      <c r="H240" s="2"/>
      <c r="I240" s="2"/>
      <c r="J240" s="2">
        <f>IFERROR(__xludf.DUMMYFUNCTION("""COMPUTED_VALUE"""),1.0)</f>
        <v>1</v>
      </c>
      <c r="K240" s="6">
        <f>IFERROR(__xludf.DUMMYFUNCTION("""COMPUTED_VALUE"""),34762.0)</f>
        <v>34762</v>
      </c>
      <c r="L240" s="2">
        <f>IFERROR(__xludf.DUMMYFUNCTION("""COMPUTED_VALUE"""),0.0)</f>
        <v>0</v>
      </c>
      <c r="M240" s="2">
        <f>IFERROR(__xludf.DUMMYFUNCTION("""COMPUTED_VALUE"""),34762.0)</f>
        <v>34762</v>
      </c>
      <c r="N240" s="2">
        <f>IFERROR(__xludf.DUMMYFUNCTION("""COMPUTED_VALUE"""),0.0)</f>
        <v>0</v>
      </c>
      <c r="O240" s="2">
        <f>IFERROR(__xludf.DUMMYFUNCTION("""COMPUTED_VALUE"""),34762.0)</f>
        <v>34762</v>
      </c>
      <c r="P240" s="2">
        <f>IFERROR(__xludf.DUMMYFUNCTION("""COMPUTED_VALUE"""),1738.0)</f>
        <v>1738</v>
      </c>
      <c r="Q240" s="2" t="str">
        <f>IFERROR(__xludf.DUMMYFUNCTION("""COMPUTED_VALUE"""),"Dine In")</f>
        <v>Dine In</v>
      </c>
      <c r="R240" s="2" t="str">
        <f>IFERROR(__xludf.DUMMYFUNCTION("""COMPUTED_VALUE"""),"Kedai")</f>
        <v>Kedai</v>
      </c>
      <c r="S240" s="2" t="str">
        <f>IFERROR(__xludf.DUMMYFUNCTION("""COMPUTED_VALUE"""),"Temu Roti")</f>
        <v>Temu Roti</v>
      </c>
      <c r="T240" s="2" t="str">
        <f>IFERROR(__xludf.DUMMYFUNCTION("""COMPUTED_VALUE"""),"Owner")</f>
        <v>Owner</v>
      </c>
      <c r="U240" s="2"/>
      <c r="V240" s="2"/>
      <c r="W240" s="2"/>
      <c r="X240" s="2" t="str">
        <f>IFERROR(__xludf.DUMMYFUNCTION("""COMPUTED_VALUE"""),"Closed")</f>
        <v>Closed</v>
      </c>
    </row>
    <row r="241">
      <c r="A241" s="3" t="s">
        <v>262</v>
      </c>
      <c r="B241" s="4">
        <f>IFERROR(__xludf.DUMMYFUNCTION("SPLIT(A241,"","",0,0)"),45562.493055555555)</f>
        <v>45562.49306</v>
      </c>
      <c r="C241" s="5">
        <f>IFERROR(__xludf.DUMMYFUNCTION("""COMPUTED_VALUE"""),2768571.0)</f>
        <v>2768571</v>
      </c>
      <c r="D241" s="2" t="str">
        <f>IFERROR(__xludf.DUMMYFUNCTION("""COMPUTED_VALUE"""),"Sale")</f>
        <v>Sale</v>
      </c>
      <c r="E241" s="2" t="str">
        <f>IFERROR(__xludf.DUMMYFUNCTION("""COMPUTED_VALUE"""),"Roti")</f>
        <v>Roti</v>
      </c>
      <c r="F241" s="2">
        <f>IFERROR(__xludf.DUMMYFUNCTION("""COMPUTED_VALUE"""),10002.0)</f>
        <v>10002</v>
      </c>
      <c r="G241" s="2" t="str">
        <f>IFERROR(__xludf.DUMMYFUNCTION("""COMPUTED_VALUE"""),"Roti Cranberry")</f>
        <v>Roti Cranberry</v>
      </c>
      <c r="H241" s="2"/>
      <c r="I241" s="2"/>
      <c r="J241" s="2">
        <f>IFERROR(__xludf.DUMMYFUNCTION("""COMPUTED_VALUE"""),1.0)</f>
        <v>1</v>
      </c>
      <c r="K241" s="6">
        <f>IFERROR(__xludf.DUMMYFUNCTION("""COMPUTED_VALUE"""),18571.0)</f>
        <v>18571</v>
      </c>
      <c r="L241" s="2">
        <f>IFERROR(__xludf.DUMMYFUNCTION("""COMPUTED_VALUE"""),0.0)</f>
        <v>0</v>
      </c>
      <c r="M241" s="2">
        <f>IFERROR(__xludf.DUMMYFUNCTION("""COMPUTED_VALUE"""),18571.0)</f>
        <v>18571</v>
      </c>
      <c r="N241" s="2">
        <f>IFERROR(__xludf.DUMMYFUNCTION("""COMPUTED_VALUE"""),0.0)</f>
        <v>0</v>
      </c>
      <c r="O241" s="2">
        <f>IFERROR(__xludf.DUMMYFUNCTION("""COMPUTED_VALUE"""),18571.0)</f>
        <v>18571</v>
      </c>
      <c r="P241" s="2">
        <f>IFERROR(__xludf.DUMMYFUNCTION("""COMPUTED_VALUE"""),929.0)</f>
        <v>929</v>
      </c>
      <c r="Q241" s="2" t="str">
        <f>IFERROR(__xludf.DUMMYFUNCTION("""COMPUTED_VALUE"""),"Dine In")</f>
        <v>Dine In</v>
      </c>
      <c r="R241" s="2" t="str">
        <f>IFERROR(__xludf.DUMMYFUNCTION("""COMPUTED_VALUE"""),"Kedai")</f>
        <v>Kedai</v>
      </c>
      <c r="S241" s="2" t="str">
        <f>IFERROR(__xludf.DUMMYFUNCTION("""COMPUTED_VALUE"""),"Temu Roti")</f>
        <v>Temu Roti</v>
      </c>
      <c r="T241" s="2" t="str">
        <f>IFERROR(__xludf.DUMMYFUNCTION("""COMPUTED_VALUE"""),"Owner")</f>
        <v>Owner</v>
      </c>
      <c r="U241" s="2"/>
      <c r="V241" s="2"/>
      <c r="W241" s="2"/>
      <c r="X241" s="2" t="str">
        <f>IFERROR(__xludf.DUMMYFUNCTION("""COMPUTED_VALUE"""),"Closed")</f>
        <v>Closed</v>
      </c>
    </row>
    <row r="242">
      <c r="A242" s="3" t="s">
        <v>263</v>
      </c>
      <c r="B242" s="4">
        <f>IFERROR(__xludf.DUMMYFUNCTION("SPLIT(A242,"","",0,0)"),45562.493055555555)</f>
        <v>45562.49306</v>
      </c>
      <c r="C242" s="5">
        <f>IFERROR(__xludf.DUMMYFUNCTION("""COMPUTED_VALUE"""),2768571.0)</f>
        <v>2768571</v>
      </c>
      <c r="D242" s="2" t="str">
        <f>IFERROR(__xludf.DUMMYFUNCTION("""COMPUTED_VALUE"""),"Sale")</f>
        <v>Sale</v>
      </c>
      <c r="E242" s="2" t="str">
        <f>IFERROR(__xludf.DUMMYFUNCTION("""COMPUTED_VALUE"""),"Kudapan")</f>
        <v>Kudapan</v>
      </c>
      <c r="F242" s="2">
        <f>IFERROR(__xludf.DUMMYFUNCTION("""COMPUTED_VALUE"""),10051.0)</f>
        <v>10051</v>
      </c>
      <c r="G242" s="2" t="str">
        <f>IFERROR(__xludf.DUMMYFUNCTION("""COMPUTED_VALUE"""),"Tahu baso")</f>
        <v>Tahu baso</v>
      </c>
      <c r="H242" s="2"/>
      <c r="I242" s="2"/>
      <c r="J242" s="2">
        <f>IFERROR(__xludf.DUMMYFUNCTION("""COMPUTED_VALUE"""),1.0)</f>
        <v>1</v>
      </c>
      <c r="K242" s="6">
        <f>IFERROR(__xludf.DUMMYFUNCTION("""COMPUTED_VALUE"""),25238.0)</f>
        <v>25238</v>
      </c>
      <c r="L242" s="2">
        <f>IFERROR(__xludf.DUMMYFUNCTION("""COMPUTED_VALUE"""),0.0)</f>
        <v>0</v>
      </c>
      <c r="M242" s="2">
        <f>IFERROR(__xludf.DUMMYFUNCTION("""COMPUTED_VALUE"""),25238.0)</f>
        <v>25238</v>
      </c>
      <c r="N242" s="2">
        <f>IFERROR(__xludf.DUMMYFUNCTION("""COMPUTED_VALUE"""),0.0)</f>
        <v>0</v>
      </c>
      <c r="O242" s="2">
        <f>IFERROR(__xludf.DUMMYFUNCTION("""COMPUTED_VALUE"""),25238.0)</f>
        <v>25238</v>
      </c>
      <c r="P242" s="2">
        <f>IFERROR(__xludf.DUMMYFUNCTION("""COMPUTED_VALUE"""),1261.0)</f>
        <v>1261</v>
      </c>
      <c r="Q242" s="2" t="str">
        <f>IFERROR(__xludf.DUMMYFUNCTION("""COMPUTED_VALUE"""),"Dine In")</f>
        <v>Dine In</v>
      </c>
      <c r="R242" s="2" t="str">
        <f>IFERROR(__xludf.DUMMYFUNCTION("""COMPUTED_VALUE"""),"Kedai")</f>
        <v>Kedai</v>
      </c>
      <c r="S242" s="2" t="str">
        <f>IFERROR(__xludf.DUMMYFUNCTION("""COMPUTED_VALUE"""),"Temu Roti")</f>
        <v>Temu Roti</v>
      </c>
      <c r="T242" s="2" t="str">
        <f>IFERROR(__xludf.DUMMYFUNCTION("""COMPUTED_VALUE"""),"Owner")</f>
        <v>Owner</v>
      </c>
      <c r="U242" s="2"/>
      <c r="V242" s="2"/>
      <c r="W242" s="2"/>
      <c r="X242" s="2" t="str">
        <f>IFERROR(__xludf.DUMMYFUNCTION("""COMPUTED_VALUE"""),"Closed")</f>
        <v>Closed</v>
      </c>
    </row>
    <row r="243">
      <c r="A243" s="3" t="s">
        <v>264</v>
      </c>
      <c r="B243" s="4">
        <f>IFERROR(__xludf.DUMMYFUNCTION("SPLIT(A243,"","",0,0)"),45562.493055555555)</f>
        <v>45562.49306</v>
      </c>
      <c r="C243" s="5">
        <f>IFERROR(__xludf.DUMMYFUNCTION("""COMPUTED_VALUE"""),2768571.0)</f>
        <v>2768571</v>
      </c>
      <c r="D243" s="2" t="str">
        <f>IFERROR(__xludf.DUMMYFUNCTION("""COMPUTED_VALUE"""),"Sale")</f>
        <v>Sale</v>
      </c>
      <c r="E243" s="2" t="str">
        <f>IFERROR(__xludf.DUMMYFUNCTION("""COMPUTED_VALUE"""),"Minuman")</f>
        <v>Minuman</v>
      </c>
      <c r="F243" s="2">
        <f>IFERROR(__xludf.DUMMYFUNCTION("""COMPUTED_VALUE"""),10125.0)</f>
        <v>10125</v>
      </c>
      <c r="G243" s="2" t="str">
        <f>IFERROR(__xludf.DUMMYFUNCTION("""COMPUTED_VALUE"""),"Gula Asam Dingin")</f>
        <v>Gula Asam Dingin</v>
      </c>
      <c r="H243" s="2"/>
      <c r="I243" s="2"/>
      <c r="J243" s="2">
        <f>IFERROR(__xludf.DUMMYFUNCTION("""COMPUTED_VALUE"""),1.0)</f>
        <v>1</v>
      </c>
      <c r="K243" s="6">
        <f>IFERROR(__xludf.DUMMYFUNCTION("""COMPUTED_VALUE"""),20476.0)</f>
        <v>20476</v>
      </c>
      <c r="L243" s="2">
        <f>IFERROR(__xludf.DUMMYFUNCTION("""COMPUTED_VALUE"""),0.0)</f>
        <v>0</v>
      </c>
      <c r="M243" s="2">
        <f>IFERROR(__xludf.DUMMYFUNCTION("""COMPUTED_VALUE"""),20476.0)</f>
        <v>20476</v>
      </c>
      <c r="N243" s="2">
        <f>IFERROR(__xludf.DUMMYFUNCTION("""COMPUTED_VALUE"""),0.0)</f>
        <v>0</v>
      </c>
      <c r="O243" s="2">
        <f>IFERROR(__xludf.DUMMYFUNCTION("""COMPUTED_VALUE"""),20476.0)</f>
        <v>20476</v>
      </c>
      <c r="P243" s="2">
        <f>IFERROR(__xludf.DUMMYFUNCTION("""COMPUTED_VALUE"""),1024.0)</f>
        <v>1024</v>
      </c>
      <c r="Q243" s="2" t="str">
        <f>IFERROR(__xludf.DUMMYFUNCTION("""COMPUTED_VALUE"""),"Dine In")</f>
        <v>Dine In</v>
      </c>
      <c r="R243" s="2" t="str">
        <f>IFERROR(__xludf.DUMMYFUNCTION("""COMPUTED_VALUE"""),"Kedai")</f>
        <v>Kedai</v>
      </c>
      <c r="S243" s="2" t="str">
        <f>IFERROR(__xludf.DUMMYFUNCTION("""COMPUTED_VALUE"""),"Temu Roti")</f>
        <v>Temu Roti</v>
      </c>
      <c r="T243" s="2" t="str">
        <f>IFERROR(__xludf.DUMMYFUNCTION("""COMPUTED_VALUE"""),"Owner")</f>
        <v>Owner</v>
      </c>
      <c r="U243" s="2"/>
      <c r="V243" s="2"/>
      <c r="W243" s="2"/>
      <c r="X243" s="2" t="str">
        <f>IFERROR(__xludf.DUMMYFUNCTION("""COMPUTED_VALUE"""),"Closed")</f>
        <v>Closed</v>
      </c>
    </row>
    <row r="244">
      <c r="A244" s="3" t="s">
        <v>265</v>
      </c>
      <c r="B244" s="4">
        <f>IFERROR(__xludf.DUMMYFUNCTION("SPLIT(A244,"","",0,0)"),45562.493055555555)</f>
        <v>45562.49306</v>
      </c>
      <c r="C244" s="5">
        <f>IFERROR(__xludf.DUMMYFUNCTION("""COMPUTED_VALUE"""),2768571.0)</f>
        <v>2768571</v>
      </c>
      <c r="D244" s="2" t="str">
        <f>IFERROR(__xludf.DUMMYFUNCTION("""COMPUTED_VALUE"""),"Sale")</f>
        <v>Sale</v>
      </c>
      <c r="E244" s="2" t="str">
        <f>IFERROR(__xludf.DUMMYFUNCTION("""COMPUTED_VALUE"""),"Minuman")</f>
        <v>Minuman</v>
      </c>
      <c r="F244" s="2">
        <f>IFERROR(__xludf.DUMMYFUNCTION("""COMPUTED_VALUE"""),10127.0)</f>
        <v>10127</v>
      </c>
      <c r="G244" s="2" t="str">
        <f>IFERROR(__xludf.DUMMYFUNCTION("""COMPUTED_VALUE"""),"Kopi Tubruk Panas")</f>
        <v>Kopi Tubruk Panas</v>
      </c>
      <c r="H244" s="2"/>
      <c r="I244" s="2"/>
      <c r="J244" s="2">
        <f>IFERROR(__xludf.DUMMYFUNCTION("""COMPUTED_VALUE"""),1.0)</f>
        <v>1</v>
      </c>
      <c r="K244" s="6">
        <f>IFERROR(__xludf.DUMMYFUNCTION("""COMPUTED_VALUE"""),18571.0)</f>
        <v>18571</v>
      </c>
      <c r="L244" s="2">
        <f>IFERROR(__xludf.DUMMYFUNCTION("""COMPUTED_VALUE"""),0.0)</f>
        <v>0</v>
      </c>
      <c r="M244" s="2">
        <f>IFERROR(__xludf.DUMMYFUNCTION("""COMPUTED_VALUE"""),18571.0)</f>
        <v>18571</v>
      </c>
      <c r="N244" s="2">
        <f>IFERROR(__xludf.DUMMYFUNCTION("""COMPUTED_VALUE"""),0.0)</f>
        <v>0</v>
      </c>
      <c r="O244" s="2">
        <f>IFERROR(__xludf.DUMMYFUNCTION("""COMPUTED_VALUE"""),18571.0)</f>
        <v>18571</v>
      </c>
      <c r="P244" s="2">
        <f>IFERROR(__xludf.DUMMYFUNCTION("""COMPUTED_VALUE"""),929.0)</f>
        <v>929</v>
      </c>
      <c r="Q244" s="2" t="str">
        <f>IFERROR(__xludf.DUMMYFUNCTION("""COMPUTED_VALUE"""),"Dine In")</f>
        <v>Dine In</v>
      </c>
      <c r="R244" s="2" t="str">
        <f>IFERROR(__xludf.DUMMYFUNCTION("""COMPUTED_VALUE"""),"Kedai")</f>
        <v>Kedai</v>
      </c>
      <c r="S244" s="2" t="str">
        <f>IFERROR(__xludf.DUMMYFUNCTION("""COMPUTED_VALUE"""),"Temu Roti")</f>
        <v>Temu Roti</v>
      </c>
      <c r="T244" s="2" t="str">
        <f>IFERROR(__xludf.DUMMYFUNCTION("""COMPUTED_VALUE"""),"Owner")</f>
        <v>Owner</v>
      </c>
      <c r="U244" s="2"/>
      <c r="V244" s="2"/>
      <c r="W244" s="2"/>
      <c r="X244" s="2" t="str">
        <f>IFERROR(__xludf.DUMMYFUNCTION("""COMPUTED_VALUE"""),"Closed")</f>
        <v>Closed</v>
      </c>
    </row>
    <row r="245">
      <c r="A245" s="3" t="s">
        <v>266</v>
      </c>
      <c r="B245" s="4">
        <f>IFERROR(__xludf.DUMMYFUNCTION("SPLIT(A245,"","",0,0)"),45562.493055555555)</f>
        <v>45562.49306</v>
      </c>
      <c r="C245" s="5">
        <f>IFERROR(__xludf.DUMMYFUNCTION("""COMPUTED_VALUE"""),2768571.0)</f>
        <v>2768571</v>
      </c>
      <c r="D245" s="2" t="str">
        <f>IFERROR(__xludf.DUMMYFUNCTION("""COMPUTED_VALUE"""),"Sale")</f>
        <v>Sale</v>
      </c>
      <c r="E245" s="2" t="str">
        <f>IFERROR(__xludf.DUMMYFUNCTION("""COMPUTED_VALUE"""),"Kudapan")</f>
        <v>Kudapan</v>
      </c>
      <c r="F245" s="2">
        <f>IFERROR(__xludf.DUMMYFUNCTION("""COMPUTED_VALUE"""),10010.0)</f>
        <v>10010</v>
      </c>
      <c r="G245" s="2" t="str">
        <f>IFERROR(__xludf.DUMMYFUNCTION("""COMPUTED_VALUE"""),"Pisang Goreng")</f>
        <v>Pisang Goreng</v>
      </c>
      <c r="H245" s="2"/>
      <c r="I245" s="2"/>
      <c r="J245" s="2">
        <f>IFERROR(__xludf.DUMMYFUNCTION("""COMPUTED_VALUE"""),1.0)</f>
        <v>1</v>
      </c>
      <c r="K245" s="6">
        <f>IFERROR(__xludf.DUMMYFUNCTION("""COMPUTED_VALUE"""),25238.0)</f>
        <v>25238</v>
      </c>
      <c r="L245" s="2">
        <f>IFERROR(__xludf.DUMMYFUNCTION("""COMPUTED_VALUE"""),0.0)</f>
        <v>0</v>
      </c>
      <c r="M245" s="2">
        <f>IFERROR(__xludf.DUMMYFUNCTION("""COMPUTED_VALUE"""),25238.0)</f>
        <v>25238</v>
      </c>
      <c r="N245" s="2">
        <f>IFERROR(__xludf.DUMMYFUNCTION("""COMPUTED_VALUE"""),0.0)</f>
        <v>0</v>
      </c>
      <c r="O245" s="2">
        <f>IFERROR(__xludf.DUMMYFUNCTION("""COMPUTED_VALUE"""),25238.0)</f>
        <v>25238</v>
      </c>
      <c r="P245" s="2">
        <f>IFERROR(__xludf.DUMMYFUNCTION("""COMPUTED_VALUE"""),1262.0)</f>
        <v>1262</v>
      </c>
      <c r="Q245" s="2" t="str">
        <f>IFERROR(__xludf.DUMMYFUNCTION("""COMPUTED_VALUE"""),"Dine In")</f>
        <v>Dine In</v>
      </c>
      <c r="R245" s="2" t="str">
        <f>IFERROR(__xludf.DUMMYFUNCTION("""COMPUTED_VALUE"""),"Kedai")</f>
        <v>Kedai</v>
      </c>
      <c r="S245" s="2" t="str">
        <f>IFERROR(__xludf.DUMMYFUNCTION("""COMPUTED_VALUE"""),"Temu Roti")</f>
        <v>Temu Roti</v>
      </c>
      <c r="T245" s="2" t="str">
        <f>IFERROR(__xludf.DUMMYFUNCTION("""COMPUTED_VALUE"""),"Owner")</f>
        <v>Owner</v>
      </c>
      <c r="U245" s="2"/>
      <c r="V245" s="2"/>
      <c r="W245" s="2"/>
      <c r="X245" s="2" t="str">
        <f>IFERROR(__xludf.DUMMYFUNCTION("""COMPUTED_VALUE"""),"Closed")</f>
        <v>Closed</v>
      </c>
    </row>
    <row r="246">
      <c r="A246" s="3" t="s">
        <v>267</v>
      </c>
      <c r="B246" s="4">
        <f>IFERROR(__xludf.DUMMYFUNCTION("SPLIT(A246,"","",0,0)"),45561.85902777778)</f>
        <v>45561.85903</v>
      </c>
      <c r="C246" s="5">
        <f>IFERROR(__xludf.DUMMYFUNCTION("""COMPUTED_VALUE"""),2768206.0)</f>
        <v>2768206</v>
      </c>
      <c r="D246" s="2" t="str">
        <f>IFERROR(__xludf.DUMMYFUNCTION("""COMPUTED_VALUE"""),"Sale")</f>
        <v>Sale</v>
      </c>
      <c r="E246" s="2" t="str">
        <f>IFERROR(__xludf.DUMMYFUNCTION("""COMPUTED_VALUE"""),"Roti")</f>
        <v>Roti</v>
      </c>
      <c r="F246" s="2">
        <f>IFERROR(__xludf.DUMMYFUNCTION("""COMPUTED_VALUE"""),10007.0)</f>
        <v>10007</v>
      </c>
      <c r="G246" s="2" t="str">
        <f>IFERROR(__xludf.DUMMYFUNCTION("""COMPUTED_VALUE"""),"Roti cranberry 2 pcs")</f>
        <v>Roti cranberry 2 pcs</v>
      </c>
      <c r="H246" s="2"/>
      <c r="I246" s="2"/>
      <c r="J246" s="2">
        <f>IFERROR(__xludf.DUMMYFUNCTION("""COMPUTED_VALUE"""),1.0)</f>
        <v>1</v>
      </c>
      <c r="K246" s="6">
        <f>IFERROR(__xludf.DUMMYFUNCTION("""COMPUTED_VALUE"""),33810.0)</f>
        <v>33810</v>
      </c>
      <c r="L246" s="2">
        <f>IFERROR(__xludf.DUMMYFUNCTION("""COMPUTED_VALUE"""),0.0)</f>
        <v>0</v>
      </c>
      <c r="M246" s="2">
        <f>IFERROR(__xludf.DUMMYFUNCTION("""COMPUTED_VALUE"""),33810.0)</f>
        <v>33810</v>
      </c>
      <c r="N246" s="2">
        <f>IFERROR(__xludf.DUMMYFUNCTION("""COMPUTED_VALUE"""),0.0)</f>
        <v>0</v>
      </c>
      <c r="O246" s="2">
        <f>IFERROR(__xludf.DUMMYFUNCTION("""COMPUTED_VALUE"""),33810.0)</f>
        <v>33810</v>
      </c>
      <c r="P246" s="2">
        <f>IFERROR(__xludf.DUMMYFUNCTION("""COMPUTED_VALUE"""),1691.0)</f>
        <v>1691</v>
      </c>
      <c r="Q246" s="2" t="str">
        <f>IFERROR(__xludf.DUMMYFUNCTION("""COMPUTED_VALUE"""),"Dine In")</f>
        <v>Dine In</v>
      </c>
      <c r="R246" s="2" t="str">
        <f>IFERROR(__xludf.DUMMYFUNCTION("""COMPUTED_VALUE"""),"Kedai")</f>
        <v>Kedai</v>
      </c>
      <c r="S246" s="2" t="str">
        <f>IFERROR(__xludf.DUMMYFUNCTION("""COMPUTED_VALUE"""),"Temu Roti")</f>
        <v>Temu Roti</v>
      </c>
      <c r="T246" s="2" t="str">
        <f>IFERROR(__xludf.DUMMYFUNCTION("""COMPUTED_VALUE"""),"Owner")</f>
        <v>Owner</v>
      </c>
      <c r="U246" s="2"/>
      <c r="V246" s="2"/>
      <c r="W246" s="2"/>
      <c r="X246" s="2" t="str">
        <f>IFERROR(__xludf.DUMMYFUNCTION("""COMPUTED_VALUE"""),"Closed")</f>
        <v>Closed</v>
      </c>
    </row>
    <row r="247">
      <c r="A247" s="3" t="s">
        <v>268</v>
      </c>
      <c r="B247" s="4">
        <f>IFERROR(__xludf.DUMMYFUNCTION("SPLIT(A247,"","",0,0)"),45561.777083333334)</f>
        <v>45561.77708</v>
      </c>
      <c r="C247" s="5">
        <f>IFERROR(__xludf.DUMMYFUNCTION("""COMPUTED_VALUE"""),2767841.0)</f>
        <v>2767841</v>
      </c>
      <c r="D247" s="2" t="str">
        <f>IFERROR(__xludf.DUMMYFUNCTION("""COMPUTED_VALUE"""),"Sale")</f>
        <v>Sale</v>
      </c>
      <c r="E247" s="2" t="str">
        <f>IFERROR(__xludf.DUMMYFUNCTION("""COMPUTED_VALUE"""),"Hidangan Utama")</f>
        <v>Hidangan Utama</v>
      </c>
      <c r="F247" s="2">
        <f>IFERROR(__xludf.DUMMYFUNCTION("""COMPUTED_VALUE"""),10104.0)</f>
        <v>10104</v>
      </c>
      <c r="G247" s="2" t="str">
        <f>IFERROR(__xludf.DUMMYFUNCTION("""COMPUTED_VALUE"""),"Chicken Claypot Rice")</f>
        <v>Chicken Claypot Rice</v>
      </c>
      <c r="H247" s="2"/>
      <c r="I247" s="2"/>
      <c r="J247" s="2">
        <f>IFERROR(__xludf.DUMMYFUNCTION("""COMPUTED_VALUE"""),1.0)</f>
        <v>1</v>
      </c>
      <c r="K247" s="6">
        <f>IFERROR(__xludf.DUMMYFUNCTION("""COMPUTED_VALUE"""),34762.0)</f>
        <v>34762</v>
      </c>
      <c r="L247" s="2">
        <f>IFERROR(__xludf.DUMMYFUNCTION("""COMPUTED_VALUE"""),0.0)</f>
        <v>0</v>
      </c>
      <c r="M247" s="2">
        <f>IFERROR(__xludf.DUMMYFUNCTION("""COMPUTED_VALUE"""),34762.0)</f>
        <v>34762</v>
      </c>
      <c r="N247" s="2">
        <f>IFERROR(__xludf.DUMMYFUNCTION("""COMPUTED_VALUE"""),0.0)</f>
        <v>0</v>
      </c>
      <c r="O247" s="2">
        <f>IFERROR(__xludf.DUMMYFUNCTION("""COMPUTED_VALUE"""),34762.0)</f>
        <v>34762</v>
      </c>
      <c r="P247" s="2">
        <f>IFERROR(__xludf.DUMMYFUNCTION("""COMPUTED_VALUE"""),1738.0)</f>
        <v>1738</v>
      </c>
      <c r="Q247" s="2" t="str">
        <f>IFERROR(__xludf.DUMMYFUNCTION("""COMPUTED_VALUE"""),"Dine In")</f>
        <v>Dine In</v>
      </c>
      <c r="R247" s="2" t="str">
        <f>IFERROR(__xludf.DUMMYFUNCTION("""COMPUTED_VALUE"""),"Kedai")</f>
        <v>Kedai</v>
      </c>
      <c r="S247" s="2" t="str">
        <f>IFERROR(__xludf.DUMMYFUNCTION("""COMPUTED_VALUE"""),"Temu Roti")</f>
        <v>Temu Roti</v>
      </c>
      <c r="T247" s="2" t="str">
        <f>IFERROR(__xludf.DUMMYFUNCTION("""COMPUTED_VALUE"""),"Owner")</f>
        <v>Owner</v>
      </c>
      <c r="U247" s="2"/>
      <c r="V247" s="2"/>
      <c r="W247" s="2"/>
      <c r="X247" s="2" t="str">
        <f>IFERROR(__xludf.DUMMYFUNCTION("""COMPUTED_VALUE"""),"Closed")</f>
        <v>Closed</v>
      </c>
    </row>
    <row r="248">
      <c r="A248" s="3" t="s">
        <v>269</v>
      </c>
      <c r="B248" s="4">
        <f>IFERROR(__xludf.DUMMYFUNCTION("SPLIT(A248,"","",0,0)"),45561.777083333334)</f>
        <v>45561.77708</v>
      </c>
      <c r="C248" s="5">
        <f>IFERROR(__xludf.DUMMYFUNCTION("""COMPUTED_VALUE"""),2767841.0)</f>
        <v>2767841</v>
      </c>
      <c r="D248" s="2" t="str">
        <f>IFERROR(__xludf.DUMMYFUNCTION("""COMPUTED_VALUE"""),"Sale")</f>
        <v>Sale</v>
      </c>
      <c r="E248" s="2" t="str">
        <f>IFERROR(__xludf.DUMMYFUNCTION("""COMPUTED_VALUE"""),"Hidangan Utama")</f>
        <v>Hidangan Utama</v>
      </c>
      <c r="F248" s="2">
        <f>IFERROR(__xludf.DUMMYFUNCTION("""COMPUTED_VALUE"""),10012.0)</f>
        <v>10012</v>
      </c>
      <c r="G248" s="2" t="str">
        <f>IFERROR(__xludf.DUMMYFUNCTION("""COMPUTED_VALUE"""),"Mie joglo")</f>
        <v>Mie joglo</v>
      </c>
      <c r="H248" s="2"/>
      <c r="I248" s="2"/>
      <c r="J248" s="2">
        <f>IFERROR(__xludf.DUMMYFUNCTION("""COMPUTED_VALUE"""),1.0)</f>
        <v>1</v>
      </c>
      <c r="K248" s="6">
        <f>IFERROR(__xludf.DUMMYFUNCTION("""COMPUTED_VALUE"""),29524.0)</f>
        <v>29524</v>
      </c>
      <c r="L248" s="2">
        <f>IFERROR(__xludf.DUMMYFUNCTION("""COMPUTED_VALUE"""),0.0)</f>
        <v>0</v>
      </c>
      <c r="M248" s="2">
        <f>IFERROR(__xludf.DUMMYFUNCTION("""COMPUTED_VALUE"""),29524.0)</f>
        <v>29524</v>
      </c>
      <c r="N248" s="2">
        <f>IFERROR(__xludf.DUMMYFUNCTION("""COMPUTED_VALUE"""),0.0)</f>
        <v>0</v>
      </c>
      <c r="O248" s="2">
        <f>IFERROR(__xludf.DUMMYFUNCTION("""COMPUTED_VALUE"""),29524.0)</f>
        <v>29524</v>
      </c>
      <c r="P248" s="2">
        <f>IFERROR(__xludf.DUMMYFUNCTION("""COMPUTED_VALUE"""),1476.0)</f>
        <v>1476</v>
      </c>
      <c r="Q248" s="2" t="str">
        <f>IFERROR(__xludf.DUMMYFUNCTION("""COMPUTED_VALUE"""),"Dine In")</f>
        <v>Dine In</v>
      </c>
      <c r="R248" s="2" t="str">
        <f>IFERROR(__xludf.DUMMYFUNCTION("""COMPUTED_VALUE"""),"Kedai")</f>
        <v>Kedai</v>
      </c>
      <c r="S248" s="2" t="str">
        <f>IFERROR(__xludf.DUMMYFUNCTION("""COMPUTED_VALUE"""),"Temu Roti")</f>
        <v>Temu Roti</v>
      </c>
      <c r="T248" s="2" t="str">
        <f>IFERROR(__xludf.DUMMYFUNCTION("""COMPUTED_VALUE"""),"Owner")</f>
        <v>Owner</v>
      </c>
      <c r="U248" s="2"/>
      <c r="V248" s="2"/>
      <c r="W248" s="2"/>
      <c r="X248" s="2" t="str">
        <f>IFERROR(__xludf.DUMMYFUNCTION("""COMPUTED_VALUE"""),"Closed")</f>
        <v>Closed</v>
      </c>
    </row>
    <row r="249">
      <c r="A249" s="3" t="s">
        <v>270</v>
      </c>
      <c r="B249" s="4">
        <f>IFERROR(__xludf.DUMMYFUNCTION("SPLIT(A249,"","",0,0)"),45561.777083333334)</f>
        <v>45561.77708</v>
      </c>
      <c r="C249" s="5">
        <f>IFERROR(__xludf.DUMMYFUNCTION("""COMPUTED_VALUE"""),2767841.0)</f>
        <v>2767841</v>
      </c>
      <c r="D249" s="2" t="str">
        <f>IFERROR(__xludf.DUMMYFUNCTION("""COMPUTED_VALUE"""),"Sale")</f>
        <v>Sale</v>
      </c>
      <c r="E249" s="2" t="str">
        <f>IFERROR(__xludf.DUMMYFUNCTION("""COMPUTED_VALUE"""),"Roti")</f>
        <v>Roti</v>
      </c>
      <c r="F249" s="2">
        <f>IFERROR(__xludf.DUMMYFUNCTION("""COMPUTED_VALUE"""),10002.0)</f>
        <v>10002</v>
      </c>
      <c r="G249" s="2" t="str">
        <f>IFERROR(__xludf.DUMMYFUNCTION("""COMPUTED_VALUE"""),"Roti Cranberry")</f>
        <v>Roti Cranberry</v>
      </c>
      <c r="H249" s="2"/>
      <c r="I249" s="2"/>
      <c r="J249" s="2">
        <f>IFERROR(__xludf.DUMMYFUNCTION("""COMPUTED_VALUE"""),1.0)</f>
        <v>1</v>
      </c>
      <c r="K249" s="6">
        <f>IFERROR(__xludf.DUMMYFUNCTION("""COMPUTED_VALUE"""),18571.0)</f>
        <v>18571</v>
      </c>
      <c r="L249" s="2">
        <f>IFERROR(__xludf.DUMMYFUNCTION("""COMPUTED_VALUE"""),0.0)</f>
        <v>0</v>
      </c>
      <c r="M249" s="2">
        <f>IFERROR(__xludf.DUMMYFUNCTION("""COMPUTED_VALUE"""),18571.0)</f>
        <v>18571</v>
      </c>
      <c r="N249" s="2">
        <f>IFERROR(__xludf.DUMMYFUNCTION("""COMPUTED_VALUE"""),0.0)</f>
        <v>0</v>
      </c>
      <c r="O249" s="2">
        <f>IFERROR(__xludf.DUMMYFUNCTION("""COMPUTED_VALUE"""),18571.0)</f>
        <v>18571</v>
      </c>
      <c r="P249" s="2">
        <f>IFERROR(__xludf.DUMMYFUNCTION("""COMPUTED_VALUE"""),929.0)</f>
        <v>929</v>
      </c>
      <c r="Q249" s="2" t="str">
        <f>IFERROR(__xludf.DUMMYFUNCTION("""COMPUTED_VALUE"""),"Dine In")</f>
        <v>Dine In</v>
      </c>
      <c r="R249" s="2" t="str">
        <f>IFERROR(__xludf.DUMMYFUNCTION("""COMPUTED_VALUE"""),"Kedai")</f>
        <v>Kedai</v>
      </c>
      <c r="S249" s="2" t="str">
        <f>IFERROR(__xludf.DUMMYFUNCTION("""COMPUTED_VALUE"""),"Temu Roti")</f>
        <v>Temu Roti</v>
      </c>
      <c r="T249" s="2" t="str">
        <f>IFERROR(__xludf.DUMMYFUNCTION("""COMPUTED_VALUE"""),"Owner")</f>
        <v>Owner</v>
      </c>
      <c r="U249" s="2"/>
      <c r="V249" s="2"/>
      <c r="W249" s="2"/>
      <c r="X249" s="2" t="str">
        <f>IFERROR(__xludf.DUMMYFUNCTION("""COMPUTED_VALUE"""),"Closed")</f>
        <v>Closed</v>
      </c>
    </row>
    <row r="250">
      <c r="A250" s="3" t="s">
        <v>271</v>
      </c>
      <c r="B250" s="4">
        <f>IFERROR(__xludf.DUMMYFUNCTION("SPLIT(A250,"","",0,0)"),45561.777083333334)</f>
        <v>45561.77708</v>
      </c>
      <c r="C250" s="5">
        <f>IFERROR(__xludf.DUMMYFUNCTION("""COMPUTED_VALUE"""),2767841.0)</f>
        <v>2767841</v>
      </c>
      <c r="D250" s="2" t="str">
        <f>IFERROR(__xludf.DUMMYFUNCTION("""COMPUTED_VALUE"""),"Sale")</f>
        <v>Sale</v>
      </c>
      <c r="E250" s="2" t="str">
        <f>IFERROR(__xludf.DUMMYFUNCTION("""COMPUTED_VALUE"""),"Minuman")</f>
        <v>Minuman</v>
      </c>
      <c r="F250" s="2">
        <f>IFERROR(__xludf.DUMMYFUNCTION("""COMPUTED_VALUE"""),10122.0)</f>
        <v>10122</v>
      </c>
      <c r="G250" s="2" t="str">
        <f>IFERROR(__xludf.DUMMYFUNCTION("""COMPUTED_VALUE"""),"Rempah Madu Panas")</f>
        <v>Rempah Madu Panas</v>
      </c>
      <c r="H250" s="2"/>
      <c r="I250" s="2"/>
      <c r="J250" s="2">
        <f>IFERROR(__xludf.DUMMYFUNCTION("""COMPUTED_VALUE"""),1.0)</f>
        <v>1</v>
      </c>
      <c r="K250" s="6">
        <f>IFERROR(__xludf.DUMMYFUNCTION("""COMPUTED_VALUE"""),21905.0)</f>
        <v>21905</v>
      </c>
      <c r="L250" s="2">
        <f>IFERROR(__xludf.DUMMYFUNCTION("""COMPUTED_VALUE"""),0.0)</f>
        <v>0</v>
      </c>
      <c r="M250" s="2">
        <f>IFERROR(__xludf.DUMMYFUNCTION("""COMPUTED_VALUE"""),21905.0)</f>
        <v>21905</v>
      </c>
      <c r="N250" s="2">
        <f>IFERROR(__xludf.DUMMYFUNCTION("""COMPUTED_VALUE"""),0.0)</f>
        <v>0</v>
      </c>
      <c r="O250" s="2">
        <f>IFERROR(__xludf.DUMMYFUNCTION("""COMPUTED_VALUE"""),21905.0)</f>
        <v>21905</v>
      </c>
      <c r="P250" s="2">
        <f>IFERROR(__xludf.DUMMYFUNCTION("""COMPUTED_VALUE"""),1095.0)</f>
        <v>1095</v>
      </c>
      <c r="Q250" s="2" t="str">
        <f>IFERROR(__xludf.DUMMYFUNCTION("""COMPUTED_VALUE"""),"Dine In")</f>
        <v>Dine In</v>
      </c>
      <c r="R250" s="2" t="str">
        <f>IFERROR(__xludf.DUMMYFUNCTION("""COMPUTED_VALUE"""),"Kedai")</f>
        <v>Kedai</v>
      </c>
      <c r="S250" s="2" t="str">
        <f>IFERROR(__xludf.DUMMYFUNCTION("""COMPUTED_VALUE"""),"Temu Roti")</f>
        <v>Temu Roti</v>
      </c>
      <c r="T250" s="2" t="str">
        <f>IFERROR(__xludf.DUMMYFUNCTION("""COMPUTED_VALUE"""),"Owner")</f>
        <v>Owner</v>
      </c>
      <c r="U250" s="2"/>
      <c r="V250" s="2"/>
      <c r="W250" s="2"/>
      <c r="X250" s="2" t="str">
        <f>IFERROR(__xludf.DUMMYFUNCTION("""COMPUTED_VALUE"""),"Closed")</f>
        <v>Closed</v>
      </c>
    </row>
    <row r="251">
      <c r="A251" s="3" t="s">
        <v>272</v>
      </c>
      <c r="B251" s="4">
        <f>IFERROR(__xludf.DUMMYFUNCTION("SPLIT(A251,"","",0,0)"),45561.777083333334)</f>
        <v>45561.77708</v>
      </c>
      <c r="C251" s="5">
        <f>IFERROR(__xludf.DUMMYFUNCTION("""COMPUTED_VALUE"""),2767841.0)</f>
        <v>2767841</v>
      </c>
      <c r="D251" s="2" t="str">
        <f>IFERROR(__xludf.DUMMYFUNCTION("""COMPUTED_VALUE"""),"Sale")</f>
        <v>Sale</v>
      </c>
      <c r="E251" s="2" t="str">
        <f>IFERROR(__xludf.DUMMYFUNCTION("""COMPUTED_VALUE"""),"Minuman")</f>
        <v>Minuman</v>
      </c>
      <c r="F251" s="2">
        <f>IFERROR(__xludf.DUMMYFUNCTION("""COMPUTED_VALUE"""),10069.0)</f>
        <v>10069</v>
      </c>
      <c r="G251" s="2" t="str">
        <f>IFERROR(__xludf.DUMMYFUNCTION("""COMPUTED_VALUE"""),"Wedang hujan")</f>
        <v>Wedang hujan</v>
      </c>
      <c r="H251" s="2"/>
      <c r="I251" s="2"/>
      <c r="J251" s="2">
        <f>IFERROR(__xludf.DUMMYFUNCTION("""COMPUTED_VALUE"""),1.0)</f>
        <v>1</v>
      </c>
      <c r="K251" s="6">
        <f>IFERROR(__xludf.DUMMYFUNCTION("""COMPUTED_VALUE"""),24762.0)</f>
        <v>24762</v>
      </c>
      <c r="L251" s="2">
        <f>IFERROR(__xludf.DUMMYFUNCTION("""COMPUTED_VALUE"""),0.0)</f>
        <v>0</v>
      </c>
      <c r="M251" s="2">
        <f>IFERROR(__xludf.DUMMYFUNCTION("""COMPUTED_VALUE"""),24762.0)</f>
        <v>24762</v>
      </c>
      <c r="N251" s="2">
        <f>IFERROR(__xludf.DUMMYFUNCTION("""COMPUTED_VALUE"""),0.0)</f>
        <v>0</v>
      </c>
      <c r="O251" s="2">
        <f>IFERROR(__xludf.DUMMYFUNCTION("""COMPUTED_VALUE"""),24762.0)</f>
        <v>24762</v>
      </c>
      <c r="P251" s="2">
        <f>IFERROR(__xludf.DUMMYFUNCTION("""COMPUTED_VALUE"""),1238.0)</f>
        <v>1238</v>
      </c>
      <c r="Q251" s="2" t="str">
        <f>IFERROR(__xludf.DUMMYFUNCTION("""COMPUTED_VALUE"""),"Dine In")</f>
        <v>Dine In</v>
      </c>
      <c r="R251" s="2" t="str">
        <f>IFERROR(__xludf.DUMMYFUNCTION("""COMPUTED_VALUE"""),"Kedai")</f>
        <v>Kedai</v>
      </c>
      <c r="S251" s="2" t="str">
        <f>IFERROR(__xludf.DUMMYFUNCTION("""COMPUTED_VALUE"""),"Temu Roti")</f>
        <v>Temu Roti</v>
      </c>
      <c r="T251" s="2" t="str">
        <f>IFERROR(__xludf.DUMMYFUNCTION("""COMPUTED_VALUE"""),"Owner")</f>
        <v>Owner</v>
      </c>
      <c r="U251" s="2"/>
      <c r="V251" s="2"/>
      <c r="W251" s="2"/>
      <c r="X251" s="2" t="str">
        <f>IFERROR(__xludf.DUMMYFUNCTION("""COMPUTED_VALUE"""),"Closed")</f>
        <v>Closed</v>
      </c>
    </row>
    <row r="252">
      <c r="A252" s="3" t="s">
        <v>273</v>
      </c>
      <c r="B252" s="4">
        <f>IFERROR(__xludf.DUMMYFUNCTION("SPLIT(A252,"","",0,0)"),45561.7375)</f>
        <v>45561.7375</v>
      </c>
      <c r="C252" s="5">
        <f>IFERROR(__xludf.DUMMYFUNCTION("""COMPUTED_VALUE"""),2767476.0)</f>
        <v>2767476</v>
      </c>
      <c r="D252" s="2" t="str">
        <f>IFERROR(__xludf.DUMMYFUNCTION("""COMPUTED_VALUE"""),"Sale")</f>
        <v>Sale</v>
      </c>
      <c r="E252" s="2" t="str">
        <f>IFERROR(__xludf.DUMMYFUNCTION("""COMPUTED_VALUE"""),"Minuman")</f>
        <v>Minuman</v>
      </c>
      <c r="F252" s="2">
        <f>IFERROR(__xludf.DUMMYFUNCTION("""COMPUTED_VALUE"""),10127.0)</f>
        <v>10127</v>
      </c>
      <c r="G252" s="2" t="str">
        <f>IFERROR(__xludf.DUMMYFUNCTION("""COMPUTED_VALUE"""),"Kopi Tubruk Panas")</f>
        <v>Kopi Tubruk Panas</v>
      </c>
      <c r="H252" s="2"/>
      <c r="I252" s="2"/>
      <c r="J252" s="2">
        <f>IFERROR(__xludf.DUMMYFUNCTION("""COMPUTED_VALUE"""),1.0)</f>
        <v>1</v>
      </c>
      <c r="K252" s="6">
        <f>IFERROR(__xludf.DUMMYFUNCTION("""COMPUTED_VALUE"""),18571.0)</f>
        <v>18571</v>
      </c>
      <c r="L252" s="2">
        <f>IFERROR(__xludf.DUMMYFUNCTION("""COMPUTED_VALUE"""),0.0)</f>
        <v>0</v>
      </c>
      <c r="M252" s="2">
        <f>IFERROR(__xludf.DUMMYFUNCTION("""COMPUTED_VALUE"""),18571.0)</f>
        <v>18571</v>
      </c>
      <c r="N252" s="2">
        <f>IFERROR(__xludf.DUMMYFUNCTION("""COMPUTED_VALUE"""),0.0)</f>
        <v>0</v>
      </c>
      <c r="O252" s="2">
        <f>IFERROR(__xludf.DUMMYFUNCTION("""COMPUTED_VALUE"""),18571.0)</f>
        <v>18571</v>
      </c>
      <c r="P252" s="2">
        <f>IFERROR(__xludf.DUMMYFUNCTION("""COMPUTED_VALUE"""),929.0)</f>
        <v>929</v>
      </c>
      <c r="Q252" s="2" t="str">
        <f>IFERROR(__xludf.DUMMYFUNCTION("""COMPUTED_VALUE"""),"Dine In")</f>
        <v>Dine In</v>
      </c>
      <c r="R252" s="2" t="str">
        <f>IFERROR(__xludf.DUMMYFUNCTION("""COMPUTED_VALUE"""),"Kedai")</f>
        <v>Kedai</v>
      </c>
      <c r="S252" s="2" t="str">
        <f>IFERROR(__xludf.DUMMYFUNCTION("""COMPUTED_VALUE"""),"Temu Roti")</f>
        <v>Temu Roti</v>
      </c>
      <c r="T252" s="2" t="str">
        <f>IFERROR(__xludf.DUMMYFUNCTION("""COMPUTED_VALUE"""),"Owner")</f>
        <v>Owner</v>
      </c>
      <c r="U252" s="2"/>
      <c r="V252" s="2"/>
      <c r="W252" s="2"/>
      <c r="X252" s="2" t="str">
        <f>IFERROR(__xludf.DUMMYFUNCTION("""COMPUTED_VALUE"""),"Closed")</f>
        <v>Closed</v>
      </c>
    </row>
    <row r="253">
      <c r="A253" s="3" t="s">
        <v>274</v>
      </c>
      <c r="B253" s="4">
        <f>IFERROR(__xludf.DUMMYFUNCTION("SPLIT(A253,"","",0,0)"),45561.720138888886)</f>
        <v>45561.72014</v>
      </c>
      <c r="C253" s="5">
        <f>IFERROR(__xludf.DUMMYFUNCTION("""COMPUTED_VALUE"""),2767110.0)</f>
        <v>2767110</v>
      </c>
      <c r="D253" s="2" t="str">
        <f>IFERROR(__xludf.DUMMYFUNCTION("""COMPUTED_VALUE"""),"Sale")</f>
        <v>Sale</v>
      </c>
      <c r="E253" s="2" t="str">
        <f>IFERROR(__xludf.DUMMYFUNCTION("""COMPUTED_VALUE"""),"Roti")</f>
        <v>Roti</v>
      </c>
      <c r="F253" s="2">
        <f>IFERROR(__xludf.DUMMYFUNCTION("""COMPUTED_VALUE"""),10002.0)</f>
        <v>10002</v>
      </c>
      <c r="G253" s="2" t="str">
        <f>IFERROR(__xludf.DUMMYFUNCTION("""COMPUTED_VALUE"""),"Roti Cranberry")</f>
        <v>Roti Cranberry</v>
      </c>
      <c r="H253" s="2"/>
      <c r="I253" s="2"/>
      <c r="J253" s="2">
        <f>IFERROR(__xludf.DUMMYFUNCTION("""COMPUTED_VALUE"""),1.0)</f>
        <v>1</v>
      </c>
      <c r="K253" s="6">
        <f>IFERROR(__xludf.DUMMYFUNCTION("""COMPUTED_VALUE"""),18571.0)</f>
        <v>18571</v>
      </c>
      <c r="L253" s="2">
        <f>IFERROR(__xludf.DUMMYFUNCTION("""COMPUTED_VALUE"""),0.0)</f>
        <v>0</v>
      </c>
      <c r="M253" s="2">
        <f>IFERROR(__xludf.DUMMYFUNCTION("""COMPUTED_VALUE"""),18571.0)</f>
        <v>18571</v>
      </c>
      <c r="N253" s="2">
        <f>IFERROR(__xludf.DUMMYFUNCTION("""COMPUTED_VALUE"""),0.0)</f>
        <v>0</v>
      </c>
      <c r="O253" s="2">
        <f>IFERROR(__xludf.DUMMYFUNCTION("""COMPUTED_VALUE"""),18571.0)</f>
        <v>18571</v>
      </c>
      <c r="P253" s="2">
        <f>IFERROR(__xludf.DUMMYFUNCTION("""COMPUTED_VALUE"""),929.0)</f>
        <v>929</v>
      </c>
      <c r="Q253" s="2" t="str">
        <f>IFERROR(__xludf.DUMMYFUNCTION("""COMPUTED_VALUE"""),"Dine In")</f>
        <v>Dine In</v>
      </c>
      <c r="R253" s="2" t="str">
        <f>IFERROR(__xludf.DUMMYFUNCTION("""COMPUTED_VALUE"""),"Kedai")</f>
        <v>Kedai</v>
      </c>
      <c r="S253" s="2" t="str">
        <f>IFERROR(__xludf.DUMMYFUNCTION("""COMPUTED_VALUE"""),"Temu Roti")</f>
        <v>Temu Roti</v>
      </c>
      <c r="T253" s="2" t="str">
        <f>IFERROR(__xludf.DUMMYFUNCTION("""COMPUTED_VALUE"""),"Owner")</f>
        <v>Owner</v>
      </c>
      <c r="U253" s="2"/>
      <c r="V253" s="2"/>
      <c r="W253" s="2"/>
      <c r="X253" s="2" t="str">
        <f>IFERROR(__xludf.DUMMYFUNCTION("""COMPUTED_VALUE"""),"Closed")</f>
        <v>Closed</v>
      </c>
    </row>
    <row r="254">
      <c r="A254" s="3" t="s">
        <v>275</v>
      </c>
      <c r="B254" s="4">
        <f>IFERROR(__xludf.DUMMYFUNCTION("SPLIT(A254,"","",0,0)"),45561.720138888886)</f>
        <v>45561.72014</v>
      </c>
      <c r="C254" s="5">
        <f>IFERROR(__xludf.DUMMYFUNCTION("""COMPUTED_VALUE"""),2766745.0)</f>
        <v>2766745</v>
      </c>
      <c r="D254" s="2" t="str">
        <f>IFERROR(__xludf.DUMMYFUNCTION("""COMPUTED_VALUE"""),"Refund")</f>
        <v>Refund</v>
      </c>
      <c r="E254" s="2" t="str">
        <f>IFERROR(__xludf.DUMMYFUNCTION("""COMPUTED_VALUE"""),"Roti")</f>
        <v>Roti</v>
      </c>
      <c r="F254" s="2">
        <f>IFERROR(__xludf.DUMMYFUNCTION("""COMPUTED_VALUE"""),10002.0)</f>
        <v>10002</v>
      </c>
      <c r="G254" s="2" t="str">
        <f>IFERROR(__xludf.DUMMYFUNCTION("""COMPUTED_VALUE"""),"Roti Cranberry")</f>
        <v>Roti Cranberry</v>
      </c>
      <c r="H254" s="2"/>
      <c r="I254" s="2"/>
      <c r="J254" s="2">
        <f>IFERROR(__xludf.DUMMYFUNCTION("""COMPUTED_VALUE"""),-1.0)</f>
        <v>-1</v>
      </c>
      <c r="K254" s="6">
        <f>IFERROR(__xludf.DUMMYFUNCTION("""COMPUTED_VALUE"""),-18571.0)</f>
        <v>-18571</v>
      </c>
      <c r="L254" s="2">
        <f>IFERROR(__xludf.DUMMYFUNCTION("""COMPUTED_VALUE"""),0.0)</f>
        <v>0</v>
      </c>
      <c r="M254" s="2">
        <f>IFERROR(__xludf.DUMMYFUNCTION("""COMPUTED_VALUE"""),-18571.0)</f>
        <v>-18571</v>
      </c>
      <c r="N254" s="2">
        <f>IFERROR(__xludf.DUMMYFUNCTION("""COMPUTED_VALUE"""),0.0)</f>
        <v>0</v>
      </c>
      <c r="O254" s="2">
        <f>IFERROR(__xludf.DUMMYFUNCTION("""COMPUTED_VALUE"""),-18571.0)</f>
        <v>-18571</v>
      </c>
      <c r="P254" s="2">
        <f>IFERROR(__xludf.DUMMYFUNCTION("""COMPUTED_VALUE"""),-929.0)</f>
        <v>-929</v>
      </c>
      <c r="Q254" s="2" t="str">
        <f>IFERROR(__xludf.DUMMYFUNCTION("""COMPUTED_VALUE"""),"Dine In")</f>
        <v>Dine In</v>
      </c>
      <c r="R254" s="2" t="str">
        <f>IFERROR(__xludf.DUMMYFUNCTION("""COMPUTED_VALUE"""),"Kedai")</f>
        <v>Kedai</v>
      </c>
      <c r="S254" s="2" t="str">
        <f>IFERROR(__xludf.DUMMYFUNCTION("""COMPUTED_VALUE"""),"Temu Roti")</f>
        <v>Temu Roti</v>
      </c>
      <c r="T254" s="2" t="str">
        <f>IFERROR(__xludf.DUMMYFUNCTION("""COMPUTED_VALUE"""),"Owner")</f>
        <v>Owner</v>
      </c>
      <c r="U254" s="2"/>
      <c r="V254" s="2"/>
      <c r="W254" s="2"/>
      <c r="X254" s="2" t="str">
        <f>IFERROR(__xludf.DUMMYFUNCTION("""COMPUTED_VALUE"""),"Closed")</f>
        <v>Closed</v>
      </c>
    </row>
    <row r="255">
      <c r="A255" s="3" t="s">
        <v>276</v>
      </c>
      <c r="B255" s="4">
        <f>IFERROR(__xludf.DUMMYFUNCTION("SPLIT(A255,"","",0,0)"),45561.717361111114)</f>
        <v>45561.71736</v>
      </c>
      <c r="C255" s="5">
        <f>IFERROR(__xludf.DUMMYFUNCTION("""COMPUTED_VALUE"""),2766380.0)</f>
        <v>2766380</v>
      </c>
      <c r="D255" s="2" t="str">
        <f>IFERROR(__xludf.DUMMYFUNCTION("""COMPUTED_VALUE"""),"Sale")</f>
        <v>Sale</v>
      </c>
      <c r="E255" s="2" t="str">
        <f>IFERROR(__xludf.DUMMYFUNCTION("""COMPUTED_VALUE"""),"Roti")</f>
        <v>Roti</v>
      </c>
      <c r="F255" s="2">
        <f>IFERROR(__xludf.DUMMYFUNCTION("""COMPUTED_VALUE"""),10002.0)</f>
        <v>10002</v>
      </c>
      <c r="G255" s="2" t="str">
        <f>IFERROR(__xludf.DUMMYFUNCTION("""COMPUTED_VALUE"""),"Roti Cranberry")</f>
        <v>Roti Cranberry</v>
      </c>
      <c r="H255" s="2"/>
      <c r="I255" s="2"/>
      <c r="J255" s="2">
        <f>IFERROR(__xludf.DUMMYFUNCTION("""COMPUTED_VALUE"""),1.0)</f>
        <v>1</v>
      </c>
      <c r="K255" s="6">
        <f>IFERROR(__xludf.DUMMYFUNCTION("""COMPUTED_VALUE"""),18571.0)</f>
        <v>18571</v>
      </c>
      <c r="L255" s="2">
        <f>IFERROR(__xludf.DUMMYFUNCTION("""COMPUTED_VALUE"""),0.0)</f>
        <v>0</v>
      </c>
      <c r="M255" s="2">
        <f>IFERROR(__xludf.DUMMYFUNCTION("""COMPUTED_VALUE"""),18571.0)</f>
        <v>18571</v>
      </c>
      <c r="N255" s="2">
        <f>IFERROR(__xludf.DUMMYFUNCTION("""COMPUTED_VALUE"""),0.0)</f>
        <v>0</v>
      </c>
      <c r="O255" s="2">
        <f>IFERROR(__xludf.DUMMYFUNCTION("""COMPUTED_VALUE"""),18571.0)</f>
        <v>18571</v>
      </c>
      <c r="P255" s="2">
        <f>IFERROR(__xludf.DUMMYFUNCTION("""COMPUTED_VALUE"""),929.0)</f>
        <v>929</v>
      </c>
      <c r="Q255" s="2" t="str">
        <f>IFERROR(__xludf.DUMMYFUNCTION("""COMPUTED_VALUE"""),"Dine In")</f>
        <v>Dine In</v>
      </c>
      <c r="R255" s="2" t="str">
        <f>IFERROR(__xludf.DUMMYFUNCTION("""COMPUTED_VALUE"""),"Kedai")</f>
        <v>Kedai</v>
      </c>
      <c r="S255" s="2" t="str">
        <f>IFERROR(__xludf.DUMMYFUNCTION("""COMPUTED_VALUE"""),"Temu Roti")</f>
        <v>Temu Roti</v>
      </c>
      <c r="T255" s="2" t="str">
        <f>IFERROR(__xludf.DUMMYFUNCTION("""COMPUTED_VALUE"""),"Owner")</f>
        <v>Owner</v>
      </c>
      <c r="U255" s="2"/>
      <c r="V255" s="2"/>
      <c r="W255" s="2"/>
      <c r="X255" s="2" t="str">
        <f>IFERROR(__xludf.DUMMYFUNCTION("""COMPUTED_VALUE"""),"Closed")</f>
        <v>Closed</v>
      </c>
    </row>
    <row r="256">
      <c r="A256" s="3" t="s">
        <v>277</v>
      </c>
      <c r="B256" s="4">
        <f>IFERROR(__xludf.DUMMYFUNCTION("SPLIT(A256,"","",0,0)"),45561.70972222222)</f>
        <v>45561.70972</v>
      </c>
      <c r="C256" s="5">
        <f>IFERROR(__xludf.DUMMYFUNCTION("""COMPUTED_VALUE"""),2766015.0)</f>
        <v>2766015</v>
      </c>
      <c r="D256" s="2" t="str">
        <f>IFERROR(__xludf.DUMMYFUNCTION("""COMPUTED_VALUE"""),"Sale")</f>
        <v>Sale</v>
      </c>
      <c r="E256" s="2" t="str">
        <f>IFERROR(__xludf.DUMMYFUNCTION("""COMPUTED_VALUE"""),"Roti")</f>
        <v>Roti</v>
      </c>
      <c r="F256" s="2">
        <f>IFERROR(__xludf.DUMMYFUNCTION("""COMPUTED_VALUE"""),10002.0)</f>
        <v>10002</v>
      </c>
      <c r="G256" s="2" t="str">
        <f>IFERROR(__xludf.DUMMYFUNCTION("""COMPUTED_VALUE"""),"Roti Cranberry")</f>
        <v>Roti Cranberry</v>
      </c>
      <c r="H256" s="2"/>
      <c r="I256" s="2"/>
      <c r="J256" s="2">
        <f>IFERROR(__xludf.DUMMYFUNCTION("""COMPUTED_VALUE"""),1.0)</f>
        <v>1</v>
      </c>
      <c r="K256" s="6">
        <f>IFERROR(__xludf.DUMMYFUNCTION("""COMPUTED_VALUE"""),18571.0)</f>
        <v>18571</v>
      </c>
      <c r="L256" s="2">
        <f>IFERROR(__xludf.DUMMYFUNCTION("""COMPUTED_VALUE"""),0.0)</f>
        <v>0</v>
      </c>
      <c r="M256" s="2">
        <f>IFERROR(__xludf.DUMMYFUNCTION("""COMPUTED_VALUE"""),18571.0)</f>
        <v>18571</v>
      </c>
      <c r="N256" s="2">
        <f>IFERROR(__xludf.DUMMYFUNCTION("""COMPUTED_VALUE"""),0.0)</f>
        <v>0</v>
      </c>
      <c r="O256" s="2">
        <f>IFERROR(__xludf.DUMMYFUNCTION("""COMPUTED_VALUE"""),18571.0)</f>
        <v>18571</v>
      </c>
      <c r="P256" s="2">
        <f>IFERROR(__xludf.DUMMYFUNCTION("""COMPUTED_VALUE"""),929.0)</f>
        <v>929</v>
      </c>
      <c r="Q256" s="2" t="str">
        <f>IFERROR(__xludf.DUMMYFUNCTION("""COMPUTED_VALUE"""),"Dine In")</f>
        <v>Dine In</v>
      </c>
      <c r="R256" s="2" t="str">
        <f>IFERROR(__xludf.DUMMYFUNCTION("""COMPUTED_VALUE"""),"Kedai")</f>
        <v>Kedai</v>
      </c>
      <c r="S256" s="2" t="str">
        <f>IFERROR(__xludf.DUMMYFUNCTION("""COMPUTED_VALUE"""),"Temu Roti")</f>
        <v>Temu Roti</v>
      </c>
      <c r="T256" s="2" t="str">
        <f>IFERROR(__xludf.DUMMYFUNCTION("""COMPUTED_VALUE"""),"Owner")</f>
        <v>Owner</v>
      </c>
      <c r="U256" s="2"/>
      <c r="V256" s="2"/>
      <c r="W256" s="2"/>
      <c r="X256" s="2" t="str">
        <f>IFERROR(__xludf.DUMMYFUNCTION("""COMPUTED_VALUE"""),"Closed")</f>
        <v>Closed</v>
      </c>
    </row>
    <row r="257">
      <c r="A257" s="3" t="s">
        <v>278</v>
      </c>
      <c r="B257" s="4">
        <f>IFERROR(__xludf.DUMMYFUNCTION("SPLIT(A257,"","",0,0)"),45561.70972222222)</f>
        <v>45561.70972</v>
      </c>
      <c r="C257" s="5">
        <f>IFERROR(__xludf.DUMMYFUNCTION("""COMPUTED_VALUE"""),2766015.0)</f>
        <v>2766015</v>
      </c>
      <c r="D257" s="2" t="str">
        <f>IFERROR(__xludf.DUMMYFUNCTION("""COMPUTED_VALUE"""),"Sale")</f>
        <v>Sale</v>
      </c>
      <c r="E257" s="2" t="str">
        <f>IFERROR(__xludf.DUMMYFUNCTION("""COMPUTED_VALUE"""),"Minuman")</f>
        <v>Minuman</v>
      </c>
      <c r="F257" s="2">
        <f>IFERROR(__xludf.DUMMYFUNCTION("""COMPUTED_VALUE"""),10128.0)</f>
        <v>10128</v>
      </c>
      <c r="G257" s="2" t="str">
        <f>IFERROR(__xludf.DUMMYFUNCTION("""COMPUTED_VALUE"""),"Es Kopi Susu")</f>
        <v>Es Kopi Susu</v>
      </c>
      <c r="H257" s="2"/>
      <c r="I257" s="2"/>
      <c r="J257" s="2">
        <f>IFERROR(__xludf.DUMMYFUNCTION("""COMPUTED_VALUE"""),2.0)</f>
        <v>2</v>
      </c>
      <c r="K257" s="6">
        <f>IFERROR(__xludf.DUMMYFUNCTION("""COMPUTED_VALUE"""),46666.0)</f>
        <v>46666</v>
      </c>
      <c r="L257" s="2">
        <f>IFERROR(__xludf.DUMMYFUNCTION("""COMPUTED_VALUE"""),0.0)</f>
        <v>0</v>
      </c>
      <c r="M257" s="2">
        <f>IFERROR(__xludf.DUMMYFUNCTION("""COMPUTED_VALUE"""),46666.0)</f>
        <v>46666</v>
      </c>
      <c r="N257" s="2">
        <f>IFERROR(__xludf.DUMMYFUNCTION("""COMPUTED_VALUE"""),0.0)</f>
        <v>0</v>
      </c>
      <c r="O257" s="2">
        <f>IFERROR(__xludf.DUMMYFUNCTION("""COMPUTED_VALUE"""),46666.0)</f>
        <v>46666</v>
      </c>
      <c r="P257" s="2">
        <f>IFERROR(__xludf.DUMMYFUNCTION("""COMPUTED_VALUE"""),2333.0)</f>
        <v>2333</v>
      </c>
      <c r="Q257" s="2" t="str">
        <f>IFERROR(__xludf.DUMMYFUNCTION("""COMPUTED_VALUE"""),"Dine In")</f>
        <v>Dine In</v>
      </c>
      <c r="R257" s="2" t="str">
        <f>IFERROR(__xludf.DUMMYFUNCTION("""COMPUTED_VALUE"""),"Kedai")</f>
        <v>Kedai</v>
      </c>
      <c r="S257" s="2" t="str">
        <f>IFERROR(__xludf.DUMMYFUNCTION("""COMPUTED_VALUE"""),"Temu Roti")</f>
        <v>Temu Roti</v>
      </c>
      <c r="T257" s="2" t="str">
        <f>IFERROR(__xludf.DUMMYFUNCTION("""COMPUTED_VALUE"""),"Owner")</f>
        <v>Owner</v>
      </c>
      <c r="U257" s="2"/>
      <c r="V257" s="2"/>
      <c r="W257" s="2"/>
      <c r="X257" s="2" t="str">
        <f>IFERROR(__xludf.DUMMYFUNCTION("""COMPUTED_VALUE"""),"Closed")</f>
        <v>Closed</v>
      </c>
    </row>
    <row r="258">
      <c r="A258" s="3" t="s">
        <v>279</v>
      </c>
      <c r="B258" s="4">
        <f>IFERROR(__xludf.DUMMYFUNCTION("SPLIT(A258,"","",0,0)"),45561.654861111114)</f>
        <v>45561.65486</v>
      </c>
      <c r="C258" s="5">
        <f>IFERROR(__xludf.DUMMYFUNCTION("""COMPUTED_VALUE"""),2765649.0)</f>
        <v>2765649</v>
      </c>
      <c r="D258" s="2" t="str">
        <f>IFERROR(__xludf.DUMMYFUNCTION("""COMPUTED_VALUE"""),"Sale")</f>
        <v>Sale</v>
      </c>
      <c r="E258" s="2" t="str">
        <f>IFERROR(__xludf.DUMMYFUNCTION("""COMPUTED_VALUE"""),"Roti")</f>
        <v>Roti</v>
      </c>
      <c r="F258" s="2">
        <f>IFERROR(__xludf.DUMMYFUNCTION("""COMPUTED_VALUE"""),10005.0)</f>
        <v>10005</v>
      </c>
      <c r="G258" s="2" t="str">
        <f>IFERROR(__xludf.DUMMYFUNCTION("""COMPUTED_VALUE"""),"Roti Gandum Cokelat")</f>
        <v>Roti Gandum Cokelat</v>
      </c>
      <c r="H258" s="2"/>
      <c r="I258" s="2"/>
      <c r="J258" s="2">
        <f>IFERROR(__xludf.DUMMYFUNCTION("""COMPUTED_VALUE"""),1.0)</f>
        <v>1</v>
      </c>
      <c r="K258" s="6">
        <f>IFERROR(__xludf.DUMMYFUNCTION("""COMPUTED_VALUE"""),19524.0)</f>
        <v>19524</v>
      </c>
      <c r="L258" s="2">
        <f>IFERROR(__xludf.DUMMYFUNCTION("""COMPUTED_VALUE"""),0.0)</f>
        <v>0</v>
      </c>
      <c r="M258" s="2">
        <f>IFERROR(__xludf.DUMMYFUNCTION("""COMPUTED_VALUE"""),19524.0)</f>
        <v>19524</v>
      </c>
      <c r="N258" s="2">
        <f>IFERROR(__xludf.DUMMYFUNCTION("""COMPUTED_VALUE"""),0.0)</f>
        <v>0</v>
      </c>
      <c r="O258" s="2">
        <f>IFERROR(__xludf.DUMMYFUNCTION("""COMPUTED_VALUE"""),19524.0)</f>
        <v>19524</v>
      </c>
      <c r="P258" s="2">
        <f>IFERROR(__xludf.DUMMYFUNCTION("""COMPUTED_VALUE"""),976.0)</f>
        <v>976</v>
      </c>
      <c r="Q258" s="2" t="str">
        <f>IFERROR(__xludf.DUMMYFUNCTION("""COMPUTED_VALUE"""),"Dine In")</f>
        <v>Dine In</v>
      </c>
      <c r="R258" s="2" t="str">
        <f>IFERROR(__xludf.DUMMYFUNCTION("""COMPUTED_VALUE"""),"Kedai")</f>
        <v>Kedai</v>
      </c>
      <c r="S258" s="2" t="str">
        <f>IFERROR(__xludf.DUMMYFUNCTION("""COMPUTED_VALUE"""),"Temu Roti")</f>
        <v>Temu Roti</v>
      </c>
      <c r="T258" s="2" t="str">
        <f>IFERROR(__xludf.DUMMYFUNCTION("""COMPUTED_VALUE"""),"Owner")</f>
        <v>Owner</v>
      </c>
      <c r="U258" s="2"/>
      <c r="V258" s="2"/>
      <c r="W258" s="2"/>
      <c r="X258" s="2" t="str">
        <f>IFERROR(__xludf.DUMMYFUNCTION("""COMPUTED_VALUE"""),"Closed")</f>
        <v>Closed</v>
      </c>
    </row>
    <row r="259">
      <c r="A259" s="3" t="s">
        <v>280</v>
      </c>
      <c r="B259" s="4">
        <f>IFERROR(__xludf.DUMMYFUNCTION("SPLIT(A259,"","",0,0)"),45561.654861111114)</f>
        <v>45561.65486</v>
      </c>
      <c r="C259" s="5">
        <f>IFERROR(__xludf.DUMMYFUNCTION("""COMPUTED_VALUE"""),2765649.0)</f>
        <v>2765649</v>
      </c>
      <c r="D259" s="2" t="str">
        <f>IFERROR(__xludf.DUMMYFUNCTION("""COMPUTED_VALUE"""),"Sale")</f>
        <v>Sale</v>
      </c>
      <c r="E259" s="2" t="str">
        <f>IFERROR(__xludf.DUMMYFUNCTION("""COMPUTED_VALUE"""),"Minuman")</f>
        <v>Minuman</v>
      </c>
      <c r="F259" s="2">
        <f>IFERROR(__xludf.DUMMYFUNCTION("""COMPUTED_VALUE"""),10122.0)</f>
        <v>10122</v>
      </c>
      <c r="G259" s="2" t="str">
        <f>IFERROR(__xludf.DUMMYFUNCTION("""COMPUTED_VALUE"""),"Rempah Madu Panas")</f>
        <v>Rempah Madu Panas</v>
      </c>
      <c r="H259" s="2"/>
      <c r="I259" s="2"/>
      <c r="J259" s="2">
        <f>IFERROR(__xludf.DUMMYFUNCTION("""COMPUTED_VALUE"""),1.0)</f>
        <v>1</v>
      </c>
      <c r="K259" s="6">
        <f>IFERROR(__xludf.DUMMYFUNCTION("""COMPUTED_VALUE"""),21905.0)</f>
        <v>21905</v>
      </c>
      <c r="L259" s="2">
        <f>IFERROR(__xludf.DUMMYFUNCTION("""COMPUTED_VALUE"""),0.0)</f>
        <v>0</v>
      </c>
      <c r="M259" s="2">
        <f>IFERROR(__xludf.DUMMYFUNCTION("""COMPUTED_VALUE"""),21905.0)</f>
        <v>21905</v>
      </c>
      <c r="N259" s="2">
        <f>IFERROR(__xludf.DUMMYFUNCTION("""COMPUTED_VALUE"""),0.0)</f>
        <v>0</v>
      </c>
      <c r="O259" s="2">
        <f>IFERROR(__xludf.DUMMYFUNCTION("""COMPUTED_VALUE"""),21905.0)</f>
        <v>21905</v>
      </c>
      <c r="P259" s="2">
        <f>IFERROR(__xludf.DUMMYFUNCTION("""COMPUTED_VALUE"""),1095.0)</f>
        <v>1095</v>
      </c>
      <c r="Q259" s="2" t="str">
        <f>IFERROR(__xludf.DUMMYFUNCTION("""COMPUTED_VALUE"""),"Dine In")</f>
        <v>Dine In</v>
      </c>
      <c r="R259" s="2" t="str">
        <f>IFERROR(__xludf.DUMMYFUNCTION("""COMPUTED_VALUE"""),"Kedai")</f>
        <v>Kedai</v>
      </c>
      <c r="S259" s="2" t="str">
        <f>IFERROR(__xludf.DUMMYFUNCTION("""COMPUTED_VALUE"""),"Temu Roti")</f>
        <v>Temu Roti</v>
      </c>
      <c r="T259" s="2" t="str">
        <f>IFERROR(__xludf.DUMMYFUNCTION("""COMPUTED_VALUE"""),"Owner")</f>
        <v>Owner</v>
      </c>
      <c r="U259" s="2"/>
      <c r="V259" s="2"/>
      <c r="W259" s="2"/>
      <c r="X259" s="2" t="str">
        <f>IFERROR(__xludf.DUMMYFUNCTION("""COMPUTED_VALUE"""),"Closed")</f>
        <v>Closed</v>
      </c>
    </row>
    <row r="260">
      <c r="A260" s="3" t="s">
        <v>281</v>
      </c>
      <c r="B260" s="4">
        <f>IFERROR(__xludf.DUMMYFUNCTION("SPLIT(A260,"","",0,0)"),45561.53125)</f>
        <v>45561.53125</v>
      </c>
      <c r="C260" s="5">
        <f>IFERROR(__xludf.DUMMYFUNCTION("""COMPUTED_VALUE"""),2765284.0)</f>
        <v>2765284</v>
      </c>
      <c r="D260" s="2" t="str">
        <f>IFERROR(__xludf.DUMMYFUNCTION("""COMPUTED_VALUE"""),"Sale")</f>
        <v>Sale</v>
      </c>
      <c r="E260" s="2" t="str">
        <f>IFERROR(__xludf.DUMMYFUNCTION("""COMPUTED_VALUE"""),"Hidangan Utama")</f>
        <v>Hidangan Utama</v>
      </c>
      <c r="F260" s="2">
        <f>IFERROR(__xludf.DUMMYFUNCTION("""COMPUTED_VALUE"""),10003.0)</f>
        <v>10003</v>
      </c>
      <c r="G260" s="2" t="str">
        <f>IFERROR(__xludf.DUMMYFUNCTION("""COMPUTED_VALUE"""),"Nasi Goreng Temu")</f>
        <v>Nasi Goreng Temu</v>
      </c>
      <c r="H260" s="2"/>
      <c r="I260" s="2"/>
      <c r="J260" s="2">
        <f>IFERROR(__xludf.DUMMYFUNCTION("""COMPUTED_VALUE"""),2.0)</f>
        <v>2</v>
      </c>
      <c r="K260" s="6">
        <f>IFERROR(__xludf.DUMMYFUNCTION("""COMPUTED_VALUE"""),59048.0)</f>
        <v>59048</v>
      </c>
      <c r="L260" s="2">
        <f>IFERROR(__xludf.DUMMYFUNCTION("""COMPUTED_VALUE"""),0.0)</f>
        <v>0</v>
      </c>
      <c r="M260" s="2">
        <f>IFERROR(__xludf.DUMMYFUNCTION("""COMPUTED_VALUE"""),59048.0)</f>
        <v>59048</v>
      </c>
      <c r="N260" s="2">
        <f>IFERROR(__xludf.DUMMYFUNCTION("""COMPUTED_VALUE"""),0.0)</f>
        <v>0</v>
      </c>
      <c r="O260" s="2">
        <f>IFERROR(__xludf.DUMMYFUNCTION("""COMPUTED_VALUE"""),59048.0)</f>
        <v>59048</v>
      </c>
      <c r="P260" s="2">
        <f>IFERROR(__xludf.DUMMYFUNCTION("""COMPUTED_VALUE"""),2952.0)</f>
        <v>2952</v>
      </c>
      <c r="Q260" s="2" t="str">
        <f>IFERROR(__xludf.DUMMYFUNCTION("""COMPUTED_VALUE"""),"Dine In")</f>
        <v>Dine In</v>
      </c>
      <c r="R260" s="2" t="str">
        <f>IFERROR(__xludf.DUMMYFUNCTION("""COMPUTED_VALUE"""),"Kedai")</f>
        <v>Kedai</v>
      </c>
      <c r="S260" s="2" t="str">
        <f>IFERROR(__xludf.DUMMYFUNCTION("""COMPUTED_VALUE"""),"Temu Roti")</f>
        <v>Temu Roti</v>
      </c>
      <c r="T260" s="2" t="str">
        <f>IFERROR(__xludf.DUMMYFUNCTION("""COMPUTED_VALUE"""),"Owner")</f>
        <v>Owner</v>
      </c>
      <c r="U260" s="2"/>
      <c r="V260" s="2"/>
      <c r="W260" s="2"/>
      <c r="X260" s="2" t="str">
        <f>IFERROR(__xludf.DUMMYFUNCTION("""COMPUTED_VALUE"""),"Closed")</f>
        <v>Closed</v>
      </c>
    </row>
    <row r="261">
      <c r="A261" s="3" t="s">
        <v>282</v>
      </c>
      <c r="B261" s="4">
        <f>IFERROR(__xludf.DUMMYFUNCTION("SPLIT(A261,"","",0,0)"),45561.53125)</f>
        <v>45561.53125</v>
      </c>
      <c r="C261" s="5">
        <f>IFERROR(__xludf.DUMMYFUNCTION("""COMPUTED_VALUE"""),2765284.0)</f>
        <v>2765284</v>
      </c>
      <c r="D261" s="2" t="str">
        <f>IFERROR(__xludf.DUMMYFUNCTION("""COMPUTED_VALUE"""),"Sale")</f>
        <v>Sale</v>
      </c>
      <c r="E261" s="2" t="str">
        <f>IFERROR(__xludf.DUMMYFUNCTION("""COMPUTED_VALUE"""),"Hidangan Utama")</f>
        <v>Hidangan Utama</v>
      </c>
      <c r="F261" s="2">
        <f>IFERROR(__xludf.DUMMYFUNCTION("""COMPUTED_VALUE"""),10012.0)</f>
        <v>10012</v>
      </c>
      <c r="G261" s="2" t="str">
        <f>IFERROR(__xludf.DUMMYFUNCTION("""COMPUTED_VALUE"""),"Mie joglo")</f>
        <v>Mie joglo</v>
      </c>
      <c r="H261" s="2"/>
      <c r="I261" s="2"/>
      <c r="J261" s="2">
        <f>IFERROR(__xludf.DUMMYFUNCTION("""COMPUTED_VALUE"""),1.0)</f>
        <v>1</v>
      </c>
      <c r="K261" s="6">
        <f>IFERROR(__xludf.DUMMYFUNCTION("""COMPUTED_VALUE"""),29524.0)</f>
        <v>29524</v>
      </c>
      <c r="L261" s="2">
        <f>IFERROR(__xludf.DUMMYFUNCTION("""COMPUTED_VALUE"""),0.0)</f>
        <v>0</v>
      </c>
      <c r="M261" s="2">
        <f>IFERROR(__xludf.DUMMYFUNCTION("""COMPUTED_VALUE"""),29524.0)</f>
        <v>29524</v>
      </c>
      <c r="N261" s="2">
        <f>IFERROR(__xludf.DUMMYFUNCTION("""COMPUTED_VALUE"""),0.0)</f>
        <v>0</v>
      </c>
      <c r="O261" s="2">
        <f>IFERROR(__xludf.DUMMYFUNCTION("""COMPUTED_VALUE"""),29524.0)</f>
        <v>29524</v>
      </c>
      <c r="P261" s="2">
        <f>IFERROR(__xludf.DUMMYFUNCTION("""COMPUTED_VALUE"""),1477.0)</f>
        <v>1477</v>
      </c>
      <c r="Q261" s="2" t="str">
        <f>IFERROR(__xludf.DUMMYFUNCTION("""COMPUTED_VALUE"""),"Dine In")</f>
        <v>Dine In</v>
      </c>
      <c r="R261" s="2" t="str">
        <f>IFERROR(__xludf.DUMMYFUNCTION("""COMPUTED_VALUE"""),"Kedai")</f>
        <v>Kedai</v>
      </c>
      <c r="S261" s="2" t="str">
        <f>IFERROR(__xludf.DUMMYFUNCTION("""COMPUTED_VALUE"""),"Temu Roti")</f>
        <v>Temu Roti</v>
      </c>
      <c r="T261" s="2" t="str">
        <f>IFERROR(__xludf.DUMMYFUNCTION("""COMPUTED_VALUE"""),"Owner")</f>
        <v>Owner</v>
      </c>
      <c r="U261" s="2"/>
      <c r="V261" s="2"/>
      <c r="W261" s="2"/>
      <c r="X261" s="2" t="str">
        <f>IFERROR(__xludf.DUMMYFUNCTION("""COMPUTED_VALUE"""),"Closed")</f>
        <v>Closed</v>
      </c>
    </row>
    <row r="262">
      <c r="A262" s="3" t="s">
        <v>283</v>
      </c>
      <c r="B262" s="4">
        <f>IFERROR(__xludf.DUMMYFUNCTION("SPLIT(A262,"","",0,0)"),45561.50902777778)</f>
        <v>45561.50903</v>
      </c>
      <c r="C262" s="5">
        <f>IFERROR(__xludf.DUMMYFUNCTION("""COMPUTED_VALUE"""),2764919.0)</f>
        <v>2764919</v>
      </c>
      <c r="D262" s="2" t="str">
        <f>IFERROR(__xludf.DUMMYFUNCTION("""COMPUTED_VALUE"""),"Sale")</f>
        <v>Sale</v>
      </c>
      <c r="E262" s="2" t="str">
        <f>IFERROR(__xludf.DUMMYFUNCTION("""COMPUTED_VALUE"""),"Roti")</f>
        <v>Roti</v>
      </c>
      <c r="F262" s="2">
        <f>IFERROR(__xludf.DUMMYFUNCTION("""COMPUTED_VALUE"""),10000.0)</f>
        <v>10000</v>
      </c>
      <c r="G262" s="2" t="str">
        <f>IFERROR(__xludf.DUMMYFUNCTION("""COMPUTED_VALUE"""),"Roti Bawang Saus Keju")</f>
        <v>Roti Bawang Saus Keju</v>
      </c>
      <c r="H262" s="2"/>
      <c r="I262" s="2"/>
      <c r="J262" s="2">
        <f>IFERROR(__xludf.DUMMYFUNCTION("""COMPUTED_VALUE"""),1.0)</f>
        <v>1</v>
      </c>
      <c r="K262" s="6">
        <f>IFERROR(__xludf.DUMMYFUNCTION("""COMPUTED_VALUE"""),29524.0)</f>
        <v>29524</v>
      </c>
      <c r="L262" s="2">
        <f>IFERROR(__xludf.DUMMYFUNCTION("""COMPUTED_VALUE"""),0.0)</f>
        <v>0</v>
      </c>
      <c r="M262" s="2">
        <f>IFERROR(__xludf.DUMMYFUNCTION("""COMPUTED_VALUE"""),29524.0)</f>
        <v>29524</v>
      </c>
      <c r="N262" s="2">
        <f>IFERROR(__xludf.DUMMYFUNCTION("""COMPUTED_VALUE"""),0.0)</f>
        <v>0</v>
      </c>
      <c r="O262" s="2">
        <f>IFERROR(__xludf.DUMMYFUNCTION("""COMPUTED_VALUE"""),29524.0)</f>
        <v>29524</v>
      </c>
      <c r="P262" s="2">
        <f>IFERROR(__xludf.DUMMYFUNCTION("""COMPUTED_VALUE"""),1476.0)</f>
        <v>1476</v>
      </c>
      <c r="Q262" s="2" t="str">
        <f>IFERROR(__xludf.DUMMYFUNCTION("""COMPUTED_VALUE"""),"Dine In")</f>
        <v>Dine In</v>
      </c>
      <c r="R262" s="2" t="str">
        <f>IFERROR(__xludf.DUMMYFUNCTION("""COMPUTED_VALUE"""),"Kedai")</f>
        <v>Kedai</v>
      </c>
      <c r="S262" s="2" t="str">
        <f>IFERROR(__xludf.DUMMYFUNCTION("""COMPUTED_VALUE"""),"Temu Roti")</f>
        <v>Temu Roti</v>
      </c>
      <c r="T262" s="2" t="str">
        <f>IFERROR(__xludf.DUMMYFUNCTION("""COMPUTED_VALUE"""),"Owner")</f>
        <v>Owner</v>
      </c>
      <c r="U262" s="2"/>
      <c r="V262" s="2"/>
      <c r="W262" s="2"/>
      <c r="X262" s="2" t="str">
        <f>IFERROR(__xludf.DUMMYFUNCTION("""COMPUTED_VALUE"""),"Closed")</f>
        <v>Closed</v>
      </c>
    </row>
    <row r="263">
      <c r="A263" s="3" t="s">
        <v>284</v>
      </c>
      <c r="B263" s="4">
        <f>IFERROR(__xludf.DUMMYFUNCTION("SPLIT(A263,"","",0,0)"),45561.50902777778)</f>
        <v>45561.50903</v>
      </c>
      <c r="C263" s="5">
        <f>IFERROR(__xludf.DUMMYFUNCTION("""COMPUTED_VALUE"""),2764919.0)</f>
        <v>2764919</v>
      </c>
      <c r="D263" s="2" t="str">
        <f>IFERROR(__xludf.DUMMYFUNCTION("""COMPUTED_VALUE"""),"Sale")</f>
        <v>Sale</v>
      </c>
      <c r="E263" s="2" t="str">
        <f>IFERROR(__xludf.DUMMYFUNCTION("""COMPUTED_VALUE"""),"Roti")</f>
        <v>Roti</v>
      </c>
      <c r="F263" s="2">
        <f>IFERROR(__xludf.DUMMYFUNCTION("""COMPUTED_VALUE"""),10005.0)</f>
        <v>10005</v>
      </c>
      <c r="G263" s="2" t="str">
        <f>IFERROR(__xludf.DUMMYFUNCTION("""COMPUTED_VALUE"""),"Roti Gandum Cokelat")</f>
        <v>Roti Gandum Cokelat</v>
      </c>
      <c r="H263" s="2"/>
      <c r="I263" s="2"/>
      <c r="J263" s="2">
        <f>IFERROR(__xludf.DUMMYFUNCTION("""COMPUTED_VALUE"""),1.0)</f>
        <v>1</v>
      </c>
      <c r="K263" s="6">
        <f>IFERROR(__xludf.DUMMYFUNCTION("""COMPUTED_VALUE"""),19524.0)</f>
        <v>19524</v>
      </c>
      <c r="L263" s="2">
        <f>IFERROR(__xludf.DUMMYFUNCTION("""COMPUTED_VALUE"""),0.0)</f>
        <v>0</v>
      </c>
      <c r="M263" s="2">
        <f>IFERROR(__xludf.DUMMYFUNCTION("""COMPUTED_VALUE"""),19524.0)</f>
        <v>19524</v>
      </c>
      <c r="N263" s="2">
        <f>IFERROR(__xludf.DUMMYFUNCTION("""COMPUTED_VALUE"""),0.0)</f>
        <v>0</v>
      </c>
      <c r="O263" s="2">
        <f>IFERROR(__xludf.DUMMYFUNCTION("""COMPUTED_VALUE"""),19524.0)</f>
        <v>19524</v>
      </c>
      <c r="P263" s="2">
        <f>IFERROR(__xludf.DUMMYFUNCTION("""COMPUTED_VALUE"""),976.0)</f>
        <v>976</v>
      </c>
      <c r="Q263" s="2" t="str">
        <f>IFERROR(__xludf.DUMMYFUNCTION("""COMPUTED_VALUE"""),"Dine In")</f>
        <v>Dine In</v>
      </c>
      <c r="R263" s="2" t="str">
        <f>IFERROR(__xludf.DUMMYFUNCTION("""COMPUTED_VALUE"""),"Kedai")</f>
        <v>Kedai</v>
      </c>
      <c r="S263" s="2" t="str">
        <f>IFERROR(__xludf.DUMMYFUNCTION("""COMPUTED_VALUE"""),"Temu Roti")</f>
        <v>Temu Roti</v>
      </c>
      <c r="T263" s="2" t="str">
        <f>IFERROR(__xludf.DUMMYFUNCTION("""COMPUTED_VALUE"""),"Owner")</f>
        <v>Owner</v>
      </c>
      <c r="U263" s="2"/>
      <c r="V263" s="2"/>
      <c r="W263" s="2"/>
      <c r="X263" s="2" t="str">
        <f>IFERROR(__xludf.DUMMYFUNCTION("""COMPUTED_VALUE"""),"Closed")</f>
        <v>Closed</v>
      </c>
    </row>
    <row r="264">
      <c r="A264" s="3" t="s">
        <v>285</v>
      </c>
      <c r="B264" s="4">
        <f>IFERROR(__xludf.DUMMYFUNCTION("SPLIT(A264,"","",0,0)"),45561.50902777778)</f>
        <v>45561.50903</v>
      </c>
      <c r="C264" s="5">
        <f>IFERROR(__xludf.DUMMYFUNCTION("""COMPUTED_VALUE"""),2764919.0)</f>
        <v>2764919</v>
      </c>
      <c r="D264" s="2" t="str">
        <f>IFERROR(__xludf.DUMMYFUNCTION("""COMPUTED_VALUE"""),"Sale")</f>
        <v>Sale</v>
      </c>
      <c r="E264" s="2" t="str">
        <f>IFERROR(__xludf.DUMMYFUNCTION("""COMPUTED_VALUE"""),"Minuman")</f>
        <v>Minuman</v>
      </c>
      <c r="F264" s="2">
        <f>IFERROR(__xludf.DUMMYFUNCTION("""COMPUTED_VALUE"""),10128.0)</f>
        <v>10128</v>
      </c>
      <c r="G264" s="2" t="str">
        <f>IFERROR(__xludf.DUMMYFUNCTION("""COMPUTED_VALUE"""),"Es Kopi Susu")</f>
        <v>Es Kopi Susu</v>
      </c>
      <c r="H264" s="2"/>
      <c r="I264" s="2"/>
      <c r="J264" s="2">
        <f>IFERROR(__xludf.DUMMYFUNCTION("""COMPUTED_VALUE"""),1.0)</f>
        <v>1</v>
      </c>
      <c r="K264" s="6">
        <f>IFERROR(__xludf.DUMMYFUNCTION("""COMPUTED_VALUE"""),23333.0)</f>
        <v>23333</v>
      </c>
      <c r="L264" s="2">
        <f>IFERROR(__xludf.DUMMYFUNCTION("""COMPUTED_VALUE"""),0.0)</f>
        <v>0</v>
      </c>
      <c r="M264" s="2">
        <f>IFERROR(__xludf.DUMMYFUNCTION("""COMPUTED_VALUE"""),23333.0)</f>
        <v>23333</v>
      </c>
      <c r="N264" s="2">
        <f>IFERROR(__xludf.DUMMYFUNCTION("""COMPUTED_VALUE"""),0.0)</f>
        <v>0</v>
      </c>
      <c r="O264" s="2">
        <f>IFERROR(__xludf.DUMMYFUNCTION("""COMPUTED_VALUE"""),23333.0)</f>
        <v>23333</v>
      </c>
      <c r="P264" s="2">
        <f>IFERROR(__xludf.DUMMYFUNCTION("""COMPUTED_VALUE"""),1167.0)</f>
        <v>1167</v>
      </c>
      <c r="Q264" s="2" t="str">
        <f>IFERROR(__xludf.DUMMYFUNCTION("""COMPUTED_VALUE"""),"Dine In")</f>
        <v>Dine In</v>
      </c>
      <c r="R264" s="2" t="str">
        <f>IFERROR(__xludf.DUMMYFUNCTION("""COMPUTED_VALUE"""),"Kedai")</f>
        <v>Kedai</v>
      </c>
      <c r="S264" s="2" t="str">
        <f>IFERROR(__xludf.DUMMYFUNCTION("""COMPUTED_VALUE"""),"Temu Roti")</f>
        <v>Temu Roti</v>
      </c>
      <c r="T264" s="2" t="str">
        <f>IFERROR(__xludf.DUMMYFUNCTION("""COMPUTED_VALUE"""),"Owner")</f>
        <v>Owner</v>
      </c>
      <c r="U264" s="2"/>
      <c r="V264" s="2"/>
      <c r="W264" s="2"/>
      <c r="X264" s="2" t="str">
        <f>IFERROR(__xludf.DUMMYFUNCTION("""COMPUTED_VALUE"""),"Closed")</f>
        <v>Closed</v>
      </c>
    </row>
    <row r="265">
      <c r="A265" s="3" t="s">
        <v>286</v>
      </c>
      <c r="B265" s="4">
        <f>IFERROR(__xludf.DUMMYFUNCTION("SPLIT(A265,"","",0,0)"),45561.50833333333)</f>
        <v>45561.50833</v>
      </c>
      <c r="C265" s="5">
        <f>IFERROR(__xludf.DUMMYFUNCTION("""COMPUTED_VALUE"""),2764554.0)</f>
        <v>2764554</v>
      </c>
      <c r="D265" s="2" t="str">
        <f>IFERROR(__xludf.DUMMYFUNCTION("""COMPUTED_VALUE"""),"Sale")</f>
        <v>Sale</v>
      </c>
      <c r="E265" s="2" t="str">
        <f>IFERROR(__xludf.DUMMYFUNCTION("""COMPUTED_VALUE"""),"Minuman")</f>
        <v>Minuman</v>
      </c>
      <c r="F265" s="2">
        <f>IFERROR(__xludf.DUMMYFUNCTION("""COMPUTED_VALUE"""),10119.0)</f>
        <v>10119</v>
      </c>
      <c r="G265" s="2" t="str">
        <f>IFERROR(__xludf.DUMMYFUNCTION("""COMPUTED_VALUE"""),"Teh Tawar Dingin")</f>
        <v>Teh Tawar Dingin</v>
      </c>
      <c r="H265" s="2"/>
      <c r="I265" s="2"/>
      <c r="J265" s="2">
        <f>IFERROR(__xludf.DUMMYFUNCTION("""COMPUTED_VALUE"""),1.0)</f>
        <v>1</v>
      </c>
      <c r="K265" s="6">
        <f>IFERROR(__xludf.DUMMYFUNCTION("""COMPUTED_VALUE"""),7143.0)</f>
        <v>7143</v>
      </c>
      <c r="L265" s="2">
        <f>IFERROR(__xludf.DUMMYFUNCTION("""COMPUTED_VALUE"""),0.0)</f>
        <v>0</v>
      </c>
      <c r="M265" s="2">
        <f>IFERROR(__xludf.DUMMYFUNCTION("""COMPUTED_VALUE"""),7143.0)</f>
        <v>7143</v>
      </c>
      <c r="N265" s="2">
        <f>IFERROR(__xludf.DUMMYFUNCTION("""COMPUTED_VALUE"""),0.0)</f>
        <v>0</v>
      </c>
      <c r="O265" s="2">
        <f>IFERROR(__xludf.DUMMYFUNCTION("""COMPUTED_VALUE"""),7143.0)</f>
        <v>7143</v>
      </c>
      <c r="P265" s="2">
        <f>IFERROR(__xludf.DUMMYFUNCTION("""COMPUTED_VALUE"""),357.0)</f>
        <v>357</v>
      </c>
      <c r="Q265" s="2" t="str">
        <f>IFERROR(__xludf.DUMMYFUNCTION("""COMPUTED_VALUE"""),"Dine In")</f>
        <v>Dine In</v>
      </c>
      <c r="R265" s="2" t="str">
        <f>IFERROR(__xludf.DUMMYFUNCTION("""COMPUTED_VALUE"""),"Kedai")</f>
        <v>Kedai</v>
      </c>
      <c r="S265" s="2" t="str">
        <f>IFERROR(__xludf.DUMMYFUNCTION("""COMPUTED_VALUE"""),"Temu Roti")</f>
        <v>Temu Roti</v>
      </c>
      <c r="T265" s="2" t="str">
        <f>IFERROR(__xludf.DUMMYFUNCTION("""COMPUTED_VALUE"""),"Owner")</f>
        <v>Owner</v>
      </c>
      <c r="U265" s="2"/>
      <c r="V265" s="2"/>
      <c r="W265" s="2"/>
      <c r="X265" s="2" t="str">
        <f>IFERROR(__xludf.DUMMYFUNCTION("""COMPUTED_VALUE"""),"Closed")</f>
        <v>Closed</v>
      </c>
    </row>
    <row r="266">
      <c r="A266" s="3" t="s">
        <v>287</v>
      </c>
      <c r="B266" s="4">
        <f>IFERROR(__xludf.DUMMYFUNCTION("SPLIT(A266,"","",0,0)"),45561.425)</f>
        <v>45561.425</v>
      </c>
      <c r="C266" s="5">
        <f>IFERROR(__xludf.DUMMYFUNCTION("""COMPUTED_VALUE"""),2764188.0)</f>
        <v>2764188</v>
      </c>
      <c r="D266" s="2" t="str">
        <f>IFERROR(__xludf.DUMMYFUNCTION("""COMPUTED_VALUE"""),"Sale")</f>
        <v>Sale</v>
      </c>
      <c r="E266" s="2" t="str">
        <f>IFERROR(__xludf.DUMMYFUNCTION("""COMPUTED_VALUE"""),"Roti")</f>
        <v>Roti</v>
      </c>
      <c r="F266" s="2">
        <f>IFERROR(__xludf.DUMMYFUNCTION("""COMPUTED_VALUE"""),10000.0)</f>
        <v>10000</v>
      </c>
      <c r="G266" s="2" t="str">
        <f>IFERROR(__xludf.DUMMYFUNCTION("""COMPUTED_VALUE"""),"Roti Bawang Saus Keju")</f>
        <v>Roti Bawang Saus Keju</v>
      </c>
      <c r="H266" s="2"/>
      <c r="I266" s="2"/>
      <c r="J266" s="2">
        <f>IFERROR(__xludf.DUMMYFUNCTION("""COMPUTED_VALUE"""),1.0)</f>
        <v>1</v>
      </c>
      <c r="K266" s="6">
        <f>IFERROR(__xludf.DUMMYFUNCTION("""COMPUTED_VALUE"""),29524.0)</f>
        <v>29524</v>
      </c>
      <c r="L266" s="2">
        <f>IFERROR(__xludf.DUMMYFUNCTION("""COMPUTED_VALUE"""),0.0)</f>
        <v>0</v>
      </c>
      <c r="M266" s="2">
        <f>IFERROR(__xludf.DUMMYFUNCTION("""COMPUTED_VALUE"""),29524.0)</f>
        <v>29524</v>
      </c>
      <c r="N266" s="2">
        <f>IFERROR(__xludf.DUMMYFUNCTION("""COMPUTED_VALUE"""),0.0)</f>
        <v>0</v>
      </c>
      <c r="O266" s="2">
        <f>IFERROR(__xludf.DUMMYFUNCTION("""COMPUTED_VALUE"""),29524.0)</f>
        <v>29524</v>
      </c>
      <c r="P266" s="2">
        <f>IFERROR(__xludf.DUMMYFUNCTION("""COMPUTED_VALUE"""),1476.0)</f>
        <v>1476</v>
      </c>
      <c r="Q266" s="2" t="str">
        <f>IFERROR(__xludf.DUMMYFUNCTION("""COMPUTED_VALUE"""),"Dine In")</f>
        <v>Dine In</v>
      </c>
      <c r="R266" s="2" t="str">
        <f>IFERROR(__xludf.DUMMYFUNCTION("""COMPUTED_VALUE"""),"Kedai")</f>
        <v>Kedai</v>
      </c>
      <c r="S266" s="2" t="str">
        <f>IFERROR(__xludf.DUMMYFUNCTION("""COMPUTED_VALUE"""),"Temu Roti")</f>
        <v>Temu Roti</v>
      </c>
      <c r="T266" s="2" t="str">
        <f>IFERROR(__xludf.DUMMYFUNCTION("""COMPUTED_VALUE"""),"Owner")</f>
        <v>Owner</v>
      </c>
      <c r="U266" s="2"/>
      <c r="V266" s="2"/>
      <c r="W266" s="2"/>
      <c r="X266" s="2" t="str">
        <f>IFERROR(__xludf.DUMMYFUNCTION("""COMPUTED_VALUE"""),"Closed")</f>
        <v>Closed</v>
      </c>
    </row>
    <row r="267">
      <c r="A267" s="3" t="s">
        <v>288</v>
      </c>
      <c r="B267" s="4">
        <f>IFERROR(__xludf.DUMMYFUNCTION("SPLIT(A267,"","",0,0)"),45561.425)</f>
        <v>45561.425</v>
      </c>
      <c r="C267" s="5">
        <f>IFERROR(__xludf.DUMMYFUNCTION("""COMPUTED_VALUE"""),2764188.0)</f>
        <v>2764188</v>
      </c>
      <c r="D267" s="2" t="str">
        <f>IFERROR(__xludf.DUMMYFUNCTION("""COMPUTED_VALUE"""),"Sale")</f>
        <v>Sale</v>
      </c>
      <c r="E267" s="2" t="str">
        <f>IFERROR(__xludf.DUMMYFUNCTION("""COMPUTED_VALUE"""),"Roti")</f>
        <v>Roti</v>
      </c>
      <c r="F267" s="2">
        <f>IFERROR(__xludf.DUMMYFUNCTION("""COMPUTED_VALUE"""),10005.0)</f>
        <v>10005</v>
      </c>
      <c r="G267" s="2" t="str">
        <f>IFERROR(__xludf.DUMMYFUNCTION("""COMPUTED_VALUE"""),"Roti Gandum Cokelat")</f>
        <v>Roti Gandum Cokelat</v>
      </c>
      <c r="H267" s="2"/>
      <c r="I267" s="2"/>
      <c r="J267" s="2">
        <f>IFERROR(__xludf.DUMMYFUNCTION("""COMPUTED_VALUE"""),1.0)</f>
        <v>1</v>
      </c>
      <c r="K267" s="6">
        <f>IFERROR(__xludf.DUMMYFUNCTION("""COMPUTED_VALUE"""),19524.0)</f>
        <v>19524</v>
      </c>
      <c r="L267" s="2">
        <f>IFERROR(__xludf.DUMMYFUNCTION("""COMPUTED_VALUE"""),0.0)</f>
        <v>0</v>
      </c>
      <c r="M267" s="2">
        <f>IFERROR(__xludf.DUMMYFUNCTION("""COMPUTED_VALUE"""),19524.0)</f>
        <v>19524</v>
      </c>
      <c r="N267" s="2">
        <f>IFERROR(__xludf.DUMMYFUNCTION("""COMPUTED_VALUE"""),0.0)</f>
        <v>0</v>
      </c>
      <c r="O267" s="2">
        <f>IFERROR(__xludf.DUMMYFUNCTION("""COMPUTED_VALUE"""),19524.0)</f>
        <v>19524</v>
      </c>
      <c r="P267" s="2">
        <f>IFERROR(__xludf.DUMMYFUNCTION("""COMPUTED_VALUE"""),976.0)</f>
        <v>976</v>
      </c>
      <c r="Q267" s="2" t="str">
        <f>IFERROR(__xludf.DUMMYFUNCTION("""COMPUTED_VALUE"""),"Dine In")</f>
        <v>Dine In</v>
      </c>
      <c r="R267" s="2" t="str">
        <f>IFERROR(__xludf.DUMMYFUNCTION("""COMPUTED_VALUE"""),"Kedai")</f>
        <v>Kedai</v>
      </c>
      <c r="S267" s="2" t="str">
        <f>IFERROR(__xludf.DUMMYFUNCTION("""COMPUTED_VALUE"""),"Temu Roti")</f>
        <v>Temu Roti</v>
      </c>
      <c r="T267" s="2" t="str">
        <f>IFERROR(__xludf.DUMMYFUNCTION("""COMPUTED_VALUE"""),"Owner")</f>
        <v>Owner</v>
      </c>
      <c r="U267" s="2"/>
      <c r="V267" s="2"/>
      <c r="W267" s="2"/>
      <c r="X267" s="2" t="str">
        <f>IFERROR(__xludf.DUMMYFUNCTION("""COMPUTED_VALUE"""),"Closed")</f>
        <v>Closed</v>
      </c>
    </row>
    <row r="268">
      <c r="A268" s="3" t="s">
        <v>289</v>
      </c>
      <c r="B268" s="4">
        <f>IFERROR(__xludf.DUMMYFUNCTION("SPLIT(A268,"","",0,0)"),45561.425)</f>
        <v>45561.425</v>
      </c>
      <c r="C268" s="5">
        <f>IFERROR(__xludf.DUMMYFUNCTION("""COMPUTED_VALUE"""),2764188.0)</f>
        <v>2764188</v>
      </c>
      <c r="D268" s="2" t="str">
        <f>IFERROR(__xludf.DUMMYFUNCTION("""COMPUTED_VALUE"""),"Sale")</f>
        <v>Sale</v>
      </c>
      <c r="E268" s="2" t="str">
        <f>IFERROR(__xludf.DUMMYFUNCTION("""COMPUTED_VALUE"""),"Roti")</f>
        <v>Roti</v>
      </c>
      <c r="F268" s="2">
        <f>IFERROR(__xludf.DUMMYFUNCTION("""COMPUTED_VALUE"""),10002.0)</f>
        <v>10002</v>
      </c>
      <c r="G268" s="2" t="str">
        <f>IFERROR(__xludf.DUMMYFUNCTION("""COMPUTED_VALUE"""),"Roti Cranberry")</f>
        <v>Roti Cranberry</v>
      </c>
      <c r="H268" s="2"/>
      <c r="I268" s="2"/>
      <c r="J268" s="2">
        <f>IFERROR(__xludf.DUMMYFUNCTION("""COMPUTED_VALUE"""),1.0)</f>
        <v>1</v>
      </c>
      <c r="K268" s="6">
        <f>IFERROR(__xludf.DUMMYFUNCTION("""COMPUTED_VALUE"""),18571.0)</f>
        <v>18571</v>
      </c>
      <c r="L268" s="2">
        <f>IFERROR(__xludf.DUMMYFUNCTION("""COMPUTED_VALUE"""),0.0)</f>
        <v>0</v>
      </c>
      <c r="M268" s="2">
        <f>IFERROR(__xludf.DUMMYFUNCTION("""COMPUTED_VALUE"""),18571.0)</f>
        <v>18571</v>
      </c>
      <c r="N268" s="2">
        <f>IFERROR(__xludf.DUMMYFUNCTION("""COMPUTED_VALUE"""),0.0)</f>
        <v>0</v>
      </c>
      <c r="O268" s="2">
        <f>IFERROR(__xludf.DUMMYFUNCTION("""COMPUTED_VALUE"""),18571.0)</f>
        <v>18571</v>
      </c>
      <c r="P268" s="2">
        <f>IFERROR(__xludf.DUMMYFUNCTION("""COMPUTED_VALUE"""),929.0)</f>
        <v>929</v>
      </c>
      <c r="Q268" s="2" t="str">
        <f>IFERROR(__xludf.DUMMYFUNCTION("""COMPUTED_VALUE"""),"Dine In")</f>
        <v>Dine In</v>
      </c>
      <c r="R268" s="2" t="str">
        <f>IFERROR(__xludf.DUMMYFUNCTION("""COMPUTED_VALUE"""),"Kedai")</f>
        <v>Kedai</v>
      </c>
      <c r="S268" s="2" t="str">
        <f>IFERROR(__xludf.DUMMYFUNCTION("""COMPUTED_VALUE"""),"Temu Roti")</f>
        <v>Temu Roti</v>
      </c>
      <c r="T268" s="2" t="str">
        <f>IFERROR(__xludf.DUMMYFUNCTION("""COMPUTED_VALUE"""),"Owner")</f>
        <v>Owner</v>
      </c>
      <c r="U268" s="2"/>
      <c r="V268" s="2"/>
      <c r="W268" s="2"/>
      <c r="X268" s="2" t="str">
        <f>IFERROR(__xludf.DUMMYFUNCTION("""COMPUTED_VALUE"""),"Closed")</f>
        <v>Closed</v>
      </c>
    </row>
    <row r="269">
      <c r="A269" s="3" t="s">
        <v>290</v>
      </c>
      <c r="B269" s="4">
        <f>IFERROR(__xludf.DUMMYFUNCTION("SPLIT(A269,"","",0,0)"),45561.425)</f>
        <v>45561.425</v>
      </c>
      <c r="C269" s="5">
        <f>IFERROR(__xludf.DUMMYFUNCTION("""COMPUTED_VALUE"""),2764188.0)</f>
        <v>2764188</v>
      </c>
      <c r="D269" s="2" t="str">
        <f>IFERROR(__xludf.DUMMYFUNCTION("""COMPUTED_VALUE"""),"Sale")</f>
        <v>Sale</v>
      </c>
      <c r="E269" s="2" t="str">
        <f>IFERROR(__xludf.DUMMYFUNCTION("""COMPUTED_VALUE"""),"Minuman")</f>
        <v>Minuman</v>
      </c>
      <c r="F269" s="2">
        <f>IFERROR(__xludf.DUMMYFUNCTION("""COMPUTED_VALUE"""),10128.0)</f>
        <v>10128</v>
      </c>
      <c r="G269" s="2" t="str">
        <f>IFERROR(__xludf.DUMMYFUNCTION("""COMPUTED_VALUE"""),"Es Kopi Susu")</f>
        <v>Es Kopi Susu</v>
      </c>
      <c r="H269" s="2"/>
      <c r="I269" s="2"/>
      <c r="J269" s="2">
        <f>IFERROR(__xludf.DUMMYFUNCTION("""COMPUTED_VALUE"""),2.0)</f>
        <v>2</v>
      </c>
      <c r="K269" s="6">
        <f>IFERROR(__xludf.DUMMYFUNCTION("""COMPUTED_VALUE"""),46666.0)</f>
        <v>46666</v>
      </c>
      <c r="L269" s="2">
        <f>IFERROR(__xludf.DUMMYFUNCTION("""COMPUTED_VALUE"""),0.0)</f>
        <v>0</v>
      </c>
      <c r="M269" s="2">
        <f>IFERROR(__xludf.DUMMYFUNCTION("""COMPUTED_VALUE"""),46666.0)</f>
        <v>46666</v>
      </c>
      <c r="N269" s="2">
        <f>IFERROR(__xludf.DUMMYFUNCTION("""COMPUTED_VALUE"""),0.0)</f>
        <v>0</v>
      </c>
      <c r="O269" s="2">
        <f>IFERROR(__xludf.DUMMYFUNCTION("""COMPUTED_VALUE"""),46666.0)</f>
        <v>46666</v>
      </c>
      <c r="P269" s="2">
        <f>IFERROR(__xludf.DUMMYFUNCTION("""COMPUTED_VALUE"""),2333.0)</f>
        <v>2333</v>
      </c>
      <c r="Q269" s="2" t="str">
        <f>IFERROR(__xludf.DUMMYFUNCTION("""COMPUTED_VALUE"""),"Dine In")</f>
        <v>Dine In</v>
      </c>
      <c r="R269" s="2" t="str">
        <f>IFERROR(__xludf.DUMMYFUNCTION("""COMPUTED_VALUE"""),"Kedai")</f>
        <v>Kedai</v>
      </c>
      <c r="S269" s="2" t="str">
        <f>IFERROR(__xludf.DUMMYFUNCTION("""COMPUTED_VALUE"""),"Temu Roti")</f>
        <v>Temu Roti</v>
      </c>
      <c r="T269" s="2" t="str">
        <f>IFERROR(__xludf.DUMMYFUNCTION("""COMPUTED_VALUE"""),"Owner")</f>
        <v>Owner</v>
      </c>
      <c r="U269" s="2"/>
      <c r="V269" s="2"/>
      <c r="W269" s="2"/>
      <c r="X269" s="2" t="str">
        <f>IFERROR(__xludf.DUMMYFUNCTION("""COMPUTED_VALUE"""),"Closed")</f>
        <v>Closed</v>
      </c>
    </row>
    <row r="270">
      <c r="A270" s="3" t="s">
        <v>291</v>
      </c>
      <c r="B270" s="4">
        <f>IFERROR(__xludf.DUMMYFUNCTION("SPLIT(A270,"","",0,0)"),45561.425)</f>
        <v>45561.425</v>
      </c>
      <c r="C270" s="5">
        <f>IFERROR(__xludf.DUMMYFUNCTION("""COMPUTED_VALUE"""),2764188.0)</f>
        <v>2764188</v>
      </c>
      <c r="D270" s="2" t="str">
        <f>IFERROR(__xludf.DUMMYFUNCTION("""COMPUTED_VALUE"""),"Sale")</f>
        <v>Sale</v>
      </c>
      <c r="E270" s="2" t="str">
        <f>IFERROR(__xludf.DUMMYFUNCTION("""COMPUTED_VALUE"""),"Minuman")</f>
        <v>Minuman</v>
      </c>
      <c r="F270" s="2">
        <f>IFERROR(__xludf.DUMMYFUNCTION("""COMPUTED_VALUE"""),10106.0)</f>
        <v>10106</v>
      </c>
      <c r="G270" s="2" t="str">
        <f>IFERROR(__xludf.DUMMYFUNCTION("""COMPUTED_VALUE"""),"Korean Strawberry Fresh Milk")</f>
        <v>Korean Strawberry Fresh Milk</v>
      </c>
      <c r="H270" s="2"/>
      <c r="I270" s="2"/>
      <c r="J270" s="2">
        <f>IFERROR(__xludf.DUMMYFUNCTION("""COMPUTED_VALUE"""),1.0)</f>
        <v>1</v>
      </c>
      <c r="K270" s="6">
        <f>IFERROR(__xludf.DUMMYFUNCTION("""COMPUTED_VALUE"""),26667.0)</f>
        <v>26667</v>
      </c>
      <c r="L270" s="2">
        <f>IFERROR(__xludf.DUMMYFUNCTION("""COMPUTED_VALUE"""),0.0)</f>
        <v>0</v>
      </c>
      <c r="M270" s="2">
        <f>IFERROR(__xludf.DUMMYFUNCTION("""COMPUTED_VALUE"""),26667.0)</f>
        <v>26667</v>
      </c>
      <c r="N270" s="2">
        <f>IFERROR(__xludf.DUMMYFUNCTION("""COMPUTED_VALUE"""),0.0)</f>
        <v>0</v>
      </c>
      <c r="O270" s="2">
        <f>IFERROR(__xludf.DUMMYFUNCTION("""COMPUTED_VALUE"""),26667.0)</f>
        <v>26667</v>
      </c>
      <c r="P270" s="2">
        <f>IFERROR(__xludf.DUMMYFUNCTION("""COMPUTED_VALUE"""),1334.0)</f>
        <v>1334</v>
      </c>
      <c r="Q270" s="2" t="str">
        <f>IFERROR(__xludf.DUMMYFUNCTION("""COMPUTED_VALUE"""),"Dine In")</f>
        <v>Dine In</v>
      </c>
      <c r="R270" s="2" t="str">
        <f>IFERROR(__xludf.DUMMYFUNCTION("""COMPUTED_VALUE"""),"Kedai")</f>
        <v>Kedai</v>
      </c>
      <c r="S270" s="2" t="str">
        <f>IFERROR(__xludf.DUMMYFUNCTION("""COMPUTED_VALUE"""),"Temu Roti")</f>
        <v>Temu Roti</v>
      </c>
      <c r="T270" s="2" t="str">
        <f>IFERROR(__xludf.DUMMYFUNCTION("""COMPUTED_VALUE"""),"Owner")</f>
        <v>Owner</v>
      </c>
      <c r="U270" s="2"/>
      <c r="V270" s="2"/>
      <c r="W270" s="2"/>
      <c r="X270" s="2" t="str">
        <f>IFERROR(__xludf.DUMMYFUNCTION("""COMPUTED_VALUE"""),"Closed")</f>
        <v>Closed</v>
      </c>
    </row>
    <row r="271">
      <c r="A271" s="3" t="s">
        <v>292</v>
      </c>
      <c r="B271" s="4">
        <f>IFERROR(__xludf.DUMMYFUNCTION("SPLIT(A271,"","",0,0)"),45561.425)</f>
        <v>45561.425</v>
      </c>
      <c r="C271" s="5">
        <f>IFERROR(__xludf.DUMMYFUNCTION("""COMPUTED_VALUE"""),2764188.0)</f>
        <v>2764188</v>
      </c>
      <c r="D271" s="2" t="str">
        <f>IFERROR(__xludf.DUMMYFUNCTION("""COMPUTED_VALUE"""),"Sale")</f>
        <v>Sale</v>
      </c>
      <c r="E271" s="2" t="str">
        <f>IFERROR(__xludf.DUMMYFUNCTION("""COMPUTED_VALUE"""),"Minuman")</f>
        <v>Minuman</v>
      </c>
      <c r="F271" s="2">
        <f>IFERROR(__xludf.DUMMYFUNCTION("""COMPUTED_VALUE"""),10069.0)</f>
        <v>10069</v>
      </c>
      <c r="G271" s="2" t="str">
        <f>IFERROR(__xludf.DUMMYFUNCTION("""COMPUTED_VALUE"""),"Wedang hujan")</f>
        <v>Wedang hujan</v>
      </c>
      <c r="H271" s="2"/>
      <c r="I271" s="2"/>
      <c r="J271" s="2">
        <f>IFERROR(__xludf.DUMMYFUNCTION("""COMPUTED_VALUE"""),1.0)</f>
        <v>1</v>
      </c>
      <c r="K271" s="6">
        <f>IFERROR(__xludf.DUMMYFUNCTION("""COMPUTED_VALUE"""),24762.0)</f>
        <v>24762</v>
      </c>
      <c r="L271" s="2">
        <f>IFERROR(__xludf.DUMMYFUNCTION("""COMPUTED_VALUE"""),0.0)</f>
        <v>0</v>
      </c>
      <c r="M271" s="2">
        <f>IFERROR(__xludf.DUMMYFUNCTION("""COMPUTED_VALUE"""),24762.0)</f>
        <v>24762</v>
      </c>
      <c r="N271" s="2">
        <f>IFERROR(__xludf.DUMMYFUNCTION("""COMPUTED_VALUE"""),0.0)</f>
        <v>0</v>
      </c>
      <c r="O271" s="2">
        <f>IFERROR(__xludf.DUMMYFUNCTION("""COMPUTED_VALUE"""),24762.0)</f>
        <v>24762</v>
      </c>
      <c r="P271" s="2">
        <f>IFERROR(__xludf.DUMMYFUNCTION("""COMPUTED_VALUE"""),1238.0)</f>
        <v>1238</v>
      </c>
      <c r="Q271" s="2" t="str">
        <f>IFERROR(__xludf.DUMMYFUNCTION("""COMPUTED_VALUE"""),"Dine In")</f>
        <v>Dine In</v>
      </c>
      <c r="R271" s="2" t="str">
        <f>IFERROR(__xludf.DUMMYFUNCTION("""COMPUTED_VALUE"""),"Kedai")</f>
        <v>Kedai</v>
      </c>
      <c r="S271" s="2" t="str">
        <f>IFERROR(__xludf.DUMMYFUNCTION("""COMPUTED_VALUE"""),"Temu Roti")</f>
        <v>Temu Roti</v>
      </c>
      <c r="T271" s="2" t="str">
        <f>IFERROR(__xludf.DUMMYFUNCTION("""COMPUTED_VALUE"""),"Owner")</f>
        <v>Owner</v>
      </c>
      <c r="U271" s="2"/>
      <c r="V271" s="2"/>
      <c r="W271" s="2"/>
      <c r="X271" s="2" t="str">
        <f>IFERROR(__xludf.DUMMYFUNCTION("""COMPUTED_VALUE"""),"Closed")</f>
        <v>Closed</v>
      </c>
    </row>
    <row r="272">
      <c r="A272" s="3" t="s">
        <v>293</v>
      </c>
      <c r="B272" s="4">
        <f>IFERROR(__xludf.DUMMYFUNCTION("SPLIT(A272,"","",0,0)"),45561.40833333333)</f>
        <v>45561.40833</v>
      </c>
      <c r="C272" s="5">
        <f>IFERROR(__xludf.DUMMYFUNCTION("""COMPUTED_VALUE"""),2763823.0)</f>
        <v>2763823</v>
      </c>
      <c r="D272" s="2" t="str">
        <f>IFERROR(__xludf.DUMMYFUNCTION("""COMPUTED_VALUE"""),"Sale")</f>
        <v>Sale</v>
      </c>
      <c r="E272" s="2" t="str">
        <f>IFERROR(__xludf.DUMMYFUNCTION("""COMPUTED_VALUE"""),"Roti")</f>
        <v>Roti</v>
      </c>
      <c r="F272" s="2">
        <f>IFERROR(__xludf.DUMMYFUNCTION("""COMPUTED_VALUE"""),10005.0)</f>
        <v>10005</v>
      </c>
      <c r="G272" s="2" t="str">
        <f>IFERROR(__xludf.DUMMYFUNCTION("""COMPUTED_VALUE"""),"Roti Gandum Cokelat")</f>
        <v>Roti Gandum Cokelat</v>
      </c>
      <c r="H272" s="2"/>
      <c r="I272" s="2"/>
      <c r="J272" s="2">
        <f>IFERROR(__xludf.DUMMYFUNCTION("""COMPUTED_VALUE"""),1.0)</f>
        <v>1</v>
      </c>
      <c r="K272" s="6">
        <f>IFERROR(__xludf.DUMMYFUNCTION("""COMPUTED_VALUE"""),19524.0)</f>
        <v>19524</v>
      </c>
      <c r="L272" s="2">
        <f>IFERROR(__xludf.DUMMYFUNCTION("""COMPUTED_VALUE"""),0.0)</f>
        <v>0</v>
      </c>
      <c r="M272" s="2">
        <f>IFERROR(__xludf.DUMMYFUNCTION("""COMPUTED_VALUE"""),19524.0)</f>
        <v>19524</v>
      </c>
      <c r="N272" s="2">
        <f>IFERROR(__xludf.DUMMYFUNCTION("""COMPUTED_VALUE"""),0.0)</f>
        <v>0</v>
      </c>
      <c r="O272" s="2">
        <f>IFERROR(__xludf.DUMMYFUNCTION("""COMPUTED_VALUE"""),19524.0)</f>
        <v>19524</v>
      </c>
      <c r="P272" s="2">
        <f>IFERROR(__xludf.DUMMYFUNCTION("""COMPUTED_VALUE"""),976.0)</f>
        <v>976</v>
      </c>
      <c r="Q272" s="2" t="str">
        <f>IFERROR(__xludf.DUMMYFUNCTION("""COMPUTED_VALUE"""),"Dine In")</f>
        <v>Dine In</v>
      </c>
      <c r="R272" s="2" t="str">
        <f>IFERROR(__xludf.DUMMYFUNCTION("""COMPUTED_VALUE"""),"Kedai")</f>
        <v>Kedai</v>
      </c>
      <c r="S272" s="2" t="str">
        <f>IFERROR(__xludf.DUMMYFUNCTION("""COMPUTED_VALUE"""),"Temu Roti")</f>
        <v>Temu Roti</v>
      </c>
      <c r="T272" s="2" t="str">
        <f>IFERROR(__xludf.DUMMYFUNCTION("""COMPUTED_VALUE"""),"Owner")</f>
        <v>Owner</v>
      </c>
      <c r="U272" s="2"/>
      <c r="V272" s="2"/>
      <c r="W272" s="2"/>
      <c r="X272" s="2" t="str">
        <f>IFERROR(__xludf.DUMMYFUNCTION("""COMPUTED_VALUE"""),"Closed")</f>
        <v>Closed</v>
      </c>
    </row>
    <row r="273">
      <c r="A273" s="3" t="s">
        <v>294</v>
      </c>
      <c r="B273" s="4">
        <f>IFERROR(__xludf.DUMMYFUNCTION("SPLIT(A273,"","",0,0)"),45561.40833333333)</f>
        <v>45561.40833</v>
      </c>
      <c r="C273" s="5">
        <f>IFERROR(__xludf.DUMMYFUNCTION("""COMPUTED_VALUE"""),2763823.0)</f>
        <v>2763823</v>
      </c>
      <c r="D273" s="2" t="str">
        <f>IFERROR(__xludf.DUMMYFUNCTION("""COMPUTED_VALUE"""),"Sale")</f>
        <v>Sale</v>
      </c>
      <c r="E273" s="2" t="str">
        <f>IFERROR(__xludf.DUMMYFUNCTION("""COMPUTED_VALUE"""),"Roti")</f>
        <v>Roti</v>
      </c>
      <c r="F273" s="2">
        <f>IFERROR(__xludf.DUMMYFUNCTION("""COMPUTED_VALUE"""),10002.0)</f>
        <v>10002</v>
      </c>
      <c r="G273" s="2" t="str">
        <f>IFERROR(__xludf.DUMMYFUNCTION("""COMPUTED_VALUE"""),"Roti Cranberry")</f>
        <v>Roti Cranberry</v>
      </c>
      <c r="H273" s="2"/>
      <c r="I273" s="2"/>
      <c r="J273" s="2">
        <f>IFERROR(__xludf.DUMMYFUNCTION("""COMPUTED_VALUE"""),1.0)</f>
        <v>1</v>
      </c>
      <c r="K273" s="6">
        <f>IFERROR(__xludf.DUMMYFUNCTION("""COMPUTED_VALUE"""),18571.0)</f>
        <v>18571</v>
      </c>
      <c r="L273" s="2">
        <f>IFERROR(__xludf.DUMMYFUNCTION("""COMPUTED_VALUE"""),0.0)</f>
        <v>0</v>
      </c>
      <c r="M273" s="2">
        <f>IFERROR(__xludf.DUMMYFUNCTION("""COMPUTED_VALUE"""),18571.0)</f>
        <v>18571</v>
      </c>
      <c r="N273" s="2">
        <f>IFERROR(__xludf.DUMMYFUNCTION("""COMPUTED_VALUE"""),0.0)</f>
        <v>0</v>
      </c>
      <c r="O273" s="2">
        <f>IFERROR(__xludf.DUMMYFUNCTION("""COMPUTED_VALUE"""),18571.0)</f>
        <v>18571</v>
      </c>
      <c r="P273" s="2">
        <f>IFERROR(__xludf.DUMMYFUNCTION("""COMPUTED_VALUE"""),929.0)</f>
        <v>929</v>
      </c>
      <c r="Q273" s="2" t="str">
        <f>IFERROR(__xludf.DUMMYFUNCTION("""COMPUTED_VALUE"""),"Dine In")</f>
        <v>Dine In</v>
      </c>
      <c r="R273" s="2" t="str">
        <f>IFERROR(__xludf.DUMMYFUNCTION("""COMPUTED_VALUE"""),"Kedai")</f>
        <v>Kedai</v>
      </c>
      <c r="S273" s="2" t="str">
        <f>IFERROR(__xludf.DUMMYFUNCTION("""COMPUTED_VALUE"""),"Temu Roti")</f>
        <v>Temu Roti</v>
      </c>
      <c r="T273" s="2" t="str">
        <f>IFERROR(__xludf.DUMMYFUNCTION("""COMPUTED_VALUE"""),"Owner")</f>
        <v>Owner</v>
      </c>
      <c r="U273" s="2"/>
      <c r="V273" s="2"/>
      <c r="W273" s="2"/>
      <c r="X273" s="2" t="str">
        <f>IFERROR(__xludf.DUMMYFUNCTION("""COMPUTED_VALUE"""),"Closed")</f>
        <v>Closed</v>
      </c>
    </row>
    <row r="274">
      <c r="A274" s="3" t="s">
        <v>295</v>
      </c>
      <c r="B274" s="4">
        <f>IFERROR(__xludf.DUMMYFUNCTION("SPLIT(A274,"","",0,0)"),45561.40625)</f>
        <v>45561.40625</v>
      </c>
      <c r="C274" s="5">
        <f>IFERROR(__xludf.DUMMYFUNCTION("""COMPUTED_VALUE"""),2763458.0)</f>
        <v>2763458</v>
      </c>
      <c r="D274" s="2" t="str">
        <f>IFERROR(__xludf.DUMMYFUNCTION("""COMPUTED_VALUE"""),"Sale")</f>
        <v>Sale</v>
      </c>
      <c r="E274" s="2" t="str">
        <f>IFERROR(__xludf.DUMMYFUNCTION("""COMPUTED_VALUE"""),"Minuman")</f>
        <v>Minuman</v>
      </c>
      <c r="F274" s="2">
        <f>IFERROR(__xludf.DUMMYFUNCTION("""COMPUTED_VALUE"""),10067.0)</f>
        <v>10067</v>
      </c>
      <c r="G274" s="2" t="str">
        <f>IFERROR(__xludf.DUMMYFUNCTION("""COMPUTED_VALUE"""),"Wedang angin")</f>
        <v>Wedang angin</v>
      </c>
      <c r="H274" s="2"/>
      <c r="I274" s="2"/>
      <c r="J274" s="2">
        <f>IFERROR(__xludf.DUMMYFUNCTION("""COMPUTED_VALUE"""),1.0)</f>
        <v>1</v>
      </c>
      <c r="K274" s="6">
        <f>IFERROR(__xludf.DUMMYFUNCTION("""COMPUTED_VALUE"""),24762.0)</f>
        <v>24762</v>
      </c>
      <c r="L274" s="2">
        <f>IFERROR(__xludf.DUMMYFUNCTION("""COMPUTED_VALUE"""),0.0)</f>
        <v>0</v>
      </c>
      <c r="M274" s="2">
        <f>IFERROR(__xludf.DUMMYFUNCTION("""COMPUTED_VALUE"""),24762.0)</f>
        <v>24762</v>
      </c>
      <c r="N274" s="2">
        <f>IFERROR(__xludf.DUMMYFUNCTION("""COMPUTED_VALUE"""),0.0)</f>
        <v>0</v>
      </c>
      <c r="O274" s="2">
        <f>IFERROR(__xludf.DUMMYFUNCTION("""COMPUTED_VALUE"""),24762.0)</f>
        <v>24762</v>
      </c>
      <c r="P274" s="2">
        <f>IFERROR(__xludf.DUMMYFUNCTION("""COMPUTED_VALUE"""),1238.0)</f>
        <v>1238</v>
      </c>
      <c r="Q274" s="2" t="str">
        <f>IFERROR(__xludf.DUMMYFUNCTION("""COMPUTED_VALUE"""),"Dine In")</f>
        <v>Dine In</v>
      </c>
      <c r="R274" s="2" t="str">
        <f>IFERROR(__xludf.DUMMYFUNCTION("""COMPUTED_VALUE"""),"Kedai")</f>
        <v>Kedai</v>
      </c>
      <c r="S274" s="2" t="str">
        <f>IFERROR(__xludf.DUMMYFUNCTION("""COMPUTED_VALUE"""),"Temu Roti")</f>
        <v>Temu Roti</v>
      </c>
      <c r="T274" s="2" t="str">
        <f>IFERROR(__xludf.DUMMYFUNCTION("""COMPUTED_VALUE"""),"Owner")</f>
        <v>Owner</v>
      </c>
      <c r="U274" s="2"/>
      <c r="V274" s="2"/>
      <c r="W274" s="2"/>
      <c r="X274" s="2" t="str">
        <f>IFERROR(__xludf.DUMMYFUNCTION("""COMPUTED_VALUE"""),"Closed")</f>
        <v>Closed</v>
      </c>
    </row>
    <row r="275">
      <c r="A275" s="3" t="s">
        <v>296</v>
      </c>
      <c r="B275" s="4">
        <f>IFERROR(__xludf.DUMMYFUNCTION("SPLIT(A275,"","",0,0)"),45561.40625)</f>
        <v>45561.40625</v>
      </c>
      <c r="C275" s="5">
        <f>IFERROR(__xludf.DUMMYFUNCTION("""COMPUTED_VALUE"""),2763458.0)</f>
        <v>2763458</v>
      </c>
      <c r="D275" s="2" t="str">
        <f>IFERROR(__xludf.DUMMYFUNCTION("""COMPUTED_VALUE"""),"Sale")</f>
        <v>Sale</v>
      </c>
      <c r="E275" s="2" t="str">
        <f>IFERROR(__xludf.DUMMYFUNCTION("""COMPUTED_VALUE"""),"Minuman")</f>
        <v>Minuman</v>
      </c>
      <c r="F275" s="2">
        <f>IFERROR(__xludf.DUMMYFUNCTION("""COMPUTED_VALUE"""),10128.0)</f>
        <v>10128</v>
      </c>
      <c r="G275" s="2" t="str">
        <f>IFERROR(__xludf.DUMMYFUNCTION("""COMPUTED_VALUE"""),"Es Kopi Susu")</f>
        <v>Es Kopi Susu</v>
      </c>
      <c r="H275" s="2"/>
      <c r="I275" s="2"/>
      <c r="J275" s="2">
        <f>IFERROR(__xludf.DUMMYFUNCTION("""COMPUTED_VALUE"""),1.0)</f>
        <v>1</v>
      </c>
      <c r="K275" s="6">
        <f>IFERROR(__xludf.DUMMYFUNCTION("""COMPUTED_VALUE"""),23333.0)</f>
        <v>23333</v>
      </c>
      <c r="L275" s="2">
        <f>IFERROR(__xludf.DUMMYFUNCTION("""COMPUTED_VALUE"""),0.0)</f>
        <v>0</v>
      </c>
      <c r="M275" s="2">
        <f>IFERROR(__xludf.DUMMYFUNCTION("""COMPUTED_VALUE"""),23333.0)</f>
        <v>23333</v>
      </c>
      <c r="N275" s="2">
        <f>IFERROR(__xludf.DUMMYFUNCTION("""COMPUTED_VALUE"""),0.0)</f>
        <v>0</v>
      </c>
      <c r="O275" s="2">
        <f>IFERROR(__xludf.DUMMYFUNCTION("""COMPUTED_VALUE"""),23333.0)</f>
        <v>23333</v>
      </c>
      <c r="P275" s="2">
        <f>IFERROR(__xludf.DUMMYFUNCTION("""COMPUTED_VALUE"""),1167.0)</f>
        <v>1167</v>
      </c>
      <c r="Q275" s="2" t="str">
        <f>IFERROR(__xludf.DUMMYFUNCTION("""COMPUTED_VALUE"""),"Dine In")</f>
        <v>Dine In</v>
      </c>
      <c r="R275" s="2" t="str">
        <f>IFERROR(__xludf.DUMMYFUNCTION("""COMPUTED_VALUE"""),"Kedai")</f>
        <v>Kedai</v>
      </c>
      <c r="S275" s="2" t="str">
        <f>IFERROR(__xludf.DUMMYFUNCTION("""COMPUTED_VALUE"""),"Temu Roti")</f>
        <v>Temu Roti</v>
      </c>
      <c r="T275" s="2" t="str">
        <f>IFERROR(__xludf.DUMMYFUNCTION("""COMPUTED_VALUE"""),"Owner")</f>
        <v>Owner</v>
      </c>
      <c r="U275" s="2"/>
      <c r="V275" s="2"/>
      <c r="W275" s="2"/>
      <c r="X275" s="2" t="str">
        <f>IFERROR(__xludf.DUMMYFUNCTION("""COMPUTED_VALUE"""),"Closed")</f>
        <v>Closed</v>
      </c>
    </row>
    <row r="276">
      <c r="A276" s="3" t="s">
        <v>297</v>
      </c>
      <c r="B276" s="4">
        <f>IFERROR(__xludf.DUMMYFUNCTION("SPLIT(A276,"","",0,0)"),45561.40625)</f>
        <v>45561.40625</v>
      </c>
      <c r="C276" s="5">
        <f>IFERROR(__xludf.DUMMYFUNCTION("""COMPUTED_VALUE"""),2763458.0)</f>
        <v>2763458</v>
      </c>
      <c r="D276" s="2" t="str">
        <f>IFERROR(__xludf.DUMMYFUNCTION("""COMPUTED_VALUE"""),"Sale")</f>
        <v>Sale</v>
      </c>
      <c r="E276" s="2" t="str">
        <f>IFERROR(__xludf.DUMMYFUNCTION("""COMPUTED_VALUE"""),"Roti")</f>
        <v>Roti</v>
      </c>
      <c r="F276" s="2">
        <f>IFERROR(__xludf.DUMMYFUNCTION("""COMPUTED_VALUE"""),10007.0)</f>
        <v>10007</v>
      </c>
      <c r="G276" s="2" t="str">
        <f>IFERROR(__xludf.DUMMYFUNCTION("""COMPUTED_VALUE"""),"Roti cranberry 2 pcs")</f>
        <v>Roti cranberry 2 pcs</v>
      </c>
      <c r="H276" s="2"/>
      <c r="I276" s="2"/>
      <c r="J276" s="2">
        <f>IFERROR(__xludf.DUMMYFUNCTION("""COMPUTED_VALUE"""),1.0)</f>
        <v>1</v>
      </c>
      <c r="K276" s="6">
        <f>IFERROR(__xludf.DUMMYFUNCTION("""COMPUTED_VALUE"""),33810.0)</f>
        <v>33810</v>
      </c>
      <c r="L276" s="2">
        <f>IFERROR(__xludf.DUMMYFUNCTION("""COMPUTED_VALUE"""),0.0)</f>
        <v>0</v>
      </c>
      <c r="M276" s="2">
        <f>IFERROR(__xludf.DUMMYFUNCTION("""COMPUTED_VALUE"""),33810.0)</f>
        <v>33810</v>
      </c>
      <c r="N276" s="2">
        <f>IFERROR(__xludf.DUMMYFUNCTION("""COMPUTED_VALUE"""),0.0)</f>
        <v>0</v>
      </c>
      <c r="O276" s="2">
        <f>IFERROR(__xludf.DUMMYFUNCTION("""COMPUTED_VALUE"""),33810.0)</f>
        <v>33810</v>
      </c>
      <c r="P276" s="2">
        <f>IFERROR(__xludf.DUMMYFUNCTION("""COMPUTED_VALUE"""),1690.0)</f>
        <v>1690</v>
      </c>
      <c r="Q276" s="2" t="str">
        <f>IFERROR(__xludf.DUMMYFUNCTION("""COMPUTED_VALUE"""),"Dine In")</f>
        <v>Dine In</v>
      </c>
      <c r="R276" s="2" t="str">
        <f>IFERROR(__xludf.DUMMYFUNCTION("""COMPUTED_VALUE"""),"Kedai")</f>
        <v>Kedai</v>
      </c>
      <c r="S276" s="2" t="str">
        <f>IFERROR(__xludf.DUMMYFUNCTION("""COMPUTED_VALUE"""),"Temu Roti")</f>
        <v>Temu Roti</v>
      </c>
      <c r="T276" s="2" t="str">
        <f>IFERROR(__xludf.DUMMYFUNCTION("""COMPUTED_VALUE"""),"Owner")</f>
        <v>Owner</v>
      </c>
      <c r="U276" s="2"/>
      <c r="V276" s="2"/>
      <c r="W276" s="2"/>
      <c r="X276" s="2" t="str">
        <f>IFERROR(__xludf.DUMMYFUNCTION("""COMPUTED_VALUE"""),"Closed")</f>
        <v>Closed</v>
      </c>
    </row>
    <row r="277">
      <c r="A277" s="3" t="s">
        <v>298</v>
      </c>
      <c r="B277" s="4">
        <f>IFERROR(__xludf.DUMMYFUNCTION("SPLIT(A277,"","",0,0)"),45560.88055555556)</f>
        <v>45560.88056</v>
      </c>
      <c r="C277" s="5">
        <f>IFERROR(__xludf.DUMMYFUNCTION("""COMPUTED_VALUE"""),2763093.0)</f>
        <v>2763093</v>
      </c>
      <c r="D277" s="2" t="str">
        <f>IFERROR(__xludf.DUMMYFUNCTION("""COMPUTED_VALUE"""),"Sale")</f>
        <v>Sale</v>
      </c>
      <c r="E277" s="2" t="str">
        <f>IFERROR(__xludf.DUMMYFUNCTION("""COMPUTED_VALUE"""),"Roti")</f>
        <v>Roti</v>
      </c>
      <c r="F277" s="2">
        <f>IFERROR(__xludf.DUMMYFUNCTION("""COMPUTED_VALUE"""),10002.0)</f>
        <v>10002</v>
      </c>
      <c r="G277" s="2" t="str">
        <f>IFERROR(__xludf.DUMMYFUNCTION("""COMPUTED_VALUE"""),"Roti Cranberry")</f>
        <v>Roti Cranberry</v>
      </c>
      <c r="H277" s="2"/>
      <c r="I277" s="2"/>
      <c r="J277" s="2">
        <f>IFERROR(__xludf.DUMMYFUNCTION("""COMPUTED_VALUE"""),1.0)</f>
        <v>1</v>
      </c>
      <c r="K277" s="6">
        <f>IFERROR(__xludf.DUMMYFUNCTION("""COMPUTED_VALUE"""),18571.0)</f>
        <v>18571</v>
      </c>
      <c r="L277" s="2">
        <f>IFERROR(__xludf.DUMMYFUNCTION("""COMPUTED_VALUE"""),0.0)</f>
        <v>0</v>
      </c>
      <c r="M277" s="2">
        <f>IFERROR(__xludf.DUMMYFUNCTION("""COMPUTED_VALUE"""),18571.0)</f>
        <v>18571</v>
      </c>
      <c r="N277" s="2">
        <f>IFERROR(__xludf.DUMMYFUNCTION("""COMPUTED_VALUE"""),0.0)</f>
        <v>0</v>
      </c>
      <c r="O277" s="2">
        <f>IFERROR(__xludf.DUMMYFUNCTION("""COMPUTED_VALUE"""),18571.0)</f>
        <v>18571</v>
      </c>
      <c r="P277" s="2">
        <f>IFERROR(__xludf.DUMMYFUNCTION("""COMPUTED_VALUE"""),929.0)</f>
        <v>929</v>
      </c>
      <c r="Q277" s="2" t="str">
        <f>IFERROR(__xludf.DUMMYFUNCTION("""COMPUTED_VALUE"""),"Dine In")</f>
        <v>Dine In</v>
      </c>
      <c r="R277" s="2" t="str">
        <f>IFERROR(__xludf.DUMMYFUNCTION("""COMPUTED_VALUE"""),"Kedai")</f>
        <v>Kedai</v>
      </c>
      <c r="S277" s="2" t="str">
        <f>IFERROR(__xludf.DUMMYFUNCTION("""COMPUTED_VALUE"""),"Temu Roti")</f>
        <v>Temu Roti</v>
      </c>
      <c r="T277" s="2" t="str">
        <f>IFERROR(__xludf.DUMMYFUNCTION("""COMPUTED_VALUE"""),"Owner")</f>
        <v>Owner</v>
      </c>
      <c r="U277" s="2"/>
      <c r="V277" s="2"/>
      <c r="W277" s="2"/>
      <c r="X277" s="2" t="str">
        <f>IFERROR(__xludf.DUMMYFUNCTION("""COMPUTED_VALUE"""),"Closed")</f>
        <v>Closed</v>
      </c>
    </row>
    <row r="278">
      <c r="A278" s="3" t="s">
        <v>299</v>
      </c>
      <c r="B278" s="4">
        <f>IFERROR(__xludf.DUMMYFUNCTION("SPLIT(A278,"","",0,0)"),45560.81736111111)</f>
        <v>45560.81736</v>
      </c>
      <c r="C278" s="5">
        <f>IFERROR(__xludf.DUMMYFUNCTION("""COMPUTED_VALUE"""),2762727.0)</f>
        <v>2762727</v>
      </c>
      <c r="D278" s="2" t="str">
        <f>IFERROR(__xludf.DUMMYFUNCTION("""COMPUTED_VALUE"""),"Sale")</f>
        <v>Sale</v>
      </c>
      <c r="E278" s="2" t="str">
        <f>IFERROR(__xludf.DUMMYFUNCTION("""COMPUTED_VALUE"""),"Minuman")</f>
        <v>Minuman</v>
      </c>
      <c r="F278" s="2">
        <f>IFERROR(__xludf.DUMMYFUNCTION("""COMPUTED_VALUE"""),10122.0)</f>
        <v>10122</v>
      </c>
      <c r="G278" s="2" t="str">
        <f>IFERROR(__xludf.DUMMYFUNCTION("""COMPUTED_VALUE"""),"Rempah Madu Panas")</f>
        <v>Rempah Madu Panas</v>
      </c>
      <c r="H278" s="2"/>
      <c r="I278" s="2"/>
      <c r="J278" s="2">
        <f>IFERROR(__xludf.DUMMYFUNCTION("""COMPUTED_VALUE"""),1.0)</f>
        <v>1</v>
      </c>
      <c r="K278" s="6">
        <f>IFERROR(__xludf.DUMMYFUNCTION("""COMPUTED_VALUE"""),21905.0)</f>
        <v>21905</v>
      </c>
      <c r="L278" s="2">
        <f>IFERROR(__xludf.DUMMYFUNCTION("""COMPUTED_VALUE"""),0.0)</f>
        <v>0</v>
      </c>
      <c r="M278" s="2">
        <f>IFERROR(__xludf.DUMMYFUNCTION("""COMPUTED_VALUE"""),21905.0)</f>
        <v>21905</v>
      </c>
      <c r="N278" s="2">
        <f>IFERROR(__xludf.DUMMYFUNCTION("""COMPUTED_VALUE"""),0.0)</f>
        <v>0</v>
      </c>
      <c r="O278" s="2">
        <f>IFERROR(__xludf.DUMMYFUNCTION("""COMPUTED_VALUE"""),21905.0)</f>
        <v>21905</v>
      </c>
      <c r="P278" s="2">
        <f>IFERROR(__xludf.DUMMYFUNCTION("""COMPUTED_VALUE"""),1095.0)</f>
        <v>1095</v>
      </c>
      <c r="Q278" s="2" t="str">
        <f>IFERROR(__xludf.DUMMYFUNCTION("""COMPUTED_VALUE"""),"Dine In")</f>
        <v>Dine In</v>
      </c>
      <c r="R278" s="2" t="str">
        <f>IFERROR(__xludf.DUMMYFUNCTION("""COMPUTED_VALUE"""),"Kedai")</f>
        <v>Kedai</v>
      </c>
      <c r="S278" s="2" t="str">
        <f>IFERROR(__xludf.DUMMYFUNCTION("""COMPUTED_VALUE"""),"Temu Roti")</f>
        <v>Temu Roti</v>
      </c>
      <c r="T278" s="2" t="str">
        <f>IFERROR(__xludf.DUMMYFUNCTION("""COMPUTED_VALUE"""),"Owner")</f>
        <v>Owner</v>
      </c>
      <c r="U278" s="2"/>
      <c r="V278" s="2"/>
      <c r="W278" s="2"/>
      <c r="X278" s="2" t="str">
        <f>IFERROR(__xludf.DUMMYFUNCTION("""COMPUTED_VALUE"""),"Closed")</f>
        <v>Closed</v>
      </c>
    </row>
    <row r="279">
      <c r="A279" s="3" t="s">
        <v>300</v>
      </c>
      <c r="B279" s="4">
        <f>IFERROR(__xludf.DUMMYFUNCTION("SPLIT(A279,"","",0,0)"),45560.81736111111)</f>
        <v>45560.81736</v>
      </c>
      <c r="C279" s="5">
        <f>IFERROR(__xludf.DUMMYFUNCTION("""COMPUTED_VALUE"""),2762727.0)</f>
        <v>2762727</v>
      </c>
      <c r="D279" s="2" t="str">
        <f>IFERROR(__xludf.DUMMYFUNCTION("""COMPUTED_VALUE"""),"Sale")</f>
        <v>Sale</v>
      </c>
      <c r="E279" s="2" t="str">
        <f>IFERROR(__xludf.DUMMYFUNCTION("""COMPUTED_VALUE"""),"Minuman")</f>
        <v>Minuman</v>
      </c>
      <c r="F279" s="2">
        <f>IFERROR(__xludf.DUMMYFUNCTION("""COMPUTED_VALUE"""),10070.0)</f>
        <v>10070</v>
      </c>
      <c r="G279" s="2" t="str">
        <f>IFERROR(__xludf.DUMMYFUNCTION("""COMPUTED_VALUE"""),"Wedang laut")</f>
        <v>Wedang laut</v>
      </c>
      <c r="H279" s="2"/>
      <c r="I279" s="2"/>
      <c r="J279" s="2">
        <f>IFERROR(__xludf.DUMMYFUNCTION("""COMPUTED_VALUE"""),1.0)</f>
        <v>1</v>
      </c>
      <c r="K279" s="6">
        <f>IFERROR(__xludf.DUMMYFUNCTION("""COMPUTED_VALUE"""),24762.0)</f>
        <v>24762</v>
      </c>
      <c r="L279" s="2">
        <f>IFERROR(__xludf.DUMMYFUNCTION("""COMPUTED_VALUE"""),0.0)</f>
        <v>0</v>
      </c>
      <c r="M279" s="2">
        <f>IFERROR(__xludf.DUMMYFUNCTION("""COMPUTED_VALUE"""),24762.0)</f>
        <v>24762</v>
      </c>
      <c r="N279" s="2">
        <f>IFERROR(__xludf.DUMMYFUNCTION("""COMPUTED_VALUE"""),0.0)</f>
        <v>0</v>
      </c>
      <c r="O279" s="2">
        <f>IFERROR(__xludf.DUMMYFUNCTION("""COMPUTED_VALUE"""),24762.0)</f>
        <v>24762</v>
      </c>
      <c r="P279" s="2">
        <f>IFERROR(__xludf.DUMMYFUNCTION("""COMPUTED_VALUE"""),1238.0)</f>
        <v>1238</v>
      </c>
      <c r="Q279" s="2" t="str">
        <f>IFERROR(__xludf.DUMMYFUNCTION("""COMPUTED_VALUE"""),"Dine In")</f>
        <v>Dine In</v>
      </c>
      <c r="R279" s="2" t="str">
        <f>IFERROR(__xludf.DUMMYFUNCTION("""COMPUTED_VALUE"""),"Kedai")</f>
        <v>Kedai</v>
      </c>
      <c r="S279" s="2" t="str">
        <f>IFERROR(__xludf.DUMMYFUNCTION("""COMPUTED_VALUE"""),"Temu Roti")</f>
        <v>Temu Roti</v>
      </c>
      <c r="T279" s="2" t="str">
        <f>IFERROR(__xludf.DUMMYFUNCTION("""COMPUTED_VALUE"""),"Owner")</f>
        <v>Owner</v>
      </c>
      <c r="U279" s="2"/>
      <c r="V279" s="2"/>
      <c r="W279" s="2"/>
      <c r="X279" s="2" t="str">
        <f>IFERROR(__xludf.DUMMYFUNCTION("""COMPUTED_VALUE"""),"Closed")</f>
        <v>Closed</v>
      </c>
    </row>
    <row r="280">
      <c r="A280" s="3" t="s">
        <v>301</v>
      </c>
      <c r="B280" s="4">
        <f>IFERROR(__xludf.DUMMYFUNCTION("SPLIT(A280,"","",0,0)"),45560.78194444445)</f>
        <v>45560.78194</v>
      </c>
      <c r="C280" s="5">
        <f>IFERROR(__xludf.DUMMYFUNCTION("""COMPUTED_VALUE"""),2762362.0)</f>
        <v>2762362</v>
      </c>
      <c r="D280" s="2" t="str">
        <f>IFERROR(__xludf.DUMMYFUNCTION("""COMPUTED_VALUE"""),"Sale")</f>
        <v>Sale</v>
      </c>
      <c r="E280" s="2" t="str">
        <f>IFERROR(__xludf.DUMMYFUNCTION("""COMPUTED_VALUE"""),"Roti")</f>
        <v>Roti</v>
      </c>
      <c r="F280" s="2">
        <f>IFERROR(__xludf.DUMMYFUNCTION("""COMPUTED_VALUE"""),10000.0)</f>
        <v>10000</v>
      </c>
      <c r="G280" s="2" t="str">
        <f>IFERROR(__xludf.DUMMYFUNCTION("""COMPUTED_VALUE"""),"Roti Bawang Saus Keju")</f>
        <v>Roti Bawang Saus Keju</v>
      </c>
      <c r="H280" s="2"/>
      <c r="I280" s="2"/>
      <c r="J280" s="2">
        <f>IFERROR(__xludf.DUMMYFUNCTION("""COMPUTED_VALUE"""),1.0)</f>
        <v>1</v>
      </c>
      <c r="K280" s="6">
        <f>IFERROR(__xludf.DUMMYFUNCTION("""COMPUTED_VALUE"""),29524.0)</f>
        <v>29524</v>
      </c>
      <c r="L280" s="2">
        <f>IFERROR(__xludf.DUMMYFUNCTION("""COMPUTED_VALUE"""),0.0)</f>
        <v>0</v>
      </c>
      <c r="M280" s="2">
        <f>IFERROR(__xludf.DUMMYFUNCTION("""COMPUTED_VALUE"""),29524.0)</f>
        <v>29524</v>
      </c>
      <c r="N280" s="2">
        <f>IFERROR(__xludf.DUMMYFUNCTION("""COMPUTED_VALUE"""),0.0)</f>
        <v>0</v>
      </c>
      <c r="O280" s="2">
        <f>IFERROR(__xludf.DUMMYFUNCTION("""COMPUTED_VALUE"""),29524.0)</f>
        <v>29524</v>
      </c>
      <c r="P280" s="2">
        <f>IFERROR(__xludf.DUMMYFUNCTION("""COMPUTED_VALUE"""),1476.0)</f>
        <v>1476</v>
      </c>
      <c r="Q280" s="2" t="str">
        <f>IFERROR(__xludf.DUMMYFUNCTION("""COMPUTED_VALUE"""),"Dine In")</f>
        <v>Dine In</v>
      </c>
      <c r="R280" s="2" t="str">
        <f>IFERROR(__xludf.DUMMYFUNCTION("""COMPUTED_VALUE"""),"Kedai")</f>
        <v>Kedai</v>
      </c>
      <c r="S280" s="2" t="str">
        <f>IFERROR(__xludf.DUMMYFUNCTION("""COMPUTED_VALUE"""),"Temu Roti")</f>
        <v>Temu Roti</v>
      </c>
      <c r="T280" s="2" t="str">
        <f>IFERROR(__xludf.DUMMYFUNCTION("""COMPUTED_VALUE"""),"Owner")</f>
        <v>Owner</v>
      </c>
      <c r="U280" s="2"/>
      <c r="V280" s="2"/>
      <c r="W280" s="2"/>
      <c r="X280" s="2" t="str">
        <f>IFERROR(__xludf.DUMMYFUNCTION("""COMPUTED_VALUE"""),"Closed")</f>
        <v>Closed</v>
      </c>
    </row>
    <row r="281">
      <c r="A281" s="3" t="s">
        <v>302</v>
      </c>
      <c r="B281" s="4">
        <f>IFERROR(__xludf.DUMMYFUNCTION("SPLIT(A281,"","",0,0)"),45560.78194444445)</f>
        <v>45560.78194</v>
      </c>
      <c r="C281" s="5">
        <f>IFERROR(__xludf.DUMMYFUNCTION("""COMPUTED_VALUE"""),2762362.0)</f>
        <v>2762362</v>
      </c>
      <c r="D281" s="2" t="str">
        <f>IFERROR(__xludf.DUMMYFUNCTION("""COMPUTED_VALUE"""),"Sale")</f>
        <v>Sale</v>
      </c>
      <c r="E281" s="2" t="str">
        <f>IFERROR(__xludf.DUMMYFUNCTION("""COMPUTED_VALUE"""),"Minuman")</f>
        <v>Minuman</v>
      </c>
      <c r="F281" s="2">
        <f>IFERROR(__xludf.DUMMYFUNCTION("""COMPUTED_VALUE"""),10117.0)</f>
        <v>10117</v>
      </c>
      <c r="G281" s="2" t="str">
        <f>IFERROR(__xludf.DUMMYFUNCTION("""COMPUTED_VALUE"""),"Teh Manis Dingin")</f>
        <v>Teh Manis Dingin</v>
      </c>
      <c r="H281" s="2"/>
      <c r="I281" s="2"/>
      <c r="J281" s="2">
        <f>IFERROR(__xludf.DUMMYFUNCTION("""COMPUTED_VALUE"""),1.0)</f>
        <v>1</v>
      </c>
      <c r="K281" s="6">
        <f>IFERROR(__xludf.DUMMYFUNCTION("""COMPUTED_VALUE"""),14286.0)</f>
        <v>14286</v>
      </c>
      <c r="L281" s="2">
        <f>IFERROR(__xludf.DUMMYFUNCTION("""COMPUTED_VALUE"""),0.0)</f>
        <v>0</v>
      </c>
      <c r="M281" s="2">
        <f>IFERROR(__xludf.DUMMYFUNCTION("""COMPUTED_VALUE"""),14286.0)</f>
        <v>14286</v>
      </c>
      <c r="N281" s="2">
        <f>IFERROR(__xludf.DUMMYFUNCTION("""COMPUTED_VALUE"""),0.0)</f>
        <v>0</v>
      </c>
      <c r="O281" s="2">
        <f>IFERROR(__xludf.DUMMYFUNCTION("""COMPUTED_VALUE"""),14286.0)</f>
        <v>14286</v>
      </c>
      <c r="P281" s="2">
        <f>IFERROR(__xludf.DUMMYFUNCTION("""COMPUTED_VALUE"""),715.0)</f>
        <v>715</v>
      </c>
      <c r="Q281" s="2" t="str">
        <f>IFERROR(__xludf.DUMMYFUNCTION("""COMPUTED_VALUE"""),"Dine In")</f>
        <v>Dine In</v>
      </c>
      <c r="R281" s="2" t="str">
        <f>IFERROR(__xludf.DUMMYFUNCTION("""COMPUTED_VALUE"""),"Kedai")</f>
        <v>Kedai</v>
      </c>
      <c r="S281" s="2" t="str">
        <f>IFERROR(__xludf.DUMMYFUNCTION("""COMPUTED_VALUE"""),"Temu Roti")</f>
        <v>Temu Roti</v>
      </c>
      <c r="T281" s="2" t="str">
        <f>IFERROR(__xludf.DUMMYFUNCTION("""COMPUTED_VALUE"""),"Owner")</f>
        <v>Owner</v>
      </c>
      <c r="U281" s="2"/>
      <c r="V281" s="2"/>
      <c r="W281" s="2"/>
      <c r="X281" s="2" t="str">
        <f>IFERROR(__xludf.DUMMYFUNCTION("""COMPUTED_VALUE"""),"Closed")</f>
        <v>Closed</v>
      </c>
    </row>
    <row r="282">
      <c r="A282" s="3" t="s">
        <v>303</v>
      </c>
      <c r="B282" s="4">
        <f>IFERROR(__xludf.DUMMYFUNCTION("SPLIT(A282,"","",0,0)"),45560.78194444445)</f>
        <v>45560.78194</v>
      </c>
      <c r="C282" s="5">
        <f>IFERROR(__xludf.DUMMYFUNCTION("""COMPUTED_VALUE"""),2762362.0)</f>
        <v>2762362</v>
      </c>
      <c r="D282" s="2" t="str">
        <f>IFERROR(__xludf.DUMMYFUNCTION("""COMPUTED_VALUE"""),"Sale")</f>
        <v>Sale</v>
      </c>
      <c r="E282" s="2" t="str">
        <f>IFERROR(__xludf.DUMMYFUNCTION("""COMPUTED_VALUE"""),"Minuman")</f>
        <v>Minuman</v>
      </c>
      <c r="F282" s="2">
        <f>IFERROR(__xludf.DUMMYFUNCTION("""COMPUTED_VALUE"""),10118.0)</f>
        <v>10118</v>
      </c>
      <c r="G282" s="2" t="str">
        <f>IFERROR(__xludf.DUMMYFUNCTION("""COMPUTED_VALUE"""),"Teh Tawar Panas")</f>
        <v>Teh Tawar Panas</v>
      </c>
      <c r="H282" s="2"/>
      <c r="I282" s="2"/>
      <c r="J282" s="2">
        <f>IFERROR(__xludf.DUMMYFUNCTION("""COMPUTED_VALUE"""),1.0)</f>
        <v>1</v>
      </c>
      <c r="K282" s="6">
        <f>IFERROR(__xludf.DUMMYFUNCTION("""COMPUTED_VALUE"""),7143.0)</f>
        <v>7143</v>
      </c>
      <c r="L282" s="2">
        <f>IFERROR(__xludf.DUMMYFUNCTION("""COMPUTED_VALUE"""),0.0)</f>
        <v>0</v>
      </c>
      <c r="M282" s="2">
        <f>IFERROR(__xludf.DUMMYFUNCTION("""COMPUTED_VALUE"""),7143.0)</f>
        <v>7143</v>
      </c>
      <c r="N282" s="2">
        <f>IFERROR(__xludf.DUMMYFUNCTION("""COMPUTED_VALUE"""),0.0)</f>
        <v>0</v>
      </c>
      <c r="O282" s="2">
        <f>IFERROR(__xludf.DUMMYFUNCTION("""COMPUTED_VALUE"""),7143.0)</f>
        <v>7143</v>
      </c>
      <c r="P282" s="2">
        <f>IFERROR(__xludf.DUMMYFUNCTION("""COMPUTED_VALUE"""),357.0)</f>
        <v>357</v>
      </c>
      <c r="Q282" s="2" t="str">
        <f>IFERROR(__xludf.DUMMYFUNCTION("""COMPUTED_VALUE"""),"Dine In")</f>
        <v>Dine In</v>
      </c>
      <c r="R282" s="2" t="str">
        <f>IFERROR(__xludf.DUMMYFUNCTION("""COMPUTED_VALUE"""),"Kedai")</f>
        <v>Kedai</v>
      </c>
      <c r="S282" s="2" t="str">
        <f>IFERROR(__xludf.DUMMYFUNCTION("""COMPUTED_VALUE"""),"Temu Roti")</f>
        <v>Temu Roti</v>
      </c>
      <c r="T282" s="2" t="str">
        <f>IFERROR(__xludf.DUMMYFUNCTION("""COMPUTED_VALUE"""),"Owner")</f>
        <v>Owner</v>
      </c>
      <c r="U282" s="2"/>
      <c r="V282" s="2"/>
      <c r="W282" s="2"/>
      <c r="X282" s="2" t="str">
        <f>IFERROR(__xludf.DUMMYFUNCTION("""COMPUTED_VALUE"""),"Closed")</f>
        <v>Closed</v>
      </c>
    </row>
    <row r="283">
      <c r="A283" s="3" t="s">
        <v>304</v>
      </c>
      <c r="B283" s="4">
        <f>IFERROR(__xludf.DUMMYFUNCTION("SPLIT(A283,"","",0,0)"),45560.78194444445)</f>
        <v>45560.78194</v>
      </c>
      <c r="C283" s="5">
        <f>IFERROR(__xludf.DUMMYFUNCTION("""COMPUTED_VALUE"""),2762362.0)</f>
        <v>2762362</v>
      </c>
      <c r="D283" s="2" t="str">
        <f>IFERROR(__xludf.DUMMYFUNCTION("""COMPUTED_VALUE"""),"Sale")</f>
        <v>Sale</v>
      </c>
      <c r="E283" s="2" t="str">
        <f>IFERROR(__xludf.DUMMYFUNCTION("""COMPUTED_VALUE"""),"Minuman")</f>
        <v>Minuman</v>
      </c>
      <c r="F283" s="2">
        <f>IFERROR(__xludf.DUMMYFUNCTION("""COMPUTED_VALUE"""),10120.0)</f>
        <v>10120</v>
      </c>
      <c r="G283" s="2" t="str">
        <f>IFERROR(__xludf.DUMMYFUNCTION("""COMPUTED_VALUE"""),"Lemon Tea Panas")</f>
        <v>Lemon Tea Panas</v>
      </c>
      <c r="H283" s="2"/>
      <c r="I283" s="2"/>
      <c r="J283" s="2">
        <f>IFERROR(__xludf.DUMMYFUNCTION("""COMPUTED_VALUE"""),2.0)</f>
        <v>2</v>
      </c>
      <c r="K283" s="6">
        <f>IFERROR(__xludf.DUMMYFUNCTION("""COMPUTED_VALUE"""),39048.0)</f>
        <v>39048</v>
      </c>
      <c r="L283" s="2">
        <f>IFERROR(__xludf.DUMMYFUNCTION("""COMPUTED_VALUE"""),0.0)</f>
        <v>0</v>
      </c>
      <c r="M283" s="2">
        <f>IFERROR(__xludf.DUMMYFUNCTION("""COMPUTED_VALUE"""),39048.0)</f>
        <v>39048</v>
      </c>
      <c r="N283" s="2">
        <f>IFERROR(__xludf.DUMMYFUNCTION("""COMPUTED_VALUE"""),0.0)</f>
        <v>0</v>
      </c>
      <c r="O283" s="2">
        <f>IFERROR(__xludf.DUMMYFUNCTION("""COMPUTED_VALUE"""),39048.0)</f>
        <v>39048</v>
      </c>
      <c r="P283" s="2">
        <f>IFERROR(__xludf.DUMMYFUNCTION("""COMPUTED_VALUE"""),1952.0)</f>
        <v>1952</v>
      </c>
      <c r="Q283" s="2" t="str">
        <f>IFERROR(__xludf.DUMMYFUNCTION("""COMPUTED_VALUE"""),"Dine In")</f>
        <v>Dine In</v>
      </c>
      <c r="R283" s="2" t="str">
        <f>IFERROR(__xludf.DUMMYFUNCTION("""COMPUTED_VALUE"""),"Kedai")</f>
        <v>Kedai</v>
      </c>
      <c r="S283" s="2" t="str">
        <f>IFERROR(__xludf.DUMMYFUNCTION("""COMPUTED_VALUE"""),"Temu Roti")</f>
        <v>Temu Roti</v>
      </c>
      <c r="T283" s="2" t="str">
        <f>IFERROR(__xludf.DUMMYFUNCTION("""COMPUTED_VALUE"""),"Owner")</f>
        <v>Owner</v>
      </c>
      <c r="U283" s="2"/>
      <c r="V283" s="2"/>
      <c r="W283" s="2"/>
      <c r="X283" s="2" t="str">
        <f>IFERROR(__xludf.DUMMYFUNCTION("""COMPUTED_VALUE"""),"Closed")</f>
        <v>Closed</v>
      </c>
    </row>
    <row r="284">
      <c r="A284" s="3" t="s">
        <v>305</v>
      </c>
      <c r="B284" s="4">
        <f>IFERROR(__xludf.DUMMYFUNCTION("SPLIT(A284,"","",0,0)"),45560.78194444445)</f>
        <v>45560.78194</v>
      </c>
      <c r="C284" s="5">
        <f>IFERROR(__xludf.DUMMYFUNCTION("""COMPUTED_VALUE"""),2762362.0)</f>
        <v>2762362</v>
      </c>
      <c r="D284" s="2" t="str">
        <f>IFERROR(__xludf.DUMMYFUNCTION("""COMPUTED_VALUE"""),"Sale")</f>
        <v>Sale</v>
      </c>
      <c r="E284" s="2" t="str">
        <f>IFERROR(__xludf.DUMMYFUNCTION("""COMPUTED_VALUE"""),"Minuman")</f>
        <v>Minuman</v>
      </c>
      <c r="F284" s="2">
        <f>IFERROR(__xludf.DUMMYFUNCTION("""COMPUTED_VALUE"""),10122.0)</f>
        <v>10122</v>
      </c>
      <c r="G284" s="2" t="str">
        <f>IFERROR(__xludf.DUMMYFUNCTION("""COMPUTED_VALUE"""),"Rempah Madu Panas")</f>
        <v>Rempah Madu Panas</v>
      </c>
      <c r="H284" s="2"/>
      <c r="I284" s="2"/>
      <c r="J284" s="2">
        <f>IFERROR(__xludf.DUMMYFUNCTION("""COMPUTED_VALUE"""),1.0)</f>
        <v>1</v>
      </c>
      <c r="K284" s="6">
        <f>IFERROR(__xludf.DUMMYFUNCTION("""COMPUTED_VALUE"""),21905.0)</f>
        <v>21905</v>
      </c>
      <c r="L284" s="2">
        <f>IFERROR(__xludf.DUMMYFUNCTION("""COMPUTED_VALUE"""),0.0)</f>
        <v>0</v>
      </c>
      <c r="M284" s="2">
        <f>IFERROR(__xludf.DUMMYFUNCTION("""COMPUTED_VALUE"""),21905.0)</f>
        <v>21905</v>
      </c>
      <c r="N284" s="2">
        <f>IFERROR(__xludf.DUMMYFUNCTION("""COMPUTED_VALUE"""),0.0)</f>
        <v>0</v>
      </c>
      <c r="O284" s="2">
        <f>IFERROR(__xludf.DUMMYFUNCTION("""COMPUTED_VALUE"""),21905.0)</f>
        <v>21905</v>
      </c>
      <c r="P284" s="2">
        <f>IFERROR(__xludf.DUMMYFUNCTION("""COMPUTED_VALUE"""),1095.0)</f>
        <v>1095</v>
      </c>
      <c r="Q284" s="2" t="str">
        <f>IFERROR(__xludf.DUMMYFUNCTION("""COMPUTED_VALUE"""),"Dine In")</f>
        <v>Dine In</v>
      </c>
      <c r="R284" s="2" t="str">
        <f>IFERROR(__xludf.DUMMYFUNCTION("""COMPUTED_VALUE"""),"Kedai")</f>
        <v>Kedai</v>
      </c>
      <c r="S284" s="2" t="str">
        <f>IFERROR(__xludf.DUMMYFUNCTION("""COMPUTED_VALUE"""),"Temu Roti")</f>
        <v>Temu Roti</v>
      </c>
      <c r="T284" s="2" t="str">
        <f>IFERROR(__xludf.DUMMYFUNCTION("""COMPUTED_VALUE"""),"Owner")</f>
        <v>Owner</v>
      </c>
      <c r="U284" s="2"/>
      <c r="V284" s="2"/>
      <c r="W284" s="2"/>
      <c r="X284" s="2" t="str">
        <f>IFERROR(__xludf.DUMMYFUNCTION("""COMPUTED_VALUE"""),"Closed")</f>
        <v>Closed</v>
      </c>
    </row>
    <row r="285">
      <c r="A285" s="3" t="s">
        <v>306</v>
      </c>
      <c r="B285" s="4">
        <f>IFERROR(__xludf.DUMMYFUNCTION("SPLIT(A285,"","",0,0)"),45560.78194444445)</f>
        <v>45560.78194</v>
      </c>
      <c r="C285" s="5">
        <f>IFERROR(__xludf.DUMMYFUNCTION("""COMPUTED_VALUE"""),2762362.0)</f>
        <v>2762362</v>
      </c>
      <c r="D285" s="2" t="str">
        <f>IFERROR(__xludf.DUMMYFUNCTION("""COMPUTED_VALUE"""),"Sale")</f>
        <v>Sale</v>
      </c>
      <c r="E285" s="2" t="str">
        <f>IFERROR(__xludf.DUMMYFUNCTION("""COMPUTED_VALUE"""),"Kudapan")</f>
        <v>Kudapan</v>
      </c>
      <c r="F285" s="2">
        <f>IFERROR(__xludf.DUMMYFUNCTION("""COMPUTED_VALUE"""),10010.0)</f>
        <v>10010</v>
      </c>
      <c r="G285" s="2" t="str">
        <f>IFERROR(__xludf.DUMMYFUNCTION("""COMPUTED_VALUE"""),"Pisang Goreng")</f>
        <v>Pisang Goreng</v>
      </c>
      <c r="H285" s="2"/>
      <c r="I285" s="2"/>
      <c r="J285" s="2">
        <f>IFERROR(__xludf.DUMMYFUNCTION("""COMPUTED_VALUE"""),1.0)</f>
        <v>1</v>
      </c>
      <c r="K285" s="6">
        <f>IFERROR(__xludf.DUMMYFUNCTION("""COMPUTED_VALUE"""),25238.0)</f>
        <v>25238</v>
      </c>
      <c r="L285" s="2">
        <f>IFERROR(__xludf.DUMMYFUNCTION("""COMPUTED_VALUE"""),0.0)</f>
        <v>0</v>
      </c>
      <c r="M285" s="2">
        <f>IFERROR(__xludf.DUMMYFUNCTION("""COMPUTED_VALUE"""),25238.0)</f>
        <v>25238</v>
      </c>
      <c r="N285" s="2">
        <f>IFERROR(__xludf.DUMMYFUNCTION("""COMPUTED_VALUE"""),0.0)</f>
        <v>0</v>
      </c>
      <c r="O285" s="2">
        <f>IFERROR(__xludf.DUMMYFUNCTION("""COMPUTED_VALUE"""),25238.0)</f>
        <v>25238</v>
      </c>
      <c r="P285" s="2">
        <f>IFERROR(__xludf.DUMMYFUNCTION("""COMPUTED_VALUE"""),1262.0)</f>
        <v>1262</v>
      </c>
      <c r="Q285" s="2" t="str">
        <f>IFERROR(__xludf.DUMMYFUNCTION("""COMPUTED_VALUE"""),"Dine In")</f>
        <v>Dine In</v>
      </c>
      <c r="R285" s="2" t="str">
        <f>IFERROR(__xludf.DUMMYFUNCTION("""COMPUTED_VALUE"""),"Kedai")</f>
        <v>Kedai</v>
      </c>
      <c r="S285" s="2" t="str">
        <f>IFERROR(__xludf.DUMMYFUNCTION("""COMPUTED_VALUE"""),"Temu Roti")</f>
        <v>Temu Roti</v>
      </c>
      <c r="T285" s="2" t="str">
        <f>IFERROR(__xludf.DUMMYFUNCTION("""COMPUTED_VALUE"""),"Owner")</f>
        <v>Owner</v>
      </c>
      <c r="U285" s="2"/>
      <c r="V285" s="2"/>
      <c r="W285" s="2"/>
      <c r="X285" s="2" t="str">
        <f>IFERROR(__xludf.DUMMYFUNCTION("""COMPUTED_VALUE"""),"Closed")</f>
        <v>Closed</v>
      </c>
    </row>
    <row r="286">
      <c r="A286" s="3" t="s">
        <v>307</v>
      </c>
      <c r="B286" s="4">
        <f>IFERROR(__xludf.DUMMYFUNCTION("SPLIT(A286,"","",0,0)"),45560.78194444445)</f>
        <v>45560.78194</v>
      </c>
      <c r="C286" s="5">
        <f>IFERROR(__xludf.DUMMYFUNCTION("""COMPUTED_VALUE"""),2762362.0)</f>
        <v>2762362</v>
      </c>
      <c r="D286" s="2" t="str">
        <f>IFERROR(__xludf.DUMMYFUNCTION("""COMPUTED_VALUE"""),"Sale")</f>
        <v>Sale</v>
      </c>
      <c r="E286" s="2" t="str">
        <f>IFERROR(__xludf.DUMMYFUNCTION("""COMPUTED_VALUE"""),"Kudapan")</f>
        <v>Kudapan</v>
      </c>
      <c r="F286" s="2">
        <f>IFERROR(__xludf.DUMMYFUNCTION("""COMPUTED_VALUE"""),10004.0)</f>
        <v>10004</v>
      </c>
      <c r="G286" s="2" t="str">
        <f>IFERROR(__xludf.DUMMYFUNCTION("""COMPUTED_VALUE"""),"Tahu walik")</f>
        <v>Tahu walik</v>
      </c>
      <c r="H286" s="2"/>
      <c r="I286" s="2"/>
      <c r="J286" s="2">
        <f>IFERROR(__xludf.DUMMYFUNCTION("""COMPUTED_VALUE"""),1.0)</f>
        <v>1</v>
      </c>
      <c r="K286" s="6">
        <f>IFERROR(__xludf.DUMMYFUNCTION("""COMPUTED_VALUE"""),25238.0)</f>
        <v>25238</v>
      </c>
      <c r="L286" s="2">
        <f>IFERROR(__xludf.DUMMYFUNCTION("""COMPUTED_VALUE"""),0.0)</f>
        <v>0</v>
      </c>
      <c r="M286" s="2">
        <f>IFERROR(__xludf.DUMMYFUNCTION("""COMPUTED_VALUE"""),25238.0)</f>
        <v>25238</v>
      </c>
      <c r="N286" s="2">
        <f>IFERROR(__xludf.DUMMYFUNCTION("""COMPUTED_VALUE"""),0.0)</f>
        <v>0</v>
      </c>
      <c r="O286" s="2">
        <f>IFERROR(__xludf.DUMMYFUNCTION("""COMPUTED_VALUE"""),25238.0)</f>
        <v>25238</v>
      </c>
      <c r="P286" s="2">
        <f>IFERROR(__xludf.DUMMYFUNCTION("""COMPUTED_VALUE"""),1262.0)</f>
        <v>1262</v>
      </c>
      <c r="Q286" s="2" t="str">
        <f>IFERROR(__xludf.DUMMYFUNCTION("""COMPUTED_VALUE"""),"Dine In")</f>
        <v>Dine In</v>
      </c>
      <c r="R286" s="2" t="str">
        <f>IFERROR(__xludf.DUMMYFUNCTION("""COMPUTED_VALUE"""),"Kedai")</f>
        <v>Kedai</v>
      </c>
      <c r="S286" s="2" t="str">
        <f>IFERROR(__xludf.DUMMYFUNCTION("""COMPUTED_VALUE"""),"Temu Roti")</f>
        <v>Temu Roti</v>
      </c>
      <c r="T286" s="2" t="str">
        <f>IFERROR(__xludf.DUMMYFUNCTION("""COMPUTED_VALUE"""),"Owner")</f>
        <v>Owner</v>
      </c>
      <c r="U286" s="2"/>
      <c r="V286" s="2"/>
      <c r="W286" s="2"/>
      <c r="X286" s="2" t="str">
        <f>IFERROR(__xludf.DUMMYFUNCTION("""COMPUTED_VALUE"""),"Closed")</f>
        <v>Closed</v>
      </c>
    </row>
    <row r="287">
      <c r="A287" s="3" t="s">
        <v>308</v>
      </c>
      <c r="B287" s="4">
        <f>IFERROR(__xludf.DUMMYFUNCTION("SPLIT(A287,"","",0,0)"),45560.78194444445)</f>
        <v>45560.78194</v>
      </c>
      <c r="C287" s="5">
        <f>IFERROR(__xludf.DUMMYFUNCTION("""COMPUTED_VALUE"""),2762362.0)</f>
        <v>2762362</v>
      </c>
      <c r="D287" s="2" t="str">
        <f>IFERROR(__xludf.DUMMYFUNCTION("""COMPUTED_VALUE"""),"Sale")</f>
        <v>Sale</v>
      </c>
      <c r="E287" s="2" t="str">
        <f>IFERROR(__xludf.DUMMYFUNCTION("""COMPUTED_VALUE"""),"Minuman")</f>
        <v>Minuman</v>
      </c>
      <c r="F287" s="2">
        <f>IFERROR(__xludf.DUMMYFUNCTION("""COMPUTED_VALUE"""),10112.0)</f>
        <v>10112</v>
      </c>
      <c r="G287" s="2" t="str">
        <f>IFERROR(__xludf.DUMMYFUNCTION("""COMPUTED_VALUE"""),"Air mineral")</f>
        <v>Air mineral</v>
      </c>
      <c r="H287" s="2"/>
      <c r="I287" s="2"/>
      <c r="J287" s="2">
        <f>IFERROR(__xludf.DUMMYFUNCTION("""COMPUTED_VALUE"""),1.0)</f>
        <v>1</v>
      </c>
      <c r="K287" s="6">
        <f>IFERROR(__xludf.DUMMYFUNCTION("""COMPUTED_VALUE"""),6667.0)</f>
        <v>6667</v>
      </c>
      <c r="L287" s="2">
        <f>IFERROR(__xludf.DUMMYFUNCTION("""COMPUTED_VALUE"""),0.0)</f>
        <v>0</v>
      </c>
      <c r="M287" s="2">
        <f>IFERROR(__xludf.DUMMYFUNCTION("""COMPUTED_VALUE"""),6667.0)</f>
        <v>6667</v>
      </c>
      <c r="N287" s="2">
        <f>IFERROR(__xludf.DUMMYFUNCTION("""COMPUTED_VALUE"""),0.0)</f>
        <v>0</v>
      </c>
      <c r="O287" s="2">
        <f>IFERROR(__xludf.DUMMYFUNCTION("""COMPUTED_VALUE"""),6667.0)</f>
        <v>6667</v>
      </c>
      <c r="P287" s="2">
        <f>IFERROR(__xludf.DUMMYFUNCTION("""COMPUTED_VALUE"""),333.0)</f>
        <v>333</v>
      </c>
      <c r="Q287" s="2" t="str">
        <f>IFERROR(__xludf.DUMMYFUNCTION("""COMPUTED_VALUE"""),"Dine In")</f>
        <v>Dine In</v>
      </c>
      <c r="R287" s="2" t="str">
        <f>IFERROR(__xludf.DUMMYFUNCTION("""COMPUTED_VALUE"""),"Kedai")</f>
        <v>Kedai</v>
      </c>
      <c r="S287" s="2" t="str">
        <f>IFERROR(__xludf.DUMMYFUNCTION("""COMPUTED_VALUE"""),"Temu Roti")</f>
        <v>Temu Roti</v>
      </c>
      <c r="T287" s="2" t="str">
        <f>IFERROR(__xludf.DUMMYFUNCTION("""COMPUTED_VALUE"""),"Owner")</f>
        <v>Owner</v>
      </c>
      <c r="U287" s="2"/>
      <c r="V287" s="2"/>
      <c r="W287" s="2"/>
      <c r="X287" s="2" t="str">
        <f>IFERROR(__xludf.DUMMYFUNCTION("""COMPUTED_VALUE"""),"Closed")</f>
        <v>Closed</v>
      </c>
    </row>
    <row r="288">
      <c r="A288" s="3" t="s">
        <v>309</v>
      </c>
      <c r="B288" s="4">
        <f>IFERROR(__xludf.DUMMYFUNCTION("SPLIT(A288,"","",0,0)"),45560.78194444445)</f>
        <v>45560.78194</v>
      </c>
      <c r="C288" s="5">
        <f>IFERROR(__xludf.DUMMYFUNCTION("""COMPUTED_VALUE"""),2762362.0)</f>
        <v>2762362</v>
      </c>
      <c r="D288" s="2" t="str">
        <f>IFERROR(__xludf.DUMMYFUNCTION("""COMPUTED_VALUE"""),"Sale")</f>
        <v>Sale</v>
      </c>
      <c r="E288" s="2" t="str">
        <f>IFERROR(__xludf.DUMMYFUNCTION("""COMPUTED_VALUE"""),"Kudapan")</f>
        <v>Kudapan</v>
      </c>
      <c r="F288" s="2">
        <f>IFERROR(__xludf.DUMMYFUNCTION("""COMPUTED_VALUE"""),10014.0)</f>
        <v>10014</v>
      </c>
      <c r="G288" s="2" t="str">
        <f>IFERROR(__xludf.DUMMYFUNCTION("""COMPUTED_VALUE"""),"Tempe Mendoan")</f>
        <v>Tempe Mendoan</v>
      </c>
      <c r="H288" s="2"/>
      <c r="I288" s="2"/>
      <c r="J288" s="2">
        <f>IFERROR(__xludf.DUMMYFUNCTION("""COMPUTED_VALUE"""),1.0)</f>
        <v>1</v>
      </c>
      <c r="K288" s="6">
        <f>IFERROR(__xludf.DUMMYFUNCTION("""COMPUTED_VALUE"""),25238.0)</f>
        <v>25238</v>
      </c>
      <c r="L288" s="2">
        <f>IFERROR(__xludf.DUMMYFUNCTION("""COMPUTED_VALUE"""),0.0)</f>
        <v>0</v>
      </c>
      <c r="M288" s="2">
        <f>IFERROR(__xludf.DUMMYFUNCTION("""COMPUTED_VALUE"""),25238.0)</f>
        <v>25238</v>
      </c>
      <c r="N288" s="2">
        <f>IFERROR(__xludf.DUMMYFUNCTION("""COMPUTED_VALUE"""),0.0)</f>
        <v>0</v>
      </c>
      <c r="O288" s="2">
        <f>IFERROR(__xludf.DUMMYFUNCTION("""COMPUTED_VALUE"""),25238.0)</f>
        <v>25238</v>
      </c>
      <c r="P288" s="2">
        <f>IFERROR(__xludf.DUMMYFUNCTION("""COMPUTED_VALUE"""),1262.0)</f>
        <v>1262</v>
      </c>
      <c r="Q288" s="2" t="str">
        <f>IFERROR(__xludf.DUMMYFUNCTION("""COMPUTED_VALUE"""),"Dine In")</f>
        <v>Dine In</v>
      </c>
      <c r="R288" s="2" t="str">
        <f>IFERROR(__xludf.DUMMYFUNCTION("""COMPUTED_VALUE"""),"Kedai")</f>
        <v>Kedai</v>
      </c>
      <c r="S288" s="2" t="str">
        <f>IFERROR(__xludf.DUMMYFUNCTION("""COMPUTED_VALUE"""),"Temu Roti")</f>
        <v>Temu Roti</v>
      </c>
      <c r="T288" s="2" t="str">
        <f>IFERROR(__xludf.DUMMYFUNCTION("""COMPUTED_VALUE"""),"Owner")</f>
        <v>Owner</v>
      </c>
      <c r="U288" s="2"/>
      <c r="V288" s="2"/>
      <c r="W288" s="2"/>
      <c r="X288" s="2" t="str">
        <f>IFERROR(__xludf.DUMMYFUNCTION("""COMPUTED_VALUE"""),"Closed")</f>
        <v>Closed</v>
      </c>
    </row>
    <row r="289">
      <c r="A289" s="3" t="s">
        <v>310</v>
      </c>
      <c r="B289" s="4">
        <f>IFERROR(__xludf.DUMMYFUNCTION("SPLIT(A289,"","",0,0)"),45560.78194444445)</f>
        <v>45560.78194</v>
      </c>
      <c r="C289" s="5">
        <f>IFERROR(__xludf.DUMMYFUNCTION("""COMPUTED_VALUE"""),2762362.0)</f>
        <v>2762362</v>
      </c>
      <c r="D289" s="2" t="str">
        <f>IFERROR(__xludf.DUMMYFUNCTION("""COMPUTED_VALUE"""),"Sale")</f>
        <v>Sale</v>
      </c>
      <c r="E289" s="2" t="str">
        <f>IFERROR(__xludf.DUMMYFUNCTION("""COMPUTED_VALUE"""),"Roti")</f>
        <v>Roti</v>
      </c>
      <c r="F289" s="2">
        <f>IFERROR(__xludf.DUMMYFUNCTION("""COMPUTED_VALUE"""),10039.0)</f>
        <v>10039</v>
      </c>
      <c r="G289" s="2" t="str">
        <f>IFERROR(__xludf.DUMMYFUNCTION("""COMPUTED_VALUE"""),"Roti panggang strawberry")</f>
        <v>Roti panggang strawberry</v>
      </c>
      <c r="H289" s="2"/>
      <c r="I289" s="2"/>
      <c r="J289" s="2">
        <f>IFERROR(__xludf.DUMMYFUNCTION("""COMPUTED_VALUE"""),1.0)</f>
        <v>1</v>
      </c>
      <c r="K289" s="6">
        <f>IFERROR(__xludf.DUMMYFUNCTION("""COMPUTED_VALUE"""),21905.0)</f>
        <v>21905</v>
      </c>
      <c r="L289" s="2">
        <f>IFERROR(__xludf.DUMMYFUNCTION("""COMPUTED_VALUE"""),0.0)</f>
        <v>0</v>
      </c>
      <c r="M289" s="2">
        <f>IFERROR(__xludf.DUMMYFUNCTION("""COMPUTED_VALUE"""),21905.0)</f>
        <v>21905</v>
      </c>
      <c r="N289" s="2">
        <f>IFERROR(__xludf.DUMMYFUNCTION("""COMPUTED_VALUE"""),0.0)</f>
        <v>0</v>
      </c>
      <c r="O289" s="2">
        <f>IFERROR(__xludf.DUMMYFUNCTION("""COMPUTED_VALUE"""),21905.0)</f>
        <v>21905</v>
      </c>
      <c r="P289" s="2">
        <f>IFERROR(__xludf.DUMMYFUNCTION("""COMPUTED_VALUE"""),1096.0)</f>
        <v>1096</v>
      </c>
      <c r="Q289" s="2" t="str">
        <f>IFERROR(__xludf.DUMMYFUNCTION("""COMPUTED_VALUE"""),"Dine In")</f>
        <v>Dine In</v>
      </c>
      <c r="R289" s="2" t="str">
        <f>IFERROR(__xludf.DUMMYFUNCTION("""COMPUTED_VALUE"""),"Kedai")</f>
        <v>Kedai</v>
      </c>
      <c r="S289" s="2" t="str">
        <f>IFERROR(__xludf.DUMMYFUNCTION("""COMPUTED_VALUE"""),"Temu Roti")</f>
        <v>Temu Roti</v>
      </c>
      <c r="T289" s="2" t="str">
        <f>IFERROR(__xludf.DUMMYFUNCTION("""COMPUTED_VALUE"""),"Owner")</f>
        <v>Owner</v>
      </c>
      <c r="U289" s="2"/>
      <c r="V289" s="2"/>
      <c r="W289" s="2"/>
      <c r="X289" s="2" t="str">
        <f>IFERROR(__xludf.DUMMYFUNCTION("""COMPUTED_VALUE"""),"Closed")</f>
        <v>Closed</v>
      </c>
    </row>
    <row r="290">
      <c r="A290" s="3" t="s">
        <v>311</v>
      </c>
      <c r="B290" s="4">
        <f>IFERROR(__xludf.DUMMYFUNCTION("SPLIT(A290,"","",0,0)"),45559.865277777775)</f>
        <v>45559.86528</v>
      </c>
      <c r="C290" s="5">
        <f>IFERROR(__xludf.DUMMYFUNCTION("""COMPUTED_VALUE"""),2761997.0)</f>
        <v>2761997</v>
      </c>
      <c r="D290" s="2" t="str">
        <f>IFERROR(__xludf.DUMMYFUNCTION("""COMPUTED_VALUE"""),"Sale")</f>
        <v>Sale</v>
      </c>
      <c r="E290" s="2" t="str">
        <f>IFERROR(__xludf.DUMMYFUNCTION("""COMPUTED_VALUE"""),"Roti")</f>
        <v>Roti</v>
      </c>
      <c r="F290" s="2">
        <f>IFERROR(__xludf.DUMMYFUNCTION("""COMPUTED_VALUE"""),10034.0)</f>
        <v>10034</v>
      </c>
      <c r="G290" s="2" t="str">
        <f>IFERROR(__xludf.DUMMYFUNCTION("""COMPUTED_VALUE"""),"Roti panggang coklat")</f>
        <v>Roti panggang coklat</v>
      </c>
      <c r="H290" s="2"/>
      <c r="I290" s="2"/>
      <c r="J290" s="2">
        <f>IFERROR(__xludf.DUMMYFUNCTION("""COMPUTED_VALUE"""),1.0)</f>
        <v>1</v>
      </c>
      <c r="K290" s="6">
        <f>IFERROR(__xludf.DUMMYFUNCTION("""COMPUTED_VALUE"""),21905.0)</f>
        <v>21905</v>
      </c>
      <c r="L290" s="2">
        <f>IFERROR(__xludf.DUMMYFUNCTION("""COMPUTED_VALUE"""),0.0)</f>
        <v>0</v>
      </c>
      <c r="M290" s="2">
        <f>IFERROR(__xludf.DUMMYFUNCTION("""COMPUTED_VALUE"""),21905.0)</f>
        <v>21905</v>
      </c>
      <c r="N290" s="2">
        <f>IFERROR(__xludf.DUMMYFUNCTION("""COMPUTED_VALUE"""),0.0)</f>
        <v>0</v>
      </c>
      <c r="O290" s="2">
        <f>IFERROR(__xludf.DUMMYFUNCTION("""COMPUTED_VALUE"""),21905.0)</f>
        <v>21905</v>
      </c>
      <c r="P290" s="2">
        <f>IFERROR(__xludf.DUMMYFUNCTION("""COMPUTED_VALUE"""),1095.0)</f>
        <v>1095</v>
      </c>
      <c r="Q290" s="2" t="str">
        <f>IFERROR(__xludf.DUMMYFUNCTION("""COMPUTED_VALUE"""),"Dine In")</f>
        <v>Dine In</v>
      </c>
      <c r="R290" s="2" t="str">
        <f>IFERROR(__xludf.DUMMYFUNCTION("""COMPUTED_VALUE"""),"Kedai")</f>
        <v>Kedai</v>
      </c>
      <c r="S290" s="2" t="str">
        <f>IFERROR(__xludf.DUMMYFUNCTION("""COMPUTED_VALUE"""),"Temu Roti")</f>
        <v>Temu Roti</v>
      </c>
      <c r="T290" s="2" t="str">
        <f>IFERROR(__xludf.DUMMYFUNCTION("""COMPUTED_VALUE"""),"Owner")</f>
        <v>Owner</v>
      </c>
      <c r="U290" s="2"/>
      <c r="V290" s="2"/>
      <c r="W290" s="2"/>
      <c r="X290" s="2" t="str">
        <f>IFERROR(__xludf.DUMMYFUNCTION("""COMPUTED_VALUE"""),"Closed")</f>
        <v>Closed</v>
      </c>
    </row>
    <row r="291">
      <c r="A291" s="3" t="s">
        <v>312</v>
      </c>
      <c r="B291" s="4">
        <f>IFERROR(__xludf.DUMMYFUNCTION("SPLIT(A291,"","",0,0)"),45559.85763888889)</f>
        <v>45559.85764</v>
      </c>
      <c r="C291" s="5">
        <f>IFERROR(__xludf.DUMMYFUNCTION("""COMPUTED_VALUE"""),2761632.0)</f>
        <v>2761632</v>
      </c>
      <c r="D291" s="2" t="str">
        <f>IFERROR(__xludf.DUMMYFUNCTION("""COMPUTED_VALUE"""),"Sale")</f>
        <v>Sale</v>
      </c>
      <c r="E291" s="2" t="str">
        <f>IFERROR(__xludf.DUMMYFUNCTION("""COMPUTED_VALUE"""),"Roti")</f>
        <v>Roti</v>
      </c>
      <c r="F291" s="2">
        <f>IFERROR(__xludf.DUMMYFUNCTION("""COMPUTED_VALUE"""),10033.0)</f>
        <v>10033</v>
      </c>
      <c r="G291" s="2" t="str">
        <f>IFERROR(__xludf.DUMMYFUNCTION("""COMPUTED_VALUE"""),"Roti panggang sarikaya")</f>
        <v>Roti panggang sarikaya</v>
      </c>
      <c r="H291" s="2"/>
      <c r="I291" s="2"/>
      <c r="J291" s="2">
        <f>IFERROR(__xludf.DUMMYFUNCTION("""COMPUTED_VALUE"""),1.0)</f>
        <v>1</v>
      </c>
      <c r="K291" s="6">
        <f>IFERROR(__xludf.DUMMYFUNCTION("""COMPUTED_VALUE"""),21905.0)</f>
        <v>21905</v>
      </c>
      <c r="L291" s="2">
        <f>IFERROR(__xludf.DUMMYFUNCTION("""COMPUTED_VALUE"""),0.0)</f>
        <v>0</v>
      </c>
      <c r="M291" s="2">
        <f>IFERROR(__xludf.DUMMYFUNCTION("""COMPUTED_VALUE"""),21905.0)</f>
        <v>21905</v>
      </c>
      <c r="N291" s="2">
        <f>IFERROR(__xludf.DUMMYFUNCTION("""COMPUTED_VALUE"""),0.0)</f>
        <v>0</v>
      </c>
      <c r="O291" s="2">
        <f>IFERROR(__xludf.DUMMYFUNCTION("""COMPUTED_VALUE"""),21905.0)</f>
        <v>21905</v>
      </c>
      <c r="P291" s="2">
        <f>IFERROR(__xludf.DUMMYFUNCTION("""COMPUTED_VALUE"""),1095.0)</f>
        <v>1095</v>
      </c>
      <c r="Q291" s="2" t="str">
        <f>IFERROR(__xludf.DUMMYFUNCTION("""COMPUTED_VALUE"""),"Dine In")</f>
        <v>Dine In</v>
      </c>
      <c r="R291" s="2" t="str">
        <f>IFERROR(__xludf.DUMMYFUNCTION("""COMPUTED_VALUE"""),"Kedai")</f>
        <v>Kedai</v>
      </c>
      <c r="S291" s="2" t="str">
        <f>IFERROR(__xludf.DUMMYFUNCTION("""COMPUTED_VALUE"""),"Temu Roti")</f>
        <v>Temu Roti</v>
      </c>
      <c r="T291" s="2" t="str">
        <f>IFERROR(__xludf.DUMMYFUNCTION("""COMPUTED_VALUE"""),"Owner")</f>
        <v>Owner</v>
      </c>
      <c r="U291" s="2"/>
      <c r="V291" s="2"/>
      <c r="W291" s="2"/>
      <c r="X291" s="2" t="str">
        <f>IFERROR(__xludf.DUMMYFUNCTION("""COMPUTED_VALUE"""),"Closed")</f>
        <v>Closed</v>
      </c>
    </row>
    <row r="292">
      <c r="A292" s="3" t="s">
        <v>313</v>
      </c>
      <c r="B292" s="4">
        <f>IFERROR(__xludf.DUMMYFUNCTION("SPLIT(A292,"","",0,0)"),45559.85138888889)</f>
        <v>45559.85139</v>
      </c>
      <c r="C292" s="5">
        <f>IFERROR(__xludf.DUMMYFUNCTION("""COMPUTED_VALUE"""),2761266.0)</f>
        <v>2761266</v>
      </c>
      <c r="D292" s="2" t="str">
        <f>IFERROR(__xludf.DUMMYFUNCTION("""COMPUTED_VALUE"""),"Sale")</f>
        <v>Sale</v>
      </c>
      <c r="E292" s="2" t="str">
        <f>IFERROR(__xludf.DUMMYFUNCTION("""COMPUTED_VALUE"""),"Roti")</f>
        <v>Roti</v>
      </c>
      <c r="F292" s="2">
        <f>IFERROR(__xludf.DUMMYFUNCTION("""COMPUTED_VALUE"""),10007.0)</f>
        <v>10007</v>
      </c>
      <c r="G292" s="2" t="str">
        <f>IFERROR(__xludf.DUMMYFUNCTION("""COMPUTED_VALUE"""),"Roti cranberry 2 pcs")</f>
        <v>Roti cranberry 2 pcs</v>
      </c>
      <c r="H292" s="2"/>
      <c r="I292" s="2"/>
      <c r="J292" s="2">
        <f>IFERROR(__xludf.DUMMYFUNCTION("""COMPUTED_VALUE"""),2.0)</f>
        <v>2</v>
      </c>
      <c r="K292" s="6">
        <f>IFERROR(__xludf.DUMMYFUNCTION("""COMPUTED_VALUE"""),67620.0)</f>
        <v>67620</v>
      </c>
      <c r="L292" s="2">
        <f>IFERROR(__xludf.DUMMYFUNCTION("""COMPUTED_VALUE"""),0.0)</f>
        <v>0</v>
      </c>
      <c r="M292" s="2">
        <f>IFERROR(__xludf.DUMMYFUNCTION("""COMPUTED_VALUE"""),67620.0)</f>
        <v>67620</v>
      </c>
      <c r="N292" s="2">
        <f>IFERROR(__xludf.DUMMYFUNCTION("""COMPUTED_VALUE"""),0.0)</f>
        <v>0</v>
      </c>
      <c r="O292" s="2">
        <f>IFERROR(__xludf.DUMMYFUNCTION("""COMPUTED_VALUE"""),67620.0)</f>
        <v>67620</v>
      </c>
      <c r="P292" s="2">
        <f>IFERROR(__xludf.DUMMYFUNCTION("""COMPUTED_VALUE"""),3381.0)</f>
        <v>3381</v>
      </c>
      <c r="Q292" s="2" t="str">
        <f>IFERROR(__xludf.DUMMYFUNCTION("""COMPUTED_VALUE"""),"Dine In")</f>
        <v>Dine In</v>
      </c>
      <c r="R292" s="2" t="str">
        <f>IFERROR(__xludf.DUMMYFUNCTION("""COMPUTED_VALUE"""),"Kedai")</f>
        <v>Kedai</v>
      </c>
      <c r="S292" s="2" t="str">
        <f>IFERROR(__xludf.DUMMYFUNCTION("""COMPUTED_VALUE"""),"Temu Roti")</f>
        <v>Temu Roti</v>
      </c>
      <c r="T292" s="2" t="str">
        <f>IFERROR(__xludf.DUMMYFUNCTION("""COMPUTED_VALUE"""),"Owner")</f>
        <v>Owner</v>
      </c>
      <c r="U292" s="2"/>
      <c r="V292" s="2"/>
      <c r="W292" s="2"/>
      <c r="X292" s="2" t="str">
        <f>IFERROR(__xludf.DUMMYFUNCTION("""COMPUTED_VALUE"""),"Closed")</f>
        <v>Closed</v>
      </c>
    </row>
    <row r="293">
      <c r="A293" s="3" t="s">
        <v>314</v>
      </c>
      <c r="B293" s="4">
        <f>IFERROR(__xludf.DUMMYFUNCTION("SPLIT(A293,"","",0,0)"),45559.82361111111)</f>
        <v>45559.82361</v>
      </c>
      <c r="C293" s="5">
        <f>IFERROR(__xludf.DUMMYFUNCTION("""COMPUTED_VALUE"""),2760901.0)</f>
        <v>2760901</v>
      </c>
      <c r="D293" s="2" t="str">
        <f>IFERROR(__xludf.DUMMYFUNCTION("""COMPUTED_VALUE"""),"Sale")</f>
        <v>Sale</v>
      </c>
      <c r="E293" s="2" t="str">
        <f>IFERROR(__xludf.DUMMYFUNCTION("""COMPUTED_VALUE"""),"Minuman")</f>
        <v>Minuman</v>
      </c>
      <c r="F293" s="2">
        <f>IFERROR(__xludf.DUMMYFUNCTION("""COMPUTED_VALUE"""),10125.0)</f>
        <v>10125</v>
      </c>
      <c r="G293" s="2" t="str">
        <f>IFERROR(__xludf.DUMMYFUNCTION("""COMPUTED_VALUE"""),"Gula Asam Dingin")</f>
        <v>Gula Asam Dingin</v>
      </c>
      <c r="H293" s="2"/>
      <c r="I293" s="2"/>
      <c r="J293" s="2">
        <f>IFERROR(__xludf.DUMMYFUNCTION("""COMPUTED_VALUE"""),1.0)</f>
        <v>1</v>
      </c>
      <c r="K293" s="6">
        <f>IFERROR(__xludf.DUMMYFUNCTION("""COMPUTED_VALUE"""),20476.0)</f>
        <v>20476</v>
      </c>
      <c r="L293" s="2">
        <f>IFERROR(__xludf.DUMMYFUNCTION("""COMPUTED_VALUE"""),0.0)</f>
        <v>0</v>
      </c>
      <c r="M293" s="2">
        <f>IFERROR(__xludf.DUMMYFUNCTION("""COMPUTED_VALUE"""),20476.0)</f>
        <v>20476</v>
      </c>
      <c r="N293" s="2">
        <f>IFERROR(__xludf.DUMMYFUNCTION("""COMPUTED_VALUE"""),0.0)</f>
        <v>0</v>
      </c>
      <c r="O293" s="2">
        <f>IFERROR(__xludf.DUMMYFUNCTION("""COMPUTED_VALUE"""),20476.0)</f>
        <v>20476</v>
      </c>
      <c r="P293" s="2">
        <f>IFERROR(__xludf.DUMMYFUNCTION("""COMPUTED_VALUE"""),1024.0)</f>
        <v>1024</v>
      </c>
      <c r="Q293" s="2" t="str">
        <f>IFERROR(__xludf.DUMMYFUNCTION("""COMPUTED_VALUE"""),"Dine In")</f>
        <v>Dine In</v>
      </c>
      <c r="R293" s="2" t="str">
        <f>IFERROR(__xludf.DUMMYFUNCTION("""COMPUTED_VALUE"""),"Kedai")</f>
        <v>Kedai</v>
      </c>
      <c r="S293" s="2" t="str">
        <f>IFERROR(__xludf.DUMMYFUNCTION("""COMPUTED_VALUE"""),"Temu Roti")</f>
        <v>Temu Roti</v>
      </c>
      <c r="T293" s="2" t="str">
        <f>IFERROR(__xludf.DUMMYFUNCTION("""COMPUTED_VALUE"""),"Owner")</f>
        <v>Owner</v>
      </c>
      <c r="U293" s="2"/>
      <c r="V293" s="2"/>
      <c r="W293" s="2"/>
      <c r="X293" s="2" t="str">
        <f>IFERROR(__xludf.DUMMYFUNCTION("""COMPUTED_VALUE"""),"Closed")</f>
        <v>Closed</v>
      </c>
    </row>
    <row r="294">
      <c r="A294" s="3" t="s">
        <v>315</v>
      </c>
      <c r="B294" s="4">
        <f>IFERROR(__xludf.DUMMYFUNCTION("SPLIT(A294,"","",0,0)"),45559.82361111111)</f>
        <v>45559.82361</v>
      </c>
      <c r="C294" s="5">
        <f>IFERROR(__xludf.DUMMYFUNCTION("""COMPUTED_VALUE"""),2760901.0)</f>
        <v>2760901</v>
      </c>
      <c r="D294" s="2" t="str">
        <f>IFERROR(__xludf.DUMMYFUNCTION("""COMPUTED_VALUE"""),"Sale")</f>
        <v>Sale</v>
      </c>
      <c r="E294" s="2" t="str">
        <f>IFERROR(__xludf.DUMMYFUNCTION("""COMPUTED_VALUE"""),"Minuman")</f>
        <v>Minuman</v>
      </c>
      <c r="F294" s="2">
        <f>IFERROR(__xludf.DUMMYFUNCTION("""COMPUTED_VALUE"""),10122.0)</f>
        <v>10122</v>
      </c>
      <c r="G294" s="2" t="str">
        <f>IFERROR(__xludf.DUMMYFUNCTION("""COMPUTED_VALUE"""),"Rempah Madu Panas")</f>
        <v>Rempah Madu Panas</v>
      </c>
      <c r="H294" s="2"/>
      <c r="I294" s="2"/>
      <c r="J294" s="2">
        <f>IFERROR(__xludf.DUMMYFUNCTION("""COMPUTED_VALUE"""),1.0)</f>
        <v>1</v>
      </c>
      <c r="K294" s="6">
        <f>IFERROR(__xludf.DUMMYFUNCTION("""COMPUTED_VALUE"""),21905.0)</f>
        <v>21905</v>
      </c>
      <c r="L294" s="2">
        <f>IFERROR(__xludf.DUMMYFUNCTION("""COMPUTED_VALUE"""),0.0)</f>
        <v>0</v>
      </c>
      <c r="M294" s="2">
        <f>IFERROR(__xludf.DUMMYFUNCTION("""COMPUTED_VALUE"""),21905.0)</f>
        <v>21905</v>
      </c>
      <c r="N294" s="2">
        <f>IFERROR(__xludf.DUMMYFUNCTION("""COMPUTED_VALUE"""),0.0)</f>
        <v>0</v>
      </c>
      <c r="O294" s="2">
        <f>IFERROR(__xludf.DUMMYFUNCTION("""COMPUTED_VALUE"""),21905.0)</f>
        <v>21905</v>
      </c>
      <c r="P294" s="2">
        <f>IFERROR(__xludf.DUMMYFUNCTION("""COMPUTED_VALUE"""),1095.0)</f>
        <v>1095</v>
      </c>
      <c r="Q294" s="2" t="str">
        <f>IFERROR(__xludf.DUMMYFUNCTION("""COMPUTED_VALUE"""),"Dine In")</f>
        <v>Dine In</v>
      </c>
      <c r="R294" s="2" t="str">
        <f>IFERROR(__xludf.DUMMYFUNCTION("""COMPUTED_VALUE"""),"Kedai")</f>
        <v>Kedai</v>
      </c>
      <c r="S294" s="2" t="str">
        <f>IFERROR(__xludf.DUMMYFUNCTION("""COMPUTED_VALUE"""),"Temu Roti")</f>
        <v>Temu Roti</v>
      </c>
      <c r="T294" s="2" t="str">
        <f>IFERROR(__xludf.DUMMYFUNCTION("""COMPUTED_VALUE"""),"Owner")</f>
        <v>Owner</v>
      </c>
      <c r="U294" s="2"/>
      <c r="V294" s="2"/>
      <c r="W294" s="2"/>
      <c r="X294" s="2" t="str">
        <f>IFERROR(__xludf.DUMMYFUNCTION("""COMPUTED_VALUE"""),"Closed")</f>
        <v>Closed</v>
      </c>
    </row>
    <row r="295">
      <c r="A295" s="3" t="s">
        <v>316</v>
      </c>
      <c r="B295" s="4">
        <f>IFERROR(__xludf.DUMMYFUNCTION("SPLIT(A295,"","",0,0)"),45559.82361111111)</f>
        <v>45559.82361</v>
      </c>
      <c r="C295" s="5">
        <f>IFERROR(__xludf.DUMMYFUNCTION("""COMPUTED_VALUE"""),2760901.0)</f>
        <v>2760901</v>
      </c>
      <c r="D295" s="2" t="str">
        <f>IFERROR(__xludf.DUMMYFUNCTION("""COMPUTED_VALUE"""),"Sale")</f>
        <v>Sale</v>
      </c>
      <c r="E295" s="2" t="str">
        <f>IFERROR(__xludf.DUMMYFUNCTION("""COMPUTED_VALUE"""),"Roti")</f>
        <v>Roti</v>
      </c>
      <c r="F295" s="2">
        <f>IFERROR(__xludf.DUMMYFUNCTION("""COMPUTED_VALUE"""),10025.0)</f>
        <v>10025</v>
      </c>
      <c r="G295" s="2" t="str">
        <f>IFERROR(__xludf.DUMMYFUNCTION("""COMPUTED_VALUE"""),"Roti Tawar Susu")</f>
        <v>Roti Tawar Susu</v>
      </c>
      <c r="H295" s="2"/>
      <c r="I295" s="2"/>
      <c r="J295" s="2">
        <f>IFERROR(__xludf.DUMMYFUNCTION("""COMPUTED_VALUE"""),1.0)</f>
        <v>1</v>
      </c>
      <c r="K295" s="6">
        <f>IFERROR(__xludf.DUMMYFUNCTION("""COMPUTED_VALUE"""),24762.0)</f>
        <v>24762</v>
      </c>
      <c r="L295" s="2">
        <f>IFERROR(__xludf.DUMMYFUNCTION("""COMPUTED_VALUE"""),0.0)</f>
        <v>0</v>
      </c>
      <c r="M295" s="2">
        <f>IFERROR(__xludf.DUMMYFUNCTION("""COMPUTED_VALUE"""),24762.0)</f>
        <v>24762</v>
      </c>
      <c r="N295" s="2">
        <f>IFERROR(__xludf.DUMMYFUNCTION("""COMPUTED_VALUE"""),0.0)</f>
        <v>0</v>
      </c>
      <c r="O295" s="2">
        <f>IFERROR(__xludf.DUMMYFUNCTION("""COMPUTED_VALUE"""),24762.0)</f>
        <v>24762</v>
      </c>
      <c r="P295" s="2">
        <f>IFERROR(__xludf.DUMMYFUNCTION("""COMPUTED_VALUE"""),1238.0)</f>
        <v>1238</v>
      </c>
      <c r="Q295" s="2" t="str">
        <f>IFERROR(__xludf.DUMMYFUNCTION("""COMPUTED_VALUE"""),"Dine In")</f>
        <v>Dine In</v>
      </c>
      <c r="R295" s="2" t="str">
        <f>IFERROR(__xludf.DUMMYFUNCTION("""COMPUTED_VALUE"""),"Kedai")</f>
        <v>Kedai</v>
      </c>
      <c r="S295" s="2" t="str">
        <f>IFERROR(__xludf.DUMMYFUNCTION("""COMPUTED_VALUE"""),"Temu Roti")</f>
        <v>Temu Roti</v>
      </c>
      <c r="T295" s="2" t="str">
        <f>IFERROR(__xludf.DUMMYFUNCTION("""COMPUTED_VALUE"""),"Owner")</f>
        <v>Owner</v>
      </c>
      <c r="U295" s="2"/>
      <c r="V295" s="2"/>
      <c r="W295" s="2"/>
      <c r="X295" s="2" t="str">
        <f>IFERROR(__xludf.DUMMYFUNCTION("""COMPUTED_VALUE"""),"Closed")</f>
        <v>Closed</v>
      </c>
    </row>
    <row r="296">
      <c r="A296" s="3" t="s">
        <v>317</v>
      </c>
      <c r="B296" s="4">
        <f>IFERROR(__xludf.DUMMYFUNCTION("SPLIT(A296,"","",0,0)"),45559.82361111111)</f>
        <v>45559.82361</v>
      </c>
      <c r="C296" s="5">
        <f>IFERROR(__xludf.DUMMYFUNCTION("""COMPUTED_VALUE"""),2760901.0)</f>
        <v>2760901</v>
      </c>
      <c r="D296" s="2" t="str">
        <f>IFERROR(__xludf.DUMMYFUNCTION("""COMPUTED_VALUE"""),"Sale")</f>
        <v>Sale</v>
      </c>
      <c r="E296" s="2" t="str">
        <f>IFERROR(__xludf.DUMMYFUNCTION("""COMPUTED_VALUE"""),"Kudapan")</f>
        <v>Kudapan</v>
      </c>
      <c r="F296" s="2">
        <f>IFERROR(__xludf.DUMMYFUNCTION("""COMPUTED_VALUE"""),10004.0)</f>
        <v>10004</v>
      </c>
      <c r="G296" s="2" t="str">
        <f>IFERROR(__xludf.DUMMYFUNCTION("""COMPUTED_VALUE"""),"Tahu walik")</f>
        <v>Tahu walik</v>
      </c>
      <c r="H296" s="2"/>
      <c r="I296" s="2"/>
      <c r="J296" s="2">
        <f>IFERROR(__xludf.DUMMYFUNCTION("""COMPUTED_VALUE"""),1.0)</f>
        <v>1</v>
      </c>
      <c r="K296" s="6">
        <f>IFERROR(__xludf.DUMMYFUNCTION("""COMPUTED_VALUE"""),25238.0)</f>
        <v>25238</v>
      </c>
      <c r="L296" s="2">
        <f>IFERROR(__xludf.DUMMYFUNCTION("""COMPUTED_VALUE"""),0.0)</f>
        <v>0</v>
      </c>
      <c r="M296" s="2">
        <f>IFERROR(__xludf.DUMMYFUNCTION("""COMPUTED_VALUE"""),25238.0)</f>
        <v>25238</v>
      </c>
      <c r="N296" s="2">
        <f>IFERROR(__xludf.DUMMYFUNCTION("""COMPUTED_VALUE"""),0.0)</f>
        <v>0</v>
      </c>
      <c r="O296" s="2">
        <f>IFERROR(__xludf.DUMMYFUNCTION("""COMPUTED_VALUE"""),25238.0)</f>
        <v>25238</v>
      </c>
      <c r="P296" s="2">
        <f>IFERROR(__xludf.DUMMYFUNCTION("""COMPUTED_VALUE"""),1262.0)</f>
        <v>1262</v>
      </c>
      <c r="Q296" s="2" t="str">
        <f>IFERROR(__xludf.DUMMYFUNCTION("""COMPUTED_VALUE"""),"Dine In")</f>
        <v>Dine In</v>
      </c>
      <c r="R296" s="2" t="str">
        <f>IFERROR(__xludf.DUMMYFUNCTION("""COMPUTED_VALUE"""),"Kedai")</f>
        <v>Kedai</v>
      </c>
      <c r="S296" s="2" t="str">
        <f>IFERROR(__xludf.DUMMYFUNCTION("""COMPUTED_VALUE"""),"Temu Roti")</f>
        <v>Temu Roti</v>
      </c>
      <c r="T296" s="2" t="str">
        <f>IFERROR(__xludf.DUMMYFUNCTION("""COMPUTED_VALUE"""),"Owner")</f>
        <v>Owner</v>
      </c>
      <c r="U296" s="2"/>
      <c r="V296" s="2"/>
      <c r="W296" s="2"/>
      <c r="X296" s="2" t="str">
        <f>IFERROR(__xludf.DUMMYFUNCTION("""COMPUTED_VALUE"""),"Closed")</f>
        <v>Closed</v>
      </c>
    </row>
    <row r="297">
      <c r="A297" s="3" t="s">
        <v>318</v>
      </c>
      <c r="B297" s="4">
        <f>IFERROR(__xludf.DUMMYFUNCTION("SPLIT(A297,"","",0,0)"),45559.80069444444)</f>
        <v>45559.80069</v>
      </c>
      <c r="C297" s="5">
        <f>IFERROR(__xludf.DUMMYFUNCTION("""COMPUTED_VALUE"""),2760536.0)</f>
        <v>2760536</v>
      </c>
      <c r="D297" s="2" t="str">
        <f>IFERROR(__xludf.DUMMYFUNCTION("""COMPUTED_VALUE"""),"Sale")</f>
        <v>Sale</v>
      </c>
      <c r="E297" s="2" t="str">
        <f>IFERROR(__xludf.DUMMYFUNCTION("""COMPUTED_VALUE"""),"Minuman")</f>
        <v>Minuman</v>
      </c>
      <c r="F297" s="2">
        <f>IFERROR(__xludf.DUMMYFUNCTION("""COMPUTED_VALUE"""),10026.0)</f>
        <v>10026</v>
      </c>
      <c r="G297" s="2" t="str">
        <f>IFERROR(__xludf.DUMMYFUNCTION("""COMPUTED_VALUE"""),"Es Kopi Lemon")</f>
        <v>Es Kopi Lemon</v>
      </c>
      <c r="H297" s="2"/>
      <c r="I297" s="2"/>
      <c r="J297" s="2">
        <f>IFERROR(__xludf.DUMMYFUNCTION("""COMPUTED_VALUE"""),1.0)</f>
        <v>1</v>
      </c>
      <c r="K297" s="6">
        <f>IFERROR(__xludf.DUMMYFUNCTION("""COMPUTED_VALUE"""),21905.0)</f>
        <v>21905</v>
      </c>
      <c r="L297" s="2">
        <f>IFERROR(__xludf.DUMMYFUNCTION("""COMPUTED_VALUE"""),0.0)</f>
        <v>0</v>
      </c>
      <c r="M297" s="2">
        <f>IFERROR(__xludf.DUMMYFUNCTION("""COMPUTED_VALUE"""),21905.0)</f>
        <v>21905</v>
      </c>
      <c r="N297" s="2">
        <f>IFERROR(__xludf.DUMMYFUNCTION("""COMPUTED_VALUE"""),0.0)</f>
        <v>0</v>
      </c>
      <c r="O297" s="2">
        <f>IFERROR(__xludf.DUMMYFUNCTION("""COMPUTED_VALUE"""),21905.0)</f>
        <v>21905</v>
      </c>
      <c r="P297" s="2">
        <f>IFERROR(__xludf.DUMMYFUNCTION("""COMPUTED_VALUE"""),1095.0)</f>
        <v>1095</v>
      </c>
      <c r="Q297" s="2" t="str">
        <f>IFERROR(__xludf.DUMMYFUNCTION("""COMPUTED_VALUE"""),"Dine In")</f>
        <v>Dine In</v>
      </c>
      <c r="R297" s="2" t="str">
        <f>IFERROR(__xludf.DUMMYFUNCTION("""COMPUTED_VALUE"""),"Kedai")</f>
        <v>Kedai</v>
      </c>
      <c r="S297" s="2" t="str">
        <f>IFERROR(__xludf.DUMMYFUNCTION("""COMPUTED_VALUE"""),"Temu Roti")</f>
        <v>Temu Roti</v>
      </c>
      <c r="T297" s="2" t="str">
        <f>IFERROR(__xludf.DUMMYFUNCTION("""COMPUTED_VALUE"""),"Owner")</f>
        <v>Owner</v>
      </c>
      <c r="U297" s="2"/>
      <c r="V297" s="2"/>
      <c r="W297" s="2"/>
      <c r="X297" s="2" t="str">
        <f>IFERROR(__xludf.DUMMYFUNCTION("""COMPUTED_VALUE"""),"Closed")</f>
        <v>Closed</v>
      </c>
    </row>
    <row r="298">
      <c r="A298" s="3" t="s">
        <v>319</v>
      </c>
      <c r="B298" s="4">
        <f>IFERROR(__xludf.DUMMYFUNCTION("SPLIT(A298,"","",0,0)"),45559.80069444444)</f>
        <v>45559.80069</v>
      </c>
      <c r="C298" s="5">
        <f>IFERROR(__xludf.DUMMYFUNCTION("""COMPUTED_VALUE"""),2760536.0)</f>
        <v>2760536</v>
      </c>
      <c r="D298" s="2" t="str">
        <f>IFERROR(__xludf.DUMMYFUNCTION("""COMPUTED_VALUE"""),"Sale")</f>
        <v>Sale</v>
      </c>
      <c r="E298" s="2" t="str">
        <f>IFERROR(__xludf.DUMMYFUNCTION("""COMPUTED_VALUE"""),"Minuman")</f>
        <v>Minuman</v>
      </c>
      <c r="F298" s="2">
        <f>IFERROR(__xludf.DUMMYFUNCTION("""COMPUTED_VALUE"""),10057.0)</f>
        <v>10057</v>
      </c>
      <c r="G298" s="2" t="str">
        <f>IFERROR(__xludf.DUMMYFUNCTION("""COMPUTED_VALUE"""),"Susu murni strawberry")</f>
        <v>Susu murni strawberry</v>
      </c>
      <c r="H298" s="2"/>
      <c r="I298" s="2"/>
      <c r="J298" s="2">
        <f>IFERROR(__xludf.DUMMYFUNCTION("""COMPUTED_VALUE"""),1.0)</f>
        <v>1</v>
      </c>
      <c r="K298" s="6">
        <f>IFERROR(__xludf.DUMMYFUNCTION("""COMPUTED_VALUE"""),19524.0)</f>
        <v>19524</v>
      </c>
      <c r="L298" s="2">
        <f>IFERROR(__xludf.DUMMYFUNCTION("""COMPUTED_VALUE"""),0.0)</f>
        <v>0</v>
      </c>
      <c r="M298" s="2">
        <f>IFERROR(__xludf.DUMMYFUNCTION("""COMPUTED_VALUE"""),19524.0)</f>
        <v>19524</v>
      </c>
      <c r="N298" s="2">
        <f>IFERROR(__xludf.DUMMYFUNCTION("""COMPUTED_VALUE"""),0.0)</f>
        <v>0</v>
      </c>
      <c r="O298" s="2">
        <f>IFERROR(__xludf.DUMMYFUNCTION("""COMPUTED_VALUE"""),19524.0)</f>
        <v>19524</v>
      </c>
      <c r="P298" s="2">
        <f>IFERROR(__xludf.DUMMYFUNCTION("""COMPUTED_VALUE"""),976.0)</f>
        <v>976</v>
      </c>
      <c r="Q298" s="2" t="str">
        <f>IFERROR(__xludf.DUMMYFUNCTION("""COMPUTED_VALUE"""),"Dine In")</f>
        <v>Dine In</v>
      </c>
      <c r="R298" s="2" t="str">
        <f>IFERROR(__xludf.DUMMYFUNCTION("""COMPUTED_VALUE"""),"Kedai")</f>
        <v>Kedai</v>
      </c>
      <c r="S298" s="2" t="str">
        <f>IFERROR(__xludf.DUMMYFUNCTION("""COMPUTED_VALUE"""),"Temu Roti")</f>
        <v>Temu Roti</v>
      </c>
      <c r="T298" s="2" t="str">
        <f>IFERROR(__xludf.DUMMYFUNCTION("""COMPUTED_VALUE"""),"Owner")</f>
        <v>Owner</v>
      </c>
      <c r="U298" s="2"/>
      <c r="V298" s="2"/>
      <c r="W298" s="2"/>
      <c r="X298" s="2" t="str">
        <f>IFERROR(__xludf.DUMMYFUNCTION("""COMPUTED_VALUE"""),"Closed")</f>
        <v>Closed</v>
      </c>
    </row>
    <row r="299">
      <c r="A299" s="3" t="s">
        <v>320</v>
      </c>
      <c r="B299" s="4">
        <f>IFERROR(__xludf.DUMMYFUNCTION("SPLIT(A299,"","",0,0)"),45559.799305555556)</f>
        <v>45559.79931</v>
      </c>
      <c r="C299" s="5">
        <f>IFERROR(__xludf.DUMMYFUNCTION("""COMPUTED_VALUE"""),2760171.0)</f>
        <v>2760171</v>
      </c>
      <c r="D299" s="2" t="str">
        <f>IFERROR(__xludf.DUMMYFUNCTION("""COMPUTED_VALUE"""),"Refund")</f>
        <v>Refund</v>
      </c>
      <c r="E299" s="2" t="str">
        <f>IFERROR(__xludf.DUMMYFUNCTION("""COMPUTED_VALUE"""),"Minuman")</f>
        <v>Minuman</v>
      </c>
      <c r="F299" s="2">
        <f>IFERROR(__xludf.DUMMYFUNCTION("""COMPUTED_VALUE"""),10026.0)</f>
        <v>10026</v>
      </c>
      <c r="G299" s="2" t="str">
        <f>IFERROR(__xludf.DUMMYFUNCTION("""COMPUTED_VALUE"""),"Es Kopi Lemon")</f>
        <v>Es Kopi Lemon</v>
      </c>
      <c r="H299" s="2"/>
      <c r="I299" s="2"/>
      <c r="J299" s="2">
        <f>IFERROR(__xludf.DUMMYFUNCTION("""COMPUTED_VALUE"""),-1.0)</f>
        <v>-1</v>
      </c>
      <c r="K299" s="6">
        <f>IFERROR(__xludf.DUMMYFUNCTION("""COMPUTED_VALUE"""),-21905.0)</f>
        <v>-21905</v>
      </c>
      <c r="L299" s="2">
        <f>IFERROR(__xludf.DUMMYFUNCTION("""COMPUTED_VALUE"""),0.0)</f>
        <v>0</v>
      </c>
      <c r="M299" s="2">
        <f>IFERROR(__xludf.DUMMYFUNCTION("""COMPUTED_VALUE"""),-21905.0)</f>
        <v>-21905</v>
      </c>
      <c r="N299" s="2">
        <f>IFERROR(__xludf.DUMMYFUNCTION("""COMPUTED_VALUE"""),0.0)</f>
        <v>0</v>
      </c>
      <c r="O299" s="2">
        <f>IFERROR(__xludf.DUMMYFUNCTION("""COMPUTED_VALUE"""),-21905.0)</f>
        <v>-21905</v>
      </c>
      <c r="P299" s="2">
        <f>IFERROR(__xludf.DUMMYFUNCTION("""COMPUTED_VALUE"""),-1095.0)</f>
        <v>-1095</v>
      </c>
      <c r="Q299" s="2" t="str">
        <f>IFERROR(__xludf.DUMMYFUNCTION("""COMPUTED_VALUE"""),"Dine In")</f>
        <v>Dine In</v>
      </c>
      <c r="R299" s="2" t="str">
        <f>IFERROR(__xludf.DUMMYFUNCTION("""COMPUTED_VALUE"""),"Kedai")</f>
        <v>Kedai</v>
      </c>
      <c r="S299" s="2" t="str">
        <f>IFERROR(__xludf.DUMMYFUNCTION("""COMPUTED_VALUE"""),"Temu Roti")</f>
        <v>Temu Roti</v>
      </c>
      <c r="T299" s="2" t="str">
        <f>IFERROR(__xludf.DUMMYFUNCTION("""COMPUTED_VALUE"""),"Owner")</f>
        <v>Owner</v>
      </c>
      <c r="U299" s="2"/>
      <c r="V299" s="2"/>
      <c r="W299" s="2"/>
      <c r="X299" s="2" t="str">
        <f>IFERROR(__xludf.DUMMYFUNCTION("""COMPUTED_VALUE"""),"Closed")</f>
        <v>Closed</v>
      </c>
    </row>
    <row r="300">
      <c r="A300" s="3" t="s">
        <v>321</v>
      </c>
      <c r="B300" s="4">
        <f>IFERROR(__xludf.DUMMYFUNCTION("SPLIT(A300,"","",0,0)"),45559.799305555556)</f>
        <v>45559.79931</v>
      </c>
      <c r="C300" s="5">
        <f>IFERROR(__xludf.DUMMYFUNCTION("""COMPUTED_VALUE"""),2760171.0)</f>
        <v>2760171</v>
      </c>
      <c r="D300" s="2" t="str">
        <f>IFERROR(__xludf.DUMMYFUNCTION("""COMPUTED_VALUE"""),"Refund")</f>
        <v>Refund</v>
      </c>
      <c r="E300" s="2" t="str">
        <f>IFERROR(__xludf.DUMMYFUNCTION("""COMPUTED_VALUE"""),"Minuman")</f>
        <v>Minuman</v>
      </c>
      <c r="F300" s="2">
        <f>IFERROR(__xludf.DUMMYFUNCTION("""COMPUTED_VALUE"""),10057.0)</f>
        <v>10057</v>
      </c>
      <c r="G300" s="2" t="str">
        <f>IFERROR(__xludf.DUMMYFUNCTION("""COMPUTED_VALUE"""),"Susu murni strawberry")</f>
        <v>Susu murni strawberry</v>
      </c>
      <c r="H300" s="2"/>
      <c r="I300" s="2"/>
      <c r="J300" s="2">
        <f>IFERROR(__xludf.DUMMYFUNCTION("""COMPUTED_VALUE"""),-1.0)</f>
        <v>-1</v>
      </c>
      <c r="K300" s="6">
        <f>IFERROR(__xludf.DUMMYFUNCTION("""COMPUTED_VALUE"""),-19524.0)</f>
        <v>-19524</v>
      </c>
      <c r="L300" s="2">
        <f>IFERROR(__xludf.DUMMYFUNCTION("""COMPUTED_VALUE"""),0.0)</f>
        <v>0</v>
      </c>
      <c r="M300" s="2">
        <f>IFERROR(__xludf.DUMMYFUNCTION("""COMPUTED_VALUE"""),-19524.0)</f>
        <v>-19524</v>
      </c>
      <c r="N300" s="2">
        <f>IFERROR(__xludf.DUMMYFUNCTION("""COMPUTED_VALUE"""),0.0)</f>
        <v>0</v>
      </c>
      <c r="O300" s="2">
        <f>IFERROR(__xludf.DUMMYFUNCTION("""COMPUTED_VALUE"""),-19524.0)</f>
        <v>-19524</v>
      </c>
      <c r="P300" s="2">
        <f>IFERROR(__xludf.DUMMYFUNCTION("""COMPUTED_VALUE"""),-976.0)</f>
        <v>-976</v>
      </c>
      <c r="Q300" s="2" t="str">
        <f>IFERROR(__xludf.DUMMYFUNCTION("""COMPUTED_VALUE"""),"Dine In")</f>
        <v>Dine In</v>
      </c>
      <c r="R300" s="2" t="str">
        <f>IFERROR(__xludf.DUMMYFUNCTION("""COMPUTED_VALUE"""),"Kedai")</f>
        <v>Kedai</v>
      </c>
      <c r="S300" s="2" t="str">
        <f>IFERROR(__xludf.DUMMYFUNCTION("""COMPUTED_VALUE"""),"Temu Roti")</f>
        <v>Temu Roti</v>
      </c>
      <c r="T300" s="2" t="str">
        <f>IFERROR(__xludf.DUMMYFUNCTION("""COMPUTED_VALUE"""),"Owner")</f>
        <v>Owner</v>
      </c>
      <c r="U300" s="2"/>
      <c r="V300" s="2"/>
      <c r="W300" s="2"/>
      <c r="X300" s="2" t="str">
        <f>IFERROR(__xludf.DUMMYFUNCTION("""COMPUTED_VALUE"""),"Closed")</f>
        <v>Closed</v>
      </c>
    </row>
    <row r="301">
      <c r="A301" s="3" t="s">
        <v>322</v>
      </c>
      <c r="B301" s="4">
        <f>IFERROR(__xludf.DUMMYFUNCTION("SPLIT(A301,"","",0,0)"),45559.79861111111)</f>
        <v>45559.79861</v>
      </c>
      <c r="C301" s="5">
        <f>IFERROR(__xludf.DUMMYFUNCTION("""COMPUTED_VALUE"""),2759805.0)</f>
        <v>2759805</v>
      </c>
      <c r="D301" s="2" t="str">
        <f>IFERROR(__xludf.DUMMYFUNCTION("""COMPUTED_VALUE"""),"Sale")</f>
        <v>Sale</v>
      </c>
      <c r="E301" s="2" t="str">
        <f>IFERROR(__xludf.DUMMYFUNCTION("""COMPUTED_VALUE"""),"Minuman")</f>
        <v>Minuman</v>
      </c>
      <c r="F301" s="2">
        <f>IFERROR(__xludf.DUMMYFUNCTION("""COMPUTED_VALUE"""),10026.0)</f>
        <v>10026</v>
      </c>
      <c r="G301" s="2" t="str">
        <f>IFERROR(__xludf.DUMMYFUNCTION("""COMPUTED_VALUE"""),"Es Kopi Lemon")</f>
        <v>Es Kopi Lemon</v>
      </c>
      <c r="H301" s="2"/>
      <c r="I301" s="2"/>
      <c r="J301" s="2">
        <f>IFERROR(__xludf.DUMMYFUNCTION("""COMPUTED_VALUE"""),1.0)</f>
        <v>1</v>
      </c>
      <c r="K301" s="6">
        <f>IFERROR(__xludf.DUMMYFUNCTION("""COMPUTED_VALUE"""),21905.0)</f>
        <v>21905</v>
      </c>
      <c r="L301" s="2">
        <f>IFERROR(__xludf.DUMMYFUNCTION("""COMPUTED_VALUE"""),0.0)</f>
        <v>0</v>
      </c>
      <c r="M301" s="2">
        <f>IFERROR(__xludf.DUMMYFUNCTION("""COMPUTED_VALUE"""),21905.0)</f>
        <v>21905</v>
      </c>
      <c r="N301" s="2">
        <f>IFERROR(__xludf.DUMMYFUNCTION("""COMPUTED_VALUE"""),0.0)</f>
        <v>0</v>
      </c>
      <c r="O301" s="2">
        <f>IFERROR(__xludf.DUMMYFUNCTION("""COMPUTED_VALUE"""),21905.0)</f>
        <v>21905</v>
      </c>
      <c r="P301" s="2">
        <f>IFERROR(__xludf.DUMMYFUNCTION("""COMPUTED_VALUE"""),1095.0)</f>
        <v>1095</v>
      </c>
      <c r="Q301" s="2" t="str">
        <f>IFERROR(__xludf.DUMMYFUNCTION("""COMPUTED_VALUE"""),"Dine In")</f>
        <v>Dine In</v>
      </c>
      <c r="R301" s="2" t="str">
        <f>IFERROR(__xludf.DUMMYFUNCTION("""COMPUTED_VALUE"""),"Kedai")</f>
        <v>Kedai</v>
      </c>
      <c r="S301" s="2" t="str">
        <f>IFERROR(__xludf.DUMMYFUNCTION("""COMPUTED_VALUE"""),"Temu Roti")</f>
        <v>Temu Roti</v>
      </c>
      <c r="T301" s="2" t="str">
        <f>IFERROR(__xludf.DUMMYFUNCTION("""COMPUTED_VALUE"""),"Owner")</f>
        <v>Owner</v>
      </c>
      <c r="U301" s="2"/>
      <c r="V301" s="2"/>
      <c r="W301" s="2"/>
      <c r="X301" s="2" t="str">
        <f>IFERROR(__xludf.DUMMYFUNCTION("""COMPUTED_VALUE"""),"Closed")</f>
        <v>Closed</v>
      </c>
    </row>
    <row r="302">
      <c r="A302" s="3" t="s">
        <v>323</v>
      </c>
      <c r="B302" s="4">
        <f>IFERROR(__xludf.DUMMYFUNCTION("SPLIT(A302,"","",0,0)"),45559.79861111111)</f>
        <v>45559.79861</v>
      </c>
      <c r="C302" s="5">
        <f>IFERROR(__xludf.DUMMYFUNCTION("""COMPUTED_VALUE"""),2759805.0)</f>
        <v>2759805</v>
      </c>
      <c r="D302" s="2" t="str">
        <f>IFERROR(__xludf.DUMMYFUNCTION("""COMPUTED_VALUE"""),"Sale")</f>
        <v>Sale</v>
      </c>
      <c r="E302" s="2" t="str">
        <f>IFERROR(__xludf.DUMMYFUNCTION("""COMPUTED_VALUE"""),"Minuman")</f>
        <v>Minuman</v>
      </c>
      <c r="F302" s="2">
        <f>IFERROR(__xludf.DUMMYFUNCTION("""COMPUTED_VALUE"""),10057.0)</f>
        <v>10057</v>
      </c>
      <c r="G302" s="2" t="str">
        <f>IFERROR(__xludf.DUMMYFUNCTION("""COMPUTED_VALUE"""),"Susu murni strawberry")</f>
        <v>Susu murni strawberry</v>
      </c>
      <c r="H302" s="2"/>
      <c r="I302" s="2"/>
      <c r="J302" s="2">
        <f>IFERROR(__xludf.DUMMYFUNCTION("""COMPUTED_VALUE"""),1.0)</f>
        <v>1</v>
      </c>
      <c r="K302" s="6">
        <f>IFERROR(__xludf.DUMMYFUNCTION("""COMPUTED_VALUE"""),19524.0)</f>
        <v>19524</v>
      </c>
      <c r="L302" s="2">
        <f>IFERROR(__xludf.DUMMYFUNCTION("""COMPUTED_VALUE"""),0.0)</f>
        <v>0</v>
      </c>
      <c r="M302" s="2">
        <f>IFERROR(__xludf.DUMMYFUNCTION("""COMPUTED_VALUE"""),19524.0)</f>
        <v>19524</v>
      </c>
      <c r="N302" s="2">
        <f>IFERROR(__xludf.DUMMYFUNCTION("""COMPUTED_VALUE"""),0.0)</f>
        <v>0</v>
      </c>
      <c r="O302" s="2">
        <f>IFERROR(__xludf.DUMMYFUNCTION("""COMPUTED_VALUE"""),19524.0)</f>
        <v>19524</v>
      </c>
      <c r="P302" s="2">
        <f>IFERROR(__xludf.DUMMYFUNCTION("""COMPUTED_VALUE"""),976.0)</f>
        <v>976</v>
      </c>
      <c r="Q302" s="2" t="str">
        <f>IFERROR(__xludf.DUMMYFUNCTION("""COMPUTED_VALUE"""),"Dine In")</f>
        <v>Dine In</v>
      </c>
      <c r="R302" s="2" t="str">
        <f>IFERROR(__xludf.DUMMYFUNCTION("""COMPUTED_VALUE"""),"Kedai")</f>
        <v>Kedai</v>
      </c>
      <c r="S302" s="2" t="str">
        <f>IFERROR(__xludf.DUMMYFUNCTION("""COMPUTED_VALUE"""),"Temu Roti")</f>
        <v>Temu Roti</v>
      </c>
      <c r="T302" s="2" t="str">
        <f>IFERROR(__xludf.DUMMYFUNCTION("""COMPUTED_VALUE"""),"Owner")</f>
        <v>Owner</v>
      </c>
      <c r="U302" s="2"/>
      <c r="V302" s="2"/>
      <c r="W302" s="2"/>
      <c r="X302" s="2" t="str">
        <f>IFERROR(__xludf.DUMMYFUNCTION("""COMPUTED_VALUE"""),"Closed")</f>
        <v>Closed</v>
      </c>
    </row>
    <row r="303">
      <c r="A303" s="3" t="s">
        <v>324</v>
      </c>
      <c r="B303" s="4">
        <f>IFERROR(__xludf.DUMMYFUNCTION("SPLIT(A303,"","",0,0)"),45559.736805555556)</f>
        <v>45559.73681</v>
      </c>
      <c r="C303" s="5">
        <f>IFERROR(__xludf.DUMMYFUNCTION("""COMPUTED_VALUE"""),2759440.0)</f>
        <v>2759440</v>
      </c>
      <c r="D303" s="2" t="str">
        <f>IFERROR(__xludf.DUMMYFUNCTION("""COMPUTED_VALUE"""),"Sale")</f>
        <v>Sale</v>
      </c>
      <c r="E303" s="2" t="str">
        <f>IFERROR(__xludf.DUMMYFUNCTION("""COMPUTED_VALUE"""),"Roti")</f>
        <v>Roti</v>
      </c>
      <c r="F303" s="2">
        <f>IFERROR(__xludf.DUMMYFUNCTION("""COMPUTED_VALUE"""),10005.0)</f>
        <v>10005</v>
      </c>
      <c r="G303" s="2" t="str">
        <f>IFERROR(__xludf.DUMMYFUNCTION("""COMPUTED_VALUE"""),"Roti Gandum Cokelat")</f>
        <v>Roti Gandum Cokelat</v>
      </c>
      <c r="H303" s="2"/>
      <c r="I303" s="2"/>
      <c r="J303" s="2">
        <f>IFERROR(__xludf.DUMMYFUNCTION("""COMPUTED_VALUE"""),1.0)</f>
        <v>1</v>
      </c>
      <c r="K303" s="6">
        <f>IFERROR(__xludf.DUMMYFUNCTION("""COMPUTED_VALUE"""),19524.0)</f>
        <v>19524</v>
      </c>
      <c r="L303" s="2">
        <f>IFERROR(__xludf.DUMMYFUNCTION("""COMPUTED_VALUE"""),0.0)</f>
        <v>0</v>
      </c>
      <c r="M303" s="2">
        <f>IFERROR(__xludf.DUMMYFUNCTION("""COMPUTED_VALUE"""),19524.0)</f>
        <v>19524</v>
      </c>
      <c r="N303" s="2">
        <f>IFERROR(__xludf.DUMMYFUNCTION("""COMPUTED_VALUE"""),0.0)</f>
        <v>0</v>
      </c>
      <c r="O303" s="2">
        <f>IFERROR(__xludf.DUMMYFUNCTION("""COMPUTED_VALUE"""),19524.0)</f>
        <v>19524</v>
      </c>
      <c r="P303" s="2">
        <f>IFERROR(__xludf.DUMMYFUNCTION("""COMPUTED_VALUE"""),976.0)</f>
        <v>976</v>
      </c>
      <c r="Q303" s="2" t="str">
        <f>IFERROR(__xludf.DUMMYFUNCTION("""COMPUTED_VALUE"""),"Dine In")</f>
        <v>Dine In</v>
      </c>
      <c r="R303" s="2" t="str">
        <f>IFERROR(__xludf.DUMMYFUNCTION("""COMPUTED_VALUE"""),"Kedai")</f>
        <v>Kedai</v>
      </c>
      <c r="S303" s="2" t="str">
        <f>IFERROR(__xludf.DUMMYFUNCTION("""COMPUTED_VALUE"""),"Temu Roti")</f>
        <v>Temu Roti</v>
      </c>
      <c r="T303" s="2" t="str">
        <f>IFERROR(__xludf.DUMMYFUNCTION("""COMPUTED_VALUE"""),"Owner")</f>
        <v>Owner</v>
      </c>
      <c r="U303" s="2"/>
      <c r="V303" s="2"/>
      <c r="W303" s="2"/>
      <c r="X303" s="2" t="str">
        <f>IFERROR(__xludf.DUMMYFUNCTION("""COMPUTED_VALUE"""),"Closed")</f>
        <v>Closed</v>
      </c>
    </row>
    <row r="304">
      <c r="A304" s="3" t="s">
        <v>325</v>
      </c>
      <c r="B304" s="4">
        <f>IFERROR(__xludf.DUMMYFUNCTION("SPLIT(A304,"","",0,0)"),45559.736805555556)</f>
        <v>45559.73681</v>
      </c>
      <c r="C304" s="5">
        <f>IFERROR(__xludf.DUMMYFUNCTION("""COMPUTED_VALUE"""),2759440.0)</f>
        <v>2759440</v>
      </c>
      <c r="D304" s="2" t="str">
        <f>IFERROR(__xludf.DUMMYFUNCTION("""COMPUTED_VALUE"""),"Sale")</f>
        <v>Sale</v>
      </c>
      <c r="E304" s="2" t="str">
        <f>IFERROR(__xludf.DUMMYFUNCTION("""COMPUTED_VALUE"""),"Kudapan")</f>
        <v>Kudapan</v>
      </c>
      <c r="F304" s="2">
        <f>IFERROR(__xludf.DUMMYFUNCTION("""COMPUTED_VALUE"""),10004.0)</f>
        <v>10004</v>
      </c>
      <c r="G304" s="2" t="str">
        <f>IFERROR(__xludf.DUMMYFUNCTION("""COMPUTED_VALUE"""),"Tahu walik")</f>
        <v>Tahu walik</v>
      </c>
      <c r="H304" s="2"/>
      <c r="I304" s="2"/>
      <c r="J304" s="2">
        <f>IFERROR(__xludf.DUMMYFUNCTION("""COMPUTED_VALUE"""),1.0)</f>
        <v>1</v>
      </c>
      <c r="K304" s="6">
        <f>IFERROR(__xludf.DUMMYFUNCTION("""COMPUTED_VALUE"""),25238.0)</f>
        <v>25238</v>
      </c>
      <c r="L304" s="2">
        <f>IFERROR(__xludf.DUMMYFUNCTION("""COMPUTED_VALUE"""),0.0)</f>
        <v>0</v>
      </c>
      <c r="M304" s="2">
        <f>IFERROR(__xludf.DUMMYFUNCTION("""COMPUTED_VALUE"""),25238.0)</f>
        <v>25238</v>
      </c>
      <c r="N304" s="2">
        <f>IFERROR(__xludf.DUMMYFUNCTION("""COMPUTED_VALUE"""),0.0)</f>
        <v>0</v>
      </c>
      <c r="O304" s="2">
        <f>IFERROR(__xludf.DUMMYFUNCTION("""COMPUTED_VALUE"""),25238.0)</f>
        <v>25238</v>
      </c>
      <c r="P304" s="2">
        <f>IFERROR(__xludf.DUMMYFUNCTION("""COMPUTED_VALUE"""),1262.0)</f>
        <v>1262</v>
      </c>
      <c r="Q304" s="2" t="str">
        <f>IFERROR(__xludf.DUMMYFUNCTION("""COMPUTED_VALUE"""),"Dine In")</f>
        <v>Dine In</v>
      </c>
      <c r="R304" s="2" t="str">
        <f>IFERROR(__xludf.DUMMYFUNCTION("""COMPUTED_VALUE"""),"Kedai")</f>
        <v>Kedai</v>
      </c>
      <c r="S304" s="2" t="str">
        <f>IFERROR(__xludf.DUMMYFUNCTION("""COMPUTED_VALUE"""),"Temu Roti")</f>
        <v>Temu Roti</v>
      </c>
      <c r="T304" s="2" t="str">
        <f>IFERROR(__xludf.DUMMYFUNCTION("""COMPUTED_VALUE"""),"Owner")</f>
        <v>Owner</v>
      </c>
      <c r="U304" s="2"/>
      <c r="V304" s="2"/>
      <c r="W304" s="2"/>
      <c r="X304" s="2" t="str">
        <f>IFERROR(__xludf.DUMMYFUNCTION("""COMPUTED_VALUE"""),"Closed")</f>
        <v>Closed</v>
      </c>
    </row>
    <row r="305">
      <c r="A305" s="3" t="s">
        <v>326</v>
      </c>
      <c r="B305" s="4">
        <f>IFERROR(__xludf.DUMMYFUNCTION("SPLIT(A305,"","",0,0)"),45559.71875)</f>
        <v>45559.71875</v>
      </c>
      <c r="C305" s="5">
        <f>IFERROR(__xludf.DUMMYFUNCTION("""COMPUTED_VALUE"""),2759075.0)</f>
        <v>2759075</v>
      </c>
      <c r="D305" s="2" t="str">
        <f>IFERROR(__xludf.DUMMYFUNCTION("""COMPUTED_VALUE"""),"Sale")</f>
        <v>Sale</v>
      </c>
      <c r="E305" s="2" t="str">
        <f>IFERROR(__xludf.DUMMYFUNCTION("""COMPUTED_VALUE"""),"Roti")</f>
        <v>Roti</v>
      </c>
      <c r="F305" s="2">
        <f>IFERROR(__xludf.DUMMYFUNCTION("""COMPUTED_VALUE"""),10002.0)</f>
        <v>10002</v>
      </c>
      <c r="G305" s="2" t="str">
        <f>IFERROR(__xludf.DUMMYFUNCTION("""COMPUTED_VALUE"""),"Roti Cranberry")</f>
        <v>Roti Cranberry</v>
      </c>
      <c r="H305" s="2"/>
      <c r="I305" s="2"/>
      <c r="J305" s="2">
        <f>IFERROR(__xludf.DUMMYFUNCTION("""COMPUTED_VALUE"""),1.0)</f>
        <v>1</v>
      </c>
      <c r="K305" s="6">
        <f>IFERROR(__xludf.DUMMYFUNCTION("""COMPUTED_VALUE"""),18571.0)</f>
        <v>18571</v>
      </c>
      <c r="L305" s="2">
        <f>IFERROR(__xludf.DUMMYFUNCTION("""COMPUTED_VALUE"""),0.0)</f>
        <v>0</v>
      </c>
      <c r="M305" s="2">
        <f>IFERROR(__xludf.DUMMYFUNCTION("""COMPUTED_VALUE"""),18571.0)</f>
        <v>18571</v>
      </c>
      <c r="N305" s="2">
        <f>IFERROR(__xludf.DUMMYFUNCTION("""COMPUTED_VALUE"""),0.0)</f>
        <v>0</v>
      </c>
      <c r="O305" s="2">
        <f>IFERROR(__xludf.DUMMYFUNCTION("""COMPUTED_VALUE"""),18571.0)</f>
        <v>18571</v>
      </c>
      <c r="P305" s="2">
        <f>IFERROR(__xludf.DUMMYFUNCTION("""COMPUTED_VALUE"""),929.0)</f>
        <v>929</v>
      </c>
      <c r="Q305" s="2" t="str">
        <f>IFERROR(__xludf.DUMMYFUNCTION("""COMPUTED_VALUE"""),"Dine In")</f>
        <v>Dine In</v>
      </c>
      <c r="R305" s="2" t="str">
        <f>IFERROR(__xludf.DUMMYFUNCTION("""COMPUTED_VALUE"""),"Kedai")</f>
        <v>Kedai</v>
      </c>
      <c r="S305" s="2" t="str">
        <f>IFERROR(__xludf.DUMMYFUNCTION("""COMPUTED_VALUE"""),"Temu Roti")</f>
        <v>Temu Roti</v>
      </c>
      <c r="T305" s="2" t="str">
        <f>IFERROR(__xludf.DUMMYFUNCTION("""COMPUTED_VALUE"""),"Owner")</f>
        <v>Owner</v>
      </c>
      <c r="U305" s="2"/>
      <c r="V305" s="2"/>
      <c r="W305" s="2"/>
      <c r="X305" s="2" t="str">
        <f>IFERROR(__xludf.DUMMYFUNCTION("""COMPUTED_VALUE"""),"Closed")</f>
        <v>Closed</v>
      </c>
    </row>
    <row r="306">
      <c r="A306" s="3" t="s">
        <v>327</v>
      </c>
      <c r="B306" s="4">
        <f>IFERROR(__xludf.DUMMYFUNCTION("SPLIT(A306,"","",0,0)"),45559.71875)</f>
        <v>45559.71875</v>
      </c>
      <c r="C306" s="5">
        <f>IFERROR(__xludf.DUMMYFUNCTION("""COMPUTED_VALUE"""),2759075.0)</f>
        <v>2759075</v>
      </c>
      <c r="D306" s="2" t="str">
        <f>IFERROR(__xludf.DUMMYFUNCTION("""COMPUTED_VALUE"""),"Sale")</f>
        <v>Sale</v>
      </c>
      <c r="E306" s="2" t="str">
        <f>IFERROR(__xludf.DUMMYFUNCTION("""COMPUTED_VALUE"""),"Roti")</f>
        <v>Roti</v>
      </c>
      <c r="F306" s="2">
        <f>IFERROR(__xludf.DUMMYFUNCTION("""COMPUTED_VALUE"""),10005.0)</f>
        <v>10005</v>
      </c>
      <c r="G306" s="2" t="str">
        <f>IFERROR(__xludf.DUMMYFUNCTION("""COMPUTED_VALUE"""),"Roti Gandum Cokelat")</f>
        <v>Roti Gandum Cokelat</v>
      </c>
      <c r="H306" s="2"/>
      <c r="I306" s="2"/>
      <c r="J306" s="2">
        <f>IFERROR(__xludf.DUMMYFUNCTION("""COMPUTED_VALUE"""),1.0)</f>
        <v>1</v>
      </c>
      <c r="K306" s="6">
        <f>IFERROR(__xludf.DUMMYFUNCTION("""COMPUTED_VALUE"""),19524.0)</f>
        <v>19524</v>
      </c>
      <c r="L306" s="2">
        <f>IFERROR(__xludf.DUMMYFUNCTION("""COMPUTED_VALUE"""),0.0)</f>
        <v>0</v>
      </c>
      <c r="M306" s="2">
        <f>IFERROR(__xludf.DUMMYFUNCTION("""COMPUTED_VALUE"""),19524.0)</f>
        <v>19524</v>
      </c>
      <c r="N306" s="2">
        <f>IFERROR(__xludf.DUMMYFUNCTION("""COMPUTED_VALUE"""),0.0)</f>
        <v>0</v>
      </c>
      <c r="O306" s="2">
        <f>IFERROR(__xludf.DUMMYFUNCTION("""COMPUTED_VALUE"""),19524.0)</f>
        <v>19524</v>
      </c>
      <c r="P306" s="2">
        <f>IFERROR(__xludf.DUMMYFUNCTION("""COMPUTED_VALUE"""),976.0)</f>
        <v>976</v>
      </c>
      <c r="Q306" s="2" t="str">
        <f>IFERROR(__xludf.DUMMYFUNCTION("""COMPUTED_VALUE"""),"Dine In")</f>
        <v>Dine In</v>
      </c>
      <c r="R306" s="2" t="str">
        <f>IFERROR(__xludf.DUMMYFUNCTION("""COMPUTED_VALUE"""),"Kedai")</f>
        <v>Kedai</v>
      </c>
      <c r="S306" s="2" t="str">
        <f>IFERROR(__xludf.DUMMYFUNCTION("""COMPUTED_VALUE"""),"Temu Roti")</f>
        <v>Temu Roti</v>
      </c>
      <c r="T306" s="2" t="str">
        <f>IFERROR(__xludf.DUMMYFUNCTION("""COMPUTED_VALUE"""),"Owner")</f>
        <v>Owner</v>
      </c>
      <c r="U306" s="2"/>
      <c r="V306" s="2"/>
      <c r="W306" s="2"/>
      <c r="X306" s="2" t="str">
        <f>IFERROR(__xludf.DUMMYFUNCTION("""COMPUTED_VALUE"""),"Closed")</f>
        <v>Closed</v>
      </c>
    </row>
    <row r="307">
      <c r="A307" s="3" t="s">
        <v>328</v>
      </c>
      <c r="B307" s="4">
        <f>IFERROR(__xludf.DUMMYFUNCTION("SPLIT(A307,"","",0,0)"),45559.70625)</f>
        <v>45559.70625</v>
      </c>
      <c r="C307" s="5">
        <f>IFERROR(__xludf.DUMMYFUNCTION("""COMPUTED_VALUE"""),2758710.0)</f>
        <v>2758710</v>
      </c>
      <c r="D307" s="2" t="str">
        <f>IFERROR(__xludf.DUMMYFUNCTION("""COMPUTED_VALUE"""),"Sale")</f>
        <v>Sale</v>
      </c>
      <c r="E307" s="2" t="str">
        <f>IFERROR(__xludf.DUMMYFUNCTION("""COMPUTED_VALUE"""),"Hidangan Utama")</f>
        <v>Hidangan Utama</v>
      </c>
      <c r="F307" s="2">
        <f>IFERROR(__xludf.DUMMYFUNCTION("""COMPUTED_VALUE"""),10104.0)</f>
        <v>10104</v>
      </c>
      <c r="G307" s="2" t="str">
        <f>IFERROR(__xludf.DUMMYFUNCTION("""COMPUTED_VALUE"""),"Chicken Claypot Rice")</f>
        <v>Chicken Claypot Rice</v>
      </c>
      <c r="H307" s="2"/>
      <c r="I307" s="2"/>
      <c r="J307" s="2">
        <f>IFERROR(__xludf.DUMMYFUNCTION("""COMPUTED_VALUE"""),1.0)</f>
        <v>1</v>
      </c>
      <c r="K307" s="6">
        <f>IFERROR(__xludf.DUMMYFUNCTION("""COMPUTED_VALUE"""),34762.0)</f>
        <v>34762</v>
      </c>
      <c r="L307" s="2">
        <f>IFERROR(__xludf.DUMMYFUNCTION("""COMPUTED_VALUE"""),0.0)</f>
        <v>0</v>
      </c>
      <c r="M307" s="2">
        <f>IFERROR(__xludf.DUMMYFUNCTION("""COMPUTED_VALUE"""),34762.0)</f>
        <v>34762</v>
      </c>
      <c r="N307" s="2">
        <f>IFERROR(__xludf.DUMMYFUNCTION("""COMPUTED_VALUE"""),0.0)</f>
        <v>0</v>
      </c>
      <c r="O307" s="2">
        <f>IFERROR(__xludf.DUMMYFUNCTION("""COMPUTED_VALUE"""),34762.0)</f>
        <v>34762</v>
      </c>
      <c r="P307" s="2">
        <f>IFERROR(__xludf.DUMMYFUNCTION("""COMPUTED_VALUE"""),1738.0)</f>
        <v>1738</v>
      </c>
      <c r="Q307" s="2" t="str">
        <f>IFERROR(__xludf.DUMMYFUNCTION("""COMPUTED_VALUE"""),"Dine In")</f>
        <v>Dine In</v>
      </c>
      <c r="R307" s="2" t="str">
        <f>IFERROR(__xludf.DUMMYFUNCTION("""COMPUTED_VALUE"""),"Kedai")</f>
        <v>Kedai</v>
      </c>
      <c r="S307" s="2" t="str">
        <f>IFERROR(__xludf.DUMMYFUNCTION("""COMPUTED_VALUE"""),"Temu Roti")</f>
        <v>Temu Roti</v>
      </c>
      <c r="T307" s="2" t="str">
        <f>IFERROR(__xludf.DUMMYFUNCTION("""COMPUTED_VALUE"""),"Owner")</f>
        <v>Owner</v>
      </c>
      <c r="U307" s="2"/>
      <c r="V307" s="2"/>
      <c r="W307" s="2"/>
      <c r="X307" s="2" t="str">
        <f>IFERROR(__xludf.DUMMYFUNCTION("""COMPUTED_VALUE"""),"Closed")</f>
        <v>Closed</v>
      </c>
    </row>
    <row r="308">
      <c r="A308" s="3" t="s">
        <v>329</v>
      </c>
      <c r="B308" s="4">
        <f>IFERROR(__xludf.DUMMYFUNCTION("SPLIT(A308,"","",0,0)"),45559.70625)</f>
        <v>45559.70625</v>
      </c>
      <c r="C308" s="5">
        <f>IFERROR(__xludf.DUMMYFUNCTION("""COMPUTED_VALUE"""),2758710.0)</f>
        <v>2758710</v>
      </c>
      <c r="D308" s="2" t="str">
        <f>IFERROR(__xludf.DUMMYFUNCTION("""COMPUTED_VALUE"""),"Sale")</f>
        <v>Sale</v>
      </c>
      <c r="E308" s="2" t="str">
        <f>IFERROR(__xludf.DUMMYFUNCTION("""COMPUTED_VALUE"""),"Roti")</f>
        <v>Roti</v>
      </c>
      <c r="F308" s="2">
        <f>IFERROR(__xludf.DUMMYFUNCTION("""COMPUTED_VALUE"""),10002.0)</f>
        <v>10002</v>
      </c>
      <c r="G308" s="2" t="str">
        <f>IFERROR(__xludf.DUMMYFUNCTION("""COMPUTED_VALUE"""),"Roti Cranberry")</f>
        <v>Roti Cranberry</v>
      </c>
      <c r="H308" s="2"/>
      <c r="I308" s="2"/>
      <c r="J308" s="2">
        <f>IFERROR(__xludf.DUMMYFUNCTION("""COMPUTED_VALUE"""),1.0)</f>
        <v>1</v>
      </c>
      <c r="K308" s="6">
        <f>IFERROR(__xludf.DUMMYFUNCTION("""COMPUTED_VALUE"""),18571.0)</f>
        <v>18571</v>
      </c>
      <c r="L308" s="2">
        <f>IFERROR(__xludf.DUMMYFUNCTION("""COMPUTED_VALUE"""),0.0)</f>
        <v>0</v>
      </c>
      <c r="M308" s="2">
        <f>IFERROR(__xludf.DUMMYFUNCTION("""COMPUTED_VALUE"""),18571.0)</f>
        <v>18571</v>
      </c>
      <c r="N308" s="2">
        <f>IFERROR(__xludf.DUMMYFUNCTION("""COMPUTED_VALUE"""),0.0)</f>
        <v>0</v>
      </c>
      <c r="O308" s="2">
        <f>IFERROR(__xludf.DUMMYFUNCTION("""COMPUTED_VALUE"""),18571.0)</f>
        <v>18571</v>
      </c>
      <c r="P308" s="2">
        <f>IFERROR(__xludf.DUMMYFUNCTION("""COMPUTED_VALUE"""),929.0)</f>
        <v>929</v>
      </c>
      <c r="Q308" s="2" t="str">
        <f>IFERROR(__xludf.DUMMYFUNCTION("""COMPUTED_VALUE"""),"Dine In")</f>
        <v>Dine In</v>
      </c>
      <c r="R308" s="2" t="str">
        <f>IFERROR(__xludf.DUMMYFUNCTION("""COMPUTED_VALUE"""),"Kedai")</f>
        <v>Kedai</v>
      </c>
      <c r="S308" s="2" t="str">
        <f>IFERROR(__xludf.DUMMYFUNCTION("""COMPUTED_VALUE"""),"Temu Roti")</f>
        <v>Temu Roti</v>
      </c>
      <c r="T308" s="2" t="str">
        <f>IFERROR(__xludf.DUMMYFUNCTION("""COMPUTED_VALUE"""),"Owner")</f>
        <v>Owner</v>
      </c>
      <c r="U308" s="2"/>
      <c r="V308" s="2"/>
      <c r="W308" s="2"/>
      <c r="X308" s="2" t="str">
        <f>IFERROR(__xludf.DUMMYFUNCTION("""COMPUTED_VALUE"""),"Closed")</f>
        <v>Closed</v>
      </c>
    </row>
    <row r="309">
      <c r="A309" s="3" t="s">
        <v>330</v>
      </c>
      <c r="B309" s="4">
        <f>IFERROR(__xludf.DUMMYFUNCTION("SPLIT(A309,"","",0,0)"),45559.70625)</f>
        <v>45559.70625</v>
      </c>
      <c r="C309" s="5">
        <f>IFERROR(__xludf.DUMMYFUNCTION("""COMPUTED_VALUE"""),2758710.0)</f>
        <v>2758710</v>
      </c>
      <c r="D309" s="2" t="str">
        <f>IFERROR(__xludf.DUMMYFUNCTION("""COMPUTED_VALUE"""),"Sale")</f>
        <v>Sale</v>
      </c>
      <c r="E309" s="2" t="str">
        <f>IFERROR(__xludf.DUMMYFUNCTION("""COMPUTED_VALUE"""),"Minuman")</f>
        <v>Minuman</v>
      </c>
      <c r="F309" s="2">
        <f>IFERROR(__xludf.DUMMYFUNCTION("""COMPUTED_VALUE"""),10057.0)</f>
        <v>10057</v>
      </c>
      <c r="G309" s="2" t="str">
        <f>IFERROR(__xludf.DUMMYFUNCTION("""COMPUTED_VALUE"""),"Susu murni strawberry")</f>
        <v>Susu murni strawberry</v>
      </c>
      <c r="H309" s="2"/>
      <c r="I309" s="2"/>
      <c r="J309" s="2">
        <f>IFERROR(__xludf.DUMMYFUNCTION("""COMPUTED_VALUE"""),1.0)</f>
        <v>1</v>
      </c>
      <c r="K309" s="6">
        <f>IFERROR(__xludf.DUMMYFUNCTION("""COMPUTED_VALUE"""),19524.0)</f>
        <v>19524</v>
      </c>
      <c r="L309" s="2">
        <f>IFERROR(__xludf.DUMMYFUNCTION("""COMPUTED_VALUE"""),0.0)</f>
        <v>0</v>
      </c>
      <c r="M309" s="2">
        <f>IFERROR(__xludf.DUMMYFUNCTION("""COMPUTED_VALUE"""),19524.0)</f>
        <v>19524</v>
      </c>
      <c r="N309" s="2">
        <f>IFERROR(__xludf.DUMMYFUNCTION("""COMPUTED_VALUE"""),0.0)</f>
        <v>0</v>
      </c>
      <c r="O309" s="2">
        <f>IFERROR(__xludf.DUMMYFUNCTION("""COMPUTED_VALUE"""),19524.0)</f>
        <v>19524</v>
      </c>
      <c r="P309" s="2">
        <f>IFERROR(__xludf.DUMMYFUNCTION("""COMPUTED_VALUE"""),976.0)</f>
        <v>976</v>
      </c>
      <c r="Q309" s="2" t="str">
        <f>IFERROR(__xludf.DUMMYFUNCTION("""COMPUTED_VALUE"""),"Dine In")</f>
        <v>Dine In</v>
      </c>
      <c r="R309" s="2" t="str">
        <f>IFERROR(__xludf.DUMMYFUNCTION("""COMPUTED_VALUE"""),"Kedai")</f>
        <v>Kedai</v>
      </c>
      <c r="S309" s="2" t="str">
        <f>IFERROR(__xludf.DUMMYFUNCTION("""COMPUTED_VALUE"""),"Temu Roti")</f>
        <v>Temu Roti</v>
      </c>
      <c r="T309" s="2" t="str">
        <f>IFERROR(__xludf.DUMMYFUNCTION("""COMPUTED_VALUE"""),"Owner")</f>
        <v>Owner</v>
      </c>
      <c r="U309" s="2"/>
      <c r="V309" s="2"/>
      <c r="W309" s="2"/>
      <c r="X309" s="2" t="str">
        <f>IFERROR(__xludf.DUMMYFUNCTION("""COMPUTED_VALUE"""),"Closed")</f>
        <v>Closed</v>
      </c>
    </row>
    <row r="310">
      <c r="A310" s="3" t="s">
        <v>331</v>
      </c>
      <c r="B310" s="4">
        <f>IFERROR(__xludf.DUMMYFUNCTION("SPLIT(A310,"","",0,0)"),45559.70625)</f>
        <v>45559.70625</v>
      </c>
      <c r="C310" s="5">
        <f>IFERROR(__xludf.DUMMYFUNCTION("""COMPUTED_VALUE"""),2758710.0)</f>
        <v>2758710</v>
      </c>
      <c r="D310" s="2" t="str">
        <f>IFERROR(__xludf.DUMMYFUNCTION("""COMPUTED_VALUE"""),"Sale")</f>
        <v>Sale</v>
      </c>
      <c r="E310" s="2" t="str">
        <f>IFERROR(__xludf.DUMMYFUNCTION("""COMPUTED_VALUE"""),"Minuman")</f>
        <v>Minuman</v>
      </c>
      <c r="F310" s="2">
        <f>IFERROR(__xludf.DUMMYFUNCTION("""COMPUTED_VALUE"""),10116.0)</f>
        <v>10116</v>
      </c>
      <c r="G310" s="2" t="str">
        <f>IFERROR(__xludf.DUMMYFUNCTION("""COMPUTED_VALUE"""),"Teh Manis Panas")</f>
        <v>Teh Manis Panas</v>
      </c>
      <c r="H310" s="2"/>
      <c r="I310" s="2"/>
      <c r="J310" s="2">
        <f>IFERROR(__xludf.DUMMYFUNCTION("""COMPUTED_VALUE"""),1.0)</f>
        <v>1</v>
      </c>
      <c r="K310" s="6">
        <f>IFERROR(__xludf.DUMMYFUNCTION("""COMPUTED_VALUE"""),14286.0)</f>
        <v>14286</v>
      </c>
      <c r="L310" s="2">
        <f>IFERROR(__xludf.DUMMYFUNCTION("""COMPUTED_VALUE"""),0.0)</f>
        <v>0</v>
      </c>
      <c r="M310" s="2">
        <f>IFERROR(__xludf.DUMMYFUNCTION("""COMPUTED_VALUE"""),14286.0)</f>
        <v>14286</v>
      </c>
      <c r="N310" s="2">
        <f>IFERROR(__xludf.DUMMYFUNCTION("""COMPUTED_VALUE"""),0.0)</f>
        <v>0</v>
      </c>
      <c r="O310" s="2">
        <f>IFERROR(__xludf.DUMMYFUNCTION("""COMPUTED_VALUE"""),14286.0)</f>
        <v>14286</v>
      </c>
      <c r="P310" s="2">
        <f>IFERROR(__xludf.DUMMYFUNCTION("""COMPUTED_VALUE"""),714.0)</f>
        <v>714</v>
      </c>
      <c r="Q310" s="2" t="str">
        <f>IFERROR(__xludf.DUMMYFUNCTION("""COMPUTED_VALUE"""),"Dine In")</f>
        <v>Dine In</v>
      </c>
      <c r="R310" s="2" t="str">
        <f>IFERROR(__xludf.DUMMYFUNCTION("""COMPUTED_VALUE"""),"Kedai")</f>
        <v>Kedai</v>
      </c>
      <c r="S310" s="2" t="str">
        <f>IFERROR(__xludf.DUMMYFUNCTION("""COMPUTED_VALUE"""),"Temu Roti")</f>
        <v>Temu Roti</v>
      </c>
      <c r="T310" s="2" t="str">
        <f>IFERROR(__xludf.DUMMYFUNCTION("""COMPUTED_VALUE"""),"Owner")</f>
        <v>Owner</v>
      </c>
      <c r="U310" s="2"/>
      <c r="V310" s="2"/>
      <c r="W310" s="2"/>
      <c r="X310" s="2" t="str">
        <f>IFERROR(__xludf.DUMMYFUNCTION("""COMPUTED_VALUE"""),"Closed")</f>
        <v>Closed</v>
      </c>
    </row>
    <row r="311">
      <c r="A311" s="3" t="s">
        <v>332</v>
      </c>
      <c r="B311" s="4">
        <f>IFERROR(__xludf.DUMMYFUNCTION("SPLIT(A311,"","",0,0)"),45559.70347222222)</f>
        <v>45559.70347</v>
      </c>
      <c r="C311" s="5">
        <f>IFERROR(__xludf.DUMMYFUNCTION("""COMPUTED_VALUE"""),2758344.0)</f>
        <v>2758344</v>
      </c>
      <c r="D311" s="2" t="str">
        <f>IFERROR(__xludf.DUMMYFUNCTION("""COMPUTED_VALUE"""),"Sale")</f>
        <v>Sale</v>
      </c>
      <c r="E311" s="2" t="str">
        <f>IFERROR(__xludf.DUMMYFUNCTION("""COMPUTED_VALUE"""),"Roti")</f>
        <v>Roti</v>
      </c>
      <c r="F311" s="2">
        <f>IFERROR(__xludf.DUMMYFUNCTION("""COMPUTED_VALUE"""),10007.0)</f>
        <v>10007</v>
      </c>
      <c r="G311" s="2" t="str">
        <f>IFERROR(__xludf.DUMMYFUNCTION("""COMPUTED_VALUE"""),"Roti cranberry 2 pcs")</f>
        <v>Roti cranberry 2 pcs</v>
      </c>
      <c r="H311" s="2"/>
      <c r="I311" s="2"/>
      <c r="J311" s="2">
        <f>IFERROR(__xludf.DUMMYFUNCTION("""COMPUTED_VALUE"""),1.0)</f>
        <v>1</v>
      </c>
      <c r="K311" s="6">
        <f>IFERROR(__xludf.DUMMYFUNCTION("""COMPUTED_VALUE"""),33810.0)</f>
        <v>33810</v>
      </c>
      <c r="L311" s="2">
        <f>IFERROR(__xludf.DUMMYFUNCTION("""COMPUTED_VALUE"""),0.0)</f>
        <v>0</v>
      </c>
      <c r="M311" s="2">
        <f>IFERROR(__xludf.DUMMYFUNCTION("""COMPUTED_VALUE"""),33810.0)</f>
        <v>33810</v>
      </c>
      <c r="N311" s="2">
        <f>IFERROR(__xludf.DUMMYFUNCTION("""COMPUTED_VALUE"""),0.0)</f>
        <v>0</v>
      </c>
      <c r="O311" s="2">
        <f>IFERROR(__xludf.DUMMYFUNCTION("""COMPUTED_VALUE"""),33810.0)</f>
        <v>33810</v>
      </c>
      <c r="P311" s="2">
        <f>IFERROR(__xludf.DUMMYFUNCTION("""COMPUTED_VALUE"""),1691.0)</f>
        <v>1691</v>
      </c>
      <c r="Q311" s="2" t="str">
        <f>IFERROR(__xludf.DUMMYFUNCTION("""COMPUTED_VALUE"""),"Take Away")</f>
        <v>Take Away</v>
      </c>
      <c r="R311" s="2" t="str">
        <f>IFERROR(__xludf.DUMMYFUNCTION("""COMPUTED_VALUE"""),"Kedai")</f>
        <v>Kedai</v>
      </c>
      <c r="S311" s="2" t="str">
        <f>IFERROR(__xludf.DUMMYFUNCTION("""COMPUTED_VALUE"""),"Temu Roti")</f>
        <v>Temu Roti</v>
      </c>
      <c r="T311" s="2" t="str">
        <f>IFERROR(__xludf.DUMMYFUNCTION("""COMPUTED_VALUE"""),"Owner")</f>
        <v>Owner</v>
      </c>
      <c r="U311" s="2"/>
      <c r="V311" s="2"/>
      <c r="W311" s="2"/>
      <c r="X311" s="2" t="str">
        <f>IFERROR(__xludf.DUMMYFUNCTION("""COMPUTED_VALUE"""),"Closed")</f>
        <v>Closed</v>
      </c>
    </row>
    <row r="312">
      <c r="A312" s="3" t="s">
        <v>333</v>
      </c>
      <c r="B312" s="4">
        <f>IFERROR(__xludf.DUMMYFUNCTION("SPLIT(A312,"","",0,0)"),45559.70347222222)</f>
        <v>45559.70347</v>
      </c>
      <c r="C312" s="5">
        <f>IFERROR(__xludf.DUMMYFUNCTION("""COMPUTED_VALUE"""),2758344.0)</f>
        <v>2758344</v>
      </c>
      <c r="D312" s="2" t="str">
        <f>IFERROR(__xludf.DUMMYFUNCTION("""COMPUTED_VALUE"""),"Sale")</f>
        <v>Sale</v>
      </c>
      <c r="E312" s="2" t="str">
        <f>IFERROR(__xludf.DUMMYFUNCTION("""COMPUTED_VALUE"""),"Roti")</f>
        <v>Roti</v>
      </c>
      <c r="F312" s="2">
        <f>IFERROR(__xludf.DUMMYFUNCTION("""COMPUTED_VALUE"""),10002.0)</f>
        <v>10002</v>
      </c>
      <c r="G312" s="2" t="str">
        <f>IFERROR(__xludf.DUMMYFUNCTION("""COMPUTED_VALUE"""),"Roti Cranberry")</f>
        <v>Roti Cranberry</v>
      </c>
      <c r="H312" s="2"/>
      <c r="I312" s="2"/>
      <c r="J312" s="2">
        <f>IFERROR(__xludf.DUMMYFUNCTION("""COMPUTED_VALUE"""),1.0)</f>
        <v>1</v>
      </c>
      <c r="K312" s="6">
        <f>IFERROR(__xludf.DUMMYFUNCTION("""COMPUTED_VALUE"""),18571.0)</f>
        <v>18571</v>
      </c>
      <c r="L312" s="2">
        <f>IFERROR(__xludf.DUMMYFUNCTION("""COMPUTED_VALUE"""),0.0)</f>
        <v>0</v>
      </c>
      <c r="M312" s="2">
        <f>IFERROR(__xludf.DUMMYFUNCTION("""COMPUTED_VALUE"""),18571.0)</f>
        <v>18571</v>
      </c>
      <c r="N312" s="2">
        <f>IFERROR(__xludf.DUMMYFUNCTION("""COMPUTED_VALUE"""),0.0)</f>
        <v>0</v>
      </c>
      <c r="O312" s="2">
        <f>IFERROR(__xludf.DUMMYFUNCTION("""COMPUTED_VALUE"""),18571.0)</f>
        <v>18571</v>
      </c>
      <c r="P312" s="2">
        <f>IFERROR(__xludf.DUMMYFUNCTION("""COMPUTED_VALUE"""),928.0)</f>
        <v>928</v>
      </c>
      <c r="Q312" s="2" t="str">
        <f>IFERROR(__xludf.DUMMYFUNCTION("""COMPUTED_VALUE"""),"Take Away")</f>
        <v>Take Away</v>
      </c>
      <c r="R312" s="2" t="str">
        <f>IFERROR(__xludf.DUMMYFUNCTION("""COMPUTED_VALUE"""),"Kedai")</f>
        <v>Kedai</v>
      </c>
      <c r="S312" s="2" t="str">
        <f>IFERROR(__xludf.DUMMYFUNCTION("""COMPUTED_VALUE"""),"Temu Roti")</f>
        <v>Temu Roti</v>
      </c>
      <c r="T312" s="2" t="str">
        <f>IFERROR(__xludf.DUMMYFUNCTION("""COMPUTED_VALUE"""),"Owner")</f>
        <v>Owner</v>
      </c>
      <c r="U312" s="2"/>
      <c r="V312" s="2"/>
      <c r="W312" s="2"/>
      <c r="X312" s="2" t="str">
        <f>IFERROR(__xludf.DUMMYFUNCTION("""COMPUTED_VALUE"""),"Closed")</f>
        <v>Closed</v>
      </c>
    </row>
    <row r="313">
      <c r="A313" s="3" t="s">
        <v>334</v>
      </c>
      <c r="B313" s="4">
        <f>IFERROR(__xludf.DUMMYFUNCTION("SPLIT(A313,"","",0,0)"),45559.70347222222)</f>
        <v>45559.70347</v>
      </c>
      <c r="C313" s="5">
        <f>IFERROR(__xludf.DUMMYFUNCTION("""COMPUTED_VALUE"""),2758344.0)</f>
        <v>2758344</v>
      </c>
      <c r="D313" s="2" t="str">
        <f>IFERROR(__xludf.DUMMYFUNCTION("""COMPUTED_VALUE"""),"Sale")</f>
        <v>Sale</v>
      </c>
      <c r="E313" s="2" t="str">
        <f>IFERROR(__xludf.DUMMYFUNCTION("""COMPUTED_VALUE"""),"Roti")</f>
        <v>Roti</v>
      </c>
      <c r="F313" s="2">
        <f>IFERROR(__xludf.DUMMYFUNCTION("""COMPUTED_VALUE"""),10055.0)</f>
        <v>10055</v>
      </c>
      <c r="G313" s="2" t="str">
        <f>IFERROR(__xludf.DUMMYFUNCTION("""COMPUTED_VALUE"""),"Roti Gandum Cokelat 2 pcs")</f>
        <v>Roti Gandum Cokelat 2 pcs</v>
      </c>
      <c r="H313" s="2"/>
      <c r="I313" s="2"/>
      <c r="J313" s="2">
        <f>IFERROR(__xludf.DUMMYFUNCTION("""COMPUTED_VALUE"""),1.0)</f>
        <v>1</v>
      </c>
      <c r="K313" s="6">
        <f>IFERROR(__xludf.DUMMYFUNCTION("""COMPUTED_VALUE"""),34762.0)</f>
        <v>34762</v>
      </c>
      <c r="L313" s="2">
        <f>IFERROR(__xludf.DUMMYFUNCTION("""COMPUTED_VALUE"""),0.0)</f>
        <v>0</v>
      </c>
      <c r="M313" s="2">
        <f>IFERROR(__xludf.DUMMYFUNCTION("""COMPUTED_VALUE"""),34762.0)</f>
        <v>34762</v>
      </c>
      <c r="N313" s="2">
        <f>IFERROR(__xludf.DUMMYFUNCTION("""COMPUTED_VALUE"""),0.0)</f>
        <v>0</v>
      </c>
      <c r="O313" s="2">
        <f>IFERROR(__xludf.DUMMYFUNCTION("""COMPUTED_VALUE"""),34762.0)</f>
        <v>34762</v>
      </c>
      <c r="P313" s="2">
        <f>IFERROR(__xludf.DUMMYFUNCTION("""COMPUTED_VALUE"""),1738.0)</f>
        <v>1738</v>
      </c>
      <c r="Q313" s="2" t="str">
        <f>IFERROR(__xludf.DUMMYFUNCTION("""COMPUTED_VALUE"""),"Take Away")</f>
        <v>Take Away</v>
      </c>
      <c r="R313" s="2" t="str">
        <f>IFERROR(__xludf.DUMMYFUNCTION("""COMPUTED_VALUE"""),"Kedai")</f>
        <v>Kedai</v>
      </c>
      <c r="S313" s="2" t="str">
        <f>IFERROR(__xludf.DUMMYFUNCTION("""COMPUTED_VALUE"""),"Temu Roti")</f>
        <v>Temu Roti</v>
      </c>
      <c r="T313" s="2" t="str">
        <f>IFERROR(__xludf.DUMMYFUNCTION("""COMPUTED_VALUE"""),"Owner")</f>
        <v>Owner</v>
      </c>
      <c r="U313" s="2"/>
      <c r="V313" s="2"/>
      <c r="W313" s="2"/>
      <c r="X313" s="2" t="str">
        <f>IFERROR(__xludf.DUMMYFUNCTION("""COMPUTED_VALUE"""),"Closed")</f>
        <v>Closed</v>
      </c>
    </row>
    <row r="314">
      <c r="A314" s="3" t="s">
        <v>335</v>
      </c>
      <c r="B314" s="4">
        <f>IFERROR(__xludf.DUMMYFUNCTION("SPLIT(A314,"","",0,0)"),45559.70347222222)</f>
        <v>45559.70347</v>
      </c>
      <c r="C314" s="5">
        <f>IFERROR(__xludf.DUMMYFUNCTION("""COMPUTED_VALUE"""),2758344.0)</f>
        <v>2758344</v>
      </c>
      <c r="D314" s="2" t="str">
        <f>IFERROR(__xludf.DUMMYFUNCTION("""COMPUTED_VALUE"""),"Sale")</f>
        <v>Sale</v>
      </c>
      <c r="E314" s="2" t="str">
        <f>IFERROR(__xludf.DUMMYFUNCTION("""COMPUTED_VALUE"""),"Roti")</f>
        <v>Roti</v>
      </c>
      <c r="F314" s="2">
        <f>IFERROR(__xludf.DUMMYFUNCTION("""COMPUTED_VALUE"""),10005.0)</f>
        <v>10005</v>
      </c>
      <c r="G314" s="2" t="str">
        <f>IFERROR(__xludf.DUMMYFUNCTION("""COMPUTED_VALUE"""),"Roti Gandum Cokelat")</f>
        <v>Roti Gandum Cokelat</v>
      </c>
      <c r="H314" s="2"/>
      <c r="I314" s="2"/>
      <c r="J314" s="2">
        <f>IFERROR(__xludf.DUMMYFUNCTION("""COMPUTED_VALUE"""),1.0)</f>
        <v>1</v>
      </c>
      <c r="K314" s="6">
        <f>IFERROR(__xludf.DUMMYFUNCTION("""COMPUTED_VALUE"""),19524.0)</f>
        <v>19524</v>
      </c>
      <c r="L314" s="2">
        <f>IFERROR(__xludf.DUMMYFUNCTION("""COMPUTED_VALUE"""),0.0)</f>
        <v>0</v>
      </c>
      <c r="M314" s="2">
        <f>IFERROR(__xludf.DUMMYFUNCTION("""COMPUTED_VALUE"""),19524.0)</f>
        <v>19524</v>
      </c>
      <c r="N314" s="2">
        <f>IFERROR(__xludf.DUMMYFUNCTION("""COMPUTED_VALUE"""),0.0)</f>
        <v>0</v>
      </c>
      <c r="O314" s="2">
        <f>IFERROR(__xludf.DUMMYFUNCTION("""COMPUTED_VALUE"""),19524.0)</f>
        <v>19524</v>
      </c>
      <c r="P314" s="2">
        <f>IFERROR(__xludf.DUMMYFUNCTION("""COMPUTED_VALUE"""),976.0)</f>
        <v>976</v>
      </c>
      <c r="Q314" s="2" t="str">
        <f>IFERROR(__xludf.DUMMYFUNCTION("""COMPUTED_VALUE"""),"Take Away")</f>
        <v>Take Away</v>
      </c>
      <c r="R314" s="2" t="str">
        <f>IFERROR(__xludf.DUMMYFUNCTION("""COMPUTED_VALUE"""),"Kedai")</f>
        <v>Kedai</v>
      </c>
      <c r="S314" s="2" t="str">
        <f>IFERROR(__xludf.DUMMYFUNCTION("""COMPUTED_VALUE"""),"Temu Roti")</f>
        <v>Temu Roti</v>
      </c>
      <c r="T314" s="2" t="str">
        <f>IFERROR(__xludf.DUMMYFUNCTION("""COMPUTED_VALUE"""),"Owner")</f>
        <v>Owner</v>
      </c>
      <c r="U314" s="2"/>
      <c r="V314" s="2"/>
      <c r="W314" s="2"/>
      <c r="X314" s="2" t="str">
        <f>IFERROR(__xludf.DUMMYFUNCTION("""COMPUTED_VALUE"""),"Closed")</f>
        <v>Closed</v>
      </c>
    </row>
    <row r="315">
      <c r="A315" s="3" t="s">
        <v>336</v>
      </c>
      <c r="B315" s="4">
        <f>IFERROR(__xludf.DUMMYFUNCTION("SPLIT(A315,"","",0,0)"),45559.62013888889)</f>
        <v>45559.62014</v>
      </c>
      <c r="C315" s="5">
        <f>IFERROR(__xludf.DUMMYFUNCTION("""COMPUTED_VALUE"""),2757979.0)</f>
        <v>2757979</v>
      </c>
      <c r="D315" s="2" t="str">
        <f>IFERROR(__xludf.DUMMYFUNCTION("""COMPUTED_VALUE"""),"Sale")</f>
        <v>Sale</v>
      </c>
      <c r="E315" s="2" t="str">
        <f>IFERROR(__xludf.DUMMYFUNCTION("""COMPUTED_VALUE"""),"Minuman")</f>
        <v>Minuman</v>
      </c>
      <c r="F315" s="2">
        <f>IFERROR(__xludf.DUMMYFUNCTION("""COMPUTED_VALUE"""),10128.0)</f>
        <v>10128</v>
      </c>
      <c r="G315" s="2" t="str">
        <f>IFERROR(__xludf.DUMMYFUNCTION("""COMPUTED_VALUE"""),"Es Kopi Susu")</f>
        <v>Es Kopi Susu</v>
      </c>
      <c r="H315" s="2"/>
      <c r="I315" s="2"/>
      <c r="J315" s="2">
        <f>IFERROR(__xludf.DUMMYFUNCTION("""COMPUTED_VALUE"""),1.0)</f>
        <v>1</v>
      </c>
      <c r="K315" s="6">
        <f>IFERROR(__xludf.DUMMYFUNCTION("""COMPUTED_VALUE"""),23333.0)</f>
        <v>23333</v>
      </c>
      <c r="L315" s="2">
        <f>IFERROR(__xludf.DUMMYFUNCTION("""COMPUTED_VALUE"""),0.0)</f>
        <v>0</v>
      </c>
      <c r="M315" s="2">
        <f>IFERROR(__xludf.DUMMYFUNCTION("""COMPUTED_VALUE"""),23333.0)</f>
        <v>23333</v>
      </c>
      <c r="N315" s="2">
        <f>IFERROR(__xludf.DUMMYFUNCTION("""COMPUTED_VALUE"""),0.0)</f>
        <v>0</v>
      </c>
      <c r="O315" s="2">
        <f>IFERROR(__xludf.DUMMYFUNCTION("""COMPUTED_VALUE"""),23333.0)</f>
        <v>23333</v>
      </c>
      <c r="P315" s="2">
        <f>IFERROR(__xludf.DUMMYFUNCTION("""COMPUTED_VALUE"""),1167.0)</f>
        <v>1167</v>
      </c>
      <c r="Q315" s="2" t="str">
        <f>IFERROR(__xludf.DUMMYFUNCTION("""COMPUTED_VALUE"""),"Dine In")</f>
        <v>Dine In</v>
      </c>
      <c r="R315" s="2" t="str">
        <f>IFERROR(__xludf.DUMMYFUNCTION("""COMPUTED_VALUE"""),"Kedai")</f>
        <v>Kedai</v>
      </c>
      <c r="S315" s="2" t="str">
        <f>IFERROR(__xludf.DUMMYFUNCTION("""COMPUTED_VALUE"""),"Temu Roti")</f>
        <v>Temu Roti</v>
      </c>
      <c r="T315" s="2" t="str">
        <f>IFERROR(__xludf.DUMMYFUNCTION("""COMPUTED_VALUE"""),"Owner")</f>
        <v>Owner</v>
      </c>
      <c r="U315" s="2"/>
      <c r="V315" s="2"/>
      <c r="W315" s="2"/>
      <c r="X315" s="2" t="str">
        <f>IFERROR(__xludf.DUMMYFUNCTION("""COMPUTED_VALUE"""),"Closed")</f>
        <v>Closed</v>
      </c>
    </row>
    <row r="316">
      <c r="A316" s="3" t="s">
        <v>337</v>
      </c>
      <c r="B316" s="4">
        <f>IFERROR(__xludf.DUMMYFUNCTION("SPLIT(A316,"","",0,0)"),45559.62013888889)</f>
        <v>45559.62014</v>
      </c>
      <c r="C316" s="5">
        <f>IFERROR(__xludf.DUMMYFUNCTION("""COMPUTED_VALUE"""),2757979.0)</f>
        <v>2757979</v>
      </c>
      <c r="D316" s="2" t="str">
        <f>IFERROR(__xludf.DUMMYFUNCTION("""COMPUTED_VALUE"""),"Sale")</f>
        <v>Sale</v>
      </c>
      <c r="E316" s="2" t="str">
        <f>IFERROR(__xludf.DUMMYFUNCTION("""COMPUTED_VALUE"""),"Roti")</f>
        <v>Roti</v>
      </c>
      <c r="F316" s="2">
        <f>IFERROR(__xludf.DUMMYFUNCTION("""COMPUTED_VALUE"""),10005.0)</f>
        <v>10005</v>
      </c>
      <c r="G316" s="2" t="str">
        <f>IFERROR(__xludf.DUMMYFUNCTION("""COMPUTED_VALUE"""),"Roti Gandum Cokelat")</f>
        <v>Roti Gandum Cokelat</v>
      </c>
      <c r="H316" s="2"/>
      <c r="I316" s="2"/>
      <c r="J316" s="2">
        <f>IFERROR(__xludf.DUMMYFUNCTION("""COMPUTED_VALUE"""),1.0)</f>
        <v>1</v>
      </c>
      <c r="K316" s="6">
        <f>IFERROR(__xludf.DUMMYFUNCTION("""COMPUTED_VALUE"""),19524.0)</f>
        <v>19524</v>
      </c>
      <c r="L316" s="2">
        <f>IFERROR(__xludf.DUMMYFUNCTION("""COMPUTED_VALUE"""),0.0)</f>
        <v>0</v>
      </c>
      <c r="M316" s="2">
        <f>IFERROR(__xludf.DUMMYFUNCTION("""COMPUTED_VALUE"""),19524.0)</f>
        <v>19524</v>
      </c>
      <c r="N316" s="2">
        <f>IFERROR(__xludf.DUMMYFUNCTION("""COMPUTED_VALUE"""),0.0)</f>
        <v>0</v>
      </c>
      <c r="O316" s="2">
        <f>IFERROR(__xludf.DUMMYFUNCTION("""COMPUTED_VALUE"""),19524.0)</f>
        <v>19524</v>
      </c>
      <c r="P316" s="2">
        <f>IFERROR(__xludf.DUMMYFUNCTION("""COMPUTED_VALUE"""),976.0)</f>
        <v>976</v>
      </c>
      <c r="Q316" s="2" t="str">
        <f>IFERROR(__xludf.DUMMYFUNCTION("""COMPUTED_VALUE"""),"Dine In")</f>
        <v>Dine In</v>
      </c>
      <c r="R316" s="2" t="str">
        <f>IFERROR(__xludf.DUMMYFUNCTION("""COMPUTED_VALUE"""),"Kedai")</f>
        <v>Kedai</v>
      </c>
      <c r="S316" s="2" t="str">
        <f>IFERROR(__xludf.DUMMYFUNCTION("""COMPUTED_VALUE"""),"Temu Roti")</f>
        <v>Temu Roti</v>
      </c>
      <c r="T316" s="2" t="str">
        <f>IFERROR(__xludf.DUMMYFUNCTION("""COMPUTED_VALUE"""),"Owner")</f>
        <v>Owner</v>
      </c>
      <c r="U316" s="2"/>
      <c r="V316" s="2"/>
      <c r="W316" s="2"/>
      <c r="X316" s="2" t="str">
        <f>IFERROR(__xludf.DUMMYFUNCTION("""COMPUTED_VALUE"""),"Closed")</f>
        <v>Closed</v>
      </c>
    </row>
    <row r="317">
      <c r="A317" s="3" t="s">
        <v>338</v>
      </c>
      <c r="B317" s="4">
        <f>IFERROR(__xludf.DUMMYFUNCTION("SPLIT(A317,"","",0,0)"),45559.60625)</f>
        <v>45559.60625</v>
      </c>
      <c r="C317" s="5">
        <f>IFERROR(__xludf.DUMMYFUNCTION("""COMPUTED_VALUE"""),2757614.0)</f>
        <v>2757614</v>
      </c>
      <c r="D317" s="2" t="str">
        <f>IFERROR(__xludf.DUMMYFUNCTION("""COMPUTED_VALUE"""),"Sale")</f>
        <v>Sale</v>
      </c>
      <c r="E317" s="2" t="str">
        <f>IFERROR(__xludf.DUMMYFUNCTION("""COMPUTED_VALUE"""),"Roti")</f>
        <v>Roti</v>
      </c>
      <c r="F317" s="2">
        <f>IFERROR(__xludf.DUMMYFUNCTION("""COMPUTED_VALUE"""),10002.0)</f>
        <v>10002</v>
      </c>
      <c r="G317" s="2" t="str">
        <f>IFERROR(__xludf.DUMMYFUNCTION("""COMPUTED_VALUE"""),"Roti Cranberry")</f>
        <v>Roti Cranberry</v>
      </c>
      <c r="H317" s="2"/>
      <c r="I317" s="2"/>
      <c r="J317" s="2">
        <f>IFERROR(__xludf.DUMMYFUNCTION("""COMPUTED_VALUE"""),1.0)</f>
        <v>1</v>
      </c>
      <c r="K317" s="6">
        <f>IFERROR(__xludf.DUMMYFUNCTION("""COMPUTED_VALUE"""),18571.0)</f>
        <v>18571</v>
      </c>
      <c r="L317" s="2">
        <f>IFERROR(__xludf.DUMMYFUNCTION("""COMPUTED_VALUE"""),0.0)</f>
        <v>0</v>
      </c>
      <c r="M317" s="2">
        <f>IFERROR(__xludf.DUMMYFUNCTION("""COMPUTED_VALUE"""),18571.0)</f>
        <v>18571</v>
      </c>
      <c r="N317" s="2">
        <f>IFERROR(__xludf.DUMMYFUNCTION("""COMPUTED_VALUE"""),0.0)</f>
        <v>0</v>
      </c>
      <c r="O317" s="2">
        <f>IFERROR(__xludf.DUMMYFUNCTION("""COMPUTED_VALUE"""),18571.0)</f>
        <v>18571</v>
      </c>
      <c r="P317" s="2">
        <f>IFERROR(__xludf.DUMMYFUNCTION("""COMPUTED_VALUE"""),929.0)</f>
        <v>929</v>
      </c>
      <c r="Q317" s="2" t="str">
        <f>IFERROR(__xludf.DUMMYFUNCTION("""COMPUTED_VALUE"""),"Dine In")</f>
        <v>Dine In</v>
      </c>
      <c r="R317" s="2" t="str">
        <f>IFERROR(__xludf.DUMMYFUNCTION("""COMPUTED_VALUE"""),"Kedai")</f>
        <v>Kedai</v>
      </c>
      <c r="S317" s="2" t="str">
        <f>IFERROR(__xludf.DUMMYFUNCTION("""COMPUTED_VALUE"""),"Temu Roti")</f>
        <v>Temu Roti</v>
      </c>
      <c r="T317" s="2" t="str">
        <f>IFERROR(__xludf.DUMMYFUNCTION("""COMPUTED_VALUE"""),"Owner")</f>
        <v>Owner</v>
      </c>
      <c r="U317" s="2"/>
      <c r="V317" s="2"/>
      <c r="W317" s="2"/>
      <c r="X317" s="2" t="str">
        <f>IFERROR(__xludf.DUMMYFUNCTION("""COMPUTED_VALUE"""),"Closed")</f>
        <v>Closed</v>
      </c>
    </row>
    <row r="318">
      <c r="A318" s="3" t="s">
        <v>339</v>
      </c>
      <c r="B318" s="4">
        <f>IFERROR(__xludf.DUMMYFUNCTION("SPLIT(A318,"","",0,0)"),45559.59305555555)</f>
        <v>45559.59306</v>
      </c>
      <c r="C318" s="5">
        <f>IFERROR(__xludf.DUMMYFUNCTION("""COMPUTED_VALUE"""),2757249.0)</f>
        <v>2757249</v>
      </c>
      <c r="D318" s="2" t="str">
        <f>IFERROR(__xludf.DUMMYFUNCTION("""COMPUTED_VALUE"""),"Sale")</f>
        <v>Sale</v>
      </c>
      <c r="E318" s="2" t="str">
        <f>IFERROR(__xludf.DUMMYFUNCTION("""COMPUTED_VALUE"""),"Roti")</f>
        <v>Roti</v>
      </c>
      <c r="F318" s="2">
        <f>IFERROR(__xludf.DUMMYFUNCTION("""COMPUTED_VALUE"""),10007.0)</f>
        <v>10007</v>
      </c>
      <c r="G318" s="2" t="str">
        <f>IFERROR(__xludf.DUMMYFUNCTION("""COMPUTED_VALUE"""),"Roti cranberry 2 pcs")</f>
        <v>Roti cranberry 2 pcs</v>
      </c>
      <c r="H318" s="2"/>
      <c r="I318" s="2"/>
      <c r="J318" s="2">
        <f>IFERROR(__xludf.DUMMYFUNCTION("""COMPUTED_VALUE"""),1.0)</f>
        <v>1</v>
      </c>
      <c r="K318" s="6">
        <f>IFERROR(__xludf.DUMMYFUNCTION("""COMPUTED_VALUE"""),33810.0)</f>
        <v>33810</v>
      </c>
      <c r="L318" s="2">
        <f>IFERROR(__xludf.DUMMYFUNCTION("""COMPUTED_VALUE"""),0.0)</f>
        <v>0</v>
      </c>
      <c r="M318" s="2">
        <f>IFERROR(__xludf.DUMMYFUNCTION("""COMPUTED_VALUE"""),33810.0)</f>
        <v>33810</v>
      </c>
      <c r="N318" s="2">
        <f>IFERROR(__xludf.DUMMYFUNCTION("""COMPUTED_VALUE"""),0.0)</f>
        <v>0</v>
      </c>
      <c r="O318" s="2">
        <f>IFERROR(__xludf.DUMMYFUNCTION("""COMPUTED_VALUE"""),33810.0)</f>
        <v>33810</v>
      </c>
      <c r="P318" s="2">
        <f>IFERROR(__xludf.DUMMYFUNCTION("""COMPUTED_VALUE"""),1691.0)</f>
        <v>1691</v>
      </c>
      <c r="Q318" s="2" t="str">
        <f>IFERROR(__xludf.DUMMYFUNCTION("""COMPUTED_VALUE"""),"Take Away")</f>
        <v>Take Away</v>
      </c>
      <c r="R318" s="2" t="str">
        <f>IFERROR(__xludf.DUMMYFUNCTION("""COMPUTED_VALUE"""),"Kedai")</f>
        <v>Kedai</v>
      </c>
      <c r="S318" s="2" t="str">
        <f>IFERROR(__xludf.DUMMYFUNCTION("""COMPUTED_VALUE"""),"Temu Roti")</f>
        <v>Temu Roti</v>
      </c>
      <c r="T318" s="2" t="str">
        <f>IFERROR(__xludf.DUMMYFUNCTION("""COMPUTED_VALUE"""),"Owner")</f>
        <v>Owner</v>
      </c>
      <c r="U318" s="2"/>
      <c r="V318" s="2"/>
      <c r="W318" s="2"/>
      <c r="X318" s="2" t="str">
        <f>IFERROR(__xludf.DUMMYFUNCTION("""COMPUTED_VALUE"""),"Closed")</f>
        <v>Closed</v>
      </c>
    </row>
    <row r="319">
      <c r="A319" s="3" t="s">
        <v>340</v>
      </c>
      <c r="B319" s="4">
        <f>IFERROR(__xludf.DUMMYFUNCTION("SPLIT(A319,"","",0,0)"),45559.59305555555)</f>
        <v>45559.59306</v>
      </c>
      <c r="C319" s="5">
        <f>IFERROR(__xludf.DUMMYFUNCTION("""COMPUTED_VALUE"""),2757249.0)</f>
        <v>2757249</v>
      </c>
      <c r="D319" s="2" t="str">
        <f>IFERROR(__xludf.DUMMYFUNCTION("""COMPUTED_VALUE"""),"Sale")</f>
        <v>Sale</v>
      </c>
      <c r="E319" s="2" t="str">
        <f>IFERROR(__xludf.DUMMYFUNCTION("""COMPUTED_VALUE"""),"Roti")</f>
        <v>Roti</v>
      </c>
      <c r="F319" s="2">
        <f>IFERROR(__xludf.DUMMYFUNCTION("""COMPUTED_VALUE"""),10005.0)</f>
        <v>10005</v>
      </c>
      <c r="G319" s="2" t="str">
        <f>IFERROR(__xludf.DUMMYFUNCTION("""COMPUTED_VALUE"""),"Roti Gandum Cokelat")</f>
        <v>Roti Gandum Cokelat</v>
      </c>
      <c r="H319" s="2"/>
      <c r="I319" s="2"/>
      <c r="J319" s="2">
        <f>IFERROR(__xludf.DUMMYFUNCTION("""COMPUTED_VALUE"""),1.0)</f>
        <v>1</v>
      </c>
      <c r="K319" s="6">
        <f>IFERROR(__xludf.DUMMYFUNCTION("""COMPUTED_VALUE"""),19524.0)</f>
        <v>19524</v>
      </c>
      <c r="L319" s="2">
        <f>IFERROR(__xludf.DUMMYFUNCTION("""COMPUTED_VALUE"""),0.0)</f>
        <v>0</v>
      </c>
      <c r="M319" s="2">
        <f>IFERROR(__xludf.DUMMYFUNCTION("""COMPUTED_VALUE"""),19524.0)</f>
        <v>19524</v>
      </c>
      <c r="N319" s="2">
        <f>IFERROR(__xludf.DUMMYFUNCTION("""COMPUTED_VALUE"""),0.0)</f>
        <v>0</v>
      </c>
      <c r="O319" s="2">
        <f>IFERROR(__xludf.DUMMYFUNCTION("""COMPUTED_VALUE"""),19524.0)</f>
        <v>19524</v>
      </c>
      <c r="P319" s="2">
        <f>IFERROR(__xludf.DUMMYFUNCTION("""COMPUTED_VALUE"""),976.0)</f>
        <v>976</v>
      </c>
      <c r="Q319" s="2" t="str">
        <f>IFERROR(__xludf.DUMMYFUNCTION("""COMPUTED_VALUE"""),"Take Away")</f>
        <v>Take Away</v>
      </c>
      <c r="R319" s="2" t="str">
        <f>IFERROR(__xludf.DUMMYFUNCTION("""COMPUTED_VALUE"""),"Kedai")</f>
        <v>Kedai</v>
      </c>
      <c r="S319" s="2" t="str">
        <f>IFERROR(__xludf.DUMMYFUNCTION("""COMPUTED_VALUE"""),"Temu Roti")</f>
        <v>Temu Roti</v>
      </c>
      <c r="T319" s="2" t="str">
        <f>IFERROR(__xludf.DUMMYFUNCTION("""COMPUTED_VALUE"""),"Owner")</f>
        <v>Owner</v>
      </c>
      <c r="U319" s="2"/>
      <c r="V319" s="2"/>
      <c r="W319" s="2"/>
      <c r="X319" s="2" t="str">
        <f>IFERROR(__xludf.DUMMYFUNCTION("""COMPUTED_VALUE"""),"Closed")</f>
        <v>Closed</v>
      </c>
    </row>
    <row r="320">
      <c r="A320" s="3" t="s">
        <v>341</v>
      </c>
      <c r="B320" s="4">
        <f>IFERROR(__xludf.DUMMYFUNCTION("SPLIT(A320,"","",0,0)"),45559.45138888889)</f>
        <v>45559.45139</v>
      </c>
      <c r="C320" s="5">
        <f>IFERROR(__xludf.DUMMYFUNCTION("""COMPUTED_VALUE"""),2756883.0)</f>
        <v>2756883</v>
      </c>
      <c r="D320" s="2" t="str">
        <f>IFERROR(__xludf.DUMMYFUNCTION("""COMPUTED_VALUE"""),"Sale")</f>
        <v>Sale</v>
      </c>
      <c r="E320" s="2" t="str">
        <f>IFERROR(__xludf.DUMMYFUNCTION("""COMPUTED_VALUE"""),"Minuman")</f>
        <v>Minuman</v>
      </c>
      <c r="F320" s="2">
        <f>IFERROR(__xludf.DUMMYFUNCTION("""COMPUTED_VALUE"""),10128.0)</f>
        <v>10128</v>
      </c>
      <c r="G320" s="2" t="str">
        <f>IFERROR(__xludf.DUMMYFUNCTION("""COMPUTED_VALUE"""),"Es Kopi Susu")</f>
        <v>Es Kopi Susu</v>
      </c>
      <c r="H320" s="2"/>
      <c r="I320" s="2"/>
      <c r="J320" s="2">
        <f>IFERROR(__xludf.DUMMYFUNCTION("""COMPUTED_VALUE"""),1.0)</f>
        <v>1</v>
      </c>
      <c r="K320" s="6">
        <f>IFERROR(__xludf.DUMMYFUNCTION("""COMPUTED_VALUE"""),23333.0)</f>
        <v>23333</v>
      </c>
      <c r="L320" s="2">
        <f>IFERROR(__xludf.DUMMYFUNCTION("""COMPUTED_VALUE"""),0.0)</f>
        <v>0</v>
      </c>
      <c r="M320" s="2">
        <f>IFERROR(__xludf.DUMMYFUNCTION("""COMPUTED_VALUE"""),23333.0)</f>
        <v>23333</v>
      </c>
      <c r="N320" s="2">
        <f>IFERROR(__xludf.DUMMYFUNCTION("""COMPUTED_VALUE"""),0.0)</f>
        <v>0</v>
      </c>
      <c r="O320" s="2">
        <f>IFERROR(__xludf.DUMMYFUNCTION("""COMPUTED_VALUE"""),23333.0)</f>
        <v>23333</v>
      </c>
      <c r="P320" s="2">
        <f>IFERROR(__xludf.DUMMYFUNCTION("""COMPUTED_VALUE"""),1167.0)</f>
        <v>1167</v>
      </c>
      <c r="Q320" s="2" t="str">
        <f>IFERROR(__xludf.DUMMYFUNCTION("""COMPUTED_VALUE"""),"Dine In")</f>
        <v>Dine In</v>
      </c>
      <c r="R320" s="2" t="str">
        <f>IFERROR(__xludf.DUMMYFUNCTION("""COMPUTED_VALUE"""),"Kedai")</f>
        <v>Kedai</v>
      </c>
      <c r="S320" s="2" t="str">
        <f>IFERROR(__xludf.DUMMYFUNCTION("""COMPUTED_VALUE"""),"Temu Roti")</f>
        <v>Temu Roti</v>
      </c>
      <c r="T320" s="2" t="str">
        <f>IFERROR(__xludf.DUMMYFUNCTION("""COMPUTED_VALUE"""),"Owner")</f>
        <v>Owner</v>
      </c>
      <c r="U320" s="2"/>
      <c r="V320" s="2"/>
      <c r="W320" s="2"/>
      <c r="X320" s="2" t="str">
        <f>IFERROR(__xludf.DUMMYFUNCTION("""COMPUTED_VALUE"""),"Closed")</f>
        <v>Closed</v>
      </c>
    </row>
    <row r="321">
      <c r="A321" s="3" t="s">
        <v>342</v>
      </c>
      <c r="B321" s="4">
        <f>IFERROR(__xludf.DUMMYFUNCTION("SPLIT(A321,"","",0,0)"),45559.45138888889)</f>
        <v>45559.45139</v>
      </c>
      <c r="C321" s="5">
        <f>IFERROR(__xludf.DUMMYFUNCTION("""COMPUTED_VALUE"""),2756883.0)</f>
        <v>2756883</v>
      </c>
      <c r="D321" s="2" t="str">
        <f>IFERROR(__xludf.DUMMYFUNCTION("""COMPUTED_VALUE"""),"Sale")</f>
        <v>Sale</v>
      </c>
      <c r="E321" s="2" t="str">
        <f>IFERROR(__xludf.DUMMYFUNCTION("""COMPUTED_VALUE"""),"Minuman")</f>
        <v>Minuman</v>
      </c>
      <c r="F321" s="2">
        <f>IFERROR(__xludf.DUMMYFUNCTION("""COMPUTED_VALUE"""),10069.0)</f>
        <v>10069</v>
      </c>
      <c r="G321" s="2" t="str">
        <f>IFERROR(__xludf.DUMMYFUNCTION("""COMPUTED_VALUE"""),"Wedang hujan")</f>
        <v>Wedang hujan</v>
      </c>
      <c r="H321" s="2"/>
      <c r="I321" s="2"/>
      <c r="J321" s="2">
        <f>IFERROR(__xludf.DUMMYFUNCTION("""COMPUTED_VALUE"""),1.0)</f>
        <v>1</v>
      </c>
      <c r="K321" s="6">
        <f>IFERROR(__xludf.DUMMYFUNCTION("""COMPUTED_VALUE"""),24762.0)</f>
        <v>24762</v>
      </c>
      <c r="L321" s="2">
        <f>IFERROR(__xludf.DUMMYFUNCTION("""COMPUTED_VALUE"""),0.0)</f>
        <v>0</v>
      </c>
      <c r="M321" s="2">
        <f>IFERROR(__xludf.DUMMYFUNCTION("""COMPUTED_VALUE"""),24762.0)</f>
        <v>24762</v>
      </c>
      <c r="N321" s="2">
        <f>IFERROR(__xludf.DUMMYFUNCTION("""COMPUTED_VALUE"""),0.0)</f>
        <v>0</v>
      </c>
      <c r="O321" s="2">
        <f>IFERROR(__xludf.DUMMYFUNCTION("""COMPUTED_VALUE"""),24762.0)</f>
        <v>24762</v>
      </c>
      <c r="P321" s="2">
        <f>IFERROR(__xludf.DUMMYFUNCTION("""COMPUTED_VALUE"""),1238.0)</f>
        <v>1238</v>
      </c>
      <c r="Q321" s="2" t="str">
        <f>IFERROR(__xludf.DUMMYFUNCTION("""COMPUTED_VALUE"""),"Dine In")</f>
        <v>Dine In</v>
      </c>
      <c r="R321" s="2" t="str">
        <f>IFERROR(__xludf.DUMMYFUNCTION("""COMPUTED_VALUE"""),"Kedai")</f>
        <v>Kedai</v>
      </c>
      <c r="S321" s="2" t="str">
        <f>IFERROR(__xludf.DUMMYFUNCTION("""COMPUTED_VALUE"""),"Temu Roti")</f>
        <v>Temu Roti</v>
      </c>
      <c r="T321" s="2" t="str">
        <f>IFERROR(__xludf.DUMMYFUNCTION("""COMPUTED_VALUE"""),"Owner")</f>
        <v>Owner</v>
      </c>
      <c r="U321" s="2"/>
      <c r="V321" s="2"/>
      <c r="W321" s="2"/>
      <c r="X321" s="2" t="str">
        <f>IFERROR(__xludf.DUMMYFUNCTION("""COMPUTED_VALUE"""),"Closed")</f>
        <v>Closed</v>
      </c>
    </row>
    <row r="322">
      <c r="A322" s="3" t="s">
        <v>343</v>
      </c>
      <c r="B322" s="4">
        <f>IFERROR(__xludf.DUMMYFUNCTION("SPLIT(A322,"","",0,0)"),45559.45138888889)</f>
        <v>45559.45139</v>
      </c>
      <c r="C322" s="5">
        <f>IFERROR(__xludf.DUMMYFUNCTION("""COMPUTED_VALUE"""),2756883.0)</f>
        <v>2756883</v>
      </c>
      <c r="D322" s="2" t="str">
        <f>IFERROR(__xludf.DUMMYFUNCTION("""COMPUTED_VALUE"""),"Sale")</f>
        <v>Sale</v>
      </c>
      <c r="E322" s="2" t="str">
        <f>IFERROR(__xludf.DUMMYFUNCTION("""COMPUTED_VALUE"""),"Roti")</f>
        <v>Roti</v>
      </c>
      <c r="F322" s="2">
        <f>IFERROR(__xludf.DUMMYFUNCTION("""COMPUTED_VALUE"""),10055.0)</f>
        <v>10055</v>
      </c>
      <c r="G322" s="2" t="str">
        <f>IFERROR(__xludf.DUMMYFUNCTION("""COMPUTED_VALUE"""),"Roti Gandum Cokelat 2 pcs")</f>
        <v>Roti Gandum Cokelat 2 pcs</v>
      </c>
      <c r="H322" s="2"/>
      <c r="I322" s="2"/>
      <c r="J322" s="2">
        <f>IFERROR(__xludf.DUMMYFUNCTION("""COMPUTED_VALUE"""),1.0)</f>
        <v>1</v>
      </c>
      <c r="K322" s="6">
        <f>IFERROR(__xludf.DUMMYFUNCTION("""COMPUTED_VALUE"""),34762.0)</f>
        <v>34762</v>
      </c>
      <c r="L322" s="2">
        <f>IFERROR(__xludf.DUMMYFUNCTION("""COMPUTED_VALUE"""),0.0)</f>
        <v>0</v>
      </c>
      <c r="M322" s="2">
        <f>IFERROR(__xludf.DUMMYFUNCTION("""COMPUTED_VALUE"""),34762.0)</f>
        <v>34762</v>
      </c>
      <c r="N322" s="2">
        <f>IFERROR(__xludf.DUMMYFUNCTION("""COMPUTED_VALUE"""),0.0)</f>
        <v>0</v>
      </c>
      <c r="O322" s="2">
        <f>IFERROR(__xludf.DUMMYFUNCTION("""COMPUTED_VALUE"""),34762.0)</f>
        <v>34762</v>
      </c>
      <c r="P322" s="2">
        <f>IFERROR(__xludf.DUMMYFUNCTION("""COMPUTED_VALUE"""),1738.0)</f>
        <v>1738</v>
      </c>
      <c r="Q322" s="2" t="str">
        <f>IFERROR(__xludf.DUMMYFUNCTION("""COMPUTED_VALUE"""),"Dine In")</f>
        <v>Dine In</v>
      </c>
      <c r="R322" s="2" t="str">
        <f>IFERROR(__xludf.DUMMYFUNCTION("""COMPUTED_VALUE"""),"Kedai")</f>
        <v>Kedai</v>
      </c>
      <c r="S322" s="2" t="str">
        <f>IFERROR(__xludf.DUMMYFUNCTION("""COMPUTED_VALUE"""),"Temu Roti")</f>
        <v>Temu Roti</v>
      </c>
      <c r="T322" s="2" t="str">
        <f>IFERROR(__xludf.DUMMYFUNCTION("""COMPUTED_VALUE"""),"Owner")</f>
        <v>Owner</v>
      </c>
      <c r="U322" s="2"/>
      <c r="V322" s="2"/>
      <c r="W322" s="2"/>
      <c r="X322" s="2" t="str">
        <f>IFERROR(__xludf.DUMMYFUNCTION("""COMPUTED_VALUE"""),"Closed")</f>
        <v>Closed</v>
      </c>
    </row>
    <row r="323">
      <c r="A323" s="3" t="s">
        <v>344</v>
      </c>
      <c r="B323" s="4">
        <f>IFERROR(__xludf.DUMMYFUNCTION("SPLIT(A323,"","",0,0)"),45559.450694444444)</f>
        <v>45559.45069</v>
      </c>
      <c r="C323" s="5">
        <f>IFERROR(__xludf.DUMMYFUNCTION("""COMPUTED_VALUE"""),2756518.0)</f>
        <v>2756518</v>
      </c>
      <c r="D323" s="2" t="str">
        <f>IFERROR(__xludf.DUMMYFUNCTION("""COMPUTED_VALUE"""),"Sale")</f>
        <v>Sale</v>
      </c>
      <c r="E323" s="2" t="str">
        <f>IFERROR(__xludf.DUMMYFUNCTION("""COMPUTED_VALUE"""),"Roti")</f>
        <v>Roti</v>
      </c>
      <c r="F323" s="2">
        <f>IFERROR(__xludf.DUMMYFUNCTION("""COMPUTED_VALUE"""),10005.0)</f>
        <v>10005</v>
      </c>
      <c r="G323" s="2" t="str">
        <f>IFERROR(__xludf.DUMMYFUNCTION("""COMPUTED_VALUE"""),"Roti Gandum Cokelat")</f>
        <v>Roti Gandum Cokelat</v>
      </c>
      <c r="H323" s="2"/>
      <c r="I323" s="2"/>
      <c r="J323" s="2">
        <f>IFERROR(__xludf.DUMMYFUNCTION("""COMPUTED_VALUE"""),1.0)</f>
        <v>1</v>
      </c>
      <c r="K323" s="6">
        <f>IFERROR(__xludf.DUMMYFUNCTION("""COMPUTED_VALUE"""),19524.0)</f>
        <v>19524</v>
      </c>
      <c r="L323" s="2">
        <f>IFERROR(__xludf.DUMMYFUNCTION("""COMPUTED_VALUE"""),0.0)</f>
        <v>0</v>
      </c>
      <c r="M323" s="2">
        <f>IFERROR(__xludf.DUMMYFUNCTION("""COMPUTED_VALUE"""),19524.0)</f>
        <v>19524</v>
      </c>
      <c r="N323" s="2">
        <f>IFERROR(__xludf.DUMMYFUNCTION("""COMPUTED_VALUE"""),0.0)</f>
        <v>0</v>
      </c>
      <c r="O323" s="2">
        <f>IFERROR(__xludf.DUMMYFUNCTION("""COMPUTED_VALUE"""),19524.0)</f>
        <v>19524</v>
      </c>
      <c r="P323" s="2">
        <f>IFERROR(__xludf.DUMMYFUNCTION("""COMPUTED_VALUE"""),976.0)</f>
        <v>976</v>
      </c>
      <c r="Q323" s="2" t="str">
        <f>IFERROR(__xludf.DUMMYFUNCTION("""COMPUTED_VALUE"""),"Dine In")</f>
        <v>Dine In</v>
      </c>
      <c r="R323" s="2" t="str">
        <f>IFERROR(__xludf.DUMMYFUNCTION("""COMPUTED_VALUE"""),"Kedai")</f>
        <v>Kedai</v>
      </c>
      <c r="S323" s="2" t="str">
        <f>IFERROR(__xludf.DUMMYFUNCTION("""COMPUTED_VALUE"""),"Temu Roti")</f>
        <v>Temu Roti</v>
      </c>
      <c r="T323" s="2" t="str">
        <f>IFERROR(__xludf.DUMMYFUNCTION("""COMPUTED_VALUE"""),"Owner")</f>
        <v>Owner</v>
      </c>
      <c r="U323" s="2"/>
      <c r="V323" s="2"/>
      <c r="W323" s="2"/>
      <c r="X323" s="2" t="str">
        <f>IFERROR(__xludf.DUMMYFUNCTION("""COMPUTED_VALUE"""),"Closed")</f>
        <v>Closed</v>
      </c>
    </row>
    <row r="324">
      <c r="A324" s="3" t="s">
        <v>345</v>
      </c>
      <c r="B324" s="4">
        <f>IFERROR(__xludf.DUMMYFUNCTION("SPLIT(A324,"","",0,0)"),45557.87777777778)</f>
        <v>45557.87778</v>
      </c>
      <c r="C324" s="5">
        <f>IFERROR(__xludf.DUMMYFUNCTION("""COMPUTED_VALUE"""),2756153.0)</f>
        <v>2756153</v>
      </c>
      <c r="D324" s="2" t="str">
        <f>IFERROR(__xludf.DUMMYFUNCTION("""COMPUTED_VALUE"""),"Sale")</f>
        <v>Sale</v>
      </c>
      <c r="E324" s="2" t="str">
        <f>IFERROR(__xludf.DUMMYFUNCTION("""COMPUTED_VALUE"""),"Roti")</f>
        <v>Roti</v>
      </c>
      <c r="F324" s="2">
        <f>IFERROR(__xludf.DUMMYFUNCTION("""COMPUTED_VALUE"""),10005.0)</f>
        <v>10005</v>
      </c>
      <c r="G324" s="2" t="str">
        <f>IFERROR(__xludf.DUMMYFUNCTION("""COMPUTED_VALUE"""),"Roti Gandum Cokelat")</f>
        <v>Roti Gandum Cokelat</v>
      </c>
      <c r="H324" s="2"/>
      <c r="I324" s="2"/>
      <c r="J324" s="2">
        <f>IFERROR(__xludf.DUMMYFUNCTION("""COMPUTED_VALUE"""),1.0)</f>
        <v>1</v>
      </c>
      <c r="K324" s="6">
        <f>IFERROR(__xludf.DUMMYFUNCTION("""COMPUTED_VALUE"""),19524.0)</f>
        <v>19524</v>
      </c>
      <c r="L324" s="2">
        <f>IFERROR(__xludf.DUMMYFUNCTION("""COMPUTED_VALUE"""),0.0)</f>
        <v>0</v>
      </c>
      <c r="M324" s="2">
        <f>IFERROR(__xludf.DUMMYFUNCTION("""COMPUTED_VALUE"""),19524.0)</f>
        <v>19524</v>
      </c>
      <c r="N324" s="2">
        <f>IFERROR(__xludf.DUMMYFUNCTION("""COMPUTED_VALUE"""),0.0)</f>
        <v>0</v>
      </c>
      <c r="O324" s="2">
        <f>IFERROR(__xludf.DUMMYFUNCTION("""COMPUTED_VALUE"""),19524.0)</f>
        <v>19524</v>
      </c>
      <c r="P324" s="2">
        <f>IFERROR(__xludf.DUMMYFUNCTION("""COMPUTED_VALUE"""),976.0)</f>
        <v>976</v>
      </c>
      <c r="Q324" s="2" t="str">
        <f>IFERROR(__xludf.DUMMYFUNCTION("""COMPUTED_VALUE"""),"Dine In")</f>
        <v>Dine In</v>
      </c>
      <c r="R324" s="2" t="str">
        <f>IFERROR(__xludf.DUMMYFUNCTION("""COMPUTED_VALUE"""),"Kedai")</f>
        <v>Kedai</v>
      </c>
      <c r="S324" s="2" t="str">
        <f>IFERROR(__xludf.DUMMYFUNCTION("""COMPUTED_VALUE"""),"Temu Roti")</f>
        <v>Temu Roti</v>
      </c>
      <c r="T324" s="2" t="str">
        <f>IFERROR(__xludf.DUMMYFUNCTION("""COMPUTED_VALUE"""),"Owner")</f>
        <v>Owner</v>
      </c>
      <c r="U324" s="2"/>
      <c r="V324" s="2"/>
      <c r="W324" s="2"/>
      <c r="X324" s="2" t="str">
        <f>IFERROR(__xludf.DUMMYFUNCTION("""COMPUTED_VALUE"""),"Closed")</f>
        <v>Closed</v>
      </c>
    </row>
    <row r="325">
      <c r="A325" s="3" t="s">
        <v>346</v>
      </c>
      <c r="B325" s="4">
        <f>IFERROR(__xludf.DUMMYFUNCTION("SPLIT(A325,"","",0,0)"),45557.876388888886)</f>
        <v>45557.87639</v>
      </c>
      <c r="C325" s="5">
        <f>IFERROR(__xludf.DUMMYFUNCTION("""COMPUTED_VALUE"""),2755788.0)</f>
        <v>2755788</v>
      </c>
      <c r="D325" s="2" t="str">
        <f>IFERROR(__xludf.DUMMYFUNCTION("""COMPUTED_VALUE"""),"Sale")</f>
        <v>Sale</v>
      </c>
      <c r="E325" s="2" t="str">
        <f>IFERROR(__xludf.DUMMYFUNCTION("""COMPUTED_VALUE"""),"Minuman")</f>
        <v>Minuman</v>
      </c>
      <c r="F325" s="2">
        <f>IFERROR(__xludf.DUMMYFUNCTION("""COMPUTED_VALUE"""),10128.0)</f>
        <v>10128</v>
      </c>
      <c r="G325" s="2" t="str">
        <f>IFERROR(__xludf.DUMMYFUNCTION("""COMPUTED_VALUE"""),"Es Kopi Susu")</f>
        <v>Es Kopi Susu</v>
      </c>
      <c r="H325" s="2"/>
      <c r="I325" s="2"/>
      <c r="J325" s="2">
        <f>IFERROR(__xludf.DUMMYFUNCTION("""COMPUTED_VALUE"""),1.0)</f>
        <v>1</v>
      </c>
      <c r="K325" s="6">
        <f>IFERROR(__xludf.DUMMYFUNCTION("""COMPUTED_VALUE"""),23333.0)</f>
        <v>23333</v>
      </c>
      <c r="L325" s="2">
        <f>IFERROR(__xludf.DUMMYFUNCTION("""COMPUTED_VALUE"""),0.0)</f>
        <v>0</v>
      </c>
      <c r="M325" s="2">
        <f>IFERROR(__xludf.DUMMYFUNCTION("""COMPUTED_VALUE"""),23333.0)</f>
        <v>23333</v>
      </c>
      <c r="N325" s="2">
        <f>IFERROR(__xludf.DUMMYFUNCTION("""COMPUTED_VALUE"""),0.0)</f>
        <v>0</v>
      </c>
      <c r="O325" s="2">
        <f>IFERROR(__xludf.DUMMYFUNCTION("""COMPUTED_VALUE"""),23333.0)</f>
        <v>23333</v>
      </c>
      <c r="P325" s="2">
        <f>IFERROR(__xludf.DUMMYFUNCTION("""COMPUTED_VALUE"""),1167.0)</f>
        <v>1167</v>
      </c>
      <c r="Q325" s="2" t="str">
        <f>IFERROR(__xludf.DUMMYFUNCTION("""COMPUTED_VALUE"""),"Dine In")</f>
        <v>Dine In</v>
      </c>
      <c r="R325" s="2" t="str">
        <f>IFERROR(__xludf.DUMMYFUNCTION("""COMPUTED_VALUE"""),"Kedai")</f>
        <v>Kedai</v>
      </c>
      <c r="S325" s="2" t="str">
        <f>IFERROR(__xludf.DUMMYFUNCTION("""COMPUTED_VALUE"""),"Temu Roti")</f>
        <v>Temu Roti</v>
      </c>
      <c r="T325" s="2" t="str">
        <f>IFERROR(__xludf.DUMMYFUNCTION("""COMPUTED_VALUE"""),"Owner")</f>
        <v>Owner</v>
      </c>
      <c r="U325" s="2"/>
      <c r="V325" s="2"/>
      <c r="W325" s="2"/>
      <c r="X325" s="2" t="str">
        <f>IFERROR(__xludf.DUMMYFUNCTION("""COMPUTED_VALUE"""),"Closed")</f>
        <v>Closed</v>
      </c>
    </row>
    <row r="326">
      <c r="A326" s="3" t="s">
        <v>347</v>
      </c>
      <c r="B326" s="4">
        <f>IFERROR(__xludf.DUMMYFUNCTION("SPLIT(A326,"","",0,0)"),45557.876388888886)</f>
        <v>45557.87639</v>
      </c>
      <c r="C326" s="5">
        <f>IFERROR(__xludf.DUMMYFUNCTION("""COMPUTED_VALUE"""),2755788.0)</f>
        <v>2755788</v>
      </c>
      <c r="D326" s="2" t="str">
        <f>IFERROR(__xludf.DUMMYFUNCTION("""COMPUTED_VALUE"""),"Sale")</f>
        <v>Sale</v>
      </c>
      <c r="E326" s="2" t="str">
        <f>IFERROR(__xludf.DUMMYFUNCTION("""COMPUTED_VALUE"""),"Minuman")</f>
        <v>Minuman</v>
      </c>
      <c r="F326" s="2">
        <f>IFERROR(__xludf.DUMMYFUNCTION("""COMPUTED_VALUE"""),10112.0)</f>
        <v>10112</v>
      </c>
      <c r="G326" s="2" t="str">
        <f>IFERROR(__xludf.DUMMYFUNCTION("""COMPUTED_VALUE"""),"Air mineral")</f>
        <v>Air mineral</v>
      </c>
      <c r="H326" s="2"/>
      <c r="I326" s="2"/>
      <c r="J326" s="2">
        <f>IFERROR(__xludf.DUMMYFUNCTION("""COMPUTED_VALUE"""),1.0)</f>
        <v>1</v>
      </c>
      <c r="K326" s="6">
        <f>IFERROR(__xludf.DUMMYFUNCTION("""COMPUTED_VALUE"""),6667.0)</f>
        <v>6667</v>
      </c>
      <c r="L326" s="2">
        <f>IFERROR(__xludf.DUMMYFUNCTION("""COMPUTED_VALUE"""),0.0)</f>
        <v>0</v>
      </c>
      <c r="M326" s="2">
        <f>IFERROR(__xludf.DUMMYFUNCTION("""COMPUTED_VALUE"""),6667.0)</f>
        <v>6667</v>
      </c>
      <c r="N326" s="2">
        <f>IFERROR(__xludf.DUMMYFUNCTION("""COMPUTED_VALUE"""),0.0)</f>
        <v>0</v>
      </c>
      <c r="O326" s="2">
        <f>IFERROR(__xludf.DUMMYFUNCTION("""COMPUTED_VALUE"""),6667.0)</f>
        <v>6667</v>
      </c>
      <c r="P326" s="2">
        <f>IFERROR(__xludf.DUMMYFUNCTION("""COMPUTED_VALUE"""),333.0)</f>
        <v>333</v>
      </c>
      <c r="Q326" s="2" t="str">
        <f>IFERROR(__xludf.DUMMYFUNCTION("""COMPUTED_VALUE"""),"Dine In")</f>
        <v>Dine In</v>
      </c>
      <c r="R326" s="2" t="str">
        <f>IFERROR(__xludf.DUMMYFUNCTION("""COMPUTED_VALUE"""),"Kedai")</f>
        <v>Kedai</v>
      </c>
      <c r="S326" s="2" t="str">
        <f>IFERROR(__xludf.DUMMYFUNCTION("""COMPUTED_VALUE"""),"Temu Roti")</f>
        <v>Temu Roti</v>
      </c>
      <c r="T326" s="2" t="str">
        <f>IFERROR(__xludf.DUMMYFUNCTION("""COMPUTED_VALUE"""),"Owner")</f>
        <v>Owner</v>
      </c>
      <c r="U326" s="2"/>
      <c r="V326" s="2"/>
      <c r="W326" s="2"/>
      <c r="X326" s="2" t="str">
        <f>IFERROR(__xludf.DUMMYFUNCTION("""COMPUTED_VALUE"""),"Closed")</f>
        <v>Closed</v>
      </c>
    </row>
    <row r="327">
      <c r="A327" s="3" t="s">
        <v>346</v>
      </c>
      <c r="B327" s="4">
        <f>IFERROR(__xludf.DUMMYFUNCTION("SPLIT(A327,"","",0,0)"),45557.876388888886)</f>
        <v>45557.87639</v>
      </c>
      <c r="C327" s="5">
        <f>IFERROR(__xludf.DUMMYFUNCTION("""COMPUTED_VALUE"""),2755788.0)</f>
        <v>2755788</v>
      </c>
      <c r="D327" s="2" t="str">
        <f>IFERROR(__xludf.DUMMYFUNCTION("""COMPUTED_VALUE"""),"Sale")</f>
        <v>Sale</v>
      </c>
      <c r="E327" s="2" t="str">
        <f>IFERROR(__xludf.DUMMYFUNCTION("""COMPUTED_VALUE"""),"Minuman")</f>
        <v>Minuman</v>
      </c>
      <c r="F327" s="2">
        <f>IFERROR(__xludf.DUMMYFUNCTION("""COMPUTED_VALUE"""),10128.0)</f>
        <v>10128</v>
      </c>
      <c r="G327" s="2" t="str">
        <f>IFERROR(__xludf.DUMMYFUNCTION("""COMPUTED_VALUE"""),"Es Kopi Susu")</f>
        <v>Es Kopi Susu</v>
      </c>
      <c r="H327" s="2"/>
      <c r="I327" s="2"/>
      <c r="J327" s="2">
        <f>IFERROR(__xludf.DUMMYFUNCTION("""COMPUTED_VALUE"""),1.0)</f>
        <v>1</v>
      </c>
      <c r="K327" s="6">
        <f>IFERROR(__xludf.DUMMYFUNCTION("""COMPUTED_VALUE"""),23333.0)</f>
        <v>23333</v>
      </c>
      <c r="L327" s="2">
        <f>IFERROR(__xludf.DUMMYFUNCTION("""COMPUTED_VALUE"""),0.0)</f>
        <v>0</v>
      </c>
      <c r="M327" s="2">
        <f>IFERROR(__xludf.DUMMYFUNCTION("""COMPUTED_VALUE"""),23333.0)</f>
        <v>23333</v>
      </c>
      <c r="N327" s="2">
        <f>IFERROR(__xludf.DUMMYFUNCTION("""COMPUTED_VALUE"""),0.0)</f>
        <v>0</v>
      </c>
      <c r="O327" s="2">
        <f>IFERROR(__xludf.DUMMYFUNCTION("""COMPUTED_VALUE"""),23333.0)</f>
        <v>23333</v>
      </c>
      <c r="P327" s="2">
        <f>IFERROR(__xludf.DUMMYFUNCTION("""COMPUTED_VALUE"""),1167.0)</f>
        <v>1167</v>
      </c>
      <c r="Q327" s="2" t="str">
        <f>IFERROR(__xludf.DUMMYFUNCTION("""COMPUTED_VALUE"""),"Dine In")</f>
        <v>Dine In</v>
      </c>
      <c r="R327" s="2" t="str">
        <f>IFERROR(__xludf.DUMMYFUNCTION("""COMPUTED_VALUE"""),"Kedai")</f>
        <v>Kedai</v>
      </c>
      <c r="S327" s="2" t="str">
        <f>IFERROR(__xludf.DUMMYFUNCTION("""COMPUTED_VALUE"""),"Temu Roti")</f>
        <v>Temu Roti</v>
      </c>
      <c r="T327" s="2" t="str">
        <f>IFERROR(__xludf.DUMMYFUNCTION("""COMPUTED_VALUE"""),"Owner")</f>
        <v>Owner</v>
      </c>
      <c r="U327" s="2"/>
      <c r="V327" s="2"/>
      <c r="W327" s="2"/>
      <c r="X327" s="2" t="str">
        <f>IFERROR(__xludf.DUMMYFUNCTION("""COMPUTED_VALUE"""),"Closed")</f>
        <v>Closed</v>
      </c>
    </row>
    <row r="328">
      <c r="A328" s="3" t="s">
        <v>348</v>
      </c>
      <c r="B328" s="4">
        <f>IFERROR(__xludf.DUMMYFUNCTION("SPLIT(A328,"","",0,0)"),45557.876388888886)</f>
        <v>45557.87639</v>
      </c>
      <c r="C328" s="5">
        <f>IFERROR(__xludf.DUMMYFUNCTION("""COMPUTED_VALUE"""),2755788.0)</f>
        <v>2755788</v>
      </c>
      <c r="D328" s="2" t="str">
        <f>IFERROR(__xludf.DUMMYFUNCTION("""COMPUTED_VALUE"""),"Sale")</f>
        <v>Sale</v>
      </c>
      <c r="E328" s="2" t="str">
        <f>IFERROR(__xludf.DUMMYFUNCTION("""COMPUTED_VALUE"""),"Roti")</f>
        <v>Roti</v>
      </c>
      <c r="F328" s="2">
        <f>IFERROR(__xludf.DUMMYFUNCTION("""COMPUTED_VALUE"""),10005.0)</f>
        <v>10005</v>
      </c>
      <c r="G328" s="2" t="str">
        <f>IFERROR(__xludf.DUMMYFUNCTION("""COMPUTED_VALUE"""),"Roti Gandum Cokelat")</f>
        <v>Roti Gandum Cokelat</v>
      </c>
      <c r="H328" s="2"/>
      <c r="I328" s="2"/>
      <c r="J328" s="2">
        <f>IFERROR(__xludf.DUMMYFUNCTION("""COMPUTED_VALUE"""),1.0)</f>
        <v>1</v>
      </c>
      <c r="K328" s="6">
        <f>IFERROR(__xludf.DUMMYFUNCTION("""COMPUTED_VALUE"""),19524.0)</f>
        <v>19524</v>
      </c>
      <c r="L328" s="2">
        <f>IFERROR(__xludf.DUMMYFUNCTION("""COMPUTED_VALUE"""),0.0)</f>
        <v>0</v>
      </c>
      <c r="M328" s="2">
        <f>IFERROR(__xludf.DUMMYFUNCTION("""COMPUTED_VALUE"""),19524.0)</f>
        <v>19524</v>
      </c>
      <c r="N328" s="2">
        <f>IFERROR(__xludf.DUMMYFUNCTION("""COMPUTED_VALUE"""),0.0)</f>
        <v>0</v>
      </c>
      <c r="O328" s="2">
        <f>IFERROR(__xludf.DUMMYFUNCTION("""COMPUTED_VALUE"""),19524.0)</f>
        <v>19524</v>
      </c>
      <c r="P328" s="2">
        <f>IFERROR(__xludf.DUMMYFUNCTION("""COMPUTED_VALUE"""),976.0)</f>
        <v>976</v>
      </c>
      <c r="Q328" s="2" t="str">
        <f>IFERROR(__xludf.DUMMYFUNCTION("""COMPUTED_VALUE"""),"Dine In")</f>
        <v>Dine In</v>
      </c>
      <c r="R328" s="2" t="str">
        <f>IFERROR(__xludf.DUMMYFUNCTION("""COMPUTED_VALUE"""),"Kedai")</f>
        <v>Kedai</v>
      </c>
      <c r="S328" s="2" t="str">
        <f>IFERROR(__xludf.DUMMYFUNCTION("""COMPUTED_VALUE"""),"Temu Roti")</f>
        <v>Temu Roti</v>
      </c>
      <c r="T328" s="2" t="str">
        <f>IFERROR(__xludf.DUMMYFUNCTION("""COMPUTED_VALUE"""),"Owner")</f>
        <v>Owner</v>
      </c>
      <c r="U328" s="2"/>
      <c r="V328" s="2"/>
      <c r="W328" s="2"/>
      <c r="X328" s="2" t="str">
        <f>IFERROR(__xludf.DUMMYFUNCTION("""COMPUTED_VALUE"""),"Closed")</f>
        <v>Closed</v>
      </c>
    </row>
    <row r="329">
      <c r="A329" s="3" t="s">
        <v>349</v>
      </c>
      <c r="B329" s="4">
        <f>IFERROR(__xludf.DUMMYFUNCTION("SPLIT(A329,"","",0,0)"),45557.84930555556)</f>
        <v>45557.84931</v>
      </c>
      <c r="C329" s="5">
        <f>IFERROR(__xludf.DUMMYFUNCTION("""COMPUTED_VALUE"""),2755422.0)</f>
        <v>2755422</v>
      </c>
      <c r="D329" s="2" t="str">
        <f>IFERROR(__xludf.DUMMYFUNCTION("""COMPUTED_VALUE"""),"Sale")</f>
        <v>Sale</v>
      </c>
      <c r="E329" s="2" t="str">
        <f>IFERROR(__xludf.DUMMYFUNCTION("""COMPUTED_VALUE"""),"Roti")</f>
        <v>Roti</v>
      </c>
      <c r="F329" s="2">
        <f>IFERROR(__xludf.DUMMYFUNCTION("""COMPUTED_VALUE"""),10002.0)</f>
        <v>10002</v>
      </c>
      <c r="G329" s="2" t="str">
        <f>IFERROR(__xludf.DUMMYFUNCTION("""COMPUTED_VALUE"""),"Roti Cranberry")</f>
        <v>Roti Cranberry</v>
      </c>
      <c r="H329" s="2"/>
      <c r="I329" s="2"/>
      <c r="J329" s="2">
        <f>IFERROR(__xludf.DUMMYFUNCTION("""COMPUTED_VALUE"""),1.0)</f>
        <v>1</v>
      </c>
      <c r="K329" s="6">
        <f>IFERROR(__xludf.DUMMYFUNCTION("""COMPUTED_VALUE"""),18571.0)</f>
        <v>18571</v>
      </c>
      <c r="L329" s="2">
        <f>IFERROR(__xludf.DUMMYFUNCTION("""COMPUTED_VALUE"""),0.0)</f>
        <v>0</v>
      </c>
      <c r="M329" s="2">
        <f>IFERROR(__xludf.DUMMYFUNCTION("""COMPUTED_VALUE"""),18571.0)</f>
        <v>18571</v>
      </c>
      <c r="N329" s="2">
        <f>IFERROR(__xludf.DUMMYFUNCTION("""COMPUTED_VALUE"""),0.0)</f>
        <v>0</v>
      </c>
      <c r="O329" s="2">
        <f>IFERROR(__xludf.DUMMYFUNCTION("""COMPUTED_VALUE"""),18571.0)</f>
        <v>18571</v>
      </c>
      <c r="P329" s="2">
        <f>IFERROR(__xludf.DUMMYFUNCTION("""COMPUTED_VALUE"""),929.0)</f>
        <v>929</v>
      </c>
      <c r="Q329" s="2" t="str">
        <f>IFERROR(__xludf.DUMMYFUNCTION("""COMPUTED_VALUE"""),"Dine In")</f>
        <v>Dine In</v>
      </c>
      <c r="R329" s="2" t="str">
        <f>IFERROR(__xludf.DUMMYFUNCTION("""COMPUTED_VALUE"""),"Kedai")</f>
        <v>Kedai</v>
      </c>
      <c r="S329" s="2" t="str">
        <f>IFERROR(__xludf.DUMMYFUNCTION("""COMPUTED_VALUE"""),"Temu Roti")</f>
        <v>Temu Roti</v>
      </c>
      <c r="T329" s="2" t="str">
        <f>IFERROR(__xludf.DUMMYFUNCTION("""COMPUTED_VALUE"""),"Owner")</f>
        <v>Owner</v>
      </c>
      <c r="U329" s="2"/>
      <c r="V329" s="2"/>
      <c r="W329" s="2"/>
      <c r="X329" s="2" t="str">
        <f>IFERROR(__xludf.DUMMYFUNCTION("""COMPUTED_VALUE"""),"Closed")</f>
        <v>Closed</v>
      </c>
    </row>
    <row r="330">
      <c r="A330" s="3" t="s">
        <v>350</v>
      </c>
      <c r="B330" s="4">
        <f>IFERROR(__xludf.DUMMYFUNCTION("SPLIT(A330,"","",0,0)"),45557.84930555556)</f>
        <v>45557.84931</v>
      </c>
      <c r="C330" s="5">
        <f>IFERROR(__xludf.DUMMYFUNCTION("""COMPUTED_VALUE"""),2755422.0)</f>
        <v>2755422</v>
      </c>
      <c r="D330" s="2" t="str">
        <f>IFERROR(__xludf.DUMMYFUNCTION("""COMPUTED_VALUE"""),"Sale")</f>
        <v>Sale</v>
      </c>
      <c r="E330" s="2" t="str">
        <f>IFERROR(__xludf.DUMMYFUNCTION("""COMPUTED_VALUE"""),"Roti")</f>
        <v>Roti</v>
      </c>
      <c r="F330" s="2">
        <f>IFERROR(__xludf.DUMMYFUNCTION("""COMPUTED_VALUE"""),10005.0)</f>
        <v>10005</v>
      </c>
      <c r="G330" s="2" t="str">
        <f>IFERROR(__xludf.DUMMYFUNCTION("""COMPUTED_VALUE"""),"Roti Gandum Cokelat")</f>
        <v>Roti Gandum Cokelat</v>
      </c>
      <c r="H330" s="2"/>
      <c r="I330" s="2"/>
      <c r="J330" s="2">
        <f>IFERROR(__xludf.DUMMYFUNCTION("""COMPUTED_VALUE"""),1.0)</f>
        <v>1</v>
      </c>
      <c r="K330" s="6">
        <f>IFERROR(__xludf.DUMMYFUNCTION("""COMPUTED_VALUE"""),19524.0)</f>
        <v>19524</v>
      </c>
      <c r="L330" s="2">
        <f>IFERROR(__xludf.DUMMYFUNCTION("""COMPUTED_VALUE"""),0.0)</f>
        <v>0</v>
      </c>
      <c r="M330" s="2">
        <f>IFERROR(__xludf.DUMMYFUNCTION("""COMPUTED_VALUE"""),19524.0)</f>
        <v>19524</v>
      </c>
      <c r="N330" s="2">
        <f>IFERROR(__xludf.DUMMYFUNCTION("""COMPUTED_VALUE"""),0.0)</f>
        <v>0</v>
      </c>
      <c r="O330" s="2">
        <f>IFERROR(__xludf.DUMMYFUNCTION("""COMPUTED_VALUE"""),19524.0)</f>
        <v>19524</v>
      </c>
      <c r="P330" s="2">
        <f>IFERROR(__xludf.DUMMYFUNCTION("""COMPUTED_VALUE"""),976.0)</f>
        <v>976</v>
      </c>
      <c r="Q330" s="2" t="str">
        <f>IFERROR(__xludf.DUMMYFUNCTION("""COMPUTED_VALUE"""),"Dine In")</f>
        <v>Dine In</v>
      </c>
      <c r="R330" s="2" t="str">
        <f>IFERROR(__xludf.DUMMYFUNCTION("""COMPUTED_VALUE"""),"Kedai")</f>
        <v>Kedai</v>
      </c>
      <c r="S330" s="2" t="str">
        <f>IFERROR(__xludf.DUMMYFUNCTION("""COMPUTED_VALUE"""),"Temu Roti")</f>
        <v>Temu Roti</v>
      </c>
      <c r="T330" s="2" t="str">
        <f>IFERROR(__xludf.DUMMYFUNCTION("""COMPUTED_VALUE"""),"Owner")</f>
        <v>Owner</v>
      </c>
      <c r="U330" s="2"/>
      <c r="V330" s="2"/>
      <c r="W330" s="2"/>
      <c r="X330" s="2" t="str">
        <f>IFERROR(__xludf.DUMMYFUNCTION("""COMPUTED_VALUE"""),"Closed")</f>
        <v>Closed</v>
      </c>
    </row>
    <row r="331">
      <c r="A331" s="3" t="s">
        <v>351</v>
      </c>
      <c r="B331" s="4">
        <f>IFERROR(__xludf.DUMMYFUNCTION("SPLIT(A331,"","",0,0)"),45557.811111111114)</f>
        <v>45557.81111</v>
      </c>
      <c r="C331" s="5">
        <f>IFERROR(__xludf.DUMMYFUNCTION("""COMPUTED_VALUE"""),2755057.0)</f>
        <v>2755057</v>
      </c>
      <c r="D331" s="2" t="str">
        <f>IFERROR(__xludf.DUMMYFUNCTION("""COMPUTED_VALUE"""),"Sale")</f>
        <v>Sale</v>
      </c>
      <c r="E331" s="2" t="str">
        <f>IFERROR(__xludf.DUMMYFUNCTION("""COMPUTED_VALUE"""),"Minuman")</f>
        <v>Minuman</v>
      </c>
      <c r="F331" s="2">
        <f>IFERROR(__xludf.DUMMYFUNCTION("""COMPUTED_VALUE"""),10026.0)</f>
        <v>10026</v>
      </c>
      <c r="G331" s="2" t="str">
        <f>IFERROR(__xludf.DUMMYFUNCTION("""COMPUTED_VALUE"""),"Es Kopi Lemon")</f>
        <v>Es Kopi Lemon</v>
      </c>
      <c r="H331" s="2"/>
      <c r="I331" s="2"/>
      <c r="J331" s="2">
        <f>IFERROR(__xludf.DUMMYFUNCTION("""COMPUTED_VALUE"""),1.0)</f>
        <v>1</v>
      </c>
      <c r="K331" s="6">
        <f>IFERROR(__xludf.DUMMYFUNCTION("""COMPUTED_VALUE"""),21905.0)</f>
        <v>21905</v>
      </c>
      <c r="L331" s="2">
        <f>IFERROR(__xludf.DUMMYFUNCTION("""COMPUTED_VALUE"""),0.0)</f>
        <v>0</v>
      </c>
      <c r="M331" s="2">
        <f>IFERROR(__xludf.DUMMYFUNCTION("""COMPUTED_VALUE"""),21905.0)</f>
        <v>21905</v>
      </c>
      <c r="N331" s="2">
        <f>IFERROR(__xludf.DUMMYFUNCTION("""COMPUTED_VALUE"""),0.0)</f>
        <v>0</v>
      </c>
      <c r="O331" s="2">
        <f>IFERROR(__xludf.DUMMYFUNCTION("""COMPUTED_VALUE"""),21905.0)</f>
        <v>21905</v>
      </c>
      <c r="P331" s="2">
        <f>IFERROR(__xludf.DUMMYFUNCTION("""COMPUTED_VALUE"""),1095.0)</f>
        <v>1095</v>
      </c>
      <c r="Q331" s="2" t="str">
        <f>IFERROR(__xludf.DUMMYFUNCTION("""COMPUTED_VALUE"""),"Dine In")</f>
        <v>Dine In</v>
      </c>
      <c r="R331" s="2" t="str">
        <f>IFERROR(__xludf.DUMMYFUNCTION("""COMPUTED_VALUE"""),"Kedai")</f>
        <v>Kedai</v>
      </c>
      <c r="S331" s="2" t="str">
        <f>IFERROR(__xludf.DUMMYFUNCTION("""COMPUTED_VALUE"""),"Temu Roti")</f>
        <v>Temu Roti</v>
      </c>
      <c r="T331" s="2" t="str">
        <f>IFERROR(__xludf.DUMMYFUNCTION("""COMPUTED_VALUE"""),"Owner")</f>
        <v>Owner</v>
      </c>
      <c r="U331" s="2"/>
      <c r="V331" s="2"/>
      <c r="W331" s="2"/>
      <c r="X331" s="2" t="str">
        <f>IFERROR(__xludf.DUMMYFUNCTION("""COMPUTED_VALUE"""),"Closed")</f>
        <v>Closed</v>
      </c>
    </row>
    <row r="332">
      <c r="A332" s="3" t="s">
        <v>352</v>
      </c>
      <c r="B332" s="4">
        <f>IFERROR(__xludf.DUMMYFUNCTION("SPLIT(A332,"","",0,0)"),45557.811111111114)</f>
        <v>45557.81111</v>
      </c>
      <c r="C332" s="5">
        <f>IFERROR(__xludf.DUMMYFUNCTION("""COMPUTED_VALUE"""),2755057.0)</f>
        <v>2755057</v>
      </c>
      <c r="D332" s="2" t="str">
        <f>IFERROR(__xludf.DUMMYFUNCTION("""COMPUTED_VALUE"""),"Sale")</f>
        <v>Sale</v>
      </c>
      <c r="E332" s="2" t="str">
        <f>IFERROR(__xludf.DUMMYFUNCTION("""COMPUTED_VALUE"""),"Minuman")</f>
        <v>Minuman</v>
      </c>
      <c r="F332" s="2">
        <f>IFERROR(__xludf.DUMMYFUNCTION("""COMPUTED_VALUE"""),10112.0)</f>
        <v>10112</v>
      </c>
      <c r="G332" s="2" t="str">
        <f>IFERROR(__xludf.DUMMYFUNCTION("""COMPUTED_VALUE"""),"Air mineral")</f>
        <v>Air mineral</v>
      </c>
      <c r="H332" s="2"/>
      <c r="I332" s="2"/>
      <c r="J332" s="2">
        <f>IFERROR(__xludf.DUMMYFUNCTION("""COMPUTED_VALUE"""),1.0)</f>
        <v>1</v>
      </c>
      <c r="K332" s="6">
        <f>IFERROR(__xludf.DUMMYFUNCTION("""COMPUTED_VALUE"""),6667.0)</f>
        <v>6667</v>
      </c>
      <c r="L332" s="2">
        <f>IFERROR(__xludf.DUMMYFUNCTION("""COMPUTED_VALUE"""),0.0)</f>
        <v>0</v>
      </c>
      <c r="M332" s="2">
        <f>IFERROR(__xludf.DUMMYFUNCTION("""COMPUTED_VALUE"""),6667.0)</f>
        <v>6667</v>
      </c>
      <c r="N332" s="2">
        <f>IFERROR(__xludf.DUMMYFUNCTION("""COMPUTED_VALUE"""),0.0)</f>
        <v>0</v>
      </c>
      <c r="O332" s="2">
        <f>IFERROR(__xludf.DUMMYFUNCTION("""COMPUTED_VALUE"""),6667.0)</f>
        <v>6667</v>
      </c>
      <c r="P332" s="2">
        <f>IFERROR(__xludf.DUMMYFUNCTION("""COMPUTED_VALUE"""),334.0)</f>
        <v>334</v>
      </c>
      <c r="Q332" s="2" t="str">
        <f>IFERROR(__xludf.DUMMYFUNCTION("""COMPUTED_VALUE"""),"Dine In")</f>
        <v>Dine In</v>
      </c>
      <c r="R332" s="2" t="str">
        <f>IFERROR(__xludf.DUMMYFUNCTION("""COMPUTED_VALUE"""),"Kedai")</f>
        <v>Kedai</v>
      </c>
      <c r="S332" s="2" t="str">
        <f>IFERROR(__xludf.DUMMYFUNCTION("""COMPUTED_VALUE"""),"Temu Roti")</f>
        <v>Temu Roti</v>
      </c>
      <c r="T332" s="2" t="str">
        <f>IFERROR(__xludf.DUMMYFUNCTION("""COMPUTED_VALUE"""),"Owner")</f>
        <v>Owner</v>
      </c>
      <c r="U332" s="2"/>
      <c r="V332" s="2"/>
      <c r="W332" s="2"/>
      <c r="X332" s="2" t="str">
        <f>IFERROR(__xludf.DUMMYFUNCTION("""COMPUTED_VALUE"""),"Closed")</f>
        <v>Closed</v>
      </c>
    </row>
    <row r="333">
      <c r="A333" s="3" t="s">
        <v>353</v>
      </c>
      <c r="B333" s="4">
        <f>IFERROR(__xludf.DUMMYFUNCTION("SPLIT(A333,"","",0,0)"),45557.811111111114)</f>
        <v>45557.81111</v>
      </c>
      <c r="C333" s="5">
        <f>IFERROR(__xludf.DUMMYFUNCTION("""COMPUTED_VALUE"""),2755057.0)</f>
        <v>2755057</v>
      </c>
      <c r="D333" s="2" t="str">
        <f>IFERROR(__xludf.DUMMYFUNCTION("""COMPUTED_VALUE"""),"Sale")</f>
        <v>Sale</v>
      </c>
      <c r="E333" s="2" t="str">
        <f>IFERROR(__xludf.DUMMYFUNCTION("""COMPUTED_VALUE"""),"Minuman")</f>
        <v>Minuman</v>
      </c>
      <c r="F333" s="2">
        <f>IFERROR(__xludf.DUMMYFUNCTION("""COMPUTED_VALUE"""),10127.0)</f>
        <v>10127</v>
      </c>
      <c r="G333" s="2" t="str">
        <f>IFERROR(__xludf.DUMMYFUNCTION("""COMPUTED_VALUE"""),"Kopi Tubruk Panas")</f>
        <v>Kopi Tubruk Panas</v>
      </c>
      <c r="H333" s="2"/>
      <c r="I333" s="2"/>
      <c r="J333" s="2">
        <f>IFERROR(__xludf.DUMMYFUNCTION("""COMPUTED_VALUE"""),1.0)</f>
        <v>1</v>
      </c>
      <c r="K333" s="6">
        <f>IFERROR(__xludf.DUMMYFUNCTION("""COMPUTED_VALUE"""),18571.0)</f>
        <v>18571</v>
      </c>
      <c r="L333" s="2">
        <f>IFERROR(__xludf.DUMMYFUNCTION("""COMPUTED_VALUE"""),0.0)</f>
        <v>0</v>
      </c>
      <c r="M333" s="2">
        <f>IFERROR(__xludf.DUMMYFUNCTION("""COMPUTED_VALUE"""),18571.0)</f>
        <v>18571</v>
      </c>
      <c r="N333" s="2">
        <f>IFERROR(__xludf.DUMMYFUNCTION("""COMPUTED_VALUE"""),0.0)</f>
        <v>0</v>
      </c>
      <c r="O333" s="2">
        <f>IFERROR(__xludf.DUMMYFUNCTION("""COMPUTED_VALUE"""),18571.0)</f>
        <v>18571</v>
      </c>
      <c r="P333" s="2">
        <f>IFERROR(__xludf.DUMMYFUNCTION("""COMPUTED_VALUE"""),928.0)</f>
        <v>928</v>
      </c>
      <c r="Q333" s="2" t="str">
        <f>IFERROR(__xludf.DUMMYFUNCTION("""COMPUTED_VALUE"""),"Dine In")</f>
        <v>Dine In</v>
      </c>
      <c r="R333" s="2" t="str">
        <f>IFERROR(__xludf.DUMMYFUNCTION("""COMPUTED_VALUE"""),"Kedai")</f>
        <v>Kedai</v>
      </c>
      <c r="S333" s="2" t="str">
        <f>IFERROR(__xludf.DUMMYFUNCTION("""COMPUTED_VALUE"""),"Temu Roti")</f>
        <v>Temu Roti</v>
      </c>
      <c r="T333" s="2" t="str">
        <f>IFERROR(__xludf.DUMMYFUNCTION("""COMPUTED_VALUE"""),"Owner")</f>
        <v>Owner</v>
      </c>
      <c r="U333" s="2"/>
      <c r="V333" s="2"/>
      <c r="W333" s="2"/>
      <c r="X333" s="2" t="str">
        <f>IFERROR(__xludf.DUMMYFUNCTION("""COMPUTED_VALUE"""),"Closed")</f>
        <v>Closed</v>
      </c>
    </row>
    <row r="334">
      <c r="A334" s="3" t="s">
        <v>354</v>
      </c>
      <c r="B334" s="4">
        <f>IFERROR(__xludf.DUMMYFUNCTION("SPLIT(A334,"","",0,0)"),45557.779861111114)</f>
        <v>45557.77986</v>
      </c>
      <c r="C334" s="5">
        <f>IFERROR(__xludf.DUMMYFUNCTION("""COMPUTED_VALUE"""),2754692.0)</f>
        <v>2754692</v>
      </c>
      <c r="D334" s="2" t="str">
        <f>IFERROR(__xludf.DUMMYFUNCTION("""COMPUTED_VALUE"""),"Sale")</f>
        <v>Sale</v>
      </c>
      <c r="E334" s="2" t="str">
        <f>IFERROR(__xludf.DUMMYFUNCTION("""COMPUTED_VALUE"""),"Roti")</f>
        <v>Roti</v>
      </c>
      <c r="F334" s="2">
        <f>IFERROR(__xludf.DUMMYFUNCTION("""COMPUTED_VALUE"""),10002.0)</f>
        <v>10002</v>
      </c>
      <c r="G334" s="2" t="str">
        <f>IFERROR(__xludf.DUMMYFUNCTION("""COMPUTED_VALUE"""),"Roti Cranberry")</f>
        <v>Roti Cranberry</v>
      </c>
      <c r="H334" s="2"/>
      <c r="I334" s="2"/>
      <c r="J334" s="2">
        <f>IFERROR(__xludf.DUMMYFUNCTION("""COMPUTED_VALUE"""),1.0)</f>
        <v>1</v>
      </c>
      <c r="K334" s="6">
        <f>IFERROR(__xludf.DUMMYFUNCTION("""COMPUTED_VALUE"""),18571.0)</f>
        <v>18571</v>
      </c>
      <c r="L334" s="2">
        <f>IFERROR(__xludf.DUMMYFUNCTION("""COMPUTED_VALUE"""),0.0)</f>
        <v>0</v>
      </c>
      <c r="M334" s="2">
        <f>IFERROR(__xludf.DUMMYFUNCTION("""COMPUTED_VALUE"""),18571.0)</f>
        <v>18571</v>
      </c>
      <c r="N334" s="2">
        <f>IFERROR(__xludf.DUMMYFUNCTION("""COMPUTED_VALUE"""),0.0)</f>
        <v>0</v>
      </c>
      <c r="O334" s="2">
        <f>IFERROR(__xludf.DUMMYFUNCTION("""COMPUTED_VALUE"""),18571.0)</f>
        <v>18571</v>
      </c>
      <c r="P334" s="2">
        <f>IFERROR(__xludf.DUMMYFUNCTION("""COMPUTED_VALUE"""),929.0)</f>
        <v>929</v>
      </c>
      <c r="Q334" s="2" t="str">
        <f>IFERROR(__xludf.DUMMYFUNCTION("""COMPUTED_VALUE"""),"Dine In")</f>
        <v>Dine In</v>
      </c>
      <c r="R334" s="2" t="str">
        <f>IFERROR(__xludf.DUMMYFUNCTION("""COMPUTED_VALUE"""),"Kedai")</f>
        <v>Kedai</v>
      </c>
      <c r="S334" s="2" t="str">
        <f>IFERROR(__xludf.DUMMYFUNCTION("""COMPUTED_VALUE"""),"Temu Roti")</f>
        <v>Temu Roti</v>
      </c>
      <c r="T334" s="2" t="str">
        <f>IFERROR(__xludf.DUMMYFUNCTION("""COMPUTED_VALUE"""),"Owner")</f>
        <v>Owner</v>
      </c>
      <c r="U334" s="2"/>
      <c r="V334" s="2"/>
      <c r="W334" s="2"/>
      <c r="X334" s="2" t="str">
        <f>IFERROR(__xludf.DUMMYFUNCTION("""COMPUTED_VALUE"""),"Closed")</f>
        <v>Closed</v>
      </c>
    </row>
    <row r="335">
      <c r="A335" s="3" t="s">
        <v>355</v>
      </c>
      <c r="B335" s="4">
        <f>IFERROR(__xludf.DUMMYFUNCTION("SPLIT(A335,"","",0,0)"),45557.70416666667)</f>
        <v>45557.70417</v>
      </c>
      <c r="C335" s="5">
        <f>IFERROR(__xludf.DUMMYFUNCTION("""COMPUTED_VALUE"""),2754327.0)</f>
        <v>2754327</v>
      </c>
      <c r="D335" s="2" t="str">
        <f>IFERROR(__xludf.DUMMYFUNCTION("""COMPUTED_VALUE"""),"Sale")</f>
        <v>Sale</v>
      </c>
      <c r="E335" s="2" t="str">
        <f>IFERROR(__xludf.DUMMYFUNCTION("""COMPUTED_VALUE"""),"Minuman")</f>
        <v>Minuman</v>
      </c>
      <c r="F335" s="2">
        <f>IFERROR(__xludf.DUMMYFUNCTION("""COMPUTED_VALUE"""),10128.0)</f>
        <v>10128</v>
      </c>
      <c r="G335" s="2" t="str">
        <f>IFERROR(__xludf.DUMMYFUNCTION("""COMPUTED_VALUE"""),"Es Kopi Susu")</f>
        <v>Es Kopi Susu</v>
      </c>
      <c r="H335" s="2"/>
      <c r="I335" s="2"/>
      <c r="J335" s="2">
        <f>IFERROR(__xludf.DUMMYFUNCTION("""COMPUTED_VALUE"""),2.0)</f>
        <v>2</v>
      </c>
      <c r="K335" s="6">
        <f>IFERROR(__xludf.DUMMYFUNCTION("""COMPUTED_VALUE"""),46666.0)</f>
        <v>46666</v>
      </c>
      <c r="L335" s="2">
        <f>IFERROR(__xludf.DUMMYFUNCTION("""COMPUTED_VALUE"""),0.0)</f>
        <v>0</v>
      </c>
      <c r="M335" s="2">
        <f>IFERROR(__xludf.DUMMYFUNCTION("""COMPUTED_VALUE"""),46666.0)</f>
        <v>46666</v>
      </c>
      <c r="N335" s="2">
        <f>IFERROR(__xludf.DUMMYFUNCTION("""COMPUTED_VALUE"""),0.0)</f>
        <v>0</v>
      </c>
      <c r="O335" s="2">
        <f>IFERROR(__xludf.DUMMYFUNCTION("""COMPUTED_VALUE"""),46666.0)</f>
        <v>46666</v>
      </c>
      <c r="P335" s="2">
        <f>IFERROR(__xludf.DUMMYFUNCTION("""COMPUTED_VALUE"""),2333.0)</f>
        <v>2333</v>
      </c>
      <c r="Q335" s="2" t="str">
        <f>IFERROR(__xludf.DUMMYFUNCTION("""COMPUTED_VALUE"""),"Dine In")</f>
        <v>Dine In</v>
      </c>
      <c r="R335" s="2" t="str">
        <f>IFERROR(__xludf.DUMMYFUNCTION("""COMPUTED_VALUE"""),"Kedai")</f>
        <v>Kedai</v>
      </c>
      <c r="S335" s="2" t="str">
        <f>IFERROR(__xludf.DUMMYFUNCTION("""COMPUTED_VALUE"""),"Temu Roti")</f>
        <v>Temu Roti</v>
      </c>
      <c r="T335" s="2" t="str">
        <f>IFERROR(__xludf.DUMMYFUNCTION("""COMPUTED_VALUE"""),"Owner")</f>
        <v>Owner</v>
      </c>
      <c r="U335" s="2"/>
      <c r="V335" s="2"/>
      <c r="W335" s="2"/>
      <c r="X335" s="2" t="str">
        <f>IFERROR(__xludf.DUMMYFUNCTION("""COMPUTED_VALUE"""),"Closed")</f>
        <v>Closed</v>
      </c>
    </row>
    <row r="336">
      <c r="A336" s="3" t="s">
        <v>356</v>
      </c>
      <c r="B336" s="4">
        <f>IFERROR(__xludf.DUMMYFUNCTION("SPLIT(A336,"","",0,0)"),45557.63680555556)</f>
        <v>45557.63681</v>
      </c>
      <c r="C336" s="5">
        <f>IFERROR(__xludf.DUMMYFUNCTION("""COMPUTED_VALUE"""),2753961.0)</f>
        <v>2753961</v>
      </c>
      <c r="D336" s="2" t="str">
        <f>IFERROR(__xludf.DUMMYFUNCTION("""COMPUTED_VALUE"""),"Sale")</f>
        <v>Sale</v>
      </c>
      <c r="E336" s="2" t="str">
        <f>IFERROR(__xludf.DUMMYFUNCTION("""COMPUTED_VALUE"""),"Roti")</f>
        <v>Roti</v>
      </c>
      <c r="F336" s="2">
        <f>IFERROR(__xludf.DUMMYFUNCTION("""COMPUTED_VALUE"""),10007.0)</f>
        <v>10007</v>
      </c>
      <c r="G336" s="2" t="str">
        <f>IFERROR(__xludf.DUMMYFUNCTION("""COMPUTED_VALUE"""),"Roti cranberry 2 pcs")</f>
        <v>Roti cranberry 2 pcs</v>
      </c>
      <c r="H336" s="2"/>
      <c r="I336" s="2"/>
      <c r="J336" s="2">
        <f>IFERROR(__xludf.DUMMYFUNCTION("""COMPUTED_VALUE"""),2.0)</f>
        <v>2</v>
      </c>
      <c r="K336" s="6">
        <f>IFERROR(__xludf.DUMMYFUNCTION("""COMPUTED_VALUE"""),67620.0)</f>
        <v>67620</v>
      </c>
      <c r="L336" s="2">
        <f>IFERROR(__xludf.DUMMYFUNCTION("""COMPUTED_VALUE"""),0.0)</f>
        <v>0</v>
      </c>
      <c r="M336" s="2">
        <f>IFERROR(__xludf.DUMMYFUNCTION("""COMPUTED_VALUE"""),67620.0)</f>
        <v>67620</v>
      </c>
      <c r="N336" s="2">
        <f>IFERROR(__xludf.DUMMYFUNCTION("""COMPUTED_VALUE"""),0.0)</f>
        <v>0</v>
      </c>
      <c r="O336" s="2">
        <f>IFERROR(__xludf.DUMMYFUNCTION("""COMPUTED_VALUE"""),67620.0)</f>
        <v>67620</v>
      </c>
      <c r="P336" s="2">
        <f>IFERROR(__xludf.DUMMYFUNCTION("""COMPUTED_VALUE"""),3381.0)</f>
        <v>3381</v>
      </c>
      <c r="Q336" s="2" t="str">
        <f>IFERROR(__xludf.DUMMYFUNCTION("""COMPUTED_VALUE"""),"Take Away")</f>
        <v>Take Away</v>
      </c>
      <c r="R336" s="2" t="str">
        <f>IFERROR(__xludf.DUMMYFUNCTION("""COMPUTED_VALUE"""),"Kedai")</f>
        <v>Kedai</v>
      </c>
      <c r="S336" s="2" t="str">
        <f>IFERROR(__xludf.DUMMYFUNCTION("""COMPUTED_VALUE"""),"Temu Roti")</f>
        <v>Temu Roti</v>
      </c>
      <c r="T336" s="2" t="str">
        <f>IFERROR(__xludf.DUMMYFUNCTION("""COMPUTED_VALUE"""),"Owner")</f>
        <v>Owner</v>
      </c>
      <c r="U336" s="2"/>
      <c r="V336" s="2"/>
      <c r="W336" s="2"/>
      <c r="X336" s="2" t="str">
        <f>IFERROR(__xludf.DUMMYFUNCTION("""COMPUTED_VALUE"""),"Closed")</f>
        <v>Closed</v>
      </c>
    </row>
    <row r="337">
      <c r="A337" s="3" t="s">
        <v>357</v>
      </c>
      <c r="B337" s="4">
        <f>IFERROR(__xludf.DUMMYFUNCTION("SPLIT(A337,"","",0,0)"),45557.63680555556)</f>
        <v>45557.63681</v>
      </c>
      <c r="C337" s="5">
        <f>IFERROR(__xludf.DUMMYFUNCTION("""COMPUTED_VALUE"""),2753961.0)</f>
        <v>2753961</v>
      </c>
      <c r="D337" s="2" t="str">
        <f>IFERROR(__xludf.DUMMYFUNCTION("""COMPUTED_VALUE"""),"Sale")</f>
        <v>Sale</v>
      </c>
      <c r="E337" s="2" t="str">
        <f>IFERROR(__xludf.DUMMYFUNCTION("""COMPUTED_VALUE"""),"Roti")</f>
        <v>Roti</v>
      </c>
      <c r="F337" s="2">
        <f>IFERROR(__xludf.DUMMYFUNCTION("""COMPUTED_VALUE"""),10055.0)</f>
        <v>10055</v>
      </c>
      <c r="G337" s="2" t="str">
        <f>IFERROR(__xludf.DUMMYFUNCTION("""COMPUTED_VALUE"""),"Roti Gandum Cokelat 2 pcs")</f>
        <v>Roti Gandum Cokelat 2 pcs</v>
      </c>
      <c r="H337" s="2"/>
      <c r="I337" s="2"/>
      <c r="J337" s="2">
        <f>IFERROR(__xludf.DUMMYFUNCTION("""COMPUTED_VALUE"""),2.0)</f>
        <v>2</v>
      </c>
      <c r="K337" s="6">
        <f>IFERROR(__xludf.DUMMYFUNCTION("""COMPUTED_VALUE"""),69524.0)</f>
        <v>69524</v>
      </c>
      <c r="L337" s="2">
        <f>IFERROR(__xludf.DUMMYFUNCTION("""COMPUTED_VALUE"""),0.0)</f>
        <v>0</v>
      </c>
      <c r="M337" s="2">
        <f>IFERROR(__xludf.DUMMYFUNCTION("""COMPUTED_VALUE"""),69524.0)</f>
        <v>69524</v>
      </c>
      <c r="N337" s="2">
        <f>IFERROR(__xludf.DUMMYFUNCTION("""COMPUTED_VALUE"""),0.0)</f>
        <v>0</v>
      </c>
      <c r="O337" s="2">
        <f>IFERROR(__xludf.DUMMYFUNCTION("""COMPUTED_VALUE"""),69524.0)</f>
        <v>69524</v>
      </c>
      <c r="P337" s="2">
        <f>IFERROR(__xludf.DUMMYFUNCTION("""COMPUTED_VALUE"""),3476.0)</f>
        <v>3476</v>
      </c>
      <c r="Q337" s="2" t="str">
        <f>IFERROR(__xludf.DUMMYFUNCTION("""COMPUTED_VALUE"""),"Take Away")</f>
        <v>Take Away</v>
      </c>
      <c r="R337" s="2" t="str">
        <f>IFERROR(__xludf.DUMMYFUNCTION("""COMPUTED_VALUE"""),"Kedai")</f>
        <v>Kedai</v>
      </c>
      <c r="S337" s="2" t="str">
        <f>IFERROR(__xludf.DUMMYFUNCTION("""COMPUTED_VALUE"""),"Temu Roti")</f>
        <v>Temu Roti</v>
      </c>
      <c r="T337" s="2" t="str">
        <f>IFERROR(__xludf.DUMMYFUNCTION("""COMPUTED_VALUE"""),"Owner")</f>
        <v>Owner</v>
      </c>
      <c r="U337" s="2"/>
      <c r="V337" s="2"/>
      <c r="W337" s="2"/>
      <c r="X337" s="2" t="str">
        <f>IFERROR(__xludf.DUMMYFUNCTION("""COMPUTED_VALUE"""),"Closed")</f>
        <v>Closed</v>
      </c>
    </row>
    <row r="338">
      <c r="A338" s="3" t="s">
        <v>358</v>
      </c>
      <c r="B338" s="4">
        <f>IFERROR(__xludf.DUMMYFUNCTION("SPLIT(A338,"","",0,0)"),45557.61875)</f>
        <v>45557.61875</v>
      </c>
      <c r="C338" s="5">
        <f>IFERROR(__xludf.DUMMYFUNCTION("""COMPUTED_VALUE"""),2753596.0)</f>
        <v>2753596</v>
      </c>
      <c r="D338" s="2" t="str">
        <f>IFERROR(__xludf.DUMMYFUNCTION("""COMPUTED_VALUE"""),"Sale")</f>
        <v>Sale</v>
      </c>
      <c r="E338" s="2" t="str">
        <f>IFERROR(__xludf.DUMMYFUNCTION("""COMPUTED_VALUE"""),"Roti")</f>
        <v>Roti</v>
      </c>
      <c r="F338" s="2">
        <f>IFERROR(__xludf.DUMMYFUNCTION("""COMPUTED_VALUE"""),10007.0)</f>
        <v>10007</v>
      </c>
      <c r="G338" s="2" t="str">
        <f>IFERROR(__xludf.DUMMYFUNCTION("""COMPUTED_VALUE"""),"Roti cranberry 2 pcs")</f>
        <v>Roti cranberry 2 pcs</v>
      </c>
      <c r="H338" s="2"/>
      <c r="I338" s="2"/>
      <c r="J338" s="2">
        <f>IFERROR(__xludf.DUMMYFUNCTION("""COMPUTED_VALUE"""),1.0)</f>
        <v>1</v>
      </c>
      <c r="K338" s="6">
        <f>IFERROR(__xludf.DUMMYFUNCTION("""COMPUTED_VALUE"""),33810.0)</f>
        <v>33810</v>
      </c>
      <c r="L338" s="2">
        <f>IFERROR(__xludf.DUMMYFUNCTION("""COMPUTED_VALUE"""),0.0)</f>
        <v>0</v>
      </c>
      <c r="M338" s="2">
        <f>IFERROR(__xludf.DUMMYFUNCTION("""COMPUTED_VALUE"""),33810.0)</f>
        <v>33810</v>
      </c>
      <c r="N338" s="2">
        <f>IFERROR(__xludf.DUMMYFUNCTION("""COMPUTED_VALUE"""),0.0)</f>
        <v>0</v>
      </c>
      <c r="O338" s="2">
        <f>IFERROR(__xludf.DUMMYFUNCTION("""COMPUTED_VALUE"""),33810.0)</f>
        <v>33810</v>
      </c>
      <c r="P338" s="2">
        <f>IFERROR(__xludf.DUMMYFUNCTION("""COMPUTED_VALUE"""),1691.0)</f>
        <v>1691</v>
      </c>
      <c r="Q338" s="2" t="str">
        <f>IFERROR(__xludf.DUMMYFUNCTION("""COMPUTED_VALUE"""),"Dine In")</f>
        <v>Dine In</v>
      </c>
      <c r="R338" s="2" t="str">
        <f>IFERROR(__xludf.DUMMYFUNCTION("""COMPUTED_VALUE"""),"Kedai")</f>
        <v>Kedai</v>
      </c>
      <c r="S338" s="2" t="str">
        <f>IFERROR(__xludf.DUMMYFUNCTION("""COMPUTED_VALUE"""),"Temu Roti")</f>
        <v>Temu Roti</v>
      </c>
      <c r="T338" s="2" t="str">
        <f>IFERROR(__xludf.DUMMYFUNCTION("""COMPUTED_VALUE"""),"Owner")</f>
        <v>Owner</v>
      </c>
      <c r="U338" s="2"/>
      <c r="V338" s="2"/>
      <c r="W338" s="2"/>
      <c r="X338" s="2" t="str">
        <f>IFERROR(__xludf.DUMMYFUNCTION("""COMPUTED_VALUE"""),"Closed")</f>
        <v>Closed</v>
      </c>
    </row>
    <row r="339">
      <c r="A339" s="3" t="s">
        <v>359</v>
      </c>
      <c r="B339" s="4">
        <f>IFERROR(__xludf.DUMMYFUNCTION("SPLIT(A339,"","",0,0)"),45557.61875)</f>
        <v>45557.61875</v>
      </c>
      <c r="C339" s="5">
        <f>IFERROR(__xludf.DUMMYFUNCTION("""COMPUTED_VALUE"""),2753596.0)</f>
        <v>2753596</v>
      </c>
      <c r="D339" s="2" t="str">
        <f>IFERROR(__xludf.DUMMYFUNCTION("""COMPUTED_VALUE"""),"Sale")</f>
        <v>Sale</v>
      </c>
      <c r="E339" s="2" t="str">
        <f>IFERROR(__xludf.DUMMYFUNCTION("""COMPUTED_VALUE"""),"Roti")</f>
        <v>Roti</v>
      </c>
      <c r="F339" s="2">
        <f>IFERROR(__xludf.DUMMYFUNCTION("""COMPUTED_VALUE"""),10005.0)</f>
        <v>10005</v>
      </c>
      <c r="G339" s="2" t="str">
        <f>IFERROR(__xludf.DUMMYFUNCTION("""COMPUTED_VALUE"""),"Roti Gandum Cokelat")</f>
        <v>Roti Gandum Cokelat</v>
      </c>
      <c r="H339" s="2"/>
      <c r="I339" s="2"/>
      <c r="J339" s="2">
        <f>IFERROR(__xludf.DUMMYFUNCTION("""COMPUTED_VALUE"""),1.0)</f>
        <v>1</v>
      </c>
      <c r="K339" s="6">
        <f>IFERROR(__xludf.DUMMYFUNCTION("""COMPUTED_VALUE"""),19524.0)</f>
        <v>19524</v>
      </c>
      <c r="L339" s="2">
        <f>IFERROR(__xludf.DUMMYFUNCTION("""COMPUTED_VALUE"""),0.0)</f>
        <v>0</v>
      </c>
      <c r="M339" s="2">
        <f>IFERROR(__xludf.DUMMYFUNCTION("""COMPUTED_VALUE"""),19524.0)</f>
        <v>19524</v>
      </c>
      <c r="N339" s="2">
        <f>IFERROR(__xludf.DUMMYFUNCTION("""COMPUTED_VALUE"""),0.0)</f>
        <v>0</v>
      </c>
      <c r="O339" s="2">
        <f>IFERROR(__xludf.DUMMYFUNCTION("""COMPUTED_VALUE"""),19524.0)</f>
        <v>19524</v>
      </c>
      <c r="P339" s="2">
        <f>IFERROR(__xludf.DUMMYFUNCTION("""COMPUTED_VALUE"""),976.0)</f>
        <v>976</v>
      </c>
      <c r="Q339" s="2" t="str">
        <f>IFERROR(__xludf.DUMMYFUNCTION("""COMPUTED_VALUE"""),"Dine In")</f>
        <v>Dine In</v>
      </c>
      <c r="R339" s="2" t="str">
        <f>IFERROR(__xludf.DUMMYFUNCTION("""COMPUTED_VALUE"""),"Kedai")</f>
        <v>Kedai</v>
      </c>
      <c r="S339" s="2" t="str">
        <f>IFERROR(__xludf.DUMMYFUNCTION("""COMPUTED_VALUE"""),"Temu Roti")</f>
        <v>Temu Roti</v>
      </c>
      <c r="T339" s="2" t="str">
        <f>IFERROR(__xludf.DUMMYFUNCTION("""COMPUTED_VALUE"""),"Owner")</f>
        <v>Owner</v>
      </c>
      <c r="U339" s="2"/>
      <c r="V339" s="2"/>
      <c r="W339" s="2"/>
      <c r="X339" s="2" t="str">
        <f>IFERROR(__xludf.DUMMYFUNCTION("""COMPUTED_VALUE"""),"Closed")</f>
        <v>Closed</v>
      </c>
    </row>
    <row r="340">
      <c r="A340" s="3" t="s">
        <v>360</v>
      </c>
      <c r="B340" s="4">
        <f>IFERROR(__xludf.DUMMYFUNCTION("SPLIT(A340,"","",0,0)"),45557.61666666667)</f>
        <v>45557.61667</v>
      </c>
      <c r="C340" s="5">
        <f>IFERROR(__xludf.DUMMYFUNCTION("""COMPUTED_VALUE"""),2753231.0)</f>
        <v>2753231</v>
      </c>
      <c r="D340" s="2" t="str">
        <f>IFERROR(__xludf.DUMMYFUNCTION("""COMPUTED_VALUE"""),"Sale")</f>
        <v>Sale</v>
      </c>
      <c r="E340" s="2" t="str">
        <f>IFERROR(__xludf.DUMMYFUNCTION("""COMPUTED_VALUE"""),"Hidangan Utama")</f>
        <v>Hidangan Utama</v>
      </c>
      <c r="F340" s="2">
        <f>IFERROR(__xludf.DUMMYFUNCTION("""COMPUTED_VALUE"""),10003.0)</f>
        <v>10003</v>
      </c>
      <c r="G340" s="2" t="str">
        <f>IFERROR(__xludf.DUMMYFUNCTION("""COMPUTED_VALUE"""),"Nasi Goreng Temu")</f>
        <v>Nasi Goreng Temu</v>
      </c>
      <c r="H340" s="2"/>
      <c r="I340" s="2"/>
      <c r="J340" s="2">
        <f>IFERROR(__xludf.DUMMYFUNCTION("""COMPUTED_VALUE"""),1.0)</f>
        <v>1</v>
      </c>
      <c r="K340" s="6">
        <f>IFERROR(__xludf.DUMMYFUNCTION("""COMPUTED_VALUE"""),29524.0)</f>
        <v>29524</v>
      </c>
      <c r="L340" s="2">
        <f>IFERROR(__xludf.DUMMYFUNCTION("""COMPUTED_VALUE"""),0.0)</f>
        <v>0</v>
      </c>
      <c r="M340" s="2">
        <f>IFERROR(__xludf.DUMMYFUNCTION("""COMPUTED_VALUE"""),29524.0)</f>
        <v>29524</v>
      </c>
      <c r="N340" s="2">
        <f>IFERROR(__xludf.DUMMYFUNCTION("""COMPUTED_VALUE"""),0.0)</f>
        <v>0</v>
      </c>
      <c r="O340" s="2">
        <f>IFERROR(__xludf.DUMMYFUNCTION("""COMPUTED_VALUE"""),29524.0)</f>
        <v>29524</v>
      </c>
      <c r="P340" s="2">
        <f>IFERROR(__xludf.DUMMYFUNCTION("""COMPUTED_VALUE"""),1476.0)</f>
        <v>1476</v>
      </c>
      <c r="Q340" s="2" t="str">
        <f>IFERROR(__xludf.DUMMYFUNCTION("""COMPUTED_VALUE"""),"Dine In")</f>
        <v>Dine In</v>
      </c>
      <c r="R340" s="2" t="str">
        <f>IFERROR(__xludf.DUMMYFUNCTION("""COMPUTED_VALUE"""),"Kedai")</f>
        <v>Kedai</v>
      </c>
      <c r="S340" s="2" t="str">
        <f>IFERROR(__xludf.DUMMYFUNCTION("""COMPUTED_VALUE"""),"Temu Roti")</f>
        <v>Temu Roti</v>
      </c>
      <c r="T340" s="2" t="str">
        <f>IFERROR(__xludf.DUMMYFUNCTION("""COMPUTED_VALUE"""),"Owner")</f>
        <v>Owner</v>
      </c>
      <c r="U340" s="2"/>
      <c r="V340" s="2"/>
      <c r="W340" s="2"/>
      <c r="X340" s="2" t="str">
        <f>IFERROR(__xludf.DUMMYFUNCTION("""COMPUTED_VALUE"""),"Closed")</f>
        <v>Closed</v>
      </c>
    </row>
    <row r="341">
      <c r="A341" s="3" t="s">
        <v>361</v>
      </c>
      <c r="B341" s="4">
        <f>IFERROR(__xludf.DUMMYFUNCTION("SPLIT(A341,"","",0,0)"),45557.61666666667)</f>
        <v>45557.61667</v>
      </c>
      <c r="C341" s="5">
        <f>IFERROR(__xludf.DUMMYFUNCTION("""COMPUTED_VALUE"""),2753231.0)</f>
        <v>2753231</v>
      </c>
      <c r="D341" s="2" t="str">
        <f>IFERROR(__xludf.DUMMYFUNCTION("""COMPUTED_VALUE"""),"Sale")</f>
        <v>Sale</v>
      </c>
      <c r="E341" s="2" t="str">
        <f>IFERROR(__xludf.DUMMYFUNCTION("""COMPUTED_VALUE"""),"Minuman")</f>
        <v>Minuman</v>
      </c>
      <c r="F341" s="2">
        <f>IFERROR(__xludf.DUMMYFUNCTION("""COMPUTED_VALUE"""),10121.0)</f>
        <v>10121</v>
      </c>
      <c r="G341" s="2" t="str">
        <f>IFERROR(__xludf.DUMMYFUNCTION("""COMPUTED_VALUE"""),"Lemon Tea Dingin")</f>
        <v>Lemon Tea Dingin</v>
      </c>
      <c r="H341" s="2"/>
      <c r="I341" s="2"/>
      <c r="J341" s="2">
        <f>IFERROR(__xludf.DUMMYFUNCTION("""COMPUTED_VALUE"""),1.0)</f>
        <v>1</v>
      </c>
      <c r="K341" s="6">
        <f>IFERROR(__xludf.DUMMYFUNCTION("""COMPUTED_VALUE"""),19524.0)</f>
        <v>19524</v>
      </c>
      <c r="L341" s="2">
        <f>IFERROR(__xludf.DUMMYFUNCTION("""COMPUTED_VALUE"""),0.0)</f>
        <v>0</v>
      </c>
      <c r="M341" s="2">
        <f>IFERROR(__xludf.DUMMYFUNCTION("""COMPUTED_VALUE"""),19524.0)</f>
        <v>19524</v>
      </c>
      <c r="N341" s="2">
        <f>IFERROR(__xludf.DUMMYFUNCTION("""COMPUTED_VALUE"""),0.0)</f>
        <v>0</v>
      </c>
      <c r="O341" s="2">
        <f>IFERROR(__xludf.DUMMYFUNCTION("""COMPUTED_VALUE"""),19524.0)</f>
        <v>19524</v>
      </c>
      <c r="P341" s="2">
        <f>IFERROR(__xludf.DUMMYFUNCTION("""COMPUTED_VALUE"""),976.0)</f>
        <v>976</v>
      </c>
      <c r="Q341" s="2" t="str">
        <f>IFERROR(__xludf.DUMMYFUNCTION("""COMPUTED_VALUE"""),"Dine In")</f>
        <v>Dine In</v>
      </c>
      <c r="R341" s="2" t="str">
        <f>IFERROR(__xludf.DUMMYFUNCTION("""COMPUTED_VALUE"""),"Kedai")</f>
        <v>Kedai</v>
      </c>
      <c r="S341" s="2" t="str">
        <f>IFERROR(__xludf.DUMMYFUNCTION("""COMPUTED_VALUE"""),"Temu Roti")</f>
        <v>Temu Roti</v>
      </c>
      <c r="T341" s="2" t="str">
        <f>IFERROR(__xludf.DUMMYFUNCTION("""COMPUTED_VALUE"""),"Owner")</f>
        <v>Owner</v>
      </c>
      <c r="U341" s="2"/>
      <c r="V341" s="2"/>
      <c r="W341" s="2"/>
      <c r="X341" s="2" t="str">
        <f>IFERROR(__xludf.DUMMYFUNCTION("""COMPUTED_VALUE"""),"Closed")</f>
        <v>Closed</v>
      </c>
    </row>
    <row r="342">
      <c r="A342" s="3" t="s">
        <v>362</v>
      </c>
      <c r="B342" s="4">
        <f>IFERROR(__xludf.DUMMYFUNCTION("SPLIT(A342,"","",0,0)"),45557.61666666667)</f>
        <v>45557.61667</v>
      </c>
      <c r="C342" s="5">
        <f>IFERROR(__xludf.DUMMYFUNCTION("""COMPUTED_VALUE"""),2753231.0)</f>
        <v>2753231</v>
      </c>
      <c r="D342" s="2" t="str">
        <f>IFERROR(__xludf.DUMMYFUNCTION("""COMPUTED_VALUE"""),"Sale")</f>
        <v>Sale</v>
      </c>
      <c r="E342" s="2" t="str">
        <f>IFERROR(__xludf.DUMMYFUNCTION("""COMPUTED_VALUE"""),"Minuman")</f>
        <v>Minuman</v>
      </c>
      <c r="F342" s="2">
        <f>IFERROR(__xludf.DUMMYFUNCTION("""COMPUTED_VALUE"""),10128.0)</f>
        <v>10128</v>
      </c>
      <c r="G342" s="2" t="str">
        <f>IFERROR(__xludf.DUMMYFUNCTION("""COMPUTED_VALUE"""),"Es Kopi Susu")</f>
        <v>Es Kopi Susu</v>
      </c>
      <c r="H342" s="2"/>
      <c r="I342" s="2"/>
      <c r="J342" s="2">
        <f>IFERROR(__xludf.DUMMYFUNCTION("""COMPUTED_VALUE"""),1.0)</f>
        <v>1</v>
      </c>
      <c r="K342" s="6">
        <f>IFERROR(__xludf.DUMMYFUNCTION("""COMPUTED_VALUE"""),23333.0)</f>
        <v>23333</v>
      </c>
      <c r="L342" s="2">
        <f>IFERROR(__xludf.DUMMYFUNCTION("""COMPUTED_VALUE"""),0.0)</f>
        <v>0</v>
      </c>
      <c r="M342" s="2">
        <f>IFERROR(__xludf.DUMMYFUNCTION("""COMPUTED_VALUE"""),23333.0)</f>
        <v>23333</v>
      </c>
      <c r="N342" s="2">
        <f>IFERROR(__xludf.DUMMYFUNCTION("""COMPUTED_VALUE"""),0.0)</f>
        <v>0</v>
      </c>
      <c r="O342" s="2">
        <f>IFERROR(__xludf.DUMMYFUNCTION("""COMPUTED_VALUE"""),23333.0)</f>
        <v>23333</v>
      </c>
      <c r="P342" s="2">
        <f>IFERROR(__xludf.DUMMYFUNCTION("""COMPUTED_VALUE"""),1167.0)</f>
        <v>1167</v>
      </c>
      <c r="Q342" s="2" t="str">
        <f>IFERROR(__xludf.DUMMYFUNCTION("""COMPUTED_VALUE"""),"Dine In")</f>
        <v>Dine In</v>
      </c>
      <c r="R342" s="2" t="str">
        <f>IFERROR(__xludf.DUMMYFUNCTION("""COMPUTED_VALUE"""),"Kedai")</f>
        <v>Kedai</v>
      </c>
      <c r="S342" s="2" t="str">
        <f>IFERROR(__xludf.DUMMYFUNCTION("""COMPUTED_VALUE"""),"Temu Roti")</f>
        <v>Temu Roti</v>
      </c>
      <c r="T342" s="2" t="str">
        <f>IFERROR(__xludf.DUMMYFUNCTION("""COMPUTED_VALUE"""),"Owner")</f>
        <v>Owner</v>
      </c>
      <c r="U342" s="2"/>
      <c r="V342" s="2"/>
      <c r="W342" s="2"/>
      <c r="X342" s="2" t="str">
        <f>IFERROR(__xludf.DUMMYFUNCTION("""COMPUTED_VALUE"""),"Closed")</f>
        <v>Closed</v>
      </c>
    </row>
    <row r="343">
      <c r="A343" s="3" t="s">
        <v>363</v>
      </c>
      <c r="B343" s="4">
        <f>IFERROR(__xludf.DUMMYFUNCTION("SPLIT(A343,"","",0,0)"),45557.61666666667)</f>
        <v>45557.61667</v>
      </c>
      <c r="C343" s="5">
        <f>IFERROR(__xludf.DUMMYFUNCTION("""COMPUTED_VALUE"""),2753231.0)</f>
        <v>2753231</v>
      </c>
      <c r="D343" s="2" t="str">
        <f>IFERROR(__xludf.DUMMYFUNCTION("""COMPUTED_VALUE"""),"Sale")</f>
        <v>Sale</v>
      </c>
      <c r="E343" s="2" t="str">
        <f>IFERROR(__xludf.DUMMYFUNCTION("""COMPUTED_VALUE"""),"Roti")</f>
        <v>Roti</v>
      </c>
      <c r="F343" s="2">
        <f>IFERROR(__xludf.DUMMYFUNCTION("""COMPUTED_VALUE"""),10000.0)</f>
        <v>10000</v>
      </c>
      <c r="G343" s="2" t="str">
        <f>IFERROR(__xludf.DUMMYFUNCTION("""COMPUTED_VALUE"""),"Roti Bawang Saus Keju")</f>
        <v>Roti Bawang Saus Keju</v>
      </c>
      <c r="H343" s="2"/>
      <c r="I343" s="2"/>
      <c r="J343" s="2">
        <f>IFERROR(__xludf.DUMMYFUNCTION("""COMPUTED_VALUE"""),1.0)</f>
        <v>1</v>
      </c>
      <c r="K343" s="6">
        <f>IFERROR(__xludf.DUMMYFUNCTION("""COMPUTED_VALUE"""),29524.0)</f>
        <v>29524</v>
      </c>
      <c r="L343" s="2">
        <f>IFERROR(__xludf.DUMMYFUNCTION("""COMPUTED_VALUE"""),0.0)</f>
        <v>0</v>
      </c>
      <c r="M343" s="2">
        <f>IFERROR(__xludf.DUMMYFUNCTION("""COMPUTED_VALUE"""),29524.0)</f>
        <v>29524</v>
      </c>
      <c r="N343" s="2">
        <f>IFERROR(__xludf.DUMMYFUNCTION("""COMPUTED_VALUE"""),0.0)</f>
        <v>0</v>
      </c>
      <c r="O343" s="2">
        <f>IFERROR(__xludf.DUMMYFUNCTION("""COMPUTED_VALUE"""),29524.0)</f>
        <v>29524</v>
      </c>
      <c r="P343" s="2">
        <f>IFERROR(__xludf.DUMMYFUNCTION("""COMPUTED_VALUE"""),1476.0)</f>
        <v>1476</v>
      </c>
      <c r="Q343" s="2" t="str">
        <f>IFERROR(__xludf.DUMMYFUNCTION("""COMPUTED_VALUE"""),"Dine In")</f>
        <v>Dine In</v>
      </c>
      <c r="R343" s="2" t="str">
        <f>IFERROR(__xludf.DUMMYFUNCTION("""COMPUTED_VALUE"""),"Kedai")</f>
        <v>Kedai</v>
      </c>
      <c r="S343" s="2" t="str">
        <f>IFERROR(__xludf.DUMMYFUNCTION("""COMPUTED_VALUE"""),"Temu Roti")</f>
        <v>Temu Roti</v>
      </c>
      <c r="T343" s="2" t="str">
        <f>IFERROR(__xludf.DUMMYFUNCTION("""COMPUTED_VALUE"""),"Owner")</f>
        <v>Owner</v>
      </c>
      <c r="U343" s="2"/>
      <c r="V343" s="2"/>
      <c r="W343" s="2"/>
      <c r="X343" s="2" t="str">
        <f>IFERROR(__xludf.DUMMYFUNCTION("""COMPUTED_VALUE"""),"Closed")</f>
        <v>Closed</v>
      </c>
    </row>
    <row r="344">
      <c r="A344" s="3" t="s">
        <v>364</v>
      </c>
      <c r="B344" s="4">
        <f>IFERROR(__xludf.DUMMYFUNCTION("SPLIT(A344,"","",0,0)"),45557.575694444444)</f>
        <v>45557.57569</v>
      </c>
      <c r="C344" s="5">
        <f>IFERROR(__xludf.DUMMYFUNCTION("""COMPUTED_VALUE"""),2752866.0)</f>
        <v>2752866</v>
      </c>
      <c r="D344" s="2" t="str">
        <f>IFERROR(__xludf.DUMMYFUNCTION("""COMPUTED_VALUE"""),"Sale")</f>
        <v>Sale</v>
      </c>
      <c r="E344" s="2" t="str">
        <f>IFERROR(__xludf.DUMMYFUNCTION("""COMPUTED_VALUE"""),"Roti")</f>
        <v>Roti</v>
      </c>
      <c r="F344" s="2">
        <f>IFERROR(__xludf.DUMMYFUNCTION("""COMPUTED_VALUE"""),10007.0)</f>
        <v>10007</v>
      </c>
      <c r="G344" s="2" t="str">
        <f>IFERROR(__xludf.DUMMYFUNCTION("""COMPUTED_VALUE"""),"Roti cranberry 2 pcs")</f>
        <v>Roti cranberry 2 pcs</v>
      </c>
      <c r="H344" s="2"/>
      <c r="I344" s="2"/>
      <c r="J344" s="2">
        <f>IFERROR(__xludf.DUMMYFUNCTION("""COMPUTED_VALUE"""),1.0)</f>
        <v>1</v>
      </c>
      <c r="K344" s="6">
        <f>IFERROR(__xludf.DUMMYFUNCTION("""COMPUTED_VALUE"""),33810.0)</f>
        <v>33810</v>
      </c>
      <c r="L344" s="2">
        <f>IFERROR(__xludf.DUMMYFUNCTION("""COMPUTED_VALUE"""),0.0)</f>
        <v>0</v>
      </c>
      <c r="M344" s="2">
        <f>IFERROR(__xludf.DUMMYFUNCTION("""COMPUTED_VALUE"""),33810.0)</f>
        <v>33810</v>
      </c>
      <c r="N344" s="2">
        <f>IFERROR(__xludf.DUMMYFUNCTION("""COMPUTED_VALUE"""),0.0)</f>
        <v>0</v>
      </c>
      <c r="O344" s="2">
        <f>IFERROR(__xludf.DUMMYFUNCTION("""COMPUTED_VALUE"""),33810.0)</f>
        <v>33810</v>
      </c>
      <c r="P344" s="2">
        <f>IFERROR(__xludf.DUMMYFUNCTION("""COMPUTED_VALUE"""),1691.0)</f>
        <v>1691</v>
      </c>
      <c r="Q344" s="2" t="str">
        <f>IFERROR(__xludf.DUMMYFUNCTION("""COMPUTED_VALUE"""),"Dine In")</f>
        <v>Dine In</v>
      </c>
      <c r="R344" s="2" t="str">
        <f>IFERROR(__xludf.DUMMYFUNCTION("""COMPUTED_VALUE"""),"Kedai")</f>
        <v>Kedai</v>
      </c>
      <c r="S344" s="2" t="str">
        <f>IFERROR(__xludf.DUMMYFUNCTION("""COMPUTED_VALUE"""),"Temu Roti")</f>
        <v>Temu Roti</v>
      </c>
      <c r="T344" s="2" t="str">
        <f>IFERROR(__xludf.DUMMYFUNCTION("""COMPUTED_VALUE"""),"Owner")</f>
        <v>Owner</v>
      </c>
      <c r="U344" s="2"/>
      <c r="V344" s="2"/>
      <c r="W344" s="2"/>
      <c r="X344" s="2" t="str">
        <f>IFERROR(__xludf.DUMMYFUNCTION("""COMPUTED_VALUE"""),"Closed")</f>
        <v>Closed</v>
      </c>
    </row>
    <row r="345">
      <c r="A345" s="3" t="s">
        <v>365</v>
      </c>
      <c r="B345" s="4">
        <f>IFERROR(__xludf.DUMMYFUNCTION("SPLIT(A345,"","",0,0)"),45557.575694444444)</f>
        <v>45557.57569</v>
      </c>
      <c r="C345" s="5">
        <f>IFERROR(__xludf.DUMMYFUNCTION("""COMPUTED_VALUE"""),2752866.0)</f>
        <v>2752866</v>
      </c>
      <c r="D345" s="2" t="str">
        <f>IFERROR(__xludf.DUMMYFUNCTION("""COMPUTED_VALUE"""),"Sale")</f>
        <v>Sale</v>
      </c>
      <c r="E345" s="2" t="str">
        <f>IFERROR(__xludf.DUMMYFUNCTION("""COMPUTED_VALUE"""),"Minuman")</f>
        <v>Minuman</v>
      </c>
      <c r="F345" s="2">
        <f>IFERROR(__xludf.DUMMYFUNCTION("""COMPUTED_VALUE"""),10125.0)</f>
        <v>10125</v>
      </c>
      <c r="G345" s="2" t="str">
        <f>IFERROR(__xludf.DUMMYFUNCTION("""COMPUTED_VALUE"""),"Gula Asam Dingin")</f>
        <v>Gula Asam Dingin</v>
      </c>
      <c r="H345" s="2"/>
      <c r="I345" s="2"/>
      <c r="J345" s="2">
        <f>IFERROR(__xludf.DUMMYFUNCTION("""COMPUTED_VALUE"""),1.0)</f>
        <v>1</v>
      </c>
      <c r="K345" s="6">
        <f>IFERROR(__xludf.DUMMYFUNCTION("""COMPUTED_VALUE"""),20476.0)</f>
        <v>20476</v>
      </c>
      <c r="L345" s="2">
        <f>IFERROR(__xludf.DUMMYFUNCTION("""COMPUTED_VALUE"""),0.0)</f>
        <v>0</v>
      </c>
      <c r="M345" s="2">
        <f>IFERROR(__xludf.DUMMYFUNCTION("""COMPUTED_VALUE"""),20476.0)</f>
        <v>20476</v>
      </c>
      <c r="N345" s="2">
        <f>IFERROR(__xludf.DUMMYFUNCTION("""COMPUTED_VALUE"""),0.0)</f>
        <v>0</v>
      </c>
      <c r="O345" s="2">
        <f>IFERROR(__xludf.DUMMYFUNCTION("""COMPUTED_VALUE"""),20476.0)</f>
        <v>20476</v>
      </c>
      <c r="P345" s="2">
        <f>IFERROR(__xludf.DUMMYFUNCTION("""COMPUTED_VALUE"""),1023.0)</f>
        <v>1023</v>
      </c>
      <c r="Q345" s="2" t="str">
        <f>IFERROR(__xludf.DUMMYFUNCTION("""COMPUTED_VALUE"""),"Dine In")</f>
        <v>Dine In</v>
      </c>
      <c r="R345" s="2" t="str">
        <f>IFERROR(__xludf.DUMMYFUNCTION("""COMPUTED_VALUE"""),"Kedai")</f>
        <v>Kedai</v>
      </c>
      <c r="S345" s="2" t="str">
        <f>IFERROR(__xludf.DUMMYFUNCTION("""COMPUTED_VALUE"""),"Temu Roti")</f>
        <v>Temu Roti</v>
      </c>
      <c r="T345" s="2" t="str">
        <f>IFERROR(__xludf.DUMMYFUNCTION("""COMPUTED_VALUE"""),"Owner")</f>
        <v>Owner</v>
      </c>
      <c r="U345" s="2"/>
      <c r="V345" s="2"/>
      <c r="W345" s="2"/>
      <c r="X345" s="2" t="str">
        <f>IFERROR(__xludf.DUMMYFUNCTION("""COMPUTED_VALUE"""),"Closed")</f>
        <v>Closed</v>
      </c>
    </row>
    <row r="346">
      <c r="A346" s="3" t="s">
        <v>366</v>
      </c>
      <c r="B346" s="4">
        <f>IFERROR(__xludf.DUMMYFUNCTION("SPLIT(A346,"","",0,0)"),45557.575694444444)</f>
        <v>45557.57569</v>
      </c>
      <c r="C346" s="5">
        <f>IFERROR(__xludf.DUMMYFUNCTION("""COMPUTED_VALUE"""),2752866.0)</f>
        <v>2752866</v>
      </c>
      <c r="D346" s="2" t="str">
        <f>IFERROR(__xludf.DUMMYFUNCTION("""COMPUTED_VALUE"""),"Sale")</f>
        <v>Sale</v>
      </c>
      <c r="E346" s="2" t="str">
        <f>IFERROR(__xludf.DUMMYFUNCTION("""COMPUTED_VALUE"""),"Minuman")</f>
        <v>Minuman</v>
      </c>
      <c r="F346" s="2">
        <f>IFERROR(__xludf.DUMMYFUNCTION("""COMPUTED_VALUE"""),10121.0)</f>
        <v>10121</v>
      </c>
      <c r="G346" s="2" t="str">
        <f>IFERROR(__xludf.DUMMYFUNCTION("""COMPUTED_VALUE"""),"Lemon Tea Dingin")</f>
        <v>Lemon Tea Dingin</v>
      </c>
      <c r="H346" s="2"/>
      <c r="I346" s="2"/>
      <c r="J346" s="2">
        <f>IFERROR(__xludf.DUMMYFUNCTION("""COMPUTED_VALUE"""),1.0)</f>
        <v>1</v>
      </c>
      <c r="K346" s="6">
        <f>IFERROR(__xludf.DUMMYFUNCTION("""COMPUTED_VALUE"""),19524.0)</f>
        <v>19524</v>
      </c>
      <c r="L346" s="2">
        <f>IFERROR(__xludf.DUMMYFUNCTION("""COMPUTED_VALUE"""),0.0)</f>
        <v>0</v>
      </c>
      <c r="M346" s="2">
        <f>IFERROR(__xludf.DUMMYFUNCTION("""COMPUTED_VALUE"""),19524.0)</f>
        <v>19524</v>
      </c>
      <c r="N346" s="2">
        <f>IFERROR(__xludf.DUMMYFUNCTION("""COMPUTED_VALUE"""),0.0)</f>
        <v>0</v>
      </c>
      <c r="O346" s="2">
        <f>IFERROR(__xludf.DUMMYFUNCTION("""COMPUTED_VALUE"""),19524.0)</f>
        <v>19524</v>
      </c>
      <c r="P346" s="2">
        <f>IFERROR(__xludf.DUMMYFUNCTION("""COMPUTED_VALUE"""),977.0)</f>
        <v>977</v>
      </c>
      <c r="Q346" s="2" t="str">
        <f>IFERROR(__xludf.DUMMYFUNCTION("""COMPUTED_VALUE"""),"Dine In")</f>
        <v>Dine In</v>
      </c>
      <c r="R346" s="2" t="str">
        <f>IFERROR(__xludf.DUMMYFUNCTION("""COMPUTED_VALUE"""),"Kedai")</f>
        <v>Kedai</v>
      </c>
      <c r="S346" s="2" t="str">
        <f>IFERROR(__xludf.DUMMYFUNCTION("""COMPUTED_VALUE"""),"Temu Roti")</f>
        <v>Temu Roti</v>
      </c>
      <c r="T346" s="2" t="str">
        <f>IFERROR(__xludf.DUMMYFUNCTION("""COMPUTED_VALUE"""),"Owner")</f>
        <v>Owner</v>
      </c>
      <c r="U346" s="2"/>
      <c r="V346" s="2"/>
      <c r="W346" s="2"/>
      <c r="X346" s="2" t="str">
        <f>IFERROR(__xludf.DUMMYFUNCTION("""COMPUTED_VALUE"""),"Closed")</f>
        <v>Closed</v>
      </c>
    </row>
    <row r="347">
      <c r="A347" s="3" t="s">
        <v>367</v>
      </c>
      <c r="B347" s="4">
        <f>IFERROR(__xludf.DUMMYFUNCTION("SPLIT(A347,"","",0,0)"),45557.575694444444)</f>
        <v>45557.57569</v>
      </c>
      <c r="C347" s="5">
        <f>IFERROR(__xludf.DUMMYFUNCTION("""COMPUTED_VALUE"""),2752866.0)</f>
        <v>2752866</v>
      </c>
      <c r="D347" s="2" t="str">
        <f>IFERROR(__xludf.DUMMYFUNCTION("""COMPUTED_VALUE"""),"Sale")</f>
        <v>Sale</v>
      </c>
      <c r="E347" s="2" t="str">
        <f>IFERROR(__xludf.DUMMYFUNCTION("""COMPUTED_VALUE"""),"Minuman")</f>
        <v>Minuman</v>
      </c>
      <c r="F347" s="2">
        <f>IFERROR(__xludf.DUMMYFUNCTION("""COMPUTED_VALUE"""),10106.0)</f>
        <v>10106</v>
      </c>
      <c r="G347" s="2" t="str">
        <f>IFERROR(__xludf.DUMMYFUNCTION("""COMPUTED_VALUE"""),"Korean Strawberry Fresh Milk")</f>
        <v>Korean Strawberry Fresh Milk</v>
      </c>
      <c r="H347" s="2"/>
      <c r="I347" s="2"/>
      <c r="J347" s="2">
        <f>IFERROR(__xludf.DUMMYFUNCTION("""COMPUTED_VALUE"""),1.0)</f>
        <v>1</v>
      </c>
      <c r="K347" s="6">
        <f>IFERROR(__xludf.DUMMYFUNCTION("""COMPUTED_VALUE"""),26667.0)</f>
        <v>26667</v>
      </c>
      <c r="L347" s="2">
        <f>IFERROR(__xludf.DUMMYFUNCTION("""COMPUTED_VALUE"""),0.0)</f>
        <v>0</v>
      </c>
      <c r="M347" s="2">
        <f>IFERROR(__xludf.DUMMYFUNCTION("""COMPUTED_VALUE"""),26667.0)</f>
        <v>26667</v>
      </c>
      <c r="N347" s="2">
        <f>IFERROR(__xludf.DUMMYFUNCTION("""COMPUTED_VALUE"""),0.0)</f>
        <v>0</v>
      </c>
      <c r="O347" s="2">
        <f>IFERROR(__xludf.DUMMYFUNCTION("""COMPUTED_VALUE"""),26667.0)</f>
        <v>26667</v>
      </c>
      <c r="P347" s="2">
        <f>IFERROR(__xludf.DUMMYFUNCTION("""COMPUTED_VALUE"""),1333.0)</f>
        <v>1333</v>
      </c>
      <c r="Q347" s="2" t="str">
        <f>IFERROR(__xludf.DUMMYFUNCTION("""COMPUTED_VALUE"""),"Dine In")</f>
        <v>Dine In</v>
      </c>
      <c r="R347" s="2" t="str">
        <f>IFERROR(__xludf.DUMMYFUNCTION("""COMPUTED_VALUE"""),"Kedai")</f>
        <v>Kedai</v>
      </c>
      <c r="S347" s="2" t="str">
        <f>IFERROR(__xludf.DUMMYFUNCTION("""COMPUTED_VALUE"""),"Temu Roti")</f>
        <v>Temu Roti</v>
      </c>
      <c r="T347" s="2" t="str">
        <f>IFERROR(__xludf.DUMMYFUNCTION("""COMPUTED_VALUE"""),"Owner")</f>
        <v>Owner</v>
      </c>
      <c r="U347" s="2"/>
      <c r="V347" s="2"/>
      <c r="W347" s="2"/>
      <c r="X347" s="2" t="str">
        <f>IFERROR(__xludf.DUMMYFUNCTION("""COMPUTED_VALUE"""),"Closed")</f>
        <v>Closed</v>
      </c>
    </row>
    <row r="348">
      <c r="A348" s="3" t="s">
        <v>368</v>
      </c>
      <c r="B348" s="4">
        <f>IFERROR(__xludf.DUMMYFUNCTION("SPLIT(A348,"","",0,0)"),45557.575694444444)</f>
        <v>45557.57569</v>
      </c>
      <c r="C348" s="5">
        <f>IFERROR(__xludf.DUMMYFUNCTION("""COMPUTED_VALUE"""),2752866.0)</f>
        <v>2752866</v>
      </c>
      <c r="D348" s="2" t="str">
        <f>IFERROR(__xludf.DUMMYFUNCTION("""COMPUTED_VALUE"""),"Sale")</f>
        <v>Sale</v>
      </c>
      <c r="E348" s="2" t="str">
        <f>IFERROR(__xludf.DUMMYFUNCTION("""COMPUTED_VALUE"""),"Kudapan")</f>
        <v>Kudapan</v>
      </c>
      <c r="F348" s="2">
        <f>IFERROR(__xludf.DUMMYFUNCTION("""COMPUTED_VALUE"""),10015.0)</f>
        <v>10015</v>
      </c>
      <c r="G348" s="2" t="str">
        <f>IFERROR(__xludf.DUMMYFUNCTION("""COMPUTED_VALUE"""),"Tahu Lada Garam")</f>
        <v>Tahu Lada Garam</v>
      </c>
      <c r="H348" s="2"/>
      <c r="I348" s="2"/>
      <c r="J348" s="2">
        <f>IFERROR(__xludf.DUMMYFUNCTION("""COMPUTED_VALUE"""),1.0)</f>
        <v>1</v>
      </c>
      <c r="K348" s="6">
        <f>IFERROR(__xludf.DUMMYFUNCTION("""COMPUTED_VALUE"""),25238.0)</f>
        <v>25238</v>
      </c>
      <c r="L348" s="2">
        <f>IFERROR(__xludf.DUMMYFUNCTION("""COMPUTED_VALUE"""),0.0)</f>
        <v>0</v>
      </c>
      <c r="M348" s="2">
        <f>IFERROR(__xludf.DUMMYFUNCTION("""COMPUTED_VALUE"""),25238.0)</f>
        <v>25238</v>
      </c>
      <c r="N348" s="2">
        <f>IFERROR(__xludf.DUMMYFUNCTION("""COMPUTED_VALUE"""),0.0)</f>
        <v>0</v>
      </c>
      <c r="O348" s="2">
        <f>IFERROR(__xludf.DUMMYFUNCTION("""COMPUTED_VALUE"""),25238.0)</f>
        <v>25238</v>
      </c>
      <c r="P348" s="2">
        <f>IFERROR(__xludf.DUMMYFUNCTION("""COMPUTED_VALUE"""),1262.0)</f>
        <v>1262</v>
      </c>
      <c r="Q348" s="2" t="str">
        <f>IFERROR(__xludf.DUMMYFUNCTION("""COMPUTED_VALUE"""),"Dine In")</f>
        <v>Dine In</v>
      </c>
      <c r="R348" s="2" t="str">
        <f>IFERROR(__xludf.DUMMYFUNCTION("""COMPUTED_VALUE"""),"Kedai")</f>
        <v>Kedai</v>
      </c>
      <c r="S348" s="2" t="str">
        <f>IFERROR(__xludf.DUMMYFUNCTION("""COMPUTED_VALUE"""),"Temu Roti")</f>
        <v>Temu Roti</v>
      </c>
      <c r="T348" s="2" t="str">
        <f>IFERROR(__xludf.DUMMYFUNCTION("""COMPUTED_VALUE"""),"Owner")</f>
        <v>Owner</v>
      </c>
      <c r="U348" s="2"/>
      <c r="V348" s="2"/>
      <c r="W348" s="2"/>
      <c r="X348" s="2" t="str">
        <f>IFERROR(__xludf.DUMMYFUNCTION("""COMPUTED_VALUE"""),"Closed")</f>
        <v>Closed</v>
      </c>
    </row>
    <row r="349">
      <c r="A349" s="3" t="s">
        <v>369</v>
      </c>
      <c r="B349" s="4">
        <f>IFERROR(__xludf.DUMMYFUNCTION("SPLIT(A349,"","",0,0)"),45557.575694444444)</f>
        <v>45557.57569</v>
      </c>
      <c r="C349" s="5">
        <f>IFERROR(__xludf.DUMMYFUNCTION("""COMPUTED_VALUE"""),2752866.0)</f>
        <v>2752866</v>
      </c>
      <c r="D349" s="2" t="str">
        <f>IFERROR(__xludf.DUMMYFUNCTION("""COMPUTED_VALUE"""),"Sale")</f>
        <v>Sale</v>
      </c>
      <c r="E349" s="2" t="str">
        <f>IFERROR(__xludf.DUMMYFUNCTION("""COMPUTED_VALUE"""),"Kudapan")</f>
        <v>Kudapan</v>
      </c>
      <c r="F349" s="2">
        <f>IFERROR(__xludf.DUMMYFUNCTION("""COMPUTED_VALUE"""),10014.0)</f>
        <v>10014</v>
      </c>
      <c r="G349" s="2" t="str">
        <f>IFERROR(__xludf.DUMMYFUNCTION("""COMPUTED_VALUE"""),"Tempe Mendoan")</f>
        <v>Tempe Mendoan</v>
      </c>
      <c r="H349" s="2"/>
      <c r="I349" s="2"/>
      <c r="J349" s="2">
        <f>IFERROR(__xludf.DUMMYFUNCTION("""COMPUTED_VALUE"""),1.0)</f>
        <v>1</v>
      </c>
      <c r="K349" s="6">
        <f>IFERROR(__xludf.DUMMYFUNCTION("""COMPUTED_VALUE"""),25238.0)</f>
        <v>25238</v>
      </c>
      <c r="L349" s="2">
        <f>IFERROR(__xludf.DUMMYFUNCTION("""COMPUTED_VALUE"""),0.0)</f>
        <v>0</v>
      </c>
      <c r="M349" s="2">
        <f>IFERROR(__xludf.DUMMYFUNCTION("""COMPUTED_VALUE"""),25238.0)</f>
        <v>25238</v>
      </c>
      <c r="N349" s="2">
        <f>IFERROR(__xludf.DUMMYFUNCTION("""COMPUTED_VALUE"""),0.0)</f>
        <v>0</v>
      </c>
      <c r="O349" s="2">
        <f>IFERROR(__xludf.DUMMYFUNCTION("""COMPUTED_VALUE"""),25238.0)</f>
        <v>25238</v>
      </c>
      <c r="P349" s="2">
        <f>IFERROR(__xludf.DUMMYFUNCTION("""COMPUTED_VALUE"""),1262.0)</f>
        <v>1262</v>
      </c>
      <c r="Q349" s="2" t="str">
        <f>IFERROR(__xludf.DUMMYFUNCTION("""COMPUTED_VALUE"""),"Dine In")</f>
        <v>Dine In</v>
      </c>
      <c r="R349" s="2" t="str">
        <f>IFERROR(__xludf.DUMMYFUNCTION("""COMPUTED_VALUE"""),"Kedai")</f>
        <v>Kedai</v>
      </c>
      <c r="S349" s="2" t="str">
        <f>IFERROR(__xludf.DUMMYFUNCTION("""COMPUTED_VALUE"""),"Temu Roti")</f>
        <v>Temu Roti</v>
      </c>
      <c r="T349" s="2" t="str">
        <f>IFERROR(__xludf.DUMMYFUNCTION("""COMPUTED_VALUE"""),"Owner")</f>
        <v>Owner</v>
      </c>
      <c r="U349" s="2"/>
      <c r="V349" s="2"/>
      <c r="W349" s="2"/>
      <c r="X349" s="2" t="str">
        <f>IFERROR(__xludf.DUMMYFUNCTION("""COMPUTED_VALUE"""),"Closed")</f>
        <v>Closed</v>
      </c>
    </row>
    <row r="350">
      <c r="A350" s="3" t="s">
        <v>370</v>
      </c>
      <c r="B350" s="4">
        <f>IFERROR(__xludf.DUMMYFUNCTION("SPLIT(A350,"","",0,0)"),45557.572222222225)</f>
        <v>45557.57222</v>
      </c>
      <c r="C350" s="5">
        <f>IFERROR(__xludf.DUMMYFUNCTION("""COMPUTED_VALUE"""),2752500.0)</f>
        <v>2752500</v>
      </c>
      <c r="D350" s="2" t="str">
        <f>IFERROR(__xludf.DUMMYFUNCTION("""COMPUTED_VALUE"""),"Sale")</f>
        <v>Sale</v>
      </c>
      <c r="E350" s="2" t="str">
        <f>IFERROR(__xludf.DUMMYFUNCTION("""COMPUTED_VALUE"""),"Roti")</f>
        <v>Roti</v>
      </c>
      <c r="F350" s="2">
        <f>IFERROR(__xludf.DUMMYFUNCTION("""COMPUTED_VALUE"""),10055.0)</f>
        <v>10055</v>
      </c>
      <c r="G350" s="2" t="str">
        <f>IFERROR(__xludf.DUMMYFUNCTION("""COMPUTED_VALUE"""),"Roti Gandum Cokelat 2 pcs")</f>
        <v>Roti Gandum Cokelat 2 pcs</v>
      </c>
      <c r="H350" s="2"/>
      <c r="I350" s="2"/>
      <c r="J350" s="2">
        <f>IFERROR(__xludf.DUMMYFUNCTION("""COMPUTED_VALUE"""),1.0)</f>
        <v>1</v>
      </c>
      <c r="K350" s="6">
        <f>IFERROR(__xludf.DUMMYFUNCTION("""COMPUTED_VALUE"""),34762.0)</f>
        <v>34762</v>
      </c>
      <c r="L350" s="2">
        <f>IFERROR(__xludf.DUMMYFUNCTION("""COMPUTED_VALUE"""),0.0)</f>
        <v>0</v>
      </c>
      <c r="M350" s="2">
        <f>IFERROR(__xludf.DUMMYFUNCTION("""COMPUTED_VALUE"""),34762.0)</f>
        <v>34762</v>
      </c>
      <c r="N350" s="2">
        <f>IFERROR(__xludf.DUMMYFUNCTION("""COMPUTED_VALUE"""),0.0)</f>
        <v>0</v>
      </c>
      <c r="O350" s="2">
        <f>IFERROR(__xludf.DUMMYFUNCTION("""COMPUTED_VALUE"""),34762.0)</f>
        <v>34762</v>
      </c>
      <c r="P350" s="2">
        <f>IFERROR(__xludf.DUMMYFUNCTION("""COMPUTED_VALUE"""),1738.0)</f>
        <v>1738</v>
      </c>
      <c r="Q350" s="2" t="str">
        <f>IFERROR(__xludf.DUMMYFUNCTION("""COMPUTED_VALUE"""),"Dine In")</f>
        <v>Dine In</v>
      </c>
      <c r="R350" s="2" t="str">
        <f>IFERROR(__xludf.DUMMYFUNCTION("""COMPUTED_VALUE"""),"Kedai")</f>
        <v>Kedai</v>
      </c>
      <c r="S350" s="2" t="str">
        <f>IFERROR(__xludf.DUMMYFUNCTION("""COMPUTED_VALUE"""),"Temu Roti")</f>
        <v>Temu Roti</v>
      </c>
      <c r="T350" s="2" t="str">
        <f>IFERROR(__xludf.DUMMYFUNCTION("""COMPUTED_VALUE"""),"Owner")</f>
        <v>Owner</v>
      </c>
      <c r="U350" s="2"/>
      <c r="V350" s="2"/>
      <c r="W350" s="2"/>
      <c r="X350" s="2" t="str">
        <f>IFERROR(__xludf.DUMMYFUNCTION("""COMPUTED_VALUE"""),"Closed")</f>
        <v>Closed</v>
      </c>
    </row>
    <row r="351">
      <c r="A351" s="3" t="s">
        <v>371</v>
      </c>
      <c r="B351" s="4">
        <f>IFERROR(__xludf.DUMMYFUNCTION("SPLIT(A351,"","",0,0)"),45557.572222222225)</f>
        <v>45557.57222</v>
      </c>
      <c r="C351" s="5">
        <f>IFERROR(__xludf.DUMMYFUNCTION("""COMPUTED_VALUE"""),2752500.0)</f>
        <v>2752500</v>
      </c>
      <c r="D351" s="2" t="str">
        <f>IFERROR(__xludf.DUMMYFUNCTION("""COMPUTED_VALUE"""),"Sale")</f>
        <v>Sale</v>
      </c>
      <c r="E351" s="2" t="str">
        <f>IFERROR(__xludf.DUMMYFUNCTION("""COMPUTED_VALUE"""),"Roti")</f>
        <v>Roti</v>
      </c>
      <c r="F351" s="2">
        <f>IFERROR(__xludf.DUMMYFUNCTION("""COMPUTED_VALUE"""),10007.0)</f>
        <v>10007</v>
      </c>
      <c r="G351" s="2" t="str">
        <f>IFERROR(__xludf.DUMMYFUNCTION("""COMPUTED_VALUE"""),"Roti cranberry 2 pcs")</f>
        <v>Roti cranberry 2 pcs</v>
      </c>
      <c r="H351" s="2"/>
      <c r="I351" s="2"/>
      <c r="J351" s="2">
        <f>IFERROR(__xludf.DUMMYFUNCTION("""COMPUTED_VALUE"""),1.0)</f>
        <v>1</v>
      </c>
      <c r="K351" s="6">
        <f>IFERROR(__xludf.DUMMYFUNCTION("""COMPUTED_VALUE"""),33810.0)</f>
        <v>33810</v>
      </c>
      <c r="L351" s="2">
        <f>IFERROR(__xludf.DUMMYFUNCTION("""COMPUTED_VALUE"""),0.0)</f>
        <v>0</v>
      </c>
      <c r="M351" s="2">
        <f>IFERROR(__xludf.DUMMYFUNCTION("""COMPUTED_VALUE"""),33810.0)</f>
        <v>33810</v>
      </c>
      <c r="N351" s="2">
        <f>IFERROR(__xludf.DUMMYFUNCTION("""COMPUTED_VALUE"""),0.0)</f>
        <v>0</v>
      </c>
      <c r="O351" s="2">
        <f>IFERROR(__xludf.DUMMYFUNCTION("""COMPUTED_VALUE"""),33810.0)</f>
        <v>33810</v>
      </c>
      <c r="P351" s="2">
        <f>IFERROR(__xludf.DUMMYFUNCTION("""COMPUTED_VALUE"""),1691.0)</f>
        <v>1691</v>
      </c>
      <c r="Q351" s="2" t="str">
        <f>IFERROR(__xludf.DUMMYFUNCTION("""COMPUTED_VALUE"""),"Dine In")</f>
        <v>Dine In</v>
      </c>
      <c r="R351" s="2" t="str">
        <f>IFERROR(__xludf.DUMMYFUNCTION("""COMPUTED_VALUE"""),"Kedai")</f>
        <v>Kedai</v>
      </c>
      <c r="S351" s="2" t="str">
        <f>IFERROR(__xludf.DUMMYFUNCTION("""COMPUTED_VALUE"""),"Temu Roti")</f>
        <v>Temu Roti</v>
      </c>
      <c r="T351" s="2" t="str">
        <f>IFERROR(__xludf.DUMMYFUNCTION("""COMPUTED_VALUE"""),"Owner")</f>
        <v>Owner</v>
      </c>
      <c r="U351" s="2"/>
      <c r="V351" s="2"/>
      <c r="W351" s="2"/>
      <c r="X351" s="2" t="str">
        <f>IFERROR(__xludf.DUMMYFUNCTION("""COMPUTED_VALUE"""),"Closed")</f>
        <v>Closed</v>
      </c>
    </row>
    <row r="352">
      <c r="A352" s="3" t="s">
        <v>372</v>
      </c>
      <c r="B352" s="4">
        <f>IFERROR(__xludf.DUMMYFUNCTION("SPLIT(A352,"","",0,0)"),45557.572222222225)</f>
        <v>45557.57222</v>
      </c>
      <c r="C352" s="5">
        <f>IFERROR(__xludf.DUMMYFUNCTION("""COMPUTED_VALUE"""),2752500.0)</f>
        <v>2752500</v>
      </c>
      <c r="D352" s="2" t="str">
        <f>IFERROR(__xludf.DUMMYFUNCTION("""COMPUTED_VALUE"""),"Sale")</f>
        <v>Sale</v>
      </c>
      <c r="E352" s="2" t="str">
        <f>IFERROR(__xludf.DUMMYFUNCTION("""COMPUTED_VALUE"""),"Roti")</f>
        <v>Roti</v>
      </c>
      <c r="F352" s="2">
        <f>IFERROR(__xludf.DUMMYFUNCTION("""COMPUTED_VALUE"""),10005.0)</f>
        <v>10005</v>
      </c>
      <c r="G352" s="2" t="str">
        <f>IFERROR(__xludf.DUMMYFUNCTION("""COMPUTED_VALUE"""),"Roti Gandum Cokelat")</f>
        <v>Roti Gandum Cokelat</v>
      </c>
      <c r="H352" s="2"/>
      <c r="I352" s="2"/>
      <c r="J352" s="2">
        <f>IFERROR(__xludf.DUMMYFUNCTION("""COMPUTED_VALUE"""),1.0)</f>
        <v>1</v>
      </c>
      <c r="K352" s="6">
        <f>IFERROR(__xludf.DUMMYFUNCTION("""COMPUTED_VALUE"""),19524.0)</f>
        <v>19524</v>
      </c>
      <c r="L352" s="2">
        <f>IFERROR(__xludf.DUMMYFUNCTION("""COMPUTED_VALUE"""),0.0)</f>
        <v>0</v>
      </c>
      <c r="M352" s="2">
        <f>IFERROR(__xludf.DUMMYFUNCTION("""COMPUTED_VALUE"""),19524.0)</f>
        <v>19524</v>
      </c>
      <c r="N352" s="2">
        <f>IFERROR(__xludf.DUMMYFUNCTION("""COMPUTED_VALUE"""),0.0)</f>
        <v>0</v>
      </c>
      <c r="O352" s="2">
        <f>IFERROR(__xludf.DUMMYFUNCTION("""COMPUTED_VALUE"""),19524.0)</f>
        <v>19524</v>
      </c>
      <c r="P352" s="2">
        <f>IFERROR(__xludf.DUMMYFUNCTION("""COMPUTED_VALUE"""),976.0)</f>
        <v>976</v>
      </c>
      <c r="Q352" s="2" t="str">
        <f>IFERROR(__xludf.DUMMYFUNCTION("""COMPUTED_VALUE"""),"Dine In")</f>
        <v>Dine In</v>
      </c>
      <c r="R352" s="2" t="str">
        <f>IFERROR(__xludf.DUMMYFUNCTION("""COMPUTED_VALUE"""),"Kedai")</f>
        <v>Kedai</v>
      </c>
      <c r="S352" s="2" t="str">
        <f>IFERROR(__xludf.DUMMYFUNCTION("""COMPUTED_VALUE"""),"Temu Roti")</f>
        <v>Temu Roti</v>
      </c>
      <c r="T352" s="2" t="str">
        <f>IFERROR(__xludf.DUMMYFUNCTION("""COMPUTED_VALUE"""),"Owner")</f>
        <v>Owner</v>
      </c>
      <c r="U352" s="2"/>
      <c r="V352" s="2"/>
      <c r="W352" s="2"/>
      <c r="X352" s="2" t="str">
        <f>IFERROR(__xludf.DUMMYFUNCTION("""COMPUTED_VALUE"""),"Closed")</f>
        <v>Closed</v>
      </c>
    </row>
    <row r="353">
      <c r="A353" s="3" t="s">
        <v>373</v>
      </c>
      <c r="B353" s="4">
        <f>IFERROR(__xludf.DUMMYFUNCTION("SPLIT(A353,"","",0,0)"),45557.561111111114)</f>
        <v>45557.56111</v>
      </c>
      <c r="C353" s="5">
        <f>IFERROR(__xludf.DUMMYFUNCTION("""COMPUTED_VALUE"""),2752135.0)</f>
        <v>2752135</v>
      </c>
      <c r="D353" s="2" t="str">
        <f>IFERROR(__xludf.DUMMYFUNCTION("""COMPUTED_VALUE"""),"Sale")</f>
        <v>Sale</v>
      </c>
      <c r="E353" s="2" t="str">
        <f>IFERROR(__xludf.DUMMYFUNCTION("""COMPUTED_VALUE"""),"Minuman")</f>
        <v>Minuman</v>
      </c>
      <c r="F353" s="2">
        <f>IFERROR(__xludf.DUMMYFUNCTION("""COMPUTED_VALUE"""),10013.0)</f>
        <v>10013</v>
      </c>
      <c r="G353" s="2" t="str">
        <f>IFERROR(__xludf.DUMMYFUNCTION("""COMPUTED_VALUE"""),"Kopi cur")</f>
        <v>Kopi cur</v>
      </c>
      <c r="H353" s="2"/>
      <c r="I353" s="2"/>
      <c r="J353" s="2">
        <f>IFERROR(__xludf.DUMMYFUNCTION("""COMPUTED_VALUE"""),1.0)</f>
        <v>1</v>
      </c>
      <c r="K353" s="6">
        <f>IFERROR(__xludf.DUMMYFUNCTION("""COMPUTED_VALUE"""),23333.0)</f>
        <v>23333</v>
      </c>
      <c r="L353" s="2">
        <f>IFERROR(__xludf.DUMMYFUNCTION("""COMPUTED_VALUE"""),0.0)</f>
        <v>0</v>
      </c>
      <c r="M353" s="2">
        <f>IFERROR(__xludf.DUMMYFUNCTION("""COMPUTED_VALUE"""),23333.0)</f>
        <v>23333</v>
      </c>
      <c r="N353" s="2">
        <f>IFERROR(__xludf.DUMMYFUNCTION("""COMPUTED_VALUE"""),0.0)</f>
        <v>0</v>
      </c>
      <c r="O353" s="2">
        <f>IFERROR(__xludf.DUMMYFUNCTION("""COMPUTED_VALUE"""),23333.0)</f>
        <v>23333</v>
      </c>
      <c r="P353" s="2">
        <f>IFERROR(__xludf.DUMMYFUNCTION("""COMPUTED_VALUE"""),1167.0)</f>
        <v>1167</v>
      </c>
      <c r="Q353" s="2" t="str">
        <f>IFERROR(__xludf.DUMMYFUNCTION("""COMPUTED_VALUE"""),"Dine In")</f>
        <v>Dine In</v>
      </c>
      <c r="R353" s="2" t="str">
        <f>IFERROR(__xludf.DUMMYFUNCTION("""COMPUTED_VALUE"""),"Kedai")</f>
        <v>Kedai</v>
      </c>
      <c r="S353" s="2" t="str">
        <f>IFERROR(__xludf.DUMMYFUNCTION("""COMPUTED_VALUE"""),"Temu Roti")</f>
        <v>Temu Roti</v>
      </c>
      <c r="T353" s="2" t="str">
        <f>IFERROR(__xludf.DUMMYFUNCTION("""COMPUTED_VALUE"""),"Owner")</f>
        <v>Owner</v>
      </c>
      <c r="U353" s="2"/>
      <c r="V353" s="2"/>
      <c r="W353" s="2"/>
      <c r="X353" s="2" t="str">
        <f>IFERROR(__xludf.DUMMYFUNCTION("""COMPUTED_VALUE"""),"Closed")</f>
        <v>Closed</v>
      </c>
    </row>
    <row r="354">
      <c r="A354" s="3" t="s">
        <v>374</v>
      </c>
      <c r="B354" s="4">
        <f>IFERROR(__xludf.DUMMYFUNCTION("SPLIT(A354,"","",0,0)"),45557.561111111114)</f>
        <v>45557.56111</v>
      </c>
      <c r="C354" s="5">
        <f>IFERROR(__xludf.DUMMYFUNCTION("""COMPUTED_VALUE"""),2752135.0)</f>
        <v>2752135</v>
      </c>
      <c r="D354" s="2" t="str">
        <f>IFERROR(__xludf.DUMMYFUNCTION("""COMPUTED_VALUE"""),"Sale")</f>
        <v>Sale</v>
      </c>
      <c r="E354" s="2" t="str">
        <f>IFERROR(__xludf.DUMMYFUNCTION("""COMPUTED_VALUE"""),"Roti")</f>
        <v>Roti</v>
      </c>
      <c r="F354" s="2">
        <f>IFERROR(__xludf.DUMMYFUNCTION("""COMPUTED_VALUE"""),10005.0)</f>
        <v>10005</v>
      </c>
      <c r="G354" s="2" t="str">
        <f>IFERROR(__xludf.DUMMYFUNCTION("""COMPUTED_VALUE"""),"Roti Gandum Cokelat")</f>
        <v>Roti Gandum Cokelat</v>
      </c>
      <c r="H354" s="2"/>
      <c r="I354" s="2"/>
      <c r="J354" s="2">
        <f>IFERROR(__xludf.DUMMYFUNCTION("""COMPUTED_VALUE"""),1.0)</f>
        <v>1</v>
      </c>
      <c r="K354" s="6">
        <f>IFERROR(__xludf.DUMMYFUNCTION("""COMPUTED_VALUE"""),19524.0)</f>
        <v>19524</v>
      </c>
      <c r="L354" s="2">
        <f>IFERROR(__xludf.DUMMYFUNCTION("""COMPUTED_VALUE"""),0.0)</f>
        <v>0</v>
      </c>
      <c r="M354" s="2">
        <f>IFERROR(__xludf.DUMMYFUNCTION("""COMPUTED_VALUE"""),19524.0)</f>
        <v>19524</v>
      </c>
      <c r="N354" s="2">
        <f>IFERROR(__xludf.DUMMYFUNCTION("""COMPUTED_VALUE"""),0.0)</f>
        <v>0</v>
      </c>
      <c r="O354" s="2">
        <f>IFERROR(__xludf.DUMMYFUNCTION("""COMPUTED_VALUE"""),19524.0)</f>
        <v>19524</v>
      </c>
      <c r="P354" s="2">
        <f>IFERROR(__xludf.DUMMYFUNCTION("""COMPUTED_VALUE"""),976.0)</f>
        <v>976</v>
      </c>
      <c r="Q354" s="2" t="str">
        <f>IFERROR(__xludf.DUMMYFUNCTION("""COMPUTED_VALUE"""),"Dine In")</f>
        <v>Dine In</v>
      </c>
      <c r="R354" s="2" t="str">
        <f>IFERROR(__xludf.DUMMYFUNCTION("""COMPUTED_VALUE"""),"Kedai")</f>
        <v>Kedai</v>
      </c>
      <c r="S354" s="2" t="str">
        <f>IFERROR(__xludf.DUMMYFUNCTION("""COMPUTED_VALUE"""),"Temu Roti")</f>
        <v>Temu Roti</v>
      </c>
      <c r="T354" s="2" t="str">
        <f>IFERROR(__xludf.DUMMYFUNCTION("""COMPUTED_VALUE"""),"Owner")</f>
        <v>Owner</v>
      </c>
      <c r="U354" s="2"/>
      <c r="V354" s="2"/>
      <c r="W354" s="2"/>
      <c r="X354" s="2" t="str">
        <f>IFERROR(__xludf.DUMMYFUNCTION("""COMPUTED_VALUE"""),"Closed")</f>
        <v>Closed</v>
      </c>
    </row>
    <row r="355">
      <c r="A355" s="3" t="s">
        <v>375</v>
      </c>
      <c r="B355" s="4">
        <f>IFERROR(__xludf.DUMMYFUNCTION("SPLIT(A355,"","",0,0)"),45557.561111111114)</f>
        <v>45557.56111</v>
      </c>
      <c r="C355" s="5">
        <f>IFERROR(__xludf.DUMMYFUNCTION("""COMPUTED_VALUE"""),2752135.0)</f>
        <v>2752135</v>
      </c>
      <c r="D355" s="2" t="str">
        <f>IFERROR(__xludf.DUMMYFUNCTION("""COMPUTED_VALUE"""),"Sale")</f>
        <v>Sale</v>
      </c>
      <c r="E355" s="2" t="str">
        <f>IFERROR(__xludf.DUMMYFUNCTION("""COMPUTED_VALUE"""),"Roti")</f>
        <v>Roti</v>
      </c>
      <c r="F355" s="2">
        <f>IFERROR(__xludf.DUMMYFUNCTION("""COMPUTED_VALUE"""),10002.0)</f>
        <v>10002</v>
      </c>
      <c r="G355" s="2" t="str">
        <f>IFERROR(__xludf.DUMMYFUNCTION("""COMPUTED_VALUE"""),"Roti Cranberry")</f>
        <v>Roti Cranberry</v>
      </c>
      <c r="H355" s="2"/>
      <c r="I355" s="2"/>
      <c r="J355" s="2">
        <f>IFERROR(__xludf.DUMMYFUNCTION("""COMPUTED_VALUE"""),1.0)</f>
        <v>1</v>
      </c>
      <c r="K355" s="6">
        <f>IFERROR(__xludf.DUMMYFUNCTION("""COMPUTED_VALUE"""),18571.0)</f>
        <v>18571</v>
      </c>
      <c r="L355" s="2">
        <f>IFERROR(__xludf.DUMMYFUNCTION("""COMPUTED_VALUE"""),0.0)</f>
        <v>0</v>
      </c>
      <c r="M355" s="2">
        <f>IFERROR(__xludf.DUMMYFUNCTION("""COMPUTED_VALUE"""),18571.0)</f>
        <v>18571</v>
      </c>
      <c r="N355" s="2">
        <f>IFERROR(__xludf.DUMMYFUNCTION("""COMPUTED_VALUE"""),0.0)</f>
        <v>0</v>
      </c>
      <c r="O355" s="2">
        <f>IFERROR(__xludf.DUMMYFUNCTION("""COMPUTED_VALUE"""),18571.0)</f>
        <v>18571</v>
      </c>
      <c r="P355" s="2">
        <f>IFERROR(__xludf.DUMMYFUNCTION("""COMPUTED_VALUE"""),928.0)</f>
        <v>928</v>
      </c>
      <c r="Q355" s="2" t="str">
        <f>IFERROR(__xludf.DUMMYFUNCTION("""COMPUTED_VALUE"""),"Dine In")</f>
        <v>Dine In</v>
      </c>
      <c r="R355" s="2" t="str">
        <f>IFERROR(__xludf.DUMMYFUNCTION("""COMPUTED_VALUE"""),"Kedai")</f>
        <v>Kedai</v>
      </c>
      <c r="S355" s="2" t="str">
        <f>IFERROR(__xludf.DUMMYFUNCTION("""COMPUTED_VALUE"""),"Temu Roti")</f>
        <v>Temu Roti</v>
      </c>
      <c r="T355" s="2" t="str">
        <f>IFERROR(__xludf.DUMMYFUNCTION("""COMPUTED_VALUE"""),"Owner")</f>
        <v>Owner</v>
      </c>
      <c r="U355" s="2"/>
      <c r="V355" s="2"/>
      <c r="W355" s="2"/>
      <c r="X355" s="2" t="str">
        <f>IFERROR(__xludf.DUMMYFUNCTION("""COMPUTED_VALUE"""),"Closed")</f>
        <v>Closed</v>
      </c>
    </row>
    <row r="356">
      <c r="A356" s="3" t="s">
        <v>376</v>
      </c>
      <c r="B356" s="4">
        <f>IFERROR(__xludf.DUMMYFUNCTION("SPLIT(A356,"","",0,0)"),45557.561111111114)</f>
        <v>45557.56111</v>
      </c>
      <c r="C356" s="5">
        <f>IFERROR(__xludf.DUMMYFUNCTION("""COMPUTED_VALUE"""),2752135.0)</f>
        <v>2752135</v>
      </c>
      <c r="D356" s="2" t="str">
        <f>IFERROR(__xludf.DUMMYFUNCTION("""COMPUTED_VALUE"""),"Sale")</f>
        <v>Sale</v>
      </c>
      <c r="E356" s="2" t="str">
        <f>IFERROR(__xludf.DUMMYFUNCTION("""COMPUTED_VALUE"""),"Minuman")</f>
        <v>Minuman</v>
      </c>
      <c r="F356" s="2">
        <f>IFERROR(__xludf.DUMMYFUNCTION("""COMPUTED_VALUE"""),10057.0)</f>
        <v>10057</v>
      </c>
      <c r="G356" s="2" t="str">
        <f>IFERROR(__xludf.DUMMYFUNCTION("""COMPUTED_VALUE"""),"Susu murni strawberry")</f>
        <v>Susu murni strawberry</v>
      </c>
      <c r="H356" s="2"/>
      <c r="I356" s="2"/>
      <c r="J356" s="2">
        <f>IFERROR(__xludf.DUMMYFUNCTION("""COMPUTED_VALUE"""),1.0)</f>
        <v>1</v>
      </c>
      <c r="K356" s="6">
        <f>IFERROR(__xludf.DUMMYFUNCTION("""COMPUTED_VALUE"""),19524.0)</f>
        <v>19524</v>
      </c>
      <c r="L356" s="2">
        <f>IFERROR(__xludf.DUMMYFUNCTION("""COMPUTED_VALUE"""),0.0)</f>
        <v>0</v>
      </c>
      <c r="M356" s="2">
        <f>IFERROR(__xludf.DUMMYFUNCTION("""COMPUTED_VALUE"""),19524.0)</f>
        <v>19524</v>
      </c>
      <c r="N356" s="2">
        <f>IFERROR(__xludf.DUMMYFUNCTION("""COMPUTED_VALUE"""),0.0)</f>
        <v>0</v>
      </c>
      <c r="O356" s="2">
        <f>IFERROR(__xludf.DUMMYFUNCTION("""COMPUTED_VALUE"""),19524.0)</f>
        <v>19524</v>
      </c>
      <c r="P356" s="2">
        <f>IFERROR(__xludf.DUMMYFUNCTION("""COMPUTED_VALUE"""),977.0)</f>
        <v>977</v>
      </c>
      <c r="Q356" s="2" t="str">
        <f>IFERROR(__xludf.DUMMYFUNCTION("""COMPUTED_VALUE"""),"Dine In")</f>
        <v>Dine In</v>
      </c>
      <c r="R356" s="2" t="str">
        <f>IFERROR(__xludf.DUMMYFUNCTION("""COMPUTED_VALUE"""),"Kedai")</f>
        <v>Kedai</v>
      </c>
      <c r="S356" s="2" t="str">
        <f>IFERROR(__xludf.DUMMYFUNCTION("""COMPUTED_VALUE"""),"Temu Roti")</f>
        <v>Temu Roti</v>
      </c>
      <c r="T356" s="2" t="str">
        <f>IFERROR(__xludf.DUMMYFUNCTION("""COMPUTED_VALUE"""),"Owner")</f>
        <v>Owner</v>
      </c>
      <c r="U356" s="2"/>
      <c r="V356" s="2"/>
      <c r="W356" s="2" t="str">
        <f>IFERROR(__xludf.DUMMYFUNCTION("""COMPUTED_VALUE"""),"Dingin")</f>
        <v>Dingin</v>
      </c>
      <c r="X356" s="2" t="str">
        <f>IFERROR(__xludf.DUMMYFUNCTION("""COMPUTED_VALUE"""),"Closed")</f>
        <v>Closed</v>
      </c>
    </row>
    <row r="357">
      <c r="A357" s="3" t="s">
        <v>377</v>
      </c>
      <c r="B357" s="4">
        <f>IFERROR(__xludf.DUMMYFUNCTION("SPLIT(A357,"","",0,0)"),45557.54791666667)</f>
        <v>45557.54792</v>
      </c>
      <c r="C357" s="5">
        <f>IFERROR(__xludf.DUMMYFUNCTION("""COMPUTED_VALUE"""),2751770.0)</f>
        <v>2751770</v>
      </c>
      <c r="D357" s="2" t="str">
        <f>IFERROR(__xludf.DUMMYFUNCTION("""COMPUTED_VALUE"""),"Sale")</f>
        <v>Sale</v>
      </c>
      <c r="E357" s="2" t="str">
        <f>IFERROR(__xludf.DUMMYFUNCTION("""COMPUTED_VALUE"""),"Roti")</f>
        <v>Roti</v>
      </c>
      <c r="F357" s="2">
        <f>IFERROR(__xludf.DUMMYFUNCTION("""COMPUTED_VALUE"""),10007.0)</f>
        <v>10007</v>
      </c>
      <c r="G357" s="2" t="str">
        <f>IFERROR(__xludf.DUMMYFUNCTION("""COMPUTED_VALUE"""),"Roti cranberry 2 pcs")</f>
        <v>Roti cranberry 2 pcs</v>
      </c>
      <c r="H357" s="2"/>
      <c r="I357" s="2"/>
      <c r="J357" s="2">
        <f>IFERROR(__xludf.DUMMYFUNCTION("""COMPUTED_VALUE"""),1.0)</f>
        <v>1</v>
      </c>
      <c r="K357" s="6">
        <f>IFERROR(__xludf.DUMMYFUNCTION("""COMPUTED_VALUE"""),33810.0)</f>
        <v>33810</v>
      </c>
      <c r="L357" s="2">
        <f>IFERROR(__xludf.DUMMYFUNCTION("""COMPUTED_VALUE"""),0.0)</f>
        <v>0</v>
      </c>
      <c r="M357" s="2">
        <f>IFERROR(__xludf.DUMMYFUNCTION("""COMPUTED_VALUE"""),33810.0)</f>
        <v>33810</v>
      </c>
      <c r="N357" s="2">
        <f>IFERROR(__xludf.DUMMYFUNCTION("""COMPUTED_VALUE"""),0.0)</f>
        <v>0</v>
      </c>
      <c r="O357" s="2">
        <f>IFERROR(__xludf.DUMMYFUNCTION("""COMPUTED_VALUE"""),33810.0)</f>
        <v>33810</v>
      </c>
      <c r="P357" s="2">
        <f>IFERROR(__xludf.DUMMYFUNCTION("""COMPUTED_VALUE"""),1691.0)</f>
        <v>1691</v>
      </c>
      <c r="Q357" s="2" t="str">
        <f>IFERROR(__xludf.DUMMYFUNCTION("""COMPUTED_VALUE"""),"Dine In")</f>
        <v>Dine In</v>
      </c>
      <c r="R357" s="2" t="str">
        <f>IFERROR(__xludf.DUMMYFUNCTION("""COMPUTED_VALUE"""),"Kedai")</f>
        <v>Kedai</v>
      </c>
      <c r="S357" s="2" t="str">
        <f>IFERROR(__xludf.DUMMYFUNCTION("""COMPUTED_VALUE"""),"Temu Roti")</f>
        <v>Temu Roti</v>
      </c>
      <c r="T357" s="2" t="str">
        <f>IFERROR(__xludf.DUMMYFUNCTION("""COMPUTED_VALUE"""),"Owner")</f>
        <v>Owner</v>
      </c>
      <c r="U357" s="2"/>
      <c r="V357" s="2"/>
      <c r="W357" s="2"/>
      <c r="X357" s="2" t="str">
        <f>IFERROR(__xludf.DUMMYFUNCTION("""COMPUTED_VALUE"""),"Closed")</f>
        <v>Closed</v>
      </c>
    </row>
    <row r="358">
      <c r="A358" s="3" t="s">
        <v>378</v>
      </c>
      <c r="B358" s="4">
        <f>IFERROR(__xludf.DUMMYFUNCTION("SPLIT(A358,"","",0,0)"),45557.54791666667)</f>
        <v>45557.54792</v>
      </c>
      <c r="C358" s="5">
        <f>IFERROR(__xludf.DUMMYFUNCTION("""COMPUTED_VALUE"""),2751770.0)</f>
        <v>2751770</v>
      </c>
      <c r="D358" s="2" t="str">
        <f>IFERROR(__xludf.DUMMYFUNCTION("""COMPUTED_VALUE"""),"Sale")</f>
        <v>Sale</v>
      </c>
      <c r="E358" s="2" t="str">
        <f>IFERROR(__xludf.DUMMYFUNCTION("""COMPUTED_VALUE"""),"Roti")</f>
        <v>Roti</v>
      </c>
      <c r="F358" s="2">
        <f>IFERROR(__xludf.DUMMYFUNCTION("""COMPUTED_VALUE"""),10055.0)</f>
        <v>10055</v>
      </c>
      <c r="G358" s="2" t="str">
        <f>IFERROR(__xludf.DUMMYFUNCTION("""COMPUTED_VALUE"""),"Roti Gandum Cokelat 2 pcs")</f>
        <v>Roti Gandum Cokelat 2 pcs</v>
      </c>
      <c r="H358" s="2"/>
      <c r="I358" s="2"/>
      <c r="J358" s="2">
        <f>IFERROR(__xludf.DUMMYFUNCTION("""COMPUTED_VALUE"""),1.0)</f>
        <v>1</v>
      </c>
      <c r="K358" s="6">
        <f>IFERROR(__xludf.DUMMYFUNCTION("""COMPUTED_VALUE"""),34762.0)</f>
        <v>34762</v>
      </c>
      <c r="L358" s="2">
        <f>IFERROR(__xludf.DUMMYFUNCTION("""COMPUTED_VALUE"""),0.0)</f>
        <v>0</v>
      </c>
      <c r="M358" s="2">
        <f>IFERROR(__xludf.DUMMYFUNCTION("""COMPUTED_VALUE"""),34762.0)</f>
        <v>34762</v>
      </c>
      <c r="N358" s="2">
        <f>IFERROR(__xludf.DUMMYFUNCTION("""COMPUTED_VALUE"""),0.0)</f>
        <v>0</v>
      </c>
      <c r="O358" s="2">
        <f>IFERROR(__xludf.DUMMYFUNCTION("""COMPUTED_VALUE"""),34762.0)</f>
        <v>34762</v>
      </c>
      <c r="P358" s="2">
        <f>IFERROR(__xludf.DUMMYFUNCTION("""COMPUTED_VALUE"""),1738.0)</f>
        <v>1738</v>
      </c>
      <c r="Q358" s="2" t="str">
        <f>IFERROR(__xludf.DUMMYFUNCTION("""COMPUTED_VALUE"""),"Dine In")</f>
        <v>Dine In</v>
      </c>
      <c r="R358" s="2" t="str">
        <f>IFERROR(__xludf.DUMMYFUNCTION("""COMPUTED_VALUE"""),"Kedai")</f>
        <v>Kedai</v>
      </c>
      <c r="S358" s="2" t="str">
        <f>IFERROR(__xludf.DUMMYFUNCTION("""COMPUTED_VALUE"""),"Temu Roti")</f>
        <v>Temu Roti</v>
      </c>
      <c r="T358" s="2" t="str">
        <f>IFERROR(__xludf.DUMMYFUNCTION("""COMPUTED_VALUE"""),"Owner")</f>
        <v>Owner</v>
      </c>
      <c r="U358" s="2"/>
      <c r="V358" s="2"/>
      <c r="W358" s="2"/>
      <c r="X358" s="2" t="str">
        <f>IFERROR(__xludf.DUMMYFUNCTION("""COMPUTED_VALUE"""),"Closed")</f>
        <v>Closed</v>
      </c>
    </row>
    <row r="359">
      <c r="A359" s="3" t="s">
        <v>379</v>
      </c>
      <c r="B359" s="4">
        <f>IFERROR(__xludf.DUMMYFUNCTION("SPLIT(A359,"","",0,0)"),45557.54791666667)</f>
        <v>45557.54792</v>
      </c>
      <c r="C359" s="5">
        <f>IFERROR(__xludf.DUMMYFUNCTION("""COMPUTED_VALUE"""),2751770.0)</f>
        <v>2751770</v>
      </c>
      <c r="D359" s="2" t="str">
        <f>IFERROR(__xludf.DUMMYFUNCTION("""COMPUTED_VALUE"""),"Sale")</f>
        <v>Sale</v>
      </c>
      <c r="E359" s="2" t="str">
        <f>IFERROR(__xludf.DUMMYFUNCTION("""COMPUTED_VALUE"""),"Roti")</f>
        <v>Roti</v>
      </c>
      <c r="F359" s="2">
        <f>IFERROR(__xludf.DUMMYFUNCTION("""COMPUTED_VALUE"""),10000.0)</f>
        <v>10000</v>
      </c>
      <c r="G359" s="2" t="str">
        <f>IFERROR(__xludf.DUMMYFUNCTION("""COMPUTED_VALUE"""),"Roti Bawang Saus Keju")</f>
        <v>Roti Bawang Saus Keju</v>
      </c>
      <c r="H359" s="2"/>
      <c r="I359" s="2"/>
      <c r="J359" s="2">
        <f>IFERROR(__xludf.DUMMYFUNCTION("""COMPUTED_VALUE"""),1.0)</f>
        <v>1</v>
      </c>
      <c r="K359" s="6">
        <f>IFERROR(__xludf.DUMMYFUNCTION("""COMPUTED_VALUE"""),29524.0)</f>
        <v>29524</v>
      </c>
      <c r="L359" s="2">
        <f>IFERROR(__xludf.DUMMYFUNCTION("""COMPUTED_VALUE"""),0.0)</f>
        <v>0</v>
      </c>
      <c r="M359" s="2">
        <f>IFERROR(__xludf.DUMMYFUNCTION("""COMPUTED_VALUE"""),29524.0)</f>
        <v>29524</v>
      </c>
      <c r="N359" s="2">
        <f>IFERROR(__xludf.DUMMYFUNCTION("""COMPUTED_VALUE"""),0.0)</f>
        <v>0</v>
      </c>
      <c r="O359" s="2">
        <f>IFERROR(__xludf.DUMMYFUNCTION("""COMPUTED_VALUE"""),29524.0)</f>
        <v>29524</v>
      </c>
      <c r="P359" s="2">
        <f>IFERROR(__xludf.DUMMYFUNCTION("""COMPUTED_VALUE"""),1476.0)</f>
        <v>1476</v>
      </c>
      <c r="Q359" s="2" t="str">
        <f>IFERROR(__xludf.DUMMYFUNCTION("""COMPUTED_VALUE"""),"Dine In")</f>
        <v>Dine In</v>
      </c>
      <c r="R359" s="2" t="str">
        <f>IFERROR(__xludf.DUMMYFUNCTION("""COMPUTED_VALUE"""),"Kedai")</f>
        <v>Kedai</v>
      </c>
      <c r="S359" s="2" t="str">
        <f>IFERROR(__xludf.DUMMYFUNCTION("""COMPUTED_VALUE"""),"Temu Roti")</f>
        <v>Temu Roti</v>
      </c>
      <c r="T359" s="2" t="str">
        <f>IFERROR(__xludf.DUMMYFUNCTION("""COMPUTED_VALUE"""),"Owner")</f>
        <v>Owner</v>
      </c>
      <c r="U359" s="2"/>
      <c r="V359" s="2"/>
      <c r="W359" s="2"/>
      <c r="X359" s="2" t="str">
        <f>IFERROR(__xludf.DUMMYFUNCTION("""COMPUTED_VALUE"""),"Closed")</f>
        <v>Closed</v>
      </c>
    </row>
    <row r="360">
      <c r="A360" s="3" t="s">
        <v>380</v>
      </c>
      <c r="B360" s="4">
        <f>IFERROR(__xludf.DUMMYFUNCTION("SPLIT(A360,"","",0,0)"),45557.54791666667)</f>
        <v>45557.54792</v>
      </c>
      <c r="C360" s="5">
        <f>IFERROR(__xludf.DUMMYFUNCTION("""COMPUTED_VALUE"""),2751770.0)</f>
        <v>2751770</v>
      </c>
      <c r="D360" s="2" t="str">
        <f>IFERROR(__xludf.DUMMYFUNCTION("""COMPUTED_VALUE"""),"Sale")</f>
        <v>Sale</v>
      </c>
      <c r="E360" s="2" t="str">
        <f>IFERROR(__xludf.DUMMYFUNCTION("""COMPUTED_VALUE"""),"Minuman")</f>
        <v>Minuman</v>
      </c>
      <c r="F360" s="2">
        <f>IFERROR(__xludf.DUMMYFUNCTION("""COMPUTED_VALUE"""),10128.0)</f>
        <v>10128</v>
      </c>
      <c r="G360" s="2" t="str">
        <f>IFERROR(__xludf.DUMMYFUNCTION("""COMPUTED_VALUE"""),"Es Kopi Susu")</f>
        <v>Es Kopi Susu</v>
      </c>
      <c r="H360" s="2"/>
      <c r="I360" s="2"/>
      <c r="J360" s="2">
        <f>IFERROR(__xludf.DUMMYFUNCTION("""COMPUTED_VALUE"""),2.0)</f>
        <v>2</v>
      </c>
      <c r="K360" s="6">
        <f>IFERROR(__xludf.DUMMYFUNCTION("""COMPUTED_VALUE"""),46666.0)</f>
        <v>46666</v>
      </c>
      <c r="L360" s="2">
        <f>IFERROR(__xludf.DUMMYFUNCTION("""COMPUTED_VALUE"""),0.0)</f>
        <v>0</v>
      </c>
      <c r="M360" s="2">
        <f>IFERROR(__xludf.DUMMYFUNCTION("""COMPUTED_VALUE"""),46666.0)</f>
        <v>46666</v>
      </c>
      <c r="N360" s="2">
        <f>IFERROR(__xludf.DUMMYFUNCTION("""COMPUTED_VALUE"""),0.0)</f>
        <v>0</v>
      </c>
      <c r="O360" s="2">
        <f>IFERROR(__xludf.DUMMYFUNCTION("""COMPUTED_VALUE"""),46666.0)</f>
        <v>46666</v>
      </c>
      <c r="P360" s="2">
        <f>IFERROR(__xludf.DUMMYFUNCTION("""COMPUTED_VALUE"""),2333.0)</f>
        <v>2333</v>
      </c>
      <c r="Q360" s="2" t="str">
        <f>IFERROR(__xludf.DUMMYFUNCTION("""COMPUTED_VALUE"""),"Dine In")</f>
        <v>Dine In</v>
      </c>
      <c r="R360" s="2" t="str">
        <f>IFERROR(__xludf.DUMMYFUNCTION("""COMPUTED_VALUE"""),"Kedai")</f>
        <v>Kedai</v>
      </c>
      <c r="S360" s="2" t="str">
        <f>IFERROR(__xludf.DUMMYFUNCTION("""COMPUTED_VALUE"""),"Temu Roti")</f>
        <v>Temu Roti</v>
      </c>
      <c r="T360" s="2" t="str">
        <f>IFERROR(__xludf.DUMMYFUNCTION("""COMPUTED_VALUE"""),"Owner")</f>
        <v>Owner</v>
      </c>
      <c r="U360" s="2"/>
      <c r="V360" s="2"/>
      <c r="W360" s="2"/>
      <c r="X360" s="2" t="str">
        <f>IFERROR(__xludf.DUMMYFUNCTION("""COMPUTED_VALUE"""),"Closed")</f>
        <v>Closed</v>
      </c>
    </row>
    <row r="361">
      <c r="A361" s="3" t="s">
        <v>381</v>
      </c>
      <c r="B361" s="4">
        <f>IFERROR(__xludf.DUMMYFUNCTION("SPLIT(A361,"","",0,0)"),45557.54791666667)</f>
        <v>45557.54792</v>
      </c>
      <c r="C361" s="5">
        <f>IFERROR(__xludf.DUMMYFUNCTION("""COMPUTED_VALUE"""),2751770.0)</f>
        <v>2751770</v>
      </c>
      <c r="D361" s="2" t="str">
        <f>IFERROR(__xludf.DUMMYFUNCTION("""COMPUTED_VALUE"""),"Sale")</f>
        <v>Sale</v>
      </c>
      <c r="E361" s="2" t="str">
        <f>IFERROR(__xludf.DUMMYFUNCTION("""COMPUTED_VALUE"""),"Minuman")</f>
        <v>Minuman</v>
      </c>
      <c r="F361" s="2">
        <f>IFERROR(__xludf.DUMMYFUNCTION("""COMPUTED_VALUE"""),10107.0)</f>
        <v>10107</v>
      </c>
      <c r="G361" s="2" t="str">
        <f>IFERROR(__xludf.DUMMYFUNCTION("""COMPUTED_VALUE"""),"Korean Mango Fresh Milk")</f>
        <v>Korean Mango Fresh Milk</v>
      </c>
      <c r="H361" s="2"/>
      <c r="I361" s="2"/>
      <c r="J361" s="2">
        <f>IFERROR(__xludf.DUMMYFUNCTION("""COMPUTED_VALUE"""),1.0)</f>
        <v>1</v>
      </c>
      <c r="K361" s="6">
        <f>IFERROR(__xludf.DUMMYFUNCTION("""COMPUTED_VALUE"""),26667.0)</f>
        <v>26667</v>
      </c>
      <c r="L361" s="2">
        <f>IFERROR(__xludf.DUMMYFUNCTION("""COMPUTED_VALUE"""),0.0)</f>
        <v>0</v>
      </c>
      <c r="M361" s="2">
        <f>IFERROR(__xludf.DUMMYFUNCTION("""COMPUTED_VALUE"""),26667.0)</f>
        <v>26667</v>
      </c>
      <c r="N361" s="2">
        <f>IFERROR(__xludf.DUMMYFUNCTION("""COMPUTED_VALUE"""),0.0)</f>
        <v>0</v>
      </c>
      <c r="O361" s="2">
        <f>IFERROR(__xludf.DUMMYFUNCTION("""COMPUTED_VALUE"""),26667.0)</f>
        <v>26667</v>
      </c>
      <c r="P361" s="2">
        <f>IFERROR(__xludf.DUMMYFUNCTION("""COMPUTED_VALUE"""),1333.0)</f>
        <v>1333</v>
      </c>
      <c r="Q361" s="2" t="str">
        <f>IFERROR(__xludf.DUMMYFUNCTION("""COMPUTED_VALUE"""),"Dine In")</f>
        <v>Dine In</v>
      </c>
      <c r="R361" s="2" t="str">
        <f>IFERROR(__xludf.DUMMYFUNCTION("""COMPUTED_VALUE"""),"Kedai")</f>
        <v>Kedai</v>
      </c>
      <c r="S361" s="2" t="str">
        <f>IFERROR(__xludf.DUMMYFUNCTION("""COMPUTED_VALUE"""),"Temu Roti")</f>
        <v>Temu Roti</v>
      </c>
      <c r="T361" s="2" t="str">
        <f>IFERROR(__xludf.DUMMYFUNCTION("""COMPUTED_VALUE"""),"Owner")</f>
        <v>Owner</v>
      </c>
      <c r="U361" s="2"/>
      <c r="V361" s="2"/>
      <c r="W361" s="2"/>
      <c r="X361" s="2" t="str">
        <f>IFERROR(__xludf.DUMMYFUNCTION("""COMPUTED_VALUE"""),"Closed")</f>
        <v>Closed</v>
      </c>
    </row>
    <row r="362">
      <c r="A362" s="3" t="s">
        <v>382</v>
      </c>
      <c r="B362" s="4">
        <f>IFERROR(__xludf.DUMMYFUNCTION("SPLIT(A362,"","",0,0)"),45557.54375)</f>
        <v>45557.54375</v>
      </c>
      <c r="C362" s="5">
        <f>IFERROR(__xludf.DUMMYFUNCTION("""COMPUTED_VALUE"""),2751405.0)</f>
        <v>2751405</v>
      </c>
      <c r="D362" s="2" t="str">
        <f>IFERROR(__xludf.DUMMYFUNCTION("""COMPUTED_VALUE"""),"Sale")</f>
        <v>Sale</v>
      </c>
      <c r="E362" s="2" t="str">
        <f>IFERROR(__xludf.DUMMYFUNCTION("""COMPUTED_VALUE"""),"Roti")</f>
        <v>Roti</v>
      </c>
      <c r="F362" s="2">
        <f>IFERROR(__xludf.DUMMYFUNCTION("""COMPUTED_VALUE"""),10000.0)</f>
        <v>10000</v>
      </c>
      <c r="G362" s="2" t="str">
        <f>IFERROR(__xludf.DUMMYFUNCTION("""COMPUTED_VALUE"""),"Roti Bawang Saus Keju")</f>
        <v>Roti Bawang Saus Keju</v>
      </c>
      <c r="H362" s="2"/>
      <c r="I362" s="2"/>
      <c r="J362" s="2">
        <f>IFERROR(__xludf.DUMMYFUNCTION("""COMPUTED_VALUE"""),1.0)</f>
        <v>1</v>
      </c>
      <c r="K362" s="6">
        <f>IFERROR(__xludf.DUMMYFUNCTION("""COMPUTED_VALUE"""),29524.0)</f>
        <v>29524</v>
      </c>
      <c r="L362" s="2">
        <f>IFERROR(__xludf.DUMMYFUNCTION("""COMPUTED_VALUE"""),0.0)</f>
        <v>0</v>
      </c>
      <c r="M362" s="2">
        <f>IFERROR(__xludf.DUMMYFUNCTION("""COMPUTED_VALUE"""),29524.0)</f>
        <v>29524</v>
      </c>
      <c r="N362" s="2">
        <f>IFERROR(__xludf.DUMMYFUNCTION("""COMPUTED_VALUE"""),0.0)</f>
        <v>0</v>
      </c>
      <c r="O362" s="2">
        <f>IFERROR(__xludf.DUMMYFUNCTION("""COMPUTED_VALUE"""),29524.0)</f>
        <v>29524</v>
      </c>
      <c r="P362" s="2">
        <f>IFERROR(__xludf.DUMMYFUNCTION("""COMPUTED_VALUE"""),1476.0)</f>
        <v>1476</v>
      </c>
      <c r="Q362" s="2" t="str">
        <f>IFERROR(__xludf.DUMMYFUNCTION("""COMPUTED_VALUE"""),"Dine In")</f>
        <v>Dine In</v>
      </c>
      <c r="R362" s="2" t="str">
        <f>IFERROR(__xludf.DUMMYFUNCTION("""COMPUTED_VALUE"""),"Kedai")</f>
        <v>Kedai</v>
      </c>
      <c r="S362" s="2" t="str">
        <f>IFERROR(__xludf.DUMMYFUNCTION("""COMPUTED_VALUE"""),"Temu Roti")</f>
        <v>Temu Roti</v>
      </c>
      <c r="T362" s="2" t="str">
        <f>IFERROR(__xludf.DUMMYFUNCTION("""COMPUTED_VALUE"""),"Owner")</f>
        <v>Owner</v>
      </c>
      <c r="U362" s="2"/>
      <c r="V362" s="2"/>
      <c r="W362" s="2"/>
      <c r="X362" s="2" t="str">
        <f>IFERROR(__xludf.DUMMYFUNCTION("""COMPUTED_VALUE"""),"Closed")</f>
        <v>Closed</v>
      </c>
    </row>
    <row r="363">
      <c r="A363" s="3" t="s">
        <v>383</v>
      </c>
      <c r="B363" s="4">
        <f>IFERROR(__xludf.DUMMYFUNCTION("SPLIT(A363,"","",0,0)"),45557.54375)</f>
        <v>45557.54375</v>
      </c>
      <c r="C363" s="5">
        <f>IFERROR(__xludf.DUMMYFUNCTION("""COMPUTED_VALUE"""),2751405.0)</f>
        <v>2751405</v>
      </c>
      <c r="D363" s="2" t="str">
        <f>IFERROR(__xludf.DUMMYFUNCTION("""COMPUTED_VALUE"""),"Sale")</f>
        <v>Sale</v>
      </c>
      <c r="E363" s="2" t="str">
        <f>IFERROR(__xludf.DUMMYFUNCTION("""COMPUTED_VALUE"""),"Roti")</f>
        <v>Roti</v>
      </c>
      <c r="F363" s="2">
        <f>IFERROR(__xludf.DUMMYFUNCTION("""COMPUTED_VALUE"""),10055.0)</f>
        <v>10055</v>
      </c>
      <c r="G363" s="2" t="str">
        <f>IFERROR(__xludf.DUMMYFUNCTION("""COMPUTED_VALUE"""),"Roti Gandum Cokelat 2 pcs")</f>
        <v>Roti Gandum Cokelat 2 pcs</v>
      </c>
      <c r="H363" s="2"/>
      <c r="I363" s="2"/>
      <c r="J363" s="2">
        <f>IFERROR(__xludf.DUMMYFUNCTION("""COMPUTED_VALUE"""),1.0)</f>
        <v>1</v>
      </c>
      <c r="K363" s="6">
        <f>IFERROR(__xludf.DUMMYFUNCTION("""COMPUTED_VALUE"""),34762.0)</f>
        <v>34762</v>
      </c>
      <c r="L363" s="2">
        <f>IFERROR(__xludf.DUMMYFUNCTION("""COMPUTED_VALUE"""),0.0)</f>
        <v>0</v>
      </c>
      <c r="M363" s="2">
        <f>IFERROR(__xludf.DUMMYFUNCTION("""COMPUTED_VALUE"""),34762.0)</f>
        <v>34762</v>
      </c>
      <c r="N363" s="2">
        <f>IFERROR(__xludf.DUMMYFUNCTION("""COMPUTED_VALUE"""),0.0)</f>
        <v>0</v>
      </c>
      <c r="O363" s="2">
        <f>IFERROR(__xludf.DUMMYFUNCTION("""COMPUTED_VALUE"""),34762.0)</f>
        <v>34762</v>
      </c>
      <c r="P363" s="2">
        <f>IFERROR(__xludf.DUMMYFUNCTION("""COMPUTED_VALUE"""),1738.0)</f>
        <v>1738</v>
      </c>
      <c r="Q363" s="2" t="str">
        <f>IFERROR(__xludf.DUMMYFUNCTION("""COMPUTED_VALUE"""),"Dine In")</f>
        <v>Dine In</v>
      </c>
      <c r="R363" s="2" t="str">
        <f>IFERROR(__xludf.DUMMYFUNCTION("""COMPUTED_VALUE"""),"Kedai")</f>
        <v>Kedai</v>
      </c>
      <c r="S363" s="2" t="str">
        <f>IFERROR(__xludf.DUMMYFUNCTION("""COMPUTED_VALUE"""),"Temu Roti")</f>
        <v>Temu Roti</v>
      </c>
      <c r="T363" s="2" t="str">
        <f>IFERROR(__xludf.DUMMYFUNCTION("""COMPUTED_VALUE"""),"Owner")</f>
        <v>Owner</v>
      </c>
      <c r="U363" s="2"/>
      <c r="V363" s="2"/>
      <c r="W363" s="2"/>
      <c r="X363" s="2" t="str">
        <f>IFERROR(__xludf.DUMMYFUNCTION("""COMPUTED_VALUE"""),"Closed")</f>
        <v>Closed</v>
      </c>
    </row>
    <row r="364">
      <c r="A364" s="3" t="s">
        <v>384</v>
      </c>
      <c r="B364" s="4">
        <f>IFERROR(__xludf.DUMMYFUNCTION("SPLIT(A364,"","",0,0)"),45557.49722222222)</f>
        <v>45557.49722</v>
      </c>
      <c r="C364" s="5">
        <f>IFERROR(__xludf.DUMMYFUNCTION("""COMPUTED_VALUE"""),2751039.0)</f>
        <v>2751039</v>
      </c>
      <c r="D364" s="2" t="str">
        <f>IFERROR(__xludf.DUMMYFUNCTION("""COMPUTED_VALUE"""),"Sale")</f>
        <v>Sale</v>
      </c>
      <c r="E364" s="2" t="str">
        <f>IFERROR(__xludf.DUMMYFUNCTION("""COMPUTED_VALUE"""),"Roti")</f>
        <v>Roti</v>
      </c>
      <c r="F364" s="2">
        <f>IFERROR(__xludf.DUMMYFUNCTION("""COMPUTED_VALUE"""),10007.0)</f>
        <v>10007</v>
      </c>
      <c r="G364" s="2" t="str">
        <f>IFERROR(__xludf.DUMMYFUNCTION("""COMPUTED_VALUE"""),"Roti cranberry 2 pcs")</f>
        <v>Roti cranberry 2 pcs</v>
      </c>
      <c r="H364" s="2"/>
      <c r="I364" s="2"/>
      <c r="J364" s="2">
        <f>IFERROR(__xludf.DUMMYFUNCTION("""COMPUTED_VALUE"""),1.0)</f>
        <v>1</v>
      </c>
      <c r="K364" s="6">
        <f>IFERROR(__xludf.DUMMYFUNCTION("""COMPUTED_VALUE"""),33810.0)</f>
        <v>33810</v>
      </c>
      <c r="L364" s="2">
        <f>IFERROR(__xludf.DUMMYFUNCTION("""COMPUTED_VALUE"""),0.0)</f>
        <v>0</v>
      </c>
      <c r="M364" s="2">
        <f>IFERROR(__xludf.DUMMYFUNCTION("""COMPUTED_VALUE"""),33810.0)</f>
        <v>33810</v>
      </c>
      <c r="N364" s="2">
        <f>IFERROR(__xludf.DUMMYFUNCTION("""COMPUTED_VALUE"""),0.0)</f>
        <v>0</v>
      </c>
      <c r="O364" s="2">
        <f>IFERROR(__xludf.DUMMYFUNCTION("""COMPUTED_VALUE"""),33810.0)</f>
        <v>33810</v>
      </c>
      <c r="P364" s="2">
        <f>IFERROR(__xludf.DUMMYFUNCTION("""COMPUTED_VALUE"""),1691.0)</f>
        <v>1691</v>
      </c>
      <c r="Q364" s="2" t="str">
        <f>IFERROR(__xludf.DUMMYFUNCTION("""COMPUTED_VALUE"""),"Dine In")</f>
        <v>Dine In</v>
      </c>
      <c r="R364" s="2" t="str">
        <f>IFERROR(__xludf.DUMMYFUNCTION("""COMPUTED_VALUE"""),"Kedai")</f>
        <v>Kedai</v>
      </c>
      <c r="S364" s="2" t="str">
        <f>IFERROR(__xludf.DUMMYFUNCTION("""COMPUTED_VALUE"""),"Temu Roti")</f>
        <v>Temu Roti</v>
      </c>
      <c r="T364" s="2" t="str">
        <f>IFERROR(__xludf.DUMMYFUNCTION("""COMPUTED_VALUE"""),"Owner")</f>
        <v>Owner</v>
      </c>
      <c r="U364" s="2"/>
      <c r="V364" s="2"/>
      <c r="W364" s="2"/>
      <c r="X364" s="2" t="str">
        <f>IFERROR(__xludf.DUMMYFUNCTION("""COMPUTED_VALUE"""),"Closed")</f>
        <v>Closed</v>
      </c>
    </row>
    <row r="365">
      <c r="A365" s="3" t="s">
        <v>385</v>
      </c>
      <c r="B365" s="4">
        <f>IFERROR(__xludf.DUMMYFUNCTION("SPLIT(A365,"","",0,0)"),45557.46597222222)</f>
        <v>45557.46597</v>
      </c>
      <c r="C365" s="5">
        <f>IFERROR(__xludf.DUMMYFUNCTION("""COMPUTED_VALUE"""),2750674.0)</f>
        <v>2750674</v>
      </c>
      <c r="D365" s="2" t="str">
        <f>IFERROR(__xludf.DUMMYFUNCTION("""COMPUTED_VALUE"""),"Sale")</f>
        <v>Sale</v>
      </c>
      <c r="E365" s="2" t="str">
        <f>IFERROR(__xludf.DUMMYFUNCTION("""COMPUTED_VALUE"""),"Minuman")</f>
        <v>Minuman</v>
      </c>
      <c r="F365" s="2">
        <f>IFERROR(__xludf.DUMMYFUNCTION("""COMPUTED_VALUE"""),10128.0)</f>
        <v>10128</v>
      </c>
      <c r="G365" s="2" t="str">
        <f>IFERROR(__xludf.DUMMYFUNCTION("""COMPUTED_VALUE"""),"Es Kopi Susu")</f>
        <v>Es Kopi Susu</v>
      </c>
      <c r="H365" s="2"/>
      <c r="I365" s="2"/>
      <c r="J365" s="2">
        <f>IFERROR(__xludf.DUMMYFUNCTION("""COMPUTED_VALUE"""),1.0)</f>
        <v>1</v>
      </c>
      <c r="K365" s="6">
        <f>IFERROR(__xludf.DUMMYFUNCTION("""COMPUTED_VALUE"""),23333.0)</f>
        <v>23333</v>
      </c>
      <c r="L365" s="2">
        <f>IFERROR(__xludf.DUMMYFUNCTION("""COMPUTED_VALUE"""),0.0)</f>
        <v>0</v>
      </c>
      <c r="M365" s="2">
        <f>IFERROR(__xludf.DUMMYFUNCTION("""COMPUTED_VALUE"""),23333.0)</f>
        <v>23333</v>
      </c>
      <c r="N365" s="2">
        <f>IFERROR(__xludf.DUMMYFUNCTION("""COMPUTED_VALUE"""),0.0)</f>
        <v>0</v>
      </c>
      <c r="O365" s="2">
        <f>IFERROR(__xludf.DUMMYFUNCTION("""COMPUTED_VALUE"""),23333.0)</f>
        <v>23333</v>
      </c>
      <c r="P365" s="2">
        <f>IFERROR(__xludf.DUMMYFUNCTION("""COMPUTED_VALUE"""),1167.0)</f>
        <v>1167</v>
      </c>
      <c r="Q365" s="2" t="str">
        <f>IFERROR(__xludf.DUMMYFUNCTION("""COMPUTED_VALUE"""),"Dine In")</f>
        <v>Dine In</v>
      </c>
      <c r="R365" s="2" t="str">
        <f>IFERROR(__xludf.DUMMYFUNCTION("""COMPUTED_VALUE"""),"Kedai")</f>
        <v>Kedai</v>
      </c>
      <c r="S365" s="2" t="str">
        <f>IFERROR(__xludf.DUMMYFUNCTION("""COMPUTED_VALUE"""),"Temu Roti")</f>
        <v>Temu Roti</v>
      </c>
      <c r="T365" s="2" t="str">
        <f>IFERROR(__xludf.DUMMYFUNCTION("""COMPUTED_VALUE"""),"Owner")</f>
        <v>Owner</v>
      </c>
      <c r="U365" s="2"/>
      <c r="V365" s="2"/>
      <c r="W365" s="2"/>
      <c r="X365" s="2" t="str">
        <f>IFERROR(__xludf.DUMMYFUNCTION("""COMPUTED_VALUE"""),"Closed")</f>
        <v>Closed</v>
      </c>
    </row>
    <row r="366">
      <c r="A366" s="3" t="s">
        <v>386</v>
      </c>
      <c r="B366" s="4">
        <f>IFERROR(__xludf.DUMMYFUNCTION("SPLIT(A366,"","",0,0)"),45557.46597222222)</f>
        <v>45557.46597</v>
      </c>
      <c r="C366" s="5">
        <f>IFERROR(__xludf.DUMMYFUNCTION("""COMPUTED_VALUE"""),2750674.0)</f>
        <v>2750674</v>
      </c>
      <c r="D366" s="2" t="str">
        <f>IFERROR(__xludf.DUMMYFUNCTION("""COMPUTED_VALUE"""),"Sale")</f>
        <v>Sale</v>
      </c>
      <c r="E366" s="2" t="str">
        <f>IFERROR(__xludf.DUMMYFUNCTION("""COMPUTED_VALUE"""),"Minuman")</f>
        <v>Minuman</v>
      </c>
      <c r="F366" s="2">
        <f>IFERROR(__xludf.DUMMYFUNCTION("""COMPUTED_VALUE"""),10107.0)</f>
        <v>10107</v>
      </c>
      <c r="G366" s="2" t="str">
        <f>IFERROR(__xludf.DUMMYFUNCTION("""COMPUTED_VALUE"""),"Korean Mango Fresh Milk")</f>
        <v>Korean Mango Fresh Milk</v>
      </c>
      <c r="H366" s="2"/>
      <c r="I366" s="2"/>
      <c r="J366" s="2">
        <f>IFERROR(__xludf.DUMMYFUNCTION("""COMPUTED_VALUE"""),1.0)</f>
        <v>1</v>
      </c>
      <c r="K366" s="6">
        <f>IFERROR(__xludf.DUMMYFUNCTION("""COMPUTED_VALUE"""),26667.0)</f>
        <v>26667</v>
      </c>
      <c r="L366" s="2">
        <f>IFERROR(__xludf.DUMMYFUNCTION("""COMPUTED_VALUE"""),0.0)</f>
        <v>0</v>
      </c>
      <c r="M366" s="2">
        <f>IFERROR(__xludf.DUMMYFUNCTION("""COMPUTED_VALUE"""),26667.0)</f>
        <v>26667</v>
      </c>
      <c r="N366" s="2">
        <f>IFERROR(__xludf.DUMMYFUNCTION("""COMPUTED_VALUE"""),0.0)</f>
        <v>0</v>
      </c>
      <c r="O366" s="2">
        <f>IFERROR(__xludf.DUMMYFUNCTION("""COMPUTED_VALUE"""),26667.0)</f>
        <v>26667</v>
      </c>
      <c r="P366" s="2">
        <f>IFERROR(__xludf.DUMMYFUNCTION("""COMPUTED_VALUE"""),1333.0)</f>
        <v>1333</v>
      </c>
      <c r="Q366" s="2" t="str">
        <f>IFERROR(__xludf.DUMMYFUNCTION("""COMPUTED_VALUE"""),"Dine In")</f>
        <v>Dine In</v>
      </c>
      <c r="R366" s="2" t="str">
        <f>IFERROR(__xludf.DUMMYFUNCTION("""COMPUTED_VALUE"""),"Kedai")</f>
        <v>Kedai</v>
      </c>
      <c r="S366" s="2" t="str">
        <f>IFERROR(__xludf.DUMMYFUNCTION("""COMPUTED_VALUE"""),"Temu Roti")</f>
        <v>Temu Roti</v>
      </c>
      <c r="T366" s="2" t="str">
        <f>IFERROR(__xludf.DUMMYFUNCTION("""COMPUTED_VALUE"""),"Owner")</f>
        <v>Owner</v>
      </c>
      <c r="U366" s="2"/>
      <c r="V366" s="2"/>
      <c r="W366" s="2"/>
      <c r="X366" s="2" t="str">
        <f>IFERROR(__xludf.DUMMYFUNCTION("""COMPUTED_VALUE"""),"Closed")</f>
        <v>Closed</v>
      </c>
    </row>
    <row r="367">
      <c r="A367" s="3" t="s">
        <v>387</v>
      </c>
      <c r="B367" s="4">
        <f>IFERROR(__xludf.DUMMYFUNCTION("SPLIT(A367,"","",0,0)"),45557.46597222222)</f>
        <v>45557.46597</v>
      </c>
      <c r="C367" s="5">
        <f>IFERROR(__xludf.DUMMYFUNCTION("""COMPUTED_VALUE"""),2750674.0)</f>
        <v>2750674</v>
      </c>
      <c r="D367" s="2" t="str">
        <f>IFERROR(__xludf.DUMMYFUNCTION("""COMPUTED_VALUE"""),"Sale")</f>
        <v>Sale</v>
      </c>
      <c r="E367" s="2" t="str">
        <f>IFERROR(__xludf.DUMMYFUNCTION("""COMPUTED_VALUE"""),"Kudapan")</f>
        <v>Kudapan</v>
      </c>
      <c r="F367" s="2">
        <f>IFERROR(__xludf.DUMMYFUNCTION("""COMPUTED_VALUE"""),10004.0)</f>
        <v>10004</v>
      </c>
      <c r="G367" s="2" t="str">
        <f>IFERROR(__xludf.DUMMYFUNCTION("""COMPUTED_VALUE"""),"Tahu walik")</f>
        <v>Tahu walik</v>
      </c>
      <c r="H367" s="2"/>
      <c r="I367" s="2"/>
      <c r="J367" s="2">
        <f>IFERROR(__xludf.DUMMYFUNCTION("""COMPUTED_VALUE"""),1.0)</f>
        <v>1</v>
      </c>
      <c r="K367" s="6">
        <f>IFERROR(__xludf.DUMMYFUNCTION("""COMPUTED_VALUE"""),25238.0)</f>
        <v>25238</v>
      </c>
      <c r="L367" s="2">
        <f>IFERROR(__xludf.DUMMYFUNCTION("""COMPUTED_VALUE"""),0.0)</f>
        <v>0</v>
      </c>
      <c r="M367" s="2">
        <f>IFERROR(__xludf.DUMMYFUNCTION("""COMPUTED_VALUE"""),25238.0)</f>
        <v>25238</v>
      </c>
      <c r="N367" s="2">
        <f>IFERROR(__xludf.DUMMYFUNCTION("""COMPUTED_VALUE"""),0.0)</f>
        <v>0</v>
      </c>
      <c r="O367" s="2">
        <f>IFERROR(__xludf.DUMMYFUNCTION("""COMPUTED_VALUE"""),25238.0)</f>
        <v>25238</v>
      </c>
      <c r="P367" s="2">
        <f>IFERROR(__xludf.DUMMYFUNCTION("""COMPUTED_VALUE"""),1262.0)</f>
        <v>1262</v>
      </c>
      <c r="Q367" s="2" t="str">
        <f>IFERROR(__xludf.DUMMYFUNCTION("""COMPUTED_VALUE"""),"Dine In")</f>
        <v>Dine In</v>
      </c>
      <c r="R367" s="2" t="str">
        <f>IFERROR(__xludf.DUMMYFUNCTION("""COMPUTED_VALUE"""),"Kedai")</f>
        <v>Kedai</v>
      </c>
      <c r="S367" s="2" t="str">
        <f>IFERROR(__xludf.DUMMYFUNCTION("""COMPUTED_VALUE"""),"Temu Roti")</f>
        <v>Temu Roti</v>
      </c>
      <c r="T367" s="2" t="str">
        <f>IFERROR(__xludf.DUMMYFUNCTION("""COMPUTED_VALUE"""),"Owner")</f>
        <v>Owner</v>
      </c>
      <c r="U367" s="2"/>
      <c r="V367" s="2"/>
      <c r="W367" s="2"/>
      <c r="X367" s="2" t="str">
        <f>IFERROR(__xludf.DUMMYFUNCTION("""COMPUTED_VALUE"""),"Closed")</f>
        <v>Closed</v>
      </c>
    </row>
    <row r="368">
      <c r="A368" s="3" t="s">
        <v>388</v>
      </c>
      <c r="B368" s="4">
        <f>IFERROR(__xludf.DUMMYFUNCTION("SPLIT(A368,"","",0,0)"),45557.46319444444)</f>
        <v>45557.46319</v>
      </c>
      <c r="C368" s="5">
        <f>IFERROR(__xludf.DUMMYFUNCTION("""COMPUTED_VALUE"""),2750309.0)</f>
        <v>2750309</v>
      </c>
      <c r="D368" s="2" t="str">
        <f>IFERROR(__xludf.DUMMYFUNCTION("""COMPUTED_VALUE"""),"Sale")</f>
        <v>Sale</v>
      </c>
      <c r="E368" s="2" t="str">
        <f>IFERROR(__xludf.DUMMYFUNCTION("""COMPUTED_VALUE"""),"Minuman")</f>
        <v>Minuman</v>
      </c>
      <c r="F368" s="2">
        <f>IFERROR(__xludf.DUMMYFUNCTION("""COMPUTED_VALUE"""),10058.0)</f>
        <v>10058</v>
      </c>
      <c r="G368" s="2" t="str">
        <f>IFERROR(__xludf.DUMMYFUNCTION("""COMPUTED_VALUE"""),"Susu murni ori")</f>
        <v>Susu murni ori</v>
      </c>
      <c r="H368" s="2"/>
      <c r="I368" s="2"/>
      <c r="J368" s="2">
        <f>IFERROR(__xludf.DUMMYFUNCTION("""COMPUTED_VALUE"""),1.0)</f>
        <v>1</v>
      </c>
      <c r="K368" s="6">
        <f>IFERROR(__xludf.DUMMYFUNCTION("""COMPUTED_VALUE"""),19524.0)</f>
        <v>19524</v>
      </c>
      <c r="L368" s="2">
        <f>IFERROR(__xludf.DUMMYFUNCTION("""COMPUTED_VALUE"""),0.0)</f>
        <v>0</v>
      </c>
      <c r="M368" s="2">
        <f>IFERROR(__xludf.DUMMYFUNCTION("""COMPUTED_VALUE"""),19524.0)</f>
        <v>19524</v>
      </c>
      <c r="N368" s="2">
        <f>IFERROR(__xludf.DUMMYFUNCTION("""COMPUTED_VALUE"""),0.0)</f>
        <v>0</v>
      </c>
      <c r="O368" s="2">
        <f>IFERROR(__xludf.DUMMYFUNCTION("""COMPUTED_VALUE"""),19524.0)</f>
        <v>19524</v>
      </c>
      <c r="P368" s="2">
        <f>IFERROR(__xludf.DUMMYFUNCTION("""COMPUTED_VALUE"""),976.0)</f>
        <v>976</v>
      </c>
      <c r="Q368" s="2" t="str">
        <f>IFERROR(__xludf.DUMMYFUNCTION("""COMPUTED_VALUE"""),"Dine In")</f>
        <v>Dine In</v>
      </c>
      <c r="R368" s="2" t="str">
        <f>IFERROR(__xludf.DUMMYFUNCTION("""COMPUTED_VALUE"""),"Kedai")</f>
        <v>Kedai</v>
      </c>
      <c r="S368" s="2" t="str">
        <f>IFERROR(__xludf.DUMMYFUNCTION("""COMPUTED_VALUE"""),"Temu Roti")</f>
        <v>Temu Roti</v>
      </c>
      <c r="T368" s="2" t="str">
        <f>IFERROR(__xludf.DUMMYFUNCTION("""COMPUTED_VALUE"""),"Owner")</f>
        <v>Owner</v>
      </c>
      <c r="U368" s="2"/>
      <c r="V368" s="2"/>
      <c r="W368" s="2"/>
      <c r="X368" s="2" t="str">
        <f>IFERROR(__xludf.DUMMYFUNCTION("""COMPUTED_VALUE"""),"Closed")</f>
        <v>Closed</v>
      </c>
    </row>
    <row r="369">
      <c r="A369" s="3" t="s">
        <v>389</v>
      </c>
      <c r="B369" s="4">
        <f>IFERROR(__xludf.DUMMYFUNCTION("SPLIT(A369,"","",0,0)"),45557.46319444444)</f>
        <v>45557.46319</v>
      </c>
      <c r="C369" s="5">
        <f>IFERROR(__xludf.DUMMYFUNCTION("""COMPUTED_VALUE"""),2750309.0)</f>
        <v>2750309</v>
      </c>
      <c r="D369" s="2" t="str">
        <f>IFERROR(__xludf.DUMMYFUNCTION("""COMPUTED_VALUE"""),"Sale")</f>
        <v>Sale</v>
      </c>
      <c r="E369" s="2" t="str">
        <f>IFERROR(__xludf.DUMMYFUNCTION("""COMPUTED_VALUE"""),"Minuman")</f>
        <v>Minuman</v>
      </c>
      <c r="F369" s="2">
        <f>IFERROR(__xludf.DUMMYFUNCTION("""COMPUTED_VALUE"""),10106.0)</f>
        <v>10106</v>
      </c>
      <c r="G369" s="2" t="str">
        <f>IFERROR(__xludf.DUMMYFUNCTION("""COMPUTED_VALUE"""),"Korean Strawberry Fresh Milk")</f>
        <v>Korean Strawberry Fresh Milk</v>
      </c>
      <c r="H369" s="2"/>
      <c r="I369" s="2"/>
      <c r="J369" s="2">
        <f>IFERROR(__xludf.DUMMYFUNCTION("""COMPUTED_VALUE"""),1.0)</f>
        <v>1</v>
      </c>
      <c r="K369" s="6">
        <f>IFERROR(__xludf.DUMMYFUNCTION("""COMPUTED_VALUE"""),26667.0)</f>
        <v>26667</v>
      </c>
      <c r="L369" s="2">
        <f>IFERROR(__xludf.DUMMYFUNCTION("""COMPUTED_VALUE"""),0.0)</f>
        <v>0</v>
      </c>
      <c r="M369" s="2">
        <f>IFERROR(__xludf.DUMMYFUNCTION("""COMPUTED_VALUE"""),26667.0)</f>
        <v>26667</v>
      </c>
      <c r="N369" s="2">
        <f>IFERROR(__xludf.DUMMYFUNCTION("""COMPUTED_VALUE"""),0.0)</f>
        <v>0</v>
      </c>
      <c r="O369" s="2">
        <f>IFERROR(__xludf.DUMMYFUNCTION("""COMPUTED_VALUE"""),26667.0)</f>
        <v>26667</v>
      </c>
      <c r="P369" s="2">
        <f>IFERROR(__xludf.DUMMYFUNCTION("""COMPUTED_VALUE"""),1334.0)</f>
        <v>1334</v>
      </c>
      <c r="Q369" s="2" t="str">
        <f>IFERROR(__xludf.DUMMYFUNCTION("""COMPUTED_VALUE"""),"Dine In")</f>
        <v>Dine In</v>
      </c>
      <c r="R369" s="2" t="str">
        <f>IFERROR(__xludf.DUMMYFUNCTION("""COMPUTED_VALUE"""),"Kedai")</f>
        <v>Kedai</v>
      </c>
      <c r="S369" s="2" t="str">
        <f>IFERROR(__xludf.DUMMYFUNCTION("""COMPUTED_VALUE"""),"Temu Roti")</f>
        <v>Temu Roti</v>
      </c>
      <c r="T369" s="2" t="str">
        <f>IFERROR(__xludf.DUMMYFUNCTION("""COMPUTED_VALUE"""),"Owner")</f>
        <v>Owner</v>
      </c>
      <c r="U369" s="2"/>
      <c r="V369" s="2"/>
      <c r="W369" s="2"/>
      <c r="X369" s="2" t="str">
        <f>IFERROR(__xludf.DUMMYFUNCTION("""COMPUTED_VALUE"""),"Closed")</f>
        <v>Closed</v>
      </c>
    </row>
    <row r="370">
      <c r="A370" s="3" t="s">
        <v>390</v>
      </c>
      <c r="B370" s="4">
        <f>IFERROR(__xludf.DUMMYFUNCTION("SPLIT(A370,"","",0,0)"),45557.46319444444)</f>
        <v>45557.46319</v>
      </c>
      <c r="C370" s="5">
        <f>IFERROR(__xludf.DUMMYFUNCTION("""COMPUTED_VALUE"""),2750309.0)</f>
        <v>2750309</v>
      </c>
      <c r="D370" s="2" t="str">
        <f>IFERROR(__xludf.DUMMYFUNCTION("""COMPUTED_VALUE"""),"Sale")</f>
        <v>Sale</v>
      </c>
      <c r="E370" s="2" t="str">
        <f>IFERROR(__xludf.DUMMYFUNCTION("""COMPUTED_VALUE"""),"Roti")</f>
        <v>Roti</v>
      </c>
      <c r="F370" s="2">
        <f>IFERROR(__xludf.DUMMYFUNCTION("""COMPUTED_VALUE"""),10000.0)</f>
        <v>10000</v>
      </c>
      <c r="G370" s="2" t="str">
        <f>IFERROR(__xludf.DUMMYFUNCTION("""COMPUTED_VALUE"""),"Roti Bawang Saus Keju")</f>
        <v>Roti Bawang Saus Keju</v>
      </c>
      <c r="H370" s="2"/>
      <c r="I370" s="2"/>
      <c r="J370" s="2">
        <f>IFERROR(__xludf.DUMMYFUNCTION("""COMPUTED_VALUE"""),1.0)</f>
        <v>1</v>
      </c>
      <c r="K370" s="6">
        <f>IFERROR(__xludf.DUMMYFUNCTION("""COMPUTED_VALUE"""),29524.0)</f>
        <v>29524</v>
      </c>
      <c r="L370" s="2">
        <f>IFERROR(__xludf.DUMMYFUNCTION("""COMPUTED_VALUE"""),0.0)</f>
        <v>0</v>
      </c>
      <c r="M370" s="2">
        <f>IFERROR(__xludf.DUMMYFUNCTION("""COMPUTED_VALUE"""),29524.0)</f>
        <v>29524</v>
      </c>
      <c r="N370" s="2">
        <f>IFERROR(__xludf.DUMMYFUNCTION("""COMPUTED_VALUE"""),0.0)</f>
        <v>0</v>
      </c>
      <c r="O370" s="2">
        <f>IFERROR(__xludf.DUMMYFUNCTION("""COMPUTED_VALUE"""),29524.0)</f>
        <v>29524</v>
      </c>
      <c r="P370" s="2">
        <f>IFERROR(__xludf.DUMMYFUNCTION("""COMPUTED_VALUE"""),1476.0)</f>
        <v>1476</v>
      </c>
      <c r="Q370" s="2" t="str">
        <f>IFERROR(__xludf.DUMMYFUNCTION("""COMPUTED_VALUE"""),"Dine In")</f>
        <v>Dine In</v>
      </c>
      <c r="R370" s="2" t="str">
        <f>IFERROR(__xludf.DUMMYFUNCTION("""COMPUTED_VALUE"""),"Kedai")</f>
        <v>Kedai</v>
      </c>
      <c r="S370" s="2" t="str">
        <f>IFERROR(__xludf.DUMMYFUNCTION("""COMPUTED_VALUE"""),"Temu Roti")</f>
        <v>Temu Roti</v>
      </c>
      <c r="T370" s="2" t="str">
        <f>IFERROR(__xludf.DUMMYFUNCTION("""COMPUTED_VALUE"""),"Owner")</f>
        <v>Owner</v>
      </c>
      <c r="U370" s="2"/>
      <c r="V370" s="2"/>
      <c r="W370" s="2"/>
      <c r="X370" s="2" t="str">
        <f>IFERROR(__xludf.DUMMYFUNCTION("""COMPUTED_VALUE"""),"Closed")</f>
        <v>Closed</v>
      </c>
    </row>
    <row r="371">
      <c r="A371" s="3" t="s">
        <v>391</v>
      </c>
      <c r="B371" s="4">
        <f>IFERROR(__xludf.DUMMYFUNCTION("SPLIT(A371,"","",0,0)"),45557.46319444444)</f>
        <v>45557.46319</v>
      </c>
      <c r="C371" s="5">
        <f>IFERROR(__xludf.DUMMYFUNCTION("""COMPUTED_VALUE"""),2750309.0)</f>
        <v>2750309</v>
      </c>
      <c r="D371" s="2" t="str">
        <f>IFERROR(__xludf.DUMMYFUNCTION("""COMPUTED_VALUE"""),"Sale")</f>
        <v>Sale</v>
      </c>
      <c r="E371" s="2" t="str">
        <f>IFERROR(__xludf.DUMMYFUNCTION("""COMPUTED_VALUE"""),"Kudapan")</f>
        <v>Kudapan</v>
      </c>
      <c r="F371" s="2">
        <f>IFERROR(__xludf.DUMMYFUNCTION("""COMPUTED_VALUE"""),10051.0)</f>
        <v>10051</v>
      </c>
      <c r="G371" s="2" t="str">
        <f>IFERROR(__xludf.DUMMYFUNCTION("""COMPUTED_VALUE"""),"Tahu baso")</f>
        <v>Tahu baso</v>
      </c>
      <c r="H371" s="2"/>
      <c r="I371" s="2"/>
      <c r="J371" s="2">
        <f>IFERROR(__xludf.DUMMYFUNCTION("""COMPUTED_VALUE"""),1.0)</f>
        <v>1</v>
      </c>
      <c r="K371" s="6">
        <f>IFERROR(__xludf.DUMMYFUNCTION("""COMPUTED_VALUE"""),25238.0)</f>
        <v>25238</v>
      </c>
      <c r="L371" s="2">
        <f>IFERROR(__xludf.DUMMYFUNCTION("""COMPUTED_VALUE"""),0.0)</f>
        <v>0</v>
      </c>
      <c r="M371" s="2">
        <f>IFERROR(__xludf.DUMMYFUNCTION("""COMPUTED_VALUE"""),25238.0)</f>
        <v>25238</v>
      </c>
      <c r="N371" s="2">
        <f>IFERROR(__xludf.DUMMYFUNCTION("""COMPUTED_VALUE"""),0.0)</f>
        <v>0</v>
      </c>
      <c r="O371" s="2">
        <f>IFERROR(__xludf.DUMMYFUNCTION("""COMPUTED_VALUE"""),25238.0)</f>
        <v>25238</v>
      </c>
      <c r="P371" s="2">
        <f>IFERROR(__xludf.DUMMYFUNCTION("""COMPUTED_VALUE"""),1262.0)</f>
        <v>1262</v>
      </c>
      <c r="Q371" s="2" t="str">
        <f>IFERROR(__xludf.DUMMYFUNCTION("""COMPUTED_VALUE"""),"Dine In")</f>
        <v>Dine In</v>
      </c>
      <c r="R371" s="2" t="str">
        <f>IFERROR(__xludf.DUMMYFUNCTION("""COMPUTED_VALUE"""),"Kedai")</f>
        <v>Kedai</v>
      </c>
      <c r="S371" s="2" t="str">
        <f>IFERROR(__xludf.DUMMYFUNCTION("""COMPUTED_VALUE"""),"Temu Roti")</f>
        <v>Temu Roti</v>
      </c>
      <c r="T371" s="2" t="str">
        <f>IFERROR(__xludf.DUMMYFUNCTION("""COMPUTED_VALUE"""),"Owner")</f>
        <v>Owner</v>
      </c>
      <c r="U371" s="2"/>
      <c r="V371" s="2"/>
      <c r="W371" s="2"/>
      <c r="X371" s="2" t="str">
        <f>IFERROR(__xludf.DUMMYFUNCTION("""COMPUTED_VALUE"""),"Closed")</f>
        <v>Closed</v>
      </c>
    </row>
    <row r="372">
      <c r="A372" s="3" t="s">
        <v>392</v>
      </c>
      <c r="B372" s="4">
        <f>IFERROR(__xludf.DUMMYFUNCTION("SPLIT(A372,"","",0,0)"),45557.46319444444)</f>
        <v>45557.46319</v>
      </c>
      <c r="C372" s="5">
        <f>IFERROR(__xludf.DUMMYFUNCTION("""COMPUTED_VALUE"""),2750309.0)</f>
        <v>2750309</v>
      </c>
      <c r="D372" s="2" t="str">
        <f>IFERROR(__xludf.DUMMYFUNCTION("""COMPUTED_VALUE"""),"Sale")</f>
        <v>Sale</v>
      </c>
      <c r="E372" s="2" t="str">
        <f>IFERROR(__xludf.DUMMYFUNCTION("""COMPUTED_VALUE"""),"Hidangan Utama")</f>
        <v>Hidangan Utama</v>
      </c>
      <c r="F372" s="2">
        <f>IFERROR(__xludf.DUMMYFUNCTION("""COMPUTED_VALUE"""),10105.0)</f>
        <v>10105</v>
      </c>
      <c r="G372" s="2" t="str">
        <f>IFERROR(__xludf.DUMMYFUNCTION("""COMPUTED_VALUE"""),"Beef Claypot Rice")</f>
        <v>Beef Claypot Rice</v>
      </c>
      <c r="H372" s="2"/>
      <c r="I372" s="2"/>
      <c r="J372" s="2">
        <f>IFERROR(__xludf.DUMMYFUNCTION("""COMPUTED_VALUE"""),1.0)</f>
        <v>1</v>
      </c>
      <c r="K372" s="6">
        <f>IFERROR(__xludf.DUMMYFUNCTION("""COMPUTED_VALUE"""),38095.0)</f>
        <v>38095</v>
      </c>
      <c r="L372" s="2">
        <f>IFERROR(__xludf.DUMMYFUNCTION("""COMPUTED_VALUE"""),0.0)</f>
        <v>0</v>
      </c>
      <c r="M372" s="2">
        <f>IFERROR(__xludf.DUMMYFUNCTION("""COMPUTED_VALUE"""),38095.0)</f>
        <v>38095</v>
      </c>
      <c r="N372" s="2">
        <f>IFERROR(__xludf.DUMMYFUNCTION("""COMPUTED_VALUE"""),0.0)</f>
        <v>0</v>
      </c>
      <c r="O372" s="2">
        <f>IFERROR(__xludf.DUMMYFUNCTION("""COMPUTED_VALUE"""),38095.0)</f>
        <v>38095</v>
      </c>
      <c r="P372" s="2">
        <f>IFERROR(__xludf.DUMMYFUNCTION("""COMPUTED_VALUE"""),1904.0)</f>
        <v>1904</v>
      </c>
      <c r="Q372" s="2" t="str">
        <f>IFERROR(__xludf.DUMMYFUNCTION("""COMPUTED_VALUE"""),"Dine In")</f>
        <v>Dine In</v>
      </c>
      <c r="R372" s="2" t="str">
        <f>IFERROR(__xludf.DUMMYFUNCTION("""COMPUTED_VALUE"""),"Kedai")</f>
        <v>Kedai</v>
      </c>
      <c r="S372" s="2" t="str">
        <f>IFERROR(__xludf.DUMMYFUNCTION("""COMPUTED_VALUE"""),"Temu Roti")</f>
        <v>Temu Roti</v>
      </c>
      <c r="T372" s="2" t="str">
        <f>IFERROR(__xludf.DUMMYFUNCTION("""COMPUTED_VALUE"""),"Owner")</f>
        <v>Owner</v>
      </c>
      <c r="U372" s="2"/>
      <c r="V372" s="2"/>
      <c r="W372" s="2"/>
      <c r="X372" s="2" t="str">
        <f>IFERROR(__xludf.DUMMYFUNCTION("""COMPUTED_VALUE"""),"Closed")</f>
        <v>Closed</v>
      </c>
    </row>
    <row r="373">
      <c r="A373" s="3" t="s">
        <v>393</v>
      </c>
      <c r="B373" s="4">
        <f>IFERROR(__xludf.DUMMYFUNCTION("SPLIT(A373,"","",0,0)"),45557.43680555555)</f>
        <v>45557.43681</v>
      </c>
      <c r="C373" s="5">
        <f>IFERROR(__xludf.DUMMYFUNCTION("""COMPUTED_VALUE"""),2749944.0)</f>
        <v>2749944</v>
      </c>
      <c r="D373" s="2" t="str">
        <f>IFERROR(__xludf.DUMMYFUNCTION("""COMPUTED_VALUE"""),"Sale")</f>
        <v>Sale</v>
      </c>
      <c r="E373" s="2" t="str">
        <f>IFERROR(__xludf.DUMMYFUNCTION("""COMPUTED_VALUE"""),"Roti")</f>
        <v>Roti</v>
      </c>
      <c r="F373" s="2">
        <f>IFERROR(__xludf.DUMMYFUNCTION("""COMPUTED_VALUE"""),10007.0)</f>
        <v>10007</v>
      </c>
      <c r="G373" s="2" t="str">
        <f>IFERROR(__xludf.DUMMYFUNCTION("""COMPUTED_VALUE"""),"Roti cranberry 2 pcs")</f>
        <v>Roti cranberry 2 pcs</v>
      </c>
      <c r="H373" s="2"/>
      <c r="I373" s="2"/>
      <c r="J373" s="2">
        <f>IFERROR(__xludf.DUMMYFUNCTION("""COMPUTED_VALUE"""),1.0)</f>
        <v>1</v>
      </c>
      <c r="K373" s="6">
        <f>IFERROR(__xludf.DUMMYFUNCTION("""COMPUTED_VALUE"""),33810.0)</f>
        <v>33810</v>
      </c>
      <c r="L373" s="2">
        <f>IFERROR(__xludf.DUMMYFUNCTION("""COMPUTED_VALUE"""),0.0)</f>
        <v>0</v>
      </c>
      <c r="M373" s="2">
        <f>IFERROR(__xludf.DUMMYFUNCTION("""COMPUTED_VALUE"""),33810.0)</f>
        <v>33810</v>
      </c>
      <c r="N373" s="2">
        <f>IFERROR(__xludf.DUMMYFUNCTION("""COMPUTED_VALUE"""),0.0)</f>
        <v>0</v>
      </c>
      <c r="O373" s="2">
        <f>IFERROR(__xludf.DUMMYFUNCTION("""COMPUTED_VALUE"""),33810.0)</f>
        <v>33810</v>
      </c>
      <c r="P373" s="2">
        <f>IFERROR(__xludf.DUMMYFUNCTION("""COMPUTED_VALUE"""),1691.0)</f>
        <v>1691</v>
      </c>
      <c r="Q373" s="2" t="str">
        <f>IFERROR(__xludf.DUMMYFUNCTION("""COMPUTED_VALUE"""),"Dine In")</f>
        <v>Dine In</v>
      </c>
      <c r="R373" s="2" t="str">
        <f>IFERROR(__xludf.DUMMYFUNCTION("""COMPUTED_VALUE"""),"Kedai")</f>
        <v>Kedai</v>
      </c>
      <c r="S373" s="2" t="str">
        <f>IFERROR(__xludf.DUMMYFUNCTION("""COMPUTED_VALUE"""),"Temu Roti")</f>
        <v>Temu Roti</v>
      </c>
      <c r="T373" s="2" t="str">
        <f>IFERROR(__xludf.DUMMYFUNCTION("""COMPUTED_VALUE"""),"Owner")</f>
        <v>Owner</v>
      </c>
      <c r="U373" s="2"/>
      <c r="V373" s="2"/>
      <c r="W373" s="2"/>
      <c r="X373" s="2" t="str">
        <f>IFERROR(__xludf.DUMMYFUNCTION("""COMPUTED_VALUE"""),"Closed")</f>
        <v>Closed</v>
      </c>
    </row>
    <row r="374">
      <c r="A374" s="3" t="s">
        <v>394</v>
      </c>
      <c r="B374" s="4">
        <f>IFERROR(__xludf.DUMMYFUNCTION("SPLIT(A374,"","",0,0)"),45557.43680555555)</f>
        <v>45557.43681</v>
      </c>
      <c r="C374" s="5">
        <f>IFERROR(__xludf.DUMMYFUNCTION("""COMPUTED_VALUE"""),2749944.0)</f>
        <v>2749944</v>
      </c>
      <c r="D374" s="2" t="str">
        <f>IFERROR(__xludf.DUMMYFUNCTION("""COMPUTED_VALUE"""),"Sale")</f>
        <v>Sale</v>
      </c>
      <c r="E374" s="2" t="str">
        <f>IFERROR(__xludf.DUMMYFUNCTION("""COMPUTED_VALUE"""),"Roti")</f>
        <v>Roti</v>
      </c>
      <c r="F374" s="2">
        <f>IFERROR(__xludf.DUMMYFUNCTION("""COMPUTED_VALUE"""),10002.0)</f>
        <v>10002</v>
      </c>
      <c r="G374" s="2" t="str">
        <f>IFERROR(__xludf.DUMMYFUNCTION("""COMPUTED_VALUE"""),"Roti Cranberry")</f>
        <v>Roti Cranberry</v>
      </c>
      <c r="H374" s="2"/>
      <c r="I374" s="2"/>
      <c r="J374" s="2">
        <f>IFERROR(__xludf.DUMMYFUNCTION("""COMPUTED_VALUE"""),1.0)</f>
        <v>1</v>
      </c>
      <c r="K374" s="6">
        <f>IFERROR(__xludf.DUMMYFUNCTION("""COMPUTED_VALUE"""),18571.0)</f>
        <v>18571</v>
      </c>
      <c r="L374" s="2">
        <f>IFERROR(__xludf.DUMMYFUNCTION("""COMPUTED_VALUE"""),0.0)</f>
        <v>0</v>
      </c>
      <c r="M374" s="2">
        <f>IFERROR(__xludf.DUMMYFUNCTION("""COMPUTED_VALUE"""),18571.0)</f>
        <v>18571</v>
      </c>
      <c r="N374" s="2">
        <f>IFERROR(__xludf.DUMMYFUNCTION("""COMPUTED_VALUE"""),0.0)</f>
        <v>0</v>
      </c>
      <c r="O374" s="2">
        <f>IFERROR(__xludf.DUMMYFUNCTION("""COMPUTED_VALUE"""),18571.0)</f>
        <v>18571</v>
      </c>
      <c r="P374" s="2">
        <f>IFERROR(__xludf.DUMMYFUNCTION("""COMPUTED_VALUE"""),928.0)</f>
        <v>928</v>
      </c>
      <c r="Q374" s="2" t="str">
        <f>IFERROR(__xludf.DUMMYFUNCTION("""COMPUTED_VALUE"""),"Dine In")</f>
        <v>Dine In</v>
      </c>
      <c r="R374" s="2" t="str">
        <f>IFERROR(__xludf.DUMMYFUNCTION("""COMPUTED_VALUE"""),"Kedai")</f>
        <v>Kedai</v>
      </c>
      <c r="S374" s="2" t="str">
        <f>IFERROR(__xludf.DUMMYFUNCTION("""COMPUTED_VALUE"""),"Temu Roti")</f>
        <v>Temu Roti</v>
      </c>
      <c r="T374" s="2" t="str">
        <f>IFERROR(__xludf.DUMMYFUNCTION("""COMPUTED_VALUE"""),"Owner")</f>
        <v>Owner</v>
      </c>
      <c r="U374" s="2"/>
      <c r="V374" s="2"/>
      <c r="W374" s="2"/>
      <c r="X374" s="2" t="str">
        <f>IFERROR(__xludf.DUMMYFUNCTION("""COMPUTED_VALUE"""),"Closed")</f>
        <v>Closed</v>
      </c>
    </row>
    <row r="375">
      <c r="A375" s="3" t="s">
        <v>395</v>
      </c>
      <c r="B375" s="4">
        <f>IFERROR(__xludf.DUMMYFUNCTION("SPLIT(A375,"","",0,0)"),45557.43680555555)</f>
        <v>45557.43681</v>
      </c>
      <c r="C375" s="5">
        <f>IFERROR(__xludf.DUMMYFUNCTION("""COMPUTED_VALUE"""),2749944.0)</f>
        <v>2749944</v>
      </c>
      <c r="D375" s="2" t="str">
        <f>IFERROR(__xludf.DUMMYFUNCTION("""COMPUTED_VALUE"""),"Sale")</f>
        <v>Sale</v>
      </c>
      <c r="E375" s="2" t="str">
        <f>IFERROR(__xludf.DUMMYFUNCTION("""COMPUTED_VALUE"""),"Minuman")</f>
        <v>Minuman</v>
      </c>
      <c r="F375" s="2">
        <f>IFERROR(__xludf.DUMMYFUNCTION("""COMPUTED_VALUE"""),10106.0)</f>
        <v>10106</v>
      </c>
      <c r="G375" s="2" t="str">
        <f>IFERROR(__xludf.DUMMYFUNCTION("""COMPUTED_VALUE"""),"Korean Strawberry Fresh Milk")</f>
        <v>Korean Strawberry Fresh Milk</v>
      </c>
      <c r="H375" s="2"/>
      <c r="I375" s="2"/>
      <c r="J375" s="2">
        <f>IFERROR(__xludf.DUMMYFUNCTION("""COMPUTED_VALUE"""),1.0)</f>
        <v>1</v>
      </c>
      <c r="K375" s="6">
        <f>IFERROR(__xludf.DUMMYFUNCTION("""COMPUTED_VALUE"""),26667.0)</f>
        <v>26667</v>
      </c>
      <c r="L375" s="2">
        <f>IFERROR(__xludf.DUMMYFUNCTION("""COMPUTED_VALUE"""),0.0)</f>
        <v>0</v>
      </c>
      <c r="M375" s="2">
        <f>IFERROR(__xludf.DUMMYFUNCTION("""COMPUTED_VALUE"""),26667.0)</f>
        <v>26667</v>
      </c>
      <c r="N375" s="2">
        <f>IFERROR(__xludf.DUMMYFUNCTION("""COMPUTED_VALUE"""),0.0)</f>
        <v>0</v>
      </c>
      <c r="O375" s="2">
        <f>IFERROR(__xludf.DUMMYFUNCTION("""COMPUTED_VALUE"""),26667.0)</f>
        <v>26667</v>
      </c>
      <c r="P375" s="2">
        <f>IFERROR(__xludf.DUMMYFUNCTION("""COMPUTED_VALUE"""),1333.0)</f>
        <v>1333</v>
      </c>
      <c r="Q375" s="2" t="str">
        <f>IFERROR(__xludf.DUMMYFUNCTION("""COMPUTED_VALUE"""),"Dine In")</f>
        <v>Dine In</v>
      </c>
      <c r="R375" s="2" t="str">
        <f>IFERROR(__xludf.DUMMYFUNCTION("""COMPUTED_VALUE"""),"Kedai")</f>
        <v>Kedai</v>
      </c>
      <c r="S375" s="2" t="str">
        <f>IFERROR(__xludf.DUMMYFUNCTION("""COMPUTED_VALUE"""),"Temu Roti")</f>
        <v>Temu Roti</v>
      </c>
      <c r="T375" s="2" t="str">
        <f>IFERROR(__xludf.DUMMYFUNCTION("""COMPUTED_VALUE"""),"Owner")</f>
        <v>Owner</v>
      </c>
      <c r="U375" s="2"/>
      <c r="V375" s="2"/>
      <c r="W375" s="2"/>
      <c r="X375" s="2" t="str">
        <f>IFERROR(__xludf.DUMMYFUNCTION("""COMPUTED_VALUE"""),"Closed")</f>
        <v>Closed</v>
      </c>
    </row>
    <row r="376">
      <c r="A376" s="3" t="s">
        <v>396</v>
      </c>
      <c r="B376" s="4">
        <f>IFERROR(__xludf.DUMMYFUNCTION("SPLIT(A376,"","",0,0)"),45557.43680555555)</f>
        <v>45557.43681</v>
      </c>
      <c r="C376" s="5">
        <f>IFERROR(__xludf.DUMMYFUNCTION("""COMPUTED_VALUE"""),2749944.0)</f>
        <v>2749944</v>
      </c>
      <c r="D376" s="2" t="str">
        <f>IFERROR(__xludf.DUMMYFUNCTION("""COMPUTED_VALUE"""),"Sale")</f>
        <v>Sale</v>
      </c>
      <c r="E376" s="2" t="str">
        <f>IFERROR(__xludf.DUMMYFUNCTION("""COMPUTED_VALUE"""),"Minuman")</f>
        <v>Minuman</v>
      </c>
      <c r="F376" s="2">
        <f>IFERROR(__xludf.DUMMYFUNCTION("""COMPUTED_VALUE"""),10107.0)</f>
        <v>10107</v>
      </c>
      <c r="G376" s="2" t="str">
        <f>IFERROR(__xludf.DUMMYFUNCTION("""COMPUTED_VALUE"""),"Korean Mango Fresh Milk")</f>
        <v>Korean Mango Fresh Milk</v>
      </c>
      <c r="H376" s="2"/>
      <c r="I376" s="2"/>
      <c r="J376" s="2">
        <f>IFERROR(__xludf.DUMMYFUNCTION("""COMPUTED_VALUE"""),1.0)</f>
        <v>1</v>
      </c>
      <c r="K376" s="6">
        <f>IFERROR(__xludf.DUMMYFUNCTION("""COMPUTED_VALUE"""),26667.0)</f>
        <v>26667</v>
      </c>
      <c r="L376" s="2">
        <f>IFERROR(__xludf.DUMMYFUNCTION("""COMPUTED_VALUE"""),0.0)</f>
        <v>0</v>
      </c>
      <c r="M376" s="2">
        <f>IFERROR(__xludf.DUMMYFUNCTION("""COMPUTED_VALUE"""),26667.0)</f>
        <v>26667</v>
      </c>
      <c r="N376" s="2">
        <f>IFERROR(__xludf.DUMMYFUNCTION("""COMPUTED_VALUE"""),0.0)</f>
        <v>0</v>
      </c>
      <c r="O376" s="2">
        <f>IFERROR(__xludf.DUMMYFUNCTION("""COMPUTED_VALUE"""),26667.0)</f>
        <v>26667</v>
      </c>
      <c r="P376" s="2">
        <f>IFERROR(__xludf.DUMMYFUNCTION("""COMPUTED_VALUE"""),1334.0)</f>
        <v>1334</v>
      </c>
      <c r="Q376" s="2" t="str">
        <f>IFERROR(__xludf.DUMMYFUNCTION("""COMPUTED_VALUE"""),"Dine In")</f>
        <v>Dine In</v>
      </c>
      <c r="R376" s="2" t="str">
        <f>IFERROR(__xludf.DUMMYFUNCTION("""COMPUTED_VALUE"""),"Kedai")</f>
        <v>Kedai</v>
      </c>
      <c r="S376" s="2" t="str">
        <f>IFERROR(__xludf.DUMMYFUNCTION("""COMPUTED_VALUE"""),"Temu Roti")</f>
        <v>Temu Roti</v>
      </c>
      <c r="T376" s="2" t="str">
        <f>IFERROR(__xludf.DUMMYFUNCTION("""COMPUTED_VALUE"""),"Owner")</f>
        <v>Owner</v>
      </c>
      <c r="U376" s="2"/>
      <c r="V376" s="2"/>
      <c r="W376" s="2"/>
      <c r="X376" s="2" t="str">
        <f>IFERROR(__xludf.DUMMYFUNCTION("""COMPUTED_VALUE"""),"Closed")</f>
        <v>Closed</v>
      </c>
    </row>
    <row r="377">
      <c r="A377" s="3" t="s">
        <v>397</v>
      </c>
      <c r="B377" s="4">
        <f>IFERROR(__xludf.DUMMYFUNCTION("SPLIT(A377,"","",0,0)"),45557.43680555555)</f>
        <v>45557.43681</v>
      </c>
      <c r="C377" s="5">
        <f>IFERROR(__xludf.DUMMYFUNCTION("""COMPUTED_VALUE"""),2749944.0)</f>
        <v>2749944</v>
      </c>
      <c r="D377" s="2" t="str">
        <f>IFERROR(__xludf.DUMMYFUNCTION("""COMPUTED_VALUE"""),"Sale")</f>
        <v>Sale</v>
      </c>
      <c r="E377" s="2" t="str">
        <f>IFERROR(__xludf.DUMMYFUNCTION("""COMPUTED_VALUE"""),"Minuman")</f>
        <v>Minuman</v>
      </c>
      <c r="F377" s="2">
        <f>IFERROR(__xludf.DUMMYFUNCTION("""COMPUTED_VALUE"""),10128.0)</f>
        <v>10128</v>
      </c>
      <c r="G377" s="2" t="str">
        <f>IFERROR(__xludf.DUMMYFUNCTION("""COMPUTED_VALUE"""),"Es Kopi Susu")</f>
        <v>Es Kopi Susu</v>
      </c>
      <c r="H377" s="2"/>
      <c r="I377" s="2"/>
      <c r="J377" s="2">
        <f>IFERROR(__xludf.DUMMYFUNCTION("""COMPUTED_VALUE"""),2.0)</f>
        <v>2</v>
      </c>
      <c r="K377" s="6">
        <f>IFERROR(__xludf.DUMMYFUNCTION("""COMPUTED_VALUE"""),46666.0)</f>
        <v>46666</v>
      </c>
      <c r="L377" s="2">
        <f>IFERROR(__xludf.DUMMYFUNCTION("""COMPUTED_VALUE"""),0.0)</f>
        <v>0</v>
      </c>
      <c r="M377" s="2">
        <f>IFERROR(__xludf.DUMMYFUNCTION("""COMPUTED_VALUE"""),46666.0)</f>
        <v>46666</v>
      </c>
      <c r="N377" s="2">
        <f>IFERROR(__xludf.DUMMYFUNCTION("""COMPUTED_VALUE"""),0.0)</f>
        <v>0</v>
      </c>
      <c r="O377" s="2">
        <f>IFERROR(__xludf.DUMMYFUNCTION("""COMPUTED_VALUE"""),46666.0)</f>
        <v>46666</v>
      </c>
      <c r="P377" s="2">
        <f>IFERROR(__xludf.DUMMYFUNCTION("""COMPUTED_VALUE"""),2333.0)</f>
        <v>2333</v>
      </c>
      <c r="Q377" s="2" t="str">
        <f>IFERROR(__xludf.DUMMYFUNCTION("""COMPUTED_VALUE"""),"Dine In")</f>
        <v>Dine In</v>
      </c>
      <c r="R377" s="2" t="str">
        <f>IFERROR(__xludf.DUMMYFUNCTION("""COMPUTED_VALUE"""),"Kedai")</f>
        <v>Kedai</v>
      </c>
      <c r="S377" s="2" t="str">
        <f>IFERROR(__xludf.DUMMYFUNCTION("""COMPUTED_VALUE"""),"Temu Roti")</f>
        <v>Temu Roti</v>
      </c>
      <c r="T377" s="2" t="str">
        <f>IFERROR(__xludf.DUMMYFUNCTION("""COMPUTED_VALUE"""),"Owner")</f>
        <v>Owner</v>
      </c>
      <c r="U377" s="2"/>
      <c r="V377" s="2"/>
      <c r="W377" s="2"/>
      <c r="X377" s="2" t="str">
        <f>IFERROR(__xludf.DUMMYFUNCTION("""COMPUTED_VALUE"""),"Closed")</f>
        <v>Closed</v>
      </c>
    </row>
    <row r="378">
      <c r="A378" s="3" t="s">
        <v>398</v>
      </c>
      <c r="B378" s="4">
        <f>IFERROR(__xludf.DUMMYFUNCTION("SPLIT(A378,"","",0,0)"),45557.43680555555)</f>
        <v>45557.43681</v>
      </c>
      <c r="C378" s="5">
        <f>IFERROR(__xludf.DUMMYFUNCTION("""COMPUTED_VALUE"""),2749944.0)</f>
        <v>2749944</v>
      </c>
      <c r="D378" s="2" t="str">
        <f>IFERROR(__xludf.DUMMYFUNCTION("""COMPUTED_VALUE"""),"Sale")</f>
        <v>Sale</v>
      </c>
      <c r="E378" s="2" t="str">
        <f>IFERROR(__xludf.DUMMYFUNCTION("""COMPUTED_VALUE"""),"Minuman")</f>
        <v>Minuman</v>
      </c>
      <c r="F378" s="2">
        <f>IFERROR(__xludf.DUMMYFUNCTION("""COMPUTED_VALUE"""),10069.0)</f>
        <v>10069</v>
      </c>
      <c r="G378" s="2" t="str">
        <f>IFERROR(__xludf.DUMMYFUNCTION("""COMPUTED_VALUE"""),"Wedang hujan")</f>
        <v>Wedang hujan</v>
      </c>
      <c r="H378" s="2"/>
      <c r="I378" s="2"/>
      <c r="J378" s="2">
        <f>IFERROR(__xludf.DUMMYFUNCTION("""COMPUTED_VALUE"""),1.0)</f>
        <v>1</v>
      </c>
      <c r="K378" s="6">
        <f>IFERROR(__xludf.DUMMYFUNCTION("""COMPUTED_VALUE"""),24762.0)</f>
        <v>24762</v>
      </c>
      <c r="L378" s="2">
        <f>IFERROR(__xludf.DUMMYFUNCTION("""COMPUTED_VALUE"""),0.0)</f>
        <v>0</v>
      </c>
      <c r="M378" s="2">
        <f>IFERROR(__xludf.DUMMYFUNCTION("""COMPUTED_VALUE"""),24762.0)</f>
        <v>24762</v>
      </c>
      <c r="N378" s="2">
        <f>IFERROR(__xludf.DUMMYFUNCTION("""COMPUTED_VALUE"""),0.0)</f>
        <v>0</v>
      </c>
      <c r="O378" s="2">
        <f>IFERROR(__xludf.DUMMYFUNCTION("""COMPUTED_VALUE"""),24762.0)</f>
        <v>24762</v>
      </c>
      <c r="P378" s="2">
        <f>IFERROR(__xludf.DUMMYFUNCTION("""COMPUTED_VALUE"""),1238.0)</f>
        <v>1238</v>
      </c>
      <c r="Q378" s="2" t="str">
        <f>IFERROR(__xludf.DUMMYFUNCTION("""COMPUTED_VALUE"""),"Dine In")</f>
        <v>Dine In</v>
      </c>
      <c r="R378" s="2" t="str">
        <f>IFERROR(__xludf.DUMMYFUNCTION("""COMPUTED_VALUE"""),"Kedai")</f>
        <v>Kedai</v>
      </c>
      <c r="S378" s="2" t="str">
        <f>IFERROR(__xludf.DUMMYFUNCTION("""COMPUTED_VALUE"""),"Temu Roti")</f>
        <v>Temu Roti</v>
      </c>
      <c r="T378" s="2" t="str">
        <f>IFERROR(__xludf.DUMMYFUNCTION("""COMPUTED_VALUE"""),"Owner")</f>
        <v>Owner</v>
      </c>
      <c r="U378" s="2"/>
      <c r="V378" s="2"/>
      <c r="W378" s="2"/>
      <c r="X378" s="2" t="str">
        <f>IFERROR(__xludf.DUMMYFUNCTION("""COMPUTED_VALUE"""),"Closed")</f>
        <v>Closed</v>
      </c>
    </row>
    <row r="379">
      <c r="A379" s="3" t="s">
        <v>399</v>
      </c>
      <c r="B379" s="4">
        <f>IFERROR(__xludf.DUMMYFUNCTION("SPLIT(A379,"","",0,0)"),45556.84861111111)</f>
        <v>45556.84861</v>
      </c>
      <c r="C379" s="5">
        <f>IFERROR(__xludf.DUMMYFUNCTION("""COMPUTED_VALUE"""),2749578.0)</f>
        <v>2749578</v>
      </c>
      <c r="D379" s="2" t="str">
        <f>IFERROR(__xludf.DUMMYFUNCTION("""COMPUTED_VALUE"""),"Sale")</f>
        <v>Sale</v>
      </c>
      <c r="E379" s="2" t="str">
        <f>IFERROR(__xludf.DUMMYFUNCTION("""COMPUTED_VALUE"""),"Minuman")</f>
        <v>Minuman</v>
      </c>
      <c r="F379" s="2">
        <f>IFERROR(__xludf.DUMMYFUNCTION("""COMPUTED_VALUE"""),10128.0)</f>
        <v>10128</v>
      </c>
      <c r="G379" s="2" t="str">
        <f>IFERROR(__xludf.DUMMYFUNCTION("""COMPUTED_VALUE"""),"Es Kopi Susu")</f>
        <v>Es Kopi Susu</v>
      </c>
      <c r="H379" s="2"/>
      <c r="I379" s="2"/>
      <c r="J379" s="2">
        <f>IFERROR(__xludf.DUMMYFUNCTION("""COMPUTED_VALUE"""),1.0)</f>
        <v>1</v>
      </c>
      <c r="K379" s="6">
        <f>IFERROR(__xludf.DUMMYFUNCTION("""COMPUTED_VALUE"""),23333.0)</f>
        <v>23333</v>
      </c>
      <c r="L379" s="2">
        <f>IFERROR(__xludf.DUMMYFUNCTION("""COMPUTED_VALUE"""),0.0)</f>
        <v>0</v>
      </c>
      <c r="M379" s="2">
        <f>IFERROR(__xludf.DUMMYFUNCTION("""COMPUTED_VALUE"""),23333.0)</f>
        <v>23333</v>
      </c>
      <c r="N379" s="2">
        <f>IFERROR(__xludf.DUMMYFUNCTION("""COMPUTED_VALUE"""),0.0)</f>
        <v>0</v>
      </c>
      <c r="O379" s="2">
        <f>IFERROR(__xludf.DUMMYFUNCTION("""COMPUTED_VALUE"""),23333.0)</f>
        <v>23333</v>
      </c>
      <c r="P379" s="2">
        <f>IFERROR(__xludf.DUMMYFUNCTION("""COMPUTED_VALUE"""),1167.0)</f>
        <v>1167</v>
      </c>
      <c r="Q379" s="2" t="str">
        <f>IFERROR(__xludf.DUMMYFUNCTION("""COMPUTED_VALUE"""),"Dine In")</f>
        <v>Dine In</v>
      </c>
      <c r="R379" s="2" t="str">
        <f>IFERROR(__xludf.DUMMYFUNCTION("""COMPUTED_VALUE"""),"Kedai")</f>
        <v>Kedai</v>
      </c>
      <c r="S379" s="2" t="str">
        <f>IFERROR(__xludf.DUMMYFUNCTION("""COMPUTED_VALUE"""),"Temu Roti")</f>
        <v>Temu Roti</v>
      </c>
      <c r="T379" s="2" t="str">
        <f>IFERROR(__xludf.DUMMYFUNCTION("""COMPUTED_VALUE"""),"Owner")</f>
        <v>Owner</v>
      </c>
      <c r="U379" s="2"/>
      <c r="V379" s="2"/>
      <c r="W379" s="2"/>
      <c r="X379" s="2" t="str">
        <f>IFERROR(__xludf.DUMMYFUNCTION("""COMPUTED_VALUE"""),"Closed")</f>
        <v>Closed</v>
      </c>
    </row>
    <row r="380">
      <c r="A380" s="3" t="s">
        <v>400</v>
      </c>
      <c r="B380" s="4">
        <f>IFERROR(__xludf.DUMMYFUNCTION("SPLIT(A380,"","",0,0)"),45556.84305555555)</f>
        <v>45556.84306</v>
      </c>
      <c r="C380" s="5">
        <f>IFERROR(__xludf.DUMMYFUNCTION("""COMPUTED_VALUE"""),2749213.0)</f>
        <v>2749213</v>
      </c>
      <c r="D380" s="2" t="str">
        <f>IFERROR(__xludf.DUMMYFUNCTION("""COMPUTED_VALUE"""),"Sale")</f>
        <v>Sale</v>
      </c>
      <c r="E380" s="2" t="str">
        <f>IFERROR(__xludf.DUMMYFUNCTION("""COMPUTED_VALUE"""),"Minuman")</f>
        <v>Minuman</v>
      </c>
      <c r="F380" s="2">
        <f>IFERROR(__xludf.DUMMYFUNCTION("""COMPUTED_VALUE"""),10123.0)</f>
        <v>10123</v>
      </c>
      <c r="G380" s="2" t="str">
        <f>IFERROR(__xludf.DUMMYFUNCTION("""COMPUTED_VALUE"""),"Rempah Madu Dingin")</f>
        <v>Rempah Madu Dingin</v>
      </c>
      <c r="H380" s="2"/>
      <c r="I380" s="2"/>
      <c r="J380" s="2">
        <f>IFERROR(__xludf.DUMMYFUNCTION("""COMPUTED_VALUE"""),1.0)</f>
        <v>1</v>
      </c>
      <c r="K380" s="6">
        <f>IFERROR(__xludf.DUMMYFUNCTION("""COMPUTED_VALUE"""),21905.0)</f>
        <v>21905</v>
      </c>
      <c r="L380" s="2">
        <f>IFERROR(__xludf.DUMMYFUNCTION("""COMPUTED_VALUE"""),0.0)</f>
        <v>0</v>
      </c>
      <c r="M380" s="2">
        <f>IFERROR(__xludf.DUMMYFUNCTION("""COMPUTED_VALUE"""),21905.0)</f>
        <v>21905</v>
      </c>
      <c r="N380" s="2">
        <f>IFERROR(__xludf.DUMMYFUNCTION("""COMPUTED_VALUE"""),0.0)</f>
        <v>0</v>
      </c>
      <c r="O380" s="2">
        <f>IFERROR(__xludf.DUMMYFUNCTION("""COMPUTED_VALUE"""),21905.0)</f>
        <v>21905</v>
      </c>
      <c r="P380" s="2">
        <f>IFERROR(__xludf.DUMMYFUNCTION("""COMPUTED_VALUE"""),1095.0)</f>
        <v>1095</v>
      </c>
      <c r="Q380" s="2" t="str">
        <f>IFERROR(__xludf.DUMMYFUNCTION("""COMPUTED_VALUE"""),"Dine In")</f>
        <v>Dine In</v>
      </c>
      <c r="R380" s="2" t="str">
        <f>IFERROR(__xludf.DUMMYFUNCTION("""COMPUTED_VALUE"""),"Kedai")</f>
        <v>Kedai</v>
      </c>
      <c r="S380" s="2" t="str">
        <f>IFERROR(__xludf.DUMMYFUNCTION("""COMPUTED_VALUE"""),"Temu Roti")</f>
        <v>Temu Roti</v>
      </c>
      <c r="T380" s="2" t="str">
        <f>IFERROR(__xludf.DUMMYFUNCTION("""COMPUTED_VALUE"""),"Owner")</f>
        <v>Owner</v>
      </c>
      <c r="U380" s="2"/>
      <c r="V380" s="2"/>
      <c r="W380" s="2"/>
      <c r="X380" s="2" t="str">
        <f>IFERROR(__xludf.DUMMYFUNCTION("""COMPUTED_VALUE"""),"Closed")</f>
        <v>Closed</v>
      </c>
    </row>
    <row r="381">
      <c r="A381" s="3" t="s">
        <v>401</v>
      </c>
      <c r="B381" s="4">
        <f>IFERROR(__xludf.DUMMYFUNCTION("SPLIT(A381,"","",0,0)"),45556.83888888889)</f>
        <v>45556.83889</v>
      </c>
      <c r="C381" s="5">
        <f>IFERROR(__xludf.DUMMYFUNCTION("""COMPUTED_VALUE"""),2748848.0)</f>
        <v>2748848</v>
      </c>
      <c r="D381" s="2" t="str">
        <f>IFERROR(__xludf.DUMMYFUNCTION("""COMPUTED_VALUE"""),"Sale")</f>
        <v>Sale</v>
      </c>
      <c r="E381" s="2" t="str">
        <f>IFERROR(__xludf.DUMMYFUNCTION("""COMPUTED_VALUE"""),"Minuman")</f>
        <v>Minuman</v>
      </c>
      <c r="F381" s="2">
        <f>IFERROR(__xludf.DUMMYFUNCTION("""COMPUTED_VALUE"""),10128.0)</f>
        <v>10128</v>
      </c>
      <c r="G381" s="2" t="str">
        <f>IFERROR(__xludf.DUMMYFUNCTION("""COMPUTED_VALUE"""),"Es Kopi Susu")</f>
        <v>Es Kopi Susu</v>
      </c>
      <c r="H381" s="2"/>
      <c r="I381" s="2"/>
      <c r="J381" s="2">
        <f>IFERROR(__xludf.DUMMYFUNCTION("""COMPUTED_VALUE"""),2.0)</f>
        <v>2</v>
      </c>
      <c r="K381" s="6">
        <f>IFERROR(__xludf.DUMMYFUNCTION("""COMPUTED_VALUE"""),46666.0)</f>
        <v>46666</v>
      </c>
      <c r="L381" s="2">
        <f>IFERROR(__xludf.DUMMYFUNCTION("""COMPUTED_VALUE"""),0.0)</f>
        <v>0</v>
      </c>
      <c r="M381" s="2">
        <f>IFERROR(__xludf.DUMMYFUNCTION("""COMPUTED_VALUE"""),46666.0)</f>
        <v>46666</v>
      </c>
      <c r="N381" s="2">
        <f>IFERROR(__xludf.DUMMYFUNCTION("""COMPUTED_VALUE"""),0.0)</f>
        <v>0</v>
      </c>
      <c r="O381" s="2">
        <f>IFERROR(__xludf.DUMMYFUNCTION("""COMPUTED_VALUE"""),46666.0)</f>
        <v>46666</v>
      </c>
      <c r="P381" s="2">
        <f>IFERROR(__xludf.DUMMYFUNCTION("""COMPUTED_VALUE"""),2333.0)</f>
        <v>2333</v>
      </c>
      <c r="Q381" s="2" t="str">
        <f>IFERROR(__xludf.DUMMYFUNCTION("""COMPUTED_VALUE"""),"Dine In")</f>
        <v>Dine In</v>
      </c>
      <c r="R381" s="2" t="str">
        <f>IFERROR(__xludf.DUMMYFUNCTION("""COMPUTED_VALUE"""),"Kedai")</f>
        <v>Kedai</v>
      </c>
      <c r="S381" s="2" t="str">
        <f>IFERROR(__xludf.DUMMYFUNCTION("""COMPUTED_VALUE"""),"Temu Roti")</f>
        <v>Temu Roti</v>
      </c>
      <c r="T381" s="2" t="str">
        <f>IFERROR(__xludf.DUMMYFUNCTION("""COMPUTED_VALUE"""),"Owner")</f>
        <v>Owner</v>
      </c>
      <c r="U381" s="2"/>
      <c r="V381" s="2"/>
      <c r="W381" s="2"/>
      <c r="X381" s="2" t="str">
        <f>IFERROR(__xludf.DUMMYFUNCTION("""COMPUTED_VALUE"""),"Closed")</f>
        <v>Closed</v>
      </c>
    </row>
    <row r="382">
      <c r="A382" s="3" t="s">
        <v>402</v>
      </c>
      <c r="B382" s="4">
        <f>IFERROR(__xludf.DUMMYFUNCTION("SPLIT(A382,"","",0,0)"),45556.83819444444)</f>
        <v>45556.83819</v>
      </c>
      <c r="C382" s="5">
        <f>IFERROR(__xludf.DUMMYFUNCTION("""COMPUTED_VALUE"""),2748483.0)</f>
        <v>2748483</v>
      </c>
      <c r="D382" s="2" t="str">
        <f>IFERROR(__xludf.DUMMYFUNCTION("""COMPUTED_VALUE"""),"Refund")</f>
        <v>Refund</v>
      </c>
      <c r="E382" s="2" t="str">
        <f>IFERROR(__xludf.DUMMYFUNCTION("""COMPUTED_VALUE"""),"Minuman")</f>
        <v>Minuman</v>
      </c>
      <c r="F382" s="2">
        <f>IFERROR(__xludf.DUMMYFUNCTION("""COMPUTED_VALUE"""),10128.0)</f>
        <v>10128</v>
      </c>
      <c r="G382" s="2" t="str">
        <f>IFERROR(__xludf.DUMMYFUNCTION("""COMPUTED_VALUE"""),"Es Kopi Susu")</f>
        <v>Es Kopi Susu</v>
      </c>
      <c r="H382" s="2"/>
      <c r="I382" s="2"/>
      <c r="J382" s="2">
        <f>IFERROR(__xludf.DUMMYFUNCTION("""COMPUTED_VALUE"""),-2.0)</f>
        <v>-2</v>
      </c>
      <c r="K382" s="6">
        <f>IFERROR(__xludf.DUMMYFUNCTION("""COMPUTED_VALUE"""),-46666.0)</f>
        <v>-46666</v>
      </c>
      <c r="L382" s="2">
        <f>IFERROR(__xludf.DUMMYFUNCTION("""COMPUTED_VALUE"""),0.0)</f>
        <v>0</v>
      </c>
      <c r="M382" s="2">
        <f>IFERROR(__xludf.DUMMYFUNCTION("""COMPUTED_VALUE"""),-46666.0)</f>
        <v>-46666</v>
      </c>
      <c r="N382" s="2">
        <f>IFERROR(__xludf.DUMMYFUNCTION("""COMPUTED_VALUE"""),0.0)</f>
        <v>0</v>
      </c>
      <c r="O382" s="2">
        <f>IFERROR(__xludf.DUMMYFUNCTION("""COMPUTED_VALUE"""),-46666.0)</f>
        <v>-46666</v>
      </c>
      <c r="P382" s="2">
        <f>IFERROR(__xludf.DUMMYFUNCTION("""COMPUTED_VALUE"""),-2333.0)</f>
        <v>-2333</v>
      </c>
      <c r="Q382" s="2" t="str">
        <f>IFERROR(__xludf.DUMMYFUNCTION("""COMPUTED_VALUE"""),"Dine In")</f>
        <v>Dine In</v>
      </c>
      <c r="R382" s="2" t="str">
        <f>IFERROR(__xludf.DUMMYFUNCTION("""COMPUTED_VALUE"""),"Kedai")</f>
        <v>Kedai</v>
      </c>
      <c r="S382" s="2" t="str">
        <f>IFERROR(__xludf.DUMMYFUNCTION("""COMPUTED_VALUE"""),"Temu Roti")</f>
        <v>Temu Roti</v>
      </c>
      <c r="T382" s="2" t="str">
        <f>IFERROR(__xludf.DUMMYFUNCTION("""COMPUTED_VALUE"""),"Owner")</f>
        <v>Owner</v>
      </c>
      <c r="U382" s="2"/>
      <c r="V382" s="2"/>
      <c r="W382" s="2"/>
      <c r="X382" s="2" t="str">
        <f>IFERROR(__xludf.DUMMYFUNCTION("""COMPUTED_VALUE"""),"Closed")</f>
        <v>Closed</v>
      </c>
    </row>
    <row r="383">
      <c r="A383" s="3" t="s">
        <v>403</v>
      </c>
      <c r="B383" s="4">
        <f>IFERROR(__xludf.DUMMYFUNCTION("SPLIT(A383,"","",0,0)"),45556.83819444444)</f>
        <v>45556.83819</v>
      </c>
      <c r="C383" s="5">
        <f>IFERROR(__xludf.DUMMYFUNCTION("""COMPUTED_VALUE"""),2748117.0)</f>
        <v>2748117</v>
      </c>
      <c r="D383" s="2" t="str">
        <f>IFERROR(__xludf.DUMMYFUNCTION("""COMPUTED_VALUE"""),"Sale")</f>
        <v>Sale</v>
      </c>
      <c r="E383" s="2" t="str">
        <f>IFERROR(__xludf.DUMMYFUNCTION("""COMPUTED_VALUE"""),"Minuman")</f>
        <v>Minuman</v>
      </c>
      <c r="F383" s="2">
        <f>IFERROR(__xludf.DUMMYFUNCTION("""COMPUTED_VALUE"""),10128.0)</f>
        <v>10128</v>
      </c>
      <c r="G383" s="2" t="str">
        <f>IFERROR(__xludf.DUMMYFUNCTION("""COMPUTED_VALUE"""),"Es Kopi Susu")</f>
        <v>Es Kopi Susu</v>
      </c>
      <c r="H383" s="2"/>
      <c r="I383" s="2"/>
      <c r="J383" s="2">
        <f>IFERROR(__xludf.DUMMYFUNCTION("""COMPUTED_VALUE"""),2.0)</f>
        <v>2</v>
      </c>
      <c r="K383" s="6">
        <f>IFERROR(__xludf.DUMMYFUNCTION("""COMPUTED_VALUE"""),46666.0)</f>
        <v>46666</v>
      </c>
      <c r="L383" s="2">
        <f>IFERROR(__xludf.DUMMYFUNCTION("""COMPUTED_VALUE"""),0.0)</f>
        <v>0</v>
      </c>
      <c r="M383" s="2">
        <f>IFERROR(__xludf.DUMMYFUNCTION("""COMPUTED_VALUE"""),46666.0)</f>
        <v>46666</v>
      </c>
      <c r="N383" s="2">
        <f>IFERROR(__xludf.DUMMYFUNCTION("""COMPUTED_VALUE"""),0.0)</f>
        <v>0</v>
      </c>
      <c r="O383" s="2">
        <f>IFERROR(__xludf.DUMMYFUNCTION("""COMPUTED_VALUE"""),46666.0)</f>
        <v>46666</v>
      </c>
      <c r="P383" s="2">
        <f>IFERROR(__xludf.DUMMYFUNCTION("""COMPUTED_VALUE"""),2333.0)</f>
        <v>2333</v>
      </c>
      <c r="Q383" s="2" t="str">
        <f>IFERROR(__xludf.DUMMYFUNCTION("""COMPUTED_VALUE"""),"Dine In")</f>
        <v>Dine In</v>
      </c>
      <c r="R383" s="2" t="str">
        <f>IFERROR(__xludf.DUMMYFUNCTION("""COMPUTED_VALUE"""),"Kedai")</f>
        <v>Kedai</v>
      </c>
      <c r="S383" s="2" t="str">
        <f>IFERROR(__xludf.DUMMYFUNCTION("""COMPUTED_VALUE"""),"Temu Roti")</f>
        <v>Temu Roti</v>
      </c>
      <c r="T383" s="2" t="str">
        <f>IFERROR(__xludf.DUMMYFUNCTION("""COMPUTED_VALUE"""),"Owner")</f>
        <v>Owner</v>
      </c>
      <c r="U383" s="2"/>
      <c r="V383" s="2"/>
      <c r="W383" s="2"/>
      <c r="X383" s="2" t="str">
        <f>IFERROR(__xludf.DUMMYFUNCTION("""COMPUTED_VALUE"""),"Closed")</f>
        <v>Closed</v>
      </c>
    </row>
    <row r="384">
      <c r="A384" s="3" t="s">
        <v>404</v>
      </c>
      <c r="B384" s="4">
        <f>IFERROR(__xludf.DUMMYFUNCTION("SPLIT(A384,"","",0,0)"),45556.83263888889)</f>
        <v>45556.83264</v>
      </c>
      <c r="C384" s="5">
        <f>IFERROR(__xludf.DUMMYFUNCTION("""COMPUTED_VALUE"""),2747752.0)</f>
        <v>2747752</v>
      </c>
      <c r="D384" s="2" t="str">
        <f>IFERROR(__xludf.DUMMYFUNCTION("""COMPUTED_VALUE"""),"Sale")</f>
        <v>Sale</v>
      </c>
      <c r="E384" s="2" t="str">
        <f>IFERROR(__xludf.DUMMYFUNCTION("""COMPUTED_VALUE"""),"Minuman")</f>
        <v>Minuman</v>
      </c>
      <c r="F384" s="2">
        <f>IFERROR(__xludf.DUMMYFUNCTION("""COMPUTED_VALUE"""),10128.0)</f>
        <v>10128</v>
      </c>
      <c r="G384" s="2" t="str">
        <f>IFERROR(__xludf.DUMMYFUNCTION("""COMPUTED_VALUE"""),"Es Kopi Susu")</f>
        <v>Es Kopi Susu</v>
      </c>
      <c r="H384" s="2"/>
      <c r="I384" s="2"/>
      <c r="J384" s="2">
        <f>IFERROR(__xludf.DUMMYFUNCTION("""COMPUTED_VALUE"""),1.0)</f>
        <v>1</v>
      </c>
      <c r="K384" s="6">
        <f>IFERROR(__xludf.DUMMYFUNCTION("""COMPUTED_VALUE"""),23333.0)</f>
        <v>23333</v>
      </c>
      <c r="L384" s="2">
        <f>IFERROR(__xludf.DUMMYFUNCTION("""COMPUTED_VALUE"""),0.0)</f>
        <v>0</v>
      </c>
      <c r="M384" s="2">
        <f>IFERROR(__xludf.DUMMYFUNCTION("""COMPUTED_VALUE"""),23333.0)</f>
        <v>23333</v>
      </c>
      <c r="N384" s="2">
        <f>IFERROR(__xludf.DUMMYFUNCTION("""COMPUTED_VALUE"""),0.0)</f>
        <v>0</v>
      </c>
      <c r="O384" s="2">
        <f>IFERROR(__xludf.DUMMYFUNCTION("""COMPUTED_VALUE"""),23333.0)</f>
        <v>23333</v>
      </c>
      <c r="P384" s="2">
        <f>IFERROR(__xludf.DUMMYFUNCTION("""COMPUTED_VALUE"""),1167.0)</f>
        <v>1167</v>
      </c>
      <c r="Q384" s="2" t="str">
        <f>IFERROR(__xludf.DUMMYFUNCTION("""COMPUTED_VALUE"""),"Dine In")</f>
        <v>Dine In</v>
      </c>
      <c r="R384" s="2" t="str">
        <f>IFERROR(__xludf.DUMMYFUNCTION("""COMPUTED_VALUE"""),"Kedai")</f>
        <v>Kedai</v>
      </c>
      <c r="S384" s="2" t="str">
        <f>IFERROR(__xludf.DUMMYFUNCTION("""COMPUTED_VALUE"""),"Temu Roti")</f>
        <v>Temu Roti</v>
      </c>
      <c r="T384" s="2" t="str">
        <f>IFERROR(__xludf.DUMMYFUNCTION("""COMPUTED_VALUE"""),"Owner")</f>
        <v>Owner</v>
      </c>
      <c r="U384" s="2"/>
      <c r="V384" s="2"/>
      <c r="W384" s="2"/>
      <c r="X384" s="2" t="str">
        <f>IFERROR(__xludf.DUMMYFUNCTION("""COMPUTED_VALUE"""),"Closed")</f>
        <v>Closed</v>
      </c>
    </row>
    <row r="385">
      <c r="A385" s="3" t="s">
        <v>405</v>
      </c>
      <c r="B385" s="4">
        <f>IFERROR(__xludf.DUMMYFUNCTION("SPLIT(A385,"","",0,0)"),45556.83263888889)</f>
        <v>45556.83264</v>
      </c>
      <c r="C385" s="5">
        <f>IFERROR(__xludf.DUMMYFUNCTION("""COMPUTED_VALUE"""),2747752.0)</f>
        <v>2747752</v>
      </c>
      <c r="D385" s="2" t="str">
        <f>IFERROR(__xludf.DUMMYFUNCTION("""COMPUTED_VALUE"""),"Sale")</f>
        <v>Sale</v>
      </c>
      <c r="E385" s="2" t="str">
        <f>IFERROR(__xludf.DUMMYFUNCTION("""COMPUTED_VALUE"""),"Minuman")</f>
        <v>Minuman</v>
      </c>
      <c r="F385" s="2">
        <f>IFERROR(__xludf.DUMMYFUNCTION("""COMPUTED_VALUE"""),10107.0)</f>
        <v>10107</v>
      </c>
      <c r="G385" s="2" t="str">
        <f>IFERROR(__xludf.DUMMYFUNCTION("""COMPUTED_VALUE"""),"Korean Mango Fresh Milk")</f>
        <v>Korean Mango Fresh Milk</v>
      </c>
      <c r="H385" s="2"/>
      <c r="I385" s="2"/>
      <c r="J385" s="2">
        <f>IFERROR(__xludf.DUMMYFUNCTION("""COMPUTED_VALUE"""),1.0)</f>
        <v>1</v>
      </c>
      <c r="K385" s="6">
        <f>IFERROR(__xludf.DUMMYFUNCTION("""COMPUTED_VALUE"""),26667.0)</f>
        <v>26667</v>
      </c>
      <c r="L385" s="2">
        <f>IFERROR(__xludf.DUMMYFUNCTION("""COMPUTED_VALUE"""),0.0)</f>
        <v>0</v>
      </c>
      <c r="M385" s="2">
        <f>IFERROR(__xludf.DUMMYFUNCTION("""COMPUTED_VALUE"""),26667.0)</f>
        <v>26667</v>
      </c>
      <c r="N385" s="2">
        <f>IFERROR(__xludf.DUMMYFUNCTION("""COMPUTED_VALUE"""),0.0)</f>
        <v>0</v>
      </c>
      <c r="O385" s="2">
        <f>IFERROR(__xludf.DUMMYFUNCTION("""COMPUTED_VALUE"""),26667.0)</f>
        <v>26667</v>
      </c>
      <c r="P385" s="2">
        <f>IFERROR(__xludf.DUMMYFUNCTION("""COMPUTED_VALUE"""),1333.0)</f>
        <v>1333</v>
      </c>
      <c r="Q385" s="2" t="str">
        <f>IFERROR(__xludf.DUMMYFUNCTION("""COMPUTED_VALUE"""),"Dine In")</f>
        <v>Dine In</v>
      </c>
      <c r="R385" s="2" t="str">
        <f>IFERROR(__xludf.DUMMYFUNCTION("""COMPUTED_VALUE"""),"Kedai")</f>
        <v>Kedai</v>
      </c>
      <c r="S385" s="2" t="str">
        <f>IFERROR(__xludf.DUMMYFUNCTION("""COMPUTED_VALUE"""),"Temu Roti")</f>
        <v>Temu Roti</v>
      </c>
      <c r="T385" s="2" t="str">
        <f>IFERROR(__xludf.DUMMYFUNCTION("""COMPUTED_VALUE"""),"Owner")</f>
        <v>Owner</v>
      </c>
      <c r="U385" s="2"/>
      <c r="V385" s="2"/>
      <c r="W385" s="2"/>
      <c r="X385" s="2" t="str">
        <f>IFERROR(__xludf.DUMMYFUNCTION("""COMPUTED_VALUE"""),"Closed")</f>
        <v>Closed</v>
      </c>
    </row>
    <row r="386">
      <c r="A386" s="3" t="s">
        <v>406</v>
      </c>
      <c r="B386" s="4">
        <f>IFERROR(__xludf.DUMMYFUNCTION("SPLIT(A386,"","",0,0)"),45556.82708333333)</f>
        <v>45556.82708</v>
      </c>
      <c r="C386" s="5">
        <f>IFERROR(__xludf.DUMMYFUNCTION("""COMPUTED_VALUE"""),2747387.0)</f>
        <v>2747387</v>
      </c>
      <c r="D386" s="2" t="str">
        <f>IFERROR(__xludf.DUMMYFUNCTION("""COMPUTED_VALUE"""),"Sale")</f>
        <v>Sale</v>
      </c>
      <c r="E386" s="2" t="str">
        <f>IFERROR(__xludf.DUMMYFUNCTION("""COMPUTED_VALUE"""),"Roti")</f>
        <v>Roti</v>
      </c>
      <c r="F386" s="2">
        <f>IFERROR(__xludf.DUMMYFUNCTION("""COMPUTED_VALUE"""),10005.0)</f>
        <v>10005</v>
      </c>
      <c r="G386" s="2" t="str">
        <f>IFERROR(__xludf.DUMMYFUNCTION("""COMPUTED_VALUE"""),"Roti Gandum Cokelat")</f>
        <v>Roti Gandum Cokelat</v>
      </c>
      <c r="H386" s="2"/>
      <c r="I386" s="2"/>
      <c r="J386" s="2">
        <f>IFERROR(__xludf.DUMMYFUNCTION("""COMPUTED_VALUE"""),1.0)</f>
        <v>1</v>
      </c>
      <c r="K386" s="6">
        <f>IFERROR(__xludf.DUMMYFUNCTION("""COMPUTED_VALUE"""),19524.0)</f>
        <v>19524</v>
      </c>
      <c r="L386" s="2">
        <f>IFERROR(__xludf.DUMMYFUNCTION("""COMPUTED_VALUE"""),0.0)</f>
        <v>0</v>
      </c>
      <c r="M386" s="2">
        <f>IFERROR(__xludf.DUMMYFUNCTION("""COMPUTED_VALUE"""),19524.0)</f>
        <v>19524</v>
      </c>
      <c r="N386" s="2">
        <f>IFERROR(__xludf.DUMMYFUNCTION("""COMPUTED_VALUE"""),0.0)</f>
        <v>0</v>
      </c>
      <c r="O386" s="2">
        <f>IFERROR(__xludf.DUMMYFUNCTION("""COMPUTED_VALUE"""),19524.0)</f>
        <v>19524</v>
      </c>
      <c r="P386" s="2">
        <f>IFERROR(__xludf.DUMMYFUNCTION("""COMPUTED_VALUE"""),976.0)</f>
        <v>976</v>
      </c>
      <c r="Q386" s="2" t="str">
        <f>IFERROR(__xludf.DUMMYFUNCTION("""COMPUTED_VALUE"""),"Dine In")</f>
        <v>Dine In</v>
      </c>
      <c r="R386" s="2" t="str">
        <f>IFERROR(__xludf.DUMMYFUNCTION("""COMPUTED_VALUE"""),"Kedai")</f>
        <v>Kedai</v>
      </c>
      <c r="S386" s="2" t="str">
        <f>IFERROR(__xludf.DUMMYFUNCTION("""COMPUTED_VALUE"""),"Temu Roti")</f>
        <v>Temu Roti</v>
      </c>
      <c r="T386" s="2" t="str">
        <f>IFERROR(__xludf.DUMMYFUNCTION("""COMPUTED_VALUE"""),"Owner")</f>
        <v>Owner</v>
      </c>
      <c r="U386" s="2"/>
      <c r="V386" s="2"/>
      <c r="W386" s="2"/>
      <c r="X386" s="2" t="str">
        <f>IFERROR(__xludf.DUMMYFUNCTION("""COMPUTED_VALUE"""),"Closed")</f>
        <v>Closed</v>
      </c>
    </row>
    <row r="387">
      <c r="A387" s="3" t="s">
        <v>407</v>
      </c>
      <c r="B387" s="4">
        <f>IFERROR(__xludf.DUMMYFUNCTION("SPLIT(A387,"","",0,0)"),45556.82708333333)</f>
        <v>45556.82708</v>
      </c>
      <c r="C387" s="5">
        <f>IFERROR(__xludf.DUMMYFUNCTION("""COMPUTED_VALUE"""),2747387.0)</f>
        <v>2747387</v>
      </c>
      <c r="D387" s="2" t="str">
        <f>IFERROR(__xludf.DUMMYFUNCTION("""COMPUTED_VALUE"""),"Sale")</f>
        <v>Sale</v>
      </c>
      <c r="E387" s="2" t="str">
        <f>IFERROR(__xludf.DUMMYFUNCTION("""COMPUTED_VALUE"""),"Minuman")</f>
        <v>Minuman</v>
      </c>
      <c r="F387" s="2">
        <f>IFERROR(__xludf.DUMMYFUNCTION("""COMPUTED_VALUE"""),10128.0)</f>
        <v>10128</v>
      </c>
      <c r="G387" s="2" t="str">
        <f>IFERROR(__xludf.DUMMYFUNCTION("""COMPUTED_VALUE"""),"Es Kopi Susu")</f>
        <v>Es Kopi Susu</v>
      </c>
      <c r="H387" s="2"/>
      <c r="I387" s="2"/>
      <c r="J387" s="2">
        <f>IFERROR(__xludf.DUMMYFUNCTION("""COMPUTED_VALUE"""),1.0)</f>
        <v>1</v>
      </c>
      <c r="K387" s="6">
        <f>IFERROR(__xludf.DUMMYFUNCTION("""COMPUTED_VALUE"""),23333.0)</f>
        <v>23333</v>
      </c>
      <c r="L387" s="2">
        <f>IFERROR(__xludf.DUMMYFUNCTION("""COMPUTED_VALUE"""),0.0)</f>
        <v>0</v>
      </c>
      <c r="M387" s="2">
        <f>IFERROR(__xludf.DUMMYFUNCTION("""COMPUTED_VALUE"""),23333.0)</f>
        <v>23333</v>
      </c>
      <c r="N387" s="2">
        <f>IFERROR(__xludf.DUMMYFUNCTION("""COMPUTED_VALUE"""),0.0)</f>
        <v>0</v>
      </c>
      <c r="O387" s="2">
        <f>IFERROR(__xludf.DUMMYFUNCTION("""COMPUTED_VALUE"""),23333.0)</f>
        <v>23333</v>
      </c>
      <c r="P387" s="2">
        <f>IFERROR(__xludf.DUMMYFUNCTION("""COMPUTED_VALUE"""),1167.0)</f>
        <v>1167</v>
      </c>
      <c r="Q387" s="2" t="str">
        <f>IFERROR(__xludf.DUMMYFUNCTION("""COMPUTED_VALUE"""),"Dine In")</f>
        <v>Dine In</v>
      </c>
      <c r="R387" s="2" t="str">
        <f>IFERROR(__xludf.DUMMYFUNCTION("""COMPUTED_VALUE"""),"Kedai")</f>
        <v>Kedai</v>
      </c>
      <c r="S387" s="2" t="str">
        <f>IFERROR(__xludf.DUMMYFUNCTION("""COMPUTED_VALUE"""),"Temu Roti")</f>
        <v>Temu Roti</v>
      </c>
      <c r="T387" s="2" t="str">
        <f>IFERROR(__xludf.DUMMYFUNCTION("""COMPUTED_VALUE"""),"Owner")</f>
        <v>Owner</v>
      </c>
      <c r="U387" s="2"/>
      <c r="V387" s="2"/>
      <c r="W387" s="2"/>
      <c r="X387" s="2" t="str">
        <f>IFERROR(__xludf.DUMMYFUNCTION("""COMPUTED_VALUE"""),"Closed")</f>
        <v>Closed</v>
      </c>
    </row>
    <row r="388">
      <c r="A388" s="3" t="s">
        <v>408</v>
      </c>
      <c r="B388" s="4">
        <f>IFERROR(__xludf.DUMMYFUNCTION("SPLIT(A388,"","",0,0)"),45556.802777777775)</f>
        <v>45556.80278</v>
      </c>
      <c r="C388" s="5">
        <f>IFERROR(__xludf.DUMMYFUNCTION("""COMPUTED_VALUE"""),2747022.0)</f>
        <v>2747022</v>
      </c>
      <c r="D388" s="2" t="str">
        <f>IFERROR(__xludf.DUMMYFUNCTION("""COMPUTED_VALUE"""),"Sale")</f>
        <v>Sale</v>
      </c>
      <c r="E388" s="2" t="str">
        <f>IFERROR(__xludf.DUMMYFUNCTION("""COMPUTED_VALUE"""),"Roti")</f>
        <v>Roti</v>
      </c>
      <c r="F388" s="2">
        <f>IFERROR(__xludf.DUMMYFUNCTION("""COMPUTED_VALUE"""),10033.0)</f>
        <v>10033</v>
      </c>
      <c r="G388" s="2" t="str">
        <f>IFERROR(__xludf.DUMMYFUNCTION("""COMPUTED_VALUE"""),"Roti panggang sarikaya")</f>
        <v>Roti panggang sarikaya</v>
      </c>
      <c r="H388" s="2"/>
      <c r="I388" s="2"/>
      <c r="J388" s="2">
        <f>IFERROR(__xludf.DUMMYFUNCTION("""COMPUTED_VALUE"""),1.0)</f>
        <v>1</v>
      </c>
      <c r="K388" s="6">
        <f>IFERROR(__xludf.DUMMYFUNCTION("""COMPUTED_VALUE"""),21905.0)</f>
        <v>21905</v>
      </c>
      <c r="L388" s="2">
        <f>IFERROR(__xludf.DUMMYFUNCTION("""COMPUTED_VALUE"""),0.0)</f>
        <v>0</v>
      </c>
      <c r="M388" s="2">
        <f>IFERROR(__xludf.DUMMYFUNCTION("""COMPUTED_VALUE"""),21905.0)</f>
        <v>21905</v>
      </c>
      <c r="N388" s="2">
        <f>IFERROR(__xludf.DUMMYFUNCTION("""COMPUTED_VALUE"""),0.0)</f>
        <v>0</v>
      </c>
      <c r="O388" s="2">
        <f>IFERROR(__xludf.DUMMYFUNCTION("""COMPUTED_VALUE"""),21905.0)</f>
        <v>21905</v>
      </c>
      <c r="P388" s="2">
        <f>IFERROR(__xludf.DUMMYFUNCTION("""COMPUTED_VALUE"""),1095.0)</f>
        <v>1095</v>
      </c>
      <c r="Q388" s="2" t="str">
        <f>IFERROR(__xludf.DUMMYFUNCTION("""COMPUTED_VALUE"""),"Dine In")</f>
        <v>Dine In</v>
      </c>
      <c r="R388" s="2" t="str">
        <f>IFERROR(__xludf.DUMMYFUNCTION("""COMPUTED_VALUE"""),"Kedai")</f>
        <v>Kedai</v>
      </c>
      <c r="S388" s="2" t="str">
        <f>IFERROR(__xludf.DUMMYFUNCTION("""COMPUTED_VALUE"""),"Temu Roti")</f>
        <v>Temu Roti</v>
      </c>
      <c r="T388" s="2" t="str">
        <f>IFERROR(__xludf.DUMMYFUNCTION("""COMPUTED_VALUE"""),"Owner")</f>
        <v>Owner</v>
      </c>
      <c r="U388" s="2"/>
      <c r="V388" s="2"/>
      <c r="W388" s="2"/>
      <c r="X388" s="2" t="str">
        <f>IFERROR(__xludf.DUMMYFUNCTION("""COMPUTED_VALUE"""),"Closed")</f>
        <v>Closed</v>
      </c>
    </row>
    <row r="389">
      <c r="A389" s="3" t="s">
        <v>409</v>
      </c>
      <c r="B389" s="4">
        <f>IFERROR(__xludf.DUMMYFUNCTION("SPLIT(A389,"","",0,0)"),45556.802083333336)</f>
        <v>45556.80208</v>
      </c>
      <c r="C389" s="5">
        <f>IFERROR(__xludf.DUMMYFUNCTION("""COMPUTED_VALUE"""),2746656.0)</f>
        <v>2746656</v>
      </c>
      <c r="D389" s="2" t="str">
        <f>IFERROR(__xludf.DUMMYFUNCTION("""COMPUTED_VALUE"""),"Sale")</f>
        <v>Sale</v>
      </c>
      <c r="E389" s="2" t="str">
        <f>IFERROR(__xludf.DUMMYFUNCTION("""COMPUTED_VALUE"""),"Roti")</f>
        <v>Roti</v>
      </c>
      <c r="F389" s="2">
        <f>IFERROR(__xludf.DUMMYFUNCTION("""COMPUTED_VALUE"""),10000.0)</f>
        <v>10000</v>
      </c>
      <c r="G389" s="2" t="str">
        <f>IFERROR(__xludf.DUMMYFUNCTION("""COMPUTED_VALUE"""),"Roti Bawang Saus Keju")</f>
        <v>Roti Bawang Saus Keju</v>
      </c>
      <c r="H389" s="2"/>
      <c r="I389" s="2"/>
      <c r="J389" s="2">
        <f>IFERROR(__xludf.DUMMYFUNCTION("""COMPUTED_VALUE"""),1.0)</f>
        <v>1</v>
      </c>
      <c r="K389" s="6">
        <f>IFERROR(__xludf.DUMMYFUNCTION("""COMPUTED_VALUE"""),29524.0)</f>
        <v>29524</v>
      </c>
      <c r="L389" s="2">
        <f>IFERROR(__xludf.DUMMYFUNCTION("""COMPUTED_VALUE"""),0.0)</f>
        <v>0</v>
      </c>
      <c r="M389" s="2">
        <f>IFERROR(__xludf.DUMMYFUNCTION("""COMPUTED_VALUE"""),29524.0)</f>
        <v>29524</v>
      </c>
      <c r="N389" s="2">
        <f>IFERROR(__xludf.DUMMYFUNCTION("""COMPUTED_VALUE"""),0.0)</f>
        <v>0</v>
      </c>
      <c r="O389" s="2">
        <f>IFERROR(__xludf.DUMMYFUNCTION("""COMPUTED_VALUE"""),29524.0)</f>
        <v>29524</v>
      </c>
      <c r="P389" s="2">
        <f>IFERROR(__xludf.DUMMYFUNCTION("""COMPUTED_VALUE"""),1476.0)</f>
        <v>1476</v>
      </c>
      <c r="Q389" s="2" t="str">
        <f>IFERROR(__xludf.DUMMYFUNCTION("""COMPUTED_VALUE"""),"Dine In")</f>
        <v>Dine In</v>
      </c>
      <c r="R389" s="2" t="str">
        <f>IFERROR(__xludf.DUMMYFUNCTION("""COMPUTED_VALUE"""),"Kedai")</f>
        <v>Kedai</v>
      </c>
      <c r="S389" s="2" t="str">
        <f>IFERROR(__xludf.DUMMYFUNCTION("""COMPUTED_VALUE"""),"Temu Roti")</f>
        <v>Temu Roti</v>
      </c>
      <c r="T389" s="2" t="str">
        <f>IFERROR(__xludf.DUMMYFUNCTION("""COMPUTED_VALUE"""),"Owner")</f>
        <v>Owner</v>
      </c>
      <c r="U389" s="2"/>
      <c r="V389" s="2"/>
      <c r="W389" s="2"/>
      <c r="X389" s="2" t="str">
        <f>IFERROR(__xludf.DUMMYFUNCTION("""COMPUTED_VALUE"""),"Closed")</f>
        <v>Closed</v>
      </c>
    </row>
    <row r="390">
      <c r="A390" s="3" t="s">
        <v>410</v>
      </c>
      <c r="B390" s="4">
        <f>IFERROR(__xludf.DUMMYFUNCTION("SPLIT(A390,"","",0,0)"),45556.799305555556)</f>
        <v>45556.79931</v>
      </c>
      <c r="C390" s="5">
        <f>IFERROR(__xludf.DUMMYFUNCTION("""COMPUTED_VALUE"""),2746291.0)</f>
        <v>2746291</v>
      </c>
      <c r="D390" s="2" t="str">
        <f>IFERROR(__xludf.DUMMYFUNCTION("""COMPUTED_VALUE"""),"Sale")</f>
        <v>Sale</v>
      </c>
      <c r="E390" s="2" t="str">
        <f>IFERROR(__xludf.DUMMYFUNCTION("""COMPUTED_VALUE"""),"Minuman")</f>
        <v>Minuman</v>
      </c>
      <c r="F390" s="2">
        <f>IFERROR(__xludf.DUMMYFUNCTION("""COMPUTED_VALUE"""),10112.0)</f>
        <v>10112</v>
      </c>
      <c r="G390" s="2" t="str">
        <f>IFERROR(__xludf.DUMMYFUNCTION("""COMPUTED_VALUE"""),"Air mineral")</f>
        <v>Air mineral</v>
      </c>
      <c r="H390" s="2"/>
      <c r="I390" s="2"/>
      <c r="J390" s="2">
        <f>IFERROR(__xludf.DUMMYFUNCTION("""COMPUTED_VALUE"""),1.0)</f>
        <v>1</v>
      </c>
      <c r="K390" s="6">
        <f>IFERROR(__xludf.DUMMYFUNCTION("""COMPUTED_VALUE"""),6667.0)</f>
        <v>6667</v>
      </c>
      <c r="L390" s="2">
        <f>IFERROR(__xludf.DUMMYFUNCTION("""COMPUTED_VALUE"""),0.0)</f>
        <v>0</v>
      </c>
      <c r="M390" s="2">
        <f>IFERROR(__xludf.DUMMYFUNCTION("""COMPUTED_VALUE"""),6667.0)</f>
        <v>6667</v>
      </c>
      <c r="N390" s="2">
        <f>IFERROR(__xludf.DUMMYFUNCTION("""COMPUTED_VALUE"""),0.0)</f>
        <v>0</v>
      </c>
      <c r="O390" s="2">
        <f>IFERROR(__xludf.DUMMYFUNCTION("""COMPUTED_VALUE"""),6667.0)</f>
        <v>6667</v>
      </c>
      <c r="P390" s="2">
        <f>IFERROR(__xludf.DUMMYFUNCTION("""COMPUTED_VALUE"""),333.0)</f>
        <v>333</v>
      </c>
      <c r="Q390" s="2" t="str">
        <f>IFERROR(__xludf.DUMMYFUNCTION("""COMPUTED_VALUE"""),"Dine In")</f>
        <v>Dine In</v>
      </c>
      <c r="R390" s="2" t="str">
        <f>IFERROR(__xludf.DUMMYFUNCTION("""COMPUTED_VALUE"""),"Kedai")</f>
        <v>Kedai</v>
      </c>
      <c r="S390" s="2" t="str">
        <f>IFERROR(__xludf.DUMMYFUNCTION("""COMPUTED_VALUE"""),"Temu Roti")</f>
        <v>Temu Roti</v>
      </c>
      <c r="T390" s="2" t="str">
        <f>IFERROR(__xludf.DUMMYFUNCTION("""COMPUTED_VALUE"""),"Owner")</f>
        <v>Owner</v>
      </c>
      <c r="U390" s="2"/>
      <c r="V390" s="2"/>
      <c r="W390" s="2"/>
      <c r="X390" s="2" t="str">
        <f>IFERROR(__xludf.DUMMYFUNCTION("""COMPUTED_VALUE"""),"Closed")</f>
        <v>Closed</v>
      </c>
    </row>
    <row r="391">
      <c r="A391" s="3" t="s">
        <v>411</v>
      </c>
      <c r="B391" s="4">
        <f>IFERROR(__xludf.DUMMYFUNCTION("SPLIT(A391,"","",0,0)"),45556.76527777778)</f>
        <v>45556.76528</v>
      </c>
      <c r="C391" s="5">
        <f>IFERROR(__xludf.DUMMYFUNCTION("""COMPUTED_VALUE"""),2745926.0)</f>
        <v>2745926</v>
      </c>
      <c r="D391" s="2" t="str">
        <f>IFERROR(__xludf.DUMMYFUNCTION("""COMPUTED_VALUE"""),"Sale")</f>
        <v>Sale</v>
      </c>
      <c r="E391" s="2" t="str">
        <f>IFERROR(__xludf.DUMMYFUNCTION("""COMPUTED_VALUE"""),"Minuman")</f>
        <v>Minuman</v>
      </c>
      <c r="F391" s="2">
        <f>IFERROR(__xludf.DUMMYFUNCTION("""COMPUTED_VALUE"""),10122.0)</f>
        <v>10122</v>
      </c>
      <c r="G391" s="2" t="str">
        <f>IFERROR(__xludf.DUMMYFUNCTION("""COMPUTED_VALUE"""),"Rempah Madu Panas")</f>
        <v>Rempah Madu Panas</v>
      </c>
      <c r="H391" s="2"/>
      <c r="I391" s="2"/>
      <c r="J391" s="2">
        <f>IFERROR(__xludf.DUMMYFUNCTION("""COMPUTED_VALUE"""),1.0)</f>
        <v>1</v>
      </c>
      <c r="K391" s="6">
        <f>IFERROR(__xludf.DUMMYFUNCTION("""COMPUTED_VALUE"""),21905.0)</f>
        <v>21905</v>
      </c>
      <c r="L391" s="2">
        <f>IFERROR(__xludf.DUMMYFUNCTION("""COMPUTED_VALUE"""),0.0)</f>
        <v>0</v>
      </c>
      <c r="M391" s="2">
        <f>IFERROR(__xludf.DUMMYFUNCTION("""COMPUTED_VALUE"""),21905.0)</f>
        <v>21905</v>
      </c>
      <c r="N391" s="2">
        <f>IFERROR(__xludf.DUMMYFUNCTION("""COMPUTED_VALUE"""),0.0)</f>
        <v>0</v>
      </c>
      <c r="O391" s="2">
        <f>IFERROR(__xludf.DUMMYFUNCTION("""COMPUTED_VALUE"""),21905.0)</f>
        <v>21905</v>
      </c>
      <c r="P391" s="2">
        <f>IFERROR(__xludf.DUMMYFUNCTION("""COMPUTED_VALUE"""),1095.0)</f>
        <v>1095</v>
      </c>
      <c r="Q391" s="2" t="str">
        <f>IFERROR(__xludf.DUMMYFUNCTION("""COMPUTED_VALUE"""),"Dine In")</f>
        <v>Dine In</v>
      </c>
      <c r="R391" s="2" t="str">
        <f>IFERROR(__xludf.DUMMYFUNCTION("""COMPUTED_VALUE"""),"Kedai")</f>
        <v>Kedai</v>
      </c>
      <c r="S391" s="2" t="str">
        <f>IFERROR(__xludf.DUMMYFUNCTION("""COMPUTED_VALUE"""),"Temu Roti")</f>
        <v>Temu Roti</v>
      </c>
      <c r="T391" s="2" t="str">
        <f>IFERROR(__xludf.DUMMYFUNCTION("""COMPUTED_VALUE"""),"Owner")</f>
        <v>Owner</v>
      </c>
      <c r="U391" s="2"/>
      <c r="V391" s="2"/>
      <c r="W391" s="2"/>
      <c r="X391" s="2" t="str">
        <f>IFERROR(__xludf.DUMMYFUNCTION("""COMPUTED_VALUE"""),"Closed")</f>
        <v>Closed</v>
      </c>
    </row>
    <row r="392">
      <c r="A392" s="3" t="s">
        <v>412</v>
      </c>
      <c r="B392" s="4">
        <f>IFERROR(__xludf.DUMMYFUNCTION("SPLIT(A392,"","",0,0)"),45556.76527777778)</f>
        <v>45556.76528</v>
      </c>
      <c r="C392" s="5">
        <f>IFERROR(__xludf.DUMMYFUNCTION("""COMPUTED_VALUE"""),2745926.0)</f>
        <v>2745926</v>
      </c>
      <c r="D392" s="2" t="str">
        <f>IFERROR(__xludf.DUMMYFUNCTION("""COMPUTED_VALUE"""),"Sale")</f>
        <v>Sale</v>
      </c>
      <c r="E392" s="2" t="str">
        <f>IFERROR(__xludf.DUMMYFUNCTION("""COMPUTED_VALUE"""),"Roti")</f>
        <v>Roti</v>
      </c>
      <c r="F392" s="2">
        <f>IFERROR(__xludf.DUMMYFUNCTION("""COMPUTED_VALUE"""),10055.0)</f>
        <v>10055</v>
      </c>
      <c r="G392" s="2" t="str">
        <f>IFERROR(__xludf.DUMMYFUNCTION("""COMPUTED_VALUE"""),"Roti Gandum Cokelat 2 pcs")</f>
        <v>Roti Gandum Cokelat 2 pcs</v>
      </c>
      <c r="H392" s="2"/>
      <c r="I392" s="2"/>
      <c r="J392" s="2">
        <f>IFERROR(__xludf.DUMMYFUNCTION("""COMPUTED_VALUE"""),1.0)</f>
        <v>1</v>
      </c>
      <c r="K392" s="6">
        <f>IFERROR(__xludf.DUMMYFUNCTION("""COMPUTED_VALUE"""),34762.0)</f>
        <v>34762</v>
      </c>
      <c r="L392" s="2">
        <f>IFERROR(__xludf.DUMMYFUNCTION("""COMPUTED_VALUE"""),0.0)</f>
        <v>0</v>
      </c>
      <c r="M392" s="2">
        <f>IFERROR(__xludf.DUMMYFUNCTION("""COMPUTED_VALUE"""),34762.0)</f>
        <v>34762</v>
      </c>
      <c r="N392" s="2">
        <f>IFERROR(__xludf.DUMMYFUNCTION("""COMPUTED_VALUE"""),0.0)</f>
        <v>0</v>
      </c>
      <c r="O392" s="2">
        <f>IFERROR(__xludf.DUMMYFUNCTION("""COMPUTED_VALUE"""),34762.0)</f>
        <v>34762</v>
      </c>
      <c r="P392" s="2">
        <f>IFERROR(__xludf.DUMMYFUNCTION("""COMPUTED_VALUE"""),1738.0)</f>
        <v>1738</v>
      </c>
      <c r="Q392" s="2" t="str">
        <f>IFERROR(__xludf.DUMMYFUNCTION("""COMPUTED_VALUE"""),"Dine In")</f>
        <v>Dine In</v>
      </c>
      <c r="R392" s="2" t="str">
        <f>IFERROR(__xludf.DUMMYFUNCTION("""COMPUTED_VALUE"""),"Kedai")</f>
        <v>Kedai</v>
      </c>
      <c r="S392" s="2" t="str">
        <f>IFERROR(__xludf.DUMMYFUNCTION("""COMPUTED_VALUE"""),"Temu Roti")</f>
        <v>Temu Roti</v>
      </c>
      <c r="T392" s="2" t="str">
        <f>IFERROR(__xludf.DUMMYFUNCTION("""COMPUTED_VALUE"""),"Owner")</f>
        <v>Owner</v>
      </c>
      <c r="U392" s="2"/>
      <c r="V392" s="2"/>
      <c r="W392" s="2"/>
      <c r="X392" s="2" t="str">
        <f>IFERROR(__xludf.DUMMYFUNCTION("""COMPUTED_VALUE"""),"Closed")</f>
        <v>Closed</v>
      </c>
    </row>
    <row r="393">
      <c r="A393" s="3" t="s">
        <v>413</v>
      </c>
      <c r="B393" s="4">
        <f>IFERROR(__xludf.DUMMYFUNCTION("SPLIT(A393,"","",0,0)"),45556.739583333336)</f>
        <v>45556.73958</v>
      </c>
      <c r="C393" s="5">
        <f>IFERROR(__xludf.DUMMYFUNCTION("""COMPUTED_VALUE"""),2745561.0)</f>
        <v>2745561</v>
      </c>
      <c r="D393" s="2" t="str">
        <f>IFERROR(__xludf.DUMMYFUNCTION("""COMPUTED_VALUE"""),"Sale")</f>
        <v>Sale</v>
      </c>
      <c r="E393" s="2" t="str">
        <f>IFERROR(__xludf.DUMMYFUNCTION("""COMPUTED_VALUE"""),"Hidangan Utama")</f>
        <v>Hidangan Utama</v>
      </c>
      <c r="F393" s="2">
        <f>IFERROR(__xludf.DUMMYFUNCTION("""COMPUTED_VALUE"""),10012.0)</f>
        <v>10012</v>
      </c>
      <c r="G393" s="2" t="str">
        <f>IFERROR(__xludf.DUMMYFUNCTION("""COMPUTED_VALUE"""),"Mie joglo")</f>
        <v>Mie joglo</v>
      </c>
      <c r="H393" s="2"/>
      <c r="I393" s="2"/>
      <c r="J393" s="2">
        <f>IFERROR(__xludf.DUMMYFUNCTION("""COMPUTED_VALUE"""),1.0)</f>
        <v>1</v>
      </c>
      <c r="K393" s="6">
        <f>IFERROR(__xludf.DUMMYFUNCTION("""COMPUTED_VALUE"""),29524.0)</f>
        <v>29524</v>
      </c>
      <c r="L393" s="2">
        <f>IFERROR(__xludf.DUMMYFUNCTION("""COMPUTED_VALUE"""),0.0)</f>
        <v>0</v>
      </c>
      <c r="M393" s="2">
        <f>IFERROR(__xludf.DUMMYFUNCTION("""COMPUTED_VALUE"""),29524.0)</f>
        <v>29524</v>
      </c>
      <c r="N393" s="2">
        <f>IFERROR(__xludf.DUMMYFUNCTION("""COMPUTED_VALUE"""),0.0)</f>
        <v>0</v>
      </c>
      <c r="O393" s="2">
        <f>IFERROR(__xludf.DUMMYFUNCTION("""COMPUTED_VALUE"""),29524.0)</f>
        <v>29524</v>
      </c>
      <c r="P393" s="2">
        <f>IFERROR(__xludf.DUMMYFUNCTION("""COMPUTED_VALUE"""),1476.0)</f>
        <v>1476</v>
      </c>
      <c r="Q393" s="2" t="str">
        <f>IFERROR(__xludf.DUMMYFUNCTION("""COMPUTED_VALUE"""),"Dine In")</f>
        <v>Dine In</v>
      </c>
      <c r="R393" s="2" t="str">
        <f>IFERROR(__xludf.DUMMYFUNCTION("""COMPUTED_VALUE"""),"Kedai")</f>
        <v>Kedai</v>
      </c>
      <c r="S393" s="2" t="str">
        <f>IFERROR(__xludf.DUMMYFUNCTION("""COMPUTED_VALUE"""),"Temu Roti")</f>
        <v>Temu Roti</v>
      </c>
      <c r="T393" s="2" t="str">
        <f>IFERROR(__xludf.DUMMYFUNCTION("""COMPUTED_VALUE"""),"Owner")</f>
        <v>Owner</v>
      </c>
      <c r="U393" s="2"/>
      <c r="V393" s="2"/>
      <c r="W393" s="2"/>
      <c r="X393" s="2" t="str">
        <f>IFERROR(__xludf.DUMMYFUNCTION("""COMPUTED_VALUE"""),"Closed")</f>
        <v>Closed</v>
      </c>
    </row>
    <row r="394">
      <c r="A394" s="3" t="s">
        <v>414</v>
      </c>
      <c r="B394" s="4">
        <f>IFERROR(__xludf.DUMMYFUNCTION("SPLIT(A394,"","",0,0)"),45556.739583333336)</f>
        <v>45556.73958</v>
      </c>
      <c r="C394" s="5">
        <f>IFERROR(__xludf.DUMMYFUNCTION("""COMPUTED_VALUE"""),2745561.0)</f>
        <v>2745561</v>
      </c>
      <c r="D394" s="2" t="str">
        <f>IFERROR(__xludf.DUMMYFUNCTION("""COMPUTED_VALUE"""),"Sale")</f>
        <v>Sale</v>
      </c>
      <c r="E394" s="2" t="str">
        <f>IFERROR(__xludf.DUMMYFUNCTION("""COMPUTED_VALUE"""),"Roti")</f>
        <v>Roti</v>
      </c>
      <c r="F394" s="2">
        <f>IFERROR(__xludf.DUMMYFUNCTION("""COMPUTED_VALUE"""),10002.0)</f>
        <v>10002</v>
      </c>
      <c r="G394" s="2" t="str">
        <f>IFERROR(__xludf.DUMMYFUNCTION("""COMPUTED_VALUE"""),"Roti Cranberry")</f>
        <v>Roti Cranberry</v>
      </c>
      <c r="H394" s="2"/>
      <c r="I394" s="2"/>
      <c r="J394" s="2">
        <f>IFERROR(__xludf.DUMMYFUNCTION("""COMPUTED_VALUE"""),1.0)</f>
        <v>1</v>
      </c>
      <c r="K394" s="6">
        <f>IFERROR(__xludf.DUMMYFUNCTION("""COMPUTED_VALUE"""),18571.0)</f>
        <v>18571</v>
      </c>
      <c r="L394" s="2">
        <f>IFERROR(__xludf.DUMMYFUNCTION("""COMPUTED_VALUE"""),0.0)</f>
        <v>0</v>
      </c>
      <c r="M394" s="2">
        <f>IFERROR(__xludf.DUMMYFUNCTION("""COMPUTED_VALUE"""),18571.0)</f>
        <v>18571</v>
      </c>
      <c r="N394" s="2">
        <f>IFERROR(__xludf.DUMMYFUNCTION("""COMPUTED_VALUE"""),0.0)</f>
        <v>0</v>
      </c>
      <c r="O394" s="2">
        <f>IFERROR(__xludf.DUMMYFUNCTION("""COMPUTED_VALUE"""),18571.0)</f>
        <v>18571</v>
      </c>
      <c r="P394" s="2">
        <f>IFERROR(__xludf.DUMMYFUNCTION("""COMPUTED_VALUE"""),929.0)</f>
        <v>929</v>
      </c>
      <c r="Q394" s="2" t="str">
        <f>IFERROR(__xludf.DUMMYFUNCTION("""COMPUTED_VALUE"""),"Dine In")</f>
        <v>Dine In</v>
      </c>
      <c r="R394" s="2" t="str">
        <f>IFERROR(__xludf.DUMMYFUNCTION("""COMPUTED_VALUE"""),"Kedai")</f>
        <v>Kedai</v>
      </c>
      <c r="S394" s="2" t="str">
        <f>IFERROR(__xludf.DUMMYFUNCTION("""COMPUTED_VALUE"""),"Temu Roti")</f>
        <v>Temu Roti</v>
      </c>
      <c r="T394" s="2" t="str">
        <f>IFERROR(__xludf.DUMMYFUNCTION("""COMPUTED_VALUE"""),"Owner")</f>
        <v>Owner</v>
      </c>
      <c r="U394" s="2"/>
      <c r="V394" s="2"/>
      <c r="W394" s="2"/>
      <c r="X394" s="2" t="str">
        <f>IFERROR(__xludf.DUMMYFUNCTION("""COMPUTED_VALUE"""),"Closed")</f>
        <v>Closed</v>
      </c>
    </row>
    <row r="395">
      <c r="A395" s="3" t="s">
        <v>415</v>
      </c>
      <c r="B395" s="4">
        <f>IFERROR(__xludf.DUMMYFUNCTION("SPLIT(A395,"","",0,0)"),45556.739583333336)</f>
        <v>45556.73958</v>
      </c>
      <c r="C395" s="5">
        <f>IFERROR(__xludf.DUMMYFUNCTION("""COMPUTED_VALUE"""),2745561.0)</f>
        <v>2745561</v>
      </c>
      <c r="D395" s="2" t="str">
        <f>IFERROR(__xludf.DUMMYFUNCTION("""COMPUTED_VALUE"""),"Sale")</f>
        <v>Sale</v>
      </c>
      <c r="E395" s="2" t="str">
        <f>IFERROR(__xludf.DUMMYFUNCTION("""COMPUTED_VALUE"""),"Roti")</f>
        <v>Roti</v>
      </c>
      <c r="F395" s="2">
        <f>IFERROR(__xludf.DUMMYFUNCTION("""COMPUTED_VALUE"""),10005.0)</f>
        <v>10005</v>
      </c>
      <c r="G395" s="2" t="str">
        <f>IFERROR(__xludf.DUMMYFUNCTION("""COMPUTED_VALUE"""),"Roti Gandum Cokelat")</f>
        <v>Roti Gandum Cokelat</v>
      </c>
      <c r="H395" s="2"/>
      <c r="I395" s="2"/>
      <c r="J395" s="2">
        <f>IFERROR(__xludf.DUMMYFUNCTION("""COMPUTED_VALUE"""),1.0)</f>
        <v>1</v>
      </c>
      <c r="K395" s="6">
        <f>IFERROR(__xludf.DUMMYFUNCTION("""COMPUTED_VALUE"""),19524.0)</f>
        <v>19524</v>
      </c>
      <c r="L395" s="2">
        <f>IFERROR(__xludf.DUMMYFUNCTION("""COMPUTED_VALUE"""),0.0)</f>
        <v>0</v>
      </c>
      <c r="M395" s="2">
        <f>IFERROR(__xludf.DUMMYFUNCTION("""COMPUTED_VALUE"""),19524.0)</f>
        <v>19524</v>
      </c>
      <c r="N395" s="2">
        <f>IFERROR(__xludf.DUMMYFUNCTION("""COMPUTED_VALUE"""),0.0)</f>
        <v>0</v>
      </c>
      <c r="O395" s="2">
        <f>IFERROR(__xludf.DUMMYFUNCTION("""COMPUTED_VALUE"""),19524.0)</f>
        <v>19524</v>
      </c>
      <c r="P395" s="2">
        <f>IFERROR(__xludf.DUMMYFUNCTION("""COMPUTED_VALUE"""),976.0)</f>
        <v>976</v>
      </c>
      <c r="Q395" s="2" t="str">
        <f>IFERROR(__xludf.DUMMYFUNCTION("""COMPUTED_VALUE"""),"Dine In")</f>
        <v>Dine In</v>
      </c>
      <c r="R395" s="2" t="str">
        <f>IFERROR(__xludf.DUMMYFUNCTION("""COMPUTED_VALUE"""),"Kedai")</f>
        <v>Kedai</v>
      </c>
      <c r="S395" s="2" t="str">
        <f>IFERROR(__xludf.DUMMYFUNCTION("""COMPUTED_VALUE"""),"Temu Roti")</f>
        <v>Temu Roti</v>
      </c>
      <c r="T395" s="2" t="str">
        <f>IFERROR(__xludf.DUMMYFUNCTION("""COMPUTED_VALUE"""),"Owner")</f>
        <v>Owner</v>
      </c>
      <c r="U395" s="2"/>
      <c r="V395" s="2"/>
      <c r="W395" s="2"/>
      <c r="X395" s="2" t="str">
        <f>IFERROR(__xludf.DUMMYFUNCTION("""COMPUTED_VALUE"""),"Closed")</f>
        <v>Closed</v>
      </c>
    </row>
    <row r="396">
      <c r="A396" s="3" t="s">
        <v>416</v>
      </c>
      <c r="B396" s="4">
        <f>IFERROR(__xludf.DUMMYFUNCTION("SPLIT(A396,"","",0,0)"),45556.739583333336)</f>
        <v>45556.73958</v>
      </c>
      <c r="C396" s="5">
        <f>IFERROR(__xludf.DUMMYFUNCTION("""COMPUTED_VALUE"""),2745561.0)</f>
        <v>2745561</v>
      </c>
      <c r="D396" s="2" t="str">
        <f>IFERROR(__xludf.DUMMYFUNCTION("""COMPUTED_VALUE"""),"Sale")</f>
        <v>Sale</v>
      </c>
      <c r="E396" s="2" t="str">
        <f>IFERROR(__xludf.DUMMYFUNCTION("""COMPUTED_VALUE"""),"Minuman")</f>
        <v>Minuman</v>
      </c>
      <c r="F396" s="2">
        <f>IFERROR(__xludf.DUMMYFUNCTION("""COMPUTED_VALUE"""),10118.0)</f>
        <v>10118</v>
      </c>
      <c r="G396" s="2" t="str">
        <f>IFERROR(__xludf.DUMMYFUNCTION("""COMPUTED_VALUE"""),"Teh Tawar Panas")</f>
        <v>Teh Tawar Panas</v>
      </c>
      <c r="H396" s="2"/>
      <c r="I396" s="2"/>
      <c r="J396" s="2">
        <f>IFERROR(__xludf.DUMMYFUNCTION("""COMPUTED_VALUE"""),1.0)</f>
        <v>1</v>
      </c>
      <c r="K396" s="6">
        <f>IFERROR(__xludf.DUMMYFUNCTION("""COMPUTED_VALUE"""),7143.0)</f>
        <v>7143</v>
      </c>
      <c r="L396" s="2">
        <f>IFERROR(__xludf.DUMMYFUNCTION("""COMPUTED_VALUE"""),0.0)</f>
        <v>0</v>
      </c>
      <c r="M396" s="2">
        <f>IFERROR(__xludf.DUMMYFUNCTION("""COMPUTED_VALUE"""),7143.0)</f>
        <v>7143</v>
      </c>
      <c r="N396" s="2">
        <f>IFERROR(__xludf.DUMMYFUNCTION("""COMPUTED_VALUE"""),0.0)</f>
        <v>0</v>
      </c>
      <c r="O396" s="2">
        <f>IFERROR(__xludf.DUMMYFUNCTION("""COMPUTED_VALUE"""),7143.0)</f>
        <v>7143</v>
      </c>
      <c r="P396" s="2">
        <f>IFERROR(__xludf.DUMMYFUNCTION("""COMPUTED_VALUE"""),357.0)</f>
        <v>357</v>
      </c>
      <c r="Q396" s="2" t="str">
        <f>IFERROR(__xludf.DUMMYFUNCTION("""COMPUTED_VALUE"""),"Dine In")</f>
        <v>Dine In</v>
      </c>
      <c r="R396" s="2" t="str">
        <f>IFERROR(__xludf.DUMMYFUNCTION("""COMPUTED_VALUE"""),"Kedai")</f>
        <v>Kedai</v>
      </c>
      <c r="S396" s="2" t="str">
        <f>IFERROR(__xludf.DUMMYFUNCTION("""COMPUTED_VALUE"""),"Temu Roti")</f>
        <v>Temu Roti</v>
      </c>
      <c r="T396" s="2" t="str">
        <f>IFERROR(__xludf.DUMMYFUNCTION("""COMPUTED_VALUE"""),"Owner")</f>
        <v>Owner</v>
      </c>
      <c r="U396" s="2"/>
      <c r="V396" s="2"/>
      <c r="W396" s="2"/>
      <c r="X396" s="2" t="str">
        <f>IFERROR(__xludf.DUMMYFUNCTION("""COMPUTED_VALUE"""),"Closed")</f>
        <v>Closed</v>
      </c>
    </row>
    <row r="397">
      <c r="A397" s="3" t="s">
        <v>417</v>
      </c>
      <c r="B397" s="4">
        <f>IFERROR(__xludf.DUMMYFUNCTION("SPLIT(A397,"","",0,0)"),45556.739583333336)</f>
        <v>45556.73958</v>
      </c>
      <c r="C397" s="5">
        <f>IFERROR(__xludf.DUMMYFUNCTION("""COMPUTED_VALUE"""),2745561.0)</f>
        <v>2745561</v>
      </c>
      <c r="D397" s="2" t="str">
        <f>IFERROR(__xludf.DUMMYFUNCTION("""COMPUTED_VALUE"""),"Sale")</f>
        <v>Sale</v>
      </c>
      <c r="E397" s="2" t="str">
        <f>IFERROR(__xludf.DUMMYFUNCTION("""COMPUTED_VALUE"""),"Minuman")</f>
        <v>Minuman</v>
      </c>
      <c r="F397" s="2">
        <f>IFERROR(__xludf.DUMMYFUNCTION("""COMPUTED_VALUE"""),10122.0)</f>
        <v>10122</v>
      </c>
      <c r="G397" s="2" t="str">
        <f>IFERROR(__xludf.DUMMYFUNCTION("""COMPUTED_VALUE"""),"Rempah Madu Panas")</f>
        <v>Rempah Madu Panas</v>
      </c>
      <c r="H397" s="2"/>
      <c r="I397" s="2"/>
      <c r="J397" s="2">
        <f>IFERROR(__xludf.DUMMYFUNCTION("""COMPUTED_VALUE"""),1.0)</f>
        <v>1</v>
      </c>
      <c r="K397" s="6">
        <f>IFERROR(__xludf.DUMMYFUNCTION("""COMPUTED_VALUE"""),21905.0)</f>
        <v>21905</v>
      </c>
      <c r="L397" s="2">
        <f>IFERROR(__xludf.DUMMYFUNCTION("""COMPUTED_VALUE"""),0.0)</f>
        <v>0</v>
      </c>
      <c r="M397" s="2">
        <f>IFERROR(__xludf.DUMMYFUNCTION("""COMPUTED_VALUE"""),21905.0)</f>
        <v>21905</v>
      </c>
      <c r="N397" s="2">
        <f>IFERROR(__xludf.DUMMYFUNCTION("""COMPUTED_VALUE"""),0.0)</f>
        <v>0</v>
      </c>
      <c r="O397" s="2">
        <f>IFERROR(__xludf.DUMMYFUNCTION("""COMPUTED_VALUE"""),21905.0)</f>
        <v>21905</v>
      </c>
      <c r="P397" s="2">
        <f>IFERROR(__xludf.DUMMYFUNCTION("""COMPUTED_VALUE"""),1095.0)</f>
        <v>1095</v>
      </c>
      <c r="Q397" s="2" t="str">
        <f>IFERROR(__xludf.DUMMYFUNCTION("""COMPUTED_VALUE"""),"Dine In")</f>
        <v>Dine In</v>
      </c>
      <c r="R397" s="2" t="str">
        <f>IFERROR(__xludf.DUMMYFUNCTION("""COMPUTED_VALUE"""),"Kedai")</f>
        <v>Kedai</v>
      </c>
      <c r="S397" s="2" t="str">
        <f>IFERROR(__xludf.DUMMYFUNCTION("""COMPUTED_VALUE"""),"Temu Roti")</f>
        <v>Temu Roti</v>
      </c>
      <c r="T397" s="2" t="str">
        <f>IFERROR(__xludf.DUMMYFUNCTION("""COMPUTED_VALUE"""),"Owner")</f>
        <v>Owner</v>
      </c>
      <c r="U397" s="2"/>
      <c r="V397" s="2"/>
      <c r="W397" s="2"/>
      <c r="X397" s="2" t="str">
        <f>IFERROR(__xludf.DUMMYFUNCTION("""COMPUTED_VALUE"""),"Closed")</f>
        <v>Closed</v>
      </c>
    </row>
    <row r="398">
      <c r="A398" s="3" t="s">
        <v>418</v>
      </c>
      <c r="B398" s="4">
        <f>IFERROR(__xludf.DUMMYFUNCTION("SPLIT(A398,"","",0,0)"),45556.72638888889)</f>
        <v>45556.72639</v>
      </c>
      <c r="C398" s="5">
        <f>IFERROR(__xludf.DUMMYFUNCTION("""COMPUTED_VALUE"""),2745195.0)</f>
        <v>2745195</v>
      </c>
      <c r="D398" s="2" t="str">
        <f>IFERROR(__xludf.DUMMYFUNCTION("""COMPUTED_VALUE"""),"Sale")</f>
        <v>Sale</v>
      </c>
      <c r="E398" s="2" t="str">
        <f>IFERROR(__xludf.DUMMYFUNCTION("""COMPUTED_VALUE"""),"Minuman")</f>
        <v>Minuman</v>
      </c>
      <c r="F398" s="2">
        <f>IFERROR(__xludf.DUMMYFUNCTION("""COMPUTED_VALUE"""),10026.0)</f>
        <v>10026</v>
      </c>
      <c r="G398" s="2" t="str">
        <f>IFERROR(__xludf.DUMMYFUNCTION("""COMPUTED_VALUE"""),"Es Kopi Lemon")</f>
        <v>Es Kopi Lemon</v>
      </c>
      <c r="H398" s="2"/>
      <c r="I398" s="2"/>
      <c r="J398" s="2">
        <f>IFERROR(__xludf.DUMMYFUNCTION("""COMPUTED_VALUE"""),1.0)</f>
        <v>1</v>
      </c>
      <c r="K398" s="6">
        <f>IFERROR(__xludf.DUMMYFUNCTION("""COMPUTED_VALUE"""),21905.0)</f>
        <v>21905</v>
      </c>
      <c r="L398" s="2">
        <f>IFERROR(__xludf.DUMMYFUNCTION("""COMPUTED_VALUE"""),0.0)</f>
        <v>0</v>
      </c>
      <c r="M398" s="2">
        <f>IFERROR(__xludf.DUMMYFUNCTION("""COMPUTED_VALUE"""),21905.0)</f>
        <v>21905</v>
      </c>
      <c r="N398" s="2">
        <f>IFERROR(__xludf.DUMMYFUNCTION("""COMPUTED_VALUE"""),0.0)</f>
        <v>0</v>
      </c>
      <c r="O398" s="2">
        <f>IFERROR(__xludf.DUMMYFUNCTION("""COMPUTED_VALUE"""),21905.0)</f>
        <v>21905</v>
      </c>
      <c r="P398" s="2">
        <f>IFERROR(__xludf.DUMMYFUNCTION("""COMPUTED_VALUE"""),1095.0)</f>
        <v>1095</v>
      </c>
      <c r="Q398" s="2" t="str">
        <f>IFERROR(__xludf.DUMMYFUNCTION("""COMPUTED_VALUE"""),"Dine In")</f>
        <v>Dine In</v>
      </c>
      <c r="R398" s="2" t="str">
        <f>IFERROR(__xludf.DUMMYFUNCTION("""COMPUTED_VALUE"""),"Kedai")</f>
        <v>Kedai</v>
      </c>
      <c r="S398" s="2" t="str">
        <f>IFERROR(__xludf.DUMMYFUNCTION("""COMPUTED_VALUE"""),"Temu Roti")</f>
        <v>Temu Roti</v>
      </c>
      <c r="T398" s="2" t="str">
        <f>IFERROR(__xludf.DUMMYFUNCTION("""COMPUTED_VALUE"""),"Owner")</f>
        <v>Owner</v>
      </c>
      <c r="U398" s="2"/>
      <c r="V398" s="2"/>
      <c r="W398" s="2"/>
      <c r="X398" s="2" t="str">
        <f>IFERROR(__xludf.DUMMYFUNCTION("""COMPUTED_VALUE"""),"Closed")</f>
        <v>Closed</v>
      </c>
    </row>
    <row r="399">
      <c r="A399" s="3" t="s">
        <v>419</v>
      </c>
      <c r="B399" s="4">
        <f>IFERROR(__xludf.DUMMYFUNCTION("SPLIT(A399,"","",0,0)"),45556.72638888889)</f>
        <v>45556.72639</v>
      </c>
      <c r="C399" s="5">
        <f>IFERROR(__xludf.DUMMYFUNCTION("""COMPUTED_VALUE"""),2745195.0)</f>
        <v>2745195</v>
      </c>
      <c r="D399" s="2" t="str">
        <f>IFERROR(__xludf.DUMMYFUNCTION("""COMPUTED_VALUE"""),"Sale")</f>
        <v>Sale</v>
      </c>
      <c r="E399" s="2" t="str">
        <f>IFERROR(__xludf.DUMMYFUNCTION("""COMPUTED_VALUE"""),"Roti")</f>
        <v>Roti</v>
      </c>
      <c r="F399" s="2">
        <f>IFERROR(__xludf.DUMMYFUNCTION("""COMPUTED_VALUE"""),10033.0)</f>
        <v>10033</v>
      </c>
      <c r="G399" s="2" t="str">
        <f>IFERROR(__xludf.DUMMYFUNCTION("""COMPUTED_VALUE"""),"Roti panggang sarikaya")</f>
        <v>Roti panggang sarikaya</v>
      </c>
      <c r="H399" s="2"/>
      <c r="I399" s="2"/>
      <c r="J399" s="2">
        <f>IFERROR(__xludf.DUMMYFUNCTION("""COMPUTED_VALUE"""),1.0)</f>
        <v>1</v>
      </c>
      <c r="K399" s="6">
        <f>IFERROR(__xludf.DUMMYFUNCTION("""COMPUTED_VALUE"""),21905.0)</f>
        <v>21905</v>
      </c>
      <c r="L399" s="2">
        <f>IFERROR(__xludf.DUMMYFUNCTION("""COMPUTED_VALUE"""),0.0)</f>
        <v>0</v>
      </c>
      <c r="M399" s="2">
        <f>IFERROR(__xludf.DUMMYFUNCTION("""COMPUTED_VALUE"""),21905.0)</f>
        <v>21905</v>
      </c>
      <c r="N399" s="2">
        <f>IFERROR(__xludf.DUMMYFUNCTION("""COMPUTED_VALUE"""),0.0)</f>
        <v>0</v>
      </c>
      <c r="O399" s="2">
        <f>IFERROR(__xludf.DUMMYFUNCTION("""COMPUTED_VALUE"""),21905.0)</f>
        <v>21905</v>
      </c>
      <c r="P399" s="2">
        <f>IFERROR(__xludf.DUMMYFUNCTION("""COMPUTED_VALUE"""),1096.0)</f>
        <v>1096</v>
      </c>
      <c r="Q399" s="2" t="str">
        <f>IFERROR(__xludf.DUMMYFUNCTION("""COMPUTED_VALUE"""),"Dine In")</f>
        <v>Dine In</v>
      </c>
      <c r="R399" s="2" t="str">
        <f>IFERROR(__xludf.DUMMYFUNCTION("""COMPUTED_VALUE"""),"Kedai")</f>
        <v>Kedai</v>
      </c>
      <c r="S399" s="2" t="str">
        <f>IFERROR(__xludf.DUMMYFUNCTION("""COMPUTED_VALUE"""),"Temu Roti")</f>
        <v>Temu Roti</v>
      </c>
      <c r="T399" s="2" t="str">
        <f>IFERROR(__xludf.DUMMYFUNCTION("""COMPUTED_VALUE"""),"Owner")</f>
        <v>Owner</v>
      </c>
      <c r="U399" s="2"/>
      <c r="V399" s="2"/>
      <c r="W399" s="2"/>
      <c r="X399" s="2" t="str">
        <f>IFERROR(__xludf.DUMMYFUNCTION("""COMPUTED_VALUE"""),"Closed")</f>
        <v>Closed</v>
      </c>
    </row>
    <row r="400">
      <c r="A400" s="3" t="s">
        <v>420</v>
      </c>
      <c r="B400" s="4">
        <f>IFERROR(__xludf.DUMMYFUNCTION("SPLIT(A400,"","",0,0)"),45556.72638888889)</f>
        <v>45556.72639</v>
      </c>
      <c r="C400" s="5">
        <f>IFERROR(__xludf.DUMMYFUNCTION("""COMPUTED_VALUE"""),2745195.0)</f>
        <v>2745195</v>
      </c>
      <c r="D400" s="2" t="str">
        <f>IFERROR(__xludf.DUMMYFUNCTION("""COMPUTED_VALUE"""),"Sale")</f>
        <v>Sale</v>
      </c>
      <c r="E400" s="2" t="str">
        <f>IFERROR(__xludf.DUMMYFUNCTION("""COMPUTED_VALUE"""),"Minuman")</f>
        <v>Minuman</v>
      </c>
      <c r="F400" s="2">
        <f>IFERROR(__xludf.DUMMYFUNCTION("""COMPUTED_VALUE"""),10128.0)</f>
        <v>10128</v>
      </c>
      <c r="G400" s="2" t="str">
        <f>IFERROR(__xludf.DUMMYFUNCTION("""COMPUTED_VALUE"""),"Es Kopi Susu")</f>
        <v>Es Kopi Susu</v>
      </c>
      <c r="H400" s="2"/>
      <c r="I400" s="2"/>
      <c r="J400" s="2">
        <f>IFERROR(__xludf.DUMMYFUNCTION("""COMPUTED_VALUE"""),1.0)</f>
        <v>1</v>
      </c>
      <c r="K400" s="6">
        <f>IFERROR(__xludf.DUMMYFUNCTION("""COMPUTED_VALUE"""),23333.0)</f>
        <v>23333</v>
      </c>
      <c r="L400" s="2">
        <f>IFERROR(__xludf.DUMMYFUNCTION("""COMPUTED_VALUE"""),0.0)</f>
        <v>0</v>
      </c>
      <c r="M400" s="2">
        <f>IFERROR(__xludf.DUMMYFUNCTION("""COMPUTED_VALUE"""),23333.0)</f>
        <v>23333</v>
      </c>
      <c r="N400" s="2">
        <f>IFERROR(__xludf.DUMMYFUNCTION("""COMPUTED_VALUE"""),0.0)</f>
        <v>0</v>
      </c>
      <c r="O400" s="2">
        <f>IFERROR(__xludf.DUMMYFUNCTION("""COMPUTED_VALUE"""),23333.0)</f>
        <v>23333</v>
      </c>
      <c r="P400" s="2">
        <f>IFERROR(__xludf.DUMMYFUNCTION("""COMPUTED_VALUE"""),1166.0)</f>
        <v>1166</v>
      </c>
      <c r="Q400" s="2" t="str">
        <f>IFERROR(__xludf.DUMMYFUNCTION("""COMPUTED_VALUE"""),"Dine In")</f>
        <v>Dine In</v>
      </c>
      <c r="R400" s="2" t="str">
        <f>IFERROR(__xludf.DUMMYFUNCTION("""COMPUTED_VALUE"""),"Kedai")</f>
        <v>Kedai</v>
      </c>
      <c r="S400" s="2" t="str">
        <f>IFERROR(__xludf.DUMMYFUNCTION("""COMPUTED_VALUE"""),"Temu Roti")</f>
        <v>Temu Roti</v>
      </c>
      <c r="T400" s="2" t="str">
        <f>IFERROR(__xludf.DUMMYFUNCTION("""COMPUTED_VALUE"""),"Owner")</f>
        <v>Owner</v>
      </c>
      <c r="U400" s="2"/>
      <c r="V400" s="2"/>
      <c r="W400" s="2"/>
      <c r="X400" s="2" t="str">
        <f>IFERROR(__xludf.DUMMYFUNCTION("""COMPUTED_VALUE"""),"Closed")</f>
        <v>Closed</v>
      </c>
    </row>
    <row r="401">
      <c r="A401" s="3" t="s">
        <v>421</v>
      </c>
      <c r="B401" s="4">
        <f>IFERROR(__xludf.DUMMYFUNCTION("SPLIT(A401,"","",0,0)"),45556.71944444445)</f>
        <v>45556.71944</v>
      </c>
      <c r="C401" s="5">
        <f>IFERROR(__xludf.DUMMYFUNCTION("""COMPUTED_VALUE"""),2744830.0)</f>
        <v>2744830</v>
      </c>
      <c r="D401" s="2" t="str">
        <f>IFERROR(__xludf.DUMMYFUNCTION("""COMPUTED_VALUE"""),"Sale")</f>
        <v>Sale</v>
      </c>
      <c r="E401" s="2" t="str">
        <f>IFERROR(__xludf.DUMMYFUNCTION("""COMPUTED_VALUE"""),"Roti")</f>
        <v>Roti</v>
      </c>
      <c r="F401" s="2">
        <f>IFERROR(__xludf.DUMMYFUNCTION("""COMPUTED_VALUE"""),10054.0)</f>
        <v>10054</v>
      </c>
      <c r="G401" s="2" t="str">
        <f>IFERROR(__xludf.DUMMYFUNCTION("""COMPUTED_VALUE"""),"Roti toast eskrim")</f>
        <v>Roti toast eskrim</v>
      </c>
      <c r="H401" s="2"/>
      <c r="I401" s="2"/>
      <c r="J401" s="2">
        <f>IFERROR(__xludf.DUMMYFUNCTION("""COMPUTED_VALUE"""),1.0)</f>
        <v>1</v>
      </c>
      <c r="K401" s="6">
        <f>IFERROR(__xludf.DUMMYFUNCTION("""COMPUTED_VALUE"""),25238.0)</f>
        <v>25238</v>
      </c>
      <c r="L401" s="2">
        <f>IFERROR(__xludf.DUMMYFUNCTION("""COMPUTED_VALUE"""),0.0)</f>
        <v>0</v>
      </c>
      <c r="M401" s="2">
        <f>IFERROR(__xludf.DUMMYFUNCTION("""COMPUTED_VALUE"""),25238.0)</f>
        <v>25238</v>
      </c>
      <c r="N401" s="2">
        <f>IFERROR(__xludf.DUMMYFUNCTION("""COMPUTED_VALUE"""),0.0)</f>
        <v>0</v>
      </c>
      <c r="O401" s="2">
        <f>IFERROR(__xludf.DUMMYFUNCTION("""COMPUTED_VALUE"""),25238.0)</f>
        <v>25238</v>
      </c>
      <c r="P401" s="2">
        <f>IFERROR(__xludf.DUMMYFUNCTION("""COMPUTED_VALUE"""),1262.0)</f>
        <v>1262</v>
      </c>
      <c r="Q401" s="2" t="str">
        <f>IFERROR(__xludf.DUMMYFUNCTION("""COMPUTED_VALUE"""),"Dine In")</f>
        <v>Dine In</v>
      </c>
      <c r="R401" s="2" t="str">
        <f>IFERROR(__xludf.DUMMYFUNCTION("""COMPUTED_VALUE"""),"Kedai")</f>
        <v>Kedai</v>
      </c>
      <c r="S401" s="2" t="str">
        <f>IFERROR(__xludf.DUMMYFUNCTION("""COMPUTED_VALUE"""),"Temu Roti")</f>
        <v>Temu Roti</v>
      </c>
      <c r="T401" s="2" t="str">
        <f>IFERROR(__xludf.DUMMYFUNCTION("""COMPUTED_VALUE"""),"Owner")</f>
        <v>Owner</v>
      </c>
      <c r="U401" s="2"/>
      <c r="V401" s="2"/>
      <c r="W401" s="2"/>
      <c r="X401" s="2" t="str">
        <f>IFERROR(__xludf.DUMMYFUNCTION("""COMPUTED_VALUE"""),"Closed")</f>
        <v>Closed</v>
      </c>
    </row>
    <row r="402">
      <c r="A402" s="3" t="s">
        <v>422</v>
      </c>
      <c r="B402" s="4">
        <f>IFERROR(__xludf.DUMMYFUNCTION("SPLIT(A402,"","",0,0)"),45556.71944444445)</f>
        <v>45556.71944</v>
      </c>
      <c r="C402" s="5">
        <f>IFERROR(__xludf.DUMMYFUNCTION("""COMPUTED_VALUE"""),2744830.0)</f>
        <v>2744830</v>
      </c>
      <c r="D402" s="2" t="str">
        <f>IFERROR(__xludf.DUMMYFUNCTION("""COMPUTED_VALUE"""),"Sale")</f>
        <v>Sale</v>
      </c>
      <c r="E402" s="2" t="str">
        <f>IFERROR(__xludf.DUMMYFUNCTION("""COMPUTED_VALUE"""),"Kudapan")</f>
        <v>Kudapan</v>
      </c>
      <c r="F402" s="2">
        <f>IFERROR(__xludf.DUMMYFUNCTION("""COMPUTED_VALUE"""),10014.0)</f>
        <v>10014</v>
      </c>
      <c r="G402" s="2" t="str">
        <f>IFERROR(__xludf.DUMMYFUNCTION("""COMPUTED_VALUE"""),"Tempe Mendoan")</f>
        <v>Tempe Mendoan</v>
      </c>
      <c r="H402" s="2"/>
      <c r="I402" s="2"/>
      <c r="J402" s="2">
        <f>IFERROR(__xludf.DUMMYFUNCTION("""COMPUTED_VALUE"""),1.0)</f>
        <v>1</v>
      </c>
      <c r="K402" s="6">
        <f>IFERROR(__xludf.DUMMYFUNCTION("""COMPUTED_VALUE"""),25238.0)</f>
        <v>25238</v>
      </c>
      <c r="L402" s="2">
        <f>IFERROR(__xludf.DUMMYFUNCTION("""COMPUTED_VALUE"""),0.0)</f>
        <v>0</v>
      </c>
      <c r="M402" s="2">
        <f>IFERROR(__xludf.DUMMYFUNCTION("""COMPUTED_VALUE"""),25238.0)</f>
        <v>25238</v>
      </c>
      <c r="N402" s="2">
        <f>IFERROR(__xludf.DUMMYFUNCTION("""COMPUTED_VALUE"""),0.0)</f>
        <v>0</v>
      </c>
      <c r="O402" s="2">
        <f>IFERROR(__xludf.DUMMYFUNCTION("""COMPUTED_VALUE"""),25238.0)</f>
        <v>25238</v>
      </c>
      <c r="P402" s="2">
        <f>IFERROR(__xludf.DUMMYFUNCTION("""COMPUTED_VALUE"""),1262.0)</f>
        <v>1262</v>
      </c>
      <c r="Q402" s="2" t="str">
        <f>IFERROR(__xludf.DUMMYFUNCTION("""COMPUTED_VALUE"""),"Dine In")</f>
        <v>Dine In</v>
      </c>
      <c r="R402" s="2" t="str">
        <f>IFERROR(__xludf.DUMMYFUNCTION("""COMPUTED_VALUE"""),"Kedai")</f>
        <v>Kedai</v>
      </c>
      <c r="S402" s="2" t="str">
        <f>IFERROR(__xludf.DUMMYFUNCTION("""COMPUTED_VALUE"""),"Temu Roti")</f>
        <v>Temu Roti</v>
      </c>
      <c r="T402" s="2" t="str">
        <f>IFERROR(__xludf.DUMMYFUNCTION("""COMPUTED_VALUE"""),"Owner")</f>
        <v>Owner</v>
      </c>
      <c r="U402" s="2"/>
      <c r="V402" s="2"/>
      <c r="W402" s="2"/>
      <c r="X402" s="2" t="str">
        <f>IFERROR(__xludf.DUMMYFUNCTION("""COMPUTED_VALUE"""),"Closed")</f>
        <v>Closed</v>
      </c>
    </row>
    <row r="403">
      <c r="A403" s="3" t="s">
        <v>423</v>
      </c>
      <c r="B403" s="4">
        <f>IFERROR(__xludf.DUMMYFUNCTION("SPLIT(A403,"","",0,0)"),45556.71944444445)</f>
        <v>45556.71944</v>
      </c>
      <c r="C403" s="5">
        <f>IFERROR(__xludf.DUMMYFUNCTION("""COMPUTED_VALUE"""),2744830.0)</f>
        <v>2744830</v>
      </c>
      <c r="D403" s="2" t="str">
        <f>IFERROR(__xludf.DUMMYFUNCTION("""COMPUTED_VALUE"""),"Sale")</f>
        <v>Sale</v>
      </c>
      <c r="E403" s="2" t="str">
        <f>IFERROR(__xludf.DUMMYFUNCTION("""COMPUTED_VALUE"""),"Minuman")</f>
        <v>Minuman</v>
      </c>
      <c r="F403" s="2">
        <f>IFERROR(__xludf.DUMMYFUNCTION("""COMPUTED_VALUE"""),10119.0)</f>
        <v>10119</v>
      </c>
      <c r="G403" s="2" t="str">
        <f>IFERROR(__xludf.DUMMYFUNCTION("""COMPUTED_VALUE"""),"Teh Tawar Dingin")</f>
        <v>Teh Tawar Dingin</v>
      </c>
      <c r="H403" s="2"/>
      <c r="I403" s="2"/>
      <c r="J403" s="2">
        <f>IFERROR(__xludf.DUMMYFUNCTION("""COMPUTED_VALUE"""),1.0)</f>
        <v>1</v>
      </c>
      <c r="K403" s="6">
        <f>IFERROR(__xludf.DUMMYFUNCTION("""COMPUTED_VALUE"""),7143.0)</f>
        <v>7143</v>
      </c>
      <c r="L403" s="2">
        <f>IFERROR(__xludf.DUMMYFUNCTION("""COMPUTED_VALUE"""),0.0)</f>
        <v>0</v>
      </c>
      <c r="M403" s="2">
        <f>IFERROR(__xludf.DUMMYFUNCTION("""COMPUTED_VALUE"""),7143.0)</f>
        <v>7143</v>
      </c>
      <c r="N403" s="2">
        <f>IFERROR(__xludf.DUMMYFUNCTION("""COMPUTED_VALUE"""),0.0)</f>
        <v>0</v>
      </c>
      <c r="O403" s="2">
        <f>IFERROR(__xludf.DUMMYFUNCTION("""COMPUTED_VALUE"""),7143.0)</f>
        <v>7143</v>
      </c>
      <c r="P403" s="2">
        <f>IFERROR(__xludf.DUMMYFUNCTION("""COMPUTED_VALUE"""),357.0)</f>
        <v>357</v>
      </c>
      <c r="Q403" s="2" t="str">
        <f>IFERROR(__xludf.DUMMYFUNCTION("""COMPUTED_VALUE"""),"Dine In")</f>
        <v>Dine In</v>
      </c>
      <c r="R403" s="2" t="str">
        <f>IFERROR(__xludf.DUMMYFUNCTION("""COMPUTED_VALUE"""),"Kedai")</f>
        <v>Kedai</v>
      </c>
      <c r="S403" s="2" t="str">
        <f>IFERROR(__xludf.DUMMYFUNCTION("""COMPUTED_VALUE"""),"Temu Roti")</f>
        <v>Temu Roti</v>
      </c>
      <c r="T403" s="2" t="str">
        <f>IFERROR(__xludf.DUMMYFUNCTION("""COMPUTED_VALUE"""),"Owner")</f>
        <v>Owner</v>
      </c>
      <c r="U403" s="2"/>
      <c r="V403" s="2"/>
      <c r="W403" s="2"/>
      <c r="X403" s="2" t="str">
        <f>IFERROR(__xludf.DUMMYFUNCTION("""COMPUTED_VALUE"""),"Closed")</f>
        <v>Closed</v>
      </c>
    </row>
    <row r="404">
      <c r="A404" s="3" t="s">
        <v>424</v>
      </c>
      <c r="B404" s="4">
        <f>IFERROR(__xludf.DUMMYFUNCTION("SPLIT(A404,"","",0,0)"),45556.71319444444)</f>
        <v>45556.71319</v>
      </c>
      <c r="C404" s="5">
        <f>IFERROR(__xludf.DUMMYFUNCTION("""COMPUTED_VALUE"""),2744465.0)</f>
        <v>2744465</v>
      </c>
      <c r="D404" s="2" t="str">
        <f>IFERROR(__xludf.DUMMYFUNCTION("""COMPUTED_VALUE"""),"Sale")</f>
        <v>Sale</v>
      </c>
      <c r="E404" s="2" t="str">
        <f>IFERROR(__xludf.DUMMYFUNCTION("""COMPUTED_VALUE"""),"Roti")</f>
        <v>Roti</v>
      </c>
      <c r="F404" s="2">
        <f>IFERROR(__xludf.DUMMYFUNCTION("""COMPUTED_VALUE"""),10007.0)</f>
        <v>10007</v>
      </c>
      <c r="G404" s="2" t="str">
        <f>IFERROR(__xludf.DUMMYFUNCTION("""COMPUTED_VALUE"""),"Roti cranberry 2 pcs")</f>
        <v>Roti cranberry 2 pcs</v>
      </c>
      <c r="H404" s="2"/>
      <c r="I404" s="2"/>
      <c r="J404" s="2">
        <f>IFERROR(__xludf.DUMMYFUNCTION("""COMPUTED_VALUE"""),1.0)</f>
        <v>1</v>
      </c>
      <c r="K404" s="6">
        <f>IFERROR(__xludf.DUMMYFUNCTION("""COMPUTED_VALUE"""),33810.0)</f>
        <v>33810</v>
      </c>
      <c r="L404" s="2">
        <f>IFERROR(__xludf.DUMMYFUNCTION("""COMPUTED_VALUE"""),0.0)</f>
        <v>0</v>
      </c>
      <c r="M404" s="2">
        <f>IFERROR(__xludf.DUMMYFUNCTION("""COMPUTED_VALUE"""),33810.0)</f>
        <v>33810</v>
      </c>
      <c r="N404" s="2">
        <f>IFERROR(__xludf.DUMMYFUNCTION("""COMPUTED_VALUE"""),0.0)</f>
        <v>0</v>
      </c>
      <c r="O404" s="2">
        <f>IFERROR(__xludf.DUMMYFUNCTION("""COMPUTED_VALUE"""),33810.0)</f>
        <v>33810</v>
      </c>
      <c r="P404" s="2">
        <f>IFERROR(__xludf.DUMMYFUNCTION("""COMPUTED_VALUE"""),1691.0)</f>
        <v>1691</v>
      </c>
      <c r="Q404" s="2" t="str">
        <f>IFERROR(__xludf.DUMMYFUNCTION("""COMPUTED_VALUE"""),"Dine In")</f>
        <v>Dine In</v>
      </c>
      <c r="R404" s="2" t="str">
        <f>IFERROR(__xludf.DUMMYFUNCTION("""COMPUTED_VALUE"""),"Kedai")</f>
        <v>Kedai</v>
      </c>
      <c r="S404" s="2" t="str">
        <f>IFERROR(__xludf.DUMMYFUNCTION("""COMPUTED_VALUE"""),"Temu Roti")</f>
        <v>Temu Roti</v>
      </c>
      <c r="T404" s="2" t="str">
        <f>IFERROR(__xludf.DUMMYFUNCTION("""COMPUTED_VALUE"""),"Owner")</f>
        <v>Owner</v>
      </c>
      <c r="U404" s="2"/>
      <c r="V404" s="2"/>
      <c r="W404" s="2"/>
      <c r="X404" s="2" t="str">
        <f>IFERROR(__xludf.DUMMYFUNCTION("""COMPUTED_VALUE"""),"Closed")</f>
        <v>Closed</v>
      </c>
    </row>
    <row r="405">
      <c r="A405" s="3" t="s">
        <v>425</v>
      </c>
      <c r="B405" s="4">
        <f>IFERROR(__xludf.DUMMYFUNCTION("SPLIT(A405,"","",0,0)"),45556.691666666666)</f>
        <v>45556.69167</v>
      </c>
      <c r="C405" s="5">
        <f>IFERROR(__xludf.DUMMYFUNCTION("""COMPUTED_VALUE"""),2744100.0)</f>
        <v>2744100</v>
      </c>
      <c r="D405" s="2" t="str">
        <f>IFERROR(__xludf.DUMMYFUNCTION("""COMPUTED_VALUE"""),"Sale")</f>
        <v>Sale</v>
      </c>
      <c r="E405" s="2" t="str">
        <f>IFERROR(__xludf.DUMMYFUNCTION("""COMPUTED_VALUE"""),"Kudapan")</f>
        <v>Kudapan</v>
      </c>
      <c r="F405" s="2">
        <f>IFERROR(__xludf.DUMMYFUNCTION("""COMPUTED_VALUE"""),10015.0)</f>
        <v>10015</v>
      </c>
      <c r="G405" s="2" t="str">
        <f>IFERROR(__xludf.DUMMYFUNCTION("""COMPUTED_VALUE"""),"Tahu Lada Garam")</f>
        <v>Tahu Lada Garam</v>
      </c>
      <c r="H405" s="2"/>
      <c r="I405" s="2"/>
      <c r="J405" s="2">
        <f>IFERROR(__xludf.DUMMYFUNCTION("""COMPUTED_VALUE"""),1.0)</f>
        <v>1</v>
      </c>
      <c r="K405" s="6">
        <f>IFERROR(__xludf.DUMMYFUNCTION("""COMPUTED_VALUE"""),25238.0)</f>
        <v>25238</v>
      </c>
      <c r="L405" s="2">
        <f>IFERROR(__xludf.DUMMYFUNCTION("""COMPUTED_VALUE"""),0.0)</f>
        <v>0</v>
      </c>
      <c r="M405" s="2">
        <f>IFERROR(__xludf.DUMMYFUNCTION("""COMPUTED_VALUE"""),25238.0)</f>
        <v>25238</v>
      </c>
      <c r="N405" s="2">
        <f>IFERROR(__xludf.DUMMYFUNCTION("""COMPUTED_VALUE"""),0.0)</f>
        <v>0</v>
      </c>
      <c r="O405" s="2">
        <f>IFERROR(__xludf.DUMMYFUNCTION("""COMPUTED_VALUE"""),25238.0)</f>
        <v>25238</v>
      </c>
      <c r="P405" s="2">
        <f>IFERROR(__xludf.DUMMYFUNCTION("""COMPUTED_VALUE"""),1262.0)</f>
        <v>1262</v>
      </c>
      <c r="Q405" s="2" t="str">
        <f>IFERROR(__xludf.DUMMYFUNCTION("""COMPUTED_VALUE"""),"Dine In")</f>
        <v>Dine In</v>
      </c>
      <c r="R405" s="2" t="str">
        <f>IFERROR(__xludf.DUMMYFUNCTION("""COMPUTED_VALUE"""),"Kedai")</f>
        <v>Kedai</v>
      </c>
      <c r="S405" s="2" t="str">
        <f>IFERROR(__xludf.DUMMYFUNCTION("""COMPUTED_VALUE"""),"Temu Roti")</f>
        <v>Temu Roti</v>
      </c>
      <c r="T405" s="2" t="str">
        <f>IFERROR(__xludf.DUMMYFUNCTION("""COMPUTED_VALUE"""),"Owner")</f>
        <v>Owner</v>
      </c>
      <c r="U405" s="2"/>
      <c r="V405" s="2"/>
      <c r="W405" s="2"/>
      <c r="X405" s="2" t="str">
        <f>IFERROR(__xludf.DUMMYFUNCTION("""COMPUTED_VALUE"""),"Closed")</f>
        <v>Closed</v>
      </c>
    </row>
    <row r="406">
      <c r="A406" s="3" t="s">
        <v>426</v>
      </c>
      <c r="B406" s="4">
        <f>IFERROR(__xludf.DUMMYFUNCTION("SPLIT(A406,"","",0,0)"),45556.691666666666)</f>
        <v>45556.69167</v>
      </c>
      <c r="C406" s="5">
        <f>IFERROR(__xludf.DUMMYFUNCTION("""COMPUTED_VALUE"""),2744100.0)</f>
        <v>2744100</v>
      </c>
      <c r="D406" s="2" t="str">
        <f>IFERROR(__xludf.DUMMYFUNCTION("""COMPUTED_VALUE"""),"Sale")</f>
        <v>Sale</v>
      </c>
      <c r="E406" s="2" t="str">
        <f>IFERROR(__xludf.DUMMYFUNCTION("""COMPUTED_VALUE"""),"Minuman")</f>
        <v>Minuman</v>
      </c>
      <c r="F406" s="2">
        <f>IFERROR(__xludf.DUMMYFUNCTION("""COMPUTED_VALUE"""),10128.0)</f>
        <v>10128</v>
      </c>
      <c r="G406" s="2" t="str">
        <f>IFERROR(__xludf.DUMMYFUNCTION("""COMPUTED_VALUE"""),"Es Kopi Susu")</f>
        <v>Es Kopi Susu</v>
      </c>
      <c r="H406" s="2"/>
      <c r="I406" s="2"/>
      <c r="J406" s="2">
        <f>IFERROR(__xludf.DUMMYFUNCTION("""COMPUTED_VALUE"""),1.0)</f>
        <v>1</v>
      </c>
      <c r="K406" s="6">
        <f>IFERROR(__xludf.DUMMYFUNCTION("""COMPUTED_VALUE"""),23333.0)</f>
        <v>23333</v>
      </c>
      <c r="L406" s="2">
        <f>IFERROR(__xludf.DUMMYFUNCTION("""COMPUTED_VALUE"""),0.0)</f>
        <v>0</v>
      </c>
      <c r="M406" s="2">
        <f>IFERROR(__xludf.DUMMYFUNCTION("""COMPUTED_VALUE"""),23333.0)</f>
        <v>23333</v>
      </c>
      <c r="N406" s="2">
        <f>IFERROR(__xludf.DUMMYFUNCTION("""COMPUTED_VALUE"""),0.0)</f>
        <v>0</v>
      </c>
      <c r="O406" s="2">
        <f>IFERROR(__xludf.DUMMYFUNCTION("""COMPUTED_VALUE"""),23333.0)</f>
        <v>23333</v>
      </c>
      <c r="P406" s="2">
        <f>IFERROR(__xludf.DUMMYFUNCTION("""COMPUTED_VALUE"""),1167.0)</f>
        <v>1167</v>
      </c>
      <c r="Q406" s="2" t="str">
        <f>IFERROR(__xludf.DUMMYFUNCTION("""COMPUTED_VALUE"""),"Dine In")</f>
        <v>Dine In</v>
      </c>
      <c r="R406" s="2" t="str">
        <f>IFERROR(__xludf.DUMMYFUNCTION("""COMPUTED_VALUE"""),"Kedai")</f>
        <v>Kedai</v>
      </c>
      <c r="S406" s="2" t="str">
        <f>IFERROR(__xludf.DUMMYFUNCTION("""COMPUTED_VALUE"""),"Temu Roti")</f>
        <v>Temu Roti</v>
      </c>
      <c r="T406" s="2" t="str">
        <f>IFERROR(__xludf.DUMMYFUNCTION("""COMPUTED_VALUE"""),"Owner")</f>
        <v>Owner</v>
      </c>
      <c r="U406" s="2"/>
      <c r="V406" s="2"/>
      <c r="W406" s="2"/>
      <c r="X406" s="2" t="str">
        <f>IFERROR(__xludf.DUMMYFUNCTION("""COMPUTED_VALUE"""),"Closed")</f>
        <v>Closed</v>
      </c>
    </row>
    <row r="407">
      <c r="A407" s="3" t="s">
        <v>427</v>
      </c>
      <c r="B407" s="4">
        <f>IFERROR(__xludf.DUMMYFUNCTION("SPLIT(A407,"","",0,0)"),45556.691666666666)</f>
        <v>45556.69167</v>
      </c>
      <c r="C407" s="5">
        <f>IFERROR(__xludf.DUMMYFUNCTION("""COMPUTED_VALUE"""),2744100.0)</f>
        <v>2744100</v>
      </c>
      <c r="D407" s="2" t="str">
        <f>IFERROR(__xludf.DUMMYFUNCTION("""COMPUTED_VALUE"""),"Sale")</f>
        <v>Sale</v>
      </c>
      <c r="E407" s="2" t="str">
        <f>IFERROR(__xludf.DUMMYFUNCTION("""COMPUTED_VALUE"""),"Minuman")</f>
        <v>Minuman</v>
      </c>
      <c r="F407" s="2">
        <f>IFERROR(__xludf.DUMMYFUNCTION("""COMPUTED_VALUE"""),10123.0)</f>
        <v>10123</v>
      </c>
      <c r="G407" s="2" t="str">
        <f>IFERROR(__xludf.DUMMYFUNCTION("""COMPUTED_VALUE"""),"Rempah Madu Dingin")</f>
        <v>Rempah Madu Dingin</v>
      </c>
      <c r="H407" s="2"/>
      <c r="I407" s="2"/>
      <c r="J407" s="2">
        <f>IFERROR(__xludf.DUMMYFUNCTION("""COMPUTED_VALUE"""),1.0)</f>
        <v>1</v>
      </c>
      <c r="K407" s="6">
        <f>IFERROR(__xludf.DUMMYFUNCTION("""COMPUTED_VALUE"""),21905.0)</f>
        <v>21905</v>
      </c>
      <c r="L407" s="2">
        <f>IFERROR(__xludf.DUMMYFUNCTION("""COMPUTED_VALUE"""),0.0)</f>
        <v>0</v>
      </c>
      <c r="M407" s="2">
        <f>IFERROR(__xludf.DUMMYFUNCTION("""COMPUTED_VALUE"""),21905.0)</f>
        <v>21905</v>
      </c>
      <c r="N407" s="2">
        <f>IFERROR(__xludf.DUMMYFUNCTION("""COMPUTED_VALUE"""),0.0)</f>
        <v>0</v>
      </c>
      <c r="O407" s="2">
        <f>IFERROR(__xludf.DUMMYFUNCTION("""COMPUTED_VALUE"""),21905.0)</f>
        <v>21905</v>
      </c>
      <c r="P407" s="2">
        <f>IFERROR(__xludf.DUMMYFUNCTION("""COMPUTED_VALUE"""),1095.0)</f>
        <v>1095</v>
      </c>
      <c r="Q407" s="2" t="str">
        <f>IFERROR(__xludf.DUMMYFUNCTION("""COMPUTED_VALUE"""),"Dine In")</f>
        <v>Dine In</v>
      </c>
      <c r="R407" s="2" t="str">
        <f>IFERROR(__xludf.DUMMYFUNCTION("""COMPUTED_VALUE"""),"Kedai")</f>
        <v>Kedai</v>
      </c>
      <c r="S407" s="2" t="str">
        <f>IFERROR(__xludf.DUMMYFUNCTION("""COMPUTED_VALUE"""),"Temu Roti")</f>
        <v>Temu Roti</v>
      </c>
      <c r="T407" s="2" t="str">
        <f>IFERROR(__xludf.DUMMYFUNCTION("""COMPUTED_VALUE"""),"Owner")</f>
        <v>Owner</v>
      </c>
      <c r="U407" s="2"/>
      <c r="V407" s="2"/>
      <c r="W407" s="2"/>
      <c r="X407" s="2" t="str">
        <f>IFERROR(__xludf.DUMMYFUNCTION("""COMPUTED_VALUE"""),"Closed")</f>
        <v>Closed</v>
      </c>
    </row>
    <row r="408">
      <c r="A408" s="3" t="s">
        <v>428</v>
      </c>
      <c r="B408" s="4">
        <f>IFERROR(__xludf.DUMMYFUNCTION("SPLIT(A408,"","",0,0)"),45556.691666666666)</f>
        <v>45556.69167</v>
      </c>
      <c r="C408" s="5">
        <f>IFERROR(__xludf.DUMMYFUNCTION("""COMPUTED_VALUE"""),2744100.0)</f>
        <v>2744100</v>
      </c>
      <c r="D408" s="2" t="str">
        <f>IFERROR(__xludf.DUMMYFUNCTION("""COMPUTED_VALUE"""),"Sale")</f>
        <v>Sale</v>
      </c>
      <c r="E408" s="2" t="str">
        <f>IFERROR(__xludf.DUMMYFUNCTION("""COMPUTED_VALUE"""),"Roti")</f>
        <v>Roti</v>
      </c>
      <c r="F408" s="2">
        <f>IFERROR(__xludf.DUMMYFUNCTION("""COMPUTED_VALUE"""),10002.0)</f>
        <v>10002</v>
      </c>
      <c r="G408" s="2" t="str">
        <f>IFERROR(__xludf.DUMMYFUNCTION("""COMPUTED_VALUE"""),"Roti Cranberry")</f>
        <v>Roti Cranberry</v>
      </c>
      <c r="H408" s="2"/>
      <c r="I408" s="2"/>
      <c r="J408" s="2">
        <f>IFERROR(__xludf.DUMMYFUNCTION("""COMPUTED_VALUE"""),1.0)</f>
        <v>1</v>
      </c>
      <c r="K408" s="6">
        <f>IFERROR(__xludf.DUMMYFUNCTION("""COMPUTED_VALUE"""),18571.0)</f>
        <v>18571</v>
      </c>
      <c r="L408" s="2">
        <f>IFERROR(__xludf.DUMMYFUNCTION("""COMPUTED_VALUE"""),0.0)</f>
        <v>0</v>
      </c>
      <c r="M408" s="2">
        <f>IFERROR(__xludf.DUMMYFUNCTION("""COMPUTED_VALUE"""),18571.0)</f>
        <v>18571</v>
      </c>
      <c r="N408" s="2">
        <f>IFERROR(__xludf.DUMMYFUNCTION("""COMPUTED_VALUE"""),0.0)</f>
        <v>0</v>
      </c>
      <c r="O408" s="2">
        <f>IFERROR(__xludf.DUMMYFUNCTION("""COMPUTED_VALUE"""),18571.0)</f>
        <v>18571</v>
      </c>
      <c r="P408" s="2">
        <f>IFERROR(__xludf.DUMMYFUNCTION("""COMPUTED_VALUE"""),928.0)</f>
        <v>928</v>
      </c>
      <c r="Q408" s="2" t="str">
        <f>IFERROR(__xludf.DUMMYFUNCTION("""COMPUTED_VALUE"""),"Dine In")</f>
        <v>Dine In</v>
      </c>
      <c r="R408" s="2" t="str">
        <f>IFERROR(__xludf.DUMMYFUNCTION("""COMPUTED_VALUE"""),"Kedai")</f>
        <v>Kedai</v>
      </c>
      <c r="S408" s="2" t="str">
        <f>IFERROR(__xludf.DUMMYFUNCTION("""COMPUTED_VALUE"""),"Temu Roti")</f>
        <v>Temu Roti</v>
      </c>
      <c r="T408" s="2" t="str">
        <f>IFERROR(__xludf.DUMMYFUNCTION("""COMPUTED_VALUE"""),"Owner")</f>
        <v>Owner</v>
      </c>
      <c r="U408" s="2"/>
      <c r="V408" s="2"/>
      <c r="W408" s="2"/>
      <c r="X408" s="2" t="str">
        <f>IFERROR(__xludf.DUMMYFUNCTION("""COMPUTED_VALUE"""),"Closed")</f>
        <v>Closed</v>
      </c>
    </row>
    <row r="409">
      <c r="A409" s="3" t="s">
        <v>429</v>
      </c>
      <c r="B409" s="4">
        <f>IFERROR(__xludf.DUMMYFUNCTION("SPLIT(A409,"","",0,0)"),45556.691666666666)</f>
        <v>45556.69167</v>
      </c>
      <c r="C409" s="5">
        <f>IFERROR(__xludf.DUMMYFUNCTION("""COMPUTED_VALUE"""),2744100.0)</f>
        <v>2744100</v>
      </c>
      <c r="D409" s="2" t="str">
        <f>IFERROR(__xludf.DUMMYFUNCTION("""COMPUTED_VALUE"""),"Sale")</f>
        <v>Sale</v>
      </c>
      <c r="E409" s="2" t="str">
        <f>IFERROR(__xludf.DUMMYFUNCTION("""COMPUTED_VALUE"""),"Roti")</f>
        <v>Roti</v>
      </c>
      <c r="F409" s="2">
        <f>IFERROR(__xludf.DUMMYFUNCTION("""COMPUTED_VALUE"""),10005.0)</f>
        <v>10005</v>
      </c>
      <c r="G409" s="2" t="str">
        <f>IFERROR(__xludf.DUMMYFUNCTION("""COMPUTED_VALUE"""),"Roti Gandum Cokelat")</f>
        <v>Roti Gandum Cokelat</v>
      </c>
      <c r="H409" s="2"/>
      <c r="I409" s="2"/>
      <c r="J409" s="2">
        <f>IFERROR(__xludf.DUMMYFUNCTION("""COMPUTED_VALUE"""),1.0)</f>
        <v>1</v>
      </c>
      <c r="K409" s="6">
        <f>IFERROR(__xludf.DUMMYFUNCTION("""COMPUTED_VALUE"""),19524.0)</f>
        <v>19524</v>
      </c>
      <c r="L409" s="2">
        <f>IFERROR(__xludf.DUMMYFUNCTION("""COMPUTED_VALUE"""),0.0)</f>
        <v>0</v>
      </c>
      <c r="M409" s="2">
        <f>IFERROR(__xludf.DUMMYFUNCTION("""COMPUTED_VALUE"""),19524.0)</f>
        <v>19524</v>
      </c>
      <c r="N409" s="2">
        <f>IFERROR(__xludf.DUMMYFUNCTION("""COMPUTED_VALUE"""),0.0)</f>
        <v>0</v>
      </c>
      <c r="O409" s="2">
        <f>IFERROR(__xludf.DUMMYFUNCTION("""COMPUTED_VALUE"""),19524.0)</f>
        <v>19524</v>
      </c>
      <c r="P409" s="2">
        <f>IFERROR(__xludf.DUMMYFUNCTION("""COMPUTED_VALUE"""),977.0)</f>
        <v>977</v>
      </c>
      <c r="Q409" s="2" t="str">
        <f>IFERROR(__xludf.DUMMYFUNCTION("""COMPUTED_VALUE"""),"Dine In")</f>
        <v>Dine In</v>
      </c>
      <c r="R409" s="2" t="str">
        <f>IFERROR(__xludf.DUMMYFUNCTION("""COMPUTED_VALUE"""),"Kedai")</f>
        <v>Kedai</v>
      </c>
      <c r="S409" s="2" t="str">
        <f>IFERROR(__xludf.DUMMYFUNCTION("""COMPUTED_VALUE"""),"Temu Roti")</f>
        <v>Temu Roti</v>
      </c>
      <c r="T409" s="2" t="str">
        <f>IFERROR(__xludf.DUMMYFUNCTION("""COMPUTED_VALUE"""),"Owner")</f>
        <v>Owner</v>
      </c>
      <c r="U409" s="2"/>
      <c r="V409" s="2"/>
      <c r="W409" s="2"/>
      <c r="X409" s="2" t="str">
        <f>IFERROR(__xludf.DUMMYFUNCTION("""COMPUTED_VALUE"""),"Closed")</f>
        <v>Closed</v>
      </c>
    </row>
    <row r="410">
      <c r="A410" s="3" t="s">
        <v>430</v>
      </c>
      <c r="B410" s="4">
        <f>IFERROR(__xludf.DUMMYFUNCTION("SPLIT(A410,"","",0,0)"),45556.68402777778)</f>
        <v>45556.68403</v>
      </c>
      <c r="C410" s="5">
        <f>IFERROR(__xludf.DUMMYFUNCTION("""COMPUTED_VALUE"""),2743734.0)</f>
        <v>2743734</v>
      </c>
      <c r="D410" s="2" t="str">
        <f>IFERROR(__xludf.DUMMYFUNCTION("""COMPUTED_VALUE"""),"Sale")</f>
        <v>Sale</v>
      </c>
      <c r="E410" s="2" t="str">
        <f>IFERROR(__xludf.DUMMYFUNCTION("""COMPUTED_VALUE"""),"Minuman")</f>
        <v>Minuman</v>
      </c>
      <c r="F410" s="2">
        <f>IFERROR(__xludf.DUMMYFUNCTION("""COMPUTED_VALUE"""),10112.0)</f>
        <v>10112</v>
      </c>
      <c r="G410" s="2" t="str">
        <f>IFERROR(__xludf.DUMMYFUNCTION("""COMPUTED_VALUE"""),"Air mineral")</f>
        <v>Air mineral</v>
      </c>
      <c r="H410" s="2"/>
      <c r="I410" s="2"/>
      <c r="J410" s="2">
        <f>IFERROR(__xludf.DUMMYFUNCTION("""COMPUTED_VALUE"""),2.0)</f>
        <v>2</v>
      </c>
      <c r="K410" s="6">
        <f>IFERROR(__xludf.DUMMYFUNCTION("""COMPUTED_VALUE"""),13334.0)</f>
        <v>13334</v>
      </c>
      <c r="L410" s="2">
        <f>IFERROR(__xludf.DUMMYFUNCTION("""COMPUTED_VALUE"""),0.0)</f>
        <v>0</v>
      </c>
      <c r="M410" s="2">
        <f>IFERROR(__xludf.DUMMYFUNCTION("""COMPUTED_VALUE"""),13334.0)</f>
        <v>13334</v>
      </c>
      <c r="N410" s="2">
        <f>IFERROR(__xludf.DUMMYFUNCTION("""COMPUTED_VALUE"""),0.0)</f>
        <v>0</v>
      </c>
      <c r="O410" s="2">
        <f>IFERROR(__xludf.DUMMYFUNCTION("""COMPUTED_VALUE"""),13334.0)</f>
        <v>13334</v>
      </c>
      <c r="P410" s="2">
        <f>IFERROR(__xludf.DUMMYFUNCTION("""COMPUTED_VALUE"""),667.0)</f>
        <v>667</v>
      </c>
      <c r="Q410" s="2" t="str">
        <f>IFERROR(__xludf.DUMMYFUNCTION("""COMPUTED_VALUE"""),"Dine In")</f>
        <v>Dine In</v>
      </c>
      <c r="R410" s="2" t="str">
        <f>IFERROR(__xludf.DUMMYFUNCTION("""COMPUTED_VALUE"""),"Kedai")</f>
        <v>Kedai</v>
      </c>
      <c r="S410" s="2" t="str">
        <f>IFERROR(__xludf.DUMMYFUNCTION("""COMPUTED_VALUE"""),"Temu Roti")</f>
        <v>Temu Roti</v>
      </c>
      <c r="T410" s="2" t="str">
        <f>IFERROR(__xludf.DUMMYFUNCTION("""COMPUTED_VALUE"""),"Owner")</f>
        <v>Owner</v>
      </c>
      <c r="U410" s="2"/>
      <c r="V410" s="2"/>
      <c r="W410" s="2"/>
      <c r="X410" s="2" t="str">
        <f>IFERROR(__xludf.DUMMYFUNCTION("""COMPUTED_VALUE"""),"Closed")</f>
        <v>Closed</v>
      </c>
    </row>
    <row r="411">
      <c r="A411" s="3" t="s">
        <v>431</v>
      </c>
      <c r="B411" s="4">
        <f>IFERROR(__xludf.DUMMYFUNCTION("SPLIT(A411,"","",0,0)"),45556.66875)</f>
        <v>45556.66875</v>
      </c>
      <c r="C411" s="5">
        <f>IFERROR(__xludf.DUMMYFUNCTION("""COMPUTED_VALUE"""),2743369.0)</f>
        <v>2743369</v>
      </c>
      <c r="D411" s="2" t="str">
        <f>IFERROR(__xludf.DUMMYFUNCTION("""COMPUTED_VALUE"""),"Sale")</f>
        <v>Sale</v>
      </c>
      <c r="E411" s="2" t="str">
        <f>IFERROR(__xludf.DUMMYFUNCTION("""COMPUTED_VALUE"""),"Roti")</f>
        <v>Roti</v>
      </c>
      <c r="F411" s="2">
        <f>IFERROR(__xludf.DUMMYFUNCTION("""COMPUTED_VALUE"""),10007.0)</f>
        <v>10007</v>
      </c>
      <c r="G411" s="2" t="str">
        <f>IFERROR(__xludf.DUMMYFUNCTION("""COMPUTED_VALUE"""),"Roti cranberry 2 pcs")</f>
        <v>Roti cranberry 2 pcs</v>
      </c>
      <c r="H411" s="2"/>
      <c r="I411" s="2"/>
      <c r="J411" s="2">
        <f>IFERROR(__xludf.DUMMYFUNCTION("""COMPUTED_VALUE"""),1.0)</f>
        <v>1</v>
      </c>
      <c r="K411" s="6">
        <f>IFERROR(__xludf.DUMMYFUNCTION("""COMPUTED_VALUE"""),33810.0)</f>
        <v>33810</v>
      </c>
      <c r="L411" s="2">
        <f>IFERROR(__xludf.DUMMYFUNCTION("""COMPUTED_VALUE"""),0.0)</f>
        <v>0</v>
      </c>
      <c r="M411" s="2">
        <f>IFERROR(__xludf.DUMMYFUNCTION("""COMPUTED_VALUE"""),33810.0)</f>
        <v>33810</v>
      </c>
      <c r="N411" s="2">
        <f>IFERROR(__xludf.DUMMYFUNCTION("""COMPUTED_VALUE"""),0.0)</f>
        <v>0</v>
      </c>
      <c r="O411" s="2">
        <f>IFERROR(__xludf.DUMMYFUNCTION("""COMPUTED_VALUE"""),33810.0)</f>
        <v>33810</v>
      </c>
      <c r="P411" s="2">
        <f>IFERROR(__xludf.DUMMYFUNCTION("""COMPUTED_VALUE"""),1691.0)</f>
        <v>1691</v>
      </c>
      <c r="Q411" s="2" t="str">
        <f>IFERROR(__xludf.DUMMYFUNCTION("""COMPUTED_VALUE"""),"Dine In")</f>
        <v>Dine In</v>
      </c>
      <c r="R411" s="2" t="str">
        <f>IFERROR(__xludf.DUMMYFUNCTION("""COMPUTED_VALUE"""),"Kedai")</f>
        <v>Kedai</v>
      </c>
      <c r="S411" s="2" t="str">
        <f>IFERROR(__xludf.DUMMYFUNCTION("""COMPUTED_VALUE"""),"Temu Roti")</f>
        <v>Temu Roti</v>
      </c>
      <c r="T411" s="2" t="str">
        <f>IFERROR(__xludf.DUMMYFUNCTION("""COMPUTED_VALUE"""),"Owner")</f>
        <v>Owner</v>
      </c>
      <c r="U411" s="2"/>
      <c r="V411" s="2"/>
      <c r="W411" s="2"/>
      <c r="X411" s="2" t="str">
        <f>IFERROR(__xludf.DUMMYFUNCTION("""COMPUTED_VALUE"""),"Closed")</f>
        <v>Closed</v>
      </c>
    </row>
    <row r="412">
      <c r="A412" s="3" t="s">
        <v>432</v>
      </c>
      <c r="B412" s="4">
        <f>IFERROR(__xludf.DUMMYFUNCTION("SPLIT(A412,"","",0,0)"),45556.65)</f>
        <v>45556.65</v>
      </c>
      <c r="C412" s="5">
        <f>IFERROR(__xludf.DUMMYFUNCTION("""COMPUTED_VALUE"""),2743004.0)</f>
        <v>2743004</v>
      </c>
      <c r="D412" s="2" t="str">
        <f>IFERROR(__xludf.DUMMYFUNCTION("""COMPUTED_VALUE"""),"Sale")</f>
        <v>Sale</v>
      </c>
      <c r="E412" s="2" t="str">
        <f>IFERROR(__xludf.DUMMYFUNCTION("""COMPUTED_VALUE"""),"Roti")</f>
        <v>Roti</v>
      </c>
      <c r="F412" s="2">
        <f>IFERROR(__xludf.DUMMYFUNCTION("""COMPUTED_VALUE"""),10002.0)</f>
        <v>10002</v>
      </c>
      <c r="G412" s="2" t="str">
        <f>IFERROR(__xludf.DUMMYFUNCTION("""COMPUTED_VALUE"""),"Roti Cranberry")</f>
        <v>Roti Cranberry</v>
      </c>
      <c r="H412" s="2"/>
      <c r="I412" s="2"/>
      <c r="J412" s="2">
        <f>IFERROR(__xludf.DUMMYFUNCTION("""COMPUTED_VALUE"""),1.0)</f>
        <v>1</v>
      </c>
      <c r="K412" s="6">
        <f>IFERROR(__xludf.DUMMYFUNCTION("""COMPUTED_VALUE"""),18571.0)</f>
        <v>18571</v>
      </c>
      <c r="L412" s="2">
        <f>IFERROR(__xludf.DUMMYFUNCTION("""COMPUTED_VALUE"""),0.0)</f>
        <v>0</v>
      </c>
      <c r="M412" s="2">
        <f>IFERROR(__xludf.DUMMYFUNCTION("""COMPUTED_VALUE"""),18571.0)</f>
        <v>18571</v>
      </c>
      <c r="N412" s="2">
        <f>IFERROR(__xludf.DUMMYFUNCTION("""COMPUTED_VALUE"""),0.0)</f>
        <v>0</v>
      </c>
      <c r="O412" s="2">
        <f>IFERROR(__xludf.DUMMYFUNCTION("""COMPUTED_VALUE"""),18571.0)</f>
        <v>18571</v>
      </c>
      <c r="P412" s="2">
        <f>IFERROR(__xludf.DUMMYFUNCTION("""COMPUTED_VALUE"""),929.0)</f>
        <v>929</v>
      </c>
      <c r="Q412" s="2" t="str">
        <f>IFERROR(__xludf.DUMMYFUNCTION("""COMPUTED_VALUE"""),"Dine In")</f>
        <v>Dine In</v>
      </c>
      <c r="R412" s="2" t="str">
        <f>IFERROR(__xludf.DUMMYFUNCTION("""COMPUTED_VALUE"""),"Kedai")</f>
        <v>Kedai</v>
      </c>
      <c r="S412" s="2" t="str">
        <f>IFERROR(__xludf.DUMMYFUNCTION("""COMPUTED_VALUE"""),"Temu Roti")</f>
        <v>Temu Roti</v>
      </c>
      <c r="T412" s="2" t="str">
        <f>IFERROR(__xludf.DUMMYFUNCTION("""COMPUTED_VALUE"""),"Owner")</f>
        <v>Owner</v>
      </c>
      <c r="U412" s="2"/>
      <c r="V412" s="2"/>
      <c r="W412" s="2"/>
      <c r="X412" s="2" t="str">
        <f>IFERROR(__xludf.DUMMYFUNCTION("""COMPUTED_VALUE"""),"Closed")</f>
        <v>Closed</v>
      </c>
    </row>
    <row r="413">
      <c r="A413" s="3" t="s">
        <v>433</v>
      </c>
      <c r="B413" s="4">
        <f>IFERROR(__xludf.DUMMYFUNCTION("SPLIT(A413,"","",0,0)"),45556.65)</f>
        <v>45556.65</v>
      </c>
      <c r="C413" s="5">
        <f>IFERROR(__xludf.DUMMYFUNCTION("""COMPUTED_VALUE"""),2743004.0)</f>
        <v>2743004</v>
      </c>
      <c r="D413" s="2" t="str">
        <f>IFERROR(__xludf.DUMMYFUNCTION("""COMPUTED_VALUE"""),"Sale")</f>
        <v>Sale</v>
      </c>
      <c r="E413" s="2" t="str">
        <f>IFERROR(__xludf.DUMMYFUNCTION("""COMPUTED_VALUE"""),"Roti")</f>
        <v>Roti</v>
      </c>
      <c r="F413" s="2">
        <f>IFERROR(__xludf.DUMMYFUNCTION("""COMPUTED_VALUE"""),10033.0)</f>
        <v>10033</v>
      </c>
      <c r="G413" s="2" t="str">
        <f>IFERROR(__xludf.DUMMYFUNCTION("""COMPUTED_VALUE"""),"Roti panggang sarikaya")</f>
        <v>Roti panggang sarikaya</v>
      </c>
      <c r="H413" s="2"/>
      <c r="I413" s="2"/>
      <c r="J413" s="2">
        <f>IFERROR(__xludf.DUMMYFUNCTION("""COMPUTED_VALUE"""),1.0)</f>
        <v>1</v>
      </c>
      <c r="K413" s="6">
        <f>IFERROR(__xludf.DUMMYFUNCTION("""COMPUTED_VALUE"""),21905.0)</f>
        <v>21905</v>
      </c>
      <c r="L413" s="2">
        <f>IFERROR(__xludf.DUMMYFUNCTION("""COMPUTED_VALUE"""),0.0)</f>
        <v>0</v>
      </c>
      <c r="M413" s="2">
        <f>IFERROR(__xludf.DUMMYFUNCTION("""COMPUTED_VALUE"""),21905.0)</f>
        <v>21905</v>
      </c>
      <c r="N413" s="2">
        <f>IFERROR(__xludf.DUMMYFUNCTION("""COMPUTED_VALUE"""),0.0)</f>
        <v>0</v>
      </c>
      <c r="O413" s="2">
        <f>IFERROR(__xludf.DUMMYFUNCTION("""COMPUTED_VALUE"""),21905.0)</f>
        <v>21905</v>
      </c>
      <c r="P413" s="2">
        <f>IFERROR(__xludf.DUMMYFUNCTION("""COMPUTED_VALUE"""),1095.0)</f>
        <v>1095</v>
      </c>
      <c r="Q413" s="2" t="str">
        <f>IFERROR(__xludf.DUMMYFUNCTION("""COMPUTED_VALUE"""),"Dine In")</f>
        <v>Dine In</v>
      </c>
      <c r="R413" s="2" t="str">
        <f>IFERROR(__xludf.DUMMYFUNCTION("""COMPUTED_VALUE"""),"Kedai")</f>
        <v>Kedai</v>
      </c>
      <c r="S413" s="2" t="str">
        <f>IFERROR(__xludf.DUMMYFUNCTION("""COMPUTED_VALUE"""),"Temu Roti")</f>
        <v>Temu Roti</v>
      </c>
      <c r="T413" s="2" t="str">
        <f>IFERROR(__xludf.DUMMYFUNCTION("""COMPUTED_VALUE"""),"Owner")</f>
        <v>Owner</v>
      </c>
      <c r="U413" s="2"/>
      <c r="V413" s="2"/>
      <c r="W413" s="2"/>
      <c r="X413" s="2" t="str">
        <f>IFERROR(__xludf.DUMMYFUNCTION("""COMPUTED_VALUE"""),"Closed")</f>
        <v>Closed</v>
      </c>
    </row>
    <row r="414">
      <c r="A414" s="3" t="s">
        <v>434</v>
      </c>
      <c r="B414" s="4">
        <f>IFERROR(__xludf.DUMMYFUNCTION("SPLIT(A414,"","",0,0)"),45556.65)</f>
        <v>45556.65</v>
      </c>
      <c r="C414" s="5">
        <f>IFERROR(__xludf.DUMMYFUNCTION("""COMPUTED_VALUE"""),2743004.0)</f>
        <v>2743004</v>
      </c>
      <c r="D414" s="2" t="str">
        <f>IFERROR(__xludf.DUMMYFUNCTION("""COMPUTED_VALUE"""),"Sale")</f>
        <v>Sale</v>
      </c>
      <c r="E414" s="2" t="str">
        <f>IFERROR(__xludf.DUMMYFUNCTION("""COMPUTED_VALUE"""),"Minuman")</f>
        <v>Minuman</v>
      </c>
      <c r="F414" s="2">
        <f>IFERROR(__xludf.DUMMYFUNCTION("""COMPUTED_VALUE"""),10070.0)</f>
        <v>10070</v>
      </c>
      <c r="G414" s="2" t="str">
        <f>IFERROR(__xludf.DUMMYFUNCTION("""COMPUTED_VALUE"""),"Wedang laut")</f>
        <v>Wedang laut</v>
      </c>
      <c r="H414" s="2"/>
      <c r="I414" s="2"/>
      <c r="J414" s="2">
        <f>IFERROR(__xludf.DUMMYFUNCTION("""COMPUTED_VALUE"""),1.0)</f>
        <v>1</v>
      </c>
      <c r="K414" s="6">
        <f>IFERROR(__xludf.DUMMYFUNCTION("""COMPUTED_VALUE"""),24762.0)</f>
        <v>24762</v>
      </c>
      <c r="L414" s="2">
        <f>IFERROR(__xludf.DUMMYFUNCTION("""COMPUTED_VALUE"""),0.0)</f>
        <v>0</v>
      </c>
      <c r="M414" s="2">
        <f>IFERROR(__xludf.DUMMYFUNCTION("""COMPUTED_VALUE"""),24762.0)</f>
        <v>24762</v>
      </c>
      <c r="N414" s="2">
        <f>IFERROR(__xludf.DUMMYFUNCTION("""COMPUTED_VALUE"""),0.0)</f>
        <v>0</v>
      </c>
      <c r="O414" s="2">
        <f>IFERROR(__xludf.DUMMYFUNCTION("""COMPUTED_VALUE"""),24762.0)</f>
        <v>24762</v>
      </c>
      <c r="P414" s="2">
        <f>IFERROR(__xludf.DUMMYFUNCTION("""COMPUTED_VALUE"""),1238.0)</f>
        <v>1238</v>
      </c>
      <c r="Q414" s="2" t="str">
        <f>IFERROR(__xludf.DUMMYFUNCTION("""COMPUTED_VALUE"""),"Dine In")</f>
        <v>Dine In</v>
      </c>
      <c r="R414" s="2" t="str">
        <f>IFERROR(__xludf.DUMMYFUNCTION("""COMPUTED_VALUE"""),"Kedai")</f>
        <v>Kedai</v>
      </c>
      <c r="S414" s="2" t="str">
        <f>IFERROR(__xludf.DUMMYFUNCTION("""COMPUTED_VALUE"""),"Temu Roti")</f>
        <v>Temu Roti</v>
      </c>
      <c r="T414" s="2" t="str">
        <f>IFERROR(__xludf.DUMMYFUNCTION("""COMPUTED_VALUE"""),"Owner")</f>
        <v>Owner</v>
      </c>
      <c r="U414" s="2"/>
      <c r="V414" s="2"/>
      <c r="W414" s="2"/>
      <c r="X414" s="2" t="str">
        <f>IFERROR(__xludf.DUMMYFUNCTION("""COMPUTED_VALUE"""),"Closed")</f>
        <v>Closed</v>
      </c>
    </row>
    <row r="415">
      <c r="A415" s="3" t="s">
        <v>435</v>
      </c>
      <c r="B415" s="4">
        <f>IFERROR(__xludf.DUMMYFUNCTION("SPLIT(A415,"","",0,0)"),45556.65)</f>
        <v>45556.65</v>
      </c>
      <c r="C415" s="5">
        <f>IFERROR(__xludf.DUMMYFUNCTION("""COMPUTED_VALUE"""),2743004.0)</f>
        <v>2743004</v>
      </c>
      <c r="D415" s="2" t="str">
        <f>IFERROR(__xludf.DUMMYFUNCTION("""COMPUTED_VALUE"""),"Sale")</f>
        <v>Sale</v>
      </c>
      <c r="E415" s="2" t="str">
        <f>IFERROR(__xludf.DUMMYFUNCTION("""COMPUTED_VALUE"""),"Hidangan Utama")</f>
        <v>Hidangan Utama</v>
      </c>
      <c r="F415" s="2">
        <f>IFERROR(__xludf.DUMMYFUNCTION("""COMPUTED_VALUE"""),10003.0)</f>
        <v>10003</v>
      </c>
      <c r="G415" s="2" t="str">
        <f>IFERROR(__xludf.DUMMYFUNCTION("""COMPUTED_VALUE"""),"Nasi Goreng Temu")</f>
        <v>Nasi Goreng Temu</v>
      </c>
      <c r="H415" s="2"/>
      <c r="I415" s="2"/>
      <c r="J415" s="2">
        <f>IFERROR(__xludf.DUMMYFUNCTION("""COMPUTED_VALUE"""),1.0)</f>
        <v>1</v>
      </c>
      <c r="K415" s="6">
        <f>IFERROR(__xludf.DUMMYFUNCTION("""COMPUTED_VALUE"""),29524.0)</f>
        <v>29524</v>
      </c>
      <c r="L415" s="2">
        <f>IFERROR(__xludf.DUMMYFUNCTION("""COMPUTED_VALUE"""),0.0)</f>
        <v>0</v>
      </c>
      <c r="M415" s="2">
        <f>IFERROR(__xludf.DUMMYFUNCTION("""COMPUTED_VALUE"""),29524.0)</f>
        <v>29524</v>
      </c>
      <c r="N415" s="2">
        <f>IFERROR(__xludf.DUMMYFUNCTION("""COMPUTED_VALUE"""),0.0)</f>
        <v>0</v>
      </c>
      <c r="O415" s="2">
        <f>IFERROR(__xludf.DUMMYFUNCTION("""COMPUTED_VALUE"""),29524.0)</f>
        <v>29524</v>
      </c>
      <c r="P415" s="2">
        <f>IFERROR(__xludf.DUMMYFUNCTION("""COMPUTED_VALUE"""),1476.0)</f>
        <v>1476</v>
      </c>
      <c r="Q415" s="2" t="str">
        <f>IFERROR(__xludf.DUMMYFUNCTION("""COMPUTED_VALUE"""),"Dine In")</f>
        <v>Dine In</v>
      </c>
      <c r="R415" s="2" t="str">
        <f>IFERROR(__xludf.DUMMYFUNCTION("""COMPUTED_VALUE"""),"Kedai")</f>
        <v>Kedai</v>
      </c>
      <c r="S415" s="2" t="str">
        <f>IFERROR(__xludf.DUMMYFUNCTION("""COMPUTED_VALUE"""),"Temu Roti")</f>
        <v>Temu Roti</v>
      </c>
      <c r="T415" s="2" t="str">
        <f>IFERROR(__xludf.DUMMYFUNCTION("""COMPUTED_VALUE"""),"Owner")</f>
        <v>Owner</v>
      </c>
      <c r="U415" s="2"/>
      <c r="V415" s="2"/>
      <c r="W415" s="2"/>
      <c r="X415" s="2" t="str">
        <f>IFERROR(__xludf.DUMMYFUNCTION("""COMPUTED_VALUE"""),"Closed")</f>
        <v>Closed</v>
      </c>
    </row>
    <row r="416">
      <c r="A416" s="3" t="s">
        <v>436</v>
      </c>
      <c r="B416" s="4">
        <f>IFERROR(__xludf.DUMMYFUNCTION("SPLIT(A416,"","",0,0)"),45556.65)</f>
        <v>45556.65</v>
      </c>
      <c r="C416" s="5">
        <f>IFERROR(__xludf.DUMMYFUNCTION("""COMPUTED_VALUE"""),2743004.0)</f>
        <v>2743004</v>
      </c>
      <c r="D416" s="2" t="str">
        <f>IFERROR(__xludf.DUMMYFUNCTION("""COMPUTED_VALUE"""),"Sale")</f>
        <v>Sale</v>
      </c>
      <c r="E416" s="2" t="str">
        <f>IFERROR(__xludf.DUMMYFUNCTION("""COMPUTED_VALUE"""),"Roti")</f>
        <v>Roti</v>
      </c>
      <c r="F416" s="2">
        <f>IFERROR(__xludf.DUMMYFUNCTION("""COMPUTED_VALUE"""),10005.0)</f>
        <v>10005</v>
      </c>
      <c r="G416" s="2" t="str">
        <f>IFERROR(__xludf.DUMMYFUNCTION("""COMPUTED_VALUE"""),"Roti Gandum Cokelat")</f>
        <v>Roti Gandum Cokelat</v>
      </c>
      <c r="H416" s="2"/>
      <c r="I416" s="2"/>
      <c r="J416" s="2">
        <f>IFERROR(__xludf.DUMMYFUNCTION("""COMPUTED_VALUE"""),1.0)</f>
        <v>1</v>
      </c>
      <c r="K416" s="6">
        <f>IFERROR(__xludf.DUMMYFUNCTION("""COMPUTED_VALUE"""),19524.0)</f>
        <v>19524</v>
      </c>
      <c r="L416" s="2">
        <f>IFERROR(__xludf.DUMMYFUNCTION("""COMPUTED_VALUE"""),0.0)</f>
        <v>0</v>
      </c>
      <c r="M416" s="2">
        <f>IFERROR(__xludf.DUMMYFUNCTION("""COMPUTED_VALUE"""),19524.0)</f>
        <v>19524</v>
      </c>
      <c r="N416" s="2">
        <f>IFERROR(__xludf.DUMMYFUNCTION("""COMPUTED_VALUE"""),0.0)</f>
        <v>0</v>
      </c>
      <c r="O416" s="2">
        <f>IFERROR(__xludf.DUMMYFUNCTION("""COMPUTED_VALUE"""),19524.0)</f>
        <v>19524</v>
      </c>
      <c r="P416" s="2">
        <f>IFERROR(__xludf.DUMMYFUNCTION("""COMPUTED_VALUE"""),976.0)</f>
        <v>976</v>
      </c>
      <c r="Q416" s="2" t="str">
        <f>IFERROR(__xludf.DUMMYFUNCTION("""COMPUTED_VALUE"""),"Dine In")</f>
        <v>Dine In</v>
      </c>
      <c r="R416" s="2" t="str">
        <f>IFERROR(__xludf.DUMMYFUNCTION("""COMPUTED_VALUE"""),"Kedai")</f>
        <v>Kedai</v>
      </c>
      <c r="S416" s="2" t="str">
        <f>IFERROR(__xludf.DUMMYFUNCTION("""COMPUTED_VALUE"""),"Temu Roti")</f>
        <v>Temu Roti</v>
      </c>
      <c r="T416" s="2" t="str">
        <f>IFERROR(__xludf.DUMMYFUNCTION("""COMPUTED_VALUE"""),"Owner")</f>
        <v>Owner</v>
      </c>
      <c r="U416" s="2"/>
      <c r="V416" s="2"/>
      <c r="W416" s="2"/>
      <c r="X416" s="2" t="str">
        <f>IFERROR(__xludf.DUMMYFUNCTION("""COMPUTED_VALUE"""),"Closed")</f>
        <v>Closed</v>
      </c>
    </row>
    <row r="417">
      <c r="A417" s="3" t="s">
        <v>437</v>
      </c>
      <c r="B417" s="4">
        <f>IFERROR(__xludf.DUMMYFUNCTION("SPLIT(A417,"","",0,0)"),45556.63680555556)</f>
        <v>45556.63681</v>
      </c>
      <c r="C417" s="5">
        <f>IFERROR(__xludf.DUMMYFUNCTION("""COMPUTED_VALUE"""),2742639.0)</f>
        <v>2742639</v>
      </c>
      <c r="D417" s="2" t="str">
        <f>IFERROR(__xludf.DUMMYFUNCTION("""COMPUTED_VALUE"""),"Sale")</f>
        <v>Sale</v>
      </c>
      <c r="E417" s="2" t="str">
        <f>IFERROR(__xludf.DUMMYFUNCTION("""COMPUTED_VALUE"""),"Minuman")</f>
        <v>Minuman</v>
      </c>
      <c r="F417" s="2">
        <f>IFERROR(__xludf.DUMMYFUNCTION("""COMPUTED_VALUE"""),10125.0)</f>
        <v>10125</v>
      </c>
      <c r="G417" s="2" t="str">
        <f>IFERROR(__xludf.DUMMYFUNCTION("""COMPUTED_VALUE"""),"Gula Asam Dingin")</f>
        <v>Gula Asam Dingin</v>
      </c>
      <c r="H417" s="2"/>
      <c r="I417" s="2"/>
      <c r="J417" s="2">
        <f>IFERROR(__xludf.DUMMYFUNCTION("""COMPUTED_VALUE"""),5.0)</f>
        <v>5</v>
      </c>
      <c r="K417" s="6">
        <f>IFERROR(__xludf.DUMMYFUNCTION("""COMPUTED_VALUE"""),102380.0)</f>
        <v>102380</v>
      </c>
      <c r="L417" s="2">
        <f>IFERROR(__xludf.DUMMYFUNCTION("""COMPUTED_VALUE"""),0.0)</f>
        <v>0</v>
      </c>
      <c r="M417" s="2">
        <f>IFERROR(__xludf.DUMMYFUNCTION("""COMPUTED_VALUE"""),102380.0)</f>
        <v>102380</v>
      </c>
      <c r="N417" s="2">
        <f>IFERROR(__xludf.DUMMYFUNCTION("""COMPUTED_VALUE"""),0.0)</f>
        <v>0</v>
      </c>
      <c r="O417" s="2">
        <f>IFERROR(__xludf.DUMMYFUNCTION("""COMPUTED_VALUE"""),102380.0)</f>
        <v>102380</v>
      </c>
      <c r="P417" s="2">
        <f>IFERROR(__xludf.DUMMYFUNCTION("""COMPUTED_VALUE"""),5119.0)</f>
        <v>5119</v>
      </c>
      <c r="Q417" s="2" t="str">
        <f>IFERROR(__xludf.DUMMYFUNCTION("""COMPUTED_VALUE"""),"Dine In")</f>
        <v>Dine In</v>
      </c>
      <c r="R417" s="2" t="str">
        <f>IFERROR(__xludf.DUMMYFUNCTION("""COMPUTED_VALUE"""),"Kedai")</f>
        <v>Kedai</v>
      </c>
      <c r="S417" s="2" t="str">
        <f>IFERROR(__xludf.DUMMYFUNCTION("""COMPUTED_VALUE"""),"Temu Roti")</f>
        <v>Temu Roti</v>
      </c>
      <c r="T417" s="2" t="str">
        <f>IFERROR(__xludf.DUMMYFUNCTION("""COMPUTED_VALUE"""),"Owner")</f>
        <v>Owner</v>
      </c>
      <c r="U417" s="2"/>
      <c r="V417" s="2"/>
      <c r="W417" s="2"/>
      <c r="X417" s="2" t="str">
        <f>IFERROR(__xludf.DUMMYFUNCTION("""COMPUTED_VALUE"""),"Closed")</f>
        <v>Closed</v>
      </c>
    </row>
    <row r="418">
      <c r="A418" s="3" t="s">
        <v>438</v>
      </c>
      <c r="B418" s="4">
        <f>IFERROR(__xludf.DUMMYFUNCTION("SPLIT(A418,"","",0,0)"),45556.63680555556)</f>
        <v>45556.63681</v>
      </c>
      <c r="C418" s="5">
        <f>IFERROR(__xludf.DUMMYFUNCTION("""COMPUTED_VALUE"""),2742639.0)</f>
        <v>2742639</v>
      </c>
      <c r="D418" s="2" t="str">
        <f>IFERROR(__xludf.DUMMYFUNCTION("""COMPUTED_VALUE"""),"Sale")</f>
        <v>Sale</v>
      </c>
      <c r="E418" s="2" t="str">
        <f>IFERROR(__xludf.DUMMYFUNCTION("""COMPUTED_VALUE"""),"Hidangan Utama")</f>
        <v>Hidangan Utama</v>
      </c>
      <c r="F418" s="2">
        <f>IFERROR(__xludf.DUMMYFUNCTION("""COMPUTED_VALUE"""),10053.0)</f>
        <v>10053</v>
      </c>
      <c r="G418" s="2" t="str">
        <f>IFERROR(__xludf.DUMMYFUNCTION("""COMPUTED_VALUE"""),"Nasi telor")</f>
        <v>Nasi telor</v>
      </c>
      <c r="H418" s="2"/>
      <c r="I418" s="2"/>
      <c r="J418" s="2">
        <f>IFERROR(__xludf.DUMMYFUNCTION("""COMPUTED_VALUE"""),2.0)</f>
        <v>2</v>
      </c>
      <c r="K418" s="6">
        <f>IFERROR(__xludf.DUMMYFUNCTION("""COMPUTED_VALUE"""),50476.0)</f>
        <v>50476</v>
      </c>
      <c r="L418" s="2">
        <f>IFERROR(__xludf.DUMMYFUNCTION("""COMPUTED_VALUE"""),0.0)</f>
        <v>0</v>
      </c>
      <c r="M418" s="2">
        <f>IFERROR(__xludf.DUMMYFUNCTION("""COMPUTED_VALUE"""),50476.0)</f>
        <v>50476</v>
      </c>
      <c r="N418" s="2">
        <f>IFERROR(__xludf.DUMMYFUNCTION("""COMPUTED_VALUE"""),0.0)</f>
        <v>0</v>
      </c>
      <c r="O418" s="2">
        <f>IFERROR(__xludf.DUMMYFUNCTION("""COMPUTED_VALUE"""),50476.0)</f>
        <v>50476</v>
      </c>
      <c r="P418" s="2">
        <f>IFERROR(__xludf.DUMMYFUNCTION("""COMPUTED_VALUE"""),2524.0)</f>
        <v>2524</v>
      </c>
      <c r="Q418" s="2" t="str">
        <f>IFERROR(__xludf.DUMMYFUNCTION("""COMPUTED_VALUE"""),"Dine In")</f>
        <v>Dine In</v>
      </c>
      <c r="R418" s="2" t="str">
        <f>IFERROR(__xludf.DUMMYFUNCTION("""COMPUTED_VALUE"""),"Kedai")</f>
        <v>Kedai</v>
      </c>
      <c r="S418" s="2" t="str">
        <f>IFERROR(__xludf.DUMMYFUNCTION("""COMPUTED_VALUE"""),"Temu Roti")</f>
        <v>Temu Roti</v>
      </c>
      <c r="T418" s="2" t="str">
        <f>IFERROR(__xludf.DUMMYFUNCTION("""COMPUTED_VALUE"""),"Owner")</f>
        <v>Owner</v>
      </c>
      <c r="U418" s="2"/>
      <c r="V418" s="2"/>
      <c r="W418" s="2"/>
      <c r="X418" s="2" t="str">
        <f>IFERROR(__xludf.DUMMYFUNCTION("""COMPUTED_VALUE"""),"Closed")</f>
        <v>Closed</v>
      </c>
    </row>
    <row r="419">
      <c r="A419" s="3" t="s">
        <v>439</v>
      </c>
      <c r="B419" s="4">
        <f>IFERROR(__xludf.DUMMYFUNCTION("SPLIT(A419,"","",0,0)"),45556.63680555556)</f>
        <v>45556.63681</v>
      </c>
      <c r="C419" s="5">
        <f>IFERROR(__xludf.DUMMYFUNCTION("""COMPUTED_VALUE"""),2742639.0)</f>
        <v>2742639</v>
      </c>
      <c r="D419" s="2" t="str">
        <f>IFERROR(__xludf.DUMMYFUNCTION("""COMPUTED_VALUE"""),"Sale")</f>
        <v>Sale</v>
      </c>
      <c r="E419" s="2" t="str">
        <f>IFERROR(__xludf.DUMMYFUNCTION("""COMPUTED_VALUE"""),"Hidangan Utama")</f>
        <v>Hidangan Utama</v>
      </c>
      <c r="F419" s="2">
        <f>IFERROR(__xludf.DUMMYFUNCTION("""COMPUTED_VALUE"""),10104.0)</f>
        <v>10104</v>
      </c>
      <c r="G419" s="2" t="str">
        <f>IFERROR(__xludf.DUMMYFUNCTION("""COMPUTED_VALUE"""),"Chicken Claypot Rice")</f>
        <v>Chicken Claypot Rice</v>
      </c>
      <c r="H419" s="2"/>
      <c r="I419" s="2"/>
      <c r="J419" s="2">
        <f>IFERROR(__xludf.DUMMYFUNCTION("""COMPUTED_VALUE"""),1.0)</f>
        <v>1</v>
      </c>
      <c r="K419" s="6">
        <f>IFERROR(__xludf.DUMMYFUNCTION("""COMPUTED_VALUE"""),34762.0)</f>
        <v>34762</v>
      </c>
      <c r="L419" s="2">
        <f>IFERROR(__xludf.DUMMYFUNCTION("""COMPUTED_VALUE"""),0.0)</f>
        <v>0</v>
      </c>
      <c r="M419" s="2">
        <f>IFERROR(__xludf.DUMMYFUNCTION("""COMPUTED_VALUE"""),34762.0)</f>
        <v>34762</v>
      </c>
      <c r="N419" s="2">
        <f>IFERROR(__xludf.DUMMYFUNCTION("""COMPUTED_VALUE"""),0.0)</f>
        <v>0</v>
      </c>
      <c r="O419" s="2">
        <f>IFERROR(__xludf.DUMMYFUNCTION("""COMPUTED_VALUE"""),34762.0)</f>
        <v>34762</v>
      </c>
      <c r="P419" s="2">
        <f>IFERROR(__xludf.DUMMYFUNCTION("""COMPUTED_VALUE"""),1738.0)</f>
        <v>1738</v>
      </c>
      <c r="Q419" s="2" t="str">
        <f>IFERROR(__xludf.DUMMYFUNCTION("""COMPUTED_VALUE"""),"Dine In")</f>
        <v>Dine In</v>
      </c>
      <c r="R419" s="2" t="str">
        <f>IFERROR(__xludf.DUMMYFUNCTION("""COMPUTED_VALUE"""),"Kedai")</f>
        <v>Kedai</v>
      </c>
      <c r="S419" s="2" t="str">
        <f>IFERROR(__xludf.DUMMYFUNCTION("""COMPUTED_VALUE"""),"Temu Roti")</f>
        <v>Temu Roti</v>
      </c>
      <c r="T419" s="2" t="str">
        <f>IFERROR(__xludf.DUMMYFUNCTION("""COMPUTED_VALUE"""),"Owner")</f>
        <v>Owner</v>
      </c>
      <c r="U419" s="2"/>
      <c r="V419" s="2"/>
      <c r="W419" s="2"/>
      <c r="X419" s="2" t="str">
        <f>IFERROR(__xludf.DUMMYFUNCTION("""COMPUTED_VALUE"""),"Closed")</f>
        <v>Closed</v>
      </c>
    </row>
    <row r="420">
      <c r="A420" s="3" t="s">
        <v>440</v>
      </c>
      <c r="B420" s="4">
        <f>IFERROR(__xludf.DUMMYFUNCTION("SPLIT(A420,"","",0,0)"),45556.63680555556)</f>
        <v>45556.63681</v>
      </c>
      <c r="C420" s="5">
        <f>IFERROR(__xludf.DUMMYFUNCTION("""COMPUTED_VALUE"""),2742639.0)</f>
        <v>2742639</v>
      </c>
      <c r="D420" s="2" t="str">
        <f>IFERROR(__xludf.DUMMYFUNCTION("""COMPUTED_VALUE"""),"Sale")</f>
        <v>Sale</v>
      </c>
      <c r="E420" s="2" t="str">
        <f>IFERROR(__xludf.DUMMYFUNCTION("""COMPUTED_VALUE"""),"Roti")</f>
        <v>Roti</v>
      </c>
      <c r="F420" s="2">
        <f>IFERROR(__xludf.DUMMYFUNCTION("""COMPUTED_VALUE"""),10033.0)</f>
        <v>10033</v>
      </c>
      <c r="G420" s="2" t="str">
        <f>IFERROR(__xludf.DUMMYFUNCTION("""COMPUTED_VALUE"""),"Roti panggang sarikaya")</f>
        <v>Roti panggang sarikaya</v>
      </c>
      <c r="H420" s="2"/>
      <c r="I420" s="2"/>
      <c r="J420" s="2">
        <f>IFERROR(__xludf.DUMMYFUNCTION("""COMPUTED_VALUE"""),1.0)</f>
        <v>1</v>
      </c>
      <c r="K420" s="6">
        <f>IFERROR(__xludf.DUMMYFUNCTION("""COMPUTED_VALUE"""),21905.0)</f>
        <v>21905</v>
      </c>
      <c r="L420" s="2">
        <f>IFERROR(__xludf.DUMMYFUNCTION("""COMPUTED_VALUE"""),0.0)</f>
        <v>0</v>
      </c>
      <c r="M420" s="2">
        <f>IFERROR(__xludf.DUMMYFUNCTION("""COMPUTED_VALUE"""),21905.0)</f>
        <v>21905</v>
      </c>
      <c r="N420" s="2">
        <f>IFERROR(__xludf.DUMMYFUNCTION("""COMPUTED_VALUE"""),0.0)</f>
        <v>0</v>
      </c>
      <c r="O420" s="2">
        <f>IFERROR(__xludf.DUMMYFUNCTION("""COMPUTED_VALUE"""),21905.0)</f>
        <v>21905</v>
      </c>
      <c r="P420" s="2">
        <f>IFERROR(__xludf.DUMMYFUNCTION("""COMPUTED_VALUE"""),1095.0)</f>
        <v>1095</v>
      </c>
      <c r="Q420" s="2" t="str">
        <f>IFERROR(__xludf.DUMMYFUNCTION("""COMPUTED_VALUE"""),"Dine In")</f>
        <v>Dine In</v>
      </c>
      <c r="R420" s="2" t="str">
        <f>IFERROR(__xludf.DUMMYFUNCTION("""COMPUTED_VALUE"""),"Kedai")</f>
        <v>Kedai</v>
      </c>
      <c r="S420" s="2" t="str">
        <f>IFERROR(__xludf.DUMMYFUNCTION("""COMPUTED_VALUE"""),"Temu Roti")</f>
        <v>Temu Roti</v>
      </c>
      <c r="T420" s="2" t="str">
        <f>IFERROR(__xludf.DUMMYFUNCTION("""COMPUTED_VALUE"""),"Owner")</f>
        <v>Owner</v>
      </c>
      <c r="U420" s="2"/>
      <c r="V420" s="2"/>
      <c r="W420" s="2"/>
      <c r="X420" s="2" t="str">
        <f>IFERROR(__xludf.DUMMYFUNCTION("""COMPUTED_VALUE"""),"Closed")</f>
        <v>Closed</v>
      </c>
    </row>
    <row r="421">
      <c r="A421" s="3" t="s">
        <v>441</v>
      </c>
      <c r="B421" s="4">
        <f>IFERROR(__xludf.DUMMYFUNCTION("SPLIT(A421,"","",0,0)"),45556.63680555556)</f>
        <v>45556.63681</v>
      </c>
      <c r="C421" s="5">
        <f>IFERROR(__xludf.DUMMYFUNCTION("""COMPUTED_VALUE"""),2742639.0)</f>
        <v>2742639</v>
      </c>
      <c r="D421" s="2" t="str">
        <f>IFERROR(__xludf.DUMMYFUNCTION("""COMPUTED_VALUE"""),"Sale")</f>
        <v>Sale</v>
      </c>
      <c r="E421" s="2" t="str">
        <f>IFERROR(__xludf.DUMMYFUNCTION("""COMPUTED_VALUE"""),"Minuman")</f>
        <v>Minuman</v>
      </c>
      <c r="F421" s="2">
        <f>IFERROR(__xludf.DUMMYFUNCTION("""COMPUTED_VALUE"""),10112.0)</f>
        <v>10112</v>
      </c>
      <c r="G421" s="2" t="str">
        <f>IFERROR(__xludf.DUMMYFUNCTION("""COMPUTED_VALUE"""),"Air mineral")</f>
        <v>Air mineral</v>
      </c>
      <c r="H421" s="2"/>
      <c r="I421" s="2"/>
      <c r="J421" s="2">
        <f>IFERROR(__xludf.DUMMYFUNCTION("""COMPUTED_VALUE"""),1.0)</f>
        <v>1</v>
      </c>
      <c r="K421" s="6">
        <f>IFERROR(__xludf.DUMMYFUNCTION("""COMPUTED_VALUE"""),6667.0)</f>
        <v>6667</v>
      </c>
      <c r="L421" s="2">
        <f>IFERROR(__xludf.DUMMYFUNCTION("""COMPUTED_VALUE"""),0.0)</f>
        <v>0</v>
      </c>
      <c r="M421" s="2">
        <f>IFERROR(__xludf.DUMMYFUNCTION("""COMPUTED_VALUE"""),6667.0)</f>
        <v>6667</v>
      </c>
      <c r="N421" s="2">
        <f>IFERROR(__xludf.DUMMYFUNCTION("""COMPUTED_VALUE"""),0.0)</f>
        <v>0</v>
      </c>
      <c r="O421" s="2">
        <f>IFERROR(__xludf.DUMMYFUNCTION("""COMPUTED_VALUE"""),6667.0)</f>
        <v>6667</v>
      </c>
      <c r="P421" s="2">
        <f>IFERROR(__xludf.DUMMYFUNCTION("""COMPUTED_VALUE"""),334.0)</f>
        <v>334</v>
      </c>
      <c r="Q421" s="2" t="str">
        <f>IFERROR(__xludf.DUMMYFUNCTION("""COMPUTED_VALUE"""),"Dine In")</f>
        <v>Dine In</v>
      </c>
      <c r="R421" s="2" t="str">
        <f>IFERROR(__xludf.DUMMYFUNCTION("""COMPUTED_VALUE"""),"Kedai")</f>
        <v>Kedai</v>
      </c>
      <c r="S421" s="2" t="str">
        <f>IFERROR(__xludf.DUMMYFUNCTION("""COMPUTED_VALUE"""),"Temu Roti")</f>
        <v>Temu Roti</v>
      </c>
      <c r="T421" s="2" t="str">
        <f>IFERROR(__xludf.DUMMYFUNCTION("""COMPUTED_VALUE"""),"Owner")</f>
        <v>Owner</v>
      </c>
      <c r="U421" s="2"/>
      <c r="V421" s="2"/>
      <c r="W421" s="2"/>
      <c r="X421" s="2" t="str">
        <f>IFERROR(__xludf.DUMMYFUNCTION("""COMPUTED_VALUE"""),"Closed")</f>
        <v>Closed</v>
      </c>
    </row>
    <row r="422">
      <c r="A422" s="3" t="s">
        <v>442</v>
      </c>
      <c r="B422" s="4">
        <f>IFERROR(__xludf.DUMMYFUNCTION("SPLIT(A422,"","",0,0)"),45556.63680555556)</f>
        <v>45556.63681</v>
      </c>
      <c r="C422" s="5">
        <f>IFERROR(__xludf.DUMMYFUNCTION("""COMPUTED_VALUE"""),2742639.0)</f>
        <v>2742639</v>
      </c>
      <c r="D422" s="2" t="str">
        <f>IFERROR(__xludf.DUMMYFUNCTION("""COMPUTED_VALUE"""),"Sale")</f>
        <v>Sale</v>
      </c>
      <c r="E422" s="2" t="str">
        <f>IFERROR(__xludf.DUMMYFUNCTION("""COMPUTED_VALUE"""),"Roti")</f>
        <v>Roti</v>
      </c>
      <c r="F422" s="2">
        <f>IFERROR(__xludf.DUMMYFUNCTION("""COMPUTED_VALUE"""),10007.0)</f>
        <v>10007</v>
      </c>
      <c r="G422" s="2" t="str">
        <f>IFERROR(__xludf.DUMMYFUNCTION("""COMPUTED_VALUE"""),"Roti cranberry 2 pcs")</f>
        <v>Roti cranberry 2 pcs</v>
      </c>
      <c r="H422" s="2"/>
      <c r="I422" s="2"/>
      <c r="J422" s="2">
        <f>IFERROR(__xludf.DUMMYFUNCTION("""COMPUTED_VALUE"""),1.0)</f>
        <v>1</v>
      </c>
      <c r="K422" s="6">
        <f>IFERROR(__xludf.DUMMYFUNCTION("""COMPUTED_VALUE"""),33810.0)</f>
        <v>33810</v>
      </c>
      <c r="L422" s="2">
        <f>IFERROR(__xludf.DUMMYFUNCTION("""COMPUTED_VALUE"""),0.0)</f>
        <v>0</v>
      </c>
      <c r="M422" s="2">
        <f>IFERROR(__xludf.DUMMYFUNCTION("""COMPUTED_VALUE"""),33810.0)</f>
        <v>33810</v>
      </c>
      <c r="N422" s="2">
        <f>IFERROR(__xludf.DUMMYFUNCTION("""COMPUTED_VALUE"""),0.0)</f>
        <v>0</v>
      </c>
      <c r="O422" s="2">
        <f>IFERROR(__xludf.DUMMYFUNCTION("""COMPUTED_VALUE"""),33810.0)</f>
        <v>33810</v>
      </c>
      <c r="P422" s="2">
        <f>IFERROR(__xludf.DUMMYFUNCTION("""COMPUTED_VALUE"""),1690.0)</f>
        <v>1690</v>
      </c>
      <c r="Q422" s="2" t="str">
        <f>IFERROR(__xludf.DUMMYFUNCTION("""COMPUTED_VALUE"""),"Dine In")</f>
        <v>Dine In</v>
      </c>
      <c r="R422" s="2" t="str">
        <f>IFERROR(__xludf.DUMMYFUNCTION("""COMPUTED_VALUE"""),"Kedai")</f>
        <v>Kedai</v>
      </c>
      <c r="S422" s="2" t="str">
        <f>IFERROR(__xludf.DUMMYFUNCTION("""COMPUTED_VALUE"""),"Temu Roti")</f>
        <v>Temu Roti</v>
      </c>
      <c r="T422" s="2" t="str">
        <f>IFERROR(__xludf.DUMMYFUNCTION("""COMPUTED_VALUE"""),"Owner")</f>
        <v>Owner</v>
      </c>
      <c r="U422" s="2"/>
      <c r="V422" s="2"/>
      <c r="W422" s="2"/>
      <c r="X422" s="2" t="str">
        <f>IFERROR(__xludf.DUMMYFUNCTION("""COMPUTED_VALUE"""),"Closed")</f>
        <v>Closed</v>
      </c>
    </row>
    <row r="423">
      <c r="A423" s="3" t="s">
        <v>443</v>
      </c>
      <c r="B423" s="4">
        <f>IFERROR(__xludf.DUMMYFUNCTION("SPLIT(A423,"","",0,0)"),45556.63680555556)</f>
        <v>45556.63681</v>
      </c>
      <c r="C423" s="5">
        <f>IFERROR(__xludf.DUMMYFUNCTION("""COMPUTED_VALUE"""),2742639.0)</f>
        <v>2742639</v>
      </c>
      <c r="D423" s="2" t="str">
        <f>IFERROR(__xludf.DUMMYFUNCTION("""COMPUTED_VALUE"""),"Sale")</f>
        <v>Sale</v>
      </c>
      <c r="E423" s="2" t="str">
        <f>IFERROR(__xludf.DUMMYFUNCTION("""COMPUTED_VALUE"""),"Minuman")</f>
        <v>Minuman</v>
      </c>
      <c r="F423" s="2">
        <f>IFERROR(__xludf.DUMMYFUNCTION("""COMPUTED_VALUE"""),10107.0)</f>
        <v>10107</v>
      </c>
      <c r="G423" s="2" t="str">
        <f>IFERROR(__xludf.DUMMYFUNCTION("""COMPUTED_VALUE"""),"Korean Mango Fresh Milk")</f>
        <v>Korean Mango Fresh Milk</v>
      </c>
      <c r="H423" s="2"/>
      <c r="I423" s="2"/>
      <c r="J423" s="2">
        <f>IFERROR(__xludf.DUMMYFUNCTION("""COMPUTED_VALUE"""),1.0)</f>
        <v>1</v>
      </c>
      <c r="K423" s="6">
        <f>IFERROR(__xludf.DUMMYFUNCTION("""COMPUTED_VALUE"""),26667.0)</f>
        <v>26667</v>
      </c>
      <c r="L423" s="2">
        <f>IFERROR(__xludf.DUMMYFUNCTION("""COMPUTED_VALUE"""),0.0)</f>
        <v>0</v>
      </c>
      <c r="M423" s="2">
        <f>IFERROR(__xludf.DUMMYFUNCTION("""COMPUTED_VALUE"""),26667.0)</f>
        <v>26667</v>
      </c>
      <c r="N423" s="2">
        <f>IFERROR(__xludf.DUMMYFUNCTION("""COMPUTED_VALUE"""),0.0)</f>
        <v>0</v>
      </c>
      <c r="O423" s="2">
        <f>IFERROR(__xludf.DUMMYFUNCTION("""COMPUTED_VALUE"""),26667.0)</f>
        <v>26667</v>
      </c>
      <c r="P423" s="2">
        <f>IFERROR(__xludf.DUMMYFUNCTION("""COMPUTED_VALUE"""),1333.0)</f>
        <v>1333</v>
      </c>
      <c r="Q423" s="2" t="str">
        <f>IFERROR(__xludf.DUMMYFUNCTION("""COMPUTED_VALUE"""),"Dine In")</f>
        <v>Dine In</v>
      </c>
      <c r="R423" s="2" t="str">
        <f>IFERROR(__xludf.DUMMYFUNCTION("""COMPUTED_VALUE"""),"Kedai")</f>
        <v>Kedai</v>
      </c>
      <c r="S423" s="2" t="str">
        <f>IFERROR(__xludf.DUMMYFUNCTION("""COMPUTED_VALUE"""),"Temu Roti")</f>
        <v>Temu Roti</v>
      </c>
      <c r="T423" s="2" t="str">
        <f>IFERROR(__xludf.DUMMYFUNCTION("""COMPUTED_VALUE"""),"Owner")</f>
        <v>Owner</v>
      </c>
      <c r="U423" s="2"/>
      <c r="V423" s="2"/>
      <c r="W423" s="2"/>
      <c r="X423" s="2" t="str">
        <f>IFERROR(__xludf.DUMMYFUNCTION("""COMPUTED_VALUE"""),"Closed")</f>
        <v>Closed</v>
      </c>
    </row>
    <row r="424">
      <c r="A424" s="3" t="s">
        <v>444</v>
      </c>
      <c r="B424" s="4">
        <f>IFERROR(__xludf.DUMMYFUNCTION("SPLIT(A424,"","",0,0)"),45556.63680555556)</f>
        <v>45556.63681</v>
      </c>
      <c r="C424" s="5">
        <f>IFERROR(__xludf.DUMMYFUNCTION("""COMPUTED_VALUE"""),2742639.0)</f>
        <v>2742639</v>
      </c>
      <c r="D424" s="2" t="str">
        <f>IFERROR(__xludf.DUMMYFUNCTION("""COMPUTED_VALUE"""),"Sale")</f>
        <v>Sale</v>
      </c>
      <c r="E424" s="2" t="str">
        <f>IFERROR(__xludf.DUMMYFUNCTION("""COMPUTED_VALUE"""),"Minuman")</f>
        <v>Minuman</v>
      </c>
      <c r="F424" s="2">
        <f>IFERROR(__xludf.DUMMYFUNCTION("""COMPUTED_VALUE"""),10106.0)</f>
        <v>10106</v>
      </c>
      <c r="G424" s="2" t="str">
        <f>IFERROR(__xludf.DUMMYFUNCTION("""COMPUTED_VALUE"""),"Korean Strawberry Fresh Milk")</f>
        <v>Korean Strawberry Fresh Milk</v>
      </c>
      <c r="H424" s="2"/>
      <c r="I424" s="2"/>
      <c r="J424" s="2">
        <f>IFERROR(__xludf.DUMMYFUNCTION("""COMPUTED_VALUE"""),1.0)</f>
        <v>1</v>
      </c>
      <c r="K424" s="6">
        <f>IFERROR(__xludf.DUMMYFUNCTION("""COMPUTED_VALUE"""),26667.0)</f>
        <v>26667</v>
      </c>
      <c r="L424" s="2">
        <f>IFERROR(__xludf.DUMMYFUNCTION("""COMPUTED_VALUE"""),0.0)</f>
        <v>0</v>
      </c>
      <c r="M424" s="2">
        <f>IFERROR(__xludf.DUMMYFUNCTION("""COMPUTED_VALUE"""),26667.0)</f>
        <v>26667</v>
      </c>
      <c r="N424" s="2">
        <f>IFERROR(__xludf.DUMMYFUNCTION("""COMPUTED_VALUE"""),0.0)</f>
        <v>0</v>
      </c>
      <c r="O424" s="2">
        <f>IFERROR(__xludf.DUMMYFUNCTION("""COMPUTED_VALUE"""),26667.0)</f>
        <v>26667</v>
      </c>
      <c r="P424" s="2">
        <f>IFERROR(__xludf.DUMMYFUNCTION("""COMPUTED_VALUE"""),1334.0)</f>
        <v>1334</v>
      </c>
      <c r="Q424" s="2" t="str">
        <f>IFERROR(__xludf.DUMMYFUNCTION("""COMPUTED_VALUE"""),"Dine In")</f>
        <v>Dine In</v>
      </c>
      <c r="R424" s="2" t="str">
        <f>IFERROR(__xludf.DUMMYFUNCTION("""COMPUTED_VALUE"""),"Kedai")</f>
        <v>Kedai</v>
      </c>
      <c r="S424" s="2" t="str">
        <f>IFERROR(__xludf.DUMMYFUNCTION("""COMPUTED_VALUE"""),"Temu Roti")</f>
        <v>Temu Roti</v>
      </c>
      <c r="T424" s="2" t="str">
        <f>IFERROR(__xludf.DUMMYFUNCTION("""COMPUTED_VALUE"""),"Owner")</f>
        <v>Owner</v>
      </c>
      <c r="U424" s="2"/>
      <c r="V424" s="2"/>
      <c r="W424" s="2"/>
      <c r="X424" s="2" t="str">
        <f>IFERROR(__xludf.DUMMYFUNCTION("""COMPUTED_VALUE"""),"Closed")</f>
        <v>Closed</v>
      </c>
    </row>
    <row r="425">
      <c r="A425" s="3" t="s">
        <v>439</v>
      </c>
      <c r="B425" s="4">
        <f>IFERROR(__xludf.DUMMYFUNCTION("SPLIT(A425,"","",0,0)"),45556.63680555556)</f>
        <v>45556.63681</v>
      </c>
      <c r="C425" s="5">
        <f>IFERROR(__xludf.DUMMYFUNCTION("""COMPUTED_VALUE"""),2742639.0)</f>
        <v>2742639</v>
      </c>
      <c r="D425" s="2" t="str">
        <f>IFERROR(__xludf.DUMMYFUNCTION("""COMPUTED_VALUE"""),"Sale")</f>
        <v>Sale</v>
      </c>
      <c r="E425" s="2" t="str">
        <f>IFERROR(__xludf.DUMMYFUNCTION("""COMPUTED_VALUE"""),"Hidangan Utama")</f>
        <v>Hidangan Utama</v>
      </c>
      <c r="F425" s="2">
        <f>IFERROR(__xludf.DUMMYFUNCTION("""COMPUTED_VALUE"""),10104.0)</f>
        <v>10104</v>
      </c>
      <c r="G425" s="2" t="str">
        <f>IFERROR(__xludf.DUMMYFUNCTION("""COMPUTED_VALUE"""),"Chicken Claypot Rice")</f>
        <v>Chicken Claypot Rice</v>
      </c>
      <c r="H425" s="2"/>
      <c r="I425" s="2"/>
      <c r="J425" s="2">
        <f>IFERROR(__xludf.DUMMYFUNCTION("""COMPUTED_VALUE"""),1.0)</f>
        <v>1</v>
      </c>
      <c r="K425" s="6">
        <f>IFERROR(__xludf.DUMMYFUNCTION("""COMPUTED_VALUE"""),34762.0)</f>
        <v>34762</v>
      </c>
      <c r="L425" s="2">
        <f>IFERROR(__xludf.DUMMYFUNCTION("""COMPUTED_VALUE"""),0.0)</f>
        <v>0</v>
      </c>
      <c r="M425" s="2">
        <f>IFERROR(__xludf.DUMMYFUNCTION("""COMPUTED_VALUE"""),34762.0)</f>
        <v>34762</v>
      </c>
      <c r="N425" s="2">
        <f>IFERROR(__xludf.DUMMYFUNCTION("""COMPUTED_VALUE"""),0.0)</f>
        <v>0</v>
      </c>
      <c r="O425" s="2">
        <f>IFERROR(__xludf.DUMMYFUNCTION("""COMPUTED_VALUE"""),34762.0)</f>
        <v>34762</v>
      </c>
      <c r="P425" s="2">
        <f>IFERROR(__xludf.DUMMYFUNCTION("""COMPUTED_VALUE"""),1738.0)</f>
        <v>1738</v>
      </c>
      <c r="Q425" s="2" t="str">
        <f>IFERROR(__xludf.DUMMYFUNCTION("""COMPUTED_VALUE"""),"Dine In")</f>
        <v>Dine In</v>
      </c>
      <c r="R425" s="2" t="str">
        <f>IFERROR(__xludf.DUMMYFUNCTION("""COMPUTED_VALUE"""),"Kedai")</f>
        <v>Kedai</v>
      </c>
      <c r="S425" s="2" t="str">
        <f>IFERROR(__xludf.DUMMYFUNCTION("""COMPUTED_VALUE"""),"Temu Roti")</f>
        <v>Temu Roti</v>
      </c>
      <c r="T425" s="2" t="str">
        <f>IFERROR(__xludf.DUMMYFUNCTION("""COMPUTED_VALUE"""),"Owner")</f>
        <v>Owner</v>
      </c>
      <c r="U425" s="2"/>
      <c r="V425" s="2"/>
      <c r="W425" s="2"/>
      <c r="X425" s="2" t="str">
        <f>IFERROR(__xludf.DUMMYFUNCTION("""COMPUTED_VALUE"""),"Closed")</f>
        <v>Closed</v>
      </c>
    </row>
    <row r="426">
      <c r="A426" s="3" t="s">
        <v>442</v>
      </c>
      <c r="B426" s="4">
        <f>IFERROR(__xludf.DUMMYFUNCTION("SPLIT(A426,"","",0,0)"),45556.63680555556)</f>
        <v>45556.63681</v>
      </c>
      <c r="C426" s="5">
        <f>IFERROR(__xludf.DUMMYFUNCTION("""COMPUTED_VALUE"""),2742639.0)</f>
        <v>2742639</v>
      </c>
      <c r="D426" s="2" t="str">
        <f>IFERROR(__xludf.DUMMYFUNCTION("""COMPUTED_VALUE"""),"Sale")</f>
        <v>Sale</v>
      </c>
      <c r="E426" s="2" t="str">
        <f>IFERROR(__xludf.DUMMYFUNCTION("""COMPUTED_VALUE"""),"Roti")</f>
        <v>Roti</v>
      </c>
      <c r="F426" s="2">
        <f>IFERROR(__xludf.DUMMYFUNCTION("""COMPUTED_VALUE"""),10007.0)</f>
        <v>10007</v>
      </c>
      <c r="G426" s="2" t="str">
        <f>IFERROR(__xludf.DUMMYFUNCTION("""COMPUTED_VALUE"""),"Roti cranberry 2 pcs")</f>
        <v>Roti cranberry 2 pcs</v>
      </c>
      <c r="H426" s="2"/>
      <c r="I426" s="2"/>
      <c r="J426" s="2">
        <f>IFERROR(__xludf.DUMMYFUNCTION("""COMPUTED_VALUE"""),1.0)</f>
        <v>1</v>
      </c>
      <c r="K426" s="6">
        <f>IFERROR(__xludf.DUMMYFUNCTION("""COMPUTED_VALUE"""),33810.0)</f>
        <v>33810</v>
      </c>
      <c r="L426" s="2">
        <f>IFERROR(__xludf.DUMMYFUNCTION("""COMPUTED_VALUE"""),0.0)</f>
        <v>0</v>
      </c>
      <c r="M426" s="2">
        <f>IFERROR(__xludf.DUMMYFUNCTION("""COMPUTED_VALUE"""),33810.0)</f>
        <v>33810</v>
      </c>
      <c r="N426" s="2">
        <f>IFERROR(__xludf.DUMMYFUNCTION("""COMPUTED_VALUE"""),0.0)</f>
        <v>0</v>
      </c>
      <c r="O426" s="2">
        <f>IFERROR(__xludf.DUMMYFUNCTION("""COMPUTED_VALUE"""),33810.0)</f>
        <v>33810</v>
      </c>
      <c r="P426" s="2">
        <f>IFERROR(__xludf.DUMMYFUNCTION("""COMPUTED_VALUE"""),1690.0)</f>
        <v>1690</v>
      </c>
      <c r="Q426" s="2" t="str">
        <f>IFERROR(__xludf.DUMMYFUNCTION("""COMPUTED_VALUE"""),"Dine In")</f>
        <v>Dine In</v>
      </c>
      <c r="R426" s="2" t="str">
        <f>IFERROR(__xludf.DUMMYFUNCTION("""COMPUTED_VALUE"""),"Kedai")</f>
        <v>Kedai</v>
      </c>
      <c r="S426" s="2" t="str">
        <f>IFERROR(__xludf.DUMMYFUNCTION("""COMPUTED_VALUE"""),"Temu Roti")</f>
        <v>Temu Roti</v>
      </c>
      <c r="T426" s="2" t="str">
        <f>IFERROR(__xludf.DUMMYFUNCTION("""COMPUTED_VALUE"""),"Owner")</f>
        <v>Owner</v>
      </c>
      <c r="U426" s="2"/>
      <c r="V426" s="2"/>
      <c r="W426" s="2"/>
      <c r="X426" s="2" t="str">
        <f>IFERROR(__xludf.DUMMYFUNCTION("""COMPUTED_VALUE"""),"Closed")</f>
        <v>Closed</v>
      </c>
    </row>
    <row r="427">
      <c r="A427" s="3" t="s">
        <v>445</v>
      </c>
      <c r="B427" s="4">
        <f>IFERROR(__xludf.DUMMYFUNCTION("SPLIT(A427,"","",0,0)"),45556.63680555556)</f>
        <v>45556.63681</v>
      </c>
      <c r="C427" s="5">
        <f>IFERROR(__xludf.DUMMYFUNCTION("""COMPUTED_VALUE"""),2742639.0)</f>
        <v>2742639</v>
      </c>
      <c r="D427" s="2" t="str">
        <f>IFERROR(__xludf.DUMMYFUNCTION("""COMPUTED_VALUE"""),"Sale")</f>
        <v>Sale</v>
      </c>
      <c r="E427" s="2" t="str">
        <f>IFERROR(__xludf.DUMMYFUNCTION("""COMPUTED_VALUE"""),"Roti")</f>
        <v>Roti</v>
      </c>
      <c r="F427" s="2">
        <f>IFERROR(__xludf.DUMMYFUNCTION("""COMPUTED_VALUE"""),10005.0)</f>
        <v>10005</v>
      </c>
      <c r="G427" s="2" t="str">
        <f>IFERROR(__xludf.DUMMYFUNCTION("""COMPUTED_VALUE"""),"Roti Gandum Cokelat")</f>
        <v>Roti Gandum Cokelat</v>
      </c>
      <c r="H427" s="2"/>
      <c r="I427" s="2"/>
      <c r="J427" s="2">
        <f>IFERROR(__xludf.DUMMYFUNCTION("""COMPUTED_VALUE"""),1.0)</f>
        <v>1</v>
      </c>
      <c r="K427" s="6">
        <f>IFERROR(__xludf.DUMMYFUNCTION("""COMPUTED_VALUE"""),19524.0)</f>
        <v>19524</v>
      </c>
      <c r="L427" s="2">
        <f>IFERROR(__xludf.DUMMYFUNCTION("""COMPUTED_VALUE"""),0.0)</f>
        <v>0</v>
      </c>
      <c r="M427" s="2">
        <f>IFERROR(__xludf.DUMMYFUNCTION("""COMPUTED_VALUE"""),19524.0)</f>
        <v>19524</v>
      </c>
      <c r="N427" s="2">
        <f>IFERROR(__xludf.DUMMYFUNCTION("""COMPUTED_VALUE"""),0.0)</f>
        <v>0</v>
      </c>
      <c r="O427" s="2">
        <f>IFERROR(__xludf.DUMMYFUNCTION("""COMPUTED_VALUE"""),19524.0)</f>
        <v>19524</v>
      </c>
      <c r="P427" s="2">
        <f>IFERROR(__xludf.DUMMYFUNCTION("""COMPUTED_VALUE"""),977.0)</f>
        <v>977</v>
      </c>
      <c r="Q427" s="2" t="str">
        <f>IFERROR(__xludf.DUMMYFUNCTION("""COMPUTED_VALUE"""),"Dine In")</f>
        <v>Dine In</v>
      </c>
      <c r="R427" s="2" t="str">
        <f>IFERROR(__xludf.DUMMYFUNCTION("""COMPUTED_VALUE"""),"Kedai")</f>
        <v>Kedai</v>
      </c>
      <c r="S427" s="2" t="str">
        <f>IFERROR(__xludf.DUMMYFUNCTION("""COMPUTED_VALUE"""),"Temu Roti")</f>
        <v>Temu Roti</v>
      </c>
      <c r="T427" s="2" t="str">
        <f>IFERROR(__xludf.DUMMYFUNCTION("""COMPUTED_VALUE"""),"Owner")</f>
        <v>Owner</v>
      </c>
      <c r="U427" s="2"/>
      <c r="V427" s="2"/>
      <c r="W427" s="2"/>
      <c r="X427" s="2" t="str">
        <f>IFERROR(__xludf.DUMMYFUNCTION("""COMPUTED_VALUE"""),"Closed")</f>
        <v>Closed</v>
      </c>
    </row>
    <row r="428">
      <c r="A428" s="3" t="s">
        <v>446</v>
      </c>
      <c r="B428" s="4">
        <f>IFERROR(__xludf.DUMMYFUNCTION("SPLIT(A428,"","",0,0)"),45556.63611111111)</f>
        <v>45556.63611</v>
      </c>
      <c r="C428" s="5">
        <f>IFERROR(__xludf.DUMMYFUNCTION("""COMPUTED_VALUE"""),2742273.0)</f>
        <v>2742273</v>
      </c>
      <c r="D428" s="2" t="str">
        <f>IFERROR(__xludf.DUMMYFUNCTION("""COMPUTED_VALUE"""),"Sale")</f>
        <v>Sale</v>
      </c>
      <c r="E428" s="2" t="str">
        <f>IFERROR(__xludf.DUMMYFUNCTION("""COMPUTED_VALUE"""),"Kudapan")</f>
        <v>Kudapan</v>
      </c>
      <c r="F428" s="2">
        <f>IFERROR(__xludf.DUMMYFUNCTION("""COMPUTED_VALUE"""),10014.0)</f>
        <v>10014</v>
      </c>
      <c r="G428" s="2" t="str">
        <f>IFERROR(__xludf.DUMMYFUNCTION("""COMPUTED_VALUE"""),"Tempe Mendoan")</f>
        <v>Tempe Mendoan</v>
      </c>
      <c r="H428" s="2"/>
      <c r="I428" s="2"/>
      <c r="J428" s="2">
        <f>IFERROR(__xludf.DUMMYFUNCTION("""COMPUTED_VALUE"""),1.0)</f>
        <v>1</v>
      </c>
      <c r="K428" s="6">
        <f>IFERROR(__xludf.DUMMYFUNCTION("""COMPUTED_VALUE"""),25238.0)</f>
        <v>25238</v>
      </c>
      <c r="L428" s="2">
        <f>IFERROR(__xludf.DUMMYFUNCTION("""COMPUTED_VALUE"""),0.0)</f>
        <v>0</v>
      </c>
      <c r="M428" s="2">
        <f>IFERROR(__xludf.DUMMYFUNCTION("""COMPUTED_VALUE"""),25238.0)</f>
        <v>25238</v>
      </c>
      <c r="N428" s="2">
        <f>IFERROR(__xludf.DUMMYFUNCTION("""COMPUTED_VALUE"""),0.0)</f>
        <v>0</v>
      </c>
      <c r="O428" s="2">
        <f>IFERROR(__xludf.DUMMYFUNCTION("""COMPUTED_VALUE"""),25238.0)</f>
        <v>25238</v>
      </c>
      <c r="P428" s="2">
        <f>IFERROR(__xludf.DUMMYFUNCTION("""COMPUTED_VALUE"""),1262.0)</f>
        <v>1262</v>
      </c>
      <c r="Q428" s="2" t="str">
        <f>IFERROR(__xludf.DUMMYFUNCTION("""COMPUTED_VALUE"""),"Dine In")</f>
        <v>Dine In</v>
      </c>
      <c r="R428" s="2" t="str">
        <f>IFERROR(__xludf.DUMMYFUNCTION("""COMPUTED_VALUE"""),"Kedai")</f>
        <v>Kedai</v>
      </c>
      <c r="S428" s="2" t="str">
        <f>IFERROR(__xludf.DUMMYFUNCTION("""COMPUTED_VALUE"""),"Temu Roti")</f>
        <v>Temu Roti</v>
      </c>
      <c r="T428" s="2" t="str">
        <f>IFERROR(__xludf.DUMMYFUNCTION("""COMPUTED_VALUE"""),"Owner")</f>
        <v>Owner</v>
      </c>
      <c r="U428" s="2"/>
      <c r="V428" s="2"/>
      <c r="W428" s="2"/>
      <c r="X428" s="2" t="str">
        <f>IFERROR(__xludf.DUMMYFUNCTION("""COMPUTED_VALUE"""),"Closed")</f>
        <v>Closed</v>
      </c>
    </row>
    <row r="429">
      <c r="A429" s="3" t="s">
        <v>447</v>
      </c>
      <c r="B429" s="4">
        <f>IFERROR(__xludf.DUMMYFUNCTION("SPLIT(A429,"","",0,0)"),45556.575)</f>
        <v>45556.575</v>
      </c>
      <c r="C429" s="5">
        <f>IFERROR(__xludf.DUMMYFUNCTION("""COMPUTED_VALUE"""),2741908.0)</f>
        <v>2741908</v>
      </c>
      <c r="D429" s="2" t="str">
        <f>IFERROR(__xludf.DUMMYFUNCTION("""COMPUTED_VALUE"""),"Sale")</f>
        <v>Sale</v>
      </c>
      <c r="E429" s="2" t="str">
        <f>IFERROR(__xludf.DUMMYFUNCTION("""COMPUTED_VALUE"""),"Kudapan")</f>
        <v>Kudapan</v>
      </c>
      <c r="F429" s="2">
        <f>IFERROR(__xludf.DUMMYFUNCTION("""COMPUTED_VALUE"""),10014.0)</f>
        <v>10014</v>
      </c>
      <c r="G429" s="2" t="str">
        <f>IFERROR(__xludf.DUMMYFUNCTION("""COMPUTED_VALUE"""),"Tempe Mendoan")</f>
        <v>Tempe Mendoan</v>
      </c>
      <c r="H429" s="2"/>
      <c r="I429" s="2"/>
      <c r="J429" s="2">
        <f>IFERROR(__xludf.DUMMYFUNCTION("""COMPUTED_VALUE"""),1.0)</f>
        <v>1</v>
      </c>
      <c r="K429" s="6">
        <f>IFERROR(__xludf.DUMMYFUNCTION("""COMPUTED_VALUE"""),25238.0)</f>
        <v>25238</v>
      </c>
      <c r="L429" s="2">
        <f>IFERROR(__xludf.DUMMYFUNCTION("""COMPUTED_VALUE"""),0.0)</f>
        <v>0</v>
      </c>
      <c r="M429" s="2">
        <f>IFERROR(__xludf.DUMMYFUNCTION("""COMPUTED_VALUE"""),25238.0)</f>
        <v>25238</v>
      </c>
      <c r="N429" s="2">
        <f>IFERROR(__xludf.DUMMYFUNCTION("""COMPUTED_VALUE"""),0.0)</f>
        <v>0</v>
      </c>
      <c r="O429" s="2">
        <f>IFERROR(__xludf.DUMMYFUNCTION("""COMPUTED_VALUE"""),25238.0)</f>
        <v>25238</v>
      </c>
      <c r="P429" s="2">
        <f>IFERROR(__xludf.DUMMYFUNCTION("""COMPUTED_VALUE"""),1262.0)</f>
        <v>1262</v>
      </c>
      <c r="Q429" s="2" t="str">
        <f>IFERROR(__xludf.DUMMYFUNCTION("""COMPUTED_VALUE"""),"Dine In")</f>
        <v>Dine In</v>
      </c>
      <c r="R429" s="2" t="str">
        <f>IFERROR(__xludf.DUMMYFUNCTION("""COMPUTED_VALUE"""),"Kedai")</f>
        <v>Kedai</v>
      </c>
      <c r="S429" s="2" t="str">
        <f>IFERROR(__xludf.DUMMYFUNCTION("""COMPUTED_VALUE"""),"Temu Roti")</f>
        <v>Temu Roti</v>
      </c>
      <c r="T429" s="2" t="str">
        <f>IFERROR(__xludf.DUMMYFUNCTION("""COMPUTED_VALUE"""),"Owner")</f>
        <v>Owner</v>
      </c>
      <c r="U429" s="2"/>
      <c r="V429" s="2"/>
      <c r="W429" s="2"/>
      <c r="X429" s="2" t="str">
        <f>IFERROR(__xludf.DUMMYFUNCTION("""COMPUTED_VALUE"""),"Closed")</f>
        <v>Closed</v>
      </c>
    </row>
    <row r="430">
      <c r="A430" s="3" t="s">
        <v>448</v>
      </c>
      <c r="B430" s="4">
        <f>IFERROR(__xludf.DUMMYFUNCTION("SPLIT(A430,"","",0,0)"),45556.575)</f>
        <v>45556.575</v>
      </c>
      <c r="C430" s="5">
        <f>IFERROR(__xludf.DUMMYFUNCTION("""COMPUTED_VALUE"""),2741908.0)</f>
        <v>2741908</v>
      </c>
      <c r="D430" s="2" t="str">
        <f>IFERROR(__xludf.DUMMYFUNCTION("""COMPUTED_VALUE"""),"Sale")</f>
        <v>Sale</v>
      </c>
      <c r="E430" s="2" t="str">
        <f>IFERROR(__xludf.DUMMYFUNCTION("""COMPUTED_VALUE"""),"Roti")</f>
        <v>Roti</v>
      </c>
      <c r="F430" s="2">
        <f>IFERROR(__xludf.DUMMYFUNCTION("""COMPUTED_VALUE"""),10054.0)</f>
        <v>10054</v>
      </c>
      <c r="G430" s="2" t="str">
        <f>IFERROR(__xludf.DUMMYFUNCTION("""COMPUTED_VALUE"""),"Roti toast eskrim")</f>
        <v>Roti toast eskrim</v>
      </c>
      <c r="H430" s="2"/>
      <c r="I430" s="2"/>
      <c r="J430" s="2">
        <f>IFERROR(__xludf.DUMMYFUNCTION("""COMPUTED_VALUE"""),2.0)</f>
        <v>2</v>
      </c>
      <c r="K430" s="6">
        <f>IFERROR(__xludf.DUMMYFUNCTION("""COMPUTED_VALUE"""),50476.0)</f>
        <v>50476</v>
      </c>
      <c r="L430" s="2">
        <f>IFERROR(__xludf.DUMMYFUNCTION("""COMPUTED_VALUE"""),0.0)</f>
        <v>0</v>
      </c>
      <c r="M430" s="2">
        <f>IFERROR(__xludf.DUMMYFUNCTION("""COMPUTED_VALUE"""),50476.0)</f>
        <v>50476</v>
      </c>
      <c r="N430" s="2">
        <f>IFERROR(__xludf.DUMMYFUNCTION("""COMPUTED_VALUE"""),0.0)</f>
        <v>0</v>
      </c>
      <c r="O430" s="2">
        <f>IFERROR(__xludf.DUMMYFUNCTION("""COMPUTED_VALUE"""),50476.0)</f>
        <v>50476</v>
      </c>
      <c r="P430" s="2">
        <f>IFERROR(__xludf.DUMMYFUNCTION("""COMPUTED_VALUE"""),2524.0)</f>
        <v>2524</v>
      </c>
      <c r="Q430" s="2" t="str">
        <f>IFERROR(__xludf.DUMMYFUNCTION("""COMPUTED_VALUE"""),"Dine In")</f>
        <v>Dine In</v>
      </c>
      <c r="R430" s="2" t="str">
        <f>IFERROR(__xludf.DUMMYFUNCTION("""COMPUTED_VALUE"""),"Kedai")</f>
        <v>Kedai</v>
      </c>
      <c r="S430" s="2" t="str">
        <f>IFERROR(__xludf.DUMMYFUNCTION("""COMPUTED_VALUE"""),"Temu Roti")</f>
        <v>Temu Roti</v>
      </c>
      <c r="T430" s="2" t="str">
        <f>IFERROR(__xludf.DUMMYFUNCTION("""COMPUTED_VALUE"""),"Owner")</f>
        <v>Owner</v>
      </c>
      <c r="U430" s="2"/>
      <c r="V430" s="2"/>
      <c r="W430" s="2"/>
      <c r="X430" s="2" t="str">
        <f>IFERROR(__xludf.DUMMYFUNCTION("""COMPUTED_VALUE"""),"Closed")</f>
        <v>Closed</v>
      </c>
    </row>
    <row r="431">
      <c r="A431" s="3" t="s">
        <v>449</v>
      </c>
      <c r="B431" s="4">
        <f>IFERROR(__xludf.DUMMYFUNCTION("SPLIT(A431,"","",0,0)"),45556.575)</f>
        <v>45556.575</v>
      </c>
      <c r="C431" s="5">
        <f>IFERROR(__xludf.DUMMYFUNCTION("""COMPUTED_VALUE"""),2741908.0)</f>
        <v>2741908</v>
      </c>
      <c r="D431" s="2" t="str">
        <f>IFERROR(__xludf.DUMMYFUNCTION("""COMPUTED_VALUE"""),"Sale")</f>
        <v>Sale</v>
      </c>
      <c r="E431" s="2" t="str">
        <f>IFERROR(__xludf.DUMMYFUNCTION("""COMPUTED_VALUE"""),"Minuman")</f>
        <v>Minuman</v>
      </c>
      <c r="F431" s="2">
        <f>IFERROR(__xludf.DUMMYFUNCTION("""COMPUTED_VALUE"""),10128.0)</f>
        <v>10128</v>
      </c>
      <c r="G431" s="2" t="str">
        <f>IFERROR(__xludf.DUMMYFUNCTION("""COMPUTED_VALUE"""),"Es Kopi Susu")</f>
        <v>Es Kopi Susu</v>
      </c>
      <c r="H431" s="2"/>
      <c r="I431" s="2"/>
      <c r="J431" s="2">
        <f>IFERROR(__xludf.DUMMYFUNCTION("""COMPUTED_VALUE"""),1.0)</f>
        <v>1</v>
      </c>
      <c r="K431" s="6">
        <f>IFERROR(__xludf.DUMMYFUNCTION("""COMPUTED_VALUE"""),23333.0)</f>
        <v>23333</v>
      </c>
      <c r="L431" s="2">
        <f>IFERROR(__xludf.DUMMYFUNCTION("""COMPUTED_VALUE"""),0.0)</f>
        <v>0</v>
      </c>
      <c r="M431" s="2">
        <f>IFERROR(__xludf.DUMMYFUNCTION("""COMPUTED_VALUE"""),23333.0)</f>
        <v>23333</v>
      </c>
      <c r="N431" s="2">
        <f>IFERROR(__xludf.DUMMYFUNCTION("""COMPUTED_VALUE"""),0.0)</f>
        <v>0</v>
      </c>
      <c r="O431" s="2">
        <f>IFERROR(__xludf.DUMMYFUNCTION("""COMPUTED_VALUE"""),23333.0)</f>
        <v>23333</v>
      </c>
      <c r="P431" s="2">
        <f>IFERROR(__xludf.DUMMYFUNCTION("""COMPUTED_VALUE"""),1166.0)</f>
        <v>1166</v>
      </c>
      <c r="Q431" s="2" t="str">
        <f>IFERROR(__xludf.DUMMYFUNCTION("""COMPUTED_VALUE"""),"Dine In")</f>
        <v>Dine In</v>
      </c>
      <c r="R431" s="2" t="str">
        <f>IFERROR(__xludf.DUMMYFUNCTION("""COMPUTED_VALUE"""),"Kedai")</f>
        <v>Kedai</v>
      </c>
      <c r="S431" s="2" t="str">
        <f>IFERROR(__xludf.DUMMYFUNCTION("""COMPUTED_VALUE"""),"Temu Roti")</f>
        <v>Temu Roti</v>
      </c>
      <c r="T431" s="2" t="str">
        <f>IFERROR(__xludf.DUMMYFUNCTION("""COMPUTED_VALUE"""),"Owner")</f>
        <v>Owner</v>
      </c>
      <c r="U431" s="2"/>
      <c r="V431" s="2"/>
      <c r="W431" s="2"/>
      <c r="X431" s="2" t="str">
        <f>IFERROR(__xludf.DUMMYFUNCTION("""COMPUTED_VALUE"""),"Closed")</f>
        <v>Closed</v>
      </c>
    </row>
    <row r="432">
      <c r="A432" s="3" t="s">
        <v>450</v>
      </c>
      <c r="B432" s="4">
        <f>IFERROR(__xludf.DUMMYFUNCTION("SPLIT(A432,"","",0,0)"),45556.575)</f>
        <v>45556.575</v>
      </c>
      <c r="C432" s="5">
        <f>IFERROR(__xludf.DUMMYFUNCTION("""COMPUTED_VALUE"""),2741908.0)</f>
        <v>2741908</v>
      </c>
      <c r="D432" s="2" t="str">
        <f>IFERROR(__xludf.DUMMYFUNCTION("""COMPUTED_VALUE"""),"Sale")</f>
        <v>Sale</v>
      </c>
      <c r="E432" s="2" t="str">
        <f>IFERROR(__xludf.DUMMYFUNCTION("""COMPUTED_VALUE"""),"Minuman")</f>
        <v>Minuman</v>
      </c>
      <c r="F432" s="2">
        <f>IFERROR(__xludf.DUMMYFUNCTION("""COMPUTED_VALUE"""),10121.0)</f>
        <v>10121</v>
      </c>
      <c r="G432" s="2" t="str">
        <f>IFERROR(__xludf.DUMMYFUNCTION("""COMPUTED_VALUE"""),"Lemon Tea Dingin")</f>
        <v>Lemon Tea Dingin</v>
      </c>
      <c r="H432" s="2"/>
      <c r="I432" s="2"/>
      <c r="J432" s="2">
        <f>IFERROR(__xludf.DUMMYFUNCTION("""COMPUTED_VALUE"""),1.0)</f>
        <v>1</v>
      </c>
      <c r="K432" s="6">
        <f>IFERROR(__xludf.DUMMYFUNCTION("""COMPUTED_VALUE"""),19524.0)</f>
        <v>19524</v>
      </c>
      <c r="L432" s="2">
        <f>IFERROR(__xludf.DUMMYFUNCTION("""COMPUTED_VALUE"""),0.0)</f>
        <v>0</v>
      </c>
      <c r="M432" s="2">
        <f>IFERROR(__xludf.DUMMYFUNCTION("""COMPUTED_VALUE"""),19524.0)</f>
        <v>19524</v>
      </c>
      <c r="N432" s="2">
        <f>IFERROR(__xludf.DUMMYFUNCTION("""COMPUTED_VALUE"""),0.0)</f>
        <v>0</v>
      </c>
      <c r="O432" s="2">
        <f>IFERROR(__xludf.DUMMYFUNCTION("""COMPUTED_VALUE"""),19524.0)</f>
        <v>19524</v>
      </c>
      <c r="P432" s="2">
        <f>IFERROR(__xludf.DUMMYFUNCTION("""COMPUTED_VALUE"""),977.0)</f>
        <v>977</v>
      </c>
      <c r="Q432" s="2" t="str">
        <f>IFERROR(__xludf.DUMMYFUNCTION("""COMPUTED_VALUE"""),"Dine In")</f>
        <v>Dine In</v>
      </c>
      <c r="R432" s="2" t="str">
        <f>IFERROR(__xludf.DUMMYFUNCTION("""COMPUTED_VALUE"""),"Kedai")</f>
        <v>Kedai</v>
      </c>
      <c r="S432" s="2" t="str">
        <f>IFERROR(__xludf.DUMMYFUNCTION("""COMPUTED_VALUE"""),"Temu Roti")</f>
        <v>Temu Roti</v>
      </c>
      <c r="T432" s="2" t="str">
        <f>IFERROR(__xludf.DUMMYFUNCTION("""COMPUTED_VALUE"""),"Owner")</f>
        <v>Owner</v>
      </c>
      <c r="U432" s="2"/>
      <c r="V432" s="2"/>
      <c r="W432" s="2"/>
      <c r="X432" s="2" t="str">
        <f>IFERROR(__xludf.DUMMYFUNCTION("""COMPUTED_VALUE"""),"Closed")</f>
        <v>Closed</v>
      </c>
    </row>
    <row r="433">
      <c r="A433" s="3" t="s">
        <v>451</v>
      </c>
      <c r="B433" s="4">
        <f>IFERROR(__xludf.DUMMYFUNCTION("SPLIT(A433,"","",0,0)"),45556.572222222225)</f>
        <v>45556.57222</v>
      </c>
      <c r="C433" s="5">
        <f>IFERROR(__xludf.DUMMYFUNCTION("""COMPUTED_VALUE"""),2741543.0)</f>
        <v>2741543</v>
      </c>
      <c r="D433" s="2" t="str">
        <f>IFERROR(__xludf.DUMMYFUNCTION("""COMPUTED_VALUE"""),"Sale")</f>
        <v>Sale</v>
      </c>
      <c r="E433" s="2" t="str">
        <f>IFERROR(__xludf.DUMMYFUNCTION("""COMPUTED_VALUE"""),"Kudapan")</f>
        <v>Kudapan</v>
      </c>
      <c r="F433" s="2">
        <f>IFERROR(__xludf.DUMMYFUNCTION("""COMPUTED_VALUE"""),10010.0)</f>
        <v>10010</v>
      </c>
      <c r="G433" s="2" t="str">
        <f>IFERROR(__xludf.DUMMYFUNCTION("""COMPUTED_VALUE"""),"Pisang Goreng")</f>
        <v>Pisang Goreng</v>
      </c>
      <c r="H433" s="2"/>
      <c r="I433" s="2"/>
      <c r="J433" s="2">
        <f>IFERROR(__xludf.DUMMYFUNCTION("""COMPUTED_VALUE"""),2.0)</f>
        <v>2</v>
      </c>
      <c r="K433" s="6">
        <f>IFERROR(__xludf.DUMMYFUNCTION("""COMPUTED_VALUE"""),50476.0)</f>
        <v>50476</v>
      </c>
      <c r="L433" s="2">
        <f>IFERROR(__xludf.DUMMYFUNCTION("""COMPUTED_VALUE"""),0.0)</f>
        <v>0</v>
      </c>
      <c r="M433" s="2">
        <f>IFERROR(__xludf.DUMMYFUNCTION("""COMPUTED_VALUE"""),50476.0)</f>
        <v>50476</v>
      </c>
      <c r="N433" s="2">
        <f>IFERROR(__xludf.DUMMYFUNCTION("""COMPUTED_VALUE"""),0.0)</f>
        <v>0</v>
      </c>
      <c r="O433" s="2">
        <f>IFERROR(__xludf.DUMMYFUNCTION("""COMPUTED_VALUE"""),50476.0)</f>
        <v>50476</v>
      </c>
      <c r="P433" s="2">
        <f>IFERROR(__xludf.DUMMYFUNCTION("""COMPUTED_VALUE"""),2524.0)</f>
        <v>2524</v>
      </c>
      <c r="Q433" s="2" t="str">
        <f>IFERROR(__xludf.DUMMYFUNCTION("""COMPUTED_VALUE"""),"Dine In")</f>
        <v>Dine In</v>
      </c>
      <c r="R433" s="2" t="str">
        <f>IFERROR(__xludf.DUMMYFUNCTION("""COMPUTED_VALUE"""),"Kedai")</f>
        <v>Kedai</v>
      </c>
      <c r="S433" s="2" t="str">
        <f>IFERROR(__xludf.DUMMYFUNCTION("""COMPUTED_VALUE"""),"Temu Roti")</f>
        <v>Temu Roti</v>
      </c>
      <c r="T433" s="2" t="str">
        <f>IFERROR(__xludf.DUMMYFUNCTION("""COMPUTED_VALUE"""),"Owner")</f>
        <v>Owner</v>
      </c>
      <c r="U433" s="2"/>
      <c r="V433" s="2"/>
      <c r="W433" s="2"/>
      <c r="X433" s="2" t="str">
        <f>IFERROR(__xludf.DUMMYFUNCTION("""COMPUTED_VALUE"""),"Closed")</f>
        <v>Closed</v>
      </c>
    </row>
    <row r="434">
      <c r="A434" s="3" t="s">
        <v>452</v>
      </c>
      <c r="B434" s="4">
        <f>IFERROR(__xludf.DUMMYFUNCTION("SPLIT(A434,"","",0,0)"),45556.572222222225)</f>
        <v>45556.57222</v>
      </c>
      <c r="C434" s="5">
        <f>IFERROR(__xludf.DUMMYFUNCTION("""COMPUTED_VALUE"""),2741543.0)</f>
        <v>2741543</v>
      </c>
      <c r="D434" s="2" t="str">
        <f>IFERROR(__xludf.DUMMYFUNCTION("""COMPUTED_VALUE"""),"Sale")</f>
        <v>Sale</v>
      </c>
      <c r="E434" s="2" t="str">
        <f>IFERROR(__xludf.DUMMYFUNCTION("""COMPUTED_VALUE"""),"Kudapan")</f>
        <v>Kudapan</v>
      </c>
      <c r="F434" s="2">
        <f>IFERROR(__xludf.DUMMYFUNCTION("""COMPUTED_VALUE"""),10015.0)</f>
        <v>10015</v>
      </c>
      <c r="G434" s="2" t="str">
        <f>IFERROR(__xludf.DUMMYFUNCTION("""COMPUTED_VALUE"""),"Tahu Lada Garam")</f>
        <v>Tahu Lada Garam</v>
      </c>
      <c r="H434" s="2"/>
      <c r="I434" s="2"/>
      <c r="J434" s="2">
        <f>IFERROR(__xludf.DUMMYFUNCTION("""COMPUTED_VALUE"""),2.0)</f>
        <v>2</v>
      </c>
      <c r="K434" s="6">
        <f>IFERROR(__xludf.DUMMYFUNCTION("""COMPUTED_VALUE"""),50476.0)</f>
        <v>50476</v>
      </c>
      <c r="L434" s="2">
        <f>IFERROR(__xludf.DUMMYFUNCTION("""COMPUTED_VALUE"""),0.0)</f>
        <v>0</v>
      </c>
      <c r="M434" s="2">
        <f>IFERROR(__xludf.DUMMYFUNCTION("""COMPUTED_VALUE"""),50476.0)</f>
        <v>50476</v>
      </c>
      <c r="N434" s="2">
        <f>IFERROR(__xludf.DUMMYFUNCTION("""COMPUTED_VALUE"""),0.0)</f>
        <v>0</v>
      </c>
      <c r="O434" s="2">
        <f>IFERROR(__xludf.DUMMYFUNCTION("""COMPUTED_VALUE"""),50476.0)</f>
        <v>50476</v>
      </c>
      <c r="P434" s="2">
        <f>IFERROR(__xludf.DUMMYFUNCTION("""COMPUTED_VALUE"""),2524.0)</f>
        <v>2524</v>
      </c>
      <c r="Q434" s="2" t="str">
        <f>IFERROR(__xludf.DUMMYFUNCTION("""COMPUTED_VALUE"""),"Dine In")</f>
        <v>Dine In</v>
      </c>
      <c r="R434" s="2" t="str">
        <f>IFERROR(__xludf.DUMMYFUNCTION("""COMPUTED_VALUE"""),"Kedai")</f>
        <v>Kedai</v>
      </c>
      <c r="S434" s="2" t="str">
        <f>IFERROR(__xludf.DUMMYFUNCTION("""COMPUTED_VALUE"""),"Temu Roti")</f>
        <v>Temu Roti</v>
      </c>
      <c r="T434" s="2" t="str">
        <f>IFERROR(__xludf.DUMMYFUNCTION("""COMPUTED_VALUE"""),"Owner")</f>
        <v>Owner</v>
      </c>
      <c r="U434" s="2"/>
      <c r="V434" s="2"/>
      <c r="W434" s="2"/>
      <c r="X434" s="2" t="str">
        <f>IFERROR(__xludf.DUMMYFUNCTION("""COMPUTED_VALUE"""),"Closed")</f>
        <v>Closed</v>
      </c>
    </row>
    <row r="435">
      <c r="A435" s="3" t="s">
        <v>453</v>
      </c>
      <c r="B435" s="4">
        <f>IFERROR(__xludf.DUMMYFUNCTION("SPLIT(A435,"","",0,0)"),45556.572222222225)</f>
        <v>45556.57222</v>
      </c>
      <c r="C435" s="5">
        <f>IFERROR(__xludf.DUMMYFUNCTION("""COMPUTED_VALUE"""),2741543.0)</f>
        <v>2741543</v>
      </c>
      <c r="D435" s="2" t="str">
        <f>IFERROR(__xludf.DUMMYFUNCTION("""COMPUTED_VALUE"""),"Sale")</f>
        <v>Sale</v>
      </c>
      <c r="E435" s="2" t="str">
        <f>IFERROR(__xludf.DUMMYFUNCTION("""COMPUTED_VALUE"""),"Minuman")</f>
        <v>Minuman</v>
      </c>
      <c r="F435" s="2">
        <f>IFERROR(__xludf.DUMMYFUNCTION("""COMPUTED_VALUE"""),10128.0)</f>
        <v>10128</v>
      </c>
      <c r="G435" s="2" t="str">
        <f>IFERROR(__xludf.DUMMYFUNCTION("""COMPUTED_VALUE"""),"Es Kopi Susu")</f>
        <v>Es Kopi Susu</v>
      </c>
      <c r="H435" s="2"/>
      <c r="I435" s="2"/>
      <c r="J435" s="2">
        <f>IFERROR(__xludf.DUMMYFUNCTION("""COMPUTED_VALUE"""),6.0)</f>
        <v>6</v>
      </c>
      <c r="K435" s="6">
        <f>IFERROR(__xludf.DUMMYFUNCTION("""COMPUTED_VALUE"""),139998.0)</f>
        <v>139998</v>
      </c>
      <c r="L435" s="2">
        <f>IFERROR(__xludf.DUMMYFUNCTION("""COMPUTED_VALUE"""),0.0)</f>
        <v>0</v>
      </c>
      <c r="M435" s="2">
        <f>IFERROR(__xludf.DUMMYFUNCTION("""COMPUTED_VALUE"""),139998.0)</f>
        <v>139998</v>
      </c>
      <c r="N435" s="2">
        <f>IFERROR(__xludf.DUMMYFUNCTION("""COMPUTED_VALUE"""),0.0)</f>
        <v>0</v>
      </c>
      <c r="O435" s="2">
        <f>IFERROR(__xludf.DUMMYFUNCTION("""COMPUTED_VALUE"""),139998.0)</f>
        <v>139998</v>
      </c>
      <c r="P435" s="2">
        <f>IFERROR(__xludf.DUMMYFUNCTION("""COMPUTED_VALUE"""),7000.0)</f>
        <v>7000</v>
      </c>
      <c r="Q435" s="2" t="str">
        <f>IFERROR(__xludf.DUMMYFUNCTION("""COMPUTED_VALUE"""),"Dine In")</f>
        <v>Dine In</v>
      </c>
      <c r="R435" s="2" t="str">
        <f>IFERROR(__xludf.DUMMYFUNCTION("""COMPUTED_VALUE"""),"Kedai")</f>
        <v>Kedai</v>
      </c>
      <c r="S435" s="2" t="str">
        <f>IFERROR(__xludf.DUMMYFUNCTION("""COMPUTED_VALUE"""),"Temu Roti")</f>
        <v>Temu Roti</v>
      </c>
      <c r="T435" s="2" t="str">
        <f>IFERROR(__xludf.DUMMYFUNCTION("""COMPUTED_VALUE"""),"Owner")</f>
        <v>Owner</v>
      </c>
      <c r="U435" s="2"/>
      <c r="V435" s="2"/>
      <c r="W435" s="2"/>
      <c r="X435" s="2" t="str">
        <f>IFERROR(__xludf.DUMMYFUNCTION("""COMPUTED_VALUE"""),"Closed")</f>
        <v>Closed</v>
      </c>
    </row>
    <row r="436">
      <c r="A436" s="3" t="s">
        <v>454</v>
      </c>
      <c r="B436" s="4">
        <f>IFERROR(__xludf.DUMMYFUNCTION("SPLIT(A436,"","",0,0)"),45556.572222222225)</f>
        <v>45556.57222</v>
      </c>
      <c r="C436" s="5">
        <f>IFERROR(__xludf.DUMMYFUNCTION("""COMPUTED_VALUE"""),2741543.0)</f>
        <v>2741543</v>
      </c>
      <c r="D436" s="2" t="str">
        <f>IFERROR(__xludf.DUMMYFUNCTION("""COMPUTED_VALUE"""),"Sale")</f>
        <v>Sale</v>
      </c>
      <c r="E436" s="2" t="str">
        <f>IFERROR(__xludf.DUMMYFUNCTION("""COMPUTED_VALUE"""),"Minuman")</f>
        <v>Minuman</v>
      </c>
      <c r="F436" s="2">
        <f>IFERROR(__xludf.DUMMYFUNCTION("""COMPUTED_VALUE"""),10122.0)</f>
        <v>10122</v>
      </c>
      <c r="G436" s="2" t="str">
        <f>IFERROR(__xludf.DUMMYFUNCTION("""COMPUTED_VALUE"""),"Rempah Madu Panas")</f>
        <v>Rempah Madu Panas</v>
      </c>
      <c r="H436" s="2"/>
      <c r="I436" s="2"/>
      <c r="J436" s="2">
        <f>IFERROR(__xludf.DUMMYFUNCTION("""COMPUTED_VALUE"""),5.0)</f>
        <v>5</v>
      </c>
      <c r="K436" s="6">
        <f>IFERROR(__xludf.DUMMYFUNCTION("""COMPUTED_VALUE"""),109525.0)</f>
        <v>109525</v>
      </c>
      <c r="L436" s="2">
        <f>IFERROR(__xludf.DUMMYFUNCTION("""COMPUTED_VALUE"""),0.0)</f>
        <v>0</v>
      </c>
      <c r="M436" s="2">
        <f>IFERROR(__xludf.DUMMYFUNCTION("""COMPUTED_VALUE"""),109525.0)</f>
        <v>109525</v>
      </c>
      <c r="N436" s="2">
        <f>IFERROR(__xludf.DUMMYFUNCTION("""COMPUTED_VALUE"""),0.0)</f>
        <v>0</v>
      </c>
      <c r="O436" s="2">
        <f>IFERROR(__xludf.DUMMYFUNCTION("""COMPUTED_VALUE"""),109525.0)</f>
        <v>109525</v>
      </c>
      <c r="P436" s="2">
        <f>IFERROR(__xludf.DUMMYFUNCTION("""COMPUTED_VALUE"""),5476.0)</f>
        <v>5476</v>
      </c>
      <c r="Q436" s="2" t="str">
        <f>IFERROR(__xludf.DUMMYFUNCTION("""COMPUTED_VALUE"""),"Dine In")</f>
        <v>Dine In</v>
      </c>
      <c r="R436" s="2" t="str">
        <f>IFERROR(__xludf.DUMMYFUNCTION("""COMPUTED_VALUE"""),"Kedai")</f>
        <v>Kedai</v>
      </c>
      <c r="S436" s="2" t="str">
        <f>IFERROR(__xludf.DUMMYFUNCTION("""COMPUTED_VALUE"""),"Temu Roti")</f>
        <v>Temu Roti</v>
      </c>
      <c r="T436" s="2" t="str">
        <f>IFERROR(__xludf.DUMMYFUNCTION("""COMPUTED_VALUE"""),"Owner")</f>
        <v>Owner</v>
      </c>
      <c r="U436" s="2"/>
      <c r="V436" s="2"/>
      <c r="W436" s="2"/>
      <c r="X436" s="2" t="str">
        <f>IFERROR(__xludf.DUMMYFUNCTION("""COMPUTED_VALUE"""),"Closed")</f>
        <v>Closed</v>
      </c>
    </row>
    <row r="437">
      <c r="A437" s="3" t="s">
        <v>455</v>
      </c>
      <c r="B437" s="4">
        <f>IFERROR(__xludf.DUMMYFUNCTION("SPLIT(A437,"","",0,0)"),45556.572222222225)</f>
        <v>45556.57222</v>
      </c>
      <c r="C437" s="5">
        <f>IFERROR(__xludf.DUMMYFUNCTION("""COMPUTED_VALUE"""),2741543.0)</f>
        <v>2741543</v>
      </c>
      <c r="D437" s="2" t="str">
        <f>IFERROR(__xludf.DUMMYFUNCTION("""COMPUTED_VALUE"""),"Sale")</f>
        <v>Sale</v>
      </c>
      <c r="E437" s="2" t="str">
        <f>IFERROR(__xludf.DUMMYFUNCTION("""COMPUTED_VALUE"""),"Minuman")</f>
        <v>Minuman</v>
      </c>
      <c r="F437" s="2">
        <f>IFERROR(__xludf.DUMMYFUNCTION("""COMPUTED_VALUE"""),10127.0)</f>
        <v>10127</v>
      </c>
      <c r="G437" s="2" t="str">
        <f>IFERROR(__xludf.DUMMYFUNCTION("""COMPUTED_VALUE"""),"Kopi Tubruk Panas")</f>
        <v>Kopi Tubruk Panas</v>
      </c>
      <c r="H437" s="2"/>
      <c r="I437" s="2"/>
      <c r="J437" s="2">
        <f>IFERROR(__xludf.DUMMYFUNCTION("""COMPUTED_VALUE"""),3.0)</f>
        <v>3</v>
      </c>
      <c r="K437" s="6">
        <f>IFERROR(__xludf.DUMMYFUNCTION("""COMPUTED_VALUE"""),55713.0)</f>
        <v>55713</v>
      </c>
      <c r="L437" s="2">
        <f>IFERROR(__xludf.DUMMYFUNCTION("""COMPUTED_VALUE"""),0.0)</f>
        <v>0</v>
      </c>
      <c r="M437" s="2">
        <f>IFERROR(__xludf.DUMMYFUNCTION("""COMPUTED_VALUE"""),55713.0)</f>
        <v>55713</v>
      </c>
      <c r="N437" s="2">
        <f>IFERROR(__xludf.DUMMYFUNCTION("""COMPUTED_VALUE"""),0.0)</f>
        <v>0</v>
      </c>
      <c r="O437" s="2">
        <f>IFERROR(__xludf.DUMMYFUNCTION("""COMPUTED_VALUE"""),55713.0)</f>
        <v>55713</v>
      </c>
      <c r="P437" s="2">
        <f>IFERROR(__xludf.DUMMYFUNCTION("""COMPUTED_VALUE"""),2785.0)</f>
        <v>2785</v>
      </c>
      <c r="Q437" s="2" t="str">
        <f>IFERROR(__xludf.DUMMYFUNCTION("""COMPUTED_VALUE"""),"Dine In")</f>
        <v>Dine In</v>
      </c>
      <c r="R437" s="2" t="str">
        <f>IFERROR(__xludf.DUMMYFUNCTION("""COMPUTED_VALUE"""),"Kedai")</f>
        <v>Kedai</v>
      </c>
      <c r="S437" s="2" t="str">
        <f>IFERROR(__xludf.DUMMYFUNCTION("""COMPUTED_VALUE"""),"Temu Roti")</f>
        <v>Temu Roti</v>
      </c>
      <c r="T437" s="2" t="str">
        <f>IFERROR(__xludf.DUMMYFUNCTION("""COMPUTED_VALUE"""),"Owner")</f>
        <v>Owner</v>
      </c>
      <c r="U437" s="2"/>
      <c r="V437" s="2"/>
      <c r="W437" s="2"/>
      <c r="X437" s="2" t="str">
        <f>IFERROR(__xludf.DUMMYFUNCTION("""COMPUTED_VALUE"""),"Closed")</f>
        <v>Closed</v>
      </c>
    </row>
    <row r="438">
      <c r="A438" s="3" t="s">
        <v>456</v>
      </c>
      <c r="B438" s="4">
        <f>IFERROR(__xludf.DUMMYFUNCTION("SPLIT(A438,"","",0,0)"),45556.572222222225)</f>
        <v>45556.57222</v>
      </c>
      <c r="C438" s="5">
        <f>IFERROR(__xludf.DUMMYFUNCTION("""COMPUTED_VALUE"""),2741543.0)</f>
        <v>2741543</v>
      </c>
      <c r="D438" s="2" t="str">
        <f>IFERROR(__xludf.DUMMYFUNCTION("""COMPUTED_VALUE"""),"Sale")</f>
        <v>Sale</v>
      </c>
      <c r="E438" s="2" t="str">
        <f>IFERROR(__xludf.DUMMYFUNCTION("""COMPUTED_VALUE"""),"Minuman")</f>
        <v>Minuman</v>
      </c>
      <c r="F438" s="2">
        <f>IFERROR(__xludf.DUMMYFUNCTION("""COMPUTED_VALUE"""),10118.0)</f>
        <v>10118</v>
      </c>
      <c r="G438" s="2" t="str">
        <f>IFERROR(__xludf.DUMMYFUNCTION("""COMPUTED_VALUE"""),"Teh Tawar Panas")</f>
        <v>Teh Tawar Panas</v>
      </c>
      <c r="H438" s="2"/>
      <c r="I438" s="2"/>
      <c r="J438" s="2">
        <f>IFERROR(__xludf.DUMMYFUNCTION("""COMPUTED_VALUE"""),1.0)</f>
        <v>1</v>
      </c>
      <c r="K438" s="6">
        <f>IFERROR(__xludf.DUMMYFUNCTION("""COMPUTED_VALUE"""),7143.0)</f>
        <v>7143</v>
      </c>
      <c r="L438" s="2">
        <f>IFERROR(__xludf.DUMMYFUNCTION("""COMPUTED_VALUE"""),0.0)</f>
        <v>0</v>
      </c>
      <c r="M438" s="2">
        <f>IFERROR(__xludf.DUMMYFUNCTION("""COMPUTED_VALUE"""),7143.0)</f>
        <v>7143</v>
      </c>
      <c r="N438" s="2">
        <f>IFERROR(__xludf.DUMMYFUNCTION("""COMPUTED_VALUE"""),0.0)</f>
        <v>0</v>
      </c>
      <c r="O438" s="2">
        <f>IFERROR(__xludf.DUMMYFUNCTION("""COMPUTED_VALUE"""),7143.0)</f>
        <v>7143</v>
      </c>
      <c r="P438" s="2">
        <f>IFERROR(__xludf.DUMMYFUNCTION("""COMPUTED_VALUE"""),358.0)</f>
        <v>358</v>
      </c>
      <c r="Q438" s="2" t="str">
        <f>IFERROR(__xludf.DUMMYFUNCTION("""COMPUTED_VALUE"""),"Dine In")</f>
        <v>Dine In</v>
      </c>
      <c r="R438" s="2" t="str">
        <f>IFERROR(__xludf.DUMMYFUNCTION("""COMPUTED_VALUE"""),"Kedai")</f>
        <v>Kedai</v>
      </c>
      <c r="S438" s="2" t="str">
        <f>IFERROR(__xludf.DUMMYFUNCTION("""COMPUTED_VALUE"""),"Temu Roti")</f>
        <v>Temu Roti</v>
      </c>
      <c r="T438" s="2" t="str">
        <f>IFERROR(__xludf.DUMMYFUNCTION("""COMPUTED_VALUE"""),"Owner")</f>
        <v>Owner</v>
      </c>
      <c r="U438" s="2"/>
      <c r="V438" s="2"/>
      <c r="W438" s="2"/>
      <c r="X438" s="2" t="str">
        <f>IFERROR(__xludf.DUMMYFUNCTION("""COMPUTED_VALUE"""),"Closed")</f>
        <v>Closed</v>
      </c>
    </row>
    <row r="439">
      <c r="A439" s="3" t="s">
        <v>457</v>
      </c>
      <c r="B439" s="4">
        <f>IFERROR(__xludf.DUMMYFUNCTION("SPLIT(A439,"","",0,0)"),45556.572222222225)</f>
        <v>45556.57222</v>
      </c>
      <c r="C439" s="5">
        <f>IFERROR(__xludf.DUMMYFUNCTION("""COMPUTED_VALUE"""),2741543.0)</f>
        <v>2741543</v>
      </c>
      <c r="D439" s="2" t="str">
        <f>IFERROR(__xludf.DUMMYFUNCTION("""COMPUTED_VALUE"""),"Sale")</f>
        <v>Sale</v>
      </c>
      <c r="E439" s="2" t="str">
        <f>IFERROR(__xludf.DUMMYFUNCTION("""COMPUTED_VALUE"""),"Roti")</f>
        <v>Roti</v>
      </c>
      <c r="F439" s="2">
        <f>IFERROR(__xludf.DUMMYFUNCTION("""COMPUTED_VALUE"""),10055.0)</f>
        <v>10055</v>
      </c>
      <c r="G439" s="2" t="str">
        <f>IFERROR(__xludf.DUMMYFUNCTION("""COMPUTED_VALUE"""),"Roti Gandum Cokelat 2 pcs")</f>
        <v>Roti Gandum Cokelat 2 pcs</v>
      </c>
      <c r="H439" s="2"/>
      <c r="I439" s="2"/>
      <c r="J439" s="2">
        <f>IFERROR(__xludf.DUMMYFUNCTION("""COMPUTED_VALUE"""),1.0)</f>
        <v>1</v>
      </c>
      <c r="K439" s="6">
        <f>IFERROR(__xludf.DUMMYFUNCTION("""COMPUTED_VALUE"""),34762.0)</f>
        <v>34762</v>
      </c>
      <c r="L439" s="2">
        <f>IFERROR(__xludf.DUMMYFUNCTION("""COMPUTED_VALUE"""),0.0)</f>
        <v>0</v>
      </c>
      <c r="M439" s="2">
        <f>IFERROR(__xludf.DUMMYFUNCTION("""COMPUTED_VALUE"""),34762.0)</f>
        <v>34762</v>
      </c>
      <c r="N439" s="2">
        <f>IFERROR(__xludf.DUMMYFUNCTION("""COMPUTED_VALUE"""),0.0)</f>
        <v>0</v>
      </c>
      <c r="O439" s="2">
        <f>IFERROR(__xludf.DUMMYFUNCTION("""COMPUTED_VALUE"""),34762.0)</f>
        <v>34762</v>
      </c>
      <c r="P439" s="2">
        <f>IFERROR(__xludf.DUMMYFUNCTION("""COMPUTED_VALUE"""),1738.0)</f>
        <v>1738</v>
      </c>
      <c r="Q439" s="2" t="str">
        <f>IFERROR(__xludf.DUMMYFUNCTION("""COMPUTED_VALUE"""),"Dine In")</f>
        <v>Dine In</v>
      </c>
      <c r="R439" s="2" t="str">
        <f>IFERROR(__xludf.DUMMYFUNCTION("""COMPUTED_VALUE"""),"Kedai")</f>
        <v>Kedai</v>
      </c>
      <c r="S439" s="2" t="str">
        <f>IFERROR(__xludf.DUMMYFUNCTION("""COMPUTED_VALUE"""),"Temu Roti")</f>
        <v>Temu Roti</v>
      </c>
      <c r="T439" s="2" t="str">
        <f>IFERROR(__xludf.DUMMYFUNCTION("""COMPUTED_VALUE"""),"Owner")</f>
        <v>Owner</v>
      </c>
      <c r="U439" s="2"/>
      <c r="V439" s="2"/>
      <c r="W439" s="2"/>
      <c r="X439" s="2" t="str">
        <f>IFERROR(__xludf.DUMMYFUNCTION("""COMPUTED_VALUE"""),"Closed")</f>
        <v>Closed</v>
      </c>
    </row>
    <row r="440">
      <c r="A440" s="3" t="s">
        <v>458</v>
      </c>
      <c r="B440" s="4">
        <f>IFERROR(__xludf.DUMMYFUNCTION("SPLIT(A440,"","",0,0)"),45556.572222222225)</f>
        <v>45556.57222</v>
      </c>
      <c r="C440" s="5">
        <f>IFERROR(__xludf.DUMMYFUNCTION("""COMPUTED_VALUE"""),2741543.0)</f>
        <v>2741543</v>
      </c>
      <c r="D440" s="2" t="str">
        <f>IFERROR(__xludf.DUMMYFUNCTION("""COMPUTED_VALUE"""),"Sale")</f>
        <v>Sale</v>
      </c>
      <c r="E440" s="2" t="str">
        <f>IFERROR(__xludf.DUMMYFUNCTION("""COMPUTED_VALUE"""),"Minuman")</f>
        <v>Minuman</v>
      </c>
      <c r="F440" s="2">
        <f>IFERROR(__xludf.DUMMYFUNCTION("""COMPUTED_VALUE"""),10120.0)</f>
        <v>10120</v>
      </c>
      <c r="G440" s="2" t="str">
        <f>IFERROR(__xludf.DUMMYFUNCTION("""COMPUTED_VALUE"""),"Lemon Tea Panas")</f>
        <v>Lemon Tea Panas</v>
      </c>
      <c r="H440" s="2"/>
      <c r="I440" s="2"/>
      <c r="J440" s="2">
        <f>IFERROR(__xludf.DUMMYFUNCTION("""COMPUTED_VALUE"""),2.0)</f>
        <v>2</v>
      </c>
      <c r="K440" s="6">
        <f>IFERROR(__xludf.DUMMYFUNCTION("""COMPUTED_VALUE"""),39048.0)</f>
        <v>39048</v>
      </c>
      <c r="L440" s="2">
        <f>IFERROR(__xludf.DUMMYFUNCTION("""COMPUTED_VALUE"""),0.0)</f>
        <v>0</v>
      </c>
      <c r="M440" s="2">
        <f>IFERROR(__xludf.DUMMYFUNCTION("""COMPUTED_VALUE"""),39048.0)</f>
        <v>39048</v>
      </c>
      <c r="N440" s="2">
        <f>IFERROR(__xludf.DUMMYFUNCTION("""COMPUTED_VALUE"""),0.0)</f>
        <v>0</v>
      </c>
      <c r="O440" s="2">
        <f>IFERROR(__xludf.DUMMYFUNCTION("""COMPUTED_VALUE"""),39048.0)</f>
        <v>39048</v>
      </c>
      <c r="P440" s="2">
        <f>IFERROR(__xludf.DUMMYFUNCTION("""COMPUTED_VALUE"""),1952.0)</f>
        <v>1952</v>
      </c>
      <c r="Q440" s="2" t="str">
        <f>IFERROR(__xludf.DUMMYFUNCTION("""COMPUTED_VALUE"""),"Dine In")</f>
        <v>Dine In</v>
      </c>
      <c r="R440" s="2" t="str">
        <f>IFERROR(__xludf.DUMMYFUNCTION("""COMPUTED_VALUE"""),"Kedai")</f>
        <v>Kedai</v>
      </c>
      <c r="S440" s="2" t="str">
        <f>IFERROR(__xludf.DUMMYFUNCTION("""COMPUTED_VALUE"""),"Temu Roti")</f>
        <v>Temu Roti</v>
      </c>
      <c r="T440" s="2" t="str">
        <f>IFERROR(__xludf.DUMMYFUNCTION("""COMPUTED_VALUE"""),"Owner")</f>
        <v>Owner</v>
      </c>
      <c r="U440" s="2"/>
      <c r="V440" s="2"/>
      <c r="W440" s="2"/>
      <c r="X440" s="2" t="str">
        <f>IFERROR(__xludf.DUMMYFUNCTION("""COMPUTED_VALUE"""),"Closed")</f>
        <v>Closed</v>
      </c>
    </row>
    <row r="441">
      <c r="A441" s="3" t="s">
        <v>459</v>
      </c>
      <c r="B441" s="4">
        <f>IFERROR(__xludf.DUMMYFUNCTION("SPLIT(A441,"","",0,0)"),45556.572222222225)</f>
        <v>45556.57222</v>
      </c>
      <c r="C441" s="5">
        <f>IFERROR(__xludf.DUMMYFUNCTION("""COMPUTED_VALUE"""),2741543.0)</f>
        <v>2741543</v>
      </c>
      <c r="D441" s="2" t="str">
        <f>IFERROR(__xludf.DUMMYFUNCTION("""COMPUTED_VALUE"""),"Sale")</f>
        <v>Sale</v>
      </c>
      <c r="E441" s="2" t="str">
        <f>IFERROR(__xludf.DUMMYFUNCTION("""COMPUTED_VALUE"""),"Kudapan")</f>
        <v>Kudapan</v>
      </c>
      <c r="F441" s="2">
        <f>IFERROR(__xludf.DUMMYFUNCTION("""COMPUTED_VALUE"""),10011.0)</f>
        <v>10011</v>
      </c>
      <c r="G441" s="2" t="str">
        <f>IFERROR(__xludf.DUMMYFUNCTION("""COMPUTED_VALUE"""),"Kentang Goreng")</f>
        <v>Kentang Goreng</v>
      </c>
      <c r="H441" s="2"/>
      <c r="I441" s="2"/>
      <c r="J441" s="2">
        <f>IFERROR(__xludf.DUMMYFUNCTION("""COMPUTED_VALUE"""),2.0)</f>
        <v>2</v>
      </c>
      <c r="K441" s="6">
        <f>IFERROR(__xludf.DUMMYFUNCTION("""COMPUTED_VALUE"""),50476.0)</f>
        <v>50476</v>
      </c>
      <c r="L441" s="2">
        <f>IFERROR(__xludf.DUMMYFUNCTION("""COMPUTED_VALUE"""),0.0)</f>
        <v>0</v>
      </c>
      <c r="M441" s="2">
        <f>IFERROR(__xludf.DUMMYFUNCTION("""COMPUTED_VALUE"""),50476.0)</f>
        <v>50476</v>
      </c>
      <c r="N441" s="2">
        <f>IFERROR(__xludf.DUMMYFUNCTION("""COMPUTED_VALUE"""),0.0)</f>
        <v>0</v>
      </c>
      <c r="O441" s="2">
        <f>IFERROR(__xludf.DUMMYFUNCTION("""COMPUTED_VALUE"""),50476.0)</f>
        <v>50476</v>
      </c>
      <c r="P441" s="2">
        <f>IFERROR(__xludf.DUMMYFUNCTION("""COMPUTED_VALUE"""),2524.0)</f>
        <v>2524</v>
      </c>
      <c r="Q441" s="2" t="str">
        <f>IFERROR(__xludf.DUMMYFUNCTION("""COMPUTED_VALUE"""),"Dine In")</f>
        <v>Dine In</v>
      </c>
      <c r="R441" s="2" t="str">
        <f>IFERROR(__xludf.DUMMYFUNCTION("""COMPUTED_VALUE"""),"Kedai")</f>
        <v>Kedai</v>
      </c>
      <c r="S441" s="2" t="str">
        <f>IFERROR(__xludf.DUMMYFUNCTION("""COMPUTED_VALUE"""),"Temu Roti")</f>
        <v>Temu Roti</v>
      </c>
      <c r="T441" s="2" t="str">
        <f>IFERROR(__xludf.DUMMYFUNCTION("""COMPUTED_VALUE"""),"Owner")</f>
        <v>Owner</v>
      </c>
      <c r="U441" s="2"/>
      <c r="V441" s="2"/>
      <c r="W441" s="2"/>
      <c r="X441" s="2" t="str">
        <f>IFERROR(__xludf.DUMMYFUNCTION("""COMPUTED_VALUE"""),"Closed")</f>
        <v>Closed</v>
      </c>
    </row>
    <row r="442">
      <c r="A442" s="3" t="s">
        <v>460</v>
      </c>
      <c r="B442" s="4">
        <f>IFERROR(__xludf.DUMMYFUNCTION("SPLIT(A442,"","",0,0)"),45556.50625)</f>
        <v>45556.50625</v>
      </c>
      <c r="C442" s="5">
        <f>IFERROR(__xludf.DUMMYFUNCTION("""COMPUTED_VALUE"""),2741178.0)</f>
        <v>2741178</v>
      </c>
      <c r="D442" s="2" t="str">
        <f>IFERROR(__xludf.DUMMYFUNCTION("""COMPUTED_VALUE"""),"Sale")</f>
        <v>Sale</v>
      </c>
      <c r="E442" s="2" t="str">
        <f>IFERROR(__xludf.DUMMYFUNCTION("""COMPUTED_VALUE"""),"Roti")</f>
        <v>Roti</v>
      </c>
      <c r="F442" s="2">
        <f>IFERROR(__xludf.DUMMYFUNCTION("""COMPUTED_VALUE"""),10002.0)</f>
        <v>10002</v>
      </c>
      <c r="G442" s="2" t="str">
        <f>IFERROR(__xludf.DUMMYFUNCTION("""COMPUTED_VALUE"""),"Roti Cranberry")</f>
        <v>Roti Cranberry</v>
      </c>
      <c r="H442" s="2"/>
      <c r="I442" s="2"/>
      <c r="J442" s="2">
        <f>IFERROR(__xludf.DUMMYFUNCTION("""COMPUTED_VALUE"""),1.0)</f>
        <v>1</v>
      </c>
      <c r="K442" s="6">
        <f>IFERROR(__xludf.DUMMYFUNCTION("""COMPUTED_VALUE"""),18571.0)</f>
        <v>18571</v>
      </c>
      <c r="L442" s="2">
        <f>IFERROR(__xludf.DUMMYFUNCTION("""COMPUTED_VALUE"""),0.0)</f>
        <v>0</v>
      </c>
      <c r="M442" s="2">
        <f>IFERROR(__xludf.DUMMYFUNCTION("""COMPUTED_VALUE"""),18571.0)</f>
        <v>18571</v>
      </c>
      <c r="N442" s="2">
        <f>IFERROR(__xludf.DUMMYFUNCTION("""COMPUTED_VALUE"""),0.0)</f>
        <v>0</v>
      </c>
      <c r="O442" s="2">
        <f>IFERROR(__xludf.DUMMYFUNCTION("""COMPUTED_VALUE"""),18571.0)</f>
        <v>18571</v>
      </c>
      <c r="P442" s="2">
        <f>IFERROR(__xludf.DUMMYFUNCTION("""COMPUTED_VALUE"""),929.0)</f>
        <v>929</v>
      </c>
      <c r="Q442" s="2" t="str">
        <f>IFERROR(__xludf.DUMMYFUNCTION("""COMPUTED_VALUE"""),"Take Away")</f>
        <v>Take Away</v>
      </c>
      <c r="R442" s="2" t="str">
        <f>IFERROR(__xludf.DUMMYFUNCTION("""COMPUTED_VALUE"""),"Kedai")</f>
        <v>Kedai</v>
      </c>
      <c r="S442" s="2" t="str">
        <f>IFERROR(__xludf.DUMMYFUNCTION("""COMPUTED_VALUE"""),"Temu Roti")</f>
        <v>Temu Roti</v>
      </c>
      <c r="T442" s="2" t="str">
        <f>IFERROR(__xludf.DUMMYFUNCTION("""COMPUTED_VALUE"""),"Owner")</f>
        <v>Owner</v>
      </c>
      <c r="U442" s="2"/>
      <c r="V442" s="2"/>
      <c r="W442" s="2"/>
      <c r="X442" s="2" t="str">
        <f>IFERROR(__xludf.DUMMYFUNCTION("""COMPUTED_VALUE"""),"Closed")</f>
        <v>Closed</v>
      </c>
    </row>
    <row r="443">
      <c r="A443" s="3" t="s">
        <v>461</v>
      </c>
      <c r="B443" s="4">
        <f>IFERROR(__xludf.DUMMYFUNCTION("SPLIT(A443,"","",0,0)"),45556.50625)</f>
        <v>45556.50625</v>
      </c>
      <c r="C443" s="5">
        <f>IFERROR(__xludf.DUMMYFUNCTION("""COMPUTED_VALUE"""),2741178.0)</f>
        <v>2741178</v>
      </c>
      <c r="D443" s="2" t="str">
        <f>IFERROR(__xludf.DUMMYFUNCTION("""COMPUTED_VALUE"""),"Sale")</f>
        <v>Sale</v>
      </c>
      <c r="E443" s="2" t="str">
        <f>IFERROR(__xludf.DUMMYFUNCTION("""COMPUTED_VALUE"""),"Roti")</f>
        <v>Roti</v>
      </c>
      <c r="F443" s="2">
        <f>IFERROR(__xludf.DUMMYFUNCTION("""COMPUTED_VALUE"""),10005.0)</f>
        <v>10005</v>
      </c>
      <c r="G443" s="2" t="str">
        <f>IFERROR(__xludf.DUMMYFUNCTION("""COMPUTED_VALUE"""),"Roti Gandum Cokelat")</f>
        <v>Roti Gandum Cokelat</v>
      </c>
      <c r="H443" s="2"/>
      <c r="I443" s="2"/>
      <c r="J443" s="2">
        <f>IFERROR(__xludf.DUMMYFUNCTION("""COMPUTED_VALUE"""),1.0)</f>
        <v>1</v>
      </c>
      <c r="K443" s="6">
        <f>IFERROR(__xludf.DUMMYFUNCTION("""COMPUTED_VALUE"""),19524.0)</f>
        <v>19524</v>
      </c>
      <c r="L443" s="2">
        <f>IFERROR(__xludf.DUMMYFUNCTION("""COMPUTED_VALUE"""),0.0)</f>
        <v>0</v>
      </c>
      <c r="M443" s="2">
        <f>IFERROR(__xludf.DUMMYFUNCTION("""COMPUTED_VALUE"""),19524.0)</f>
        <v>19524</v>
      </c>
      <c r="N443" s="2">
        <f>IFERROR(__xludf.DUMMYFUNCTION("""COMPUTED_VALUE"""),0.0)</f>
        <v>0</v>
      </c>
      <c r="O443" s="2">
        <f>IFERROR(__xludf.DUMMYFUNCTION("""COMPUTED_VALUE"""),19524.0)</f>
        <v>19524</v>
      </c>
      <c r="P443" s="2">
        <f>IFERROR(__xludf.DUMMYFUNCTION("""COMPUTED_VALUE"""),976.0)</f>
        <v>976</v>
      </c>
      <c r="Q443" s="2" t="str">
        <f>IFERROR(__xludf.DUMMYFUNCTION("""COMPUTED_VALUE"""),"Take Away")</f>
        <v>Take Away</v>
      </c>
      <c r="R443" s="2" t="str">
        <f>IFERROR(__xludf.DUMMYFUNCTION("""COMPUTED_VALUE"""),"Kedai")</f>
        <v>Kedai</v>
      </c>
      <c r="S443" s="2" t="str">
        <f>IFERROR(__xludf.DUMMYFUNCTION("""COMPUTED_VALUE"""),"Temu Roti")</f>
        <v>Temu Roti</v>
      </c>
      <c r="T443" s="2" t="str">
        <f>IFERROR(__xludf.DUMMYFUNCTION("""COMPUTED_VALUE"""),"Owner")</f>
        <v>Owner</v>
      </c>
      <c r="U443" s="2"/>
      <c r="V443" s="2"/>
      <c r="W443" s="2"/>
      <c r="X443" s="2" t="str">
        <f>IFERROR(__xludf.DUMMYFUNCTION("""COMPUTED_VALUE"""),"Closed")</f>
        <v>Closed</v>
      </c>
    </row>
    <row r="444">
      <c r="A444" s="3" t="s">
        <v>462</v>
      </c>
      <c r="B444" s="4">
        <f>IFERROR(__xludf.DUMMYFUNCTION("SPLIT(A444,"","",0,0)"),45556.50208333333)</f>
        <v>45556.50208</v>
      </c>
      <c r="C444" s="5">
        <f>IFERROR(__xludf.DUMMYFUNCTION("""COMPUTED_VALUE"""),2740812.0)</f>
        <v>2740812</v>
      </c>
      <c r="D444" s="2" t="str">
        <f>IFERROR(__xludf.DUMMYFUNCTION("""COMPUTED_VALUE"""),"Sale")</f>
        <v>Sale</v>
      </c>
      <c r="E444" s="2" t="str">
        <f>IFERROR(__xludf.DUMMYFUNCTION("""COMPUTED_VALUE"""),"Roti")</f>
        <v>Roti</v>
      </c>
      <c r="F444" s="2">
        <f>IFERROR(__xludf.DUMMYFUNCTION("""COMPUTED_VALUE"""),10055.0)</f>
        <v>10055</v>
      </c>
      <c r="G444" s="2" t="str">
        <f>IFERROR(__xludf.DUMMYFUNCTION("""COMPUTED_VALUE"""),"Roti Gandum Cokelat 2 pcs")</f>
        <v>Roti Gandum Cokelat 2 pcs</v>
      </c>
      <c r="H444" s="2"/>
      <c r="I444" s="2"/>
      <c r="J444" s="2">
        <f>IFERROR(__xludf.DUMMYFUNCTION("""COMPUTED_VALUE"""),1.0)</f>
        <v>1</v>
      </c>
      <c r="K444" s="6">
        <f>IFERROR(__xludf.DUMMYFUNCTION("""COMPUTED_VALUE"""),34762.0)</f>
        <v>34762</v>
      </c>
      <c r="L444" s="2">
        <f>IFERROR(__xludf.DUMMYFUNCTION("""COMPUTED_VALUE"""),0.0)</f>
        <v>0</v>
      </c>
      <c r="M444" s="2">
        <f>IFERROR(__xludf.DUMMYFUNCTION("""COMPUTED_VALUE"""),34762.0)</f>
        <v>34762</v>
      </c>
      <c r="N444" s="2">
        <f>IFERROR(__xludf.DUMMYFUNCTION("""COMPUTED_VALUE"""),0.0)</f>
        <v>0</v>
      </c>
      <c r="O444" s="2">
        <f>IFERROR(__xludf.DUMMYFUNCTION("""COMPUTED_VALUE"""),34762.0)</f>
        <v>34762</v>
      </c>
      <c r="P444" s="2">
        <f>IFERROR(__xludf.DUMMYFUNCTION("""COMPUTED_VALUE"""),1738.0)</f>
        <v>1738</v>
      </c>
      <c r="Q444" s="2" t="str">
        <f>IFERROR(__xludf.DUMMYFUNCTION("""COMPUTED_VALUE"""),"Dine In")</f>
        <v>Dine In</v>
      </c>
      <c r="R444" s="2" t="str">
        <f>IFERROR(__xludf.DUMMYFUNCTION("""COMPUTED_VALUE"""),"Kedai")</f>
        <v>Kedai</v>
      </c>
      <c r="S444" s="2" t="str">
        <f>IFERROR(__xludf.DUMMYFUNCTION("""COMPUTED_VALUE"""),"Temu Roti")</f>
        <v>Temu Roti</v>
      </c>
      <c r="T444" s="2" t="str">
        <f>IFERROR(__xludf.DUMMYFUNCTION("""COMPUTED_VALUE"""),"Owner")</f>
        <v>Owner</v>
      </c>
      <c r="U444" s="2"/>
      <c r="V444" s="2"/>
      <c r="W444" s="2"/>
      <c r="X444" s="2" t="str">
        <f>IFERROR(__xludf.DUMMYFUNCTION("""COMPUTED_VALUE"""),"Closed")</f>
        <v>Closed</v>
      </c>
    </row>
    <row r="445">
      <c r="A445" s="3" t="s">
        <v>463</v>
      </c>
      <c r="B445" s="4">
        <f>IFERROR(__xludf.DUMMYFUNCTION("SPLIT(A445,"","",0,0)"),45556.490277777775)</f>
        <v>45556.49028</v>
      </c>
      <c r="C445" s="5">
        <f>IFERROR(__xludf.DUMMYFUNCTION("""COMPUTED_VALUE"""),2740447.0)</f>
        <v>2740447</v>
      </c>
      <c r="D445" s="2" t="str">
        <f>IFERROR(__xludf.DUMMYFUNCTION("""COMPUTED_VALUE"""),"Sale")</f>
        <v>Sale</v>
      </c>
      <c r="E445" s="2" t="str">
        <f>IFERROR(__xludf.DUMMYFUNCTION("""COMPUTED_VALUE"""),"Roti")</f>
        <v>Roti</v>
      </c>
      <c r="F445" s="2">
        <f>IFERROR(__xludf.DUMMYFUNCTION("""COMPUTED_VALUE"""),10002.0)</f>
        <v>10002</v>
      </c>
      <c r="G445" s="2" t="str">
        <f>IFERROR(__xludf.DUMMYFUNCTION("""COMPUTED_VALUE"""),"Roti Cranberry")</f>
        <v>Roti Cranberry</v>
      </c>
      <c r="H445" s="2"/>
      <c r="I445" s="2"/>
      <c r="J445" s="2">
        <f>IFERROR(__xludf.DUMMYFUNCTION("""COMPUTED_VALUE"""),1.0)</f>
        <v>1</v>
      </c>
      <c r="K445" s="6">
        <f>IFERROR(__xludf.DUMMYFUNCTION("""COMPUTED_VALUE"""),18571.0)</f>
        <v>18571</v>
      </c>
      <c r="L445" s="2">
        <f>IFERROR(__xludf.DUMMYFUNCTION("""COMPUTED_VALUE"""),0.0)</f>
        <v>0</v>
      </c>
      <c r="M445" s="2">
        <f>IFERROR(__xludf.DUMMYFUNCTION("""COMPUTED_VALUE"""),18571.0)</f>
        <v>18571</v>
      </c>
      <c r="N445" s="2">
        <f>IFERROR(__xludf.DUMMYFUNCTION("""COMPUTED_VALUE"""),0.0)</f>
        <v>0</v>
      </c>
      <c r="O445" s="2">
        <f>IFERROR(__xludf.DUMMYFUNCTION("""COMPUTED_VALUE"""),18571.0)</f>
        <v>18571</v>
      </c>
      <c r="P445" s="2">
        <f>IFERROR(__xludf.DUMMYFUNCTION("""COMPUTED_VALUE"""),929.0)</f>
        <v>929</v>
      </c>
      <c r="Q445" s="2" t="str">
        <f>IFERROR(__xludf.DUMMYFUNCTION("""COMPUTED_VALUE"""),"Take Away")</f>
        <v>Take Away</v>
      </c>
      <c r="R445" s="2" t="str">
        <f>IFERROR(__xludf.DUMMYFUNCTION("""COMPUTED_VALUE"""),"Kedai")</f>
        <v>Kedai</v>
      </c>
      <c r="S445" s="2" t="str">
        <f>IFERROR(__xludf.DUMMYFUNCTION("""COMPUTED_VALUE"""),"Temu Roti")</f>
        <v>Temu Roti</v>
      </c>
      <c r="T445" s="2" t="str">
        <f>IFERROR(__xludf.DUMMYFUNCTION("""COMPUTED_VALUE"""),"Owner")</f>
        <v>Owner</v>
      </c>
      <c r="U445" s="2"/>
      <c r="V445" s="2"/>
      <c r="W445" s="2"/>
      <c r="X445" s="2" t="str">
        <f>IFERROR(__xludf.DUMMYFUNCTION("""COMPUTED_VALUE"""),"Closed")</f>
        <v>Closed</v>
      </c>
    </row>
    <row r="446">
      <c r="A446" s="3" t="s">
        <v>464</v>
      </c>
      <c r="B446" s="4">
        <f>IFERROR(__xludf.DUMMYFUNCTION("SPLIT(A446,"","",0,0)"),45556.490277777775)</f>
        <v>45556.49028</v>
      </c>
      <c r="C446" s="5">
        <f>IFERROR(__xludf.DUMMYFUNCTION("""COMPUTED_VALUE"""),2740447.0)</f>
        <v>2740447</v>
      </c>
      <c r="D446" s="2" t="str">
        <f>IFERROR(__xludf.DUMMYFUNCTION("""COMPUTED_VALUE"""),"Sale")</f>
        <v>Sale</v>
      </c>
      <c r="E446" s="2" t="str">
        <f>IFERROR(__xludf.DUMMYFUNCTION("""COMPUTED_VALUE"""),"Roti")</f>
        <v>Roti</v>
      </c>
      <c r="F446" s="2">
        <f>IFERROR(__xludf.DUMMYFUNCTION("""COMPUTED_VALUE"""),10005.0)</f>
        <v>10005</v>
      </c>
      <c r="G446" s="2" t="str">
        <f>IFERROR(__xludf.DUMMYFUNCTION("""COMPUTED_VALUE"""),"Roti Gandum Cokelat")</f>
        <v>Roti Gandum Cokelat</v>
      </c>
      <c r="H446" s="2"/>
      <c r="I446" s="2"/>
      <c r="J446" s="2">
        <f>IFERROR(__xludf.DUMMYFUNCTION("""COMPUTED_VALUE"""),1.0)</f>
        <v>1</v>
      </c>
      <c r="K446" s="6">
        <f>IFERROR(__xludf.DUMMYFUNCTION("""COMPUTED_VALUE"""),19524.0)</f>
        <v>19524</v>
      </c>
      <c r="L446" s="2">
        <f>IFERROR(__xludf.DUMMYFUNCTION("""COMPUTED_VALUE"""),0.0)</f>
        <v>0</v>
      </c>
      <c r="M446" s="2">
        <f>IFERROR(__xludf.DUMMYFUNCTION("""COMPUTED_VALUE"""),19524.0)</f>
        <v>19524</v>
      </c>
      <c r="N446" s="2">
        <f>IFERROR(__xludf.DUMMYFUNCTION("""COMPUTED_VALUE"""),0.0)</f>
        <v>0</v>
      </c>
      <c r="O446" s="2">
        <f>IFERROR(__xludf.DUMMYFUNCTION("""COMPUTED_VALUE"""),19524.0)</f>
        <v>19524</v>
      </c>
      <c r="P446" s="2">
        <f>IFERROR(__xludf.DUMMYFUNCTION("""COMPUTED_VALUE"""),976.0)</f>
        <v>976</v>
      </c>
      <c r="Q446" s="2" t="str">
        <f>IFERROR(__xludf.DUMMYFUNCTION("""COMPUTED_VALUE"""),"Take Away")</f>
        <v>Take Away</v>
      </c>
      <c r="R446" s="2" t="str">
        <f>IFERROR(__xludf.DUMMYFUNCTION("""COMPUTED_VALUE"""),"Kedai")</f>
        <v>Kedai</v>
      </c>
      <c r="S446" s="2" t="str">
        <f>IFERROR(__xludf.DUMMYFUNCTION("""COMPUTED_VALUE"""),"Temu Roti")</f>
        <v>Temu Roti</v>
      </c>
      <c r="T446" s="2" t="str">
        <f>IFERROR(__xludf.DUMMYFUNCTION("""COMPUTED_VALUE"""),"Owner")</f>
        <v>Owner</v>
      </c>
      <c r="U446" s="2"/>
      <c r="V446" s="2"/>
      <c r="W446" s="2"/>
      <c r="X446" s="2" t="str">
        <f>IFERROR(__xludf.DUMMYFUNCTION("""COMPUTED_VALUE"""),"Closed")</f>
        <v>Closed</v>
      </c>
    </row>
    <row r="447">
      <c r="A447" s="3" t="s">
        <v>465</v>
      </c>
      <c r="B447" s="4">
        <f>IFERROR(__xludf.DUMMYFUNCTION("SPLIT(A447,"","",0,0)"),45556.48541666667)</f>
        <v>45556.48542</v>
      </c>
      <c r="C447" s="5">
        <f>IFERROR(__xludf.DUMMYFUNCTION("""COMPUTED_VALUE"""),2740082.0)</f>
        <v>2740082</v>
      </c>
      <c r="D447" s="2" t="str">
        <f>IFERROR(__xludf.DUMMYFUNCTION("""COMPUTED_VALUE"""),"Sale")</f>
        <v>Sale</v>
      </c>
      <c r="E447" s="2" t="str">
        <f>IFERROR(__xludf.DUMMYFUNCTION("""COMPUTED_VALUE"""),"Roti")</f>
        <v>Roti</v>
      </c>
      <c r="F447" s="2">
        <f>IFERROR(__xludf.DUMMYFUNCTION("""COMPUTED_VALUE"""),10007.0)</f>
        <v>10007</v>
      </c>
      <c r="G447" s="2" t="str">
        <f>IFERROR(__xludf.DUMMYFUNCTION("""COMPUTED_VALUE"""),"Roti cranberry 2 pcs")</f>
        <v>Roti cranberry 2 pcs</v>
      </c>
      <c r="H447" s="2"/>
      <c r="I447" s="2"/>
      <c r="J447" s="2">
        <f>IFERROR(__xludf.DUMMYFUNCTION("""COMPUTED_VALUE"""),1.0)</f>
        <v>1</v>
      </c>
      <c r="K447" s="6">
        <f>IFERROR(__xludf.DUMMYFUNCTION("""COMPUTED_VALUE"""),33810.0)</f>
        <v>33810</v>
      </c>
      <c r="L447" s="2">
        <f>IFERROR(__xludf.DUMMYFUNCTION("""COMPUTED_VALUE"""),0.0)</f>
        <v>0</v>
      </c>
      <c r="M447" s="2">
        <f>IFERROR(__xludf.DUMMYFUNCTION("""COMPUTED_VALUE"""),33810.0)</f>
        <v>33810</v>
      </c>
      <c r="N447" s="2">
        <f>IFERROR(__xludf.DUMMYFUNCTION("""COMPUTED_VALUE"""),0.0)</f>
        <v>0</v>
      </c>
      <c r="O447" s="2">
        <f>IFERROR(__xludf.DUMMYFUNCTION("""COMPUTED_VALUE"""),33810.0)</f>
        <v>33810</v>
      </c>
      <c r="P447" s="2">
        <f>IFERROR(__xludf.DUMMYFUNCTION("""COMPUTED_VALUE"""),1691.0)</f>
        <v>1691</v>
      </c>
      <c r="Q447" s="2" t="str">
        <f>IFERROR(__xludf.DUMMYFUNCTION("""COMPUTED_VALUE"""),"Take Away")</f>
        <v>Take Away</v>
      </c>
      <c r="R447" s="2" t="str">
        <f>IFERROR(__xludf.DUMMYFUNCTION("""COMPUTED_VALUE"""),"Kedai")</f>
        <v>Kedai</v>
      </c>
      <c r="S447" s="2" t="str">
        <f>IFERROR(__xludf.DUMMYFUNCTION("""COMPUTED_VALUE"""),"Temu Roti")</f>
        <v>Temu Roti</v>
      </c>
      <c r="T447" s="2" t="str">
        <f>IFERROR(__xludf.DUMMYFUNCTION("""COMPUTED_VALUE"""),"Owner")</f>
        <v>Owner</v>
      </c>
      <c r="U447" s="2"/>
      <c r="V447" s="2"/>
      <c r="W447" s="2"/>
      <c r="X447" s="2" t="str">
        <f>IFERROR(__xludf.DUMMYFUNCTION("""COMPUTED_VALUE"""),"Closed")</f>
        <v>Closed</v>
      </c>
    </row>
    <row r="448">
      <c r="A448" s="3" t="s">
        <v>466</v>
      </c>
      <c r="B448" s="4">
        <f>IFERROR(__xludf.DUMMYFUNCTION("SPLIT(A448,"","",0,0)"),45556.475)</f>
        <v>45556.475</v>
      </c>
      <c r="C448" s="5">
        <f>IFERROR(__xludf.DUMMYFUNCTION("""COMPUTED_VALUE"""),2739717.0)</f>
        <v>2739717</v>
      </c>
      <c r="D448" s="2" t="str">
        <f>IFERROR(__xludf.DUMMYFUNCTION("""COMPUTED_VALUE"""),"Sale")</f>
        <v>Sale</v>
      </c>
      <c r="E448" s="2" t="str">
        <f>IFERROR(__xludf.DUMMYFUNCTION("""COMPUTED_VALUE"""),"Hidangan Utama")</f>
        <v>Hidangan Utama</v>
      </c>
      <c r="F448" s="2">
        <f>IFERROR(__xludf.DUMMYFUNCTION("""COMPUTED_VALUE"""),10003.0)</f>
        <v>10003</v>
      </c>
      <c r="G448" s="2" t="str">
        <f>IFERROR(__xludf.DUMMYFUNCTION("""COMPUTED_VALUE"""),"Nasi Goreng Temu")</f>
        <v>Nasi Goreng Temu</v>
      </c>
      <c r="H448" s="2"/>
      <c r="I448" s="2"/>
      <c r="J448" s="2">
        <f>IFERROR(__xludf.DUMMYFUNCTION("""COMPUTED_VALUE"""),2.0)</f>
        <v>2</v>
      </c>
      <c r="K448" s="6">
        <f>IFERROR(__xludf.DUMMYFUNCTION("""COMPUTED_VALUE"""),59048.0)</f>
        <v>59048</v>
      </c>
      <c r="L448" s="2">
        <f>IFERROR(__xludf.DUMMYFUNCTION("""COMPUTED_VALUE"""),0.0)</f>
        <v>0</v>
      </c>
      <c r="M448" s="2">
        <f>IFERROR(__xludf.DUMMYFUNCTION("""COMPUTED_VALUE"""),59048.0)</f>
        <v>59048</v>
      </c>
      <c r="N448" s="2">
        <f>IFERROR(__xludf.DUMMYFUNCTION("""COMPUTED_VALUE"""),0.0)</f>
        <v>0</v>
      </c>
      <c r="O448" s="2">
        <f>IFERROR(__xludf.DUMMYFUNCTION("""COMPUTED_VALUE"""),59048.0)</f>
        <v>59048</v>
      </c>
      <c r="P448" s="2">
        <f>IFERROR(__xludf.DUMMYFUNCTION("""COMPUTED_VALUE"""),2952.0)</f>
        <v>2952</v>
      </c>
      <c r="Q448" s="2" t="str">
        <f>IFERROR(__xludf.DUMMYFUNCTION("""COMPUTED_VALUE"""),"Take Away")</f>
        <v>Take Away</v>
      </c>
      <c r="R448" s="2" t="str">
        <f>IFERROR(__xludf.DUMMYFUNCTION("""COMPUTED_VALUE"""),"Kedai")</f>
        <v>Kedai</v>
      </c>
      <c r="S448" s="2" t="str">
        <f>IFERROR(__xludf.DUMMYFUNCTION("""COMPUTED_VALUE"""),"Temu Roti")</f>
        <v>Temu Roti</v>
      </c>
      <c r="T448" s="2" t="str">
        <f>IFERROR(__xludf.DUMMYFUNCTION("""COMPUTED_VALUE"""),"Owner")</f>
        <v>Owner</v>
      </c>
      <c r="U448" s="2"/>
      <c r="V448" s="2"/>
      <c r="W448" s="2"/>
      <c r="X448" s="2" t="str">
        <f>IFERROR(__xludf.DUMMYFUNCTION("""COMPUTED_VALUE"""),"Closed")</f>
        <v>Closed</v>
      </c>
    </row>
    <row r="449">
      <c r="A449" s="3" t="s">
        <v>467</v>
      </c>
      <c r="B449" s="4">
        <f>IFERROR(__xludf.DUMMYFUNCTION("SPLIT(A449,"","",0,0)"),45556.475)</f>
        <v>45556.475</v>
      </c>
      <c r="C449" s="5">
        <f>IFERROR(__xludf.DUMMYFUNCTION("""COMPUTED_VALUE"""),2739717.0)</f>
        <v>2739717</v>
      </c>
      <c r="D449" s="2" t="str">
        <f>IFERROR(__xludf.DUMMYFUNCTION("""COMPUTED_VALUE"""),"Sale")</f>
        <v>Sale</v>
      </c>
      <c r="E449" s="2" t="str">
        <f>IFERROR(__xludf.DUMMYFUNCTION("""COMPUTED_VALUE"""),"Kudapan")</f>
        <v>Kudapan</v>
      </c>
      <c r="F449" s="2">
        <f>IFERROR(__xludf.DUMMYFUNCTION("""COMPUTED_VALUE"""),10014.0)</f>
        <v>10014</v>
      </c>
      <c r="G449" s="2" t="str">
        <f>IFERROR(__xludf.DUMMYFUNCTION("""COMPUTED_VALUE"""),"Tempe Mendoan")</f>
        <v>Tempe Mendoan</v>
      </c>
      <c r="H449" s="2"/>
      <c r="I449" s="2"/>
      <c r="J449" s="2">
        <f>IFERROR(__xludf.DUMMYFUNCTION("""COMPUTED_VALUE"""),1.0)</f>
        <v>1</v>
      </c>
      <c r="K449" s="6">
        <f>IFERROR(__xludf.DUMMYFUNCTION("""COMPUTED_VALUE"""),25238.0)</f>
        <v>25238</v>
      </c>
      <c r="L449" s="2">
        <f>IFERROR(__xludf.DUMMYFUNCTION("""COMPUTED_VALUE"""),0.0)</f>
        <v>0</v>
      </c>
      <c r="M449" s="2">
        <f>IFERROR(__xludf.DUMMYFUNCTION("""COMPUTED_VALUE"""),25238.0)</f>
        <v>25238</v>
      </c>
      <c r="N449" s="2">
        <f>IFERROR(__xludf.DUMMYFUNCTION("""COMPUTED_VALUE"""),0.0)</f>
        <v>0</v>
      </c>
      <c r="O449" s="2">
        <f>IFERROR(__xludf.DUMMYFUNCTION("""COMPUTED_VALUE"""),25238.0)</f>
        <v>25238</v>
      </c>
      <c r="P449" s="2">
        <f>IFERROR(__xludf.DUMMYFUNCTION("""COMPUTED_VALUE"""),1262.0)</f>
        <v>1262</v>
      </c>
      <c r="Q449" s="2" t="str">
        <f>IFERROR(__xludf.DUMMYFUNCTION("""COMPUTED_VALUE"""),"Take Away")</f>
        <v>Take Away</v>
      </c>
      <c r="R449" s="2" t="str">
        <f>IFERROR(__xludf.DUMMYFUNCTION("""COMPUTED_VALUE"""),"Kedai")</f>
        <v>Kedai</v>
      </c>
      <c r="S449" s="2" t="str">
        <f>IFERROR(__xludf.DUMMYFUNCTION("""COMPUTED_VALUE"""),"Temu Roti")</f>
        <v>Temu Roti</v>
      </c>
      <c r="T449" s="2" t="str">
        <f>IFERROR(__xludf.DUMMYFUNCTION("""COMPUTED_VALUE"""),"Owner")</f>
        <v>Owner</v>
      </c>
      <c r="U449" s="2"/>
      <c r="V449" s="2"/>
      <c r="W449" s="2"/>
      <c r="X449" s="2" t="str">
        <f>IFERROR(__xludf.DUMMYFUNCTION("""COMPUTED_VALUE"""),"Closed")</f>
        <v>Closed</v>
      </c>
    </row>
    <row r="450">
      <c r="A450" s="3" t="s">
        <v>468</v>
      </c>
      <c r="B450" s="4">
        <f>IFERROR(__xludf.DUMMYFUNCTION("SPLIT(A450,"","",0,0)"),45556.46944444445)</f>
        <v>45556.46944</v>
      </c>
      <c r="C450" s="5">
        <f>IFERROR(__xludf.DUMMYFUNCTION("""COMPUTED_VALUE"""),2739352.0)</f>
        <v>2739352</v>
      </c>
      <c r="D450" s="2" t="str">
        <f>IFERROR(__xludf.DUMMYFUNCTION("""COMPUTED_VALUE"""),"Sale")</f>
        <v>Sale</v>
      </c>
      <c r="E450" s="2" t="str">
        <f>IFERROR(__xludf.DUMMYFUNCTION("""COMPUTED_VALUE"""),"Roti")</f>
        <v>Roti</v>
      </c>
      <c r="F450" s="2">
        <f>IFERROR(__xludf.DUMMYFUNCTION("""COMPUTED_VALUE"""),10007.0)</f>
        <v>10007</v>
      </c>
      <c r="G450" s="2" t="str">
        <f>IFERROR(__xludf.DUMMYFUNCTION("""COMPUTED_VALUE"""),"Roti cranberry 2 pcs")</f>
        <v>Roti cranberry 2 pcs</v>
      </c>
      <c r="H450" s="2"/>
      <c r="I450" s="2"/>
      <c r="J450" s="2">
        <f>IFERROR(__xludf.DUMMYFUNCTION("""COMPUTED_VALUE"""),1.0)</f>
        <v>1</v>
      </c>
      <c r="K450" s="6">
        <f>IFERROR(__xludf.DUMMYFUNCTION("""COMPUTED_VALUE"""),33810.0)</f>
        <v>33810</v>
      </c>
      <c r="L450" s="2">
        <f>IFERROR(__xludf.DUMMYFUNCTION("""COMPUTED_VALUE"""),0.0)</f>
        <v>0</v>
      </c>
      <c r="M450" s="2">
        <f>IFERROR(__xludf.DUMMYFUNCTION("""COMPUTED_VALUE"""),33810.0)</f>
        <v>33810</v>
      </c>
      <c r="N450" s="2">
        <f>IFERROR(__xludf.DUMMYFUNCTION("""COMPUTED_VALUE"""),0.0)</f>
        <v>0</v>
      </c>
      <c r="O450" s="2">
        <f>IFERROR(__xludf.DUMMYFUNCTION("""COMPUTED_VALUE"""),33810.0)</f>
        <v>33810</v>
      </c>
      <c r="P450" s="2">
        <f>IFERROR(__xludf.DUMMYFUNCTION("""COMPUTED_VALUE"""),1691.0)</f>
        <v>1691</v>
      </c>
      <c r="Q450" s="2" t="str">
        <f>IFERROR(__xludf.DUMMYFUNCTION("""COMPUTED_VALUE"""),"Dine In")</f>
        <v>Dine In</v>
      </c>
      <c r="R450" s="2" t="str">
        <f>IFERROR(__xludf.DUMMYFUNCTION("""COMPUTED_VALUE"""),"Kedai")</f>
        <v>Kedai</v>
      </c>
      <c r="S450" s="2" t="str">
        <f>IFERROR(__xludf.DUMMYFUNCTION("""COMPUTED_VALUE"""),"Temu Roti")</f>
        <v>Temu Roti</v>
      </c>
      <c r="T450" s="2" t="str">
        <f>IFERROR(__xludf.DUMMYFUNCTION("""COMPUTED_VALUE"""),"Owner")</f>
        <v>Owner</v>
      </c>
      <c r="U450" s="2"/>
      <c r="V450" s="2"/>
      <c r="W450" s="2"/>
      <c r="X450" s="2" t="str">
        <f>IFERROR(__xludf.DUMMYFUNCTION("""COMPUTED_VALUE"""),"Closed")</f>
        <v>Closed</v>
      </c>
    </row>
    <row r="451">
      <c r="A451" s="3" t="s">
        <v>469</v>
      </c>
      <c r="B451" s="4">
        <f>IFERROR(__xludf.DUMMYFUNCTION("SPLIT(A451,"","",0,0)"),45556.46805555555)</f>
        <v>45556.46806</v>
      </c>
      <c r="C451" s="5">
        <f>IFERROR(__xludf.DUMMYFUNCTION("""COMPUTED_VALUE"""),2738987.0)</f>
        <v>2738987</v>
      </c>
      <c r="D451" s="2" t="str">
        <f>IFERROR(__xludf.DUMMYFUNCTION("""COMPUTED_VALUE"""),"Sale")</f>
        <v>Sale</v>
      </c>
      <c r="E451" s="2" t="str">
        <f>IFERROR(__xludf.DUMMYFUNCTION("""COMPUTED_VALUE"""),"Roti")</f>
        <v>Roti</v>
      </c>
      <c r="F451" s="2">
        <f>IFERROR(__xludf.DUMMYFUNCTION("""COMPUTED_VALUE"""),10000.0)</f>
        <v>10000</v>
      </c>
      <c r="G451" s="2" t="str">
        <f>IFERROR(__xludf.DUMMYFUNCTION("""COMPUTED_VALUE"""),"Roti Bawang Saus Keju")</f>
        <v>Roti Bawang Saus Keju</v>
      </c>
      <c r="H451" s="2"/>
      <c r="I451" s="2"/>
      <c r="J451" s="2">
        <f>IFERROR(__xludf.DUMMYFUNCTION("""COMPUTED_VALUE"""),1.0)</f>
        <v>1</v>
      </c>
      <c r="K451" s="6">
        <f>IFERROR(__xludf.DUMMYFUNCTION("""COMPUTED_VALUE"""),29524.0)</f>
        <v>29524</v>
      </c>
      <c r="L451" s="2">
        <f>IFERROR(__xludf.DUMMYFUNCTION("""COMPUTED_VALUE"""),0.0)</f>
        <v>0</v>
      </c>
      <c r="M451" s="2">
        <f>IFERROR(__xludf.DUMMYFUNCTION("""COMPUTED_VALUE"""),29524.0)</f>
        <v>29524</v>
      </c>
      <c r="N451" s="2">
        <f>IFERROR(__xludf.DUMMYFUNCTION("""COMPUTED_VALUE"""),0.0)</f>
        <v>0</v>
      </c>
      <c r="O451" s="2">
        <f>IFERROR(__xludf.DUMMYFUNCTION("""COMPUTED_VALUE"""),29524.0)</f>
        <v>29524</v>
      </c>
      <c r="P451" s="2">
        <f>IFERROR(__xludf.DUMMYFUNCTION("""COMPUTED_VALUE"""),1476.0)</f>
        <v>1476</v>
      </c>
      <c r="Q451" s="2" t="str">
        <f>IFERROR(__xludf.DUMMYFUNCTION("""COMPUTED_VALUE"""),"Take Away")</f>
        <v>Take Away</v>
      </c>
      <c r="R451" s="2" t="str">
        <f>IFERROR(__xludf.DUMMYFUNCTION("""COMPUTED_VALUE"""),"Kedai")</f>
        <v>Kedai</v>
      </c>
      <c r="S451" s="2" t="str">
        <f>IFERROR(__xludf.DUMMYFUNCTION("""COMPUTED_VALUE"""),"Temu Roti")</f>
        <v>Temu Roti</v>
      </c>
      <c r="T451" s="2" t="str">
        <f>IFERROR(__xludf.DUMMYFUNCTION("""COMPUTED_VALUE"""),"Owner")</f>
        <v>Owner</v>
      </c>
      <c r="U451" s="2"/>
      <c r="V451" s="2"/>
      <c r="W451" s="2"/>
      <c r="X451" s="2" t="str">
        <f>IFERROR(__xludf.DUMMYFUNCTION("""COMPUTED_VALUE"""),"Closed")</f>
        <v>Closed</v>
      </c>
    </row>
    <row r="452">
      <c r="A452" s="3" t="s">
        <v>470</v>
      </c>
      <c r="B452" s="4">
        <f>IFERROR(__xludf.DUMMYFUNCTION("SPLIT(A452,"","",0,0)"),45556.46805555555)</f>
        <v>45556.46806</v>
      </c>
      <c r="C452" s="5">
        <f>IFERROR(__xludf.DUMMYFUNCTION("""COMPUTED_VALUE"""),2738987.0)</f>
        <v>2738987</v>
      </c>
      <c r="D452" s="2" t="str">
        <f>IFERROR(__xludf.DUMMYFUNCTION("""COMPUTED_VALUE"""),"Sale")</f>
        <v>Sale</v>
      </c>
      <c r="E452" s="2" t="str">
        <f>IFERROR(__xludf.DUMMYFUNCTION("""COMPUTED_VALUE"""),"Roti")</f>
        <v>Roti</v>
      </c>
      <c r="F452" s="2">
        <f>IFERROR(__xludf.DUMMYFUNCTION("""COMPUTED_VALUE"""),10002.0)</f>
        <v>10002</v>
      </c>
      <c r="G452" s="2" t="str">
        <f>IFERROR(__xludf.DUMMYFUNCTION("""COMPUTED_VALUE"""),"Roti Cranberry")</f>
        <v>Roti Cranberry</v>
      </c>
      <c r="H452" s="2"/>
      <c r="I452" s="2"/>
      <c r="J452" s="2">
        <f>IFERROR(__xludf.DUMMYFUNCTION("""COMPUTED_VALUE"""),1.0)</f>
        <v>1</v>
      </c>
      <c r="K452" s="6">
        <f>IFERROR(__xludf.DUMMYFUNCTION("""COMPUTED_VALUE"""),18571.0)</f>
        <v>18571</v>
      </c>
      <c r="L452" s="2">
        <f>IFERROR(__xludf.DUMMYFUNCTION("""COMPUTED_VALUE"""),0.0)</f>
        <v>0</v>
      </c>
      <c r="M452" s="2">
        <f>IFERROR(__xludf.DUMMYFUNCTION("""COMPUTED_VALUE"""),18571.0)</f>
        <v>18571</v>
      </c>
      <c r="N452" s="2">
        <f>IFERROR(__xludf.DUMMYFUNCTION("""COMPUTED_VALUE"""),0.0)</f>
        <v>0</v>
      </c>
      <c r="O452" s="2">
        <f>IFERROR(__xludf.DUMMYFUNCTION("""COMPUTED_VALUE"""),18571.0)</f>
        <v>18571</v>
      </c>
      <c r="P452" s="2">
        <f>IFERROR(__xludf.DUMMYFUNCTION("""COMPUTED_VALUE"""),929.0)</f>
        <v>929</v>
      </c>
      <c r="Q452" s="2" t="str">
        <f>IFERROR(__xludf.DUMMYFUNCTION("""COMPUTED_VALUE"""),"Take Away")</f>
        <v>Take Away</v>
      </c>
      <c r="R452" s="2" t="str">
        <f>IFERROR(__xludf.DUMMYFUNCTION("""COMPUTED_VALUE"""),"Kedai")</f>
        <v>Kedai</v>
      </c>
      <c r="S452" s="2" t="str">
        <f>IFERROR(__xludf.DUMMYFUNCTION("""COMPUTED_VALUE"""),"Temu Roti")</f>
        <v>Temu Roti</v>
      </c>
      <c r="T452" s="2" t="str">
        <f>IFERROR(__xludf.DUMMYFUNCTION("""COMPUTED_VALUE"""),"Owner")</f>
        <v>Owner</v>
      </c>
      <c r="U452" s="2"/>
      <c r="V452" s="2"/>
      <c r="W452" s="2"/>
      <c r="X452" s="2" t="str">
        <f>IFERROR(__xludf.DUMMYFUNCTION("""COMPUTED_VALUE"""),"Closed")</f>
        <v>Closed</v>
      </c>
    </row>
    <row r="453">
      <c r="A453" s="3" t="s">
        <v>471</v>
      </c>
      <c r="B453" s="4">
        <f>IFERROR(__xludf.DUMMYFUNCTION("SPLIT(A453,"","",0,0)"),45556.46666666667)</f>
        <v>45556.46667</v>
      </c>
      <c r="C453" s="5">
        <f>IFERROR(__xludf.DUMMYFUNCTION("""COMPUTED_VALUE"""),2738622.0)</f>
        <v>2738622</v>
      </c>
      <c r="D453" s="2" t="str">
        <f>IFERROR(__xludf.DUMMYFUNCTION("""COMPUTED_VALUE"""),"Sale")</f>
        <v>Sale</v>
      </c>
      <c r="E453" s="2" t="str">
        <f>IFERROR(__xludf.DUMMYFUNCTION("""COMPUTED_VALUE"""),"Minuman")</f>
        <v>Minuman</v>
      </c>
      <c r="F453" s="2">
        <f>IFERROR(__xludf.DUMMYFUNCTION("""COMPUTED_VALUE"""),10067.0)</f>
        <v>10067</v>
      </c>
      <c r="G453" s="2" t="str">
        <f>IFERROR(__xludf.DUMMYFUNCTION("""COMPUTED_VALUE"""),"Wedang angin")</f>
        <v>Wedang angin</v>
      </c>
      <c r="H453" s="2"/>
      <c r="I453" s="2"/>
      <c r="J453" s="2">
        <f>IFERROR(__xludf.DUMMYFUNCTION("""COMPUTED_VALUE"""),3.0)</f>
        <v>3</v>
      </c>
      <c r="K453" s="6">
        <f>IFERROR(__xludf.DUMMYFUNCTION("""COMPUTED_VALUE"""),74286.0)</f>
        <v>74286</v>
      </c>
      <c r="L453" s="2">
        <f>IFERROR(__xludf.DUMMYFUNCTION("""COMPUTED_VALUE"""),0.0)</f>
        <v>0</v>
      </c>
      <c r="M453" s="2">
        <f>IFERROR(__xludf.DUMMYFUNCTION("""COMPUTED_VALUE"""),74286.0)</f>
        <v>74286</v>
      </c>
      <c r="N453" s="2">
        <f>IFERROR(__xludf.DUMMYFUNCTION("""COMPUTED_VALUE"""),0.0)</f>
        <v>0</v>
      </c>
      <c r="O453" s="2">
        <f>IFERROR(__xludf.DUMMYFUNCTION("""COMPUTED_VALUE"""),74286.0)</f>
        <v>74286</v>
      </c>
      <c r="P453" s="2">
        <f>IFERROR(__xludf.DUMMYFUNCTION("""COMPUTED_VALUE"""),3714.0)</f>
        <v>3714</v>
      </c>
      <c r="Q453" s="2" t="str">
        <f>IFERROR(__xludf.DUMMYFUNCTION("""COMPUTED_VALUE"""),"Dine In")</f>
        <v>Dine In</v>
      </c>
      <c r="R453" s="2" t="str">
        <f>IFERROR(__xludf.DUMMYFUNCTION("""COMPUTED_VALUE"""),"Kedai")</f>
        <v>Kedai</v>
      </c>
      <c r="S453" s="2" t="str">
        <f>IFERROR(__xludf.DUMMYFUNCTION("""COMPUTED_VALUE"""),"Temu Roti")</f>
        <v>Temu Roti</v>
      </c>
      <c r="T453" s="2" t="str">
        <f>IFERROR(__xludf.DUMMYFUNCTION("""COMPUTED_VALUE"""),"Owner")</f>
        <v>Owner</v>
      </c>
      <c r="U453" s="2"/>
      <c r="V453" s="2"/>
      <c r="W453" s="2"/>
      <c r="X453" s="2" t="str">
        <f>IFERROR(__xludf.DUMMYFUNCTION("""COMPUTED_VALUE"""),"Closed")</f>
        <v>Closed</v>
      </c>
    </row>
    <row r="454">
      <c r="A454" s="3" t="s">
        <v>472</v>
      </c>
      <c r="B454" s="4">
        <f>IFERROR(__xludf.DUMMYFUNCTION("SPLIT(A454,"","",0,0)"),45556.46666666667)</f>
        <v>45556.46667</v>
      </c>
      <c r="C454" s="5">
        <f>IFERROR(__xludf.DUMMYFUNCTION("""COMPUTED_VALUE"""),2738622.0)</f>
        <v>2738622</v>
      </c>
      <c r="D454" s="2" t="str">
        <f>IFERROR(__xludf.DUMMYFUNCTION("""COMPUTED_VALUE"""),"Sale")</f>
        <v>Sale</v>
      </c>
      <c r="E454" s="2" t="str">
        <f>IFERROR(__xludf.DUMMYFUNCTION("""COMPUTED_VALUE"""),"Kudapan")</f>
        <v>Kudapan</v>
      </c>
      <c r="F454" s="2">
        <f>IFERROR(__xludf.DUMMYFUNCTION("""COMPUTED_VALUE"""),10010.0)</f>
        <v>10010</v>
      </c>
      <c r="G454" s="2" t="str">
        <f>IFERROR(__xludf.DUMMYFUNCTION("""COMPUTED_VALUE"""),"Pisang Goreng")</f>
        <v>Pisang Goreng</v>
      </c>
      <c r="H454" s="2"/>
      <c r="I454" s="2"/>
      <c r="J454" s="2">
        <f>IFERROR(__xludf.DUMMYFUNCTION("""COMPUTED_VALUE"""),1.0)</f>
        <v>1</v>
      </c>
      <c r="K454" s="6">
        <f>IFERROR(__xludf.DUMMYFUNCTION("""COMPUTED_VALUE"""),25238.0)</f>
        <v>25238</v>
      </c>
      <c r="L454" s="2">
        <f>IFERROR(__xludf.DUMMYFUNCTION("""COMPUTED_VALUE"""),0.0)</f>
        <v>0</v>
      </c>
      <c r="M454" s="2">
        <f>IFERROR(__xludf.DUMMYFUNCTION("""COMPUTED_VALUE"""),25238.0)</f>
        <v>25238</v>
      </c>
      <c r="N454" s="2">
        <f>IFERROR(__xludf.DUMMYFUNCTION("""COMPUTED_VALUE"""),0.0)</f>
        <v>0</v>
      </c>
      <c r="O454" s="2">
        <f>IFERROR(__xludf.DUMMYFUNCTION("""COMPUTED_VALUE"""),25238.0)</f>
        <v>25238</v>
      </c>
      <c r="P454" s="2">
        <f>IFERROR(__xludf.DUMMYFUNCTION("""COMPUTED_VALUE"""),1262.0)</f>
        <v>1262</v>
      </c>
      <c r="Q454" s="2" t="str">
        <f>IFERROR(__xludf.DUMMYFUNCTION("""COMPUTED_VALUE"""),"Dine In")</f>
        <v>Dine In</v>
      </c>
      <c r="R454" s="2" t="str">
        <f>IFERROR(__xludf.DUMMYFUNCTION("""COMPUTED_VALUE"""),"Kedai")</f>
        <v>Kedai</v>
      </c>
      <c r="S454" s="2" t="str">
        <f>IFERROR(__xludf.DUMMYFUNCTION("""COMPUTED_VALUE"""),"Temu Roti")</f>
        <v>Temu Roti</v>
      </c>
      <c r="T454" s="2" t="str">
        <f>IFERROR(__xludf.DUMMYFUNCTION("""COMPUTED_VALUE"""),"Owner")</f>
        <v>Owner</v>
      </c>
      <c r="U454" s="2"/>
      <c r="V454" s="2"/>
      <c r="W454" s="2"/>
      <c r="X454" s="2" t="str">
        <f>IFERROR(__xludf.DUMMYFUNCTION("""COMPUTED_VALUE"""),"Closed")</f>
        <v>Closed</v>
      </c>
    </row>
    <row r="455">
      <c r="A455" s="3" t="s">
        <v>473</v>
      </c>
      <c r="B455" s="4">
        <f>IFERROR(__xludf.DUMMYFUNCTION("SPLIT(A455,"","",0,0)"),45556.46666666667)</f>
        <v>45556.46667</v>
      </c>
      <c r="C455" s="5">
        <f>IFERROR(__xludf.DUMMYFUNCTION("""COMPUTED_VALUE"""),2738622.0)</f>
        <v>2738622</v>
      </c>
      <c r="D455" s="2" t="str">
        <f>IFERROR(__xludf.DUMMYFUNCTION("""COMPUTED_VALUE"""),"Sale")</f>
        <v>Sale</v>
      </c>
      <c r="E455" s="2" t="str">
        <f>IFERROR(__xludf.DUMMYFUNCTION("""COMPUTED_VALUE"""),"Minuman")</f>
        <v>Minuman</v>
      </c>
      <c r="F455" s="2">
        <f>IFERROR(__xludf.DUMMYFUNCTION("""COMPUTED_VALUE"""),10013.0)</f>
        <v>10013</v>
      </c>
      <c r="G455" s="2" t="str">
        <f>IFERROR(__xludf.DUMMYFUNCTION("""COMPUTED_VALUE"""),"Kopi cur")</f>
        <v>Kopi cur</v>
      </c>
      <c r="H455" s="2"/>
      <c r="I455" s="2"/>
      <c r="J455" s="2">
        <f>IFERROR(__xludf.DUMMYFUNCTION("""COMPUTED_VALUE"""),1.0)</f>
        <v>1</v>
      </c>
      <c r="K455" s="6">
        <f>IFERROR(__xludf.DUMMYFUNCTION("""COMPUTED_VALUE"""),23333.0)</f>
        <v>23333</v>
      </c>
      <c r="L455" s="2">
        <f>IFERROR(__xludf.DUMMYFUNCTION("""COMPUTED_VALUE"""),0.0)</f>
        <v>0</v>
      </c>
      <c r="M455" s="2">
        <f>IFERROR(__xludf.DUMMYFUNCTION("""COMPUTED_VALUE"""),23333.0)</f>
        <v>23333</v>
      </c>
      <c r="N455" s="2">
        <f>IFERROR(__xludf.DUMMYFUNCTION("""COMPUTED_VALUE"""),0.0)</f>
        <v>0</v>
      </c>
      <c r="O455" s="2">
        <f>IFERROR(__xludf.DUMMYFUNCTION("""COMPUTED_VALUE"""),23333.0)</f>
        <v>23333</v>
      </c>
      <c r="P455" s="2">
        <f>IFERROR(__xludf.DUMMYFUNCTION("""COMPUTED_VALUE"""),1167.0)</f>
        <v>1167</v>
      </c>
      <c r="Q455" s="2" t="str">
        <f>IFERROR(__xludf.DUMMYFUNCTION("""COMPUTED_VALUE"""),"Dine In")</f>
        <v>Dine In</v>
      </c>
      <c r="R455" s="2" t="str">
        <f>IFERROR(__xludf.DUMMYFUNCTION("""COMPUTED_VALUE"""),"Kedai")</f>
        <v>Kedai</v>
      </c>
      <c r="S455" s="2" t="str">
        <f>IFERROR(__xludf.DUMMYFUNCTION("""COMPUTED_VALUE"""),"Temu Roti")</f>
        <v>Temu Roti</v>
      </c>
      <c r="T455" s="2" t="str">
        <f>IFERROR(__xludf.DUMMYFUNCTION("""COMPUTED_VALUE"""),"Owner")</f>
        <v>Owner</v>
      </c>
      <c r="U455" s="2"/>
      <c r="V455" s="2"/>
      <c r="W455" s="2"/>
      <c r="X455" s="2" t="str">
        <f>IFERROR(__xludf.DUMMYFUNCTION("""COMPUTED_VALUE"""),"Closed")</f>
        <v>Closed</v>
      </c>
    </row>
    <row r="456">
      <c r="A456" s="3" t="s">
        <v>474</v>
      </c>
      <c r="B456" s="4">
        <f>IFERROR(__xludf.DUMMYFUNCTION("SPLIT(A456,"","",0,0)"),45556.46666666667)</f>
        <v>45556.46667</v>
      </c>
      <c r="C456" s="5">
        <f>IFERROR(__xludf.DUMMYFUNCTION("""COMPUTED_VALUE"""),2738622.0)</f>
        <v>2738622</v>
      </c>
      <c r="D456" s="2" t="str">
        <f>IFERROR(__xludf.DUMMYFUNCTION("""COMPUTED_VALUE"""),"Sale")</f>
        <v>Sale</v>
      </c>
      <c r="E456" s="2" t="str">
        <f>IFERROR(__xludf.DUMMYFUNCTION("""COMPUTED_VALUE"""),"Minuman")</f>
        <v>Minuman</v>
      </c>
      <c r="F456" s="2">
        <f>IFERROR(__xludf.DUMMYFUNCTION("""COMPUTED_VALUE"""),10107.0)</f>
        <v>10107</v>
      </c>
      <c r="G456" s="2" t="str">
        <f>IFERROR(__xludf.DUMMYFUNCTION("""COMPUTED_VALUE"""),"Korean Mango Fresh Milk")</f>
        <v>Korean Mango Fresh Milk</v>
      </c>
      <c r="H456" s="2"/>
      <c r="I456" s="2"/>
      <c r="J456" s="2">
        <f>IFERROR(__xludf.DUMMYFUNCTION("""COMPUTED_VALUE"""),1.0)</f>
        <v>1</v>
      </c>
      <c r="K456" s="6">
        <f>IFERROR(__xludf.DUMMYFUNCTION("""COMPUTED_VALUE"""),26667.0)</f>
        <v>26667</v>
      </c>
      <c r="L456" s="2">
        <f>IFERROR(__xludf.DUMMYFUNCTION("""COMPUTED_VALUE"""),0.0)</f>
        <v>0</v>
      </c>
      <c r="M456" s="2">
        <f>IFERROR(__xludf.DUMMYFUNCTION("""COMPUTED_VALUE"""),26667.0)</f>
        <v>26667</v>
      </c>
      <c r="N456" s="2">
        <f>IFERROR(__xludf.DUMMYFUNCTION("""COMPUTED_VALUE"""),0.0)</f>
        <v>0</v>
      </c>
      <c r="O456" s="2">
        <f>IFERROR(__xludf.DUMMYFUNCTION("""COMPUTED_VALUE"""),26667.0)</f>
        <v>26667</v>
      </c>
      <c r="P456" s="2">
        <f>IFERROR(__xludf.DUMMYFUNCTION("""COMPUTED_VALUE"""),1333.0)</f>
        <v>1333</v>
      </c>
      <c r="Q456" s="2" t="str">
        <f>IFERROR(__xludf.DUMMYFUNCTION("""COMPUTED_VALUE"""),"Dine In")</f>
        <v>Dine In</v>
      </c>
      <c r="R456" s="2" t="str">
        <f>IFERROR(__xludf.DUMMYFUNCTION("""COMPUTED_VALUE"""),"Kedai")</f>
        <v>Kedai</v>
      </c>
      <c r="S456" s="2" t="str">
        <f>IFERROR(__xludf.DUMMYFUNCTION("""COMPUTED_VALUE"""),"Temu Roti")</f>
        <v>Temu Roti</v>
      </c>
      <c r="T456" s="2" t="str">
        <f>IFERROR(__xludf.DUMMYFUNCTION("""COMPUTED_VALUE"""),"Owner")</f>
        <v>Owner</v>
      </c>
      <c r="U456" s="2"/>
      <c r="V456" s="2"/>
      <c r="W456" s="2"/>
      <c r="X456" s="2" t="str">
        <f>IFERROR(__xludf.DUMMYFUNCTION("""COMPUTED_VALUE"""),"Closed")</f>
        <v>Closed</v>
      </c>
    </row>
    <row r="457">
      <c r="A457" s="3" t="s">
        <v>475</v>
      </c>
      <c r="B457" s="4">
        <f>IFERROR(__xludf.DUMMYFUNCTION("SPLIT(A457,"","",0,0)"),45556.46666666667)</f>
        <v>45556.46667</v>
      </c>
      <c r="C457" s="5">
        <f>IFERROR(__xludf.DUMMYFUNCTION("""COMPUTED_VALUE"""),2738622.0)</f>
        <v>2738622</v>
      </c>
      <c r="D457" s="2" t="str">
        <f>IFERROR(__xludf.DUMMYFUNCTION("""COMPUTED_VALUE"""),"Sale")</f>
        <v>Sale</v>
      </c>
      <c r="E457" s="2" t="str">
        <f>IFERROR(__xludf.DUMMYFUNCTION("""COMPUTED_VALUE"""),"Roti")</f>
        <v>Roti</v>
      </c>
      <c r="F457" s="2">
        <f>IFERROR(__xludf.DUMMYFUNCTION("""COMPUTED_VALUE"""),10005.0)</f>
        <v>10005</v>
      </c>
      <c r="G457" s="2" t="str">
        <f>IFERROR(__xludf.DUMMYFUNCTION("""COMPUTED_VALUE"""),"Roti Gandum Cokelat")</f>
        <v>Roti Gandum Cokelat</v>
      </c>
      <c r="H457" s="2"/>
      <c r="I457" s="2"/>
      <c r="J457" s="2">
        <f>IFERROR(__xludf.DUMMYFUNCTION("""COMPUTED_VALUE"""),1.0)</f>
        <v>1</v>
      </c>
      <c r="K457" s="6">
        <f>IFERROR(__xludf.DUMMYFUNCTION("""COMPUTED_VALUE"""),19524.0)</f>
        <v>19524</v>
      </c>
      <c r="L457" s="2">
        <f>IFERROR(__xludf.DUMMYFUNCTION("""COMPUTED_VALUE"""),0.0)</f>
        <v>0</v>
      </c>
      <c r="M457" s="2">
        <f>IFERROR(__xludf.DUMMYFUNCTION("""COMPUTED_VALUE"""),19524.0)</f>
        <v>19524</v>
      </c>
      <c r="N457" s="2">
        <f>IFERROR(__xludf.DUMMYFUNCTION("""COMPUTED_VALUE"""),0.0)</f>
        <v>0</v>
      </c>
      <c r="O457" s="2">
        <f>IFERROR(__xludf.DUMMYFUNCTION("""COMPUTED_VALUE"""),19524.0)</f>
        <v>19524</v>
      </c>
      <c r="P457" s="2">
        <f>IFERROR(__xludf.DUMMYFUNCTION("""COMPUTED_VALUE"""),976.0)</f>
        <v>976</v>
      </c>
      <c r="Q457" s="2" t="str">
        <f>IFERROR(__xludf.DUMMYFUNCTION("""COMPUTED_VALUE"""),"Dine In")</f>
        <v>Dine In</v>
      </c>
      <c r="R457" s="2" t="str">
        <f>IFERROR(__xludf.DUMMYFUNCTION("""COMPUTED_VALUE"""),"Kedai")</f>
        <v>Kedai</v>
      </c>
      <c r="S457" s="2" t="str">
        <f>IFERROR(__xludf.DUMMYFUNCTION("""COMPUTED_VALUE"""),"Temu Roti")</f>
        <v>Temu Roti</v>
      </c>
      <c r="T457" s="2" t="str">
        <f>IFERROR(__xludf.DUMMYFUNCTION("""COMPUTED_VALUE"""),"Owner")</f>
        <v>Owner</v>
      </c>
      <c r="U457" s="2"/>
      <c r="V457" s="2"/>
      <c r="W457" s="2"/>
      <c r="X457" s="2" t="str">
        <f>IFERROR(__xludf.DUMMYFUNCTION("""COMPUTED_VALUE"""),"Closed")</f>
        <v>Closed</v>
      </c>
    </row>
    <row r="458">
      <c r="A458" s="3" t="s">
        <v>476</v>
      </c>
      <c r="B458" s="4">
        <f>IFERROR(__xludf.DUMMYFUNCTION("SPLIT(A458,"","",0,0)"),45556.46666666667)</f>
        <v>45556.46667</v>
      </c>
      <c r="C458" s="5">
        <f>IFERROR(__xludf.DUMMYFUNCTION("""COMPUTED_VALUE"""),2738622.0)</f>
        <v>2738622</v>
      </c>
      <c r="D458" s="2" t="str">
        <f>IFERROR(__xludf.DUMMYFUNCTION("""COMPUTED_VALUE"""),"Sale")</f>
        <v>Sale</v>
      </c>
      <c r="E458" s="2" t="str">
        <f>IFERROR(__xludf.DUMMYFUNCTION("""COMPUTED_VALUE"""),"Roti")</f>
        <v>Roti</v>
      </c>
      <c r="F458" s="2">
        <f>IFERROR(__xludf.DUMMYFUNCTION("""COMPUTED_VALUE"""),10000.0)</f>
        <v>10000</v>
      </c>
      <c r="G458" s="2" t="str">
        <f>IFERROR(__xludf.DUMMYFUNCTION("""COMPUTED_VALUE"""),"Roti Bawang Saus Keju")</f>
        <v>Roti Bawang Saus Keju</v>
      </c>
      <c r="H458" s="2"/>
      <c r="I458" s="2"/>
      <c r="J458" s="2">
        <f>IFERROR(__xludf.DUMMYFUNCTION("""COMPUTED_VALUE"""),2.0)</f>
        <v>2</v>
      </c>
      <c r="K458" s="6">
        <f>IFERROR(__xludf.DUMMYFUNCTION("""COMPUTED_VALUE"""),59048.0)</f>
        <v>59048</v>
      </c>
      <c r="L458" s="2">
        <f>IFERROR(__xludf.DUMMYFUNCTION("""COMPUTED_VALUE"""),0.0)</f>
        <v>0</v>
      </c>
      <c r="M458" s="2">
        <f>IFERROR(__xludf.DUMMYFUNCTION("""COMPUTED_VALUE"""),59048.0)</f>
        <v>59048</v>
      </c>
      <c r="N458" s="2">
        <f>IFERROR(__xludf.DUMMYFUNCTION("""COMPUTED_VALUE"""),0.0)</f>
        <v>0</v>
      </c>
      <c r="O458" s="2">
        <f>IFERROR(__xludf.DUMMYFUNCTION("""COMPUTED_VALUE"""),59048.0)</f>
        <v>59048</v>
      </c>
      <c r="P458" s="2">
        <f>IFERROR(__xludf.DUMMYFUNCTION("""COMPUTED_VALUE"""),2953.0)</f>
        <v>2953</v>
      </c>
      <c r="Q458" s="2" t="str">
        <f>IFERROR(__xludf.DUMMYFUNCTION("""COMPUTED_VALUE"""),"Dine In")</f>
        <v>Dine In</v>
      </c>
      <c r="R458" s="2" t="str">
        <f>IFERROR(__xludf.DUMMYFUNCTION("""COMPUTED_VALUE"""),"Kedai")</f>
        <v>Kedai</v>
      </c>
      <c r="S458" s="2" t="str">
        <f>IFERROR(__xludf.DUMMYFUNCTION("""COMPUTED_VALUE"""),"Temu Roti")</f>
        <v>Temu Roti</v>
      </c>
      <c r="T458" s="2" t="str">
        <f>IFERROR(__xludf.DUMMYFUNCTION("""COMPUTED_VALUE"""),"Owner")</f>
        <v>Owner</v>
      </c>
      <c r="U458" s="2"/>
      <c r="V458" s="2"/>
      <c r="W458" s="2"/>
      <c r="X458" s="2" t="str">
        <f>IFERROR(__xludf.DUMMYFUNCTION("""COMPUTED_VALUE"""),"Closed")</f>
        <v>Closed</v>
      </c>
    </row>
    <row r="459">
      <c r="A459" s="3" t="s">
        <v>477</v>
      </c>
      <c r="B459" s="4">
        <f>IFERROR(__xludf.DUMMYFUNCTION("SPLIT(A459,"","",0,0)"),45556.46666666667)</f>
        <v>45556.46667</v>
      </c>
      <c r="C459" s="5">
        <f>IFERROR(__xludf.DUMMYFUNCTION("""COMPUTED_VALUE"""),2738622.0)</f>
        <v>2738622</v>
      </c>
      <c r="D459" s="2" t="str">
        <f>IFERROR(__xludf.DUMMYFUNCTION("""COMPUTED_VALUE"""),"Sale")</f>
        <v>Sale</v>
      </c>
      <c r="E459" s="2" t="str">
        <f>IFERROR(__xludf.DUMMYFUNCTION("""COMPUTED_VALUE"""),"Roti")</f>
        <v>Roti</v>
      </c>
      <c r="F459" s="2">
        <f>IFERROR(__xludf.DUMMYFUNCTION("""COMPUTED_VALUE"""),10002.0)</f>
        <v>10002</v>
      </c>
      <c r="G459" s="2" t="str">
        <f>IFERROR(__xludf.DUMMYFUNCTION("""COMPUTED_VALUE"""),"Roti Cranberry")</f>
        <v>Roti Cranberry</v>
      </c>
      <c r="H459" s="2"/>
      <c r="I459" s="2"/>
      <c r="J459" s="2">
        <f>IFERROR(__xludf.DUMMYFUNCTION("""COMPUTED_VALUE"""),1.0)</f>
        <v>1</v>
      </c>
      <c r="K459" s="6">
        <f>IFERROR(__xludf.DUMMYFUNCTION("""COMPUTED_VALUE"""),18571.0)</f>
        <v>18571</v>
      </c>
      <c r="L459" s="2">
        <f>IFERROR(__xludf.DUMMYFUNCTION("""COMPUTED_VALUE"""),0.0)</f>
        <v>0</v>
      </c>
      <c r="M459" s="2">
        <f>IFERROR(__xludf.DUMMYFUNCTION("""COMPUTED_VALUE"""),18571.0)</f>
        <v>18571</v>
      </c>
      <c r="N459" s="2">
        <f>IFERROR(__xludf.DUMMYFUNCTION("""COMPUTED_VALUE"""),0.0)</f>
        <v>0</v>
      </c>
      <c r="O459" s="2">
        <f>IFERROR(__xludf.DUMMYFUNCTION("""COMPUTED_VALUE"""),18571.0)</f>
        <v>18571</v>
      </c>
      <c r="P459" s="2">
        <f>IFERROR(__xludf.DUMMYFUNCTION("""COMPUTED_VALUE"""),928.0)</f>
        <v>928</v>
      </c>
      <c r="Q459" s="2" t="str">
        <f>IFERROR(__xludf.DUMMYFUNCTION("""COMPUTED_VALUE"""),"Dine In")</f>
        <v>Dine In</v>
      </c>
      <c r="R459" s="2" t="str">
        <f>IFERROR(__xludf.DUMMYFUNCTION("""COMPUTED_VALUE"""),"Kedai")</f>
        <v>Kedai</v>
      </c>
      <c r="S459" s="2" t="str">
        <f>IFERROR(__xludf.DUMMYFUNCTION("""COMPUTED_VALUE"""),"Temu Roti")</f>
        <v>Temu Roti</v>
      </c>
      <c r="T459" s="2" t="str">
        <f>IFERROR(__xludf.DUMMYFUNCTION("""COMPUTED_VALUE"""),"Owner")</f>
        <v>Owner</v>
      </c>
      <c r="U459" s="2"/>
      <c r="V459" s="2"/>
      <c r="W459" s="2"/>
      <c r="X459" s="2" t="str">
        <f>IFERROR(__xludf.DUMMYFUNCTION("""COMPUTED_VALUE"""),"Closed")</f>
        <v>Closed</v>
      </c>
    </row>
    <row r="460">
      <c r="A460" s="3" t="s">
        <v>478</v>
      </c>
      <c r="B460" s="4">
        <f>IFERROR(__xludf.DUMMYFUNCTION("SPLIT(A460,"","",0,0)"),45556.46666666667)</f>
        <v>45556.46667</v>
      </c>
      <c r="C460" s="5">
        <f>IFERROR(__xludf.DUMMYFUNCTION("""COMPUTED_VALUE"""),2738622.0)</f>
        <v>2738622</v>
      </c>
      <c r="D460" s="2" t="str">
        <f>IFERROR(__xludf.DUMMYFUNCTION("""COMPUTED_VALUE"""),"Sale")</f>
        <v>Sale</v>
      </c>
      <c r="E460" s="2" t="str">
        <f>IFERROR(__xludf.DUMMYFUNCTION("""COMPUTED_VALUE"""),"Minuman")</f>
        <v>Minuman</v>
      </c>
      <c r="F460" s="2">
        <f>IFERROR(__xludf.DUMMYFUNCTION("""COMPUTED_VALUE"""),10058.0)</f>
        <v>10058</v>
      </c>
      <c r="G460" s="2" t="str">
        <f>IFERROR(__xludf.DUMMYFUNCTION("""COMPUTED_VALUE"""),"Susu murni ori")</f>
        <v>Susu murni ori</v>
      </c>
      <c r="H460" s="2"/>
      <c r="I460" s="2"/>
      <c r="J460" s="2">
        <f>IFERROR(__xludf.DUMMYFUNCTION("""COMPUTED_VALUE"""),1.0)</f>
        <v>1</v>
      </c>
      <c r="K460" s="6">
        <f>IFERROR(__xludf.DUMMYFUNCTION("""COMPUTED_VALUE"""),19524.0)</f>
        <v>19524</v>
      </c>
      <c r="L460" s="2">
        <f>IFERROR(__xludf.DUMMYFUNCTION("""COMPUTED_VALUE"""),0.0)</f>
        <v>0</v>
      </c>
      <c r="M460" s="2">
        <f>IFERROR(__xludf.DUMMYFUNCTION("""COMPUTED_VALUE"""),19524.0)</f>
        <v>19524</v>
      </c>
      <c r="N460" s="2">
        <f>IFERROR(__xludf.DUMMYFUNCTION("""COMPUTED_VALUE"""),0.0)</f>
        <v>0</v>
      </c>
      <c r="O460" s="2">
        <f>IFERROR(__xludf.DUMMYFUNCTION("""COMPUTED_VALUE"""),19524.0)</f>
        <v>19524</v>
      </c>
      <c r="P460" s="2">
        <f>IFERROR(__xludf.DUMMYFUNCTION("""COMPUTED_VALUE"""),977.0)</f>
        <v>977</v>
      </c>
      <c r="Q460" s="2" t="str">
        <f>IFERROR(__xludf.DUMMYFUNCTION("""COMPUTED_VALUE"""),"Dine In")</f>
        <v>Dine In</v>
      </c>
      <c r="R460" s="2" t="str">
        <f>IFERROR(__xludf.DUMMYFUNCTION("""COMPUTED_VALUE"""),"Kedai")</f>
        <v>Kedai</v>
      </c>
      <c r="S460" s="2" t="str">
        <f>IFERROR(__xludf.DUMMYFUNCTION("""COMPUTED_VALUE"""),"Temu Roti")</f>
        <v>Temu Roti</v>
      </c>
      <c r="T460" s="2" t="str">
        <f>IFERROR(__xludf.DUMMYFUNCTION("""COMPUTED_VALUE"""),"Owner")</f>
        <v>Owner</v>
      </c>
      <c r="U460" s="2"/>
      <c r="V460" s="2"/>
      <c r="W460" s="2"/>
      <c r="X460" s="2" t="str">
        <f>IFERROR(__xludf.DUMMYFUNCTION("""COMPUTED_VALUE"""),"Closed")</f>
        <v>Closed</v>
      </c>
    </row>
    <row r="461">
      <c r="A461" s="3" t="s">
        <v>479</v>
      </c>
      <c r="B461" s="4">
        <f>IFERROR(__xludf.DUMMYFUNCTION("SPLIT(A461,"","",0,0)"),45556.46666666667)</f>
        <v>45556.46667</v>
      </c>
      <c r="C461" s="5">
        <f>IFERROR(__xludf.DUMMYFUNCTION("""COMPUTED_VALUE"""),2738622.0)</f>
        <v>2738622</v>
      </c>
      <c r="D461" s="2" t="str">
        <f>IFERROR(__xludf.DUMMYFUNCTION("""COMPUTED_VALUE"""),"Sale")</f>
        <v>Sale</v>
      </c>
      <c r="E461" s="2" t="str">
        <f>IFERROR(__xludf.DUMMYFUNCTION("""COMPUTED_VALUE"""),"Minuman")</f>
        <v>Minuman</v>
      </c>
      <c r="F461" s="2">
        <f>IFERROR(__xludf.DUMMYFUNCTION("""COMPUTED_VALUE"""),10079.0)</f>
        <v>10079</v>
      </c>
      <c r="G461" s="2" t="str">
        <f>IFERROR(__xludf.DUMMYFUNCTION("""COMPUTED_VALUE"""),"Wedang angin (pack)")</f>
        <v>Wedang angin (pack)</v>
      </c>
      <c r="H461" s="2"/>
      <c r="I461" s="2"/>
      <c r="J461" s="2">
        <f>IFERROR(__xludf.DUMMYFUNCTION("""COMPUTED_VALUE"""),8.0)</f>
        <v>8</v>
      </c>
      <c r="K461" s="6">
        <f>IFERROR(__xludf.DUMMYFUNCTION("""COMPUTED_VALUE"""),114280.0)</f>
        <v>114280</v>
      </c>
      <c r="L461" s="2">
        <f>IFERROR(__xludf.DUMMYFUNCTION("""COMPUTED_VALUE"""),0.0)</f>
        <v>0</v>
      </c>
      <c r="M461" s="2">
        <f>IFERROR(__xludf.DUMMYFUNCTION("""COMPUTED_VALUE"""),114280.0)</f>
        <v>114280</v>
      </c>
      <c r="N461" s="2">
        <f>IFERROR(__xludf.DUMMYFUNCTION("""COMPUTED_VALUE"""),0.0)</f>
        <v>0</v>
      </c>
      <c r="O461" s="2">
        <f>IFERROR(__xludf.DUMMYFUNCTION("""COMPUTED_VALUE"""),114280.0)</f>
        <v>114280</v>
      </c>
      <c r="P461" s="2">
        <f>IFERROR(__xludf.DUMMYFUNCTION("""COMPUTED_VALUE"""),5714.0)</f>
        <v>5714</v>
      </c>
      <c r="Q461" s="2" t="str">
        <f>IFERROR(__xludf.DUMMYFUNCTION("""COMPUTED_VALUE"""),"Dine In")</f>
        <v>Dine In</v>
      </c>
      <c r="R461" s="2" t="str">
        <f>IFERROR(__xludf.DUMMYFUNCTION("""COMPUTED_VALUE"""),"Kedai")</f>
        <v>Kedai</v>
      </c>
      <c r="S461" s="2" t="str">
        <f>IFERROR(__xludf.DUMMYFUNCTION("""COMPUTED_VALUE"""),"Temu Roti")</f>
        <v>Temu Roti</v>
      </c>
      <c r="T461" s="2" t="str">
        <f>IFERROR(__xludf.DUMMYFUNCTION("""COMPUTED_VALUE"""),"Owner")</f>
        <v>Owner</v>
      </c>
      <c r="U461" s="2"/>
      <c r="V461" s="2"/>
      <c r="W461" s="2"/>
      <c r="X461" s="2" t="str">
        <f>IFERROR(__xludf.DUMMYFUNCTION("""COMPUTED_VALUE"""),"Closed")</f>
        <v>Closed</v>
      </c>
    </row>
    <row r="462">
      <c r="A462" s="3" t="s">
        <v>480</v>
      </c>
      <c r="B462" s="4">
        <f>IFERROR(__xludf.DUMMYFUNCTION("SPLIT(A462,"","",0,0)"),45556.45138888889)</f>
        <v>45556.45139</v>
      </c>
      <c r="C462" s="5">
        <f>IFERROR(__xludf.DUMMYFUNCTION("""COMPUTED_VALUE"""),2738257.0)</f>
        <v>2738257</v>
      </c>
      <c r="D462" s="2" t="str">
        <f>IFERROR(__xludf.DUMMYFUNCTION("""COMPUTED_VALUE"""),"Sale")</f>
        <v>Sale</v>
      </c>
      <c r="E462" s="2" t="str">
        <f>IFERROR(__xludf.DUMMYFUNCTION("""COMPUTED_VALUE"""),"Roti")</f>
        <v>Roti</v>
      </c>
      <c r="F462" s="2">
        <f>IFERROR(__xludf.DUMMYFUNCTION("""COMPUTED_VALUE"""),10007.0)</f>
        <v>10007</v>
      </c>
      <c r="G462" s="2" t="str">
        <f>IFERROR(__xludf.DUMMYFUNCTION("""COMPUTED_VALUE"""),"Roti cranberry 2 pcs")</f>
        <v>Roti cranberry 2 pcs</v>
      </c>
      <c r="H462" s="2"/>
      <c r="I462" s="2"/>
      <c r="J462" s="2">
        <f>IFERROR(__xludf.DUMMYFUNCTION("""COMPUTED_VALUE"""),1.0)</f>
        <v>1</v>
      </c>
      <c r="K462" s="6">
        <f>IFERROR(__xludf.DUMMYFUNCTION("""COMPUTED_VALUE"""),33810.0)</f>
        <v>33810</v>
      </c>
      <c r="L462" s="2">
        <f>IFERROR(__xludf.DUMMYFUNCTION("""COMPUTED_VALUE"""),0.0)</f>
        <v>0</v>
      </c>
      <c r="M462" s="2">
        <f>IFERROR(__xludf.DUMMYFUNCTION("""COMPUTED_VALUE"""),33810.0)</f>
        <v>33810</v>
      </c>
      <c r="N462" s="2">
        <f>IFERROR(__xludf.DUMMYFUNCTION("""COMPUTED_VALUE"""),0.0)</f>
        <v>0</v>
      </c>
      <c r="O462" s="2">
        <f>IFERROR(__xludf.DUMMYFUNCTION("""COMPUTED_VALUE"""),33810.0)</f>
        <v>33810</v>
      </c>
      <c r="P462" s="2">
        <f>IFERROR(__xludf.DUMMYFUNCTION("""COMPUTED_VALUE"""),1691.0)</f>
        <v>1691</v>
      </c>
      <c r="Q462" s="2" t="str">
        <f>IFERROR(__xludf.DUMMYFUNCTION("""COMPUTED_VALUE"""),"Dine In")</f>
        <v>Dine In</v>
      </c>
      <c r="R462" s="2" t="str">
        <f>IFERROR(__xludf.DUMMYFUNCTION("""COMPUTED_VALUE"""),"Kedai")</f>
        <v>Kedai</v>
      </c>
      <c r="S462" s="2" t="str">
        <f>IFERROR(__xludf.DUMMYFUNCTION("""COMPUTED_VALUE"""),"Temu Roti")</f>
        <v>Temu Roti</v>
      </c>
      <c r="T462" s="2" t="str">
        <f>IFERROR(__xludf.DUMMYFUNCTION("""COMPUTED_VALUE"""),"Owner")</f>
        <v>Owner</v>
      </c>
      <c r="U462" s="2"/>
      <c r="V462" s="2"/>
      <c r="W462" s="2"/>
      <c r="X462" s="2" t="str">
        <f>IFERROR(__xludf.DUMMYFUNCTION("""COMPUTED_VALUE"""),"Closed")</f>
        <v>Closed</v>
      </c>
    </row>
    <row r="463">
      <c r="A463" s="3" t="s">
        <v>481</v>
      </c>
      <c r="B463" s="4">
        <f>IFERROR(__xludf.DUMMYFUNCTION("SPLIT(A463,"","",0,0)"),45556.45138888889)</f>
        <v>45556.45139</v>
      </c>
      <c r="C463" s="5">
        <f>IFERROR(__xludf.DUMMYFUNCTION("""COMPUTED_VALUE"""),2738257.0)</f>
        <v>2738257</v>
      </c>
      <c r="D463" s="2" t="str">
        <f>IFERROR(__xludf.DUMMYFUNCTION("""COMPUTED_VALUE"""),"Sale")</f>
        <v>Sale</v>
      </c>
      <c r="E463" s="2" t="str">
        <f>IFERROR(__xludf.DUMMYFUNCTION("""COMPUTED_VALUE"""),"Roti")</f>
        <v>Roti</v>
      </c>
      <c r="F463" s="2">
        <f>IFERROR(__xludf.DUMMYFUNCTION("""COMPUTED_VALUE"""),10002.0)</f>
        <v>10002</v>
      </c>
      <c r="G463" s="2" t="str">
        <f>IFERROR(__xludf.DUMMYFUNCTION("""COMPUTED_VALUE"""),"Roti Cranberry")</f>
        <v>Roti Cranberry</v>
      </c>
      <c r="H463" s="2"/>
      <c r="I463" s="2"/>
      <c r="J463" s="2">
        <f>IFERROR(__xludf.DUMMYFUNCTION("""COMPUTED_VALUE"""),1.0)</f>
        <v>1</v>
      </c>
      <c r="K463" s="6">
        <f>IFERROR(__xludf.DUMMYFUNCTION("""COMPUTED_VALUE"""),18571.0)</f>
        <v>18571</v>
      </c>
      <c r="L463" s="2">
        <f>IFERROR(__xludf.DUMMYFUNCTION("""COMPUTED_VALUE"""),0.0)</f>
        <v>0</v>
      </c>
      <c r="M463" s="2">
        <f>IFERROR(__xludf.DUMMYFUNCTION("""COMPUTED_VALUE"""),18571.0)</f>
        <v>18571</v>
      </c>
      <c r="N463" s="2">
        <f>IFERROR(__xludf.DUMMYFUNCTION("""COMPUTED_VALUE"""),0.0)</f>
        <v>0</v>
      </c>
      <c r="O463" s="2">
        <f>IFERROR(__xludf.DUMMYFUNCTION("""COMPUTED_VALUE"""),18571.0)</f>
        <v>18571</v>
      </c>
      <c r="P463" s="2">
        <f>IFERROR(__xludf.DUMMYFUNCTION("""COMPUTED_VALUE"""),928.0)</f>
        <v>928</v>
      </c>
      <c r="Q463" s="2" t="str">
        <f>IFERROR(__xludf.DUMMYFUNCTION("""COMPUTED_VALUE"""),"Dine In")</f>
        <v>Dine In</v>
      </c>
      <c r="R463" s="2" t="str">
        <f>IFERROR(__xludf.DUMMYFUNCTION("""COMPUTED_VALUE"""),"Kedai")</f>
        <v>Kedai</v>
      </c>
      <c r="S463" s="2" t="str">
        <f>IFERROR(__xludf.DUMMYFUNCTION("""COMPUTED_VALUE"""),"Temu Roti")</f>
        <v>Temu Roti</v>
      </c>
      <c r="T463" s="2" t="str">
        <f>IFERROR(__xludf.DUMMYFUNCTION("""COMPUTED_VALUE"""),"Owner")</f>
        <v>Owner</v>
      </c>
      <c r="U463" s="2"/>
      <c r="V463" s="2"/>
      <c r="W463" s="2"/>
      <c r="X463" s="2" t="str">
        <f>IFERROR(__xludf.DUMMYFUNCTION("""COMPUTED_VALUE"""),"Closed")</f>
        <v>Closed</v>
      </c>
    </row>
    <row r="464">
      <c r="A464" s="3" t="s">
        <v>482</v>
      </c>
      <c r="B464" s="4">
        <f>IFERROR(__xludf.DUMMYFUNCTION("SPLIT(A464,"","",0,0)"),45556.45138888889)</f>
        <v>45556.45139</v>
      </c>
      <c r="C464" s="5">
        <f>IFERROR(__xludf.DUMMYFUNCTION("""COMPUTED_VALUE"""),2738257.0)</f>
        <v>2738257</v>
      </c>
      <c r="D464" s="2" t="str">
        <f>IFERROR(__xludf.DUMMYFUNCTION("""COMPUTED_VALUE"""),"Sale")</f>
        <v>Sale</v>
      </c>
      <c r="E464" s="2" t="str">
        <f>IFERROR(__xludf.DUMMYFUNCTION("""COMPUTED_VALUE"""),"Kudapan")</f>
        <v>Kudapan</v>
      </c>
      <c r="F464" s="2">
        <f>IFERROR(__xludf.DUMMYFUNCTION("""COMPUTED_VALUE"""),10011.0)</f>
        <v>10011</v>
      </c>
      <c r="G464" s="2" t="str">
        <f>IFERROR(__xludf.DUMMYFUNCTION("""COMPUTED_VALUE"""),"Kentang Goreng")</f>
        <v>Kentang Goreng</v>
      </c>
      <c r="H464" s="2"/>
      <c r="I464" s="2"/>
      <c r="J464" s="2">
        <f>IFERROR(__xludf.DUMMYFUNCTION("""COMPUTED_VALUE"""),1.0)</f>
        <v>1</v>
      </c>
      <c r="K464" s="6">
        <f>IFERROR(__xludf.DUMMYFUNCTION("""COMPUTED_VALUE"""),25238.0)</f>
        <v>25238</v>
      </c>
      <c r="L464" s="2">
        <f>IFERROR(__xludf.DUMMYFUNCTION("""COMPUTED_VALUE"""),0.0)</f>
        <v>0</v>
      </c>
      <c r="M464" s="2">
        <f>IFERROR(__xludf.DUMMYFUNCTION("""COMPUTED_VALUE"""),25238.0)</f>
        <v>25238</v>
      </c>
      <c r="N464" s="2">
        <f>IFERROR(__xludf.DUMMYFUNCTION("""COMPUTED_VALUE"""),0.0)</f>
        <v>0</v>
      </c>
      <c r="O464" s="2">
        <f>IFERROR(__xludf.DUMMYFUNCTION("""COMPUTED_VALUE"""),25238.0)</f>
        <v>25238</v>
      </c>
      <c r="P464" s="2">
        <f>IFERROR(__xludf.DUMMYFUNCTION("""COMPUTED_VALUE"""),1262.0)</f>
        <v>1262</v>
      </c>
      <c r="Q464" s="2" t="str">
        <f>IFERROR(__xludf.DUMMYFUNCTION("""COMPUTED_VALUE"""),"Dine In")</f>
        <v>Dine In</v>
      </c>
      <c r="R464" s="2" t="str">
        <f>IFERROR(__xludf.DUMMYFUNCTION("""COMPUTED_VALUE"""),"Kedai")</f>
        <v>Kedai</v>
      </c>
      <c r="S464" s="2" t="str">
        <f>IFERROR(__xludf.DUMMYFUNCTION("""COMPUTED_VALUE"""),"Temu Roti")</f>
        <v>Temu Roti</v>
      </c>
      <c r="T464" s="2" t="str">
        <f>IFERROR(__xludf.DUMMYFUNCTION("""COMPUTED_VALUE"""),"Owner")</f>
        <v>Owner</v>
      </c>
      <c r="U464" s="2"/>
      <c r="V464" s="2"/>
      <c r="W464" s="2"/>
      <c r="X464" s="2" t="str">
        <f>IFERROR(__xludf.DUMMYFUNCTION("""COMPUTED_VALUE"""),"Closed")</f>
        <v>Closed</v>
      </c>
    </row>
    <row r="465">
      <c r="A465" s="3" t="s">
        <v>483</v>
      </c>
      <c r="B465" s="4">
        <f>IFERROR(__xludf.DUMMYFUNCTION("SPLIT(A465,"","",0,0)"),45556.45138888889)</f>
        <v>45556.45139</v>
      </c>
      <c r="C465" s="5">
        <f>IFERROR(__xludf.DUMMYFUNCTION("""COMPUTED_VALUE"""),2738257.0)</f>
        <v>2738257</v>
      </c>
      <c r="D465" s="2" t="str">
        <f>IFERROR(__xludf.DUMMYFUNCTION("""COMPUTED_VALUE"""),"Sale")</f>
        <v>Sale</v>
      </c>
      <c r="E465" s="2" t="str">
        <f>IFERROR(__xludf.DUMMYFUNCTION("""COMPUTED_VALUE"""),"Minuman")</f>
        <v>Minuman</v>
      </c>
      <c r="F465" s="2">
        <f>IFERROR(__xludf.DUMMYFUNCTION("""COMPUTED_VALUE"""),10128.0)</f>
        <v>10128</v>
      </c>
      <c r="G465" s="2" t="str">
        <f>IFERROR(__xludf.DUMMYFUNCTION("""COMPUTED_VALUE"""),"Es Kopi Susu")</f>
        <v>Es Kopi Susu</v>
      </c>
      <c r="H465" s="2"/>
      <c r="I465" s="2"/>
      <c r="J465" s="2">
        <f>IFERROR(__xludf.DUMMYFUNCTION("""COMPUTED_VALUE"""),1.0)</f>
        <v>1</v>
      </c>
      <c r="K465" s="6">
        <f>IFERROR(__xludf.DUMMYFUNCTION("""COMPUTED_VALUE"""),23333.0)</f>
        <v>23333</v>
      </c>
      <c r="L465" s="2">
        <f>IFERROR(__xludf.DUMMYFUNCTION("""COMPUTED_VALUE"""),0.0)</f>
        <v>0</v>
      </c>
      <c r="M465" s="2">
        <f>IFERROR(__xludf.DUMMYFUNCTION("""COMPUTED_VALUE"""),23333.0)</f>
        <v>23333</v>
      </c>
      <c r="N465" s="2">
        <f>IFERROR(__xludf.DUMMYFUNCTION("""COMPUTED_VALUE"""),0.0)</f>
        <v>0</v>
      </c>
      <c r="O465" s="2">
        <f>IFERROR(__xludf.DUMMYFUNCTION("""COMPUTED_VALUE"""),23333.0)</f>
        <v>23333</v>
      </c>
      <c r="P465" s="2">
        <f>IFERROR(__xludf.DUMMYFUNCTION("""COMPUTED_VALUE"""),1167.0)</f>
        <v>1167</v>
      </c>
      <c r="Q465" s="2" t="str">
        <f>IFERROR(__xludf.DUMMYFUNCTION("""COMPUTED_VALUE"""),"Dine In")</f>
        <v>Dine In</v>
      </c>
      <c r="R465" s="2" t="str">
        <f>IFERROR(__xludf.DUMMYFUNCTION("""COMPUTED_VALUE"""),"Kedai")</f>
        <v>Kedai</v>
      </c>
      <c r="S465" s="2" t="str">
        <f>IFERROR(__xludf.DUMMYFUNCTION("""COMPUTED_VALUE"""),"Temu Roti")</f>
        <v>Temu Roti</v>
      </c>
      <c r="T465" s="2" t="str">
        <f>IFERROR(__xludf.DUMMYFUNCTION("""COMPUTED_VALUE"""),"Owner")</f>
        <v>Owner</v>
      </c>
      <c r="U465" s="2"/>
      <c r="V465" s="2"/>
      <c r="W465" s="2"/>
      <c r="X465" s="2" t="str">
        <f>IFERROR(__xludf.DUMMYFUNCTION("""COMPUTED_VALUE"""),"Closed")</f>
        <v>Closed</v>
      </c>
    </row>
    <row r="466">
      <c r="A466" s="3" t="s">
        <v>484</v>
      </c>
      <c r="B466" s="4">
        <f>IFERROR(__xludf.DUMMYFUNCTION("SPLIT(A466,"","",0,0)"),45556.45138888889)</f>
        <v>45556.45139</v>
      </c>
      <c r="C466" s="5">
        <f>IFERROR(__xludf.DUMMYFUNCTION("""COMPUTED_VALUE"""),2738257.0)</f>
        <v>2738257</v>
      </c>
      <c r="D466" s="2" t="str">
        <f>IFERROR(__xludf.DUMMYFUNCTION("""COMPUTED_VALUE"""),"Sale")</f>
        <v>Sale</v>
      </c>
      <c r="E466" s="2" t="str">
        <f>IFERROR(__xludf.DUMMYFUNCTION("""COMPUTED_VALUE"""),"Minuman")</f>
        <v>Minuman</v>
      </c>
      <c r="F466" s="2">
        <f>IFERROR(__xludf.DUMMYFUNCTION("""COMPUTED_VALUE"""),10063.0)</f>
        <v>10063</v>
      </c>
      <c r="G466" s="2" t="str">
        <f>IFERROR(__xludf.DUMMYFUNCTION("""COMPUTED_VALUE"""),"Wedang Bulan")</f>
        <v>Wedang Bulan</v>
      </c>
      <c r="H466" s="2"/>
      <c r="I466" s="2"/>
      <c r="J466" s="2">
        <f>IFERROR(__xludf.DUMMYFUNCTION("""COMPUTED_VALUE"""),1.0)</f>
        <v>1</v>
      </c>
      <c r="K466" s="6">
        <f>IFERROR(__xludf.DUMMYFUNCTION("""COMPUTED_VALUE"""),24762.0)</f>
        <v>24762</v>
      </c>
      <c r="L466" s="2">
        <f>IFERROR(__xludf.DUMMYFUNCTION("""COMPUTED_VALUE"""),0.0)</f>
        <v>0</v>
      </c>
      <c r="M466" s="2">
        <f>IFERROR(__xludf.DUMMYFUNCTION("""COMPUTED_VALUE"""),24762.0)</f>
        <v>24762</v>
      </c>
      <c r="N466" s="2">
        <f>IFERROR(__xludf.DUMMYFUNCTION("""COMPUTED_VALUE"""),0.0)</f>
        <v>0</v>
      </c>
      <c r="O466" s="2">
        <f>IFERROR(__xludf.DUMMYFUNCTION("""COMPUTED_VALUE"""),24762.0)</f>
        <v>24762</v>
      </c>
      <c r="P466" s="2">
        <f>IFERROR(__xludf.DUMMYFUNCTION("""COMPUTED_VALUE"""),1238.0)</f>
        <v>1238</v>
      </c>
      <c r="Q466" s="2" t="str">
        <f>IFERROR(__xludf.DUMMYFUNCTION("""COMPUTED_VALUE"""),"Dine In")</f>
        <v>Dine In</v>
      </c>
      <c r="R466" s="2" t="str">
        <f>IFERROR(__xludf.DUMMYFUNCTION("""COMPUTED_VALUE"""),"Kedai")</f>
        <v>Kedai</v>
      </c>
      <c r="S466" s="2" t="str">
        <f>IFERROR(__xludf.DUMMYFUNCTION("""COMPUTED_VALUE"""),"Temu Roti")</f>
        <v>Temu Roti</v>
      </c>
      <c r="T466" s="2" t="str">
        <f>IFERROR(__xludf.DUMMYFUNCTION("""COMPUTED_VALUE"""),"Owner")</f>
        <v>Owner</v>
      </c>
      <c r="U466" s="2"/>
      <c r="V466" s="2"/>
      <c r="W466" s="2"/>
      <c r="X466" s="2" t="str">
        <f>IFERROR(__xludf.DUMMYFUNCTION("""COMPUTED_VALUE"""),"Closed")</f>
        <v>Closed</v>
      </c>
    </row>
    <row r="467">
      <c r="A467" s="3" t="s">
        <v>485</v>
      </c>
      <c r="B467" s="4">
        <f>IFERROR(__xludf.DUMMYFUNCTION("SPLIT(A467,"","",0,0)"),45555.87569444445)</f>
        <v>45555.87569</v>
      </c>
      <c r="C467" s="5">
        <f>IFERROR(__xludf.DUMMYFUNCTION("""COMPUTED_VALUE"""),2737891.0)</f>
        <v>2737891</v>
      </c>
      <c r="D467" s="2" t="str">
        <f>IFERROR(__xludf.DUMMYFUNCTION("""COMPUTED_VALUE"""),"Sale")</f>
        <v>Sale</v>
      </c>
      <c r="E467" s="2" t="str">
        <f>IFERROR(__xludf.DUMMYFUNCTION("""COMPUTED_VALUE"""),"Roti")</f>
        <v>Roti</v>
      </c>
      <c r="F467" s="2">
        <f>IFERROR(__xludf.DUMMYFUNCTION("""COMPUTED_VALUE"""),10055.0)</f>
        <v>10055</v>
      </c>
      <c r="G467" s="2" t="str">
        <f>IFERROR(__xludf.DUMMYFUNCTION("""COMPUTED_VALUE"""),"Roti Gandum Cokelat 2 pcs")</f>
        <v>Roti Gandum Cokelat 2 pcs</v>
      </c>
      <c r="H467" s="2"/>
      <c r="I467" s="2"/>
      <c r="J467" s="2">
        <f>IFERROR(__xludf.DUMMYFUNCTION("""COMPUTED_VALUE"""),1.0)</f>
        <v>1</v>
      </c>
      <c r="K467" s="6">
        <f>IFERROR(__xludf.DUMMYFUNCTION("""COMPUTED_VALUE"""),34762.0)</f>
        <v>34762</v>
      </c>
      <c r="L467" s="2">
        <f>IFERROR(__xludf.DUMMYFUNCTION("""COMPUTED_VALUE"""),0.0)</f>
        <v>0</v>
      </c>
      <c r="M467" s="2">
        <f>IFERROR(__xludf.DUMMYFUNCTION("""COMPUTED_VALUE"""),34762.0)</f>
        <v>34762</v>
      </c>
      <c r="N467" s="2">
        <f>IFERROR(__xludf.DUMMYFUNCTION("""COMPUTED_VALUE"""),0.0)</f>
        <v>0</v>
      </c>
      <c r="O467" s="2">
        <f>IFERROR(__xludf.DUMMYFUNCTION("""COMPUTED_VALUE"""),34762.0)</f>
        <v>34762</v>
      </c>
      <c r="P467" s="2">
        <f>IFERROR(__xludf.DUMMYFUNCTION("""COMPUTED_VALUE"""),1738.0)</f>
        <v>1738</v>
      </c>
      <c r="Q467" s="2" t="str">
        <f>IFERROR(__xludf.DUMMYFUNCTION("""COMPUTED_VALUE"""),"Dine In")</f>
        <v>Dine In</v>
      </c>
      <c r="R467" s="2" t="str">
        <f>IFERROR(__xludf.DUMMYFUNCTION("""COMPUTED_VALUE"""),"Kedai")</f>
        <v>Kedai</v>
      </c>
      <c r="S467" s="2" t="str">
        <f>IFERROR(__xludf.DUMMYFUNCTION("""COMPUTED_VALUE"""),"Temu Roti")</f>
        <v>Temu Roti</v>
      </c>
      <c r="T467" s="2" t="str">
        <f>IFERROR(__xludf.DUMMYFUNCTION("""COMPUTED_VALUE"""),"Owner")</f>
        <v>Owner</v>
      </c>
      <c r="U467" s="2"/>
      <c r="V467" s="2"/>
      <c r="W467" s="2"/>
      <c r="X467" s="2" t="str">
        <f>IFERROR(__xludf.DUMMYFUNCTION("""COMPUTED_VALUE"""),"Closed")</f>
        <v>Closed</v>
      </c>
    </row>
    <row r="468">
      <c r="A468" s="3" t="s">
        <v>486</v>
      </c>
      <c r="B468" s="4">
        <f>IFERROR(__xludf.DUMMYFUNCTION("SPLIT(A468,"","",0,0)"),45555.87569444445)</f>
        <v>45555.87569</v>
      </c>
      <c r="C468" s="5">
        <f>IFERROR(__xludf.DUMMYFUNCTION("""COMPUTED_VALUE"""),2737891.0)</f>
        <v>2737891</v>
      </c>
      <c r="D468" s="2" t="str">
        <f>IFERROR(__xludf.DUMMYFUNCTION("""COMPUTED_VALUE"""),"Sale")</f>
        <v>Sale</v>
      </c>
      <c r="E468" s="2" t="str">
        <f>IFERROR(__xludf.DUMMYFUNCTION("""COMPUTED_VALUE"""),"Roti")</f>
        <v>Roti</v>
      </c>
      <c r="F468" s="2">
        <f>IFERROR(__xludf.DUMMYFUNCTION("""COMPUTED_VALUE"""),10000.0)</f>
        <v>10000</v>
      </c>
      <c r="G468" s="2" t="str">
        <f>IFERROR(__xludf.DUMMYFUNCTION("""COMPUTED_VALUE"""),"Roti Bawang Saus Keju")</f>
        <v>Roti Bawang Saus Keju</v>
      </c>
      <c r="H468" s="2"/>
      <c r="I468" s="2"/>
      <c r="J468" s="2">
        <f>IFERROR(__xludf.DUMMYFUNCTION("""COMPUTED_VALUE"""),2.0)</f>
        <v>2</v>
      </c>
      <c r="K468" s="6">
        <f>IFERROR(__xludf.DUMMYFUNCTION("""COMPUTED_VALUE"""),59048.0)</f>
        <v>59048</v>
      </c>
      <c r="L468" s="2">
        <f>IFERROR(__xludf.DUMMYFUNCTION("""COMPUTED_VALUE"""),0.0)</f>
        <v>0</v>
      </c>
      <c r="M468" s="2">
        <f>IFERROR(__xludf.DUMMYFUNCTION("""COMPUTED_VALUE"""),59048.0)</f>
        <v>59048</v>
      </c>
      <c r="N468" s="2">
        <f>IFERROR(__xludf.DUMMYFUNCTION("""COMPUTED_VALUE"""),0.0)</f>
        <v>0</v>
      </c>
      <c r="O468" s="2">
        <f>IFERROR(__xludf.DUMMYFUNCTION("""COMPUTED_VALUE"""),59048.0)</f>
        <v>59048</v>
      </c>
      <c r="P468" s="2">
        <f>IFERROR(__xludf.DUMMYFUNCTION("""COMPUTED_VALUE"""),2953.0)</f>
        <v>2953</v>
      </c>
      <c r="Q468" s="2" t="str">
        <f>IFERROR(__xludf.DUMMYFUNCTION("""COMPUTED_VALUE"""),"Dine In")</f>
        <v>Dine In</v>
      </c>
      <c r="R468" s="2" t="str">
        <f>IFERROR(__xludf.DUMMYFUNCTION("""COMPUTED_VALUE"""),"Kedai")</f>
        <v>Kedai</v>
      </c>
      <c r="S468" s="2" t="str">
        <f>IFERROR(__xludf.DUMMYFUNCTION("""COMPUTED_VALUE"""),"Temu Roti")</f>
        <v>Temu Roti</v>
      </c>
      <c r="T468" s="2" t="str">
        <f>IFERROR(__xludf.DUMMYFUNCTION("""COMPUTED_VALUE"""),"Owner")</f>
        <v>Owner</v>
      </c>
      <c r="U468" s="2"/>
      <c r="V468" s="2"/>
      <c r="W468" s="2"/>
      <c r="X468" s="2" t="str">
        <f>IFERROR(__xludf.DUMMYFUNCTION("""COMPUTED_VALUE"""),"Closed")</f>
        <v>Closed</v>
      </c>
    </row>
    <row r="469">
      <c r="A469" s="3" t="s">
        <v>487</v>
      </c>
      <c r="B469" s="4">
        <f>IFERROR(__xludf.DUMMYFUNCTION("SPLIT(A469,"","",0,0)"),45555.76458333333)</f>
        <v>45555.76458</v>
      </c>
      <c r="C469" s="5">
        <f>IFERROR(__xludf.DUMMYFUNCTION("""COMPUTED_VALUE"""),2737526.0)</f>
        <v>2737526</v>
      </c>
      <c r="D469" s="2" t="str">
        <f>IFERROR(__xludf.DUMMYFUNCTION("""COMPUTED_VALUE"""),"Sale")</f>
        <v>Sale</v>
      </c>
      <c r="E469" s="2" t="str">
        <f>IFERROR(__xludf.DUMMYFUNCTION("""COMPUTED_VALUE"""),"Minuman")</f>
        <v>Minuman</v>
      </c>
      <c r="F469" s="2">
        <f>IFERROR(__xludf.DUMMYFUNCTION("""COMPUTED_VALUE"""),10106.0)</f>
        <v>10106</v>
      </c>
      <c r="G469" s="2" t="str">
        <f>IFERROR(__xludf.DUMMYFUNCTION("""COMPUTED_VALUE"""),"Korean Strawberry Fresh Milk")</f>
        <v>Korean Strawberry Fresh Milk</v>
      </c>
      <c r="H469" s="2"/>
      <c r="I469" s="2"/>
      <c r="J469" s="2">
        <f>IFERROR(__xludf.DUMMYFUNCTION("""COMPUTED_VALUE"""),1.0)</f>
        <v>1</v>
      </c>
      <c r="K469" s="6">
        <f>IFERROR(__xludf.DUMMYFUNCTION("""COMPUTED_VALUE"""),26667.0)</f>
        <v>26667</v>
      </c>
      <c r="L469" s="2">
        <f>IFERROR(__xludf.DUMMYFUNCTION("""COMPUTED_VALUE"""),0.0)</f>
        <v>0</v>
      </c>
      <c r="M469" s="2">
        <f>IFERROR(__xludf.DUMMYFUNCTION("""COMPUTED_VALUE"""),26667.0)</f>
        <v>26667</v>
      </c>
      <c r="N469" s="2">
        <f>IFERROR(__xludf.DUMMYFUNCTION("""COMPUTED_VALUE"""),0.0)</f>
        <v>0</v>
      </c>
      <c r="O469" s="2">
        <f>IFERROR(__xludf.DUMMYFUNCTION("""COMPUTED_VALUE"""),26667.0)</f>
        <v>26667</v>
      </c>
      <c r="P469" s="2">
        <f>IFERROR(__xludf.DUMMYFUNCTION("""COMPUTED_VALUE"""),1333.0)</f>
        <v>1333</v>
      </c>
      <c r="Q469" s="2" t="str">
        <f>IFERROR(__xludf.DUMMYFUNCTION("""COMPUTED_VALUE"""),"Dine In")</f>
        <v>Dine In</v>
      </c>
      <c r="R469" s="2" t="str">
        <f>IFERROR(__xludf.DUMMYFUNCTION("""COMPUTED_VALUE"""),"Kedai")</f>
        <v>Kedai</v>
      </c>
      <c r="S469" s="2" t="str">
        <f>IFERROR(__xludf.DUMMYFUNCTION("""COMPUTED_VALUE"""),"Temu Roti")</f>
        <v>Temu Roti</v>
      </c>
      <c r="T469" s="2" t="str">
        <f>IFERROR(__xludf.DUMMYFUNCTION("""COMPUTED_VALUE"""),"Owner")</f>
        <v>Owner</v>
      </c>
      <c r="U469" s="2"/>
      <c r="V469" s="2"/>
      <c r="W469" s="2"/>
      <c r="X469" s="2" t="str">
        <f>IFERROR(__xludf.DUMMYFUNCTION("""COMPUTED_VALUE"""),"Closed")</f>
        <v>Closed</v>
      </c>
    </row>
    <row r="470">
      <c r="A470" s="3" t="s">
        <v>488</v>
      </c>
      <c r="B470" s="4">
        <f>IFERROR(__xludf.DUMMYFUNCTION("SPLIT(A470,"","",0,0)"),45555.76458333333)</f>
        <v>45555.76458</v>
      </c>
      <c r="C470" s="5">
        <f>IFERROR(__xludf.DUMMYFUNCTION("""COMPUTED_VALUE"""),2737526.0)</f>
        <v>2737526</v>
      </c>
      <c r="D470" s="2" t="str">
        <f>IFERROR(__xludf.DUMMYFUNCTION("""COMPUTED_VALUE"""),"Sale")</f>
        <v>Sale</v>
      </c>
      <c r="E470" s="2" t="str">
        <f>IFERROR(__xludf.DUMMYFUNCTION("""COMPUTED_VALUE"""),"Minuman")</f>
        <v>Minuman</v>
      </c>
      <c r="F470" s="2">
        <f>IFERROR(__xludf.DUMMYFUNCTION("""COMPUTED_VALUE"""),10112.0)</f>
        <v>10112</v>
      </c>
      <c r="G470" s="2" t="str">
        <f>IFERROR(__xludf.DUMMYFUNCTION("""COMPUTED_VALUE"""),"Air mineral")</f>
        <v>Air mineral</v>
      </c>
      <c r="H470" s="2"/>
      <c r="I470" s="2"/>
      <c r="J470" s="2">
        <f>IFERROR(__xludf.DUMMYFUNCTION("""COMPUTED_VALUE"""),1.0)</f>
        <v>1</v>
      </c>
      <c r="K470" s="6">
        <f>IFERROR(__xludf.DUMMYFUNCTION("""COMPUTED_VALUE"""),6667.0)</f>
        <v>6667</v>
      </c>
      <c r="L470" s="2">
        <f>IFERROR(__xludf.DUMMYFUNCTION("""COMPUTED_VALUE"""),0.0)</f>
        <v>0</v>
      </c>
      <c r="M470" s="2">
        <f>IFERROR(__xludf.DUMMYFUNCTION("""COMPUTED_VALUE"""),6667.0)</f>
        <v>6667</v>
      </c>
      <c r="N470" s="2">
        <f>IFERROR(__xludf.DUMMYFUNCTION("""COMPUTED_VALUE"""),0.0)</f>
        <v>0</v>
      </c>
      <c r="O470" s="2">
        <f>IFERROR(__xludf.DUMMYFUNCTION("""COMPUTED_VALUE"""),6667.0)</f>
        <v>6667</v>
      </c>
      <c r="P470" s="2">
        <f>IFERROR(__xludf.DUMMYFUNCTION("""COMPUTED_VALUE"""),334.0)</f>
        <v>334</v>
      </c>
      <c r="Q470" s="2" t="str">
        <f>IFERROR(__xludf.DUMMYFUNCTION("""COMPUTED_VALUE"""),"Dine In")</f>
        <v>Dine In</v>
      </c>
      <c r="R470" s="2" t="str">
        <f>IFERROR(__xludf.DUMMYFUNCTION("""COMPUTED_VALUE"""),"Kedai")</f>
        <v>Kedai</v>
      </c>
      <c r="S470" s="2" t="str">
        <f>IFERROR(__xludf.DUMMYFUNCTION("""COMPUTED_VALUE"""),"Temu Roti")</f>
        <v>Temu Roti</v>
      </c>
      <c r="T470" s="2" t="str">
        <f>IFERROR(__xludf.DUMMYFUNCTION("""COMPUTED_VALUE"""),"Owner")</f>
        <v>Owner</v>
      </c>
      <c r="U470" s="2"/>
      <c r="V470" s="2"/>
      <c r="W470" s="2"/>
      <c r="X470" s="2" t="str">
        <f>IFERROR(__xludf.DUMMYFUNCTION("""COMPUTED_VALUE"""),"Closed")</f>
        <v>Closed</v>
      </c>
    </row>
    <row r="471">
      <c r="A471" s="3" t="s">
        <v>489</v>
      </c>
      <c r="B471" s="4">
        <f>IFERROR(__xludf.DUMMYFUNCTION("SPLIT(A471,"","",0,0)"),45555.76458333333)</f>
        <v>45555.76458</v>
      </c>
      <c r="C471" s="5">
        <f>IFERROR(__xludf.DUMMYFUNCTION("""COMPUTED_VALUE"""),2737526.0)</f>
        <v>2737526</v>
      </c>
      <c r="D471" s="2" t="str">
        <f>IFERROR(__xludf.DUMMYFUNCTION("""COMPUTED_VALUE"""),"Sale")</f>
        <v>Sale</v>
      </c>
      <c r="E471" s="2" t="str">
        <f>IFERROR(__xludf.DUMMYFUNCTION("""COMPUTED_VALUE"""),"Minuman")</f>
        <v>Minuman</v>
      </c>
      <c r="F471" s="2">
        <f>IFERROR(__xludf.DUMMYFUNCTION("""COMPUTED_VALUE"""),10112.0)</f>
        <v>10112</v>
      </c>
      <c r="G471" s="2" t="str">
        <f>IFERROR(__xludf.DUMMYFUNCTION("""COMPUTED_VALUE"""),"Air mineral")</f>
        <v>Air mineral</v>
      </c>
      <c r="H471" s="2"/>
      <c r="I471" s="2"/>
      <c r="J471" s="2">
        <f>IFERROR(__xludf.DUMMYFUNCTION("""COMPUTED_VALUE"""),1.0)</f>
        <v>1</v>
      </c>
      <c r="K471" s="6">
        <f>IFERROR(__xludf.DUMMYFUNCTION("""COMPUTED_VALUE"""),6667.0)</f>
        <v>6667</v>
      </c>
      <c r="L471" s="2">
        <f>IFERROR(__xludf.DUMMYFUNCTION("""COMPUTED_VALUE"""),0.0)</f>
        <v>0</v>
      </c>
      <c r="M471" s="2">
        <f>IFERROR(__xludf.DUMMYFUNCTION("""COMPUTED_VALUE"""),6667.0)</f>
        <v>6667</v>
      </c>
      <c r="N471" s="2">
        <f>IFERROR(__xludf.DUMMYFUNCTION("""COMPUTED_VALUE"""),0.0)</f>
        <v>0</v>
      </c>
      <c r="O471" s="2">
        <f>IFERROR(__xludf.DUMMYFUNCTION("""COMPUTED_VALUE"""),6667.0)</f>
        <v>6667</v>
      </c>
      <c r="P471" s="2">
        <f>IFERROR(__xludf.DUMMYFUNCTION("""COMPUTED_VALUE"""),333.0)</f>
        <v>333</v>
      </c>
      <c r="Q471" s="2" t="str">
        <f>IFERROR(__xludf.DUMMYFUNCTION("""COMPUTED_VALUE"""),"Dine In")</f>
        <v>Dine In</v>
      </c>
      <c r="R471" s="2" t="str">
        <f>IFERROR(__xludf.DUMMYFUNCTION("""COMPUTED_VALUE"""),"Kedai")</f>
        <v>Kedai</v>
      </c>
      <c r="S471" s="2" t="str">
        <f>IFERROR(__xludf.DUMMYFUNCTION("""COMPUTED_VALUE"""),"Temu Roti")</f>
        <v>Temu Roti</v>
      </c>
      <c r="T471" s="2" t="str">
        <f>IFERROR(__xludf.DUMMYFUNCTION("""COMPUTED_VALUE"""),"Owner")</f>
        <v>Owner</v>
      </c>
      <c r="U471" s="2"/>
      <c r="V471" s="2"/>
      <c r="W471" s="2"/>
      <c r="X471" s="2" t="str">
        <f>IFERROR(__xludf.DUMMYFUNCTION("""COMPUTED_VALUE"""),"Closed")</f>
        <v>Closed</v>
      </c>
    </row>
    <row r="472">
      <c r="A472" s="3" t="s">
        <v>489</v>
      </c>
      <c r="B472" s="4">
        <f>IFERROR(__xludf.DUMMYFUNCTION("SPLIT(A472,"","",0,0)"),45555.76458333333)</f>
        <v>45555.76458</v>
      </c>
      <c r="C472" s="5">
        <f>IFERROR(__xludf.DUMMYFUNCTION("""COMPUTED_VALUE"""),2737526.0)</f>
        <v>2737526</v>
      </c>
      <c r="D472" s="2" t="str">
        <f>IFERROR(__xludf.DUMMYFUNCTION("""COMPUTED_VALUE"""),"Sale")</f>
        <v>Sale</v>
      </c>
      <c r="E472" s="2" t="str">
        <f>IFERROR(__xludf.DUMMYFUNCTION("""COMPUTED_VALUE"""),"Minuman")</f>
        <v>Minuman</v>
      </c>
      <c r="F472" s="2">
        <f>IFERROR(__xludf.DUMMYFUNCTION("""COMPUTED_VALUE"""),10112.0)</f>
        <v>10112</v>
      </c>
      <c r="G472" s="2" t="str">
        <f>IFERROR(__xludf.DUMMYFUNCTION("""COMPUTED_VALUE"""),"Air mineral")</f>
        <v>Air mineral</v>
      </c>
      <c r="H472" s="2"/>
      <c r="I472" s="2"/>
      <c r="J472" s="2">
        <f>IFERROR(__xludf.DUMMYFUNCTION("""COMPUTED_VALUE"""),1.0)</f>
        <v>1</v>
      </c>
      <c r="K472" s="6">
        <f>IFERROR(__xludf.DUMMYFUNCTION("""COMPUTED_VALUE"""),6667.0)</f>
        <v>6667</v>
      </c>
      <c r="L472" s="2">
        <f>IFERROR(__xludf.DUMMYFUNCTION("""COMPUTED_VALUE"""),0.0)</f>
        <v>0</v>
      </c>
      <c r="M472" s="2">
        <f>IFERROR(__xludf.DUMMYFUNCTION("""COMPUTED_VALUE"""),6667.0)</f>
        <v>6667</v>
      </c>
      <c r="N472" s="2">
        <f>IFERROR(__xludf.DUMMYFUNCTION("""COMPUTED_VALUE"""),0.0)</f>
        <v>0</v>
      </c>
      <c r="O472" s="2">
        <f>IFERROR(__xludf.DUMMYFUNCTION("""COMPUTED_VALUE"""),6667.0)</f>
        <v>6667</v>
      </c>
      <c r="P472" s="2">
        <f>IFERROR(__xludf.DUMMYFUNCTION("""COMPUTED_VALUE"""),333.0)</f>
        <v>333</v>
      </c>
      <c r="Q472" s="2" t="str">
        <f>IFERROR(__xludf.DUMMYFUNCTION("""COMPUTED_VALUE"""),"Dine In")</f>
        <v>Dine In</v>
      </c>
      <c r="R472" s="2" t="str">
        <f>IFERROR(__xludf.DUMMYFUNCTION("""COMPUTED_VALUE"""),"Kedai")</f>
        <v>Kedai</v>
      </c>
      <c r="S472" s="2" t="str">
        <f>IFERROR(__xludf.DUMMYFUNCTION("""COMPUTED_VALUE"""),"Temu Roti")</f>
        <v>Temu Roti</v>
      </c>
      <c r="T472" s="2" t="str">
        <f>IFERROR(__xludf.DUMMYFUNCTION("""COMPUTED_VALUE"""),"Owner")</f>
        <v>Owner</v>
      </c>
      <c r="U472" s="2"/>
      <c r="V472" s="2"/>
      <c r="W472" s="2"/>
      <c r="X472" s="2" t="str">
        <f>IFERROR(__xludf.DUMMYFUNCTION("""COMPUTED_VALUE"""),"Closed")</f>
        <v>Closed</v>
      </c>
    </row>
    <row r="473">
      <c r="A473" s="3" t="s">
        <v>490</v>
      </c>
      <c r="B473" s="4">
        <f>IFERROR(__xludf.DUMMYFUNCTION("SPLIT(A473,"","",0,0)"),45555.76458333333)</f>
        <v>45555.76458</v>
      </c>
      <c r="C473" s="5">
        <f>IFERROR(__xludf.DUMMYFUNCTION("""COMPUTED_VALUE"""),2737526.0)</f>
        <v>2737526</v>
      </c>
      <c r="D473" s="2" t="str">
        <f>IFERROR(__xludf.DUMMYFUNCTION("""COMPUTED_VALUE"""),"Sale")</f>
        <v>Sale</v>
      </c>
      <c r="E473" s="2" t="str">
        <f>IFERROR(__xludf.DUMMYFUNCTION("""COMPUTED_VALUE"""),"Kudapan")</f>
        <v>Kudapan</v>
      </c>
      <c r="F473" s="2">
        <f>IFERROR(__xludf.DUMMYFUNCTION("""COMPUTED_VALUE"""),10015.0)</f>
        <v>10015</v>
      </c>
      <c r="G473" s="2" t="str">
        <f>IFERROR(__xludf.DUMMYFUNCTION("""COMPUTED_VALUE"""),"Tahu Lada Garam")</f>
        <v>Tahu Lada Garam</v>
      </c>
      <c r="H473" s="2"/>
      <c r="I473" s="2"/>
      <c r="J473" s="2">
        <f>IFERROR(__xludf.DUMMYFUNCTION("""COMPUTED_VALUE"""),1.0)</f>
        <v>1</v>
      </c>
      <c r="K473" s="6">
        <f>IFERROR(__xludf.DUMMYFUNCTION("""COMPUTED_VALUE"""),25238.0)</f>
        <v>25238</v>
      </c>
      <c r="L473" s="2">
        <f>IFERROR(__xludf.DUMMYFUNCTION("""COMPUTED_VALUE"""),0.0)</f>
        <v>0</v>
      </c>
      <c r="M473" s="2">
        <f>IFERROR(__xludf.DUMMYFUNCTION("""COMPUTED_VALUE"""),25238.0)</f>
        <v>25238</v>
      </c>
      <c r="N473" s="2">
        <f>IFERROR(__xludf.DUMMYFUNCTION("""COMPUTED_VALUE"""),0.0)</f>
        <v>0</v>
      </c>
      <c r="O473" s="2">
        <f>IFERROR(__xludf.DUMMYFUNCTION("""COMPUTED_VALUE"""),25238.0)</f>
        <v>25238</v>
      </c>
      <c r="P473" s="2">
        <f>IFERROR(__xludf.DUMMYFUNCTION("""COMPUTED_VALUE"""),1262.0)</f>
        <v>1262</v>
      </c>
      <c r="Q473" s="2" t="str">
        <f>IFERROR(__xludf.DUMMYFUNCTION("""COMPUTED_VALUE"""),"Dine In")</f>
        <v>Dine In</v>
      </c>
      <c r="R473" s="2" t="str">
        <f>IFERROR(__xludf.DUMMYFUNCTION("""COMPUTED_VALUE"""),"Kedai")</f>
        <v>Kedai</v>
      </c>
      <c r="S473" s="2" t="str">
        <f>IFERROR(__xludf.DUMMYFUNCTION("""COMPUTED_VALUE"""),"Temu Roti")</f>
        <v>Temu Roti</v>
      </c>
      <c r="T473" s="2" t="str">
        <f>IFERROR(__xludf.DUMMYFUNCTION("""COMPUTED_VALUE"""),"Owner")</f>
        <v>Owner</v>
      </c>
      <c r="U473" s="2"/>
      <c r="V473" s="2"/>
      <c r="W473" s="2"/>
      <c r="X473" s="2" t="str">
        <f>IFERROR(__xludf.DUMMYFUNCTION("""COMPUTED_VALUE"""),"Closed")</f>
        <v>Closed</v>
      </c>
    </row>
    <row r="474">
      <c r="A474" s="3" t="s">
        <v>488</v>
      </c>
      <c r="B474" s="4">
        <f>IFERROR(__xludf.DUMMYFUNCTION("SPLIT(A474,"","",0,0)"),45555.76458333333)</f>
        <v>45555.76458</v>
      </c>
      <c r="C474" s="5">
        <f>IFERROR(__xludf.DUMMYFUNCTION("""COMPUTED_VALUE"""),2737526.0)</f>
        <v>2737526</v>
      </c>
      <c r="D474" s="2" t="str">
        <f>IFERROR(__xludf.DUMMYFUNCTION("""COMPUTED_VALUE"""),"Sale")</f>
        <v>Sale</v>
      </c>
      <c r="E474" s="2" t="str">
        <f>IFERROR(__xludf.DUMMYFUNCTION("""COMPUTED_VALUE"""),"Minuman")</f>
        <v>Minuman</v>
      </c>
      <c r="F474" s="2">
        <f>IFERROR(__xludf.DUMMYFUNCTION("""COMPUTED_VALUE"""),10112.0)</f>
        <v>10112</v>
      </c>
      <c r="G474" s="2" t="str">
        <f>IFERROR(__xludf.DUMMYFUNCTION("""COMPUTED_VALUE"""),"Air mineral")</f>
        <v>Air mineral</v>
      </c>
      <c r="H474" s="2"/>
      <c r="I474" s="2"/>
      <c r="J474" s="2">
        <f>IFERROR(__xludf.DUMMYFUNCTION("""COMPUTED_VALUE"""),1.0)</f>
        <v>1</v>
      </c>
      <c r="K474" s="6">
        <f>IFERROR(__xludf.DUMMYFUNCTION("""COMPUTED_VALUE"""),6667.0)</f>
        <v>6667</v>
      </c>
      <c r="L474" s="2">
        <f>IFERROR(__xludf.DUMMYFUNCTION("""COMPUTED_VALUE"""),0.0)</f>
        <v>0</v>
      </c>
      <c r="M474" s="2">
        <f>IFERROR(__xludf.DUMMYFUNCTION("""COMPUTED_VALUE"""),6667.0)</f>
        <v>6667</v>
      </c>
      <c r="N474" s="2">
        <f>IFERROR(__xludf.DUMMYFUNCTION("""COMPUTED_VALUE"""),0.0)</f>
        <v>0</v>
      </c>
      <c r="O474" s="2">
        <f>IFERROR(__xludf.DUMMYFUNCTION("""COMPUTED_VALUE"""),6667.0)</f>
        <v>6667</v>
      </c>
      <c r="P474" s="2">
        <f>IFERROR(__xludf.DUMMYFUNCTION("""COMPUTED_VALUE"""),334.0)</f>
        <v>334</v>
      </c>
      <c r="Q474" s="2" t="str">
        <f>IFERROR(__xludf.DUMMYFUNCTION("""COMPUTED_VALUE"""),"Dine In")</f>
        <v>Dine In</v>
      </c>
      <c r="R474" s="2" t="str">
        <f>IFERROR(__xludf.DUMMYFUNCTION("""COMPUTED_VALUE"""),"Kedai")</f>
        <v>Kedai</v>
      </c>
      <c r="S474" s="2" t="str">
        <f>IFERROR(__xludf.DUMMYFUNCTION("""COMPUTED_VALUE"""),"Temu Roti")</f>
        <v>Temu Roti</v>
      </c>
      <c r="T474" s="2" t="str">
        <f>IFERROR(__xludf.DUMMYFUNCTION("""COMPUTED_VALUE"""),"Owner")</f>
        <v>Owner</v>
      </c>
      <c r="U474" s="2"/>
      <c r="V474" s="2"/>
      <c r="W474" s="2"/>
      <c r="X474" s="2" t="str">
        <f>IFERROR(__xludf.DUMMYFUNCTION("""COMPUTED_VALUE"""),"Closed")</f>
        <v>Closed</v>
      </c>
    </row>
    <row r="475">
      <c r="A475" s="3" t="s">
        <v>491</v>
      </c>
      <c r="B475" s="4">
        <f>IFERROR(__xludf.DUMMYFUNCTION("SPLIT(A475,"","",0,0)"),45555.75277777778)</f>
        <v>45555.75278</v>
      </c>
      <c r="C475" s="5">
        <f>IFERROR(__xludf.DUMMYFUNCTION("""COMPUTED_VALUE"""),2737161.0)</f>
        <v>2737161</v>
      </c>
      <c r="D475" s="2" t="str">
        <f>IFERROR(__xludf.DUMMYFUNCTION("""COMPUTED_VALUE"""),"Sale")</f>
        <v>Sale</v>
      </c>
      <c r="E475" s="2" t="str">
        <f>IFERROR(__xludf.DUMMYFUNCTION("""COMPUTED_VALUE"""),"Roti")</f>
        <v>Roti</v>
      </c>
      <c r="F475" s="2">
        <f>IFERROR(__xludf.DUMMYFUNCTION("""COMPUTED_VALUE"""),10002.0)</f>
        <v>10002</v>
      </c>
      <c r="G475" s="2" t="str">
        <f>IFERROR(__xludf.DUMMYFUNCTION("""COMPUTED_VALUE"""),"Roti Cranberry")</f>
        <v>Roti Cranberry</v>
      </c>
      <c r="H475" s="2"/>
      <c r="I475" s="2"/>
      <c r="J475" s="2">
        <f>IFERROR(__xludf.DUMMYFUNCTION("""COMPUTED_VALUE"""),1.0)</f>
        <v>1</v>
      </c>
      <c r="K475" s="6">
        <f>IFERROR(__xludf.DUMMYFUNCTION("""COMPUTED_VALUE"""),18571.0)</f>
        <v>18571</v>
      </c>
      <c r="L475" s="2">
        <f>IFERROR(__xludf.DUMMYFUNCTION("""COMPUTED_VALUE"""),0.0)</f>
        <v>0</v>
      </c>
      <c r="M475" s="2">
        <f>IFERROR(__xludf.DUMMYFUNCTION("""COMPUTED_VALUE"""),18571.0)</f>
        <v>18571</v>
      </c>
      <c r="N475" s="2">
        <f>IFERROR(__xludf.DUMMYFUNCTION("""COMPUTED_VALUE"""),0.0)</f>
        <v>0</v>
      </c>
      <c r="O475" s="2">
        <f>IFERROR(__xludf.DUMMYFUNCTION("""COMPUTED_VALUE"""),18571.0)</f>
        <v>18571</v>
      </c>
      <c r="P475" s="2">
        <f>IFERROR(__xludf.DUMMYFUNCTION("""COMPUTED_VALUE"""),929.0)</f>
        <v>929</v>
      </c>
      <c r="Q475" s="2" t="str">
        <f>IFERROR(__xludf.DUMMYFUNCTION("""COMPUTED_VALUE"""),"Dine In")</f>
        <v>Dine In</v>
      </c>
      <c r="R475" s="2" t="str">
        <f>IFERROR(__xludf.DUMMYFUNCTION("""COMPUTED_VALUE"""),"Kedai")</f>
        <v>Kedai</v>
      </c>
      <c r="S475" s="2" t="str">
        <f>IFERROR(__xludf.DUMMYFUNCTION("""COMPUTED_VALUE"""),"Temu Roti")</f>
        <v>Temu Roti</v>
      </c>
      <c r="T475" s="2" t="str">
        <f>IFERROR(__xludf.DUMMYFUNCTION("""COMPUTED_VALUE"""),"Owner")</f>
        <v>Owner</v>
      </c>
      <c r="U475" s="2"/>
      <c r="V475" s="2"/>
      <c r="W475" s="2"/>
      <c r="X475" s="2" t="str">
        <f>IFERROR(__xludf.DUMMYFUNCTION("""COMPUTED_VALUE"""),"Closed")</f>
        <v>Closed</v>
      </c>
    </row>
    <row r="476">
      <c r="A476" s="3" t="s">
        <v>492</v>
      </c>
      <c r="B476" s="4">
        <f>IFERROR(__xludf.DUMMYFUNCTION("SPLIT(A476,"","",0,0)"),45555.75277777778)</f>
        <v>45555.75278</v>
      </c>
      <c r="C476" s="5">
        <f>IFERROR(__xludf.DUMMYFUNCTION("""COMPUTED_VALUE"""),2737161.0)</f>
        <v>2737161</v>
      </c>
      <c r="D476" s="2" t="str">
        <f>IFERROR(__xludf.DUMMYFUNCTION("""COMPUTED_VALUE"""),"Sale")</f>
        <v>Sale</v>
      </c>
      <c r="E476" s="2" t="str">
        <f>IFERROR(__xludf.DUMMYFUNCTION("""COMPUTED_VALUE"""),"Roti")</f>
        <v>Roti</v>
      </c>
      <c r="F476" s="2">
        <f>IFERROR(__xludf.DUMMYFUNCTION("""COMPUTED_VALUE"""),10055.0)</f>
        <v>10055</v>
      </c>
      <c r="G476" s="2" t="str">
        <f>IFERROR(__xludf.DUMMYFUNCTION("""COMPUTED_VALUE"""),"Roti Gandum Cokelat 2 pcs")</f>
        <v>Roti Gandum Cokelat 2 pcs</v>
      </c>
      <c r="H476" s="2"/>
      <c r="I476" s="2"/>
      <c r="J476" s="2">
        <f>IFERROR(__xludf.DUMMYFUNCTION("""COMPUTED_VALUE"""),1.0)</f>
        <v>1</v>
      </c>
      <c r="K476" s="6">
        <f>IFERROR(__xludf.DUMMYFUNCTION("""COMPUTED_VALUE"""),34762.0)</f>
        <v>34762</v>
      </c>
      <c r="L476" s="2">
        <f>IFERROR(__xludf.DUMMYFUNCTION("""COMPUTED_VALUE"""),0.0)</f>
        <v>0</v>
      </c>
      <c r="M476" s="2">
        <f>IFERROR(__xludf.DUMMYFUNCTION("""COMPUTED_VALUE"""),34762.0)</f>
        <v>34762</v>
      </c>
      <c r="N476" s="2">
        <f>IFERROR(__xludf.DUMMYFUNCTION("""COMPUTED_VALUE"""),0.0)</f>
        <v>0</v>
      </c>
      <c r="O476" s="2">
        <f>IFERROR(__xludf.DUMMYFUNCTION("""COMPUTED_VALUE"""),34762.0)</f>
        <v>34762</v>
      </c>
      <c r="P476" s="2">
        <f>IFERROR(__xludf.DUMMYFUNCTION("""COMPUTED_VALUE"""),1738.0)</f>
        <v>1738</v>
      </c>
      <c r="Q476" s="2" t="str">
        <f>IFERROR(__xludf.DUMMYFUNCTION("""COMPUTED_VALUE"""),"Dine In")</f>
        <v>Dine In</v>
      </c>
      <c r="R476" s="2" t="str">
        <f>IFERROR(__xludf.DUMMYFUNCTION("""COMPUTED_VALUE"""),"Kedai")</f>
        <v>Kedai</v>
      </c>
      <c r="S476" s="2" t="str">
        <f>IFERROR(__xludf.DUMMYFUNCTION("""COMPUTED_VALUE"""),"Temu Roti")</f>
        <v>Temu Roti</v>
      </c>
      <c r="T476" s="2" t="str">
        <f>IFERROR(__xludf.DUMMYFUNCTION("""COMPUTED_VALUE"""),"Owner")</f>
        <v>Owner</v>
      </c>
      <c r="U476" s="2"/>
      <c r="V476" s="2"/>
      <c r="W476" s="2"/>
      <c r="X476" s="2" t="str">
        <f>IFERROR(__xludf.DUMMYFUNCTION("""COMPUTED_VALUE"""),"Closed")</f>
        <v>Closed</v>
      </c>
    </row>
    <row r="477">
      <c r="A477" s="3" t="s">
        <v>493</v>
      </c>
      <c r="B477" s="4">
        <f>IFERROR(__xludf.DUMMYFUNCTION("SPLIT(A477,"","",0,0)"),45555.75277777778)</f>
        <v>45555.75278</v>
      </c>
      <c r="C477" s="5">
        <f>IFERROR(__xludf.DUMMYFUNCTION("""COMPUTED_VALUE"""),2737161.0)</f>
        <v>2737161</v>
      </c>
      <c r="D477" s="2" t="str">
        <f>IFERROR(__xludf.DUMMYFUNCTION("""COMPUTED_VALUE"""),"Sale")</f>
        <v>Sale</v>
      </c>
      <c r="E477" s="2" t="str">
        <f>IFERROR(__xludf.DUMMYFUNCTION("""COMPUTED_VALUE"""),"Roti")</f>
        <v>Roti</v>
      </c>
      <c r="F477" s="2">
        <f>IFERROR(__xludf.DUMMYFUNCTION("""COMPUTED_VALUE"""),10005.0)</f>
        <v>10005</v>
      </c>
      <c r="G477" s="2" t="str">
        <f>IFERROR(__xludf.DUMMYFUNCTION("""COMPUTED_VALUE"""),"Roti Gandum Cokelat")</f>
        <v>Roti Gandum Cokelat</v>
      </c>
      <c r="H477" s="2"/>
      <c r="I477" s="2"/>
      <c r="J477" s="2">
        <f>IFERROR(__xludf.DUMMYFUNCTION("""COMPUTED_VALUE"""),1.0)</f>
        <v>1</v>
      </c>
      <c r="K477" s="6">
        <f>IFERROR(__xludf.DUMMYFUNCTION("""COMPUTED_VALUE"""),19524.0)</f>
        <v>19524</v>
      </c>
      <c r="L477" s="2">
        <f>IFERROR(__xludf.DUMMYFUNCTION("""COMPUTED_VALUE"""),0.0)</f>
        <v>0</v>
      </c>
      <c r="M477" s="2">
        <f>IFERROR(__xludf.DUMMYFUNCTION("""COMPUTED_VALUE"""),19524.0)</f>
        <v>19524</v>
      </c>
      <c r="N477" s="2">
        <f>IFERROR(__xludf.DUMMYFUNCTION("""COMPUTED_VALUE"""),0.0)</f>
        <v>0</v>
      </c>
      <c r="O477" s="2">
        <f>IFERROR(__xludf.DUMMYFUNCTION("""COMPUTED_VALUE"""),19524.0)</f>
        <v>19524</v>
      </c>
      <c r="P477" s="2">
        <f>IFERROR(__xludf.DUMMYFUNCTION("""COMPUTED_VALUE"""),976.0)</f>
        <v>976</v>
      </c>
      <c r="Q477" s="2" t="str">
        <f>IFERROR(__xludf.DUMMYFUNCTION("""COMPUTED_VALUE"""),"Dine In")</f>
        <v>Dine In</v>
      </c>
      <c r="R477" s="2" t="str">
        <f>IFERROR(__xludf.DUMMYFUNCTION("""COMPUTED_VALUE"""),"Kedai")</f>
        <v>Kedai</v>
      </c>
      <c r="S477" s="2" t="str">
        <f>IFERROR(__xludf.DUMMYFUNCTION("""COMPUTED_VALUE"""),"Temu Roti")</f>
        <v>Temu Roti</v>
      </c>
      <c r="T477" s="2" t="str">
        <f>IFERROR(__xludf.DUMMYFUNCTION("""COMPUTED_VALUE"""),"Owner")</f>
        <v>Owner</v>
      </c>
      <c r="U477" s="2"/>
      <c r="V477" s="2"/>
      <c r="W477" s="2"/>
      <c r="X477" s="2" t="str">
        <f>IFERROR(__xludf.DUMMYFUNCTION("""COMPUTED_VALUE"""),"Closed")</f>
        <v>Closed</v>
      </c>
    </row>
    <row r="478">
      <c r="A478" s="3" t="s">
        <v>494</v>
      </c>
      <c r="B478" s="4">
        <f>IFERROR(__xludf.DUMMYFUNCTION("SPLIT(A478,"","",0,0)"),45555.623611111114)</f>
        <v>45555.62361</v>
      </c>
      <c r="C478" s="5">
        <f>IFERROR(__xludf.DUMMYFUNCTION("""COMPUTED_VALUE"""),2736796.0)</f>
        <v>2736796</v>
      </c>
      <c r="D478" s="2" t="str">
        <f>IFERROR(__xludf.DUMMYFUNCTION("""COMPUTED_VALUE"""),"Sale")</f>
        <v>Sale</v>
      </c>
      <c r="E478" s="2" t="str">
        <f>IFERROR(__xludf.DUMMYFUNCTION("""COMPUTED_VALUE"""),"Roti")</f>
        <v>Roti</v>
      </c>
      <c r="F478" s="2">
        <f>IFERROR(__xludf.DUMMYFUNCTION("""COMPUTED_VALUE"""),10000.0)</f>
        <v>10000</v>
      </c>
      <c r="G478" s="2" t="str">
        <f>IFERROR(__xludf.DUMMYFUNCTION("""COMPUTED_VALUE"""),"Roti Bawang Saus Keju")</f>
        <v>Roti Bawang Saus Keju</v>
      </c>
      <c r="H478" s="2"/>
      <c r="I478" s="2"/>
      <c r="J478" s="2">
        <f>IFERROR(__xludf.DUMMYFUNCTION("""COMPUTED_VALUE"""),1.0)</f>
        <v>1</v>
      </c>
      <c r="K478" s="6">
        <f>IFERROR(__xludf.DUMMYFUNCTION("""COMPUTED_VALUE"""),29524.0)</f>
        <v>29524</v>
      </c>
      <c r="L478" s="2">
        <f>IFERROR(__xludf.DUMMYFUNCTION("""COMPUTED_VALUE"""),0.0)</f>
        <v>0</v>
      </c>
      <c r="M478" s="2">
        <f>IFERROR(__xludf.DUMMYFUNCTION("""COMPUTED_VALUE"""),29524.0)</f>
        <v>29524</v>
      </c>
      <c r="N478" s="2">
        <f>IFERROR(__xludf.DUMMYFUNCTION("""COMPUTED_VALUE"""),0.0)</f>
        <v>0</v>
      </c>
      <c r="O478" s="2">
        <f>IFERROR(__xludf.DUMMYFUNCTION("""COMPUTED_VALUE"""),29524.0)</f>
        <v>29524</v>
      </c>
      <c r="P478" s="2">
        <f>IFERROR(__xludf.DUMMYFUNCTION("""COMPUTED_VALUE"""),1476.0)</f>
        <v>1476</v>
      </c>
      <c r="Q478" s="2" t="str">
        <f>IFERROR(__xludf.DUMMYFUNCTION("""COMPUTED_VALUE"""),"Dine In")</f>
        <v>Dine In</v>
      </c>
      <c r="R478" s="2" t="str">
        <f>IFERROR(__xludf.DUMMYFUNCTION("""COMPUTED_VALUE"""),"Kedai")</f>
        <v>Kedai</v>
      </c>
      <c r="S478" s="2" t="str">
        <f>IFERROR(__xludf.DUMMYFUNCTION("""COMPUTED_VALUE"""),"Temu Roti")</f>
        <v>Temu Roti</v>
      </c>
      <c r="T478" s="2" t="str">
        <f>IFERROR(__xludf.DUMMYFUNCTION("""COMPUTED_VALUE"""),"Owner")</f>
        <v>Owner</v>
      </c>
      <c r="U478" s="2"/>
      <c r="V478" s="2"/>
      <c r="W478" s="2"/>
      <c r="X478" s="2" t="str">
        <f>IFERROR(__xludf.DUMMYFUNCTION("""COMPUTED_VALUE"""),"Closed")</f>
        <v>Closed</v>
      </c>
    </row>
    <row r="479">
      <c r="A479" s="3" t="s">
        <v>495</v>
      </c>
      <c r="B479" s="4">
        <f>IFERROR(__xludf.DUMMYFUNCTION("SPLIT(A479,"","",0,0)"),45555.623611111114)</f>
        <v>45555.62361</v>
      </c>
      <c r="C479" s="5">
        <f>IFERROR(__xludf.DUMMYFUNCTION("""COMPUTED_VALUE"""),2736796.0)</f>
        <v>2736796</v>
      </c>
      <c r="D479" s="2" t="str">
        <f>IFERROR(__xludf.DUMMYFUNCTION("""COMPUTED_VALUE"""),"Sale")</f>
        <v>Sale</v>
      </c>
      <c r="E479" s="2" t="str">
        <f>IFERROR(__xludf.DUMMYFUNCTION("""COMPUTED_VALUE"""),"Roti")</f>
        <v>Roti</v>
      </c>
      <c r="F479" s="2">
        <f>IFERROR(__xludf.DUMMYFUNCTION("""COMPUTED_VALUE"""),10055.0)</f>
        <v>10055</v>
      </c>
      <c r="G479" s="2" t="str">
        <f>IFERROR(__xludf.DUMMYFUNCTION("""COMPUTED_VALUE"""),"Roti Gandum Cokelat 2 pcs")</f>
        <v>Roti Gandum Cokelat 2 pcs</v>
      </c>
      <c r="H479" s="2"/>
      <c r="I479" s="2"/>
      <c r="J479" s="2">
        <f>IFERROR(__xludf.DUMMYFUNCTION("""COMPUTED_VALUE"""),1.0)</f>
        <v>1</v>
      </c>
      <c r="K479" s="6">
        <f>IFERROR(__xludf.DUMMYFUNCTION("""COMPUTED_VALUE"""),34762.0)</f>
        <v>34762</v>
      </c>
      <c r="L479" s="2">
        <f>IFERROR(__xludf.DUMMYFUNCTION("""COMPUTED_VALUE"""),0.0)</f>
        <v>0</v>
      </c>
      <c r="M479" s="2">
        <f>IFERROR(__xludf.DUMMYFUNCTION("""COMPUTED_VALUE"""),34762.0)</f>
        <v>34762</v>
      </c>
      <c r="N479" s="2">
        <f>IFERROR(__xludf.DUMMYFUNCTION("""COMPUTED_VALUE"""),0.0)</f>
        <v>0</v>
      </c>
      <c r="O479" s="2">
        <f>IFERROR(__xludf.DUMMYFUNCTION("""COMPUTED_VALUE"""),34762.0)</f>
        <v>34762</v>
      </c>
      <c r="P479" s="2">
        <f>IFERROR(__xludf.DUMMYFUNCTION("""COMPUTED_VALUE"""),1738.0)</f>
        <v>1738</v>
      </c>
      <c r="Q479" s="2" t="str">
        <f>IFERROR(__xludf.DUMMYFUNCTION("""COMPUTED_VALUE"""),"Dine In")</f>
        <v>Dine In</v>
      </c>
      <c r="R479" s="2" t="str">
        <f>IFERROR(__xludf.DUMMYFUNCTION("""COMPUTED_VALUE"""),"Kedai")</f>
        <v>Kedai</v>
      </c>
      <c r="S479" s="2" t="str">
        <f>IFERROR(__xludf.DUMMYFUNCTION("""COMPUTED_VALUE"""),"Temu Roti")</f>
        <v>Temu Roti</v>
      </c>
      <c r="T479" s="2" t="str">
        <f>IFERROR(__xludf.DUMMYFUNCTION("""COMPUTED_VALUE"""),"Owner")</f>
        <v>Owner</v>
      </c>
      <c r="U479" s="2"/>
      <c r="V479" s="2"/>
      <c r="W479" s="2"/>
      <c r="X479" s="2" t="str">
        <f>IFERROR(__xludf.DUMMYFUNCTION("""COMPUTED_VALUE"""),"Closed")</f>
        <v>Closed</v>
      </c>
    </row>
    <row r="480">
      <c r="A480" s="3" t="s">
        <v>496</v>
      </c>
      <c r="B480" s="4">
        <f>IFERROR(__xludf.DUMMYFUNCTION("SPLIT(A480,"","",0,0)"),45555.623611111114)</f>
        <v>45555.62361</v>
      </c>
      <c r="C480" s="5">
        <f>IFERROR(__xludf.DUMMYFUNCTION("""COMPUTED_VALUE"""),2736796.0)</f>
        <v>2736796</v>
      </c>
      <c r="D480" s="2" t="str">
        <f>IFERROR(__xludf.DUMMYFUNCTION("""COMPUTED_VALUE"""),"Sale")</f>
        <v>Sale</v>
      </c>
      <c r="E480" s="2" t="str">
        <f>IFERROR(__xludf.DUMMYFUNCTION("""COMPUTED_VALUE"""),"Minuman")</f>
        <v>Minuman</v>
      </c>
      <c r="F480" s="2">
        <f>IFERROR(__xludf.DUMMYFUNCTION("""COMPUTED_VALUE"""),10128.0)</f>
        <v>10128</v>
      </c>
      <c r="G480" s="2" t="str">
        <f>IFERROR(__xludf.DUMMYFUNCTION("""COMPUTED_VALUE"""),"Es Kopi Susu")</f>
        <v>Es Kopi Susu</v>
      </c>
      <c r="H480" s="2"/>
      <c r="I480" s="2"/>
      <c r="J480" s="2">
        <f>IFERROR(__xludf.DUMMYFUNCTION("""COMPUTED_VALUE"""),1.0)</f>
        <v>1</v>
      </c>
      <c r="K480" s="6">
        <f>IFERROR(__xludf.DUMMYFUNCTION("""COMPUTED_VALUE"""),23333.0)</f>
        <v>23333</v>
      </c>
      <c r="L480" s="2">
        <f>IFERROR(__xludf.DUMMYFUNCTION("""COMPUTED_VALUE"""),0.0)</f>
        <v>0</v>
      </c>
      <c r="M480" s="2">
        <f>IFERROR(__xludf.DUMMYFUNCTION("""COMPUTED_VALUE"""),23333.0)</f>
        <v>23333</v>
      </c>
      <c r="N480" s="2">
        <f>IFERROR(__xludf.DUMMYFUNCTION("""COMPUTED_VALUE"""),0.0)</f>
        <v>0</v>
      </c>
      <c r="O480" s="2">
        <f>IFERROR(__xludf.DUMMYFUNCTION("""COMPUTED_VALUE"""),23333.0)</f>
        <v>23333</v>
      </c>
      <c r="P480" s="2">
        <f>IFERROR(__xludf.DUMMYFUNCTION("""COMPUTED_VALUE"""),1167.0)</f>
        <v>1167</v>
      </c>
      <c r="Q480" s="2" t="str">
        <f>IFERROR(__xludf.DUMMYFUNCTION("""COMPUTED_VALUE"""),"Dine In")</f>
        <v>Dine In</v>
      </c>
      <c r="R480" s="2" t="str">
        <f>IFERROR(__xludf.DUMMYFUNCTION("""COMPUTED_VALUE"""),"Kedai")</f>
        <v>Kedai</v>
      </c>
      <c r="S480" s="2" t="str">
        <f>IFERROR(__xludf.DUMMYFUNCTION("""COMPUTED_VALUE"""),"Temu Roti")</f>
        <v>Temu Roti</v>
      </c>
      <c r="T480" s="2" t="str">
        <f>IFERROR(__xludf.DUMMYFUNCTION("""COMPUTED_VALUE"""),"Owner")</f>
        <v>Owner</v>
      </c>
      <c r="U480" s="2"/>
      <c r="V480" s="2"/>
      <c r="W480" s="2"/>
      <c r="X480" s="2" t="str">
        <f>IFERROR(__xludf.DUMMYFUNCTION("""COMPUTED_VALUE"""),"Closed")</f>
        <v>Closed</v>
      </c>
    </row>
    <row r="481">
      <c r="A481" s="3" t="s">
        <v>497</v>
      </c>
      <c r="B481" s="4">
        <f>IFERROR(__xludf.DUMMYFUNCTION("SPLIT(A481,"","",0,0)"),45555.623611111114)</f>
        <v>45555.62361</v>
      </c>
      <c r="C481" s="5">
        <f>IFERROR(__xludf.DUMMYFUNCTION("""COMPUTED_VALUE"""),2736796.0)</f>
        <v>2736796</v>
      </c>
      <c r="D481" s="2" t="str">
        <f>IFERROR(__xludf.DUMMYFUNCTION("""COMPUTED_VALUE"""),"Sale")</f>
        <v>Sale</v>
      </c>
      <c r="E481" s="2" t="str">
        <f>IFERROR(__xludf.DUMMYFUNCTION("""COMPUTED_VALUE"""),"Kudapan")</f>
        <v>Kudapan</v>
      </c>
      <c r="F481" s="2">
        <f>IFERROR(__xludf.DUMMYFUNCTION("""COMPUTED_VALUE"""),10014.0)</f>
        <v>10014</v>
      </c>
      <c r="G481" s="2" t="str">
        <f>IFERROR(__xludf.DUMMYFUNCTION("""COMPUTED_VALUE"""),"Tempe Mendoan")</f>
        <v>Tempe Mendoan</v>
      </c>
      <c r="H481" s="2"/>
      <c r="I481" s="2"/>
      <c r="J481" s="2">
        <f>IFERROR(__xludf.DUMMYFUNCTION("""COMPUTED_VALUE"""),1.0)</f>
        <v>1</v>
      </c>
      <c r="K481" s="6">
        <f>IFERROR(__xludf.DUMMYFUNCTION("""COMPUTED_VALUE"""),25238.0)</f>
        <v>25238</v>
      </c>
      <c r="L481" s="2">
        <f>IFERROR(__xludf.DUMMYFUNCTION("""COMPUTED_VALUE"""),0.0)</f>
        <v>0</v>
      </c>
      <c r="M481" s="2">
        <f>IFERROR(__xludf.DUMMYFUNCTION("""COMPUTED_VALUE"""),25238.0)</f>
        <v>25238</v>
      </c>
      <c r="N481" s="2">
        <f>IFERROR(__xludf.DUMMYFUNCTION("""COMPUTED_VALUE"""),0.0)</f>
        <v>0</v>
      </c>
      <c r="O481" s="2">
        <f>IFERROR(__xludf.DUMMYFUNCTION("""COMPUTED_VALUE"""),25238.0)</f>
        <v>25238</v>
      </c>
      <c r="P481" s="2">
        <f>IFERROR(__xludf.DUMMYFUNCTION("""COMPUTED_VALUE"""),1262.0)</f>
        <v>1262</v>
      </c>
      <c r="Q481" s="2" t="str">
        <f>IFERROR(__xludf.DUMMYFUNCTION("""COMPUTED_VALUE"""),"Dine In")</f>
        <v>Dine In</v>
      </c>
      <c r="R481" s="2" t="str">
        <f>IFERROR(__xludf.DUMMYFUNCTION("""COMPUTED_VALUE"""),"Kedai")</f>
        <v>Kedai</v>
      </c>
      <c r="S481" s="2" t="str">
        <f>IFERROR(__xludf.DUMMYFUNCTION("""COMPUTED_VALUE"""),"Temu Roti")</f>
        <v>Temu Roti</v>
      </c>
      <c r="T481" s="2" t="str">
        <f>IFERROR(__xludf.DUMMYFUNCTION("""COMPUTED_VALUE"""),"Owner")</f>
        <v>Owner</v>
      </c>
      <c r="U481" s="2"/>
      <c r="V481" s="2"/>
      <c r="W481" s="2"/>
      <c r="X481" s="2" t="str">
        <f>IFERROR(__xludf.DUMMYFUNCTION("""COMPUTED_VALUE"""),"Closed")</f>
        <v>Closed</v>
      </c>
    </row>
    <row r="482">
      <c r="A482" s="3" t="s">
        <v>498</v>
      </c>
      <c r="B482" s="4">
        <f>IFERROR(__xludf.DUMMYFUNCTION("SPLIT(A482,"","",0,0)"),45555.623611111114)</f>
        <v>45555.62361</v>
      </c>
      <c r="C482" s="5">
        <f>IFERROR(__xludf.DUMMYFUNCTION("""COMPUTED_VALUE"""),2736796.0)</f>
        <v>2736796</v>
      </c>
      <c r="D482" s="2" t="str">
        <f>IFERROR(__xludf.DUMMYFUNCTION("""COMPUTED_VALUE"""),"Sale")</f>
        <v>Sale</v>
      </c>
      <c r="E482" s="2" t="str">
        <f>IFERROR(__xludf.DUMMYFUNCTION("""COMPUTED_VALUE"""),"Roti")</f>
        <v>Roti</v>
      </c>
      <c r="F482" s="2">
        <f>IFERROR(__xludf.DUMMYFUNCTION("""COMPUTED_VALUE"""),10007.0)</f>
        <v>10007</v>
      </c>
      <c r="G482" s="2" t="str">
        <f>IFERROR(__xludf.DUMMYFUNCTION("""COMPUTED_VALUE"""),"Roti cranberry 2 pcs")</f>
        <v>Roti cranberry 2 pcs</v>
      </c>
      <c r="H482" s="2"/>
      <c r="I482" s="2"/>
      <c r="J482" s="2">
        <f>IFERROR(__xludf.DUMMYFUNCTION("""COMPUTED_VALUE"""),1.0)</f>
        <v>1</v>
      </c>
      <c r="K482" s="6">
        <f>IFERROR(__xludf.DUMMYFUNCTION("""COMPUTED_VALUE"""),33810.0)</f>
        <v>33810</v>
      </c>
      <c r="L482" s="2">
        <f>IFERROR(__xludf.DUMMYFUNCTION("""COMPUTED_VALUE"""),0.0)</f>
        <v>0</v>
      </c>
      <c r="M482" s="2">
        <f>IFERROR(__xludf.DUMMYFUNCTION("""COMPUTED_VALUE"""),33810.0)</f>
        <v>33810</v>
      </c>
      <c r="N482" s="2">
        <f>IFERROR(__xludf.DUMMYFUNCTION("""COMPUTED_VALUE"""),0.0)</f>
        <v>0</v>
      </c>
      <c r="O482" s="2">
        <f>IFERROR(__xludf.DUMMYFUNCTION("""COMPUTED_VALUE"""),33810.0)</f>
        <v>33810</v>
      </c>
      <c r="P482" s="2">
        <f>IFERROR(__xludf.DUMMYFUNCTION("""COMPUTED_VALUE"""),1690.0)</f>
        <v>1690</v>
      </c>
      <c r="Q482" s="2" t="str">
        <f>IFERROR(__xludf.DUMMYFUNCTION("""COMPUTED_VALUE"""),"Dine In")</f>
        <v>Dine In</v>
      </c>
      <c r="R482" s="2" t="str">
        <f>IFERROR(__xludf.DUMMYFUNCTION("""COMPUTED_VALUE"""),"Kedai")</f>
        <v>Kedai</v>
      </c>
      <c r="S482" s="2" t="str">
        <f>IFERROR(__xludf.DUMMYFUNCTION("""COMPUTED_VALUE"""),"Temu Roti")</f>
        <v>Temu Roti</v>
      </c>
      <c r="T482" s="2" t="str">
        <f>IFERROR(__xludf.DUMMYFUNCTION("""COMPUTED_VALUE"""),"Owner")</f>
        <v>Owner</v>
      </c>
      <c r="U482" s="2"/>
      <c r="V482" s="2"/>
      <c r="W482" s="2"/>
      <c r="X482" s="2" t="str">
        <f>IFERROR(__xludf.DUMMYFUNCTION("""COMPUTED_VALUE"""),"Closed")</f>
        <v>Closed</v>
      </c>
    </row>
    <row r="483">
      <c r="A483" s="3" t="s">
        <v>499</v>
      </c>
      <c r="B483" s="4">
        <f>IFERROR(__xludf.DUMMYFUNCTION("SPLIT(A483,"","",0,0)"),45555.623611111114)</f>
        <v>45555.62361</v>
      </c>
      <c r="C483" s="5">
        <f>IFERROR(__xludf.DUMMYFUNCTION("""COMPUTED_VALUE"""),2736796.0)</f>
        <v>2736796</v>
      </c>
      <c r="D483" s="2" t="str">
        <f>IFERROR(__xludf.DUMMYFUNCTION("""COMPUTED_VALUE"""),"Sale")</f>
        <v>Sale</v>
      </c>
      <c r="E483" s="2" t="str">
        <f>IFERROR(__xludf.DUMMYFUNCTION("""COMPUTED_VALUE"""),"Minuman")</f>
        <v>Minuman</v>
      </c>
      <c r="F483" s="2">
        <f>IFERROR(__xludf.DUMMYFUNCTION("""COMPUTED_VALUE"""),10117.0)</f>
        <v>10117</v>
      </c>
      <c r="G483" s="2" t="str">
        <f>IFERROR(__xludf.DUMMYFUNCTION("""COMPUTED_VALUE"""),"Teh Manis Dingin")</f>
        <v>Teh Manis Dingin</v>
      </c>
      <c r="H483" s="2"/>
      <c r="I483" s="2"/>
      <c r="J483" s="2">
        <f>IFERROR(__xludf.DUMMYFUNCTION("""COMPUTED_VALUE"""),1.0)</f>
        <v>1</v>
      </c>
      <c r="K483" s="6">
        <f>IFERROR(__xludf.DUMMYFUNCTION("""COMPUTED_VALUE"""),14286.0)</f>
        <v>14286</v>
      </c>
      <c r="L483" s="2">
        <f>IFERROR(__xludf.DUMMYFUNCTION("""COMPUTED_VALUE"""),0.0)</f>
        <v>0</v>
      </c>
      <c r="M483" s="2">
        <f>IFERROR(__xludf.DUMMYFUNCTION("""COMPUTED_VALUE"""),14286.0)</f>
        <v>14286</v>
      </c>
      <c r="N483" s="2">
        <f>IFERROR(__xludf.DUMMYFUNCTION("""COMPUTED_VALUE"""),0.0)</f>
        <v>0</v>
      </c>
      <c r="O483" s="2">
        <f>IFERROR(__xludf.DUMMYFUNCTION("""COMPUTED_VALUE"""),14286.0)</f>
        <v>14286</v>
      </c>
      <c r="P483" s="2">
        <f>IFERROR(__xludf.DUMMYFUNCTION("""COMPUTED_VALUE"""),715.0)</f>
        <v>715</v>
      </c>
      <c r="Q483" s="2" t="str">
        <f>IFERROR(__xludf.DUMMYFUNCTION("""COMPUTED_VALUE"""),"Dine In")</f>
        <v>Dine In</v>
      </c>
      <c r="R483" s="2" t="str">
        <f>IFERROR(__xludf.DUMMYFUNCTION("""COMPUTED_VALUE"""),"Kedai")</f>
        <v>Kedai</v>
      </c>
      <c r="S483" s="2" t="str">
        <f>IFERROR(__xludf.DUMMYFUNCTION("""COMPUTED_VALUE"""),"Temu Roti")</f>
        <v>Temu Roti</v>
      </c>
      <c r="T483" s="2" t="str">
        <f>IFERROR(__xludf.DUMMYFUNCTION("""COMPUTED_VALUE"""),"Owner")</f>
        <v>Owner</v>
      </c>
      <c r="U483" s="2"/>
      <c r="V483" s="2"/>
      <c r="W483" s="2"/>
      <c r="X483" s="2" t="str">
        <f>IFERROR(__xludf.DUMMYFUNCTION("""COMPUTED_VALUE"""),"Closed")</f>
        <v>Closed</v>
      </c>
    </row>
    <row r="484">
      <c r="A484" s="3" t="s">
        <v>500</v>
      </c>
      <c r="B484" s="4">
        <f>IFERROR(__xludf.DUMMYFUNCTION("SPLIT(A484,"","",0,0)"),45555.623611111114)</f>
        <v>45555.62361</v>
      </c>
      <c r="C484" s="5">
        <f>IFERROR(__xludf.DUMMYFUNCTION("""COMPUTED_VALUE"""),2736796.0)</f>
        <v>2736796</v>
      </c>
      <c r="D484" s="2" t="str">
        <f>IFERROR(__xludf.DUMMYFUNCTION("""COMPUTED_VALUE"""),"Sale")</f>
        <v>Sale</v>
      </c>
      <c r="E484" s="2" t="str">
        <f>IFERROR(__xludf.DUMMYFUNCTION("""COMPUTED_VALUE"""),"Hidangan Utama")</f>
        <v>Hidangan Utama</v>
      </c>
      <c r="F484" s="2">
        <f>IFERROR(__xludf.DUMMYFUNCTION("""COMPUTED_VALUE"""),10003.0)</f>
        <v>10003</v>
      </c>
      <c r="G484" s="2" t="str">
        <f>IFERROR(__xludf.DUMMYFUNCTION("""COMPUTED_VALUE"""),"Nasi Goreng Temu")</f>
        <v>Nasi Goreng Temu</v>
      </c>
      <c r="H484" s="2"/>
      <c r="I484" s="2"/>
      <c r="J484" s="2">
        <f>IFERROR(__xludf.DUMMYFUNCTION("""COMPUTED_VALUE"""),1.0)</f>
        <v>1</v>
      </c>
      <c r="K484" s="6">
        <f>IFERROR(__xludf.DUMMYFUNCTION("""COMPUTED_VALUE"""),29524.0)</f>
        <v>29524</v>
      </c>
      <c r="L484" s="2">
        <f>IFERROR(__xludf.DUMMYFUNCTION("""COMPUTED_VALUE"""),0.0)</f>
        <v>0</v>
      </c>
      <c r="M484" s="2">
        <f>IFERROR(__xludf.DUMMYFUNCTION("""COMPUTED_VALUE"""),29524.0)</f>
        <v>29524</v>
      </c>
      <c r="N484" s="2">
        <f>IFERROR(__xludf.DUMMYFUNCTION("""COMPUTED_VALUE"""),0.0)</f>
        <v>0</v>
      </c>
      <c r="O484" s="2">
        <f>IFERROR(__xludf.DUMMYFUNCTION("""COMPUTED_VALUE"""),29524.0)</f>
        <v>29524</v>
      </c>
      <c r="P484" s="2">
        <f>IFERROR(__xludf.DUMMYFUNCTION("""COMPUTED_VALUE"""),1476.0)</f>
        <v>1476</v>
      </c>
      <c r="Q484" s="2" t="str">
        <f>IFERROR(__xludf.DUMMYFUNCTION("""COMPUTED_VALUE"""),"Dine In")</f>
        <v>Dine In</v>
      </c>
      <c r="R484" s="2" t="str">
        <f>IFERROR(__xludf.DUMMYFUNCTION("""COMPUTED_VALUE"""),"Kedai")</f>
        <v>Kedai</v>
      </c>
      <c r="S484" s="2" t="str">
        <f>IFERROR(__xludf.DUMMYFUNCTION("""COMPUTED_VALUE"""),"Temu Roti")</f>
        <v>Temu Roti</v>
      </c>
      <c r="T484" s="2" t="str">
        <f>IFERROR(__xludf.DUMMYFUNCTION("""COMPUTED_VALUE"""),"Owner")</f>
        <v>Owner</v>
      </c>
      <c r="U484" s="2"/>
      <c r="V484" s="2"/>
      <c r="W484" s="2"/>
      <c r="X484" s="2" t="str">
        <f>IFERROR(__xludf.DUMMYFUNCTION("""COMPUTED_VALUE"""),"Closed")</f>
        <v>Closed</v>
      </c>
    </row>
    <row r="485">
      <c r="A485" s="3" t="s">
        <v>501</v>
      </c>
      <c r="B485" s="4">
        <f>IFERROR(__xludf.DUMMYFUNCTION("SPLIT(A485,"","",0,0)"),45555.623611111114)</f>
        <v>45555.62361</v>
      </c>
      <c r="C485" s="5">
        <f>IFERROR(__xludf.DUMMYFUNCTION("""COMPUTED_VALUE"""),2736796.0)</f>
        <v>2736796</v>
      </c>
      <c r="D485" s="2" t="str">
        <f>IFERROR(__xludf.DUMMYFUNCTION("""COMPUTED_VALUE"""),"Sale")</f>
        <v>Sale</v>
      </c>
      <c r="E485" s="2" t="str">
        <f>IFERROR(__xludf.DUMMYFUNCTION("""COMPUTED_VALUE"""),"Minuman")</f>
        <v>Minuman</v>
      </c>
      <c r="F485" s="2">
        <f>IFERROR(__xludf.DUMMYFUNCTION("""COMPUTED_VALUE"""),10112.0)</f>
        <v>10112</v>
      </c>
      <c r="G485" s="2" t="str">
        <f>IFERROR(__xludf.DUMMYFUNCTION("""COMPUTED_VALUE"""),"Air mineral")</f>
        <v>Air mineral</v>
      </c>
      <c r="H485" s="2"/>
      <c r="I485" s="2"/>
      <c r="J485" s="2">
        <f>IFERROR(__xludf.DUMMYFUNCTION("""COMPUTED_VALUE"""),1.0)</f>
        <v>1</v>
      </c>
      <c r="K485" s="6">
        <f>IFERROR(__xludf.DUMMYFUNCTION("""COMPUTED_VALUE"""),6667.0)</f>
        <v>6667</v>
      </c>
      <c r="L485" s="2">
        <f>IFERROR(__xludf.DUMMYFUNCTION("""COMPUTED_VALUE"""),0.0)</f>
        <v>0</v>
      </c>
      <c r="M485" s="2">
        <f>IFERROR(__xludf.DUMMYFUNCTION("""COMPUTED_VALUE"""),6667.0)</f>
        <v>6667</v>
      </c>
      <c r="N485" s="2">
        <f>IFERROR(__xludf.DUMMYFUNCTION("""COMPUTED_VALUE"""),0.0)</f>
        <v>0</v>
      </c>
      <c r="O485" s="2">
        <f>IFERROR(__xludf.DUMMYFUNCTION("""COMPUTED_VALUE"""),6667.0)</f>
        <v>6667</v>
      </c>
      <c r="P485" s="2">
        <f>IFERROR(__xludf.DUMMYFUNCTION("""COMPUTED_VALUE"""),333.0)</f>
        <v>333</v>
      </c>
      <c r="Q485" s="2" t="str">
        <f>IFERROR(__xludf.DUMMYFUNCTION("""COMPUTED_VALUE"""),"Dine In")</f>
        <v>Dine In</v>
      </c>
      <c r="R485" s="2" t="str">
        <f>IFERROR(__xludf.DUMMYFUNCTION("""COMPUTED_VALUE"""),"Kedai")</f>
        <v>Kedai</v>
      </c>
      <c r="S485" s="2" t="str">
        <f>IFERROR(__xludf.DUMMYFUNCTION("""COMPUTED_VALUE"""),"Temu Roti")</f>
        <v>Temu Roti</v>
      </c>
      <c r="T485" s="2" t="str">
        <f>IFERROR(__xludf.DUMMYFUNCTION("""COMPUTED_VALUE"""),"Owner")</f>
        <v>Owner</v>
      </c>
      <c r="U485" s="2"/>
      <c r="V485" s="2"/>
      <c r="W485" s="2"/>
      <c r="X485" s="2" t="str">
        <f>IFERROR(__xludf.DUMMYFUNCTION("""COMPUTED_VALUE"""),"Closed")</f>
        <v>Closed</v>
      </c>
    </row>
    <row r="486">
      <c r="A486" s="3" t="s">
        <v>502</v>
      </c>
      <c r="B486" s="4">
        <f>IFERROR(__xludf.DUMMYFUNCTION("SPLIT(A486,"","",0,0)"),45555.61736111111)</f>
        <v>45555.61736</v>
      </c>
      <c r="C486" s="5">
        <f>IFERROR(__xludf.DUMMYFUNCTION("""COMPUTED_VALUE"""),2736430.0)</f>
        <v>2736430</v>
      </c>
      <c r="D486" s="2" t="str">
        <f>IFERROR(__xludf.DUMMYFUNCTION("""COMPUTED_VALUE"""),"Sale")</f>
        <v>Sale</v>
      </c>
      <c r="E486" s="2" t="str">
        <f>IFERROR(__xludf.DUMMYFUNCTION("""COMPUTED_VALUE"""),"Minuman")</f>
        <v>Minuman</v>
      </c>
      <c r="F486" s="2">
        <f>IFERROR(__xludf.DUMMYFUNCTION("""COMPUTED_VALUE"""),10112.0)</f>
        <v>10112</v>
      </c>
      <c r="G486" s="2" t="str">
        <f>IFERROR(__xludf.DUMMYFUNCTION("""COMPUTED_VALUE"""),"Air mineral")</f>
        <v>Air mineral</v>
      </c>
      <c r="H486" s="2"/>
      <c r="I486" s="2"/>
      <c r="J486" s="2">
        <f>IFERROR(__xludf.DUMMYFUNCTION("""COMPUTED_VALUE"""),2.0)</f>
        <v>2</v>
      </c>
      <c r="K486" s="6">
        <f>IFERROR(__xludf.DUMMYFUNCTION("""COMPUTED_VALUE"""),13334.0)</f>
        <v>13334</v>
      </c>
      <c r="L486" s="2">
        <f>IFERROR(__xludf.DUMMYFUNCTION("""COMPUTED_VALUE"""),0.0)</f>
        <v>0</v>
      </c>
      <c r="M486" s="2">
        <f>IFERROR(__xludf.DUMMYFUNCTION("""COMPUTED_VALUE"""),13334.0)</f>
        <v>13334</v>
      </c>
      <c r="N486" s="2">
        <f>IFERROR(__xludf.DUMMYFUNCTION("""COMPUTED_VALUE"""),0.0)</f>
        <v>0</v>
      </c>
      <c r="O486" s="2">
        <f>IFERROR(__xludf.DUMMYFUNCTION("""COMPUTED_VALUE"""),13334.0)</f>
        <v>13334</v>
      </c>
      <c r="P486" s="2">
        <f>IFERROR(__xludf.DUMMYFUNCTION("""COMPUTED_VALUE"""),667.0)</f>
        <v>667</v>
      </c>
      <c r="Q486" s="2" t="str">
        <f>IFERROR(__xludf.DUMMYFUNCTION("""COMPUTED_VALUE"""),"Dine In")</f>
        <v>Dine In</v>
      </c>
      <c r="R486" s="2" t="str">
        <f>IFERROR(__xludf.DUMMYFUNCTION("""COMPUTED_VALUE"""),"Kedai")</f>
        <v>Kedai</v>
      </c>
      <c r="S486" s="2" t="str">
        <f>IFERROR(__xludf.DUMMYFUNCTION("""COMPUTED_VALUE"""),"Temu Roti")</f>
        <v>Temu Roti</v>
      </c>
      <c r="T486" s="2" t="str">
        <f>IFERROR(__xludf.DUMMYFUNCTION("""COMPUTED_VALUE"""),"Owner")</f>
        <v>Owner</v>
      </c>
      <c r="U486" s="2"/>
      <c r="V486" s="2"/>
      <c r="W486" s="2"/>
      <c r="X486" s="2" t="str">
        <f>IFERROR(__xludf.DUMMYFUNCTION("""COMPUTED_VALUE"""),"Closed")</f>
        <v>Closed</v>
      </c>
    </row>
    <row r="487">
      <c r="A487" s="3" t="s">
        <v>503</v>
      </c>
      <c r="B487" s="4">
        <f>IFERROR(__xludf.DUMMYFUNCTION("SPLIT(A487,"","",0,0)"),45555.61736111111)</f>
        <v>45555.61736</v>
      </c>
      <c r="C487" s="5">
        <f>IFERROR(__xludf.DUMMYFUNCTION("""COMPUTED_VALUE"""),2736430.0)</f>
        <v>2736430</v>
      </c>
      <c r="D487" s="2" t="str">
        <f>IFERROR(__xludf.DUMMYFUNCTION("""COMPUTED_VALUE"""),"Sale")</f>
        <v>Sale</v>
      </c>
      <c r="E487" s="2" t="str">
        <f>IFERROR(__xludf.DUMMYFUNCTION("""COMPUTED_VALUE"""),"Kudapan")</f>
        <v>Kudapan</v>
      </c>
      <c r="F487" s="2">
        <f>IFERROR(__xludf.DUMMYFUNCTION("""COMPUTED_VALUE"""),10014.0)</f>
        <v>10014</v>
      </c>
      <c r="G487" s="2" t="str">
        <f>IFERROR(__xludf.DUMMYFUNCTION("""COMPUTED_VALUE"""),"Tempe Mendoan")</f>
        <v>Tempe Mendoan</v>
      </c>
      <c r="H487" s="2"/>
      <c r="I487" s="2"/>
      <c r="J487" s="2">
        <f>IFERROR(__xludf.DUMMYFUNCTION("""COMPUTED_VALUE"""),1.0)</f>
        <v>1</v>
      </c>
      <c r="K487" s="6">
        <f>IFERROR(__xludf.DUMMYFUNCTION("""COMPUTED_VALUE"""),25238.0)</f>
        <v>25238</v>
      </c>
      <c r="L487" s="2">
        <f>IFERROR(__xludf.DUMMYFUNCTION("""COMPUTED_VALUE"""),0.0)</f>
        <v>0</v>
      </c>
      <c r="M487" s="2">
        <f>IFERROR(__xludf.DUMMYFUNCTION("""COMPUTED_VALUE"""),25238.0)</f>
        <v>25238</v>
      </c>
      <c r="N487" s="2">
        <f>IFERROR(__xludf.DUMMYFUNCTION("""COMPUTED_VALUE"""),0.0)</f>
        <v>0</v>
      </c>
      <c r="O487" s="2">
        <f>IFERROR(__xludf.DUMMYFUNCTION("""COMPUTED_VALUE"""),25238.0)</f>
        <v>25238</v>
      </c>
      <c r="P487" s="2">
        <f>IFERROR(__xludf.DUMMYFUNCTION("""COMPUTED_VALUE"""),1262.0)</f>
        <v>1262</v>
      </c>
      <c r="Q487" s="2" t="str">
        <f>IFERROR(__xludf.DUMMYFUNCTION("""COMPUTED_VALUE"""),"Dine In")</f>
        <v>Dine In</v>
      </c>
      <c r="R487" s="2" t="str">
        <f>IFERROR(__xludf.DUMMYFUNCTION("""COMPUTED_VALUE"""),"Kedai")</f>
        <v>Kedai</v>
      </c>
      <c r="S487" s="2" t="str">
        <f>IFERROR(__xludf.DUMMYFUNCTION("""COMPUTED_VALUE"""),"Temu Roti")</f>
        <v>Temu Roti</v>
      </c>
      <c r="T487" s="2" t="str">
        <f>IFERROR(__xludf.DUMMYFUNCTION("""COMPUTED_VALUE"""),"Owner")</f>
        <v>Owner</v>
      </c>
      <c r="U487" s="2"/>
      <c r="V487" s="2"/>
      <c r="W487" s="2"/>
      <c r="X487" s="2" t="str">
        <f>IFERROR(__xludf.DUMMYFUNCTION("""COMPUTED_VALUE"""),"Closed")</f>
        <v>Closed</v>
      </c>
    </row>
    <row r="488">
      <c r="A488" s="3" t="s">
        <v>504</v>
      </c>
      <c r="B488" s="4">
        <f>IFERROR(__xludf.DUMMYFUNCTION("SPLIT(A488,"","",0,0)"),45555.61736111111)</f>
        <v>45555.61736</v>
      </c>
      <c r="C488" s="5">
        <f>IFERROR(__xludf.DUMMYFUNCTION("""COMPUTED_VALUE"""),2736430.0)</f>
        <v>2736430</v>
      </c>
      <c r="D488" s="2" t="str">
        <f>IFERROR(__xludf.DUMMYFUNCTION("""COMPUTED_VALUE"""),"Sale")</f>
        <v>Sale</v>
      </c>
      <c r="E488" s="2" t="str">
        <f>IFERROR(__xludf.DUMMYFUNCTION("""COMPUTED_VALUE"""),"Kudapan")</f>
        <v>Kudapan</v>
      </c>
      <c r="F488" s="2">
        <f>IFERROR(__xludf.DUMMYFUNCTION("""COMPUTED_VALUE"""),10015.0)</f>
        <v>10015</v>
      </c>
      <c r="G488" s="2" t="str">
        <f>IFERROR(__xludf.DUMMYFUNCTION("""COMPUTED_VALUE"""),"Tahu Lada Garam")</f>
        <v>Tahu Lada Garam</v>
      </c>
      <c r="H488" s="2"/>
      <c r="I488" s="2"/>
      <c r="J488" s="2">
        <f>IFERROR(__xludf.DUMMYFUNCTION("""COMPUTED_VALUE"""),1.0)</f>
        <v>1</v>
      </c>
      <c r="K488" s="6">
        <f>IFERROR(__xludf.DUMMYFUNCTION("""COMPUTED_VALUE"""),25238.0)</f>
        <v>25238</v>
      </c>
      <c r="L488" s="2">
        <f>IFERROR(__xludf.DUMMYFUNCTION("""COMPUTED_VALUE"""),0.0)</f>
        <v>0</v>
      </c>
      <c r="M488" s="2">
        <f>IFERROR(__xludf.DUMMYFUNCTION("""COMPUTED_VALUE"""),25238.0)</f>
        <v>25238</v>
      </c>
      <c r="N488" s="2">
        <f>IFERROR(__xludf.DUMMYFUNCTION("""COMPUTED_VALUE"""),0.0)</f>
        <v>0</v>
      </c>
      <c r="O488" s="2">
        <f>IFERROR(__xludf.DUMMYFUNCTION("""COMPUTED_VALUE"""),25238.0)</f>
        <v>25238</v>
      </c>
      <c r="P488" s="2">
        <f>IFERROR(__xludf.DUMMYFUNCTION("""COMPUTED_VALUE"""),1262.0)</f>
        <v>1262</v>
      </c>
      <c r="Q488" s="2" t="str">
        <f>IFERROR(__xludf.DUMMYFUNCTION("""COMPUTED_VALUE"""),"Dine In")</f>
        <v>Dine In</v>
      </c>
      <c r="R488" s="2" t="str">
        <f>IFERROR(__xludf.DUMMYFUNCTION("""COMPUTED_VALUE"""),"Kedai")</f>
        <v>Kedai</v>
      </c>
      <c r="S488" s="2" t="str">
        <f>IFERROR(__xludf.DUMMYFUNCTION("""COMPUTED_VALUE"""),"Temu Roti")</f>
        <v>Temu Roti</v>
      </c>
      <c r="T488" s="2" t="str">
        <f>IFERROR(__xludf.DUMMYFUNCTION("""COMPUTED_VALUE"""),"Owner")</f>
        <v>Owner</v>
      </c>
      <c r="U488" s="2"/>
      <c r="V488" s="2"/>
      <c r="W488" s="2"/>
      <c r="X488" s="2" t="str">
        <f>IFERROR(__xludf.DUMMYFUNCTION("""COMPUTED_VALUE"""),"Closed")</f>
        <v>Closed</v>
      </c>
    </row>
    <row r="489">
      <c r="A489" s="3" t="s">
        <v>505</v>
      </c>
      <c r="B489" s="4">
        <f>IFERROR(__xludf.DUMMYFUNCTION("SPLIT(A489,"","",0,0)"),45555.61736111111)</f>
        <v>45555.61736</v>
      </c>
      <c r="C489" s="5">
        <f>IFERROR(__xludf.DUMMYFUNCTION("""COMPUTED_VALUE"""),2736430.0)</f>
        <v>2736430</v>
      </c>
      <c r="D489" s="2" t="str">
        <f>IFERROR(__xludf.DUMMYFUNCTION("""COMPUTED_VALUE"""),"Sale")</f>
        <v>Sale</v>
      </c>
      <c r="E489" s="2" t="str">
        <f>IFERROR(__xludf.DUMMYFUNCTION("""COMPUTED_VALUE"""),"Kudapan")</f>
        <v>Kudapan</v>
      </c>
      <c r="F489" s="2">
        <f>IFERROR(__xludf.DUMMYFUNCTION("""COMPUTED_VALUE"""),10011.0)</f>
        <v>10011</v>
      </c>
      <c r="G489" s="2" t="str">
        <f>IFERROR(__xludf.DUMMYFUNCTION("""COMPUTED_VALUE"""),"Kentang Goreng")</f>
        <v>Kentang Goreng</v>
      </c>
      <c r="H489" s="2"/>
      <c r="I489" s="2"/>
      <c r="J489" s="2">
        <f>IFERROR(__xludf.DUMMYFUNCTION("""COMPUTED_VALUE"""),1.0)</f>
        <v>1</v>
      </c>
      <c r="K489" s="6">
        <f>IFERROR(__xludf.DUMMYFUNCTION("""COMPUTED_VALUE"""),25238.0)</f>
        <v>25238</v>
      </c>
      <c r="L489" s="2">
        <f>IFERROR(__xludf.DUMMYFUNCTION("""COMPUTED_VALUE"""),0.0)</f>
        <v>0</v>
      </c>
      <c r="M489" s="2">
        <f>IFERROR(__xludf.DUMMYFUNCTION("""COMPUTED_VALUE"""),25238.0)</f>
        <v>25238</v>
      </c>
      <c r="N489" s="2">
        <f>IFERROR(__xludf.DUMMYFUNCTION("""COMPUTED_VALUE"""),0.0)</f>
        <v>0</v>
      </c>
      <c r="O489" s="2">
        <f>IFERROR(__xludf.DUMMYFUNCTION("""COMPUTED_VALUE"""),25238.0)</f>
        <v>25238</v>
      </c>
      <c r="P489" s="2">
        <f>IFERROR(__xludf.DUMMYFUNCTION("""COMPUTED_VALUE"""),1261.0)</f>
        <v>1261</v>
      </c>
      <c r="Q489" s="2" t="str">
        <f>IFERROR(__xludf.DUMMYFUNCTION("""COMPUTED_VALUE"""),"Dine In")</f>
        <v>Dine In</v>
      </c>
      <c r="R489" s="2" t="str">
        <f>IFERROR(__xludf.DUMMYFUNCTION("""COMPUTED_VALUE"""),"Kedai")</f>
        <v>Kedai</v>
      </c>
      <c r="S489" s="2" t="str">
        <f>IFERROR(__xludf.DUMMYFUNCTION("""COMPUTED_VALUE"""),"Temu Roti")</f>
        <v>Temu Roti</v>
      </c>
      <c r="T489" s="2" t="str">
        <f>IFERROR(__xludf.DUMMYFUNCTION("""COMPUTED_VALUE"""),"Owner")</f>
        <v>Owner</v>
      </c>
      <c r="U489" s="2"/>
      <c r="V489" s="2"/>
      <c r="W489" s="2"/>
      <c r="X489" s="2" t="str">
        <f>IFERROR(__xludf.DUMMYFUNCTION("""COMPUTED_VALUE"""),"Closed")</f>
        <v>Closed</v>
      </c>
    </row>
    <row r="490">
      <c r="A490" s="3" t="s">
        <v>506</v>
      </c>
      <c r="B490" s="4">
        <f>IFERROR(__xludf.DUMMYFUNCTION("SPLIT(A490,"","",0,0)"),45555.61736111111)</f>
        <v>45555.61736</v>
      </c>
      <c r="C490" s="5">
        <f>IFERROR(__xludf.DUMMYFUNCTION("""COMPUTED_VALUE"""),2736430.0)</f>
        <v>2736430</v>
      </c>
      <c r="D490" s="2" t="str">
        <f>IFERROR(__xludf.DUMMYFUNCTION("""COMPUTED_VALUE"""),"Sale")</f>
        <v>Sale</v>
      </c>
      <c r="E490" s="2" t="str">
        <f>IFERROR(__xludf.DUMMYFUNCTION("""COMPUTED_VALUE"""),"Roti")</f>
        <v>Roti</v>
      </c>
      <c r="F490" s="2">
        <f>IFERROR(__xludf.DUMMYFUNCTION("""COMPUTED_VALUE"""),10055.0)</f>
        <v>10055</v>
      </c>
      <c r="G490" s="2" t="str">
        <f>IFERROR(__xludf.DUMMYFUNCTION("""COMPUTED_VALUE"""),"Roti Gandum Cokelat 2 pcs")</f>
        <v>Roti Gandum Cokelat 2 pcs</v>
      </c>
      <c r="H490" s="2"/>
      <c r="I490" s="2"/>
      <c r="J490" s="2">
        <f>IFERROR(__xludf.DUMMYFUNCTION("""COMPUTED_VALUE"""),1.0)</f>
        <v>1</v>
      </c>
      <c r="K490" s="6">
        <f>IFERROR(__xludf.DUMMYFUNCTION("""COMPUTED_VALUE"""),34762.0)</f>
        <v>34762</v>
      </c>
      <c r="L490" s="2">
        <f>IFERROR(__xludf.DUMMYFUNCTION("""COMPUTED_VALUE"""),0.0)</f>
        <v>0</v>
      </c>
      <c r="M490" s="2">
        <f>IFERROR(__xludf.DUMMYFUNCTION("""COMPUTED_VALUE"""),34762.0)</f>
        <v>34762</v>
      </c>
      <c r="N490" s="2">
        <f>IFERROR(__xludf.DUMMYFUNCTION("""COMPUTED_VALUE"""),0.0)</f>
        <v>0</v>
      </c>
      <c r="O490" s="2">
        <f>IFERROR(__xludf.DUMMYFUNCTION("""COMPUTED_VALUE"""),34762.0)</f>
        <v>34762</v>
      </c>
      <c r="P490" s="2">
        <f>IFERROR(__xludf.DUMMYFUNCTION("""COMPUTED_VALUE"""),1739.0)</f>
        <v>1739</v>
      </c>
      <c r="Q490" s="2" t="str">
        <f>IFERROR(__xludf.DUMMYFUNCTION("""COMPUTED_VALUE"""),"Dine In")</f>
        <v>Dine In</v>
      </c>
      <c r="R490" s="2" t="str">
        <f>IFERROR(__xludf.DUMMYFUNCTION("""COMPUTED_VALUE"""),"Kedai")</f>
        <v>Kedai</v>
      </c>
      <c r="S490" s="2" t="str">
        <f>IFERROR(__xludf.DUMMYFUNCTION("""COMPUTED_VALUE"""),"Temu Roti")</f>
        <v>Temu Roti</v>
      </c>
      <c r="T490" s="2" t="str">
        <f>IFERROR(__xludf.DUMMYFUNCTION("""COMPUTED_VALUE"""),"Owner")</f>
        <v>Owner</v>
      </c>
      <c r="U490" s="2"/>
      <c r="V490" s="2"/>
      <c r="W490" s="2"/>
      <c r="X490" s="2" t="str">
        <f>IFERROR(__xludf.DUMMYFUNCTION("""COMPUTED_VALUE"""),"Closed")</f>
        <v>Closed</v>
      </c>
    </row>
    <row r="491">
      <c r="A491" s="3" t="s">
        <v>507</v>
      </c>
      <c r="B491" s="4">
        <f>IFERROR(__xludf.DUMMYFUNCTION("SPLIT(A491,"","",0,0)"),45555.61736111111)</f>
        <v>45555.61736</v>
      </c>
      <c r="C491" s="5">
        <f>IFERROR(__xludf.DUMMYFUNCTION("""COMPUTED_VALUE"""),2736430.0)</f>
        <v>2736430</v>
      </c>
      <c r="D491" s="2" t="str">
        <f>IFERROR(__xludf.DUMMYFUNCTION("""COMPUTED_VALUE"""),"Sale")</f>
        <v>Sale</v>
      </c>
      <c r="E491" s="2" t="str">
        <f>IFERROR(__xludf.DUMMYFUNCTION("""COMPUTED_VALUE"""),"Roti")</f>
        <v>Roti</v>
      </c>
      <c r="F491" s="2">
        <f>IFERROR(__xludf.DUMMYFUNCTION("""COMPUTED_VALUE"""),10000.0)</f>
        <v>10000</v>
      </c>
      <c r="G491" s="2" t="str">
        <f>IFERROR(__xludf.DUMMYFUNCTION("""COMPUTED_VALUE"""),"Roti Bawang Saus Keju")</f>
        <v>Roti Bawang Saus Keju</v>
      </c>
      <c r="H491" s="2"/>
      <c r="I491" s="2"/>
      <c r="J491" s="2">
        <f>IFERROR(__xludf.DUMMYFUNCTION("""COMPUTED_VALUE"""),1.0)</f>
        <v>1</v>
      </c>
      <c r="K491" s="6">
        <f>IFERROR(__xludf.DUMMYFUNCTION("""COMPUTED_VALUE"""),29524.0)</f>
        <v>29524</v>
      </c>
      <c r="L491" s="2">
        <f>IFERROR(__xludf.DUMMYFUNCTION("""COMPUTED_VALUE"""),0.0)</f>
        <v>0</v>
      </c>
      <c r="M491" s="2">
        <f>IFERROR(__xludf.DUMMYFUNCTION("""COMPUTED_VALUE"""),29524.0)</f>
        <v>29524</v>
      </c>
      <c r="N491" s="2">
        <f>IFERROR(__xludf.DUMMYFUNCTION("""COMPUTED_VALUE"""),0.0)</f>
        <v>0</v>
      </c>
      <c r="O491" s="2">
        <f>IFERROR(__xludf.DUMMYFUNCTION("""COMPUTED_VALUE"""),29524.0)</f>
        <v>29524</v>
      </c>
      <c r="P491" s="2">
        <f>IFERROR(__xludf.DUMMYFUNCTION("""COMPUTED_VALUE"""),1476.0)</f>
        <v>1476</v>
      </c>
      <c r="Q491" s="2" t="str">
        <f>IFERROR(__xludf.DUMMYFUNCTION("""COMPUTED_VALUE"""),"Dine In")</f>
        <v>Dine In</v>
      </c>
      <c r="R491" s="2" t="str">
        <f>IFERROR(__xludf.DUMMYFUNCTION("""COMPUTED_VALUE"""),"Kedai")</f>
        <v>Kedai</v>
      </c>
      <c r="S491" s="2" t="str">
        <f>IFERROR(__xludf.DUMMYFUNCTION("""COMPUTED_VALUE"""),"Temu Roti")</f>
        <v>Temu Roti</v>
      </c>
      <c r="T491" s="2" t="str">
        <f>IFERROR(__xludf.DUMMYFUNCTION("""COMPUTED_VALUE"""),"Owner")</f>
        <v>Owner</v>
      </c>
      <c r="U491" s="2"/>
      <c r="V491" s="2"/>
      <c r="W491" s="2"/>
      <c r="X491" s="2" t="str">
        <f>IFERROR(__xludf.DUMMYFUNCTION("""COMPUTED_VALUE"""),"Closed")</f>
        <v>Closed</v>
      </c>
    </row>
    <row r="492">
      <c r="A492" s="3" t="s">
        <v>508</v>
      </c>
      <c r="B492" s="4">
        <f>IFERROR(__xludf.DUMMYFUNCTION("SPLIT(A492,"","",0,0)"),45555.61736111111)</f>
        <v>45555.61736</v>
      </c>
      <c r="C492" s="5">
        <f>IFERROR(__xludf.DUMMYFUNCTION("""COMPUTED_VALUE"""),2736430.0)</f>
        <v>2736430</v>
      </c>
      <c r="D492" s="2" t="str">
        <f>IFERROR(__xludf.DUMMYFUNCTION("""COMPUTED_VALUE"""),"Sale")</f>
        <v>Sale</v>
      </c>
      <c r="E492" s="2" t="str">
        <f>IFERROR(__xludf.DUMMYFUNCTION("""COMPUTED_VALUE"""),"Minuman")</f>
        <v>Minuman</v>
      </c>
      <c r="F492" s="2">
        <f>IFERROR(__xludf.DUMMYFUNCTION("""COMPUTED_VALUE"""),10128.0)</f>
        <v>10128</v>
      </c>
      <c r="G492" s="2" t="str">
        <f>IFERROR(__xludf.DUMMYFUNCTION("""COMPUTED_VALUE"""),"Es Kopi Susu")</f>
        <v>Es Kopi Susu</v>
      </c>
      <c r="H492" s="2"/>
      <c r="I492" s="2"/>
      <c r="J492" s="2">
        <f>IFERROR(__xludf.DUMMYFUNCTION("""COMPUTED_VALUE"""),4.0)</f>
        <v>4</v>
      </c>
      <c r="K492" s="6">
        <f>IFERROR(__xludf.DUMMYFUNCTION("""COMPUTED_VALUE"""),93332.0)</f>
        <v>93332</v>
      </c>
      <c r="L492" s="2">
        <f>IFERROR(__xludf.DUMMYFUNCTION("""COMPUTED_VALUE"""),0.0)</f>
        <v>0</v>
      </c>
      <c r="M492" s="2">
        <f>IFERROR(__xludf.DUMMYFUNCTION("""COMPUTED_VALUE"""),93332.0)</f>
        <v>93332</v>
      </c>
      <c r="N492" s="2">
        <f>IFERROR(__xludf.DUMMYFUNCTION("""COMPUTED_VALUE"""),0.0)</f>
        <v>0</v>
      </c>
      <c r="O492" s="2">
        <f>IFERROR(__xludf.DUMMYFUNCTION("""COMPUTED_VALUE"""),93332.0)</f>
        <v>93332</v>
      </c>
      <c r="P492" s="2">
        <f>IFERROR(__xludf.DUMMYFUNCTION("""COMPUTED_VALUE"""),4666.0)</f>
        <v>4666</v>
      </c>
      <c r="Q492" s="2" t="str">
        <f>IFERROR(__xludf.DUMMYFUNCTION("""COMPUTED_VALUE"""),"Dine In")</f>
        <v>Dine In</v>
      </c>
      <c r="R492" s="2" t="str">
        <f>IFERROR(__xludf.DUMMYFUNCTION("""COMPUTED_VALUE"""),"Kedai")</f>
        <v>Kedai</v>
      </c>
      <c r="S492" s="2" t="str">
        <f>IFERROR(__xludf.DUMMYFUNCTION("""COMPUTED_VALUE"""),"Temu Roti")</f>
        <v>Temu Roti</v>
      </c>
      <c r="T492" s="2" t="str">
        <f>IFERROR(__xludf.DUMMYFUNCTION("""COMPUTED_VALUE"""),"Owner")</f>
        <v>Owner</v>
      </c>
      <c r="U492" s="2"/>
      <c r="V492" s="2"/>
      <c r="W492" s="2"/>
      <c r="X492" s="2" t="str">
        <f>IFERROR(__xludf.DUMMYFUNCTION("""COMPUTED_VALUE"""),"Closed")</f>
        <v>Closed</v>
      </c>
    </row>
    <row r="493">
      <c r="A493" s="3" t="s">
        <v>509</v>
      </c>
      <c r="B493" s="4">
        <f>IFERROR(__xludf.DUMMYFUNCTION("SPLIT(A493,"","",0,0)"),45555.61736111111)</f>
        <v>45555.61736</v>
      </c>
      <c r="C493" s="5">
        <f>IFERROR(__xludf.DUMMYFUNCTION("""COMPUTED_VALUE"""),2736430.0)</f>
        <v>2736430</v>
      </c>
      <c r="D493" s="2" t="str">
        <f>IFERROR(__xludf.DUMMYFUNCTION("""COMPUTED_VALUE"""),"Sale")</f>
        <v>Sale</v>
      </c>
      <c r="E493" s="2" t="str">
        <f>IFERROR(__xludf.DUMMYFUNCTION("""COMPUTED_VALUE"""),"Minuman")</f>
        <v>Minuman</v>
      </c>
      <c r="F493" s="2">
        <f>IFERROR(__xludf.DUMMYFUNCTION("""COMPUTED_VALUE"""),10026.0)</f>
        <v>10026</v>
      </c>
      <c r="G493" s="2" t="str">
        <f>IFERROR(__xludf.DUMMYFUNCTION("""COMPUTED_VALUE"""),"Es Kopi Lemon")</f>
        <v>Es Kopi Lemon</v>
      </c>
      <c r="H493" s="2"/>
      <c r="I493" s="2"/>
      <c r="J493" s="2">
        <f>IFERROR(__xludf.DUMMYFUNCTION("""COMPUTED_VALUE"""),1.0)</f>
        <v>1</v>
      </c>
      <c r="K493" s="6">
        <f>IFERROR(__xludf.DUMMYFUNCTION("""COMPUTED_VALUE"""),21905.0)</f>
        <v>21905</v>
      </c>
      <c r="L493" s="2">
        <f>IFERROR(__xludf.DUMMYFUNCTION("""COMPUTED_VALUE"""),0.0)</f>
        <v>0</v>
      </c>
      <c r="M493" s="2">
        <f>IFERROR(__xludf.DUMMYFUNCTION("""COMPUTED_VALUE"""),21905.0)</f>
        <v>21905</v>
      </c>
      <c r="N493" s="2">
        <f>IFERROR(__xludf.DUMMYFUNCTION("""COMPUTED_VALUE"""),0.0)</f>
        <v>0</v>
      </c>
      <c r="O493" s="2">
        <f>IFERROR(__xludf.DUMMYFUNCTION("""COMPUTED_VALUE"""),21905.0)</f>
        <v>21905</v>
      </c>
      <c r="P493" s="2">
        <f>IFERROR(__xludf.DUMMYFUNCTION("""COMPUTED_VALUE"""),1096.0)</f>
        <v>1096</v>
      </c>
      <c r="Q493" s="2" t="str">
        <f>IFERROR(__xludf.DUMMYFUNCTION("""COMPUTED_VALUE"""),"Dine In")</f>
        <v>Dine In</v>
      </c>
      <c r="R493" s="2" t="str">
        <f>IFERROR(__xludf.DUMMYFUNCTION("""COMPUTED_VALUE"""),"Kedai")</f>
        <v>Kedai</v>
      </c>
      <c r="S493" s="2" t="str">
        <f>IFERROR(__xludf.DUMMYFUNCTION("""COMPUTED_VALUE"""),"Temu Roti")</f>
        <v>Temu Roti</v>
      </c>
      <c r="T493" s="2" t="str">
        <f>IFERROR(__xludf.DUMMYFUNCTION("""COMPUTED_VALUE"""),"Owner")</f>
        <v>Owner</v>
      </c>
      <c r="U493" s="2"/>
      <c r="V493" s="2"/>
      <c r="W493" s="2"/>
      <c r="X493" s="2" t="str">
        <f>IFERROR(__xludf.DUMMYFUNCTION("""COMPUTED_VALUE"""),"Closed")</f>
        <v>Closed</v>
      </c>
    </row>
    <row r="494">
      <c r="A494" s="3" t="s">
        <v>510</v>
      </c>
      <c r="B494" s="4">
        <f>IFERROR(__xludf.DUMMYFUNCTION("SPLIT(A494,"","",0,0)"),45555.61736111111)</f>
        <v>45555.61736</v>
      </c>
      <c r="C494" s="5">
        <f>IFERROR(__xludf.DUMMYFUNCTION("""COMPUTED_VALUE"""),2736430.0)</f>
        <v>2736430</v>
      </c>
      <c r="D494" s="2" t="str">
        <f>IFERROR(__xludf.DUMMYFUNCTION("""COMPUTED_VALUE"""),"Sale")</f>
        <v>Sale</v>
      </c>
      <c r="E494" s="2" t="str">
        <f>IFERROR(__xludf.DUMMYFUNCTION("""COMPUTED_VALUE"""),"Roti")</f>
        <v>Roti</v>
      </c>
      <c r="F494" s="2">
        <f>IFERROR(__xludf.DUMMYFUNCTION("""COMPUTED_VALUE"""),10007.0)</f>
        <v>10007</v>
      </c>
      <c r="G494" s="2" t="str">
        <f>IFERROR(__xludf.DUMMYFUNCTION("""COMPUTED_VALUE"""),"Roti cranberry 2 pcs")</f>
        <v>Roti cranberry 2 pcs</v>
      </c>
      <c r="H494" s="2"/>
      <c r="I494" s="2"/>
      <c r="J494" s="2">
        <f>IFERROR(__xludf.DUMMYFUNCTION("""COMPUTED_VALUE"""),1.0)</f>
        <v>1</v>
      </c>
      <c r="K494" s="6">
        <f>IFERROR(__xludf.DUMMYFUNCTION("""COMPUTED_VALUE"""),33810.0)</f>
        <v>33810</v>
      </c>
      <c r="L494" s="2">
        <f>IFERROR(__xludf.DUMMYFUNCTION("""COMPUTED_VALUE"""),0.0)</f>
        <v>0</v>
      </c>
      <c r="M494" s="2">
        <f>IFERROR(__xludf.DUMMYFUNCTION("""COMPUTED_VALUE"""),33810.0)</f>
        <v>33810</v>
      </c>
      <c r="N494" s="2">
        <f>IFERROR(__xludf.DUMMYFUNCTION("""COMPUTED_VALUE"""),0.0)</f>
        <v>0</v>
      </c>
      <c r="O494" s="2">
        <f>IFERROR(__xludf.DUMMYFUNCTION("""COMPUTED_VALUE"""),33810.0)</f>
        <v>33810</v>
      </c>
      <c r="P494" s="2">
        <f>IFERROR(__xludf.DUMMYFUNCTION("""COMPUTED_VALUE"""),1690.0)</f>
        <v>1690</v>
      </c>
      <c r="Q494" s="2" t="str">
        <f>IFERROR(__xludf.DUMMYFUNCTION("""COMPUTED_VALUE"""),"Dine In")</f>
        <v>Dine In</v>
      </c>
      <c r="R494" s="2" t="str">
        <f>IFERROR(__xludf.DUMMYFUNCTION("""COMPUTED_VALUE"""),"Kedai")</f>
        <v>Kedai</v>
      </c>
      <c r="S494" s="2" t="str">
        <f>IFERROR(__xludf.DUMMYFUNCTION("""COMPUTED_VALUE"""),"Temu Roti")</f>
        <v>Temu Roti</v>
      </c>
      <c r="T494" s="2" t="str">
        <f>IFERROR(__xludf.DUMMYFUNCTION("""COMPUTED_VALUE"""),"Owner")</f>
        <v>Owner</v>
      </c>
      <c r="U494" s="2"/>
      <c r="V494" s="2"/>
      <c r="W494" s="2"/>
      <c r="X494" s="2" t="str">
        <f>IFERROR(__xludf.DUMMYFUNCTION("""COMPUTED_VALUE"""),"Closed")</f>
        <v>Closed</v>
      </c>
    </row>
    <row r="495">
      <c r="A495" s="3" t="s">
        <v>511</v>
      </c>
      <c r="B495" s="4">
        <f>IFERROR(__xludf.DUMMYFUNCTION("SPLIT(A495,"","",0,0)"),45555.61319444444)</f>
        <v>45555.61319</v>
      </c>
      <c r="C495" s="5">
        <f>IFERROR(__xludf.DUMMYFUNCTION("""COMPUTED_VALUE"""),2736065.0)</f>
        <v>2736065</v>
      </c>
      <c r="D495" s="2" t="str">
        <f>IFERROR(__xludf.DUMMYFUNCTION("""COMPUTED_VALUE"""),"Sale")</f>
        <v>Sale</v>
      </c>
      <c r="E495" s="2" t="str">
        <f>IFERROR(__xludf.DUMMYFUNCTION("""COMPUTED_VALUE"""),"Kudapan")</f>
        <v>Kudapan</v>
      </c>
      <c r="F495" s="2">
        <f>IFERROR(__xludf.DUMMYFUNCTION("""COMPUTED_VALUE"""),10015.0)</f>
        <v>10015</v>
      </c>
      <c r="G495" s="2" t="str">
        <f>IFERROR(__xludf.DUMMYFUNCTION("""COMPUTED_VALUE"""),"Tahu Lada Garam")</f>
        <v>Tahu Lada Garam</v>
      </c>
      <c r="H495" s="2"/>
      <c r="I495" s="2"/>
      <c r="J495" s="2">
        <f>IFERROR(__xludf.DUMMYFUNCTION("""COMPUTED_VALUE"""),1.0)</f>
        <v>1</v>
      </c>
      <c r="K495" s="6">
        <f>IFERROR(__xludf.DUMMYFUNCTION("""COMPUTED_VALUE"""),25238.0)</f>
        <v>25238</v>
      </c>
      <c r="L495" s="2">
        <f>IFERROR(__xludf.DUMMYFUNCTION("""COMPUTED_VALUE"""),0.0)</f>
        <v>0</v>
      </c>
      <c r="M495" s="2">
        <f>IFERROR(__xludf.DUMMYFUNCTION("""COMPUTED_VALUE"""),25238.0)</f>
        <v>25238</v>
      </c>
      <c r="N495" s="2">
        <f>IFERROR(__xludf.DUMMYFUNCTION("""COMPUTED_VALUE"""),0.0)</f>
        <v>0</v>
      </c>
      <c r="O495" s="2">
        <f>IFERROR(__xludf.DUMMYFUNCTION("""COMPUTED_VALUE"""),25238.0)</f>
        <v>25238</v>
      </c>
      <c r="P495" s="2">
        <f>IFERROR(__xludf.DUMMYFUNCTION("""COMPUTED_VALUE"""),1262.0)</f>
        <v>1262</v>
      </c>
      <c r="Q495" s="2" t="str">
        <f>IFERROR(__xludf.DUMMYFUNCTION("""COMPUTED_VALUE"""),"Dine In")</f>
        <v>Dine In</v>
      </c>
      <c r="R495" s="2" t="str">
        <f>IFERROR(__xludf.DUMMYFUNCTION("""COMPUTED_VALUE"""),"Kedai")</f>
        <v>Kedai</v>
      </c>
      <c r="S495" s="2" t="str">
        <f>IFERROR(__xludf.DUMMYFUNCTION("""COMPUTED_VALUE"""),"Temu Roti")</f>
        <v>Temu Roti</v>
      </c>
      <c r="T495" s="2" t="str">
        <f>IFERROR(__xludf.DUMMYFUNCTION("""COMPUTED_VALUE"""),"Owner")</f>
        <v>Owner</v>
      </c>
      <c r="U495" s="2"/>
      <c r="V495" s="2"/>
      <c r="W495" s="2"/>
      <c r="X495" s="2" t="str">
        <f>IFERROR(__xludf.DUMMYFUNCTION("""COMPUTED_VALUE"""),"Closed")</f>
        <v>Closed</v>
      </c>
    </row>
    <row r="496">
      <c r="A496" s="3" t="s">
        <v>512</v>
      </c>
      <c r="B496" s="4">
        <f>IFERROR(__xludf.DUMMYFUNCTION("SPLIT(A496,"","",0,0)"),45555.604166666664)</f>
        <v>45555.60417</v>
      </c>
      <c r="C496" s="5">
        <f>IFERROR(__xludf.DUMMYFUNCTION("""COMPUTED_VALUE"""),2735700.0)</f>
        <v>2735700</v>
      </c>
      <c r="D496" s="2" t="str">
        <f>IFERROR(__xludf.DUMMYFUNCTION("""COMPUTED_VALUE"""),"Sale")</f>
        <v>Sale</v>
      </c>
      <c r="E496" s="2" t="str">
        <f>IFERROR(__xludf.DUMMYFUNCTION("""COMPUTED_VALUE"""),"Minuman")</f>
        <v>Minuman</v>
      </c>
      <c r="F496" s="2">
        <f>IFERROR(__xludf.DUMMYFUNCTION("""COMPUTED_VALUE"""),10112.0)</f>
        <v>10112</v>
      </c>
      <c r="G496" s="2" t="str">
        <f>IFERROR(__xludf.DUMMYFUNCTION("""COMPUTED_VALUE"""),"Air mineral")</f>
        <v>Air mineral</v>
      </c>
      <c r="H496" s="2"/>
      <c r="I496" s="2"/>
      <c r="J496" s="2">
        <f>IFERROR(__xludf.DUMMYFUNCTION("""COMPUTED_VALUE"""),1.0)</f>
        <v>1</v>
      </c>
      <c r="K496" s="6">
        <f>IFERROR(__xludf.DUMMYFUNCTION("""COMPUTED_VALUE"""),6667.0)</f>
        <v>6667</v>
      </c>
      <c r="L496" s="2">
        <f>IFERROR(__xludf.DUMMYFUNCTION("""COMPUTED_VALUE"""),0.0)</f>
        <v>0</v>
      </c>
      <c r="M496" s="2">
        <f>IFERROR(__xludf.DUMMYFUNCTION("""COMPUTED_VALUE"""),6667.0)</f>
        <v>6667</v>
      </c>
      <c r="N496" s="2">
        <f>IFERROR(__xludf.DUMMYFUNCTION("""COMPUTED_VALUE"""),0.0)</f>
        <v>0</v>
      </c>
      <c r="O496" s="2">
        <f>IFERROR(__xludf.DUMMYFUNCTION("""COMPUTED_VALUE"""),6667.0)</f>
        <v>6667</v>
      </c>
      <c r="P496" s="2">
        <f>IFERROR(__xludf.DUMMYFUNCTION("""COMPUTED_VALUE"""),333.0)</f>
        <v>333</v>
      </c>
      <c r="Q496" s="2" t="str">
        <f>IFERROR(__xludf.DUMMYFUNCTION("""COMPUTED_VALUE"""),"Dine In")</f>
        <v>Dine In</v>
      </c>
      <c r="R496" s="2" t="str">
        <f>IFERROR(__xludf.DUMMYFUNCTION("""COMPUTED_VALUE"""),"Kedai")</f>
        <v>Kedai</v>
      </c>
      <c r="S496" s="2" t="str">
        <f>IFERROR(__xludf.DUMMYFUNCTION("""COMPUTED_VALUE"""),"Temu Roti")</f>
        <v>Temu Roti</v>
      </c>
      <c r="T496" s="2" t="str">
        <f>IFERROR(__xludf.DUMMYFUNCTION("""COMPUTED_VALUE"""),"Owner")</f>
        <v>Owner</v>
      </c>
      <c r="U496" s="2"/>
      <c r="V496" s="2"/>
      <c r="W496" s="2"/>
      <c r="X496" s="2" t="str">
        <f>IFERROR(__xludf.DUMMYFUNCTION("""COMPUTED_VALUE"""),"Closed")</f>
        <v>Closed</v>
      </c>
    </row>
    <row r="497">
      <c r="A497" s="3" t="s">
        <v>513</v>
      </c>
      <c r="B497" s="4">
        <f>IFERROR(__xludf.DUMMYFUNCTION("SPLIT(A497,"","",0,0)"),45555.600694444445)</f>
        <v>45555.60069</v>
      </c>
      <c r="C497" s="5">
        <f>IFERROR(__xludf.DUMMYFUNCTION("""COMPUTED_VALUE"""),2735335.0)</f>
        <v>2735335</v>
      </c>
      <c r="D497" s="2" t="str">
        <f>IFERROR(__xludf.DUMMYFUNCTION("""COMPUTED_VALUE"""),"Sale")</f>
        <v>Sale</v>
      </c>
      <c r="E497" s="2" t="str">
        <f>IFERROR(__xludf.DUMMYFUNCTION("""COMPUTED_VALUE"""),"Roti")</f>
        <v>Roti</v>
      </c>
      <c r="F497" s="2">
        <f>IFERROR(__xludf.DUMMYFUNCTION("""COMPUTED_VALUE"""),10007.0)</f>
        <v>10007</v>
      </c>
      <c r="G497" s="2" t="str">
        <f>IFERROR(__xludf.DUMMYFUNCTION("""COMPUTED_VALUE"""),"Roti cranberry 2 pcs")</f>
        <v>Roti cranberry 2 pcs</v>
      </c>
      <c r="H497" s="2"/>
      <c r="I497" s="2"/>
      <c r="J497" s="2">
        <f>IFERROR(__xludf.DUMMYFUNCTION("""COMPUTED_VALUE"""),1.0)</f>
        <v>1</v>
      </c>
      <c r="K497" s="6">
        <f>IFERROR(__xludf.DUMMYFUNCTION("""COMPUTED_VALUE"""),33810.0)</f>
        <v>33810</v>
      </c>
      <c r="L497" s="2">
        <f>IFERROR(__xludf.DUMMYFUNCTION("""COMPUTED_VALUE"""),0.0)</f>
        <v>0</v>
      </c>
      <c r="M497" s="2">
        <f>IFERROR(__xludf.DUMMYFUNCTION("""COMPUTED_VALUE"""),33810.0)</f>
        <v>33810</v>
      </c>
      <c r="N497" s="2">
        <f>IFERROR(__xludf.DUMMYFUNCTION("""COMPUTED_VALUE"""),0.0)</f>
        <v>0</v>
      </c>
      <c r="O497" s="2">
        <f>IFERROR(__xludf.DUMMYFUNCTION("""COMPUTED_VALUE"""),33810.0)</f>
        <v>33810</v>
      </c>
      <c r="P497" s="2">
        <f>IFERROR(__xludf.DUMMYFUNCTION("""COMPUTED_VALUE"""),1691.0)</f>
        <v>1691</v>
      </c>
      <c r="Q497" s="2" t="str">
        <f>IFERROR(__xludf.DUMMYFUNCTION("""COMPUTED_VALUE"""),"Dine In")</f>
        <v>Dine In</v>
      </c>
      <c r="R497" s="2" t="str">
        <f>IFERROR(__xludf.DUMMYFUNCTION("""COMPUTED_VALUE"""),"Kedai")</f>
        <v>Kedai</v>
      </c>
      <c r="S497" s="2" t="str">
        <f>IFERROR(__xludf.DUMMYFUNCTION("""COMPUTED_VALUE"""),"Temu Roti")</f>
        <v>Temu Roti</v>
      </c>
      <c r="T497" s="2" t="str">
        <f>IFERROR(__xludf.DUMMYFUNCTION("""COMPUTED_VALUE"""),"Owner")</f>
        <v>Owner</v>
      </c>
      <c r="U497" s="2"/>
      <c r="V497" s="2"/>
      <c r="W497" s="2"/>
      <c r="X497" s="2" t="str">
        <f>IFERROR(__xludf.DUMMYFUNCTION("""COMPUTED_VALUE"""),"Closed")</f>
        <v>Closed</v>
      </c>
    </row>
    <row r="498">
      <c r="A498" s="3" t="s">
        <v>514</v>
      </c>
      <c r="B498" s="4">
        <f>IFERROR(__xludf.DUMMYFUNCTION("SPLIT(A498,"","",0,0)"),45555.589583333334)</f>
        <v>45555.58958</v>
      </c>
      <c r="C498" s="5">
        <f>IFERROR(__xludf.DUMMYFUNCTION("""COMPUTED_VALUE"""),2734969.0)</f>
        <v>2734969</v>
      </c>
      <c r="D498" s="2" t="str">
        <f>IFERROR(__xludf.DUMMYFUNCTION("""COMPUTED_VALUE"""),"Sale")</f>
        <v>Sale</v>
      </c>
      <c r="E498" s="2" t="str">
        <f>IFERROR(__xludf.DUMMYFUNCTION("""COMPUTED_VALUE"""),"Hidangan Utama")</f>
        <v>Hidangan Utama</v>
      </c>
      <c r="F498" s="2">
        <f>IFERROR(__xludf.DUMMYFUNCTION("""COMPUTED_VALUE"""),10105.0)</f>
        <v>10105</v>
      </c>
      <c r="G498" s="2" t="str">
        <f>IFERROR(__xludf.DUMMYFUNCTION("""COMPUTED_VALUE"""),"Beef Claypot Rice")</f>
        <v>Beef Claypot Rice</v>
      </c>
      <c r="H498" s="2"/>
      <c r="I498" s="2"/>
      <c r="J498" s="2">
        <f>IFERROR(__xludf.DUMMYFUNCTION("""COMPUTED_VALUE"""),1.0)</f>
        <v>1</v>
      </c>
      <c r="K498" s="6">
        <f>IFERROR(__xludf.DUMMYFUNCTION("""COMPUTED_VALUE"""),38095.0)</f>
        <v>38095</v>
      </c>
      <c r="L498" s="2">
        <f>IFERROR(__xludf.DUMMYFUNCTION("""COMPUTED_VALUE"""),0.0)</f>
        <v>0</v>
      </c>
      <c r="M498" s="2">
        <f>IFERROR(__xludf.DUMMYFUNCTION("""COMPUTED_VALUE"""),38095.0)</f>
        <v>38095</v>
      </c>
      <c r="N498" s="2">
        <f>IFERROR(__xludf.DUMMYFUNCTION("""COMPUTED_VALUE"""),0.0)</f>
        <v>0</v>
      </c>
      <c r="O498" s="2">
        <f>IFERROR(__xludf.DUMMYFUNCTION("""COMPUTED_VALUE"""),38095.0)</f>
        <v>38095</v>
      </c>
      <c r="P498" s="2">
        <f>IFERROR(__xludf.DUMMYFUNCTION("""COMPUTED_VALUE"""),1905.0)</f>
        <v>1905</v>
      </c>
      <c r="Q498" s="2" t="str">
        <f>IFERROR(__xludf.DUMMYFUNCTION("""COMPUTED_VALUE"""),"Dine In")</f>
        <v>Dine In</v>
      </c>
      <c r="R498" s="2" t="str">
        <f>IFERROR(__xludf.DUMMYFUNCTION("""COMPUTED_VALUE"""),"Kedai")</f>
        <v>Kedai</v>
      </c>
      <c r="S498" s="2" t="str">
        <f>IFERROR(__xludf.DUMMYFUNCTION("""COMPUTED_VALUE"""),"Temu Roti")</f>
        <v>Temu Roti</v>
      </c>
      <c r="T498" s="2" t="str">
        <f>IFERROR(__xludf.DUMMYFUNCTION("""COMPUTED_VALUE"""),"Owner")</f>
        <v>Owner</v>
      </c>
      <c r="U498" s="2"/>
      <c r="V498" s="2"/>
      <c r="W498" s="2"/>
      <c r="X498" s="2" t="str">
        <f>IFERROR(__xludf.DUMMYFUNCTION("""COMPUTED_VALUE"""),"Closed")</f>
        <v>Closed</v>
      </c>
    </row>
    <row r="499">
      <c r="A499" s="3" t="s">
        <v>515</v>
      </c>
      <c r="B499" s="4">
        <f>IFERROR(__xludf.DUMMYFUNCTION("SPLIT(A499,"","",0,0)"),45555.589583333334)</f>
        <v>45555.58958</v>
      </c>
      <c r="C499" s="5">
        <f>IFERROR(__xludf.DUMMYFUNCTION("""COMPUTED_VALUE"""),2734969.0)</f>
        <v>2734969</v>
      </c>
      <c r="D499" s="2" t="str">
        <f>IFERROR(__xludf.DUMMYFUNCTION("""COMPUTED_VALUE"""),"Sale")</f>
        <v>Sale</v>
      </c>
      <c r="E499" s="2" t="str">
        <f>IFERROR(__xludf.DUMMYFUNCTION("""COMPUTED_VALUE"""),"Hidangan Utama")</f>
        <v>Hidangan Utama</v>
      </c>
      <c r="F499" s="2">
        <f>IFERROR(__xludf.DUMMYFUNCTION("""COMPUTED_VALUE"""),10003.0)</f>
        <v>10003</v>
      </c>
      <c r="G499" s="2" t="str">
        <f>IFERROR(__xludf.DUMMYFUNCTION("""COMPUTED_VALUE"""),"Nasi Goreng Temu")</f>
        <v>Nasi Goreng Temu</v>
      </c>
      <c r="H499" s="2"/>
      <c r="I499" s="2"/>
      <c r="J499" s="2">
        <f>IFERROR(__xludf.DUMMYFUNCTION("""COMPUTED_VALUE"""),1.0)</f>
        <v>1</v>
      </c>
      <c r="K499" s="6">
        <f>IFERROR(__xludf.DUMMYFUNCTION("""COMPUTED_VALUE"""),29524.0)</f>
        <v>29524</v>
      </c>
      <c r="L499" s="2">
        <f>IFERROR(__xludf.DUMMYFUNCTION("""COMPUTED_VALUE"""),0.0)</f>
        <v>0</v>
      </c>
      <c r="M499" s="2">
        <f>IFERROR(__xludf.DUMMYFUNCTION("""COMPUTED_VALUE"""),29524.0)</f>
        <v>29524</v>
      </c>
      <c r="N499" s="2">
        <f>IFERROR(__xludf.DUMMYFUNCTION("""COMPUTED_VALUE"""),0.0)</f>
        <v>0</v>
      </c>
      <c r="O499" s="2">
        <f>IFERROR(__xludf.DUMMYFUNCTION("""COMPUTED_VALUE"""),29524.0)</f>
        <v>29524</v>
      </c>
      <c r="P499" s="2">
        <f>IFERROR(__xludf.DUMMYFUNCTION("""COMPUTED_VALUE"""),1476.0)</f>
        <v>1476</v>
      </c>
      <c r="Q499" s="2" t="str">
        <f>IFERROR(__xludf.DUMMYFUNCTION("""COMPUTED_VALUE"""),"Dine In")</f>
        <v>Dine In</v>
      </c>
      <c r="R499" s="2" t="str">
        <f>IFERROR(__xludf.DUMMYFUNCTION("""COMPUTED_VALUE"""),"Kedai")</f>
        <v>Kedai</v>
      </c>
      <c r="S499" s="2" t="str">
        <f>IFERROR(__xludf.DUMMYFUNCTION("""COMPUTED_VALUE"""),"Temu Roti")</f>
        <v>Temu Roti</v>
      </c>
      <c r="T499" s="2" t="str">
        <f>IFERROR(__xludf.DUMMYFUNCTION("""COMPUTED_VALUE"""),"Owner")</f>
        <v>Owner</v>
      </c>
      <c r="U499" s="2"/>
      <c r="V499" s="2"/>
      <c r="W499" s="2"/>
      <c r="X499" s="2" t="str">
        <f>IFERROR(__xludf.DUMMYFUNCTION("""COMPUTED_VALUE"""),"Closed")</f>
        <v>Closed</v>
      </c>
    </row>
    <row r="500">
      <c r="A500" s="3" t="s">
        <v>516</v>
      </c>
      <c r="B500" s="4">
        <f>IFERROR(__xludf.DUMMYFUNCTION("SPLIT(A500,"","",0,0)"),45555.589583333334)</f>
        <v>45555.58958</v>
      </c>
      <c r="C500" s="5">
        <f>IFERROR(__xludf.DUMMYFUNCTION("""COMPUTED_VALUE"""),2734969.0)</f>
        <v>2734969</v>
      </c>
      <c r="D500" s="2" t="str">
        <f>IFERROR(__xludf.DUMMYFUNCTION("""COMPUTED_VALUE"""),"Sale")</f>
        <v>Sale</v>
      </c>
      <c r="E500" s="2" t="str">
        <f>IFERROR(__xludf.DUMMYFUNCTION("""COMPUTED_VALUE"""),"Minuman")</f>
        <v>Minuman</v>
      </c>
      <c r="F500" s="2">
        <f>IFERROR(__xludf.DUMMYFUNCTION("""COMPUTED_VALUE"""),10118.0)</f>
        <v>10118</v>
      </c>
      <c r="G500" s="2" t="str">
        <f>IFERROR(__xludf.DUMMYFUNCTION("""COMPUTED_VALUE"""),"Teh Tawar Panas")</f>
        <v>Teh Tawar Panas</v>
      </c>
      <c r="H500" s="2"/>
      <c r="I500" s="2"/>
      <c r="J500" s="2">
        <f>IFERROR(__xludf.DUMMYFUNCTION("""COMPUTED_VALUE"""),1.0)</f>
        <v>1</v>
      </c>
      <c r="K500" s="6">
        <f>IFERROR(__xludf.DUMMYFUNCTION("""COMPUTED_VALUE"""),7143.0)</f>
        <v>7143</v>
      </c>
      <c r="L500" s="2">
        <f>IFERROR(__xludf.DUMMYFUNCTION("""COMPUTED_VALUE"""),0.0)</f>
        <v>0</v>
      </c>
      <c r="M500" s="2">
        <f>IFERROR(__xludf.DUMMYFUNCTION("""COMPUTED_VALUE"""),7143.0)</f>
        <v>7143</v>
      </c>
      <c r="N500" s="2">
        <f>IFERROR(__xludf.DUMMYFUNCTION("""COMPUTED_VALUE"""),0.0)</f>
        <v>0</v>
      </c>
      <c r="O500" s="2">
        <f>IFERROR(__xludf.DUMMYFUNCTION("""COMPUTED_VALUE"""),7143.0)</f>
        <v>7143</v>
      </c>
      <c r="P500" s="2">
        <f>IFERROR(__xludf.DUMMYFUNCTION("""COMPUTED_VALUE"""),357.0)</f>
        <v>357</v>
      </c>
      <c r="Q500" s="2" t="str">
        <f>IFERROR(__xludf.DUMMYFUNCTION("""COMPUTED_VALUE"""),"Dine In")</f>
        <v>Dine In</v>
      </c>
      <c r="R500" s="2" t="str">
        <f>IFERROR(__xludf.DUMMYFUNCTION("""COMPUTED_VALUE"""),"Kedai")</f>
        <v>Kedai</v>
      </c>
      <c r="S500" s="2" t="str">
        <f>IFERROR(__xludf.DUMMYFUNCTION("""COMPUTED_VALUE"""),"Temu Roti")</f>
        <v>Temu Roti</v>
      </c>
      <c r="T500" s="2" t="str">
        <f>IFERROR(__xludf.DUMMYFUNCTION("""COMPUTED_VALUE"""),"Owner")</f>
        <v>Owner</v>
      </c>
      <c r="U500" s="2"/>
      <c r="V500" s="2"/>
      <c r="W500" s="2"/>
      <c r="X500" s="2" t="str">
        <f>IFERROR(__xludf.DUMMYFUNCTION("""COMPUTED_VALUE"""),"Closed")</f>
        <v>Closed</v>
      </c>
    </row>
    <row r="501">
      <c r="A501" s="3" t="s">
        <v>517</v>
      </c>
      <c r="B501" s="4">
        <f>IFERROR(__xludf.DUMMYFUNCTION("SPLIT(A501,"","",0,0)"),45555.589583333334)</f>
        <v>45555.58958</v>
      </c>
      <c r="C501" s="5">
        <f>IFERROR(__xludf.DUMMYFUNCTION("""COMPUTED_VALUE"""),2734969.0)</f>
        <v>2734969</v>
      </c>
      <c r="D501" s="2" t="str">
        <f>IFERROR(__xludf.DUMMYFUNCTION("""COMPUTED_VALUE"""),"Sale")</f>
        <v>Sale</v>
      </c>
      <c r="E501" s="2" t="str">
        <f>IFERROR(__xludf.DUMMYFUNCTION("""COMPUTED_VALUE"""),"Minuman")</f>
        <v>Minuman</v>
      </c>
      <c r="F501" s="2">
        <f>IFERROR(__xludf.DUMMYFUNCTION("""COMPUTED_VALUE"""),10121.0)</f>
        <v>10121</v>
      </c>
      <c r="G501" s="2" t="str">
        <f>IFERROR(__xludf.DUMMYFUNCTION("""COMPUTED_VALUE"""),"Lemon Tea Dingin")</f>
        <v>Lemon Tea Dingin</v>
      </c>
      <c r="H501" s="2"/>
      <c r="I501" s="2"/>
      <c r="J501" s="2">
        <f>IFERROR(__xludf.DUMMYFUNCTION("""COMPUTED_VALUE"""),1.0)</f>
        <v>1</v>
      </c>
      <c r="K501" s="6">
        <f>IFERROR(__xludf.DUMMYFUNCTION("""COMPUTED_VALUE"""),19524.0)</f>
        <v>19524</v>
      </c>
      <c r="L501" s="2">
        <f>IFERROR(__xludf.DUMMYFUNCTION("""COMPUTED_VALUE"""),0.0)</f>
        <v>0</v>
      </c>
      <c r="M501" s="2">
        <f>IFERROR(__xludf.DUMMYFUNCTION("""COMPUTED_VALUE"""),19524.0)</f>
        <v>19524</v>
      </c>
      <c r="N501" s="2">
        <f>IFERROR(__xludf.DUMMYFUNCTION("""COMPUTED_VALUE"""),0.0)</f>
        <v>0</v>
      </c>
      <c r="O501" s="2">
        <f>IFERROR(__xludf.DUMMYFUNCTION("""COMPUTED_VALUE"""),19524.0)</f>
        <v>19524</v>
      </c>
      <c r="P501" s="2">
        <f>IFERROR(__xludf.DUMMYFUNCTION("""COMPUTED_VALUE"""),976.0)</f>
        <v>976</v>
      </c>
      <c r="Q501" s="2" t="str">
        <f>IFERROR(__xludf.DUMMYFUNCTION("""COMPUTED_VALUE"""),"Dine In")</f>
        <v>Dine In</v>
      </c>
      <c r="R501" s="2" t="str">
        <f>IFERROR(__xludf.DUMMYFUNCTION("""COMPUTED_VALUE"""),"Kedai")</f>
        <v>Kedai</v>
      </c>
      <c r="S501" s="2" t="str">
        <f>IFERROR(__xludf.DUMMYFUNCTION("""COMPUTED_VALUE"""),"Temu Roti")</f>
        <v>Temu Roti</v>
      </c>
      <c r="T501" s="2" t="str">
        <f>IFERROR(__xludf.DUMMYFUNCTION("""COMPUTED_VALUE"""),"Owner")</f>
        <v>Owner</v>
      </c>
      <c r="U501" s="2"/>
      <c r="V501" s="2"/>
      <c r="W501" s="2"/>
      <c r="X501" s="2" t="str">
        <f>IFERROR(__xludf.DUMMYFUNCTION("""COMPUTED_VALUE"""),"Closed")</f>
        <v>Closed</v>
      </c>
    </row>
    <row r="502">
      <c r="A502" s="3" t="s">
        <v>518</v>
      </c>
      <c r="B502" s="4">
        <f>IFERROR(__xludf.DUMMYFUNCTION("SPLIT(A502,"","",0,0)"),45555.589583333334)</f>
        <v>45555.58958</v>
      </c>
      <c r="C502" s="5">
        <f>IFERROR(__xludf.DUMMYFUNCTION("""COMPUTED_VALUE"""),2734969.0)</f>
        <v>2734969</v>
      </c>
      <c r="D502" s="2" t="str">
        <f>IFERROR(__xludf.DUMMYFUNCTION("""COMPUTED_VALUE"""),"Sale")</f>
        <v>Sale</v>
      </c>
      <c r="E502" s="2" t="str">
        <f>IFERROR(__xludf.DUMMYFUNCTION("""COMPUTED_VALUE"""),"Kudapan")</f>
        <v>Kudapan</v>
      </c>
      <c r="F502" s="2">
        <f>IFERROR(__xludf.DUMMYFUNCTION("""COMPUTED_VALUE"""),10015.0)</f>
        <v>10015</v>
      </c>
      <c r="G502" s="2" t="str">
        <f>IFERROR(__xludf.DUMMYFUNCTION("""COMPUTED_VALUE"""),"Tahu Lada Garam")</f>
        <v>Tahu Lada Garam</v>
      </c>
      <c r="H502" s="2"/>
      <c r="I502" s="2"/>
      <c r="J502" s="2">
        <f>IFERROR(__xludf.DUMMYFUNCTION("""COMPUTED_VALUE"""),1.0)</f>
        <v>1</v>
      </c>
      <c r="K502" s="6">
        <f>IFERROR(__xludf.DUMMYFUNCTION("""COMPUTED_VALUE"""),25238.0)</f>
        <v>25238</v>
      </c>
      <c r="L502" s="2">
        <f>IFERROR(__xludf.DUMMYFUNCTION("""COMPUTED_VALUE"""),0.0)</f>
        <v>0</v>
      </c>
      <c r="M502" s="2">
        <f>IFERROR(__xludf.DUMMYFUNCTION("""COMPUTED_VALUE"""),25238.0)</f>
        <v>25238</v>
      </c>
      <c r="N502" s="2">
        <f>IFERROR(__xludf.DUMMYFUNCTION("""COMPUTED_VALUE"""),0.0)</f>
        <v>0</v>
      </c>
      <c r="O502" s="2">
        <f>IFERROR(__xludf.DUMMYFUNCTION("""COMPUTED_VALUE"""),25238.0)</f>
        <v>25238</v>
      </c>
      <c r="P502" s="2">
        <f>IFERROR(__xludf.DUMMYFUNCTION("""COMPUTED_VALUE"""),1262.0)</f>
        <v>1262</v>
      </c>
      <c r="Q502" s="2" t="str">
        <f>IFERROR(__xludf.DUMMYFUNCTION("""COMPUTED_VALUE"""),"Dine In")</f>
        <v>Dine In</v>
      </c>
      <c r="R502" s="2" t="str">
        <f>IFERROR(__xludf.DUMMYFUNCTION("""COMPUTED_VALUE"""),"Kedai")</f>
        <v>Kedai</v>
      </c>
      <c r="S502" s="2" t="str">
        <f>IFERROR(__xludf.DUMMYFUNCTION("""COMPUTED_VALUE"""),"Temu Roti")</f>
        <v>Temu Roti</v>
      </c>
      <c r="T502" s="2" t="str">
        <f>IFERROR(__xludf.DUMMYFUNCTION("""COMPUTED_VALUE"""),"Owner")</f>
        <v>Owner</v>
      </c>
      <c r="U502" s="2"/>
      <c r="V502" s="2"/>
      <c r="W502" s="2"/>
      <c r="X502" s="2" t="str">
        <f>IFERROR(__xludf.DUMMYFUNCTION("""COMPUTED_VALUE"""),"Closed")</f>
        <v>Closed</v>
      </c>
    </row>
    <row r="503">
      <c r="A503" s="3" t="s">
        <v>519</v>
      </c>
      <c r="B503" s="4">
        <f>IFERROR(__xludf.DUMMYFUNCTION("SPLIT(A503,"","",0,0)"),45555.58819444444)</f>
        <v>45555.58819</v>
      </c>
      <c r="C503" s="5">
        <f>IFERROR(__xludf.DUMMYFUNCTION("""COMPUTED_VALUE"""),2734604.0)</f>
        <v>2734604</v>
      </c>
      <c r="D503" s="2" t="str">
        <f>IFERROR(__xludf.DUMMYFUNCTION("""COMPUTED_VALUE"""),"Sale")</f>
        <v>Sale</v>
      </c>
      <c r="E503" s="2" t="str">
        <f>IFERROR(__xludf.DUMMYFUNCTION("""COMPUTED_VALUE"""),"Minuman")</f>
        <v>Minuman</v>
      </c>
      <c r="F503" s="2">
        <f>IFERROR(__xludf.DUMMYFUNCTION("""COMPUTED_VALUE"""),10128.0)</f>
        <v>10128</v>
      </c>
      <c r="G503" s="2" t="str">
        <f>IFERROR(__xludf.DUMMYFUNCTION("""COMPUTED_VALUE"""),"Es Kopi Susu")</f>
        <v>Es Kopi Susu</v>
      </c>
      <c r="H503" s="2"/>
      <c r="I503" s="2"/>
      <c r="J503" s="2">
        <f>IFERROR(__xludf.DUMMYFUNCTION("""COMPUTED_VALUE"""),1.0)</f>
        <v>1</v>
      </c>
      <c r="K503" s="6">
        <f>IFERROR(__xludf.DUMMYFUNCTION("""COMPUTED_VALUE"""),23333.0)</f>
        <v>23333</v>
      </c>
      <c r="L503" s="2">
        <f>IFERROR(__xludf.DUMMYFUNCTION("""COMPUTED_VALUE"""),0.0)</f>
        <v>0</v>
      </c>
      <c r="M503" s="2">
        <f>IFERROR(__xludf.DUMMYFUNCTION("""COMPUTED_VALUE"""),23333.0)</f>
        <v>23333</v>
      </c>
      <c r="N503" s="2">
        <f>IFERROR(__xludf.DUMMYFUNCTION("""COMPUTED_VALUE"""),0.0)</f>
        <v>0</v>
      </c>
      <c r="O503" s="2">
        <f>IFERROR(__xludf.DUMMYFUNCTION("""COMPUTED_VALUE"""),23333.0)</f>
        <v>23333</v>
      </c>
      <c r="P503" s="2">
        <f>IFERROR(__xludf.DUMMYFUNCTION("""COMPUTED_VALUE"""),1167.0)</f>
        <v>1167</v>
      </c>
      <c r="Q503" s="2" t="str">
        <f>IFERROR(__xludf.DUMMYFUNCTION("""COMPUTED_VALUE"""),"Dine In")</f>
        <v>Dine In</v>
      </c>
      <c r="R503" s="2" t="str">
        <f>IFERROR(__xludf.DUMMYFUNCTION("""COMPUTED_VALUE"""),"Kedai")</f>
        <v>Kedai</v>
      </c>
      <c r="S503" s="2" t="str">
        <f>IFERROR(__xludf.DUMMYFUNCTION("""COMPUTED_VALUE"""),"Temu Roti")</f>
        <v>Temu Roti</v>
      </c>
      <c r="T503" s="2" t="str">
        <f>IFERROR(__xludf.DUMMYFUNCTION("""COMPUTED_VALUE"""),"Owner")</f>
        <v>Owner</v>
      </c>
      <c r="U503" s="2"/>
      <c r="V503" s="2"/>
      <c r="W503" s="2"/>
      <c r="X503" s="2" t="str">
        <f>IFERROR(__xludf.DUMMYFUNCTION("""COMPUTED_VALUE"""),"Closed")</f>
        <v>Closed</v>
      </c>
    </row>
    <row r="504">
      <c r="A504" s="3" t="s">
        <v>520</v>
      </c>
      <c r="B504" s="4">
        <f>IFERROR(__xludf.DUMMYFUNCTION("SPLIT(A504,"","",0,0)"),45555.58819444444)</f>
        <v>45555.58819</v>
      </c>
      <c r="C504" s="5">
        <f>IFERROR(__xludf.DUMMYFUNCTION("""COMPUTED_VALUE"""),2734604.0)</f>
        <v>2734604</v>
      </c>
      <c r="D504" s="2" t="str">
        <f>IFERROR(__xludf.DUMMYFUNCTION("""COMPUTED_VALUE"""),"Sale")</f>
        <v>Sale</v>
      </c>
      <c r="E504" s="2" t="str">
        <f>IFERROR(__xludf.DUMMYFUNCTION("""COMPUTED_VALUE"""),"Kudapan")</f>
        <v>Kudapan</v>
      </c>
      <c r="F504" s="2">
        <f>IFERROR(__xludf.DUMMYFUNCTION("""COMPUTED_VALUE"""),10010.0)</f>
        <v>10010</v>
      </c>
      <c r="G504" s="2" t="str">
        <f>IFERROR(__xludf.DUMMYFUNCTION("""COMPUTED_VALUE"""),"Pisang Goreng")</f>
        <v>Pisang Goreng</v>
      </c>
      <c r="H504" s="2"/>
      <c r="I504" s="2"/>
      <c r="J504" s="2">
        <f>IFERROR(__xludf.DUMMYFUNCTION("""COMPUTED_VALUE"""),1.0)</f>
        <v>1</v>
      </c>
      <c r="K504" s="6">
        <f>IFERROR(__xludf.DUMMYFUNCTION("""COMPUTED_VALUE"""),25238.0)</f>
        <v>25238</v>
      </c>
      <c r="L504" s="2">
        <f>IFERROR(__xludf.DUMMYFUNCTION("""COMPUTED_VALUE"""),0.0)</f>
        <v>0</v>
      </c>
      <c r="M504" s="2">
        <f>IFERROR(__xludf.DUMMYFUNCTION("""COMPUTED_VALUE"""),25238.0)</f>
        <v>25238</v>
      </c>
      <c r="N504" s="2">
        <f>IFERROR(__xludf.DUMMYFUNCTION("""COMPUTED_VALUE"""),0.0)</f>
        <v>0</v>
      </c>
      <c r="O504" s="2">
        <f>IFERROR(__xludf.DUMMYFUNCTION("""COMPUTED_VALUE"""),25238.0)</f>
        <v>25238</v>
      </c>
      <c r="P504" s="2">
        <f>IFERROR(__xludf.DUMMYFUNCTION("""COMPUTED_VALUE"""),1262.0)</f>
        <v>1262</v>
      </c>
      <c r="Q504" s="2" t="str">
        <f>IFERROR(__xludf.DUMMYFUNCTION("""COMPUTED_VALUE"""),"Dine In")</f>
        <v>Dine In</v>
      </c>
      <c r="R504" s="2" t="str">
        <f>IFERROR(__xludf.DUMMYFUNCTION("""COMPUTED_VALUE"""),"Kedai")</f>
        <v>Kedai</v>
      </c>
      <c r="S504" s="2" t="str">
        <f>IFERROR(__xludf.DUMMYFUNCTION("""COMPUTED_VALUE"""),"Temu Roti")</f>
        <v>Temu Roti</v>
      </c>
      <c r="T504" s="2" t="str">
        <f>IFERROR(__xludf.DUMMYFUNCTION("""COMPUTED_VALUE"""),"Owner")</f>
        <v>Owner</v>
      </c>
      <c r="U504" s="2"/>
      <c r="V504" s="2"/>
      <c r="W504" s="2"/>
      <c r="X504" s="2" t="str">
        <f>IFERROR(__xludf.DUMMYFUNCTION("""COMPUTED_VALUE"""),"Closed")</f>
        <v>Closed</v>
      </c>
    </row>
    <row r="505">
      <c r="A505" s="3" t="s">
        <v>521</v>
      </c>
      <c r="B505" s="4">
        <f>IFERROR(__xludf.DUMMYFUNCTION("SPLIT(A505,"","",0,0)"),45555.53194444445)</f>
        <v>45555.53194</v>
      </c>
      <c r="C505" s="5">
        <f>IFERROR(__xludf.DUMMYFUNCTION("""COMPUTED_VALUE"""),2734239.0)</f>
        <v>2734239</v>
      </c>
      <c r="D505" s="2" t="str">
        <f>IFERROR(__xludf.DUMMYFUNCTION("""COMPUTED_VALUE"""),"Sale")</f>
        <v>Sale</v>
      </c>
      <c r="E505" s="2" t="str">
        <f>IFERROR(__xludf.DUMMYFUNCTION("""COMPUTED_VALUE"""),"Minuman")</f>
        <v>Minuman</v>
      </c>
      <c r="F505" s="2">
        <f>IFERROR(__xludf.DUMMYFUNCTION("""COMPUTED_VALUE"""),10128.0)</f>
        <v>10128</v>
      </c>
      <c r="G505" s="2" t="str">
        <f>IFERROR(__xludf.DUMMYFUNCTION("""COMPUTED_VALUE"""),"Es Kopi Susu")</f>
        <v>Es Kopi Susu</v>
      </c>
      <c r="H505" s="2"/>
      <c r="I505" s="2"/>
      <c r="J505" s="2">
        <f>IFERROR(__xludf.DUMMYFUNCTION("""COMPUTED_VALUE"""),1.0)</f>
        <v>1</v>
      </c>
      <c r="K505" s="6">
        <f>IFERROR(__xludf.DUMMYFUNCTION("""COMPUTED_VALUE"""),23333.0)</f>
        <v>23333</v>
      </c>
      <c r="L505" s="2">
        <f>IFERROR(__xludf.DUMMYFUNCTION("""COMPUTED_VALUE"""),0.0)</f>
        <v>0</v>
      </c>
      <c r="M505" s="2">
        <f>IFERROR(__xludf.DUMMYFUNCTION("""COMPUTED_VALUE"""),23333.0)</f>
        <v>23333</v>
      </c>
      <c r="N505" s="2">
        <f>IFERROR(__xludf.DUMMYFUNCTION("""COMPUTED_VALUE"""),0.0)</f>
        <v>0</v>
      </c>
      <c r="O505" s="2">
        <f>IFERROR(__xludf.DUMMYFUNCTION("""COMPUTED_VALUE"""),23333.0)</f>
        <v>23333</v>
      </c>
      <c r="P505" s="2">
        <f>IFERROR(__xludf.DUMMYFUNCTION("""COMPUTED_VALUE"""),1167.0)</f>
        <v>1167</v>
      </c>
      <c r="Q505" s="2" t="str">
        <f>IFERROR(__xludf.DUMMYFUNCTION("""COMPUTED_VALUE"""),"Dine In")</f>
        <v>Dine In</v>
      </c>
      <c r="R505" s="2" t="str">
        <f>IFERROR(__xludf.DUMMYFUNCTION("""COMPUTED_VALUE"""),"Kedai")</f>
        <v>Kedai</v>
      </c>
      <c r="S505" s="2" t="str">
        <f>IFERROR(__xludf.DUMMYFUNCTION("""COMPUTED_VALUE"""),"Temu Roti")</f>
        <v>Temu Roti</v>
      </c>
      <c r="T505" s="2" t="str">
        <f>IFERROR(__xludf.DUMMYFUNCTION("""COMPUTED_VALUE"""),"Owner")</f>
        <v>Owner</v>
      </c>
      <c r="U505" s="2"/>
      <c r="V505" s="2"/>
      <c r="W505" s="2"/>
      <c r="X505" s="2" t="str">
        <f>IFERROR(__xludf.DUMMYFUNCTION("""COMPUTED_VALUE"""),"Closed")</f>
        <v>Closed</v>
      </c>
    </row>
    <row r="506">
      <c r="A506" s="3" t="s">
        <v>522</v>
      </c>
      <c r="B506" s="4">
        <f>IFERROR(__xludf.DUMMYFUNCTION("SPLIT(A506,"","",0,0)"),45555.52569444444)</f>
        <v>45555.52569</v>
      </c>
      <c r="C506" s="5">
        <f>IFERROR(__xludf.DUMMYFUNCTION("""COMPUTED_VALUE"""),2733874.0)</f>
        <v>2733874</v>
      </c>
      <c r="D506" s="2" t="str">
        <f>IFERROR(__xludf.DUMMYFUNCTION("""COMPUTED_VALUE"""),"Sale")</f>
        <v>Sale</v>
      </c>
      <c r="E506" s="2" t="str">
        <f>IFERROR(__xludf.DUMMYFUNCTION("""COMPUTED_VALUE"""),"Roti")</f>
        <v>Roti</v>
      </c>
      <c r="F506" s="2">
        <f>IFERROR(__xludf.DUMMYFUNCTION("""COMPUTED_VALUE"""),10002.0)</f>
        <v>10002</v>
      </c>
      <c r="G506" s="2" t="str">
        <f>IFERROR(__xludf.DUMMYFUNCTION("""COMPUTED_VALUE"""),"Roti Cranberry")</f>
        <v>Roti Cranberry</v>
      </c>
      <c r="H506" s="2"/>
      <c r="I506" s="2"/>
      <c r="J506" s="2">
        <f>IFERROR(__xludf.DUMMYFUNCTION("""COMPUTED_VALUE"""),1.0)</f>
        <v>1</v>
      </c>
      <c r="K506" s="6">
        <f>IFERROR(__xludf.DUMMYFUNCTION("""COMPUTED_VALUE"""),18571.0)</f>
        <v>18571</v>
      </c>
      <c r="L506" s="2">
        <f>IFERROR(__xludf.DUMMYFUNCTION("""COMPUTED_VALUE"""),0.0)</f>
        <v>0</v>
      </c>
      <c r="M506" s="2">
        <f>IFERROR(__xludf.DUMMYFUNCTION("""COMPUTED_VALUE"""),18571.0)</f>
        <v>18571</v>
      </c>
      <c r="N506" s="2">
        <f>IFERROR(__xludf.DUMMYFUNCTION("""COMPUTED_VALUE"""),0.0)</f>
        <v>0</v>
      </c>
      <c r="O506" s="2">
        <f>IFERROR(__xludf.DUMMYFUNCTION("""COMPUTED_VALUE"""),18571.0)</f>
        <v>18571</v>
      </c>
      <c r="P506" s="2">
        <f>IFERROR(__xludf.DUMMYFUNCTION("""COMPUTED_VALUE"""),929.0)</f>
        <v>929</v>
      </c>
      <c r="Q506" s="2" t="str">
        <f>IFERROR(__xludf.DUMMYFUNCTION("""COMPUTED_VALUE"""),"Take Away")</f>
        <v>Take Away</v>
      </c>
      <c r="R506" s="2" t="str">
        <f>IFERROR(__xludf.DUMMYFUNCTION("""COMPUTED_VALUE"""),"Kedai")</f>
        <v>Kedai</v>
      </c>
      <c r="S506" s="2" t="str">
        <f>IFERROR(__xludf.DUMMYFUNCTION("""COMPUTED_VALUE"""),"Temu Roti")</f>
        <v>Temu Roti</v>
      </c>
      <c r="T506" s="2" t="str">
        <f>IFERROR(__xludf.DUMMYFUNCTION("""COMPUTED_VALUE"""),"Owner")</f>
        <v>Owner</v>
      </c>
      <c r="U506" s="2"/>
      <c r="V506" s="2"/>
      <c r="W506" s="2"/>
      <c r="X506" s="2" t="str">
        <f>IFERROR(__xludf.DUMMYFUNCTION("""COMPUTED_VALUE"""),"Closed")</f>
        <v>Closed</v>
      </c>
    </row>
    <row r="507">
      <c r="A507" s="3" t="s">
        <v>523</v>
      </c>
      <c r="B507" s="4">
        <f>IFERROR(__xludf.DUMMYFUNCTION("SPLIT(A507,"","",0,0)"),45555.52569444444)</f>
        <v>45555.52569</v>
      </c>
      <c r="C507" s="5">
        <f>IFERROR(__xludf.DUMMYFUNCTION("""COMPUTED_VALUE"""),2733874.0)</f>
        <v>2733874</v>
      </c>
      <c r="D507" s="2" t="str">
        <f>IFERROR(__xludf.DUMMYFUNCTION("""COMPUTED_VALUE"""),"Sale")</f>
        <v>Sale</v>
      </c>
      <c r="E507" s="2" t="str">
        <f>IFERROR(__xludf.DUMMYFUNCTION("""COMPUTED_VALUE"""),"Roti")</f>
        <v>Roti</v>
      </c>
      <c r="F507" s="2">
        <f>IFERROR(__xludf.DUMMYFUNCTION("""COMPUTED_VALUE"""),10005.0)</f>
        <v>10005</v>
      </c>
      <c r="G507" s="2" t="str">
        <f>IFERROR(__xludf.DUMMYFUNCTION("""COMPUTED_VALUE"""),"Roti Gandum Cokelat")</f>
        <v>Roti Gandum Cokelat</v>
      </c>
      <c r="H507" s="2"/>
      <c r="I507" s="2"/>
      <c r="J507" s="2">
        <f>IFERROR(__xludf.DUMMYFUNCTION("""COMPUTED_VALUE"""),1.0)</f>
        <v>1</v>
      </c>
      <c r="K507" s="6">
        <f>IFERROR(__xludf.DUMMYFUNCTION("""COMPUTED_VALUE"""),19524.0)</f>
        <v>19524</v>
      </c>
      <c r="L507" s="2">
        <f>IFERROR(__xludf.DUMMYFUNCTION("""COMPUTED_VALUE"""),0.0)</f>
        <v>0</v>
      </c>
      <c r="M507" s="2">
        <f>IFERROR(__xludf.DUMMYFUNCTION("""COMPUTED_VALUE"""),19524.0)</f>
        <v>19524</v>
      </c>
      <c r="N507" s="2">
        <f>IFERROR(__xludf.DUMMYFUNCTION("""COMPUTED_VALUE"""),0.0)</f>
        <v>0</v>
      </c>
      <c r="O507" s="2">
        <f>IFERROR(__xludf.DUMMYFUNCTION("""COMPUTED_VALUE"""),19524.0)</f>
        <v>19524</v>
      </c>
      <c r="P507" s="2">
        <f>IFERROR(__xludf.DUMMYFUNCTION("""COMPUTED_VALUE"""),976.0)</f>
        <v>976</v>
      </c>
      <c r="Q507" s="2" t="str">
        <f>IFERROR(__xludf.DUMMYFUNCTION("""COMPUTED_VALUE"""),"Take Away")</f>
        <v>Take Away</v>
      </c>
      <c r="R507" s="2" t="str">
        <f>IFERROR(__xludf.DUMMYFUNCTION("""COMPUTED_VALUE"""),"Kedai")</f>
        <v>Kedai</v>
      </c>
      <c r="S507" s="2" t="str">
        <f>IFERROR(__xludf.DUMMYFUNCTION("""COMPUTED_VALUE"""),"Temu Roti")</f>
        <v>Temu Roti</v>
      </c>
      <c r="T507" s="2" t="str">
        <f>IFERROR(__xludf.DUMMYFUNCTION("""COMPUTED_VALUE"""),"Owner")</f>
        <v>Owner</v>
      </c>
      <c r="U507" s="2"/>
      <c r="V507" s="2"/>
      <c r="W507" s="2"/>
      <c r="X507" s="2" t="str">
        <f>IFERROR(__xludf.DUMMYFUNCTION("""COMPUTED_VALUE"""),"Closed")</f>
        <v>Closed</v>
      </c>
    </row>
    <row r="508">
      <c r="A508" s="3" t="s">
        <v>524</v>
      </c>
      <c r="B508" s="4">
        <f>IFERROR(__xludf.DUMMYFUNCTION("SPLIT(A508,"","",0,0)"),45555.524305555555)</f>
        <v>45555.52431</v>
      </c>
      <c r="C508" s="5">
        <f>IFERROR(__xludf.DUMMYFUNCTION("""COMPUTED_VALUE"""),2733508.0)</f>
        <v>2733508</v>
      </c>
      <c r="D508" s="2" t="str">
        <f>IFERROR(__xludf.DUMMYFUNCTION("""COMPUTED_VALUE"""),"Sale")</f>
        <v>Sale</v>
      </c>
      <c r="E508" s="2" t="str">
        <f>IFERROR(__xludf.DUMMYFUNCTION("""COMPUTED_VALUE"""),"Kudapan")</f>
        <v>Kudapan</v>
      </c>
      <c r="F508" s="2">
        <f>IFERROR(__xludf.DUMMYFUNCTION("""COMPUTED_VALUE"""),10051.0)</f>
        <v>10051</v>
      </c>
      <c r="G508" s="2" t="str">
        <f>IFERROR(__xludf.DUMMYFUNCTION("""COMPUTED_VALUE"""),"Tahu baso")</f>
        <v>Tahu baso</v>
      </c>
      <c r="H508" s="2"/>
      <c r="I508" s="2"/>
      <c r="J508" s="2">
        <f>IFERROR(__xludf.DUMMYFUNCTION("""COMPUTED_VALUE"""),1.0)</f>
        <v>1</v>
      </c>
      <c r="K508" s="6">
        <f>IFERROR(__xludf.DUMMYFUNCTION("""COMPUTED_VALUE"""),25238.0)</f>
        <v>25238</v>
      </c>
      <c r="L508" s="2">
        <f>IFERROR(__xludf.DUMMYFUNCTION("""COMPUTED_VALUE"""),0.0)</f>
        <v>0</v>
      </c>
      <c r="M508" s="2">
        <f>IFERROR(__xludf.DUMMYFUNCTION("""COMPUTED_VALUE"""),25238.0)</f>
        <v>25238</v>
      </c>
      <c r="N508" s="2">
        <f>IFERROR(__xludf.DUMMYFUNCTION("""COMPUTED_VALUE"""),0.0)</f>
        <v>0</v>
      </c>
      <c r="O508" s="2">
        <f>IFERROR(__xludf.DUMMYFUNCTION("""COMPUTED_VALUE"""),25238.0)</f>
        <v>25238</v>
      </c>
      <c r="P508" s="2">
        <f>IFERROR(__xludf.DUMMYFUNCTION("""COMPUTED_VALUE"""),1262.0)</f>
        <v>1262</v>
      </c>
      <c r="Q508" s="2" t="str">
        <f>IFERROR(__xludf.DUMMYFUNCTION("""COMPUTED_VALUE"""),"Dine In")</f>
        <v>Dine In</v>
      </c>
      <c r="R508" s="2" t="str">
        <f>IFERROR(__xludf.DUMMYFUNCTION("""COMPUTED_VALUE"""),"Kedai")</f>
        <v>Kedai</v>
      </c>
      <c r="S508" s="2" t="str">
        <f>IFERROR(__xludf.DUMMYFUNCTION("""COMPUTED_VALUE"""),"Temu Roti")</f>
        <v>Temu Roti</v>
      </c>
      <c r="T508" s="2" t="str">
        <f>IFERROR(__xludf.DUMMYFUNCTION("""COMPUTED_VALUE"""),"Owner")</f>
        <v>Owner</v>
      </c>
      <c r="U508" s="2"/>
      <c r="V508" s="2"/>
      <c r="W508" s="2"/>
      <c r="X508" s="2" t="str">
        <f>IFERROR(__xludf.DUMMYFUNCTION("""COMPUTED_VALUE"""),"Closed")</f>
        <v>Closed</v>
      </c>
    </row>
    <row r="509">
      <c r="A509" s="3" t="s">
        <v>525</v>
      </c>
      <c r="B509" s="4">
        <f>IFERROR(__xludf.DUMMYFUNCTION("SPLIT(A509,"","",0,0)"),45555.524305555555)</f>
        <v>45555.52431</v>
      </c>
      <c r="C509" s="5">
        <f>IFERROR(__xludf.DUMMYFUNCTION("""COMPUTED_VALUE"""),2733508.0)</f>
        <v>2733508</v>
      </c>
      <c r="D509" s="2" t="str">
        <f>IFERROR(__xludf.DUMMYFUNCTION("""COMPUTED_VALUE"""),"Sale")</f>
        <v>Sale</v>
      </c>
      <c r="E509" s="2" t="str">
        <f>IFERROR(__xludf.DUMMYFUNCTION("""COMPUTED_VALUE"""),"Minuman")</f>
        <v>Minuman</v>
      </c>
      <c r="F509" s="2">
        <f>IFERROR(__xludf.DUMMYFUNCTION("""COMPUTED_VALUE"""),10122.0)</f>
        <v>10122</v>
      </c>
      <c r="G509" s="2" t="str">
        <f>IFERROR(__xludf.DUMMYFUNCTION("""COMPUTED_VALUE"""),"Rempah Madu Panas")</f>
        <v>Rempah Madu Panas</v>
      </c>
      <c r="H509" s="2"/>
      <c r="I509" s="2"/>
      <c r="J509" s="2">
        <f>IFERROR(__xludf.DUMMYFUNCTION("""COMPUTED_VALUE"""),1.0)</f>
        <v>1</v>
      </c>
      <c r="K509" s="6">
        <f>IFERROR(__xludf.DUMMYFUNCTION("""COMPUTED_VALUE"""),21905.0)</f>
        <v>21905</v>
      </c>
      <c r="L509" s="2">
        <f>IFERROR(__xludf.DUMMYFUNCTION("""COMPUTED_VALUE"""),0.0)</f>
        <v>0</v>
      </c>
      <c r="M509" s="2">
        <f>IFERROR(__xludf.DUMMYFUNCTION("""COMPUTED_VALUE"""),21905.0)</f>
        <v>21905</v>
      </c>
      <c r="N509" s="2">
        <f>IFERROR(__xludf.DUMMYFUNCTION("""COMPUTED_VALUE"""),0.0)</f>
        <v>0</v>
      </c>
      <c r="O509" s="2">
        <f>IFERROR(__xludf.DUMMYFUNCTION("""COMPUTED_VALUE"""),21905.0)</f>
        <v>21905</v>
      </c>
      <c r="P509" s="2">
        <f>IFERROR(__xludf.DUMMYFUNCTION("""COMPUTED_VALUE"""),1095.0)</f>
        <v>1095</v>
      </c>
      <c r="Q509" s="2" t="str">
        <f>IFERROR(__xludf.DUMMYFUNCTION("""COMPUTED_VALUE"""),"Dine In")</f>
        <v>Dine In</v>
      </c>
      <c r="R509" s="2" t="str">
        <f>IFERROR(__xludf.DUMMYFUNCTION("""COMPUTED_VALUE"""),"Kedai")</f>
        <v>Kedai</v>
      </c>
      <c r="S509" s="2" t="str">
        <f>IFERROR(__xludf.DUMMYFUNCTION("""COMPUTED_VALUE"""),"Temu Roti")</f>
        <v>Temu Roti</v>
      </c>
      <c r="T509" s="2" t="str">
        <f>IFERROR(__xludf.DUMMYFUNCTION("""COMPUTED_VALUE"""),"Owner")</f>
        <v>Owner</v>
      </c>
      <c r="U509" s="2"/>
      <c r="V509" s="2"/>
      <c r="W509" s="2"/>
      <c r="X509" s="2" t="str">
        <f>IFERROR(__xludf.DUMMYFUNCTION("""COMPUTED_VALUE"""),"Closed")</f>
        <v>Closed</v>
      </c>
    </row>
    <row r="510">
      <c r="A510" s="3" t="s">
        <v>526</v>
      </c>
      <c r="B510" s="4">
        <f>IFERROR(__xludf.DUMMYFUNCTION("SPLIT(A510,"","",0,0)"),45555.50763888889)</f>
        <v>45555.50764</v>
      </c>
      <c r="C510" s="5">
        <f>IFERROR(__xludf.DUMMYFUNCTION("""COMPUTED_VALUE"""),2733143.0)</f>
        <v>2733143</v>
      </c>
      <c r="D510" s="2" t="str">
        <f>IFERROR(__xludf.DUMMYFUNCTION("""COMPUTED_VALUE"""),"Sale")</f>
        <v>Sale</v>
      </c>
      <c r="E510" s="2" t="str">
        <f>IFERROR(__xludf.DUMMYFUNCTION("""COMPUTED_VALUE"""),"Hidangan Utama")</f>
        <v>Hidangan Utama</v>
      </c>
      <c r="F510" s="2">
        <f>IFERROR(__xludf.DUMMYFUNCTION("""COMPUTED_VALUE"""),10105.0)</f>
        <v>10105</v>
      </c>
      <c r="G510" s="2" t="str">
        <f>IFERROR(__xludf.DUMMYFUNCTION("""COMPUTED_VALUE"""),"Beef Claypot Rice")</f>
        <v>Beef Claypot Rice</v>
      </c>
      <c r="H510" s="2"/>
      <c r="I510" s="2"/>
      <c r="J510" s="2">
        <f>IFERROR(__xludf.DUMMYFUNCTION("""COMPUTED_VALUE"""),2.0)</f>
        <v>2</v>
      </c>
      <c r="K510" s="6">
        <f>IFERROR(__xludf.DUMMYFUNCTION("""COMPUTED_VALUE"""),76190.0)</f>
        <v>76190</v>
      </c>
      <c r="L510" s="2">
        <f>IFERROR(__xludf.DUMMYFUNCTION("""COMPUTED_VALUE"""),0.0)</f>
        <v>0</v>
      </c>
      <c r="M510" s="2">
        <f>IFERROR(__xludf.DUMMYFUNCTION("""COMPUTED_VALUE"""),76190.0)</f>
        <v>76190</v>
      </c>
      <c r="N510" s="2">
        <f>IFERROR(__xludf.DUMMYFUNCTION("""COMPUTED_VALUE"""),0.0)</f>
        <v>0</v>
      </c>
      <c r="O510" s="2">
        <f>IFERROR(__xludf.DUMMYFUNCTION("""COMPUTED_VALUE"""),76190.0)</f>
        <v>76190</v>
      </c>
      <c r="P510" s="2">
        <f>IFERROR(__xludf.DUMMYFUNCTION("""COMPUTED_VALUE"""),3810.0)</f>
        <v>3810</v>
      </c>
      <c r="Q510" s="2" t="str">
        <f>IFERROR(__xludf.DUMMYFUNCTION("""COMPUTED_VALUE"""),"Dine In")</f>
        <v>Dine In</v>
      </c>
      <c r="R510" s="2" t="str">
        <f>IFERROR(__xludf.DUMMYFUNCTION("""COMPUTED_VALUE"""),"Kedai")</f>
        <v>Kedai</v>
      </c>
      <c r="S510" s="2" t="str">
        <f>IFERROR(__xludf.DUMMYFUNCTION("""COMPUTED_VALUE"""),"Temu Roti")</f>
        <v>Temu Roti</v>
      </c>
      <c r="T510" s="2" t="str">
        <f>IFERROR(__xludf.DUMMYFUNCTION("""COMPUTED_VALUE"""),"Owner")</f>
        <v>Owner</v>
      </c>
      <c r="U510" s="2"/>
      <c r="V510" s="2"/>
      <c r="W510" s="2"/>
      <c r="X510" s="2" t="str">
        <f>IFERROR(__xludf.DUMMYFUNCTION("""COMPUTED_VALUE"""),"Closed")</f>
        <v>Closed</v>
      </c>
    </row>
    <row r="511">
      <c r="A511" s="3" t="s">
        <v>527</v>
      </c>
      <c r="B511" s="4">
        <f>IFERROR(__xludf.DUMMYFUNCTION("SPLIT(A511,"","",0,0)"),45555.50763888889)</f>
        <v>45555.50764</v>
      </c>
      <c r="C511" s="5">
        <f>IFERROR(__xludf.DUMMYFUNCTION("""COMPUTED_VALUE"""),2733143.0)</f>
        <v>2733143</v>
      </c>
      <c r="D511" s="2" t="str">
        <f>IFERROR(__xludf.DUMMYFUNCTION("""COMPUTED_VALUE"""),"Sale")</f>
        <v>Sale</v>
      </c>
      <c r="E511" s="2" t="str">
        <f>IFERROR(__xludf.DUMMYFUNCTION("""COMPUTED_VALUE"""),"Minuman")</f>
        <v>Minuman</v>
      </c>
      <c r="F511" s="2">
        <f>IFERROR(__xludf.DUMMYFUNCTION("""COMPUTED_VALUE"""),10125.0)</f>
        <v>10125</v>
      </c>
      <c r="G511" s="2" t="str">
        <f>IFERROR(__xludf.DUMMYFUNCTION("""COMPUTED_VALUE"""),"Gula Asam Dingin")</f>
        <v>Gula Asam Dingin</v>
      </c>
      <c r="H511" s="2"/>
      <c r="I511" s="2"/>
      <c r="J511" s="2">
        <f>IFERROR(__xludf.DUMMYFUNCTION("""COMPUTED_VALUE"""),1.0)</f>
        <v>1</v>
      </c>
      <c r="K511" s="6">
        <f>IFERROR(__xludf.DUMMYFUNCTION("""COMPUTED_VALUE"""),20476.0)</f>
        <v>20476</v>
      </c>
      <c r="L511" s="2">
        <f>IFERROR(__xludf.DUMMYFUNCTION("""COMPUTED_VALUE"""),0.0)</f>
        <v>0</v>
      </c>
      <c r="M511" s="2">
        <f>IFERROR(__xludf.DUMMYFUNCTION("""COMPUTED_VALUE"""),20476.0)</f>
        <v>20476</v>
      </c>
      <c r="N511" s="2">
        <f>IFERROR(__xludf.DUMMYFUNCTION("""COMPUTED_VALUE"""),0.0)</f>
        <v>0</v>
      </c>
      <c r="O511" s="2">
        <f>IFERROR(__xludf.DUMMYFUNCTION("""COMPUTED_VALUE"""),20476.0)</f>
        <v>20476</v>
      </c>
      <c r="P511" s="2">
        <f>IFERROR(__xludf.DUMMYFUNCTION("""COMPUTED_VALUE"""),1023.0)</f>
        <v>1023</v>
      </c>
      <c r="Q511" s="2" t="str">
        <f>IFERROR(__xludf.DUMMYFUNCTION("""COMPUTED_VALUE"""),"Dine In")</f>
        <v>Dine In</v>
      </c>
      <c r="R511" s="2" t="str">
        <f>IFERROR(__xludf.DUMMYFUNCTION("""COMPUTED_VALUE"""),"Kedai")</f>
        <v>Kedai</v>
      </c>
      <c r="S511" s="2" t="str">
        <f>IFERROR(__xludf.DUMMYFUNCTION("""COMPUTED_VALUE"""),"Temu Roti")</f>
        <v>Temu Roti</v>
      </c>
      <c r="T511" s="2" t="str">
        <f>IFERROR(__xludf.DUMMYFUNCTION("""COMPUTED_VALUE"""),"Owner")</f>
        <v>Owner</v>
      </c>
      <c r="U511" s="2"/>
      <c r="V511" s="2"/>
      <c r="W511" s="2"/>
      <c r="X511" s="2" t="str">
        <f>IFERROR(__xludf.DUMMYFUNCTION("""COMPUTED_VALUE"""),"Closed")</f>
        <v>Closed</v>
      </c>
    </row>
    <row r="512">
      <c r="A512" s="3" t="s">
        <v>528</v>
      </c>
      <c r="B512" s="4">
        <f>IFERROR(__xludf.DUMMYFUNCTION("SPLIT(A512,"","",0,0)"),45555.50763888889)</f>
        <v>45555.50764</v>
      </c>
      <c r="C512" s="5">
        <f>IFERROR(__xludf.DUMMYFUNCTION("""COMPUTED_VALUE"""),2733143.0)</f>
        <v>2733143</v>
      </c>
      <c r="D512" s="2" t="str">
        <f>IFERROR(__xludf.DUMMYFUNCTION("""COMPUTED_VALUE"""),"Sale")</f>
        <v>Sale</v>
      </c>
      <c r="E512" s="2" t="str">
        <f>IFERROR(__xludf.DUMMYFUNCTION("""COMPUTED_VALUE"""),"Minuman")</f>
        <v>Minuman</v>
      </c>
      <c r="F512" s="2">
        <f>IFERROR(__xludf.DUMMYFUNCTION("""COMPUTED_VALUE"""),10123.0)</f>
        <v>10123</v>
      </c>
      <c r="G512" s="2" t="str">
        <f>IFERROR(__xludf.DUMMYFUNCTION("""COMPUTED_VALUE"""),"Rempah Madu Dingin")</f>
        <v>Rempah Madu Dingin</v>
      </c>
      <c r="H512" s="2"/>
      <c r="I512" s="2"/>
      <c r="J512" s="2">
        <f>IFERROR(__xludf.DUMMYFUNCTION("""COMPUTED_VALUE"""),1.0)</f>
        <v>1</v>
      </c>
      <c r="K512" s="6">
        <f>IFERROR(__xludf.DUMMYFUNCTION("""COMPUTED_VALUE"""),21905.0)</f>
        <v>21905</v>
      </c>
      <c r="L512" s="2">
        <f>IFERROR(__xludf.DUMMYFUNCTION("""COMPUTED_VALUE"""),0.0)</f>
        <v>0</v>
      </c>
      <c r="M512" s="2">
        <f>IFERROR(__xludf.DUMMYFUNCTION("""COMPUTED_VALUE"""),21905.0)</f>
        <v>21905</v>
      </c>
      <c r="N512" s="2">
        <f>IFERROR(__xludf.DUMMYFUNCTION("""COMPUTED_VALUE"""),0.0)</f>
        <v>0</v>
      </c>
      <c r="O512" s="2">
        <f>IFERROR(__xludf.DUMMYFUNCTION("""COMPUTED_VALUE"""),21905.0)</f>
        <v>21905</v>
      </c>
      <c r="P512" s="2">
        <f>IFERROR(__xludf.DUMMYFUNCTION("""COMPUTED_VALUE"""),1096.0)</f>
        <v>1096</v>
      </c>
      <c r="Q512" s="2" t="str">
        <f>IFERROR(__xludf.DUMMYFUNCTION("""COMPUTED_VALUE"""),"Dine In")</f>
        <v>Dine In</v>
      </c>
      <c r="R512" s="2" t="str">
        <f>IFERROR(__xludf.DUMMYFUNCTION("""COMPUTED_VALUE"""),"Kedai")</f>
        <v>Kedai</v>
      </c>
      <c r="S512" s="2" t="str">
        <f>IFERROR(__xludf.DUMMYFUNCTION("""COMPUTED_VALUE"""),"Temu Roti")</f>
        <v>Temu Roti</v>
      </c>
      <c r="T512" s="2" t="str">
        <f>IFERROR(__xludf.DUMMYFUNCTION("""COMPUTED_VALUE"""),"Owner")</f>
        <v>Owner</v>
      </c>
      <c r="U512" s="2"/>
      <c r="V512" s="2"/>
      <c r="W512" s="2"/>
      <c r="X512" s="2" t="str">
        <f>IFERROR(__xludf.DUMMYFUNCTION("""COMPUTED_VALUE"""),"Closed")</f>
        <v>Closed</v>
      </c>
    </row>
    <row r="513">
      <c r="A513" s="3" t="s">
        <v>529</v>
      </c>
      <c r="B513" s="4">
        <f>IFERROR(__xludf.DUMMYFUNCTION("SPLIT(A513,"","",0,0)"),45555.42222222222)</f>
        <v>45555.42222</v>
      </c>
      <c r="C513" s="5">
        <f>IFERROR(__xludf.DUMMYFUNCTION("""COMPUTED_VALUE"""),2732778.0)</f>
        <v>2732778</v>
      </c>
      <c r="D513" s="2" t="str">
        <f>IFERROR(__xludf.DUMMYFUNCTION("""COMPUTED_VALUE"""),"Sale")</f>
        <v>Sale</v>
      </c>
      <c r="E513" s="2" t="str">
        <f>IFERROR(__xludf.DUMMYFUNCTION("""COMPUTED_VALUE"""),"Roti")</f>
        <v>Roti</v>
      </c>
      <c r="F513" s="2">
        <f>IFERROR(__xludf.DUMMYFUNCTION("""COMPUTED_VALUE"""),10054.0)</f>
        <v>10054</v>
      </c>
      <c r="G513" s="2" t="str">
        <f>IFERROR(__xludf.DUMMYFUNCTION("""COMPUTED_VALUE"""),"Roti toast eskrim")</f>
        <v>Roti toast eskrim</v>
      </c>
      <c r="H513" s="2"/>
      <c r="I513" s="2"/>
      <c r="J513" s="2">
        <f>IFERROR(__xludf.DUMMYFUNCTION("""COMPUTED_VALUE"""),1.0)</f>
        <v>1</v>
      </c>
      <c r="K513" s="6">
        <f>IFERROR(__xludf.DUMMYFUNCTION("""COMPUTED_VALUE"""),25238.0)</f>
        <v>25238</v>
      </c>
      <c r="L513" s="2">
        <f>IFERROR(__xludf.DUMMYFUNCTION("""COMPUTED_VALUE"""),0.0)</f>
        <v>0</v>
      </c>
      <c r="M513" s="2">
        <f>IFERROR(__xludf.DUMMYFUNCTION("""COMPUTED_VALUE"""),25238.0)</f>
        <v>25238</v>
      </c>
      <c r="N513" s="2">
        <f>IFERROR(__xludf.DUMMYFUNCTION("""COMPUTED_VALUE"""),0.0)</f>
        <v>0</v>
      </c>
      <c r="O513" s="2">
        <f>IFERROR(__xludf.DUMMYFUNCTION("""COMPUTED_VALUE"""),25238.0)</f>
        <v>25238</v>
      </c>
      <c r="P513" s="2">
        <f>IFERROR(__xludf.DUMMYFUNCTION("""COMPUTED_VALUE"""),1262.0)</f>
        <v>1262</v>
      </c>
      <c r="Q513" s="2" t="str">
        <f>IFERROR(__xludf.DUMMYFUNCTION("""COMPUTED_VALUE"""),"Dine In")</f>
        <v>Dine In</v>
      </c>
      <c r="R513" s="2" t="str">
        <f>IFERROR(__xludf.DUMMYFUNCTION("""COMPUTED_VALUE"""),"Kedai")</f>
        <v>Kedai</v>
      </c>
      <c r="S513" s="2" t="str">
        <f>IFERROR(__xludf.DUMMYFUNCTION("""COMPUTED_VALUE"""),"Temu Roti")</f>
        <v>Temu Roti</v>
      </c>
      <c r="T513" s="2" t="str">
        <f>IFERROR(__xludf.DUMMYFUNCTION("""COMPUTED_VALUE"""),"Owner")</f>
        <v>Owner</v>
      </c>
      <c r="U513" s="2"/>
      <c r="V513" s="2"/>
      <c r="W513" s="2"/>
      <c r="X513" s="2" t="str">
        <f>IFERROR(__xludf.DUMMYFUNCTION("""COMPUTED_VALUE"""),"Closed")</f>
        <v>Closed</v>
      </c>
    </row>
    <row r="514">
      <c r="A514" s="3" t="s">
        <v>530</v>
      </c>
      <c r="B514" s="4">
        <f>IFERROR(__xludf.DUMMYFUNCTION("SPLIT(A514,"","",0,0)"),45555.42222222222)</f>
        <v>45555.42222</v>
      </c>
      <c r="C514" s="5">
        <f>IFERROR(__xludf.DUMMYFUNCTION("""COMPUTED_VALUE"""),2732778.0)</f>
        <v>2732778</v>
      </c>
      <c r="D514" s="2" t="str">
        <f>IFERROR(__xludf.DUMMYFUNCTION("""COMPUTED_VALUE"""),"Sale")</f>
        <v>Sale</v>
      </c>
      <c r="E514" s="2" t="str">
        <f>IFERROR(__xludf.DUMMYFUNCTION("""COMPUTED_VALUE"""),"Roti")</f>
        <v>Roti</v>
      </c>
      <c r="F514" s="2">
        <f>IFERROR(__xludf.DUMMYFUNCTION("""COMPUTED_VALUE"""),10002.0)</f>
        <v>10002</v>
      </c>
      <c r="G514" s="2" t="str">
        <f>IFERROR(__xludf.DUMMYFUNCTION("""COMPUTED_VALUE"""),"Roti Cranberry")</f>
        <v>Roti Cranberry</v>
      </c>
      <c r="H514" s="2"/>
      <c r="I514" s="2"/>
      <c r="J514" s="2">
        <f>IFERROR(__xludf.DUMMYFUNCTION("""COMPUTED_VALUE"""),1.0)</f>
        <v>1</v>
      </c>
      <c r="K514" s="6">
        <f>IFERROR(__xludf.DUMMYFUNCTION("""COMPUTED_VALUE"""),18571.0)</f>
        <v>18571</v>
      </c>
      <c r="L514" s="2">
        <f>IFERROR(__xludf.DUMMYFUNCTION("""COMPUTED_VALUE"""),0.0)</f>
        <v>0</v>
      </c>
      <c r="M514" s="2">
        <f>IFERROR(__xludf.DUMMYFUNCTION("""COMPUTED_VALUE"""),18571.0)</f>
        <v>18571</v>
      </c>
      <c r="N514" s="2">
        <f>IFERROR(__xludf.DUMMYFUNCTION("""COMPUTED_VALUE"""),0.0)</f>
        <v>0</v>
      </c>
      <c r="O514" s="2">
        <f>IFERROR(__xludf.DUMMYFUNCTION("""COMPUTED_VALUE"""),18571.0)</f>
        <v>18571</v>
      </c>
      <c r="P514" s="2">
        <f>IFERROR(__xludf.DUMMYFUNCTION("""COMPUTED_VALUE"""),928.0)</f>
        <v>928</v>
      </c>
      <c r="Q514" s="2" t="str">
        <f>IFERROR(__xludf.DUMMYFUNCTION("""COMPUTED_VALUE"""),"Dine In")</f>
        <v>Dine In</v>
      </c>
      <c r="R514" s="2" t="str">
        <f>IFERROR(__xludf.DUMMYFUNCTION("""COMPUTED_VALUE"""),"Kedai")</f>
        <v>Kedai</v>
      </c>
      <c r="S514" s="2" t="str">
        <f>IFERROR(__xludf.DUMMYFUNCTION("""COMPUTED_VALUE"""),"Temu Roti")</f>
        <v>Temu Roti</v>
      </c>
      <c r="T514" s="2" t="str">
        <f>IFERROR(__xludf.DUMMYFUNCTION("""COMPUTED_VALUE"""),"Owner")</f>
        <v>Owner</v>
      </c>
      <c r="U514" s="2"/>
      <c r="V514" s="2"/>
      <c r="W514" s="2"/>
      <c r="X514" s="2" t="str">
        <f>IFERROR(__xludf.DUMMYFUNCTION("""COMPUTED_VALUE"""),"Closed")</f>
        <v>Closed</v>
      </c>
    </row>
    <row r="515">
      <c r="A515" s="3" t="s">
        <v>531</v>
      </c>
      <c r="B515" s="4">
        <f>IFERROR(__xludf.DUMMYFUNCTION("SPLIT(A515,"","",0,0)"),45555.42222222222)</f>
        <v>45555.42222</v>
      </c>
      <c r="C515" s="5">
        <f>IFERROR(__xludf.DUMMYFUNCTION("""COMPUTED_VALUE"""),2732778.0)</f>
        <v>2732778</v>
      </c>
      <c r="D515" s="2" t="str">
        <f>IFERROR(__xludf.DUMMYFUNCTION("""COMPUTED_VALUE"""),"Sale")</f>
        <v>Sale</v>
      </c>
      <c r="E515" s="2" t="str">
        <f>IFERROR(__xludf.DUMMYFUNCTION("""COMPUTED_VALUE"""),"Minuman")</f>
        <v>Minuman</v>
      </c>
      <c r="F515" s="2">
        <f>IFERROR(__xludf.DUMMYFUNCTION("""COMPUTED_VALUE"""),10128.0)</f>
        <v>10128</v>
      </c>
      <c r="G515" s="2" t="str">
        <f>IFERROR(__xludf.DUMMYFUNCTION("""COMPUTED_VALUE"""),"Es Kopi Susu")</f>
        <v>Es Kopi Susu</v>
      </c>
      <c r="H515" s="2"/>
      <c r="I515" s="2"/>
      <c r="J515" s="2">
        <f>IFERROR(__xludf.DUMMYFUNCTION("""COMPUTED_VALUE"""),1.0)</f>
        <v>1</v>
      </c>
      <c r="K515" s="6">
        <f>IFERROR(__xludf.DUMMYFUNCTION("""COMPUTED_VALUE"""),23333.0)</f>
        <v>23333</v>
      </c>
      <c r="L515" s="2">
        <f>IFERROR(__xludf.DUMMYFUNCTION("""COMPUTED_VALUE"""),0.0)</f>
        <v>0</v>
      </c>
      <c r="M515" s="2">
        <f>IFERROR(__xludf.DUMMYFUNCTION("""COMPUTED_VALUE"""),23333.0)</f>
        <v>23333</v>
      </c>
      <c r="N515" s="2">
        <f>IFERROR(__xludf.DUMMYFUNCTION("""COMPUTED_VALUE"""),0.0)</f>
        <v>0</v>
      </c>
      <c r="O515" s="2">
        <f>IFERROR(__xludf.DUMMYFUNCTION("""COMPUTED_VALUE"""),23333.0)</f>
        <v>23333</v>
      </c>
      <c r="P515" s="2">
        <f>IFERROR(__xludf.DUMMYFUNCTION("""COMPUTED_VALUE"""),1167.0)</f>
        <v>1167</v>
      </c>
      <c r="Q515" s="2" t="str">
        <f>IFERROR(__xludf.DUMMYFUNCTION("""COMPUTED_VALUE"""),"Dine In")</f>
        <v>Dine In</v>
      </c>
      <c r="R515" s="2" t="str">
        <f>IFERROR(__xludf.DUMMYFUNCTION("""COMPUTED_VALUE"""),"Kedai")</f>
        <v>Kedai</v>
      </c>
      <c r="S515" s="2" t="str">
        <f>IFERROR(__xludf.DUMMYFUNCTION("""COMPUTED_VALUE"""),"Temu Roti")</f>
        <v>Temu Roti</v>
      </c>
      <c r="T515" s="2" t="str">
        <f>IFERROR(__xludf.DUMMYFUNCTION("""COMPUTED_VALUE"""),"Owner")</f>
        <v>Owner</v>
      </c>
      <c r="U515" s="2"/>
      <c r="V515" s="2"/>
      <c r="W515" s="2"/>
      <c r="X515" s="2" t="str">
        <f>IFERROR(__xludf.DUMMYFUNCTION("""COMPUTED_VALUE"""),"Closed")</f>
        <v>Closed</v>
      </c>
    </row>
    <row r="516">
      <c r="A516" s="3" t="s">
        <v>532</v>
      </c>
      <c r="B516" s="4">
        <f>IFERROR(__xludf.DUMMYFUNCTION("SPLIT(A516,"","",0,0)"),45555.42222222222)</f>
        <v>45555.42222</v>
      </c>
      <c r="C516" s="5">
        <f>IFERROR(__xludf.DUMMYFUNCTION("""COMPUTED_VALUE"""),2732778.0)</f>
        <v>2732778</v>
      </c>
      <c r="D516" s="2" t="str">
        <f>IFERROR(__xludf.DUMMYFUNCTION("""COMPUTED_VALUE"""),"Sale")</f>
        <v>Sale</v>
      </c>
      <c r="E516" s="2" t="str">
        <f>IFERROR(__xludf.DUMMYFUNCTION("""COMPUTED_VALUE"""),"Minuman")</f>
        <v>Minuman</v>
      </c>
      <c r="F516" s="2">
        <f>IFERROR(__xludf.DUMMYFUNCTION("""COMPUTED_VALUE"""),10127.0)</f>
        <v>10127</v>
      </c>
      <c r="G516" s="2" t="str">
        <f>IFERROR(__xludf.DUMMYFUNCTION("""COMPUTED_VALUE"""),"Kopi Tubruk Panas")</f>
        <v>Kopi Tubruk Panas</v>
      </c>
      <c r="H516" s="2"/>
      <c r="I516" s="2"/>
      <c r="J516" s="2">
        <f>IFERROR(__xludf.DUMMYFUNCTION("""COMPUTED_VALUE"""),1.0)</f>
        <v>1</v>
      </c>
      <c r="K516" s="6">
        <f>IFERROR(__xludf.DUMMYFUNCTION("""COMPUTED_VALUE"""),18571.0)</f>
        <v>18571</v>
      </c>
      <c r="L516" s="2">
        <f>IFERROR(__xludf.DUMMYFUNCTION("""COMPUTED_VALUE"""),0.0)</f>
        <v>0</v>
      </c>
      <c r="M516" s="2">
        <f>IFERROR(__xludf.DUMMYFUNCTION("""COMPUTED_VALUE"""),18571.0)</f>
        <v>18571</v>
      </c>
      <c r="N516" s="2">
        <f>IFERROR(__xludf.DUMMYFUNCTION("""COMPUTED_VALUE"""),0.0)</f>
        <v>0</v>
      </c>
      <c r="O516" s="2">
        <f>IFERROR(__xludf.DUMMYFUNCTION("""COMPUTED_VALUE"""),18571.0)</f>
        <v>18571</v>
      </c>
      <c r="P516" s="2">
        <f>IFERROR(__xludf.DUMMYFUNCTION("""COMPUTED_VALUE"""),929.0)</f>
        <v>929</v>
      </c>
      <c r="Q516" s="2" t="str">
        <f>IFERROR(__xludf.DUMMYFUNCTION("""COMPUTED_VALUE"""),"Dine In")</f>
        <v>Dine In</v>
      </c>
      <c r="R516" s="2" t="str">
        <f>IFERROR(__xludf.DUMMYFUNCTION("""COMPUTED_VALUE"""),"Kedai")</f>
        <v>Kedai</v>
      </c>
      <c r="S516" s="2" t="str">
        <f>IFERROR(__xludf.DUMMYFUNCTION("""COMPUTED_VALUE"""),"Temu Roti")</f>
        <v>Temu Roti</v>
      </c>
      <c r="T516" s="2" t="str">
        <f>IFERROR(__xludf.DUMMYFUNCTION("""COMPUTED_VALUE"""),"Owner")</f>
        <v>Owner</v>
      </c>
      <c r="U516" s="2"/>
      <c r="V516" s="2"/>
      <c r="W516" s="2"/>
      <c r="X516" s="2" t="str">
        <f>IFERROR(__xludf.DUMMYFUNCTION("""COMPUTED_VALUE"""),"Closed")</f>
        <v>Closed</v>
      </c>
    </row>
    <row r="517">
      <c r="A517" s="3" t="s">
        <v>533</v>
      </c>
      <c r="B517" s="4">
        <f>IFERROR(__xludf.DUMMYFUNCTION("SPLIT(A517,"","",0,0)"),45555.41736111111)</f>
        <v>45555.41736</v>
      </c>
      <c r="C517" s="5">
        <f>IFERROR(__xludf.DUMMYFUNCTION("""COMPUTED_VALUE"""),2732413.0)</f>
        <v>2732413</v>
      </c>
      <c r="D517" s="2" t="str">
        <f>IFERROR(__xludf.DUMMYFUNCTION("""COMPUTED_VALUE"""),"Sale")</f>
        <v>Sale</v>
      </c>
      <c r="E517" s="2" t="str">
        <f>IFERROR(__xludf.DUMMYFUNCTION("""COMPUTED_VALUE"""),"Minuman")</f>
        <v>Minuman</v>
      </c>
      <c r="F517" s="2">
        <f>IFERROR(__xludf.DUMMYFUNCTION("""COMPUTED_VALUE"""),10117.0)</f>
        <v>10117</v>
      </c>
      <c r="G517" s="2" t="str">
        <f>IFERROR(__xludf.DUMMYFUNCTION("""COMPUTED_VALUE"""),"Teh Manis Dingin")</f>
        <v>Teh Manis Dingin</v>
      </c>
      <c r="H517" s="2"/>
      <c r="I517" s="2"/>
      <c r="J517" s="2">
        <f>IFERROR(__xludf.DUMMYFUNCTION("""COMPUTED_VALUE"""),1.0)</f>
        <v>1</v>
      </c>
      <c r="K517" s="6">
        <f>IFERROR(__xludf.DUMMYFUNCTION("""COMPUTED_VALUE"""),14286.0)</f>
        <v>14286</v>
      </c>
      <c r="L517" s="2">
        <f>IFERROR(__xludf.DUMMYFUNCTION("""COMPUTED_VALUE"""),0.0)</f>
        <v>0</v>
      </c>
      <c r="M517" s="2">
        <f>IFERROR(__xludf.DUMMYFUNCTION("""COMPUTED_VALUE"""),14286.0)</f>
        <v>14286</v>
      </c>
      <c r="N517" s="2">
        <f>IFERROR(__xludf.DUMMYFUNCTION("""COMPUTED_VALUE"""),0.0)</f>
        <v>0</v>
      </c>
      <c r="O517" s="2">
        <f>IFERROR(__xludf.DUMMYFUNCTION("""COMPUTED_VALUE"""),14286.0)</f>
        <v>14286</v>
      </c>
      <c r="P517" s="2">
        <f>IFERROR(__xludf.DUMMYFUNCTION("""COMPUTED_VALUE"""),714.0)</f>
        <v>714</v>
      </c>
      <c r="Q517" s="2" t="str">
        <f>IFERROR(__xludf.DUMMYFUNCTION("""COMPUTED_VALUE"""),"Dine In")</f>
        <v>Dine In</v>
      </c>
      <c r="R517" s="2" t="str">
        <f>IFERROR(__xludf.DUMMYFUNCTION("""COMPUTED_VALUE"""),"Kedai")</f>
        <v>Kedai</v>
      </c>
      <c r="S517" s="2" t="str">
        <f>IFERROR(__xludf.DUMMYFUNCTION("""COMPUTED_VALUE"""),"Temu Roti")</f>
        <v>Temu Roti</v>
      </c>
      <c r="T517" s="2" t="str">
        <f>IFERROR(__xludf.DUMMYFUNCTION("""COMPUTED_VALUE"""),"Owner")</f>
        <v>Owner</v>
      </c>
      <c r="U517" s="2"/>
      <c r="V517" s="2"/>
      <c r="W517" s="2"/>
      <c r="X517" s="2" t="str">
        <f>IFERROR(__xludf.DUMMYFUNCTION("""COMPUTED_VALUE"""),"Closed")</f>
        <v>Closed</v>
      </c>
    </row>
    <row r="518">
      <c r="A518" s="3" t="s">
        <v>534</v>
      </c>
      <c r="B518" s="4">
        <f>IFERROR(__xludf.DUMMYFUNCTION("SPLIT(A518,"","",0,0)"),45555.39722222222)</f>
        <v>45555.39722</v>
      </c>
      <c r="C518" s="5">
        <f>IFERROR(__xludf.DUMMYFUNCTION("""COMPUTED_VALUE"""),2732047.0)</f>
        <v>2732047</v>
      </c>
      <c r="D518" s="2" t="str">
        <f>IFERROR(__xludf.DUMMYFUNCTION("""COMPUTED_VALUE"""),"Sale")</f>
        <v>Sale</v>
      </c>
      <c r="E518" s="2" t="str">
        <f>IFERROR(__xludf.DUMMYFUNCTION("""COMPUTED_VALUE"""),"Roti")</f>
        <v>Roti</v>
      </c>
      <c r="F518" s="2">
        <f>IFERROR(__xludf.DUMMYFUNCTION("""COMPUTED_VALUE"""),10033.0)</f>
        <v>10033</v>
      </c>
      <c r="G518" s="2" t="str">
        <f>IFERROR(__xludf.DUMMYFUNCTION("""COMPUTED_VALUE"""),"Roti panggang sarikaya")</f>
        <v>Roti panggang sarikaya</v>
      </c>
      <c r="H518" s="2"/>
      <c r="I518" s="2"/>
      <c r="J518" s="2">
        <f>IFERROR(__xludf.DUMMYFUNCTION("""COMPUTED_VALUE"""),1.0)</f>
        <v>1</v>
      </c>
      <c r="K518" s="6">
        <f>IFERROR(__xludf.DUMMYFUNCTION("""COMPUTED_VALUE"""),21905.0)</f>
        <v>21905</v>
      </c>
      <c r="L518" s="2">
        <f>IFERROR(__xludf.DUMMYFUNCTION("""COMPUTED_VALUE"""),0.0)</f>
        <v>0</v>
      </c>
      <c r="M518" s="2">
        <f>IFERROR(__xludf.DUMMYFUNCTION("""COMPUTED_VALUE"""),21905.0)</f>
        <v>21905</v>
      </c>
      <c r="N518" s="2">
        <f>IFERROR(__xludf.DUMMYFUNCTION("""COMPUTED_VALUE"""),0.0)</f>
        <v>0</v>
      </c>
      <c r="O518" s="2">
        <f>IFERROR(__xludf.DUMMYFUNCTION("""COMPUTED_VALUE"""),21905.0)</f>
        <v>21905</v>
      </c>
      <c r="P518" s="2">
        <f>IFERROR(__xludf.DUMMYFUNCTION("""COMPUTED_VALUE"""),1095.0)</f>
        <v>1095</v>
      </c>
      <c r="Q518" s="2" t="str">
        <f>IFERROR(__xludf.DUMMYFUNCTION("""COMPUTED_VALUE"""),"Dine In")</f>
        <v>Dine In</v>
      </c>
      <c r="R518" s="2" t="str">
        <f>IFERROR(__xludf.DUMMYFUNCTION("""COMPUTED_VALUE"""),"Kedai")</f>
        <v>Kedai</v>
      </c>
      <c r="S518" s="2" t="str">
        <f>IFERROR(__xludf.DUMMYFUNCTION("""COMPUTED_VALUE"""),"Temu Roti")</f>
        <v>Temu Roti</v>
      </c>
      <c r="T518" s="2" t="str">
        <f>IFERROR(__xludf.DUMMYFUNCTION("""COMPUTED_VALUE"""),"Owner")</f>
        <v>Owner</v>
      </c>
      <c r="U518" s="2"/>
      <c r="V518" s="2"/>
      <c r="W518" s="2"/>
      <c r="X518" s="2" t="str">
        <f>IFERROR(__xludf.DUMMYFUNCTION("""COMPUTED_VALUE"""),"Closed")</f>
        <v>Closed</v>
      </c>
    </row>
    <row r="519">
      <c r="A519" s="3" t="s">
        <v>535</v>
      </c>
      <c r="B519" s="4">
        <f>IFERROR(__xludf.DUMMYFUNCTION("SPLIT(A519,"","",0,0)"),45555.39722222222)</f>
        <v>45555.39722</v>
      </c>
      <c r="C519" s="5">
        <f>IFERROR(__xludf.DUMMYFUNCTION("""COMPUTED_VALUE"""),2732047.0)</f>
        <v>2732047</v>
      </c>
      <c r="D519" s="2" t="str">
        <f>IFERROR(__xludf.DUMMYFUNCTION("""COMPUTED_VALUE"""),"Sale")</f>
        <v>Sale</v>
      </c>
      <c r="E519" s="2" t="str">
        <f>IFERROR(__xludf.DUMMYFUNCTION("""COMPUTED_VALUE"""),"Minuman")</f>
        <v>Minuman</v>
      </c>
      <c r="F519" s="2">
        <f>IFERROR(__xludf.DUMMYFUNCTION("""COMPUTED_VALUE"""),10130.0)</f>
        <v>10130</v>
      </c>
      <c r="G519" s="2" t="str">
        <f>IFERROR(__xludf.DUMMYFUNCTION("""COMPUTED_VALUE"""),"Kopi Susu Panas")</f>
        <v>Kopi Susu Panas</v>
      </c>
      <c r="H519" s="2"/>
      <c r="I519" s="2"/>
      <c r="J519" s="2">
        <f>IFERROR(__xludf.DUMMYFUNCTION("""COMPUTED_VALUE"""),1.0)</f>
        <v>1</v>
      </c>
      <c r="K519" s="6">
        <f>IFERROR(__xludf.DUMMYFUNCTION("""COMPUTED_VALUE"""),23333.0)</f>
        <v>23333</v>
      </c>
      <c r="L519" s="2">
        <f>IFERROR(__xludf.DUMMYFUNCTION("""COMPUTED_VALUE"""),0.0)</f>
        <v>0</v>
      </c>
      <c r="M519" s="2">
        <f>IFERROR(__xludf.DUMMYFUNCTION("""COMPUTED_VALUE"""),23333.0)</f>
        <v>23333</v>
      </c>
      <c r="N519" s="2">
        <f>IFERROR(__xludf.DUMMYFUNCTION("""COMPUTED_VALUE"""),0.0)</f>
        <v>0</v>
      </c>
      <c r="O519" s="2">
        <f>IFERROR(__xludf.DUMMYFUNCTION("""COMPUTED_VALUE"""),23333.0)</f>
        <v>23333</v>
      </c>
      <c r="P519" s="2">
        <f>IFERROR(__xludf.DUMMYFUNCTION("""COMPUTED_VALUE"""),1167.0)</f>
        <v>1167</v>
      </c>
      <c r="Q519" s="2" t="str">
        <f>IFERROR(__xludf.DUMMYFUNCTION("""COMPUTED_VALUE"""),"Dine In")</f>
        <v>Dine In</v>
      </c>
      <c r="R519" s="2" t="str">
        <f>IFERROR(__xludf.DUMMYFUNCTION("""COMPUTED_VALUE"""),"Kedai")</f>
        <v>Kedai</v>
      </c>
      <c r="S519" s="2" t="str">
        <f>IFERROR(__xludf.DUMMYFUNCTION("""COMPUTED_VALUE"""),"Temu Roti")</f>
        <v>Temu Roti</v>
      </c>
      <c r="T519" s="2" t="str">
        <f>IFERROR(__xludf.DUMMYFUNCTION("""COMPUTED_VALUE"""),"Owner")</f>
        <v>Owner</v>
      </c>
      <c r="U519" s="2"/>
      <c r="V519" s="2"/>
      <c r="W519" s="2"/>
      <c r="X519" s="2" t="str">
        <f>IFERROR(__xludf.DUMMYFUNCTION("""COMPUTED_VALUE"""),"Closed")</f>
        <v>Closed</v>
      </c>
    </row>
    <row r="520">
      <c r="A520" s="3" t="s">
        <v>536</v>
      </c>
      <c r="B520" s="4">
        <f>IFERROR(__xludf.DUMMYFUNCTION("SPLIT(A520,"","",0,0)"),45554.87708333333)</f>
        <v>45554.87708</v>
      </c>
      <c r="C520" s="5">
        <f>IFERROR(__xludf.DUMMYFUNCTION("""COMPUTED_VALUE"""),2731682.0)</f>
        <v>2731682</v>
      </c>
      <c r="D520" s="2" t="str">
        <f>IFERROR(__xludf.DUMMYFUNCTION("""COMPUTED_VALUE"""),"Sale")</f>
        <v>Sale</v>
      </c>
      <c r="E520" s="2" t="str">
        <f>IFERROR(__xludf.DUMMYFUNCTION("""COMPUTED_VALUE"""),"Roti")</f>
        <v>Roti</v>
      </c>
      <c r="F520" s="2">
        <f>IFERROR(__xludf.DUMMYFUNCTION("""COMPUTED_VALUE"""),10055.0)</f>
        <v>10055</v>
      </c>
      <c r="G520" s="2" t="str">
        <f>IFERROR(__xludf.DUMMYFUNCTION("""COMPUTED_VALUE"""),"Roti Gandum Cokelat 2 pcs")</f>
        <v>Roti Gandum Cokelat 2 pcs</v>
      </c>
      <c r="H520" s="2"/>
      <c r="I520" s="2"/>
      <c r="J520" s="2">
        <f>IFERROR(__xludf.DUMMYFUNCTION("""COMPUTED_VALUE"""),1.0)</f>
        <v>1</v>
      </c>
      <c r="K520" s="6">
        <f>IFERROR(__xludf.DUMMYFUNCTION("""COMPUTED_VALUE"""),34762.0)</f>
        <v>34762</v>
      </c>
      <c r="L520" s="2">
        <f>IFERROR(__xludf.DUMMYFUNCTION("""COMPUTED_VALUE"""),0.0)</f>
        <v>0</v>
      </c>
      <c r="M520" s="2">
        <f>IFERROR(__xludf.DUMMYFUNCTION("""COMPUTED_VALUE"""),34762.0)</f>
        <v>34762</v>
      </c>
      <c r="N520" s="2">
        <f>IFERROR(__xludf.DUMMYFUNCTION("""COMPUTED_VALUE"""),0.0)</f>
        <v>0</v>
      </c>
      <c r="O520" s="2">
        <f>IFERROR(__xludf.DUMMYFUNCTION("""COMPUTED_VALUE"""),34762.0)</f>
        <v>34762</v>
      </c>
      <c r="P520" s="2">
        <f>IFERROR(__xludf.DUMMYFUNCTION("""COMPUTED_VALUE"""),1738.0)</f>
        <v>1738</v>
      </c>
      <c r="Q520" s="2" t="str">
        <f>IFERROR(__xludf.DUMMYFUNCTION("""COMPUTED_VALUE"""),"Dine In")</f>
        <v>Dine In</v>
      </c>
      <c r="R520" s="2" t="str">
        <f>IFERROR(__xludf.DUMMYFUNCTION("""COMPUTED_VALUE"""),"Kedai")</f>
        <v>Kedai</v>
      </c>
      <c r="S520" s="2" t="str">
        <f>IFERROR(__xludf.DUMMYFUNCTION("""COMPUTED_VALUE"""),"Temu Roti")</f>
        <v>Temu Roti</v>
      </c>
      <c r="T520" s="2" t="str">
        <f>IFERROR(__xludf.DUMMYFUNCTION("""COMPUTED_VALUE"""),"Owner")</f>
        <v>Owner</v>
      </c>
      <c r="U520" s="2"/>
      <c r="V520" s="2"/>
      <c r="W520" s="2"/>
      <c r="X520" s="2" t="str">
        <f>IFERROR(__xludf.DUMMYFUNCTION("""COMPUTED_VALUE"""),"Closed")</f>
        <v>Closed</v>
      </c>
    </row>
    <row r="521">
      <c r="A521" s="3" t="s">
        <v>537</v>
      </c>
      <c r="B521" s="4">
        <f>IFERROR(__xludf.DUMMYFUNCTION("SPLIT(A521,"","",0,0)"),45554.87708333333)</f>
        <v>45554.87708</v>
      </c>
      <c r="C521" s="5">
        <f>IFERROR(__xludf.DUMMYFUNCTION("""COMPUTED_VALUE"""),2731682.0)</f>
        <v>2731682</v>
      </c>
      <c r="D521" s="2" t="str">
        <f>IFERROR(__xludf.DUMMYFUNCTION("""COMPUTED_VALUE"""),"Sale")</f>
        <v>Sale</v>
      </c>
      <c r="E521" s="2" t="str">
        <f>IFERROR(__xludf.DUMMYFUNCTION("""COMPUTED_VALUE"""),"Roti")</f>
        <v>Roti</v>
      </c>
      <c r="F521" s="2">
        <f>IFERROR(__xludf.DUMMYFUNCTION("""COMPUTED_VALUE"""),10000.0)</f>
        <v>10000</v>
      </c>
      <c r="G521" s="2" t="str">
        <f>IFERROR(__xludf.DUMMYFUNCTION("""COMPUTED_VALUE"""),"Roti Bawang Saus Keju")</f>
        <v>Roti Bawang Saus Keju</v>
      </c>
      <c r="H521" s="2"/>
      <c r="I521" s="2"/>
      <c r="J521" s="2">
        <f>IFERROR(__xludf.DUMMYFUNCTION("""COMPUTED_VALUE"""),1.0)</f>
        <v>1</v>
      </c>
      <c r="K521" s="6">
        <f>IFERROR(__xludf.DUMMYFUNCTION("""COMPUTED_VALUE"""),29524.0)</f>
        <v>29524</v>
      </c>
      <c r="L521" s="2">
        <f>IFERROR(__xludf.DUMMYFUNCTION("""COMPUTED_VALUE"""),0.0)</f>
        <v>0</v>
      </c>
      <c r="M521" s="2">
        <f>IFERROR(__xludf.DUMMYFUNCTION("""COMPUTED_VALUE"""),29524.0)</f>
        <v>29524</v>
      </c>
      <c r="N521" s="2">
        <f>IFERROR(__xludf.DUMMYFUNCTION("""COMPUTED_VALUE"""),0.0)</f>
        <v>0</v>
      </c>
      <c r="O521" s="2">
        <f>IFERROR(__xludf.DUMMYFUNCTION("""COMPUTED_VALUE"""),29524.0)</f>
        <v>29524</v>
      </c>
      <c r="P521" s="2">
        <f>IFERROR(__xludf.DUMMYFUNCTION("""COMPUTED_VALUE"""),1476.0)</f>
        <v>1476</v>
      </c>
      <c r="Q521" s="2" t="str">
        <f>IFERROR(__xludf.DUMMYFUNCTION("""COMPUTED_VALUE"""),"Dine In")</f>
        <v>Dine In</v>
      </c>
      <c r="R521" s="2" t="str">
        <f>IFERROR(__xludf.DUMMYFUNCTION("""COMPUTED_VALUE"""),"Kedai")</f>
        <v>Kedai</v>
      </c>
      <c r="S521" s="2" t="str">
        <f>IFERROR(__xludf.DUMMYFUNCTION("""COMPUTED_VALUE"""),"Temu Roti")</f>
        <v>Temu Roti</v>
      </c>
      <c r="T521" s="2" t="str">
        <f>IFERROR(__xludf.DUMMYFUNCTION("""COMPUTED_VALUE"""),"Owner")</f>
        <v>Owner</v>
      </c>
      <c r="U521" s="2"/>
      <c r="V521" s="2"/>
      <c r="W521" s="2"/>
      <c r="X521" s="2" t="str">
        <f>IFERROR(__xludf.DUMMYFUNCTION("""COMPUTED_VALUE"""),"Closed")</f>
        <v>Closed</v>
      </c>
    </row>
    <row r="522">
      <c r="A522" s="3" t="s">
        <v>538</v>
      </c>
      <c r="B522" s="4">
        <f>IFERROR(__xludf.DUMMYFUNCTION("SPLIT(A522,"","",0,0)"),45554.87708333333)</f>
        <v>45554.87708</v>
      </c>
      <c r="C522" s="5">
        <f>IFERROR(__xludf.DUMMYFUNCTION("""COMPUTED_VALUE"""),2731682.0)</f>
        <v>2731682</v>
      </c>
      <c r="D522" s="2" t="str">
        <f>IFERROR(__xludf.DUMMYFUNCTION("""COMPUTED_VALUE"""),"Sale")</f>
        <v>Sale</v>
      </c>
      <c r="E522" s="2" t="str">
        <f>IFERROR(__xludf.DUMMYFUNCTION("""COMPUTED_VALUE"""),"Minuman")</f>
        <v>Minuman</v>
      </c>
      <c r="F522" s="2">
        <f>IFERROR(__xludf.DUMMYFUNCTION("""COMPUTED_VALUE"""),10057.0)</f>
        <v>10057</v>
      </c>
      <c r="G522" s="2" t="str">
        <f>IFERROR(__xludf.DUMMYFUNCTION("""COMPUTED_VALUE"""),"Susu murni strawberry")</f>
        <v>Susu murni strawberry</v>
      </c>
      <c r="H522" s="2"/>
      <c r="I522" s="2"/>
      <c r="J522" s="2">
        <f>IFERROR(__xludf.DUMMYFUNCTION("""COMPUTED_VALUE"""),2.0)</f>
        <v>2</v>
      </c>
      <c r="K522" s="6">
        <f>IFERROR(__xludf.DUMMYFUNCTION("""COMPUTED_VALUE"""),39048.0)</f>
        <v>39048</v>
      </c>
      <c r="L522" s="2">
        <f>IFERROR(__xludf.DUMMYFUNCTION("""COMPUTED_VALUE"""),0.0)</f>
        <v>0</v>
      </c>
      <c r="M522" s="2">
        <f>IFERROR(__xludf.DUMMYFUNCTION("""COMPUTED_VALUE"""),39048.0)</f>
        <v>39048</v>
      </c>
      <c r="N522" s="2">
        <f>IFERROR(__xludf.DUMMYFUNCTION("""COMPUTED_VALUE"""),0.0)</f>
        <v>0</v>
      </c>
      <c r="O522" s="2">
        <f>IFERROR(__xludf.DUMMYFUNCTION("""COMPUTED_VALUE"""),39048.0)</f>
        <v>39048</v>
      </c>
      <c r="P522" s="2">
        <f>IFERROR(__xludf.DUMMYFUNCTION("""COMPUTED_VALUE"""),1953.0)</f>
        <v>1953</v>
      </c>
      <c r="Q522" s="2" t="str">
        <f>IFERROR(__xludf.DUMMYFUNCTION("""COMPUTED_VALUE"""),"Dine In")</f>
        <v>Dine In</v>
      </c>
      <c r="R522" s="2" t="str">
        <f>IFERROR(__xludf.DUMMYFUNCTION("""COMPUTED_VALUE"""),"Kedai")</f>
        <v>Kedai</v>
      </c>
      <c r="S522" s="2" t="str">
        <f>IFERROR(__xludf.DUMMYFUNCTION("""COMPUTED_VALUE"""),"Temu Roti")</f>
        <v>Temu Roti</v>
      </c>
      <c r="T522" s="2" t="str">
        <f>IFERROR(__xludf.DUMMYFUNCTION("""COMPUTED_VALUE"""),"Owner")</f>
        <v>Owner</v>
      </c>
      <c r="U522" s="2"/>
      <c r="V522" s="2"/>
      <c r="W522" s="2"/>
      <c r="X522" s="2" t="str">
        <f>IFERROR(__xludf.DUMMYFUNCTION("""COMPUTED_VALUE"""),"Closed")</f>
        <v>Closed</v>
      </c>
    </row>
    <row r="523">
      <c r="A523" s="3" t="s">
        <v>539</v>
      </c>
      <c r="B523" s="4">
        <f>IFERROR(__xludf.DUMMYFUNCTION("SPLIT(A523,"","",0,0)"),45554.87708333333)</f>
        <v>45554.87708</v>
      </c>
      <c r="C523" s="5">
        <f>IFERROR(__xludf.DUMMYFUNCTION("""COMPUTED_VALUE"""),2731682.0)</f>
        <v>2731682</v>
      </c>
      <c r="D523" s="2" t="str">
        <f>IFERROR(__xludf.DUMMYFUNCTION("""COMPUTED_VALUE"""),"Sale")</f>
        <v>Sale</v>
      </c>
      <c r="E523" s="2" t="str">
        <f>IFERROR(__xludf.DUMMYFUNCTION("""COMPUTED_VALUE"""),"Minuman")</f>
        <v>Minuman</v>
      </c>
      <c r="F523" s="2">
        <f>IFERROR(__xludf.DUMMYFUNCTION("""COMPUTED_VALUE"""),10056.0)</f>
        <v>10056</v>
      </c>
      <c r="G523" s="2" t="str">
        <f>IFERROR(__xludf.DUMMYFUNCTION("""COMPUTED_VALUE"""),"Susu murni moca")</f>
        <v>Susu murni moca</v>
      </c>
      <c r="H523" s="2"/>
      <c r="I523" s="2"/>
      <c r="J523" s="2">
        <f>IFERROR(__xludf.DUMMYFUNCTION("""COMPUTED_VALUE"""),1.0)</f>
        <v>1</v>
      </c>
      <c r="K523" s="6">
        <f>IFERROR(__xludf.DUMMYFUNCTION("""COMPUTED_VALUE"""),19524.0)</f>
        <v>19524</v>
      </c>
      <c r="L523" s="2">
        <f>IFERROR(__xludf.DUMMYFUNCTION("""COMPUTED_VALUE"""),0.0)</f>
        <v>0</v>
      </c>
      <c r="M523" s="2">
        <f>IFERROR(__xludf.DUMMYFUNCTION("""COMPUTED_VALUE"""),19524.0)</f>
        <v>19524</v>
      </c>
      <c r="N523" s="2">
        <f>IFERROR(__xludf.DUMMYFUNCTION("""COMPUTED_VALUE"""),0.0)</f>
        <v>0</v>
      </c>
      <c r="O523" s="2">
        <f>IFERROR(__xludf.DUMMYFUNCTION("""COMPUTED_VALUE"""),19524.0)</f>
        <v>19524</v>
      </c>
      <c r="P523" s="2">
        <f>IFERROR(__xludf.DUMMYFUNCTION("""COMPUTED_VALUE"""),976.0)</f>
        <v>976</v>
      </c>
      <c r="Q523" s="2" t="str">
        <f>IFERROR(__xludf.DUMMYFUNCTION("""COMPUTED_VALUE"""),"Dine In")</f>
        <v>Dine In</v>
      </c>
      <c r="R523" s="2" t="str">
        <f>IFERROR(__xludf.DUMMYFUNCTION("""COMPUTED_VALUE"""),"Kedai")</f>
        <v>Kedai</v>
      </c>
      <c r="S523" s="2" t="str">
        <f>IFERROR(__xludf.DUMMYFUNCTION("""COMPUTED_VALUE"""),"Temu Roti")</f>
        <v>Temu Roti</v>
      </c>
      <c r="T523" s="2" t="str">
        <f>IFERROR(__xludf.DUMMYFUNCTION("""COMPUTED_VALUE"""),"Owner")</f>
        <v>Owner</v>
      </c>
      <c r="U523" s="2"/>
      <c r="V523" s="2"/>
      <c r="W523" s="2"/>
      <c r="X523" s="2" t="str">
        <f>IFERROR(__xludf.DUMMYFUNCTION("""COMPUTED_VALUE"""),"Closed")</f>
        <v>Closed</v>
      </c>
    </row>
    <row r="524">
      <c r="A524" s="3" t="s">
        <v>540</v>
      </c>
      <c r="B524" s="4">
        <f>IFERROR(__xludf.DUMMYFUNCTION("SPLIT(A524,"","",0,0)"),45554.87708333333)</f>
        <v>45554.87708</v>
      </c>
      <c r="C524" s="5">
        <f>IFERROR(__xludf.DUMMYFUNCTION("""COMPUTED_VALUE"""),2731682.0)</f>
        <v>2731682</v>
      </c>
      <c r="D524" s="2" t="str">
        <f>IFERROR(__xludf.DUMMYFUNCTION("""COMPUTED_VALUE"""),"Sale")</f>
        <v>Sale</v>
      </c>
      <c r="E524" s="2" t="str">
        <f>IFERROR(__xludf.DUMMYFUNCTION("""COMPUTED_VALUE"""),"Roti")</f>
        <v>Roti</v>
      </c>
      <c r="F524" s="2">
        <f>IFERROR(__xludf.DUMMYFUNCTION("""COMPUTED_VALUE"""),10002.0)</f>
        <v>10002</v>
      </c>
      <c r="G524" s="2" t="str">
        <f>IFERROR(__xludf.DUMMYFUNCTION("""COMPUTED_VALUE"""),"Roti Cranberry")</f>
        <v>Roti Cranberry</v>
      </c>
      <c r="H524" s="2"/>
      <c r="I524" s="2"/>
      <c r="J524" s="2">
        <f>IFERROR(__xludf.DUMMYFUNCTION("""COMPUTED_VALUE"""),1.0)</f>
        <v>1</v>
      </c>
      <c r="K524" s="6">
        <f>IFERROR(__xludf.DUMMYFUNCTION("""COMPUTED_VALUE"""),18571.0)</f>
        <v>18571</v>
      </c>
      <c r="L524" s="2">
        <f>IFERROR(__xludf.DUMMYFUNCTION("""COMPUTED_VALUE"""),0.0)</f>
        <v>0</v>
      </c>
      <c r="M524" s="2">
        <f>IFERROR(__xludf.DUMMYFUNCTION("""COMPUTED_VALUE"""),18571.0)</f>
        <v>18571</v>
      </c>
      <c r="N524" s="2">
        <f>IFERROR(__xludf.DUMMYFUNCTION("""COMPUTED_VALUE"""),0.0)</f>
        <v>0</v>
      </c>
      <c r="O524" s="2">
        <f>IFERROR(__xludf.DUMMYFUNCTION("""COMPUTED_VALUE"""),18571.0)</f>
        <v>18571</v>
      </c>
      <c r="P524" s="2">
        <f>IFERROR(__xludf.DUMMYFUNCTION("""COMPUTED_VALUE"""),928.0)</f>
        <v>928</v>
      </c>
      <c r="Q524" s="2" t="str">
        <f>IFERROR(__xludf.DUMMYFUNCTION("""COMPUTED_VALUE"""),"Dine In")</f>
        <v>Dine In</v>
      </c>
      <c r="R524" s="2" t="str">
        <f>IFERROR(__xludf.DUMMYFUNCTION("""COMPUTED_VALUE"""),"Kedai")</f>
        <v>Kedai</v>
      </c>
      <c r="S524" s="2" t="str">
        <f>IFERROR(__xludf.DUMMYFUNCTION("""COMPUTED_VALUE"""),"Temu Roti")</f>
        <v>Temu Roti</v>
      </c>
      <c r="T524" s="2" t="str">
        <f>IFERROR(__xludf.DUMMYFUNCTION("""COMPUTED_VALUE"""),"Owner")</f>
        <v>Owner</v>
      </c>
      <c r="U524" s="2"/>
      <c r="V524" s="2"/>
      <c r="W524" s="2"/>
      <c r="X524" s="2" t="str">
        <f>IFERROR(__xludf.DUMMYFUNCTION("""COMPUTED_VALUE"""),"Closed")</f>
        <v>Closed</v>
      </c>
    </row>
    <row r="525">
      <c r="A525" s="3" t="s">
        <v>541</v>
      </c>
      <c r="B525" s="4">
        <f>IFERROR(__xludf.DUMMYFUNCTION("SPLIT(A525,"","",0,0)"),45554.87708333333)</f>
        <v>45554.87708</v>
      </c>
      <c r="C525" s="5">
        <f>IFERROR(__xludf.DUMMYFUNCTION("""COMPUTED_VALUE"""),2731682.0)</f>
        <v>2731682</v>
      </c>
      <c r="D525" s="2" t="str">
        <f>IFERROR(__xludf.DUMMYFUNCTION("""COMPUTED_VALUE"""),"Sale")</f>
        <v>Sale</v>
      </c>
      <c r="E525" s="2" t="str">
        <f>IFERROR(__xludf.DUMMYFUNCTION("""COMPUTED_VALUE"""),"Roti")</f>
        <v>Roti</v>
      </c>
      <c r="F525" s="2">
        <f>IFERROR(__xludf.DUMMYFUNCTION("""COMPUTED_VALUE"""),10055.0)</f>
        <v>10055</v>
      </c>
      <c r="G525" s="2" t="str">
        <f>IFERROR(__xludf.DUMMYFUNCTION("""COMPUTED_VALUE"""),"Roti Gandum Cokelat 2 pcs")</f>
        <v>Roti Gandum Cokelat 2 pcs</v>
      </c>
      <c r="H525" s="2"/>
      <c r="I525" s="2"/>
      <c r="J525" s="2">
        <f>IFERROR(__xludf.DUMMYFUNCTION("""COMPUTED_VALUE"""),1.0)</f>
        <v>1</v>
      </c>
      <c r="K525" s="6">
        <f>IFERROR(__xludf.DUMMYFUNCTION("""COMPUTED_VALUE"""),34762.0)</f>
        <v>34762</v>
      </c>
      <c r="L525" s="2">
        <f>IFERROR(__xludf.DUMMYFUNCTION("""COMPUTED_VALUE"""),0.0)</f>
        <v>0</v>
      </c>
      <c r="M525" s="2">
        <f>IFERROR(__xludf.DUMMYFUNCTION("""COMPUTED_VALUE"""),34762.0)</f>
        <v>34762</v>
      </c>
      <c r="N525" s="2">
        <f>IFERROR(__xludf.DUMMYFUNCTION("""COMPUTED_VALUE"""),0.0)</f>
        <v>0</v>
      </c>
      <c r="O525" s="2">
        <f>IFERROR(__xludf.DUMMYFUNCTION("""COMPUTED_VALUE"""),34762.0)</f>
        <v>34762</v>
      </c>
      <c r="P525" s="2">
        <f>IFERROR(__xludf.DUMMYFUNCTION("""COMPUTED_VALUE"""),1739.0)</f>
        <v>1739</v>
      </c>
      <c r="Q525" s="2" t="str">
        <f>IFERROR(__xludf.DUMMYFUNCTION("""COMPUTED_VALUE"""),"Dine In")</f>
        <v>Dine In</v>
      </c>
      <c r="R525" s="2" t="str">
        <f>IFERROR(__xludf.DUMMYFUNCTION("""COMPUTED_VALUE"""),"Kedai")</f>
        <v>Kedai</v>
      </c>
      <c r="S525" s="2" t="str">
        <f>IFERROR(__xludf.DUMMYFUNCTION("""COMPUTED_VALUE"""),"Temu Roti")</f>
        <v>Temu Roti</v>
      </c>
      <c r="T525" s="2" t="str">
        <f>IFERROR(__xludf.DUMMYFUNCTION("""COMPUTED_VALUE"""),"Owner")</f>
        <v>Owner</v>
      </c>
      <c r="U525" s="2"/>
      <c r="V525" s="2"/>
      <c r="W525" s="2"/>
      <c r="X525" s="2" t="str">
        <f>IFERROR(__xludf.DUMMYFUNCTION("""COMPUTED_VALUE"""),"Closed")</f>
        <v>Closed</v>
      </c>
    </row>
    <row r="526">
      <c r="A526" s="3" t="s">
        <v>542</v>
      </c>
      <c r="B526" s="4">
        <f>IFERROR(__xludf.DUMMYFUNCTION("SPLIT(A526,"","",0,0)"),45554.86944444444)</f>
        <v>45554.86944</v>
      </c>
      <c r="C526" s="5">
        <f>IFERROR(__xludf.DUMMYFUNCTION("""COMPUTED_VALUE"""),2731317.0)</f>
        <v>2731317</v>
      </c>
      <c r="D526" s="2" t="str">
        <f>IFERROR(__xludf.DUMMYFUNCTION("""COMPUTED_VALUE"""),"Sale")</f>
        <v>Sale</v>
      </c>
      <c r="E526" s="2" t="str">
        <f>IFERROR(__xludf.DUMMYFUNCTION("""COMPUTED_VALUE"""),"Roti")</f>
        <v>Roti</v>
      </c>
      <c r="F526" s="2">
        <f>IFERROR(__xludf.DUMMYFUNCTION("""COMPUTED_VALUE"""),10007.0)</f>
        <v>10007</v>
      </c>
      <c r="G526" s="2" t="str">
        <f>IFERROR(__xludf.DUMMYFUNCTION("""COMPUTED_VALUE"""),"Roti cranberry 2 pcs")</f>
        <v>Roti cranberry 2 pcs</v>
      </c>
      <c r="H526" s="2"/>
      <c r="I526" s="2"/>
      <c r="J526" s="2">
        <f>IFERROR(__xludf.DUMMYFUNCTION("""COMPUTED_VALUE"""),1.0)</f>
        <v>1</v>
      </c>
      <c r="K526" s="6">
        <f>IFERROR(__xludf.DUMMYFUNCTION("""COMPUTED_VALUE"""),33810.0)</f>
        <v>33810</v>
      </c>
      <c r="L526" s="2">
        <f>IFERROR(__xludf.DUMMYFUNCTION("""COMPUTED_VALUE"""),0.0)</f>
        <v>0</v>
      </c>
      <c r="M526" s="2">
        <f>IFERROR(__xludf.DUMMYFUNCTION("""COMPUTED_VALUE"""),33810.0)</f>
        <v>33810</v>
      </c>
      <c r="N526" s="2">
        <f>IFERROR(__xludf.DUMMYFUNCTION("""COMPUTED_VALUE"""),0.0)</f>
        <v>0</v>
      </c>
      <c r="O526" s="2">
        <f>IFERROR(__xludf.DUMMYFUNCTION("""COMPUTED_VALUE"""),33810.0)</f>
        <v>33810</v>
      </c>
      <c r="P526" s="2">
        <f>IFERROR(__xludf.DUMMYFUNCTION("""COMPUTED_VALUE"""),1691.0)</f>
        <v>1691</v>
      </c>
      <c r="Q526" s="2" t="str">
        <f>IFERROR(__xludf.DUMMYFUNCTION("""COMPUTED_VALUE"""),"Dine In")</f>
        <v>Dine In</v>
      </c>
      <c r="R526" s="2" t="str">
        <f>IFERROR(__xludf.DUMMYFUNCTION("""COMPUTED_VALUE"""),"Kedai")</f>
        <v>Kedai</v>
      </c>
      <c r="S526" s="2" t="str">
        <f>IFERROR(__xludf.DUMMYFUNCTION("""COMPUTED_VALUE"""),"Temu Roti")</f>
        <v>Temu Roti</v>
      </c>
      <c r="T526" s="2" t="str">
        <f>IFERROR(__xludf.DUMMYFUNCTION("""COMPUTED_VALUE"""),"Owner")</f>
        <v>Owner</v>
      </c>
      <c r="U526" s="2"/>
      <c r="V526" s="2"/>
      <c r="W526" s="2"/>
      <c r="X526" s="2" t="str">
        <f>IFERROR(__xludf.DUMMYFUNCTION("""COMPUTED_VALUE"""),"Closed")</f>
        <v>Closed</v>
      </c>
    </row>
    <row r="527">
      <c r="A527" s="3" t="s">
        <v>543</v>
      </c>
      <c r="B527" s="4">
        <f>IFERROR(__xludf.DUMMYFUNCTION("SPLIT(A527,"","",0,0)"),45554.86944444444)</f>
        <v>45554.86944</v>
      </c>
      <c r="C527" s="5">
        <f>IFERROR(__xludf.DUMMYFUNCTION("""COMPUTED_VALUE"""),2731317.0)</f>
        <v>2731317</v>
      </c>
      <c r="D527" s="2" t="str">
        <f>IFERROR(__xludf.DUMMYFUNCTION("""COMPUTED_VALUE"""),"Sale")</f>
        <v>Sale</v>
      </c>
      <c r="E527" s="2" t="str">
        <f>IFERROR(__xludf.DUMMYFUNCTION("""COMPUTED_VALUE"""),"Roti")</f>
        <v>Roti</v>
      </c>
      <c r="F527" s="2">
        <f>IFERROR(__xludf.DUMMYFUNCTION("""COMPUTED_VALUE"""),10005.0)</f>
        <v>10005</v>
      </c>
      <c r="G527" s="2" t="str">
        <f>IFERROR(__xludf.DUMMYFUNCTION("""COMPUTED_VALUE"""),"Roti Gandum Cokelat")</f>
        <v>Roti Gandum Cokelat</v>
      </c>
      <c r="H527" s="2"/>
      <c r="I527" s="2"/>
      <c r="J527" s="2">
        <f>IFERROR(__xludf.DUMMYFUNCTION("""COMPUTED_VALUE"""),1.0)</f>
        <v>1</v>
      </c>
      <c r="K527" s="6">
        <f>IFERROR(__xludf.DUMMYFUNCTION("""COMPUTED_VALUE"""),19524.0)</f>
        <v>19524</v>
      </c>
      <c r="L527" s="2">
        <f>IFERROR(__xludf.DUMMYFUNCTION("""COMPUTED_VALUE"""),0.0)</f>
        <v>0</v>
      </c>
      <c r="M527" s="2">
        <f>IFERROR(__xludf.DUMMYFUNCTION("""COMPUTED_VALUE"""),19524.0)</f>
        <v>19524</v>
      </c>
      <c r="N527" s="2">
        <f>IFERROR(__xludf.DUMMYFUNCTION("""COMPUTED_VALUE"""),0.0)</f>
        <v>0</v>
      </c>
      <c r="O527" s="2">
        <f>IFERROR(__xludf.DUMMYFUNCTION("""COMPUTED_VALUE"""),19524.0)</f>
        <v>19524</v>
      </c>
      <c r="P527" s="2">
        <f>IFERROR(__xludf.DUMMYFUNCTION("""COMPUTED_VALUE"""),976.0)</f>
        <v>976</v>
      </c>
      <c r="Q527" s="2" t="str">
        <f>IFERROR(__xludf.DUMMYFUNCTION("""COMPUTED_VALUE"""),"Dine In")</f>
        <v>Dine In</v>
      </c>
      <c r="R527" s="2" t="str">
        <f>IFERROR(__xludf.DUMMYFUNCTION("""COMPUTED_VALUE"""),"Kedai")</f>
        <v>Kedai</v>
      </c>
      <c r="S527" s="2" t="str">
        <f>IFERROR(__xludf.DUMMYFUNCTION("""COMPUTED_VALUE"""),"Temu Roti")</f>
        <v>Temu Roti</v>
      </c>
      <c r="T527" s="2" t="str">
        <f>IFERROR(__xludf.DUMMYFUNCTION("""COMPUTED_VALUE"""),"Owner")</f>
        <v>Owner</v>
      </c>
      <c r="U527" s="2"/>
      <c r="V527" s="2"/>
      <c r="W527" s="2"/>
      <c r="X527" s="2" t="str">
        <f>IFERROR(__xludf.DUMMYFUNCTION("""COMPUTED_VALUE"""),"Closed")</f>
        <v>Closed</v>
      </c>
    </row>
    <row r="528">
      <c r="A528" s="3" t="s">
        <v>544</v>
      </c>
      <c r="B528" s="4">
        <f>IFERROR(__xludf.DUMMYFUNCTION("SPLIT(A528,"","",0,0)"),45554.86944444444)</f>
        <v>45554.86944</v>
      </c>
      <c r="C528" s="5">
        <f>IFERROR(__xludf.DUMMYFUNCTION("""COMPUTED_VALUE"""),2731317.0)</f>
        <v>2731317</v>
      </c>
      <c r="D528" s="2" t="str">
        <f>IFERROR(__xludf.DUMMYFUNCTION("""COMPUTED_VALUE"""),"Sale")</f>
        <v>Sale</v>
      </c>
      <c r="E528" s="2" t="str">
        <f>IFERROR(__xludf.DUMMYFUNCTION("""COMPUTED_VALUE"""),"Roti")</f>
        <v>Roti</v>
      </c>
      <c r="F528" s="2">
        <f>IFERROR(__xludf.DUMMYFUNCTION("""COMPUTED_VALUE"""),10000.0)</f>
        <v>10000</v>
      </c>
      <c r="G528" s="2" t="str">
        <f>IFERROR(__xludf.DUMMYFUNCTION("""COMPUTED_VALUE"""),"Roti Bawang Saus Keju")</f>
        <v>Roti Bawang Saus Keju</v>
      </c>
      <c r="H528" s="2"/>
      <c r="I528" s="2"/>
      <c r="J528" s="2">
        <f>IFERROR(__xludf.DUMMYFUNCTION("""COMPUTED_VALUE"""),1.0)</f>
        <v>1</v>
      </c>
      <c r="K528" s="6">
        <f>IFERROR(__xludf.DUMMYFUNCTION("""COMPUTED_VALUE"""),29524.0)</f>
        <v>29524</v>
      </c>
      <c r="L528" s="2">
        <f>IFERROR(__xludf.DUMMYFUNCTION("""COMPUTED_VALUE"""),0.0)</f>
        <v>0</v>
      </c>
      <c r="M528" s="2">
        <f>IFERROR(__xludf.DUMMYFUNCTION("""COMPUTED_VALUE"""),29524.0)</f>
        <v>29524</v>
      </c>
      <c r="N528" s="2">
        <f>IFERROR(__xludf.DUMMYFUNCTION("""COMPUTED_VALUE"""),0.0)</f>
        <v>0</v>
      </c>
      <c r="O528" s="2">
        <f>IFERROR(__xludf.DUMMYFUNCTION("""COMPUTED_VALUE"""),29524.0)</f>
        <v>29524</v>
      </c>
      <c r="P528" s="2">
        <f>IFERROR(__xludf.DUMMYFUNCTION("""COMPUTED_VALUE"""),1476.0)</f>
        <v>1476</v>
      </c>
      <c r="Q528" s="2" t="str">
        <f>IFERROR(__xludf.DUMMYFUNCTION("""COMPUTED_VALUE"""),"Dine In")</f>
        <v>Dine In</v>
      </c>
      <c r="R528" s="2" t="str">
        <f>IFERROR(__xludf.DUMMYFUNCTION("""COMPUTED_VALUE"""),"Kedai")</f>
        <v>Kedai</v>
      </c>
      <c r="S528" s="2" t="str">
        <f>IFERROR(__xludf.DUMMYFUNCTION("""COMPUTED_VALUE"""),"Temu Roti")</f>
        <v>Temu Roti</v>
      </c>
      <c r="T528" s="2" t="str">
        <f>IFERROR(__xludf.DUMMYFUNCTION("""COMPUTED_VALUE"""),"Owner")</f>
        <v>Owner</v>
      </c>
      <c r="U528" s="2"/>
      <c r="V528" s="2"/>
      <c r="W528" s="2"/>
      <c r="X528" s="2" t="str">
        <f>IFERROR(__xludf.DUMMYFUNCTION("""COMPUTED_VALUE"""),"Closed")</f>
        <v>Closed</v>
      </c>
    </row>
    <row r="529">
      <c r="A529" s="3" t="s">
        <v>545</v>
      </c>
      <c r="B529" s="4">
        <f>IFERROR(__xludf.DUMMYFUNCTION("SPLIT(A529,"","",0,0)"),45554.86875)</f>
        <v>45554.86875</v>
      </c>
      <c r="C529" s="5">
        <f>IFERROR(__xludf.DUMMYFUNCTION("""COMPUTED_VALUE"""),2730952.0)</f>
        <v>2730952</v>
      </c>
      <c r="D529" s="2" t="str">
        <f>IFERROR(__xludf.DUMMYFUNCTION("""COMPUTED_VALUE"""),"Sale")</f>
        <v>Sale</v>
      </c>
      <c r="E529" s="2" t="str">
        <f>IFERROR(__xludf.DUMMYFUNCTION("""COMPUTED_VALUE"""),"Hidangan Utama")</f>
        <v>Hidangan Utama</v>
      </c>
      <c r="F529" s="2">
        <f>IFERROR(__xludf.DUMMYFUNCTION("""COMPUTED_VALUE"""),10012.0)</f>
        <v>10012</v>
      </c>
      <c r="G529" s="2" t="str">
        <f>IFERROR(__xludf.DUMMYFUNCTION("""COMPUTED_VALUE"""),"Mie joglo")</f>
        <v>Mie joglo</v>
      </c>
      <c r="H529" s="2"/>
      <c r="I529" s="2"/>
      <c r="J529" s="2">
        <f>IFERROR(__xludf.DUMMYFUNCTION("""COMPUTED_VALUE"""),1.0)</f>
        <v>1</v>
      </c>
      <c r="K529" s="6">
        <f>IFERROR(__xludf.DUMMYFUNCTION("""COMPUTED_VALUE"""),29524.0)</f>
        <v>29524</v>
      </c>
      <c r="L529" s="2">
        <f>IFERROR(__xludf.DUMMYFUNCTION("""COMPUTED_VALUE"""),0.0)</f>
        <v>0</v>
      </c>
      <c r="M529" s="2">
        <f>IFERROR(__xludf.DUMMYFUNCTION("""COMPUTED_VALUE"""),29524.0)</f>
        <v>29524</v>
      </c>
      <c r="N529" s="2">
        <f>IFERROR(__xludf.DUMMYFUNCTION("""COMPUTED_VALUE"""),0.0)</f>
        <v>0</v>
      </c>
      <c r="O529" s="2">
        <f>IFERROR(__xludf.DUMMYFUNCTION("""COMPUTED_VALUE"""),29524.0)</f>
        <v>29524</v>
      </c>
      <c r="P529" s="2">
        <f>IFERROR(__xludf.DUMMYFUNCTION("""COMPUTED_VALUE"""),1476.0)</f>
        <v>1476</v>
      </c>
      <c r="Q529" s="2" t="str">
        <f>IFERROR(__xludf.DUMMYFUNCTION("""COMPUTED_VALUE"""),"Dine In")</f>
        <v>Dine In</v>
      </c>
      <c r="R529" s="2" t="str">
        <f>IFERROR(__xludf.DUMMYFUNCTION("""COMPUTED_VALUE"""),"Kedai")</f>
        <v>Kedai</v>
      </c>
      <c r="S529" s="2" t="str">
        <f>IFERROR(__xludf.DUMMYFUNCTION("""COMPUTED_VALUE"""),"Temu Roti")</f>
        <v>Temu Roti</v>
      </c>
      <c r="T529" s="2" t="str">
        <f>IFERROR(__xludf.DUMMYFUNCTION("""COMPUTED_VALUE"""),"Owner")</f>
        <v>Owner</v>
      </c>
      <c r="U529" s="2"/>
      <c r="V529" s="2"/>
      <c r="W529" s="2"/>
      <c r="X529" s="2" t="str">
        <f>IFERROR(__xludf.DUMMYFUNCTION("""COMPUTED_VALUE"""),"Closed")</f>
        <v>Closed</v>
      </c>
    </row>
    <row r="530">
      <c r="A530" s="3" t="s">
        <v>546</v>
      </c>
      <c r="B530" s="4">
        <f>IFERROR(__xludf.DUMMYFUNCTION("SPLIT(A530,"","",0,0)"),45554.790972222225)</f>
        <v>45554.79097</v>
      </c>
      <c r="C530" s="5">
        <f>IFERROR(__xludf.DUMMYFUNCTION("""COMPUTED_VALUE"""),2730586.0)</f>
        <v>2730586</v>
      </c>
      <c r="D530" s="2" t="str">
        <f>IFERROR(__xludf.DUMMYFUNCTION("""COMPUTED_VALUE"""),"Sale")</f>
        <v>Sale</v>
      </c>
      <c r="E530" s="2" t="str">
        <f>IFERROR(__xludf.DUMMYFUNCTION("""COMPUTED_VALUE"""),"Roti")</f>
        <v>Roti</v>
      </c>
      <c r="F530" s="2">
        <f>IFERROR(__xludf.DUMMYFUNCTION("""COMPUTED_VALUE"""),10005.0)</f>
        <v>10005</v>
      </c>
      <c r="G530" s="2" t="str">
        <f>IFERROR(__xludf.DUMMYFUNCTION("""COMPUTED_VALUE"""),"Roti Gandum Cokelat")</f>
        <v>Roti Gandum Cokelat</v>
      </c>
      <c r="H530" s="2"/>
      <c r="I530" s="2"/>
      <c r="J530" s="2">
        <f>IFERROR(__xludf.DUMMYFUNCTION("""COMPUTED_VALUE"""),1.0)</f>
        <v>1</v>
      </c>
      <c r="K530" s="6">
        <f>IFERROR(__xludf.DUMMYFUNCTION("""COMPUTED_VALUE"""),19524.0)</f>
        <v>19524</v>
      </c>
      <c r="L530" s="2">
        <f>IFERROR(__xludf.DUMMYFUNCTION("""COMPUTED_VALUE"""),0.0)</f>
        <v>0</v>
      </c>
      <c r="M530" s="2">
        <f>IFERROR(__xludf.DUMMYFUNCTION("""COMPUTED_VALUE"""),19524.0)</f>
        <v>19524</v>
      </c>
      <c r="N530" s="2">
        <f>IFERROR(__xludf.DUMMYFUNCTION("""COMPUTED_VALUE"""),0.0)</f>
        <v>0</v>
      </c>
      <c r="O530" s="2">
        <f>IFERROR(__xludf.DUMMYFUNCTION("""COMPUTED_VALUE"""),19524.0)</f>
        <v>19524</v>
      </c>
      <c r="P530" s="2">
        <f>IFERROR(__xludf.DUMMYFUNCTION("""COMPUTED_VALUE"""),976.0)</f>
        <v>976</v>
      </c>
      <c r="Q530" s="2" t="str">
        <f>IFERROR(__xludf.DUMMYFUNCTION("""COMPUTED_VALUE"""),"Dine In")</f>
        <v>Dine In</v>
      </c>
      <c r="R530" s="2" t="str">
        <f>IFERROR(__xludf.DUMMYFUNCTION("""COMPUTED_VALUE"""),"Kedai")</f>
        <v>Kedai</v>
      </c>
      <c r="S530" s="2" t="str">
        <f>IFERROR(__xludf.DUMMYFUNCTION("""COMPUTED_VALUE"""),"Temu Roti")</f>
        <v>Temu Roti</v>
      </c>
      <c r="T530" s="2" t="str">
        <f>IFERROR(__xludf.DUMMYFUNCTION("""COMPUTED_VALUE"""),"Owner")</f>
        <v>Owner</v>
      </c>
      <c r="U530" s="2"/>
      <c r="V530" s="2"/>
      <c r="W530" s="2"/>
      <c r="X530" s="2" t="str">
        <f>IFERROR(__xludf.DUMMYFUNCTION("""COMPUTED_VALUE"""),"Closed")</f>
        <v>Closed</v>
      </c>
    </row>
    <row r="531">
      <c r="A531" s="3" t="s">
        <v>547</v>
      </c>
      <c r="B531" s="4">
        <f>IFERROR(__xludf.DUMMYFUNCTION("SPLIT(A531,"","",0,0)"),45554.790972222225)</f>
        <v>45554.79097</v>
      </c>
      <c r="C531" s="5">
        <f>IFERROR(__xludf.DUMMYFUNCTION("""COMPUTED_VALUE"""),2730586.0)</f>
        <v>2730586</v>
      </c>
      <c r="D531" s="2" t="str">
        <f>IFERROR(__xludf.DUMMYFUNCTION("""COMPUTED_VALUE"""),"Sale")</f>
        <v>Sale</v>
      </c>
      <c r="E531" s="2" t="str">
        <f>IFERROR(__xludf.DUMMYFUNCTION("""COMPUTED_VALUE"""),"Roti")</f>
        <v>Roti</v>
      </c>
      <c r="F531" s="2">
        <f>IFERROR(__xludf.DUMMYFUNCTION("""COMPUTED_VALUE"""),10000.0)</f>
        <v>10000</v>
      </c>
      <c r="G531" s="2" t="str">
        <f>IFERROR(__xludf.DUMMYFUNCTION("""COMPUTED_VALUE"""),"Roti Bawang Saus Keju")</f>
        <v>Roti Bawang Saus Keju</v>
      </c>
      <c r="H531" s="2"/>
      <c r="I531" s="2"/>
      <c r="J531" s="2">
        <f>IFERROR(__xludf.DUMMYFUNCTION("""COMPUTED_VALUE"""),1.0)</f>
        <v>1</v>
      </c>
      <c r="K531" s="6">
        <f>IFERROR(__xludf.DUMMYFUNCTION("""COMPUTED_VALUE"""),29524.0)</f>
        <v>29524</v>
      </c>
      <c r="L531" s="2">
        <f>IFERROR(__xludf.DUMMYFUNCTION("""COMPUTED_VALUE"""),0.0)</f>
        <v>0</v>
      </c>
      <c r="M531" s="2">
        <f>IFERROR(__xludf.DUMMYFUNCTION("""COMPUTED_VALUE"""),29524.0)</f>
        <v>29524</v>
      </c>
      <c r="N531" s="2">
        <f>IFERROR(__xludf.DUMMYFUNCTION("""COMPUTED_VALUE"""),0.0)</f>
        <v>0</v>
      </c>
      <c r="O531" s="2">
        <f>IFERROR(__xludf.DUMMYFUNCTION("""COMPUTED_VALUE"""),29524.0)</f>
        <v>29524</v>
      </c>
      <c r="P531" s="2">
        <f>IFERROR(__xludf.DUMMYFUNCTION("""COMPUTED_VALUE"""),1476.0)</f>
        <v>1476</v>
      </c>
      <c r="Q531" s="2" t="str">
        <f>IFERROR(__xludf.DUMMYFUNCTION("""COMPUTED_VALUE"""),"Dine In")</f>
        <v>Dine In</v>
      </c>
      <c r="R531" s="2" t="str">
        <f>IFERROR(__xludf.DUMMYFUNCTION("""COMPUTED_VALUE"""),"Kedai")</f>
        <v>Kedai</v>
      </c>
      <c r="S531" s="2" t="str">
        <f>IFERROR(__xludf.DUMMYFUNCTION("""COMPUTED_VALUE"""),"Temu Roti")</f>
        <v>Temu Roti</v>
      </c>
      <c r="T531" s="2" t="str">
        <f>IFERROR(__xludf.DUMMYFUNCTION("""COMPUTED_VALUE"""),"Owner")</f>
        <v>Owner</v>
      </c>
      <c r="U531" s="2"/>
      <c r="V531" s="2"/>
      <c r="W531" s="2"/>
      <c r="X531" s="2" t="str">
        <f>IFERROR(__xludf.DUMMYFUNCTION("""COMPUTED_VALUE"""),"Closed")</f>
        <v>Closed</v>
      </c>
    </row>
    <row r="532">
      <c r="A532" s="3" t="s">
        <v>548</v>
      </c>
      <c r="B532" s="4">
        <f>IFERROR(__xludf.DUMMYFUNCTION("SPLIT(A532,"","",0,0)"),45554.65)</f>
        <v>45554.65</v>
      </c>
      <c r="C532" s="5">
        <f>IFERROR(__xludf.DUMMYFUNCTION("""COMPUTED_VALUE"""),2730221.0)</f>
        <v>2730221</v>
      </c>
      <c r="D532" s="2" t="str">
        <f>IFERROR(__xludf.DUMMYFUNCTION("""COMPUTED_VALUE"""),"Sale")</f>
        <v>Sale</v>
      </c>
      <c r="E532" s="2" t="str">
        <f>IFERROR(__xludf.DUMMYFUNCTION("""COMPUTED_VALUE"""),"Roti")</f>
        <v>Roti</v>
      </c>
      <c r="F532" s="2">
        <f>IFERROR(__xludf.DUMMYFUNCTION("""COMPUTED_VALUE"""),10000.0)</f>
        <v>10000</v>
      </c>
      <c r="G532" s="2" t="str">
        <f>IFERROR(__xludf.DUMMYFUNCTION("""COMPUTED_VALUE"""),"Roti Bawang Saus Keju")</f>
        <v>Roti Bawang Saus Keju</v>
      </c>
      <c r="H532" s="2"/>
      <c r="I532" s="2"/>
      <c r="J532" s="2">
        <f>IFERROR(__xludf.DUMMYFUNCTION("""COMPUTED_VALUE"""),1.0)</f>
        <v>1</v>
      </c>
      <c r="K532" s="6">
        <f>IFERROR(__xludf.DUMMYFUNCTION("""COMPUTED_VALUE"""),29524.0)</f>
        <v>29524</v>
      </c>
      <c r="L532" s="2">
        <f>IFERROR(__xludf.DUMMYFUNCTION("""COMPUTED_VALUE"""),0.0)</f>
        <v>0</v>
      </c>
      <c r="M532" s="2">
        <f>IFERROR(__xludf.DUMMYFUNCTION("""COMPUTED_VALUE"""),29524.0)</f>
        <v>29524</v>
      </c>
      <c r="N532" s="2">
        <f>IFERROR(__xludf.DUMMYFUNCTION("""COMPUTED_VALUE"""),0.0)</f>
        <v>0</v>
      </c>
      <c r="O532" s="2">
        <f>IFERROR(__xludf.DUMMYFUNCTION("""COMPUTED_VALUE"""),29524.0)</f>
        <v>29524</v>
      </c>
      <c r="P532" s="2">
        <f>IFERROR(__xludf.DUMMYFUNCTION("""COMPUTED_VALUE"""),1476.0)</f>
        <v>1476</v>
      </c>
      <c r="Q532" s="2" t="str">
        <f>IFERROR(__xludf.DUMMYFUNCTION("""COMPUTED_VALUE"""),"Dine In")</f>
        <v>Dine In</v>
      </c>
      <c r="R532" s="2" t="str">
        <f>IFERROR(__xludf.DUMMYFUNCTION("""COMPUTED_VALUE"""),"Kedai")</f>
        <v>Kedai</v>
      </c>
      <c r="S532" s="2" t="str">
        <f>IFERROR(__xludf.DUMMYFUNCTION("""COMPUTED_VALUE"""),"Temu Roti")</f>
        <v>Temu Roti</v>
      </c>
      <c r="T532" s="2" t="str">
        <f>IFERROR(__xludf.DUMMYFUNCTION("""COMPUTED_VALUE"""),"Owner")</f>
        <v>Owner</v>
      </c>
      <c r="U532" s="2"/>
      <c r="V532" s="2"/>
      <c r="W532" s="2"/>
      <c r="X532" s="2" t="str">
        <f>IFERROR(__xludf.DUMMYFUNCTION("""COMPUTED_VALUE"""),"Closed")</f>
        <v>Closed</v>
      </c>
    </row>
    <row r="533">
      <c r="A533" s="3" t="s">
        <v>549</v>
      </c>
      <c r="B533" s="4">
        <f>IFERROR(__xludf.DUMMYFUNCTION("SPLIT(A533,"","",0,0)"),45554.6125)</f>
        <v>45554.6125</v>
      </c>
      <c r="C533" s="5">
        <f>IFERROR(__xludf.DUMMYFUNCTION("""COMPUTED_VALUE"""),2729856.0)</f>
        <v>2729856</v>
      </c>
      <c r="D533" s="2" t="str">
        <f>IFERROR(__xludf.DUMMYFUNCTION("""COMPUTED_VALUE"""),"Sale")</f>
        <v>Sale</v>
      </c>
      <c r="E533" s="2" t="str">
        <f>IFERROR(__xludf.DUMMYFUNCTION("""COMPUTED_VALUE"""),"Roti")</f>
        <v>Roti</v>
      </c>
      <c r="F533" s="2">
        <f>IFERROR(__xludf.DUMMYFUNCTION("""COMPUTED_VALUE"""),10002.0)</f>
        <v>10002</v>
      </c>
      <c r="G533" s="2" t="str">
        <f>IFERROR(__xludf.DUMMYFUNCTION("""COMPUTED_VALUE"""),"Roti Cranberry")</f>
        <v>Roti Cranberry</v>
      </c>
      <c r="H533" s="2"/>
      <c r="I533" s="2"/>
      <c r="J533" s="2">
        <f>IFERROR(__xludf.DUMMYFUNCTION("""COMPUTED_VALUE"""),1.0)</f>
        <v>1</v>
      </c>
      <c r="K533" s="6">
        <f>IFERROR(__xludf.DUMMYFUNCTION("""COMPUTED_VALUE"""),18571.0)</f>
        <v>18571</v>
      </c>
      <c r="L533" s="2">
        <f>IFERROR(__xludf.DUMMYFUNCTION("""COMPUTED_VALUE"""),0.0)</f>
        <v>0</v>
      </c>
      <c r="M533" s="2">
        <f>IFERROR(__xludf.DUMMYFUNCTION("""COMPUTED_VALUE"""),18571.0)</f>
        <v>18571</v>
      </c>
      <c r="N533" s="2">
        <f>IFERROR(__xludf.DUMMYFUNCTION("""COMPUTED_VALUE"""),0.0)</f>
        <v>0</v>
      </c>
      <c r="O533" s="2">
        <f>IFERROR(__xludf.DUMMYFUNCTION("""COMPUTED_VALUE"""),18571.0)</f>
        <v>18571</v>
      </c>
      <c r="P533" s="2">
        <f>IFERROR(__xludf.DUMMYFUNCTION("""COMPUTED_VALUE"""),929.0)</f>
        <v>929</v>
      </c>
      <c r="Q533" s="2" t="str">
        <f>IFERROR(__xludf.DUMMYFUNCTION("""COMPUTED_VALUE"""),"Dine In")</f>
        <v>Dine In</v>
      </c>
      <c r="R533" s="2" t="str">
        <f>IFERROR(__xludf.DUMMYFUNCTION("""COMPUTED_VALUE"""),"Kedai")</f>
        <v>Kedai</v>
      </c>
      <c r="S533" s="2" t="str">
        <f>IFERROR(__xludf.DUMMYFUNCTION("""COMPUTED_VALUE"""),"Temu Roti")</f>
        <v>Temu Roti</v>
      </c>
      <c r="T533" s="2" t="str">
        <f>IFERROR(__xludf.DUMMYFUNCTION("""COMPUTED_VALUE"""),"Owner")</f>
        <v>Owner</v>
      </c>
      <c r="U533" s="2"/>
      <c r="V533" s="2"/>
      <c r="W533" s="2"/>
      <c r="X533" s="2" t="str">
        <f>IFERROR(__xludf.DUMMYFUNCTION("""COMPUTED_VALUE"""),"Closed")</f>
        <v>Closed</v>
      </c>
    </row>
    <row r="534">
      <c r="A534" s="3" t="s">
        <v>550</v>
      </c>
      <c r="B534" s="4">
        <f>IFERROR(__xludf.DUMMYFUNCTION("SPLIT(A534,"","",0,0)"),45554.6125)</f>
        <v>45554.6125</v>
      </c>
      <c r="C534" s="5">
        <f>IFERROR(__xludf.DUMMYFUNCTION("""COMPUTED_VALUE"""),2729856.0)</f>
        <v>2729856</v>
      </c>
      <c r="D534" s="2" t="str">
        <f>IFERROR(__xludf.DUMMYFUNCTION("""COMPUTED_VALUE"""),"Sale")</f>
        <v>Sale</v>
      </c>
      <c r="E534" s="2" t="str">
        <f>IFERROR(__xludf.DUMMYFUNCTION("""COMPUTED_VALUE"""),"Roti")</f>
        <v>Roti</v>
      </c>
      <c r="F534" s="2">
        <f>IFERROR(__xludf.DUMMYFUNCTION("""COMPUTED_VALUE"""),10005.0)</f>
        <v>10005</v>
      </c>
      <c r="G534" s="2" t="str">
        <f>IFERROR(__xludf.DUMMYFUNCTION("""COMPUTED_VALUE"""),"Roti Gandum Cokelat")</f>
        <v>Roti Gandum Cokelat</v>
      </c>
      <c r="H534" s="2"/>
      <c r="I534" s="2"/>
      <c r="J534" s="2">
        <f>IFERROR(__xludf.DUMMYFUNCTION("""COMPUTED_VALUE"""),1.0)</f>
        <v>1</v>
      </c>
      <c r="K534" s="6">
        <f>IFERROR(__xludf.DUMMYFUNCTION("""COMPUTED_VALUE"""),19524.0)</f>
        <v>19524</v>
      </c>
      <c r="L534" s="2">
        <f>IFERROR(__xludf.DUMMYFUNCTION("""COMPUTED_VALUE"""),0.0)</f>
        <v>0</v>
      </c>
      <c r="M534" s="2">
        <f>IFERROR(__xludf.DUMMYFUNCTION("""COMPUTED_VALUE"""),19524.0)</f>
        <v>19524</v>
      </c>
      <c r="N534" s="2">
        <f>IFERROR(__xludf.DUMMYFUNCTION("""COMPUTED_VALUE"""),0.0)</f>
        <v>0</v>
      </c>
      <c r="O534" s="2">
        <f>IFERROR(__xludf.DUMMYFUNCTION("""COMPUTED_VALUE"""),19524.0)</f>
        <v>19524</v>
      </c>
      <c r="P534" s="2">
        <f>IFERROR(__xludf.DUMMYFUNCTION("""COMPUTED_VALUE"""),976.0)</f>
        <v>976</v>
      </c>
      <c r="Q534" s="2" t="str">
        <f>IFERROR(__xludf.DUMMYFUNCTION("""COMPUTED_VALUE"""),"Dine In")</f>
        <v>Dine In</v>
      </c>
      <c r="R534" s="2" t="str">
        <f>IFERROR(__xludf.DUMMYFUNCTION("""COMPUTED_VALUE"""),"Kedai")</f>
        <v>Kedai</v>
      </c>
      <c r="S534" s="2" t="str">
        <f>IFERROR(__xludf.DUMMYFUNCTION("""COMPUTED_VALUE"""),"Temu Roti")</f>
        <v>Temu Roti</v>
      </c>
      <c r="T534" s="2" t="str">
        <f>IFERROR(__xludf.DUMMYFUNCTION("""COMPUTED_VALUE"""),"Owner")</f>
        <v>Owner</v>
      </c>
      <c r="U534" s="2"/>
      <c r="V534" s="2"/>
      <c r="W534" s="2"/>
      <c r="X534" s="2" t="str">
        <f>IFERROR(__xludf.DUMMYFUNCTION("""COMPUTED_VALUE"""),"Closed")</f>
        <v>Closed</v>
      </c>
    </row>
    <row r="535">
      <c r="A535" s="3" t="s">
        <v>551</v>
      </c>
      <c r="B535" s="4">
        <f>IFERROR(__xludf.DUMMYFUNCTION("SPLIT(A535,"","",0,0)"),45554.57361111111)</f>
        <v>45554.57361</v>
      </c>
      <c r="C535" s="5">
        <f>IFERROR(__xludf.DUMMYFUNCTION("""COMPUTED_VALUE"""),2729491.0)</f>
        <v>2729491</v>
      </c>
      <c r="D535" s="2" t="str">
        <f>IFERROR(__xludf.DUMMYFUNCTION("""COMPUTED_VALUE"""),"Sale")</f>
        <v>Sale</v>
      </c>
      <c r="E535" s="2" t="str">
        <f>IFERROR(__xludf.DUMMYFUNCTION("""COMPUTED_VALUE"""),"Roti")</f>
        <v>Roti</v>
      </c>
      <c r="F535" s="2">
        <f>IFERROR(__xludf.DUMMYFUNCTION("""COMPUTED_VALUE"""),10000.0)</f>
        <v>10000</v>
      </c>
      <c r="G535" s="2" t="str">
        <f>IFERROR(__xludf.DUMMYFUNCTION("""COMPUTED_VALUE"""),"Roti Bawang Saus Keju")</f>
        <v>Roti Bawang Saus Keju</v>
      </c>
      <c r="H535" s="2"/>
      <c r="I535" s="2"/>
      <c r="J535" s="2">
        <f>IFERROR(__xludf.DUMMYFUNCTION("""COMPUTED_VALUE"""),1.0)</f>
        <v>1</v>
      </c>
      <c r="K535" s="6">
        <f>IFERROR(__xludf.DUMMYFUNCTION("""COMPUTED_VALUE"""),29524.0)</f>
        <v>29524</v>
      </c>
      <c r="L535" s="2">
        <f>IFERROR(__xludf.DUMMYFUNCTION("""COMPUTED_VALUE"""),0.0)</f>
        <v>0</v>
      </c>
      <c r="M535" s="2">
        <f>IFERROR(__xludf.DUMMYFUNCTION("""COMPUTED_VALUE"""),29524.0)</f>
        <v>29524</v>
      </c>
      <c r="N535" s="2">
        <f>IFERROR(__xludf.DUMMYFUNCTION("""COMPUTED_VALUE"""),0.0)</f>
        <v>0</v>
      </c>
      <c r="O535" s="2">
        <f>IFERROR(__xludf.DUMMYFUNCTION("""COMPUTED_VALUE"""),29524.0)</f>
        <v>29524</v>
      </c>
      <c r="P535" s="2">
        <f>IFERROR(__xludf.DUMMYFUNCTION("""COMPUTED_VALUE"""),1476.0)</f>
        <v>1476</v>
      </c>
      <c r="Q535" s="2" t="str">
        <f>IFERROR(__xludf.DUMMYFUNCTION("""COMPUTED_VALUE"""),"Dine In")</f>
        <v>Dine In</v>
      </c>
      <c r="R535" s="2" t="str">
        <f>IFERROR(__xludf.DUMMYFUNCTION("""COMPUTED_VALUE"""),"Kedai")</f>
        <v>Kedai</v>
      </c>
      <c r="S535" s="2" t="str">
        <f>IFERROR(__xludf.DUMMYFUNCTION("""COMPUTED_VALUE"""),"Temu Roti")</f>
        <v>Temu Roti</v>
      </c>
      <c r="T535" s="2" t="str">
        <f>IFERROR(__xludf.DUMMYFUNCTION("""COMPUTED_VALUE"""),"Owner")</f>
        <v>Owner</v>
      </c>
      <c r="U535" s="2"/>
      <c r="V535" s="2"/>
      <c r="W535" s="2"/>
      <c r="X535" s="2" t="str">
        <f>IFERROR(__xludf.DUMMYFUNCTION("""COMPUTED_VALUE"""),"Closed")</f>
        <v>Closed</v>
      </c>
    </row>
    <row r="536">
      <c r="A536" s="3" t="s">
        <v>552</v>
      </c>
      <c r="B536" s="4">
        <f>IFERROR(__xludf.DUMMYFUNCTION("SPLIT(A536,"","",0,0)"),45554.57361111111)</f>
        <v>45554.57361</v>
      </c>
      <c r="C536" s="5">
        <f>IFERROR(__xludf.DUMMYFUNCTION("""COMPUTED_VALUE"""),2729491.0)</f>
        <v>2729491</v>
      </c>
      <c r="D536" s="2" t="str">
        <f>IFERROR(__xludf.DUMMYFUNCTION("""COMPUTED_VALUE"""),"Sale")</f>
        <v>Sale</v>
      </c>
      <c r="E536" s="2" t="str">
        <f>IFERROR(__xludf.DUMMYFUNCTION("""COMPUTED_VALUE"""),"Roti")</f>
        <v>Roti</v>
      </c>
      <c r="F536" s="2">
        <f>IFERROR(__xludf.DUMMYFUNCTION("""COMPUTED_VALUE"""),10002.0)</f>
        <v>10002</v>
      </c>
      <c r="G536" s="2" t="str">
        <f>IFERROR(__xludf.DUMMYFUNCTION("""COMPUTED_VALUE"""),"Roti Cranberry")</f>
        <v>Roti Cranberry</v>
      </c>
      <c r="H536" s="2"/>
      <c r="I536" s="2"/>
      <c r="J536" s="2">
        <f>IFERROR(__xludf.DUMMYFUNCTION("""COMPUTED_VALUE"""),1.0)</f>
        <v>1</v>
      </c>
      <c r="K536" s="6">
        <f>IFERROR(__xludf.DUMMYFUNCTION("""COMPUTED_VALUE"""),18571.0)</f>
        <v>18571</v>
      </c>
      <c r="L536" s="2">
        <f>IFERROR(__xludf.DUMMYFUNCTION("""COMPUTED_VALUE"""),0.0)</f>
        <v>0</v>
      </c>
      <c r="M536" s="2">
        <f>IFERROR(__xludf.DUMMYFUNCTION("""COMPUTED_VALUE"""),18571.0)</f>
        <v>18571</v>
      </c>
      <c r="N536" s="2">
        <f>IFERROR(__xludf.DUMMYFUNCTION("""COMPUTED_VALUE"""),0.0)</f>
        <v>0</v>
      </c>
      <c r="O536" s="2">
        <f>IFERROR(__xludf.DUMMYFUNCTION("""COMPUTED_VALUE"""),18571.0)</f>
        <v>18571</v>
      </c>
      <c r="P536" s="2">
        <f>IFERROR(__xludf.DUMMYFUNCTION("""COMPUTED_VALUE"""),929.0)</f>
        <v>929</v>
      </c>
      <c r="Q536" s="2" t="str">
        <f>IFERROR(__xludf.DUMMYFUNCTION("""COMPUTED_VALUE"""),"Dine In")</f>
        <v>Dine In</v>
      </c>
      <c r="R536" s="2" t="str">
        <f>IFERROR(__xludf.DUMMYFUNCTION("""COMPUTED_VALUE"""),"Kedai")</f>
        <v>Kedai</v>
      </c>
      <c r="S536" s="2" t="str">
        <f>IFERROR(__xludf.DUMMYFUNCTION("""COMPUTED_VALUE"""),"Temu Roti")</f>
        <v>Temu Roti</v>
      </c>
      <c r="T536" s="2" t="str">
        <f>IFERROR(__xludf.DUMMYFUNCTION("""COMPUTED_VALUE"""),"Owner")</f>
        <v>Owner</v>
      </c>
      <c r="U536" s="2"/>
      <c r="V536" s="2"/>
      <c r="W536" s="2"/>
      <c r="X536" s="2" t="str">
        <f>IFERROR(__xludf.DUMMYFUNCTION("""COMPUTED_VALUE"""),"Closed")</f>
        <v>Closed</v>
      </c>
    </row>
    <row r="537">
      <c r="A537" s="3" t="s">
        <v>553</v>
      </c>
      <c r="B537" s="4">
        <f>IFERROR(__xludf.DUMMYFUNCTION("SPLIT(A537,"","",0,0)"),45554.57361111111)</f>
        <v>45554.57361</v>
      </c>
      <c r="C537" s="5">
        <f>IFERROR(__xludf.DUMMYFUNCTION("""COMPUTED_VALUE"""),2729491.0)</f>
        <v>2729491</v>
      </c>
      <c r="D537" s="2" t="str">
        <f>IFERROR(__xludf.DUMMYFUNCTION("""COMPUTED_VALUE"""),"Sale")</f>
        <v>Sale</v>
      </c>
      <c r="E537" s="2" t="str">
        <f>IFERROR(__xludf.DUMMYFUNCTION("""COMPUTED_VALUE"""),"Roti")</f>
        <v>Roti</v>
      </c>
      <c r="F537" s="2">
        <f>IFERROR(__xludf.DUMMYFUNCTION("""COMPUTED_VALUE"""),10005.0)</f>
        <v>10005</v>
      </c>
      <c r="G537" s="2" t="str">
        <f>IFERROR(__xludf.DUMMYFUNCTION("""COMPUTED_VALUE"""),"Roti Gandum Cokelat")</f>
        <v>Roti Gandum Cokelat</v>
      </c>
      <c r="H537" s="2"/>
      <c r="I537" s="2"/>
      <c r="J537" s="2">
        <f>IFERROR(__xludf.DUMMYFUNCTION("""COMPUTED_VALUE"""),1.0)</f>
        <v>1</v>
      </c>
      <c r="K537" s="6">
        <f>IFERROR(__xludf.DUMMYFUNCTION("""COMPUTED_VALUE"""),19524.0)</f>
        <v>19524</v>
      </c>
      <c r="L537" s="2">
        <f>IFERROR(__xludf.DUMMYFUNCTION("""COMPUTED_VALUE"""),0.0)</f>
        <v>0</v>
      </c>
      <c r="M537" s="2">
        <f>IFERROR(__xludf.DUMMYFUNCTION("""COMPUTED_VALUE"""),19524.0)</f>
        <v>19524</v>
      </c>
      <c r="N537" s="2">
        <f>IFERROR(__xludf.DUMMYFUNCTION("""COMPUTED_VALUE"""),0.0)</f>
        <v>0</v>
      </c>
      <c r="O537" s="2">
        <f>IFERROR(__xludf.DUMMYFUNCTION("""COMPUTED_VALUE"""),19524.0)</f>
        <v>19524</v>
      </c>
      <c r="P537" s="2">
        <f>IFERROR(__xludf.DUMMYFUNCTION("""COMPUTED_VALUE"""),976.0)</f>
        <v>976</v>
      </c>
      <c r="Q537" s="2" t="str">
        <f>IFERROR(__xludf.DUMMYFUNCTION("""COMPUTED_VALUE"""),"Dine In")</f>
        <v>Dine In</v>
      </c>
      <c r="R537" s="2" t="str">
        <f>IFERROR(__xludf.DUMMYFUNCTION("""COMPUTED_VALUE"""),"Kedai")</f>
        <v>Kedai</v>
      </c>
      <c r="S537" s="2" t="str">
        <f>IFERROR(__xludf.DUMMYFUNCTION("""COMPUTED_VALUE"""),"Temu Roti")</f>
        <v>Temu Roti</v>
      </c>
      <c r="T537" s="2" t="str">
        <f>IFERROR(__xludf.DUMMYFUNCTION("""COMPUTED_VALUE"""),"Owner")</f>
        <v>Owner</v>
      </c>
      <c r="U537" s="2"/>
      <c r="V537" s="2"/>
      <c r="W537" s="2"/>
      <c r="X537" s="2" t="str">
        <f>IFERROR(__xludf.DUMMYFUNCTION("""COMPUTED_VALUE"""),"Closed")</f>
        <v>Closed</v>
      </c>
    </row>
    <row r="538">
      <c r="A538" s="3" t="s">
        <v>554</v>
      </c>
      <c r="B538" s="4">
        <f>IFERROR(__xludf.DUMMYFUNCTION("SPLIT(A538,"","",0,0)"),45554.56180555555)</f>
        <v>45554.56181</v>
      </c>
      <c r="C538" s="5">
        <f>IFERROR(__xludf.DUMMYFUNCTION("""COMPUTED_VALUE"""),2729125.0)</f>
        <v>2729125</v>
      </c>
      <c r="D538" s="2" t="str">
        <f>IFERROR(__xludf.DUMMYFUNCTION("""COMPUTED_VALUE"""),"Sale")</f>
        <v>Sale</v>
      </c>
      <c r="E538" s="2" t="str">
        <f>IFERROR(__xludf.DUMMYFUNCTION("""COMPUTED_VALUE"""),"Hidangan Utama")</f>
        <v>Hidangan Utama</v>
      </c>
      <c r="F538" s="2">
        <f>IFERROR(__xludf.DUMMYFUNCTION("""COMPUTED_VALUE"""),10104.0)</f>
        <v>10104</v>
      </c>
      <c r="G538" s="2" t="str">
        <f>IFERROR(__xludf.DUMMYFUNCTION("""COMPUTED_VALUE"""),"Chicken Claypot Rice")</f>
        <v>Chicken Claypot Rice</v>
      </c>
      <c r="H538" s="2"/>
      <c r="I538" s="2"/>
      <c r="J538" s="2">
        <f>IFERROR(__xludf.DUMMYFUNCTION("""COMPUTED_VALUE"""),1.0)</f>
        <v>1</v>
      </c>
      <c r="K538" s="6">
        <f>IFERROR(__xludf.DUMMYFUNCTION("""COMPUTED_VALUE"""),34762.0)</f>
        <v>34762</v>
      </c>
      <c r="L538" s="2">
        <f>IFERROR(__xludf.DUMMYFUNCTION("""COMPUTED_VALUE"""),0.0)</f>
        <v>0</v>
      </c>
      <c r="M538" s="2">
        <f>IFERROR(__xludf.DUMMYFUNCTION("""COMPUTED_VALUE"""),34762.0)</f>
        <v>34762</v>
      </c>
      <c r="N538" s="2">
        <f>IFERROR(__xludf.DUMMYFUNCTION("""COMPUTED_VALUE"""),0.0)</f>
        <v>0</v>
      </c>
      <c r="O538" s="2">
        <f>IFERROR(__xludf.DUMMYFUNCTION("""COMPUTED_VALUE"""),34762.0)</f>
        <v>34762</v>
      </c>
      <c r="P538" s="2">
        <f>IFERROR(__xludf.DUMMYFUNCTION("""COMPUTED_VALUE"""),1738.0)</f>
        <v>1738</v>
      </c>
      <c r="Q538" s="2" t="str">
        <f>IFERROR(__xludf.DUMMYFUNCTION("""COMPUTED_VALUE"""),"Dine In")</f>
        <v>Dine In</v>
      </c>
      <c r="R538" s="2" t="str">
        <f>IFERROR(__xludf.DUMMYFUNCTION("""COMPUTED_VALUE"""),"Kedai")</f>
        <v>Kedai</v>
      </c>
      <c r="S538" s="2" t="str">
        <f>IFERROR(__xludf.DUMMYFUNCTION("""COMPUTED_VALUE"""),"Temu Roti")</f>
        <v>Temu Roti</v>
      </c>
      <c r="T538" s="2" t="str">
        <f>IFERROR(__xludf.DUMMYFUNCTION("""COMPUTED_VALUE"""),"Owner")</f>
        <v>Owner</v>
      </c>
      <c r="U538" s="2"/>
      <c r="V538" s="2"/>
      <c r="W538" s="2"/>
      <c r="X538" s="2" t="str">
        <f>IFERROR(__xludf.DUMMYFUNCTION("""COMPUTED_VALUE"""),"Closed")</f>
        <v>Closed</v>
      </c>
    </row>
    <row r="539">
      <c r="A539" s="3" t="s">
        <v>555</v>
      </c>
      <c r="B539" s="4">
        <f>IFERROR(__xludf.DUMMYFUNCTION("SPLIT(A539,"","",0,0)"),45554.56180555555)</f>
        <v>45554.56181</v>
      </c>
      <c r="C539" s="5">
        <f>IFERROR(__xludf.DUMMYFUNCTION("""COMPUTED_VALUE"""),2729125.0)</f>
        <v>2729125</v>
      </c>
      <c r="D539" s="2" t="str">
        <f>IFERROR(__xludf.DUMMYFUNCTION("""COMPUTED_VALUE"""),"Sale")</f>
        <v>Sale</v>
      </c>
      <c r="E539" s="2" t="str">
        <f>IFERROR(__xludf.DUMMYFUNCTION("""COMPUTED_VALUE"""),"Minuman")</f>
        <v>Minuman</v>
      </c>
      <c r="F539" s="2">
        <f>IFERROR(__xludf.DUMMYFUNCTION("""COMPUTED_VALUE"""),10106.0)</f>
        <v>10106</v>
      </c>
      <c r="G539" s="2" t="str">
        <f>IFERROR(__xludf.DUMMYFUNCTION("""COMPUTED_VALUE"""),"Korean Strawberry Fresh Milk")</f>
        <v>Korean Strawberry Fresh Milk</v>
      </c>
      <c r="H539" s="2"/>
      <c r="I539" s="2"/>
      <c r="J539" s="2">
        <f>IFERROR(__xludf.DUMMYFUNCTION("""COMPUTED_VALUE"""),2.0)</f>
        <v>2</v>
      </c>
      <c r="K539" s="6">
        <f>IFERROR(__xludf.DUMMYFUNCTION("""COMPUTED_VALUE"""),53334.0)</f>
        <v>53334</v>
      </c>
      <c r="L539" s="2">
        <f>IFERROR(__xludf.DUMMYFUNCTION("""COMPUTED_VALUE"""),0.0)</f>
        <v>0</v>
      </c>
      <c r="M539" s="2">
        <f>IFERROR(__xludf.DUMMYFUNCTION("""COMPUTED_VALUE"""),53334.0)</f>
        <v>53334</v>
      </c>
      <c r="N539" s="2">
        <f>IFERROR(__xludf.DUMMYFUNCTION("""COMPUTED_VALUE"""),0.0)</f>
        <v>0</v>
      </c>
      <c r="O539" s="2">
        <f>IFERROR(__xludf.DUMMYFUNCTION("""COMPUTED_VALUE"""),53334.0)</f>
        <v>53334</v>
      </c>
      <c r="P539" s="2">
        <f>IFERROR(__xludf.DUMMYFUNCTION("""COMPUTED_VALUE"""),2667.0)</f>
        <v>2667</v>
      </c>
      <c r="Q539" s="2" t="str">
        <f>IFERROR(__xludf.DUMMYFUNCTION("""COMPUTED_VALUE"""),"Dine In")</f>
        <v>Dine In</v>
      </c>
      <c r="R539" s="2" t="str">
        <f>IFERROR(__xludf.DUMMYFUNCTION("""COMPUTED_VALUE"""),"Kedai")</f>
        <v>Kedai</v>
      </c>
      <c r="S539" s="2" t="str">
        <f>IFERROR(__xludf.DUMMYFUNCTION("""COMPUTED_VALUE"""),"Temu Roti")</f>
        <v>Temu Roti</v>
      </c>
      <c r="T539" s="2" t="str">
        <f>IFERROR(__xludf.DUMMYFUNCTION("""COMPUTED_VALUE"""),"Owner")</f>
        <v>Owner</v>
      </c>
      <c r="U539" s="2"/>
      <c r="V539" s="2"/>
      <c r="W539" s="2"/>
      <c r="X539" s="2" t="str">
        <f>IFERROR(__xludf.DUMMYFUNCTION("""COMPUTED_VALUE"""),"Closed")</f>
        <v>Closed</v>
      </c>
    </row>
    <row r="540">
      <c r="A540" s="3" t="s">
        <v>556</v>
      </c>
      <c r="B540" s="4">
        <f>IFERROR(__xludf.DUMMYFUNCTION("SPLIT(A540,"","",0,0)"),45554.56180555555)</f>
        <v>45554.56181</v>
      </c>
      <c r="C540" s="5">
        <f>IFERROR(__xludf.DUMMYFUNCTION("""COMPUTED_VALUE"""),2729125.0)</f>
        <v>2729125</v>
      </c>
      <c r="D540" s="2" t="str">
        <f>IFERROR(__xludf.DUMMYFUNCTION("""COMPUTED_VALUE"""),"Sale")</f>
        <v>Sale</v>
      </c>
      <c r="E540" s="2" t="str">
        <f>IFERROR(__xludf.DUMMYFUNCTION("""COMPUTED_VALUE"""),"Minuman")</f>
        <v>Minuman</v>
      </c>
      <c r="F540" s="2">
        <f>IFERROR(__xludf.DUMMYFUNCTION("""COMPUTED_VALUE"""),10112.0)</f>
        <v>10112</v>
      </c>
      <c r="G540" s="2" t="str">
        <f>IFERROR(__xludf.DUMMYFUNCTION("""COMPUTED_VALUE"""),"Air mineral")</f>
        <v>Air mineral</v>
      </c>
      <c r="H540" s="2"/>
      <c r="I540" s="2"/>
      <c r="J540" s="2">
        <f>IFERROR(__xludf.DUMMYFUNCTION("""COMPUTED_VALUE"""),2.0)</f>
        <v>2</v>
      </c>
      <c r="K540" s="6">
        <f>IFERROR(__xludf.DUMMYFUNCTION("""COMPUTED_VALUE"""),13334.0)</f>
        <v>13334</v>
      </c>
      <c r="L540" s="2">
        <f>IFERROR(__xludf.DUMMYFUNCTION("""COMPUTED_VALUE"""),0.0)</f>
        <v>0</v>
      </c>
      <c r="M540" s="2">
        <f>IFERROR(__xludf.DUMMYFUNCTION("""COMPUTED_VALUE"""),13334.0)</f>
        <v>13334</v>
      </c>
      <c r="N540" s="2">
        <f>IFERROR(__xludf.DUMMYFUNCTION("""COMPUTED_VALUE"""),0.0)</f>
        <v>0</v>
      </c>
      <c r="O540" s="2">
        <f>IFERROR(__xludf.DUMMYFUNCTION("""COMPUTED_VALUE"""),13334.0)</f>
        <v>13334</v>
      </c>
      <c r="P540" s="2">
        <f>IFERROR(__xludf.DUMMYFUNCTION("""COMPUTED_VALUE"""),667.0)</f>
        <v>667</v>
      </c>
      <c r="Q540" s="2" t="str">
        <f>IFERROR(__xludf.DUMMYFUNCTION("""COMPUTED_VALUE"""),"Dine In")</f>
        <v>Dine In</v>
      </c>
      <c r="R540" s="2" t="str">
        <f>IFERROR(__xludf.DUMMYFUNCTION("""COMPUTED_VALUE"""),"Kedai")</f>
        <v>Kedai</v>
      </c>
      <c r="S540" s="2" t="str">
        <f>IFERROR(__xludf.DUMMYFUNCTION("""COMPUTED_VALUE"""),"Temu Roti")</f>
        <v>Temu Roti</v>
      </c>
      <c r="T540" s="2" t="str">
        <f>IFERROR(__xludf.DUMMYFUNCTION("""COMPUTED_VALUE"""),"Owner")</f>
        <v>Owner</v>
      </c>
      <c r="U540" s="2"/>
      <c r="V540" s="2"/>
      <c r="W540" s="2"/>
      <c r="X540" s="2" t="str">
        <f>IFERROR(__xludf.DUMMYFUNCTION("""COMPUTED_VALUE"""),"Closed")</f>
        <v>Closed</v>
      </c>
    </row>
    <row r="541">
      <c r="A541" s="3" t="s">
        <v>557</v>
      </c>
      <c r="B541" s="4">
        <f>IFERROR(__xludf.DUMMYFUNCTION("SPLIT(A541,"","",0,0)"),45554.56180555555)</f>
        <v>45554.56181</v>
      </c>
      <c r="C541" s="5">
        <f>IFERROR(__xludf.DUMMYFUNCTION("""COMPUTED_VALUE"""),2729125.0)</f>
        <v>2729125</v>
      </c>
      <c r="D541" s="2" t="str">
        <f>IFERROR(__xludf.DUMMYFUNCTION("""COMPUTED_VALUE"""),"Sale")</f>
        <v>Sale</v>
      </c>
      <c r="E541" s="2" t="str">
        <f>IFERROR(__xludf.DUMMYFUNCTION("""COMPUTED_VALUE"""),"Hidangan Utama")</f>
        <v>Hidangan Utama</v>
      </c>
      <c r="F541" s="2">
        <f>IFERROR(__xludf.DUMMYFUNCTION("""COMPUTED_VALUE"""),10105.0)</f>
        <v>10105</v>
      </c>
      <c r="G541" s="2" t="str">
        <f>IFERROR(__xludf.DUMMYFUNCTION("""COMPUTED_VALUE"""),"Beef Claypot Rice")</f>
        <v>Beef Claypot Rice</v>
      </c>
      <c r="H541" s="2"/>
      <c r="I541" s="2"/>
      <c r="J541" s="2">
        <f>IFERROR(__xludf.DUMMYFUNCTION("""COMPUTED_VALUE"""),2.0)</f>
        <v>2</v>
      </c>
      <c r="K541" s="6">
        <f>IFERROR(__xludf.DUMMYFUNCTION("""COMPUTED_VALUE"""),76190.0)</f>
        <v>76190</v>
      </c>
      <c r="L541" s="2">
        <f>IFERROR(__xludf.DUMMYFUNCTION("""COMPUTED_VALUE"""),0.0)</f>
        <v>0</v>
      </c>
      <c r="M541" s="2">
        <f>IFERROR(__xludf.DUMMYFUNCTION("""COMPUTED_VALUE"""),76190.0)</f>
        <v>76190</v>
      </c>
      <c r="N541" s="2">
        <f>IFERROR(__xludf.DUMMYFUNCTION("""COMPUTED_VALUE"""),0.0)</f>
        <v>0</v>
      </c>
      <c r="O541" s="2">
        <f>IFERROR(__xludf.DUMMYFUNCTION("""COMPUTED_VALUE"""),76190.0)</f>
        <v>76190</v>
      </c>
      <c r="P541" s="2">
        <f>IFERROR(__xludf.DUMMYFUNCTION("""COMPUTED_VALUE"""),3809.0)</f>
        <v>3809</v>
      </c>
      <c r="Q541" s="2" t="str">
        <f>IFERROR(__xludf.DUMMYFUNCTION("""COMPUTED_VALUE"""),"Dine In")</f>
        <v>Dine In</v>
      </c>
      <c r="R541" s="2" t="str">
        <f>IFERROR(__xludf.DUMMYFUNCTION("""COMPUTED_VALUE"""),"Kedai")</f>
        <v>Kedai</v>
      </c>
      <c r="S541" s="2" t="str">
        <f>IFERROR(__xludf.DUMMYFUNCTION("""COMPUTED_VALUE"""),"Temu Roti")</f>
        <v>Temu Roti</v>
      </c>
      <c r="T541" s="2" t="str">
        <f>IFERROR(__xludf.DUMMYFUNCTION("""COMPUTED_VALUE"""),"Owner")</f>
        <v>Owner</v>
      </c>
      <c r="U541" s="2"/>
      <c r="V541" s="2"/>
      <c r="W541" s="2"/>
      <c r="X541" s="2" t="str">
        <f>IFERROR(__xludf.DUMMYFUNCTION("""COMPUTED_VALUE"""),"Closed")</f>
        <v>Closed</v>
      </c>
    </row>
    <row r="542">
      <c r="A542" s="3" t="s">
        <v>558</v>
      </c>
      <c r="B542" s="4">
        <f>IFERROR(__xludf.DUMMYFUNCTION("SPLIT(A542,"","",0,0)"),45554.56180555555)</f>
        <v>45554.56181</v>
      </c>
      <c r="C542" s="5">
        <f>IFERROR(__xludf.DUMMYFUNCTION("""COMPUTED_VALUE"""),2729125.0)</f>
        <v>2729125</v>
      </c>
      <c r="D542" s="2" t="str">
        <f>IFERROR(__xludf.DUMMYFUNCTION("""COMPUTED_VALUE"""),"Sale")</f>
        <v>Sale</v>
      </c>
      <c r="E542" s="2" t="str">
        <f>IFERROR(__xludf.DUMMYFUNCTION("""COMPUTED_VALUE"""),"Hidangan Utama")</f>
        <v>Hidangan Utama</v>
      </c>
      <c r="F542" s="2">
        <f>IFERROR(__xludf.DUMMYFUNCTION("""COMPUTED_VALUE"""),10003.0)</f>
        <v>10003</v>
      </c>
      <c r="G542" s="2" t="str">
        <f>IFERROR(__xludf.DUMMYFUNCTION("""COMPUTED_VALUE"""),"Nasi Goreng Temu")</f>
        <v>Nasi Goreng Temu</v>
      </c>
      <c r="H542" s="2"/>
      <c r="I542" s="2"/>
      <c r="J542" s="2">
        <f>IFERROR(__xludf.DUMMYFUNCTION("""COMPUTED_VALUE"""),3.0)</f>
        <v>3</v>
      </c>
      <c r="K542" s="6">
        <f>IFERROR(__xludf.DUMMYFUNCTION("""COMPUTED_VALUE"""),88572.0)</f>
        <v>88572</v>
      </c>
      <c r="L542" s="2">
        <f>IFERROR(__xludf.DUMMYFUNCTION("""COMPUTED_VALUE"""),0.0)</f>
        <v>0</v>
      </c>
      <c r="M542" s="2">
        <f>IFERROR(__xludf.DUMMYFUNCTION("""COMPUTED_VALUE"""),88572.0)</f>
        <v>88572</v>
      </c>
      <c r="N542" s="2">
        <f>IFERROR(__xludf.DUMMYFUNCTION("""COMPUTED_VALUE"""),0.0)</f>
        <v>0</v>
      </c>
      <c r="O542" s="2">
        <f>IFERROR(__xludf.DUMMYFUNCTION("""COMPUTED_VALUE"""),88572.0)</f>
        <v>88572</v>
      </c>
      <c r="P542" s="2">
        <f>IFERROR(__xludf.DUMMYFUNCTION("""COMPUTED_VALUE"""),4429.0)</f>
        <v>4429</v>
      </c>
      <c r="Q542" s="2" t="str">
        <f>IFERROR(__xludf.DUMMYFUNCTION("""COMPUTED_VALUE"""),"Dine In")</f>
        <v>Dine In</v>
      </c>
      <c r="R542" s="2" t="str">
        <f>IFERROR(__xludf.DUMMYFUNCTION("""COMPUTED_VALUE"""),"Kedai")</f>
        <v>Kedai</v>
      </c>
      <c r="S542" s="2" t="str">
        <f>IFERROR(__xludf.DUMMYFUNCTION("""COMPUTED_VALUE"""),"Temu Roti")</f>
        <v>Temu Roti</v>
      </c>
      <c r="T542" s="2" t="str">
        <f>IFERROR(__xludf.DUMMYFUNCTION("""COMPUTED_VALUE"""),"Owner")</f>
        <v>Owner</v>
      </c>
      <c r="U542" s="2"/>
      <c r="V542" s="2"/>
      <c r="W542" s="2"/>
      <c r="X542" s="2" t="str">
        <f>IFERROR(__xludf.DUMMYFUNCTION("""COMPUTED_VALUE"""),"Closed")</f>
        <v>Closed</v>
      </c>
    </row>
    <row r="543">
      <c r="A543" s="3" t="s">
        <v>559</v>
      </c>
      <c r="B543" s="4">
        <f>IFERROR(__xludf.DUMMYFUNCTION("SPLIT(A543,"","",0,0)"),45554.56180555555)</f>
        <v>45554.56181</v>
      </c>
      <c r="C543" s="5">
        <f>IFERROR(__xludf.DUMMYFUNCTION("""COMPUTED_VALUE"""),2729125.0)</f>
        <v>2729125</v>
      </c>
      <c r="D543" s="2" t="str">
        <f>IFERROR(__xludf.DUMMYFUNCTION("""COMPUTED_VALUE"""),"Sale")</f>
        <v>Sale</v>
      </c>
      <c r="E543" s="2" t="str">
        <f>IFERROR(__xludf.DUMMYFUNCTION("""COMPUTED_VALUE"""),"Minuman")</f>
        <v>Minuman</v>
      </c>
      <c r="F543" s="2">
        <f>IFERROR(__xludf.DUMMYFUNCTION("""COMPUTED_VALUE"""),10128.0)</f>
        <v>10128</v>
      </c>
      <c r="G543" s="2" t="str">
        <f>IFERROR(__xludf.DUMMYFUNCTION("""COMPUTED_VALUE"""),"Es Kopi Susu")</f>
        <v>Es Kopi Susu</v>
      </c>
      <c r="H543" s="2"/>
      <c r="I543" s="2"/>
      <c r="J543" s="2">
        <f>IFERROR(__xludf.DUMMYFUNCTION("""COMPUTED_VALUE"""),5.0)</f>
        <v>5</v>
      </c>
      <c r="K543" s="6">
        <f>IFERROR(__xludf.DUMMYFUNCTION("""COMPUTED_VALUE"""),116665.0)</f>
        <v>116665</v>
      </c>
      <c r="L543" s="2">
        <f>IFERROR(__xludf.DUMMYFUNCTION("""COMPUTED_VALUE"""),0.0)</f>
        <v>0</v>
      </c>
      <c r="M543" s="2">
        <f>IFERROR(__xludf.DUMMYFUNCTION("""COMPUTED_VALUE"""),116665.0)</f>
        <v>116665</v>
      </c>
      <c r="N543" s="2">
        <f>IFERROR(__xludf.DUMMYFUNCTION("""COMPUTED_VALUE"""),0.0)</f>
        <v>0</v>
      </c>
      <c r="O543" s="2">
        <f>IFERROR(__xludf.DUMMYFUNCTION("""COMPUTED_VALUE"""),116665.0)</f>
        <v>116665</v>
      </c>
      <c r="P543" s="2">
        <f>IFERROR(__xludf.DUMMYFUNCTION("""COMPUTED_VALUE"""),5833.0)</f>
        <v>5833</v>
      </c>
      <c r="Q543" s="2" t="str">
        <f>IFERROR(__xludf.DUMMYFUNCTION("""COMPUTED_VALUE"""),"Dine In")</f>
        <v>Dine In</v>
      </c>
      <c r="R543" s="2" t="str">
        <f>IFERROR(__xludf.DUMMYFUNCTION("""COMPUTED_VALUE"""),"Kedai")</f>
        <v>Kedai</v>
      </c>
      <c r="S543" s="2" t="str">
        <f>IFERROR(__xludf.DUMMYFUNCTION("""COMPUTED_VALUE"""),"Temu Roti")</f>
        <v>Temu Roti</v>
      </c>
      <c r="T543" s="2" t="str">
        <f>IFERROR(__xludf.DUMMYFUNCTION("""COMPUTED_VALUE"""),"Owner")</f>
        <v>Owner</v>
      </c>
      <c r="U543" s="2"/>
      <c r="V543" s="2"/>
      <c r="W543" s="2"/>
      <c r="X543" s="2" t="str">
        <f>IFERROR(__xludf.DUMMYFUNCTION("""COMPUTED_VALUE"""),"Closed")</f>
        <v>Closed</v>
      </c>
    </row>
    <row r="544">
      <c r="A544" s="3" t="s">
        <v>560</v>
      </c>
      <c r="B544" s="4">
        <f>IFERROR(__xludf.DUMMYFUNCTION("SPLIT(A544,"","",0,0)"),45554.46805555555)</f>
        <v>45554.46806</v>
      </c>
      <c r="C544" s="5">
        <f>IFERROR(__xludf.DUMMYFUNCTION("""COMPUTED_VALUE"""),2728760.0)</f>
        <v>2728760</v>
      </c>
      <c r="D544" s="2" t="str">
        <f>IFERROR(__xludf.DUMMYFUNCTION("""COMPUTED_VALUE"""),"Sale")</f>
        <v>Sale</v>
      </c>
      <c r="E544" s="2" t="str">
        <f>IFERROR(__xludf.DUMMYFUNCTION("""COMPUTED_VALUE"""),"Hidangan Utama")</f>
        <v>Hidangan Utama</v>
      </c>
      <c r="F544" s="2">
        <f>IFERROR(__xludf.DUMMYFUNCTION("""COMPUTED_VALUE"""),10003.0)</f>
        <v>10003</v>
      </c>
      <c r="G544" s="2" t="str">
        <f>IFERROR(__xludf.DUMMYFUNCTION("""COMPUTED_VALUE"""),"Nasi Goreng Temu")</f>
        <v>Nasi Goreng Temu</v>
      </c>
      <c r="H544" s="2"/>
      <c r="I544" s="2"/>
      <c r="J544" s="2">
        <f>IFERROR(__xludf.DUMMYFUNCTION("""COMPUTED_VALUE"""),1.0)</f>
        <v>1</v>
      </c>
      <c r="K544" s="6">
        <f>IFERROR(__xludf.DUMMYFUNCTION("""COMPUTED_VALUE"""),29524.0)</f>
        <v>29524</v>
      </c>
      <c r="L544" s="2">
        <f>IFERROR(__xludf.DUMMYFUNCTION("""COMPUTED_VALUE"""),0.0)</f>
        <v>0</v>
      </c>
      <c r="M544" s="2">
        <f>IFERROR(__xludf.DUMMYFUNCTION("""COMPUTED_VALUE"""),29524.0)</f>
        <v>29524</v>
      </c>
      <c r="N544" s="2">
        <f>IFERROR(__xludf.DUMMYFUNCTION("""COMPUTED_VALUE"""),0.0)</f>
        <v>0</v>
      </c>
      <c r="O544" s="2">
        <f>IFERROR(__xludf.DUMMYFUNCTION("""COMPUTED_VALUE"""),29524.0)</f>
        <v>29524</v>
      </c>
      <c r="P544" s="2">
        <f>IFERROR(__xludf.DUMMYFUNCTION("""COMPUTED_VALUE"""),1476.0)</f>
        <v>1476</v>
      </c>
      <c r="Q544" s="2" t="str">
        <f>IFERROR(__xludf.DUMMYFUNCTION("""COMPUTED_VALUE"""),"Dine In")</f>
        <v>Dine In</v>
      </c>
      <c r="R544" s="2" t="str">
        <f>IFERROR(__xludf.DUMMYFUNCTION("""COMPUTED_VALUE"""),"Kedai")</f>
        <v>Kedai</v>
      </c>
      <c r="S544" s="2" t="str">
        <f>IFERROR(__xludf.DUMMYFUNCTION("""COMPUTED_VALUE"""),"Temu Roti")</f>
        <v>Temu Roti</v>
      </c>
      <c r="T544" s="2" t="str">
        <f>IFERROR(__xludf.DUMMYFUNCTION("""COMPUTED_VALUE"""),"Owner")</f>
        <v>Owner</v>
      </c>
      <c r="U544" s="2"/>
      <c r="V544" s="2"/>
      <c r="W544" s="2"/>
      <c r="X544" s="2" t="str">
        <f>IFERROR(__xludf.DUMMYFUNCTION("""COMPUTED_VALUE"""),"Closed")</f>
        <v>Closed</v>
      </c>
    </row>
    <row r="545">
      <c r="A545" s="3" t="s">
        <v>561</v>
      </c>
      <c r="B545" s="4">
        <f>IFERROR(__xludf.DUMMYFUNCTION("SPLIT(A545,"","",0,0)"),45554.46805555555)</f>
        <v>45554.46806</v>
      </c>
      <c r="C545" s="5">
        <f>IFERROR(__xludf.DUMMYFUNCTION("""COMPUTED_VALUE"""),2728760.0)</f>
        <v>2728760</v>
      </c>
      <c r="D545" s="2" t="str">
        <f>IFERROR(__xludf.DUMMYFUNCTION("""COMPUTED_VALUE"""),"Sale")</f>
        <v>Sale</v>
      </c>
      <c r="E545" s="2" t="str">
        <f>IFERROR(__xludf.DUMMYFUNCTION("""COMPUTED_VALUE"""),"Minuman")</f>
        <v>Minuman</v>
      </c>
      <c r="F545" s="2">
        <f>IFERROR(__xludf.DUMMYFUNCTION("""COMPUTED_VALUE"""),10128.0)</f>
        <v>10128</v>
      </c>
      <c r="G545" s="2" t="str">
        <f>IFERROR(__xludf.DUMMYFUNCTION("""COMPUTED_VALUE"""),"Es Kopi Susu")</f>
        <v>Es Kopi Susu</v>
      </c>
      <c r="H545" s="2"/>
      <c r="I545" s="2"/>
      <c r="J545" s="2">
        <f>IFERROR(__xludf.DUMMYFUNCTION("""COMPUTED_VALUE"""),1.0)</f>
        <v>1</v>
      </c>
      <c r="K545" s="6">
        <f>IFERROR(__xludf.DUMMYFUNCTION("""COMPUTED_VALUE"""),23333.0)</f>
        <v>23333</v>
      </c>
      <c r="L545" s="2">
        <f>IFERROR(__xludf.DUMMYFUNCTION("""COMPUTED_VALUE"""),0.0)</f>
        <v>0</v>
      </c>
      <c r="M545" s="2">
        <f>IFERROR(__xludf.DUMMYFUNCTION("""COMPUTED_VALUE"""),23333.0)</f>
        <v>23333</v>
      </c>
      <c r="N545" s="2">
        <f>IFERROR(__xludf.DUMMYFUNCTION("""COMPUTED_VALUE"""),0.0)</f>
        <v>0</v>
      </c>
      <c r="O545" s="2">
        <f>IFERROR(__xludf.DUMMYFUNCTION("""COMPUTED_VALUE"""),23333.0)</f>
        <v>23333</v>
      </c>
      <c r="P545" s="2">
        <f>IFERROR(__xludf.DUMMYFUNCTION("""COMPUTED_VALUE"""),1167.0)</f>
        <v>1167</v>
      </c>
      <c r="Q545" s="2" t="str">
        <f>IFERROR(__xludf.DUMMYFUNCTION("""COMPUTED_VALUE"""),"Dine In")</f>
        <v>Dine In</v>
      </c>
      <c r="R545" s="2" t="str">
        <f>IFERROR(__xludf.DUMMYFUNCTION("""COMPUTED_VALUE"""),"Kedai")</f>
        <v>Kedai</v>
      </c>
      <c r="S545" s="2" t="str">
        <f>IFERROR(__xludf.DUMMYFUNCTION("""COMPUTED_VALUE"""),"Temu Roti")</f>
        <v>Temu Roti</v>
      </c>
      <c r="T545" s="2" t="str">
        <f>IFERROR(__xludf.DUMMYFUNCTION("""COMPUTED_VALUE"""),"Owner")</f>
        <v>Owner</v>
      </c>
      <c r="U545" s="2"/>
      <c r="V545" s="2"/>
      <c r="W545" s="2"/>
      <c r="X545" s="2" t="str">
        <f>IFERROR(__xludf.DUMMYFUNCTION("""COMPUTED_VALUE"""),"Closed")</f>
        <v>Closed</v>
      </c>
    </row>
    <row r="546">
      <c r="A546" s="3" t="s">
        <v>562</v>
      </c>
      <c r="B546" s="4">
        <f>IFERROR(__xludf.DUMMYFUNCTION("SPLIT(A546,"","",0,0)"),45553.80763888889)</f>
        <v>45553.80764</v>
      </c>
      <c r="C546" s="5">
        <f>IFERROR(__xludf.DUMMYFUNCTION("""COMPUTED_VALUE"""),2728395.0)</f>
        <v>2728395</v>
      </c>
      <c r="D546" s="2" t="str">
        <f>IFERROR(__xludf.DUMMYFUNCTION("""COMPUTED_VALUE"""),"Sale")</f>
        <v>Sale</v>
      </c>
      <c r="E546" s="2" t="str">
        <f>IFERROR(__xludf.DUMMYFUNCTION("""COMPUTED_VALUE"""),"Minuman")</f>
        <v>Minuman</v>
      </c>
      <c r="F546" s="2">
        <f>IFERROR(__xludf.DUMMYFUNCTION("""COMPUTED_VALUE"""),10119.0)</f>
        <v>10119</v>
      </c>
      <c r="G546" s="2" t="str">
        <f>IFERROR(__xludf.DUMMYFUNCTION("""COMPUTED_VALUE"""),"Teh Tawar Dingin")</f>
        <v>Teh Tawar Dingin</v>
      </c>
      <c r="H546" s="2"/>
      <c r="I546" s="2"/>
      <c r="J546" s="2">
        <f>IFERROR(__xludf.DUMMYFUNCTION("""COMPUTED_VALUE"""),1.0)</f>
        <v>1</v>
      </c>
      <c r="K546" s="6">
        <f>IFERROR(__xludf.DUMMYFUNCTION("""COMPUTED_VALUE"""),7143.0)</f>
        <v>7143</v>
      </c>
      <c r="L546" s="2">
        <f>IFERROR(__xludf.DUMMYFUNCTION("""COMPUTED_VALUE"""),0.0)</f>
        <v>0</v>
      </c>
      <c r="M546" s="2">
        <f>IFERROR(__xludf.DUMMYFUNCTION("""COMPUTED_VALUE"""),7143.0)</f>
        <v>7143</v>
      </c>
      <c r="N546" s="2">
        <f>IFERROR(__xludf.DUMMYFUNCTION("""COMPUTED_VALUE"""),0.0)</f>
        <v>0</v>
      </c>
      <c r="O546" s="2">
        <f>IFERROR(__xludf.DUMMYFUNCTION("""COMPUTED_VALUE"""),7143.0)</f>
        <v>7143</v>
      </c>
      <c r="P546" s="2">
        <f>IFERROR(__xludf.DUMMYFUNCTION("""COMPUTED_VALUE"""),357.0)</f>
        <v>357</v>
      </c>
      <c r="Q546" s="2" t="str">
        <f>IFERROR(__xludf.DUMMYFUNCTION("""COMPUTED_VALUE"""),"Dine In")</f>
        <v>Dine In</v>
      </c>
      <c r="R546" s="2" t="str">
        <f>IFERROR(__xludf.DUMMYFUNCTION("""COMPUTED_VALUE"""),"Kedai")</f>
        <v>Kedai</v>
      </c>
      <c r="S546" s="2" t="str">
        <f>IFERROR(__xludf.DUMMYFUNCTION("""COMPUTED_VALUE"""),"Temu Roti")</f>
        <v>Temu Roti</v>
      </c>
      <c r="T546" s="2" t="str">
        <f>IFERROR(__xludf.DUMMYFUNCTION("""COMPUTED_VALUE"""),"Owner")</f>
        <v>Owner</v>
      </c>
      <c r="U546" s="2"/>
      <c r="V546" s="2"/>
      <c r="W546" s="2"/>
      <c r="X546" s="2" t="str">
        <f>IFERROR(__xludf.DUMMYFUNCTION("""COMPUTED_VALUE"""),"Closed")</f>
        <v>Closed</v>
      </c>
    </row>
    <row r="547">
      <c r="A547" s="3" t="s">
        <v>563</v>
      </c>
      <c r="B547" s="4">
        <f>IFERROR(__xludf.DUMMYFUNCTION("SPLIT(A547,"","",0,0)"),45553.80763888889)</f>
        <v>45553.80764</v>
      </c>
      <c r="C547" s="5">
        <f>IFERROR(__xludf.DUMMYFUNCTION("""COMPUTED_VALUE"""),2728395.0)</f>
        <v>2728395</v>
      </c>
      <c r="D547" s="2" t="str">
        <f>IFERROR(__xludf.DUMMYFUNCTION("""COMPUTED_VALUE"""),"Sale")</f>
        <v>Sale</v>
      </c>
      <c r="E547" s="2" t="str">
        <f>IFERROR(__xludf.DUMMYFUNCTION("""COMPUTED_VALUE"""),"Minuman")</f>
        <v>Minuman</v>
      </c>
      <c r="F547" s="2">
        <f>IFERROR(__xludf.DUMMYFUNCTION("""COMPUTED_VALUE"""),10058.0)</f>
        <v>10058</v>
      </c>
      <c r="G547" s="2" t="str">
        <f>IFERROR(__xludf.DUMMYFUNCTION("""COMPUTED_VALUE"""),"Susu murni ori")</f>
        <v>Susu murni ori</v>
      </c>
      <c r="H547" s="2"/>
      <c r="I547" s="2"/>
      <c r="J547" s="2">
        <f>IFERROR(__xludf.DUMMYFUNCTION("""COMPUTED_VALUE"""),1.0)</f>
        <v>1</v>
      </c>
      <c r="K547" s="6">
        <f>IFERROR(__xludf.DUMMYFUNCTION("""COMPUTED_VALUE"""),19524.0)</f>
        <v>19524</v>
      </c>
      <c r="L547" s="2">
        <f>IFERROR(__xludf.DUMMYFUNCTION("""COMPUTED_VALUE"""),0.0)</f>
        <v>0</v>
      </c>
      <c r="M547" s="2">
        <f>IFERROR(__xludf.DUMMYFUNCTION("""COMPUTED_VALUE"""),19524.0)</f>
        <v>19524</v>
      </c>
      <c r="N547" s="2">
        <f>IFERROR(__xludf.DUMMYFUNCTION("""COMPUTED_VALUE"""),0.0)</f>
        <v>0</v>
      </c>
      <c r="O547" s="2">
        <f>IFERROR(__xludf.DUMMYFUNCTION("""COMPUTED_VALUE"""),19524.0)</f>
        <v>19524</v>
      </c>
      <c r="P547" s="2">
        <f>IFERROR(__xludf.DUMMYFUNCTION("""COMPUTED_VALUE"""),976.0)</f>
        <v>976</v>
      </c>
      <c r="Q547" s="2" t="str">
        <f>IFERROR(__xludf.DUMMYFUNCTION("""COMPUTED_VALUE"""),"Dine In")</f>
        <v>Dine In</v>
      </c>
      <c r="R547" s="2" t="str">
        <f>IFERROR(__xludf.DUMMYFUNCTION("""COMPUTED_VALUE"""),"Kedai")</f>
        <v>Kedai</v>
      </c>
      <c r="S547" s="2" t="str">
        <f>IFERROR(__xludf.DUMMYFUNCTION("""COMPUTED_VALUE"""),"Temu Roti")</f>
        <v>Temu Roti</v>
      </c>
      <c r="T547" s="2" t="str">
        <f>IFERROR(__xludf.DUMMYFUNCTION("""COMPUTED_VALUE"""),"Owner")</f>
        <v>Owner</v>
      </c>
      <c r="U547" s="2"/>
      <c r="V547" s="2"/>
      <c r="W547" s="2"/>
      <c r="X547" s="2" t="str">
        <f>IFERROR(__xludf.DUMMYFUNCTION("""COMPUTED_VALUE"""),"Closed")</f>
        <v>Closed</v>
      </c>
    </row>
    <row r="548">
      <c r="A548" s="3" t="s">
        <v>564</v>
      </c>
      <c r="B548" s="4">
        <f>IFERROR(__xludf.DUMMYFUNCTION("SPLIT(A548,"","",0,0)"),45553.80763888889)</f>
        <v>45553.80764</v>
      </c>
      <c r="C548" s="5">
        <f>IFERROR(__xludf.DUMMYFUNCTION("""COMPUTED_VALUE"""),2728395.0)</f>
        <v>2728395</v>
      </c>
      <c r="D548" s="2" t="str">
        <f>IFERROR(__xludf.DUMMYFUNCTION("""COMPUTED_VALUE"""),"Sale")</f>
        <v>Sale</v>
      </c>
      <c r="E548" s="2" t="str">
        <f>IFERROR(__xludf.DUMMYFUNCTION("""COMPUTED_VALUE"""),"Kudapan")</f>
        <v>Kudapan</v>
      </c>
      <c r="F548" s="2">
        <f>IFERROR(__xludf.DUMMYFUNCTION("""COMPUTED_VALUE"""),10015.0)</f>
        <v>10015</v>
      </c>
      <c r="G548" s="2" t="str">
        <f>IFERROR(__xludf.DUMMYFUNCTION("""COMPUTED_VALUE"""),"Tahu Lada Garam")</f>
        <v>Tahu Lada Garam</v>
      </c>
      <c r="H548" s="2"/>
      <c r="I548" s="2"/>
      <c r="J548" s="2">
        <f>IFERROR(__xludf.DUMMYFUNCTION("""COMPUTED_VALUE"""),1.0)</f>
        <v>1</v>
      </c>
      <c r="K548" s="6">
        <f>IFERROR(__xludf.DUMMYFUNCTION("""COMPUTED_VALUE"""),25238.0)</f>
        <v>25238</v>
      </c>
      <c r="L548" s="2">
        <f>IFERROR(__xludf.DUMMYFUNCTION("""COMPUTED_VALUE"""),0.0)</f>
        <v>0</v>
      </c>
      <c r="M548" s="2">
        <f>IFERROR(__xludf.DUMMYFUNCTION("""COMPUTED_VALUE"""),25238.0)</f>
        <v>25238</v>
      </c>
      <c r="N548" s="2">
        <f>IFERROR(__xludf.DUMMYFUNCTION("""COMPUTED_VALUE"""),0.0)</f>
        <v>0</v>
      </c>
      <c r="O548" s="2">
        <f>IFERROR(__xludf.DUMMYFUNCTION("""COMPUTED_VALUE"""),25238.0)</f>
        <v>25238</v>
      </c>
      <c r="P548" s="2">
        <f>IFERROR(__xludf.DUMMYFUNCTION("""COMPUTED_VALUE"""),1262.0)</f>
        <v>1262</v>
      </c>
      <c r="Q548" s="2" t="str">
        <f>IFERROR(__xludf.DUMMYFUNCTION("""COMPUTED_VALUE"""),"Dine In")</f>
        <v>Dine In</v>
      </c>
      <c r="R548" s="2" t="str">
        <f>IFERROR(__xludf.DUMMYFUNCTION("""COMPUTED_VALUE"""),"Kedai")</f>
        <v>Kedai</v>
      </c>
      <c r="S548" s="2" t="str">
        <f>IFERROR(__xludf.DUMMYFUNCTION("""COMPUTED_VALUE"""),"Temu Roti")</f>
        <v>Temu Roti</v>
      </c>
      <c r="T548" s="2" t="str">
        <f>IFERROR(__xludf.DUMMYFUNCTION("""COMPUTED_VALUE"""),"Owner")</f>
        <v>Owner</v>
      </c>
      <c r="U548" s="2"/>
      <c r="V548" s="2"/>
      <c r="W548" s="2"/>
      <c r="X548" s="2" t="str">
        <f>IFERROR(__xludf.DUMMYFUNCTION("""COMPUTED_VALUE"""),"Closed")</f>
        <v>Closed</v>
      </c>
    </row>
    <row r="549">
      <c r="A549" s="3" t="s">
        <v>565</v>
      </c>
      <c r="B549" s="4">
        <f>IFERROR(__xludf.DUMMYFUNCTION("SPLIT(A549,"","",0,0)"),45553.72638888889)</f>
        <v>45553.72639</v>
      </c>
      <c r="C549" s="5">
        <f>IFERROR(__xludf.DUMMYFUNCTION("""COMPUTED_VALUE"""),2728030.0)</f>
        <v>2728030</v>
      </c>
      <c r="D549" s="2" t="str">
        <f>IFERROR(__xludf.DUMMYFUNCTION("""COMPUTED_VALUE"""),"Sale")</f>
        <v>Sale</v>
      </c>
      <c r="E549" s="2" t="str">
        <f>IFERROR(__xludf.DUMMYFUNCTION("""COMPUTED_VALUE"""),"Roti")</f>
        <v>Roti</v>
      </c>
      <c r="F549" s="2">
        <f>IFERROR(__xludf.DUMMYFUNCTION("""COMPUTED_VALUE"""),10055.0)</f>
        <v>10055</v>
      </c>
      <c r="G549" s="2" t="str">
        <f>IFERROR(__xludf.DUMMYFUNCTION("""COMPUTED_VALUE"""),"Roti Gandum Cokelat 2 pcs")</f>
        <v>Roti Gandum Cokelat 2 pcs</v>
      </c>
      <c r="H549" s="2"/>
      <c r="I549" s="2"/>
      <c r="J549" s="2">
        <f>IFERROR(__xludf.DUMMYFUNCTION("""COMPUTED_VALUE"""),1.0)</f>
        <v>1</v>
      </c>
      <c r="K549" s="6">
        <f>IFERROR(__xludf.DUMMYFUNCTION("""COMPUTED_VALUE"""),34762.0)</f>
        <v>34762</v>
      </c>
      <c r="L549" s="2">
        <f>IFERROR(__xludf.DUMMYFUNCTION("""COMPUTED_VALUE"""),0.0)</f>
        <v>0</v>
      </c>
      <c r="M549" s="2">
        <f>IFERROR(__xludf.DUMMYFUNCTION("""COMPUTED_VALUE"""),34762.0)</f>
        <v>34762</v>
      </c>
      <c r="N549" s="2">
        <f>IFERROR(__xludf.DUMMYFUNCTION("""COMPUTED_VALUE"""),0.0)</f>
        <v>0</v>
      </c>
      <c r="O549" s="2">
        <f>IFERROR(__xludf.DUMMYFUNCTION("""COMPUTED_VALUE"""),34762.0)</f>
        <v>34762</v>
      </c>
      <c r="P549" s="2">
        <f>IFERROR(__xludf.DUMMYFUNCTION("""COMPUTED_VALUE"""),1738.0)</f>
        <v>1738</v>
      </c>
      <c r="Q549" s="2" t="str">
        <f>IFERROR(__xludf.DUMMYFUNCTION("""COMPUTED_VALUE"""),"Dine In")</f>
        <v>Dine In</v>
      </c>
      <c r="R549" s="2" t="str">
        <f>IFERROR(__xludf.DUMMYFUNCTION("""COMPUTED_VALUE"""),"Kedai")</f>
        <v>Kedai</v>
      </c>
      <c r="S549" s="2" t="str">
        <f>IFERROR(__xludf.DUMMYFUNCTION("""COMPUTED_VALUE"""),"Temu Roti")</f>
        <v>Temu Roti</v>
      </c>
      <c r="T549" s="2" t="str">
        <f>IFERROR(__xludf.DUMMYFUNCTION("""COMPUTED_VALUE"""),"Owner")</f>
        <v>Owner</v>
      </c>
      <c r="U549" s="2"/>
      <c r="V549" s="2"/>
      <c r="W549" s="2"/>
      <c r="X549" s="2" t="str">
        <f>IFERROR(__xludf.DUMMYFUNCTION("""COMPUTED_VALUE"""),"Closed")</f>
        <v>Closed</v>
      </c>
    </row>
    <row r="550">
      <c r="A550" s="3" t="s">
        <v>566</v>
      </c>
      <c r="B550" s="4">
        <f>IFERROR(__xludf.DUMMYFUNCTION("SPLIT(A550,"","",0,0)"),45553.697916666664)</f>
        <v>45553.69792</v>
      </c>
      <c r="C550" s="5">
        <f>IFERROR(__xludf.DUMMYFUNCTION("""COMPUTED_VALUE"""),2727664.0)</f>
        <v>2727664</v>
      </c>
      <c r="D550" s="2" t="str">
        <f>IFERROR(__xludf.DUMMYFUNCTION("""COMPUTED_VALUE"""),"Sale")</f>
        <v>Sale</v>
      </c>
      <c r="E550" s="2" t="str">
        <f>IFERROR(__xludf.DUMMYFUNCTION("""COMPUTED_VALUE"""),"Roti")</f>
        <v>Roti</v>
      </c>
      <c r="F550" s="2">
        <f>IFERROR(__xludf.DUMMYFUNCTION("""COMPUTED_VALUE"""),10002.0)</f>
        <v>10002</v>
      </c>
      <c r="G550" s="2" t="str">
        <f>IFERROR(__xludf.DUMMYFUNCTION("""COMPUTED_VALUE"""),"Roti Cranberry")</f>
        <v>Roti Cranberry</v>
      </c>
      <c r="H550" s="2"/>
      <c r="I550" s="2"/>
      <c r="J550" s="2">
        <f>IFERROR(__xludf.DUMMYFUNCTION("""COMPUTED_VALUE"""),1.0)</f>
        <v>1</v>
      </c>
      <c r="K550" s="6">
        <f>IFERROR(__xludf.DUMMYFUNCTION("""COMPUTED_VALUE"""),18571.0)</f>
        <v>18571</v>
      </c>
      <c r="L550" s="2">
        <f>IFERROR(__xludf.DUMMYFUNCTION("""COMPUTED_VALUE"""),0.0)</f>
        <v>0</v>
      </c>
      <c r="M550" s="2">
        <f>IFERROR(__xludf.DUMMYFUNCTION("""COMPUTED_VALUE"""),18571.0)</f>
        <v>18571</v>
      </c>
      <c r="N550" s="2">
        <f>IFERROR(__xludf.DUMMYFUNCTION("""COMPUTED_VALUE"""),0.0)</f>
        <v>0</v>
      </c>
      <c r="O550" s="2">
        <f>IFERROR(__xludf.DUMMYFUNCTION("""COMPUTED_VALUE"""),18571.0)</f>
        <v>18571</v>
      </c>
      <c r="P550" s="2">
        <f>IFERROR(__xludf.DUMMYFUNCTION("""COMPUTED_VALUE"""),929.0)</f>
        <v>929</v>
      </c>
      <c r="Q550" s="2" t="str">
        <f>IFERROR(__xludf.DUMMYFUNCTION("""COMPUTED_VALUE"""),"Dine In")</f>
        <v>Dine In</v>
      </c>
      <c r="R550" s="2" t="str">
        <f>IFERROR(__xludf.DUMMYFUNCTION("""COMPUTED_VALUE"""),"Kedai")</f>
        <v>Kedai</v>
      </c>
      <c r="S550" s="2" t="str">
        <f>IFERROR(__xludf.DUMMYFUNCTION("""COMPUTED_VALUE"""),"Temu Roti")</f>
        <v>Temu Roti</v>
      </c>
      <c r="T550" s="2" t="str">
        <f>IFERROR(__xludf.DUMMYFUNCTION("""COMPUTED_VALUE"""),"Owner")</f>
        <v>Owner</v>
      </c>
      <c r="U550" s="2"/>
      <c r="V550" s="2"/>
      <c r="W550" s="2"/>
      <c r="X550" s="2" t="str">
        <f>IFERROR(__xludf.DUMMYFUNCTION("""COMPUTED_VALUE"""),"Closed")</f>
        <v>Closed</v>
      </c>
    </row>
    <row r="551">
      <c r="A551" s="3" t="s">
        <v>567</v>
      </c>
      <c r="B551" s="4">
        <f>IFERROR(__xludf.DUMMYFUNCTION("SPLIT(A551,"","",0,0)"),45553.697916666664)</f>
        <v>45553.69792</v>
      </c>
      <c r="C551" s="5">
        <f>IFERROR(__xludf.DUMMYFUNCTION("""COMPUTED_VALUE"""),2727664.0)</f>
        <v>2727664</v>
      </c>
      <c r="D551" s="2" t="str">
        <f>IFERROR(__xludf.DUMMYFUNCTION("""COMPUTED_VALUE"""),"Sale")</f>
        <v>Sale</v>
      </c>
      <c r="E551" s="2" t="str">
        <f>IFERROR(__xludf.DUMMYFUNCTION("""COMPUTED_VALUE"""),"Roti")</f>
        <v>Roti</v>
      </c>
      <c r="F551" s="2">
        <f>IFERROR(__xludf.DUMMYFUNCTION("""COMPUTED_VALUE"""),10005.0)</f>
        <v>10005</v>
      </c>
      <c r="G551" s="2" t="str">
        <f>IFERROR(__xludf.DUMMYFUNCTION("""COMPUTED_VALUE"""),"Roti Gandum Cokelat")</f>
        <v>Roti Gandum Cokelat</v>
      </c>
      <c r="H551" s="2"/>
      <c r="I551" s="2"/>
      <c r="J551" s="2">
        <f>IFERROR(__xludf.DUMMYFUNCTION("""COMPUTED_VALUE"""),1.0)</f>
        <v>1</v>
      </c>
      <c r="K551" s="6">
        <f>IFERROR(__xludf.DUMMYFUNCTION("""COMPUTED_VALUE"""),19524.0)</f>
        <v>19524</v>
      </c>
      <c r="L551" s="2">
        <f>IFERROR(__xludf.DUMMYFUNCTION("""COMPUTED_VALUE"""),0.0)</f>
        <v>0</v>
      </c>
      <c r="M551" s="2">
        <f>IFERROR(__xludf.DUMMYFUNCTION("""COMPUTED_VALUE"""),19524.0)</f>
        <v>19524</v>
      </c>
      <c r="N551" s="2">
        <f>IFERROR(__xludf.DUMMYFUNCTION("""COMPUTED_VALUE"""),0.0)</f>
        <v>0</v>
      </c>
      <c r="O551" s="2">
        <f>IFERROR(__xludf.DUMMYFUNCTION("""COMPUTED_VALUE"""),19524.0)</f>
        <v>19524</v>
      </c>
      <c r="P551" s="2">
        <f>IFERROR(__xludf.DUMMYFUNCTION("""COMPUTED_VALUE"""),976.0)</f>
        <v>976</v>
      </c>
      <c r="Q551" s="2" t="str">
        <f>IFERROR(__xludf.DUMMYFUNCTION("""COMPUTED_VALUE"""),"Dine In")</f>
        <v>Dine In</v>
      </c>
      <c r="R551" s="2" t="str">
        <f>IFERROR(__xludf.DUMMYFUNCTION("""COMPUTED_VALUE"""),"Kedai")</f>
        <v>Kedai</v>
      </c>
      <c r="S551" s="2" t="str">
        <f>IFERROR(__xludf.DUMMYFUNCTION("""COMPUTED_VALUE"""),"Temu Roti")</f>
        <v>Temu Roti</v>
      </c>
      <c r="T551" s="2" t="str">
        <f>IFERROR(__xludf.DUMMYFUNCTION("""COMPUTED_VALUE"""),"Owner")</f>
        <v>Owner</v>
      </c>
      <c r="U551" s="2"/>
      <c r="V551" s="2"/>
      <c r="W551" s="2"/>
      <c r="X551" s="2" t="str">
        <f>IFERROR(__xludf.DUMMYFUNCTION("""COMPUTED_VALUE"""),"Closed")</f>
        <v>Closed</v>
      </c>
    </row>
    <row r="552">
      <c r="A552" s="3" t="s">
        <v>568</v>
      </c>
      <c r="B552" s="4">
        <f>IFERROR(__xludf.DUMMYFUNCTION("SPLIT(A552,"","",0,0)"),45553.69097222222)</f>
        <v>45553.69097</v>
      </c>
      <c r="C552" s="5">
        <f>IFERROR(__xludf.DUMMYFUNCTION("""COMPUTED_VALUE"""),2727299.0)</f>
        <v>2727299</v>
      </c>
      <c r="D552" s="2" t="str">
        <f>IFERROR(__xludf.DUMMYFUNCTION("""COMPUTED_VALUE"""),"Sale")</f>
        <v>Sale</v>
      </c>
      <c r="E552" s="2" t="str">
        <f>IFERROR(__xludf.DUMMYFUNCTION("""COMPUTED_VALUE"""),"Roti")</f>
        <v>Roti</v>
      </c>
      <c r="F552" s="2">
        <f>IFERROR(__xludf.DUMMYFUNCTION("""COMPUTED_VALUE"""),10000.0)</f>
        <v>10000</v>
      </c>
      <c r="G552" s="2" t="str">
        <f>IFERROR(__xludf.DUMMYFUNCTION("""COMPUTED_VALUE"""),"Roti Bawang Saus Keju")</f>
        <v>Roti Bawang Saus Keju</v>
      </c>
      <c r="H552" s="2"/>
      <c r="I552" s="2"/>
      <c r="J552" s="2">
        <f>IFERROR(__xludf.DUMMYFUNCTION("""COMPUTED_VALUE"""),1.0)</f>
        <v>1</v>
      </c>
      <c r="K552" s="6">
        <f>IFERROR(__xludf.DUMMYFUNCTION("""COMPUTED_VALUE"""),29524.0)</f>
        <v>29524</v>
      </c>
      <c r="L552" s="2">
        <f>IFERROR(__xludf.DUMMYFUNCTION("""COMPUTED_VALUE"""),0.0)</f>
        <v>0</v>
      </c>
      <c r="M552" s="2">
        <f>IFERROR(__xludf.DUMMYFUNCTION("""COMPUTED_VALUE"""),29524.0)</f>
        <v>29524</v>
      </c>
      <c r="N552" s="2">
        <f>IFERROR(__xludf.DUMMYFUNCTION("""COMPUTED_VALUE"""),0.0)</f>
        <v>0</v>
      </c>
      <c r="O552" s="2">
        <f>IFERROR(__xludf.DUMMYFUNCTION("""COMPUTED_VALUE"""),29524.0)</f>
        <v>29524</v>
      </c>
      <c r="P552" s="2">
        <f>IFERROR(__xludf.DUMMYFUNCTION("""COMPUTED_VALUE"""),1476.0)</f>
        <v>1476</v>
      </c>
      <c r="Q552" s="2" t="str">
        <f>IFERROR(__xludf.DUMMYFUNCTION("""COMPUTED_VALUE"""),"Dine In")</f>
        <v>Dine In</v>
      </c>
      <c r="R552" s="2" t="str">
        <f>IFERROR(__xludf.DUMMYFUNCTION("""COMPUTED_VALUE"""),"Kedai")</f>
        <v>Kedai</v>
      </c>
      <c r="S552" s="2" t="str">
        <f>IFERROR(__xludf.DUMMYFUNCTION("""COMPUTED_VALUE"""),"Temu Roti")</f>
        <v>Temu Roti</v>
      </c>
      <c r="T552" s="2" t="str">
        <f>IFERROR(__xludf.DUMMYFUNCTION("""COMPUTED_VALUE"""),"Owner")</f>
        <v>Owner</v>
      </c>
      <c r="U552" s="2"/>
      <c r="V552" s="2"/>
      <c r="W552" s="2"/>
      <c r="X552" s="2" t="str">
        <f>IFERROR(__xludf.DUMMYFUNCTION("""COMPUTED_VALUE"""),"Closed")</f>
        <v>Closed</v>
      </c>
    </row>
    <row r="553">
      <c r="A553" s="3" t="s">
        <v>569</v>
      </c>
      <c r="B553" s="4">
        <f>IFERROR(__xludf.DUMMYFUNCTION("SPLIT(A553,"","",0,0)"),45553.69097222222)</f>
        <v>45553.69097</v>
      </c>
      <c r="C553" s="5">
        <f>IFERROR(__xludf.DUMMYFUNCTION("""COMPUTED_VALUE"""),2727299.0)</f>
        <v>2727299</v>
      </c>
      <c r="D553" s="2" t="str">
        <f>IFERROR(__xludf.DUMMYFUNCTION("""COMPUTED_VALUE"""),"Sale")</f>
        <v>Sale</v>
      </c>
      <c r="E553" s="2" t="str">
        <f>IFERROR(__xludf.DUMMYFUNCTION("""COMPUTED_VALUE"""),"Roti")</f>
        <v>Roti</v>
      </c>
      <c r="F553" s="2">
        <f>IFERROR(__xludf.DUMMYFUNCTION("""COMPUTED_VALUE"""),10034.0)</f>
        <v>10034</v>
      </c>
      <c r="G553" s="2" t="str">
        <f>IFERROR(__xludf.DUMMYFUNCTION("""COMPUTED_VALUE"""),"Roti panggang coklat")</f>
        <v>Roti panggang coklat</v>
      </c>
      <c r="H553" s="2"/>
      <c r="I553" s="2"/>
      <c r="J553" s="2">
        <f>IFERROR(__xludf.DUMMYFUNCTION("""COMPUTED_VALUE"""),1.0)</f>
        <v>1</v>
      </c>
      <c r="K553" s="6">
        <f>IFERROR(__xludf.DUMMYFUNCTION("""COMPUTED_VALUE"""),21905.0)</f>
        <v>21905</v>
      </c>
      <c r="L553" s="2">
        <f>IFERROR(__xludf.DUMMYFUNCTION("""COMPUTED_VALUE"""),0.0)</f>
        <v>0</v>
      </c>
      <c r="M553" s="2">
        <f>IFERROR(__xludf.DUMMYFUNCTION("""COMPUTED_VALUE"""),21905.0)</f>
        <v>21905</v>
      </c>
      <c r="N553" s="2">
        <f>IFERROR(__xludf.DUMMYFUNCTION("""COMPUTED_VALUE"""),0.0)</f>
        <v>0</v>
      </c>
      <c r="O553" s="2">
        <f>IFERROR(__xludf.DUMMYFUNCTION("""COMPUTED_VALUE"""),21905.0)</f>
        <v>21905</v>
      </c>
      <c r="P553" s="2">
        <f>IFERROR(__xludf.DUMMYFUNCTION("""COMPUTED_VALUE"""),1095.0)</f>
        <v>1095</v>
      </c>
      <c r="Q553" s="2" t="str">
        <f>IFERROR(__xludf.DUMMYFUNCTION("""COMPUTED_VALUE"""),"Dine In")</f>
        <v>Dine In</v>
      </c>
      <c r="R553" s="2" t="str">
        <f>IFERROR(__xludf.DUMMYFUNCTION("""COMPUTED_VALUE"""),"Kedai")</f>
        <v>Kedai</v>
      </c>
      <c r="S553" s="2" t="str">
        <f>IFERROR(__xludf.DUMMYFUNCTION("""COMPUTED_VALUE"""),"Temu Roti")</f>
        <v>Temu Roti</v>
      </c>
      <c r="T553" s="2" t="str">
        <f>IFERROR(__xludf.DUMMYFUNCTION("""COMPUTED_VALUE"""),"Owner")</f>
        <v>Owner</v>
      </c>
      <c r="U553" s="2"/>
      <c r="V553" s="2"/>
      <c r="W553" s="2"/>
      <c r="X553" s="2" t="str">
        <f>IFERROR(__xludf.DUMMYFUNCTION("""COMPUTED_VALUE"""),"Closed")</f>
        <v>Closed</v>
      </c>
    </row>
    <row r="554">
      <c r="A554" s="3" t="s">
        <v>570</v>
      </c>
      <c r="B554" s="4">
        <f>IFERROR(__xludf.DUMMYFUNCTION("SPLIT(A554,"","",0,0)"),45553.69097222222)</f>
        <v>45553.69097</v>
      </c>
      <c r="C554" s="5">
        <f>IFERROR(__xludf.DUMMYFUNCTION("""COMPUTED_VALUE"""),2727299.0)</f>
        <v>2727299</v>
      </c>
      <c r="D554" s="2" t="str">
        <f>IFERROR(__xludf.DUMMYFUNCTION("""COMPUTED_VALUE"""),"Sale")</f>
        <v>Sale</v>
      </c>
      <c r="E554" s="2" t="str">
        <f>IFERROR(__xludf.DUMMYFUNCTION("""COMPUTED_VALUE"""),"Kudapan")</f>
        <v>Kudapan</v>
      </c>
      <c r="F554" s="2">
        <f>IFERROR(__xludf.DUMMYFUNCTION("""COMPUTED_VALUE"""),10051.0)</f>
        <v>10051</v>
      </c>
      <c r="G554" s="2" t="str">
        <f>IFERROR(__xludf.DUMMYFUNCTION("""COMPUTED_VALUE"""),"Tahu baso")</f>
        <v>Tahu baso</v>
      </c>
      <c r="H554" s="2"/>
      <c r="I554" s="2"/>
      <c r="J554" s="2">
        <f>IFERROR(__xludf.DUMMYFUNCTION("""COMPUTED_VALUE"""),1.0)</f>
        <v>1</v>
      </c>
      <c r="K554" s="6">
        <f>IFERROR(__xludf.DUMMYFUNCTION("""COMPUTED_VALUE"""),25238.0)</f>
        <v>25238</v>
      </c>
      <c r="L554" s="2">
        <f>IFERROR(__xludf.DUMMYFUNCTION("""COMPUTED_VALUE"""),0.0)</f>
        <v>0</v>
      </c>
      <c r="M554" s="2">
        <f>IFERROR(__xludf.DUMMYFUNCTION("""COMPUTED_VALUE"""),25238.0)</f>
        <v>25238</v>
      </c>
      <c r="N554" s="2">
        <f>IFERROR(__xludf.DUMMYFUNCTION("""COMPUTED_VALUE"""),0.0)</f>
        <v>0</v>
      </c>
      <c r="O554" s="2">
        <f>IFERROR(__xludf.DUMMYFUNCTION("""COMPUTED_VALUE"""),25238.0)</f>
        <v>25238</v>
      </c>
      <c r="P554" s="2">
        <f>IFERROR(__xludf.DUMMYFUNCTION("""COMPUTED_VALUE"""),1262.0)</f>
        <v>1262</v>
      </c>
      <c r="Q554" s="2" t="str">
        <f>IFERROR(__xludf.DUMMYFUNCTION("""COMPUTED_VALUE"""),"Dine In")</f>
        <v>Dine In</v>
      </c>
      <c r="R554" s="2" t="str">
        <f>IFERROR(__xludf.DUMMYFUNCTION("""COMPUTED_VALUE"""),"Kedai")</f>
        <v>Kedai</v>
      </c>
      <c r="S554" s="2" t="str">
        <f>IFERROR(__xludf.DUMMYFUNCTION("""COMPUTED_VALUE"""),"Temu Roti")</f>
        <v>Temu Roti</v>
      </c>
      <c r="T554" s="2" t="str">
        <f>IFERROR(__xludf.DUMMYFUNCTION("""COMPUTED_VALUE"""),"Owner")</f>
        <v>Owner</v>
      </c>
      <c r="U554" s="2"/>
      <c r="V554" s="2"/>
      <c r="W554" s="2"/>
      <c r="X554" s="2" t="str">
        <f>IFERROR(__xludf.DUMMYFUNCTION("""COMPUTED_VALUE"""),"Closed")</f>
        <v>Closed</v>
      </c>
    </row>
    <row r="555">
      <c r="A555" s="3" t="s">
        <v>571</v>
      </c>
      <c r="B555" s="4">
        <f>IFERROR(__xludf.DUMMYFUNCTION("SPLIT(A555,"","",0,0)"),45553.69097222222)</f>
        <v>45553.69097</v>
      </c>
      <c r="C555" s="5">
        <f>IFERROR(__xludf.DUMMYFUNCTION("""COMPUTED_VALUE"""),2727299.0)</f>
        <v>2727299</v>
      </c>
      <c r="D555" s="2" t="str">
        <f>IFERROR(__xludf.DUMMYFUNCTION("""COMPUTED_VALUE"""),"Sale")</f>
        <v>Sale</v>
      </c>
      <c r="E555" s="2" t="str">
        <f>IFERROR(__xludf.DUMMYFUNCTION("""COMPUTED_VALUE"""),"Minuman")</f>
        <v>Minuman</v>
      </c>
      <c r="F555" s="2">
        <f>IFERROR(__xludf.DUMMYFUNCTION("""COMPUTED_VALUE"""),10117.0)</f>
        <v>10117</v>
      </c>
      <c r="G555" s="2" t="str">
        <f>IFERROR(__xludf.DUMMYFUNCTION("""COMPUTED_VALUE"""),"Teh Manis Dingin")</f>
        <v>Teh Manis Dingin</v>
      </c>
      <c r="H555" s="2"/>
      <c r="I555" s="2"/>
      <c r="J555" s="2">
        <f>IFERROR(__xludf.DUMMYFUNCTION("""COMPUTED_VALUE"""),1.0)</f>
        <v>1</v>
      </c>
      <c r="K555" s="6">
        <f>IFERROR(__xludf.DUMMYFUNCTION("""COMPUTED_VALUE"""),14286.0)</f>
        <v>14286</v>
      </c>
      <c r="L555" s="2">
        <f>IFERROR(__xludf.DUMMYFUNCTION("""COMPUTED_VALUE"""),0.0)</f>
        <v>0</v>
      </c>
      <c r="M555" s="2">
        <f>IFERROR(__xludf.DUMMYFUNCTION("""COMPUTED_VALUE"""),14286.0)</f>
        <v>14286</v>
      </c>
      <c r="N555" s="2">
        <f>IFERROR(__xludf.DUMMYFUNCTION("""COMPUTED_VALUE"""),0.0)</f>
        <v>0</v>
      </c>
      <c r="O555" s="2">
        <f>IFERROR(__xludf.DUMMYFUNCTION("""COMPUTED_VALUE"""),14286.0)</f>
        <v>14286</v>
      </c>
      <c r="P555" s="2">
        <f>IFERROR(__xludf.DUMMYFUNCTION("""COMPUTED_VALUE"""),715.0)</f>
        <v>715</v>
      </c>
      <c r="Q555" s="2" t="str">
        <f>IFERROR(__xludf.DUMMYFUNCTION("""COMPUTED_VALUE"""),"Dine In")</f>
        <v>Dine In</v>
      </c>
      <c r="R555" s="2" t="str">
        <f>IFERROR(__xludf.DUMMYFUNCTION("""COMPUTED_VALUE"""),"Kedai")</f>
        <v>Kedai</v>
      </c>
      <c r="S555" s="2" t="str">
        <f>IFERROR(__xludf.DUMMYFUNCTION("""COMPUTED_VALUE"""),"Temu Roti")</f>
        <v>Temu Roti</v>
      </c>
      <c r="T555" s="2" t="str">
        <f>IFERROR(__xludf.DUMMYFUNCTION("""COMPUTED_VALUE"""),"Owner")</f>
        <v>Owner</v>
      </c>
      <c r="U555" s="2"/>
      <c r="V555" s="2"/>
      <c r="W555" s="2"/>
      <c r="X555" s="2" t="str">
        <f>IFERROR(__xludf.DUMMYFUNCTION("""COMPUTED_VALUE"""),"Closed")</f>
        <v>Closed</v>
      </c>
    </row>
    <row r="556">
      <c r="A556" s="3" t="s">
        <v>572</v>
      </c>
      <c r="B556" s="4">
        <f>IFERROR(__xludf.DUMMYFUNCTION("SPLIT(A556,"","",0,0)"),45553.69097222222)</f>
        <v>45553.69097</v>
      </c>
      <c r="C556" s="5">
        <f>IFERROR(__xludf.DUMMYFUNCTION("""COMPUTED_VALUE"""),2727299.0)</f>
        <v>2727299</v>
      </c>
      <c r="D556" s="2" t="str">
        <f>IFERROR(__xludf.DUMMYFUNCTION("""COMPUTED_VALUE"""),"Sale")</f>
        <v>Sale</v>
      </c>
      <c r="E556" s="2" t="str">
        <f>IFERROR(__xludf.DUMMYFUNCTION("""COMPUTED_VALUE"""),"Minuman")</f>
        <v>Minuman</v>
      </c>
      <c r="F556" s="2">
        <f>IFERROR(__xludf.DUMMYFUNCTION("""COMPUTED_VALUE"""),10128.0)</f>
        <v>10128</v>
      </c>
      <c r="G556" s="2" t="str">
        <f>IFERROR(__xludf.DUMMYFUNCTION("""COMPUTED_VALUE"""),"Es Kopi Susu")</f>
        <v>Es Kopi Susu</v>
      </c>
      <c r="H556" s="2"/>
      <c r="I556" s="2"/>
      <c r="J556" s="2">
        <f>IFERROR(__xludf.DUMMYFUNCTION("""COMPUTED_VALUE"""),1.0)</f>
        <v>1</v>
      </c>
      <c r="K556" s="6">
        <f>IFERROR(__xludf.DUMMYFUNCTION("""COMPUTED_VALUE"""),23333.0)</f>
        <v>23333</v>
      </c>
      <c r="L556" s="2">
        <f>IFERROR(__xludf.DUMMYFUNCTION("""COMPUTED_VALUE"""),0.0)</f>
        <v>0</v>
      </c>
      <c r="M556" s="2">
        <f>IFERROR(__xludf.DUMMYFUNCTION("""COMPUTED_VALUE"""),23333.0)</f>
        <v>23333</v>
      </c>
      <c r="N556" s="2">
        <f>IFERROR(__xludf.DUMMYFUNCTION("""COMPUTED_VALUE"""),0.0)</f>
        <v>0</v>
      </c>
      <c r="O556" s="2">
        <f>IFERROR(__xludf.DUMMYFUNCTION("""COMPUTED_VALUE"""),23333.0)</f>
        <v>23333</v>
      </c>
      <c r="P556" s="2">
        <f>IFERROR(__xludf.DUMMYFUNCTION("""COMPUTED_VALUE"""),1166.0)</f>
        <v>1166</v>
      </c>
      <c r="Q556" s="2" t="str">
        <f>IFERROR(__xludf.DUMMYFUNCTION("""COMPUTED_VALUE"""),"Dine In")</f>
        <v>Dine In</v>
      </c>
      <c r="R556" s="2" t="str">
        <f>IFERROR(__xludf.DUMMYFUNCTION("""COMPUTED_VALUE"""),"Kedai")</f>
        <v>Kedai</v>
      </c>
      <c r="S556" s="2" t="str">
        <f>IFERROR(__xludf.DUMMYFUNCTION("""COMPUTED_VALUE"""),"Temu Roti")</f>
        <v>Temu Roti</v>
      </c>
      <c r="T556" s="2" t="str">
        <f>IFERROR(__xludf.DUMMYFUNCTION("""COMPUTED_VALUE"""),"Owner")</f>
        <v>Owner</v>
      </c>
      <c r="U556" s="2"/>
      <c r="V556" s="2"/>
      <c r="W556" s="2"/>
      <c r="X556" s="2" t="str">
        <f>IFERROR(__xludf.DUMMYFUNCTION("""COMPUTED_VALUE"""),"Closed")</f>
        <v>Closed</v>
      </c>
    </row>
    <row r="557">
      <c r="A557" s="3" t="s">
        <v>573</v>
      </c>
      <c r="B557" s="4">
        <f>IFERROR(__xludf.DUMMYFUNCTION("SPLIT(A557,"","",0,0)"),45553.68819444445)</f>
        <v>45553.68819</v>
      </c>
      <c r="C557" s="5">
        <f>IFERROR(__xludf.DUMMYFUNCTION("""COMPUTED_VALUE"""),2726934.0)</f>
        <v>2726934</v>
      </c>
      <c r="D557" s="2" t="str">
        <f>IFERROR(__xludf.DUMMYFUNCTION("""COMPUTED_VALUE"""),"Sale")</f>
        <v>Sale</v>
      </c>
      <c r="E557" s="2" t="str">
        <f>IFERROR(__xludf.DUMMYFUNCTION("""COMPUTED_VALUE"""),"Roti")</f>
        <v>Roti</v>
      </c>
      <c r="F557" s="2">
        <f>IFERROR(__xludf.DUMMYFUNCTION("""COMPUTED_VALUE"""),10007.0)</f>
        <v>10007</v>
      </c>
      <c r="G557" s="2" t="str">
        <f>IFERROR(__xludf.DUMMYFUNCTION("""COMPUTED_VALUE"""),"Roti cranberry 2 pcs")</f>
        <v>Roti cranberry 2 pcs</v>
      </c>
      <c r="H557" s="2"/>
      <c r="I557" s="2"/>
      <c r="J557" s="2">
        <f>IFERROR(__xludf.DUMMYFUNCTION("""COMPUTED_VALUE"""),1.0)</f>
        <v>1</v>
      </c>
      <c r="K557" s="6">
        <f>IFERROR(__xludf.DUMMYFUNCTION("""COMPUTED_VALUE"""),33810.0)</f>
        <v>33810</v>
      </c>
      <c r="L557" s="2">
        <f>IFERROR(__xludf.DUMMYFUNCTION("""COMPUTED_VALUE"""),0.0)</f>
        <v>0</v>
      </c>
      <c r="M557" s="2">
        <f>IFERROR(__xludf.DUMMYFUNCTION("""COMPUTED_VALUE"""),33810.0)</f>
        <v>33810</v>
      </c>
      <c r="N557" s="2">
        <f>IFERROR(__xludf.DUMMYFUNCTION("""COMPUTED_VALUE"""),0.0)</f>
        <v>0</v>
      </c>
      <c r="O557" s="2">
        <f>IFERROR(__xludf.DUMMYFUNCTION("""COMPUTED_VALUE"""),33810.0)</f>
        <v>33810</v>
      </c>
      <c r="P557" s="2">
        <f>IFERROR(__xludf.DUMMYFUNCTION("""COMPUTED_VALUE"""),1691.0)</f>
        <v>1691</v>
      </c>
      <c r="Q557" s="2" t="str">
        <f>IFERROR(__xludf.DUMMYFUNCTION("""COMPUTED_VALUE"""),"Dine In")</f>
        <v>Dine In</v>
      </c>
      <c r="R557" s="2" t="str">
        <f>IFERROR(__xludf.DUMMYFUNCTION("""COMPUTED_VALUE"""),"Kedai")</f>
        <v>Kedai</v>
      </c>
      <c r="S557" s="2" t="str">
        <f>IFERROR(__xludf.DUMMYFUNCTION("""COMPUTED_VALUE"""),"Temu Roti")</f>
        <v>Temu Roti</v>
      </c>
      <c r="T557" s="2" t="str">
        <f>IFERROR(__xludf.DUMMYFUNCTION("""COMPUTED_VALUE"""),"Owner")</f>
        <v>Owner</v>
      </c>
      <c r="U557" s="2"/>
      <c r="V557" s="2"/>
      <c r="W557" s="2"/>
      <c r="X557" s="2" t="str">
        <f>IFERROR(__xludf.DUMMYFUNCTION("""COMPUTED_VALUE"""),"Closed")</f>
        <v>Closed</v>
      </c>
    </row>
    <row r="558">
      <c r="A558" s="3" t="s">
        <v>574</v>
      </c>
      <c r="B558" s="4">
        <f>IFERROR(__xludf.DUMMYFUNCTION("SPLIT(A558,"","",0,0)"),45553.68819444445)</f>
        <v>45553.68819</v>
      </c>
      <c r="C558" s="5">
        <f>IFERROR(__xludf.DUMMYFUNCTION("""COMPUTED_VALUE"""),2726934.0)</f>
        <v>2726934</v>
      </c>
      <c r="D558" s="2" t="str">
        <f>IFERROR(__xludf.DUMMYFUNCTION("""COMPUTED_VALUE"""),"Sale")</f>
        <v>Sale</v>
      </c>
      <c r="E558" s="2" t="str">
        <f>IFERROR(__xludf.DUMMYFUNCTION("""COMPUTED_VALUE"""),"Minuman")</f>
        <v>Minuman</v>
      </c>
      <c r="F558" s="2">
        <f>IFERROR(__xludf.DUMMYFUNCTION("""COMPUTED_VALUE"""),10128.0)</f>
        <v>10128</v>
      </c>
      <c r="G558" s="2" t="str">
        <f>IFERROR(__xludf.DUMMYFUNCTION("""COMPUTED_VALUE"""),"Es Kopi Susu")</f>
        <v>Es Kopi Susu</v>
      </c>
      <c r="H558" s="2"/>
      <c r="I558" s="2"/>
      <c r="J558" s="2">
        <f>IFERROR(__xludf.DUMMYFUNCTION("""COMPUTED_VALUE"""),1.0)</f>
        <v>1</v>
      </c>
      <c r="K558" s="6">
        <f>IFERROR(__xludf.DUMMYFUNCTION("""COMPUTED_VALUE"""),23333.0)</f>
        <v>23333</v>
      </c>
      <c r="L558" s="2">
        <f>IFERROR(__xludf.DUMMYFUNCTION("""COMPUTED_VALUE"""),0.0)</f>
        <v>0</v>
      </c>
      <c r="M558" s="2">
        <f>IFERROR(__xludf.DUMMYFUNCTION("""COMPUTED_VALUE"""),23333.0)</f>
        <v>23333</v>
      </c>
      <c r="N558" s="2">
        <f>IFERROR(__xludf.DUMMYFUNCTION("""COMPUTED_VALUE"""),0.0)</f>
        <v>0</v>
      </c>
      <c r="O558" s="2">
        <f>IFERROR(__xludf.DUMMYFUNCTION("""COMPUTED_VALUE"""),23333.0)</f>
        <v>23333</v>
      </c>
      <c r="P558" s="2">
        <f>IFERROR(__xludf.DUMMYFUNCTION("""COMPUTED_VALUE"""),1166.0)</f>
        <v>1166</v>
      </c>
      <c r="Q558" s="2" t="str">
        <f>IFERROR(__xludf.DUMMYFUNCTION("""COMPUTED_VALUE"""),"Dine In")</f>
        <v>Dine In</v>
      </c>
      <c r="R558" s="2" t="str">
        <f>IFERROR(__xludf.DUMMYFUNCTION("""COMPUTED_VALUE"""),"Kedai")</f>
        <v>Kedai</v>
      </c>
      <c r="S558" s="2" t="str">
        <f>IFERROR(__xludf.DUMMYFUNCTION("""COMPUTED_VALUE"""),"Temu Roti")</f>
        <v>Temu Roti</v>
      </c>
      <c r="T558" s="2" t="str">
        <f>IFERROR(__xludf.DUMMYFUNCTION("""COMPUTED_VALUE"""),"Owner")</f>
        <v>Owner</v>
      </c>
      <c r="U558" s="2"/>
      <c r="V558" s="2"/>
      <c r="W558" s="2"/>
      <c r="X558" s="2" t="str">
        <f>IFERROR(__xludf.DUMMYFUNCTION("""COMPUTED_VALUE"""),"Closed")</f>
        <v>Closed</v>
      </c>
    </row>
    <row r="559">
      <c r="A559" s="3" t="s">
        <v>575</v>
      </c>
      <c r="B559" s="4">
        <f>IFERROR(__xludf.DUMMYFUNCTION("SPLIT(A559,"","",0,0)"),45553.68819444445)</f>
        <v>45553.68819</v>
      </c>
      <c r="C559" s="5">
        <f>IFERROR(__xludf.DUMMYFUNCTION("""COMPUTED_VALUE"""),2726934.0)</f>
        <v>2726934</v>
      </c>
      <c r="D559" s="2" t="str">
        <f>IFERROR(__xludf.DUMMYFUNCTION("""COMPUTED_VALUE"""),"Sale")</f>
        <v>Sale</v>
      </c>
      <c r="E559" s="2" t="str">
        <f>IFERROR(__xludf.DUMMYFUNCTION("""COMPUTED_VALUE"""),"Minuman")</f>
        <v>Minuman</v>
      </c>
      <c r="F559" s="2">
        <f>IFERROR(__xludf.DUMMYFUNCTION("""COMPUTED_VALUE"""),10107.0)</f>
        <v>10107</v>
      </c>
      <c r="G559" s="2" t="str">
        <f>IFERROR(__xludf.DUMMYFUNCTION("""COMPUTED_VALUE"""),"Korean Mango Fresh Milk")</f>
        <v>Korean Mango Fresh Milk</v>
      </c>
      <c r="H559" s="2"/>
      <c r="I559" s="2"/>
      <c r="J559" s="2">
        <f>IFERROR(__xludf.DUMMYFUNCTION("""COMPUTED_VALUE"""),1.0)</f>
        <v>1</v>
      </c>
      <c r="K559" s="6">
        <f>IFERROR(__xludf.DUMMYFUNCTION("""COMPUTED_VALUE"""),26667.0)</f>
        <v>26667</v>
      </c>
      <c r="L559" s="2">
        <f>IFERROR(__xludf.DUMMYFUNCTION("""COMPUTED_VALUE"""),0.0)</f>
        <v>0</v>
      </c>
      <c r="M559" s="2">
        <f>IFERROR(__xludf.DUMMYFUNCTION("""COMPUTED_VALUE"""),26667.0)</f>
        <v>26667</v>
      </c>
      <c r="N559" s="2">
        <f>IFERROR(__xludf.DUMMYFUNCTION("""COMPUTED_VALUE"""),0.0)</f>
        <v>0</v>
      </c>
      <c r="O559" s="2">
        <f>IFERROR(__xludf.DUMMYFUNCTION("""COMPUTED_VALUE"""),26667.0)</f>
        <v>26667</v>
      </c>
      <c r="P559" s="2">
        <f>IFERROR(__xludf.DUMMYFUNCTION("""COMPUTED_VALUE"""),1334.0)</f>
        <v>1334</v>
      </c>
      <c r="Q559" s="2" t="str">
        <f>IFERROR(__xludf.DUMMYFUNCTION("""COMPUTED_VALUE"""),"Dine In")</f>
        <v>Dine In</v>
      </c>
      <c r="R559" s="2" t="str">
        <f>IFERROR(__xludf.DUMMYFUNCTION("""COMPUTED_VALUE"""),"Kedai")</f>
        <v>Kedai</v>
      </c>
      <c r="S559" s="2" t="str">
        <f>IFERROR(__xludf.DUMMYFUNCTION("""COMPUTED_VALUE"""),"Temu Roti")</f>
        <v>Temu Roti</v>
      </c>
      <c r="T559" s="2" t="str">
        <f>IFERROR(__xludf.DUMMYFUNCTION("""COMPUTED_VALUE"""),"Owner")</f>
        <v>Owner</v>
      </c>
      <c r="U559" s="2"/>
      <c r="V559" s="2"/>
      <c r="W559" s="2"/>
      <c r="X559" s="2" t="str">
        <f>IFERROR(__xludf.DUMMYFUNCTION("""COMPUTED_VALUE"""),"Closed")</f>
        <v>Closed</v>
      </c>
    </row>
    <row r="560">
      <c r="A560" s="3" t="s">
        <v>576</v>
      </c>
      <c r="B560" s="4">
        <f>IFERROR(__xludf.DUMMYFUNCTION("SPLIT(A560,"","",0,0)"),45553.675)</f>
        <v>45553.675</v>
      </c>
      <c r="C560" s="5">
        <f>IFERROR(__xludf.DUMMYFUNCTION("""COMPUTED_VALUE"""),2726569.0)</f>
        <v>2726569</v>
      </c>
      <c r="D560" s="2" t="str">
        <f>IFERROR(__xludf.DUMMYFUNCTION("""COMPUTED_VALUE"""),"Sale")</f>
        <v>Sale</v>
      </c>
      <c r="E560" s="2" t="str">
        <f>IFERROR(__xludf.DUMMYFUNCTION("""COMPUTED_VALUE"""),"Roti")</f>
        <v>Roti</v>
      </c>
      <c r="F560" s="2">
        <f>IFERROR(__xludf.DUMMYFUNCTION("""COMPUTED_VALUE"""),10000.0)</f>
        <v>10000</v>
      </c>
      <c r="G560" s="2" t="str">
        <f>IFERROR(__xludf.DUMMYFUNCTION("""COMPUTED_VALUE"""),"Roti Bawang Saus Keju")</f>
        <v>Roti Bawang Saus Keju</v>
      </c>
      <c r="H560" s="2"/>
      <c r="I560" s="2"/>
      <c r="J560" s="2">
        <f>IFERROR(__xludf.DUMMYFUNCTION("""COMPUTED_VALUE"""),1.0)</f>
        <v>1</v>
      </c>
      <c r="K560" s="6">
        <f>IFERROR(__xludf.DUMMYFUNCTION("""COMPUTED_VALUE"""),29524.0)</f>
        <v>29524</v>
      </c>
      <c r="L560" s="2">
        <f>IFERROR(__xludf.DUMMYFUNCTION("""COMPUTED_VALUE"""),0.0)</f>
        <v>0</v>
      </c>
      <c r="M560" s="2">
        <f>IFERROR(__xludf.DUMMYFUNCTION("""COMPUTED_VALUE"""),29524.0)</f>
        <v>29524</v>
      </c>
      <c r="N560" s="2">
        <f>IFERROR(__xludf.DUMMYFUNCTION("""COMPUTED_VALUE"""),0.0)</f>
        <v>0</v>
      </c>
      <c r="O560" s="2">
        <f>IFERROR(__xludf.DUMMYFUNCTION("""COMPUTED_VALUE"""),29524.0)</f>
        <v>29524</v>
      </c>
      <c r="P560" s="2">
        <f>IFERROR(__xludf.DUMMYFUNCTION("""COMPUTED_VALUE"""),1476.0)</f>
        <v>1476</v>
      </c>
      <c r="Q560" s="2" t="str">
        <f>IFERROR(__xludf.DUMMYFUNCTION("""COMPUTED_VALUE"""),"Dine In")</f>
        <v>Dine In</v>
      </c>
      <c r="R560" s="2" t="str">
        <f>IFERROR(__xludf.DUMMYFUNCTION("""COMPUTED_VALUE"""),"Kedai")</f>
        <v>Kedai</v>
      </c>
      <c r="S560" s="2" t="str">
        <f>IFERROR(__xludf.DUMMYFUNCTION("""COMPUTED_VALUE"""),"Temu Roti")</f>
        <v>Temu Roti</v>
      </c>
      <c r="T560" s="2" t="str">
        <f>IFERROR(__xludf.DUMMYFUNCTION("""COMPUTED_VALUE"""),"Owner")</f>
        <v>Owner</v>
      </c>
      <c r="U560" s="2"/>
      <c r="V560" s="2"/>
      <c r="W560" s="2"/>
      <c r="X560" s="2" t="str">
        <f>IFERROR(__xludf.DUMMYFUNCTION("""COMPUTED_VALUE"""),"Closed")</f>
        <v>Closed</v>
      </c>
    </row>
    <row r="561">
      <c r="A561" s="3" t="s">
        <v>577</v>
      </c>
      <c r="B561" s="4">
        <f>IFERROR(__xludf.DUMMYFUNCTION("SPLIT(A561,"","",0,0)"),45553.675)</f>
        <v>45553.675</v>
      </c>
      <c r="C561" s="5">
        <f>IFERROR(__xludf.DUMMYFUNCTION("""COMPUTED_VALUE"""),2726569.0)</f>
        <v>2726569</v>
      </c>
      <c r="D561" s="2" t="str">
        <f>IFERROR(__xludf.DUMMYFUNCTION("""COMPUTED_VALUE"""),"Sale")</f>
        <v>Sale</v>
      </c>
      <c r="E561" s="2" t="str">
        <f>IFERROR(__xludf.DUMMYFUNCTION("""COMPUTED_VALUE"""),"Kudapan")</f>
        <v>Kudapan</v>
      </c>
      <c r="F561" s="2">
        <f>IFERROR(__xludf.DUMMYFUNCTION("""COMPUTED_VALUE"""),10010.0)</f>
        <v>10010</v>
      </c>
      <c r="G561" s="2" t="str">
        <f>IFERROR(__xludf.DUMMYFUNCTION("""COMPUTED_VALUE"""),"Pisang Goreng")</f>
        <v>Pisang Goreng</v>
      </c>
      <c r="H561" s="2"/>
      <c r="I561" s="2"/>
      <c r="J561" s="2">
        <f>IFERROR(__xludf.DUMMYFUNCTION("""COMPUTED_VALUE"""),1.0)</f>
        <v>1</v>
      </c>
      <c r="K561" s="6">
        <f>IFERROR(__xludf.DUMMYFUNCTION("""COMPUTED_VALUE"""),25238.0)</f>
        <v>25238</v>
      </c>
      <c r="L561" s="2">
        <f>IFERROR(__xludf.DUMMYFUNCTION("""COMPUTED_VALUE"""),0.0)</f>
        <v>0</v>
      </c>
      <c r="M561" s="2">
        <f>IFERROR(__xludf.DUMMYFUNCTION("""COMPUTED_VALUE"""),25238.0)</f>
        <v>25238</v>
      </c>
      <c r="N561" s="2">
        <f>IFERROR(__xludf.DUMMYFUNCTION("""COMPUTED_VALUE"""),0.0)</f>
        <v>0</v>
      </c>
      <c r="O561" s="2">
        <f>IFERROR(__xludf.DUMMYFUNCTION("""COMPUTED_VALUE"""),25238.0)</f>
        <v>25238</v>
      </c>
      <c r="P561" s="2">
        <f>IFERROR(__xludf.DUMMYFUNCTION("""COMPUTED_VALUE"""),1262.0)</f>
        <v>1262</v>
      </c>
      <c r="Q561" s="2" t="str">
        <f>IFERROR(__xludf.DUMMYFUNCTION("""COMPUTED_VALUE"""),"Dine In")</f>
        <v>Dine In</v>
      </c>
      <c r="R561" s="2" t="str">
        <f>IFERROR(__xludf.DUMMYFUNCTION("""COMPUTED_VALUE"""),"Kedai")</f>
        <v>Kedai</v>
      </c>
      <c r="S561" s="2" t="str">
        <f>IFERROR(__xludf.DUMMYFUNCTION("""COMPUTED_VALUE"""),"Temu Roti")</f>
        <v>Temu Roti</v>
      </c>
      <c r="T561" s="2" t="str">
        <f>IFERROR(__xludf.DUMMYFUNCTION("""COMPUTED_VALUE"""),"Owner")</f>
        <v>Owner</v>
      </c>
      <c r="U561" s="2"/>
      <c r="V561" s="2"/>
      <c r="W561" s="2"/>
      <c r="X561" s="2" t="str">
        <f>IFERROR(__xludf.DUMMYFUNCTION("""COMPUTED_VALUE"""),"Closed")</f>
        <v>Closed</v>
      </c>
    </row>
    <row r="562">
      <c r="A562" s="3" t="s">
        <v>578</v>
      </c>
      <c r="B562" s="4">
        <f>IFERROR(__xludf.DUMMYFUNCTION("SPLIT(A562,"","",0,0)"),45553.675)</f>
        <v>45553.675</v>
      </c>
      <c r="C562" s="5">
        <f>IFERROR(__xludf.DUMMYFUNCTION("""COMPUTED_VALUE"""),2726569.0)</f>
        <v>2726569</v>
      </c>
      <c r="D562" s="2" t="str">
        <f>IFERROR(__xludf.DUMMYFUNCTION("""COMPUTED_VALUE"""),"Sale")</f>
        <v>Sale</v>
      </c>
      <c r="E562" s="2" t="str">
        <f>IFERROR(__xludf.DUMMYFUNCTION("""COMPUTED_VALUE"""),"Kudapan")</f>
        <v>Kudapan</v>
      </c>
      <c r="F562" s="2">
        <f>IFERROR(__xludf.DUMMYFUNCTION("""COMPUTED_VALUE"""),10015.0)</f>
        <v>10015</v>
      </c>
      <c r="G562" s="2" t="str">
        <f>IFERROR(__xludf.DUMMYFUNCTION("""COMPUTED_VALUE"""),"Tahu Lada Garam")</f>
        <v>Tahu Lada Garam</v>
      </c>
      <c r="H562" s="2"/>
      <c r="I562" s="2"/>
      <c r="J562" s="2">
        <f>IFERROR(__xludf.DUMMYFUNCTION("""COMPUTED_VALUE"""),1.0)</f>
        <v>1</v>
      </c>
      <c r="K562" s="6">
        <f>IFERROR(__xludf.DUMMYFUNCTION("""COMPUTED_VALUE"""),25238.0)</f>
        <v>25238</v>
      </c>
      <c r="L562" s="2">
        <f>IFERROR(__xludf.DUMMYFUNCTION("""COMPUTED_VALUE"""),0.0)</f>
        <v>0</v>
      </c>
      <c r="M562" s="2">
        <f>IFERROR(__xludf.DUMMYFUNCTION("""COMPUTED_VALUE"""),25238.0)</f>
        <v>25238</v>
      </c>
      <c r="N562" s="2">
        <f>IFERROR(__xludf.DUMMYFUNCTION("""COMPUTED_VALUE"""),0.0)</f>
        <v>0</v>
      </c>
      <c r="O562" s="2">
        <f>IFERROR(__xludf.DUMMYFUNCTION("""COMPUTED_VALUE"""),25238.0)</f>
        <v>25238</v>
      </c>
      <c r="P562" s="2">
        <f>IFERROR(__xludf.DUMMYFUNCTION("""COMPUTED_VALUE"""),1262.0)</f>
        <v>1262</v>
      </c>
      <c r="Q562" s="2" t="str">
        <f>IFERROR(__xludf.DUMMYFUNCTION("""COMPUTED_VALUE"""),"Dine In")</f>
        <v>Dine In</v>
      </c>
      <c r="R562" s="2" t="str">
        <f>IFERROR(__xludf.DUMMYFUNCTION("""COMPUTED_VALUE"""),"Kedai")</f>
        <v>Kedai</v>
      </c>
      <c r="S562" s="2" t="str">
        <f>IFERROR(__xludf.DUMMYFUNCTION("""COMPUTED_VALUE"""),"Temu Roti")</f>
        <v>Temu Roti</v>
      </c>
      <c r="T562" s="2" t="str">
        <f>IFERROR(__xludf.DUMMYFUNCTION("""COMPUTED_VALUE"""),"Owner")</f>
        <v>Owner</v>
      </c>
      <c r="U562" s="2"/>
      <c r="V562" s="2"/>
      <c r="W562" s="2"/>
      <c r="X562" s="2" t="str">
        <f>IFERROR(__xludf.DUMMYFUNCTION("""COMPUTED_VALUE"""),"Closed")</f>
        <v>Closed</v>
      </c>
    </row>
    <row r="563">
      <c r="A563" s="3" t="s">
        <v>579</v>
      </c>
      <c r="B563" s="4">
        <f>IFERROR(__xludf.DUMMYFUNCTION("SPLIT(A563,"","",0,0)"),45553.675)</f>
        <v>45553.675</v>
      </c>
      <c r="C563" s="5">
        <f>IFERROR(__xludf.DUMMYFUNCTION("""COMPUTED_VALUE"""),2726569.0)</f>
        <v>2726569</v>
      </c>
      <c r="D563" s="2" t="str">
        <f>IFERROR(__xludf.DUMMYFUNCTION("""COMPUTED_VALUE"""),"Sale")</f>
        <v>Sale</v>
      </c>
      <c r="E563" s="2" t="str">
        <f>IFERROR(__xludf.DUMMYFUNCTION("""COMPUTED_VALUE"""),"Kudapan")</f>
        <v>Kudapan</v>
      </c>
      <c r="F563" s="2">
        <f>IFERROR(__xludf.DUMMYFUNCTION("""COMPUTED_VALUE"""),10014.0)</f>
        <v>10014</v>
      </c>
      <c r="G563" s="2" t="str">
        <f>IFERROR(__xludf.DUMMYFUNCTION("""COMPUTED_VALUE"""),"Tempe Mendoan")</f>
        <v>Tempe Mendoan</v>
      </c>
      <c r="H563" s="2"/>
      <c r="I563" s="2"/>
      <c r="J563" s="2">
        <f>IFERROR(__xludf.DUMMYFUNCTION("""COMPUTED_VALUE"""),1.0)</f>
        <v>1</v>
      </c>
      <c r="K563" s="6">
        <f>IFERROR(__xludf.DUMMYFUNCTION("""COMPUTED_VALUE"""),25238.0)</f>
        <v>25238</v>
      </c>
      <c r="L563" s="2">
        <f>IFERROR(__xludf.DUMMYFUNCTION("""COMPUTED_VALUE"""),0.0)</f>
        <v>0</v>
      </c>
      <c r="M563" s="2">
        <f>IFERROR(__xludf.DUMMYFUNCTION("""COMPUTED_VALUE"""),25238.0)</f>
        <v>25238</v>
      </c>
      <c r="N563" s="2">
        <f>IFERROR(__xludf.DUMMYFUNCTION("""COMPUTED_VALUE"""),0.0)</f>
        <v>0</v>
      </c>
      <c r="O563" s="2">
        <f>IFERROR(__xludf.DUMMYFUNCTION("""COMPUTED_VALUE"""),25238.0)</f>
        <v>25238</v>
      </c>
      <c r="P563" s="2">
        <f>IFERROR(__xludf.DUMMYFUNCTION("""COMPUTED_VALUE"""),1262.0)</f>
        <v>1262</v>
      </c>
      <c r="Q563" s="2" t="str">
        <f>IFERROR(__xludf.DUMMYFUNCTION("""COMPUTED_VALUE"""),"Dine In")</f>
        <v>Dine In</v>
      </c>
      <c r="R563" s="2" t="str">
        <f>IFERROR(__xludf.DUMMYFUNCTION("""COMPUTED_VALUE"""),"Kedai")</f>
        <v>Kedai</v>
      </c>
      <c r="S563" s="2" t="str">
        <f>IFERROR(__xludf.DUMMYFUNCTION("""COMPUTED_VALUE"""),"Temu Roti")</f>
        <v>Temu Roti</v>
      </c>
      <c r="T563" s="2" t="str">
        <f>IFERROR(__xludf.DUMMYFUNCTION("""COMPUTED_VALUE"""),"Owner")</f>
        <v>Owner</v>
      </c>
      <c r="U563" s="2"/>
      <c r="V563" s="2"/>
      <c r="W563" s="2"/>
      <c r="X563" s="2" t="str">
        <f>IFERROR(__xludf.DUMMYFUNCTION("""COMPUTED_VALUE"""),"Closed")</f>
        <v>Closed</v>
      </c>
    </row>
    <row r="564">
      <c r="A564" s="3" t="s">
        <v>580</v>
      </c>
      <c r="B564" s="4">
        <f>IFERROR(__xludf.DUMMYFUNCTION("SPLIT(A564,"","",0,0)"),45553.67152777778)</f>
        <v>45553.67153</v>
      </c>
      <c r="C564" s="5">
        <f>IFERROR(__xludf.DUMMYFUNCTION("""COMPUTED_VALUE"""),2726203.0)</f>
        <v>2726203</v>
      </c>
      <c r="D564" s="2" t="str">
        <f>IFERROR(__xludf.DUMMYFUNCTION("""COMPUTED_VALUE"""),"Sale")</f>
        <v>Sale</v>
      </c>
      <c r="E564" s="2" t="str">
        <f>IFERROR(__xludf.DUMMYFUNCTION("""COMPUTED_VALUE"""),"Roti")</f>
        <v>Roti</v>
      </c>
      <c r="F564" s="2">
        <f>IFERROR(__xludf.DUMMYFUNCTION("""COMPUTED_VALUE"""),10002.0)</f>
        <v>10002</v>
      </c>
      <c r="G564" s="2" t="str">
        <f>IFERROR(__xludf.DUMMYFUNCTION("""COMPUTED_VALUE"""),"Roti Cranberry")</f>
        <v>Roti Cranberry</v>
      </c>
      <c r="H564" s="2"/>
      <c r="I564" s="2"/>
      <c r="J564" s="2">
        <f>IFERROR(__xludf.DUMMYFUNCTION("""COMPUTED_VALUE"""),1.0)</f>
        <v>1</v>
      </c>
      <c r="K564" s="6">
        <f>IFERROR(__xludf.DUMMYFUNCTION("""COMPUTED_VALUE"""),18571.0)</f>
        <v>18571</v>
      </c>
      <c r="L564" s="2">
        <f>IFERROR(__xludf.DUMMYFUNCTION("""COMPUTED_VALUE"""),0.0)</f>
        <v>0</v>
      </c>
      <c r="M564" s="2">
        <f>IFERROR(__xludf.DUMMYFUNCTION("""COMPUTED_VALUE"""),18571.0)</f>
        <v>18571</v>
      </c>
      <c r="N564" s="2">
        <f>IFERROR(__xludf.DUMMYFUNCTION("""COMPUTED_VALUE"""),0.0)</f>
        <v>0</v>
      </c>
      <c r="O564" s="2">
        <f>IFERROR(__xludf.DUMMYFUNCTION("""COMPUTED_VALUE"""),18571.0)</f>
        <v>18571</v>
      </c>
      <c r="P564" s="2">
        <f>IFERROR(__xludf.DUMMYFUNCTION("""COMPUTED_VALUE"""),929.0)</f>
        <v>929</v>
      </c>
      <c r="Q564" s="2" t="str">
        <f>IFERROR(__xludf.DUMMYFUNCTION("""COMPUTED_VALUE"""),"Dine In")</f>
        <v>Dine In</v>
      </c>
      <c r="R564" s="2" t="str">
        <f>IFERROR(__xludf.DUMMYFUNCTION("""COMPUTED_VALUE"""),"Kedai")</f>
        <v>Kedai</v>
      </c>
      <c r="S564" s="2" t="str">
        <f>IFERROR(__xludf.DUMMYFUNCTION("""COMPUTED_VALUE"""),"Temu Roti")</f>
        <v>Temu Roti</v>
      </c>
      <c r="T564" s="2" t="str">
        <f>IFERROR(__xludf.DUMMYFUNCTION("""COMPUTED_VALUE"""),"Owner")</f>
        <v>Owner</v>
      </c>
      <c r="U564" s="2"/>
      <c r="V564" s="2"/>
      <c r="W564" s="2"/>
      <c r="X564" s="2" t="str">
        <f>IFERROR(__xludf.DUMMYFUNCTION("""COMPUTED_VALUE"""),"Closed")</f>
        <v>Closed</v>
      </c>
    </row>
    <row r="565">
      <c r="A565" s="3" t="s">
        <v>581</v>
      </c>
      <c r="B565" s="4">
        <f>IFERROR(__xludf.DUMMYFUNCTION("SPLIT(A565,"","",0,0)"),45553.64027777778)</f>
        <v>45553.64028</v>
      </c>
      <c r="C565" s="5">
        <f>IFERROR(__xludf.DUMMYFUNCTION("""COMPUTED_VALUE"""),2725838.0)</f>
        <v>2725838</v>
      </c>
      <c r="D565" s="2" t="str">
        <f>IFERROR(__xludf.DUMMYFUNCTION("""COMPUTED_VALUE"""),"Sale")</f>
        <v>Sale</v>
      </c>
      <c r="E565" s="2" t="str">
        <f>IFERROR(__xludf.DUMMYFUNCTION("""COMPUTED_VALUE"""),"Minuman")</f>
        <v>Minuman</v>
      </c>
      <c r="F565" s="2">
        <f>IFERROR(__xludf.DUMMYFUNCTION("""COMPUTED_VALUE"""),10128.0)</f>
        <v>10128</v>
      </c>
      <c r="G565" s="2" t="str">
        <f>IFERROR(__xludf.DUMMYFUNCTION("""COMPUTED_VALUE"""),"Es Kopi Susu")</f>
        <v>Es Kopi Susu</v>
      </c>
      <c r="H565" s="2"/>
      <c r="I565" s="2"/>
      <c r="J565" s="2">
        <f>IFERROR(__xludf.DUMMYFUNCTION("""COMPUTED_VALUE"""),1.0)</f>
        <v>1</v>
      </c>
      <c r="K565" s="6">
        <f>IFERROR(__xludf.DUMMYFUNCTION("""COMPUTED_VALUE"""),23333.0)</f>
        <v>23333</v>
      </c>
      <c r="L565" s="2">
        <f>IFERROR(__xludf.DUMMYFUNCTION("""COMPUTED_VALUE"""),0.0)</f>
        <v>0</v>
      </c>
      <c r="M565" s="2">
        <f>IFERROR(__xludf.DUMMYFUNCTION("""COMPUTED_VALUE"""),23333.0)</f>
        <v>23333</v>
      </c>
      <c r="N565" s="2">
        <f>IFERROR(__xludf.DUMMYFUNCTION("""COMPUTED_VALUE"""),0.0)</f>
        <v>0</v>
      </c>
      <c r="O565" s="2">
        <f>IFERROR(__xludf.DUMMYFUNCTION("""COMPUTED_VALUE"""),23333.0)</f>
        <v>23333</v>
      </c>
      <c r="P565" s="2">
        <f>IFERROR(__xludf.DUMMYFUNCTION("""COMPUTED_VALUE"""),1167.0)</f>
        <v>1167</v>
      </c>
      <c r="Q565" s="2" t="str">
        <f>IFERROR(__xludf.DUMMYFUNCTION("""COMPUTED_VALUE"""),"Dine In")</f>
        <v>Dine In</v>
      </c>
      <c r="R565" s="2" t="str">
        <f>IFERROR(__xludf.DUMMYFUNCTION("""COMPUTED_VALUE"""),"Kedai")</f>
        <v>Kedai</v>
      </c>
      <c r="S565" s="2" t="str">
        <f>IFERROR(__xludf.DUMMYFUNCTION("""COMPUTED_VALUE"""),"Temu Roti")</f>
        <v>Temu Roti</v>
      </c>
      <c r="T565" s="2" t="str">
        <f>IFERROR(__xludf.DUMMYFUNCTION("""COMPUTED_VALUE"""),"Owner")</f>
        <v>Owner</v>
      </c>
      <c r="U565" s="2"/>
      <c r="V565" s="2"/>
      <c r="W565" s="2"/>
      <c r="X565" s="2" t="str">
        <f>IFERROR(__xludf.DUMMYFUNCTION("""COMPUTED_VALUE"""),"Closed")</f>
        <v>Closed</v>
      </c>
    </row>
    <row r="566">
      <c r="A566" s="3" t="s">
        <v>582</v>
      </c>
      <c r="B566" s="4">
        <f>IFERROR(__xludf.DUMMYFUNCTION("SPLIT(A566,"","",0,0)"),45553.626388888886)</f>
        <v>45553.62639</v>
      </c>
      <c r="C566" s="5">
        <f>IFERROR(__xludf.DUMMYFUNCTION("""COMPUTED_VALUE"""),2725473.0)</f>
        <v>2725473</v>
      </c>
      <c r="D566" s="2" t="str">
        <f>IFERROR(__xludf.DUMMYFUNCTION("""COMPUTED_VALUE"""),"Sale")</f>
        <v>Sale</v>
      </c>
      <c r="E566" s="2" t="str">
        <f>IFERROR(__xludf.DUMMYFUNCTION("""COMPUTED_VALUE"""),"Roti")</f>
        <v>Roti</v>
      </c>
      <c r="F566" s="2">
        <f>IFERROR(__xludf.DUMMYFUNCTION("""COMPUTED_VALUE"""),10002.0)</f>
        <v>10002</v>
      </c>
      <c r="G566" s="2" t="str">
        <f>IFERROR(__xludf.DUMMYFUNCTION("""COMPUTED_VALUE"""),"Roti Cranberry")</f>
        <v>Roti Cranberry</v>
      </c>
      <c r="H566" s="2"/>
      <c r="I566" s="2"/>
      <c r="J566" s="2">
        <f>IFERROR(__xludf.DUMMYFUNCTION("""COMPUTED_VALUE"""),1.0)</f>
        <v>1</v>
      </c>
      <c r="K566" s="6">
        <f>IFERROR(__xludf.DUMMYFUNCTION("""COMPUTED_VALUE"""),18571.0)</f>
        <v>18571</v>
      </c>
      <c r="L566" s="2">
        <f>IFERROR(__xludf.DUMMYFUNCTION("""COMPUTED_VALUE"""),0.0)</f>
        <v>0</v>
      </c>
      <c r="M566" s="2">
        <f>IFERROR(__xludf.DUMMYFUNCTION("""COMPUTED_VALUE"""),18571.0)</f>
        <v>18571</v>
      </c>
      <c r="N566" s="2">
        <f>IFERROR(__xludf.DUMMYFUNCTION("""COMPUTED_VALUE"""),0.0)</f>
        <v>0</v>
      </c>
      <c r="O566" s="2">
        <f>IFERROR(__xludf.DUMMYFUNCTION("""COMPUTED_VALUE"""),18571.0)</f>
        <v>18571</v>
      </c>
      <c r="P566" s="2">
        <f>IFERROR(__xludf.DUMMYFUNCTION("""COMPUTED_VALUE"""),929.0)</f>
        <v>929</v>
      </c>
      <c r="Q566" s="2" t="str">
        <f>IFERROR(__xludf.DUMMYFUNCTION("""COMPUTED_VALUE"""),"Dine In")</f>
        <v>Dine In</v>
      </c>
      <c r="R566" s="2" t="str">
        <f>IFERROR(__xludf.DUMMYFUNCTION("""COMPUTED_VALUE"""),"Kedai")</f>
        <v>Kedai</v>
      </c>
      <c r="S566" s="2" t="str">
        <f>IFERROR(__xludf.DUMMYFUNCTION("""COMPUTED_VALUE"""),"Temu Roti")</f>
        <v>Temu Roti</v>
      </c>
      <c r="T566" s="2" t="str">
        <f>IFERROR(__xludf.DUMMYFUNCTION("""COMPUTED_VALUE"""),"Owner")</f>
        <v>Owner</v>
      </c>
      <c r="U566" s="2"/>
      <c r="V566" s="2"/>
      <c r="W566" s="2"/>
      <c r="X566" s="2" t="str">
        <f>IFERROR(__xludf.DUMMYFUNCTION("""COMPUTED_VALUE"""),"Closed")</f>
        <v>Closed</v>
      </c>
    </row>
    <row r="567">
      <c r="A567" s="3" t="s">
        <v>583</v>
      </c>
      <c r="B567" s="4">
        <f>IFERROR(__xludf.DUMMYFUNCTION("SPLIT(A567,"","",0,0)"),45553.626388888886)</f>
        <v>45553.62639</v>
      </c>
      <c r="C567" s="5">
        <f>IFERROR(__xludf.DUMMYFUNCTION("""COMPUTED_VALUE"""),2725473.0)</f>
        <v>2725473</v>
      </c>
      <c r="D567" s="2" t="str">
        <f>IFERROR(__xludf.DUMMYFUNCTION("""COMPUTED_VALUE"""),"Sale")</f>
        <v>Sale</v>
      </c>
      <c r="E567" s="2" t="str">
        <f>IFERROR(__xludf.DUMMYFUNCTION("""COMPUTED_VALUE"""),"Roti")</f>
        <v>Roti</v>
      </c>
      <c r="F567" s="2">
        <f>IFERROR(__xludf.DUMMYFUNCTION("""COMPUTED_VALUE"""),10005.0)</f>
        <v>10005</v>
      </c>
      <c r="G567" s="2" t="str">
        <f>IFERROR(__xludf.DUMMYFUNCTION("""COMPUTED_VALUE"""),"Roti Gandum Cokelat")</f>
        <v>Roti Gandum Cokelat</v>
      </c>
      <c r="H567" s="2"/>
      <c r="I567" s="2"/>
      <c r="J567" s="2">
        <f>IFERROR(__xludf.DUMMYFUNCTION("""COMPUTED_VALUE"""),1.0)</f>
        <v>1</v>
      </c>
      <c r="K567" s="6">
        <f>IFERROR(__xludf.DUMMYFUNCTION("""COMPUTED_VALUE"""),19524.0)</f>
        <v>19524</v>
      </c>
      <c r="L567" s="2">
        <f>IFERROR(__xludf.DUMMYFUNCTION("""COMPUTED_VALUE"""),0.0)</f>
        <v>0</v>
      </c>
      <c r="M567" s="2">
        <f>IFERROR(__xludf.DUMMYFUNCTION("""COMPUTED_VALUE"""),19524.0)</f>
        <v>19524</v>
      </c>
      <c r="N567" s="2">
        <f>IFERROR(__xludf.DUMMYFUNCTION("""COMPUTED_VALUE"""),0.0)</f>
        <v>0</v>
      </c>
      <c r="O567" s="2">
        <f>IFERROR(__xludf.DUMMYFUNCTION("""COMPUTED_VALUE"""),19524.0)</f>
        <v>19524</v>
      </c>
      <c r="P567" s="2">
        <f>IFERROR(__xludf.DUMMYFUNCTION("""COMPUTED_VALUE"""),976.0)</f>
        <v>976</v>
      </c>
      <c r="Q567" s="2" t="str">
        <f>IFERROR(__xludf.DUMMYFUNCTION("""COMPUTED_VALUE"""),"Dine In")</f>
        <v>Dine In</v>
      </c>
      <c r="R567" s="2" t="str">
        <f>IFERROR(__xludf.DUMMYFUNCTION("""COMPUTED_VALUE"""),"Kedai")</f>
        <v>Kedai</v>
      </c>
      <c r="S567" s="2" t="str">
        <f>IFERROR(__xludf.DUMMYFUNCTION("""COMPUTED_VALUE"""),"Temu Roti")</f>
        <v>Temu Roti</v>
      </c>
      <c r="T567" s="2" t="str">
        <f>IFERROR(__xludf.DUMMYFUNCTION("""COMPUTED_VALUE"""),"Owner")</f>
        <v>Owner</v>
      </c>
      <c r="U567" s="2"/>
      <c r="V567" s="2"/>
      <c r="W567" s="2"/>
      <c r="X567" s="2" t="str">
        <f>IFERROR(__xludf.DUMMYFUNCTION("""COMPUTED_VALUE"""),"Closed")</f>
        <v>Closed</v>
      </c>
    </row>
    <row r="568">
      <c r="A568" s="3" t="s">
        <v>584</v>
      </c>
      <c r="B568" s="4">
        <f>IFERROR(__xludf.DUMMYFUNCTION("SPLIT(A568,"","",0,0)"),45553.618055555555)</f>
        <v>45553.61806</v>
      </c>
      <c r="C568" s="5">
        <f>IFERROR(__xludf.DUMMYFUNCTION("""COMPUTED_VALUE"""),2725108.0)</f>
        <v>2725108</v>
      </c>
      <c r="D568" s="2" t="str">
        <f>IFERROR(__xludf.DUMMYFUNCTION("""COMPUTED_VALUE"""),"Sale")</f>
        <v>Sale</v>
      </c>
      <c r="E568" s="2" t="str">
        <f>IFERROR(__xludf.DUMMYFUNCTION("""COMPUTED_VALUE"""),"Minuman")</f>
        <v>Minuman</v>
      </c>
      <c r="F568" s="2">
        <f>IFERROR(__xludf.DUMMYFUNCTION("""COMPUTED_VALUE"""),10067.0)</f>
        <v>10067</v>
      </c>
      <c r="G568" s="2" t="str">
        <f>IFERROR(__xludf.DUMMYFUNCTION("""COMPUTED_VALUE"""),"Wedang angin")</f>
        <v>Wedang angin</v>
      </c>
      <c r="H568" s="2"/>
      <c r="I568" s="2"/>
      <c r="J568" s="2">
        <f>IFERROR(__xludf.DUMMYFUNCTION("""COMPUTED_VALUE"""),1.0)</f>
        <v>1</v>
      </c>
      <c r="K568" s="6">
        <f>IFERROR(__xludf.DUMMYFUNCTION("""COMPUTED_VALUE"""),24762.0)</f>
        <v>24762</v>
      </c>
      <c r="L568" s="2">
        <f>IFERROR(__xludf.DUMMYFUNCTION("""COMPUTED_VALUE"""),0.0)</f>
        <v>0</v>
      </c>
      <c r="M568" s="2">
        <f>IFERROR(__xludf.DUMMYFUNCTION("""COMPUTED_VALUE"""),24762.0)</f>
        <v>24762</v>
      </c>
      <c r="N568" s="2">
        <f>IFERROR(__xludf.DUMMYFUNCTION("""COMPUTED_VALUE"""),0.0)</f>
        <v>0</v>
      </c>
      <c r="O568" s="2">
        <f>IFERROR(__xludf.DUMMYFUNCTION("""COMPUTED_VALUE"""),24762.0)</f>
        <v>24762</v>
      </c>
      <c r="P568" s="2">
        <f>IFERROR(__xludf.DUMMYFUNCTION("""COMPUTED_VALUE"""),1238.0)</f>
        <v>1238</v>
      </c>
      <c r="Q568" s="2" t="str">
        <f>IFERROR(__xludf.DUMMYFUNCTION("""COMPUTED_VALUE"""),"Dine In")</f>
        <v>Dine In</v>
      </c>
      <c r="R568" s="2" t="str">
        <f>IFERROR(__xludf.DUMMYFUNCTION("""COMPUTED_VALUE"""),"Kedai")</f>
        <v>Kedai</v>
      </c>
      <c r="S568" s="2" t="str">
        <f>IFERROR(__xludf.DUMMYFUNCTION("""COMPUTED_VALUE"""),"Temu Roti")</f>
        <v>Temu Roti</v>
      </c>
      <c r="T568" s="2" t="str">
        <f>IFERROR(__xludf.DUMMYFUNCTION("""COMPUTED_VALUE"""),"Owner")</f>
        <v>Owner</v>
      </c>
      <c r="U568" s="2"/>
      <c r="V568" s="2"/>
      <c r="W568" s="2"/>
      <c r="X568" s="2" t="str">
        <f>IFERROR(__xludf.DUMMYFUNCTION("""COMPUTED_VALUE"""),"Closed")</f>
        <v>Closed</v>
      </c>
    </row>
    <row r="569">
      <c r="A569" s="3" t="s">
        <v>585</v>
      </c>
      <c r="B569" s="4">
        <f>IFERROR(__xludf.DUMMYFUNCTION("SPLIT(A569,"","",0,0)"),45553.603472222225)</f>
        <v>45553.60347</v>
      </c>
      <c r="C569" s="5">
        <f>IFERROR(__xludf.DUMMYFUNCTION("""COMPUTED_VALUE"""),2724742.0)</f>
        <v>2724742</v>
      </c>
      <c r="D569" s="2" t="str">
        <f>IFERROR(__xludf.DUMMYFUNCTION("""COMPUTED_VALUE"""),"Sale")</f>
        <v>Sale</v>
      </c>
      <c r="E569" s="2" t="str">
        <f>IFERROR(__xludf.DUMMYFUNCTION("""COMPUTED_VALUE"""),"Minuman")</f>
        <v>Minuman</v>
      </c>
      <c r="F569" s="2">
        <f>IFERROR(__xludf.DUMMYFUNCTION("""COMPUTED_VALUE"""),10069.0)</f>
        <v>10069</v>
      </c>
      <c r="G569" s="2" t="str">
        <f>IFERROR(__xludf.DUMMYFUNCTION("""COMPUTED_VALUE"""),"Wedang hujan")</f>
        <v>Wedang hujan</v>
      </c>
      <c r="H569" s="2"/>
      <c r="I569" s="2"/>
      <c r="J569" s="2">
        <f>IFERROR(__xludf.DUMMYFUNCTION("""COMPUTED_VALUE"""),1.0)</f>
        <v>1</v>
      </c>
      <c r="K569" s="6">
        <f>IFERROR(__xludf.DUMMYFUNCTION("""COMPUTED_VALUE"""),24762.0)</f>
        <v>24762</v>
      </c>
      <c r="L569" s="2">
        <f>IFERROR(__xludf.DUMMYFUNCTION("""COMPUTED_VALUE"""),0.0)</f>
        <v>0</v>
      </c>
      <c r="M569" s="2">
        <f>IFERROR(__xludf.DUMMYFUNCTION("""COMPUTED_VALUE"""),24762.0)</f>
        <v>24762</v>
      </c>
      <c r="N569" s="2">
        <f>IFERROR(__xludf.DUMMYFUNCTION("""COMPUTED_VALUE"""),0.0)</f>
        <v>0</v>
      </c>
      <c r="O569" s="2">
        <f>IFERROR(__xludf.DUMMYFUNCTION("""COMPUTED_VALUE"""),24762.0)</f>
        <v>24762</v>
      </c>
      <c r="P569" s="2">
        <f>IFERROR(__xludf.DUMMYFUNCTION("""COMPUTED_VALUE"""),1238.0)</f>
        <v>1238</v>
      </c>
      <c r="Q569" s="2" t="str">
        <f>IFERROR(__xludf.DUMMYFUNCTION("""COMPUTED_VALUE"""),"Dine In")</f>
        <v>Dine In</v>
      </c>
      <c r="R569" s="2" t="str">
        <f>IFERROR(__xludf.DUMMYFUNCTION("""COMPUTED_VALUE"""),"Kedai")</f>
        <v>Kedai</v>
      </c>
      <c r="S569" s="2" t="str">
        <f>IFERROR(__xludf.DUMMYFUNCTION("""COMPUTED_VALUE"""),"Temu Roti")</f>
        <v>Temu Roti</v>
      </c>
      <c r="T569" s="2" t="str">
        <f>IFERROR(__xludf.DUMMYFUNCTION("""COMPUTED_VALUE"""),"Owner")</f>
        <v>Owner</v>
      </c>
      <c r="U569" s="2"/>
      <c r="V569" s="2"/>
      <c r="W569" s="2"/>
      <c r="X569" s="2" t="str">
        <f>IFERROR(__xludf.DUMMYFUNCTION("""COMPUTED_VALUE"""),"Closed")</f>
        <v>Closed</v>
      </c>
    </row>
    <row r="570">
      <c r="A570" s="3" t="s">
        <v>586</v>
      </c>
      <c r="B570" s="4">
        <f>IFERROR(__xludf.DUMMYFUNCTION("SPLIT(A570,"","",0,0)"),45553.603472222225)</f>
        <v>45553.60347</v>
      </c>
      <c r="C570" s="5">
        <f>IFERROR(__xludf.DUMMYFUNCTION("""COMPUTED_VALUE"""),2724742.0)</f>
        <v>2724742</v>
      </c>
      <c r="D570" s="2" t="str">
        <f>IFERROR(__xludf.DUMMYFUNCTION("""COMPUTED_VALUE"""),"Sale")</f>
        <v>Sale</v>
      </c>
      <c r="E570" s="2" t="str">
        <f>IFERROR(__xludf.DUMMYFUNCTION("""COMPUTED_VALUE"""),"Minuman")</f>
        <v>Minuman</v>
      </c>
      <c r="F570" s="2">
        <f>IFERROR(__xludf.DUMMYFUNCTION("""COMPUTED_VALUE"""),10063.0)</f>
        <v>10063</v>
      </c>
      <c r="G570" s="2" t="str">
        <f>IFERROR(__xludf.DUMMYFUNCTION("""COMPUTED_VALUE"""),"Wedang Bulan")</f>
        <v>Wedang Bulan</v>
      </c>
      <c r="H570" s="2"/>
      <c r="I570" s="2"/>
      <c r="J570" s="2">
        <f>IFERROR(__xludf.DUMMYFUNCTION("""COMPUTED_VALUE"""),1.0)</f>
        <v>1</v>
      </c>
      <c r="K570" s="6">
        <f>IFERROR(__xludf.DUMMYFUNCTION("""COMPUTED_VALUE"""),24762.0)</f>
        <v>24762</v>
      </c>
      <c r="L570" s="2">
        <f>IFERROR(__xludf.DUMMYFUNCTION("""COMPUTED_VALUE"""),0.0)</f>
        <v>0</v>
      </c>
      <c r="M570" s="2">
        <f>IFERROR(__xludf.DUMMYFUNCTION("""COMPUTED_VALUE"""),24762.0)</f>
        <v>24762</v>
      </c>
      <c r="N570" s="2">
        <f>IFERROR(__xludf.DUMMYFUNCTION("""COMPUTED_VALUE"""),0.0)</f>
        <v>0</v>
      </c>
      <c r="O570" s="2">
        <f>IFERROR(__xludf.DUMMYFUNCTION("""COMPUTED_VALUE"""),24762.0)</f>
        <v>24762</v>
      </c>
      <c r="P570" s="2">
        <f>IFERROR(__xludf.DUMMYFUNCTION("""COMPUTED_VALUE"""),1238.0)</f>
        <v>1238</v>
      </c>
      <c r="Q570" s="2" t="str">
        <f>IFERROR(__xludf.DUMMYFUNCTION("""COMPUTED_VALUE"""),"Dine In")</f>
        <v>Dine In</v>
      </c>
      <c r="R570" s="2" t="str">
        <f>IFERROR(__xludf.DUMMYFUNCTION("""COMPUTED_VALUE"""),"Kedai")</f>
        <v>Kedai</v>
      </c>
      <c r="S570" s="2" t="str">
        <f>IFERROR(__xludf.DUMMYFUNCTION("""COMPUTED_VALUE"""),"Temu Roti")</f>
        <v>Temu Roti</v>
      </c>
      <c r="T570" s="2" t="str">
        <f>IFERROR(__xludf.DUMMYFUNCTION("""COMPUTED_VALUE"""),"Owner")</f>
        <v>Owner</v>
      </c>
      <c r="U570" s="2"/>
      <c r="V570" s="2"/>
      <c r="W570" s="2"/>
      <c r="X570" s="2" t="str">
        <f>IFERROR(__xludf.DUMMYFUNCTION("""COMPUTED_VALUE"""),"Closed")</f>
        <v>Closed</v>
      </c>
    </row>
    <row r="571">
      <c r="A571" s="3" t="s">
        <v>587</v>
      </c>
      <c r="B571" s="4">
        <f>IFERROR(__xludf.DUMMYFUNCTION("SPLIT(A571,"","",0,0)"),45553.603472222225)</f>
        <v>45553.60347</v>
      </c>
      <c r="C571" s="5">
        <f>IFERROR(__xludf.DUMMYFUNCTION("""COMPUTED_VALUE"""),2724742.0)</f>
        <v>2724742</v>
      </c>
      <c r="D571" s="2" t="str">
        <f>IFERROR(__xludf.DUMMYFUNCTION("""COMPUTED_VALUE"""),"Sale")</f>
        <v>Sale</v>
      </c>
      <c r="E571" s="2" t="str">
        <f>IFERROR(__xludf.DUMMYFUNCTION("""COMPUTED_VALUE"""),"Roti")</f>
        <v>Roti</v>
      </c>
      <c r="F571" s="2">
        <f>IFERROR(__xludf.DUMMYFUNCTION("""COMPUTED_VALUE"""),10000.0)</f>
        <v>10000</v>
      </c>
      <c r="G571" s="2" t="str">
        <f>IFERROR(__xludf.DUMMYFUNCTION("""COMPUTED_VALUE"""),"Roti Bawang Saus Keju")</f>
        <v>Roti Bawang Saus Keju</v>
      </c>
      <c r="H571" s="2"/>
      <c r="I571" s="2"/>
      <c r="J571" s="2">
        <f>IFERROR(__xludf.DUMMYFUNCTION("""COMPUTED_VALUE"""),1.0)</f>
        <v>1</v>
      </c>
      <c r="K571" s="6">
        <f>IFERROR(__xludf.DUMMYFUNCTION("""COMPUTED_VALUE"""),29524.0)</f>
        <v>29524</v>
      </c>
      <c r="L571" s="2">
        <f>IFERROR(__xludf.DUMMYFUNCTION("""COMPUTED_VALUE"""),0.0)</f>
        <v>0</v>
      </c>
      <c r="M571" s="2">
        <f>IFERROR(__xludf.DUMMYFUNCTION("""COMPUTED_VALUE"""),29524.0)</f>
        <v>29524</v>
      </c>
      <c r="N571" s="2">
        <f>IFERROR(__xludf.DUMMYFUNCTION("""COMPUTED_VALUE"""),0.0)</f>
        <v>0</v>
      </c>
      <c r="O571" s="2">
        <f>IFERROR(__xludf.DUMMYFUNCTION("""COMPUTED_VALUE"""),29524.0)</f>
        <v>29524</v>
      </c>
      <c r="P571" s="2">
        <f>IFERROR(__xludf.DUMMYFUNCTION("""COMPUTED_VALUE"""),1476.0)</f>
        <v>1476</v>
      </c>
      <c r="Q571" s="2" t="str">
        <f>IFERROR(__xludf.DUMMYFUNCTION("""COMPUTED_VALUE"""),"Dine In")</f>
        <v>Dine In</v>
      </c>
      <c r="R571" s="2" t="str">
        <f>IFERROR(__xludf.DUMMYFUNCTION("""COMPUTED_VALUE"""),"Kedai")</f>
        <v>Kedai</v>
      </c>
      <c r="S571" s="2" t="str">
        <f>IFERROR(__xludf.DUMMYFUNCTION("""COMPUTED_VALUE"""),"Temu Roti")</f>
        <v>Temu Roti</v>
      </c>
      <c r="T571" s="2" t="str">
        <f>IFERROR(__xludf.DUMMYFUNCTION("""COMPUTED_VALUE"""),"Owner")</f>
        <v>Owner</v>
      </c>
      <c r="U571" s="2"/>
      <c r="V571" s="2"/>
      <c r="W571" s="2"/>
      <c r="X571" s="2" t="str">
        <f>IFERROR(__xludf.DUMMYFUNCTION("""COMPUTED_VALUE"""),"Closed")</f>
        <v>Closed</v>
      </c>
    </row>
    <row r="572">
      <c r="A572" s="3" t="s">
        <v>588</v>
      </c>
      <c r="B572" s="4">
        <f>IFERROR(__xludf.DUMMYFUNCTION("SPLIT(A572,"","",0,0)"),45553.57708333333)</f>
        <v>45553.57708</v>
      </c>
      <c r="C572" s="5">
        <f>IFERROR(__xludf.DUMMYFUNCTION("""COMPUTED_VALUE"""),2724377.0)</f>
        <v>2724377</v>
      </c>
      <c r="D572" s="2" t="str">
        <f>IFERROR(__xludf.DUMMYFUNCTION("""COMPUTED_VALUE"""),"Sale")</f>
        <v>Sale</v>
      </c>
      <c r="E572" s="2" t="str">
        <f>IFERROR(__xludf.DUMMYFUNCTION("""COMPUTED_VALUE"""),"Kudapan")</f>
        <v>Kudapan</v>
      </c>
      <c r="F572" s="2">
        <f>IFERROR(__xludf.DUMMYFUNCTION("""COMPUTED_VALUE"""),10051.0)</f>
        <v>10051</v>
      </c>
      <c r="G572" s="2" t="str">
        <f>IFERROR(__xludf.DUMMYFUNCTION("""COMPUTED_VALUE"""),"Tahu baso")</f>
        <v>Tahu baso</v>
      </c>
      <c r="H572" s="2"/>
      <c r="I572" s="2"/>
      <c r="J572" s="2">
        <f>IFERROR(__xludf.DUMMYFUNCTION("""COMPUTED_VALUE"""),1.0)</f>
        <v>1</v>
      </c>
      <c r="K572" s="6">
        <f>IFERROR(__xludf.DUMMYFUNCTION("""COMPUTED_VALUE"""),25238.0)</f>
        <v>25238</v>
      </c>
      <c r="L572" s="2">
        <f>IFERROR(__xludf.DUMMYFUNCTION("""COMPUTED_VALUE"""),0.0)</f>
        <v>0</v>
      </c>
      <c r="M572" s="2">
        <f>IFERROR(__xludf.DUMMYFUNCTION("""COMPUTED_VALUE"""),25238.0)</f>
        <v>25238</v>
      </c>
      <c r="N572" s="2">
        <f>IFERROR(__xludf.DUMMYFUNCTION("""COMPUTED_VALUE"""),0.0)</f>
        <v>0</v>
      </c>
      <c r="O572" s="2">
        <f>IFERROR(__xludf.DUMMYFUNCTION("""COMPUTED_VALUE"""),25238.0)</f>
        <v>25238</v>
      </c>
      <c r="P572" s="2">
        <f>IFERROR(__xludf.DUMMYFUNCTION("""COMPUTED_VALUE"""),1262.0)</f>
        <v>1262</v>
      </c>
      <c r="Q572" s="2" t="str">
        <f>IFERROR(__xludf.DUMMYFUNCTION("""COMPUTED_VALUE"""),"Dine In")</f>
        <v>Dine In</v>
      </c>
      <c r="R572" s="2" t="str">
        <f>IFERROR(__xludf.DUMMYFUNCTION("""COMPUTED_VALUE"""),"Kedai")</f>
        <v>Kedai</v>
      </c>
      <c r="S572" s="2" t="str">
        <f>IFERROR(__xludf.DUMMYFUNCTION("""COMPUTED_VALUE"""),"Temu Roti")</f>
        <v>Temu Roti</v>
      </c>
      <c r="T572" s="2" t="str">
        <f>IFERROR(__xludf.DUMMYFUNCTION("""COMPUTED_VALUE"""),"Owner")</f>
        <v>Owner</v>
      </c>
      <c r="U572" s="2"/>
      <c r="V572" s="2"/>
      <c r="W572" s="2"/>
      <c r="X572" s="2" t="str">
        <f>IFERROR(__xludf.DUMMYFUNCTION("""COMPUTED_VALUE"""),"Closed")</f>
        <v>Closed</v>
      </c>
    </row>
    <row r="573">
      <c r="A573" s="3" t="s">
        <v>589</v>
      </c>
      <c r="B573" s="4">
        <f>IFERROR(__xludf.DUMMYFUNCTION("SPLIT(A573,"","",0,0)"),45553.57708333333)</f>
        <v>45553.57708</v>
      </c>
      <c r="C573" s="5">
        <f>IFERROR(__xludf.DUMMYFUNCTION("""COMPUTED_VALUE"""),2724377.0)</f>
        <v>2724377</v>
      </c>
      <c r="D573" s="2" t="str">
        <f>IFERROR(__xludf.DUMMYFUNCTION("""COMPUTED_VALUE"""),"Sale")</f>
        <v>Sale</v>
      </c>
      <c r="E573" s="2" t="str">
        <f>IFERROR(__xludf.DUMMYFUNCTION("""COMPUTED_VALUE"""),"Roti")</f>
        <v>Roti</v>
      </c>
      <c r="F573" s="2">
        <f>IFERROR(__xludf.DUMMYFUNCTION("""COMPUTED_VALUE"""),10007.0)</f>
        <v>10007</v>
      </c>
      <c r="G573" s="2" t="str">
        <f>IFERROR(__xludf.DUMMYFUNCTION("""COMPUTED_VALUE"""),"Roti cranberry 2 pcs")</f>
        <v>Roti cranberry 2 pcs</v>
      </c>
      <c r="H573" s="2"/>
      <c r="I573" s="2"/>
      <c r="J573" s="2">
        <f>IFERROR(__xludf.DUMMYFUNCTION("""COMPUTED_VALUE"""),1.0)</f>
        <v>1</v>
      </c>
      <c r="K573" s="6">
        <f>IFERROR(__xludf.DUMMYFUNCTION("""COMPUTED_VALUE"""),33810.0)</f>
        <v>33810</v>
      </c>
      <c r="L573" s="2">
        <f>IFERROR(__xludf.DUMMYFUNCTION("""COMPUTED_VALUE"""),0.0)</f>
        <v>0</v>
      </c>
      <c r="M573" s="2">
        <f>IFERROR(__xludf.DUMMYFUNCTION("""COMPUTED_VALUE"""),33810.0)</f>
        <v>33810</v>
      </c>
      <c r="N573" s="2">
        <f>IFERROR(__xludf.DUMMYFUNCTION("""COMPUTED_VALUE"""),0.0)</f>
        <v>0</v>
      </c>
      <c r="O573" s="2">
        <f>IFERROR(__xludf.DUMMYFUNCTION("""COMPUTED_VALUE"""),33810.0)</f>
        <v>33810</v>
      </c>
      <c r="P573" s="2">
        <f>IFERROR(__xludf.DUMMYFUNCTION("""COMPUTED_VALUE"""),1690.0)</f>
        <v>1690</v>
      </c>
      <c r="Q573" s="2" t="str">
        <f>IFERROR(__xludf.DUMMYFUNCTION("""COMPUTED_VALUE"""),"Dine In")</f>
        <v>Dine In</v>
      </c>
      <c r="R573" s="2" t="str">
        <f>IFERROR(__xludf.DUMMYFUNCTION("""COMPUTED_VALUE"""),"Kedai")</f>
        <v>Kedai</v>
      </c>
      <c r="S573" s="2" t="str">
        <f>IFERROR(__xludf.DUMMYFUNCTION("""COMPUTED_VALUE"""),"Temu Roti")</f>
        <v>Temu Roti</v>
      </c>
      <c r="T573" s="2" t="str">
        <f>IFERROR(__xludf.DUMMYFUNCTION("""COMPUTED_VALUE"""),"Owner")</f>
        <v>Owner</v>
      </c>
      <c r="U573" s="2"/>
      <c r="V573" s="2"/>
      <c r="W573" s="2"/>
      <c r="X573" s="2" t="str">
        <f>IFERROR(__xludf.DUMMYFUNCTION("""COMPUTED_VALUE"""),"Closed")</f>
        <v>Closed</v>
      </c>
    </row>
    <row r="574">
      <c r="A574" s="3" t="s">
        <v>590</v>
      </c>
      <c r="B574" s="4">
        <f>IFERROR(__xludf.DUMMYFUNCTION("SPLIT(A574,"","",0,0)"),45553.57638888889)</f>
        <v>45553.57639</v>
      </c>
      <c r="C574" s="5">
        <f>IFERROR(__xludf.DUMMYFUNCTION("""COMPUTED_VALUE"""),2724012.0)</f>
        <v>2724012</v>
      </c>
      <c r="D574" s="2" t="str">
        <f>IFERROR(__xludf.DUMMYFUNCTION("""COMPUTED_VALUE"""),"Sale")</f>
        <v>Sale</v>
      </c>
      <c r="E574" s="2" t="str">
        <f>IFERROR(__xludf.DUMMYFUNCTION("""COMPUTED_VALUE"""),"Roti")</f>
        <v>Roti</v>
      </c>
      <c r="F574" s="2">
        <f>IFERROR(__xludf.DUMMYFUNCTION("""COMPUTED_VALUE"""),10007.0)</f>
        <v>10007</v>
      </c>
      <c r="G574" s="2" t="str">
        <f>IFERROR(__xludf.DUMMYFUNCTION("""COMPUTED_VALUE"""),"Roti cranberry 2 pcs")</f>
        <v>Roti cranberry 2 pcs</v>
      </c>
      <c r="H574" s="2"/>
      <c r="I574" s="2"/>
      <c r="J574" s="2">
        <f>IFERROR(__xludf.DUMMYFUNCTION("""COMPUTED_VALUE"""),1.0)</f>
        <v>1</v>
      </c>
      <c r="K574" s="6">
        <f>IFERROR(__xludf.DUMMYFUNCTION("""COMPUTED_VALUE"""),33810.0)</f>
        <v>33810</v>
      </c>
      <c r="L574" s="2">
        <f>IFERROR(__xludf.DUMMYFUNCTION("""COMPUTED_VALUE"""),0.0)</f>
        <v>0</v>
      </c>
      <c r="M574" s="2">
        <f>IFERROR(__xludf.DUMMYFUNCTION("""COMPUTED_VALUE"""),33810.0)</f>
        <v>33810</v>
      </c>
      <c r="N574" s="2">
        <f>IFERROR(__xludf.DUMMYFUNCTION("""COMPUTED_VALUE"""),0.0)</f>
        <v>0</v>
      </c>
      <c r="O574" s="2">
        <f>IFERROR(__xludf.DUMMYFUNCTION("""COMPUTED_VALUE"""),33810.0)</f>
        <v>33810</v>
      </c>
      <c r="P574" s="2">
        <f>IFERROR(__xludf.DUMMYFUNCTION("""COMPUTED_VALUE"""),1691.0)</f>
        <v>1691</v>
      </c>
      <c r="Q574" s="2" t="str">
        <f>IFERROR(__xludf.DUMMYFUNCTION("""COMPUTED_VALUE"""),"Dine In")</f>
        <v>Dine In</v>
      </c>
      <c r="R574" s="2" t="str">
        <f>IFERROR(__xludf.DUMMYFUNCTION("""COMPUTED_VALUE"""),"Kedai")</f>
        <v>Kedai</v>
      </c>
      <c r="S574" s="2" t="str">
        <f>IFERROR(__xludf.DUMMYFUNCTION("""COMPUTED_VALUE"""),"Temu Roti")</f>
        <v>Temu Roti</v>
      </c>
      <c r="T574" s="2" t="str">
        <f>IFERROR(__xludf.DUMMYFUNCTION("""COMPUTED_VALUE"""),"Owner")</f>
        <v>Owner</v>
      </c>
      <c r="U574" s="2"/>
      <c r="V574" s="2"/>
      <c r="W574" s="2"/>
      <c r="X574" s="2" t="str">
        <f>IFERROR(__xludf.DUMMYFUNCTION("""COMPUTED_VALUE"""),"Closed")</f>
        <v>Closed</v>
      </c>
    </row>
    <row r="575">
      <c r="A575" s="3" t="s">
        <v>591</v>
      </c>
      <c r="B575" s="4">
        <f>IFERROR(__xludf.DUMMYFUNCTION("SPLIT(A575,"","",0,0)"),45553.57638888889)</f>
        <v>45553.57639</v>
      </c>
      <c r="C575" s="5">
        <f>IFERROR(__xludf.DUMMYFUNCTION("""COMPUTED_VALUE"""),2724012.0)</f>
        <v>2724012</v>
      </c>
      <c r="D575" s="2" t="str">
        <f>IFERROR(__xludf.DUMMYFUNCTION("""COMPUTED_VALUE"""),"Sale")</f>
        <v>Sale</v>
      </c>
      <c r="E575" s="2" t="str">
        <f>IFERROR(__xludf.DUMMYFUNCTION("""COMPUTED_VALUE"""),"Minuman")</f>
        <v>Minuman</v>
      </c>
      <c r="F575" s="2">
        <f>IFERROR(__xludf.DUMMYFUNCTION("""COMPUTED_VALUE"""),10128.0)</f>
        <v>10128</v>
      </c>
      <c r="G575" s="2" t="str">
        <f>IFERROR(__xludf.DUMMYFUNCTION("""COMPUTED_VALUE"""),"Es Kopi Susu")</f>
        <v>Es Kopi Susu</v>
      </c>
      <c r="H575" s="2"/>
      <c r="I575" s="2"/>
      <c r="J575" s="2">
        <f>IFERROR(__xludf.DUMMYFUNCTION("""COMPUTED_VALUE"""),1.0)</f>
        <v>1</v>
      </c>
      <c r="K575" s="6">
        <f>IFERROR(__xludf.DUMMYFUNCTION("""COMPUTED_VALUE"""),23333.0)</f>
        <v>23333</v>
      </c>
      <c r="L575" s="2">
        <f>IFERROR(__xludf.DUMMYFUNCTION("""COMPUTED_VALUE"""),0.0)</f>
        <v>0</v>
      </c>
      <c r="M575" s="2">
        <f>IFERROR(__xludf.DUMMYFUNCTION("""COMPUTED_VALUE"""),23333.0)</f>
        <v>23333</v>
      </c>
      <c r="N575" s="2">
        <f>IFERROR(__xludf.DUMMYFUNCTION("""COMPUTED_VALUE"""),0.0)</f>
        <v>0</v>
      </c>
      <c r="O575" s="2">
        <f>IFERROR(__xludf.DUMMYFUNCTION("""COMPUTED_VALUE"""),23333.0)</f>
        <v>23333</v>
      </c>
      <c r="P575" s="2">
        <f>IFERROR(__xludf.DUMMYFUNCTION("""COMPUTED_VALUE"""),1166.0)</f>
        <v>1166</v>
      </c>
      <c r="Q575" s="2" t="str">
        <f>IFERROR(__xludf.DUMMYFUNCTION("""COMPUTED_VALUE"""),"Dine In")</f>
        <v>Dine In</v>
      </c>
      <c r="R575" s="2" t="str">
        <f>IFERROR(__xludf.DUMMYFUNCTION("""COMPUTED_VALUE"""),"Kedai")</f>
        <v>Kedai</v>
      </c>
      <c r="S575" s="2" t="str">
        <f>IFERROR(__xludf.DUMMYFUNCTION("""COMPUTED_VALUE"""),"Temu Roti")</f>
        <v>Temu Roti</v>
      </c>
      <c r="T575" s="2" t="str">
        <f>IFERROR(__xludf.DUMMYFUNCTION("""COMPUTED_VALUE"""),"Owner")</f>
        <v>Owner</v>
      </c>
      <c r="U575" s="2"/>
      <c r="V575" s="2"/>
      <c r="W575" s="2"/>
      <c r="X575" s="2" t="str">
        <f>IFERROR(__xludf.DUMMYFUNCTION("""COMPUTED_VALUE"""),"Closed")</f>
        <v>Closed</v>
      </c>
    </row>
    <row r="576">
      <c r="A576" s="3" t="s">
        <v>592</v>
      </c>
      <c r="B576" s="4">
        <f>IFERROR(__xludf.DUMMYFUNCTION("SPLIT(A576,"","",0,0)"),45553.561111111114)</f>
        <v>45553.56111</v>
      </c>
      <c r="C576" s="5">
        <f>IFERROR(__xludf.DUMMYFUNCTION("""COMPUTED_VALUE"""),2723647.0)</f>
        <v>2723647</v>
      </c>
      <c r="D576" s="2" t="str">
        <f>IFERROR(__xludf.DUMMYFUNCTION("""COMPUTED_VALUE"""),"Sale")</f>
        <v>Sale</v>
      </c>
      <c r="E576" s="2" t="str">
        <f>IFERROR(__xludf.DUMMYFUNCTION("""COMPUTED_VALUE"""),"Kudapan")</f>
        <v>Kudapan</v>
      </c>
      <c r="F576" s="2">
        <f>IFERROR(__xludf.DUMMYFUNCTION("""COMPUTED_VALUE"""),10004.0)</f>
        <v>10004</v>
      </c>
      <c r="G576" s="2" t="str">
        <f>IFERROR(__xludf.DUMMYFUNCTION("""COMPUTED_VALUE"""),"Tahu walik")</f>
        <v>Tahu walik</v>
      </c>
      <c r="H576" s="2"/>
      <c r="I576" s="2"/>
      <c r="J576" s="2">
        <f>IFERROR(__xludf.DUMMYFUNCTION("""COMPUTED_VALUE"""),1.0)</f>
        <v>1</v>
      </c>
      <c r="K576" s="6">
        <f>IFERROR(__xludf.DUMMYFUNCTION("""COMPUTED_VALUE"""),25238.0)</f>
        <v>25238</v>
      </c>
      <c r="L576" s="2">
        <f>IFERROR(__xludf.DUMMYFUNCTION("""COMPUTED_VALUE"""),0.0)</f>
        <v>0</v>
      </c>
      <c r="M576" s="2">
        <f>IFERROR(__xludf.DUMMYFUNCTION("""COMPUTED_VALUE"""),25238.0)</f>
        <v>25238</v>
      </c>
      <c r="N576" s="2">
        <f>IFERROR(__xludf.DUMMYFUNCTION("""COMPUTED_VALUE"""),0.0)</f>
        <v>0</v>
      </c>
      <c r="O576" s="2">
        <f>IFERROR(__xludf.DUMMYFUNCTION("""COMPUTED_VALUE"""),25238.0)</f>
        <v>25238</v>
      </c>
      <c r="P576" s="2">
        <f>IFERROR(__xludf.DUMMYFUNCTION("""COMPUTED_VALUE"""),1262.0)</f>
        <v>1262</v>
      </c>
      <c r="Q576" s="2" t="str">
        <f>IFERROR(__xludf.DUMMYFUNCTION("""COMPUTED_VALUE"""),"Dine In")</f>
        <v>Dine In</v>
      </c>
      <c r="R576" s="2" t="str">
        <f>IFERROR(__xludf.DUMMYFUNCTION("""COMPUTED_VALUE"""),"Kedai")</f>
        <v>Kedai</v>
      </c>
      <c r="S576" s="2" t="str">
        <f>IFERROR(__xludf.DUMMYFUNCTION("""COMPUTED_VALUE"""),"Temu Roti")</f>
        <v>Temu Roti</v>
      </c>
      <c r="T576" s="2" t="str">
        <f>IFERROR(__xludf.DUMMYFUNCTION("""COMPUTED_VALUE"""),"Owner")</f>
        <v>Owner</v>
      </c>
      <c r="U576" s="2"/>
      <c r="V576" s="2"/>
      <c r="W576" s="2"/>
      <c r="X576" s="2" t="str">
        <f>IFERROR(__xludf.DUMMYFUNCTION("""COMPUTED_VALUE"""),"Closed")</f>
        <v>Closed</v>
      </c>
    </row>
    <row r="577">
      <c r="A577" s="3" t="s">
        <v>593</v>
      </c>
      <c r="B577" s="4">
        <f>IFERROR(__xludf.DUMMYFUNCTION("SPLIT(A577,"","",0,0)"),45553.561111111114)</f>
        <v>45553.56111</v>
      </c>
      <c r="C577" s="5">
        <f>IFERROR(__xludf.DUMMYFUNCTION("""COMPUTED_VALUE"""),2723647.0)</f>
        <v>2723647</v>
      </c>
      <c r="D577" s="2" t="str">
        <f>IFERROR(__xludf.DUMMYFUNCTION("""COMPUTED_VALUE"""),"Sale")</f>
        <v>Sale</v>
      </c>
      <c r="E577" s="2" t="str">
        <f>IFERROR(__xludf.DUMMYFUNCTION("""COMPUTED_VALUE"""),"Minuman")</f>
        <v>Minuman</v>
      </c>
      <c r="F577" s="2">
        <f>IFERROR(__xludf.DUMMYFUNCTION("""COMPUTED_VALUE"""),10112.0)</f>
        <v>10112</v>
      </c>
      <c r="G577" s="2" t="str">
        <f>IFERROR(__xludf.DUMMYFUNCTION("""COMPUTED_VALUE"""),"Air mineral")</f>
        <v>Air mineral</v>
      </c>
      <c r="H577" s="2"/>
      <c r="I577" s="2"/>
      <c r="J577" s="2">
        <f>IFERROR(__xludf.DUMMYFUNCTION("""COMPUTED_VALUE"""),1.0)</f>
        <v>1</v>
      </c>
      <c r="K577" s="6">
        <f>IFERROR(__xludf.DUMMYFUNCTION("""COMPUTED_VALUE"""),6667.0)</f>
        <v>6667</v>
      </c>
      <c r="L577" s="2">
        <f>IFERROR(__xludf.DUMMYFUNCTION("""COMPUTED_VALUE"""),0.0)</f>
        <v>0</v>
      </c>
      <c r="M577" s="2">
        <f>IFERROR(__xludf.DUMMYFUNCTION("""COMPUTED_VALUE"""),6667.0)</f>
        <v>6667</v>
      </c>
      <c r="N577" s="2">
        <f>IFERROR(__xludf.DUMMYFUNCTION("""COMPUTED_VALUE"""),0.0)</f>
        <v>0</v>
      </c>
      <c r="O577" s="2">
        <f>IFERROR(__xludf.DUMMYFUNCTION("""COMPUTED_VALUE"""),6667.0)</f>
        <v>6667</v>
      </c>
      <c r="P577" s="2">
        <f>IFERROR(__xludf.DUMMYFUNCTION("""COMPUTED_VALUE"""),333.0)</f>
        <v>333</v>
      </c>
      <c r="Q577" s="2" t="str">
        <f>IFERROR(__xludf.DUMMYFUNCTION("""COMPUTED_VALUE"""),"Dine In")</f>
        <v>Dine In</v>
      </c>
      <c r="R577" s="2" t="str">
        <f>IFERROR(__xludf.DUMMYFUNCTION("""COMPUTED_VALUE"""),"Kedai")</f>
        <v>Kedai</v>
      </c>
      <c r="S577" s="2" t="str">
        <f>IFERROR(__xludf.DUMMYFUNCTION("""COMPUTED_VALUE"""),"Temu Roti")</f>
        <v>Temu Roti</v>
      </c>
      <c r="T577" s="2" t="str">
        <f>IFERROR(__xludf.DUMMYFUNCTION("""COMPUTED_VALUE"""),"Owner")</f>
        <v>Owner</v>
      </c>
      <c r="U577" s="2"/>
      <c r="V577" s="2"/>
      <c r="W577" s="2"/>
      <c r="X577" s="2" t="str">
        <f>IFERROR(__xludf.DUMMYFUNCTION("""COMPUTED_VALUE"""),"Closed")</f>
        <v>Closed</v>
      </c>
    </row>
    <row r="578">
      <c r="A578" s="3" t="s">
        <v>594</v>
      </c>
      <c r="B578" s="4">
        <f>IFERROR(__xludf.DUMMYFUNCTION("SPLIT(A578,"","",0,0)"),45553.561111111114)</f>
        <v>45553.56111</v>
      </c>
      <c r="C578" s="5">
        <f>IFERROR(__xludf.DUMMYFUNCTION("""COMPUTED_VALUE"""),2723647.0)</f>
        <v>2723647</v>
      </c>
      <c r="D578" s="2" t="str">
        <f>IFERROR(__xludf.DUMMYFUNCTION("""COMPUTED_VALUE"""),"Sale")</f>
        <v>Sale</v>
      </c>
      <c r="E578" s="2" t="str">
        <f>IFERROR(__xludf.DUMMYFUNCTION("""COMPUTED_VALUE"""),"Minuman")</f>
        <v>Minuman</v>
      </c>
      <c r="F578" s="2">
        <f>IFERROR(__xludf.DUMMYFUNCTION("""COMPUTED_VALUE"""),10125.0)</f>
        <v>10125</v>
      </c>
      <c r="G578" s="2" t="str">
        <f>IFERROR(__xludf.DUMMYFUNCTION("""COMPUTED_VALUE"""),"Gula Asam Dingin")</f>
        <v>Gula Asam Dingin</v>
      </c>
      <c r="H578" s="2"/>
      <c r="I578" s="2"/>
      <c r="J578" s="2">
        <f>IFERROR(__xludf.DUMMYFUNCTION("""COMPUTED_VALUE"""),1.0)</f>
        <v>1</v>
      </c>
      <c r="K578" s="6">
        <f>IFERROR(__xludf.DUMMYFUNCTION("""COMPUTED_VALUE"""),20476.0)</f>
        <v>20476</v>
      </c>
      <c r="L578" s="2">
        <f>IFERROR(__xludf.DUMMYFUNCTION("""COMPUTED_VALUE"""),0.0)</f>
        <v>0</v>
      </c>
      <c r="M578" s="2">
        <f>IFERROR(__xludf.DUMMYFUNCTION("""COMPUTED_VALUE"""),20476.0)</f>
        <v>20476</v>
      </c>
      <c r="N578" s="2">
        <f>IFERROR(__xludf.DUMMYFUNCTION("""COMPUTED_VALUE"""),0.0)</f>
        <v>0</v>
      </c>
      <c r="O578" s="2">
        <f>IFERROR(__xludf.DUMMYFUNCTION("""COMPUTED_VALUE"""),20476.0)</f>
        <v>20476</v>
      </c>
      <c r="P578" s="2">
        <f>IFERROR(__xludf.DUMMYFUNCTION("""COMPUTED_VALUE"""),1024.0)</f>
        <v>1024</v>
      </c>
      <c r="Q578" s="2" t="str">
        <f>IFERROR(__xludf.DUMMYFUNCTION("""COMPUTED_VALUE"""),"Dine In")</f>
        <v>Dine In</v>
      </c>
      <c r="R578" s="2" t="str">
        <f>IFERROR(__xludf.DUMMYFUNCTION("""COMPUTED_VALUE"""),"Kedai")</f>
        <v>Kedai</v>
      </c>
      <c r="S578" s="2" t="str">
        <f>IFERROR(__xludf.DUMMYFUNCTION("""COMPUTED_VALUE"""),"Temu Roti")</f>
        <v>Temu Roti</v>
      </c>
      <c r="T578" s="2" t="str">
        <f>IFERROR(__xludf.DUMMYFUNCTION("""COMPUTED_VALUE"""),"Owner")</f>
        <v>Owner</v>
      </c>
      <c r="U578" s="2"/>
      <c r="V578" s="2"/>
      <c r="W578" s="2"/>
      <c r="X578" s="2" t="str">
        <f>IFERROR(__xludf.DUMMYFUNCTION("""COMPUTED_VALUE"""),"Closed")</f>
        <v>Closed</v>
      </c>
    </row>
    <row r="579">
      <c r="A579" s="3" t="s">
        <v>595</v>
      </c>
      <c r="B579" s="4">
        <f>IFERROR(__xludf.DUMMYFUNCTION("SPLIT(A579,"","",0,0)"),45553.561111111114)</f>
        <v>45553.56111</v>
      </c>
      <c r="C579" s="5">
        <f>IFERROR(__xludf.DUMMYFUNCTION("""COMPUTED_VALUE"""),2723647.0)</f>
        <v>2723647</v>
      </c>
      <c r="D579" s="2" t="str">
        <f>IFERROR(__xludf.DUMMYFUNCTION("""COMPUTED_VALUE"""),"Sale")</f>
        <v>Sale</v>
      </c>
      <c r="E579" s="2" t="str">
        <f>IFERROR(__xludf.DUMMYFUNCTION("""COMPUTED_VALUE"""),"Minuman")</f>
        <v>Minuman</v>
      </c>
      <c r="F579" s="2">
        <f>IFERROR(__xludf.DUMMYFUNCTION("""COMPUTED_VALUE"""),10123.0)</f>
        <v>10123</v>
      </c>
      <c r="G579" s="2" t="str">
        <f>IFERROR(__xludf.DUMMYFUNCTION("""COMPUTED_VALUE"""),"Rempah Madu Dingin")</f>
        <v>Rempah Madu Dingin</v>
      </c>
      <c r="H579" s="2"/>
      <c r="I579" s="2"/>
      <c r="J579" s="2">
        <f>IFERROR(__xludf.DUMMYFUNCTION("""COMPUTED_VALUE"""),1.0)</f>
        <v>1</v>
      </c>
      <c r="K579" s="6">
        <f>IFERROR(__xludf.DUMMYFUNCTION("""COMPUTED_VALUE"""),21905.0)</f>
        <v>21905</v>
      </c>
      <c r="L579" s="2">
        <f>IFERROR(__xludf.DUMMYFUNCTION("""COMPUTED_VALUE"""),0.0)</f>
        <v>0</v>
      </c>
      <c r="M579" s="2">
        <f>IFERROR(__xludf.DUMMYFUNCTION("""COMPUTED_VALUE"""),21905.0)</f>
        <v>21905</v>
      </c>
      <c r="N579" s="2">
        <f>IFERROR(__xludf.DUMMYFUNCTION("""COMPUTED_VALUE"""),0.0)</f>
        <v>0</v>
      </c>
      <c r="O579" s="2">
        <f>IFERROR(__xludf.DUMMYFUNCTION("""COMPUTED_VALUE"""),21905.0)</f>
        <v>21905</v>
      </c>
      <c r="P579" s="2">
        <f>IFERROR(__xludf.DUMMYFUNCTION("""COMPUTED_VALUE"""),1095.0)</f>
        <v>1095</v>
      </c>
      <c r="Q579" s="2" t="str">
        <f>IFERROR(__xludf.DUMMYFUNCTION("""COMPUTED_VALUE"""),"Dine In")</f>
        <v>Dine In</v>
      </c>
      <c r="R579" s="2" t="str">
        <f>IFERROR(__xludf.DUMMYFUNCTION("""COMPUTED_VALUE"""),"Kedai")</f>
        <v>Kedai</v>
      </c>
      <c r="S579" s="2" t="str">
        <f>IFERROR(__xludf.DUMMYFUNCTION("""COMPUTED_VALUE"""),"Temu Roti")</f>
        <v>Temu Roti</v>
      </c>
      <c r="T579" s="2" t="str">
        <f>IFERROR(__xludf.DUMMYFUNCTION("""COMPUTED_VALUE"""),"Owner")</f>
        <v>Owner</v>
      </c>
      <c r="U579" s="2"/>
      <c r="V579" s="2"/>
      <c r="W579" s="2"/>
      <c r="X579" s="2" t="str">
        <f>IFERROR(__xludf.DUMMYFUNCTION("""COMPUTED_VALUE"""),"Closed")</f>
        <v>Closed</v>
      </c>
    </row>
    <row r="580">
      <c r="A580" s="3" t="s">
        <v>596</v>
      </c>
      <c r="B580" s="4">
        <f>IFERROR(__xludf.DUMMYFUNCTION("SPLIT(A580,"","",0,0)"),45553.561111111114)</f>
        <v>45553.56111</v>
      </c>
      <c r="C580" s="5">
        <f>IFERROR(__xludf.DUMMYFUNCTION("""COMPUTED_VALUE"""),2723647.0)</f>
        <v>2723647</v>
      </c>
      <c r="D580" s="2" t="str">
        <f>IFERROR(__xludf.DUMMYFUNCTION("""COMPUTED_VALUE"""),"Sale")</f>
        <v>Sale</v>
      </c>
      <c r="E580" s="2" t="str">
        <f>IFERROR(__xludf.DUMMYFUNCTION("""COMPUTED_VALUE"""),"Hidangan Utama")</f>
        <v>Hidangan Utama</v>
      </c>
      <c r="F580" s="2">
        <f>IFERROR(__xludf.DUMMYFUNCTION("""COMPUTED_VALUE"""),10012.0)</f>
        <v>10012</v>
      </c>
      <c r="G580" s="2" t="str">
        <f>IFERROR(__xludf.DUMMYFUNCTION("""COMPUTED_VALUE"""),"Mie joglo")</f>
        <v>Mie joglo</v>
      </c>
      <c r="H580" s="2"/>
      <c r="I580" s="2"/>
      <c r="J580" s="2">
        <f>IFERROR(__xludf.DUMMYFUNCTION("""COMPUTED_VALUE"""),2.0)</f>
        <v>2</v>
      </c>
      <c r="K580" s="6">
        <f>IFERROR(__xludf.DUMMYFUNCTION("""COMPUTED_VALUE"""),59048.0)</f>
        <v>59048</v>
      </c>
      <c r="L580" s="2">
        <f>IFERROR(__xludf.DUMMYFUNCTION("""COMPUTED_VALUE"""),0.0)</f>
        <v>0</v>
      </c>
      <c r="M580" s="2">
        <f>IFERROR(__xludf.DUMMYFUNCTION("""COMPUTED_VALUE"""),59048.0)</f>
        <v>59048</v>
      </c>
      <c r="N580" s="2">
        <f>IFERROR(__xludf.DUMMYFUNCTION("""COMPUTED_VALUE"""),0.0)</f>
        <v>0</v>
      </c>
      <c r="O580" s="2">
        <f>IFERROR(__xludf.DUMMYFUNCTION("""COMPUTED_VALUE"""),59048.0)</f>
        <v>59048</v>
      </c>
      <c r="P580" s="2">
        <f>IFERROR(__xludf.DUMMYFUNCTION("""COMPUTED_VALUE"""),2953.0)</f>
        <v>2953</v>
      </c>
      <c r="Q580" s="2" t="str">
        <f>IFERROR(__xludf.DUMMYFUNCTION("""COMPUTED_VALUE"""),"Dine In")</f>
        <v>Dine In</v>
      </c>
      <c r="R580" s="2" t="str">
        <f>IFERROR(__xludf.DUMMYFUNCTION("""COMPUTED_VALUE"""),"Kedai")</f>
        <v>Kedai</v>
      </c>
      <c r="S580" s="2" t="str">
        <f>IFERROR(__xludf.DUMMYFUNCTION("""COMPUTED_VALUE"""),"Temu Roti")</f>
        <v>Temu Roti</v>
      </c>
      <c r="T580" s="2" t="str">
        <f>IFERROR(__xludf.DUMMYFUNCTION("""COMPUTED_VALUE"""),"Owner")</f>
        <v>Owner</v>
      </c>
      <c r="U580" s="2"/>
      <c r="V580" s="2"/>
      <c r="W580" s="2"/>
      <c r="X580" s="2" t="str">
        <f>IFERROR(__xludf.DUMMYFUNCTION("""COMPUTED_VALUE"""),"Closed")</f>
        <v>Closed</v>
      </c>
    </row>
    <row r="581">
      <c r="A581" s="3" t="s">
        <v>597</v>
      </c>
      <c r="B581" s="4">
        <f>IFERROR(__xludf.DUMMYFUNCTION("SPLIT(A581,"","",0,0)"),45553.561111111114)</f>
        <v>45553.56111</v>
      </c>
      <c r="C581" s="5">
        <f>IFERROR(__xludf.DUMMYFUNCTION("""COMPUTED_VALUE"""),2723647.0)</f>
        <v>2723647</v>
      </c>
      <c r="D581" s="2" t="str">
        <f>IFERROR(__xludf.DUMMYFUNCTION("""COMPUTED_VALUE"""),"Sale")</f>
        <v>Sale</v>
      </c>
      <c r="E581" s="2" t="str">
        <f>IFERROR(__xludf.DUMMYFUNCTION("""COMPUTED_VALUE"""),"Kudapan")</f>
        <v>Kudapan</v>
      </c>
      <c r="F581" s="2">
        <f>IFERROR(__xludf.DUMMYFUNCTION("""COMPUTED_VALUE"""),10014.0)</f>
        <v>10014</v>
      </c>
      <c r="G581" s="2" t="str">
        <f>IFERROR(__xludf.DUMMYFUNCTION("""COMPUTED_VALUE"""),"Tempe Mendoan")</f>
        <v>Tempe Mendoan</v>
      </c>
      <c r="H581" s="2"/>
      <c r="I581" s="2"/>
      <c r="J581" s="2">
        <f>IFERROR(__xludf.DUMMYFUNCTION("""COMPUTED_VALUE"""),1.0)</f>
        <v>1</v>
      </c>
      <c r="K581" s="6">
        <f>IFERROR(__xludf.DUMMYFUNCTION("""COMPUTED_VALUE"""),25238.0)</f>
        <v>25238</v>
      </c>
      <c r="L581" s="2">
        <f>IFERROR(__xludf.DUMMYFUNCTION("""COMPUTED_VALUE"""),0.0)</f>
        <v>0</v>
      </c>
      <c r="M581" s="2">
        <f>IFERROR(__xludf.DUMMYFUNCTION("""COMPUTED_VALUE"""),25238.0)</f>
        <v>25238</v>
      </c>
      <c r="N581" s="2">
        <f>IFERROR(__xludf.DUMMYFUNCTION("""COMPUTED_VALUE"""),0.0)</f>
        <v>0</v>
      </c>
      <c r="O581" s="2">
        <f>IFERROR(__xludf.DUMMYFUNCTION("""COMPUTED_VALUE"""),25238.0)</f>
        <v>25238</v>
      </c>
      <c r="P581" s="2">
        <f>IFERROR(__xludf.DUMMYFUNCTION("""COMPUTED_VALUE"""),1262.0)</f>
        <v>1262</v>
      </c>
      <c r="Q581" s="2" t="str">
        <f>IFERROR(__xludf.DUMMYFUNCTION("""COMPUTED_VALUE"""),"Dine In")</f>
        <v>Dine In</v>
      </c>
      <c r="R581" s="2" t="str">
        <f>IFERROR(__xludf.DUMMYFUNCTION("""COMPUTED_VALUE"""),"Kedai")</f>
        <v>Kedai</v>
      </c>
      <c r="S581" s="2" t="str">
        <f>IFERROR(__xludf.DUMMYFUNCTION("""COMPUTED_VALUE"""),"Temu Roti")</f>
        <v>Temu Roti</v>
      </c>
      <c r="T581" s="2" t="str">
        <f>IFERROR(__xludf.DUMMYFUNCTION("""COMPUTED_VALUE"""),"Owner")</f>
        <v>Owner</v>
      </c>
      <c r="U581" s="2"/>
      <c r="V581" s="2"/>
      <c r="W581" s="2"/>
      <c r="X581" s="2" t="str">
        <f>IFERROR(__xludf.DUMMYFUNCTION("""COMPUTED_VALUE"""),"Closed")</f>
        <v>Closed</v>
      </c>
    </row>
    <row r="582">
      <c r="A582" s="3" t="s">
        <v>598</v>
      </c>
      <c r="B582" s="4">
        <f>IFERROR(__xludf.DUMMYFUNCTION("SPLIT(A582,"","",0,0)"),45553.53680555556)</f>
        <v>45553.53681</v>
      </c>
      <c r="C582" s="5">
        <f>IFERROR(__xludf.DUMMYFUNCTION("""COMPUTED_VALUE"""),2723281.0)</f>
        <v>2723281</v>
      </c>
      <c r="D582" s="2" t="str">
        <f>IFERROR(__xludf.DUMMYFUNCTION("""COMPUTED_VALUE"""),"Sale")</f>
        <v>Sale</v>
      </c>
      <c r="E582" s="2" t="str">
        <f>IFERROR(__xludf.DUMMYFUNCTION("""COMPUTED_VALUE"""),"Roti")</f>
        <v>Roti</v>
      </c>
      <c r="F582" s="2">
        <f>IFERROR(__xludf.DUMMYFUNCTION("""COMPUTED_VALUE"""),10007.0)</f>
        <v>10007</v>
      </c>
      <c r="G582" s="2" t="str">
        <f>IFERROR(__xludf.DUMMYFUNCTION("""COMPUTED_VALUE"""),"Roti cranberry 2 pcs")</f>
        <v>Roti cranberry 2 pcs</v>
      </c>
      <c r="H582" s="2"/>
      <c r="I582" s="2"/>
      <c r="J582" s="2">
        <f>IFERROR(__xludf.DUMMYFUNCTION("""COMPUTED_VALUE"""),1.0)</f>
        <v>1</v>
      </c>
      <c r="K582" s="6">
        <f>IFERROR(__xludf.DUMMYFUNCTION("""COMPUTED_VALUE"""),33810.0)</f>
        <v>33810</v>
      </c>
      <c r="L582" s="2">
        <f>IFERROR(__xludf.DUMMYFUNCTION("""COMPUTED_VALUE"""),0.0)</f>
        <v>0</v>
      </c>
      <c r="M582" s="2">
        <f>IFERROR(__xludf.DUMMYFUNCTION("""COMPUTED_VALUE"""),33810.0)</f>
        <v>33810</v>
      </c>
      <c r="N582" s="2">
        <f>IFERROR(__xludf.DUMMYFUNCTION("""COMPUTED_VALUE"""),0.0)</f>
        <v>0</v>
      </c>
      <c r="O582" s="2">
        <f>IFERROR(__xludf.DUMMYFUNCTION("""COMPUTED_VALUE"""),33810.0)</f>
        <v>33810</v>
      </c>
      <c r="P582" s="2">
        <f>IFERROR(__xludf.DUMMYFUNCTION("""COMPUTED_VALUE"""),1691.0)</f>
        <v>1691</v>
      </c>
      <c r="Q582" s="2" t="str">
        <f>IFERROR(__xludf.DUMMYFUNCTION("""COMPUTED_VALUE"""),"Dine In")</f>
        <v>Dine In</v>
      </c>
      <c r="R582" s="2" t="str">
        <f>IFERROR(__xludf.DUMMYFUNCTION("""COMPUTED_VALUE"""),"Kedai")</f>
        <v>Kedai</v>
      </c>
      <c r="S582" s="2" t="str">
        <f>IFERROR(__xludf.DUMMYFUNCTION("""COMPUTED_VALUE"""),"Temu Roti")</f>
        <v>Temu Roti</v>
      </c>
      <c r="T582" s="2" t="str">
        <f>IFERROR(__xludf.DUMMYFUNCTION("""COMPUTED_VALUE"""),"Owner")</f>
        <v>Owner</v>
      </c>
      <c r="U582" s="2"/>
      <c r="V582" s="2"/>
      <c r="W582" s="2"/>
      <c r="X582" s="2" t="str">
        <f>IFERROR(__xludf.DUMMYFUNCTION("""COMPUTED_VALUE"""),"Closed")</f>
        <v>Closed</v>
      </c>
    </row>
    <row r="583">
      <c r="A583" s="3" t="s">
        <v>599</v>
      </c>
      <c r="B583" s="4">
        <f>IFERROR(__xludf.DUMMYFUNCTION("SPLIT(A583,"","",0,0)"),45553.51111111111)</f>
        <v>45553.51111</v>
      </c>
      <c r="C583" s="5">
        <f>IFERROR(__xludf.DUMMYFUNCTION("""COMPUTED_VALUE"""),2722916.0)</f>
        <v>2722916</v>
      </c>
      <c r="D583" s="2" t="str">
        <f>IFERROR(__xludf.DUMMYFUNCTION("""COMPUTED_VALUE"""),"Sale")</f>
        <v>Sale</v>
      </c>
      <c r="E583" s="2" t="str">
        <f>IFERROR(__xludf.DUMMYFUNCTION("""COMPUTED_VALUE"""),"Minuman")</f>
        <v>Minuman</v>
      </c>
      <c r="F583" s="2">
        <f>IFERROR(__xludf.DUMMYFUNCTION("""COMPUTED_VALUE"""),10128.0)</f>
        <v>10128</v>
      </c>
      <c r="G583" s="2" t="str">
        <f>IFERROR(__xludf.DUMMYFUNCTION("""COMPUTED_VALUE"""),"Es Kopi Susu")</f>
        <v>Es Kopi Susu</v>
      </c>
      <c r="H583" s="2"/>
      <c r="I583" s="2"/>
      <c r="J583" s="2">
        <f>IFERROR(__xludf.DUMMYFUNCTION("""COMPUTED_VALUE"""),1.0)</f>
        <v>1</v>
      </c>
      <c r="K583" s="6">
        <f>IFERROR(__xludf.DUMMYFUNCTION("""COMPUTED_VALUE"""),23333.0)</f>
        <v>23333</v>
      </c>
      <c r="L583" s="2">
        <f>IFERROR(__xludf.DUMMYFUNCTION("""COMPUTED_VALUE"""),0.0)</f>
        <v>0</v>
      </c>
      <c r="M583" s="2">
        <f>IFERROR(__xludf.DUMMYFUNCTION("""COMPUTED_VALUE"""),23333.0)</f>
        <v>23333</v>
      </c>
      <c r="N583" s="2">
        <f>IFERROR(__xludf.DUMMYFUNCTION("""COMPUTED_VALUE"""),0.0)</f>
        <v>0</v>
      </c>
      <c r="O583" s="2">
        <f>IFERROR(__xludf.DUMMYFUNCTION("""COMPUTED_VALUE"""),23333.0)</f>
        <v>23333</v>
      </c>
      <c r="P583" s="2">
        <f>IFERROR(__xludf.DUMMYFUNCTION("""COMPUTED_VALUE"""),1167.0)</f>
        <v>1167</v>
      </c>
      <c r="Q583" s="2" t="str">
        <f>IFERROR(__xludf.DUMMYFUNCTION("""COMPUTED_VALUE"""),"Dine In")</f>
        <v>Dine In</v>
      </c>
      <c r="R583" s="2" t="str">
        <f>IFERROR(__xludf.DUMMYFUNCTION("""COMPUTED_VALUE"""),"Kedai")</f>
        <v>Kedai</v>
      </c>
      <c r="S583" s="2" t="str">
        <f>IFERROR(__xludf.DUMMYFUNCTION("""COMPUTED_VALUE"""),"Temu Roti")</f>
        <v>Temu Roti</v>
      </c>
      <c r="T583" s="2" t="str">
        <f>IFERROR(__xludf.DUMMYFUNCTION("""COMPUTED_VALUE"""),"Owner")</f>
        <v>Owner</v>
      </c>
      <c r="U583" s="2"/>
      <c r="V583" s="2"/>
      <c r="W583" s="2"/>
      <c r="X583" s="2" t="str">
        <f>IFERROR(__xludf.DUMMYFUNCTION("""COMPUTED_VALUE"""),"Closed")</f>
        <v>Closed</v>
      </c>
    </row>
    <row r="584">
      <c r="A584" s="3" t="s">
        <v>600</v>
      </c>
      <c r="B584" s="4">
        <f>IFERROR(__xludf.DUMMYFUNCTION("SPLIT(A584,"","",0,0)"),45553.51111111111)</f>
        <v>45553.51111</v>
      </c>
      <c r="C584" s="5">
        <f>IFERROR(__xludf.DUMMYFUNCTION("""COMPUTED_VALUE"""),2722916.0)</f>
        <v>2722916</v>
      </c>
      <c r="D584" s="2" t="str">
        <f>IFERROR(__xludf.DUMMYFUNCTION("""COMPUTED_VALUE"""),"Sale")</f>
        <v>Sale</v>
      </c>
      <c r="E584" s="2" t="str">
        <f>IFERROR(__xludf.DUMMYFUNCTION("""COMPUTED_VALUE"""),"Minuman")</f>
        <v>Minuman</v>
      </c>
      <c r="F584" s="2">
        <f>IFERROR(__xludf.DUMMYFUNCTION("""COMPUTED_VALUE"""),10069.0)</f>
        <v>10069</v>
      </c>
      <c r="G584" s="2" t="str">
        <f>IFERROR(__xludf.DUMMYFUNCTION("""COMPUTED_VALUE"""),"Wedang hujan")</f>
        <v>Wedang hujan</v>
      </c>
      <c r="H584" s="2"/>
      <c r="I584" s="2"/>
      <c r="J584" s="2">
        <f>IFERROR(__xludf.DUMMYFUNCTION("""COMPUTED_VALUE"""),1.0)</f>
        <v>1</v>
      </c>
      <c r="K584" s="6">
        <f>IFERROR(__xludf.DUMMYFUNCTION("""COMPUTED_VALUE"""),24762.0)</f>
        <v>24762</v>
      </c>
      <c r="L584" s="2">
        <f>IFERROR(__xludf.DUMMYFUNCTION("""COMPUTED_VALUE"""),0.0)</f>
        <v>0</v>
      </c>
      <c r="M584" s="2">
        <f>IFERROR(__xludf.DUMMYFUNCTION("""COMPUTED_VALUE"""),24762.0)</f>
        <v>24762</v>
      </c>
      <c r="N584" s="2">
        <f>IFERROR(__xludf.DUMMYFUNCTION("""COMPUTED_VALUE"""),0.0)</f>
        <v>0</v>
      </c>
      <c r="O584" s="2">
        <f>IFERROR(__xludf.DUMMYFUNCTION("""COMPUTED_VALUE"""),24762.0)</f>
        <v>24762</v>
      </c>
      <c r="P584" s="2">
        <f>IFERROR(__xludf.DUMMYFUNCTION("""COMPUTED_VALUE"""),1238.0)</f>
        <v>1238</v>
      </c>
      <c r="Q584" s="2" t="str">
        <f>IFERROR(__xludf.DUMMYFUNCTION("""COMPUTED_VALUE"""),"Dine In")</f>
        <v>Dine In</v>
      </c>
      <c r="R584" s="2" t="str">
        <f>IFERROR(__xludf.DUMMYFUNCTION("""COMPUTED_VALUE"""),"Kedai")</f>
        <v>Kedai</v>
      </c>
      <c r="S584" s="2" t="str">
        <f>IFERROR(__xludf.DUMMYFUNCTION("""COMPUTED_VALUE"""),"Temu Roti")</f>
        <v>Temu Roti</v>
      </c>
      <c r="T584" s="2" t="str">
        <f>IFERROR(__xludf.DUMMYFUNCTION("""COMPUTED_VALUE"""),"Owner")</f>
        <v>Owner</v>
      </c>
      <c r="U584" s="2"/>
      <c r="V584" s="2"/>
      <c r="W584" s="2"/>
      <c r="X584" s="2" t="str">
        <f>IFERROR(__xludf.DUMMYFUNCTION("""COMPUTED_VALUE"""),"Closed")</f>
        <v>Closed</v>
      </c>
    </row>
    <row r="585">
      <c r="A585" s="3" t="s">
        <v>601</v>
      </c>
      <c r="B585" s="4">
        <f>IFERROR(__xludf.DUMMYFUNCTION("SPLIT(A585,"","",0,0)"),45553.51111111111)</f>
        <v>45553.51111</v>
      </c>
      <c r="C585" s="5">
        <f>IFERROR(__xludf.DUMMYFUNCTION("""COMPUTED_VALUE"""),2722916.0)</f>
        <v>2722916</v>
      </c>
      <c r="D585" s="2" t="str">
        <f>IFERROR(__xludf.DUMMYFUNCTION("""COMPUTED_VALUE"""),"Sale")</f>
        <v>Sale</v>
      </c>
      <c r="E585" s="2" t="str">
        <f>IFERROR(__xludf.DUMMYFUNCTION("""COMPUTED_VALUE"""),"Roti")</f>
        <v>Roti</v>
      </c>
      <c r="F585" s="2">
        <f>IFERROR(__xludf.DUMMYFUNCTION("""COMPUTED_VALUE"""),10039.0)</f>
        <v>10039</v>
      </c>
      <c r="G585" s="2" t="str">
        <f>IFERROR(__xludf.DUMMYFUNCTION("""COMPUTED_VALUE"""),"Roti panggang strawberry")</f>
        <v>Roti panggang strawberry</v>
      </c>
      <c r="H585" s="2"/>
      <c r="I585" s="2"/>
      <c r="J585" s="2">
        <f>IFERROR(__xludf.DUMMYFUNCTION("""COMPUTED_VALUE"""),1.0)</f>
        <v>1</v>
      </c>
      <c r="K585" s="6">
        <f>IFERROR(__xludf.DUMMYFUNCTION("""COMPUTED_VALUE"""),21905.0)</f>
        <v>21905</v>
      </c>
      <c r="L585" s="2">
        <f>IFERROR(__xludf.DUMMYFUNCTION("""COMPUTED_VALUE"""),0.0)</f>
        <v>0</v>
      </c>
      <c r="M585" s="2">
        <f>IFERROR(__xludf.DUMMYFUNCTION("""COMPUTED_VALUE"""),21905.0)</f>
        <v>21905</v>
      </c>
      <c r="N585" s="2">
        <f>IFERROR(__xludf.DUMMYFUNCTION("""COMPUTED_VALUE"""),0.0)</f>
        <v>0</v>
      </c>
      <c r="O585" s="2">
        <f>IFERROR(__xludf.DUMMYFUNCTION("""COMPUTED_VALUE"""),21905.0)</f>
        <v>21905</v>
      </c>
      <c r="P585" s="2">
        <f>IFERROR(__xludf.DUMMYFUNCTION("""COMPUTED_VALUE"""),1095.0)</f>
        <v>1095</v>
      </c>
      <c r="Q585" s="2" t="str">
        <f>IFERROR(__xludf.DUMMYFUNCTION("""COMPUTED_VALUE"""),"Dine In")</f>
        <v>Dine In</v>
      </c>
      <c r="R585" s="2" t="str">
        <f>IFERROR(__xludf.DUMMYFUNCTION("""COMPUTED_VALUE"""),"Kedai")</f>
        <v>Kedai</v>
      </c>
      <c r="S585" s="2" t="str">
        <f>IFERROR(__xludf.DUMMYFUNCTION("""COMPUTED_VALUE"""),"Temu Roti")</f>
        <v>Temu Roti</v>
      </c>
      <c r="T585" s="2" t="str">
        <f>IFERROR(__xludf.DUMMYFUNCTION("""COMPUTED_VALUE"""),"Owner")</f>
        <v>Owner</v>
      </c>
      <c r="U585" s="2"/>
      <c r="V585" s="2"/>
      <c r="W585" s="2"/>
      <c r="X585" s="2" t="str">
        <f>IFERROR(__xludf.DUMMYFUNCTION("""COMPUTED_VALUE"""),"Closed")</f>
        <v>Closed</v>
      </c>
    </row>
    <row r="586">
      <c r="A586" s="3" t="s">
        <v>602</v>
      </c>
      <c r="B586" s="4">
        <f>IFERROR(__xludf.DUMMYFUNCTION("SPLIT(A586,"","",0,0)"),45553.51111111111)</f>
        <v>45553.51111</v>
      </c>
      <c r="C586" s="5">
        <f>IFERROR(__xludf.DUMMYFUNCTION("""COMPUTED_VALUE"""),2722916.0)</f>
        <v>2722916</v>
      </c>
      <c r="D586" s="2" t="str">
        <f>IFERROR(__xludf.DUMMYFUNCTION("""COMPUTED_VALUE"""),"Sale")</f>
        <v>Sale</v>
      </c>
      <c r="E586" s="2" t="str">
        <f>IFERROR(__xludf.DUMMYFUNCTION("""COMPUTED_VALUE"""),"Roti")</f>
        <v>Roti</v>
      </c>
      <c r="F586" s="2">
        <f>IFERROR(__xludf.DUMMYFUNCTION("""COMPUTED_VALUE"""),10002.0)</f>
        <v>10002</v>
      </c>
      <c r="G586" s="2" t="str">
        <f>IFERROR(__xludf.DUMMYFUNCTION("""COMPUTED_VALUE"""),"Roti Cranberry")</f>
        <v>Roti Cranberry</v>
      </c>
      <c r="H586" s="2"/>
      <c r="I586" s="2"/>
      <c r="J586" s="2">
        <f>IFERROR(__xludf.DUMMYFUNCTION("""COMPUTED_VALUE"""),1.0)</f>
        <v>1</v>
      </c>
      <c r="K586" s="6">
        <f>IFERROR(__xludf.DUMMYFUNCTION("""COMPUTED_VALUE"""),18571.0)</f>
        <v>18571</v>
      </c>
      <c r="L586" s="2">
        <f>IFERROR(__xludf.DUMMYFUNCTION("""COMPUTED_VALUE"""),0.0)</f>
        <v>0</v>
      </c>
      <c r="M586" s="2">
        <f>IFERROR(__xludf.DUMMYFUNCTION("""COMPUTED_VALUE"""),18571.0)</f>
        <v>18571</v>
      </c>
      <c r="N586" s="2">
        <f>IFERROR(__xludf.DUMMYFUNCTION("""COMPUTED_VALUE"""),0.0)</f>
        <v>0</v>
      </c>
      <c r="O586" s="2">
        <f>IFERROR(__xludf.DUMMYFUNCTION("""COMPUTED_VALUE"""),18571.0)</f>
        <v>18571</v>
      </c>
      <c r="P586" s="2">
        <f>IFERROR(__xludf.DUMMYFUNCTION("""COMPUTED_VALUE"""),929.0)</f>
        <v>929</v>
      </c>
      <c r="Q586" s="2" t="str">
        <f>IFERROR(__xludf.DUMMYFUNCTION("""COMPUTED_VALUE"""),"Dine In")</f>
        <v>Dine In</v>
      </c>
      <c r="R586" s="2" t="str">
        <f>IFERROR(__xludf.DUMMYFUNCTION("""COMPUTED_VALUE"""),"Kedai")</f>
        <v>Kedai</v>
      </c>
      <c r="S586" s="2" t="str">
        <f>IFERROR(__xludf.DUMMYFUNCTION("""COMPUTED_VALUE"""),"Temu Roti")</f>
        <v>Temu Roti</v>
      </c>
      <c r="T586" s="2" t="str">
        <f>IFERROR(__xludf.DUMMYFUNCTION("""COMPUTED_VALUE"""),"Owner")</f>
        <v>Owner</v>
      </c>
      <c r="U586" s="2"/>
      <c r="V586" s="2"/>
      <c r="W586" s="2"/>
      <c r="X586" s="2" t="str">
        <f>IFERROR(__xludf.DUMMYFUNCTION("""COMPUTED_VALUE"""),"Closed")</f>
        <v>Closed</v>
      </c>
    </row>
    <row r="587">
      <c r="A587" s="3" t="s">
        <v>603</v>
      </c>
      <c r="B587" s="4">
        <f>IFERROR(__xludf.DUMMYFUNCTION("SPLIT(A587,"","",0,0)"),45553.49236111111)</f>
        <v>45553.49236</v>
      </c>
      <c r="C587" s="5">
        <f>IFERROR(__xludf.DUMMYFUNCTION("""COMPUTED_VALUE"""),2722551.0)</f>
        <v>2722551</v>
      </c>
      <c r="D587" s="2" t="str">
        <f>IFERROR(__xludf.DUMMYFUNCTION("""COMPUTED_VALUE"""),"Sale")</f>
        <v>Sale</v>
      </c>
      <c r="E587" s="2" t="str">
        <f>IFERROR(__xludf.DUMMYFUNCTION("""COMPUTED_VALUE"""),"Roti")</f>
        <v>Roti</v>
      </c>
      <c r="F587" s="2">
        <f>IFERROR(__xludf.DUMMYFUNCTION("""COMPUTED_VALUE"""),10002.0)</f>
        <v>10002</v>
      </c>
      <c r="G587" s="2" t="str">
        <f>IFERROR(__xludf.DUMMYFUNCTION("""COMPUTED_VALUE"""),"Roti Cranberry")</f>
        <v>Roti Cranberry</v>
      </c>
      <c r="H587" s="2"/>
      <c r="I587" s="2"/>
      <c r="J587" s="2">
        <f>IFERROR(__xludf.DUMMYFUNCTION("""COMPUTED_VALUE"""),1.0)</f>
        <v>1</v>
      </c>
      <c r="K587" s="6">
        <f>IFERROR(__xludf.DUMMYFUNCTION("""COMPUTED_VALUE"""),18571.0)</f>
        <v>18571</v>
      </c>
      <c r="L587" s="2">
        <f>IFERROR(__xludf.DUMMYFUNCTION("""COMPUTED_VALUE"""),0.0)</f>
        <v>0</v>
      </c>
      <c r="M587" s="2">
        <f>IFERROR(__xludf.DUMMYFUNCTION("""COMPUTED_VALUE"""),18571.0)</f>
        <v>18571</v>
      </c>
      <c r="N587" s="2">
        <f>IFERROR(__xludf.DUMMYFUNCTION("""COMPUTED_VALUE"""),0.0)</f>
        <v>0</v>
      </c>
      <c r="O587" s="2">
        <f>IFERROR(__xludf.DUMMYFUNCTION("""COMPUTED_VALUE"""),18571.0)</f>
        <v>18571</v>
      </c>
      <c r="P587" s="2">
        <f>IFERROR(__xludf.DUMMYFUNCTION("""COMPUTED_VALUE"""),929.0)</f>
        <v>929</v>
      </c>
      <c r="Q587" s="2" t="str">
        <f>IFERROR(__xludf.DUMMYFUNCTION("""COMPUTED_VALUE"""),"Dine In")</f>
        <v>Dine In</v>
      </c>
      <c r="R587" s="2" t="str">
        <f>IFERROR(__xludf.DUMMYFUNCTION("""COMPUTED_VALUE"""),"Kedai")</f>
        <v>Kedai</v>
      </c>
      <c r="S587" s="2" t="str">
        <f>IFERROR(__xludf.DUMMYFUNCTION("""COMPUTED_VALUE"""),"Temu Roti")</f>
        <v>Temu Roti</v>
      </c>
      <c r="T587" s="2" t="str">
        <f>IFERROR(__xludf.DUMMYFUNCTION("""COMPUTED_VALUE"""),"Owner")</f>
        <v>Owner</v>
      </c>
      <c r="U587" s="2"/>
      <c r="V587" s="2"/>
      <c r="W587" s="2"/>
      <c r="X587" s="2" t="str">
        <f>IFERROR(__xludf.DUMMYFUNCTION("""COMPUTED_VALUE"""),"Closed")</f>
        <v>Closed</v>
      </c>
    </row>
    <row r="588">
      <c r="A588" s="3" t="s">
        <v>604</v>
      </c>
      <c r="B588" s="4">
        <f>IFERROR(__xludf.DUMMYFUNCTION("SPLIT(A588,"","",0,0)"),45553.49236111111)</f>
        <v>45553.49236</v>
      </c>
      <c r="C588" s="5">
        <f>IFERROR(__xludf.DUMMYFUNCTION("""COMPUTED_VALUE"""),2722551.0)</f>
        <v>2722551</v>
      </c>
      <c r="D588" s="2" t="str">
        <f>IFERROR(__xludf.DUMMYFUNCTION("""COMPUTED_VALUE"""),"Sale")</f>
        <v>Sale</v>
      </c>
      <c r="E588" s="2" t="str">
        <f>IFERROR(__xludf.DUMMYFUNCTION("""COMPUTED_VALUE"""),"Roti")</f>
        <v>Roti</v>
      </c>
      <c r="F588" s="2">
        <f>IFERROR(__xludf.DUMMYFUNCTION("""COMPUTED_VALUE"""),10005.0)</f>
        <v>10005</v>
      </c>
      <c r="G588" s="2" t="str">
        <f>IFERROR(__xludf.DUMMYFUNCTION("""COMPUTED_VALUE"""),"Roti Gandum Cokelat")</f>
        <v>Roti Gandum Cokelat</v>
      </c>
      <c r="H588" s="2"/>
      <c r="I588" s="2"/>
      <c r="J588" s="2">
        <f>IFERROR(__xludf.DUMMYFUNCTION("""COMPUTED_VALUE"""),1.0)</f>
        <v>1</v>
      </c>
      <c r="K588" s="6">
        <f>IFERROR(__xludf.DUMMYFUNCTION("""COMPUTED_VALUE"""),19524.0)</f>
        <v>19524</v>
      </c>
      <c r="L588" s="2">
        <f>IFERROR(__xludf.DUMMYFUNCTION("""COMPUTED_VALUE"""),0.0)</f>
        <v>0</v>
      </c>
      <c r="M588" s="2">
        <f>IFERROR(__xludf.DUMMYFUNCTION("""COMPUTED_VALUE"""),19524.0)</f>
        <v>19524</v>
      </c>
      <c r="N588" s="2">
        <f>IFERROR(__xludf.DUMMYFUNCTION("""COMPUTED_VALUE"""),0.0)</f>
        <v>0</v>
      </c>
      <c r="O588" s="2">
        <f>IFERROR(__xludf.DUMMYFUNCTION("""COMPUTED_VALUE"""),19524.0)</f>
        <v>19524</v>
      </c>
      <c r="P588" s="2">
        <f>IFERROR(__xludf.DUMMYFUNCTION("""COMPUTED_VALUE"""),976.0)</f>
        <v>976</v>
      </c>
      <c r="Q588" s="2" t="str">
        <f>IFERROR(__xludf.DUMMYFUNCTION("""COMPUTED_VALUE"""),"Dine In")</f>
        <v>Dine In</v>
      </c>
      <c r="R588" s="2" t="str">
        <f>IFERROR(__xludf.DUMMYFUNCTION("""COMPUTED_VALUE"""),"Kedai")</f>
        <v>Kedai</v>
      </c>
      <c r="S588" s="2" t="str">
        <f>IFERROR(__xludf.DUMMYFUNCTION("""COMPUTED_VALUE"""),"Temu Roti")</f>
        <v>Temu Roti</v>
      </c>
      <c r="T588" s="2" t="str">
        <f>IFERROR(__xludf.DUMMYFUNCTION("""COMPUTED_VALUE"""),"Owner")</f>
        <v>Owner</v>
      </c>
      <c r="U588" s="2"/>
      <c r="V588" s="2"/>
      <c r="W588" s="2"/>
      <c r="X588" s="2" t="str">
        <f>IFERROR(__xludf.DUMMYFUNCTION("""COMPUTED_VALUE"""),"Closed")</f>
        <v>Closed</v>
      </c>
    </row>
    <row r="589">
      <c r="A589" s="3" t="s">
        <v>605</v>
      </c>
      <c r="B589" s="4">
        <f>IFERROR(__xludf.DUMMYFUNCTION("SPLIT(A589,"","",0,0)"),45553.45416666667)</f>
        <v>45553.45417</v>
      </c>
      <c r="C589" s="5">
        <f>IFERROR(__xludf.DUMMYFUNCTION("""COMPUTED_VALUE"""),2722186.0)</f>
        <v>2722186</v>
      </c>
      <c r="D589" s="2" t="str">
        <f>IFERROR(__xludf.DUMMYFUNCTION("""COMPUTED_VALUE"""),"Sale")</f>
        <v>Sale</v>
      </c>
      <c r="E589" s="2" t="str">
        <f>IFERROR(__xludf.DUMMYFUNCTION("""COMPUTED_VALUE"""),"Minuman")</f>
        <v>Minuman</v>
      </c>
      <c r="F589" s="2">
        <f>IFERROR(__xludf.DUMMYFUNCTION("""COMPUTED_VALUE"""),10067.0)</f>
        <v>10067</v>
      </c>
      <c r="G589" s="2" t="str">
        <f>IFERROR(__xludf.DUMMYFUNCTION("""COMPUTED_VALUE"""),"Wedang angin")</f>
        <v>Wedang angin</v>
      </c>
      <c r="H589" s="2"/>
      <c r="I589" s="2"/>
      <c r="J589" s="2">
        <f>IFERROR(__xludf.DUMMYFUNCTION("""COMPUTED_VALUE"""),1.0)</f>
        <v>1</v>
      </c>
      <c r="K589" s="6">
        <f>IFERROR(__xludf.DUMMYFUNCTION("""COMPUTED_VALUE"""),24762.0)</f>
        <v>24762</v>
      </c>
      <c r="L589" s="2">
        <f>IFERROR(__xludf.DUMMYFUNCTION("""COMPUTED_VALUE"""),0.0)</f>
        <v>0</v>
      </c>
      <c r="M589" s="2">
        <f>IFERROR(__xludf.DUMMYFUNCTION("""COMPUTED_VALUE"""),24762.0)</f>
        <v>24762</v>
      </c>
      <c r="N589" s="2">
        <f>IFERROR(__xludf.DUMMYFUNCTION("""COMPUTED_VALUE"""),0.0)</f>
        <v>0</v>
      </c>
      <c r="O589" s="2">
        <f>IFERROR(__xludf.DUMMYFUNCTION("""COMPUTED_VALUE"""),24762.0)</f>
        <v>24762</v>
      </c>
      <c r="P589" s="2">
        <f>IFERROR(__xludf.DUMMYFUNCTION("""COMPUTED_VALUE"""),1238.0)</f>
        <v>1238</v>
      </c>
      <c r="Q589" s="2" t="str">
        <f>IFERROR(__xludf.DUMMYFUNCTION("""COMPUTED_VALUE"""),"Dine In")</f>
        <v>Dine In</v>
      </c>
      <c r="R589" s="2" t="str">
        <f>IFERROR(__xludf.DUMMYFUNCTION("""COMPUTED_VALUE"""),"Kedai")</f>
        <v>Kedai</v>
      </c>
      <c r="S589" s="2" t="str">
        <f>IFERROR(__xludf.DUMMYFUNCTION("""COMPUTED_VALUE"""),"Temu Roti")</f>
        <v>Temu Roti</v>
      </c>
      <c r="T589" s="2" t="str">
        <f>IFERROR(__xludf.DUMMYFUNCTION("""COMPUTED_VALUE"""),"Owner")</f>
        <v>Owner</v>
      </c>
      <c r="U589" s="2"/>
      <c r="V589" s="2"/>
      <c r="W589" s="2"/>
      <c r="X589" s="2" t="str">
        <f>IFERROR(__xludf.DUMMYFUNCTION("""COMPUTED_VALUE"""),"Closed")</f>
        <v>Closed</v>
      </c>
    </row>
    <row r="590">
      <c r="A590" s="3" t="s">
        <v>606</v>
      </c>
      <c r="B590" s="4">
        <f>IFERROR(__xludf.DUMMYFUNCTION("SPLIT(A590,"","",0,0)"),45553.39375)</f>
        <v>45553.39375</v>
      </c>
      <c r="C590" s="5">
        <f>IFERROR(__xludf.DUMMYFUNCTION("""COMPUTED_VALUE"""),2721820.0)</f>
        <v>2721820</v>
      </c>
      <c r="D590" s="2" t="str">
        <f>IFERROR(__xludf.DUMMYFUNCTION("""COMPUTED_VALUE"""),"Sale")</f>
        <v>Sale</v>
      </c>
      <c r="E590" s="2" t="str">
        <f>IFERROR(__xludf.DUMMYFUNCTION("""COMPUTED_VALUE"""),"Minuman")</f>
        <v>Minuman</v>
      </c>
      <c r="F590" s="2">
        <f>IFERROR(__xludf.DUMMYFUNCTION("""COMPUTED_VALUE"""),10106.0)</f>
        <v>10106</v>
      </c>
      <c r="G590" s="2" t="str">
        <f>IFERROR(__xludf.DUMMYFUNCTION("""COMPUTED_VALUE"""),"Korean Strawberry Fresh Milk")</f>
        <v>Korean Strawberry Fresh Milk</v>
      </c>
      <c r="H590" s="2"/>
      <c r="I590" s="2"/>
      <c r="J590" s="2">
        <f>IFERROR(__xludf.DUMMYFUNCTION("""COMPUTED_VALUE"""),1.0)</f>
        <v>1</v>
      </c>
      <c r="K590" s="6">
        <f>IFERROR(__xludf.DUMMYFUNCTION("""COMPUTED_VALUE"""),26667.0)</f>
        <v>26667</v>
      </c>
      <c r="L590" s="2">
        <f>IFERROR(__xludf.DUMMYFUNCTION("""COMPUTED_VALUE"""),0.0)</f>
        <v>0</v>
      </c>
      <c r="M590" s="2">
        <f>IFERROR(__xludf.DUMMYFUNCTION("""COMPUTED_VALUE"""),26667.0)</f>
        <v>26667</v>
      </c>
      <c r="N590" s="2">
        <f>IFERROR(__xludf.DUMMYFUNCTION("""COMPUTED_VALUE"""),0.0)</f>
        <v>0</v>
      </c>
      <c r="O590" s="2">
        <f>IFERROR(__xludf.DUMMYFUNCTION("""COMPUTED_VALUE"""),26667.0)</f>
        <v>26667</v>
      </c>
      <c r="P590" s="2">
        <f>IFERROR(__xludf.DUMMYFUNCTION("""COMPUTED_VALUE"""),1333.0)</f>
        <v>1333</v>
      </c>
      <c r="Q590" s="2" t="str">
        <f>IFERROR(__xludf.DUMMYFUNCTION("""COMPUTED_VALUE"""),"Dine In")</f>
        <v>Dine In</v>
      </c>
      <c r="R590" s="2" t="str">
        <f>IFERROR(__xludf.DUMMYFUNCTION("""COMPUTED_VALUE"""),"Kedai")</f>
        <v>Kedai</v>
      </c>
      <c r="S590" s="2" t="str">
        <f>IFERROR(__xludf.DUMMYFUNCTION("""COMPUTED_VALUE"""),"Temu Roti")</f>
        <v>Temu Roti</v>
      </c>
      <c r="T590" s="2" t="str">
        <f>IFERROR(__xludf.DUMMYFUNCTION("""COMPUTED_VALUE"""),"Owner")</f>
        <v>Owner</v>
      </c>
      <c r="U590" s="2"/>
      <c r="V590" s="2"/>
      <c r="W590" s="2"/>
      <c r="X590" s="2" t="str">
        <f>IFERROR(__xludf.DUMMYFUNCTION("""COMPUTED_VALUE"""),"Closed")</f>
        <v>Closed</v>
      </c>
    </row>
    <row r="591">
      <c r="A591" s="3" t="s">
        <v>607</v>
      </c>
      <c r="B591" s="4">
        <f>IFERROR(__xludf.DUMMYFUNCTION("SPLIT(A591,"","",0,0)"),45553.39375)</f>
        <v>45553.39375</v>
      </c>
      <c r="C591" s="5">
        <f>IFERROR(__xludf.DUMMYFUNCTION("""COMPUTED_VALUE"""),2721820.0)</f>
        <v>2721820</v>
      </c>
      <c r="D591" s="2" t="str">
        <f>IFERROR(__xludf.DUMMYFUNCTION("""COMPUTED_VALUE"""),"Sale")</f>
        <v>Sale</v>
      </c>
      <c r="E591" s="2" t="str">
        <f>IFERROR(__xludf.DUMMYFUNCTION("""COMPUTED_VALUE"""),"Roti")</f>
        <v>Roti</v>
      </c>
      <c r="F591" s="2">
        <f>IFERROR(__xludf.DUMMYFUNCTION("""COMPUTED_VALUE"""),10034.0)</f>
        <v>10034</v>
      </c>
      <c r="G591" s="2" t="str">
        <f>IFERROR(__xludf.DUMMYFUNCTION("""COMPUTED_VALUE"""),"Roti panggang coklat")</f>
        <v>Roti panggang coklat</v>
      </c>
      <c r="H591" s="2"/>
      <c r="I591" s="2"/>
      <c r="J591" s="2">
        <f>IFERROR(__xludf.DUMMYFUNCTION("""COMPUTED_VALUE"""),1.0)</f>
        <v>1</v>
      </c>
      <c r="K591" s="6">
        <f>IFERROR(__xludf.DUMMYFUNCTION("""COMPUTED_VALUE"""),21905.0)</f>
        <v>21905</v>
      </c>
      <c r="L591" s="2">
        <f>IFERROR(__xludf.DUMMYFUNCTION("""COMPUTED_VALUE"""),0.0)</f>
        <v>0</v>
      </c>
      <c r="M591" s="2">
        <f>IFERROR(__xludf.DUMMYFUNCTION("""COMPUTED_VALUE"""),21905.0)</f>
        <v>21905</v>
      </c>
      <c r="N591" s="2">
        <f>IFERROR(__xludf.DUMMYFUNCTION("""COMPUTED_VALUE"""),0.0)</f>
        <v>0</v>
      </c>
      <c r="O591" s="2">
        <f>IFERROR(__xludf.DUMMYFUNCTION("""COMPUTED_VALUE"""),21905.0)</f>
        <v>21905</v>
      </c>
      <c r="P591" s="2">
        <f>IFERROR(__xludf.DUMMYFUNCTION("""COMPUTED_VALUE"""),1096.0)</f>
        <v>1096</v>
      </c>
      <c r="Q591" s="2" t="str">
        <f>IFERROR(__xludf.DUMMYFUNCTION("""COMPUTED_VALUE"""),"Dine In")</f>
        <v>Dine In</v>
      </c>
      <c r="R591" s="2" t="str">
        <f>IFERROR(__xludf.DUMMYFUNCTION("""COMPUTED_VALUE"""),"Kedai")</f>
        <v>Kedai</v>
      </c>
      <c r="S591" s="2" t="str">
        <f>IFERROR(__xludf.DUMMYFUNCTION("""COMPUTED_VALUE"""),"Temu Roti")</f>
        <v>Temu Roti</v>
      </c>
      <c r="T591" s="2" t="str">
        <f>IFERROR(__xludf.DUMMYFUNCTION("""COMPUTED_VALUE"""),"Owner")</f>
        <v>Owner</v>
      </c>
      <c r="U591" s="2"/>
      <c r="V591" s="2"/>
      <c r="W591" s="2"/>
      <c r="X591" s="2" t="str">
        <f>IFERROR(__xludf.DUMMYFUNCTION("""COMPUTED_VALUE"""),"Closed")</f>
        <v>Closed</v>
      </c>
    </row>
    <row r="592">
      <c r="A592" s="3" t="s">
        <v>608</v>
      </c>
      <c r="B592" s="4">
        <f>IFERROR(__xludf.DUMMYFUNCTION("SPLIT(A592,"","",0,0)"),45553.39166666667)</f>
        <v>45553.39167</v>
      </c>
      <c r="C592" s="5">
        <f>IFERROR(__xludf.DUMMYFUNCTION("""COMPUTED_VALUE"""),2721455.0)</f>
        <v>2721455</v>
      </c>
      <c r="D592" s="2" t="str">
        <f>IFERROR(__xludf.DUMMYFUNCTION("""COMPUTED_VALUE"""),"Sale")</f>
        <v>Sale</v>
      </c>
      <c r="E592" s="2" t="str">
        <f>IFERROR(__xludf.DUMMYFUNCTION("""COMPUTED_VALUE"""),"Roti")</f>
        <v>Roti</v>
      </c>
      <c r="F592" s="2">
        <f>IFERROR(__xludf.DUMMYFUNCTION("""COMPUTED_VALUE"""),10055.0)</f>
        <v>10055</v>
      </c>
      <c r="G592" s="2" t="str">
        <f>IFERROR(__xludf.DUMMYFUNCTION("""COMPUTED_VALUE"""),"Roti Gandum Cokelat 2 pcs")</f>
        <v>Roti Gandum Cokelat 2 pcs</v>
      </c>
      <c r="H592" s="2"/>
      <c r="I592" s="2"/>
      <c r="J592" s="2">
        <f>IFERROR(__xludf.DUMMYFUNCTION("""COMPUTED_VALUE"""),1.0)</f>
        <v>1</v>
      </c>
      <c r="K592" s="6">
        <f>IFERROR(__xludf.DUMMYFUNCTION("""COMPUTED_VALUE"""),34762.0)</f>
        <v>34762</v>
      </c>
      <c r="L592" s="2">
        <f>IFERROR(__xludf.DUMMYFUNCTION("""COMPUTED_VALUE"""),0.0)</f>
        <v>0</v>
      </c>
      <c r="M592" s="2">
        <f>IFERROR(__xludf.DUMMYFUNCTION("""COMPUTED_VALUE"""),34762.0)</f>
        <v>34762</v>
      </c>
      <c r="N592" s="2">
        <f>IFERROR(__xludf.DUMMYFUNCTION("""COMPUTED_VALUE"""),0.0)</f>
        <v>0</v>
      </c>
      <c r="O592" s="2">
        <f>IFERROR(__xludf.DUMMYFUNCTION("""COMPUTED_VALUE"""),34762.0)</f>
        <v>34762</v>
      </c>
      <c r="P592" s="2">
        <f>IFERROR(__xludf.DUMMYFUNCTION("""COMPUTED_VALUE"""),1738.0)</f>
        <v>1738</v>
      </c>
      <c r="Q592" s="2" t="str">
        <f>IFERROR(__xludf.DUMMYFUNCTION("""COMPUTED_VALUE"""),"Dine In")</f>
        <v>Dine In</v>
      </c>
      <c r="R592" s="2" t="str">
        <f>IFERROR(__xludf.DUMMYFUNCTION("""COMPUTED_VALUE"""),"Kedai")</f>
        <v>Kedai</v>
      </c>
      <c r="S592" s="2" t="str">
        <f>IFERROR(__xludf.DUMMYFUNCTION("""COMPUTED_VALUE"""),"Temu Roti")</f>
        <v>Temu Roti</v>
      </c>
      <c r="T592" s="2" t="str">
        <f>IFERROR(__xludf.DUMMYFUNCTION("""COMPUTED_VALUE"""),"Owner")</f>
        <v>Owner</v>
      </c>
      <c r="U592" s="2"/>
      <c r="V592" s="2"/>
      <c r="W592" s="2"/>
      <c r="X592" s="2" t="str">
        <f>IFERROR(__xludf.DUMMYFUNCTION("""COMPUTED_VALUE"""),"Closed")</f>
        <v>Closed</v>
      </c>
    </row>
    <row r="593">
      <c r="A593" s="3" t="s">
        <v>609</v>
      </c>
      <c r="B593" s="4">
        <f>IFERROR(__xludf.DUMMYFUNCTION("SPLIT(A593,"","",0,0)"),45552.82916666667)</f>
        <v>45552.82917</v>
      </c>
      <c r="C593" s="5">
        <f>IFERROR(__xludf.DUMMYFUNCTION("""COMPUTED_VALUE"""),2721090.0)</f>
        <v>2721090</v>
      </c>
      <c r="D593" s="2" t="str">
        <f>IFERROR(__xludf.DUMMYFUNCTION("""COMPUTED_VALUE"""),"Sale")</f>
        <v>Sale</v>
      </c>
      <c r="E593" s="2" t="str">
        <f>IFERROR(__xludf.DUMMYFUNCTION("""COMPUTED_VALUE"""),"Roti")</f>
        <v>Roti</v>
      </c>
      <c r="F593" s="2">
        <f>IFERROR(__xludf.DUMMYFUNCTION("""COMPUTED_VALUE"""),10002.0)</f>
        <v>10002</v>
      </c>
      <c r="G593" s="2" t="str">
        <f>IFERROR(__xludf.DUMMYFUNCTION("""COMPUTED_VALUE"""),"Roti Cranberry")</f>
        <v>Roti Cranberry</v>
      </c>
      <c r="H593" s="2"/>
      <c r="I593" s="2"/>
      <c r="J593" s="2">
        <f>IFERROR(__xludf.DUMMYFUNCTION("""COMPUTED_VALUE"""),1.0)</f>
        <v>1</v>
      </c>
      <c r="K593" s="6">
        <f>IFERROR(__xludf.DUMMYFUNCTION("""COMPUTED_VALUE"""),18571.0)</f>
        <v>18571</v>
      </c>
      <c r="L593" s="2">
        <f>IFERROR(__xludf.DUMMYFUNCTION("""COMPUTED_VALUE"""),0.0)</f>
        <v>0</v>
      </c>
      <c r="M593" s="2">
        <f>IFERROR(__xludf.DUMMYFUNCTION("""COMPUTED_VALUE"""),18571.0)</f>
        <v>18571</v>
      </c>
      <c r="N593" s="2">
        <f>IFERROR(__xludf.DUMMYFUNCTION("""COMPUTED_VALUE"""),0.0)</f>
        <v>0</v>
      </c>
      <c r="O593" s="2">
        <f>IFERROR(__xludf.DUMMYFUNCTION("""COMPUTED_VALUE"""),18571.0)</f>
        <v>18571</v>
      </c>
      <c r="P593" s="2">
        <f>IFERROR(__xludf.DUMMYFUNCTION("""COMPUTED_VALUE"""),929.0)</f>
        <v>929</v>
      </c>
      <c r="Q593" s="2" t="str">
        <f>IFERROR(__xludf.DUMMYFUNCTION("""COMPUTED_VALUE"""),"Dine In")</f>
        <v>Dine In</v>
      </c>
      <c r="R593" s="2" t="str">
        <f>IFERROR(__xludf.DUMMYFUNCTION("""COMPUTED_VALUE"""),"Kedai")</f>
        <v>Kedai</v>
      </c>
      <c r="S593" s="2" t="str">
        <f>IFERROR(__xludf.DUMMYFUNCTION("""COMPUTED_VALUE"""),"Temu Roti")</f>
        <v>Temu Roti</v>
      </c>
      <c r="T593" s="2" t="str">
        <f>IFERROR(__xludf.DUMMYFUNCTION("""COMPUTED_VALUE"""),"Owner")</f>
        <v>Owner</v>
      </c>
      <c r="U593" s="2"/>
      <c r="V593" s="2"/>
      <c r="W593" s="2"/>
      <c r="X593" s="2" t="str">
        <f>IFERROR(__xludf.DUMMYFUNCTION("""COMPUTED_VALUE"""),"Closed")</f>
        <v>Closed</v>
      </c>
    </row>
    <row r="594">
      <c r="A594" s="3" t="s">
        <v>610</v>
      </c>
      <c r="B594" s="4">
        <f>IFERROR(__xludf.DUMMYFUNCTION("SPLIT(A594,"","",0,0)"),45552.76666666667)</f>
        <v>45552.76667</v>
      </c>
      <c r="C594" s="5">
        <f>IFERROR(__xludf.DUMMYFUNCTION("""COMPUTED_VALUE"""),2720725.0)</f>
        <v>2720725</v>
      </c>
      <c r="D594" s="2" t="str">
        <f>IFERROR(__xludf.DUMMYFUNCTION("""COMPUTED_VALUE"""),"Sale")</f>
        <v>Sale</v>
      </c>
      <c r="E594" s="2" t="str">
        <f>IFERROR(__xludf.DUMMYFUNCTION("""COMPUTED_VALUE"""),"Minuman")</f>
        <v>Minuman</v>
      </c>
      <c r="F594" s="2">
        <f>IFERROR(__xludf.DUMMYFUNCTION("""COMPUTED_VALUE"""),10112.0)</f>
        <v>10112</v>
      </c>
      <c r="G594" s="2" t="str">
        <f>IFERROR(__xludf.DUMMYFUNCTION("""COMPUTED_VALUE"""),"Air mineral")</f>
        <v>Air mineral</v>
      </c>
      <c r="H594" s="2"/>
      <c r="I594" s="2"/>
      <c r="J594" s="2">
        <f>IFERROR(__xludf.DUMMYFUNCTION("""COMPUTED_VALUE"""),1.0)</f>
        <v>1</v>
      </c>
      <c r="K594" s="6">
        <f>IFERROR(__xludf.DUMMYFUNCTION("""COMPUTED_VALUE"""),6667.0)</f>
        <v>6667</v>
      </c>
      <c r="L594" s="2">
        <f>IFERROR(__xludf.DUMMYFUNCTION("""COMPUTED_VALUE"""),0.0)</f>
        <v>0</v>
      </c>
      <c r="M594" s="2">
        <f>IFERROR(__xludf.DUMMYFUNCTION("""COMPUTED_VALUE"""),6667.0)</f>
        <v>6667</v>
      </c>
      <c r="N594" s="2">
        <f>IFERROR(__xludf.DUMMYFUNCTION("""COMPUTED_VALUE"""),0.0)</f>
        <v>0</v>
      </c>
      <c r="O594" s="2">
        <f>IFERROR(__xludf.DUMMYFUNCTION("""COMPUTED_VALUE"""),6667.0)</f>
        <v>6667</v>
      </c>
      <c r="P594" s="2">
        <f>IFERROR(__xludf.DUMMYFUNCTION("""COMPUTED_VALUE"""),333.0)</f>
        <v>333</v>
      </c>
      <c r="Q594" s="2" t="str">
        <f>IFERROR(__xludf.DUMMYFUNCTION("""COMPUTED_VALUE"""),"Dine In")</f>
        <v>Dine In</v>
      </c>
      <c r="R594" s="2" t="str">
        <f>IFERROR(__xludf.DUMMYFUNCTION("""COMPUTED_VALUE"""),"Kedai")</f>
        <v>Kedai</v>
      </c>
      <c r="S594" s="2" t="str">
        <f>IFERROR(__xludf.DUMMYFUNCTION("""COMPUTED_VALUE"""),"Temu Roti")</f>
        <v>Temu Roti</v>
      </c>
      <c r="T594" s="2" t="str">
        <f>IFERROR(__xludf.DUMMYFUNCTION("""COMPUTED_VALUE"""),"Owner")</f>
        <v>Owner</v>
      </c>
      <c r="U594" s="2"/>
      <c r="V594" s="2"/>
      <c r="W594" s="2"/>
      <c r="X594" s="2" t="str">
        <f>IFERROR(__xludf.DUMMYFUNCTION("""COMPUTED_VALUE"""),"Closed")</f>
        <v>Closed</v>
      </c>
    </row>
    <row r="595">
      <c r="A595" s="3" t="s">
        <v>611</v>
      </c>
      <c r="B595" s="4">
        <f>IFERROR(__xludf.DUMMYFUNCTION("SPLIT(A595,"","",0,0)"),45552.75902777778)</f>
        <v>45552.75903</v>
      </c>
      <c r="C595" s="5">
        <f>IFERROR(__xludf.DUMMYFUNCTION("""COMPUTED_VALUE"""),2720359.0)</f>
        <v>2720359</v>
      </c>
      <c r="D595" s="2" t="str">
        <f>IFERROR(__xludf.DUMMYFUNCTION("""COMPUTED_VALUE"""),"Sale")</f>
        <v>Sale</v>
      </c>
      <c r="E595" s="2" t="str">
        <f>IFERROR(__xludf.DUMMYFUNCTION("""COMPUTED_VALUE"""),"Roti")</f>
        <v>Roti</v>
      </c>
      <c r="F595" s="2">
        <f>IFERROR(__xludf.DUMMYFUNCTION("""COMPUTED_VALUE"""),10000.0)</f>
        <v>10000</v>
      </c>
      <c r="G595" s="2" t="str">
        <f>IFERROR(__xludf.DUMMYFUNCTION("""COMPUTED_VALUE"""),"Roti Bawang Saus Keju")</f>
        <v>Roti Bawang Saus Keju</v>
      </c>
      <c r="H595" s="2"/>
      <c r="I595" s="2"/>
      <c r="J595" s="2">
        <f>IFERROR(__xludf.DUMMYFUNCTION("""COMPUTED_VALUE"""),1.0)</f>
        <v>1</v>
      </c>
      <c r="K595" s="6">
        <f>IFERROR(__xludf.DUMMYFUNCTION("""COMPUTED_VALUE"""),29524.0)</f>
        <v>29524</v>
      </c>
      <c r="L595" s="2">
        <f>IFERROR(__xludf.DUMMYFUNCTION("""COMPUTED_VALUE"""),0.0)</f>
        <v>0</v>
      </c>
      <c r="M595" s="2">
        <f>IFERROR(__xludf.DUMMYFUNCTION("""COMPUTED_VALUE"""),29524.0)</f>
        <v>29524</v>
      </c>
      <c r="N595" s="2">
        <f>IFERROR(__xludf.DUMMYFUNCTION("""COMPUTED_VALUE"""),0.0)</f>
        <v>0</v>
      </c>
      <c r="O595" s="2">
        <f>IFERROR(__xludf.DUMMYFUNCTION("""COMPUTED_VALUE"""),29524.0)</f>
        <v>29524</v>
      </c>
      <c r="P595" s="2">
        <f>IFERROR(__xludf.DUMMYFUNCTION("""COMPUTED_VALUE"""),1476.0)</f>
        <v>1476</v>
      </c>
      <c r="Q595" s="2" t="str">
        <f>IFERROR(__xludf.DUMMYFUNCTION("""COMPUTED_VALUE"""),"Dine In")</f>
        <v>Dine In</v>
      </c>
      <c r="R595" s="2" t="str">
        <f>IFERROR(__xludf.DUMMYFUNCTION("""COMPUTED_VALUE"""),"Kedai")</f>
        <v>Kedai</v>
      </c>
      <c r="S595" s="2" t="str">
        <f>IFERROR(__xludf.DUMMYFUNCTION("""COMPUTED_VALUE"""),"Temu Roti")</f>
        <v>Temu Roti</v>
      </c>
      <c r="T595" s="2" t="str">
        <f>IFERROR(__xludf.DUMMYFUNCTION("""COMPUTED_VALUE"""),"Owner")</f>
        <v>Owner</v>
      </c>
      <c r="U595" s="2"/>
      <c r="V595" s="2"/>
      <c r="W595" s="2"/>
      <c r="X595" s="2" t="str">
        <f>IFERROR(__xludf.DUMMYFUNCTION("""COMPUTED_VALUE"""),"Closed")</f>
        <v>Closed</v>
      </c>
    </row>
    <row r="596">
      <c r="A596" s="3" t="s">
        <v>612</v>
      </c>
      <c r="B596" s="4">
        <f>IFERROR(__xludf.DUMMYFUNCTION("SPLIT(A596,"","",0,0)"),45552.75902777778)</f>
        <v>45552.75903</v>
      </c>
      <c r="C596" s="5">
        <f>IFERROR(__xludf.DUMMYFUNCTION("""COMPUTED_VALUE"""),2720359.0)</f>
        <v>2720359</v>
      </c>
      <c r="D596" s="2" t="str">
        <f>IFERROR(__xludf.DUMMYFUNCTION("""COMPUTED_VALUE"""),"Sale")</f>
        <v>Sale</v>
      </c>
      <c r="E596" s="2" t="str">
        <f>IFERROR(__xludf.DUMMYFUNCTION("""COMPUTED_VALUE"""),"Minuman")</f>
        <v>Minuman</v>
      </c>
      <c r="F596" s="2">
        <f>IFERROR(__xludf.DUMMYFUNCTION("""COMPUTED_VALUE"""),10069.0)</f>
        <v>10069</v>
      </c>
      <c r="G596" s="2" t="str">
        <f>IFERROR(__xludf.DUMMYFUNCTION("""COMPUTED_VALUE"""),"Wedang hujan")</f>
        <v>Wedang hujan</v>
      </c>
      <c r="H596" s="2"/>
      <c r="I596" s="2"/>
      <c r="J596" s="2">
        <f>IFERROR(__xludf.DUMMYFUNCTION("""COMPUTED_VALUE"""),1.0)</f>
        <v>1</v>
      </c>
      <c r="K596" s="6">
        <f>IFERROR(__xludf.DUMMYFUNCTION("""COMPUTED_VALUE"""),24762.0)</f>
        <v>24762</v>
      </c>
      <c r="L596" s="2">
        <f>IFERROR(__xludf.DUMMYFUNCTION("""COMPUTED_VALUE"""),0.0)</f>
        <v>0</v>
      </c>
      <c r="M596" s="2">
        <f>IFERROR(__xludf.DUMMYFUNCTION("""COMPUTED_VALUE"""),24762.0)</f>
        <v>24762</v>
      </c>
      <c r="N596" s="2">
        <f>IFERROR(__xludf.DUMMYFUNCTION("""COMPUTED_VALUE"""),0.0)</f>
        <v>0</v>
      </c>
      <c r="O596" s="2">
        <f>IFERROR(__xludf.DUMMYFUNCTION("""COMPUTED_VALUE"""),24762.0)</f>
        <v>24762</v>
      </c>
      <c r="P596" s="2">
        <f>IFERROR(__xludf.DUMMYFUNCTION("""COMPUTED_VALUE"""),1238.0)</f>
        <v>1238</v>
      </c>
      <c r="Q596" s="2" t="str">
        <f>IFERROR(__xludf.DUMMYFUNCTION("""COMPUTED_VALUE"""),"Dine In")</f>
        <v>Dine In</v>
      </c>
      <c r="R596" s="2" t="str">
        <f>IFERROR(__xludf.DUMMYFUNCTION("""COMPUTED_VALUE"""),"Kedai")</f>
        <v>Kedai</v>
      </c>
      <c r="S596" s="2" t="str">
        <f>IFERROR(__xludf.DUMMYFUNCTION("""COMPUTED_VALUE"""),"Temu Roti")</f>
        <v>Temu Roti</v>
      </c>
      <c r="T596" s="2" t="str">
        <f>IFERROR(__xludf.DUMMYFUNCTION("""COMPUTED_VALUE"""),"Owner")</f>
        <v>Owner</v>
      </c>
      <c r="U596" s="2"/>
      <c r="V596" s="2"/>
      <c r="W596" s="2"/>
      <c r="X596" s="2" t="str">
        <f>IFERROR(__xludf.DUMMYFUNCTION("""COMPUTED_VALUE"""),"Closed")</f>
        <v>Closed</v>
      </c>
    </row>
    <row r="597">
      <c r="A597" s="3" t="s">
        <v>613</v>
      </c>
      <c r="B597" s="4">
        <f>IFERROR(__xludf.DUMMYFUNCTION("SPLIT(A597,"","",0,0)"),45552.75902777778)</f>
        <v>45552.75903</v>
      </c>
      <c r="C597" s="5">
        <f>IFERROR(__xludf.DUMMYFUNCTION("""COMPUTED_VALUE"""),2720359.0)</f>
        <v>2720359</v>
      </c>
      <c r="D597" s="2" t="str">
        <f>IFERROR(__xludf.DUMMYFUNCTION("""COMPUTED_VALUE"""),"Sale")</f>
        <v>Sale</v>
      </c>
      <c r="E597" s="2" t="str">
        <f>IFERROR(__xludf.DUMMYFUNCTION("""COMPUTED_VALUE"""),"Minuman")</f>
        <v>Minuman</v>
      </c>
      <c r="F597" s="2">
        <f>IFERROR(__xludf.DUMMYFUNCTION("""COMPUTED_VALUE"""),10063.0)</f>
        <v>10063</v>
      </c>
      <c r="G597" s="2" t="str">
        <f>IFERROR(__xludf.DUMMYFUNCTION("""COMPUTED_VALUE"""),"Wedang Bulan")</f>
        <v>Wedang Bulan</v>
      </c>
      <c r="H597" s="2"/>
      <c r="I597" s="2"/>
      <c r="J597" s="2">
        <f>IFERROR(__xludf.DUMMYFUNCTION("""COMPUTED_VALUE"""),1.0)</f>
        <v>1</v>
      </c>
      <c r="K597" s="6">
        <f>IFERROR(__xludf.DUMMYFUNCTION("""COMPUTED_VALUE"""),24762.0)</f>
        <v>24762</v>
      </c>
      <c r="L597" s="2">
        <f>IFERROR(__xludf.DUMMYFUNCTION("""COMPUTED_VALUE"""),0.0)</f>
        <v>0</v>
      </c>
      <c r="M597" s="2">
        <f>IFERROR(__xludf.DUMMYFUNCTION("""COMPUTED_VALUE"""),24762.0)</f>
        <v>24762</v>
      </c>
      <c r="N597" s="2">
        <f>IFERROR(__xludf.DUMMYFUNCTION("""COMPUTED_VALUE"""),0.0)</f>
        <v>0</v>
      </c>
      <c r="O597" s="2">
        <f>IFERROR(__xludf.DUMMYFUNCTION("""COMPUTED_VALUE"""),24762.0)</f>
        <v>24762</v>
      </c>
      <c r="P597" s="2">
        <f>IFERROR(__xludf.DUMMYFUNCTION("""COMPUTED_VALUE"""),1238.0)</f>
        <v>1238</v>
      </c>
      <c r="Q597" s="2" t="str">
        <f>IFERROR(__xludf.DUMMYFUNCTION("""COMPUTED_VALUE"""),"Dine In")</f>
        <v>Dine In</v>
      </c>
      <c r="R597" s="2" t="str">
        <f>IFERROR(__xludf.DUMMYFUNCTION("""COMPUTED_VALUE"""),"Kedai")</f>
        <v>Kedai</v>
      </c>
      <c r="S597" s="2" t="str">
        <f>IFERROR(__xludf.DUMMYFUNCTION("""COMPUTED_VALUE"""),"Temu Roti")</f>
        <v>Temu Roti</v>
      </c>
      <c r="T597" s="2" t="str">
        <f>IFERROR(__xludf.DUMMYFUNCTION("""COMPUTED_VALUE"""),"Owner")</f>
        <v>Owner</v>
      </c>
      <c r="U597" s="2"/>
      <c r="V597" s="2"/>
      <c r="W597" s="2"/>
      <c r="X597" s="2" t="str">
        <f>IFERROR(__xludf.DUMMYFUNCTION("""COMPUTED_VALUE"""),"Closed")</f>
        <v>Closed</v>
      </c>
    </row>
    <row r="598">
      <c r="A598" s="3" t="s">
        <v>614</v>
      </c>
      <c r="B598" s="4">
        <f>IFERROR(__xludf.DUMMYFUNCTION("SPLIT(A598,"","",0,0)"),45552.75069444445)</f>
        <v>45552.75069</v>
      </c>
      <c r="C598" s="5">
        <f>IFERROR(__xludf.DUMMYFUNCTION("""COMPUTED_VALUE"""),2719994.0)</f>
        <v>2719994</v>
      </c>
      <c r="D598" s="2" t="str">
        <f>IFERROR(__xludf.DUMMYFUNCTION("""COMPUTED_VALUE"""),"Sale")</f>
        <v>Sale</v>
      </c>
      <c r="E598" s="2" t="str">
        <f>IFERROR(__xludf.DUMMYFUNCTION("""COMPUTED_VALUE"""),"Minuman")</f>
        <v>Minuman</v>
      </c>
      <c r="F598" s="2">
        <f>IFERROR(__xludf.DUMMYFUNCTION("""COMPUTED_VALUE"""),10128.0)</f>
        <v>10128</v>
      </c>
      <c r="G598" s="2" t="str">
        <f>IFERROR(__xludf.DUMMYFUNCTION("""COMPUTED_VALUE"""),"Es Kopi Susu")</f>
        <v>Es Kopi Susu</v>
      </c>
      <c r="H598" s="2"/>
      <c r="I598" s="2"/>
      <c r="J598" s="2">
        <f>IFERROR(__xludf.DUMMYFUNCTION("""COMPUTED_VALUE"""),1.0)</f>
        <v>1</v>
      </c>
      <c r="K598" s="6">
        <f>IFERROR(__xludf.DUMMYFUNCTION("""COMPUTED_VALUE"""),23333.0)</f>
        <v>23333</v>
      </c>
      <c r="L598" s="2">
        <f>IFERROR(__xludf.DUMMYFUNCTION("""COMPUTED_VALUE"""),0.0)</f>
        <v>0</v>
      </c>
      <c r="M598" s="2">
        <f>IFERROR(__xludf.DUMMYFUNCTION("""COMPUTED_VALUE"""),23333.0)</f>
        <v>23333</v>
      </c>
      <c r="N598" s="2">
        <f>IFERROR(__xludf.DUMMYFUNCTION("""COMPUTED_VALUE"""),0.0)</f>
        <v>0</v>
      </c>
      <c r="O598" s="2">
        <f>IFERROR(__xludf.DUMMYFUNCTION("""COMPUTED_VALUE"""),23333.0)</f>
        <v>23333</v>
      </c>
      <c r="P598" s="2">
        <f>IFERROR(__xludf.DUMMYFUNCTION("""COMPUTED_VALUE"""),1167.0)</f>
        <v>1167</v>
      </c>
      <c r="Q598" s="2" t="str">
        <f>IFERROR(__xludf.DUMMYFUNCTION("""COMPUTED_VALUE"""),"Dine In")</f>
        <v>Dine In</v>
      </c>
      <c r="R598" s="2" t="str">
        <f>IFERROR(__xludf.DUMMYFUNCTION("""COMPUTED_VALUE"""),"Kedai")</f>
        <v>Kedai</v>
      </c>
      <c r="S598" s="2" t="str">
        <f>IFERROR(__xludf.DUMMYFUNCTION("""COMPUTED_VALUE"""),"Temu Roti")</f>
        <v>Temu Roti</v>
      </c>
      <c r="T598" s="2" t="str">
        <f>IFERROR(__xludf.DUMMYFUNCTION("""COMPUTED_VALUE"""),"Owner")</f>
        <v>Owner</v>
      </c>
      <c r="U598" s="2"/>
      <c r="V598" s="2"/>
      <c r="W598" s="2"/>
      <c r="X598" s="2" t="str">
        <f>IFERROR(__xludf.DUMMYFUNCTION("""COMPUTED_VALUE"""),"Closed")</f>
        <v>Closed</v>
      </c>
    </row>
    <row r="599">
      <c r="A599" s="3" t="s">
        <v>615</v>
      </c>
      <c r="B599" s="4">
        <f>IFERROR(__xludf.DUMMYFUNCTION("SPLIT(A599,"","",0,0)"),45552.75069444445)</f>
        <v>45552.75069</v>
      </c>
      <c r="C599" s="5">
        <f>IFERROR(__xludf.DUMMYFUNCTION("""COMPUTED_VALUE"""),2719994.0)</f>
        <v>2719994</v>
      </c>
      <c r="D599" s="2" t="str">
        <f>IFERROR(__xludf.DUMMYFUNCTION("""COMPUTED_VALUE"""),"Sale")</f>
        <v>Sale</v>
      </c>
      <c r="E599" s="2" t="str">
        <f>IFERROR(__xludf.DUMMYFUNCTION("""COMPUTED_VALUE"""),"Minuman")</f>
        <v>Minuman</v>
      </c>
      <c r="F599" s="2">
        <f>IFERROR(__xludf.DUMMYFUNCTION("""COMPUTED_VALUE"""),10112.0)</f>
        <v>10112</v>
      </c>
      <c r="G599" s="2" t="str">
        <f>IFERROR(__xludf.DUMMYFUNCTION("""COMPUTED_VALUE"""),"Air mineral")</f>
        <v>Air mineral</v>
      </c>
      <c r="H599" s="2"/>
      <c r="I599" s="2"/>
      <c r="J599" s="2">
        <f>IFERROR(__xludf.DUMMYFUNCTION("""COMPUTED_VALUE"""),1.0)</f>
        <v>1</v>
      </c>
      <c r="K599" s="6">
        <f>IFERROR(__xludf.DUMMYFUNCTION("""COMPUTED_VALUE"""),6667.0)</f>
        <v>6667</v>
      </c>
      <c r="L599" s="2">
        <f>IFERROR(__xludf.DUMMYFUNCTION("""COMPUTED_VALUE"""),0.0)</f>
        <v>0</v>
      </c>
      <c r="M599" s="2">
        <f>IFERROR(__xludf.DUMMYFUNCTION("""COMPUTED_VALUE"""),6667.0)</f>
        <v>6667</v>
      </c>
      <c r="N599" s="2">
        <f>IFERROR(__xludf.DUMMYFUNCTION("""COMPUTED_VALUE"""),0.0)</f>
        <v>0</v>
      </c>
      <c r="O599" s="2">
        <f>IFERROR(__xludf.DUMMYFUNCTION("""COMPUTED_VALUE"""),6667.0)</f>
        <v>6667</v>
      </c>
      <c r="P599" s="2">
        <f>IFERROR(__xludf.DUMMYFUNCTION("""COMPUTED_VALUE"""),333.0)</f>
        <v>333</v>
      </c>
      <c r="Q599" s="2" t="str">
        <f>IFERROR(__xludf.DUMMYFUNCTION("""COMPUTED_VALUE"""),"Dine In")</f>
        <v>Dine In</v>
      </c>
      <c r="R599" s="2" t="str">
        <f>IFERROR(__xludf.DUMMYFUNCTION("""COMPUTED_VALUE"""),"Kedai")</f>
        <v>Kedai</v>
      </c>
      <c r="S599" s="2" t="str">
        <f>IFERROR(__xludf.DUMMYFUNCTION("""COMPUTED_VALUE"""),"Temu Roti")</f>
        <v>Temu Roti</v>
      </c>
      <c r="T599" s="2" t="str">
        <f>IFERROR(__xludf.DUMMYFUNCTION("""COMPUTED_VALUE"""),"Owner")</f>
        <v>Owner</v>
      </c>
      <c r="U599" s="2"/>
      <c r="V599" s="2"/>
      <c r="W599" s="2"/>
      <c r="X599" s="2" t="str">
        <f>IFERROR(__xludf.DUMMYFUNCTION("""COMPUTED_VALUE"""),"Closed")</f>
        <v>Closed</v>
      </c>
    </row>
    <row r="600">
      <c r="A600" s="3" t="s">
        <v>616</v>
      </c>
      <c r="B600" s="4">
        <f>IFERROR(__xludf.DUMMYFUNCTION("SPLIT(A600,"","",0,0)"),45552.72152777778)</f>
        <v>45552.72153</v>
      </c>
      <c r="C600" s="5">
        <f>IFERROR(__xludf.DUMMYFUNCTION("""COMPUTED_VALUE"""),2719629.0)</f>
        <v>2719629</v>
      </c>
      <c r="D600" s="2" t="str">
        <f>IFERROR(__xludf.DUMMYFUNCTION("""COMPUTED_VALUE"""),"Sale")</f>
        <v>Sale</v>
      </c>
      <c r="E600" s="2" t="str">
        <f>IFERROR(__xludf.DUMMYFUNCTION("""COMPUTED_VALUE"""),"Kudapan")</f>
        <v>Kudapan</v>
      </c>
      <c r="F600" s="2">
        <f>IFERROR(__xludf.DUMMYFUNCTION("""COMPUTED_VALUE"""),10015.0)</f>
        <v>10015</v>
      </c>
      <c r="G600" s="2" t="str">
        <f>IFERROR(__xludf.DUMMYFUNCTION("""COMPUTED_VALUE"""),"Tahu Lada Garam")</f>
        <v>Tahu Lada Garam</v>
      </c>
      <c r="H600" s="2"/>
      <c r="I600" s="2"/>
      <c r="J600" s="2">
        <f>IFERROR(__xludf.DUMMYFUNCTION("""COMPUTED_VALUE"""),1.0)</f>
        <v>1</v>
      </c>
      <c r="K600" s="6">
        <f>IFERROR(__xludf.DUMMYFUNCTION("""COMPUTED_VALUE"""),25238.0)</f>
        <v>25238</v>
      </c>
      <c r="L600" s="2">
        <f>IFERROR(__xludf.DUMMYFUNCTION("""COMPUTED_VALUE"""),0.0)</f>
        <v>0</v>
      </c>
      <c r="M600" s="2">
        <f>IFERROR(__xludf.DUMMYFUNCTION("""COMPUTED_VALUE"""),25238.0)</f>
        <v>25238</v>
      </c>
      <c r="N600" s="2">
        <f>IFERROR(__xludf.DUMMYFUNCTION("""COMPUTED_VALUE"""),0.0)</f>
        <v>0</v>
      </c>
      <c r="O600" s="2">
        <f>IFERROR(__xludf.DUMMYFUNCTION("""COMPUTED_VALUE"""),25238.0)</f>
        <v>25238</v>
      </c>
      <c r="P600" s="2">
        <f>IFERROR(__xludf.DUMMYFUNCTION("""COMPUTED_VALUE"""),1262.0)</f>
        <v>1262</v>
      </c>
      <c r="Q600" s="2" t="str">
        <f>IFERROR(__xludf.DUMMYFUNCTION("""COMPUTED_VALUE"""),"Dine In")</f>
        <v>Dine In</v>
      </c>
      <c r="R600" s="2" t="str">
        <f>IFERROR(__xludf.DUMMYFUNCTION("""COMPUTED_VALUE"""),"Kedai")</f>
        <v>Kedai</v>
      </c>
      <c r="S600" s="2" t="str">
        <f>IFERROR(__xludf.DUMMYFUNCTION("""COMPUTED_VALUE"""),"Temu Roti")</f>
        <v>Temu Roti</v>
      </c>
      <c r="T600" s="2" t="str">
        <f>IFERROR(__xludf.DUMMYFUNCTION("""COMPUTED_VALUE"""),"Owner")</f>
        <v>Owner</v>
      </c>
      <c r="U600" s="2"/>
      <c r="V600" s="2"/>
      <c r="W600" s="2"/>
      <c r="X600" s="2" t="str">
        <f>IFERROR(__xludf.DUMMYFUNCTION("""COMPUTED_VALUE"""),"Closed")</f>
        <v>Closed</v>
      </c>
    </row>
    <row r="601">
      <c r="A601" s="3" t="s">
        <v>617</v>
      </c>
      <c r="B601" s="4">
        <f>IFERROR(__xludf.DUMMYFUNCTION("SPLIT(A601,"","",0,0)"),45552.67986111111)</f>
        <v>45552.67986</v>
      </c>
      <c r="C601" s="5">
        <f>IFERROR(__xludf.DUMMYFUNCTION("""COMPUTED_VALUE"""),2719264.0)</f>
        <v>2719264</v>
      </c>
      <c r="D601" s="2" t="str">
        <f>IFERROR(__xludf.DUMMYFUNCTION("""COMPUTED_VALUE"""),"Sale")</f>
        <v>Sale</v>
      </c>
      <c r="E601" s="2" t="str">
        <f>IFERROR(__xludf.DUMMYFUNCTION("""COMPUTED_VALUE"""),"Minuman")</f>
        <v>Minuman</v>
      </c>
      <c r="F601" s="2">
        <f>IFERROR(__xludf.DUMMYFUNCTION("""COMPUTED_VALUE"""),10128.0)</f>
        <v>10128</v>
      </c>
      <c r="G601" s="2" t="str">
        <f>IFERROR(__xludf.DUMMYFUNCTION("""COMPUTED_VALUE"""),"Es Kopi Susu")</f>
        <v>Es Kopi Susu</v>
      </c>
      <c r="H601" s="2"/>
      <c r="I601" s="2"/>
      <c r="J601" s="2">
        <f>IFERROR(__xludf.DUMMYFUNCTION("""COMPUTED_VALUE"""),1.0)</f>
        <v>1</v>
      </c>
      <c r="K601" s="6">
        <f>IFERROR(__xludf.DUMMYFUNCTION("""COMPUTED_VALUE"""),23333.0)</f>
        <v>23333</v>
      </c>
      <c r="L601" s="2">
        <f>IFERROR(__xludf.DUMMYFUNCTION("""COMPUTED_VALUE"""),0.0)</f>
        <v>0</v>
      </c>
      <c r="M601" s="2">
        <f>IFERROR(__xludf.DUMMYFUNCTION("""COMPUTED_VALUE"""),23333.0)</f>
        <v>23333</v>
      </c>
      <c r="N601" s="2">
        <f>IFERROR(__xludf.DUMMYFUNCTION("""COMPUTED_VALUE"""),0.0)</f>
        <v>0</v>
      </c>
      <c r="O601" s="2">
        <f>IFERROR(__xludf.DUMMYFUNCTION("""COMPUTED_VALUE"""),23333.0)</f>
        <v>23333</v>
      </c>
      <c r="P601" s="2">
        <f>IFERROR(__xludf.DUMMYFUNCTION("""COMPUTED_VALUE"""),1167.0)</f>
        <v>1167</v>
      </c>
      <c r="Q601" s="2" t="str">
        <f>IFERROR(__xludf.DUMMYFUNCTION("""COMPUTED_VALUE"""),"Dine In")</f>
        <v>Dine In</v>
      </c>
      <c r="R601" s="2" t="str">
        <f>IFERROR(__xludf.DUMMYFUNCTION("""COMPUTED_VALUE"""),"Kedai")</f>
        <v>Kedai</v>
      </c>
      <c r="S601" s="2" t="str">
        <f>IFERROR(__xludf.DUMMYFUNCTION("""COMPUTED_VALUE"""),"Temu Roti")</f>
        <v>Temu Roti</v>
      </c>
      <c r="T601" s="2" t="str">
        <f>IFERROR(__xludf.DUMMYFUNCTION("""COMPUTED_VALUE"""),"Owner")</f>
        <v>Owner</v>
      </c>
      <c r="U601" s="2"/>
      <c r="V601" s="2"/>
      <c r="W601" s="2"/>
      <c r="X601" s="2" t="str">
        <f>IFERROR(__xludf.DUMMYFUNCTION("""COMPUTED_VALUE"""),"Closed")</f>
        <v>Closed</v>
      </c>
    </row>
    <row r="602">
      <c r="A602" s="3" t="s">
        <v>618</v>
      </c>
      <c r="B602" s="4">
        <f>IFERROR(__xludf.DUMMYFUNCTION("SPLIT(A602,"","",0,0)"),45552.67986111111)</f>
        <v>45552.67986</v>
      </c>
      <c r="C602" s="5">
        <f>IFERROR(__xludf.DUMMYFUNCTION("""COMPUTED_VALUE"""),2719264.0)</f>
        <v>2719264</v>
      </c>
      <c r="D602" s="2" t="str">
        <f>IFERROR(__xludf.DUMMYFUNCTION("""COMPUTED_VALUE"""),"Sale")</f>
        <v>Sale</v>
      </c>
      <c r="E602" s="2" t="str">
        <f>IFERROR(__xludf.DUMMYFUNCTION("""COMPUTED_VALUE"""),"Roti")</f>
        <v>Roti</v>
      </c>
      <c r="F602" s="2">
        <f>IFERROR(__xludf.DUMMYFUNCTION("""COMPUTED_VALUE"""),10000.0)</f>
        <v>10000</v>
      </c>
      <c r="G602" s="2" t="str">
        <f>IFERROR(__xludf.DUMMYFUNCTION("""COMPUTED_VALUE"""),"Roti Bawang Saus Keju")</f>
        <v>Roti Bawang Saus Keju</v>
      </c>
      <c r="H602" s="2"/>
      <c r="I602" s="2"/>
      <c r="J602" s="2">
        <f>IFERROR(__xludf.DUMMYFUNCTION("""COMPUTED_VALUE"""),1.0)</f>
        <v>1</v>
      </c>
      <c r="K602" s="6">
        <f>IFERROR(__xludf.DUMMYFUNCTION("""COMPUTED_VALUE"""),29524.0)</f>
        <v>29524</v>
      </c>
      <c r="L602" s="2">
        <f>IFERROR(__xludf.DUMMYFUNCTION("""COMPUTED_VALUE"""),0.0)</f>
        <v>0</v>
      </c>
      <c r="M602" s="2">
        <f>IFERROR(__xludf.DUMMYFUNCTION("""COMPUTED_VALUE"""),29524.0)</f>
        <v>29524</v>
      </c>
      <c r="N602" s="2">
        <f>IFERROR(__xludf.DUMMYFUNCTION("""COMPUTED_VALUE"""),0.0)</f>
        <v>0</v>
      </c>
      <c r="O602" s="2">
        <f>IFERROR(__xludf.DUMMYFUNCTION("""COMPUTED_VALUE"""),29524.0)</f>
        <v>29524</v>
      </c>
      <c r="P602" s="2">
        <f>IFERROR(__xludf.DUMMYFUNCTION("""COMPUTED_VALUE"""),1476.0)</f>
        <v>1476</v>
      </c>
      <c r="Q602" s="2" t="str">
        <f>IFERROR(__xludf.DUMMYFUNCTION("""COMPUTED_VALUE"""),"Dine In")</f>
        <v>Dine In</v>
      </c>
      <c r="R602" s="2" t="str">
        <f>IFERROR(__xludf.DUMMYFUNCTION("""COMPUTED_VALUE"""),"Kedai")</f>
        <v>Kedai</v>
      </c>
      <c r="S602" s="2" t="str">
        <f>IFERROR(__xludf.DUMMYFUNCTION("""COMPUTED_VALUE"""),"Temu Roti")</f>
        <v>Temu Roti</v>
      </c>
      <c r="T602" s="2" t="str">
        <f>IFERROR(__xludf.DUMMYFUNCTION("""COMPUTED_VALUE"""),"Owner")</f>
        <v>Owner</v>
      </c>
      <c r="U602" s="2"/>
      <c r="V602" s="2"/>
      <c r="W602" s="2"/>
      <c r="X602" s="2" t="str">
        <f>IFERROR(__xludf.DUMMYFUNCTION("""COMPUTED_VALUE"""),"Closed")</f>
        <v>Closed</v>
      </c>
    </row>
    <row r="603">
      <c r="A603" s="3" t="s">
        <v>619</v>
      </c>
      <c r="B603" s="4">
        <f>IFERROR(__xludf.DUMMYFUNCTION("SPLIT(A603,"","",0,0)"),45552.67222222222)</f>
        <v>45552.67222</v>
      </c>
      <c r="C603" s="5">
        <f>IFERROR(__xludf.DUMMYFUNCTION("""COMPUTED_VALUE"""),2718898.0)</f>
        <v>2718898</v>
      </c>
      <c r="D603" s="2" t="str">
        <f>IFERROR(__xludf.DUMMYFUNCTION("""COMPUTED_VALUE"""),"Sale")</f>
        <v>Sale</v>
      </c>
      <c r="E603" s="2" t="str">
        <f>IFERROR(__xludf.DUMMYFUNCTION("""COMPUTED_VALUE"""),"Minuman")</f>
        <v>Minuman</v>
      </c>
      <c r="F603" s="2">
        <f>IFERROR(__xludf.DUMMYFUNCTION("""COMPUTED_VALUE"""),10069.0)</f>
        <v>10069</v>
      </c>
      <c r="G603" s="2" t="str">
        <f>IFERROR(__xludf.DUMMYFUNCTION("""COMPUTED_VALUE"""),"Wedang hujan")</f>
        <v>Wedang hujan</v>
      </c>
      <c r="H603" s="2"/>
      <c r="I603" s="2"/>
      <c r="J603" s="2">
        <f>IFERROR(__xludf.DUMMYFUNCTION("""COMPUTED_VALUE"""),1.0)</f>
        <v>1</v>
      </c>
      <c r="K603" s="6">
        <f>IFERROR(__xludf.DUMMYFUNCTION("""COMPUTED_VALUE"""),24762.0)</f>
        <v>24762</v>
      </c>
      <c r="L603" s="2">
        <f>IFERROR(__xludf.DUMMYFUNCTION("""COMPUTED_VALUE"""),0.0)</f>
        <v>0</v>
      </c>
      <c r="M603" s="2">
        <f>IFERROR(__xludf.DUMMYFUNCTION("""COMPUTED_VALUE"""),24762.0)</f>
        <v>24762</v>
      </c>
      <c r="N603" s="2">
        <f>IFERROR(__xludf.DUMMYFUNCTION("""COMPUTED_VALUE"""),0.0)</f>
        <v>0</v>
      </c>
      <c r="O603" s="2">
        <f>IFERROR(__xludf.DUMMYFUNCTION("""COMPUTED_VALUE"""),24762.0)</f>
        <v>24762</v>
      </c>
      <c r="P603" s="2">
        <f>IFERROR(__xludf.DUMMYFUNCTION("""COMPUTED_VALUE"""),1238.0)</f>
        <v>1238</v>
      </c>
      <c r="Q603" s="2" t="str">
        <f>IFERROR(__xludf.DUMMYFUNCTION("""COMPUTED_VALUE"""),"Dine In")</f>
        <v>Dine In</v>
      </c>
      <c r="R603" s="2" t="str">
        <f>IFERROR(__xludf.DUMMYFUNCTION("""COMPUTED_VALUE"""),"Kedai")</f>
        <v>Kedai</v>
      </c>
      <c r="S603" s="2" t="str">
        <f>IFERROR(__xludf.DUMMYFUNCTION("""COMPUTED_VALUE"""),"Temu Roti")</f>
        <v>Temu Roti</v>
      </c>
      <c r="T603" s="2" t="str">
        <f>IFERROR(__xludf.DUMMYFUNCTION("""COMPUTED_VALUE"""),"Owner")</f>
        <v>Owner</v>
      </c>
      <c r="U603" s="2"/>
      <c r="V603" s="2"/>
      <c r="W603" s="2"/>
      <c r="X603" s="2" t="str">
        <f>IFERROR(__xludf.DUMMYFUNCTION("""COMPUTED_VALUE"""),"Closed")</f>
        <v>Closed</v>
      </c>
    </row>
    <row r="604">
      <c r="A604" s="3" t="s">
        <v>620</v>
      </c>
      <c r="B604" s="4">
        <f>IFERROR(__xludf.DUMMYFUNCTION("SPLIT(A604,"","",0,0)"),45552.57916666667)</f>
        <v>45552.57917</v>
      </c>
      <c r="C604" s="5">
        <f>IFERROR(__xludf.DUMMYFUNCTION("""COMPUTED_VALUE"""),2718533.0)</f>
        <v>2718533</v>
      </c>
      <c r="D604" s="2" t="str">
        <f>IFERROR(__xludf.DUMMYFUNCTION("""COMPUTED_VALUE"""),"Sale")</f>
        <v>Sale</v>
      </c>
      <c r="E604" s="2" t="str">
        <f>IFERROR(__xludf.DUMMYFUNCTION("""COMPUTED_VALUE"""),"Roti")</f>
        <v>Roti</v>
      </c>
      <c r="F604" s="2">
        <f>IFERROR(__xludf.DUMMYFUNCTION("""COMPUTED_VALUE"""),10000.0)</f>
        <v>10000</v>
      </c>
      <c r="G604" s="2" t="str">
        <f>IFERROR(__xludf.DUMMYFUNCTION("""COMPUTED_VALUE"""),"Roti Bawang Saus Keju")</f>
        <v>Roti Bawang Saus Keju</v>
      </c>
      <c r="H604" s="2"/>
      <c r="I604" s="2"/>
      <c r="J604" s="2">
        <f>IFERROR(__xludf.DUMMYFUNCTION("""COMPUTED_VALUE"""),1.0)</f>
        <v>1</v>
      </c>
      <c r="K604" s="6">
        <f>IFERROR(__xludf.DUMMYFUNCTION("""COMPUTED_VALUE"""),29524.0)</f>
        <v>29524</v>
      </c>
      <c r="L604" s="2">
        <f>IFERROR(__xludf.DUMMYFUNCTION("""COMPUTED_VALUE"""),0.0)</f>
        <v>0</v>
      </c>
      <c r="M604" s="2">
        <f>IFERROR(__xludf.DUMMYFUNCTION("""COMPUTED_VALUE"""),29524.0)</f>
        <v>29524</v>
      </c>
      <c r="N604" s="2">
        <f>IFERROR(__xludf.DUMMYFUNCTION("""COMPUTED_VALUE"""),0.0)</f>
        <v>0</v>
      </c>
      <c r="O604" s="2">
        <f>IFERROR(__xludf.DUMMYFUNCTION("""COMPUTED_VALUE"""),29524.0)</f>
        <v>29524</v>
      </c>
      <c r="P604" s="2">
        <f>IFERROR(__xludf.DUMMYFUNCTION("""COMPUTED_VALUE"""),1476.0)</f>
        <v>1476</v>
      </c>
      <c r="Q604" s="2" t="str">
        <f>IFERROR(__xludf.DUMMYFUNCTION("""COMPUTED_VALUE"""),"Dine In")</f>
        <v>Dine In</v>
      </c>
      <c r="R604" s="2" t="str">
        <f>IFERROR(__xludf.DUMMYFUNCTION("""COMPUTED_VALUE"""),"Kedai")</f>
        <v>Kedai</v>
      </c>
      <c r="S604" s="2" t="str">
        <f>IFERROR(__xludf.DUMMYFUNCTION("""COMPUTED_VALUE"""),"Temu Roti")</f>
        <v>Temu Roti</v>
      </c>
      <c r="T604" s="2" t="str">
        <f>IFERROR(__xludf.DUMMYFUNCTION("""COMPUTED_VALUE"""),"Owner")</f>
        <v>Owner</v>
      </c>
      <c r="U604" s="2"/>
      <c r="V604" s="2"/>
      <c r="W604" s="2"/>
      <c r="X604" s="2" t="str">
        <f>IFERROR(__xludf.DUMMYFUNCTION("""COMPUTED_VALUE"""),"Closed")</f>
        <v>Closed</v>
      </c>
    </row>
    <row r="605">
      <c r="A605" s="3" t="s">
        <v>621</v>
      </c>
      <c r="B605" s="4">
        <f>IFERROR(__xludf.DUMMYFUNCTION("SPLIT(A605,"","",0,0)"),45552.57916666667)</f>
        <v>45552.57917</v>
      </c>
      <c r="C605" s="5">
        <f>IFERROR(__xludf.DUMMYFUNCTION("""COMPUTED_VALUE"""),2718533.0)</f>
        <v>2718533</v>
      </c>
      <c r="D605" s="2" t="str">
        <f>IFERROR(__xludf.DUMMYFUNCTION("""COMPUTED_VALUE"""),"Sale")</f>
        <v>Sale</v>
      </c>
      <c r="E605" s="2" t="str">
        <f>IFERROR(__xludf.DUMMYFUNCTION("""COMPUTED_VALUE"""),"Minuman")</f>
        <v>Minuman</v>
      </c>
      <c r="F605" s="2">
        <f>IFERROR(__xludf.DUMMYFUNCTION("""COMPUTED_VALUE"""),10112.0)</f>
        <v>10112</v>
      </c>
      <c r="G605" s="2" t="str">
        <f>IFERROR(__xludf.DUMMYFUNCTION("""COMPUTED_VALUE"""),"Air mineral")</f>
        <v>Air mineral</v>
      </c>
      <c r="H605" s="2"/>
      <c r="I605" s="2"/>
      <c r="J605" s="2">
        <f>IFERROR(__xludf.DUMMYFUNCTION("""COMPUTED_VALUE"""),1.0)</f>
        <v>1</v>
      </c>
      <c r="K605" s="6">
        <f>IFERROR(__xludf.DUMMYFUNCTION("""COMPUTED_VALUE"""),6667.0)</f>
        <v>6667</v>
      </c>
      <c r="L605" s="2">
        <f>IFERROR(__xludf.DUMMYFUNCTION("""COMPUTED_VALUE"""),0.0)</f>
        <v>0</v>
      </c>
      <c r="M605" s="2">
        <f>IFERROR(__xludf.DUMMYFUNCTION("""COMPUTED_VALUE"""),6667.0)</f>
        <v>6667</v>
      </c>
      <c r="N605" s="2">
        <f>IFERROR(__xludf.DUMMYFUNCTION("""COMPUTED_VALUE"""),0.0)</f>
        <v>0</v>
      </c>
      <c r="O605" s="2">
        <f>IFERROR(__xludf.DUMMYFUNCTION("""COMPUTED_VALUE"""),6667.0)</f>
        <v>6667</v>
      </c>
      <c r="P605" s="2">
        <f>IFERROR(__xludf.DUMMYFUNCTION("""COMPUTED_VALUE"""),334.0)</f>
        <v>334</v>
      </c>
      <c r="Q605" s="2" t="str">
        <f>IFERROR(__xludf.DUMMYFUNCTION("""COMPUTED_VALUE"""),"Dine In")</f>
        <v>Dine In</v>
      </c>
      <c r="R605" s="2" t="str">
        <f>IFERROR(__xludf.DUMMYFUNCTION("""COMPUTED_VALUE"""),"Kedai")</f>
        <v>Kedai</v>
      </c>
      <c r="S605" s="2" t="str">
        <f>IFERROR(__xludf.DUMMYFUNCTION("""COMPUTED_VALUE"""),"Temu Roti")</f>
        <v>Temu Roti</v>
      </c>
      <c r="T605" s="2" t="str">
        <f>IFERROR(__xludf.DUMMYFUNCTION("""COMPUTED_VALUE"""),"Owner")</f>
        <v>Owner</v>
      </c>
      <c r="U605" s="2"/>
      <c r="V605" s="2"/>
      <c r="W605" s="2"/>
      <c r="X605" s="2" t="str">
        <f>IFERROR(__xludf.DUMMYFUNCTION("""COMPUTED_VALUE"""),"Closed")</f>
        <v>Closed</v>
      </c>
    </row>
    <row r="606">
      <c r="A606" s="3" t="s">
        <v>622</v>
      </c>
      <c r="B606" s="4">
        <f>IFERROR(__xludf.DUMMYFUNCTION("SPLIT(A606,"","",0,0)"),45552.56736111111)</f>
        <v>45552.56736</v>
      </c>
      <c r="C606" s="5">
        <f>IFERROR(__xludf.DUMMYFUNCTION("""COMPUTED_VALUE"""),2718168.0)</f>
        <v>2718168</v>
      </c>
      <c r="D606" s="2" t="str">
        <f>IFERROR(__xludf.DUMMYFUNCTION("""COMPUTED_VALUE"""),"Sale")</f>
        <v>Sale</v>
      </c>
      <c r="E606" s="2" t="str">
        <f>IFERROR(__xludf.DUMMYFUNCTION("""COMPUTED_VALUE"""),"Kudapan")</f>
        <v>Kudapan</v>
      </c>
      <c r="F606" s="2">
        <f>IFERROR(__xludf.DUMMYFUNCTION("""COMPUTED_VALUE"""),10004.0)</f>
        <v>10004</v>
      </c>
      <c r="G606" s="2" t="str">
        <f>IFERROR(__xludf.DUMMYFUNCTION("""COMPUTED_VALUE"""),"Tahu walik")</f>
        <v>Tahu walik</v>
      </c>
      <c r="H606" s="2"/>
      <c r="I606" s="2"/>
      <c r="J606" s="2">
        <f>IFERROR(__xludf.DUMMYFUNCTION("""COMPUTED_VALUE"""),1.0)</f>
        <v>1</v>
      </c>
      <c r="K606" s="6">
        <f>IFERROR(__xludf.DUMMYFUNCTION("""COMPUTED_VALUE"""),25238.0)</f>
        <v>25238</v>
      </c>
      <c r="L606" s="2">
        <f>IFERROR(__xludf.DUMMYFUNCTION("""COMPUTED_VALUE"""),0.0)</f>
        <v>0</v>
      </c>
      <c r="M606" s="2">
        <f>IFERROR(__xludf.DUMMYFUNCTION("""COMPUTED_VALUE"""),25238.0)</f>
        <v>25238</v>
      </c>
      <c r="N606" s="2">
        <f>IFERROR(__xludf.DUMMYFUNCTION("""COMPUTED_VALUE"""),0.0)</f>
        <v>0</v>
      </c>
      <c r="O606" s="2">
        <f>IFERROR(__xludf.DUMMYFUNCTION("""COMPUTED_VALUE"""),25238.0)</f>
        <v>25238</v>
      </c>
      <c r="P606" s="2">
        <f>IFERROR(__xludf.DUMMYFUNCTION("""COMPUTED_VALUE"""),1262.0)</f>
        <v>1262</v>
      </c>
      <c r="Q606" s="2" t="str">
        <f>IFERROR(__xludf.DUMMYFUNCTION("""COMPUTED_VALUE"""),"Dine In")</f>
        <v>Dine In</v>
      </c>
      <c r="R606" s="2" t="str">
        <f>IFERROR(__xludf.DUMMYFUNCTION("""COMPUTED_VALUE"""),"Kedai")</f>
        <v>Kedai</v>
      </c>
      <c r="S606" s="2" t="str">
        <f>IFERROR(__xludf.DUMMYFUNCTION("""COMPUTED_VALUE"""),"Temu Roti")</f>
        <v>Temu Roti</v>
      </c>
      <c r="T606" s="2" t="str">
        <f>IFERROR(__xludf.DUMMYFUNCTION("""COMPUTED_VALUE"""),"Owner")</f>
        <v>Owner</v>
      </c>
      <c r="U606" s="2"/>
      <c r="V606" s="2"/>
      <c r="W606" s="2"/>
      <c r="X606" s="2" t="str">
        <f>IFERROR(__xludf.DUMMYFUNCTION("""COMPUTED_VALUE"""),"Closed")</f>
        <v>Closed</v>
      </c>
    </row>
    <row r="607">
      <c r="A607" s="3" t="s">
        <v>623</v>
      </c>
      <c r="B607" s="4">
        <f>IFERROR(__xludf.DUMMYFUNCTION("SPLIT(A607,"","",0,0)"),45552.56736111111)</f>
        <v>45552.56736</v>
      </c>
      <c r="C607" s="5">
        <f>IFERROR(__xludf.DUMMYFUNCTION("""COMPUTED_VALUE"""),2718168.0)</f>
        <v>2718168</v>
      </c>
      <c r="D607" s="2" t="str">
        <f>IFERROR(__xludf.DUMMYFUNCTION("""COMPUTED_VALUE"""),"Sale")</f>
        <v>Sale</v>
      </c>
      <c r="E607" s="2" t="str">
        <f>IFERROR(__xludf.DUMMYFUNCTION("""COMPUTED_VALUE"""),"Roti")</f>
        <v>Roti</v>
      </c>
      <c r="F607" s="2">
        <f>IFERROR(__xludf.DUMMYFUNCTION("""COMPUTED_VALUE"""),10002.0)</f>
        <v>10002</v>
      </c>
      <c r="G607" s="2" t="str">
        <f>IFERROR(__xludf.DUMMYFUNCTION("""COMPUTED_VALUE"""),"Roti Cranberry")</f>
        <v>Roti Cranberry</v>
      </c>
      <c r="H607" s="2"/>
      <c r="I607" s="2"/>
      <c r="J607" s="2">
        <f>IFERROR(__xludf.DUMMYFUNCTION("""COMPUTED_VALUE"""),1.0)</f>
        <v>1</v>
      </c>
      <c r="K607" s="6">
        <f>IFERROR(__xludf.DUMMYFUNCTION("""COMPUTED_VALUE"""),18571.0)</f>
        <v>18571</v>
      </c>
      <c r="L607" s="2">
        <f>IFERROR(__xludf.DUMMYFUNCTION("""COMPUTED_VALUE"""),0.0)</f>
        <v>0</v>
      </c>
      <c r="M607" s="2">
        <f>IFERROR(__xludf.DUMMYFUNCTION("""COMPUTED_VALUE"""),18571.0)</f>
        <v>18571</v>
      </c>
      <c r="N607" s="2">
        <f>IFERROR(__xludf.DUMMYFUNCTION("""COMPUTED_VALUE"""),0.0)</f>
        <v>0</v>
      </c>
      <c r="O607" s="2">
        <f>IFERROR(__xludf.DUMMYFUNCTION("""COMPUTED_VALUE"""),18571.0)</f>
        <v>18571</v>
      </c>
      <c r="P607" s="2">
        <f>IFERROR(__xludf.DUMMYFUNCTION("""COMPUTED_VALUE"""),928.0)</f>
        <v>928</v>
      </c>
      <c r="Q607" s="2" t="str">
        <f>IFERROR(__xludf.DUMMYFUNCTION("""COMPUTED_VALUE"""),"Dine In")</f>
        <v>Dine In</v>
      </c>
      <c r="R607" s="2" t="str">
        <f>IFERROR(__xludf.DUMMYFUNCTION("""COMPUTED_VALUE"""),"Kedai")</f>
        <v>Kedai</v>
      </c>
      <c r="S607" s="2" t="str">
        <f>IFERROR(__xludf.DUMMYFUNCTION("""COMPUTED_VALUE"""),"Temu Roti")</f>
        <v>Temu Roti</v>
      </c>
      <c r="T607" s="2" t="str">
        <f>IFERROR(__xludf.DUMMYFUNCTION("""COMPUTED_VALUE"""),"Owner")</f>
        <v>Owner</v>
      </c>
      <c r="U607" s="2"/>
      <c r="V607" s="2"/>
      <c r="W607" s="2"/>
      <c r="X607" s="2" t="str">
        <f>IFERROR(__xludf.DUMMYFUNCTION("""COMPUTED_VALUE"""),"Closed")</f>
        <v>Closed</v>
      </c>
    </row>
    <row r="608">
      <c r="A608" s="3" t="s">
        <v>624</v>
      </c>
      <c r="B608" s="4">
        <f>IFERROR(__xludf.DUMMYFUNCTION("SPLIT(A608,"","",0,0)"),45552.55694444444)</f>
        <v>45552.55694</v>
      </c>
      <c r="C608" s="5">
        <f>IFERROR(__xludf.DUMMYFUNCTION("""COMPUTED_VALUE"""),2717803.0)</f>
        <v>2717803</v>
      </c>
      <c r="D608" s="2" t="str">
        <f>IFERROR(__xludf.DUMMYFUNCTION("""COMPUTED_VALUE"""),"Sale")</f>
        <v>Sale</v>
      </c>
      <c r="E608" s="2" t="str">
        <f>IFERROR(__xludf.DUMMYFUNCTION("""COMPUTED_VALUE"""),"Roti")</f>
        <v>Roti</v>
      </c>
      <c r="F608" s="2">
        <f>IFERROR(__xludf.DUMMYFUNCTION("""COMPUTED_VALUE"""),10007.0)</f>
        <v>10007</v>
      </c>
      <c r="G608" s="2" t="str">
        <f>IFERROR(__xludf.DUMMYFUNCTION("""COMPUTED_VALUE"""),"Roti cranberry 2 pcs")</f>
        <v>Roti cranberry 2 pcs</v>
      </c>
      <c r="H608" s="2"/>
      <c r="I608" s="2"/>
      <c r="J608" s="2">
        <f>IFERROR(__xludf.DUMMYFUNCTION("""COMPUTED_VALUE"""),1.0)</f>
        <v>1</v>
      </c>
      <c r="K608" s="6">
        <f>IFERROR(__xludf.DUMMYFUNCTION("""COMPUTED_VALUE"""),33810.0)</f>
        <v>33810</v>
      </c>
      <c r="L608" s="2">
        <f>IFERROR(__xludf.DUMMYFUNCTION("""COMPUTED_VALUE"""),0.0)</f>
        <v>0</v>
      </c>
      <c r="M608" s="2">
        <f>IFERROR(__xludf.DUMMYFUNCTION("""COMPUTED_VALUE"""),33810.0)</f>
        <v>33810</v>
      </c>
      <c r="N608" s="2">
        <f>IFERROR(__xludf.DUMMYFUNCTION("""COMPUTED_VALUE"""),0.0)</f>
        <v>0</v>
      </c>
      <c r="O608" s="2">
        <f>IFERROR(__xludf.DUMMYFUNCTION("""COMPUTED_VALUE"""),33810.0)</f>
        <v>33810</v>
      </c>
      <c r="P608" s="2">
        <f>IFERROR(__xludf.DUMMYFUNCTION("""COMPUTED_VALUE"""),1691.0)</f>
        <v>1691</v>
      </c>
      <c r="Q608" s="2" t="str">
        <f>IFERROR(__xludf.DUMMYFUNCTION("""COMPUTED_VALUE"""),"Dine In")</f>
        <v>Dine In</v>
      </c>
      <c r="R608" s="2" t="str">
        <f>IFERROR(__xludf.DUMMYFUNCTION("""COMPUTED_VALUE"""),"Kedai")</f>
        <v>Kedai</v>
      </c>
      <c r="S608" s="2" t="str">
        <f>IFERROR(__xludf.DUMMYFUNCTION("""COMPUTED_VALUE"""),"Temu Roti")</f>
        <v>Temu Roti</v>
      </c>
      <c r="T608" s="2" t="str">
        <f>IFERROR(__xludf.DUMMYFUNCTION("""COMPUTED_VALUE"""),"Owner")</f>
        <v>Owner</v>
      </c>
      <c r="U608" s="2"/>
      <c r="V608" s="2"/>
      <c r="W608" s="2"/>
      <c r="X608" s="2" t="str">
        <f>IFERROR(__xludf.DUMMYFUNCTION("""COMPUTED_VALUE"""),"Closed")</f>
        <v>Closed</v>
      </c>
    </row>
    <row r="609">
      <c r="A609" s="3" t="s">
        <v>625</v>
      </c>
      <c r="B609" s="4">
        <f>IFERROR(__xludf.DUMMYFUNCTION("SPLIT(A609,"","",0,0)"),45552.55694444444)</f>
        <v>45552.55694</v>
      </c>
      <c r="C609" s="5">
        <f>IFERROR(__xludf.DUMMYFUNCTION("""COMPUTED_VALUE"""),2717803.0)</f>
        <v>2717803</v>
      </c>
      <c r="D609" s="2" t="str">
        <f>IFERROR(__xludf.DUMMYFUNCTION("""COMPUTED_VALUE"""),"Sale")</f>
        <v>Sale</v>
      </c>
      <c r="E609" s="2" t="str">
        <f>IFERROR(__xludf.DUMMYFUNCTION("""COMPUTED_VALUE"""),"Roti")</f>
        <v>Roti</v>
      </c>
      <c r="F609" s="2">
        <f>IFERROR(__xludf.DUMMYFUNCTION("""COMPUTED_VALUE"""),10000.0)</f>
        <v>10000</v>
      </c>
      <c r="G609" s="2" t="str">
        <f>IFERROR(__xludf.DUMMYFUNCTION("""COMPUTED_VALUE"""),"Roti Bawang Saus Keju")</f>
        <v>Roti Bawang Saus Keju</v>
      </c>
      <c r="H609" s="2"/>
      <c r="I609" s="2"/>
      <c r="J609" s="2">
        <f>IFERROR(__xludf.DUMMYFUNCTION("""COMPUTED_VALUE"""),1.0)</f>
        <v>1</v>
      </c>
      <c r="K609" s="6">
        <f>IFERROR(__xludf.DUMMYFUNCTION("""COMPUTED_VALUE"""),29524.0)</f>
        <v>29524</v>
      </c>
      <c r="L609" s="2">
        <f>IFERROR(__xludf.DUMMYFUNCTION("""COMPUTED_VALUE"""),0.0)</f>
        <v>0</v>
      </c>
      <c r="M609" s="2">
        <f>IFERROR(__xludf.DUMMYFUNCTION("""COMPUTED_VALUE"""),29524.0)</f>
        <v>29524</v>
      </c>
      <c r="N609" s="2">
        <f>IFERROR(__xludf.DUMMYFUNCTION("""COMPUTED_VALUE"""),0.0)</f>
        <v>0</v>
      </c>
      <c r="O609" s="2">
        <f>IFERROR(__xludf.DUMMYFUNCTION("""COMPUTED_VALUE"""),29524.0)</f>
        <v>29524</v>
      </c>
      <c r="P609" s="2">
        <f>IFERROR(__xludf.DUMMYFUNCTION("""COMPUTED_VALUE"""),1476.0)</f>
        <v>1476</v>
      </c>
      <c r="Q609" s="2" t="str">
        <f>IFERROR(__xludf.DUMMYFUNCTION("""COMPUTED_VALUE"""),"Dine In")</f>
        <v>Dine In</v>
      </c>
      <c r="R609" s="2" t="str">
        <f>IFERROR(__xludf.DUMMYFUNCTION("""COMPUTED_VALUE"""),"Kedai")</f>
        <v>Kedai</v>
      </c>
      <c r="S609" s="2" t="str">
        <f>IFERROR(__xludf.DUMMYFUNCTION("""COMPUTED_VALUE"""),"Temu Roti")</f>
        <v>Temu Roti</v>
      </c>
      <c r="T609" s="2" t="str">
        <f>IFERROR(__xludf.DUMMYFUNCTION("""COMPUTED_VALUE"""),"Owner")</f>
        <v>Owner</v>
      </c>
      <c r="U609" s="2"/>
      <c r="V609" s="2"/>
      <c r="W609" s="2"/>
      <c r="X609" s="2" t="str">
        <f>IFERROR(__xludf.DUMMYFUNCTION("""COMPUTED_VALUE"""),"Closed")</f>
        <v>Closed</v>
      </c>
    </row>
    <row r="610">
      <c r="A610" s="3" t="s">
        <v>626</v>
      </c>
      <c r="B610" s="4">
        <f>IFERROR(__xludf.DUMMYFUNCTION("SPLIT(A610,"","",0,0)"),45552.55694444444)</f>
        <v>45552.55694</v>
      </c>
      <c r="C610" s="5">
        <f>IFERROR(__xludf.DUMMYFUNCTION("""COMPUTED_VALUE"""),2717803.0)</f>
        <v>2717803</v>
      </c>
      <c r="D610" s="2" t="str">
        <f>IFERROR(__xludf.DUMMYFUNCTION("""COMPUTED_VALUE"""),"Sale")</f>
        <v>Sale</v>
      </c>
      <c r="E610" s="2" t="str">
        <f>IFERROR(__xludf.DUMMYFUNCTION("""COMPUTED_VALUE"""),"Roti")</f>
        <v>Roti</v>
      </c>
      <c r="F610" s="2">
        <f>IFERROR(__xludf.DUMMYFUNCTION("""COMPUTED_VALUE"""),10005.0)</f>
        <v>10005</v>
      </c>
      <c r="G610" s="2" t="str">
        <f>IFERROR(__xludf.DUMMYFUNCTION("""COMPUTED_VALUE"""),"Roti Gandum Cokelat")</f>
        <v>Roti Gandum Cokelat</v>
      </c>
      <c r="H610" s="2"/>
      <c r="I610" s="2"/>
      <c r="J610" s="2">
        <f>IFERROR(__xludf.DUMMYFUNCTION("""COMPUTED_VALUE"""),1.0)</f>
        <v>1</v>
      </c>
      <c r="K610" s="6">
        <f>IFERROR(__xludf.DUMMYFUNCTION("""COMPUTED_VALUE"""),19524.0)</f>
        <v>19524</v>
      </c>
      <c r="L610" s="2">
        <f>IFERROR(__xludf.DUMMYFUNCTION("""COMPUTED_VALUE"""),0.0)</f>
        <v>0</v>
      </c>
      <c r="M610" s="2">
        <f>IFERROR(__xludf.DUMMYFUNCTION("""COMPUTED_VALUE"""),19524.0)</f>
        <v>19524</v>
      </c>
      <c r="N610" s="2">
        <f>IFERROR(__xludf.DUMMYFUNCTION("""COMPUTED_VALUE"""),0.0)</f>
        <v>0</v>
      </c>
      <c r="O610" s="2">
        <f>IFERROR(__xludf.DUMMYFUNCTION("""COMPUTED_VALUE"""),19524.0)</f>
        <v>19524</v>
      </c>
      <c r="P610" s="2">
        <f>IFERROR(__xludf.DUMMYFUNCTION("""COMPUTED_VALUE"""),976.0)</f>
        <v>976</v>
      </c>
      <c r="Q610" s="2" t="str">
        <f>IFERROR(__xludf.DUMMYFUNCTION("""COMPUTED_VALUE"""),"Dine In")</f>
        <v>Dine In</v>
      </c>
      <c r="R610" s="2" t="str">
        <f>IFERROR(__xludf.DUMMYFUNCTION("""COMPUTED_VALUE"""),"Kedai")</f>
        <v>Kedai</v>
      </c>
      <c r="S610" s="2" t="str">
        <f>IFERROR(__xludf.DUMMYFUNCTION("""COMPUTED_VALUE"""),"Temu Roti")</f>
        <v>Temu Roti</v>
      </c>
      <c r="T610" s="2" t="str">
        <f>IFERROR(__xludf.DUMMYFUNCTION("""COMPUTED_VALUE"""),"Owner")</f>
        <v>Owner</v>
      </c>
      <c r="U610" s="2"/>
      <c r="V610" s="2"/>
      <c r="W610" s="2"/>
      <c r="X610" s="2" t="str">
        <f>IFERROR(__xludf.DUMMYFUNCTION("""COMPUTED_VALUE"""),"Closed")</f>
        <v>Closed</v>
      </c>
    </row>
    <row r="611">
      <c r="A611" s="3" t="s">
        <v>627</v>
      </c>
      <c r="B611" s="4">
        <f>IFERROR(__xludf.DUMMYFUNCTION("SPLIT(A611,"","",0,0)"),45552.55)</f>
        <v>45552.55</v>
      </c>
      <c r="C611" s="5">
        <f>IFERROR(__xludf.DUMMYFUNCTION("""COMPUTED_VALUE"""),2717437.0)</f>
        <v>2717437</v>
      </c>
      <c r="D611" s="2" t="str">
        <f>IFERROR(__xludf.DUMMYFUNCTION("""COMPUTED_VALUE"""),"Sale")</f>
        <v>Sale</v>
      </c>
      <c r="E611" s="2" t="str">
        <f>IFERROR(__xludf.DUMMYFUNCTION("""COMPUTED_VALUE"""),"Minuman")</f>
        <v>Minuman</v>
      </c>
      <c r="F611" s="2">
        <f>IFERROR(__xludf.DUMMYFUNCTION("""COMPUTED_VALUE"""),10026.0)</f>
        <v>10026</v>
      </c>
      <c r="G611" s="2" t="str">
        <f>IFERROR(__xludf.DUMMYFUNCTION("""COMPUTED_VALUE"""),"Es Kopi Lemon")</f>
        <v>Es Kopi Lemon</v>
      </c>
      <c r="H611" s="2"/>
      <c r="I611" s="2"/>
      <c r="J611" s="2">
        <f>IFERROR(__xludf.DUMMYFUNCTION("""COMPUTED_VALUE"""),1.0)</f>
        <v>1</v>
      </c>
      <c r="K611" s="6">
        <f>IFERROR(__xludf.DUMMYFUNCTION("""COMPUTED_VALUE"""),21905.0)</f>
        <v>21905</v>
      </c>
      <c r="L611" s="2">
        <f>IFERROR(__xludf.DUMMYFUNCTION("""COMPUTED_VALUE"""),0.0)</f>
        <v>0</v>
      </c>
      <c r="M611" s="2">
        <f>IFERROR(__xludf.DUMMYFUNCTION("""COMPUTED_VALUE"""),21905.0)</f>
        <v>21905</v>
      </c>
      <c r="N611" s="2">
        <f>IFERROR(__xludf.DUMMYFUNCTION("""COMPUTED_VALUE"""),0.0)</f>
        <v>0</v>
      </c>
      <c r="O611" s="2">
        <f>IFERROR(__xludf.DUMMYFUNCTION("""COMPUTED_VALUE"""),21905.0)</f>
        <v>21905</v>
      </c>
      <c r="P611" s="2">
        <f>IFERROR(__xludf.DUMMYFUNCTION("""COMPUTED_VALUE"""),1095.0)</f>
        <v>1095</v>
      </c>
      <c r="Q611" s="2" t="str">
        <f>IFERROR(__xludf.DUMMYFUNCTION("""COMPUTED_VALUE"""),"Dine In")</f>
        <v>Dine In</v>
      </c>
      <c r="R611" s="2" t="str">
        <f>IFERROR(__xludf.DUMMYFUNCTION("""COMPUTED_VALUE"""),"Kedai")</f>
        <v>Kedai</v>
      </c>
      <c r="S611" s="2" t="str">
        <f>IFERROR(__xludf.DUMMYFUNCTION("""COMPUTED_VALUE"""),"Temu Roti")</f>
        <v>Temu Roti</v>
      </c>
      <c r="T611" s="2" t="str">
        <f>IFERROR(__xludf.DUMMYFUNCTION("""COMPUTED_VALUE"""),"Owner")</f>
        <v>Owner</v>
      </c>
      <c r="U611" s="2"/>
      <c r="V611" s="2"/>
      <c r="W611" s="2"/>
      <c r="X611" s="2" t="str">
        <f>IFERROR(__xludf.DUMMYFUNCTION("""COMPUTED_VALUE"""),"Closed")</f>
        <v>Closed</v>
      </c>
    </row>
    <row r="612">
      <c r="A612" s="3" t="s">
        <v>628</v>
      </c>
      <c r="B612" s="4">
        <f>IFERROR(__xludf.DUMMYFUNCTION("SPLIT(A612,"","",0,0)"),45552.55)</f>
        <v>45552.55</v>
      </c>
      <c r="C612" s="5">
        <f>IFERROR(__xludf.DUMMYFUNCTION("""COMPUTED_VALUE"""),2717437.0)</f>
        <v>2717437</v>
      </c>
      <c r="D612" s="2" t="str">
        <f>IFERROR(__xludf.DUMMYFUNCTION("""COMPUTED_VALUE"""),"Sale")</f>
        <v>Sale</v>
      </c>
      <c r="E612" s="2" t="str">
        <f>IFERROR(__xludf.DUMMYFUNCTION("""COMPUTED_VALUE"""),"Minuman")</f>
        <v>Minuman</v>
      </c>
      <c r="F612" s="2">
        <f>IFERROR(__xludf.DUMMYFUNCTION("""COMPUTED_VALUE"""),10123.0)</f>
        <v>10123</v>
      </c>
      <c r="G612" s="2" t="str">
        <f>IFERROR(__xludf.DUMMYFUNCTION("""COMPUTED_VALUE"""),"Rempah Madu Dingin")</f>
        <v>Rempah Madu Dingin</v>
      </c>
      <c r="H612" s="2"/>
      <c r="I612" s="2"/>
      <c r="J612" s="2">
        <f>IFERROR(__xludf.DUMMYFUNCTION("""COMPUTED_VALUE"""),1.0)</f>
        <v>1</v>
      </c>
      <c r="K612" s="6">
        <f>IFERROR(__xludf.DUMMYFUNCTION("""COMPUTED_VALUE"""),21905.0)</f>
        <v>21905</v>
      </c>
      <c r="L612" s="2">
        <f>IFERROR(__xludf.DUMMYFUNCTION("""COMPUTED_VALUE"""),0.0)</f>
        <v>0</v>
      </c>
      <c r="M612" s="2">
        <f>IFERROR(__xludf.DUMMYFUNCTION("""COMPUTED_VALUE"""),21905.0)</f>
        <v>21905</v>
      </c>
      <c r="N612" s="2">
        <f>IFERROR(__xludf.DUMMYFUNCTION("""COMPUTED_VALUE"""),0.0)</f>
        <v>0</v>
      </c>
      <c r="O612" s="2">
        <f>IFERROR(__xludf.DUMMYFUNCTION("""COMPUTED_VALUE"""),21905.0)</f>
        <v>21905</v>
      </c>
      <c r="P612" s="2">
        <f>IFERROR(__xludf.DUMMYFUNCTION("""COMPUTED_VALUE"""),1096.0)</f>
        <v>1096</v>
      </c>
      <c r="Q612" s="2" t="str">
        <f>IFERROR(__xludf.DUMMYFUNCTION("""COMPUTED_VALUE"""),"Dine In")</f>
        <v>Dine In</v>
      </c>
      <c r="R612" s="2" t="str">
        <f>IFERROR(__xludf.DUMMYFUNCTION("""COMPUTED_VALUE"""),"Kedai")</f>
        <v>Kedai</v>
      </c>
      <c r="S612" s="2" t="str">
        <f>IFERROR(__xludf.DUMMYFUNCTION("""COMPUTED_VALUE"""),"Temu Roti")</f>
        <v>Temu Roti</v>
      </c>
      <c r="T612" s="2" t="str">
        <f>IFERROR(__xludf.DUMMYFUNCTION("""COMPUTED_VALUE"""),"Owner")</f>
        <v>Owner</v>
      </c>
      <c r="U612" s="2"/>
      <c r="V612" s="2"/>
      <c r="W612" s="2"/>
      <c r="X612" s="2" t="str">
        <f>IFERROR(__xludf.DUMMYFUNCTION("""COMPUTED_VALUE"""),"Closed")</f>
        <v>Closed</v>
      </c>
    </row>
    <row r="613">
      <c r="A613" s="3" t="s">
        <v>629</v>
      </c>
      <c r="B613" s="4">
        <f>IFERROR(__xludf.DUMMYFUNCTION("SPLIT(A613,"","",0,0)"),45552.55)</f>
        <v>45552.55</v>
      </c>
      <c r="C613" s="5">
        <f>IFERROR(__xludf.DUMMYFUNCTION("""COMPUTED_VALUE"""),2717437.0)</f>
        <v>2717437</v>
      </c>
      <c r="D613" s="2" t="str">
        <f>IFERROR(__xludf.DUMMYFUNCTION("""COMPUTED_VALUE"""),"Sale")</f>
        <v>Sale</v>
      </c>
      <c r="E613" s="2" t="str">
        <f>IFERROR(__xludf.DUMMYFUNCTION("""COMPUTED_VALUE"""),"Kudapan")</f>
        <v>Kudapan</v>
      </c>
      <c r="F613" s="2">
        <f>IFERROR(__xludf.DUMMYFUNCTION("""COMPUTED_VALUE"""),10004.0)</f>
        <v>10004</v>
      </c>
      <c r="G613" s="2" t="str">
        <f>IFERROR(__xludf.DUMMYFUNCTION("""COMPUTED_VALUE"""),"Tahu walik")</f>
        <v>Tahu walik</v>
      </c>
      <c r="H613" s="2"/>
      <c r="I613" s="2"/>
      <c r="J613" s="2">
        <f>IFERROR(__xludf.DUMMYFUNCTION("""COMPUTED_VALUE"""),1.0)</f>
        <v>1</v>
      </c>
      <c r="K613" s="6">
        <f>IFERROR(__xludf.DUMMYFUNCTION("""COMPUTED_VALUE"""),25238.0)</f>
        <v>25238</v>
      </c>
      <c r="L613" s="2">
        <f>IFERROR(__xludf.DUMMYFUNCTION("""COMPUTED_VALUE"""),0.0)</f>
        <v>0</v>
      </c>
      <c r="M613" s="2">
        <f>IFERROR(__xludf.DUMMYFUNCTION("""COMPUTED_VALUE"""),25238.0)</f>
        <v>25238</v>
      </c>
      <c r="N613" s="2">
        <f>IFERROR(__xludf.DUMMYFUNCTION("""COMPUTED_VALUE"""),0.0)</f>
        <v>0</v>
      </c>
      <c r="O613" s="2">
        <f>IFERROR(__xludf.DUMMYFUNCTION("""COMPUTED_VALUE"""),25238.0)</f>
        <v>25238</v>
      </c>
      <c r="P613" s="2">
        <f>IFERROR(__xludf.DUMMYFUNCTION("""COMPUTED_VALUE"""),1261.0)</f>
        <v>1261</v>
      </c>
      <c r="Q613" s="2" t="str">
        <f>IFERROR(__xludf.DUMMYFUNCTION("""COMPUTED_VALUE"""),"Dine In")</f>
        <v>Dine In</v>
      </c>
      <c r="R613" s="2" t="str">
        <f>IFERROR(__xludf.DUMMYFUNCTION("""COMPUTED_VALUE"""),"Kedai")</f>
        <v>Kedai</v>
      </c>
      <c r="S613" s="2" t="str">
        <f>IFERROR(__xludf.DUMMYFUNCTION("""COMPUTED_VALUE"""),"Temu Roti")</f>
        <v>Temu Roti</v>
      </c>
      <c r="T613" s="2" t="str">
        <f>IFERROR(__xludf.DUMMYFUNCTION("""COMPUTED_VALUE"""),"Owner")</f>
        <v>Owner</v>
      </c>
      <c r="U613" s="2"/>
      <c r="V613" s="2"/>
      <c r="W613" s="2"/>
      <c r="X613" s="2" t="str">
        <f>IFERROR(__xludf.DUMMYFUNCTION("""COMPUTED_VALUE"""),"Closed")</f>
        <v>Closed</v>
      </c>
    </row>
    <row r="614">
      <c r="A614" s="3" t="s">
        <v>630</v>
      </c>
      <c r="B614" s="4">
        <f>IFERROR(__xludf.DUMMYFUNCTION("SPLIT(A614,"","",0,0)"),45552.55)</f>
        <v>45552.55</v>
      </c>
      <c r="C614" s="5">
        <f>IFERROR(__xludf.DUMMYFUNCTION("""COMPUTED_VALUE"""),2717437.0)</f>
        <v>2717437</v>
      </c>
      <c r="D614" s="2" t="str">
        <f>IFERROR(__xludf.DUMMYFUNCTION("""COMPUTED_VALUE"""),"Sale")</f>
        <v>Sale</v>
      </c>
      <c r="E614" s="2" t="str">
        <f>IFERROR(__xludf.DUMMYFUNCTION("""COMPUTED_VALUE"""),"Roti")</f>
        <v>Roti</v>
      </c>
      <c r="F614" s="2">
        <f>IFERROR(__xludf.DUMMYFUNCTION("""COMPUTED_VALUE"""),10000.0)</f>
        <v>10000</v>
      </c>
      <c r="G614" s="2" t="str">
        <f>IFERROR(__xludf.DUMMYFUNCTION("""COMPUTED_VALUE"""),"Roti Bawang Saus Keju")</f>
        <v>Roti Bawang Saus Keju</v>
      </c>
      <c r="H614" s="2"/>
      <c r="I614" s="2"/>
      <c r="J614" s="2">
        <f>IFERROR(__xludf.DUMMYFUNCTION("""COMPUTED_VALUE"""),1.0)</f>
        <v>1</v>
      </c>
      <c r="K614" s="6">
        <f>IFERROR(__xludf.DUMMYFUNCTION("""COMPUTED_VALUE"""),29524.0)</f>
        <v>29524</v>
      </c>
      <c r="L614" s="2">
        <f>IFERROR(__xludf.DUMMYFUNCTION("""COMPUTED_VALUE"""),0.0)</f>
        <v>0</v>
      </c>
      <c r="M614" s="2">
        <f>IFERROR(__xludf.DUMMYFUNCTION("""COMPUTED_VALUE"""),29524.0)</f>
        <v>29524</v>
      </c>
      <c r="N614" s="2">
        <f>IFERROR(__xludf.DUMMYFUNCTION("""COMPUTED_VALUE"""),0.0)</f>
        <v>0</v>
      </c>
      <c r="O614" s="2">
        <f>IFERROR(__xludf.DUMMYFUNCTION("""COMPUTED_VALUE"""),29524.0)</f>
        <v>29524</v>
      </c>
      <c r="P614" s="2">
        <f>IFERROR(__xludf.DUMMYFUNCTION("""COMPUTED_VALUE"""),1477.0)</f>
        <v>1477</v>
      </c>
      <c r="Q614" s="2" t="str">
        <f>IFERROR(__xludf.DUMMYFUNCTION("""COMPUTED_VALUE"""),"Dine In")</f>
        <v>Dine In</v>
      </c>
      <c r="R614" s="2" t="str">
        <f>IFERROR(__xludf.DUMMYFUNCTION("""COMPUTED_VALUE"""),"Kedai")</f>
        <v>Kedai</v>
      </c>
      <c r="S614" s="2" t="str">
        <f>IFERROR(__xludf.DUMMYFUNCTION("""COMPUTED_VALUE"""),"Temu Roti")</f>
        <v>Temu Roti</v>
      </c>
      <c r="T614" s="2" t="str">
        <f>IFERROR(__xludf.DUMMYFUNCTION("""COMPUTED_VALUE"""),"Owner")</f>
        <v>Owner</v>
      </c>
      <c r="U614" s="2"/>
      <c r="V614" s="2"/>
      <c r="W614" s="2"/>
      <c r="X614" s="2" t="str">
        <f>IFERROR(__xludf.DUMMYFUNCTION("""COMPUTED_VALUE"""),"Closed")</f>
        <v>Closed</v>
      </c>
    </row>
    <row r="615">
      <c r="A615" s="3" t="s">
        <v>631</v>
      </c>
      <c r="B615" s="4">
        <f>IFERROR(__xludf.DUMMYFUNCTION("SPLIT(A615,"","",0,0)"),45552.51666666667)</f>
        <v>45552.51667</v>
      </c>
      <c r="C615" s="5">
        <f>IFERROR(__xludf.DUMMYFUNCTION("""COMPUTED_VALUE"""),2717072.0)</f>
        <v>2717072</v>
      </c>
      <c r="D615" s="2" t="str">
        <f>IFERROR(__xludf.DUMMYFUNCTION("""COMPUTED_VALUE"""),"Sale")</f>
        <v>Sale</v>
      </c>
      <c r="E615" s="2" t="str">
        <f>IFERROR(__xludf.DUMMYFUNCTION("""COMPUTED_VALUE"""),"Roti")</f>
        <v>Roti</v>
      </c>
      <c r="F615" s="2">
        <f>IFERROR(__xludf.DUMMYFUNCTION("""COMPUTED_VALUE"""),10000.0)</f>
        <v>10000</v>
      </c>
      <c r="G615" s="2" t="str">
        <f>IFERROR(__xludf.DUMMYFUNCTION("""COMPUTED_VALUE"""),"Roti Bawang Saus Keju")</f>
        <v>Roti Bawang Saus Keju</v>
      </c>
      <c r="H615" s="2"/>
      <c r="I615" s="2"/>
      <c r="J615" s="2">
        <f>IFERROR(__xludf.DUMMYFUNCTION("""COMPUTED_VALUE"""),1.0)</f>
        <v>1</v>
      </c>
      <c r="K615" s="6">
        <f>IFERROR(__xludf.DUMMYFUNCTION("""COMPUTED_VALUE"""),29524.0)</f>
        <v>29524</v>
      </c>
      <c r="L615" s="2">
        <f>IFERROR(__xludf.DUMMYFUNCTION("""COMPUTED_VALUE"""),0.0)</f>
        <v>0</v>
      </c>
      <c r="M615" s="2">
        <f>IFERROR(__xludf.DUMMYFUNCTION("""COMPUTED_VALUE"""),29524.0)</f>
        <v>29524</v>
      </c>
      <c r="N615" s="2">
        <f>IFERROR(__xludf.DUMMYFUNCTION("""COMPUTED_VALUE"""),0.0)</f>
        <v>0</v>
      </c>
      <c r="O615" s="2">
        <f>IFERROR(__xludf.DUMMYFUNCTION("""COMPUTED_VALUE"""),29524.0)</f>
        <v>29524</v>
      </c>
      <c r="P615" s="2">
        <f>IFERROR(__xludf.DUMMYFUNCTION("""COMPUTED_VALUE"""),1476.0)</f>
        <v>1476</v>
      </c>
      <c r="Q615" s="2" t="str">
        <f>IFERROR(__xludf.DUMMYFUNCTION("""COMPUTED_VALUE"""),"Dine In")</f>
        <v>Dine In</v>
      </c>
      <c r="R615" s="2" t="str">
        <f>IFERROR(__xludf.DUMMYFUNCTION("""COMPUTED_VALUE"""),"Kedai")</f>
        <v>Kedai</v>
      </c>
      <c r="S615" s="2" t="str">
        <f>IFERROR(__xludf.DUMMYFUNCTION("""COMPUTED_VALUE"""),"Temu Roti")</f>
        <v>Temu Roti</v>
      </c>
      <c r="T615" s="2" t="str">
        <f>IFERROR(__xludf.DUMMYFUNCTION("""COMPUTED_VALUE"""),"Owner")</f>
        <v>Owner</v>
      </c>
      <c r="U615" s="2"/>
      <c r="V615" s="2"/>
      <c r="W615" s="2"/>
      <c r="X615" s="2" t="str">
        <f>IFERROR(__xludf.DUMMYFUNCTION("""COMPUTED_VALUE"""),"Closed")</f>
        <v>Closed</v>
      </c>
    </row>
    <row r="616">
      <c r="A616" s="3" t="s">
        <v>632</v>
      </c>
      <c r="B616" s="4">
        <f>IFERROR(__xludf.DUMMYFUNCTION("SPLIT(A616,"","",0,0)"),45552.46875)</f>
        <v>45552.46875</v>
      </c>
      <c r="C616" s="5">
        <f>IFERROR(__xludf.DUMMYFUNCTION("""COMPUTED_VALUE"""),2716707.0)</f>
        <v>2716707</v>
      </c>
      <c r="D616" s="2" t="str">
        <f>IFERROR(__xludf.DUMMYFUNCTION("""COMPUTED_VALUE"""),"Sale")</f>
        <v>Sale</v>
      </c>
      <c r="E616" s="2" t="str">
        <f>IFERROR(__xludf.DUMMYFUNCTION("""COMPUTED_VALUE"""),"Roti")</f>
        <v>Roti</v>
      </c>
      <c r="F616" s="2">
        <f>IFERROR(__xludf.DUMMYFUNCTION("""COMPUTED_VALUE"""),10005.0)</f>
        <v>10005</v>
      </c>
      <c r="G616" s="2" t="str">
        <f>IFERROR(__xludf.DUMMYFUNCTION("""COMPUTED_VALUE"""),"Roti Gandum Cokelat")</f>
        <v>Roti Gandum Cokelat</v>
      </c>
      <c r="H616" s="2"/>
      <c r="I616" s="2"/>
      <c r="J616" s="2">
        <f>IFERROR(__xludf.DUMMYFUNCTION("""COMPUTED_VALUE"""),1.0)</f>
        <v>1</v>
      </c>
      <c r="K616" s="6">
        <f>IFERROR(__xludf.DUMMYFUNCTION("""COMPUTED_VALUE"""),19524.0)</f>
        <v>19524</v>
      </c>
      <c r="L616" s="2">
        <f>IFERROR(__xludf.DUMMYFUNCTION("""COMPUTED_VALUE"""),0.0)</f>
        <v>0</v>
      </c>
      <c r="M616" s="2">
        <f>IFERROR(__xludf.DUMMYFUNCTION("""COMPUTED_VALUE"""),19524.0)</f>
        <v>19524</v>
      </c>
      <c r="N616" s="2">
        <f>IFERROR(__xludf.DUMMYFUNCTION("""COMPUTED_VALUE"""),0.0)</f>
        <v>0</v>
      </c>
      <c r="O616" s="2">
        <f>IFERROR(__xludf.DUMMYFUNCTION("""COMPUTED_VALUE"""),19524.0)</f>
        <v>19524</v>
      </c>
      <c r="P616" s="2">
        <f>IFERROR(__xludf.DUMMYFUNCTION("""COMPUTED_VALUE"""),976.0)</f>
        <v>976</v>
      </c>
      <c r="Q616" s="2" t="str">
        <f>IFERROR(__xludf.DUMMYFUNCTION("""COMPUTED_VALUE"""),"Dine In")</f>
        <v>Dine In</v>
      </c>
      <c r="R616" s="2" t="str">
        <f>IFERROR(__xludf.DUMMYFUNCTION("""COMPUTED_VALUE"""),"Kedai")</f>
        <v>Kedai</v>
      </c>
      <c r="S616" s="2" t="str">
        <f>IFERROR(__xludf.DUMMYFUNCTION("""COMPUTED_VALUE"""),"Temu Roti")</f>
        <v>Temu Roti</v>
      </c>
      <c r="T616" s="2" t="str">
        <f>IFERROR(__xludf.DUMMYFUNCTION("""COMPUTED_VALUE"""),"Owner")</f>
        <v>Owner</v>
      </c>
      <c r="U616" s="2"/>
      <c r="V616" s="2"/>
      <c r="W616" s="2"/>
      <c r="X616" s="2" t="str">
        <f>IFERROR(__xludf.DUMMYFUNCTION("""COMPUTED_VALUE"""),"Closed")</f>
        <v>Closed</v>
      </c>
    </row>
    <row r="617">
      <c r="A617" s="3" t="s">
        <v>633</v>
      </c>
      <c r="B617" s="4">
        <f>IFERROR(__xludf.DUMMYFUNCTION("SPLIT(A617,"","",0,0)"),45552.46875)</f>
        <v>45552.46875</v>
      </c>
      <c r="C617" s="5">
        <f>IFERROR(__xludf.DUMMYFUNCTION("""COMPUTED_VALUE"""),2716707.0)</f>
        <v>2716707</v>
      </c>
      <c r="D617" s="2" t="str">
        <f>IFERROR(__xludf.DUMMYFUNCTION("""COMPUTED_VALUE"""),"Sale")</f>
        <v>Sale</v>
      </c>
      <c r="E617" s="2" t="str">
        <f>IFERROR(__xludf.DUMMYFUNCTION("""COMPUTED_VALUE"""),"Roti")</f>
        <v>Roti</v>
      </c>
      <c r="F617" s="2">
        <f>IFERROR(__xludf.DUMMYFUNCTION("""COMPUTED_VALUE"""),10002.0)</f>
        <v>10002</v>
      </c>
      <c r="G617" s="2" t="str">
        <f>IFERROR(__xludf.DUMMYFUNCTION("""COMPUTED_VALUE"""),"Roti Cranberry")</f>
        <v>Roti Cranberry</v>
      </c>
      <c r="H617" s="2"/>
      <c r="I617" s="2"/>
      <c r="J617" s="2">
        <f>IFERROR(__xludf.DUMMYFUNCTION("""COMPUTED_VALUE"""),1.0)</f>
        <v>1</v>
      </c>
      <c r="K617" s="6">
        <f>IFERROR(__xludf.DUMMYFUNCTION("""COMPUTED_VALUE"""),18571.0)</f>
        <v>18571</v>
      </c>
      <c r="L617" s="2">
        <f>IFERROR(__xludf.DUMMYFUNCTION("""COMPUTED_VALUE"""),0.0)</f>
        <v>0</v>
      </c>
      <c r="M617" s="2">
        <f>IFERROR(__xludf.DUMMYFUNCTION("""COMPUTED_VALUE"""),18571.0)</f>
        <v>18571</v>
      </c>
      <c r="N617" s="2">
        <f>IFERROR(__xludf.DUMMYFUNCTION("""COMPUTED_VALUE"""),0.0)</f>
        <v>0</v>
      </c>
      <c r="O617" s="2">
        <f>IFERROR(__xludf.DUMMYFUNCTION("""COMPUTED_VALUE"""),18571.0)</f>
        <v>18571</v>
      </c>
      <c r="P617" s="2">
        <f>IFERROR(__xludf.DUMMYFUNCTION("""COMPUTED_VALUE"""),929.0)</f>
        <v>929</v>
      </c>
      <c r="Q617" s="2" t="str">
        <f>IFERROR(__xludf.DUMMYFUNCTION("""COMPUTED_VALUE"""),"Dine In")</f>
        <v>Dine In</v>
      </c>
      <c r="R617" s="2" t="str">
        <f>IFERROR(__xludf.DUMMYFUNCTION("""COMPUTED_VALUE"""),"Kedai")</f>
        <v>Kedai</v>
      </c>
      <c r="S617" s="2" t="str">
        <f>IFERROR(__xludf.DUMMYFUNCTION("""COMPUTED_VALUE"""),"Temu Roti")</f>
        <v>Temu Roti</v>
      </c>
      <c r="T617" s="2" t="str">
        <f>IFERROR(__xludf.DUMMYFUNCTION("""COMPUTED_VALUE"""),"Owner")</f>
        <v>Owner</v>
      </c>
      <c r="U617" s="2"/>
      <c r="V617" s="2"/>
      <c r="W617" s="2"/>
      <c r="X617" s="2" t="str">
        <f>IFERROR(__xludf.DUMMYFUNCTION("""COMPUTED_VALUE"""),"Closed")</f>
        <v>Closed</v>
      </c>
    </row>
    <row r="618">
      <c r="A618" s="3" t="s">
        <v>634</v>
      </c>
      <c r="B618" s="4">
        <f>IFERROR(__xludf.DUMMYFUNCTION("SPLIT(A618,"","",0,0)"),45552.42013888889)</f>
        <v>45552.42014</v>
      </c>
      <c r="C618" s="5">
        <f>IFERROR(__xludf.DUMMYFUNCTION("""COMPUTED_VALUE"""),2716342.0)</f>
        <v>2716342</v>
      </c>
      <c r="D618" s="2" t="str">
        <f>IFERROR(__xludf.DUMMYFUNCTION("""COMPUTED_VALUE"""),"Sale")</f>
        <v>Sale</v>
      </c>
      <c r="E618" s="2" t="str">
        <f>IFERROR(__xludf.DUMMYFUNCTION("""COMPUTED_VALUE"""),"Roti")</f>
        <v>Roti</v>
      </c>
      <c r="F618" s="2">
        <f>IFERROR(__xludf.DUMMYFUNCTION("""COMPUTED_VALUE"""),10000.0)</f>
        <v>10000</v>
      </c>
      <c r="G618" s="2" t="str">
        <f>IFERROR(__xludf.DUMMYFUNCTION("""COMPUTED_VALUE"""),"Roti Bawang Saus Keju")</f>
        <v>Roti Bawang Saus Keju</v>
      </c>
      <c r="H618" s="2"/>
      <c r="I618" s="2"/>
      <c r="J618" s="2">
        <f>IFERROR(__xludf.DUMMYFUNCTION("""COMPUTED_VALUE"""),1.0)</f>
        <v>1</v>
      </c>
      <c r="K618" s="6">
        <f>IFERROR(__xludf.DUMMYFUNCTION("""COMPUTED_VALUE"""),29524.0)</f>
        <v>29524</v>
      </c>
      <c r="L618" s="2">
        <f>IFERROR(__xludf.DUMMYFUNCTION("""COMPUTED_VALUE"""),0.0)</f>
        <v>0</v>
      </c>
      <c r="M618" s="2">
        <f>IFERROR(__xludf.DUMMYFUNCTION("""COMPUTED_VALUE"""),29524.0)</f>
        <v>29524</v>
      </c>
      <c r="N618" s="2">
        <f>IFERROR(__xludf.DUMMYFUNCTION("""COMPUTED_VALUE"""),0.0)</f>
        <v>0</v>
      </c>
      <c r="O618" s="2">
        <f>IFERROR(__xludf.DUMMYFUNCTION("""COMPUTED_VALUE"""),29524.0)</f>
        <v>29524</v>
      </c>
      <c r="P618" s="2">
        <f>IFERROR(__xludf.DUMMYFUNCTION("""COMPUTED_VALUE"""),1476.0)</f>
        <v>1476</v>
      </c>
      <c r="Q618" s="2" t="str">
        <f>IFERROR(__xludf.DUMMYFUNCTION("""COMPUTED_VALUE"""),"Dine In")</f>
        <v>Dine In</v>
      </c>
      <c r="R618" s="2" t="str">
        <f>IFERROR(__xludf.DUMMYFUNCTION("""COMPUTED_VALUE"""),"Kedai")</f>
        <v>Kedai</v>
      </c>
      <c r="S618" s="2" t="str">
        <f>IFERROR(__xludf.DUMMYFUNCTION("""COMPUTED_VALUE"""),"Temu Roti")</f>
        <v>Temu Roti</v>
      </c>
      <c r="T618" s="2" t="str">
        <f>IFERROR(__xludf.DUMMYFUNCTION("""COMPUTED_VALUE"""),"Owner")</f>
        <v>Owner</v>
      </c>
      <c r="U618" s="2"/>
      <c r="V618" s="2"/>
      <c r="W618" s="2"/>
      <c r="X618" s="2" t="str">
        <f>IFERROR(__xludf.DUMMYFUNCTION("""COMPUTED_VALUE"""),"Closed")</f>
        <v>Closed</v>
      </c>
    </row>
    <row r="619">
      <c r="A619" s="3" t="s">
        <v>635</v>
      </c>
      <c r="B619" s="4">
        <f>IFERROR(__xludf.DUMMYFUNCTION("SPLIT(A619,"","",0,0)"),45552.42013888889)</f>
        <v>45552.42014</v>
      </c>
      <c r="C619" s="5">
        <f>IFERROR(__xludf.DUMMYFUNCTION("""COMPUTED_VALUE"""),2716342.0)</f>
        <v>2716342</v>
      </c>
      <c r="D619" s="2" t="str">
        <f>IFERROR(__xludf.DUMMYFUNCTION("""COMPUTED_VALUE"""),"Sale")</f>
        <v>Sale</v>
      </c>
      <c r="E619" s="2" t="str">
        <f>IFERROR(__xludf.DUMMYFUNCTION("""COMPUTED_VALUE"""),"Minuman")</f>
        <v>Minuman</v>
      </c>
      <c r="F619" s="2">
        <f>IFERROR(__xludf.DUMMYFUNCTION("""COMPUTED_VALUE"""),10070.0)</f>
        <v>10070</v>
      </c>
      <c r="G619" s="2" t="str">
        <f>IFERROR(__xludf.DUMMYFUNCTION("""COMPUTED_VALUE"""),"Wedang laut")</f>
        <v>Wedang laut</v>
      </c>
      <c r="H619" s="2"/>
      <c r="I619" s="2"/>
      <c r="J619" s="2">
        <f>IFERROR(__xludf.DUMMYFUNCTION("""COMPUTED_VALUE"""),1.0)</f>
        <v>1</v>
      </c>
      <c r="K619" s="6">
        <f>IFERROR(__xludf.DUMMYFUNCTION("""COMPUTED_VALUE"""),24762.0)</f>
        <v>24762</v>
      </c>
      <c r="L619" s="2">
        <f>IFERROR(__xludf.DUMMYFUNCTION("""COMPUTED_VALUE"""),0.0)</f>
        <v>0</v>
      </c>
      <c r="M619" s="2">
        <f>IFERROR(__xludf.DUMMYFUNCTION("""COMPUTED_VALUE"""),24762.0)</f>
        <v>24762</v>
      </c>
      <c r="N619" s="2">
        <f>IFERROR(__xludf.DUMMYFUNCTION("""COMPUTED_VALUE"""),0.0)</f>
        <v>0</v>
      </c>
      <c r="O619" s="2">
        <f>IFERROR(__xludf.DUMMYFUNCTION("""COMPUTED_VALUE"""),24762.0)</f>
        <v>24762</v>
      </c>
      <c r="P619" s="2">
        <f>IFERROR(__xludf.DUMMYFUNCTION("""COMPUTED_VALUE"""),1238.0)</f>
        <v>1238</v>
      </c>
      <c r="Q619" s="2" t="str">
        <f>IFERROR(__xludf.DUMMYFUNCTION("""COMPUTED_VALUE"""),"Dine In")</f>
        <v>Dine In</v>
      </c>
      <c r="R619" s="2" t="str">
        <f>IFERROR(__xludf.DUMMYFUNCTION("""COMPUTED_VALUE"""),"Kedai")</f>
        <v>Kedai</v>
      </c>
      <c r="S619" s="2" t="str">
        <f>IFERROR(__xludf.DUMMYFUNCTION("""COMPUTED_VALUE"""),"Temu Roti")</f>
        <v>Temu Roti</v>
      </c>
      <c r="T619" s="2" t="str">
        <f>IFERROR(__xludf.DUMMYFUNCTION("""COMPUTED_VALUE"""),"Owner")</f>
        <v>Owner</v>
      </c>
      <c r="U619" s="2"/>
      <c r="V619" s="2"/>
      <c r="W619" s="2"/>
      <c r="X619" s="2" t="str">
        <f>IFERROR(__xludf.DUMMYFUNCTION("""COMPUTED_VALUE"""),"Closed")</f>
        <v>Closed</v>
      </c>
    </row>
    <row r="620">
      <c r="A620" s="3" t="s">
        <v>636</v>
      </c>
      <c r="B620" s="4">
        <f>IFERROR(__xludf.DUMMYFUNCTION("SPLIT(A620,"","",0,0)"),45552.402083333334)</f>
        <v>45552.40208</v>
      </c>
      <c r="C620" s="5">
        <f>IFERROR(__xludf.DUMMYFUNCTION("""COMPUTED_VALUE"""),2715976.0)</f>
        <v>2715976</v>
      </c>
      <c r="D620" s="2" t="str">
        <f>IFERROR(__xludf.DUMMYFUNCTION("""COMPUTED_VALUE"""),"Sale")</f>
        <v>Sale</v>
      </c>
      <c r="E620" s="2" t="str">
        <f>IFERROR(__xludf.DUMMYFUNCTION("""COMPUTED_VALUE"""),"Roti")</f>
        <v>Roti</v>
      </c>
      <c r="F620" s="2">
        <f>IFERROR(__xludf.DUMMYFUNCTION("""COMPUTED_VALUE"""),10007.0)</f>
        <v>10007</v>
      </c>
      <c r="G620" s="2" t="str">
        <f>IFERROR(__xludf.DUMMYFUNCTION("""COMPUTED_VALUE"""),"Roti cranberry 2 pcs")</f>
        <v>Roti cranberry 2 pcs</v>
      </c>
      <c r="H620" s="2"/>
      <c r="I620" s="2"/>
      <c r="J620" s="2">
        <f>IFERROR(__xludf.DUMMYFUNCTION("""COMPUTED_VALUE"""),1.0)</f>
        <v>1</v>
      </c>
      <c r="K620" s="6">
        <f>IFERROR(__xludf.DUMMYFUNCTION("""COMPUTED_VALUE"""),33810.0)</f>
        <v>33810</v>
      </c>
      <c r="L620" s="2">
        <f>IFERROR(__xludf.DUMMYFUNCTION("""COMPUTED_VALUE"""),10143.0)</f>
        <v>10143</v>
      </c>
      <c r="M620" s="2">
        <f>IFERROR(__xludf.DUMMYFUNCTION("""COMPUTED_VALUE"""),23667.0)</f>
        <v>23667</v>
      </c>
      <c r="N620" s="2">
        <f>IFERROR(__xludf.DUMMYFUNCTION("""COMPUTED_VALUE"""),0.0)</f>
        <v>0</v>
      </c>
      <c r="O620" s="2">
        <f>IFERROR(__xludf.DUMMYFUNCTION("""COMPUTED_VALUE"""),23667.0)</f>
        <v>23667</v>
      </c>
      <c r="P620" s="2">
        <f>IFERROR(__xludf.DUMMYFUNCTION("""COMPUTED_VALUE"""),1183.0)</f>
        <v>1183</v>
      </c>
      <c r="Q620" s="2" t="str">
        <f>IFERROR(__xludf.DUMMYFUNCTION("""COMPUTED_VALUE"""),"Dine In")</f>
        <v>Dine In</v>
      </c>
      <c r="R620" s="2" t="str">
        <f>IFERROR(__xludf.DUMMYFUNCTION("""COMPUTED_VALUE"""),"Kedai")</f>
        <v>Kedai</v>
      </c>
      <c r="S620" s="2" t="str">
        <f>IFERROR(__xludf.DUMMYFUNCTION("""COMPUTED_VALUE"""),"Temu Roti")</f>
        <v>Temu Roti</v>
      </c>
      <c r="T620" s="2" t="str">
        <f>IFERROR(__xludf.DUMMYFUNCTION("""COMPUTED_VALUE"""),"Owner")</f>
        <v>Owner</v>
      </c>
      <c r="U620" s="2"/>
      <c r="V620" s="2"/>
      <c r="W620" s="2"/>
      <c r="X620" s="2" t="str">
        <f>IFERROR(__xludf.DUMMYFUNCTION("""COMPUTED_VALUE"""),"Closed")</f>
        <v>Closed</v>
      </c>
    </row>
    <row r="621">
      <c r="A621" s="3" t="s">
        <v>637</v>
      </c>
      <c r="B621" s="4">
        <f>IFERROR(__xludf.DUMMYFUNCTION("SPLIT(A621,"","",0,0)"),45552.396527777775)</f>
        <v>45552.39653</v>
      </c>
      <c r="C621" s="5">
        <f>IFERROR(__xludf.DUMMYFUNCTION("""COMPUTED_VALUE"""),2715611.0)</f>
        <v>2715611</v>
      </c>
      <c r="D621" s="2" t="str">
        <f>IFERROR(__xludf.DUMMYFUNCTION("""COMPUTED_VALUE"""),"Sale")</f>
        <v>Sale</v>
      </c>
      <c r="E621" s="2" t="str">
        <f>IFERROR(__xludf.DUMMYFUNCTION("""COMPUTED_VALUE"""),"Minuman")</f>
        <v>Minuman</v>
      </c>
      <c r="F621" s="2">
        <f>IFERROR(__xludf.DUMMYFUNCTION("""COMPUTED_VALUE"""),10128.0)</f>
        <v>10128</v>
      </c>
      <c r="G621" s="2" t="str">
        <f>IFERROR(__xludf.DUMMYFUNCTION("""COMPUTED_VALUE"""),"Es Kopi Susu")</f>
        <v>Es Kopi Susu</v>
      </c>
      <c r="H621" s="2"/>
      <c r="I621" s="2"/>
      <c r="J621" s="2">
        <f>IFERROR(__xludf.DUMMYFUNCTION("""COMPUTED_VALUE"""),1.0)</f>
        <v>1</v>
      </c>
      <c r="K621" s="6">
        <f>IFERROR(__xludf.DUMMYFUNCTION("""COMPUTED_VALUE"""),23333.0)</f>
        <v>23333</v>
      </c>
      <c r="L621" s="2">
        <f>IFERROR(__xludf.DUMMYFUNCTION("""COMPUTED_VALUE"""),0.0)</f>
        <v>0</v>
      </c>
      <c r="M621" s="2">
        <f>IFERROR(__xludf.DUMMYFUNCTION("""COMPUTED_VALUE"""),23333.0)</f>
        <v>23333</v>
      </c>
      <c r="N621" s="2">
        <f>IFERROR(__xludf.DUMMYFUNCTION("""COMPUTED_VALUE"""),0.0)</f>
        <v>0</v>
      </c>
      <c r="O621" s="2">
        <f>IFERROR(__xludf.DUMMYFUNCTION("""COMPUTED_VALUE"""),23333.0)</f>
        <v>23333</v>
      </c>
      <c r="P621" s="2">
        <f>IFERROR(__xludf.DUMMYFUNCTION("""COMPUTED_VALUE"""),1167.0)</f>
        <v>1167</v>
      </c>
      <c r="Q621" s="2" t="str">
        <f>IFERROR(__xludf.DUMMYFUNCTION("""COMPUTED_VALUE"""),"Dine In")</f>
        <v>Dine In</v>
      </c>
      <c r="R621" s="2" t="str">
        <f>IFERROR(__xludf.DUMMYFUNCTION("""COMPUTED_VALUE"""),"Kedai")</f>
        <v>Kedai</v>
      </c>
      <c r="S621" s="2" t="str">
        <f>IFERROR(__xludf.DUMMYFUNCTION("""COMPUTED_VALUE"""),"Temu Roti")</f>
        <v>Temu Roti</v>
      </c>
      <c r="T621" s="2" t="str">
        <f>IFERROR(__xludf.DUMMYFUNCTION("""COMPUTED_VALUE"""),"Owner")</f>
        <v>Owner</v>
      </c>
      <c r="U621" s="2"/>
      <c r="V621" s="2"/>
      <c r="W621" s="2"/>
      <c r="X621" s="2" t="str">
        <f>IFERROR(__xludf.DUMMYFUNCTION("""COMPUTED_VALUE"""),"Closed")</f>
        <v>Closed</v>
      </c>
    </row>
    <row r="622">
      <c r="A622" s="3" t="s">
        <v>638</v>
      </c>
      <c r="B622" s="4">
        <f>IFERROR(__xludf.DUMMYFUNCTION("SPLIT(A622,"","",0,0)"),45552.39097222222)</f>
        <v>45552.39097</v>
      </c>
      <c r="C622" s="5">
        <f>IFERROR(__xludf.DUMMYFUNCTION("""COMPUTED_VALUE"""),2715246.0)</f>
        <v>2715246</v>
      </c>
      <c r="D622" s="2" t="str">
        <f>IFERROR(__xludf.DUMMYFUNCTION("""COMPUTED_VALUE"""),"Sale")</f>
        <v>Sale</v>
      </c>
      <c r="E622" s="2" t="str">
        <f>IFERROR(__xludf.DUMMYFUNCTION("""COMPUTED_VALUE"""),"Roti")</f>
        <v>Roti</v>
      </c>
      <c r="F622" s="2">
        <f>IFERROR(__xludf.DUMMYFUNCTION("""COMPUTED_VALUE"""),10002.0)</f>
        <v>10002</v>
      </c>
      <c r="G622" s="2" t="str">
        <f>IFERROR(__xludf.DUMMYFUNCTION("""COMPUTED_VALUE"""),"Roti Cranberry")</f>
        <v>Roti Cranberry</v>
      </c>
      <c r="H622" s="2"/>
      <c r="I622" s="2"/>
      <c r="J622" s="2">
        <f>IFERROR(__xludf.DUMMYFUNCTION("""COMPUTED_VALUE"""),1.0)</f>
        <v>1</v>
      </c>
      <c r="K622" s="6">
        <f>IFERROR(__xludf.DUMMYFUNCTION("""COMPUTED_VALUE"""),18571.0)</f>
        <v>18571</v>
      </c>
      <c r="L622" s="2">
        <f>IFERROR(__xludf.DUMMYFUNCTION("""COMPUTED_VALUE"""),0.0)</f>
        <v>0</v>
      </c>
      <c r="M622" s="2">
        <f>IFERROR(__xludf.DUMMYFUNCTION("""COMPUTED_VALUE"""),18571.0)</f>
        <v>18571</v>
      </c>
      <c r="N622" s="2">
        <f>IFERROR(__xludf.DUMMYFUNCTION("""COMPUTED_VALUE"""),0.0)</f>
        <v>0</v>
      </c>
      <c r="O622" s="2">
        <f>IFERROR(__xludf.DUMMYFUNCTION("""COMPUTED_VALUE"""),18571.0)</f>
        <v>18571</v>
      </c>
      <c r="P622" s="2">
        <f>IFERROR(__xludf.DUMMYFUNCTION("""COMPUTED_VALUE"""),929.0)</f>
        <v>929</v>
      </c>
      <c r="Q622" s="2" t="str">
        <f>IFERROR(__xludf.DUMMYFUNCTION("""COMPUTED_VALUE"""),"Dine In")</f>
        <v>Dine In</v>
      </c>
      <c r="R622" s="2" t="str">
        <f>IFERROR(__xludf.DUMMYFUNCTION("""COMPUTED_VALUE"""),"Kedai")</f>
        <v>Kedai</v>
      </c>
      <c r="S622" s="2" t="str">
        <f>IFERROR(__xludf.DUMMYFUNCTION("""COMPUTED_VALUE"""),"Temu Roti")</f>
        <v>Temu Roti</v>
      </c>
      <c r="T622" s="2" t="str">
        <f>IFERROR(__xludf.DUMMYFUNCTION("""COMPUTED_VALUE"""),"Owner")</f>
        <v>Owner</v>
      </c>
      <c r="U622" s="2"/>
      <c r="V622" s="2"/>
      <c r="W622" s="2"/>
      <c r="X622" s="2" t="str">
        <f>IFERROR(__xludf.DUMMYFUNCTION("""COMPUTED_VALUE"""),"Closed")</f>
        <v>Closed</v>
      </c>
    </row>
    <row r="623">
      <c r="A623" s="3" t="s">
        <v>639</v>
      </c>
      <c r="B623" s="4">
        <f>IFERROR(__xludf.DUMMYFUNCTION("SPLIT(A623,"","",0,0)"),45552.39097222222)</f>
        <v>45552.39097</v>
      </c>
      <c r="C623" s="5">
        <f>IFERROR(__xludf.DUMMYFUNCTION("""COMPUTED_VALUE"""),2715246.0)</f>
        <v>2715246</v>
      </c>
      <c r="D623" s="2" t="str">
        <f>IFERROR(__xludf.DUMMYFUNCTION("""COMPUTED_VALUE"""),"Sale")</f>
        <v>Sale</v>
      </c>
      <c r="E623" s="2" t="str">
        <f>IFERROR(__xludf.DUMMYFUNCTION("""COMPUTED_VALUE"""),"Minuman")</f>
        <v>Minuman</v>
      </c>
      <c r="F623" s="2">
        <f>IFERROR(__xludf.DUMMYFUNCTION("""COMPUTED_VALUE"""),10122.0)</f>
        <v>10122</v>
      </c>
      <c r="G623" s="2" t="str">
        <f>IFERROR(__xludf.DUMMYFUNCTION("""COMPUTED_VALUE"""),"Rempah Madu Panas")</f>
        <v>Rempah Madu Panas</v>
      </c>
      <c r="H623" s="2"/>
      <c r="I623" s="2"/>
      <c r="J623" s="2">
        <f>IFERROR(__xludf.DUMMYFUNCTION("""COMPUTED_VALUE"""),1.0)</f>
        <v>1</v>
      </c>
      <c r="K623" s="6">
        <f>IFERROR(__xludf.DUMMYFUNCTION("""COMPUTED_VALUE"""),21905.0)</f>
        <v>21905</v>
      </c>
      <c r="L623" s="2">
        <f>IFERROR(__xludf.DUMMYFUNCTION("""COMPUTED_VALUE"""),0.0)</f>
        <v>0</v>
      </c>
      <c r="M623" s="2">
        <f>IFERROR(__xludf.DUMMYFUNCTION("""COMPUTED_VALUE"""),21905.0)</f>
        <v>21905</v>
      </c>
      <c r="N623" s="2">
        <f>IFERROR(__xludf.DUMMYFUNCTION("""COMPUTED_VALUE"""),0.0)</f>
        <v>0</v>
      </c>
      <c r="O623" s="2">
        <f>IFERROR(__xludf.DUMMYFUNCTION("""COMPUTED_VALUE"""),21905.0)</f>
        <v>21905</v>
      </c>
      <c r="P623" s="2">
        <f>IFERROR(__xludf.DUMMYFUNCTION("""COMPUTED_VALUE"""),1095.0)</f>
        <v>1095</v>
      </c>
      <c r="Q623" s="2" t="str">
        <f>IFERROR(__xludf.DUMMYFUNCTION("""COMPUTED_VALUE"""),"Dine In")</f>
        <v>Dine In</v>
      </c>
      <c r="R623" s="2" t="str">
        <f>IFERROR(__xludf.DUMMYFUNCTION("""COMPUTED_VALUE"""),"Kedai")</f>
        <v>Kedai</v>
      </c>
      <c r="S623" s="2" t="str">
        <f>IFERROR(__xludf.DUMMYFUNCTION("""COMPUTED_VALUE"""),"Temu Roti")</f>
        <v>Temu Roti</v>
      </c>
      <c r="T623" s="2" t="str">
        <f>IFERROR(__xludf.DUMMYFUNCTION("""COMPUTED_VALUE"""),"Owner")</f>
        <v>Owner</v>
      </c>
      <c r="U623" s="2"/>
      <c r="V623" s="2"/>
      <c r="W623" s="2"/>
      <c r="X623" s="2" t="str">
        <f>IFERROR(__xludf.DUMMYFUNCTION("""COMPUTED_VALUE"""),"Closed")</f>
        <v>Closed</v>
      </c>
    </row>
    <row r="624">
      <c r="A624" s="3" t="s">
        <v>640</v>
      </c>
      <c r="B624" s="4">
        <f>IFERROR(__xludf.DUMMYFUNCTION("SPLIT(A624,"","",0,0)"),45550.89722222222)</f>
        <v>45550.89722</v>
      </c>
      <c r="C624" s="5">
        <f>IFERROR(__xludf.DUMMYFUNCTION("""COMPUTED_VALUE"""),2714881.0)</f>
        <v>2714881</v>
      </c>
      <c r="D624" s="2" t="str">
        <f>IFERROR(__xludf.DUMMYFUNCTION("""COMPUTED_VALUE"""),"Sale")</f>
        <v>Sale</v>
      </c>
      <c r="E624" s="2" t="str">
        <f>IFERROR(__xludf.DUMMYFUNCTION("""COMPUTED_VALUE"""),"Minuman")</f>
        <v>Minuman</v>
      </c>
      <c r="F624" s="2">
        <f>IFERROR(__xludf.DUMMYFUNCTION("""COMPUTED_VALUE"""),10070.0)</f>
        <v>10070</v>
      </c>
      <c r="G624" s="2" t="str">
        <f>IFERROR(__xludf.DUMMYFUNCTION("""COMPUTED_VALUE"""),"Wedang laut")</f>
        <v>Wedang laut</v>
      </c>
      <c r="H624" s="2"/>
      <c r="I624" s="2"/>
      <c r="J624" s="2">
        <f>IFERROR(__xludf.DUMMYFUNCTION("""COMPUTED_VALUE"""),1.0)</f>
        <v>1</v>
      </c>
      <c r="K624" s="6">
        <f>IFERROR(__xludf.DUMMYFUNCTION("""COMPUTED_VALUE"""),24762.0)</f>
        <v>24762</v>
      </c>
      <c r="L624" s="2">
        <f>IFERROR(__xludf.DUMMYFUNCTION("""COMPUTED_VALUE"""),0.0)</f>
        <v>0</v>
      </c>
      <c r="M624" s="2">
        <f>IFERROR(__xludf.DUMMYFUNCTION("""COMPUTED_VALUE"""),24762.0)</f>
        <v>24762</v>
      </c>
      <c r="N624" s="2">
        <f>IFERROR(__xludf.DUMMYFUNCTION("""COMPUTED_VALUE"""),0.0)</f>
        <v>0</v>
      </c>
      <c r="O624" s="2">
        <f>IFERROR(__xludf.DUMMYFUNCTION("""COMPUTED_VALUE"""),24762.0)</f>
        <v>24762</v>
      </c>
      <c r="P624" s="2">
        <f>IFERROR(__xludf.DUMMYFUNCTION("""COMPUTED_VALUE"""),1238.0)</f>
        <v>1238</v>
      </c>
      <c r="Q624" s="2" t="str">
        <f>IFERROR(__xludf.DUMMYFUNCTION("""COMPUTED_VALUE"""),"Dine In")</f>
        <v>Dine In</v>
      </c>
      <c r="R624" s="2" t="str">
        <f>IFERROR(__xludf.DUMMYFUNCTION("""COMPUTED_VALUE"""),"Kedai")</f>
        <v>Kedai</v>
      </c>
      <c r="S624" s="2" t="str">
        <f>IFERROR(__xludf.DUMMYFUNCTION("""COMPUTED_VALUE"""),"Temu Roti")</f>
        <v>Temu Roti</v>
      </c>
      <c r="T624" s="2" t="str">
        <f>IFERROR(__xludf.DUMMYFUNCTION("""COMPUTED_VALUE"""),"Owner")</f>
        <v>Owner</v>
      </c>
      <c r="U624" s="2"/>
      <c r="V624" s="2"/>
      <c r="W624" s="2"/>
      <c r="X624" s="2" t="str">
        <f>IFERROR(__xludf.DUMMYFUNCTION("""COMPUTED_VALUE"""),"Closed")</f>
        <v>Closed</v>
      </c>
    </row>
    <row r="625">
      <c r="A625" s="3" t="s">
        <v>641</v>
      </c>
      <c r="B625" s="4">
        <f>IFERROR(__xludf.DUMMYFUNCTION("SPLIT(A625,"","",0,0)"),45550.89722222222)</f>
        <v>45550.89722</v>
      </c>
      <c r="C625" s="5">
        <f>IFERROR(__xludf.DUMMYFUNCTION("""COMPUTED_VALUE"""),2714881.0)</f>
        <v>2714881</v>
      </c>
      <c r="D625" s="2" t="str">
        <f>IFERROR(__xludf.DUMMYFUNCTION("""COMPUTED_VALUE"""),"Sale")</f>
        <v>Sale</v>
      </c>
      <c r="E625" s="2" t="str">
        <f>IFERROR(__xludf.DUMMYFUNCTION("""COMPUTED_VALUE"""),"Minuman")</f>
        <v>Minuman</v>
      </c>
      <c r="F625" s="2">
        <f>IFERROR(__xludf.DUMMYFUNCTION("""COMPUTED_VALUE"""),10128.0)</f>
        <v>10128</v>
      </c>
      <c r="G625" s="2" t="str">
        <f>IFERROR(__xludf.DUMMYFUNCTION("""COMPUTED_VALUE"""),"Es Kopi Susu")</f>
        <v>Es Kopi Susu</v>
      </c>
      <c r="H625" s="2"/>
      <c r="I625" s="2"/>
      <c r="J625" s="2">
        <f>IFERROR(__xludf.DUMMYFUNCTION("""COMPUTED_VALUE"""),1.0)</f>
        <v>1</v>
      </c>
      <c r="K625" s="6">
        <f>IFERROR(__xludf.DUMMYFUNCTION("""COMPUTED_VALUE"""),23333.0)</f>
        <v>23333</v>
      </c>
      <c r="L625" s="2">
        <f>IFERROR(__xludf.DUMMYFUNCTION("""COMPUTED_VALUE"""),0.0)</f>
        <v>0</v>
      </c>
      <c r="M625" s="2">
        <f>IFERROR(__xludf.DUMMYFUNCTION("""COMPUTED_VALUE"""),23333.0)</f>
        <v>23333</v>
      </c>
      <c r="N625" s="2">
        <f>IFERROR(__xludf.DUMMYFUNCTION("""COMPUTED_VALUE"""),0.0)</f>
        <v>0</v>
      </c>
      <c r="O625" s="2">
        <f>IFERROR(__xludf.DUMMYFUNCTION("""COMPUTED_VALUE"""),23333.0)</f>
        <v>23333</v>
      </c>
      <c r="P625" s="2">
        <f>IFERROR(__xludf.DUMMYFUNCTION("""COMPUTED_VALUE"""),1167.0)</f>
        <v>1167</v>
      </c>
      <c r="Q625" s="2" t="str">
        <f>IFERROR(__xludf.DUMMYFUNCTION("""COMPUTED_VALUE"""),"Dine In")</f>
        <v>Dine In</v>
      </c>
      <c r="R625" s="2" t="str">
        <f>IFERROR(__xludf.DUMMYFUNCTION("""COMPUTED_VALUE"""),"Kedai")</f>
        <v>Kedai</v>
      </c>
      <c r="S625" s="2" t="str">
        <f>IFERROR(__xludf.DUMMYFUNCTION("""COMPUTED_VALUE"""),"Temu Roti")</f>
        <v>Temu Roti</v>
      </c>
      <c r="T625" s="2" t="str">
        <f>IFERROR(__xludf.DUMMYFUNCTION("""COMPUTED_VALUE"""),"Owner")</f>
        <v>Owner</v>
      </c>
      <c r="U625" s="2"/>
      <c r="V625" s="2"/>
      <c r="W625" s="2"/>
      <c r="X625" s="2" t="str">
        <f>IFERROR(__xludf.DUMMYFUNCTION("""COMPUTED_VALUE"""),"Closed")</f>
        <v>Closed</v>
      </c>
    </row>
    <row r="626">
      <c r="A626" s="3" t="s">
        <v>642</v>
      </c>
      <c r="B626" s="4">
        <f>IFERROR(__xludf.DUMMYFUNCTION("SPLIT(A626,"","",0,0)"),45550.89722222222)</f>
        <v>45550.89722</v>
      </c>
      <c r="C626" s="5">
        <f>IFERROR(__xludf.DUMMYFUNCTION("""COMPUTED_VALUE"""),2714881.0)</f>
        <v>2714881</v>
      </c>
      <c r="D626" s="2" t="str">
        <f>IFERROR(__xludf.DUMMYFUNCTION("""COMPUTED_VALUE"""),"Sale")</f>
        <v>Sale</v>
      </c>
      <c r="E626" s="2" t="str">
        <f>IFERROR(__xludf.DUMMYFUNCTION("""COMPUTED_VALUE"""),"Minuman")</f>
        <v>Minuman</v>
      </c>
      <c r="F626" s="2">
        <f>IFERROR(__xludf.DUMMYFUNCTION("""COMPUTED_VALUE"""),10013.0)</f>
        <v>10013</v>
      </c>
      <c r="G626" s="2" t="str">
        <f>IFERROR(__xludf.DUMMYFUNCTION("""COMPUTED_VALUE"""),"Kopi cur")</f>
        <v>Kopi cur</v>
      </c>
      <c r="H626" s="2"/>
      <c r="I626" s="2"/>
      <c r="J626" s="2">
        <f>IFERROR(__xludf.DUMMYFUNCTION("""COMPUTED_VALUE"""),1.0)</f>
        <v>1</v>
      </c>
      <c r="K626" s="6">
        <f>IFERROR(__xludf.DUMMYFUNCTION("""COMPUTED_VALUE"""),23333.0)</f>
        <v>23333</v>
      </c>
      <c r="L626" s="2">
        <f>IFERROR(__xludf.DUMMYFUNCTION("""COMPUTED_VALUE"""),0.0)</f>
        <v>0</v>
      </c>
      <c r="M626" s="2">
        <f>IFERROR(__xludf.DUMMYFUNCTION("""COMPUTED_VALUE"""),23333.0)</f>
        <v>23333</v>
      </c>
      <c r="N626" s="2">
        <f>IFERROR(__xludf.DUMMYFUNCTION("""COMPUTED_VALUE"""),0.0)</f>
        <v>0</v>
      </c>
      <c r="O626" s="2">
        <f>IFERROR(__xludf.DUMMYFUNCTION("""COMPUTED_VALUE"""),23333.0)</f>
        <v>23333</v>
      </c>
      <c r="P626" s="2">
        <f>IFERROR(__xludf.DUMMYFUNCTION("""COMPUTED_VALUE"""),1166.0)</f>
        <v>1166</v>
      </c>
      <c r="Q626" s="2" t="str">
        <f>IFERROR(__xludf.DUMMYFUNCTION("""COMPUTED_VALUE"""),"Dine In")</f>
        <v>Dine In</v>
      </c>
      <c r="R626" s="2" t="str">
        <f>IFERROR(__xludf.DUMMYFUNCTION("""COMPUTED_VALUE"""),"Kedai")</f>
        <v>Kedai</v>
      </c>
      <c r="S626" s="2" t="str">
        <f>IFERROR(__xludf.DUMMYFUNCTION("""COMPUTED_VALUE"""),"Temu Roti")</f>
        <v>Temu Roti</v>
      </c>
      <c r="T626" s="2" t="str">
        <f>IFERROR(__xludf.DUMMYFUNCTION("""COMPUTED_VALUE"""),"Owner")</f>
        <v>Owner</v>
      </c>
      <c r="U626" s="2"/>
      <c r="V626" s="2"/>
      <c r="W626" s="2"/>
      <c r="X626" s="2" t="str">
        <f>IFERROR(__xludf.DUMMYFUNCTION("""COMPUTED_VALUE"""),"Closed")</f>
        <v>Closed</v>
      </c>
    </row>
    <row r="627">
      <c r="A627" s="3" t="s">
        <v>643</v>
      </c>
      <c r="B627" s="4">
        <f>IFERROR(__xludf.DUMMYFUNCTION("SPLIT(A627,"","",0,0)"),45550.89722222222)</f>
        <v>45550.89722</v>
      </c>
      <c r="C627" s="5">
        <f>IFERROR(__xludf.DUMMYFUNCTION("""COMPUTED_VALUE"""),2714881.0)</f>
        <v>2714881</v>
      </c>
      <c r="D627" s="2" t="str">
        <f>IFERROR(__xludf.DUMMYFUNCTION("""COMPUTED_VALUE"""),"Sale")</f>
        <v>Sale</v>
      </c>
      <c r="E627" s="2" t="str">
        <f>IFERROR(__xludf.DUMMYFUNCTION("""COMPUTED_VALUE"""),"Kudapan")</f>
        <v>Kudapan</v>
      </c>
      <c r="F627" s="2">
        <f>IFERROR(__xludf.DUMMYFUNCTION("""COMPUTED_VALUE"""),10011.0)</f>
        <v>10011</v>
      </c>
      <c r="G627" s="2" t="str">
        <f>IFERROR(__xludf.DUMMYFUNCTION("""COMPUTED_VALUE"""),"Kentang Goreng")</f>
        <v>Kentang Goreng</v>
      </c>
      <c r="H627" s="2"/>
      <c r="I627" s="2"/>
      <c r="J627" s="2">
        <f>IFERROR(__xludf.DUMMYFUNCTION("""COMPUTED_VALUE"""),1.0)</f>
        <v>1</v>
      </c>
      <c r="K627" s="6">
        <f>IFERROR(__xludf.DUMMYFUNCTION("""COMPUTED_VALUE"""),25238.0)</f>
        <v>25238</v>
      </c>
      <c r="L627" s="2">
        <f>IFERROR(__xludf.DUMMYFUNCTION("""COMPUTED_VALUE"""),0.0)</f>
        <v>0</v>
      </c>
      <c r="M627" s="2">
        <f>IFERROR(__xludf.DUMMYFUNCTION("""COMPUTED_VALUE"""),25238.0)</f>
        <v>25238</v>
      </c>
      <c r="N627" s="2">
        <f>IFERROR(__xludf.DUMMYFUNCTION("""COMPUTED_VALUE"""),0.0)</f>
        <v>0</v>
      </c>
      <c r="O627" s="2">
        <f>IFERROR(__xludf.DUMMYFUNCTION("""COMPUTED_VALUE"""),25238.0)</f>
        <v>25238</v>
      </c>
      <c r="P627" s="2">
        <f>IFERROR(__xludf.DUMMYFUNCTION("""COMPUTED_VALUE"""),1262.0)</f>
        <v>1262</v>
      </c>
      <c r="Q627" s="2" t="str">
        <f>IFERROR(__xludf.DUMMYFUNCTION("""COMPUTED_VALUE"""),"Dine In")</f>
        <v>Dine In</v>
      </c>
      <c r="R627" s="2" t="str">
        <f>IFERROR(__xludf.DUMMYFUNCTION("""COMPUTED_VALUE"""),"Kedai")</f>
        <v>Kedai</v>
      </c>
      <c r="S627" s="2" t="str">
        <f>IFERROR(__xludf.DUMMYFUNCTION("""COMPUTED_VALUE"""),"Temu Roti")</f>
        <v>Temu Roti</v>
      </c>
      <c r="T627" s="2" t="str">
        <f>IFERROR(__xludf.DUMMYFUNCTION("""COMPUTED_VALUE"""),"Owner")</f>
        <v>Owner</v>
      </c>
      <c r="U627" s="2"/>
      <c r="V627" s="2"/>
      <c r="W627" s="2"/>
      <c r="X627" s="2" t="str">
        <f>IFERROR(__xludf.DUMMYFUNCTION("""COMPUTED_VALUE"""),"Closed")</f>
        <v>Closed</v>
      </c>
    </row>
    <row r="628">
      <c r="A628" s="3" t="s">
        <v>644</v>
      </c>
      <c r="B628" s="4">
        <f>IFERROR(__xludf.DUMMYFUNCTION("SPLIT(A628,"","",0,0)"),45550.896527777775)</f>
        <v>45550.89653</v>
      </c>
      <c r="C628" s="5">
        <f>IFERROR(__xludf.DUMMYFUNCTION("""COMPUTED_VALUE"""),2714515.0)</f>
        <v>2714515</v>
      </c>
      <c r="D628" s="2" t="str">
        <f>IFERROR(__xludf.DUMMYFUNCTION("""COMPUTED_VALUE"""),"Sale")</f>
        <v>Sale</v>
      </c>
      <c r="E628" s="2" t="str">
        <f>IFERROR(__xludf.DUMMYFUNCTION("""COMPUTED_VALUE"""),"Kudapan")</f>
        <v>Kudapan</v>
      </c>
      <c r="F628" s="2">
        <f>IFERROR(__xludf.DUMMYFUNCTION("""COMPUTED_VALUE"""),10004.0)</f>
        <v>10004</v>
      </c>
      <c r="G628" s="2" t="str">
        <f>IFERROR(__xludf.DUMMYFUNCTION("""COMPUTED_VALUE"""),"Tahu walik")</f>
        <v>Tahu walik</v>
      </c>
      <c r="H628" s="2"/>
      <c r="I628" s="2"/>
      <c r="J628" s="2">
        <f>IFERROR(__xludf.DUMMYFUNCTION("""COMPUTED_VALUE"""),1.0)</f>
        <v>1</v>
      </c>
      <c r="K628" s="6">
        <f>IFERROR(__xludf.DUMMYFUNCTION("""COMPUTED_VALUE"""),25238.0)</f>
        <v>25238</v>
      </c>
      <c r="L628" s="2">
        <f>IFERROR(__xludf.DUMMYFUNCTION("""COMPUTED_VALUE"""),0.0)</f>
        <v>0</v>
      </c>
      <c r="M628" s="2">
        <f>IFERROR(__xludf.DUMMYFUNCTION("""COMPUTED_VALUE"""),25238.0)</f>
        <v>25238</v>
      </c>
      <c r="N628" s="2">
        <f>IFERROR(__xludf.DUMMYFUNCTION("""COMPUTED_VALUE"""),0.0)</f>
        <v>0</v>
      </c>
      <c r="O628" s="2">
        <f>IFERROR(__xludf.DUMMYFUNCTION("""COMPUTED_VALUE"""),25238.0)</f>
        <v>25238</v>
      </c>
      <c r="P628" s="2">
        <f>IFERROR(__xludf.DUMMYFUNCTION("""COMPUTED_VALUE"""),1262.0)</f>
        <v>1262</v>
      </c>
      <c r="Q628" s="2" t="str">
        <f>IFERROR(__xludf.DUMMYFUNCTION("""COMPUTED_VALUE"""),"Dine In")</f>
        <v>Dine In</v>
      </c>
      <c r="R628" s="2" t="str">
        <f>IFERROR(__xludf.DUMMYFUNCTION("""COMPUTED_VALUE"""),"Kedai")</f>
        <v>Kedai</v>
      </c>
      <c r="S628" s="2" t="str">
        <f>IFERROR(__xludf.DUMMYFUNCTION("""COMPUTED_VALUE"""),"Temu Roti")</f>
        <v>Temu Roti</v>
      </c>
      <c r="T628" s="2" t="str">
        <f>IFERROR(__xludf.DUMMYFUNCTION("""COMPUTED_VALUE"""),"Owner")</f>
        <v>Owner</v>
      </c>
      <c r="U628" s="2"/>
      <c r="V628" s="2"/>
      <c r="W628" s="2"/>
      <c r="X628" s="2" t="str">
        <f>IFERROR(__xludf.DUMMYFUNCTION("""COMPUTED_VALUE"""),"Closed")</f>
        <v>Closed</v>
      </c>
    </row>
    <row r="629">
      <c r="A629" s="3" t="s">
        <v>645</v>
      </c>
      <c r="B629" s="4">
        <f>IFERROR(__xludf.DUMMYFUNCTION("SPLIT(A629,"","",0,0)"),45550.873611111114)</f>
        <v>45550.87361</v>
      </c>
      <c r="C629" s="5">
        <f>IFERROR(__xludf.DUMMYFUNCTION("""COMPUTED_VALUE"""),2714150.0)</f>
        <v>2714150</v>
      </c>
      <c r="D629" s="2" t="str">
        <f>IFERROR(__xludf.DUMMYFUNCTION("""COMPUTED_VALUE"""),"Sale")</f>
        <v>Sale</v>
      </c>
      <c r="E629" s="2" t="str">
        <f>IFERROR(__xludf.DUMMYFUNCTION("""COMPUTED_VALUE"""),"Hidangan Utama")</f>
        <v>Hidangan Utama</v>
      </c>
      <c r="F629" s="2">
        <f>IFERROR(__xludf.DUMMYFUNCTION("""COMPUTED_VALUE"""),10104.0)</f>
        <v>10104</v>
      </c>
      <c r="G629" s="2" t="str">
        <f>IFERROR(__xludf.DUMMYFUNCTION("""COMPUTED_VALUE"""),"Chicken Claypot Rice")</f>
        <v>Chicken Claypot Rice</v>
      </c>
      <c r="H629" s="2"/>
      <c r="I629" s="2"/>
      <c r="J629" s="2">
        <f>IFERROR(__xludf.DUMMYFUNCTION("""COMPUTED_VALUE"""),1.0)</f>
        <v>1</v>
      </c>
      <c r="K629" s="6">
        <f>IFERROR(__xludf.DUMMYFUNCTION("""COMPUTED_VALUE"""),34762.0)</f>
        <v>34762</v>
      </c>
      <c r="L629" s="2">
        <f>IFERROR(__xludf.DUMMYFUNCTION("""COMPUTED_VALUE"""),0.0)</f>
        <v>0</v>
      </c>
      <c r="M629" s="2">
        <f>IFERROR(__xludf.DUMMYFUNCTION("""COMPUTED_VALUE"""),34762.0)</f>
        <v>34762</v>
      </c>
      <c r="N629" s="2">
        <f>IFERROR(__xludf.DUMMYFUNCTION("""COMPUTED_VALUE"""),0.0)</f>
        <v>0</v>
      </c>
      <c r="O629" s="2">
        <f>IFERROR(__xludf.DUMMYFUNCTION("""COMPUTED_VALUE"""),34762.0)</f>
        <v>34762</v>
      </c>
      <c r="P629" s="2">
        <f>IFERROR(__xludf.DUMMYFUNCTION("""COMPUTED_VALUE"""),1738.0)</f>
        <v>1738</v>
      </c>
      <c r="Q629" s="2" t="str">
        <f>IFERROR(__xludf.DUMMYFUNCTION("""COMPUTED_VALUE"""),"Dine In")</f>
        <v>Dine In</v>
      </c>
      <c r="R629" s="2" t="str">
        <f>IFERROR(__xludf.DUMMYFUNCTION("""COMPUTED_VALUE"""),"Kedai")</f>
        <v>Kedai</v>
      </c>
      <c r="S629" s="2" t="str">
        <f>IFERROR(__xludf.DUMMYFUNCTION("""COMPUTED_VALUE"""),"Temu Roti")</f>
        <v>Temu Roti</v>
      </c>
      <c r="T629" s="2" t="str">
        <f>IFERROR(__xludf.DUMMYFUNCTION("""COMPUTED_VALUE"""),"Owner")</f>
        <v>Owner</v>
      </c>
      <c r="U629" s="2"/>
      <c r="V629" s="2"/>
      <c r="W629" s="2"/>
      <c r="X629" s="2" t="str">
        <f>IFERROR(__xludf.DUMMYFUNCTION("""COMPUTED_VALUE"""),"Closed")</f>
        <v>Closed</v>
      </c>
    </row>
    <row r="630">
      <c r="A630" s="3" t="s">
        <v>646</v>
      </c>
      <c r="B630" s="4">
        <f>IFERROR(__xludf.DUMMYFUNCTION("SPLIT(A630,"","",0,0)"),45550.76597222222)</f>
        <v>45550.76597</v>
      </c>
      <c r="C630" s="5">
        <f>IFERROR(__xludf.DUMMYFUNCTION("""COMPUTED_VALUE"""),2713785.0)</f>
        <v>2713785</v>
      </c>
      <c r="D630" s="2" t="str">
        <f>IFERROR(__xludf.DUMMYFUNCTION("""COMPUTED_VALUE"""),"Sale")</f>
        <v>Sale</v>
      </c>
      <c r="E630" s="2" t="str">
        <f>IFERROR(__xludf.DUMMYFUNCTION("""COMPUTED_VALUE"""),"Minuman")</f>
        <v>Minuman</v>
      </c>
      <c r="F630" s="2">
        <f>IFERROR(__xludf.DUMMYFUNCTION("""COMPUTED_VALUE"""),10120.0)</f>
        <v>10120</v>
      </c>
      <c r="G630" s="2" t="str">
        <f>IFERROR(__xludf.DUMMYFUNCTION("""COMPUTED_VALUE"""),"Lemon Tea Panas")</f>
        <v>Lemon Tea Panas</v>
      </c>
      <c r="H630" s="2"/>
      <c r="I630" s="2"/>
      <c r="J630" s="2">
        <f>IFERROR(__xludf.DUMMYFUNCTION("""COMPUTED_VALUE"""),1.0)</f>
        <v>1</v>
      </c>
      <c r="K630" s="6">
        <f>IFERROR(__xludf.DUMMYFUNCTION("""COMPUTED_VALUE"""),19524.0)</f>
        <v>19524</v>
      </c>
      <c r="L630" s="2">
        <f>IFERROR(__xludf.DUMMYFUNCTION("""COMPUTED_VALUE"""),0.0)</f>
        <v>0</v>
      </c>
      <c r="M630" s="2">
        <f>IFERROR(__xludf.DUMMYFUNCTION("""COMPUTED_VALUE"""),19524.0)</f>
        <v>19524</v>
      </c>
      <c r="N630" s="2">
        <f>IFERROR(__xludf.DUMMYFUNCTION("""COMPUTED_VALUE"""),0.0)</f>
        <v>0</v>
      </c>
      <c r="O630" s="2">
        <f>IFERROR(__xludf.DUMMYFUNCTION("""COMPUTED_VALUE"""),19524.0)</f>
        <v>19524</v>
      </c>
      <c r="P630" s="2">
        <f>IFERROR(__xludf.DUMMYFUNCTION("""COMPUTED_VALUE"""),976.0)</f>
        <v>976</v>
      </c>
      <c r="Q630" s="2" t="str">
        <f>IFERROR(__xludf.DUMMYFUNCTION("""COMPUTED_VALUE"""),"Dine In")</f>
        <v>Dine In</v>
      </c>
      <c r="R630" s="2" t="str">
        <f>IFERROR(__xludf.DUMMYFUNCTION("""COMPUTED_VALUE"""),"Kedai")</f>
        <v>Kedai</v>
      </c>
      <c r="S630" s="2" t="str">
        <f>IFERROR(__xludf.DUMMYFUNCTION("""COMPUTED_VALUE"""),"Temu Roti")</f>
        <v>Temu Roti</v>
      </c>
      <c r="T630" s="2" t="str">
        <f>IFERROR(__xludf.DUMMYFUNCTION("""COMPUTED_VALUE"""),"Owner")</f>
        <v>Owner</v>
      </c>
      <c r="U630" s="2"/>
      <c r="V630" s="2"/>
      <c r="W630" s="2"/>
      <c r="X630" s="2" t="str">
        <f>IFERROR(__xludf.DUMMYFUNCTION("""COMPUTED_VALUE"""),"Closed")</f>
        <v>Closed</v>
      </c>
    </row>
    <row r="631">
      <c r="A631" s="3" t="s">
        <v>647</v>
      </c>
      <c r="B631" s="4">
        <f>IFERROR(__xludf.DUMMYFUNCTION("SPLIT(A631,"","",0,0)"),45550.75833333333)</f>
        <v>45550.75833</v>
      </c>
      <c r="C631" s="5">
        <f>IFERROR(__xludf.DUMMYFUNCTION("""COMPUTED_VALUE"""),2713420.0)</f>
        <v>2713420</v>
      </c>
      <c r="D631" s="2" t="str">
        <f>IFERROR(__xludf.DUMMYFUNCTION("""COMPUTED_VALUE"""),"Sale")</f>
        <v>Sale</v>
      </c>
      <c r="E631" s="2" t="str">
        <f>IFERROR(__xludf.DUMMYFUNCTION("""COMPUTED_VALUE"""),"Roti")</f>
        <v>Roti</v>
      </c>
      <c r="F631" s="2">
        <f>IFERROR(__xludf.DUMMYFUNCTION("""COMPUTED_VALUE"""),10005.0)</f>
        <v>10005</v>
      </c>
      <c r="G631" s="2" t="str">
        <f>IFERROR(__xludf.DUMMYFUNCTION("""COMPUTED_VALUE"""),"Roti Gandum Cokelat")</f>
        <v>Roti Gandum Cokelat</v>
      </c>
      <c r="H631" s="2"/>
      <c r="I631" s="2"/>
      <c r="J631" s="2">
        <f>IFERROR(__xludf.DUMMYFUNCTION("""COMPUTED_VALUE"""),1.0)</f>
        <v>1</v>
      </c>
      <c r="K631" s="6">
        <f>IFERROR(__xludf.DUMMYFUNCTION("""COMPUTED_VALUE"""),19524.0)</f>
        <v>19524</v>
      </c>
      <c r="L631" s="2">
        <f>IFERROR(__xludf.DUMMYFUNCTION("""COMPUTED_VALUE"""),0.0)</f>
        <v>0</v>
      </c>
      <c r="M631" s="2">
        <f>IFERROR(__xludf.DUMMYFUNCTION("""COMPUTED_VALUE"""),19524.0)</f>
        <v>19524</v>
      </c>
      <c r="N631" s="2">
        <f>IFERROR(__xludf.DUMMYFUNCTION("""COMPUTED_VALUE"""),0.0)</f>
        <v>0</v>
      </c>
      <c r="O631" s="2">
        <f>IFERROR(__xludf.DUMMYFUNCTION("""COMPUTED_VALUE"""),19524.0)</f>
        <v>19524</v>
      </c>
      <c r="P631" s="2">
        <f>IFERROR(__xludf.DUMMYFUNCTION("""COMPUTED_VALUE"""),976.0)</f>
        <v>976</v>
      </c>
      <c r="Q631" s="2" t="str">
        <f>IFERROR(__xludf.DUMMYFUNCTION("""COMPUTED_VALUE"""),"Dine In")</f>
        <v>Dine In</v>
      </c>
      <c r="R631" s="2" t="str">
        <f>IFERROR(__xludf.DUMMYFUNCTION("""COMPUTED_VALUE"""),"Kedai")</f>
        <v>Kedai</v>
      </c>
      <c r="S631" s="2" t="str">
        <f>IFERROR(__xludf.DUMMYFUNCTION("""COMPUTED_VALUE"""),"Temu Roti")</f>
        <v>Temu Roti</v>
      </c>
      <c r="T631" s="2" t="str">
        <f>IFERROR(__xludf.DUMMYFUNCTION("""COMPUTED_VALUE"""),"Owner")</f>
        <v>Owner</v>
      </c>
      <c r="U631" s="2"/>
      <c r="V631" s="2"/>
      <c r="W631" s="2"/>
      <c r="X631" s="2" t="str">
        <f>IFERROR(__xludf.DUMMYFUNCTION("""COMPUTED_VALUE"""),"Closed")</f>
        <v>Closed</v>
      </c>
    </row>
    <row r="632">
      <c r="A632" s="3" t="s">
        <v>648</v>
      </c>
      <c r="B632" s="4">
        <f>IFERROR(__xludf.DUMMYFUNCTION("SPLIT(A632,"","",0,0)"),45550.75763888889)</f>
        <v>45550.75764</v>
      </c>
      <c r="C632" s="5">
        <f>IFERROR(__xludf.DUMMYFUNCTION("""COMPUTED_VALUE"""),2713054.0)</f>
        <v>2713054</v>
      </c>
      <c r="D632" s="2" t="str">
        <f>IFERROR(__xludf.DUMMYFUNCTION("""COMPUTED_VALUE"""),"Sale")</f>
        <v>Sale</v>
      </c>
      <c r="E632" s="2" t="str">
        <f>IFERROR(__xludf.DUMMYFUNCTION("""COMPUTED_VALUE"""),"Hidangan Utama")</f>
        <v>Hidangan Utama</v>
      </c>
      <c r="F632" s="2">
        <f>IFERROR(__xludf.DUMMYFUNCTION("""COMPUTED_VALUE"""),10012.0)</f>
        <v>10012</v>
      </c>
      <c r="G632" s="2" t="str">
        <f>IFERROR(__xludf.DUMMYFUNCTION("""COMPUTED_VALUE"""),"Mie joglo")</f>
        <v>Mie joglo</v>
      </c>
      <c r="H632" s="2"/>
      <c r="I632" s="2"/>
      <c r="J632" s="2">
        <f>IFERROR(__xludf.DUMMYFUNCTION("""COMPUTED_VALUE"""),1.0)</f>
        <v>1</v>
      </c>
      <c r="K632" s="6">
        <f>IFERROR(__xludf.DUMMYFUNCTION("""COMPUTED_VALUE"""),29524.0)</f>
        <v>29524</v>
      </c>
      <c r="L632" s="2">
        <f>IFERROR(__xludf.DUMMYFUNCTION("""COMPUTED_VALUE"""),0.0)</f>
        <v>0</v>
      </c>
      <c r="M632" s="2">
        <f>IFERROR(__xludf.DUMMYFUNCTION("""COMPUTED_VALUE"""),29524.0)</f>
        <v>29524</v>
      </c>
      <c r="N632" s="2">
        <f>IFERROR(__xludf.DUMMYFUNCTION("""COMPUTED_VALUE"""),0.0)</f>
        <v>0</v>
      </c>
      <c r="O632" s="2">
        <f>IFERROR(__xludf.DUMMYFUNCTION("""COMPUTED_VALUE"""),29524.0)</f>
        <v>29524</v>
      </c>
      <c r="P632" s="2">
        <f>IFERROR(__xludf.DUMMYFUNCTION("""COMPUTED_VALUE"""),1476.0)</f>
        <v>1476</v>
      </c>
      <c r="Q632" s="2" t="str">
        <f>IFERROR(__xludf.DUMMYFUNCTION("""COMPUTED_VALUE"""),"Dine In")</f>
        <v>Dine In</v>
      </c>
      <c r="R632" s="2" t="str">
        <f>IFERROR(__xludf.DUMMYFUNCTION("""COMPUTED_VALUE"""),"Kedai")</f>
        <v>Kedai</v>
      </c>
      <c r="S632" s="2" t="str">
        <f>IFERROR(__xludf.DUMMYFUNCTION("""COMPUTED_VALUE"""),"Temu Roti")</f>
        <v>Temu Roti</v>
      </c>
      <c r="T632" s="2" t="str">
        <f>IFERROR(__xludf.DUMMYFUNCTION("""COMPUTED_VALUE"""),"Owner")</f>
        <v>Owner</v>
      </c>
      <c r="U632" s="2"/>
      <c r="V632" s="2"/>
      <c r="W632" s="2"/>
      <c r="X632" s="2" t="str">
        <f>IFERROR(__xludf.DUMMYFUNCTION("""COMPUTED_VALUE"""),"Closed")</f>
        <v>Closed</v>
      </c>
    </row>
    <row r="633">
      <c r="A633" s="3" t="s">
        <v>649</v>
      </c>
      <c r="B633" s="4">
        <f>IFERROR(__xludf.DUMMYFUNCTION("SPLIT(A633,"","",0,0)"),45550.75763888889)</f>
        <v>45550.75764</v>
      </c>
      <c r="C633" s="5">
        <f>IFERROR(__xludf.DUMMYFUNCTION("""COMPUTED_VALUE"""),2713054.0)</f>
        <v>2713054</v>
      </c>
      <c r="D633" s="2" t="str">
        <f>IFERROR(__xludf.DUMMYFUNCTION("""COMPUTED_VALUE"""),"Sale")</f>
        <v>Sale</v>
      </c>
      <c r="E633" s="2" t="str">
        <f>IFERROR(__xludf.DUMMYFUNCTION("""COMPUTED_VALUE"""),"Roti")</f>
        <v>Roti</v>
      </c>
      <c r="F633" s="2">
        <f>IFERROR(__xludf.DUMMYFUNCTION("""COMPUTED_VALUE"""),10005.0)</f>
        <v>10005</v>
      </c>
      <c r="G633" s="2" t="str">
        <f>IFERROR(__xludf.DUMMYFUNCTION("""COMPUTED_VALUE"""),"Roti Gandum Cokelat")</f>
        <v>Roti Gandum Cokelat</v>
      </c>
      <c r="H633" s="2"/>
      <c r="I633" s="2"/>
      <c r="J633" s="2">
        <f>IFERROR(__xludf.DUMMYFUNCTION("""COMPUTED_VALUE"""),1.0)</f>
        <v>1</v>
      </c>
      <c r="K633" s="6">
        <f>IFERROR(__xludf.DUMMYFUNCTION("""COMPUTED_VALUE"""),19524.0)</f>
        <v>19524</v>
      </c>
      <c r="L633" s="2">
        <f>IFERROR(__xludf.DUMMYFUNCTION("""COMPUTED_VALUE"""),0.0)</f>
        <v>0</v>
      </c>
      <c r="M633" s="2">
        <f>IFERROR(__xludf.DUMMYFUNCTION("""COMPUTED_VALUE"""),19524.0)</f>
        <v>19524</v>
      </c>
      <c r="N633" s="2">
        <f>IFERROR(__xludf.DUMMYFUNCTION("""COMPUTED_VALUE"""),0.0)</f>
        <v>0</v>
      </c>
      <c r="O633" s="2">
        <f>IFERROR(__xludf.DUMMYFUNCTION("""COMPUTED_VALUE"""),19524.0)</f>
        <v>19524</v>
      </c>
      <c r="P633" s="2">
        <f>IFERROR(__xludf.DUMMYFUNCTION("""COMPUTED_VALUE"""),976.0)</f>
        <v>976</v>
      </c>
      <c r="Q633" s="2" t="str">
        <f>IFERROR(__xludf.DUMMYFUNCTION("""COMPUTED_VALUE"""),"Dine In")</f>
        <v>Dine In</v>
      </c>
      <c r="R633" s="2" t="str">
        <f>IFERROR(__xludf.DUMMYFUNCTION("""COMPUTED_VALUE"""),"Kedai")</f>
        <v>Kedai</v>
      </c>
      <c r="S633" s="2" t="str">
        <f>IFERROR(__xludf.DUMMYFUNCTION("""COMPUTED_VALUE"""),"Temu Roti")</f>
        <v>Temu Roti</v>
      </c>
      <c r="T633" s="2" t="str">
        <f>IFERROR(__xludf.DUMMYFUNCTION("""COMPUTED_VALUE"""),"Owner")</f>
        <v>Owner</v>
      </c>
      <c r="U633" s="2"/>
      <c r="V633" s="2"/>
      <c r="W633" s="2"/>
      <c r="X633" s="2" t="str">
        <f>IFERROR(__xludf.DUMMYFUNCTION("""COMPUTED_VALUE"""),"Closed")</f>
        <v>Closed</v>
      </c>
    </row>
    <row r="634">
      <c r="A634" s="3" t="s">
        <v>650</v>
      </c>
      <c r="B634" s="4">
        <f>IFERROR(__xludf.DUMMYFUNCTION("SPLIT(A634,"","",0,0)"),45550.75763888889)</f>
        <v>45550.75764</v>
      </c>
      <c r="C634" s="5">
        <f>IFERROR(__xludf.DUMMYFUNCTION("""COMPUTED_VALUE"""),2713054.0)</f>
        <v>2713054</v>
      </c>
      <c r="D634" s="2" t="str">
        <f>IFERROR(__xludf.DUMMYFUNCTION("""COMPUTED_VALUE"""),"Sale")</f>
        <v>Sale</v>
      </c>
      <c r="E634" s="2" t="str">
        <f>IFERROR(__xludf.DUMMYFUNCTION("""COMPUTED_VALUE"""),"Kudapan")</f>
        <v>Kudapan</v>
      </c>
      <c r="F634" s="2">
        <f>IFERROR(__xludf.DUMMYFUNCTION("""COMPUTED_VALUE"""),10051.0)</f>
        <v>10051</v>
      </c>
      <c r="G634" s="2" t="str">
        <f>IFERROR(__xludf.DUMMYFUNCTION("""COMPUTED_VALUE"""),"Tahu baso")</f>
        <v>Tahu baso</v>
      </c>
      <c r="H634" s="2"/>
      <c r="I634" s="2"/>
      <c r="J634" s="2">
        <f>IFERROR(__xludf.DUMMYFUNCTION("""COMPUTED_VALUE"""),1.0)</f>
        <v>1</v>
      </c>
      <c r="K634" s="6">
        <f>IFERROR(__xludf.DUMMYFUNCTION("""COMPUTED_VALUE"""),25238.0)</f>
        <v>25238</v>
      </c>
      <c r="L634" s="2">
        <f>IFERROR(__xludf.DUMMYFUNCTION("""COMPUTED_VALUE"""),0.0)</f>
        <v>0</v>
      </c>
      <c r="M634" s="2">
        <f>IFERROR(__xludf.DUMMYFUNCTION("""COMPUTED_VALUE"""),25238.0)</f>
        <v>25238</v>
      </c>
      <c r="N634" s="2">
        <f>IFERROR(__xludf.DUMMYFUNCTION("""COMPUTED_VALUE"""),0.0)</f>
        <v>0</v>
      </c>
      <c r="O634" s="2">
        <f>IFERROR(__xludf.DUMMYFUNCTION("""COMPUTED_VALUE"""),25238.0)</f>
        <v>25238</v>
      </c>
      <c r="P634" s="2">
        <f>IFERROR(__xludf.DUMMYFUNCTION("""COMPUTED_VALUE"""),1262.0)</f>
        <v>1262</v>
      </c>
      <c r="Q634" s="2" t="str">
        <f>IFERROR(__xludf.DUMMYFUNCTION("""COMPUTED_VALUE"""),"Dine In")</f>
        <v>Dine In</v>
      </c>
      <c r="R634" s="2" t="str">
        <f>IFERROR(__xludf.DUMMYFUNCTION("""COMPUTED_VALUE"""),"Kedai")</f>
        <v>Kedai</v>
      </c>
      <c r="S634" s="2" t="str">
        <f>IFERROR(__xludf.DUMMYFUNCTION("""COMPUTED_VALUE"""),"Temu Roti")</f>
        <v>Temu Roti</v>
      </c>
      <c r="T634" s="2" t="str">
        <f>IFERROR(__xludf.DUMMYFUNCTION("""COMPUTED_VALUE"""),"Owner")</f>
        <v>Owner</v>
      </c>
      <c r="U634" s="2"/>
      <c r="V634" s="2"/>
      <c r="W634" s="2"/>
      <c r="X634" s="2" t="str">
        <f>IFERROR(__xludf.DUMMYFUNCTION("""COMPUTED_VALUE"""),"Closed")</f>
        <v>Closed</v>
      </c>
    </row>
    <row r="635">
      <c r="A635" s="3" t="s">
        <v>651</v>
      </c>
      <c r="B635" s="4">
        <f>IFERROR(__xludf.DUMMYFUNCTION("SPLIT(A635,"","",0,0)"),45550.75763888889)</f>
        <v>45550.75764</v>
      </c>
      <c r="C635" s="5">
        <f>IFERROR(__xludf.DUMMYFUNCTION("""COMPUTED_VALUE"""),2712689.0)</f>
        <v>2712689</v>
      </c>
      <c r="D635" s="2" t="str">
        <f>IFERROR(__xludf.DUMMYFUNCTION("""COMPUTED_VALUE"""),"Refund")</f>
        <v>Refund</v>
      </c>
      <c r="E635" s="2" t="str">
        <f>IFERROR(__xludf.DUMMYFUNCTION("""COMPUTED_VALUE"""),"Hidangan Utama")</f>
        <v>Hidangan Utama</v>
      </c>
      <c r="F635" s="2">
        <f>IFERROR(__xludf.DUMMYFUNCTION("""COMPUTED_VALUE"""),10012.0)</f>
        <v>10012</v>
      </c>
      <c r="G635" s="2" t="str">
        <f>IFERROR(__xludf.DUMMYFUNCTION("""COMPUTED_VALUE"""),"Mie joglo")</f>
        <v>Mie joglo</v>
      </c>
      <c r="H635" s="2"/>
      <c r="I635" s="2"/>
      <c r="J635" s="2">
        <f>IFERROR(__xludf.DUMMYFUNCTION("""COMPUTED_VALUE"""),-1.0)</f>
        <v>-1</v>
      </c>
      <c r="K635" s="6">
        <f>IFERROR(__xludf.DUMMYFUNCTION("""COMPUTED_VALUE"""),-29524.0)</f>
        <v>-29524</v>
      </c>
      <c r="L635" s="2">
        <f>IFERROR(__xludf.DUMMYFUNCTION("""COMPUTED_VALUE"""),0.0)</f>
        <v>0</v>
      </c>
      <c r="M635" s="2">
        <f>IFERROR(__xludf.DUMMYFUNCTION("""COMPUTED_VALUE"""),-29524.0)</f>
        <v>-29524</v>
      </c>
      <c r="N635" s="2">
        <f>IFERROR(__xludf.DUMMYFUNCTION("""COMPUTED_VALUE"""),0.0)</f>
        <v>0</v>
      </c>
      <c r="O635" s="2">
        <f>IFERROR(__xludf.DUMMYFUNCTION("""COMPUTED_VALUE"""),-29524.0)</f>
        <v>-29524</v>
      </c>
      <c r="P635" s="2">
        <f>IFERROR(__xludf.DUMMYFUNCTION("""COMPUTED_VALUE"""),-1476.0)</f>
        <v>-1476</v>
      </c>
      <c r="Q635" s="2" t="str">
        <f>IFERROR(__xludf.DUMMYFUNCTION("""COMPUTED_VALUE"""),"Dine In")</f>
        <v>Dine In</v>
      </c>
      <c r="R635" s="2" t="str">
        <f>IFERROR(__xludf.DUMMYFUNCTION("""COMPUTED_VALUE"""),"Kedai")</f>
        <v>Kedai</v>
      </c>
      <c r="S635" s="2" t="str">
        <f>IFERROR(__xludf.DUMMYFUNCTION("""COMPUTED_VALUE"""),"Temu Roti")</f>
        <v>Temu Roti</v>
      </c>
      <c r="T635" s="2" t="str">
        <f>IFERROR(__xludf.DUMMYFUNCTION("""COMPUTED_VALUE"""),"Owner")</f>
        <v>Owner</v>
      </c>
      <c r="U635" s="2"/>
      <c r="V635" s="2"/>
      <c r="W635" s="2"/>
      <c r="X635" s="2" t="str">
        <f>IFERROR(__xludf.DUMMYFUNCTION("""COMPUTED_VALUE"""),"Closed")</f>
        <v>Closed</v>
      </c>
    </row>
    <row r="636">
      <c r="A636" s="3" t="s">
        <v>652</v>
      </c>
      <c r="B636" s="4">
        <f>IFERROR(__xludf.DUMMYFUNCTION("SPLIT(A636,"","",0,0)"),45550.75763888889)</f>
        <v>45550.75764</v>
      </c>
      <c r="C636" s="5">
        <f>IFERROR(__xludf.DUMMYFUNCTION("""COMPUTED_VALUE"""),2712689.0)</f>
        <v>2712689</v>
      </c>
      <c r="D636" s="2" t="str">
        <f>IFERROR(__xludf.DUMMYFUNCTION("""COMPUTED_VALUE"""),"Refund")</f>
        <v>Refund</v>
      </c>
      <c r="E636" s="2" t="str">
        <f>IFERROR(__xludf.DUMMYFUNCTION("""COMPUTED_VALUE"""),"Kudapan")</f>
        <v>Kudapan</v>
      </c>
      <c r="F636" s="2">
        <f>IFERROR(__xludf.DUMMYFUNCTION("""COMPUTED_VALUE"""),10051.0)</f>
        <v>10051</v>
      </c>
      <c r="G636" s="2" t="str">
        <f>IFERROR(__xludf.DUMMYFUNCTION("""COMPUTED_VALUE"""),"Tahu baso")</f>
        <v>Tahu baso</v>
      </c>
      <c r="H636" s="2"/>
      <c r="I636" s="2"/>
      <c r="J636" s="2">
        <f>IFERROR(__xludf.DUMMYFUNCTION("""COMPUTED_VALUE"""),-1.0)</f>
        <v>-1</v>
      </c>
      <c r="K636" s="6">
        <f>IFERROR(__xludf.DUMMYFUNCTION("""COMPUTED_VALUE"""),-25238.0)</f>
        <v>-25238</v>
      </c>
      <c r="L636" s="2">
        <f>IFERROR(__xludf.DUMMYFUNCTION("""COMPUTED_VALUE"""),0.0)</f>
        <v>0</v>
      </c>
      <c r="M636" s="2">
        <f>IFERROR(__xludf.DUMMYFUNCTION("""COMPUTED_VALUE"""),-25238.0)</f>
        <v>-25238</v>
      </c>
      <c r="N636" s="2">
        <f>IFERROR(__xludf.DUMMYFUNCTION("""COMPUTED_VALUE"""),0.0)</f>
        <v>0</v>
      </c>
      <c r="O636" s="2">
        <f>IFERROR(__xludf.DUMMYFUNCTION("""COMPUTED_VALUE"""),-25238.0)</f>
        <v>-25238</v>
      </c>
      <c r="P636" s="2">
        <f>IFERROR(__xludf.DUMMYFUNCTION("""COMPUTED_VALUE"""),-1262.0)</f>
        <v>-1262</v>
      </c>
      <c r="Q636" s="2" t="str">
        <f>IFERROR(__xludf.DUMMYFUNCTION("""COMPUTED_VALUE"""),"Dine In")</f>
        <v>Dine In</v>
      </c>
      <c r="R636" s="2" t="str">
        <f>IFERROR(__xludf.DUMMYFUNCTION("""COMPUTED_VALUE"""),"Kedai")</f>
        <v>Kedai</v>
      </c>
      <c r="S636" s="2" t="str">
        <f>IFERROR(__xludf.DUMMYFUNCTION("""COMPUTED_VALUE"""),"Temu Roti")</f>
        <v>Temu Roti</v>
      </c>
      <c r="T636" s="2" t="str">
        <f>IFERROR(__xludf.DUMMYFUNCTION("""COMPUTED_VALUE"""),"Owner")</f>
        <v>Owner</v>
      </c>
      <c r="U636" s="2"/>
      <c r="V636" s="2"/>
      <c r="W636" s="2"/>
      <c r="X636" s="2" t="str">
        <f>IFERROR(__xludf.DUMMYFUNCTION("""COMPUTED_VALUE"""),"Closed")</f>
        <v>Closed</v>
      </c>
    </row>
    <row r="637">
      <c r="A637" s="3" t="s">
        <v>653</v>
      </c>
      <c r="B637" s="4">
        <f>IFERROR(__xludf.DUMMYFUNCTION("SPLIT(A637,"","",0,0)"),45550.75763888889)</f>
        <v>45550.75764</v>
      </c>
      <c r="C637" s="5">
        <f>IFERROR(__xludf.DUMMYFUNCTION("""COMPUTED_VALUE"""),2712689.0)</f>
        <v>2712689</v>
      </c>
      <c r="D637" s="2" t="str">
        <f>IFERROR(__xludf.DUMMYFUNCTION("""COMPUTED_VALUE"""),"Refund")</f>
        <v>Refund</v>
      </c>
      <c r="E637" s="2" t="str">
        <f>IFERROR(__xludf.DUMMYFUNCTION("""COMPUTED_VALUE"""),"Roti")</f>
        <v>Roti</v>
      </c>
      <c r="F637" s="2">
        <f>IFERROR(__xludf.DUMMYFUNCTION("""COMPUTED_VALUE"""),10005.0)</f>
        <v>10005</v>
      </c>
      <c r="G637" s="2" t="str">
        <f>IFERROR(__xludf.DUMMYFUNCTION("""COMPUTED_VALUE"""),"Roti Gandum Cokelat")</f>
        <v>Roti Gandum Cokelat</v>
      </c>
      <c r="H637" s="2"/>
      <c r="I637" s="2"/>
      <c r="J637" s="2">
        <f>IFERROR(__xludf.DUMMYFUNCTION("""COMPUTED_VALUE"""),-1.0)</f>
        <v>-1</v>
      </c>
      <c r="K637" s="6">
        <f>IFERROR(__xludf.DUMMYFUNCTION("""COMPUTED_VALUE"""),-19524.0)</f>
        <v>-19524</v>
      </c>
      <c r="L637" s="2">
        <f>IFERROR(__xludf.DUMMYFUNCTION("""COMPUTED_VALUE"""),0.0)</f>
        <v>0</v>
      </c>
      <c r="M637" s="2">
        <f>IFERROR(__xludf.DUMMYFUNCTION("""COMPUTED_VALUE"""),-19524.0)</f>
        <v>-19524</v>
      </c>
      <c r="N637" s="2">
        <f>IFERROR(__xludf.DUMMYFUNCTION("""COMPUTED_VALUE"""),0.0)</f>
        <v>0</v>
      </c>
      <c r="O637" s="2">
        <f>IFERROR(__xludf.DUMMYFUNCTION("""COMPUTED_VALUE"""),-19524.0)</f>
        <v>-19524</v>
      </c>
      <c r="P637" s="2">
        <f>IFERROR(__xludf.DUMMYFUNCTION("""COMPUTED_VALUE"""),-976.0)</f>
        <v>-976</v>
      </c>
      <c r="Q637" s="2" t="str">
        <f>IFERROR(__xludf.DUMMYFUNCTION("""COMPUTED_VALUE"""),"Dine In")</f>
        <v>Dine In</v>
      </c>
      <c r="R637" s="2" t="str">
        <f>IFERROR(__xludf.DUMMYFUNCTION("""COMPUTED_VALUE"""),"Kedai")</f>
        <v>Kedai</v>
      </c>
      <c r="S637" s="2" t="str">
        <f>IFERROR(__xludf.DUMMYFUNCTION("""COMPUTED_VALUE"""),"Temu Roti")</f>
        <v>Temu Roti</v>
      </c>
      <c r="T637" s="2" t="str">
        <f>IFERROR(__xludf.DUMMYFUNCTION("""COMPUTED_VALUE"""),"Owner")</f>
        <v>Owner</v>
      </c>
      <c r="U637" s="2"/>
      <c r="V637" s="2"/>
      <c r="W637" s="2"/>
      <c r="X637" s="2" t="str">
        <f>IFERROR(__xludf.DUMMYFUNCTION("""COMPUTED_VALUE"""),"Closed")</f>
        <v>Closed</v>
      </c>
    </row>
    <row r="638">
      <c r="A638" s="3" t="s">
        <v>654</v>
      </c>
      <c r="B638" s="4">
        <f>IFERROR(__xludf.DUMMYFUNCTION("SPLIT(A638,"","",0,0)"),45550.74375)</f>
        <v>45550.74375</v>
      </c>
      <c r="C638" s="5">
        <f>IFERROR(__xludf.DUMMYFUNCTION("""COMPUTED_VALUE"""),2712324.0)</f>
        <v>2712324</v>
      </c>
      <c r="D638" s="2" t="str">
        <f>IFERROR(__xludf.DUMMYFUNCTION("""COMPUTED_VALUE"""),"Sale")</f>
        <v>Sale</v>
      </c>
      <c r="E638" s="2" t="str">
        <f>IFERROR(__xludf.DUMMYFUNCTION("""COMPUTED_VALUE"""),"Roti")</f>
        <v>Roti</v>
      </c>
      <c r="F638" s="2">
        <f>IFERROR(__xludf.DUMMYFUNCTION("""COMPUTED_VALUE"""),10000.0)</f>
        <v>10000</v>
      </c>
      <c r="G638" s="2" t="str">
        <f>IFERROR(__xludf.DUMMYFUNCTION("""COMPUTED_VALUE"""),"Roti Bawang Saus Keju")</f>
        <v>Roti Bawang Saus Keju</v>
      </c>
      <c r="H638" s="2"/>
      <c r="I638" s="2"/>
      <c r="J638" s="2">
        <f>IFERROR(__xludf.DUMMYFUNCTION("""COMPUTED_VALUE"""),1.0)</f>
        <v>1</v>
      </c>
      <c r="K638" s="6">
        <f>IFERROR(__xludf.DUMMYFUNCTION("""COMPUTED_VALUE"""),29524.0)</f>
        <v>29524</v>
      </c>
      <c r="L638" s="2">
        <f>IFERROR(__xludf.DUMMYFUNCTION("""COMPUTED_VALUE"""),0.0)</f>
        <v>0</v>
      </c>
      <c r="M638" s="2">
        <f>IFERROR(__xludf.DUMMYFUNCTION("""COMPUTED_VALUE"""),29524.0)</f>
        <v>29524</v>
      </c>
      <c r="N638" s="2">
        <f>IFERROR(__xludf.DUMMYFUNCTION("""COMPUTED_VALUE"""),0.0)</f>
        <v>0</v>
      </c>
      <c r="O638" s="2">
        <f>IFERROR(__xludf.DUMMYFUNCTION("""COMPUTED_VALUE"""),29524.0)</f>
        <v>29524</v>
      </c>
      <c r="P638" s="2">
        <f>IFERROR(__xludf.DUMMYFUNCTION("""COMPUTED_VALUE"""),1476.0)</f>
        <v>1476</v>
      </c>
      <c r="Q638" s="2" t="str">
        <f>IFERROR(__xludf.DUMMYFUNCTION("""COMPUTED_VALUE"""),"Dine In")</f>
        <v>Dine In</v>
      </c>
      <c r="R638" s="2" t="str">
        <f>IFERROR(__xludf.DUMMYFUNCTION("""COMPUTED_VALUE"""),"Kedai")</f>
        <v>Kedai</v>
      </c>
      <c r="S638" s="2" t="str">
        <f>IFERROR(__xludf.DUMMYFUNCTION("""COMPUTED_VALUE"""),"Temu Roti")</f>
        <v>Temu Roti</v>
      </c>
      <c r="T638" s="2" t="str">
        <f>IFERROR(__xludf.DUMMYFUNCTION("""COMPUTED_VALUE"""),"Owner")</f>
        <v>Owner</v>
      </c>
      <c r="U638" s="2"/>
      <c r="V638" s="2"/>
      <c r="W638" s="2"/>
      <c r="X638" s="2" t="str">
        <f>IFERROR(__xludf.DUMMYFUNCTION("""COMPUTED_VALUE"""),"Closed")</f>
        <v>Closed</v>
      </c>
    </row>
    <row r="639">
      <c r="A639" s="3" t="s">
        <v>655</v>
      </c>
      <c r="B639" s="4">
        <f>IFERROR(__xludf.DUMMYFUNCTION("SPLIT(A639,"","",0,0)"),45550.74375)</f>
        <v>45550.74375</v>
      </c>
      <c r="C639" s="5">
        <f>IFERROR(__xludf.DUMMYFUNCTION("""COMPUTED_VALUE"""),2712324.0)</f>
        <v>2712324</v>
      </c>
      <c r="D639" s="2" t="str">
        <f>IFERROR(__xludf.DUMMYFUNCTION("""COMPUTED_VALUE"""),"Sale")</f>
        <v>Sale</v>
      </c>
      <c r="E639" s="2" t="str">
        <f>IFERROR(__xludf.DUMMYFUNCTION("""COMPUTED_VALUE"""),"Roti")</f>
        <v>Roti</v>
      </c>
      <c r="F639" s="2">
        <f>IFERROR(__xludf.DUMMYFUNCTION("""COMPUTED_VALUE"""),10055.0)</f>
        <v>10055</v>
      </c>
      <c r="G639" s="2" t="str">
        <f>IFERROR(__xludf.DUMMYFUNCTION("""COMPUTED_VALUE"""),"Roti Gandum Cokelat 2 pcs")</f>
        <v>Roti Gandum Cokelat 2 pcs</v>
      </c>
      <c r="H639" s="2"/>
      <c r="I639" s="2"/>
      <c r="J639" s="2">
        <f>IFERROR(__xludf.DUMMYFUNCTION("""COMPUTED_VALUE"""),1.0)</f>
        <v>1</v>
      </c>
      <c r="K639" s="6">
        <f>IFERROR(__xludf.DUMMYFUNCTION("""COMPUTED_VALUE"""),34762.0)</f>
        <v>34762</v>
      </c>
      <c r="L639" s="2">
        <f>IFERROR(__xludf.DUMMYFUNCTION("""COMPUTED_VALUE"""),0.0)</f>
        <v>0</v>
      </c>
      <c r="M639" s="2">
        <f>IFERROR(__xludf.DUMMYFUNCTION("""COMPUTED_VALUE"""),34762.0)</f>
        <v>34762</v>
      </c>
      <c r="N639" s="2">
        <f>IFERROR(__xludf.DUMMYFUNCTION("""COMPUTED_VALUE"""),0.0)</f>
        <v>0</v>
      </c>
      <c r="O639" s="2">
        <f>IFERROR(__xludf.DUMMYFUNCTION("""COMPUTED_VALUE"""),34762.0)</f>
        <v>34762</v>
      </c>
      <c r="P639" s="2">
        <f>IFERROR(__xludf.DUMMYFUNCTION("""COMPUTED_VALUE"""),1738.0)</f>
        <v>1738</v>
      </c>
      <c r="Q639" s="2" t="str">
        <f>IFERROR(__xludf.DUMMYFUNCTION("""COMPUTED_VALUE"""),"Dine In")</f>
        <v>Dine In</v>
      </c>
      <c r="R639" s="2" t="str">
        <f>IFERROR(__xludf.DUMMYFUNCTION("""COMPUTED_VALUE"""),"Kedai")</f>
        <v>Kedai</v>
      </c>
      <c r="S639" s="2" t="str">
        <f>IFERROR(__xludf.DUMMYFUNCTION("""COMPUTED_VALUE"""),"Temu Roti")</f>
        <v>Temu Roti</v>
      </c>
      <c r="T639" s="2" t="str">
        <f>IFERROR(__xludf.DUMMYFUNCTION("""COMPUTED_VALUE"""),"Owner")</f>
        <v>Owner</v>
      </c>
      <c r="U639" s="2"/>
      <c r="V639" s="2"/>
      <c r="W639" s="2"/>
      <c r="X639" s="2" t="str">
        <f>IFERROR(__xludf.DUMMYFUNCTION("""COMPUTED_VALUE"""),"Closed")</f>
        <v>Closed</v>
      </c>
    </row>
    <row r="640">
      <c r="A640" s="3" t="s">
        <v>656</v>
      </c>
      <c r="B640" s="4">
        <f>IFERROR(__xludf.DUMMYFUNCTION("SPLIT(A640,"","",0,0)"),45550.73333333333)</f>
        <v>45550.73333</v>
      </c>
      <c r="C640" s="5">
        <f>IFERROR(__xludf.DUMMYFUNCTION("""COMPUTED_VALUE"""),2711959.0)</f>
        <v>2711959</v>
      </c>
      <c r="D640" s="2" t="str">
        <f>IFERROR(__xludf.DUMMYFUNCTION("""COMPUTED_VALUE"""),"Sale")</f>
        <v>Sale</v>
      </c>
      <c r="E640" s="2" t="str">
        <f>IFERROR(__xludf.DUMMYFUNCTION("""COMPUTED_VALUE"""),"Minuman")</f>
        <v>Minuman</v>
      </c>
      <c r="F640" s="2">
        <f>IFERROR(__xludf.DUMMYFUNCTION("""COMPUTED_VALUE"""),10120.0)</f>
        <v>10120</v>
      </c>
      <c r="G640" s="2" t="str">
        <f>IFERROR(__xludf.DUMMYFUNCTION("""COMPUTED_VALUE"""),"Lemon Tea Panas")</f>
        <v>Lemon Tea Panas</v>
      </c>
      <c r="H640" s="2"/>
      <c r="I640" s="2"/>
      <c r="J640" s="2">
        <f>IFERROR(__xludf.DUMMYFUNCTION("""COMPUTED_VALUE"""),1.0)</f>
        <v>1</v>
      </c>
      <c r="K640" s="6">
        <f>IFERROR(__xludf.DUMMYFUNCTION("""COMPUTED_VALUE"""),19524.0)</f>
        <v>19524</v>
      </c>
      <c r="L640" s="2">
        <f>IFERROR(__xludf.DUMMYFUNCTION("""COMPUTED_VALUE"""),0.0)</f>
        <v>0</v>
      </c>
      <c r="M640" s="2">
        <f>IFERROR(__xludf.DUMMYFUNCTION("""COMPUTED_VALUE"""),19524.0)</f>
        <v>19524</v>
      </c>
      <c r="N640" s="2">
        <f>IFERROR(__xludf.DUMMYFUNCTION("""COMPUTED_VALUE"""),0.0)</f>
        <v>0</v>
      </c>
      <c r="O640" s="2">
        <f>IFERROR(__xludf.DUMMYFUNCTION("""COMPUTED_VALUE"""),19524.0)</f>
        <v>19524</v>
      </c>
      <c r="P640" s="2">
        <f>IFERROR(__xludf.DUMMYFUNCTION("""COMPUTED_VALUE"""),976.0)</f>
        <v>976</v>
      </c>
      <c r="Q640" s="2" t="str">
        <f>IFERROR(__xludf.DUMMYFUNCTION("""COMPUTED_VALUE"""),"Dine In")</f>
        <v>Dine In</v>
      </c>
      <c r="R640" s="2" t="str">
        <f>IFERROR(__xludf.DUMMYFUNCTION("""COMPUTED_VALUE"""),"Kedai")</f>
        <v>Kedai</v>
      </c>
      <c r="S640" s="2" t="str">
        <f>IFERROR(__xludf.DUMMYFUNCTION("""COMPUTED_VALUE"""),"Temu Roti")</f>
        <v>Temu Roti</v>
      </c>
      <c r="T640" s="2" t="str">
        <f>IFERROR(__xludf.DUMMYFUNCTION("""COMPUTED_VALUE"""),"Owner")</f>
        <v>Owner</v>
      </c>
      <c r="U640" s="2"/>
      <c r="V640" s="2"/>
      <c r="W640" s="2"/>
      <c r="X640" s="2" t="str">
        <f>IFERROR(__xludf.DUMMYFUNCTION("""COMPUTED_VALUE"""),"Closed")</f>
        <v>Closed</v>
      </c>
    </row>
    <row r="641">
      <c r="A641" s="3" t="s">
        <v>657</v>
      </c>
      <c r="B641" s="4">
        <f>IFERROR(__xludf.DUMMYFUNCTION("SPLIT(A641,"","",0,0)"),45550.73055555556)</f>
        <v>45550.73056</v>
      </c>
      <c r="C641" s="5">
        <f>IFERROR(__xludf.DUMMYFUNCTION("""COMPUTED_VALUE"""),2711593.0)</f>
        <v>2711593</v>
      </c>
      <c r="D641" s="2" t="str">
        <f>IFERROR(__xludf.DUMMYFUNCTION("""COMPUTED_VALUE"""),"Sale")</f>
        <v>Sale</v>
      </c>
      <c r="E641" s="2" t="str">
        <f>IFERROR(__xludf.DUMMYFUNCTION("""COMPUTED_VALUE"""),"Roti")</f>
        <v>Roti</v>
      </c>
      <c r="F641" s="2">
        <f>IFERROR(__xludf.DUMMYFUNCTION("""COMPUTED_VALUE"""),10002.0)</f>
        <v>10002</v>
      </c>
      <c r="G641" s="2" t="str">
        <f>IFERROR(__xludf.DUMMYFUNCTION("""COMPUTED_VALUE"""),"Roti Cranberry")</f>
        <v>Roti Cranberry</v>
      </c>
      <c r="H641" s="2"/>
      <c r="I641" s="2"/>
      <c r="J641" s="2">
        <f>IFERROR(__xludf.DUMMYFUNCTION("""COMPUTED_VALUE"""),1.0)</f>
        <v>1</v>
      </c>
      <c r="K641" s="6">
        <f>IFERROR(__xludf.DUMMYFUNCTION("""COMPUTED_VALUE"""),18571.0)</f>
        <v>18571</v>
      </c>
      <c r="L641" s="2">
        <f>IFERROR(__xludf.DUMMYFUNCTION("""COMPUTED_VALUE"""),0.0)</f>
        <v>0</v>
      </c>
      <c r="M641" s="2">
        <f>IFERROR(__xludf.DUMMYFUNCTION("""COMPUTED_VALUE"""),18571.0)</f>
        <v>18571</v>
      </c>
      <c r="N641" s="2">
        <f>IFERROR(__xludf.DUMMYFUNCTION("""COMPUTED_VALUE"""),0.0)</f>
        <v>0</v>
      </c>
      <c r="O641" s="2">
        <f>IFERROR(__xludf.DUMMYFUNCTION("""COMPUTED_VALUE"""),18571.0)</f>
        <v>18571</v>
      </c>
      <c r="P641" s="2">
        <f>IFERROR(__xludf.DUMMYFUNCTION("""COMPUTED_VALUE"""),929.0)</f>
        <v>929</v>
      </c>
      <c r="Q641" s="2" t="str">
        <f>IFERROR(__xludf.DUMMYFUNCTION("""COMPUTED_VALUE"""),"Dine In")</f>
        <v>Dine In</v>
      </c>
      <c r="R641" s="2" t="str">
        <f>IFERROR(__xludf.DUMMYFUNCTION("""COMPUTED_VALUE"""),"Kedai")</f>
        <v>Kedai</v>
      </c>
      <c r="S641" s="2" t="str">
        <f>IFERROR(__xludf.DUMMYFUNCTION("""COMPUTED_VALUE"""),"Temu Roti")</f>
        <v>Temu Roti</v>
      </c>
      <c r="T641" s="2" t="str">
        <f>IFERROR(__xludf.DUMMYFUNCTION("""COMPUTED_VALUE"""),"Owner")</f>
        <v>Owner</v>
      </c>
      <c r="U641" s="2"/>
      <c r="V641" s="2"/>
      <c r="W641" s="2"/>
      <c r="X641" s="2" t="str">
        <f>IFERROR(__xludf.DUMMYFUNCTION("""COMPUTED_VALUE"""),"Closed")</f>
        <v>Closed</v>
      </c>
    </row>
    <row r="642">
      <c r="A642" s="3" t="s">
        <v>658</v>
      </c>
      <c r="B642" s="4">
        <f>IFERROR(__xludf.DUMMYFUNCTION("SPLIT(A642,"","",0,0)"),45550.73055555556)</f>
        <v>45550.73056</v>
      </c>
      <c r="C642" s="5">
        <f>IFERROR(__xludf.DUMMYFUNCTION("""COMPUTED_VALUE"""),2711593.0)</f>
        <v>2711593</v>
      </c>
      <c r="D642" s="2" t="str">
        <f>IFERROR(__xludf.DUMMYFUNCTION("""COMPUTED_VALUE"""),"Sale")</f>
        <v>Sale</v>
      </c>
      <c r="E642" s="2" t="str">
        <f>IFERROR(__xludf.DUMMYFUNCTION("""COMPUTED_VALUE"""),"Minuman")</f>
        <v>Minuman</v>
      </c>
      <c r="F642" s="2">
        <f>IFERROR(__xludf.DUMMYFUNCTION("""COMPUTED_VALUE"""),10128.0)</f>
        <v>10128</v>
      </c>
      <c r="G642" s="2" t="str">
        <f>IFERROR(__xludf.DUMMYFUNCTION("""COMPUTED_VALUE"""),"Es Kopi Susu")</f>
        <v>Es Kopi Susu</v>
      </c>
      <c r="H642" s="2"/>
      <c r="I642" s="2"/>
      <c r="J642" s="2">
        <f>IFERROR(__xludf.DUMMYFUNCTION("""COMPUTED_VALUE"""),1.0)</f>
        <v>1</v>
      </c>
      <c r="K642" s="6">
        <f>IFERROR(__xludf.DUMMYFUNCTION("""COMPUTED_VALUE"""),23333.0)</f>
        <v>23333</v>
      </c>
      <c r="L642" s="2">
        <f>IFERROR(__xludf.DUMMYFUNCTION("""COMPUTED_VALUE"""),0.0)</f>
        <v>0</v>
      </c>
      <c r="M642" s="2">
        <f>IFERROR(__xludf.DUMMYFUNCTION("""COMPUTED_VALUE"""),23333.0)</f>
        <v>23333</v>
      </c>
      <c r="N642" s="2">
        <f>IFERROR(__xludf.DUMMYFUNCTION("""COMPUTED_VALUE"""),0.0)</f>
        <v>0</v>
      </c>
      <c r="O642" s="2">
        <f>IFERROR(__xludf.DUMMYFUNCTION("""COMPUTED_VALUE"""),23333.0)</f>
        <v>23333</v>
      </c>
      <c r="P642" s="2">
        <f>IFERROR(__xludf.DUMMYFUNCTION("""COMPUTED_VALUE"""),1166.0)</f>
        <v>1166</v>
      </c>
      <c r="Q642" s="2" t="str">
        <f>IFERROR(__xludf.DUMMYFUNCTION("""COMPUTED_VALUE"""),"Dine In")</f>
        <v>Dine In</v>
      </c>
      <c r="R642" s="2" t="str">
        <f>IFERROR(__xludf.DUMMYFUNCTION("""COMPUTED_VALUE"""),"Kedai")</f>
        <v>Kedai</v>
      </c>
      <c r="S642" s="2" t="str">
        <f>IFERROR(__xludf.DUMMYFUNCTION("""COMPUTED_VALUE"""),"Temu Roti")</f>
        <v>Temu Roti</v>
      </c>
      <c r="T642" s="2" t="str">
        <f>IFERROR(__xludf.DUMMYFUNCTION("""COMPUTED_VALUE"""),"Owner")</f>
        <v>Owner</v>
      </c>
      <c r="U642" s="2"/>
      <c r="V642" s="2"/>
      <c r="W642" s="2"/>
      <c r="X642" s="2" t="str">
        <f>IFERROR(__xludf.DUMMYFUNCTION("""COMPUTED_VALUE"""),"Closed")</f>
        <v>Closed</v>
      </c>
    </row>
    <row r="643">
      <c r="A643" s="3" t="s">
        <v>659</v>
      </c>
      <c r="B643" s="4">
        <f>IFERROR(__xludf.DUMMYFUNCTION("SPLIT(A643,"","",0,0)"),45550.73055555556)</f>
        <v>45550.73056</v>
      </c>
      <c r="C643" s="5">
        <f>IFERROR(__xludf.DUMMYFUNCTION("""COMPUTED_VALUE"""),2711593.0)</f>
        <v>2711593</v>
      </c>
      <c r="D643" s="2" t="str">
        <f>IFERROR(__xludf.DUMMYFUNCTION("""COMPUTED_VALUE"""),"Sale")</f>
        <v>Sale</v>
      </c>
      <c r="E643" s="2" t="str">
        <f>IFERROR(__xludf.DUMMYFUNCTION("""COMPUTED_VALUE"""),"Kudapan")</f>
        <v>Kudapan</v>
      </c>
      <c r="F643" s="2">
        <f>IFERROR(__xludf.DUMMYFUNCTION("""COMPUTED_VALUE"""),10015.0)</f>
        <v>10015</v>
      </c>
      <c r="G643" s="2" t="str">
        <f>IFERROR(__xludf.DUMMYFUNCTION("""COMPUTED_VALUE"""),"Tahu Lada Garam")</f>
        <v>Tahu Lada Garam</v>
      </c>
      <c r="H643" s="2"/>
      <c r="I643" s="2"/>
      <c r="J643" s="2">
        <f>IFERROR(__xludf.DUMMYFUNCTION("""COMPUTED_VALUE"""),1.0)</f>
        <v>1</v>
      </c>
      <c r="K643" s="6">
        <f>IFERROR(__xludf.DUMMYFUNCTION("""COMPUTED_VALUE"""),25238.0)</f>
        <v>25238</v>
      </c>
      <c r="L643" s="2">
        <f>IFERROR(__xludf.DUMMYFUNCTION("""COMPUTED_VALUE"""),0.0)</f>
        <v>0</v>
      </c>
      <c r="M643" s="2">
        <f>IFERROR(__xludf.DUMMYFUNCTION("""COMPUTED_VALUE"""),25238.0)</f>
        <v>25238</v>
      </c>
      <c r="N643" s="2">
        <f>IFERROR(__xludf.DUMMYFUNCTION("""COMPUTED_VALUE"""),0.0)</f>
        <v>0</v>
      </c>
      <c r="O643" s="2">
        <f>IFERROR(__xludf.DUMMYFUNCTION("""COMPUTED_VALUE"""),25238.0)</f>
        <v>25238</v>
      </c>
      <c r="P643" s="2">
        <f>IFERROR(__xludf.DUMMYFUNCTION("""COMPUTED_VALUE"""),1262.0)</f>
        <v>1262</v>
      </c>
      <c r="Q643" s="2" t="str">
        <f>IFERROR(__xludf.DUMMYFUNCTION("""COMPUTED_VALUE"""),"Dine In")</f>
        <v>Dine In</v>
      </c>
      <c r="R643" s="2" t="str">
        <f>IFERROR(__xludf.DUMMYFUNCTION("""COMPUTED_VALUE"""),"Kedai")</f>
        <v>Kedai</v>
      </c>
      <c r="S643" s="2" t="str">
        <f>IFERROR(__xludf.DUMMYFUNCTION("""COMPUTED_VALUE"""),"Temu Roti")</f>
        <v>Temu Roti</v>
      </c>
      <c r="T643" s="2" t="str">
        <f>IFERROR(__xludf.DUMMYFUNCTION("""COMPUTED_VALUE"""),"Owner")</f>
        <v>Owner</v>
      </c>
      <c r="U643" s="2"/>
      <c r="V643" s="2"/>
      <c r="W643" s="2"/>
      <c r="X643" s="2" t="str">
        <f>IFERROR(__xludf.DUMMYFUNCTION("""COMPUTED_VALUE"""),"Closed")</f>
        <v>Closed</v>
      </c>
    </row>
    <row r="644">
      <c r="A644" s="3" t="s">
        <v>660</v>
      </c>
      <c r="B644" s="4">
        <f>IFERROR(__xludf.DUMMYFUNCTION("SPLIT(A644,"","",0,0)"),45550.73055555556)</f>
        <v>45550.73056</v>
      </c>
      <c r="C644" s="5">
        <f>IFERROR(__xludf.DUMMYFUNCTION("""COMPUTED_VALUE"""),2711593.0)</f>
        <v>2711593</v>
      </c>
      <c r="D644" s="2" t="str">
        <f>IFERROR(__xludf.DUMMYFUNCTION("""COMPUTED_VALUE"""),"Sale")</f>
        <v>Sale</v>
      </c>
      <c r="E644" s="2" t="str">
        <f>IFERROR(__xludf.DUMMYFUNCTION("""COMPUTED_VALUE"""),"Hidangan Utama")</f>
        <v>Hidangan Utama</v>
      </c>
      <c r="F644" s="2">
        <f>IFERROR(__xludf.DUMMYFUNCTION("""COMPUTED_VALUE"""),10012.0)</f>
        <v>10012</v>
      </c>
      <c r="G644" s="2" t="str">
        <f>IFERROR(__xludf.DUMMYFUNCTION("""COMPUTED_VALUE"""),"Mie joglo")</f>
        <v>Mie joglo</v>
      </c>
      <c r="H644" s="2"/>
      <c r="I644" s="2"/>
      <c r="J644" s="2">
        <f>IFERROR(__xludf.DUMMYFUNCTION("""COMPUTED_VALUE"""),1.0)</f>
        <v>1</v>
      </c>
      <c r="K644" s="6">
        <f>IFERROR(__xludf.DUMMYFUNCTION("""COMPUTED_VALUE"""),29524.0)</f>
        <v>29524</v>
      </c>
      <c r="L644" s="2">
        <f>IFERROR(__xludf.DUMMYFUNCTION("""COMPUTED_VALUE"""),0.0)</f>
        <v>0</v>
      </c>
      <c r="M644" s="2">
        <f>IFERROR(__xludf.DUMMYFUNCTION("""COMPUTED_VALUE"""),29524.0)</f>
        <v>29524</v>
      </c>
      <c r="N644" s="2">
        <f>IFERROR(__xludf.DUMMYFUNCTION("""COMPUTED_VALUE"""),0.0)</f>
        <v>0</v>
      </c>
      <c r="O644" s="2">
        <f>IFERROR(__xludf.DUMMYFUNCTION("""COMPUTED_VALUE"""),29524.0)</f>
        <v>29524</v>
      </c>
      <c r="P644" s="2">
        <f>IFERROR(__xludf.DUMMYFUNCTION("""COMPUTED_VALUE"""),1476.0)</f>
        <v>1476</v>
      </c>
      <c r="Q644" s="2" t="str">
        <f>IFERROR(__xludf.DUMMYFUNCTION("""COMPUTED_VALUE"""),"Dine In")</f>
        <v>Dine In</v>
      </c>
      <c r="R644" s="2" t="str">
        <f>IFERROR(__xludf.DUMMYFUNCTION("""COMPUTED_VALUE"""),"Kedai")</f>
        <v>Kedai</v>
      </c>
      <c r="S644" s="2" t="str">
        <f>IFERROR(__xludf.DUMMYFUNCTION("""COMPUTED_VALUE"""),"Temu Roti")</f>
        <v>Temu Roti</v>
      </c>
      <c r="T644" s="2" t="str">
        <f>IFERROR(__xludf.DUMMYFUNCTION("""COMPUTED_VALUE"""),"Owner")</f>
        <v>Owner</v>
      </c>
      <c r="U644" s="2"/>
      <c r="V644" s="2"/>
      <c r="W644" s="2"/>
      <c r="X644" s="2" t="str">
        <f>IFERROR(__xludf.DUMMYFUNCTION("""COMPUTED_VALUE"""),"Closed")</f>
        <v>Closed</v>
      </c>
    </row>
    <row r="645">
      <c r="A645" s="3" t="s">
        <v>661</v>
      </c>
      <c r="B645" s="4">
        <f>IFERROR(__xludf.DUMMYFUNCTION("SPLIT(A645,"","",0,0)"),45550.73055555556)</f>
        <v>45550.73056</v>
      </c>
      <c r="C645" s="5">
        <f>IFERROR(__xludf.DUMMYFUNCTION("""COMPUTED_VALUE"""),2711593.0)</f>
        <v>2711593</v>
      </c>
      <c r="D645" s="2" t="str">
        <f>IFERROR(__xludf.DUMMYFUNCTION("""COMPUTED_VALUE"""),"Sale")</f>
        <v>Sale</v>
      </c>
      <c r="E645" s="2" t="str">
        <f>IFERROR(__xludf.DUMMYFUNCTION("""COMPUTED_VALUE"""),"Minuman")</f>
        <v>Minuman</v>
      </c>
      <c r="F645" s="2">
        <f>IFERROR(__xludf.DUMMYFUNCTION("""COMPUTED_VALUE"""),10069.0)</f>
        <v>10069</v>
      </c>
      <c r="G645" s="2" t="str">
        <f>IFERROR(__xludf.DUMMYFUNCTION("""COMPUTED_VALUE"""),"Wedang hujan")</f>
        <v>Wedang hujan</v>
      </c>
      <c r="H645" s="2"/>
      <c r="I645" s="2"/>
      <c r="J645" s="2">
        <f>IFERROR(__xludf.DUMMYFUNCTION("""COMPUTED_VALUE"""),1.0)</f>
        <v>1</v>
      </c>
      <c r="K645" s="6">
        <f>IFERROR(__xludf.DUMMYFUNCTION("""COMPUTED_VALUE"""),24762.0)</f>
        <v>24762</v>
      </c>
      <c r="L645" s="2">
        <f>IFERROR(__xludf.DUMMYFUNCTION("""COMPUTED_VALUE"""),0.0)</f>
        <v>0</v>
      </c>
      <c r="M645" s="2">
        <f>IFERROR(__xludf.DUMMYFUNCTION("""COMPUTED_VALUE"""),24762.0)</f>
        <v>24762</v>
      </c>
      <c r="N645" s="2">
        <f>IFERROR(__xludf.DUMMYFUNCTION("""COMPUTED_VALUE"""),0.0)</f>
        <v>0</v>
      </c>
      <c r="O645" s="2">
        <f>IFERROR(__xludf.DUMMYFUNCTION("""COMPUTED_VALUE"""),24762.0)</f>
        <v>24762</v>
      </c>
      <c r="P645" s="2">
        <f>IFERROR(__xludf.DUMMYFUNCTION("""COMPUTED_VALUE"""),1238.0)</f>
        <v>1238</v>
      </c>
      <c r="Q645" s="2" t="str">
        <f>IFERROR(__xludf.DUMMYFUNCTION("""COMPUTED_VALUE"""),"Dine In")</f>
        <v>Dine In</v>
      </c>
      <c r="R645" s="2" t="str">
        <f>IFERROR(__xludf.DUMMYFUNCTION("""COMPUTED_VALUE"""),"Kedai")</f>
        <v>Kedai</v>
      </c>
      <c r="S645" s="2" t="str">
        <f>IFERROR(__xludf.DUMMYFUNCTION("""COMPUTED_VALUE"""),"Temu Roti")</f>
        <v>Temu Roti</v>
      </c>
      <c r="T645" s="2" t="str">
        <f>IFERROR(__xludf.DUMMYFUNCTION("""COMPUTED_VALUE"""),"Owner")</f>
        <v>Owner</v>
      </c>
      <c r="U645" s="2"/>
      <c r="V645" s="2"/>
      <c r="W645" s="2"/>
      <c r="X645" s="2" t="str">
        <f>IFERROR(__xludf.DUMMYFUNCTION("""COMPUTED_VALUE"""),"Closed")</f>
        <v>Closed</v>
      </c>
    </row>
    <row r="646">
      <c r="A646" s="3" t="s">
        <v>662</v>
      </c>
      <c r="B646" s="4">
        <f>IFERROR(__xludf.DUMMYFUNCTION("SPLIT(A646,"","",0,0)"),45550.73055555556)</f>
        <v>45550.73056</v>
      </c>
      <c r="C646" s="5">
        <f>IFERROR(__xludf.DUMMYFUNCTION("""COMPUTED_VALUE"""),2711593.0)</f>
        <v>2711593</v>
      </c>
      <c r="D646" s="2" t="str">
        <f>IFERROR(__xludf.DUMMYFUNCTION("""COMPUTED_VALUE"""),"Sale")</f>
        <v>Sale</v>
      </c>
      <c r="E646" s="2" t="str">
        <f>IFERROR(__xludf.DUMMYFUNCTION("""COMPUTED_VALUE"""),"Minuman")</f>
        <v>Minuman</v>
      </c>
      <c r="F646" s="2">
        <f>IFERROR(__xludf.DUMMYFUNCTION("""COMPUTED_VALUE"""),10063.0)</f>
        <v>10063</v>
      </c>
      <c r="G646" s="2" t="str">
        <f>IFERROR(__xludf.DUMMYFUNCTION("""COMPUTED_VALUE"""),"Wedang Bulan")</f>
        <v>Wedang Bulan</v>
      </c>
      <c r="H646" s="2"/>
      <c r="I646" s="2"/>
      <c r="J646" s="2">
        <f>IFERROR(__xludf.DUMMYFUNCTION("""COMPUTED_VALUE"""),1.0)</f>
        <v>1</v>
      </c>
      <c r="K646" s="6">
        <f>IFERROR(__xludf.DUMMYFUNCTION("""COMPUTED_VALUE"""),24762.0)</f>
        <v>24762</v>
      </c>
      <c r="L646" s="2">
        <f>IFERROR(__xludf.DUMMYFUNCTION("""COMPUTED_VALUE"""),0.0)</f>
        <v>0</v>
      </c>
      <c r="M646" s="2">
        <f>IFERROR(__xludf.DUMMYFUNCTION("""COMPUTED_VALUE"""),24762.0)</f>
        <v>24762</v>
      </c>
      <c r="N646" s="2">
        <f>IFERROR(__xludf.DUMMYFUNCTION("""COMPUTED_VALUE"""),0.0)</f>
        <v>0</v>
      </c>
      <c r="O646" s="2">
        <f>IFERROR(__xludf.DUMMYFUNCTION("""COMPUTED_VALUE"""),24762.0)</f>
        <v>24762</v>
      </c>
      <c r="P646" s="2">
        <f>IFERROR(__xludf.DUMMYFUNCTION("""COMPUTED_VALUE"""),1239.0)</f>
        <v>1239</v>
      </c>
      <c r="Q646" s="2" t="str">
        <f>IFERROR(__xludf.DUMMYFUNCTION("""COMPUTED_VALUE"""),"Dine In")</f>
        <v>Dine In</v>
      </c>
      <c r="R646" s="2" t="str">
        <f>IFERROR(__xludf.DUMMYFUNCTION("""COMPUTED_VALUE"""),"Kedai")</f>
        <v>Kedai</v>
      </c>
      <c r="S646" s="2" t="str">
        <f>IFERROR(__xludf.DUMMYFUNCTION("""COMPUTED_VALUE"""),"Temu Roti")</f>
        <v>Temu Roti</v>
      </c>
      <c r="T646" s="2" t="str">
        <f>IFERROR(__xludf.DUMMYFUNCTION("""COMPUTED_VALUE"""),"Owner")</f>
        <v>Owner</v>
      </c>
      <c r="U646" s="2"/>
      <c r="V646" s="2"/>
      <c r="W646" s="2"/>
      <c r="X646" s="2" t="str">
        <f>IFERROR(__xludf.DUMMYFUNCTION("""COMPUTED_VALUE"""),"Closed")</f>
        <v>Closed</v>
      </c>
    </row>
    <row r="647">
      <c r="A647" s="3" t="s">
        <v>663</v>
      </c>
      <c r="B647" s="4">
        <f>IFERROR(__xludf.DUMMYFUNCTION("SPLIT(A647,"","",0,0)"),45550.73055555556)</f>
        <v>45550.73056</v>
      </c>
      <c r="C647" s="5">
        <f>IFERROR(__xludf.DUMMYFUNCTION("""COMPUTED_VALUE"""),2711593.0)</f>
        <v>2711593</v>
      </c>
      <c r="D647" s="2" t="str">
        <f>IFERROR(__xludf.DUMMYFUNCTION("""COMPUTED_VALUE"""),"Sale")</f>
        <v>Sale</v>
      </c>
      <c r="E647" s="2" t="str">
        <f>IFERROR(__xludf.DUMMYFUNCTION("""COMPUTED_VALUE"""),"Minuman")</f>
        <v>Minuman</v>
      </c>
      <c r="F647" s="2">
        <f>IFERROR(__xludf.DUMMYFUNCTION("""COMPUTED_VALUE"""),10112.0)</f>
        <v>10112</v>
      </c>
      <c r="G647" s="2" t="str">
        <f>IFERROR(__xludf.DUMMYFUNCTION("""COMPUTED_VALUE"""),"Air mineral")</f>
        <v>Air mineral</v>
      </c>
      <c r="H647" s="2"/>
      <c r="I647" s="2"/>
      <c r="J647" s="2">
        <f>IFERROR(__xludf.DUMMYFUNCTION("""COMPUTED_VALUE"""),1.0)</f>
        <v>1</v>
      </c>
      <c r="K647" s="6">
        <f>IFERROR(__xludf.DUMMYFUNCTION("""COMPUTED_VALUE"""),6667.0)</f>
        <v>6667</v>
      </c>
      <c r="L647" s="2">
        <f>IFERROR(__xludf.DUMMYFUNCTION("""COMPUTED_VALUE"""),0.0)</f>
        <v>0</v>
      </c>
      <c r="M647" s="2">
        <f>IFERROR(__xludf.DUMMYFUNCTION("""COMPUTED_VALUE"""),6667.0)</f>
        <v>6667</v>
      </c>
      <c r="N647" s="2">
        <f>IFERROR(__xludf.DUMMYFUNCTION("""COMPUTED_VALUE"""),0.0)</f>
        <v>0</v>
      </c>
      <c r="O647" s="2">
        <f>IFERROR(__xludf.DUMMYFUNCTION("""COMPUTED_VALUE"""),6667.0)</f>
        <v>6667</v>
      </c>
      <c r="P647" s="2">
        <f>IFERROR(__xludf.DUMMYFUNCTION("""COMPUTED_VALUE"""),333.0)</f>
        <v>333</v>
      </c>
      <c r="Q647" s="2" t="str">
        <f>IFERROR(__xludf.DUMMYFUNCTION("""COMPUTED_VALUE"""),"Dine In")</f>
        <v>Dine In</v>
      </c>
      <c r="R647" s="2" t="str">
        <f>IFERROR(__xludf.DUMMYFUNCTION("""COMPUTED_VALUE"""),"Kedai")</f>
        <v>Kedai</v>
      </c>
      <c r="S647" s="2" t="str">
        <f>IFERROR(__xludf.DUMMYFUNCTION("""COMPUTED_VALUE"""),"Temu Roti")</f>
        <v>Temu Roti</v>
      </c>
      <c r="T647" s="2" t="str">
        <f>IFERROR(__xludf.DUMMYFUNCTION("""COMPUTED_VALUE"""),"Owner")</f>
        <v>Owner</v>
      </c>
      <c r="U647" s="2"/>
      <c r="V647" s="2"/>
      <c r="W647" s="2"/>
      <c r="X647" s="2" t="str">
        <f>IFERROR(__xludf.DUMMYFUNCTION("""COMPUTED_VALUE"""),"Closed")</f>
        <v>Closed</v>
      </c>
    </row>
    <row r="648">
      <c r="A648" s="3" t="s">
        <v>664</v>
      </c>
      <c r="B648" s="4">
        <f>IFERROR(__xludf.DUMMYFUNCTION("SPLIT(A648,"","",0,0)"),45550.725)</f>
        <v>45550.725</v>
      </c>
      <c r="C648" s="5">
        <f>IFERROR(__xludf.DUMMYFUNCTION("""COMPUTED_VALUE"""),2711228.0)</f>
        <v>2711228</v>
      </c>
      <c r="D648" s="2" t="str">
        <f>IFERROR(__xludf.DUMMYFUNCTION("""COMPUTED_VALUE"""),"Sale")</f>
        <v>Sale</v>
      </c>
      <c r="E648" s="2" t="str">
        <f>IFERROR(__xludf.DUMMYFUNCTION("""COMPUTED_VALUE"""),"Roti")</f>
        <v>Roti</v>
      </c>
      <c r="F648" s="2">
        <f>IFERROR(__xludf.DUMMYFUNCTION("""COMPUTED_VALUE"""),10002.0)</f>
        <v>10002</v>
      </c>
      <c r="G648" s="2" t="str">
        <f>IFERROR(__xludf.DUMMYFUNCTION("""COMPUTED_VALUE"""),"Roti Cranberry")</f>
        <v>Roti Cranberry</v>
      </c>
      <c r="H648" s="2"/>
      <c r="I648" s="2"/>
      <c r="J648" s="2">
        <f>IFERROR(__xludf.DUMMYFUNCTION("""COMPUTED_VALUE"""),1.0)</f>
        <v>1</v>
      </c>
      <c r="K648" s="6">
        <f>IFERROR(__xludf.DUMMYFUNCTION("""COMPUTED_VALUE"""),18571.0)</f>
        <v>18571</v>
      </c>
      <c r="L648" s="2">
        <f>IFERROR(__xludf.DUMMYFUNCTION("""COMPUTED_VALUE"""),0.0)</f>
        <v>0</v>
      </c>
      <c r="M648" s="2">
        <f>IFERROR(__xludf.DUMMYFUNCTION("""COMPUTED_VALUE"""),18571.0)</f>
        <v>18571</v>
      </c>
      <c r="N648" s="2">
        <f>IFERROR(__xludf.DUMMYFUNCTION("""COMPUTED_VALUE"""),0.0)</f>
        <v>0</v>
      </c>
      <c r="O648" s="2">
        <f>IFERROR(__xludf.DUMMYFUNCTION("""COMPUTED_VALUE"""),18571.0)</f>
        <v>18571</v>
      </c>
      <c r="P648" s="2">
        <f>IFERROR(__xludf.DUMMYFUNCTION("""COMPUTED_VALUE"""),929.0)</f>
        <v>929</v>
      </c>
      <c r="Q648" s="2" t="str">
        <f>IFERROR(__xludf.DUMMYFUNCTION("""COMPUTED_VALUE"""),"Dine In")</f>
        <v>Dine In</v>
      </c>
      <c r="R648" s="2" t="str">
        <f>IFERROR(__xludf.DUMMYFUNCTION("""COMPUTED_VALUE"""),"Kedai")</f>
        <v>Kedai</v>
      </c>
      <c r="S648" s="2" t="str">
        <f>IFERROR(__xludf.DUMMYFUNCTION("""COMPUTED_VALUE"""),"Temu Roti")</f>
        <v>Temu Roti</v>
      </c>
      <c r="T648" s="2" t="str">
        <f>IFERROR(__xludf.DUMMYFUNCTION("""COMPUTED_VALUE"""),"Owner")</f>
        <v>Owner</v>
      </c>
      <c r="U648" s="2"/>
      <c r="V648" s="2"/>
      <c r="W648" s="2"/>
      <c r="X648" s="2" t="str">
        <f>IFERROR(__xludf.DUMMYFUNCTION("""COMPUTED_VALUE"""),"Closed")</f>
        <v>Closed</v>
      </c>
    </row>
    <row r="649">
      <c r="A649" s="3" t="s">
        <v>665</v>
      </c>
      <c r="B649" s="4">
        <f>IFERROR(__xludf.DUMMYFUNCTION("SPLIT(A649,"","",0,0)"),45550.72152777778)</f>
        <v>45550.72153</v>
      </c>
      <c r="C649" s="5">
        <f>IFERROR(__xludf.DUMMYFUNCTION("""COMPUTED_VALUE"""),2710863.0)</f>
        <v>2710863</v>
      </c>
      <c r="D649" s="2" t="str">
        <f>IFERROR(__xludf.DUMMYFUNCTION("""COMPUTED_VALUE"""),"Sale")</f>
        <v>Sale</v>
      </c>
      <c r="E649" s="2" t="str">
        <f>IFERROR(__xludf.DUMMYFUNCTION("""COMPUTED_VALUE"""),"Roti")</f>
        <v>Roti</v>
      </c>
      <c r="F649" s="2">
        <f>IFERROR(__xludf.DUMMYFUNCTION("""COMPUTED_VALUE"""),10000.0)</f>
        <v>10000</v>
      </c>
      <c r="G649" s="2" t="str">
        <f>IFERROR(__xludf.DUMMYFUNCTION("""COMPUTED_VALUE"""),"Roti Bawang Saus Keju")</f>
        <v>Roti Bawang Saus Keju</v>
      </c>
      <c r="H649" s="2"/>
      <c r="I649" s="2"/>
      <c r="J649" s="2">
        <f>IFERROR(__xludf.DUMMYFUNCTION("""COMPUTED_VALUE"""),1.0)</f>
        <v>1</v>
      </c>
      <c r="K649" s="6">
        <f>IFERROR(__xludf.DUMMYFUNCTION("""COMPUTED_VALUE"""),29524.0)</f>
        <v>29524</v>
      </c>
      <c r="L649" s="2">
        <f>IFERROR(__xludf.DUMMYFUNCTION("""COMPUTED_VALUE"""),0.0)</f>
        <v>0</v>
      </c>
      <c r="M649" s="2">
        <f>IFERROR(__xludf.DUMMYFUNCTION("""COMPUTED_VALUE"""),29524.0)</f>
        <v>29524</v>
      </c>
      <c r="N649" s="2">
        <f>IFERROR(__xludf.DUMMYFUNCTION("""COMPUTED_VALUE"""),0.0)</f>
        <v>0</v>
      </c>
      <c r="O649" s="2">
        <f>IFERROR(__xludf.DUMMYFUNCTION("""COMPUTED_VALUE"""),29524.0)</f>
        <v>29524</v>
      </c>
      <c r="P649" s="2">
        <f>IFERROR(__xludf.DUMMYFUNCTION("""COMPUTED_VALUE"""),1476.0)</f>
        <v>1476</v>
      </c>
      <c r="Q649" s="2" t="str">
        <f>IFERROR(__xludf.DUMMYFUNCTION("""COMPUTED_VALUE"""),"Dine In")</f>
        <v>Dine In</v>
      </c>
      <c r="R649" s="2" t="str">
        <f>IFERROR(__xludf.DUMMYFUNCTION("""COMPUTED_VALUE"""),"Kedai")</f>
        <v>Kedai</v>
      </c>
      <c r="S649" s="2" t="str">
        <f>IFERROR(__xludf.DUMMYFUNCTION("""COMPUTED_VALUE"""),"Temu Roti")</f>
        <v>Temu Roti</v>
      </c>
      <c r="T649" s="2" t="str">
        <f>IFERROR(__xludf.DUMMYFUNCTION("""COMPUTED_VALUE"""),"Owner")</f>
        <v>Owner</v>
      </c>
      <c r="U649" s="2"/>
      <c r="V649" s="2"/>
      <c r="W649" s="2"/>
      <c r="X649" s="2" t="str">
        <f>IFERROR(__xludf.DUMMYFUNCTION("""COMPUTED_VALUE"""),"Closed")</f>
        <v>Closed</v>
      </c>
    </row>
    <row r="650">
      <c r="A650" s="3" t="s">
        <v>666</v>
      </c>
      <c r="B650" s="4">
        <f>IFERROR(__xludf.DUMMYFUNCTION("SPLIT(A650,"","",0,0)"),45550.72152777778)</f>
        <v>45550.72153</v>
      </c>
      <c r="C650" s="5">
        <f>IFERROR(__xludf.DUMMYFUNCTION("""COMPUTED_VALUE"""),2710863.0)</f>
        <v>2710863</v>
      </c>
      <c r="D650" s="2" t="str">
        <f>IFERROR(__xludf.DUMMYFUNCTION("""COMPUTED_VALUE"""),"Sale")</f>
        <v>Sale</v>
      </c>
      <c r="E650" s="2" t="str">
        <f>IFERROR(__xludf.DUMMYFUNCTION("""COMPUTED_VALUE"""),"Roti")</f>
        <v>Roti</v>
      </c>
      <c r="F650" s="2">
        <f>IFERROR(__xludf.DUMMYFUNCTION("""COMPUTED_VALUE"""),10005.0)</f>
        <v>10005</v>
      </c>
      <c r="G650" s="2" t="str">
        <f>IFERROR(__xludf.DUMMYFUNCTION("""COMPUTED_VALUE"""),"Roti Gandum Cokelat")</f>
        <v>Roti Gandum Cokelat</v>
      </c>
      <c r="H650" s="2"/>
      <c r="I650" s="2"/>
      <c r="J650" s="2">
        <f>IFERROR(__xludf.DUMMYFUNCTION("""COMPUTED_VALUE"""),1.0)</f>
        <v>1</v>
      </c>
      <c r="K650" s="6">
        <f>IFERROR(__xludf.DUMMYFUNCTION("""COMPUTED_VALUE"""),19524.0)</f>
        <v>19524</v>
      </c>
      <c r="L650" s="2">
        <f>IFERROR(__xludf.DUMMYFUNCTION("""COMPUTED_VALUE"""),0.0)</f>
        <v>0</v>
      </c>
      <c r="M650" s="2">
        <f>IFERROR(__xludf.DUMMYFUNCTION("""COMPUTED_VALUE"""),19524.0)</f>
        <v>19524</v>
      </c>
      <c r="N650" s="2">
        <f>IFERROR(__xludf.DUMMYFUNCTION("""COMPUTED_VALUE"""),0.0)</f>
        <v>0</v>
      </c>
      <c r="O650" s="2">
        <f>IFERROR(__xludf.DUMMYFUNCTION("""COMPUTED_VALUE"""),19524.0)</f>
        <v>19524</v>
      </c>
      <c r="P650" s="2">
        <f>IFERROR(__xludf.DUMMYFUNCTION("""COMPUTED_VALUE"""),976.0)</f>
        <v>976</v>
      </c>
      <c r="Q650" s="2" t="str">
        <f>IFERROR(__xludf.DUMMYFUNCTION("""COMPUTED_VALUE"""),"Dine In")</f>
        <v>Dine In</v>
      </c>
      <c r="R650" s="2" t="str">
        <f>IFERROR(__xludf.DUMMYFUNCTION("""COMPUTED_VALUE"""),"Kedai")</f>
        <v>Kedai</v>
      </c>
      <c r="S650" s="2" t="str">
        <f>IFERROR(__xludf.DUMMYFUNCTION("""COMPUTED_VALUE"""),"Temu Roti")</f>
        <v>Temu Roti</v>
      </c>
      <c r="T650" s="2" t="str">
        <f>IFERROR(__xludf.DUMMYFUNCTION("""COMPUTED_VALUE"""),"Owner")</f>
        <v>Owner</v>
      </c>
      <c r="U650" s="2"/>
      <c r="V650" s="2"/>
      <c r="W650" s="2"/>
      <c r="X650" s="2" t="str">
        <f>IFERROR(__xludf.DUMMYFUNCTION("""COMPUTED_VALUE"""),"Closed")</f>
        <v>Closed</v>
      </c>
    </row>
    <row r="651">
      <c r="A651" s="3" t="s">
        <v>667</v>
      </c>
      <c r="B651" s="4">
        <f>IFERROR(__xludf.DUMMYFUNCTION("SPLIT(A651,"","",0,0)"),45550.71666666667)</f>
        <v>45550.71667</v>
      </c>
      <c r="C651" s="5">
        <f>IFERROR(__xludf.DUMMYFUNCTION("""COMPUTED_VALUE"""),2710498.0)</f>
        <v>2710498</v>
      </c>
      <c r="D651" s="2" t="str">
        <f>IFERROR(__xludf.DUMMYFUNCTION("""COMPUTED_VALUE"""),"Sale")</f>
        <v>Sale</v>
      </c>
      <c r="E651" s="2" t="str">
        <f>IFERROR(__xludf.DUMMYFUNCTION("""COMPUTED_VALUE"""),"Kudapan")</f>
        <v>Kudapan</v>
      </c>
      <c r="F651" s="2">
        <f>IFERROR(__xludf.DUMMYFUNCTION("""COMPUTED_VALUE"""),10010.0)</f>
        <v>10010</v>
      </c>
      <c r="G651" s="2" t="str">
        <f>IFERROR(__xludf.DUMMYFUNCTION("""COMPUTED_VALUE"""),"Pisang Goreng")</f>
        <v>Pisang Goreng</v>
      </c>
      <c r="H651" s="2"/>
      <c r="I651" s="2"/>
      <c r="J651" s="2">
        <f>IFERROR(__xludf.DUMMYFUNCTION("""COMPUTED_VALUE"""),1.0)</f>
        <v>1</v>
      </c>
      <c r="K651" s="6">
        <f>IFERROR(__xludf.DUMMYFUNCTION("""COMPUTED_VALUE"""),25238.0)</f>
        <v>25238</v>
      </c>
      <c r="L651" s="2">
        <f>IFERROR(__xludf.DUMMYFUNCTION("""COMPUTED_VALUE"""),0.0)</f>
        <v>0</v>
      </c>
      <c r="M651" s="2">
        <f>IFERROR(__xludf.DUMMYFUNCTION("""COMPUTED_VALUE"""),25238.0)</f>
        <v>25238</v>
      </c>
      <c r="N651" s="2">
        <f>IFERROR(__xludf.DUMMYFUNCTION("""COMPUTED_VALUE"""),0.0)</f>
        <v>0</v>
      </c>
      <c r="O651" s="2">
        <f>IFERROR(__xludf.DUMMYFUNCTION("""COMPUTED_VALUE"""),25238.0)</f>
        <v>25238</v>
      </c>
      <c r="P651" s="2">
        <f>IFERROR(__xludf.DUMMYFUNCTION("""COMPUTED_VALUE"""),1262.0)</f>
        <v>1262</v>
      </c>
      <c r="Q651" s="2" t="str">
        <f>IFERROR(__xludf.DUMMYFUNCTION("""COMPUTED_VALUE"""),"Dine In")</f>
        <v>Dine In</v>
      </c>
      <c r="R651" s="2" t="str">
        <f>IFERROR(__xludf.DUMMYFUNCTION("""COMPUTED_VALUE"""),"Kedai")</f>
        <v>Kedai</v>
      </c>
      <c r="S651" s="2" t="str">
        <f>IFERROR(__xludf.DUMMYFUNCTION("""COMPUTED_VALUE"""),"Temu Roti")</f>
        <v>Temu Roti</v>
      </c>
      <c r="T651" s="2" t="str">
        <f>IFERROR(__xludf.DUMMYFUNCTION("""COMPUTED_VALUE"""),"Owner")</f>
        <v>Owner</v>
      </c>
      <c r="U651" s="2"/>
      <c r="V651" s="2"/>
      <c r="W651" s="2"/>
      <c r="X651" s="2" t="str">
        <f>IFERROR(__xludf.DUMMYFUNCTION("""COMPUTED_VALUE"""),"Closed")</f>
        <v>Closed</v>
      </c>
    </row>
    <row r="652">
      <c r="A652" s="3" t="s">
        <v>668</v>
      </c>
      <c r="B652" s="4">
        <f>IFERROR(__xludf.DUMMYFUNCTION("SPLIT(A652,"","",0,0)"),45550.71666666667)</f>
        <v>45550.71667</v>
      </c>
      <c r="C652" s="5">
        <f>IFERROR(__xludf.DUMMYFUNCTION("""COMPUTED_VALUE"""),2710498.0)</f>
        <v>2710498</v>
      </c>
      <c r="D652" s="2" t="str">
        <f>IFERROR(__xludf.DUMMYFUNCTION("""COMPUTED_VALUE"""),"Sale")</f>
        <v>Sale</v>
      </c>
      <c r="E652" s="2" t="str">
        <f>IFERROR(__xludf.DUMMYFUNCTION("""COMPUTED_VALUE"""),"Minuman")</f>
        <v>Minuman</v>
      </c>
      <c r="F652" s="2">
        <f>IFERROR(__xludf.DUMMYFUNCTION("""COMPUTED_VALUE"""),10120.0)</f>
        <v>10120</v>
      </c>
      <c r="G652" s="2" t="str">
        <f>IFERROR(__xludf.DUMMYFUNCTION("""COMPUTED_VALUE"""),"Lemon Tea Panas")</f>
        <v>Lemon Tea Panas</v>
      </c>
      <c r="H652" s="2"/>
      <c r="I652" s="2"/>
      <c r="J652" s="2">
        <f>IFERROR(__xludf.DUMMYFUNCTION("""COMPUTED_VALUE"""),1.0)</f>
        <v>1</v>
      </c>
      <c r="K652" s="6">
        <f>IFERROR(__xludf.DUMMYFUNCTION("""COMPUTED_VALUE"""),19524.0)</f>
        <v>19524</v>
      </c>
      <c r="L652" s="2">
        <f>IFERROR(__xludf.DUMMYFUNCTION("""COMPUTED_VALUE"""),0.0)</f>
        <v>0</v>
      </c>
      <c r="M652" s="2">
        <f>IFERROR(__xludf.DUMMYFUNCTION("""COMPUTED_VALUE"""),19524.0)</f>
        <v>19524</v>
      </c>
      <c r="N652" s="2">
        <f>IFERROR(__xludf.DUMMYFUNCTION("""COMPUTED_VALUE"""),0.0)</f>
        <v>0</v>
      </c>
      <c r="O652" s="2">
        <f>IFERROR(__xludf.DUMMYFUNCTION("""COMPUTED_VALUE"""),19524.0)</f>
        <v>19524</v>
      </c>
      <c r="P652" s="2">
        <f>IFERROR(__xludf.DUMMYFUNCTION("""COMPUTED_VALUE"""),976.0)</f>
        <v>976</v>
      </c>
      <c r="Q652" s="2" t="str">
        <f>IFERROR(__xludf.DUMMYFUNCTION("""COMPUTED_VALUE"""),"Dine In")</f>
        <v>Dine In</v>
      </c>
      <c r="R652" s="2" t="str">
        <f>IFERROR(__xludf.DUMMYFUNCTION("""COMPUTED_VALUE"""),"Kedai")</f>
        <v>Kedai</v>
      </c>
      <c r="S652" s="2" t="str">
        <f>IFERROR(__xludf.DUMMYFUNCTION("""COMPUTED_VALUE"""),"Temu Roti")</f>
        <v>Temu Roti</v>
      </c>
      <c r="T652" s="2" t="str">
        <f>IFERROR(__xludf.DUMMYFUNCTION("""COMPUTED_VALUE"""),"Owner")</f>
        <v>Owner</v>
      </c>
      <c r="U652" s="2"/>
      <c r="V652" s="2"/>
      <c r="W652" s="2"/>
      <c r="X652" s="2" t="str">
        <f>IFERROR(__xludf.DUMMYFUNCTION("""COMPUTED_VALUE"""),"Closed")</f>
        <v>Closed</v>
      </c>
    </row>
    <row r="653">
      <c r="A653" s="3" t="s">
        <v>669</v>
      </c>
      <c r="B653" s="4">
        <f>IFERROR(__xludf.DUMMYFUNCTION("SPLIT(A653,"","",0,0)"),45550.71666666667)</f>
        <v>45550.71667</v>
      </c>
      <c r="C653" s="5">
        <f>IFERROR(__xludf.DUMMYFUNCTION("""COMPUTED_VALUE"""),2710498.0)</f>
        <v>2710498</v>
      </c>
      <c r="D653" s="2" t="str">
        <f>IFERROR(__xludf.DUMMYFUNCTION("""COMPUTED_VALUE"""),"Sale")</f>
        <v>Sale</v>
      </c>
      <c r="E653" s="2" t="str">
        <f>IFERROR(__xludf.DUMMYFUNCTION("""COMPUTED_VALUE"""),"Minuman")</f>
        <v>Minuman</v>
      </c>
      <c r="F653" s="2">
        <f>IFERROR(__xludf.DUMMYFUNCTION("""COMPUTED_VALUE"""),10128.0)</f>
        <v>10128</v>
      </c>
      <c r="G653" s="2" t="str">
        <f>IFERROR(__xludf.DUMMYFUNCTION("""COMPUTED_VALUE"""),"Es Kopi Susu")</f>
        <v>Es Kopi Susu</v>
      </c>
      <c r="H653" s="2"/>
      <c r="I653" s="2"/>
      <c r="J653" s="2">
        <f>IFERROR(__xludf.DUMMYFUNCTION("""COMPUTED_VALUE"""),1.0)</f>
        <v>1</v>
      </c>
      <c r="K653" s="6">
        <f>IFERROR(__xludf.DUMMYFUNCTION("""COMPUTED_VALUE"""),23333.0)</f>
        <v>23333</v>
      </c>
      <c r="L653" s="2">
        <f>IFERROR(__xludf.DUMMYFUNCTION("""COMPUTED_VALUE"""),0.0)</f>
        <v>0</v>
      </c>
      <c r="M653" s="2">
        <f>IFERROR(__xludf.DUMMYFUNCTION("""COMPUTED_VALUE"""),23333.0)</f>
        <v>23333</v>
      </c>
      <c r="N653" s="2">
        <f>IFERROR(__xludf.DUMMYFUNCTION("""COMPUTED_VALUE"""),0.0)</f>
        <v>0</v>
      </c>
      <c r="O653" s="2">
        <f>IFERROR(__xludf.DUMMYFUNCTION("""COMPUTED_VALUE"""),23333.0)</f>
        <v>23333</v>
      </c>
      <c r="P653" s="2">
        <f>IFERROR(__xludf.DUMMYFUNCTION("""COMPUTED_VALUE"""),1167.0)</f>
        <v>1167</v>
      </c>
      <c r="Q653" s="2" t="str">
        <f>IFERROR(__xludf.DUMMYFUNCTION("""COMPUTED_VALUE"""),"Dine In")</f>
        <v>Dine In</v>
      </c>
      <c r="R653" s="2" t="str">
        <f>IFERROR(__xludf.DUMMYFUNCTION("""COMPUTED_VALUE"""),"Kedai")</f>
        <v>Kedai</v>
      </c>
      <c r="S653" s="2" t="str">
        <f>IFERROR(__xludf.DUMMYFUNCTION("""COMPUTED_VALUE"""),"Temu Roti")</f>
        <v>Temu Roti</v>
      </c>
      <c r="T653" s="2" t="str">
        <f>IFERROR(__xludf.DUMMYFUNCTION("""COMPUTED_VALUE"""),"Owner")</f>
        <v>Owner</v>
      </c>
      <c r="U653" s="2"/>
      <c r="V653" s="2"/>
      <c r="W653" s="2"/>
      <c r="X653" s="2" t="str">
        <f>IFERROR(__xludf.DUMMYFUNCTION("""COMPUTED_VALUE"""),"Closed")</f>
        <v>Closed</v>
      </c>
    </row>
    <row r="654">
      <c r="A654" s="3" t="s">
        <v>670</v>
      </c>
      <c r="B654" s="4">
        <f>IFERROR(__xludf.DUMMYFUNCTION("SPLIT(A654,"","",0,0)"),45550.71666666667)</f>
        <v>45550.71667</v>
      </c>
      <c r="C654" s="5">
        <f>IFERROR(__xludf.DUMMYFUNCTION("""COMPUTED_VALUE"""),2710498.0)</f>
        <v>2710498</v>
      </c>
      <c r="D654" s="2" t="str">
        <f>IFERROR(__xludf.DUMMYFUNCTION("""COMPUTED_VALUE"""),"Sale")</f>
        <v>Sale</v>
      </c>
      <c r="E654" s="2" t="str">
        <f>IFERROR(__xludf.DUMMYFUNCTION("""COMPUTED_VALUE"""),"Roti")</f>
        <v>Roti</v>
      </c>
      <c r="F654" s="2">
        <f>IFERROR(__xludf.DUMMYFUNCTION("""COMPUTED_VALUE"""),10002.0)</f>
        <v>10002</v>
      </c>
      <c r="G654" s="2" t="str">
        <f>IFERROR(__xludf.DUMMYFUNCTION("""COMPUTED_VALUE"""),"Roti Cranberry")</f>
        <v>Roti Cranberry</v>
      </c>
      <c r="H654" s="2"/>
      <c r="I654" s="2"/>
      <c r="J654" s="2">
        <f>IFERROR(__xludf.DUMMYFUNCTION("""COMPUTED_VALUE"""),1.0)</f>
        <v>1</v>
      </c>
      <c r="K654" s="6">
        <f>IFERROR(__xludf.DUMMYFUNCTION("""COMPUTED_VALUE"""),18571.0)</f>
        <v>18571</v>
      </c>
      <c r="L654" s="2">
        <f>IFERROR(__xludf.DUMMYFUNCTION("""COMPUTED_VALUE"""),0.0)</f>
        <v>0</v>
      </c>
      <c r="M654" s="2">
        <f>IFERROR(__xludf.DUMMYFUNCTION("""COMPUTED_VALUE"""),18571.0)</f>
        <v>18571</v>
      </c>
      <c r="N654" s="2">
        <f>IFERROR(__xludf.DUMMYFUNCTION("""COMPUTED_VALUE"""),0.0)</f>
        <v>0</v>
      </c>
      <c r="O654" s="2">
        <f>IFERROR(__xludf.DUMMYFUNCTION("""COMPUTED_VALUE"""),18571.0)</f>
        <v>18571</v>
      </c>
      <c r="P654" s="2">
        <f>IFERROR(__xludf.DUMMYFUNCTION("""COMPUTED_VALUE"""),928.0)</f>
        <v>928</v>
      </c>
      <c r="Q654" s="2" t="str">
        <f>IFERROR(__xludf.DUMMYFUNCTION("""COMPUTED_VALUE"""),"Dine In")</f>
        <v>Dine In</v>
      </c>
      <c r="R654" s="2" t="str">
        <f>IFERROR(__xludf.DUMMYFUNCTION("""COMPUTED_VALUE"""),"Kedai")</f>
        <v>Kedai</v>
      </c>
      <c r="S654" s="2" t="str">
        <f>IFERROR(__xludf.DUMMYFUNCTION("""COMPUTED_VALUE"""),"Temu Roti")</f>
        <v>Temu Roti</v>
      </c>
      <c r="T654" s="2" t="str">
        <f>IFERROR(__xludf.DUMMYFUNCTION("""COMPUTED_VALUE"""),"Owner")</f>
        <v>Owner</v>
      </c>
      <c r="U654" s="2"/>
      <c r="V654" s="2"/>
      <c r="W654" s="2"/>
      <c r="X654" s="2" t="str">
        <f>IFERROR(__xludf.DUMMYFUNCTION("""COMPUTED_VALUE"""),"Closed")</f>
        <v>Closed</v>
      </c>
    </row>
    <row r="655">
      <c r="A655" s="3" t="s">
        <v>671</v>
      </c>
      <c r="B655" s="4">
        <f>IFERROR(__xludf.DUMMYFUNCTION("SPLIT(A655,"","",0,0)"),45550.714583333334)</f>
        <v>45550.71458</v>
      </c>
      <c r="C655" s="5">
        <f>IFERROR(__xludf.DUMMYFUNCTION("""COMPUTED_VALUE"""),2710132.0)</f>
        <v>2710132</v>
      </c>
      <c r="D655" s="2" t="str">
        <f>IFERROR(__xludf.DUMMYFUNCTION("""COMPUTED_VALUE"""),"Sale")</f>
        <v>Sale</v>
      </c>
      <c r="E655" s="2" t="str">
        <f>IFERROR(__xludf.DUMMYFUNCTION("""COMPUTED_VALUE"""),"Hidangan Utama")</f>
        <v>Hidangan Utama</v>
      </c>
      <c r="F655" s="2">
        <f>IFERROR(__xludf.DUMMYFUNCTION("""COMPUTED_VALUE"""),10003.0)</f>
        <v>10003</v>
      </c>
      <c r="G655" s="2" t="str">
        <f>IFERROR(__xludf.DUMMYFUNCTION("""COMPUTED_VALUE"""),"Nasi Goreng Temu")</f>
        <v>Nasi Goreng Temu</v>
      </c>
      <c r="H655" s="2"/>
      <c r="I655" s="2"/>
      <c r="J655" s="2">
        <f>IFERROR(__xludf.DUMMYFUNCTION("""COMPUTED_VALUE"""),1.0)</f>
        <v>1</v>
      </c>
      <c r="K655" s="6">
        <f>IFERROR(__xludf.DUMMYFUNCTION("""COMPUTED_VALUE"""),29524.0)</f>
        <v>29524</v>
      </c>
      <c r="L655" s="2">
        <f>IFERROR(__xludf.DUMMYFUNCTION("""COMPUTED_VALUE"""),0.0)</f>
        <v>0</v>
      </c>
      <c r="M655" s="2">
        <f>IFERROR(__xludf.DUMMYFUNCTION("""COMPUTED_VALUE"""),29524.0)</f>
        <v>29524</v>
      </c>
      <c r="N655" s="2">
        <f>IFERROR(__xludf.DUMMYFUNCTION("""COMPUTED_VALUE"""),0.0)</f>
        <v>0</v>
      </c>
      <c r="O655" s="2">
        <f>IFERROR(__xludf.DUMMYFUNCTION("""COMPUTED_VALUE"""),29524.0)</f>
        <v>29524</v>
      </c>
      <c r="P655" s="2">
        <f>IFERROR(__xludf.DUMMYFUNCTION("""COMPUTED_VALUE"""),1476.0)</f>
        <v>1476</v>
      </c>
      <c r="Q655" s="2" t="str">
        <f>IFERROR(__xludf.DUMMYFUNCTION("""COMPUTED_VALUE"""),"Dine In")</f>
        <v>Dine In</v>
      </c>
      <c r="R655" s="2" t="str">
        <f>IFERROR(__xludf.DUMMYFUNCTION("""COMPUTED_VALUE"""),"Kedai")</f>
        <v>Kedai</v>
      </c>
      <c r="S655" s="2" t="str">
        <f>IFERROR(__xludf.DUMMYFUNCTION("""COMPUTED_VALUE"""),"Temu Roti")</f>
        <v>Temu Roti</v>
      </c>
      <c r="T655" s="2" t="str">
        <f>IFERROR(__xludf.DUMMYFUNCTION("""COMPUTED_VALUE"""),"Owner")</f>
        <v>Owner</v>
      </c>
      <c r="U655" s="2"/>
      <c r="V655" s="2"/>
      <c r="W655" s="2"/>
      <c r="X655" s="2" t="str">
        <f>IFERROR(__xludf.DUMMYFUNCTION("""COMPUTED_VALUE"""),"Closed")</f>
        <v>Closed</v>
      </c>
    </row>
    <row r="656">
      <c r="A656" s="3" t="s">
        <v>672</v>
      </c>
      <c r="B656" s="4">
        <f>IFERROR(__xludf.DUMMYFUNCTION("SPLIT(A656,"","",0,0)"),45550.714583333334)</f>
        <v>45550.71458</v>
      </c>
      <c r="C656" s="5">
        <f>IFERROR(__xludf.DUMMYFUNCTION("""COMPUTED_VALUE"""),2710132.0)</f>
        <v>2710132</v>
      </c>
      <c r="D656" s="2" t="str">
        <f>IFERROR(__xludf.DUMMYFUNCTION("""COMPUTED_VALUE"""),"Sale")</f>
        <v>Sale</v>
      </c>
      <c r="E656" s="2" t="str">
        <f>IFERROR(__xludf.DUMMYFUNCTION("""COMPUTED_VALUE"""),"Minuman")</f>
        <v>Minuman</v>
      </c>
      <c r="F656" s="2">
        <f>IFERROR(__xludf.DUMMYFUNCTION("""COMPUTED_VALUE"""),10026.0)</f>
        <v>10026</v>
      </c>
      <c r="G656" s="2" t="str">
        <f>IFERROR(__xludf.DUMMYFUNCTION("""COMPUTED_VALUE"""),"Es Kopi Lemon")</f>
        <v>Es Kopi Lemon</v>
      </c>
      <c r="H656" s="2"/>
      <c r="I656" s="2"/>
      <c r="J656" s="2">
        <f>IFERROR(__xludf.DUMMYFUNCTION("""COMPUTED_VALUE"""),1.0)</f>
        <v>1</v>
      </c>
      <c r="K656" s="6">
        <f>IFERROR(__xludf.DUMMYFUNCTION("""COMPUTED_VALUE"""),21905.0)</f>
        <v>21905</v>
      </c>
      <c r="L656" s="2">
        <f>IFERROR(__xludf.DUMMYFUNCTION("""COMPUTED_VALUE"""),0.0)</f>
        <v>0</v>
      </c>
      <c r="M656" s="2">
        <f>IFERROR(__xludf.DUMMYFUNCTION("""COMPUTED_VALUE"""),21905.0)</f>
        <v>21905</v>
      </c>
      <c r="N656" s="2">
        <f>IFERROR(__xludf.DUMMYFUNCTION("""COMPUTED_VALUE"""),0.0)</f>
        <v>0</v>
      </c>
      <c r="O656" s="2">
        <f>IFERROR(__xludf.DUMMYFUNCTION("""COMPUTED_VALUE"""),21905.0)</f>
        <v>21905</v>
      </c>
      <c r="P656" s="2">
        <f>IFERROR(__xludf.DUMMYFUNCTION("""COMPUTED_VALUE"""),1095.0)</f>
        <v>1095</v>
      </c>
      <c r="Q656" s="2" t="str">
        <f>IFERROR(__xludf.DUMMYFUNCTION("""COMPUTED_VALUE"""),"Dine In")</f>
        <v>Dine In</v>
      </c>
      <c r="R656" s="2" t="str">
        <f>IFERROR(__xludf.DUMMYFUNCTION("""COMPUTED_VALUE"""),"Kedai")</f>
        <v>Kedai</v>
      </c>
      <c r="S656" s="2" t="str">
        <f>IFERROR(__xludf.DUMMYFUNCTION("""COMPUTED_VALUE"""),"Temu Roti")</f>
        <v>Temu Roti</v>
      </c>
      <c r="T656" s="2" t="str">
        <f>IFERROR(__xludf.DUMMYFUNCTION("""COMPUTED_VALUE"""),"Owner")</f>
        <v>Owner</v>
      </c>
      <c r="U656" s="2"/>
      <c r="V656" s="2"/>
      <c r="W656" s="2"/>
      <c r="X656" s="2" t="str">
        <f>IFERROR(__xludf.DUMMYFUNCTION("""COMPUTED_VALUE"""),"Closed")</f>
        <v>Closed</v>
      </c>
    </row>
    <row r="657">
      <c r="A657" s="3" t="s">
        <v>673</v>
      </c>
      <c r="B657" s="4">
        <f>IFERROR(__xludf.DUMMYFUNCTION("SPLIT(A657,"","",0,0)"),45550.714583333334)</f>
        <v>45550.71458</v>
      </c>
      <c r="C657" s="5">
        <f>IFERROR(__xludf.DUMMYFUNCTION("""COMPUTED_VALUE"""),2710132.0)</f>
        <v>2710132</v>
      </c>
      <c r="D657" s="2" t="str">
        <f>IFERROR(__xludf.DUMMYFUNCTION("""COMPUTED_VALUE"""),"Sale")</f>
        <v>Sale</v>
      </c>
      <c r="E657" s="2" t="str">
        <f>IFERROR(__xludf.DUMMYFUNCTION("""COMPUTED_VALUE"""),"Minuman")</f>
        <v>Minuman</v>
      </c>
      <c r="F657" s="2">
        <f>IFERROR(__xludf.DUMMYFUNCTION("""COMPUTED_VALUE"""),10070.0)</f>
        <v>10070</v>
      </c>
      <c r="G657" s="2" t="str">
        <f>IFERROR(__xludf.DUMMYFUNCTION("""COMPUTED_VALUE"""),"Wedang laut")</f>
        <v>Wedang laut</v>
      </c>
      <c r="H657" s="2"/>
      <c r="I657" s="2"/>
      <c r="J657" s="2">
        <f>IFERROR(__xludf.DUMMYFUNCTION("""COMPUTED_VALUE"""),1.0)</f>
        <v>1</v>
      </c>
      <c r="K657" s="6">
        <f>IFERROR(__xludf.DUMMYFUNCTION("""COMPUTED_VALUE"""),24762.0)</f>
        <v>24762</v>
      </c>
      <c r="L657" s="2">
        <f>IFERROR(__xludf.DUMMYFUNCTION("""COMPUTED_VALUE"""),0.0)</f>
        <v>0</v>
      </c>
      <c r="M657" s="2">
        <f>IFERROR(__xludf.DUMMYFUNCTION("""COMPUTED_VALUE"""),24762.0)</f>
        <v>24762</v>
      </c>
      <c r="N657" s="2">
        <f>IFERROR(__xludf.DUMMYFUNCTION("""COMPUTED_VALUE"""),0.0)</f>
        <v>0</v>
      </c>
      <c r="O657" s="2">
        <f>IFERROR(__xludf.DUMMYFUNCTION("""COMPUTED_VALUE"""),24762.0)</f>
        <v>24762</v>
      </c>
      <c r="P657" s="2">
        <f>IFERROR(__xludf.DUMMYFUNCTION("""COMPUTED_VALUE"""),1239.0)</f>
        <v>1239</v>
      </c>
      <c r="Q657" s="2" t="str">
        <f>IFERROR(__xludf.DUMMYFUNCTION("""COMPUTED_VALUE"""),"Dine In")</f>
        <v>Dine In</v>
      </c>
      <c r="R657" s="2" t="str">
        <f>IFERROR(__xludf.DUMMYFUNCTION("""COMPUTED_VALUE"""),"Kedai")</f>
        <v>Kedai</v>
      </c>
      <c r="S657" s="2" t="str">
        <f>IFERROR(__xludf.DUMMYFUNCTION("""COMPUTED_VALUE"""),"Temu Roti")</f>
        <v>Temu Roti</v>
      </c>
      <c r="T657" s="2" t="str">
        <f>IFERROR(__xludf.DUMMYFUNCTION("""COMPUTED_VALUE"""),"Owner")</f>
        <v>Owner</v>
      </c>
      <c r="U657" s="2"/>
      <c r="V657" s="2"/>
      <c r="W657" s="2"/>
      <c r="X657" s="2" t="str">
        <f>IFERROR(__xludf.DUMMYFUNCTION("""COMPUTED_VALUE"""),"Closed")</f>
        <v>Closed</v>
      </c>
    </row>
    <row r="658">
      <c r="A658" s="3" t="s">
        <v>674</v>
      </c>
      <c r="B658" s="4">
        <f>IFERROR(__xludf.DUMMYFUNCTION("SPLIT(A658,"","",0,0)"),45550.711805555555)</f>
        <v>45550.71181</v>
      </c>
      <c r="C658" s="5">
        <f>IFERROR(__xludf.DUMMYFUNCTION("""COMPUTED_VALUE"""),2709767.0)</f>
        <v>2709767</v>
      </c>
      <c r="D658" s="2" t="str">
        <f>IFERROR(__xludf.DUMMYFUNCTION("""COMPUTED_VALUE"""),"Sale")</f>
        <v>Sale</v>
      </c>
      <c r="E658" s="2" t="str">
        <f>IFERROR(__xludf.DUMMYFUNCTION("""COMPUTED_VALUE"""),"Roti")</f>
        <v>Roti</v>
      </c>
      <c r="F658" s="2">
        <f>IFERROR(__xludf.DUMMYFUNCTION("""COMPUTED_VALUE"""),10002.0)</f>
        <v>10002</v>
      </c>
      <c r="G658" s="2" t="str">
        <f>IFERROR(__xludf.DUMMYFUNCTION("""COMPUTED_VALUE"""),"Roti Cranberry")</f>
        <v>Roti Cranberry</v>
      </c>
      <c r="H658" s="2"/>
      <c r="I658" s="2"/>
      <c r="J658" s="2">
        <f>IFERROR(__xludf.DUMMYFUNCTION("""COMPUTED_VALUE"""),1.0)</f>
        <v>1</v>
      </c>
      <c r="K658" s="6">
        <f>IFERROR(__xludf.DUMMYFUNCTION("""COMPUTED_VALUE"""),18571.0)</f>
        <v>18571</v>
      </c>
      <c r="L658" s="2">
        <f>IFERROR(__xludf.DUMMYFUNCTION("""COMPUTED_VALUE"""),0.0)</f>
        <v>0</v>
      </c>
      <c r="M658" s="2">
        <f>IFERROR(__xludf.DUMMYFUNCTION("""COMPUTED_VALUE"""),18571.0)</f>
        <v>18571</v>
      </c>
      <c r="N658" s="2">
        <f>IFERROR(__xludf.DUMMYFUNCTION("""COMPUTED_VALUE"""),0.0)</f>
        <v>0</v>
      </c>
      <c r="O658" s="2">
        <f>IFERROR(__xludf.DUMMYFUNCTION("""COMPUTED_VALUE"""),18571.0)</f>
        <v>18571</v>
      </c>
      <c r="P658" s="2">
        <f>IFERROR(__xludf.DUMMYFUNCTION("""COMPUTED_VALUE"""),929.0)</f>
        <v>929</v>
      </c>
      <c r="Q658" s="2" t="str">
        <f>IFERROR(__xludf.DUMMYFUNCTION("""COMPUTED_VALUE"""),"Dine In")</f>
        <v>Dine In</v>
      </c>
      <c r="R658" s="2" t="str">
        <f>IFERROR(__xludf.DUMMYFUNCTION("""COMPUTED_VALUE"""),"Kedai")</f>
        <v>Kedai</v>
      </c>
      <c r="S658" s="2" t="str">
        <f>IFERROR(__xludf.DUMMYFUNCTION("""COMPUTED_VALUE"""),"Temu Roti")</f>
        <v>Temu Roti</v>
      </c>
      <c r="T658" s="2" t="str">
        <f>IFERROR(__xludf.DUMMYFUNCTION("""COMPUTED_VALUE"""),"Owner")</f>
        <v>Owner</v>
      </c>
      <c r="U658" s="2"/>
      <c r="V658" s="2"/>
      <c r="W658" s="2"/>
      <c r="X658" s="2" t="str">
        <f>IFERROR(__xludf.DUMMYFUNCTION("""COMPUTED_VALUE"""),"Closed")</f>
        <v>Closed</v>
      </c>
    </row>
    <row r="659">
      <c r="A659" s="3" t="s">
        <v>675</v>
      </c>
      <c r="B659" s="4">
        <f>IFERROR(__xludf.DUMMYFUNCTION("SPLIT(A659,"","",0,0)"),45550.711805555555)</f>
        <v>45550.71181</v>
      </c>
      <c r="C659" s="5">
        <f>IFERROR(__xludf.DUMMYFUNCTION("""COMPUTED_VALUE"""),2709767.0)</f>
        <v>2709767</v>
      </c>
      <c r="D659" s="2" t="str">
        <f>IFERROR(__xludf.DUMMYFUNCTION("""COMPUTED_VALUE"""),"Sale")</f>
        <v>Sale</v>
      </c>
      <c r="E659" s="2" t="str">
        <f>IFERROR(__xludf.DUMMYFUNCTION("""COMPUTED_VALUE"""),"Roti")</f>
        <v>Roti</v>
      </c>
      <c r="F659" s="2">
        <f>IFERROR(__xludf.DUMMYFUNCTION("""COMPUTED_VALUE"""),10005.0)</f>
        <v>10005</v>
      </c>
      <c r="G659" s="2" t="str">
        <f>IFERROR(__xludf.DUMMYFUNCTION("""COMPUTED_VALUE"""),"Roti Gandum Cokelat")</f>
        <v>Roti Gandum Cokelat</v>
      </c>
      <c r="H659" s="2"/>
      <c r="I659" s="2"/>
      <c r="J659" s="2">
        <f>IFERROR(__xludf.DUMMYFUNCTION("""COMPUTED_VALUE"""),1.0)</f>
        <v>1</v>
      </c>
      <c r="K659" s="6">
        <f>IFERROR(__xludf.DUMMYFUNCTION("""COMPUTED_VALUE"""),19524.0)</f>
        <v>19524</v>
      </c>
      <c r="L659" s="2">
        <f>IFERROR(__xludf.DUMMYFUNCTION("""COMPUTED_VALUE"""),0.0)</f>
        <v>0</v>
      </c>
      <c r="M659" s="2">
        <f>IFERROR(__xludf.DUMMYFUNCTION("""COMPUTED_VALUE"""),19524.0)</f>
        <v>19524</v>
      </c>
      <c r="N659" s="2">
        <f>IFERROR(__xludf.DUMMYFUNCTION("""COMPUTED_VALUE"""),0.0)</f>
        <v>0</v>
      </c>
      <c r="O659" s="2">
        <f>IFERROR(__xludf.DUMMYFUNCTION("""COMPUTED_VALUE"""),19524.0)</f>
        <v>19524</v>
      </c>
      <c r="P659" s="2">
        <f>IFERROR(__xludf.DUMMYFUNCTION("""COMPUTED_VALUE"""),976.0)</f>
        <v>976</v>
      </c>
      <c r="Q659" s="2" t="str">
        <f>IFERROR(__xludf.DUMMYFUNCTION("""COMPUTED_VALUE"""),"Dine In")</f>
        <v>Dine In</v>
      </c>
      <c r="R659" s="2" t="str">
        <f>IFERROR(__xludf.DUMMYFUNCTION("""COMPUTED_VALUE"""),"Kedai")</f>
        <v>Kedai</v>
      </c>
      <c r="S659" s="2" t="str">
        <f>IFERROR(__xludf.DUMMYFUNCTION("""COMPUTED_VALUE"""),"Temu Roti")</f>
        <v>Temu Roti</v>
      </c>
      <c r="T659" s="2" t="str">
        <f>IFERROR(__xludf.DUMMYFUNCTION("""COMPUTED_VALUE"""),"Owner")</f>
        <v>Owner</v>
      </c>
      <c r="U659" s="2"/>
      <c r="V659" s="2"/>
      <c r="W659" s="2"/>
      <c r="X659" s="2" t="str">
        <f>IFERROR(__xludf.DUMMYFUNCTION("""COMPUTED_VALUE"""),"Closed")</f>
        <v>Closed</v>
      </c>
    </row>
    <row r="660">
      <c r="A660" s="3" t="s">
        <v>676</v>
      </c>
      <c r="B660" s="4">
        <f>IFERROR(__xludf.DUMMYFUNCTION("SPLIT(A660,"","",0,0)"),45550.70347222222)</f>
        <v>45550.70347</v>
      </c>
      <c r="C660" s="5">
        <f>IFERROR(__xludf.DUMMYFUNCTION("""COMPUTED_VALUE"""),2709402.0)</f>
        <v>2709402</v>
      </c>
      <c r="D660" s="2" t="str">
        <f>IFERROR(__xludf.DUMMYFUNCTION("""COMPUTED_VALUE"""),"Sale")</f>
        <v>Sale</v>
      </c>
      <c r="E660" s="2" t="str">
        <f>IFERROR(__xludf.DUMMYFUNCTION("""COMPUTED_VALUE"""),"Kudapan")</f>
        <v>Kudapan</v>
      </c>
      <c r="F660" s="2">
        <f>IFERROR(__xludf.DUMMYFUNCTION("""COMPUTED_VALUE"""),10010.0)</f>
        <v>10010</v>
      </c>
      <c r="G660" s="2" t="str">
        <f>IFERROR(__xludf.DUMMYFUNCTION("""COMPUTED_VALUE"""),"Pisang Goreng")</f>
        <v>Pisang Goreng</v>
      </c>
      <c r="H660" s="2"/>
      <c r="I660" s="2"/>
      <c r="J660" s="2">
        <f>IFERROR(__xludf.DUMMYFUNCTION("""COMPUTED_VALUE"""),1.0)</f>
        <v>1</v>
      </c>
      <c r="K660" s="6">
        <f>IFERROR(__xludf.DUMMYFUNCTION("""COMPUTED_VALUE"""),25238.0)</f>
        <v>25238</v>
      </c>
      <c r="L660" s="2">
        <f>IFERROR(__xludf.DUMMYFUNCTION("""COMPUTED_VALUE"""),0.0)</f>
        <v>0</v>
      </c>
      <c r="M660" s="2">
        <f>IFERROR(__xludf.DUMMYFUNCTION("""COMPUTED_VALUE"""),25238.0)</f>
        <v>25238</v>
      </c>
      <c r="N660" s="2">
        <f>IFERROR(__xludf.DUMMYFUNCTION("""COMPUTED_VALUE"""),0.0)</f>
        <v>0</v>
      </c>
      <c r="O660" s="2">
        <f>IFERROR(__xludf.DUMMYFUNCTION("""COMPUTED_VALUE"""),25238.0)</f>
        <v>25238</v>
      </c>
      <c r="P660" s="2">
        <f>IFERROR(__xludf.DUMMYFUNCTION("""COMPUTED_VALUE"""),1262.0)</f>
        <v>1262</v>
      </c>
      <c r="Q660" s="2" t="str">
        <f>IFERROR(__xludf.DUMMYFUNCTION("""COMPUTED_VALUE"""),"Dine In")</f>
        <v>Dine In</v>
      </c>
      <c r="R660" s="2" t="str">
        <f>IFERROR(__xludf.DUMMYFUNCTION("""COMPUTED_VALUE"""),"Kedai")</f>
        <v>Kedai</v>
      </c>
      <c r="S660" s="2" t="str">
        <f>IFERROR(__xludf.DUMMYFUNCTION("""COMPUTED_VALUE"""),"Temu Roti")</f>
        <v>Temu Roti</v>
      </c>
      <c r="T660" s="2" t="str">
        <f>IFERROR(__xludf.DUMMYFUNCTION("""COMPUTED_VALUE"""),"Owner")</f>
        <v>Owner</v>
      </c>
      <c r="U660" s="2"/>
      <c r="V660" s="2"/>
      <c r="W660" s="2"/>
      <c r="X660" s="2" t="str">
        <f>IFERROR(__xludf.DUMMYFUNCTION("""COMPUTED_VALUE"""),"Closed")</f>
        <v>Closed</v>
      </c>
    </row>
    <row r="661">
      <c r="A661" s="3" t="s">
        <v>677</v>
      </c>
      <c r="B661" s="4">
        <f>IFERROR(__xludf.DUMMYFUNCTION("SPLIT(A661,"","",0,0)"),45550.70347222222)</f>
        <v>45550.70347</v>
      </c>
      <c r="C661" s="5">
        <f>IFERROR(__xludf.DUMMYFUNCTION("""COMPUTED_VALUE"""),2709402.0)</f>
        <v>2709402</v>
      </c>
      <c r="D661" s="2" t="str">
        <f>IFERROR(__xludf.DUMMYFUNCTION("""COMPUTED_VALUE"""),"Sale")</f>
        <v>Sale</v>
      </c>
      <c r="E661" s="2" t="str">
        <f>IFERROR(__xludf.DUMMYFUNCTION("""COMPUTED_VALUE"""),"Kudapan")</f>
        <v>Kudapan</v>
      </c>
      <c r="F661" s="2">
        <f>IFERROR(__xludf.DUMMYFUNCTION("""COMPUTED_VALUE"""),10014.0)</f>
        <v>10014</v>
      </c>
      <c r="G661" s="2" t="str">
        <f>IFERROR(__xludf.DUMMYFUNCTION("""COMPUTED_VALUE"""),"Tempe Mendoan")</f>
        <v>Tempe Mendoan</v>
      </c>
      <c r="H661" s="2"/>
      <c r="I661" s="2"/>
      <c r="J661" s="2">
        <f>IFERROR(__xludf.DUMMYFUNCTION("""COMPUTED_VALUE"""),1.0)</f>
        <v>1</v>
      </c>
      <c r="K661" s="6">
        <f>IFERROR(__xludf.DUMMYFUNCTION("""COMPUTED_VALUE"""),25238.0)</f>
        <v>25238</v>
      </c>
      <c r="L661" s="2">
        <f>IFERROR(__xludf.DUMMYFUNCTION("""COMPUTED_VALUE"""),0.0)</f>
        <v>0</v>
      </c>
      <c r="M661" s="2">
        <f>IFERROR(__xludf.DUMMYFUNCTION("""COMPUTED_VALUE"""),25238.0)</f>
        <v>25238</v>
      </c>
      <c r="N661" s="2">
        <f>IFERROR(__xludf.DUMMYFUNCTION("""COMPUTED_VALUE"""),0.0)</f>
        <v>0</v>
      </c>
      <c r="O661" s="2">
        <f>IFERROR(__xludf.DUMMYFUNCTION("""COMPUTED_VALUE"""),25238.0)</f>
        <v>25238</v>
      </c>
      <c r="P661" s="2">
        <f>IFERROR(__xludf.DUMMYFUNCTION("""COMPUTED_VALUE"""),1262.0)</f>
        <v>1262</v>
      </c>
      <c r="Q661" s="2" t="str">
        <f>IFERROR(__xludf.DUMMYFUNCTION("""COMPUTED_VALUE"""),"Dine In")</f>
        <v>Dine In</v>
      </c>
      <c r="R661" s="2" t="str">
        <f>IFERROR(__xludf.DUMMYFUNCTION("""COMPUTED_VALUE"""),"Kedai")</f>
        <v>Kedai</v>
      </c>
      <c r="S661" s="2" t="str">
        <f>IFERROR(__xludf.DUMMYFUNCTION("""COMPUTED_VALUE"""),"Temu Roti")</f>
        <v>Temu Roti</v>
      </c>
      <c r="T661" s="2" t="str">
        <f>IFERROR(__xludf.DUMMYFUNCTION("""COMPUTED_VALUE"""),"Owner")</f>
        <v>Owner</v>
      </c>
      <c r="U661" s="2"/>
      <c r="V661" s="2"/>
      <c r="W661" s="2"/>
      <c r="X661" s="2" t="str">
        <f>IFERROR(__xludf.DUMMYFUNCTION("""COMPUTED_VALUE"""),"Closed")</f>
        <v>Closed</v>
      </c>
    </row>
    <row r="662">
      <c r="A662" s="3" t="s">
        <v>678</v>
      </c>
      <c r="B662" s="4">
        <f>IFERROR(__xludf.DUMMYFUNCTION("SPLIT(A662,"","",0,0)"),45550.69375)</f>
        <v>45550.69375</v>
      </c>
      <c r="C662" s="5">
        <f>IFERROR(__xludf.DUMMYFUNCTION("""COMPUTED_VALUE"""),2709037.0)</f>
        <v>2709037</v>
      </c>
      <c r="D662" s="2" t="str">
        <f>IFERROR(__xludf.DUMMYFUNCTION("""COMPUTED_VALUE"""),"Sale")</f>
        <v>Sale</v>
      </c>
      <c r="E662" s="2" t="str">
        <f>IFERROR(__xludf.DUMMYFUNCTION("""COMPUTED_VALUE"""),"Roti")</f>
        <v>Roti</v>
      </c>
      <c r="F662" s="2">
        <f>IFERROR(__xludf.DUMMYFUNCTION("""COMPUTED_VALUE"""),10002.0)</f>
        <v>10002</v>
      </c>
      <c r="G662" s="2" t="str">
        <f>IFERROR(__xludf.DUMMYFUNCTION("""COMPUTED_VALUE"""),"Roti Cranberry")</f>
        <v>Roti Cranberry</v>
      </c>
      <c r="H662" s="2"/>
      <c r="I662" s="2"/>
      <c r="J662" s="2">
        <f>IFERROR(__xludf.DUMMYFUNCTION("""COMPUTED_VALUE"""),1.0)</f>
        <v>1</v>
      </c>
      <c r="K662" s="6">
        <f>IFERROR(__xludf.DUMMYFUNCTION("""COMPUTED_VALUE"""),18571.0)</f>
        <v>18571</v>
      </c>
      <c r="L662" s="2">
        <f>IFERROR(__xludf.DUMMYFUNCTION("""COMPUTED_VALUE"""),0.0)</f>
        <v>0</v>
      </c>
      <c r="M662" s="2">
        <f>IFERROR(__xludf.DUMMYFUNCTION("""COMPUTED_VALUE"""),18571.0)</f>
        <v>18571</v>
      </c>
      <c r="N662" s="2">
        <f>IFERROR(__xludf.DUMMYFUNCTION("""COMPUTED_VALUE"""),0.0)</f>
        <v>0</v>
      </c>
      <c r="O662" s="2">
        <f>IFERROR(__xludf.DUMMYFUNCTION("""COMPUTED_VALUE"""),18571.0)</f>
        <v>18571</v>
      </c>
      <c r="P662" s="2">
        <f>IFERROR(__xludf.DUMMYFUNCTION("""COMPUTED_VALUE"""),929.0)</f>
        <v>929</v>
      </c>
      <c r="Q662" s="2" t="str">
        <f>IFERROR(__xludf.DUMMYFUNCTION("""COMPUTED_VALUE"""),"Dine In")</f>
        <v>Dine In</v>
      </c>
      <c r="R662" s="2" t="str">
        <f>IFERROR(__xludf.DUMMYFUNCTION("""COMPUTED_VALUE"""),"Kedai")</f>
        <v>Kedai</v>
      </c>
      <c r="S662" s="2" t="str">
        <f>IFERROR(__xludf.DUMMYFUNCTION("""COMPUTED_VALUE"""),"Temu Roti")</f>
        <v>Temu Roti</v>
      </c>
      <c r="T662" s="2" t="str">
        <f>IFERROR(__xludf.DUMMYFUNCTION("""COMPUTED_VALUE"""),"Owner")</f>
        <v>Owner</v>
      </c>
      <c r="U662" s="2"/>
      <c r="V662" s="2"/>
      <c r="W662" s="2"/>
      <c r="X662" s="2" t="str">
        <f>IFERROR(__xludf.DUMMYFUNCTION("""COMPUTED_VALUE"""),"Closed")</f>
        <v>Closed</v>
      </c>
    </row>
    <row r="663">
      <c r="A663" s="3" t="s">
        <v>679</v>
      </c>
      <c r="B663" s="4">
        <f>IFERROR(__xludf.DUMMYFUNCTION("SPLIT(A663,"","",0,0)"),45550.68958333333)</f>
        <v>45550.68958</v>
      </c>
      <c r="C663" s="5">
        <f>IFERROR(__xludf.DUMMYFUNCTION("""COMPUTED_VALUE"""),2708671.0)</f>
        <v>2708671</v>
      </c>
      <c r="D663" s="2" t="str">
        <f>IFERROR(__xludf.DUMMYFUNCTION("""COMPUTED_VALUE"""),"Sale")</f>
        <v>Sale</v>
      </c>
      <c r="E663" s="2" t="str">
        <f>IFERROR(__xludf.DUMMYFUNCTION("""COMPUTED_VALUE"""),"Roti")</f>
        <v>Roti</v>
      </c>
      <c r="F663" s="2">
        <f>IFERROR(__xludf.DUMMYFUNCTION("""COMPUTED_VALUE"""),10005.0)</f>
        <v>10005</v>
      </c>
      <c r="G663" s="2" t="str">
        <f>IFERROR(__xludf.DUMMYFUNCTION("""COMPUTED_VALUE"""),"Roti Gandum Cokelat")</f>
        <v>Roti Gandum Cokelat</v>
      </c>
      <c r="H663" s="2"/>
      <c r="I663" s="2"/>
      <c r="J663" s="2">
        <f>IFERROR(__xludf.DUMMYFUNCTION("""COMPUTED_VALUE"""),1.0)</f>
        <v>1</v>
      </c>
      <c r="K663" s="6">
        <f>IFERROR(__xludf.DUMMYFUNCTION("""COMPUTED_VALUE"""),19524.0)</f>
        <v>19524</v>
      </c>
      <c r="L663" s="2">
        <f>IFERROR(__xludf.DUMMYFUNCTION("""COMPUTED_VALUE"""),0.0)</f>
        <v>0</v>
      </c>
      <c r="M663" s="2">
        <f>IFERROR(__xludf.DUMMYFUNCTION("""COMPUTED_VALUE"""),19524.0)</f>
        <v>19524</v>
      </c>
      <c r="N663" s="2">
        <f>IFERROR(__xludf.DUMMYFUNCTION("""COMPUTED_VALUE"""),0.0)</f>
        <v>0</v>
      </c>
      <c r="O663" s="2">
        <f>IFERROR(__xludf.DUMMYFUNCTION("""COMPUTED_VALUE"""),19524.0)</f>
        <v>19524</v>
      </c>
      <c r="P663" s="2">
        <f>IFERROR(__xludf.DUMMYFUNCTION("""COMPUTED_VALUE"""),976.0)</f>
        <v>976</v>
      </c>
      <c r="Q663" s="2" t="str">
        <f>IFERROR(__xludf.DUMMYFUNCTION("""COMPUTED_VALUE"""),"Dine In")</f>
        <v>Dine In</v>
      </c>
      <c r="R663" s="2" t="str">
        <f>IFERROR(__xludf.DUMMYFUNCTION("""COMPUTED_VALUE"""),"Kedai")</f>
        <v>Kedai</v>
      </c>
      <c r="S663" s="2" t="str">
        <f>IFERROR(__xludf.DUMMYFUNCTION("""COMPUTED_VALUE"""),"Temu Roti")</f>
        <v>Temu Roti</v>
      </c>
      <c r="T663" s="2" t="str">
        <f>IFERROR(__xludf.DUMMYFUNCTION("""COMPUTED_VALUE"""),"Owner")</f>
        <v>Owner</v>
      </c>
      <c r="U663" s="2"/>
      <c r="V663" s="2"/>
      <c r="W663" s="2"/>
      <c r="X663" s="2" t="str">
        <f>IFERROR(__xludf.DUMMYFUNCTION("""COMPUTED_VALUE"""),"Closed")</f>
        <v>Closed</v>
      </c>
    </row>
    <row r="664">
      <c r="A664" s="3" t="s">
        <v>680</v>
      </c>
      <c r="B664" s="4">
        <f>IFERROR(__xludf.DUMMYFUNCTION("SPLIT(A664,"","",0,0)"),45550.68958333333)</f>
        <v>45550.68958</v>
      </c>
      <c r="C664" s="5">
        <f>IFERROR(__xludf.DUMMYFUNCTION("""COMPUTED_VALUE"""),2708671.0)</f>
        <v>2708671</v>
      </c>
      <c r="D664" s="2" t="str">
        <f>IFERROR(__xludf.DUMMYFUNCTION("""COMPUTED_VALUE"""),"Sale")</f>
        <v>Sale</v>
      </c>
      <c r="E664" s="2" t="str">
        <f>IFERROR(__xludf.DUMMYFUNCTION("""COMPUTED_VALUE"""),"Roti")</f>
        <v>Roti</v>
      </c>
      <c r="F664" s="2">
        <f>IFERROR(__xludf.DUMMYFUNCTION("""COMPUTED_VALUE"""),10007.0)</f>
        <v>10007</v>
      </c>
      <c r="G664" s="2" t="str">
        <f>IFERROR(__xludf.DUMMYFUNCTION("""COMPUTED_VALUE"""),"Roti cranberry 2 pcs")</f>
        <v>Roti cranberry 2 pcs</v>
      </c>
      <c r="H664" s="2"/>
      <c r="I664" s="2"/>
      <c r="J664" s="2">
        <f>IFERROR(__xludf.DUMMYFUNCTION("""COMPUTED_VALUE"""),1.0)</f>
        <v>1</v>
      </c>
      <c r="K664" s="6">
        <f>IFERROR(__xludf.DUMMYFUNCTION("""COMPUTED_VALUE"""),33810.0)</f>
        <v>33810</v>
      </c>
      <c r="L664" s="2">
        <f>IFERROR(__xludf.DUMMYFUNCTION("""COMPUTED_VALUE"""),0.0)</f>
        <v>0</v>
      </c>
      <c r="M664" s="2">
        <f>IFERROR(__xludf.DUMMYFUNCTION("""COMPUTED_VALUE"""),33810.0)</f>
        <v>33810</v>
      </c>
      <c r="N664" s="2">
        <f>IFERROR(__xludf.DUMMYFUNCTION("""COMPUTED_VALUE"""),0.0)</f>
        <v>0</v>
      </c>
      <c r="O664" s="2">
        <f>IFERROR(__xludf.DUMMYFUNCTION("""COMPUTED_VALUE"""),33810.0)</f>
        <v>33810</v>
      </c>
      <c r="P664" s="2">
        <f>IFERROR(__xludf.DUMMYFUNCTION("""COMPUTED_VALUE"""),1691.0)</f>
        <v>1691</v>
      </c>
      <c r="Q664" s="2" t="str">
        <f>IFERROR(__xludf.DUMMYFUNCTION("""COMPUTED_VALUE"""),"Dine In")</f>
        <v>Dine In</v>
      </c>
      <c r="R664" s="2" t="str">
        <f>IFERROR(__xludf.DUMMYFUNCTION("""COMPUTED_VALUE"""),"Kedai")</f>
        <v>Kedai</v>
      </c>
      <c r="S664" s="2" t="str">
        <f>IFERROR(__xludf.DUMMYFUNCTION("""COMPUTED_VALUE"""),"Temu Roti")</f>
        <v>Temu Roti</v>
      </c>
      <c r="T664" s="2" t="str">
        <f>IFERROR(__xludf.DUMMYFUNCTION("""COMPUTED_VALUE"""),"Owner")</f>
        <v>Owner</v>
      </c>
      <c r="U664" s="2"/>
      <c r="V664" s="2"/>
      <c r="W664" s="2"/>
      <c r="X664" s="2" t="str">
        <f>IFERROR(__xludf.DUMMYFUNCTION("""COMPUTED_VALUE"""),"Closed")</f>
        <v>Closed</v>
      </c>
    </row>
    <row r="665">
      <c r="A665" s="3" t="s">
        <v>681</v>
      </c>
      <c r="B665" s="4">
        <f>IFERROR(__xludf.DUMMYFUNCTION("SPLIT(A665,"","",0,0)"),45550.68958333333)</f>
        <v>45550.68958</v>
      </c>
      <c r="C665" s="5">
        <f>IFERROR(__xludf.DUMMYFUNCTION("""COMPUTED_VALUE"""),2708671.0)</f>
        <v>2708671</v>
      </c>
      <c r="D665" s="2" t="str">
        <f>IFERROR(__xludf.DUMMYFUNCTION("""COMPUTED_VALUE"""),"Sale")</f>
        <v>Sale</v>
      </c>
      <c r="E665" s="2" t="str">
        <f>IFERROR(__xludf.DUMMYFUNCTION("""COMPUTED_VALUE"""),"Roti")</f>
        <v>Roti</v>
      </c>
      <c r="F665" s="2">
        <f>IFERROR(__xludf.DUMMYFUNCTION("""COMPUTED_VALUE"""),10000.0)</f>
        <v>10000</v>
      </c>
      <c r="G665" s="2" t="str">
        <f>IFERROR(__xludf.DUMMYFUNCTION("""COMPUTED_VALUE"""),"Roti Bawang Saus Keju")</f>
        <v>Roti Bawang Saus Keju</v>
      </c>
      <c r="H665" s="2"/>
      <c r="I665" s="2"/>
      <c r="J665" s="2">
        <f>IFERROR(__xludf.DUMMYFUNCTION("""COMPUTED_VALUE"""),1.0)</f>
        <v>1</v>
      </c>
      <c r="K665" s="6">
        <f>IFERROR(__xludf.DUMMYFUNCTION("""COMPUTED_VALUE"""),29524.0)</f>
        <v>29524</v>
      </c>
      <c r="L665" s="2">
        <f>IFERROR(__xludf.DUMMYFUNCTION("""COMPUTED_VALUE"""),0.0)</f>
        <v>0</v>
      </c>
      <c r="M665" s="2">
        <f>IFERROR(__xludf.DUMMYFUNCTION("""COMPUTED_VALUE"""),29524.0)</f>
        <v>29524</v>
      </c>
      <c r="N665" s="2">
        <f>IFERROR(__xludf.DUMMYFUNCTION("""COMPUTED_VALUE"""),0.0)</f>
        <v>0</v>
      </c>
      <c r="O665" s="2">
        <f>IFERROR(__xludf.DUMMYFUNCTION("""COMPUTED_VALUE"""),29524.0)</f>
        <v>29524</v>
      </c>
      <c r="P665" s="2">
        <f>IFERROR(__xludf.DUMMYFUNCTION("""COMPUTED_VALUE"""),1476.0)</f>
        <v>1476</v>
      </c>
      <c r="Q665" s="2" t="str">
        <f>IFERROR(__xludf.DUMMYFUNCTION("""COMPUTED_VALUE"""),"Dine In")</f>
        <v>Dine In</v>
      </c>
      <c r="R665" s="2" t="str">
        <f>IFERROR(__xludf.DUMMYFUNCTION("""COMPUTED_VALUE"""),"Kedai")</f>
        <v>Kedai</v>
      </c>
      <c r="S665" s="2" t="str">
        <f>IFERROR(__xludf.DUMMYFUNCTION("""COMPUTED_VALUE"""),"Temu Roti")</f>
        <v>Temu Roti</v>
      </c>
      <c r="T665" s="2" t="str">
        <f>IFERROR(__xludf.DUMMYFUNCTION("""COMPUTED_VALUE"""),"Owner")</f>
        <v>Owner</v>
      </c>
      <c r="U665" s="2"/>
      <c r="V665" s="2"/>
      <c r="W665" s="2"/>
      <c r="X665" s="2" t="str">
        <f>IFERROR(__xludf.DUMMYFUNCTION("""COMPUTED_VALUE"""),"Closed")</f>
        <v>Closed</v>
      </c>
    </row>
    <row r="666">
      <c r="A666" s="3" t="s">
        <v>682</v>
      </c>
      <c r="B666" s="4">
        <f>IFERROR(__xludf.DUMMYFUNCTION("SPLIT(A666,"","",0,0)"),45550.68958333333)</f>
        <v>45550.68958</v>
      </c>
      <c r="C666" s="5">
        <f>IFERROR(__xludf.DUMMYFUNCTION("""COMPUTED_VALUE"""),2708671.0)</f>
        <v>2708671</v>
      </c>
      <c r="D666" s="2" t="str">
        <f>IFERROR(__xludf.DUMMYFUNCTION("""COMPUTED_VALUE"""),"Sale")</f>
        <v>Sale</v>
      </c>
      <c r="E666" s="2" t="str">
        <f>IFERROR(__xludf.DUMMYFUNCTION("""COMPUTED_VALUE"""),"Minuman")</f>
        <v>Minuman</v>
      </c>
      <c r="F666" s="2">
        <f>IFERROR(__xludf.DUMMYFUNCTION("""COMPUTED_VALUE"""),10107.0)</f>
        <v>10107</v>
      </c>
      <c r="G666" s="2" t="str">
        <f>IFERROR(__xludf.DUMMYFUNCTION("""COMPUTED_VALUE"""),"Korean Mango Fresh Milk")</f>
        <v>Korean Mango Fresh Milk</v>
      </c>
      <c r="H666" s="2"/>
      <c r="I666" s="2"/>
      <c r="J666" s="2">
        <f>IFERROR(__xludf.DUMMYFUNCTION("""COMPUTED_VALUE"""),1.0)</f>
        <v>1</v>
      </c>
      <c r="K666" s="6">
        <f>IFERROR(__xludf.DUMMYFUNCTION("""COMPUTED_VALUE"""),26667.0)</f>
        <v>26667</v>
      </c>
      <c r="L666" s="2">
        <f>IFERROR(__xludf.DUMMYFUNCTION("""COMPUTED_VALUE"""),0.0)</f>
        <v>0</v>
      </c>
      <c r="M666" s="2">
        <f>IFERROR(__xludf.DUMMYFUNCTION("""COMPUTED_VALUE"""),26667.0)</f>
        <v>26667</v>
      </c>
      <c r="N666" s="2">
        <f>IFERROR(__xludf.DUMMYFUNCTION("""COMPUTED_VALUE"""),0.0)</f>
        <v>0</v>
      </c>
      <c r="O666" s="2">
        <f>IFERROR(__xludf.DUMMYFUNCTION("""COMPUTED_VALUE"""),26667.0)</f>
        <v>26667</v>
      </c>
      <c r="P666" s="2">
        <f>IFERROR(__xludf.DUMMYFUNCTION("""COMPUTED_VALUE"""),1333.0)</f>
        <v>1333</v>
      </c>
      <c r="Q666" s="2" t="str">
        <f>IFERROR(__xludf.DUMMYFUNCTION("""COMPUTED_VALUE"""),"Dine In")</f>
        <v>Dine In</v>
      </c>
      <c r="R666" s="2" t="str">
        <f>IFERROR(__xludf.DUMMYFUNCTION("""COMPUTED_VALUE"""),"Kedai")</f>
        <v>Kedai</v>
      </c>
      <c r="S666" s="2" t="str">
        <f>IFERROR(__xludf.DUMMYFUNCTION("""COMPUTED_VALUE"""),"Temu Roti")</f>
        <v>Temu Roti</v>
      </c>
      <c r="T666" s="2" t="str">
        <f>IFERROR(__xludf.DUMMYFUNCTION("""COMPUTED_VALUE"""),"Owner")</f>
        <v>Owner</v>
      </c>
      <c r="U666" s="2"/>
      <c r="V666" s="2"/>
      <c r="W666" s="2"/>
      <c r="X666" s="2" t="str">
        <f>IFERROR(__xludf.DUMMYFUNCTION("""COMPUTED_VALUE"""),"Closed")</f>
        <v>Closed</v>
      </c>
    </row>
    <row r="667">
      <c r="A667" s="3" t="s">
        <v>683</v>
      </c>
      <c r="B667" s="4">
        <f>IFERROR(__xludf.DUMMYFUNCTION("SPLIT(A667,"","",0,0)"),45550.68958333333)</f>
        <v>45550.68958</v>
      </c>
      <c r="C667" s="5">
        <f>IFERROR(__xludf.DUMMYFUNCTION("""COMPUTED_VALUE"""),2708671.0)</f>
        <v>2708671</v>
      </c>
      <c r="D667" s="2" t="str">
        <f>IFERROR(__xludf.DUMMYFUNCTION("""COMPUTED_VALUE"""),"Sale")</f>
        <v>Sale</v>
      </c>
      <c r="E667" s="2" t="str">
        <f>IFERROR(__xludf.DUMMYFUNCTION("""COMPUTED_VALUE"""),"Minuman")</f>
        <v>Minuman</v>
      </c>
      <c r="F667" s="2">
        <f>IFERROR(__xludf.DUMMYFUNCTION("""COMPUTED_VALUE"""),10128.0)</f>
        <v>10128</v>
      </c>
      <c r="G667" s="2" t="str">
        <f>IFERROR(__xludf.DUMMYFUNCTION("""COMPUTED_VALUE"""),"Es Kopi Susu")</f>
        <v>Es Kopi Susu</v>
      </c>
      <c r="H667" s="2"/>
      <c r="I667" s="2"/>
      <c r="J667" s="2">
        <f>IFERROR(__xludf.DUMMYFUNCTION("""COMPUTED_VALUE"""),1.0)</f>
        <v>1</v>
      </c>
      <c r="K667" s="6">
        <f>IFERROR(__xludf.DUMMYFUNCTION("""COMPUTED_VALUE"""),23333.0)</f>
        <v>23333</v>
      </c>
      <c r="L667" s="2">
        <f>IFERROR(__xludf.DUMMYFUNCTION("""COMPUTED_VALUE"""),0.0)</f>
        <v>0</v>
      </c>
      <c r="M667" s="2">
        <f>IFERROR(__xludf.DUMMYFUNCTION("""COMPUTED_VALUE"""),23333.0)</f>
        <v>23333</v>
      </c>
      <c r="N667" s="2">
        <f>IFERROR(__xludf.DUMMYFUNCTION("""COMPUTED_VALUE"""),0.0)</f>
        <v>0</v>
      </c>
      <c r="O667" s="2">
        <f>IFERROR(__xludf.DUMMYFUNCTION("""COMPUTED_VALUE"""),23333.0)</f>
        <v>23333</v>
      </c>
      <c r="P667" s="2">
        <f>IFERROR(__xludf.DUMMYFUNCTION("""COMPUTED_VALUE"""),1167.0)</f>
        <v>1167</v>
      </c>
      <c r="Q667" s="2" t="str">
        <f>IFERROR(__xludf.DUMMYFUNCTION("""COMPUTED_VALUE"""),"Dine In")</f>
        <v>Dine In</v>
      </c>
      <c r="R667" s="2" t="str">
        <f>IFERROR(__xludf.DUMMYFUNCTION("""COMPUTED_VALUE"""),"Kedai")</f>
        <v>Kedai</v>
      </c>
      <c r="S667" s="2" t="str">
        <f>IFERROR(__xludf.DUMMYFUNCTION("""COMPUTED_VALUE"""),"Temu Roti")</f>
        <v>Temu Roti</v>
      </c>
      <c r="T667" s="2" t="str">
        <f>IFERROR(__xludf.DUMMYFUNCTION("""COMPUTED_VALUE"""),"Owner")</f>
        <v>Owner</v>
      </c>
      <c r="U667" s="2"/>
      <c r="V667" s="2"/>
      <c r="W667" s="2"/>
      <c r="X667" s="2" t="str">
        <f>IFERROR(__xludf.DUMMYFUNCTION("""COMPUTED_VALUE"""),"Closed")</f>
        <v>Closed</v>
      </c>
    </row>
    <row r="668">
      <c r="A668" s="3" t="s">
        <v>684</v>
      </c>
      <c r="B668" s="4">
        <f>IFERROR(__xludf.DUMMYFUNCTION("SPLIT(A668,"","",0,0)"),45550.68958333333)</f>
        <v>45550.68958</v>
      </c>
      <c r="C668" s="5">
        <f>IFERROR(__xludf.DUMMYFUNCTION("""COMPUTED_VALUE"""),2708671.0)</f>
        <v>2708671</v>
      </c>
      <c r="D668" s="2" t="str">
        <f>IFERROR(__xludf.DUMMYFUNCTION("""COMPUTED_VALUE"""),"Sale")</f>
        <v>Sale</v>
      </c>
      <c r="E668" s="2" t="str">
        <f>IFERROR(__xludf.DUMMYFUNCTION("""COMPUTED_VALUE"""),"Minuman")</f>
        <v>Minuman</v>
      </c>
      <c r="F668" s="2">
        <f>IFERROR(__xludf.DUMMYFUNCTION("""COMPUTED_VALUE"""),10058.0)</f>
        <v>10058</v>
      </c>
      <c r="G668" s="2" t="str">
        <f>IFERROR(__xludf.DUMMYFUNCTION("""COMPUTED_VALUE"""),"Susu murni ori")</f>
        <v>Susu murni ori</v>
      </c>
      <c r="H668" s="2"/>
      <c r="I668" s="2"/>
      <c r="J668" s="2">
        <f>IFERROR(__xludf.DUMMYFUNCTION("""COMPUTED_VALUE"""),1.0)</f>
        <v>1</v>
      </c>
      <c r="K668" s="6">
        <f>IFERROR(__xludf.DUMMYFUNCTION("""COMPUTED_VALUE"""),19524.0)</f>
        <v>19524</v>
      </c>
      <c r="L668" s="2">
        <f>IFERROR(__xludf.DUMMYFUNCTION("""COMPUTED_VALUE"""),0.0)</f>
        <v>0</v>
      </c>
      <c r="M668" s="2">
        <f>IFERROR(__xludf.DUMMYFUNCTION("""COMPUTED_VALUE"""),19524.0)</f>
        <v>19524</v>
      </c>
      <c r="N668" s="2">
        <f>IFERROR(__xludf.DUMMYFUNCTION("""COMPUTED_VALUE"""),0.0)</f>
        <v>0</v>
      </c>
      <c r="O668" s="2">
        <f>IFERROR(__xludf.DUMMYFUNCTION("""COMPUTED_VALUE"""),19524.0)</f>
        <v>19524</v>
      </c>
      <c r="P668" s="2">
        <f>IFERROR(__xludf.DUMMYFUNCTION("""COMPUTED_VALUE"""),976.0)</f>
        <v>976</v>
      </c>
      <c r="Q668" s="2" t="str">
        <f>IFERROR(__xludf.DUMMYFUNCTION("""COMPUTED_VALUE"""),"Dine In")</f>
        <v>Dine In</v>
      </c>
      <c r="R668" s="2" t="str">
        <f>IFERROR(__xludf.DUMMYFUNCTION("""COMPUTED_VALUE"""),"Kedai")</f>
        <v>Kedai</v>
      </c>
      <c r="S668" s="2" t="str">
        <f>IFERROR(__xludf.DUMMYFUNCTION("""COMPUTED_VALUE"""),"Temu Roti")</f>
        <v>Temu Roti</v>
      </c>
      <c r="T668" s="2" t="str">
        <f>IFERROR(__xludf.DUMMYFUNCTION("""COMPUTED_VALUE"""),"Owner")</f>
        <v>Owner</v>
      </c>
      <c r="U668" s="2"/>
      <c r="V668" s="2"/>
      <c r="W668" s="2"/>
      <c r="X668" s="2" t="str">
        <f>IFERROR(__xludf.DUMMYFUNCTION("""COMPUTED_VALUE"""),"Closed")</f>
        <v>Closed</v>
      </c>
    </row>
    <row r="669">
      <c r="A669" s="3" t="s">
        <v>685</v>
      </c>
      <c r="B669" s="4">
        <f>IFERROR(__xludf.DUMMYFUNCTION("SPLIT(A669,"","",0,0)"),45550.6875)</f>
        <v>45550.6875</v>
      </c>
      <c r="C669" s="5">
        <f>IFERROR(__xludf.DUMMYFUNCTION("""COMPUTED_VALUE"""),2708306.0)</f>
        <v>2708306</v>
      </c>
      <c r="D669" s="2" t="str">
        <f>IFERROR(__xludf.DUMMYFUNCTION("""COMPUTED_VALUE"""),"Sale")</f>
        <v>Sale</v>
      </c>
      <c r="E669" s="2" t="str">
        <f>IFERROR(__xludf.DUMMYFUNCTION("""COMPUTED_VALUE"""),"Roti")</f>
        <v>Roti</v>
      </c>
      <c r="F669" s="2">
        <f>IFERROR(__xludf.DUMMYFUNCTION("""COMPUTED_VALUE"""),10007.0)</f>
        <v>10007</v>
      </c>
      <c r="G669" s="2" t="str">
        <f>IFERROR(__xludf.DUMMYFUNCTION("""COMPUTED_VALUE"""),"Roti cranberry 2 pcs")</f>
        <v>Roti cranberry 2 pcs</v>
      </c>
      <c r="H669" s="2"/>
      <c r="I669" s="2"/>
      <c r="J669" s="2">
        <f>IFERROR(__xludf.DUMMYFUNCTION("""COMPUTED_VALUE"""),1.0)</f>
        <v>1</v>
      </c>
      <c r="K669" s="6">
        <f>IFERROR(__xludf.DUMMYFUNCTION("""COMPUTED_VALUE"""),33810.0)</f>
        <v>33810</v>
      </c>
      <c r="L669" s="2">
        <f>IFERROR(__xludf.DUMMYFUNCTION("""COMPUTED_VALUE"""),0.0)</f>
        <v>0</v>
      </c>
      <c r="M669" s="2">
        <f>IFERROR(__xludf.DUMMYFUNCTION("""COMPUTED_VALUE"""),33810.0)</f>
        <v>33810</v>
      </c>
      <c r="N669" s="2">
        <f>IFERROR(__xludf.DUMMYFUNCTION("""COMPUTED_VALUE"""),0.0)</f>
        <v>0</v>
      </c>
      <c r="O669" s="2">
        <f>IFERROR(__xludf.DUMMYFUNCTION("""COMPUTED_VALUE"""),33810.0)</f>
        <v>33810</v>
      </c>
      <c r="P669" s="2">
        <f>IFERROR(__xludf.DUMMYFUNCTION("""COMPUTED_VALUE"""),1691.0)</f>
        <v>1691</v>
      </c>
      <c r="Q669" s="2" t="str">
        <f>IFERROR(__xludf.DUMMYFUNCTION("""COMPUTED_VALUE"""),"Dine In")</f>
        <v>Dine In</v>
      </c>
      <c r="R669" s="2" t="str">
        <f>IFERROR(__xludf.DUMMYFUNCTION("""COMPUTED_VALUE"""),"Kedai")</f>
        <v>Kedai</v>
      </c>
      <c r="S669" s="2" t="str">
        <f>IFERROR(__xludf.DUMMYFUNCTION("""COMPUTED_VALUE"""),"Temu Roti")</f>
        <v>Temu Roti</v>
      </c>
      <c r="T669" s="2" t="str">
        <f>IFERROR(__xludf.DUMMYFUNCTION("""COMPUTED_VALUE"""),"Owner")</f>
        <v>Owner</v>
      </c>
      <c r="U669" s="2"/>
      <c r="V669" s="2"/>
      <c r="W669" s="2"/>
      <c r="X669" s="2" t="str">
        <f>IFERROR(__xludf.DUMMYFUNCTION("""COMPUTED_VALUE"""),"Closed")</f>
        <v>Closed</v>
      </c>
    </row>
    <row r="670">
      <c r="A670" s="3" t="s">
        <v>686</v>
      </c>
      <c r="B670" s="4">
        <f>IFERROR(__xludf.DUMMYFUNCTION("SPLIT(A670,"","",0,0)"),45550.6875)</f>
        <v>45550.6875</v>
      </c>
      <c r="C670" s="5">
        <f>IFERROR(__xludf.DUMMYFUNCTION("""COMPUTED_VALUE"""),2708306.0)</f>
        <v>2708306</v>
      </c>
      <c r="D670" s="2" t="str">
        <f>IFERROR(__xludf.DUMMYFUNCTION("""COMPUTED_VALUE"""),"Sale")</f>
        <v>Sale</v>
      </c>
      <c r="E670" s="2" t="str">
        <f>IFERROR(__xludf.DUMMYFUNCTION("""COMPUTED_VALUE"""),"Roti")</f>
        <v>Roti</v>
      </c>
      <c r="F670" s="2">
        <f>IFERROR(__xludf.DUMMYFUNCTION("""COMPUTED_VALUE"""),10055.0)</f>
        <v>10055</v>
      </c>
      <c r="G670" s="2" t="str">
        <f>IFERROR(__xludf.DUMMYFUNCTION("""COMPUTED_VALUE"""),"Roti Gandum Cokelat 2 pcs")</f>
        <v>Roti Gandum Cokelat 2 pcs</v>
      </c>
      <c r="H670" s="2"/>
      <c r="I670" s="2"/>
      <c r="J670" s="2">
        <f>IFERROR(__xludf.DUMMYFUNCTION("""COMPUTED_VALUE"""),1.0)</f>
        <v>1</v>
      </c>
      <c r="K670" s="6">
        <f>IFERROR(__xludf.DUMMYFUNCTION("""COMPUTED_VALUE"""),34762.0)</f>
        <v>34762</v>
      </c>
      <c r="L670" s="2">
        <f>IFERROR(__xludf.DUMMYFUNCTION("""COMPUTED_VALUE"""),0.0)</f>
        <v>0</v>
      </c>
      <c r="M670" s="2">
        <f>IFERROR(__xludf.DUMMYFUNCTION("""COMPUTED_VALUE"""),34762.0)</f>
        <v>34762</v>
      </c>
      <c r="N670" s="2">
        <f>IFERROR(__xludf.DUMMYFUNCTION("""COMPUTED_VALUE"""),0.0)</f>
        <v>0</v>
      </c>
      <c r="O670" s="2">
        <f>IFERROR(__xludf.DUMMYFUNCTION("""COMPUTED_VALUE"""),34762.0)</f>
        <v>34762</v>
      </c>
      <c r="P670" s="2">
        <f>IFERROR(__xludf.DUMMYFUNCTION("""COMPUTED_VALUE"""),1738.0)</f>
        <v>1738</v>
      </c>
      <c r="Q670" s="2" t="str">
        <f>IFERROR(__xludf.DUMMYFUNCTION("""COMPUTED_VALUE"""),"Dine In")</f>
        <v>Dine In</v>
      </c>
      <c r="R670" s="2" t="str">
        <f>IFERROR(__xludf.DUMMYFUNCTION("""COMPUTED_VALUE"""),"Kedai")</f>
        <v>Kedai</v>
      </c>
      <c r="S670" s="2" t="str">
        <f>IFERROR(__xludf.DUMMYFUNCTION("""COMPUTED_VALUE"""),"Temu Roti")</f>
        <v>Temu Roti</v>
      </c>
      <c r="T670" s="2" t="str">
        <f>IFERROR(__xludf.DUMMYFUNCTION("""COMPUTED_VALUE"""),"Owner")</f>
        <v>Owner</v>
      </c>
      <c r="U670" s="2"/>
      <c r="V670" s="2"/>
      <c r="W670" s="2"/>
      <c r="X670" s="2" t="str">
        <f>IFERROR(__xludf.DUMMYFUNCTION("""COMPUTED_VALUE"""),"Closed")</f>
        <v>Closed</v>
      </c>
    </row>
    <row r="671">
      <c r="A671" s="3" t="s">
        <v>687</v>
      </c>
      <c r="B671" s="4">
        <f>IFERROR(__xludf.DUMMYFUNCTION("SPLIT(A671,"","",0,0)"),45550.68125)</f>
        <v>45550.68125</v>
      </c>
      <c r="C671" s="5">
        <f>IFERROR(__xludf.DUMMYFUNCTION("""COMPUTED_VALUE"""),2707941.0)</f>
        <v>2707941</v>
      </c>
      <c r="D671" s="2" t="str">
        <f>IFERROR(__xludf.DUMMYFUNCTION("""COMPUTED_VALUE"""),"Sale")</f>
        <v>Sale</v>
      </c>
      <c r="E671" s="2" t="str">
        <f>IFERROR(__xludf.DUMMYFUNCTION("""COMPUTED_VALUE"""),"Hidangan Utama")</f>
        <v>Hidangan Utama</v>
      </c>
      <c r="F671" s="2">
        <f>IFERROR(__xludf.DUMMYFUNCTION("""COMPUTED_VALUE"""),10003.0)</f>
        <v>10003</v>
      </c>
      <c r="G671" s="2" t="str">
        <f>IFERROR(__xludf.DUMMYFUNCTION("""COMPUTED_VALUE"""),"Nasi Goreng Temu")</f>
        <v>Nasi Goreng Temu</v>
      </c>
      <c r="H671" s="2"/>
      <c r="I671" s="2"/>
      <c r="J671" s="2">
        <f>IFERROR(__xludf.DUMMYFUNCTION("""COMPUTED_VALUE"""),1.0)</f>
        <v>1</v>
      </c>
      <c r="K671" s="6">
        <f>IFERROR(__xludf.DUMMYFUNCTION("""COMPUTED_VALUE"""),29524.0)</f>
        <v>29524</v>
      </c>
      <c r="L671" s="2">
        <f>IFERROR(__xludf.DUMMYFUNCTION("""COMPUTED_VALUE"""),0.0)</f>
        <v>0</v>
      </c>
      <c r="M671" s="2">
        <f>IFERROR(__xludf.DUMMYFUNCTION("""COMPUTED_VALUE"""),29524.0)</f>
        <v>29524</v>
      </c>
      <c r="N671" s="2">
        <f>IFERROR(__xludf.DUMMYFUNCTION("""COMPUTED_VALUE"""),0.0)</f>
        <v>0</v>
      </c>
      <c r="O671" s="2">
        <f>IFERROR(__xludf.DUMMYFUNCTION("""COMPUTED_VALUE"""),29524.0)</f>
        <v>29524</v>
      </c>
      <c r="P671" s="2">
        <f>IFERROR(__xludf.DUMMYFUNCTION("""COMPUTED_VALUE"""),1476.0)</f>
        <v>1476</v>
      </c>
      <c r="Q671" s="2" t="str">
        <f>IFERROR(__xludf.DUMMYFUNCTION("""COMPUTED_VALUE"""),"Dine In")</f>
        <v>Dine In</v>
      </c>
      <c r="R671" s="2" t="str">
        <f>IFERROR(__xludf.DUMMYFUNCTION("""COMPUTED_VALUE"""),"Kedai")</f>
        <v>Kedai</v>
      </c>
      <c r="S671" s="2" t="str">
        <f>IFERROR(__xludf.DUMMYFUNCTION("""COMPUTED_VALUE"""),"Temu Roti")</f>
        <v>Temu Roti</v>
      </c>
      <c r="T671" s="2" t="str">
        <f>IFERROR(__xludf.DUMMYFUNCTION("""COMPUTED_VALUE"""),"Owner")</f>
        <v>Owner</v>
      </c>
      <c r="U671" s="2"/>
      <c r="V671" s="2"/>
      <c r="W671" s="2"/>
      <c r="X671" s="2" t="str">
        <f>IFERROR(__xludf.DUMMYFUNCTION("""COMPUTED_VALUE"""),"Closed")</f>
        <v>Closed</v>
      </c>
    </row>
    <row r="672">
      <c r="A672" s="3" t="s">
        <v>688</v>
      </c>
      <c r="B672" s="4">
        <f>IFERROR(__xludf.DUMMYFUNCTION("SPLIT(A672,"","",0,0)"),45550.68125)</f>
        <v>45550.68125</v>
      </c>
      <c r="C672" s="5">
        <f>IFERROR(__xludf.DUMMYFUNCTION("""COMPUTED_VALUE"""),2707941.0)</f>
        <v>2707941</v>
      </c>
      <c r="D672" s="2" t="str">
        <f>IFERROR(__xludf.DUMMYFUNCTION("""COMPUTED_VALUE"""),"Sale")</f>
        <v>Sale</v>
      </c>
      <c r="E672" s="2" t="str">
        <f>IFERROR(__xludf.DUMMYFUNCTION("""COMPUTED_VALUE"""),"Minuman")</f>
        <v>Minuman</v>
      </c>
      <c r="F672" s="2">
        <f>IFERROR(__xludf.DUMMYFUNCTION("""COMPUTED_VALUE"""),10112.0)</f>
        <v>10112</v>
      </c>
      <c r="G672" s="2" t="str">
        <f>IFERROR(__xludf.DUMMYFUNCTION("""COMPUTED_VALUE"""),"Air mineral")</f>
        <v>Air mineral</v>
      </c>
      <c r="H672" s="2"/>
      <c r="I672" s="2"/>
      <c r="J672" s="2">
        <f>IFERROR(__xludf.DUMMYFUNCTION("""COMPUTED_VALUE"""),1.0)</f>
        <v>1</v>
      </c>
      <c r="K672" s="6">
        <f>IFERROR(__xludf.DUMMYFUNCTION("""COMPUTED_VALUE"""),6667.0)</f>
        <v>6667</v>
      </c>
      <c r="L672" s="2">
        <f>IFERROR(__xludf.DUMMYFUNCTION("""COMPUTED_VALUE"""),0.0)</f>
        <v>0</v>
      </c>
      <c r="M672" s="2">
        <f>IFERROR(__xludf.DUMMYFUNCTION("""COMPUTED_VALUE"""),6667.0)</f>
        <v>6667</v>
      </c>
      <c r="N672" s="2">
        <f>IFERROR(__xludf.DUMMYFUNCTION("""COMPUTED_VALUE"""),0.0)</f>
        <v>0</v>
      </c>
      <c r="O672" s="2">
        <f>IFERROR(__xludf.DUMMYFUNCTION("""COMPUTED_VALUE"""),6667.0)</f>
        <v>6667</v>
      </c>
      <c r="P672" s="2">
        <f>IFERROR(__xludf.DUMMYFUNCTION("""COMPUTED_VALUE"""),334.0)</f>
        <v>334</v>
      </c>
      <c r="Q672" s="2" t="str">
        <f>IFERROR(__xludf.DUMMYFUNCTION("""COMPUTED_VALUE"""),"Dine In")</f>
        <v>Dine In</v>
      </c>
      <c r="R672" s="2" t="str">
        <f>IFERROR(__xludf.DUMMYFUNCTION("""COMPUTED_VALUE"""),"Kedai")</f>
        <v>Kedai</v>
      </c>
      <c r="S672" s="2" t="str">
        <f>IFERROR(__xludf.DUMMYFUNCTION("""COMPUTED_VALUE"""),"Temu Roti")</f>
        <v>Temu Roti</v>
      </c>
      <c r="T672" s="2" t="str">
        <f>IFERROR(__xludf.DUMMYFUNCTION("""COMPUTED_VALUE"""),"Owner")</f>
        <v>Owner</v>
      </c>
      <c r="U672" s="2"/>
      <c r="V672" s="2"/>
      <c r="W672" s="2"/>
      <c r="X672" s="2" t="str">
        <f>IFERROR(__xludf.DUMMYFUNCTION("""COMPUTED_VALUE"""),"Closed")</f>
        <v>Closed</v>
      </c>
    </row>
    <row r="673">
      <c r="A673" s="3" t="s">
        <v>689</v>
      </c>
      <c r="B673" s="4">
        <f>IFERROR(__xludf.DUMMYFUNCTION("SPLIT(A673,"","",0,0)"),45550.68125)</f>
        <v>45550.68125</v>
      </c>
      <c r="C673" s="5">
        <f>IFERROR(__xludf.DUMMYFUNCTION("""COMPUTED_VALUE"""),2707941.0)</f>
        <v>2707941</v>
      </c>
      <c r="D673" s="2" t="str">
        <f>IFERROR(__xludf.DUMMYFUNCTION("""COMPUTED_VALUE"""),"Sale")</f>
        <v>Sale</v>
      </c>
      <c r="E673" s="2" t="str">
        <f>IFERROR(__xludf.DUMMYFUNCTION("""COMPUTED_VALUE"""),"Roti")</f>
        <v>Roti</v>
      </c>
      <c r="F673" s="2">
        <f>IFERROR(__xludf.DUMMYFUNCTION("""COMPUTED_VALUE"""),10002.0)</f>
        <v>10002</v>
      </c>
      <c r="G673" s="2" t="str">
        <f>IFERROR(__xludf.DUMMYFUNCTION("""COMPUTED_VALUE"""),"Roti Cranberry")</f>
        <v>Roti Cranberry</v>
      </c>
      <c r="H673" s="2"/>
      <c r="I673" s="2"/>
      <c r="J673" s="2">
        <f>IFERROR(__xludf.DUMMYFUNCTION("""COMPUTED_VALUE"""),1.0)</f>
        <v>1</v>
      </c>
      <c r="K673" s="6">
        <f>IFERROR(__xludf.DUMMYFUNCTION("""COMPUTED_VALUE"""),18571.0)</f>
        <v>18571</v>
      </c>
      <c r="L673" s="2">
        <f>IFERROR(__xludf.DUMMYFUNCTION("""COMPUTED_VALUE"""),0.0)</f>
        <v>0</v>
      </c>
      <c r="M673" s="2">
        <f>IFERROR(__xludf.DUMMYFUNCTION("""COMPUTED_VALUE"""),18571.0)</f>
        <v>18571</v>
      </c>
      <c r="N673" s="2">
        <f>IFERROR(__xludf.DUMMYFUNCTION("""COMPUTED_VALUE"""),0.0)</f>
        <v>0</v>
      </c>
      <c r="O673" s="2">
        <f>IFERROR(__xludf.DUMMYFUNCTION("""COMPUTED_VALUE"""),18571.0)</f>
        <v>18571</v>
      </c>
      <c r="P673" s="2">
        <f>IFERROR(__xludf.DUMMYFUNCTION("""COMPUTED_VALUE"""),928.0)</f>
        <v>928</v>
      </c>
      <c r="Q673" s="2" t="str">
        <f>IFERROR(__xludf.DUMMYFUNCTION("""COMPUTED_VALUE"""),"Dine In")</f>
        <v>Dine In</v>
      </c>
      <c r="R673" s="2" t="str">
        <f>IFERROR(__xludf.DUMMYFUNCTION("""COMPUTED_VALUE"""),"Kedai")</f>
        <v>Kedai</v>
      </c>
      <c r="S673" s="2" t="str">
        <f>IFERROR(__xludf.DUMMYFUNCTION("""COMPUTED_VALUE"""),"Temu Roti")</f>
        <v>Temu Roti</v>
      </c>
      <c r="T673" s="2" t="str">
        <f>IFERROR(__xludf.DUMMYFUNCTION("""COMPUTED_VALUE"""),"Owner")</f>
        <v>Owner</v>
      </c>
      <c r="U673" s="2"/>
      <c r="V673" s="2"/>
      <c r="W673" s="2"/>
      <c r="X673" s="2" t="str">
        <f>IFERROR(__xludf.DUMMYFUNCTION("""COMPUTED_VALUE"""),"Closed")</f>
        <v>Closed</v>
      </c>
    </row>
    <row r="674">
      <c r="A674" s="3" t="s">
        <v>690</v>
      </c>
      <c r="B674" s="4">
        <f>IFERROR(__xludf.DUMMYFUNCTION("SPLIT(A674,"","",0,0)"),45550.67916666667)</f>
        <v>45550.67917</v>
      </c>
      <c r="C674" s="5">
        <f>IFERROR(__xludf.DUMMYFUNCTION("""COMPUTED_VALUE"""),2707576.0)</f>
        <v>2707576</v>
      </c>
      <c r="D674" s="2" t="str">
        <f>IFERROR(__xludf.DUMMYFUNCTION("""COMPUTED_VALUE"""),"Sale")</f>
        <v>Sale</v>
      </c>
      <c r="E674" s="2" t="str">
        <f>IFERROR(__xludf.DUMMYFUNCTION("""COMPUTED_VALUE"""),"Kudapan")</f>
        <v>Kudapan</v>
      </c>
      <c r="F674" s="2">
        <f>IFERROR(__xludf.DUMMYFUNCTION("""COMPUTED_VALUE"""),10010.0)</f>
        <v>10010</v>
      </c>
      <c r="G674" s="2" t="str">
        <f>IFERROR(__xludf.DUMMYFUNCTION("""COMPUTED_VALUE"""),"Pisang Goreng")</f>
        <v>Pisang Goreng</v>
      </c>
      <c r="H674" s="2"/>
      <c r="I674" s="2"/>
      <c r="J674" s="2">
        <f>IFERROR(__xludf.DUMMYFUNCTION("""COMPUTED_VALUE"""),1.0)</f>
        <v>1</v>
      </c>
      <c r="K674" s="6">
        <f>IFERROR(__xludf.DUMMYFUNCTION("""COMPUTED_VALUE"""),25238.0)</f>
        <v>25238</v>
      </c>
      <c r="L674" s="2">
        <f>IFERROR(__xludf.DUMMYFUNCTION("""COMPUTED_VALUE"""),0.0)</f>
        <v>0</v>
      </c>
      <c r="M674" s="2">
        <f>IFERROR(__xludf.DUMMYFUNCTION("""COMPUTED_VALUE"""),25238.0)</f>
        <v>25238</v>
      </c>
      <c r="N674" s="2">
        <f>IFERROR(__xludf.DUMMYFUNCTION("""COMPUTED_VALUE"""),0.0)</f>
        <v>0</v>
      </c>
      <c r="O674" s="2">
        <f>IFERROR(__xludf.DUMMYFUNCTION("""COMPUTED_VALUE"""),25238.0)</f>
        <v>25238</v>
      </c>
      <c r="P674" s="2">
        <f>IFERROR(__xludf.DUMMYFUNCTION("""COMPUTED_VALUE"""),1262.0)</f>
        <v>1262</v>
      </c>
      <c r="Q674" s="2" t="str">
        <f>IFERROR(__xludf.DUMMYFUNCTION("""COMPUTED_VALUE"""),"Dine In")</f>
        <v>Dine In</v>
      </c>
      <c r="R674" s="2" t="str">
        <f>IFERROR(__xludf.DUMMYFUNCTION("""COMPUTED_VALUE"""),"Kedai")</f>
        <v>Kedai</v>
      </c>
      <c r="S674" s="2" t="str">
        <f>IFERROR(__xludf.DUMMYFUNCTION("""COMPUTED_VALUE"""),"Temu Roti")</f>
        <v>Temu Roti</v>
      </c>
      <c r="T674" s="2" t="str">
        <f>IFERROR(__xludf.DUMMYFUNCTION("""COMPUTED_VALUE"""),"Owner")</f>
        <v>Owner</v>
      </c>
      <c r="U674" s="2"/>
      <c r="V674" s="2"/>
      <c r="W674" s="2"/>
      <c r="X674" s="2" t="str">
        <f>IFERROR(__xludf.DUMMYFUNCTION("""COMPUTED_VALUE"""),"Closed")</f>
        <v>Closed</v>
      </c>
    </row>
    <row r="675">
      <c r="A675" s="3" t="s">
        <v>691</v>
      </c>
      <c r="B675" s="4">
        <f>IFERROR(__xludf.DUMMYFUNCTION("SPLIT(A675,"","",0,0)"),45550.67916666667)</f>
        <v>45550.67917</v>
      </c>
      <c r="C675" s="5">
        <f>IFERROR(__xludf.DUMMYFUNCTION("""COMPUTED_VALUE"""),2707576.0)</f>
        <v>2707576</v>
      </c>
      <c r="D675" s="2" t="str">
        <f>IFERROR(__xludf.DUMMYFUNCTION("""COMPUTED_VALUE"""),"Sale")</f>
        <v>Sale</v>
      </c>
      <c r="E675" s="2" t="str">
        <f>IFERROR(__xludf.DUMMYFUNCTION("""COMPUTED_VALUE"""),"Kudapan")</f>
        <v>Kudapan</v>
      </c>
      <c r="F675" s="2">
        <f>IFERROR(__xludf.DUMMYFUNCTION("""COMPUTED_VALUE"""),10004.0)</f>
        <v>10004</v>
      </c>
      <c r="G675" s="2" t="str">
        <f>IFERROR(__xludf.DUMMYFUNCTION("""COMPUTED_VALUE"""),"Tahu walik")</f>
        <v>Tahu walik</v>
      </c>
      <c r="H675" s="2"/>
      <c r="I675" s="2"/>
      <c r="J675" s="2">
        <f>IFERROR(__xludf.DUMMYFUNCTION("""COMPUTED_VALUE"""),1.0)</f>
        <v>1</v>
      </c>
      <c r="K675" s="6">
        <f>IFERROR(__xludf.DUMMYFUNCTION("""COMPUTED_VALUE"""),25238.0)</f>
        <v>25238</v>
      </c>
      <c r="L675" s="2">
        <f>IFERROR(__xludf.DUMMYFUNCTION("""COMPUTED_VALUE"""),0.0)</f>
        <v>0</v>
      </c>
      <c r="M675" s="2">
        <f>IFERROR(__xludf.DUMMYFUNCTION("""COMPUTED_VALUE"""),25238.0)</f>
        <v>25238</v>
      </c>
      <c r="N675" s="2">
        <f>IFERROR(__xludf.DUMMYFUNCTION("""COMPUTED_VALUE"""),0.0)</f>
        <v>0</v>
      </c>
      <c r="O675" s="2">
        <f>IFERROR(__xludf.DUMMYFUNCTION("""COMPUTED_VALUE"""),25238.0)</f>
        <v>25238</v>
      </c>
      <c r="P675" s="2">
        <f>IFERROR(__xludf.DUMMYFUNCTION("""COMPUTED_VALUE"""),1262.0)</f>
        <v>1262</v>
      </c>
      <c r="Q675" s="2" t="str">
        <f>IFERROR(__xludf.DUMMYFUNCTION("""COMPUTED_VALUE"""),"Dine In")</f>
        <v>Dine In</v>
      </c>
      <c r="R675" s="2" t="str">
        <f>IFERROR(__xludf.DUMMYFUNCTION("""COMPUTED_VALUE"""),"Kedai")</f>
        <v>Kedai</v>
      </c>
      <c r="S675" s="2" t="str">
        <f>IFERROR(__xludf.DUMMYFUNCTION("""COMPUTED_VALUE"""),"Temu Roti")</f>
        <v>Temu Roti</v>
      </c>
      <c r="T675" s="2" t="str">
        <f>IFERROR(__xludf.DUMMYFUNCTION("""COMPUTED_VALUE"""),"Owner")</f>
        <v>Owner</v>
      </c>
      <c r="U675" s="2"/>
      <c r="V675" s="2"/>
      <c r="W675" s="2"/>
      <c r="X675" s="2" t="str">
        <f>IFERROR(__xludf.DUMMYFUNCTION("""COMPUTED_VALUE"""),"Closed")</f>
        <v>Closed</v>
      </c>
    </row>
    <row r="676">
      <c r="A676" s="3" t="s">
        <v>692</v>
      </c>
      <c r="B676" s="4">
        <f>IFERROR(__xludf.DUMMYFUNCTION("SPLIT(A676,"","",0,0)"),45550.67916666667)</f>
        <v>45550.67917</v>
      </c>
      <c r="C676" s="5">
        <f>IFERROR(__xludf.DUMMYFUNCTION("""COMPUTED_VALUE"""),2707576.0)</f>
        <v>2707576</v>
      </c>
      <c r="D676" s="2" t="str">
        <f>IFERROR(__xludf.DUMMYFUNCTION("""COMPUTED_VALUE"""),"Sale")</f>
        <v>Sale</v>
      </c>
      <c r="E676" s="2" t="str">
        <f>IFERROR(__xludf.DUMMYFUNCTION("""COMPUTED_VALUE"""),"Kudapan")</f>
        <v>Kudapan</v>
      </c>
      <c r="F676" s="2">
        <f>IFERROR(__xludf.DUMMYFUNCTION("""COMPUTED_VALUE"""),10014.0)</f>
        <v>10014</v>
      </c>
      <c r="G676" s="2" t="str">
        <f>IFERROR(__xludf.DUMMYFUNCTION("""COMPUTED_VALUE"""),"Tempe Mendoan")</f>
        <v>Tempe Mendoan</v>
      </c>
      <c r="H676" s="2"/>
      <c r="I676" s="2"/>
      <c r="J676" s="2">
        <f>IFERROR(__xludf.DUMMYFUNCTION("""COMPUTED_VALUE"""),1.0)</f>
        <v>1</v>
      </c>
      <c r="K676" s="6">
        <f>IFERROR(__xludf.DUMMYFUNCTION("""COMPUTED_VALUE"""),25238.0)</f>
        <v>25238</v>
      </c>
      <c r="L676" s="2">
        <f>IFERROR(__xludf.DUMMYFUNCTION("""COMPUTED_VALUE"""),0.0)</f>
        <v>0</v>
      </c>
      <c r="M676" s="2">
        <f>IFERROR(__xludf.DUMMYFUNCTION("""COMPUTED_VALUE"""),25238.0)</f>
        <v>25238</v>
      </c>
      <c r="N676" s="2">
        <f>IFERROR(__xludf.DUMMYFUNCTION("""COMPUTED_VALUE"""),0.0)</f>
        <v>0</v>
      </c>
      <c r="O676" s="2">
        <f>IFERROR(__xludf.DUMMYFUNCTION("""COMPUTED_VALUE"""),25238.0)</f>
        <v>25238</v>
      </c>
      <c r="P676" s="2">
        <f>IFERROR(__xludf.DUMMYFUNCTION("""COMPUTED_VALUE"""),1262.0)</f>
        <v>1262</v>
      </c>
      <c r="Q676" s="2" t="str">
        <f>IFERROR(__xludf.DUMMYFUNCTION("""COMPUTED_VALUE"""),"Dine In")</f>
        <v>Dine In</v>
      </c>
      <c r="R676" s="2" t="str">
        <f>IFERROR(__xludf.DUMMYFUNCTION("""COMPUTED_VALUE"""),"Kedai")</f>
        <v>Kedai</v>
      </c>
      <c r="S676" s="2" t="str">
        <f>IFERROR(__xludf.DUMMYFUNCTION("""COMPUTED_VALUE"""),"Temu Roti")</f>
        <v>Temu Roti</v>
      </c>
      <c r="T676" s="2" t="str">
        <f>IFERROR(__xludf.DUMMYFUNCTION("""COMPUTED_VALUE"""),"Owner")</f>
        <v>Owner</v>
      </c>
      <c r="U676" s="2"/>
      <c r="V676" s="2"/>
      <c r="W676" s="2"/>
      <c r="X676" s="2" t="str">
        <f>IFERROR(__xludf.DUMMYFUNCTION("""COMPUTED_VALUE"""),"Closed")</f>
        <v>Closed</v>
      </c>
    </row>
    <row r="677">
      <c r="A677" s="3" t="s">
        <v>693</v>
      </c>
      <c r="B677" s="4">
        <f>IFERROR(__xludf.DUMMYFUNCTION("SPLIT(A677,"","",0,0)"),45550.67916666667)</f>
        <v>45550.67917</v>
      </c>
      <c r="C677" s="5">
        <f>IFERROR(__xludf.DUMMYFUNCTION("""COMPUTED_VALUE"""),2707576.0)</f>
        <v>2707576</v>
      </c>
      <c r="D677" s="2" t="str">
        <f>IFERROR(__xludf.DUMMYFUNCTION("""COMPUTED_VALUE"""),"Sale")</f>
        <v>Sale</v>
      </c>
      <c r="E677" s="2" t="str">
        <f>IFERROR(__xludf.DUMMYFUNCTION("""COMPUTED_VALUE"""),"Minuman")</f>
        <v>Minuman</v>
      </c>
      <c r="F677" s="2">
        <f>IFERROR(__xludf.DUMMYFUNCTION("""COMPUTED_VALUE"""),10119.0)</f>
        <v>10119</v>
      </c>
      <c r="G677" s="2" t="str">
        <f>IFERROR(__xludf.DUMMYFUNCTION("""COMPUTED_VALUE"""),"Teh Tawar Dingin")</f>
        <v>Teh Tawar Dingin</v>
      </c>
      <c r="H677" s="2"/>
      <c r="I677" s="2"/>
      <c r="J677" s="2">
        <f>IFERROR(__xludf.DUMMYFUNCTION("""COMPUTED_VALUE"""),1.0)</f>
        <v>1</v>
      </c>
      <c r="K677" s="6">
        <f>IFERROR(__xludf.DUMMYFUNCTION("""COMPUTED_VALUE"""),7143.0)</f>
        <v>7143</v>
      </c>
      <c r="L677" s="2">
        <f>IFERROR(__xludf.DUMMYFUNCTION("""COMPUTED_VALUE"""),0.0)</f>
        <v>0</v>
      </c>
      <c r="M677" s="2">
        <f>IFERROR(__xludf.DUMMYFUNCTION("""COMPUTED_VALUE"""),7143.0)</f>
        <v>7143</v>
      </c>
      <c r="N677" s="2">
        <f>IFERROR(__xludf.DUMMYFUNCTION("""COMPUTED_VALUE"""),0.0)</f>
        <v>0</v>
      </c>
      <c r="O677" s="2">
        <f>IFERROR(__xludf.DUMMYFUNCTION("""COMPUTED_VALUE"""),7143.0)</f>
        <v>7143</v>
      </c>
      <c r="P677" s="2">
        <f>IFERROR(__xludf.DUMMYFUNCTION("""COMPUTED_VALUE"""),357.0)</f>
        <v>357</v>
      </c>
      <c r="Q677" s="2" t="str">
        <f>IFERROR(__xludf.DUMMYFUNCTION("""COMPUTED_VALUE"""),"Dine In")</f>
        <v>Dine In</v>
      </c>
      <c r="R677" s="2" t="str">
        <f>IFERROR(__xludf.DUMMYFUNCTION("""COMPUTED_VALUE"""),"Kedai")</f>
        <v>Kedai</v>
      </c>
      <c r="S677" s="2" t="str">
        <f>IFERROR(__xludf.DUMMYFUNCTION("""COMPUTED_VALUE"""),"Temu Roti")</f>
        <v>Temu Roti</v>
      </c>
      <c r="T677" s="2" t="str">
        <f>IFERROR(__xludf.DUMMYFUNCTION("""COMPUTED_VALUE"""),"Owner")</f>
        <v>Owner</v>
      </c>
      <c r="U677" s="2"/>
      <c r="V677" s="2"/>
      <c r="W677" s="2"/>
      <c r="X677" s="2" t="str">
        <f>IFERROR(__xludf.DUMMYFUNCTION("""COMPUTED_VALUE"""),"Closed")</f>
        <v>Closed</v>
      </c>
    </row>
    <row r="678">
      <c r="A678" s="3" t="s">
        <v>694</v>
      </c>
      <c r="B678" s="4">
        <f>IFERROR(__xludf.DUMMYFUNCTION("SPLIT(A678,"","",0,0)"),45550.67916666667)</f>
        <v>45550.67917</v>
      </c>
      <c r="C678" s="5">
        <f>IFERROR(__xludf.DUMMYFUNCTION("""COMPUTED_VALUE"""),2707576.0)</f>
        <v>2707576</v>
      </c>
      <c r="D678" s="2" t="str">
        <f>IFERROR(__xludf.DUMMYFUNCTION("""COMPUTED_VALUE"""),"Sale")</f>
        <v>Sale</v>
      </c>
      <c r="E678" s="2" t="str">
        <f>IFERROR(__xludf.DUMMYFUNCTION("""COMPUTED_VALUE"""),"Minuman")</f>
        <v>Minuman</v>
      </c>
      <c r="F678" s="2">
        <f>IFERROR(__xludf.DUMMYFUNCTION("""COMPUTED_VALUE"""),10056.0)</f>
        <v>10056</v>
      </c>
      <c r="G678" s="2" t="str">
        <f>IFERROR(__xludf.DUMMYFUNCTION("""COMPUTED_VALUE"""),"Susu murni moca")</f>
        <v>Susu murni moca</v>
      </c>
      <c r="H678" s="2"/>
      <c r="I678" s="2"/>
      <c r="J678" s="2">
        <f>IFERROR(__xludf.DUMMYFUNCTION("""COMPUTED_VALUE"""),1.0)</f>
        <v>1</v>
      </c>
      <c r="K678" s="6">
        <f>IFERROR(__xludf.DUMMYFUNCTION("""COMPUTED_VALUE"""),19524.0)</f>
        <v>19524</v>
      </c>
      <c r="L678" s="2">
        <f>IFERROR(__xludf.DUMMYFUNCTION("""COMPUTED_VALUE"""),0.0)</f>
        <v>0</v>
      </c>
      <c r="M678" s="2">
        <f>IFERROR(__xludf.DUMMYFUNCTION("""COMPUTED_VALUE"""),19524.0)</f>
        <v>19524</v>
      </c>
      <c r="N678" s="2">
        <f>IFERROR(__xludf.DUMMYFUNCTION("""COMPUTED_VALUE"""),0.0)</f>
        <v>0</v>
      </c>
      <c r="O678" s="2">
        <f>IFERROR(__xludf.DUMMYFUNCTION("""COMPUTED_VALUE"""),19524.0)</f>
        <v>19524</v>
      </c>
      <c r="P678" s="2">
        <f>IFERROR(__xludf.DUMMYFUNCTION("""COMPUTED_VALUE"""),976.0)</f>
        <v>976</v>
      </c>
      <c r="Q678" s="2" t="str">
        <f>IFERROR(__xludf.DUMMYFUNCTION("""COMPUTED_VALUE"""),"Dine In")</f>
        <v>Dine In</v>
      </c>
      <c r="R678" s="2" t="str">
        <f>IFERROR(__xludf.DUMMYFUNCTION("""COMPUTED_VALUE"""),"Kedai")</f>
        <v>Kedai</v>
      </c>
      <c r="S678" s="2" t="str">
        <f>IFERROR(__xludf.DUMMYFUNCTION("""COMPUTED_VALUE"""),"Temu Roti")</f>
        <v>Temu Roti</v>
      </c>
      <c r="T678" s="2" t="str">
        <f>IFERROR(__xludf.DUMMYFUNCTION("""COMPUTED_VALUE"""),"Owner")</f>
        <v>Owner</v>
      </c>
      <c r="U678" s="2"/>
      <c r="V678" s="2"/>
      <c r="W678" s="2"/>
      <c r="X678" s="2" t="str">
        <f>IFERROR(__xludf.DUMMYFUNCTION("""COMPUTED_VALUE"""),"Closed")</f>
        <v>Closed</v>
      </c>
    </row>
    <row r="679">
      <c r="A679" s="3" t="s">
        <v>695</v>
      </c>
      <c r="B679" s="4">
        <f>IFERROR(__xludf.DUMMYFUNCTION("SPLIT(A679,"","",0,0)"),45550.67291666667)</f>
        <v>45550.67292</v>
      </c>
      <c r="C679" s="5">
        <f>IFERROR(__xludf.DUMMYFUNCTION("""COMPUTED_VALUE"""),2707210.0)</f>
        <v>2707210</v>
      </c>
      <c r="D679" s="2" t="str">
        <f>IFERROR(__xludf.DUMMYFUNCTION("""COMPUTED_VALUE"""),"Sale")</f>
        <v>Sale</v>
      </c>
      <c r="E679" s="2" t="str">
        <f>IFERROR(__xludf.DUMMYFUNCTION("""COMPUTED_VALUE"""),"Minuman")</f>
        <v>Minuman</v>
      </c>
      <c r="F679" s="2">
        <f>IFERROR(__xludf.DUMMYFUNCTION("""COMPUTED_VALUE"""),10128.0)</f>
        <v>10128</v>
      </c>
      <c r="G679" s="2" t="str">
        <f>IFERROR(__xludf.DUMMYFUNCTION("""COMPUTED_VALUE"""),"Es Kopi Susu")</f>
        <v>Es Kopi Susu</v>
      </c>
      <c r="H679" s="2"/>
      <c r="I679" s="2"/>
      <c r="J679" s="2">
        <f>IFERROR(__xludf.DUMMYFUNCTION("""COMPUTED_VALUE"""),2.0)</f>
        <v>2</v>
      </c>
      <c r="K679" s="6">
        <f>IFERROR(__xludf.DUMMYFUNCTION("""COMPUTED_VALUE"""),46666.0)</f>
        <v>46666</v>
      </c>
      <c r="L679" s="2">
        <f>IFERROR(__xludf.DUMMYFUNCTION("""COMPUTED_VALUE"""),0.0)</f>
        <v>0</v>
      </c>
      <c r="M679" s="2">
        <f>IFERROR(__xludf.DUMMYFUNCTION("""COMPUTED_VALUE"""),46666.0)</f>
        <v>46666</v>
      </c>
      <c r="N679" s="2">
        <f>IFERROR(__xludf.DUMMYFUNCTION("""COMPUTED_VALUE"""),0.0)</f>
        <v>0</v>
      </c>
      <c r="O679" s="2">
        <f>IFERROR(__xludf.DUMMYFUNCTION("""COMPUTED_VALUE"""),46666.0)</f>
        <v>46666</v>
      </c>
      <c r="P679" s="2">
        <f>IFERROR(__xludf.DUMMYFUNCTION("""COMPUTED_VALUE"""),2333.0)</f>
        <v>2333</v>
      </c>
      <c r="Q679" s="2" t="str">
        <f>IFERROR(__xludf.DUMMYFUNCTION("""COMPUTED_VALUE"""),"Dine In")</f>
        <v>Dine In</v>
      </c>
      <c r="R679" s="2" t="str">
        <f>IFERROR(__xludf.DUMMYFUNCTION("""COMPUTED_VALUE"""),"Kedai")</f>
        <v>Kedai</v>
      </c>
      <c r="S679" s="2" t="str">
        <f>IFERROR(__xludf.DUMMYFUNCTION("""COMPUTED_VALUE"""),"Temu Roti")</f>
        <v>Temu Roti</v>
      </c>
      <c r="T679" s="2" t="str">
        <f>IFERROR(__xludf.DUMMYFUNCTION("""COMPUTED_VALUE"""),"Owner")</f>
        <v>Owner</v>
      </c>
      <c r="U679" s="2"/>
      <c r="V679" s="2"/>
      <c r="W679" s="2"/>
      <c r="X679" s="2" t="str">
        <f>IFERROR(__xludf.DUMMYFUNCTION("""COMPUTED_VALUE"""),"Closed")</f>
        <v>Closed</v>
      </c>
    </row>
    <row r="680">
      <c r="A680" s="3" t="s">
        <v>696</v>
      </c>
      <c r="B680" s="4">
        <f>IFERROR(__xludf.DUMMYFUNCTION("SPLIT(A680,"","",0,0)"),45550.67291666667)</f>
        <v>45550.67292</v>
      </c>
      <c r="C680" s="5">
        <f>IFERROR(__xludf.DUMMYFUNCTION("""COMPUTED_VALUE"""),2707210.0)</f>
        <v>2707210</v>
      </c>
      <c r="D680" s="2" t="str">
        <f>IFERROR(__xludf.DUMMYFUNCTION("""COMPUTED_VALUE"""),"Sale")</f>
        <v>Sale</v>
      </c>
      <c r="E680" s="2" t="str">
        <f>IFERROR(__xludf.DUMMYFUNCTION("""COMPUTED_VALUE"""),"Roti")</f>
        <v>Roti</v>
      </c>
      <c r="F680" s="2">
        <f>IFERROR(__xludf.DUMMYFUNCTION("""COMPUTED_VALUE"""),10002.0)</f>
        <v>10002</v>
      </c>
      <c r="G680" s="2" t="str">
        <f>IFERROR(__xludf.DUMMYFUNCTION("""COMPUTED_VALUE"""),"Roti Cranberry")</f>
        <v>Roti Cranberry</v>
      </c>
      <c r="H680" s="2"/>
      <c r="I680" s="2"/>
      <c r="J680" s="2">
        <f>IFERROR(__xludf.DUMMYFUNCTION("""COMPUTED_VALUE"""),1.0)</f>
        <v>1</v>
      </c>
      <c r="K680" s="6">
        <f>IFERROR(__xludf.DUMMYFUNCTION("""COMPUTED_VALUE"""),18571.0)</f>
        <v>18571</v>
      </c>
      <c r="L680" s="2">
        <f>IFERROR(__xludf.DUMMYFUNCTION("""COMPUTED_VALUE"""),0.0)</f>
        <v>0</v>
      </c>
      <c r="M680" s="2">
        <f>IFERROR(__xludf.DUMMYFUNCTION("""COMPUTED_VALUE"""),18571.0)</f>
        <v>18571</v>
      </c>
      <c r="N680" s="2">
        <f>IFERROR(__xludf.DUMMYFUNCTION("""COMPUTED_VALUE"""),0.0)</f>
        <v>0</v>
      </c>
      <c r="O680" s="2">
        <f>IFERROR(__xludf.DUMMYFUNCTION("""COMPUTED_VALUE"""),18571.0)</f>
        <v>18571</v>
      </c>
      <c r="P680" s="2">
        <f>IFERROR(__xludf.DUMMYFUNCTION("""COMPUTED_VALUE"""),929.0)</f>
        <v>929</v>
      </c>
      <c r="Q680" s="2" t="str">
        <f>IFERROR(__xludf.DUMMYFUNCTION("""COMPUTED_VALUE"""),"Dine In")</f>
        <v>Dine In</v>
      </c>
      <c r="R680" s="2" t="str">
        <f>IFERROR(__xludf.DUMMYFUNCTION("""COMPUTED_VALUE"""),"Kedai")</f>
        <v>Kedai</v>
      </c>
      <c r="S680" s="2" t="str">
        <f>IFERROR(__xludf.DUMMYFUNCTION("""COMPUTED_VALUE"""),"Temu Roti")</f>
        <v>Temu Roti</v>
      </c>
      <c r="T680" s="2" t="str">
        <f>IFERROR(__xludf.DUMMYFUNCTION("""COMPUTED_VALUE"""),"Owner")</f>
        <v>Owner</v>
      </c>
      <c r="U680" s="2"/>
      <c r="V680" s="2"/>
      <c r="W680" s="2"/>
      <c r="X680" s="2" t="str">
        <f>IFERROR(__xludf.DUMMYFUNCTION("""COMPUTED_VALUE"""),"Closed")</f>
        <v>Closed</v>
      </c>
    </row>
    <row r="681">
      <c r="A681" s="3" t="s">
        <v>697</v>
      </c>
      <c r="B681" s="4">
        <f>IFERROR(__xludf.DUMMYFUNCTION("SPLIT(A681,"","",0,0)"),45550.67291666667)</f>
        <v>45550.67292</v>
      </c>
      <c r="C681" s="5">
        <f>IFERROR(__xludf.DUMMYFUNCTION("""COMPUTED_VALUE"""),2707210.0)</f>
        <v>2707210</v>
      </c>
      <c r="D681" s="2" t="str">
        <f>IFERROR(__xludf.DUMMYFUNCTION("""COMPUTED_VALUE"""),"Sale")</f>
        <v>Sale</v>
      </c>
      <c r="E681" s="2" t="str">
        <f>IFERROR(__xludf.DUMMYFUNCTION("""COMPUTED_VALUE"""),"Roti")</f>
        <v>Roti</v>
      </c>
      <c r="F681" s="2">
        <f>IFERROR(__xludf.DUMMYFUNCTION("""COMPUTED_VALUE"""),10000.0)</f>
        <v>10000</v>
      </c>
      <c r="G681" s="2" t="str">
        <f>IFERROR(__xludf.DUMMYFUNCTION("""COMPUTED_VALUE"""),"Roti Bawang Saus Keju")</f>
        <v>Roti Bawang Saus Keju</v>
      </c>
      <c r="H681" s="2"/>
      <c r="I681" s="2"/>
      <c r="J681" s="2">
        <f>IFERROR(__xludf.DUMMYFUNCTION("""COMPUTED_VALUE"""),1.0)</f>
        <v>1</v>
      </c>
      <c r="K681" s="6">
        <f>IFERROR(__xludf.DUMMYFUNCTION("""COMPUTED_VALUE"""),29524.0)</f>
        <v>29524</v>
      </c>
      <c r="L681" s="2">
        <f>IFERROR(__xludf.DUMMYFUNCTION("""COMPUTED_VALUE"""),0.0)</f>
        <v>0</v>
      </c>
      <c r="M681" s="2">
        <f>IFERROR(__xludf.DUMMYFUNCTION("""COMPUTED_VALUE"""),29524.0)</f>
        <v>29524</v>
      </c>
      <c r="N681" s="2">
        <f>IFERROR(__xludf.DUMMYFUNCTION("""COMPUTED_VALUE"""),0.0)</f>
        <v>0</v>
      </c>
      <c r="O681" s="2">
        <f>IFERROR(__xludf.DUMMYFUNCTION("""COMPUTED_VALUE"""),29524.0)</f>
        <v>29524</v>
      </c>
      <c r="P681" s="2">
        <f>IFERROR(__xludf.DUMMYFUNCTION("""COMPUTED_VALUE"""),1476.0)</f>
        <v>1476</v>
      </c>
      <c r="Q681" s="2" t="str">
        <f>IFERROR(__xludf.DUMMYFUNCTION("""COMPUTED_VALUE"""),"Dine In")</f>
        <v>Dine In</v>
      </c>
      <c r="R681" s="2" t="str">
        <f>IFERROR(__xludf.DUMMYFUNCTION("""COMPUTED_VALUE"""),"Kedai")</f>
        <v>Kedai</v>
      </c>
      <c r="S681" s="2" t="str">
        <f>IFERROR(__xludf.DUMMYFUNCTION("""COMPUTED_VALUE"""),"Temu Roti")</f>
        <v>Temu Roti</v>
      </c>
      <c r="T681" s="2" t="str">
        <f>IFERROR(__xludf.DUMMYFUNCTION("""COMPUTED_VALUE"""),"Owner")</f>
        <v>Owner</v>
      </c>
      <c r="U681" s="2"/>
      <c r="V681" s="2"/>
      <c r="W681" s="2"/>
      <c r="X681" s="2" t="str">
        <f>IFERROR(__xludf.DUMMYFUNCTION("""COMPUTED_VALUE"""),"Closed")</f>
        <v>Closed</v>
      </c>
    </row>
    <row r="682">
      <c r="A682" s="3" t="s">
        <v>698</v>
      </c>
      <c r="B682" s="4">
        <f>IFERROR(__xludf.DUMMYFUNCTION("SPLIT(A682,"","",0,0)"),45550.66527777778)</f>
        <v>45550.66528</v>
      </c>
      <c r="C682" s="5">
        <f>IFERROR(__xludf.DUMMYFUNCTION("""COMPUTED_VALUE"""),2706845.0)</f>
        <v>2706845</v>
      </c>
      <c r="D682" s="2" t="str">
        <f>IFERROR(__xludf.DUMMYFUNCTION("""COMPUTED_VALUE"""),"Sale")</f>
        <v>Sale</v>
      </c>
      <c r="E682" s="2" t="str">
        <f>IFERROR(__xludf.DUMMYFUNCTION("""COMPUTED_VALUE"""),"Roti")</f>
        <v>Roti</v>
      </c>
      <c r="F682" s="2">
        <f>IFERROR(__xludf.DUMMYFUNCTION("""COMPUTED_VALUE"""),10007.0)</f>
        <v>10007</v>
      </c>
      <c r="G682" s="2" t="str">
        <f>IFERROR(__xludf.DUMMYFUNCTION("""COMPUTED_VALUE"""),"Roti cranberry 2 pcs")</f>
        <v>Roti cranberry 2 pcs</v>
      </c>
      <c r="H682" s="2"/>
      <c r="I682" s="2"/>
      <c r="J682" s="2">
        <f>IFERROR(__xludf.DUMMYFUNCTION("""COMPUTED_VALUE"""),2.0)</f>
        <v>2</v>
      </c>
      <c r="K682" s="6">
        <f>IFERROR(__xludf.DUMMYFUNCTION("""COMPUTED_VALUE"""),67620.0)</f>
        <v>67620</v>
      </c>
      <c r="L682" s="2">
        <f>IFERROR(__xludf.DUMMYFUNCTION("""COMPUTED_VALUE"""),0.0)</f>
        <v>0</v>
      </c>
      <c r="M682" s="2">
        <f>IFERROR(__xludf.DUMMYFUNCTION("""COMPUTED_VALUE"""),67620.0)</f>
        <v>67620</v>
      </c>
      <c r="N682" s="2">
        <f>IFERROR(__xludf.DUMMYFUNCTION("""COMPUTED_VALUE"""),0.0)</f>
        <v>0</v>
      </c>
      <c r="O682" s="2">
        <f>IFERROR(__xludf.DUMMYFUNCTION("""COMPUTED_VALUE"""),67620.0)</f>
        <v>67620</v>
      </c>
      <c r="P682" s="2">
        <f>IFERROR(__xludf.DUMMYFUNCTION("""COMPUTED_VALUE"""),3381.0)</f>
        <v>3381</v>
      </c>
      <c r="Q682" s="2" t="str">
        <f>IFERROR(__xludf.DUMMYFUNCTION("""COMPUTED_VALUE"""),"Take Away")</f>
        <v>Take Away</v>
      </c>
      <c r="R682" s="2" t="str">
        <f>IFERROR(__xludf.DUMMYFUNCTION("""COMPUTED_VALUE"""),"Kedai")</f>
        <v>Kedai</v>
      </c>
      <c r="S682" s="2" t="str">
        <f>IFERROR(__xludf.DUMMYFUNCTION("""COMPUTED_VALUE"""),"Temu Roti")</f>
        <v>Temu Roti</v>
      </c>
      <c r="T682" s="2" t="str">
        <f>IFERROR(__xludf.DUMMYFUNCTION("""COMPUTED_VALUE"""),"Owner")</f>
        <v>Owner</v>
      </c>
      <c r="U682" s="2"/>
      <c r="V682" s="2"/>
      <c r="W682" s="2"/>
      <c r="X682" s="2" t="str">
        <f>IFERROR(__xludf.DUMMYFUNCTION("""COMPUTED_VALUE"""),"Closed")</f>
        <v>Closed</v>
      </c>
    </row>
    <row r="683">
      <c r="A683" s="3" t="s">
        <v>699</v>
      </c>
      <c r="B683" s="4">
        <f>IFERROR(__xludf.DUMMYFUNCTION("SPLIT(A683,"","",0,0)"),45550.65555555555)</f>
        <v>45550.65556</v>
      </c>
      <c r="C683" s="5">
        <f>IFERROR(__xludf.DUMMYFUNCTION("""COMPUTED_VALUE"""),2706480.0)</f>
        <v>2706480</v>
      </c>
      <c r="D683" s="2" t="str">
        <f>IFERROR(__xludf.DUMMYFUNCTION("""COMPUTED_VALUE"""),"Sale")</f>
        <v>Sale</v>
      </c>
      <c r="E683" s="2" t="str">
        <f>IFERROR(__xludf.DUMMYFUNCTION("""COMPUTED_VALUE"""),"Hidangan Utama")</f>
        <v>Hidangan Utama</v>
      </c>
      <c r="F683" s="2">
        <f>IFERROR(__xludf.DUMMYFUNCTION("""COMPUTED_VALUE"""),10003.0)</f>
        <v>10003</v>
      </c>
      <c r="G683" s="2" t="str">
        <f>IFERROR(__xludf.DUMMYFUNCTION("""COMPUTED_VALUE"""),"Nasi Goreng Temu")</f>
        <v>Nasi Goreng Temu</v>
      </c>
      <c r="H683" s="2"/>
      <c r="I683" s="2"/>
      <c r="J683" s="2">
        <f>IFERROR(__xludf.DUMMYFUNCTION("""COMPUTED_VALUE"""),1.0)</f>
        <v>1</v>
      </c>
      <c r="K683" s="6">
        <f>IFERROR(__xludf.DUMMYFUNCTION("""COMPUTED_VALUE"""),29524.0)</f>
        <v>29524</v>
      </c>
      <c r="L683" s="2">
        <f>IFERROR(__xludf.DUMMYFUNCTION("""COMPUTED_VALUE"""),0.0)</f>
        <v>0</v>
      </c>
      <c r="M683" s="2">
        <f>IFERROR(__xludf.DUMMYFUNCTION("""COMPUTED_VALUE"""),29524.0)</f>
        <v>29524</v>
      </c>
      <c r="N683" s="2">
        <f>IFERROR(__xludf.DUMMYFUNCTION("""COMPUTED_VALUE"""),0.0)</f>
        <v>0</v>
      </c>
      <c r="O683" s="2">
        <f>IFERROR(__xludf.DUMMYFUNCTION("""COMPUTED_VALUE"""),29524.0)</f>
        <v>29524</v>
      </c>
      <c r="P683" s="2">
        <f>IFERROR(__xludf.DUMMYFUNCTION("""COMPUTED_VALUE"""),1476.0)</f>
        <v>1476</v>
      </c>
      <c r="Q683" s="2" t="str">
        <f>IFERROR(__xludf.DUMMYFUNCTION("""COMPUTED_VALUE"""),"Dine In")</f>
        <v>Dine In</v>
      </c>
      <c r="R683" s="2" t="str">
        <f>IFERROR(__xludf.DUMMYFUNCTION("""COMPUTED_VALUE"""),"Kedai")</f>
        <v>Kedai</v>
      </c>
      <c r="S683" s="2" t="str">
        <f>IFERROR(__xludf.DUMMYFUNCTION("""COMPUTED_VALUE"""),"Temu Roti")</f>
        <v>Temu Roti</v>
      </c>
      <c r="T683" s="2" t="str">
        <f>IFERROR(__xludf.DUMMYFUNCTION("""COMPUTED_VALUE"""),"Owner")</f>
        <v>Owner</v>
      </c>
      <c r="U683" s="2"/>
      <c r="V683" s="2"/>
      <c r="W683" s="2"/>
      <c r="X683" s="2" t="str">
        <f>IFERROR(__xludf.DUMMYFUNCTION("""COMPUTED_VALUE"""),"Closed")</f>
        <v>Closed</v>
      </c>
    </row>
    <row r="684">
      <c r="A684" s="3" t="s">
        <v>700</v>
      </c>
      <c r="B684" s="4">
        <f>IFERROR(__xludf.DUMMYFUNCTION("SPLIT(A684,"","",0,0)"),45550.65555555555)</f>
        <v>45550.65556</v>
      </c>
      <c r="C684" s="5">
        <f>IFERROR(__xludf.DUMMYFUNCTION("""COMPUTED_VALUE"""),2706480.0)</f>
        <v>2706480</v>
      </c>
      <c r="D684" s="2" t="str">
        <f>IFERROR(__xludf.DUMMYFUNCTION("""COMPUTED_VALUE"""),"Sale")</f>
        <v>Sale</v>
      </c>
      <c r="E684" s="2" t="str">
        <f>IFERROR(__xludf.DUMMYFUNCTION("""COMPUTED_VALUE"""),"Minuman")</f>
        <v>Minuman</v>
      </c>
      <c r="F684" s="2">
        <f>IFERROR(__xludf.DUMMYFUNCTION("""COMPUTED_VALUE"""),10112.0)</f>
        <v>10112</v>
      </c>
      <c r="G684" s="2" t="str">
        <f>IFERROR(__xludf.DUMMYFUNCTION("""COMPUTED_VALUE"""),"Air mineral")</f>
        <v>Air mineral</v>
      </c>
      <c r="H684" s="2"/>
      <c r="I684" s="2"/>
      <c r="J684" s="2">
        <f>IFERROR(__xludf.DUMMYFUNCTION("""COMPUTED_VALUE"""),1.0)</f>
        <v>1</v>
      </c>
      <c r="K684" s="6">
        <f>IFERROR(__xludf.DUMMYFUNCTION("""COMPUTED_VALUE"""),6667.0)</f>
        <v>6667</v>
      </c>
      <c r="L684" s="2">
        <f>IFERROR(__xludf.DUMMYFUNCTION("""COMPUTED_VALUE"""),0.0)</f>
        <v>0</v>
      </c>
      <c r="M684" s="2">
        <f>IFERROR(__xludf.DUMMYFUNCTION("""COMPUTED_VALUE"""),6667.0)</f>
        <v>6667</v>
      </c>
      <c r="N684" s="2">
        <f>IFERROR(__xludf.DUMMYFUNCTION("""COMPUTED_VALUE"""),0.0)</f>
        <v>0</v>
      </c>
      <c r="O684" s="2">
        <f>IFERROR(__xludf.DUMMYFUNCTION("""COMPUTED_VALUE"""),6667.0)</f>
        <v>6667</v>
      </c>
      <c r="P684" s="2">
        <f>IFERROR(__xludf.DUMMYFUNCTION("""COMPUTED_VALUE"""),334.0)</f>
        <v>334</v>
      </c>
      <c r="Q684" s="2" t="str">
        <f>IFERROR(__xludf.DUMMYFUNCTION("""COMPUTED_VALUE"""),"Dine In")</f>
        <v>Dine In</v>
      </c>
      <c r="R684" s="2" t="str">
        <f>IFERROR(__xludf.DUMMYFUNCTION("""COMPUTED_VALUE"""),"Kedai")</f>
        <v>Kedai</v>
      </c>
      <c r="S684" s="2" t="str">
        <f>IFERROR(__xludf.DUMMYFUNCTION("""COMPUTED_VALUE"""),"Temu Roti")</f>
        <v>Temu Roti</v>
      </c>
      <c r="T684" s="2" t="str">
        <f>IFERROR(__xludf.DUMMYFUNCTION("""COMPUTED_VALUE"""),"Owner")</f>
        <v>Owner</v>
      </c>
      <c r="U684" s="2"/>
      <c r="V684" s="2"/>
      <c r="W684" s="2"/>
      <c r="X684" s="2" t="str">
        <f>IFERROR(__xludf.DUMMYFUNCTION("""COMPUTED_VALUE"""),"Closed")</f>
        <v>Closed</v>
      </c>
    </row>
    <row r="685">
      <c r="A685" s="3" t="s">
        <v>701</v>
      </c>
      <c r="B685" s="4">
        <f>IFERROR(__xludf.DUMMYFUNCTION("SPLIT(A685,"","",0,0)"),45550.64513888889)</f>
        <v>45550.64514</v>
      </c>
      <c r="C685" s="5">
        <f>IFERROR(__xludf.DUMMYFUNCTION("""COMPUTED_VALUE"""),2706115.0)</f>
        <v>2706115</v>
      </c>
      <c r="D685" s="2" t="str">
        <f>IFERROR(__xludf.DUMMYFUNCTION("""COMPUTED_VALUE"""),"Sale")</f>
        <v>Sale</v>
      </c>
      <c r="E685" s="2" t="str">
        <f>IFERROR(__xludf.DUMMYFUNCTION("""COMPUTED_VALUE"""),"Kudapan")</f>
        <v>Kudapan</v>
      </c>
      <c r="F685" s="2">
        <f>IFERROR(__xludf.DUMMYFUNCTION("""COMPUTED_VALUE"""),10011.0)</f>
        <v>10011</v>
      </c>
      <c r="G685" s="2" t="str">
        <f>IFERROR(__xludf.DUMMYFUNCTION("""COMPUTED_VALUE"""),"Kentang Goreng")</f>
        <v>Kentang Goreng</v>
      </c>
      <c r="H685" s="2"/>
      <c r="I685" s="2"/>
      <c r="J685" s="2">
        <f>IFERROR(__xludf.DUMMYFUNCTION("""COMPUTED_VALUE"""),1.0)</f>
        <v>1</v>
      </c>
      <c r="K685" s="6">
        <f>IFERROR(__xludf.DUMMYFUNCTION("""COMPUTED_VALUE"""),25238.0)</f>
        <v>25238</v>
      </c>
      <c r="L685" s="2">
        <f>IFERROR(__xludf.DUMMYFUNCTION("""COMPUTED_VALUE"""),0.0)</f>
        <v>0</v>
      </c>
      <c r="M685" s="2">
        <f>IFERROR(__xludf.DUMMYFUNCTION("""COMPUTED_VALUE"""),25238.0)</f>
        <v>25238</v>
      </c>
      <c r="N685" s="2">
        <f>IFERROR(__xludf.DUMMYFUNCTION("""COMPUTED_VALUE"""),0.0)</f>
        <v>0</v>
      </c>
      <c r="O685" s="2">
        <f>IFERROR(__xludf.DUMMYFUNCTION("""COMPUTED_VALUE"""),25238.0)</f>
        <v>25238</v>
      </c>
      <c r="P685" s="2">
        <f>IFERROR(__xludf.DUMMYFUNCTION("""COMPUTED_VALUE"""),1262.0)</f>
        <v>1262</v>
      </c>
      <c r="Q685" s="2" t="str">
        <f>IFERROR(__xludf.DUMMYFUNCTION("""COMPUTED_VALUE"""),"Dine In")</f>
        <v>Dine In</v>
      </c>
      <c r="R685" s="2" t="str">
        <f>IFERROR(__xludf.DUMMYFUNCTION("""COMPUTED_VALUE"""),"Kedai")</f>
        <v>Kedai</v>
      </c>
      <c r="S685" s="2" t="str">
        <f>IFERROR(__xludf.DUMMYFUNCTION("""COMPUTED_VALUE"""),"Temu Roti")</f>
        <v>Temu Roti</v>
      </c>
      <c r="T685" s="2" t="str">
        <f>IFERROR(__xludf.DUMMYFUNCTION("""COMPUTED_VALUE"""),"Owner")</f>
        <v>Owner</v>
      </c>
      <c r="U685" s="2"/>
      <c r="V685" s="2"/>
      <c r="W685" s="2"/>
      <c r="X685" s="2" t="str">
        <f>IFERROR(__xludf.DUMMYFUNCTION("""COMPUTED_VALUE"""),"Closed")</f>
        <v>Closed</v>
      </c>
    </row>
    <row r="686">
      <c r="A686" s="3" t="s">
        <v>702</v>
      </c>
      <c r="B686" s="4">
        <f>IFERROR(__xludf.DUMMYFUNCTION("SPLIT(A686,"","",0,0)"),45550.64513888889)</f>
        <v>45550.64514</v>
      </c>
      <c r="C686" s="5">
        <f>IFERROR(__xludf.DUMMYFUNCTION("""COMPUTED_VALUE"""),2706115.0)</f>
        <v>2706115</v>
      </c>
      <c r="D686" s="2" t="str">
        <f>IFERROR(__xludf.DUMMYFUNCTION("""COMPUTED_VALUE"""),"Sale")</f>
        <v>Sale</v>
      </c>
      <c r="E686" s="2" t="str">
        <f>IFERROR(__xludf.DUMMYFUNCTION("""COMPUTED_VALUE"""),"Kudapan")</f>
        <v>Kudapan</v>
      </c>
      <c r="F686" s="2">
        <f>IFERROR(__xludf.DUMMYFUNCTION("""COMPUTED_VALUE"""),10014.0)</f>
        <v>10014</v>
      </c>
      <c r="G686" s="2" t="str">
        <f>IFERROR(__xludf.DUMMYFUNCTION("""COMPUTED_VALUE"""),"Tempe Mendoan")</f>
        <v>Tempe Mendoan</v>
      </c>
      <c r="H686" s="2"/>
      <c r="I686" s="2"/>
      <c r="J686" s="2">
        <f>IFERROR(__xludf.DUMMYFUNCTION("""COMPUTED_VALUE"""),1.0)</f>
        <v>1</v>
      </c>
      <c r="K686" s="6">
        <f>IFERROR(__xludf.DUMMYFUNCTION("""COMPUTED_VALUE"""),25238.0)</f>
        <v>25238</v>
      </c>
      <c r="L686" s="2">
        <f>IFERROR(__xludf.DUMMYFUNCTION("""COMPUTED_VALUE"""),0.0)</f>
        <v>0</v>
      </c>
      <c r="M686" s="2">
        <f>IFERROR(__xludf.DUMMYFUNCTION("""COMPUTED_VALUE"""),25238.0)</f>
        <v>25238</v>
      </c>
      <c r="N686" s="2">
        <f>IFERROR(__xludf.DUMMYFUNCTION("""COMPUTED_VALUE"""),0.0)</f>
        <v>0</v>
      </c>
      <c r="O686" s="2">
        <f>IFERROR(__xludf.DUMMYFUNCTION("""COMPUTED_VALUE"""),25238.0)</f>
        <v>25238</v>
      </c>
      <c r="P686" s="2">
        <f>IFERROR(__xludf.DUMMYFUNCTION("""COMPUTED_VALUE"""),1262.0)</f>
        <v>1262</v>
      </c>
      <c r="Q686" s="2" t="str">
        <f>IFERROR(__xludf.DUMMYFUNCTION("""COMPUTED_VALUE"""),"Dine In")</f>
        <v>Dine In</v>
      </c>
      <c r="R686" s="2" t="str">
        <f>IFERROR(__xludf.DUMMYFUNCTION("""COMPUTED_VALUE"""),"Kedai")</f>
        <v>Kedai</v>
      </c>
      <c r="S686" s="2" t="str">
        <f>IFERROR(__xludf.DUMMYFUNCTION("""COMPUTED_VALUE"""),"Temu Roti")</f>
        <v>Temu Roti</v>
      </c>
      <c r="T686" s="2" t="str">
        <f>IFERROR(__xludf.DUMMYFUNCTION("""COMPUTED_VALUE"""),"Owner")</f>
        <v>Owner</v>
      </c>
      <c r="U686" s="2"/>
      <c r="V686" s="2"/>
      <c r="W686" s="2"/>
      <c r="X686" s="2" t="str">
        <f>IFERROR(__xludf.DUMMYFUNCTION("""COMPUTED_VALUE"""),"Closed")</f>
        <v>Closed</v>
      </c>
    </row>
    <row r="687">
      <c r="A687" s="3" t="s">
        <v>703</v>
      </c>
      <c r="B687" s="4">
        <f>IFERROR(__xludf.DUMMYFUNCTION("SPLIT(A687,"","",0,0)"),45550.64513888889)</f>
        <v>45550.64514</v>
      </c>
      <c r="C687" s="5">
        <f>IFERROR(__xludf.DUMMYFUNCTION("""COMPUTED_VALUE"""),2706115.0)</f>
        <v>2706115</v>
      </c>
      <c r="D687" s="2" t="str">
        <f>IFERROR(__xludf.DUMMYFUNCTION("""COMPUTED_VALUE"""),"Sale")</f>
        <v>Sale</v>
      </c>
      <c r="E687" s="2" t="str">
        <f>IFERROR(__xludf.DUMMYFUNCTION("""COMPUTED_VALUE"""),"Roti")</f>
        <v>Roti</v>
      </c>
      <c r="F687" s="2">
        <f>IFERROR(__xludf.DUMMYFUNCTION("""COMPUTED_VALUE"""),10007.0)</f>
        <v>10007</v>
      </c>
      <c r="G687" s="2" t="str">
        <f>IFERROR(__xludf.DUMMYFUNCTION("""COMPUTED_VALUE"""),"Roti cranberry 2 pcs")</f>
        <v>Roti cranberry 2 pcs</v>
      </c>
      <c r="H687" s="2"/>
      <c r="I687" s="2"/>
      <c r="J687" s="2">
        <f>IFERROR(__xludf.DUMMYFUNCTION("""COMPUTED_VALUE"""),1.0)</f>
        <v>1</v>
      </c>
      <c r="K687" s="6">
        <f>IFERROR(__xludf.DUMMYFUNCTION("""COMPUTED_VALUE"""),33810.0)</f>
        <v>33810</v>
      </c>
      <c r="L687" s="2">
        <f>IFERROR(__xludf.DUMMYFUNCTION("""COMPUTED_VALUE"""),0.0)</f>
        <v>0</v>
      </c>
      <c r="M687" s="2">
        <f>IFERROR(__xludf.DUMMYFUNCTION("""COMPUTED_VALUE"""),33810.0)</f>
        <v>33810</v>
      </c>
      <c r="N687" s="2">
        <f>IFERROR(__xludf.DUMMYFUNCTION("""COMPUTED_VALUE"""),0.0)</f>
        <v>0</v>
      </c>
      <c r="O687" s="2">
        <f>IFERROR(__xludf.DUMMYFUNCTION("""COMPUTED_VALUE"""),33810.0)</f>
        <v>33810</v>
      </c>
      <c r="P687" s="2">
        <f>IFERROR(__xludf.DUMMYFUNCTION("""COMPUTED_VALUE"""),1690.0)</f>
        <v>1690</v>
      </c>
      <c r="Q687" s="2" t="str">
        <f>IFERROR(__xludf.DUMMYFUNCTION("""COMPUTED_VALUE"""),"Dine In")</f>
        <v>Dine In</v>
      </c>
      <c r="R687" s="2" t="str">
        <f>IFERROR(__xludf.DUMMYFUNCTION("""COMPUTED_VALUE"""),"Kedai")</f>
        <v>Kedai</v>
      </c>
      <c r="S687" s="2" t="str">
        <f>IFERROR(__xludf.DUMMYFUNCTION("""COMPUTED_VALUE"""),"Temu Roti")</f>
        <v>Temu Roti</v>
      </c>
      <c r="T687" s="2" t="str">
        <f>IFERROR(__xludf.DUMMYFUNCTION("""COMPUTED_VALUE"""),"Owner")</f>
        <v>Owner</v>
      </c>
      <c r="U687" s="2"/>
      <c r="V687" s="2"/>
      <c r="W687" s="2"/>
      <c r="X687" s="2" t="str">
        <f>IFERROR(__xludf.DUMMYFUNCTION("""COMPUTED_VALUE"""),"Closed")</f>
        <v>Closed</v>
      </c>
    </row>
    <row r="688">
      <c r="A688" s="3" t="s">
        <v>704</v>
      </c>
      <c r="B688" s="4">
        <f>IFERROR(__xludf.DUMMYFUNCTION("SPLIT(A688,"","",0,0)"),45550.6375)</f>
        <v>45550.6375</v>
      </c>
      <c r="C688" s="5">
        <f>IFERROR(__xludf.DUMMYFUNCTION("""COMPUTED_VALUE"""),2705749.0)</f>
        <v>2705749</v>
      </c>
      <c r="D688" s="2" t="str">
        <f>IFERROR(__xludf.DUMMYFUNCTION("""COMPUTED_VALUE"""),"Sale")</f>
        <v>Sale</v>
      </c>
      <c r="E688" s="2" t="str">
        <f>IFERROR(__xludf.DUMMYFUNCTION("""COMPUTED_VALUE"""),"Hidangan Utama")</f>
        <v>Hidangan Utama</v>
      </c>
      <c r="F688" s="2">
        <f>IFERROR(__xludf.DUMMYFUNCTION("""COMPUTED_VALUE"""),10105.0)</f>
        <v>10105</v>
      </c>
      <c r="G688" s="2" t="str">
        <f>IFERROR(__xludf.DUMMYFUNCTION("""COMPUTED_VALUE"""),"Beef Claypot Rice")</f>
        <v>Beef Claypot Rice</v>
      </c>
      <c r="H688" s="2"/>
      <c r="I688" s="2"/>
      <c r="J688" s="2">
        <f>IFERROR(__xludf.DUMMYFUNCTION("""COMPUTED_VALUE"""),3.0)</f>
        <v>3</v>
      </c>
      <c r="K688" s="6">
        <f>IFERROR(__xludf.DUMMYFUNCTION("""COMPUTED_VALUE"""),114285.0)</f>
        <v>114285</v>
      </c>
      <c r="L688" s="2">
        <f>IFERROR(__xludf.DUMMYFUNCTION("""COMPUTED_VALUE"""),0.0)</f>
        <v>0</v>
      </c>
      <c r="M688" s="2">
        <f>IFERROR(__xludf.DUMMYFUNCTION("""COMPUTED_VALUE"""),114285.0)</f>
        <v>114285</v>
      </c>
      <c r="N688" s="2">
        <f>IFERROR(__xludf.DUMMYFUNCTION("""COMPUTED_VALUE"""),0.0)</f>
        <v>0</v>
      </c>
      <c r="O688" s="2">
        <f>IFERROR(__xludf.DUMMYFUNCTION("""COMPUTED_VALUE"""),114285.0)</f>
        <v>114285</v>
      </c>
      <c r="P688" s="2">
        <f>IFERROR(__xludf.DUMMYFUNCTION("""COMPUTED_VALUE"""),5714.0)</f>
        <v>5714</v>
      </c>
      <c r="Q688" s="2" t="str">
        <f>IFERROR(__xludf.DUMMYFUNCTION("""COMPUTED_VALUE"""),"Dine In")</f>
        <v>Dine In</v>
      </c>
      <c r="R688" s="2" t="str">
        <f>IFERROR(__xludf.DUMMYFUNCTION("""COMPUTED_VALUE"""),"Kedai")</f>
        <v>Kedai</v>
      </c>
      <c r="S688" s="2" t="str">
        <f>IFERROR(__xludf.DUMMYFUNCTION("""COMPUTED_VALUE"""),"Temu Roti")</f>
        <v>Temu Roti</v>
      </c>
      <c r="T688" s="2" t="str">
        <f>IFERROR(__xludf.DUMMYFUNCTION("""COMPUTED_VALUE"""),"Owner")</f>
        <v>Owner</v>
      </c>
      <c r="U688" s="2"/>
      <c r="V688" s="2"/>
      <c r="W688" s="2"/>
      <c r="X688" s="2" t="str">
        <f>IFERROR(__xludf.DUMMYFUNCTION("""COMPUTED_VALUE"""),"Closed")</f>
        <v>Closed</v>
      </c>
    </row>
    <row r="689">
      <c r="A689" s="3" t="s">
        <v>705</v>
      </c>
      <c r="B689" s="4">
        <f>IFERROR(__xludf.DUMMYFUNCTION("SPLIT(A689,"","",0,0)"),45550.6375)</f>
        <v>45550.6375</v>
      </c>
      <c r="C689" s="5">
        <f>IFERROR(__xludf.DUMMYFUNCTION("""COMPUTED_VALUE"""),2705749.0)</f>
        <v>2705749</v>
      </c>
      <c r="D689" s="2" t="str">
        <f>IFERROR(__xludf.DUMMYFUNCTION("""COMPUTED_VALUE"""),"Sale")</f>
        <v>Sale</v>
      </c>
      <c r="E689" s="2" t="str">
        <f>IFERROR(__xludf.DUMMYFUNCTION("""COMPUTED_VALUE"""),"Kudapan")</f>
        <v>Kudapan</v>
      </c>
      <c r="F689" s="2">
        <f>IFERROR(__xludf.DUMMYFUNCTION("""COMPUTED_VALUE"""),10014.0)</f>
        <v>10014</v>
      </c>
      <c r="G689" s="2" t="str">
        <f>IFERROR(__xludf.DUMMYFUNCTION("""COMPUTED_VALUE"""),"Tempe Mendoan")</f>
        <v>Tempe Mendoan</v>
      </c>
      <c r="H689" s="2"/>
      <c r="I689" s="2"/>
      <c r="J689" s="2">
        <f>IFERROR(__xludf.DUMMYFUNCTION("""COMPUTED_VALUE"""),1.0)</f>
        <v>1</v>
      </c>
      <c r="K689" s="6">
        <f>IFERROR(__xludf.DUMMYFUNCTION("""COMPUTED_VALUE"""),25238.0)</f>
        <v>25238</v>
      </c>
      <c r="L689" s="2">
        <f>IFERROR(__xludf.DUMMYFUNCTION("""COMPUTED_VALUE"""),0.0)</f>
        <v>0</v>
      </c>
      <c r="M689" s="2">
        <f>IFERROR(__xludf.DUMMYFUNCTION("""COMPUTED_VALUE"""),25238.0)</f>
        <v>25238</v>
      </c>
      <c r="N689" s="2">
        <f>IFERROR(__xludf.DUMMYFUNCTION("""COMPUTED_VALUE"""),0.0)</f>
        <v>0</v>
      </c>
      <c r="O689" s="2">
        <f>IFERROR(__xludf.DUMMYFUNCTION("""COMPUTED_VALUE"""),25238.0)</f>
        <v>25238</v>
      </c>
      <c r="P689" s="2">
        <f>IFERROR(__xludf.DUMMYFUNCTION("""COMPUTED_VALUE"""),1262.0)</f>
        <v>1262</v>
      </c>
      <c r="Q689" s="2" t="str">
        <f>IFERROR(__xludf.DUMMYFUNCTION("""COMPUTED_VALUE"""),"Dine In")</f>
        <v>Dine In</v>
      </c>
      <c r="R689" s="2" t="str">
        <f>IFERROR(__xludf.DUMMYFUNCTION("""COMPUTED_VALUE"""),"Kedai")</f>
        <v>Kedai</v>
      </c>
      <c r="S689" s="2" t="str">
        <f>IFERROR(__xludf.DUMMYFUNCTION("""COMPUTED_VALUE"""),"Temu Roti")</f>
        <v>Temu Roti</v>
      </c>
      <c r="T689" s="2" t="str">
        <f>IFERROR(__xludf.DUMMYFUNCTION("""COMPUTED_VALUE"""),"Owner")</f>
        <v>Owner</v>
      </c>
      <c r="U689" s="2"/>
      <c r="V689" s="2"/>
      <c r="W689" s="2"/>
      <c r="X689" s="2" t="str">
        <f>IFERROR(__xludf.DUMMYFUNCTION("""COMPUTED_VALUE"""),"Closed")</f>
        <v>Closed</v>
      </c>
    </row>
    <row r="690">
      <c r="A690" s="3" t="s">
        <v>706</v>
      </c>
      <c r="B690" s="4">
        <f>IFERROR(__xludf.DUMMYFUNCTION("SPLIT(A690,"","",0,0)"),45550.6375)</f>
        <v>45550.6375</v>
      </c>
      <c r="C690" s="5">
        <f>IFERROR(__xludf.DUMMYFUNCTION("""COMPUTED_VALUE"""),2705749.0)</f>
        <v>2705749</v>
      </c>
      <c r="D690" s="2" t="str">
        <f>IFERROR(__xludf.DUMMYFUNCTION("""COMPUTED_VALUE"""),"Sale")</f>
        <v>Sale</v>
      </c>
      <c r="E690" s="2" t="str">
        <f>IFERROR(__xludf.DUMMYFUNCTION("""COMPUTED_VALUE"""),"Minuman")</f>
        <v>Minuman</v>
      </c>
      <c r="F690" s="2">
        <f>IFERROR(__xludf.DUMMYFUNCTION("""COMPUTED_VALUE"""),10119.0)</f>
        <v>10119</v>
      </c>
      <c r="G690" s="2" t="str">
        <f>IFERROR(__xludf.DUMMYFUNCTION("""COMPUTED_VALUE"""),"Teh Tawar Dingin")</f>
        <v>Teh Tawar Dingin</v>
      </c>
      <c r="H690" s="2"/>
      <c r="I690" s="2"/>
      <c r="J690" s="2">
        <f>IFERROR(__xludf.DUMMYFUNCTION("""COMPUTED_VALUE"""),1.0)</f>
        <v>1</v>
      </c>
      <c r="K690" s="6">
        <f>IFERROR(__xludf.DUMMYFUNCTION("""COMPUTED_VALUE"""),7143.0)</f>
        <v>7143</v>
      </c>
      <c r="L690" s="2">
        <f>IFERROR(__xludf.DUMMYFUNCTION("""COMPUTED_VALUE"""),0.0)</f>
        <v>0</v>
      </c>
      <c r="M690" s="2">
        <f>IFERROR(__xludf.DUMMYFUNCTION("""COMPUTED_VALUE"""),7143.0)</f>
        <v>7143</v>
      </c>
      <c r="N690" s="2">
        <f>IFERROR(__xludf.DUMMYFUNCTION("""COMPUTED_VALUE"""),0.0)</f>
        <v>0</v>
      </c>
      <c r="O690" s="2">
        <f>IFERROR(__xludf.DUMMYFUNCTION("""COMPUTED_VALUE"""),7143.0)</f>
        <v>7143</v>
      </c>
      <c r="P690" s="2">
        <f>IFERROR(__xludf.DUMMYFUNCTION("""COMPUTED_VALUE"""),357.0)</f>
        <v>357</v>
      </c>
      <c r="Q690" s="2" t="str">
        <f>IFERROR(__xludf.DUMMYFUNCTION("""COMPUTED_VALUE"""),"Dine In")</f>
        <v>Dine In</v>
      </c>
      <c r="R690" s="2" t="str">
        <f>IFERROR(__xludf.DUMMYFUNCTION("""COMPUTED_VALUE"""),"Kedai")</f>
        <v>Kedai</v>
      </c>
      <c r="S690" s="2" t="str">
        <f>IFERROR(__xludf.DUMMYFUNCTION("""COMPUTED_VALUE"""),"Temu Roti")</f>
        <v>Temu Roti</v>
      </c>
      <c r="T690" s="2" t="str">
        <f>IFERROR(__xludf.DUMMYFUNCTION("""COMPUTED_VALUE"""),"Owner")</f>
        <v>Owner</v>
      </c>
      <c r="U690" s="2"/>
      <c r="V690" s="2"/>
      <c r="W690" s="2"/>
      <c r="X690" s="2" t="str">
        <f>IFERROR(__xludf.DUMMYFUNCTION("""COMPUTED_VALUE"""),"Closed")</f>
        <v>Closed</v>
      </c>
    </row>
    <row r="691">
      <c r="A691" s="3" t="s">
        <v>707</v>
      </c>
      <c r="B691" s="4">
        <f>IFERROR(__xludf.DUMMYFUNCTION("SPLIT(A691,"","",0,0)"),45550.6375)</f>
        <v>45550.6375</v>
      </c>
      <c r="C691" s="5">
        <f>IFERROR(__xludf.DUMMYFUNCTION("""COMPUTED_VALUE"""),2705749.0)</f>
        <v>2705749</v>
      </c>
      <c r="D691" s="2" t="str">
        <f>IFERROR(__xludf.DUMMYFUNCTION("""COMPUTED_VALUE"""),"Sale")</f>
        <v>Sale</v>
      </c>
      <c r="E691" s="2" t="str">
        <f>IFERROR(__xludf.DUMMYFUNCTION("""COMPUTED_VALUE"""),"Minuman")</f>
        <v>Minuman</v>
      </c>
      <c r="F691" s="2">
        <f>IFERROR(__xludf.DUMMYFUNCTION("""COMPUTED_VALUE"""),10118.0)</f>
        <v>10118</v>
      </c>
      <c r="G691" s="2" t="str">
        <f>IFERROR(__xludf.DUMMYFUNCTION("""COMPUTED_VALUE"""),"Teh Tawar Panas")</f>
        <v>Teh Tawar Panas</v>
      </c>
      <c r="H691" s="2"/>
      <c r="I691" s="2"/>
      <c r="J691" s="2">
        <f>IFERROR(__xludf.DUMMYFUNCTION("""COMPUTED_VALUE"""),1.0)</f>
        <v>1</v>
      </c>
      <c r="K691" s="6">
        <f>IFERROR(__xludf.DUMMYFUNCTION("""COMPUTED_VALUE"""),7143.0)</f>
        <v>7143</v>
      </c>
      <c r="L691" s="2">
        <f>IFERROR(__xludf.DUMMYFUNCTION("""COMPUTED_VALUE"""),0.0)</f>
        <v>0</v>
      </c>
      <c r="M691" s="2">
        <f>IFERROR(__xludf.DUMMYFUNCTION("""COMPUTED_VALUE"""),7143.0)</f>
        <v>7143</v>
      </c>
      <c r="N691" s="2">
        <f>IFERROR(__xludf.DUMMYFUNCTION("""COMPUTED_VALUE"""),0.0)</f>
        <v>0</v>
      </c>
      <c r="O691" s="2">
        <f>IFERROR(__xludf.DUMMYFUNCTION("""COMPUTED_VALUE"""),7143.0)</f>
        <v>7143</v>
      </c>
      <c r="P691" s="2">
        <f>IFERROR(__xludf.DUMMYFUNCTION("""COMPUTED_VALUE"""),357.0)</f>
        <v>357</v>
      </c>
      <c r="Q691" s="2" t="str">
        <f>IFERROR(__xludf.DUMMYFUNCTION("""COMPUTED_VALUE"""),"Dine In")</f>
        <v>Dine In</v>
      </c>
      <c r="R691" s="2" t="str">
        <f>IFERROR(__xludf.DUMMYFUNCTION("""COMPUTED_VALUE"""),"Kedai")</f>
        <v>Kedai</v>
      </c>
      <c r="S691" s="2" t="str">
        <f>IFERROR(__xludf.DUMMYFUNCTION("""COMPUTED_VALUE"""),"Temu Roti")</f>
        <v>Temu Roti</v>
      </c>
      <c r="T691" s="2" t="str">
        <f>IFERROR(__xludf.DUMMYFUNCTION("""COMPUTED_VALUE"""),"Owner")</f>
        <v>Owner</v>
      </c>
      <c r="U691" s="2"/>
      <c r="V691" s="2"/>
      <c r="W691" s="2"/>
      <c r="X691" s="2" t="str">
        <f>IFERROR(__xludf.DUMMYFUNCTION("""COMPUTED_VALUE"""),"Closed")</f>
        <v>Closed</v>
      </c>
    </row>
    <row r="692">
      <c r="A692" s="3" t="s">
        <v>708</v>
      </c>
      <c r="B692" s="4">
        <f>IFERROR(__xludf.DUMMYFUNCTION("SPLIT(A692,"","",0,0)"),45550.63055555556)</f>
        <v>45550.63056</v>
      </c>
      <c r="C692" s="5">
        <f>IFERROR(__xludf.DUMMYFUNCTION("""COMPUTED_VALUE"""),2705384.0)</f>
        <v>2705384</v>
      </c>
      <c r="D692" s="2" t="str">
        <f>IFERROR(__xludf.DUMMYFUNCTION("""COMPUTED_VALUE"""),"Sale")</f>
        <v>Sale</v>
      </c>
      <c r="E692" s="2" t="str">
        <f>IFERROR(__xludf.DUMMYFUNCTION("""COMPUTED_VALUE"""),"Minuman")</f>
        <v>Minuman</v>
      </c>
      <c r="F692" s="2">
        <f>IFERROR(__xludf.DUMMYFUNCTION("""COMPUTED_VALUE"""),10013.0)</f>
        <v>10013</v>
      </c>
      <c r="G692" s="2" t="str">
        <f>IFERROR(__xludf.DUMMYFUNCTION("""COMPUTED_VALUE"""),"Kopi cur")</f>
        <v>Kopi cur</v>
      </c>
      <c r="H692" s="2"/>
      <c r="I692" s="2"/>
      <c r="J692" s="2">
        <f>IFERROR(__xludf.DUMMYFUNCTION("""COMPUTED_VALUE"""),1.0)</f>
        <v>1</v>
      </c>
      <c r="K692" s="6">
        <f>IFERROR(__xludf.DUMMYFUNCTION("""COMPUTED_VALUE"""),23333.0)</f>
        <v>23333</v>
      </c>
      <c r="L692" s="2">
        <f>IFERROR(__xludf.DUMMYFUNCTION("""COMPUTED_VALUE"""),0.0)</f>
        <v>0</v>
      </c>
      <c r="M692" s="2">
        <f>IFERROR(__xludf.DUMMYFUNCTION("""COMPUTED_VALUE"""),23333.0)</f>
        <v>23333</v>
      </c>
      <c r="N692" s="2">
        <f>IFERROR(__xludf.DUMMYFUNCTION("""COMPUTED_VALUE"""),0.0)</f>
        <v>0</v>
      </c>
      <c r="O692" s="2">
        <f>IFERROR(__xludf.DUMMYFUNCTION("""COMPUTED_VALUE"""),23333.0)</f>
        <v>23333</v>
      </c>
      <c r="P692" s="2">
        <f>IFERROR(__xludf.DUMMYFUNCTION("""COMPUTED_VALUE"""),1167.0)</f>
        <v>1167</v>
      </c>
      <c r="Q692" s="2" t="str">
        <f>IFERROR(__xludf.DUMMYFUNCTION("""COMPUTED_VALUE"""),"Dine In")</f>
        <v>Dine In</v>
      </c>
      <c r="R692" s="2" t="str">
        <f>IFERROR(__xludf.DUMMYFUNCTION("""COMPUTED_VALUE"""),"Kedai")</f>
        <v>Kedai</v>
      </c>
      <c r="S692" s="2" t="str">
        <f>IFERROR(__xludf.DUMMYFUNCTION("""COMPUTED_VALUE"""),"Temu Roti")</f>
        <v>Temu Roti</v>
      </c>
      <c r="T692" s="2" t="str">
        <f>IFERROR(__xludf.DUMMYFUNCTION("""COMPUTED_VALUE"""),"Owner")</f>
        <v>Owner</v>
      </c>
      <c r="U692" s="2"/>
      <c r="V692" s="2"/>
      <c r="W692" s="2"/>
      <c r="X692" s="2" t="str">
        <f>IFERROR(__xludf.DUMMYFUNCTION("""COMPUTED_VALUE"""),"Closed")</f>
        <v>Closed</v>
      </c>
    </row>
    <row r="693">
      <c r="A693" s="3" t="s">
        <v>709</v>
      </c>
      <c r="B693" s="4">
        <f>IFERROR(__xludf.DUMMYFUNCTION("SPLIT(A693,"","",0,0)"),45550.63055555556)</f>
        <v>45550.63056</v>
      </c>
      <c r="C693" s="5">
        <f>IFERROR(__xludf.DUMMYFUNCTION("""COMPUTED_VALUE"""),2705384.0)</f>
        <v>2705384</v>
      </c>
      <c r="D693" s="2" t="str">
        <f>IFERROR(__xludf.DUMMYFUNCTION("""COMPUTED_VALUE"""),"Sale")</f>
        <v>Sale</v>
      </c>
      <c r="E693" s="2" t="str">
        <f>IFERROR(__xludf.DUMMYFUNCTION("""COMPUTED_VALUE"""),"Minuman")</f>
        <v>Minuman</v>
      </c>
      <c r="F693" s="2">
        <f>IFERROR(__xludf.DUMMYFUNCTION("""COMPUTED_VALUE"""),10122.0)</f>
        <v>10122</v>
      </c>
      <c r="G693" s="2" t="str">
        <f>IFERROR(__xludf.DUMMYFUNCTION("""COMPUTED_VALUE"""),"Rempah Madu Panas")</f>
        <v>Rempah Madu Panas</v>
      </c>
      <c r="H693" s="2"/>
      <c r="I693" s="2"/>
      <c r="J693" s="2">
        <f>IFERROR(__xludf.DUMMYFUNCTION("""COMPUTED_VALUE"""),1.0)</f>
        <v>1</v>
      </c>
      <c r="K693" s="6">
        <f>IFERROR(__xludf.DUMMYFUNCTION("""COMPUTED_VALUE"""),21905.0)</f>
        <v>21905</v>
      </c>
      <c r="L693" s="2">
        <f>IFERROR(__xludf.DUMMYFUNCTION("""COMPUTED_VALUE"""),0.0)</f>
        <v>0</v>
      </c>
      <c r="M693" s="2">
        <f>IFERROR(__xludf.DUMMYFUNCTION("""COMPUTED_VALUE"""),21905.0)</f>
        <v>21905</v>
      </c>
      <c r="N693" s="2">
        <f>IFERROR(__xludf.DUMMYFUNCTION("""COMPUTED_VALUE"""),0.0)</f>
        <v>0</v>
      </c>
      <c r="O693" s="2">
        <f>IFERROR(__xludf.DUMMYFUNCTION("""COMPUTED_VALUE"""),21905.0)</f>
        <v>21905</v>
      </c>
      <c r="P693" s="2">
        <f>IFERROR(__xludf.DUMMYFUNCTION("""COMPUTED_VALUE"""),1095.0)</f>
        <v>1095</v>
      </c>
      <c r="Q693" s="2" t="str">
        <f>IFERROR(__xludf.DUMMYFUNCTION("""COMPUTED_VALUE"""),"Dine In")</f>
        <v>Dine In</v>
      </c>
      <c r="R693" s="2" t="str">
        <f>IFERROR(__xludf.DUMMYFUNCTION("""COMPUTED_VALUE"""),"Kedai")</f>
        <v>Kedai</v>
      </c>
      <c r="S693" s="2" t="str">
        <f>IFERROR(__xludf.DUMMYFUNCTION("""COMPUTED_VALUE"""),"Temu Roti")</f>
        <v>Temu Roti</v>
      </c>
      <c r="T693" s="2" t="str">
        <f>IFERROR(__xludf.DUMMYFUNCTION("""COMPUTED_VALUE"""),"Owner")</f>
        <v>Owner</v>
      </c>
      <c r="U693" s="2"/>
      <c r="V693" s="2"/>
      <c r="W693" s="2"/>
      <c r="X693" s="2" t="str">
        <f>IFERROR(__xludf.DUMMYFUNCTION("""COMPUTED_VALUE"""),"Closed")</f>
        <v>Closed</v>
      </c>
    </row>
    <row r="694">
      <c r="A694" s="3" t="s">
        <v>710</v>
      </c>
      <c r="B694" s="4">
        <f>IFERROR(__xludf.DUMMYFUNCTION("SPLIT(A694,"","",0,0)"),45550.63055555556)</f>
        <v>45550.63056</v>
      </c>
      <c r="C694" s="5">
        <f>IFERROR(__xludf.DUMMYFUNCTION("""COMPUTED_VALUE"""),2705384.0)</f>
        <v>2705384</v>
      </c>
      <c r="D694" s="2" t="str">
        <f>IFERROR(__xludf.DUMMYFUNCTION("""COMPUTED_VALUE"""),"Sale")</f>
        <v>Sale</v>
      </c>
      <c r="E694" s="2" t="str">
        <f>IFERROR(__xludf.DUMMYFUNCTION("""COMPUTED_VALUE"""),"Roti")</f>
        <v>Roti</v>
      </c>
      <c r="F694" s="2">
        <f>IFERROR(__xludf.DUMMYFUNCTION("""COMPUTED_VALUE"""),10055.0)</f>
        <v>10055</v>
      </c>
      <c r="G694" s="2" t="str">
        <f>IFERROR(__xludf.DUMMYFUNCTION("""COMPUTED_VALUE"""),"Roti Gandum Cokelat 2 pcs")</f>
        <v>Roti Gandum Cokelat 2 pcs</v>
      </c>
      <c r="H694" s="2"/>
      <c r="I694" s="2"/>
      <c r="J694" s="2">
        <f>IFERROR(__xludf.DUMMYFUNCTION("""COMPUTED_VALUE"""),1.0)</f>
        <v>1</v>
      </c>
      <c r="K694" s="6">
        <f>IFERROR(__xludf.DUMMYFUNCTION("""COMPUTED_VALUE"""),34762.0)</f>
        <v>34762</v>
      </c>
      <c r="L694" s="2">
        <f>IFERROR(__xludf.DUMMYFUNCTION("""COMPUTED_VALUE"""),0.0)</f>
        <v>0</v>
      </c>
      <c r="M694" s="2">
        <f>IFERROR(__xludf.DUMMYFUNCTION("""COMPUTED_VALUE"""),34762.0)</f>
        <v>34762</v>
      </c>
      <c r="N694" s="2">
        <f>IFERROR(__xludf.DUMMYFUNCTION("""COMPUTED_VALUE"""),0.0)</f>
        <v>0</v>
      </c>
      <c r="O694" s="2">
        <f>IFERROR(__xludf.DUMMYFUNCTION("""COMPUTED_VALUE"""),34762.0)</f>
        <v>34762</v>
      </c>
      <c r="P694" s="2">
        <f>IFERROR(__xludf.DUMMYFUNCTION("""COMPUTED_VALUE"""),1738.0)</f>
        <v>1738</v>
      </c>
      <c r="Q694" s="2" t="str">
        <f>IFERROR(__xludf.DUMMYFUNCTION("""COMPUTED_VALUE"""),"Dine In")</f>
        <v>Dine In</v>
      </c>
      <c r="R694" s="2" t="str">
        <f>IFERROR(__xludf.DUMMYFUNCTION("""COMPUTED_VALUE"""),"Kedai")</f>
        <v>Kedai</v>
      </c>
      <c r="S694" s="2" t="str">
        <f>IFERROR(__xludf.DUMMYFUNCTION("""COMPUTED_VALUE"""),"Temu Roti")</f>
        <v>Temu Roti</v>
      </c>
      <c r="T694" s="2" t="str">
        <f>IFERROR(__xludf.DUMMYFUNCTION("""COMPUTED_VALUE"""),"Owner")</f>
        <v>Owner</v>
      </c>
      <c r="U694" s="2"/>
      <c r="V694" s="2"/>
      <c r="W694" s="2"/>
      <c r="X694" s="2" t="str">
        <f>IFERROR(__xludf.DUMMYFUNCTION("""COMPUTED_VALUE"""),"Closed")</f>
        <v>Closed</v>
      </c>
    </row>
    <row r="695">
      <c r="A695" s="3" t="s">
        <v>711</v>
      </c>
      <c r="B695" s="4">
        <f>IFERROR(__xludf.DUMMYFUNCTION("SPLIT(A695,"","",0,0)"),45550.614583333336)</f>
        <v>45550.61458</v>
      </c>
      <c r="C695" s="5">
        <f>IFERROR(__xludf.DUMMYFUNCTION("""COMPUTED_VALUE"""),2705019.0)</f>
        <v>2705019</v>
      </c>
      <c r="D695" s="2" t="str">
        <f>IFERROR(__xludf.DUMMYFUNCTION("""COMPUTED_VALUE"""),"Sale")</f>
        <v>Sale</v>
      </c>
      <c r="E695" s="2" t="str">
        <f>IFERROR(__xludf.DUMMYFUNCTION("""COMPUTED_VALUE"""),"Roti")</f>
        <v>Roti</v>
      </c>
      <c r="F695" s="2">
        <f>IFERROR(__xludf.DUMMYFUNCTION("""COMPUTED_VALUE"""),10002.0)</f>
        <v>10002</v>
      </c>
      <c r="G695" s="2" t="str">
        <f>IFERROR(__xludf.DUMMYFUNCTION("""COMPUTED_VALUE"""),"Roti Cranberry")</f>
        <v>Roti Cranberry</v>
      </c>
      <c r="H695" s="2"/>
      <c r="I695" s="2"/>
      <c r="J695" s="2">
        <f>IFERROR(__xludf.DUMMYFUNCTION("""COMPUTED_VALUE"""),1.0)</f>
        <v>1</v>
      </c>
      <c r="K695" s="6">
        <f>IFERROR(__xludf.DUMMYFUNCTION("""COMPUTED_VALUE"""),18571.0)</f>
        <v>18571</v>
      </c>
      <c r="L695" s="2">
        <f>IFERROR(__xludf.DUMMYFUNCTION("""COMPUTED_VALUE"""),0.0)</f>
        <v>0</v>
      </c>
      <c r="M695" s="2">
        <f>IFERROR(__xludf.DUMMYFUNCTION("""COMPUTED_VALUE"""),18571.0)</f>
        <v>18571</v>
      </c>
      <c r="N695" s="2">
        <f>IFERROR(__xludf.DUMMYFUNCTION("""COMPUTED_VALUE"""),0.0)</f>
        <v>0</v>
      </c>
      <c r="O695" s="2">
        <f>IFERROR(__xludf.DUMMYFUNCTION("""COMPUTED_VALUE"""),18571.0)</f>
        <v>18571</v>
      </c>
      <c r="P695" s="2">
        <f>IFERROR(__xludf.DUMMYFUNCTION("""COMPUTED_VALUE"""),929.0)</f>
        <v>929</v>
      </c>
      <c r="Q695" s="2" t="str">
        <f>IFERROR(__xludf.DUMMYFUNCTION("""COMPUTED_VALUE"""),"Take Away")</f>
        <v>Take Away</v>
      </c>
      <c r="R695" s="2" t="str">
        <f>IFERROR(__xludf.DUMMYFUNCTION("""COMPUTED_VALUE"""),"Kedai")</f>
        <v>Kedai</v>
      </c>
      <c r="S695" s="2" t="str">
        <f>IFERROR(__xludf.DUMMYFUNCTION("""COMPUTED_VALUE"""),"Temu Roti")</f>
        <v>Temu Roti</v>
      </c>
      <c r="T695" s="2" t="str">
        <f>IFERROR(__xludf.DUMMYFUNCTION("""COMPUTED_VALUE"""),"Owner")</f>
        <v>Owner</v>
      </c>
      <c r="U695" s="2"/>
      <c r="V695" s="2"/>
      <c r="W695" s="2"/>
      <c r="X695" s="2" t="str">
        <f>IFERROR(__xludf.DUMMYFUNCTION("""COMPUTED_VALUE"""),"Closed")</f>
        <v>Closed</v>
      </c>
    </row>
    <row r="696">
      <c r="A696" s="3" t="s">
        <v>712</v>
      </c>
      <c r="B696" s="4">
        <f>IFERROR(__xludf.DUMMYFUNCTION("SPLIT(A696,"","",0,0)"),45550.614583333336)</f>
        <v>45550.61458</v>
      </c>
      <c r="C696" s="5">
        <f>IFERROR(__xludf.DUMMYFUNCTION("""COMPUTED_VALUE"""),2705019.0)</f>
        <v>2705019</v>
      </c>
      <c r="D696" s="2" t="str">
        <f>IFERROR(__xludf.DUMMYFUNCTION("""COMPUTED_VALUE"""),"Sale")</f>
        <v>Sale</v>
      </c>
      <c r="E696" s="2" t="str">
        <f>IFERROR(__xludf.DUMMYFUNCTION("""COMPUTED_VALUE"""),"Minuman")</f>
        <v>Minuman</v>
      </c>
      <c r="F696" s="2">
        <f>IFERROR(__xludf.DUMMYFUNCTION("""COMPUTED_VALUE"""),10026.0)</f>
        <v>10026</v>
      </c>
      <c r="G696" s="2" t="str">
        <f>IFERROR(__xludf.DUMMYFUNCTION("""COMPUTED_VALUE"""),"Es Kopi Lemon")</f>
        <v>Es Kopi Lemon</v>
      </c>
      <c r="H696" s="2"/>
      <c r="I696" s="2"/>
      <c r="J696" s="2">
        <f>IFERROR(__xludf.DUMMYFUNCTION("""COMPUTED_VALUE"""),2.0)</f>
        <v>2</v>
      </c>
      <c r="K696" s="6">
        <f>IFERROR(__xludf.DUMMYFUNCTION("""COMPUTED_VALUE"""),43810.0)</f>
        <v>43810</v>
      </c>
      <c r="L696" s="2">
        <f>IFERROR(__xludf.DUMMYFUNCTION("""COMPUTED_VALUE"""),0.0)</f>
        <v>0</v>
      </c>
      <c r="M696" s="2">
        <f>IFERROR(__xludf.DUMMYFUNCTION("""COMPUTED_VALUE"""),43810.0)</f>
        <v>43810</v>
      </c>
      <c r="N696" s="2">
        <f>IFERROR(__xludf.DUMMYFUNCTION("""COMPUTED_VALUE"""),0.0)</f>
        <v>0</v>
      </c>
      <c r="O696" s="2">
        <f>IFERROR(__xludf.DUMMYFUNCTION("""COMPUTED_VALUE"""),43810.0)</f>
        <v>43810</v>
      </c>
      <c r="P696" s="2">
        <f>IFERROR(__xludf.DUMMYFUNCTION("""COMPUTED_VALUE"""),2190.0)</f>
        <v>2190</v>
      </c>
      <c r="Q696" s="2" t="str">
        <f>IFERROR(__xludf.DUMMYFUNCTION("""COMPUTED_VALUE"""),"Take Away")</f>
        <v>Take Away</v>
      </c>
      <c r="R696" s="2" t="str">
        <f>IFERROR(__xludf.DUMMYFUNCTION("""COMPUTED_VALUE"""),"Kedai")</f>
        <v>Kedai</v>
      </c>
      <c r="S696" s="2" t="str">
        <f>IFERROR(__xludf.DUMMYFUNCTION("""COMPUTED_VALUE"""),"Temu Roti")</f>
        <v>Temu Roti</v>
      </c>
      <c r="T696" s="2" t="str">
        <f>IFERROR(__xludf.DUMMYFUNCTION("""COMPUTED_VALUE"""),"Owner")</f>
        <v>Owner</v>
      </c>
      <c r="U696" s="2"/>
      <c r="V696" s="2"/>
      <c r="W696" s="2"/>
      <c r="X696" s="2" t="str">
        <f>IFERROR(__xludf.DUMMYFUNCTION("""COMPUTED_VALUE"""),"Closed")</f>
        <v>Closed</v>
      </c>
    </row>
    <row r="697">
      <c r="A697" s="3" t="s">
        <v>713</v>
      </c>
      <c r="B697" s="4">
        <f>IFERROR(__xludf.DUMMYFUNCTION("SPLIT(A697,"","",0,0)"),45550.55069444444)</f>
        <v>45550.55069</v>
      </c>
      <c r="C697" s="5">
        <f>IFERROR(__xludf.DUMMYFUNCTION("""COMPUTED_VALUE"""),2704654.0)</f>
        <v>2704654</v>
      </c>
      <c r="D697" s="2" t="str">
        <f>IFERROR(__xludf.DUMMYFUNCTION("""COMPUTED_VALUE"""),"Sale")</f>
        <v>Sale</v>
      </c>
      <c r="E697" s="2" t="str">
        <f>IFERROR(__xludf.DUMMYFUNCTION("""COMPUTED_VALUE"""),"Minuman")</f>
        <v>Minuman</v>
      </c>
      <c r="F697" s="2">
        <f>IFERROR(__xludf.DUMMYFUNCTION("""COMPUTED_VALUE"""),10121.0)</f>
        <v>10121</v>
      </c>
      <c r="G697" s="2" t="str">
        <f>IFERROR(__xludf.DUMMYFUNCTION("""COMPUTED_VALUE"""),"Lemon Tea Dingin")</f>
        <v>Lemon Tea Dingin</v>
      </c>
      <c r="H697" s="2"/>
      <c r="I697" s="2"/>
      <c r="J697" s="2">
        <f>IFERROR(__xludf.DUMMYFUNCTION("""COMPUTED_VALUE"""),1.0)</f>
        <v>1</v>
      </c>
      <c r="K697" s="6">
        <f>IFERROR(__xludf.DUMMYFUNCTION("""COMPUTED_VALUE"""),19524.0)</f>
        <v>19524</v>
      </c>
      <c r="L697" s="2">
        <f>IFERROR(__xludf.DUMMYFUNCTION("""COMPUTED_VALUE"""),0.0)</f>
        <v>0</v>
      </c>
      <c r="M697" s="2">
        <f>IFERROR(__xludf.DUMMYFUNCTION("""COMPUTED_VALUE"""),19524.0)</f>
        <v>19524</v>
      </c>
      <c r="N697" s="2">
        <f>IFERROR(__xludf.DUMMYFUNCTION("""COMPUTED_VALUE"""),0.0)</f>
        <v>0</v>
      </c>
      <c r="O697" s="2">
        <f>IFERROR(__xludf.DUMMYFUNCTION("""COMPUTED_VALUE"""),19524.0)</f>
        <v>19524</v>
      </c>
      <c r="P697" s="2">
        <f>IFERROR(__xludf.DUMMYFUNCTION("""COMPUTED_VALUE"""),976.0)</f>
        <v>976</v>
      </c>
      <c r="Q697" s="2" t="str">
        <f>IFERROR(__xludf.DUMMYFUNCTION("""COMPUTED_VALUE"""),"Dine In")</f>
        <v>Dine In</v>
      </c>
      <c r="R697" s="2" t="str">
        <f>IFERROR(__xludf.DUMMYFUNCTION("""COMPUTED_VALUE"""),"Kedai")</f>
        <v>Kedai</v>
      </c>
      <c r="S697" s="2" t="str">
        <f>IFERROR(__xludf.DUMMYFUNCTION("""COMPUTED_VALUE"""),"Temu Roti")</f>
        <v>Temu Roti</v>
      </c>
      <c r="T697" s="2" t="str">
        <f>IFERROR(__xludf.DUMMYFUNCTION("""COMPUTED_VALUE"""),"Owner")</f>
        <v>Owner</v>
      </c>
      <c r="U697" s="2"/>
      <c r="V697" s="2"/>
      <c r="W697" s="2"/>
      <c r="X697" s="2" t="str">
        <f>IFERROR(__xludf.DUMMYFUNCTION("""COMPUTED_VALUE"""),"Closed")</f>
        <v>Closed</v>
      </c>
    </row>
    <row r="698">
      <c r="A698" s="3" t="s">
        <v>714</v>
      </c>
      <c r="B698" s="4">
        <f>IFERROR(__xludf.DUMMYFUNCTION("SPLIT(A698,"","",0,0)"),45550.55069444444)</f>
        <v>45550.55069</v>
      </c>
      <c r="C698" s="5">
        <f>IFERROR(__xludf.DUMMYFUNCTION("""COMPUTED_VALUE"""),2704654.0)</f>
        <v>2704654</v>
      </c>
      <c r="D698" s="2" t="str">
        <f>IFERROR(__xludf.DUMMYFUNCTION("""COMPUTED_VALUE"""),"Sale")</f>
        <v>Sale</v>
      </c>
      <c r="E698" s="2" t="str">
        <f>IFERROR(__xludf.DUMMYFUNCTION("""COMPUTED_VALUE"""),"Minuman")</f>
        <v>Minuman</v>
      </c>
      <c r="F698" s="2">
        <f>IFERROR(__xludf.DUMMYFUNCTION("""COMPUTED_VALUE"""),10106.0)</f>
        <v>10106</v>
      </c>
      <c r="G698" s="2" t="str">
        <f>IFERROR(__xludf.DUMMYFUNCTION("""COMPUTED_VALUE"""),"Korean Strawberry Fresh Milk")</f>
        <v>Korean Strawberry Fresh Milk</v>
      </c>
      <c r="H698" s="2"/>
      <c r="I698" s="2"/>
      <c r="J698" s="2">
        <f>IFERROR(__xludf.DUMMYFUNCTION("""COMPUTED_VALUE"""),1.0)</f>
        <v>1</v>
      </c>
      <c r="K698" s="6">
        <f>IFERROR(__xludf.DUMMYFUNCTION("""COMPUTED_VALUE"""),26667.0)</f>
        <v>26667</v>
      </c>
      <c r="L698" s="2">
        <f>IFERROR(__xludf.DUMMYFUNCTION("""COMPUTED_VALUE"""),0.0)</f>
        <v>0</v>
      </c>
      <c r="M698" s="2">
        <f>IFERROR(__xludf.DUMMYFUNCTION("""COMPUTED_VALUE"""),26667.0)</f>
        <v>26667</v>
      </c>
      <c r="N698" s="2">
        <f>IFERROR(__xludf.DUMMYFUNCTION("""COMPUTED_VALUE"""),0.0)</f>
        <v>0</v>
      </c>
      <c r="O698" s="2">
        <f>IFERROR(__xludf.DUMMYFUNCTION("""COMPUTED_VALUE"""),26667.0)</f>
        <v>26667</v>
      </c>
      <c r="P698" s="2">
        <f>IFERROR(__xludf.DUMMYFUNCTION("""COMPUTED_VALUE"""),1334.0)</f>
        <v>1334</v>
      </c>
      <c r="Q698" s="2" t="str">
        <f>IFERROR(__xludf.DUMMYFUNCTION("""COMPUTED_VALUE"""),"Dine In")</f>
        <v>Dine In</v>
      </c>
      <c r="R698" s="2" t="str">
        <f>IFERROR(__xludf.DUMMYFUNCTION("""COMPUTED_VALUE"""),"Kedai")</f>
        <v>Kedai</v>
      </c>
      <c r="S698" s="2" t="str">
        <f>IFERROR(__xludf.DUMMYFUNCTION("""COMPUTED_VALUE"""),"Temu Roti")</f>
        <v>Temu Roti</v>
      </c>
      <c r="T698" s="2" t="str">
        <f>IFERROR(__xludf.DUMMYFUNCTION("""COMPUTED_VALUE"""),"Owner")</f>
        <v>Owner</v>
      </c>
      <c r="U698" s="2"/>
      <c r="V698" s="2"/>
      <c r="W698" s="2"/>
      <c r="X698" s="2" t="str">
        <f>IFERROR(__xludf.DUMMYFUNCTION("""COMPUTED_VALUE"""),"Closed")</f>
        <v>Closed</v>
      </c>
    </row>
    <row r="699">
      <c r="A699" s="3" t="s">
        <v>715</v>
      </c>
      <c r="B699" s="4">
        <f>IFERROR(__xludf.DUMMYFUNCTION("SPLIT(A699,"","",0,0)"),45550.55069444444)</f>
        <v>45550.55069</v>
      </c>
      <c r="C699" s="5">
        <f>IFERROR(__xludf.DUMMYFUNCTION("""COMPUTED_VALUE"""),2704654.0)</f>
        <v>2704654</v>
      </c>
      <c r="D699" s="2" t="str">
        <f>IFERROR(__xludf.DUMMYFUNCTION("""COMPUTED_VALUE"""),"Sale")</f>
        <v>Sale</v>
      </c>
      <c r="E699" s="2" t="str">
        <f>IFERROR(__xludf.DUMMYFUNCTION("""COMPUTED_VALUE"""),"Minuman")</f>
        <v>Minuman</v>
      </c>
      <c r="F699" s="2">
        <f>IFERROR(__xludf.DUMMYFUNCTION("""COMPUTED_VALUE"""),10112.0)</f>
        <v>10112</v>
      </c>
      <c r="G699" s="2" t="str">
        <f>IFERROR(__xludf.DUMMYFUNCTION("""COMPUTED_VALUE"""),"Air mineral")</f>
        <v>Air mineral</v>
      </c>
      <c r="H699" s="2"/>
      <c r="I699" s="2"/>
      <c r="J699" s="2">
        <f>IFERROR(__xludf.DUMMYFUNCTION("""COMPUTED_VALUE"""),1.0)</f>
        <v>1</v>
      </c>
      <c r="K699" s="6">
        <f>IFERROR(__xludf.DUMMYFUNCTION("""COMPUTED_VALUE"""),6667.0)</f>
        <v>6667</v>
      </c>
      <c r="L699" s="2">
        <f>IFERROR(__xludf.DUMMYFUNCTION("""COMPUTED_VALUE"""),0.0)</f>
        <v>0</v>
      </c>
      <c r="M699" s="2">
        <f>IFERROR(__xludf.DUMMYFUNCTION("""COMPUTED_VALUE"""),6667.0)</f>
        <v>6667</v>
      </c>
      <c r="N699" s="2">
        <f>IFERROR(__xludf.DUMMYFUNCTION("""COMPUTED_VALUE"""),0.0)</f>
        <v>0</v>
      </c>
      <c r="O699" s="2">
        <f>IFERROR(__xludf.DUMMYFUNCTION("""COMPUTED_VALUE"""),6667.0)</f>
        <v>6667</v>
      </c>
      <c r="P699" s="2">
        <f>IFERROR(__xludf.DUMMYFUNCTION("""COMPUTED_VALUE"""),333.0)</f>
        <v>333</v>
      </c>
      <c r="Q699" s="2" t="str">
        <f>IFERROR(__xludf.DUMMYFUNCTION("""COMPUTED_VALUE"""),"Dine In")</f>
        <v>Dine In</v>
      </c>
      <c r="R699" s="2" t="str">
        <f>IFERROR(__xludf.DUMMYFUNCTION("""COMPUTED_VALUE"""),"Kedai")</f>
        <v>Kedai</v>
      </c>
      <c r="S699" s="2" t="str">
        <f>IFERROR(__xludf.DUMMYFUNCTION("""COMPUTED_VALUE"""),"Temu Roti")</f>
        <v>Temu Roti</v>
      </c>
      <c r="T699" s="2" t="str">
        <f>IFERROR(__xludf.DUMMYFUNCTION("""COMPUTED_VALUE"""),"Owner")</f>
        <v>Owner</v>
      </c>
      <c r="U699" s="2"/>
      <c r="V699" s="2"/>
      <c r="W699" s="2"/>
      <c r="X699" s="2" t="str">
        <f>IFERROR(__xludf.DUMMYFUNCTION("""COMPUTED_VALUE"""),"Closed")</f>
        <v>Closed</v>
      </c>
    </row>
    <row r="700">
      <c r="A700" s="3" t="s">
        <v>716</v>
      </c>
      <c r="B700" s="4">
        <f>IFERROR(__xludf.DUMMYFUNCTION("SPLIT(A700,"","",0,0)"),45550.55069444444)</f>
        <v>45550.55069</v>
      </c>
      <c r="C700" s="5">
        <f>IFERROR(__xludf.DUMMYFUNCTION("""COMPUTED_VALUE"""),2704654.0)</f>
        <v>2704654</v>
      </c>
      <c r="D700" s="2" t="str">
        <f>IFERROR(__xludf.DUMMYFUNCTION("""COMPUTED_VALUE"""),"Sale")</f>
        <v>Sale</v>
      </c>
      <c r="E700" s="2" t="str">
        <f>IFERROR(__xludf.DUMMYFUNCTION("""COMPUTED_VALUE"""),"Kudapan")</f>
        <v>Kudapan</v>
      </c>
      <c r="F700" s="2">
        <f>IFERROR(__xludf.DUMMYFUNCTION("""COMPUTED_VALUE"""),10015.0)</f>
        <v>10015</v>
      </c>
      <c r="G700" s="2" t="str">
        <f>IFERROR(__xludf.DUMMYFUNCTION("""COMPUTED_VALUE"""),"Tahu Lada Garam")</f>
        <v>Tahu Lada Garam</v>
      </c>
      <c r="H700" s="2"/>
      <c r="I700" s="2"/>
      <c r="J700" s="2">
        <f>IFERROR(__xludf.DUMMYFUNCTION("""COMPUTED_VALUE"""),1.0)</f>
        <v>1</v>
      </c>
      <c r="K700" s="6">
        <f>IFERROR(__xludf.DUMMYFUNCTION("""COMPUTED_VALUE"""),25238.0)</f>
        <v>25238</v>
      </c>
      <c r="L700" s="2">
        <f>IFERROR(__xludf.DUMMYFUNCTION("""COMPUTED_VALUE"""),0.0)</f>
        <v>0</v>
      </c>
      <c r="M700" s="2">
        <f>IFERROR(__xludf.DUMMYFUNCTION("""COMPUTED_VALUE"""),25238.0)</f>
        <v>25238</v>
      </c>
      <c r="N700" s="2">
        <f>IFERROR(__xludf.DUMMYFUNCTION("""COMPUTED_VALUE"""),0.0)</f>
        <v>0</v>
      </c>
      <c r="O700" s="2">
        <f>IFERROR(__xludf.DUMMYFUNCTION("""COMPUTED_VALUE"""),25238.0)</f>
        <v>25238</v>
      </c>
      <c r="P700" s="2">
        <f>IFERROR(__xludf.DUMMYFUNCTION("""COMPUTED_VALUE"""),1262.0)</f>
        <v>1262</v>
      </c>
      <c r="Q700" s="2" t="str">
        <f>IFERROR(__xludf.DUMMYFUNCTION("""COMPUTED_VALUE"""),"Dine In")</f>
        <v>Dine In</v>
      </c>
      <c r="R700" s="2" t="str">
        <f>IFERROR(__xludf.DUMMYFUNCTION("""COMPUTED_VALUE"""),"Kedai")</f>
        <v>Kedai</v>
      </c>
      <c r="S700" s="2" t="str">
        <f>IFERROR(__xludf.DUMMYFUNCTION("""COMPUTED_VALUE"""),"Temu Roti")</f>
        <v>Temu Roti</v>
      </c>
      <c r="T700" s="2" t="str">
        <f>IFERROR(__xludf.DUMMYFUNCTION("""COMPUTED_VALUE"""),"Owner")</f>
        <v>Owner</v>
      </c>
      <c r="U700" s="2"/>
      <c r="V700" s="2"/>
      <c r="W700" s="2"/>
      <c r="X700" s="2" t="str">
        <f>IFERROR(__xludf.DUMMYFUNCTION("""COMPUTED_VALUE"""),"Closed")</f>
        <v>Closed</v>
      </c>
    </row>
    <row r="701">
      <c r="A701" s="3" t="s">
        <v>717</v>
      </c>
      <c r="B701" s="4">
        <f>IFERROR(__xludf.DUMMYFUNCTION("SPLIT(A701,"","",0,0)"),45550.55069444444)</f>
        <v>45550.55069</v>
      </c>
      <c r="C701" s="5">
        <f>IFERROR(__xludf.DUMMYFUNCTION("""COMPUTED_VALUE"""),2704654.0)</f>
        <v>2704654</v>
      </c>
      <c r="D701" s="2" t="str">
        <f>IFERROR(__xludf.DUMMYFUNCTION("""COMPUTED_VALUE"""),"Sale")</f>
        <v>Sale</v>
      </c>
      <c r="E701" s="2" t="str">
        <f>IFERROR(__xludf.DUMMYFUNCTION("""COMPUTED_VALUE"""),"Kudapan")</f>
        <v>Kudapan</v>
      </c>
      <c r="F701" s="2">
        <f>IFERROR(__xludf.DUMMYFUNCTION("""COMPUTED_VALUE"""),10009.0)</f>
        <v>10009</v>
      </c>
      <c r="G701" s="2" t="str">
        <f>IFERROR(__xludf.DUMMYFUNCTION("""COMPUTED_VALUE"""),"Jamur Enoki Krispi")</f>
        <v>Jamur Enoki Krispi</v>
      </c>
      <c r="H701" s="2"/>
      <c r="I701" s="2"/>
      <c r="J701" s="2">
        <f>IFERROR(__xludf.DUMMYFUNCTION("""COMPUTED_VALUE"""),1.0)</f>
        <v>1</v>
      </c>
      <c r="K701" s="6">
        <f>IFERROR(__xludf.DUMMYFUNCTION("""COMPUTED_VALUE"""),26667.0)</f>
        <v>26667</v>
      </c>
      <c r="L701" s="2">
        <f>IFERROR(__xludf.DUMMYFUNCTION("""COMPUTED_VALUE"""),0.0)</f>
        <v>0</v>
      </c>
      <c r="M701" s="2">
        <f>IFERROR(__xludf.DUMMYFUNCTION("""COMPUTED_VALUE"""),26667.0)</f>
        <v>26667</v>
      </c>
      <c r="N701" s="2">
        <f>IFERROR(__xludf.DUMMYFUNCTION("""COMPUTED_VALUE"""),0.0)</f>
        <v>0</v>
      </c>
      <c r="O701" s="2">
        <f>IFERROR(__xludf.DUMMYFUNCTION("""COMPUTED_VALUE"""),26667.0)</f>
        <v>26667</v>
      </c>
      <c r="P701" s="2">
        <f>IFERROR(__xludf.DUMMYFUNCTION("""COMPUTED_VALUE"""),1333.0)</f>
        <v>1333</v>
      </c>
      <c r="Q701" s="2" t="str">
        <f>IFERROR(__xludf.DUMMYFUNCTION("""COMPUTED_VALUE"""),"Dine In")</f>
        <v>Dine In</v>
      </c>
      <c r="R701" s="2" t="str">
        <f>IFERROR(__xludf.DUMMYFUNCTION("""COMPUTED_VALUE"""),"Kedai")</f>
        <v>Kedai</v>
      </c>
      <c r="S701" s="2" t="str">
        <f>IFERROR(__xludf.DUMMYFUNCTION("""COMPUTED_VALUE"""),"Temu Roti")</f>
        <v>Temu Roti</v>
      </c>
      <c r="T701" s="2" t="str">
        <f>IFERROR(__xludf.DUMMYFUNCTION("""COMPUTED_VALUE"""),"Owner")</f>
        <v>Owner</v>
      </c>
      <c r="U701" s="2"/>
      <c r="V701" s="2"/>
      <c r="W701" s="2"/>
      <c r="X701" s="2" t="str">
        <f>IFERROR(__xludf.DUMMYFUNCTION("""COMPUTED_VALUE"""),"Closed")</f>
        <v>Closed</v>
      </c>
    </row>
    <row r="702">
      <c r="A702" s="3" t="s">
        <v>718</v>
      </c>
      <c r="B702" s="4">
        <f>IFERROR(__xludf.DUMMYFUNCTION("SPLIT(A702,"","",0,0)"),45550.518055555556)</f>
        <v>45550.51806</v>
      </c>
      <c r="C702" s="5">
        <f>IFERROR(__xludf.DUMMYFUNCTION("""COMPUTED_VALUE"""),2704288.0)</f>
        <v>2704288</v>
      </c>
      <c r="D702" s="2" t="str">
        <f>IFERROR(__xludf.DUMMYFUNCTION("""COMPUTED_VALUE"""),"Sale")</f>
        <v>Sale</v>
      </c>
      <c r="E702" s="2" t="str">
        <f>IFERROR(__xludf.DUMMYFUNCTION("""COMPUTED_VALUE"""),"Minuman")</f>
        <v>Minuman</v>
      </c>
      <c r="F702" s="2">
        <f>IFERROR(__xludf.DUMMYFUNCTION("""COMPUTED_VALUE"""),10016.0)</f>
        <v>10016</v>
      </c>
      <c r="G702" s="2" t="str">
        <f>IFERROR(__xludf.DUMMYFUNCTION("""COMPUTED_VALUE"""),"Kopi Arabica Bubuk 150gr")</f>
        <v>Kopi Arabica Bubuk 150gr</v>
      </c>
      <c r="H702" s="2"/>
      <c r="I702" s="2"/>
      <c r="J702" s="2">
        <f>IFERROR(__xludf.DUMMYFUNCTION("""COMPUTED_VALUE"""),1.0)</f>
        <v>1</v>
      </c>
      <c r="K702" s="6">
        <f>IFERROR(__xludf.DUMMYFUNCTION("""COMPUTED_VALUE"""),70000.0)</f>
        <v>70000</v>
      </c>
      <c r="L702" s="2">
        <f>IFERROR(__xludf.DUMMYFUNCTION("""COMPUTED_VALUE"""),0.0)</f>
        <v>0</v>
      </c>
      <c r="M702" s="2">
        <f>IFERROR(__xludf.DUMMYFUNCTION("""COMPUTED_VALUE"""),70000.0)</f>
        <v>70000</v>
      </c>
      <c r="N702" s="2">
        <f>IFERROR(__xludf.DUMMYFUNCTION("""COMPUTED_VALUE"""),70000.0)</f>
        <v>70000</v>
      </c>
      <c r="O702" s="2">
        <f>IFERROR(__xludf.DUMMYFUNCTION("""COMPUTED_VALUE"""),0.0)</f>
        <v>0</v>
      </c>
      <c r="P702" s="2">
        <f>IFERROR(__xludf.DUMMYFUNCTION("""COMPUTED_VALUE"""),0.0)</f>
        <v>0</v>
      </c>
      <c r="Q702" s="2" t="str">
        <f>IFERROR(__xludf.DUMMYFUNCTION("""COMPUTED_VALUE"""),"Dine In")</f>
        <v>Dine In</v>
      </c>
      <c r="R702" s="2" t="str">
        <f>IFERROR(__xludf.DUMMYFUNCTION("""COMPUTED_VALUE"""),"Kedai")</f>
        <v>Kedai</v>
      </c>
      <c r="S702" s="2" t="str">
        <f>IFERROR(__xludf.DUMMYFUNCTION("""COMPUTED_VALUE"""),"Temu Roti")</f>
        <v>Temu Roti</v>
      </c>
      <c r="T702" s="2" t="str">
        <f>IFERROR(__xludf.DUMMYFUNCTION("""COMPUTED_VALUE"""),"Owner")</f>
        <v>Owner</v>
      </c>
      <c r="U702" s="2"/>
      <c r="V702" s="2"/>
      <c r="W702" s="2"/>
      <c r="X702" s="2" t="str">
        <f>IFERROR(__xludf.DUMMYFUNCTION("""COMPUTED_VALUE"""),"Closed")</f>
        <v>Closed</v>
      </c>
    </row>
    <row r="703">
      <c r="A703" s="3" t="s">
        <v>719</v>
      </c>
      <c r="B703" s="4">
        <f>IFERROR(__xludf.DUMMYFUNCTION("SPLIT(A703,"","",0,0)"),45550.510416666664)</f>
        <v>45550.51042</v>
      </c>
      <c r="C703" s="5">
        <f>IFERROR(__xludf.DUMMYFUNCTION("""COMPUTED_VALUE"""),2703923.0)</f>
        <v>2703923</v>
      </c>
      <c r="D703" s="2" t="str">
        <f>IFERROR(__xludf.DUMMYFUNCTION("""COMPUTED_VALUE"""),"Sale")</f>
        <v>Sale</v>
      </c>
      <c r="E703" s="2" t="str">
        <f>IFERROR(__xludf.DUMMYFUNCTION("""COMPUTED_VALUE"""),"Roti")</f>
        <v>Roti</v>
      </c>
      <c r="F703" s="2">
        <f>IFERROR(__xludf.DUMMYFUNCTION("""COMPUTED_VALUE"""),10002.0)</f>
        <v>10002</v>
      </c>
      <c r="G703" s="2" t="str">
        <f>IFERROR(__xludf.DUMMYFUNCTION("""COMPUTED_VALUE"""),"Roti Cranberry")</f>
        <v>Roti Cranberry</v>
      </c>
      <c r="H703" s="2"/>
      <c r="I703" s="2"/>
      <c r="J703" s="2">
        <f>IFERROR(__xludf.DUMMYFUNCTION("""COMPUTED_VALUE"""),1.0)</f>
        <v>1</v>
      </c>
      <c r="K703" s="6">
        <f>IFERROR(__xludf.DUMMYFUNCTION("""COMPUTED_VALUE"""),18571.0)</f>
        <v>18571</v>
      </c>
      <c r="L703" s="2">
        <f>IFERROR(__xludf.DUMMYFUNCTION("""COMPUTED_VALUE"""),0.0)</f>
        <v>0</v>
      </c>
      <c r="M703" s="2">
        <f>IFERROR(__xludf.DUMMYFUNCTION("""COMPUTED_VALUE"""),18571.0)</f>
        <v>18571</v>
      </c>
      <c r="N703" s="2">
        <f>IFERROR(__xludf.DUMMYFUNCTION("""COMPUTED_VALUE"""),0.0)</f>
        <v>0</v>
      </c>
      <c r="O703" s="2">
        <f>IFERROR(__xludf.DUMMYFUNCTION("""COMPUTED_VALUE"""),18571.0)</f>
        <v>18571</v>
      </c>
      <c r="P703" s="2">
        <f>IFERROR(__xludf.DUMMYFUNCTION("""COMPUTED_VALUE"""),929.0)</f>
        <v>929</v>
      </c>
      <c r="Q703" s="2" t="str">
        <f>IFERROR(__xludf.DUMMYFUNCTION("""COMPUTED_VALUE"""),"Dine In")</f>
        <v>Dine In</v>
      </c>
      <c r="R703" s="2" t="str">
        <f>IFERROR(__xludf.DUMMYFUNCTION("""COMPUTED_VALUE"""),"Kedai")</f>
        <v>Kedai</v>
      </c>
      <c r="S703" s="2" t="str">
        <f>IFERROR(__xludf.DUMMYFUNCTION("""COMPUTED_VALUE"""),"Temu Roti")</f>
        <v>Temu Roti</v>
      </c>
      <c r="T703" s="2" t="str">
        <f>IFERROR(__xludf.DUMMYFUNCTION("""COMPUTED_VALUE"""),"Owner")</f>
        <v>Owner</v>
      </c>
      <c r="U703" s="2"/>
      <c r="V703" s="2"/>
      <c r="W703" s="2"/>
      <c r="X703" s="2" t="str">
        <f>IFERROR(__xludf.DUMMYFUNCTION("""COMPUTED_VALUE"""),"Closed")</f>
        <v>Closed</v>
      </c>
    </row>
    <row r="704">
      <c r="A704" s="3" t="s">
        <v>720</v>
      </c>
      <c r="B704" s="4">
        <f>IFERROR(__xludf.DUMMYFUNCTION("SPLIT(A704,"","",0,0)"),45550.504166666666)</f>
        <v>45550.50417</v>
      </c>
      <c r="C704" s="5">
        <f>IFERROR(__xludf.DUMMYFUNCTION("""COMPUTED_VALUE"""),2703558.0)</f>
        <v>2703558</v>
      </c>
      <c r="D704" s="2" t="str">
        <f>IFERROR(__xludf.DUMMYFUNCTION("""COMPUTED_VALUE"""),"Sale")</f>
        <v>Sale</v>
      </c>
      <c r="E704" s="2" t="str">
        <f>IFERROR(__xludf.DUMMYFUNCTION("""COMPUTED_VALUE"""),"Roti")</f>
        <v>Roti</v>
      </c>
      <c r="F704" s="2">
        <f>IFERROR(__xludf.DUMMYFUNCTION("""COMPUTED_VALUE"""),10002.0)</f>
        <v>10002</v>
      </c>
      <c r="G704" s="2" t="str">
        <f>IFERROR(__xludf.DUMMYFUNCTION("""COMPUTED_VALUE"""),"Roti Cranberry")</f>
        <v>Roti Cranberry</v>
      </c>
      <c r="H704" s="2"/>
      <c r="I704" s="2"/>
      <c r="J704" s="2">
        <f>IFERROR(__xludf.DUMMYFUNCTION("""COMPUTED_VALUE"""),1.0)</f>
        <v>1</v>
      </c>
      <c r="K704" s="6">
        <f>IFERROR(__xludf.DUMMYFUNCTION("""COMPUTED_VALUE"""),18571.0)</f>
        <v>18571</v>
      </c>
      <c r="L704" s="2">
        <f>IFERROR(__xludf.DUMMYFUNCTION("""COMPUTED_VALUE"""),0.0)</f>
        <v>0</v>
      </c>
      <c r="M704" s="2">
        <f>IFERROR(__xludf.DUMMYFUNCTION("""COMPUTED_VALUE"""),18571.0)</f>
        <v>18571</v>
      </c>
      <c r="N704" s="2">
        <f>IFERROR(__xludf.DUMMYFUNCTION("""COMPUTED_VALUE"""),0.0)</f>
        <v>0</v>
      </c>
      <c r="O704" s="2">
        <f>IFERROR(__xludf.DUMMYFUNCTION("""COMPUTED_VALUE"""),18571.0)</f>
        <v>18571</v>
      </c>
      <c r="P704" s="2">
        <f>IFERROR(__xludf.DUMMYFUNCTION("""COMPUTED_VALUE"""),929.0)</f>
        <v>929</v>
      </c>
      <c r="Q704" s="2" t="str">
        <f>IFERROR(__xludf.DUMMYFUNCTION("""COMPUTED_VALUE"""),"Dine In")</f>
        <v>Dine In</v>
      </c>
      <c r="R704" s="2" t="str">
        <f>IFERROR(__xludf.DUMMYFUNCTION("""COMPUTED_VALUE"""),"Kedai")</f>
        <v>Kedai</v>
      </c>
      <c r="S704" s="2" t="str">
        <f>IFERROR(__xludf.DUMMYFUNCTION("""COMPUTED_VALUE"""),"Temu Roti")</f>
        <v>Temu Roti</v>
      </c>
      <c r="T704" s="2" t="str">
        <f>IFERROR(__xludf.DUMMYFUNCTION("""COMPUTED_VALUE"""),"Owner")</f>
        <v>Owner</v>
      </c>
      <c r="U704" s="2"/>
      <c r="V704" s="2"/>
      <c r="W704" s="2"/>
      <c r="X704" s="2" t="str">
        <f>IFERROR(__xludf.DUMMYFUNCTION("""COMPUTED_VALUE"""),"Closed")</f>
        <v>Closed</v>
      </c>
    </row>
    <row r="705">
      <c r="A705" s="3" t="s">
        <v>721</v>
      </c>
      <c r="B705" s="4">
        <f>IFERROR(__xludf.DUMMYFUNCTION("SPLIT(A705,"","",0,0)"),45550.504166666666)</f>
        <v>45550.50417</v>
      </c>
      <c r="C705" s="5">
        <f>IFERROR(__xludf.DUMMYFUNCTION("""COMPUTED_VALUE"""),2703558.0)</f>
        <v>2703558</v>
      </c>
      <c r="D705" s="2" t="str">
        <f>IFERROR(__xludf.DUMMYFUNCTION("""COMPUTED_VALUE"""),"Sale")</f>
        <v>Sale</v>
      </c>
      <c r="E705" s="2" t="str">
        <f>IFERROR(__xludf.DUMMYFUNCTION("""COMPUTED_VALUE"""),"Roti")</f>
        <v>Roti</v>
      </c>
      <c r="F705" s="2">
        <f>IFERROR(__xludf.DUMMYFUNCTION("""COMPUTED_VALUE"""),10005.0)</f>
        <v>10005</v>
      </c>
      <c r="G705" s="2" t="str">
        <f>IFERROR(__xludf.DUMMYFUNCTION("""COMPUTED_VALUE"""),"Roti Gandum Cokelat")</f>
        <v>Roti Gandum Cokelat</v>
      </c>
      <c r="H705" s="2"/>
      <c r="I705" s="2"/>
      <c r="J705" s="2">
        <f>IFERROR(__xludf.DUMMYFUNCTION("""COMPUTED_VALUE"""),1.0)</f>
        <v>1</v>
      </c>
      <c r="K705" s="6">
        <f>IFERROR(__xludf.DUMMYFUNCTION("""COMPUTED_VALUE"""),19524.0)</f>
        <v>19524</v>
      </c>
      <c r="L705" s="2">
        <f>IFERROR(__xludf.DUMMYFUNCTION("""COMPUTED_VALUE"""),0.0)</f>
        <v>0</v>
      </c>
      <c r="M705" s="2">
        <f>IFERROR(__xludf.DUMMYFUNCTION("""COMPUTED_VALUE"""),19524.0)</f>
        <v>19524</v>
      </c>
      <c r="N705" s="2">
        <f>IFERROR(__xludf.DUMMYFUNCTION("""COMPUTED_VALUE"""),0.0)</f>
        <v>0</v>
      </c>
      <c r="O705" s="2">
        <f>IFERROR(__xludf.DUMMYFUNCTION("""COMPUTED_VALUE"""),19524.0)</f>
        <v>19524</v>
      </c>
      <c r="P705" s="2">
        <f>IFERROR(__xludf.DUMMYFUNCTION("""COMPUTED_VALUE"""),976.0)</f>
        <v>976</v>
      </c>
      <c r="Q705" s="2" t="str">
        <f>IFERROR(__xludf.DUMMYFUNCTION("""COMPUTED_VALUE"""),"Dine In")</f>
        <v>Dine In</v>
      </c>
      <c r="R705" s="2" t="str">
        <f>IFERROR(__xludf.DUMMYFUNCTION("""COMPUTED_VALUE"""),"Kedai")</f>
        <v>Kedai</v>
      </c>
      <c r="S705" s="2" t="str">
        <f>IFERROR(__xludf.DUMMYFUNCTION("""COMPUTED_VALUE"""),"Temu Roti")</f>
        <v>Temu Roti</v>
      </c>
      <c r="T705" s="2" t="str">
        <f>IFERROR(__xludf.DUMMYFUNCTION("""COMPUTED_VALUE"""),"Owner")</f>
        <v>Owner</v>
      </c>
      <c r="U705" s="2"/>
      <c r="V705" s="2"/>
      <c r="W705" s="2"/>
      <c r="X705" s="2" t="str">
        <f>IFERROR(__xludf.DUMMYFUNCTION("""COMPUTED_VALUE"""),"Closed")</f>
        <v>Closed</v>
      </c>
    </row>
    <row r="706">
      <c r="A706" s="3" t="s">
        <v>722</v>
      </c>
      <c r="B706" s="4">
        <f>IFERROR(__xludf.DUMMYFUNCTION("SPLIT(A706,"","",0,0)"),45550.504166666666)</f>
        <v>45550.50417</v>
      </c>
      <c r="C706" s="5">
        <f>IFERROR(__xludf.DUMMYFUNCTION("""COMPUTED_VALUE"""),2703558.0)</f>
        <v>2703558</v>
      </c>
      <c r="D706" s="2" t="str">
        <f>IFERROR(__xludf.DUMMYFUNCTION("""COMPUTED_VALUE"""),"Sale")</f>
        <v>Sale</v>
      </c>
      <c r="E706" s="2" t="str">
        <f>IFERROR(__xludf.DUMMYFUNCTION("""COMPUTED_VALUE"""),"Minuman")</f>
        <v>Minuman</v>
      </c>
      <c r="F706" s="2">
        <f>IFERROR(__xludf.DUMMYFUNCTION("""COMPUTED_VALUE"""),10128.0)</f>
        <v>10128</v>
      </c>
      <c r="G706" s="2" t="str">
        <f>IFERROR(__xludf.DUMMYFUNCTION("""COMPUTED_VALUE"""),"Es Kopi Susu")</f>
        <v>Es Kopi Susu</v>
      </c>
      <c r="H706" s="2"/>
      <c r="I706" s="2"/>
      <c r="J706" s="2">
        <f>IFERROR(__xludf.DUMMYFUNCTION("""COMPUTED_VALUE"""),1.0)</f>
        <v>1</v>
      </c>
      <c r="K706" s="6">
        <f>IFERROR(__xludf.DUMMYFUNCTION("""COMPUTED_VALUE"""),23333.0)</f>
        <v>23333</v>
      </c>
      <c r="L706" s="2">
        <f>IFERROR(__xludf.DUMMYFUNCTION("""COMPUTED_VALUE"""),0.0)</f>
        <v>0</v>
      </c>
      <c r="M706" s="2">
        <f>IFERROR(__xludf.DUMMYFUNCTION("""COMPUTED_VALUE"""),23333.0)</f>
        <v>23333</v>
      </c>
      <c r="N706" s="2">
        <f>IFERROR(__xludf.DUMMYFUNCTION("""COMPUTED_VALUE"""),0.0)</f>
        <v>0</v>
      </c>
      <c r="O706" s="2">
        <f>IFERROR(__xludf.DUMMYFUNCTION("""COMPUTED_VALUE"""),23333.0)</f>
        <v>23333</v>
      </c>
      <c r="P706" s="2">
        <f>IFERROR(__xludf.DUMMYFUNCTION("""COMPUTED_VALUE"""),1166.0)</f>
        <v>1166</v>
      </c>
      <c r="Q706" s="2" t="str">
        <f>IFERROR(__xludf.DUMMYFUNCTION("""COMPUTED_VALUE"""),"Dine In")</f>
        <v>Dine In</v>
      </c>
      <c r="R706" s="2" t="str">
        <f>IFERROR(__xludf.DUMMYFUNCTION("""COMPUTED_VALUE"""),"Kedai")</f>
        <v>Kedai</v>
      </c>
      <c r="S706" s="2" t="str">
        <f>IFERROR(__xludf.DUMMYFUNCTION("""COMPUTED_VALUE"""),"Temu Roti")</f>
        <v>Temu Roti</v>
      </c>
      <c r="T706" s="2" t="str">
        <f>IFERROR(__xludf.DUMMYFUNCTION("""COMPUTED_VALUE"""),"Owner")</f>
        <v>Owner</v>
      </c>
      <c r="U706" s="2"/>
      <c r="V706" s="2"/>
      <c r="W706" s="2"/>
      <c r="X706" s="2" t="str">
        <f>IFERROR(__xludf.DUMMYFUNCTION("""COMPUTED_VALUE"""),"Closed")</f>
        <v>Closed</v>
      </c>
    </row>
    <row r="707">
      <c r="A707" s="3" t="s">
        <v>723</v>
      </c>
      <c r="B707" s="4">
        <f>IFERROR(__xludf.DUMMYFUNCTION("SPLIT(A707,"","",0,0)"),45550.504166666666)</f>
        <v>45550.50417</v>
      </c>
      <c r="C707" s="5">
        <f>IFERROR(__xludf.DUMMYFUNCTION("""COMPUTED_VALUE"""),2703558.0)</f>
        <v>2703558</v>
      </c>
      <c r="D707" s="2" t="str">
        <f>IFERROR(__xludf.DUMMYFUNCTION("""COMPUTED_VALUE"""),"Sale")</f>
        <v>Sale</v>
      </c>
      <c r="E707" s="2" t="str">
        <f>IFERROR(__xludf.DUMMYFUNCTION("""COMPUTED_VALUE"""),"Minuman")</f>
        <v>Minuman</v>
      </c>
      <c r="F707" s="2">
        <f>IFERROR(__xludf.DUMMYFUNCTION("""COMPUTED_VALUE"""),10058.0)</f>
        <v>10058</v>
      </c>
      <c r="G707" s="2" t="str">
        <f>IFERROR(__xludf.DUMMYFUNCTION("""COMPUTED_VALUE"""),"Susu murni ori")</f>
        <v>Susu murni ori</v>
      </c>
      <c r="H707" s="2"/>
      <c r="I707" s="2"/>
      <c r="J707" s="2">
        <f>IFERROR(__xludf.DUMMYFUNCTION("""COMPUTED_VALUE"""),1.0)</f>
        <v>1</v>
      </c>
      <c r="K707" s="6">
        <f>IFERROR(__xludf.DUMMYFUNCTION("""COMPUTED_VALUE"""),19524.0)</f>
        <v>19524</v>
      </c>
      <c r="L707" s="2">
        <f>IFERROR(__xludf.DUMMYFUNCTION("""COMPUTED_VALUE"""),0.0)</f>
        <v>0</v>
      </c>
      <c r="M707" s="2">
        <f>IFERROR(__xludf.DUMMYFUNCTION("""COMPUTED_VALUE"""),19524.0)</f>
        <v>19524</v>
      </c>
      <c r="N707" s="2">
        <f>IFERROR(__xludf.DUMMYFUNCTION("""COMPUTED_VALUE"""),0.0)</f>
        <v>0</v>
      </c>
      <c r="O707" s="2">
        <f>IFERROR(__xludf.DUMMYFUNCTION("""COMPUTED_VALUE"""),19524.0)</f>
        <v>19524</v>
      </c>
      <c r="P707" s="2">
        <f>IFERROR(__xludf.DUMMYFUNCTION("""COMPUTED_VALUE"""),977.0)</f>
        <v>977</v>
      </c>
      <c r="Q707" s="2" t="str">
        <f>IFERROR(__xludf.DUMMYFUNCTION("""COMPUTED_VALUE"""),"Dine In")</f>
        <v>Dine In</v>
      </c>
      <c r="R707" s="2" t="str">
        <f>IFERROR(__xludf.DUMMYFUNCTION("""COMPUTED_VALUE"""),"Kedai")</f>
        <v>Kedai</v>
      </c>
      <c r="S707" s="2" t="str">
        <f>IFERROR(__xludf.DUMMYFUNCTION("""COMPUTED_VALUE"""),"Temu Roti")</f>
        <v>Temu Roti</v>
      </c>
      <c r="T707" s="2" t="str">
        <f>IFERROR(__xludf.DUMMYFUNCTION("""COMPUTED_VALUE"""),"Owner")</f>
        <v>Owner</v>
      </c>
      <c r="U707" s="2"/>
      <c r="V707" s="2"/>
      <c r="W707" s="2"/>
      <c r="X707" s="2" t="str">
        <f>IFERROR(__xludf.DUMMYFUNCTION("""COMPUTED_VALUE"""),"Closed")</f>
        <v>Closed</v>
      </c>
    </row>
    <row r="708">
      <c r="A708" s="3" t="s">
        <v>724</v>
      </c>
      <c r="B708" s="4">
        <f>IFERROR(__xludf.DUMMYFUNCTION("SPLIT(A708,"","",0,0)"),45550.49513888889)</f>
        <v>45550.49514</v>
      </c>
      <c r="C708" s="5">
        <f>IFERROR(__xludf.DUMMYFUNCTION("""COMPUTED_VALUE"""),2703193.0)</f>
        <v>2703193</v>
      </c>
      <c r="D708" s="2" t="str">
        <f>IFERROR(__xludf.DUMMYFUNCTION("""COMPUTED_VALUE"""),"Sale")</f>
        <v>Sale</v>
      </c>
      <c r="E708" s="2" t="str">
        <f>IFERROR(__xludf.DUMMYFUNCTION("""COMPUTED_VALUE"""),"Minuman")</f>
        <v>Minuman</v>
      </c>
      <c r="F708" s="2">
        <f>IFERROR(__xludf.DUMMYFUNCTION("""COMPUTED_VALUE"""),10106.0)</f>
        <v>10106</v>
      </c>
      <c r="G708" s="2" t="str">
        <f>IFERROR(__xludf.DUMMYFUNCTION("""COMPUTED_VALUE"""),"Korean Strawberry Fresh Milk")</f>
        <v>Korean Strawberry Fresh Milk</v>
      </c>
      <c r="H708" s="2"/>
      <c r="I708" s="2"/>
      <c r="J708" s="2">
        <f>IFERROR(__xludf.DUMMYFUNCTION("""COMPUTED_VALUE"""),1.0)</f>
        <v>1</v>
      </c>
      <c r="K708" s="6">
        <f>IFERROR(__xludf.DUMMYFUNCTION("""COMPUTED_VALUE"""),26667.0)</f>
        <v>26667</v>
      </c>
      <c r="L708" s="2">
        <f>IFERROR(__xludf.DUMMYFUNCTION("""COMPUTED_VALUE"""),0.0)</f>
        <v>0</v>
      </c>
      <c r="M708" s="2">
        <f>IFERROR(__xludf.DUMMYFUNCTION("""COMPUTED_VALUE"""),26667.0)</f>
        <v>26667</v>
      </c>
      <c r="N708" s="2">
        <f>IFERROR(__xludf.DUMMYFUNCTION("""COMPUTED_VALUE"""),0.0)</f>
        <v>0</v>
      </c>
      <c r="O708" s="2">
        <f>IFERROR(__xludf.DUMMYFUNCTION("""COMPUTED_VALUE"""),26667.0)</f>
        <v>26667</v>
      </c>
      <c r="P708" s="2">
        <f>IFERROR(__xludf.DUMMYFUNCTION("""COMPUTED_VALUE"""),1333.0)</f>
        <v>1333</v>
      </c>
      <c r="Q708" s="2" t="str">
        <f>IFERROR(__xludf.DUMMYFUNCTION("""COMPUTED_VALUE"""),"Dine In")</f>
        <v>Dine In</v>
      </c>
      <c r="R708" s="2" t="str">
        <f>IFERROR(__xludf.DUMMYFUNCTION("""COMPUTED_VALUE"""),"Kedai")</f>
        <v>Kedai</v>
      </c>
      <c r="S708" s="2" t="str">
        <f>IFERROR(__xludf.DUMMYFUNCTION("""COMPUTED_VALUE"""),"Temu Roti")</f>
        <v>Temu Roti</v>
      </c>
      <c r="T708" s="2" t="str">
        <f>IFERROR(__xludf.DUMMYFUNCTION("""COMPUTED_VALUE"""),"Owner")</f>
        <v>Owner</v>
      </c>
      <c r="U708" s="2"/>
      <c r="V708" s="2"/>
      <c r="W708" s="2"/>
      <c r="X708" s="2" t="str">
        <f>IFERROR(__xludf.DUMMYFUNCTION("""COMPUTED_VALUE"""),"Closed")</f>
        <v>Closed</v>
      </c>
    </row>
    <row r="709">
      <c r="A709" s="3" t="s">
        <v>725</v>
      </c>
      <c r="B709" s="4">
        <f>IFERROR(__xludf.DUMMYFUNCTION("SPLIT(A709,"","",0,0)"),45550.49513888889)</f>
        <v>45550.49514</v>
      </c>
      <c r="C709" s="5">
        <f>IFERROR(__xludf.DUMMYFUNCTION("""COMPUTED_VALUE"""),2703193.0)</f>
        <v>2703193</v>
      </c>
      <c r="D709" s="2" t="str">
        <f>IFERROR(__xludf.DUMMYFUNCTION("""COMPUTED_VALUE"""),"Sale")</f>
        <v>Sale</v>
      </c>
      <c r="E709" s="2" t="str">
        <f>IFERROR(__xludf.DUMMYFUNCTION("""COMPUTED_VALUE"""),"Roti")</f>
        <v>Roti</v>
      </c>
      <c r="F709" s="2">
        <f>IFERROR(__xludf.DUMMYFUNCTION("""COMPUTED_VALUE"""),10007.0)</f>
        <v>10007</v>
      </c>
      <c r="G709" s="2" t="str">
        <f>IFERROR(__xludf.DUMMYFUNCTION("""COMPUTED_VALUE"""),"Roti cranberry 2 pcs")</f>
        <v>Roti cranberry 2 pcs</v>
      </c>
      <c r="H709" s="2"/>
      <c r="I709" s="2"/>
      <c r="J709" s="2">
        <f>IFERROR(__xludf.DUMMYFUNCTION("""COMPUTED_VALUE"""),1.0)</f>
        <v>1</v>
      </c>
      <c r="K709" s="6">
        <f>IFERROR(__xludf.DUMMYFUNCTION("""COMPUTED_VALUE"""),33810.0)</f>
        <v>33810</v>
      </c>
      <c r="L709" s="2">
        <f>IFERROR(__xludf.DUMMYFUNCTION("""COMPUTED_VALUE"""),0.0)</f>
        <v>0</v>
      </c>
      <c r="M709" s="2">
        <f>IFERROR(__xludf.DUMMYFUNCTION("""COMPUTED_VALUE"""),33810.0)</f>
        <v>33810</v>
      </c>
      <c r="N709" s="2">
        <f>IFERROR(__xludf.DUMMYFUNCTION("""COMPUTED_VALUE"""),0.0)</f>
        <v>0</v>
      </c>
      <c r="O709" s="2">
        <f>IFERROR(__xludf.DUMMYFUNCTION("""COMPUTED_VALUE"""),33810.0)</f>
        <v>33810</v>
      </c>
      <c r="P709" s="2">
        <f>IFERROR(__xludf.DUMMYFUNCTION("""COMPUTED_VALUE"""),1691.0)</f>
        <v>1691</v>
      </c>
      <c r="Q709" s="2" t="str">
        <f>IFERROR(__xludf.DUMMYFUNCTION("""COMPUTED_VALUE"""),"Dine In")</f>
        <v>Dine In</v>
      </c>
      <c r="R709" s="2" t="str">
        <f>IFERROR(__xludf.DUMMYFUNCTION("""COMPUTED_VALUE"""),"Kedai")</f>
        <v>Kedai</v>
      </c>
      <c r="S709" s="2" t="str">
        <f>IFERROR(__xludf.DUMMYFUNCTION("""COMPUTED_VALUE"""),"Temu Roti")</f>
        <v>Temu Roti</v>
      </c>
      <c r="T709" s="2" t="str">
        <f>IFERROR(__xludf.DUMMYFUNCTION("""COMPUTED_VALUE"""),"Owner")</f>
        <v>Owner</v>
      </c>
      <c r="U709" s="2"/>
      <c r="V709" s="2"/>
      <c r="W709" s="2"/>
      <c r="X709" s="2" t="str">
        <f>IFERROR(__xludf.DUMMYFUNCTION("""COMPUTED_VALUE"""),"Closed")</f>
        <v>Closed</v>
      </c>
    </row>
    <row r="710">
      <c r="A710" s="3" t="s">
        <v>726</v>
      </c>
      <c r="B710" s="4">
        <f>IFERROR(__xludf.DUMMYFUNCTION("SPLIT(A710,"","",0,0)"),45550.47638888889)</f>
        <v>45550.47639</v>
      </c>
      <c r="C710" s="5">
        <f>IFERROR(__xludf.DUMMYFUNCTION("""COMPUTED_VALUE"""),2702828.0)</f>
        <v>2702828</v>
      </c>
      <c r="D710" s="2" t="str">
        <f>IFERROR(__xludf.DUMMYFUNCTION("""COMPUTED_VALUE"""),"Sale")</f>
        <v>Sale</v>
      </c>
      <c r="E710" s="2" t="str">
        <f>IFERROR(__xludf.DUMMYFUNCTION("""COMPUTED_VALUE"""),"Minuman")</f>
        <v>Minuman</v>
      </c>
      <c r="F710" s="2">
        <f>IFERROR(__xludf.DUMMYFUNCTION("""COMPUTED_VALUE"""),10121.0)</f>
        <v>10121</v>
      </c>
      <c r="G710" s="2" t="str">
        <f>IFERROR(__xludf.DUMMYFUNCTION("""COMPUTED_VALUE"""),"Lemon Tea Dingin")</f>
        <v>Lemon Tea Dingin</v>
      </c>
      <c r="H710" s="2"/>
      <c r="I710" s="2"/>
      <c r="J710" s="2">
        <f>IFERROR(__xludf.DUMMYFUNCTION("""COMPUTED_VALUE"""),1.0)</f>
        <v>1</v>
      </c>
      <c r="K710" s="6">
        <f>IFERROR(__xludf.DUMMYFUNCTION("""COMPUTED_VALUE"""),19524.0)</f>
        <v>19524</v>
      </c>
      <c r="L710" s="2">
        <f>IFERROR(__xludf.DUMMYFUNCTION("""COMPUTED_VALUE"""),0.0)</f>
        <v>0</v>
      </c>
      <c r="M710" s="2">
        <f>IFERROR(__xludf.DUMMYFUNCTION("""COMPUTED_VALUE"""),19524.0)</f>
        <v>19524</v>
      </c>
      <c r="N710" s="2">
        <f>IFERROR(__xludf.DUMMYFUNCTION("""COMPUTED_VALUE"""),0.0)</f>
        <v>0</v>
      </c>
      <c r="O710" s="2">
        <f>IFERROR(__xludf.DUMMYFUNCTION("""COMPUTED_VALUE"""),19524.0)</f>
        <v>19524</v>
      </c>
      <c r="P710" s="2">
        <f>IFERROR(__xludf.DUMMYFUNCTION("""COMPUTED_VALUE"""),976.0)</f>
        <v>976</v>
      </c>
      <c r="Q710" s="2" t="str">
        <f>IFERROR(__xludf.DUMMYFUNCTION("""COMPUTED_VALUE"""),"Dine In")</f>
        <v>Dine In</v>
      </c>
      <c r="R710" s="2" t="str">
        <f>IFERROR(__xludf.DUMMYFUNCTION("""COMPUTED_VALUE"""),"Kedai")</f>
        <v>Kedai</v>
      </c>
      <c r="S710" s="2" t="str">
        <f>IFERROR(__xludf.DUMMYFUNCTION("""COMPUTED_VALUE"""),"Temu Roti")</f>
        <v>Temu Roti</v>
      </c>
      <c r="T710" s="2" t="str">
        <f>IFERROR(__xludf.DUMMYFUNCTION("""COMPUTED_VALUE"""),"Owner")</f>
        <v>Owner</v>
      </c>
      <c r="U710" s="2"/>
      <c r="V710" s="2"/>
      <c r="W710" s="2"/>
      <c r="X710" s="2" t="str">
        <f>IFERROR(__xludf.DUMMYFUNCTION("""COMPUTED_VALUE"""),"Closed")</f>
        <v>Closed</v>
      </c>
    </row>
    <row r="711">
      <c r="A711" s="3" t="s">
        <v>727</v>
      </c>
      <c r="B711" s="4">
        <f>IFERROR(__xludf.DUMMYFUNCTION("SPLIT(A711,"","",0,0)"),45550.47638888889)</f>
        <v>45550.47639</v>
      </c>
      <c r="C711" s="5">
        <f>IFERROR(__xludf.DUMMYFUNCTION("""COMPUTED_VALUE"""),2702828.0)</f>
        <v>2702828</v>
      </c>
      <c r="D711" s="2" t="str">
        <f>IFERROR(__xludf.DUMMYFUNCTION("""COMPUTED_VALUE"""),"Sale")</f>
        <v>Sale</v>
      </c>
      <c r="E711" s="2" t="str">
        <f>IFERROR(__xludf.DUMMYFUNCTION("""COMPUTED_VALUE"""),"Minuman")</f>
        <v>Minuman</v>
      </c>
      <c r="F711" s="2">
        <f>IFERROR(__xludf.DUMMYFUNCTION("""COMPUTED_VALUE"""),10128.0)</f>
        <v>10128</v>
      </c>
      <c r="G711" s="2" t="str">
        <f>IFERROR(__xludf.DUMMYFUNCTION("""COMPUTED_VALUE"""),"Es Kopi Susu")</f>
        <v>Es Kopi Susu</v>
      </c>
      <c r="H711" s="2"/>
      <c r="I711" s="2"/>
      <c r="J711" s="2">
        <f>IFERROR(__xludf.DUMMYFUNCTION("""COMPUTED_VALUE"""),1.0)</f>
        <v>1</v>
      </c>
      <c r="K711" s="6">
        <f>IFERROR(__xludf.DUMMYFUNCTION("""COMPUTED_VALUE"""),23333.0)</f>
        <v>23333</v>
      </c>
      <c r="L711" s="2">
        <f>IFERROR(__xludf.DUMMYFUNCTION("""COMPUTED_VALUE"""),0.0)</f>
        <v>0</v>
      </c>
      <c r="M711" s="2">
        <f>IFERROR(__xludf.DUMMYFUNCTION("""COMPUTED_VALUE"""),23333.0)</f>
        <v>23333</v>
      </c>
      <c r="N711" s="2">
        <f>IFERROR(__xludf.DUMMYFUNCTION("""COMPUTED_VALUE"""),0.0)</f>
        <v>0</v>
      </c>
      <c r="O711" s="2">
        <f>IFERROR(__xludf.DUMMYFUNCTION("""COMPUTED_VALUE"""),23333.0)</f>
        <v>23333</v>
      </c>
      <c r="P711" s="2">
        <f>IFERROR(__xludf.DUMMYFUNCTION("""COMPUTED_VALUE"""),1167.0)</f>
        <v>1167</v>
      </c>
      <c r="Q711" s="2" t="str">
        <f>IFERROR(__xludf.DUMMYFUNCTION("""COMPUTED_VALUE"""),"Dine In")</f>
        <v>Dine In</v>
      </c>
      <c r="R711" s="2" t="str">
        <f>IFERROR(__xludf.DUMMYFUNCTION("""COMPUTED_VALUE"""),"Kedai")</f>
        <v>Kedai</v>
      </c>
      <c r="S711" s="2" t="str">
        <f>IFERROR(__xludf.DUMMYFUNCTION("""COMPUTED_VALUE"""),"Temu Roti")</f>
        <v>Temu Roti</v>
      </c>
      <c r="T711" s="2" t="str">
        <f>IFERROR(__xludf.DUMMYFUNCTION("""COMPUTED_VALUE"""),"Owner")</f>
        <v>Owner</v>
      </c>
      <c r="U711" s="2"/>
      <c r="V711" s="2"/>
      <c r="W711" s="2"/>
      <c r="X711" s="2" t="str">
        <f>IFERROR(__xludf.DUMMYFUNCTION("""COMPUTED_VALUE"""),"Closed")</f>
        <v>Closed</v>
      </c>
    </row>
    <row r="712">
      <c r="A712" s="3" t="s">
        <v>728</v>
      </c>
      <c r="B712" s="4">
        <f>IFERROR(__xludf.DUMMYFUNCTION("SPLIT(A712,"","",0,0)"),45550.47638888889)</f>
        <v>45550.47639</v>
      </c>
      <c r="C712" s="5">
        <f>IFERROR(__xludf.DUMMYFUNCTION("""COMPUTED_VALUE"""),2702828.0)</f>
        <v>2702828</v>
      </c>
      <c r="D712" s="2" t="str">
        <f>IFERROR(__xludf.DUMMYFUNCTION("""COMPUTED_VALUE"""),"Sale")</f>
        <v>Sale</v>
      </c>
      <c r="E712" s="2" t="str">
        <f>IFERROR(__xludf.DUMMYFUNCTION("""COMPUTED_VALUE"""),"Roti")</f>
        <v>Roti</v>
      </c>
      <c r="F712" s="2">
        <f>IFERROR(__xludf.DUMMYFUNCTION("""COMPUTED_VALUE"""),10000.0)</f>
        <v>10000</v>
      </c>
      <c r="G712" s="2" t="str">
        <f>IFERROR(__xludf.DUMMYFUNCTION("""COMPUTED_VALUE"""),"Roti Bawang Saus Keju")</f>
        <v>Roti Bawang Saus Keju</v>
      </c>
      <c r="H712" s="2"/>
      <c r="I712" s="2"/>
      <c r="J712" s="2">
        <f>IFERROR(__xludf.DUMMYFUNCTION("""COMPUTED_VALUE"""),1.0)</f>
        <v>1</v>
      </c>
      <c r="K712" s="6">
        <f>IFERROR(__xludf.DUMMYFUNCTION("""COMPUTED_VALUE"""),29524.0)</f>
        <v>29524</v>
      </c>
      <c r="L712" s="2">
        <f>IFERROR(__xludf.DUMMYFUNCTION("""COMPUTED_VALUE"""),0.0)</f>
        <v>0</v>
      </c>
      <c r="M712" s="2">
        <f>IFERROR(__xludf.DUMMYFUNCTION("""COMPUTED_VALUE"""),29524.0)</f>
        <v>29524</v>
      </c>
      <c r="N712" s="2">
        <f>IFERROR(__xludf.DUMMYFUNCTION("""COMPUTED_VALUE"""),0.0)</f>
        <v>0</v>
      </c>
      <c r="O712" s="2">
        <f>IFERROR(__xludf.DUMMYFUNCTION("""COMPUTED_VALUE"""),29524.0)</f>
        <v>29524</v>
      </c>
      <c r="P712" s="2">
        <f>IFERROR(__xludf.DUMMYFUNCTION("""COMPUTED_VALUE"""),1476.0)</f>
        <v>1476</v>
      </c>
      <c r="Q712" s="2" t="str">
        <f>IFERROR(__xludf.DUMMYFUNCTION("""COMPUTED_VALUE"""),"Dine In")</f>
        <v>Dine In</v>
      </c>
      <c r="R712" s="2" t="str">
        <f>IFERROR(__xludf.DUMMYFUNCTION("""COMPUTED_VALUE"""),"Kedai")</f>
        <v>Kedai</v>
      </c>
      <c r="S712" s="2" t="str">
        <f>IFERROR(__xludf.DUMMYFUNCTION("""COMPUTED_VALUE"""),"Temu Roti")</f>
        <v>Temu Roti</v>
      </c>
      <c r="T712" s="2" t="str">
        <f>IFERROR(__xludf.DUMMYFUNCTION("""COMPUTED_VALUE"""),"Owner")</f>
        <v>Owner</v>
      </c>
      <c r="U712" s="2"/>
      <c r="V712" s="2"/>
      <c r="W712" s="2"/>
      <c r="X712" s="2" t="str">
        <f>IFERROR(__xludf.DUMMYFUNCTION("""COMPUTED_VALUE"""),"Closed")</f>
        <v>Closed</v>
      </c>
    </row>
    <row r="713">
      <c r="A713" s="3" t="s">
        <v>729</v>
      </c>
      <c r="B713" s="4">
        <f>IFERROR(__xludf.DUMMYFUNCTION("SPLIT(A713,"","",0,0)"),45550.45416666667)</f>
        <v>45550.45417</v>
      </c>
      <c r="C713" s="5">
        <f>IFERROR(__xludf.DUMMYFUNCTION("""COMPUTED_VALUE"""),2702463.0)</f>
        <v>2702463</v>
      </c>
      <c r="D713" s="2" t="str">
        <f>IFERROR(__xludf.DUMMYFUNCTION("""COMPUTED_VALUE"""),"Sale")</f>
        <v>Sale</v>
      </c>
      <c r="E713" s="2" t="str">
        <f>IFERROR(__xludf.DUMMYFUNCTION("""COMPUTED_VALUE"""),"Hidangan Utama")</f>
        <v>Hidangan Utama</v>
      </c>
      <c r="F713" s="2">
        <f>IFERROR(__xludf.DUMMYFUNCTION("""COMPUTED_VALUE"""),10012.0)</f>
        <v>10012</v>
      </c>
      <c r="G713" s="2" t="str">
        <f>IFERROR(__xludf.DUMMYFUNCTION("""COMPUTED_VALUE"""),"Mie joglo")</f>
        <v>Mie joglo</v>
      </c>
      <c r="H713" s="2"/>
      <c r="I713" s="2"/>
      <c r="J713" s="2">
        <f>IFERROR(__xludf.DUMMYFUNCTION("""COMPUTED_VALUE"""),1.0)</f>
        <v>1</v>
      </c>
      <c r="K713" s="6">
        <f>IFERROR(__xludf.DUMMYFUNCTION("""COMPUTED_VALUE"""),29524.0)</f>
        <v>29524</v>
      </c>
      <c r="L713" s="2">
        <f>IFERROR(__xludf.DUMMYFUNCTION("""COMPUTED_VALUE"""),0.0)</f>
        <v>0</v>
      </c>
      <c r="M713" s="2">
        <f>IFERROR(__xludf.DUMMYFUNCTION("""COMPUTED_VALUE"""),29524.0)</f>
        <v>29524</v>
      </c>
      <c r="N713" s="2">
        <f>IFERROR(__xludf.DUMMYFUNCTION("""COMPUTED_VALUE"""),0.0)</f>
        <v>0</v>
      </c>
      <c r="O713" s="2">
        <f>IFERROR(__xludf.DUMMYFUNCTION("""COMPUTED_VALUE"""),29524.0)</f>
        <v>29524</v>
      </c>
      <c r="P713" s="2">
        <f>IFERROR(__xludf.DUMMYFUNCTION("""COMPUTED_VALUE"""),1476.0)</f>
        <v>1476</v>
      </c>
      <c r="Q713" s="2" t="str">
        <f>IFERROR(__xludf.DUMMYFUNCTION("""COMPUTED_VALUE"""),"Dine In")</f>
        <v>Dine In</v>
      </c>
      <c r="R713" s="2" t="str">
        <f>IFERROR(__xludf.DUMMYFUNCTION("""COMPUTED_VALUE"""),"Kedai")</f>
        <v>Kedai</v>
      </c>
      <c r="S713" s="2" t="str">
        <f>IFERROR(__xludf.DUMMYFUNCTION("""COMPUTED_VALUE"""),"Temu Roti")</f>
        <v>Temu Roti</v>
      </c>
      <c r="T713" s="2" t="str">
        <f>IFERROR(__xludf.DUMMYFUNCTION("""COMPUTED_VALUE"""),"Owner")</f>
        <v>Owner</v>
      </c>
      <c r="U713" s="2"/>
      <c r="V713" s="2"/>
      <c r="W713" s="2"/>
      <c r="X713" s="2" t="str">
        <f>IFERROR(__xludf.DUMMYFUNCTION("""COMPUTED_VALUE"""),"Closed")</f>
        <v>Closed</v>
      </c>
    </row>
    <row r="714">
      <c r="A714" s="3" t="s">
        <v>730</v>
      </c>
      <c r="B714" s="4">
        <f>IFERROR(__xludf.DUMMYFUNCTION("SPLIT(A714,"","",0,0)"),45550.45416666667)</f>
        <v>45550.45417</v>
      </c>
      <c r="C714" s="5">
        <f>IFERROR(__xludf.DUMMYFUNCTION("""COMPUTED_VALUE"""),2702463.0)</f>
        <v>2702463</v>
      </c>
      <c r="D714" s="2" t="str">
        <f>IFERROR(__xludf.DUMMYFUNCTION("""COMPUTED_VALUE"""),"Sale")</f>
        <v>Sale</v>
      </c>
      <c r="E714" s="2" t="str">
        <f>IFERROR(__xludf.DUMMYFUNCTION("""COMPUTED_VALUE"""),"Kudapan")</f>
        <v>Kudapan</v>
      </c>
      <c r="F714" s="2">
        <f>IFERROR(__xludf.DUMMYFUNCTION("""COMPUTED_VALUE"""),10051.0)</f>
        <v>10051</v>
      </c>
      <c r="G714" s="2" t="str">
        <f>IFERROR(__xludf.DUMMYFUNCTION("""COMPUTED_VALUE"""),"Tahu baso")</f>
        <v>Tahu baso</v>
      </c>
      <c r="H714" s="2"/>
      <c r="I714" s="2"/>
      <c r="J714" s="2">
        <f>IFERROR(__xludf.DUMMYFUNCTION("""COMPUTED_VALUE"""),1.0)</f>
        <v>1</v>
      </c>
      <c r="K714" s="6">
        <f>IFERROR(__xludf.DUMMYFUNCTION("""COMPUTED_VALUE"""),25238.0)</f>
        <v>25238</v>
      </c>
      <c r="L714" s="2">
        <f>IFERROR(__xludf.DUMMYFUNCTION("""COMPUTED_VALUE"""),0.0)</f>
        <v>0</v>
      </c>
      <c r="M714" s="2">
        <f>IFERROR(__xludf.DUMMYFUNCTION("""COMPUTED_VALUE"""),25238.0)</f>
        <v>25238</v>
      </c>
      <c r="N714" s="2">
        <f>IFERROR(__xludf.DUMMYFUNCTION("""COMPUTED_VALUE"""),0.0)</f>
        <v>0</v>
      </c>
      <c r="O714" s="2">
        <f>IFERROR(__xludf.DUMMYFUNCTION("""COMPUTED_VALUE"""),25238.0)</f>
        <v>25238</v>
      </c>
      <c r="P714" s="2">
        <f>IFERROR(__xludf.DUMMYFUNCTION("""COMPUTED_VALUE"""),1262.0)</f>
        <v>1262</v>
      </c>
      <c r="Q714" s="2" t="str">
        <f>IFERROR(__xludf.DUMMYFUNCTION("""COMPUTED_VALUE"""),"Dine In")</f>
        <v>Dine In</v>
      </c>
      <c r="R714" s="2" t="str">
        <f>IFERROR(__xludf.DUMMYFUNCTION("""COMPUTED_VALUE"""),"Kedai")</f>
        <v>Kedai</v>
      </c>
      <c r="S714" s="2" t="str">
        <f>IFERROR(__xludf.DUMMYFUNCTION("""COMPUTED_VALUE"""),"Temu Roti")</f>
        <v>Temu Roti</v>
      </c>
      <c r="T714" s="2" t="str">
        <f>IFERROR(__xludf.DUMMYFUNCTION("""COMPUTED_VALUE"""),"Owner")</f>
        <v>Owner</v>
      </c>
      <c r="U714" s="2"/>
      <c r="V714" s="2"/>
      <c r="W714" s="2"/>
      <c r="X714" s="2" t="str">
        <f>IFERROR(__xludf.DUMMYFUNCTION("""COMPUTED_VALUE"""),"Closed")</f>
        <v>Closed</v>
      </c>
    </row>
    <row r="715">
      <c r="A715" s="3" t="s">
        <v>731</v>
      </c>
      <c r="B715" s="4">
        <f>IFERROR(__xludf.DUMMYFUNCTION("SPLIT(A715,"","",0,0)"),45550.45416666667)</f>
        <v>45550.45417</v>
      </c>
      <c r="C715" s="5">
        <f>IFERROR(__xludf.DUMMYFUNCTION("""COMPUTED_VALUE"""),2702463.0)</f>
        <v>2702463</v>
      </c>
      <c r="D715" s="2" t="str">
        <f>IFERROR(__xludf.DUMMYFUNCTION("""COMPUTED_VALUE"""),"Sale")</f>
        <v>Sale</v>
      </c>
      <c r="E715" s="2" t="str">
        <f>IFERROR(__xludf.DUMMYFUNCTION("""COMPUTED_VALUE"""),"Roti")</f>
        <v>Roti</v>
      </c>
      <c r="F715" s="2">
        <f>IFERROR(__xludf.DUMMYFUNCTION("""COMPUTED_VALUE"""),10005.0)</f>
        <v>10005</v>
      </c>
      <c r="G715" s="2" t="str">
        <f>IFERROR(__xludf.DUMMYFUNCTION("""COMPUTED_VALUE"""),"Roti Gandum Cokelat")</f>
        <v>Roti Gandum Cokelat</v>
      </c>
      <c r="H715" s="2"/>
      <c r="I715" s="2"/>
      <c r="J715" s="2">
        <f>IFERROR(__xludf.DUMMYFUNCTION("""COMPUTED_VALUE"""),1.0)</f>
        <v>1</v>
      </c>
      <c r="K715" s="6">
        <f>IFERROR(__xludf.DUMMYFUNCTION("""COMPUTED_VALUE"""),19524.0)</f>
        <v>19524</v>
      </c>
      <c r="L715" s="2">
        <f>IFERROR(__xludf.DUMMYFUNCTION("""COMPUTED_VALUE"""),0.0)</f>
        <v>0</v>
      </c>
      <c r="M715" s="2">
        <f>IFERROR(__xludf.DUMMYFUNCTION("""COMPUTED_VALUE"""),19524.0)</f>
        <v>19524</v>
      </c>
      <c r="N715" s="2">
        <f>IFERROR(__xludf.DUMMYFUNCTION("""COMPUTED_VALUE"""),0.0)</f>
        <v>0</v>
      </c>
      <c r="O715" s="2">
        <f>IFERROR(__xludf.DUMMYFUNCTION("""COMPUTED_VALUE"""),19524.0)</f>
        <v>19524</v>
      </c>
      <c r="P715" s="2">
        <f>IFERROR(__xludf.DUMMYFUNCTION("""COMPUTED_VALUE"""),976.0)</f>
        <v>976</v>
      </c>
      <c r="Q715" s="2" t="str">
        <f>IFERROR(__xludf.DUMMYFUNCTION("""COMPUTED_VALUE"""),"Dine In")</f>
        <v>Dine In</v>
      </c>
      <c r="R715" s="2" t="str">
        <f>IFERROR(__xludf.DUMMYFUNCTION("""COMPUTED_VALUE"""),"Kedai")</f>
        <v>Kedai</v>
      </c>
      <c r="S715" s="2" t="str">
        <f>IFERROR(__xludf.DUMMYFUNCTION("""COMPUTED_VALUE"""),"Temu Roti")</f>
        <v>Temu Roti</v>
      </c>
      <c r="T715" s="2" t="str">
        <f>IFERROR(__xludf.DUMMYFUNCTION("""COMPUTED_VALUE"""),"Owner")</f>
        <v>Owner</v>
      </c>
      <c r="U715" s="2"/>
      <c r="V715" s="2"/>
      <c r="W715" s="2"/>
      <c r="X715" s="2" t="str">
        <f>IFERROR(__xludf.DUMMYFUNCTION("""COMPUTED_VALUE"""),"Closed")</f>
        <v>Closed</v>
      </c>
    </row>
    <row r="716">
      <c r="A716" s="3" t="s">
        <v>732</v>
      </c>
      <c r="B716" s="4">
        <f>IFERROR(__xludf.DUMMYFUNCTION("SPLIT(A716,"","",0,0)"),45550.45347222222)</f>
        <v>45550.45347</v>
      </c>
      <c r="C716" s="5">
        <f>IFERROR(__xludf.DUMMYFUNCTION("""COMPUTED_VALUE"""),2702098.0)</f>
        <v>2702098</v>
      </c>
      <c r="D716" s="2" t="str">
        <f>IFERROR(__xludf.DUMMYFUNCTION("""COMPUTED_VALUE"""),"Sale")</f>
        <v>Sale</v>
      </c>
      <c r="E716" s="2" t="str">
        <f>IFERROR(__xludf.DUMMYFUNCTION("""COMPUTED_VALUE"""),"Minuman")</f>
        <v>Minuman</v>
      </c>
      <c r="F716" s="2">
        <f>IFERROR(__xludf.DUMMYFUNCTION("""COMPUTED_VALUE"""),10070.0)</f>
        <v>10070</v>
      </c>
      <c r="G716" s="2" t="str">
        <f>IFERROR(__xludf.DUMMYFUNCTION("""COMPUTED_VALUE"""),"Wedang laut")</f>
        <v>Wedang laut</v>
      </c>
      <c r="H716" s="2"/>
      <c r="I716" s="2"/>
      <c r="J716" s="2">
        <f>IFERROR(__xludf.DUMMYFUNCTION("""COMPUTED_VALUE"""),1.0)</f>
        <v>1</v>
      </c>
      <c r="K716" s="6">
        <f>IFERROR(__xludf.DUMMYFUNCTION("""COMPUTED_VALUE"""),24762.0)</f>
        <v>24762</v>
      </c>
      <c r="L716" s="2">
        <f>IFERROR(__xludf.DUMMYFUNCTION("""COMPUTED_VALUE"""),0.0)</f>
        <v>0</v>
      </c>
      <c r="M716" s="2">
        <f>IFERROR(__xludf.DUMMYFUNCTION("""COMPUTED_VALUE"""),24762.0)</f>
        <v>24762</v>
      </c>
      <c r="N716" s="2">
        <f>IFERROR(__xludf.DUMMYFUNCTION("""COMPUTED_VALUE"""),0.0)</f>
        <v>0</v>
      </c>
      <c r="O716" s="2">
        <f>IFERROR(__xludf.DUMMYFUNCTION("""COMPUTED_VALUE"""),24762.0)</f>
        <v>24762</v>
      </c>
      <c r="P716" s="2">
        <f>IFERROR(__xludf.DUMMYFUNCTION("""COMPUTED_VALUE"""),1238.0)</f>
        <v>1238</v>
      </c>
      <c r="Q716" s="2" t="str">
        <f>IFERROR(__xludf.DUMMYFUNCTION("""COMPUTED_VALUE"""),"Dine In")</f>
        <v>Dine In</v>
      </c>
      <c r="R716" s="2" t="str">
        <f>IFERROR(__xludf.DUMMYFUNCTION("""COMPUTED_VALUE"""),"Kedai")</f>
        <v>Kedai</v>
      </c>
      <c r="S716" s="2" t="str">
        <f>IFERROR(__xludf.DUMMYFUNCTION("""COMPUTED_VALUE"""),"Temu Roti")</f>
        <v>Temu Roti</v>
      </c>
      <c r="T716" s="2" t="str">
        <f>IFERROR(__xludf.DUMMYFUNCTION("""COMPUTED_VALUE"""),"Owner")</f>
        <v>Owner</v>
      </c>
      <c r="U716" s="2"/>
      <c r="V716" s="2"/>
      <c r="W716" s="2"/>
      <c r="X716" s="2" t="str">
        <f>IFERROR(__xludf.DUMMYFUNCTION("""COMPUTED_VALUE"""),"Closed")</f>
        <v>Closed</v>
      </c>
    </row>
    <row r="717">
      <c r="A717" s="3" t="s">
        <v>733</v>
      </c>
      <c r="B717" s="4">
        <f>IFERROR(__xludf.DUMMYFUNCTION("SPLIT(A717,"","",0,0)"),45550.45347222222)</f>
        <v>45550.45347</v>
      </c>
      <c r="C717" s="5">
        <f>IFERROR(__xludf.DUMMYFUNCTION("""COMPUTED_VALUE"""),2702098.0)</f>
        <v>2702098</v>
      </c>
      <c r="D717" s="2" t="str">
        <f>IFERROR(__xludf.DUMMYFUNCTION("""COMPUTED_VALUE"""),"Sale")</f>
        <v>Sale</v>
      </c>
      <c r="E717" s="2" t="str">
        <f>IFERROR(__xludf.DUMMYFUNCTION("""COMPUTED_VALUE"""),"Kudapan")</f>
        <v>Kudapan</v>
      </c>
      <c r="F717" s="2">
        <f>IFERROR(__xludf.DUMMYFUNCTION("""COMPUTED_VALUE"""),10004.0)</f>
        <v>10004</v>
      </c>
      <c r="G717" s="2" t="str">
        <f>IFERROR(__xludf.DUMMYFUNCTION("""COMPUTED_VALUE"""),"Tahu walik")</f>
        <v>Tahu walik</v>
      </c>
      <c r="H717" s="2"/>
      <c r="I717" s="2"/>
      <c r="J717" s="2">
        <f>IFERROR(__xludf.DUMMYFUNCTION("""COMPUTED_VALUE"""),1.0)</f>
        <v>1</v>
      </c>
      <c r="K717" s="6">
        <f>IFERROR(__xludf.DUMMYFUNCTION("""COMPUTED_VALUE"""),25238.0)</f>
        <v>25238</v>
      </c>
      <c r="L717" s="2">
        <f>IFERROR(__xludf.DUMMYFUNCTION("""COMPUTED_VALUE"""),0.0)</f>
        <v>0</v>
      </c>
      <c r="M717" s="2">
        <f>IFERROR(__xludf.DUMMYFUNCTION("""COMPUTED_VALUE"""),25238.0)</f>
        <v>25238</v>
      </c>
      <c r="N717" s="2">
        <f>IFERROR(__xludf.DUMMYFUNCTION("""COMPUTED_VALUE"""),0.0)</f>
        <v>0</v>
      </c>
      <c r="O717" s="2">
        <f>IFERROR(__xludf.DUMMYFUNCTION("""COMPUTED_VALUE"""),25238.0)</f>
        <v>25238</v>
      </c>
      <c r="P717" s="2">
        <f>IFERROR(__xludf.DUMMYFUNCTION("""COMPUTED_VALUE"""),1262.0)</f>
        <v>1262</v>
      </c>
      <c r="Q717" s="2" t="str">
        <f>IFERROR(__xludf.DUMMYFUNCTION("""COMPUTED_VALUE"""),"Dine In")</f>
        <v>Dine In</v>
      </c>
      <c r="R717" s="2" t="str">
        <f>IFERROR(__xludf.DUMMYFUNCTION("""COMPUTED_VALUE"""),"Kedai")</f>
        <v>Kedai</v>
      </c>
      <c r="S717" s="2" t="str">
        <f>IFERROR(__xludf.DUMMYFUNCTION("""COMPUTED_VALUE"""),"Temu Roti")</f>
        <v>Temu Roti</v>
      </c>
      <c r="T717" s="2" t="str">
        <f>IFERROR(__xludf.DUMMYFUNCTION("""COMPUTED_VALUE"""),"Owner")</f>
        <v>Owner</v>
      </c>
      <c r="U717" s="2"/>
      <c r="V717" s="2"/>
      <c r="W717" s="2"/>
      <c r="X717" s="2" t="str">
        <f>IFERROR(__xludf.DUMMYFUNCTION("""COMPUTED_VALUE"""),"Closed")</f>
        <v>Closed</v>
      </c>
    </row>
    <row r="718">
      <c r="A718" s="3" t="s">
        <v>734</v>
      </c>
      <c r="B718" s="4">
        <f>IFERROR(__xludf.DUMMYFUNCTION("SPLIT(A718,"","",0,0)"),45550.43958333333)</f>
        <v>45550.43958</v>
      </c>
      <c r="C718" s="5">
        <f>IFERROR(__xludf.DUMMYFUNCTION("""COMPUTED_VALUE"""),2701733.0)</f>
        <v>2701733</v>
      </c>
      <c r="D718" s="2" t="str">
        <f>IFERROR(__xludf.DUMMYFUNCTION("""COMPUTED_VALUE"""),"Sale")</f>
        <v>Sale</v>
      </c>
      <c r="E718" s="2" t="str">
        <f>IFERROR(__xludf.DUMMYFUNCTION("""COMPUTED_VALUE"""),"Minuman")</f>
        <v>Minuman</v>
      </c>
      <c r="F718" s="2">
        <f>IFERROR(__xludf.DUMMYFUNCTION("""COMPUTED_VALUE"""),10013.0)</f>
        <v>10013</v>
      </c>
      <c r="G718" s="2" t="str">
        <f>IFERROR(__xludf.DUMMYFUNCTION("""COMPUTED_VALUE"""),"Kopi cur")</f>
        <v>Kopi cur</v>
      </c>
      <c r="H718" s="2"/>
      <c r="I718" s="2"/>
      <c r="J718" s="2">
        <f>IFERROR(__xludf.DUMMYFUNCTION("""COMPUTED_VALUE"""),1.0)</f>
        <v>1</v>
      </c>
      <c r="K718" s="6">
        <f>IFERROR(__xludf.DUMMYFUNCTION("""COMPUTED_VALUE"""),23333.0)</f>
        <v>23333</v>
      </c>
      <c r="L718" s="2">
        <f>IFERROR(__xludf.DUMMYFUNCTION("""COMPUTED_VALUE"""),0.0)</f>
        <v>0</v>
      </c>
      <c r="M718" s="2">
        <f>IFERROR(__xludf.DUMMYFUNCTION("""COMPUTED_VALUE"""),23333.0)</f>
        <v>23333</v>
      </c>
      <c r="N718" s="2">
        <f>IFERROR(__xludf.DUMMYFUNCTION("""COMPUTED_VALUE"""),0.0)</f>
        <v>0</v>
      </c>
      <c r="O718" s="2">
        <f>IFERROR(__xludf.DUMMYFUNCTION("""COMPUTED_VALUE"""),23333.0)</f>
        <v>23333</v>
      </c>
      <c r="P718" s="2">
        <f>IFERROR(__xludf.DUMMYFUNCTION("""COMPUTED_VALUE"""),1167.0)</f>
        <v>1167</v>
      </c>
      <c r="Q718" s="2" t="str">
        <f>IFERROR(__xludf.DUMMYFUNCTION("""COMPUTED_VALUE"""),"Dine In")</f>
        <v>Dine In</v>
      </c>
      <c r="R718" s="2" t="str">
        <f>IFERROR(__xludf.DUMMYFUNCTION("""COMPUTED_VALUE"""),"Kedai")</f>
        <v>Kedai</v>
      </c>
      <c r="S718" s="2" t="str">
        <f>IFERROR(__xludf.DUMMYFUNCTION("""COMPUTED_VALUE"""),"Temu Roti")</f>
        <v>Temu Roti</v>
      </c>
      <c r="T718" s="2" t="str">
        <f>IFERROR(__xludf.DUMMYFUNCTION("""COMPUTED_VALUE"""),"Owner")</f>
        <v>Owner</v>
      </c>
      <c r="U718" s="2"/>
      <c r="V718" s="2"/>
      <c r="W718" s="2"/>
      <c r="X718" s="2" t="str">
        <f>IFERROR(__xludf.DUMMYFUNCTION("""COMPUTED_VALUE"""),"Closed")</f>
        <v>Closed</v>
      </c>
    </row>
    <row r="719">
      <c r="A719" s="3" t="s">
        <v>735</v>
      </c>
      <c r="B719" s="4">
        <f>IFERROR(__xludf.DUMMYFUNCTION("SPLIT(A719,"","",0,0)"),45550.43958333333)</f>
        <v>45550.43958</v>
      </c>
      <c r="C719" s="5">
        <f>IFERROR(__xludf.DUMMYFUNCTION("""COMPUTED_VALUE"""),2701733.0)</f>
        <v>2701733</v>
      </c>
      <c r="D719" s="2" t="str">
        <f>IFERROR(__xludf.DUMMYFUNCTION("""COMPUTED_VALUE"""),"Sale")</f>
        <v>Sale</v>
      </c>
      <c r="E719" s="2" t="str">
        <f>IFERROR(__xludf.DUMMYFUNCTION("""COMPUTED_VALUE"""),"Kudapan")</f>
        <v>Kudapan</v>
      </c>
      <c r="F719" s="2">
        <f>IFERROR(__xludf.DUMMYFUNCTION("""COMPUTED_VALUE"""),10014.0)</f>
        <v>10014</v>
      </c>
      <c r="G719" s="2" t="str">
        <f>IFERROR(__xludf.DUMMYFUNCTION("""COMPUTED_VALUE"""),"Tempe Mendoan")</f>
        <v>Tempe Mendoan</v>
      </c>
      <c r="H719" s="2"/>
      <c r="I719" s="2"/>
      <c r="J719" s="2">
        <f>IFERROR(__xludf.DUMMYFUNCTION("""COMPUTED_VALUE"""),1.0)</f>
        <v>1</v>
      </c>
      <c r="K719" s="6">
        <f>IFERROR(__xludf.DUMMYFUNCTION("""COMPUTED_VALUE"""),25238.0)</f>
        <v>25238</v>
      </c>
      <c r="L719" s="2">
        <f>IFERROR(__xludf.DUMMYFUNCTION("""COMPUTED_VALUE"""),0.0)</f>
        <v>0</v>
      </c>
      <c r="M719" s="2">
        <f>IFERROR(__xludf.DUMMYFUNCTION("""COMPUTED_VALUE"""),25238.0)</f>
        <v>25238</v>
      </c>
      <c r="N719" s="2">
        <f>IFERROR(__xludf.DUMMYFUNCTION("""COMPUTED_VALUE"""),0.0)</f>
        <v>0</v>
      </c>
      <c r="O719" s="2">
        <f>IFERROR(__xludf.DUMMYFUNCTION("""COMPUTED_VALUE"""),25238.0)</f>
        <v>25238</v>
      </c>
      <c r="P719" s="2">
        <f>IFERROR(__xludf.DUMMYFUNCTION("""COMPUTED_VALUE"""),1262.0)</f>
        <v>1262</v>
      </c>
      <c r="Q719" s="2" t="str">
        <f>IFERROR(__xludf.DUMMYFUNCTION("""COMPUTED_VALUE"""),"Dine In")</f>
        <v>Dine In</v>
      </c>
      <c r="R719" s="2" t="str">
        <f>IFERROR(__xludf.DUMMYFUNCTION("""COMPUTED_VALUE"""),"Kedai")</f>
        <v>Kedai</v>
      </c>
      <c r="S719" s="2" t="str">
        <f>IFERROR(__xludf.DUMMYFUNCTION("""COMPUTED_VALUE"""),"Temu Roti")</f>
        <v>Temu Roti</v>
      </c>
      <c r="T719" s="2" t="str">
        <f>IFERROR(__xludf.DUMMYFUNCTION("""COMPUTED_VALUE"""),"Owner")</f>
        <v>Owner</v>
      </c>
      <c r="U719" s="2"/>
      <c r="V719" s="2"/>
      <c r="W719" s="2"/>
      <c r="X719" s="2" t="str">
        <f>IFERROR(__xludf.DUMMYFUNCTION("""COMPUTED_VALUE"""),"Closed")</f>
        <v>Closed</v>
      </c>
    </row>
    <row r="720">
      <c r="A720" s="3" t="s">
        <v>736</v>
      </c>
      <c r="B720" s="4">
        <f>IFERROR(__xludf.DUMMYFUNCTION("SPLIT(A720,"","",0,0)"),45550.43958333333)</f>
        <v>45550.43958</v>
      </c>
      <c r="C720" s="5">
        <f>IFERROR(__xludf.DUMMYFUNCTION("""COMPUTED_VALUE"""),2701733.0)</f>
        <v>2701733</v>
      </c>
      <c r="D720" s="2" t="str">
        <f>IFERROR(__xludf.DUMMYFUNCTION("""COMPUTED_VALUE"""),"Sale")</f>
        <v>Sale</v>
      </c>
      <c r="E720" s="2" t="str">
        <f>IFERROR(__xludf.DUMMYFUNCTION("""COMPUTED_VALUE"""),"Minuman")</f>
        <v>Minuman</v>
      </c>
      <c r="F720" s="2">
        <f>IFERROR(__xludf.DUMMYFUNCTION("""COMPUTED_VALUE"""),10068.0)</f>
        <v>10068</v>
      </c>
      <c r="G720" s="2" t="str">
        <f>IFERROR(__xludf.DUMMYFUNCTION("""COMPUTED_VALUE"""),"Wedang surya")</f>
        <v>Wedang surya</v>
      </c>
      <c r="H720" s="2"/>
      <c r="I720" s="2"/>
      <c r="J720" s="2">
        <f>IFERROR(__xludf.DUMMYFUNCTION("""COMPUTED_VALUE"""),1.0)</f>
        <v>1</v>
      </c>
      <c r="K720" s="6">
        <f>IFERROR(__xludf.DUMMYFUNCTION("""COMPUTED_VALUE"""),24762.0)</f>
        <v>24762</v>
      </c>
      <c r="L720" s="2">
        <f>IFERROR(__xludf.DUMMYFUNCTION("""COMPUTED_VALUE"""),0.0)</f>
        <v>0</v>
      </c>
      <c r="M720" s="2">
        <f>IFERROR(__xludf.DUMMYFUNCTION("""COMPUTED_VALUE"""),24762.0)</f>
        <v>24762</v>
      </c>
      <c r="N720" s="2">
        <f>IFERROR(__xludf.DUMMYFUNCTION("""COMPUTED_VALUE"""),0.0)</f>
        <v>0</v>
      </c>
      <c r="O720" s="2">
        <f>IFERROR(__xludf.DUMMYFUNCTION("""COMPUTED_VALUE"""),24762.0)</f>
        <v>24762</v>
      </c>
      <c r="P720" s="2">
        <f>IFERROR(__xludf.DUMMYFUNCTION("""COMPUTED_VALUE"""),1238.0)</f>
        <v>1238</v>
      </c>
      <c r="Q720" s="2" t="str">
        <f>IFERROR(__xludf.DUMMYFUNCTION("""COMPUTED_VALUE"""),"Dine In")</f>
        <v>Dine In</v>
      </c>
      <c r="R720" s="2" t="str">
        <f>IFERROR(__xludf.DUMMYFUNCTION("""COMPUTED_VALUE"""),"Kedai")</f>
        <v>Kedai</v>
      </c>
      <c r="S720" s="2" t="str">
        <f>IFERROR(__xludf.DUMMYFUNCTION("""COMPUTED_VALUE"""),"Temu Roti")</f>
        <v>Temu Roti</v>
      </c>
      <c r="T720" s="2" t="str">
        <f>IFERROR(__xludf.DUMMYFUNCTION("""COMPUTED_VALUE"""),"Owner")</f>
        <v>Owner</v>
      </c>
      <c r="U720" s="2"/>
      <c r="V720" s="2"/>
      <c r="W720" s="2"/>
      <c r="X720" s="2" t="str">
        <f>IFERROR(__xludf.DUMMYFUNCTION("""COMPUTED_VALUE"""),"Closed")</f>
        <v>Closed</v>
      </c>
    </row>
    <row r="721">
      <c r="A721" s="3" t="s">
        <v>737</v>
      </c>
      <c r="B721" s="4">
        <f>IFERROR(__xludf.DUMMYFUNCTION("SPLIT(A721,"","",0,0)"),45550.39375)</f>
        <v>45550.39375</v>
      </c>
      <c r="C721" s="5">
        <f>IFERROR(__xludf.DUMMYFUNCTION("""COMPUTED_VALUE"""),2701367.0)</f>
        <v>2701367</v>
      </c>
      <c r="D721" s="2" t="str">
        <f>IFERROR(__xludf.DUMMYFUNCTION("""COMPUTED_VALUE"""),"Sale")</f>
        <v>Sale</v>
      </c>
      <c r="E721" s="2" t="str">
        <f>IFERROR(__xludf.DUMMYFUNCTION("""COMPUTED_VALUE"""),"Roti")</f>
        <v>Roti</v>
      </c>
      <c r="F721" s="2">
        <f>IFERROR(__xludf.DUMMYFUNCTION("""COMPUTED_VALUE"""),10007.0)</f>
        <v>10007</v>
      </c>
      <c r="G721" s="2" t="str">
        <f>IFERROR(__xludf.DUMMYFUNCTION("""COMPUTED_VALUE"""),"Roti cranberry 2 pcs")</f>
        <v>Roti cranberry 2 pcs</v>
      </c>
      <c r="H721" s="2"/>
      <c r="I721" s="2"/>
      <c r="J721" s="2">
        <f>IFERROR(__xludf.DUMMYFUNCTION("""COMPUTED_VALUE"""),1.0)</f>
        <v>1</v>
      </c>
      <c r="K721" s="6">
        <f>IFERROR(__xludf.DUMMYFUNCTION("""COMPUTED_VALUE"""),33810.0)</f>
        <v>33810</v>
      </c>
      <c r="L721" s="2">
        <f>IFERROR(__xludf.DUMMYFUNCTION("""COMPUTED_VALUE"""),0.0)</f>
        <v>0</v>
      </c>
      <c r="M721" s="2">
        <f>IFERROR(__xludf.DUMMYFUNCTION("""COMPUTED_VALUE"""),33810.0)</f>
        <v>33810</v>
      </c>
      <c r="N721" s="2">
        <f>IFERROR(__xludf.DUMMYFUNCTION("""COMPUTED_VALUE"""),0.0)</f>
        <v>0</v>
      </c>
      <c r="O721" s="2">
        <f>IFERROR(__xludf.DUMMYFUNCTION("""COMPUTED_VALUE"""),33810.0)</f>
        <v>33810</v>
      </c>
      <c r="P721" s="2">
        <f>IFERROR(__xludf.DUMMYFUNCTION("""COMPUTED_VALUE"""),1691.0)</f>
        <v>1691</v>
      </c>
      <c r="Q721" s="2" t="str">
        <f>IFERROR(__xludf.DUMMYFUNCTION("""COMPUTED_VALUE"""),"Dine In")</f>
        <v>Dine In</v>
      </c>
      <c r="R721" s="2" t="str">
        <f>IFERROR(__xludf.DUMMYFUNCTION("""COMPUTED_VALUE"""),"Kedai")</f>
        <v>Kedai</v>
      </c>
      <c r="S721" s="2" t="str">
        <f>IFERROR(__xludf.DUMMYFUNCTION("""COMPUTED_VALUE"""),"Temu Roti")</f>
        <v>Temu Roti</v>
      </c>
      <c r="T721" s="2" t="str">
        <f>IFERROR(__xludf.DUMMYFUNCTION("""COMPUTED_VALUE"""),"Owner")</f>
        <v>Owner</v>
      </c>
      <c r="U721" s="2"/>
      <c r="V721" s="2"/>
      <c r="W721" s="2"/>
      <c r="X721" s="2" t="str">
        <f>IFERROR(__xludf.DUMMYFUNCTION("""COMPUTED_VALUE"""),"Closed")</f>
        <v>Closed</v>
      </c>
    </row>
    <row r="722">
      <c r="A722" s="3" t="s">
        <v>738</v>
      </c>
      <c r="B722" s="4">
        <f>IFERROR(__xludf.DUMMYFUNCTION("SPLIT(A722,"","",0,0)"),45550.39375)</f>
        <v>45550.39375</v>
      </c>
      <c r="C722" s="5">
        <f>IFERROR(__xludf.DUMMYFUNCTION("""COMPUTED_VALUE"""),2701367.0)</f>
        <v>2701367</v>
      </c>
      <c r="D722" s="2" t="str">
        <f>IFERROR(__xludf.DUMMYFUNCTION("""COMPUTED_VALUE"""),"Sale")</f>
        <v>Sale</v>
      </c>
      <c r="E722" s="2" t="str">
        <f>IFERROR(__xludf.DUMMYFUNCTION("""COMPUTED_VALUE"""),"Minuman")</f>
        <v>Minuman</v>
      </c>
      <c r="F722" s="2">
        <f>IFERROR(__xludf.DUMMYFUNCTION("""COMPUTED_VALUE"""),10128.0)</f>
        <v>10128</v>
      </c>
      <c r="G722" s="2" t="str">
        <f>IFERROR(__xludf.DUMMYFUNCTION("""COMPUTED_VALUE"""),"Es Kopi Susu")</f>
        <v>Es Kopi Susu</v>
      </c>
      <c r="H722" s="2"/>
      <c r="I722" s="2"/>
      <c r="J722" s="2">
        <f>IFERROR(__xludf.DUMMYFUNCTION("""COMPUTED_VALUE"""),1.0)</f>
        <v>1</v>
      </c>
      <c r="K722" s="6">
        <f>IFERROR(__xludf.DUMMYFUNCTION("""COMPUTED_VALUE"""),23333.0)</f>
        <v>23333</v>
      </c>
      <c r="L722" s="2">
        <f>IFERROR(__xludf.DUMMYFUNCTION("""COMPUTED_VALUE"""),0.0)</f>
        <v>0</v>
      </c>
      <c r="M722" s="2">
        <f>IFERROR(__xludf.DUMMYFUNCTION("""COMPUTED_VALUE"""),23333.0)</f>
        <v>23333</v>
      </c>
      <c r="N722" s="2">
        <f>IFERROR(__xludf.DUMMYFUNCTION("""COMPUTED_VALUE"""),0.0)</f>
        <v>0</v>
      </c>
      <c r="O722" s="2">
        <f>IFERROR(__xludf.DUMMYFUNCTION("""COMPUTED_VALUE"""),23333.0)</f>
        <v>23333</v>
      </c>
      <c r="P722" s="2">
        <f>IFERROR(__xludf.DUMMYFUNCTION("""COMPUTED_VALUE"""),1166.0)</f>
        <v>1166</v>
      </c>
      <c r="Q722" s="2" t="str">
        <f>IFERROR(__xludf.DUMMYFUNCTION("""COMPUTED_VALUE"""),"Dine In")</f>
        <v>Dine In</v>
      </c>
      <c r="R722" s="2" t="str">
        <f>IFERROR(__xludf.DUMMYFUNCTION("""COMPUTED_VALUE"""),"Kedai")</f>
        <v>Kedai</v>
      </c>
      <c r="S722" s="2" t="str">
        <f>IFERROR(__xludf.DUMMYFUNCTION("""COMPUTED_VALUE"""),"Temu Roti")</f>
        <v>Temu Roti</v>
      </c>
      <c r="T722" s="2" t="str">
        <f>IFERROR(__xludf.DUMMYFUNCTION("""COMPUTED_VALUE"""),"Owner")</f>
        <v>Owner</v>
      </c>
      <c r="U722" s="2"/>
      <c r="V722" s="2"/>
      <c r="W722" s="2"/>
      <c r="X722" s="2" t="str">
        <f>IFERROR(__xludf.DUMMYFUNCTION("""COMPUTED_VALUE"""),"Closed")</f>
        <v>Closed</v>
      </c>
    </row>
    <row r="723">
      <c r="A723" s="3" t="s">
        <v>739</v>
      </c>
      <c r="B723" s="4">
        <f>IFERROR(__xludf.DUMMYFUNCTION("SPLIT(A723,"","",0,0)"),45550.39375)</f>
        <v>45550.39375</v>
      </c>
      <c r="C723" s="5">
        <f>IFERROR(__xludf.DUMMYFUNCTION("""COMPUTED_VALUE"""),2701367.0)</f>
        <v>2701367</v>
      </c>
      <c r="D723" s="2" t="str">
        <f>IFERROR(__xludf.DUMMYFUNCTION("""COMPUTED_VALUE"""),"Sale")</f>
        <v>Sale</v>
      </c>
      <c r="E723" s="2" t="str">
        <f>IFERROR(__xludf.DUMMYFUNCTION("""COMPUTED_VALUE"""),"Kudapan")</f>
        <v>Kudapan</v>
      </c>
      <c r="F723" s="2">
        <f>IFERROR(__xludf.DUMMYFUNCTION("""COMPUTED_VALUE"""),10015.0)</f>
        <v>10015</v>
      </c>
      <c r="G723" s="2" t="str">
        <f>IFERROR(__xludf.DUMMYFUNCTION("""COMPUTED_VALUE"""),"Tahu Lada Garam")</f>
        <v>Tahu Lada Garam</v>
      </c>
      <c r="H723" s="2"/>
      <c r="I723" s="2"/>
      <c r="J723" s="2">
        <f>IFERROR(__xludf.DUMMYFUNCTION("""COMPUTED_VALUE"""),1.0)</f>
        <v>1</v>
      </c>
      <c r="K723" s="6">
        <f>IFERROR(__xludf.DUMMYFUNCTION("""COMPUTED_VALUE"""),25238.0)</f>
        <v>25238</v>
      </c>
      <c r="L723" s="2">
        <f>IFERROR(__xludf.DUMMYFUNCTION("""COMPUTED_VALUE"""),0.0)</f>
        <v>0</v>
      </c>
      <c r="M723" s="2">
        <f>IFERROR(__xludf.DUMMYFUNCTION("""COMPUTED_VALUE"""),25238.0)</f>
        <v>25238</v>
      </c>
      <c r="N723" s="2">
        <f>IFERROR(__xludf.DUMMYFUNCTION("""COMPUTED_VALUE"""),0.0)</f>
        <v>0</v>
      </c>
      <c r="O723" s="2">
        <f>IFERROR(__xludf.DUMMYFUNCTION("""COMPUTED_VALUE"""),25238.0)</f>
        <v>25238</v>
      </c>
      <c r="P723" s="2">
        <f>IFERROR(__xludf.DUMMYFUNCTION("""COMPUTED_VALUE"""),1262.0)</f>
        <v>1262</v>
      </c>
      <c r="Q723" s="2" t="str">
        <f>IFERROR(__xludf.DUMMYFUNCTION("""COMPUTED_VALUE"""),"Dine In")</f>
        <v>Dine In</v>
      </c>
      <c r="R723" s="2" t="str">
        <f>IFERROR(__xludf.DUMMYFUNCTION("""COMPUTED_VALUE"""),"Kedai")</f>
        <v>Kedai</v>
      </c>
      <c r="S723" s="2" t="str">
        <f>IFERROR(__xludf.DUMMYFUNCTION("""COMPUTED_VALUE"""),"Temu Roti")</f>
        <v>Temu Roti</v>
      </c>
      <c r="T723" s="2" t="str">
        <f>IFERROR(__xludf.DUMMYFUNCTION("""COMPUTED_VALUE"""),"Owner")</f>
        <v>Owner</v>
      </c>
      <c r="U723" s="2"/>
      <c r="V723" s="2"/>
      <c r="W723" s="2"/>
      <c r="X723" s="2" t="str">
        <f>IFERROR(__xludf.DUMMYFUNCTION("""COMPUTED_VALUE"""),"Closed")</f>
        <v>Closed</v>
      </c>
    </row>
    <row r="724">
      <c r="A724" s="3" t="s">
        <v>740</v>
      </c>
      <c r="B724" s="4">
        <f>IFERROR(__xludf.DUMMYFUNCTION("SPLIT(A724,"","",0,0)"),45550.39027777778)</f>
        <v>45550.39028</v>
      </c>
      <c r="C724" s="5">
        <f>IFERROR(__xludf.DUMMYFUNCTION("""COMPUTED_VALUE"""),2701002.0)</f>
        <v>2701002</v>
      </c>
      <c r="D724" s="2" t="str">
        <f>IFERROR(__xludf.DUMMYFUNCTION("""COMPUTED_VALUE"""),"Sale")</f>
        <v>Sale</v>
      </c>
      <c r="E724" s="2" t="str">
        <f>IFERROR(__xludf.DUMMYFUNCTION("""COMPUTED_VALUE"""),"Roti")</f>
        <v>Roti</v>
      </c>
      <c r="F724" s="2">
        <f>IFERROR(__xludf.DUMMYFUNCTION("""COMPUTED_VALUE"""),10002.0)</f>
        <v>10002</v>
      </c>
      <c r="G724" s="2" t="str">
        <f>IFERROR(__xludf.DUMMYFUNCTION("""COMPUTED_VALUE"""),"Roti Cranberry")</f>
        <v>Roti Cranberry</v>
      </c>
      <c r="H724" s="2"/>
      <c r="I724" s="2"/>
      <c r="J724" s="2">
        <f>IFERROR(__xludf.DUMMYFUNCTION("""COMPUTED_VALUE"""),1.0)</f>
        <v>1</v>
      </c>
      <c r="K724" s="6">
        <f>IFERROR(__xludf.DUMMYFUNCTION("""COMPUTED_VALUE"""),18571.0)</f>
        <v>18571</v>
      </c>
      <c r="L724" s="2">
        <f>IFERROR(__xludf.DUMMYFUNCTION("""COMPUTED_VALUE"""),0.0)</f>
        <v>0</v>
      </c>
      <c r="M724" s="2">
        <f>IFERROR(__xludf.DUMMYFUNCTION("""COMPUTED_VALUE"""),18571.0)</f>
        <v>18571</v>
      </c>
      <c r="N724" s="2">
        <f>IFERROR(__xludf.DUMMYFUNCTION("""COMPUTED_VALUE"""),0.0)</f>
        <v>0</v>
      </c>
      <c r="O724" s="2">
        <f>IFERROR(__xludf.DUMMYFUNCTION("""COMPUTED_VALUE"""),18571.0)</f>
        <v>18571</v>
      </c>
      <c r="P724" s="2">
        <f>IFERROR(__xludf.DUMMYFUNCTION("""COMPUTED_VALUE"""),929.0)</f>
        <v>929</v>
      </c>
      <c r="Q724" s="2" t="str">
        <f>IFERROR(__xludf.DUMMYFUNCTION("""COMPUTED_VALUE"""),"Dine In")</f>
        <v>Dine In</v>
      </c>
      <c r="R724" s="2" t="str">
        <f>IFERROR(__xludf.DUMMYFUNCTION("""COMPUTED_VALUE"""),"Kedai")</f>
        <v>Kedai</v>
      </c>
      <c r="S724" s="2" t="str">
        <f>IFERROR(__xludf.DUMMYFUNCTION("""COMPUTED_VALUE"""),"Temu Roti")</f>
        <v>Temu Roti</v>
      </c>
      <c r="T724" s="2" t="str">
        <f>IFERROR(__xludf.DUMMYFUNCTION("""COMPUTED_VALUE"""),"Owner")</f>
        <v>Owner</v>
      </c>
      <c r="U724" s="2"/>
      <c r="V724" s="2"/>
      <c r="W724" s="2"/>
      <c r="X724" s="2" t="str">
        <f>IFERROR(__xludf.DUMMYFUNCTION("""COMPUTED_VALUE"""),"Closed")</f>
        <v>Closed</v>
      </c>
    </row>
    <row r="725">
      <c r="A725" s="3" t="s">
        <v>741</v>
      </c>
      <c r="B725" s="4">
        <f>IFERROR(__xludf.DUMMYFUNCTION("SPLIT(A725,"","",0,0)"),45550.39027777778)</f>
        <v>45550.39028</v>
      </c>
      <c r="C725" s="5">
        <f>IFERROR(__xludf.DUMMYFUNCTION("""COMPUTED_VALUE"""),2701002.0)</f>
        <v>2701002</v>
      </c>
      <c r="D725" s="2" t="str">
        <f>IFERROR(__xludf.DUMMYFUNCTION("""COMPUTED_VALUE"""),"Sale")</f>
        <v>Sale</v>
      </c>
      <c r="E725" s="2" t="str">
        <f>IFERROR(__xludf.DUMMYFUNCTION("""COMPUTED_VALUE"""),"Minuman")</f>
        <v>Minuman</v>
      </c>
      <c r="F725" s="2">
        <f>IFERROR(__xludf.DUMMYFUNCTION("""COMPUTED_VALUE"""),10125.0)</f>
        <v>10125</v>
      </c>
      <c r="G725" s="2" t="str">
        <f>IFERROR(__xludf.DUMMYFUNCTION("""COMPUTED_VALUE"""),"Gula Asam Dingin")</f>
        <v>Gula Asam Dingin</v>
      </c>
      <c r="H725" s="2"/>
      <c r="I725" s="2"/>
      <c r="J725" s="2">
        <f>IFERROR(__xludf.DUMMYFUNCTION("""COMPUTED_VALUE"""),1.0)</f>
        <v>1</v>
      </c>
      <c r="K725" s="6">
        <f>IFERROR(__xludf.DUMMYFUNCTION("""COMPUTED_VALUE"""),20476.0)</f>
        <v>20476</v>
      </c>
      <c r="L725" s="2">
        <f>IFERROR(__xludf.DUMMYFUNCTION("""COMPUTED_VALUE"""),0.0)</f>
        <v>0</v>
      </c>
      <c r="M725" s="2">
        <f>IFERROR(__xludf.DUMMYFUNCTION("""COMPUTED_VALUE"""),20476.0)</f>
        <v>20476</v>
      </c>
      <c r="N725" s="2">
        <f>IFERROR(__xludf.DUMMYFUNCTION("""COMPUTED_VALUE"""),0.0)</f>
        <v>0</v>
      </c>
      <c r="O725" s="2">
        <f>IFERROR(__xludf.DUMMYFUNCTION("""COMPUTED_VALUE"""),20476.0)</f>
        <v>20476</v>
      </c>
      <c r="P725" s="2">
        <f>IFERROR(__xludf.DUMMYFUNCTION("""COMPUTED_VALUE"""),1023.0)</f>
        <v>1023</v>
      </c>
      <c r="Q725" s="2" t="str">
        <f>IFERROR(__xludf.DUMMYFUNCTION("""COMPUTED_VALUE"""),"Dine In")</f>
        <v>Dine In</v>
      </c>
      <c r="R725" s="2" t="str">
        <f>IFERROR(__xludf.DUMMYFUNCTION("""COMPUTED_VALUE"""),"Kedai")</f>
        <v>Kedai</v>
      </c>
      <c r="S725" s="2" t="str">
        <f>IFERROR(__xludf.DUMMYFUNCTION("""COMPUTED_VALUE"""),"Temu Roti")</f>
        <v>Temu Roti</v>
      </c>
      <c r="T725" s="2" t="str">
        <f>IFERROR(__xludf.DUMMYFUNCTION("""COMPUTED_VALUE"""),"Owner")</f>
        <v>Owner</v>
      </c>
      <c r="U725" s="2"/>
      <c r="V725" s="2"/>
      <c r="W725" s="2"/>
      <c r="X725" s="2" t="str">
        <f>IFERROR(__xludf.DUMMYFUNCTION("""COMPUTED_VALUE"""),"Closed")</f>
        <v>Closed</v>
      </c>
    </row>
    <row r="726">
      <c r="A726" s="3" t="s">
        <v>742</v>
      </c>
      <c r="B726" s="4">
        <f>IFERROR(__xludf.DUMMYFUNCTION("SPLIT(A726,"","",0,0)"),45550.38888888889)</f>
        <v>45550.38889</v>
      </c>
      <c r="C726" s="5">
        <f>IFERROR(__xludf.DUMMYFUNCTION("""COMPUTED_VALUE"""),2700637.0)</f>
        <v>2700637</v>
      </c>
      <c r="D726" s="2" t="str">
        <f>IFERROR(__xludf.DUMMYFUNCTION("""COMPUTED_VALUE"""),"Sale")</f>
        <v>Sale</v>
      </c>
      <c r="E726" s="2" t="str">
        <f>IFERROR(__xludf.DUMMYFUNCTION("""COMPUTED_VALUE"""),"Roti")</f>
        <v>Roti</v>
      </c>
      <c r="F726" s="2">
        <f>IFERROR(__xludf.DUMMYFUNCTION("""COMPUTED_VALUE"""),10033.0)</f>
        <v>10033</v>
      </c>
      <c r="G726" s="2" t="str">
        <f>IFERROR(__xludf.DUMMYFUNCTION("""COMPUTED_VALUE"""),"Roti panggang sarikaya")</f>
        <v>Roti panggang sarikaya</v>
      </c>
      <c r="H726" s="2"/>
      <c r="I726" s="2"/>
      <c r="J726" s="2">
        <f>IFERROR(__xludf.DUMMYFUNCTION("""COMPUTED_VALUE"""),1.0)</f>
        <v>1</v>
      </c>
      <c r="K726" s="6">
        <f>IFERROR(__xludf.DUMMYFUNCTION("""COMPUTED_VALUE"""),21905.0)</f>
        <v>21905</v>
      </c>
      <c r="L726" s="2">
        <f>IFERROR(__xludf.DUMMYFUNCTION("""COMPUTED_VALUE"""),0.0)</f>
        <v>0</v>
      </c>
      <c r="M726" s="2">
        <f>IFERROR(__xludf.DUMMYFUNCTION("""COMPUTED_VALUE"""),21905.0)</f>
        <v>21905</v>
      </c>
      <c r="N726" s="2">
        <f>IFERROR(__xludf.DUMMYFUNCTION("""COMPUTED_VALUE"""),0.0)</f>
        <v>0</v>
      </c>
      <c r="O726" s="2">
        <f>IFERROR(__xludf.DUMMYFUNCTION("""COMPUTED_VALUE"""),21905.0)</f>
        <v>21905</v>
      </c>
      <c r="P726" s="2">
        <f>IFERROR(__xludf.DUMMYFUNCTION("""COMPUTED_VALUE"""),1095.0)</f>
        <v>1095</v>
      </c>
      <c r="Q726" s="2" t="str">
        <f>IFERROR(__xludf.DUMMYFUNCTION("""COMPUTED_VALUE"""),"Dine In")</f>
        <v>Dine In</v>
      </c>
      <c r="R726" s="2" t="str">
        <f>IFERROR(__xludf.DUMMYFUNCTION("""COMPUTED_VALUE"""),"Kedai")</f>
        <v>Kedai</v>
      </c>
      <c r="S726" s="2" t="str">
        <f>IFERROR(__xludf.DUMMYFUNCTION("""COMPUTED_VALUE"""),"Temu Roti")</f>
        <v>Temu Roti</v>
      </c>
      <c r="T726" s="2" t="str">
        <f>IFERROR(__xludf.DUMMYFUNCTION("""COMPUTED_VALUE"""),"Owner")</f>
        <v>Owner</v>
      </c>
      <c r="U726" s="2"/>
      <c r="V726" s="2"/>
      <c r="W726" s="2"/>
      <c r="X726" s="2" t="str">
        <f>IFERROR(__xludf.DUMMYFUNCTION("""COMPUTED_VALUE"""),"Closed")</f>
        <v>Closed</v>
      </c>
    </row>
    <row r="727">
      <c r="A727" s="3" t="s">
        <v>743</v>
      </c>
      <c r="B727" s="4">
        <f>IFERROR(__xludf.DUMMYFUNCTION("SPLIT(A727,"","",0,0)"),45550.38888888889)</f>
        <v>45550.38889</v>
      </c>
      <c r="C727" s="5">
        <f>IFERROR(__xludf.DUMMYFUNCTION("""COMPUTED_VALUE"""),2700637.0)</f>
        <v>2700637</v>
      </c>
      <c r="D727" s="2" t="str">
        <f>IFERROR(__xludf.DUMMYFUNCTION("""COMPUTED_VALUE"""),"Sale")</f>
        <v>Sale</v>
      </c>
      <c r="E727" s="2" t="str">
        <f>IFERROR(__xludf.DUMMYFUNCTION("""COMPUTED_VALUE"""),"Minuman")</f>
        <v>Minuman</v>
      </c>
      <c r="F727" s="2">
        <f>IFERROR(__xludf.DUMMYFUNCTION("""COMPUTED_VALUE"""),10127.0)</f>
        <v>10127</v>
      </c>
      <c r="G727" s="2" t="str">
        <f>IFERROR(__xludf.DUMMYFUNCTION("""COMPUTED_VALUE"""),"Kopi Tubruk Panas")</f>
        <v>Kopi Tubruk Panas</v>
      </c>
      <c r="H727" s="2"/>
      <c r="I727" s="2"/>
      <c r="J727" s="2">
        <f>IFERROR(__xludf.DUMMYFUNCTION("""COMPUTED_VALUE"""),1.0)</f>
        <v>1</v>
      </c>
      <c r="K727" s="6">
        <f>IFERROR(__xludf.DUMMYFUNCTION("""COMPUTED_VALUE"""),18571.0)</f>
        <v>18571</v>
      </c>
      <c r="L727" s="2">
        <f>IFERROR(__xludf.DUMMYFUNCTION("""COMPUTED_VALUE"""),0.0)</f>
        <v>0</v>
      </c>
      <c r="M727" s="2">
        <f>IFERROR(__xludf.DUMMYFUNCTION("""COMPUTED_VALUE"""),18571.0)</f>
        <v>18571</v>
      </c>
      <c r="N727" s="2">
        <f>IFERROR(__xludf.DUMMYFUNCTION("""COMPUTED_VALUE"""),0.0)</f>
        <v>0</v>
      </c>
      <c r="O727" s="2">
        <f>IFERROR(__xludf.DUMMYFUNCTION("""COMPUTED_VALUE"""),18571.0)</f>
        <v>18571</v>
      </c>
      <c r="P727" s="2">
        <f>IFERROR(__xludf.DUMMYFUNCTION("""COMPUTED_VALUE"""),929.0)</f>
        <v>929</v>
      </c>
      <c r="Q727" s="2" t="str">
        <f>IFERROR(__xludf.DUMMYFUNCTION("""COMPUTED_VALUE"""),"Dine In")</f>
        <v>Dine In</v>
      </c>
      <c r="R727" s="2" t="str">
        <f>IFERROR(__xludf.DUMMYFUNCTION("""COMPUTED_VALUE"""),"Kedai")</f>
        <v>Kedai</v>
      </c>
      <c r="S727" s="2" t="str">
        <f>IFERROR(__xludf.DUMMYFUNCTION("""COMPUTED_VALUE"""),"Temu Roti")</f>
        <v>Temu Roti</v>
      </c>
      <c r="T727" s="2" t="str">
        <f>IFERROR(__xludf.DUMMYFUNCTION("""COMPUTED_VALUE"""),"Owner")</f>
        <v>Owner</v>
      </c>
      <c r="U727" s="2"/>
      <c r="V727" s="2"/>
      <c r="W727" s="2"/>
      <c r="X727" s="2" t="str">
        <f>IFERROR(__xludf.DUMMYFUNCTION("""COMPUTED_VALUE"""),"Closed")</f>
        <v>Closed</v>
      </c>
    </row>
    <row r="728">
      <c r="A728" s="3" t="s">
        <v>744</v>
      </c>
      <c r="B728" s="4">
        <f>IFERROR(__xludf.DUMMYFUNCTION("SPLIT(A728,"","",0,0)"),45549.856944444444)</f>
        <v>45549.85694</v>
      </c>
      <c r="C728" s="5">
        <f>IFERROR(__xludf.DUMMYFUNCTION("""COMPUTED_VALUE"""),2700272.0)</f>
        <v>2700272</v>
      </c>
      <c r="D728" s="2" t="str">
        <f>IFERROR(__xludf.DUMMYFUNCTION("""COMPUTED_VALUE"""),"Sale")</f>
        <v>Sale</v>
      </c>
      <c r="E728" s="2" t="str">
        <f>IFERROR(__xludf.DUMMYFUNCTION("""COMPUTED_VALUE"""),"Kudapan")</f>
        <v>Kudapan</v>
      </c>
      <c r="F728" s="2">
        <f>IFERROR(__xludf.DUMMYFUNCTION("""COMPUTED_VALUE"""),10015.0)</f>
        <v>10015</v>
      </c>
      <c r="G728" s="2" t="str">
        <f>IFERROR(__xludf.DUMMYFUNCTION("""COMPUTED_VALUE"""),"Tahu Lada Garam")</f>
        <v>Tahu Lada Garam</v>
      </c>
      <c r="H728" s="2"/>
      <c r="I728" s="2"/>
      <c r="J728" s="2">
        <f>IFERROR(__xludf.DUMMYFUNCTION("""COMPUTED_VALUE"""),1.0)</f>
        <v>1</v>
      </c>
      <c r="K728" s="6">
        <f>IFERROR(__xludf.DUMMYFUNCTION("""COMPUTED_VALUE"""),25238.0)</f>
        <v>25238</v>
      </c>
      <c r="L728" s="2">
        <f>IFERROR(__xludf.DUMMYFUNCTION("""COMPUTED_VALUE"""),0.0)</f>
        <v>0</v>
      </c>
      <c r="M728" s="2">
        <f>IFERROR(__xludf.DUMMYFUNCTION("""COMPUTED_VALUE"""),25238.0)</f>
        <v>25238</v>
      </c>
      <c r="N728" s="2">
        <f>IFERROR(__xludf.DUMMYFUNCTION("""COMPUTED_VALUE"""),0.0)</f>
        <v>0</v>
      </c>
      <c r="O728" s="2">
        <f>IFERROR(__xludf.DUMMYFUNCTION("""COMPUTED_VALUE"""),25238.0)</f>
        <v>25238</v>
      </c>
      <c r="P728" s="2">
        <f>IFERROR(__xludf.DUMMYFUNCTION("""COMPUTED_VALUE"""),1262.0)</f>
        <v>1262</v>
      </c>
      <c r="Q728" s="2" t="str">
        <f>IFERROR(__xludf.DUMMYFUNCTION("""COMPUTED_VALUE"""),"Dine In")</f>
        <v>Dine In</v>
      </c>
      <c r="R728" s="2" t="str">
        <f>IFERROR(__xludf.DUMMYFUNCTION("""COMPUTED_VALUE"""),"Kedai")</f>
        <v>Kedai</v>
      </c>
      <c r="S728" s="2" t="str">
        <f>IFERROR(__xludf.DUMMYFUNCTION("""COMPUTED_VALUE"""),"Temu Roti")</f>
        <v>Temu Roti</v>
      </c>
      <c r="T728" s="2" t="str">
        <f>IFERROR(__xludf.DUMMYFUNCTION("""COMPUTED_VALUE"""),"Owner")</f>
        <v>Owner</v>
      </c>
      <c r="U728" s="2"/>
      <c r="V728" s="2"/>
      <c r="W728" s="2"/>
      <c r="X728" s="2" t="str">
        <f>IFERROR(__xludf.DUMMYFUNCTION("""COMPUTED_VALUE"""),"Closed")</f>
        <v>Closed</v>
      </c>
    </row>
    <row r="729">
      <c r="A729" s="3" t="s">
        <v>745</v>
      </c>
      <c r="B729" s="4">
        <f>IFERROR(__xludf.DUMMYFUNCTION("SPLIT(A729,"","",0,0)"),45549.856944444444)</f>
        <v>45549.85694</v>
      </c>
      <c r="C729" s="5">
        <f>IFERROR(__xludf.DUMMYFUNCTION("""COMPUTED_VALUE"""),2700272.0)</f>
        <v>2700272</v>
      </c>
      <c r="D729" s="2" t="str">
        <f>IFERROR(__xludf.DUMMYFUNCTION("""COMPUTED_VALUE"""),"Sale")</f>
        <v>Sale</v>
      </c>
      <c r="E729" s="2" t="str">
        <f>IFERROR(__xludf.DUMMYFUNCTION("""COMPUTED_VALUE"""),"Kudapan")</f>
        <v>Kudapan</v>
      </c>
      <c r="F729" s="2">
        <f>IFERROR(__xludf.DUMMYFUNCTION("""COMPUTED_VALUE"""),10014.0)</f>
        <v>10014</v>
      </c>
      <c r="G729" s="2" t="str">
        <f>IFERROR(__xludf.DUMMYFUNCTION("""COMPUTED_VALUE"""),"Tempe Mendoan")</f>
        <v>Tempe Mendoan</v>
      </c>
      <c r="H729" s="2"/>
      <c r="I729" s="2"/>
      <c r="J729" s="2">
        <f>IFERROR(__xludf.DUMMYFUNCTION("""COMPUTED_VALUE"""),1.0)</f>
        <v>1</v>
      </c>
      <c r="K729" s="6">
        <f>IFERROR(__xludf.DUMMYFUNCTION("""COMPUTED_VALUE"""),25238.0)</f>
        <v>25238</v>
      </c>
      <c r="L729" s="2">
        <f>IFERROR(__xludf.DUMMYFUNCTION("""COMPUTED_VALUE"""),0.0)</f>
        <v>0</v>
      </c>
      <c r="M729" s="2">
        <f>IFERROR(__xludf.DUMMYFUNCTION("""COMPUTED_VALUE"""),25238.0)</f>
        <v>25238</v>
      </c>
      <c r="N729" s="2">
        <f>IFERROR(__xludf.DUMMYFUNCTION("""COMPUTED_VALUE"""),0.0)</f>
        <v>0</v>
      </c>
      <c r="O729" s="2">
        <f>IFERROR(__xludf.DUMMYFUNCTION("""COMPUTED_VALUE"""),25238.0)</f>
        <v>25238</v>
      </c>
      <c r="P729" s="2">
        <f>IFERROR(__xludf.DUMMYFUNCTION("""COMPUTED_VALUE"""),1262.0)</f>
        <v>1262</v>
      </c>
      <c r="Q729" s="2" t="str">
        <f>IFERROR(__xludf.DUMMYFUNCTION("""COMPUTED_VALUE"""),"Dine In")</f>
        <v>Dine In</v>
      </c>
      <c r="R729" s="2" t="str">
        <f>IFERROR(__xludf.DUMMYFUNCTION("""COMPUTED_VALUE"""),"Kedai")</f>
        <v>Kedai</v>
      </c>
      <c r="S729" s="2" t="str">
        <f>IFERROR(__xludf.DUMMYFUNCTION("""COMPUTED_VALUE"""),"Temu Roti")</f>
        <v>Temu Roti</v>
      </c>
      <c r="T729" s="2" t="str">
        <f>IFERROR(__xludf.DUMMYFUNCTION("""COMPUTED_VALUE"""),"Owner")</f>
        <v>Owner</v>
      </c>
      <c r="U729" s="2"/>
      <c r="V729" s="2"/>
      <c r="W729" s="2"/>
      <c r="X729" s="2" t="str">
        <f>IFERROR(__xludf.DUMMYFUNCTION("""COMPUTED_VALUE"""),"Closed")</f>
        <v>Closed</v>
      </c>
    </row>
    <row r="730">
      <c r="A730" s="3" t="s">
        <v>746</v>
      </c>
      <c r="B730" s="4">
        <f>IFERROR(__xludf.DUMMYFUNCTION("SPLIT(A730,"","",0,0)"),45549.85208333333)</f>
        <v>45549.85208</v>
      </c>
      <c r="C730" s="5">
        <f>IFERROR(__xludf.DUMMYFUNCTION("""COMPUTED_VALUE"""),2699906.0)</f>
        <v>2699906</v>
      </c>
      <c r="D730" s="2" t="str">
        <f>IFERROR(__xludf.DUMMYFUNCTION("""COMPUTED_VALUE"""),"Sale")</f>
        <v>Sale</v>
      </c>
      <c r="E730" s="2" t="str">
        <f>IFERROR(__xludf.DUMMYFUNCTION("""COMPUTED_VALUE"""),"Minuman")</f>
        <v>Minuman</v>
      </c>
      <c r="F730" s="2">
        <f>IFERROR(__xludf.DUMMYFUNCTION("""COMPUTED_VALUE"""),10128.0)</f>
        <v>10128</v>
      </c>
      <c r="G730" s="2" t="str">
        <f>IFERROR(__xludf.DUMMYFUNCTION("""COMPUTED_VALUE"""),"Es Kopi Susu")</f>
        <v>Es Kopi Susu</v>
      </c>
      <c r="H730" s="2"/>
      <c r="I730" s="2"/>
      <c r="J730" s="2">
        <f>IFERROR(__xludf.DUMMYFUNCTION("""COMPUTED_VALUE"""),1.0)</f>
        <v>1</v>
      </c>
      <c r="K730" s="6">
        <f>IFERROR(__xludf.DUMMYFUNCTION("""COMPUTED_VALUE"""),23333.0)</f>
        <v>23333</v>
      </c>
      <c r="L730" s="2">
        <f>IFERROR(__xludf.DUMMYFUNCTION("""COMPUTED_VALUE"""),0.0)</f>
        <v>0</v>
      </c>
      <c r="M730" s="2">
        <f>IFERROR(__xludf.DUMMYFUNCTION("""COMPUTED_VALUE"""),23333.0)</f>
        <v>23333</v>
      </c>
      <c r="N730" s="2">
        <f>IFERROR(__xludf.DUMMYFUNCTION("""COMPUTED_VALUE"""),0.0)</f>
        <v>0</v>
      </c>
      <c r="O730" s="2">
        <f>IFERROR(__xludf.DUMMYFUNCTION("""COMPUTED_VALUE"""),23333.0)</f>
        <v>23333</v>
      </c>
      <c r="P730" s="2">
        <f>IFERROR(__xludf.DUMMYFUNCTION("""COMPUTED_VALUE"""),1167.0)</f>
        <v>1167</v>
      </c>
      <c r="Q730" s="2" t="str">
        <f>IFERROR(__xludf.DUMMYFUNCTION("""COMPUTED_VALUE"""),"Dine In")</f>
        <v>Dine In</v>
      </c>
      <c r="R730" s="2" t="str">
        <f>IFERROR(__xludf.DUMMYFUNCTION("""COMPUTED_VALUE"""),"Kedai")</f>
        <v>Kedai</v>
      </c>
      <c r="S730" s="2" t="str">
        <f>IFERROR(__xludf.DUMMYFUNCTION("""COMPUTED_VALUE"""),"Temu Roti")</f>
        <v>Temu Roti</v>
      </c>
      <c r="T730" s="2" t="str">
        <f>IFERROR(__xludf.DUMMYFUNCTION("""COMPUTED_VALUE"""),"Owner")</f>
        <v>Owner</v>
      </c>
      <c r="U730" s="2"/>
      <c r="V730" s="2"/>
      <c r="W730" s="2"/>
      <c r="X730" s="2" t="str">
        <f>IFERROR(__xludf.DUMMYFUNCTION("""COMPUTED_VALUE"""),"Closed")</f>
        <v>Closed</v>
      </c>
    </row>
    <row r="731">
      <c r="A731" s="3" t="s">
        <v>747</v>
      </c>
      <c r="B731" s="4">
        <f>IFERROR(__xludf.DUMMYFUNCTION("SPLIT(A731,"","",0,0)"),45549.85208333333)</f>
        <v>45549.85208</v>
      </c>
      <c r="C731" s="5">
        <f>IFERROR(__xludf.DUMMYFUNCTION("""COMPUTED_VALUE"""),2699906.0)</f>
        <v>2699906</v>
      </c>
      <c r="D731" s="2" t="str">
        <f>IFERROR(__xludf.DUMMYFUNCTION("""COMPUTED_VALUE"""),"Sale")</f>
        <v>Sale</v>
      </c>
      <c r="E731" s="2" t="str">
        <f>IFERROR(__xludf.DUMMYFUNCTION("""COMPUTED_VALUE"""),"Kudapan")</f>
        <v>Kudapan</v>
      </c>
      <c r="F731" s="2">
        <f>IFERROR(__xludf.DUMMYFUNCTION("""COMPUTED_VALUE"""),10011.0)</f>
        <v>10011</v>
      </c>
      <c r="G731" s="2" t="str">
        <f>IFERROR(__xludf.DUMMYFUNCTION("""COMPUTED_VALUE"""),"Kentang Goreng")</f>
        <v>Kentang Goreng</v>
      </c>
      <c r="H731" s="2"/>
      <c r="I731" s="2"/>
      <c r="J731" s="2">
        <f>IFERROR(__xludf.DUMMYFUNCTION("""COMPUTED_VALUE"""),1.0)</f>
        <v>1</v>
      </c>
      <c r="K731" s="6">
        <f>IFERROR(__xludf.DUMMYFUNCTION("""COMPUTED_VALUE"""),25238.0)</f>
        <v>25238</v>
      </c>
      <c r="L731" s="2">
        <f>IFERROR(__xludf.DUMMYFUNCTION("""COMPUTED_VALUE"""),0.0)</f>
        <v>0</v>
      </c>
      <c r="M731" s="2">
        <f>IFERROR(__xludf.DUMMYFUNCTION("""COMPUTED_VALUE"""),25238.0)</f>
        <v>25238</v>
      </c>
      <c r="N731" s="2">
        <f>IFERROR(__xludf.DUMMYFUNCTION("""COMPUTED_VALUE"""),0.0)</f>
        <v>0</v>
      </c>
      <c r="O731" s="2">
        <f>IFERROR(__xludf.DUMMYFUNCTION("""COMPUTED_VALUE"""),25238.0)</f>
        <v>25238</v>
      </c>
      <c r="P731" s="2">
        <f>IFERROR(__xludf.DUMMYFUNCTION("""COMPUTED_VALUE"""),1262.0)</f>
        <v>1262</v>
      </c>
      <c r="Q731" s="2" t="str">
        <f>IFERROR(__xludf.DUMMYFUNCTION("""COMPUTED_VALUE"""),"Dine In")</f>
        <v>Dine In</v>
      </c>
      <c r="R731" s="2" t="str">
        <f>IFERROR(__xludf.DUMMYFUNCTION("""COMPUTED_VALUE"""),"Kedai")</f>
        <v>Kedai</v>
      </c>
      <c r="S731" s="2" t="str">
        <f>IFERROR(__xludf.DUMMYFUNCTION("""COMPUTED_VALUE"""),"Temu Roti")</f>
        <v>Temu Roti</v>
      </c>
      <c r="T731" s="2" t="str">
        <f>IFERROR(__xludf.DUMMYFUNCTION("""COMPUTED_VALUE"""),"Owner")</f>
        <v>Owner</v>
      </c>
      <c r="U731" s="2"/>
      <c r="V731" s="2"/>
      <c r="W731" s="2"/>
      <c r="X731" s="2" t="str">
        <f>IFERROR(__xludf.DUMMYFUNCTION("""COMPUTED_VALUE"""),"Closed")</f>
        <v>Closed</v>
      </c>
    </row>
    <row r="732">
      <c r="A732" s="3" t="s">
        <v>748</v>
      </c>
      <c r="B732" s="4">
        <f>IFERROR(__xludf.DUMMYFUNCTION("SPLIT(A732,"","",0,0)"),45549.85208333333)</f>
        <v>45549.85208</v>
      </c>
      <c r="C732" s="5">
        <f>IFERROR(__xludf.DUMMYFUNCTION("""COMPUTED_VALUE"""),2699906.0)</f>
        <v>2699906</v>
      </c>
      <c r="D732" s="2" t="str">
        <f>IFERROR(__xludf.DUMMYFUNCTION("""COMPUTED_VALUE"""),"Sale")</f>
        <v>Sale</v>
      </c>
      <c r="E732" s="2" t="str">
        <f>IFERROR(__xludf.DUMMYFUNCTION("""COMPUTED_VALUE"""),"Minuman")</f>
        <v>Minuman</v>
      </c>
      <c r="F732" s="2">
        <f>IFERROR(__xludf.DUMMYFUNCTION("""COMPUTED_VALUE"""),10107.0)</f>
        <v>10107</v>
      </c>
      <c r="G732" s="2" t="str">
        <f>IFERROR(__xludf.DUMMYFUNCTION("""COMPUTED_VALUE"""),"Korean Mango Fresh Milk")</f>
        <v>Korean Mango Fresh Milk</v>
      </c>
      <c r="H732" s="2"/>
      <c r="I732" s="2"/>
      <c r="J732" s="2">
        <f>IFERROR(__xludf.DUMMYFUNCTION("""COMPUTED_VALUE"""),1.0)</f>
        <v>1</v>
      </c>
      <c r="K732" s="6">
        <f>IFERROR(__xludf.DUMMYFUNCTION("""COMPUTED_VALUE"""),26667.0)</f>
        <v>26667</v>
      </c>
      <c r="L732" s="2">
        <f>IFERROR(__xludf.DUMMYFUNCTION("""COMPUTED_VALUE"""),0.0)</f>
        <v>0</v>
      </c>
      <c r="M732" s="2">
        <f>IFERROR(__xludf.DUMMYFUNCTION("""COMPUTED_VALUE"""),26667.0)</f>
        <v>26667</v>
      </c>
      <c r="N732" s="2">
        <f>IFERROR(__xludf.DUMMYFUNCTION("""COMPUTED_VALUE"""),0.0)</f>
        <v>0</v>
      </c>
      <c r="O732" s="2">
        <f>IFERROR(__xludf.DUMMYFUNCTION("""COMPUTED_VALUE"""),26667.0)</f>
        <v>26667</v>
      </c>
      <c r="P732" s="2">
        <f>IFERROR(__xludf.DUMMYFUNCTION("""COMPUTED_VALUE"""),1333.0)</f>
        <v>1333</v>
      </c>
      <c r="Q732" s="2" t="str">
        <f>IFERROR(__xludf.DUMMYFUNCTION("""COMPUTED_VALUE"""),"Dine In")</f>
        <v>Dine In</v>
      </c>
      <c r="R732" s="2" t="str">
        <f>IFERROR(__xludf.DUMMYFUNCTION("""COMPUTED_VALUE"""),"Kedai")</f>
        <v>Kedai</v>
      </c>
      <c r="S732" s="2" t="str">
        <f>IFERROR(__xludf.DUMMYFUNCTION("""COMPUTED_VALUE"""),"Temu Roti")</f>
        <v>Temu Roti</v>
      </c>
      <c r="T732" s="2" t="str">
        <f>IFERROR(__xludf.DUMMYFUNCTION("""COMPUTED_VALUE"""),"Owner")</f>
        <v>Owner</v>
      </c>
      <c r="U732" s="2"/>
      <c r="V732" s="2"/>
      <c r="W732" s="2"/>
      <c r="X732" s="2" t="str">
        <f>IFERROR(__xludf.DUMMYFUNCTION("""COMPUTED_VALUE"""),"Closed")</f>
        <v>Closed</v>
      </c>
    </row>
    <row r="733">
      <c r="A733" s="3" t="s">
        <v>749</v>
      </c>
      <c r="B733" s="4">
        <f>IFERROR(__xludf.DUMMYFUNCTION("SPLIT(A733,"","",0,0)"),45549.80486111111)</f>
        <v>45549.80486</v>
      </c>
      <c r="C733" s="5">
        <f>IFERROR(__xludf.DUMMYFUNCTION("""COMPUTED_VALUE"""),2699541.0)</f>
        <v>2699541</v>
      </c>
      <c r="D733" s="2" t="str">
        <f>IFERROR(__xludf.DUMMYFUNCTION("""COMPUTED_VALUE"""),"Sale")</f>
        <v>Sale</v>
      </c>
      <c r="E733" s="2" t="str">
        <f>IFERROR(__xludf.DUMMYFUNCTION("""COMPUTED_VALUE"""),"Roti")</f>
        <v>Roti</v>
      </c>
      <c r="F733" s="2">
        <f>IFERROR(__xludf.DUMMYFUNCTION("""COMPUTED_VALUE"""),10054.0)</f>
        <v>10054</v>
      </c>
      <c r="G733" s="2" t="str">
        <f>IFERROR(__xludf.DUMMYFUNCTION("""COMPUTED_VALUE"""),"Roti toast eskrim")</f>
        <v>Roti toast eskrim</v>
      </c>
      <c r="H733" s="2"/>
      <c r="I733" s="2"/>
      <c r="J733" s="2">
        <f>IFERROR(__xludf.DUMMYFUNCTION("""COMPUTED_VALUE"""),1.0)</f>
        <v>1</v>
      </c>
      <c r="K733" s="6">
        <f>IFERROR(__xludf.DUMMYFUNCTION("""COMPUTED_VALUE"""),25238.0)</f>
        <v>25238</v>
      </c>
      <c r="L733" s="2">
        <f>IFERROR(__xludf.DUMMYFUNCTION("""COMPUTED_VALUE"""),0.0)</f>
        <v>0</v>
      </c>
      <c r="M733" s="2">
        <f>IFERROR(__xludf.DUMMYFUNCTION("""COMPUTED_VALUE"""),25238.0)</f>
        <v>25238</v>
      </c>
      <c r="N733" s="2">
        <f>IFERROR(__xludf.DUMMYFUNCTION("""COMPUTED_VALUE"""),0.0)</f>
        <v>0</v>
      </c>
      <c r="O733" s="2">
        <f>IFERROR(__xludf.DUMMYFUNCTION("""COMPUTED_VALUE"""),25238.0)</f>
        <v>25238</v>
      </c>
      <c r="P733" s="2">
        <f>IFERROR(__xludf.DUMMYFUNCTION("""COMPUTED_VALUE"""),1262.0)</f>
        <v>1262</v>
      </c>
      <c r="Q733" s="2" t="str">
        <f>IFERROR(__xludf.DUMMYFUNCTION("""COMPUTED_VALUE"""),"Dine In")</f>
        <v>Dine In</v>
      </c>
      <c r="R733" s="2" t="str">
        <f>IFERROR(__xludf.DUMMYFUNCTION("""COMPUTED_VALUE"""),"Kedai")</f>
        <v>Kedai</v>
      </c>
      <c r="S733" s="2" t="str">
        <f>IFERROR(__xludf.DUMMYFUNCTION("""COMPUTED_VALUE"""),"Temu Roti")</f>
        <v>Temu Roti</v>
      </c>
      <c r="T733" s="2" t="str">
        <f>IFERROR(__xludf.DUMMYFUNCTION("""COMPUTED_VALUE"""),"Owner")</f>
        <v>Owner</v>
      </c>
      <c r="U733" s="2"/>
      <c r="V733" s="2"/>
      <c r="W733" s="2"/>
      <c r="X733" s="2" t="str">
        <f>IFERROR(__xludf.DUMMYFUNCTION("""COMPUTED_VALUE"""),"Closed")</f>
        <v>Closed</v>
      </c>
    </row>
    <row r="734">
      <c r="A734" s="3" t="s">
        <v>750</v>
      </c>
      <c r="B734" s="4">
        <f>IFERROR(__xludf.DUMMYFUNCTION("SPLIT(A734,"","",0,0)"),45549.78888888889)</f>
        <v>45549.78889</v>
      </c>
      <c r="C734" s="5">
        <f>IFERROR(__xludf.DUMMYFUNCTION("""COMPUTED_VALUE"""),2699176.0)</f>
        <v>2699176</v>
      </c>
      <c r="D734" s="2" t="str">
        <f>IFERROR(__xludf.DUMMYFUNCTION("""COMPUTED_VALUE"""),"Sale")</f>
        <v>Sale</v>
      </c>
      <c r="E734" s="2" t="str">
        <f>IFERROR(__xludf.DUMMYFUNCTION("""COMPUTED_VALUE"""),"Minuman")</f>
        <v>Minuman</v>
      </c>
      <c r="F734" s="2">
        <f>IFERROR(__xludf.DUMMYFUNCTION("""COMPUTED_VALUE"""),10112.0)</f>
        <v>10112</v>
      </c>
      <c r="G734" s="2" t="str">
        <f>IFERROR(__xludf.DUMMYFUNCTION("""COMPUTED_VALUE"""),"Air mineral")</f>
        <v>Air mineral</v>
      </c>
      <c r="H734" s="2"/>
      <c r="I734" s="2"/>
      <c r="J734" s="2">
        <f>IFERROR(__xludf.DUMMYFUNCTION("""COMPUTED_VALUE"""),1.0)</f>
        <v>1</v>
      </c>
      <c r="K734" s="6">
        <f>IFERROR(__xludf.DUMMYFUNCTION("""COMPUTED_VALUE"""),6667.0)</f>
        <v>6667</v>
      </c>
      <c r="L734" s="2">
        <f>IFERROR(__xludf.DUMMYFUNCTION("""COMPUTED_VALUE"""),0.0)</f>
        <v>0</v>
      </c>
      <c r="M734" s="2">
        <f>IFERROR(__xludf.DUMMYFUNCTION("""COMPUTED_VALUE"""),6667.0)</f>
        <v>6667</v>
      </c>
      <c r="N734" s="2">
        <f>IFERROR(__xludf.DUMMYFUNCTION("""COMPUTED_VALUE"""),0.0)</f>
        <v>0</v>
      </c>
      <c r="O734" s="2">
        <f>IFERROR(__xludf.DUMMYFUNCTION("""COMPUTED_VALUE"""),6667.0)</f>
        <v>6667</v>
      </c>
      <c r="P734" s="2">
        <f>IFERROR(__xludf.DUMMYFUNCTION("""COMPUTED_VALUE"""),333.0)</f>
        <v>333</v>
      </c>
      <c r="Q734" s="2" t="str">
        <f>IFERROR(__xludf.DUMMYFUNCTION("""COMPUTED_VALUE"""),"Dine In")</f>
        <v>Dine In</v>
      </c>
      <c r="R734" s="2" t="str">
        <f>IFERROR(__xludf.DUMMYFUNCTION("""COMPUTED_VALUE"""),"Kedai")</f>
        <v>Kedai</v>
      </c>
      <c r="S734" s="2" t="str">
        <f>IFERROR(__xludf.DUMMYFUNCTION("""COMPUTED_VALUE"""),"Temu Roti")</f>
        <v>Temu Roti</v>
      </c>
      <c r="T734" s="2" t="str">
        <f>IFERROR(__xludf.DUMMYFUNCTION("""COMPUTED_VALUE"""),"Owner")</f>
        <v>Owner</v>
      </c>
      <c r="U734" s="2"/>
      <c r="V734" s="2"/>
      <c r="W734" s="2"/>
      <c r="X734" s="2" t="str">
        <f>IFERROR(__xludf.DUMMYFUNCTION("""COMPUTED_VALUE"""),"Closed")</f>
        <v>Closed</v>
      </c>
    </row>
    <row r="735">
      <c r="A735" s="3" t="s">
        <v>751</v>
      </c>
      <c r="B735" s="4">
        <f>IFERROR(__xludf.DUMMYFUNCTION("SPLIT(A735,"","",0,0)"),45549.76597222222)</f>
        <v>45549.76597</v>
      </c>
      <c r="C735" s="5">
        <f>IFERROR(__xludf.DUMMYFUNCTION("""COMPUTED_VALUE"""),2698811.0)</f>
        <v>2698811</v>
      </c>
      <c r="D735" s="2" t="str">
        <f>IFERROR(__xludf.DUMMYFUNCTION("""COMPUTED_VALUE"""),"Sale")</f>
        <v>Sale</v>
      </c>
      <c r="E735" s="2" t="str">
        <f>IFERROR(__xludf.DUMMYFUNCTION("""COMPUTED_VALUE"""),"Kudapan")</f>
        <v>Kudapan</v>
      </c>
      <c r="F735" s="2">
        <f>IFERROR(__xludf.DUMMYFUNCTION("""COMPUTED_VALUE"""),10010.0)</f>
        <v>10010</v>
      </c>
      <c r="G735" s="2" t="str">
        <f>IFERROR(__xludf.DUMMYFUNCTION("""COMPUTED_VALUE"""),"Pisang Goreng")</f>
        <v>Pisang Goreng</v>
      </c>
      <c r="H735" s="2"/>
      <c r="I735" s="2"/>
      <c r="J735" s="2">
        <f>IFERROR(__xludf.DUMMYFUNCTION("""COMPUTED_VALUE"""),1.0)</f>
        <v>1</v>
      </c>
      <c r="K735" s="6">
        <f>IFERROR(__xludf.DUMMYFUNCTION("""COMPUTED_VALUE"""),25238.0)</f>
        <v>25238</v>
      </c>
      <c r="L735" s="2">
        <f>IFERROR(__xludf.DUMMYFUNCTION("""COMPUTED_VALUE"""),0.0)</f>
        <v>0</v>
      </c>
      <c r="M735" s="2">
        <f>IFERROR(__xludf.DUMMYFUNCTION("""COMPUTED_VALUE"""),25238.0)</f>
        <v>25238</v>
      </c>
      <c r="N735" s="2">
        <f>IFERROR(__xludf.DUMMYFUNCTION("""COMPUTED_VALUE"""),0.0)</f>
        <v>0</v>
      </c>
      <c r="O735" s="2">
        <f>IFERROR(__xludf.DUMMYFUNCTION("""COMPUTED_VALUE"""),25238.0)</f>
        <v>25238</v>
      </c>
      <c r="P735" s="2">
        <f>IFERROR(__xludf.DUMMYFUNCTION("""COMPUTED_VALUE"""),1262.0)</f>
        <v>1262</v>
      </c>
      <c r="Q735" s="2" t="str">
        <f>IFERROR(__xludf.DUMMYFUNCTION("""COMPUTED_VALUE"""),"Dine In")</f>
        <v>Dine In</v>
      </c>
      <c r="R735" s="2" t="str">
        <f>IFERROR(__xludf.DUMMYFUNCTION("""COMPUTED_VALUE"""),"Kedai")</f>
        <v>Kedai</v>
      </c>
      <c r="S735" s="2" t="str">
        <f>IFERROR(__xludf.DUMMYFUNCTION("""COMPUTED_VALUE"""),"Temu Roti")</f>
        <v>Temu Roti</v>
      </c>
      <c r="T735" s="2" t="str">
        <f>IFERROR(__xludf.DUMMYFUNCTION("""COMPUTED_VALUE"""),"Owner")</f>
        <v>Owner</v>
      </c>
      <c r="U735" s="2"/>
      <c r="V735" s="2"/>
      <c r="W735" s="2"/>
      <c r="X735" s="2" t="str">
        <f>IFERROR(__xludf.DUMMYFUNCTION("""COMPUTED_VALUE"""),"Closed")</f>
        <v>Closed</v>
      </c>
    </row>
    <row r="736">
      <c r="A736" s="3" t="s">
        <v>752</v>
      </c>
      <c r="B736" s="4">
        <f>IFERROR(__xludf.DUMMYFUNCTION("SPLIT(A736,"","",0,0)"),45549.76597222222)</f>
        <v>45549.76597</v>
      </c>
      <c r="C736" s="5">
        <f>IFERROR(__xludf.DUMMYFUNCTION("""COMPUTED_VALUE"""),2698811.0)</f>
        <v>2698811</v>
      </c>
      <c r="D736" s="2" t="str">
        <f>IFERROR(__xludf.DUMMYFUNCTION("""COMPUTED_VALUE"""),"Sale")</f>
        <v>Sale</v>
      </c>
      <c r="E736" s="2" t="str">
        <f>IFERROR(__xludf.DUMMYFUNCTION("""COMPUTED_VALUE"""),"Roti")</f>
        <v>Roti</v>
      </c>
      <c r="F736" s="2">
        <f>IFERROR(__xludf.DUMMYFUNCTION("""COMPUTED_VALUE"""),10000.0)</f>
        <v>10000</v>
      </c>
      <c r="G736" s="2" t="str">
        <f>IFERROR(__xludf.DUMMYFUNCTION("""COMPUTED_VALUE"""),"Roti Bawang Saus Keju")</f>
        <v>Roti Bawang Saus Keju</v>
      </c>
      <c r="H736" s="2"/>
      <c r="I736" s="2"/>
      <c r="J736" s="2">
        <f>IFERROR(__xludf.DUMMYFUNCTION("""COMPUTED_VALUE"""),1.0)</f>
        <v>1</v>
      </c>
      <c r="K736" s="6">
        <f>IFERROR(__xludf.DUMMYFUNCTION("""COMPUTED_VALUE"""),29524.0)</f>
        <v>29524</v>
      </c>
      <c r="L736" s="2">
        <f>IFERROR(__xludf.DUMMYFUNCTION("""COMPUTED_VALUE"""),0.0)</f>
        <v>0</v>
      </c>
      <c r="M736" s="2">
        <f>IFERROR(__xludf.DUMMYFUNCTION("""COMPUTED_VALUE"""),29524.0)</f>
        <v>29524</v>
      </c>
      <c r="N736" s="2">
        <f>IFERROR(__xludf.DUMMYFUNCTION("""COMPUTED_VALUE"""),0.0)</f>
        <v>0</v>
      </c>
      <c r="O736" s="2">
        <f>IFERROR(__xludf.DUMMYFUNCTION("""COMPUTED_VALUE"""),29524.0)</f>
        <v>29524</v>
      </c>
      <c r="P736" s="2">
        <f>IFERROR(__xludf.DUMMYFUNCTION("""COMPUTED_VALUE"""),1476.0)</f>
        <v>1476</v>
      </c>
      <c r="Q736" s="2" t="str">
        <f>IFERROR(__xludf.DUMMYFUNCTION("""COMPUTED_VALUE"""),"Dine In")</f>
        <v>Dine In</v>
      </c>
      <c r="R736" s="2" t="str">
        <f>IFERROR(__xludf.DUMMYFUNCTION("""COMPUTED_VALUE"""),"Kedai")</f>
        <v>Kedai</v>
      </c>
      <c r="S736" s="2" t="str">
        <f>IFERROR(__xludf.DUMMYFUNCTION("""COMPUTED_VALUE"""),"Temu Roti")</f>
        <v>Temu Roti</v>
      </c>
      <c r="T736" s="2" t="str">
        <f>IFERROR(__xludf.DUMMYFUNCTION("""COMPUTED_VALUE"""),"Owner")</f>
        <v>Owner</v>
      </c>
      <c r="U736" s="2"/>
      <c r="V736" s="2"/>
      <c r="W736" s="2"/>
      <c r="X736" s="2" t="str">
        <f>IFERROR(__xludf.DUMMYFUNCTION("""COMPUTED_VALUE"""),"Closed")</f>
        <v>Closed</v>
      </c>
    </row>
    <row r="737">
      <c r="A737" s="3" t="s">
        <v>753</v>
      </c>
      <c r="B737" s="4">
        <f>IFERROR(__xludf.DUMMYFUNCTION("SPLIT(A737,"","",0,0)"),45549.76597222222)</f>
        <v>45549.76597</v>
      </c>
      <c r="C737" s="5">
        <f>IFERROR(__xludf.DUMMYFUNCTION("""COMPUTED_VALUE"""),2698811.0)</f>
        <v>2698811</v>
      </c>
      <c r="D737" s="2" t="str">
        <f>IFERROR(__xludf.DUMMYFUNCTION("""COMPUTED_VALUE"""),"Sale")</f>
        <v>Sale</v>
      </c>
      <c r="E737" s="2" t="str">
        <f>IFERROR(__xludf.DUMMYFUNCTION("""COMPUTED_VALUE"""),"Minuman")</f>
        <v>Minuman</v>
      </c>
      <c r="F737" s="2">
        <f>IFERROR(__xludf.DUMMYFUNCTION("""COMPUTED_VALUE"""),10128.0)</f>
        <v>10128</v>
      </c>
      <c r="G737" s="2" t="str">
        <f>IFERROR(__xludf.DUMMYFUNCTION("""COMPUTED_VALUE"""),"Es Kopi Susu")</f>
        <v>Es Kopi Susu</v>
      </c>
      <c r="H737" s="2"/>
      <c r="I737" s="2"/>
      <c r="J737" s="2">
        <f>IFERROR(__xludf.DUMMYFUNCTION("""COMPUTED_VALUE"""),1.0)</f>
        <v>1</v>
      </c>
      <c r="K737" s="6">
        <f>IFERROR(__xludf.DUMMYFUNCTION("""COMPUTED_VALUE"""),23333.0)</f>
        <v>23333</v>
      </c>
      <c r="L737" s="2">
        <f>IFERROR(__xludf.DUMMYFUNCTION("""COMPUTED_VALUE"""),0.0)</f>
        <v>0</v>
      </c>
      <c r="M737" s="2">
        <f>IFERROR(__xludf.DUMMYFUNCTION("""COMPUTED_VALUE"""),23333.0)</f>
        <v>23333</v>
      </c>
      <c r="N737" s="2">
        <f>IFERROR(__xludf.DUMMYFUNCTION("""COMPUTED_VALUE"""),0.0)</f>
        <v>0</v>
      </c>
      <c r="O737" s="2">
        <f>IFERROR(__xludf.DUMMYFUNCTION("""COMPUTED_VALUE"""),23333.0)</f>
        <v>23333</v>
      </c>
      <c r="P737" s="2">
        <f>IFERROR(__xludf.DUMMYFUNCTION("""COMPUTED_VALUE"""),1167.0)</f>
        <v>1167</v>
      </c>
      <c r="Q737" s="2" t="str">
        <f>IFERROR(__xludf.DUMMYFUNCTION("""COMPUTED_VALUE"""),"Dine In")</f>
        <v>Dine In</v>
      </c>
      <c r="R737" s="2" t="str">
        <f>IFERROR(__xludf.DUMMYFUNCTION("""COMPUTED_VALUE"""),"Kedai")</f>
        <v>Kedai</v>
      </c>
      <c r="S737" s="2" t="str">
        <f>IFERROR(__xludf.DUMMYFUNCTION("""COMPUTED_VALUE"""),"Temu Roti")</f>
        <v>Temu Roti</v>
      </c>
      <c r="T737" s="2" t="str">
        <f>IFERROR(__xludf.DUMMYFUNCTION("""COMPUTED_VALUE"""),"Owner")</f>
        <v>Owner</v>
      </c>
      <c r="U737" s="2"/>
      <c r="V737" s="2"/>
      <c r="W737" s="2"/>
      <c r="X737" s="2" t="str">
        <f>IFERROR(__xludf.DUMMYFUNCTION("""COMPUTED_VALUE"""),"Closed")</f>
        <v>Closed</v>
      </c>
    </row>
    <row r="738">
      <c r="A738" s="3" t="s">
        <v>754</v>
      </c>
      <c r="B738" s="4">
        <f>IFERROR(__xludf.DUMMYFUNCTION("SPLIT(A738,"","",0,0)"),45549.76597222222)</f>
        <v>45549.76597</v>
      </c>
      <c r="C738" s="5">
        <f>IFERROR(__xludf.DUMMYFUNCTION("""COMPUTED_VALUE"""),2698811.0)</f>
        <v>2698811</v>
      </c>
      <c r="D738" s="2" t="str">
        <f>IFERROR(__xludf.DUMMYFUNCTION("""COMPUTED_VALUE"""),"Sale")</f>
        <v>Sale</v>
      </c>
      <c r="E738" s="2" t="str">
        <f>IFERROR(__xludf.DUMMYFUNCTION("""COMPUTED_VALUE"""),"Minuman")</f>
        <v>Minuman</v>
      </c>
      <c r="F738" s="2">
        <f>IFERROR(__xludf.DUMMYFUNCTION("""COMPUTED_VALUE"""),10119.0)</f>
        <v>10119</v>
      </c>
      <c r="G738" s="2" t="str">
        <f>IFERROR(__xludf.DUMMYFUNCTION("""COMPUTED_VALUE"""),"Teh Tawar Dingin")</f>
        <v>Teh Tawar Dingin</v>
      </c>
      <c r="H738" s="2"/>
      <c r="I738" s="2"/>
      <c r="J738" s="2">
        <f>IFERROR(__xludf.DUMMYFUNCTION("""COMPUTED_VALUE"""),1.0)</f>
        <v>1</v>
      </c>
      <c r="K738" s="6">
        <f>IFERROR(__xludf.DUMMYFUNCTION("""COMPUTED_VALUE"""),7143.0)</f>
        <v>7143</v>
      </c>
      <c r="L738" s="2">
        <f>IFERROR(__xludf.DUMMYFUNCTION("""COMPUTED_VALUE"""),0.0)</f>
        <v>0</v>
      </c>
      <c r="M738" s="2">
        <f>IFERROR(__xludf.DUMMYFUNCTION("""COMPUTED_VALUE"""),7143.0)</f>
        <v>7143</v>
      </c>
      <c r="N738" s="2">
        <f>IFERROR(__xludf.DUMMYFUNCTION("""COMPUTED_VALUE"""),0.0)</f>
        <v>0</v>
      </c>
      <c r="O738" s="2">
        <f>IFERROR(__xludf.DUMMYFUNCTION("""COMPUTED_VALUE"""),7143.0)</f>
        <v>7143</v>
      </c>
      <c r="P738" s="2">
        <f>IFERROR(__xludf.DUMMYFUNCTION("""COMPUTED_VALUE"""),357.0)</f>
        <v>357</v>
      </c>
      <c r="Q738" s="2" t="str">
        <f>IFERROR(__xludf.DUMMYFUNCTION("""COMPUTED_VALUE"""),"Dine In")</f>
        <v>Dine In</v>
      </c>
      <c r="R738" s="2" t="str">
        <f>IFERROR(__xludf.DUMMYFUNCTION("""COMPUTED_VALUE"""),"Kedai")</f>
        <v>Kedai</v>
      </c>
      <c r="S738" s="2" t="str">
        <f>IFERROR(__xludf.DUMMYFUNCTION("""COMPUTED_VALUE"""),"Temu Roti")</f>
        <v>Temu Roti</v>
      </c>
      <c r="T738" s="2" t="str">
        <f>IFERROR(__xludf.DUMMYFUNCTION("""COMPUTED_VALUE"""),"Owner")</f>
        <v>Owner</v>
      </c>
      <c r="U738" s="2"/>
      <c r="V738" s="2"/>
      <c r="W738" s="2"/>
      <c r="X738" s="2" t="str">
        <f>IFERROR(__xludf.DUMMYFUNCTION("""COMPUTED_VALUE"""),"Closed")</f>
        <v>Closed</v>
      </c>
    </row>
    <row r="739">
      <c r="A739" s="3" t="s">
        <v>755</v>
      </c>
      <c r="B739" s="4">
        <f>IFERROR(__xludf.DUMMYFUNCTION("SPLIT(A739,"","",0,0)"),45549.75)</f>
        <v>45549.75</v>
      </c>
      <c r="C739" s="5">
        <f>IFERROR(__xludf.DUMMYFUNCTION("""COMPUTED_VALUE"""),2698445.0)</f>
        <v>2698445</v>
      </c>
      <c r="D739" s="2" t="str">
        <f>IFERROR(__xludf.DUMMYFUNCTION("""COMPUTED_VALUE"""),"Sale")</f>
        <v>Sale</v>
      </c>
      <c r="E739" s="2" t="str">
        <f>IFERROR(__xludf.DUMMYFUNCTION("""COMPUTED_VALUE"""),"Minuman")</f>
        <v>Minuman</v>
      </c>
      <c r="F739" s="2">
        <f>IFERROR(__xludf.DUMMYFUNCTION("""COMPUTED_VALUE"""),10128.0)</f>
        <v>10128</v>
      </c>
      <c r="G739" s="2" t="str">
        <f>IFERROR(__xludf.DUMMYFUNCTION("""COMPUTED_VALUE"""),"Es Kopi Susu")</f>
        <v>Es Kopi Susu</v>
      </c>
      <c r="H739" s="2"/>
      <c r="I739" s="2"/>
      <c r="J739" s="2">
        <f>IFERROR(__xludf.DUMMYFUNCTION("""COMPUTED_VALUE"""),1.0)</f>
        <v>1</v>
      </c>
      <c r="K739" s="6">
        <f>IFERROR(__xludf.DUMMYFUNCTION("""COMPUTED_VALUE"""),23333.0)</f>
        <v>23333</v>
      </c>
      <c r="L739" s="2">
        <f>IFERROR(__xludf.DUMMYFUNCTION("""COMPUTED_VALUE"""),0.0)</f>
        <v>0</v>
      </c>
      <c r="M739" s="2">
        <f>IFERROR(__xludf.DUMMYFUNCTION("""COMPUTED_VALUE"""),23333.0)</f>
        <v>23333</v>
      </c>
      <c r="N739" s="2">
        <f>IFERROR(__xludf.DUMMYFUNCTION("""COMPUTED_VALUE"""),0.0)</f>
        <v>0</v>
      </c>
      <c r="O739" s="2">
        <f>IFERROR(__xludf.DUMMYFUNCTION("""COMPUTED_VALUE"""),23333.0)</f>
        <v>23333</v>
      </c>
      <c r="P739" s="2">
        <f>IFERROR(__xludf.DUMMYFUNCTION("""COMPUTED_VALUE"""),1167.0)</f>
        <v>1167</v>
      </c>
      <c r="Q739" s="2" t="str">
        <f>IFERROR(__xludf.DUMMYFUNCTION("""COMPUTED_VALUE"""),"Dine In")</f>
        <v>Dine In</v>
      </c>
      <c r="R739" s="2" t="str">
        <f>IFERROR(__xludf.DUMMYFUNCTION("""COMPUTED_VALUE"""),"Kedai")</f>
        <v>Kedai</v>
      </c>
      <c r="S739" s="2" t="str">
        <f>IFERROR(__xludf.DUMMYFUNCTION("""COMPUTED_VALUE"""),"Temu Roti")</f>
        <v>Temu Roti</v>
      </c>
      <c r="T739" s="2" t="str">
        <f>IFERROR(__xludf.DUMMYFUNCTION("""COMPUTED_VALUE"""),"Owner")</f>
        <v>Owner</v>
      </c>
      <c r="U739" s="2"/>
      <c r="V739" s="2"/>
      <c r="W739" s="2"/>
      <c r="X739" s="2" t="str">
        <f>IFERROR(__xludf.DUMMYFUNCTION("""COMPUTED_VALUE"""),"Closed")</f>
        <v>Closed</v>
      </c>
    </row>
    <row r="740">
      <c r="A740" s="3" t="s">
        <v>756</v>
      </c>
      <c r="B740" s="4">
        <f>IFERROR(__xludf.DUMMYFUNCTION("SPLIT(A740,"","",0,0)"),45549.75)</f>
        <v>45549.75</v>
      </c>
      <c r="C740" s="5">
        <f>IFERROR(__xludf.DUMMYFUNCTION("""COMPUTED_VALUE"""),2698445.0)</f>
        <v>2698445</v>
      </c>
      <c r="D740" s="2" t="str">
        <f>IFERROR(__xludf.DUMMYFUNCTION("""COMPUTED_VALUE"""),"Sale")</f>
        <v>Sale</v>
      </c>
      <c r="E740" s="2" t="str">
        <f>IFERROR(__xludf.DUMMYFUNCTION("""COMPUTED_VALUE"""),"Kudapan")</f>
        <v>Kudapan</v>
      </c>
      <c r="F740" s="2">
        <f>IFERROR(__xludf.DUMMYFUNCTION("""COMPUTED_VALUE"""),10009.0)</f>
        <v>10009</v>
      </c>
      <c r="G740" s="2" t="str">
        <f>IFERROR(__xludf.DUMMYFUNCTION("""COMPUTED_VALUE"""),"Jamur Enoki Krispi")</f>
        <v>Jamur Enoki Krispi</v>
      </c>
      <c r="H740" s="2"/>
      <c r="I740" s="2"/>
      <c r="J740" s="2">
        <f>IFERROR(__xludf.DUMMYFUNCTION("""COMPUTED_VALUE"""),1.0)</f>
        <v>1</v>
      </c>
      <c r="K740" s="6">
        <f>IFERROR(__xludf.DUMMYFUNCTION("""COMPUTED_VALUE"""),26667.0)</f>
        <v>26667</v>
      </c>
      <c r="L740" s="2">
        <f>IFERROR(__xludf.DUMMYFUNCTION("""COMPUTED_VALUE"""),0.0)</f>
        <v>0</v>
      </c>
      <c r="M740" s="2">
        <f>IFERROR(__xludf.DUMMYFUNCTION("""COMPUTED_VALUE"""),26667.0)</f>
        <v>26667</v>
      </c>
      <c r="N740" s="2">
        <f>IFERROR(__xludf.DUMMYFUNCTION("""COMPUTED_VALUE"""),0.0)</f>
        <v>0</v>
      </c>
      <c r="O740" s="2">
        <f>IFERROR(__xludf.DUMMYFUNCTION("""COMPUTED_VALUE"""),26667.0)</f>
        <v>26667</v>
      </c>
      <c r="P740" s="2">
        <f>IFERROR(__xludf.DUMMYFUNCTION("""COMPUTED_VALUE"""),1333.0)</f>
        <v>1333</v>
      </c>
      <c r="Q740" s="2" t="str">
        <f>IFERROR(__xludf.DUMMYFUNCTION("""COMPUTED_VALUE"""),"Dine In")</f>
        <v>Dine In</v>
      </c>
      <c r="R740" s="2" t="str">
        <f>IFERROR(__xludf.DUMMYFUNCTION("""COMPUTED_VALUE"""),"Kedai")</f>
        <v>Kedai</v>
      </c>
      <c r="S740" s="2" t="str">
        <f>IFERROR(__xludf.DUMMYFUNCTION("""COMPUTED_VALUE"""),"Temu Roti")</f>
        <v>Temu Roti</v>
      </c>
      <c r="T740" s="2" t="str">
        <f>IFERROR(__xludf.DUMMYFUNCTION("""COMPUTED_VALUE"""),"Owner")</f>
        <v>Owner</v>
      </c>
      <c r="U740" s="2"/>
      <c r="V740" s="2"/>
      <c r="W740" s="2"/>
      <c r="X740" s="2" t="str">
        <f>IFERROR(__xludf.DUMMYFUNCTION("""COMPUTED_VALUE"""),"Closed")</f>
        <v>Closed</v>
      </c>
    </row>
    <row r="741">
      <c r="A741" s="3" t="s">
        <v>757</v>
      </c>
      <c r="B741" s="4">
        <f>IFERROR(__xludf.DUMMYFUNCTION("SPLIT(A741,"","",0,0)"),45549.75)</f>
        <v>45549.75</v>
      </c>
      <c r="C741" s="5">
        <f>IFERROR(__xludf.DUMMYFUNCTION("""COMPUTED_VALUE"""),2698445.0)</f>
        <v>2698445</v>
      </c>
      <c r="D741" s="2" t="str">
        <f>IFERROR(__xludf.DUMMYFUNCTION("""COMPUTED_VALUE"""),"Sale")</f>
        <v>Sale</v>
      </c>
      <c r="E741" s="2" t="str">
        <f>IFERROR(__xludf.DUMMYFUNCTION("""COMPUTED_VALUE"""),"Minuman")</f>
        <v>Minuman</v>
      </c>
      <c r="F741" s="2">
        <f>IFERROR(__xludf.DUMMYFUNCTION("""COMPUTED_VALUE"""),10056.0)</f>
        <v>10056</v>
      </c>
      <c r="G741" s="2" t="str">
        <f>IFERROR(__xludf.DUMMYFUNCTION("""COMPUTED_VALUE"""),"Susu murni moca")</f>
        <v>Susu murni moca</v>
      </c>
      <c r="H741" s="2"/>
      <c r="I741" s="2"/>
      <c r="J741" s="2">
        <f>IFERROR(__xludf.DUMMYFUNCTION("""COMPUTED_VALUE"""),1.0)</f>
        <v>1</v>
      </c>
      <c r="K741" s="6">
        <f>IFERROR(__xludf.DUMMYFUNCTION("""COMPUTED_VALUE"""),19524.0)</f>
        <v>19524</v>
      </c>
      <c r="L741" s="2">
        <f>IFERROR(__xludf.DUMMYFUNCTION("""COMPUTED_VALUE"""),0.0)</f>
        <v>0</v>
      </c>
      <c r="M741" s="2">
        <f>IFERROR(__xludf.DUMMYFUNCTION("""COMPUTED_VALUE"""),19524.0)</f>
        <v>19524</v>
      </c>
      <c r="N741" s="2">
        <f>IFERROR(__xludf.DUMMYFUNCTION("""COMPUTED_VALUE"""),0.0)</f>
        <v>0</v>
      </c>
      <c r="O741" s="2">
        <f>IFERROR(__xludf.DUMMYFUNCTION("""COMPUTED_VALUE"""),19524.0)</f>
        <v>19524</v>
      </c>
      <c r="P741" s="2">
        <f>IFERROR(__xludf.DUMMYFUNCTION("""COMPUTED_VALUE"""),976.0)</f>
        <v>976</v>
      </c>
      <c r="Q741" s="2" t="str">
        <f>IFERROR(__xludf.DUMMYFUNCTION("""COMPUTED_VALUE"""),"Dine In")</f>
        <v>Dine In</v>
      </c>
      <c r="R741" s="2" t="str">
        <f>IFERROR(__xludf.DUMMYFUNCTION("""COMPUTED_VALUE"""),"Kedai")</f>
        <v>Kedai</v>
      </c>
      <c r="S741" s="2" t="str">
        <f>IFERROR(__xludf.DUMMYFUNCTION("""COMPUTED_VALUE"""),"Temu Roti")</f>
        <v>Temu Roti</v>
      </c>
      <c r="T741" s="2" t="str">
        <f>IFERROR(__xludf.DUMMYFUNCTION("""COMPUTED_VALUE"""),"Owner")</f>
        <v>Owner</v>
      </c>
      <c r="U741" s="2"/>
      <c r="V741" s="2"/>
      <c r="W741" s="2"/>
      <c r="X741" s="2" t="str">
        <f>IFERROR(__xludf.DUMMYFUNCTION("""COMPUTED_VALUE"""),"Closed")</f>
        <v>Closed</v>
      </c>
    </row>
    <row r="742">
      <c r="A742" s="3" t="s">
        <v>758</v>
      </c>
      <c r="B742" s="4">
        <f>IFERROR(__xludf.DUMMYFUNCTION("SPLIT(A742,"","",0,0)"),45549.74166666667)</f>
        <v>45549.74167</v>
      </c>
      <c r="C742" s="5">
        <f>IFERROR(__xludf.DUMMYFUNCTION("""COMPUTED_VALUE"""),2698080.0)</f>
        <v>2698080</v>
      </c>
      <c r="D742" s="2" t="str">
        <f>IFERROR(__xludf.DUMMYFUNCTION("""COMPUTED_VALUE"""),"Sale")</f>
        <v>Sale</v>
      </c>
      <c r="E742" s="2" t="str">
        <f>IFERROR(__xludf.DUMMYFUNCTION("""COMPUTED_VALUE"""),"Kudapan")</f>
        <v>Kudapan</v>
      </c>
      <c r="F742" s="2">
        <f>IFERROR(__xludf.DUMMYFUNCTION("""COMPUTED_VALUE"""),10014.0)</f>
        <v>10014</v>
      </c>
      <c r="G742" s="2" t="str">
        <f>IFERROR(__xludf.DUMMYFUNCTION("""COMPUTED_VALUE"""),"Tempe Mendoan")</f>
        <v>Tempe Mendoan</v>
      </c>
      <c r="H742" s="2"/>
      <c r="I742" s="2"/>
      <c r="J742" s="2">
        <f>IFERROR(__xludf.DUMMYFUNCTION("""COMPUTED_VALUE"""),1.0)</f>
        <v>1</v>
      </c>
      <c r="K742" s="6">
        <f>IFERROR(__xludf.DUMMYFUNCTION("""COMPUTED_VALUE"""),25238.0)</f>
        <v>25238</v>
      </c>
      <c r="L742" s="2">
        <f>IFERROR(__xludf.DUMMYFUNCTION("""COMPUTED_VALUE"""),0.0)</f>
        <v>0</v>
      </c>
      <c r="M742" s="2">
        <f>IFERROR(__xludf.DUMMYFUNCTION("""COMPUTED_VALUE"""),25238.0)</f>
        <v>25238</v>
      </c>
      <c r="N742" s="2">
        <f>IFERROR(__xludf.DUMMYFUNCTION("""COMPUTED_VALUE"""),0.0)</f>
        <v>0</v>
      </c>
      <c r="O742" s="2">
        <f>IFERROR(__xludf.DUMMYFUNCTION("""COMPUTED_VALUE"""),25238.0)</f>
        <v>25238</v>
      </c>
      <c r="P742" s="2">
        <f>IFERROR(__xludf.DUMMYFUNCTION("""COMPUTED_VALUE"""),1262.0)</f>
        <v>1262</v>
      </c>
      <c r="Q742" s="2" t="str">
        <f>IFERROR(__xludf.DUMMYFUNCTION("""COMPUTED_VALUE"""),"Dine In")</f>
        <v>Dine In</v>
      </c>
      <c r="R742" s="2" t="str">
        <f>IFERROR(__xludf.DUMMYFUNCTION("""COMPUTED_VALUE"""),"Kedai")</f>
        <v>Kedai</v>
      </c>
      <c r="S742" s="2" t="str">
        <f>IFERROR(__xludf.DUMMYFUNCTION("""COMPUTED_VALUE"""),"Temu Roti")</f>
        <v>Temu Roti</v>
      </c>
      <c r="T742" s="2" t="str">
        <f>IFERROR(__xludf.DUMMYFUNCTION("""COMPUTED_VALUE"""),"Owner")</f>
        <v>Owner</v>
      </c>
      <c r="U742" s="2"/>
      <c r="V742" s="2"/>
      <c r="W742" s="2"/>
      <c r="X742" s="2" t="str">
        <f>IFERROR(__xludf.DUMMYFUNCTION("""COMPUTED_VALUE"""),"Closed")</f>
        <v>Closed</v>
      </c>
    </row>
    <row r="743">
      <c r="A743" s="3" t="s">
        <v>759</v>
      </c>
      <c r="B743" s="4">
        <f>IFERROR(__xludf.DUMMYFUNCTION("SPLIT(A743,"","",0,0)"),45549.71527777778)</f>
        <v>45549.71528</v>
      </c>
      <c r="C743" s="5">
        <f>IFERROR(__xludf.DUMMYFUNCTION("""COMPUTED_VALUE"""),2697715.0)</f>
        <v>2697715</v>
      </c>
      <c r="D743" s="2" t="str">
        <f>IFERROR(__xludf.DUMMYFUNCTION("""COMPUTED_VALUE"""),"Sale")</f>
        <v>Sale</v>
      </c>
      <c r="E743" s="2" t="str">
        <f>IFERROR(__xludf.DUMMYFUNCTION("""COMPUTED_VALUE"""),"Kudapan")</f>
        <v>Kudapan</v>
      </c>
      <c r="F743" s="2">
        <f>IFERROR(__xludf.DUMMYFUNCTION("""COMPUTED_VALUE"""),10010.0)</f>
        <v>10010</v>
      </c>
      <c r="G743" s="2" t="str">
        <f>IFERROR(__xludf.DUMMYFUNCTION("""COMPUTED_VALUE"""),"Pisang Goreng")</f>
        <v>Pisang Goreng</v>
      </c>
      <c r="H743" s="2"/>
      <c r="I743" s="2"/>
      <c r="J743" s="2">
        <f>IFERROR(__xludf.DUMMYFUNCTION("""COMPUTED_VALUE"""),1.0)</f>
        <v>1</v>
      </c>
      <c r="K743" s="6">
        <f>IFERROR(__xludf.DUMMYFUNCTION("""COMPUTED_VALUE"""),25238.0)</f>
        <v>25238</v>
      </c>
      <c r="L743" s="2">
        <f>IFERROR(__xludf.DUMMYFUNCTION("""COMPUTED_VALUE"""),0.0)</f>
        <v>0</v>
      </c>
      <c r="M743" s="2">
        <f>IFERROR(__xludf.DUMMYFUNCTION("""COMPUTED_VALUE"""),25238.0)</f>
        <v>25238</v>
      </c>
      <c r="N743" s="2">
        <f>IFERROR(__xludf.DUMMYFUNCTION("""COMPUTED_VALUE"""),0.0)</f>
        <v>0</v>
      </c>
      <c r="O743" s="2">
        <f>IFERROR(__xludf.DUMMYFUNCTION("""COMPUTED_VALUE"""),25238.0)</f>
        <v>25238</v>
      </c>
      <c r="P743" s="2">
        <f>IFERROR(__xludf.DUMMYFUNCTION("""COMPUTED_VALUE"""),1262.0)</f>
        <v>1262</v>
      </c>
      <c r="Q743" s="2" t="str">
        <f>IFERROR(__xludf.DUMMYFUNCTION("""COMPUTED_VALUE"""),"Dine In")</f>
        <v>Dine In</v>
      </c>
      <c r="R743" s="2" t="str">
        <f>IFERROR(__xludf.DUMMYFUNCTION("""COMPUTED_VALUE"""),"Kedai")</f>
        <v>Kedai</v>
      </c>
      <c r="S743" s="2" t="str">
        <f>IFERROR(__xludf.DUMMYFUNCTION("""COMPUTED_VALUE"""),"Temu Roti")</f>
        <v>Temu Roti</v>
      </c>
      <c r="T743" s="2" t="str">
        <f>IFERROR(__xludf.DUMMYFUNCTION("""COMPUTED_VALUE"""),"Owner")</f>
        <v>Owner</v>
      </c>
      <c r="U743" s="2"/>
      <c r="V743" s="2"/>
      <c r="W743" s="2"/>
      <c r="X743" s="2" t="str">
        <f>IFERROR(__xludf.DUMMYFUNCTION("""COMPUTED_VALUE"""),"Closed")</f>
        <v>Closed</v>
      </c>
    </row>
    <row r="744">
      <c r="A744" s="3" t="s">
        <v>760</v>
      </c>
      <c r="B744" s="4">
        <f>IFERROR(__xludf.DUMMYFUNCTION("SPLIT(A744,"","",0,0)"),45549.71527777778)</f>
        <v>45549.71528</v>
      </c>
      <c r="C744" s="5">
        <f>IFERROR(__xludf.DUMMYFUNCTION("""COMPUTED_VALUE"""),2697715.0)</f>
        <v>2697715</v>
      </c>
      <c r="D744" s="2" t="str">
        <f>IFERROR(__xludf.DUMMYFUNCTION("""COMPUTED_VALUE"""),"Sale")</f>
        <v>Sale</v>
      </c>
      <c r="E744" s="2" t="str">
        <f>IFERROR(__xludf.DUMMYFUNCTION("""COMPUTED_VALUE"""),"Kudapan")</f>
        <v>Kudapan</v>
      </c>
      <c r="F744" s="2">
        <f>IFERROR(__xludf.DUMMYFUNCTION("""COMPUTED_VALUE"""),10051.0)</f>
        <v>10051</v>
      </c>
      <c r="G744" s="2" t="str">
        <f>IFERROR(__xludf.DUMMYFUNCTION("""COMPUTED_VALUE"""),"Tahu baso")</f>
        <v>Tahu baso</v>
      </c>
      <c r="H744" s="2"/>
      <c r="I744" s="2"/>
      <c r="J744" s="2">
        <f>IFERROR(__xludf.DUMMYFUNCTION("""COMPUTED_VALUE"""),1.0)</f>
        <v>1</v>
      </c>
      <c r="K744" s="6">
        <f>IFERROR(__xludf.DUMMYFUNCTION("""COMPUTED_VALUE"""),25238.0)</f>
        <v>25238</v>
      </c>
      <c r="L744" s="2">
        <f>IFERROR(__xludf.DUMMYFUNCTION("""COMPUTED_VALUE"""),0.0)</f>
        <v>0</v>
      </c>
      <c r="M744" s="2">
        <f>IFERROR(__xludf.DUMMYFUNCTION("""COMPUTED_VALUE"""),25238.0)</f>
        <v>25238</v>
      </c>
      <c r="N744" s="2">
        <f>IFERROR(__xludf.DUMMYFUNCTION("""COMPUTED_VALUE"""),0.0)</f>
        <v>0</v>
      </c>
      <c r="O744" s="2">
        <f>IFERROR(__xludf.DUMMYFUNCTION("""COMPUTED_VALUE"""),25238.0)</f>
        <v>25238</v>
      </c>
      <c r="P744" s="2">
        <f>IFERROR(__xludf.DUMMYFUNCTION("""COMPUTED_VALUE"""),1262.0)</f>
        <v>1262</v>
      </c>
      <c r="Q744" s="2" t="str">
        <f>IFERROR(__xludf.DUMMYFUNCTION("""COMPUTED_VALUE"""),"Dine In")</f>
        <v>Dine In</v>
      </c>
      <c r="R744" s="2" t="str">
        <f>IFERROR(__xludf.DUMMYFUNCTION("""COMPUTED_VALUE"""),"Kedai")</f>
        <v>Kedai</v>
      </c>
      <c r="S744" s="2" t="str">
        <f>IFERROR(__xludf.DUMMYFUNCTION("""COMPUTED_VALUE"""),"Temu Roti")</f>
        <v>Temu Roti</v>
      </c>
      <c r="T744" s="2" t="str">
        <f>IFERROR(__xludf.DUMMYFUNCTION("""COMPUTED_VALUE"""),"Owner")</f>
        <v>Owner</v>
      </c>
      <c r="U744" s="2"/>
      <c r="V744" s="2"/>
      <c r="W744" s="2"/>
      <c r="X744" s="2" t="str">
        <f>IFERROR(__xludf.DUMMYFUNCTION("""COMPUTED_VALUE"""),"Closed")</f>
        <v>Closed</v>
      </c>
    </row>
    <row r="745">
      <c r="A745" s="3" t="s">
        <v>761</v>
      </c>
      <c r="B745" s="4">
        <f>IFERROR(__xludf.DUMMYFUNCTION("SPLIT(A745,"","",0,0)"),45549.69652777778)</f>
        <v>45549.69653</v>
      </c>
      <c r="C745" s="5">
        <f>IFERROR(__xludf.DUMMYFUNCTION("""COMPUTED_VALUE"""),2697350.0)</f>
        <v>2697350</v>
      </c>
      <c r="D745" s="2" t="str">
        <f>IFERROR(__xludf.DUMMYFUNCTION("""COMPUTED_VALUE"""),"Sale")</f>
        <v>Sale</v>
      </c>
      <c r="E745" s="2" t="str">
        <f>IFERROR(__xludf.DUMMYFUNCTION("""COMPUTED_VALUE"""),"Kudapan")</f>
        <v>Kudapan</v>
      </c>
      <c r="F745" s="2">
        <f>IFERROR(__xludf.DUMMYFUNCTION("""COMPUTED_VALUE"""),10009.0)</f>
        <v>10009</v>
      </c>
      <c r="G745" s="2" t="str">
        <f>IFERROR(__xludf.DUMMYFUNCTION("""COMPUTED_VALUE"""),"Jamur Enoki Krispi")</f>
        <v>Jamur Enoki Krispi</v>
      </c>
      <c r="H745" s="2"/>
      <c r="I745" s="2"/>
      <c r="J745" s="2">
        <f>IFERROR(__xludf.DUMMYFUNCTION("""COMPUTED_VALUE"""),1.0)</f>
        <v>1</v>
      </c>
      <c r="K745" s="6">
        <f>IFERROR(__xludf.DUMMYFUNCTION("""COMPUTED_VALUE"""),26667.0)</f>
        <v>26667</v>
      </c>
      <c r="L745" s="2">
        <f>IFERROR(__xludf.DUMMYFUNCTION("""COMPUTED_VALUE"""),0.0)</f>
        <v>0</v>
      </c>
      <c r="M745" s="2">
        <f>IFERROR(__xludf.DUMMYFUNCTION("""COMPUTED_VALUE"""),26667.0)</f>
        <v>26667</v>
      </c>
      <c r="N745" s="2">
        <f>IFERROR(__xludf.DUMMYFUNCTION("""COMPUTED_VALUE"""),0.0)</f>
        <v>0</v>
      </c>
      <c r="O745" s="2">
        <f>IFERROR(__xludf.DUMMYFUNCTION("""COMPUTED_VALUE"""),26667.0)</f>
        <v>26667</v>
      </c>
      <c r="P745" s="2">
        <f>IFERROR(__xludf.DUMMYFUNCTION("""COMPUTED_VALUE"""),1333.0)</f>
        <v>1333</v>
      </c>
      <c r="Q745" s="2" t="str">
        <f>IFERROR(__xludf.DUMMYFUNCTION("""COMPUTED_VALUE"""),"Dine In")</f>
        <v>Dine In</v>
      </c>
      <c r="R745" s="2" t="str">
        <f>IFERROR(__xludf.DUMMYFUNCTION("""COMPUTED_VALUE"""),"Kedai")</f>
        <v>Kedai</v>
      </c>
      <c r="S745" s="2" t="str">
        <f>IFERROR(__xludf.DUMMYFUNCTION("""COMPUTED_VALUE"""),"Temu Roti")</f>
        <v>Temu Roti</v>
      </c>
      <c r="T745" s="2" t="str">
        <f>IFERROR(__xludf.DUMMYFUNCTION("""COMPUTED_VALUE"""),"Owner")</f>
        <v>Owner</v>
      </c>
      <c r="U745" s="2"/>
      <c r="V745" s="2"/>
      <c r="W745" s="2"/>
      <c r="X745" s="2" t="str">
        <f>IFERROR(__xludf.DUMMYFUNCTION("""COMPUTED_VALUE"""),"Closed")</f>
        <v>Closed</v>
      </c>
    </row>
    <row r="746">
      <c r="A746" s="3" t="s">
        <v>762</v>
      </c>
      <c r="B746" s="4">
        <f>IFERROR(__xludf.DUMMYFUNCTION("SPLIT(A746,"","",0,0)"),45549.691666666666)</f>
        <v>45549.69167</v>
      </c>
      <c r="C746" s="5">
        <f>IFERROR(__xludf.DUMMYFUNCTION("""COMPUTED_VALUE"""),2696984.0)</f>
        <v>2696984</v>
      </c>
      <c r="D746" s="2" t="str">
        <f>IFERROR(__xludf.DUMMYFUNCTION("""COMPUTED_VALUE"""),"Sale")</f>
        <v>Sale</v>
      </c>
      <c r="E746" s="2" t="str">
        <f>IFERROR(__xludf.DUMMYFUNCTION("""COMPUTED_VALUE"""),"Minuman")</f>
        <v>Minuman</v>
      </c>
      <c r="F746" s="2">
        <f>IFERROR(__xludf.DUMMYFUNCTION("""COMPUTED_VALUE"""),10128.0)</f>
        <v>10128</v>
      </c>
      <c r="G746" s="2" t="str">
        <f>IFERROR(__xludf.DUMMYFUNCTION("""COMPUTED_VALUE"""),"Es Kopi Susu")</f>
        <v>Es Kopi Susu</v>
      </c>
      <c r="H746" s="2"/>
      <c r="I746" s="2"/>
      <c r="J746" s="2">
        <f>IFERROR(__xludf.DUMMYFUNCTION("""COMPUTED_VALUE"""),1.0)</f>
        <v>1</v>
      </c>
      <c r="K746" s="6">
        <f>IFERROR(__xludf.DUMMYFUNCTION("""COMPUTED_VALUE"""),23333.0)</f>
        <v>23333</v>
      </c>
      <c r="L746" s="2">
        <f>IFERROR(__xludf.DUMMYFUNCTION("""COMPUTED_VALUE"""),0.0)</f>
        <v>0</v>
      </c>
      <c r="M746" s="2">
        <f>IFERROR(__xludf.DUMMYFUNCTION("""COMPUTED_VALUE"""),23333.0)</f>
        <v>23333</v>
      </c>
      <c r="N746" s="2">
        <f>IFERROR(__xludf.DUMMYFUNCTION("""COMPUTED_VALUE"""),0.0)</f>
        <v>0</v>
      </c>
      <c r="O746" s="2">
        <f>IFERROR(__xludf.DUMMYFUNCTION("""COMPUTED_VALUE"""),23333.0)</f>
        <v>23333</v>
      </c>
      <c r="P746" s="2">
        <f>IFERROR(__xludf.DUMMYFUNCTION("""COMPUTED_VALUE"""),1167.0)</f>
        <v>1167</v>
      </c>
      <c r="Q746" s="2" t="str">
        <f>IFERROR(__xludf.DUMMYFUNCTION("""COMPUTED_VALUE"""),"Dine In")</f>
        <v>Dine In</v>
      </c>
      <c r="R746" s="2" t="str">
        <f>IFERROR(__xludf.DUMMYFUNCTION("""COMPUTED_VALUE"""),"Kedai")</f>
        <v>Kedai</v>
      </c>
      <c r="S746" s="2" t="str">
        <f>IFERROR(__xludf.DUMMYFUNCTION("""COMPUTED_VALUE"""),"Temu Roti")</f>
        <v>Temu Roti</v>
      </c>
      <c r="T746" s="2" t="str">
        <f>IFERROR(__xludf.DUMMYFUNCTION("""COMPUTED_VALUE"""),"Owner")</f>
        <v>Owner</v>
      </c>
      <c r="U746" s="2"/>
      <c r="V746" s="2"/>
      <c r="W746" s="2"/>
      <c r="X746" s="2" t="str">
        <f>IFERROR(__xludf.DUMMYFUNCTION("""COMPUTED_VALUE"""),"Closed")</f>
        <v>Closed</v>
      </c>
    </row>
    <row r="747">
      <c r="A747" s="3" t="s">
        <v>763</v>
      </c>
      <c r="B747" s="4">
        <f>IFERROR(__xludf.DUMMYFUNCTION("SPLIT(A747,"","",0,0)"),45549.691666666666)</f>
        <v>45549.69167</v>
      </c>
      <c r="C747" s="5">
        <f>IFERROR(__xludf.DUMMYFUNCTION("""COMPUTED_VALUE"""),2696984.0)</f>
        <v>2696984</v>
      </c>
      <c r="D747" s="2" t="str">
        <f>IFERROR(__xludf.DUMMYFUNCTION("""COMPUTED_VALUE"""),"Sale")</f>
        <v>Sale</v>
      </c>
      <c r="E747" s="2" t="str">
        <f>IFERROR(__xludf.DUMMYFUNCTION("""COMPUTED_VALUE"""),"Kudapan")</f>
        <v>Kudapan</v>
      </c>
      <c r="F747" s="2">
        <f>IFERROR(__xludf.DUMMYFUNCTION("""COMPUTED_VALUE"""),10051.0)</f>
        <v>10051</v>
      </c>
      <c r="G747" s="2" t="str">
        <f>IFERROR(__xludf.DUMMYFUNCTION("""COMPUTED_VALUE"""),"Tahu baso")</f>
        <v>Tahu baso</v>
      </c>
      <c r="H747" s="2"/>
      <c r="I747" s="2"/>
      <c r="J747" s="2">
        <f>IFERROR(__xludf.DUMMYFUNCTION("""COMPUTED_VALUE"""),1.0)</f>
        <v>1</v>
      </c>
      <c r="K747" s="6">
        <f>IFERROR(__xludf.DUMMYFUNCTION("""COMPUTED_VALUE"""),25238.0)</f>
        <v>25238</v>
      </c>
      <c r="L747" s="2">
        <f>IFERROR(__xludf.DUMMYFUNCTION("""COMPUTED_VALUE"""),0.0)</f>
        <v>0</v>
      </c>
      <c r="M747" s="2">
        <f>IFERROR(__xludf.DUMMYFUNCTION("""COMPUTED_VALUE"""),25238.0)</f>
        <v>25238</v>
      </c>
      <c r="N747" s="2">
        <f>IFERROR(__xludf.DUMMYFUNCTION("""COMPUTED_VALUE"""),0.0)</f>
        <v>0</v>
      </c>
      <c r="O747" s="2">
        <f>IFERROR(__xludf.DUMMYFUNCTION("""COMPUTED_VALUE"""),25238.0)</f>
        <v>25238</v>
      </c>
      <c r="P747" s="2">
        <f>IFERROR(__xludf.DUMMYFUNCTION("""COMPUTED_VALUE"""),1262.0)</f>
        <v>1262</v>
      </c>
      <c r="Q747" s="2" t="str">
        <f>IFERROR(__xludf.DUMMYFUNCTION("""COMPUTED_VALUE"""),"Dine In")</f>
        <v>Dine In</v>
      </c>
      <c r="R747" s="2" t="str">
        <f>IFERROR(__xludf.DUMMYFUNCTION("""COMPUTED_VALUE"""),"Kedai")</f>
        <v>Kedai</v>
      </c>
      <c r="S747" s="2" t="str">
        <f>IFERROR(__xludf.DUMMYFUNCTION("""COMPUTED_VALUE"""),"Temu Roti")</f>
        <v>Temu Roti</v>
      </c>
      <c r="T747" s="2" t="str">
        <f>IFERROR(__xludf.DUMMYFUNCTION("""COMPUTED_VALUE"""),"Owner")</f>
        <v>Owner</v>
      </c>
      <c r="U747" s="2"/>
      <c r="V747" s="2"/>
      <c r="W747" s="2"/>
      <c r="X747" s="2" t="str">
        <f>IFERROR(__xludf.DUMMYFUNCTION("""COMPUTED_VALUE"""),"Closed")</f>
        <v>Closed</v>
      </c>
    </row>
    <row r="748">
      <c r="A748" s="3" t="s">
        <v>764</v>
      </c>
      <c r="B748" s="4">
        <f>IFERROR(__xludf.DUMMYFUNCTION("SPLIT(A748,"","",0,0)"),45549.69097222222)</f>
        <v>45549.69097</v>
      </c>
      <c r="C748" s="5">
        <f>IFERROR(__xludf.DUMMYFUNCTION("""COMPUTED_VALUE"""),2696619.0)</f>
        <v>2696619</v>
      </c>
      <c r="D748" s="2" t="str">
        <f>IFERROR(__xludf.DUMMYFUNCTION("""COMPUTED_VALUE"""),"Sale")</f>
        <v>Sale</v>
      </c>
      <c r="E748" s="2" t="str">
        <f>IFERROR(__xludf.DUMMYFUNCTION("""COMPUTED_VALUE"""),"Roti")</f>
        <v>Roti</v>
      </c>
      <c r="F748" s="2">
        <f>IFERROR(__xludf.DUMMYFUNCTION("""COMPUTED_VALUE"""),10002.0)</f>
        <v>10002</v>
      </c>
      <c r="G748" s="2" t="str">
        <f>IFERROR(__xludf.DUMMYFUNCTION("""COMPUTED_VALUE"""),"Roti Cranberry")</f>
        <v>Roti Cranberry</v>
      </c>
      <c r="H748" s="2"/>
      <c r="I748" s="2"/>
      <c r="J748" s="2">
        <f>IFERROR(__xludf.DUMMYFUNCTION("""COMPUTED_VALUE"""),1.0)</f>
        <v>1</v>
      </c>
      <c r="K748" s="6">
        <f>IFERROR(__xludf.DUMMYFUNCTION("""COMPUTED_VALUE"""),18571.0)</f>
        <v>18571</v>
      </c>
      <c r="L748" s="2">
        <f>IFERROR(__xludf.DUMMYFUNCTION("""COMPUTED_VALUE"""),0.0)</f>
        <v>0</v>
      </c>
      <c r="M748" s="2">
        <f>IFERROR(__xludf.DUMMYFUNCTION("""COMPUTED_VALUE"""),18571.0)</f>
        <v>18571</v>
      </c>
      <c r="N748" s="2">
        <f>IFERROR(__xludf.DUMMYFUNCTION("""COMPUTED_VALUE"""),0.0)</f>
        <v>0</v>
      </c>
      <c r="O748" s="2">
        <f>IFERROR(__xludf.DUMMYFUNCTION("""COMPUTED_VALUE"""),18571.0)</f>
        <v>18571</v>
      </c>
      <c r="P748" s="2">
        <f>IFERROR(__xludf.DUMMYFUNCTION("""COMPUTED_VALUE"""),929.0)</f>
        <v>929</v>
      </c>
      <c r="Q748" s="2" t="str">
        <f>IFERROR(__xludf.DUMMYFUNCTION("""COMPUTED_VALUE"""),"Dine In")</f>
        <v>Dine In</v>
      </c>
      <c r="R748" s="2" t="str">
        <f>IFERROR(__xludf.DUMMYFUNCTION("""COMPUTED_VALUE"""),"Kedai")</f>
        <v>Kedai</v>
      </c>
      <c r="S748" s="2" t="str">
        <f>IFERROR(__xludf.DUMMYFUNCTION("""COMPUTED_VALUE"""),"Temu Roti")</f>
        <v>Temu Roti</v>
      </c>
      <c r="T748" s="2" t="str">
        <f>IFERROR(__xludf.DUMMYFUNCTION("""COMPUTED_VALUE"""),"Owner")</f>
        <v>Owner</v>
      </c>
      <c r="U748" s="2"/>
      <c r="V748" s="2"/>
      <c r="W748" s="2"/>
      <c r="X748" s="2" t="str">
        <f>IFERROR(__xludf.DUMMYFUNCTION("""COMPUTED_VALUE"""),"Closed")</f>
        <v>Closed</v>
      </c>
    </row>
    <row r="749">
      <c r="A749" s="3" t="s">
        <v>765</v>
      </c>
      <c r="B749" s="4">
        <f>IFERROR(__xludf.DUMMYFUNCTION("SPLIT(A749,"","",0,0)"),45549.69097222222)</f>
        <v>45549.69097</v>
      </c>
      <c r="C749" s="5">
        <f>IFERROR(__xludf.DUMMYFUNCTION("""COMPUTED_VALUE"""),2696619.0)</f>
        <v>2696619</v>
      </c>
      <c r="D749" s="2" t="str">
        <f>IFERROR(__xludf.DUMMYFUNCTION("""COMPUTED_VALUE"""),"Sale")</f>
        <v>Sale</v>
      </c>
      <c r="E749" s="2" t="str">
        <f>IFERROR(__xludf.DUMMYFUNCTION("""COMPUTED_VALUE"""),"Minuman")</f>
        <v>Minuman</v>
      </c>
      <c r="F749" s="2">
        <f>IFERROR(__xludf.DUMMYFUNCTION("""COMPUTED_VALUE"""),10128.0)</f>
        <v>10128</v>
      </c>
      <c r="G749" s="2" t="str">
        <f>IFERROR(__xludf.DUMMYFUNCTION("""COMPUTED_VALUE"""),"Es Kopi Susu")</f>
        <v>Es Kopi Susu</v>
      </c>
      <c r="H749" s="2"/>
      <c r="I749" s="2"/>
      <c r="J749" s="2">
        <f>IFERROR(__xludf.DUMMYFUNCTION("""COMPUTED_VALUE"""),1.0)</f>
        <v>1</v>
      </c>
      <c r="K749" s="6">
        <f>IFERROR(__xludf.DUMMYFUNCTION("""COMPUTED_VALUE"""),23333.0)</f>
        <v>23333</v>
      </c>
      <c r="L749" s="2">
        <f>IFERROR(__xludf.DUMMYFUNCTION("""COMPUTED_VALUE"""),0.0)</f>
        <v>0</v>
      </c>
      <c r="M749" s="2">
        <f>IFERROR(__xludf.DUMMYFUNCTION("""COMPUTED_VALUE"""),23333.0)</f>
        <v>23333</v>
      </c>
      <c r="N749" s="2">
        <f>IFERROR(__xludf.DUMMYFUNCTION("""COMPUTED_VALUE"""),0.0)</f>
        <v>0</v>
      </c>
      <c r="O749" s="2">
        <f>IFERROR(__xludf.DUMMYFUNCTION("""COMPUTED_VALUE"""),23333.0)</f>
        <v>23333</v>
      </c>
      <c r="P749" s="2">
        <f>IFERROR(__xludf.DUMMYFUNCTION("""COMPUTED_VALUE"""),1166.0)</f>
        <v>1166</v>
      </c>
      <c r="Q749" s="2" t="str">
        <f>IFERROR(__xludf.DUMMYFUNCTION("""COMPUTED_VALUE"""),"Dine In")</f>
        <v>Dine In</v>
      </c>
      <c r="R749" s="2" t="str">
        <f>IFERROR(__xludf.DUMMYFUNCTION("""COMPUTED_VALUE"""),"Kedai")</f>
        <v>Kedai</v>
      </c>
      <c r="S749" s="2" t="str">
        <f>IFERROR(__xludf.DUMMYFUNCTION("""COMPUTED_VALUE"""),"Temu Roti")</f>
        <v>Temu Roti</v>
      </c>
      <c r="T749" s="2" t="str">
        <f>IFERROR(__xludf.DUMMYFUNCTION("""COMPUTED_VALUE"""),"Owner")</f>
        <v>Owner</v>
      </c>
      <c r="U749" s="2"/>
      <c r="V749" s="2"/>
      <c r="W749" s="2"/>
      <c r="X749" s="2" t="str">
        <f>IFERROR(__xludf.DUMMYFUNCTION("""COMPUTED_VALUE"""),"Closed")</f>
        <v>Closed</v>
      </c>
    </row>
    <row r="750">
      <c r="A750" s="3" t="s">
        <v>766</v>
      </c>
      <c r="B750" s="4">
        <f>IFERROR(__xludf.DUMMYFUNCTION("SPLIT(A750,"","",0,0)"),45549.69097222222)</f>
        <v>45549.69097</v>
      </c>
      <c r="C750" s="5">
        <f>IFERROR(__xludf.DUMMYFUNCTION("""COMPUTED_VALUE"""),2696619.0)</f>
        <v>2696619</v>
      </c>
      <c r="D750" s="2" t="str">
        <f>IFERROR(__xludf.DUMMYFUNCTION("""COMPUTED_VALUE"""),"Sale")</f>
        <v>Sale</v>
      </c>
      <c r="E750" s="2" t="str">
        <f>IFERROR(__xludf.DUMMYFUNCTION("""COMPUTED_VALUE"""),"Minuman")</f>
        <v>Minuman</v>
      </c>
      <c r="F750" s="2">
        <f>IFERROR(__xludf.DUMMYFUNCTION("""COMPUTED_VALUE"""),10121.0)</f>
        <v>10121</v>
      </c>
      <c r="G750" s="2" t="str">
        <f>IFERROR(__xludf.DUMMYFUNCTION("""COMPUTED_VALUE"""),"Lemon Tea Dingin")</f>
        <v>Lemon Tea Dingin</v>
      </c>
      <c r="H750" s="2"/>
      <c r="I750" s="2"/>
      <c r="J750" s="2">
        <f>IFERROR(__xludf.DUMMYFUNCTION("""COMPUTED_VALUE"""),1.0)</f>
        <v>1</v>
      </c>
      <c r="K750" s="6">
        <f>IFERROR(__xludf.DUMMYFUNCTION("""COMPUTED_VALUE"""),19524.0)</f>
        <v>19524</v>
      </c>
      <c r="L750" s="2">
        <f>IFERROR(__xludf.DUMMYFUNCTION("""COMPUTED_VALUE"""),0.0)</f>
        <v>0</v>
      </c>
      <c r="M750" s="2">
        <f>IFERROR(__xludf.DUMMYFUNCTION("""COMPUTED_VALUE"""),19524.0)</f>
        <v>19524</v>
      </c>
      <c r="N750" s="2">
        <f>IFERROR(__xludf.DUMMYFUNCTION("""COMPUTED_VALUE"""),0.0)</f>
        <v>0</v>
      </c>
      <c r="O750" s="2">
        <f>IFERROR(__xludf.DUMMYFUNCTION("""COMPUTED_VALUE"""),19524.0)</f>
        <v>19524</v>
      </c>
      <c r="P750" s="2">
        <f>IFERROR(__xludf.DUMMYFUNCTION("""COMPUTED_VALUE"""),976.0)</f>
        <v>976</v>
      </c>
      <c r="Q750" s="2" t="str">
        <f>IFERROR(__xludf.DUMMYFUNCTION("""COMPUTED_VALUE"""),"Dine In")</f>
        <v>Dine In</v>
      </c>
      <c r="R750" s="2" t="str">
        <f>IFERROR(__xludf.DUMMYFUNCTION("""COMPUTED_VALUE"""),"Kedai")</f>
        <v>Kedai</v>
      </c>
      <c r="S750" s="2" t="str">
        <f>IFERROR(__xludf.DUMMYFUNCTION("""COMPUTED_VALUE"""),"Temu Roti")</f>
        <v>Temu Roti</v>
      </c>
      <c r="T750" s="2" t="str">
        <f>IFERROR(__xludf.DUMMYFUNCTION("""COMPUTED_VALUE"""),"Owner")</f>
        <v>Owner</v>
      </c>
      <c r="U750" s="2"/>
      <c r="V750" s="2"/>
      <c r="W750" s="2"/>
      <c r="X750" s="2" t="str">
        <f>IFERROR(__xludf.DUMMYFUNCTION("""COMPUTED_VALUE"""),"Closed")</f>
        <v>Closed</v>
      </c>
    </row>
    <row r="751">
      <c r="A751" s="3" t="s">
        <v>767</v>
      </c>
      <c r="B751" s="4">
        <f>IFERROR(__xludf.DUMMYFUNCTION("SPLIT(A751,"","",0,0)"),45549.68958333333)</f>
        <v>45549.68958</v>
      </c>
      <c r="C751" s="5">
        <f>IFERROR(__xludf.DUMMYFUNCTION("""COMPUTED_VALUE"""),2696254.0)</f>
        <v>2696254</v>
      </c>
      <c r="D751" s="2" t="str">
        <f>IFERROR(__xludf.DUMMYFUNCTION("""COMPUTED_VALUE"""),"Sale")</f>
        <v>Sale</v>
      </c>
      <c r="E751" s="2" t="str">
        <f>IFERROR(__xludf.DUMMYFUNCTION("""COMPUTED_VALUE"""),"Roti")</f>
        <v>Roti</v>
      </c>
      <c r="F751" s="2">
        <f>IFERROR(__xludf.DUMMYFUNCTION("""COMPUTED_VALUE"""),10033.0)</f>
        <v>10033</v>
      </c>
      <c r="G751" s="2" t="str">
        <f>IFERROR(__xludf.DUMMYFUNCTION("""COMPUTED_VALUE"""),"Roti panggang sarikaya")</f>
        <v>Roti panggang sarikaya</v>
      </c>
      <c r="H751" s="2"/>
      <c r="I751" s="2"/>
      <c r="J751" s="2">
        <f>IFERROR(__xludf.DUMMYFUNCTION("""COMPUTED_VALUE"""),1.0)</f>
        <v>1</v>
      </c>
      <c r="K751" s="6">
        <f>IFERROR(__xludf.DUMMYFUNCTION("""COMPUTED_VALUE"""),21905.0)</f>
        <v>21905</v>
      </c>
      <c r="L751" s="2">
        <f>IFERROR(__xludf.DUMMYFUNCTION("""COMPUTED_VALUE"""),0.0)</f>
        <v>0</v>
      </c>
      <c r="M751" s="2">
        <f>IFERROR(__xludf.DUMMYFUNCTION("""COMPUTED_VALUE"""),21905.0)</f>
        <v>21905</v>
      </c>
      <c r="N751" s="2">
        <f>IFERROR(__xludf.DUMMYFUNCTION("""COMPUTED_VALUE"""),0.0)</f>
        <v>0</v>
      </c>
      <c r="O751" s="2">
        <f>IFERROR(__xludf.DUMMYFUNCTION("""COMPUTED_VALUE"""),21905.0)</f>
        <v>21905</v>
      </c>
      <c r="P751" s="2">
        <f>IFERROR(__xludf.DUMMYFUNCTION("""COMPUTED_VALUE"""),1095.0)</f>
        <v>1095</v>
      </c>
      <c r="Q751" s="2" t="str">
        <f>IFERROR(__xludf.DUMMYFUNCTION("""COMPUTED_VALUE"""),"Dine In")</f>
        <v>Dine In</v>
      </c>
      <c r="R751" s="2" t="str">
        <f>IFERROR(__xludf.DUMMYFUNCTION("""COMPUTED_VALUE"""),"Kedai")</f>
        <v>Kedai</v>
      </c>
      <c r="S751" s="2" t="str">
        <f>IFERROR(__xludf.DUMMYFUNCTION("""COMPUTED_VALUE"""),"Temu Roti")</f>
        <v>Temu Roti</v>
      </c>
      <c r="T751" s="2" t="str">
        <f>IFERROR(__xludf.DUMMYFUNCTION("""COMPUTED_VALUE"""),"Owner")</f>
        <v>Owner</v>
      </c>
      <c r="U751" s="2"/>
      <c r="V751" s="2"/>
      <c r="W751" s="2"/>
      <c r="X751" s="2" t="str">
        <f>IFERROR(__xludf.DUMMYFUNCTION("""COMPUTED_VALUE"""),"Closed")</f>
        <v>Closed</v>
      </c>
    </row>
    <row r="752">
      <c r="A752" s="3" t="s">
        <v>768</v>
      </c>
      <c r="B752" s="4">
        <f>IFERROR(__xludf.DUMMYFUNCTION("SPLIT(A752,"","",0,0)"),45549.68958333333)</f>
        <v>45549.68958</v>
      </c>
      <c r="C752" s="5">
        <f>IFERROR(__xludf.DUMMYFUNCTION("""COMPUTED_VALUE"""),2696254.0)</f>
        <v>2696254</v>
      </c>
      <c r="D752" s="2" t="str">
        <f>IFERROR(__xludf.DUMMYFUNCTION("""COMPUTED_VALUE"""),"Sale")</f>
        <v>Sale</v>
      </c>
      <c r="E752" s="2" t="str">
        <f>IFERROR(__xludf.DUMMYFUNCTION("""COMPUTED_VALUE"""),"Roti")</f>
        <v>Roti</v>
      </c>
      <c r="F752" s="2">
        <f>IFERROR(__xludf.DUMMYFUNCTION("""COMPUTED_VALUE"""),10002.0)</f>
        <v>10002</v>
      </c>
      <c r="G752" s="2" t="str">
        <f>IFERROR(__xludf.DUMMYFUNCTION("""COMPUTED_VALUE"""),"Roti Cranberry")</f>
        <v>Roti Cranberry</v>
      </c>
      <c r="H752" s="2"/>
      <c r="I752" s="2"/>
      <c r="J752" s="2">
        <f>IFERROR(__xludf.DUMMYFUNCTION("""COMPUTED_VALUE"""),1.0)</f>
        <v>1</v>
      </c>
      <c r="K752" s="6">
        <f>IFERROR(__xludf.DUMMYFUNCTION("""COMPUTED_VALUE"""),18571.0)</f>
        <v>18571</v>
      </c>
      <c r="L752" s="2">
        <f>IFERROR(__xludf.DUMMYFUNCTION("""COMPUTED_VALUE"""),0.0)</f>
        <v>0</v>
      </c>
      <c r="M752" s="2">
        <f>IFERROR(__xludf.DUMMYFUNCTION("""COMPUTED_VALUE"""),18571.0)</f>
        <v>18571</v>
      </c>
      <c r="N752" s="2">
        <f>IFERROR(__xludf.DUMMYFUNCTION("""COMPUTED_VALUE"""),0.0)</f>
        <v>0</v>
      </c>
      <c r="O752" s="2">
        <f>IFERROR(__xludf.DUMMYFUNCTION("""COMPUTED_VALUE"""),18571.0)</f>
        <v>18571</v>
      </c>
      <c r="P752" s="2">
        <f>IFERROR(__xludf.DUMMYFUNCTION("""COMPUTED_VALUE"""),929.0)</f>
        <v>929</v>
      </c>
      <c r="Q752" s="2" t="str">
        <f>IFERROR(__xludf.DUMMYFUNCTION("""COMPUTED_VALUE"""),"Dine In")</f>
        <v>Dine In</v>
      </c>
      <c r="R752" s="2" t="str">
        <f>IFERROR(__xludf.DUMMYFUNCTION("""COMPUTED_VALUE"""),"Kedai")</f>
        <v>Kedai</v>
      </c>
      <c r="S752" s="2" t="str">
        <f>IFERROR(__xludf.DUMMYFUNCTION("""COMPUTED_VALUE"""),"Temu Roti")</f>
        <v>Temu Roti</v>
      </c>
      <c r="T752" s="2" t="str">
        <f>IFERROR(__xludf.DUMMYFUNCTION("""COMPUTED_VALUE"""),"Owner")</f>
        <v>Owner</v>
      </c>
      <c r="U752" s="2"/>
      <c r="V752" s="2"/>
      <c r="W752" s="2"/>
      <c r="X752" s="2" t="str">
        <f>IFERROR(__xludf.DUMMYFUNCTION("""COMPUTED_VALUE"""),"Closed")</f>
        <v>Closed</v>
      </c>
    </row>
    <row r="753">
      <c r="A753" s="3" t="s">
        <v>769</v>
      </c>
      <c r="B753" s="4">
        <f>IFERROR(__xludf.DUMMYFUNCTION("SPLIT(A753,"","",0,0)"),45549.68958333333)</f>
        <v>45549.68958</v>
      </c>
      <c r="C753" s="5">
        <f>IFERROR(__xludf.DUMMYFUNCTION("""COMPUTED_VALUE"""),2696254.0)</f>
        <v>2696254</v>
      </c>
      <c r="D753" s="2" t="str">
        <f>IFERROR(__xludf.DUMMYFUNCTION("""COMPUTED_VALUE"""),"Sale")</f>
        <v>Sale</v>
      </c>
      <c r="E753" s="2" t="str">
        <f>IFERROR(__xludf.DUMMYFUNCTION("""COMPUTED_VALUE"""),"Minuman")</f>
        <v>Minuman</v>
      </c>
      <c r="F753" s="2">
        <f>IFERROR(__xludf.DUMMYFUNCTION("""COMPUTED_VALUE"""),10123.0)</f>
        <v>10123</v>
      </c>
      <c r="G753" s="2" t="str">
        <f>IFERROR(__xludf.DUMMYFUNCTION("""COMPUTED_VALUE"""),"Rempah Madu Dingin")</f>
        <v>Rempah Madu Dingin</v>
      </c>
      <c r="H753" s="2"/>
      <c r="I753" s="2"/>
      <c r="J753" s="2">
        <f>IFERROR(__xludf.DUMMYFUNCTION("""COMPUTED_VALUE"""),1.0)</f>
        <v>1</v>
      </c>
      <c r="K753" s="6">
        <f>IFERROR(__xludf.DUMMYFUNCTION("""COMPUTED_VALUE"""),21905.0)</f>
        <v>21905</v>
      </c>
      <c r="L753" s="2">
        <f>IFERROR(__xludf.DUMMYFUNCTION("""COMPUTED_VALUE"""),0.0)</f>
        <v>0</v>
      </c>
      <c r="M753" s="2">
        <f>IFERROR(__xludf.DUMMYFUNCTION("""COMPUTED_VALUE"""),21905.0)</f>
        <v>21905</v>
      </c>
      <c r="N753" s="2">
        <f>IFERROR(__xludf.DUMMYFUNCTION("""COMPUTED_VALUE"""),0.0)</f>
        <v>0</v>
      </c>
      <c r="O753" s="2">
        <f>IFERROR(__xludf.DUMMYFUNCTION("""COMPUTED_VALUE"""),21905.0)</f>
        <v>21905</v>
      </c>
      <c r="P753" s="2">
        <f>IFERROR(__xludf.DUMMYFUNCTION("""COMPUTED_VALUE"""),1095.0)</f>
        <v>1095</v>
      </c>
      <c r="Q753" s="2" t="str">
        <f>IFERROR(__xludf.DUMMYFUNCTION("""COMPUTED_VALUE"""),"Dine In")</f>
        <v>Dine In</v>
      </c>
      <c r="R753" s="2" t="str">
        <f>IFERROR(__xludf.DUMMYFUNCTION("""COMPUTED_VALUE"""),"Kedai")</f>
        <v>Kedai</v>
      </c>
      <c r="S753" s="2" t="str">
        <f>IFERROR(__xludf.DUMMYFUNCTION("""COMPUTED_VALUE"""),"Temu Roti")</f>
        <v>Temu Roti</v>
      </c>
      <c r="T753" s="2" t="str">
        <f>IFERROR(__xludf.DUMMYFUNCTION("""COMPUTED_VALUE"""),"Owner")</f>
        <v>Owner</v>
      </c>
      <c r="U753" s="2"/>
      <c r="V753" s="2"/>
      <c r="W753" s="2"/>
      <c r="X753" s="2" t="str">
        <f>IFERROR(__xludf.DUMMYFUNCTION("""COMPUTED_VALUE"""),"Closed")</f>
        <v>Closed</v>
      </c>
    </row>
    <row r="754">
      <c r="A754" s="3" t="s">
        <v>770</v>
      </c>
      <c r="B754" s="4">
        <f>IFERROR(__xludf.DUMMYFUNCTION("SPLIT(A754,"","",0,0)"),45549.68958333333)</f>
        <v>45549.68958</v>
      </c>
      <c r="C754" s="5">
        <f>IFERROR(__xludf.DUMMYFUNCTION("""COMPUTED_VALUE"""),2696254.0)</f>
        <v>2696254</v>
      </c>
      <c r="D754" s="2" t="str">
        <f>IFERROR(__xludf.DUMMYFUNCTION("""COMPUTED_VALUE"""),"Sale")</f>
        <v>Sale</v>
      </c>
      <c r="E754" s="2" t="str">
        <f>IFERROR(__xludf.DUMMYFUNCTION("""COMPUTED_VALUE"""),"Kudapan")</f>
        <v>Kudapan</v>
      </c>
      <c r="F754" s="2">
        <f>IFERROR(__xludf.DUMMYFUNCTION("""COMPUTED_VALUE"""),10015.0)</f>
        <v>10015</v>
      </c>
      <c r="G754" s="2" t="str">
        <f>IFERROR(__xludf.DUMMYFUNCTION("""COMPUTED_VALUE"""),"Tahu Lada Garam")</f>
        <v>Tahu Lada Garam</v>
      </c>
      <c r="H754" s="2"/>
      <c r="I754" s="2"/>
      <c r="J754" s="2">
        <f>IFERROR(__xludf.DUMMYFUNCTION("""COMPUTED_VALUE"""),1.0)</f>
        <v>1</v>
      </c>
      <c r="K754" s="6">
        <f>IFERROR(__xludf.DUMMYFUNCTION("""COMPUTED_VALUE"""),25238.0)</f>
        <v>25238</v>
      </c>
      <c r="L754" s="2">
        <f>IFERROR(__xludf.DUMMYFUNCTION("""COMPUTED_VALUE"""),0.0)</f>
        <v>0</v>
      </c>
      <c r="M754" s="2">
        <f>IFERROR(__xludf.DUMMYFUNCTION("""COMPUTED_VALUE"""),25238.0)</f>
        <v>25238</v>
      </c>
      <c r="N754" s="2">
        <f>IFERROR(__xludf.DUMMYFUNCTION("""COMPUTED_VALUE"""),0.0)</f>
        <v>0</v>
      </c>
      <c r="O754" s="2">
        <f>IFERROR(__xludf.DUMMYFUNCTION("""COMPUTED_VALUE"""),25238.0)</f>
        <v>25238</v>
      </c>
      <c r="P754" s="2">
        <f>IFERROR(__xludf.DUMMYFUNCTION("""COMPUTED_VALUE"""),1262.0)</f>
        <v>1262</v>
      </c>
      <c r="Q754" s="2" t="str">
        <f>IFERROR(__xludf.DUMMYFUNCTION("""COMPUTED_VALUE"""),"Dine In")</f>
        <v>Dine In</v>
      </c>
      <c r="R754" s="2" t="str">
        <f>IFERROR(__xludf.DUMMYFUNCTION("""COMPUTED_VALUE"""),"Kedai")</f>
        <v>Kedai</v>
      </c>
      <c r="S754" s="2" t="str">
        <f>IFERROR(__xludf.DUMMYFUNCTION("""COMPUTED_VALUE"""),"Temu Roti")</f>
        <v>Temu Roti</v>
      </c>
      <c r="T754" s="2" t="str">
        <f>IFERROR(__xludf.DUMMYFUNCTION("""COMPUTED_VALUE"""),"Owner")</f>
        <v>Owner</v>
      </c>
      <c r="U754" s="2"/>
      <c r="V754" s="2"/>
      <c r="W754" s="2"/>
      <c r="X754" s="2" t="str">
        <f>IFERROR(__xludf.DUMMYFUNCTION("""COMPUTED_VALUE"""),"Closed")</f>
        <v>Closed</v>
      </c>
    </row>
    <row r="755">
      <c r="A755" s="3" t="s">
        <v>771</v>
      </c>
      <c r="B755" s="4">
        <f>IFERROR(__xludf.DUMMYFUNCTION("SPLIT(A755,"","",0,0)"),45549.68958333333)</f>
        <v>45549.68958</v>
      </c>
      <c r="C755" s="5">
        <f>IFERROR(__xludf.DUMMYFUNCTION("""COMPUTED_VALUE"""),2696254.0)</f>
        <v>2696254</v>
      </c>
      <c r="D755" s="2" t="str">
        <f>IFERROR(__xludf.DUMMYFUNCTION("""COMPUTED_VALUE"""),"Sale")</f>
        <v>Sale</v>
      </c>
      <c r="E755" s="2" t="str">
        <f>IFERROR(__xludf.DUMMYFUNCTION("""COMPUTED_VALUE"""),"Minuman")</f>
        <v>Minuman</v>
      </c>
      <c r="F755" s="2">
        <f>IFERROR(__xludf.DUMMYFUNCTION("""COMPUTED_VALUE"""),10057.0)</f>
        <v>10057</v>
      </c>
      <c r="G755" s="2" t="str">
        <f>IFERROR(__xludf.DUMMYFUNCTION("""COMPUTED_VALUE"""),"Susu murni strawberry")</f>
        <v>Susu murni strawberry</v>
      </c>
      <c r="H755" s="2"/>
      <c r="I755" s="2"/>
      <c r="J755" s="2">
        <f>IFERROR(__xludf.DUMMYFUNCTION("""COMPUTED_VALUE"""),1.0)</f>
        <v>1</v>
      </c>
      <c r="K755" s="6">
        <f>IFERROR(__xludf.DUMMYFUNCTION("""COMPUTED_VALUE"""),19524.0)</f>
        <v>19524</v>
      </c>
      <c r="L755" s="2">
        <f>IFERROR(__xludf.DUMMYFUNCTION("""COMPUTED_VALUE"""),0.0)</f>
        <v>0</v>
      </c>
      <c r="M755" s="2">
        <f>IFERROR(__xludf.DUMMYFUNCTION("""COMPUTED_VALUE"""),19524.0)</f>
        <v>19524</v>
      </c>
      <c r="N755" s="2">
        <f>IFERROR(__xludf.DUMMYFUNCTION("""COMPUTED_VALUE"""),0.0)</f>
        <v>0</v>
      </c>
      <c r="O755" s="2">
        <f>IFERROR(__xludf.DUMMYFUNCTION("""COMPUTED_VALUE"""),19524.0)</f>
        <v>19524</v>
      </c>
      <c r="P755" s="2">
        <f>IFERROR(__xludf.DUMMYFUNCTION("""COMPUTED_VALUE"""),976.0)</f>
        <v>976</v>
      </c>
      <c r="Q755" s="2" t="str">
        <f>IFERROR(__xludf.DUMMYFUNCTION("""COMPUTED_VALUE"""),"Dine In")</f>
        <v>Dine In</v>
      </c>
      <c r="R755" s="2" t="str">
        <f>IFERROR(__xludf.DUMMYFUNCTION("""COMPUTED_VALUE"""),"Kedai")</f>
        <v>Kedai</v>
      </c>
      <c r="S755" s="2" t="str">
        <f>IFERROR(__xludf.DUMMYFUNCTION("""COMPUTED_VALUE"""),"Temu Roti")</f>
        <v>Temu Roti</v>
      </c>
      <c r="T755" s="2" t="str">
        <f>IFERROR(__xludf.DUMMYFUNCTION("""COMPUTED_VALUE"""),"Owner")</f>
        <v>Owner</v>
      </c>
      <c r="U755" s="2"/>
      <c r="V755" s="2"/>
      <c r="W755" s="2"/>
      <c r="X755" s="2" t="str">
        <f>IFERROR(__xludf.DUMMYFUNCTION("""COMPUTED_VALUE"""),"Closed")</f>
        <v>Closed</v>
      </c>
    </row>
    <row r="756">
      <c r="A756" s="3" t="s">
        <v>772</v>
      </c>
      <c r="B756" s="4">
        <f>IFERROR(__xludf.DUMMYFUNCTION("SPLIT(A756,"","",0,0)"),45549.6875)</f>
        <v>45549.6875</v>
      </c>
      <c r="C756" s="5">
        <f>IFERROR(__xludf.DUMMYFUNCTION("""COMPUTED_VALUE"""),2695889.0)</f>
        <v>2695889</v>
      </c>
      <c r="D756" s="2" t="str">
        <f>IFERROR(__xludf.DUMMYFUNCTION("""COMPUTED_VALUE"""),"Sale")</f>
        <v>Sale</v>
      </c>
      <c r="E756" s="2" t="str">
        <f>IFERROR(__xludf.DUMMYFUNCTION("""COMPUTED_VALUE"""),"Roti")</f>
        <v>Roti</v>
      </c>
      <c r="F756" s="2">
        <f>IFERROR(__xludf.DUMMYFUNCTION("""COMPUTED_VALUE"""),10000.0)</f>
        <v>10000</v>
      </c>
      <c r="G756" s="2" t="str">
        <f>IFERROR(__xludf.DUMMYFUNCTION("""COMPUTED_VALUE"""),"Roti Bawang Saus Keju")</f>
        <v>Roti Bawang Saus Keju</v>
      </c>
      <c r="H756" s="2"/>
      <c r="I756" s="2"/>
      <c r="J756" s="2">
        <f>IFERROR(__xludf.DUMMYFUNCTION("""COMPUTED_VALUE"""),1.0)</f>
        <v>1</v>
      </c>
      <c r="K756" s="6">
        <f>IFERROR(__xludf.DUMMYFUNCTION("""COMPUTED_VALUE"""),29524.0)</f>
        <v>29524</v>
      </c>
      <c r="L756" s="2">
        <f>IFERROR(__xludf.DUMMYFUNCTION("""COMPUTED_VALUE"""),0.0)</f>
        <v>0</v>
      </c>
      <c r="M756" s="2">
        <f>IFERROR(__xludf.DUMMYFUNCTION("""COMPUTED_VALUE"""),29524.0)</f>
        <v>29524</v>
      </c>
      <c r="N756" s="2">
        <f>IFERROR(__xludf.DUMMYFUNCTION("""COMPUTED_VALUE"""),0.0)</f>
        <v>0</v>
      </c>
      <c r="O756" s="2">
        <f>IFERROR(__xludf.DUMMYFUNCTION("""COMPUTED_VALUE"""),29524.0)</f>
        <v>29524</v>
      </c>
      <c r="P756" s="2">
        <f>IFERROR(__xludf.DUMMYFUNCTION("""COMPUTED_VALUE"""),1476.0)</f>
        <v>1476</v>
      </c>
      <c r="Q756" s="2" t="str">
        <f>IFERROR(__xludf.DUMMYFUNCTION("""COMPUTED_VALUE"""),"Dine In")</f>
        <v>Dine In</v>
      </c>
      <c r="R756" s="2" t="str">
        <f>IFERROR(__xludf.DUMMYFUNCTION("""COMPUTED_VALUE"""),"Kedai")</f>
        <v>Kedai</v>
      </c>
      <c r="S756" s="2" t="str">
        <f>IFERROR(__xludf.DUMMYFUNCTION("""COMPUTED_VALUE"""),"Temu Roti")</f>
        <v>Temu Roti</v>
      </c>
      <c r="T756" s="2" t="str">
        <f>IFERROR(__xludf.DUMMYFUNCTION("""COMPUTED_VALUE"""),"Owner")</f>
        <v>Owner</v>
      </c>
      <c r="U756" s="2"/>
      <c r="V756" s="2"/>
      <c r="W756" s="2"/>
      <c r="X756" s="2" t="str">
        <f>IFERROR(__xludf.DUMMYFUNCTION("""COMPUTED_VALUE"""),"Closed")</f>
        <v>Closed</v>
      </c>
    </row>
    <row r="757">
      <c r="A757" s="3" t="s">
        <v>773</v>
      </c>
      <c r="B757" s="4">
        <f>IFERROR(__xludf.DUMMYFUNCTION("SPLIT(A757,"","",0,0)"),45549.6875)</f>
        <v>45549.6875</v>
      </c>
      <c r="C757" s="5">
        <f>IFERROR(__xludf.DUMMYFUNCTION("""COMPUTED_VALUE"""),2695889.0)</f>
        <v>2695889</v>
      </c>
      <c r="D757" s="2" t="str">
        <f>IFERROR(__xludf.DUMMYFUNCTION("""COMPUTED_VALUE"""),"Sale")</f>
        <v>Sale</v>
      </c>
      <c r="E757" s="2" t="str">
        <f>IFERROR(__xludf.DUMMYFUNCTION("""COMPUTED_VALUE"""),"Roti")</f>
        <v>Roti</v>
      </c>
      <c r="F757" s="2">
        <f>IFERROR(__xludf.DUMMYFUNCTION("""COMPUTED_VALUE"""),10007.0)</f>
        <v>10007</v>
      </c>
      <c r="G757" s="2" t="str">
        <f>IFERROR(__xludf.DUMMYFUNCTION("""COMPUTED_VALUE"""),"Roti cranberry 2 pcs")</f>
        <v>Roti cranberry 2 pcs</v>
      </c>
      <c r="H757" s="2"/>
      <c r="I757" s="2"/>
      <c r="J757" s="2">
        <f>IFERROR(__xludf.DUMMYFUNCTION("""COMPUTED_VALUE"""),1.0)</f>
        <v>1</v>
      </c>
      <c r="K757" s="6">
        <f>IFERROR(__xludf.DUMMYFUNCTION("""COMPUTED_VALUE"""),33810.0)</f>
        <v>33810</v>
      </c>
      <c r="L757" s="2">
        <f>IFERROR(__xludf.DUMMYFUNCTION("""COMPUTED_VALUE"""),0.0)</f>
        <v>0</v>
      </c>
      <c r="M757" s="2">
        <f>IFERROR(__xludf.DUMMYFUNCTION("""COMPUTED_VALUE"""),33810.0)</f>
        <v>33810</v>
      </c>
      <c r="N757" s="2">
        <f>IFERROR(__xludf.DUMMYFUNCTION("""COMPUTED_VALUE"""),0.0)</f>
        <v>0</v>
      </c>
      <c r="O757" s="2">
        <f>IFERROR(__xludf.DUMMYFUNCTION("""COMPUTED_VALUE"""),33810.0)</f>
        <v>33810</v>
      </c>
      <c r="P757" s="2">
        <f>IFERROR(__xludf.DUMMYFUNCTION("""COMPUTED_VALUE"""),1691.0)</f>
        <v>1691</v>
      </c>
      <c r="Q757" s="2" t="str">
        <f>IFERROR(__xludf.DUMMYFUNCTION("""COMPUTED_VALUE"""),"Dine In")</f>
        <v>Dine In</v>
      </c>
      <c r="R757" s="2" t="str">
        <f>IFERROR(__xludf.DUMMYFUNCTION("""COMPUTED_VALUE"""),"Kedai")</f>
        <v>Kedai</v>
      </c>
      <c r="S757" s="2" t="str">
        <f>IFERROR(__xludf.DUMMYFUNCTION("""COMPUTED_VALUE"""),"Temu Roti")</f>
        <v>Temu Roti</v>
      </c>
      <c r="T757" s="2" t="str">
        <f>IFERROR(__xludf.DUMMYFUNCTION("""COMPUTED_VALUE"""),"Owner")</f>
        <v>Owner</v>
      </c>
      <c r="U757" s="2"/>
      <c r="V757" s="2"/>
      <c r="W757" s="2"/>
      <c r="X757" s="2" t="str">
        <f>IFERROR(__xludf.DUMMYFUNCTION("""COMPUTED_VALUE"""),"Closed")</f>
        <v>Closed</v>
      </c>
    </row>
    <row r="758">
      <c r="A758" s="3" t="s">
        <v>774</v>
      </c>
      <c r="B758" s="4">
        <f>IFERROR(__xludf.DUMMYFUNCTION("SPLIT(A758,"","",0,0)"),45549.6875)</f>
        <v>45549.6875</v>
      </c>
      <c r="C758" s="5">
        <f>IFERROR(__xludf.DUMMYFUNCTION("""COMPUTED_VALUE"""),2695889.0)</f>
        <v>2695889</v>
      </c>
      <c r="D758" s="2" t="str">
        <f>IFERROR(__xludf.DUMMYFUNCTION("""COMPUTED_VALUE"""),"Sale")</f>
        <v>Sale</v>
      </c>
      <c r="E758" s="2" t="str">
        <f>IFERROR(__xludf.DUMMYFUNCTION("""COMPUTED_VALUE"""),"Kudapan")</f>
        <v>Kudapan</v>
      </c>
      <c r="F758" s="2">
        <f>IFERROR(__xludf.DUMMYFUNCTION("""COMPUTED_VALUE"""),10010.0)</f>
        <v>10010</v>
      </c>
      <c r="G758" s="2" t="str">
        <f>IFERROR(__xludf.DUMMYFUNCTION("""COMPUTED_VALUE"""),"Pisang Goreng")</f>
        <v>Pisang Goreng</v>
      </c>
      <c r="H758" s="2"/>
      <c r="I758" s="2"/>
      <c r="J758" s="2">
        <f>IFERROR(__xludf.DUMMYFUNCTION("""COMPUTED_VALUE"""),1.0)</f>
        <v>1</v>
      </c>
      <c r="K758" s="6">
        <f>IFERROR(__xludf.DUMMYFUNCTION("""COMPUTED_VALUE"""),25238.0)</f>
        <v>25238</v>
      </c>
      <c r="L758" s="2">
        <f>IFERROR(__xludf.DUMMYFUNCTION("""COMPUTED_VALUE"""),0.0)</f>
        <v>0</v>
      </c>
      <c r="M758" s="2">
        <f>IFERROR(__xludf.DUMMYFUNCTION("""COMPUTED_VALUE"""),25238.0)</f>
        <v>25238</v>
      </c>
      <c r="N758" s="2">
        <f>IFERROR(__xludf.DUMMYFUNCTION("""COMPUTED_VALUE"""),0.0)</f>
        <v>0</v>
      </c>
      <c r="O758" s="2">
        <f>IFERROR(__xludf.DUMMYFUNCTION("""COMPUTED_VALUE"""),25238.0)</f>
        <v>25238</v>
      </c>
      <c r="P758" s="2">
        <f>IFERROR(__xludf.DUMMYFUNCTION("""COMPUTED_VALUE"""),1262.0)</f>
        <v>1262</v>
      </c>
      <c r="Q758" s="2" t="str">
        <f>IFERROR(__xludf.DUMMYFUNCTION("""COMPUTED_VALUE"""),"Dine In")</f>
        <v>Dine In</v>
      </c>
      <c r="R758" s="2" t="str">
        <f>IFERROR(__xludf.DUMMYFUNCTION("""COMPUTED_VALUE"""),"Kedai")</f>
        <v>Kedai</v>
      </c>
      <c r="S758" s="2" t="str">
        <f>IFERROR(__xludf.DUMMYFUNCTION("""COMPUTED_VALUE"""),"Temu Roti")</f>
        <v>Temu Roti</v>
      </c>
      <c r="T758" s="2" t="str">
        <f>IFERROR(__xludf.DUMMYFUNCTION("""COMPUTED_VALUE"""),"Owner")</f>
        <v>Owner</v>
      </c>
      <c r="U758" s="2"/>
      <c r="V758" s="2"/>
      <c r="W758" s="2"/>
      <c r="X758" s="2" t="str">
        <f>IFERROR(__xludf.DUMMYFUNCTION("""COMPUTED_VALUE"""),"Closed")</f>
        <v>Closed</v>
      </c>
    </row>
    <row r="759">
      <c r="A759" s="3" t="s">
        <v>775</v>
      </c>
      <c r="B759" s="4">
        <f>IFERROR(__xludf.DUMMYFUNCTION("SPLIT(A759,"","",0,0)"),45549.6875)</f>
        <v>45549.6875</v>
      </c>
      <c r="C759" s="5">
        <f>IFERROR(__xludf.DUMMYFUNCTION("""COMPUTED_VALUE"""),2695889.0)</f>
        <v>2695889</v>
      </c>
      <c r="D759" s="2" t="str">
        <f>IFERROR(__xludf.DUMMYFUNCTION("""COMPUTED_VALUE"""),"Sale")</f>
        <v>Sale</v>
      </c>
      <c r="E759" s="2" t="str">
        <f>IFERROR(__xludf.DUMMYFUNCTION("""COMPUTED_VALUE"""),"Kudapan")</f>
        <v>Kudapan</v>
      </c>
      <c r="F759" s="2">
        <f>IFERROR(__xludf.DUMMYFUNCTION("""COMPUTED_VALUE"""),10004.0)</f>
        <v>10004</v>
      </c>
      <c r="G759" s="2" t="str">
        <f>IFERROR(__xludf.DUMMYFUNCTION("""COMPUTED_VALUE"""),"Tahu walik")</f>
        <v>Tahu walik</v>
      </c>
      <c r="H759" s="2"/>
      <c r="I759" s="2"/>
      <c r="J759" s="2">
        <f>IFERROR(__xludf.DUMMYFUNCTION("""COMPUTED_VALUE"""),1.0)</f>
        <v>1</v>
      </c>
      <c r="K759" s="6">
        <f>IFERROR(__xludf.DUMMYFUNCTION("""COMPUTED_VALUE"""),25238.0)</f>
        <v>25238</v>
      </c>
      <c r="L759" s="2">
        <f>IFERROR(__xludf.DUMMYFUNCTION("""COMPUTED_VALUE"""),0.0)</f>
        <v>0</v>
      </c>
      <c r="M759" s="2">
        <f>IFERROR(__xludf.DUMMYFUNCTION("""COMPUTED_VALUE"""),25238.0)</f>
        <v>25238</v>
      </c>
      <c r="N759" s="2">
        <f>IFERROR(__xludf.DUMMYFUNCTION("""COMPUTED_VALUE"""),0.0)</f>
        <v>0</v>
      </c>
      <c r="O759" s="2">
        <f>IFERROR(__xludf.DUMMYFUNCTION("""COMPUTED_VALUE"""),25238.0)</f>
        <v>25238</v>
      </c>
      <c r="P759" s="2">
        <f>IFERROR(__xludf.DUMMYFUNCTION("""COMPUTED_VALUE"""),1262.0)</f>
        <v>1262</v>
      </c>
      <c r="Q759" s="2" t="str">
        <f>IFERROR(__xludf.DUMMYFUNCTION("""COMPUTED_VALUE"""),"Dine In")</f>
        <v>Dine In</v>
      </c>
      <c r="R759" s="2" t="str">
        <f>IFERROR(__xludf.DUMMYFUNCTION("""COMPUTED_VALUE"""),"Kedai")</f>
        <v>Kedai</v>
      </c>
      <c r="S759" s="2" t="str">
        <f>IFERROR(__xludf.DUMMYFUNCTION("""COMPUTED_VALUE"""),"Temu Roti")</f>
        <v>Temu Roti</v>
      </c>
      <c r="T759" s="2" t="str">
        <f>IFERROR(__xludf.DUMMYFUNCTION("""COMPUTED_VALUE"""),"Owner")</f>
        <v>Owner</v>
      </c>
      <c r="U759" s="2"/>
      <c r="V759" s="2"/>
      <c r="W759" s="2"/>
      <c r="X759" s="2" t="str">
        <f>IFERROR(__xludf.DUMMYFUNCTION("""COMPUTED_VALUE"""),"Closed")</f>
        <v>Closed</v>
      </c>
    </row>
    <row r="760">
      <c r="A760" s="3" t="s">
        <v>776</v>
      </c>
      <c r="B760" s="4">
        <f>IFERROR(__xludf.DUMMYFUNCTION("SPLIT(A760,"","",0,0)"),45549.6875)</f>
        <v>45549.6875</v>
      </c>
      <c r="C760" s="5">
        <f>IFERROR(__xludf.DUMMYFUNCTION("""COMPUTED_VALUE"""),2695889.0)</f>
        <v>2695889</v>
      </c>
      <c r="D760" s="2" t="str">
        <f>IFERROR(__xludf.DUMMYFUNCTION("""COMPUTED_VALUE"""),"Sale")</f>
        <v>Sale</v>
      </c>
      <c r="E760" s="2" t="str">
        <f>IFERROR(__xludf.DUMMYFUNCTION("""COMPUTED_VALUE"""),"Roti")</f>
        <v>Roti</v>
      </c>
      <c r="F760" s="2">
        <f>IFERROR(__xludf.DUMMYFUNCTION("""COMPUTED_VALUE"""),10005.0)</f>
        <v>10005</v>
      </c>
      <c r="G760" s="2" t="str">
        <f>IFERROR(__xludf.DUMMYFUNCTION("""COMPUTED_VALUE"""),"Roti Gandum Cokelat")</f>
        <v>Roti Gandum Cokelat</v>
      </c>
      <c r="H760" s="2"/>
      <c r="I760" s="2"/>
      <c r="J760" s="2">
        <f>IFERROR(__xludf.DUMMYFUNCTION("""COMPUTED_VALUE"""),1.0)</f>
        <v>1</v>
      </c>
      <c r="K760" s="6">
        <f>IFERROR(__xludf.DUMMYFUNCTION("""COMPUTED_VALUE"""),19524.0)</f>
        <v>19524</v>
      </c>
      <c r="L760" s="2">
        <f>IFERROR(__xludf.DUMMYFUNCTION("""COMPUTED_VALUE"""),0.0)</f>
        <v>0</v>
      </c>
      <c r="M760" s="2">
        <f>IFERROR(__xludf.DUMMYFUNCTION("""COMPUTED_VALUE"""),19524.0)</f>
        <v>19524</v>
      </c>
      <c r="N760" s="2">
        <f>IFERROR(__xludf.DUMMYFUNCTION("""COMPUTED_VALUE"""),0.0)</f>
        <v>0</v>
      </c>
      <c r="O760" s="2">
        <f>IFERROR(__xludf.DUMMYFUNCTION("""COMPUTED_VALUE"""),19524.0)</f>
        <v>19524</v>
      </c>
      <c r="P760" s="2">
        <f>IFERROR(__xludf.DUMMYFUNCTION("""COMPUTED_VALUE"""),976.0)</f>
        <v>976</v>
      </c>
      <c r="Q760" s="2" t="str">
        <f>IFERROR(__xludf.DUMMYFUNCTION("""COMPUTED_VALUE"""),"Dine In")</f>
        <v>Dine In</v>
      </c>
      <c r="R760" s="2" t="str">
        <f>IFERROR(__xludf.DUMMYFUNCTION("""COMPUTED_VALUE"""),"Kedai")</f>
        <v>Kedai</v>
      </c>
      <c r="S760" s="2" t="str">
        <f>IFERROR(__xludf.DUMMYFUNCTION("""COMPUTED_VALUE"""),"Temu Roti")</f>
        <v>Temu Roti</v>
      </c>
      <c r="T760" s="2" t="str">
        <f>IFERROR(__xludf.DUMMYFUNCTION("""COMPUTED_VALUE"""),"Owner")</f>
        <v>Owner</v>
      </c>
      <c r="U760" s="2"/>
      <c r="V760" s="2"/>
      <c r="W760" s="2"/>
      <c r="X760" s="2" t="str">
        <f>IFERROR(__xludf.DUMMYFUNCTION("""COMPUTED_VALUE"""),"Closed")</f>
        <v>Closed</v>
      </c>
    </row>
    <row r="761">
      <c r="A761" s="3" t="s">
        <v>777</v>
      </c>
      <c r="B761" s="4">
        <f>IFERROR(__xludf.DUMMYFUNCTION("SPLIT(A761,"","",0,0)"),45549.6875)</f>
        <v>45549.6875</v>
      </c>
      <c r="C761" s="5">
        <f>IFERROR(__xludf.DUMMYFUNCTION("""COMPUTED_VALUE"""),2695889.0)</f>
        <v>2695889</v>
      </c>
      <c r="D761" s="2" t="str">
        <f>IFERROR(__xludf.DUMMYFUNCTION("""COMPUTED_VALUE"""),"Sale")</f>
        <v>Sale</v>
      </c>
      <c r="E761" s="2" t="str">
        <f>IFERROR(__xludf.DUMMYFUNCTION("""COMPUTED_VALUE"""),"Minuman")</f>
        <v>Minuman</v>
      </c>
      <c r="F761" s="2">
        <f>IFERROR(__xludf.DUMMYFUNCTION("""COMPUTED_VALUE"""),10069.0)</f>
        <v>10069</v>
      </c>
      <c r="G761" s="2" t="str">
        <f>IFERROR(__xludf.DUMMYFUNCTION("""COMPUTED_VALUE"""),"Wedang hujan")</f>
        <v>Wedang hujan</v>
      </c>
      <c r="H761" s="2"/>
      <c r="I761" s="2"/>
      <c r="J761" s="2">
        <f>IFERROR(__xludf.DUMMYFUNCTION("""COMPUTED_VALUE"""),1.0)</f>
        <v>1</v>
      </c>
      <c r="K761" s="6">
        <f>IFERROR(__xludf.DUMMYFUNCTION("""COMPUTED_VALUE"""),24762.0)</f>
        <v>24762</v>
      </c>
      <c r="L761" s="2">
        <f>IFERROR(__xludf.DUMMYFUNCTION("""COMPUTED_VALUE"""),0.0)</f>
        <v>0</v>
      </c>
      <c r="M761" s="2">
        <f>IFERROR(__xludf.DUMMYFUNCTION("""COMPUTED_VALUE"""),24762.0)</f>
        <v>24762</v>
      </c>
      <c r="N761" s="2">
        <f>IFERROR(__xludf.DUMMYFUNCTION("""COMPUTED_VALUE"""),0.0)</f>
        <v>0</v>
      </c>
      <c r="O761" s="2">
        <f>IFERROR(__xludf.DUMMYFUNCTION("""COMPUTED_VALUE"""),24762.0)</f>
        <v>24762</v>
      </c>
      <c r="P761" s="2">
        <f>IFERROR(__xludf.DUMMYFUNCTION("""COMPUTED_VALUE"""),1238.0)</f>
        <v>1238</v>
      </c>
      <c r="Q761" s="2" t="str">
        <f>IFERROR(__xludf.DUMMYFUNCTION("""COMPUTED_VALUE"""),"Dine In")</f>
        <v>Dine In</v>
      </c>
      <c r="R761" s="2" t="str">
        <f>IFERROR(__xludf.DUMMYFUNCTION("""COMPUTED_VALUE"""),"Kedai")</f>
        <v>Kedai</v>
      </c>
      <c r="S761" s="2" t="str">
        <f>IFERROR(__xludf.DUMMYFUNCTION("""COMPUTED_VALUE"""),"Temu Roti")</f>
        <v>Temu Roti</v>
      </c>
      <c r="T761" s="2" t="str">
        <f>IFERROR(__xludf.DUMMYFUNCTION("""COMPUTED_VALUE"""),"Owner")</f>
        <v>Owner</v>
      </c>
      <c r="U761" s="2"/>
      <c r="V761" s="2"/>
      <c r="W761" s="2"/>
      <c r="X761" s="2" t="str">
        <f>IFERROR(__xludf.DUMMYFUNCTION("""COMPUTED_VALUE"""),"Closed")</f>
        <v>Closed</v>
      </c>
    </row>
    <row r="762">
      <c r="A762" s="3" t="s">
        <v>778</v>
      </c>
      <c r="B762" s="4">
        <f>IFERROR(__xludf.DUMMYFUNCTION("SPLIT(A762,"","",0,0)"),45549.6875)</f>
        <v>45549.6875</v>
      </c>
      <c r="C762" s="5">
        <f>IFERROR(__xludf.DUMMYFUNCTION("""COMPUTED_VALUE"""),2695889.0)</f>
        <v>2695889</v>
      </c>
      <c r="D762" s="2" t="str">
        <f>IFERROR(__xludf.DUMMYFUNCTION("""COMPUTED_VALUE"""),"Sale")</f>
        <v>Sale</v>
      </c>
      <c r="E762" s="2" t="str">
        <f>IFERROR(__xludf.DUMMYFUNCTION("""COMPUTED_VALUE"""),"Roti")</f>
        <v>Roti</v>
      </c>
      <c r="F762" s="2">
        <f>IFERROR(__xludf.DUMMYFUNCTION("""COMPUTED_VALUE"""),10007.0)</f>
        <v>10007</v>
      </c>
      <c r="G762" s="2" t="str">
        <f>IFERROR(__xludf.DUMMYFUNCTION("""COMPUTED_VALUE"""),"Roti cranberry 2 pcs")</f>
        <v>Roti cranberry 2 pcs</v>
      </c>
      <c r="H762" s="2"/>
      <c r="I762" s="2"/>
      <c r="J762" s="2">
        <f>IFERROR(__xludf.DUMMYFUNCTION("""COMPUTED_VALUE"""),1.0)</f>
        <v>1</v>
      </c>
      <c r="K762" s="6">
        <f>IFERROR(__xludf.DUMMYFUNCTION("""COMPUTED_VALUE"""),33810.0)</f>
        <v>33810</v>
      </c>
      <c r="L762" s="2">
        <f>IFERROR(__xludf.DUMMYFUNCTION("""COMPUTED_VALUE"""),0.0)</f>
        <v>0</v>
      </c>
      <c r="M762" s="2">
        <f>IFERROR(__xludf.DUMMYFUNCTION("""COMPUTED_VALUE"""),33810.0)</f>
        <v>33810</v>
      </c>
      <c r="N762" s="2">
        <f>IFERROR(__xludf.DUMMYFUNCTION("""COMPUTED_VALUE"""),0.0)</f>
        <v>0</v>
      </c>
      <c r="O762" s="2">
        <f>IFERROR(__xludf.DUMMYFUNCTION("""COMPUTED_VALUE"""),33810.0)</f>
        <v>33810</v>
      </c>
      <c r="P762" s="2">
        <f>IFERROR(__xludf.DUMMYFUNCTION("""COMPUTED_VALUE"""),1690.0)</f>
        <v>1690</v>
      </c>
      <c r="Q762" s="2" t="str">
        <f>IFERROR(__xludf.DUMMYFUNCTION("""COMPUTED_VALUE"""),"Dine In")</f>
        <v>Dine In</v>
      </c>
      <c r="R762" s="2" t="str">
        <f>IFERROR(__xludf.DUMMYFUNCTION("""COMPUTED_VALUE"""),"Kedai")</f>
        <v>Kedai</v>
      </c>
      <c r="S762" s="2" t="str">
        <f>IFERROR(__xludf.DUMMYFUNCTION("""COMPUTED_VALUE"""),"Temu Roti")</f>
        <v>Temu Roti</v>
      </c>
      <c r="T762" s="2" t="str">
        <f>IFERROR(__xludf.DUMMYFUNCTION("""COMPUTED_VALUE"""),"Owner")</f>
        <v>Owner</v>
      </c>
      <c r="U762" s="2"/>
      <c r="V762" s="2"/>
      <c r="W762" s="2"/>
      <c r="X762" s="2" t="str">
        <f>IFERROR(__xludf.DUMMYFUNCTION("""COMPUTED_VALUE"""),"Closed")</f>
        <v>Closed</v>
      </c>
    </row>
    <row r="763">
      <c r="A763" s="3" t="s">
        <v>779</v>
      </c>
      <c r="B763" s="4">
        <f>IFERROR(__xludf.DUMMYFUNCTION("SPLIT(A763,"","",0,0)"),45549.6875)</f>
        <v>45549.6875</v>
      </c>
      <c r="C763" s="5">
        <f>IFERROR(__xludf.DUMMYFUNCTION("""COMPUTED_VALUE"""),2695889.0)</f>
        <v>2695889</v>
      </c>
      <c r="D763" s="2" t="str">
        <f>IFERROR(__xludf.DUMMYFUNCTION("""COMPUTED_VALUE"""),"Sale")</f>
        <v>Sale</v>
      </c>
      <c r="E763" s="2" t="str">
        <f>IFERROR(__xludf.DUMMYFUNCTION("""COMPUTED_VALUE"""),"Roti")</f>
        <v>Roti</v>
      </c>
      <c r="F763" s="2">
        <f>IFERROR(__xludf.DUMMYFUNCTION("""COMPUTED_VALUE"""),10055.0)</f>
        <v>10055</v>
      </c>
      <c r="G763" s="2" t="str">
        <f>IFERROR(__xludf.DUMMYFUNCTION("""COMPUTED_VALUE"""),"Roti Gandum Cokelat 2 pcs")</f>
        <v>Roti Gandum Cokelat 2 pcs</v>
      </c>
      <c r="H763" s="2"/>
      <c r="I763" s="2"/>
      <c r="J763" s="2">
        <f>IFERROR(__xludf.DUMMYFUNCTION("""COMPUTED_VALUE"""),1.0)</f>
        <v>1</v>
      </c>
      <c r="K763" s="6">
        <f>IFERROR(__xludf.DUMMYFUNCTION("""COMPUTED_VALUE"""),34762.0)</f>
        <v>34762</v>
      </c>
      <c r="L763" s="2">
        <f>IFERROR(__xludf.DUMMYFUNCTION("""COMPUTED_VALUE"""),0.0)</f>
        <v>0</v>
      </c>
      <c r="M763" s="2">
        <f>IFERROR(__xludf.DUMMYFUNCTION("""COMPUTED_VALUE"""),34762.0)</f>
        <v>34762</v>
      </c>
      <c r="N763" s="2">
        <f>IFERROR(__xludf.DUMMYFUNCTION("""COMPUTED_VALUE"""),0.0)</f>
        <v>0</v>
      </c>
      <c r="O763" s="2">
        <f>IFERROR(__xludf.DUMMYFUNCTION("""COMPUTED_VALUE"""),34762.0)</f>
        <v>34762</v>
      </c>
      <c r="P763" s="2">
        <f>IFERROR(__xludf.DUMMYFUNCTION("""COMPUTED_VALUE"""),1738.0)</f>
        <v>1738</v>
      </c>
      <c r="Q763" s="2" t="str">
        <f>IFERROR(__xludf.DUMMYFUNCTION("""COMPUTED_VALUE"""),"Dine In")</f>
        <v>Dine In</v>
      </c>
      <c r="R763" s="2" t="str">
        <f>IFERROR(__xludf.DUMMYFUNCTION("""COMPUTED_VALUE"""),"Kedai")</f>
        <v>Kedai</v>
      </c>
      <c r="S763" s="2" t="str">
        <f>IFERROR(__xludf.DUMMYFUNCTION("""COMPUTED_VALUE"""),"Temu Roti")</f>
        <v>Temu Roti</v>
      </c>
      <c r="T763" s="2" t="str">
        <f>IFERROR(__xludf.DUMMYFUNCTION("""COMPUTED_VALUE"""),"Owner")</f>
        <v>Owner</v>
      </c>
      <c r="U763" s="2"/>
      <c r="V763" s="2"/>
      <c r="W763" s="2"/>
      <c r="X763" s="2" t="str">
        <f>IFERROR(__xludf.DUMMYFUNCTION("""COMPUTED_VALUE"""),"Closed")</f>
        <v>Closed</v>
      </c>
    </row>
    <row r="764">
      <c r="A764" s="3" t="s">
        <v>773</v>
      </c>
      <c r="B764" s="4">
        <f>IFERROR(__xludf.DUMMYFUNCTION("SPLIT(A764,"","",0,0)"),45549.6875)</f>
        <v>45549.6875</v>
      </c>
      <c r="C764" s="5">
        <f>IFERROR(__xludf.DUMMYFUNCTION("""COMPUTED_VALUE"""),2695889.0)</f>
        <v>2695889</v>
      </c>
      <c r="D764" s="2" t="str">
        <f>IFERROR(__xludf.DUMMYFUNCTION("""COMPUTED_VALUE"""),"Sale")</f>
        <v>Sale</v>
      </c>
      <c r="E764" s="2" t="str">
        <f>IFERROR(__xludf.DUMMYFUNCTION("""COMPUTED_VALUE"""),"Roti")</f>
        <v>Roti</v>
      </c>
      <c r="F764" s="2">
        <f>IFERROR(__xludf.DUMMYFUNCTION("""COMPUTED_VALUE"""),10007.0)</f>
        <v>10007</v>
      </c>
      <c r="G764" s="2" t="str">
        <f>IFERROR(__xludf.DUMMYFUNCTION("""COMPUTED_VALUE"""),"Roti cranberry 2 pcs")</f>
        <v>Roti cranberry 2 pcs</v>
      </c>
      <c r="H764" s="2"/>
      <c r="I764" s="2"/>
      <c r="J764" s="2">
        <f>IFERROR(__xludf.DUMMYFUNCTION("""COMPUTED_VALUE"""),1.0)</f>
        <v>1</v>
      </c>
      <c r="K764" s="6">
        <f>IFERROR(__xludf.DUMMYFUNCTION("""COMPUTED_VALUE"""),33810.0)</f>
        <v>33810</v>
      </c>
      <c r="L764" s="2">
        <f>IFERROR(__xludf.DUMMYFUNCTION("""COMPUTED_VALUE"""),0.0)</f>
        <v>0</v>
      </c>
      <c r="M764" s="2">
        <f>IFERROR(__xludf.DUMMYFUNCTION("""COMPUTED_VALUE"""),33810.0)</f>
        <v>33810</v>
      </c>
      <c r="N764" s="2">
        <f>IFERROR(__xludf.DUMMYFUNCTION("""COMPUTED_VALUE"""),0.0)</f>
        <v>0</v>
      </c>
      <c r="O764" s="2">
        <f>IFERROR(__xludf.DUMMYFUNCTION("""COMPUTED_VALUE"""),33810.0)</f>
        <v>33810</v>
      </c>
      <c r="P764" s="2">
        <f>IFERROR(__xludf.DUMMYFUNCTION("""COMPUTED_VALUE"""),1691.0)</f>
        <v>1691</v>
      </c>
      <c r="Q764" s="2" t="str">
        <f>IFERROR(__xludf.DUMMYFUNCTION("""COMPUTED_VALUE"""),"Dine In")</f>
        <v>Dine In</v>
      </c>
      <c r="R764" s="2" t="str">
        <f>IFERROR(__xludf.DUMMYFUNCTION("""COMPUTED_VALUE"""),"Kedai")</f>
        <v>Kedai</v>
      </c>
      <c r="S764" s="2" t="str">
        <f>IFERROR(__xludf.DUMMYFUNCTION("""COMPUTED_VALUE"""),"Temu Roti")</f>
        <v>Temu Roti</v>
      </c>
      <c r="T764" s="2" t="str">
        <f>IFERROR(__xludf.DUMMYFUNCTION("""COMPUTED_VALUE"""),"Owner")</f>
        <v>Owner</v>
      </c>
      <c r="U764" s="2"/>
      <c r="V764" s="2"/>
      <c r="W764" s="2"/>
      <c r="X764" s="2" t="str">
        <f>IFERROR(__xludf.DUMMYFUNCTION("""COMPUTED_VALUE"""),"Closed")</f>
        <v>Closed</v>
      </c>
    </row>
    <row r="765">
      <c r="A765" s="3" t="s">
        <v>780</v>
      </c>
      <c r="B765" s="4">
        <f>IFERROR(__xludf.DUMMYFUNCTION("SPLIT(A765,"","",0,0)"),45549.6875)</f>
        <v>45549.6875</v>
      </c>
      <c r="C765" s="5">
        <f>IFERROR(__xludf.DUMMYFUNCTION("""COMPUTED_VALUE"""),2695889.0)</f>
        <v>2695889</v>
      </c>
      <c r="D765" s="2" t="str">
        <f>IFERROR(__xludf.DUMMYFUNCTION("""COMPUTED_VALUE"""),"Sale")</f>
        <v>Sale</v>
      </c>
      <c r="E765" s="2" t="str">
        <f>IFERROR(__xludf.DUMMYFUNCTION("""COMPUTED_VALUE"""),"Roti")</f>
        <v>Roti</v>
      </c>
      <c r="F765" s="2">
        <f>IFERROR(__xludf.DUMMYFUNCTION("""COMPUTED_VALUE"""),10000.0)</f>
        <v>10000</v>
      </c>
      <c r="G765" s="2" t="str">
        <f>IFERROR(__xludf.DUMMYFUNCTION("""COMPUTED_VALUE"""),"Roti Bawang Saus Keju")</f>
        <v>Roti Bawang Saus Keju</v>
      </c>
      <c r="H765" s="2"/>
      <c r="I765" s="2"/>
      <c r="J765" s="2">
        <f>IFERROR(__xludf.DUMMYFUNCTION("""COMPUTED_VALUE"""),2.0)</f>
        <v>2</v>
      </c>
      <c r="K765" s="6">
        <f>IFERROR(__xludf.DUMMYFUNCTION("""COMPUTED_VALUE"""),59048.0)</f>
        <v>59048</v>
      </c>
      <c r="L765" s="2">
        <f>IFERROR(__xludf.DUMMYFUNCTION("""COMPUTED_VALUE"""),0.0)</f>
        <v>0</v>
      </c>
      <c r="M765" s="2">
        <f>IFERROR(__xludf.DUMMYFUNCTION("""COMPUTED_VALUE"""),59048.0)</f>
        <v>59048</v>
      </c>
      <c r="N765" s="2">
        <f>IFERROR(__xludf.DUMMYFUNCTION("""COMPUTED_VALUE"""),0.0)</f>
        <v>0</v>
      </c>
      <c r="O765" s="2">
        <f>IFERROR(__xludf.DUMMYFUNCTION("""COMPUTED_VALUE"""),59048.0)</f>
        <v>59048</v>
      </c>
      <c r="P765" s="2">
        <f>IFERROR(__xludf.DUMMYFUNCTION("""COMPUTED_VALUE"""),2952.0)</f>
        <v>2952</v>
      </c>
      <c r="Q765" s="2" t="str">
        <f>IFERROR(__xludf.DUMMYFUNCTION("""COMPUTED_VALUE"""),"Dine In")</f>
        <v>Dine In</v>
      </c>
      <c r="R765" s="2" t="str">
        <f>IFERROR(__xludf.DUMMYFUNCTION("""COMPUTED_VALUE"""),"Kedai")</f>
        <v>Kedai</v>
      </c>
      <c r="S765" s="2" t="str">
        <f>IFERROR(__xludf.DUMMYFUNCTION("""COMPUTED_VALUE"""),"Temu Roti")</f>
        <v>Temu Roti</v>
      </c>
      <c r="T765" s="2" t="str">
        <f>IFERROR(__xludf.DUMMYFUNCTION("""COMPUTED_VALUE"""),"Owner")</f>
        <v>Owner</v>
      </c>
      <c r="U765" s="2"/>
      <c r="V765" s="2"/>
      <c r="W765" s="2"/>
      <c r="X765" s="2" t="str">
        <f>IFERROR(__xludf.DUMMYFUNCTION("""COMPUTED_VALUE"""),"Closed")</f>
        <v>Closed</v>
      </c>
    </row>
    <row r="766">
      <c r="A766" s="3" t="s">
        <v>781</v>
      </c>
      <c r="B766" s="4">
        <f>IFERROR(__xludf.DUMMYFUNCTION("SPLIT(A766,"","",0,0)"),45549.6875)</f>
        <v>45549.6875</v>
      </c>
      <c r="C766" s="5">
        <f>IFERROR(__xludf.DUMMYFUNCTION("""COMPUTED_VALUE"""),2695889.0)</f>
        <v>2695889</v>
      </c>
      <c r="D766" s="2" t="str">
        <f>IFERROR(__xludf.DUMMYFUNCTION("""COMPUTED_VALUE"""),"Sale")</f>
        <v>Sale</v>
      </c>
      <c r="E766" s="2" t="str">
        <f>IFERROR(__xludf.DUMMYFUNCTION("""COMPUTED_VALUE"""),"Kudapan")</f>
        <v>Kudapan</v>
      </c>
      <c r="F766" s="2">
        <f>IFERROR(__xludf.DUMMYFUNCTION("""COMPUTED_VALUE"""),10011.0)</f>
        <v>10011</v>
      </c>
      <c r="G766" s="2" t="str">
        <f>IFERROR(__xludf.DUMMYFUNCTION("""COMPUTED_VALUE"""),"Kentang Goreng")</f>
        <v>Kentang Goreng</v>
      </c>
      <c r="H766" s="2"/>
      <c r="I766" s="2"/>
      <c r="J766" s="2">
        <f>IFERROR(__xludf.DUMMYFUNCTION("""COMPUTED_VALUE"""),1.0)</f>
        <v>1</v>
      </c>
      <c r="K766" s="6">
        <f>IFERROR(__xludf.DUMMYFUNCTION("""COMPUTED_VALUE"""),25238.0)</f>
        <v>25238</v>
      </c>
      <c r="L766" s="2">
        <f>IFERROR(__xludf.DUMMYFUNCTION("""COMPUTED_VALUE"""),0.0)</f>
        <v>0</v>
      </c>
      <c r="M766" s="2">
        <f>IFERROR(__xludf.DUMMYFUNCTION("""COMPUTED_VALUE"""),25238.0)</f>
        <v>25238</v>
      </c>
      <c r="N766" s="2">
        <f>IFERROR(__xludf.DUMMYFUNCTION("""COMPUTED_VALUE"""),0.0)</f>
        <v>0</v>
      </c>
      <c r="O766" s="2">
        <f>IFERROR(__xludf.DUMMYFUNCTION("""COMPUTED_VALUE"""),25238.0)</f>
        <v>25238</v>
      </c>
      <c r="P766" s="2">
        <f>IFERROR(__xludf.DUMMYFUNCTION("""COMPUTED_VALUE"""),1262.0)</f>
        <v>1262</v>
      </c>
      <c r="Q766" s="2" t="str">
        <f>IFERROR(__xludf.DUMMYFUNCTION("""COMPUTED_VALUE"""),"Dine In")</f>
        <v>Dine In</v>
      </c>
      <c r="R766" s="2" t="str">
        <f>IFERROR(__xludf.DUMMYFUNCTION("""COMPUTED_VALUE"""),"Kedai")</f>
        <v>Kedai</v>
      </c>
      <c r="S766" s="2" t="str">
        <f>IFERROR(__xludf.DUMMYFUNCTION("""COMPUTED_VALUE"""),"Temu Roti")</f>
        <v>Temu Roti</v>
      </c>
      <c r="T766" s="2" t="str">
        <f>IFERROR(__xludf.DUMMYFUNCTION("""COMPUTED_VALUE"""),"Owner")</f>
        <v>Owner</v>
      </c>
      <c r="U766" s="2"/>
      <c r="V766" s="2"/>
      <c r="W766" s="2"/>
      <c r="X766" s="2" t="str">
        <f>IFERROR(__xludf.DUMMYFUNCTION("""COMPUTED_VALUE"""),"Closed")</f>
        <v>Closed</v>
      </c>
    </row>
    <row r="767">
      <c r="A767" s="3" t="s">
        <v>782</v>
      </c>
      <c r="B767" s="4">
        <f>IFERROR(__xludf.DUMMYFUNCTION("SPLIT(A767,"","",0,0)"),45549.67361111111)</f>
        <v>45549.67361</v>
      </c>
      <c r="C767" s="5">
        <f>IFERROR(__xludf.DUMMYFUNCTION("""COMPUTED_VALUE"""),2695523.0)</f>
        <v>2695523</v>
      </c>
      <c r="D767" s="2" t="str">
        <f>IFERROR(__xludf.DUMMYFUNCTION("""COMPUTED_VALUE"""),"Sale")</f>
        <v>Sale</v>
      </c>
      <c r="E767" s="2" t="str">
        <f>IFERROR(__xludf.DUMMYFUNCTION("""COMPUTED_VALUE"""),"Hidangan Utama")</f>
        <v>Hidangan Utama</v>
      </c>
      <c r="F767" s="2">
        <f>IFERROR(__xludf.DUMMYFUNCTION("""COMPUTED_VALUE"""),10105.0)</f>
        <v>10105</v>
      </c>
      <c r="G767" s="2" t="str">
        <f>IFERROR(__xludf.DUMMYFUNCTION("""COMPUTED_VALUE"""),"Beef Claypot Rice")</f>
        <v>Beef Claypot Rice</v>
      </c>
      <c r="H767" s="2"/>
      <c r="I767" s="2"/>
      <c r="J767" s="2">
        <f>IFERROR(__xludf.DUMMYFUNCTION("""COMPUTED_VALUE"""),1.0)</f>
        <v>1</v>
      </c>
      <c r="K767" s="6">
        <f>IFERROR(__xludf.DUMMYFUNCTION("""COMPUTED_VALUE"""),38095.0)</f>
        <v>38095</v>
      </c>
      <c r="L767" s="2">
        <f>IFERROR(__xludf.DUMMYFUNCTION("""COMPUTED_VALUE"""),0.0)</f>
        <v>0</v>
      </c>
      <c r="M767" s="2">
        <f>IFERROR(__xludf.DUMMYFUNCTION("""COMPUTED_VALUE"""),38095.0)</f>
        <v>38095</v>
      </c>
      <c r="N767" s="2">
        <f>IFERROR(__xludf.DUMMYFUNCTION("""COMPUTED_VALUE"""),0.0)</f>
        <v>0</v>
      </c>
      <c r="O767" s="2">
        <f>IFERROR(__xludf.DUMMYFUNCTION("""COMPUTED_VALUE"""),38095.0)</f>
        <v>38095</v>
      </c>
      <c r="P767" s="2">
        <f>IFERROR(__xludf.DUMMYFUNCTION("""COMPUTED_VALUE"""),1905.0)</f>
        <v>1905</v>
      </c>
      <c r="Q767" s="2" t="str">
        <f>IFERROR(__xludf.DUMMYFUNCTION("""COMPUTED_VALUE"""),"Dine In")</f>
        <v>Dine In</v>
      </c>
      <c r="R767" s="2" t="str">
        <f>IFERROR(__xludf.DUMMYFUNCTION("""COMPUTED_VALUE"""),"Kedai")</f>
        <v>Kedai</v>
      </c>
      <c r="S767" s="2" t="str">
        <f>IFERROR(__xludf.DUMMYFUNCTION("""COMPUTED_VALUE"""),"Temu Roti")</f>
        <v>Temu Roti</v>
      </c>
      <c r="T767" s="2" t="str">
        <f>IFERROR(__xludf.DUMMYFUNCTION("""COMPUTED_VALUE"""),"Owner")</f>
        <v>Owner</v>
      </c>
      <c r="U767" s="2"/>
      <c r="V767" s="2"/>
      <c r="W767" s="2"/>
      <c r="X767" s="2" t="str">
        <f>IFERROR(__xludf.DUMMYFUNCTION("""COMPUTED_VALUE"""),"Closed")</f>
        <v>Closed</v>
      </c>
    </row>
    <row r="768">
      <c r="A768" s="3" t="s">
        <v>783</v>
      </c>
      <c r="B768" s="4">
        <f>IFERROR(__xludf.DUMMYFUNCTION("SPLIT(A768,"","",0,0)"),45549.67361111111)</f>
        <v>45549.67361</v>
      </c>
      <c r="C768" s="5">
        <f>IFERROR(__xludf.DUMMYFUNCTION("""COMPUTED_VALUE"""),2695523.0)</f>
        <v>2695523</v>
      </c>
      <c r="D768" s="2" t="str">
        <f>IFERROR(__xludf.DUMMYFUNCTION("""COMPUTED_VALUE"""),"Sale")</f>
        <v>Sale</v>
      </c>
      <c r="E768" s="2" t="str">
        <f>IFERROR(__xludf.DUMMYFUNCTION("""COMPUTED_VALUE"""),"Minuman")</f>
        <v>Minuman</v>
      </c>
      <c r="F768" s="2">
        <f>IFERROR(__xludf.DUMMYFUNCTION("""COMPUTED_VALUE"""),10119.0)</f>
        <v>10119</v>
      </c>
      <c r="G768" s="2" t="str">
        <f>IFERROR(__xludf.DUMMYFUNCTION("""COMPUTED_VALUE"""),"Teh Tawar Dingin")</f>
        <v>Teh Tawar Dingin</v>
      </c>
      <c r="H768" s="2"/>
      <c r="I768" s="2"/>
      <c r="J768" s="2">
        <f>IFERROR(__xludf.DUMMYFUNCTION("""COMPUTED_VALUE"""),1.0)</f>
        <v>1</v>
      </c>
      <c r="K768" s="6">
        <f>IFERROR(__xludf.DUMMYFUNCTION("""COMPUTED_VALUE"""),7143.0)</f>
        <v>7143</v>
      </c>
      <c r="L768" s="2">
        <f>IFERROR(__xludf.DUMMYFUNCTION("""COMPUTED_VALUE"""),0.0)</f>
        <v>0</v>
      </c>
      <c r="M768" s="2">
        <f>IFERROR(__xludf.DUMMYFUNCTION("""COMPUTED_VALUE"""),7143.0)</f>
        <v>7143</v>
      </c>
      <c r="N768" s="2">
        <f>IFERROR(__xludf.DUMMYFUNCTION("""COMPUTED_VALUE"""),0.0)</f>
        <v>0</v>
      </c>
      <c r="O768" s="2">
        <f>IFERROR(__xludf.DUMMYFUNCTION("""COMPUTED_VALUE"""),7143.0)</f>
        <v>7143</v>
      </c>
      <c r="P768" s="2">
        <f>IFERROR(__xludf.DUMMYFUNCTION("""COMPUTED_VALUE"""),357.0)</f>
        <v>357</v>
      </c>
      <c r="Q768" s="2" t="str">
        <f>IFERROR(__xludf.DUMMYFUNCTION("""COMPUTED_VALUE"""),"Dine In")</f>
        <v>Dine In</v>
      </c>
      <c r="R768" s="2" t="str">
        <f>IFERROR(__xludf.DUMMYFUNCTION("""COMPUTED_VALUE"""),"Kedai")</f>
        <v>Kedai</v>
      </c>
      <c r="S768" s="2" t="str">
        <f>IFERROR(__xludf.DUMMYFUNCTION("""COMPUTED_VALUE"""),"Temu Roti")</f>
        <v>Temu Roti</v>
      </c>
      <c r="T768" s="2" t="str">
        <f>IFERROR(__xludf.DUMMYFUNCTION("""COMPUTED_VALUE"""),"Owner")</f>
        <v>Owner</v>
      </c>
      <c r="U768" s="2"/>
      <c r="V768" s="2"/>
      <c r="W768" s="2"/>
      <c r="X768" s="2" t="str">
        <f>IFERROR(__xludf.DUMMYFUNCTION("""COMPUTED_VALUE"""),"Closed")</f>
        <v>Closed</v>
      </c>
    </row>
    <row r="769">
      <c r="A769" s="3" t="s">
        <v>784</v>
      </c>
      <c r="B769" s="4">
        <f>IFERROR(__xludf.DUMMYFUNCTION("SPLIT(A769,"","",0,0)"),45549.65555555555)</f>
        <v>45549.65556</v>
      </c>
      <c r="C769" s="5">
        <f>IFERROR(__xludf.DUMMYFUNCTION("""COMPUTED_VALUE"""),2695158.0)</f>
        <v>2695158</v>
      </c>
      <c r="D769" s="2" t="str">
        <f>IFERROR(__xludf.DUMMYFUNCTION("""COMPUTED_VALUE"""),"Sale")</f>
        <v>Sale</v>
      </c>
      <c r="E769" s="2" t="str">
        <f>IFERROR(__xludf.DUMMYFUNCTION("""COMPUTED_VALUE"""),"Roti")</f>
        <v>Roti</v>
      </c>
      <c r="F769" s="2">
        <f>IFERROR(__xludf.DUMMYFUNCTION("""COMPUTED_VALUE"""),10002.0)</f>
        <v>10002</v>
      </c>
      <c r="G769" s="2" t="str">
        <f>IFERROR(__xludf.DUMMYFUNCTION("""COMPUTED_VALUE"""),"Roti Cranberry")</f>
        <v>Roti Cranberry</v>
      </c>
      <c r="H769" s="2"/>
      <c r="I769" s="2"/>
      <c r="J769" s="2">
        <f>IFERROR(__xludf.DUMMYFUNCTION("""COMPUTED_VALUE"""),1.0)</f>
        <v>1</v>
      </c>
      <c r="K769" s="6">
        <f>IFERROR(__xludf.DUMMYFUNCTION("""COMPUTED_VALUE"""),18571.0)</f>
        <v>18571</v>
      </c>
      <c r="L769" s="2">
        <f>IFERROR(__xludf.DUMMYFUNCTION("""COMPUTED_VALUE"""),0.0)</f>
        <v>0</v>
      </c>
      <c r="M769" s="2">
        <f>IFERROR(__xludf.DUMMYFUNCTION("""COMPUTED_VALUE"""),18571.0)</f>
        <v>18571</v>
      </c>
      <c r="N769" s="2">
        <f>IFERROR(__xludf.DUMMYFUNCTION("""COMPUTED_VALUE"""),0.0)</f>
        <v>0</v>
      </c>
      <c r="O769" s="2">
        <f>IFERROR(__xludf.DUMMYFUNCTION("""COMPUTED_VALUE"""),18571.0)</f>
        <v>18571</v>
      </c>
      <c r="P769" s="2">
        <f>IFERROR(__xludf.DUMMYFUNCTION("""COMPUTED_VALUE"""),929.0)</f>
        <v>929</v>
      </c>
      <c r="Q769" s="2" t="str">
        <f>IFERROR(__xludf.DUMMYFUNCTION("""COMPUTED_VALUE"""),"Dine In")</f>
        <v>Dine In</v>
      </c>
      <c r="R769" s="2" t="str">
        <f>IFERROR(__xludf.DUMMYFUNCTION("""COMPUTED_VALUE"""),"Kedai")</f>
        <v>Kedai</v>
      </c>
      <c r="S769" s="2" t="str">
        <f>IFERROR(__xludf.DUMMYFUNCTION("""COMPUTED_VALUE"""),"Temu Roti")</f>
        <v>Temu Roti</v>
      </c>
      <c r="T769" s="2" t="str">
        <f>IFERROR(__xludf.DUMMYFUNCTION("""COMPUTED_VALUE"""),"Owner")</f>
        <v>Owner</v>
      </c>
      <c r="U769" s="2"/>
      <c r="V769" s="2"/>
      <c r="W769" s="2"/>
      <c r="X769" s="2" t="str">
        <f>IFERROR(__xludf.DUMMYFUNCTION("""COMPUTED_VALUE"""),"Closed")</f>
        <v>Closed</v>
      </c>
    </row>
    <row r="770">
      <c r="A770" s="3" t="s">
        <v>785</v>
      </c>
      <c r="B770" s="4">
        <f>IFERROR(__xludf.DUMMYFUNCTION("SPLIT(A770,"","",0,0)"),45549.654861111114)</f>
        <v>45549.65486</v>
      </c>
      <c r="C770" s="5">
        <f>IFERROR(__xludf.DUMMYFUNCTION("""COMPUTED_VALUE"""),2694793.0)</f>
        <v>2694793</v>
      </c>
      <c r="D770" s="2" t="str">
        <f>IFERROR(__xludf.DUMMYFUNCTION("""COMPUTED_VALUE"""),"Sale")</f>
        <v>Sale</v>
      </c>
      <c r="E770" s="2" t="str">
        <f>IFERROR(__xludf.DUMMYFUNCTION("""COMPUTED_VALUE"""),"Hidangan Utama")</f>
        <v>Hidangan Utama</v>
      </c>
      <c r="F770" s="2">
        <f>IFERROR(__xludf.DUMMYFUNCTION("""COMPUTED_VALUE"""),10104.0)</f>
        <v>10104</v>
      </c>
      <c r="G770" s="2" t="str">
        <f>IFERROR(__xludf.DUMMYFUNCTION("""COMPUTED_VALUE"""),"Chicken Claypot Rice")</f>
        <v>Chicken Claypot Rice</v>
      </c>
      <c r="H770" s="2"/>
      <c r="I770" s="2"/>
      <c r="J770" s="2">
        <f>IFERROR(__xludf.DUMMYFUNCTION("""COMPUTED_VALUE"""),1.0)</f>
        <v>1</v>
      </c>
      <c r="K770" s="6">
        <f>IFERROR(__xludf.DUMMYFUNCTION("""COMPUTED_VALUE"""),34762.0)</f>
        <v>34762</v>
      </c>
      <c r="L770" s="2">
        <f>IFERROR(__xludf.DUMMYFUNCTION("""COMPUTED_VALUE"""),0.0)</f>
        <v>0</v>
      </c>
      <c r="M770" s="2">
        <f>IFERROR(__xludf.DUMMYFUNCTION("""COMPUTED_VALUE"""),34762.0)</f>
        <v>34762</v>
      </c>
      <c r="N770" s="2">
        <f>IFERROR(__xludf.DUMMYFUNCTION("""COMPUTED_VALUE"""),0.0)</f>
        <v>0</v>
      </c>
      <c r="O770" s="2">
        <f>IFERROR(__xludf.DUMMYFUNCTION("""COMPUTED_VALUE"""),34762.0)</f>
        <v>34762</v>
      </c>
      <c r="P770" s="2">
        <f>IFERROR(__xludf.DUMMYFUNCTION("""COMPUTED_VALUE"""),1738.0)</f>
        <v>1738</v>
      </c>
      <c r="Q770" s="2" t="str">
        <f>IFERROR(__xludf.DUMMYFUNCTION("""COMPUTED_VALUE"""),"Dine In")</f>
        <v>Dine In</v>
      </c>
      <c r="R770" s="2" t="str">
        <f>IFERROR(__xludf.DUMMYFUNCTION("""COMPUTED_VALUE"""),"Kedai")</f>
        <v>Kedai</v>
      </c>
      <c r="S770" s="2" t="str">
        <f>IFERROR(__xludf.DUMMYFUNCTION("""COMPUTED_VALUE"""),"Temu Roti")</f>
        <v>Temu Roti</v>
      </c>
      <c r="T770" s="2" t="str">
        <f>IFERROR(__xludf.DUMMYFUNCTION("""COMPUTED_VALUE"""),"Owner")</f>
        <v>Owner</v>
      </c>
      <c r="U770" s="2"/>
      <c r="V770" s="2"/>
      <c r="W770" s="2"/>
      <c r="X770" s="2" t="str">
        <f>IFERROR(__xludf.DUMMYFUNCTION("""COMPUTED_VALUE"""),"Closed")</f>
        <v>Closed</v>
      </c>
    </row>
    <row r="771">
      <c r="A771" s="3" t="s">
        <v>786</v>
      </c>
      <c r="B771" s="4">
        <f>IFERROR(__xludf.DUMMYFUNCTION("SPLIT(A771,"","",0,0)"),45549.654861111114)</f>
        <v>45549.65486</v>
      </c>
      <c r="C771" s="5">
        <f>IFERROR(__xludf.DUMMYFUNCTION("""COMPUTED_VALUE"""),2694793.0)</f>
        <v>2694793</v>
      </c>
      <c r="D771" s="2" t="str">
        <f>IFERROR(__xludf.DUMMYFUNCTION("""COMPUTED_VALUE"""),"Sale")</f>
        <v>Sale</v>
      </c>
      <c r="E771" s="2" t="str">
        <f>IFERROR(__xludf.DUMMYFUNCTION("""COMPUTED_VALUE"""),"Hidangan Utama")</f>
        <v>Hidangan Utama</v>
      </c>
      <c r="F771" s="2">
        <f>IFERROR(__xludf.DUMMYFUNCTION("""COMPUTED_VALUE"""),10006.0)</f>
        <v>10006</v>
      </c>
      <c r="G771" s="2" t="str">
        <f>IFERROR(__xludf.DUMMYFUNCTION("""COMPUTED_VALUE"""),"Nasi")</f>
        <v>Nasi</v>
      </c>
      <c r="H771" s="2"/>
      <c r="I771" s="2"/>
      <c r="J771" s="2">
        <f>IFERROR(__xludf.DUMMYFUNCTION("""COMPUTED_VALUE"""),1.0)</f>
        <v>1</v>
      </c>
      <c r="K771" s="6">
        <f>IFERROR(__xludf.DUMMYFUNCTION("""COMPUTED_VALUE"""),7000.0)</f>
        <v>7000</v>
      </c>
      <c r="L771" s="2">
        <f>IFERROR(__xludf.DUMMYFUNCTION("""COMPUTED_VALUE"""),0.0)</f>
        <v>0</v>
      </c>
      <c r="M771" s="2">
        <f>IFERROR(__xludf.DUMMYFUNCTION("""COMPUTED_VALUE"""),7000.0)</f>
        <v>7000</v>
      </c>
      <c r="N771" s="2">
        <f>IFERROR(__xludf.DUMMYFUNCTION("""COMPUTED_VALUE"""),0.0)</f>
        <v>0</v>
      </c>
      <c r="O771" s="2">
        <f>IFERROR(__xludf.DUMMYFUNCTION("""COMPUTED_VALUE"""),7000.0)</f>
        <v>7000</v>
      </c>
      <c r="P771" s="2">
        <f>IFERROR(__xludf.DUMMYFUNCTION("""COMPUTED_VALUE"""),350.0)</f>
        <v>350</v>
      </c>
      <c r="Q771" s="2" t="str">
        <f>IFERROR(__xludf.DUMMYFUNCTION("""COMPUTED_VALUE"""),"Dine In")</f>
        <v>Dine In</v>
      </c>
      <c r="R771" s="2" t="str">
        <f>IFERROR(__xludf.DUMMYFUNCTION("""COMPUTED_VALUE"""),"Kedai")</f>
        <v>Kedai</v>
      </c>
      <c r="S771" s="2" t="str">
        <f>IFERROR(__xludf.DUMMYFUNCTION("""COMPUTED_VALUE"""),"Temu Roti")</f>
        <v>Temu Roti</v>
      </c>
      <c r="T771" s="2" t="str">
        <f>IFERROR(__xludf.DUMMYFUNCTION("""COMPUTED_VALUE"""),"Owner")</f>
        <v>Owner</v>
      </c>
      <c r="U771" s="2"/>
      <c r="V771" s="2"/>
      <c r="W771" s="2"/>
      <c r="X771" s="2" t="str">
        <f>IFERROR(__xludf.DUMMYFUNCTION("""COMPUTED_VALUE"""),"Closed")</f>
        <v>Closed</v>
      </c>
    </row>
    <row r="772">
      <c r="A772" s="3" t="s">
        <v>787</v>
      </c>
      <c r="B772" s="4">
        <f>IFERROR(__xludf.DUMMYFUNCTION("SPLIT(A772,"","",0,0)"),45549.63958333333)</f>
        <v>45549.63958</v>
      </c>
      <c r="C772" s="5">
        <f>IFERROR(__xludf.DUMMYFUNCTION("""COMPUTED_VALUE"""),2694428.0)</f>
        <v>2694428</v>
      </c>
      <c r="D772" s="2" t="str">
        <f>IFERROR(__xludf.DUMMYFUNCTION("""COMPUTED_VALUE"""),"Sale")</f>
        <v>Sale</v>
      </c>
      <c r="E772" s="2" t="str">
        <f>IFERROR(__xludf.DUMMYFUNCTION("""COMPUTED_VALUE"""),"Hidangan Utama")</f>
        <v>Hidangan Utama</v>
      </c>
      <c r="F772" s="2">
        <f>IFERROR(__xludf.DUMMYFUNCTION("""COMPUTED_VALUE"""),10053.0)</f>
        <v>10053</v>
      </c>
      <c r="G772" s="2" t="str">
        <f>IFERROR(__xludf.DUMMYFUNCTION("""COMPUTED_VALUE"""),"Nasi telor")</f>
        <v>Nasi telor</v>
      </c>
      <c r="H772" s="2"/>
      <c r="I772" s="2"/>
      <c r="J772" s="2">
        <f>IFERROR(__xludf.DUMMYFUNCTION("""COMPUTED_VALUE"""),1.0)</f>
        <v>1</v>
      </c>
      <c r="K772" s="6">
        <f>IFERROR(__xludf.DUMMYFUNCTION("""COMPUTED_VALUE"""),25238.0)</f>
        <v>25238</v>
      </c>
      <c r="L772" s="2">
        <f>IFERROR(__xludf.DUMMYFUNCTION("""COMPUTED_VALUE"""),0.0)</f>
        <v>0</v>
      </c>
      <c r="M772" s="2">
        <f>IFERROR(__xludf.DUMMYFUNCTION("""COMPUTED_VALUE"""),25238.0)</f>
        <v>25238</v>
      </c>
      <c r="N772" s="2">
        <f>IFERROR(__xludf.DUMMYFUNCTION("""COMPUTED_VALUE"""),0.0)</f>
        <v>0</v>
      </c>
      <c r="O772" s="2">
        <f>IFERROR(__xludf.DUMMYFUNCTION("""COMPUTED_VALUE"""),25238.0)</f>
        <v>25238</v>
      </c>
      <c r="P772" s="2">
        <f>IFERROR(__xludf.DUMMYFUNCTION("""COMPUTED_VALUE"""),1262.0)</f>
        <v>1262</v>
      </c>
      <c r="Q772" s="2" t="str">
        <f>IFERROR(__xludf.DUMMYFUNCTION("""COMPUTED_VALUE"""),"Dine In")</f>
        <v>Dine In</v>
      </c>
      <c r="R772" s="2" t="str">
        <f>IFERROR(__xludf.DUMMYFUNCTION("""COMPUTED_VALUE"""),"Kedai")</f>
        <v>Kedai</v>
      </c>
      <c r="S772" s="2" t="str">
        <f>IFERROR(__xludf.DUMMYFUNCTION("""COMPUTED_VALUE"""),"Temu Roti")</f>
        <v>Temu Roti</v>
      </c>
      <c r="T772" s="2" t="str">
        <f>IFERROR(__xludf.DUMMYFUNCTION("""COMPUTED_VALUE"""),"Owner")</f>
        <v>Owner</v>
      </c>
      <c r="U772" s="2"/>
      <c r="V772" s="2"/>
      <c r="W772" s="2"/>
      <c r="X772" s="2" t="str">
        <f>IFERROR(__xludf.DUMMYFUNCTION("""COMPUTED_VALUE"""),"Closed")</f>
        <v>Closed</v>
      </c>
    </row>
    <row r="773">
      <c r="A773" s="3" t="s">
        <v>788</v>
      </c>
      <c r="B773" s="4">
        <f>IFERROR(__xludf.DUMMYFUNCTION("SPLIT(A773,"","",0,0)"),45549.63958333333)</f>
        <v>45549.63958</v>
      </c>
      <c r="C773" s="5">
        <f>IFERROR(__xludf.DUMMYFUNCTION("""COMPUTED_VALUE"""),2694428.0)</f>
        <v>2694428</v>
      </c>
      <c r="D773" s="2" t="str">
        <f>IFERROR(__xludf.DUMMYFUNCTION("""COMPUTED_VALUE"""),"Sale")</f>
        <v>Sale</v>
      </c>
      <c r="E773" s="2" t="str">
        <f>IFERROR(__xludf.DUMMYFUNCTION("""COMPUTED_VALUE"""),"Hidangan Utama")</f>
        <v>Hidangan Utama</v>
      </c>
      <c r="F773" s="2">
        <f>IFERROR(__xludf.DUMMYFUNCTION("""COMPUTED_VALUE"""),10012.0)</f>
        <v>10012</v>
      </c>
      <c r="G773" s="2" t="str">
        <f>IFERROR(__xludf.DUMMYFUNCTION("""COMPUTED_VALUE"""),"Mie joglo")</f>
        <v>Mie joglo</v>
      </c>
      <c r="H773" s="2"/>
      <c r="I773" s="2"/>
      <c r="J773" s="2">
        <f>IFERROR(__xludf.DUMMYFUNCTION("""COMPUTED_VALUE"""),2.0)</f>
        <v>2</v>
      </c>
      <c r="K773" s="6">
        <f>IFERROR(__xludf.DUMMYFUNCTION("""COMPUTED_VALUE"""),59048.0)</f>
        <v>59048</v>
      </c>
      <c r="L773" s="2">
        <f>IFERROR(__xludf.DUMMYFUNCTION("""COMPUTED_VALUE"""),0.0)</f>
        <v>0</v>
      </c>
      <c r="M773" s="2">
        <f>IFERROR(__xludf.DUMMYFUNCTION("""COMPUTED_VALUE"""),59048.0)</f>
        <v>59048</v>
      </c>
      <c r="N773" s="2">
        <f>IFERROR(__xludf.DUMMYFUNCTION("""COMPUTED_VALUE"""),0.0)</f>
        <v>0</v>
      </c>
      <c r="O773" s="2">
        <f>IFERROR(__xludf.DUMMYFUNCTION("""COMPUTED_VALUE"""),59048.0)</f>
        <v>59048</v>
      </c>
      <c r="P773" s="2">
        <f>IFERROR(__xludf.DUMMYFUNCTION("""COMPUTED_VALUE"""),2952.0)</f>
        <v>2952</v>
      </c>
      <c r="Q773" s="2" t="str">
        <f>IFERROR(__xludf.DUMMYFUNCTION("""COMPUTED_VALUE"""),"Dine In")</f>
        <v>Dine In</v>
      </c>
      <c r="R773" s="2" t="str">
        <f>IFERROR(__xludf.DUMMYFUNCTION("""COMPUTED_VALUE"""),"Kedai")</f>
        <v>Kedai</v>
      </c>
      <c r="S773" s="2" t="str">
        <f>IFERROR(__xludf.DUMMYFUNCTION("""COMPUTED_VALUE"""),"Temu Roti")</f>
        <v>Temu Roti</v>
      </c>
      <c r="T773" s="2" t="str">
        <f>IFERROR(__xludf.DUMMYFUNCTION("""COMPUTED_VALUE"""),"Owner")</f>
        <v>Owner</v>
      </c>
      <c r="U773" s="2"/>
      <c r="V773" s="2"/>
      <c r="W773" s="2"/>
      <c r="X773" s="2" t="str">
        <f>IFERROR(__xludf.DUMMYFUNCTION("""COMPUTED_VALUE"""),"Closed")</f>
        <v>Closed</v>
      </c>
    </row>
    <row r="774">
      <c r="A774" s="3" t="s">
        <v>789</v>
      </c>
      <c r="B774" s="4">
        <f>IFERROR(__xludf.DUMMYFUNCTION("SPLIT(A774,"","",0,0)"),45549.63958333333)</f>
        <v>45549.63958</v>
      </c>
      <c r="C774" s="5">
        <f>IFERROR(__xludf.DUMMYFUNCTION("""COMPUTED_VALUE"""),2694428.0)</f>
        <v>2694428</v>
      </c>
      <c r="D774" s="2" t="str">
        <f>IFERROR(__xludf.DUMMYFUNCTION("""COMPUTED_VALUE"""),"Sale")</f>
        <v>Sale</v>
      </c>
      <c r="E774" s="2" t="str">
        <f>IFERROR(__xludf.DUMMYFUNCTION("""COMPUTED_VALUE"""),"Hidangan Utama")</f>
        <v>Hidangan Utama</v>
      </c>
      <c r="F774" s="2">
        <f>IFERROR(__xludf.DUMMYFUNCTION("""COMPUTED_VALUE"""),10105.0)</f>
        <v>10105</v>
      </c>
      <c r="G774" s="2" t="str">
        <f>IFERROR(__xludf.DUMMYFUNCTION("""COMPUTED_VALUE"""),"Beef Claypot Rice")</f>
        <v>Beef Claypot Rice</v>
      </c>
      <c r="H774" s="2"/>
      <c r="I774" s="2"/>
      <c r="J774" s="2">
        <f>IFERROR(__xludf.DUMMYFUNCTION("""COMPUTED_VALUE"""),1.0)</f>
        <v>1</v>
      </c>
      <c r="K774" s="6">
        <f>IFERROR(__xludf.DUMMYFUNCTION("""COMPUTED_VALUE"""),38095.0)</f>
        <v>38095</v>
      </c>
      <c r="L774" s="2">
        <f>IFERROR(__xludf.DUMMYFUNCTION("""COMPUTED_VALUE"""),0.0)</f>
        <v>0</v>
      </c>
      <c r="M774" s="2">
        <f>IFERROR(__xludf.DUMMYFUNCTION("""COMPUTED_VALUE"""),38095.0)</f>
        <v>38095</v>
      </c>
      <c r="N774" s="2">
        <f>IFERROR(__xludf.DUMMYFUNCTION("""COMPUTED_VALUE"""),0.0)</f>
        <v>0</v>
      </c>
      <c r="O774" s="2">
        <f>IFERROR(__xludf.DUMMYFUNCTION("""COMPUTED_VALUE"""),38095.0)</f>
        <v>38095</v>
      </c>
      <c r="P774" s="2">
        <f>IFERROR(__xludf.DUMMYFUNCTION("""COMPUTED_VALUE"""),1905.0)</f>
        <v>1905</v>
      </c>
      <c r="Q774" s="2" t="str">
        <f>IFERROR(__xludf.DUMMYFUNCTION("""COMPUTED_VALUE"""),"Dine In")</f>
        <v>Dine In</v>
      </c>
      <c r="R774" s="2" t="str">
        <f>IFERROR(__xludf.DUMMYFUNCTION("""COMPUTED_VALUE"""),"Kedai")</f>
        <v>Kedai</v>
      </c>
      <c r="S774" s="2" t="str">
        <f>IFERROR(__xludf.DUMMYFUNCTION("""COMPUTED_VALUE"""),"Temu Roti")</f>
        <v>Temu Roti</v>
      </c>
      <c r="T774" s="2" t="str">
        <f>IFERROR(__xludf.DUMMYFUNCTION("""COMPUTED_VALUE"""),"Owner")</f>
        <v>Owner</v>
      </c>
      <c r="U774" s="2"/>
      <c r="V774" s="2"/>
      <c r="W774" s="2"/>
      <c r="X774" s="2" t="str">
        <f>IFERROR(__xludf.DUMMYFUNCTION("""COMPUTED_VALUE"""),"Closed")</f>
        <v>Closed</v>
      </c>
    </row>
    <row r="775">
      <c r="A775" s="3" t="s">
        <v>790</v>
      </c>
      <c r="B775" s="4">
        <f>IFERROR(__xludf.DUMMYFUNCTION("SPLIT(A775,"","",0,0)"),45549.63958333333)</f>
        <v>45549.63958</v>
      </c>
      <c r="C775" s="5">
        <f>IFERROR(__xludf.DUMMYFUNCTION("""COMPUTED_VALUE"""),2694428.0)</f>
        <v>2694428</v>
      </c>
      <c r="D775" s="2" t="str">
        <f>IFERROR(__xludf.DUMMYFUNCTION("""COMPUTED_VALUE"""),"Sale")</f>
        <v>Sale</v>
      </c>
      <c r="E775" s="2" t="str">
        <f>IFERROR(__xludf.DUMMYFUNCTION("""COMPUTED_VALUE"""),"Minuman")</f>
        <v>Minuman</v>
      </c>
      <c r="F775" s="2">
        <f>IFERROR(__xludf.DUMMYFUNCTION("""COMPUTED_VALUE"""),10128.0)</f>
        <v>10128</v>
      </c>
      <c r="G775" s="2" t="str">
        <f>IFERROR(__xludf.DUMMYFUNCTION("""COMPUTED_VALUE"""),"Es Kopi Susu")</f>
        <v>Es Kopi Susu</v>
      </c>
      <c r="H775" s="2"/>
      <c r="I775" s="2"/>
      <c r="J775" s="2">
        <f>IFERROR(__xludf.DUMMYFUNCTION("""COMPUTED_VALUE"""),1.0)</f>
        <v>1</v>
      </c>
      <c r="K775" s="6">
        <f>IFERROR(__xludf.DUMMYFUNCTION("""COMPUTED_VALUE"""),23333.0)</f>
        <v>23333</v>
      </c>
      <c r="L775" s="2">
        <f>IFERROR(__xludf.DUMMYFUNCTION("""COMPUTED_VALUE"""),0.0)</f>
        <v>0</v>
      </c>
      <c r="M775" s="2">
        <f>IFERROR(__xludf.DUMMYFUNCTION("""COMPUTED_VALUE"""),23333.0)</f>
        <v>23333</v>
      </c>
      <c r="N775" s="2">
        <f>IFERROR(__xludf.DUMMYFUNCTION("""COMPUTED_VALUE"""),0.0)</f>
        <v>0</v>
      </c>
      <c r="O775" s="2">
        <f>IFERROR(__xludf.DUMMYFUNCTION("""COMPUTED_VALUE"""),23333.0)</f>
        <v>23333</v>
      </c>
      <c r="P775" s="2">
        <f>IFERROR(__xludf.DUMMYFUNCTION("""COMPUTED_VALUE"""),1167.0)</f>
        <v>1167</v>
      </c>
      <c r="Q775" s="2" t="str">
        <f>IFERROR(__xludf.DUMMYFUNCTION("""COMPUTED_VALUE"""),"Dine In")</f>
        <v>Dine In</v>
      </c>
      <c r="R775" s="2" t="str">
        <f>IFERROR(__xludf.DUMMYFUNCTION("""COMPUTED_VALUE"""),"Kedai")</f>
        <v>Kedai</v>
      </c>
      <c r="S775" s="2" t="str">
        <f>IFERROR(__xludf.DUMMYFUNCTION("""COMPUTED_VALUE"""),"Temu Roti")</f>
        <v>Temu Roti</v>
      </c>
      <c r="T775" s="2" t="str">
        <f>IFERROR(__xludf.DUMMYFUNCTION("""COMPUTED_VALUE"""),"Owner")</f>
        <v>Owner</v>
      </c>
      <c r="U775" s="2"/>
      <c r="V775" s="2"/>
      <c r="W775" s="2"/>
      <c r="X775" s="2" t="str">
        <f>IFERROR(__xludf.DUMMYFUNCTION("""COMPUTED_VALUE"""),"Closed")</f>
        <v>Closed</v>
      </c>
    </row>
    <row r="776">
      <c r="A776" s="3" t="s">
        <v>791</v>
      </c>
      <c r="B776" s="4">
        <f>IFERROR(__xludf.DUMMYFUNCTION("SPLIT(A776,"","",0,0)"),45549.63958333333)</f>
        <v>45549.63958</v>
      </c>
      <c r="C776" s="5">
        <f>IFERROR(__xludf.DUMMYFUNCTION("""COMPUTED_VALUE"""),2694428.0)</f>
        <v>2694428</v>
      </c>
      <c r="D776" s="2" t="str">
        <f>IFERROR(__xludf.DUMMYFUNCTION("""COMPUTED_VALUE"""),"Sale")</f>
        <v>Sale</v>
      </c>
      <c r="E776" s="2" t="str">
        <f>IFERROR(__xludf.DUMMYFUNCTION("""COMPUTED_VALUE"""),"Minuman")</f>
        <v>Minuman</v>
      </c>
      <c r="F776" s="2">
        <f>IFERROR(__xludf.DUMMYFUNCTION("""COMPUTED_VALUE"""),10112.0)</f>
        <v>10112</v>
      </c>
      <c r="G776" s="2" t="str">
        <f>IFERROR(__xludf.DUMMYFUNCTION("""COMPUTED_VALUE"""),"Air mineral")</f>
        <v>Air mineral</v>
      </c>
      <c r="H776" s="2"/>
      <c r="I776" s="2"/>
      <c r="J776" s="2">
        <f>IFERROR(__xludf.DUMMYFUNCTION("""COMPUTED_VALUE"""),2.0)</f>
        <v>2</v>
      </c>
      <c r="K776" s="6">
        <f>IFERROR(__xludf.DUMMYFUNCTION("""COMPUTED_VALUE"""),13334.0)</f>
        <v>13334</v>
      </c>
      <c r="L776" s="2">
        <f>IFERROR(__xludf.DUMMYFUNCTION("""COMPUTED_VALUE"""),0.0)</f>
        <v>0</v>
      </c>
      <c r="M776" s="2">
        <f>IFERROR(__xludf.DUMMYFUNCTION("""COMPUTED_VALUE"""),13334.0)</f>
        <v>13334</v>
      </c>
      <c r="N776" s="2">
        <f>IFERROR(__xludf.DUMMYFUNCTION("""COMPUTED_VALUE"""),0.0)</f>
        <v>0</v>
      </c>
      <c r="O776" s="2">
        <f>IFERROR(__xludf.DUMMYFUNCTION("""COMPUTED_VALUE"""),13334.0)</f>
        <v>13334</v>
      </c>
      <c r="P776" s="2">
        <f>IFERROR(__xludf.DUMMYFUNCTION("""COMPUTED_VALUE"""),666.0)</f>
        <v>666</v>
      </c>
      <c r="Q776" s="2" t="str">
        <f>IFERROR(__xludf.DUMMYFUNCTION("""COMPUTED_VALUE"""),"Dine In")</f>
        <v>Dine In</v>
      </c>
      <c r="R776" s="2" t="str">
        <f>IFERROR(__xludf.DUMMYFUNCTION("""COMPUTED_VALUE"""),"Kedai")</f>
        <v>Kedai</v>
      </c>
      <c r="S776" s="2" t="str">
        <f>IFERROR(__xludf.DUMMYFUNCTION("""COMPUTED_VALUE"""),"Temu Roti")</f>
        <v>Temu Roti</v>
      </c>
      <c r="T776" s="2" t="str">
        <f>IFERROR(__xludf.DUMMYFUNCTION("""COMPUTED_VALUE"""),"Owner")</f>
        <v>Owner</v>
      </c>
      <c r="U776" s="2"/>
      <c r="V776" s="2"/>
      <c r="W776" s="2"/>
      <c r="X776" s="2" t="str">
        <f>IFERROR(__xludf.DUMMYFUNCTION("""COMPUTED_VALUE"""),"Closed")</f>
        <v>Closed</v>
      </c>
    </row>
    <row r="777">
      <c r="A777" s="3" t="s">
        <v>792</v>
      </c>
      <c r="B777" s="4">
        <f>IFERROR(__xludf.DUMMYFUNCTION("SPLIT(A777,"","",0,0)"),45549.63958333333)</f>
        <v>45549.63958</v>
      </c>
      <c r="C777" s="5">
        <f>IFERROR(__xludf.DUMMYFUNCTION("""COMPUTED_VALUE"""),2694428.0)</f>
        <v>2694428</v>
      </c>
      <c r="D777" s="2" t="str">
        <f>IFERROR(__xludf.DUMMYFUNCTION("""COMPUTED_VALUE"""),"Sale")</f>
        <v>Sale</v>
      </c>
      <c r="E777" s="2" t="str">
        <f>IFERROR(__xludf.DUMMYFUNCTION("""COMPUTED_VALUE"""),"Kudapan")</f>
        <v>Kudapan</v>
      </c>
      <c r="F777" s="2">
        <f>IFERROR(__xludf.DUMMYFUNCTION("""COMPUTED_VALUE"""),10051.0)</f>
        <v>10051</v>
      </c>
      <c r="G777" s="2" t="str">
        <f>IFERROR(__xludf.DUMMYFUNCTION("""COMPUTED_VALUE"""),"Tahu baso")</f>
        <v>Tahu baso</v>
      </c>
      <c r="H777" s="2"/>
      <c r="I777" s="2"/>
      <c r="J777" s="2">
        <f>IFERROR(__xludf.DUMMYFUNCTION("""COMPUTED_VALUE"""),1.0)</f>
        <v>1</v>
      </c>
      <c r="K777" s="6">
        <f>IFERROR(__xludf.DUMMYFUNCTION("""COMPUTED_VALUE"""),25238.0)</f>
        <v>25238</v>
      </c>
      <c r="L777" s="2">
        <f>IFERROR(__xludf.DUMMYFUNCTION("""COMPUTED_VALUE"""),0.0)</f>
        <v>0</v>
      </c>
      <c r="M777" s="2">
        <f>IFERROR(__xludf.DUMMYFUNCTION("""COMPUTED_VALUE"""),25238.0)</f>
        <v>25238</v>
      </c>
      <c r="N777" s="2">
        <f>IFERROR(__xludf.DUMMYFUNCTION("""COMPUTED_VALUE"""),0.0)</f>
        <v>0</v>
      </c>
      <c r="O777" s="2">
        <f>IFERROR(__xludf.DUMMYFUNCTION("""COMPUTED_VALUE"""),25238.0)</f>
        <v>25238</v>
      </c>
      <c r="P777" s="2">
        <f>IFERROR(__xludf.DUMMYFUNCTION("""COMPUTED_VALUE"""),1262.0)</f>
        <v>1262</v>
      </c>
      <c r="Q777" s="2" t="str">
        <f>IFERROR(__xludf.DUMMYFUNCTION("""COMPUTED_VALUE"""),"Dine In")</f>
        <v>Dine In</v>
      </c>
      <c r="R777" s="2" t="str">
        <f>IFERROR(__xludf.DUMMYFUNCTION("""COMPUTED_VALUE"""),"Kedai")</f>
        <v>Kedai</v>
      </c>
      <c r="S777" s="2" t="str">
        <f>IFERROR(__xludf.DUMMYFUNCTION("""COMPUTED_VALUE"""),"Temu Roti")</f>
        <v>Temu Roti</v>
      </c>
      <c r="T777" s="2" t="str">
        <f>IFERROR(__xludf.DUMMYFUNCTION("""COMPUTED_VALUE"""),"Owner")</f>
        <v>Owner</v>
      </c>
      <c r="U777" s="2"/>
      <c r="V777" s="2"/>
      <c r="W777" s="2"/>
      <c r="X777" s="2" t="str">
        <f>IFERROR(__xludf.DUMMYFUNCTION("""COMPUTED_VALUE"""),"Closed")</f>
        <v>Closed</v>
      </c>
    </row>
    <row r="778">
      <c r="A778" s="3" t="s">
        <v>793</v>
      </c>
      <c r="B778" s="4">
        <f>IFERROR(__xludf.DUMMYFUNCTION("SPLIT(A778,"","",0,0)"),45549.63680555556)</f>
        <v>45549.63681</v>
      </c>
      <c r="C778" s="5">
        <f>IFERROR(__xludf.DUMMYFUNCTION("""COMPUTED_VALUE"""),2694062.0)</f>
        <v>2694062</v>
      </c>
      <c r="D778" s="2" t="str">
        <f>IFERROR(__xludf.DUMMYFUNCTION("""COMPUTED_VALUE"""),"Sale")</f>
        <v>Sale</v>
      </c>
      <c r="E778" s="2" t="str">
        <f>IFERROR(__xludf.DUMMYFUNCTION("""COMPUTED_VALUE"""),"Roti")</f>
        <v>Roti</v>
      </c>
      <c r="F778" s="2">
        <f>IFERROR(__xludf.DUMMYFUNCTION("""COMPUTED_VALUE"""),10002.0)</f>
        <v>10002</v>
      </c>
      <c r="G778" s="2" t="str">
        <f>IFERROR(__xludf.DUMMYFUNCTION("""COMPUTED_VALUE"""),"Roti Cranberry")</f>
        <v>Roti Cranberry</v>
      </c>
      <c r="H778" s="2"/>
      <c r="I778" s="2"/>
      <c r="J778" s="2">
        <f>IFERROR(__xludf.DUMMYFUNCTION("""COMPUTED_VALUE"""),1.0)</f>
        <v>1</v>
      </c>
      <c r="K778" s="6">
        <f>IFERROR(__xludf.DUMMYFUNCTION("""COMPUTED_VALUE"""),18571.0)</f>
        <v>18571</v>
      </c>
      <c r="L778" s="2">
        <f>IFERROR(__xludf.DUMMYFUNCTION("""COMPUTED_VALUE"""),0.0)</f>
        <v>0</v>
      </c>
      <c r="M778" s="2">
        <f>IFERROR(__xludf.DUMMYFUNCTION("""COMPUTED_VALUE"""),18571.0)</f>
        <v>18571</v>
      </c>
      <c r="N778" s="2">
        <f>IFERROR(__xludf.DUMMYFUNCTION("""COMPUTED_VALUE"""),0.0)</f>
        <v>0</v>
      </c>
      <c r="O778" s="2">
        <f>IFERROR(__xludf.DUMMYFUNCTION("""COMPUTED_VALUE"""),18571.0)</f>
        <v>18571</v>
      </c>
      <c r="P778" s="2">
        <f>IFERROR(__xludf.DUMMYFUNCTION("""COMPUTED_VALUE"""),929.0)</f>
        <v>929</v>
      </c>
      <c r="Q778" s="2" t="str">
        <f>IFERROR(__xludf.DUMMYFUNCTION("""COMPUTED_VALUE"""),"Take Away")</f>
        <v>Take Away</v>
      </c>
      <c r="R778" s="2" t="str">
        <f>IFERROR(__xludf.DUMMYFUNCTION("""COMPUTED_VALUE"""),"Kedai")</f>
        <v>Kedai</v>
      </c>
      <c r="S778" s="2" t="str">
        <f>IFERROR(__xludf.DUMMYFUNCTION("""COMPUTED_VALUE"""),"Temu Roti")</f>
        <v>Temu Roti</v>
      </c>
      <c r="T778" s="2" t="str">
        <f>IFERROR(__xludf.DUMMYFUNCTION("""COMPUTED_VALUE"""),"Owner")</f>
        <v>Owner</v>
      </c>
      <c r="U778" s="2"/>
      <c r="V778" s="2"/>
      <c r="W778" s="2"/>
      <c r="X778" s="2" t="str">
        <f>IFERROR(__xludf.DUMMYFUNCTION("""COMPUTED_VALUE"""),"Closed")</f>
        <v>Closed</v>
      </c>
    </row>
    <row r="779">
      <c r="A779" s="3" t="s">
        <v>794</v>
      </c>
      <c r="B779" s="4">
        <f>IFERROR(__xludf.DUMMYFUNCTION("SPLIT(A779,"","",0,0)"),45549.60625)</f>
        <v>45549.60625</v>
      </c>
      <c r="C779" s="5">
        <f>IFERROR(__xludf.DUMMYFUNCTION("""COMPUTED_VALUE"""),2693697.0)</f>
        <v>2693697</v>
      </c>
      <c r="D779" s="2" t="str">
        <f>IFERROR(__xludf.DUMMYFUNCTION("""COMPUTED_VALUE"""),"Sale")</f>
        <v>Sale</v>
      </c>
      <c r="E779" s="2" t="str">
        <f>IFERROR(__xludf.DUMMYFUNCTION("""COMPUTED_VALUE"""),"Kudapan")</f>
        <v>Kudapan</v>
      </c>
      <c r="F779" s="2">
        <f>IFERROR(__xludf.DUMMYFUNCTION("""COMPUTED_VALUE"""),10011.0)</f>
        <v>10011</v>
      </c>
      <c r="G779" s="2" t="str">
        <f>IFERROR(__xludf.DUMMYFUNCTION("""COMPUTED_VALUE"""),"Kentang Goreng")</f>
        <v>Kentang Goreng</v>
      </c>
      <c r="H779" s="2"/>
      <c r="I779" s="2"/>
      <c r="J779" s="2">
        <f>IFERROR(__xludf.DUMMYFUNCTION("""COMPUTED_VALUE"""),1.0)</f>
        <v>1</v>
      </c>
      <c r="K779" s="6">
        <f>IFERROR(__xludf.DUMMYFUNCTION("""COMPUTED_VALUE"""),25238.0)</f>
        <v>25238</v>
      </c>
      <c r="L779" s="2">
        <f>IFERROR(__xludf.DUMMYFUNCTION("""COMPUTED_VALUE"""),0.0)</f>
        <v>0</v>
      </c>
      <c r="M779" s="2">
        <f>IFERROR(__xludf.DUMMYFUNCTION("""COMPUTED_VALUE"""),25238.0)</f>
        <v>25238</v>
      </c>
      <c r="N779" s="2">
        <f>IFERROR(__xludf.DUMMYFUNCTION("""COMPUTED_VALUE"""),0.0)</f>
        <v>0</v>
      </c>
      <c r="O779" s="2">
        <f>IFERROR(__xludf.DUMMYFUNCTION("""COMPUTED_VALUE"""),25238.0)</f>
        <v>25238</v>
      </c>
      <c r="P779" s="2">
        <f>IFERROR(__xludf.DUMMYFUNCTION("""COMPUTED_VALUE"""),1262.0)</f>
        <v>1262</v>
      </c>
      <c r="Q779" s="2" t="str">
        <f>IFERROR(__xludf.DUMMYFUNCTION("""COMPUTED_VALUE"""),"Dine In")</f>
        <v>Dine In</v>
      </c>
      <c r="R779" s="2" t="str">
        <f>IFERROR(__xludf.DUMMYFUNCTION("""COMPUTED_VALUE"""),"Kedai")</f>
        <v>Kedai</v>
      </c>
      <c r="S779" s="2" t="str">
        <f>IFERROR(__xludf.DUMMYFUNCTION("""COMPUTED_VALUE"""),"Temu Roti")</f>
        <v>Temu Roti</v>
      </c>
      <c r="T779" s="2" t="str">
        <f>IFERROR(__xludf.DUMMYFUNCTION("""COMPUTED_VALUE"""),"Owner")</f>
        <v>Owner</v>
      </c>
      <c r="U779" s="2"/>
      <c r="V779" s="2"/>
      <c r="W779" s="2"/>
      <c r="X779" s="2" t="str">
        <f>IFERROR(__xludf.DUMMYFUNCTION("""COMPUTED_VALUE"""),"Closed")</f>
        <v>Closed</v>
      </c>
    </row>
    <row r="780">
      <c r="A780" s="3" t="s">
        <v>795</v>
      </c>
      <c r="B780" s="4">
        <f>IFERROR(__xludf.DUMMYFUNCTION("SPLIT(A780,"","",0,0)"),45549.60138888889)</f>
        <v>45549.60139</v>
      </c>
      <c r="C780" s="5">
        <f>IFERROR(__xludf.DUMMYFUNCTION("""COMPUTED_VALUE"""),2693332.0)</f>
        <v>2693332</v>
      </c>
      <c r="D780" s="2" t="str">
        <f>IFERROR(__xludf.DUMMYFUNCTION("""COMPUTED_VALUE"""),"Sale")</f>
        <v>Sale</v>
      </c>
      <c r="E780" s="2" t="str">
        <f>IFERROR(__xludf.DUMMYFUNCTION("""COMPUTED_VALUE"""),"Roti")</f>
        <v>Roti</v>
      </c>
      <c r="F780" s="2">
        <f>IFERROR(__xludf.DUMMYFUNCTION("""COMPUTED_VALUE"""),10007.0)</f>
        <v>10007</v>
      </c>
      <c r="G780" s="2" t="str">
        <f>IFERROR(__xludf.DUMMYFUNCTION("""COMPUTED_VALUE"""),"Roti cranberry 2 pcs")</f>
        <v>Roti cranberry 2 pcs</v>
      </c>
      <c r="H780" s="2"/>
      <c r="I780" s="2"/>
      <c r="J780" s="2">
        <f>IFERROR(__xludf.DUMMYFUNCTION("""COMPUTED_VALUE"""),1.0)</f>
        <v>1</v>
      </c>
      <c r="K780" s="6">
        <f>IFERROR(__xludf.DUMMYFUNCTION("""COMPUTED_VALUE"""),33810.0)</f>
        <v>33810</v>
      </c>
      <c r="L780" s="2">
        <f>IFERROR(__xludf.DUMMYFUNCTION("""COMPUTED_VALUE"""),0.0)</f>
        <v>0</v>
      </c>
      <c r="M780" s="2">
        <f>IFERROR(__xludf.DUMMYFUNCTION("""COMPUTED_VALUE"""),33810.0)</f>
        <v>33810</v>
      </c>
      <c r="N780" s="2">
        <f>IFERROR(__xludf.DUMMYFUNCTION("""COMPUTED_VALUE"""),0.0)</f>
        <v>0</v>
      </c>
      <c r="O780" s="2">
        <f>IFERROR(__xludf.DUMMYFUNCTION("""COMPUTED_VALUE"""),33810.0)</f>
        <v>33810</v>
      </c>
      <c r="P780" s="2">
        <f>IFERROR(__xludf.DUMMYFUNCTION("""COMPUTED_VALUE"""),1691.0)</f>
        <v>1691</v>
      </c>
      <c r="Q780" s="2" t="str">
        <f>IFERROR(__xludf.DUMMYFUNCTION("""COMPUTED_VALUE"""),"Dine In")</f>
        <v>Dine In</v>
      </c>
      <c r="R780" s="2" t="str">
        <f>IFERROR(__xludf.DUMMYFUNCTION("""COMPUTED_VALUE"""),"Kedai")</f>
        <v>Kedai</v>
      </c>
      <c r="S780" s="2" t="str">
        <f>IFERROR(__xludf.DUMMYFUNCTION("""COMPUTED_VALUE"""),"Temu Roti")</f>
        <v>Temu Roti</v>
      </c>
      <c r="T780" s="2" t="str">
        <f>IFERROR(__xludf.DUMMYFUNCTION("""COMPUTED_VALUE"""),"Owner")</f>
        <v>Owner</v>
      </c>
      <c r="U780" s="2"/>
      <c r="V780" s="2"/>
      <c r="W780" s="2"/>
      <c r="X780" s="2" t="str">
        <f>IFERROR(__xludf.DUMMYFUNCTION("""COMPUTED_VALUE"""),"Closed")</f>
        <v>Closed</v>
      </c>
    </row>
    <row r="781">
      <c r="A781" s="3" t="s">
        <v>796</v>
      </c>
      <c r="B781" s="4">
        <f>IFERROR(__xludf.DUMMYFUNCTION("SPLIT(A781,"","",0,0)"),45549.60138888889)</f>
        <v>45549.60139</v>
      </c>
      <c r="C781" s="5">
        <f>IFERROR(__xludf.DUMMYFUNCTION("""COMPUTED_VALUE"""),2693332.0)</f>
        <v>2693332</v>
      </c>
      <c r="D781" s="2" t="str">
        <f>IFERROR(__xludf.DUMMYFUNCTION("""COMPUTED_VALUE"""),"Sale")</f>
        <v>Sale</v>
      </c>
      <c r="E781" s="2" t="str">
        <f>IFERROR(__xludf.DUMMYFUNCTION("""COMPUTED_VALUE"""),"Minuman")</f>
        <v>Minuman</v>
      </c>
      <c r="F781" s="2">
        <f>IFERROR(__xludf.DUMMYFUNCTION("""COMPUTED_VALUE"""),10128.0)</f>
        <v>10128</v>
      </c>
      <c r="G781" s="2" t="str">
        <f>IFERROR(__xludf.DUMMYFUNCTION("""COMPUTED_VALUE"""),"Es Kopi Susu")</f>
        <v>Es Kopi Susu</v>
      </c>
      <c r="H781" s="2"/>
      <c r="I781" s="2"/>
      <c r="J781" s="2">
        <f>IFERROR(__xludf.DUMMYFUNCTION("""COMPUTED_VALUE"""),1.0)</f>
        <v>1</v>
      </c>
      <c r="K781" s="6">
        <f>IFERROR(__xludf.DUMMYFUNCTION("""COMPUTED_VALUE"""),23333.0)</f>
        <v>23333</v>
      </c>
      <c r="L781" s="2">
        <f>IFERROR(__xludf.DUMMYFUNCTION("""COMPUTED_VALUE"""),0.0)</f>
        <v>0</v>
      </c>
      <c r="M781" s="2">
        <f>IFERROR(__xludf.DUMMYFUNCTION("""COMPUTED_VALUE"""),23333.0)</f>
        <v>23333</v>
      </c>
      <c r="N781" s="2">
        <f>IFERROR(__xludf.DUMMYFUNCTION("""COMPUTED_VALUE"""),0.0)</f>
        <v>0</v>
      </c>
      <c r="O781" s="2">
        <f>IFERROR(__xludf.DUMMYFUNCTION("""COMPUTED_VALUE"""),23333.0)</f>
        <v>23333</v>
      </c>
      <c r="P781" s="2">
        <f>IFERROR(__xludf.DUMMYFUNCTION("""COMPUTED_VALUE"""),1166.0)</f>
        <v>1166</v>
      </c>
      <c r="Q781" s="2" t="str">
        <f>IFERROR(__xludf.DUMMYFUNCTION("""COMPUTED_VALUE"""),"Dine In")</f>
        <v>Dine In</v>
      </c>
      <c r="R781" s="2" t="str">
        <f>IFERROR(__xludf.DUMMYFUNCTION("""COMPUTED_VALUE"""),"Kedai")</f>
        <v>Kedai</v>
      </c>
      <c r="S781" s="2" t="str">
        <f>IFERROR(__xludf.DUMMYFUNCTION("""COMPUTED_VALUE"""),"Temu Roti")</f>
        <v>Temu Roti</v>
      </c>
      <c r="T781" s="2" t="str">
        <f>IFERROR(__xludf.DUMMYFUNCTION("""COMPUTED_VALUE"""),"Owner")</f>
        <v>Owner</v>
      </c>
      <c r="U781" s="2"/>
      <c r="V781" s="2"/>
      <c r="W781" s="2"/>
      <c r="X781" s="2" t="str">
        <f>IFERROR(__xludf.DUMMYFUNCTION("""COMPUTED_VALUE"""),"Closed")</f>
        <v>Closed</v>
      </c>
    </row>
    <row r="782">
      <c r="A782" s="3" t="s">
        <v>797</v>
      </c>
      <c r="B782" s="4">
        <f>IFERROR(__xludf.DUMMYFUNCTION("SPLIT(A782,"","",0,0)"),45549.60138888889)</f>
        <v>45549.60139</v>
      </c>
      <c r="C782" s="5">
        <f>IFERROR(__xludf.DUMMYFUNCTION("""COMPUTED_VALUE"""),2693332.0)</f>
        <v>2693332</v>
      </c>
      <c r="D782" s="2" t="str">
        <f>IFERROR(__xludf.DUMMYFUNCTION("""COMPUTED_VALUE"""),"Sale")</f>
        <v>Sale</v>
      </c>
      <c r="E782" s="2" t="str">
        <f>IFERROR(__xludf.DUMMYFUNCTION("""COMPUTED_VALUE"""),"Minuman")</f>
        <v>Minuman</v>
      </c>
      <c r="F782" s="2">
        <f>IFERROR(__xludf.DUMMYFUNCTION("""COMPUTED_VALUE"""),10121.0)</f>
        <v>10121</v>
      </c>
      <c r="G782" s="2" t="str">
        <f>IFERROR(__xludf.DUMMYFUNCTION("""COMPUTED_VALUE"""),"Lemon Tea Dingin")</f>
        <v>Lemon Tea Dingin</v>
      </c>
      <c r="H782" s="2"/>
      <c r="I782" s="2"/>
      <c r="J782" s="2">
        <f>IFERROR(__xludf.DUMMYFUNCTION("""COMPUTED_VALUE"""),1.0)</f>
        <v>1</v>
      </c>
      <c r="K782" s="6">
        <f>IFERROR(__xludf.DUMMYFUNCTION("""COMPUTED_VALUE"""),19524.0)</f>
        <v>19524</v>
      </c>
      <c r="L782" s="2">
        <f>IFERROR(__xludf.DUMMYFUNCTION("""COMPUTED_VALUE"""),0.0)</f>
        <v>0</v>
      </c>
      <c r="M782" s="2">
        <f>IFERROR(__xludf.DUMMYFUNCTION("""COMPUTED_VALUE"""),19524.0)</f>
        <v>19524</v>
      </c>
      <c r="N782" s="2">
        <f>IFERROR(__xludf.DUMMYFUNCTION("""COMPUTED_VALUE"""),0.0)</f>
        <v>0</v>
      </c>
      <c r="O782" s="2">
        <f>IFERROR(__xludf.DUMMYFUNCTION("""COMPUTED_VALUE"""),19524.0)</f>
        <v>19524</v>
      </c>
      <c r="P782" s="2">
        <f>IFERROR(__xludf.DUMMYFUNCTION("""COMPUTED_VALUE"""),976.0)</f>
        <v>976</v>
      </c>
      <c r="Q782" s="2" t="str">
        <f>IFERROR(__xludf.DUMMYFUNCTION("""COMPUTED_VALUE"""),"Dine In")</f>
        <v>Dine In</v>
      </c>
      <c r="R782" s="2" t="str">
        <f>IFERROR(__xludf.DUMMYFUNCTION("""COMPUTED_VALUE"""),"Kedai")</f>
        <v>Kedai</v>
      </c>
      <c r="S782" s="2" t="str">
        <f>IFERROR(__xludf.DUMMYFUNCTION("""COMPUTED_VALUE"""),"Temu Roti")</f>
        <v>Temu Roti</v>
      </c>
      <c r="T782" s="2" t="str">
        <f>IFERROR(__xludf.DUMMYFUNCTION("""COMPUTED_VALUE"""),"Owner")</f>
        <v>Owner</v>
      </c>
      <c r="U782" s="2"/>
      <c r="V782" s="2"/>
      <c r="W782" s="2"/>
      <c r="X782" s="2" t="str">
        <f>IFERROR(__xludf.DUMMYFUNCTION("""COMPUTED_VALUE"""),"Closed")</f>
        <v>Closed</v>
      </c>
    </row>
    <row r="783">
      <c r="A783" s="3" t="s">
        <v>798</v>
      </c>
      <c r="B783" s="4">
        <f>IFERROR(__xludf.DUMMYFUNCTION("SPLIT(A783,"","",0,0)"),45549.60138888889)</f>
        <v>45549.60139</v>
      </c>
      <c r="C783" s="5">
        <f>IFERROR(__xludf.DUMMYFUNCTION("""COMPUTED_VALUE"""),2693332.0)</f>
        <v>2693332</v>
      </c>
      <c r="D783" s="2" t="str">
        <f>IFERROR(__xludf.DUMMYFUNCTION("""COMPUTED_VALUE"""),"Sale")</f>
        <v>Sale</v>
      </c>
      <c r="E783" s="2" t="str">
        <f>IFERROR(__xludf.DUMMYFUNCTION("""COMPUTED_VALUE"""),"Kudapan")</f>
        <v>Kudapan</v>
      </c>
      <c r="F783" s="2">
        <f>IFERROR(__xludf.DUMMYFUNCTION("""COMPUTED_VALUE"""),10051.0)</f>
        <v>10051</v>
      </c>
      <c r="G783" s="2" t="str">
        <f>IFERROR(__xludf.DUMMYFUNCTION("""COMPUTED_VALUE"""),"Tahu baso")</f>
        <v>Tahu baso</v>
      </c>
      <c r="H783" s="2"/>
      <c r="I783" s="2"/>
      <c r="J783" s="2">
        <f>IFERROR(__xludf.DUMMYFUNCTION("""COMPUTED_VALUE"""),1.0)</f>
        <v>1</v>
      </c>
      <c r="K783" s="6">
        <f>IFERROR(__xludf.DUMMYFUNCTION("""COMPUTED_VALUE"""),25238.0)</f>
        <v>25238</v>
      </c>
      <c r="L783" s="2">
        <f>IFERROR(__xludf.DUMMYFUNCTION("""COMPUTED_VALUE"""),0.0)</f>
        <v>0</v>
      </c>
      <c r="M783" s="2">
        <f>IFERROR(__xludf.DUMMYFUNCTION("""COMPUTED_VALUE"""),25238.0)</f>
        <v>25238</v>
      </c>
      <c r="N783" s="2">
        <f>IFERROR(__xludf.DUMMYFUNCTION("""COMPUTED_VALUE"""),0.0)</f>
        <v>0</v>
      </c>
      <c r="O783" s="2">
        <f>IFERROR(__xludf.DUMMYFUNCTION("""COMPUTED_VALUE"""),25238.0)</f>
        <v>25238</v>
      </c>
      <c r="P783" s="2">
        <f>IFERROR(__xludf.DUMMYFUNCTION("""COMPUTED_VALUE"""),1262.0)</f>
        <v>1262</v>
      </c>
      <c r="Q783" s="2" t="str">
        <f>IFERROR(__xludf.DUMMYFUNCTION("""COMPUTED_VALUE"""),"Dine In")</f>
        <v>Dine In</v>
      </c>
      <c r="R783" s="2" t="str">
        <f>IFERROR(__xludf.DUMMYFUNCTION("""COMPUTED_VALUE"""),"Kedai")</f>
        <v>Kedai</v>
      </c>
      <c r="S783" s="2" t="str">
        <f>IFERROR(__xludf.DUMMYFUNCTION("""COMPUTED_VALUE"""),"Temu Roti")</f>
        <v>Temu Roti</v>
      </c>
      <c r="T783" s="2" t="str">
        <f>IFERROR(__xludf.DUMMYFUNCTION("""COMPUTED_VALUE"""),"Owner")</f>
        <v>Owner</v>
      </c>
      <c r="U783" s="2"/>
      <c r="V783" s="2"/>
      <c r="W783" s="2"/>
      <c r="X783" s="2" t="str">
        <f>IFERROR(__xludf.DUMMYFUNCTION("""COMPUTED_VALUE"""),"Closed")</f>
        <v>Closed</v>
      </c>
    </row>
    <row r="784">
      <c r="A784" s="3" t="s">
        <v>799</v>
      </c>
      <c r="B784" s="4">
        <f>IFERROR(__xludf.DUMMYFUNCTION("SPLIT(A784,"","",0,0)"),45549.58611111111)</f>
        <v>45549.58611</v>
      </c>
      <c r="C784" s="5">
        <f>IFERROR(__xludf.DUMMYFUNCTION("""COMPUTED_VALUE"""),2692967.0)</f>
        <v>2692967</v>
      </c>
      <c r="D784" s="2" t="str">
        <f>IFERROR(__xludf.DUMMYFUNCTION("""COMPUTED_VALUE"""),"Sale")</f>
        <v>Sale</v>
      </c>
      <c r="E784" s="2" t="str">
        <f>IFERROR(__xludf.DUMMYFUNCTION("""COMPUTED_VALUE"""),"Roti")</f>
        <v>Roti</v>
      </c>
      <c r="F784" s="2">
        <f>IFERROR(__xludf.DUMMYFUNCTION("""COMPUTED_VALUE"""),10005.0)</f>
        <v>10005</v>
      </c>
      <c r="G784" s="2" t="str">
        <f>IFERROR(__xludf.DUMMYFUNCTION("""COMPUTED_VALUE"""),"Roti Gandum Cokelat")</f>
        <v>Roti Gandum Cokelat</v>
      </c>
      <c r="H784" s="2"/>
      <c r="I784" s="2"/>
      <c r="J784" s="2">
        <f>IFERROR(__xludf.DUMMYFUNCTION("""COMPUTED_VALUE"""),1.0)</f>
        <v>1</v>
      </c>
      <c r="K784" s="6">
        <f>IFERROR(__xludf.DUMMYFUNCTION("""COMPUTED_VALUE"""),19524.0)</f>
        <v>19524</v>
      </c>
      <c r="L784" s="2">
        <f>IFERROR(__xludf.DUMMYFUNCTION("""COMPUTED_VALUE"""),0.0)</f>
        <v>0</v>
      </c>
      <c r="M784" s="2">
        <f>IFERROR(__xludf.DUMMYFUNCTION("""COMPUTED_VALUE"""),19524.0)</f>
        <v>19524</v>
      </c>
      <c r="N784" s="2">
        <f>IFERROR(__xludf.DUMMYFUNCTION("""COMPUTED_VALUE"""),0.0)</f>
        <v>0</v>
      </c>
      <c r="O784" s="2">
        <f>IFERROR(__xludf.DUMMYFUNCTION("""COMPUTED_VALUE"""),19524.0)</f>
        <v>19524</v>
      </c>
      <c r="P784" s="2">
        <f>IFERROR(__xludf.DUMMYFUNCTION("""COMPUTED_VALUE"""),976.0)</f>
        <v>976</v>
      </c>
      <c r="Q784" s="2" t="str">
        <f>IFERROR(__xludf.DUMMYFUNCTION("""COMPUTED_VALUE"""),"Dine In")</f>
        <v>Dine In</v>
      </c>
      <c r="R784" s="2" t="str">
        <f>IFERROR(__xludf.DUMMYFUNCTION("""COMPUTED_VALUE"""),"Kedai")</f>
        <v>Kedai</v>
      </c>
      <c r="S784" s="2" t="str">
        <f>IFERROR(__xludf.DUMMYFUNCTION("""COMPUTED_VALUE"""),"Temu Roti")</f>
        <v>Temu Roti</v>
      </c>
      <c r="T784" s="2" t="str">
        <f>IFERROR(__xludf.DUMMYFUNCTION("""COMPUTED_VALUE"""),"Owner")</f>
        <v>Owner</v>
      </c>
      <c r="U784" s="2"/>
      <c r="V784" s="2"/>
      <c r="W784" s="2"/>
      <c r="X784" s="2" t="str">
        <f>IFERROR(__xludf.DUMMYFUNCTION("""COMPUTED_VALUE"""),"Closed")</f>
        <v>Closed</v>
      </c>
    </row>
    <row r="785">
      <c r="A785" s="3" t="s">
        <v>800</v>
      </c>
      <c r="B785" s="4">
        <f>IFERROR(__xludf.DUMMYFUNCTION("SPLIT(A785,"","",0,0)"),45549.57708333333)</f>
        <v>45549.57708</v>
      </c>
      <c r="C785" s="5">
        <f>IFERROR(__xludf.DUMMYFUNCTION("""COMPUTED_VALUE"""),2692601.0)</f>
        <v>2692601</v>
      </c>
      <c r="D785" s="2" t="str">
        <f>IFERROR(__xludf.DUMMYFUNCTION("""COMPUTED_VALUE"""),"Sale")</f>
        <v>Sale</v>
      </c>
      <c r="E785" s="2" t="str">
        <f>IFERROR(__xludf.DUMMYFUNCTION("""COMPUTED_VALUE"""),"Roti")</f>
        <v>Roti</v>
      </c>
      <c r="F785" s="2">
        <f>IFERROR(__xludf.DUMMYFUNCTION("""COMPUTED_VALUE"""),10002.0)</f>
        <v>10002</v>
      </c>
      <c r="G785" s="2" t="str">
        <f>IFERROR(__xludf.DUMMYFUNCTION("""COMPUTED_VALUE"""),"Roti Cranberry")</f>
        <v>Roti Cranberry</v>
      </c>
      <c r="H785" s="2"/>
      <c r="I785" s="2"/>
      <c r="J785" s="2">
        <f>IFERROR(__xludf.DUMMYFUNCTION("""COMPUTED_VALUE"""),1.0)</f>
        <v>1</v>
      </c>
      <c r="K785" s="6">
        <f>IFERROR(__xludf.DUMMYFUNCTION("""COMPUTED_VALUE"""),18571.0)</f>
        <v>18571</v>
      </c>
      <c r="L785" s="2">
        <f>IFERROR(__xludf.DUMMYFUNCTION("""COMPUTED_VALUE"""),0.0)</f>
        <v>0</v>
      </c>
      <c r="M785" s="2">
        <f>IFERROR(__xludf.DUMMYFUNCTION("""COMPUTED_VALUE"""),18571.0)</f>
        <v>18571</v>
      </c>
      <c r="N785" s="2">
        <f>IFERROR(__xludf.DUMMYFUNCTION("""COMPUTED_VALUE"""),0.0)</f>
        <v>0</v>
      </c>
      <c r="O785" s="2">
        <f>IFERROR(__xludf.DUMMYFUNCTION("""COMPUTED_VALUE"""),18571.0)</f>
        <v>18571</v>
      </c>
      <c r="P785" s="2">
        <f>IFERROR(__xludf.DUMMYFUNCTION("""COMPUTED_VALUE"""),929.0)</f>
        <v>929</v>
      </c>
      <c r="Q785" s="2" t="str">
        <f>IFERROR(__xludf.DUMMYFUNCTION("""COMPUTED_VALUE"""),"Dine In")</f>
        <v>Dine In</v>
      </c>
      <c r="R785" s="2" t="str">
        <f>IFERROR(__xludf.DUMMYFUNCTION("""COMPUTED_VALUE"""),"Kedai")</f>
        <v>Kedai</v>
      </c>
      <c r="S785" s="2" t="str">
        <f>IFERROR(__xludf.DUMMYFUNCTION("""COMPUTED_VALUE"""),"Temu Roti")</f>
        <v>Temu Roti</v>
      </c>
      <c r="T785" s="2" t="str">
        <f>IFERROR(__xludf.DUMMYFUNCTION("""COMPUTED_VALUE"""),"Owner")</f>
        <v>Owner</v>
      </c>
      <c r="U785" s="2"/>
      <c r="V785" s="2"/>
      <c r="W785" s="2"/>
      <c r="X785" s="2" t="str">
        <f>IFERROR(__xludf.DUMMYFUNCTION("""COMPUTED_VALUE"""),"Closed")</f>
        <v>Closed</v>
      </c>
    </row>
    <row r="786">
      <c r="A786" s="3" t="s">
        <v>801</v>
      </c>
      <c r="B786" s="4">
        <f>IFERROR(__xludf.DUMMYFUNCTION("SPLIT(A786,"","",0,0)"),45549.57638888889)</f>
        <v>45549.57639</v>
      </c>
      <c r="C786" s="5">
        <f>IFERROR(__xludf.DUMMYFUNCTION("""COMPUTED_VALUE"""),2692236.0)</f>
        <v>2692236</v>
      </c>
      <c r="D786" s="2" t="str">
        <f>IFERROR(__xludf.DUMMYFUNCTION("""COMPUTED_VALUE"""),"Sale")</f>
        <v>Sale</v>
      </c>
      <c r="E786" s="2" t="str">
        <f>IFERROR(__xludf.DUMMYFUNCTION("""COMPUTED_VALUE"""),"Minuman")</f>
        <v>Minuman</v>
      </c>
      <c r="F786" s="2">
        <f>IFERROR(__xludf.DUMMYFUNCTION("""COMPUTED_VALUE"""),10112.0)</f>
        <v>10112</v>
      </c>
      <c r="G786" s="2" t="str">
        <f>IFERROR(__xludf.DUMMYFUNCTION("""COMPUTED_VALUE"""),"Air mineral")</f>
        <v>Air mineral</v>
      </c>
      <c r="H786" s="2"/>
      <c r="I786" s="2"/>
      <c r="J786" s="2">
        <f>IFERROR(__xludf.DUMMYFUNCTION("""COMPUTED_VALUE"""),1.0)</f>
        <v>1</v>
      </c>
      <c r="K786" s="6">
        <f>IFERROR(__xludf.DUMMYFUNCTION("""COMPUTED_VALUE"""),6667.0)</f>
        <v>6667</v>
      </c>
      <c r="L786" s="2">
        <f>IFERROR(__xludf.DUMMYFUNCTION("""COMPUTED_VALUE"""),0.0)</f>
        <v>0</v>
      </c>
      <c r="M786" s="2">
        <f>IFERROR(__xludf.DUMMYFUNCTION("""COMPUTED_VALUE"""),6667.0)</f>
        <v>6667</v>
      </c>
      <c r="N786" s="2">
        <f>IFERROR(__xludf.DUMMYFUNCTION("""COMPUTED_VALUE"""),0.0)</f>
        <v>0</v>
      </c>
      <c r="O786" s="2">
        <f>IFERROR(__xludf.DUMMYFUNCTION("""COMPUTED_VALUE"""),6667.0)</f>
        <v>6667</v>
      </c>
      <c r="P786" s="2">
        <f>IFERROR(__xludf.DUMMYFUNCTION("""COMPUTED_VALUE"""),333.0)</f>
        <v>333</v>
      </c>
      <c r="Q786" s="2" t="str">
        <f>IFERROR(__xludf.DUMMYFUNCTION("""COMPUTED_VALUE"""),"Dine In")</f>
        <v>Dine In</v>
      </c>
      <c r="R786" s="2" t="str">
        <f>IFERROR(__xludf.DUMMYFUNCTION("""COMPUTED_VALUE"""),"Kedai")</f>
        <v>Kedai</v>
      </c>
      <c r="S786" s="2" t="str">
        <f>IFERROR(__xludf.DUMMYFUNCTION("""COMPUTED_VALUE"""),"Temu Roti")</f>
        <v>Temu Roti</v>
      </c>
      <c r="T786" s="2" t="str">
        <f>IFERROR(__xludf.DUMMYFUNCTION("""COMPUTED_VALUE"""),"Owner")</f>
        <v>Owner</v>
      </c>
      <c r="U786" s="2"/>
      <c r="V786" s="2"/>
      <c r="W786" s="2"/>
      <c r="X786" s="2" t="str">
        <f>IFERROR(__xludf.DUMMYFUNCTION("""COMPUTED_VALUE"""),"Closed")</f>
        <v>Closed</v>
      </c>
    </row>
    <row r="787">
      <c r="A787" s="3" t="s">
        <v>802</v>
      </c>
      <c r="B787" s="4">
        <f>IFERROR(__xludf.DUMMYFUNCTION("SPLIT(A787,"","",0,0)"),45549.57638888889)</f>
        <v>45549.57639</v>
      </c>
      <c r="C787" s="5">
        <f>IFERROR(__xludf.DUMMYFUNCTION("""COMPUTED_VALUE"""),2692236.0)</f>
        <v>2692236</v>
      </c>
      <c r="D787" s="2" t="str">
        <f>IFERROR(__xludf.DUMMYFUNCTION("""COMPUTED_VALUE"""),"Sale")</f>
        <v>Sale</v>
      </c>
      <c r="E787" s="2" t="str">
        <f>IFERROR(__xludf.DUMMYFUNCTION("""COMPUTED_VALUE"""),"Roti")</f>
        <v>Roti</v>
      </c>
      <c r="F787" s="2">
        <f>IFERROR(__xludf.DUMMYFUNCTION("""COMPUTED_VALUE"""),10002.0)</f>
        <v>10002</v>
      </c>
      <c r="G787" s="2" t="str">
        <f>IFERROR(__xludf.DUMMYFUNCTION("""COMPUTED_VALUE"""),"Roti Cranberry")</f>
        <v>Roti Cranberry</v>
      </c>
      <c r="H787" s="2"/>
      <c r="I787" s="2"/>
      <c r="J787" s="2">
        <f>IFERROR(__xludf.DUMMYFUNCTION("""COMPUTED_VALUE"""),1.0)</f>
        <v>1</v>
      </c>
      <c r="K787" s="6">
        <f>IFERROR(__xludf.DUMMYFUNCTION("""COMPUTED_VALUE"""),18571.0)</f>
        <v>18571</v>
      </c>
      <c r="L787" s="2">
        <f>IFERROR(__xludf.DUMMYFUNCTION("""COMPUTED_VALUE"""),0.0)</f>
        <v>0</v>
      </c>
      <c r="M787" s="2">
        <f>IFERROR(__xludf.DUMMYFUNCTION("""COMPUTED_VALUE"""),18571.0)</f>
        <v>18571</v>
      </c>
      <c r="N787" s="2">
        <f>IFERROR(__xludf.DUMMYFUNCTION("""COMPUTED_VALUE"""),0.0)</f>
        <v>0</v>
      </c>
      <c r="O787" s="2">
        <f>IFERROR(__xludf.DUMMYFUNCTION("""COMPUTED_VALUE"""),18571.0)</f>
        <v>18571</v>
      </c>
      <c r="P787" s="2">
        <f>IFERROR(__xludf.DUMMYFUNCTION("""COMPUTED_VALUE"""),929.0)</f>
        <v>929</v>
      </c>
      <c r="Q787" s="2" t="str">
        <f>IFERROR(__xludf.DUMMYFUNCTION("""COMPUTED_VALUE"""),"Dine In")</f>
        <v>Dine In</v>
      </c>
      <c r="R787" s="2" t="str">
        <f>IFERROR(__xludf.DUMMYFUNCTION("""COMPUTED_VALUE"""),"Kedai")</f>
        <v>Kedai</v>
      </c>
      <c r="S787" s="2" t="str">
        <f>IFERROR(__xludf.DUMMYFUNCTION("""COMPUTED_VALUE"""),"Temu Roti")</f>
        <v>Temu Roti</v>
      </c>
      <c r="T787" s="2" t="str">
        <f>IFERROR(__xludf.DUMMYFUNCTION("""COMPUTED_VALUE"""),"Owner")</f>
        <v>Owner</v>
      </c>
      <c r="U787" s="2"/>
      <c r="V787" s="2"/>
      <c r="W787" s="2"/>
      <c r="X787" s="2" t="str">
        <f>IFERROR(__xludf.DUMMYFUNCTION("""COMPUTED_VALUE"""),"Closed")</f>
        <v>Closed</v>
      </c>
    </row>
    <row r="788">
      <c r="A788" s="3" t="s">
        <v>803</v>
      </c>
      <c r="B788" s="4">
        <f>IFERROR(__xludf.DUMMYFUNCTION("SPLIT(A788,"","",0,0)"),45549.56597222222)</f>
        <v>45549.56597</v>
      </c>
      <c r="C788" s="5">
        <f>IFERROR(__xludf.DUMMYFUNCTION("""COMPUTED_VALUE"""),2691871.0)</f>
        <v>2691871</v>
      </c>
      <c r="D788" s="2" t="str">
        <f>IFERROR(__xludf.DUMMYFUNCTION("""COMPUTED_VALUE"""),"Sale")</f>
        <v>Sale</v>
      </c>
      <c r="E788" s="2" t="str">
        <f>IFERROR(__xludf.DUMMYFUNCTION("""COMPUTED_VALUE"""),"Hidangan Utama")</f>
        <v>Hidangan Utama</v>
      </c>
      <c r="F788" s="2">
        <f>IFERROR(__xludf.DUMMYFUNCTION("""COMPUTED_VALUE"""),10105.0)</f>
        <v>10105</v>
      </c>
      <c r="G788" s="2" t="str">
        <f>IFERROR(__xludf.DUMMYFUNCTION("""COMPUTED_VALUE"""),"Beef Claypot Rice")</f>
        <v>Beef Claypot Rice</v>
      </c>
      <c r="H788" s="2"/>
      <c r="I788" s="2"/>
      <c r="J788" s="2">
        <f>IFERROR(__xludf.DUMMYFUNCTION("""COMPUTED_VALUE"""),1.0)</f>
        <v>1</v>
      </c>
      <c r="K788" s="6">
        <f>IFERROR(__xludf.DUMMYFUNCTION("""COMPUTED_VALUE"""),38095.0)</f>
        <v>38095</v>
      </c>
      <c r="L788" s="2">
        <f>IFERROR(__xludf.DUMMYFUNCTION("""COMPUTED_VALUE"""),0.0)</f>
        <v>0</v>
      </c>
      <c r="M788" s="2">
        <f>IFERROR(__xludf.DUMMYFUNCTION("""COMPUTED_VALUE"""),38095.0)</f>
        <v>38095</v>
      </c>
      <c r="N788" s="2">
        <f>IFERROR(__xludf.DUMMYFUNCTION("""COMPUTED_VALUE"""),0.0)</f>
        <v>0</v>
      </c>
      <c r="O788" s="2">
        <f>IFERROR(__xludf.DUMMYFUNCTION("""COMPUTED_VALUE"""),38095.0)</f>
        <v>38095</v>
      </c>
      <c r="P788" s="2">
        <f>IFERROR(__xludf.DUMMYFUNCTION("""COMPUTED_VALUE"""),1905.0)</f>
        <v>1905</v>
      </c>
      <c r="Q788" s="2" t="str">
        <f>IFERROR(__xludf.DUMMYFUNCTION("""COMPUTED_VALUE"""),"Dine In")</f>
        <v>Dine In</v>
      </c>
      <c r="R788" s="2" t="str">
        <f>IFERROR(__xludf.DUMMYFUNCTION("""COMPUTED_VALUE"""),"Kedai")</f>
        <v>Kedai</v>
      </c>
      <c r="S788" s="2" t="str">
        <f>IFERROR(__xludf.DUMMYFUNCTION("""COMPUTED_VALUE"""),"Temu Roti")</f>
        <v>Temu Roti</v>
      </c>
      <c r="T788" s="2" t="str">
        <f>IFERROR(__xludf.DUMMYFUNCTION("""COMPUTED_VALUE"""),"Owner")</f>
        <v>Owner</v>
      </c>
      <c r="U788" s="2"/>
      <c r="V788" s="2"/>
      <c r="W788" s="2"/>
      <c r="X788" s="2" t="str">
        <f>IFERROR(__xludf.DUMMYFUNCTION("""COMPUTED_VALUE"""),"Closed")</f>
        <v>Closed</v>
      </c>
    </row>
    <row r="789">
      <c r="A789" s="3" t="s">
        <v>804</v>
      </c>
      <c r="B789" s="4">
        <f>IFERROR(__xludf.DUMMYFUNCTION("SPLIT(A789,"","",0,0)"),45549.56597222222)</f>
        <v>45549.56597</v>
      </c>
      <c r="C789" s="5">
        <f>IFERROR(__xludf.DUMMYFUNCTION("""COMPUTED_VALUE"""),2691871.0)</f>
        <v>2691871</v>
      </c>
      <c r="D789" s="2" t="str">
        <f>IFERROR(__xludf.DUMMYFUNCTION("""COMPUTED_VALUE"""),"Sale")</f>
        <v>Sale</v>
      </c>
      <c r="E789" s="2" t="str">
        <f>IFERROR(__xludf.DUMMYFUNCTION("""COMPUTED_VALUE"""),"Hidangan Utama")</f>
        <v>Hidangan Utama</v>
      </c>
      <c r="F789" s="2">
        <f>IFERROR(__xludf.DUMMYFUNCTION("""COMPUTED_VALUE"""),10012.0)</f>
        <v>10012</v>
      </c>
      <c r="G789" s="2" t="str">
        <f>IFERROR(__xludf.DUMMYFUNCTION("""COMPUTED_VALUE"""),"Mie joglo")</f>
        <v>Mie joglo</v>
      </c>
      <c r="H789" s="2"/>
      <c r="I789" s="2"/>
      <c r="J789" s="2">
        <f>IFERROR(__xludf.DUMMYFUNCTION("""COMPUTED_VALUE"""),1.0)</f>
        <v>1</v>
      </c>
      <c r="K789" s="6">
        <f>IFERROR(__xludf.DUMMYFUNCTION("""COMPUTED_VALUE"""),29524.0)</f>
        <v>29524</v>
      </c>
      <c r="L789" s="2">
        <f>IFERROR(__xludf.DUMMYFUNCTION("""COMPUTED_VALUE"""),0.0)</f>
        <v>0</v>
      </c>
      <c r="M789" s="2">
        <f>IFERROR(__xludf.DUMMYFUNCTION("""COMPUTED_VALUE"""),29524.0)</f>
        <v>29524</v>
      </c>
      <c r="N789" s="2">
        <f>IFERROR(__xludf.DUMMYFUNCTION("""COMPUTED_VALUE"""),0.0)</f>
        <v>0</v>
      </c>
      <c r="O789" s="2">
        <f>IFERROR(__xludf.DUMMYFUNCTION("""COMPUTED_VALUE"""),29524.0)</f>
        <v>29524</v>
      </c>
      <c r="P789" s="2">
        <f>IFERROR(__xludf.DUMMYFUNCTION("""COMPUTED_VALUE"""),1476.0)</f>
        <v>1476</v>
      </c>
      <c r="Q789" s="2" t="str">
        <f>IFERROR(__xludf.DUMMYFUNCTION("""COMPUTED_VALUE"""),"Dine In")</f>
        <v>Dine In</v>
      </c>
      <c r="R789" s="2" t="str">
        <f>IFERROR(__xludf.DUMMYFUNCTION("""COMPUTED_VALUE"""),"Kedai")</f>
        <v>Kedai</v>
      </c>
      <c r="S789" s="2" t="str">
        <f>IFERROR(__xludf.DUMMYFUNCTION("""COMPUTED_VALUE"""),"Temu Roti")</f>
        <v>Temu Roti</v>
      </c>
      <c r="T789" s="2" t="str">
        <f>IFERROR(__xludf.DUMMYFUNCTION("""COMPUTED_VALUE"""),"Owner")</f>
        <v>Owner</v>
      </c>
      <c r="U789" s="2"/>
      <c r="V789" s="2"/>
      <c r="W789" s="2"/>
      <c r="X789" s="2" t="str">
        <f>IFERROR(__xludf.DUMMYFUNCTION("""COMPUTED_VALUE"""),"Closed")</f>
        <v>Closed</v>
      </c>
    </row>
    <row r="790">
      <c r="A790" s="3" t="s">
        <v>805</v>
      </c>
      <c r="B790" s="4">
        <f>IFERROR(__xludf.DUMMYFUNCTION("SPLIT(A790,"","",0,0)"),45549.56597222222)</f>
        <v>45549.56597</v>
      </c>
      <c r="C790" s="5">
        <f>IFERROR(__xludf.DUMMYFUNCTION("""COMPUTED_VALUE"""),2691871.0)</f>
        <v>2691871</v>
      </c>
      <c r="D790" s="2" t="str">
        <f>IFERROR(__xludf.DUMMYFUNCTION("""COMPUTED_VALUE"""),"Sale")</f>
        <v>Sale</v>
      </c>
      <c r="E790" s="2" t="str">
        <f>IFERROR(__xludf.DUMMYFUNCTION("""COMPUTED_VALUE"""),"Minuman")</f>
        <v>Minuman</v>
      </c>
      <c r="F790" s="2">
        <f>IFERROR(__xludf.DUMMYFUNCTION("""COMPUTED_VALUE"""),10128.0)</f>
        <v>10128</v>
      </c>
      <c r="G790" s="2" t="str">
        <f>IFERROR(__xludf.DUMMYFUNCTION("""COMPUTED_VALUE"""),"Es Kopi Susu")</f>
        <v>Es Kopi Susu</v>
      </c>
      <c r="H790" s="2"/>
      <c r="I790" s="2"/>
      <c r="J790" s="2">
        <f>IFERROR(__xludf.DUMMYFUNCTION("""COMPUTED_VALUE"""),1.0)</f>
        <v>1</v>
      </c>
      <c r="K790" s="6">
        <f>IFERROR(__xludf.DUMMYFUNCTION("""COMPUTED_VALUE"""),23333.0)</f>
        <v>23333</v>
      </c>
      <c r="L790" s="2">
        <f>IFERROR(__xludf.DUMMYFUNCTION("""COMPUTED_VALUE"""),0.0)</f>
        <v>0</v>
      </c>
      <c r="M790" s="2">
        <f>IFERROR(__xludf.DUMMYFUNCTION("""COMPUTED_VALUE"""),23333.0)</f>
        <v>23333</v>
      </c>
      <c r="N790" s="2">
        <f>IFERROR(__xludf.DUMMYFUNCTION("""COMPUTED_VALUE"""),0.0)</f>
        <v>0</v>
      </c>
      <c r="O790" s="2">
        <f>IFERROR(__xludf.DUMMYFUNCTION("""COMPUTED_VALUE"""),23333.0)</f>
        <v>23333</v>
      </c>
      <c r="P790" s="2">
        <f>IFERROR(__xludf.DUMMYFUNCTION("""COMPUTED_VALUE"""),1167.0)</f>
        <v>1167</v>
      </c>
      <c r="Q790" s="2" t="str">
        <f>IFERROR(__xludf.DUMMYFUNCTION("""COMPUTED_VALUE"""),"Dine In")</f>
        <v>Dine In</v>
      </c>
      <c r="R790" s="2" t="str">
        <f>IFERROR(__xludf.DUMMYFUNCTION("""COMPUTED_VALUE"""),"Kedai")</f>
        <v>Kedai</v>
      </c>
      <c r="S790" s="2" t="str">
        <f>IFERROR(__xludf.DUMMYFUNCTION("""COMPUTED_VALUE"""),"Temu Roti")</f>
        <v>Temu Roti</v>
      </c>
      <c r="T790" s="2" t="str">
        <f>IFERROR(__xludf.DUMMYFUNCTION("""COMPUTED_VALUE"""),"Owner")</f>
        <v>Owner</v>
      </c>
      <c r="U790" s="2"/>
      <c r="V790" s="2"/>
      <c r="W790" s="2"/>
      <c r="X790" s="2" t="str">
        <f>IFERROR(__xludf.DUMMYFUNCTION("""COMPUTED_VALUE"""),"Closed")</f>
        <v>Closed</v>
      </c>
    </row>
    <row r="791">
      <c r="A791" s="3" t="s">
        <v>806</v>
      </c>
      <c r="B791" s="4">
        <f>IFERROR(__xludf.DUMMYFUNCTION("SPLIT(A791,"","",0,0)"),45549.56180555555)</f>
        <v>45549.56181</v>
      </c>
      <c r="C791" s="5">
        <f>IFERROR(__xludf.DUMMYFUNCTION("""COMPUTED_VALUE"""),2691506.0)</f>
        <v>2691506</v>
      </c>
      <c r="D791" s="2" t="str">
        <f>IFERROR(__xludf.DUMMYFUNCTION("""COMPUTED_VALUE"""),"Sale")</f>
        <v>Sale</v>
      </c>
      <c r="E791" s="2" t="str">
        <f>IFERROR(__xludf.DUMMYFUNCTION("""COMPUTED_VALUE"""),"Roti")</f>
        <v>Roti</v>
      </c>
      <c r="F791" s="2">
        <f>IFERROR(__xludf.DUMMYFUNCTION("""COMPUTED_VALUE"""),10002.0)</f>
        <v>10002</v>
      </c>
      <c r="G791" s="2" t="str">
        <f>IFERROR(__xludf.DUMMYFUNCTION("""COMPUTED_VALUE"""),"Roti Cranberry")</f>
        <v>Roti Cranberry</v>
      </c>
      <c r="H791" s="2"/>
      <c r="I791" s="2"/>
      <c r="J791" s="2">
        <f>IFERROR(__xludf.DUMMYFUNCTION("""COMPUTED_VALUE"""),1.0)</f>
        <v>1</v>
      </c>
      <c r="K791" s="6">
        <f>IFERROR(__xludf.DUMMYFUNCTION("""COMPUTED_VALUE"""),18571.0)</f>
        <v>18571</v>
      </c>
      <c r="L791" s="2">
        <f>IFERROR(__xludf.DUMMYFUNCTION("""COMPUTED_VALUE"""),0.0)</f>
        <v>0</v>
      </c>
      <c r="M791" s="2">
        <f>IFERROR(__xludf.DUMMYFUNCTION("""COMPUTED_VALUE"""),18571.0)</f>
        <v>18571</v>
      </c>
      <c r="N791" s="2">
        <f>IFERROR(__xludf.DUMMYFUNCTION("""COMPUTED_VALUE"""),0.0)</f>
        <v>0</v>
      </c>
      <c r="O791" s="2">
        <f>IFERROR(__xludf.DUMMYFUNCTION("""COMPUTED_VALUE"""),18571.0)</f>
        <v>18571</v>
      </c>
      <c r="P791" s="2">
        <f>IFERROR(__xludf.DUMMYFUNCTION("""COMPUTED_VALUE"""),929.0)</f>
        <v>929</v>
      </c>
      <c r="Q791" s="2" t="str">
        <f>IFERROR(__xludf.DUMMYFUNCTION("""COMPUTED_VALUE"""),"Dine In")</f>
        <v>Dine In</v>
      </c>
      <c r="R791" s="2" t="str">
        <f>IFERROR(__xludf.DUMMYFUNCTION("""COMPUTED_VALUE"""),"Kedai")</f>
        <v>Kedai</v>
      </c>
      <c r="S791" s="2" t="str">
        <f>IFERROR(__xludf.DUMMYFUNCTION("""COMPUTED_VALUE"""),"Temu Roti")</f>
        <v>Temu Roti</v>
      </c>
      <c r="T791" s="2" t="str">
        <f>IFERROR(__xludf.DUMMYFUNCTION("""COMPUTED_VALUE"""),"Owner")</f>
        <v>Owner</v>
      </c>
      <c r="U791" s="2"/>
      <c r="V791" s="2"/>
      <c r="W791" s="2"/>
      <c r="X791" s="2" t="str">
        <f>IFERROR(__xludf.DUMMYFUNCTION("""COMPUTED_VALUE"""),"Closed")</f>
        <v>Closed</v>
      </c>
    </row>
    <row r="792">
      <c r="A792" s="3" t="s">
        <v>807</v>
      </c>
      <c r="B792" s="4">
        <f>IFERROR(__xludf.DUMMYFUNCTION("SPLIT(A792,"","",0,0)"),45549.56180555555)</f>
        <v>45549.56181</v>
      </c>
      <c r="C792" s="5">
        <f>IFERROR(__xludf.DUMMYFUNCTION("""COMPUTED_VALUE"""),2691140.0)</f>
        <v>2691140</v>
      </c>
      <c r="D792" s="2" t="str">
        <f>IFERROR(__xludf.DUMMYFUNCTION("""COMPUTED_VALUE"""),"Sale")</f>
        <v>Sale</v>
      </c>
      <c r="E792" s="2" t="str">
        <f>IFERROR(__xludf.DUMMYFUNCTION("""COMPUTED_VALUE"""),"Roti")</f>
        <v>Roti</v>
      </c>
      <c r="F792" s="2">
        <f>IFERROR(__xludf.DUMMYFUNCTION("""COMPUTED_VALUE"""),10055.0)</f>
        <v>10055</v>
      </c>
      <c r="G792" s="2" t="str">
        <f>IFERROR(__xludf.DUMMYFUNCTION("""COMPUTED_VALUE"""),"Roti Gandum Cokelat 2 pcs")</f>
        <v>Roti Gandum Cokelat 2 pcs</v>
      </c>
      <c r="H792" s="2"/>
      <c r="I792" s="2"/>
      <c r="J792" s="2">
        <f>IFERROR(__xludf.DUMMYFUNCTION("""COMPUTED_VALUE"""),1.0)</f>
        <v>1</v>
      </c>
      <c r="K792" s="6">
        <f>IFERROR(__xludf.DUMMYFUNCTION("""COMPUTED_VALUE"""),34762.0)</f>
        <v>34762</v>
      </c>
      <c r="L792" s="2">
        <f>IFERROR(__xludf.DUMMYFUNCTION("""COMPUTED_VALUE"""),0.0)</f>
        <v>0</v>
      </c>
      <c r="M792" s="2">
        <f>IFERROR(__xludf.DUMMYFUNCTION("""COMPUTED_VALUE"""),34762.0)</f>
        <v>34762</v>
      </c>
      <c r="N792" s="2">
        <f>IFERROR(__xludf.DUMMYFUNCTION("""COMPUTED_VALUE"""),0.0)</f>
        <v>0</v>
      </c>
      <c r="O792" s="2">
        <f>IFERROR(__xludf.DUMMYFUNCTION("""COMPUTED_VALUE"""),34762.0)</f>
        <v>34762</v>
      </c>
      <c r="P792" s="2">
        <f>IFERROR(__xludf.DUMMYFUNCTION("""COMPUTED_VALUE"""),1738.0)</f>
        <v>1738</v>
      </c>
      <c r="Q792" s="2" t="str">
        <f>IFERROR(__xludf.DUMMYFUNCTION("""COMPUTED_VALUE"""),"Dine In")</f>
        <v>Dine In</v>
      </c>
      <c r="R792" s="2" t="str">
        <f>IFERROR(__xludf.DUMMYFUNCTION("""COMPUTED_VALUE"""),"Kedai")</f>
        <v>Kedai</v>
      </c>
      <c r="S792" s="2" t="str">
        <f>IFERROR(__xludf.DUMMYFUNCTION("""COMPUTED_VALUE"""),"Temu Roti")</f>
        <v>Temu Roti</v>
      </c>
      <c r="T792" s="2" t="str">
        <f>IFERROR(__xludf.DUMMYFUNCTION("""COMPUTED_VALUE"""),"Owner")</f>
        <v>Owner</v>
      </c>
      <c r="U792" s="2"/>
      <c r="V792" s="2"/>
      <c r="W792" s="2"/>
      <c r="X792" s="2" t="str">
        <f>IFERROR(__xludf.DUMMYFUNCTION("""COMPUTED_VALUE"""),"Closed")</f>
        <v>Closed</v>
      </c>
    </row>
    <row r="793">
      <c r="A793" s="3" t="s">
        <v>808</v>
      </c>
      <c r="B793" s="4">
        <f>IFERROR(__xludf.DUMMYFUNCTION("SPLIT(A793,"","",0,0)"),45549.549305555556)</f>
        <v>45549.54931</v>
      </c>
      <c r="C793" s="5">
        <f>IFERROR(__xludf.DUMMYFUNCTION("""COMPUTED_VALUE"""),2690775.0)</f>
        <v>2690775</v>
      </c>
      <c r="D793" s="2" t="str">
        <f>IFERROR(__xludf.DUMMYFUNCTION("""COMPUTED_VALUE"""),"Sale")</f>
        <v>Sale</v>
      </c>
      <c r="E793" s="2" t="str">
        <f>IFERROR(__xludf.DUMMYFUNCTION("""COMPUTED_VALUE"""),"Roti")</f>
        <v>Roti</v>
      </c>
      <c r="F793" s="2">
        <f>IFERROR(__xludf.DUMMYFUNCTION("""COMPUTED_VALUE"""),10002.0)</f>
        <v>10002</v>
      </c>
      <c r="G793" s="2" t="str">
        <f>IFERROR(__xludf.DUMMYFUNCTION("""COMPUTED_VALUE"""),"Roti Cranberry")</f>
        <v>Roti Cranberry</v>
      </c>
      <c r="H793" s="2"/>
      <c r="I793" s="2"/>
      <c r="J793" s="2">
        <f>IFERROR(__xludf.DUMMYFUNCTION("""COMPUTED_VALUE"""),1.0)</f>
        <v>1</v>
      </c>
      <c r="K793" s="6">
        <f>IFERROR(__xludf.DUMMYFUNCTION("""COMPUTED_VALUE"""),18571.0)</f>
        <v>18571</v>
      </c>
      <c r="L793" s="2">
        <f>IFERROR(__xludf.DUMMYFUNCTION("""COMPUTED_VALUE"""),0.0)</f>
        <v>0</v>
      </c>
      <c r="M793" s="2">
        <f>IFERROR(__xludf.DUMMYFUNCTION("""COMPUTED_VALUE"""),18571.0)</f>
        <v>18571</v>
      </c>
      <c r="N793" s="2">
        <f>IFERROR(__xludf.DUMMYFUNCTION("""COMPUTED_VALUE"""),0.0)</f>
        <v>0</v>
      </c>
      <c r="O793" s="2">
        <f>IFERROR(__xludf.DUMMYFUNCTION("""COMPUTED_VALUE"""),18571.0)</f>
        <v>18571</v>
      </c>
      <c r="P793" s="2">
        <f>IFERROR(__xludf.DUMMYFUNCTION("""COMPUTED_VALUE"""),929.0)</f>
        <v>929</v>
      </c>
      <c r="Q793" s="2" t="str">
        <f>IFERROR(__xludf.DUMMYFUNCTION("""COMPUTED_VALUE"""),"Dine In")</f>
        <v>Dine In</v>
      </c>
      <c r="R793" s="2" t="str">
        <f>IFERROR(__xludf.DUMMYFUNCTION("""COMPUTED_VALUE"""),"Kedai")</f>
        <v>Kedai</v>
      </c>
      <c r="S793" s="2" t="str">
        <f>IFERROR(__xludf.DUMMYFUNCTION("""COMPUTED_VALUE"""),"Temu Roti")</f>
        <v>Temu Roti</v>
      </c>
      <c r="T793" s="2" t="str">
        <f>IFERROR(__xludf.DUMMYFUNCTION("""COMPUTED_VALUE"""),"Owner")</f>
        <v>Owner</v>
      </c>
      <c r="U793" s="2"/>
      <c r="V793" s="2"/>
      <c r="W793" s="2"/>
      <c r="X793" s="2" t="str">
        <f>IFERROR(__xludf.DUMMYFUNCTION("""COMPUTED_VALUE"""),"Closed")</f>
        <v>Closed</v>
      </c>
    </row>
    <row r="794">
      <c r="A794" s="3" t="s">
        <v>809</v>
      </c>
      <c r="B794" s="4">
        <f>IFERROR(__xludf.DUMMYFUNCTION("SPLIT(A794,"","",0,0)"),45549.549305555556)</f>
        <v>45549.54931</v>
      </c>
      <c r="C794" s="5">
        <f>IFERROR(__xludf.DUMMYFUNCTION("""COMPUTED_VALUE"""),2690775.0)</f>
        <v>2690775</v>
      </c>
      <c r="D794" s="2" t="str">
        <f>IFERROR(__xludf.DUMMYFUNCTION("""COMPUTED_VALUE"""),"Sale")</f>
        <v>Sale</v>
      </c>
      <c r="E794" s="2" t="str">
        <f>IFERROR(__xludf.DUMMYFUNCTION("""COMPUTED_VALUE"""),"Minuman")</f>
        <v>Minuman</v>
      </c>
      <c r="F794" s="2">
        <f>IFERROR(__xludf.DUMMYFUNCTION("""COMPUTED_VALUE"""),10128.0)</f>
        <v>10128</v>
      </c>
      <c r="G794" s="2" t="str">
        <f>IFERROR(__xludf.DUMMYFUNCTION("""COMPUTED_VALUE"""),"Es Kopi Susu")</f>
        <v>Es Kopi Susu</v>
      </c>
      <c r="H794" s="2"/>
      <c r="I794" s="2"/>
      <c r="J794" s="2">
        <f>IFERROR(__xludf.DUMMYFUNCTION("""COMPUTED_VALUE"""),1.0)</f>
        <v>1</v>
      </c>
      <c r="K794" s="6">
        <f>IFERROR(__xludf.DUMMYFUNCTION("""COMPUTED_VALUE"""),23333.0)</f>
        <v>23333</v>
      </c>
      <c r="L794" s="2">
        <f>IFERROR(__xludf.DUMMYFUNCTION("""COMPUTED_VALUE"""),0.0)</f>
        <v>0</v>
      </c>
      <c r="M794" s="2">
        <f>IFERROR(__xludf.DUMMYFUNCTION("""COMPUTED_VALUE"""),23333.0)</f>
        <v>23333</v>
      </c>
      <c r="N794" s="2">
        <f>IFERROR(__xludf.DUMMYFUNCTION("""COMPUTED_VALUE"""),0.0)</f>
        <v>0</v>
      </c>
      <c r="O794" s="2">
        <f>IFERROR(__xludf.DUMMYFUNCTION("""COMPUTED_VALUE"""),23333.0)</f>
        <v>23333</v>
      </c>
      <c r="P794" s="2">
        <f>IFERROR(__xludf.DUMMYFUNCTION("""COMPUTED_VALUE"""),1166.0)</f>
        <v>1166</v>
      </c>
      <c r="Q794" s="2" t="str">
        <f>IFERROR(__xludf.DUMMYFUNCTION("""COMPUTED_VALUE"""),"Dine In")</f>
        <v>Dine In</v>
      </c>
      <c r="R794" s="2" t="str">
        <f>IFERROR(__xludf.DUMMYFUNCTION("""COMPUTED_VALUE"""),"Kedai")</f>
        <v>Kedai</v>
      </c>
      <c r="S794" s="2" t="str">
        <f>IFERROR(__xludf.DUMMYFUNCTION("""COMPUTED_VALUE"""),"Temu Roti")</f>
        <v>Temu Roti</v>
      </c>
      <c r="T794" s="2" t="str">
        <f>IFERROR(__xludf.DUMMYFUNCTION("""COMPUTED_VALUE"""),"Owner")</f>
        <v>Owner</v>
      </c>
      <c r="U794" s="2"/>
      <c r="V794" s="2"/>
      <c r="W794" s="2"/>
      <c r="X794" s="2" t="str">
        <f>IFERROR(__xludf.DUMMYFUNCTION("""COMPUTED_VALUE"""),"Closed")</f>
        <v>Closed</v>
      </c>
    </row>
    <row r="795">
      <c r="A795" s="3" t="s">
        <v>810</v>
      </c>
      <c r="B795" s="4">
        <f>IFERROR(__xludf.DUMMYFUNCTION("SPLIT(A795,"","",0,0)"),45549.549305555556)</f>
        <v>45549.54931</v>
      </c>
      <c r="C795" s="5">
        <f>IFERROR(__xludf.DUMMYFUNCTION("""COMPUTED_VALUE"""),2690775.0)</f>
        <v>2690775</v>
      </c>
      <c r="D795" s="2" t="str">
        <f>IFERROR(__xludf.DUMMYFUNCTION("""COMPUTED_VALUE"""),"Sale")</f>
        <v>Sale</v>
      </c>
      <c r="E795" s="2" t="str">
        <f>IFERROR(__xludf.DUMMYFUNCTION("""COMPUTED_VALUE"""),"Hidangan Utama")</f>
        <v>Hidangan Utama</v>
      </c>
      <c r="F795" s="2">
        <f>IFERROR(__xludf.DUMMYFUNCTION("""COMPUTED_VALUE"""),10105.0)</f>
        <v>10105</v>
      </c>
      <c r="G795" s="2" t="str">
        <f>IFERROR(__xludf.DUMMYFUNCTION("""COMPUTED_VALUE"""),"Beef Claypot Rice")</f>
        <v>Beef Claypot Rice</v>
      </c>
      <c r="H795" s="2"/>
      <c r="I795" s="2"/>
      <c r="J795" s="2">
        <f>IFERROR(__xludf.DUMMYFUNCTION("""COMPUTED_VALUE"""),1.0)</f>
        <v>1</v>
      </c>
      <c r="K795" s="6">
        <f>IFERROR(__xludf.DUMMYFUNCTION("""COMPUTED_VALUE"""),38095.0)</f>
        <v>38095</v>
      </c>
      <c r="L795" s="2">
        <f>IFERROR(__xludf.DUMMYFUNCTION("""COMPUTED_VALUE"""),0.0)</f>
        <v>0</v>
      </c>
      <c r="M795" s="2">
        <f>IFERROR(__xludf.DUMMYFUNCTION("""COMPUTED_VALUE"""),38095.0)</f>
        <v>38095</v>
      </c>
      <c r="N795" s="2">
        <f>IFERROR(__xludf.DUMMYFUNCTION("""COMPUTED_VALUE"""),0.0)</f>
        <v>0</v>
      </c>
      <c r="O795" s="2">
        <f>IFERROR(__xludf.DUMMYFUNCTION("""COMPUTED_VALUE"""),38095.0)</f>
        <v>38095</v>
      </c>
      <c r="P795" s="2">
        <f>IFERROR(__xludf.DUMMYFUNCTION("""COMPUTED_VALUE"""),1905.0)</f>
        <v>1905</v>
      </c>
      <c r="Q795" s="2" t="str">
        <f>IFERROR(__xludf.DUMMYFUNCTION("""COMPUTED_VALUE"""),"Dine In")</f>
        <v>Dine In</v>
      </c>
      <c r="R795" s="2" t="str">
        <f>IFERROR(__xludf.DUMMYFUNCTION("""COMPUTED_VALUE"""),"Kedai")</f>
        <v>Kedai</v>
      </c>
      <c r="S795" s="2" t="str">
        <f>IFERROR(__xludf.DUMMYFUNCTION("""COMPUTED_VALUE"""),"Temu Roti")</f>
        <v>Temu Roti</v>
      </c>
      <c r="T795" s="2" t="str">
        <f>IFERROR(__xludf.DUMMYFUNCTION("""COMPUTED_VALUE"""),"Owner")</f>
        <v>Owner</v>
      </c>
      <c r="U795" s="2"/>
      <c r="V795" s="2"/>
      <c r="W795" s="2"/>
      <c r="X795" s="2" t="str">
        <f>IFERROR(__xludf.DUMMYFUNCTION("""COMPUTED_VALUE"""),"Closed")</f>
        <v>Closed</v>
      </c>
    </row>
    <row r="796">
      <c r="A796" s="3" t="s">
        <v>811</v>
      </c>
      <c r="B796" s="4">
        <f>IFERROR(__xludf.DUMMYFUNCTION("SPLIT(A796,"","",0,0)"),45549.54236111111)</f>
        <v>45549.54236</v>
      </c>
      <c r="C796" s="5">
        <f>IFERROR(__xludf.DUMMYFUNCTION("""COMPUTED_VALUE"""),2690410.0)</f>
        <v>2690410</v>
      </c>
      <c r="D796" s="2" t="str">
        <f>IFERROR(__xludf.DUMMYFUNCTION("""COMPUTED_VALUE"""),"Sale")</f>
        <v>Sale</v>
      </c>
      <c r="E796" s="2" t="str">
        <f>IFERROR(__xludf.DUMMYFUNCTION("""COMPUTED_VALUE"""),"Hidangan Utama")</f>
        <v>Hidangan Utama</v>
      </c>
      <c r="F796" s="2">
        <f>IFERROR(__xludf.DUMMYFUNCTION("""COMPUTED_VALUE"""),10012.0)</f>
        <v>10012</v>
      </c>
      <c r="G796" s="2" t="str">
        <f>IFERROR(__xludf.DUMMYFUNCTION("""COMPUTED_VALUE"""),"Mie joglo")</f>
        <v>Mie joglo</v>
      </c>
      <c r="H796" s="2"/>
      <c r="I796" s="2"/>
      <c r="J796" s="2">
        <f>IFERROR(__xludf.DUMMYFUNCTION("""COMPUTED_VALUE"""),1.0)</f>
        <v>1</v>
      </c>
      <c r="K796" s="6">
        <f>IFERROR(__xludf.DUMMYFUNCTION("""COMPUTED_VALUE"""),29524.0)</f>
        <v>29524</v>
      </c>
      <c r="L796" s="2">
        <f>IFERROR(__xludf.DUMMYFUNCTION("""COMPUTED_VALUE"""),0.0)</f>
        <v>0</v>
      </c>
      <c r="M796" s="2">
        <f>IFERROR(__xludf.DUMMYFUNCTION("""COMPUTED_VALUE"""),29524.0)</f>
        <v>29524</v>
      </c>
      <c r="N796" s="2">
        <f>IFERROR(__xludf.DUMMYFUNCTION("""COMPUTED_VALUE"""),0.0)</f>
        <v>0</v>
      </c>
      <c r="O796" s="2">
        <f>IFERROR(__xludf.DUMMYFUNCTION("""COMPUTED_VALUE"""),29524.0)</f>
        <v>29524</v>
      </c>
      <c r="P796" s="2">
        <f>IFERROR(__xludf.DUMMYFUNCTION("""COMPUTED_VALUE"""),1476.0)</f>
        <v>1476</v>
      </c>
      <c r="Q796" s="2" t="str">
        <f>IFERROR(__xludf.DUMMYFUNCTION("""COMPUTED_VALUE"""),"Dine In")</f>
        <v>Dine In</v>
      </c>
      <c r="R796" s="2" t="str">
        <f>IFERROR(__xludf.DUMMYFUNCTION("""COMPUTED_VALUE"""),"Kedai")</f>
        <v>Kedai</v>
      </c>
      <c r="S796" s="2" t="str">
        <f>IFERROR(__xludf.DUMMYFUNCTION("""COMPUTED_VALUE"""),"Temu Roti")</f>
        <v>Temu Roti</v>
      </c>
      <c r="T796" s="2" t="str">
        <f>IFERROR(__xludf.DUMMYFUNCTION("""COMPUTED_VALUE"""),"Owner")</f>
        <v>Owner</v>
      </c>
      <c r="U796" s="2"/>
      <c r="V796" s="2"/>
      <c r="W796" s="2"/>
      <c r="X796" s="2" t="str">
        <f>IFERROR(__xludf.DUMMYFUNCTION("""COMPUTED_VALUE"""),"Closed")</f>
        <v>Closed</v>
      </c>
    </row>
    <row r="797">
      <c r="A797" s="3" t="s">
        <v>812</v>
      </c>
      <c r="B797" s="4">
        <f>IFERROR(__xludf.DUMMYFUNCTION("SPLIT(A797,"","",0,0)"),45549.54236111111)</f>
        <v>45549.54236</v>
      </c>
      <c r="C797" s="5">
        <f>IFERROR(__xludf.DUMMYFUNCTION("""COMPUTED_VALUE"""),2690410.0)</f>
        <v>2690410</v>
      </c>
      <c r="D797" s="2" t="str">
        <f>IFERROR(__xludf.DUMMYFUNCTION("""COMPUTED_VALUE"""),"Sale")</f>
        <v>Sale</v>
      </c>
      <c r="E797" s="2" t="str">
        <f>IFERROR(__xludf.DUMMYFUNCTION("""COMPUTED_VALUE"""),"Kudapan")</f>
        <v>Kudapan</v>
      </c>
      <c r="F797" s="2">
        <f>IFERROR(__xludf.DUMMYFUNCTION("""COMPUTED_VALUE"""),10004.0)</f>
        <v>10004</v>
      </c>
      <c r="G797" s="2" t="str">
        <f>IFERROR(__xludf.DUMMYFUNCTION("""COMPUTED_VALUE"""),"Tahu walik")</f>
        <v>Tahu walik</v>
      </c>
      <c r="H797" s="2"/>
      <c r="I797" s="2"/>
      <c r="J797" s="2">
        <f>IFERROR(__xludf.DUMMYFUNCTION("""COMPUTED_VALUE"""),1.0)</f>
        <v>1</v>
      </c>
      <c r="K797" s="6">
        <f>IFERROR(__xludf.DUMMYFUNCTION("""COMPUTED_VALUE"""),25238.0)</f>
        <v>25238</v>
      </c>
      <c r="L797" s="2">
        <f>IFERROR(__xludf.DUMMYFUNCTION("""COMPUTED_VALUE"""),0.0)</f>
        <v>0</v>
      </c>
      <c r="M797" s="2">
        <f>IFERROR(__xludf.DUMMYFUNCTION("""COMPUTED_VALUE"""),25238.0)</f>
        <v>25238</v>
      </c>
      <c r="N797" s="2">
        <f>IFERROR(__xludf.DUMMYFUNCTION("""COMPUTED_VALUE"""),0.0)</f>
        <v>0</v>
      </c>
      <c r="O797" s="2">
        <f>IFERROR(__xludf.DUMMYFUNCTION("""COMPUTED_VALUE"""),25238.0)</f>
        <v>25238</v>
      </c>
      <c r="P797" s="2">
        <f>IFERROR(__xludf.DUMMYFUNCTION("""COMPUTED_VALUE"""),1262.0)</f>
        <v>1262</v>
      </c>
      <c r="Q797" s="2" t="str">
        <f>IFERROR(__xludf.DUMMYFUNCTION("""COMPUTED_VALUE"""),"Dine In")</f>
        <v>Dine In</v>
      </c>
      <c r="R797" s="2" t="str">
        <f>IFERROR(__xludf.DUMMYFUNCTION("""COMPUTED_VALUE"""),"Kedai")</f>
        <v>Kedai</v>
      </c>
      <c r="S797" s="2" t="str">
        <f>IFERROR(__xludf.DUMMYFUNCTION("""COMPUTED_VALUE"""),"Temu Roti")</f>
        <v>Temu Roti</v>
      </c>
      <c r="T797" s="2" t="str">
        <f>IFERROR(__xludf.DUMMYFUNCTION("""COMPUTED_VALUE"""),"Owner")</f>
        <v>Owner</v>
      </c>
      <c r="U797" s="2"/>
      <c r="V797" s="2"/>
      <c r="W797" s="2"/>
      <c r="X797" s="2" t="str">
        <f>IFERROR(__xludf.DUMMYFUNCTION("""COMPUTED_VALUE"""),"Closed")</f>
        <v>Closed</v>
      </c>
    </row>
    <row r="798">
      <c r="A798" s="3" t="s">
        <v>813</v>
      </c>
      <c r="B798" s="4">
        <f>IFERROR(__xludf.DUMMYFUNCTION("SPLIT(A798,"","",0,0)"),45549.532638888886)</f>
        <v>45549.53264</v>
      </c>
      <c r="C798" s="5">
        <f>IFERROR(__xludf.DUMMYFUNCTION("""COMPUTED_VALUE"""),2690045.0)</f>
        <v>2690045</v>
      </c>
      <c r="D798" s="2" t="str">
        <f>IFERROR(__xludf.DUMMYFUNCTION("""COMPUTED_VALUE"""),"Sale")</f>
        <v>Sale</v>
      </c>
      <c r="E798" s="2" t="str">
        <f>IFERROR(__xludf.DUMMYFUNCTION("""COMPUTED_VALUE"""),"Hidangan Utama")</f>
        <v>Hidangan Utama</v>
      </c>
      <c r="F798" s="2">
        <f>IFERROR(__xludf.DUMMYFUNCTION("""COMPUTED_VALUE"""),10012.0)</f>
        <v>10012</v>
      </c>
      <c r="G798" s="2" t="str">
        <f>IFERROR(__xludf.DUMMYFUNCTION("""COMPUTED_VALUE"""),"Mie joglo")</f>
        <v>Mie joglo</v>
      </c>
      <c r="H798" s="2"/>
      <c r="I798" s="2"/>
      <c r="J798" s="2">
        <f>IFERROR(__xludf.DUMMYFUNCTION("""COMPUTED_VALUE"""),1.0)</f>
        <v>1</v>
      </c>
      <c r="K798" s="6">
        <f>IFERROR(__xludf.DUMMYFUNCTION("""COMPUTED_VALUE"""),29524.0)</f>
        <v>29524</v>
      </c>
      <c r="L798" s="2">
        <f>IFERROR(__xludf.DUMMYFUNCTION("""COMPUTED_VALUE"""),0.0)</f>
        <v>0</v>
      </c>
      <c r="M798" s="2">
        <f>IFERROR(__xludf.DUMMYFUNCTION("""COMPUTED_VALUE"""),29524.0)</f>
        <v>29524</v>
      </c>
      <c r="N798" s="2">
        <f>IFERROR(__xludf.DUMMYFUNCTION("""COMPUTED_VALUE"""),0.0)</f>
        <v>0</v>
      </c>
      <c r="O798" s="2">
        <f>IFERROR(__xludf.DUMMYFUNCTION("""COMPUTED_VALUE"""),29524.0)</f>
        <v>29524</v>
      </c>
      <c r="P798" s="2">
        <f>IFERROR(__xludf.DUMMYFUNCTION("""COMPUTED_VALUE"""),1476.0)</f>
        <v>1476</v>
      </c>
      <c r="Q798" s="2" t="str">
        <f>IFERROR(__xludf.DUMMYFUNCTION("""COMPUTED_VALUE"""),"Dine In")</f>
        <v>Dine In</v>
      </c>
      <c r="R798" s="2" t="str">
        <f>IFERROR(__xludf.DUMMYFUNCTION("""COMPUTED_VALUE"""),"Kedai")</f>
        <v>Kedai</v>
      </c>
      <c r="S798" s="2" t="str">
        <f>IFERROR(__xludf.DUMMYFUNCTION("""COMPUTED_VALUE"""),"Temu Roti")</f>
        <v>Temu Roti</v>
      </c>
      <c r="T798" s="2" t="str">
        <f>IFERROR(__xludf.DUMMYFUNCTION("""COMPUTED_VALUE"""),"Owner")</f>
        <v>Owner</v>
      </c>
      <c r="U798" s="2"/>
      <c r="V798" s="2"/>
      <c r="W798" s="2"/>
      <c r="X798" s="2" t="str">
        <f>IFERROR(__xludf.DUMMYFUNCTION("""COMPUTED_VALUE"""),"Closed")</f>
        <v>Closed</v>
      </c>
    </row>
    <row r="799">
      <c r="A799" s="3" t="s">
        <v>814</v>
      </c>
      <c r="B799" s="4">
        <f>IFERROR(__xludf.DUMMYFUNCTION("SPLIT(A799,"","",0,0)"),45549.532638888886)</f>
        <v>45549.53264</v>
      </c>
      <c r="C799" s="5">
        <f>IFERROR(__xludf.DUMMYFUNCTION("""COMPUTED_VALUE"""),2690045.0)</f>
        <v>2690045</v>
      </c>
      <c r="D799" s="2" t="str">
        <f>IFERROR(__xludf.DUMMYFUNCTION("""COMPUTED_VALUE"""),"Sale")</f>
        <v>Sale</v>
      </c>
      <c r="E799" s="2" t="str">
        <f>IFERROR(__xludf.DUMMYFUNCTION("""COMPUTED_VALUE"""),"Kudapan")</f>
        <v>Kudapan</v>
      </c>
      <c r="F799" s="2">
        <f>IFERROR(__xludf.DUMMYFUNCTION("""COMPUTED_VALUE"""),10014.0)</f>
        <v>10014</v>
      </c>
      <c r="G799" s="2" t="str">
        <f>IFERROR(__xludf.DUMMYFUNCTION("""COMPUTED_VALUE"""),"Tempe Mendoan")</f>
        <v>Tempe Mendoan</v>
      </c>
      <c r="H799" s="2"/>
      <c r="I799" s="2"/>
      <c r="J799" s="2">
        <f>IFERROR(__xludf.DUMMYFUNCTION("""COMPUTED_VALUE"""),1.0)</f>
        <v>1</v>
      </c>
      <c r="K799" s="6">
        <f>IFERROR(__xludf.DUMMYFUNCTION("""COMPUTED_VALUE"""),25238.0)</f>
        <v>25238</v>
      </c>
      <c r="L799" s="2">
        <f>IFERROR(__xludf.DUMMYFUNCTION("""COMPUTED_VALUE"""),0.0)</f>
        <v>0</v>
      </c>
      <c r="M799" s="2">
        <f>IFERROR(__xludf.DUMMYFUNCTION("""COMPUTED_VALUE"""),25238.0)</f>
        <v>25238</v>
      </c>
      <c r="N799" s="2">
        <f>IFERROR(__xludf.DUMMYFUNCTION("""COMPUTED_VALUE"""),0.0)</f>
        <v>0</v>
      </c>
      <c r="O799" s="2">
        <f>IFERROR(__xludf.DUMMYFUNCTION("""COMPUTED_VALUE"""),25238.0)</f>
        <v>25238</v>
      </c>
      <c r="P799" s="2">
        <f>IFERROR(__xludf.DUMMYFUNCTION("""COMPUTED_VALUE"""),1262.0)</f>
        <v>1262</v>
      </c>
      <c r="Q799" s="2" t="str">
        <f>IFERROR(__xludf.DUMMYFUNCTION("""COMPUTED_VALUE"""),"Dine In")</f>
        <v>Dine In</v>
      </c>
      <c r="R799" s="2" t="str">
        <f>IFERROR(__xludf.DUMMYFUNCTION("""COMPUTED_VALUE"""),"Kedai")</f>
        <v>Kedai</v>
      </c>
      <c r="S799" s="2" t="str">
        <f>IFERROR(__xludf.DUMMYFUNCTION("""COMPUTED_VALUE"""),"Temu Roti")</f>
        <v>Temu Roti</v>
      </c>
      <c r="T799" s="2" t="str">
        <f>IFERROR(__xludf.DUMMYFUNCTION("""COMPUTED_VALUE"""),"Owner")</f>
        <v>Owner</v>
      </c>
      <c r="U799" s="2"/>
      <c r="V799" s="2"/>
      <c r="W799" s="2"/>
      <c r="X799" s="2" t="str">
        <f>IFERROR(__xludf.DUMMYFUNCTION("""COMPUTED_VALUE"""),"Closed")</f>
        <v>Closed</v>
      </c>
    </row>
    <row r="800">
      <c r="A800" s="3" t="s">
        <v>815</v>
      </c>
      <c r="B800" s="4">
        <f>IFERROR(__xludf.DUMMYFUNCTION("SPLIT(A800,"","",0,0)"),45549.532638888886)</f>
        <v>45549.53264</v>
      </c>
      <c r="C800" s="5">
        <f>IFERROR(__xludf.DUMMYFUNCTION("""COMPUTED_VALUE"""),2690045.0)</f>
        <v>2690045</v>
      </c>
      <c r="D800" s="2" t="str">
        <f>IFERROR(__xludf.DUMMYFUNCTION("""COMPUTED_VALUE"""),"Sale")</f>
        <v>Sale</v>
      </c>
      <c r="E800" s="2" t="str">
        <f>IFERROR(__xludf.DUMMYFUNCTION("""COMPUTED_VALUE"""),"Minuman")</f>
        <v>Minuman</v>
      </c>
      <c r="F800" s="2">
        <f>IFERROR(__xludf.DUMMYFUNCTION("""COMPUTED_VALUE"""),10122.0)</f>
        <v>10122</v>
      </c>
      <c r="G800" s="2" t="str">
        <f>IFERROR(__xludf.DUMMYFUNCTION("""COMPUTED_VALUE"""),"Rempah Madu Panas")</f>
        <v>Rempah Madu Panas</v>
      </c>
      <c r="H800" s="2"/>
      <c r="I800" s="2"/>
      <c r="J800" s="2">
        <f>IFERROR(__xludf.DUMMYFUNCTION("""COMPUTED_VALUE"""),1.0)</f>
        <v>1</v>
      </c>
      <c r="K800" s="6">
        <f>IFERROR(__xludf.DUMMYFUNCTION("""COMPUTED_VALUE"""),21905.0)</f>
        <v>21905</v>
      </c>
      <c r="L800" s="2">
        <f>IFERROR(__xludf.DUMMYFUNCTION("""COMPUTED_VALUE"""),0.0)</f>
        <v>0</v>
      </c>
      <c r="M800" s="2">
        <f>IFERROR(__xludf.DUMMYFUNCTION("""COMPUTED_VALUE"""),21905.0)</f>
        <v>21905</v>
      </c>
      <c r="N800" s="2">
        <f>IFERROR(__xludf.DUMMYFUNCTION("""COMPUTED_VALUE"""),0.0)</f>
        <v>0</v>
      </c>
      <c r="O800" s="2">
        <f>IFERROR(__xludf.DUMMYFUNCTION("""COMPUTED_VALUE"""),21905.0)</f>
        <v>21905</v>
      </c>
      <c r="P800" s="2">
        <f>IFERROR(__xludf.DUMMYFUNCTION("""COMPUTED_VALUE"""),1095.0)</f>
        <v>1095</v>
      </c>
      <c r="Q800" s="2" t="str">
        <f>IFERROR(__xludf.DUMMYFUNCTION("""COMPUTED_VALUE"""),"Dine In")</f>
        <v>Dine In</v>
      </c>
      <c r="R800" s="2" t="str">
        <f>IFERROR(__xludf.DUMMYFUNCTION("""COMPUTED_VALUE"""),"Kedai")</f>
        <v>Kedai</v>
      </c>
      <c r="S800" s="2" t="str">
        <f>IFERROR(__xludf.DUMMYFUNCTION("""COMPUTED_VALUE"""),"Temu Roti")</f>
        <v>Temu Roti</v>
      </c>
      <c r="T800" s="2" t="str">
        <f>IFERROR(__xludf.DUMMYFUNCTION("""COMPUTED_VALUE"""),"Owner")</f>
        <v>Owner</v>
      </c>
      <c r="U800" s="2"/>
      <c r="V800" s="2"/>
      <c r="W800" s="2"/>
      <c r="X800" s="2" t="str">
        <f>IFERROR(__xludf.DUMMYFUNCTION("""COMPUTED_VALUE"""),"Closed")</f>
        <v>Closed</v>
      </c>
    </row>
    <row r="801">
      <c r="A801" s="3" t="s">
        <v>816</v>
      </c>
      <c r="B801" s="4">
        <f>IFERROR(__xludf.DUMMYFUNCTION("SPLIT(A801,"","",0,0)"),45549.532638888886)</f>
        <v>45549.53264</v>
      </c>
      <c r="C801" s="5">
        <f>IFERROR(__xludf.DUMMYFUNCTION("""COMPUTED_VALUE"""),2690045.0)</f>
        <v>2690045</v>
      </c>
      <c r="D801" s="2" t="str">
        <f>IFERROR(__xludf.DUMMYFUNCTION("""COMPUTED_VALUE"""),"Sale")</f>
        <v>Sale</v>
      </c>
      <c r="E801" s="2" t="str">
        <f>IFERROR(__xludf.DUMMYFUNCTION("""COMPUTED_VALUE"""),"Minuman")</f>
        <v>Minuman</v>
      </c>
      <c r="F801" s="2">
        <f>IFERROR(__xludf.DUMMYFUNCTION("""COMPUTED_VALUE"""),10116.0)</f>
        <v>10116</v>
      </c>
      <c r="G801" s="2" t="str">
        <f>IFERROR(__xludf.DUMMYFUNCTION("""COMPUTED_VALUE"""),"Teh Manis Panas")</f>
        <v>Teh Manis Panas</v>
      </c>
      <c r="H801" s="2"/>
      <c r="I801" s="2"/>
      <c r="J801" s="2">
        <f>IFERROR(__xludf.DUMMYFUNCTION("""COMPUTED_VALUE"""),1.0)</f>
        <v>1</v>
      </c>
      <c r="K801" s="6">
        <f>IFERROR(__xludf.DUMMYFUNCTION("""COMPUTED_VALUE"""),14286.0)</f>
        <v>14286</v>
      </c>
      <c r="L801" s="2">
        <f>IFERROR(__xludf.DUMMYFUNCTION("""COMPUTED_VALUE"""),0.0)</f>
        <v>0</v>
      </c>
      <c r="M801" s="2">
        <f>IFERROR(__xludf.DUMMYFUNCTION("""COMPUTED_VALUE"""),14286.0)</f>
        <v>14286</v>
      </c>
      <c r="N801" s="2">
        <f>IFERROR(__xludf.DUMMYFUNCTION("""COMPUTED_VALUE"""),0.0)</f>
        <v>0</v>
      </c>
      <c r="O801" s="2">
        <f>IFERROR(__xludf.DUMMYFUNCTION("""COMPUTED_VALUE"""),14286.0)</f>
        <v>14286</v>
      </c>
      <c r="P801" s="2">
        <f>IFERROR(__xludf.DUMMYFUNCTION("""COMPUTED_VALUE"""),715.0)</f>
        <v>715</v>
      </c>
      <c r="Q801" s="2" t="str">
        <f>IFERROR(__xludf.DUMMYFUNCTION("""COMPUTED_VALUE"""),"Dine In")</f>
        <v>Dine In</v>
      </c>
      <c r="R801" s="2" t="str">
        <f>IFERROR(__xludf.DUMMYFUNCTION("""COMPUTED_VALUE"""),"Kedai")</f>
        <v>Kedai</v>
      </c>
      <c r="S801" s="2" t="str">
        <f>IFERROR(__xludf.DUMMYFUNCTION("""COMPUTED_VALUE"""),"Temu Roti")</f>
        <v>Temu Roti</v>
      </c>
      <c r="T801" s="2" t="str">
        <f>IFERROR(__xludf.DUMMYFUNCTION("""COMPUTED_VALUE"""),"Owner")</f>
        <v>Owner</v>
      </c>
      <c r="U801" s="2"/>
      <c r="V801" s="2"/>
      <c r="W801" s="2"/>
      <c r="X801" s="2" t="str">
        <f>IFERROR(__xludf.DUMMYFUNCTION("""COMPUTED_VALUE"""),"Closed")</f>
        <v>Closed</v>
      </c>
    </row>
    <row r="802">
      <c r="A802" s="3" t="s">
        <v>817</v>
      </c>
      <c r="B802" s="4">
        <f>IFERROR(__xludf.DUMMYFUNCTION("SPLIT(A802,"","",0,0)"),45549.5125)</f>
        <v>45549.5125</v>
      </c>
      <c r="C802" s="5">
        <f>IFERROR(__xludf.DUMMYFUNCTION("""COMPUTED_VALUE"""),2689679.0)</f>
        <v>2689679</v>
      </c>
      <c r="D802" s="2" t="str">
        <f>IFERROR(__xludf.DUMMYFUNCTION("""COMPUTED_VALUE"""),"Sale")</f>
        <v>Sale</v>
      </c>
      <c r="E802" s="2" t="str">
        <f>IFERROR(__xludf.DUMMYFUNCTION("""COMPUTED_VALUE"""),"Roti")</f>
        <v>Roti</v>
      </c>
      <c r="F802" s="2">
        <f>IFERROR(__xludf.DUMMYFUNCTION("""COMPUTED_VALUE"""),10002.0)</f>
        <v>10002</v>
      </c>
      <c r="G802" s="2" t="str">
        <f>IFERROR(__xludf.DUMMYFUNCTION("""COMPUTED_VALUE"""),"Roti Cranberry")</f>
        <v>Roti Cranberry</v>
      </c>
      <c r="H802" s="2"/>
      <c r="I802" s="2"/>
      <c r="J802" s="2">
        <f>IFERROR(__xludf.DUMMYFUNCTION("""COMPUTED_VALUE"""),1.0)</f>
        <v>1</v>
      </c>
      <c r="K802" s="6">
        <f>IFERROR(__xludf.DUMMYFUNCTION("""COMPUTED_VALUE"""),18571.0)</f>
        <v>18571</v>
      </c>
      <c r="L802" s="2">
        <f>IFERROR(__xludf.DUMMYFUNCTION("""COMPUTED_VALUE"""),0.0)</f>
        <v>0</v>
      </c>
      <c r="M802" s="2">
        <f>IFERROR(__xludf.DUMMYFUNCTION("""COMPUTED_VALUE"""),18571.0)</f>
        <v>18571</v>
      </c>
      <c r="N802" s="2">
        <f>IFERROR(__xludf.DUMMYFUNCTION("""COMPUTED_VALUE"""),0.0)</f>
        <v>0</v>
      </c>
      <c r="O802" s="2">
        <f>IFERROR(__xludf.DUMMYFUNCTION("""COMPUTED_VALUE"""),18571.0)</f>
        <v>18571</v>
      </c>
      <c r="P802" s="2">
        <f>IFERROR(__xludf.DUMMYFUNCTION("""COMPUTED_VALUE"""),929.0)</f>
        <v>929</v>
      </c>
      <c r="Q802" s="2" t="str">
        <f>IFERROR(__xludf.DUMMYFUNCTION("""COMPUTED_VALUE"""),"Dine In")</f>
        <v>Dine In</v>
      </c>
      <c r="R802" s="2" t="str">
        <f>IFERROR(__xludf.DUMMYFUNCTION("""COMPUTED_VALUE"""),"Kedai")</f>
        <v>Kedai</v>
      </c>
      <c r="S802" s="2" t="str">
        <f>IFERROR(__xludf.DUMMYFUNCTION("""COMPUTED_VALUE"""),"Temu Roti")</f>
        <v>Temu Roti</v>
      </c>
      <c r="T802" s="2" t="str">
        <f>IFERROR(__xludf.DUMMYFUNCTION("""COMPUTED_VALUE"""),"Owner")</f>
        <v>Owner</v>
      </c>
      <c r="U802" s="2"/>
      <c r="V802" s="2"/>
      <c r="W802" s="2"/>
      <c r="X802" s="2" t="str">
        <f>IFERROR(__xludf.DUMMYFUNCTION("""COMPUTED_VALUE"""),"Closed")</f>
        <v>Closed</v>
      </c>
    </row>
    <row r="803">
      <c r="A803" s="3" t="s">
        <v>818</v>
      </c>
      <c r="B803" s="4">
        <f>IFERROR(__xludf.DUMMYFUNCTION("SPLIT(A803,"","",0,0)"),45549.5125)</f>
        <v>45549.5125</v>
      </c>
      <c r="C803" s="5">
        <f>IFERROR(__xludf.DUMMYFUNCTION("""COMPUTED_VALUE"""),2689679.0)</f>
        <v>2689679</v>
      </c>
      <c r="D803" s="2" t="str">
        <f>IFERROR(__xludf.DUMMYFUNCTION("""COMPUTED_VALUE"""),"Sale")</f>
        <v>Sale</v>
      </c>
      <c r="E803" s="2" t="str">
        <f>IFERROR(__xludf.DUMMYFUNCTION("""COMPUTED_VALUE"""),"Roti")</f>
        <v>Roti</v>
      </c>
      <c r="F803" s="2">
        <f>IFERROR(__xludf.DUMMYFUNCTION("""COMPUTED_VALUE"""),10000.0)</f>
        <v>10000</v>
      </c>
      <c r="G803" s="2" t="str">
        <f>IFERROR(__xludf.DUMMYFUNCTION("""COMPUTED_VALUE"""),"Roti Bawang Saus Keju")</f>
        <v>Roti Bawang Saus Keju</v>
      </c>
      <c r="H803" s="2"/>
      <c r="I803" s="2"/>
      <c r="J803" s="2">
        <f>IFERROR(__xludf.DUMMYFUNCTION("""COMPUTED_VALUE"""),1.0)</f>
        <v>1</v>
      </c>
      <c r="K803" s="6">
        <f>IFERROR(__xludf.DUMMYFUNCTION("""COMPUTED_VALUE"""),29524.0)</f>
        <v>29524</v>
      </c>
      <c r="L803" s="2">
        <f>IFERROR(__xludf.DUMMYFUNCTION("""COMPUTED_VALUE"""),0.0)</f>
        <v>0</v>
      </c>
      <c r="M803" s="2">
        <f>IFERROR(__xludf.DUMMYFUNCTION("""COMPUTED_VALUE"""),29524.0)</f>
        <v>29524</v>
      </c>
      <c r="N803" s="2">
        <f>IFERROR(__xludf.DUMMYFUNCTION("""COMPUTED_VALUE"""),0.0)</f>
        <v>0</v>
      </c>
      <c r="O803" s="2">
        <f>IFERROR(__xludf.DUMMYFUNCTION("""COMPUTED_VALUE"""),29524.0)</f>
        <v>29524</v>
      </c>
      <c r="P803" s="2">
        <f>IFERROR(__xludf.DUMMYFUNCTION("""COMPUTED_VALUE"""),1476.0)</f>
        <v>1476</v>
      </c>
      <c r="Q803" s="2" t="str">
        <f>IFERROR(__xludf.DUMMYFUNCTION("""COMPUTED_VALUE"""),"Dine In")</f>
        <v>Dine In</v>
      </c>
      <c r="R803" s="2" t="str">
        <f>IFERROR(__xludf.DUMMYFUNCTION("""COMPUTED_VALUE"""),"Kedai")</f>
        <v>Kedai</v>
      </c>
      <c r="S803" s="2" t="str">
        <f>IFERROR(__xludf.DUMMYFUNCTION("""COMPUTED_VALUE"""),"Temu Roti")</f>
        <v>Temu Roti</v>
      </c>
      <c r="T803" s="2" t="str">
        <f>IFERROR(__xludf.DUMMYFUNCTION("""COMPUTED_VALUE"""),"Owner")</f>
        <v>Owner</v>
      </c>
      <c r="U803" s="2"/>
      <c r="V803" s="2"/>
      <c r="W803" s="2"/>
      <c r="X803" s="2" t="str">
        <f>IFERROR(__xludf.DUMMYFUNCTION("""COMPUTED_VALUE"""),"Closed")</f>
        <v>Closed</v>
      </c>
    </row>
    <row r="804">
      <c r="A804" s="3" t="s">
        <v>819</v>
      </c>
      <c r="B804" s="4">
        <f>IFERROR(__xludf.DUMMYFUNCTION("SPLIT(A804,"","",0,0)"),45549.50763888889)</f>
        <v>45549.50764</v>
      </c>
      <c r="C804" s="5">
        <f>IFERROR(__xludf.DUMMYFUNCTION("""COMPUTED_VALUE"""),2689314.0)</f>
        <v>2689314</v>
      </c>
      <c r="D804" s="2" t="str">
        <f>IFERROR(__xludf.DUMMYFUNCTION("""COMPUTED_VALUE"""),"Sale")</f>
        <v>Sale</v>
      </c>
      <c r="E804" s="2" t="str">
        <f>IFERROR(__xludf.DUMMYFUNCTION("""COMPUTED_VALUE"""),"Roti")</f>
        <v>Roti</v>
      </c>
      <c r="F804" s="2">
        <f>IFERROR(__xludf.DUMMYFUNCTION("""COMPUTED_VALUE"""),10002.0)</f>
        <v>10002</v>
      </c>
      <c r="G804" s="2" t="str">
        <f>IFERROR(__xludf.DUMMYFUNCTION("""COMPUTED_VALUE"""),"Roti Cranberry")</f>
        <v>Roti Cranberry</v>
      </c>
      <c r="H804" s="2"/>
      <c r="I804" s="2"/>
      <c r="J804" s="2">
        <f>IFERROR(__xludf.DUMMYFUNCTION("""COMPUTED_VALUE"""),1.0)</f>
        <v>1</v>
      </c>
      <c r="K804" s="6">
        <f>IFERROR(__xludf.DUMMYFUNCTION("""COMPUTED_VALUE"""),18571.0)</f>
        <v>18571</v>
      </c>
      <c r="L804" s="2">
        <f>IFERROR(__xludf.DUMMYFUNCTION("""COMPUTED_VALUE"""),0.0)</f>
        <v>0</v>
      </c>
      <c r="M804" s="2">
        <f>IFERROR(__xludf.DUMMYFUNCTION("""COMPUTED_VALUE"""),18571.0)</f>
        <v>18571</v>
      </c>
      <c r="N804" s="2">
        <f>IFERROR(__xludf.DUMMYFUNCTION("""COMPUTED_VALUE"""),0.0)</f>
        <v>0</v>
      </c>
      <c r="O804" s="2">
        <f>IFERROR(__xludf.DUMMYFUNCTION("""COMPUTED_VALUE"""),18571.0)</f>
        <v>18571</v>
      </c>
      <c r="P804" s="2">
        <f>IFERROR(__xludf.DUMMYFUNCTION("""COMPUTED_VALUE"""),929.0)</f>
        <v>929</v>
      </c>
      <c r="Q804" s="2" t="str">
        <f>IFERROR(__xludf.DUMMYFUNCTION("""COMPUTED_VALUE"""),"Dine In")</f>
        <v>Dine In</v>
      </c>
      <c r="R804" s="2" t="str">
        <f>IFERROR(__xludf.DUMMYFUNCTION("""COMPUTED_VALUE"""),"Kedai")</f>
        <v>Kedai</v>
      </c>
      <c r="S804" s="2" t="str">
        <f>IFERROR(__xludf.DUMMYFUNCTION("""COMPUTED_VALUE"""),"Temu Roti")</f>
        <v>Temu Roti</v>
      </c>
      <c r="T804" s="2" t="str">
        <f>IFERROR(__xludf.DUMMYFUNCTION("""COMPUTED_VALUE"""),"Owner")</f>
        <v>Owner</v>
      </c>
      <c r="U804" s="2"/>
      <c r="V804" s="2"/>
      <c r="W804" s="2"/>
      <c r="X804" s="2" t="str">
        <f>IFERROR(__xludf.DUMMYFUNCTION("""COMPUTED_VALUE"""),"Closed")</f>
        <v>Closed</v>
      </c>
    </row>
    <row r="805">
      <c r="A805" s="3" t="s">
        <v>820</v>
      </c>
      <c r="B805" s="4">
        <f>IFERROR(__xludf.DUMMYFUNCTION("SPLIT(A805,"","",0,0)"),45549.50763888889)</f>
        <v>45549.50764</v>
      </c>
      <c r="C805" s="5">
        <f>IFERROR(__xludf.DUMMYFUNCTION("""COMPUTED_VALUE"""),2689314.0)</f>
        <v>2689314</v>
      </c>
      <c r="D805" s="2" t="str">
        <f>IFERROR(__xludf.DUMMYFUNCTION("""COMPUTED_VALUE"""),"Sale")</f>
        <v>Sale</v>
      </c>
      <c r="E805" s="2" t="str">
        <f>IFERROR(__xludf.DUMMYFUNCTION("""COMPUTED_VALUE"""),"Minuman")</f>
        <v>Minuman</v>
      </c>
      <c r="F805" s="2">
        <f>IFERROR(__xludf.DUMMYFUNCTION("""COMPUTED_VALUE"""),10121.0)</f>
        <v>10121</v>
      </c>
      <c r="G805" s="2" t="str">
        <f>IFERROR(__xludf.DUMMYFUNCTION("""COMPUTED_VALUE"""),"Lemon Tea Dingin")</f>
        <v>Lemon Tea Dingin</v>
      </c>
      <c r="H805" s="2"/>
      <c r="I805" s="2"/>
      <c r="J805" s="2">
        <f>IFERROR(__xludf.DUMMYFUNCTION("""COMPUTED_VALUE"""),1.0)</f>
        <v>1</v>
      </c>
      <c r="K805" s="6">
        <f>IFERROR(__xludf.DUMMYFUNCTION("""COMPUTED_VALUE"""),19524.0)</f>
        <v>19524</v>
      </c>
      <c r="L805" s="2">
        <f>IFERROR(__xludf.DUMMYFUNCTION("""COMPUTED_VALUE"""),0.0)</f>
        <v>0</v>
      </c>
      <c r="M805" s="2">
        <f>IFERROR(__xludf.DUMMYFUNCTION("""COMPUTED_VALUE"""),19524.0)</f>
        <v>19524</v>
      </c>
      <c r="N805" s="2">
        <f>IFERROR(__xludf.DUMMYFUNCTION("""COMPUTED_VALUE"""),0.0)</f>
        <v>0</v>
      </c>
      <c r="O805" s="2">
        <f>IFERROR(__xludf.DUMMYFUNCTION("""COMPUTED_VALUE"""),19524.0)</f>
        <v>19524</v>
      </c>
      <c r="P805" s="2">
        <f>IFERROR(__xludf.DUMMYFUNCTION("""COMPUTED_VALUE"""),976.0)</f>
        <v>976</v>
      </c>
      <c r="Q805" s="2" t="str">
        <f>IFERROR(__xludf.DUMMYFUNCTION("""COMPUTED_VALUE"""),"Dine In")</f>
        <v>Dine In</v>
      </c>
      <c r="R805" s="2" t="str">
        <f>IFERROR(__xludf.DUMMYFUNCTION("""COMPUTED_VALUE"""),"Kedai")</f>
        <v>Kedai</v>
      </c>
      <c r="S805" s="2" t="str">
        <f>IFERROR(__xludf.DUMMYFUNCTION("""COMPUTED_VALUE"""),"Temu Roti")</f>
        <v>Temu Roti</v>
      </c>
      <c r="T805" s="2" t="str">
        <f>IFERROR(__xludf.DUMMYFUNCTION("""COMPUTED_VALUE"""),"Owner")</f>
        <v>Owner</v>
      </c>
      <c r="U805" s="2"/>
      <c r="V805" s="2"/>
      <c r="W805" s="2"/>
      <c r="X805" s="2" t="str">
        <f>IFERROR(__xludf.DUMMYFUNCTION("""COMPUTED_VALUE"""),"Closed")</f>
        <v>Closed</v>
      </c>
    </row>
    <row r="806">
      <c r="A806" s="3" t="s">
        <v>821</v>
      </c>
      <c r="B806" s="4">
        <f>IFERROR(__xludf.DUMMYFUNCTION("SPLIT(A806,"","",0,0)"),45549.48402777778)</f>
        <v>45549.48403</v>
      </c>
      <c r="C806" s="5">
        <f>IFERROR(__xludf.DUMMYFUNCTION("""COMPUTED_VALUE"""),2688949.0)</f>
        <v>2688949</v>
      </c>
      <c r="D806" s="2" t="str">
        <f>IFERROR(__xludf.DUMMYFUNCTION("""COMPUTED_VALUE"""),"Sale")</f>
        <v>Sale</v>
      </c>
      <c r="E806" s="2" t="str">
        <f>IFERROR(__xludf.DUMMYFUNCTION("""COMPUTED_VALUE"""),"Roti")</f>
        <v>Roti</v>
      </c>
      <c r="F806" s="2">
        <f>IFERROR(__xludf.DUMMYFUNCTION("""COMPUTED_VALUE"""),10034.0)</f>
        <v>10034</v>
      </c>
      <c r="G806" s="2" t="str">
        <f>IFERROR(__xludf.DUMMYFUNCTION("""COMPUTED_VALUE"""),"Roti panggang coklat")</f>
        <v>Roti panggang coklat</v>
      </c>
      <c r="H806" s="2"/>
      <c r="I806" s="2"/>
      <c r="J806" s="2">
        <f>IFERROR(__xludf.DUMMYFUNCTION("""COMPUTED_VALUE"""),1.0)</f>
        <v>1</v>
      </c>
      <c r="K806" s="6">
        <f>IFERROR(__xludf.DUMMYFUNCTION("""COMPUTED_VALUE"""),21905.0)</f>
        <v>21905</v>
      </c>
      <c r="L806" s="2">
        <f>IFERROR(__xludf.DUMMYFUNCTION("""COMPUTED_VALUE"""),0.0)</f>
        <v>0</v>
      </c>
      <c r="M806" s="2">
        <f>IFERROR(__xludf.DUMMYFUNCTION("""COMPUTED_VALUE"""),21905.0)</f>
        <v>21905</v>
      </c>
      <c r="N806" s="2">
        <f>IFERROR(__xludf.DUMMYFUNCTION("""COMPUTED_VALUE"""),0.0)</f>
        <v>0</v>
      </c>
      <c r="O806" s="2">
        <f>IFERROR(__xludf.DUMMYFUNCTION("""COMPUTED_VALUE"""),21905.0)</f>
        <v>21905</v>
      </c>
      <c r="P806" s="2">
        <f>IFERROR(__xludf.DUMMYFUNCTION("""COMPUTED_VALUE"""),1095.0)</f>
        <v>1095</v>
      </c>
      <c r="Q806" s="2" t="str">
        <f>IFERROR(__xludf.DUMMYFUNCTION("""COMPUTED_VALUE"""),"Dine In")</f>
        <v>Dine In</v>
      </c>
      <c r="R806" s="2" t="str">
        <f>IFERROR(__xludf.DUMMYFUNCTION("""COMPUTED_VALUE"""),"Kedai")</f>
        <v>Kedai</v>
      </c>
      <c r="S806" s="2" t="str">
        <f>IFERROR(__xludf.DUMMYFUNCTION("""COMPUTED_VALUE"""),"Temu Roti")</f>
        <v>Temu Roti</v>
      </c>
      <c r="T806" s="2" t="str">
        <f>IFERROR(__xludf.DUMMYFUNCTION("""COMPUTED_VALUE"""),"Owner")</f>
        <v>Owner</v>
      </c>
      <c r="U806" s="2"/>
      <c r="V806" s="2"/>
      <c r="W806" s="2"/>
      <c r="X806" s="2" t="str">
        <f>IFERROR(__xludf.DUMMYFUNCTION("""COMPUTED_VALUE"""),"Closed")</f>
        <v>Closed</v>
      </c>
    </row>
    <row r="807">
      <c r="A807" s="3" t="s">
        <v>822</v>
      </c>
      <c r="B807" s="4">
        <f>IFERROR(__xludf.DUMMYFUNCTION("SPLIT(A807,"","",0,0)"),45549.48402777778)</f>
        <v>45549.48403</v>
      </c>
      <c r="C807" s="5">
        <f>IFERROR(__xludf.DUMMYFUNCTION("""COMPUTED_VALUE"""),2688949.0)</f>
        <v>2688949</v>
      </c>
      <c r="D807" s="2" t="str">
        <f>IFERROR(__xludf.DUMMYFUNCTION("""COMPUTED_VALUE"""),"Sale")</f>
        <v>Sale</v>
      </c>
      <c r="E807" s="2" t="str">
        <f>IFERROR(__xludf.DUMMYFUNCTION("""COMPUTED_VALUE"""),"Minuman")</f>
        <v>Minuman</v>
      </c>
      <c r="F807" s="2">
        <f>IFERROR(__xludf.DUMMYFUNCTION("""COMPUTED_VALUE"""),10128.0)</f>
        <v>10128</v>
      </c>
      <c r="G807" s="2" t="str">
        <f>IFERROR(__xludf.DUMMYFUNCTION("""COMPUTED_VALUE"""),"Es Kopi Susu")</f>
        <v>Es Kopi Susu</v>
      </c>
      <c r="H807" s="2"/>
      <c r="I807" s="2"/>
      <c r="J807" s="2">
        <f>IFERROR(__xludf.DUMMYFUNCTION("""COMPUTED_VALUE"""),1.0)</f>
        <v>1</v>
      </c>
      <c r="K807" s="6">
        <f>IFERROR(__xludf.DUMMYFUNCTION("""COMPUTED_VALUE"""),23333.0)</f>
        <v>23333</v>
      </c>
      <c r="L807" s="2">
        <f>IFERROR(__xludf.DUMMYFUNCTION("""COMPUTED_VALUE"""),0.0)</f>
        <v>0</v>
      </c>
      <c r="M807" s="2">
        <f>IFERROR(__xludf.DUMMYFUNCTION("""COMPUTED_VALUE"""),23333.0)</f>
        <v>23333</v>
      </c>
      <c r="N807" s="2">
        <f>IFERROR(__xludf.DUMMYFUNCTION("""COMPUTED_VALUE"""),0.0)</f>
        <v>0</v>
      </c>
      <c r="O807" s="2">
        <f>IFERROR(__xludf.DUMMYFUNCTION("""COMPUTED_VALUE"""),23333.0)</f>
        <v>23333</v>
      </c>
      <c r="P807" s="2">
        <f>IFERROR(__xludf.DUMMYFUNCTION("""COMPUTED_VALUE"""),1167.0)</f>
        <v>1167</v>
      </c>
      <c r="Q807" s="2" t="str">
        <f>IFERROR(__xludf.DUMMYFUNCTION("""COMPUTED_VALUE"""),"Dine In")</f>
        <v>Dine In</v>
      </c>
      <c r="R807" s="2" t="str">
        <f>IFERROR(__xludf.DUMMYFUNCTION("""COMPUTED_VALUE"""),"Kedai")</f>
        <v>Kedai</v>
      </c>
      <c r="S807" s="2" t="str">
        <f>IFERROR(__xludf.DUMMYFUNCTION("""COMPUTED_VALUE"""),"Temu Roti")</f>
        <v>Temu Roti</v>
      </c>
      <c r="T807" s="2" t="str">
        <f>IFERROR(__xludf.DUMMYFUNCTION("""COMPUTED_VALUE"""),"Owner")</f>
        <v>Owner</v>
      </c>
      <c r="U807" s="2"/>
      <c r="V807" s="2"/>
      <c r="W807" s="2"/>
      <c r="X807" s="2" t="str">
        <f>IFERROR(__xludf.DUMMYFUNCTION("""COMPUTED_VALUE"""),"Closed")</f>
        <v>Closed</v>
      </c>
    </row>
    <row r="808">
      <c r="A808" s="3" t="s">
        <v>823</v>
      </c>
      <c r="B808" s="4">
        <f>IFERROR(__xludf.DUMMYFUNCTION("SPLIT(A808,"","",0,0)"),45549.48402777778)</f>
        <v>45549.48403</v>
      </c>
      <c r="C808" s="5">
        <f>IFERROR(__xludf.DUMMYFUNCTION("""COMPUTED_VALUE"""),2688949.0)</f>
        <v>2688949</v>
      </c>
      <c r="D808" s="2" t="str">
        <f>IFERROR(__xludf.DUMMYFUNCTION("""COMPUTED_VALUE"""),"Sale")</f>
        <v>Sale</v>
      </c>
      <c r="E808" s="2" t="str">
        <f>IFERROR(__xludf.DUMMYFUNCTION("""COMPUTED_VALUE"""),"Minuman")</f>
        <v>Minuman</v>
      </c>
      <c r="F808" s="2">
        <f>IFERROR(__xludf.DUMMYFUNCTION("""COMPUTED_VALUE"""),10117.0)</f>
        <v>10117</v>
      </c>
      <c r="G808" s="2" t="str">
        <f>IFERROR(__xludf.DUMMYFUNCTION("""COMPUTED_VALUE"""),"Teh Manis Dingin")</f>
        <v>Teh Manis Dingin</v>
      </c>
      <c r="H808" s="2"/>
      <c r="I808" s="2"/>
      <c r="J808" s="2">
        <f>IFERROR(__xludf.DUMMYFUNCTION("""COMPUTED_VALUE"""),1.0)</f>
        <v>1</v>
      </c>
      <c r="K808" s="6">
        <f>IFERROR(__xludf.DUMMYFUNCTION("""COMPUTED_VALUE"""),14286.0)</f>
        <v>14286</v>
      </c>
      <c r="L808" s="2">
        <f>IFERROR(__xludf.DUMMYFUNCTION("""COMPUTED_VALUE"""),0.0)</f>
        <v>0</v>
      </c>
      <c r="M808" s="2">
        <f>IFERROR(__xludf.DUMMYFUNCTION("""COMPUTED_VALUE"""),14286.0)</f>
        <v>14286</v>
      </c>
      <c r="N808" s="2">
        <f>IFERROR(__xludf.DUMMYFUNCTION("""COMPUTED_VALUE"""),0.0)</f>
        <v>0</v>
      </c>
      <c r="O808" s="2">
        <f>IFERROR(__xludf.DUMMYFUNCTION("""COMPUTED_VALUE"""),14286.0)</f>
        <v>14286</v>
      </c>
      <c r="P808" s="2">
        <f>IFERROR(__xludf.DUMMYFUNCTION("""COMPUTED_VALUE"""),714.0)</f>
        <v>714</v>
      </c>
      <c r="Q808" s="2" t="str">
        <f>IFERROR(__xludf.DUMMYFUNCTION("""COMPUTED_VALUE"""),"Dine In")</f>
        <v>Dine In</v>
      </c>
      <c r="R808" s="2" t="str">
        <f>IFERROR(__xludf.DUMMYFUNCTION("""COMPUTED_VALUE"""),"Kedai")</f>
        <v>Kedai</v>
      </c>
      <c r="S808" s="2" t="str">
        <f>IFERROR(__xludf.DUMMYFUNCTION("""COMPUTED_VALUE"""),"Temu Roti")</f>
        <v>Temu Roti</v>
      </c>
      <c r="T808" s="2" t="str">
        <f>IFERROR(__xludf.DUMMYFUNCTION("""COMPUTED_VALUE"""),"Owner")</f>
        <v>Owner</v>
      </c>
      <c r="U808" s="2"/>
      <c r="V808" s="2"/>
      <c r="W808" s="2"/>
      <c r="X808" s="2" t="str">
        <f>IFERROR(__xludf.DUMMYFUNCTION("""COMPUTED_VALUE"""),"Closed")</f>
        <v>Closed</v>
      </c>
    </row>
    <row r="809">
      <c r="A809" s="3" t="s">
        <v>824</v>
      </c>
      <c r="B809" s="4">
        <f>IFERROR(__xludf.DUMMYFUNCTION("SPLIT(A809,"","",0,0)"),45549.47361111111)</f>
        <v>45549.47361</v>
      </c>
      <c r="C809" s="5">
        <f>IFERROR(__xludf.DUMMYFUNCTION("""COMPUTED_VALUE"""),2688584.0)</f>
        <v>2688584</v>
      </c>
      <c r="D809" s="2" t="str">
        <f>IFERROR(__xludf.DUMMYFUNCTION("""COMPUTED_VALUE"""),"Sale")</f>
        <v>Sale</v>
      </c>
      <c r="E809" s="2" t="str">
        <f>IFERROR(__xludf.DUMMYFUNCTION("""COMPUTED_VALUE"""),"Roti")</f>
        <v>Roti</v>
      </c>
      <c r="F809" s="2">
        <f>IFERROR(__xludf.DUMMYFUNCTION("""COMPUTED_VALUE"""),10055.0)</f>
        <v>10055</v>
      </c>
      <c r="G809" s="2" t="str">
        <f>IFERROR(__xludf.DUMMYFUNCTION("""COMPUTED_VALUE"""),"Roti Gandum Cokelat 2 pcs")</f>
        <v>Roti Gandum Cokelat 2 pcs</v>
      </c>
      <c r="H809" s="2"/>
      <c r="I809" s="2"/>
      <c r="J809" s="2">
        <f>IFERROR(__xludf.DUMMYFUNCTION("""COMPUTED_VALUE"""),1.0)</f>
        <v>1</v>
      </c>
      <c r="K809" s="6">
        <f>IFERROR(__xludf.DUMMYFUNCTION("""COMPUTED_VALUE"""),34762.0)</f>
        <v>34762</v>
      </c>
      <c r="L809" s="2">
        <f>IFERROR(__xludf.DUMMYFUNCTION("""COMPUTED_VALUE"""),0.0)</f>
        <v>0</v>
      </c>
      <c r="M809" s="2">
        <f>IFERROR(__xludf.DUMMYFUNCTION("""COMPUTED_VALUE"""),34762.0)</f>
        <v>34762</v>
      </c>
      <c r="N809" s="2">
        <f>IFERROR(__xludf.DUMMYFUNCTION("""COMPUTED_VALUE"""),0.0)</f>
        <v>0</v>
      </c>
      <c r="O809" s="2">
        <f>IFERROR(__xludf.DUMMYFUNCTION("""COMPUTED_VALUE"""),34762.0)</f>
        <v>34762</v>
      </c>
      <c r="P809" s="2">
        <f>IFERROR(__xludf.DUMMYFUNCTION("""COMPUTED_VALUE"""),1738.0)</f>
        <v>1738</v>
      </c>
      <c r="Q809" s="2" t="str">
        <f>IFERROR(__xludf.DUMMYFUNCTION("""COMPUTED_VALUE"""),"Dine In")</f>
        <v>Dine In</v>
      </c>
      <c r="R809" s="2" t="str">
        <f>IFERROR(__xludf.DUMMYFUNCTION("""COMPUTED_VALUE"""),"Kedai")</f>
        <v>Kedai</v>
      </c>
      <c r="S809" s="2" t="str">
        <f>IFERROR(__xludf.DUMMYFUNCTION("""COMPUTED_VALUE"""),"Temu Roti")</f>
        <v>Temu Roti</v>
      </c>
      <c r="T809" s="2" t="str">
        <f>IFERROR(__xludf.DUMMYFUNCTION("""COMPUTED_VALUE"""),"Owner")</f>
        <v>Owner</v>
      </c>
      <c r="U809" s="2"/>
      <c r="V809" s="2"/>
      <c r="W809" s="2"/>
      <c r="X809" s="2" t="str">
        <f>IFERROR(__xludf.DUMMYFUNCTION("""COMPUTED_VALUE"""),"Closed")</f>
        <v>Closed</v>
      </c>
    </row>
    <row r="810">
      <c r="A810" s="3" t="s">
        <v>825</v>
      </c>
      <c r="B810" s="4">
        <f>IFERROR(__xludf.DUMMYFUNCTION("SPLIT(A810,"","",0,0)"),45549.47361111111)</f>
        <v>45549.47361</v>
      </c>
      <c r="C810" s="5">
        <f>IFERROR(__xludf.DUMMYFUNCTION("""COMPUTED_VALUE"""),2688584.0)</f>
        <v>2688584</v>
      </c>
      <c r="D810" s="2" t="str">
        <f>IFERROR(__xludf.DUMMYFUNCTION("""COMPUTED_VALUE"""),"Sale")</f>
        <v>Sale</v>
      </c>
      <c r="E810" s="2" t="str">
        <f>IFERROR(__xludf.DUMMYFUNCTION("""COMPUTED_VALUE"""),"Roti")</f>
        <v>Roti</v>
      </c>
      <c r="F810" s="2">
        <f>IFERROR(__xludf.DUMMYFUNCTION("""COMPUTED_VALUE"""),10005.0)</f>
        <v>10005</v>
      </c>
      <c r="G810" s="2" t="str">
        <f>IFERROR(__xludf.DUMMYFUNCTION("""COMPUTED_VALUE"""),"Roti Gandum Cokelat")</f>
        <v>Roti Gandum Cokelat</v>
      </c>
      <c r="H810" s="2"/>
      <c r="I810" s="2"/>
      <c r="J810" s="2">
        <f>IFERROR(__xludf.DUMMYFUNCTION("""COMPUTED_VALUE"""),1.0)</f>
        <v>1</v>
      </c>
      <c r="K810" s="6">
        <f>IFERROR(__xludf.DUMMYFUNCTION("""COMPUTED_VALUE"""),19524.0)</f>
        <v>19524</v>
      </c>
      <c r="L810" s="2">
        <f>IFERROR(__xludf.DUMMYFUNCTION("""COMPUTED_VALUE"""),0.0)</f>
        <v>0</v>
      </c>
      <c r="M810" s="2">
        <f>IFERROR(__xludf.DUMMYFUNCTION("""COMPUTED_VALUE"""),19524.0)</f>
        <v>19524</v>
      </c>
      <c r="N810" s="2">
        <f>IFERROR(__xludf.DUMMYFUNCTION("""COMPUTED_VALUE"""),0.0)</f>
        <v>0</v>
      </c>
      <c r="O810" s="2">
        <f>IFERROR(__xludf.DUMMYFUNCTION("""COMPUTED_VALUE"""),19524.0)</f>
        <v>19524</v>
      </c>
      <c r="P810" s="2">
        <f>IFERROR(__xludf.DUMMYFUNCTION("""COMPUTED_VALUE"""),976.0)</f>
        <v>976</v>
      </c>
      <c r="Q810" s="2" t="str">
        <f>IFERROR(__xludf.DUMMYFUNCTION("""COMPUTED_VALUE"""),"Dine In")</f>
        <v>Dine In</v>
      </c>
      <c r="R810" s="2" t="str">
        <f>IFERROR(__xludf.DUMMYFUNCTION("""COMPUTED_VALUE"""),"Kedai")</f>
        <v>Kedai</v>
      </c>
      <c r="S810" s="2" t="str">
        <f>IFERROR(__xludf.DUMMYFUNCTION("""COMPUTED_VALUE"""),"Temu Roti")</f>
        <v>Temu Roti</v>
      </c>
      <c r="T810" s="2" t="str">
        <f>IFERROR(__xludf.DUMMYFUNCTION("""COMPUTED_VALUE"""),"Owner")</f>
        <v>Owner</v>
      </c>
      <c r="U810" s="2"/>
      <c r="V810" s="2"/>
      <c r="W810" s="2"/>
      <c r="X810" s="2" t="str">
        <f>IFERROR(__xludf.DUMMYFUNCTION("""COMPUTED_VALUE"""),"Closed")</f>
        <v>Closed</v>
      </c>
    </row>
    <row r="811">
      <c r="A811" s="3" t="s">
        <v>826</v>
      </c>
      <c r="B811" s="4">
        <f>IFERROR(__xludf.DUMMYFUNCTION("SPLIT(A811,"","",0,0)"),45549.47361111111)</f>
        <v>45549.47361</v>
      </c>
      <c r="C811" s="5">
        <f>IFERROR(__xludf.DUMMYFUNCTION("""COMPUTED_VALUE"""),2688584.0)</f>
        <v>2688584</v>
      </c>
      <c r="D811" s="2" t="str">
        <f>IFERROR(__xludf.DUMMYFUNCTION("""COMPUTED_VALUE"""),"Sale")</f>
        <v>Sale</v>
      </c>
      <c r="E811" s="2" t="str">
        <f>IFERROR(__xludf.DUMMYFUNCTION("""COMPUTED_VALUE"""),"Roti")</f>
        <v>Roti</v>
      </c>
      <c r="F811" s="2">
        <f>IFERROR(__xludf.DUMMYFUNCTION("""COMPUTED_VALUE"""),10000.0)</f>
        <v>10000</v>
      </c>
      <c r="G811" s="2" t="str">
        <f>IFERROR(__xludf.DUMMYFUNCTION("""COMPUTED_VALUE"""),"Roti Bawang Saus Keju")</f>
        <v>Roti Bawang Saus Keju</v>
      </c>
      <c r="H811" s="2"/>
      <c r="I811" s="2"/>
      <c r="J811" s="2">
        <f>IFERROR(__xludf.DUMMYFUNCTION("""COMPUTED_VALUE"""),1.0)</f>
        <v>1</v>
      </c>
      <c r="K811" s="6">
        <f>IFERROR(__xludf.DUMMYFUNCTION("""COMPUTED_VALUE"""),29524.0)</f>
        <v>29524</v>
      </c>
      <c r="L811" s="2">
        <f>IFERROR(__xludf.DUMMYFUNCTION("""COMPUTED_VALUE"""),0.0)</f>
        <v>0</v>
      </c>
      <c r="M811" s="2">
        <f>IFERROR(__xludf.DUMMYFUNCTION("""COMPUTED_VALUE"""),29524.0)</f>
        <v>29524</v>
      </c>
      <c r="N811" s="2">
        <f>IFERROR(__xludf.DUMMYFUNCTION("""COMPUTED_VALUE"""),0.0)</f>
        <v>0</v>
      </c>
      <c r="O811" s="2">
        <f>IFERROR(__xludf.DUMMYFUNCTION("""COMPUTED_VALUE"""),29524.0)</f>
        <v>29524</v>
      </c>
      <c r="P811" s="2">
        <f>IFERROR(__xludf.DUMMYFUNCTION("""COMPUTED_VALUE"""),1477.0)</f>
        <v>1477</v>
      </c>
      <c r="Q811" s="2" t="str">
        <f>IFERROR(__xludf.DUMMYFUNCTION("""COMPUTED_VALUE"""),"Dine In")</f>
        <v>Dine In</v>
      </c>
      <c r="R811" s="2" t="str">
        <f>IFERROR(__xludf.DUMMYFUNCTION("""COMPUTED_VALUE"""),"Kedai")</f>
        <v>Kedai</v>
      </c>
      <c r="S811" s="2" t="str">
        <f>IFERROR(__xludf.DUMMYFUNCTION("""COMPUTED_VALUE"""),"Temu Roti")</f>
        <v>Temu Roti</v>
      </c>
      <c r="T811" s="2" t="str">
        <f>IFERROR(__xludf.DUMMYFUNCTION("""COMPUTED_VALUE"""),"Owner")</f>
        <v>Owner</v>
      </c>
      <c r="U811" s="2"/>
      <c r="V811" s="2"/>
      <c r="W811" s="2"/>
      <c r="X811" s="2" t="str">
        <f>IFERROR(__xludf.DUMMYFUNCTION("""COMPUTED_VALUE"""),"Closed")</f>
        <v>Closed</v>
      </c>
    </row>
    <row r="812">
      <c r="A812" s="3" t="s">
        <v>827</v>
      </c>
      <c r="B812" s="4">
        <f>IFERROR(__xludf.DUMMYFUNCTION("SPLIT(A812,"","",0,0)"),45549.47361111111)</f>
        <v>45549.47361</v>
      </c>
      <c r="C812" s="5">
        <f>IFERROR(__xludf.DUMMYFUNCTION("""COMPUTED_VALUE"""),2688584.0)</f>
        <v>2688584</v>
      </c>
      <c r="D812" s="2" t="str">
        <f>IFERROR(__xludf.DUMMYFUNCTION("""COMPUTED_VALUE"""),"Sale")</f>
        <v>Sale</v>
      </c>
      <c r="E812" s="2" t="str">
        <f>IFERROR(__xludf.DUMMYFUNCTION("""COMPUTED_VALUE"""),"Roti")</f>
        <v>Roti</v>
      </c>
      <c r="F812" s="2">
        <f>IFERROR(__xludf.DUMMYFUNCTION("""COMPUTED_VALUE"""),10007.0)</f>
        <v>10007</v>
      </c>
      <c r="G812" s="2" t="str">
        <f>IFERROR(__xludf.DUMMYFUNCTION("""COMPUTED_VALUE"""),"Roti cranberry 2 pcs")</f>
        <v>Roti cranberry 2 pcs</v>
      </c>
      <c r="H812" s="2"/>
      <c r="I812" s="2"/>
      <c r="J812" s="2">
        <f>IFERROR(__xludf.DUMMYFUNCTION("""COMPUTED_VALUE"""),1.0)</f>
        <v>1</v>
      </c>
      <c r="K812" s="6">
        <f>IFERROR(__xludf.DUMMYFUNCTION("""COMPUTED_VALUE"""),33810.0)</f>
        <v>33810</v>
      </c>
      <c r="L812" s="2">
        <f>IFERROR(__xludf.DUMMYFUNCTION("""COMPUTED_VALUE"""),0.0)</f>
        <v>0</v>
      </c>
      <c r="M812" s="2">
        <f>IFERROR(__xludf.DUMMYFUNCTION("""COMPUTED_VALUE"""),33810.0)</f>
        <v>33810</v>
      </c>
      <c r="N812" s="2">
        <f>IFERROR(__xludf.DUMMYFUNCTION("""COMPUTED_VALUE"""),0.0)</f>
        <v>0</v>
      </c>
      <c r="O812" s="2">
        <f>IFERROR(__xludf.DUMMYFUNCTION("""COMPUTED_VALUE"""),33810.0)</f>
        <v>33810</v>
      </c>
      <c r="P812" s="2">
        <f>IFERROR(__xludf.DUMMYFUNCTION("""COMPUTED_VALUE"""),1690.0)</f>
        <v>1690</v>
      </c>
      <c r="Q812" s="2" t="str">
        <f>IFERROR(__xludf.DUMMYFUNCTION("""COMPUTED_VALUE"""),"Dine In")</f>
        <v>Dine In</v>
      </c>
      <c r="R812" s="2" t="str">
        <f>IFERROR(__xludf.DUMMYFUNCTION("""COMPUTED_VALUE"""),"Kedai")</f>
        <v>Kedai</v>
      </c>
      <c r="S812" s="2" t="str">
        <f>IFERROR(__xludf.DUMMYFUNCTION("""COMPUTED_VALUE"""),"Temu Roti")</f>
        <v>Temu Roti</v>
      </c>
      <c r="T812" s="2" t="str">
        <f>IFERROR(__xludf.DUMMYFUNCTION("""COMPUTED_VALUE"""),"Owner")</f>
        <v>Owner</v>
      </c>
      <c r="U812" s="2"/>
      <c r="V812" s="2"/>
      <c r="W812" s="2"/>
      <c r="X812" s="2" t="str">
        <f>IFERROR(__xludf.DUMMYFUNCTION("""COMPUTED_VALUE"""),"Closed")</f>
        <v>Closed</v>
      </c>
    </row>
    <row r="813">
      <c r="A813" s="3" t="s">
        <v>828</v>
      </c>
      <c r="B813" s="4">
        <f>IFERROR(__xludf.DUMMYFUNCTION("SPLIT(A813,"","",0,0)"),45549.47361111111)</f>
        <v>45549.47361</v>
      </c>
      <c r="C813" s="5">
        <f>IFERROR(__xludf.DUMMYFUNCTION("""COMPUTED_VALUE"""),2688584.0)</f>
        <v>2688584</v>
      </c>
      <c r="D813" s="2" t="str">
        <f>IFERROR(__xludf.DUMMYFUNCTION("""COMPUTED_VALUE"""),"Sale")</f>
        <v>Sale</v>
      </c>
      <c r="E813" s="2" t="str">
        <f>IFERROR(__xludf.DUMMYFUNCTION("""COMPUTED_VALUE"""),"Roti")</f>
        <v>Roti</v>
      </c>
      <c r="F813" s="2">
        <f>IFERROR(__xludf.DUMMYFUNCTION("""COMPUTED_VALUE"""),10033.0)</f>
        <v>10033</v>
      </c>
      <c r="G813" s="2" t="str">
        <f>IFERROR(__xludf.DUMMYFUNCTION("""COMPUTED_VALUE"""),"Roti panggang sarikaya")</f>
        <v>Roti panggang sarikaya</v>
      </c>
      <c r="H813" s="2"/>
      <c r="I813" s="2"/>
      <c r="J813" s="2">
        <f>IFERROR(__xludf.DUMMYFUNCTION("""COMPUTED_VALUE"""),1.0)</f>
        <v>1</v>
      </c>
      <c r="K813" s="6">
        <f>IFERROR(__xludf.DUMMYFUNCTION("""COMPUTED_VALUE"""),21905.0)</f>
        <v>21905</v>
      </c>
      <c r="L813" s="2">
        <f>IFERROR(__xludf.DUMMYFUNCTION("""COMPUTED_VALUE"""),0.0)</f>
        <v>0</v>
      </c>
      <c r="M813" s="2">
        <f>IFERROR(__xludf.DUMMYFUNCTION("""COMPUTED_VALUE"""),21905.0)</f>
        <v>21905</v>
      </c>
      <c r="N813" s="2">
        <f>IFERROR(__xludf.DUMMYFUNCTION("""COMPUTED_VALUE"""),0.0)</f>
        <v>0</v>
      </c>
      <c r="O813" s="2">
        <f>IFERROR(__xludf.DUMMYFUNCTION("""COMPUTED_VALUE"""),21905.0)</f>
        <v>21905</v>
      </c>
      <c r="P813" s="2">
        <f>IFERROR(__xludf.DUMMYFUNCTION("""COMPUTED_VALUE"""),1095.0)</f>
        <v>1095</v>
      </c>
      <c r="Q813" s="2" t="str">
        <f>IFERROR(__xludf.DUMMYFUNCTION("""COMPUTED_VALUE"""),"Dine In")</f>
        <v>Dine In</v>
      </c>
      <c r="R813" s="2" t="str">
        <f>IFERROR(__xludf.DUMMYFUNCTION("""COMPUTED_VALUE"""),"Kedai")</f>
        <v>Kedai</v>
      </c>
      <c r="S813" s="2" t="str">
        <f>IFERROR(__xludf.DUMMYFUNCTION("""COMPUTED_VALUE"""),"Temu Roti")</f>
        <v>Temu Roti</v>
      </c>
      <c r="T813" s="2" t="str">
        <f>IFERROR(__xludf.DUMMYFUNCTION("""COMPUTED_VALUE"""),"Owner")</f>
        <v>Owner</v>
      </c>
      <c r="U813" s="2"/>
      <c r="V813" s="2"/>
      <c r="W813" s="2"/>
      <c r="X813" s="2" t="str">
        <f>IFERROR(__xludf.DUMMYFUNCTION("""COMPUTED_VALUE"""),"Closed")</f>
        <v>Closed</v>
      </c>
    </row>
    <row r="814">
      <c r="A814" s="3" t="s">
        <v>829</v>
      </c>
      <c r="B814" s="4">
        <f>IFERROR(__xludf.DUMMYFUNCTION("SPLIT(A814,"","",0,0)"),45549.470138888886)</f>
        <v>45549.47014</v>
      </c>
      <c r="C814" s="5">
        <f>IFERROR(__xludf.DUMMYFUNCTION("""COMPUTED_VALUE"""),2688218.0)</f>
        <v>2688218</v>
      </c>
      <c r="D814" s="2" t="str">
        <f>IFERROR(__xludf.DUMMYFUNCTION("""COMPUTED_VALUE"""),"Sale")</f>
        <v>Sale</v>
      </c>
      <c r="E814" s="2" t="str">
        <f>IFERROR(__xludf.DUMMYFUNCTION("""COMPUTED_VALUE"""),"Roti")</f>
        <v>Roti</v>
      </c>
      <c r="F814" s="2">
        <f>IFERROR(__xludf.DUMMYFUNCTION("""COMPUTED_VALUE"""),10002.0)</f>
        <v>10002</v>
      </c>
      <c r="G814" s="2" t="str">
        <f>IFERROR(__xludf.DUMMYFUNCTION("""COMPUTED_VALUE"""),"Roti Cranberry")</f>
        <v>Roti Cranberry</v>
      </c>
      <c r="H814" s="2"/>
      <c r="I814" s="2"/>
      <c r="J814" s="2">
        <f>IFERROR(__xludf.DUMMYFUNCTION("""COMPUTED_VALUE"""),1.0)</f>
        <v>1</v>
      </c>
      <c r="K814" s="6">
        <f>IFERROR(__xludf.DUMMYFUNCTION("""COMPUTED_VALUE"""),18571.0)</f>
        <v>18571</v>
      </c>
      <c r="L814" s="2">
        <f>IFERROR(__xludf.DUMMYFUNCTION("""COMPUTED_VALUE"""),0.0)</f>
        <v>0</v>
      </c>
      <c r="M814" s="2">
        <f>IFERROR(__xludf.DUMMYFUNCTION("""COMPUTED_VALUE"""),18571.0)</f>
        <v>18571</v>
      </c>
      <c r="N814" s="2">
        <f>IFERROR(__xludf.DUMMYFUNCTION("""COMPUTED_VALUE"""),0.0)</f>
        <v>0</v>
      </c>
      <c r="O814" s="2">
        <f>IFERROR(__xludf.DUMMYFUNCTION("""COMPUTED_VALUE"""),18571.0)</f>
        <v>18571</v>
      </c>
      <c r="P814" s="2">
        <f>IFERROR(__xludf.DUMMYFUNCTION("""COMPUTED_VALUE"""),929.0)</f>
        <v>929</v>
      </c>
      <c r="Q814" s="2" t="str">
        <f>IFERROR(__xludf.DUMMYFUNCTION("""COMPUTED_VALUE"""),"Dine In")</f>
        <v>Dine In</v>
      </c>
      <c r="R814" s="2" t="str">
        <f>IFERROR(__xludf.DUMMYFUNCTION("""COMPUTED_VALUE"""),"Kedai")</f>
        <v>Kedai</v>
      </c>
      <c r="S814" s="2" t="str">
        <f>IFERROR(__xludf.DUMMYFUNCTION("""COMPUTED_VALUE"""),"Temu Roti")</f>
        <v>Temu Roti</v>
      </c>
      <c r="T814" s="2" t="str">
        <f>IFERROR(__xludf.DUMMYFUNCTION("""COMPUTED_VALUE"""),"Owner")</f>
        <v>Owner</v>
      </c>
      <c r="U814" s="2"/>
      <c r="V814" s="2"/>
      <c r="W814" s="2"/>
      <c r="X814" s="2" t="str">
        <f>IFERROR(__xludf.DUMMYFUNCTION("""COMPUTED_VALUE"""),"Closed")</f>
        <v>Closed</v>
      </c>
    </row>
    <row r="815">
      <c r="A815" s="3" t="s">
        <v>830</v>
      </c>
      <c r="B815" s="4">
        <f>IFERROR(__xludf.DUMMYFUNCTION("SPLIT(A815,"","",0,0)"),45549.46111111111)</f>
        <v>45549.46111</v>
      </c>
      <c r="C815" s="5">
        <f>IFERROR(__xludf.DUMMYFUNCTION("""COMPUTED_VALUE"""),2687853.0)</f>
        <v>2687853</v>
      </c>
      <c r="D815" s="2" t="str">
        <f>IFERROR(__xludf.DUMMYFUNCTION("""COMPUTED_VALUE"""),"Sale")</f>
        <v>Sale</v>
      </c>
      <c r="E815" s="2" t="str">
        <f>IFERROR(__xludf.DUMMYFUNCTION("""COMPUTED_VALUE"""),"Minuman")</f>
        <v>Minuman</v>
      </c>
      <c r="F815" s="2">
        <f>IFERROR(__xludf.DUMMYFUNCTION("""COMPUTED_VALUE"""),10123.0)</f>
        <v>10123</v>
      </c>
      <c r="G815" s="2" t="str">
        <f>IFERROR(__xludf.DUMMYFUNCTION("""COMPUTED_VALUE"""),"Rempah Madu Dingin")</f>
        <v>Rempah Madu Dingin</v>
      </c>
      <c r="H815" s="2"/>
      <c r="I815" s="2"/>
      <c r="J815" s="2">
        <f>IFERROR(__xludf.DUMMYFUNCTION("""COMPUTED_VALUE"""),3.0)</f>
        <v>3</v>
      </c>
      <c r="K815" s="6">
        <f>IFERROR(__xludf.DUMMYFUNCTION("""COMPUTED_VALUE"""),65715.0)</f>
        <v>65715</v>
      </c>
      <c r="L815" s="2">
        <f>IFERROR(__xludf.DUMMYFUNCTION("""COMPUTED_VALUE"""),0.0)</f>
        <v>0</v>
      </c>
      <c r="M815" s="2">
        <f>IFERROR(__xludf.DUMMYFUNCTION("""COMPUTED_VALUE"""),65715.0)</f>
        <v>65715</v>
      </c>
      <c r="N815" s="2">
        <f>IFERROR(__xludf.DUMMYFUNCTION("""COMPUTED_VALUE"""),0.0)</f>
        <v>0</v>
      </c>
      <c r="O815" s="2">
        <f>IFERROR(__xludf.DUMMYFUNCTION("""COMPUTED_VALUE"""),65715.0)</f>
        <v>65715</v>
      </c>
      <c r="P815" s="2">
        <f>IFERROR(__xludf.DUMMYFUNCTION("""COMPUTED_VALUE"""),3286.0)</f>
        <v>3286</v>
      </c>
      <c r="Q815" s="2" t="str">
        <f>IFERROR(__xludf.DUMMYFUNCTION("""COMPUTED_VALUE"""),"Dine In")</f>
        <v>Dine In</v>
      </c>
      <c r="R815" s="2" t="str">
        <f>IFERROR(__xludf.DUMMYFUNCTION("""COMPUTED_VALUE"""),"Kedai")</f>
        <v>Kedai</v>
      </c>
      <c r="S815" s="2" t="str">
        <f>IFERROR(__xludf.DUMMYFUNCTION("""COMPUTED_VALUE"""),"Temu Roti")</f>
        <v>Temu Roti</v>
      </c>
      <c r="T815" s="2" t="str">
        <f>IFERROR(__xludf.DUMMYFUNCTION("""COMPUTED_VALUE"""),"Owner")</f>
        <v>Owner</v>
      </c>
      <c r="U815" s="2"/>
      <c r="V815" s="2"/>
      <c r="W815" s="2"/>
      <c r="X815" s="2" t="str">
        <f>IFERROR(__xludf.DUMMYFUNCTION("""COMPUTED_VALUE"""),"Closed")</f>
        <v>Closed</v>
      </c>
    </row>
    <row r="816">
      <c r="A816" s="3" t="s">
        <v>831</v>
      </c>
      <c r="B816" s="4">
        <f>IFERROR(__xludf.DUMMYFUNCTION("SPLIT(A816,"","",0,0)"),45549.45)</f>
        <v>45549.45</v>
      </c>
      <c r="C816" s="5">
        <f>IFERROR(__xludf.DUMMYFUNCTION("""COMPUTED_VALUE"""),2687488.0)</f>
        <v>2687488</v>
      </c>
      <c r="D816" s="2" t="str">
        <f>IFERROR(__xludf.DUMMYFUNCTION("""COMPUTED_VALUE"""),"Sale")</f>
        <v>Sale</v>
      </c>
      <c r="E816" s="2" t="str">
        <f>IFERROR(__xludf.DUMMYFUNCTION("""COMPUTED_VALUE"""),"Minuman")</f>
        <v>Minuman</v>
      </c>
      <c r="F816" s="2">
        <f>IFERROR(__xludf.DUMMYFUNCTION("""COMPUTED_VALUE"""),10056.0)</f>
        <v>10056</v>
      </c>
      <c r="G816" s="2" t="str">
        <f>IFERROR(__xludf.DUMMYFUNCTION("""COMPUTED_VALUE"""),"Susu murni moca")</f>
        <v>Susu murni moca</v>
      </c>
      <c r="H816" s="2"/>
      <c r="I816" s="2"/>
      <c r="J816" s="2">
        <f>IFERROR(__xludf.DUMMYFUNCTION("""COMPUTED_VALUE"""),1.0)</f>
        <v>1</v>
      </c>
      <c r="K816" s="6">
        <f>IFERROR(__xludf.DUMMYFUNCTION("""COMPUTED_VALUE"""),19524.0)</f>
        <v>19524</v>
      </c>
      <c r="L816" s="2">
        <f>IFERROR(__xludf.DUMMYFUNCTION("""COMPUTED_VALUE"""),0.0)</f>
        <v>0</v>
      </c>
      <c r="M816" s="2">
        <f>IFERROR(__xludf.DUMMYFUNCTION("""COMPUTED_VALUE"""),19524.0)</f>
        <v>19524</v>
      </c>
      <c r="N816" s="2">
        <f>IFERROR(__xludf.DUMMYFUNCTION("""COMPUTED_VALUE"""),0.0)</f>
        <v>0</v>
      </c>
      <c r="O816" s="2">
        <f>IFERROR(__xludf.DUMMYFUNCTION("""COMPUTED_VALUE"""),19524.0)</f>
        <v>19524</v>
      </c>
      <c r="P816" s="2">
        <f>IFERROR(__xludf.DUMMYFUNCTION("""COMPUTED_VALUE"""),976.0)</f>
        <v>976</v>
      </c>
      <c r="Q816" s="2" t="str">
        <f>IFERROR(__xludf.DUMMYFUNCTION("""COMPUTED_VALUE"""),"Dine In")</f>
        <v>Dine In</v>
      </c>
      <c r="R816" s="2" t="str">
        <f>IFERROR(__xludf.DUMMYFUNCTION("""COMPUTED_VALUE"""),"Kedai")</f>
        <v>Kedai</v>
      </c>
      <c r="S816" s="2" t="str">
        <f>IFERROR(__xludf.DUMMYFUNCTION("""COMPUTED_VALUE"""),"Temu Roti")</f>
        <v>Temu Roti</v>
      </c>
      <c r="T816" s="2" t="str">
        <f>IFERROR(__xludf.DUMMYFUNCTION("""COMPUTED_VALUE"""),"Owner")</f>
        <v>Owner</v>
      </c>
      <c r="U816" s="2"/>
      <c r="V816" s="2"/>
      <c r="W816" s="2"/>
      <c r="X816" s="2" t="str">
        <f>IFERROR(__xludf.DUMMYFUNCTION("""COMPUTED_VALUE"""),"Closed")</f>
        <v>Closed</v>
      </c>
    </row>
    <row r="817">
      <c r="A817" s="3" t="s">
        <v>832</v>
      </c>
      <c r="B817" s="4">
        <f>IFERROR(__xludf.DUMMYFUNCTION("SPLIT(A817,"","",0,0)"),45549.45)</f>
        <v>45549.45</v>
      </c>
      <c r="C817" s="5">
        <f>IFERROR(__xludf.DUMMYFUNCTION("""COMPUTED_VALUE"""),2687488.0)</f>
        <v>2687488</v>
      </c>
      <c r="D817" s="2" t="str">
        <f>IFERROR(__xludf.DUMMYFUNCTION("""COMPUTED_VALUE"""),"Sale")</f>
        <v>Sale</v>
      </c>
      <c r="E817" s="2" t="str">
        <f>IFERROR(__xludf.DUMMYFUNCTION("""COMPUTED_VALUE"""),"Minuman")</f>
        <v>Minuman</v>
      </c>
      <c r="F817" s="2">
        <f>IFERROR(__xludf.DUMMYFUNCTION("""COMPUTED_VALUE"""),10122.0)</f>
        <v>10122</v>
      </c>
      <c r="G817" s="2" t="str">
        <f>IFERROR(__xludf.DUMMYFUNCTION("""COMPUTED_VALUE"""),"Rempah Madu Panas")</f>
        <v>Rempah Madu Panas</v>
      </c>
      <c r="H817" s="2"/>
      <c r="I817" s="2"/>
      <c r="J817" s="2">
        <f>IFERROR(__xludf.DUMMYFUNCTION("""COMPUTED_VALUE"""),1.0)</f>
        <v>1</v>
      </c>
      <c r="K817" s="6">
        <f>IFERROR(__xludf.DUMMYFUNCTION("""COMPUTED_VALUE"""),21905.0)</f>
        <v>21905</v>
      </c>
      <c r="L817" s="2">
        <f>IFERROR(__xludf.DUMMYFUNCTION("""COMPUTED_VALUE"""),0.0)</f>
        <v>0</v>
      </c>
      <c r="M817" s="2">
        <f>IFERROR(__xludf.DUMMYFUNCTION("""COMPUTED_VALUE"""),21905.0)</f>
        <v>21905</v>
      </c>
      <c r="N817" s="2">
        <f>IFERROR(__xludf.DUMMYFUNCTION("""COMPUTED_VALUE"""),0.0)</f>
        <v>0</v>
      </c>
      <c r="O817" s="2">
        <f>IFERROR(__xludf.DUMMYFUNCTION("""COMPUTED_VALUE"""),21905.0)</f>
        <v>21905</v>
      </c>
      <c r="P817" s="2">
        <f>IFERROR(__xludf.DUMMYFUNCTION("""COMPUTED_VALUE"""),1095.0)</f>
        <v>1095</v>
      </c>
      <c r="Q817" s="2" t="str">
        <f>IFERROR(__xludf.DUMMYFUNCTION("""COMPUTED_VALUE"""),"Dine In")</f>
        <v>Dine In</v>
      </c>
      <c r="R817" s="2" t="str">
        <f>IFERROR(__xludf.DUMMYFUNCTION("""COMPUTED_VALUE"""),"Kedai")</f>
        <v>Kedai</v>
      </c>
      <c r="S817" s="2" t="str">
        <f>IFERROR(__xludf.DUMMYFUNCTION("""COMPUTED_VALUE"""),"Temu Roti")</f>
        <v>Temu Roti</v>
      </c>
      <c r="T817" s="2" t="str">
        <f>IFERROR(__xludf.DUMMYFUNCTION("""COMPUTED_VALUE"""),"Owner")</f>
        <v>Owner</v>
      </c>
      <c r="U817" s="2"/>
      <c r="V817" s="2"/>
      <c r="W817" s="2"/>
      <c r="X817" s="2" t="str">
        <f>IFERROR(__xludf.DUMMYFUNCTION("""COMPUTED_VALUE"""),"Closed")</f>
        <v>Closed</v>
      </c>
    </row>
    <row r="818">
      <c r="A818" s="3" t="s">
        <v>833</v>
      </c>
      <c r="B818" s="4">
        <f>IFERROR(__xludf.DUMMYFUNCTION("SPLIT(A818,"","",0,0)"),45549.45)</f>
        <v>45549.45</v>
      </c>
      <c r="C818" s="5">
        <f>IFERROR(__xludf.DUMMYFUNCTION("""COMPUTED_VALUE"""),2687488.0)</f>
        <v>2687488</v>
      </c>
      <c r="D818" s="2" t="str">
        <f>IFERROR(__xludf.DUMMYFUNCTION("""COMPUTED_VALUE"""),"Sale")</f>
        <v>Sale</v>
      </c>
      <c r="E818" s="2" t="str">
        <f>IFERROR(__xludf.DUMMYFUNCTION("""COMPUTED_VALUE"""),"Roti")</f>
        <v>Roti</v>
      </c>
      <c r="F818" s="2">
        <f>IFERROR(__xludf.DUMMYFUNCTION("""COMPUTED_VALUE"""),10000.0)</f>
        <v>10000</v>
      </c>
      <c r="G818" s="2" t="str">
        <f>IFERROR(__xludf.DUMMYFUNCTION("""COMPUTED_VALUE"""),"Roti Bawang Saus Keju")</f>
        <v>Roti Bawang Saus Keju</v>
      </c>
      <c r="H818" s="2"/>
      <c r="I818" s="2"/>
      <c r="J818" s="2">
        <f>IFERROR(__xludf.DUMMYFUNCTION("""COMPUTED_VALUE"""),1.0)</f>
        <v>1</v>
      </c>
      <c r="K818" s="6">
        <f>IFERROR(__xludf.DUMMYFUNCTION("""COMPUTED_VALUE"""),29524.0)</f>
        <v>29524</v>
      </c>
      <c r="L818" s="2">
        <f>IFERROR(__xludf.DUMMYFUNCTION("""COMPUTED_VALUE"""),0.0)</f>
        <v>0</v>
      </c>
      <c r="M818" s="2">
        <f>IFERROR(__xludf.DUMMYFUNCTION("""COMPUTED_VALUE"""),29524.0)</f>
        <v>29524</v>
      </c>
      <c r="N818" s="2">
        <f>IFERROR(__xludf.DUMMYFUNCTION("""COMPUTED_VALUE"""),0.0)</f>
        <v>0</v>
      </c>
      <c r="O818" s="2">
        <f>IFERROR(__xludf.DUMMYFUNCTION("""COMPUTED_VALUE"""),29524.0)</f>
        <v>29524</v>
      </c>
      <c r="P818" s="2">
        <f>IFERROR(__xludf.DUMMYFUNCTION("""COMPUTED_VALUE"""),1477.0)</f>
        <v>1477</v>
      </c>
      <c r="Q818" s="2" t="str">
        <f>IFERROR(__xludf.DUMMYFUNCTION("""COMPUTED_VALUE"""),"Dine In")</f>
        <v>Dine In</v>
      </c>
      <c r="R818" s="2" t="str">
        <f>IFERROR(__xludf.DUMMYFUNCTION("""COMPUTED_VALUE"""),"Kedai")</f>
        <v>Kedai</v>
      </c>
      <c r="S818" s="2" t="str">
        <f>IFERROR(__xludf.DUMMYFUNCTION("""COMPUTED_VALUE"""),"Temu Roti")</f>
        <v>Temu Roti</v>
      </c>
      <c r="T818" s="2" t="str">
        <f>IFERROR(__xludf.DUMMYFUNCTION("""COMPUTED_VALUE"""),"Owner")</f>
        <v>Owner</v>
      </c>
      <c r="U818" s="2"/>
      <c r="V818" s="2"/>
      <c r="W818" s="2"/>
      <c r="X818" s="2" t="str">
        <f>IFERROR(__xludf.DUMMYFUNCTION("""COMPUTED_VALUE"""),"Closed")</f>
        <v>Closed</v>
      </c>
    </row>
    <row r="819">
      <c r="A819" s="3" t="s">
        <v>834</v>
      </c>
      <c r="B819" s="4">
        <f>IFERROR(__xludf.DUMMYFUNCTION("SPLIT(A819,"","",0,0)"),45549.45)</f>
        <v>45549.45</v>
      </c>
      <c r="C819" s="5">
        <f>IFERROR(__xludf.DUMMYFUNCTION("""COMPUTED_VALUE"""),2687488.0)</f>
        <v>2687488</v>
      </c>
      <c r="D819" s="2" t="str">
        <f>IFERROR(__xludf.DUMMYFUNCTION("""COMPUTED_VALUE"""),"Sale")</f>
        <v>Sale</v>
      </c>
      <c r="E819" s="2" t="str">
        <f>IFERROR(__xludf.DUMMYFUNCTION("""COMPUTED_VALUE"""),"Roti")</f>
        <v>Roti</v>
      </c>
      <c r="F819" s="2">
        <f>IFERROR(__xludf.DUMMYFUNCTION("""COMPUTED_VALUE"""),10007.0)</f>
        <v>10007</v>
      </c>
      <c r="G819" s="2" t="str">
        <f>IFERROR(__xludf.DUMMYFUNCTION("""COMPUTED_VALUE"""),"Roti cranberry 2 pcs")</f>
        <v>Roti cranberry 2 pcs</v>
      </c>
      <c r="H819" s="2"/>
      <c r="I819" s="2"/>
      <c r="J819" s="2">
        <f>IFERROR(__xludf.DUMMYFUNCTION("""COMPUTED_VALUE"""),1.0)</f>
        <v>1</v>
      </c>
      <c r="K819" s="6">
        <f>IFERROR(__xludf.DUMMYFUNCTION("""COMPUTED_VALUE"""),33810.0)</f>
        <v>33810</v>
      </c>
      <c r="L819" s="2">
        <f>IFERROR(__xludf.DUMMYFUNCTION("""COMPUTED_VALUE"""),0.0)</f>
        <v>0</v>
      </c>
      <c r="M819" s="2">
        <f>IFERROR(__xludf.DUMMYFUNCTION("""COMPUTED_VALUE"""),33810.0)</f>
        <v>33810</v>
      </c>
      <c r="N819" s="2">
        <f>IFERROR(__xludf.DUMMYFUNCTION("""COMPUTED_VALUE"""),0.0)</f>
        <v>0</v>
      </c>
      <c r="O819" s="2">
        <f>IFERROR(__xludf.DUMMYFUNCTION("""COMPUTED_VALUE"""),33810.0)</f>
        <v>33810</v>
      </c>
      <c r="P819" s="2">
        <f>IFERROR(__xludf.DUMMYFUNCTION("""COMPUTED_VALUE"""),1690.0)</f>
        <v>1690</v>
      </c>
      <c r="Q819" s="2" t="str">
        <f>IFERROR(__xludf.DUMMYFUNCTION("""COMPUTED_VALUE"""),"Dine In")</f>
        <v>Dine In</v>
      </c>
      <c r="R819" s="2" t="str">
        <f>IFERROR(__xludf.DUMMYFUNCTION("""COMPUTED_VALUE"""),"Kedai")</f>
        <v>Kedai</v>
      </c>
      <c r="S819" s="2" t="str">
        <f>IFERROR(__xludf.DUMMYFUNCTION("""COMPUTED_VALUE"""),"Temu Roti")</f>
        <v>Temu Roti</v>
      </c>
      <c r="T819" s="2" t="str">
        <f>IFERROR(__xludf.DUMMYFUNCTION("""COMPUTED_VALUE"""),"Owner")</f>
        <v>Owner</v>
      </c>
      <c r="U819" s="2"/>
      <c r="V819" s="2"/>
      <c r="W819" s="2"/>
      <c r="X819" s="2" t="str">
        <f>IFERROR(__xludf.DUMMYFUNCTION("""COMPUTED_VALUE"""),"Closed")</f>
        <v>Closed</v>
      </c>
    </row>
    <row r="820">
      <c r="A820" s="3" t="s">
        <v>835</v>
      </c>
      <c r="B820" s="4">
        <f>IFERROR(__xludf.DUMMYFUNCTION("SPLIT(A820,"","",0,0)"),45549.45)</f>
        <v>45549.45</v>
      </c>
      <c r="C820" s="5">
        <f>IFERROR(__xludf.DUMMYFUNCTION("""COMPUTED_VALUE"""),2687488.0)</f>
        <v>2687488</v>
      </c>
      <c r="D820" s="2" t="str">
        <f>IFERROR(__xludf.DUMMYFUNCTION("""COMPUTED_VALUE"""),"Sale")</f>
        <v>Sale</v>
      </c>
      <c r="E820" s="2" t="str">
        <f>IFERROR(__xludf.DUMMYFUNCTION("""COMPUTED_VALUE"""),"Roti")</f>
        <v>Roti</v>
      </c>
      <c r="F820" s="2">
        <f>IFERROR(__xludf.DUMMYFUNCTION("""COMPUTED_VALUE"""),10055.0)</f>
        <v>10055</v>
      </c>
      <c r="G820" s="2" t="str">
        <f>IFERROR(__xludf.DUMMYFUNCTION("""COMPUTED_VALUE"""),"Roti Gandum Cokelat 2 pcs")</f>
        <v>Roti Gandum Cokelat 2 pcs</v>
      </c>
      <c r="H820" s="2"/>
      <c r="I820" s="2"/>
      <c r="J820" s="2">
        <f>IFERROR(__xludf.DUMMYFUNCTION("""COMPUTED_VALUE"""),1.0)</f>
        <v>1</v>
      </c>
      <c r="K820" s="6">
        <f>IFERROR(__xludf.DUMMYFUNCTION("""COMPUTED_VALUE"""),34762.0)</f>
        <v>34762</v>
      </c>
      <c r="L820" s="2">
        <f>IFERROR(__xludf.DUMMYFUNCTION("""COMPUTED_VALUE"""),0.0)</f>
        <v>0</v>
      </c>
      <c r="M820" s="2">
        <f>IFERROR(__xludf.DUMMYFUNCTION("""COMPUTED_VALUE"""),34762.0)</f>
        <v>34762</v>
      </c>
      <c r="N820" s="2">
        <f>IFERROR(__xludf.DUMMYFUNCTION("""COMPUTED_VALUE"""),0.0)</f>
        <v>0</v>
      </c>
      <c r="O820" s="2">
        <f>IFERROR(__xludf.DUMMYFUNCTION("""COMPUTED_VALUE"""),34762.0)</f>
        <v>34762</v>
      </c>
      <c r="P820" s="2">
        <f>IFERROR(__xludf.DUMMYFUNCTION("""COMPUTED_VALUE"""),1738.0)</f>
        <v>1738</v>
      </c>
      <c r="Q820" s="2" t="str">
        <f>IFERROR(__xludf.DUMMYFUNCTION("""COMPUTED_VALUE"""),"Dine In")</f>
        <v>Dine In</v>
      </c>
      <c r="R820" s="2" t="str">
        <f>IFERROR(__xludf.DUMMYFUNCTION("""COMPUTED_VALUE"""),"Kedai")</f>
        <v>Kedai</v>
      </c>
      <c r="S820" s="2" t="str">
        <f>IFERROR(__xludf.DUMMYFUNCTION("""COMPUTED_VALUE"""),"Temu Roti")</f>
        <v>Temu Roti</v>
      </c>
      <c r="T820" s="2" t="str">
        <f>IFERROR(__xludf.DUMMYFUNCTION("""COMPUTED_VALUE"""),"Owner")</f>
        <v>Owner</v>
      </c>
      <c r="U820" s="2"/>
      <c r="V820" s="2"/>
      <c r="W820" s="2"/>
      <c r="X820" s="2" t="str">
        <f>IFERROR(__xludf.DUMMYFUNCTION("""COMPUTED_VALUE"""),"Closed")</f>
        <v>Closed</v>
      </c>
    </row>
    <row r="821">
      <c r="A821" s="3" t="s">
        <v>836</v>
      </c>
      <c r="B821" s="4">
        <f>IFERROR(__xludf.DUMMYFUNCTION("SPLIT(A821,"","",0,0)"),45549.44583333333)</f>
        <v>45549.44583</v>
      </c>
      <c r="C821" s="5">
        <f>IFERROR(__xludf.DUMMYFUNCTION("""COMPUTED_VALUE"""),2687123.0)</f>
        <v>2687123</v>
      </c>
      <c r="D821" s="2" t="str">
        <f>IFERROR(__xludf.DUMMYFUNCTION("""COMPUTED_VALUE"""),"Sale")</f>
        <v>Sale</v>
      </c>
      <c r="E821" s="2" t="str">
        <f>IFERROR(__xludf.DUMMYFUNCTION("""COMPUTED_VALUE"""),"Roti")</f>
        <v>Roti</v>
      </c>
      <c r="F821" s="2">
        <f>IFERROR(__xludf.DUMMYFUNCTION("""COMPUTED_VALUE"""),10002.0)</f>
        <v>10002</v>
      </c>
      <c r="G821" s="2" t="str">
        <f>IFERROR(__xludf.DUMMYFUNCTION("""COMPUTED_VALUE"""),"Roti Cranberry")</f>
        <v>Roti Cranberry</v>
      </c>
      <c r="H821" s="2"/>
      <c r="I821" s="2"/>
      <c r="J821" s="2">
        <f>IFERROR(__xludf.DUMMYFUNCTION("""COMPUTED_VALUE"""),1.0)</f>
        <v>1</v>
      </c>
      <c r="K821" s="6">
        <f>IFERROR(__xludf.DUMMYFUNCTION("""COMPUTED_VALUE"""),18571.0)</f>
        <v>18571</v>
      </c>
      <c r="L821" s="2">
        <f>IFERROR(__xludf.DUMMYFUNCTION("""COMPUTED_VALUE"""),0.0)</f>
        <v>0</v>
      </c>
      <c r="M821" s="2">
        <f>IFERROR(__xludf.DUMMYFUNCTION("""COMPUTED_VALUE"""),18571.0)</f>
        <v>18571</v>
      </c>
      <c r="N821" s="2">
        <f>IFERROR(__xludf.DUMMYFUNCTION("""COMPUTED_VALUE"""),0.0)</f>
        <v>0</v>
      </c>
      <c r="O821" s="2">
        <f>IFERROR(__xludf.DUMMYFUNCTION("""COMPUTED_VALUE"""),18571.0)</f>
        <v>18571</v>
      </c>
      <c r="P821" s="2">
        <f>IFERROR(__xludf.DUMMYFUNCTION("""COMPUTED_VALUE"""),929.0)</f>
        <v>929</v>
      </c>
      <c r="Q821" s="2" t="str">
        <f>IFERROR(__xludf.DUMMYFUNCTION("""COMPUTED_VALUE"""),"Dine In")</f>
        <v>Dine In</v>
      </c>
      <c r="R821" s="2" t="str">
        <f>IFERROR(__xludf.DUMMYFUNCTION("""COMPUTED_VALUE"""),"Kedai")</f>
        <v>Kedai</v>
      </c>
      <c r="S821" s="2" t="str">
        <f>IFERROR(__xludf.DUMMYFUNCTION("""COMPUTED_VALUE"""),"Temu Roti")</f>
        <v>Temu Roti</v>
      </c>
      <c r="T821" s="2" t="str">
        <f>IFERROR(__xludf.DUMMYFUNCTION("""COMPUTED_VALUE"""),"Owner")</f>
        <v>Owner</v>
      </c>
      <c r="U821" s="2"/>
      <c r="V821" s="2"/>
      <c r="W821" s="2"/>
      <c r="X821" s="2" t="str">
        <f>IFERROR(__xludf.DUMMYFUNCTION("""COMPUTED_VALUE"""),"Closed")</f>
        <v>Closed</v>
      </c>
    </row>
    <row r="822">
      <c r="A822" s="3" t="s">
        <v>837</v>
      </c>
      <c r="B822" s="4">
        <f>IFERROR(__xludf.DUMMYFUNCTION("SPLIT(A822,"","",0,0)"),45548.88055555556)</f>
        <v>45548.88056</v>
      </c>
      <c r="C822" s="5">
        <f>IFERROR(__xludf.DUMMYFUNCTION("""COMPUTED_VALUE"""),2686757.0)</f>
        <v>2686757</v>
      </c>
      <c r="D822" s="2" t="str">
        <f>IFERROR(__xludf.DUMMYFUNCTION("""COMPUTED_VALUE"""),"Sale")</f>
        <v>Sale</v>
      </c>
      <c r="E822" s="2" t="str">
        <f>IFERROR(__xludf.DUMMYFUNCTION("""COMPUTED_VALUE"""),"Minuman")</f>
        <v>Minuman</v>
      </c>
      <c r="F822" s="2">
        <f>IFERROR(__xludf.DUMMYFUNCTION("""COMPUTED_VALUE"""),10106.0)</f>
        <v>10106</v>
      </c>
      <c r="G822" s="2" t="str">
        <f>IFERROR(__xludf.DUMMYFUNCTION("""COMPUTED_VALUE"""),"Korean Strawberry Fresh Milk")</f>
        <v>Korean Strawberry Fresh Milk</v>
      </c>
      <c r="H822" s="2"/>
      <c r="I822" s="2"/>
      <c r="J822" s="2">
        <f>IFERROR(__xludf.DUMMYFUNCTION("""COMPUTED_VALUE"""),1.0)</f>
        <v>1</v>
      </c>
      <c r="K822" s="6">
        <f>IFERROR(__xludf.DUMMYFUNCTION("""COMPUTED_VALUE"""),26667.0)</f>
        <v>26667</v>
      </c>
      <c r="L822" s="2">
        <f>IFERROR(__xludf.DUMMYFUNCTION("""COMPUTED_VALUE"""),0.0)</f>
        <v>0</v>
      </c>
      <c r="M822" s="2">
        <f>IFERROR(__xludf.DUMMYFUNCTION("""COMPUTED_VALUE"""),26667.0)</f>
        <v>26667</v>
      </c>
      <c r="N822" s="2">
        <f>IFERROR(__xludf.DUMMYFUNCTION("""COMPUTED_VALUE"""),0.0)</f>
        <v>0</v>
      </c>
      <c r="O822" s="2">
        <f>IFERROR(__xludf.DUMMYFUNCTION("""COMPUTED_VALUE"""),26667.0)</f>
        <v>26667</v>
      </c>
      <c r="P822" s="2">
        <f>IFERROR(__xludf.DUMMYFUNCTION("""COMPUTED_VALUE"""),1333.0)</f>
        <v>1333</v>
      </c>
      <c r="Q822" s="2" t="str">
        <f>IFERROR(__xludf.DUMMYFUNCTION("""COMPUTED_VALUE"""),"Dine In")</f>
        <v>Dine In</v>
      </c>
      <c r="R822" s="2" t="str">
        <f>IFERROR(__xludf.DUMMYFUNCTION("""COMPUTED_VALUE"""),"Kedai")</f>
        <v>Kedai</v>
      </c>
      <c r="S822" s="2" t="str">
        <f>IFERROR(__xludf.DUMMYFUNCTION("""COMPUTED_VALUE"""),"Temu Roti")</f>
        <v>Temu Roti</v>
      </c>
      <c r="T822" s="2" t="str">
        <f>IFERROR(__xludf.DUMMYFUNCTION("""COMPUTED_VALUE"""),"Owner")</f>
        <v>Owner</v>
      </c>
      <c r="U822" s="2"/>
      <c r="V822" s="2"/>
      <c r="W822" s="2"/>
      <c r="X822" s="2" t="str">
        <f>IFERROR(__xludf.DUMMYFUNCTION("""COMPUTED_VALUE"""),"Closed")</f>
        <v>Closed</v>
      </c>
    </row>
    <row r="823">
      <c r="A823" s="3" t="s">
        <v>838</v>
      </c>
      <c r="B823" s="4">
        <f>IFERROR(__xludf.DUMMYFUNCTION("SPLIT(A823,"","",0,0)"),45548.88055555556)</f>
        <v>45548.88056</v>
      </c>
      <c r="C823" s="5">
        <f>IFERROR(__xludf.DUMMYFUNCTION("""COMPUTED_VALUE"""),2686757.0)</f>
        <v>2686757</v>
      </c>
      <c r="D823" s="2" t="str">
        <f>IFERROR(__xludf.DUMMYFUNCTION("""COMPUTED_VALUE"""),"Sale")</f>
        <v>Sale</v>
      </c>
      <c r="E823" s="2" t="str">
        <f>IFERROR(__xludf.DUMMYFUNCTION("""COMPUTED_VALUE"""),"Minuman")</f>
        <v>Minuman</v>
      </c>
      <c r="F823" s="2">
        <f>IFERROR(__xludf.DUMMYFUNCTION("""COMPUTED_VALUE"""),10026.0)</f>
        <v>10026</v>
      </c>
      <c r="G823" s="2" t="str">
        <f>IFERROR(__xludf.DUMMYFUNCTION("""COMPUTED_VALUE"""),"Es Kopi Lemon")</f>
        <v>Es Kopi Lemon</v>
      </c>
      <c r="H823" s="2"/>
      <c r="I823" s="2"/>
      <c r="J823" s="2">
        <f>IFERROR(__xludf.DUMMYFUNCTION("""COMPUTED_VALUE"""),1.0)</f>
        <v>1</v>
      </c>
      <c r="K823" s="6">
        <f>IFERROR(__xludf.DUMMYFUNCTION("""COMPUTED_VALUE"""),21905.0)</f>
        <v>21905</v>
      </c>
      <c r="L823" s="2">
        <f>IFERROR(__xludf.DUMMYFUNCTION("""COMPUTED_VALUE"""),0.0)</f>
        <v>0</v>
      </c>
      <c r="M823" s="2">
        <f>IFERROR(__xludf.DUMMYFUNCTION("""COMPUTED_VALUE"""),21905.0)</f>
        <v>21905</v>
      </c>
      <c r="N823" s="2">
        <f>IFERROR(__xludf.DUMMYFUNCTION("""COMPUTED_VALUE"""),0.0)</f>
        <v>0</v>
      </c>
      <c r="O823" s="2">
        <f>IFERROR(__xludf.DUMMYFUNCTION("""COMPUTED_VALUE"""),21905.0)</f>
        <v>21905</v>
      </c>
      <c r="P823" s="2">
        <f>IFERROR(__xludf.DUMMYFUNCTION("""COMPUTED_VALUE"""),1096.0)</f>
        <v>1096</v>
      </c>
      <c r="Q823" s="2" t="str">
        <f>IFERROR(__xludf.DUMMYFUNCTION("""COMPUTED_VALUE"""),"Dine In")</f>
        <v>Dine In</v>
      </c>
      <c r="R823" s="2" t="str">
        <f>IFERROR(__xludf.DUMMYFUNCTION("""COMPUTED_VALUE"""),"Kedai")</f>
        <v>Kedai</v>
      </c>
      <c r="S823" s="2" t="str">
        <f>IFERROR(__xludf.DUMMYFUNCTION("""COMPUTED_VALUE"""),"Temu Roti")</f>
        <v>Temu Roti</v>
      </c>
      <c r="T823" s="2" t="str">
        <f>IFERROR(__xludf.DUMMYFUNCTION("""COMPUTED_VALUE"""),"Owner")</f>
        <v>Owner</v>
      </c>
      <c r="U823" s="2"/>
      <c r="V823" s="2"/>
      <c r="W823" s="2"/>
      <c r="X823" s="2" t="str">
        <f>IFERROR(__xludf.DUMMYFUNCTION("""COMPUTED_VALUE"""),"Closed")</f>
        <v>Closed</v>
      </c>
    </row>
    <row r="824">
      <c r="A824" s="3" t="s">
        <v>839</v>
      </c>
      <c r="B824" s="4">
        <f>IFERROR(__xludf.DUMMYFUNCTION("SPLIT(A824,"","",0,0)"),45548.88055555556)</f>
        <v>45548.88056</v>
      </c>
      <c r="C824" s="5">
        <f>IFERROR(__xludf.DUMMYFUNCTION("""COMPUTED_VALUE"""),2686757.0)</f>
        <v>2686757</v>
      </c>
      <c r="D824" s="2" t="str">
        <f>IFERROR(__xludf.DUMMYFUNCTION("""COMPUTED_VALUE"""),"Sale")</f>
        <v>Sale</v>
      </c>
      <c r="E824" s="2" t="str">
        <f>IFERROR(__xludf.DUMMYFUNCTION("""COMPUTED_VALUE"""),"Hidangan Utama")</f>
        <v>Hidangan Utama</v>
      </c>
      <c r="F824" s="2">
        <f>IFERROR(__xludf.DUMMYFUNCTION("""COMPUTED_VALUE"""),10003.0)</f>
        <v>10003</v>
      </c>
      <c r="G824" s="2" t="str">
        <f>IFERROR(__xludf.DUMMYFUNCTION("""COMPUTED_VALUE"""),"Nasi Goreng Temu")</f>
        <v>Nasi Goreng Temu</v>
      </c>
      <c r="H824" s="2"/>
      <c r="I824" s="2"/>
      <c r="J824" s="2">
        <f>IFERROR(__xludf.DUMMYFUNCTION("""COMPUTED_VALUE"""),2.0)</f>
        <v>2</v>
      </c>
      <c r="K824" s="6">
        <f>IFERROR(__xludf.DUMMYFUNCTION("""COMPUTED_VALUE"""),59048.0)</f>
        <v>59048</v>
      </c>
      <c r="L824" s="2">
        <f>IFERROR(__xludf.DUMMYFUNCTION("""COMPUTED_VALUE"""),0.0)</f>
        <v>0</v>
      </c>
      <c r="M824" s="2">
        <f>IFERROR(__xludf.DUMMYFUNCTION("""COMPUTED_VALUE"""),59048.0)</f>
        <v>59048</v>
      </c>
      <c r="N824" s="2">
        <f>IFERROR(__xludf.DUMMYFUNCTION("""COMPUTED_VALUE"""),0.0)</f>
        <v>0</v>
      </c>
      <c r="O824" s="2">
        <f>IFERROR(__xludf.DUMMYFUNCTION("""COMPUTED_VALUE"""),59048.0)</f>
        <v>59048</v>
      </c>
      <c r="P824" s="2">
        <f>IFERROR(__xludf.DUMMYFUNCTION("""COMPUTED_VALUE"""),2952.0)</f>
        <v>2952</v>
      </c>
      <c r="Q824" s="2" t="str">
        <f>IFERROR(__xludf.DUMMYFUNCTION("""COMPUTED_VALUE"""),"Dine In")</f>
        <v>Dine In</v>
      </c>
      <c r="R824" s="2" t="str">
        <f>IFERROR(__xludf.DUMMYFUNCTION("""COMPUTED_VALUE"""),"Kedai")</f>
        <v>Kedai</v>
      </c>
      <c r="S824" s="2" t="str">
        <f>IFERROR(__xludf.DUMMYFUNCTION("""COMPUTED_VALUE"""),"Temu Roti")</f>
        <v>Temu Roti</v>
      </c>
      <c r="T824" s="2" t="str">
        <f>IFERROR(__xludf.DUMMYFUNCTION("""COMPUTED_VALUE"""),"Owner")</f>
        <v>Owner</v>
      </c>
      <c r="U824" s="2"/>
      <c r="V824" s="2"/>
      <c r="W824" s="2"/>
      <c r="X824" s="2" t="str">
        <f>IFERROR(__xludf.DUMMYFUNCTION("""COMPUTED_VALUE"""),"Closed")</f>
        <v>Closed</v>
      </c>
    </row>
    <row r="825">
      <c r="A825" s="3" t="s">
        <v>840</v>
      </c>
      <c r="B825" s="4">
        <f>IFERROR(__xludf.DUMMYFUNCTION("SPLIT(A825,"","",0,0)"),45548.88055555556)</f>
        <v>45548.88056</v>
      </c>
      <c r="C825" s="5">
        <f>IFERROR(__xludf.DUMMYFUNCTION("""COMPUTED_VALUE"""),2686757.0)</f>
        <v>2686757</v>
      </c>
      <c r="D825" s="2" t="str">
        <f>IFERROR(__xludf.DUMMYFUNCTION("""COMPUTED_VALUE"""),"Sale")</f>
        <v>Sale</v>
      </c>
      <c r="E825" s="2" t="str">
        <f>IFERROR(__xludf.DUMMYFUNCTION("""COMPUTED_VALUE"""),"Kudapan")</f>
        <v>Kudapan</v>
      </c>
      <c r="F825" s="2">
        <f>IFERROR(__xludf.DUMMYFUNCTION("""COMPUTED_VALUE"""),10004.0)</f>
        <v>10004</v>
      </c>
      <c r="G825" s="2" t="str">
        <f>IFERROR(__xludf.DUMMYFUNCTION("""COMPUTED_VALUE"""),"Tahu walik")</f>
        <v>Tahu walik</v>
      </c>
      <c r="H825" s="2"/>
      <c r="I825" s="2"/>
      <c r="J825" s="2">
        <f>IFERROR(__xludf.DUMMYFUNCTION("""COMPUTED_VALUE"""),1.0)</f>
        <v>1</v>
      </c>
      <c r="K825" s="6">
        <f>IFERROR(__xludf.DUMMYFUNCTION("""COMPUTED_VALUE"""),25238.0)</f>
        <v>25238</v>
      </c>
      <c r="L825" s="2">
        <f>IFERROR(__xludf.DUMMYFUNCTION("""COMPUTED_VALUE"""),0.0)</f>
        <v>0</v>
      </c>
      <c r="M825" s="2">
        <f>IFERROR(__xludf.DUMMYFUNCTION("""COMPUTED_VALUE"""),25238.0)</f>
        <v>25238</v>
      </c>
      <c r="N825" s="2">
        <f>IFERROR(__xludf.DUMMYFUNCTION("""COMPUTED_VALUE"""),0.0)</f>
        <v>0</v>
      </c>
      <c r="O825" s="2">
        <f>IFERROR(__xludf.DUMMYFUNCTION("""COMPUTED_VALUE"""),25238.0)</f>
        <v>25238</v>
      </c>
      <c r="P825" s="2">
        <f>IFERROR(__xludf.DUMMYFUNCTION("""COMPUTED_VALUE"""),1262.0)</f>
        <v>1262</v>
      </c>
      <c r="Q825" s="2" t="str">
        <f>IFERROR(__xludf.DUMMYFUNCTION("""COMPUTED_VALUE"""),"Dine In")</f>
        <v>Dine In</v>
      </c>
      <c r="R825" s="2" t="str">
        <f>IFERROR(__xludf.DUMMYFUNCTION("""COMPUTED_VALUE"""),"Kedai")</f>
        <v>Kedai</v>
      </c>
      <c r="S825" s="2" t="str">
        <f>IFERROR(__xludf.DUMMYFUNCTION("""COMPUTED_VALUE"""),"Temu Roti")</f>
        <v>Temu Roti</v>
      </c>
      <c r="T825" s="2" t="str">
        <f>IFERROR(__xludf.DUMMYFUNCTION("""COMPUTED_VALUE"""),"Owner")</f>
        <v>Owner</v>
      </c>
      <c r="U825" s="2"/>
      <c r="V825" s="2"/>
      <c r="W825" s="2"/>
      <c r="X825" s="2" t="str">
        <f>IFERROR(__xludf.DUMMYFUNCTION("""COMPUTED_VALUE"""),"Closed")</f>
        <v>Closed</v>
      </c>
    </row>
    <row r="826">
      <c r="A826" s="3" t="s">
        <v>841</v>
      </c>
      <c r="B826" s="4">
        <f>IFERROR(__xludf.DUMMYFUNCTION("SPLIT(A826,"","",0,0)"),45548.88055555556)</f>
        <v>45548.88056</v>
      </c>
      <c r="C826" s="5">
        <f>IFERROR(__xludf.DUMMYFUNCTION("""COMPUTED_VALUE"""),2686757.0)</f>
        <v>2686757</v>
      </c>
      <c r="D826" s="2" t="str">
        <f>IFERROR(__xludf.DUMMYFUNCTION("""COMPUTED_VALUE"""),"Sale")</f>
        <v>Sale</v>
      </c>
      <c r="E826" s="2" t="str">
        <f>IFERROR(__xludf.DUMMYFUNCTION("""COMPUTED_VALUE"""),"Minuman")</f>
        <v>Minuman</v>
      </c>
      <c r="F826" s="2">
        <f>IFERROR(__xludf.DUMMYFUNCTION("""COMPUTED_VALUE"""),10117.0)</f>
        <v>10117</v>
      </c>
      <c r="G826" s="2" t="str">
        <f>IFERROR(__xludf.DUMMYFUNCTION("""COMPUTED_VALUE"""),"Teh Manis Dingin")</f>
        <v>Teh Manis Dingin</v>
      </c>
      <c r="H826" s="2"/>
      <c r="I826" s="2"/>
      <c r="J826" s="2">
        <f>IFERROR(__xludf.DUMMYFUNCTION("""COMPUTED_VALUE"""),1.0)</f>
        <v>1</v>
      </c>
      <c r="K826" s="6">
        <f>IFERROR(__xludf.DUMMYFUNCTION("""COMPUTED_VALUE"""),14286.0)</f>
        <v>14286</v>
      </c>
      <c r="L826" s="2">
        <f>IFERROR(__xludf.DUMMYFUNCTION("""COMPUTED_VALUE"""),0.0)</f>
        <v>0</v>
      </c>
      <c r="M826" s="2">
        <f>IFERROR(__xludf.DUMMYFUNCTION("""COMPUTED_VALUE"""),14286.0)</f>
        <v>14286</v>
      </c>
      <c r="N826" s="2">
        <f>IFERROR(__xludf.DUMMYFUNCTION("""COMPUTED_VALUE"""),0.0)</f>
        <v>0</v>
      </c>
      <c r="O826" s="2">
        <f>IFERROR(__xludf.DUMMYFUNCTION("""COMPUTED_VALUE"""),14286.0)</f>
        <v>14286</v>
      </c>
      <c r="P826" s="2">
        <f>IFERROR(__xludf.DUMMYFUNCTION("""COMPUTED_VALUE"""),714.0)</f>
        <v>714</v>
      </c>
      <c r="Q826" s="2" t="str">
        <f>IFERROR(__xludf.DUMMYFUNCTION("""COMPUTED_VALUE"""),"Dine In")</f>
        <v>Dine In</v>
      </c>
      <c r="R826" s="2" t="str">
        <f>IFERROR(__xludf.DUMMYFUNCTION("""COMPUTED_VALUE"""),"Kedai")</f>
        <v>Kedai</v>
      </c>
      <c r="S826" s="2" t="str">
        <f>IFERROR(__xludf.DUMMYFUNCTION("""COMPUTED_VALUE"""),"Temu Roti")</f>
        <v>Temu Roti</v>
      </c>
      <c r="T826" s="2" t="str">
        <f>IFERROR(__xludf.DUMMYFUNCTION("""COMPUTED_VALUE"""),"Owner")</f>
        <v>Owner</v>
      </c>
      <c r="U826" s="2"/>
      <c r="V826" s="2"/>
      <c r="W826" s="2"/>
      <c r="X826" s="2" t="str">
        <f>IFERROR(__xludf.DUMMYFUNCTION("""COMPUTED_VALUE"""),"Closed")</f>
        <v>Closed</v>
      </c>
    </row>
    <row r="827">
      <c r="A827" s="3" t="s">
        <v>842</v>
      </c>
      <c r="B827" s="4">
        <f>IFERROR(__xludf.DUMMYFUNCTION("SPLIT(A827,"","",0,0)"),45548.88055555556)</f>
        <v>45548.88056</v>
      </c>
      <c r="C827" s="5">
        <f>IFERROR(__xludf.DUMMYFUNCTION("""COMPUTED_VALUE"""),2686757.0)</f>
        <v>2686757</v>
      </c>
      <c r="D827" s="2" t="str">
        <f>IFERROR(__xludf.DUMMYFUNCTION("""COMPUTED_VALUE"""),"Sale")</f>
        <v>Sale</v>
      </c>
      <c r="E827" s="2" t="str">
        <f>IFERROR(__xludf.DUMMYFUNCTION("""COMPUTED_VALUE"""),"Minuman")</f>
        <v>Minuman</v>
      </c>
      <c r="F827" s="2">
        <f>IFERROR(__xludf.DUMMYFUNCTION("""COMPUTED_VALUE"""),10106.0)</f>
        <v>10106</v>
      </c>
      <c r="G827" s="2" t="str">
        <f>IFERROR(__xludf.DUMMYFUNCTION("""COMPUTED_VALUE"""),"Korean Strawberry Fresh Milk")</f>
        <v>Korean Strawberry Fresh Milk</v>
      </c>
      <c r="H827" s="2"/>
      <c r="I827" s="2"/>
      <c r="J827" s="2">
        <f>IFERROR(__xludf.DUMMYFUNCTION("""COMPUTED_VALUE"""),1.0)</f>
        <v>1</v>
      </c>
      <c r="K827" s="6">
        <f>IFERROR(__xludf.DUMMYFUNCTION("""COMPUTED_VALUE"""),26667.0)</f>
        <v>26667</v>
      </c>
      <c r="L827" s="2">
        <f>IFERROR(__xludf.DUMMYFUNCTION("""COMPUTED_VALUE"""),0.0)</f>
        <v>0</v>
      </c>
      <c r="M827" s="2">
        <f>IFERROR(__xludf.DUMMYFUNCTION("""COMPUTED_VALUE"""),26667.0)</f>
        <v>26667</v>
      </c>
      <c r="N827" s="2">
        <f>IFERROR(__xludf.DUMMYFUNCTION("""COMPUTED_VALUE"""),0.0)</f>
        <v>0</v>
      </c>
      <c r="O827" s="2">
        <f>IFERROR(__xludf.DUMMYFUNCTION("""COMPUTED_VALUE"""),26667.0)</f>
        <v>26667</v>
      </c>
      <c r="P827" s="2">
        <f>IFERROR(__xludf.DUMMYFUNCTION("""COMPUTED_VALUE"""),1334.0)</f>
        <v>1334</v>
      </c>
      <c r="Q827" s="2" t="str">
        <f>IFERROR(__xludf.DUMMYFUNCTION("""COMPUTED_VALUE"""),"Dine In")</f>
        <v>Dine In</v>
      </c>
      <c r="R827" s="2" t="str">
        <f>IFERROR(__xludf.DUMMYFUNCTION("""COMPUTED_VALUE"""),"Kedai")</f>
        <v>Kedai</v>
      </c>
      <c r="S827" s="2" t="str">
        <f>IFERROR(__xludf.DUMMYFUNCTION("""COMPUTED_VALUE"""),"Temu Roti")</f>
        <v>Temu Roti</v>
      </c>
      <c r="T827" s="2" t="str">
        <f>IFERROR(__xludf.DUMMYFUNCTION("""COMPUTED_VALUE"""),"Owner")</f>
        <v>Owner</v>
      </c>
      <c r="U827" s="2"/>
      <c r="V827" s="2"/>
      <c r="W827" s="2"/>
      <c r="X827" s="2" t="str">
        <f>IFERROR(__xludf.DUMMYFUNCTION("""COMPUTED_VALUE"""),"Closed")</f>
        <v>Closed</v>
      </c>
    </row>
    <row r="828">
      <c r="A828" s="3" t="s">
        <v>843</v>
      </c>
      <c r="B828" s="4">
        <f>IFERROR(__xludf.DUMMYFUNCTION("SPLIT(A828,"","",0,0)"),45548.87986111111)</f>
        <v>45548.87986</v>
      </c>
      <c r="C828" s="5">
        <f>IFERROR(__xludf.DUMMYFUNCTION("""COMPUTED_VALUE"""),2686392.0)</f>
        <v>2686392</v>
      </c>
      <c r="D828" s="2" t="str">
        <f>IFERROR(__xludf.DUMMYFUNCTION("""COMPUTED_VALUE"""),"Refund")</f>
        <v>Refund</v>
      </c>
      <c r="E828" s="2" t="str">
        <f>IFERROR(__xludf.DUMMYFUNCTION("""COMPUTED_VALUE"""),"Minuman")</f>
        <v>Minuman</v>
      </c>
      <c r="F828" s="2">
        <f>IFERROR(__xludf.DUMMYFUNCTION("""COMPUTED_VALUE"""),10106.0)</f>
        <v>10106</v>
      </c>
      <c r="G828" s="2" t="str">
        <f>IFERROR(__xludf.DUMMYFUNCTION("""COMPUTED_VALUE"""),"Korean Strawberry Fresh Milk")</f>
        <v>Korean Strawberry Fresh Milk</v>
      </c>
      <c r="H828" s="2"/>
      <c r="I828" s="2"/>
      <c r="J828" s="2">
        <f>IFERROR(__xludf.DUMMYFUNCTION("""COMPUTED_VALUE"""),-1.0)</f>
        <v>-1</v>
      </c>
      <c r="K828" s="6">
        <f>IFERROR(__xludf.DUMMYFUNCTION("""COMPUTED_VALUE"""),-26667.0)</f>
        <v>-26667</v>
      </c>
      <c r="L828" s="2">
        <f>IFERROR(__xludf.DUMMYFUNCTION("""COMPUTED_VALUE"""),0.0)</f>
        <v>0</v>
      </c>
      <c r="M828" s="2">
        <f>IFERROR(__xludf.DUMMYFUNCTION("""COMPUTED_VALUE"""),-26667.0)</f>
        <v>-26667</v>
      </c>
      <c r="N828" s="2">
        <f>IFERROR(__xludf.DUMMYFUNCTION("""COMPUTED_VALUE"""),0.0)</f>
        <v>0</v>
      </c>
      <c r="O828" s="2">
        <f>IFERROR(__xludf.DUMMYFUNCTION("""COMPUTED_VALUE"""),-26667.0)</f>
        <v>-26667</v>
      </c>
      <c r="P828" s="2">
        <f>IFERROR(__xludf.DUMMYFUNCTION("""COMPUTED_VALUE"""),-1333.0)</f>
        <v>-1333</v>
      </c>
      <c r="Q828" s="2" t="str">
        <f>IFERROR(__xludf.DUMMYFUNCTION("""COMPUTED_VALUE"""),"Dine In")</f>
        <v>Dine In</v>
      </c>
      <c r="R828" s="2" t="str">
        <f>IFERROR(__xludf.DUMMYFUNCTION("""COMPUTED_VALUE"""),"Kedai")</f>
        <v>Kedai</v>
      </c>
      <c r="S828" s="2" t="str">
        <f>IFERROR(__xludf.DUMMYFUNCTION("""COMPUTED_VALUE"""),"Temu Roti")</f>
        <v>Temu Roti</v>
      </c>
      <c r="T828" s="2" t="str">
        <f>IFERROR(__xludf.DUMMYFUNCTION("""COMPUTED_VALUE"""),"Owner")</f>
        <v>Owner</v>
      </c>
      <c r="U828" s="2"/>
      <c r="V828" s="2"/>
      <c r="W828" s="2"/>
      <c r="X828" s="2" t="str">
        <f>IFERROR(__xludf.DUMMYFUNCTION("""COMPUTED_VALUE"""),"Closed")</f>
        <v>Closed</v>
      </c>
    </row>
    <row r="829">
      <c r="A829" s="3" t="s">
        <v>844</v>
      </c>
      <c r="B829" s="4">
        <f>IFERROR(__xludf.DUMMYFUNCTION("SPLIT(A829,"","",0,0)"),45548.87986111111)</f>
        <v>45548.87986</v>
      </c>
      <c r="C829" s="5">
        <f>IFERROR(__xludf.DUMMYFUNCTION("""COMPUTED_VALUE"""),2686392.0)</f>
        <v>2686392</v>
      </c>
      <c r="D829" s="2" t="str">
        <f>IFERROR(__xludf.DUMMYFUNCTION("""COMPUTED_VALUE"""),"Refund")</f>
        <v>Refund</v>
      </c>
      <c r="E829" s="2" t="str">
        <f>IFERROR(__xludf.DUMMYFUNCTION("""COMPUTED_VALUE"""),"Minuman")</f>
        <v>Minuman</v>
      </c>
      <c r="F829" s="2">
        <f>IFERROR(__xludf.DUMMYFUNCTION("""COMPUTED_VALUE"""),10026.0)</f>
        <v>10026</v>
      </c>
      <c r="G829" s="2" t="str">
        <f>IFERROR(__xludf.DUMMYFUNCTION("""COMPUTED_VALUE"""),"Es Kopi Lemon")</f>
        <v>Es Kopi Lemon</v>
      </c>
      <c r="H829" s="2"/>
      <c r="I829" s="2"/>
      <c r="J829" s="2">
        <f>IFERROR(__xludf.DUMMYFUNCTION("""COMPUTED_VALUE"""),-1.0)</f>
        <v>-1</v>
      </c>
      <c r="K829" s="6">
        <f>IFERROR(__xludf.DUMMYFUNCTION("""COMPUTED_VALUE"""),-21905.0)</f>
        <v>-21905</v>
      </c>
      <c r="L829" s="2">
        <f>IFERROR(__xludf.DUMMYFUNCTION("""COMPUTED_VALUE"""),0.0)</f>
        <v>0</v>
      </c>
      <c r="M829" s="2">
        <f>IFERROR(__xludf.DUMMYFUNCTION("""COMPUTED_VALUE"""),-21905.0)</f>
        <v>-21905</v>
      </c>
      <c r="N829" s="2">
        <f>IFERROR(__xludf.DUMMYFUNCTION("""COMPUTED_VALUE"""),0.0)</f>
        <v>0</v>
      </c>
      <c r="O829" s="2">
        <f>IFERROR(__xludf.DUMMYFUNCTION("""COMPUTED_VALUE"""),-21905.0)</f>
        <v>-21905</v>
      </c>
      <c r="P829" s="2">
        <f>IFERROR(__xludf.DUMMYFUNCTION("""COMPUTED_VALUE"""),-1096.0)</f>
        <v>-1096</v>
      </c>
      <c r="Q829" s="2" t="str">
        <f>IFERROR(__xludf.DUMMYFUNCTION("""COMPUTED_VALUE"""),"Dine In")</f>
        <v>Dine In</v>
      </c>
      <c r="R829" s="2" t="str">
        <f>IFERROR(__xludf.DUMMYFUNCTION("""COMPUTED_VALUE"""),"Kedai")</f>
        <v>Kedai</v>
      </c>
      <c r="S829" s="2" t="str">
        <f>IFERROR(__xludf.DUMMYFUNCTION("""COMPUTED_VALUE"""),"Temu Roti")</f>
        <v>Temu Roti</v>
      </c>
      <c r="T829" s="2" t="str">
        <f>IFERROR(__xludf.DUMMYFUNCTION("""COMPUTED_VALUE"""),"Owner")</f>
        <v>Owner</v>
      </c>
      <c r="U829" s="2"/>
      <c r="V829" s="2"/>
      <c r="W829" s="2"/>
      <c r="X829" s="2" t="str">
        <f>IFERROR(__xludf.DUMMYFUNCTION("""COMPUTED_VALUE"""),"Closed")</f>
        <v>Closed</v>
      </c>
    </row>
    <row r="830">
      <c r="A830" s="3" t="s">
        <v>845</v>
      </c>
      <c r="B830" s="4">
        <f>IFERROR(__xludf.DUMMYFUNCTION("SPLIT(A830,"","",0,0)"),45548.87986111111)</f>
        <v>45548.87986</v>
      </c>
      <c r="C830" s="5">
        <f>IFERROR(__xludf.DUMMYFUNCTION("""COMPUTED_VALUE"""),2686392.0)</f>
        <v>2686392</v>
      </c>
      <c r="D830" s="2" t="str">
        <f>IFERROR(__xludf.DUMMYFUNCTION("""COMPUTED_VALUE"""),"Refund")</f>
        <v>Refund</v>
      </c>
      <c r="E830" s="2" t="str">
        <f>IFERROR(__xludf.DUMMYFUNCTION("""COMPUTED_VALUE"""),"Hidangan Utama")</f>
        <v>Hidangan Utama</v>
      </c>
      <c r="F830" s="2">
        <f>IFERROR(__xludf.DUMMYFUNCTION("""COMPUTED_VALUE"""),10003.0)</f>
        <v>10003</v>
      </c>
      <c r="G830" s="2" t="str">
        <f>IFERROR(__xludf.DUMMYFUNCTION("""COMPUTED_VALUE"""),"Nasi Goreng Temu")</f>
        <v>Nasi Goreng Temu</v>
      </c>
      <c r="H830" s="2"/>
      <c r="I830" s="2"/>
      <c r="J830" s="2">
        <f>IFERROR(__xludf.DUMMYFUNCTION("""COMPUTED_VALUE"""),-2.0)</f>
        <v>-2</v>
      </c>
      <c r="K830" s="6">
        <f>IFERROR(__xludf.DUMMYFUNCTION("""COMPUTED_VALUE"""),-59048.0)</f>
        <v>-59048</v>
      </c>
      <c r="L830" s="2">
        <f>IFERROR(__xludf.DUMMYFUNCTION("""COMPUTED_VALUE"""),0.0)</f>
        <v>0</v>
      </c>
      <c r="M830" s="2">
        <f>IFERROR(__xludf.DUMMYFUNCTION("""COMPUTED_VALUE"""),-59048.0)</f>
        <v>-59048</v>
      </c>
      <c r="N830" s="2">
        <f>IFERROR(__xludf.DUMMYFUNCTION("""COMPUTED_VALUE"""),0.0)</f>
        <v>0</v>
      </c>
      <c r="O830" s="2">
        <f>IFERROR(__xludf.DUMMYFUNCTION("""COMPUTED_VALUE"""),-59048.0)</f>
        <v>-59048</v>
      </c>
      <c r="P830" s="2">
        <f>IFERROR(__xludf.DUMMYFUNCTION("""COMPUTED_VALUE"""),-2952.0)</f>
        <v>-2952</v>
      </c>
      <c r="Q830" s="2" t="str">
        <f>IFERROR(__xludf.DUMMYFUNCTION("""COMPUTED_VALUE"""),"Dine In")</f>
        <v>Dine In</v>
      </c>
      <c r="R830" s="2" t="str">
        <f>IFERROR(__xludf.DUMMYFUNCTION("""COMPUTED_VALUE"""),"Kedai")</f>
        <v>Kedai</v>
      </c>
      <c r="S830" s="2" t="str">
        <f>IFERROR(__xludf.DUMMYFUNCTION("""COMPUTED_VALUE"""),"Temu Roti")</f>
        <v>Temu Roti</v>
      </c>
      <c r="T830" s="2" t="str">
        <f>IFERROR(__xludf.DUMMYFUNCTION("""COMPUTED_VALUE"""),"Owner")</f>
        <v>Owner</v>
      </c>
      <c r="U830" s="2"/>
      <c r="V830" s="2"/>
      <c r="W830" s="2"/>
      <c r="X830" s="2" t="str">
        <f>IFERROR(__xludf.DUMMYFUNCTION("""COMPUTED_VALUE"""),"Closed")</f>
        <v>Closed</v>
      </c>
    </row>
    <row r="831">
      <c r="A831" s="3" t="s">
        <v>846</v>
      </c>
      <c r="B831" s="4">
        <f>IFERROR(__xludf.DUMMYFUNCTION("SPLIT(A831,"","",0,0)"),45548.87986111111)</f>
        <v>45548.87986</v>
      </c>
      <c r="C831" s="5">
        <f>IFERROR(__xludf.DUMMYFUNCTION("""COMPUTED_VALUE"""),2686392.0)</f>
        <v>2686392</v>
      </c>
      <c r="D831" s="2" t="str">
        <f>IFERROR(__xludf.DUMMYFUNCTION("""COMPUTED_VALUE"""),"Refund")</f>
        <v>Refund</v>
      </c>
      <c r="E831" s="2" t="str">
        <f>IFERROR(__xludf.DUMMYFUNCTION("""COMPUTED_VALUE"""),"Kudapan")</f>
        <v>Kudapan</v>
      </c>
      <c r="F831" s="2">
        <f>IFERROR(__xludf.DUMMYFUNCTION("""COMPUTED_VALUE"""),10004.0)</f>
        <v>10004</v>
      </c>
      <c r="G831" s="2" t="str">
        <f>IFERROR(__xludf.DUMMYFUNCTION("""COMPUTED_VALUE"""),"Tahu walik")</f>
        <v>Tahu walik</v>
      </c>
      <c r="H831" s="2"/>
      <c r="I831" s="2"/>
      <c r="J831" s="2">
        <f>IFERROR(__xludf.DUMMYFUNCTION("""COMPUTED_VALUE"""),-1.0)</f>
        <v>-1</v>
      </c>
      <c r="K831" s="6">
        <f>IFERROR(__xludf.DUMMYFUNCTION("""COMPUTED_VALUE"""),-25238.0)</f>
        <v>-25238</v>
      </c>
      <c r="L831" s="2">
        <f>IFERROR(__xludf.DUMMYFUNCTION("""COMPUTED_VALUE"""),0.0)</f>
        <v>0</v>
      </c>
      <c r="M831" s="2">
        <f>IFERROR(__xludf.DUMMYFUNCTION("""COMPUTED_VALUE"""),-25238.0)</f>
        <v>-25238</v>
      </c>
      <c r="N831" s="2">
        <f>IFERROR(__xludf.DUMMYFUNCTION("""COMPUTED_VALUE"""),0.0)</f>
        <v>0</v>
      </c>
      <c r="O831" s="2">
        <f>IFERROR(__xludf.DUMMYFUNCTION("""COMPUTED_VALUE"""),-25238.0)</f>
        <v>-25238</v>
      </c>
      <c r="P831" s="2">
        <f>IFERROR(__xludf.DUMMYFUNCTION("""COMPUTED_VALUE"""),-1262.0)</f>
        <v>-1262</v>
      </c>
      <c r="Q831" s="2" t="str">
        <f>IFERROR(__xludf.DUMMYFUNCTION("""COMPUTED_VALUE"""),"Dine In")</f>
        <v>Dine In</v>
      </c>
      <c r="R831" s="2" t="str">
        <f>IFERROR(__xludf.DUMMYFUNCTION("""COMPUTED_VALUE"""),"Kedai")</f>
        <v>Kedai</v>
      </c>
      <c r="S831" s="2" t="str">
        <f>IFERROR(__xludf.DUMMYFUNCTION("""COMPUTED_VALUE"""),"Temu Roti")</f>
        <v>Temu Roti</v>
      </c>
      <c r="T831" s="2" t="str">
        <f>IFERROR(__xludf.DUMMYFUNCTION("""COMPUTED_VALUE"""),"Owner")</f>
        <v>Owner</v>
      </c>
      <c r="U831" s="2"/>
      <c r="V831" s="2"/>
      <c r="W831" s="2"/>
      <c r="X831" s="2" t="str">
        <f>IFERROR(__xludf.DUMMYFUNCTION("""COMPUTED_VALUE"""),"Closed")</f>
        <v>Closed</v>
      </c>
    </row>
    <row r="832">
      <c r="A832" s="3" t="s">
        <v>847</v>
      </c>
      <c r="B832" s="4">
        <f>IFERROR(__xludf.DUMMYFUNCTION("SPLIT(A832,"","",0,0)"),45548.87986111111)</f>
        <v>45548.87986</v>
      </c>
      <c r="C832" s="5">
        <f>IFERROR(__xludf.DUMMYFUNCTION("""COMPUTED_VALUE"""),2686392.0)</f>
        <v>2686392</v>
      </c>
      <c r="D832" s="2" t="str">
        <f>IFERROR(__xludf.DUMMYFUNCTION("""COMPUTED_VALUE"""),"Refund")</f>
        <v>Refund</v>
      </c>
      <c r="E832" s="2" t="str">
        <f>IFERROR(__xludf.DUMMYFUNCTION("""COMPUTED_VALUE"""),"Minuman")</f>
        <v>Minuman</v>
      </c>
      <c r="F832" s="2">
        <f>IFERROR(__xludf.DUMMYFUNCTION("""COMPUTED_VALUE"""),10117.0)</f>
        <v>10117</v>
      </c>
      <c r="G832" s="2" t="str">
        <f>IFERROR(__xludf.DUMMYFUNCTION("""COMPUTED_VALUE"""),"Teh Manis Dingin")</f>
        <v>Teh Manis Dingin</v>
      </c>
      <c r="H832" s="2"/>
      <c r="I832" s="2"/>
      <c r="J832" s="2">
        <f>IFERROR(__xludf.DUMMYFUNCTION("""COMPUTED_VALUE"""),-1.0)</f>
        <v>-1</v>
      </c>
      <c r="K832" s="6">
        <f>IFERROR(__xludf.DUMMYFUNCTION("""COMPUTED_VALUE"""),-14286.0)</f>
        <v>-14286</v>
      </c>
      <c r="L832" s="2">
        <f>IFERROR(__xludf.DUMMYFUNCTION("""COMPUTED_VALUE"""),0.0)</f>
        <v>0</v>
      </c>
      <c r="M832" s="2">
        <f>IFERROR(__xludf.DUMMYFUNCTION("""COMPUTED_VALUE"""),-14286.0)</f>
        <v>-14286</v>
      </c>
      <c r="N832" s="2">
        <f>IFERROR(__xludf.DUMMYFUNCTION("""COMPUTED_VALUE"""),0.0)</f>
        <v>0</v>
      </c>
      <c r="O832" s="2">
        <f>IFERROR(__xludf.DUMMYFUNCTION("""COMPUTED_VALUE"""),-14286.0)</f>
        <v>-14286</v>
      </c>
      <c r="P832" s="2">
        <f>IFERROR(__xludf.DUMMYFUNCTION("""COMPUTED_VALUE"""),-714.0)</f>
        <v>-714</v>
      </c>
      <c r="Q832" s="2" t="str">
        <f>IFERROR(__xludf.DUMMYFUNCTION("""COMPUTED_VALUE"""),"Dine In")</f>
        <v>Dine In</v>
      </c>
      <c r="R832" s="2" t="str">
        <f>IFERROR(__xludf.DUMMYFUNCTION("""COMPUTED_VALUE"""),"Kedai")</f>
        <v>Kedai</v>
      </c>
      <c r="S832" s="2" t="str">
        <f>IFERROR(__xludf.DUMMYFUNCTION("""COMPUTED_VALUE"""),"Temu Roti")</f>
        <v>Temu Roti</v>
      </c>
      <c r="T832" s="2" t="str">
        <f>IFERROR(__xludf.DUMMYFUNCTION("""COMPUTED_VALUE"""),"Owner")</f>
        <v>Owner</v>
      </c>
      <c r="U832" s="2"/>
      <c r="V832" s="2"/>
      <c r="W832" s="2"/>
      <c r="X832" s="2" t="str">
        <f>IFERROR(__xludf.DUMMYFUNCTION("""COMPUTED_VALUE"""),"Closed")</f>
        <v>Closed</v>
      </c>
    </row>
    <row r="833">
      <c r="A833" s="3" t="s">
        <v>848</v>
      </c>
      <c r="B833" s="4">
        <f>IFERROR(__xludf.DUMMYFUNCTION("SPLIT(A833,"","",0,0)"),45548.87986111111)</f>
        <v>45548.87986</v>
      </c>
      <c r="C833" s="5">
        <f>IFERROR(__xludf.DUMMYFUNCTION("""COMPUTED_VALUE"""),2686392.0)</f>
        <v>2686392</v>
      </c>
      <c r="D833" s="2" t="str">
        <f>IFERROR(__xludf.DUMMYFUNCTION("""COMPUTED_VALUE"""),"Refund")</f>
        <v>Refund</v>
      </c>
      <c r="E833" s="2" t="str">
        <f>IFERROR(__xludf.DUMMYFUNCTION("""COMPUTED_VALUE"""),"Minuman")</f>
        <v>Minuman</v>
      </c>
      <c r="F833" s="2">
        <f>IFERROR(__xludf.DUMMYFUNCTION("""COMPUTED_VALUE"""),10107.0)</f>
        <v>10107</v>
      </c>
      <c r="G833" s="2" t="str">
        <f>IFERROR(__xludf.DUMMYFUNCTION("""COMPUTED_VALUE"""),"Korean Mango Fresh Milk")</f>
        <v>Korean Mango Fresh Milk</v>
      </c>
      <c r="H833" s="2"/>
      <c r="I833" s="2"/>
      <c r="J833" s="2">
        <f>IFERROR(__xludf.DUMMYFUNCTION("""COMPUTED_VALUE"""),-1.0)</f>
        <v>-1</v>
      </c>
      <c r="K833" s="6">
        <f>IFERROR(__xludf.DUMMYFUNCTION("""COMPUTED_VALUE"""),-26667.0)</f>
        <v>-26667</v>
      </c>
      <c r="L833" s="2">
        <f>IFERROR(__xludf.DUMMYFUNCTION("""COMPUTED_VALUE"""),0.0)</f>
        <v>0</v>
      </c>
      <c r="M833" s="2">
        <f>IFERROR(__xludf.DUMMYFUNCTION("""COMPUTED_VALUE"""),-26667.0)</f>
        <v>-26667</v>
      </c>
      <c r="N833" s="2">
        <f>IFERROR(__xludf.DUMMYFUNCTION("""COMPUTED_VALUE"""),0.0)</f>
        <v>0</v>
      </c>
      <c r="O833" s="2">
        <f>IFERROR(__xludf.DUMMYFUNCTION("""COMPUTED_VALUE"""),-26667.0)</f>
        <v>-26667</v>
      </c>
      <c r="P833" s="2">
        <f>IFERROR(__xludf.DUMMYFUNCTION("""COMPUTED_VALUE"""),-1334.0)</f>
        <v>-1334</v>
      </c>
      <c r="Q833" s="2" t="str">
        <f>IFERROR(__xludf.DUMMYFUNCTION("""COMPUTED_VALUE"""),"Dine In")</f>
        <v>Dine In</v>
      </c>
      <c r="R833" s="2" t="str">
        <f>IFERROR(__xludf.DUMMYFUNCTION("""COMPUTED_VALUE"""),"Kedai")</f>
        <v>Kedai</v>
      </c>
      <c r="S833" s="2" t="str">
        <f>IFERROR(__xludf.DUMMYFUNCTION("""COMPUTED_VALUE"""),"Temu Roti")</f>
        <v>Temu Roti</v>
      </c>
      <c r="T833" s="2" t="str">
        <f>IFERROR(__xludf.DUMMYFUNCTION("""COMPUTED_VALUE"""),"Owner")</f>
        <v>Owner</v>
      </c>
      <c r="U833" s="2"/>
      <c r="V833" s="2"/>
      <c r="W833" s="2"/>
      <c r="X833" s="2" t="str">
        <f>IFERROR(__xludf.DUMMYFUNCTION("""COMPUTED_VALUE"""),"Closed")</f>
        <v>Closed</v>
      </c>
    </row>
    <row r="834">
      <c r="A834" s="3" t="s">
        <v>849</v>
      </c>
      <c r="B834" s="4">
        <f>IFERROR(__xludf.DUMMYFUNCTION("SPLIT(A834,"","",0,0)"),45548.82013888889)</f>
        <v>45548.82014</v>
      </c>
      <c r="C834" s="5">
        <f>IFERROR(__xludf.DUMMYFUNCTION("""COMPUTED_VALUE"""),2686027.0)</f>
        <v>2686027</v>
      </c>
      <c r="D834" s="2" t="str">
        <f>IFERROR(__xludf.DUMMYFUNCTION("""COMPUTED_VALUE"""),"Sale")</f>
        <v>Sale</v>
      </c>
      <c r="E834" s="2" t="str">
        <f>IFERROR(__xludf.DUMMYFUNCTION("""COMPUTED_VALUE"""),"Roti")</f>
        <v>Roti</v>
      </c>
      <c r="F834" s="2">
        <f>IFERROR(__xludf.DUMMYFUNCTION("""COMPUTED_VALUE"""),10005.0)</f>
        <v>10005</v>
      </c>
      <c r="G834" s="2" t="str">
        <f>IFERROR(__xludf.DUMMYFUNCTION("""COMPUTED_VALUE"""),"Roti Gandum Cokelat")</f>
        <v>Roti Gandum Cokelat</v>
      </c>
      <c r="H834" s="2"/>
      <c r="I834" s="2"/>
      <c r="J834" s="2">
        <f>IFERROR(__xludf.DUMMYFUNCTION("""COMPUTED_VALUE"""),1.0)</f>
        <v>1</v>
      </c>
      <c r="K834" s="6">
        <f>IFERROR(__xludf.DUMMYFUNCTION("""COMPUTED_VALUE"""),19524.0)</f>
        <v>19524</v>
      </c>
      <c r="L834" s="2">
        <f>IFERROR(__xludf.DUMMYFUNCTION("""COMPUTED_VALUE"""),0.0)</f>
        <v>0</v>
      </c>
      <c r="M834" s="2">
        <f>IFERROR(__xludf.DUMMYFUNCTION("""COMPUTED_VALUE"""),19524.0)</f>
        <v>19524</v>
      </c>
      <c r="N834" s="2">
        <f>IFERROR(__xludf.DUMMYFUNCTION("""COMPUTED_VALUE"""),0.0)</f>
        <v>0</v>
      </c>
      <c r="O834" s="2">
        <f>IFERROR(__xludf.DUMMYFUNCTION("""COMPUTED_VALUE"""),19524.0)</f>
        <v>19524</v>
      </c>
      <c r="P834" s="2">
        <f>IFERROR(__xludf.DUMMYFUNCTION("""COMPUTED_VALUE"""),976.0)</f>
        <v>976</v>
      </c>
      <c r="Q834" s="2" t="str">
        <f>IFERROR(__xludf.DUMMYFUNCTION("""COMPUTED_VALUE"""),"Dine In")</f>
        <v>Dine In</v>
      </c>
      <c r="R834" s="2" t="str">
        <f>IFERROR(__xludf.DUMMYFUNCTION("""COMPUTED_VALUE"""),"Kedai")</f>
        <v>Kedai</v>
      </c>
      <c r="S834" s="2" t="str">
        <f>IFERROR(__xludf.DUMMYFUNCTION("""COMPUTED_VALUE"""),"Temu Roti")</f>
        <v>Temu Roti</v>
      </c>
      <c r="T834" s="2" t="str">
        <f>IFERROR(__xludf.DUMMYFUNCTION("""COMPUTED_VALUE"""),"Owner")</f>
        <v>Owner</v>
      </c>
      <c r="U834" s="2"/>
      <c r="V834" s="2"/>
      <c r="W834" s="2"/>
      <c r="X834" s="2" t="str">
        <f>IFERROR(__xludf.DUMMYFUNCTION("""COMPUTED_VALUE"""),"Closed")</f>
        <v>Closed</v>
      </c>
    </row>
    <row r="835">
      <c r="A835" s="3" t="s">
        <v>850</v>
      </c>
      <c r="B835" s="4">
        <f>IFERROR(__xludf.DUMMYFUNCTION("SPLIT(A835,"","",0,0)"),45548.82013888889)</f>
        <v>45548.82014</v>
      </c>
      <c r="C835" s="5">
        <f>IFERROR(__xludf.DUMMYFUNCTION("""COMPUTED_VALUE"""),2686027.0)</f>
        <v>2686027</v>
      </c>
      <c r="D835" s="2" t="str">
        <f>IFERROR(__xludf.DUMMYFUNCTION("""COMPUTED_VALUE"""),"Sale")</f>
        <v>Sale</v>
      </c>
      <c r="E835" s="2" t="str">
        <f>IFERROR(__xludf.DUMMYFUNCTION("""COMPUTED_VALUE"""),"Minuman")</f>
        <v>Minuman</v>
      </c>
      <c r="F835" s="2">
        <f>IFERROR(__xludf.DUMMYFUNCTION("""COMPUTED_VALUE"""),10125.0)</f>
        <v>10125</v>
      </c>
      <c r="G835" s="2" t="str">
        <f>IFERROR(__xludf.DUMMYFUNCTION("""COMPUTED_VALUE"""),"Gula Asam Dingin")</f>
        <v>Gula Asam Dingin</v>
      </c>
      <c r="H835" s="2"/>
      <c r="I835" s="2"/>
      <c r="J835" s="2">
        <f>IFERROR(__xludf.DUMMYFUNCTION("""COMPUTED_VALUE"""),1.0)</f>
        <v>1</v>
      </c>
      <c r="K835" s="6">
        <f>IFERROR(__xludf.DUMMYFUNCTION("""COMPUTED_VALUE"""),20476.0)</f>
        <v>20476</v>
      </c>
      <c r="L835" s="2">
        <f>IFERROR(__xludf.DUMMYFUNCTION("""COMPUTED_VALUE"""),0.0)</f>
        <v>0</v>
      </c>
      <c r="M835" s="2">
        <f>IFERROR(__xludf.DUMMYFUNCTION("""COMPUTED_VALUE"""),20476.0)</f>
        <v>20476</v>
      </c>
      <c r="N835" s="2">
        <f>IFERROR(__xludf.DUMMYFUNCTION("""COMPUTED_VALUE"""),0.0)</f>
        <v>0</v>
      </c>
      <c r="O835" s="2">
        <f>IFERROR(__xludf.DUMMYFUNCTION("""COMPUTED_VALUE"""),20476.0)</f>
        <v>20476</v>
      </c>
      <c r="P835" s="2">
        <f>IFERROR(__xludf.DUMMYFUNCTION("""COMPUTED_VALUE"""),1024.0)</f>
        <v>1024</v>
      </c>
      <c r="Q835" s="2" t="str">
        <f>IFERROR(__xludf.DUMMYFUNCTION("""COMPUTED_VALUE"""),"Dine In")</f>
        <v>Dine In</v>
      </c>
      <c r="R835" s="2" t="str">
        <f>IFERROR(__xludf.DUMMYFUNCTION("""COMPUTED_VALUE"""),"Kedai")</f>
        <v>Kedai</v>
      </c>
      <c r="S835" s="2" t="str">
        <f>IFERROR(__xludf.DUMMYFUNCTION("""COMPUTED_VALUE"""),"Temu Roti")</f>
        <v>Temu Roti</v>
      </c>
      <c r="T835" s="2" t="str">
        <f>IFERROR(__xludf.DUMMYFUNCTION("""COMPUTED_VALUE"""),"Owner")</f>
        <v>Owner</v>
      </c>
      <c r="U835" s="2"/>
      <c r="V835" s="2"/>
      <c r="W835" s="2"/>
      <c r="X835" s="2" t="str">
        <f>IFERROR(__xludf.DUMMYFUNCTION("""COMPUTED_VALUE"""),"Closed")</f>
        <v>Closed</v>
      </c>
    </row>
    <row r="836">
      <c r="A836" s="3" t="s">
        <v>851</v>
      </c>
      <c r="B836" s="4">
        <f>IFERROR(__xludf.DUMMYFUNCTION("SPLIT(A836,"","",0,0)"),45548.802777777775)</f>
        <v>45548.80278</v>
      </c>
      <c r="C836" s="5">
        <f>IFERROR(__xludf.DUMMYFUNCTION("""COMPUTED_VALUE"""),2685662.0)</f>
        <v>2685662</v>
      </c>
      <c r="D836" s="2" t="str">
        <f>IFERROR(__xludf.DUMMYFUNCTION("""COMPUTED_VALUE"""),"Sale")</f>
        <v>Sale</v>
      </c>
      <c r="E836" s="2" t="str">
        <f>IFERROR(__xludf.DUMMYFUNCTION("""COMPUTED_VALUE"""),"Roti")</f>
        <v>Roti</v>
      </c>
      <c r="F836" s="2">
        <f>IFERROR(__xludf.DUMMYFUNCTION("""COMPUTED_VALUE"""),10055.0)</f>
        <v>10055</v>
      </c>
      <c r="G836" s="2" t="str">
        <f>IFERROR(__xludf.DUMMYFUNCTION("""COMPUTED_VALUE"""),"Roti Gandum Cokelat 2 pcs")</f>
        <v>Roti Gandum Cokelat 2 pcs</v>
      </c>
      <c r="H836" s="2"/>
      <c r="I836" s="2"/>
      <c r="J836" s="2">
        <f>IFERROR(__xludf.DUMMYFUNCTION("""COMPUTED_VALUE"""),1.0)</f>
        <v>1</v>
      </c>
      <c r="K836" s="6">
        <f>IFERROR(__xludf.DUMMYFUNCTION("""COMPUTED_VALUE"""),34762.0)</f>
        <v>34762</v>
      </c>
      <c r="L836" s="2">
        <f>IFERROR(__xludf.DUMMYFUNCTION("""COMPUTED_VALUE"""),0.0)</f>
        <v>0</v>
      </c>
      <c r="M836" s="2">
        <f>IFERROR(__xludf.DUMMYFUNCTION("""COMPUTED_VALUE"""),34762.0)</f>
        <v>34762</v>
      </c>
      <c r="N836" s="2">
        <f>IFERROR(__xludf.DUMMYFUNCTION("""COMPUTED_VALUE"""),0.0)</f>
        <v>0</v>
      </c>
      <c r="O836" s="2">
        <f>IFERROR(__xludf.DUMMYFUNCTION("""COMPUTED_VALUE"""),34762.0)</f>
        <v>34762</v>
      </c>
      <c r="P836" s="2">
        <f>IFERROR(__xludf.DUMMYFUNCTION("""COMPUTED_VALUE"""),1738.0)</f>
        <v>1738</v>
      </c>
      <c r="Q836" s="2" t="str">
        <f>IFERROR(__xludf.DUMMYFUNCTION("""COMPUTED_VALUE"""),"Dine In")</f>
        <v>Dine In</v>
      </c>
      <c r="R836" s="2" t="str">
        <f>IFERROR(__xludf.DUMMYFUNCTION("""COMPUTED_VALUE"""),"Kedai")</f>
        <v>Kedai</v>
      </c>
      <c r="S836" s="2" t="str">
        <f>IFERROR(__xludf.DUMMYFUNCTION("""COMPUTED_VALUE"""),"Temu Roti")</f>
        <v>Temu Roti</v>
      </c>
      <c r="T836" s="2" t="str">
        <f>IFERROR(__xludf.DUMMYFUNCTION("""COMPUTED_VALUE"""),"Owner")</f>
        <v>Owner</v>
      </c>
      <c r="U836" s="2"/>
      <c r="V836" s="2"/>
      <c r="W836" s="2"/>
      <c r="X836" s="2" t="str">
        <f>IFERROR(__xludf.DUMMYFUNCTION("""COMPUTED_VALUE"""),"Closed")</f>
        <v>Closed</v>
      </c>
    </row>
    <row r="837">
      <c r="A837" s="3" t="s">
        <v>852</v>
      </c>
      <c r="B837" s="4">
        <f>IFERROR(__xludf.DUMMYFUNCTION("SPLIT(A837,"","",0,0)"),45548.802777777775)</f>
        <v>45548.80278</v>
      </c>
      <c r="C837" s="5">
        <f>IFERROR(__xludf.DUMMYFUNCTION("""COMPUTED_VALUE"""),2685662.0)</f>
        <v>2685662</v>
      </c>
      <c r="D837" s="2" t="str">
        <f>IFERROR(__xludf.DUMMYFUNCTION("""COMPUTED_VALUE"""),"Sale")</f>
        <v>Sale</v>
      </c>
      <c r="E837" s="2" t="str">
        <f>IFERROR(__xludf.DUMMYFUNCTION("""COMPUTED_VALUE"""),"Roti")</f>
        <v>Roti</v>
      </c>
      <c r="F837" s="2">
        <f>IFERROR(__xludf.DUMMYFUNCTION("""COMPUTED_VALUE"""),10000.0)</f>
        <v>10000</v>
      </c>
      <c r="G837" s="2" t="str">
        <f>IFERROR(__xludf.DUMMYFUNCTION("""COMPUTED_VALUE"""),"Roti Bawang Saus Keju")</f>
        <v>Roti Bawang Saus Keju</v>
      </c>
      <c r="H837" s="2"/>
      <c r="I837" s="2"/>
      <c r="J837" s="2">
        <f>IFERROR(__xludf.DUMMYFUNCTION("""COMPUTED_VALUE"""),1.0)</f>
        <v>1</v>
      </c>
      <c r="K837" s="6">
        <f>IFERROR(__xludf.DUMMYFUNCTION("""COMPUTED_VALUE"""),29524.0)</f>
        <v>29524</v>
      </c>
      <c r="L837" s="2">
        <f>IFERROR(__xludf.DUMMYFUNCTION("""COMPUTED_VALUE"""),0.0)</f>
        <v>0</v>
      </c>
      <c r="M837" s="2">
        <f>IFERROR(__xludf.DUMMYFUNCTION("""COMPUTED_VALUE"""),29524.0)</f>
        <v>29524</v>
      </c>
      <c r="N837" s="2">
        <f>IFERROR(__xludf.DUMMYFUNCTION("""COMPUTED_VALUE"""),0.0)</f>
        <v>0</v>
      </c>
      <c r="O837" s="2">
        <f>IFERROR(__xludf.DUMMYFUNCTION("""COMPUTED_VALUE"""),29524.0)</f>
        <v>29524</v>
      </c>
      <c r="P837" s="2">
        <f>IFERROR(__xludf.DUMMYFUNCTION("""COMPUTED_VALUE"""),1476.0)</f>
        <v>1476</v>
      </c>
      <c r="Q837" s="2" t="str">
        <f>IFERROR(__xludf.DUMMYFUNCTION("""COMPUTED_VALUE"""),"Dine In")</f>
        <v>Dine In</v>
      </c>
      <c r="R837" s="2" t="str">
        <f>IFERROR(__xludf.DUMMYFUNCTION("""COMPUTED_VALUE"""),"Kedai")</f>
        <v>Kedai</v>
      </c>
      <c r="S837" s="2" t="str">
        <f>IFERROR(__xludf.DUMMYFUNCTION("""COMPUTED_VALUE"""),"Temu Roti")</f>
        <v>Temu Roti</v>
      </c>
      <c r="T837" s="2" t="str">
        <f>IFERROR(__xludf.DUMMYFUNCTION("""COMPUTED_VALUE"""),"Owner")</f>
        <v>Owner</v>
      </c>
      <c r="U837" s="2"/>
      <c r="V837" s="2"/>
      <c r="W837" s="2"/>
      <c r="X837" s="2" t="str">
        <f>IFERROR(__xludf.DUMMYFUNCTION("""COMPUTED_VALUE"""),"Closed")</f>
        <v>Closed</v>
      </c>
    </row>
    <row r="838">
      <c r="A838" s="3" t="s">
        <v>853</v>
      </c>
      <c r="B838" s="4">
        <f>IFERROR(__xludf.DUMMYFUNCTION("SPLIT(A838,"","",0,0)"),45548.802083333336)</f>
        <v>45548.80208</v>
      </c>
      <c r="C838" s="5">
        <f>IFERROR(__xludf.DUMMYFUNCTION("""COMPUTED_VALUE"""),2685296.0)</f>
        <v>2685296</v>
      </c>
      <c r="D838" s="2" t="str">
        <f>IFERROR(__xludf.DUMMYFUNCTION("""COMPUTED_VALUE"""),"Sale")</f>
        <v>Sale</v>
      </c>
      <c r="E838" s="2" t="str">
        <f>IFERROR(__xludf.DUMMYFUNCTION("""COMPUTED_VALUE"""),"Roti")</f>
        <v>Roti</v>
      </c>
      <c r="F838" s="2">
        <f>IFERROR(__xludf.DUMMYFUNCTION("""COMPUTED_VALUE"""),10000.0)</f>
        <v>10000</v>
      </c>
      <c r="G838" s="2" t="str">
        <f>IFERROR(__xludf.DUMMYFUNCTION("""COMPUTED_VALUE"""),"Roti Bawang Saus Keju")</f>
        <v>Roti Bawang Saus Keju</v>
      </c>
      <c r="H838" s="2"/>
      <c r="I838" s="2"/>
      <c r="J838" s="2">
        <f>IFERROR(__xludf.DUMMYFUNCTION("""COMPUTED_VALUE"""),1.0)</f>
        <v>1</v>
      </c>
      <c r="K838" s="6">
        <f>IFERROR(__xludf.DUMMYFUNCTION("""COMPUTED_VALUE"""),29524.0)</f>
        <v>29524</v>
      </c>
      <c r="L838" s="2">
        <f>IFERROR(__xludf.DUMMYFUNCTION("""COMPUTED_VALUE"""),0.0)</f>
        <v>0</v>
      </c>
      <c r="M838" s="2">
        <f>IFERROR(__xludf.DUMMYFUNCTION("""COMPUTED_VALUE"""),29524.0)</f>
        <v>29524</v>
      </c>
      <c r="N838" s="2">
        <f>IFERROR(__xludf.DUMMYFUNCTION("""COMPUTED_VALUE"""),0.0)</f>
        <v>0</v>
      </c>
      <c r="O838" s="2">
        <f>IFERROR(__xludf.DUMMYFUNCTION("""COMPUTED_VALUE"""),29524.0)</f>
        <v>29524</v>
      </c>
      <c r="P838" s="2">
        <f>IFERROR(__xludf.DUMMYFUNCTION("""COMPUTED_VALUE"""),1476.0)</f>
        <v>1476</v>
      </c>
      <c r="Q838" s="2" t="str">
        <f>IFERROR(__xludf.DUMMYFUNCTION("""COMPUTED_VALUE"""),"Dine In")</f>
        <v>Dine In</v>
      </c>
      <c r="R838" s="2" t="str">
        <f>IFERROR(__xludf.DUMMYFUNCTION("""COMPUTED_VALUE"""),"Kedai")</f>
        <v>Kedai</v>
      </c>
      <c r="S838" s="2" t="str">
        <f>IFERROR(__xludf.DUMMYFUNCTION("""COMPUTED_VALUE"""),"Temu Roti")</f>
        <v>Temu Roti</v>
      </c>
      <c r="T838" s="2" t="str">
        <f>IFERROR(__xludf.DUMMYFUNCTION("""COMPUTED_VALUE"""),"Owner")</f>
        <v>Owner</v>
      </c>
      <c r="U838" s="2"/>
      <c r="V838" s="2"/>
      <c r="W838" s="2"/>
      <c r="X838" s="2" t="str">
        <f>IFERROR(__xludf.DUMMYFUNCTION("""COMPUTED_VALUE"""),"Closed")</f>
        <v>Closed</v>
      </c>
    </row>
    <row r="839">
      <c r="A839" s="3" t="s">
        <v>854</v>
      </c>
      <c r="B839" s="4">
        <f>IFERROR(__xludf.DUMMYFUNCTION("SPLIT(A839,"","",0,0)"),45548.78680555556)</f>
        <v>45548.78681</v>
      </c>
      <c r="C839" s="5">
        <f>IFERROR(__xludf.DUMMYFUNCTION("""COMPUTED_VALUE"""),2684931.0)</f>
        <v>2684931</v>
      </c>
      <c r="D839" s="2" t="str">
        <f>IFERROR(__xludf.DUMMYFUNCTION("""COMPUTED_VALUE"""),"Sale")</f>
        <v>Sale</v>
      </c>
      <c r="E839" s="2" t="str">
        <f>IFERROR(__xludf.DUMMYFUNCTION("""COMPUTED_VALUE"""),"Minuman")</f>
        <v>Minuman</v>
      </c>
      <c r="F839" s="2">
        <f>IFERROR(__xludf.DUMMYFUNCTION("""COMPUTED_VALUE"""),10122.0)</f>
        <v>10122</v>
      </c>
      <c r="G839" s="2" t="str">
        <f>IFERROR(__xludf.DUMMYFUNCTION("""COMPUTED_VALUE"""),"Rempah Madu Panas")</f>
        <v>Rempah Madu Panas</v>
      </c>
      <c r="H839" s="2"/>
      <c r="I839" s="2"/>
      <c r="J839" s="2">
        <f>IFERROR(__xludf.DUMMYFUNCTION("""COMPUTED_VALUE"""),2.0)</f>
        <v>2</v>
      </c>
      <c r="K839" s="6">
        <f>IFERROR(__xludf.DUMMYFUNCTION("""COMPUTED_VALUE"""),43810.0)</f>
        <v>43810</v>
      </c>
      <c r="L839" s="2">
        <f>IFERROR(__xludf.DUMMYFUNCTION("""COMPUTED_VALUE"""),0.0)</f>
        <v>0</v>
      </c>
      <c r="M839" s="2">
        <f>IFERROR(__xludf.DUMMYFUNCTION("""COMPUTED_VALUE"""),43810.0)</f>
        <v>43810</v>
      </c>
      <c r="N839" s="2">
        <f>IFERROR(__xludf.DUMMYFUNCTION("""COMPUTED_VALUE"""),0.0)</f>
        <v>0</v>
      </c>
      <c r="O839" s="2">
        <f>IFERROR(__xludf.DUMMYFUNCTION("""COMPUTED_VALUE"""),43810.0)</f>
        <v>43810</v>
      </c>
      <c r="P839" s="2">
        <f>IFERROR(__xludf.DUMMYFUNCTION("""COMPUTED_VALUE"""),2191.0)</f>
        <v>2191</v>
      </c>
      <c r="Q839" s="2" t="str">
        <f>IFERROR(__xludf.DUMMYFUNCTION("""COMPUTED_VALUE"""),"Dine In")</f>
        <v>Dine In</v>
      </c>
      <c r="R839" s="2" t="str">
        <f>IFERROR(__xludf.DUMMYFUNCTION("""COMPUTED_VALUE"""),"Kedai")</f>
        <v>Kedai</v>
      </c>
      <c r="S839" s="2" t="str">
        <f>IFERROR(__xludf.DUMMYFUNCTION("""COMPUTED_VALUE"""),"Temu Roti")</f>
        <v>Temu Roti</v>
      </c>
      <c r="T839" s="2" t="str">
        <f>IFERROR(__xludf.DUMMYFUNCTION("""COMPUTED_VALUE"""),"Owner")</f>
        <v>Owner</v>
      </c>
      <c r="U839" s="2"/>
      <c r="V839" s="2"/>
      <c r="W839" s="2"/>
      <c r="X839" s="2" t="str">
        <f>IFERROR(__xludf.DUMMYFUNCTION("""COMPUTED_VALUE"""),"Closed")</f>
        <v>Closed</v>
      </c>
    </row>
    <row r="840">
      <c r="A840" s="3" t="s">
        <v>855</v>
      </c>
      <c r="B840" s="4">
        <f>IFERROR(__xludf.DUMMYFUNCTION("SPLIT(A840,"","",0,0)"),45548.78680555556)</f>
        <v>45548.78681</v>
      </c>
      <c r="C840" s="5">
        <f>IFERROR(__xludf.DUMMYFUNCTION("""COMPUTED_VALUE"""),2684931.0)</f>
        <v>2684931</v>
      </c>
      <c r="D840" s="2" t="str">
        <f>IFERROR(__xludf.DUMMYFUNCTION("""COMPUTED_VALUE"""),"Sale")</f>
        <v>Sale</v>
      </c>
      <c r="E840" s="2" t="str">
        <f>IFERROR(__xludf.DUMMYFUNCTION("""COMPUTED_VALUE"""),"Roti")</f>
        <v>Roti</v>
      </c>
      <c r="F840" s="2">
        <f>IFERROR(__xludf.DUMMYFUNCTION("""COMPUTED_VALUE"""),10034.0)</f>
        <v>10034</v>
      </c>
      <c r="G840" s="2" t="str">
        <f>IFERROR(__xludf.DUMMYFUNCTION("""COMPUTED_VALUE"""),"Roti panggang coklat")</f>
        <v>Roti panggang coklat</v>
      </c>
      <c r="H840" s="2"/>
      <c r="I840" s="2"/>
      <c r="J840" s="2">
        <f>IFERROR(__xludf.DUMMYFUNCTION("""COMPUTED_VALUE"""),1.0)</f>
        <v>1</v>
      </c>
      <c r="K840" s="6">
        <f>IFERROR(__xludf.DUMMYFUNCTION("""COMPUTED_VALUE"""),21905.0)</f>
        <v>21905</v>
      </c>
      <c r="L840" s="2">
        <f>IFERROR(__xludf.DUMMYFUNCTION("""COMPUTED_VALUE"""),0.0)</f>
        <v>0</v>
      </c>
      <c r="M840" s="2">
        <f>IFERROR(__xludf.DUMMYFUNCTION("""COMPUTED_VALUE"""),21905.0)</f>
        <v>21905</v>
      </c>
      <c r="N840" s="2">
        <f>IFERROR(__xludf.DUMMYFUNCTION("""COMPUTED_VALUE"""),0.0)</f>
        <v>0</v>
      </c>
      <c r="O840" s="2">
        <f>IFERROR(__xludf.DUMMYFUNCTION("""COMPUTED_VALUE"""),21905.0)</f>
        <v>21905</v>
      </c>
      <c r="P840" s="2">
        <f>IFERROR(__xludf.DUMMYFUNCTION("""COMPUTED_VALUE"""),1095.0)</f>
        <v>1095</v>
      </c>
      <c r="Q840" s="2" t="str">
        <f>IFERROR(__xludf.DUMMYFUNCTION("""COMPUTED_VALUE"""),"Dine In")</f>
        <v>Dine In</v>
      </c>
      <c r="R840" s="2" t="str">
        <f>IFERROR(__xludf.DUMMYFUNCTION("""COMPUTED_VALUE"""),"Kedai")</f>
        <v>Kedai</v>
      </c>
      <c r="S840" s="2" t="str">
        <f>IFERROR(__xludf.DUMMYFUNCTION("""COMPUTED_VALUE"""),"Temu Roti")</f>
        <v>Temu Roti</v>
      </c>
      <c r="T840" s="2" t="str">
        <f>IFERROR(__xludf.DUMMYFUNCTION("""COMPUTED_VALUE"""),"Owner")</f>
        <v>Owner</v>
      </c>
      <c r="U840" s="2"/>
      <c r="V840" s="2"/>
      <c r="W840" s="2"/>
      <c r="X840" s="2" t="str">
        <f>IFERROR(__xludf.DUMMYFUNCTION("""COMPUTED_VALUE"""),"Closed")</f>
        <v>Closed</v>
      </c>
    </row>
    <row r="841">
      <c r="A841" s="3" t="s">
        <v>856</v>
      </c>
      <c r="B841" s="4">
        <f>IFERROR(__xludf.DUMMYFUNCTION("SPLIT(A841,"","",0,0)"),45548.78680555556)</f>
        <v>45548.78681</v>
      </c>
      <c r="C841" s="5">
        <f>IFERROR(__xludf.DUMMYFUNCTION("""COMPUTED_VALUE"""),2684566.0)</f>
        <v>2684566</v>
      </c>
      <c r="D841" s="2" t="str">
        <f>IFERROR(__xludf.DUMMYFUNCTION("""COMPUTED_VALUE"""),"Refund")</f>
        <v>Refund</v>
      </c>
      <c r="E841" s="2" t="str">
        <f>IFERROR(__xludf.DUMMYFUNCTION("""COMPUTED_VALUE"""),"Roti")</f>
        <v>Roti</v>
      </c>
      <c r="F841" s="2">
        <f>IFERROR(__xludf.DUMMYFUNCTION("""COMPUTED_VALUE"""),10005.0)</f>
        <v>10005</v>
      </c>
      <c r="G841" s="2" t="str">
        <f>IFERROR(__xludf.DUMMYFUNCTION("""COMPUTED_VALUE"""),"Roti Gandum Cokelat")</f>
        <v>Roti Gandum Cokelat</v>
      </c>
      <c r="H841" s="2"/>
      <c r="I841" s="2"/>
      <c r="J841" s="2">
        <f>IFERROR(__xludf.DUMMYFUNCTION("""COMPUTED_VALUE"""),-1.0)</f>
        <v>-1</v>
      </c>
      <c r="K841" s="6">
        <f>IFERROR(__xludf.DUMMYFUNCTION("""COMPUTED_VALUE"""),-19524.0)</f>
        <v>-19524</v>
      </c>
      <c r="L841" s="2">
        <f>IFERROR(__xludf.DUMMYFUNCTION("""COMPUTED_VALUE"""),0.0)</f>
        <v>0</v>
      </c>
      <c r="M841" s="2">
        <f>IFERROR(__xludf.DUMMYFUNCTION("""COMPUTED_VALUE"""),-19524.0)</f>
        <v>-19524</v>
      </c>
      <c r="N841" s="2">
        <f>IFERROR(__xludf.DUMMYFUNCTION("""COMPUTED_VALUE"""),0.0)</f>
        <v>0</v>
      </c>
      <c r="O841" s="2">
        <f>IFERROR(__xludf.DUMMYFUNCTION("""COMPUTED_VALUE"""),-19524.0)</f>
        <v>-19524</v>
      </c>
      <c r="P841" s="2">
        <f>IFERROR(__xludf.DUMMYFUNCTION("""COMPUTED_VALUE"""),-976.0)</f>
        <v>-976</v>
      </c>
      <c r="Q841" s="2" t="str">
        <f>IFERROR(__xludf.DUMMYFUNCTION("""COMPUTED_VALUE"""),"Dine In")</f>
        <v>Dine In</v>
      </c>
      <c r="R841" s="2" t="str">
        <f>IFERROR(__xludf.DUMMYFUNCTION("""COMPUTED_VALUE"""),"Kedai")</f>
        <v>Kedai</v>
      </c>
      <c r="S841" s="2" t="str">
        <f>IFERROR(__xludf.DUMMYFUNCTION("""COMPUTED_VALUE"""),"Temu Roti")</f>
        <v>Temu Roti</v>
      </c>
      <c r="T841" s="2" t="str">
        <f>IFERROR(__xludf.DUMMYFUNCTION("""COMPUTED_VALUE"""),"Owner")</f>
        <v>Owner</v>
      </c>
      <c r="U841" s="2"/>
      <c r="V841" s="2"/>
      <c r="W841" s="2"/>
      <c r="X841" s="2" t="str">
        <f>IFERROR(__xludf.DUMMYFUNCTION("""COMPUTED_VALUE"""),"Closed")</f>
        <v>Closed</v>
      </c>
    </row>
    <row r="842">
      <c r="A842" s="3" t="s">
        <v>857</v>
      </c>
      <c r="B842" s="4">
        <f>IFERROR(__xludf.DUMMYFUNCTION("SPLIT(A842,"","",0,0)"),45548.78680555556)</f>
        <v>45548.78681</v>
      </c>
      <c r="C842" s="5">
        <f>IFERROR(__xludf.DUMMYFUNCTION("""COMPUTED_VALUE"""),2684566.0)</f>
        <v>2684566</v>
      </c>
      <c r="D842" s="2" t="str">
        <f>IFERROR(__xludf.DUMMYFUNCTION("""COMPUTED_VALUE"""),"Refund")</f>
        <v>Refund</v>
      </c>
      <c r="E842" s="2" t="str">
        <f>IFERROR(__xludf.DUMMYFUNCTION("""COMPUTED_VALUE"""),"Minuman")</f>
        <v>Minuman</v>
      </c>
      <c r="F842" s="2">
        <f>IFERROR(__xludf.DUMMYFUNCTION("""COMPUTED_VALUE"""),10122.0)</f>
        <v>10122</v>
      </c>
      <c r="G842" s="2" t="str">
        <f>IFERROR(__xludf.DUMMYFUNCTION("""COMPUTED_VALUE"""),"Rempah Madu Panas")</f>
        <v>Rempah Madu Panas</v>
      </c>
      <c r="H842" s="2"/>
      <c r="I842" s="2"/>
      <c r="J842" s="2">
        <f>IFERROR(__xludf.DUMMYFUNCTION("""COMPUTED_VALUE"""),-2.0)</f>
        <v>-2</v>
      </c>
      <c r="K842" s="6">
        <f>IFERROR(__xludf.DUMMYFUNCTION("""COMPUTED_VALUE"""),-43810.0)</f>
        <v>-43810</v>
      </c>
      <c r="L842" s="2">
        <f>IFERROR(__xludf.DUMMYFUNCTION("""COMPUTED_VALUE"""),0.0)</f>
        <v>0</v>
      </c>
      <c r="M842" s="2">
        <f>IFERROR(__xludf.DUMMYFUNCTION("""COMPUTED_VALUE"""),-43810.0)</f>
        <v>-43810</v>
      </c>
      <c r="N842" s="2">
        <f>IFERROR(__xludf.DUMMYFUNCTION("""COMPUTED_VALUE"""),0.0)</f>
        <v>0</v>
      </c>
      <c r="O842" s="2">
        <f>IFERROR(__xludf.DUMMYFUNCTION("""COMPUTED_VALUE"""),-43810.0)</f>
        <v>-43810</v>
      </c>
      <c r="P842" s="2">
        <f>IFERROR(__xludf.DUMMYFUNCTION("""COMPUTED_VALUE"""),-2191.0)</f>
        <v>-2191</v>
      </c>
      <c r="Q842" s="2" t="str">
        <f>IFERROR(__xludf.DUMMYFUNCTION("""COMPUTED_VALUE"""),"Dine In")</f>
        <v>Dine In</v>
      </c>
      <c r="R842" s="2" t="str">
        <f>IFERROR(__xludf.DUMMYFUNCTION("""COMPUTED_VALUE"""),"Kedai")</f>
        <v>Kedai</v>
      </c>
      <c r="S842" s="2" t="str">
        <f>IFERROR(__xludf.DUMMYFUNCTION("""COMPUTED_VALUE"""),"Temu Roti")</f>
        <v>Temu Roti</v>
      </c>
      <c r="T842" s="2" t="str">
        <f>IFERROR(__xludf.DUMMYFUNCTION("""COMPUTED_VALUE"""),"Owner")</f>
        <v>Owner</v>
      </c>
      <c r="U842" s="2"/>
      <c r="V842" s="2"/>
      <c r="W842" s="2"/>
      <c r="X842" s="2" t="str">
        <f>IFERROR(__xludf.DUMMYFUNCTION("""COMPUTED_VALUE"""),"Closed")</f>
        <v>Closed</v>
      </c>
    </row>
    <row r="843">
      <c r="A843" s="3" t="s">
        <v>858</v>
      </c>
      <c r="B843" s="4">
        <f>IFERROR(__xludf.DUMMYFUNCTION("SPLIT(A843,"","",0,0)"),45548.78402777778)</f>
        <v>45548.78403</v>
      </c>
      <c r="C843" s="5">
        <f>IFERROR(__xludf.DUMMYFUNCTION("""COMPUTED_VALUE"""),2684201.0)</f>
        <v>2684201</v>
      </c>
      <c r="D843" s="2" t="str">
        <f>IFERROR(__xludf.DUMMYFUNCTION("""COMPUTED_VALUE"""),"Sale")</f>
        <v>Sale</v>
      </c>
      <c r="E843" s="2" t="str">
        <f>IFERROR(__xludf.DUMMYFUNCTION("""COMPUTED_VALUE"""),"Minuman")</f>
        <v>Minuman</v>
      </c>
      <c r="F843" s="2">
        <f>IFERROR(__xludf.DUMMYFUNCTION("""COMPUTED_VALUE"""),10106.0)</f>
        <v>10106</v>
      </c>
      <c r="G843" s="2" t="str">
        <f>IFERROR(__xludf.DUMMYFUNCTION("""COMPUTED_VALUE"""),"Korean Strawberry Fresh Milk")</f>
        <v>Korean Strawberry Fresh Milk</v>
      </c>
      <c r="H843" s="2"/>
      <c r="I843" s="2"/>
      <c r="J843" s="2">
        <f>IFERROR(__xludf.DUMMYFUNCTION("""COMPUTED_VALUE"""),1.0)</f>
        <v>1</v>
      </c>
      <c r="K843" s="6">
        <f>IFERROR(__xludf.DUMMYFUNCTION("""COMPUTED_VALUE"""),26667.0)</f>
        <v>26667</v>
      </c>
      <c r="L843" s="2">
        <f>IFERROR(__xludf.DUMMYFUNCTION("""COMPUTED_VALUE"""),0.0)</f>
        <v>0</v>
      </c>
      <c r="M843" s="2">
        <f>IFERROR(__xludf.DUMMYFUNCTION("""COMPUTED_VALUE"""),26667.0)</f>
        <v>26667</v>
      </c>
      <c r="N843" s="2">
        <f>IFERROR(__xludf.DUMMYFUNCTION("""COMPUTED_VALUE"""),0.0)</f>
        <v>0</v>
      </c>
      <c r="O843" s="2">
        <f>IFERROR(__xludf.DUMMYFUNCTION("""COMPUTED_VALUE"""),26667.0)</f>
        <v>26667</v>
      </c>
      <c r="P843" s="2">
        <f>IFERROR(__xludf.DUMMYFUNCTION("""COMPUTED_VALUE"""),1333.0)</f>
        <v>1333</v>
      </c>
      <c r="Q843" s="2" t="str">
        <f>IFERROR(__xludf.DUMMYFUNCTION("""COMPUTED_VALUE"""),"Dine In")</f>
        <v>Dine In</v>
      </c>
      <c r="R843" s="2" t="str">
        <f>IFERROR(__xludf.DUMMYFUNCTION("""COMPUTED_VALUE"""),"Kedai")</f>
        <v>Kedai</v>
      </c>
      <c r="S843" s="2" t="str">
        <f>IFERROR(__xludf.DUMMYFUNCTION("""COMPUTED_VALUE"""),"Temu Roti")</f>
        <v>Temu Roti</v>
      </c>
      <c r="T843" s="2" t="str">
        <f>IFERROR(__xludf.DUMMYFUNCTION("""COMPUTED_VALUE"""),"Owner")</f>
        <v>Owner</v>
      </c>
      <c r="U843" s="2"/>
      <c r="V843" s="2"/>
      <c r="W843" s="2"/>
      <c r="X843" s="2" t="str">
        <f>IFERROR(__xludf.DUMMYFUNCTION("""COMPUTED_VALUE"""),"Closed")</f>
        <v>Closed</v>
      </c>
    </row>
    <row r="844">
      <c r="A844" s="3" t="s">
        <v>859</v>
      </c>
      <c r="B844" s="4">
        <f>IFERROR(__xludf.DUMMYFUNCTION("SPLIT(A844,"","",0,0)"),45548.78402777778)</f>
        <v>45548.78403</v>
      </c>
      <c r="C844" s="5">
        <f>IFERROR(__xludf.DUMMYFUNCTION("""COMPUTED_VALUE"""),2684201.0)</f>
        <v>2684201</v>
      </c>
      <c r="D844" s="2" t="str">
        <f>IFERROR(__xludf.DUMMYFUNCTION("""COMPUTED_VALUE"""),"Sale")</f>
        <v>Sale</v>
      </c>
      <c r="E844" s="2" t="str">
        <f>IFERROR(__xludf.DUMMYFUNCTION("""COMPUTED_VALUE"""),"Minuman")</f>
        <v>Minuman</v>
      </c>
      <c r="F844" s="2">
        <f>IFERROR(__xludf.DUMMYFUNCTION("""COMPUTED_VALUE"""),10026.0)</f>
        <v>10026</v>
      </c>
      <c r="G844" s="2" t="str">
        <f>IFERROR(__xludf.DUMMYFUNCTION("""COMPUTED_VALUE"""),"Es Kopi Lemon")</f>
        <v>Es Kopi Lemon</v>
      </c>
      <c r="H844" s="2"/>
      <c r="I844" s="2"/>
      <c r="J844" s="2">
        <f>IFERROR(__xludf.DUMMYFUNCTION("""COMPUTED_VALUE"""),1.0)</f>
        <v>1</v>
      </c>
      <c r="K844" s="6">
        <f>IFERROR(__xludf.DUMMYFUNCTION("""COMPUTED_VALUE"""),21905.0)</f>
        <v>21905</v>
      </c>
      <c r="L844" s="2">
        <f>IFERROR(__xludf.DUMMYFUNCTION("""COMPUTED_VALUE"""),0.0)</f>
        <v>0</v>
      </c>
      <c r="M844" s="2">
        <f>IFERROR(__xludf.DUMMYFUNCTION("""COMPUTED_VALUE"""),21905.0)</f>
        <v>21905</v>
      </c>
      <c r="N844" s="2">
        <f>IFERROR(__xludf.DUMMYFUNCTION("""COMPUTED_VALUE"""),0.0)</f>
        <v>0</v>
      </c>
      <c r="O844" s="2">
        <f>IFERROR(__xludf.DUMMYFUNCTION("""COMPUTED_VALUE"""),21905.0)</f>
        <v>21905</v>
      </c>
      <c r="P844" s="2">
        <f>IFERROR(__xludf.DUMMYFUNCTION("""COMPUTED_VALUE"""),1096.0)</f>
        <v>1096</v>
      </c>
      <c r="Q844" s="2" t="str">
        <f>IFERROR(__xludf.DUMMYFUNCTION("""COMPUTED_VALUE"""),"Dine In")</f>
        <v>Dine In</v>
      </c>
      <c r="R844" s="2" t="str">
        <f>IFERROR(__xludf.DUMMYFUNCTION("""COMPUTED_VALUE"""),"Kedai")</f>
        <v>Kedai</v>
      </c>
      <c r="S844" s="2" t="str">
        <f>IFERROR(__xludf.DUMMYFUNCTION("""COMPUTED_VALUE"""),"Temu Roti")</f>
        <v>Temu Roti</v>
      </c>
      <c r="T844" s="2" t="str">
        <f>IFERROR(__xludf.DUMMYFUNCTION("""COMPUTED_VALUE"""),"Owner")</f>
        <v>Owner</v>
      </c>
      <c r="U844" s="2"/>
      <c r="V844" s="2"/>
      <c r="W844" s="2"/>
      <c r="X844" s="2" t="str">
        <f>IFERROR(__xludf.DUMMYFUNCTION("""COMPUTED_VALUE"""),"Closed")</f>
        <v>Closed</v>
      </c>
    </row>
    <row r="845">
      <c r="A845" s="3" t="s">
        <v>860</v>
      </c>
      <c r="B845" s="4">
        <f>IFERROR(__xludf.DUMMYFUNCTION("SPLIT(A845,"","",0,0)"),45548.78402777778)</f>
        <v>45548.78403</v>
      </c>
      <c r="C845" s="5">
        <f>IFERROR(__xludf.DUMMYFUNCTION("""COMPUTED_VALUE"""),2684201.0)</f>
        <v>2684201</v>
      </c>
      <c r="D845" s="2" t="str">
        <f>IFERROR(__xludf.DUMMYFUNCTION("""COMPUTED_VALUE"""),"Sale")</f>
        <v>Sale</v>
      </c>
      <c r="E845" s="2" t="str">
        <f>IFERROR(__xludf.DUMMYFUNCTION("""COMPUTED_VALUE"""),"Hidangan Utama")</f>
        <v>Hidangan Utama</v>
      </c>
      <c r="F845" s="2">
        <f>IFERROR(__xludf.DUMMYFUNCTION("""COMPUTED_VALUE"""),10003.0)</f>
        <v>10003</v>
      </c>
      <c r="G845" s="2" t="str">
        <f>IFERROR(__xludf.DUMMYFUNCTION("""COMPUTED_VALUE"""),"Nasi Goreng Temu")</f>
        <v>Nasi Goreng Temu</v>
      </c>
      <c r="H845" s="2"/>
      <c r="I845" s="2"/>
      <c r="J845" s="2">
        <f>IFERROR(__xludf.DUMMYFUNCTION("""COMPUTED_VALUE"""),2.0)</f>
        <v>2</v>
      </c>
      <c r="K845" s="6">
        <f>IFERROR(__xludf.DUMMYFUNCTION("""COMPUTED_VALUE"""),59048.0)</f>
        <v>59048</v>
      </c>
      <c r="L845" s="2">
        <f>IFERROR(__xludf.DUMMYFUNCTION("""COMPUTED_VALUE"""),0.0)</f>
        <v>0</v>
      </c>
      <c r="M845" s="2">
        <f>IFERROR(__xludf.DUMMYFUNCTION("""COMPUTED_VALUE"""),59048.0)</f>
        <v>59048</v>
      </c>
      <c r="N845" s="2">
        <f>IFERROR(__xludf.DUMMYFUNCTION("""COMPUTED_VALUE"""),0.0)</f>
        <v>0</v>
      </c>
      <c r="O845" s="2">
        <f>IFERROR(__xludf.DUMMYFUNCTION("""COMPUTED_VALUE"""),59048.0)</f>
        <v>59048</v>
      </c>
      <c r="P845" s="2">
        <f>IFERROR(__xludf.DUMMYFUNCTION("""COMPUTED_VALUE"""),2952.0)</f>
        <v>2952</v>
      </c>
      <c r="Q845" s="2" t="str">
        <f>IFERROR(__xludf.DUMMYFUNCTION("""COMPUTED_VALUE"""),"Dine In")</f>
        <v>Dine In</v>
      </c>
      <c r="R845" s="2" t="str">
        <f>IFERROR(__xludf.DUMMYFUNCTION("""COMPUTED_VALUE"""),"Kedai")</f>
        <v>Kedai</v>
      </c>
      <c r="S845" s="2" t="str">
        <f>IFERROR(__xludf.DUMMYFUNCTION("""COMPUTED_VALUE"""),"Temu Roti")</f>
        <v>Temu Roti</v>
      </c>
      <c r="T845" s="2" t="str">
        <f>IFERROR(__xludf.DUMMYFUNCTION("""COMPUTED_VALUE"""),"Owner")</f>
        <v>Owner</v>
      </c>
      <c r="U845" s="2"/>
      <c r="V845" s="2"/>
      <c r="W845" s="2"/>
      <c r="X845" s="2" t="str">
        <f>IFERROR(__xludf.DUMMYFUNCTION("""COMPUTED_VALUE"""),"Closed")</f>
        <v>Closed</v>
      </c>
    </row>
    <row r="846">
      <c r="A846" s="3" t="s">
        <v>861</v>
      </c>
      <c r="B846" s="4">
        <f>IFERROR(__xludf.DUMMYFUNCTION("SPLIT(A846,"","",0,0)"),45548.78402777778)</f>
        <v>45548.78403</v>
      </c>
      <c r="C846" s="5">
        <f>IFERROR(__xludf.DUMMYFUNCTION("""COMPUTED_VALUE"""),2684201.0)</f>
        <v>2684201</v>
      </c>
      <c r="D846" s="2" t="str">
        <f>IFERROR(__xludf.DUMMYFUNCTION("""COMPUTED_VALUE"""),"Sale")</f>
        <v>Sale</v>
      </c>
      <c r="E846" s="2" t="str">
        <f>IFERROR(__xludf.DUMMYFUNCTION("""COMPUTED_VALUE"""),"Kudapan")</f>
        <v>Kudapan</v>
      </c>
      <c r="F846" s="2">
        <f>IFERROR(__xludf.DUMMYFUNCTION("""COMPUTED_VALUE"""),10004.0)</f>
        <v>10004</v>
      </c>
      <c r="G846" s="2" t="str">
        <f>IFERROR(__xludf.DUMMYFUNCTION("""COMPUTED_VALUE"""),"Tahu walik")</f>
        <v>Tahu walik</v>
      </c>
      <c r="H846" s="2"/>
      <c r="I846" s="2"/>
      <c r="J846" s="2">
        <f>IFERROR(__xludf.DUMMYFUNCTION("""COMPUTED_VALUE"""),1.0)</f>
        <v>1</v>
      </c>
      <c r="K846" s="6">
        <f>IFERROR(__xludf.DUMMYFUNCTION("""COMPUTED_VALUE"""),25238.0)</f>
        <v>25238</v>
      </c>
      <c r="L846" s="2">
        <f>IFERROR(__xludf.DUMMYFUNCTION("""COMPUTED_VALUE"""),0.0)</f>
        <v>0</v>
      </c>
      <c r="M846" s="2">
        <f>IFERROR(__xludf.DUMMYFUNCTION("""COMPUTED_VALUE"""),25238.0)</f>
        <v>25238</v>
      </c>
      <c r="N846" s="2">
        <f>IFERROR(__xludf.DUMMYFUNCTION("""COMPUTED_VALUE"""),0.0)</f>
        <v>0</v>
      </c>
      <c r="O846" s="2">
        <f>IFERROR(__xludf.DUMMYFUNCTION("""COMPUTED_VALUE"""),25238.0)</f>
        <v>25238</v>
      </c>
      <c r="P846" s="2">
        <f>IFERROR(__xludf.DUMMYFUNCTION("""COMPUTED_VALUE"""),1262.0)</f>
        <v>1262</v>
      </c>
      <c r="Q846" s="2" t="str">
        <f>IFERROR(__xludf.DUMMYFUNCTION("""COMPUTED_VALUE"""),"Dine In")</f>
        <v>Dine In</v>
      </c>
      <c r="R846" s="2" t="str">
        <f>IFERROR(__xludf.DUMMYFUNCTION("""COMPUTED_VALUE"""),"Kedai")</f>
        <v>Kedai</v>
      </c>
      <c r="S846" s="2" t="str">
        <f>IFERROR(__xludf.DUMMYFUNCTION("""COMPUTED_VALUE"""),"Temu Roti")</f>
        <v>Temu Roti</v>
      </c>
      <c r="T846" s="2" t="str">
        <f>IFERROR(__xludf.DUMMYFUNCTION("""COMPUTED_VALUE"""),"Owner")</f>
        <v>Owner</v>
      </c>
      <c r="U846" s="2"/>
      <c r="V846" s="2"/>
      <c r="W846" s="2"/>
      <c r="X846" s="2" t="str">
        <f>IFERROR(__xludf.DUMMYFUNCTION("""COMPUTED_VALUE"""),"Closed")</f>
        <v>Closed</v>
      </c>
    </row>
    <row r="847">
      <c r="A847" s="3" t="s">
        <v>862</v>
      </c>
      <c r="B847" s="4">
        <f>IFERROR(__xludf.DUMMYFUNCTION("SPLIT(A847,"","",0,0)"),45548.78402777778)</f>
        <v>45548.78403</v>
      </c>
      <c r="C847" s="5">
        <f>IFERROR(__xludf.DUMMYFUNCTION("""COMPUTED_VALUE"""),2684201.0)</f>
        <v>2684201</v>
      </c>
      <c r="D847" s="2" t="str">
        <f>IFERROR(__xludf.DUMMYFUNCTION("""COMPUTED_VALUE"""),"Sale")</f>
        <v>Sale</v>
      </c>
      <c r="E847" s="2" t="str">
        <f>IFERROR(__xludf.DUMMYFUNCTION("""COMPUTED_VALUE"""),"Minuman")</f>
        <v>Minuman</v>
      </c>
      <c r="F847" s="2">
        <f>IFERROR(__xludf.DUMMYFUNCTION("""COMPUTED_VALUE"""),10117.0)</f>
        <v>10117</v>
      </c>
      <c r="G847" s="2" t="str">
        <f>IFERROR(__xludf.DUMMYFUNCTION("""COMPUTED_VALUE"""),"Teh Manis Dingin")</f>
        <v>Teh Manis Dingin</v>
      </c>
      <c r="H847" s="2"/>
      <c r="I847" s="2"/>
      <c r="J847" s="2">
        <f>IFERROR(__xludf.DUMMYFUNCTION("""COMPUTED_VALUE"""),1.0)</f>
        <v>1</v>
      </c>
      <c r="K847" s="6">
        <f>IFERROR(__xludf.DUMMYFUNCTION("""COMPUTED_VALUE"""),14286.0)</f>
        <v>14286</v>
      </c>
      <c r="L847" s="2">
        <f>IFERROR(__xludf.DUMMYFUNCTION("""COMPUTED_VALUE"""),0.0)</f>
        <v>0</v>
      </c>
      <c r="M847" s="2">
        <f>IFERROR(__xludf.DUMMYFUNCTION("""COMPUTED_VALUE"""),14286.0)</f>
        <v>14286</v>
      </c>
      <c r="N847" s="2">
        <f>IFERROR(__xludf.DUMMYFUNCTION("""COMPUTED_VALUE"""),0.0)</f>
        <v>0</v>
      </c>
      <c r="O847" s="2">
        <f>IFERROR(__xludf.DUMMYFUNCTION("""COMPUTED_VALUE"""),14286.0)</f>
        <v>14286</v>
      </c>
      <c r="P847" s="2">
        <f>IFERROR(__xludf.DUMMYFUNCTION("""COMPUTED_VALUE"""),714.0)</f>
        <v>714</v>
      </c>
      <c r="Q847" s="2" t="str">
        <f>IFERROR(__xludf.DUMMYFUNCTION("""COMPUTED_VALUE"""),"Dine In")</f>
        <v>Dine In</v>
      </c>
      <c r="R847" s="2" t="str">
        <f>IFERROR(__xludf.DUMMYFUNCTION("""COMPUTED_VALUE"""),"Kedai")</f>
        <v>Kedai</v>
      </c>
      <c r="S847" s="2" t="str">
        <f>IFERROR(__xludf.DUMMYFUNCTION("""COMPUTED_VALUE"""),"Temu Roti")</f>
        <v>Temu Roti</v>
      </c>
      <c r="T847" s="2" t="str">
        <f>IFERROR(__xludf.DUMMYFUNCTION("""COMPUTED_VALUE"""),"Owner")</f>
        <v>Owner</v>
      </c>
      <c r="U847" s="2"/>
      <c r="V847" s="2"/>
      <c r="W847" s="2"/>
      <c r="X847" s="2" t="str">
        <f>IFERROR(__xludf.DUMMYFUNCTION("""COMPUTED_VALUE"""),"Closed")</f>
        <v>Closed</v>
      </c>
    </row>
    <row r="848">
      <c r="A848" s="3" t="s">
        <v>863</v>
      </c>
      <c r="B848" s="4">
        <f>IFERROR(__xludf.DUMMYFUNCTION("SPLIT(A848,"","",0,0)"),45548.78402777778)</f>
        <v>45548.78403</v>
      </c>
      <c r="C848" s="5">
        <f>IFERROR(__xludf.DUMMYFUNCTION("""COMPUTED_VALUE"""),2684201.0)</f>
        <v>2684201</v>
      </c>
      <c r="D848" s="2" t="str">
        <f>IFERROR(__xludf.DUMMYFUNCTION("""COMPUTED_VALUE"""),"Sale")</f>
        <v>Sale</v>
      </c>
      <c r="E848" s="2" t="str">
        <f>IFERROR(__xludf.DUMMYFUNCTION("""COMPUTED_VALUE"""),"Minuman")</f>
        <v>Minuman</v>
      </c>
      <c r="F848" s="2">
        <f>IFERROR(__xludf.DUMMYFUNCTION("""COMPUTED_VALUE"""),10107.0)</f>
        <v>10107</v>
      </c>
      <c r="G848" s="2" t="str">
        <f>IFERROR(__xludf.DUMMYFUNCTION("""COMPUTED_VALUE"""),"Korean Mango Fresh Milk")</f>
        <v>Korean Mango Fresh Milk</v>
      </c>
      <c r="H848" s="2"/>
      <c r="I848" s="2"/>
      <c r="J848" s="2">
        <f>IFERROR(__xludf.DUMMYFUNCTION("""COMPUTED_VALUE"""),1.0)</f>
        <v>1</v>
      </c>
      <c r="K848" s="6">
        <f>IFERROR(__xludf.DUMMYFUNCTION("""COMPUTED_VALUE"""),26667.0)</f>
        <v>26667</v>
      </c>
      <c r="L848" s="2">
        <f>IFERROR(__xludf.DUMMYFUNCTION("""COMPUTED_VALUE"""),0.0)</f>
        <v>0</v>
      </c>
      <c r="M848" s="2">
        <f>IFERROR(__xludf.DUMMYFUNCTION("""COMPUTED_VALUE"""),26667.0)</f>
        <v>26667</v>
      </c>
      <c r="N848" s="2">
        <f>IFERROR(__xludf.DUMMYFUNCTION("""COMPUTED_VALUE"""),0.0)</f>
        <v>0</v>
      </c>
      <c r="O848" s="2">
        <f>IFERROR(__xludf.DUMMYFUNCTION("""COMPUTED_VALUE"""),26667.0)</f>
        <v>26667</v>
      </c>
      <c r="P848" s="2">
        <f>IFERROR(__xludf.DUMMYFUNCTION("""COMPUTED_VALUE"""),1334.0)</f>
        <v>1334</v>
      </c>
      <c r="Q848" s="2" t="str">
        <f>IFERROR(__xludf.DUMMYFUNCTION("""COMPUTED_VALUE"""),"Dine In")</f>
        <v>Dine In</v>
      </c>
      <c r="R848" s="2" t="str">
        <f>IFERROR(__xludf.DUMMYFUNCTION("""COMPUTED_VALUE"""),"Kedai")</f>
        <v>Kedai</v>
      </c>
      <c r="S848" s="2" t="str">
        <f>IFERROR(__xludf.DUMMYFUNCTION("""COMPUTED_VALUE"""),"Temu Roti")</f>
        <v>Temu Roti</v>
      </c>
      <c r="T848" s="2" t="str">
        <f>IFERROR(__xludf.DUMMYFUNCTION("""COMPUTED_VALUE"""),"Owner")</f>
        <v>Owner</v>
      </c>
      <c r="U848" s="2"/>
      <c r="V848" s="2"/>
      <c r="W848" s="2"/>
      <c r="X848" s="2" t="str">
        <f>IFERROR(__xludf.DUMMYFUNCTION("""COMPUTED_VALUE"""),"Closed")</f>
        <v>Closed</v>
      </c>
    </row>
    <row r="849">
      <c r="A849" s="3" t="s">
        <v>864</v>
      </c>
      <c r="B849" s="4">
        <f>IFERROR(__xludf.DUMMYFUNCTION("SPLIT(A849,"","",0,0)"),45548.77916666667)</f>
        <v>45548.77917</v>
      </c>
      <c r="C849" s="5">
        <f>IFERROR(__xludf.DUMMYFUNCTION("""COMPUTED_VALUE"""),2683835.0)</f>
        <v>2683835</v>
      </c>
      <c r="D849" s="2" t="str">
        <f>IFERROR(__xludf.DUMMYFUNCTION("""COMPUTED_VALUE"""),"Sale")</f>
        <v>Sale</v>
      </c>
      <c r="E849" s="2" t="str">
        <f>IFERROR(__xludf.DUMMYFUNCTION("""COMPUTED_VALUE"""),"Roti")</f>
        <v>Roti</v>
      </c>
      <c r="F849" s="2">
        <f>IFERROR(__xludf.DUMMYFUNCTION("""COMPUTED_VALUE"""),10005.0)</f>
        <v>10005</v>
      </c>
      <c r="G849" s="2" t="str">
        <f>IFERROR(__xludf.DUMMYFUNCTION("""COMPUTED_VALUE"""),"Roti Gandum Cokelat")</f>
        <v>Roti Gandum Cokelat</v>
      </c>
      <c r="H849" s="2"/>
      <c r="I849" s="2"/>
      <c r="J849" s="2">
        <f>IFERROR(__xludf.DUMMYFUNCTION("""COMPUTED_VALUE"""),1.0)</f>
        <v>1</v>
      </c>
      <c r="K849" s="6">
        <f>IFERROR(__xludf.DUMMYFUNCTION("""COMPUTED_VALUE"""),19524.0)</f>
        <v>19524</v>
      </c>
      <c r="L849" s="2">
        <f>IFERROR(__xludf.DUMMYFUNCTION("""COMPUTED_VALUE"""),0.0)</f>
        <v>0</v>
      </c>
      <c r="M849" s="2">
        <f>IFERROR(__xludf.DUMMYFUNCTION("""COMPUTED_VALUE"""),19524.0)</f>
        <v>19524</v>
      </c>
      <c r="N849" s="2">
        <f>IFERROR(__xludf.DUMMYFUNCTION("""COMPUTED_VALUE"""),0.0)</f>
        <v>0</v>
      </c>
      <c r="O849" s="2">
        <f>IFERROR(__xludf.DUMMYFUNCTION("""COMPUTED_VALUE"""),19524.0)</f>
        <v>19524</v>
      </c>
      <c r="P849" s="2">
        <f>IFERROR(__xludf.DUMMYFUNCTION("""COMPUTED_VALUE"""),976.0)</f>
        <v>976</v>
      </c>
      <c r="Q849" s="2" t="str">
        <f>IFERROR(__xludf.DUMMYFUNCTION("""COMPUTED_VALUE"""),"Dine In")</f>
        <v>Dine In</v>
      </c>
      <c r="R849" s="2" t="str">
        <f>IFERROR(__xludf.DUMMYFUNCTION("""COMPUTED_VALUE"""),"Kedai")</f>
        <v>Kedai</v>
      </c>
      <c r="S849" s="2" t="str">
        <f>IFERROR(__xludf.DUMMYFUNCTION("""COMPUTED_VALUE"""),"Temu Roti")</f>
        <v>Temu Roti</v>
      </c>
      <c r="T849" s="2" t="str">
        <f>IFERROR(__xludf.DUMMYFUNCTION("""COMPUTED_VALUE"""),"Owner")</f>
        <v>Owner</v>
      </c>
      <c r="U849" s="2"/>
      <c r="V849" s="2"/>
      <c r="W849" s="2"/>
      <c r="X849" s="2" t="str">
        <f>IFERROR(__xludf.DUMMYFUNCTION("""COMPUTED_VALUE"""),"Closed")</f>
        <v>Closed</v>
      </c>
    </row>
    <row r="850">
      <c r="A850" s="3" t="s">
        <v>865</v>
      </c>
      <c r="B850" s="4">
        <f>IFERROR(__xludf.DUMMYFUNCTION("SPLIT(A850,"","",0,0)"),45548.77916666667)</f>
        <v>45548.77917</v>
      </c>
      <c r="C850" s="5">
        <f>IFERROR(__xludf.DUMMYFUNCTION("""COMPUTED_VALUE"""),2683835.0)</f>
        <v>2683835</v>
      </c>
      <c r="D850" s="2" t="str">
        <f>IFERROR(__xludf.DUMMYFUNCTION("""COMPUTED_VALUE"""),"Sale")</f>
        <v>Sale</v>
      </c>
      <c r="E850" s="2" t="str">
        <f>IFERROR(__xludf.DUMMYFUNCTION("""COMPUTED_VALUE"""),"Minuman")</f>
        <v>Minuman</v>
      </c>
      <c r="F850" s="2">
        <f>IFERROR(__xludf.DUMMYFUNCTION("""COMPUTED_VALUE"""),10122.0)</f>
        <v>10122</v>
      </c>
      <c r="G850" s="2" t="str">
        <f>IFERROR(__xludf.DUMMYFUNCTION("""COMPUTED_VALUE"""),"Rempah Madu Panas")</f>
        <v>Rempah Madu Panas</v>
      </c>
      <c r="H850" s="2"/>
      <c r="I850" s="2"/>
      <c r="J850" s="2">
        <f>IFERROR(__xludf.DUMMYFUNCTION("""COMPUTED_VALUE"""),2.0)</f>
        <v>2</v>
      </c>
      <c r="K850" s="6">
        <f>IFERROR(__xludf.DUMMYFUNCTION("""COMPUTED_VALUE"""),43810.0)</f>
        <v>43810</v>
      </c>
      <c r="L850" s="2">
        <f>IFERROR(__xludf.DUMMYFUNCTION("""COMPUTED_VALUE"""),0.0)</f>
        <v>0</v>
      </c>
      <c r="M850" s="2">
        <f>IFERROR(__xludf.DUMMYFUNCTION("""COMPUTED_VALUE"""),43810.0)</f>
        <v>43810</v>
      </c>
      <c r="N850" s="2">
        <f>IFERROR(__xludf.DUMMYFUNCTION("""COMPUTED_VALUE"""),0.0)</f>
        <v>0</v>
      </c>
      <c r="O850" s="2">
        <f>IFERROR(__xludf.DUMMYFUNCTION("""COMPUTED_VALUE"""),43810.0)</f>
        <v>43810</v>
      </c>
      <c r="P850" s="2">
        <f>IFERROR(__xludf.DUMMYFUNCTION("""COMPUTED_VALUE"""),2191.0)</f>
        <v>2191</v>
      </c>
      <c r="Q850" s="2" t="str">
        <f>IFERROR(__xludf.DUMMYFUNCTION("""COMPUTED_VALUE"""),"Dine In")</f>
        <v>Dine In</v>
      </c>
      <c r="R850" s="2" t="str">
        <f>IFERROR(__xludf.DUMMYFUNCTION("""COMPUTED_VALUE"""),"Kedai")</f>
        <v>Kedai</v>
      </c>
      <c r="S850" s="2" t="str">
        <f>IFERROR(__xludf.DUMMYFUNCTION("""COMPUTED_VALUE"""),"Temu Roti")</f>
        <v>Temu Roti</v>
      </c>
      <c r="T850" s="2" t="str">
        <f>IFERROR(__xludf.DUMMYFUNCTION("""COMPUTED_VALUE"""),"Owner")</f>
        <v>Owner</v>
      </c>
      <c r="U850" s="2"/>
      <c r="V850" s="2"/>
      <c r="W850" s="2"/>
      <c r="X850" s="2" t="str">
        <f>IFERROR(__xludf.DUMMYFUNCTION("""COMPUTED_VALUE"""),"Closed")</f>
        <v>Closed</v>
      </c>
    </row>
    <row r="851">
      <c r="A851" s="3" t="s">
        <v>866</v>
      </c>
      <c r="B851" s="4">
        <f>IFERROR(__xludf.DUMMYFUNCTION("SPLIT(A851,"","",0,0)"),45548.77916666667)</f>
        <v>45548.77917</v>
      </c>
      <c r="C851" s="5">
        <f>IFERROR(__xludf.DUMMYFUNCTION("""COMPUTED_VALUE"""),2683470.0)</f>
        <v>2683470</v>
      </c>
      <c r="D851" s="2" t="str">
        <f>IFERROR(__xludf.DUMMYFUNCTION("""COMPUTED_VALUE"""),"Refund")</f>
        <v>Refund</v>
      </c>
      <c r="E851" s="2" t="str">
        <f>IFERROR(__xludf.DUMMYFUNCTION("""COMPUTED_VALUE"""),"Roti")</f>
        <v>Roti</v>
      </c>
      <c r="F851" s="2">
        <f>IFERROR(__xludf.DUMMYFUNCTION("""COMPUTED_VALUE"""),10034.0)</f>
        <v>10034</v>
      </c>
      <c r="G851" s="2" t="str">
        <f>IFERROR(__xludf.DUMMYFUNCTION("""COMPUTED_VALUE"""),"Roti panggang coklat")</f>
        <v>Roti panggang coklat</v>
      </c>
      <c r="H851" s="2"/>
      <c r="I851" s="2"/>
      <c r="J851" s="2">
        <f>IFERROR(__xludf.DUMMYFUNCTION("""COMPUTED_VALUE"""),-1.0)</f>
        <v>-1</v>
      </c>
      <c r="K851" s="6">
        <f>IFERROR(__xludf.DUMMYFUNCTION("""COMPUTED_VALUE"""),-21905.0)</f>
        <v>-21905</v>
      </c>
      <c r="L851" s="2">
        <f>IFERROR(__xludf.DUMMYFUNCTION("""COMPUTED_VALUE"""),0.0)</f>
        <v>0</v>
      </c>
      <c r="M851" s="2">
        <f>IFERROR(__xludf.DUMMYFUNCTION("""COMPUTED_VALUE"""),-21905.0)</f>
        <v>-21905</v>
      </c>
      <c r="N851" s="2">
        <f>IFERROR(__xludf.DUMMYFUNCTION("""COMPUTED_VALUE"""),0.0)</f>
        <v>0</v>
      </c>
      <c r="O851" s="2">
        <f>IFERROR(__xludf.DUMMYFUNCTION("""COMPUTED_VALUE"""),-21905.0)</f>
        <v>-21905</v>
      </c>
      <c r="P851" s="2">
        <f>IFERROR(__xludf.DUMMYFUNCTION("""COMPUTED_VALUE"""),-1095.0)</f>
        <v>-1095</v>
      </c>
      <c r="Q851" s="2" t="str">
        <f>IFERROR(__xludf.DUMMYFUNCTION("""COMPUTED_VALUE"""),"Dine In")</f>
        <v>Dine In</v>
      </c>
      <c r="R851" s="2" t="str">
        <f>IFERROR(__xludf.DUMMYFUNCTION("""COMPUTED_VALUE"""),"Kedai")</f>
        <v>Kedai</v>
      </c>
      <c r="S851" s="2" t="str">
        <f>IFERROR(__xludf.DUMMYFUNCTION("""COMPUTED_VALUE"""),"Temu Roti")</f>
        <v>Temu Roti</v>
      </c>
      <c r="T851" s="2" t="str">
        <f>IFERROR(__xludf.DUMMYFUNCTION("""COMPUTED_VALUE"""),"Owner")</f>
        <v>Owner</v>
      </c>
      <c r="U851" s="2"/>
      <c r="V851" s="2"/>
      <c r="W851" s="2"/>
      <c r="X851" s="2" t="str">
        <f>IFERROR(__xludf.DUMMYFUNCTION("""COMPUTED_VALUE"""),"Closed")</f>
        <v>Closed</v>
      </c>
    </row>
    <row r="852">
      <c r="A852" s="3" t="s">
        <v>867</v>
      </c>
      <c r="B852" s="4">
        <f>IFERROR(__xludf.DUMMYFUNCTION("SPLIT(A852,"","",0,0)"),45548.77847222222)</f>
        <v>45548.77847</v>
      </c>
      <c r="C852" s="5">
        <f>IFERROR(__xludf.DUMMYFUNCTION("""COMPUTED_VALUE"""),2683105.0)</f>
        <v>2683105</v>
      </c>
      <c r="D852" s="2" t="str">
        <f>IFERROR(__xludf.DUMMYFUNCTION("""COMPUTED_VALUE"""),"Sale")</f>
        <v>Sale</v>
      </c>
      <c r="E852" s="2" t="str">
        <f>IFERROR(__xludf.DUMMYFUNCTION("""COMPUTED_VALUE"""),"Minuman")</f>
        <v>Minuman</v>
      </c>
      <c r="F852" s="2">
        <f>IFERROR(__xludf.DUMMYFUNCTION("""COMPUTED_VALUE"""),10122.0)</f>
        <v>10122</v>
      </c>
      <c r="G852" s="2" t="str">
        <f>IFERROR(__xludf.DUMMYFUNCTION("""COMPUTED_VALUE"""),"Rempah Madu Panas")</f>
        <v>Rempah Madu Panas</v>
      </c>
      <c r="H852" s="2"/>
      <c r="I852" s="2"/>
      <c r="J852" s="2">
        <f>IFERROR(__xludf.DUMMYFUNCTION("""COMPUTED_VALUE"""),2.0)</f>
        <v>2</v>
      </c>
      <c r="K852" s="6">
        <f>IFERROR(__xludf.DUMMYFUNCTION("""COMPUTED_VALUE"""),43810.0)</f>
        <v>43810</v>
      </c>
      <c r="L852" s="2">
        <f>IFERROR(__xludf.DUMMYFUNCTION("""COMPUTED_VALUE"""),0.0)</f>
        <v>0</v>
      </c>
      <c r="M852" s="2">
        <f>IFERROR(__xludf.DUMMYFUNCTION("""COMPUTED_VALUE"""),43810.0)</f>
        <v>43810</v>
      </c>
      <c r="N852" s="2">
        <f>IFERROR(__xludf.DUMMYFUNCTION("""COMPUTED_VALUE"""),0.0)</f>
        <v>0</v>
      </c>
      <c r="O852" s="2">
        <f>IFERROR(__xludf.DUMMYFUNCTION("""COMPUTED_VALUE"""),43810.0)</f>
        <v>43810</v>
      </c>
      <c r="P852" s="2">
        <f>IFERROR(__xludf.DUMMYFUNCTION("""COMPUTED_VALUE"""),2191.0)</f>
        <v>2191</v>
      </c>
      <c r="Q852" s="2" t="str">
        <f>IFERROR(__xludf.DUMMYFUNCTION("""COMPUTED_VALUE"""),"Dine In")</f>
        <v>Dine In</v>
      </c>
      <c r="R852" s="2" t="str">
        <f>IFERROR(__xludf.DUMMYFUNCTION("""COMPUTED_VALUE"""),"Kedai")</f>
        <v>Kedai</v>
      </c>
      <c r="S852" s="2" t="str">
        <f>IFERROR(__xludf.DUMMYFUNCTION("""COMPUTED_VALUE"""),"Temu Roti")</f>
        <v>Temu Roti</v>
      </c>
      <c r="T852" s="2" t="str">
        <f>IFERROR(__xludf.DUMMYFUNCTION("""COMPUTED_VALUE"""),"Owner")</f>
        <v>Owner</v>
      </c>
      <c r="U852" s="2"/>
      <c r="V852" s="2"/>
      <c r="W852" s="2"/>
      <c r="X852" s="2" t="str">
        <f>IFERROR(__xludf.DUMMYFUNCTION("""COMPUTED_VALUE"""),"Closed")</f>
        <v>Closed</v>
      </c>
    </row>
    <row r="853">
      <c r="A853" s="3" t="s">
        <v>868</v>
      </c>
      <c r="B853" s="4">
        <f>IFERROR(__xludf.DUMMYFUNCTION("SPLIT(A853,"","",0,0)"),45548.77847222222)</f>
        <v>45548.77847</v>
      </c>
      <c r="C853" s="5">
        <f>IFERROR(__xludf.DUMMYFUNCTION("""COMPUTED_VALUE"""),2683105.0)</f>
        <v>2683105</v>
      </c>
      <c r="D853" s="2" t="str">
        <f>IFERROR(__xludf.DUMMYFUNCTION("""COMPUTED_VALUE"""),"Sale")</f>
        <v>Sale</v>
      </c>
      <c r="E853" s="2" t="str">
        <f>IFERROR(__xludf.DUMMYFUNCTION("""COMPUTED_VALUE"""),"Roti")</f>
        <v>Roti</v>
      </c>
      <c r="F853" s="2">
        <f>IFERROR(__xludf.DUMMYFUNCTION("""COMPUTED_VALUE"""),10034.0)</f>
        <v>10034</v>
      </c>
      <c r="G853" s="2" t="str">
        <f>IFERROR(__xludf.DUMMYFUNCTION("""COMPUTED_VALUE"""),"Roti panggang coklat")</f>
        <v>Roti panggang coklat</v>
      </c>
      <c r="H853" s="2"/>
      <c r="I853" s="2"/>
      <c r="J853" s="2">
        <f>IFERROR(__xludf.DUMMYFUNCTION("""COMPUTED_VALUE"""),1.0)</f>
        <v>1</v>
      </c>
      <c r="K853" s="6">
        <f>IFERROR(__xludf.DUMMYFUNCTION("""COMPUTED_VALUE"""),21905.0)</f>
        <v>21905</v>
      </c>
      <c r="L853" s="2">
        <f>IFERROR(__xludf.DUMMYFUNCTION("""COMPUTED_VALUE"""),0.0)</f>
        <v>0</v>
      </c>
      <c r="M853" s="2">
        <f>IFERROR(__xludf.DUMMYFUNCTION("""COMPUTED_VALUE"""),21905.0)</f>
        <v>21905</v>
      </c>
      <c r="N853" s="2">
        <f>IFERROR(__xludf.DUMMYFUNCTION("""COMPUTED_VALUE"""),0.0)</f>
        <v>0</v>
      </c>
      <c r="O853" s="2">
        <f>IFERROR(__xludf.DUMMYFUNCTION("""COMPUTED_VALUE"""),21905.0)</f>
        <v>21905</v>
      </c>
      <c r="P853" s="2">
        <f>IFERROR(__xludf.DUMMYFUNCTION("""COMPUTED_VALUE"""),1095.0)</f>
        <v>1095</v>
      </c>
      <c r="Q853" s="2" t="str">
        <f>IFERROR(__xludf.DUMMYFUNCTION("""COMPUTED_VALUE"""),"Dine In")</f>
        <v>Dine In</v>
      </c>
      <c r="R853" s="2" t="str">
        <f>IFERROR(__xludf.DUMMYFUNCTION("""COMPUTED_VALUE"""),"Kedai")</f>
        <v>Kedai</v>
      </c>
      <c r="S853" s="2" t="str">
        <f>IFERROR(__xludf.DUMMYFUNCTION("""COMPUTED_VALUE"""),"Temu Roti")</f>
        <v>Temu Roti</v>
      </c>
      <c r="T853" s="2" t="str">
        <f>IFERROR(__xludf.DUMMYFUNCTION("""COMPUTED_VALUE"""),"Owner")</f>
        <v>Owner</v>
      </c>
      <c r="U853" s="2"/>
      <c r="V853" s="2"/>
      <c r="W853" s="2"/>
      <c r="X853" s="2" t="str">
        <f>IFERROR(__xludf.DUMMYFUNCTION("""COMPUTED_VALUE"""),"Closed")</f>
        <v>Closed</v>
      </c>
    </row>
    <row r="854">
      <c r="A854" s="3" t="s">
        <v>869</v>
      </c>
      <c r="B854" s="4">
        <f>IFERROR(__xludf.DUMMYFUNCTION("SPLIT(A854,"","",0,0)"),45548.775)</f>
        <v>45548.775</v>
      </c>
      <c r="C854" s="5">
        <f>IFERROR(__xludf.DUMMYFUNCTION("""COMPUTED_VALUE"""),2682740.0)</f>
        <v>2682740</v>
      </c>
      <c r="D854" s="2" t="str">
        <f>IFERROR(__xludf.DUMMYFUNCTION("""COMPUTED_VALUE"""),"Sale")</f>
        <v>Sale</v>
      </c>
      <c r="E854" s="2" t="str">
        <f>IFERROR(__xludf.DUMMYFUNCTION("""COMPUTED_VALUE"""),"Roti")</f>
        <v>Roti</v>
      </c>
      <c r="F854" s="2">
        <f>IFERROR(__xludf.DUMMYFUNCTION("""COMPUTED_VALUE"""),10005.0)</f>
        <v>10005</v>
      </c>
      <c r="G854" s="2" t="str">
        <f>IFERROR(__xludf.DUMMYFUNCTION("""COMPUTED_VALUE"""),"Roti Gandum Cokelat")</f>
        <v>Roti Gandum Cokelat</v>
      </c>
      <c r="H854" s="2"/>
      <c r="I854" s="2"/>
      <c r="J854" s="2">
        <f>IFERROR(__xludf.DUMMYFUNCTION("""COMPUTED_VALUE"""),1.0)</f>
        <v>1</v>
      </c>
      <c r="K854" s="6">
        <f>IFERROR(__xludf.DUMMYFUNCTION("""COMPUTED_VALUE"""),19524.0)</f>
        <v>19524</v>
      </c>
      <c r="L854" s="2">
        <f>IFERROR(__xludf.DUMMYFUNCTION("""COMPUTED_VALUE"""),0.0)</f>
        <v>0</v>
      </c>
      <c r="M854" s="2">
        <f>IFERROR(__xludf.DUMMYFUNCTION("""COMPUTED_VALUE"""),19524.0)</f>
        <v>19524</v>
      </c>
      <c r="N854" s="2">
        <f>IFERROR(__xludf.DUMMYFUNCTION("""COMPUTED_VALUE"""),0.0)</f>
        <v>0</v>
      </c>
      <c r="O854" s="2">
        <f>IFERROR(__xludf.DUMMYFUNCTION("""COMPUTED_VALUE"""),19524.0)</f>
        <v>19524</v>
      </c>
      <c r="P854" s="2">
        <f>IFERROR(__xludf.DUMMYFUNCTION("""COMPUTED_VALUE"""),976.0)</f>
        <v>976</v>
      </c>
      <c r="Q854" s="2" t="str">
        <f>IFERROR(__xludf.DUMMYFUNCTION("""COMPUTED_VALUE"""),"Dine In")</f>
        <v>Dine In</v>
      </c>
      <c r="R854" s="2" t="str">
        <f>IFERROR(__xludf.DUMMYFUNCTION("""COMPUTED_VALUE"""),"Kedai")</f>
        <v>Kedai</v>
      </c>
      <c r="S854" s="2" t="str">
        <f>IFERROR(__xludf.DUMMYFUNCTION("""COMPUTED_VALUE"""),"Temu Roti")</f>
        <v>Temu Roti</v>
      </c>
      <c r="T854" s="2" t="str">
        <f>IFERROR(__xludf.DUMMYFUNCTION("""COMPUTED_VALUE"""),"Owner")</f>
        <v>Owner</v>
      </c>
      <c r="U854" s="2"/>
      <c r="V854" s="2"/>
      <c r="W854" s="2"/>
      <c r="X854" s="2" t="str">
        <f>IFERROR(__xludf.DUMMYFUNCTION("""COMPUTED_VALUE"""),"Closed")</f>
        <v>Closed</v>
      </c>
    </row>
    <row r="855">
      <c r="A855" s="3" t="s">
        <v>870</v>
      </c>
      <c r="B855" s="4">
        <f>IFERROR(__xludf.DUMMYFUNCTION("SPLIT(A855,"","",0,0)"),45548.75902777778)</f>
        <v>45548.75903</v>
      </c>
      <c r="C855" s="5">
        <f>IFERROR(__xludf.DUMMYFUNCTION("""COMPUTED_VALUE"""),2682374.0)</f>
        <v>2682374</v>
      </c>
      <c r="D855" s="2" t="str">
        <f>IFERROR(__xludf.DUMMYFUNCTION("""COMPUTED_VALUE"""),"Sale")</f>
        <v>Sale</v>
      </c>
      <c r="E855" s="2" t="str">
        <f>IFERROR(__xludf.DUMMYFUNCTION("""COMPUTED_VALUE"""),"Roti")</f>
        <v>Roti</v>
      </c>
      <c r="F855" s="2">
        <f>IFERROR(__xludf.DUMMYFUNCTION("""COMPUTED_VALUE"""),10000.0)</f>
        <v>10000</v>
      </c>
      <c r="G855" s="2" t="str">
        <f>IFERROR(__xludf.DUMMYFUNCTION("""COMPUTED_VALUE"""),"Roti Bawang Saus Keju")</f>
        <v>Roti Bawang Saus Keju</v>
      </c>
      <c r="H855" s="2"/>
      <c r="I855" s="2"/>
      <c r="J855" s="2">
        <f>IFERROR(__xludf.DUMMYFUNCTION("""COMPUTED_VALUE"""),1.0)</f>
        <v>1</v>
      </c>
      <c r="K855" s="6">
        <f>IFERROR(__xludf.DUMMYFUNCTION("""COMPUTED_VALUE"""),29524.0)</f>
        <v>29524</v>
      </c>
      <c r="L855" s="2">
        <f>IFERROR(__xludf.DUMMYFUNCTION("""COMPUTED_VALUE"""),0.0)</f>
        <v>0</v>
      </c>
      <c r="M855" s="2">
        <f>IFERROR(__xludf.DUMMYFUNCTION("""COMPUTED_VALUE"""),29524.0)</f>
        <v>29524</v>
      </c>
      <c r="N855" s="2">
        <f>IFERROR(__xludf.DUMMYFUNCTION("""COMPUTED_VALUE"""),0.0)</f>
        <v>0</v>
      </c>
      <c r="O855" s="2">
        <f>IFERROR(__xludf.DUMMYFUNCTION("""COMPUTED_VALUE"""),29524.0)</f>
        <v>29524</v>
      </c>
      <c r="P855" s="2">
        <f>IFERROR(__xludf.DUMMYFUNCTION("""COMPUTED_VALUE"""),1476.0)</f>
        <v>1476</v>
      </c>
      <c r="Q855" s="2" t="str">
        <f>IFERROR(__xludf.DUMMYFUNCTION("""COMPUTED_VALUE"""),"Dine In")</f>
        <v>Dine In</v>
      </c>
      <c r="R855" s="2" t="str">
        <f>IFERROR(__xludf.DUMMYFUNCTION("""COMPUTED_VALUE"""),"Kedai")</f>
        <v>Kedai</v>
      </c>
      <c r="S855" s="2" t="str">
        <f>IFERROR(__xludf.DUMMYFUNCTION("""COMPUTED_VALUE"""),"Temu Roti")</f>
        <v>Temu Roti</v>
      </c>
      <c r="T855" s="2" t="str">
        <f>IFERROR(__xludf.DUMMYFUNCTION("""COMPUTED_VALUE"""),"Owner")</f>
        <v>Owner</v>
      </c>
      <c r="U855" s="2"/>
      <c r="V855" s="2"/>
      <c r="W855" s="2"/>
      <c r="X855" s="2" t="str">
        <f>IFERROR(__xludf.DUMMYFUNCTION("""COMPUTED_VALUE"""),"Closed")</f>
        <v>Closed</v>
      </c>
    </row>
    <row r="856">
      <c r="A856" s="3" t="s">
        <v>871</v>
      </c>
      <c r="B856" s="4">
        <f>IFERROR(__xludf.DUMMYFUNCTION("SPLIT(A856,"","",0,0)"),45548.722916666666)</f>
        <v>45548.72292</v>
      </c>
      <c r="C856" s="5">
        <f>IFERROR(__xludf.DUMMYFUNCTION("""COMPUTED_VALUE"""),2682009.0)</f>
        <v>2682009</v>
      </c>
      <c r="D856" s="2" t="str">
        <f>IFERROR(__xludf.DUMMYFUNCTION("""COMPUTED_VALUE"""),"Sale")</f>
        <v>Sale</v>
      </c>
      <c r="E856" s="2" t="str">
        <f>IFERROR(__xludf.DUMMYFUNCTION("""COMPUTED_VALUE"""),"Roti")</f>
        <v>Roti</v>
      </c>
      <c r="F856" s="2">
        <f>IFERROR(__xludf.DUMMYFUNCTION("""COMPUTED_VALUE"""),10000.0)</f>
        <v>10000</v>
      </c>
      <c r="G856" s="2" t="str">
        <f>IFERROR(__xludf.DUMMYFUNCTION("""COMPUTED_VALUE"""),"Roti Bawang Saus Keju")</f>
        <v>Roti Bawang Saus Keju</v>
      </c>
      <c r="H856" s="2"/>
      <c r="I856" s="2"/>
      <c r="J856" s="2">
        <f>IFERROR(__xludf.DUMMYFUNCTION("""COMPUTED_VALUE"""),1.0)</f>
        <v>1</v>
      </c>
      <c r="K856" s="6">
        <f>IFERROR(__xludf.DUMMYFUNCTION("""COMPUTED_VALUE"""),29524.0)</f>
        <v>29524</v>
      </c>
      <c r="L856" s="2">
        <f>IFERROR(__xludf.DUMMYFUNCTION("""COMPUTED_VALUE"""),0.0)</f>
        <v>0</v>
      </c>
      <c r="M856" s="2">
        <f>IFERROR(__xludf.DUMMYFUNCTION("""COMPUTED_VALUE"""),29524.0)</f>
        <v>29524</v>
      </c>
      <c r="N856" s="2">
        <f>IFERROR(__xludf.DUMMYFUNCTION("""COMPUTED_VALUE"""),0.0)</f>
        <v>0</v>
      </c>
      <c r="O856" s="2">
        <f>IFERROR(__xludf.DUMMYFUNCTION("""COMPUTED_VALUE"""),29524.0)</f>
        <v>29524</v>
      </c>
      <c r="P856" s="2">
        <f>IFERROR(__xludf.DUMMYFUNCTION("""COMPUTED_VALUE"""),1476.0)</f>
        <v>1476</v>
      </c>
      <c r="Q856" s="2" t="str">
        <f>IFERROR(__xludf.DUMMYFUNCTION("""COMPUTED_VALUE"""),"Dine In")</f>
        <v>Dine In</v>
      </c>
      <c r="R856" s="2" t="str">
        <f>IFERROR(__xludf.DUMMYFUNCTION("""COMPUTED_VALUE"""),"Kedai")</f>
        <v>Kedai</v>
      </c>
      <c r="S856" s="2" t="str">
        <f>IFERROR(__xludf.DUMMYFUNCTION("""COMPUTED_VALUE"""),"Temu Roti")</f>
        <v>Temu Roti</v>
      </c>
      <c r="T856" s="2" t="str">
        <f>IFERROR(__xludf.DUMMYFUNCTION("""COMPUTED_VALUE"""),"Owner")</f>
        <v>Owner</v>
      </c>
      <c r="U856" s="2"/>
      <c r="V856" s="2"/>
      <c r="W856" s="2"/>
      <c r="X856" s="2" t="str">
        <f>IFERROR(__xludf.DUMMYFUNCTION("""COMPUTED_VALUE"""),"Closed")</f>
        <v>Closed</v>
      </c>
    </row>
    <row r="857">
      <c r="A857" s="3" t="s">
        <v>872</v>
      </c>
      <c r="B857" s="4">
        <f>IFERROR(__xludf.DUMMYFUNCTION("SPLIT(A857,"","",0,0)"),45548.71527777778)</f>
        <v>45548.71528</v>
      </c>
      <c r="C857" s="5">
        <f>IFERROR(__xludf.DUMMYFUNCTION("""COMPUTED_VALUE"""),2681644.0)</f>
        <v>2681644</v>
      </c>
      <c r="D857" s="2" t="str">
        <f>IFERROR(__xludf.DUMMYFUNCTION("""COMPUTED_VALUE"""),"Sale")</f>
        <v>Sale</v>
      </c>
      <c r="E857" s="2" t="str">
        <f>IFERROR(__xludf.DUMMYFUNCTION("""COMPUTED_VALUE"""),"Roti")</f>
        <v>Roti</v>
      </c>
      <c r="F857" s="2">
        <f>IFERROR(__xludf.DUMMYFUNCTION("""COMPUTED_VALUE"""),10033.0)</f>
        <v>10033</v>
      </c>
      <c r="G857" s="2" t="str">
        <f>IFERROR(__xludf.DUMMYFUNCTION("""COMPUTED_VALUE"""),"Roti panggang sarikaya")</f>
        <v>Roti panggang sarikaya</v>
      </c>
      <c r="H857" s="2"/>
      <c r="I857" s="2"/>
      <c r="J857" s="2">
        <f>IFERROR(__xludf.DUMMYFUNCTION("""COMPUTED_VALUE"""),1.0)</f>
        <v>1</v>
      </c>
      <c r="K857" s="6">
        <f>IFERROR(__xludf.DUMMYFUNCTION("""COMPUTED_VALUE"""),21905.0)</f>
        <v>21905</v>
      </c>
      <c r="L857" s="2">
        <f>IFERROR(__xludf.DUMMYFUNCTION("""COMPUTED_VALUE"""),0.0)</f>
        <v>0</v>
      </c>
      <c r="M857" s="2">
        <f>IFERROR(__xludf.DUMMYFUNCTION("""COMPUTED_VALUE"""),21905.0)</f>
        <v>21905</v>
      </c>
      <c r="N857" s="2">
        <f>IFERROR(__xludf.DUMMYFUNCTION("""COMPUTED_VALUE"""),0.0)</f>
        <v>0</v>
      </c>
      <c r="O857" s="2">
        <f>IFERROR(__xludf.DUMMYFUNCTION("""COMPUTED_VALUE"""),21905.0)</f>
        <v>21905</v>
      </c>
      <c r="P857" s="2">
        <f>IFERROR(__xludf.DUMMYFUNCTION("""COMPUTED_VALUE"""),1095.0)</f>
        <v>1095</v>
      </c>
      <c r="Q857" s="2" t="str">
        <f>IFERROR(__xludf.DUMMYFUNCTION("""COMPUTED_VALUE"""),"Dine In")</f>
        <v>Dine In</v>
      </c>
      <c r="R857" s="2" t="str">
        <f>IFERROR(__xludf.DUMMYFUNCTION("""COMPUTED_VALUE"""),"Kedai")</f>
        <v>Kedai</v>
      </c>
      <c r="S857" s="2" t="str">
        <f>IFERROR(__xludf.DUMMYFUNCTION("""COMPUTED_VALUE"""),"Temu Roti")</f>
        <v>Temu Roti</v>
      </c>
      <c r="T857" s="2" t="str">
        <f>IFERROR(__xludf.DUMMYFUNCTION("""COMPUTED_VALUE"""),"Owner")</f>
        <v>Owner</v>
      </c>
      <c r="U857" s="2"/>
      <c r="V857" s="2"/>
      <c r="W857" s="2"/>
      <c r="X857" s="2" t="str">
        <f>IFERROR(__xludf.DUMMYFUNCTION("""COMPUTED_VALUE"""),"Closed")</f>
        <v>Closed</v>
      </c>
    </row>
    <row r="858">
      <c r="A858" s="3" t="s">
        <v>873</v>
      </c>
      <c r="B858" s="4">
        <f>IFERROR(__xludf.DUMMYFUNCTION("SPLIT(A858,"","",0,0)"),45548.71527777778)</f>
        <v>45548.71528</v>
      </c>
      <c r="C858" s="5">
        <f>IFERROR(__xludf.DUMMYFUNCTION("""COMPUTED_VALUE"""),2681644.0)</f>
        <v>2681644</v>
      </c>
      <c r="D858" s="2" t="str">
        <f>IFERROR(__xludf.DUMMYFUNCTION("""COMPUTED_VALUE"""),"Sale")</f>
        <v>Sale</v>
      </c>
      <c r="E858" s="2" t="str">
        <f>IFERROR(__xludf.DUMMYFUNCTION("""COMPUTED_VALUE"""),"Roti")</f>
        <v>Roti</v>
      </c>
      <c r="F858" s="2">
        <f>IFERROR(__xludf.DUMMYFUNCTION("""COMPUTED_VALUE"""),10002.0)</f>
        <v>10002</v>
      </c>
      <c r="G858" s="2" t="str">
        <f>IFERROR(__xludf.DUMMYFUNCTION("""COMPUTED_VALUE"""),"Roti Cranberry")</f>
        <v>Roti Cranberry</v>
      </c>
      <c r="H858" s="2"/>
      <c r="I858" s="2"/>
      <c r="J858" s="2">
        <f>IFERROR(__xludf.DUMMYFUNCTION("""COMPUTED_VALUE"""),1.0)</f>
        <v>1</v>
      </c>
      <c r="K858" s="6">
        <f>IFERROR(__xludf.DUMMYFUNCTION("""COMPUTED_VALUE"""),18571.0)</f>
        <v>18571</v>
      </c>
      <c r="L858" s="2">
        <f>IFERROR(__xludf.DUMMYFUNCTION("""COMPUTED_VALUE"""),0.0)</f>
        <v>0</v>
      </c>
      <c r="M858" s="2">
        <f>IFERROR(__xludf.DUMMYFUNCTION("""COMPUTED_VALUE"""),18571.0)</f>
        <v>18571</v>
      </c>
      <c r="N858" s="2">
        <f>IFERROR(__xludf.DUMMYFUNCTION("""COMPUTED_VALUE"""),0.0)</f>
        <v>0</v>
      </c>
      <c r="O858" s="2">
        <f>IFERROR(__xludf.DUMMYFUNCTION("""COMPUTED_VALUE"""),18571.0)</f>
        <v>18571</v>
      </c>
      <c r="P858" s="2">
        <f>IFERROR(__xludf.DUMMYFUNCTION("""COMPUTED_VALUE"""),929.0)</f>
        <v>929</v>
      </c>
      <c r="Q858" s="2" t="str">
        <f>IFERROR(__xludf.DUMMYFUNCTION("""COMPUTED_VALUE"""),"Dine In")</f>
        <v>Dine In</v>
      </c>
      <c r="R858" s="2" t="str">
        <f>IFERROR(__xludf.DUMMYFUNCTION("""COMPUTED_VALUE"""),"Kedai")</f>
        <v>Kedai</v>
      </c>
      <c r="S858" s="2" t="str">
        <f>IFERROR(__xludf.DUMMYFUNCTION("""COMPUTED_VALUE"""),"Temu Roti")</f>
        <v>Temu Roti</v>
      </c>
      <c r="T858" s="2" t="str">
        <f>IFERROR(__xludf.DUMMYFUNCTION("""COMPUTED_VALUE"""),"Owner")</f>
        <v>Owner</v>
      </c>
      <c r="U858" s="2"/>
      <c r="V858" s="2"/>
      <c r="W858" s="2"/>
      <c r="X858" s="2" t="str">
        <f>IFERROR(__xludf.DUMMYFUNCTION("""COMPUTED_VALUE"""),"Closed")</f>
        <v>Closed</v>
      </c>
    </row>
    <row r="859">
      <c r="A859" s="3" t="s">
        <v>874</v>
      </c>
      <c r="B859" s="4">
        <f>IFERROR(__xludf.DUMMYFUNCTION("SPLIT(A859,"","",0,0)"),45548.71527777778)</f>
        <v>45548.71528</v>
      </c>
      <c r="C859" s="5">
        <f>IFERROR(__xludf.DUMMYFUNCTION("""COMPUTED_VALUE"""),2681644.0)</f>
        <v>2681644</v>
      </c>
      <c r="D859" s="2" t="str">
        <f>IFERROR(__xludf.DUMMYFUNCTION("""COMPUTED_VALUE"""),"Sale")</f>
        <v>Sale</v>
      </c>
      <c r="E859" s="2" t="str">
        <f>IFERROR(__xludf.DUMMYFUNCTION("""COMPUTED_VALUE"""),"Minuman")</f>
        <v>Minuman</v>
      </c>
      <c r="F859" s="2">
        <f>IFERROR(__xludf.DUMMYFUNCTION("""COMPUTED_VALUE"""),10128.0)</f>
        <v>10128</v>
      </c>
      <c r="G859" s="2" t="str">
        <f>IFERROR(__xludf.DUMMYFUNCTION("""COMPUTED_VALUE"""),"Es Kopi Susu")</f>
        <v>Es Kopi Susu</v>
      </c>
      <c r="H859" s="2"/>
      <c r="I859" s="2"/>
      <c r="J859" s="2">
        <f>IFERROR(__xludf.DUMMYFUNCTION("""COMPUTED_VALUE"""),1.0)</f>
        <v>1</v>
      </c>
      <c r="K859" s="6">
        <f>IFERROR(__xludf.DUMMYFUNCTION("""COMPUTED_VALUE"""),23333.0)</f>
        <v>23333</v>
      </c>
      <c r="L859" s="2">
        <f>IFERROR(__xludf.DUMMYFUNCTION("""COMPUTED_VALUE"""),0.0)</f>
        <v>0</v>
      </c>
      <c r="M859" s="2">
        <f>IFERROR(__xludf.DUMMYFUNCTION("""COMPUTED_VALUE"""),23333.0)</f>
        <v>23333</v>
      </c>
      <c r="N859" s="2">
        <f>IFERROR(__xludf.DUMMYFUNCTION("""COMPUTED_VALUE"""),0.0)</f>
        <v>0</v>
      </c>
      <c r="O859" s="2">
        <f>IFERROR(__xludf.DUMMYFUNCTION("""COMPUTED_VALUE"""),23333.0)</f>
        <v>23333</v>
      </c>
      <c r="P859" s="2">
        <f>IFERROR(__xludf.DUMMYFUNCTION("""COMPUTED_VALUE"""),1166.0)</f>
        <v>1166</v>
      </c>
      <c r="Q859" s="2" t="str">
        <f>IFERROR(__xludf.DUMMYFUNCTION("""COMPUTED_VALUE"""),"Dine In")</f>
        <v>Dine In</v>
      </c>
      <c r="R859" s="2" t="str">
        <f>IFERROR(__xludf.DUMMYFUNCTION("""COMPUTED_VALUE"""),"Kedai")</f>
        <v>Kedai</v>
      </c>
      <c r="S859" s="2" t="str">
        <f>IFERROR(__xludf.DUMMYFUNCTION("""COMPUTED_VALUE"""),"Temu Roti")</f>
        <v>Temu Roti</v>
      </c>
      <c r="T859" s="2" t="str">
        <f>IFERROR(__xludf.DUMMYFUNCTION("""COMPUTED_VALUE"""),"Owner")</f>
        <v>Owner</v>
      </c>
      <c r="U859" s="2"/>
      <c r="V859" s="2"/>
      <c r="W859" s="2"/>
      <c r="X859" s="2" t="str">
        <f>IFERROR(__xludf.DUMMYFUNCTION("""COMPUTED_VALUE"""),"Closed")</f>
        <v>Closed</v>
      </c>
    </row>
    <row r="860">
      <c r="A860" s="3" t="s">
        <v>875</v>
      </c>
      <c r="B860" s="4">
        <f>IFERROR(__xludf.DUMMYFUNCTION("SPLIT(A860,"","",0,0)"),45548.71527777778)</f>
        <v>45548.71528</v>
      </c>
      <c r="C860" s="5">
        <f>IFERROR(__xludf.DUMMYFUNCTION("""COMPUTED_VALUE"""),2681644.0)</f>
        <v>2681644</v>
      </c>
      <c r="D860" s="2" t="str">
        <f>IFERROR(__xludf.DUMMYFUNCTION("""COMPUTED_VALUE"""),"Sale")</f>
        <v>Sale</v>
      </c>
      <c r="E860" s="2" t="str">
        <f>IFERROR(__xludf.DUMMYFUNCTION("""COMPUTED_VALUE"""),"Minuman")</f>
        <v>Minuman</v>
      </c>
      <c r="F860" s="2">
        <f>IFERROR(__xludf.DUMMYFUNCTION("""COMPUTED_VALUE"""),10120.0)</f>
        <v>10120</v>
      </c>
      <c r="G860" s="2" t="str">
        <f>IFERROR(__xludf.DUMMYFUNCTION("""COMPUTED_VALUE"""),"Lemon Tea Panas")</f>
        <v>Lemon Tea Panas</v>
      </c>
      <c r="H860" s="2"/>
      <c r="I860" s="2"/>
      <c r="J860" s="2">
        <f>IFERROR(__xludf.DUMMYFUNCTION("""COMPUTED_VALUE"""),1.0)</f>
        <v>1</v>
      </c>
      <c r="K860" s="6">
        <f>IFERROR(__xludf.DUMMYFUNCTION("""COMPUTED_VALUE"""),19524.0)</f>
        <v>19524</v>
      </c>
      <c r="L860" s="2">
        <f>IFERROR(__xludf.DUMMYFUNCTION("""COMPUTED_VALUE"""),0.0)</f>
        <v>0</v>
      </c>
      <c r="M860" s="2">
        <f>IFERROR(__xludf.DUMMYFUNCTION("""COMPUTED_VALUE"""),19524.0)</f>
        <v>19524</v>
      </c>
      <c r="N860" s="2">
        <f>IFERROR(__xludf.DUMMYFUNCTION("""COMPUTED_VALUE"""),0.0)</f>
        <v>0</v>
      </c>
      <c r="O860" s="2">
        <f>IFERROR(__xludf.DUMMYFUNCTION("""COMPUTED_VALUE"""),19524.0)</f>
        <v>19524</v>
      </c>
      <c r="P860" s="2">
        <f>IFERROR(__xludf.DUMMYFUNCTION("""COMPUTED_VALUE"""),977.0)</f>
        <v>977</v>
      </c>
      <c r="Q860" s="2" t="str">
        <f>IFERROR(__xludf.DUMMYFUNCTION("""COMPUTED_VALUE"""),"Dine In")</f>
        <v>Dine In</v>
      </c>
      <c r="R860" s="2" t="str">
        <f>IFERROR(__xludf.DUMMYFUNCTION("""COMPUTED_VALUE"""),"Kedai")</f>
        <v>Kedai</v>
      </c>
      <c r="S860" s="2" t="str">
        <f>IFERROR(__xludf.DUMMYFUNCTION("""COMPUTED_VALUE"""),"Temu Roti")</f>
        <v>Temu Roti</v>
      </c>
      <c r="T860" s="2" t="str">
        <f>IFERROR(__xludf.DUMMYFUNCTION("""COMPUTED_VALUE"""),"Owner")</f>
        <v>Owner</v>
      </c>
      <c r="U860" s="2"/>
      <c r="V860" s="2"/>
      <c r="W860" s="2"/>
      <c r="X860" s="2" t="str">
        <f>IFERROR(__xludf.DUMMYFUNCTION("""COMPUTED_VALUE"""),"Closed")</f>
        <v>Closed</v>
      </c>
    </row>
    <row r="861">
      <c r="A861" s="3" t="s">
        <v>876</v>
      </c>
      <c r="B861" s="4">
        <f>IFERROR(__xludf.DUMMYFUNCTION("SPLIT(A861,"","",0,0)"),45548.70416666667)</f>
        <v>45548.70417</v>
      </c>
      <c r="C861" s="5">
        <f>IFERROR(__xludf.DUMMYFUNCTION("""COMPUTED_VALUE"""),2681279.0)</f>
        <v>2681279</v>
      </c>
      <c r="D861" s="2" t="str">
        <f>IFERROR(__xludf.DUMMYFUNCTION("""COMPUTED_VALUE"""),"Sale")</f>
        <v>Sale</v>
      </c>
      <c r="E861" s="2" t="str">
        <f>IFERROR(__xludf.DUMMYFUNCTION("""COMPUTED_VALUE"""),"Roti")</f>
        <v>Roti</v>
      </c>
      <c r="F861" s="2">
        <f>IFERROR(__xludf.DUMMYFUNCTION("""COMPUTED_VALUE"""),10002.0)</f>
        <v>10002</v>
      </c>
      <c r="G861" s="2" t="str">
        <f>IFERROR(__xludf.DUMMYFUNCTION("""COMPUTED_VALUE"""),"Roti Cranberry")</f>
        <v>Roti Cranberry</v>
      </c>
      <c r="H861" s="2"/>
      <c r="I861" s="2"/>
      <c r="J861" s="2">
        <f>IFERROR(__xludf.DUMMYFUNCTION("""COMPUTED_VALUE"""),1.0)</f>
        <v>1</v>
      </c>
      <c r="K861" s="6">
        <f>IFERROR(__xludf.DUMMYFUNCTION("""COMPUTED_VALUE"""),18571.0)</f>
        <v>18571</v>
      </c>
      <c r="L861" s="2">
        <f>IFERROR(__xludf.DUMMYFUNCTION("""COMPUTED_VALUE"""),0.0)</f>
        <v>0</v>
      </c>
      <c r="M861" s="2">
        <f>IFERROR(__xludf.DUMMYFUNCTION("""COMPUTED_VALUE"""),18571.0)</f>
        <v>18571</v>
      </c>
      <c r="N861" s="2">
        <f>IFERROR(__xludf.DUMMYFUNCTION("""COMPUTED_VALUE"""),0.0)</f>
        <v>0</v>
      </c>
      <c r="O861" s="2">
        <f>IFERROR(__xludf.DUMMYFUNCTION("""COMPUTED_VALUE"""),18571.0)</f>
        <v>18571</v>
      </c>
      <c r="P861" s="2">
        <f>IFERROR(__xludf.DUMMYFUNCTION("""COMPUTED_VALUE"""),929.0)</f>
        <v>929</v>
      </c>
      <c r="Q861" s="2" t="str">
        <f>IFERROR(__xludf.DUMMYFUNCTION("""COMPUTED_VALUE"""),"Dine In")</f>
        <v>Dine In</v>
      </c>
      <c r="R861" s="2" t="str">
        <f>IFERROR(__xludf.DUMMYFUNCTION("""COMPUTED_VALUE"""),"Kedai")</f>
        <v>Kedai</v>
      </c>
      <c r="S861" s="2" t="str">
        <f>IFERROR(__xludf.DUMMYFUNCTION("""COMPUTED_VALUE"""),"Temu Roti")</f>
        <v>Temu Roti</v>
      </c>
      <c r="T861" s="2" t="str">
        <f>IFERROR(__xludf.DUMMYFUNCTION("""COMPUTED_VALUE"""),"Owner")</f>
        <v>Owner</v>
      </c>
      <c r="U861" s="2"/>
      <c r="V861" s="2"/>
      <c r="W861" s="2"/>
      <c r="X861" s="2" t="str">
        <f>IFERROR(__xludf.DUMMYFUNCTION("""COMPUTED_VALUE"""),"Closed")</f>
        <v>Closed</v>
      </c>
    </row>
    <row r="862">
      <c r="A862" s="3" t="s">
        <v>877</v>
      </c>
      <c r="B862" s="4">
        <f>IFERROR(__xludf.DUMMYFUNCTION("SPLIT(A862,"","",0,0)"),45548.67638888889)</f>
        <v>45548.67639</v>
      </c>
      <c r="C862" s="5">
        <f>IFERROR(__xludf.DUMMYFUNCTION("""COMPUTED_VALUE"""),2680913.0)</f>
        <v>2680913</v>
      </c>
      <c r="D862" s="2" t="str">
        <f>IFERROR(__xludf.DUMMYFUNCTION("""COMPUTED_VALUE"""),"Sale")</f>
        <v>Sale</v>
      </c>
      <c r="E862" s="2" t="str">
        <f>IFERROR(__xludf.DUMMYFUNCTION("""COMPUTED_VALUE"""),"Roti")</f>
        <v>Roti</v>
      </c>
      <c r="F862" s="2">
        <f>IFERROR(__xludf.DUMMYFUNCTION("""COMPUTED_VALUE"""),10002.0)</f>
        <v>10002</v>
      </c>
      <c r="G862" s="2" t="str">
        <f>IFERROR(__xludf.DUMMYFUNCTION("""COMPUTED_VALUE"""),"Roti Cranberry")</f>
        <v>Roti Cranberry</v>
      </c>
      <c r="H862" s="2"/>
      <c r="I862" s="2"/>
      <c r="J862" s="2">
        <f>IFERROR(__xludf.DUMMYFUNCTION("""COMPUTED_VALUE"""),1.0)</f>
        <v>1</v>
      </c>
      <c r="K862" s="6">
        <f>IFERROR(__xludf.DUMMYFUNCTION("""COMPUTED_VALUE"""),18571.0)</f>
        <v>18571</v>
      </c>
      <c r="L862" s="2">
        <f>IFERROR(__xludf.DUMMYFUNCTION("""COMPUTED_VALUE"""),0.0)</f>
        <v>0</v>
      </c>
      <c r="M862" s="2">
        <f>IFERROR(__xludf.DUMMYFUNCTION("""COMPUTED_VALUE"""),18571.0)</f>
        <v>18571</v>
      </c>
      <c r="N862" s="2">
        <f>IFERROR(__xludf.DUMMYFUNCTION("""COMPUTED_VALUE"""),0.0)</f>
        <v>0</v>
      </c>
      <c r="O862" s="2">
        <f>IFERROR(__xludf.DUMMYFUNCTION("""COMPUTED_VALUE"""),18571.0)</f>
        <v>18571</v>
      </c>
      <c r="P862" s="2">
        <f>IFERROR(__xludf.DUMMYFUNCTION("""COMPUTED_VALUE"""),929.0)</f>
        <v>929</v>
      </c>
      <c r="Q862" s="2" t="str">
        <f>IFERROR(__xludf.DUMMYFUNCTION("""COMPUTED_VALUE"""),"Dine In")</f>
        <v>Dine In</v>
      </c>
      <c r="R862" s="2" t="str">
        <f>IFERROR(__xludf.DUMMYFUNCTION("""COMPUTED_VALUE"""),"Kedai")</f>
        <v>Kedai</v>
      </c>
      <c r="S862" s="2" t="str">
        <f>IFERROR(__xludf.DUMMYFUNCTION("""COMPUTED_VALUE"""),"Temu Roti")</f>
        <v>Temu Roti</v>
      </c>
      <c r="T862" s="2" t="str">
        <f>IFERROR(__xludf.DUMMYFUNCTION("""COMPUTED_VALUE"""),"Owner")</f>
        <v>Owner</v>
      </c>
      <c r="U862" s="2"/>
      <c r="V862" s="2"/>
      <c r="W862" s="2"/>
      <c r="X862" s="2" t="str">
        <f>IFERROR(__xludf.DUMMYFUNCTION("""COMPUTED_VALUE"""),"Closed")</f>
        <v>Closed</v>
      </c>
    </row>
    <row r="863">
      <c r="A863" s="3" t="s">
        <v>878</v>
      </c>
      <c r="B863" s="4">
        <f>IFERROR(__xludf.DUMMYFUNCTION("SPLIT(A863,"","",0,0)"),45548.67638888889)</f>
        <v>45548.67639</v>
      </c>
      <c r="C863" s="5">
        <f>IFERROR(__xludf.DUMMYFUNCTION("""COMPUTED_VALUE"""),2680913.0)</f>
        <v>2680913</v>
      </c>
      <c r="D863" s="2" t="str">
        <f>IFERROR(__xludf.DUMMYFUNCTION("""COMPUTED_VALUE"""),"Sale")</f>
        <v>Sale</v>
      </c>
      <c r="E863" s="2" t="str">
        <f>IFERROR(__xludf.DUMMYFUNCTION("""COMPUTED_VALUE"""),"Roti")</f>
        <v>Roti</v>
      </c>
      <c r="F863" s="2">
        <f>IFERROR(__xludf.DUMMYFUNCTION("""COMPUTED_VALUE"""),10005.0)</f>
        <v>10005</v>
      </c>
      <c r="G863" s="2" t="str">
        <f>IFERROR(__xludf.DUMMYFUNCTION("""COMPUTED_VALUE"""),"Roti Gandum Cokelat")</f>
        <v>Roti Gandum Cokelat</v>
      </c>
      <c r="H863" s="2"/>
      <c r="I863" s="2"/>
      <c r="J863" s="2">
        <f>IFERROR(__xludf.DUMMYFUNCTION("""COMPUTED_VALUE"""),1.0)</f>
        <v>1</v>
      </c>
      <c r="K863" s="6">
        <f>IFERROR(__xludf.DUMMYFUNCTION("""COMPUTED_VALUE"""),19524.0)</f>
        <v>19524</v>
      </c>
      <c r="L863" s="2">
        <f>IFERROR(__xludf.DUMMYFUNCTION("""COMPUTED_VALUE"""),0.0)</f>
        <v>0</v>
      </c>
      <c r="M863" s="2">
        <f>IFERROR(__xludf.DUMMYFUNCTION("""COMPUTED_VALUE"""),19524.0)</f>
        <v>19524</v>
      </c>
      <c r="N863" s="2">
        <f>IFERROR(__xludf.DUMMYFUNCTION("""COMPUTED_VALUE"""),0.0)</f>
        <v>0</v>
      </c>
      <c r="O863" s="2">
        <f>IFERROR(__xludf.DUMMYFUNCTION("""COMPUTED_VALUE"""),19524.0)</f>
        <v>19524</v>
      </c>
      <c r="P863" s="2">
        <f>IFERROR(__xludf.DUMMYFUNCTION("""COMPUTED_VALUE"""),976.0)</f>
        <v>976</v>
      </c>
      <c r="Q863" s="2" t="str">
        <f>IFERROR(__xludf.DUMMYFUNCTION("""COMPUTED_VALUE"""),"Dine In")</f>
        <v>Dine In</v>
      </c>
      <c r="R863" s="2" t="str">
        <f>IFERROR(__xludf.DUMMYFUNCTION("""COMPUTED_VALUE"""),"Kedai")</f>
        <v>Kedai</v>
      </c>
      <c r="S863" s="2" t="str">
        <f>IFERROR(__xludf.DUMMYFUNCTION("""COMPUTED_VALUE"""),"Temu Roti")</f>
        <v>Temu Roti</v>
      </c>
      <c r="T863" s="2" t="str">
        <f>IFERROR(__xludf.DUMMYFUNCTION("""COMPUTED_VALUE"""),"Owner")</f>
        <v>Owner</v>
      </c>
      <c r="U863" s="2"/>
      <c r="V863" s="2"/>
      <c r="W863" s="2"/>
      <c r="X863" s="2" t="str">
        <f>IFERROR(__xludf.DUMMYFUNCTION("""COMPUTED_VALUE"""),"Closed")</f>
        <v>Closed</v>
      </c>
    </row>
    <row r="864">
      <c r="A864" s="3" t="s">
        <v>879</v>
      </c>
      <c r="B864" s="4">
        <f>IFERROR(__xludf.DUMMYFUNCTION("SPLIT(A864,"","",0,0)"),45548.67638888889)</f>
        <v>45548.67639</v>
      </c>
      <c r="C864" s="5">
        <f>IFERROR(__xludf.DUMMYFUNCTION("""COMPUTED_VALUE"""),2680913.0)</f>
        <v>2680913</v>
      </c>
      <c r="D864" s="2" t="str">
        <f>IFERROR(__xludf.DUMMYFUNCTION("""COMPUTED_VALUE"""),"Sale")</f>
        <v>Sale</v>
      </c>
      <c r="E864" s="2" t="str">
        <f>IFERROR(__xludf.DUMMYFUNCTION("""COMPUTED_VALUE"""),"Hidangan Utama")</f>
        <v>Hidangan Utama</v>
      </c>
      <c r="F864" s="2">
        <f>IFERROR(__xludf.DUMMYFUNCTION("""COMPUTED_VALUE"""),10053.0)</f>
        <v>10053</v>
      </c>
      <c r="G864" s="2" t="str">
        <f>IFERROR(__xludf.DUMMYFUNCTION("""COMPUTED_VALUE"""),"Nasi telor")</f>
        <v>Nasi telor</v>
      </c>
      <c r="H864" s="2"/>
      <c r="I864" s="2"/>
      <c r="J864" s="2">
        <f>IFERROR(__xludf.DUMMYFUNCTION("""COMPUTED_VALUE"""),1.0)</f>
        <v>1</v>
      </c>
      <c r="K864" s="6">
        <f>IFERROR(__xludf.DUMMYFUNCTION("""COMPUTED_VALUE"""),25238.0)</f>
        <v>25238</v>
      </c>
      <c r="L864" s="2">
        <f>IFERROR(__xludf.DUMMYFUNCTION("""COMPUTED_VALUE"""),0.0)</f>
        <v>0</v>
      </c>
      <c r="M864" s="2">
        <f>IFERROR(__xludf.DUMMYFUNCTION("""COMPUTED_VALUE"""),25238.0)</f>
        <v>25238</v>
      </c>
      <c r="N864" s="2">
        <f>IFERROR(__xludf.DUMMYFUNCTION("""COMPUTED_VALUE"""),0.0)</f>
        <v>0</v>
      </c>
      <c r="O864" s="2">
        <f>IFERROR(__xludf.DUMMYFUNCTION("""COMPUTED_VALUE"""),25238.0)</f>
        <v>25238</v>
      </c>
      <c r="P864" s="2">
        <f>IFERROR(__xludf.DUMMYFUNCTION("""COMPUTED_VALUE"""),1262.0)</f>
        <v>1262</v>
      </c>
      <c r="Q864" s="2" t="str">
        <f>IFERROR(__xludf.DUMMYFUNCTION("""COMPUTED_VALUE"""),"Dine In")</f>
        <v>Dine In</v>
      </c>
      <c r="R864" s="2" t="str">
        <f>IFERROR(__xludf.DUMMYFUNCTION("""COMPUTED_VALUE"""),"Kedai")</f>
        <v>Kedai</v>
      </c>
      <c r="S864" s="2" t="str">
        <f>IFERROR(__xludf.DUMMYFUNCTION("""COMPUTED_VALUE"""),"Temu Roti")</f>
        <v>Temu Roti</v>
      </c>
      <c r="T864" s="2" t="str">
        <f>IFERROR(__xludf.DUMMYFUNCTION("""COMPUTED_VALUE"""),"Owner")</f>
        <v>Owner</v>
      </c>
      <c r="U864" s="2"/>
      <c r="V864" s="2"/>
      <c r="W864" s="2"/>
      <c r="X864" s="2" t="str">
        <f>IFERROR(__xludf.DUMMYFUNCTION("""COMPUTED_VALUE"""),"Closed")</f>
        <v>Closed</v>
      </c>
    </row>
    <row r="865">
      <c r="A865" s="3" t="s">
        <v>880</v>
      </c>
      <c r="B865" s="4">
        <f>IFERROR(__xludf.DUMMYFUNCTION("SPLIT(A865,"","",0,0)"),45548.67638888889)</f>
        <v>45548.67639</v>
      </c>
      <c r="C865" s="5">
        <f>IFERROR(__xludf.DUMMYFUNCTION("""COMPUTED_VALUE"""),2680913.0)</f>
        <v>2680913</v>
      </c>
      <c r="D865" s="2" t="str">
        <f>IFERROR(__xludf.DUMMYFUNCTION("""COMPUTED_VALUE"""),"Sale")</f>
        <v>Sale</v>
      </c>
      <c r="E865" s="2" t="str">
        <f>IFERROR(__xludf.DUMMYFUNCTION("""COMPUTED_VALUE"""),"Hidangan Utama")</f>
        <v>Hidangan Utama</v>
      </c>
      <c r="F865" s="2">
        <f>IFERROR(__xludf.DUMMYFUNCTION("""COMPUTED_VALUE"""),10104.0)</f>
        <v>10104</v>
      </c>
      <c r="G865" s="2" t="str">
        <f>IFERROR(__xludf.DUMMYFUNCTION("""COMPUTED_VALUE"""),"Chicken Claypot Rice")</f>
        <v>Chicken Claypot Rice</v>
      </c>
      <c r="H865" s="2"/>
      <c r="I865" s="2"/>
      <c r="J865" s="2">
        <f>IFERROR(__xludf.DUMMYFUNCTION("""COMPUTED_VALUE"""),1.0)</f>
        <v>1</v>
      </c>
      <c r="K865" s="6">
        <f>IFERROR(__xludf.DUMMYFUNCTION("""COMPUTED_VALUE"""),34762.0)</f>
        <v>34762</v>
      </c>
      <c r="L865" s="2">
        <f>IFERROR(__xludf.DUMMYFUNCTION("""COMPUTED_VALUE"""),0.0)</f>
        <v>0</v>
      </c>
      <c r="M865" s="2">
        <f>IFERROR(__xludf.DUMMYFUNCTION("""COMPUTED_VALUE"""),34762.0)</f>
        <v>34762</v>
      </c>
      <c r="N865" s="2">
        <f>IFERROR(__xludf.DUMMYFUNCTION("""COMPUTED_VALUE"""),0.0)</f>
        <v>0</v>
      </c>
      <c r="O865" s="2">
        <f>IFERROR(__xludf.DUMMYFUNCTION("""COMPUTED_VALUE"""),34762.0)</f>
        <v>34762</v>
      </c>
      <c r="P865" s="2">
        <f>IFERROR(__xludf.DUMMYFUNCTION("""COMPUTED_VALUE"""),1738.0)</f>
        <v>1738</v>
      </c>
      <c r="Q865" s="2" t="str">
        <f>IFERROR(__xludf.DUMMYFUNCTION("""COMPUTED_VALUE"""),"Dine In")</f>
        <v>Dine In</v>
      </c>
      <c r="R865" s="2" t="str">
        <f>IFERROR(__xludf.DUMMYFUNCTION("""COMPUTED_VALUE"""),"Kedai")</f>
        <v>Kedai</v>
      </c>
      <c r="S865" s="2" t="str">
        <f>IFERROR(__xludf.DUMMYFUNCTION("""COMPUTED_VALUE"""),"Temu Roti")</f>
        <v>Temu Roti</v>
      </c>
      <c r="T865" s="2" t="str">
        <f>IFERROR(__xludf.DUMMYFUNCTION("""COMPUTED_VALUE"""),"Owner")</f>
        <v>Owner</v>
      </c>
      <c r="U865" s="2"/>
      <c r="V865" s="2"/>
      <c r="W865" s="2"/>
      <c r="X865" s="2" t="str">
        <f>IFERROR(__xludf.DUMMYFUNCTION("""COMPUTED_VALUE"""),"Closed")</f>
        <v>Closed</v>
      </c>
    </row>
    <row r="866">
      <c r="A866" s="3" t="s">
        <v>881</v>
      </c>
      <c r="B866" s="4">
        <f>IFERROR(__xludf.DUMMYFUNCTION("SPLIT(A866,"","",0,0)"),45548.67638888889)</f>
        <v>45548.67639</v>
      </c>
      <c r="C866" s="5">
        <f>IFERROR(__xludf.DUMMYFUNCTION("""COMPUTED_VALUE"""),2680913.0)</f>
        <v>2680913</v>
      </c>
      <c r="D866" s="2" t="str">
        <f>IFERROR(__xludf.DUMMYFUNCTION("""COMPUTED_VALUE"""),"Sale")</f>
        <v>Sale</v>
      </c>
      <c r="E866" s="2" t="str">
        <f>IFERROR(__xludf.DUMMYFUNCTION("""COMPUTED_VALUE"""),"Kudapan")</f>
        <v>Kudapan</v>
      </c>
      <c r="F866" s="2">
        <f>IFERROR(__xludf.DUMMYFUNCTION("""COMPUTED_VALUE"""),10014.0)</f>
        <v>10014</v>
      </c>
      <c r="G866" s="2" t="str">
        <f>IFERROR(__xludf.DUMMYFUNCTION("""COMPUTED_VALUE"""),"Tempe Mendoan")</f>
        <v>Tempe Mendoan</v>
      </c>
      <c r="H866" s="2"/>
      <c r="I866" s="2"/>
      <c r="J866" s="2">
        <f>IFERROR(__xludf.DUMMYFUNCTION("""COMPUTED_VALUE"""),1.0)</f>
        <v>1</v>
      </c>
      <c r="K866" s="6">
        <f>IFERROR(__xludf.DUMMYFUNCTION("""COMPUTED_VALUE"""),25238.0)</f>
        <v>25238</v>
      </c>
      <c r="L866" s="2">
        <f>IFERROR(__xludf.DUMMYFUNCTION("""COMPUTED_VALUE"""),0.0)</f>
        <v>0</v>
      </c>
      <c r="M866" s="2">
        <f>IFERROR(__xludf.DUMMYFUNCTION("""COMPUTED_VALUE"""),25238.0)</f>
        <v>25238</v>
      </c>
      <c r="N866" s="2">
        <f>IFERROR(__xludf.DUMMYFUNCTION("""COMPUTED_VALUE"""),0.0)</f>
        <v>0</v>
      </c>
      <c r="O866" s="2">
        <f>IFERROR(__xludf.DUMMYFUNCTION("""COMPUTED_VALUE"""),25238.0)</f>
        <v>25238</v>
      </c>
      <c r="P866" s="2">
        <f>IFERROR(__xludf.DUMMYFUNCTION("""COMPUTED_VALUE"""),1262.0)</f>
        <v>1262</v>
      </c>
      <c r="Q866" s="2" t="str">
        <f>IFERROR(__xludf.DUMMYFUNCTION("""COMPUTED_VALUE"""),"Dine In")</f>
        <v>Dine In</v>
      </c>
      <c r="R866" s="2" t="str">
        <f>IFERROR(__xludf.DUMMYFUNCTION("""COMPUTED_VALUE"""),"Kedai")</f>
        <v>Kedai</v>
      </c>
      <c r="S866" s="2" t="str">
        <f>IFERROR(__xludf.DUMMYFUNCTION("""COMPUTED_VALUE"""),"Temu Roti")</f>
        <v>Temu Roti</v>
      </c>
      <c r="T866" s="2" t="str">
        <f>IFERROR(__xludf.DUMMYFUNCTION("""COMPUTED_VALUE"""),"Owner")</f>
        <v>Owner</v>
      </c>
      <c r="U866" s="2"/>
      <c r="V866" s="2"/>
      <c r="W866" s="2"/>
      <c r="X866" s="2" t="str">
        <f>IFERROR(__xludf.DUMMYFUNCTION("""COMPUTED_VALUE"""),"Closed")</f>
        <v>Closed</v>
      </c>
    </row>
    <row r="867">
      <c r="A867" s="3" t="s">
        <v>882</v>
      </c>
      <c r="B867" s="4">
        <f>IFERROR(__xludf.DUMMYFUNCTION("SPLIT(A867,"","",0,0)"),45548.65625)</f>
        <v>45548.65625</v>
      </c>
      <c r="C867" s="5">
        <f>IFERROR(__xludf.DUMMYFUNCTION("""COMPUTED_VALUE"""),2680548.0)</f>
        <v>2680548</v>
      </c>
      <c r="D867" s="2" t="str">
        <f>IFERROR(__xludf.DUMMYFUNCTION("""COMPUTED_VALUE"""),"Sale")</f>
        <v>Sale</v>
      </c>
      <c r="E867" s="2" t="str">
        <f>IFERROR(__xludf.DUMMYFUNCTION("""COMPUTED_VALUE"""),"Roti")</f>
        <v>Roti</v>
      </c>
      <c r="F867" s="2">
        <f>IFERROR(__xludf.DUMMYFUNCTION("""COMPUTED_VALUE"""),10000.0)</f>
        <v>10000</v>
      </c>
      <c r="G867" s="2" t="str">
        <f>IFERROR(__xludf.DUMMYFUNCTION("""COMPUTED_VALUE"""),"Roti Bawang Saus Keju")</f>
        <v>Roti Bawang Saus Keju</v>
      </c>
      <c r="H867" s="2"/>
      <c r="I867" s="2"/>
      <c r="J867" s="2">
        <f>IFERROR(__xludf.DUMMYFUNCTION("""COMPUTED_VALUE"""),1.0)</f>
        <v>1</v>
      </c>
      <c r="K867" s="6">
        <f>IFERROR(__xludf.DUMMYFUNCTION("""COMPUTED_VALUE"""),29524.0)</f>
        <v>29524</v>
      </c>
      <c r="L867" s="2">
        <f>IFERROR(__xludf.DUMMYFUNCTION("""COMPUTED_VALUE"""),0.0)</f>
        <v>0</v>
      </c>
      <c r="M867" s="2">
        <f>IFERROR(__xludf.DUMMYFUNCTION("""COMPUTED_VALUE"""),29524.0)</f>
        <v>29524</v>
      </c>
      <c r="N867" s="2">
        <f>IFERROR(__xludf.DUMMYFUNCTION("""COMPUTED_VALUE"""),0.0)</f>
        <v>0</v>
      </c>
      <c r="O867" s="2">
        <f>IFERROR(__xludf.DUMMYFUNCTION("""COMPUTED_VALUE"""),29524.0)</f>
        <v>29524</v>
      </c>
      <c r="P867" s="2">
        <f>IFERROR(__xludf.DUMMYFUNCTION("""COMPUTED_VALUE"""),1476.0)</f>
        <v>1476</v>
      </c>
      <c r="Q867" s="2" t="str">
        <f>IFERROR(__xludf.DUMMYFUNCTION("""COMPUTED_VALUE"""),"Dine In")</f>
        <v>Dine In</v>
      </c>
      <c r="R867" s="2" t="str">
        <f>IFERROR(__xludf.DUMMYFUNCTION("""COMPUTED_VALUE"""),"Kedai")</f>
        <v>Kedai</v>
      </c>
      <c r="S867" s="2" t="str">
        <f>IFERROR(__xludf.DUMMYFUNCTION("""COMPUTED_VALUE"""),"Temu Roti")</f>
        <v>Temu Roti</v>
      </c>
      <c r="T867" s="2" t="str">
        <f>IFERROR(__xludf.DUMMYFUNCTION("""COMPUTED_VALUE"""),"Owner")</f>
        <v>Owner</v>
      </c>
      <c r="U867" s="2"/>
      <c r="V867" s="2"/>
      <c r="W867" s="2"/>
      <c r="X867" s="2" t="str">
        <f>IFERROR(__xludf.DUMMYFUNCTION("""COMPUTED_VALUE"""),"Closed")</f>
        <v>Closed</v>
      </c>
    </row>
    <row r="868">
      <c r="A868" s="3" t="s">
        <v>883</v>
      </c>
      <c r="B868" s="4">
        <f>IFERROR(__xludf.DUMMYFUNCTION("SPLIT(A868,"","",0,0)"),45548.65625)</f>
        <v>45548.65625</v>
      </c>
      <c r="C868" s="5">
        <f>IFERROR(__xludf.DUMMYFUNCTION("""COMPUTED_VALUE"""),2680548.0)</f>
        <v>2680548</v>
      </c>
      <c r="D868" s="2" t="str">
        <f>IFERROR(__xludf.DUMMYFUNCTION("""COMPUTED_VALUE"""),"Sale")</f>
        <v>Sale</v>
      </c>
      <c r="E868" s="2" t="str">
        <f>IFERROR(__xludf.DUMMYFUNCTION("""COMPUTED_VALUE"""),"Minuman")</f>
        <v>Minuman</v>
      </c>
      <c r="F868" s="2">
        <f>IFERROR(__xludf.DUMMYFUNCTION("""COMPUTED_VALUE"""),10119.0)</f>
        <v>10119</v>
      </c>
      <c r="G868" s="2" t="str">
        <f>IFERROR(__xludf.DUMMYFUNCTION("""COMPUTED_VALUE"""),"Teh Tawar Dingin")</f>
        <v>Teh Tawar Dingin</v>
      </c>
      <c r="H868" s="2"/>
      <c r="I868" s="2"/>
      <c r="J868" s="2">
        <f>IFERROR(__xludf.DUMMYFUNCTION("""COMPUTED_VALUE"""),1.0)</f>
        <v>1</v>
      </c>
      <c r="K868" s="6">
        <f>IFERROR(__xludf.DUMMYFUNCTION("""COMPUTED_VALUE"""),7143.0)</f>
        <v>7143</v>
      </c>
      <c r="L868" s="2">
        <f>IFERROR(__xludf.DUMMYFUNCTION("""COMPUTED_VALUE"""),0.0)</f>
        <v>0</v>
      </c>
      <c r="M868" s="2">
        <f>IFERROR(__xludf.DUMMYFUNCTION("""COMPUTED_VALUE"""),7143.0)</f>
        <v>7143</v>
      </c>
      <c r="N868" s="2">
        <f>IFERROR(__xludf.DUMMYFUNCTION("""COMPUTED_VALUE"""),0.0)</f>
        <v>0</v>
      </c>
      <c r="O868" s="2">
        <f>IFERROR(__xludf.DUMMYFUNCTION("""COMPUTED_VALUE"""),7143.0)</f>
        <v>7143</v>
      </c>
      <c r="P868" s="2">
        <f>IFERROR(__xludf.DUMMYFUNCTION("""COMPUTED_VALUE"""),357.0)</f>
        <v>357</v>
      </c>
      <c r="Q868" s="2" t="str">
        <f>IFERROR(__xludf.DUMMYFUNCTION("""COMPUTED_VALUE"""),"Dine In")</f>
        <v>Dine In</v>
      </c>
      <c r="R868" s="2" t="str">
        <f>IFERROR(__xludf.DUMMYFUNCTION("""COMPUTED_VALUE"""),"Kedai")</f>
        <v>Kedai</v>
      </c>
      <c r="S868" s="2" t="str">
        <f>IFERROR(__xludf.DUMMYFUNCTION("""COMPUTED_VALUE"""),"Temu Roti")</f>
        <v>Temu Roti</v>
      </c>
      <c r="T868" s="2" t="str">
        <f>IFERROR(__xludf.DUMMYFUNCTION("""COMPUTED_VALUE"""),"Owner")</f>
        <v>Owner</v>
      </c>
      <c r="U868" s="2"/>
      <c r="V868" s="2"/>
      <c r="W868" s="2"/>
      <c r="X868" s="2" t="str">
        <f>IFERROR(__xludf.DUMMYFUNCTION("""COMPUTED_VALUE"""),"Closed")</f>
        <v>Closed</v>
      </c>
    </row>
    <row r="869">
      <c r="A869" s="3" t="s">
        <v>884</v>
      </c>
      <c r="B869" s="4">
        <f>IFERROR(__xludf.DUMMYFUNCTION("SPLIT(A869,"","",0,0)"),45548.65625)</f>
        <v>45548.65625</v>
      </c>
      <c r="C869" s="5">
        <f>IFERROR(__xludf.DUMMYFUNCTION("""COMPUTED_VALUE"""),2680548.0)</f>
        <v>2680548</v>
      </c>
      <c r="D869" s="2" t="str">
        <f>IFERROR(__xludf.DUMMYFUNCTION("""COMPUTED_VALUE"""),"Sale")</f>
        <v>Sale</v>
      </c>
      <c r="E869" s="2" t="str">
        <f>IFERROR(__xludf.DUMMYFUNCTION("""COMPUTED_VALUE"""),"Minuman")</f>
        <v>Minuman</v>
      </c>
      <c r="F869" s="2">
        <f>IFERROR(__xludf.DUMMYFUNCTION("""COMPUTED_VALUE"""),10107.0)</f>
        <v>10107</v>
      </c>
      <c r="G869" s="2" t="str">
        <f>IFERROR(__xludf.DUMMYFUNCTION("""COMPUTED_VALUE"""),"Korean Mango Fresh Milk")</f>
        <v>Korean Mango Fresh Milk</v>
      </c>
      <c r="H869" s="2"/>
      <c r="I869" s="2"/>
      <c r="J869" s="2">
        <f>IFERROR(__xludf.DUMMYFUNCTION("""COMPUTED_VALUE"""),1.0)</f>
        <v>1</v>
      </c>
      <c r="K869" s="6">
        <f>IFERROR(__xludf.DUMMYFUNCTION("""COMPUTED_VALUE"""),26667.0)</f>
        <v>26667</v>
      </c>
      <c r="L869" s="2">
        <f>IFERROR(__xludf.DUMMYFUNCTION("""COMPUTED_VALUE"""),0.0)</f>
        <v>0</v>
      </c>
      <c r="M869" s="2">
        <f>IFERROR(__xludf.DUMMYFUNCTION("""COMPUTED_VALUE"""),26667.0)</f>
        <v>26667</v>
      </c>
      <c r="N869" s="2">
        <f>IFERROR(__xludf.DUMMYFUNCTION("""COMPUTED_VALUE"""),0.0)</f>
        <v>0</v>
      </c>
      <c r="O869" s="2">
        <f>IFERROR(__xludf.DUMMYFUNCTION("""COMPUTED_VALUE"""),26667.0)</f>
        <v>26667</v>
      </c>
      <c r="P869" s="2">
        <f>IFERROR(__xludf.DUMMYFUNCTION("""COMPUTED_VALUE"""),1334.0)</f>
        <v>1334</v>
      </c>
      <c r="Q869" s="2" t="str">
        <f>IFERROR(__xludf.DUMMYFUNCTION("""COMPUTED_VALUE"""),"Dine In")</f>
        <v>Dine In</v>
      </c>
      <c r="R869" s="2" t="str">
        <f>IFERROR(__xludf.DUMMYFUNCTION("""COMPUTED_VALUE"""),"Kedai")</f>
        <v>Kedai</v>
      </c>
      <c r="S869" s="2" t="str">
        <f>IFERROR(__xludf.DUMMYFUNCTION("""COMPUTED_VALUE"""),"Temu Roti")</f>
        <v>Temu Roti</v>
      </c>
      <c r="T869" s="2" t="str">
        <f>IFERROR(__xludf.DUMMYFUNCTION("""COMPUTED_VALUE"""),"Owner")</f>
        <v>Owner</v>
      </c>
      <c r="U869" s="2"/>
      <c r="V869" s="2"/>
      <c r="W869" s="2"/>
      <c r="X869" s="2" t="str">
        <f>IFERROR(__xludf.DUMMYFUNCTION("""COMPUTED_VALUE"""),"Closed")</f>
        <v>Closed</v>
      </c>
    </row>
    <row r="870">
      <c r="A870" s="3" t="s">
        <v>885</v>
      </c>
      <c r="B870" s="4">
        <f>IFERROR(__xludf.DUMMYFUNCTION("SPLIT(A870,"","",0,0)"),45548.65625)</f>
        <v>45548.65625</v>
      </c>
      <c r="C870" s="5">
        <f>IFERROR(__xludf.DUMMYFUNCTION("""COMPUTED_VALUE"""),2680548.0)</f>
        <v>2680548</v>
      </c>
      <c r="D870" s="2" t="str">
        <f>IFERROR(__xludf.DUMMYFUNCTION("""COMPUTED_VALUE"""),"Sale")</f>
        <v>Sale</v>
      </c>
      <c r="E870" s="2" t="str">
        <f>IFERROR(__xludf.DUMMYFUNCTION("""COMPUTED_VALUE"""),"Kudapan")</f>
        <v>Kudapan</v>
      </c>
      <c r="F870" s="2">
        <f>IFERROR(__xludf.DUMMYFUNCTION("""COMPUTED_VALUE"""),10014.0)</f>
        <v>10014</v>
      </c>
      <c r="G870" s="2" t="str">
        <f>IFERROR(__xludf.DUMMYFUNCTION("""COMPUTED_VALUE"""),"Tempe Mendoan")</f>
        <v>Tempe Mendoan</v>
      </c>
      <c r="H870" s="2"/>
      <c r="I870" s="2"/>
      <c r="J870" s="2">
        <f>IFERROR(__xludf.DUMMYFUNCTION("""COMPUTED_VALUE"""),1.0)</f>
        <v>1</v>
      </c>
      <c r="K870" s="6">
        <f>IFERROR(__xludf.DUMMYFUNCTION("""COMPUTED_VALUE"""),25238.0)</f>
        <v>25238</v>
      </c>
      <c r="L870" s="2">
        <f>IFERROR(__xludf.DUMMYFUNCTION("""COMPUTED_VALUE"""),0.0)</f>
        <v>0</v>
      </c>
      <c r="M870" s="2">
        <f>IFERROR(__xludf.DUMMYFUNCTION("""COMPUTED_VALUE"""),25238.0)</f>
        <v>25238</v>
      </c>
      <c r="N870" s="2">
        <f>IFERROR(__xludf.DUMMYFUNCTION("""COMPUTED_VALUE"""),0.0)</f>
        <v>0</v>
      </c>
      <c r="O870" s="2">
        <f>IFERROR(__xludf.DUMMYFUNCTION("""COMPUTED_VALUE"""),25238.0)</f>
        <v>25238</v>
      </c>
      <c r="P870" s="2">
        <f>IFERROR(__xludf.DUMMYFUNCTION("""COMPUTED_VALUE"""),1262.0)</f>
        <v>1262</v>
      </c>
      <c r="Q870" s="2" t="str">
        <f>IFERROR(__xludf.DUMMYFUNCTION("""COMPUTED_VALUE"""),"Dine In")</f>
        <v>Dine In</v>
      </c>
      <c r="R870" s="2" t="str">
        <f>IFERROR(__xludf.DUMMYFUNCTION("""COMPUTED_VALUE"""),"Kedai")</f>
        <v>Kedai</v>
      </c>
      <c r="S870" s="2" t="str">
        <f>IFERROR(__xludf.DUMMYFUNCTION("""COMPUTED_VALUE"""),"Temu Roti")</f>
        <v>Temu Roti</v>
      </c>
      <c r="T870" s="2" t="str">
        <f>IFERROR(__xludf.DUMMYFUNCTION("""COMPUTED_VALUE"""),"Owner")</f>
        <v>Owner</v>
      </c>
      <c r="U870" s="2"/>
      <c r="V870" s="2"/>
      <c r="W870" s="2"/>
      <c r="X870" s="2" t="str">
        <f>IFERROR(__xludf.DUMMYFUNCTION("""COMPUTED_VALUE"""),"Closed")</f>
        <v>Closed</v>
      </c>
    </row>
    <row r="871">
      <c r="A871" s="3" t="s">
        <v>886</v>
      </c>
      <c r="B871" s="4">
        <f>IFERROR(__xludf.DUMMYFUNCTION("SPLIT(A871,"","",0,0)"),45548.615277777775)</f>
        <v>45548.61528</v>
      </c>
      <c r="C871" s="5">
        <f>IFERROR(__xludf.DUMMYFUNCTION("""COMPUTED_VALUE"""),2680183.0)</f>
        <v>2680183</v>
      </c>
      <c r="D871" s="2" t="str">
        <f>IFERROR(__xludf.DUMMYFUNCTION("""COMPUTED_VALUE"""),"Sale")</f>
        <v>Sale</v>
      </c>
      <c r="E871" s="2" t="str">
        <f>IFERROR(__xludf.DUMMYFUNCTION("""COMPUTED_VALUE"""),"Roti")</f>
        <v>Roti</v>
      </c>
      <c r="F871" s="2">
        <f>IFERROR(__xludf.DUMMYFUNCTION("""COMPUTED_VALUE"""),10005.0)</f>
        <v>10005</v>
      </c>
      <c r="G871" s="2" t="str">
        <f>IFERROR(__xludf.DUMMYFUNCTION("""COMPUTED_VALUE"""),"Roti Gandum Cokelat")</f>
        <v>Roti Gandum Cokelat</v>
      </c>
      <c r="H871" s="2"/>
      <c r="I871" s="2"/>
      <c r="J871" s="2">
        <f>IFERROR(__xludf.DUMMYFUNCTION("""COMPUTED_VALUE"""),1.0)</f>
        <v>1</v>
      </c>
      <c r="K871" s="6">
        <f>IFERROR(__xludf.DUMMYFUNCTION("""COMPUTED_VALUE"""),19524.0)</f>
        <v>19524</v>
      </c>
      <c r="L871" s="2">
        <f>IFERROR(__xludf.DUMMYFUNCTION("""COMPUTED_VALUE"""),0.0)</f>
        <v>0</v>
      </c>
      <c r="M871" s="2">
        <f>IFERROR(__xludf.DUMMYFUNCTION("""COMPUTED_VALUE"""),19524.0)</f>
        <v>19524</v>
      </c>
      <c r="N871" s="2">
        <f>IFERROR(__xludf.DUMMYFUNCTION("""COMPUTED_VALUE"""),0.0)</f>
        <v>0</v>
      </c>
      <c r="O871" s="2">
        <f>IFERROR(__xludf.DUMMYFUNCTION("""COMPUTED_VALUE"""),19524.0)</f>
        <v>19524</v>
      </c>
      <c r="P871" s="2">
        <f>IFERROR(__xludf.DUMMYFUNCTION("""COMPUTED_VALUE"""),976.0)</f>
        <v>976</v>
      </c>
      <c r="Q871" s="2" t="str">
        <f>IFERROR(__xludf.DUMMYFUNCTION("""COMPUTED_VALUE"""),"Dine In")</f>
        <v>Dine In</v>
      </c>
      <c r="R871" s="2" t="str">
        <f>IFERROR(__xludf.DUMMYFUNCTION("""COMPUTED_VALUE"""),"Kedai")</f>
        <v>Kedai</v>
      </c>
      <c r="S871" s="2" t="str">
        <f>IFERROR(__xludf.DUMMYFUNCTION("""COMPUTED_VALUE"""),"Temu Roti")</f>
        <v>Temu Roti</v>
      </c>
      <c r="T871" s="2" t="str">
        <f>IFERROR(__xludf.DUMMYFUNCTION("""COMPUTED_VALUE"""),"Owner")</f>
        <v>Owner</v>
      </c>
      <c r="U871" s="2"/>
      <c r="V871" s="2"/>
      <c r="W871" s="2"/>
      <c r="X871" s="2" t="str">
        <f>IFERROR(__xludf.DUMMYFUNCTION("""COMPUTED_VALUE"""),"Closed")</f>
        <v>Closed</v>
      </c>
    </row>
    <row r="872">
      <c r="A872" s="3" t="s">
        <v>887</v>
      </c>
      <c r="B872" s="4">
        <f>IFERROR(__xludf.DUMMYFUNCTION("SPLIT(A872,"","",0,0)"),45548.615277777775)</f>
        <v>45548.61528</v>
      </c>
      <c r="C872" s="5">
        <f>IFERROR(__xludf.DUMMYFUNCTION("""COMPUTED_VALUE"""),2680183.0)</f>
        <v>2680183</v>
      </c>
      <c r="D872" s="2" t="str">
        <f>IFERROR(__xludf.DUMMYFUNCTION("""COMPUTED_VALUE"""),"Sale")</f>
        <v>Sale</v>
      </c>
      <c r="E872" s="2" t="str">
        <f>IFERROR(__xludf.DUMMYFUNCTION("""COMPUTED_VALUE"""),"Roti")</f>
        <v>Roti</v>
      </c>
      <c r="F872" s="2">
        <f>IFERROR(__xludf.DUMMYFUNCTION("""COMPUTED_VALUE"""),10002.0)</f>
        <v>10002</v>
      </c>
      <c r="G872" s="2" t="str">
        <f>IFERROR(__xludf.DUMMYFUNCTION("""COMPUTED_VALUE"""),"Roti Cranberry")</f>
        <v>Roti Cranberry</v>
      </c>
      <c r="H872" s="2"/>
      <c r="I872" s="2"/>
      <c r="J872" s="2">
        <f>IFERROR(__xludf.DUMMYFUNCTION("""COMPUTED_VALUE"""),1.0)</f>
        <v>1</v>
      </c>
      <c r="K872" s="6">
        <f>IFERROR(__xludf.DUMMYFUNCTION("""COMPUTED_VALUE"""),18571.0)</f>
        <v>18571</v>
      </c>
      <c r="L872" s="2">
        <f>IFERROR(__xludf.DUMMYFUNCTION("""COMPUTED_VALUE"""),0.0)</f>
        <v>0</v>
      </c>
      <c r="M872" s="2">
        <f>IFERROR(__xludf.DUMMYFUNCTION("""COMPUTED_VALUE"""),18571.0)</f>
        <v>18571</v>
      </c>
      <c r="N872" s="2">
        <f>IFERROR(__xludf.DUMMYFUNCTION("""COMPUTED_VALUE"""),0.0)</f>
        <v>0</v>
      </c>
      <c r="O872" s="2">
        <f>IFERROR(__xludf.DUMMYFUNCTION("""COMPUTED_VALUE"""),18571.0)</f>
        <v>18571</v>
      </c>
      <c r="P872" s="2">
        <f>IFERROR(__xludf.DUMMYFUNCTION("""COMPUTED_VALUE"""),929.0)</f>
        <v>929</v>
      </c>
      <c r="Q872" s="2" t="str">
        <f>IFERROR(__xludf.DUMMYFUNCTION("""COMPUTED_VALUE"""),"Dine In")</f>
        <v>Dine In</v>
      </c>
      <c r="R872" s="2" t="str">
        <f>IFERROR(__xludf.DUMMYFUNCTION("""COMPUTED_VALUE"""),"Kedai")</f>
        <v>Kedai</v>
      </c>
      <c r="S872" s="2" t="str">
        <f>IFERROR(__xludf.DUMMYFUNCTION("""COMPUTED_VALUE"""),"Temu Roti")</f>
        <v>Temu Roti</v>
      </c>
      <c r="T872" s="2" t="str">
        <f>IFERROR(__xludf.DUMMYFUNCTION("""COMPUTED_VALUE"""),"Owner")</f>
        <v>Owner</v>
      </c>
      <c r="U872" s="2"/>
      <c r="V872" s="2"/>
      <c r="W872" s="2"/>
      <c r="X872" s="2" t="str">
        <f>IFERROR(__xludf.DUMMYFUNCTION("""COMPUTED_VALUE"""),"Closed")</f>
        <v>Closed</v>
      </c>
    </row>
    <row r="873">
      <c r="A873" s="3" t="s">
        <v>888</v>
      </c>
      <c r="B873" s="4">
        <f>IFERROR(__xludf.DUMMYFUNCTION("SPLIT(A873,"","",0,0)"),45548.59027777778)</f>
        <v>45548.59028</v>
      </c>
      <c r="C873" s="5">
        <f>IFERROR(__xludf.DUMMYFUNCTION("""COMPUTED_VALUE"""),2679818.0)</f>
        <v>2679818</v>
      </c>
      <c r="D873" s="2" t="str">
        <f>IFERROR(__xludf.DUMMYFUNCTION("""COMPUTED_VALUE"""),"Sale")</f>
        <v>Sale</v>
      </c>
      <c r="E873" s="2" t="str">
        <f>IFERROR(__xludf.DUMMYFUNCTION("""COMPUTED_VALUE"""),"Minuman")</f>
        <v>Minuman</v>
      </c>
      <c r="F873" s="2">
        <f>IFERROR(__xludf.DUMMYFUNCTION("""COMPUTED_VALUE"""),10128.0)</f>
        <v>10128</v>
      </c>
      <c r="G873" s="2" t="str">
        <f>IFERROR(__xludf.DUMMYFUNCTION("""COMPUTED_VALUE"""),"Es Kopi Susu")</f>
        <v>Es Kopi Susu</v>
      </c>
      <c r="H873" s="2"/>
      <c r="I873" s="2"/>
      <c r="J873" s="2">
        <f>IFERROR(__xludf.DUMMYFUNCTION("""COMPUTED_VALUE"""),1.0)</f>
        <v>1</v>
      </c>
      <c r="K873" s="6">
        <f>IFERROR(__xludf.DUMMYFUNCTION("""COMPUTED_VALUE"""),23333.0)</f>
        <v>23333</v>
      </c>
      <c r="L873" s="2">
        <f>IFERROR(__xludf.DUMMYFUNCTION("""COMPUTED_VALUE"""),0.0)</f>
        <v>0</v>
      </c>
      <c r="M873" s="2">
        <f>IFERROR(__xludf.DUMMYFUNCTION("""COMPUTED_VALUE"""),23333.0)</f>
        <v>23333</v>
      </c>
      <c r="N873" s="2">
        <f>IFERROR(__xludf.DUMMYFUNCTION("""COMPUTED_VALUE"""),0.0)</f>
        <v>0</v>
      </c>
      <c r="O873" s="2">
        <f>IFERROR(__xludf.DUMMYFUNCTION("""COMPUTED_VALUE"""),23333.0)</f>
        <v>23333</v>
      </c>
      <c r="P873" s="2">
        <f>IFERROR(__xludf.DUMMYFUNCTION("""COMPUTED_VALUE"""),1167.0)</f>
        <v>1167</v>
      </c>
      <c r="Q873" s="2" t="str">
        <f>IFERROR(__xludf.DUMMYFUNCTION("""COMPUTED_VALUE"""),"Dine In")</f>
        <v>Dine In</v>
      </c>
      <c r="R873" s="2" t="str">
        <f>IFERROR(__xludf.DUMMYFUNCTION("""COMPUTED_VALUE"""),"Kedai")</f>
        <v>Kedai</v>
      </c>
      <c r="S873" s="2" t="str">
        <f>IFERROR(__xludf.DUMMYFUNCTION("""COMPUTED_VALUE"""),"Temu Roti")</f>
        <v>Temu Roti</v>
      </c>
      <c r="T873" s="2" t="str">
        <f>IFERROR(__xludf.DUMMYFUNCTION("""COMPUTED_VALUE"""),"Owner")</f>
        <v>Owner</v>
      </c>
      <c r="U873" s="2"/>
      <c r="V873" s="2"/>
      <c r="W873" s="2"/>
      <c r="X873" s="2" t="str">
        <f>IFERROR(__xludf.DUMMYFUNCTION("""COMPUTED_VALUE"""),"Closed")</f>
        <v>Closed</v>
      </c>
    </row>
    <row r="874">
      <c r="A874" s="3" t="s">
        <v>889</v>
      </c>
      <c r="B874" s="4">
        <f>IFERROR(__xludf.DUMMYFUNCTION("SPLIT(A874,"","",0,0)"),45548.59027777778)</f>
        <v>45548.59028</v>
      </c>
      <c r="C874" s="5">
        <f>IFERROR(__xludf.DUMMYFUNCTION("""COMPUTED_VALUE"""),2679818.0)</f>
        <v>2679818</v>
      </c>
      <c r="D874" s="2" t="str">
        <f>IFERROR(__xludf.DUMMYFUNCTION("""COMPUTED_VALUE"""),"Sale")</f>
        <v>Sale</v>
      </c>
      <c r="E874" s="2" t="str">
        <f>IFERROR(__xludf.DUMMYFUNCTION("""COMPUTED_VALUE"""),"Roti")</f>
        <v>Roti</v>
      </c>
      <c r="F874" s="2">
        <f>IFERROR(__xludf.DUMMYFUNCTION("""COMPUTED_VALUE"""),10002.0)</f>
        <v>10002</v>
      </c>
      <c r="G874" s="2" t="str">
        <f>IFERROR(__xludf.DUMMYFUNCTION("""COMPUTED_VALUE"""),"Roti Cranberry")</f>
        <v>Roti Cranberry</v>
      </c>
      <c r="H874" s="2"/>
      <c r="I874" s="2"/>
      <c r="J874" s="2">
        <f>IFERROR(__xludf.DUMMYFUNCTION("""COMPUTED_VALUE"""),1.0)</f>
        <v>1</v>
      </c>
      <c r="K874" s="6">
        <f>IFERROR(__xludf.DUMMYFUNCTION("""COMPUTED_VALUE"""),18571.0)</f>
        <v>18571</v>
      </c>
      <c r="L874" s="2">
        <f>IFERROR(__xludf.DUMMYFUNCTION("""COMPUTED_VALUE"""),0.0)</f>
        <v>0</v>
      </c>
      <c r="M874" s="2">
        <f>IFERROR(__xludf.DUMMYFUNCTION("""COMPUTED_VALUE"""),18571.0)</f>
        <v>18571</v>
      </c>
      <c r="N874" s="2">
        <f>IFERROR(__xludf.DUMMYFUNCTION("""COMPUTED_VALUE"""),0.0)</f>
        <v>0</v>
      </c>
      <c r="O874" s="2">
        <f>IFERROR(__xludf.DUMMYFUNCTION("""COMPUTED_VALUE"""),18571.0)</f>
        <v>18571</v>
      </c>
      <c r="P874" s="2">
        <f>IFERROR(__xludf.DUMMYFUNCTION("""COMPUTED_VALUE"""),928.0)</f>
        <v>928</v>
      </c>
      <c r="Q874" s="2" t="str">
        <f>IFERROR(__xludf.DUMMYFUNCTION("""COMPUTED_VALUE"""),"Dine In")</f>
        <v>Dine In</v>
      </c>
      <c r="R874" s="2" t="str">
        <f>IFERROR(__xludf.DUMMYFUNCTION("""COMPUTED_VALUE"""),"Kedai")</f>
        <v>Kedai</v>
      </c>
      <c r="S874" s="2" t="str">
        <f>IFERROR(__xludf.DUMMYFUNCTION("""COMPUTED_VALUE"""),"Temu Roti")</f>
        <v>Temu Roti</v>
      </c>
      <c r="T874" s="2" t="str">
        <f>IFERROR(__xludf.DUMMYFUNCTION("""COMPUTED_VALUE"""),"Owner")</f>
        <v>Owner</v>
      </c>
      <c r="U874" s="2"/>
      <c r="V874" s="2"/>
      <c r="W874" s="2"/>
      <c r="X874" s="2" t="str">
        <f>IFERROR(__xludf.DUMMYFUNCTION("""COMPUTED_VALUE"""),"Closed")</f>
        <v>Closed</v>
      </c>
    </row>
    <row r="875">
      <c r="A875" s="3" t="s">
        <v>890</v>
      </c>
      <c r="B875" s="4">
        <f>IFERROR(__xludf.DUMMYFUNCTION("SPLIT(A875,"","",0,0)"),45548.58819444444)</f>
        <v>45548.58819</v>
      </c>
      <c r="C875" s="5">
        <f>IFERROR(__xludf.DUMMYFUNCTION("""COMPUTED_VALUE"""),2679452.0)</f>
        <v>2679452</v>
      </c>
      <c r="D875" s="2" t="str">
        <f>IFERROR(__xludf.DUMMYFUNCTION("""COMPUTED_VALUE"""),"Sale")</f>
        <v>Sale</v>
      </c>
      <c r="E875" s="2" t="str">
        <f>IFERROR(__xludf.DUMMYFUNCTION("""COMPUTED_VALUE"""),"Promo")</f>
        <v>Promo</v>
      </c>
      <c r="F875" s="2">
        <f>IFERROR(__xludf.DUMMYFUNCTION("""COMPUTED_VALUE"""),10023.0)</f>
        <v>10023</v>
      </c>
      <c r="G875" s="2" t="str">
        <f>IFERROR(__xludf.DUMMYFUNCTION("""COMPUTED_VALUE"""),"(Voucher Gratis) Es Kopi Susu")</f>
        <v>(Voucher Gratis) Es Kopi Susu</v>
      </c>
      <c r="H875" s="2"/>
      <c r="I875" s="2"/>
      <c r="J875" s="2">
        <f>IFERROR(__xludf.DUMMYFUNCTION("""COMPUTED_VALUE"""),3.0)</f>
        <v>3</v>
      </c>
      <c r="K875" s="6">
        <f>IFERROR(__xludf.DUMMYFUNCTION("""COMPUTED_VALUE"""),0.0)</f>
        <v>0</v>
      </c>
      <c r="L875" s="2">
        <f>IFERROR(__xludf.DUMMYFUNCTION("""COMPUTED_VALUE"""),0.0)</f>
        <v>0</v>
      </c>
      <c r="M875" s="2">
        <f>IFERROR(__xludf.DUMMYFUNCTION("""COMPUTED_VALUE"""),0.0)</f>
        <v>0</v>
      </c>
      <c r="N875" s="2">
        <f>IFERROR(__xludf.DUMMYFUNCTION("""COMPUTED_VALUE"""),0.0)</f>
        <v>0</v>
      </c>
      <c r="O875" s="2">
        <f>IFERROR(__xludf.DUMMYFUNCTION("""COMPUTED_VALUE"""),0.0)</f>
        <v>0</v>
      </c>
      <c r="P875" s="2">
        <f>IFERROR(__xludf.DUMMYFUNCTION("""COMPUTED_VALUE"""),0.0)</f>
        <v>0</v>
      </c>
      <c r="Q875" s="2" t="str">
        <f>IFERROR(__xludf.DUMMYFUNCTION("""COMPUTED_VALUE"""),"Dine In")</f>
        <v>Dine In</v>
      </c>
      <c r="R875" s="2" t="str">
        <f>IFERROR(__xludf.DUMMYFUNCTION("""COMPUTED_VALUE"""),"Kedai")</f>
        <v>Kedai</v>
      </c>
      <c r="S875" s="2" t="str">
        <f>IFERROR(__xludf.DUMMYFUNCTION("""COMPUTED_VALUE"""),"Temu Roti")</f>
        <v>Temu Roti</v>
      </c>
      <c r="T875" s="2" t="str">
        <f>IFERROR(__xludf.DUMMYFUNCTION("""COMPUTED_VALUE"""),"Owner")</f>
        <v>Owner</v>
      </c>
      <c r="U875" s="2"/>
      <c r="V875" s="2"/>
      <c r="W875" s="2"/>
      <c r="X875" s="2" t="str">
        <f>IFERROR(__xludf.DUMMYFUNCTION("""COMPUTED_VALUE"""),"Closed")</f>
        <v>Closed</v>
      </c>
    </row>
    <row r="876">
      <c r="A876" s="3" t="s">
        <v>891</v>
      </c>
      <c r="B876" s="4">
        <f>IFERROR(__xludf.DUMMYFUNCTION("SPLIT(A876,"","",0,0)"),45548.58819444444)</f>
        <v>45548.58819</v>
      </c>
      <c r="C876" s="5">
        <f>IFERROR(__xludf.DUMMYFUNCTION("""COMPUTED_VALUE"""),2679452.0)</f>
        <v>2679452</v>
      </c>
      <c r="D876" s="2" t="str">
        <f>IFERROR(__xludf.DUMMYFUNCTION("""COMPUTED_VALUE"""),"Sale")</f>
        <v>Sale</v>
      </c>
      <c r="E876" s="2" t="str">
        <f>IFERROR(__xludf.DUMMYFUNCTION("""COMPUTED_VALUE"""),"Promo")</f>
        <v>Promo</v>
      </c>
      <c r="F876" s="2">
        <f>IFERROR(__xludf.DUMMYFUNCTION("""COMPUTED_VALUE"""),10021.0)</f>
        <v>10021</v>
      </c>
      <c r="G876" s="2" t="str">
        <f>IFERROR(__xludf.DUMMYFUNCTION("""COMPUTED_VALUE"""),"(Voucher Gratis) Roti Gandum Coklat")</f>
        <v>(Voucher Gratis) Roti Gandum Coklat</v>
      </c>
      <c r="H876" s="2"/>
      <c r="I876" s="2"/>
      <c r="J876" s="2">
        <f>IFERROR(__xludf.DUMMYFUNCTION("""COMPUTED_VALUE"""),2.0)</f>
        <v>2</v>
      </c>
      <c r="K876" s="6">
        <f>IFERROR(__xludf.DUMMYFUNCTION("""COMPUTED_VALUE"""),0.0)</f>
        <v>0</v>
      </c>
      <c r="L876" s="2">
        <f>IFERROR(__xludf.DUMMYFUNCTION("""COMPUTED_VALUE"""),0.0)</f>
        <v>0</v>
      </c>
      <c r="M876" s="2">
        <f>IFERROR(__xludf.DUMMYFUNCTION("""COMPUTED_VALUE"""),0.0)</f>
        <v>0</v>
      </c>
      <c r="N876" s="2">
        <f>IFERROR(__xludf.DUMMYFUNCTION("""COMPUTED_VALUE"""),0.0)</f>
        <v>0</v>
      </c>
      <c r="O876" s="2">
        <f>IFERROR(__xludf.DUMMYFUNCTION("""COMPUTED_VALUE"""),0.0)</f>
        <v>0</v>
      </c>
      <c r="P876" s="2">
        <f>IFERROR(__xludf.DUMMYFUNCTION("""COMPUTED_VALUE"""),0.0)</f>
        <v>0</v>
      </c>
      <c r="Q876" s="2" t="str">
        <f>IFERROR(__xludf.DUMMYFUNCTION("""COMPUTED_VALUE"""),"Dine In")</f>
        <v>Dine In</v>
      </c>
      <c r="R876" s="2" t="str">
        <f>IFERROR(__xludf.DUMMYFUNCTION("""COMPUTED_VALUE"""),"Kedai")</f>
        <v>Kedai</v>
      </c>
      <c r="S876" s="2" t="str">
        <f>IFERROR(__xludf.DUMMYFUNCTION("""COMPUTED_VALUE"""),"Temu Roti")</f>
        <v>Temu Roti</v>
      </c>
      <c r="T876" s="2" t="str">
        <f>IFERROR(__xludf.DUMMYFUNCTION("""COMPUTED_VALUE"""),"Owner")</f>
        <v>Owner</v>
      </c>
      <c r="U876" s="2"/>
      <c r="V876" s="2"/>
      <c r="W876" s="2"/>
      <c r="X876" s="2" t="str">
        <f>IFERROR(__xludf.DUMMYFUNCTION("""COMPUTED_VALUE"""),"Closed")</f>
        <v>Closed</v>
      </c>
    </row>
    <row r="877">
      <c r="A877" s="3" t="s">
        <v>892</v>
      </c>
      <c r="B877" s="4">
        <f>IFERROR(__xludf.DUMMYFUNCTION("SPLIT(A877,"","",0,0)"),45548.58819444444)</f>
        <v>45548.58819</v>
      </c>
      <c r="C877" s="5">
        <f>IFERROR(__xludf.DUMMYFUNCTION("""COMPUTED_VALUE"""),2679452.0)</f>
        <v>2679452</v>
      </c>
      <c r="D877" s="2" t="str">
        <f>IFERROR(__xludf.DUMMYFUNCTION("""COMPUTED_VALUE"""),"Sale")</f>
        <v>Sale</v>
      </c>
      <c r="E877" s="2" t="str">
        <f>IFERROR(__xludf.DUMMYFUNCTION("""COMPUTED_VALUE"""),"Promo")</f>
        <v>Promo</v>
      </c>
      <c r="F877" s="2">
        <f>IFERROR(__xludf.DUMMYFUNCTION("""COMPUTED_VALUE"""),10022.0)</f>
        <v>10022</v>
      </c>
      <c r="G877" s="2" t="str">
        <f>IFERROR(__xludf.DUMMYFUNCTION("""COMPUTED_VALUE"""),"(Voucher Gratis) Roti Cranberry Cheese")</f>
        <v>(Voucher Gratis) Roti Cranberry Cheese</v>
      </c>
      <c r="H877" s="2"/>
      <c r="I877" s="2"/>
      <c r="J877" s="2">
        <f>IFERROR(__xludf.DUMMYFUNCTION("""COMPUTED_VALUE"""),1.0)</f>
        <v>1</v>
      </c>
      <c r="K877" s="6">
        <f>IFERROR(__xludf.DUMMYFUNCTION("""COMPUTED_VALUE"""),0.0)</f>
        <v>0</v>
      </c>
      <c r="L877" s="2">
        <f>IFERROR(__xludf.DUMMYFUNCTION("""COMPUTED_VALUE"""),0.0)</f>
        <v>0</v>
      </c>
      <c r="M877" s="2">
        <f>IFERROR(__xludf.DUMMYFUNCTION("""COMPUTED_VALUE"""),0.0)</f>
        <v>0</v>
      </c>
      <c r="N877" s="2">
        <f>IFERROR(__xludf.DUMMYFUNCTION("""COMPUTED_VALUE"""),0.0)</f>
        <v>0</v>
      </c>
      <c r="O877" s="2">
        <f>IFERROR(__xludf.DUMMYFUNCTION("""COMPUTED_VALUE"""),0.0)</f>
        <v>0</v>
      </c>
      <c r="P877" s="2">
        <f>IFERROR(__xludf.DUMMYFUNCTION("""COMPUTED_VALUE"""),0.0)</f>
        <v>0</v>
      </c>
      <c r="Q877" s="2" t="str">
        <f>IFERROR(__xludf.DUMMYFUNCTION("""COMPUTED_VALUE"""),"Dine In")</f>
        <v>Dine In</v>
      </c>
      <c r="R877" s="2" t="str">
        <f>IFERROR(__xludf.DUMMYFUNCTION("""COMPUTED_VALUE"""),"Kedai")</f>
        <v>Kedai</v>
      </c>
      <c r="S877" s="2" t="str">
        <f>IFERROR(__xludf.DUMMYFUNCTION("""COMPUTED_VALUE"""),"Temu Roti")</f>
        <v>Temu Roti</v>
      </c>
      <c r="T877" s="2" t="str">
        <f>IFERROR(__xludf.DUMMYFUNCTION("""COMPUTED_VALUE"""),"Owner")</f>
        <v>Owner</v>
      </c>
      <c r="U877" s="2"/>
      <c r="V877" s="2"/>
      <c r="W877" s="2"/>
      <c r="X877" s="2" t="str">
        <f>IFERROR(__xludf.DUMMYFUNCTION("""COMPUTED_VALUE"""),"Closed")</f>
        <v>Closed</v>
      </c>
    </row>
    <row r="878">
      <c r="A878" s="3" t="s">
        <v>893</v>
      </c>
      <c r="B878" s="4">
        <f>IFERROR(__xludf.DUMMYFUNCTION("SPLIT(A878,"","",0,0)"),45548.57638888889)</f>
        <v>45548.57639</v>
      </c>
      <c r="C878" s="5">
        <f>IFERROR(__xludf.DUMMYFUNCTION("""COMPUTED_VALUE"""),2679087.0)</f>
        <v>2679087</v>
      </c>
      <c r="D878" s="2" t="str">
        <f>IFERROR(__xludf.DUMMYFUNCTION("""COMPUTED_VALUE"""),"Sale")</f>
        <v>Sale</v>
      </c>
      <c r="E878" s="2" t="str">
        <f>IFERROR(__xludf.DUMMYFUNCTION("""COMPUTED_VALUE"""),"Kudapan")</f>
        <v>Kudapan</v>
      </c>
      <c r="F878" s="2">
        <f>IFERROR(__xludf.DUMMYFUNCTION("""COMPUTED_VALUE"""),10011.0)</f>
        <v>10011</v>
      </c>
      <c r="G878" s="2" t="str">
        <f>IFERROR(__xludf.DUMMYFUNCTION("""COMPUTED_VALUE"""),"Kentang Goreng")</f>
        <v>Kentang Goreng</v>
      </c>
      <c r="H878" s="2"/>
      <c r="I878" s="2"/>
      <c r="J878" s="2">
        <f>IFERROR(__xludf.DUMMYFUNCTION("""COMPUTED_VALUE"""),1.0)</f>
        <v>1</v>
      </c>
      <c r="K878" s="6">
        <f>IFERROR(__xludf.DUMMYFUNCTION("""COMPUTED_VALUE"""),25238.0)</f>
        <v>25238</v>
      </c>
      <c r="L878" s="2">
        <f>IFERROR(__xludf.DUMMYFUNCTION("""COMPUTED_VALUE"""),0.0)</f>
        <v>0</v>
      </c>
      <c r="M878" s="2">
        <f>IFERROR(__xludf.DUMMYFUNCTION("""COMPUTED_VALUE"""),25238.0)</f>
        <v>25238</v>
      </c>
      <c r="N878" s="2">
        <f>IFERROR(__xludf.DUMMYFUNCTION("""COMPUTED_VALUE"""),0.0)</f>
        <v>0</v>
      </c>
      <c r="O878" s="2">
        <f>IFERROR(__xludf.DUMMYFUNCTION("""COMPUTED_VALUE"""),25238.0)</f>
        <v>25238</v>
      </c>
      <c r="P878" s="2">
        <f>IFERROR(__xludf.DUMMYFUNCTION("""COMPUTED_VALUE"""),1262.0)</f>
        <v>1262</v>
      </c>
      <c r="Q878" s="2" t="str">
        <f>IFERROR(__xludf.DUMMYFUNCTION("""COMPUTED_VALUE"""),"Dine In")</f>
        <v>Dine In</v>
      </c>
      <c r="R878" s="2" t="str">
        <f>IFERROR(__xludf.DUMMYFUNCTION("""COMPUTED_VALUE"""),"Kedai")</f>
        <v>Kedai</v>
      </c>
      <c r="S878" s="2" t="str">
        <f>IFERROR(__xludf.DUMMYFUNCTION("""COMPUTED_VALUE"""),"Temu Roti")</f>
        <v>Temu Roti</v>
      </c>
      <c r="T878" s="2" t="str">
        <f>IFERROR(__xludf.DUMMYFUNCTION("""COMPUTED_VALUE"""),"Owner")</f>
        <v>Owner</v>
      </c>
      <c r="U878" s="2"/>
      <c r="V878" s="2"/>
      <c r="W878" s="2"/>
      <c r="X878" s="2" t="str">
        <f>IFERROR(__xludf.DUMMYFUNCTION("""COMPUTED_VALUE"""),"Closed")</f>
        <v>Closed</v>
      </c>
    </row>
    <row r="879">
      <c r="A879" s="3" t="s">
        <v>894</v>
      </c>
      <c r="B879" s="4">
        <f>IFERROR(__xludf.DUMMYFUNCTION("SPLIT(A879,"","",0,0)"),45548.57638888889)</f>
        <v>45548.57639</v>
      </c>
      <c r="C879" s="5">
        <f>IFERROR(__xludf.DUMMYFUNCTION("""COMPUTED_VALUE"""),2679087.0)</f>
        <v>2679087</v>
      </c>
      <c r="D879" s="2" t="str">
        <f>IFERROR(__xludf.DUMMYFUNCTION("""COMPUTED_VALUE"""),"Sale")</f>
        <v>Sale</v>
      </c>
      <c r="E879" s="2" t="str">
        <f>IFERROR(__xludf.DUMMYFUNCTION("""COMPUTED_VALUE"""),"Minuman")</f>
        <v>Minuman</v>
      </c>
      <c r="F879" s="2">
        <f>IFERROR(__xludf.DUMMYFUNCTION("""COMPUTED_VALUE"""),10128.0)</f>
        <v>10128</v>
      </c>
      <c r="G879" s="2" t="str">
        <f>IFERROR(__xludf.DUMMYFUNCTION("""COMPUTED_VALUE"""),"Es Kopi Susu")</f>
        <v>Es Kopi Susu</v>
      </c>
      <c r="H879" s="2"/>
      <c r="I879" s="2"/>
      <c r="J879" s="2">
        <f>IFERROR(__xludf.DUMMYFUNCTION("""COMPUTED_VALUE"""),1.0)</f>
        <v>1</v>
      </c>
      <c r="K879" s="6">
        <f>IFERROR(__xludf.DUMMYFUNCTION("""COMPUTED_VALUE"""),23333.0)</f>
        <v>23333</v>
      </c>
      <c r="L879" s="2">
        <f>IFERROR(__xludf.DUMMYFUNCTION("""COMPUTED_VALUE"""),0.0)</f>
        <v>0</v>
      </c>
      <c r="M879" s="2">
        <f>IFERROR(__xludf.DUMMYFUNCTION("""COMPUTED_VALUE"""),23333.0)</f>
        <v>23333</v>
      </c>
      <c r="N879" s="2">
        <f>IFERROR(__xludf.DUMMYFUNCTION("""COMPUTED_VALUE"""),0.0)</f>
        <v>0</v>
      </c>
      <c r="O879" s="2">
        <f>IFERROR(__xludf.DUMMYFUNCTION("""COMPUTED_VALUE"""),23333.0)</f>
        <v>23333</v>
      </c>
      <c r="P879" s="2">
        <f>IFERROR(__xludf.DUMMYFUNCTION("""COMPUTED_VALUE"""),1167.0)</f>
        <v>1167</v>
      </c>
      <c r="Q879" s="2" t="str">
        <f>IFERROR(__xludf.DUMMYFUNCTION("""COMPUTED_VALUE"""),"Dine In")</f>
        <v>Dine In</v>
      </c>
      <c r="R879" s="2" t="str">
        <f>IFERROR(__xludf.DUMMYFUNCTION("""COMPUTED_VALUE"""),"Kedai")</f>
        <v>Kedai</v>
      </c>
      <c r="S879" s="2" t="str">
        <f>IFERROR(__xludf.DUMMYFUNCTION("""COMPUTED_VALUE"""),"Temu Roti")</f>
        <v>Temu Roti</v>
      </c>
      <c r="T879" s="2" t="str">
        <f>IFERROR(__xludf.DUMMYFUNCTION("""COMPUTED_VALUE"""),"Owner")</f>
        <v>Owner</v>
      </c>
      <c r="U879" s="2"/>
      <c r="V879" s="2"/>
      <c r="W879" s="2"/>
      <c r="X879" s="2" t="str">
        <f>IFERROR(__xludf.DUMMYFUNCTION("""COMPUTED_VALUE"""),"Closed")</f>
        <v>Closed</v>
      </c>
    </row>
    <row r="880">
      <c r="A880" s="3" t="s">
        <v>895</v>
      </c>
      <c r="B880" s="4">
        <f>IFERROR(__xludf.DUMMYFUNCTION("SPLIT(A880,"","",0,0)"),45548.57638888889)</f>
        <v>45548.57639</v>
      </c>
      <c r="C880" s="5">
        <f>IFERROR(__xludf.DUMMYFUNCTION("""COMPUTED_VALUE"""),2679087.0)</f>
        <v>2679087</v>
      </c>
      <c r="D880" s="2" t="str">
        <f>IFERROR(__xludf.DUMMYFUNCTION("""COMPUTED_VALUE"""),"Sale")</f>
        <v>Sale</v>
      </c>
      <c r="E880" s="2" t="str">
        <f>IFERROR(__xludf.DUMMYFUNCTION("""COMPUTED_VALUE"""),"Roti")</f>
        <v>Roti</v>
      </c>
      <c r="F880" s="2">
        <f>IFERROR(__xludf.DUMMYFUNCTION("""COMPUTED_VALUE"""),10007.0)</f>
        <v>10007</v>
      </c>
      <c r="G880" s="2" t="str">
        <f>IFERROR(__xludf.DUMMYFUNCTION("""COMPUTED_VALUE"""),"Roti cranberry 2 pcs")</f>
        <v>Roti cranberry 2 pcs</v>
      </c>
      <c r="H880" s="2"/>
      <c r="I880" s="2"/>
      <c r="J880" s="2">
        <f>IFERROR(__xludf.DUMMYFUNCTION("""COMPUTED_VALUE"""),2.0)</f>
        <v>2</v>
      </c>
      <c r="K880" s="6">
        <f>IFERROR(__xludf.DUMMYFUNCTION("""COMPUTED_VALUE"""),67620.0)</f>
        <v>67620</v>
      </c>
      <c r="L880" s="2">
        <f>IFERROR(__xludf.DUMMYFUNCTION("""COMPUTED_VALUE"""),0.0)</f>
        <v>0</v>
      </c>
      <c r="M880" s="2">
        <f>IFERROR(__xludf.DUMMYFUNCTION("""COMPUTED_VALUE"""),67620.0)</f>
        <v>67620</v>
      </c>
      <c r="N880" s="2">
        <f>IFERROR(__xludf.DUMMYFUNCTION("""COMPUTED_VALUE"""),0.0)</f>
        <v>0</v>
      </c>
      <c r="O880" s="2">
        <f>IFERROR(__xludf.DUMMYFUNCTION("""COMPUTED_VALUE"""),67620.0)</f>
        <v>67620</v>
      </c>
      <c r="P880" s="2">
        <f>IFERROR(__xludf.DUMMYFUNCTION("""COMPUTED_VALUE"""),3381.0)</f>
        <v>3381</v>
      </c>
      <c r="Q880" s="2" t="str">
        <f>IFERROR(__xludf.DUMMYFUNCTION("""COMPUTED_VALUE"""),"Dine In")</f>
        <v>Dine In</v>
      </c>
      <c r="R880" s="2" t="str">
        <f>IFERROR(__xludf.DUMMYFUNCTION("""COMPUTED_VALUE"""),"Kedai")</f>
        <v>Kedai</v>
      </c>
      <c r="S880" s="2" t="str">
        <f>IFERROR(__xludf.DUMMYFUNCTION("""COMPUTED_VALUE"""),"Temu Roti")</f>
        <v>Temu Roti</v>
      </c>
      <c r="T880" s="2" t="str">
        <f>IFERROR(__xludf.DUMMYFUNCTION("""COMPUTED_VALUE"""),"Owner")</f>
        <v>Owner</v>
      </c>
      <c r="U880" s="2"/>
      <c r="V880" s="2"/>
      <c r="W880" s="2"/>
      <c r="X880" s="2" t="str">
        <f>IFERROR(__xludf.DUMMYFUNCTION("""COMPUTED_VALUE"""),"Closed")</f>
        <v>Closed</v>
      </c>
    </row>
    <row r="881">
      <c r="A881" s="3" t="s">
        <v>896</v>
      </c>
      <c r="B881" s="4">
        <f>IFERROR(__xludf.DUMMYFUNCTION("SPLIT(A881,"","",0,0)"),45547.87708333333)</f>
        <v>45547.87708</v>
      </c>
      <c r="C881" s="5">
        <f>IFERROR(__xludf.DUMMYFUNCTION("""COMPUTED_VALUE"""),2678722.0)</f>
        <v>2678722</v>
      </c>
      <c r="D881" s="2" t="str">
        <f>IFERROR(__xludf.DUMMYFUNCTION("""COMPUTED_VALUE"""),"Sale")</f>
        <v>Sale</v>
      </c>
      <c r="E881" s="2" t="str">
        <f>IFERROR(__xludf.DUMMYFUNCTION("""COMPUTED_VALUE"""),"Roti")</f>
        <v>Roti</v>
      </c>
      <c r="F881" s="2">
        <f>IFERROR(__xludf.DUMMYFUNCTION("""COMPUTED_VALUE"""),10005.0)</f>
        <v>10005</v>
      </c>
      <c r="G881" s="2" t="str">
        <f>IFERROR(__xludf.DUMMYFUNCTION("""COMPUTED_VALUE"""),"Roti Gandum Cokelat")</f>
        <v>Roti Gandum Cokelat</v>
      </c>
      <c r="H881" s="2"/>
      <c r="I881" s="2"/>
      <c r="J881" s="2">
        <f>IFERROR(__xludf.DUMMYFUNCTION("""COMPUTED_VALUE"""),2.0)</f>
        <v>2</v>
      </c>
      <c r="K881" s="6">
        <f>IFERROR(__xludf.DUMMYFUNCTION("""COMPUTED_VALUE"""),39048.0)</f>
        <v>39048</v>
      </c>
      <c r="L881" s="2">
        <f>IFERROR(__xludf.DUMMYFUNCTION("""COMPUTED_VALUE"""),0.0)</f>
        <v>0</v>
      </c>
      <c r="M881" s="2">
        <f>IFERROR(__xludf.DUMMYFUNCTION("""COMPUTED_VALUE"""),39048.0)</f>
        <v>39048</v>
      </c>
      <c r="N881" s="2">
        <f>IFERROR(__xludf.DUMMYFUNCTION("""COMPUTED_VALUE"""),0.0)</f>
        <v>0</v>
      </c>
      <c r="O881" s="2">
        <f>IFERROR(__xludf.DUMMYFUNCTION("""COMPUTED_VALUE"""),39048.0)</f>
        <v>39048</v>
      </c>
      <c r="P881" s="2">
        <f>IFERROR(__xludf.DUMMYFUNCTION("""COMPUTED_VALUE"""),1952.0)</f>
        <v>1952</v>
      </c>
      <c r="Q881" s="2" t="str">
        <f>IFERROR(__xludf.DUMMYFUNCTION("""COMPUTED_VALUE"""),"Dine In")</f>
        <v>Dine In</v>
      </c>
      <c r="R881" s="2" t="str">
        <f>IFERROR(__xludf.DUMMYFUNCTION("""COMPUTED_VALUE"""),"Kedai")</f>
        <v>Kedai</v>
      </c>
      <c r="S881" s="2" t="str">
        <f>IFERROR(__xludf.DUMMYFUNCTION("""COMPUTED_VALUE"""),"Temu Roti")</f>
        <v>Temu Roti</v>
      </c>
      <c r="T881" s="2" t="str">
        <f>IFERROR(__xludf.DUMMYFUNCTION("""COMPUTED_VALUE"""),"Owner")</f>
        <v>Owner</v>
      </c>
      <c r="U881" s="2"/>
      <c r="V881" s="2"/>
      <c r="W881" s="2"/>
      <c r="X881" s="2" t="str">
        <f>IFERROR(__xludf.DUMMYFUNCTION("""COMPUTED_VALUE"""),"Closed")</f>
        <v>Closed</v>
      </c>
    </row>
    <row r="882">
      <c r="A882" s="3" t="s">
        <v>897</v>
      </c>
      <c r="B882" s="4">
        <f>IFERROR(__xludf.DUMMYFUNCTION("SPLIT(A882,"","",0,0)"),45547.87152777778)</f>
        <v>45547.87153</v>
      </c>
      <c r="C882" s="5">
        <f>IFERROR(__xludf.DUMMYFUNCTION("""COMPUTED_VALUE"""),2678357.0)</f>
        <v>2678357</v>
      </c>
      <c r="D882" s="2" t="str">
        <f>IFERROR(__xludf.DUMMYFUNCTION("""COMPUTED_VALUE"""),"Sale")</f>
        <v>Sale</v>
      </c>
      <c r="E882" s="2" t="str">
        <f>IFERROR(__xludf.DUMMYFUNCTION("""COMPUTED_VALUE"""),"Roti")</f>
        <v>Roti</v>
      </c>
      <c r="F882" s="2">
        <f>IFERROR(__xludf.DUMMYFUNCTION("""COMPUTED_VALUE"""),10005.0)</f>
        <v>10005</v>
      </c>
      <c r="G882" s="2" t="str">
        <f>IFERROR(__xludf.DUMMYFUNCTION("""COMPUTED_VALUE"""),"Roti Gandum Cokelat")</f>
        <v>Roti Gandum Cokelat</v>
      </c>
      <c r="H882" s="2"/>
      <c r="I882" s="2"/>
      <c r="J882" s="2">
        <f>IFERROR(__xludf.DUMMYFUNCTION("""COMPUTED_VALUE"""),1.0)</f>
        <v>1</v>
      </c>
      <c r="K882" s="6">
        <f>IFERROR(__xludf.DUMMYFUNCTION("""COMPUTED_VALUE"""),19524.0)</f>
        <v>19524</v>
      </c>
      <c r="L882" s="2">
        <f>IFERROR(__xludf.DUMMYFUNCTION("""COMPUTED_VALUE"""),0.0)</f>
        <v>0</v>
      </c>
      <c r="M882" s="2">
        <f>IFERROR(__xludf.DUMMYFUNCTION("""COMPUTED_VALUE"""),19524.0)</f>
        <v>19524</v>
      </c>
      <c r="N882" s="2">
        <f>IFERROR(__xludf.DUMMYFUNCTION("""COMPUTED_VALUE"""),0.0)</f>
        <v>0</v>
      </c>
      <c r="O882" s="2">
        <f>IFERROR(__xludf.DUMMYFUNCTION("""COMPUTED_VALUE"""),19524.0)</f>
        <v>19524</v>
      </c>
      <c r="P882" s="2">
        <f>IFERROR(__xludf.DUMMYFUNCTION("""COMPUTED_VALUE"""),976.0)</f>
        <v>976</v>
      </c>
      <c r="Q882" s="2" t="str">
        <f>IFERROR(__xludf.DUMMYFUNCTION("""COMPUTED_VALUE"""),"Dine In")</f>
        <v>Dine In</v>
      </c>
      <c r="R882" s="2" t="str">
        <f>IFERROR(__xludf.DUMMYFUNCTION("""COMPUTED_VALUE"""),"Kedai")</f>
        <v>Kedai</v>
      </c>
      <c r="S882" s="2" t="str">
        <f>IFERROR(__xludf.DUMMYFUNCTION("""COMPUTED_VALUE"""),"Temu Roti")</f>
        <v>Temu Roti</v>
      </c>
      <c r="T882" s="2" t="str">
        <f>IFERROR(__xludf.DUMMYFUNCTION("""COMPUTED_VALUE"""),"Owner")</f>
        <v>Owner</v>
      </c>
      <c r="U882" s="2"/>
      <c r="V882" s="2"/>
      <c r="W882" s="2"/>
      <c r="X882" s="2" t="str">
        <f>IFERROR(__xludf.DUMMYFUNCTION("""COMPUTED_VALUE"""),"Closed")</f>
        <v>Closed</v>
      </c>
    </row>
    <row r="883">
      <c r="A883" s="3" t="s">
        <v>898</v>
      </c>
      <c r="B883" s="4">
        <f>IFERROR(__xludf.DUMMYFUNCTION("SPLIT(A883,"","",0,0)"),45547.82708333333)</f>
        <v>45547.82708</v>
      </c>
      <c r="C883" s="5">
        <f>IFERROR(__xludf.DUMMYFUNCTION("""COMPUTED_VALUE"""),2677991.0)</f>
        <v>2677991</v>
      </c>
      <c r="D883" s="2" t="str">
        <f>IFERROR(__xludf.DUMMYFUNCTION("""COMPUTED_VALUE"""),"Sale")</f>
        <v>Sale</v>
      </c>
      <c r="E883" s="2" t="str">
        <f>IFERROR(__xludf.DUMMYFUNCTION("""COMPUTED_VALUE"""),"Minuman")</f>
        <v>Minuman</v>
      </c>
      <c r="F883" s="2">
        <f>IFERROR(__xludf.DUMMYFUNCTION("""COMPUTED_VALUE"""),10119.0)</f>
        <v>10119</v>
      </c>
      <c r="G883" s="2" t="str">
        <f>IFERROR(__xludf.DUMMYFUNCTION("""COMPUTED_VALUE"""),"Teh Tawar Dingin")</f>
        <v>Teh Tawar Dingin</v>
      </c>
      <c r="H883" s="2"/>
      <c r="I883" s="2"/>
      <c r="J883" s="2">
        <f>IFERROR(__xludf.DUMMYFUNCTION("""COMPUTED_VALUE"""),1.0)</f>
        <v>1</v>
      </c>
      <c r="K883" s="6">
        <f>IFERROR(__xludf.DUMMYFUNCTION("""COMPUTED_VALUE"""),7143.0)</f>
        <v>7143</v>
      </c>
      <c r="L883" s="2">
        <f>IFERROR(__xludf.DUMMYFUNCTION("""COMPUTED_VALUE"""),0.0)</f>
        <v>0</v>
      </c>
      <c r="M883" s="2">
        <f>IFERROR(__xludf.DUMMYFUNCTION("""COMPUTED_VALUE"""),7143.0)</f>
        <v>7143</v>
      </c>
      <c r="N883" s="2">
        <f>IFERROR(__xludf.DUMMYFUNCTION("""COMPUTED_VALUE"""),0.0)</f>
        <v>0</v>
      </c>
      <c r="O883" s="2">
        <f>IFERROR(__xludf.DUMMYFUNCTION("""COMPUTED_VALUE"""),7143.0)</f>
        <v>7143</v>
      </c>
      <c r="P883" s="2">
        <f>IFERROR(__xludf.DUMMYFUNCTION("""COMPUTED_VALUE"""),357.0)</f>
        <v>357</v>
      </c>
      <c r="Q883" s="2" t="str">
        <f>IFERROR(__xludf.DUMMYFUNCTION("""COMPUTED_VALUE"""),"Dine In")</f>
        <v>Dine In</v>
      </c>
      <c r="R883" s="2" t="str">
        <f>IFERROR(__xludf.DUMMYFUNCTION("""COMPUTED_VALUE"""),"Kedai")</f>
        <v>Kedai</v>
      </c>
      <c r="S883" s="2" t="str">
        <f>IFERROR(__xludf.DUMMYFUNCTION("""COMPUTED_VALUE"""),"Temu Roti")</f>
        <v>Temu Roti</v>
      </c>
      <c r="T883" s="2" t="str">
        <f>IFERROR(__xludf.DUMMYFUNCTION("""COMPUTED_VALUE"""),"Owner")</f>
        <v>Owner</v>
      </c>
      <c r="U883" s="2"/>
      <c r="V883" s="2"/>
      <c r="W883" s="2"/>
      <c r="X883" s="2" t="str">
        <f>IFERROR(__xludf.DUMMYFUNCTION("""COMPUTED_VALUE"""),"Closed")</f>
        <v>Closed</v>
      </c>
    </row>
    <row r="884">
      <c r="A884" s="3" t="s">
        <v>899</v>
      </c>
      <c r="B884" s="4">
        <f>IFERROR(__xludf.DUMMYFUNCTION("SPLIT(A884,"","",0,0)"),45547.82708333333)</f>
        <v>45547.82708</v>
      </c>
      <c r="C884" s="5">
        <f>IFERROR(__xludf.DUMMYFUNCTION("""COMPUTED_VALUE"""),2677991.0)</f>
        <v>2677991</v>
      </c>
      <c r="D884" s="2" t="str">
        <f>IFERROR(__xludf.DUMMYFUNCTION("""COMPUTED_VALUE"""),"Sale")</f>
        <v>Sale</v>
      </c>
      <c r="E884" s="2" t="str">
        <f>IFERROR(__xludf.DUMMYFUNCTION("""COMPUTED_VALUE"""),"Roti")</f>
        <v>Roti</v>
      </c>
      <c r="F884" s="2">
        <f>IFERROR(__xludf.DUMMYFUNCTION("""COMPUTED_VALUE"""),10000.0)</f>
        <v>10000</v>
      </c>
      <c r="G884" s="2" t="str">
        <f>IFERROR(__xludf.DUMMYFUNCTION("""COMPUTED_VALUE"""),"Roti Bawang Saus Keju")</f>
        <v>Roti Bawang Saus Keju</v>
      </c>
      <c r="H884" s="2"/>
      <c r="I884" s="2"/>
      <c r="J884" s="2">
        <f>IFERROR(__xludf.DUMMYFUNCTION("""COMPUTED_VALUE"""),1.0)</f>
        <v>1</v>
      </c>
      <c r="K884" s="6">
        <f>IFERROR(__xludf.DUMMYFUNCTION("""COMPUTED_VALUE"""),29524.0)</f>
        <v>29524</v>
      </c>
      <c r="L884" s="2">
        <f>IFERROR(__xludf.DUMMYFUNCTION("""COMPUTED_VALUE"""),0.0)</f>
        <v>0</v>
      </c>
      <c r="M884" s="2">
        <f>IFERROR(__xludf.DUMMYFUNCTION("""COMPUTED_VALUE"""),29524.0)</f>
        <v>29524</v>
      </c>
      <c r="N884" s="2">
        <f>IFERROR(__xludf.DUMMYFUNCTION("""COMPUTED_VALUE"""),0.0)</f>
        <v>0</v>
      </c>
      <c r="O884" s="2">
        <f>IFERROR(__xludf.DUMMYFUNCTION("""COMPUTED_VALUE"""),29524.0)</f>
        <v>29524</v>
      </c>
      <c r="P884" s="2">
        <f>IFERROR(__xludf.DUMMYFUNCTION("""COMPUTED_VALUE"""),1476.0)</f>
        <v>1476</v>
      </c>
      <c r="Q884" s="2" t="str">
        <f>IFERROR(__xludf.DUMMYFUNCTION("""COMPUTED_VALUE"""),"Dine In")</f>
        <v>Dine In</v>
      </c>
      <c r="R884" s="2" t="str">
        <f>IFERROR(__xludf.DUMMYFUNCTION("""COMPUTED_VALUE"""),"Kedai")</f>
        <v>Kedai</v>
      </c>
      <c r="S884" s="2" t="str">
        <f>IFERROR(__xludf.DUMMYFUNCTION("""COMPUTED_VALUE"""),"Temu Roti")</f>
        <v>Temu Roti</v>
      </c>
      <c r="T884" s="2" t="str">
        <f>IFERROR(__xludf.DUMMYFUNCTION("""COMPUTED_VALUE"""),"Owner")</f>
        <v>Owner</v>
      </c>
      <c r="U884" s="2"/>
      <c r="V884" s="2"/>
      <c r="W884" s="2"/>
      <c r="X884" s="2" t="str">
        <f>IFERROR(__xludf.DUMMYFUNCTION("""COMPUTED_VALUE"""),"Closed")</f>
        <v>Closed</v>
      </c>
    </row>
    <row r="885">
      <c r="A885" s="3" t="s">
        <v>900</v>
      </c>
      <c r="B885" s="4">
        <f>IFERROR(__xludf.DUMMYFUNCTION("SPLIT(A885,"","",0,0)"),45547.82708333333)</f>
        <v>45547.82708</v>
      </c>
      <c r="C885" s="5">
        <f>IFERROR(__xludf.DUMMYFUNCTION("""COMPUTED_VALUE"""),2677991.0)</f>
        <v>2677991</v>
      </c>
      <c r="D885" s="2" t="str">
        <f>IFERROR(__xludf.DUMMYFUNCTION("""COMPUTED_VALUE"""),"Sale")</f>
        <v>Sale</v>
      </c>
      <c r="E885" s="2" t="str">
        <f>IFERROR(__xludf.DUMMYFUNCTION("""COMPUTED_VALUE"""),"Minuman")</f>
        <v>Minuman</v>
      </c>
      <c r="F885" s="2">
        <f>IFERROR(__xludf.DUMMYFUNCTION("""COMPUTED_VALUE"""),10058.0)</f>
        <v>10058</v>
      </c>
      <c r="G885" s="2" t="str">
        <f>IFERROR(__xludf.DUMMYFUNCTION("""COMPUTED_VALUE"""),"Susu murni ori")</f>
        <v>Susu murni ori</v>
      </c>
      <c r="H885" s="2"/>
      <c r="I885" s="2"/>
      <c r="J885" s="2">
        <f>IFERROR(__xludf.DUMMYFUNCTION("""COMPUTED_VALUE"""),1.0)</f>
        <v>1</v>
      </c>
      <c r="K885" s="6">
        <f>IFERROR(__xludf.DUMMYFUNCTION("""COMPUTED_VALUE"""),19524.0)</f>
        <v>19524</v>
      </c>
      <c r="L885" s="2">
        <f>IFERROR(__xludf.DUMMYFUNCTION("""COMPUTED_VALUE"""),0.0)</f>
        <v>0</v>
      </c>
      <c r="M885" s="2">
        <f>IFERROR(__xludf.DUMMYFUNCTION("""COMPUTED_VALUE"""),19524.0)</f>
        <v>19524</v>
      </c>
      <c r="N885" s="2">
        <f>IFERROR(__xludf.DUMMYFUNCTION("""COMPUTED_VALUE"""),0.0)</f>
        <v>0</v>
      </c>
      <c r="O885" s="2">
        <f>IFERROR(__xludf.DUMMYFUNCTION("""COMPUTED_VALUE"""),19524.0)</f>
        <v>19524</v>
      </c>
      <c r="P885" s="2">
        <f>IFERROR(__xludf.DUMMYFUNCTION("""COMPUTED_VALUE"""),977.0)</f>
        <v>977</v>
      </c>
      <c r="Q885" s="2" t="str">
        <f>IFERROR(__xludf.DUMMYFUNCTION("""COMPUTED_VALUE"""),"Dine In")</f>
        <v>Dine In</v>
      </c>
      <c r="R885" s="2" t="str">
        <f>IFERROR(__xludf.DUMMYFUNCTION("""COMPUTED_VALUE"""),"Kedai")</f>
        <v>Kedai</v>
      </c>
      <c r="S885" s="2" t="str">
        <f>IFERROR(__xludf.DUMMYFUNCTION("""COMPUTED_VALUE"""),"Temu Roti")</f>
        <v>Temu Roti</v>
      </c>
      <c r="T885" s="2" t="str">
        <f>IFERROR(__xludf.DUMMYFUNCTION("""COMPUTED_VALUE"""),"Owner")</f>
        <v>Owner</v>
      </c>
      <c r="U885" s="2"/>
      <c r="V885" s="2"/>
      <c r="W885" s="2"/>
      <c r="X885" s="2" t="str">
        <f>IFERROR(__xludf.DUMMYFUNCTION("""COMPUTED_VALUE"""),"Closed")</f>
        <v>Closed</v>
      </c>
    </row>
    <row r="886">
      <c r="A886" s="3" t="s">
        <v>901</v>
      </c>
      <c r="B886" s="4">
        <f>IFERROR(__xludf.DUMMYFUNCTION("SPLIT(A886,"","",0,0)"),45547.82708333333)</f>
        <v>45547.82708</v>
      </c>
      <c r="C886" s="5">
        <f>IFERROR(__xludf.DUMMYFUNCTION("""COMPUTED_VALUE"""),2677991.0)</f>
        <v>2677991</v>
      </c>
      <c r="D886" s="2" t="str">
        <f>IFERROR(__xludf.DUMMYFUNCTION("""COMPUTED_VALUE"""),"Sale")</f>
        <v>Sale</v>
      </c>
      <c r="E886" s="2" t="str">
        <f>IFERROR(__xludf.DUMMYFUNCTION("""COMPUTED_VALUE"""),"Kudapan")</f>
        <v>Kudapan</v>
      </c>
      <c r="F886" s="2">
        <f>IFERROR(__xludf.DUMMYFUNCTION("""COMPUTED_VALUE"""),10015.0)</f>
        <v>10015</v>
      </c>
      <c r="G886" s="2" t="str">
        <f>IFERROR(__xludf.DUMMYFUNCTION("""COMPUTED_VALUE"""),"Tahu Lada Garam")</f>
        <v>Tahu Lada Garam</v>
      </c>
      <c r="H886" s="2"/>
      <c r="I886" s="2"/>
      <c r="J886" s="2">
        <f>IFERROR(__xludf.DUMMYFUNCTION("""COMPUTED_VALUE"""),1.0)</f>
        <v>1</v>
      </c>
      <c r="K886" s="6">
        <f>IFERROR(__xludf.DUMMYFUNCTION("""COMPUTED_VALUE"""),25238.0)</f>
        <v>25238</v>
      </c>
      <c r="L886" s="2">
        <f>IFERROR(__xludf.DUMMYFUNCTION("""COMPUTED_VALUE"""),0.0)</f>
        <v>0</v>
      </c>
      <c r="M886" s="2">
        <f>IFERROR(__xludf.DUMMYFUNCTION("""COMPUTED_VALUE"""),25238.0)</f>
        <v>25238</v>
      </c>
      <c r="N886" s="2">
        <f>IFERROR(__xludf.DUMMYFUNCTION("""COMPUTED_VALUE"""),0.0)</f>
        <v>0</v>
      </c>
      <c r="O886" s="2">
        <f>IFERROR(__xludf.DUMMYFUNCTION("""COMPUTED_VALUE"""),25238.0)</f>
        <v>25238</v>
      </c>
      <c r="P886" s="2">
        <f>IFERROR(__xludf.DUMMYFUNCTION("""COMPUTED_VALUE"""),1261.0)</f>
        <v>1261</v>
      </c>
      <c r="Q886" s="2" t="str">
        <f>IFERROR(__xludf.DUMMYFUNCTION("""COMPUTED_VALUE"""),"Dine In")</f>
        <v>Dine In</v>
      </c>
      <c r="R886" s="2" t="str">
        <f>IFERROR(__xludf.DUMMYFUNCTION("""COMPUTED_VALUE"""),"Kedai")</f>
        <v>Kedai</v>
      </c>
      <c r="S886" s="2" t="str">
        <f>IFERROR(__xludf.DUMMYFUNCTION("""COMPUTED_VALUE"""),"Temu Roti")</f>
        <v>Temu Roti</v>
      </c>
      <c r="T886" s="2" t="str">
        <f>IFERROR(__xludf.DUMMYFUNCTION("""COMPUTED_VALUE"""),"Owner")</f>
        <v>Owner</v>
      </c>
      <c r="U886" s="2"/>
      <c r="V886" s="2"/>
      <c r="W886" s="2"/>
      <c r="X886" s="2" t="str">
        <f>IFERROR(__xludf.DUMMYFUNCTION("""COMPUTED_VALUE"""),"Closed")</f>
        <v>Closed</v>
      </c>
    </row>
    <row r="887">
      <c r="A887" s="3" t="s">
        <v>902</v>
      </c>
      <c r="B887" s="4">
        <f>IFERROR(__xludf.DUMMYFUNCTION("SPLIT(A887,"","",0,0)"),45547.82708333333)</f>
        <v>45547.82708</v>
      </c>
      <c r="C887" s="5">
        <f>IFERROR(__xludf.DUMMYFUNCTION("""COMPUTED_VALUE"""),2677991.0)</f>
        <v>2677991</v>
      </c>
      <c r="D887" s="2" t="str">
        <f>IFERROR(__xludf.DUMMYFUNCTION("""COMPUTED_VALUE"""),"Sale")</f>
        <v>Sale</v>
      </c>
      <c r="E887" s="2" t="str">
        <f>IFERROR(__xludf.DUMMYFUNCTION("""COMPUTED_VALUE"""),"Minuman")</f>
        <v>Minuman</v>
      </c>
      <c r="F887" s="2">
        <f>IFERROR(__xludf.DUMMYFUNCTION("""COMPUTED_VALUE"""),10112.0)</f>
        <v>10112</v>
      </c>
      <c r="G887" s="2" t="str">
        <f>IFERROR(__xludf.DUMMYFUNCTION("""COMPUTED_VALUE"""),"Air mineral")</f>
        <v>Air mineral</v>
      </c>
      <c r="H887" s="2"/>
      <c r="I887" s="2"/>
      <c r="J887" s="2">
        <f>IFERROR(__xludf.DUMMYFUNCTION("""COMPUTED_VALUE"""),2.0)</f>
        <v>2</v>
      </c>
      <c r="K887" s="6">
        <f>IFERROR(__xludf.DUMMYFUNCTION("""COMPUTED_VALUE"""),13334.0)</f>
        <v>13334</v>
      </c>
      <c r="L887" s="2">
        <f>IFERROR(__xludf.DUMMYFUNCTION("""COMPUTED_VALUE"""),0.0)</f>
        <v>0</v>
      </c>
      <c r="M887" s="2">
        <f>IFERROR(__xludf.DUMMYFUNCTION("""COMPUTED_VALUE"""),13334.0)</f>
        <v>13334</v>
      </c>
      <c r="N887" s="2">
        <f>IFERROR(__xludf.DUMMYFUNCTION("""COMPUTED_VALUE"""),0.0)</f>
        <v>0</v>
      </c>
      <c r="O887" s="2">
        <f>IFERROR(__xludf.DUMMYFUNCTION("""COMPUTED_VALUE"""),13334.0)</f>
        <v>13334</v>
      </c>
      <c r="P887" s="2">
        <f>IFERROR(__xludf.DUMMYFUNCTION("""COMPUTED_VALUE"""),667.0)</f>
        <v>667</v>
      </c>
      <c r="Q887" s="2" t="str">
        <f>IFERROR(__xludf.DUMMYFUNCTION("""COMPUTED_VALUE"""),"Dine In")</f>
        <v>Dine In</v>
      </c>
      <c r="R887" s="2" t="str">
        <f>IFERROR(__xludf.DUMMYFUNCTION("""COMPUTED_VALUE"""),"Kedai")</f>
        <v>Kedai</v>
      </c>
      <c r="S887" s="2" t="str">
        <f>IFERROR(__xludf.DUMMYFUNCTION("""COMPUTED_VALUE"""),"Temu Roti")</f>
        <v>Temu Roti</v>
      </c>
      <c r="T887" s="2" t="str">
        <f>IFERROR(__xludf.DUMMYFUNCTION("""COMPUTED_VALUE"""),"Owner")</f>
        <v>Owner</v>
      </c>
      <c r="U887" s="2"/>
      <c r="V887" s="2"/>
      <c r="W887" s="2"/>
      <c r="X887" s="2" t="str">
        <f>IFERROR(__xludf.DUMMYFUNCTION("""COMPUTED_VALUE"""),"Closed")</f>
        <v>Closed</v>
      </c>
    </row>
    <row r="888">
      <c r="A888" s="3" t="s">
        <v>903</v>
      </c>
      <c r="B888" s="4">
        <f>IFERROR(__xludf.DUMMYFUNCTION("SPLIT(A888,"","",0,0)"),45547.77222222222)</f>
        <v>45547.77222</v>
      </c>
      <c r="C888" s="5">
        <f>IFERROR(__xludf.DUMMYFUNCTION("""COMPUTED_VALUE"""),2677626.0)</f>
        <v>2677626</v>
      </c>
      <c r="D888" s="2" t="str">
        <f>IFERROR(__xludf.DUMMYFUNCTION("""COMPUTED_VALUE"""),"Sale")</f>
        <v>Sale</v>
      </c>
      <c r="E888" s="2" t="str">
        <f>IFERROR(__xludf.DUMMYFUNCTION("""COMPUTED_VALUE"""),"Roti")</f>
        <v>Roti</v>
      </c>
      <c r="F888" s="2">
        <f>IFERROR(__xludf.DUMMYFUNCTION("""COMPUTED_VALUE"""),10055.0)</f>
        <v>10055</v>
      </c>
      <c r="G888" s="2" t="str">
        <f>IFERROR(__xludf.DUMMYFUNCTION("""COMPUTED_VALUE"""),"Roti Gandum Cokelat 2 pcs")</f>
        <v>Roti Gandum Cokelat 2 pcs</v>
      </c>
      <c r="H888" s="2"/>
      <c r="I888" s="2"/>
      <c r="J888" s="2">
        <f>IFERROR(__xludf.DUMMYFUNCTION("""COMPUTED_VALUE"""),2.0)</f>
        <v>2</v>
      </c>
      <c r="K888" s="6">
        <f>IFERROR(__xludf.DUMMYFUNCTION("""COMPUTED_VALUE"""),69524.0)</f>
        <v>69524</v>
      </c>
      <c r="L888" s="2">
        <f>IFERROR(__xludf.DUMMYFUNCTION("""COMPUTED_VALUE"""),0.0)</f>
        <v>0</v>
      </c>
      <c r="M888" s="2">
        <f>IFERROR(__xludf.DUMMYFUNCTION("""COMPUTED_VALUE"""),69524.0)</f>
        <v>69524</v>
      </c>
      <c r="N888" s="2">
        <f>IFERROR(__xludf.DUMMYFUNCTION("""COMPUTED_VALUE"""),0.0)</f>
        <v>0</v>
      </c>
      <c r="O888" s="2">
        <f>IFERROR(__xludf.DUMMYFUNCTION("""COMPUTED_VALUE"""),69524.0)</f>
        <v>69524</v>
      </c>
      <c r="P888" s="2">
        <f>IFERROR(__xludf.DUMMYFUNCTION("""COMPUTED_VALUE"""),3476.0)</f>
        <v>3476</v>
      </c>
      <c r="Q888" s="2" t="str">
        <f>IFERROR(__xludf.DUMMYFUNCTION("""COMPUTED_VALUE"""),"Dine In")</f>
        <v>Dine In</v>
      </c>
      <c r="R888" s="2" t="str">
        <f>IFERROR(__xludf.DUMMYFUNCTION("""COMPUTED_VALUE"""),"Kedai")</f>
        <v>Kedai</v>
      </c>
      <c r="S888" s="2" t="str">
        <f>IFERROR(__xludf.DUMMYFUNCTION("""COMPUTED_VALUE"""),"Temu Roti")</f>
        <v>Temu Roti</v>
      </c>
      <c r="T888" s="2" t="str">
        <f>IFERROR(__xludf.DUMMYFUNCTION("""COMPUTED_VALUE"""),"Owner")</f>
        <v>Owner</v>
      </c>
      <c r="U888" s="2"/>
      <c r="V888" s="2"/>
      <c r="W888" s="2"/>
      <c r="X888" s="2" t="str">
        <f>IFERROR(__xludf.DUMMYFUNCTION("""COMPUTED_VALUE"""),"Closed")</f>
        <v>Closed</v>
      </c>
    </row>
    <row r="889">
      <c r="A889" s="3" t="s">
        <v>904</v>
      </c>
      <c r="B889" s="4">
        <f>IFERROR(__xludf.DUMMYFUNCTION("SPLIT(A889,"","",0,0)"),45547.72986111111)</f>
        <v>45547.72986</v>
      </c>
      <c r="C889" s="5">
        <f>IFERROR(__xludf.DUMMYFUNCTION("""COMPUTED_VALUE"""),2677261.0)</f>
        <v>2677261</v>
      </c>
      <c r="D889" s="2" t="str">
        <f>IFERROR(__xludf.DUMMYFUNCTION("""COMPUTED_VALUE"""),"Sale")</f>
        <v>Sale</v>
      </c>
      <c r="E889" s="2" t="str">
        <f>IFERROR(__xludf.DUMMYFUNCTION("""COMPUTED_VALUE"""),"Minuman")</f>
        <v>Minuman</v>
      </c>
      <c r="F889" s="2">
        <f>IFERROR(__xludf.DUMMYFUNCTION("""COMPUTED_VALUE"""),10128.0)</f>
        <v>10128</v>
      </c>
      <c r="G889" s="2" t="str">
        <f>IFERROR(__xludf.DUMMYFUNCTION("""COMPUTED_VALUE"""),"Es Kopi Susu")</f>
        <v>Es Kopi Susu</v>
      </c>
      <c r="H889" s="2"/>
      <c r="I889" s="2"/>
      <c r="J889" s="2">
        <f>IFERROR(__xludf.DUMMYFUNCTION("""COMPUTED_VALUE"""),1.0)</f>
        <v>1</v>
      </c>
      <c r="K889" s="6">
        <f>IFERROR(__xludf.DUMMYFUNCTION("""COMPUTED_VALUE"""),23333.0)</f>
        <v>23333</v>
      </c>
      <c r="L889" s="2">
        <f>IFERROR(__xludf.DUMMYFUNCTION("""COMPUTED_VALUE"""),0.0)</f>
        <v>0</v>
      </c>
      <c r="M889" s="2">
        <f>IFERROR(__xludf.DUMMYFUNCTION("""COMPUTED_VALUE"""),23333.0)</f>
        <v>23333</v>
      </c>
      <c r="N889" s="2">
        <f>IFERROR(__xludf.DUMMYFUNCTION("""COMPUTED_VALUE"""),0.0)</f>
        <v>0</v>
      </c>
      <c r="O889" s="2">
        <f>IFERROR(__xludf.DUMMYFUNCTION("""COMPUTED_VALUE"""),23333.0)</f>
        <v>23333</v>
      </c>
      <c r="P889" s="2">
        <f>IFERROR(__xludf.DUMMYFUNCTION("""COMPUTED_VALUE"""),1167.0)</f>
        <v>1167</v>
      </c>
      <c r="Q889" s="2" t="str">
        <f>IFERROR(__xludf.DUMMYFUNCTION("""COMPUTED_VALUE"""),"Dine In")</f>
        <v>Dine In</v>
      </c>
      <c r="R889" s="2" t="str">
        <f>IFERROR(__xludf.DUMMYFUNCTION("""COMPUTED_VALUE"""),"Kedai")</f>
        <v>Kedai</v>
      </c>
      <c r="S889" s="2" t="str">
        <f>IFERROR(__xludf.DUMMYFUNCTION("""COMPUTED_VALUE"""),"Temu Roti")</f>
        <v>Temu Roti</v>
      </c>
      <c r="T889" s="2" t="str">
        <f>IFERROR(__xludf.DUMMYFUNCTION("""COMPUTED_VALUE"""),"Owner")</f>
        <v>Owner</v>
      </c>
      <c r="U889" s="2"/>
      <c r="V889" s="2"/>
      <c r="W889" s="2"/>
      <c r="X889" s="2" t="str">
        <f>IFERROR(__xludf.DUMMYFUNCTION("""COMPUTED_VALUE"""),"Closed")</f>
        <v>Closed</v>
      </c>
    </row>
    <row r="890">
      <c r="A890" s="3" t="s">
        <v>905</v>
      </c>
      <c r="B890" s="4">
        <f>IFERROR(__xludf.DUMMYFUNCTION("SPLIT(A890,"","",0,0)"),45547.72986111111)</f>
        <v>45547.72986</v>
      </c>
      <c r="C890" s="5">
        <f>IFERROR(__xludf.DUMMYFUNCTION("""COMPUTED_VALUE"""),2677261.0)</f>
        <v>2677261</v>
      </c>
      <c r="D890" s="2" t="str">
        <f>IFERROR(__xludf.DUMMYFUNCTION("""COMPUTED_VALUE"""),"Sale")</f>
        <v>Sale</v>
      </c>
      <c r="E890" s="2" t="str">
        <f>IFERROR(__xludf.DUMMYFUNCTION("""COMPUTED_VALUE"""),"Roti")</f>
        <v>Roti</v>
      </c>
      <c r="F890" s="2">
        <f>IFERROR(__xludf.DUMMYFUNCTION("""COMPUTED_VALUE"""),10034.0)</f>
        <v>10034</v>
      </c>
      <c r="G890" s="2" t="str">
        <f>IFERROR(__xludf.DUMMYFUNCTION("""COMPUTED_VALUE"""),"Roti panggang coklat")</f>
        <v>Roti panggang coklat</v>
      </c>
      <c r="H890" s="2"/>
      <c r="I890" s="2"/>
      <c r="J890" s="2">
        <f>IFERROR(__xludf.DUMMYFUNCTION("""COMPUTED_VALUE"""),1.0)</f>
        <v>1</v>
      </c>
      <c r="K890" s="6">
        <f>IFERROR(__xludf.DUMMYFUNCTION("""COMPUTED_VALUE"""),21905.0)</f>
        <v>21905</v>
      </c>
      <c r="L890" s="2">
        <f>IFERROR(__xludf.DUMMYFUNCTION("""COMPUTED_VALUE"""),0.0)</f>
        <v>0</v>
      </c>
      <c r="M890" s="2">
        <f>IFERROR(__xludf.DUMMYFUNCTION("""COMPUTED_VALUE"""),21905.0)</f>
        <v>21905</v>
      </c>
      <c r="N890" s="2">
        <f>IFERROR(__xludf.DUMMYFUNCTION("""COMPUTED_VALUE"""),0.0)</f>
        <v>0</v>
      </c>
      <c r="O890" s="2">
        <f>IFERROR(__xludf.DUMMYFUNCTION("""COMPUTED_VALUE"""),21905.0)</f>
        <v>21905</v>
      </c>
      <c r="P890" s="2">
        <f>IFERROR(__xludf.DUMMYFUNCTION("""COMPUTED_VALUE"""),1095.0)</f>
        <v>1095</v>
      </c>
      <c r="Q890" s="2" t="str">
        <f>IFERROR(__xludf.DUMMYFUNCTION("""COMPUTED_VALUE"""),"Dine In")</f>
        <v>Dine In</v>
      </c>
      <c r="R890" s="2" t="str">
        <f>IFERROR(__xludf.DUMMYFUNCTION("""COMPUTED_VALUE"""),"Kedai")</f>
        <v>Kedai</v>
      </c>
      <c r="S890" s="2" t="str">
        <f>IFERROR(__xludf.DUMMYFUNCTION("""COMPUTED_VALUE"""),"Temu Roti")</f>
        <v>Temu Roti</v>
      </c>
      <c r="T890" s="2" t="str">
        <f>IFERROR(__xludf.DUMMYFUNCTION("""COMPUTED_VALUE"""),"Owner")</f>
        <v>Owner</v>
      </c>
      <c r="U890" s="2"/>
      <c r="V890" s="2"/>
      <c r="W890" s="2"/>
      <c r="X890" s="2" t="str">
        <f>IFERROR(__xludf.DUMMYFUNCTION("""COMPUTED_VALUE"""),"Closed")</f>
        <v>Closed</v>
      </c>
    </row>
    <row r="891">
      <c r="A891" s="3" t="s">
        <v>906</v>
      </c>
      <c r="B891" s="4">
        <f>IFERROR(__xludf.DUMMYFUNCTION("SPLIT(A891,"","",0,0)"),45547.725)</f>
        <v>45547.725</v>
      </c>
      <c r="C891" s="5">
        <f>IFERROR(__xludf.DUMMYFUNCTION("""COMPUTED_VALUE"""),2676896.0)</f>
        <v>2676896</v>
      </c>
      <c r="D891" s="2" t="str">
        <f>IFERROR(__xludf.DUMMYFUNCTION("""COMPUTED_VALUE"""),"Sale")</f>
        <v>Sale</v>
      </c>
      <c r="E891" s="2" t="str">
        <f>IFERROR(__xludf.DUMMYFUNCTION("""COMPUTED_VALUE"""),"Roti")</f>
        <v>Roti</v>
      </c>
      <c r="F891" s="2">
        <f>IFERROR(__xludf.DUMMYFUNCTION("""COMPUTED_VALUE"""),10002.0)</f>
        <v>10002</v>
      </c>
      <c r="G891" s="2" t="str">
        <f>IFERROR(__xludf.DUMMYFUNCTION("""COMPUTED_VALUE"""),"Roti Cranberry")</f>
        <v>Roti Cranberry</v>
      </c>
      <c r="H891" s="2"/>
      <c r="I891" s="2"/>
      <c r="J891" s="2">
        <f>IFERROR(__xludf.DUMMYFUNCTION("""COMPUTED_VALUE"""),1.0)</f>
        <v>1</v>
      </c>
      <c r="K891" s="6">
        <f>IFERROR(__xludf.DUMMYFUNCTION("""COMPUTED_VALUE"""),18571.0)</f>
        <v>18571</v>
      </c>
      <c r="L891" s="2">
        <f>IFERROR(__xludf.DUMMYFUNCTION("""COMPUTED_VALUE"""),0.0)</f>
        <v>0</v>
      </c>
      <c r="M891" s="2">
        <f>IFERROR(__xludf.DUMMYFUNCTION("""COMPUTED_VALUE"""),18571.0)</f>
        <v>18571</v>
      </c>
      <c r="N891" s="2">
        <f>IFERROR(__xludf.DUMMYFUNCTION("""COMPUTED_VALUE"""),0.0)</f>
        <v>0</v>
      </c>
      <c r="O891" s="2">
        <f>IFERROR(__xludf.DUMMYFUNCTION("""COMPUTED_VALUE"""),18571.0)</f>
        <v>18571</v>
      </c>
      <c r="P891" s="2">
        <f>IFERROR(__xludf.DUMMYFUNCTION("""COMPUTED_VALUE"""),929.0)</f>
        <v>929</v>
      </c>
      <c r="Q891" s="2" t="str">
        <f>IFERROR(__xludf.DUMMYFUNCTION("""COMPUTED_VALUE"""),"Dine In")</f>
        <v>Dine In</v>
      </c>
      <c r="R891" s="2" t="str">
        <f>IFERROR(__xludf.DUMMYFUNCTION("""COMPUTED_VALUE"""),"Kedai")</f>
        <v>Kedai</v>
      </c>
      <c r="S891" s="2" t="str">
        <f>IFERROR(__xludf.DUMMYFUNCTION("""COMPUTED_VALUE"""),"Temu Roti")</f>
        <v>Temu Roti</v>
      </c>
      <c r="T891" s="2" t="str">
        <f>IFERROR(__xludf.DUMMYFUNCTION("""COMPUTED_VALUE"""),"Owner")</f>
        <v>Owner</v>
      </c>
      <c r="U891" s="2"/>
      <c r="V891" s="2"/>
      <c r="W891" s="2"/>
      <c r="X891" s="2" t="str">
        <f>IFERROR(__xludf.DUMMYFUNCTION("""COMPUTED_VALUE"""),"Closed")</f>
        <v>Closed</v>
      </c>
    </row>
    <row r="892">
      <c r="A892" s="3" t="s">
        <v>907</v>
      </c>
      <c r="B892" s="4">
        <f>IFERROR(__xludf.DUMMYFUNCTION("SPLIT(A892,"","",0,0)"),45547.725)</f>
        <v>45547.725</v>
      </c>
      <c r="C892" s="5">
        <f>IFERROR(__xludf.DUMMYFUNCTION("""COMPUTED_VALUE"""),2676896.0)</f>
        <v>2676896</v>
      </c>
      <c r="D892" s="2" t="str">
        <f>IFERROR(__xludf.DUMMYFUNCTION("""COMPUTED_VALUE"""),"Sale")</f>
        <v>Sale</v>
      </c>
      <c r="E892" s="2" t="str">
        <f>IFERROR(__xludf.DUMMYFUNCTION("""COMPUTED_VALUE"""),"Roti")</f>
        <v>Roti</v>
      </c>
      <c r="F892" s="2">
        <f>IFERROR(__xludf.DUMMYFUNCTION("""COMPUTED_VALUE"""),10005.0)</f>
        <v>10005</v>
      </c>
      <c r="G892" s="2" t="str">
        <f>IFERROR(__xludf.DUMMYFUNCTION("""COMPUTED_VALUE"""),"Roti Gandum Cokelat")</f>
        <v>Roti Gandum Cokelat</v>
      </c>
      <c r="H892" s="2"/>
      <c r="I892" s="2"/>
      <c r="J892" s="2">
        <f>IFERROR(__xludf.DUMMYFUNCTION("""COMPUTED_VALUE"""),1.0)</f>
        <v>1</v>
      </c>
      <c r="K892" s="6">
        <f>IFERROR(__xludf.DUMMYFUNCTION("""COMPUTED_VALUE"""),19524.0)</f>
        <v>19524</v>
      </c>
      <c r="L892" s="2">
        <f>IFERROR(__xludf.DUMMYFUNCTION("""COMPUTED_VALUE"""),0.0)</f>
        <v>0</v>
      </c>
      <c r="M892" s="2">
        <f>IFERROR(__xludf.DUMMYFUNCTION("""COMPUTED_VALUE"""),19524.0)</f>
        <v>19524</v>
      </c>
      <c r="N892" s="2">
        <f>IFERROR(__xludf.DUMMYFUNCTION("""COMPUTED_VALUE"""),0.0)</f>
        <v>0</v>
      </c>
      <c r="O892" s="2">
        <f>IFERROR(__xludf.DUMMYFUNCTION("""COMPUTED_VALUE"""),19524.0)</f>
        <v>19524</v>
      </c>
      <c r="P892" s="2">
        <f>IFERROR(__xludf.DUMMYFUNCTION("""COMPUTED_VALUE"""),976.0)</f>
        <v>976</v>
      </c>
      <c r="Q892" s="2" t="str">
        <f>IFERROR(__xludf.DUMMYFUNCTION("""COMPUTED_VALUE"""),"Dine In")</f>
        <v>Dine In</v>
      </c>
      <c r="R892" s="2" t="str">
        <f>IFERROR(__xludf.DUMMYFUNCTION("""COMPUTED_VALUE"""),"Kedai")</f>
        <v>Kedai</v>
      </c>
      <c r="S892" s="2" t="str">
        <f>IFERROR(__xludf.DUMMYFUNCTION("""COMPUTED_VALUE"""),"Temu Roti")</f>
        <v>Temu Roti</v>
      </c>
      <c r="T892" s="2" t="str">
        <f>IFERROR(__xludf.DUMMYFUNCTION("""COMPUTED_VALUE"""),"Owner")</f>
        <v>Owner</v>
      </c>
      <c r="U892" s="2"/>
      <c r="V892" s="2"/>
      <c r="W892" s="2"/>
      <c r="X892" s="2" t="str">
        <f>IFERROR(__xludf.DUMMYFUNCTION("""COMPUTED_VALUE"""),"Closed")</f>
        <v>Closed</v>
      </c>
    </row>
    <row r="893">
      <c r="A893" s="3" t="s">
        <v>908</v>
      </c>
      <c r="B893" s="4">
        <f>IFERROR(__xludf.DUMMYFUNCTION("SPLIT(A893,"","",0,0)"),45547.725)</f>
        <v>45547.725</v>
      </c>
      <c r="C893" s="5">
        <f>IFERROR(__xludf.DUMMYFUNCTION("""COMPUTED_VALUE"""),2676896.0)</f>
        <v>2676896</v>
      </c>
      <c r="D893" s="2" t="str">
        <f>IFERROR(__xludf.DUMMYFUNCTION("""COMPUTED_VALUE"""),"Sale")</f>
        <v>Sale</v>
      </c>
      <c r="E893" s="2" t="str">
        <f>IFERROR(__xludf.DUMMYFUNCTION("""COMPUTED_VALUE"""),"Kudapan")</f>
        <v>Kudapan</v>
      </c>
      <c r="F893" s="2">
        <f>IFERROR(__xludf.DUMMYFUNCTION("""COMPUTED_VALUE"""),10004.0)</f>
        <v>10004</v>
      </c>
      <c r="G893" s="2" t="str">
        <f>IFERROR(__xludf.DUMMYFUNCTION("""COMPUTED_VALUE"""),"Tahu walik")</f>
        <v>Tahu walik</v>
      </c>
      <c r="H893" s="2"/>
      <c r="I893" s="2"/>
      <c r="J893" s="2">
        <f>IFERROR(__xludf.DUMMYFUNCTION("""COMPUTED_VALUE"""),1.0)</f>
        <v>1</v>
      </c>
      <c r="K893" s="6">
        <f>IFERROR(__xludf.DUMMYFUNCTION("""COMPUTED_VALUE"""),25238.0)</f>
        <v>25238</v>
      </c>
      <c r="L893" s="2">
        <f>IFERROR(__xludf.DUMMYFUNCTION("""COMPUTED_VALUE"""),0.0)</f>
        <v>0</v>
      </c>
      <c r="M893" s="2">
        <f>IFERROR(__xludf.DUMMYFUNCTION("""COMPUTED_VALUE"""),25238.0)</f>
        <v>25238</v>
      </c>
      <c r="N893" s="2">
        <f>IFERROR(__xludf.DUMMYFUNCTION("""COMPUTED_VALUE"""),0.0)</f>
        <v>0</v>
      </c>
      <c r="O893" s="2">
        <f>IFERROR(__xludf.DUMMYFUNCTION("""COMPUTED_VALUE"""),25238.0)</f>
        <v>25238</v>
      </c>
      <c r="P893" s="2">
        <f>IFERROR(__xludf.DUMMYFUNCTION("""COMPUTED_VALUE"""),1262.0)</f>
        <v>1262</v>
      </c>
      <c r="Q893" s="2" t="str">
        <f>IFERROR(__xludf.DUMMYFUNCTION("""COMPUTED_VALUE"""),"Dine In")</f>
        <v>Dine In</v>
      </c>
      <c r="R893" s="2" t="str">
        <f>IFERROR(__xludf.DUMMYFUNCTION("""COMPUTED_VALUE"""),"Kedai")</f>
        <v>Kedai</v>
      </c>
      <c r="S893" s="2" t="str">
        <f>IFERROR(__xludf.DUMMYFUNCTION("""COMPUTED_VALUE"""),"Temu Roti")</f>
        <v>Temu Roti</v>
      </c>
      <c r="T893" s="2" t="str">
        <f>IFERROR(__xludf.DUMMYFUNCTION("""COMPUTED_VALUE"""),"Owner")</f>
        <v>Owner</v>
      </c>
      <c r="U893" s="2"/>
      <c r="V893" s="2"/>
      <c r="W893" s="2"/>
      <c r="X893" s="2" t="str">
        <f>IFERROR(__xludf.DUMMYFUNCTION("""COMPUTED_VALUE"""),"Closed")</f>
        <v>Closed</v>
      </c>
    </row>
    <row r="894">
      <c r="A894" s="3" t="s">
        <v>909</v>
      </c>
      <c r="B894" s="4">
        <f>IFERROR(__xludf.DUMMYFUNCTION("SPLIT(A894,"","",0,0)"),45547.72152777778)</f>
        <v>45547.72153</v>
      </c>
      <c r="C894" s="5">
        <f>IFERROR(__xludf.DUMMYFUNCTION("""COMPUTED_VALUE"""),2676530.0)</f>
        <v>2676530</v>
      </c>
      <c r="D894" s="2" t="str">
        <f>IFERROR(__xludf.DUMMYFUNCTION("""COMPUTED_VALUE"""),"Sale")</f>
        <v>Sale</v>
      </c>
      <c r="E894" s="2" t="str">
        <f>IFERROR(__xludf.DUMMYFUNCTION("""COMPUTED_VALUE"""),"Roti")</f>
        <v>Roti</v>
      </c>
      <c r="F894" s="2">
        <f>IFERROR(__xludf.DUMMYFUNCTION("""COMPUTED_VALUE"""),10000.0)</f>
        <v>10000</v>
      </c>
      <c r="G894" s="2" t="str">
        <f>IFERROR(__xludf.DUMMYFUNCTION("""COMPUTED_VALUE"""),"Roti Bawang Saus Keju")</f>
        <v>Roti Bawang Saus Keju</v>
      </c>
      <c r="H894" s="2"/>
      <c r="I894" s="2"/>
      <c r="J894" s="2">
        <f>IFERROR(__xludf.DUMMYFUNCTION("""COMPUTED_VALUE"""),1.0)</f>
        <v>1</v>
      </c>
      <c r="K894" s="6">
        <f>IFERROR(__xludf.DUMMYFUNCTION("""COMPUTED_VALUE"""),29524.0)</f>
        <v>29524</v>
      </c>
      <c r="L894" s="2">
        <f>IFERROR(__xludf.DUMMYFUNCTION("""COMPUTED_VALUE"""),0.0)</f>
        <v>0</v>
      </c>
      <c r="M894" s="2">
        <f>IFERROR(__xludf.DUMMYFUNCTION("""COMPUTED_VALUE"""),29524.0)</f>
        <v>29524</v>
      </c>
      <c r="N894" s="2">
        <f>IFERROR(__xludf.DUMMYFUNCTION("""COMPUTED_VALUE"""),0.0)</f>
        <v>0</v>
      </c>
      <c r="O894" s="2">
        <f>IFERROR(__xludf.DUMMYFUNCTION("""COMPUTED_VALUE"""),29524.0)</f>
        <v>29524</v>
      </c>
      <c r="P894" s="2">
        <f>IFERROR(__xludf.DUMMYFUNCTION("""COMPUTED_VALUE"""),1476.0)</f>
        <v>1476</v>
      </c>
      <c r="Q894" s="2" t="str">
        <f>IFERROR(__xludf.DUMMYFUNCTION("""COMPUTED_VALUE"""),"Dine In")</f>
        <v>Dine In</v>
      </c>
      <c r="R894" s="2" t="str">
        <f>IFERROR(__xludf.DUMMYFUNCTION("""COMPUTED_VALUE"""),"Kedai")</f>
        <v>Kedai</v>
      </c>
      <c r="S894" s="2" t="str">
        <f>IFERROR(__xludf.DUMMYFUNCTION("""COMPUTED_VALUE"""),"Temu Roti")</f>
        <v>Temu Roti</v>
      </c>
      <c r="T894" s="2" t="str">
        <f>IFERROR(__xludf.DUMMYFUNCTION("""COMPUTED_VALUE"""),"Owner")</f>
        <v>Owner</v>
      </c>
      <c r="U894" s="2"/>
      <c r="V894" s="2"/>
      <c r="W894" s="2"/>
      <c r="X894" s="2" t="str">
        <f>IFERROR(__xludf.DUMMYFUNCTION("""COMPUTED_VALUE"""),"Closed")</f>
        <v>Closed</v>
      </c>
    </row>
    <row r="895">
      <c r="A895" s="3" t="s">
        <v>910</v>
      </c>
      <c r="B895" s="4">
        <f>IFERROR(__xludf.DUMMYFUNCTION("SPLIT(A895,"","",0,0)"),45547.72152777778)</f>
        <v>45547.72153</v>
      </c>
      <c r="C895" s="5">
        <f>IFERROR(__xludf.DUMMYFUNCTION("""COMPUTED_VALUE"""),2676530.0)</f>
        <v>2676530</v>
      </c>
      <c r="D895" s="2" t="str">
        <f>IFERROR(__xludf.DUMMYFUNCTION("""COMPUTED_VALUE"""),"Sale")</f>
        <v>Sale</v>
      </c>
      <c r="E895" s="2" t="str">
        <f>IFERROR(__xludf.DUMMYFUNCTION("""COMPUTED_VALUE"""),"Roti")</f>
        <v>Roti</v>
      </c>
      <c r="F895" s="2">
        <f>IFERROR(__xludf.DUMMYFUNCTION("""COMPUTED_VALUE"""),10007.0)</f>
        <v>10007</v>
      </c>
      <c r="G895" s="2" t="str">
        <f>IFERROR(__xludf.DUMMYFUNCTION("""COMPUTED_VALUE"""),"Roti cranberry 2 pcs")</f>
        <v>Roti cranberry 2 pcs</v>
      </c>
      <c r="H895" s="2"/>
      <c r="I895" s="2"/>
      <c r="J895" s="2">
        <f>IFERROR(__xludf.DUMMYFUNCTION("""COMPUTED_VALUE"""),1.0)</f>
        <v>1</v>
      </c>
      <c r="K895" s="6">
        <f>IFERROR(__xludf.DUMMYFUNCTION("""COMPUTED_VALUE"""),33810.0)</f>
        <v>33810</v>
      </c>
      <c r="L895" s="2">
        <f>IFERROR(__xludf.DUMMYFUNCTION("""COMPUTED_VALUE"""),0.0)</f>
        <v>0</v>
      </c>
      <c r="M895" s="2">
        <f>IFERROR(__xludf.DUMMYFUNCTION("""COMPUTED_VALUE"""),33810.0)</f>
        <v>33810</v>
      </c>
      <c r="N895" s="2">
        <f>IFERROR(__xludf.DUMMYFUNCTION("""COMPUTED_VALUE"""),0.0)</f>
        <v>0</v>
      </c>
      <c r="O895" s="2">
        <f>IFERROR(__xludf.DUMMYFUNCTION("""COMPUTED_VALUE"""),33810.0)</f>
        <v>33810</v>
      </c>
      <c r="P895" s="2">
        <f>IFERROR(__xludf.DUMMYFUNCTION("""COMPUTED_VALUE"""),1691.0)</f>
        <v>1691</v>
      </c>
      <c r="Q895" s="2" t="str">
        <f>IFERROR(__xludf.DUMMYFUNCTION("""COMPUTED_VALUE"""),"Dine In")</f>
        <v>Dine In</v>
      </c>
      <c r="R895" s="2" t="str">
        <f>IFERROR(__xludf.DUMMYFUNCTION("""COMPUTED_VALUE"""),"Kedai")</f>
        <v>Kedai</v>
      </c>
      <c r="S895" s="2" t="str">
        <f>IFERROR(__xludf.DUMMYFUNCTION("""COMPUTED_VALUE"""),"Temu Roti")</f>
        <v>Temu Roti</v>
      </c>
      <c r="T895" s="2" t="str">
        <f>IFERROR(__xludf.DUMMYFUNCTION("""COMPUTED_VALUE"""),"Owner")</f>
        <v>Owner</v>
      </c>
      <c r="U895" s="2"/>
      <c r="V895" s="2"/>
      <c r="W895" s="2"/>
      <c r="X895" s="2" t="str">
        <f>IFERROR(__xludf.DUMMYFUNCTION("""COMPUTED_VALUE"""),"Closed")</f>
        <v>Closed</v>
      </c>
    </row>
    <row r="896">
      <c r="A896" s="3" t="s">
        <v>911</v>
      </c>
      <c r="B896" s="4">
        <f>IFERROR(__xludf.DUMMYFUNCTION("SPLIT(A896,"","",0,0)"),45547.71875)</f>
        <v>45547.71875</v>
      </c>
      <c r="C896" s="5">
        <f>IFERROR(__xludf.DUMMYFUNCTION("""COMPUTED_VALUE"""),2676165.0)</f>
        <v>2676165</v>
      </c>
      <c r="D896" s="2" t="str">
        <f>IFERROR(__xludf.DUMMYFUNCTION("""COMPUTED_VALUE"""),"Sale")</f>
        <v>Sale</v>
      </c>
      <c r="E896" s="2" t="str">
        <f>IFERROR(__xludf.DUMMYFUNCTION("""COMPUTED_VALUE"""),"Roti")</f>
        <v>Roti</v>
      </c>
      <c r="F896" s="2">
        <f>IFERROR(__xludf.DUMMYFUNCTION("""COMPUTED_VALUE"""),10000.0)</f>
        <v>10000</v>
      </c>
      <c r="G896" s="2" t="str">
        <f>IFERROR(__xludf.DUMMYFUNCTION("""COMPUTED_VALUE"""),"Roti Bawang Saus Keju")</f>
        <v>Roti Bawang Saus Keju</v>
      </c>
      <c r="H896" s="2"/>
      <c r="I896" s="2"/>
      <c r="J896" s="2">
        <f>IFERROR(__xludf.DUMMYFUNCTION("""COMPUTED_VALUE"""),1.0)</f>
        <v>1</v>
      </c>
      <c r="K896" s="6">
        <f>IFERROR(__xludf.DUMMYFUNCTION("""COMPUTED_VALUE"""),29524.0)</f>
        <v>29524</v>
      </c>
      <c r="L896" s="2">
        <f>IFERROR(__xludf.DUMMYFUNCTION("""COMPUTED_VALUE"""),0.0)</f>
        <v>0</v>
      </c>
      <c r="M896" s="2">
        <f>IFERROR(__xludf.DUMMYFUNCTION("""COMPUTED_VALUE"""),29524.0)</f>
        <v>29524</v>
      </c>
      <c r="N896" s="2">
        <f>IFERROR(__xludf.DUMMYFUNCTION("""COMPUTED_VALUE"""),0.0)</f>
        <v>0</v>
      </c>
      <c r="O896" s="2">
        <f>IFERROR(__xludf.DUMMYFUNCTION("""COMPUTED_VALUE"""),29524.0)</f>
        <v>29524</v>
      </c>
      <c r="P896" s="2">
        <f>IFERROR(__xludf.DUMMYFUNCTION("""COMPUTED_VALUE"""),1476.0)</f>
        <v>1476</v>
      </c>
      <c r="Q896" s="2" t="str">
        <f>IFERROR(__xludf.DUMMYFUNCTION("""COMPUTED_VALUE"""),"Dine In")</f>
        <v>Dine In</v>
      </c>
      <c r="R896" s="2" t="str">
        <f>IFERROR(__xludf.DUMMYFUNCTION("""COMPUTED_VALUE"""),"Kedai")</f>
        <v>Kedai</v>
      </c>
      <c r="S896" s="2" t="str">
        <f>IFERROR(__xludf.DUMMYFUNCTION("""COMPUTED_VALUE"""),"Temu Roti")</f>
        <v>Temu Roti</v>
      </c>
      <c r="T896" s="2" t="str">
        <f>IFERROR(__xludf.DUMMYFUNCTION("""COMPUTED_VALUE"""),"Owner")</f>
        <v>Owner</v>
      </c>
      <c r="U896" s="2"/>
      <c r="V896" s="2"/>
      <c r="W896" s="2"/>
      <c r="X896" s="2" t="str">
        <f>IFERROR(__xludf.DUMMYFUNCTION("""COMPUTED_VALUE"""),"Closed")</f>
        <v>Closed</v>
      </c>
    </row>
    <row r="897">
      <c r="A897" s="3" t="s">
        <v>912</v>
      </c>
      <c r="B897" s="4">
        <f>IFERROR(__xludf.DUMMYFUNCTION("SPLIT(A897,"","",0,0)"),45547.691666666666)</f>
        <v>45547.69167</v>
      </c>
      <c r="C897" s="5">
        <f>IFERROR(__xludf.DUMMYFUNCTION("""COMPUTED_VALUE"""),2675800.0)</f>
        <v>2675800</v>
      </c>
      <c r="D897" s="2" t="str">
        <f>IFERROR(__xludf.DUMMYFUNCTION("""COMPUTED_VALUE"""),"Sale")</f>
        <v>Sale</v>
      </c>
      <c r="E897" s="2" t="str">
        <f>IFERROR(__xludf.DUMMYFUNCTION("""COMPUTED_VALUE"""),"Minuman")</f>
        <v>Minuman</v>
      </c>
      <c r="F897" s="2">
        <f>IFERROR(__xludf.DUMMYFUNCTION("""COMPUTED_VALUE"""),10128.0)</f>
        <v>10128</v>
      </c>
      <c r="G897" s="2" t="str">
        <f>IFERROR(__xludf.DUMMYFUNCTION("""COMPUTED_VALUE"""),"Es Kopi Susu")</f>
        <v>Es Kopi Susu</v>
      </c>
      <c r="H897" s="2"/>
      <c r="I897" s="2"/>
      <c r="J897" s="2">
        <f>IFERROR(__xludf.DUMMYFUNCTION("""COMPUTED_VALUE"""),1.0)</f>
        <v>1</v>
      </c>
      <c r="K897" s="6">
        <f>IFERROR(__xludf.DUMMYFUNCTION("""COMPUTED_VALUE"""),23333.0)</f>
        <v>23333</v>
      </c>
      <c r="L897" s="2">
        <f>IFERROR(__xludf.DUMMYFUNCTION("""COMPUTED_VALUE"""),0.0)</f>
        <v>0</v>
      </c>
      <c r="M897" s="2">
        <f>IFERROR(__xludf.DUMMYFUNCTION("""COMPUTED_VALUE"""),23333.0)</f>
        <v>23333</v>
      </c>
      <c r="N897" s="2">
        <f>IFERROR(__xludf.DUMMYFUNCTION("""COMPUTED_VALUE"""),0.0)</f>
        <v>0</v>
      </c>
      <c r="O897" s="2">
        <f>IFERROR(__xludf.DUMMYFUNCTION("""COMPUTED_VALUE"""),23333.0)</f>
        <v>23333</v>
      </c>
      <c r="P897" s="2">
        <f>IFERROR(__xludf.DUMMYFUNCTION("""COMPUTED_VALUE"""),1167.0)</f>
        <v>1167</v>
      </c>
      <c r="Q897" s="2" t="str">
        <f>IFERROR(__xludf.DUMMYFUNCTION("""COMPUTED_VALUE"""),"Dine In")</f>
        <v>Dine In</v>
      </c>
      <c r="R897" s="2" t="str">
        <f>IFERROR(__xludf.DUMMYFUNCTION("""COMPUTED_VALUE"""),"Kedai")</f>
        <v>Kedai</v>
      </c>
      <c r="S897" s="2" t="str">
        <f>IFERROR(__xludf.DUMMYFUNCTION("""COMPUTED_VALUE"""),"Temu Roti")</f>
        <v>Temu Roti</v>
      </c>
      <c r="T897" s="2" t="str">
        <f>IFERROR(__xludf.DUMMYFUNCTION("""COMPUTED_VALUE"""),"Owner")</f>
        <v>Owner</v>
      </c>
      <c r="U897" s="2"/>
      <c r="V897" s="2"/>
      <c r="W897" s="2"/>
      <c r="X897" s="2" t="str">
        <f>IFERROR(__xludf.DUMMYFUNCTION("""COMPUTED_VALUE"""),"Closed")</f>
        <v>Closed</v>
      </c>
    </row>
    <row r="898">
      <c r="A898" s="3" t="s">
        <v>913</v>
      </c>
      <c r="B898" s="4">
        <f>IFERROR(__xludf.DUMMYFUNCTION("SPLIT(A898,"","",0,0)"),45547.691666666666)</f>
        <v>45547.69167</v>
      </c>
      <c r="C898" s="5">
        <f>IFERROR(__xludf.DUMMYFUNCTION("""COMPUTED_VALUE"""),2675800.0)</f>
        <v>2675800</v>
      </c>
      <c r="D898" s="2" t="str">
        <f>IFERROR(__xludf.DUMMYFUNCTION("""COMPUTED_VALUE"""),"Sale")</f>
        <v>Sale</v>
      </c>
      <c r="E898" s="2" t="str">
        <f>IFERROR(__xludf.DUMMYFUNCTION("""COMPUTED_VALUE"""),"Roti")</f>
        <v>Roti</v>
      </c>
      <c r="F898" s="2">
        <f>IFERROR(__xludf.DUMMYFUNCTION("""COMPUTED_VALUE"""),10002.0)</f>
        <v>10002</v>
      </c>
      <c r="G898" s="2" t="str">
        <f>IFERROR(__xludf.DUMMYFUNCTION("""COMPUTED_VALUE"""),"Roti Cranberry")</f>
        <v>Roti Cranberry</v>
      </c>
      <c r="H898" s="2"/>
      <c r="I898" s="2"/>
      <c r="J898" s="2">
        <f>IFERROR(__xludf.DUMMYFUNCTION("""COMPUTED_VALUE"""),1.0)</f>
        <v>1</v>
      </c>
      <c r="K898" s="6">
        <f>IFERROR(__xludf.DUMMYFUNCTION("""COMPUTED_VALUE"""),18571.0)</f>
        <v>18571</v>
      </c>
      <c r="L898" s="2">
        <f>IFERROR(__xludf.DUMMYFUNCTION("""COMPUTED_VALUE"""),0.0)</f>
        <v>0</v>
      </c>
      <c r="M898" s="2">
        <f>IFERROR(__xludf.DUMMYFUNCTION("""COMPUTED_VALUE"""),18571.0)</f>
        <v>18571</v>
      </c>
      <c r="N898" s="2">
        <f>IFERROR(__xludf.DUMMYFUNCTION("""COMPUTED_VALUE"""),0.0)</f>
        <v>0</v>
      </c>
      <c r="O898" s="2">
        <f>IFERROR(__xludf.DUMMYFUNCTION("""COMPUTED_VALUE"""),18571.0)</f>
        <v>18571</v>
      </c>
      <c r="P898" s="2">
        <f>IFERROR(__xludf.DUMMYFUNCTION("""COMPUTED_VALUE"""),928.0)</f>
        <v>928</v>
      </c>
      <c r="Q898" s="2" t="str">
        <f>IFERROR(__xludf.DUMMYFUNCTION("""COMPUTED_VALUE"""),"Dine In")</f>
        <v>Dine In</v>
      </c>
      <c r="R898" s="2" t="str">
        <f>IFERROR(__xludf.DUMMYFUNCTION("""COMPUTED_VALUE"""),"Kedai")</f>
        <v>Kedai</v>
      </c>
      <c r="S898" s="2" t="str">
        <f>IFERROR(__xludf.DUMMYFUNCTION("""COMPUTED_VALUE"""),"Temu Roti")</f>
        <v>Temu Roti</v>
      </c>
      <c r="T898" s="2" t="str">
        <f>IFERROR(__xludf.DUMMYFUNCTION("""COMPUTED_VALUE"""),"Owner")</f>
        <v>Owner</v>
      </c>
      <c r="U898" s="2"/>
      <c r="V898" s="2"/>
      <c r="W898" s="2"/>
      <c r="X898" s="2" t="str">
        <f>IFERROR(__xludf.DUMMYFUNCTION("""COMPUTED_VALUE"""),"Closed")</f>
        <v>Closed</v>
      </c>
    </row>
    <row r="899">
      <c r="A899" s="3" t="s">
        <v>914</v>
      </c>
      <c r="B899" s="4">
        <f>IFERROR(__xludf.DUMMYFUNCTION("SPLIT(A899,"","",0,0)"),45547.68680555555)</f>
        <v>45547.68681</v>
      </c>
      <c r="C899" s="5">
        <f>IFERROR(__xludf.DUMMYFUNCTION("""COMPUTED_VALUE"""),2675435.0)</f>
        <v>2675435</v>
      </c>
      <c r="D899" s="2" t="str">
        <f>IFERROR(__xludf.DUMMYFUNCTION("""COMPUTED_VALUE"""),"Sale")</f>
        <v>Sale</v>
      </c>
      <c r="E899" s="2" t="str">
        <f>IFERROR(__xludf.DUMMYFUNCTION("""COMPUTED_VALUE"""),"Minuman")</f>
        <v>Minuman</v>
      </c>
      <c r="F899" s="2">
        <f>IFERROR(__xludf.DUMMYFUNCTION("""COMPUTED_VALUE"""),10123.0)</f>
        <v>10123</v>
      </c>
      <c r="G899" s="2" t="str">
        <f>IFERROR(__xludf.DUMMYFUNCTION("""COMPUTED_VALUE"""),"Rempah Madu Dingin")</f>
        <v>Rempah Madu Dingin</v>
      </c>
      <c r="H899" s="2"/>
      <c r="I899" s="2"/>
      <c r="J899" s="2">
        <f>IFERROR(__xludf.DUMMYFUNCTION("""COMPUTED_VALUE"""),1.0)</f>
        <v>1</v>
      </c>
      <c r="K899" s="6">
        <f>IFERROR(__xludf.DUMMYFUNCTION("""COMPUTED_VALUE"""),21905.0)</f>
        <v>21905</v>
      </c>
      <c r="L899" s="2">
        <f>IFERROR(__xludf.DUMMYFUNCTION("""COMPUTED_VALUE"""),0.0)</f>
        <v>0</v>
      </c>
      <c r="M899" s="2">
        <f>IFERROR(__xludf.DUMMYFUNCTION("""COMPUTED_VALUE"""),21905.0)</f>
        <v>21905</v>
      </c>
      <c r="N899" s="2">
        <f>IFERROR(__xludf.DUMMYFUNCTION("""COMPUTED_VALUE"""),0.0)</f>
        <v>0</v>
      </c>
      <c r="O899" s="2">
        <f>IFERROR(__xludf.DUMMYFUNCTION("""COMPUTED_VALUE"""),21905.0)</f>
        <v>21905</v>
      </c>
      <c r="P899" s="2">
        <f>IFERROR(__xludf.DUMMYFUNCTION("""COMPUTED_VALUE"""),1095.0)</f>
        <v>1095</v>
      </c>
      <c r="Q899" s="2" t="str">
        <f>IFERROR(__xludf.DUMMYFUNCTION("""COMPUTED_VALUE"""),"Dine In")</f>
        <v>Dine In</v>
      </c>
      <c r="R899" s="2" t="str">
        <f>IFERROR(__xludf.DUMMYFUNCTION("""COMPUTED_VALUE"""),"Kedai")</f>
        <v>Kedai</v>
      </c>
      <c r="S899" s="2" t="str">
        <f>IFERROR(__xludf.DUMMYFUNCTION("""COMPUTED_VALUE"""),"Temu Roti")</f>
        <v>Temu Roti</v>
      </c>
      <c r="T899" s="2" t="str">
        <f>IFERROR(__xludf.DUMMYFUNCTION("""COMPUTED_VALUE"""),"Owner")</f>
        <v>Owner</v>
      </c>
      <c r="U899" s="2"/>
      <c r="V899" s="2"/>
      <c r="W899" s="2"/>
      <c r="X899" s="2" t="str">
        <f>IFERROR(__xludf.DUMMYFUNCTION("""COMPUTED_VALUE"""),"Closed")</f>
        <v>Closed</v>
      </c>
    </row>
    <row r="900">
      <c r="A900" s="3" t="s">
        <v>915</v>
      </c>
      <c r="B900" s="4">
        <f>IFERROR(__xludf.DUMMYFUNCTION("SPLIT(A900,"","",0,0)"),45547.68680555555)</f>
        <v>45547.68681</v>
      </c>
      <c r="C900" s="5">
        <f>IFERROR(__xludf.DUMMYFUNCTION("""COMPUTED_VALUE"""),2675435.0)</f>
        <v>2675435</v>
      </c>
      <c r="D900" s="2" t="str">
        <f>IFERROR(__xludf.DUMMYFUNCTION("""COMPUTED_VALUE"""),"Sale")</f>
        <v>Sale</v>
      </c>
      <c r="E900" s="2" t="str">
        <f>IFERROR(__xludf.DUMMYFUNCTION("""COMPUTED_VALUE"""),"Kudapan")</f>
        <v>Kudapan</v>
      </c>
      <c r="F900" s="2">
        <f>IFERROR(__xludf.DUMMYFUNCTION("""COMPUTED_VALUE"""),10014.0)</f>
        <v>10014</v>
      </c>
      <c r="G900" s="2" t="str">
        <f>IFERROR(__xludf.DUMMYFUNCTION("""COMPUTED_VALUE"""),"Tempe Mendoan")</f>
        <v>Tempe Mendoan</v>
      </c>
      <c r="H900" s="2"/>
      <c r="I900" s="2"/>
      <c r="J900" s="2">
        <f>IFERROR(__xludf.DUMMYFUNCTION("""COMPUTED_VALUE"""),1.0)</f>
        <v>1</v>
      </c>
      <c r="K900" s="6">
        <f>IFERROR(__xludf.DUMMYFUNCTION("""COMPUTED_VALUE"""),25238.0)</f>
        <v>25238</v>
      </c>
      <c r="L900" s="2">
        <f>IFERROR(__xludf.DUMMYFUNCTION("""COMPUTED_VALUE"""),0.0)</f>
        <v>0</v>
      </c>
      <c r="M900" s="2">
        <f>IFERROR(__xludf.DUMMYFUNCTION("""COMPUTED_VALUE"""),25238.0)</f>
        <v>25238</v>
      </c>
      <c r="N900" s="2">
        <f>IFERROR(__xludf.DUMMYFUNCTION("""COMPUTED_VALUE"""),0.0)</f>
        <v>0</v>
      </c>
      <c r="O900" s="2">
        <f>IFERROR(__xludf.DUMMYFUNCTION("""COMPUTED_VALUE"""),25238.0)</f>
        <v>25238</v>
      </c>
      <c r="P900" s="2">
        <f>IFERROR(__xludf.DUMMYFUNCTION("""COMPUTED_VALUE"""),1262.0)</f>
        <v>1262</v>
      </c>
      <c r="Q900" s="2" t="str">
        <f>IFERROR(__xludf.DUMMYFUNCTION("""COMPUTED_VALUE"""),"Dine In")</f>
        <v>Dine In</v>
      </c>
      <c r="R900" s="2" t="str">
        <f>IFERROR(__xludf.DUMMYFUNCTION("""COMPUTED_VALUE"""),"Kedai")</f>
        <v>Kedai</v>
      </c>
      <c r="S900" s="2" t="str">
        <f>IFERROR(__xludf.DUMMYFUNCTION("""COMPUTED_VALUE"""),"Temu Roti")</f>
        <v>Temu Roti</v>
      </c>
      <c r="T900" s="2" t="str">
        <f>IFERROR(__xludf.DUMMYFUNCTION("""COMPUTED_VALUE"""),"Owner")</f>
        <v>Owner</v>
      </c>
      <c r="U900" s="2"/>
      <c r="V900" s="2"/>
      <c r="W900" s="2"/>
      <c r="X900" s="2" t="str">
        <f>IFERROR(__xludf.DUMMYFUNCTION("""COMPUTED_VALUE"""),"Closed")</f>
        <v>Closed</v>
      </c>
    </row>
    <row r="901">
      <c r="A901" s="3" t="s">
        <v>916</v>
      </c>
      <c r="B901" s="4">
        <f>IFERROR(__xludf.DUMMYFUNCTION("SPLIT(A901,"","",0,0)"),45547.68680555555)</f>
        <v>45547.68681</v>
      </c>
      <c r="C901" s="5">
        <f>IFERROR(__xludf.DUMMYFUNCTION("""COMPUTED_VALUE"""),2675435.0)</f>
        <v>2675435</v>
      </c>
      <c r="D901" s="2" t="str">
        <f>IFERROR(__xludf.DUMMYFUNCTION("""COMPUTED_VALUE"""),"Sale")</f>
        <v>Sale</v>
      </c>
      <c r="E901" s="2" t="str">
        <f>IFERROR(__xludf.DUMMYFUNCTION("""COMPUTED_VALUE"""),"Roti")</f>
        <v>Roti</v>
      </c>
      <c r="F901" s="2">
        <f>IFERROR(__xludf.DUMMYFUNCTION("""COMPUTED_VALUE"""),10000.0)</f>
        <v>10000</v>
      </c>
      <c r="G901" s="2" t="str">
        <f>IFERROR(__xludf.DUMMYFUNCTION("""COMPUTED_VALUE"""),"Roti Bawang Saus Keju")</f>
        <v>Roti Bawang Saus Keju</v>
      </c>
      <c r="H901" s="2"/>
      <c r="I901" s="2"/>
      <c r="J901" s="2">
        <f>IFERROR(__xludf.DUMMYFUNCTION("""COMPUTED_VALUE"""),1.0)</f>
        <v>1</v>
      </c>
      <c r="K901" s="6">
        <f>IFERROR(__xludf.DUMMYFUNCTION("""COMPUTED_VALUE"""),29524.0)</f>
        <v>29524</v>
      </c>
      <c r="L901" s="2">
        <f>IFERROR(__xludf.DUMMYFUNCTION("""COMPUTED_VALUE"""),0.0)</f>
        <v>0</v>
      </c>
      <c r="M901" s="2">
        <f>IFERROR(__xludf.DUMMYFUNCTION("""COMPUTED_VALUE"""),29524.0)</f>
        <v>29524</v>
      </c>
      <c r="N901" s="2">
        <f>IFERROR(__xludf.DUMMYFUNCTION("""COMPUTED_VALUE"""),0.0)</f>
        <v>0</v>
      </c>
      <c r="O901" s="2">
        <f>IFERROR(__xludf.DUMMYFUNCTION("""COMPUTED_VALUE"""),29524.0)</f>
        <v>29524</v>
      </c>
      <c r="P901" s="2">
        <f>IFERROR(__xludf.DUMMYFUNCTION("""COMPUTED_VALUE"""),1476.0)</f>
        <v>1476</v>
      </c>
      <c r="Q901" s="2" t="str">
        <f>IFERROR(__xludf.DUMMYFUNCTION("""COMPUTED_VALUE"""),"Dine In")</f>
        <v>Dine In</v>
      </c>
      <c r="R901" s="2" t="str">
        <f>IFERROR(__xludf.DUMMYFUNCTION("""COMPUTED_VALUE"""),"Kedai")</f>
        <v>Kedai</v>
      </c>
      <c r="S901" s="2" t="str">
        <f>IFERROR(__xludf.DUMMYFUNCTION("""COMPUTED_VALUE"""),"Temu Roti")</f>
        <v>Temu Roti</v>
      </c>
      <c r="T901" s="2" t="str">
        <f>IFERROR(__xludf.DUMMYFUNCTION("""COMPUTED_VALUE"""),"Owner")</f>
        <v>Owner</v>
      </c>
      <c r="U901" s="2"/>
      <c r="V901" s="2"/>
      <c r="W901" s="2"/>
      <c r="X901" s="2" t="str">
        <f>IFERROR(__xludf.DUMMYFUNCTION("""COMPUTED_VALUE"""),"Closed")</f>
        <v>Closed</v>
      </c>
    </row>
    <row r="902">
      <c r="A902" s="3" t="s">
        <v>917</v>
      </c>
      <c r="B902" s="4">
        <f>IFERROR(__xludf.DUMMYFUNCTION("SPLIT(A902,"","",0,0)"),45547.64513888889)</f>
        <v>45547.64514</v>
      </c>
      <c r="C902" s="5">
        <f>IFERROR(__xludf.DUMMYFUNCTION("""COMPUTED_VALUE"""),2675069.0)</f>
        <v>2675069</v>
      </c>
      <c r="D902" s="2" t="str">
        <f>IFERROR(__xludf.DUMMYFUNCTION("""COMPUTED_VALUE"""),"Sale")</f>
        <v>Sale</v>
      </c>
      <c r="E902" s="2" t="str">
        <f>IFERROR(__xludf.DUMMYFUNCTION("""COMPUTED_VALUE"""),"Roti")</f>
        <v>Roti</v>
      </c>
      <c r="F902" s="2">
        <f>IFERROR(__xludf.DUMMYFUNCTION("""COMPUTED_VALUE"""),10000.0)</f>
        <v>10000</v>
      </c>
      <c r="G902" s="2" t="str">
        <f>IFERROR(__xludf.DUMMYFUNCTION("""COMPUTED_VALUE"""),"Roti Bawang Saus Keju")</f>
        <v>Roti Bawang Saus Keju</v>
      </c>
      <c r="H902" s="2"/>
      <c r="I902" s="2"/>
      <c r="J902" s="2">
        <f>IFERROR(__xludf.DUMMYFUNCTION("""COMPUTED_VALUE"""),1.0)</f>
        <v>1</v>
      </c>
      <c r="K902" s="6">
        <f>IFERROR(__xludf.DUMMYFUNCTION("""COMPUTED_VALUE"""),29524.0)</f>
        <v>29524</v>
      </c>
      <c r="L902" s="2">
        <f>IFERROR(__xludf.DUMMYFUNCTION("""COMPUTED_VALUE"""),0.0)</f>
        <v>0</v>
      </c>
      <c r="M902" s="2">
        <f>IFERROR(__xludf.DUMMYFUNCTION("""COMPUTED_VALUE"""),29524.0)</f>
        <v>29524</v>
      </c>
      <c r="N902" s="2">
        <f>IFERROR(__xludf.DUMMYFUNCTION("""COMPUTED_VALUE"""),0.0)</f>
        <v>0</v>
      </c>
      <c r="O902" s="2">
        <f>IFERROR(__xludf.DUMMYFUNCTION("""COMPUTED_VALUE"""),29524.0)</f>
        <v>29524</v>
      </c>
      <c r="P902" s="2">
        <f>IFERROR(__xludf.DUMMYFUNCTION("""COMPUTED_VALUE"""),1476.0)</f>
        <v>1476</v>
      </c>
      <c r="Q902" s="2" t="str">
        <f>IFERROR(__xludf.DUMMYFUNCTION("""COMPUTED_VALUE"""),"Dine In")</f>
        <v>Dine In</v>
      </c>
      <c r="R902" s="2" t="str">
        <f>IFERROR(__xludf.DUMMYFUNCTION("""COMPUTED_VALUE"""),"Kedai")</f>
        <v>Kedai</v>
      </c>
      <c r="S902" s="2" t="str">
        <f>IFERROR(__xludf.DUMMYFUNCTION("""COMPUTED_VALUE"""),"Temu Roti")</f>
        <v>Temu Roti</v>
      </c>
      <c r="T902" s="2" t="str">
        <f>IFERROR(__xludf.DUMMYFUNCTION("""COMPUTED_VALUE"""),"Owner")</f>
        <v>Owner</v>
      </c>
      <c r="U902" s="2"/>
      <c r="V902" s="2"/>
      <c r="W902" s="2"/>
      <c r="X902" s="2" t="str">
        <f>IFERROR(__xludf.DUMMYFUNCTION("""COMPUTED_VALUE"""),"Closed")</f>
        <v>Closed</v>
      </c>
    </row>
    <row r="903">
      <c r="A903" s="3" t="s">
        <v>918</v>
      </c>
      <c r="B903" s="4">
        <f>IFERROR(__xludf.DUMMYFUNCTION("SPLIT(A903,"","",0,0)"),45547.64513888889)</f>
        <v>45547.64514</v>
      </c>
      <c r="C903" s="5">
        <f>IFERROR(__xludf.DUMMYFUNCTION("""COMPUTED_VALUE"""),2675069.0)</f>
        <v>2675069</v>
      </c>
      <c r="D903" s="2" t="str">
        <f>IFERROR(__xludf.DUMMYFUNCTION("""COMPUTED_VALUE"""),"Sale")</f>
        <v>Sale</v>
      </c>
      <c r="E903" s="2" t="str">
        <f>IFERROR(__xludf.DUMMYFUNCTION("""COMPUTED_VALUE"""),"Minuman")</f>
        <v>Minuman</v>
      </c>
      <c r="F903" s="2">
        <f>IFERROR(__xludf.DUMMYFUNCTION("""COMPUTED_VALUE"""),10128.0)</f>
        <v>10128</v>
      </c>
      <c r="G903" s="2" t="str">
        <f>IFERROR(__xludf.DUMMYFUNCTION("""COMPUTED_VALUE"""),"Es Kopi Susu")</f>
        <v>Es Kopi Susu</v>
      </c>
      <c r="H903" s="2"/>
      <c r="I903" s="2"/>
      <c r="J903" s="2">
        <f>IFERROR(__xludf.DUMMYFUNCTION("""COMPUTED_VALUE"""),1.0)</f>
        <v>1</v>
      </c>
      <c r="K903" s="6">
        <f>IFERROR(__xludf.DUMMYFUNCTION("""COMPUTED_VALUE"""),23333.0)</f>
        <v>23333</v>
      </c>
      <c r="L903" s="2">
        <f>IFERROR(__xludf.DUMMYFUNCTION("""COMPUTED_VALUE"""),0.0)</f>
        <v>0</v>
      </c>
      <c r="M903" s="2">
        <f>IFERROR(__xludf.DUMMYFUNCTION("""COMPUTED_VALUE"""),23333.0)</f>
        <v>23333</v>
      </c>
      <c r="N903" s="2">
        <f>IFERROR(__xludf.DUMMYFUNCTION("""COMPUTED_VALUE"""),0.0)</f>
        <v>0</v>
      </c>
      <c r="O903" s="2">
        <f>IFERROR(__xludf.DUMMYFUNCTION("""COMPUTED_VALUE"""),23333.0)</f>
        <v>23333</v>
      </c>
      <c r="P903" s="2">
        <f>IFERROR(__xludf.DUMMYFUNCTION("""COMPUTED_VALUE"""),1167.0)</f>
        <v>1167</v>
      </c>
      <c r="Q903" s="2" t="str">
        <f>IFERROR(__xludf.DUMMYFUNCTION("""COMPUTED_VALUE"""),"Dine In")</f>
        <v>Dine In</v>
      </c>
      <c r="R903" s="2" t="str">
        <f>IFERROR(__xludf.DUMMYFUNCTION("""COMPUTED_VALUE"""),"Kedai")</f>
        <v>Kedai</v>
      </c>
      <c r="S903" s="2" t="str">
        <f>IFERROR(__xludf.DUMMYFUNCTION("""COMPUTED_VALUE"""),"Temu Roti")</f>
        <v>Temu Roti</v>
      </c>
      <c r="T903" s="2" t="str">
        <f>IFERROR(__xludf.DUMMYFUNCTION("""COMPUTED_VALUE"""),"Owner")</f>
        <v>Owner</v>
      </c>
      <c r="U903" s="2"/>
      <c r="V903" s="2"/>
      <c r="W903" s="2"/>
      <c r="X903" s="2" t="str">
        <f>IFERROR(__xludf.DUMMYFUNCTION("""COMPUTED_VALUE"""),"Closed")</f>
        <v>Closed</v>
      </c>
    </row>
    <row r="904">
      <c r="A904" s="3" t="s">
        <v>919</v>
      </c>
      <c r="B904" s="4">
        <f>IFERROR(__xludf.DUMMYFUNCTION("SPLIT(A904,"","",0,0)"),45547.64513888889)</f>
        <v>45547.64514</v>
      </c>
      <c r="C904" s="5">
        <f>IFERROR(__xludf.DUMMYFUNCTION("""COMPUTED_VALUE"""),2675069.0)</f>
        <v>2675069</v>
      </c>
      <c r="D904" s="2" t="str">
        <f>IFERROR(__xludf.DUMMYFUNCTION("""COMPUTED_VALUE"""),"Sale")</f>
        <v>Sale</v>
      </c>
      <c r="E904" s="2" t="str">
        <f>IFERROR(__xludf.DUMMYFUNCTION("""COMPUTED_VALUE"""),"Minuman")</f>
        <v>Minuman</v>
      </c>
      <c r="F904" s="2">
        <f>IFERROR(__xludf.DUMMYFUNCTION("""COMPUTED_VALUE"""),10057.0)</f>
        <v>10057</v>
      </c>
      <c r="G904" s="2" t="str">
        <f>IFERROR(__xludf.DUMMYFUNCTION("""COMPUTED_VALUE"""),"Susu murni strawberry")</f>
        <v>Susu murni strawberry</v>
      </c>
      <c r="H904" s="2"/>
      <c r="I904" s="2"/>
      <c r="J904" s="2">
        <f>IFERROR(__xludf.DUMMYFUNCTION("""COMPUTED_VALUE"""),1.0)</f>
        <v>1</v>
      </c>
      <c r="K904" s="6">
        <f>IFERROR(__xludf.DUMMYFUNCTION("""COMPUTED_VALUE"""),19524.0)</f>
        <v>19524</v>
      </c>
      <c r="L904" s="2">
        <f>IFERROR(__xludf.DUMMYFUNCTION("""COMPUTED_VALUE"""),0.0)</f>
        <v>0</v>
      </c>
      <c r="M904" s="2">
        <f>IFERROR(__xludf.DUMMYFUNCTION("""COMPUTED_VALUE"""),19524.0)</f>
        <v>19524</v>
      </c>
      <c r="N904" s="2">
        <f>IFERROR(__xludf.DUMMYFUNCTION("""COMPUTED_VALUE"""),0.0)</f>
        <v>0</v>
      </c>
      <c r="O904" s="2">
        <f>IFERROR(__xludf.DUMMYFUNCTION("""COMPUTED_VALUE"""),19524.0)</f>
        <v>19524</v>
      </c>
      <c r="P904" s="2">
        <f>IFERROR(__xludf.DUMMYFUNCTION("""COMPUTED_VALUE"""),976.0)</f>
        <v>976</v>
      </c>
      <c r="Q904" s="2" t="str">
        <f>IFERROR(__xludf.DUMMYFUNCTION("""COMPUTED_VALUE"""),"Dine In")</f>
        <v>Dine In</v>
      </c>
      <c r="R904" s="2" t="str">
        <f>IFERROR(__xludf.DUMMYFUNCTION("""COMPUTED_VALUE"""),"Kedai")</f>
        <v>Kedai</v>
      </c>
      <c r="S904" s="2" t="str">
        <f>IFERROR(__xludf.DUMMYFUNCTION("""COMPUTED_VALUE"""),"Temu Roti")</f>
        <v>Temu Roti</v>
      </c>
      <c r="T904" s="2" t="str">
        <f>IFERROR(__xludf.DUMMYFUNCTION("""COMPUTED_VALUE"""),"Owner")</f>
        <v>Owner</v>
      </c>
      <c r="U904" s="2"/>
      <c r="V904" s="2"/>
      <c r="W904" s="2"/>
      <c r="X904" s="2" t="str">
        <f>IFERROR(__xludf.DUMMYFUNCTION("""COMPUTED_VALUE"""),"Closed")</f>
        <v>Closed</v>
      </c>
    </row>
    <row r="905">
      <c r="A905" s="3" t="s">
        <v>920</v>
      </c>
      <c r="B905" s="4">
        <f>IFERROR(__xludf.DUMMYFUNCTION("SPLIT(A905,"","",0,0)"),45547.60763888889)</f>
        <v>45547.60764</v>
      </c>
      <c r="C905" s="5">
        <f>IFERROR(__xludf.DUMMYFUNCTION("""COMPUTED_VALUE"""),2674704.0)</f>
        <v>2674704</v>
      </c>
      <c r="D905" s="2" t="str">
        <f>IFERROR(__xludf.DUMMYFUNCTION("""COMPUTED_VALUE"""),"Sale")</f>
        <v>Sale</v>
      </c>
      <c r="E905" s="2" t="str">
        <f>IFERROR(__xludf.DUMMYFUNCTION("""COMPUTED_VALUE"""),"Minuman")</f>
        <v>Minuman</v>
      </c>
      <c r="F905" s="2">
        <f>IFERROR(__xludf.DUMMYFUNCTION("""COMPUTED_VALUE"""),10121.0)</f>
        <v>10121</v>
      </c>
      <c r="G905" s="2" t="str">
        <f>IFERROR(__xludf.DUMMYFUNCTION("""COMPUTED_VALUE"""),"Lemon Tea Dingin")</f>
        <v>Lemon Tea Dingin</v>
      </c>
      <c r="H905" s="2"/>
      <c r="I905" s="2"/>
      <c r="J905" s="2">
        <f>IFERROR(__xludf.DUMMYFUNCTION("""COMPUTED_VALUE"""),1.0)</f>
        <v>1</v>
      </c>
      <c r="K905" s="6">
        <f>IFERROR(__xludf.DUMMYFUNCTION("""COMPUTED_VALUE"""),19524.0)</f>
        <v>19524</v>
      </c>
      <c r="L905" s="2">
        <f>IFERROR(__xludf.DUMMYFUNCTION("""COMPUTED_VALUE"""),0.0)</f>
        <v>0</v>
      </c>
      <c r="M905" s="2">
        <f>IFERROR(__xludf.DUMMYFUNCTION("""COMPUTED_VALUE"""),19524.0)</f>
        <v>19524</v>
      </c>
      <c r="N905" s="2">
        <f>IFERROR(__xludf.DUMMYFUNCTION("""COMPUTED_VALUE"""),0.0)</f>
        <v>0</v>
      </c>
      <c r="O905" s="2">
        <f>IFERROR(__xludf.DUMMYFUNCTION("""COMPUTED_VALUE"""),19524.0)</f>
        <v>19524</v>
      </c>
      <c r="P905" s="2">
        <f>IFERROR(__xludf.DUMMYFUNCTION("""COMPUTED_VALUE"""),976.0)</f>
        <v>976</v>
      </c>
      <c r="Q905" s="2" t="str">
        <f>IFERROR(__xludf.DUMMYFUNCTION("""COMPUTED_VALUE"""),"Dine In")</f>
        <v>Dine In</v>
      </c>
      <c r="R905" s="2" t="str">
        <f>IFERROR(__xludf.DUMMYFUNCTION("""COMPUTED_VALUE"""),"Kedai")</f>
        <v>Kedai</v>
      </c>
      <c r="S905" s="2" t="str">
        <f>IFERROR(__xludf.DUMMYFUNCTION("""COMPUTED_VALUE"""),"Temu Roti")</f>
        <v>Temu Roti</v>
      </c>
      <c r="T905" s="2" t="str">
        <f>IFERROR(__xludf.DUMMYFUNCTION("""COMPUTED_VALUE"""),"Owner")</f>
        <v>Owner</v>
      </c>
      <c r="U905" s="2"/>
      <c r="V905" s="2"/>
      <c r="W905" s="2"/>
      <c r="X905" s="2" t="str">
        <f>IFERROR(__xludf.DUMMYFUNCTION("""COMPUTED_VALUE"""),"Closed")</f>
        <v>Closed</v>
      </c>
    </row>
    <row r="906">
      <c r="A906" s="3" t="s">
        <v>921</v>
      </c>
      <c r="B906" s="4">
        <f>IFERROR(__xludf.DUMMYFUNCTION("SPLIT(A906,"","",0,0)"),45547.60763888889)</f>
        <v>45547.60764</v>
      </c>
      <c r="C906" s="5">
        <f>IFERROR(__xludf.DUMMYFUNCTION("""COMPUTED_VALUE"""),2674704.0)</f>
        <v>2674704</v>
      </c>
      <c r="D906" s="2" t="str">
        <f>IFERROR(__xludf.DUMMYFUNCTION("""COMPUTED_VALUE"""),"Sale")</f>
        <v>Sale</v>
      </c>
      <c r="E906" s="2" t="str">
        <f>IFERROR(__xludf.DUMMYFUNCTION("""COMPUTED_VALUE"""),"Roti")</f>
        <v>Roti</v>
      </c>
      <c r="F906" s="2">
        <f>IFERROR(__xludf.DUMMYFUNCTION("""COMPUTED_VALUE"""),10034.0)</f>
        <v>10034</v>
      </c>
      <c r="G906" s="2" t="str">
        <f>IFERROR(__xludf.DUMMYFUNCTION("""COMPUTED_VALUE"""),"Roti panggang coklat")</f>
        <v>Roti panggang coklat</v>
      </c>
      <c r="H906" s="2"/>
      <c r="I906" s="2"/>
      <c r="J906" s="2">
        <f>IFERROR(__xludf.DUMMYFUNCTION("""COMPUTED_VALUE"""),1.0)</f>
        <v>1</v>
      </c>
      <c r="K906" s="6">
        <f>IFERROR(__xludf.DUMMYFUNCTION("""COMPUTED_VALUE"""),21905.0)</f>
        <v>21905</v>
      </c>
      <c r="L906" s="2">
        <f>IFERROR(__xludf.DUMMYFUNCTION("""COMPUTED_VALUE"""),0.0)</f>
        <v>0</v>
      </c>
      <c r="M906" s="2">
        <f>IFERROR(__xludf.DUMMYFUNCTION("""COMPUTED_VALUE"""),21905.0)</f>
        <v>21905</v>
      </c>
      <c r="N906" s="2">
        <f>IFERROR(__xludf.DUMMYFUNCTION("""COMPUTED_VALUE"""),0.0)</f>
        <v>0</v>
      </c>
      <c r="O906" s="2">
        <f>IFERROR(__xludf.DUMMYFUNCTION("""COMPUTED_VALUE"""),21905.0)</f>
        <v>21905</v>
      </c>
      <c r="P906" s="2">
        <f>IFERROR(__xludf.DUMMYFUNCTION("""COMPUTED_VALUE"""),1095.0)</f>
        <v>1095</v>
      </c>
      <c r="Q906" s="2" t="str">
        <f>IFERROR(__xludf.DUMMYFUNCTION("""COMPUTED_VALUE"""),"Dine In")</f>
        <v>Dine In</v>
      </c>
      <c r="R906" s="2" t="str">
        <f>IFERROR(__xludf.DUMMYFUNCTION("""COMPUTED_VALUE"""),"Kedai")</f>
        <v>Kedai</v>
      </c>
      <c r="S906" s="2" t="str">
        <f>IFERROR(__xludf.DUMMYFUNCTION("""COMPUTED_VALUE"""),"Temu Roti")</f>
        <v>Temu Roti</v>
      </c>
      <c r="T906" s="2" t="str">
        <f>IFERROR(__xludf.DUMMYFUNCTION("""COMPUTED_VALUE"""),"Owner")</f>
        <v>Owner</v>
      </c>
      <c r="U906" s="2"/>
      <c r="V906" s="2"/>
      <c r="W906" s="2"/>
      <c r="X906" s="2" t="str">
        <f>IFERROR(__xludf.DUMMYFUNCTION("""COMPUTED_VALUE"""),"Closed")</f>
        <v>Closed</v>
      </c>
    </row>
    <row r="907">
      <c r="A907" s="3" t="s">
        <v>922</v>
      </c>
      <c r="B907" s="4">
        <f>IFERROR(__xludf.DUMMYFUNCTION("SPLIT(A907,"","",0,0)"),45547.60763888889)</f>
        <v>45547.60764</v>
      </c>
      <c r="C907" s="5">
        <f>IFERROR(__xludf.DUMMYFUNCTION("""COMPUTED_VALUE"""),2674704.0)</f>
        <v>2674704</v>
      </c>
      <c r="D907" s="2" t="str">
        <f>IFERROR(__xludf.DUMMYFUNCTION("""COMPUTED_VALUE"""),"Sale")</f>
        <v>Sale</v>
      </c>
      <c r="E907" s="2" t="str">
        <f>IFERROR(__xludf.DUMMYFUNCTION("""COMPUTED_VALUE"""),"Hidangan Utama")</f>
        <v>Hidangan Utama</v>
      </c>
      <c r="F907" s="2">
        <f>IFERROR(__xludf.DUMMYFUNCTION("""COMPUTED_VALUE"""),10104.0)</f>
        <v>10104</v>
      </c>
      <c r="G907" s="2" t="str">
        <f>IFERROR(__xludf.DUMMYFUNCTION("""COMPUTED_VALUE"""),"Chicken Claypot Rice")</f>
        <v>Chicken Claypot Rice</v>
      </c>
      <c r="H907" s="2"/>
      <c r="I907" s="2"/>
      <c r="J907" s="2">
        <f>IFERROR(__xludf.DUMMYFUNCTION("""COMPUTED_VALUE"""),1.0)</f>
        <v>1</v>
      </c>
      <c r="K907" s="6">
        <f>IFERROR(__xludf.DUMMYFUNCTION("""COMPUTED_VALUE"""),34762.0)</f>
        <v>34762</v>
      </c>
      <c r="L907" s="2">
        <f>IFERROR(__xludf.DUMMYFUNCTION("""COMPUTED_VALUE"""),0.0)</f>
        <v>0</v>
      </c>
      <c r="M907" s="2">
        <f>IFERROR(__xludf.DUMMYFUNCTION("""COMPUTED_VALUE"""),34762.0)</f>
        <v>34762</v>
      </c>
      <c r="N907" s="2">
        <f>IFERROR(__xludf.DUMMYFUNCTION("""COMPUTED_VALUE"""),0.0)</f>
        <v>0</v>
      </c>
      <c r="O907" s="2">
        <f>IFERROR(__xludf.DUMMYFUNCTION("""COMPUTED_VALUE"""),34762.0)</f>
        <v>34762</v>
      </c>
      <c r="P907" s="2">
        <f>IFERROR(__xludf.DUMMYFUNCTION("""COMPUTED_VALUE"""),1739.0)</f>
        <v>1739</v>
      </c>
      <c r="Q907" s="2" t="str">
        <f>IFERROR(__xludf.DUMMYFUNCTION("""COMPUTED_VALUE"""),"Dine In")</f>
        <v>Dine In</v>
      </c>
      <c r="R907" s="2" t="str">
        <f>IFERROR(__xludf.DUMMYFUNCTION("""COMPUTED_VALUE"""),"Kedai")</f>
        <v>Kedai</v>
      </c>
      <c r="S907" s="2" t="str">
        <f>IFERROR(__xludf.DUMMYFUNCTION("""COMPUTED_VALUE"""),"Temu Roti")</f>
        <v>Temu Roti</v>
      </c>
      <c r="T907" s="2" t="str">
        <f>IFERROR(__xludf.DUMMYFUNCTION("""COMPUTED_VALUE"""),"Owner")</f>
        <v>Owner</v>
      </c>
      <c r="U907" s="2"/>
      <c r="V907" s="2"/>
      <c r="W907" s="2"/>
      <c r="X907" s="2" t="str">
        <f>IFERROR(__xludf.DUMMYFUNCTION("""COMPUTED_VALUE"""),"Closed")</f>
        <v>Closed</v>
      </c>
    </row>
    <row r="908">
      <c r="A908" s="3" t="s">
        <v>923</v>
      </c>
      <c r="B908" s="4">
        <f>IFERROR(__xludf.DUMMYFUNCTION("SPLIT(A908,"","",0,0)"),45547.60625)</f>
        <v>45547.60625</v>
      </c>
      <c r="C908" s="5">
        <f>IFERROR(__xludf.DUMMYFUNCTION("""COMPUTED_VALUE"""),2674339.0)</f>
        <v>2674339</v>
      </c>
      <c r="D908" s="2" t="str">
        <f>IFERROR(__xludf.DUMMYFUNCTION("""COMPUTED_VALUE"""),"Refund")</f>
        <v>Refund</v>
      </c>
      <c r="E908" s="2" t="str">
        <f>IFERROR(__xludf.DUMMYFUNCTION("""COMPUTED_VALUE"""),"Minuman")</f>
        <v>Minuman</v>
      </c>
      <c r="F908" s="2">
        <f>IFERROR(__xludf.DUMMYFUNCTION("""COMPUTED_VALUE"""),10112.0)</f>
        <v>10112</v>
      </c>
      <c r="G908" s="2" t="str">
        <f>IFERROR(__xludf.DUMMYFUNCTION("""COMPUTED_VALUE"""),"Air mineral")</f>
        <v>Air mineral</v>
      </c>
      <c r="H908" s="2"/>
      <c r="I908" s="2"/>
      <c r="J908" s="2">
        <f>IFERROR(__xludf.DUMMYFUNCTION("""COMPUTED_VALUE"""),-2.0)</f>
        <v>-2</v>
      </c>
      <c r="K908" s="6">
        <f>IFERROR(__xludf.DUMMYFUNCTION("""COMPUTED_VALUE"""),-13334.0)</f>
        <v>-13334</v>
      </c>
      <c r="L908" s="2">
        <f>IFERROR(__xludf.DUMMYFUNCTION("""COMPUTED_VALUE"""),0.0)</f>
        <v>0</v>
      </c>
      <c r="M908" s="2">
        <f>IFERROR(__xludf.DUMMYFUNCTION("""COMPUTED_VALUE"""),-13334.0)</f>
        <v>-13334</v>
      </c>
      <c r="N908" s="2">
        <f>IFERROR(__xludf.DUMMYFUNCTION("""COMPUTED_VALUE"""),0.0)</f>
        <v>0</v>
      </c>
      <c r="O908" s="2">
        <f>IFERROR(__xludf.DUMMYFUNCTION("""COMPUTED_VALUE"""),-13334.0)</f>
        <v>-13334</v>
      </c>
      <c r="P908" s="2">
        <f>IFERROR(__xludf.DUMMYFUNCTION("""COMPUTED_VALUE"""),-667.0)</f>
        <v>-667</v>
      </c>
      <c r="Q908" s="2" t="str">
        <f>IFERROR(__xludf.DUMMYFUNCTION("""COMPUTED_VALUE"""),"Dine In")</f>
        <v>Dine In</v>
      </c>
      <c r="R908" s="2" t="str">
        <f>IFERROR(__xludf.DUMMYFUNCTION("""COMPUTED_VALUE"""),"Kedai")</f>
        <v>Kedai</v>
      </c>
      <c r="S908" s="2" t="str">
        <f>IFERROR(__xludf.DUMMYFUNCTION("""COMPUTED_VALUE"""),"Temu Roti")</f>
        <v>Temu Roti</v>
      </c>
      <c r="T908" s="2" t="str">
        <f>IFERROR(__xludf.DUMMYFUNCTION("""COMPUTED_VALUE"""),"Owner")</f>
        <v>Owner</v>
      </c>
      <c r="U908" s="2"/>
      <c r="V908" s="2"/>
      <c r="W908" s="2"/>
      <c r="X908" s="2" t="str">
        <f>IFERROR(__xludf.DUMMYFUNCTION("""COMPUTED_VALUE"""),"Closed")</f>
        <v>Closed</v>
      </c>
    </row>
    <row r="909">
      <c r="A909" s="3" t="s">
        <v>924</v>
      </c>
      <c r="B909" s="4">
        <f>IFERROR(__xludf.DUMMYFUNCTION("SPLIT(A909,"","",0,0)"),45547.60625)</f>
        <v>45547.60625</v>
      </c>
      <c r="C909" s="5">
        <f>IFERROR(__xludf.DUMMYFUNCTION("""COMPUTED_VALUE"""),2674339.0)</f>
        <v>2674339</v>
      </c>
      <c r="D909" s="2" t="str">
        <f>IFERROR(__xludf.DUMMYFUNCTION("""COMPUTED_VALUE"""),"Refund")</f>
        <v>Refund</v>
      </c>
      <c r="E909" s="2" t="str">
        <f>IFERROR(__xludf.DUMMYFUNCTION("""COMPUTED_VALUE"""),"Minuman")</f>
        <v>Minuman</v>
      </c>
      <c r="F909" s="2">
        <f>IFERROR(__xludf.DUMMYFUNCTION("""COMPUTED_VALUE"""),10117.0)</f>
        <v>10117</v>
      </c>
      <c r="G909" s="2" t="str">
        <f>IFERROR(__xludf.DUMMYFUNCTION("""COMPUTED_VALUE"""),"Teh Manis Dingin")</f>
        <v>Teh Manis Dingin</v>
      </c>
      <c r="H909" s="2"/>
      <c r="I909" s="2"/>
      <c r="J909" s="2">
        <f>IFERROR(__xludf.DUMMYFUNCTION("""COMPUTED_VALUE"""),-1.0)</f>
        <v>-1</v>
      </c>
      <c r="K909" s="6">
        <f>IFERROR(__xludf.DUMMYFUNCTION("""COMPUTED_VALUE"""),-14286.0)</f>
        <v>-14286</v>
      </c>
      <c r="L909" s="2">
        <f>IFERROR(__xludf.DUMMYFUNCTION("""COMPUTED_VALUE"""),0.0)</f>
        <v>0</v>
      </c>
      <c r="M909" s="2">
        <f>IFERROR(__xludf.DUMMYFUNCTION("""COMPUTED_VALUE"""),-14286.0)</f>
        <v>-14286</v>
      </c>
      <c r="N909" s="2">
        <f>IFERROR(__xludf.DUMMYFUNCTION("""COMPUTED_VALUE"""),0.0)</f>
        <v>0</v>
      </c>
      <c r="O909" s="2">
        <f>IFERROR(__xludf.DUMMYFUNCTION("""COMPUTED_VALUE"""),-14286.0)</f>
        <v>-14286</v>
      </c>
      <c r="P909" s="2">
        <f>IFERROR(__xludf.DUMMYFUNCTION("""COMPUTED_VALUE"""),-714.0)</f>
        <v>-714</v>
      </c>
      <c r="Q909" s="2" t="str">
        <f>IFERROR(__xludf.DUMMYFUNCTION("""COMPUTED_VALUE"""),"Dine In")</f>
        <v>Dine In</v>
      </c>
      <c r="R909" s="2" t="str">
        <f>IFERROR(__xludf.DUMMYFUNCTION("""COMPUTED_VALUE"""),"Kedai")</f>
        <v>Kedai</v>
      </c>
      <c r="S909" s="2" t="str">
        <f>IFERROR(__xludf.DUMMYFUNCTION("""COMPUTED_VALUE"""),"Temu Roti")</f>
        <v>Temu Roti</v>
      </c>
      <c r="T909" s="2" t="str">
        <f>IFERROR(__xludf.DUMMYFUNCTION("""COMPUTED_VALUE"""),"Owner")</f>
        <v>Owner</v>
      </c>
      <c r="U909" s="2"/>
      <c r="V909" s="2"/>
      <c r="W909" s="2"/>
      <c r="X909" s="2" t="str">
        <f>IFERROR(__xludf.DUMMYFUNCTION("""COMPUTED_VALUE"""),"Closed")</f>
        <v>Closed</v>
      </c>
    </row>
    <row r="910">
      <c r="A910" s="3" t="s">
        <v>925</v>
      </c>
      <c r="B910" s="4">
        <f>IFERROR(__xludf.DUMMYFUNCTION("SPLIT(A910,"","",0,0)"),45547.60625)</f>
        <v>45547.60625</v>
      </c>
      <c r="C910" s="5">
        <f>IFERROR(__xludf.DUMMYFUNCTION("""COMPUTED_VALUE"""),2674339.0)</f>
        <v>2674339</v>
      </c>
      <c r="D910" s="2" t="str">
        <f>IFERROR(__xludf.DUMMYFUNCTION("""COMPUTED_VALUE"""),"Refund")</f>
        <v>Refund</v>
      </c>
      <c r="E910" s="2" t="str">
        <f>IFERROR(__xludf.DUMMYFUNCTION("""COMPUTED_VALUE"""),"Minuman")</f>
        <v>Minuman</v>
      </c>
      <c r="F910" s="2">
        <f>IFERROR(__xludf.DUMMYFUNCTION("""COMPUTED_VALUE"""),10128.0)</f>
        <v>10128</v>
      </c>
      <c r="G910" s="2" t="str">
        <f>IFERROR(__xludf.DUMMYFUNCTION("""COMPUTED_VALUE"""),"Es Kopi Susu")</f>
        <v>Es Kopi Susu</v>
      </c>
      <c r="H910" s="2"/>
      <c r="I910" s="2"/>
      <c r="J910" s="2">
        <f>IFERROR(__xludf.DUMMYFUNCTION("""COMPUTED_VALUE"""),-1.0)</f>
        <v>-1</v>
      </c>
      <c r="K910" s="6">
        <f>IFERROR(__xludf.DUMMYFUNCTION("""COMPUTED_VALUE"""),-23333.0)</f>
        <v>-23333</v>
      </c>
      <c r="L910" s="2">
        <f>IFERROR(__xludf.DUMMYFUNCTION("""COMPUTED_VALUE"""),0.0)</f>
        <v>0</v>
      </c>
      <c r="M910" s="2">
        <f>IFERROR(__xludf.DUMMYFUNCTION("""COMPUTED_VALUE"""),-23333.0)</f>
        <v>-23333</v>
      </c>
      <c r="N910" s="2">
        <f>IFERROR(__xludf.DUMMYFUNCTION("""COMPUTED_VALUE"""),0.0)</f>
        <v>0</v>
      </c>
      <c r="O910" s="2">
        <f>IFERROR(__xludf.DUMMYFUNCTION("""COMPUTED_VALUE"""),-23333.0)</f>
        <v>-23333</v>
      </c>
      <c r="P910" s="2">
        <f>IFERROR(__xludf.DUMMYFUNCTION("""COMPUTED_VALUE"""),-1167.0)</f>
        <v>-1167</v>
      </c>
      <c r="Q910" s="2" t="str">
        <f>IFERROR(__xludf.DUMMYFUNCTION("""COMPUTED_VALUE"""),"Dine In")</f>
        <v>Dine In</v>
      </c>
      <c r="R910" s="2" t="str">
        <f>IFERROR(__xludf.DUMMYFUNCTION("""COMPUTED_VALUE"""),"Kedai")</f>
        <v>Kedai</v>
      </c>
      <c r="S910" s="2" t="str">
        <f>IFERROR(__xludf.DUMMYFUNCTION("""COMPUTED_VALUE"""),"Temu Roti")</f>
        <v>Temu Roti</v>
      </c>
      <c r="T910" s="2" t="str">
        <f>IFERROR(__xludf.DUMMYFUNCTION("""COMPUTED_VALUE"""),"Owner")</f>
        <v>Owner</v>
      </c>
      <c r="U910" s="2"/>
      <c r="V910" s="2"/>
      <c r="W910" s="2"/>
      <c r="X910" s="2" t="str">
        <f>IFERROR(__xludf.DUMMYFUNCTION("""COMPUTED_VALUE"""),"Closed")</f>
        <v>Closed</v>
      </c>
    </row>
    <row r="911">
      <c r="A911" s="3" t="s">
        <v>926</v>
      </c>
      <c r="B911" s="4">
        <f>IFERROR(__xludf.DUMMYFUNCTION("SPLIT(A911,"","",0,0)"),45547.60625)</f>
        <v>45547.60625</v>
      </c>
      <c r="C911" s="5">
        <f>IFERROR(__xludf.DUMMYFUNCTION("""COMPUTED_VALUE"""),2673974.0)</f>
        <v>2673974</v>
      </c>
      <c r="D911" s="2" t="str">
        <f>IFERROR(__xludf.DUMMYFUNCTION("""COMPUTED_VALUE"""),"Sale")</f>
        <v>Sale</v>
      </c>
      <c r="E911" s="2" t="str">
        <f>IFERROR(__xludf.DUMMYFUNCTION("""COMPUTED_VALUE"""),"Minuman")</f>
        <v>Minuman</v>
      </c>
      <c r="F911" s="2">
        <f>IFERROR(__xludf.DUMMYFUNCTION("""COMPUTED_VALUE"""),10128.0)</f>
        <v>10128</v>
      </c>
      <c r="G911" s="2" t="str">
        <f>IFERROR(__xludf.DUMMYFUNCTION("""COMPUTED_VALUE"""),"Es Kopi Susu")</f>
        <v>Es Kopi Susu</v>
      </c>
      <c r="H911" s="2"/>
      <c r="I911" s="2"/>
      <c r="J911" s="2">
        <f>IFERROR(__xludf.DUMMYFUNCTION("""COMPUTED_VALUE"""),1.0)</f>
        <v>1</v>
      </c>
      <c r="K911" s="6">
        <f>IFERROR(__xludf.DUMMYFUNCTION("""COMPUTED_VALUE"""),23333.0)</f>
        <v>23333</v>
      </c>
      <c r="L911" s="2">
        <f>IFERROR(__xludf.DUMMYFUNCTION("""COMPUTED_VALUE"""),0.0)</f>
        <v>0</v>
      </c>
      <c r="M911" s="2">
        <f>IFERROR(__xludf.DUMMYFUNCTION("""COMPUTED_VALUE"""),23333.0)</f>
        <v>23333</v>
      </c>
      <c r="N911" s="2">
        <f>IFERROR(__xludf.DUMMYFUNCTION("""COMPUTED_VALUE"""),0.0)</f>
        <v>0</v>
      </c>
      <c r="O911" s="2">
        <f>IFERROR(__xludf.DUMMYFUNCTION("""COMPUTED_VALUE"""),23333.0)</f>
        <v>23333</v>
      </c>
      <c r="P911" s="2">
        <f>IFERROR(__xludf.DUMMYFUNCTION("""COMPUTED_VALUE"""),1167.0)</f>
        <v>1167</v>
      </c>
      <c r="Q911" s="2" t="str">
        <f>IFERROR(__xludf.DUMMYFUNCTION("""COMPUTED_VALUE"""),"Dine In")</f>
        <v>Dine In</v>
      </c>
      <c r="R911" s="2" t="str">
        <f>IFERROR(__xludf.DUMMYFUNCTION("""COMPUTED_VALUE"""),"Kedai")</f>
        <v>Kedai</v>
      </c>
      <c r="S911" s="2" t="str">
        <f>IFERROR(__xludf.DUMMYFUNCTION("""COMPUTED_VALUE"""),"Temu Roti")</f>
        <v>Temu Roti</v>
      </c>
      <c r="T911" s="2" t="str">
        <f>IFERROR(__xludf.DUMMYFUNCTION("""COMPUTED_VALUE"""),"Owner")</f>
        <v>Owner</v>
      </c>
      <c r="U911" s="2"/>
      <c r="V911" s="2"/>
      <c r="W911" s="2"/>
      <c r="X911" s="2" t="str">
        <f>IFERROR(__xludf.DUMMYFUNCTION("""COMPUTED_VALUE"""),"Closed")</f>
        <v>Closed</v>
      </c>
    </row>
    <row r="912">
      <c r="A912" s="3" t="s">
        <v>927</v>
      </c>
      <c r="B912" s="4">
        <f>IFERROR(__xludf.DUMMYFUNCTION("SPLIT(A912,"","",0,0)"),45547.60625)</f>
        <v>45547.60625</v>
      </c>
      <c r="C912" s="5">
        <f>IFERROR(__xludf.DUMMYFUNCTION("""COMPUTED_VALUE"""),2673974.0)</f>
        <v>2673974</v>
      </c>
      <c r="D912" s="2" t="str">
        <f>IFERROR(__xludf.DUMMYFUNCTION("""COMPUTED_VALUE"""),"Sale")</f>
        <v>Sale</v>
      </c>
      <c r="E912" s="2" t="str">
        <f>IFERROR(__xludf.DUMMYFUNCTION("""COMPUTED_VALUE"""),"Minuman")</f>
        <v>Minuman</v>
      </c>
      <c r="F912" s="2">
        <f>IFERROR(__xludf.DUMMYFUNCTION("""COMPUTED_VALUE"""),10117.0)</f>
        <v>10117</v>
      </c>
      <c r="G912" s="2" t="str">
        <f>IFERROR(__xludf.DUMMYFUNCTION("""COMPUTED_VALUE"""),"Teh Manis Dingin")</f>
        <v>Teh Manis Dingin</v>
      </c>
      <c r="H912" s="2"/>
      <c r="I912" s="2"/>
      <c r="J912" s="2">
        <f>IFERROR(__xludf.DUMMYFUNCTION("""COMPUTED_VALUE"""),1.0)</f>
        <v>1</v>
      </c>
      <c r="K912" s="6">
        <f>IFERROR(__xludf.DUMMYFUNCTION("""COMPUTED_VALUE"""),14286.0)</f>
        <v>14286</v>
      </c>
      <c r="L912" s="2">
        <f>IFERROR(__xludf.DUMMYFUNCTION("""COMPUTED_VALUE"""),0.0)</f>
        <v>0</v>
      </c>
      <c r="M912" s="2">
        <f>IFERROR(__xludf.DUMMYFUNCTION("""COMPUTED_VALUE"""),14286.0)</f>
        <v>14286</v>
      </c>
      <c r="N912" s="2">
        <f>IFERROR(__xludf.DUMMYFUNCTION("""COMPUTED_VALUE"""),0.0)</f>
        <v>0</v>
      </c>
      <c r="O912" s="2">
        <f>IFERROR(__xludf.DUMMYFUNCTION("""COMPUTED_VALUE"""),14286.0)</f>
        <v>14286</v>
      </c>
      <c r="P912" s="2">
        <f>IFERROR(__xludf.DUMMYFUNCTION("""COMPUTED_VALUE"""),714.0)</f>
        <v>714</v>
      </c>
      <c r="Q912" s="2" t="str">
        <f>IFERROR(__xludf.DUMMYFUNCTION("""COMPUTED_VALUE"""),"Dine In")</f>
        <v>Dine In</v>
      </c>
      <c r="R912" s="2" t="str">
        <f>IFERROR(__xludf.DUMMYFUNCTION("""COMPUTED_VALUE"""),"Kedai")</f>
        <v>Kedai</v>
      </c>
      <c r="S912" s="2" t="str">
        <f>IFERROR(__xludf.DUMMYFUNCTION("""COMPUTED_VALUE"""),"Temu Roti")</f>
        <v>Temu Roti</v>
      </c>
      <c r="T912" s="2" t="str">
        <f>IFERROR(__xludf.DUMMYFUNCTION("""COMPUTED_VALUE"""),"Owner")</f>
        <v>Owner</v>
      </c>
      <c r="U912" s="2"/>
      <c r="V912" s="2"/>
      <c r="W912" s="2"/>
      <c r="X912" s="2" t="str">
        <f>IFERROR(__xludf.DUMMYFUNCTION("""COMPUTED_VALUE"""),"Closed")</f>
        <v>Closed</v>
      </c>
    </row>
    <row r="913">
      <c r="A913" s="3" t="s">
        <v>928</v>
      </c>
      <c r="B913" s="4">
        <f>IFERROR(__xludf.DUMMYFUNCTION("SPLIT(A913,"","",0,0)"),45547.60625)</f>
        <v>45547.60625</v>
      </c>
      <c r="C913" s="5">
        <f>IFERROR(__xludf.DUMMYFUNCTION("""COMPUTED_VALUE"""),2673974.0)</f>
        <v>2673974</v>
      </c>
      <c r="D913" s="2" t="str">
        <f>IFERROR(__xludf.DUMMYFUNCTION("""COMPUTED_VALUE"""),"Sale")</f>
        <v>Sale</v>
      </c>
      <c r="E913" s="2" t="str">
        <f>IFERROR(__xludf.DUMMYFUNCTION("""COMPUTED_VALUE"""),"Minuman")</f>
        <v>Minuman</v>
      </c>
      <c r="F913" s="2">
        <f>IFERROR(__xludf.DUMMYFUNCTION("""COMPUTED_VALUE"""),10112.0)</f>
        <v>10112</v>
      </c>
      <c r="G913" s="2" t="str">
        <f>IFERROR(__xludf.DUMMYFUNCTION("""COMPUTED_VALUE"""),"Air mineral")</f>
        <v>Air mineral</v>
      </c>
      <c r="H913" s="2"/>
      <c r="I913" s="2"/>
      <c r="J913" s="2">
        <f>IFERROR(__xludf.DUMMYFUNCTION("""COMPUTED_VALUE"""),2.0)</f>
        <v>2</v>
      </c>
      <c r="K913" s="6">
        <f>IFERROR(__xludf.DUMMYFUNCTION("""COMPUTED_VALUE"""),13334.0)</f>
        <v>13334</v>
      </c>
      <c r="L913" s="2">
        <f>IFERROR(__xludf.DUMMYFUNCTION("""COMPUTED_VALUE"""),0.0)</f>
        <v>0</v>
      </c>
      <c r="M913" s="2">
        <f>IFERROR(__xludf.DUMMYFUNCTION("""COMPUTED_VALUE"""),13334.0)</f>
        <v>13334</v>
      </c>
      <c r="N913" s="2">
        <f>IFERROR(__xludf.DUMMYFUNCTION("""COMPUTED_VALUE"""),0.0)</f>
        <v>0</v>
      </c>
      <c r="O913" s="2">
        <f>IFERROR(__xludf.DUMMYFUNCTION("""COMPUTED_VALUE"""),13334.0)</f>
        <v>13334</v>
      </c>
      <c r="P913" s="2">
        <f>IFERROR(__xludf.DUMMYFUNCTION("""COMPUTED_VALUE"""),667.0)</f>
        <v>667</v>
      </c>
      <c r="Q913" s="2" t="str">
        <f>IFERROR(__xludf.DUMMYFUNCTION("""COMPUTED_VALUE"""),"Dine In")</f>
        <v>Dine In</v>
      </c>
      <c r="R913" s="2" t="str">
        <f>IFERROR(__xludf.DUMMYFUNCTION("""COMPUTED_VALUE"""),"Kedai")</f>
        <v>Kedai</v>
      </c>
      <c r="S913" s="2" t="str">
        <f>IFERROR(__xludf.DUMMYFUNCTION("""COMPUTED_VALUE"""),"Temu Roti")</f>
        <v>Temu Roti</v>
      </c>
      <c r="T913" s="2" t="str">
        <f>IFERROR(__xludf.DUMMYFUNCTION("""COMPUTED_VALUE"""),"Owner")</f>
        <v>Owner</v>
      </c>
      <c r="U913" s="2"/>
      <c r="V913" s="2"/>
      <c r="W913" s="2"/>
      <c r="X913" s="2" t="str">
        <f>IFERROR(__xludf.DUMMYFUNCTION("""COMPUTED_VALUE"""),"Closed")</f>
        <v>Closed</v>
      </c>
    </row>
    <row r="914">
      <c r="A914" s="3" t="s">
        <v>929</v>
      </c>
      <c r="B914" s="4">
        <f>IFERROR(__xludf.DUMMYFUNCTION("SPLIT(A914,"","",0,0)"),45547.60555555556)</f>
        <v>45547.60556</v>
      </c>
      <c r="C914" s="5">
        <f>IFERROR(__xludf.DUMMYFUNCTION("""COMPUTED_VALUE"""),2673608.0)</f>
        <v>2673608</v>
      </c>
      <c r="D914" s="2" t="str">
        <f>IFERROR(__xludf.DUMMYFUNCTION("""COMPUTED_VALUE"""),"Sale")</f>
        <v>Sale</v>
      </c>
      <c r="E914" s="2" t="str">
        <f>IFERROR(__xludf.DUMMYFUNCTION("""COMPUTED_VALUE"""),"Minuman")</f>
        <v>Minuman</v>
      </c>
      <c r="F914" s="2">
        <f>IFERROR(__xludf.DUMMYFUNCTION("""COMPUTED_VALUE"""),10112.0)</f>
        <v>10112</v>
      </c>
      <c r="G914" s="2" t="str">
        <f>IFERROR(__xludf.DUMMYFUNCTION("""COMPUTED_VALUE"""),"Air mineral")</f>
        <v>Air mineral</v>
      </c>
      <c r="H914" s="2"/>
      <c r="I914" s="2"/>
      <c r="J914" s="2">
        <f>IFERROR(__xludf.DUMMYFUNCTION("""COMPUTED_VALUE"""),2.0)</f>
        <v>2</v>
      </c>
      <c r="K914" s="6">
        <f>IFERROR(__xludf.DUMMYFUNCTION("""COMPUTED_VALUE"""),13334.0)</f>
        <v>13334</v>
      </c>
      <c r="L914" s="2">
        <f>IFERROR(__xludf.DUMMYFUNCTION("""COMPUTED_VALUE"""),0.0)</f>
        <v>0</v>
      </c>
      <c r="M914" s="2">
        <f>IFERROR(__xludf.DUMMYFUNCTION("""COMPUTED_VALUE"""),13334.0)</f>
        <v>13334</v>
      </c>
      <c r="N914" s="2">
        <f>IFERROR(__xludf.DUMMYFUNCTION("""COMPUTED_VALUE"""),0.0)</f>
        <v>0</v>
      </c>
      <c r="O914" s="2">
        <f>IFERROR(__xludf.DUMMYFUNCTION("""COMPUTED_VALUE"""),13334.0)</f>
        <v>13334</v>
      </c>
      <c r="P914" s="2">
        <f>IFERROR(__xludf.DUMMYFUNCTION("""COMPUTED_VALUE"""),667.0)</f>
        <v>667</v>
      </c>
      <c r="Q914" s="2" t="str">
        <f>IFERROR(__xludf.DUMMYFUNCTION("""COMPUTED_VALUE"""),"Dine In")</f>
        <v>Dine In</v>
      </c>
      <c r="R914" s="2" t="str">
        <f>IFERROR(__xludf.DUMMYFUNCTION("""COMPUTED_VALUE"""),"Kedai")</f>
        <v>Kedai</v>
      </c>
      <c r="S914" s="2" t="str">
        <f>IFERROR(__xludf.DUMMYFUNCTION("""COMPUTED_VALUE"""),"Temu Roti")</f>
        <v>Temu Roti</v>
      </c>
      <c r="T914" s="2" t="str">
        <f>IFERROR(__xludf.DUMMYFUNCTION("""COMPUTED_VALUE"""),"Owner")</f>
        <v>Owner</v>
      </c>
      <c r="U914" s="2"/>
      <c r="V914" s="2"/>
      <c r="W914" s="2"/>
      <c r="X914" s="2" t="str">
        <f>IFERROR(__xludf.DUMMYFUNCTION("""COMPUTED_VALUE"""),"Closed")</f>
        <v>Closed</v>
      </c>
    </row>
    <row r="915">
      <c r="A915" s="3" t="s">
        <v>930</v>
      </c>
      <c r="B915" s="4">
        <f>IFERROR(__xludf.DUMMYFUNCTION("SPLIT(A915,"","",0,0)"),45547.60555555556)</f>
        <v>45547.60556</v>
      </c>
      <c r="C915" s="5">
        <f>IFERROR(__xludf.DUMMYFUNCTION("""COMPUTED_VALUE"""),2673608.0)</f>
        <v>2673608</v>
      </c>
      <c r="D915" s="2" t="str">
        <f>IFERROR(__xludf.DUMMYFUNCTION("""COMPUTED_VALUE"""),"Sale")</f>
        <v>Sale</v>
      </c>
      <c r="E915" s="2" t="str">
        <f>IFERROR(__xludf.DUMMYFUNCTION("""COMPUTED_VALUE"""),"Minuman")</f>
        <v>Minuman</v>
      </c>
      <c r="F915" s="2">
        <f>IFERROR(__xludf.DUMMYFUNCTION("""COMPUTED_VALUE"""),10117.0)</f>
        <v>10117</v>
      </c>
      <c r="G915" s="2" t="str">
        <f>IFERROR(__xludf.DUMMYFUNCTION("""COMPUTED_VALUE"""),"Teh Manis Dingin")</f>
        <v>Teh Manis Dingin</v>
      </c>
      <c r="H915" s="2"/>
      <c r="I915" s="2"/>
      <c r="J915" s="2">
        <f>IFERROR(__xludf.DUMMYFUNCTION("""COMPUTED_VALUE"""),1.0)</f>
        <v>1</v>
      </c>
      <c r="K915" s="6">
        <f>IFERROR(__xludf.DUMMYFUNCTION("""COMPUTED_VALUE"""),14286.0)</f>
        <v>14286</v>
      </c>
      <c r="L915" s="2">
        <f>IFERROR(__xludf.DUMMYFUNCTION("""COMPUTED_VALUE"""),0.0)</f>
        <v>0</v>
      </c>
      <c r="M915" s="2">
        <f>IFERROR(__xludf.DUMMYFUNCTION("""COMPUTED_VALUE"""),14286.0)</f>
        <v>14286</v>
      </c>
      <c r="N915" s="2">
        <f>IFERROR(__xludf.DUMMYFUNCTION("""COMPUTED_VALUE"""),0.0)</f>
        <v>0</v>
      </c>
      <c r="O915" s="2">
        <f>IFERROR(__xludf.DUMMYFUNCTION("""COMPUTED_VALUE"""),14286.0)</f>
        <v>14286</v>
      </c>
      <c r="P915" s="2">
        <f>IFERROR(__xludf.DUMMYFUNCTION("""COMPUTED_VALUE"""),714.0)</f>
        <v>714</v>
      </c>
      <c r="Q915" s="2" t="str">
        <f>IFERROR(__xludf.DUMMYFUNCTION("""COMPUTED_VALUE"""),"Dine In")</f>
        <v>Dine In</v>
      </c>
      <c r="R915" s="2" t="str">
        <f>IFERROR(__xludf.DUMMYFUNCTION("""COMPUTED_VALUE"""),"Kedai")</f>
        <v>Kedai</v>
      </c>
      <c r="S915" s="2" t="str">
        <f>IFERROR(__xludf.DUMMYFUNCTION("""COMPUTED_VALUE"""),"Temu Roti")</f>
        <v>Temu Roti</v>
      </c>
      <c r="T915" s="2" t="str">
        <f>IFERROR(__xludf.DUMMYFUNCTION("""COMPUTED_VALUE"""),"Owner")</f>
        <v>Owner</v>
      </c>
      <c r="U915" s="2"/>
      <c r="V915" s="2"/>
      <c r="W915" s="2"/>
      <c r="X915" s="2" t="str">
        <f>IFERROR(__xludf.DUMMYFUNCTION("""COMPUTED_VALUE"""),"Closed")</f>
        <v>Closed</v>
      </c>
    </row>
    <row r="916">
      <c r="A916" s="3" t="s">
        <v>931</v>
      </c>
      <c r="B916" s="4">
        <f>IFERROR(__xludf.DUMMYFUNCTION("SPLIT(A916,"","",0,0)"),45547.60555555556)</f>
        <v>45547.60556</v>
      </c>
      <c r="C916" s="5">
        <f>IFERROR(__xludf.DUMMYFUNCTION("""COMPUTED_VALUE"""),2673608.0)</f>
        <v>2673608</v>
      </c>
      <c r="D916" s="2" t="str">
        <f>IFERROR(__xludf.DUMMYFUNCTION("""COMPUTED_VALUE"""),"Sale")</f>
        <v>Sale</v>
      </c>
      <c r="E916" s="2" t="str">
        <f>IFERROR(__xludf.DUMMYFUNCTION("""COMPUTED_VALUE"""),"Minuman")</f>
        <v>Minuman</v>
      </c>
      <c r="F916" s="2">
        <f>IFERROR(__xludf.DUMMYFUNCTION("""COMPUTED_VALUE"""),10128.0)</f>
        <v>10128</v>
      </c>
      <c r="G916" s="2" t="str">
        <f>IFERROR(__xludf.DUMMYFUNCTION("""COMPUTED_VALUE"""),"Es Kopi Susu")</f>
        <v>Es Kopi Susu</v>
      </c>
      <c r="H916" s="2"/>
      <c r="I916" s="2"/>
      <c r="J916" s="2">
        <f>IFERROR(__xludf.DUMMYFUNCTION("""COMPUTED_VALUE"""),1.0)</f>
        <v>1</v>
      </c>
      <c r="K916" s="6">
        <f>IFERROR(__xludf.DUMMYFUNCTION("""COMPUTED_VALUE"""),23333.0)</f>
        <v>23333</v>
      </c>
      <c r="L916" s="2">
        <f>IFERROR(__xludf.DUMMYFUNCTION("""COMPUTED_VALUE"""),0.0)</f>
        <v>0</v>
      </c>
      <c r="M916" s="2">
        <f>IFERROR(__xludf.DUMMYFUNCTION("""COMPUTED_VALUE"""),23333.0)</f>
        <v>23333</v>
      </c>
      <c r="N916" s="2">
        <f>IFERROR(__xludf.DUMMYFUNCTION("""COMPUTED_VALUE"""),0.0)</f>
        <v>0</v>
      </c>
      <c r="O916" s="2">
        <f>IFERROR(__xludf.DUMMYFUNCTION("""COMPUTED_VALUE"""),23333.0)</f>
        <v>23333</v>
      </c>
      <c r="P916" s="2">
        <f>IFERROR(__xludf.DUMMYFUNCTION("""COMPUTED_VALUE"""),1167.0)</f>
        <v>1167</v>
      </c>
      <c r="Q916" s="2" t="str">
        <f>IFERROR(__xludf.DUMMYFUNCTION("""COMPUTED_VALUE"""),"Dine In")</f>
        <v>Dine In</v>
      </c>
      <c r="R916" s="2" t="str">
        <f>IFERROR(__xludf.DUMMYFUNCTION("""COMPUTED_VALUE"""),"Kedai")</f>
        <v>Kedai</v>
      </c>
      <c r="S916" s="2" t="str">
        <f>IFERROR(__xludf.DUMMYFUNCTION("""COMPUTED_VALUE"""),"Temu Roti")</f>
        <v>Temu Roti</v>
      </c>
      <c r="T916" s="2" t="str">
        <f>IFERROR(__xludf.DUMMYFUNCTION("""COMPUTED_VALUE"""),"Owner")</f>
        <v>Owner</v>
      </c>
      <c r="U916" s="2"/>
      <c r="V916" s="2"/>
      <c r="W916" s="2"/>
      <c r="X916" s="2" t="str">
        <f>IFERROR(__xludf.DUMMYFUNCTION("""COMPUTED_VALUE"""),"Closed")</f>
        <v>Closed</v>
      </c>
    </row>
    <row r="917">
      <c r="A917" s="3" t="s">
        <v>932</v>
      </c>
      <c r="B917" s="4">
        <f>IFERROR(__xludf.DUMMYFUNCTION("SPLIT(A917,"","",0,0)"),45547.55972222222)</f>
        <v>45547.55972</v>
      </c>
      <c r="C917" s="5">
        <f>IFERROR(__xludf.DUMMYFUNCTION("""COMPUTED_VALUE"""),2673243.0)</f>
        <v>2673243</v>
      </c>
      <c r="D917" s="2" t="str">
        <f>IFERROR(__xludf.DUMMYFUNCTION("""COMPUTED_VALUE"""),"Sale")</f>
        <v>Sale</v>
      </c>
      <c r="E917" s="2" t="str">
        <f>IFERROR(__xludf.DUMMYFUNCTION("""COMPUTED_VALUE"""),"Kudapan")</f>
        <v>Kudapan</v>
      </c>
      <c r="F917" s="2">
        <f>IFERROR(__xludf.DUMMYFUNCTION("""COMPUTED_VALUE"""),10009.0)</f>
        <v>10009</v>
      </c>
      <c r="G917" s="2" t="str">
        <f>IFERROR(__xludf.DUMMYFUNCTION("""COMPUTED_VALUE"""),"Jamur Enoki Krispi")</f>
        <v>Jamur Enoki Krispi</v>
      </c>
      <c r="H917" s="2"/>
      <c r="I917" s="2"/>
      <c r="J917" s="2">
        <f>IFERROR(__xludf.DUMMYFUNCTION("""COMPUTED_VALUE"""),1.0)</f>
        <v>1</v>
      </c>
      <c r="K917" s="6">
        <f>IFERROR(__xludf.DUMMYFUNCTION("""COMPUTED_VALUE"""),26667.0)</f>
        <v>26667</v>
      </c>
      <c r="L917" s="2">
        <f>IFERROR(__xludf.DUMMYFUNCTION("""COMPUTED_VALUE"""),0.0)</f>
        <v>0</v>
      </c>
      <c r="M917" s="2">
        <f>IFERROR(__xludf.DUMMYFUNCTION("""COMPUTED_VALUE"""),26667.0)</f>
        <v>26667</v>
      </c>
      <c r="N917" s="2">
        <f>IFERROR(__xludf.DUMMYFUNCTION("""COMPUTED_VALUE"""),0.0)</f>
        <v>0</v>
      </c>
      <c r="O917" s="2">
        <f>IFERROR(__xludf.DUMMYFUNCTION("""COMPUTED_VALUE"""),26667.0)</f>
        <v>26667</v>
      </c>
      <c r="P917" s="2">
        <f>IFERROR(__xludf.DUMMYFUNCTION("""COMPUTED_VALUE"""),1333.0)</f>
        <v>1333</v>
      </c>
      <c r="Q917" s="2" t="str">
        <f>IFERROR(__xludf.DUMMYFUNCTION("""COMPUTED_VALUE"""),"Dine In")</f>
        <v>Dine In</v>
      </c>
      <c r="R917" s="2" t="str">
        <f>IFERROR(__xludf.DUMMYFUNCTION("""COMPUTED_VALUE"""),"Kedai")</f>
        <v>Kedai</v>
      </c>
      <c r="S917" s="2" t="str">
        <f>IFERROR(__xludf.DUMMYFUNCTION("""COMPUTED_VALUE"""),"Temu Roti")</f>
        <v>Temu Roti</v>
      </c>
      <c r="T917" s="2" t="str">
        <f>IFERROR(__xludf.DUMMYFUNCTION("""COMPUTED_VALUE"""),"Owner")</f>
        <v>Owner</v>
      </c>
      <c r="U917" s="2"/>
      <c r="V917" s="2"/>
      <c r="W917" s="2"/>
      <c r="X917" s="2" t="str">
        <f>IFERROR(__xludf.DUMMYFUNCTION("""COMPUTED_VALUE"""),"Closed")</f>
        <v>Closed</v>
      </c>
    </row>
    <row r="918">
      <c r="A918" s="3" t="s">
        <v>933</v>
      </c>
      <c r="B918" s="4">
        <f>IFERROR(__xludf.DUMMYFUNCTION("SPLIT(A918,"","",0,0)"),45547.55972222222)</f>
        <v>45547.55972</v>
      </c>
      <c r="C918" s="5">
        <f>IFERROR(__xludf.DUMMYFUNCTION("""COMPUTED_VALUE"""),2673243.0)</f>
        <v>2673243</v>
      </c>
      <c r="D918" s="2" t="str">
        <f>IFERROR(__xludf.DUMMYFUNCTION("""COMPUTED_VALUE"""),"Sale")</f>
        <v>Sale</v>
      </c>
      <c r="E918" s="2" t="str">
        <f>IFERROR(__xludf.DUMMYFUNCTION("""COMPUTED_VALUE"""),"Minuman")</f>
        <v>Minuman</v>
      </c>
      <c r="F918" s="2">
        <f>IFERROR(__xludf.DUMMYFUNCTION("""COMPUTED_VALUE"""),10106.0)</f>
        <v>10106</v>
      </c>
      <c r="G918" s="2" t="str">
        <f>IFERROR(__xludf.DUMMYFUNCTION("""COMPUTED_VALUE"""),"Korean Strawberry Fresh Milk")</f>
        <v>Korean Strawberry Fresh Milk</v>
      </c>
      <c r="H918" s="2"/>
      <c r="I918" s="2"/>
      <c r="J918" s="2">
        <f>IFERROR(__xludf.DUMMYFUNCTION("""COMPUTED_VALUE"""),1.0)</f>
        <v>1</v>
      </c>
      <c r="K918" s="6">
        <f>IFERROR(__xludf.DUMMYFUNCTION("""COMPUTED_VALUE"""),26667.0)</f>
        <v>26667</v>
      </c>
      <c r="L918" s="2">
        <f>IFERROR(__xludf.DUMMYFUNCTION("""COMPUTED_VALUE"""),0.0)</f>
        <v>0</v>
      </c>
      <c r="M918" s="2">
        <f>IFERROR(__xludf.DUMMYFUNCTION("""COMPUTED_VALUE"""),26667.0)</f>
        <v>26667</v>
      </c>
      <c r="N918" s="2">
        <f>IFERROR(__xludf.DUMMYFUNCTION("""COMPUTED_VALUE"""),0.0)</f>
        <v>0</v>
      </c>
      <c r="O918" s="2">
        <f>IFERROR(__xludf.DUMMYFUNCTION("""COMPUTED_VALUE"""),26667.0)</f>
        <v>26667</v>
      </c>
      <c r="P918" s="2">
        <f>IFERROR(__xludf.DUMMYFUNCTION("""COMPUTED_VALUE"""),1334.0)</f>
        <v>1334</v>
      </c>
      <c r="Q918" s="2" t="str">
        <f>IFERROR(__xludf.DUMMYFUNCTION("""COMPUTED_VALUE"""),"Dine In")</f>
        <v>Dine In</v>
      </c>
      <c r="R918" s="2" t="str">
        <f>IFERROR(__xludf.DUMMYFUNCTION("""COMPUTED_VALUE"""),"Kedai")</f>
        <v>Kedai</v>
      </c>
      <c r="S918" s="2" t="str">
        <f>IFERROR(__xludf.DUMMYFUNCTION("""COMPUTED_VALUE"""),"Temu Roti")</f>
        <v>Temu Roti</v>
      </c>
      <c r="T918" s="2" t="str">
        <f>IFERROR(__xludf.DUMMYFUNCTION("""COMPUTED_VALUE"""),"Owner")</f>
        <v>Owner</v>
      </c>
      <c r="U918" s="2"/>
      <c r="V918" s="2"/>
      <c r="W918" s="2"/>
      <c r="X918" s="2" t="str">
        <f>IFERROR(__xludf.DUMMYFUNCTION("""COMPUTED_VALUE"""),"Closed")</f>
        <v>Closed</v>
      </c>
    </row>
    <row r="919">
      <c r="A919" s="3" t="s">
        <v>934</v>
      </c>
      <c r="B919" s="4">
        <f>IFERROR(__xludf.DUMMYFUNCTION("SPLIT(A919,"","",0,0)"),45547.552083333336)</f>
        <v>45547.55208</v>
      </c>
      <c r="C919" s="5">
        <f>IFERROR(__xludf.DUMMYFUNCTION("""COMPUTED_VALUE"""),2672878.0)</f>
        <v>2672878</v>
      </c>
      <c r="D919" s="2" t="str">
        <f>IFERROR(__xludf.DUMMYFUNCTION("""COMPUTED_VALUE"""),"Sale")</f>
        <v>Sale</v>
      </c>
      <c r="E919" s="2" t="str">
        <f>IFERROR(__xludf.DUMMYFUNCTION("""COMPUTED_VALUE"""),"Roti")</f>
        <v>Roti</v>
      </c>
      <c r="F919" s="2">
        <f>IFERROR(__xludf.DUMMYFUNCTION("""COMPUTED_VALUE"""),10033.0)</f>
        <v>10033</v>
      </c>
      <c r="G919" s="2" t="str">
        <f>IFERROR(__xludf.DUMMYFUNCTION("""COMPUTED_VALUE"""),"Roti panggang sarikaya")</f>
        <v>Roti panggang sarikaya</v>
      </c>
      <c r="H919" s="2"/>
      <c r="I919" s="2"/>
      <c r="J919" s="2">
        <f>IFERROR(__xludf.DUMMYFUNCTION("""COMPUTED_VALUE"""),1.0)</f>
        <v>1</v>
      </c>
      <c r="K919" s="6">
        <f>IFERROR(__xludf.DUMMYFUNCTION("""COMPUTED_VALUE"""),21905.0)</f>
        <v>21905</v>
      </c>
      <c r="L919" s="2">
        <f>IFERROR(__xludf.DUMMYFUNCTION("""COMPUTED_VALUE"""),0.0)</f>
        <v>0</v>
      </c>
      <c r="M919" s="2">
        <f>IFERROR(__xludf.DUMMYFUNCTION("""COMPUTED_VALUE"""),21905.0)</f>
        <v>21905</v>
      </c>
      <c r="N919" s="2">
        <f>IFERROR(__xludf.DUMMYFUNCTION("""COMPUTED_VALUE"""),0.0)</f>
        <v>0</v>
      </c>
      <c r="O919" s="2">
        <f>IFERROR(__xludf.DUMMYFUNCTION("""COMPUTED_VALUE"""),21905.0)</f>
        <v>21905</v>
      </c>
      <c r="P919" s="2">
        <f>IFERROR(__xludf.DUMMYFUNCTION("""COMPUTED_VALUE"""),1095.0)</f>
        <v>1095</v>
      </c>
      <c r="Q919" s="2" t="str">
        <f>IFERROR(__xludf.DUMMYFUNCTION("""COMPUTED_VALUE"""),"Dine In")</f>
        <v>Dine In</v>
      </c>
      <c r="R919" s="2" t="str">
        <f>IFERROR(__xludf.DUMMYFUNCTION("""COMPUTED_VALUE"""),"Kedai")</f>
        <v>Kedai</v>
      </c>
      <c r="S919" s="2" t="str">
        <f>IFERROR(__xludf.DUMMYFUNCTION("""COMPUTED_VALUE"""),"Temu Roti")</f>
        <v>Temu Roti</v>
      </c>
      <c r="T919" s="2" t="str">
        <f>IFERROR(__xludf.DUMMYFUNCTION("""COMPUTED_VALUE"""),"Owner")</f>
        <v>Owner</v>
      </c>
      <c r="U919" s="2"/>
      <c r="V919" s="2"/>
      <c r="W919" s="2"/>
      <c r="X919" s="2" t="str">
        <f>IFERROR(__xludf.DUMMYFUNCTION("""COMPUTED_VALUE"""),"Closed")</f>
        <v>Closed</v>
      </c>
    </row>
    <row r="920">
      <c r="A920" s="3" t="s">
        <v>935</v>
      </c>
      <c r="B920" s="4">
        <f>IFERROR(__xludf.DUMMYFUNCTION("SPLIT(A920,"","",0,0)"),45547.552083333336)</f>
        <v>45547.55208</v>
      </c>
      <c r="C920" s="5">
        <f>IFERROR(__xludf.DUMMYFUNCTION("""COMPUTED_VALUE"""),2672878.0)</f>
        <v>2672878</v>
      </c>
      <c r="D920" s="2" t="str">
        <f>IFERROR(__xludf.DUMMYFUNCTION("""COMPUTED_VALUE"""),"Sale")</f>
        <v>Sale</v>
      </c>
      <c r="E920" s="2" t="str">
        <f>IFERROR(__xludf.DUMMYFUNCTION("""COMPUTED_VALUE"""),"Roti")</f>
        <v>Roti</v>
      </c>
      <c r="F920" s="2">
        <f>IFERROR(__xludf.DUMMYFUNCTION("""COMPUTED_VALUE"""),10039.0)</f>
        <v>10039</v>
      </c>
      <c r="G920" s="2" t="str">
        <f>IFERROR(__xludf.DUMMYFUNCTION("""COMPUTED_VALUE"""),"Roti panggang strawberry")</f>
        <v>Roti panggang strawberry</v>
      </c>
      <c r="H920" s="2"/>
      <c r="I920" s="2"/>
      <c r="J920" s="2">
        <f>IFERROR(__xludf.DUMMYFUNCTION("""COMPUTED_VALUE"""),1.0)</f>
        <v>1</v>
      </c>
      <c r="K920" s="6">
        <f>IFERROR(__xludf.DUMMYFUNCTION("""COMPUTED_VALUE"""),21905.0)</f>
        <v>21905</v>
      </c>
      <c r="L920" s="2">
        <f>IFERROR(__xludf.DUMMYFUNCTION("""COMPUTED_VALUE"""),0.0)</f>
        <v>0</v>
      </c>
      <c r="M920" s="2">
        <f>IFERROR(__xludf.DUMMYFUNCTION("""COMPUTED_VALUE"""),21905.0)</f>
        <v>21905</v>
      </c>
      <c r="N920" s="2">
        <f>IFERROR(__xludf.DUMMYFUNCTION("""COMPUTED_VALUE"""),0.0)</f>
        <v>0</v>
      </c>
      <c r="O920" s="2">
        <f>IFERROR(__xludf.DUMMYFUNCTION("""COMPUTED_VALUE"""),21905.0)</f>
        <v>21905</v>
      </c>
      <c r="P920" s="2">
        <f>IFERROR(__xludf.DUMMYFUNCTION("""COMPUTED_VALUE"""),1096.0)</f>
        <v>1096</v>
      </c>
      <c r="Q920" s="2" t="str">
        <f>IFERROR(__xludf.DUMMYFUNCTION("""COMPUTED_VALUE"""),"Dine In")</f>
        <v>Dine In</v>
      </c>
      <c r="R920" s="2" t="str">
        <f>IFERROR(__xludf.DUMMYFUNCTION("""COMPUTED_VALUE"""),"Kedai")</f>
        <v>Kedai</v>
      </c>
      <c r="S920" s="2" t="str">
        <f>IFERROR(__xludf.DUMMYFUNCTION("""COMPUTED_VALUE"""),"Temu Roti")</f>
        <v>Temu Roti</v>
      </c>
      <c r="T920" s="2" t="str">
        <f>IFERROR(__xludf.DUMMYFUNCTION("""COMPUTED_VALUE"""),"Owner")</f>
        <v>Owner</v>
      </c>
      <c r="U920" s="2"/>
      <c r="V920" s="2"/>
      <c r="W920" s="2"/>
      <c r="X920" s="2" t="str">
        <f>IFERROR(__xludf.DUMMYFUNCTION("""COMPUTED_VALUE"""),"Closed")</f>
        <v>Closed</v>
      </c>
    </row>
    <row r="921">
      <c r="A921" s="3" t="s">
        <v>936</v>
      </c>
      <c r="B921" s="4">
        <f>IFERROR(__xludf.DUMMYFUNCTION("SPLIT(A921,"","",0,0)"),45547.552083333336)</f>
        <v>45547.55208</v>
      </c>
      <c r="C921" s="5">
        <f>IFERROR(__xludf.DUMMYFUNCTION("""COMPUTED_VALUE"""),2672878.0)</f>
        <v>2672878</v>
      </c>
      <c r="D921" s="2" t="str">
        <f>IFERROR(__xludf.DUMMYFUNCTION("""COMPUTED_VALUE"""),"Sale")</f>
        <v>Sale</v>
      </c>
      <c r="E921" s="2" t="str">
        <f>IFERROR(__xludf.DUMMYFUNCTION("""COMPUTED_VALUE"""),"Minuman")</f>
        <v>Minuman</v>
      </c>
      <c r="F921" s="2">
        <f>IFERROR(__xludf.DUMMYFUNCTION("""COMPUTED_VALUE"""),10128.0)</f>
        <v>10128</v>
      </c>
      <c r="G921" s="2" t="str">
        <f>IFERROR(__xludf.DUMMYFUNCTION("""COMPUTED_VALUE"""),"Es Kopi Susu")</f>
        <v>Es Kopi Susu</v>
      </c>
      <c r="H921" s="2"/>
      <c r="I921" s="2"/>
      <c r="J921" s="2">
        <f>IFERROR(__xludf.DUMMYFUNCTION("""COMPUTED_VALUE"""),2.0)</f>
        <v>2</v>
      </c>
      <c r="K921" s="6">
        <f>IFERROR(__xludf.DUMMYFUNCTION("""COMPUTED_VALUE"""),46666.0)</f>
        <v>46666</v>
      </c>
      <c r="L921" s="2">
        <f>IFERROR(__xludf.DUMMYFUNCTION("""COMPUTED_VALUE"""),0.0)</f>
        <v>0</v>
      </c>
      <c r="M921" s="2">
        <f>IFERROR(__xludf.DUMMYFUNCTION("""COMPUTED_VALUE"""),46666.0)</f>
        <v>46666</v>
      </c>
      <c r="N921" s="2">
        <f>IFERROR(__xludf.DUMMYFUNCTION("""COMPUTED_VALUE"""),0.0)</f>
        <v>0</v>
      </c>
      <c r="O921" s="2">
        <f>IFERROR(__xludf.DUMMYFUNCTION("""COMPUTED_VALUE"""),46666.0)</f>
        <v>46666</v>
      </c>
      <c r="P921" s="2">
        <f>IFERROR(__xludf.DUMMYFUNCTION("""COMPUTED_VALUE"""),2333.0)</f>
        <v>2333</v>
      </c>
      <c r="Q921" s="2" t="str">
        <f>IFERROR(__xludf.DUMMYFUNCTION("""COMPUTED_VALUE"""),"Dine In")</f>
        <v>Dine In</v>
      </c>
      <c r="R921" s="2" t="str">
        <f>IFERROR(__xludf.DUMMYFUNCTION("""COMPUTED_VALUE"""),"Kedai")</f>
        <v>Kedai</v>
      </c>
      <c r="S921" s="2" t="str">
        <f>IFERROR(__xludf.DUMMYFUNCTION("""COMPUTED_VALUE"""),"Temu Roti")</f>
        <v>Temu Roti</v>
      </c>
      <c r="T921" s="2" t="str">
        <f>IFERROR(__xludf.DUMMYFUNCTION("""COMPUTED_VALUE"""),"Owner")</f>
        <v>Owner</v>
      </c>
      <c r="U921" s="2"/>
      <c r="V921" s="2"/>
      <c r="W921" s="2"/>
      <c r="X921" s="2" t="str">
        <f>IFERROR(__xludf.DUMMYFUNCTION("""COMPUTED_VALUE"""),"Closed")</f>
        <v>Closed</v>
      </c>
    </row>
    <row r="922">
      <c r="A922" s="3" t="s">
        <v>937</v>
      </c>
      <c r="B922" s="4">
        <f>IFERROR(__xludf.DUMMYFUNCTION("SPLIT(A922,"","",0,0)"),45547.54236111111)</f>
        <v>45547.54236</v>
      </c>
      <c r="C922" s="5">
        <f>IFERROR(__xludf.DUMMYFUNCTION("""COMPUTED_VALUE"""),2672513.0)</f>
        <v>2672513</v>
      </c>
      <c r="D922" s="2" t="str">
        <f>IFERROR(__xludf.DUMMYFUNCTION("""COMPUTED_VALUE"""),"Sale")</f>
        <v>Sale</v>
      </c>
      <c r="E922" s="2" t="str">
        <f>IFERROR(__xludf.DUMMYFUNCTION("""COMPUTED_VALUE"""),"Roti")</f>
        <v>Roti</v>
      </c>
      <c r="F922" s="2">
        <f>IFERROR(__xludf.DUMMYFUNCTION("""COMPUTED_VALUE"""),10007.0)</f>
        <v>10007</v>
      </c>
      <c r="G922" s="2" t="str">
        <f>IFERROR(__xludf.DUMMYFUNCTION("""COMPUTED_VALUE"""),"Roti cranberry 2 pcs")</f>
        <v>Roti cranberry 2 pcs</v>
      </c>
      <c r="H922" s="2"/>
      <c r="I922" s="2"/>
      <c r="J922" s="2">
        <f>IFERROR(__xludf.DUMMYFUNCTION("""COMPUTED_VALUE"""),1.0)</f>
        <v>1</v>
      </c>
      <c r="K922" s="6">
        <f>IFERROR(__xludf.DUMMYFUNCTION("""COMPUTED_VALUE"""),33810.0)</f>
        <v>33810</v>
      </c>
      <c r="L922" s="2">
        <f>IFERROR(__xludf.DUMMYFUNCTION("""COMPUTED_VALUE"""),0.0)</f>
        <v>0</v>
      </c>
      <c r="M922" s="2">
        <f>IFERROR(__xludf.DUMMYFUNCTION("""COMPUTED_VALUE"""),33810.0)</f>
        <v>33810</v>
      </c>
      <c r="N922" s="2">
        <f>IFERROR(__xludf.DUMMYFUNCTION("""COMPUTED_VALUE"""),0.0)</f>
        <v>0</v>
      </c>
      <c r="O922" s="2">
        <f>IFERROR(__xludf.DUMMYFUNCTION("""COMPUTED_VALUE"""),33810.0)</f>
        <v>33810</v>
      </c>
      <c r="P922" s="2">
        <f>IFERROR(__xludf.DUMMYFUNCTION("""COMPUTED_VALUE"""),1691.0)</f>
        <v>1691</v>
      </c>
      <c r="Q922" s="2" t="str">
        <f>IFERROR(__xludf.DUMMYFUNCTION("""COMPUTED_VALUE"""),"Dine In")</f>
        <v>Dine In</v>
      </c>
      <c r="R922" s="2" t="str">
        <f>IFERROR(__xludf.DUMMYFUNCTION("""COMPUTED_VALUE"""),"Kedai")</f>
        <v>Kedai</v>
      </c>
      <c r="S922" s="2" t="str">
        <f>IFERROR(__xludf.DUMMYFUNCTION("""COMPUTED_VALUE"""),"Temu Roti")</f>
        <v>Temu Roti</v>
      </c>
      <c r="T922" s="2" t="str">
        <f>IFERROR(__xludf.DUMMYFUNCTION("""COMPUTED_VALUE"""),"Owner")</f>
        <v>Owner</v>
      </c>
      <c r="U922" s="2"/>
      <c r="V922" s="2"/>
      <c r="W922" s="2"/>
      <c r="X922" s="2" t="str">
        <f>IFERROR(__xludf.DUMMYFUNCTION("""COMPUTED_VALUE"""),"Closed")</f>
        <v>Closed</v>
      </c>
    </row>
    <row r="923">
      <c r="A923" s="3" t="s">
        <v>938</v>
      </c>
      <c r="B923" s="4">
        <f>IFERROR(__xludf.DUMMYFUNCTION("SPLIT(A923,"","",0,0)"),45547.53958333333)</f>
        <v>45547.53958</v>
      </c>
      <c r="C923" s="5">
        <f>IFERROR(__xludf.DUMMYFUNCTION("""COMPUTED_VALUE"""),2672147.0)</f>
        <v>2672147</v>
      </c>
      <c r="D923" s="2" t="str">
        <f>IFERROR(__xludf.DUMMYFUNCTION("""COMPUTED_VALUE"""),"Sale")</f>
        <v>Sale</v>
      </c>
      <c r="E923" s="2" t="str">
        <f>IFERROR(__xludf.DUMMYFUNCTION("""COMPUTED_VALUE"""),"Roti")</f>
        <v>Roti</v>
      </c>
      <c r="F923" s="2">
        <f>IFERROR(__xludf.DUMMYFUNCTION("""COMPUTED_VALUE"""),10005.0)</f>
        <v>10005</v>
      </c>
      <c r="G923" s="2" t="str">
        <f>IFERROR(__xludf.DUMMYFUNCTION("""COMPUTED_VALUE"""),"Roti Gandum Cokelat")</f>
        <v>Roti Gandum Cokelat</v>
      </c>
      <c r="H923" s="2"/>
      <c r="I923" s="2"/>
      <c r="J923" s="2">
        <f>IFERROR(__xludf.DUMMYFUNCTION("""COMPUTED_VALUE"""),1.0)</f>
        <v>1</v>
      </c>
      <c r="K923" s="6">
        <f>IFERROR(__xludf.DUMMYFUNCTION("""COMPUTED_VALUE"""),19524.0)</f>
        <v>19524</v>
      </c>
      <c r="L923" s="2">
        <f>IFERROR(__xludf.DUMMYFUNCTION("""COMPUTED_VALUE"""),0.0)</f>
        <v>0</v>
      </c>
      <c r="M923" s="2">
        <f>IFERROR(__xludf.DUMMYFUNCTION("""COMPUTED_VALUE"""),19524.0)</f>
        <v>19524</v>
      </c>
      <c r="N923" s="2">
        <f>IFERROR(__xludf.DUMMYFUNCTION("""COMPUTED_VALUE"""),0.0)</f>
        <v>0</v>
      </c>
      <c r="O923" s="2">
        <f>IFERROR(__xludf.DUMMYFUNCTION("""COMPUTED_VALUE"""),19524.0)</f>
        <v>19524</v>
      </c>
      <c r="P923" s="2">
        <f>IFERROR(__xludf.DUMMYFUNCTION("""COMPUTED_VALUE"""),976.0)</f>
        <v>976</v>
      </c>
      <c r="Q923" s="2" t="str">
        <f>IFERROR(__xludf.DUMMYFUNCTION("""COMPUTED_VALUE"""),"Dine In")</f>
        <v>Dine In</v>
      </c>
      <c r="R923" s="2" t="str">
        <f>IFERROR(__xludf.DUMMYFUNCTION("""COMPUTED_VALUE"""),"Kedai")</f>
        <v>Kedai</v>
      </c>
      <c r="S923" s="2" t="str">
        <f>IFERROR(__xludf.DUMMYFUNCTION("""COMPUTED_VALUE"""),"Temu Roti")</f>
        <v>Temu Roti</v>
      </c>
      <c r="T923" s="2" t="str">
        <f>IFERROR(__xludf.DUMMYFUNCTION("""COMPUTED_VALUE"""),"Owner")</f>
        <v>Owner</v>
      </c>
      <c r="U923" s="2"/>
      <c r="V923" s="2"/>
      <c r="W923" s="2"/>
      <c r="X923" s="2" t="str">
        <f>IFERROR(__xludf.DUMMYFUNCTION("""COMPUTED_VALUE"""),"Closed")</f>
        <v>Closed</v>
      </c>
    </row>
    <row r="924">
      <c r="A924" s="3" t="s">
        <v>939</v>
      </c>
      <c r="B924" s="4">
        <f>IFERROR(__xludf.DUMMYFUNCTION("SPLIT(A924,"","",0,0)"),45547.53958333333)</f>
        <v>45547.53958</v>
      </c>
      <c r="C924" s="5">
        <f>IFERROR(__xludf.DUMMYFUNCTION("""COMPUTED_VALUE"""),2672147.0)</f>
        <v>2672147</v>
      </c>
      <c r="D924" s="2" t="str">
        <f>IFERROR(__xludf.DUMMYFUNCTION("""COMPUTED_VALUE"""),"Sale")</f>
        <v>Sale</v>
      </c>
      <c r="E924" s="2" t="str">
        <f>IFERROR(__xludf.DUMMYFUNCTION("""COMPUTED_VALUE"""),"Minuman")</f>
        <v>Minuman</v>
      </c>
      <c r="F924" s="2">
        <f>IFERROR(__xludf.DUMMYFUNCTION("""COMPUTED_VALUE"""),10128.0)</f>
        <v>10128</v>
      </c>
      <c r="G924" s="2" t="str">
        <f>IFERROR(__xludf.DUMMYFUNCTION("""COMPUTED_VALUE"""),"Es Kopi Susu")</f>
        <v>Es Kopi Susu</v>
      </c>
      <c r="H924" s="2"/>
      <c r="I924" s="2"/>
      <c r="J924" s="2">
        <f>IFERROR(__xludf.DUMMYFUNCTION("""COMPUTED_VALUE"""),1.0)</f>
        <v>1</v>
      </c>
      <c r="K924" s="6">
        <f>IFERROR(__xludf.DUMMYFUNCTION("""COMPUTED_VALUE"""),23333.0)</f>
        <v>23333</v>
      </c>
      <c r="L924" s="2">
        <f>IFERROR(__xludf.DUMMYFUNCTION("""COMPUTED_VALUE"""),0.0)</f>
        <v>0</v>
      </c>
      <c r="M924" s="2">
        <f>IFERROR(__xludf.DUMMYFUNCTION("""COMPUTED_VALUE"""),23333.0)</f>
        <v>23333</v>
      </c>
      <c r="N924" s="2">
        <f>IFERROR(__xludf.DUMMYFUNCTION("""COMPUTED_VALUE"""),0.0)</f>
        <v>0</v>
      </c>
      <c r="O924" s="2">
        <f>IFERROR(__xludf.DUMMYFUNCTION("""COMPUTED_VALUE"""),23333.0)</f>
        <v>23333</v>
      </c>
      <c r="P924" s="2">
        <f>IFERROR(__xludf.DUMMYFUNCTION("""COMPUTED_VALUE"""),1167.0)</f>
        <v>1167</v>
      </c>
      <c r="Q924" s="2" t="str">
        <f>IFERROR(__xludf.DUMMYFUNCTION("""COMPUTED_VALUE"""),"Dine In")</f>
        <v>Dine In</v>
      </c>
      <c r="R924" s="2" t="str">
        <f>IFERROR(__xludf.DUMMYFUNCTION("""COMPUTED_VALUE"""),"Kedai")</f>
        <v>Kedai</v>
      </c>
      <c r="S924" s="2" t="str">
        <f>IFERROR(__xludf.DUMMYFUNCTION("""COMPUTED_VALUE"""),"Temu Roti")</f>
        <v>Temu Roti</v>
      </c>
      <c r="T924" s="2" t="str">
        <f>IFERROR(__xludf.DUMMYFUNCTION("""COMPUTED_VALUE"""),"Owner")</f>
        <v>Owner</v>
      </c>
      <c r="U924" s="2"/>
      <c r="V924" s="2"/>
      <c r="W924" s="2"/>
      <c r="X924" s="2" t="str">
        <f>IFERROR(__xludf.DUMMYFUNCTION("""COMPUTED_VALUE"""),"Closed")</f>
        <v>Closed</v>
      </c>
    </row>
    <row r="925">
      <c r="A925" s="3" t="s">
        <v>940</v>
      </c>
      <c r="B925" s="4">
        <f>IFERROR(__xludf.DUMMYFUNCTION("SPLIT(A925,"","",0,0)"),45547.52291666667)</f>
        <v>45547.52292</v>
      </c>
      <c r="C925" s="5">
        <f>IFERROR(__xludf.DUMMYFUNCTION("""COMPUTED_VALUE"""),2671782.0)</f>
        <v>2671782</v>
      </c>
      <c r="D925" s="2" t="str">
        <f>IFERROR(__xludf.DUMMYFUNCTION("""COMPUTED_VALUE"""),"Sale")</f>
        <v>Sale</v>
      </c>
      <c r="E925" s="2" t="str">
        <f>IFERROR(__xludf.DUMMYFUNCTION("""COMPUTED_VALUE"""),"Roti")</f>
        <v>Roti</v>
      </c>
      <c r="F925" s="2">
        <f>IFERROR(__xludf.DUMMYFUNCTION("""COMPUTED_VALUE"""),10000.0)</f>
        <v>10000</v>
      </c>
      <c r="G925" s="2" t="str">
        <f>IFERROR(__xludf.DUMMYFUNCTION("""COMPUTED_VALUE"""),"Roti Bawang Saus Keju")</f>
        <v>Roti Bawang Saus Keju</v>
      </c>
      <c r="H925" s="2"/>
      <c r="I925" s="2"/>
      <c r="J925" s="2">
        <f>IFERROR(__xludf.DUMMYFUNCTION("""COMPUTED_VALUE"""),1.0)</f>
        <v>1</v>
      </c>
      <c r="K925" s="6">
        <f>IFERROR(__xludf.DUMMYFUNCTION("""COMPUTED_VALUE"""),29524.0)</f>
        <v>29524</v>
      </c>
      <c r="L925" s="2">
        <f>IFERROR(__xludf.DUMMYFUNCTION("""COMPUTED_VALUE"""),0.0)</f>
        <v>0</v>
      </c>
      <c r="M925" s="2">
        <f>IFERROR(__xludf.DUMMYFUNCTION("""COMPUTED_VALUE"""),29524.0)</f>
        <v>29524</v>
      </c>
      <c r="N925" s="2">
        <f>IFERROR(__xludf.DUMMYFUNCTION("""COMPUTED_VALUE"""),0.0)</f>
        <v>0</v>
      </c>
      <c r="O925" s="2">
        <f>IFERROR(__xludf.DUMMYFUNCTION("""COMPUTED_VALUE"""),29524.0)</f>
        <v>29524</v>
      </c>
      <c r="P925" s="2">
        <f>IFERROR(__xludf.DUMMYFUNCTION("""COMPUTED_VALUE"""),1476.0)</f>
        <v>1476</v>
      </c>
      <c r="Q925" s="2" t="str">
        <f>IFERROR(__xludf.DUMMYFUNCTION("""COMPUTED_VALUE"""),"Dine In")</f>
        <v>Dine In</v>
      </c>
      <c r="R925" s="2" t="str">
        <f>IFERROR(__xludf.DUMMYFUNCTION("""COMPUTED_VALUE"""),"Kedai")</f>
        <v>Kedai</v>
      </c>
      <c r="S925" s="2" t="str">
        <f>IFERROR(__xludf.DUMMYFUNCTION("""COMPUTED_VALUE"""),"Temu Roti")</f>
        <v>Temu Roti</v>
      </c>
      <c r="T925" s="2" t="str">
        <f>IFERROR(__xludf.DUMMYFUNCTION("""COMPUTED_VALUE"""),"Owner")</f>
        <v>Owner</v>
      </c>
      <c r="U925" s="2"/>
      <c r="V925" s="2"/>
      <c r="W925" s="2"/>
      <c r="X925" s="2" t="str">
        <f>IFERROR(__xludf.DUMMYFUNCTION("""COMPUTED_VALUE"""),"Closed")</f>
        <v>Closed</v>
      </c>
    </row>
    <row r="926">
      <c r="A926" s="3" t="s">
        <v>941</v>
      </c>
      <c r="B926" s="4">
        <f>IFERROR(__xludf.DUMMYFUNCTION("SPLIT(A926,"","",0,0)"),45547.52291666667)</f>
        <v>45547.52292</v>
      </c>
      <c r="C926" s="5">
        <f>IFERROR(__xludf.DUMMYFUNCTION("""COMPUTED_VALUE"""),2671782.0)</f>
        <v>2671782</v>
      </c>
      <c r="D926" s="2" t="str">
        <f>IFERROR(__xludf.DUMMYFUNCTION("""COMPUTED_VALUE"""),"Sale")</f>
        <v>Sale</v>
      </c>
      <c r="E926" s="2" t="str">
        <f>IFERROR(__xludf.DUMMYFUNCTION("""COMPUTED_VALUE"""),"Roti")</f>
        <v>Roti</v>
      </c>
      <c r="F926" s="2">
        <f>IFERROR(__xludf.DUMMYFUNCTION("""COMPUTED_VALUE"""),10002.0)</f>
        <v>10002</v>
      </c>
      <c r="G926" s="2" t="str">
        <f>IFERROR(__xludf.DUMMYFUNCTION("""COMPUTED_VALUE"""),"Roti Cranberry")</f>
        <v>Roti Cranberry</v>
      </c>
      <c r="H926" s="2"/>
      <c r="I926" s="2"/>
      <c r="J926" s="2">
        <f>IFERROR(__xludf.DUMMYFUNCTION("""COMPUTED_VALUE"""),1.0)</f>
        <v>1</v>
      </c>
      <c r="K926" s="6">
        <f>IFERROR(__xludf.DUMMYFUNCTION("""COMPUTED_VALUE"""),18571.0)</f>
        <v>18571</v>
      </c>
      <c r="L926" s="2">
        <f>IFERROR(__xludf.DUMMYFUNCTION("""COMPUTED_VALUE"""),0.0)</f>
        <v>0</v>
      </c>
      <c r="M926" s="2">
        <f>IFERROR(__xludf.DUMMYFUNCTION("""COMPUTED_VALUE"""),18571.0)</f>
        <v>18571</v>
      </c>
      <c r="N926" s="2">
        <f>IFERROR(__xludf.DUMMYFUNCTION("""COMPUTED_VALUE"""),0.0)</f>
        <v>0</v>
      </c>
      <c r="O926" s="2">
        <f>IFERROR(__xludf.DUMMYFUNCTION("""COMPUTED_VALUE"""),18571.0)</f>
        <v>18571</v>
      </c>
      <c r="P926" s="2">
        <f>IFERROR(__xludf.DUMMYFUNCTION("""COMPUTED_VALUE"""),929.0)</f>
        <v>929</v>
      </c>
      <c r="Q926" s="2" t="str">
        <f>IFERROR(__xludf.DUMMYFUNCTION("""COMPUTED_VALUE"""),"Dine In")</f>
        <v>Dine In</v>
      </c>
      <c r="R926" s="2" t="str">
        <f>IFERROR(__xludf.DUMMYFUNCTION("""COMPUTED_VALUE"""),"Kedai")</f>
        <v>Kedai</v>
      </c>
      <c r="S926" s="2" t="str">
        <f>IFERROR(__xludf.DUMMYFUNCTION("""COMPUTED_VALUE"""),"Temu Roti")</f>
        <v>Temu Roti</v>
      </c>
      <c r="T926" s="2" t="str">
        <f>IFERROR(__xludf.DUMMYFUNCTION("""COMPUTED_VALUE"""),"Owner")</f>
        <v>Owner</v>
      </c>
      <c r="U926" s="2"/>
      <c r="V926" s="2"/>
      <c r="W926" s="2"/>
      <c r="X926" s="2" t="str">
        <f>IFERROR(__xludf.DUMMYFUNCTION("""COMPUTED_VALUE"""),"Closed")</f>
        <v>Closed</v>
      </c>
    </row>
    <row r="927">
      <c r="A927" s="3" t="s">
        <v>942</v>
      </c>
      <c r="B927" s="4">
        <f>IFERROR(__xludf.DUMMYFUNCTION("SPLIT(A927,"","",0,0)"),45547.52291666667)</f>
        <v>45547.52292</v>
      </c>
      <c r="C927" s="5">
        <f>IFERROR(__xludf.DUMMYFUNCTION("""COMPUTED_VALUE"""),2671782.0)</f>
        <v>2671782</v>
      </c>
      <c r="D927" s="2" t="str">
        <f>IFERROR(__xludf.DUMMYFUNCTION("""COMPUTED_VALUE"""),"Sale")</f>
        <v>Sale</v>
      </c>
      <c r="E927" s="2" t="str">
        <f>IFERROR(__xludf.DUMMYFUNCTION("""COMPUTED_VALUE"""),"Minuman")</f>
        <v>Minuman</v>
      </c>
      <c r="F927" s="2">
        <f>IFERROR(__xludf.DUMMYFUNCTION("""COMPUTED_VALUE"""),10128.0)</f>
        <v>10128</v>
      </c>
      <c r="G927" s="2" t="str">
        <f>IFERROR(__xludf.DUMMYFUNCTION("""COMPUTED_VALUE"""),"Es Kopi Susu")</f>
        <v>Es Kopi Susu</v>
      </c>
      <c r="H927" s="2"/>
      <c r="I927" s="2"/>
      <c r="J927" s="2">
        <f>IFERROR(__xludf.DUMMYFUNCTION("""COMPUTED_VALUE"""),1.0)</f>
        <v>1</v>
      </c>
      <c r="K927" s="6">
        <f>IFERROR(__xludf.DUMMYFUNCTION("""COMPUTED_VALUE"""),23333.0)</f>
        <v>23333</v>
      </c>
      <c r="L927" s="2">
        <f>IFERROR(__xludf.DUMMYFUNCTION("""COMPUTED_VALUE"""),0.0)</f>
        <v>0</v>
      </c>
      <c r="M927" s="2">
        <f>IFERROR(__xludf.DUMMYFUNCTION("""COMPUTED_VALUE"""),23333.0)</f>
        <v>23333</v>
      </c>
      <c r="N927" s="2">
        <f>IFERROR(__xludf.DUMMYFUNCTION("""COMPUTED_VALUE"""),0.0)</f>
        <v>0</v>
      </c>
      <c r="O927" s="2">
        <f>IFERROR(__xludf.DUMMYFUNCTION("""COMPUTED_VALUE"""),23333.0)</f>
        <v>23333</v>
      </c>
      <c r="P927" s="2">
        <f>IFERROR(__xludf.DUMMYFUNCTION("""COMPUTED_VALUE"""),1166.0)</f>
        <v>1166</v>
      </c>
      <c r="Q927" s="2" t="str">
        <f>IFERROR(__xludf.DUMMYFUNCTION("""COMPUTED_VALUE"""),"Dine In")</f>
        <v>Dine In</v>
      </c>
      <c r="R927" s="2" t="str">
        <f>IFERROR(__xludf.DUMMYFUNCTION("""COMPUTED_VALUE"""),"Kedai")</f>
        <v>Kedai</v>
      </c>
      <c r="S927" s="2" t="str">
        <f>IFERROR(__xludf.DUMMYFUNCTION("""COMPUTED_VALUE"""),"Temu Roti")</f>
        <v>Temu Roti</v>
      </c>
      <c r="T927" s="2" t="str">
        <f>IFERROR(__xludf.DUMMYFUNCTION("""COMPUTED_VALUE"""),"Owner")</f>
        <v>Owner</v>
      </c>
      <c r="U927" s="2"/>
      <c r="V927" s="2"/>
      <c r="W927" s="2"/>
      <c r="X927" s="2" t="str">
        <f>IFERROR(__xludf.DUMMYFUNCTION("""COMPUTED_VALUE"""),"Closed")</f>
        <v>Closed</v>
      </c>
    </row>
    <row r="928">
      <c r="A928" s="3" t="s">
        <v>943</v>
      </c>
      <c r="B928" s="4">
        <f>IFERROR(__xludf.DUMMYFUNCTION("SPLIT(A928,"","",0,0)"),45547.49791666667)</f>
        <v>45547.49792</v>
      </c>
      <c r="C928" s="5">
        <f>IFERROR(__xludf.DUMMYFUNCTION("""COMPUTED_VALUE"""),2671417.0)</f>
        <v>2671417</v>
      </c>
      <c r="D928" s="2" t="str">
        <f>IFERROR(__xludf.DUMMYFUNCTION("""COMPUTED_VALUE"""),"Sale")</f>
        <v>Sale</v>
      </c>
      <c r="E928" s="2" t="str">
        <f>IFERROR(__xludf.DUMMYFUNCTION("""COMPUTED_VALUE"""),"Roti")</f>
        <v>Roti</v>
      </c>
      <c r="F928" s="2">
        <f>IFERROR(__xludf.DUMMYFUNCTION("""COMPUTED_VALUE"""),10000.0)</f>
        <v>10000</v>
      </c>
      <c r="G928" s="2" t="str">
        <f>IFERROR(__xludf.DUMMYFUNCTION("""COMPUTED_VALUE"""),"Roti Bawang Saus Keju")</f>
        <v>Roti Bawang Saus Keju</v>
      </c>
      <c r="H928" s="2"/>
      <c r="I928" s="2"/>
      <c r="J928" s="2">
        <f>IFERROR(__xludf.DUMMYFUNCTION("""COMPUTED_VALUE"""),1.0)</f>
        <v>1</v>
      </c>
      <c r="K928" s="6">
        <f>IFERROR(__xludf.DUMMYFUNCTION("""COMPUTED_VALUE"""),29524.0)</f>
        <v>29524</v>
      </c>
      <c r="L928" s="2">
        <f>IFERROR(__xludf.DUMMYFUNCTION("""COMPUTED_VALUE"""),0.0)</f>
        <v>0</v>
      </c>
      <c r="M928" s="2">
        <f>IFERROR(__xludf.DUMMYFUNCTION("""COMPUTED_VALUE"""),29524.0)</f>
        <v>29524</v>
      </c>
      <c r="N928" s="2">
        <f>IFERROR(__xludf.DUMMYFUNCTION("""COMPUTED_VALUE"""),0.0)</f>
        <v>0</v>
      </c>
      <c r="O928" s="2">
        <f>IFERROR(__xludf.DUMMYFUNCTION("""COMPUTED_VALUE"""),29524.0)</f>
        <v>29524</v>
      </c>
      <c r="P928" s="2">
        <f>IFERROR(__xludf.DUMMYFUNCTION("""COMPUTED_VALUE"""),1476.0)</f>
        <v>1476</v>
      </c>
      <c r="Q928" s="2" t="str">
        <f>IFERROR(__xludf.DUMMYFUNCTION("""COMPUTED_VALUE"""),"Dine In")</f>
        <v>Dine In</v>
      </c>
      <c r="R928" s="2" t="str">
        <f>IFERROR(__xludf.DUMMYFUNCTION("""COMPUTED_VALUE"""),"Kedai")</f>
        <v>Kedai</v>
      </c>
      <c r="S928" s="2" t="str">
        <f>IFERROR(__xludf.DUMMYFUNCTION("""COMPUTED_VALUE"""),"Temu Roti")</f>
        <v>Temu Roti</v>
      </c>
      <c r="T928" s="2" t="str">
        <f>IFERROR(__xludf.DUMMYFUNCTION("""COMPUTED_VALUE"""),"Owner")</f>
        <v>Owner</v>
      </c>
      <c r="U928" s="2"/>
      <c r="V928" s="2"/>
      <c r="W928" s="2"/>
      <c r="X928" s="2" t="str">
        <f>IFERROR(__xludf.DUMMYFUNCTION("""COMPUTED_VALUE"""),"Closed")</f>
        <v>Closed</v>
      </c>
    </row>
    <row r="929">
      <c r="A929" s="3" t="s">
        <v>944</v>
      </c>
      <c r="B929" s="4">
        <f>IFERROR(__xludf.DUMMYFUNCTION("SPLIT(A929,"","",0,0)"),45547.49791666667)</f>
        <v>45547.49792</v>
      </c>
      <c r="C929" s="5">
        <f>IFERROR(__xludf.DUMMYFUNCTION("""COMPUTED_VALUE"""),2671417.0)</f>
        <v>2671417</v>
      </c>
      <c r="D929" s="2" t="str">
        <f>IFERROR(__xludf.DUMMYFUNCTION("""COMPUTED_VALUE"""),"Sale")</f>
        <v>Sale</v>
      </c>
      <c r="E929" s="2" t="str">
        <f>IFERROR(__xludf.DUMMYFUNCTION("""COMPUTED_VALUE"""),"Kudapan")</f>
        <v>Kudapan</v>
      </c>
      <c r="F929" s="2">
        <f>IFERROR(__xludf.DUMMYFUNCTION("""COMPUTED_VALUE"""),10009.0)</f>
        <v>10009</v>
      </c>
      <c r="G929" s="2" t="str">
        <f>IFERROR(__xludf.DUMMYFUNCTION("""COMPUTED_VALUE"""),"Jamur Enoki Krispi")</f>
        <v>Jamur Enoki Krispi</v>
      </c>
      <c r="H929" s="2"/>
      <c r="I929" s="2"/>
      <c r="J929" s="2">
        <f>IFERROR(__xludf.DUMMYFUNCTION("""COMPUTED_VALUE"""),1.0)</f>
        <v>1</v>
      </c>
      <c r="K929" s="6">
        <f>IFERROR(__xludf.DUMMYFUNCTION("""COMPUTED_VALUE"""),26667.0)</f>
        <v>26667</v>
      </c>
      <c r="L929" s="2">
        <f>IFERROR(__xludf.DUMMYFUNCTION("""COMPUTED_VALUE"""),0.0)</f>
        <v>0</v>
      </c>
      <c r="M929" s="2">
        <f>IFERROR(__xludf.DUMMYFUNCTION("""COMPUTED_VALUE"""),26667.0)</f>
        <v>26667</v>
      </c>
      <c r="N929" s="2">
        <f>IFERROR(__xludf.DUMMYFUNCTION("""COMPUTED_VALUE"""),0.0)</f>
        <v>0</v>
      </c>
      <c r="O929" s="2">
        <f>IFERROR(__xludf.DUMMYFUNCTION("""COMPUTED_VALUE"""),26667.0)</f>
        <v>26667</v>
      </c>
      <c r="P929" s="2">
        <f>IFERROR(__xludf.DUMMYFUNCTION("""COMPUTED_VALUE"""),1334.0)</f>
        <v>1334</v>
      </c>
      <c r="Q929" s="2" t="str">
        <f>IFERROR(__xludf.DUMMYFUNCTION("""COMPUTED_VALUE"""),"Dine In")</f>
        <v>Dine In</v>
      </c>
      <c r="R929" s="2" t="str">
        <f>IFERROR(__xludf.DUMMYFUNCTION("""COMPUTED_VALUE"""),"Kedai")</f>
        <v>Kedai</v>
      </c>
      <c r="S929" s="2" t="str">
        <f>IFERROR(__xludf.DUMMYFUNCTION("""COMPUTED_VALUE"""),"Temu Roti")</f>
        <v>Temu Roti</v>
      </c>
      <c r="T929" s="2" t="str">
        <f>IFERROR(__xludf.DUMMYFUNCTION("""COMPUTED_VALUE"""),"Owner")</f>
        <v>Owner</v>
      </c>
      <c r="U929" s="2"/>
      <c r="V929" s="2"/>
      <c r="W929" s="2"/>
      <c r="X929" s="2" t="str">
        <f>IFERROR(__xludf.DUMMYFUNCTION("""COMPUTED_VALUE"""),"Closed")</f>
        <v>Closed</v>
      </c>
    </row>
    <row r="930">
      <c r="A930" s="3" t="s">
        <v>945</v>
      </c>
      <c r="B930" s="4">
        <f>IFERROR(__xludf.DUMMYFUNCTION("SPLIT(A930,"","",0,0)"),45547.49791666667)</f>
        <v>45547.49792</v>
      </c>
      <c r="C930" s="5">
        <f>IFERROR(__xludf.DUMMYFUNCTION("""COMPUTED_VALUE"""),2671417.0)</f>
        <v>2671417</v>
      </c>
      <c r="D930" s="2" t="str">
        <f>IFERROR(__xludf.DUMMYFUNCTION("""COMPUTED_VALUE"""),"Sale")</f>
        <v>Sale</v>
      </c>
      <c r="E930" s="2" t="str">
        <f>IFERROR(__xludf.DUMMYFUNCTION("""COMPUTED_VALUE"""),"Minuman")</f>
        <v>Minuman</v>
      </c>
      <c r="F930" s="2">
        <f>IFERROR(__xludf.DUMMYFUNCTION("""COMPUTED_VALUE"""),10128.0)</f>
        <v>10128</v>
      </c>
      <c r="G930" s="2" t="str">
        <f>IFERROR(__xludf.DUMMYFUNCTION("""COMPUTED_VALUE"""),"Es Kopi Susu")</f>
        <v>Es Kopi Susu</v>
      </c>
      <c r="H930" s="2"/>
      <c r="I930" s="2"/>
      <c r="J930" s="2">
        <f>IFERROR(__xludf.DUMMYFUNCTION("""COMPUTED_VALUE"""),2.0)</f>
        <v>2</v>
      </c>
      <c r="K930" s="6">
        <f>IFERROR(__xludf.DUMMYFUNCTION("""COMPUTED_VALUE"""),46666.0)</f>
        <v>46666</v>
      </c>
      <c r="L930" s="2">
        <f>IFERROR(__xludf.DUMMYFUNCTION("""COMPUTED_VALUE"""),0.0)</f>
        <v>0</v>
      </c>
      <c r="M930" s="2">
        <f>IFERROR(__xludf.DUMMYFUNCTION("""COMPUTED_VALUE"""),46666.0)</f>
        <v>46666</v>
      </c>
      <c r="N930" s="2">
        <f>IFERROR(__xludf.DUMMYFUNCTION("""COMPUTED_VALUE"""),0.0)</f>
        <v>0</v>
      </c>
      <c r="O930" s="2">
        <f>IFERROR(__xludf.DUMMYFUNCTION("""COMPUTED_VALUE"""),46666.0)</f>
        <v>46666</v>
      </c>
      <c r="P930" s="2">
        <f>IFERROR(__xludf.DUMMYFUNCTION("""COMPUTED_VALUE"""),2333.0)</f>
        <v>2333</v>
      </c>
      <c r="Q930" s="2" t="str">
        <f>IFERROR(__xludf.DUMMYFUNCTION("""COMPUTED_VALUE"""),"Dine In")</f>
        <v>Dine In</v>
      </c>
      <c r="R930" s="2" t="str">
        <f>IFERROR(__xludf.DUMMYFUNCTION("""COMPUTED_VALUE"""),"Kedai")</f>
        <v>Kedai</v>
      </c>
      <c r="S930" s="2" t="str">
        <f>IFERROR(__xludf.DUMMYFUNCTION("""COMPUTED_VALUE"""),"Temu Roti")</f>
        <v>Temu Roti</v>
      </c>
      <c r="T930" s="2" t="str">
        <f>IFERROR(__xludf.DUMMYFUNCTION("""COMPUTED_VALUE"""),"Owner")</f>
        <v>Owner</v>
      </c>
      <c r="U930" s="2"/>
      <c r="V930" s="2"/>
      <c r="W930" s="2"/>
      <c r="X930" s="2" t="str">
        <f>IFERROR(__xludf.DUMMYFUNCTION("""COMPUTED_VALUE"""),"Closed")</f>
        <v>Closed</v>
      </c>
    </row>
    <row r="931">
      <c r="A931" s="3" t="s">
        <v>946</v>
      </c>
      <c r="B931" s="4">
        <f>IFERROR(__xludf.DUMMYFUNCTION("SPLIT(A931,"","",0,0)"),45547.49791666667)</f>
        <v>45547.49792</v>
      </c>
      <c r="C931" s="5">
        <f>IFERROR(__xludf.DUMMYFUNCTION("""COMPUTED_VALUE"""),2671417.0)</f>
        <v>2671417</v>
      </c>
      <c r="D931" s="2" t="str">
        <f>IFERROR(__xludf.DUMMYFUNCTION("""COMPUTED_VALUE"""),"Sale")</f>
        <v>Sale</v>
      </c>
      <c r="E931" s="2" t="str">
        <f>IFERROR(__xludf.DUMMYFUNCTION("""COMPUTED_VALUE"""),"Roti")</f>
        <v>Roti</v>
      </c>
      <c r="F931" s="2">
        <f>IFERROR(__xludf.DUMMYFUNCTION("""COMPUTED_VALUE"""),10002.0)</f>
        <v>10002</v>
      </c>
      <c r="G931" s="2" t="str">
        <f>IFERROR(__xludf.DUMMYFUNCTION("""COMPUTED_VALUE"""),"Roti Cranberry")</f>
        <v>Roti Cranberry</v>
      </c>
      <c r="H931" s="2"/>
      <c r="I931" s="2"/>
      <c r="J931" s="2">
        <f>IFERROR(__xludf.DUMMYFUNCTION("""COMPUTED_VALUE"""),1.0)</f>
        <v>1</v>
      </c>
      <c r="K931" s="6">
        <f>IFERROR(__xludf.DUMMYFUNCTION("""COMPUTED_VALUE"""),18571.0)</f>
        <v>18571</v>
      </c>
      <c r="L931" s="2">
        <f>IFERROR(__xludf.DUMMYFUNCTION("""COMPUTED_VALUE"""),0.0)</f>
        <v>0</v>
      </c>
      <c r="M931" s="2">
        <f>IFERROR(__xludf.DUMMYFUNCTION("""COMPUTED_VALUE"""),18571.0)</f>
        <v>18571</v>
      </c>
      <c r="N931" s="2">
        <f>IFERROR(__xludf.DUMMYFUNCTION("""COMPUTED_VALUE"""),0.0)</f>
        <v>0</v>
      </c>
      <c r="O931" s="2">
        <f>IFERROR(__xludf.DUMMYFUNCTION("""COMPUTED_VALUE"""),18571.0)</f>
        <v>18571</v>
      </c>
      <c r="P931" s="2">
        <f>IFERROR(__xludf.DUMMYFUNCTION("""COMPUTED_VALUE"""),928.0)</f>
        <v>928</v>
      </c>
      <c r="Q931" s="2" t="str">
        <f>IFERROR(__xludf.DUMMYFUNCTION("""COMPUTED_VALUE"""),"Dine In")</f>
        <v>Dine In</v>
      </c>
      <c r="R931" s="2" t="str">
        <f>IFERROR(__xludf.DUMMYFUNCTION("""COMPUTED_VALUE"""),"Kedai")</f>
        <v>Kedai</v>
      </c>
      <c r="S931" s="2" t="str">
        <f>IFERROR(__xludf.DUMMYFUNCTION("""COMPUTED_VALUE"""),"Temu Roti")</f>
        <v>Temu Roti</v>
      </c>
      <c r="T931" s="2" t="str">
        <f>IFERROR(__xludf.DUMMYFUNCTION("""COMPUTED_VALUE"""),"Owner")</f>
        <v>Owner</v>
      </c>
      <c r="U931" s="2"/>
      <c r="V931" s="2"/>
      <c r="W931" s="2"/>
      <c r="X931" s="2" t="str">
        <f>IFERROR(__xludf.DUMMYFUNCTION("""COMPUTED_VALUE"""),"Closed")</f>
        <v>Closed</v>
      </c>
    </row>
    <row r="932">
      <c r="A932" s="3" t="s">
        <v>947</v>
      </c>
      <c r="B932" s="4">
        <f>IFERROR(__xludf.DUMMYFUNCTION("SPLIT(A932,"","",0,0)"),45547.46875)</f>
        <v>45547.46875</v>
      </c>
      <c r="C932" s="5">
        <f>IFERROR(__xludf.DUMMYFUNCTION("""COMPUTED_VALUE"""),2671052.0)</f>
        <v>2671052</v>
      </c>
      <c r="D932" s="2" t="str">
        <f>IFERROR(__xludf.DUMMYFUNCTION("""COMPUTED_VALUE"""),"Sale")</f>
        <v>Sale</v>
      </c>
      <c r="E932" s="2" t="str">
        <f>IFERROR(__xludf.DUMMYFUNCTION("""COMPUTED_VALUE"""),"Roti")</f>
        <v>Roti</v>
      </c>
      <c r="F932" s="2">
        <f>IFERROR(__xludf.DUMMYFUNCTION("""COMPUTED_VALUE"""),10002.0)</f>
        <v>10002</v>
      </c>
      <c r="G932" s="2" t="str">
        <f>IFERROR(__xludf.DUMMYFUNCTION("""COMPUTED_VALUE"""),"Roti Cranberry")</f>
        <v>Roti Cranberry</v>
      </c>
      <c r="H932" s="2"/>
      <c r="I932" s="2"/>
      <c r="J932" s="2">
        <f>IFERROR(__xludf.DUMMYFUNCTION("""COMPUTED_VALUE"""),1.0)</f>
        <v>1</v>
      </c>
      <c r="K932" s="6">
        <f>IFERROR(__xludf.DUMMYFUNCTION("""COMPUTED_VALUE"""),18571.0)</f>
        <v>18571</v>
      </c>
      <c r="L932" s="2">
        <f>IFERROR(__xludf.DUMMYFUNCTION("""COMPUTED_VALUE"""),0.0)</f>
        <v>0</v>
      </c>
      <c r="M932" s="2">
        <f>IFERROR(__xludf.DUMMYFUNCTION("""COMPUTED_VALUE"""),18571.0)</f>
        <v>18571</v>
      </c>
      <c r="N932" s="2">
        <f>IFERROR(__xludf.DUMMYFUNCTION("""COMPUTED_VALUE"""),0.0)</f>
        <v>0</v>
      </c>
      <c r="O932" s="2">
        <f>IFERROR(__xludf.DUMMYFUNCTION("""COMPUTED_VALUE"""),18571.0)</f>
        <v>18571</v>
      </c>
      <c r="P932" s="2">
        <f>IFERROR(__xludf.DUMMYFUNCTION("""COMPUTED_VALUE"""),929.0)</f>
        <v>929</v>
      </c>
      <c r="Q932" s="2" t="str">
        <f>IFERROR(__xludf.DUMMYFUNCTION("""COMPUTED_VALUE"""),"Dine In")</f>
        <v>Dine In</v>
      </c>
      <c r="R932" s="2" t="str">
        <f>IFERROR(__xludf.DUMMYFUNCTION("""COMPUTED_VALUE"""),"Kedai")</f>
        <v>Kedai</v>
      </c>
      <c r="S932" s="2" t="str">
        <f>IFERROR(__xludf.DUMMYFUNCTION("""COMPUTED_VALUE"""),"Temu Roti")</f>
        <v>Temu Roti</v>
      </c>
      <c r="T932" s="2" t="str">
        <f>IFERROR(__xludf.DUMMYFUNCTION("""COMPUTED_VALUE"""),"Owner")</f>
        <v>Owner</v>
      </c>
      <c r="U932" s="2"/>
      <c r="V932" s="2"/>
      <c r="W932" s="2"/>
      <c r="X932" s="2" t="str">
        <f>IFERROR(__xludf.DUMMYFUNCTION("""COMPUTED_VALUE"""),"Closed")</f>
        <v>Closed</v>
      </c>
    </row>
    <row r="933">
      <c r="A933" s="3" t="s">
        <v>948</v>
      </c>
      <c r="B933" s="4">
        <f>IFERROR(__xludf.DUMMYFUNCTION("SPLIT(A933,"","",0,0)"),45547.46875)</f>
        <v>45547.46875</v>
      </c>
      <c r="C933" s="5">
        <f>IFERROR(__xludf.DUMMYFUNCTION("""COMPUTED_VALUE"""),2671052.0)</f>
        <v>2671052</v>
      </c>
      <c r="D933" s="2" t="str">
        <f>IFERROR(__xludf.DUMMYFUNCTION("""COMPUTED_VALUE"""),"Sale")</f>
        <v>Sale</v>
      </c>
      <c r="E933" s="2" t="str">
        <f>IFERROR(__xludf.DUMMYFUNCTION("""COMPUTED_VALUE"""),"Roti")</f>
        <v>Roti</v>
      </c>
      <c r="F933" s="2">
        <f>IFERROR(__xludf.DUMMYFUNCTION("""COMPUTED_VALUE"""),10005.0)</f>
        <v>10005</v>
      </c>
      <c r="G933" s="2" t="str">
        <f>IFERROR(__xludf.DUMMYFUNCTION("""COMPUTED_VALUE"""),"Roti Gandum Cokelat")</f>
        <v>Roti Gandum Cokelat</v>
      </c>
      <c r="H933" s="2"/>
      <c r="I933" s="2"/>
      <c r="J933" s="2">
        <f>IFERROR(__xludf.DUMMYFUNCTION("""COMPUTED_VALUE"""),1.0)</f>
        <v>1</v>
      </c>
      <c r="K933" s="6">
        <f>IFERROR(__xludf.DUMMYFUNCTION("""COMPUTED_VALUE"""),19524.0)</f>
        <v>19524</v>
      </c>
      <c r="L933" s="2">
        <f>IFERROR(__xludf.DUMMYFUNCTION("""COMPUTED_VALUE"""),0.0)</f>
        <v>0</v>
      </c>
      <c r="M933" s="2">
        <f>IFERROR(__xludf.DUMMYFUNCTION("""COMPUTED_VALUE"""),19524.0)</f>
        <v>19524</v>
      </c>
      <c r="N933" s="2">
        <f>IFERROR(__xludf.DUMMYFUNCTION("""COMPUTED_VALUE"""),0.0)</f>
        <v>0</v>
      </c>
      <c r="O933" s="2">
        <f>IFERROR(__xludf.DUMMYFUNCTION("""COMPUTED_VALUE"""),19524.0)</f>
        <v>19524</v>
      </c>
      <c r="P933" s="2">
        <f>IFERROR(__xludf.DUMMYFUNCTION("""COMPUTED_VALUE"""),976.0)</f>
        <v>976</v>
      </c>
      <c r="Q933" s="2" t="str">
        <f>IFERROR(__xludf.DUMMYFUNCTION("""COMPUTED_VALUE"""),"Dine In")</f>
        <v>Dine In</v>
      </c>
      <c r="R933" s="2" t="str">
        <f>IFERROR(__xludf.DUMMYFUNCTION("""COMPUTED_VALUE"""),"Kedai")</f>
        <v>Kedai</v>
      </c>
      <c r="S933" s="2" t="str">
        <f>IFERROR(__xludf.DUMMYFUNCTION("""COMPUTED_VALUE"""),"Temu Roti")</f>
        <v>Temu Roti</v>
      </c>
      <c r="T933" s="2" t="str">
        <f>IFERROR(__xludf.DUMMYFUNCTION("""COMPUTED_VALUE"""),"Owner")</f>
        <v>Owner</v>
      </c>
      <c r="U933" s="2"/>
      <c r="V933" s="2"/>
      <c r="W933" s="2"/>
      <c r="X933" s="2" t="str">
        <f>IFERROR(__xludf.DUMMYFUNCTION("""COMPUTED_VALUE"""),"Closed")</f>
        <v>Closed</v>
      </c>
    </row>
    <row r="934">
      <c r="A934" s="3" t="s">
        <v>949</v>
      </c>
      <c r="B934" s="4">
        <f>IFERROR(__xludf.DUMMYFUNCTION("SPLIT(A934,"","",0,0)"),45547.46875)</f>
        <v>45547.46875</v>
      </c>
      <c r="C934" s="5">
        <f>IFERROR(__xludf.DUMMYFUNCTION("""COMPUTED_VALUE"""),2671052.0)</f>
        <v>2671052</v>
      </c>
      <c r="D934" s="2" t="str">
        <f>IFERROR(__xludf.DUMMYFUNCTION("""COMPUTED_VALUE"""),"Sale")</f>
        <v>Sale</v>
      </c>
      <c r="E934" s="2" t="str">
        <f>IFERROR(__xludf.DUMMYFUNCTION("""COMPUTED_VALUE"""),"Kudapan")</f>
        <v>Kudapan</v>
      </c>
      <c r="F934" s="2">
        <f>IFERROR(__xludf.DUMMYFUNCTION("""COMPUTED_VALUE"""),10051.0)</f>
        <v>10051</v>
      </c>
      <c r="G934" s="2" t="str">
        <f>IFERROR(__xludf.DUMMYFUNCTION("""COMPUTED_VALUE"""),"Tahu baso")</f>
        <v>Tahu baso</v>
      </c>
      <c r="H934" s="2"/>
      <c r="I934" s="2"/>
      <c r="J934" s="2">
        <f>IFERROR(__xludf.DUMMYFUNCTION("""COMPUTED_VALUE"""),1.0)</f>
        <v>1</v>
      </c>
      <c r="K934" s="6">
        <f>IFERROR(__xludf.DUMMYFUNCTION("""COMPUTED_VALUE"""),25238.0)</f>
        <v>25238</v>
      </c>
      <c r="L934" s="2">
        <f>IFERROR(__xludf.DUMMYFUNCTION("""COMPUTED_VALUE"""),0.0)</f>
        <v>0</v>
      </c>
      <c r="M934" s="2">
        <f>IFERROR(__xludf.DUMMYFUNCTION("""COMPUTED_VALUE"""),25238.0)</f>
        <v>25238</v>
      </c>
      <c r="N934" s="2">
        <f>IFERROR(__xludf.DUMMYFUNCTION("""COMPUTED_VALUE"""),0.0)</f>
        <v>0</v>
      </c>
      <c r="O934" s="2">
        <f>IFERROR(__xludf.DUMMYFUNCTION("""COMPUTED_VALUE"""),25238.0)</f>
        <v>25238</v>
      </c>
      <c r="P934" s="2">
        <f>IFERROR(__xludf.DUMMYFUNCTION("""COMPUTED_VALUE"""),1262.0)</f>
        <v>1262</v>
      </c>
      <c r="Q934" s="2" t="str">
        <f>IFERROR(__xludf.DUMMYFUNCTION("""COMPUTED_VALUE"""),"Dine In")</f>
        <v>Dine In</v>
      </c>
      <c r="R934" s="2" t="str">
        <f>IFERROR(__xludf.DUMMYFUNCTION("""COMPUTED_VALUE"""),"Kedai")</f>
        <v>Kedai</v>
      </c>
      <c r="S934" s="2" t="str">
        <f>IFERROR(__xludf.DUMMYFUNCTION("""COMPUTED_VALUE"""),"Temu Roti")</f>
        <v>Temu Roti</v>
      </c>
      <c r="T934" s="2" t="str">
        <f>IFERROR(__xludf.DUMMYFUNCTION("""COMPUTED_VALUE"""),"Owner")</f>
        <v>Owner</v>
      </c>
      <c r="U934" s="2"/>
      <c r="V934" s="2"/>
      <c r="W934" s="2"/>
      <c r="X934" s="2" t="str">
        <f>IFERROR(__xludf.DUMMYFUNCTION("""COMPUTED_VALUE"""),"Closed")</f>
        <v>Closed</v>
      </c>
    </row>
    <row r="935">
      <c r="A935" s="3" t="s">
        <v>950</v>
      </c>
      <c r="B935" s="4">
        <f>IFERROR(__xludf.DUMMYFUNCTION("SPLIT(A935,"","",0,0)"),45547.46319444444)</f>
        <v>45547.46319</v>
      </c>
      <c r="C935" s="5">
        <f>IFERROR(__xludf.DUMMYFUNCTION("""COMPUTED_VALUE"""),2670686.0)</f>
        <v>2670686</v>
      </c>
      <c r="D935" s="2" t="str">
        <f>IFERROR(__xludf.DUMMYFUNCTION("""COMPUTED_VALUE"""),"Sale")</f>
        <v>Sale</v>
      </c>
      <c r="E935" s="2" t="str">
        <f>IFERROR(__xludf.DUMMYFUNCTION("""COMPUTED_VALUE"""),"Roti")</f>
        <v>Roti</v>
      </c>
      <c r="F935" s="2">
        <f>IFERROR(__xludf.DUMMYFUNCTION("""COMPUTED_VALUE"""),10007.0)</f>
        <v>10007</v>
      </c>
      <c r="G935" s="2" t="str">
        <f>IFERROR(__xludf.DUMMYFUNCTION("""COMPUTED_VALUE"""),"Roti cranberry 2 pcs")</f>
        <v>Roti cranberry 2 pcs</v>
      </c>
      <c r="H935" s="2"/>
      <c r="I935" s="2"/>
      <c r="J935" s="2">
        <f>IFERROR(__xludf.DUMMYFUNCTION("""COMPUTED_VALUE"""),1.0)</f>
        <v>1</v>
      </c>
      <c r="K935" s="6">
        <f>IFERROR(__xludf.DUMMYFUNCTION("""COMPUTED_VALUE"""),33810.0)</f>
        <v>33810</v>
      </c>
      <c r="L935" s="2">
        <f>IFERROR(__xludf.DUMMYFUNCTION("""COMPUTED_VALUE"""),0.0)</f>
        <v>0</v>
      </c>
      <c r="M935" s="2">
        <f>IFERROR(__xludf.DUMMYFUNCTION("""COMPUTED_VALUE"""),33810.0)</f>
        <v>33810</v>
      </c>
      <c r="N935" s="2">
        <f>IFERROR(__xludf.DUMMYFUNCTION("""COMPUTED_VALUE"""),0.0)</f>
        <v>0</v>
      </c>
      <c r="O935" s="2">
        <f>IFERROR(__xludf.DUMMYFUNCTION("""COMPUTED_VALUE"""),33810.0)</f>
        <v>33810</v>
      </c>
      <c r="P935" s="2">
        <f>IFERROR(__xludf.DUMMYFUNCTION("""COMPUTED_VALUE"""),1691.0)</f>
        <v>1691</v>
      </c>
      <c r="Q935" s="2" t="str">
        <f>IFERROR(__xludf.DUMMYFUNCTION("""COMPUTED_VALUE"""),"Dine In")</f>
        <v>Dine In</v>
      </c>
      <c r="R935" s="2" t="str">
        <f>IFERROR(__xludf.DUMMYFUNCTION("""COMPUTED_VALUE"""),"Kedai")</f>
        <v>Kedai</v>
      </c>
      <c r="S935" s="2" t="str">
        <f>IFERROR(__xludf.DUMMYFUNCTION("""COMPUTED_VALUE"""),"Temu Roti")</f>
        <v>Temu Roti</v>
      </c>
      <c r="T935" s="2" t="str">
        <f>IFERROR(__xludf.DUMMYFUNCTION("""COMPUTED_VALUE"""),"Owner")</f>
        <v>Owner</v>
      </c>
      <c r="U935" s="2"/>
      <c r="V935" s="2"/>
      <c r="W935" s="2"/>
      <c r="X935" s="2" t="str">
        <f>IFERROR(__xludf.DUMMYFUNCTION("""COMPUTED_VALUE"""),"Closed")</f>
        <v>Closed</v>
      </c>
    </row>
    <row r="936">
      <c r="A936" s="3" t="s">
        <v>951</v>
      </c>
      <c r="B936" s="4">
        <f>IFERROR(__xludf.DUMMYFUNCTION("SPLIT(A936,"","",0,0)"),45547.46319444444)</f>
        <v>45547.46319</v>
      </c>
      <c r="C936" s="5">
        <f>IFERROR(__xludf.DUMMYFUNCTION("""COMPUTED_VALUE"""),2670686.0)</f>
        <v>2670686</v>
      </c>
      <c r="D936" s="2" t="str">
        <f>IFERROR(__xludf.DUMMYFUNCTION("""COMPUTED_VALUE"""),"Sale")</f>
        <v>Sale</v>
      </c>
      <c r="E936" s="2" t="str">
        <f>IFERROR(__xludf.DUMMYFUNCTION("""COMPUTED_VALUE"""),"Minuman")</f>
        <v>Minuman</v>
      </c>
      <c r="F936" s="2">
        <f>IFERROR(__xludf.DUMMYFUNCTION("""COMPUTED_VALUE"""),10128.0)</f>
        <v>10128</v>
      </c>
      <c r="G936" s="2" t="str">
        <f>IFERROR(__xludf.DUMMYFUNCTION("""COMPUTED_VALUE"""),"Es Kopi Susu")</f>
        <v>Es Kopi Susu</v>
      </c>
      <c r="H936" s="2"/>
      <c r="I936" s="2"/>
      <c r="J936" s="2">
        <f>IFERROR(__xludf.DUMMYFUNCTION("""COMPUTED_VALUE"""),2.0)</f>
        <v>2</v>
      </c>
      <c r="K936" s="6">
        <f>IFERROR(__xludf.DUMMYFUNCTION("""COMPUTED_VALUE"""),46666.0)</f>
        <v>46666</v>
      </c>
      <c r="L936" s="2">
        <f>IFERROR(__xludf.DUMMYFUNCTION("""COMPUTED_VALUE"""),0.0)</f>
        <v>0</v>
      </c>
      <c r="M936" s="2">
        <f>IFERROR(__xludf.DUMMYFUNCTION("""COMPUTED_VALUE"""),46666.0)</f>
        <v>46666</v>
      </c>
      <c r="N936" s="2">
        <f>IFERROR(__xludf.DUMMYFUNCTION("""COMPUTED_VALUE"""),0.0)</f>
        <v>0</v>
      </c>
      <c r="O936" s="2">
        <f>IFERROR(__xludf.DUMMYFUNCTION("""COMPUTED_VALUE"""),46666.0)</f>
        <v>46666</v>
      </c>
      <c r="P936" s="2">
        <f>IFERROR(__xludf.DUMMYFUNCTION("""COMPUTED_VALUE"""),2333.0)</f>
        <v>2333</v>
      </c>
      <c r="Q936" s="2" t="str">
        <f>IFERROR(__xludf.DUMMYFUNCTION("""COMPUTED_VALUE"""),"Dine In")</f>
        <v>Dine In</v>
      </c>
      <c r="R936" s="2" t="str">
        <f>IFERROR(__xludf.DUMMYFUNCTION("""COMPUTED_VALUE"""),"Kedai")</f>
        <v>Kedai</v>
      </c>
      <c r="S936" s="2" t="str">
        <f>IFERROR(__xludf.DUMMYFUNCTION("""COMPUTED_VALUE"""),"Temu Roti")</f>
        <v>Temu Roti</v>
      </c>
      <c r="T936" s="2" t="str">
        <f>IFERROR(__xludf.DUMMYFUNCTION("""COMPUTED_VALUE"""),"Owner")</f>
        <v>Owner</v>
      </c>
      <c r="U936" s="2"/>
      <c r="V936" s="2"/>
      <c r="W936" s="2"/>
      <c r="X936" s="2" t="str">
        <f>IFERROR(__xludf.DUMMYFUNCTION("""COMPUTED_VALUE"""),"Closed")</f>
        <v>Closed</v>
      </c>
    </row>
    <row r="937">
      <c r="A937" s="3" t="s">
        <v>952</v>
      </c>
      <c r="B937" s="4">
        <f>IFERROR(__xludf.DUMMYFUNCTION("SPLIT(A937,"","",0,0)"),45547.46319444444)</f>
        <v>45547.46319</v>
      </c>
      <c r="C937" s="5">
        <f>IFERROR(__xludf.DUMMYFUNCTION("""COMPUTED_VALUE"""),2670686.0)</f>
        <v>2670686</v>
      </c>
      <c r="D937" s="2" t="str">
        <f>IFERROR(__xludf.DUMMYFUNCTION("""COMPUTED_VALUE"""),"Sale")</f>
        <v>Sale</v>
      </c>
      <c r="E937" s="2" t="str">
        <f>IFERROR(__xludf.DUMMYFUNCTION("""COMPUTED_VALUE"""),"Hidangan Utama")</f>
        <v>Hidangan Utama</v>
      </c>
      <c r="F937" s="2">
        <f>IFERROR(__xludf.DUMMYFUNCTION("""COMPUTED_VALUE"""),10012.0)</f>
        <v>10012</v>
      </c>
      <c r="G937" s="2" t="str">
        <f>IFERROR(__xludf.DUMMYFUNCTION("""COMPUTED_VALUE"""),"Mie joglo")</f>
        <v>Mie joglo</v>
      </c>
      <c r="H937" s="2"/>
      <c r="I937" s="2"/>
      <c r="J937" s="2">
        <f>IFERROR(__xludf.DUMMYFUNCTION("""COMPUTED_VALUE"""),1.0)</f>
        <v>1</v>
      </c>
      <c r="K937" s="6">
        <f>IFERROR(__xludf.DUMMYFUNCTION("""COMPUTED_VALUE"""),29524.0)</f>
        <v>29524</v>
      </c>
      <c r="L937" s="2">
        <f>IFERROR(__xludf.DUMMYFUNCTION("""COMPUTED_VALUE"""),0.0)</f>
        <v>0</v>
      </c>
      <c r="M937" s="2">
        <f>IFERROR(__xludf.DUMMYFUNCTION("""COMPUTED_VALUE"""),29524.0)</f>
        <v>29524</v>
      </c>
      <c r="N937" s="2">
        <f>IFERROR(__xludf.DUMMYFUNCTION("""COMPUTED_VALUE"""),0.0)</f>
        <v>0</v>
      </c>
      <c r="O937" s="2">
        <f>IFERROR(__xludf.DUMMYFUNCTION("""COMPUTED_VALUE"""),29524.0)</f>
        <v>29524</v>
      </c>
      <c r="P937" s="2">
        <f>IFERROR(__xludf.DUMMYFUNCTION("""COMPUTED_VALUE"""),1476.0)</f>
        <v>1476</v>
      </c>
      <c r="Q937" s="2" t="str">
        <f>IFERROR(__xludf.DUMMYFUNCTION("""COMPUTED_VALUE"""),"Dine In")</f>
        <v>Dine In</v>
      </c>
      <c r="R937" s="2" t="str">
        <f>IFERROR(__xludf.DUMMYFUNCTION("""COMPUTED_VALUE"""),"Kedai")</f>
        <v>Kedai</v>
      </c>
      <c r="S937" s="2" t="str">
        <f>IFERROR(__xludf.DUMMYFUNCTION("""COMPUTED_VALUE"""),"Temu Roti")</f>
        <v>Temu Roti</v>
      </c>
      <c r="T937" s="2" t="str">
        <f>IFERROR(__xludf.DUMMYFUNCTION("""COMPUTED_VALUE"""),"Owner")</f>
        <v>Owner</v>
      </c>
      <c r="U937" s="2"/>
      <c r="V937" s="2"/>
      <c r="W937" s="2"/>
      <c r="X937" s="2" t="str">
        <f>IFERROR(__xludf.DUMMYFUNCTION("""COMPUTED_VALUE"""),"Closed")</f>
        <v>Closed</v>
      </c>
    </row>
    <row r="938">
      <c r="A938" s="3" t="s">
        <v>953</v>
      </c>
      <c r="B938" s="4">
        <f>IFERROR(__xludf.DUMMYFUNCTION("SPLIT(A938,"","",0,0)"),45547.410416666666)</f>
        <v>45547.41042</v>
      </c>
      <c r="C938" s="5">
        <f>IFERROR(__xludf.DUMMYFUNCTION("""COMPUTED_VALUE"""),2670321.0)</f>
        <v>2670321</v>
      </c>
      <c r="D938" s="2" t="str">
        <f>IFERROR(__xludf.DUMMYFUNCTION("""COMPUTED_VALUE"""),"Sale")</f>
        <v>Sale</v>
      </c>
      <c r="E938" s="2" t="str">
        <f>IFERROR(__xludf.DUMMYFUNCTION("""COMPUTED_VALUE"""),"Roti")</f>
        <v>Roti</v>
      </c>
      <c r="F938" s="2">
        <f>IFERROR(__xludf.DUMMYFUNCTION("""COMPUTED_VALUE"""),10005.0)</f>
        <v>10005</v>
      </c>
      <c r="G938" s="2" t="str">
        <f>IFERROR(__xludf.DUMMYFUNCTION("""COMPUTED_VALUE"""),"Roti Gandum Cokelat")</f>
        <v>Roti Gandum Cokelat</v>
      </c>
      <c r="H938" s="2"/>
      <c r="I938" s="2"/>
      <c r="J938" s="2">
        <f>IFERROR(__xludf.DUMMYFUNCTION("""COMPUTED_VALUE"""),1.0)</f>
        <v>1</v>
      </c>
      <c r="K938" s="6">
        <f>IFERROR(__xludf.DUMMYFUNCTION("""COMPUTED_VALUE"""),19524.0)</f>
        <v>19524</v>
      </c>
      <c r="L938" s="2">
        <f>IFERROR(__xludf.DUMMYFUNCTION("""COMPUTED_VALUE"""),0.0)</f>
        <v>0</v>
      </c>
      <c r="M938" s="2">
        <f>IFERROR(__xludf.DUMMYFUNCTION("""COMPUTED_VALUE"""),19524.0)</f>
        <v>19524</v>
      </c>
      <c r="N938" s="2">
        <f>IFERROR(__xludf.DUMMYFUNCTION("""COMPUTED_VALUE"""),0.0)</f>
        <v>0</v>
      </c>
      <c r="O938" s="2">
        <f>IFERROR(__xludf.DUMMYFUNCTION("""COMPUTED_VALUE"""),19524.0)</f>
        <v>19524</v>
      </c>
      <c r="P938" s="2">
        <f>IFERROR(__xludf.DUMMYFUNCTION("""COMPUTED_VALUE"""),976.0)</f>
        <v>976</v>
      </c>
      <c r="Q938" s="2" t="str">
        <f>IFERROR(__xludf.DUMMYFUNCTION("""COMPUTED_VALUE"""),"Dine In")</f>
        <v>Dine In</v>
      </c>
      <c r="R938" s="2" t="str">
        <f>IFERROR(__xludf.DUMMYFUNCTION("""COMPUTED_VALUE"""),"Kedai")</f>
        <v>Kedai</v>
      </c>
      <c r="S938" s="2" t="str">
        <f>IFERROR(__xludf.DUMMYFUNCTION("""COMPUTED_VALUE"""),"Temu Roti")</f>
        <v>Temu Roti</v>
      </c>
      <c r="T938" s="2" t="str">
        <f>IFERROR(__xludf.DUMMYFUNCTION("""COMPUTED_VALUE"""),"Owner")</f>
        <v>Owner</v>
      </c>
      <c r="U938" s="2"/>
      <c r="V938" s="2"/>
      <c r="W938" s="2"/>
      <c r="X938" s="2" t="str">
        <f>IFERROR(__xludf.DUMMYFUNCTION("""COMPUTED_VALUE"""),"Closed")</f>
        <v>Closed</v>
      </c>
    </row>
    <row r="939">
      <c r="A939" s="3" t="s">
        <v>954</v>
      </c>
      <c r="B939" s="4">
        <f>IFERROR(__xludf.DUMMYFUNCTION("SPLIT(A939,"","",0,0)"),45547.410416666666)</f>
        <v>45547.41042</v>
      </c>
      <c r="C939" s="5">
        <f>IFERROR(__xludf.DUMMYFUNCTION("""COMPUTED_VALUE"""),2670321.0)</f>
        <v>2670321</v>
      </c>
      <c r="D939" s="2" t="str">
        <f>IFERROR(__xludf.DUMMYFUNCTION("""COMPUTED_VALUE"""),"Sale")</f>
        <v>Sale</v>
      </c>
      <c r="E939" s="2" t="str">
        <f>IFERROR(__xludf.DUMMYFUNCTION("""COMPUTED_VALUE"""),"Roti")</f>
        <v>Roti</v>
      </c>
      <c r="F939" s="2">
        <f>IFERROR(__xludf.DUMMYFUNCTION("""COMPUTED_VALUE"""),10033.0)</f>
        <v>10033</v>
      </c>
      <c r="G939" s="2" t="str">
        <f>IFERROR(__xludf.DUMMYFUNCTION("""COMPUTED_VALUE"""),"Roti panggang sarikaya")</f>
        <v>Roti panggang sarikaya</v>
      </c>
      <c r="H939" s="2"/>
      <c r="I939" s="2"/>
      <c r="J939" s="2">
        <f>IFERROR(__xludf.DUMMYFUNCTION("""COMPUTED_VALUE"""),1.0)</f>
        <v>1</v>
      </c>
      <c r="K939" s="6">
        <f>IFERROR(__xludf.DUMMYFUNCTION("""COMPUTED_VALUE"""),21905.0)</f>
        <v>21905</v>
      </c>
      <c r="L939" s="2">
        <f>IFERROR(__xludf.DUMMYFUNCTION("""COMPUTED_VALUE"""),0.0)</f>
        <v>0</v>
      </c>
      <c r="M939" s="2">
        <f>IFERROR(__xludf.DUMMYFUNCTION("""COMPUTED_VALUE"""),21905.0)</f>
        <v>21905</v>
      </c>
      <c r="N939" s="2">
        <f>IFERROR(__xludf.DUMMYFUNCTION("""COMPUTED_VALUE"""),0.0)</f>
        <v>0</v>
      </c>
      <c r="O939" s="2">
        <f>IFERROR(__xludf.DUMMYFUNCTION("""COMPUTED_VALUE"""),21905.0)</f>
        <v>21905</v>
      </c>
      <c r="P939" s="2">
        <f>IFERROR(__xludf.DUMMYFUNCTION("""COMPUTED_VALUE"""),1095.0)</f>
        <v>1095</v>
      </c>
      <c r="Q939" s="2" t="str">
        <f>IFERROR(__xludf.DUMMYFUNCTION("""COMPUTED_VALUE"""),"Dine In")</f>
        <v>Dine In</v>
      </c>
      <c r="R939" s="2" t="str">
        <f>IFERROR(__xludf.DUMMYFUNCTION("""COMPUTED_VALUE"""),"Kedai")</f>
        <v>Kedai</v>
      </c>
      <c r="S939" s="2" t="str">
        <f>IFERROR(__xludf.DUMMYFUNCTION("""COMPUTED_VALUE"""),"Temu Roti")</f>
        <v>Temu Roti</v>
      </c>
      <c r="T939" s="2" t="str">
        <f>IFERROR(__xludf.DUMMYFUNCTION("""COMPUTED_VALUE"""),"Owner")</f>
        <v>Owner</v>
      </c>
      <c r="U939" s="2"/>
      <c r="V939" s="2"/>
      <c r="W939" s="2"/>
      <c r="X939" s="2" t="str">
        <f>IFERROR(__xludf.DUMMYFUNCTION("""COMPUTED_VALUE"""),"Closed")</f>
        <v>Closed</v>
      </c>
    </row>
    <row r="940">
      <c r="A940" s="3" t="s">
        <v>955</v>
      </c>
      <c r="B940" s="4">
        <f>IFERROR(__xludf.DUMMYFUNCTION("SPLIT(A940,"","",0,0)"),45547.410416666666)</f>
        <v>45547.41042</v>
      </c>
      <c r="C940" s="5">
        <f>IFERROR(__xludf.DUMMYFUNCTION("""COMPUTED_VALUE"""),2670321.0)</f>
        <v>2670321</v>
      </c>
      <c r="D940" s="2" t="str">
        <f>IFERROR(__xludf.DUMMYFUNCTION("""COMPUTED_VALUE"""),"Sale")</f>
        <v>Sale</v>
      </c>
      <c r="E940" s="2" t="str">
        <f>IFERROR(__xludf.DUMMYFUNCTION("""COMPUTED_VALUE"""),"Minuman")</f>
        <v>Minuman</v>
      </c>
      <c r="F940" s="2">
        <f>IFERROR(__xludf.DUMMYFUNCTION("""COMPUTED_VALUE"""),10106.0)</f>
        <v>10106</v>
      </c>
      <c r="G940" s="2" t="str">
        <f>IFERROR(__xludf.DUMMYFUNCTION("""COMPUTED_VALUE"""),"Korean Strawberry Fresh Milk")</f>
        <v>Korean Strawberry Fresh Milk</v>
      </c>
      <c r="H940" s="2"/>
      <c r="I940" s="2"/>
      <c r="J940" s="2">
        <f>IFERROR(__xludf.DUMMYFUNCTION("""COMPUTED_VALUE"""),1.0)</f>
        <v>1</v>
      </c>
      <c r="K940" s="6">
        <f>IFERROR(__xludf.DUMMYFUNCTION("""COMPUTED_VALUE"""),26667.0)</f>
        <v>26667</v>
      </c>
      <c r="L940" s="2">
        <f>IFERROR(__xludf.DUMMYFUNCTION("""COMPUTED_VALUE"""),0.0)</f>
        <v>0</v>
      </c>
      <c r="M940" s="2">
        <f>IFERROR(__xludf.DUMMYFUNCTION("""COMPUTED_VALUE"""),26667.0)</f>
        <v>26667</v>
      </c>
      <c r="N940" s="2">
        <f>IFERROR(__xludf.DUMMYFUNCTION("""COMPUTED_VALUE"""),0.0)</f>
        <v>0</v>
      </c>
      <c r="O940" s="2">
        <f>IFERROR(__xludf.DUMMYFUNCTION("""COMPUTED_VALUE"""),26667.0)</f>
        <v>26667</v>
      </c>
      <c r="P940" s="2">
        <f>IFERROR(__xludf.DUMMYFUNCTION("""COMPUTED_VALUE"""),1334.0)</f>
        <v>1334</v>
      </c>
      <c r="Q940" s="2" t="str">
        <f>IFERROR(__xludf.DUMMYFUNCTION("""COMPUTED_VALUE"""),"Dine In")</f>
        <v>Dine In</v>
      </c>
      <c r="R940" s="2" t="str">
        <f>IFERROR(__xludf.DUMMYFUNCTION("""COMPUTED_VALUE"""),"Kedai")</f>
        <v>Kedai</v>
      </c>
      <c r="S940" s="2" t="str">
        <f>IFERROR(__xludf.DUMMYFUNCTION("""COMPUTED_VALUE"""),"Temu Roti")</f>
        <v>Temu Roti</v>
      </c>
      <c r="T940" s="2" t="str">
        <f>IFERROR(__xludf.DUMMYFUNCTION("""COMPUTED_VALUE"""),"Owner")</f>
        <v>Owner</v>
      </c>
      <c r="U940" s="2"/>
      <c r="V940" s="2"/>
      <c r="W940" s="2"/>
      <c r="X940" s="2" t="str">
        <f>IFERROR(__xludf.DUMMYFUNCTION("""COMPUTED_VALUE"""),"Closed")</f>
        <v>Closed</v>
      </c>
    </row>
    <row r="941">
      <c r="A941" s="3" t="s">
        <v>956</v>
      </c>
      <c r="B941" s="4">
        <f>IFERROR(__xludf.DUMMYFUNCTION("SPLIT(A941,"","",0,0)"),45547.410416666666)</f>
        <v>45547.41042</v>
      </c>
      <c r="C941" s="5">
        <f>IFERROR(__xludf.DUMMYFUNCTION("""COMPUTED_VALUE"""),2670321.0)</f>
        <v>2670321</v>
      </c>
      <c r="D941" s="2" t="str">
        <f>IFERROR(__xludf.DUMMYFUNCTION("""COMPUTED_VALUE"""),"Sale")</f>
        <v>Sale</v>
      </c>
      <c r="E941" s="2" t="str">
        <f>IFERROR(__xludf.DUMMYFUNCTION("""COMPUTED_VALUE"""),"Minuman")</f>
        <v>Minuman</v>
      </c>
      <c r="F941" s="2">
        <f>IFERROR(__xludf.DUMMYFUNCTION("""COMPUTED_VALUE"""),10122.0)</f>
        <v>10122</v>
      </c>
      <c r="G941" s="2" t="str">
        <f>IFERROR(__xludf.DUMMYFUNCTION("""COMPUTED_VALUE"""),"Rempah Madu Panas")</f>
        <v>Rempah Madu Panas</v>
      </c>
      <c r="H941" s="2"/>
      <c r="I941" s="2"/>
      <c r="J941" s="2">
        <f>IFERROR(__xludf.DUMMYFUNCTION("""COMPUTED_VALUE"""),2.0)</f>
        <v>2</v>
      </c>
      <c r="K941" s="6">
        <f>IFERROR(__xludf.DUMMYFUNCTION("""COMPUTED_VALUE"""),43810.0)</f>
        <v>43810</v>
      </c>
      <c r="L941" s="2">
        <f>IFERROR(__xludf.DUMMYFUNCTION("""COMPUTED_VALUE"""),0.0)</f>
        <v>0</v>
      </c>
      <c r="M941" s="2">
        <f>IFERROR(__xludf.DUMMYFUNCTION("""COMPUTED_VALUE"""),43810.0)</f>
        <v>43810</v>
      </c>
      <c r="N941" s="2">
        <f>IFERROR(__xludf.DUMMYFUNCTION("""COMPUTED_VALUE"""),0.0)</f>
        <v>0</v>
      </c>
      <c r="O941" s="2">
        <f>IFERROR(__xludf.DUMMYFUNCTION("""COMPUTED_VALUE"""),43810.0)</f>
        <v>43810</v>
      </c>
      <c r="P941" s="2">
        <f>IFERROR(__xludf.DUMMYFUNCTION("""COMPUTED_VALUE"""),2190.0)</f>
        <v>2190</v>
      </c>
      <c r="Q941" s="2" t="str">
        <f>IFERROR(__xludf.DUMMYFUNCTION("""COMPUTED_VALUE"""),"Dine In")</f>
        <v>Dine In</v>
      </c>
      <c r="R941" s="2" t="str">
        <f>IFERROR(__xludf.DUMMYFUNCTION("""COMPUTED_VALUE"""),"Kedai")</f>
        <v>Kedai</v>
      </c>
      <c r="S941" s="2" t="str">
        <f>IFERROR(__xludf.DUMMYFUNCTION("""COMPUTED_VALUE"""),"Temu Roti")</f>
        <v>Temu Roti</v>
      </c>
      <c r="T941" s="2" t="str">
        <f>IFERROR(__xludf.DUMMYFUNCTION("""COMPUTED_VALUE"""),"Owner")</f>
        <v>Owner</v>
      </c>
      <c r="U941" s="2"/>
      <c r="V941" s="2"/>
      <c r="W941" s="2"/>
      <c r="X941" s="2" t="str">
        <f>IFERROR(__xludf.DUMMYFUNCTION("""COMPUTED_VALUE"""),"Closed")</f>
        <v>Closed</v>
      </c>
    </row>
    <row r="942">
      <c r="A942" s="3" t="s">
        <v>957</v>
      </c>
      <c r="B942" s="4">
        <f>IFERROR(__xludf.DUMMYFUNCTION("SPLIT(A942,"","",0,0)"),45547.410416666666)</f>
        <v>45547.41042</v>
      </c>
      <c r="C942" s="5">
        <f>IFERROR(__xludf.DUMMYFUNCTION("""COMPUTED_VALUE"""),2670321.0)</f>
        <v>2670321</v>
      </c>
      <c r="D942" s="2" t="str">
        <f>IFERROR(__xludf.DUMMYFUNCTION("""COMPUTED_VALUE"""),"Sale")</f>
        <v>Sale</v>
      </c>
      <c r="E942" s="2" t="str">
        <f>IFERROR(__xludf.DUMMYFUNCTION("""COMPUTED_VALUE"""),"Kudapan")</f>
        <v>Kudapan</v>
      </c>
      <c r="F942" s="2">
        <f>IFERROR(__xludf.DUMMYFUNCTION("""COMPUTED_VALUE"""),10051.0)</f>
        <v>10051</v>
      </c>
      <c r="G942" s="2" t="str">
        <f>IFERROR(__xludf.DUMMYFUNCTION("""COMPUTED_VALUE"""),"Tahu baso")</f>
        <v>Tahu baso</v>
      </c>
      <c r="H942" s="2"/>
      <c r="I942" s="2"/>
      <c r="J942" s="2">
        <f>IFERROR(__xludf.DUMMYFUNCTION("""COMPUTED_VALUE"""),1.0)</f>
        <v>1</v>
      </c>
      <c r="K942" s="6">
        <f>IFERROR(__xludf.DUMMYFUNCTION("""COMPUTED_VALUE"""),25238.0)</f>
        <v>25238</v>
      </c>
      <c r="L942" s="2">
        <f>IFERROR(__xludf.DUMMYFUNCTION("""COMPUTED_VALUE"""),0.0)</f>
        <v>0</v>
      </c>
      <c r="M942" s="2">
        <f>IFERROR(__xludf.DUMMYFUNCTION("""COMPUTED_VALUE"""),25238.0)</f>
        <v>25238</v>
      </c>
      <c r="N942" s="2">
        <f>IFERROR(__xludf.DUMMYFUNCTION("""COMPUTED_VALUE"""),0.0)</f>
        <v>0</v>
      </c>
      <c r="O942" s="2">
        <f>IFERROR(__xludf.DUMMYFUNCTION("""COMPUTED_VALUE"""),25238.0)</f>
        <v>25238</v>
      </c>
      <c r="P942" s="2">
        <f>IFERROR(__xludf.DUMMYFUNCTION("""COMPUTED_VALUE"""),1262.0)</f>
        <v>1262</v>
      </c>
      <c r="Q942" s="2" t="str">
        <f>IFERROR(__xludf.DUMMYFUNCTION("""COMPUTED_VALUE"""),"Dine In")</f>
        <v>Dine In</v>
      </c>
      <c r="R942" s="2" t="str">
        <f>IFERROR(__xludf.DUMMYFUNCTION("""COMPUTED_VALUE"""),"Kedai")</f>
        <v>Kedai</v>
      </c>
      <c r="S942" s="2" t="str">
        <f>IFERROR(__xludf.DUMMYFUNCTION("""COMPUTED_VALUE"""),"Temu Roti")</f>
        <v>Temu Roti</v>
      </c>
      <c r="T942" s="2" t="str">
        <f>IFERROR(__xludf.DUMMYFUNCTION("""COMPUTED_VALUE"""),"Owner")</f>
        <v>Owner</v>
      </c>
      <c r="U942" s="2"/>
      <c r="V942" s="2"/>
      <c r="W942" s="2"/>
      <c r="X942" s="2" t="str">
        <f>IFERROR(__xludf.DUMMYFUNCTION("""COMPUTED_VALUE"""),"Closed")</f>
        <v>Closed</v>
      </c>
    </row>
    <row r="943">
      <c r="A943" s="3" t="s">
        <v>958</v>
      </c>
      <c r="B943" s="4">
        <f>IFERROR(__xludf.DUMMYFUNCTION("SPLIT(A943,"","",0,0)"),45547.410416666666)</f>
        <v>45547.41042</v>
      </c>
      <c r="C943" s="5">
        <f>IFERROR(__xludf.DUMMYFUNCTION("""COMPUTED_VALUE"""),2670321.0)</f>
        <v>2670321</v>
      </c>
      <c r="D943" s="2" t="str">
        <f>IFERROR(__xludf.DUMMYFUNCTION("""COMPUTED_VALUE"""),"Sale")</f>
        <v>Sale</v>
      </c>
      <c r="E943" s="2" t="str">
        <f>IFERROR(__xludf.DUMMYFUNCTION("""COMPUTED_VALUE"""),"Kudapan")</f>
        <v>Kudapan</v>
      </c>
      <c r="F943" s="2">
        <f>IFERROR(__xludf.DUMMYFUNCTION("""COMPUTED_VALUE"""),10014.0)</f>
        <v>10014</v>
      </c>
      <c r="G943" s="2" t="str">
        <f>IFERROR(__xludf.DUMMYFUNCTION("""COMPUTED_VALUE"""),"Tempe Mendoan")</f>
        <v>Tempe Mendoan</v>
      </c>
      <c r="H943" s="2"/>
      <c r="I943" s="2"/>
      <c r="J943" s="2">
        <f>IFERROR(__xludf.DUMMYFUNCTION("""COMPUTED_VALUE"""),1.0)</f>
        <v>1</v>
      </c>
      <c r="K943" s="6">
        <f>IFERROR(__xludf.DUMMYFUNCTION("""COMPUTED_VALUE"""),25238.0)</f>
        <v>25238</v>
      </c>
      <c r="L943" s="2">
        <f>IFERROR(__xludf.DUMMYFUNCTION("""COMPUTED_VALUE"""),0.0)</f>
        <v>0</v>
      </c>
      <c r="M943" s="2">
        <f>IFERROR(__xludf.DUMMYFUNCTION("""COMPUTED_VALUE"""),25238.0)</f>
        <v>25238</v>
      </c>
      <c r="N943" s="2">
        <f>IFERROR(__xludf.DUMMYFUNCTION("""COMPUTED_VALUE"""),0.0)</f>
        <v>0</v>
      </c>
      <c r="O943" s="2">
        <f>IFERROR(__xludf.DUMMYFUNCTION("""COMPUTED_VALUE"""),25238.0)</f>
        <v>25238</v>
      </c>
      <c r="P943" s="2">
        <f>IFERROR(__xludf.DUMMYFUNCTION("""COMPUTED_VALUE"""),1262.0)</f>
        <v>1262</v>
      </c>
      <c r="Q943" s="2" t="str">
        <f>IFERROR(__xludf.DUMMYFUNCTION("""COMPUTED_VALUE"""),"Dine In")</f>
        <v>Dine In</v>
      </c>
      <c r="R943" s="2" t="str">
        <f>IFERROR(__xludf.DUMMYFUNCTION("""COMPUTED_VALUE"""),"Kedai")</f>
        <v>Kedai</v>
      </c>
      <c r="S943" s="2" t="str">
        <f>IFERROR(__xludf.DUMMYFUNCTION("""COMPUTED_VALUE"""),"Temu Roti")</f>
        <v>Temu Roti</v>
      </c>
      <c r="T943" s="2" t="str">
        <f>IFERROR(__xludf.DUMMYFUNCTION("""COMPUTED_VALUE"""),"Owner")</f>
        <v>Owner</v>
      </c>
      <c r="U943" s="2"/>
      <c r="V943" s="2"/>
      <c r="W943" s="2"/>
      <c r="X943" s="2" t="str">
        <f>IFERROR(__xludf.DUMMYFUNCTION("""COMPUTED_VALUE"""),"Closed")</f>
        <v>Closed</v>
      </c>
    </row>
    <row r="944">
      <c r="A944" s="3" t="s">
        <v>959</v>
      </c>
      <c r="B944" s="4">
        <f>IFERROR(__xludf.DUMMYFUNCTION("SPLIT(A944,"","",0,0)"),45547.40972222222)</f>
        <v>45547.40972</v>
      </c>
      <c r="C944" s="5">
        <f>IFERROR(__xludf.DUMMYFUNCTION("""COMPUTED_VALUE"""),2669956.0)</f>
        <v>2669956</v>
      </c>
      <c r="D944" s="2" t="str">
        <f>IFERROR(__xludf.DUMMYFUNCTION("""COMPUTED_VALUE"""),"Sale")</f>
        <v>Sale</v>
      </c>
      <c r="E944" s="2" t="str">
        <f>IFERROR(__xludf.DUMMYFUNCTION("""COMPUTED_VALUE"""),"Roti")</f>
        <v>Roti</v>
      </c>
      <c r="F944" s="2">
        <f>IFERROR(__xludf.DUMMYFUNCTION("""COMPUTED_VALUE"""),10007.0)</f>
        <v>10007</v>
      </c>
      <c r="G944" s="2" t="str">
        <f>IFERROR(__xludf.DUMMYFUNCTION("""COMPUTED_VALUE"""),"Roti cranberry 2 pcs")</f>
        <v>Roti cranberry 2 pcs</v>
      </c>
      <c r="H944" s="2"/>
      <c r="I944" s="2"/>
      <c r="J944" s="2">
        <f>IFERROR(__xludf.DUMMYFUNCTION("""COMPUTED_VALUE"""),1.0)</f>
        <v>1</v>
      </c>
      <c r="K944" s="6">
        <f>IFERROR(__xludf.DUMMYFUNCTION("""COMPUTED_VALUE"""),33810.0)</f>
        <v>33810</v>
      </c>
      <c r="L944" s="2">
        <f>IFERROR(__xludf.DUMMYFUNCTION("""COMPUTED_VALUE"""),0.0)</f>
        <v>0</v>
      </c>
      <c r="M944" s="2">
        <f>IFERROR(__xludf.DUMMYFUNCTION("""COMPUTED_VALUE"""),33810.0)</f>
        <v>33810</v>
      </c>
      <c r="N944" s="2">
        <f>IFERROR(__xludf.DUMMYFUNCTION("""COMPUTED_VALUE"""),0.0)</f>
        <v>0</v>
      </c>
      <c r="O944" s="2">
        <f>IFERROR(__xludf.DUMMYFUNCTION("""COMPUTED_VALUE"""),33810.0)</f>
        <v>33810</v>
      </c>
      <c r="P944" s="2">
        <f>IFERROR(__xludf.DUMMYFUNCTION("""COMPUTED_VALUE"""),1691.0)</f>
        <v>1691</v>
      </c>
      <c r="Q944" s="2" t="str">
        <f>IFERROR(__xludf.DUMMYFUNCTION("""COMPUTED_VALUE"""),"Dine In")</f>
        <v>Dine In</v>
      </c>
      <c r="R944" s="2" t="str">
        <f>IFERROR(__xludf.DUMMYFUNCTION("""COMPUTED_VALUE"""),"Kedai")</f>
        <v>Kedai</v>
      </c>
      <c r="S944" s="2" t="str">
        <f>IFERROR(__xludf.DUMMYFUNCTION("""COMPUTED_VALUE"""),"Temu Roti")</f>
        <v>Temu Roti</v>
      </c>
      <c r="T944" s="2" t="str">
        <f>IFERROR(__xludf.DUMMYFUNCTION("""COMPUTED_VALUE"""),"Owner")</f>
        <v>Owner</v>
      </c>
      <c r="U944" s="2"/>
      <c r="V944" s="2"/>
      <c r="W944" s="2"/>
      <c r="X944" s="2" t="str">
        <f>IFERROR(__xludf.DUMMYFUNCTION("""COMPUTED_VALUE"""),"Closed")</f>
        <v>Closed</v>
      </c>
    </row>
    <row r="945">
      <c r="A945" s="3" t="s">
        <v>960</v>
      </c>
      <c r="B945" s="4">
        <f>IFERROR(__xludf.DUMMYFUNCTION("SPLIT(A945,"","",0,0)"),45547.40972222222)</f>
        <v>45547.40972</v>
      </c>
      <c r="C945" s="5">
        <f>IFERROR(__xludf.DUMMYFUNCTION("""COMPUTED_VALUE"""),2669956.0)</f>
        <v>2669956</v>
      </c>
      <c r="D945" s="2" t="str">
        <f>IFERROR(__xludf.DUMMYFUNCTION("""COMPUTED_VALUE"""),"Sale")</f>
        <v>Sale</v>
      </c>
      <c r="E945" s="2" t="str">
        <f>IFERROR(__xludf.DUMMYFUNCTION("""COMPUTED_VALUE"""),"Minuman")</f>
        <v>Minuman</v>
      </c>
      <c r="F945" s="2">
        <f>IFERROR(__xludf.DUMMYFUNCTION("""COMPUTED_VALUE"""),10127.0)</f>
        <v>10127</v>
      </c>
      <c r="G945" s="2" t="str">
        <f>IFERROR(__xludf.DUMMYFUNCTION("""COMPUTED_VALUE"""),"Kopi Tubruk Panas")</f>
        <v>Kopi Tubruk Panas</v>
      </c>
      <c r="H945" s="2"/>
      <c r="I945" s="2"/>
      <c r="J945" s="2">
        <f>IFERROR(__xludf.DUMMYFUNCTION("""COMPUTED_VALUE"""),1.0)</f>
        <v>1</v>
      </c>
      <c r="K945" s="6">
        <f>IFERROR(__xludf.DUMMYFUNCTION("""COMPUTED_VALUE"""),18571.0)</f>
        <v>18571</v>
      </c>
      <c r="L945" s="2">
        <f>IFERROR(__xludf.DUMMYFUNCTION("""COMPUTED_VALUE"""),0.0)</f>
        <v>0</v>
      </c>
      <c r="M945" s="2">
        <f>IFERROR(__xludf.DUMMYFUNCTION("""COMPUTED_VALUE"""),18571.0)</f>
        <v>18571</v>
      </c>
      <c r="N945" s="2">
        <f>IFERROR(__xludf.DUMMYFUNCTION("""COMPUTED_VALUE"""),0.0)</f>
        <v>0</v>
      </c>
      <c r="O945" s="2">
        <f>IFERROR(__xludf.DUMMYFUNCTION("""COMPUTED_VALUE"""),18571.0)</f>
        <v>18571</v>
      </c>
      <c r="P945" s="2">
        <f>IFERROR(__xludf.DUMMYFUNCTION("""COMPUTED_VALUE"""),928.0)</f>
        <v>928</v>
      </c>
      <c r="Q945" s="2" t="str">
        <f>IFERROR(__xludf.DUMMYFUNCTION("""COMPUTED_VALUE"""),"Dine In")</f>
        <v>Dine In</v>
      </c>
      <c r="R945" s="2" t="str">
        <f>IFERROR(__xludf.DUMMYFUNCTION("""COMPUTED_VALUE"""),"Kedai")</f>
        <v>Kedai</v>
      </c>
      <c r="S945" s="2" t="str">
        <f>IFERROR(__xludf.DUMMYFUNCTION("""COMPUTED_VALUE"""),"Temu Roti")</f>
        <v>Temu Roti</v>
      </c>
      <c r="T945" s="2" t="str">
        <f>IFERROR(__xludf.DUMMYFUNCTION("""COMPUTED_VALUE"""),"Owner")</f>
        <v>Owner</v>
      </c>
      <c r="U945" s="2"/>
      <c r="V945" s="2"/>
      <c r="W945" s="2"/>
      <c r="X945" s="2" t="str">
        <f>IFERROR(__xludf.DUMMYFUNCTION("""COMPUTED_VALUE"""),"Closed")</f>
        <v>Closed</v>
      </c>
    </row>
    <row r="946">
      <c r="A946" s="3" t="s">
        <v>961</v>
      </c>
      <c r="B946" s="4">
        <f>IFERROR(__xludf.DUMMYFUNCTION("SPLIT(A946,"","",0,0)"),45547.40972222222)</f>
        <v>45547.40972</v>
      </c>
      <c r="C946" s="5">
        <f>IFERROR(__xludf.DUMMYFUNCTION("""COMPUTED_VALUE"""),2669956.0)</f>
        <v>2669956</v>
      </c>
      <c r="D946" s="2" t="str">
        <f>IFERROR(__xludf.DUMMYFUNCTION("""COMPUTED_VALUE"""),"Sale")</f>
        <v>Sale</v>
      </c>
      <c r="E946" s="2" t="str">
        <f>IFERROR(__xludf.DUMMYFUNCTION("""COMPUTED_VALUE"""),"Minuman")</f>
        <v>Minuman</v>
      </c>
      <c r="F946" s="2">
        <f>IFERROR(__xludf.DUMMYFUNCTION("""COMPUTED_VALUE"""),10118.0)</f>
        <v>10118</v>
      </c>
      <c r="G946" s="2" t="str">
        <f>IFERROR(__xludf.DUMMYFUNCTION("""COMPUTED_VALUE"""),"Teh Tawar Panas")</f>
        <v>Teh Tawar Panas</v>
      </c>
      <c r="H946" s="2"/>
      <c r="I946" s="2"/>
      <c r="J946" s="2">
        <f>IFERROR(__xludf.DUMMYFUNCTION("""COMPUTED_VALUE"""),1.0)</f>
        <v>1</v>
      </c>
      <c r="K946" s="6">
        <f>IFERROR(__xludf.DUMMYFUNCTION("""COMPUTED_VALUE"""),7143.0)</f>
        <v>7143</v>
      </c>
      <c r="L946" s="2">
        <f>IFERROR(__xludf.DUMMYFUNCTION("""COMPUTED_VALUE"""),0.0)</f>
        <v>0</v>
      </c>
      <c r="M946" s="2">
        <f>IFERROR(__xludf.DUMMYFUNCTION("""COMPUTED_VALUE"""),7143.0)</f>
        <v>7143</v>
      </c>
      <c r="N946" s="2">
        <f>IFERROR(__xludf.DUMMYFUNCTION("""COMPUTED_VALUE"""),0.0)</f>
        <v>0</v>
      </c>
      <c r="O946" s="2">
        <f>IFERROR(__xludf.DUMMYFUNCTION("""COMPUTED_VALUE"""),7143.0)</f>
        <v>7143</v>
      </c>
      <c r="P946" s="2">
        <f>IFERROR(__xludf.DUMMYFUNCTION("""COMPUTED_VALUE"""),357.0)</f>
        <v>357</v>
      </c>
      <c r="Q946" s="2" t="str">
        <f>IFERROR(__xludf.DUMMYFUNCTION("""COMPUTED_VALUE"""),"Dine In")</f>
        <v>Dine In</v>
      </c>
      <c r="R946" s="2" t="str">
        <f>IFERROR(__xludf.DUMMYFUNCTION("""COMPUTED_VALUE"""),"Kedai")</f>
        <v>Kedai</v>
      </c>
      <c r="S946" s="2" t="str">
        <f>IFERROR(__xludf.DUMMYFUNCTION("""COMPUTED_VALUE"""),"Temu Roti")</f>
        <v>Temu Roti</v>
      </c>
      <c r="T946" s="2" t="str">
        <f>IFERROR(__xludf.DUMMYFUNCTION("""COMPUTED_VALUE"""),"Owner")</f>
        <v>Owner</v>
      </c>
      <c r="U946" s="2"/>
      <c r="V946" s="2"/>
      <c r="W946" s="2"/>
      <c r="X946" s="2" t="str">
        <f>IFERROR(__xludf.DUMMYFUNCTION("""COMPUTED_VALUE"""),"Closed")</f>
        <v>Closed</v>
      </c>
    </row>
    <row r="947">
      <c r="A947" s="3" t="s">
        <v>962</v>
      </c>
      <c r="B947" s="4">
        <f>IFERROR(__xludf.DUMMYFUNCTION("SPLIT(A947,"","",0,0)"),45547.40972222222)</f>
        <v>45547.40972</v>
      </c>
      <c r="C947" s="5">
        <f>IFERROR(__xludf.DUMMYFUNCTION("""COMPUTED_VALUE"""),2669956.0)</f>
        <v>2669956</v>
      </c>
      <c r="D947" s="2" t="str">
        <f>IFERROR(__xludf.DUMMYFUNCTION("""COMPUTED_VALUE"""),"Sale")</f>
        <v>Sale</v>
      </c>
      <c r="E947" s="2" t="str">
        <f>IFERROR(__xludf.DUMMYFUNCTION("""COMPUTED_VALUE"""),"Kudapan")</f>
        <v>Kudapan</v>
      </c>
      <c r="F947" s="2">
        <f>IFERROR(__xludf.DUMMYFUNCTION("""COMPUTED_VALUE"""),10014.0)</f>
        <v>10014</v>
      </c>
      <c r="G947" s="2" t="str">
        <f>IFERROR(__xludf.DUMMYFUNCTION("""COMPUTED_VALUE"""),"Tempe Mendoan")</f>
        <v>Tempe Mendoan</v>
      </c>
      <c r="H947" s="2"/>
      <c r="I947" s="2"/>
      <c r="J947" s="2">
        <f>IFERROR(__xludf.DUMMYFUNCTION("""COMPUTED_VALUE"""),1.0)</f>
        <v>1</v>
      </c>
      <c r="K947" s="6">
        <f>IFERROR(__xludf.DUMMYFUNCTION("""COMPUTED_VALUE"""),25238.0)</f>
        <v>25238</v>
      </c>
      <c r="L947" s="2">
        <f>IFERROR(__xludf.DUMMYFUNCTION("""COMPUTED_VALUE"""),0.0)</f>
        <v>0</v>
      </c>
      <c r="M947" s="2">
        <f>IFERROR(__xludf.DUMMYFUNCTION("""COMPUTED_VALUE"""),25238.0)</f>
        <v>25238</v>
      </c>
      <c r="N947" s="2">
        <f>IFERROR(__xludf.DUMMYFUNCTION("""COMPUTED_VALUE"""),0.0)</f>
        <v>0</v>
      </c>
      <c r="O947" s="2">
        <f>IFERROR(__xludf.DUMMYFUNCTION("""COMPUTED_VALUE"""),25238.0)</f>
        <v>25238</v>
      </c>
      <c r="P947" s="2">
        <f>IFERROR(__xludf.DUMMYFUNCTION("""COMPUTED_VALUE"""),1262.0)</f>
        <v>1262</v>
      </c>
      <c r="Q947" s="2" t="str">
        <f>IFERROR(__xludf.DUMMYFUNCTION("""COMPUTED_VALUE"""),"Dine In")</f>
        <v>Dine In</v>
      </c>
      <c r="R947" s="2" t="str">
        <f>IFERROR(__xludf.DUMMYFUNCTION("""COMPUTED_VALUE"""),"Kedai")</f>
        <v>Kedai</v>
      </c>
      <c r="S947" s="2" t="str">
        <f>IFERROR(__xludf.DUMMYFUNCTION("""COMPUTED_VALUE"""),"Temu Roti")</f>
        <v>Temu Roti</v>
      </c>
      <c r="T947" s="2" t="str">
        <f>IFERROR(__xludf.DUMMYFUNCTION("""COMPUTED_VALUE"""),"Owner")</f>
        <v>Owner</v>
      </c>
      <c r="U947" s="2"/>
      <c r="V947" s="2"/>
      <c r="W947" s="2"/>
      <c r="X947" s="2" t="str">
        <f>IFERROR(__xludf.DUMMYFUNCTION("""COMPUTED_VALUE"""),"Closed")</f>
        <v>Closed</v>
      </c>
    </row>
    <row r="948">
      <c r="A948" s="3" t="s">
        <v>963</v>
      </c>
      <c r="B948" s="4">
        <f>IFERROR(__xludf.DUMMYFUNCTION("SPLIT(A948,"","",0,0)"),45547.40972222222)</f>
        <v>45547.40972</v>
      </c>
      <c r="C948" s="5">
        <f>IFERROR(__xludf.DUMMYFUNCTION("""COMPUTED_VALUE"""),2669956.0)</f>
        <v>2669956</v>
      </c>
      <c r="D948" s="2" t="str">
        <f>IFERROR(__xludf.DUMMYFUNCTION("""COMPUTED_VALUE"""),"Sale")</f>
        <v>Sale</v>
      </c>
      <c r="E948" s="2" t="str">
        <f>IFERROR(__xludf.DUMMYFUNCTION("""COMPUTED_VALUE"""),"Roti")</f>
        <v>Roti</v>
      </c>
      <c r="F948" s="2">
        <f>IFERROR(__xludf.DUMMYFUNCTION("""COMPUTED_VALUE"""),10005.0)</f>
        <v>10005</v>
      </c>
      <c r="G948" s="2" t="str">
        <f>IFERROR(__xludf.DUMMYFUNCTION("""COMPUTED_VALUE"""),"Roti Gandum Cokelat")</f>
        <v>Roti Gandum Cokelat</v>
      </c>
      <c r="H948" s="2"/>
      <c r="I948" s="2"/>
      <c r="J948" s="2">
        <f>IFERROR(__xludf.DUMMYFUNCTION("""COMPUTED_VALUE"""),1.0)</f>
        <v>1</v>
      </c>
      <c r="K948" s="6">
        <f>IFERROR(__xludf.DUMMYFUNCTION("""COMPUTED_VALUE"""),19524.0)</f>
        <v>19524</v>
      </c>
      <c r="L948" s="2">
        <f>IFERROR(__xludf.DUMMYFUNCTION("""COMPUTED_VALUE"""),0.0)</f>
        <v>0</v>
      </c>
      <c r="M948" s="2">
        <f>IFERROR(__xludf.DUMMYFUNCTION("""COMPUTED_VALUE"""),19524.0)</f>
        <v>19524</v>
      </c>
      <c r="N948" s="2">
        <f>IFERROR(__xludf.DUMMYFUNCTION("""COMPUTED_VALUE"""),0.0)</f>
        <v>0</v>
      </c>
      <c r="O948" s="2">
        <f>IFERROR(__xludf.DUMMYFUNCTION("""COMPUTED_VALUE"""),19524.0)</f>
        <v>19524</v>
      </c>
      <c r="P948" s="2">
        <f>IFERROR(__xludf.DUMMYFUNCTION("""COMPUTED_VALUE"""),976.0)</f>
        <v>976</v>
      </c>
      <c r="Q948" s="2" t="str">
        <f>IFERROR(__xludf.DUMMYFUNCTION("""COMPUTED_VALUE"""),"Dine In")</f>
        <v>Dine In</v>
      </c>
      <c r="R948" s="2" t="str">
        <f>IFERROR(__xludf.DUMMYFUNCTION("""COMPUTED_VALUE"""),"Kedai")</f>
        <v>Kedai</v>
      </c>
      <c r="S948" s="2" t="str">
        <f>IFERROR(__xludf.DUMMYFUNCTION("""COMPUTED_VALUE"""),"Temu Roti")</f>
        <v>Temu Roti</v>
      </c>
      <c r="T948" s="2" t="str">
        <f>IFERROR(__xludf.DUMMYFUNCTION("""COMPUTED_VALUE"""),"Owner")</f>
        <v>Owner</v>
      </c>
      <c r="U948" s="2"/>
      <c r="V948" s="2"/>
      <c r="W948" s="2"/>
      <c r="X948" s="2" t="str">
        <f>IFERROR(__xludf.DUMMYFUNCTION("""COMPUTED_VALUE"""),"Closed")</f>
        <v>Closed</v>
      </c>
    </row>
    <row r="949">
      <c r="A949" s="3" t="s">
        <v>964</v>
      </c>
      <c r="B949" s="4">
        <f>IFERROR(__xludf.DUMMYFUNCTION("SPLIT(A949,"","",0,0)"),45546.82152777778)</f>
        <v>45546.82153</v>
      </c>
      <c r="C949" s="5">
        <f>IFERROR(__xludf.DUMMYFUNCTION("""COMPUTED_VALUE"""),2669591.0)</f>
        <v>2669591</v>
      </c>
      <c r="D949" s="2" t="str">
        <f>IFERROR(__xludf.DUMMYFUNCTION("""COMPUTED_VALUE"""),"Sale")</f>
        <v>Sale</v>
      </c>
      <c r="E949" s="2" t="str">
        <f>IFERROR(__xludf.DUMMYFUNCTION("""COMPUTED_VALUE"""),"Minuman")</f>
        <v>Minuman</v>
      </c>
      <c r="F949" s="2">
        <f>IFERROR(__xludf.DUMMYFUNCTION("""COMPUTED_VALUE"""),10128.0)</f>
        <v>10128</v>
      </c>
      <c r="G949" s="2" t="str">
        <f>IFERROR(__xludf.DUMMYFUNCTION("""COMPUTED_VALUE"""),"Es Kopi Susu")</f>
        <v>Es Kopi Susu</v>
      </c>
      <c r="H949" s="2"/>
      <c r="I949" s="2"/>
      <c r="J949" s="2">
        <f>IFERROR(__xludf.DUMMYFUNCTION("""COMPUTED_VALUE"""),1.0)</f>
        <v>1</v>
      </c>
      <c r="K949" s="6">
        <f>IFERROR(__xludf.DUMMYFUNCTION("""COMPUTED_VALUE"""),23333.0)</f>
        <v>23333</v>
      </c>
      <c r="L949" s="2">
        <f>IFERROR(__xludf.DUMMYFUNCTION("""COMPUTED_VALUE"""),0.0)</f>
        <v>0</v>
      </c>
      <c r="M949" s="2">
        <f>IFERROR(__xludf.DUMMYFUNCTION("""COMPUTED_VALUE"""),23333.0)</f>
        <v>23333</v>
      </c>
      <c r="N949" s="2">
        <f>IFERROR(__xludf.DUMMYFUNCTION("""COMPUTED_VALUE"""),0.0)</f>
        <v>0</v>
      </c>
      <c r="O949" s="2">
        <f>IFERROR(__xludf.DUMMYFUNCTION("""COMPUTED_VALUE"""),23333.0)</f>
        <v>23333</v>
      </c>
      <c r="P949" s="2">
        <f>IFERROR(__xludf.DUMMYFUNCTION("""COMPUTED_VALUE"""),1167.0)</f>
        <v>1167</v>
      </c>
      <c r="Q949" s="2" t="str">
        <f>IFERROR(__xludf.DUMMYFUNCTION("""COMPUTED_VALUE"""),"Dine In")</f>
        <v>Dine In</v>
      </c>
      <c r="R949" s="2" t="str">
        <f>IFERROR(__xludf.DUMMYFUNCTION("""COMPUTED_VALUE"""),"Kedai")</f>
        <v>Kedai</v>
      </c>
      <c r="S949" s="2" t="str">
        <f>IFERROR(__xludf.DUMMYFUNCTION("""COMPUTED_VALUE"""),"Temu Roti")</f>
        <v>Temu Roti</v>
      </c>
      <c r="T949" s="2" t="str">
        <f>IFERROR(__xludf.DUMMYFUNCTION("""COMPUTED_VALUE"""),"Owner")</f>
        <v>Owner</v>
      </c>
      <c r="U949" s="2"/>
      <c r="V949" s="2"/>
      <c r="W949" s="2"/>
      <c r="X949" s="2" t="str">
        <f>IFERROR(__xludf.DUMMYFUNCTION("""COMPUTED_VALUE"""),"Closed")</f>
        <v>Closed</v>
      </c>
    </row>
    <row r="950">
      <c r="A950" s="3" t="s">
        <v>965</v>
      </c>
      <c r="B950" s="4">
        <f>IFERROR(__xludf.DUMMYFUNCTION("SPLIT(A950,"","",0,0)"),45546.82152777778)</f>
        <v>45546.82153</v>
      </c>
      <c r="C950" s="5">
        <f>IFERROR(__xludf.DUMMYFUNCTION("""COMPUTED_VALUE"""),2669591.0)</f>
        <v>2669591</v>
      </c>
      <c r="D950" s="2" t="str">
        <f>IFERROR(__xludf.DUMMYFUNCTION("""COMPUTED_VALUE"""),"Sale")</f>
        <v>Sale</v>
      </c>
      <c r="E950" s="2" t="str">
        <f>IFERROR(__xludf.DUMMYFUNCTION("""COMPUTED_VALUE"""),"Kudapan")</f>
        <v>Kudapan</v>
      </c>
      <c r="F950" s="2">
        <f>IFERROR(__xludf.DUMMYFUNCTION("""COMPUTED_VALUE"""),10015.0)</f>
        <v>10015</v>
      </c>
      <c r="G950" s="2" t="str">
        <f>IFERROR(__xludf.DUMMYFUNCTION("""COMPUTED_VALUE"""),"Tahu Lada Garam")</f>
        <v>Tahu Lada Garam</v>
      </c>
      <c r="H950" s="2"/>
      <c r="I950" s="2"/>
      <c r="J950" s="2">
        <f>IFERROR(__xludf.DUMMYFUNCTION("""COMPUTED_VALUE"""),1.0)</f>
        <v>1</v>
      </c>
      <c r="K950" s="6">
        <f>IFERROR(__xludf.DUMMYFUNCTION("""COMPUTED_VALUE"""),25238.0)</f>
        <v>25238</v>
      </c>
      <c r="L950" s="2">
        <f>IFERROR(__xludf.DUMMYFUNCTION("""COMPUTED_VALUE"""),0.0)</f>
        <v>0</v>
      </c>
      <c r="M950" s="2">
        <f>IFERROR(__xludf.DUMMYFUNCTION("""COMPUTED_VALUE"""),25238.0)</f>
        <v>25238</v>
      </c>
      <c r="N950" s="2">
        <f>IFERROR(__xludf.DUMMYFUNCTION("""COMPUTED_VALUE"""),0.0)</f>
        <v>0</v>
      </c>
      <c r="O950" s="2">
        <f>IFERROR(__xludf.DUMMYFUNCTION("""COMPUTED_VALUE"""),25238.0)</f>
        <v>25238</v>
      </c>
      <c r="P950" s="2">
        <f>IFERROR(__xludf.DUMMYFUNCTION("""COMPUTED_VALUE"""),1262.0)</f>
        <v>1262</v>
      </c>
      <c r="Q950" s="2" t="str">
        <f>IFERROR(__xludf.DUMMYFUNCTION("""COMPUTED_VALUE"""),"Dine In")</f>
        <v>Dine In</v>
      </c>
      <c r="R950" s="2" t="str">
        <f>IFERROR(__xludf.DUMMYFUNCTION("""COMPUTED_VALUE"""),"Kedai")</f>
        <v>Kedai</v>
      </c>
      <c r="S950" s="2" t="str">
        <f>IFERROR(__xludf.DUMMYFUNCTION("""COMPUTED_VALUE"""),"Temu Roti")</f>
        <v>Temu Roti</v>
      </c>
      <c r="T950" s="2" t="str">
        <f>IFERROR(__xludf.DUMMYFUNCTION("""COMPUTED_VALUE"""),"Owner")</f>
        <v>Owner</v>
      </c>
      <c r="U950" s="2"/>
      <c r="V950" s="2"/>
      <c r="W950" s="2"/>
      <c r="X950" s="2" t="str">
        <f>IFERROR(__xludf.DUMMYFUNCTION("""COMPUTED_VALUE"""),"Closed")</f>
        <v>Closed</v>
      </c>
    </row>
    <row r="951">
      <c r="A951" s="3" t="s">
        <v>966</v>
      </c>
      <c r="B951" s="4">
        <f>IFERROR(__xludf.DUMMYFUNCTION("SPLIT(A951,"","",0,0)"),45546.82013888889)</f>
        <v>45546.82014</v>
      </c>
      <c r="C951" s="5">
        <f>IFERROR(__xludf.DUMMYFUNCTION("""COMPUTED_VALUE"""),2669225.0)</f>
        <v>2669225</v>
      </c>
      <c r="D951" s="2" t="str">
        <f>IFERROR(__xludf.DUMMYFUNCTION("""COMPUTED_VALUE"""),"Sale")</f>
        <v>Sale</v>
      </c>
      <c r="E951" s="2" t="str">
        <f>IFERROR(__xludf.DUMMYFUNCTION("""COMPUTED_VALUE"""),"Roti")</f>
        <v>Roti</v>
      </c>
      <c r="F951" s="2">
        <f>IFERROR(__xludf.DUMMYFUNCTION("""COMPUTED_VALUE"""),10005.0)</f>
        <v>10005</v>
      </c>
      <c r="G951" s="2" t="str">
        <f>IFERROR(__xludf.DUMMYFUNCTION("""COMPUTED_VALUE"""),"Roti Gandum Cokelat")</f>
        <v>Roti Gandum Cokelat</v>
      </c>
      <c r="H951" s="2"/>
      <c r="I951" s="2"/>
      <c r="J951" s="2">
        <f>IFERROR(__xludf.DUMMYFUNCTION("""COMPUTED_VALUE"""),1.0)</f>
        <v>1</v>
      </c>
      <c r="K951" s="6">
        <f>IFERROR(__xludf.DUMMYFUNCTION("""COMPUTED_VALUE"""),19524.0)</f>
        <v>19524</v>
      </c>
      <c r="L951" s="2">
        <f>IFERROR(__xludf.DUMMYFUNCTION("""COMPUTED_VALUE"""),0.0)</f>
        <v>0</v>
      </c>
      <c r="M951" s="2">
        <f>IFERROR(__xludf.DUMMYFUNCTION("""COMPUTED_VALUE"""),19524.0)</f>
        <v>19524</v>
      </c>
      <c r="N951" s="2">
        <f>IFERROR(__xludf.DUMMYFUNCTION("""COMPUTED_VALUE"""),0.0)</f>
        <v>0</v>
      </c>
      <c r="O951" s="2">
        <f>IFERROR(__xludf.DUMMYFUNCTION("""COMPUTED_VALUE"""),19524.0)</f>
        <v>19524</v>
      </c>
      <c r="P951" s="2">
        <f>IFERROR(__xludf.DUMMYFUNCTION("""COMPUTED_VALUE"""),976.0)</f>
        <v>976</v>
      </c>
      <c r="Q951" s="2" t="str">
        <f>IFERROR(__xludf.DUMMYFUNCTION("""COMPUTED_VALUE"""),"Dine In")</f>
        <v>Dine In</v>
      </c>
      <c r="R951" s="2" t="str">
        <f>IFERROR(__xludf.DUMMYFUNCTION("""COMPUTED_VALUE"""),"Kedai")</f>
        <v>Kedai</v>
      </c>
      <c r="S951" s="2" t="str">
        <f>IFERROR(__xludf.DUMMYFUNCTION("""COMPUTED_VALUE"""),"Temu Roti")</f>
        <v>Temu Roti</v>
      </c>
      <c r="T951" s="2" t="str">
        <f>IFERROR(__xludf.DUMMYFUNCTION("""COMPUTED_VALUE"""),"Owner")</f>
        <v>Owner</v>
      </c>
      <c r="U951" s="2"/>
      <c r="V951" s="2"/>
      <c r="W951" s="2"/>
      <c r="X951" s="2" t="str">
        <f>IFERROR(__xludf.DUMMYFUNCTION("""COMPUTED_VALUE"""),"Closed")</f>
        <v>Closed</v>
      </c>
    </row>
    <row r="952">
      <c r="A952" s="3" t="s">
        <v>967</v>
      </c>
      <c r="B952" s="4">
        <f>IFERROR(__xludf.DUMMYFUNCTION("SPLIT(A952,"","",0,0)"),45546.794444444444)</f>
        <v>45546.79444</v>
      </c>
      <c r="C952" s="5">
        <f>IFERROR(__xludf.DUMMYFUNCTION("""COMPUTED_VALUE"""),2668860.0)</f>
        <v>2668860</v>
      </c>
      <c r="D952" s="2" t="str">
        <f>IFERROR(__xludf.DUMMYFUNCTION("""COMPUTED_VALUE"""),"Sale")</f>
        <v>Sale</v>
      </c>
      <c r="E952" s="2" t="str">
        <f>IFERROR(__xludf.DUMMYFUNCTION("""COMPUTED_VALUE"""),"Minuman")</f>
        <v>Minuman</v>
      </c>
      <c r="F952" s="2">
        <f>IFERROR(__xludf.DUMMYFUNCTION("""COMPUTED_VALUE"""),10107.0)</f>
        <v>10107</v>
      </c>
      <c r="G952" s="2" t="str">
        <f>IFERROR(__xludf.DUMMYFUNCTION("""COMPUTED_VALUE"""),"Korean Mango Fresh Milk")</f>
        <v>Korean Mango Fresh Milk</v>
      </c>
      <c r="H952" s="2"/>
      <c r="I952" s="2"/>
      <c r="J952" s="2">
        <f>IFERROR(__xludf.DUMMYFUNCTION("""COMPUTED_VALUE"""),1.0)</f>
        <v>1</v>
      </c>
      <c r="K952" s="6">
        <f>IFERROR(__xludf.DUMMYFUNCTION("""COMPUTED_VALUE"""),26667.0)</f>
        <v>26667</v>
      </c>
      <c r="L952" s="2">
        <f>IFERROR(__xludf.DUMMYFUNCTION("""COMPUTED_VALUE"""),0.0)</f>
        <v>0</v>
      </c>
      <c r="M952" s="2">
        <f>IFERROR(__xludf.DUMMYFUNCTION("""COMPUTED_VALUE"""),26667.0)</f>
        <v>26667</v>
      </c>
      <c r="N952" s="2">
        <f>IFERROR(__xludf.DUMMYFUNCTION("""COMPUTED_VALUE"""),0.0)</f>
        <v>0</v>
      </c>
      <c r="O952" s="2">
        <f>IFERROR(__xludf.DUMMYFUNCTION("""COMPUTED_VALUE"""),26667.0)</f>
        <v>26667</v>
      </c>
      <c r="P952" s="2">
        <f>IFERROR(__xludf.DUMMYFUNCTION("""COMPUTED_VALUE"""),1333.0)</f>
        <v>1333</v>
      </c>
      <c r="Q952" s="2" t="str">
        <f>IFERROR(__xludf.DUMMYFUNCTION("""COMPUTED_VALUE"""),"Dine In")</f>
        <v>Dine In</v>
      </c>
      <c r="R952" s="2" t="str">
        <f>IFERROR(__xludf.DUMMYFUNCTION("""COMPUTED_VALUE"""),"Kedai")</f>
        <v>Kedai</v>
      </c>
      <c r="S952" s="2" t="str">
        <f>IFERROR(__xludf.DUMMYFUNCTION("""COMPUTED_VALUE"""),"Temu Roti")</f>
        <v>Temu Roti</v>
      </c>
      <c r="T952" s="2" t="str">
        <f>IFERROR(__xludf.DUMMYFUNCTION("""COMPUTED_VALUE"""),"Owner")</f>
        <v>Owner</v>
      </c>
      <c r="U952" s="2"/>
      <c r="V952" s="2"/>
      <c r="W952" s="2"/>
      <c r="X952" s="2" t="str">
        <f>IFERROR(__xludf.DUMMYFUNCTION("""COMPUTED_VALUE"""),"Closed")</f>
        <v>Closed</v>
      </c>
    </row>
    <row r="953">
      <c r="A953" s="3" t="s">
        <v>968</v>
      </c>
      <c r="B953" s="4">
        <f>IFERROR(__xludf.DUMMYFUNCTION("SPLIT(A953,"","",0,0)"),45546.794444444444)</f>
        <v>45546.79444</v>
      </c>
      <c r="C953" s="5">
        <f>IFERROR(__xludf.DUMMYFUNCTION("""COMPUTED_VALUE"""),2668860.0)</f>
        <v>2668860</v>
      </c>
      <c r="D953" s="2" t="str">
        <f>IFERROR(__xludf.DUMMYFUNCTION("""COMPUTED_VALUE"""),"Sale")</f>
        <v>Sale</v>
      </c>
      <c r="E953" s="2" t="str">
        <f>IFERROR(__xludf.DUMMYFUNCTION("""COMPUTED_VALUE"""),"Minuman")</f>
        <v>Minuman</v>
      </c>
      <c r="F953" s="2">
        <f>IFERROR(__xludf.DUMMYFUNCTION("""COMPUTED_VALUE"""),10069.0)</f>
        <v>10069</v>
      </c>
      <c r="G953" s="2" t="str">
        <f>IFERROR(__xludf.DUMMYFUNCTION("""COMPUTED_VALUE"""),"Wedang hujan")</f>
        <v>Wedang hujan</v>
      </c>
      <c r="H953" s="2"/>
      <c r="I953" s="2"/>
      <c r="J953" s="2">
        <f>IFERROR(__xludf.DUMMYFUNCTION("""COMPUTED_VALUE"""),1.0)</f>
        <v>1</v>
      </c>
      <c r="K953" s="6">
        <f>IFERROR(__xludf.DUMMYFUNCTION("""COMPUTED_VALUE"""),24762.0)</f>
        <v>24762</v>
      </c>
      <c r="L953" s="2">
        <f>IFERROR(__xludf.DUMMYFUNCTION("""COMPUTED_VALUE"""),0.0)</f>
        <v>0</v>
      </c>
      <c r="M953" s="2">
        <f>IFERROR(__xludf.DUMMYFUNCTION("""COMPUTED_VALUE"""),24762.0)</f>
        <v>24762</v>
      </c>
      <c r="N953" s="2">
        <f>IFERROR(__xludf.DUMMYFUNCTION("""COMPUTED_VALUE"""),0.0)</f>
        <v>0</v>
      </c>
      <c r="O953" s="2">
        <f>IFERROR(__xludf.DUMMYFUNCTION("""COMPUTED_VALUE"""),24762.0)</f>
        <v>24762</v>
      </c>
      <c r="P953" s="2">
        <f>IFERROR(__xludf.DUMMYFUNCTION("""COMPUTED_VALUE"""),1238.0)</f>
        <v>1238</v>
      </c>
      <c r="Q953" s="2" t="str">
        <f>IFERROR(__xludf.DUMMYFUNCTION("""COMPUTED_VALUE"""),"Dine In")</f>
        <v>Dine In</v>
      </c>
      <c r="R953" s="2" t="str">
        <f>IFERROR(__xludf.DUMMYFUNCTION("""COMPUTED_VALUE"""),"Kedai")</f>
        <v>Kedai</v>
      </c>
      <c r="S953" s="2" t="str">
        <f>IFERROR(__xludf.DUMMYFUNCTION("""COMPUTED_VALUE"""),"Temu Roti")</f>
        <v>Temu Roti</v>
      </c>
      <c r="T953" s="2" t="str">
        <f>IFERROR(__xludf.DUMMYFUNCTION("""COMPUTED_VALUE"""),"Owner")</f>
        <v>Owner</v>
      </c>
      <c r="U953" s="2"/>
      <c r="V953" s="2"/>
      <c r="W953" s="2"/>
      <c r="X953" s="2" t="str">
        <f>IFERROR(__xludf.DUMMYFUNCTION("""COMPUTED_VALUE"""),"Closed")</f>
        <v>Closed</v>
      </c>
    </row>
    <row r="954">
      <c r="A954" s="3" t="s">
        <v>969</v>
      </c>
      <c r="B954" s="4">
        <f>IFERROR(__xludf.DUMMYFUNCTION("SPLIT(A954,"","",0,0)"),45546.76944444444)</f>
        <v>45546.76944</v>
      </c>
      <c r="C954" s="5">
        <f>IFERROR(__xludf.DUMMYFUNCTION("""COMPUTED_VALUE"""),2668495.0)</f>
        <v>2668495</v>
      </c>
      <c r="D954" s="2" t="str">
        <f>IFERROR(__xludf.DUMMYFUNCTION("""COMPUTED_VALUE"""),"Sale")</f>
        <v>Sale</v>
      </c>
      <c r="E954" s="2" t="str">
        <f>IFERROR(__xludf.DUMMYFUNCTION("""COMPUTED_VALUE"""),"Roti")</f>
        <v>Roti</v>
      </c>
      <c r="F954" s="2">
        <f>IFERROR(__xludf.DUMMYFUNCTION("""COMPUTED_VALUE"""),10000.0)</f>
        <v>10000</v>
      </c>
      <c r="G954" s="2" t="str">
        <f>IFERROR(__xludf.DUMMYFUNCTION("""COMPUTED_VALUE"""),"Roti Bawang Saus Keju")</f>
        <v>Roti Bawang Saus Keju</v>
      </c>
      <c r="H954" s="2"/>
      <c r="I954" s="2"/>
      <c r="J954" s="2">
        <f>IFERROR(__xludf.DUMMYFUNCTION("""COMPUTED_VALUE"""),1.0)</f>
        <v>1</v>
      </c>
      <c r="K954" s="6">
        <f>IFERROR(__xludf.DUMMYFUNCTION("""COMPUTED_VALUE"""),29524.0)</f>
        <v>29524</v>
      </c>
      <c r="L954" s="2">
        <f>IFERROR(__xludf.DUMMYFUNCTION("""COMPUTED_VALUE"""),0.0)</f>
        <v>0</v>
      </c>
      <c r="M954" s="2">
        <f>IFERROR(__xludf.DUMMYFUNCTION("""COMPUTED_VALUE"""),29524.0)</f>
        <v>29524</v>
      </c>
      <c r="N954" s="2">
        <f>IFERROR(__xludf.DUMMYFUNCTION("""COMPUTED_VALUE"""),0.0)</f>
        <v>0</v>
      </c>
      <c r="O954" s="2">
        <f>IFERROR(__xludf.DUMMYFUNCTION("""COMPUTED_VALUE"""),29524.0)</f>
        <v>29524</v>
      </c>
      <c r="P954" s="2">
        <f>IFERROR(__xludf.DUMMYFUNCTION("""COMPUTED_VALUE"""),1476.0)</f>
        <v>1476</v>
      </c>
      <c r="Q954" s="2" t="str">
        <f>IFERROR(__xludf.DUMMYFUNCTION("""COMPUTED_VALUE"""),"Dine In")</f>
        <v>Dine In</v>
      </c>
      <c r="R954" s="2" t="str">
        <f>IFERROR(__xludf.DUMMYFUNCTION("""COMPUTED_VALUE"""),"Kedai")</f>
        <v>Kedai</v>
      </c>
      <c r="S954" s="2" t="str">
        <f>IFERROR(__xludf.DUMMYFUNCTION("""COMPUTED_VALUE"""),"Temu Roti")</f>
        <v>Temu Roti</v>
      </c>
      <c r="T954" s="2" t="str">
        <f>IFERROR(__xludf.DUMMYFUNCTION("""COMPUTED_VALUE"""),"Owner")</f>
        <v>Owner</v>
      </c>
      <c r="U954" s="2"/>
      <c r="V954" s="2"/>
      <c r="W954" s="2"/>
      <c r="X954" s="2" t="str">
        <f>IFERROR(__xludf.DUMMYFUNCTION("""COMPUTED_VALUE"""),"Closed")</f>
        <v>Closed</v>
      </c>
    </row>
    <row r="955">
      <c r="A955" s="3" t="s">
        <v>970</v>
      </c>
      <c r="B955" s="4">
        <f>IFERROR(__xludf.DUMMYFUNCTION("SPLIT(A955,"","",0,0)"),45546.76944444444)</f>
        <v>45546.76944</v>
      </c>
      <c r="C955" s="5">
        <f>IFERROR(__xludf.DUMMYFUNCTION("""COMPUTED_VALUE"""),2668495.0)</f>
        <v>2668495</v>
      </c>
      <c r="D955" s="2" t="str">
        <f>IFERROR(__xludf.DUMMYFUNCTION("""COMPUTED_VALUE"""),"Sale")</f>
        <v>Sale</v>
      </c>
      <c r="E955" s="2" t="str">
        <f>IFERROR(__xludf.DUMMYFUNCTION("""COMPUTED_VALUE"""),"Roti")</f>
        <v>Roti</v>
      </c>
      <c r="F955" s="2">
        <f>IFERROR(__xludf.DUMMYFUNCTION("""COMPUTED_VALUE"""),10007.0)</f>
        <v>10007</v>
      </c>
      <c r="G955" s="2" t="str">
        <f>IFERROR(__xludf.DUMMYFUNCTION("""COMPUTED_VALUE"""),"Roti cranberry 2 pcs")</f>
        <v>Roti cranberry 2 pcs</v>
      </c>
      <c r="H955" s="2"/>
      <c r="I955" s="2"/>
      <c r="J955" s="2">
        <f>IFERROR(__xludf.DUMMYFUNCTION("""COMPUTED_VALUE"""),1.0)</f>
        <v>1</v>
      </c>
      <c r="K955" s="6">
        <f>IFERROR(__xludf.DUMMYFUNCTION("""COMPUTED_VALUE"""),33810.0)</f>
        <v>33810</v>
      </c>
      <c r="L955" s="2">
        <f>IFERROR(__xludf.DUMMYFUNCTION("""COMPUTED_VALUE"""),0.0)</f>
        <v>0</v>
      </c>
      <c r="M955" s="2">
        <f>IFERROR(__xludf.DUMMYFUNCTION("""COMPUTED_VALUE"""),33810.0)</f>
        <v>33810</v>
      </c>
      <c r="N955" s="2">
        <f>IFERROR(__xludf.DUMMYFUNCTION("""COMPUTED_VALUE"""),0.0)</f>
        <v>0</v>
      </c>
      <c r="O955" s="2">
        <f>IFERROR(__xludf.DUMMYFUNCTION("""COMPUTED_VALUE"""),33810.0)</f>
        <v>33810</v>
      </c>
      <c r="P955" s="2">
        <f>IFERROR(__xludf.DUMMYFUNCTION("""COMPUTED_VALUE"""),1691.0)</f>
        <v>1691</v>
      </c>
      <c r="Q955" s="2" t="str">
        <f>IFERROR(__xludf.DUMMYFUNCTION("""COMPUTED_VALUE"""),"Dine In")</f>
        <v>Dine In</v>
      </c>
      <c r="R955" s="2" t="str">
        <f>IFERROR(__xludf.DUMMYFUNCTION("""COMPUTED_VALUE"""),"Kedai")</f>
        <v>Kedai</v>
      </c>
      <c r="S955" s="2" t="str">
        <f>IFERROR(__xludf.DUMMYFUNCTION("""COMPUTED_VALUE"""),"Temu Roti")</f>
        <v>Temu Roti</v>
      </c>
      <c r="T955" s="2" t="str">
        <f>IFERROR(__xludf.DUMMYFUNCTION("""COMPUTED_VALUE"""),"Owner")</f>
        <v>Owner</v>
      </c>
      <c r="U955" s="2"/>
      <c r="V955" s="2"/>
      <c r="W955" s="2"/>
      <c r="X955" s="2" t="str">
        <f>IFERROR(__xludf.DUMMYFUNCTION("""COMPUTED_VALUE"""),"Closed")</f>
        <v>Closed</v>
      </c>
    </row>
    <row r="956">
      <c r="A956" s="3" t="s">
        <v>971</v>
      </c>
      <c r="B956" s="4">
        <f>IFERROR(__xludf.DUMMYFUNCTION("SPLIT(A956,"","",0,0)"),45546.73888888889)</f>
        <v>45546.73889</v>
      </c>
      <c r="C956" s="5">
        <f>IFERROR(__xludf.DUMMYFUNCTION("""COMPUTED_VALUE"""),2668130.0)</f>
        <v>2668130</v>
      </c>
      <c r="D956" s="2" t="str">
        <f>IFERROR(__xludf.DUMMYFUNCTION("""COMPUTED_VALUE"""),"Sale")</f>
        <v>Sale</v>
      </c>
      <c r="E956" s="2" t="str">
        <f>IFERROR(__xludf.DUMMYFUNCTION("""COMPUTED_VALUE"""),"Minuman")</f>
        <v>Minuman</v>
      </c>
      <c r="F956" s="2">
        <f>IFERROR(__xludf.DUMMYFUNCTION("""COMPUTED_VALUE"""),10125.0)</f>
        <v>10125</v>
      </c>
      <c r="G956" s="2" t="str">
        <f>IFERROR(__xludf.DUMMYFUNCTION("""COMPUTED_VALUE"""),"Gula Asam Dingin")</f>
        <v>Gula Asam Dingin</v>
      </c>
      <c r="H956" s="2"/>
      <c r="I956" s="2"/>
      <c r="J956" s="2">
        <f>IFERROR(__xludf.DUMMYFUNCTION("""COMPUTED_VALUE"""),1.0)</f>
        <v>1</v>
      </c>
      <c r="K956" s="6">
        <f>IFERROR(__xludf.DUMMYFUNCTION("""COMPUTED_VALUE"""),20476.0)</f>
        <v>20476</v>
      </c>
      <c r="L956" s="2">
        <f>IFERROR(__xludf.DUMMYFUNCTION("""COMPUTED_VALUE"""),0.0)</f>
        <v>0</v>
      </c>
      <c r="M956" s="2">
        <f>IFERROR(__xludf.DUMMYFUNCTION("""COMPUTED_VALUE"""),20476.0)</f>
        <v>20476</v>
      </c>
      <c r="N956" s="2">
        <f>IFERROR(__xludf.DUMMYFUNCTION("""COMPUTED_VALUE"""),0.0)</f>
        <v>0</v>
      </c>
      <c r="O956" s="2">
        <f>IFERROR(__xludf.DUMMYFUNCTION("""COMPUTED_VALUE"""),20476.0)</f>
        <v>20476</v>
      </c>
      <c r="P956" s="2">
        <f>IFERROR(__xludf.DUMMYFUNCTION("""COMPUTED_VALUE"""),1024.0)</f>
        <v>1024</v>
      </c>
      <c r="Q956" s="2" t="str">
        <f>IFERROR(__xludf.DUMMYFUNCTION("""COMPUTED_VALUE"""),"Dine In")</f>
        <v>Dine In</v>
      </c>
      <c r="R956" s="2" t="str">
        <f>IFERROR(__xludf.DUMMYFUNCTION("""COMPUTED_VALUE"""),"Kedai")</f>
        <v>Kedai</v>
      </c>
      <c r="S956" s="2" t="str">
        <f>IFERROR(__xludf.DUMMYFUNCTION("""COMPUTED_VALUE"""),"Temu Roti")</f>
        <v>Temu Roti</v>
      </c>
      <c r="T956" s="2" t="str">
        <f>IFERROR(__xludf.DUMMYFUNCTION("""COMPUTED_VALUE"""),"Owner")</f>
        <v>Owner</v>
      </c>
      <c r="U956" s="2"/>
      <c r="V956" s="2"/>
      <c r="W956" s="2"/>
      <c r="X956" s="2" t="str">
        <f>IFERROR(__xludf.DUMMYFUNCTION("""COMPUTED_VALUE"""),"Closed")</f>
        <v>Closed</v>
      </c>
    </row>
    <row r="957">
      <c r="A957" s="3" t="s">
        <v>972</v>
      </c>
      <c r="B957" s="4">
        <f>IFERROR(__xludf.DUMMYFUNCTION("SPLIT(A957,"","",0,0)"),45546.73888888889)</f>
        <v>45546.73889</v>
      </c>
      <c r="C957" s="5">
        <f>IFERROR(__xludf.DUMMYFUNCTION("""COMPUTED_VALUE"""),2668130.0)</f>
        <v>2668130</v>
      </c>
      <c r="D957" s="2" t="str">
        <f>IFERROR(__xludf.DUMMYFUNCTION("""COMPUTED_VALUE"""),"Sale")</f>
        <v>Sale</v>
      </c>
      <c r="E957" s="2" t="str">
        <f>IFERROR(__xludf.DUMMYFUNCTION("""COMPUTED_VALUE"""),"Minuman")</f>
        <v>Minuman</v>
      </c>
      <c r="F957" s="2">
        <f>IFERROR(__xludf.DUMMYFUNCTION("""COMPUTED_VALUE"""),10056.0)</f>
        <v>10056</v>
      </c>
      <c r="G957" s="2" t="str">
        <f>IFERROR(__xludf.DUMMYFUNCTION("""COMPUTED_VALUE"""),"Susu murni moca")</f>
        <v>Susu murni moca</v>
      </c>
      <c r="H957" s="2"/>
      <c r="I957" s="2"/>
      <c r="J957" s="2">
        <f>IFERROR(__xludf.DUMMYFUNCTION("""COMPUTED_VALUE"""),1.0)</f>
        <v>1</v>
      </c>
      <c r="K957" s="6">
        <f>IFERROR(__xludf.DUMMYFUNCTION("""COMPUTED_VALUE"""),19524.0)</f>
        <v>19524</v>
      </c>
      <c r="L957" s="2">
        <f>IFERROR(__xludf.DUMMYFUNCTION("""COMPUTED_VALUE"""),0.0)</f>
        <v>0</v>
      </c>
      <c r="M957" s="2">
        <f>IFERROR(__xludf.DUMMYFUNCTION("""COMPUTED_VALUE"""),19524.0)</f>
        <v>19524</v>
      </c>
      <c r="N957" s="2">
        <f>IFERROR(__xludf.DUMMYFUNCTION("""COMPUTED_VALUE"""),0.0)</f>
        <v>0</v>
      </c>
      <c r="O957" s="2">
        <f>IFERROR(__xludf.DUMMYFUNCTION("""COMPUTED_VALUE"""),19524.0)</f>
        <v>19524</v>
      </c>
      <c r="P957" s="2">
        <f>IFERROR(__xludf.DUMMYFUNCTION("""COMPUTED_VALUE"""),976.0)</f>
        <v>976</v>
      </c>
      <c r="Q957" s="2" t="str">
        <f>IFERROR(__xludf.DUMMYFUNCTION("""COMPUTED_VALUE"""),"Dine In")</f>
        <v>Dine In</v>
      </c>
      <c r="R957" s="2" t="str">
        <f>IFERROR(__xludf.DUMMYFUNCTION("""COMPUTED_VALUE"""),"Kedai")</f>
        <v>Kedai</v>
      </c>
      <c r="S957" s="2" t="str">
        <f>IFERROR(__xludf.DUMMYFUNCTION("""COMPUTED_VALUE"""),"Temu Roti")</f>
        <v>Temu Roti</v>
      </c>
      <c r="T957" s="2" t="str">
        <f>IFERROR(__xludf.DUMMYFUNCTION("""COMPUTED_VALUE"""),"Owner")</f>
        <v>Owner</v>
      </c>
      <c r="U957" s="2"/>
      <c r="V957" s="2"/>
      <c r="W957" s="2"/>
      <c r="X957" s="2" t="str">
        <f>IFERROR(__xludf.DUMMYFUNCTION("""COMPUTED_VALUE"""),"Closed")</f>
        <v>Closed</v>
      </c>
    </row>
    <row r="958">
      <c r="A958" s="3" t="s">
        <v>973</v>
      </c>
      <c r="B958" s="4">
        <f>IFERROR(__xludf.DUMMYFUNCTION("SPLIT(A958,"","",0,0)"),45546.73888888889)</f>
        <v>45546.73889</v>
      </c>
      <c r="C958" s="5">
        <f>IFERROR(__xludf.DUMMYFUNCTION("""COMPUTED_VALUE"""),2668130.0)</f>
        <v>2668130</v>
      </c>
      <c r="D958" s="2" t="str">
        <f>IFERROR(__xludf.DUMMYFUNCTION("""COMPUTED_VALUE"""),"Sale")</f>
        <v>Sale</v>
      </c>
      <c r="E958" s="2" t="str">
        <f>IFERROR(__xludf.DUMMYFUNCTION("""COMPUTED_VALUE"""),"Minuman")</f>
        <v>Minuman</v>
      </c>
      <c r="F958" s="2">
        <f>IFERROR(__xludf.DUMMYFUNCTION("""COMPUTED_VALUE"""),10070.0)</f>
        <v>10070</v>
      </c>
      <c r="G958" s="2" t="str">
        <f>IFERROR(__xludf.DUMMYFUNCTION("""COMPUTED_VALUE"""),"Wedang laut")</f>
        <v>Wedang laut</v>
      </c>
      <c r="H958" s="2"/>
      <c r="I958" s="2"/>
      <c r="J958" s="2">
        <f>IFERROR(__xludf.DUMMYFUNCTION("""COMPUTED_VALUE"""),1.0)</f>
        <v>1</v>
      </c>
      <c r="K958" s="6">
        <f>IFERROR(__xludf.DUMMYFUNCTION("""COMPUTED_VALUE"""),24762.0)</f>
        <v>24762</v>
      </c>
      <c r="L958" s="2">
        <f>IFERROR(__xludf.DUMMYFUNCTION("""COMPUTED_VALUE"""),0.0)</f>
        <v>0</v>
      </c>
      <c r="M958" s="2">
        <f>IFERROR(__xludf.DUMMYFUNCTION("""COMPUTED_VALUE"""),24762.0)</f>
        <v>24762</v>
      </c>
      <c r="N958" s="2">
        <f>IFERROR(__xludf.DUMMYFUNCTION("""COMPUTED_VALUE"""),0.0)</f>
        <v>0</v>
      </c>
      <c r="O958" s="2">
        <f>IFERROR(__xludf.DUMMYFUNCTION("""COMPUTED_VALUE"""),24762.0)</f>
        <v>24762</v>
      </c>
      <c r="P958" s="2">
        <f>IFERROR(__xludf.DUMMYFUNCTION("""COMPUTED_VALUE"""),1238.0)</f>
        <v>1238</v>
      </c>
      <c r="Q958" s="2" t="str">
        <f>IFERROR(__xludf.DUMMYFUNCTION("""COMPUTED_VALUE"""),"Dine In")</f>
        <v>Dine In</v>
      </c>
      <c r="R958" s="2" t="str">
        <f>IFERROR(__xludf.DUMMYFUNCTION("""COMPUTED_VALUE"""),"Kedai")</f>
        <v>Kedai</v>
      </c>
      <c r="S958" s="2" t="str">
        <f>IFERROR(__xludf.DUMMYFUNCTION("""COMPUTED_VALUE"""),"Temu Roti")</f>
        <v>Temu Roti</v>
      </c>
      <c r="T958" s="2" t="str">
        <f>IFERROR(__xludf.DUMMYFUNCTION("""COMPUTED_VALUE"""),"Owner")</f>
        <v>Owner</v>
      </c>
      <c r="U958" s="2"/>
      <c r="V958" s="2"/>
      <c r="W958" s="2"/>
      <c r="X958" s="2" t="str">
        <f>IFERROR(__xludf.DUMMYFUNCTION("""COMPUTED_VALUE"""),"Closed")</f>
        <v>Closed</v>
      </c>
    </row>
    <row r="959">
      <c r="A959" s="3" t="s">
        <v>974</v>
      </c>
      <c r="B959" s="4">
        <f>IFERROR(__xludf.DUMMYFUNCTION("SPLIT(A959,"","",0,0)"),45546.73888888889)</f>
        <v>45546.73889</v>
      </c>
      <c r="C959" s="5">
        <f>IFERROR(__xludf.DUMMYFUNCTION("""COMPUTED_VALUE"""),2668130.0)</f>
        <v>2668130</v>
      </c>
      <c r="D959" s="2" t="str">
        <f>IFERROR(__xludf.DUMMYFUNCTION("""COMPUTED_VALUE"""),"Sale")</f>
        <v>Sale</v>
      </c>
      <c r="E959" s="2" t="str">
        <f>IFERROR(__xludf.DUMMYFUNCTION("""COMPUTED_VALUE"""),"Roti")</f>
        <v>Roti</v>
      </c>
      <c r="F959" s="2">
        <f>IFERROR(__xludf.DUMMYFUNCTION("""COMPUTED_VALUE"""),10000.0)</f>
        <v>10000</v>
      </c>
      <c r="G959" s="2" t="str">
        <f>IFERROR(__xludf.DUMMYFUNCTION("""COMPUTED_VALUE"""),"Roti Bawang Saus Keju")</f>
        <v>Roti Bawang Saus Keju</v>
      </c>
      <c r="H959" s="2"/>
      <c r="I959" s="2"/>
      <c r="J959" s="2">
        <f>IFERROR(__xludf.DUMMYFUNCTION("""COMPUTED_VALUE"""),1.0)</f>
        <v>1</v>
      </c>
      <c r="K959" s="6">
        <f>IFERROR(__xludf.DUMMYFUNCTION("""COMPUTED_VALUE"""),29524.0)</f>
        <v>29524</v>
      </c>
      <c r="L959" s="2">
        <f>IFERROR(__xludf.DUMMYFUNCTION("""COMPUTED_VALUE"""),0.0)</f>
        <v>0</v>
      </c>
      <c r="M959" s="2">
        <f>IFERROR(__xludf.DUMMYFUNCTION("""COMPUTED_VALUE"""),29524.0)</f>
        <v>29524</v>
      </c>
      <c r="N959" s="2">
        <f>IFERROR(__xludf.DUMMYFUNCTION("""COMPUTED_VALUE"""),0.0)</f>
        <v>0</v>
      </c>
      <c r="O959" s="2">
        <f>IFERROR(__xludf.DUMMYFUNCTION("""COMPUTED_VALUE"""),29524.0)</f>
        <v>29524</v>
      </c>
      <c r="P959" s="2">
        <f>IFERROR(__xludf.DUMMYFUNCTION("""COMPUTED_VALUE"""),1476.0)</f>
        <v>1476</v>
      </c>
      <c r="Q959" s="2" t="str">
        <f>IFERROR(__xludf.DUMMYFUNCTION("""COMPUTED_VALUE"""),"Dine In")</f>
        <v>Dine In</v>
      </c>
      <c r="R959" s="2" t="str">
        <f>IFERROR(__xludf.DUMMYFUNCTION("""COMPUTED_VALUE"""),"Kedai")</f>
        <v>Kedai</v>
      </c>
      <c r="S959" s="2" t="str">
        <f>IFERROR(__xludf.DUMMYFUNCTION("""COMPUTED_VALUE"""),"Temu Roti")</f>
        <v>Temu Roti</v>
      </c>
      <c r="T959" s="2" t="str">
        <f>IFERROR(__xludf.DUMMYFUNCTION("""COMPUTED_VALUE"""),"Owner")</f>
        <v>Owner</v>
      </c>
      <c r="U959" s="2"/>
      <c r="V959" s="2"/>
      <c r="W959" s="2"/>
      <c r="X959" s="2" t="str">
        <f>IFERROR(__xludf.DUMMYFUNCTION("""COMPUTED_VALUE"""),"Closed")</f>
        <v>Closed</v>
      </c>
    </row>
    <row r="960">
      <c r="A960" s="3" t="s">
        <v>975</v>
      </c>
      <c r="B960" s="4">
        <f>IFERROR(__xludf.DUMMYFUNCTION("SPLIT(A960,"","",0,0)"),45546.7375)</f>
        <v>45546.7375</v>
      </c>
      <c r="C960" s="5">
        <f>IFERROR(__xludf.DUMMYFUNCTION("""COMPUTED_VALUE"""),2667764.0)</f>
        <v>2667764</v>
      </c>
      <c r="D960" s="2" t="str">
        <f>IFERROR(__xludf.DUMMYFUNCTION("""COMPUTED_VALUE"""),"Sale")</f>
        <v>Sale</v>
      </c>
      <c r="E960" s="2" t="str">
        <f>IFERROR(__xludf.DUMMYFUNCTION("""COMPUTED_VALUE"""),"Kudapan")</f>
        <v>Kudapan</v>
      </c>
      <c r="F960" s="2">
        <f>IFERROR(__xludf.DUMMYFUNCTION("""COMPUTED_VALUE"""),10009.0)</f>
        <v>10009</v>
      </c>
      <c r="G960" s="2" t="str">
        <f>IFERROR(__xludf.DUMMYFUNCTION("""COMPUTED_VALUE"""),"Jamur Enoki Krispi")</f>
        <v>Jamur Enoki Krispi</v>
      </c>
      <c r="H960" s="2"/>
      <c r="I960" s="2"/>
      <c r="J960" s="2">
        <f>IFERROR(__xludf.DUMMYFUNCTION("""COMPUTED_VALUE"""),1.0)</f>
        <v>1</v>
      </c>
      <c r="K960" s="6">
        <f>IFERROR(__xludf.DUMMYFUNCTION("""COMPUTED_VALUE"""),26667.0)</f>
        <v>26667</v>
      </c>
      <c r="L960" s="2">
        <f>IFERROR(__xludf.DUMMYFUNCTION("""COMPUTED_VALUE"""),0.0)</f>
        <v>0</v>
      </c>
      <c r="M960" s="2">
        <f>IFERROR(__xludf.DUMMYFUNCTION("""COMPUTED_VALUE"""),26667.0)</f>
        <v>26667</v>
      </c>
      <c r="N960" s="2">
        <f>IFERROR(__xludf.DUMMYFUNCTION("""COMPUTED_VALUE"""),0.0)</f>
        <v>0</v>
      </c>
      <c r="O960" s="2">
        <f>IFERROR(__xludf.DUMMYFUNCTION("""COMPUTED_VALUE"""),26667.0)</f>
        <v>26667</v>
      </c>
      <c r="P960" s="2">
        <f>IFERROR(__xludf.DUMMYFUNCTION("""COMPUTED_VALUE"""),1333.0)</f>
        <v>1333</v>
      </c>
      <c r="Q960" s="2" t="str">
        <f>IFERROR(__xludf.DUMMYFUNCTION("""COMPUTED_VALUE"""),"Dine In")</f>
        <v>Dine In</v>
      </c>
      <c r="R960" s="2" t="str">
        <f>IFERROR(__xludf.DUMMYFUNCTION("""COMPUTED_VALUE"""),"Kedai")</f>
        <v>Kedai</v>
      </c>
      <c r="S960" s="2" t="str">
        <f>IFERROR(__xludf.DUMMYFUNCTION("""COMPUTED_VALUE"""),"Temu Roti")</f>
        <v>Temu Roti</v>
      </c>
      <c r="T960" s="2" t="str">
        <f>IFERROR(__xludf.DUMMYFUNCTION("""COMPUTED_VALUE"""),"Owner")</f>
        <v>Owner</v>
      </c>
      <c r="U960" s="2"/>
      <c r="V960" s="2"/>
      <c r="W960" s="2"/>
      <c r="X960" s="2" t="str">
        <f>IFERROR(__xludf.DUMMYFUNCTION("""COMPUTED_VALUE"""),"Closed")</f>
        <v>Closed</v>
      </c>
    </row>
    <row r="961">
      <c r="A961" s="3" t="s">
        <v>976</v>
      </c>
      <c r="B961" s="4">
        <f>IFERROR(__xludf.DUMMYFUNCTION("SPLIT(A961,"","",0,0)"),45546.7375)</f>
        <v>45546.7375</v>
      </c>
      <c r="C961" s="5">
        <f>IFERROR(__xludf.DUMMYFUNCTION("""COMPUTED_VALUE"""),2667764.0)</f>
        <v>2667764</v>
      </c>
      <c r="D961" s="2" t="str">
        <f>IFERROR(__xludf.DUMMYFUNCTION("""COMPUTED_VALUE"""),"Sale")</f>
        <v>Sale</v>
      </c>
      <c r="E961" s="2" t="str">
        <f>IFERROR(__xludf.DUMMYFUNCTION("""COMPUTED_VALUE"""),"Roti")</f>
        <v>Roti</v>
      </c>
      <c r="F961" s="2">
        <f>IFERROR(__xludf.DUMMYFUNCTION("""COMPUTED_VALUE"""),10033.0)</f>
        <v>10033</v>
      </c>
      <c r="G961" s="2" t="str">
        <f>IFERROR(__xludf.DUMMYFUNCTION("""COMPUTED_VALUE"""),"Roti panggang sarikaya")</f>
        <v>Roti panggang sarikaya</v>
      </c>
      <c r="H961" s="2"/>
      <c r="I961" s="2"/>
      <c r="J961" s="2">
        <f>IFERROR(__xludf.DUMMYFUNCTION("""COMPUTED_VALUE"""),1.0)</f>
        <v>1</v>
      </c>
      <c r="K961" s="6">
        <f>IFERROR(__xludf.DUMMYFUNCTION("""COMPUTED_VALUE"""),21905.0)</f>
        <v>21905</v>
      </c>
      <c r="L961" s="2">
        <f>IFERROR(__xludf.DUMMYFUNCTION("""COMPUTED_VALUE"""),0.0)</f>
        <v>0</v>
      </c>
      <c r="M961" s="2">
        <f>IFERROR(__xludf.DUMMYFUNCTION("""COMPUTED_VALUE"""),21905.0)</f>
        <v>21905</v>
      </c>
      <c r="N961" s="2">
        <f>IFERROR(__xludf.DUMMYFUNCTION("""COMPUTED_VALUE"""),0.0)</f>
        <v>0</v>
      </c>
      <c r="O961" s="2">
        <f>IFERROR(__xludf.DUMMYFUNCTION("""COMPUTED_VALUE"""),21905.0)</f>
        <v>21905</v>
      </c>
      <c r="P961" s="2">
        <f>IFERROR(__xludf.DUMMYFUNCTION("""COMPUTED_VALUE"""),1096.0)</f>
        <v>1096</v>
      </c>
      <c r="Q961" s="2" t="str">
        <f>IFERROR(__xludf.DUMMYFUNCTION("""COMPUTED_VALUE"""),"Dine In")</f>
        <v>Dine In</v>
      </c>
      <c r="R961" s="2" t="str">
        <f>IFERROR(__xludf.DUMMYFUNCTION("""COMPUTED_VALUE"""),"Kedai")</f>
        <v>Kedai</v>
      </c>
      <c r="S961" s="2" t="str">
        <f>IFERROR(__xludf.DUMMYFUNCTION("""COMPUTED_VALUE"""),"Temu Roti")</f>
        <v>Temu Roti</v>
      </c>
      <c r="T961" s="2" t="str">
        <f>IFERROR(__xludf.DUMMYFUNCTION("""COMPUTED_VALUE"""),"Owner")</f>
        <v>Owner</v>
      </c>
      <c r="U961" s="2"/>
      <c r="V961" s="2"/>
      <c r="W961" s="2"/>
      <c r="X961" s="2" t="str">
        <f>IFERROR(__xludf.DUMMYFUNCTION("""COMPUTED_VALUE"""),"Closed")</f>
        <v>Closed</v>
      </c>
    </row>
    <row r="962">
      <c r="A962" s="3" t="s">
        <v>977</v>
      </c>
      <c r="B962" s="4">
        <f>IFERROR(__xludf.DUMMYFUNCTION("SPLIT(A962,"","",0,0)"),45546.7375)</f>
        <v>45546.7375</v>
      </c>
      <c r="C962" s="5">
        <f>IFERROR(__xludf.DUMMYFUNCTION("""COMPUTED_VALUE"""),2667764.0)</f>
        <v>2667764</v>
      </c>
      <c r="D962" s="2" t="str">
        <f>IFERROR(__xludf.DUMMYFUNCTION("""COMPUTED_VALUE"""),"Sale")</f>
        <v>Sale</v>
      </c>
      <c r="E962" s="2" t="str">
        <f>IFERROR(__xludf.DUMMYFUNCTION("""COMPUTED_VALUE"""),"Minuman")</f>
        <v>Minuman</v>
      </c>
      <c r="F962" s="2">
        <f>IFERROR(__xludf.DUMMYFUNCTION("""COMPUTED_VALUE"""),10119.0)</f>
        <v>10119</v>
      </c>
      <c r="G962" s="2" t="str">
        <f>IFERROR(__xludf.DUMMYFUNCTION("""COMPUTED_VALUE"""),"Teh Tawar Dingin")</f>
        <v>Teh Tawar Dingin</v>
      </c>
      <c r="H962" s="2"/>
      <c r="I962" s="2"/>
      <c r="J962" s="2">
        <f>IFERROR(__xludf.DUMMYFUNCTION("""COMPUTED_VALUE"""),2.0)</f>
        <v>2</v>
      </c>
      <c r="K962" s="6">
        <f>IFERROR(__xludf.DUMMYFUNCTION("""COMPUTED_VALUE"""),14286.0)</f>
        <v>14286</v>
      </c>
      <c r="L962" s="2">
        <f>IFERROR(__xludf.DUMMYFUNCTION("""COMPUTED_VALUE"""),0.0)</f>
        <v>0</v>
      </c>
      <c r="M962" s="2">
        <f>IFERROR(__xludf.DUMMYFUNCTION("""COMPUTED_VALUE"""),14286.0)</f>
        <v>14286</v>
      </c>
      <c r="N962" s="2">
        <f>IFERROR(__xludf.DUMMYFUNCTION("""COMPUTED_VALUE"""),0.0)</f>
        <v>0</v>
      </c>
      <c r="O962" s="2">
        <f>IFERROR(__xludf.DUMMYFUNCTION("""COMPUTED_VALUE"""),14286.0)</f>
        <v>14286</v>
      </c>
      <c r="P962" s="2">
        <f>IFERROR(__xludf.DUMMYFUNCTION("""COMPUTED_VALUE"""),714.0)</f>
        <v>714</v>
      </c>
      <c r="Q962" s="2" t="str">
        <f>IFERROR(__xludf.DUMMYFUNCTION("""COMPUTED_VALUE"""),"Dine In")</f>
        <v>Dine In</v>
      </c>
      <c r="R962" s="2" t="str">
        <f>IFERROR(__xludf.DUMMYFUNCTION("""COMPUTED_VALUE"""),"Kedai")</f>
        <v>Kedai</v>
      </c>
      <c r="S962" s="2" t="str">
        <f>IFERROR(__xludf.DUMMYFUNCTION("""COMPUTED_VALUE"""),"Temu Roti")</f>
        <v>Temu Roti</v>
      </c>
      <c r="T962" s="2" t="str">
        <f>IFERROR(__xludf.DUMMYFUNCTION("""COMPUTED_VALUE"""),"Owner")</f>
        <v>Owner</v>
      </c>
      <c r="U962" s="2"/>
      <c r="V962" s="2"/>
      <c r="W962" s="2"/>
      <c r="X962" s="2" t="str">
        <f>IFERROR(__xludf.DUMMYFUNCTION("""COMPUTED_VALUE"""),"Closed")</f>
        <v>Closed</v>
      </c>
    </row>
    <row r="963">
      <c r="A963" s="3" t="s">
        <v>978</v>
      </c>
      <c r="B963" s="4">
        <f>IFERROR(__xludf.DUMMYFUNCTION("SPLIT(A963,"","",0,0)"),45546.72708333333)</f>
        <v>45546.72708</v>
      </c>
      <c r="C963" s="5">
        <f>IFERROR(__xludf.DUMMYFUNCTION("""COMPUTED_VALUE"""),2667399.0)</f>
        <v>2667399</v>
      </c>
      <c r="D963" s="2" t="str">
        <f>IFERROR(__xludf.DUMMYFUNCTION("""COMPUTED_VALUE"""),"Sale")</f>
        <v>Sale</v>
      </c>
      <c r="E963" s="2" t="str">
        <f>IFERROR(__xludf.DUMMYFUNCTION("""COMPUTED_VALUE"""),"Roti")</f>
        <v>Roti</v>
      </c>
      <c r="F963" s="2">
        <f>IFERROR(__xludf.DUMMYFUNCTION("""COMPUTED_VALUE"""),10033.0)</f>
        <v>10033</v>
      </c>
      <c r="G963" s="2" t="str">
        <f>IFERROR(__xludf.DUMMYFUNCTION("""COMPUTED_VALUE"""),"Roti panggang sarikaya")</f>
        <v>Roti panggang sarikaya</v>
      </c>
      <c r="H963" s="2"/>
      <c r="I963" s="2"/>
      <c r="J963" s="2">
        <f>IFERROR(__xludf.DUMMYFUNCTION("""COMPUTED_VALUE"""),1.0)</f>
        <v>1</v>
      </c>
      <c r="K963" s="6">
        <f>IFERROR(__xludf.DUMMYFUNCTION("""COMPUTED_VALUE"""),21905.0)</f>
        <v>21905</v>
      </c>
      <c r="L963" s="2">
        <f>IFERROR(__xludf.DUMMYFUNCTION("""COMPUTED_VALUE"""),0.0)</f>
        <v>0</v>
      </c>
      <c r="M963" s="2">
        <f>IFERROR(__xludf.DUMMYFUNCTION("""COMPUTED_VALUE"""),21905.0)</f>
        <v>21905</v>
      </c>
      <c r="N963" s="2">
        <f>IFERROR(__xludf.DUMMYFUNCTION("""COMPUTED_VALUE"""),0.0)</f>
        <v>0</v>
      </c>
      <c r="O963" s="2">
        <f>IFERROR(__xludf.DUMMYFUNCTION("""COMPUTED_VALUE"""),21905.0)</f>
        <v>21905</v>
      </c>
      <c r="P963" s="2">
        <f>IFERROR(__xludf.DUMMYFUNCTION("""COMPUTED_VALUE"""),1095.0)</f>
        <v>1095</v>
      </c>
      <c r="Q963" s="2" t="str">
        <f>IFERROR(__xludf.DUMMYFUNCTION("""COMPUTED_VALUE"""),"Dine In")</f>
        <v>Dine In</v>
      </c>
      <c r="R963" s="2" t="str">
        <f>IFERROR(__xludf.DUMMYFUNCTION("""COMPUTED_VALUE"""),"Kedai")</f>
        <v>Kedai</v>
      </c>
      <c r="S963" s="2" t="str">
        <f>IFERROR(__xludf.DUMMYFUNCTION("""COMPUTED_VALUE"""),"Temu Roti")</f>
        <v>Temu Roti</v>
      </c>
      <c r="T963" s="2" t="str">
        <f>IFERROR(__xludf.DUMMYFUNCTION("""COMPUTED_VALUE"""),"Owner")</f>
        <v>Owner</v>
      </c>
      <c r="U963" s="2"/>
      <c r="V963" s="2"/>
      <c r="W963" s="2"/>
      <c r="X963" s="2" t="str">
        <f>IFERROR(__xludf.DUMMYFUNCTION("""COMPUTED_VALUE"""),"Closed")</f>
        <v>Closed</v>
      </c>
    </row>
    <row r="964">
      <c r="A964" s="3" t="s">
        <v>979</v>
      </c>
      <c r="B964" s="4">
        <f>IFERROR(__xludf.DUMMYFUNCTION("SPLIT(A964,"","",0,0)"),45546.72708333333)</f>
        <v>45546.72708</v>
      </c>
      <c r="C964" s="5">
        <f>IFERROR(__xludf.DUMMYFUNCTION("""COMPUTED_VALUE"""),2667399.0)</f>
        <v>2667399</v>
      </c>
      <c r="D964" s="2" t="str">
        <f>IFERROR(__xludf.DUMMYFUNCTION("""COMPUTED_VALUE"""),"Sale")</f>
        <v>Sale</v>
      </c>
      <c r="E964" s="2" t="str">
        <f>IFERROR(__xludf.DUMMYFUNCTION("""COMPUTED_VALUE"""),"Minuman")</f>
        <v>Minuman</v>
      </c>
      <c r="F964" s="2">
        <f>IFERROR(__xludf.DUMMYFUNCTION("""COMPUTED_VALUE"""),10122.0)</f>
        <v>10122</v>
      </c>
      <c r="G964" s="2" t="str">
        <f>IFERROR(__xludf.DUMMYFUNCTION("""COMPUTED_VALUE"""),"Rempah Madu Panas")</f>
        <v>Rempah Madu Panas</v>
      </c>
      <c r="H964" s="2"/>
      <c r="I964" s="2"/>
      <c r="J964" s="2">
        <f>IFERROR(__xludf.DUMMYFUNCTION("""COMPUTED_VALUE"""),1.0)</f>
        <v>1</v>
      </c>
      <c r="K964" s="6">
        <f>IFERROR(__xludf.DUMMYFUNCTION("""COMPUTED_VALUE"""),21905.0)</f>
        <v>21905</v>
      </c>
      <c r="L964" s="2">
        <f>IFERROR(__xludf.DUMMYFUNCTION("""COMPUTED_VALUE"""),0.0)</f>
        <v>0</v>
      </c>
      <c r="M964" s="2">
        <f>IFERROR(__xludf.DUMMYFUNCTION("""COMPUTED_VALUE"""),21905.0)</f>
        <v>21905</v>
      </c>
      <c r="N964" s="2">
        <f>IFERROR(__xludf.DUMMYFUNCTION("""COMPUTED_VALUE"""),0.0)</f>
        <v>0</v>
      </c>
      <c r="O964" s="2">
        <f>IFERROR(__xludf.DUMMYFUNCTION("""COMPUTED_VALUE"""),21905.0)</f>
        <v>21905</v>
      </c>
      <c r="P964" s="2">
        <f>IFERROR(__xludf.DUMMYFUNCTION("""COMPUTED_VALUE"""),1096.0)</f>
        <v>1096</v>
      </c>
      <c r="Q964" s="2" t="str">
        <f>IFERROR(__xludf.DUMMYFUNCTION("""COMPUTED_VALUE"""),"Dine In")</f>
        <v>Dine In</v>
      </c>
      <c r="R964" s="2" t="str">
        <f>IFERROR(__xludf.DUMMYFUNCTION("""COMPUTED_VALUE"""),"Kedai")</f>
        <v>Kedai</v>
      </c>
      <c r="S964" s="2" t="str">
        <f>IFERROR(__xludf.DUMMYFUNCTION("""COMPUTED_VALUE"""),"Temu Roti")</f>
        <v>Temu Roti</v>
      </c>
      <c r="T964" s="2" t="str">
        <f>IFERROR(__xludf.DUMMYFUNCTION("""COMPUTED_VALUE"""),"Owner")</f>
        <v>Owner</v>
      </c>
      <c r="U964" s="2"/>
      <c r="V964" s="2"/>
      <c r="W964" s="2"/>
      <c r="X964" s="2" t="str">
        <f>IFERROR(__xludf.DUMMYFUNCTION("""COMPUTED_VALUE"""),"Closed")</f>
        <v>Closed</v>
      </c>
    </row>
    <row r="965">
      <c r="A965" s="3" t="s">
        <v>980</v>
      </c>
      <c r="B965" s="4">
        <f>IFERROR(__xludf.DUMMYFUNCTION("SPLIT(A965,"","",0,0)"),45546.72638888889)</f>
        <v>45546.72639</v>
      </c>
      <c r="C965" s="5">
        <f>IFERROR(__xludf.DUMMYFUNCTION("""COMPUTED_VALUE"""),2667034.0)</f>
        <v>2667034</v>
      </c>
      <c r="D965" s="2" t="str">
        <f>IFERROR(__xludf.DUMMYFUNCTION("""COMPUTED_VALUE"""),"Sale")</f>
        <v>Sale</v>
      </c>
      <c r="E965" s="2" t="str">
        <f>IFERROR(__xludf.DUMMYFUNCTION("""COMPUTED_VALUE"""),"Minuman")</f>
        <v>Minuman</v>
      </c>
      <c r="F965" s="2">
        <f>IFERROR(__xludf.DUMMYFUNCTION("""COMPUTED_VALUE"""),10128.0)</f>
        <v>10128</v>
      </c>
      <c r="G965" s="2" t="str">
        <f>IFERROR(__xludf.DUMMYFUNCTION("""COMPUTED_VALUE"""),"Es Kopi Susu")</f>
        <v>Es Kopi Susu</v>
      </c>
      <c r="H965" s="2"/>
      <c r="I965" s="2"/>
      <c r="J965" s="2">
        <f>IFERROR(__xludf.DUMMYFUNCTION("""COMPUTED_VALUE"""),2.0)</f>
        <v>2</v>
      </c>
      <c r="K965" s="6">
        <f>IFERROR(__xludf.DUMMYFUNCTION("""COMPUTED_VALUE"""),46666.0)</f>
        <v>46666</v>
      </c>
      <c r="L965" s="2">
        <f>IFERROR(__xludf.DUMMYFUNCTION("""COMPUTED_VALUE"""),0.0)</f>
        <v>0</v>
      </c>
      <c r="M965" s="2">
        <f>IFERROR(__xludf.DUMMYFUNCTION("""COMPUTED_VALUE"""),46666.0)</f>
        <v>46666</v>
      </c>
      <c r="N965" s="2">
        <f>IFERROR(__xludf.DUMMYFUNCTION("""COMPUTED_VALUE"""),0.0)</f>
        <v>0</v>
      </c>
      <c r="O965" s="2">
        <f>IFERROR(__xludf.DUMMYFUNCTION("""COMPUTED_VALUE"""),46666.0)</f>
        <v>46666</v>
      </c>
      <c r="P965" s="2">
        <f>IFERROR(__xludf.DUMMYFUNCTION("""COMPUTED_VALUE"""),2333.0)</f>
        <v>2333</v>
      </c>
      <c r="Q965" s="2" t="str">
        <f>IFERROR(__xludf.DUMMYFUNCTION("""COMPUTED_VALUE"""),"Dine In")</f>
        <v>Dine In</v>
      </c>
      <c r="R965" s="2" t="str">
        <f>IFERROR(__xludf.DUMMYFUNCTION("""COMPUTED_VALUE"""),"Kedai")</f>
        <v>Kedai</v>
      </c>
      <c r="S965" s="2" t="str">
        <f>IFERROR(__xludf.DUMMYFUNCTION("""COMPUTED_VALUE"""),"Temu Roti")</f>
        <v>Temu Roti</v>
      </c>
      <c r="T965" s="2" t="str">
        <f>IFERROR(__xludf.DUMMYFUNCTION("""COMPUTED_VALUE"""),"Owner")</f>
        <v>Owner</v>
      </c>
      <c r="U965" s="2"/>
      <c r="V965" s="2"/>
      <c r="W965" s="2"/>
      <c r="X965" s="2" t="str">
        <f>IFERROR(__xludf.DUMMYFUNCTION("""COMPUTED_VALUE"""),"Closed")</f>
        <v>Closed</v>
      </c>
    </row>
    <row r="966">
      <c r="A966" s="3" t="s">
        <v>981</v>
      </c>
      <c r="B966" s="4">
        <f>IFERROR(__xludf.DUMMYFUNCTION("SPLIT(A966,"","",0,0)"),45546.72638888889)</f>
        <v>45546.72639</v>
      </c>
      <c r="C966" s="5">
        <f>IFERROR(__xludf.DUMMYFUNCTION("""COMPUTED_VALUE"""),2667034.0)</f>
        <v>2667034</v>
      </c>
      <c r="D966" s="2" t="str">
        <f>IFERROR(__xludf.DUMMYFUNCTION("""COMPUTED_VALUE"""),"Sale")</f>
        <v>Sale</v>
      </c>
      <c r="E966" s="2" t="str">
        <f>IFERROR(__xludf.DUMMYFUNCTION("""COMPUTED_VALUE"""),"Roti")</f>
        <v>Roti</v>
      </c>
      <c r="F966" s="2">
        <f>IFERROR(__xludf.DUMMYFUNCTION("""COMPUTED_VALUE"""),10005.0)</f>
        <v>10005</v>
      </c>
      <c r="G966" s="2" t="str">
        <f>IFERROR(__xludf.DUMMYFUNCTION("""COMPUTED_VALUE"""),"Roti Gandum Cokelat")</f>
        <v>Roti Gandum Cokelat</v>
      </c>
      <c r="H966" s="2"/>
      <c r="I966" s="2"/>
      <c r="J966" s="2">
        <f>IFERROR(__xludf.DUMMYFUNCTION("""COMPUTED_VALUE"""),1.0)</f>
        <v>1</v>
      </c>
      <c r="K966" s="6">
        <f>IFERROR(__xludf.DUMMYFUNCTION("""COMPUTED_VALUE"""),19524.0)</f>
        <v>19524</v>
      </c>
      <c r="L966" s="2">
        <f>IFERROR(__xludf.DUMMYFUNCTION("""COMPUTED_VALUE"""),0.0)</f>
        <v>0</v>
      </c>
      <c r="M966" s="2">
        <f>IFERROR(__xludf.DUMMYFUNCTION("""COMPUTED_VALUE"""),19524.0)</f>
        <v>19524</v>
      </c>
      <c r="N966" s="2">
        <f>IFERROR(__xludf.DUMMYFUNCTION("""COMPUTED_VALUE"""),0.0)</f>
        <v>0</v>
      </c>
      <c r="O966" s="2">
        <f>IFERROR(__xludf.DUMMYFUNCTION("""COMPUTED_VALUE"""),19524.0)</f>
        <v>19524</v>
      </c>
      <c r="P966" s="2">
        <f>IFERROR(__xludf.DUMMYFUNCTION("""COMPUTED_VALUE"""),977.0)</f>
        <v>977</v>
      </c>
      <c r="Q966" s="2" t="str">
        <f>IFERROR(__xludf.DUMMYFUNCTION("""COMPUTED_VALUE"""),"Dine In")</f>
        <v>Dine In</v>
      </c>
      <c r="R966" s="2" t="str">
        <f>IFERROR(__xludf.DUMMYFUNCTION("""COMPUTED_VALUE"""),"Kedai")</f>
        <v>Kedai</v>
      </c>
      <c r="S966" s="2" t="str">
        <f>IFERROR(__xludf.DUMMYFUNCTION("""COMPUTED_VALUE"""),"Temu Roti")</f>
        <v>Temu Roti</v>
      </c>
      <c r="T966" s="2" t="str">
        <f>IFERROR(__xludf.DUMMYFUNCTION("""COMPUTED_VALUE"""),"Owner")</f>
        <v>Owner</v>
      </c>
      <c r="U966" s="2"/>
      <c r="V966" s="2"/>
      <c r="W966" s="2"/>
      <c r="X966" s="2" t="str">
        <f>IFERROR(__xludf.DUMMYFUNCTION("""COMPUTED_VALUE"""),"Closed")</f>
        <v>Closed</v>
      </c>
    </row>
    <row r="967">
      <c r="A967" s="3" t="s">
        <v>982</v>
      </c>
      <c r="B967" s="4">
        <f>IFERROR(__xludf.DUMMYFUNCTION("SPLIT(A967,"","",0,0)"),45546.71944444445)</f>
        <v>45546.71944</v>
      </c>
      <c r="C967" s="5">
        <f>IFERROR(__xludf.DUMMYFUNCTION("""COMPUTED_VALUE"""),2666669.0)</f>
        <v>2666669</v>
      </c>
      <c r="D967" s="2" t="str">
        <f>IFERROR(__xludf.DUMMYFUNCTION("""COMPUTED_VALUE"""),"Sale")</f>
        <v>Sale</v>
      </c>
      <c r="E967" s="2" t="str">
        <f>IFERROR(__xludf.DUMMYFUNCTION("""COMPUTED_VALUE"""),"Roti")</f>
        <v>Roti</v>
      </c>
      <c r="F967" s="2">
        <f>IFERROR(__xludf.DUMMYFUNCTION("""COMPUTED_VALUE"""),10002.0)</f>
        <v>10002</v>
      </c>
      <c r="G967" s="2" t="str">
        <f>IFERROR(__xludf.DUMMYFUNCTION("""COMPUTED_VALUE"""),"Roti Cranberry")</f>
        <v>Roti Cranberry</v>
      </c>
      <c r="H967" s="2"/>
      <c r="I967" s="2"/>
      <c r="J967" s="2">
        <f>IFERROR(__xludf.DUMMYFUNCTION("""COMPUTED_VALUE"""),1.0)</f>
        <v>1</v>
      </c>
      <c r="K967" s="6">
        <f>IFERROR(__xludf.DUMMYFUNCTION("""COMPUTED_VALUE"""),18571.0)</f>
        <v>18571</v>
      </c>
      <c r="L967" s="2">
        <f>IFERROR(__xludf.DUMMYFUNCTION("""COMPUTED_VALUE"""),0.0)</f>
        <v>0</v>
      </c>
      <c r="M967" s="2">
        <f>IFERROR(__xludf.DUMMYFUNCTION("""COMPUTED_VALUE"""),18571.0)</f>
        <v>18571</v>
      </c>
      <c r="N967" s="2">
        <f>IFERROR(__xludf.DUMMYFUNCTION("""COMPUTED_VALUE"""),0.0)</f>
        <v>0</v>
      </c>
      <c r="O967" s="2">
        <f>IFERROR(__xludf.DUMMYFUNCTION("""COMPUTED_VALUE"""),18571.0)</f>
        <v>18571</v>
      </c>
      <c r="P967" s="2">
        <f>IFERROR(__xludf.DUMMYFUNCTION("""COMPUTED_VALUE"""),929.0)</f>
        <v>929</v>
      </c>
      <c r="Q967" s="2" t="str">
        <f>IFERROR(__xludf.DUMMYFUNCTION("""COMPUTED_VALUE"""),"Dine In")</f>
        <v>Dine In</v>
      </c>
      <c r="R967" s="2" t="str">
        <f>IFERROR(__xludf.DUMMYFUNCTION("""COMPUTED_VALUE"""),"Kedai")</f>
        <v>Kedai</v>
      </c>
      <c r="S967" s="2" t="str">
        <f>IFERROR(__xludf.DUMMYFUNCTION("""COMPUTED_VALUE"""),"Temu Roti")</f>
        <v>Temu Roti</v>
      </c>
      <c r="T967" s="2" t="str">
        <f>IFERROR(__xludf.DUMMYFUNCTION("""COMPUTED_VALUE"""),"Owner")</f>
        <v>Owner</v>
      </c>
      <c r="U967" s="2"/>
      <c r="V967" s="2"/>
      <c r="W967" s="2"/>
      <c r="X967" s="2" t="str">
        <f>IFERROR(__xludf.DUMMYFUNCTION("""COMPUTED_VALUE"""),"Closed")</f>
        <v>Closed</v>
      </c>
    </row>
    <row r="968">
      <c r="A968" s="3" t="s">
        <v>983</v>
      </c>
      <c r="B968" s="4">
        <f>IFERROR(__xludf.DUMMYFUNCTION("SPLIT(A968,"","",0,0)"),45546.71944444445)</f>
        <v>45546.71944</v>
      </c>
      <c r="C968" s="5">
        <f>IFERROR(__xludf.DUMMYFUNCTION("""COMPUTED_VALUE"""),2666669.0)</f>
        <v>2666669</v>
      </c>
      <c r="D968" s="2" t="str">
        <f>IFERROR(__xludf.DUMMYFUNCTION("""COMPUTED_VALUE"""),"Sale")</f>
        <v>Sale</v>
      </c>
      <c r="E968" s="2" t="str">
        <f>IFERROR(__xludf.DUMMYFUNCTION("""COMPUTED_VALUE"""),"Roti")</f>
        <v>Roti</v>
      </c>
      <c r="F968" s="2">
        <f>IFERROR(__xludf.DUMMYFUNCTION("""COMPUTED_VALUE"""),10005.0)</f>
        <v>10005</v>
      </c>
      <c r="G968" s="2" t="str">
        <f>IFERROR(__xludf.DUMMYFUNCTION("""COMPUTED_VALUE"""),"Roti Gandum Cokelat")</f>
        <v>Roti Gandum Cokelat</v>
      </c>
      <c r="H968" s="2"/>
      <c r="I968" s="2"/>
      <c r="J968" s="2">
        <f>IFERROR(__xludf.DUMMYFUNCTION("""COMPUTED_VALUE"""),1.0)</f>
        <v>1</v>
      </c>
      <c r="K968" s="6">
        <f>IFERROR(__xludf.DUMMYFUNCTION("""COMPUTED_VALUE"""),19524.0)</f>
        <v>19524</v>
      </c>
      <c r="L968" s="2">
        <f>IFERROR(__xludf.DUMMYFUNCTION("""COMPUTED_VALUE"""),0.0)</f>
        <v>0</v>
      </c>
      <c r="M968" s="2">
        <f>IFERROR(__xludf.DUMMYFUNCTION("""COMPUTED_VALUE"""),19524.0)</f>
        <v>19524</v>
      </c>
      <c r="N968" s="2">
        <f>IFERROR(__xludf.DUMMYFUNCTION("""COMPUTED_VALUE"""),0.0)</f>
        <v>0</v>
      </c>
      <c r="O968" s="2">
        <f>IFERROR(__xludf.DUMMYFUNCTION("""COMPUTED_VALUE"""),19524.0)</f>
        <v>19524</v>
      </c>
      <c r="P968" s="2">
        <f>IFERROR(__xludf.DUMMYFUNCTION("""COMPUTED_VALUE"""),976.0)</f>
        <v>976</v>
      </c>
      <c r="Q968" s="2" t="str">
        <f>IFERROR(__xludf.DUMMYFUNCTION("""COMPUTED_VALUE"""),"Dine In")</f>
        <v>Dine In</v>
      </c>
      <c r="R968" s="2" t="str">
        <f>IFERROR(__xludf.DUMMYFUNCTION("""COMPUTED_VALUE"""),"Kedai")</f>
        <v>Kedai</v>
      </c>
      <c r="S968" s="2" t="str">
        <f>IFERROR(__xludf.DUMMYFUNCTION("""COMPUTED_VALUE"""),"Temu Roti")</f>
        <v>Temu Roti</v>
      </c>
      <c r="T968" s="2" t="str">
        <f>IFERROR(__xludf.DUMMYFUNCTION("""COMPUTED_VALUE"""),"Owner")</f>
        <v>Owner</v>
      </c>
      <c r="U968" s="2"/>
      <c r="V968" s="2"/>
      <c r="W968" s="2"/>
      <c r="X968" s="2" t="str">
        <f>IFERROR(__xludf.DUMMYFUNCTION("""COMPUTED_VALUE"""),"Closed")</f>
        <v>Closed</v>
      </c>
    </row>
    <row r="969">
      <c r="A969" s="3" t="s">
        <v>984</v>
      </c>
      <c r="B969" s="4">
        <f>IFERROR(__xludf.DUMMYFUNCTION("SPLIT(A969,"","",0,0)"),45546.71944444445)</f>
        <v>45546.71944</v>
      </c>
      <c r="C969" s="5">
        <f>IFERROR(__xludf.DUMMYFUNCTION("""COMPUTED_VALUE"""),2666303.0)</f>
        <v>2666303</v>
      </c>
      <c r="D969" s="2" t="str">
        <f>IFERROR(__xludf.DUMMYFUNCTION("""COMPUTED_VALUE"""),"Refund")</f>
        <v>Refund</v>
      </c>
      <c r="E969" s="2" t="str">
        <f>IFERROR(__xludf.DUMMYFUNCTION("""COMPUTED_VALUE"""),"Roti")</f>
        <v>Roti</v>
      </c>
      <c r="F969" s="2">
        <f>IFERROR(__xludf.DUMMYFUNCTION("""COMPUTED_VALUE"""),10005.0)</f>
        <v>10005</v>
      </c>
      <c r="G969" s="2" t="str">
        <f>IFERROR(__xludf.DUMMYFUNCTION("""COMPUTED_VALUE"""),"Roti Gandum Cokelat")</f>
        <v>Roti Gandum Cokelat</v>
      </c>
      <c r="H969" s="2"/>
      <c r="I969" s="2"/>
      <c r="J969" s="2">
        <f>IFERROR(__xludf.DUMMYFUNCTION("""COMPUTED_VALUE"""),-1.0)</f>
        <v>-1</v>
      </c>
      <c r="K969" s="6">
        <f>IFERROR(__xludf.DUMMYFUNCTION("""COMPUTED_VALUE"""),-19524.0)</f>
        <v>-19524</v>
      </c>
      <c r="L969" s="2">
        <f>IFERROR(__xludf.DUMMYFUNCTION("""COMPUTED_VALUE"""),0.0)</f>
        <v>0</v>
      </c>
      <c r="M969" s="2">
        <f>IFERROR(__xludf.DUMMYFUNCTION("""COMPUTED_VALUE"""),-19524.0)</f>
        <v>-19524</v>
      </c>
      <c r="N969" s="2">
        <f>IFERROR(__xludf.DUMMYFUNCTION("""COMPUTED_VALUE"""),0.0)</f>
        <v>0</v>
      </c>
      <c r="O969" s="2">
        <f>IFERROR(__xludf.DUMMYFUNCTION("""COMPUTED_VALUE"""),-19524.0)</f>
        <v>-19524</v>
      </c>
      <c r="P969" s="2">
        <f>IFERROR(__xludf.DUMMYFUNCTION("""COMPUTED_VALUE"""),-976.0)</f>
        <v>-976</v>
      </c>
      <c r="Q969" s="2" t="str">
        <f>IFERROR(__xludf.DUMMYFUNCTION("""COMPUTED_VALUE"""),"Dine In")</f>
        <v>Dine In</v>
      </c>
      <c r="R969" s="2" t="str">
        <f>IFERROR(__xludf.DUMMYFUNCTION("""COMPUTED_VALUE"""),"Kedai")</f>
        <v>Kedai</v>
      </c>
      <c r="S969" s="2" t="str">
        <f>IFERROR(__xludf.DUMMYFUNCTION("""COMPUTED_VALUE"""),"Temu Roti")</f>
        <v>Temu Roti</v>
      </c>
      <c r="T969" s="2" t="str">
        <f>IFERROR(__xludf.DUMMYFUNCTION("""COMPUTED_VALUE"""),"Owner")</f>
        <v>Owner</v>
      </c>
      <c r="U969" s="2"/>
      <c r="V969" s="2"/>
      <c r="W969" s="2"/>
      <c r="X969" s="2" t="str">
        <f>IFERROR(__xludf.DUMMYFUNCTION("""COMPUTED_VALUE"""),"Closed")</f>
        <v>Closed</v>
      </c>
    </row>
    <row r="970">
      <c r="A970" s="3" t="s">
        <v>985</v>
      </c>
      <c r="B970" s="4">
        <f>IFERROR(__xludf.DUMMYFUNCTION("SPLIT(A970,"","",0,0)"),45546.71944444445)</f>
        <v>45546.71944</v>
      </c>
      <c r="C970" s="5">
        <f>IFERROR(__xludf.DUMMYFUNCTION("""COMPUTED_VALUE"""),2666303.0)</f>
        <v>2666303</v>
      </c>
      <c r="D970" s="2" t="str">
        <f>IFERROR(__xludf.DUMMYFUNCTION("""COMPUTED_VALUE"""),"Refund")</f>
        <v>Refund</v>
      </c>
      <c r="E970" s="2" t="str">
        <f>IFERROR(__xludf.DUMMYFUNCTION("""COMPUTED_VALUE"""),"Roti")</f>
        <v>Roti</v>
      </c>
      <c r="F970" s="2">
        <f>IFERROR(__xludf.DUMMYFUNCTION("""COMPUTED_VALUE"""),10002.0)</f>
        <v>10002</v>
      </c>
      <c r="G970" s="2" t="str">
        <f>IFERROR(__xludf.DUMMYFUNCTION("""COMPUTED_VALUE"""),"Roti Cranberry")</f>
        <v>Roti Cranberry</v>
      </c>
      <c r="H970" s="2"/>
      <c r="I970" s="2"/>
      <c r="J970" s="2">
        <f>IFERROR(__xludf.DUMMYFUNCTION("""COMPUTED_VALUE"""),-1.0)</f>
        <v>-1</v>
      </c>
      <c r="K970" s="6">
        <f>IFERROR(__xludf.DUMMYFUNCTION("""COMPUTED_VALUE"""),-18571.0)</f>
        <v>-18571</v>
      </c>
      <c r="L970" s="2">
        <f>IFERROR(__xludf.DUMMYFUNCTION("""COMPUTED_VALUE"""),0.0)</f>
        <v>0</v>
      </c>
      <c r="M970" s="2">
        <f>IFERROR(__xludf.DUMMYFUNCTION("""COMPUTED_VALUE"""),-18571.0)</f>
        <v>-18571</v>
      </c>
      <c r="N970" s="2">
        <f>IFERROR(__xludf.DUMMYFUNCTION("""COMPUTED_VALUE"""),0.0)</f>
        <v>0</v>
      </c>
      <c r="O970" s="2">
        <f>IFERROR(__xludf.DUMMYFUNCTION("""COMPUTED_VALUE"""),-18571.0)</f>
        <v>-18571</v>
      </c>
      <c r="P970" s="2">
        <f>IFERROR(__xludf.DUMMYFUNCTION("""COMPUTED_VALUE"""),-929.0)</f>
        <v>-929</v>
      </c>
      <c r="Q970" s="2" t="str">
        <f>IFERROR(__xludf.DUMMYFUNCTION("""COMPUTED_VALUE"""),"Dine In")</f>
        <v>Dine In</v>
      </c>
      <c r="R970" s="2" t="str">
        <f>IFERROR(__xludf.DUMMYFUNCTION("""COMPUTED_VALUE"""),"Kedai")</f>
        <v>Kedai</v>
      </c>
      <c r="S970" s="2" t="str">
        <f>IFERROR(__xludf.DUMMYFUNCTION("""COMPUTED_VALUE"""),"Temu Roti")</f>
        <v>Temu Roti</v>
      </c>
      <c r="T970" s="2" t="str">
        <f>IFERROR(__xludf.DUMMYFUNCTION("""COMPUTED_VALUE"""),"Owner")</f>
        <v>Owner</v>
      </c>
      <c r="U970" s="2"/>
      <c r="V970" s="2"/>
      <c r="W970" s="2"/>
      <c r="X970" s="2" t="str">
        <f>IFERROR(__xludf.DUMMYFUNCTION("""COMPUTED_VALUE"""),"Closed")</f>
        <v>Closed</v>
      </c>
    </row>
    <row r="971">
      <c r="A971" s="3" t="s">
        <v>986</v>
      </c>
      <c r="B971" s="4">
        <f>IFERROR(__xludf.DUMMYFUNCTION("SPLIT(A971,"","",0,0)"),45546.717361111114)</f>
        <v>45546.71736</v>
      </c>
      <c r="C971" s="5">
        <f>IFERROR(__xludf.DUMMYFUNCTION("""COMPUTED_VALUE"""),2665938.0)</f>
        <v>2665938</v>
      </c>
      <c r="D971" s="2" t="str">
        <f>IFERROR(__xludf.DUMMYFUNCTION("""COMPUTED_VALUE"""),"Sale")</f>
        <v>Sale</v>
      </c>
      <c r="E971" s="2" t="str">
        <f>IFERROR(__xludf.DUMMYFUNCTION("""COMPUTED_VALUE"""),"Roti")</f>
        <v>Roti</v>
      </c>
      <c r="F971" s="2">
        <f>IFERROR(__xludf.DUMMYFUNCTION("""COMPUTED_VALUE"""),10005.0)</f>
        <v>10005</v>
      </c>
      <c r="G971" s="2" t="str">
        <f>IFERROR(__xludf.DUMMYFUNCTION("""COMPUTED_VALUE"""),"Roti Gandum Cokelat")</f>
        <v>Roti Gandum Cokelat</v>
      </c>
      <c r="H971" s="2"/>
      <c r="I971" s="2"/>
      <c r="J971" s="2">
        <f>IFERROR(__xludf.DUMMYFUNCTION("""COMPUTED_VALUE"""),1.0)</f>
        <v>1</v>
      </c>
      <c r="K971" s="6">
        <f>IFERROR(__xludf.DUMMYFUNCTION("""COMPUTED_VALUE"""),19524.0)</f>
        <v>19524</v>
      </c>
      <c r="L971" s="2">
        <f>IFERROR(__xludf.DUMMYFUNCTION("""COMPUTED_VALUE"""),0.0)</f>
        <v>0</v>
      </c>
      <c r="M971" s="2">
        <f>IFERROR(__xludf.DUMMYFUNCTION("""COMPUTED_VALUE"""),19524.0)</f>
        <v>19524</v>
      </c>
      <c r="N971" s="2">
        <f>IFERROR(__xludf.DUMMYFUNCTION("""COMPUTED_VALUE"""),0.0)</f>
        <v>0</v>
      </c>
      <c r="O971" s="2">
        <f>IFERROR(__xludf.DUMMYFUNCTION("""COMPUTED_VALUE"""),19524.0)</f>
        <v>19524</v>
      </c>
      <c r="P971" s="2">
        <f>IFERROR(__xludf.DUMMYFUNCTION("""COMPUTED_VALUE"""),976.0)</f>
        <v>976</v>
      </c>
      <c r="Q971" s="2" t="str">
        <f>IFERROR(__xludf.DUMMYFUNCTION("""COMPUTED_VALUE"""),"Dine In")</f>
        <v>Dine In</v>
      </c>
      <c r="R971" s="2" t="str">
        <f>IFERROR(__xludf.DUMMYFUNCTION("""COMPUTED_VALUE"""),"Kedai")</f>
        <v>Kedai</v>
      </c>
      <c r="S971" s="2" t="str">
        <f>IFERROR(__xludf.DUMMYFUNCTION("""COMPUTED_VALUE"""),"Temu Roti")</f>
        <v>Temu Roti</v>
      </c>
      <c r="T971" s="2" t="str">
        <f>IFERROR(__xludf.DUMMYFUNCTION("""COMPUTED_VALUE"""),"Owner")</f>
        <v>Owner</v>
      </c>
      <c r="U971" s="2"/>
      <c r="V971" s="2"/>
      <c r="W971" s="2"/>
      <c r="X971" s="2" t="str">
        <f>IFERROR(__xludf.DUMMYFUNCTION("""COMPUTED_VALUE"""),"Closed")</f>
        <v>Closed</v>
      </c>
    </row>
    <row r="972">
      <c r="A972" s="3" t="s">
        <v>987</v>
      </c>
      <c r="B972" s="4">
        <f>IFERROR(__xludf.DUMMYFUNCTION("SPLIT(A972,"","",0,0)"),45546.717361111114)</f>
        <v>45546.71736</v>
      </c>
      <c r="C972" s="5">
        <f>IFERROR(__xludf.DUMMYFUNCTION("""COMPUTED_VALUE"""),2665938.0)</f>
        <v>2665938</v>
      </c>
      <c r="D972" s="2" t="str">
        <f>IFERROR(__xludf.DUMMYFUNCTION("""COMPUTED_VALUE"""),"Sale")</f>
        <v>Sale</v>
      </c>
      <c r="E972" s="2" t="str">
        <f>IFERROR(__xludf.DUMMYFUNCTION("""COMPUTED_VALUE"""),"Roti")</f>
        <v>Roti</v>
      </c>
      <c r="F972" s="2">
        <f>IFERROR(__xludf.DUMMYFUNCTION("""COMPUTED_VALUE"""),10002.0)</f>
        <v>10002</v>
      </c>
      <c r="G972" s="2" t="str">
        <f>IFERROR(__xludf.DUMMYFUNCTION("""COMPUTED_VALUE"""),"Roti Cranberry")</f>
        <v>Roti Cranberry</v>
      </c>
      <c r="H972" s="2"/>
      <c r="I972" s="2"/>
      <c r="J972" s="2">
        <f>IFERROR(__xludf.DUMMYFUNCTION("""COMPUTED_VALUE"""),1.0)</f>
        <v>1</v>
      </c>
      <c r="K972" s="6">
        <f>IFERROR(__xludf.DUMMYFUNCTION("""COMPUTED_VALUE"""),18571.0)</f>
        <v>18571</v>
      </c>
      <c r="L972" s="2">
        <f>IFERROR(__xludf.DUMMYFUNCTION("""COMPUTED_VALUE"""),0.0)</f>
        <v>0</v>
      </c>
      <c r="M972" s="2">
        <f>IFERROR(__xludf.DUMMYFUNCTION("""COMPUTED_VALUE"""),18571.0)</f>
        <v>18571</v>
      </c>
      <c r="N972" s="2">
        <f>IFERROR(__xludf.DUMMYFUNCTION("""COMPUTED_VALUE"""),0.0)</f>
        <v>0</v>
      </c>
      <c r="O972" s="2">
        <f>IFERROR(__xludf.DUMMYFUNCTION("""COMPUTED_VALUE"""),18571.0)</f>
        <v>18571</v>
      </c>
      <c r="P972" s="2">
        <f>IFERROR(__xludf.DUMMYFUNCTION("""COMPUTED_VALUE"""),929.0)</f>
        <v>929</v>
      </c>
      <c r="Q972" s="2" t="str">
        <f>IFERROR(__xludf.DUMMYFUNCTION("""COMPUTED_VALUE"""),"Dine In")</f>
        <v>Dine In</v>
      </c>
      <c r="R972" s="2" t="str">
        <f>IFERROR(__xludf.DUMMYFUNCTION("""COMPUTED_VALUE"""),"Kedai")</f>
        <v>Kedai</v>
      </c>
      <c r="S972" s="2" t="str">
        <f>IFERROR(__xludf.DUMMYFUNCTION("""COMPUTED_VALUE"""),"Temu Roti")</f>
        <v>Temu Roti</v>
      </c>
      <c r="T972" s="2" t="str">
        <f>IFERROR(__xludf.DUMMYFUNCTION("""COMPUTED_VALUE"""),"Owner")</f>
        <v>Owner</v>
      </c>
      <c r="U972" s="2"/>
      <c r="V972" s="2"/>
      <c r="W972" s="2"/>
      <c r="X972" s="2" t="str">
        <f>IFERROR(__xludf.DUMMYFUNCTION("""COMPUTED_VALUE"""),"Closed")</f>
        <v>Closed</v>
      </c>
    </row>
    <row r="973">
      <c r="A973" s="3" t="s">
        <v>988</v>
      </c>
      <c r="B973" s="4">
        <f>IFERROR(__xludf.DUMMYFUNCTION("SPLIT(A973,"","",0,0)"),45546.71527777778)</f>
        <v>45546.71528</v>
      </c>
      <c r="C973" s="5">
        <f>IFERROR(__xludf.DUMMYFUNCTION("""COMPUTED_VALUE"""),2665573.0)</f>
        <v>2665573</v>
      </c>
      <c r="D973" s="2" t="str">
        <f>IFERROR(__xludf.DUMMYFUNCTION("""COMPUTED_VALUE"""),"Sale")</f>
        <v>Sale</v>
      </c>
      <c r="E973" s="2" t="str">
        <f>IFERROR(__xludf.DUMMYFUNCTION("""COMPUTED_VALUE"""),"Roti")</f>
        <v>Roti</v>
      </c>
      <c r="F973" s="2">
        <f>IFERROR(__xludf.DUMMYFUNCTION("""COMPUTED_VALUE"""),10002.0)</f>
        <v>10002</v>
      </c>
      <c r="G973" s="2" t="str">
        <f>IFERROR(__xludf.DUMMYFUNCTION("""COMPUTED_VALUE"""),"Roti Cranberry")</f>
        <v>Roti Cranberry</v>
      </c>
      <c r="H973" s="2"/>
      <c r="I973" s="2"/>
      <c r="J973" s="2">
        <f>IFERROR(__xludf.DUMMYFUNCTION("""COMPUTED_VALUE"""),1.0)</f>
        <v>1</v>
      </c>
      <c r="K973" s="6">
        <f>IFERROR(__xludf.DUMMYFUNCTION("""COMPUTED_VALUE"""),18571.0)</f>
        <v>18571</v>
      </c>
      <c r="L973" s="2">
        <f>IFERROR(__xludf.DUMMYFUNCTION("""COMPUTED_VALUE"""),0.0)</f>
        <v>0</v>
      </c>
      <c r="M973" s="2">
        <f>IFERROR(__xludf.DUMMYFUNCTION("""COMPUTED_VALUE"""),18571.0)</f>
        <v>18571</v>
      </c>
      <c r="N973" s="2">
        <f>IFERROR(__xludf.DUMMYFUNCTION("""COMPUTED_VALUE"""),0.0)</f>
        <v>0</v>
      </c>
      <c r="O973" s="2">
        <f>IFERROR(__xludf.DUMMYFUNCTION("""COMPUTED_VALUE"""),18571.0)</f>
        <v>18571</v>
      </c>
      <c r="P973" s="2">
        <f>IFERROR(__xludf.DUMMYFUNCTION("""COMPUTED_VALUE"""),929.0)</f>
        <v>929</v>
      </c>
      <c r="Q973" s="2" t="str">
        <f>IFERROR(__xludf.DUMMYFUNCTION("""COMPUTED_VALUE"""),"Dine In")</f>
        <v>Dine In</v>
      </c>
      <c r="R973" s="2" t="str">
        <f>IFERROR(__xludf.DUMMYFUNCTION("""COMPUTED_VALUE"""),"Kedai")</f>
        <v>Kedai</v>
      </c>
      <c r="S973" s="2" t="str">
        <f>IFERROR(__xludf.DUMMYFUNCTION("""COMPUTED_VALUE"""),"Temu Roti")</f>
        <v>Temu Roti</v>
      </c>
      <c r="T973" s="2" t="str">
        <f>IFERROR(__xludf.DUMMYFUNCTION("""COMPUTED_VALUE"""),"Owner")</f>
        <v>Owner</v>
      </c>
      <c r="U973" s="2"/>
      <c r="V973" s="2"/>
      <c r="W973" s="2"/>
      <c r="X973" s="2" t="str">
        <f>IFERROR(__xludf.DUMMYFUNCTION("""COMPUTED_VALUE"""),"Closed")</f>
        <v>Closed</v>
      </c>
    </row>
    <row r="974">
      <c r="A974" s="3" t="s">
        <v>989</v>
      </c>
      <c r="B974" s="4">
        <f>IFERROR(__xludf.DUMMYFUNCTION("SPLIT(A974,"","",0,0)"),45546.71527777778)</f>
        <v>45546.71528</v>
      </c>
      <c r="C974" s="5">
        <f>IFERROR(__xludf.DUMMYFUNCTION("""COMPUTED_VALUE"""),2665573.0)</f>
        <v>2665573</v>
      </c>
      <c r="D974" s="2" t="str">
        <f>IFERROR(__xludf.DUMMYFUNCTION("""COMPUTED_VALUE"""),"Sale")</f>
        <v>Sale</v>
      </c>
      <c r="E974" s="2" t="str">
        <f>IFERROR(__xludf.DUMMYFUNCTION("""COMPUTED_VALUE"""),"Roti")</f>
        <v>Roti</v>
      </c>
      <c r="F974" s="2">
        <f>IFERROR(__xludf.DUMMYFUNCTION("""COMPUTED_VALUE"""),10005.0)</f>
        <v>10005</v>
      </c>
      <c r="G974" s="2" t="str">
        <f>IFERROR(__xludf.DUMMYFUNCTION("""COMPUTED_VALUE"""),"Roti Gandum Cokelat")</f>
        <v>Roti Gandum Cokelat</v>
      </c>
      <c r="H974" s="2"/>
      <c r="I974" s="2"/>
      <c r="J974" s="2">
        <f>IFERROR(__xludf.DUMMYFUNCTION("""COMPUTED_VALUE"""),1.0)</f>
        <v>1</v>
      </c>
      <c r="K974" s="6">
        <f>IFERROR(__xludf.DUMMYFUNCTION("""COMPUTED_VALUE"""),19524.0)</f>
        <v>19524</v>
      </c>
      <c r="L974" s="2">
        <f>IFERROR(__xludf.DUMMYFUNCTION("""COMPUTED_VALUE"""),0.0)</f>
        <v>0</v>
      </c>
      <c r="M974" s="2">
        <f>IFERROR(__xludf.DUMMYFUNCTION("""COMPUTED_VALUE"""),19524.0)</f>
        <v>19524</v>
      </c>
      <c r="N974" s="2">
        <f>IFERROR(__xludf.DUMMYFUNCTION("""COMPUTED_VALUE"""),0.0)</f>
        <v>0</v>
      </c>
      <c r="O974" s="2">
        <f>IFERROR(__xludf.DUMMYFUNCTION("""COMPUTED_VALUE"""),19524.0)</f>
        <v>19524</v>
      </c>
      <c r="P974" s="2">
        <f>IFERROR(__xludf.DUMMYFUNCTION("""COMPUTED_VALUE"""),976.0)</f>
        <v>976</v>
      </c>
      <c r="Q974" s="2" t="str">
        <f>IFERROR(__xludf.DUMMYFUNCTION("""COMPUTED_VALUE"""),"Dine In")</f>
        <v>Dine In</v>
      </c>
      <c r="R974" s="2" t="str">
        <f>IFERROR(__xludf.DUMMYFUNCTION("""COMPUTED_VALUE"""),"Kedai")</f>
        <v>Kedai</v>
      </c>
      <c r="S974" s="2" t="str">
        <f>IFERROR(__xludf.DUMMYFUNCTION("""COMPUTED_VALUE"""),"Temu Roti")</f>
        <v>Temu Roti</v>
      </c>
      <c r="T974" s="2" t="str">
        <f>IFERROR(__xludf.DUMMYFUNCTION("""COMPUTED_VALUE"""),"Owner")</f>
        <v>Owner</v>
      </c>
      <c r="U974" s="2"/>
      <c r="V974" s="2"/>
      <c r="W974" s="2"/>
      <c r="X974" s="2" t="str">
        <f>IFERROR(__xludf.DUMMYFUNCTION("""COMPUTED_VALUE"""),"Closed")</f>
        <v>Closed</v>
      </c>
    </row>
    <row r="975">
      <c r="A975" s="3" t="s">
        <v>990</v>
      </c>
      <c r="B975" s="4">
        <f>IFERROR(__xludf.DUMMYFUNCTION("SPLIT(A975,"","",0,0)"),45546.680555555555)</f>
        <v>45546.68056</v>
      </c>
      <c r="C975" s="5">
        <f>IFERROR(__xludf.DUMMYFUNCTION("""COMPUTED_VALUE"""),2665208.0)</f>
        <v>2665208</v>
      </c>
      <c r="D975" s="2" t="str">
        <f>IFERROR(__xludf.DUMMYFUNCTION("""COMPUTED_VALUE"""),"Sale")</f>
        <v>Sale</v>
      </c>
      <c r="E975" s="2" t="str">
        <f>IFERROR(__xludf.DUMMYFUNCTION("""COMPUTED_VALUE"""),"Minuman")</f>
        <v>Minuman</v>
      </c>
      <c r="F975" s="2">
        <f>IFERROR(__xludf.DUMMYFUNCTION("""COMPUTED_VALUE"""),10128.0)</f>
        <v>10128</v>
      </c>
      <c r="G975" s="2" t="str">
        <f>IFERROR(__xludf.DUMMYFUNCTION("""COMPUTED_VALUE"""),"Es Kopi Susu")</f>
        <v>Es Kopi Susu</v>
      </c>
      <c r="H975" s="2"/>
      <c r="I975" s="2"/>
      <c r="J975" s="2">
        <f>IFERROR(__xludf.DUMMYFUNCTION("""COMPUTED_VALUE"""),1.0)</f>
        <v>1</v>
      </c>
      <c r="K975" s="6">
        <f>IFERROR(__xludf.DUMMYFUNCTION("""COMPUTED_VALUE"""),23333.0)</f>
        <v>23333</v>
      </c>
      <c r="L975" s="2">
        <f>IFERROR(__xludf.DUMMYFUNCTION("""COMPUTED_VALUE"""),0.0)</f>
        <v>0</v>
      </c>
      <c r="M975" s="2">
        <f>IFERROR(__xludf.DUMMYFUNCTION("""COMPUTED_VALUE"""),23333.0)</f>
        <v>23333</v>
      </c>
      <c r="N975" s="2">
        <f>IFERROR(__xludf.DUMMYFUNCTION("""COMPUTED_VALUE"""),0.0)</f>
        <v>0</v>
      </c>
      <c r="O975" s="2">
        <f>IFERROR(__xludf.DUMMYFUNCTION("""COMPUTED_VALUE"""),23333.0)</f>
        <v>23333</v>
      </c>
      <c r="P975" s="2">
        <f>IFERROR(__xludf.DUMMYFUNCTION("""COMPUTED_VALUE"""),1167.0)</f>
        <v>1167</v>
      </c>
      <c r="Q975" s="2" t="str">
        <f>IFERROR(__xludf.DUMMYFUNCTION("""COMPUTED_VALUE"""),"Dine In")</f>
        <v>Dine In</v>
      </c>
      <c r="R975" s="2" t="str">
        <f>IFERROR(__xludf.DUMMYFUNCTION("""COMPUTED_VALUE"""),"Kedai")</f>
        <v>Kedai</v>
      </c>
      <c r="S975" s="2" t="str">
        <f>IFERROR(__xludf.DUMMYFUNCTION("""COMPUTED_VALUE"""),"Temu Roti")</f>
        <v>Temu Roti</v>
      </c>
      <c r="T975" s="2" t="str">
        <f>IFERROR(__xludf.DUMMYFUNCTION("""COMPUTED_VALUE"""),"Owner")</f>
        <v>Owner</v>
      </c>
      <c r="U975" s="2"/>
      <c r="V975" s="2"/>
      <c r="W975" s="2"/>
      <c r="X975" s="2" t="str">
        <f>IFERROR(__xludf.DUMMYFUNCTION("""COMPUTED_VALUE"""),"Closed")</f>
        <v>Closed</v>
      </c>
    </row>
    <row r="976">
      <c r="A976" s="3" t="s">
        <v>991</v>
      </c>
      <c r="B976" s="4">
        <f>IFERROR(__xludf.DUMMYFUNCTION("SPLIT(A976,"","",0,0)"),45546.643055555556)</f>
        <v>45546.64306</v>
      </c>
      <c r="C976" s="5">
        <f>IFERROR(__xludf.DUMMYFUNCTION("""COMPUTED_VALUE"""),2664842.0)</f>
        <v>2664842</v>
      </c>
      <c r="D976" s="2" t="str">
        <f>IFERROR(__xludf.DUMMYFUNCTION("""COMPUTED_VALUE"""),"Sale")</f>
        <v>Sale</v>
      </c>
      <c r="E976" s="2" t="str">
        <f>IFERROR(__xludf.DUMMYFUNCTION("""COMPUTED_VALUE"""),"Roti")</f>
        <v>Roti</v>
      </c>
      <c r="F976" s="2">
        <f>IFERROR(__xludf.DUMMYFUNCTION("""COMPUTED_VALUE"""),10007.0)</f>
        <v>10007</v>
      </c>
      <c r="G976" s="2" t="str">
        <f>IFERROR(__xludf.DUMMYFUNCTION("""COMPUTED_VALUE"""),"Roti cranberry 2 pcs")</f>
        <v>Roti cranberry 2 pcs</v>
      </c>
      <c r="H976" s="2"/>
      <c r="I976" s="2"/>
      <c r="J976" s="2">
        <f>IFERROR(__xludf.DUMMYFUNCTION("""COMPUTED_VALUE"""),1.0)</f>
        <v>1</v>
      </c>
      <c r="K976" s="6">
        <f>IFERROR(__xludf.DUMMYFUNCTION("""COMPUTED_VALUE"""),33810.0)</f>
        <v>33810</v>
      </c>
      <c r="L976" s="2">
        <f>IFERROR(__xludf.DUMMYFUNCTION("""COMPUTED_VALUE"""),0.0)</f>
        <v>0</v>
      </c>
      <c r="M976" s="2">
        <f>IFERROR(__xludf.DUMMYFUNCTION("""COMPUTED_VALUE"""),33810.0)</f>
        <v>33810</v>
      </c>
      <c r="N976" s="2">
        <f>IFERROR(__xludf.DUMMYFUNCTION("""COMPUTED_VALUE"""),0.0)</f>
        <v>0</v>
      </c>
      <c r="O976" s="2">
        <f>IFERROR(__xludf.DUMMYFUNCTION("""COMPUTED_VALUE"""),33810.0)</f>
        <v>33810</v>
      </c>
      <c r="P976" s="2">
        <f>IFERROR(__xludf.DUMMYFUNCTION("""COMPUTED_VALUE"""),1691.0)</f>
        <v>1691</v>
      </c>
      <c r="Q976" s="2" t="str">
        <f>IFERROR(__xludf.DUMMYFUNCTION("""COMPUTED_VALUE"""),"Dine In")</f>
        <v>Dine In</v>
      </c>
      <c r="R976" s="2" t="str">
        <f>IFERROR(__xludf.DUMMYFUNCTION("""COMPUTED_VALUE"""),"Kedai")</f>
        <v>Kedai</v>
      </c>
      <c r="S976" s="2" t="str">
        <f>IFERROR(__xludf.DUMMYFUNCTION("""COMPUTED_VALUE"""),"Temu Roti")</f>
        <v>Temu Roti</v>
      </c>
      <c r="T976" s="2" t="str">
        <f>IFERROR(__xludf.DUMMYFUNCTION("""COMPUTED_VALUE"""),"Owner")</f>
        <v>Owner</v>
      </c>
      <c r="U976" s="2"/>
      <c r="V976" s="2"/>
      <c r="W976" s="2"/>
      <c r="X976" s="2" t="str">
        <f>IFERROR(__xludf.DUMMYFUNCTION("""COMPUTED_VALUE"""),"Closed")</f>
        <v>Closed</v>
      </c>
    </row>
    <row r="977">
      <c r="A977" s="3" t="s">
        <v>992</v>
      </c>
      <c r="B977" s="4">
        <f>IFERROR(__xludf.DUMMYFUNCTION("SPLIT(A977,"","",0,0)"),45546.643055555556)</f>
        <v>45546.64306</v>
      </c>
      <c r="C977" s="5">
        <f>IFERROR(__xludf.DUMMYFUNCTION("""COMPUTED_VALUE"""),2664842.0)</f>
        <v>2664842</v>
      </c>
      <c r="D977" s="2" t="str">
        <f>IFERROR(__xludf.DUMMYFUNCTION("""COMPUTED_VALUE"""),"Sale")</f>
        <v>Sale</v>
      </c>
      <c r="E977" s="2" t="str">
        <f>IFERROR(__xludf.DUMMYFUNCTION("""COMPUTED_VALUE"""),"Roti")</f>
        <v>Roti</v>
      </c>
      <c r="F977" s="2">
        <f>IFERROR(__xludf.DUMMYFUNCTION("""COMPUTED_VALUE"""),10055.0)</f>
        <v>10055</v>
      </c>
      <c r="G977" s="2" t="str">
        <f>IFERROR(__xludf.DUMMYFUNCTION("""COMPUTED_VALUE"""),"Roti Gandum Cokelat 2 pcs")</f>
        <v>Roti Gandum Cokelat 2 pcs</v>
      </c>
      <c r="H977" s="2"/>
      <c r="I977" s="2"/>
      <c r="J977" s="2">
        <f>IFERROR(__xludf.DUMMYFUNCTION("""COMPUTED_VALUE"""),1.0)</f>
        <v>1</v>
      </c>
      <c r="K977" s="6">
        <f>IFERROR(__xludf.DUMMYFUNCTION("""COMPUTED_VALUE"""),34762.0)</f>
        <v>34762</v>
      </c>
      <c r="L977" s="2">
        <f>IFERROR(__xludf.DUMMYFUNCTION("""COMPUTED_VALUE"""),0.0)</f>
        <v>0</v>
      </c>
      <c r="M977" s="2">
        <f>IFERROR(__xludf.DUMMYFUNCTION("""COMPUTED_VALUE"""),34762.0)</f>
        <v>34762</v>
      </c>
      <c r="N977" s="2">
        <f>IFERROR(__xludf.DUMMYFUNCTION("""COMPUTED_VALUE"""),0.0)</f>
        <v>0</v>
      </c>
      <c r="O977" s="2">
        <f>IFERROR(__xludf.DUMMYFUNCTION("""COMPUTED_VALUE"""),34762.0)</f>
        <v>34762</v>
      </c>
      <c r="P977" s="2">
        <f>IFERROR(__xludf.DUMMYFUNCTION("""COMPUTED_VALUE"""),1738.0)</f>
        <v>1738</v>
      </c>
      <c r="Q977" s="2" t="str">
        <f>IFERROR(__xludf.DUMMYFUNCTION("""COMPUTED_VALUE"""),"Dine In")</f>
        <v>Dine In</v>
      </c>
      <c r="R977" s="2" t="str">
        <f>IFERROR(__xludf.DUMMYFUNCTION("""COMPUTED_VALUE"""),"Kedai")</f>
        <v>Kedai</v>
      </c>
      <c r="S977" s="2" t="str">
        <f>IFERROR(__xludf.DUMMYFUNCTION("""COMPUTED_VALUE"""),"Temu Roti")</f>
        <v>Temu Roti</v>
      </c>
      <c r="T977" s="2" t="str">
        <f>IFERROR(__xludf.DUMMYFUNCTION("""COMPUTED_VALUE"""),"Owner")</f>
        <v>Owner</v>
      </c>
      <c r="U977" s="2"/>
      <c r="V977" s="2"/>
      <c r="W977" s="2"/>
      <c r="X977" s="2" t="str">
        <f>IFERROR(__xludf.DUMMYFUNCTION("""COMPUTED_VALUE"""),"Closed")</f>
        <v>Closed</v>
      </c>
    </row>
    <row r="978">
      <c r="A978" s="3" t="s">
        <v>993</v>
      </c>
      <c r="B978" s="4">
        <f>IFERROR(__xludf.DUMMYFUNCTION("SPLIT(A978,"","",0,0)"),45546.540972222225)</f>
        <v>45546.54097</v>
      </c>
      <c r="C978" s="5">
        <f>IFERROR(__xludf.DUMMYFUNCTION("""COMPUTED_VALUE"""),2664477.0)</f>
        <v>2664477</v>
      </c>
      <c r="D978" s="2" t="str">
        <f>IFERROR(__xludf.DUMMYFUNCTION("""COMPUTED_VALUE"""),"Sale")</f>
        <v>Sale</v>
      </c>
      <c r="E978" s="2" t="str">
        <f>IFERROR(__xludf.DUMMYFUNCTION("""COMPUTED_VALUE"""),"Roti")</f>
        <v>Roti</v>
      </c>
      <c r="F978" s="2">
        <f>IFERROR(__xludf.DUMMYFUNCTION("""COMPUTED_VALUE"""),10007.0)</f>
        <v>10007</v>
      </c>
      <c r="G978" s="2" t="str">
        <f>IFERROR(__xludf.DUMMYFUNCTION("""COMPUTED_VALUE"""),"Roti cranberry 2 pcs")</f>
        <v>Roti cranberry 2 pcs</v>
      </c>
      <c r="H978" s="2"/>
      <c r="I978" s="2"/>
      <c r="J978" s="2">
        <f>IFERROR(__xludf.DUMMYFUNCTION("""COMPUTED_VALUE"""),1.0)</f>
        <v>1</v>
      </c>
      <c r="K978" s="6">
        <f>IFERROR(__xludf.DUMMYFUNCTION("""COMPUTED_VALUE"""),33810.0)</f>
        <v>33810</v>
      </c>
      <c r="L978" s="2">
        <f>IFERROR(__xludf.DUMMYFUNCTION("""COMPUTED_VALUE"""),0.0)</f>
        <v>0</v>
      </c>
      <c r="M978" s="2">
        <f>IFERROR(__xludf.DUMMYFUNCTION("""COMPUTED_VALUE"""),33810.0)</f>
        <v>33810</v>
      </c>
      <c r="N978" s="2">
        <f>IFERROR(__xludf.DUMMYFUNCTION("""COMPUTED_VALUE"""),0.0)</f>
        <v>0</v>
      </c>
      <c r="O978" s="2">
        <f>IFERROR(__xludf.DUMMYFUNCTION("""COMPUTED_VALUE"""),33810.0)</f>
        <v>33810</v>
      </c>
      <c r="P978" s="2">
        <f>IFERROR(__xludf.DUMMYFUNCTION("""COMPUTED_VALUE"""),1691.0)</f>
        <v>1691</v>
      </c>
      <c r="Q978" s="2" t="str">
        <f>IFERROR(__xludf.DUMMYFUNCTION("""COMPUTED_VALUE"""),"Dine In")</f>
        <v>Dine In</v>
      </c>
      <c r="R978" s="2" t="str">
        <f>IFERROR(__xludf.DUMMYFUNCTION("""COMPUTED_VALUE"""),"Kedai")</f>
        <v>Kedai</v>
      </c>
      <c r="S978" s="2" t="str">
        <f>IFERROR(__xludf.DUMMYFUNCTION("""COMPUTED_VALUE"""),"Temu Roti")</f>
        <v>Temu Roti</v>
      </c>
      <c r="T978" s="2" t="str">
        <f>IFERROR(__xludf.DUMMYFUNCTION("""COMPUTED_VALUE"""),"Owner")</f>
        <v>Owner</v>
      </c>
      <c r="U978" s="2"/>
      <c r="V978" s="2"/>
      <c r="W978" s="2"/>
      <c r="X978" s="2" t="str">
        <f>IFERROR(__xludf.DUMMYFUNCTION("""COMPUTED_VALUE"""),"Closed")</f>
        <v>Closed</v>
      </c>
    </row>
    <row r="979">
      <c r="A979" s="3" t="s">
        <v>994</v>
      </c>
      <c r="B979" s="4">
        <f>IFERROR(__xludf.DUMMYFUNCTION("SPLIT(A979,"","",0,0)"),45546.459027777775)</f>
        <v>45546.45903</v>
      </c>
      <c r="C979" s="5">
        <f>IFERROR(__xludf.DUMMYFUNCTION("""COMPUTED_VALUE"""),2664112.0)</f>
        <v>2664112</v>
      </c>
      <c r="D979" s="2" t="str">
        <f>IFERROR(__xludf.DUMMYFUNCTION("""COMPUTED_VALUE"""),"Sale")</f>
        <v>Sale</v>
      </c>
      <c r="E979" s="2" t="str">
        <f>IFERROR(__xludf.DUMMYFUNCTION("""COMPUTED_VALUE"""),"Roti")</f>
        <v>Roti</v>
      </c>
      <c r="F979" s="2">
        <f>IFERROR(__xludf.DUMMYFUNCTION("""COMPUTED_VALUE"""),10002.0)</f>
        <v>10002</v>
      </c>
      <c r="G979" s="2" t="str">
        <f>IFERROR(__xludf.DUMMYFUNCTION("""COMPUTED_VALUE"""),"Roti Cranberry")</f>
        <v>Roti Cranberry</v>
      </c>
      <c r="H979" s="2"/>
      <c r="I979" s="2"/>
      <c r="J979" s="2">
        <f>IFERROR(__xludf.DUMMYFUNCTION("""COMPUTED_VALUE"""),1.0)</f>
        <v>1</v>
      </c>
      <c r="K979" s="6">
        <f>IFERROR(__xludf.DUMMYFUNCTION("""COMPUTED_VALUE"""),18571.0)</f>
        <v>18571</v>
      </c>
      <c r="L979" s="2">
        <f>IFERROR(__xludf.DUMMYFUNCTION("""COMPUTED_VALUE"""),0.0)</f>
        <v>0</v>
      </c>
      <c r="M979" s="2">
        <f>IFERROR(__xludf.DUMMYFUNCTION("""COMPUTED_VALUE"""),18571.0)</f>
        <v>18571</v>
      </c>
      <c r="N979" s="2">
        <f>IFERROR(__xludf.DUMMYFUNCTION("""COMPUTED_VALUE"""),0.0)</f>
        <v>0</v>
      </c>
      <c r="O979" s="2">
        <f>IFERROR(__xludf.DUMMYFUNCTION("""COMPUTED_VALUE"""),18571.0)</f>
        <v>18571</v>
      </c>
      <c r="P979" s="2">
        <f>IFERROR(__xludf.DUMMYFUNCTION("""COMPUTED_VALUE"""),929.0)</f>
        <v>929</v>
      </c>
      <c r="Q979" s="2" t="str">
        <f>IFERROR(__xludf.DUMMYFUNCTION("""COMPUTED_VALUE"""),"Dine In")</f>
        <v>Dine In</v>
      </c>
      <c r="R979" s="2" t="str">
        <f>IFERROR(__xludf.DUMMYFUNCTION("""COMPUTED_VALUE"""),"Kedai")</f>
        <v>Kedai</v>
      </c>
      <c r="S979" s="2" t="str">
        <f>IFERROR(__xludf.DUMMYFUNCTION("""COMPUTED_VALUE"""),"Temu Roti")</f>
        <v>Temu Roti</v>
      </c>
      <c r="T979" s="2" t="str">
        <f>IFERROR(__xludf.DUMMYFUNCTION("""COMPUTED_VALUE"""),"Owner")</f>
        <v>Owner</v>
      </c>
      <c r="U979" s="2"/>
      <c r="V979" s="2"/>
      <c r="W979" s="2"/>
      <c r="X979" s="2" t="str">
        <f>IFERROR(__xludf.DUMMYFUNCTION("""COMPUTED_VALUE"""),"Closed")</f>
        <v>Closed</v>
      </c>
    </row>
    <row r="980">
      <c r="A980" s="3" t="s">
        <v>995</v>
      </c>
      <c r="B980" s="4">
        <f>IFERROR(__xludf.DUMMYFUNCTION("SPLIT(A980,"","",0,0)"),45545.83472222222)</f>
        <v>45545.83472</v>
      </c>
      <c r="C980" s="5">
        <f>IFERROR(__xludf.DUMMYFUNCTION("""COMPUTED_VALUE"""),2663747.0)</f>
        <v>2663747</v>
      </c>
      <c r="D980" s="2" t="str">
        <f>IFERROR(__xludf.DUMMYFUNCTION("""COMPUTED_VALUE"""),"Sale")</f>
        <v>Sale</v>
      </c>
      <c r="E980" s="2" t="str">
        <f>IFERROR(__xludf.DUMMYFUNCTION("""COMPUTED_VALUE"""),"Minuman")</f>
        <v>Minuman</v>
      </c>
      <c r="F980" s="2">
        <f>IFERROR(__xludf.DUMMYFUNCTION("""COMPUTED_VALUE"""),10122.0)</f>
        <v>10122</v>
      </c>
      <c r="G980" s="2" t="str">
        <f>IFERROR(__xludf.DUMMYFUNCTION("""COMPUTED_VALUE"""),"Rempah Madu Panas")</f>
        <v>Rempah Madu Panas</v>
      </c>
      <c r="H980" s="2"/>
      <c r="I980" s="2"/>
      <c r="J980" s="2">
        <f>IFERROR(__xludf.DUMMYFUNCTION("""COMPUTED_VALUE"""),1.0)</f>
        <v>1</v>
      </c>
      <c r="K980" s="6">
        <f>IFERROR(__xludf.DUMMYFUNCTION("""COMPUTED_VALUE"""),21905.0)</f>
        <v>21905</v>
      </c>
      <c r="L980" s="2">
        <f>IFERROR(__xludf.DUMMYFUNCTION("""COMPUTED_VALUE"""),0.0)</f>
        <v>0</v>
      </c>
      <c r="M980" s="2">
        <f>IFERROR(__xludf.DUMMYFUNCTION("""COMPUTED_VALUE"""),21905.0)</f>
        <v>21905</v>
      </c>
      <c r="N980" s="2">
        <f>IFERROR(__xludf.DUMMYFUNCTION("""COMPUTED_VALUE"""),0.0)</f>
        <v>0</v>
      </c>
      <c r="O980" s="2">
        <f>IFERROR(__xludf.DUMMYFUNCTION("""COMPUTED_VALUE"""),21905.0)</f>
        <v>21905</v>
      </c>
      <c r="P980" s="2">
        <f>IFERROR(__xludf.DUMMYFUNCTION("""COMPUTED_VALUE"""),1095.0)</f>
        <v>1095</v>
      </c>
      <c r="Q980" s="2" t="str">
        <f>IFERROR(__xludf.DUMMYFUNCTION("""COMPUTED_VALUE"""),"Dine In")</f>
        <v>Dine In</v>
      </c>
      <c r="R980" s="2" t="str">
        <f>IFERROR(__xludf.DUMMYFUNCTION("""COMPUTED_VALUE"""),"Kedai")</f>
        <v>Kedai</v>
      </c>
      <c r="S980" s="2" t="str">
        <f>IFERROR(__xludf.DUMMYFUNCTION("""COMPUTED_VALUE"""),"Temu Roti")</f>
        <v>Temu Roti</v>
      </c>
      <c r="T980" s="2" t="str">
        <f>IFERROR(__xludf.DUMMYFUNCTION("""COMPUTED_VALUE"""),"Owner")</f>
        <v>Owner</v>
      </c>
      <c r="U980" s="2"/>
      <c r="V980" s="2"/>
      <c r="W980" s="2"/>
      <c r="X980" s="2" t="str">
        <f>IFERROR(__xludf.DUMMYFUNCTION("""COMPUTED_VALUE"""),"Closed")</f>
        <v>Closed</v>
      </c>
    </row>
    <row r="981">
      <c r="A981" s="3" t="s">
        <v>996</v>
      </c>
      <c r="B981" s="4">
        <f>IFERROR(__xludf.DUMMYFUNCTION("SPLIT(A981,"","",0,0)"),45545.80625)</f>
        <v>45545.80625</v>
      </c>
      <c r="C981" s="5">
        <f>IFERROR(__xludf.DUMMYFUNCTION("""COMPUTED_VALUE"""),2663381.0)</f>
        <v>2663381</v>
      </c>
      <c r="D981" s="2" t="str">
        <f>IFERROR(__xludf.DUMMYFUNCTION("""COMPUTED_VALUE"""),"Sale")</f>
        <v>Sale</v>
      </c>
      <c r="E981" s="2" t="str">
        <f>IFERROR(__xludf.DUMMYFUNCTION("""COMPUTED_VALUE"""),"Kudapan")</f>
        <v>Kudapan</v>
      </c>
      <c r="F981" s="2">
        <f>IFERROR(__xludf.DUMMYFUNCTION("""COMPUTED_VALUE"""),10011.0)</f>
        <v>10011</v>
      </c>
      <c r="G981" s="2" t="str">
        <f>IFERROR(__xludf.DUMMYFUNCTION("""COMPUTED_VALUE"""),"Kentang Goreng")</f>
        <v>Kentang Goreng</v>
      </c>
      <c r="H981" s="2"/>
      <c r="I981" s="2"/>
      <c r="J981" s="2">
        <f>IFERROR(__xludf.DUMMYFUNCTION("""COMPUTED_VALUE"""),1.0)</f>
        <v>1</v>
      </c>
      <c r="K981" s="6">
        <f>IFERROR(__xludf.DUMMYFUNCTION("""COMPUTED_VALUE"""),25238.0)</f>
        <v>25238</v>
      </c>
      <c r="L981" s="2">
        <f>IFERROR(__xludf.DUMMYFUNCTION("""COMPUTED_VALUE"""),0.0)</f>
        <v>0</v>
      </c>
      <c r="M981" s="2">
        <f>IFERROR(__xludf.DUMMYFUNCTION("""COMPUTED_VALUE"""),25238.0)</f>
        <v>25238</v>
      </c>
      <c r="N981" s="2">
        <f>IFERROR(__xludf.DUMMYFUNCTION("""COMPUTED_VALUE"""),0.0)</f>
        <v>0</v>
      </c>
      <c r="O981" s="2">
        <f>IFERROR(__xludf.DUMMYFUNCTION("""COMPUTED_VALUE"""),25238.0)</f>
        <v>25238</v>
      </c>
      <c r="P981" s="2">
        <f>IFERROR(__xludf.DUMMYFUNCTION("""COMPUTED_VALUE"""),1262.0)</f>
        <v>1262</v>
      </c>
      <c r="Q981" s="2" t="str">
        <f>IFERROR(__xludf.DUMMYFUNCTION("""COMPUTED_VALUE"""),"Dine In")</f>
        <v>Dine In</v>
      </c>
      <c r="R981" s="2" t="str">
        <f>IFERROR(__xludf.DUMMYFUNCTION("""COMPUTED_VALUE"""),"Kedai")</f>
        <v>Kedai</v>
      </c>
      <c r="S981" s="2" t="str">
        <f>IFERROR(__xludf.DUMMYFUNCTION("""COMPUTED_VALUE"""),"Temu Roti")</f>
        <v>Temu Roti</v>
      </c>
      <c r="T981" s="2" t="str">
        <f>IFERROR(__xludf.DUMMYFUNCTION("""COMPUTED_VALUE"""),"Owner")</f>
        <v>Owner</v>
      </c>
      <c r="U981" s="2"/>
      <c r="V981" s="2"/>
      <c r="W981" s="2"/>
      <c r="X981" s="2" t="str">
        <f>IFERROR(__xludf.DUMMYFUNCTION("""COMPUTED_VALUE"""),"Closed")</f>
        <v>Closed</v>
      </c>
    </row>
    <row r="982">
      <c r="A982" s="3" t="s">
        <v>997</v>
      </c>
      <c r="B982" s="4">
        <f>IFERROR(__xludf.DUMMYFUNCTION("SPLIT(A982,"","",0,0)"),45545.80625)</f>
        <v>45545.80625</v>
      </c>
      <c r="C982" s="5">
        <f>IFERROR(__xludf.DUMMYFUNCTION("""COMPUTED_VALUE"""),2663381.0)</f>
        <v>2663381</v>
      </c>
      <c r="D982" s="2" t="str">
        <f>IFERROR(__xludf.DUMMYFUNCTION("""COMPUTED_VALUE"""),"Sale")</f>
        <v>Sale</v>
      </c>
      <c r="E982" s="2" t="str">
        <f>IFERROR(__xludf.DUMMYFUNCTION("""COMPUTED_VALUE"""),"Kudapan")</f>
        <v>Kudapan</v>
      </c>
      <c r="F982" s="2">
        <f>IFERROR(__xludf.DUMMYFUNCTION("""COMPUTED_VALUE"""),10014.0)</f>
        <v>10014</v>
      </c>
      <c r="G982" s="2" t="str">
        <f>IFERROR(__xludf.DUMMYFUNCTION("""COMPUTED_VALUE"""),"Tempe Mendoan")</f>
        <v>Tempe Mendoan</v>
      </c>
      <c r="H982" s="2"/>
      <c r="I982" s="2"/>
      <c r="J982" s="2">
        <f>IFERROR(__xludf.DUMMYFUNCTION("""COMPUTED_VALUE"""),1.0)</f>
        <v>1</v>
      </c>
      <c r="K982" s="6">
        <f>IFERROR(__xludf.DUMMYFUNCTION("""COMPUTED_VALUE"""),25238.0)</f>
        <v>25238</v>
      </c>
      <c r="L982" s="2">
        <f>IFERROR(__xludf.DUMMYFUNCTION("""COMPUTED_VALUE"""),0.0)</f>
        <v>0</v>
      </c>
      <c r="M982" s="2">
        <f>IFERROR(__xludf.DUMMYFUNCTION("""COMPUTED_VALUE"""),25238.0)</f>
        <v>25238</v>
      </c>
      <c r="N982" s="2">
        <f>IFERROR(__xludf.DUMMYFUNCTION("""COMPUTED_VALUE"""),0.0)</f>
        <v>0</v>
      </c>
      <c r="O982" s="2">
        <f>IFERROR(__xludf.DUMMYFUNCTION("""COMPUTED_VALUE"""),25238.0)</f>
        <v>25238</v>
      </c>
      <c r="P982" s="2">
        <f>IFERROR(__xludf.DUMMYFUNCTION("""COMPUTED_VALUE"""),1262.0)</f>
        <v>1262</v>
      </c>
      <c r="Q982" s="2" t="str">
        <f>IFERROR(__xludf.DUMMYFUNCTION("""COMPUTED_VALUE"""),"Dine In")</f>
        <v>Dine In</v>
      </c>
      <c r="R982" s="2" t="str">
        <f>IFERROR(__xludf.DUMMYFUNCTION("""COMPUTED_VALUE"""),"Kedai")</f>
        <v>Kedai</v>
      </c>
      <c r="S982" s="2" t="str">
        <f>IFERROR(__xludf.DUMMYFUNCTION("""COMPUTED_VALUE"""),"Temu Roti")</f>
        <v>Temu Roti</v>
      </c>
      <c r="T982" s="2" t="str">
        <f>IFERROR(__xludf.DUMMYFUNCTION("""COMPUTED_VALUE"""),"Owner")</f>
        <v>Owner</v>
      </c>
      <c r="U982" s="2"/>
      <c r="V982" s="2"/>
      <c r="W982" s="2"/>
      <c r="X982" s="2" t="str">
        <f>IFERROR(__xludf.DUMMYFUNCTION("""COMPUTED_VALUE"""),"Closed")</f>
        <v>Closed</v>
      </c>
    </row>
    <row r="983">
      <c r="A983" s="3" t="s">
        <v>998</v>
      </c>
      <c r="B983" s="4">
        <f>IFERROR(__xludf.DUMMYFUNCTION("SPLIT(A983,"","",0,0)"),45545.80625)</f>
        <v>45545.80625</v>
      </c>
      <c r="C983" s="5">
        <f>IFERROR(__xludf.DUMMYFUNCTION("""COMPUTED_VALUE"""),2663381.0)</f>
        <v>2663381</v>
      </c>
      <c r="D983" s="2" t="str">
        <f>IFERROR(__xludf.DUMMYFUNCTION("""COMPUTED_VALUE"""),"Sale")</f>
        <v>Sale</v>
      </c>
      <c r="E983" s="2" t="str">
        <f>IFERROR(__xludf.DUMMYFUNCTION("""COMPUTED_VALUE"""),"Kudapan")</f>
        <v>Kudapan</v>
      </c>
      <c r="F983" s="2">
        <f>IFERROR(__xludf.DUMMYFUNCTION("""COMPUTED_VALUE"""),10009.0)</f>
        <v>10009</v>
      </c>
      <c r="G983" s="2" t="str">
        <f>IFERROR(__xludf.DUMMYFUNCTION("""COMPUTED_VALUE"""),"Jamur Enoki Krispi")</f>
        <v>Jamur Enoki Krispi</v>
      </c>
      <c r="H983" s="2"/>
      <c r="I983" s="2"/>
      <c r="J983" s="2">
        <f>IFERROR(__xludf.DUMMYFUNCTION("""COMPUTED_VALUE"""),1.0)</f>
        <v>1</v>
      </c>
      <c r="K983" s="6">
        <f>IFERROR(__xludf.DUMMYFUNCTION("""COMPUTED_VALUE"""),26667.0)</f>
        <v>26667</v>
      </c>
      <c r="L983" s="2">
        <f>IFERROR(__xludf.DUMMYFUNCTION("""COMPUTED_VALUE"""),0.0)</f>
        <v>0</v>
      </c>
      <c r="M983" s="2">
        <f>IFERROR(__xludf.DUMMYFUNCTION("""COMPUTED_VALUE"""),26667.0)</f>
        <v>26667</v>
      </c>
      <c r="N983" s="2">
        <f>IFERROR(__xludf.DUMMYFUNCTION("""COMPUTED_VALUE"""),0.0)</f>
        <v>0</v>
      </c>
      <c r="O983" s="2">
        <f>IFERROR(__xludf.DUMMYFUNCTION("""COMPUTED_VALUE"""),26667.0)</f>
        <v>26667</v>
      </c>
      <c r="P983" s="2">
        <f>IFERROR(__xludf.DUMMYFUNCTION("""COMPUTED_VALUE"""),1333.0)</f>
        <v>1333</v>
      </c>
      <c r="Q983" s="2" t="str">
        <f>IFERROR(__xludf.DUMMYFUNCTION("""COMPUTED_VALUE"""),"Dine In")</f>
        <v>Dine In</v>
      </c>
      <c r="R983" s="2" t="str">
        <f>IFERROR(__xludf.DUMMYFUNCTION("""COMPUTED_VALUE"""),"Kedai")</f>
        <v>Kedai</v>
      </c>
      <c r="S983" s="2" t="str">
        <f>IFERROR(__xludf.DUMMYFUNCTION("""COMPUTED_VALUE"""),"Temu Roti")</f>
        <v>Temu Roti</v>
      </c>
      <c r="T983" s="2" t="str">
        <f>IFERROR(__xludf.DUMMYFUNCTION("""COMPUTED_VALUE"""),"Owner")</f>
        <v>Owner</v>
      </c>
      <c r="U983" s="2"/>
      <c r="V983" s="2"/>
      <c r="W983" s="2"/>
      <c r="X983" s="2" t="str">
        <f>IFERROR(__xludf.DUMMYFUNCTION("""COMPUTED_VALUE"""),"Closed")</f>
        <v>Closed</v>
      </c>
    </row>
    <row r="984">
      <c r="A984" s="3" t="s">
        <v>999</v>
      </c>
      <c r="B984" s="4">
        <f>IFERROR(__xludf.DUMMYFUNCTION("SPLIT(A984,"","",0,0)"),45545.73888888889)</f>
        <v>45545.73889</v>
      </c>
      <c r="C984" s="5">
        <f>IFERROR(__xludf.DUMMYFUNCTION("""COMPUTED_VALUE"""),2663016.0)</f>
        <v>2663016</v>
      </c>
      <c r="D984" s="2" t="str">
        <f>IFERROR(__xludf.DUMMYFUNCTION("""COMPUTED_VALUE"""),"Sale")</f>
        <v>Sale</v>
      </c>
      <c r="E984" s="2" t="str">
        <f>IFERROR(__xludf.DUMMYFUNCTION("""COMPUTED_VALUE"""),"Kudapan")</f>
        <v>Kudapan</v>
      </c>
      <c r="F984" s="2">
        <f>IFERROR(__xludf.DUMMYFUNCTION("""COMPUTED_VALUE"""),10004.0)</f>
        <v>10004</v>
      </c>
      <c r="G984" s="2" t="str">
        <f>IFERROR(__xludf.DUMMYFUNCTION("""COMPUTED_VALUE"""),"Tahu walik")</f>
        <v>Tahu walik</v>
      </c>
      <c r="H984" s="2"/>
      <c r="I984" s="2"/>
      <c r="J984" s="2">
        <f>IFERROR(__xludf.DUMMYFUNCTION("""COMPUTED_VALUE"""),1.0)</f>
        <v>1</v>
      </c>
      <c r="K984" s="6">
        <f>IFERROR(__xludf.DUMMYFUNCTION("""COMPUTED_VALUE"""),25238.0)</f>
        <v>25238</v>
      </c>
      <c r="L984" s="2">
        <f>IFERROR(__xludf.DUMMYFUNCTION("""COMPUTED_VALUE"""),0.0)</f>
        <v>0</v>
      </c>
      <c r="M984" s="2">
        <f>IFERROR(__xludf.DUMMYFUNCTION("""COMPUTED_VALUE"""),25238.0)</f>
        <v>25238</v>
      </c>
      <c r="N984" s="2">
        <f>IFERROR(__xludf.DUMMYFUNCTION("""COMPUTED_VALUE"""),0.0)</f>
        <v>0</v>
      </c>
      <c r="O984" s="2">
        <f>IFERROR(__xludf.DUMMYFUNCTION("""COMPUTED_VALUE"""),25238.0)</f>
        <v>25238</v>
      </c>
      <c r="P984" s="2">
        <f>IFERROR(__xludf.DUMMYFUNCTION("""COMPUTED_VALUE"""),1262.0)</f>
        <v>1262</v>
      </c>
      <c r="Q984" s="2" t="str">
        <f>IFERROR(__xludf.DUMMYFUNCTION("""COMPUTED_VALUE"""),"Dine In")</f>
        <v>Dine In</v>
      </c>
      <c r="R984" s="2" t="str">
        <f>IFERROR(__xludf.DUMMYFUNCTION("""COMPUTED_VALUE"""),"Kedai")</f>
        <v>Kedai</v>
      </c>
      <c r="S984" s="2" t="str">
        <f>IFERROR(__xludf.DUMMYFUNCTION("""COMPUTED_VALUE"""),"Temu Roti")</f>
        <v>Temu Roti</v>
      </c>
      <c r="T984" s="2" t="str">
        <f>IFERROR(__xludf.DUMMYFUNCTION("""COMPUTED_VALUE"""),"Owner")</f>
        <v>Owner</v>
      </c>
      <c r="U984" s="2"/>
      <c r="V984" s="2"/>
      <c r="W984" s="2"/>
      <c r="X984" s="2" t="str">
        <f>IFERROR(__xludf.DUMMYFUNCTION("""COMPUTED_VALUE"""),"Closed")</f>
        <v>Closed</v>
      </c>
    </row>
    <row r="985">
      <c r="A985" s="3" t="s">
        <v>1000</v>
      </c>
      <c r="B985" s="4">
        <f>IFERROR(__xludf.DUMMYFUNCTION("SPLIT(A985,"","",0,0)"),45545.73888888889)</f>
        <v>45545.73889</v>
      </c>
      <c r="C985" s="5">
        <f>IFERROR(__xludf.DUMMYFUNCTION("""COMPUTED_VALUE"""),2663016.0)</f>
        <v>2663016</v>
      </c>
      <c r="D985" s="2" t="str">
        <f>IFERROR(__xludf.DUMMYFUNCTION("""COMPUTED_VALUE"""),"Sale")</f>
        <v>Sale</v>
      </c>
      <c r="E985" s="2" t="str">
        <f>IFERROR(__xludf.DUMMYFUNCTION("""COMPUTED_VALUE"""),"Minuman")</f>
        <v>Minuman</v>
      </c>
      <c r="F985" s="2">
        <f>IFERROR(__xludf.DUMMYFUNCTION("""COMPUTED_VALUE"""),10122.0)</f>
        <v>10122</v>
      </c>
      <c r="G985" s="2" t="str">
        <f>IFERROR(__xludf.DUMMYFUNCTION("""COMPUTED_VALUE"""),"Rempah Madu Panas")</f>
        <v>Rempah Madu Panas</v>
      </c>
      <c r="H985" s="2"/>
      <c r="I985" s="2"/>
      <c r="J985" s="2">
        <f>IFERROR(__xludf.DUMMYFUNCTION("""COMPUTED_VALUE"""),2.0)</f>
        <v>2</v>
      </c>
      <c r="K985" s="6">
        <f>IFERROR(__xludf.DUMMYFUNCTION("""COMPUTED_VALUE"""),43810.0)</f>
        <v>43810</v>
      </c>
      <c r="L985" s="2">
        <f>IFERROR(__xludf.DUMMYFUNCTION("""COMPUTED_VALUE"""),0.0)</f>
        <v>0</v>
      </c>
      <c r="M985" s="2">
        <f>IFERROR(__xludf.DUMMYFUNCTION("""COMPUTED_VALUE"""),43810.0)</f>
        <v>43810</v>
      </c>
      <c r="N985" s="2">
        <f>IFERROR(__xludf.DUMMYFUNCTION("""COMPUTED_VALUE"""),0.0)</f>
        <v>0</v>
      </c>
      <c r="O985" s="2">
        <f>IFERROR(__xludf.DUMMYFUNCTION("""COMPUTED_VALUE"""),43810.0)</f>
        <v>43810</v>
      </c>
      <c r="P985" s="2">
        <f>IFERROR(__xludf.DUMMYFUNCTION("""COMPUTED_VALUE"""),2190.0)</f>
        <v>2190</v>
      </c>
      <c r="Q985" s="2" t="str">
        <f>IFERROR(__xludf.DUMMYFUNCTION("""COMPUTED_VALUE"""),"Dine In")</f>
        <v>Dine In</v>
      </c>
      <c r="R985" s="2" t="str">
        <f>IFERROR(__xludf.DUMMYFUNCTION("""COMPUTED_VALUE"""),"Kedai")</f>
        <v>Kedai</v>
      </c>
      <c r="S985" s="2" t="str">
        <f>IFERROR(__xludf.DUMMYFUNCTION("""COMPUTED_VALUE"""),"Temu Roti")</f>
        <v>Temu Roti</v>
      </c>
      <c r="T985" s="2" t="str">
        <f>IFERROR(__xludf.DUMMYFUNCTION("""COMPUTED_VALUE"""),"Owner")</f>
        <v>Owner</v>
      </c>
      <c r="U985" s="2"/>
      <c r="V985" s="2"/>
      <c r="W985" s="2"/>
      <c r="X985" s="2" t="str">
        <f>IFERROR(__xludf.DUMMYFUNCTION("""COMPUTED_VALUE"""),"Closed")</f>
        <v>Closed</v>
      </c>
    </row>
    <row r="986">
      <c r="A986" s="3" t="s">
        <v>1001</v>
      </c>
      <c r="B986" s="4">
        <f>IFERROR(__xludf.DUMMYFUNCTION("SPLIT(A986,"","",0,0)"),45545.73888888889)</f>
        <v>45545.73889</v>
      </c>
      <c r="C986" s="5">
        <f>IFERROR(__xludf.DUMMYFUNCTION("""COMPUTED_VALUE"""),2663016.0)</f>
        <v>2663016</v>
      </c>
      <c r="D986" s="2" t="str">
        <f>IFERROR(__xludf.DUMMYFUNCTION("""COMPUTED_VALUE"""),"Sale")</f>
        <v>Sale</v>
      </c>
      <c r="E986" s="2" t="str">
        <f>IFERROR(__xludf.DUMMYFUNCTION("""COMPUTED_VALUE"""),"Kudapan")</f>
        <v>Kudapan</v>
      </c>
      <c r="F986" s="2">
        <f>IFERROR(__xludf.DUMMYFUNCTION("""COMPUTED_VALUE"""),10015.0)</f>
        <v>10015</v>
      </c>
      <c r="G986" s="2" t="str">
        <f>IFERROR(__xludf.DUMMYFUNCTION("""COMPUTED_VALUE"""),"Tahu Lada Garam")</f>
        <v>Tahu Lada Garam</v>
      </c>
      <c r="H986" s="2"/>
      <c r="I986" s="2"/>
      <c r="J986" s="2">
        <f>IFERROR(__xludf.DUMMYFUNCTION("""COMPUTED_VALUE"""),1.0)</f>
        <v>1</v>
      </c>
      <c r="K986" s="6">
        <f>IFERROR(__xludf.DUMMYFUNCTION("""COMPUTED_VALUE"""),25238.0)</f>
        <v>25238</v>
      </c>
      <c r="L986" s="2">
        <f>IFERROR(__xludf.DUMMYFUNCTION("""COMPUTED_VALUE"""),0.0)</f>
        <v>0</v>
      </c>
      <c r="M986" s="2">
        <f>IFERROR(__xludf.DUMMYFUNCTION("""COMPUTED_VALUE"""),25238.0)</f>
        <v>25238</v>
      </c>
      <c r="N986" s="2">
        <f>IFERROR(__xludf.DUMMYFUNCTION("""COMPUTED_VALUE"""),0.0)</f>
        <v>0</v>
      </c>
      <c r="O986" s="2">
        <f>IFERROR(__xludf.DUMMYFUNCTION("""COMPUTED_VALUE"""),25238.0)</f>
        <v>25238</v>
      </c>
      <c r="P986" s="2">
        <f>IFERROR(__xludf.DUMMYFUNCTION("""COMPUTED_VALUE"""),1262.0)</f>
        <v>1262</v>
      </c>
      <c r="Q986" s="2" t="str">
        <f>IFERROR(__xludf.DUMMYFUNCTION("""COMPUTED_VALUE"""),"Dine In")</f>
        <v>Dine In</v>
      </c>
      <c r="R986" s="2" t="str">
        <f>IFERROR(__xludf.DUMMYFUNCTION("""COMPUTED_VALUE"""),"Kedai")</f>
        <v>Kedai</v>
      </c>
      <c r="S986" s="2" t="str">
        <f>IFERROR(__xludf.DUMMYFUNCTION("""COMPUTED_VALUE"""),"Temu Roti")</f>
        <v>Temu Roti</v>
      </c>
      <c r="T986" s="2" t="str">
        <f>IFERROR(__xludf.DUMMYFUNCTION("""COMPUTED_VALUE"""),"Owner")</f>
        <v>Owner</v>
      </c>
      <c r="U986" s="2"/>
      <c r="V986" s="2"/>
      <c r="W986" s="2"/>
      <c r="X986" s="2" t="str">
        <f>IFERROR(__xludf.DUMMYFUNCTION("""COMPUTED_VALUE"""),"Closed")</f>
        <v>Closed</v>
      </c>
    </row>
    <row r="987">
      <c r="A987" s="3" t="s">
        <v>1002</v>
      </c>
      <c r="B987" s="4">
        <f>IFERROR(__xludf.DUMMYFUNCTION("SPLIT(A987,"","",0,0)"),45545.73888888889)</f>
        <v>45545.73889</v>
      </c>
      <c r="C987" s="5">
        <f>IFERROR(__xludf.DUMMYFUNCTION("""COMPUTED_VALUE"""),2663016.0)</f>
        <v>2663016</v>
      </c>
      <c r="D987" s="2" t="str">
        <f>IFERROR(__xludf.DUMMYFUNCTION("""COMPUTED_VALUE"""),"Sale")</f>
        <v>Sale</v>
      </c>
      <c r="E987" s="2" t="str">
        <f>IFERROR(__xludf.DUMMYFUNCTION("""COMPUTED_VALUE"""),"Minuman")</f>
        <v>Minuman</v>
      </c>
      <c r="F987" s="2">
        <f>IFERROR(__xludf.DUMMYFUNCTION("""COMPUTED_VALUE"""),10107.0)</f>
        <v>10107</v>
      </c>
      <c r="G987" s="2" t="str">
        <f>IFERROR(__xludf.DUMMYFUNCTION("""COMPUTED_VALUE"""),"Korean Mango Fresh Milk")</f>
        <v>Korean Mango Fresh Milk</v>
      </c>
      <c r="H987" s="2"/>
      <c r="I987" s="2"/>
      <c r="J987" s="2">
        <f>IFERROR(__xludf.DUMMYFUNCTION("""COMPUTED_VALUE"""),1.0)</f>
        <v>1</v>
      </c>
      <c r="K987" s="6">
        <f>IFERROR(__xludf.DUMMYFUNCTION("""COMPUTED_VALUE"""),26667.0)</f>
        <v>26667</v>
      </c>
      <c r="L987" s="2">
        <f>IFERROR(__xludf.DUMMYFUNCTION("""COMPUTED_VALUE"""),0.0)</f>
        <v>0</v>
      </c>
      <c r="M987" s="2">
        <f>IFERROR(__xludf.DUMMYFUNCTION("""COMPUTED_VALUE"""),26667.0)</f>
        <v>26667</v>
      </c>
      <c r="N987" s="2">
        <f>IFERROR(__xludf.DUMMYFUNCTION("""COMPUTED_VALUE"""),0.0)</f>
        <v>0</v>
      </c>
      <c r="O987" s="2">
        <f>IFERROR(__xludf.DUMMYFUNCTION("""COMPUTED_VALUE"""),26667.0)</f>
        <v>26667</v>
      </c>
      <c r="P987" s="2">
        <f>IFERROR(__xludf.DUMMYFUNCTION("""COMPUTED_VALUE"""),1334.0)</f>
        <v>1334</v>
      </c>
      <c r="Q987" s="2" t="str">
        <f>IFERROR(__xludf.DUMMYFUNCTION("""COMPUTED_VALUE"""),"Dine In")</f>
        <v>Dine In</v>
      </c>
      <c r="R987" s="2" t="str">
        <f>IFERROR(__xludf.DUMMYFUNCTION("""COMPUTED_VALUE"""),"Kedai")</f>
        <v>Kedai</v>
      </c>
      <c r="S987" s="2" t="str">
        <f>IFERROR(__xludf.DUMMYFUNCTION("""COMPUTED_VALUE"""),"Temu Roti")</f>
        <v>Temu Roti</v>
      </c>
      <c r="T987" s="2" t="str">
        <f>IFERROR(__xludf.DUMMYFUNCTION("""COMPUTED_VALUE"""),"Owner")</f>
        <v>Owner</v>
      </c>
      <c r="U987" s="2"/>
      <c r="V987" s="2"/>
      <c r="W987" s="2"/>
      <c r="X987" s="2" t="str">
        <f>IFERROR(__xludf.DUMMYFUNCTION("""COMPUTED_VALUE"""),"Closed")</f>
        <v>Closed</v>
      </c>
    </row>
    <row r="988">
      <c r="A988" s="3" t="s">
        <v>1003</v>
      </c>
      <c r="B988" s="4">
        <f>IFERROR(__xludf.DUMMYFUNCTION("SPLIT(A988,"","",0,0)"),45545.73055555556)</f>
        <v>45545.73056</v>
      </c>
      <c r="C988" s="5">
        <f>IFERROR(__xludf.DUMMYFUNCTION("""COMPUTED_VALUE"""),2662651.0)</f>
        <v>2662651</v>
      </c>
      <c r="D988" s="2" t="str">
        <f>IFERROR(__xludf.DUMMYFUNCTION("""COMPUTED_VALUE"""),"Sale")</f>
        <v>Sale</v>
      </c>
      <c r="E988" s="2" t="str">
        <f>IFERROR(__xludf.DUMMYFUNCTION("""COMPUTED_VALUE"""),"Minuman")</f>
        <v>Minuman</v>
      </c>
      <c r="F988" s="2">
        <f>IFERROR(__xludf.DUMMYFUNCTION("""COMPUTED_VALUE"""),10122.0)</f>
        <v>10122</v>
      </c>
      <c r="G988" s="2" t="str">
        <f>IFERROR(__xludf.DUMMYFUNCTION("""COMPUTED_VALUE"""),"Rempah Madu Panas")</f>
        <v>Rempah Madu Panas</v>
      </c>
      <c r="H988" s="2"/>
      <c r="I988" s="2"/>
      <c r="J988" s="2">
        <f>IFERROR(__xludf.DUMMYFUNCTION("""COMPUTED_VALUE"""),1.0)</f>
        <v>1</v>
      </c>
      <c r="K988" s="6">
        <f>IFERROR(__xludf.DUMMYFUNCTION("""COMPUTED_VALUE"""),21905.0)</f>
        <v>21905</v>
      </c>
      <c r="L988" s="2">
        <f>IFERROR(__xludf.DUMMYFUNCTION("""COMPUTED_VALUE"""),0.0)</f>
        <v>0</v>
      </c>
      <c r="M988" s="2">
        <f>IFERROR(__xludf.DUMMYFUNCTION("""COMPUTED_VALUE"""),21905.0)</f>
        <v>21905</v>
      </c>
      <c r="N988" s="2">
        <f>IFERROR(__xludf.DUMMYFUNCTION("""COMPUTED_VALUE"""),0.0)</f>
        <v>0</v>
      </c>
      <c r="O988" s="2">
        <f>IFERROR(__xludf.DUMMYFUNCTION("""COMPUTED_VALUE"""),21905.0)</f>
        <v>21905</v>
      </c>
      <c r="P988" s="2">
        <f>IFERROR(__xludf.DUMMYFUNCTION("""COMPUTED_VALUE"""),1095.0)</f>
        <v>1095</v>
      </c>
      <c r="Q988" s="2" t="str">
        <f>IFERROR(__xludf.DUMMYFUNCTION("""COMPUTED_VALUE"""),"Dine In")</f>
        <v>Dine In</v>
      </c>
      <c r="R988" s="2" t="str">
        <f>IFERROR(__xludf.DUMMYFUNCTION("""COMPUTED_VALUE"""),"Kedai")</f>
        <v>Kedai</v>
      </c>
      <c r="S988" s="2" t="str">
        <f>IFERROR(__xludf.DUMMYFUNCTION("""COMPUTED_VALUE"""),"Temu Roti")</f>
        <v>Temu Roti</v>
      </c>
      <c r="T988" s="2" t="str">
        <f>IFERROR(__xludf.DUMMYFUNCTION("""COMPUTED_VALUE"""),"Owner")</f>
        <v>Owner</v>
      </c>
      <c r="U988" s="2"/>
      <c r="V988" s="2"/>
      <c r="W988" s="2"/>
      <c r="X988" s="2" t="str">
        <f>IFERROR(__xludf.DUMMYFUNCTION("""COMPUTED_VALUE"""),"Closed")</f>
        <v>Closed</v>
      </c>
    </row>
    <row r="989">
      <c r="A989" s="3" t="s">
        <v>1004</v>
      </c>
      <c r="B989" s="4">
        <f>IFERROR(__xludf.DUMMYFUNCTION("SPLIT(A989,"","",0,0)"),45545.73055555556)</f>
        <v>45545.73056</v>
      </c>
      <c r="C989" s="5">
        <f>IFERROR(__xludf.DUMMYFUNCTION("""COMPUTED_VALUE"""),2662651.0)</f>
        <v>2662651</v>
      </c>
      <c r="D989" s="2" t="str">
        <f>IFERROR(__xludf.DUMMYFUNCTION("""COMPUTED_VALUE"""),"Sale")</f>
        <v>Sale</v>
      </c>
      <c r="E989" s="2" t="str">
        <f>IFERROR(__xludf.DUMMYFUNCTION("""COMPUTED_VALUE"""),"Kudapan")</f>
        <v>Kudapan</v>
      </c>
      <c r="F989" s="2">
        <f>IFERROR(__xludf.DUMMYFUNCTION("""COMPUTED_VALUE"""),10011.0)</f>
        <v>10011</v>
      </c>
      <c r="G989" s="2" t="str">
        <f>IFERROR(__xludf.DUMMYFUNCTION("""COMPUTED_VALUE"""),"Kentang Goreng")</f>
        <v>Kentang Goreng</v>
      </c>
      <c r="H989" s="2"/>
      <c r="I989" s="2"/>
      <c r="J989" s="2">
        <f>IFERROR(__xludf.DUMMYFUNCTION("""COMPUTED_VALUE"""),1.0)</f>
        <v>1</v>
      </c>
      <c r="K989" s="6">
        <f>IFERROR(__xludf.DUMMYFUNCTION("""COMPUTED_VALUE"""),25238.0)</f>
        <v>25238</v>
      </c>
      <c r="L989" s="2">
        <f>IFERROR(__xludf.DUMMYFUNCTION("""COMPUTED_VALUE"""),0.0)</f>
        <v>0</v>
      </c>
      <c r="M989" s="2">
        <f>IFERROR(__xludf.DUMMYFUNCTION("""COMPUTED_VALUE"""),25238.0)</f>
        <v>25238</v>
      </c>
      <c r="N989" s="2">
        <f>IFERROR(__xludf.DUMMYFUNCTION("""COMPUTED_VALUE"""),0.0)</f>
        <v>0</v>
      </c>
      <c r="O989" s="2">
        <f>IFERROR(__xludf.DUMMYFUNCTION("""COMPUTED_VALUE"""),25238.0)</f>
        <v>25238</v>
      </c>
      <c r="P989" s="2">
        <f>IFERROR(__xludf.DUMMYFUNCTION("""COMPUTED_VALUE"""),1262.0)</f>
        <v>1262</v>
      </c>
      <c r="Q989" s="2" t="str">
        <f>IFERROR(__xludf.DUMMYFUNCTION("""COMPUTED_VALUE"""),"Dine In")</f>
        <v>Dine In</v>
      </c>
      <c r="R989" s="2" t="str">
        <f>IFERROR(__xludf.DUMMYFUNCTION("""COMPUTED_VALUE"""),"Kedai")</f>
        <v>Kedai</v>
      </c>
      <c r="S989" s="2" t="str">
        <f>IFERROR(__xludf.DUMMYFUNCTION("""COMPUTED_VALUE"""),"Temu Roti")</f>
        <v>Temu Roti</v>
      </c>
      <c r="T989" s="2" t="str">
        <f>IFERROR(__xludf.DUMMYFUNCTION("""COMPUTED_VALUE"""),"Owner")</f>
        <v>Owner</v>
      </c>
      <c r="U989" s="2"/>
      <c r="V989" s="2"/>
      <c r="W989" s="2"/>
      <c r="X989" s="2" t="str">
        <f>IFERROR(__xludf.DUMMYFUNCTION("""COMPUTED_VALUE"""),"Closed")</f>
        <v>Closed</v>
      </c>
    </row>
    <row r="990">
      <c r="A990" s="3" t="s">
        <v>1005</v>
      </c>
      <c r="B990" s="4">
        <f>IFERROR(__xludf.DUMMYFUNCTION("SPLIT(A990,"","",0,0)"),45545.729166666664)</f>
        <v>45545.72917</v>
      </c>
      <c r="C990" s="5">
        <f>IFERROR(__xludf.DUMMYFUNCTION("""COMPUTED_VALUE"""),2662286.0)</f>
        <v>2662286</v>
      </c>
      <c r="D990" s="2" t="str">
        <f>IFERROR(__xludf.DUMMYFUNCTION("""COMPUTED_VALUE"""),"Sale")</f>
        <v>Sale</v>
      </c>
      <c r="E990" s="2" t="str">
        <f>IFERROR(__xludf.DUMMYFUNCTION("""COMPUTED_VALUE"""),"Minuman")</f>
        <v>Minuman</v>
      </c>
      <c r="F990" s="2">
        <f>IFERROR(__xludf.DUMMYFUNCTION("""COMPUTED_VALUE"""),10106.0)</f>
        <v>10106</v>
      </c>
      <c r="G990" s="2" t="str">
        <f>IFERROR(__xludf.DUMMYFUNCTION("""COMPUTED_VALUE"""),"Korean Strawberry Fresh Milk")</f>
        <v>Korean Strawberry Fresh Milk</v>
      </c>
      <c r="H990" s="2"/>
      <c r="I990" s="2"/>
      <c r="J990" s="2">
        <f>IFERROR(__xludf.DUMMYFUNCTION("""COMPUTED_VALUE"""),1.0)</f>
        <v>1</v>
      </c>
      <c r="K990" s="6">
        <f>IFERROR(__xludf.DUMMYFUNCTION("""COMPUTED_VALUE"""),26667.0)</f>
        <v>26667</v>
      </c>
      <c r="L990" s="2">
        <f>IFERROR(__xludf.DUMMYFUNCTION("""COMPUTED_VALUE"""),0.0)</f>
        <v>0</v>
      </c>
      <c r="M990" s="2">
        <f>IFERROR(__xludf.DUMMYFUNCTION("""COMPUTED_VALUE"""),26667.0)</f>
        <v>26667</v>
      </c>
      <c r="N990" s="2">
        <f>IFERROR(__xludf.DUMMYFUNCTION("""COMPUTED_VALUE"""),0.0)</f>
        <v>0</v>
      </c>
      <c r="O990" s="2">
        <f>IFERROR(__xludf.DUMMYFUNCTION("""COMPUTED_VALUE"""),26667.0)</f>
        <v>26667</v>
      </c>
      <c r="P990" s="2">
        <f>IFERROR(__xludf.DUMMYFUNCTION("""COMPUTED_VALUE"""),1333.0)</f>
        <v>1333</v>
      </c>
      <c r="Q990" s="2" t="str">
        <f>IFERROR(__xludf.DUMMYFUNCTION("""COMPUTED_VALUE"""),"Dine In")</f>
        <v>Dine In</v>
      </c>
      <c r="R990" s="2" t="str">
        <f>IFERROR(__xludf.DUMMYFUNCTION("""COMPUTED_VALUE"""),"Kedai")</f>
        <v>Kedai</v>
      </c>
      <c r="S990" s="2" t="str">
        <f>IFERROR(__xludf.DUMMYFUNCTION("""COMPUTED_VALUE"""),"Temu Roti")</f>
        <v>Temu Roti</v>
      </c>
      <c r="T990" s="2" t="str">
        <f>IFERROR(__xludf.DUMMYFUNCTION("""COMPUTED_VALUE"""),"Owner")</f>
        <v>Owner</v>
      </c>
      <c r="U990" s="2"/>
      <c r="V990" s="2"/>
      <c r="W990" s="2"/>
      <c r="X990" s="2" t="str">
        <f>IFERROR(__xludf.DUMMYFUNCTION("""COMPUTED_VALUE"""),"Closed")</f>
        <v>Closed</v>
      </c>
    </row>
    <row r="991">
      <c r="A991" s="3" t="s">
        <v>1006</v>
      </c>
      <c r="B991" s="4">
        <f>IFERROR(__xludf.DUMMYFUNCTION("SPLIT(A991,"","",0,0)"),45545.69930555556)</f>
        <v>45545.69931</v>
      </c>
      <c r="C991" s="5">
        <f>IFERROR(__xludf.DUMMYFUNCTION("""COMPUTED_VALUE"""),2661920.0)</f>
        <v>2661920</v>
      </c>
      <c r="D991" s="2" t="str">
        <f>IFERROR(__xludf.DUMMYFUNCTION("""COMPUTED_VALUE"""),"Sale")</f>
        <v>Sale</v>
      </c>
      <c r="E991" s="2" t="str">
        <f>IFERROR(__xludf.DUMMYFUNCTION("""COMPUTED_VALUE"""),"Roti")</f>
        <v>Roti</v>
      </c>
      <c r="F991" s="2">
        <f>IFERROR(__xludf.DUMMYFUNCTION("""COMPUTED_VALUE"""),10000.0)</f>
        <v>10000</v>
      </c>
      <c r="G991" s="2" t="str">
        <f>IFERROR(__xludf.DUMMYFUNCTION("""COMPUTED_VALUE"""),"Roti Bawang Saus Keju")</f>
        <v>Roti Bawang Saus Keju</v>
      </c>
      <c r="H991" s="2"/>
      <c r="I991" s="2"/>
      <c r="J991" s="2">
        <f>IFERROR(__xludf.DUMMYFUNCTION("""COMPUTED_VALUE"""),1.0)</f>
        <v>1</v>
      </c>
      <c r="K991" s="6">
        <f>IFERROR(__xludf.DUMMYFUNCTION("""COMPUTED_VALUE"""),29524.0)</f>
        <v>29524</v>
      </c>
      <c r="L991" s="2">
        <f>IFERROR(__xludf.DUMMYFUNCTION("""COMPUTED_VALUE"""),0.0)</f>
        <v>0</v>
      </c>
      <c r="M991" s="2">
        <f>IFERROR(__xludf.DUMMYFUNCTION("""COMPUTED_VALUE"""),29524.0)</f>
        <v>29524</v>
      </c>
      <c r="N991" s="2">
        <f>IFERROR(__xludf.DUMMYFUNCTION("""COMPUTED_VALUE"""),0.0)</f>
        <v>0</v>
      </c>
      <c r="O991" s="2">
        <f>IFERROR(__xludf.DUMMYFUNCTION("""COMPUTED_VALUE"""),29524.0)</f>
        <v>29524</v>
      </c>
      <c r="P991" s="2">
        <f>IFERROR(__xludf.DUMMYFUNCTION("""COMPUTED_VALUE"""),1476.0)</f>
        <v>1476</v>
      </c>
      <c r="Q991" s="2" t="str">
        <f>IFERROR(__xludf.DUMMYFUNCTION("""COMPUTED_VALUE"""),"Dine In")</f>
        <v>Dine In</v>
      </c>
      <c r="R991" s="2" t="str">
        <f>IFERROR(__xludf.DUMMYFUNCTION("""COMPUTED_VALUE"""),"Kedai")</f>
        <v>Kedai</v>
      </c>
      <c r="S991" s="2" t="str">
        <f>IFERROR(__xludf.DUMMYFUNCTION("""COMPUTED_VALUE"""),"Temu Roti")</f>
        <v>Temu Roti</v>
      </c>
      <c r="T991" s="2" t="str">
        <f>IFERROR(__xludf.DUMMYFUNCTION("""COMPUTED_VALUE"""),"Owner")</f>
        <v>Owner</v>
      </c>
      <c r="U991" s="2"/>
      <c r="V991" s="2"/>
      <c r="W991" s="2"/>
      <c r="X991" s="2" t="str">
        <f>IFERROR(__xludf.DUMMYFUNCTION("""COMPUTED_VALUE"""),"Closed")</f>
        <v>Closed</v>
      </c>
    </row>
    <row r="992">
      <c r="A992" s="3" t="s">
        <v>1007</v>
      </c>
      <c r="B992" s="4">
        <f>IFERROR(__xludf.DUMMYFUNCTION("SPLIT(A992,"","",0,0)"),45545.69930555556)</f>
        <v>45545.69931</v>
      </c>
      <c r="C992" s="5">
        <f>IFERROR(__xludf.DUMMYFUNCTION("""COMPUTED_VALUE"""),2661920.0)</f>
        <v>2661920</v>
      </c>
      <c r="D992" s="2" t="str">
        <f>IFERROR(__xludf.DUMMYFUNCTION("""COMPUTED_VALUE"""),"Sale")</f>
        <v>Sale</v>
      </c>
      <c r="E992" s="2" t="str">
        <f>IFERROR(__xludf.DUMMYFUNCTION("""COMPUTED_VALUE"""),"Minuman")</f>
        <v>Minuman</v>
      </c>
      <c r="F992" s="2">
        <f>IFERROR(__xludf.DUMMYFUNCTION("""COMPUTED_VALUE"""),10106.0)</f>
        <v>10106</v>
      </c>
      <c r="G992" s="2" t="str">
        <f>IFERROR(__xludf.DUMMYFUNCTION("""COMPUTED_VALUE"""),"Korean Strawberry Fresh Milk")</f>
        <v>Korean Strawberry Fresh Milk</v>
      </c>
      <c r="H992" s="2"/>
      <c r="I992" s="2"/>
      <c r="J992" s="2">
        <f>IFERROR(__xludf.DUMMYFUNCTION("""COMPUTED_VALUE"""),2.0)</f>
        <v>2</v>
      </c>
      <c r="K992" s="6">
        <f>IFERROR(__xludf.DUMMYFUNCTION("""COMPUTED_VALUE"""),53334.0)</f>
        <v>53334</v>
      </c>
      <c r="L992" s="2">
        <f>IFERROR(__xludf.DUMMYFUNCTION("""COMPUTED_VALUE"""),0.0)</f>
        <v>0</v>
      </c>
      <c r="M992" s="2">
        <f>IFERROR(__xludf.DUMMYFUNCTION("""COMPUTED_VALUE"""),53334.0)</f>
        <v>53334</v>
      </c>
      <c r="N992" s="2">
        <f>IFERROR(__xludf.DUMMYFUNCTION("""COMPUTED_VALUE"""),0.0)</f>
        <v>0</v>
      </c>
      <c r="O992" s="2">
        <f>IFERROR(__xludf.DUMMYFUNCTION("""COMPUTED_VALUE"""),53334.0)</f>
        <v>53334</v>
      </c>
      <c r="P992" s="2">
        <f>IFERROR(__xludf.DUMMYFUNCTION("""COMPUTED_VALUE"""),2667.0)</f>
        <v>2667</v>
      </c>
      <c r="Q992" s="2" t="str">
        <f>IFERROR(__xludf.DUMMYFUNCTION("""COMPUTED_VALUE"""),"Dine In")</f>
        <v>Dine In</v>
      </c>
      <c r="R992" s="2" t="str">
        <f>IFERROR(__xludf.DUMMYFUNCTION("""COMPUTED_VALUE"""),"Kedai")</f>
        <v>Kedai</v>
      </c>
      <c r="S992" s="2" t="str">
        <f>IFERROR(__xludf.DUMMYFUNCTION("""COMPUTED_VALUE"""),"Temu Roti")</f>
        <v>Temu Roti</v>
      </c>
      <c r="T992" s="2" t="str">
        <f>IFERROR(__xludf.DUMMYFUNCTION("""COMPUTED_VALUE"""),"Owner")</f>
        <v>Owner</v>
      </c>
      <c r="U992" s="2"/>
      <c r="V992" s="2"/>
      <c r="W992" s="2"/>
      <c r="X992" s="2" t="str">
        <f>IFERROR(__xludf.DUMMYFUNCTION("""COMPUTED_VALUE"""),"Closed")</f>
        <v>Closed</v>
      </c>
    </row>
    <row r="993">
      <c r="A993" s="3" t="s">
        <v>1008</v>
      </c>
      <c r="B993" s="4">
        <f>IFERROR(__xludf.DUMMYFUNCTION("SPLIT(A993,"","",0,0)"),45545.69930555556)</f>
        <v>45545.69931</v>
      </c>
      <c r="C993" s="5">
        <f>IFERROR(__xludf.DUMMYFUNCTION("""COMPUTED_VALUE"""),2661920.0)</f>
        <v>2661920</v>
      </c>
      <c r="D993" s="2" t="str">
        <f>IFERROR(__xludf.DUMMYFUNCTION("""COMPUTED_VALUE"""),"Sale")</f>
        <v>Sale</v>
      </c>
      <c r="E993" s="2" t="str">
        <f>IFERROR(__xludf.DUMMYFUNCTION("""COMPUTED_VALUE"""),"Kudapan")</f>
        <v>Kudapan</v>
      </c>
      <c r="F993" s="2">
        <f>IFERROR(__xludf.DUMMYFUNCTION("""COMPUTED_VALUE"""),10015.0)</f>
        <v>10015</v>
      </c>
      <c r="G993" s="2" t="str">
        <f>IFERROR(__xludf.DUMMYFUNCTION("""COMPUTED_VALUE"""),"Tahu Lada Garam")</f>
        <v>Tahu Lada Garam</v>
      </c>
      <c r="H993" s="2"/>
      <c r="I993" s="2"/>
      <c r="J993" s="2">
        <f>IFERROR(__xludf.DUMMYFUNCTION("""COMPUTED_VALUE"""),1.0)</f>
        <v>1</v>
      </c>
      <c r="K993" s="6">
        <f>IFERROR(__xludf.DUMMYFUNCTION("""COMPUTED_VALUE"""),25238.0)</f>
        <v>25238</v>
      </c>
      <c r="L993" s="2">
        <f>IFERROR(__xludf.DUMMYFUNCTION("""COMPUTED_VALUE"""),0.0)</f>
        <v>0</v>
      </c>
      <c r="M993" s="2">
        <f>IFERROR(__xludf.DUMMYFUNCTION("""COMPUTED_VALUE"""),25238.0)</f>
        <v>25238</v>
      </c>
      <c r="N993" s="2">
        <f>IFERROR(__xludf.DUMMYFUNCTION("""COMPUTED_VALUE"""),0.0)</f>
        <v>0</v>
      </c>
      <c r="O993" s="2">
        <f>IFERROR(__xludf.DUMMYFUNCTION("""COMPUTED_VALUE"""),25238.0)</f>
        <v>25238</v>
      </c>
      <c r="P993" s="2">
        <f>IFERROR(__xludf.DUMMYFUNCTION("""COMPUTED_VALUE"""),1262.0)</f>
        <v>1262</v>
      </c>
      <c r="Q993" s="2" t="str">
        <f>IFERROR(__xludf.DUMMYFUNCTION("""COMPUTED_VALUE"""),"Dine In")</f>
        <v>Dine In</v>
      </c>
      <c r="R993" s="2" t="str">
        <f>IFERROR(__xludf.DUMMYFUNCTION("""COMPUTED_VALUE"""),"Kedai")</f>
        <v>Kedai</v>
      </c>
      <c r="S993" s="2" t="str">
        <f>IFERROR(__xludf.DUMMYFUNCTION("""COMPUTED_VALUE"""),"Temu Roti")</f>
        <v>Temu Roti</v>
      </c>
      <c r="T993" s="2" t="str">
        <f>IFERROR(__xludf.DUMMYFUNCTION("""COMPUTED_VALUE"""),"Owner")</f>
        <v>Owner</v>
      </c>
      <c r="U993" s="2"/>
      <c r="V993" s="2"/>
      <c r="W993" s="2"/>
      <c r="X993" s="2" t="str">
        <f>IFERROR(__xludf.DUMMYFUNCTION("""COMPUTED_VALUE"""),"Closed")</f>
        <v>Closed</v>
      </c>
    </row>
    <row r="994">
      <c r="A994" s="3" t="s">
        <v>1009</v>
      </c>
      <c r="B994" s="4">
        <f>IFERROR(__xludf.DUMMYFUNCTION("SPLIT(A994,"","",0,0)"),45545.59652777778)</f>
        <v>45545.59653</v>
      </c>
      <c r="C994" s="5">
        <f>IFERROR(__xludf.DUMMYFUNCTION("""COMPUTED_VALUE"""),2661555.0)</f>
        <v>2661555</v>
      </c>
      <c r="D994" s="2" t="str">
        <f>IFERROR(__xludf.DUMMYFUNCTION("""COMPUTED_VALUE"""),"Sale")</f>
        <v>Sale</v>
      </c>
      <c r="E994" s="2" t="str">
        <f>IFERROR(__xludf.DUMMYFUNCTION("""COMPUTED_VALUE"""),"Roti")</f>
        <v>Roti</v>
      </c>
      <c r="F994" s="2">
        <f>IFERROR(__xludf.DUMMYFUNCTION("""COMPUTED_VALUE"""),10007.0)</f>
        <v>10007</v>
      </c>
      <c r="G994" s="2" t="str">
        <f>IFERROR(__xludf.DUMMYFUNCTION("""COMPUTED_VALUE"""),"Roti cranberry 2 pcs")</f>
        <v>Roti cranberry 2 pcs</v>
      </c>
      <c r="H994" s="2"/>
      <c r="I994" s="2"/>
      <c r="J994" s="2">
        <f>IFERROR(__xludf.DUMMYFUNCTION("""COMPUTED_VALUE"""),1.0)</f>
        <v>1</v>
      </c>
      <c r="K994" s="6">
        <f>IFERROR(__xludf.DUMMYFUNCTION("""COMPUTED_VALUE"""),33810.0)</f>
        <v>33810</v>
      </c>
      <c r="L994" s="2">
        <f>IFERROR(__xludf.DUMMYFUNCTION("""COMPUTED_VALUE"""),0.0)</f>
        <v>0</v>
      </c>
      <c r="M994" s="2">
        <f>IFERROR(__xludf.DUMMYFUNCTION("""COMPUTED_VALUE"""),33810.0)</f>
        <v>33810</v>
      </c>
      <c r="N994" s="2">
        <f>IFERROR(__xludf.DUMMYFUNCTION("""COMPUTED_VALUE"""),0.0)</f>
        <v>0</v>
      </c>
      <c r="O994" s="2">
        <f>IFERROR(__xludf.DUMMYFUNCTION("""COMPUTED_VALUE"""),33810.0)</f>
        <v>33810</v>
      </c>
      <c r="P994" s="2">
        <f>IFERROR(__xludf.DUMMYFUNCTION("""COMPUTED_VALUE"""),1691.0)</f>
        <v>1691</v>
      </c>
      <c r="Q994" s="2" t="str">
        <f>IFERROR(__xludf.DUMMYFUNCTION("""COMPUTED_VALUE"""),"Dine In")</f>
        <v>Dine In</v>
      </c>
      <c r="R994" s="2" t="str">
        <f>IFERROR(__xludf.DUMMYFUNCTION("""COMPUTED_VALUE"""),"Kedai")</f>
        <v>Kedai</v>
      </c>
      <c r="S994" s="2" t="str">
        <f>IFERROR(__xludf.DUMMYFUNCTION("""COMPUTED_VALUE"""),"Temu Roti")</f>
        <v>Temu Roti</v>
      </c>
      <c r="T994" s="2" t="str">
        <f>IFERROR(__xludf.DUMMYFUNCTION("""COMPUTED_VALUE"""),"Owner")</f>
        <v>Owner</v>
      </c>
      <c r="U994" s="2"/>
      <c r="V994" s="2"/>
      <c r="W994" s="2"/>
      <c r="X994" s="2" t="str">
        <f>IFERROR(__xludf.DUMMYFUNCTION("""COMPUTED_VALUE"""),"Closed")</f>
        <v>Closed</v>
      </c>
    </row>
    <row r="995">
      <c r="A995" s="3" t="s">
        <v>1010</v>
      </c>
      <c r="B995" s="4">
        <f>IFERROR(__xludf.DUMMYFUNCTION("SPLIT(A995,"","",0,0)"),45545.59652777778)</f>
        <v>45545.59653</v>
      </c>
      <c r="C995" s="5">
        <f>IFERROR(__xludf.DUMMYFUNCTION("""COMPUTED_VALUE"""),2661555.0)</f>
        <v>2661555</v>
      </c>
      <c r="D995" s="2" t="str">
        <f>IFERROR(__xludf.DUMMYFUNCTION("""COMPUTED_VALUE"""),"Sale")</f>
        <v>Sale</v>
      </c>
      <c r="E995" s="2" t="str">
        <f>IFERROR(__xludf.DUMMYFUNCTION("""COMPUTED_VALUE"""),"Minuman")</f>
        <v>Minuman</v>
      </c>
      <c r="F995" s="2">
        <f>IFERROR(__xludf.DUMMYFUNCTION("""COMPUTED_VALUE"""),10125.0)</f>
        <v>10125</v>
      </c>
      <c r="G995" s="2" t="str">
        <f>IFERROR(__xludf.DUMMYFUNCTION("""COMPUTED_VALUE"""),"Gula Asam Dingin")</f>
        <v>Gula Asam Dingin</v>
      </c>
      <c r="H995" s="2"/>
      <c r="I995" s="2"/>
      <c r="J995" s="2">
        <f>IFERROR(__xludf.DUMMYFUNCTION("""COMPUTED_VALUE"""),1.0)</f>
        <v>1</v>
      </c>
      <c r="K995" s="6">
        <f>IFERROR(__xludf.DUMMYFUNCTION("""COMPUTED_VALUE"""),20476.0)</f>
        <v>20476</v>
      </c>
      <c r="L995" s="2">
        <f>IFERROR(__xludf.DUMMYFUNCTION("""COMPUTED_VALUE"""),0.0)</f>
        <v>0</v>
      </c>
      <c r="M995" s="2">
        <f>IFERROR(__xludf.DUMMYFUNCTION("""COMPUTED_VALUE"""),20476.0)</f>
        <v>20476</v>
      </c>
      <c r="N995" s="2">
        <f>IFERROR(__xludf.DUMMYFUNCTION("""COMPUTED_VALUE"""),0.0)</f>
        <v>0</v>
      </c>
      <c r="O995" s="2">
        <f>IFERROR(__xludf.DUMMYFUNCTION("""COMPUTED_VALUE"""),20476.0)</f>
        <v>20476</v>
      </c>
      <c r="P995" s="2">
        <f>IFERROR(__xludf.DUMMYFUNCTION("""COMPUTED_VALUE"""),1023.0)</f>
        <v>1023</v>
      </c>
      <c r="Q995" s="2" t="str">
        <f>IFERROR(__xludf.DUMMYFUNCTION("""COMPUTED_VALUE"""),"Dine In")</f>
        <v>Dine In</v>
      </c>
      <c r="R995" s="2" t="str">
        <f>IFERROR(__xludf.DUMMYFUNCTION("""COMPUTED_VALUE"""),"Kedai")</f>
        <v>Kedai</v>
      </c>
      <c r="S995" s="2" t="str">
        <f>IFERROR(__xludf.DUMMYFUNCTION("""COMPUTED_VALUE"""),"Temu Roti")</f>
        <v>Temu Roti</v>
      </c>
      <c r="T995" s="2" t="str">
        <f>IFERROR(__xludf.DUMMYFUNCTION("""COMPUTED_VALUE"""),"Owner")</f>
        <v>Owner</v>
      </c>
      <c r="U995" s="2"/>
      <c r="V995" s="2"/>
      <c r="W995" s="2"/>
      <c r="X995" s="2" t="str">
        <f>IFERROR(__xludf.DUMMYFUNCTION("""COMPUTED_VALUE"""),"Closed")</f>
        <v>Closed</v>
      </c>
    </row>
    <row r="996">
      <c r="A996" s="3" t="s">
        <v>1011</v>
      </c>
      <c r="B996" s="4">
        <f>IFERROR(__xludf.DUMMYFUNCTION("SPLIT(A996,"","",0,0)"),45545.59652777778)</f>
        <v>45545.59653</v>
      </c>
      <c r="C996" s="5">
        <f>IFERROR(__xludf.DUMMYFUNCTION("""COMPUTED_VALUE"""),2661555.0)</f>
        <v>2661555</v>
      </c>
      <c r="D996" s="2" t="str">
        <f>IFERROR(__xludf.DUMMYFUNCTION("""COMPUTED_VALUE"""),"Sale")</f>
        <v>Sale</v>
      </c>
      <c r="E996" s="2" t="str">
        <f>IFERROR(__xludf.DUMMYFUNCTION("""COMPUTED_VALUE"""),"Minuman")</f>
        <v>Minuman</v>
      </c>
      <c r="F996" s="2">
        <f>IFERROR(__xludf.DUMMYFUNCTION("""COMPUTED_VALUE"""),10063.0)</f>
        <v>10063</v>
      </c>
      <c r="G996" s="2" t="str">
        <f>IFERROR(__xludf.DUMMYFUNCTION("""COMPUTED_VALUE"""),"Wedang Bulan")</f>
        <v>Wedang Bulan</v>
      </c>
      <c r="H996" s="2"/>
      <c r="I996" s="2"/>
      <c r="J996" s="2">
        <f>IFERROR(__xludf.DUMMYFUNCTION("""COMPUTED_VALUE"""),2.0)</f>
        <v>2</v>
      </c>
      <c r="K996" s="6">
        <f>IFERROR(__xludf.DUMMYFUNCTION("""COMPUTED_VALUE"""),49524.0)</f>
        <v>49524</v>
      </c>
      <c r="L996" s="2">
        <f>IFERROR(__xludf.DUMMYFUNCTION("""COMPUTED_VALUE"""),0.0)</f>
        <v>0</v>
      </c>
      <c r="M996" s="2">
        <f>IFERROR(__xludf.DUMMYFUNCTION("""COMPUTED_VALUE"""),49524.0)</f>
        <v>49524</v>
      </c>
      <c r="N996" s="2">
        <f>IFERROR(__xludf.DUMMYFUNCTION("""COMPUTED_VALUE"""),0.0)</f>
        <v>0</v>
      </c>
      <c r="O996" s="2">
        <f>IFERROR(__xludf.DUMMYFUNCTION("""COMPUTED_VALUE"""),49524.0)</f>
        <v>49524</v>
      </c>
      <c r="P996" s="2">
        <f>IFERROR(__xludf.DUMMYFUNCTION("""COMPUTED_VALUE"""),2477.0)</f>
        <v>2477</v>
      </c>
      <c r="Q996" s="2" t="str">
        <f>IFERROR(__xludf.DUMMYFUNCTION("""COMPUTED_VALUE"""),"Dine In")</f>
        <v>Dine In</v>
      </c>
      <c r="R996" s="2" t="str">
        <f>IFERROR(__xludf.DUMMYFUNCTION("""COMPUTED_VALUE"""),"Kedai")</f>
        <v>Kedai</v>
      </c>
      <c r="S996" s="2" t="str">
        <f>IFERROR(__xludf.DUMMYFUNCTION("""COMPUTED_VALUE"""),"Temu Roti")</f>
        <v>Temu Roti</v>
      </c>
      <c r="T996" s="2" t="str">
        <f>IFERROR(__xludf.DUMMYFUNCTION("""COMPUTED_VALUE"""),"Owner")</f>
        <v>Owner</v>
      </c>
      <c r="U996" s="2"/>
      <c r="V996" s="2"/>
      <c r="W996" s="2"/>
      <c r="X996" s="2" t="str">
        <f>IFERROR(__xludf.DUMMYFUNCTION("""COMPUTED_VALUE"""),"Closed")</f>
        <v>Closed</v>
      </c>
    </row>
    <row r="997">
      <c r="A997" s="3" t="s">
        <v>1012</v>
      </c>
      <c r="B997" s="4">
        <f>IFERROR(__xludf.DUMMYFUNCTION("SPLIT(A997,"","",0,0)"),45545.59652777778)</f>
        <v>45545.59653</v>
      </c>
      <c r="C997" s="5">
        <f>IFERROR(__xludf.DUMMYFUNCTION("""COMPUTED_VALUE"""),2661555.0)</f>
        <v>2661555</v>
      </c>
      <c r="D997" s="2" t="str">
        <f>IFERROR(__xludf.DUMMYFUNCTION("""COMPUTED_VALUE"""),"Sale")</f>
        <v>Sale</v>
      </c>
      <c r="E997" s="2" t="str">
        <f>IFERROR(__xludf.DUMMYFUNCTION("""COMPUTED_VALUE"""),"Minuman")</f>
        <v>Minuman</v>
      </c>
      <c r="F997" s="2">
        <f>IFERROR(__xludf.DUMMYFUNCTION("""COMPUTED_VALUE"""),10119.0)</f>
        <v>10119</v>
      </c>
      <c r="G997" s="2" t="str">
        <f>IFERROR(__xludf.DUMMYFUNCTION("""COMPUTED_VALUE"""),"Teh Tawar Dingin")</f>
        <v>Teh Tawar Dingin</v>
      </c>
      <c r="H997" s="2"/>
      <c r="I997" s="2"/>
      <c r="J997" s="2">
        <f>IFERROR(__xludf.DUMMYFUNCTION("""COMPUTED_VALUE"""),1.0)</f>
        <v>1</v>
      </c>
      <c r="K997" s="6">
        <f>IFERROR(__xludf.DUMMYFUNCTION("""COMPUTED_VALUE"""),7143.0)</f>
        <v>7143</v>
      </c>
      <c r="L997" s="2">
        <f>IFERROR(__xludf.DUMMYFUNCTION("""COMPUTED_VALUE"""),0.0)</f>
        <v>0</v>
      </c>
      <c r="M997" s="2">
        <f>IFERROR(__xludf.DUMMYFUNCTION("""COMPUTED_VALUE"""),7143.0)</f>
        <v>7143</v>
      </c>
      <c r="N997" s="2">
        <f>IFERROR(__xludf.DUMMYFUNCTION("""COMPUTED_VALUE"""),0.0)</f>
        <v>0</v>
      </c>
      <c r="O997" s="2">
        <f>IFERROR(__xludf.DUMMYFUNCTION("""COMPUTED_VALUE"""),7143.0)</f>
        <v>7143</v>
      </c>
      <c r="P997" s="2">
        <f>IFERROR(__xludf.DUMMYFUNCTION("""COMPUTED_VALUE"""),357.0)</f>
        <v>357</v>
      </c>
      <c r="Q997" s="2" t="str">
        <f>IFERROR(__xludf.DUMMYFUNCTION("""COMPUTED_VALUE"""),"Dine In")</f>
        <v>Dine In</v>
      </c>
      <c r="R997" s="2" t="str">
        <f>IFERROR(__xludf.DUMMYFUNCTION("""COMPUTED_VALUE"""),"Kedai")</f>
        <v>Kedai</v>
      </c>
      <c r="S997" s="2" t="str">
        <f>IFERROR(__xludf.DUMMYFUNCTION("""COMPUTED_VALUE"""),"Temu Roti")</f>
        <v>Temu Roti</v>
      </c>
      <c r="T997" s="2" t="str">
        <f>IFERROR(__xludf.DUMMYFUNCTION("""COMPUTED_VALUE"""),"Owner")</f>
        <v>Owner</v>
      </c>
      <c r="U997" s="2"/>
      <c r="V997" s="2"/>
      <c r="W997" s="2"/>
      <c r="X997" s="2" t="str">
        <f>IFERROR(__xludf.DUMMYFUNCTION("""COMPUTED_VALUE"""),"Closed")</f>
        <v>Closed</v>
      </c>
    </row>
    <row r="998">
      <c r="A998" s="3" t="s">
        <v>1013</v>
      </c>
      <c r="B998" s="4">
        <f>IFERROR(__xludf.DUMMYFUNCTION("SPLIT(A998,"","",0,0)"),45545.59652777778)</f>
        <v>45545.59653</v>
      </c>
      <c r="C998" s="5">
        <f>IFERROR(__xludf.DUMMYFUNCTION("""COMPUTED_VALUE"""),2661555.0)</f>
        <v>2661555</v>
      </c>
      <c r="D998" s="2" t="str">
        <f>IFERROR(__xludf.DUMMYFUNCTION("""COMPUTED_VALUE"""),"Sale")</f>
        <v>Sale</v>
      </c>
      <c r="E998" s="2" t="str">
        <f>IFERROR(__xludf.DUMMYFUNCTION("""COMPUTED_VALUE"""),"Minuman")</f>
        <v>Minuman</v>
      </c>
      <c r="F998" s="2">
        <f>IFERROR(__xludf.DUMMYFUNCTION("""COMPUTED_VALUE"""),10067.0)</f>
        <v>10067</v>
      </c>
      <c r="G998" s="2" t="str">
        <f>IFERROR(__xludf.DUMMYFUNCTION("""COMPUTED_VALUE"""),"Wedang angin")</f>
        <v>Wedang angin</v>
      </c>
      <c r="H998" s="2"/>
      <c r="I998" s="2"/>
      <c r="J998" s="2">
        <f>IFERROR(__xludf.DUMMYFUNCTION("""COMPUTED_VALUE"""),1.0)</f>
        <v>1</v>
      </c>
      <c r="K998" s="6">
        <f>IFERROR(__xludf.DUMMYFUNCTION("""COMPUTED_VALUE"""),24762.0)</f>
        <v>24762</v>
      </c>
      <c r="L998" s="2">
        <f>IFERROR(__xludf.DUMMYFUNCTION("""COMPUTED_VALUE"""),0.0)</f>
        <v>0</v>
      </c>
      <c r="M998" s="2">
        <f>IFERROR(__xludf.DUMMYFUNCTION("""COMPUTED_VALUE"""),24762.0)</f>
        <v>24762</v>
      </c>
      <c r="N998" s="2">
        <f>IFERROR(__xludf.DUMMYFUNCTION("""COMPUTED_VALUE"""),0.0)</f>
        <v>0</v>
      </c>
      <c r="O998" s="2">
        <f>IFERROR(__xludf.DUMMYFUNCTION("""COMPUTED_VALUE"""),24762.0)</f>
        <v>24762</v>
      </c>
      <c r="P998" s="2">
        <f>IFERROR(__xludf.DUMMYFUNCTION("""COMPUTED_VALUE"""),1238.0)</f>
        <v>1238</v>
      </c>
      <c r="Q998" s="2" t="str">
        <f>IFERROR(__xludf.DUMMYFUNCTION("""COMPUTED_VALUE"""),"Dine In")</f>
        <v>Dine In</v>
      </c>
      <c r="R998" s="2" t="str">
        <f>IFERROR(__xludf.DUMMYFUNCTION("""COMPUTED_VALUE"""),"Kedai")</f>
        <v>Kedai</v>
      </c>
      <c r="S998" s="2" t="str">
        <f>IFERROR(__xludf.DUMMYFUNCTION("""COMPUTED_VALUE"""),"Temu Roti")</f>
        <v>Temu Roti</v>
      </c>
      <c r="T998" s="2" t="str">
        <f>IFERROR(__xludf.DUMMYFUNCTION("""COMPUTED_VALUE"""),"Owner")</f>
        <v>Owner</v>
      </c>
      <c r="U998" s="2"/>
      <c r="V998" s="2"/>
      <c r="W998" s="2"/>
      <c r="X998" s="2" t="str">
        <f>IFERROR(__xludf.DUMMYFUNCTION("""COMPUTED_VALUE"""),"Closed")</f>
        <v>Closed</v>
      </c>
    </row>
    <row r="999">
      <c r="A999" s="3" t="s">
        <v>1014</v>
      </c>
      <c r="B999" s="4">
        <f>IFERROR(__xludf.DUMMYFUNCTION("SPLIT(A999,"","",0,0)"),45545.59652777778)</f>
        <v>45545.59653</v>
      </c>
      <c r="C999" s="5">
        <f>IFERROR(__xludf.DUMMYFUNCTION("""COMPUTED_VALUE"""),2661555.0)</f>
        <v>2661555</v>
      </c>
      <c r="D999" s="2" t="str">
        <f>IFERROR(__xludf.DUMMYFUNCTION("""COMPUTED_VALUE"""),"Sale")</f>
        <v>Sale</v>
      </c>
      <c r="E999" s="2" t="str">
        <f>IFERROR(__xludf.DUMMYFUNCTION("""COMPUTED_VALUE"""),"Kudapan")</f>
        <v>Kudapan</v>
      </c>
      <c r="F999" s="2">
        <f>IFERROR(__xludf.DUMMYFUNCTION("""COMPUTED_VALUE"""),10009.0)</f>
        <v>10009</v>
      </c>
      <c r="G999" s="2" t="str">
        <f>IFERROR(__xludf.DUMMYFUNCTION("""COMPUTED_VALUE"""),"Jamur Enoki Krispi")</f>
        <v>Jamur Enoki Krispi</v>
      </c>
      <c r="H999" s="2"/>
      <c r="I999" s="2"/>
      <c r="J999" s="2">
        <f>IFERROR(__xludf.DUMMYFUNCTION("""COMPUTED_VALUE"""),1.0)</f>
        <v>1</v>
      </c>
      <c r="K999" s="6">
        <f>IFERROR(__xludf.DUMMYFUNCTION("""COMPUTED_VALUE"""),26667.0)</f>
        <v>26667</v>
      </c>
      <c r="L999" s="2">
        <f>IFERROR(__xludf.DUMMYFUNCTION("""COMPUTED_VALUE"""),0.0)</f>
        <v>0</v>
      </c>
      <c r="M999" s="2">
        <f>IFERROR(__xludf.DUMMYFUNCTION("""COMPUTED_VALUE"""),26667.0)</f>
        <v>26667</v>
      </c>
      <c r="N999" s="2">
        <f>IFERROR(__xludf.DUMMYFUNCTION("""COMPUTED_VALUE"""),0.0)</f>
        <v>0</v>
      </c>
      <c r="O999" s="2">
        <f>IFERROR(__xludf.DUMMYFUNCTION("""COMPUTED_VALUE"""),26667.0)</f>
        <v>26667</v>
      </c>
      <c r="P999" s="2">
        <f>IFERROR(__xludf.DUMMYFUNCTION("""COMPUTED_VALUE"""),1333.0)</f>
        <v>1333</v>
      </c>
      <c r="Q999" s="2" t="str">
        <f>IFERROR(__xludf.DUMMYFUNCTION("""COMPUTED_VALUE"""),"Dine In")</f>
        <v>Dine In</v>
      </c>
      <c r="R999" s="2" t="str">
        <f>IFERROR(__xludf.DUMMYFUNCTION("""COMPUTED_VALUE"""),"Kedai")</f>
        <v>Kedai</v>
      </c>
      <c r="S999" s="2" t="str">
        <f>IFERROR(__xludf.DUMMYFUNCTION("""COMPUTED_VALUE"""),"Temu Roti")</f>
        <v>Temu Roti</v>
      </c>
      <c r="T999" s="2" t="str">
        <f>IFERROR(__xludf.DUMMYFUNCTION("""COMPUTED_VALUE"""),"Owner")</f>
        <v>Owner</v>
      </c>
      <c r="U999" s="2"/>
      <c r="V999" s="2"/>
      <c r="W999" s="2"/>
      <c r="X999" s="2" t="str">
        <f>IFERROR(__xludf.DUMMYFUNCTION("""COMPUTED_VALUE"""),"Closed")</f>
        <v>Closed</v>
      </c>
    </row>
    <row r="1000">
      <c r="A1000" s="3" t="s">
        <v>1015</v>
      </c>
      <c r="B1000" s="4">
        <f>IFERROR(__xludf.DUMMYFUNCTION("SPLIT(A1000,"","",0,0)"),45545.59652777778)</f>
        <v>45545.59653</v>
      </c>
      <c r="C1000" s="5">
        <f>IFERROR(__xludf.DUMMYFUNCTION("""COMPUTED_VALUE"""),2661555.0)</f>
        <v>2661555</v>
      </c>
      <c r="D1000" s="2" t="str">
        <f>IFERROR(__xludf.DUMMYFUNCTION("""COMPUTED_VALUE"""),"Sale")</f>
        <v>Sale</v>
      </c>
      <c r="E1000" s="2" t="str">
        <f>IFERROR(__xludf.DUMMYFUNCTION("""COMPUTED_VALUE"""),"Minuman")</f>
        <v>Minuman</v>
      </c>
      <c r="F1000" s="2">
        <f>IFERROR(__xludf.DUMMYFUNCTION("""COMPUTED_VALUE"""),10107.0)</f>
        <v>10107</v>
      </c>
      <c r="G1000" s="2" t="str">
        <f>IFERROR(__xludf.DUMMYFUNCTION("""COMPUTED_VALUE"""),"Korean Mango Fresh Milk")</f>
        <v>Korean Mango Fresh Milk</v>
      </c>
      <c r="H1000" s="2"/>
      <c r="I1000" s="2"/>
      <c r="J1000" s="2">
        <f>IFERROR(__xludf.DUMMYFUNCTION("""COMPUTED_VALUE"""),1.0)</f>
        <v>1</v>
      </c>
      <c r="K1000" s="6">
        <f>IFERROR(__xludf.DUMMYFUNCTION("""COMPUTED_VALUE"""),26667.0)</f>
        <v>26667</v>
      </c>
      <c r="L1000" s="2">
        <f>IFERROR(__xludf.DUMMYFUNCTION("""COMPUTED_VALUE"""),0.0)</f>
        <v>0</v>
      </c>
      <c r="M1000" s="2">
        <f>IFERROR(__xludf.DUMMYFUNCTION("""COMPUTED_VALUE"""),26667.0)</f>
        <v>26667</v>
      </c>
      <c r="N1000" s="2">
        <f>IFERROR(__xludf.DUMMYFUNCTION("""COMPUTED_VALUE"""),0.0)</f>
        <v>0</v>
      </c>
      <c r="O1000" s="2">
        <f>IFERROR(__xludf.DUMMYFUNCTION("""COMPUTED_VALUE"""),26667.0)</f>
        <v>26667</v>
      </c>
      <c r="P1000" s="2">
        <f>IFERROR(__xludf.DUMMYFUNCTION("""COMPUTED_VALUE"""),1333.0)</f>
        <v>1333</v>
      </c>
      <c r="Q1000" s="2" t="str">
        <f>IFERROR(__xludf.DUMMYFUNCTION("""COMPUTED_VALUE"""),"Dine In")</f>
        <v>Dine In</v>
      </c>
      <c r="R1000" s="2" t="str">
        <f>IFERROR(__xludf.DUMMYFUNCTION("""COMPUTED_VALUE"""),"Kedai")</f>
        <v>Kedai</v>
      </c>
      <c r="S1000" s="2" t="str">
        <f>IFERROR(__xludf.DUMMYFUNCTION("""COMPUTED_VALUE"""),"Temu Roti")</f>
        <v>Temu Roti</v>
      </c>
      <c r="T1000" s="2" t="str">
        <f>IFERROR(__xludf.DUMMYFUNCTION("""COMPUTED_VALUE"""),"Owner")</f>
        <v>Owner</v>
      </c>
      <c r="U1000" s="2"/>
      <c r="V1000" s="2"/>
      <c r="W1000" s="2"/>
      <c r="X1000" s="2" t="str">
        <f>IFERROR(__xludf.DUMMYFUNCTION("""COMPUTED_VALUE"""),"Closed")</f>
        <v>Closed</v>
      </c>
    </row>
    <row r="1001">
      <c r="A1001" s="3" t="s">
        <v>1016</v>
      </c>
      <c r="B1001" s="4">
        <f>IFERROR(__xludf.DUMMYFUNCTION("SPLIT(A1001,"","",0,0)"),45545.59652777778)</f>
        <v>45545.59653</v>
      </c>
      <c r="C1001" s="5">
        <f>IFERROR(__xludf.DUMMYFUNCTION("""COMPUTED_VALUE"""),2661555.0)</f>
        <v>2661555</v>
      </c>
      <c r="D1001" s="2" t="str">
        <f>IFERROR(__xludf.DUMMYFUNCTION("""COMPUTED_VALUE"""),"Sale")</f>
        <v>Sale</v>
      </c>
      <c r="E1001" s="2" t="str">
        <f>IFERROR(__xludf.DUMMYFUNCTION("""COMPUTED_VALUE"""),"Kudapan")</f>
        <v>Kudapan</v>
      </c>
      <c r="F1001" s="2">
        <f>IFERROR(__xludf.DUMMYFUNCTION("""COMPUTED_VALUE"""),10015.0)</f>
        <v>10015</v>
      </c>
      <c r="G1001" s="2" t="str">
        <f>IFERROR(__xludf.DUMMYFUNCTION("""COMPUTED_VALUE"""),"Tahu Lada Garam")</f>
        <v>Tahu Lada Garam</v>
      </c>
      <c r="H1001" s="2"/>
      <c r="I1001" s="2"/>
      <c r="J1001" s="2">
        <f>IFERROR(__xludf.DUMMYFUNCTION("""COMPUTED_VALUE"""),1.0)</f>
        <v>1</v>
      </c>
      <c r="K1001" s="6">
        <f>IFERROR(__xludf.DUMMYFUNCTION("""COMPUTED_VALUE"""),25238.0)</f>
        <v>25238</v>
      </c>
      <c r="L1001" s="2">
        <f>IFERROR(__xludf.DUMMYFUNCTION("""COMPUTED_VALUE"""),0.0)</f>
        <v>0</v>
      </c>
      <c r="M1001" s="2">
        <f>IFERROR(__xludf.DUMMYFUNCTION("""COMPUTED_VALUE"""),25238.0)</f>
        <v>25238</v>
      </c>
      <c r="N1001" s="2">
        <f>IFERROR(__xludf.DUMMYFUNCTION("""COMPUTED_VALUE"""),0.0)</f>
        <v>0</v>
      </c>
      <c r="O1001" s="2">
        <f>IFERROR(__xludf.DUMMYFUNCTION("""COMPUTED_VALUE"""),25238.0)</f>
        <v>25238</v>
      </c>
      <c r="P1001" s="2">
        <f>IFERROR(__xludf.DUMMYFUNCTION("""COMPUTED_VALUE"""),1262.0)</f>
        <v>1262</v>
      </c>
      <c r="Q1001" s="2" t="str">
        <f>IFERROR(__xludf.DUMMYFUNCTION("""COMPUTED_VALUE"""),"Dine In")</f>
        <v>Dine In</v>
      </c>
      <c r="R1001" s="2" t="str">
        <f>IFERROR(__xludf.DUMMYFUNCTION("""COMPUTED_VALUE"""),"Kedai")</f>
        <v>Kedai</v>
      </c>
      <c r="S1001" s="2" t="str">
        <f>IFERROR(__xludf.DUMMYFUNCTION("""COMPUTED_VALUE"""),"Temu Roti")</f>
        <v>Temu Roti</v>
      </c>
      <c r="T1001" s="2" t="str">
        <f>IFERROR(__xludf.DUMMYFUNCTION("""COMPUTED_VALUE"""),"Owner")</f>
        <v>Owner</v>
      </c>
      <c r="U1001" s="2"/>
      <c r="V1001" s="2"/>
      <c r="W1001" s="2"/>
      <c r="X1001" s="2" t="str">
        <f>IFERROR(__xludf.DUMMYFUNCTION("""COMPUTED_VALUE"""),"Closed")</f>
        <v>Closed</v>
      </c>
    </row>
    <row r="1002">
      <c r="A1002" s="3" t="s">
        <v>1017</v>
      </c>
      <c r="B1002" s="4">
        <f>IFERROR(__xludf.DUMMYFUNCTION("SPLIT(A1002,"","",0,0)"),45545.59652777778)</f>
        <v>45545.59653</v>
      </c>
      <c r="C1002" s="5">
        <f>IFERROR(__xludf.DUMMYFUNCTION("""COMPUTED_VALUE"""),2661555.0)</f>
        <v>2661555</v>
      </c>
      <c r="D1002" s="2" t="str">
        <f>IFERROR(__xludf.DUMMYFUNCTION("""COMPUTED_VALUE"""),"Sale")</f>
        <v>Sale</v>
      </c>
      <c r="E1002" s="2" t="str">
        <f>IFERROR(__xludf.DUMMYFUNCTION("""COMPUTED_VALUE"""),"Roti")</f>
        <v>Roti</v>
      </c>
      <c r="F1002" s="2">
        <f>IFERROR(__xludf.DUMMYFUNCTION("""COMPUTED_VALUE"""),10000.0)</f>
        <v>10000</v>
      </c>
      <c r="G1002" s="2" t="str">
        <f>IFERROR(__xludf.DUMMYFUNCTION("""COMPUTED_VALUE"""),"Roti Bawang Saus Keju")</f>
        <v>Roti Bawang Saus Keju</v>
      </c>
      <c r="H1002" s="2"/>
      <c r="I1002" s="2"/>
      <c r="J1002" s="2">
        <f>IFERROR(__xludf.DUMMYFUNCTION("""COMPUTED_VALUE"""),1.0)</f>
        <v>1</v>
      </c>
      <c r="K1002" s="6">
        <f>IFERROR(__xludf.DUMMYFUNCTION("""COMPUTED_VALUE"""),29524.0)</f>
        <v>29524</v>
      </c>
      <c r="L1002" s="2">
        <f>IFERROR(__xludf.DUMMYFUNCTION("""COMPUTED_VALUE"""),0.0)</f>
        <v>0</v>
      </c>
      <c r="M1002" s="2">
        <f>IFERROR(__xludf.DUMMYFUNCTION("""COMPUTED_VALUE"""),29524.0)</f>
        <v>29524</v>
      </c>
      <c r="N1002" s="2">
        <f>IFERROR(__xludf.DUMMYFUNCTION("""COMPUTED_VALUE"""),0.0)</f>
        <v>0</v>
      </c>
      <c r="O1002" s="2">
        <f>IFERROR(__xludf.DUMMYFUNCTION("""COMPUTED_VALUE"""),29524.0)</f>
        <v>29524</v>
      </c>
      <c r="P1002" s="2">
        <f>IFERROR(__xludf.DUMMYFUNCTION("""COMPUTED_VALUE"""),1477.0)</f>
        <v>1477</v>
      </c>
      <c r="Q1002" s="2" t="str">
        <f>IFERROR(__xludf.DUMMYFUNCTION("""COMPUTED_VALUE"""),"Dine In")</f>
        <v>Dine In</v>
      </c>
      <c r="R1002" s="2" t="str">
        <f>IFERROR(__xludf.DUMMYFUNCTION("""COMPUTED_VALUE"""),"Kedai")</f>
        <v>Kedai</v>
      </c>
      <c r="S1002" s="2" t="str">
        <f>IFERROR(__xludf.DUMMYFUNCTION("""COMPUTED_VALUE"""),"Temu Roti")</f>
        <v>Temu Roti</v>
      </c>
      <c r="T1002" s="2" t="str">
        <f>IFERROR(__xludf.DUMMYFUNCTION("""COMPUTED_VALUE"""),"Owner")</f>
        <v>Owner</v>
      </c>
      <c r="U1002" s="2"/>
      <c r="V1002" s="2"/>
      <c r="W1002" s="2"/>
      <c r="X1002" s="2" t="str">
        <f>IFERROR(__xludf.DUMMYFUNCTION("""COMPUTED_VALUE"""),"Closed")</f>
        <v>Closed</v>
      </c>
    </row>
    <row r="1003">
      <c r="A1003" s="3" t="s">
        <v>1018</v>
      </c>
      <c r="B1003" s="4">
        <f>IFERROR(__xludf.DUMMYFUNCTION("SPLIT(A1003,"","",0,0)"),45545.53125)</f>
        <v>45545.53125</v>
      </c>
      <c r="C1003" s="5">
        <f>IFERROR(__xludf.DUMMYFUNCTION("""COMPUTED_VALUE"""),2661190.0)</f>
        <v>2661190</v>
      </c>
      <c r="D1003" s="2" t="str">
        <f>IFERROR(__xludf.DUMMYFUNCTION("""COMPUTED_VALUE"""),"Sale")</f>
        <v>Sale</v>
      </c>
      <c r="E1003" s="2" t="str">
        <f>IFERROR(__xludf.DUMMYFUNCTION("""COMPUTED_VALUE"""),"Kudapan")</f>
        <v>Kudapan</v>
      </c>
      <c r="F1003" s="2">
        <f>IFERROR(__xludf.DUMMYFUNCTION("""COMPUTED_VALUE"""),10004.0)</f>
        <v>10004</v>
      </c>
      <c r="G1003" s="2" t="str">
        <f>IFERROR(__xludf.DUMMYFUNCTION("""COMPUTED_VALUE"""),"Tahu walik")</f>
        <v>Tahu walik</v>
      </c>
      <c r="H1003" s="2"/>
      <c r="I1003" s="2"/>
      <c r="J1003" s="2">
        <f>IFERROR(__xludf.DUMMYFUNCTION("""COMPUTED_VALUE"""),1.0)</f>
        <v>1</v>
      </c>
      <c r="K1003" s="6">
        <f>IFERROR(__xludf.DUMMYFUNCTION("""COMPUTED_VALUE"""),25238.0)</f>
        <v>25238</v>
      </c>
      <c r="L1003" s="2">
        <f>IFERROR(__xludf.DUMMYFUNCTION("""COMPUTED_VALUE"""),0.0)</f>
        <v>0</v>
      </c>
      <c r="M1003" s="2">
        <f>IFERROR(__xludf.DUMMYFUNCTION("""COMPUTED_VALUE"""),25238.0)</f>
        <v>25238</v>
      </c>
      <c r="N1003" s="2">
        <f>IFERROR(__xludf.DUMMYFUNCTION("""COMPUTED_VALUE"""),0.0)</f>
        <v>0</v>
      </c>
      <c r="O1003" s="2">
        <f>IFERROR(__xludf.DUMMYFUNCTION("""COMPUTED_VALUE"""),25238.0)</f>
        <v>25238</v>
      </c>
      <c r="P1003" s="2">
        <f>IFERROR(__xludf.DUMMYFUNCTION("""COMPUTED_VALUE"""),1262.0)</f>
        <v>1262</v>
      </c>
      <c r="Q1003" s="2" t="str">
        <f>IFERROR(__xludf.DUMMYFUNCTION("""COMPUTED_VALUE"""),"Dine In")</f>
        <v>Dine In</v>
      </c>
      <c r="R1003" s="2" t="str">
        <f>IFERROR(__xludf.DUMMYFUNCTION("""COMPUTED_VALUE"""),"Kedai")</f>
        <v>Kedai</v>
      </c>
      <c r="S1003" s="2" t="str">
        <f>IFERROR(__xludf.DUMMYFUNCTION("""COMPUTED_VALUE"""),"Temu Roti")</f>
        <v>Temu Roti</v>
      </c>
      <c r="T1003" s="2" t="str">
        <f>IFERROR(__xludf.DUMMYFUNCTION("""COMPUTED_VALUE"""),"Owner")</f>
        <v>Owner</v>
      </c>
      <c r="U1003" s="2"/>
      <c r="V1003" s="2"/>
      <c r="W1003" s="2"/>
      <c r="X1003" s="2" t="str">
        <f>IFERROR(__xludf.DUMMYFUNCTION("""COMPUTED_VALUE"""),"Closed")</f>
        <v>Closed</v>
      </c>
    </row>
    <row r="1004">
      <c r="A1004" s="3" t="s">
        <v>1019</v>
      </c>
      <c r="B1004" s="4">
        <f>IFERROR(__xludf.DUMMYFUNCTION("SPLIT(A1004,"","",0,0)"),45545.53125)</f>
        <v>45545.53125</v>
      </c>
      <c r="C1004" s="5">
        <f>IFERROR(__xludf.DUMMYFUNCTION("""COMPUTED_VALUE"""),2661190.0)</f>
        <v>2661190</v>
      </c>
      <c r="D1004" s="2" t="str">
        <f>IFERROR(__xludf.DUMMYFUNCTION("""COMPUTED_VALUE"""),"Sale")</f>
        <v>Sale</v>
      </c>
      <c r="E1004" s="2" t="str">
        <f>IFERROR(__xludf.DUMMYFUNCTION("""COMPUTED_VALUE"""),"Kudapan")</f>
        <v>Kudapan</v>
      </c>
      <c r="F1004" s="2">
        <f>IFERROR(__xludf.DUMMYFUNCTION("""COMPUTED_VALUE"""),10014.0)</f>
        <v>10014</v>
      </c>
      <c r="G1004" s="2" t="str">
        <f>IFERROR(__xludf.DUMMYFUNCTION("""COMPUTED_VALUE"""),"Tempe Mendoan")</f>
        <v>Tempe Mendoan</v>
      </c>
      <c r="H1004" s="2"/>
      <c r="I1004" s="2"/>
      <c r="J1004" s="2">
        <f>IFERROR(__xludf.DUMMYFUNCTION("""COMPUTED_VALUE"""),1.0)</f>
        <v>1</v>
      </c>
      <c r="K1004" s="6">
        <f>IFERROR(__xludf.DUMMYFUNCTION("""COMPUTED_VALUE"""),25238.0)</f>
        <v>25238</v>
      </c>
      <c r="L1004" s="2">
        <f>IFERROR(__xludf.DUMMYFUNCTION("""COMPUTED_VALUE"""),0.0)</f>
        <v>0</v>
      </c>
      <c r="M1004" s="2">
        <f>IFERROR(__xludf.DUMMYFUNCTION("""COMPUTED_VALUE"""),25238.0)</f>
        <v>25238</v>
      </c>
      <c r="N1004" s="2">
        <f>IFERROR(__xludf.DUMMYFUNCTION("""COMPUTED_VALUE"""),0.0)</f>
        <v>0</v>
      </c>
      <c r="O1004" s="2">
        <f>IFERROR(__xludf.DUMMYFUNCTION("""COMPUTED_VALUE"""),25238.0)</f>
        <v>25238</v>
      </c>
      <c r="P1004" s="2">
        <f>IFERROR(__xludf.DUMMYFUNCTION("""COMPUTED_VALUE"""),1262.0)</f>
        <v>1262</v>
      </c>
      <c r="Q1004" s="2" t="str">
        <f>IFERROR(__xludf.DUMMYFUNCTION("""COMPUTED_VALUE"""),"Dine In")</f>
        <v>Dine In</v>
      </c>
      <c r="R1004" s="2" t="str">
        <f>IFERROR(__xludf.DUMMYFUNCTION("""COMPUTED_VALUE"""),"Kedai")</f>
        <v>Kedai</v>
      </c>
      <c r="S1004" s="2" t="str">
        <f>IFERROR(__xludf.DUMMYFUNCTION("""COMPUTED_VALUE"""),"Temu Roti")</f>
        <v>Temu Roti</v>
      </c>
      <c r="T1004" s="2" t="str">
        <f>IFERROR(__xludf.DUMMYFUNCTION("""COMPUTED_VALUE"""),"Owner")</f>
        <v>Owner</v>
      </c>
      <c r="U1004" s="2"/>
      <c r="V1004" s="2"/>
      <c r="W1004" s="2"/>
      <c r="X1004" s="2" t="str">
        <f>IFERROR(__xludf.DUMMYFUNCTION("""COMPUTED_VALUE"""),"Closed")</f>
        <v>Closed</v>
      </c>
    </row>
    <row r="1005">
      <c r="A1005" s="3" t="s">
        <v>1020</v>
      </c>
      <c r="B1005" s="4">
        <f>IFERROR(__xludf.DUMMYFUNCTION("SPLIT(A1005,"","",0,0)"),45545.52291666667)</f>
        <v>45545.52292</v>
      </c>
      <c r="C1005" s="5">
        <f>IFERROR(__xludf.DUMMYFUNCTION("""COMPUTED_VALUE"""),2660825.0)</f>
        <v>2660825</v>
      </c>
      <c r="D1005" s="2" t="str">
        <f>IFERROR(__xludf.DUMMYFUNCTION("""COMPUTED_VALUE"""),"Sale")</f>
        <v>Sale</v>
      </c>
      <c r="E1005" s="2" t="str">
        <f>IFERROR(__xludf.DUMMYFUNCTION("""COMPUTED_VALUE"""),"Roti")</f>
        <v>Roti</v>
      </c>
      <c r="F1005" s="2">
        <f>IFERROR(__xludf.DUMMYFUNCTION("""COMPUTED_VALUE"""),10007.0)</f>
        <v>10007</v>
      </c>
      <c r="G1005" s="2" t="str">
        <f>IFERROR(__xludf.DUMMYFUNCTION("""COMPUTED_VALUE"""),"Roti cranberry 2 pcs")</f>
        <v>Roti cranberry 2 pcs</v>
      </c>
      <c r="H1005" s="2"/>
      <c r="I1005" s="2"/>
      <c r="J1005" s="2">
        <f>IFERROR(__xludf.DUMMYFUNCTION("""COMPUTED_VALUE"""),1.0)</f>
        <v>1</v>
      </c>
      <c r="K1005" s="6">
        <f>IFERROR(__xludf.DUMMYFUNCTION("""COMPUTED_VALUE"""),33810.0)</f>
        <v>33810</v>
      </c>
      <c r="L1005" s="2">
        <f>IFERROR(__xludf.DUMMYFUNCTION("""COMPUTED_VALUE"""),0.0)</f>
        <v>0</v>
      </c>
      <c r="M1005" s="2">
        <f>IFERROR(__xludf.DUMMYFUNCTION("""COMPUTED_VALUE"""),33810.0)</f>
        <v>33810</v>
      </c>
      <c r="N1005" s="2">
        <f>IFERROR(__xludf.DUMMYFUNCTION("""COMPUTED_VALUE"""),0.0)</f>
        <v>0</v>
      </c>
      <c r="O1005" s="2">
        <f>IFERROR(__xludf.DUMMYFUNCTION("""COMPUTED_VALUE"""),33810.0)</f>
        <v>33810</v>
      </c>
      <c r="P1005" s="2">
        <f>IFERROR(__xludf.DUMMYFUNCTION("""COMPUTED_VALUE"""),1691.0)</f>
        <v>1691</v>
      </c>
      <c r="Q1005" s="2" t="str">
        <f>IFERROR(__xludf.DUMMYFUNCTION("""COMPUTED_VALUE"""),"Take Away")</f>
        <v>Take Away</v>
      </c>
      <c r="R1005" s="2" t="str">
        <f>IFERROR(__xludf.DUMMYFUNCTION("""COMPUTED_VALUE"""),"Kedai")</f>
        <v>Kedai</v>
      </c>
      <c r="S1005" s="2" t="str">
        <f>IFERROR(__xludf.DUMMYFUNCTION("""COMPUTED_VALUE"""),"Temu Roti")</f>
        <v>Temu Roti</v>
      </c>
      <c r="T1005" s="2" t="str">
        <f>IFERROR(__xludf.DUMMYFUNCTION("""COMPUTED_VALUE"""),"Owner")</f>
        <v>Owner</v>
      </c>
      <c r="U1005" s="2"/>
      <c r="V1005" s="2"/>
      <c r="W1005" s="2"/>
      <c r="X1005" s="2" t="str">
        <f>IFERROR(__xludf.DUMMYFUNCTION("""COMPUTED_VALUE"""),"Closed")</f>
        <v>Closed</v>
      </c>
    </row>
    <row r="1006">
      <c r="A1006" s="3" t="s">
        <v>1021</v>
      </c>
      <c r="B1006" s="4">
        <f>IFERROR(__xludf.DUMMYFUNCTION("SPLIT(A1006,"","",0,0)"),45545.402083333334)</f>
        <v>45545.40208</v>
      </c>
      <c r="C1006" s="5">
        <f>IFERROR(__xludf.DUMMYFUNCTION("""COMPUTED_VALUE"""),2660459.0)</f>
        <v>2660459</v>
      </c>
      <c r="D1006" s="2" t="str">
        <f>IFERROR(__xludf.DUMMYFUNCTION("""COMPUTED_VALUE"""),"Sale")</f>
        <v>Sale</v>
      </c>
      <c r="E1006" s="2" t="str">
        <f>IFERROR(__xludf.DUMMYFUNCTION("""COMPUTED_VALUE"""),"Roti")</f>
        <v>Roti</v>
      </c>
      <c r="F1006" s="2">
        <f>IFERROR(__xludf.DUMMYFUNCTION("""COMPUTED_VALUE"""),10007.0)</f>
        <v>10007</v>
      </c>
      <c r="G1006" s="2" t="str">
        <f>IFERROR(__xludf.DUMMYFUNCTION("""COMPUTED_VALUE"""),"Roti cranberry 2 pcs")</f>
        <v>Roti cranberry 2 pcs</v>
      </c>
      <c r="H1006" s="2"/>
      <c r="I1006" s="2"/>
      <c r="J1006" s="2">
        <f>IFERROR(__xludf.DUMMYFUNCTION("""COMPUTED_VALUE"""),2.0)</f>
        <v>2</v>
      </c>
      <c r="K1006" s="6">
        <f>IFERROR(__xludf.DUMMYFUNCTION("""COMPUTED_VALUE"""),67620.0)</f>
        <v>67620</v>
      </c>
      <c r="L1006" s="2">
        <f>IFERROR(__xludf.DUMMYFUNCTION("""COMPUTED_VALUE"""),0.0)</f>
        <v>0</v>
      </c>
      <c r="M1006" s="2">
        <f>IFERROR(__xludf.DUMMYFUNCTION("""COMPUTED_VALUE"""),67620.0)</f>
        <v>67620</v>
      </c>
      <c r="N1006" s="2">
        <f>IFERROR(__xludf.DUMMYFUNCTION("""COMPUTED_VALUE"""),0.0)</f>
        <v>0</v>
      </c>
      <c r="O1006" s="2">
        <f>IFERROR(__xludf.DUMMYFUNCTION("""COMPUTED_VALUE"""),67620.0)</f>
        <v>67620</v>
      </c>
      <c r="P1006" s="2">
        <f>IFERROR(__xludf.DUMMYFUNCTION("""COMPUTED_VALUE"""),3381.0)</f>
        <v>3381</v>
      </c>
      <c r="Q1006" s="2" t="str">
        <f>IFERROR(__xludf.DUMMYFUNCTION("""COMPUTED_VALUE"""),"Take Away")</f>
        <v>Take Away</v>
      </c>
      <c r="R1006" s="2" t="str">
        <f>IFERROR(__xludf.DUMMYFUNCTION("""COMPUTED_VALUE"""),"Kedai")</f>
        <v>Kedai</v>
      </c>
      <c r="S1006" s="2" t="str">
        <f>IFERROR(__xludf.DUMMYFUNCTION("""COMPUTED_VALUE"""),"Temu Roti")</f>
        <v>Temu Roti</v>
      </c>
      <c r="T1006" s="2" t="str">
        <f>IFERROR(__xludf.DUMMYFUNCTION("""COMPUTED_VALUE"""),"Owner")</f>
        <v>Owner</v>
      </c>
      <c r="U1006" s="2"/>
      <c r="V1006" s="2"/>
      <c r="W1006" s="2"/>
      <c r="X1006" s="2" t="str">
        <f>IFERROR(__xludf.DUMMYFUNCTION("""COMPUTED_VALUE"""),"Closed")</f>
        <v>Closed</v>
      </c>
    </row>
    <row r="1007">
      <c r="A1007" s="3" t="s">
        <v>1022</v>
      </c>
      <c r="B1007" s="4">
        <f>IFERROR(__xludf.DUMMYFUNCTION("SPLIT(A1007,"","",0,0)"),45545.402083333334)</f>
        <v>45545.40208</v>
      </c>
      <c r="C1007" s="5">
        <f>IFERROR(__xludf.DUMMYFUNCTION("""COMPUTED_VALUE"""),2660459.0)</f>
        <v>2660459</v>
      </c>
      <c r="D1007" s="2" t="str">
        <f>IFERROR(__xludf.DUMMYFUNCTION("""COMPUTED_VALUE"""),"Sale")</f>
        <v>Sale</v>
      </c>
      <c r="E1007" s="2" t="str">
        <f>IFERROR(__xludf.DUMMYFUNCTION("""COMPUTED_VALUE"""),"Roti")</f>
        <v>Roti</v>
      </c>
      <c r="F1007" s="2">
        <f>IFERROR(__xludf.DUMMYFUNCTION("""COMPUTED_VALUE"""),10055.0)</f>
        <v>10055</v>
      </c>
      <c r="G1007" s="2" t="str">
        <f>IFERROR(__xludf.DUMMYFUNCTION("""COMPUTED_VALUE"""),"Roti Gandum Cokelat 2 pcs")</f>
        <v>Roti Gandum Cokelat 2 pcs</v>
      </c>
      <c r="H1007" s="2"/>
      <c r="I1007" s="2"/>
      <c r="J1007" s="2">
        <f>IFERROR(__xludf.DUMMYFUNCTION("""COMPUTED_VALUE"""),1.0)</f>
        <v>1</v>
      </c>
      <c r="K1007" s="6">
        <f>IFERROR(__xludf.DUMMYFUNCTION("""COMPUTED_VALUE"""),34762.0)</f>
        <v>34762</v>
      </c>
      <c r="L1007" s="2">
        <f>IFERROR(__xludf.DUMMYFUNCTION("""COMPUTED_VALUE"""),0.0)</f>
        <v>0</v>
      </c>
      <c r="M1007" s="2">
        <f>IFERROR(__xludf.DUMMYFUNCTION("""COMPUTED_VALUE"""),34762.0)</f>
        <v>34762</v>
      </c>
      <c r="N1007" s="2">
        <f>IFERROR(__xludf.DUMMYFUNCTION("""COMPUTED_VALUE"""),0.0)</f>
        <v>0</v>
      </c>
      <c r="O1007" s="2">
        <f>IFERROR(__xludf.DUMMYFUNCTION("""COMPUTED_VALUE"""),34762.0)</f>
        <v>34762</v>
      </c>
      <c r="P1007" s="2">
        <f>IFERROR(__xludf.DUMMYFUNCTION("""COMPUTED_VALUE"""),1738.0)</f>
        <v>1738</v>
      </c>
      <c r="Q1007" s="2" t="str">
        <f>IFERROR(__xludf.DUMMYFUNCTION("""COMPUTED_VALUE"""),"Take Away")</f>
        <v>Take Away</v>
      </c>
      <c r="R1007" s="2" t="str">
        <f>IFERROR(__xludf.DUMMYFUNCTION("""COMPUTED_VALUE"""),"Kedai")</f>
        <v>Kedai</v>
      </c>
      <c r="S1007" s="2" t="str">
        <f>IFERROR(__xludf.DUMMYFUNCTION("""COMPUTED_VALUE"""),"Temu Roti")</f>
        <v>Temu Roti</v>
      </c>
      <c r="T1007" s="2" t="str">
        <f>IFERROR(__xludf.DUMMYFUNCTION("""COMPUTED_VALUE"""),"Owner")</f>
        <v>Owner</v>
      </c>
      <c r="U1007" s="2"/>
      <c r="V1007" s="2"/>
      <c r="W1007" s="2"/>
      <c r="X1007" s="2" t="str">
        <f>IFERROR(__xludf.DUMMYFUNCTION("""COMPUTED_VALUE"""),"Closed")</f>
        <v>Closed</v>
      </c>
    </row>
    <row r="1008">
      <c r="A1008" s="3" t="s">
        <v>1023</v>
      </c>
      <c r="B1008" s="4">
        <f>IFERROR(__xludf.DUMMYFUNCTION("SPLIT(A1008,"","",0,0)"),45545.402083333334)</f>
        <v>45545.40208</v>
      </c>
      <c r="C1008" s="5">
        <f>IFERROR(__xludf.DUMMYFUNCTION("""COMPUTED_VALUE"""),2660459.0)</f>
        <v>2660459</v>
      </c>
      <c r="D1008" s="2" t="str">
        <f>IFERROR(__xludf.DUMMYFUNCTION("""COMPUTED_VALUE"""),"Sale")</f>
        <v>Sale</v>
      </c>
      <c r="E1008" s="2" t="str">
        <f>IFERROR(__xludf.DUMMYFUNCTION("""COMPUTED_VALUE"""),"Roti")</f>
        <v>Roti</v>
      </c>
      <c r="F1008" s="2">
        <f>IFERROR(__xludf.DUMMYFUNCTION("""COMPUTED_VALUE"""),10005.0)</f>
        <v>10005</v>
      </c>
      <c r="G1008" s="2" t="str">
        <f>IFERROR(__xludf.DUMMYFUNCTION("""COMPUTED_VALUE"""),"Roti Gandum Cokelat")</f>
        <v>Roti Gandum Cokelat</v>
      </c>
      <c r="H1008" s="2"/>
      <c r="I1008" s="2"/>
      <c r="J1008" s="2">
        <f>IFERROR(__xludf.DUMMYFUNCTION("""COMPUTED_VALUE"""),1.0)</f>
        <v>1</v>
      </c>
      <c r="K1008" s="6">
        <f>IFERROR(__xludf.DUMMYFUNCTION("""COMPUTED_VALUE"""),19524.0)</f>
        <v>19524</v>
      </c>
      <c r="L1008" s="2">
        <f>IFERROR(__xludf.DUMMYFUNCTION("""COMPUTED_VALUE"""),0.0)</f>
        <v>0</v>
      </c>
      <c r="M1008" s="2">
        <f>IFERROR(__xludf.DUMMYFUNCTION("""COMPUTED_VALUE"""),19524.0)</f>
        <v>19524</v>
      </c>
      <c r="N1008" s="2">
        <f>IFERROR(__xludf.DUMMYFUNCTION("""COMPUTED_VALUE"""),0.0)</f>
        <v>0</v>
      </c>
      <c r="O1008" s="2">
        <f>IFERROR(__xludf.DUMMYFUNCTION("""COMPUTED_VALUE"""),19524.0)</f>
        <v>19524</v>
      </c>
      <c r="P1008" s="2">
        <f>IFERROR(__xludf.DUMMYFUNCTION("""COMPUTED_VALUE"""),976.0)</f>
        <v>976</v>
      </c>
      <c r="Q1008" s="2" t="str">
        <f>IFERROR(__xludf.DUMMYFUNCTION("""COMPUTED_VALUE"""),"Take Away")</f>
        <v>Take Away</v>
      </c>
      <c r="R1008" s="2" t="str">
        <f>IFERROR(__xludf.DUMMYFUNCTION("""COMPUTED_VALUE"""),"Kedai")</f>
        <v>Kedai</v>
      </c>
      <c r="S1008" s="2" t="str">
        <f>IFERROR(__xludf.DUMMYFUNCTION("""COMPUTED_VALUE"""),"Temu Roti")</f>
        <v>Temu Roti</v>
      </c>
      <c r="T1008" s="2" t="str">
        <f>IFERROR(__xludf.DUMMYFUNCTION("""COMPUTED_VALUE"""),"Owner")</f>
        <v>Owner</v>
      </c>
      <c r="U1008" s="2"/>
      <c r="V1008" s="2"/>
      <c r="W1008" s="2"/>
      <c r="X1008" s="2" t="str">
        <f>IFERROR(__xludf.DUMMYFUNCTION("""COMPUTED_VALUE"""),"Closed")</f>
        <v>Closed</v>
      </c>
    </row>
    <row r="1009">
      <c r="A1009" s="3" t="s">
        <v>1024</v>
      </c>
      <c r="B1009" s="4">
        <f>IFERROR(__xludf.DUMMYFUNCTION("SPLIT(A1009,"","",0,0)"),45543.84375)</f>
        <v>45543.84375</v>
      </c>
      <c r="C1009" s="5">
        <f>IFERROR(__xludf.DUMMYFUNCTION("""COMPUTED_VALUE"""),2660094.0)</f>
        <v>2660094</v>
      </c>
      <c r="D1009" s="2" t="str">
        <f>IFERROR(__xludf.DUMMYFUNCTION("""COMPUTED_VALUE"""),"Sale")</f>
        <v>Sale</v>
      </c>
      <c r="E1009" s="2" t="str">
        <f>IFERROR(__xludf.DUMMYFUNCTION("""COMPUTED_VALUE"""),"Minuman")</f>
        <v>Minuman</v>
      </c>
      <c r="F1009" s="2">
        <f>IFERROR(__xludf.DUMMYFUNCTION("""COMPUTED_VALUE"""),10123.0)</f>
        <v>10123</v>
      </c>
      <c r="G1009" s="2" t="str">
        <f>IFERROR(__xludf.DUMMYFUNCTION("""COMPUTED_VALUE"""),"Rempah Madu Dingin")</f>
        <v>Rempah Madu Dingin</v>
      </c>
      <c r="H1009" s="2"/>
      <c r="I1009" s="2"/>
      <c r="J1009" s="2">
        <f>IFERROR(__xludf.DUMMYFUNCTION("""COMPUTED_VALUE"""),1.0)</f>
        <v>1</v>
      </c>
      <c r="K1009" s="6">
        <f>IFERROR(__xludf.DUMMYFUNCTION("""COMPUTED_VALUE"""),21905.0)</f>
        <v>21905</v>
      </c>
      <c r="L1009" s="2">
        <f>IFERROR(__xludf.DUMMYFUNCTION("""COMPUTED_VALUE"""),0.0)</f>
        <v>0</v>
      </c>
      <c r="M1009" s="2">
        <f>IFERROR(__xludf.DUMMYFUNCTION("""COMPUTED_VALUE"""),21905.0)</f>
        <v>21905</v>
      </c>
      <c r="N1009" s="2">
        <f>IFERROR(__xludf.DUMMYFUNCTION("""COMPUTED_VALUE"""),0.0)</f>
        <v>0</v>
      </c>
      <c r="O1009" s="2">
        <f>IFERROR(__xludf.DUMMYFUNCTION("""COMPUTED_VALUE"""),21905.0)</f>
        <v>21905</v>
      </c>
      <c r="P1009" s="2">
        <f>IFERROR(__xludf.DUMMYFUNCTION("""COMPUTED_VALUE"""),1095.0)</f>
        <v>1095</v>
      </c>
      <c r="Q1009" s="2" t="str">
        <f>IFERROR(__xludf.DUMMYFUNCTION("""COMPUTED_VALUE"""),"Dine In")</f>
        <v>Dine In</v>
      </c>
      <c r="R1009" s="2" t="str">
        <f>IFERROR(__xludf.DUMMYFUNCTION("""COMPUTED_VALUE"""),"Kedai")</f>
        <v>Kedai</v>
      </c>
      <c r="S1009" s="2" t="str">
        <f>IFERROR(__xludf.DUMMYFUNCTION("""COMPUTED_VALUE"""),"Temu Roti")</f>
        <v>Temu Roti</v>
      </c>
      <c r="T1009" s="2" t="str">
        <f>IFERROR(__xludf.DUMMYFUNCTION("""COMPUTED_VALUE"""),"Owner")</f>
        <v>Owner</v>
      </c>
      <c r="U1009" s="2"/>
      <c r="V1009" s="2"/>
      <c r="W1009" s="2"/>
      <c r="X1009" s="2" t="str">
        <f>IFERROR(__xludf.DUMMYFUNCTION("""COMPUTED_VALUE"""),"Closed")</f>
        <v>Closed</v>
      </c>
    </row>
    <row r="1010">
      <c r="A1010" s="3" t="s">
        <v>1025</v>
      </c>
      <c r="B1010" s="4">
        <f>IFERROR(__xludf.DUMMYFUNCTION("SPLIT(A1010,"","",0,0)"),45543.84375)</f>
        <v>45543.84375</v>
      </c>
      <c r="C1010" s="5">
        <f>IFERROR(__xludf.DUMMYFUNCTION("""COMPUTED_VALUE"""),2660094.0)</f>
        <v>2660094</v>
      </c>
      <c r="D1010" s="2" t="str">
        <f>IFERROR(__xludf.DUMMYFUNCTION("""COMPUTED_VALUE"""),"Sale")</f>
        <v>Sale</v>
      </c>
      <c r="E1010" s="2" t="str">
        <f>IFERROR(__xludf.DUMMYFUNCTION("""COMPUTED_VALUE"""),"Kudapan")</f>
        <v>Kudapan</v>
      </c>
      <c r="F1010" s="2">
        <f>IFERROR(__xludf.DUMMYFUNCTION("""COMPUTED_VALUE"""),10010.0)</f>
        <v>10010</v>
      </c>
      <c r="G1010" s="2" t="str">
        <f>IFERROR(__xludf.DUMMYFUNCTION("""COMPUTED_VALUE"""),"Pisang Goreng")</f>
        <v>Pisang Goreng</v>
      </c>
      <c r="H1010" s="2"/>
      <c r="I1010" s="2"/>
      <c r="J1010" s="2">
        <f>IFERROR(__xludf.DUMMYFUNCTION("""COMPUTED_VALUE"""),1.0)</f>
        <v>1</v>
      </c>
      <c r="K1010" s="6">
        <f>IFERROR(__xludf.DUMMYFUNCTION("""COMPUTED_VALUE"""),25238.0)</f>
        <v>25238</v>
      </c>
      <c r="L1010" s="2">
        <f>IFERROR(__xludf.DUMMYFUNCTION("""COMPUTED_VALUE"""),0.0)</f>
        <v>0</v>
      </c>
      <c r="M1010" s="2">
        <f>IFERROR(__xludf.DUMMYFUNCTION("""COMPUTED_VALUE"""),25238.0)</f>
        <v>25238</v>
      </c>
      <c r="N1010" s="2">
        <f>IFERROR(__xludf.DUMMYFUNCTION("""COMPUTED_VALUE"""),0.0)</f>
        <v>0</v>
      </c>
      <c r="O1010" s="2">
        <f>IFERROR(__xludf.DUMMYFUNCTION("""COMPUTED_VALUE"""),25238.0)</f>
        <v>25238</v>
      </c>
      <c r="P1010" s="2">
        <f>IFERROR(__xludf.DUMMYFUNCTION("""COMPUTED_VALUE"""),1262.0)</f>
        <v>1262</v>
      </c>
      <c r="Q1010" s="2" t="str">
        <f>IFERROR(__xludf.DUMMYFUNCTION("""COMPUTED_VALUE"""),"Dine In")</f>
        <v>Dine In</v>
      </c>
      <c r="R1010" s="2" t="str">
        <f>IFERROR(__xludf.DUMMYFUNCTION("""COMPUTED_VALUE"""),"Kedai")</f>
        <v>Kedai</v>
      </c>
      <c r="S1010" s="2" t="str">
        <f>IFERROR(__xludf.DUMMYFUNCTION("""COMPUTED_VALUE"""),"Temu Roti")</f>
        <v>Temu Roti</v>
      </c>
      <c r="T1010" s="2" t="str">
        <f>IFERROR(__xludf.DUMMYFUNCTION("""COMPUTED_VALUE"""),"Owner")</f>
        <v>Owner</v>
      </c>
      <c r="U1010" s="2"/>
      <c r="V1010" s="2"/>
      <c r="W1010" s="2"/>
      <c r="X1010" s="2" t="str">
        <f>IFERROR(__xludf.DUMMYFUNCTION("""COMPUTED_VALUE"""),"Closed")</f>
        <v>Closed</v>
      </c>
    </row>
    <row r="1011">
      <c r="A1011" s="3" t="s">
        <v>1026</v>
      </c>
      <c r="B1011" s="4">
        <f>IFERROR(__xludf.DUMMYFUNCTION("SPLIT(A1011,"","",0,0)"),45543.81180555555)</f>
        <v>45543.81181</v>
      </c>
      <c r="C1011" s="5">
        <f>IFERROR(__xludf.DUMMYFUNCTION("""COMPUTED_VALUE"""),2659729.0)</f>
        <v>2659729</v>
      </c>
      <c r="D1011" s="2" t="str">
        <f>IFERROR(__xludf.DUMMYFUNCTION("""COMPUTED_VALUE"""),"Sale")</f>
        <v>Sale</v>
      </c>
      <c r="E1011" s="2" t="str">
        <f>IFERROR(__xludf.DUMMYFUNCTION("""COMPUTED_VALUE"""),"Minuman")</f>
        <v>Minuman</v>
      </c>
      <c r="F1011" s="2">
        <f>IFERROR(__xludf.DUMMYFUNCTION("""COMPUTED_VALUE"""),10013.0)</f>
        <v>10013</v>
      </c>
      <c r="G1011" s="2" t="str">
        <f>IFERROR(__xludf.DUMMYFUNCTION("""COMPUTED_VALUE"""),"Kopi cur")</f>
        <v>Kopi cur</v>
      </c>
      <c r="H1011" s="2"/>
      <c r="I1011" s="2"/>
      <c r="J1011" s="2">
        <f>IFERROR(__xludf.DUMMYFUNCTION("""COMPUTED_VALUE"""),1.0)</f>
        <v>1</v>
      </c>
      <c r="K1011" s="6">
        <f>IFERROR(__xludf.DUMMYFUNCTION("""COMPUTED_VALUE"""),23333.0)</f>
        <v>23333</v>
      </c>
      <c r="L1011" s="2">
        <f>IFERROR(__xludf.DUMMYFUNCTION("""COMPUTED_VALUE"""),0.0)</f>
        <v>0</v>
      </c>
      <c r="M1011" s="2">
        <f>IFERROR(__xludf.DUMMYFUNCTION("""COMPUTED_VALUE"""),23333.0)</f>
        <v>23333</v>
      </c>
      <c r="N1011" s="2">
        <f>IFERROR(__xludf.DUMMYFUNCTION("""COMPUTED_VALUE"""),0.0)</f>
        <v>0</v>
      </c>
      <c r="O1011" s="2">
        <f>IFERROR(__xludf.DUMMYFUNCTION("""COMPUTED_VALUE"""),23333.0)</f>
        <v>23333</v>
      </c>
      <c r="P1011" s="2">
        <f>IFERROR(__xludf.DUMMYFUNCTION("""COMPUTED_VALUE"""),1167.0)</f>
        <v>1167</v>
      </c>
      <c r="Q1011" s="2" t="str">
        <f>IFERROR(__xludf.DUMMYFUNCTION("""COMPUTED_VALUE"""),"Dine In")</f>
        <v>Dine In</v>
      </c>
      <c r="R1011" s="2" t="str">
        <f>IFERROR(__xludf.DUMMYFUNCTION("""COMPUTED_VALUE"""),"Kedai")</f>
        <v>Kedai</v>
      </c>
      <c r="S1011" s="2" t="str">
        <f>IFERROR(__xludf.DUMMYFUNCTION("""COMPUTED_VALUE"""),"Temu Roti")</f>
        <v>Temu Roti</v>
      </c>
      <c r="T1011" s="2" t="str">
        <f>IFERROR(__xludf.DUMMYFUNCTION("""COMPUTED_VALUE"""),"Owner")</f>
        <v>Owner</v>
      </c>
      <c r="U1011" s="2"/>
      <c r="V1011" s="2"/>
      <c r="W1011" s="2"/>
      <c r="X1011" s="2" t="str">
        <f>IFERROR(__xludf.DUMMYFUNCTION("""COMPUTED_VALUE"""),"Closed")</f>
        <v>Closed</v>
      </c>
    </row>
    <row r="1012">
      <c r="A1012" s="3" t="s">
        <v>1027</v>
      </c>
      <c r="B1012" s="4">
        <f>IFERROR(__xludf.DUMMYFUNCTION("SPLIT(A1012,"","",0,0)"),45543.79305555556)</f>
        <v>45543.79306</v>
      </c>
      <c r="C1012" s="5">
        <f>IFERROR(__xludf.DUMMYFUNCTION("""COMPUTED_VALUE"""),2659364.0)</f>
        <v>2659364</v>
      </c>
      <c r="D1012" s="2" t="str">
        <f>IFERROR(__xludf.DUMMYFUNCTION("""COMPUTED_VALUE"""),"Sale")</f>
        <v>Sale</v>
      </c>
      <c r="E1012" s="2" t="str">
        <f>IFERROR(__xludf.DUMMYFUNCTION("""COMPUTED_VALUE"""),"Roti")</f>
        <v>Roti</v>
      </c>
      <c r="F1012" s="2">
        <f>IFERROR(__xludf.DUMMYFUNCTION("""COMPUTED_VALUE"""),10000.0)</f>
        <v>10000</v>
      </c>
      <c r="G1012" s="2" t="str">
        <f>IFERROR(__xludf.DUMMYFUNCTION("""COMPUTED_VALUE"""),"Roti Bawang Saus Keju")</f>
        <v>Roti Bawang Saus Keju</v>
      </c>
      <c r="H1012" s="2"/>
      <c r="I1012" s="2"/>
      <c r="J1012" s="2">
        <f>IFERROR(__xludf.DUMMYFUNCTION("""COMPUTED_VALUE"""),1.0)</f>
        <v>1</v>
      </c>
      <c r="K1012" s="6">
        <f>IFERROR(__xludf.DUMMYFUNCTION("""COMPUTED_VALUE"""),29524.0)</f>
        <v>29524</v>
      </c>
      <c r="L1012" s="2">
        <f>IFERROR(__xludf.DUMMYFUNCTION("""COMPUTED_VALUE"""),0.0)</f>
        <v>0</v>
      </c>
      <c r="M1012" s="2">
        <f>IFERROR(__xludf.DUMMYFUNCTION("""COMPUTED_VALUE"""),29524.0)</f>
        <v>29524</v>
      </c>
      <c r="N1012" s="2">
        <f>IFERROR(__xludf.DUMMYFUNCTION("""COMPUTED_VALUE"""),0.0)</f>
        <v>0</v>
      </c>
      <c r="O1012" s="2">
        <f>IFERROR(__xludf.DUMMYFUNCTION("""COMPUTED_VALUE"""),29524.0)</f>
        <v>29524</v>
      </c>
      <c r="P1012" s="2">
        <f>IFERROR(__xludf.DUMMYFUNCTION("""COMPUTED_VALUE"""),1476.0)</f>
        <v>1476</v>
      </c>
      <c r="Q1012" s="2" t="str">
        <f>IFERROR(__xludf.DUMMYFUNCTION("""COMPUTED_VALUE"""),"Dine In")</f>
        <v>Dine In</v>
      </c>
      <c r="R1012" s="2" t="str">
        <f>IFERROR(__xludf.DUMMYFUNCTION("""COMPUTED_VALUE"""),"Kedai")</f>
        <v>Kedai</v>
      </c>
      <c r="S1012" s="2" t="str">
        <f>IFERROR(__xludf.DUMMYFUNCTION("""COMPUTED_VALUE"""),"Temu Roti")</f>
        <v>Temu Roti</v>
      </c>
      <c r="T1012" s="2" t="str">
        <f>IFERROR(__xludf.DUMMYFUNCTION("""COMPUTED_VALUE"""),"Owner")</f>
        <v>Owner</v>
      </c>
      <c r="U1012" s="2"/>
      <c r="V1012" s="2"/>
      <c r="W1012" s="2"/>
      <c r="X1012" s="2" t="str">
        <f>IFERROR(__xludf.DUMMYFUNCTION("""COMPUTED_VALUE"""),"Closed")</f>
        <v>Closed</v>
      </c>
    </row>
    <row r="1013">
      <c r="A1013" s="3" t="s">
        <v>1028</v>
      </c>
      <c r="B1013" s="4">
        <f>IFERROR(__xludf.DUMMYFUNCTION("SPLIT(A1013,"","",0,0)"),45543.79305555556)</f>
        <v>45543.79306</v>
      </c>
      <c r="C1013" s="5">
        <f>IFERROR(__xludf.DUMMYFUNCTION("""COMPUTED_VALUE"""),2659364.0)</f>
        <v>2659364</v>
      </c>
      <c r="D1013" s="2" t="str">
        <f>IFERROR(__xludf.DUMMYFUNCTION("""COMPUTED_VALUE"""),"Sale")</f>
        <v>Sale</v>
      </c>
      <c r="E1013" s="2" t="str">
        <f>IFERROR(__xludf.DUMMYFUNCTION("""COMPUTED_VALUE"""),"Roti")</f>
        <v>Roti</v>
      </c>
      <c r="F1013" s="2">
        <f>IFERROR(__xludf.DUMMYFUNCTION("""COMPUTED_VALUE"""),10002.0)</f>
        <v>10002</v>
      </c>
      <c r="G1013" s="2" t="str">
        <f>IFERROR(__xludf.DUMMYFUNCTION("""COMPUTED_VALUE"""),"Roti Cranberry")</f>
        <v>Roti Cranberry</v>
      </c>
      <c r="H1013" s="2"/>
      <c r="I1013" s="2"/>
      <c r="J1013" s="2">
        <f>IFERROR(__xludf.DUMMYFUNCTION("""COMPUTED_VALUE"""),1.0)</f>
        <v>1</v>
      </c>
      <c r="K1013" s="6">
        <f>IFERROR(__xludf.DUMMYFUNCTION("""COMPUTED_VALUE"""),18571.0)</f>
        <v>18571</v>
      </c>
      <c r="L1013" s="2">
        <f>IFERROR(__xludf.DUMMYFUNCTION("""COMPUTED_VALUE"""),0.0)</f>
        <v>0</v>
      </c>
      <c r="M1013" s="2">
        <f>IFERROR(__xludf.DUMMYFUNCTION("""COMPUTED_VALUE"""),18571.0)</f>
        <v>18571</v>
      </c>
      <c r="N1013" s="2">
        <f>IFERROR(__xludf.DUMMYFUNCTION("""COMPUTED_VALUE"""),0.0)</f>
        <v>0</v>
      </c>
      <c r="O1013" s="2">
        <f>IFERROR(__xludf.DUMMYFUNCTION("""COMPUTED_VALUE"""),18571.0)</f>
        <v>18571</v>
      </c>
      <c r="P1013" s="2">
        <f>IFERROR(__xludf.DUMMYFUNCTION("""COMPUTED_VALUE"""),929.0)</f>
        <v>929</v>
      </c>
      <c r="Q1013" s="2" t="str">
        <f>IFERROR(__xludf.DUMMYFUNCTION("""COMPUTED_VALUE"""),"Dine In")</f>
        <v>Dine In</v>
      </c>
      <c r="R1013" s="2" t="str">
        <f>IFERROR(__xludf.DUMMYFUNCTION("""COMPUTED_VALUE"""),"Kedai")</f>
        <v>Kedai</v>
      </c>
      <c r="S1013" s="2" t="str">
        <f>IFERROR(__xludf.DUMMYFUNCTION("""COMPUTED_VALUE"""),"Temu Roti")</f>
        <v>Temu Roti</v>
      </c>
      <c r="T1013" s="2" t="str">
        <f>IFERROR(__xludf.DUMMYFUNCTION("""COMPUTED_VALUE"""),"Owner")</f>
        <v>Owner</v>
      </c>
      <c r="U1013" s="2"/>
      <c r="V1013" s="2"/>
      <c r="W1013" s="2"/>
      <c r="X1013" s="2" t="str">
        <f>IFERROR(__xludf.DUMMYFUNCTION("""COMPUTED_VALUE"""),"Closed")</f>
        <v>Closed</v>
      </c>
    </row>
    <row r="1014">
      <c r="A1014" s="3" t="s">
        <v>1029</v>
      </c>
      <c r="B1014" s="4">
        <f>IFERROR(__xludf.DUMMYFUNCTION("SPLIT(A1014,"","",0,0)"),45543.782638888886)</f>
        <v>45543.78264</v>
      </c>
      <c r="C1014" s="5">
        <f>IFERROR(__xludf.DUMMYFUNCTION("""COMPUTED_VALUE"""),2658998.0)</f>
        <v>2658998</v>
      </c>
      <c r="D1014" s="2" t="str">
        <f>IFERROR(__xludf.DUMMYFUNCTION("""COMPUTED_VALUE"""),"Sale")</f>
        <v>Sale</v>
      </c>
      <c r="E1014" s="2" t="str">
        <f>IFERROR(__xludf.DUMMYFUNCTION("""COMPUTED_VALUE"""),"Roti")</f>
        <v>Roti</v>
      </c>
      <c r="F1014" s="2">
        <f>IFERROR(__xludf.DUMMYFUNCTION("""COMPUTED_VALUE"""),10000.0)</f>
        <v>10000</v>
      </c>
      <c r="G1014" s="2" t="str">
        <f>IFERROR(__xludf.DUMMYFUNCTION("""COMPUTED_VALUE"""),"Roti Bawang Saus Keju")</f>
        <v>Roti Bawang Saus Keju</v>
      </c>
      <c r="H1014" s="2"/>
      <c r="I1014" s="2"/>
      <c r="J1014" s="2">
        <f>IFERROR(__xludf.DUMMYFUNCTION("""COMPUTED_VALUE"""),2.0)</f>
        <v>2</v>
      </c>
      <c r="K1014" s="6">
        <f>IFERROR(__xludf.DUMMYFUNCTION("""COMPUTED_VALUE"""),59048.0)</f>
        <v>59048</v>
      </c>
      <c r="L1014" s="2">
        <f>IFERROR(__xludf.DUMMYFUNCTION("""COMPUTED_VALUE"""),0.0)</f>
        <v>0</v>
      </c>
      <c r="M1014" s="2">
        <f>IFERROR(__xludf.DUMMYFUNCTION("""COMPUTED_VALUE"""),59048.0)</f>
        <v>59048</v>
      </c>
      <c r="N1014" s="2">
        <f>IFERROR(__xludf.DUMMYFUNCTION("""COMPUTED_VALUE"""),0.0)</f>
        <v>0</v>
      </c>
      <c r="O1014" s="2">
        <f>IFERROR(__xludf.DUMMYFUNCTION("""COMPUTED_VALUE"""),59048.0)</f>
        <v>59048</v>
      </c>
      <c r="P1014" s="2">
        <f>IFERROR(__xludf.DUMMYFUNCTION("""COMPUTED_VALUE"""),2952.0)</f>
        <v>2952</v>
      </c>
      <c r="Q1014" s="2" t="str">
        <f>IFERROR(__xludf.DUMMYFUNCTION("""COMPUTED_VALUE"""),"Dine In")</f>
        <v>Dine In</v>
      </c>
      <c r="R1014" s="2" t="str">
        <f>IFERROR(__xludf.DUMMYFUNCTION("""COMPUTED_VALUE"""),"Kedai")</f>
        <v>Kedai</v>
      </c>
      <c r="S1014" s="2" t="str">
        <f>IFERROR(__xludf.DUMMYFUNCTION("""COMPUTED_VALUE"""),"Temu Roti")</f>
        <v>Temu Roti</v>
      </c>
      <c r="T1014" s="2" t="str">
        <f>IFERROR(__xludf.DUMMYFUNCTION("""COMPUTED_VALUE"""),"Owner")</f>
        <v>Owner</v>
      </c>
      <c r="U1014" s="2"/>
      <c r="V1014" s="2"/>
      <c r="W1014" s="2"/>
      <c r="X1014" s="2" t="str">
        <f>IFERROR(__xludf.DUMMYFUNCTION("""COMPUTED_VALUE"""),"Closed")</f>
        <v>Closed</v>
      </c>
    </row>
    <row r="1015">
      <c r="A1015" s="3" t="s">
        <v>1030</v>
      </c>
      <c r="B1015" s="4">
        <f>IFERROR(__xludf.DUMMYFUNCTION("SPLIT(A1015,"","",0,0)"),45543.782638888886)</f>
        <v>45543.78264</v>
      </c>
      <c r="C1015" s="5">
        <f>IFERROR(__xludf.DUMMYFUNCTION("""COMPUTED_VALUE"""),2658633.0)</f>
        <v>2658633</v>
      </c>
      <c r="D1015" s="2" t="str">
        <f>IFERROR(__xludf.DUMMYFUNCTION("""COMPUTED_VALUE"""),"Refund")</f>
        <v>Refund</v>
      </c>
      <c r="E1015" s="2" t="str">
        <f>IFERROR(__xludf.DUMMYFUNCTION("""COMPUTED_VALUE"""),"Roti")</f>
        <v>Roti</v>
      </c>
      <c r="F1015" s="2">
        <f>IFERROR(__xludf.DUMMYFUNCTION("""COMPUTED_VALUE"""),10000.0)</f>
        <v>10000</v>
      </c>
      <c r="G1015" s="2" t="str">
        <f>IFERROR(__xludf.DUMMYFUNCTION("""COMPUTED_VALUE"""),"Roti Bawang Saus Keju")</f>
        <v>Roti Bawang Saus Keju</v>
      </c>
      <c r="H1015" s="2"/>
      <c r="I1015" s="2"/>
      <c r="J1015" s="2">
        <f>IFERROR(__xludf.DUMMYFUNCTION("""COMPUTED_VALUE"""),-2.0)</f>
        <v>-2</v>
      </c>
      <c r="K1015" s="6">
        <f>IFERROR(__xludf.DUMMYFUNCTION("""COMPUTED_VALUE"""),-59048.0)</f>
        <v>-59048</v>
      </c>
      <c r="L1015" s="2">
        <f>IFERROR(__xludf.DUMMYFUNCTION("""COMPUTED_VALUE"""),0.0)</f>
        <v>0</v>
      </c>
      <c r="M1015" s="2">
        <f>IFERROR(__xludf.DUMMYFUNCTION("""COMPUTED_VALUE"""),-59048.0)</f>
        <v>-59048</v>
      </c>
      <c r="N1015" s="2">
        <f>IFERROR(__xludf.DUMMYFUNCTION("""COMPUTED_VALUE"""),0.0)</f>
        <v>0</v>
      </c>
      <c r="O1015" s="2">
        <f>IFERROR(__xludf.DUMMYFUNCTION("""COMPUTED_VALUE"""),-59048.0)</f>
        <v>-59048</v>
      </c>
      <c r="P1015" s="2">
        <f>IFERROR(__xludf.DUMMYFUNCTION("""COMPUTED_VALUE"""),-2952.0)</f>
        <v>-2952</v>
      </c>
      <c r="Q1015" s="2" t="str">
        <f>IFERROR(__xludf.DUMMYFUNCTION("""COMPUTED_VALUE"""),"Dine In")</f>
        <v>Dine In</v>
      </c>
      <c r="R1015" s="2" t="str">
        <f>IFERROR(__xludf.DUMMYFUNCTION("""COMPUTED_VALUE"""),"Kedai")</f>
        <v>Kedai</v>
      </c>
      <c r="S1015" s="2" t="str">
        <f>IFERROR(__xludf.DUMMYFUNCTION("""COMPUTED_VALUE"""),"Temu Roti")</f>
        <v>Temu Roti</v>
      </c>
      <c r="T1015" s="2" t="str">
        <f>IFERROR(__xludf.DUMMYFUNCTION("""COMPUTED_VALUE"""),"Owner")</f>
        <v>Owner</v>
      </c>
      <c r="U1015" s="2"/>
      <c r="V1015" s="2"/>
      <c r="W1015" s="2"/>
      <c r="X1015" s="2" t="str">
        <f>IFERROR(__xludf.DUMMYFUNCTION("""COMPUTED_VALUE"""),"Closed")</f>
        <v>Closed</v>
      </c>
    </row>
    <row r="1016">
      <c r="A1016" s="3" t="s">
        <v>1031</v>
      </c>
      <c r="B1016" s="4">
        <f>IFERROR(__xludf.DUMMYFUNCTION("SPLIT(A1016,"","",0,0)"),45543.78055555555)</f>
        <v>45543.78056</v>
      </c>
      <c r="C1016" s="5">
        <f>IFERROR(__xludf.DUMMYFUNCTION("""COMPUTED_VALUE"""),2658268.0)</f>
        <v>2658268</v>
      </c>
      <c r="D1016" s="2" t="str">
        <f>IFERROR(__xludf.DUMMYFUNCTION("""COMPUTED_VALUE"""),"Sale")</f>
        <v>Sale</v>
      </c>
      <c r="E1016" s="2" t="str">
        <f>IFERROR(__xludf.DUMMYFUNCTION("""COMPUTED_VALUE"""),"Roti")</f>
        <v>Roti</v>
      </c>
      <c r="F1016" s="2">
        <f>IFERROR(__xludf.DUMMYFUNCTION("""COMPUTED_VALUE"""),10000.0)</f>
        <v>10000</v>
      </c>
      <c r="G1016" s="2" t="str">
        <f>IFERROR(__xludf.DUMMYFUNCTION("""COMPUTED_VALUE"""),"Roti Bawang Saus Keju")</f>
        <v>Roti Bawang Saus Keju</v>
      </c>
      <c r="H1016" s="2"/>
      <c r="I1016" s="2"/>
      <c r="J1016" s="2">
        <f>IFERROR(__xludf.DUMMYFUNCTION("""COMPUTED_VALUE"""),2.0)</f>
        <v>2</v>
      </c>
      <c r="K1016" s="6">
        <f>IFERROR(__xludf.DUMMYFUNCTION("""COMPUTED_VALUE"""),59048.0)</f>
        <v>59048</v>
      </c>
      <c r="L1016" s="2">
        <f>IFERROR(__xludf.DUMMYFUNCTION("""COMPUTED_VALUE"""),0.0)</f>
        <v>0</v>
      </c>
      <c r="M1016" s="2">
        <f>IFERROR(__xludf.DUMMYFUNCTION("""COMPUTED_VALUE"""),59048.0)</f>
        <v>59048</v>
      </c>
      <c r="N1016" s="2">
        <f>IFERROR(__xludf.DUMMYFUNCTION("""COMPUTED_VALUE"""),0.0)</f>
        <v>0</v>
      </c>
      <c r="O1016" s="2">
        <f>IFERROR(__xludf.DUMMYFUNCTION("""COMPUTED_VALUE"""),59048.0)</f>
        <v>59048</v>
      </c>
      <c r="P1016" s="2">
        <f>IFERROR(__xludf.DUMMYFUNCTION("""COMPUTED_VALUE"""),2952.0)</f>
        <v>2952</v>
      </c>
      <c r="Q1016" s="2" t="str">
        <f>IFERROR(__xludf.DUMMYFUNCTION("""COMPUTED_VALUE"""),"Dine In")</f>
        <v>Dine In</v>
      </c>
      <c r="R1016" s="2" t="str">
        <f>IFERROR(__xludf.DUMMYFUNCTION("""COMPUTED_VALUE"""),"Kedai")</f>
        <v>Kedai</v>
      </c>
      <c r="S1016" s="2" t="str">
        <f>IFERROR(__xludf.DUMMYFUNCTION("""COMPUTED_VALUE"""),"Temu Roti")</f>
        <v>Temu Roti</v>
      </c>
      <c r="T1016" s="2" t="str">
        <f>IFERROR(__xludf.DUMMYFUNCTION("""COMPUTED_VALUE"""),"Owner")</f>
        <v>Owner</v>
      </c>
      <c r="U1016" s="2"/>
      <c r="V1016" s="2"/>
      <c r="W1016" s="2"/>
      <c r="X1016" s="2" t="str">
        <f>IFERROR(__xludf.DUMMYFUNCTION("""COMPUTED_VALUE"""),"Closed")</f>
        <v>Closed</v>
      </c>
    </row>
    <row r="1017">
      <c r="A1017" s="3" t="s">
        <v>1032</v>
      </c>
      <c r="B1017" s="4">
        <f>IFERROR(__xludf.DUMMYFUNCTION("SPLIT(A1017,"","",0,0)"),45543.74097222222)</f>
        <v>45543.74097</v>
      </c>
      <c r="C1017" s="5">
        <f>IFERROR(__xludf.DUMMYFUNCTION("""COMPUTED_VALUE"""),2657903.0)</f>
        <v>2657903</v>
      </c>
      <c r="D1017" s="2" t="str">
        <f>IFERROR(__xludf.DUMMYFUNCTION("""COMPUTED_VALUE"""),"Sale")</f>
        <v>Sale</v>
      </c>
      <c r="E1017" s="2" t="str">
        <f>IFERROR(__xludf.DUMMYFUNCTION("""COMPUTED_VALUE"""),"Kudapan")</f>
        <v>Kudapan</v>
      </c>
      <c r="F1017" s="2">
        <f>IFERROR(__xludf.DUMMYFUNCTION("""COMPUTED_VALUE"""),10010.0)</f>
        <v>10010</v>
      </c>
      <c r="G1017" s="2" t="str">
        <f>IFERROR(__xludf.DUMMYFUNCTION("""COMPUTED_VALUE"""),"Pisang Goreng")</f>
        <v>Pisang Goreng</v>
      </c>
      <c r="H1017" s="2"/>
      <c r="I1017" s="2"/>
      <c r="J1017" s="2">
        <f>IFERROR(__xludf.DUMMYFUNCTION("""COMPUTED_VALUE"""),1.0)</f>
        <v>1</v>
      </c>
      <c r="K1017" s="6">
        <f>IFERROR(__xludf.DUMMYFUNCTION("""COMPUTED_VALUE"""),25238.0)</f>
        <v>25238</v>
      </c>
      <c r="L1017" s="2">
        <f>IFERROR(__xludf.DUMMYFUNCTION("""COMPUTED_VALUE"""),0.0)</f>
        <v>0</v>
      </c>
      <c r="M1017" s="2">
        <f>IFERROR(__xludf.DUMMYFUNCTION("""COMPUTED_VALUE"""),25238.0)</f>
        <v>25238</v>
      </c>
      <c r="N1017" s="2">
        <f>IFERROR(__xludf.DUMMYFUNCTION("""COMPUTED_VALUE"""),0.0)</f>
        <v>0</v>
      </c>
      <c r="O1017" s="2">
        <f>IFERROR(__xludf.DUMMYFUNCTION("""COMPUTED_VALUE"""),25238.0)</f>
        <v>25238</v>
      </c>
      <c r="P1017" s="2">
        <f>IFERROR(__xludf.DUMMYFUNCTION("""COMPUTED_VALUE"""),1262.0)</f>
        <v>1262</v>
      </c>
      <c r="Q1017" s="2" t="str">
        <f>IFERROR(__xludf.DUMMYFUNCTION("""COMPUTED_VALUE"""),"Dine In")</f>
        <v>Dine In</v>
      </c>
      <c r="R1017" s="2" t="str">
        <f>IFERROR(__xludf.DUMMYFUNCTION("""COMPUTED_VALUE"""),"Kedai")</f>
        <v>Kedai</v>
      </c>
      <c r="S1017" s="2" t="str">
        <f>IFERROR(__xludf.DUMMYFUNCTION("""COMPUTED_VALUE"""),"Temu Roti")</f>
        <v>Temu Roti</v>
      </c>
      <c r="T1017" s="2" t="str">
        <f>IFERROR(__xludf.DUMMYFUNCTION("""COMPUTED_VALUE"""),"Owner")</f>
        <v>Owner</v>
      </c>
      <c r="U1017" s="2"/>
      <c r="V1017" s="2"/>
      <c r="W1017" s="2"/>
      <c r="X1017" s="2" t="str">
        <f>IFERROR(__xludf.DUMMYFUNCTION("""COMPUTED_VALUE"""),"Closed")</f>
        <v>Closed</v>
      </c>
    </row>
    <row r="1018">
      <c r="A1018" s="3" t="s">
        <v>1033</v>
      </c>
      <c r="B1018" s="4">
        <f>IFERROR(__xludf.DUMMYFUNCTION("SPLIT(A1018,"","",0,0)"),45543.74097222222)</f>
        <v>45543.74097</v>
      </c>
      <c r="C1018" s="5">
        <f>IFERROR(__xludf.DUMMYFUNCTION("""COMPUTED_VALUE"""),2657903.0)</f>
        <v>2657903</v>
      </c>
      <c r="D1018" s="2" t="str">
        <f>IFERROR(__xludf.DUMMYFUNCTION("""COMPUTED_VALUE"""),"Sale")</f>
        <v>Sale</v>
      </c>
      <c r="E1018" s="2" t="str">
        <f>IFERROR(__xludf.DUMMYFUNCTION("""COMPUTED_VALUE"""),"Kudapan")</f>
        <v>Kudapan</v>
      </c>
      <c r="F1018" s="2">
        <f>IFERROR(__xludf.DUMMYFUNCTION("""COMPUTED_VALUE"""),10051.0)</f>
        <v>10051</v>
      </c>
      <c r="G1018" s="2" t="str">
        <f>IFERROR(__xludf.DUMMYFUNCTION("""COMPUTED_VALUE"""),"Tahu baso")</f>
        <v>Tahu baso</v>
      </c>
      <c r="H1018" s="2"/>
      <c r="I1018" s="2"/>
      <c r="J1018" s="2">
        <f>IFERROR(__xludf.DUMMYFUNCTION("""COMPUTED_VALUE"""),1.0)</f>
        <v>1</v>
      </c>
      <c r="K1018" s="6">
        <f>IFERROR(__xludf.DUMMYFUNCTION("""COMPUTED_VALUE"""),25238.0)</f>
        <v>25238</v>
      </c>
      <c r="L1018" s="2">
        <f>IFERROR(__xludf.DUMMYFUNCTION("""COMPUTED_VALUE"""),0.0)</f>
        <v>0</v>
      </c>
      <c r="M1018" s="2">
        <f>IFERROR(__xludf.DUMMYFUNCTION("""COMPUTED_VALUE"""),25238.0)</f>
        <v>25238</v>
      </c>
      <c r="N1018" s="2">
        <f>IFERROR(__xludf.DUMMYFUNCTION("""COMPUTED_VALUE"""),0.0)</f>
        <v>0</v>
      </c>
      <c r="O1018" s="2">
        <f>IFERROR(__xludf.DUMMYFUNCTION("""COMPUTED_VALUE"""),25238.0)</f>
        <v>25238</v>
      </c>
      <c r="P1018" s="2">
        <f>IFERROR(__xludf.DUMMYFUNCTION("""COMPUTED_VALUE"""),1262.0)</f>
        <v>1262</v>
      </c>
      <c r="Q1018" s="2" t="str">
        <f>IFERROR(__xludf.DUMMYFUNCTION("""COMPUTED_VALUE"""),"Dine In")</f>
        <v>Dine In</v>
      </c>
      <c r="R1018" s="2" t="str">
        <f>IFERROR(__xludf.DUMMYFUNCTION("""COMPUTED_VALUE"""),"Kedai")</f>
        <v>Kedai</v>
      </c>
      <c r="S1018" s="2" t="str">
        <f>IFERROR(__xludf.DUMMYFUNCTION("""COMPUTED_VALUE"""),"Temu Roti")</f>
        <v>Temu Roti</v>
      </c>
      <c r="T1018" s="2" t="str">
        <f>IFERROR(__xludf.DUMMYFUNCTION("""COMPUTED_VALUE"""),"Owner")</f>
        <v>Owner</v>
      </c>
      <c r="U1018" s="2"/>
      <c r="V1018" s="2"/>
      <c r="W1018" s="2"/>
      <c r="X1018" s="2" t="str">
        <f>IFERROR(__xludf.DUMMYFUNCTION("""COMPUTED_VALUE"""),"Closed")</f>
        <v>Closed</v>
      </c>
    </row>
    <row r="1019">
      <c r="A1019" s="3" t="s">
        <v>1034</v>
      </c>
      <c r="B1019" s="4">
        <f>IFERROR(__xludf.DUMMYFUNCTION("SPLIT(A1019,"","",0,0)"),45543.73888888889)</f>
        <v>45543.73889</v>
      </c>
      <c r="C1019" s="5">
        <f>IFERROR(__xludf.DUMMYFUNCTION("""COMPUTED_VALUE"""),2657537.0)</f>
        <v>2657537</v>
      </c>
      <c r="D1019" s="2" t="str">
        <f>IFERROR(__xludf.DUMMYFUNCTION("""COMPUTED_VALUE"""),"Sale")</f>
        <v>Sale</v>
      </c>
      <c r="E1019" s="2" t="str">
        <f>IFERROR(__xludf.DUMMYFUNCTION("""COMPUTED_VALUE"""),"Kudapan")</f>
        <v>Kudapan</v>
      </c>
      <c r="F1019" s="2">
        <f>IFERROR(__xludf.DUMMYFUNCTION("""COMPUTED_VALUE"""),10004.0)</f>
        <v>10004</v>
      </c>
      <c r="G1019" s="2" t="str">
        <f>IFERROR(__xludf.DUMMYFUNCTION("""COMPUTED_VALUE"""),"Tahu walik")</f>
        <v>Tahu walik</v>
      </c>
      <c r="H1019" s="2"/>
      <c r="I1019" s="2"/>
      <c r="J1019" s="2">
        <f>IFERROR(__xludf.DUMMYFUNCTION("""COMPUTED_VALUE"""),1.0)</f>
        <v>1</v>
      </c>
      <c r="K1019" s="6">
        <f>IFERROR(__xludf.DUMMYFUNCTION("""COMPUTED_VALUE"""),25238.0)</f>
        <v>25238</v>
      </c>
      <c r="L1019" s="2">
        <f>IFERROR(__xludf.DUMMYFUNCTION("""COMPUTED_VALUE"""),0.0)</f>
        <v>0</v>
      </c>
      <c r="M1019" s="2">
        <f>IFERROR(__xludf.DUMMYFUNCTION("""COMPUTED_VALUE"""),25238.0)</f>
        <v>25238</v>
      </c>
      <c r="N1019" s="2">
        <f>IFERROR(__xludf.DUMMYFUNCTION("""COMPUTED_VALUE"""),0.0)</f>
        <v>0</v>
      </c>
      <c r="O1019" s="2">
        <f>IFERROR(__xludf.DUMMYFUNCTION("""COMPUTED_VALUE"""),25238.0)</f>
        <v>25238</v>
      </c>
      <c r="P1019" s="2">
        <f>IFERROR(__xludf.DUMMYFUNCTION("""COMPUTED_VALUE"""),1262.0)</f>
        <v>1262</v>
      </c>
      <c r="Q1019" s="2" t="str">
        <f>IFERROR(__xludf.DUMMYFUNCTION("""COMPUTED_VALUE"""),"Dine In")</f>
        <v>Dine In</v>
      </c>
      <c r="R1019" s="2" t="str">
        <f>IFERROR(__xludf.DUMMYFUNCTION("""COMPUTED_VALUE"""),"Kedai")</f>
        <v>Kedai</v>
      </c>
      <c r="S1019" s="2" t="str">
        <f>IFERROR(__xludf.DUMMYFUNCTION("""COMPUTED_VALUE"""),"Temu Roti")</f>
        <v>Temu Roti</v>
      </c>
      <c r="T1019" s="2" t="str">
        <f>IFERROR(__xludf.DUMMYFUNCTION("""COMPUTED_VALUE"""),"Owner")</f>
        <v>Owner</v>
      </c>
      <c r="U1019" s="2"/>
      <c r="V1019" s="2"/>
      <c r="W1019" s="2"/>
      <c r="X1019" s="2" t="str">
        <f>IFERROR(__xludf.DUMMYFUNCTION("""COMPUTED_VALUE"""),"Closed")</f>
        <v>Closed</v>
      </c>
    </row>
    <row r="1020">
      <c r="A1020" s="3" t="s">
        <v>1035</v>
      </c>
      <c r="B1020" s="4">
        <f>IFERROR(__xludf.DUMMYFUNCTION("SPLIT(A1020,"","",0,0)"),45543.731944444444)</f>
        <v>45543.73194</v>
      </c>
      <c r="C1020" s="5">
        <f>IFERROR(__xludf.DUMMYFUNCTION("""COMPUTED_VALUE"""),2657172.0)</f>
        <v>2657172</v>
      </c>
      <c r="D1020" s="2" t="str">
        <f>IFERROR(__xludf.DUMMYFUNCTION("""COMPUTED_VALUE"""),"Sale")</f>
        <v>Sale</v>
      </c>
      <c r="E1020" s="2" t="str">
        <f>IFERROR(__xludf.DUMMYFUNCTION("""COMPUTED_VALUE"""),"Hidangan Utama")</f>
        <v>Hidangan Utama</v>
      </c>
      <c r="F1020" s="2">
        <f>IFERROR(__xludf.DUMMYFUNCTION("""COMPUTED_VALUE"""),10003.0)</f>
        <v>10003</v>
      </c>
      <c r="G1020" s="2" t="str">
        <f>IFERROR(__xludf.DUMMYFUNCTION("""COMPUTED_VALUE"""),"Nasi Goreng Temu")</f>
        <v>Nasi Goreng Temu</v>
      </c>
      <c r="H1020" s="2"/>
      <c r="I1020" s="2"/>
      <c r="J1020" s="2">
        <f>IFERROR(__xludf.DUMMYFUNCTION("""COMPUTED_VALUE"""),1.0)</f>
        <v>1</v>
      </c>
      <c r="K1020" s="6">
        <f>IFERROR(__xludf.DUMMYFUNCTION("""COMPUTED_VALUE"""),29524.0)</f>
        <v>29524</v>
      </c>
      <c r="L1020" s="2">
        <f>IFERROR(__xludf.DUMMYFUNCTION("""COMPUTED_VALUE"""),0.0)</f>
        <v>0</v>
      </c>
      <c r="M1020" s="2">
        <f>IFERROR(__xludf.DUMMYFUNCTION("""COMPUTED_VALUE"""),29524.0)</f>
        <v>29524</v>
      </c>
      <c r="N1020" s="2">
        <f>IFERROR(__xludf.DUMMYFUNCTION("""COMPUTED_VALUE"""),0.0)</f>
        <v>0</v>
      </c>
      <c r="O1020" s="2">
        <f>IFERROR(__xludf.DUMMYFUNCTION("""COMPUTED_VALUE"""),29524.0)</f>
        <v>29524</v>
      </c>
      <c r="P1020" s="2">
        <f>IFERROR(__xludf.DUMMYFUNCTION("""COMPUTED_VALUE"""),1476.0)</f>
        <v>1476</v>
      </c>
      <c r="Q1020" s="2" t="str">
        <f>IFERROR(__xludf.DUMMYFUNCTION("""COMPUTED_VALUE"""),"Dine In")</f>
        <v>Dine In</v>
      </c>
      <c r="R1020" s="2" t="str">
        <f>IFERROR(__xludf.DUMMYFUNCTION("""COMPUTED_VALUE"""),"Kedai")</f>
        <v>Kedai</v>
      </c>
      <c r="S1020" s="2" t="str">
        <f>IFERROR(__xludf.DUMMYFUNCTION("""COMPUTED_VALUE"""),"Temu Roti")</f>
        <v>Temu Roti</v>
      </c>
      <c r="T1020" s="2" t="str">
        <f>IFERROR(__xludf.DUMMYFUNCTION("""COMPUTED_VALUE"""),"Owner")</f>
        <v>Owner</v>
      </c>
      <c r="U1020" s="2"/>
      <c r="V1020" s="2"/>
      <c r="W1020" s="2"/>
      <c r="X1020" s="2" t="str">
        <f>IFERROR(__xludf.DUMMYFUNCTION("""COMPUTED_VALUE"""),"Closed")</f>
        <v>Closed</v>
      </c>
    </row>
    <row r="1021">
      <c r="A1021" s="3" t="s">
        <v>1036</v>
      </c>
      <c r="B1021" s="4">
        <f>IFERROR(__xludf.DUMMYFUNCTION("SPLIT(A1021,"","",0,0)"),45543.728472222225)</f>
        <v>45543.72847</v>
      </c>
      <c r="C1021" s="5">
        <f>IFERROR(__xludf.DUMMYFUNCTION("""COMPUTED_VALUE"""),2656807.0)</f>
        <v>2656807</v>
      </c>
      <c r="D1021" s="2" t="str">
        <f>IFERROR(__xludf.DUMMYFUNCTION("""COMPUTED_VALUE"""),"Sale")</f>
        <v>Sale</v>
      </c>
      <c r="E1021" s="2" t="str">
        <f>IFERROR(__xludf.DUMMYFUNCTION("""COMPUTED_VALUE"""),"Kudapan")</f>
        <v>Kudapan</v>
      </c>
      <c r="F1021" s="2">
        <f>IFERROR(__xludf.DUMMYFUNCTION("""COMPUTED_VALUE"""),10051.0)</f>
        <v>10051</v>
      </c>
      <c r="G1021" s="2" t="str">
        <f>IFERROR(__xludf.DUMMYFUNCTION("""COMPUTED_VALUE"""),"Tahu baso")</f>
        <v>Tahu baso</v>
      </c>
      <c r="H1021" s="2"/>
      <c r="I1021" s="2"/>
      <c r="J1021" s="2">
        <f>IFERROR(__xludf.DUMMYFUNCTION("""COMPUTED_VALUE"""),1.0)</f>
        <v>1</v>
      </c>
      <c r="K1021" s="6">
        <f>IFERROR(__xludf.DUMMYFUNCTION("""COMPUTED_VALUE"""),25238.0)</f>
        <v>25238</v>
      </c>
      <c r="L1021" s="2">
        <f>IFERROR(__xludf.DUMMYFUNCTION("""COMPUTED_VALUE"""),0.0)</f>
        <v>0</v>
      </c>
      <c r="M1021" s="2">
        <f>IFERROR(__xludf.DUMMYFUNCTION("""COMPUTED_VALUE"""),25238.0)</f>
        <v>25238</v>
      </c>
      <c r="N1021" s="2">
        <f>IFERROR(__xludf.DUMMYFUNCTION("""COMPUTED_VALUE"""),0.0)</f>
        <v>0</v>
      </c>
      <c r="O1021" s="2">
        <f>IFERROR(__xludf.DUMMYFUNCTION("""COMPUTED_VALUE"""),25238.0)</f>
        <v>25238</v>
      </c>
      <c r="P1021" s="2">
        <f>IFERROR(__xludf.DUMMYFUNCTION("""COMPUTED_VALUE"""),1262.0)</f>
        <v>1262</v>
      </c>
      <c r="Q1021" s="2" t="str">
        <f>IFERROR(__xludf.DUMMYFUNCTION("""COMPUTED_VALUE"""),"Dine In")</f>
        <v>Dine In</v>
      </c>
      <c r="R1021" s="2" t="str">
        <f>IFERROR(__xludf.DUMMYFUNCTION("""COMPUTED_VALUE"""),"Kedai")</f>
        <v>Kedai</v>
      </c>
      <c r="S1021" s="2" t="str">
        <f>IFERROR(__xludf.DUMMYFUNCTION("""COMPUTED_VALUE"""),"Temu Roti")</f>
        <v>Temu Roti</v>
      </c>
      <c r="T1021" s="2" t="str">
        <f>IFERROR(__xludf.DUMMYFUNCTION("""COMPUTED_VALUE"""),"Owner")</f>
        <v>Owner</v>
      </c>
      <c r="U1021" s="2"/>
      <c r="V1021" s="2"/>
      <c r="W1021" s="2"/>
      <c r="X1021" s="2" t="str">
        <f>IFERROR(__xludf.DUMMYFUNCTION("""COMPUTED_VALUE"""),"Closed")</f>
        <v>Closed</v>
      </c>
    </row>
    <row r="1022">
      <c r="A1022" s="3" t="s">
        <v>1037</v>
      </c>
      <c r="B1022" s="4">
        <f>IFERROR(__xludf.DUMMYFUNCTION("SPLIT(A1022,"","",0,0)"),45543.725)</f>
        <v>45543.725</v>
      </c>
      <c r="C1022" s="5">
        <f>IFERROR(__xludf.DUMMYFUNCTION("""COMPUTED_VALUE"""),2656442.0)</f>
        <v>2656442</v>
      </c>
      <c r="D1022" s="2" t="str">
        <f>IFERROR(__xludf.DUMMYFUNCTION("""COMPUTED_VALUE"""),"Sale")</f>
        <v>Sale</v>
      </c>
      <c r="E1022" s="2" t="str">
        <f>IFERROR(__xludf.DUMMYFUNCTION("""COMPUTED_VALUE"""),"Minuman")</f>
        <v>Minuman</v>
      </c>
      <c r="F1022" s="2">
        <f>IFERROR(__xludf.DUMMYFUNCTION("""COMPUTED_VALUE"""),10128.0)</f>
        <v>10128</v>
      </c>
      <c r="G1022" s="2" t="str">
        <f>IFERROR(__xludf.DUMMYFUNCTION("""COMPUTED_VALUE"""),"Es Kopi Susu")</f>
        <v>Es Kopi Susu</v>
      </c>
      <c r="H1022" s="2"/>
      <c r="I1022" s="2"/>
      <c r="J1022" s="2">
        <f>IFERROR(__xludf.DUMMYFUNCTION("""COMPUTED_VALUE"""),1.0)</f>
        <v>1</v>
      </c>
      <c r="K1022" s="6">
        <f>IFERROR(__xludf.DUMMYFUNCTION("""COMPUTED_VALUE"""),23333.0)</f>
        <v>23333</v>
      </c>
      <c r="L1022" s="2">
        <f>IFERROR(__xludf.DUMMYFUNCTION("""COMPUTED_VALUE"""),0.0)</f>
        <v>0</v>
      </c>
      <c r="M1022" s="2">
        <f>IFERROR(__xludf.DUMMYFUNCTION("""COMPUTED_VALUE"""),23333.0)</f>
        <v>23333</v>
      </c>
      <c r="N1022" s="2">
        <f>IFERROR(__xludf.DUMMYFUNCTION("""COMPUTED_VALUE"""),0.0)</f>
        <v>0</v>
      </c>
      <c r="O1022" s="2">
        <f>IFERROR(__xludf.DUMMYFUNCTION("""COMPUTED_VALUE"""),23333.0)</f>
        <v>23333</v>
      </c>
      <c r="P1022" s="2">
        <f>IFERROR(__xludf.DUMMYFUNCTION("""COMPUTED_VALUE"""),1167.0)</f>
        <v>1167</v>
      </c>
      <c r="Q1022" s="2" t="str">
        <f>IFERROR(__xludf.DUMMYFUNCTION("""COMPUTED_VALUE"""),"Dine In")</f>
        <v>Dine In</v>
      </c>
      <c r="R1022" s="2" t="str">
        <f>IFERROR(__xludf.DUMMYFUNCTION("""COMPUTED_VALUE"""),"Kedai")</f>
        <v>Kedai</v>
      </c>
      <c r="S1022" s="2" t="str">
        <f>IFERROR(__xludf.DUMMYFUNCTION("""COMPUTED_VALUE"""),"Temu Roti")</f>
        <v>Temu Roti</v>
      </c>
      <c r="T1022" s="2" t="str">
        <f>IFERROR(__xludf.DUMMYFUNCTION("""COMPUTED_VALUE"""),"Owner")</f>
        <v>Owner</v>
      </c>
      <c r="U1022" s="2"/>
      <c r="V1022" s="2"/>
      <c r="W1022" s="2"/>
      <c r="X1022" s="2" t="str">
        <f>IFERROR(__xludf.DUMMYFUNCTION("""COMPUTED_VALUE"""),"Closed")</f>
        <v>Closed</v>
      </c>
    </row>
    <row r="1023">
      <c r="A1023" s="3" t="s">
        <v>1038</v>
      </c>
      <c r="B1023" s="4">
        <f>IFERROR(__xludf.DUMMYFUNCTION("SPLIT(A1023,"","",0,0)"),45543.725)</f>
        <v>45543.725</v>
      </c>
      <c r="C1023" s="5">
        <f>IFERROR(__xludf.DUMMYFUNCTION("""COMPUTED_VALUE"""),2656442.0)</f>
        <v>2656442</v>
      </c>
      <c r="D1023" s="2" t="str">
        <f>IFERROR(__xludf.DUMMYFUNCTION("""COMPUTED_VALUE"""),"Sale")</f>
        <v>Sale</v>
      </c>
      <c r="E1023" s="2" t="str">
        <f>IFERROR(__xludf.DUMMYFUNCTION("""COMPUTED_VALUE"""),"Minuman")</f>
        <v>Minuman</v>
      </c>
      <c r="F1023" s="2">
        <f>IFERROR(__xludf.DUMMYFUNCTION("""COMPUTED_VALUE"""),10106.0)</f>
        <v>10106</v>
      </c>
      <c r="G1023" s="2" t="str">
        <f>IFERROR(__xludf.DUMMYFUNCTION("""COMPUTED_VALUE"""),"Korean Strawberry Fresh Milk")</f>
        <v>Korean Strawberry Fresh Milk</v>
      </c>
      <c r="H1023" s="2"/>
      <c r="I1023" s="2"/>
      <c r="J1023" s="2">
        <f>IFERROR(__xludf.DUMMYFUNCTION("""COMPUTED_VALUE"""),1.0)</f>
        <v>1</v>
      </c>
      <c r="K1023" s="6">
        <f>IFERROR(__xludf.DUMMYFUNCTION("""COMPUTED_VALUE"""),26667.0)</f>
        <v>26667</v>
      </c>
      <c r="L1023" s="2">
        <f>IFERROR(__xludf.DUMMYFUNCTION("""COMPUTED_VALUE"""),0.0)</f>
        <v>0</v>
      </c>
      <c r="M1023" s="2">
        <f>IFERROR(__xludf.DUMMYFUNCTION("""COMPUTED_VALUE"""),26667.0)</f>
        <v>26667</v>
      </c>
      <c r="N1023" s="2">
        <f>IFERROR(__xludf.DUMMYFUNCTION("""COMPUTED_VALUE"""),0.0)</f>
        <v>0</v>
      </c>
      <c r="O1023" s="2">
        <f>IFERROR(__xludf.DUMMYFUNCTION("""COMPUTED_VALUE"""),26667.0)</f>
        <v>26667</v>
      </c>
      <c r="P1023" s="2">
        <f>IFERROR(__xludf.DUMMYFUNCTION("""COMPUTED_VALUE"""),1333.0)</f>
        <v>1333</v>
      </c>
      <c r="Q1023" s="2" t="str">
        <f>IFERROR(__xludf.DUMMYFUNCTION("""COMPUTED_VALUE"""),"Dine In")</f>
        <v>Dine In</v>
      </c>
      <c r="R1023" s="2" t="str">
        <f>IFERROR(__xludf.DUMMYFUNCTION("""COMPUTED_VALUE"""),"Kedai")</f>
        <v>Kedai</v>
      </c>
      <c r="S1023" s="2" t="str">
        <f>IFERROR(__xludf.DUMMYFUNCTION("""COMPUTED_VALUE"""),"Temu Roti")</f>
        <v>Temu Roti</v>
      </c>
      <c r="T1023" s="2" t="str">
        <f>IFERROR(__xludf.DUMMYFUNCTION("""COMPUTED_VALUE"""),"Owner")</f>
        <v>Owner</v>
      </c>
      <c r="U1023" s="2"/>
      <c r="V1023" s="2"/>
      <c r="W1023" s="2"/>
      <c r="X1023" s="2" t="str">
        <f>IFERROR(__xludf.DUMMYFUNCTION("""COMPUTED_VALUE"""),"Closed")</f>
        <v>Closed</v>
      </c>
    </row>
    <row r="1024">
      <c r="A1024" s="3" t="s">
        <v>1039</v>
      </c>
      <c r="B1024" s="4">
        <f>IFERROR(__xludf.DUMMYFUNCTION("SPLIT(A1024,"","",0,0)"),45543.725)</f>
        <v>45543.725</v>
      </c>
      <c r="C1024" s="5">
        <f>IFERROR(__xludf.DUMMYFUNCTION("""COMPUTED_VALUE"""),2656442.0)</f>
        <v>2656442</v>
      </c>
      <c r="D1024" s="2" t="str">
        <f>IFERROR(__xludf.DUMMYFUNCTION("""COMPUTED_VALUE"""),"Sale")</f>
        <v>Sale</v>
      </c>
      <c r="E1024" s="2" t="str">
        <f>IFERROR(__xludf.DUMMYFUNCTION("""COMPUTED_VALUE"""),"Kudapan")</f>
        <v>Kudapan</v>
      </c>
      <c r="F1024" s="2">
        <f>IFERROR(__xludf.DUMMYFUNCTION("""COMPUTED_VALUE"""),10014.0)</f>
        <v>10014</v>
      </c>
      <c r="G1024" s="2" t="str">
        <f>IFERROR(__xludf.DUMMYFUNCTION("""COMPUTED_VALUE"""),"Tempe Mendoan")</f>
        <v>Tempe Mendoan</v>
      </c>
      <c r="H1024" s="2"/>
      <c r="I1024" s="2"/>
      <c r="J1024" s="2">
        <f>IFERROR(__xludf.DUMMYFUNCTION("""COMPUTED_VALUE"""),1.0)</f>
        <v>1</v>
      </c>
      <c r="K1024" s="6">
        <f>IFERROR(__xludf.DUMMYFUNCTION("""COMPUTED_VALUE"""),25238.0)</f>
        <v>25238</v>
      </c>
      <c r="L1024" s="2">
        <f>IFERROR(__xludf.DUMMYFUNCTION("""COMPUTED_VALUE"""),0.0)</f>
        <v>0</v>
      </c>
      <c r="M1024" s="2">
        <f>IFERROR(__xludf.DUMMYFUNCTION("""COMPUTED_VALUE"""),25238.0)</f>
        <v>25238</v>
      </c>
      <c r="N1024" s="2">
        <f>IFERROR(__xludf.DUMMYFUNCTION("""COMPUTED_VALUE"""),0.0)</f>
        <v>0</v>
      </c>
      <c r="O1024" s="2">
        <f>IFERROR(__xludf.DUMMYFUNCTION("""COMPUTED_VALUE"""),25238.0)</f>
        <v>25238</v>
      </c>
      <c r="P1024" s="2">
        <f>IFERROR(__xludf.DUMMYFUNCTION("""COMPUTED_VALUE"""),1262.0)</f>
        <v>1262</v>
      </c>
      <c r="Q1024" s="2" t="str">
        <f>IFERROR(__xludf.DUMMYFUNCTION("""COMPUTED_VALUE"""),"Dine In")</f>
        <v>Dine In</v>
      </c>
      <c r="R1024" s="2" t="str">
        <f>IFERROR(__xludf.DUMMYFUNCTION("""COMPUTED_VALUE"""),"Kedai")</f>
        <v>Kedai</v>
      </c>
      <c r="S1024" s="2" t="str">
        <f>IFERROR(__xludf.DUMMYFUNCTION("""COMPUTED_VALUE"""),"Temu Roti")</f>
        <v>Temu Roti</v>
      </c>
      <c r="T1024" s="2" t="str">
        <f>IFERROR(__xludf.DUMMYFUNCTION("""COMPUTED_VALUE"""),"Owner")</f>
        <v>Owner</v>
      </c>
      <c r="U1024" s="2"/>
      <c r="V1024" s="2"/>
      <c r="W1024" s="2"/>
      <c r="X1024" s="2" t="str">
        <f>IFERROR(__xludf.DUMMYFUNCTION("""COMPUTED_VALUE"""),"Closed")</f>
        <v>Closed</v>
      </c>
    </row>
    <row r="1025">
      <c r="A1025" s="3" t="s">
        <v>1040</v>
      </c>
      <c r="B1025" s="4">
        <f>IFERROR(__xludf.DUMMYFUNCTION("SPLIT(A1025,"","",0,0)"),45543.722916666666)</f>
        <v>45543.72292</v>
      </c>
      <c r="C1025" s="5">
        <f>IFERROR(__xludf.DUMMYFUNCTION("""COMPUTED_VALUE"""),2656076.0)</f>
        <v>2656076</v>
      </c>
      <c r="D1025" s="2" t="str">
        <f>IFERROR(__xludf.DUMMYFUNCTION("""COMPUTED_VALUE"""),"Sale")</f>
        <v>Sale</v>
      </c>
      <c r="E1025" s="2" t="str">
        <f>IFERROR(__xludf.DUMMYFUNCTION("""COMPUTED_VALUE"""),"Roti")</f>
        <v>Roti</v>
      </c>
      <c r="F1025" s="2">
        <f>IFERROR(__xludf.DUMMYFUNCTION("""COMPUTED_VALUE"""),10025.0)</f>
        <v>10025</v>
      </c>
      <c r="G1025" s="2" t="str">
        <f>IFERROR(__xludf.DUMMYFUNCTION("""COMPUTED_VALUE"""),"Roti Tawar Susu")</f>
        <v>Roti Tawar Susu</v>
      </c>
      <c r="H1025" s="2"/>
      <c r="I1025" s="2"/>
      <c r="J1025" s="2">
        <f>IFERROR(__xludf.DUMMYFUNCTION("""COMPUTED_VALUE"""),1.0)</f>
        <v>1</v>
      </c>
      <c r="K1025" s="6">
        <f>IFERROR(__xludf.DUMMYFUNCTION("""COMPUTED_VALUE"""),24762.0)</f>
        <v>24762</v>
      </c>
      <c r="L1025" s="2">
        <f>IFERROR(__xludf.DUMMYFUNCTION("""COMPUTED_VALUE"""),0.0)</f>
        <v>0</v>
      </c>
      <c r="M1025" s="2">
        <f>IFERROR(__xludf.DUMMYFUNCTION("""COMPUTED_VALUE"""),24762.0)</f>
        <v>24762</v>
      </c>
      <c r="N1025" s="2">
        <f>IFERROR(__xludf.DUMMYFUNCTION("""COMPUTED_VALUE"""),0.0)</f>
        <v>0</v>
      </c>
      <c r="O1025" s="2">
        <f>IFERROR(__xludf.DUMMYFUNCTION("""COMPUTED_VALUE"""),24762.0)</f>
        <v>24762</v>
      </c>
      <c r="P1025" s="2">
        <f>IFERROR(__xludf.DUMMYFUNCTION("""COMPUTED_VALUE"""),1238.0)</f>
        <v>1238</v>
      </c>
      <c r="Q1025" s="2" t="str">
        <f>IFERROR(__xludf.DUMMYFUNCTION("""COMPUTED_VALUE"""),"Dine In")</f>
        <v>Dine In</v>
      </c>
      <c r="R1025" s="2" t="str">
        <f>IFERROR(__xludf.DUMMYFUNCTION("""COMPUTED_VALUE"""),"Kedai")</f>
        <v>Kedai</v>
      </c>
      <c r="S1025" s="2" t="str">
        <f>IFERROR(__xludf.DUMMYFUNCTION("""COMPUTED_VALUE"""),"Temu Roti")</f>
        <v>Temu Roti</v>
      </c>
      <c r="T1025" s="2" t="str">
        <f>IFERROR(__xludf.DUMMYFUNCTION("""COMPUTED_VALUE"""),"Owner")</f>
        <v>Owner</v>
      </c>
      <c r="U1025" s="2"/>
      <c r="V1025" s="2"/>
      <c r="W1025" s="2"/>
      <c r="X1025" s="2" t="str">
        <f>IFERROR(__xludf.DUMMYFUNCTION("""COMPUTED_VALUE"""),"Closed")</f>
        <v>Closed</v>
      </c>
    </row>
    <row r="1026">
      <c r="A1026" s="3" t="s">
        <v>1041</v>
      </c>
      <c r="B1026" s="4">
        <f>IFERROR(__xludf.DUMMYFUNCTION("SPLIT(A1026,"","",0,0)"),45543.72222222222)</f>
        <v>45543.72222</v>
      </c>
      <c r="C1026" s="5">
        <f>IFERROR(__xludf.DUMMYFUNCTION("""COMPUTED_VALUE"""),2655711.0)</f>
        <v>2655711</v>
      </c>
      <c r="D1026" s="2" t="str">
        <f>IFERROR(__xludf.DUMMYFUNCTION("""COMPUTED_VALUE"""),"Sale")</f>
        <v>Sale</v>
      </c>
      <c r="E1026" s="2" t="str">
        <f>IFERROR(__xludf.DUMMYFUNCTION("""COMPUTED_VALUE"""),"Kudapan")</f>
        <v>Kudapan</v>
      </c>
      <c r="F1026" s="2">
        <f>IFERROR(__xludf.DUMMYFUNCTION("""COMPUTED_VALUE"""),10004.0)</f>
        <v>10004</v>
      </c>
      <c r="G1026" s="2" t="str">
        <f>IFERROR(__xludf.DUMMYFUNCTION("""COMPUTED_VALUE"""),"Tahu walik")</f>
        <v>Tahu walik</v>
      </c>
      <c r="H1026" s="2"/>
      <c r="I1026" s="2"/>
      <c r="J1026" s="2">
        <f>IFERROR(__xludf.DUMMYFUNCTION("""COMPUTED_VALUE"""),1.0)</f>
        <v>1</v>
      </c>
      <c r="K1026" s="6">
        <f>IFERROR(__xludf.DUMMYFUNCTION("""COMPUTED_VALUE"""),25238.0)</f>
        <v>25238</v>
      </c>
      <c r="L1026" s="2">
        <f>IFERROR(__xludf.DUMMYFUNCTION("""COMPUTED_VALUE"""),0.0)</f>
        <v>0</v>
      </c>
      <c r="M1026" s="2">
        <f>IFERROR(__xludf.DUMMYFUNCTION("""COMPUTED_VALUE"""),25238.0)</f>
        <v>25238</v>
      </c>
      <c r="N1026" s="2">
        <f>IFERROR(__xludf.DUMMYFUNCTION("""COMPUTED_VALUE"""),0.0)</f>
        <v>0</v>
      </c>
      <c r="O1026" s="2">
        <f>IFERROR(__xludf.DUMMYFUNCTION("""COMPUTED_VALUE"""),25238.0)</f>
        <v>25238</v>
      </c>
      <c r="P1026" s="2">
        <f>IFERROR(__xludf.DUMMYFUNCTION("""COMPUTED_VALUE"""),1262.0)</f>
        <v>1262</v>
      </c>
      <c r="Q1026" s="2" t="str">
        <f>IFERROR(__xludf.DUMMYFUNCTION("""COMPUTED_VALUE"""),"Dine In")</f>
        <v>Dine In</v>
      </c>
      <c r="R1026" s="2" t="str">
        <f>IFERROR(__xludf.DUMMYFUNCTION("""COMPUTED_VALUE"""),"Kedai")</f>
        <v>Kedai</v>
      </c>
      <c r="S1026" s="2" t="str">
        <f>IFERROR(__xludf.DUMMYFUNCTION("""COMPUTED_VALUE"""),"Temu Roti")</f>
        <v>Temu Roti</v>
      </c>
      <c r="T1026" s="2" t="str">
        <f>IFERROR(__xludf.DUMMYFUNCTION("""COMPUTED_VALUE"""),"Owner")</f>
        <v>Owner</v>
      </c>
      <c r="U1026" s="2"/>
      <c r="V1026" s="2"/>
      <c r="W1026" s="2"/>
      <c r="X1026" s="2" t="str">
        <f>IFERROR(__xludf.DUMMYFUNCTION("""COMPUTED_VALUE"""),"Closed")</f>
        <v>Closed</v>
      </c>
    </row>
    <row r="1027">
      <c r="A1027" s="3" t="s">
        <v>1042</v>
      </c>
      <c r="B1027" s="4">
        <f>IFERROR(__xludf.DUMMYFUNCTION("SPLIT(A1027,"","",0,0)"),45543.72222222222)</f>
        <v>45543.72222</v>
      </c>
      <c r="C1027" s="5">
        <f>IFERROR(__xludf.DUMMYFUNCTION("""COMPUTED_VALUE"""),2655711.0)</f>
        <v>2655711</v>
      </c>
      <c r="D1027" s="2" t="str">
        <f>IFERROR(__xludf.DUMMYFUNCTION("""COMPUTED_VALUE"""),"Sale")</f>
        <v>Sale</v>
      </c>
      <c r="E1027" s="2" t="str">
        <f>IFERROR(__xludf.DUMMYFUNCTION("""COMPUTED_VALUE"""),"Hidangan Utama")</f>
        <v>Hidangan Utama</v>
      </c>
      <c r="F1027" s="2">
        <f>IFERROR(__xludf.DUMMYFUNCTION("""COMPUTED_VALUE"""),10003.0)</f>
        <v>10003</v>
      </c>
      <c r="G1027" s="2" t="str">
        <f>IFERROR(__xludf.DUMMYFUNCTION("""COMPUTED_VALUE"""),"Nasi Goreng Temu")</f>
        <v>Nasi Goreng Temu</v>
      </c>
      <c r="H1027" s="2"/>
      <c r="I1027" s="2"/>
      <c r="J1027" s="2">
        <f>IFERROR(__xludf.DUMMYFUNCTION("""COMPUTED_VALUE"""),1.0)</f>
        <v>1</v>
      </c>
      <c r="K1027" s="6">
        <f>IFERROR(__xludf.DUMMYFUNCTION("""COMPUTED_VALUE"""),29524.0)</f>
        <v>29524</v>
      </c>
      <c r="L1027" s="2">
        <f>IFERROR(__xludf.DUMMYFUNCTION("""COMPUTED_VALUE"""),0.0)</f>
        <v>0</v>
      </c>
      <c r="M1027" s="2">
        <f>IFERROR(__xludf.DUMMYFUNCTION("""COMPUTED_VALUE"""),29524.0)</f>
        <v>29524</v>
      </c>
      <c r="N1027" s="2">
        <f>IFERROR(__xludf.DUMMYFUNCTION("""COMPUTED_VALUE"""),0.0)</f>
        <v>0</v>
      </c>
      <c r="O1027" s="2">
        <f>IFERROR(__xludf.DUMMYFUNCTION("""COMPUTED_VALUE"""),29524.0)</f>
        <v>29524</v>
      </c>
      <c r="P1027" s="2">
        <f>IFERROR(__xludf.DUMMYFUNCTION("""COMPUTED_VALUE"""),1476.0)</f>
        <v>1476</v>
      </c>
      <c r="Q1027" s="2" t="str">
        <f>IFERROR(__xludf.DUMMYFUNCTION("""COMPUTED_VALUE"""),"Dine In")</f>
        <v>Dine In</v>
      </c>
      <c r="R1027" s="2" t="str">
        <f>IFERROR(__xludf.DUMMYFUNCTION("""COMPUTED_VALUE"""),"Kedai")</f>
        <v>Kedai</v>
      </c>
      <c r="S1027" s="2" t="str">
        <f>IFERROR(__xludf.DUMMYFUNCTION("""COMPUTED_VALUE"""),"Temu Roti")</f>
        <v>Temu Roti</v>
      </c>
      <c r="T1027" s="2" t="str">
        <f>IFERROR(__xludf.DUMMYFUNCTION("""COMPUTED_VALUE"""),"Owner")</f>
        <v>Owner</v>
      </c>
      <c r="U1027" s="2"/>
      <c r="V1027" s="2"/>
      <c r="W1027" s="2"/>
      <c r="X1027" s="2" t="str">
        <f>IFERROR(__xludf.DUMMYFUNCTION("""COMPUTED_VALUE"""),"Closed")</f>
        <v>Closed</v>
      </c>
    </row>
    <row r="1028">
      <c r="A1028" s="3" t="s">
        <v>1043</v>
      </c>
      <c r="B1028" s="4">
        <f>IFERROR(__xludf.DUMMYFUNCTION("SPLIT(A1028,"","",0,0)"),45543.72222222222)</f>
        <v>45543.72222</v>
      </c>
      <c r="C1028" s="5">
        <f>IFERROR(__xludf.DUMMYFUNCTION("""COMPUTED_VALUE"""),2655711.0)</f>
        <v>2655711</v>
      </c>
      <c r="D1028" s="2" t="str">
        <f>IFERROR(__xludf.DUMMYFUNCTION("""COMPUTED_VALUE"""),"Sale")</f>
        <v>Sale</v>
      </c>
      <c r="E1028" s="2" t="str">
        <f>IFERROR(__xludf.DUMMYFUNCTION("""COMPUTED_VALUE"""),"Minuman")</f>
        <v>Minuman</v>
      </c>
      <c r="F1028" s="2">
        <f>IFERROR(__xludf.DUMMYFUNCTION("""COMPUTED_VALUE"""),10117.0)</f>
        <v>10117</v>
      </c>
      <c r="G1028" s="2" t="str">
        <f>IFERROR(__xludf.DUMMYFUNCTION("""COMPUTED_VALUE"""),"Teh Manis Dingin")</f>
        <v>Teh Manis Dingin</v>
      </c>
      <c r="H1028" s="2"/>
      <c r="I1028" s="2"/>
      <c r="J1028" s="2">
        <f>IFERROR(__xludf.DUMMYFUNCTION("""COMPUTED_VALUE"""),1.0)</f>
        <v>1</v>
      </c>
      <c r="K1028" s="6">
        <f>IFERROR(__xludf.DUMMYFUNCTION("""COMPUTED_VALUE"""),14286.0)</f>
        <v>14286</v>
      </c>
      <c r="L1028" s="2">
        <f>IFERROR(__xludf.DUMMYFUNCTION("""COMPUTED_VALUE"""),0.0)</f>
        <v>0</v>
      </c>
      <c r="M1028" s="2">
        <f>IFERROR(__xludf.DUMMYFUNCTION("""COMPUTED_VALUE"""),14286.0)</f>
        <v>14286</v>
      </c>
      <c r="N1028" s="2">
        <f>IFERROR(__xludf.DUMMYFUNCTION("""COMPUTED_VALUE"""),0.0)</f>
        <v>0</v>
      </c>
      <c r="O1028" s="2">
        <f>IFERROR(__xludf.DUMMYFUNCTION("""COMPUTED_VALUE"""),14286.0)</f>
        <v>14286</v>
      </c>
      <c r="P1028" s="2">
        <f>IFERROR(__xludf.DUMMYFUNCTION("""COMPUTED_VALUE"""),714.0)</f>
        <v>714</v>
      </c>
      <c r="Q1028" s="2" t="str">
        <f>IFERROR(__xludf.DUMMYFUNCTION("""COMPUTED_VALUE"""),"Dine In")</f>
        <v>Dine In</v>
      </c>
      <c r="R1028" s="2" t="str">
        <f>IFERROR(__xludf.DUMMYFUNCTION("""COMPUTED_VALUE"""),"Kedai")</f>
        <v>Kedai</v>
      </c>
      <c r="S1028" s="2" t="str">
        <f>IFERROR(__xludf.DUMMYFUNCTION("""COMPUTED_VALUE"""),"Temu Roti")</f>
        <v>Temu Roti</v>
      </c>
      <c r="T1028" s="2" t="str">
        <f>IFERROR(__xludf.DUMMYFUNCTION("""COMPUTED_VALUE"""),"Owner")</f>
        <v>Owner</v>
      </c>
      <c r="U1028" s="2"/>
      <c r="V1028" s="2"/>
      <c r="W1028" s="2"/>
      <c r="X1028" s="2" t="str">
        <f>IFERROR(__xludf.DUMMYFUNCTION("""COMPUTED_VALUE"""),"Closed")</f>
        <v>Closed</v>
      </c>
    </row>
    <row r="1029">
      <c r="A1029" s="3" t="s">
        <v>1044</v>
      </c>
      <c r="B1029" s="4">
        <f>IFERROR(__xludf.DUMMYFUNCTION("SPLIT(A1029,"","",0,0)"),45543.72222222222)</f>
        <v>45543.72222</v>
      </c>
      <c r="C1029" s="5">
        <f>IFERROR(__xludf.DUMMYFUNCTION("""COMPUTED_VALUE"""),2655711.0)</f>
        <v>2655711</v>
      </c>
      <c r="D1029" s="2" t="str">
        <f>IFERROR(__xludf.DUMMYFUNCTION("""COMPUTED_VALUE"""),"Sale")</f>
        <v>Sale</v>
      </c>
      <c r="E1029" s="2" t="str">
        <f>IFERROR(__xludf.DUMMYFUNCTION("""COMPUTED_VALUE"""),"Kudapan")</f>
        <v>Kudapan</v>
      </c>
      <c r="F1029" s="2">
        <f>IFERROR(__xludf.DUMMYFUNCTION("""COMPUTED_VALUE"""),10051.0)</f>
        <v>10051</v>
      </c>
      <c r="G1029" s="2" t="str">
        <f>IFERROR(__xludf.DUMMYFUNCTION("""COMPUTED_VALUE"""),"Tahu baso")</f>
        <v>Tahu baso</v>
      </c>
      <c r="H1029" s="2"/>
      <c r="I1029" s="2"/>
      <c r="J1029" s="2">
        <f>IFERROR(__xludf.DUMMYFUNCTION("""COMPUTED_VALUE"""),1.0)</f>
        <v>1</v>
      </c>
      <c r="K1029" s="6">
        <f>IFERROR(__xludf.DUMMYFUNCTION("""COMPUTED_VALUE"""),25238.0)</f>
        <v>25238</v>
      </c>
      <c r="L1029" s="2">
        <f>IFERROR(__xludf.DUMMYFUNCTION("""COMPUTED_VALUE"""),0.0)</f>
        <v>0</v>
      </c>
      <c r="M1029" s="2">
        <f>IFERROR(__xludf.DUMMYFUNCTION("""COMPUTED_VALUE"""),25238.0)</f>
        <v>25238</v>
      </c>
      <c r="N1029" s="2">
        <f>IFERROR(__xludf.DUMMYFUNCTION("""COMPUTED_VALUE"""),0.0)</f>
        <v>0</v>
      </c>
      <c r="O1029" s="2">
        <f>IFERROR(__xludf.DUMMYFUNCTION("""COMPUTED_VALUE"""),25238.0)</f>
        <v>25238</v>
      </c>
      <c r="P1029" s="2">
        <f>IFERROR(__xludf.DUMMYFUNCTION("""COMPUTED_VALUE"""),1262.0)</f>
        <v>1262</v>
      </c>
      <c r="Q1029" s="2" t="str">
        <f>IFERROR(__xludf.DUMMYFUNCTION("""COMPUTED_VALUE"""),"Dine In")</f>
        <v>Dine In</v>
      </c>
      <c r="R1029" s="2" t="str">
        <f>IFERROR(__xludf.DUMMYFUNCTION("""COMPUTED_VALUE"""),"Kedai")</f>
        <v>Kedai</v>
      </c>
      <c r="S1029" s="2" t="str">
        <f>IFERROR(__xludf.DUMMYFUNCTION("""COMPUTED_VALUE"""),"Temu Roti")</f>
        <v>Temu Roti</v>
      </c>
      <c r="T1029" s="2" t="str">
        <f>IFERROR(__xludf.DUMMYFUNCTION("""COMPUTED_VALUE"""),"Owner")</f>
        <v>Owner</v>
      </c>
      <c r="U1029" s="2"/>
      <c r="V1029" s="2"/>
      <c r="W1029" s="2"/>
      <c r="X1029" s="2" t="str">
        <f>IFERROR(__xludf.DUMMYFUNCTION("""COMPUTED_VALUE"""),"Closed")</f>
        <v>Closed</v>
      </c>
    </row>
    <row r="1030">
      <c r="A1030" s="3" t="s">
        <v>1045</v>
      </c>
      <c r="B1030" s="4">
        <f>IFERROR(__xludf.DUMMYFUNCTION("SPLIT(A1030,"","",0,0)"),45543.72222222222)</f>
        <v>45543.72222</v>
      </c>
      <c r="C1030" s="5">
        <f>IFERROR(__xludf.DUMMYFUNCTION("""COMPUTED_VALUE"""),2655711.0)</f>
        <v>2655711</v>
      </c>
      <c r="D1030" s="2" t="str">
        <f>IFERROR(__xludf.DUMMYFUNCTION("""COMPUTED_VALUE"""),"Sale")</f>
        <v>Sale</v>
      </c>
      <c r="E1030" s="2" t="str">
        <f>IFERROR(__xludf.DUMMYFUNCTION("""COMPUTED_VALUE"""),"Minuman")</f>
        <v>Minuman</v>
      </c>
      <c r="F1030" s="2">
        <f>IFERROR(__xludf.DUMMYFUNCTION("""COMPUTED_VALUE"""),10125.0)</f>
        <v>10125</v>
      </c>
      <c r="G1030" s="2" t="str">
        <f>IFERROR(__xludf.DUMMYFUNCTION("""COMPUTED_VALUE"""),"Gula Asam Dingin")</f>
        <v>Gula Asam Dingin</v>
      </c>
      <c r="H1030" s="2"/>
      <c r="I1030" s="2"/>
      <c r="J1030" s="2">
        <f>IFERROR(__xludf.DUMMYFUNCTION("""COMPUTED_VALUE"""),1.0)</f>
        <v>1</v>
      </c>
      <c r="K1030" s="6">
        <f>IFERROR(__xludf.DUMMYFUNCTION("""COMPUTED_VALUE"""),20476.0)</f>
        <v>20476</v>
      </c>
      <c r="L1030" s="2">
        <f>IFERROR(__xludf.DUMMYFUNCTION("""COMPUTED_VALUE"""),0.0)</f>
        <v>0</v>
      </c>
      <c r="M1030" s="2">
        <f>IFERROR(__xludf.DUMMYFUNCTION("""COMPUTED_VALUE"""),20476.0)</f>
        <v>20476</v>
      </c>
      <c r="N1030" s="2">
        <f>IFERROR(__xludf.DUMMYFUNCTION("""COMPUTED_VALUE"""),0.0)</f>
        <v>0</v>
      </c>
      <c r="O1030" s="2">
        <f>IFERROR(__xludf.DUMMYFUNCTION("""COMPUTED_VALUE"""),20476.0)</f>
        <v>20476</v>
      </c>
      <c r="P1030" s="2">
        <f>IFERROR(__xludf.DUMMYFUNCTION("""COMPUTED_VALUE"""),1024.0)</f>
        <v>1024</v>
      </c>
      <c r="Q1030" s="2" t="str">
        <f>IFERROR(__xludf.DUMMYFUNCTION("""COMPUTED_VALUE"""),"Dine In")</f>
        <v>Dine In</v>
      </c>
      <c r="R1030" s="2" t="str">
        <f>IFERROR(__xludf.DUMMYFUNCTION("""COMPUTED_VALUE"""),"Kedai")</f>
        <v>Kedai</v>
      </c>
      <c r="S1030" s="2" t="str">
        <f>IFERROR(__xludf.DUMMYFUNCTION("""COMPUTED_VALUE"""),"Temu Roti")</f>
        <v>Temu Roti</v>
      </c>
      <c r="T1030" s="2" t="str">
        <f>IFERROR(__xludf.DUMMYFUNCTION("""COMPUTED_VALUE"""),"Owner")</f>
        <v>Owner</v>
      </c>
      <c r="U1030" s="2"/>
      <c r="V1030" s="2"/>
      <c r="W1030" s="2"/>
      <c r="X1030" s="2" t="str">
        <f>IFERROR(__xludf.DUMMYFUNCTION("""COMPUTED_VALUE"""),"Closed")</f>
        <v>Closed</v>
      </c>
    </row>
    <row r="1031">
      <c r="A1031" s="3" t="s">
        <v>1046</v>
      </c>
      <c r="B1031" s="4">
        <f>IFERROR(__xludf.DUMMYFUNCTION("SPLIT(A1031,"","",0,0)"),45543.72152777778)</f>
        <v>45543.72153</v>
      </c>
      <c r="C1031" s="5">
        <f>IFERROR(__xludf.DUMMYFUNCTION("""COMPUTED_VALUE"""),2655346.0)</f>
        <v>2655346</v>
      </c>
      <c r="D1031" s="2" t="str">
        <f>IFERROR(__xludf.DUMMYFUNCTION("""COMPUTED_VALUE"""),"Sale")</f>
        <v>Sale</v>
      </c>
      <c r="E1031" s="2" t="str">
        <f>IFERROR(__xludf.DUMMYFUNCTION("""COMPUTED_VALUE"""),"Hidangan Utama")</f>
        <v>Hidangan Utama</v>
      </c>
      <c r="F1031" s="2">
        <f>IFERROR(__xludf.DUMMYFUNCTION("""COMPUTED_VALUE"""),10053.0)</f>
        <v>10053</v>
      </c>
      <c r="G1031" s="2" t="str">
        <f>IFERROR(__xludf.DUMMYFUNCTION("""COMPUTED_VALUE"""),"Nasi telor")</f>
        <v>Nasi telor</v>
      </c>
      <c r="H1031" s="2"/>
      <c r="I1031" s="2"/>
      <c r="J1031" s="2">
        <f>IFERROR(__xludf.DUMMYFUNCTION("""COMPUTED_VALUE"""),1.0)</f>
        <v>1</v>
      </c>
      <c r="K1031" s="6">
        <f>IFERROR(__xludf.DUMMYFUNCTION("""COMPUTED_VALUE"""),25238.0)</f>
        <v>25238</v>
      </c>
      <c r="L1031" s="2">
        <f>IFERROR(__xludf.DUMMYFUNCTION("""COMPUTED_VALUE"""),0.0)</f>
        <v>0</v>
      </c>
      <c r="M1031" s="2">
        <f>IFERROR(__xludf.DUMMYFUNCTION("""COMPUTED_VALUE"""),25238.0)</f>
        <v>25238</v>
      </c>
      <c r="N1031" s="2">
        <f>IFERROR(__xludf.DUMMYFUNCTION("""COMPUTED_VALUE"""),0.0)</f>
        <v>0</v>
      </c>
      <c r="O1031" s="2">
        <f>IFERROR(__xludf.DUMMYFUNCTION("""COMPUTED_VALUE"""),25238.0)</f>
        <v>25238</v>
      </c>
      <c r="P1031" s="2">
        <f>IFERROR(__xludf.DUMMYFUNCTION("""COMPUTED_VALUE"""),1262.0)</f>
        <v>1262</v>
      </c>
      <c r="Q1031" s="2" t="str">
        <f>IFERROR(__xludf.DUMMYFUNCTION("""COMPUTED_VALUE"""),"Dine In")</f>
        <v>Dine In</v>
      </c>
      <c r="R1031" s="2" t="str">
        <f>IFERROR(__xludf.DUMMYFUNCTION("""COMPUTED_VALUE"""),"Kedai")</f>
        <v>Kedai</v>
      </c>
      <c r="S1031" s="2" t="str">
        <f>IFERROR(__xludf.DUMMYFUNCTION("""COMPUTED_VALUE"""),"Temu Roti")</f>
        <v>Temu Roti</v>
      </c>
      <c r="T1031" s="2" t="str">
        <f>IFERROR(__xludf.DUMMYFUNCTION("""COMPUTED_VALUE"""),"Owner")</f>
        <v>Owner</v>
      </c>
      <c r="U1031" s="2"/>
      <c r="V1031" s="2"/>
      <c r="W1031" s="2"/>
      <c r="X1031" s="2" t="str">
        <f>IFERROR(__xludf.DUMMYFUNCTION("""COMPUTED_VALUE"""),"Closed")</f>
        <v>Closed</v>
      </c>
    </row>
    <row r="1032">
      <c r="A1032" s="3" t="s">
        <v>1047</v>
      </c>
      <c r="B1032" s="4">
        <f>IFERROR(__xludf.DUMMYFUNCTION("SPLIT(A1032,"","",0,0)"),45543.71666666667)</f>
        <v>45543.71667</v>
      </c>
      <c r="C1032" s="5">
        <f>IFERROR(__xludf.DUMMYFUNCTION("""COMPUTED_VALUE"""),2654981.0)</f>
        <v>2654981</v>
      </c>
      <c r="D1032" s="2" t="str">
        <f>IFERROR(__xludf.DUMMYFUNCTION("""COMPUTED_VALUE"""),"Refund")</f>
        <v>Refund</v>
      </c>
      <c r="E1032" s="2" t="str">
        <f>IFERROR(__xludf.DUMMYFUNCTION("""COMPUTED_VALUE"""),"Roti")</f>
        <v>Roti</v>
      </c>
      <c r="F1032" s="2">
        <f>IFERROR(__xludf.DUMMYFUNCTION("""COMPUTED_VALUE"""),10000.0)</f>
        <v>10000</v>
      </c>
      <c r="G1032" s="2" t="str">
        <f>IFERROR(__xludf.DUMMYFUNCTION("""COMPUTED_VALUE"""),"Roti Bawang Saus Keju")</f>
        <v>Roti Bawang Saus Keju</v>
      </c>
      <c r="H1032" s="2"/>
      <c r="I1032" s="2"/>
      <c r="J1032" s="2">
        <f>IFERROR(__xludf.DUMMYFUNCTION("""COMPUTED_VALUE"""),-1.0)</f>
        <v>-1</v>
      </c>
      <c r="K1032" s="6">
        <f>IFERROR(__xludf.DUMMYFUNCTION("""COMPUTED_VALUE"""),-29524.0)</f>
        <v>-29524</v>
      </c>
      <c r="L1032" s="2">
        <f>IFERROR(__xludf.DUMMYFUNCTION("""COMPUTED_VALUE"""),0.0)</f>
        <v>0</v>
      </c>
      <c r="M1032" s="2">
        <f>IFERROR(__xludf.DUMMYFUNCTION("""COMPUTED_VALUE"""),-29524.0)</f>
        <v>-29524</v>
      </c>
      <c r="N1032" s="2">
        <f>IFERROR(__xludf.DUMMYFUNCTION("""COMPUTED_VALUE"""),0.0)</f>
        <v>0</v>
      </c>
      <c r="O1032" s="2">
        <f>IFERROR(__xludf.DUMMYFUNCTION("""COMPUTED_VALUE"""),-29524.0)</f>
        <v>-29524</v>
      </c>
      <c r="P1032" s="2">
        <f>IFERROR(__xludf.DUMMYFUNCTION("""COMPUTED_VALUE"""),-1476.0)</f>
        <v>-1476</v>
      </c>
      <c r="Q1032" s="2" t="str">
        <f>IFERROR(__xludf.DUMMYFUNCTION("""COMPUTED_VALUE"""),"Dine In")</f>
        <v>Dine In</v>
      </c>
      <c r="R1032" s="2" t="str">
        <f>IFERROR(__xludf.DUMMYFUNCTION("""COMPUTED_VALUE"""),"Kedai")</f>
        <v>Kedai</v>
      </c>
      <c r="S1032" s="2" t="str">
        <f>IFERROR(__xludf.DUMMYFUNCTION("""COMPUTED_VALUE"""),"Temu Roti")</f>
        <v>Temu Roti</v>
      </c>
      <c r="T1032" s="2" t="str">
        <f>IFERROR(__xludf.DUMMYFUNCTION("""COMPUTED_VALUE"""),"Owner")</f>
        <v>Owner</v>
      </c>
      <c r="U1032" s="2"/>
      <c r="V1032" s="2"/>
      <c r="W1032" s="2"/>
      <c r="X1032" s="2" t="str">
        <f>IFERROR(__xludf.DUMMYFUNCTION("""COMPUTED_VALUE"""),"Closed")</f>
        <v>Closed</v>
      </c>
    </row>
    <row r="1033">
      <c r="A1033" s="3" t="s">
        <v>1048</v>
      </c>
      <c r="B1033" s="4">
        <f>IFERROR(__xludf.DUMMYFUNCTION("SPLIT(A1033,"","",0,0)"),45543.71666666667)</f>
        <v>45543.71667</v>
      </c>
      <c r="C1033" s="5">
        <f>IFERROR(__xludf.DUMMYFUNCTION("""COMPUTED_VALUE"""),2654981.0)</f>
        <v>2654981</v>
      </c>
      <c r="D1033" s="2" t="str">
        <f>IFERROR(__xludf.DUMMYFUNCTION("""COMPUTED_VALUE"""),"Refund")</f>
        <v>Refund</v>
      </c>
      <c r="E1033" s="2" t="str">
        <f>IFERROR(__xludf.DUMMYFUNCTION("""COMPUTED_VALUE"""),"Roti")</f>
        <v>Roti</v>
      </c>
      <c r="F1033" s="2">
        <f>IFERROR(__xludf.DUMMYFUNCTION("""COMPUTED_VALUE"""),10002.0)</f>
        <v>10002</v>
      </c>
      <c r="G1033" s="2" t="str">
        <f>IFERROR(__xludf.DUMMYFUNCTION("""COMPUTED_VALUE"""),"Roti Cranberry")</f>
        <v>Roti Cranberry</v>
      </c>
      <c r="H1033" s="2"/>
      <c r="I1033" s="2"/>
      <c r="J1033" s="2">
        <f>IFERROR(__xludf.DUMMYFUNCTION("""COMPUTED_VALUE"""),-1.0)</f>
        <v>-1</v>
      </c>
      <c r="K1033" s="6">
        <f>IFERROR(__xludf.DUMMYFUNCTION("""COMPUTED_VALUE"""),-18571.0)</f>
        <v>-18571</v>
      </c>
      <c r="L1033" s="2">
        <f>IFERROR(__xludf.DUMMYFUNCTION("""COMPUTED_VALUE"""),0.0)</f>
        <v>0</v>
      </c>
      <c r="M1033" s="2">
        <f>IFERROR(__xludf.DUMMYFUNCTION("""COMPUTED_VALUE"""),-18571.0)</f>
        <v>-18571</v>
      </c>
      <c r="N1033" s="2">
        <f>IFERROR(__xludf.DUMMYFUNCTION("""COMPUTED_VALUE"""),0.0)</f>
        <v>0</v>
      </c>
      <c r="O1033" s="2">
        <f>IFERROR(__xludf.DUMMYFUNCTION("""COMPUTED_VALUE"""),-18571.0)</f>
        <v>-18571</v>
      </c>
      <c r="P1033" s="2">
        <f>IFERROR(__xludf.DUMMYFUNCTION("""COMPUTED_VALUE"""),-929.0)</f>
        <v>-929</v>
      </c>
      <c r="Q1033" s="2" t="str">
        <f>IFERROR(__xludf.DUMMYFUNCTION("""COMPUTED_VALUE"""),"Dine In")</f>
        <v>Dine In</v>
      </c>
      <c r="R1033" s="2" t="str">
        <f>IFERROR(__xludf.DUMMYFUNCTION("""COMPUTED_VALUE"""),"Kedai")</f>
        <v>Kedai</v>
      </c>
      <c r="S1033" s="2" t="str">
        <f>IFERROR(__xludf.DUMMYFUNCTION("""COMPUTED_VALUE"""),"Temu Roti")</f>
        <v>Temu Roti</v>
      </c>
      <c r="T1033" s="2" t="str">
        <f>IFERROR(__xludf.DUMMYFUNCTION("""COMPUTED_VALUE"""),"Owner")</f>
        <v>Owner</v>
      </c>
      <c r="U1033" s="2"/>
      <c r="V1033" s="2"/>
      <c r="W1033" s="2"/>
      <c r="X1033" s="2" t="str">
        <f>IFERROR(__xludf.DUMMYFUNCTION("""COMPUTED_VALUE"""),"Closed")</f>
        <v>Closed</v>
      </c>
    </row>
    <row r="1034">
      <c r="A1034" s="3" t="s">
        <v>1049</v>
      </c>
      <c r="B1034" s="4">
        <f>IFERROR(__xludf.DUMMYFUNCTION("SPLIT(A1034,"","",0,0)"),45543.71597222222)</f>
        <v>45543.71597</v>
      </c>
      <c r="C1034" s="5">
        <f>IFERROR(__xludf.DUMMYFUNCTION("""COMPUTED_VALUE"""),2654615.0)</f>
        <v>2654615</v>
      </c>
      <c r="D1034" s="2" t="str">
        <f>IFERROR(__xludf.DUMMYFUNCTION("""COMPUTED_VALUE"""),"Sale")</f>
        <v>Sale</v>
      </c>
      <c r="E1034" s="2" t="str">
        <f>IFERROR(__xludf.DUMMYFUNCTION("""COMPUTED_VALUE"""),"Minuman")</f>
        <v>Minuman</v>
      </c>
      <c r="F1034" s="2">
        <f>IFERROR(__xludf.DUMMYFUNCTION("""COMPUTED_VALUE"""),10128.0)</f>
        <v>10128</v>
      </c>
      <c r="G1034" s="2" t="str">
        <f>IFERROR(__xludf.DUMMYFUNCTION("""COMPUTED_VALUE"""),"Es Kopi Susu")</f>
        <v>Es Kopi Susu</v>
      </c>
      <c r="H1034" s="2"/>
      <c r="I1034" s="2"/>
      <c r="J1034" s="2">
        <f>IFERROR(__xludf.DUMMYFUNCTION("""COMPUTED_VALUE"""),1.0)</f>
        <v>1</v>
      </c>
      <c r="K1034" s="6">
        <f>IFERROR(__xludf.DUMMYFUNCTION("""COMPUTED_VALUE"""),23333.0)</f>
        <v>23333</v>
      </c>
      <c r="L1034" s="2">
        <f>IFERROR(__xludf.DUMMYFUNCTION("""COMPUTED_VALUE"""),0.0)</f>
        <v>0</v>
      </c>
      <c r="M1034" s="2">
        <f>IFERROR(__xludf.DUMMYFUNCTION("""COMPUTED_VALUE"""),23333.0)</f>
        <v>23333</v>
      </c>
      <c r="N1034" s="2">
        <f>IFERROR(__xludf.DUMMYFUNCTION("""COMPUTED_VALUE"""),0.0)</f>
        <v>0</v>
      </c>
      <c r="O1034" s="2">
        <f>IFERROR(__xludf.DUMMYFUNCTION("""COMPUTED_VALUE"""),23333.0)</f>
        <v>23333</v>
      </c>
      <c r="P1034" s="2">
        <f>IFERROR(__xludf.DUMMYFUNCTION("""COMPUTED_VALUE"""),1167.0)</f>
        <v>1167</v>
      </c>
      <c r="Q1034" s="2" t="str">
        <f>IFERROR(__xludf.DUMMYFUNCTION("""COMPUTED_VALUE"""),"Dine In")</f>
        <v>Dine In</v>
      </c>
      <c r="R1034" s="2" t="str">
        <f>IFERROR(__xludf.DUMMYFUNCTION("""COMPUTED_VALUE"""),"Kedai")</f>
        <v>Kedai</v>
      </c>
      <c r="S1034" s="2" t="str">
        <f>IFERROR(__xludf.DUMMYFUNCTION("""COMPUTED_VALUE"""),"Temu Roti")</f>
        <v>Temu Roti</v>
      </c>
      <c r="T1034" s="2" t="str">
        <f>IFERROR(__xludf.DUMMYFUNCTION("""COMPUTED_VALUE"""),"Owner")</f>
        <v>Owner</v>
      </c>
      <c r="U1034" s="2"/>
      <c r="V1034" s="2"/>
      <c r="W1034" s="2"/>
      <c r="X1034" s="2" t="str">
        <f>IFERROR(__xludf.DUMMYFUNCTION("""COMPUTED_VALUE"""),"Closed")</f>
        <v>Closed</v>
      </c>
    </row>
    <row r="1035">
      <c r="A1035" s="3" t="s">
        <v>1050</v>
      </c>
      <c r="B1035" s="4">
        <f>IFERROR(__xludf.DUMMYFUNCTION("SPLIT(A1035,"","",0,0)"),45543.71597222222)</f>
        <v>45543.71597</v>
      </c>
      <c r="C1035" s="5">
        <f>IFERROR(__xludf.DUMMYFUNCTION("""COMPUTED_VALUE"""),2654615.0)</f>
        <v>2654615</v>
      </c>
      <c r="D1035" s="2" t="str">
        <f>IFERROR(__xludf.DUMMYFUNCTION("""COMPUTED_VALUE"""),"Sale")</f>
        <v>Sale</v>
      </c>
      <c r="E1035" s="2" t="str">
        <f>IFERROR(__xludf.DUMMYFUNCTION("""COMPUTED_VALUE"""),"Roti")</f>
        <v>Roti</v>
      </c>
      <c r="F1035" s="2">
        <f>IFERROR(__xludf.DUMMYFUNCTION("""COMPUTED_VALUE"""),10033.0)</f>
        <v>10033</v>
      </c>
      <c r="G1035" s="2" t="str">
        <f>IFERROR(__xludf.DUMMYFUNCTION("""COMPUTED_VALUE"""),"Roti panggang sarikaya")</f>
        <v>Roti panggang sarikaya</v>
      </c>
      <c r="H1035" s="2"/>
      <c r="I1035" s="2"/>
      <c r="J1035" s="2">
        <f>IFERROR(__xludf.DUMMYFUNCTION("""COMPUTED_VALUE"""),1.0)</f>
        <v>1</v>
      </c>
      <c r="K1035" s="6">
        <f>IFERROR(__xludf.DUMMYFUNCTION("""COMPUTED_VALUE"""),21905.0)</f>
        <v>21905</v>
      </c>
      <c r="L1035" s="2">
        <f>IFERROR(__xludf.DUMMYFUNCTION("""COMPUTED_VALUE"""),0.0)</f>
        <v>0</v>
      </c>
      <c r="M1035" s="2">
        <f>IFERROR(__xludf.DUMMYFUNCTION("""COMPUTED_VALUE"""),21905.0)</f>
        <v>21905</v>
      </c>
      <c r="N1035" s="2">
        <f>IFERROR(__xludf.DUMMYFUNCTION("""COMPUTED_VALUE"""),0.0)</f>
        <v>0</v>
      </c>
      <c r="O1035" s="2">
        <f>IFERROR(__xludf.DUMMYFUNCTION("""COMPUTED_VALUE"""),21905.0)</f>
        <v>21905</v>
      </c>
      <c r="P1035" s="2">
        <f>IFERROR(__xludf.DUMMYFUNCTION("""COMPUTED_VALUE"""),1095.0)</f>
        <v>1095</v>
      </c>
      <c r="Q1035" s="2" t="str">
        <f>IFERROR(__xludf.DUMMYFUNCTION("""COMPUTED_VALUE"""),"Dine In")</f>
        <v>Dine In</v>
      </c>
      <c r="R1035" s="2" t="str">
        <f>IFERROR(__xludf.DUMMYFUNCTION("""COMPUTED_VALUE"""),"Kedai")</f>
        <v>Kedai</v>
      </c>
      <c r="S1035" s="2" t="str">
        <f>IFERROR(__xludf.DUMMYFUNCTION("""COMPUTED_VALUE"""),"Temu Roti")</f>
        <v>Temu Roti</v>
      </c>
      <c r="T1035" s="2" t="str">
        <f>IFERROR(__xludf.DUMMYFUNCTION("""COMPUTED_VALUE"""),"Owner")</f>
        <v>Owner</v>
      </c>
      <c r="U1035" s="2"/>
      <c r="V1035" s="2"/>
      <c r="W1035" s="2"/>
      <c r="X1035" s="2" t="str">
        <f>IFERROR(__xludf.DUMMYFUNCTION("""COMPUTED_VALUE"""),"Closed")</f>
        <v>Closed</v>
      </c>
    </row>
    <row r="1036">
      <c r="A1036" s="3" t="s">
        <v>1051</v>
      </c>
      <c r="B1036" s="4">
        <f>IFERROR(__xludf.DUMMYFUNCTION("SPLIT(A1036,"","",0,0)"),45543.71597222222)</f>
        <v>45543.71597</v>
      </c>
      <c r="C1036" s="5">
        <f>IFERROR(__xludf.DUMMYFUNCTION("""COMPUTED_VALUE"""),2654615.0)</f>
        <v>2654615</v>
      </c>
      <c r="D1036" s="2" t="str">
        <f>IFERROR(__xludf.DUMMYFUNCTION("""COMPUTED_VALUE"""),"Sale")</f>
        <v>Sale</v>
      </c>
      <c r="E1036" s="2" t="str">
        <f>IFERROR(__xludf.DUMMYFUNCTION("""COMPUTED_VALUE"""),"Kudapan")</f>
        <v>Kudapan</v>
      </c>
      <c r="F1036" s="2">
        <f>IFERROR(__xludf.DUMMYFUNCTION("""COMPUTED_VALUE"""),10011.0)</f>
        <v>10011</v>
      </c>
      <c r="G1036" s="2" t="str">
        <f>IFERROR(__xludf.DUMMYFUNCTION("""COMPUTED_VALUE"""),"Kentang Goreng")</f>
        <v>Kentang Goreng</v>
      </c>
      <c r="H1036" s="2"/>
      <c r="I1036" s="2"/>
      <c r="J1036" s="2">
        <f>IFERROR(__xludf.DUMMYFUNCTION("""COMPUTED_VALUE"""),1.0)</f>
        <v>1</v>
      </c>
      <c r="K1036" s="6">
        <f>IFERROR(__xludf.DUMMYFUNCTION("""COMPUTED_VALUE"""),25238.0)</f>
        <v>25238</v>
      </c>
      <c r="L1036" s="2">
        <f>IFERROR(__xludf.DUMMYFUNCTION("""COMPUTED_VALUE"""),0.0)</f>
        <v>0</v>
      </c>
      <c r="M1036" s="2">
        <f>IFERROR(__xludf.DUMMYFUNCTION("""COMPUTED_VALUE"""),25238.0)</f>
        <v>25238</v>
      </c>
      <c r="N1036" s="2">
        <f>IFERROR(__xludf.DUMMYFUNCTION("""COMPUTED_VALUE"""),0.0)</f>
        <v>0</v>
      </c>
      <c r="O1036" s="2">
        <f>IFERROR(__xludf.DUMMYFUNCTION("""COMPUTED_VALUE"""),25238.0)</f>
        <v>25238</v>
      </c>
      <c r="P1036" s="2">
        <f>IFERROR(__xludf.DUMMYFUNCTION("""COMPUTED_VALUE"""),1262.0)</f>
        <v>1262</v>
      </c>
      <c r="Q1036" s="2" t="str">
        <f>IFERROR(__xludf.DUMMYFUNCTION("""COMPUTED_VALUE"""),"Dine In")</f>
        <v>Dine In</v>
      </c>
      <c r="R1036" s="2" t="str">
        <f>IFERROR(__xludf.DUMMYFUNCTION("""COMPUTED_VALUE"""),"Kedai")</f>
        <v>Kedai</v>
      </c>
      <c r="S1036" s="2" t="str">
        <f>IFERROR(__xludf.DUMMYFUNCTION("""COMPUTED_VALUE"""),"Temu Roti")</f>
        <v>Temu Roti</v>
      </c>
      <c r="T1036" s="2" t="str">
        <f>IFERROR(__xludf.DUMMYFUNCTION("""COMPUTED_VALUE"""),"Owner")</f>
        <v>Owner</v>
      </c>
      <c r="U1036" s="2"/>
      <c r="V1036" s="2"/>
      <c r="W1036" s="2"/>
      <c r="X1036" s="2" t="str">
        <f>IFERROR(__xludf.DUMMYFUNCTION("""COMPUTED_VALUE"""),"Closed")</f>
        <v>Closed</v>
      </c>
    </row>
    <row r="1037">
      <c r="A1037" s="3" t="s">
        <v>1052</v>
      </c>
      <c r="B1037" s="4">
        <f>IFERROR(__xludf.DUMMYFUNCTION("SPLIT(A1037,"","",0,0)"),45543.71319444444)</f>
        <v>45543.71319</v>
      </c>
      <c r="C1037" s="5">
        <f>IFERROR(__xludf.DUMMYFUNCTION("""COMPUTED_VALUE"""),2654250.0)</f>
        <v>2654250</v>
      </c>
      <c r="D1037" s="2" t="str">
        <f>IFERROR(__xludf.DUMMYFUNCTION("""COMPUTED_VALUE"""),"Sale")</f>
        <v>Sale</v>
      </c>
      <c r="E1037" s="2" t="str">
        <f>IFERROR(__xludf.DUMMYFUNCTION("""COMPUTED_VALUE"""),"Roti")</f>
        <v>Roti</v>
      </c>
      <c r="F1037" s="2">
        <f>IFERROR(__xludf.DUMMYFUNCTION("""COMPUTED_VALUE"""),10034.0)</f>
        <v>10034</v>
      </c>
      <c r="G1037" s="2" t="str">
        <f>IFERROR(__xludf.DUMMYFUNCTION("""COMPUTED_VALUE"""),"Roti panggang coklat")</f>
        <v>Roti panggang coklat</v>
      </c>
      <c r="H1037" s="2"/>
      <c r="I1037" s="2"/>
      <c r="J1037" s="2">
        <f>IFERROR(__xludf.DUMMYFUNCTION("""COMPUTED_VALUE"""),3.0)</f>
        <v>3</v>
      </c>
      <c r="K1037" s="6">
        <f>IFERROR(__xludf.DUMMYFUNCTION("""COMPUTED_VALUE"""),65715.0)</f>
        <v>65715</v>
      </c>
      <c r="L1037" s="2">
        <f>IFERROR(__xludf.DUMMYFUNCTION("""COMPUTED_VALUE"""),0.0)</f>
        <v>0</v>
      </c>
      <c r="M1037" s="2">
        <f>IFERROR(__xludf.DUMMYFUNCTION("""COMPUTED_VALUE"""),65715.0)</f>
        <v>65715</v>
      </c>
      <c r="N1037" s="2">
        <f>IFERROR(__xludf.DUMMYFUNCTION("""COMPUTED_VALUE"""),0.0)</f>
        <v>0</v>
      </c>
      <c r="O1037" s="2">
        <f>IFERROR(__xludf.DUMMYFUNCTION("""COMPUTED_VALUE"""),65715.0)</f>
        <v>65715</v>
      </c>
      <c r="P1037" s="2">
        <f>IFERROR(__xludf.DUMMYFUNCTION("""COMPUTED_VALUE"""),3286.0)</f>
        <v>3286</v>
      </c>
      <c r="Q1037" s="2" t="str">
        <f>IFERROR(__xludf.DUMMYFUNCTION("""COMPUTED_VALUE"""),"Dine In")</f>
        <v>Dine In</v>
      </c>
      <c r="R1037" s="2" t="str">
        <f>IFERROR(__xludf.DUMMYFUNCTION("""COMPUTED_VALUE"""),"Kedai")</f>
        <v>Kedai</v>
      </c>
      <c r="S1037" s="2" t="str">
        <f>IFERROR(__xludf.DUMMYFUNCTION("""COMPUTED_VALUE"""),"Temu Roti")</f>
        <v>Temu Roti</v>
      </c>
      <c r="T1037" s="2" t="str">
        <f>IFERROR(__xludf.DUMMYFUNCTION("""COMPUTED_VALUE"""),"Owner")</f>
        <v>Owner</v>
      </c>
      <c r="U1037" s="2"/>
      <c r="V1037" s="2"/>
      <c r="W1037" s="2"/>
      <c r="X1037" s="2" t="str">
        <f>IFERROR(__xludf.DUMMYFUNCTION("""COMPUTED_VALUE"""),"Closed")</f>
        <v>Closed</v>
      </c>
    </row>
    <row r="1038">
      <c r="A1038" s="3" t="s">
        <v>1053</v>
      </c>
      <c r="B1038" s="4">
        <f>IFERROR(__xludf.DUMMYFUNCTION("SPLIT(A1038,"","",0,0)"),45543.711805555555)</f>
        <v>45543.71181</v>
      </c>
      <c r="C1038" s="5">
        <f>IFERROR(__xludf.DUMMYFUNCTION("""COMPUTED_VALUE"""),2653885.0)</f>
        <v>2653885</v>
      </c>
      <c r="D1038" s="2" t="str">
        <f>IFERROR(__xludf.DUMMYFUNCTION("""COMPUTED_VALUE"""),"Sale")</f>
        <v>Sale</v>
      </c>
      <c r="E1038" s="2" t="str">
        <f>IFERROR(__xludf.DUMMYFUNCTION("""COMPUTED_VALUE"""),"Roti")</f>
        <v>Roti</v>
      </c>
      <c r="F1038" s="2">
        <f>IFERROR(__xludf.DUMMYFUNCTION("""COMPUTED_VALUE"""),10000.0)</f>
        <v>10000</v>
      </c>
      <c r="G1038" s="2" t="str">
        <f>IFERROR(__xludf.DUMMYFUNCTION("""COMPUTED_VALUE"""),"Roti Bawang Saus Keju")</f>
        <v>Roti Bawang Saus Keju</v>
      </c>
      <c r="H1038" s="2"/>
      <c r="I1038" s="2"/>
      <c r="J1038" s="2">
        <f>IFERROR(__xludf.DUMMYFUNCTION("""COMPUTED_VALUE"""),1.0)</f>
        <v>1</v>
      </c>
      <c r="K1038" s="6">
        <f>IFERROR(__xludf.DUMMYFUNCTION("""COMPUTED_VALUE"""),29524.0)</f>
        <v>29524</v>
      </c>
      <c r="L1038" s="2">
        <f>IFERROR(__xludf.DUMMYFUNCTION("""COMPUTED_VALUE"""),0.0)</f>
        <v>0</v>
      </c>
      <c r="M1038" s="2">
        <f>IFERROR(__xludf.DUMMYFUNCTION("""COMPUTED_VALUE"""),29524.0)</f>
        <v>29524</v>
      </c>
      <c r="N1038" s="2">
        <f>IFERROR(__xludf.DUMMYFUNCTION("""COMPUTED_VALUE"""),0.0)</f>
        <v>0</v>
      </c>
      <c r="O1038" s="2">
        <f>IFERROR(__xludf.DUMMYFUNCTION("""COMPUTED_VALUE"""),29524.0)</f>
        <v>29524</v>
      </c>
      <c r="P1038" s="2">
        <f>IFERROR(__xludf.DUMMYFUNCTION("""COMPUTED_VALUE"""),1476.0)</f>
        <v>1476</v>
      </c>
      <c r="Q1038" s="2" t="str">
        <f>IFERROR(__xludf.DUMMYFUNCTION("""COMPUTED_VALUE"""),"Dine In")</f>
        <v>Dine In</v>
      </c>
      <c r="R1038" s="2" t="str">
        <f>IFERROR(__xludf.DUMMYFUNCTION("""COMPUTED_VALUE"""),"Kedai")</f>
        <v>Kedai</v>
      </c>
      <c r="S1038" s="2" t="str">
        <f>IFERROR(__xludf.DUMMYFUNCTION("""COMPUTED_VALUE"""),"Temu Roti")</f>
        <v>Temu Roti</v>
      </c>
      <c r="T1038" s="2" t="str">
        <f>IFERROR(__xludf.DUMMYFUNCTION("""COMPUTED_VALUE"""),"Owner")</f>
        <v>Owner</v>
      </c>
      <c r="U1038" s="2"/>
      <c r="V1038" s="2"/>
      <c r="W1038" s="2"/>
      <c r="X1038" s="2" t="str">
        <f>IFERROR(__xludf.DUMMYFUNCTION("""COMPUTED_VALUE"""),"Closed")</f>
        <v>Closed</v>
      </c>
    </row>
    <row r="1039">
      <c r="A1039" s="3" t="s">
        <v>1054</v>
      </c>
      <c r="B1039" s="4">
        <f>IFERROR(__xludf.DUMMYFUNCTION("SPLIT(A1039,"","",0,0)"),45543.711805555555)</f>
        <v>45543.71181</v>
      </c>
      <c r="C1039" s="5">
        <f>IFERROR(__xludf.DUMMYFUNCTION("""COMPUTED_VALUE"""),2653885.0)</f>
        <v>2653885</v>
      </c>
      <c r="D1039" s="2" t="str">
        <f>IFERROR(__xludf.DUMMYFUNCTION("""COMPUTED_VALUE"""),"Sale")</f>
        <v>Sale</v>
      </c>
      <c r="E1039" s="2" t="str">
        <f>IFERROR(__xludf.DUMMYFUNCTION("""COMPUTED_VALUE"""),"Roti")</f>
        <v>Roti</v>
      </c>
      <c r="F1039" s="2">
        <f>IFERROR(__xludf.DUMMYFUNCTION("""COMPUTED_VALUE"""),10002.0)</f>
        <v>10002</v>
      </c>
      <c r="G1039" s="2" t="str">
        <f>IFERROR(__xludf.DUMMYFUNCTION("""COMPUTED_VALUE"""),"Roti Cranberry")</f>
        <v>Roti Cranberry</v>
      </c>
      <c r="H1039" s="2"/>
      <c r="I1039" s="2"/>
      <c r="J1039" s="2">
        <f>IFERROR(__xludf.DUMMYFUNCTION("""COMPUTED_VALUE"""),1.0)</f>
        <v>1</v>
      </c>
      <c r="K1039" s="6">
        <f>IFERROR(__xludf.DUMMYFUNCTION("""COMPUTED_VALUE"""),18571.0)</f>
        <v>18571</v>
      </c>
      <c r="L1039" s="2">
        <f>IFERROR(__xludf.DUMMYFUNCTION("""COMPUTED_VALUE"""),0.0)</f>
        <v>0</v>
      </c>
      <c r="M1039" s="2">
        <f>IFERROR(__xludf.DUMMYFUNCTION("""COMPUTED_VALUE"""),18571.0)</f>
        <v>18571</v>
      </c>
      <c r="N1039" s="2">
        <f>IFERROR(__xludf.DUMMYFUNCTION("""COMPUTED_VALUE"""),0.0)</f>
        <v>0</v>
      </c>
      <c r="O1039" s="2">
        <f>IFERROR(__xludf.DUMMYFUNCTION("""COMPUTED_VALUE"""),18571.0)</f>
        <v>18571</v>
      </c>
      <c r="P1039" s="2">
        <f>IFERROR(__xludf.DUMMYFUNCTION("""COMPUTED_VALUE"""),929.0)</f>
        <v>929</v>
      </c>
      <c r="Q1039" s="2" t="str">
        <f>IFERROR(__xludf.DUMMYFUNCTION("""COMPUTED_VALUE"""),"Dine In")</f>
        <v>Dine In</v>
      </c>
      <c r="R1039" s="2" t="str">
        <f>IFERROR(__xludf.DUMMYFUNCTION("""COMPUTED_VALUE"""),"Kedai")</f>
        <v>Kedai</v>
      </c>
      <c r="S1039" s="2" t="str">
        <f>IFERROR(__xludf.DUMMYFUNCTION("""COMPUTED_VALUE"""),"Temu Roti")</f>
        <v>Temu Roti</v>
      </c>
      <c r="T1039" s="2" t="str">
        <f>IFERROR(__xludf.DUMMYFUNCTION("""COMPUTED_VALUE"""),"Owner")</f>
        <v>Owner</v>
      </c>
      <c r="U1039" s="2"/>
      <c r="V1039" s="2"/>
      <c r="W1039" s="2"/>
      <c r="X1039" s="2" t="str">
        <f>IFERROR(__xludf.DUMMYFUNCTION("""COMPUTED_VALUE"""),"Closed")</f>
        <v>Closed</v>
      </c>
    </row>
    <row r="1040">
      <c r="A1040" s="3" t="s">
        <v>1055</v>
      </c>
      <c r="B1040" s="4">
        <f>IFERROR(__xludf.DUMMYFUNCTION("SPLIT(A1040,"","",0,0)"),45543.705555555556)</f>
        <v>45543.70556</v>
      </c>
      <c r="C1040" s="5">
        <f>IFERROR(__xludf.DUMMYFUNCTION("""COMPUTED_VALUE"""),2653520.0)</f>
        <v>2653520</v>
      </c>
      <c r="D1040" s="2" t="str">
        <f>IFERROR(__xludf.DUMMYFUNCTION("""COMPUTED_VALUE"""),"Sale")</f>
        <v>Sale</v>
      </c>
      <c r="E1040" s="2" t="str">
        <f>IFERROR(__xludf.DUMMYFUNCTION("""COMPUTED_VALUE"""),"Minuman")</f>
        <v>Minuman</v>
      </c>
      <c r="F1040" s="2">
        <f>IFERROR(__xludf.DUMMYFUNCTION("""COMPUTED_VALUE"""),10126.0)</f>
        <v>10126</v>
      </c>
      <c r="G1040" s="2" t="str">
        <f>IFERROR(__xludf.DUMMYFUNCTION("""COMPUTED_VALUE"""),"Chamomile Lemongrass Hot Artisan Tea")</f>
        <v>Chamomile Lemongrass Hot Artisan Tea</v>
      </c>
      <c r="H1040" s="2"/>
      <c r="I1040" s="2"/>
      <c r="J1040" s="2">
        <f>IFERROR(__xludf.DUMMYFUNCTION("""COMPUTED_VALUE"""),1.0)</f>
        <v>1</v>
      </c>
      <c r="K1040" s="6">
        <f>IFERROR(__xludf.DUMMYFUNCTION("""COMPUTED_VALUE"""),23810.0)</f>
        <v>23810</v>
      </c>
      <c r="L1040" s="2">
        <f>IFERROR(__xludf.DUMMYFUNCTION("""COMPUTED_VALUE"""),0.0)</f>
        <v>0</v>
      </c>
      <c r="M1040" s="2">
        <f>IFERROR(__xludf.DUMMYFUNCTION("""COMPUTED_VALUE"""),23810.0)</f>
        <v>23810</v>
      </c>
      <c r="N1040" s="2">
        <f>IFERROR(__xludf.DUMMYFUNCTION("""COMPUTED_VALUE"""),0.0)</f>
        <v>0</v>
      </c>
      <c r="O1040" s="2">
        <f>IFERROR(__xludf.DUMMYFUNCTION("""COMPUTED_VALUE"""),23810.0)</f>
        <v>23810</v>
      </c>
      <c r="P1040" s="2">
        <f>IFERROR(__xludf.DUMMYFUNCTION("""COMPUTED_VALUE"""),1191.0)</f>
        <v>1191</v>
      </c>
      <c r="Q1040" s="2" t="str">
        <f>IFERROR(__xludf.DUMMYFUNCTION("""COMPUTED_VALUE"""),"Dine In")</f>
        <v>Dine In</v>
      </c>
      <c r="R1040" s="2" t="str">
        <f>IFERROR(__xludf.DUMMYFUNCTION("""COMPUTED_VALUE"""),"Kedai")</f>
        <v>Kedai</v>
      </c>
      <c r="S1040" s="2" t="str">
        <f>IFERROR(__xludf.DUMMYFUNCTION("""COMPUTED_VALUE"""),"Temu Roti")</f>
        <v>Temu Roti</v>
      </c>
      <c r="T1040" s="2" t="str">
        <f>IFERROR(__xludf.DUMMYFUNCTION("""COMPUTED_VALUE"""),"Owner")</f>
        <v>Owner</v>
      </c>
      <c r="U1040" s="2"/>
      <c r="V1040" s="2"/>
      <c r="W1040" s="2"/>
      <c r="X1040" s="2" t="str">
        <f>IFERROR(__xludf.DUMMYFUNCTION("""COMPUTED_VALUE"""),"Closed")</f>
        <v>Closed</v>
      </c>
    </row>
    <row r="1041">
      <c r="A1041" s="3" t="s">
        <v>1056</v>
      </c>
      <c r="B1041" s="4">
        <f>IFERROR(__xludf.DUMMYFUNCTION("SPLIT(A1041,"","",0,0)"),45543.705555555556)</f>
        <v>45543.70556</v>
      </c>
      <c r="C1041" s="5">
        <f>IFERROR(__xludf.DUMMYFUNCTION("""COMPUTED_VALUE"""),2653520.0)</f>
        <v>2653520</v>
      </c>
      <c r="D1041" s="2" t="str">
        <f>IFERROR(__xludf.DUMMYFUNCTION("""COMPUTED_VALUE"""),"Sale")</f>
        <v>Sale</v>
      </c>
      <c r="E1041" s="2" t="str">
        <f>IFERROR(__xludf.DUMMYFUNCTION("""COMPUTED_VALUE"""),"Kudapan")</f>
        <v>Kudapan</v>
      </c>
      <c r="F1041" s="2">
        <f>IFERROR(__xludf.DUMMYFUNCTION("""COMPUTED_VALUE"""),10004.0)</f>
        <v>10004</v>
      </c>
      <c r="G1041" s="2" t="str">
        <f>IFERROR(__xludf.DUMMYFUNCTION("""COMPUTED_VALUE"""),"Tahu walik")</f>
        <v>Tahu walik</v>
      </c>
      <c r="H1041" s="2"/>
      <c r="I1041" s="2"/>
      <c r="J1041" s="2">
        <f>IFERROR(__xludf.DUMMYFUNCTION("""COMPUTED_VALUE"""),1.0)</f>
        <v>1</v>
      </c>
      <c r="K1041" s="6">
        <f>IFERROR(__xludf.DUMMYFUNCTION("""COMPUTED_VALUE"""),25238.0)</f>
        <v>25238</v>
      </c>
      <c r="L1041" s="2">
        <f>IFERROR(__xludf.DUMMYFUNCTION("""COMPUTED_VALUE"""),0.0)</f>
        <v>0</v>
      </c>
      <c r="M1041" s="2">
        <f>IFERROR(__xludf.DUMMYFUNCTION("""COMPUTED_VALUE"""),25238.0)</f>
        <v>25238</v>
      </c>
      <c r="N1041" s="2">
        <f>IFERROR(__xludf.DUMMYFUNCTION("""COMPUTED_VALUE"""),0.0)</f>
        <v>0</v>
      </c>
      <c r="O1041" s="2">
        <f>IFERROR(__xludf.DUMMYFUNCTION("""COMPUTED_VALUE"""),25238.0)</f>
        <v>25238</v>
      </c>
      <c r="P1041" s="2">
        <f>IFERROR(__xludf.DUMMYFUNCTION("""COMPUTED_VALUE"""),1261.0)</f>
        <v>1261</v>
      </c>
      <c r="Q1041" s="2" t="str">
        <f>IFERROR(__xludf.DUMMYFUNCTION("""COMPUTED_VALUE"""),"Dine In")</f>
        <v>Dine In</v>
      </c>
      <c r="R1041" s="2" t="str">
        <f>IFERROR(__xludf.DUMMYFUNCTION("""COMPUTED_VALUE"""),"Kedai")</f>
        <v>Kedai</v>
      </c>
      <c r="S1041" s="2" t="str">
        <f>IFERROR(__xludf.DUMMYFUNCTION("""COMPUTED_VALUE"""),"Temu Roti")</f>
        <v>Temu Roti</v>
      </c>
      <c r="T1041" s="2" t="str">
        <f>IFERROR(__xludf.DUMMYFUNCTION("""COMPUTED_VALUE"""),"Owner")</f>
        <v>Owner</v>
      </c>
      <c r="U1041" s="2"/>
      <c r="V1041" s="2"/>
      <c r="W1041" s="2"/>
      <c r="X1041" s="2" t="str">
        <f>IFERROR(__xludf.DUMMYFUNCTION("""COMPUTED_VALUE"""),"Closed")</f>
        <v>Closed</v>
      </c>
    </row>
    <row r="1042">
      <c r="A1042" s="3" t="s">
        <v>1057</v>
      </c>
      <c r="B1042" s="4">
        <f>IFERROR(__xludf.DUMMYFUNCTION("SPLIT(A1042,"","",0,0)"),45543.68680555555)</f>
        <v>45543.68681</v>
      </c>
      <c r="C1042" s="5">
        <f>IFERROR(__xludf.DUMMYFUNCTION("""COMPUTED_VALUE"""),2653154.0)</f>
        <v>2653154</v>
      </c>
      <c r="D1042" s="2" t="str">
        <f>IFERROR(__xludf.DUMMYFUNCTION("""COMPUTED_VALUE"""),"Sale")</f>
        <v>Sale</v>
      </c>
      <c r="E1042" s="2" t="str">
        <f>IFERROR(__xludf.DUMMYFUNCTION("""COMPUTED_VALUE"""),"Roti")</f>
        <v>Roti</v>
      </c>
      <c r="F1042" s="2">
        <f>IFERROR(__xludf.DUMMYFUNCTION("""COMPUTED_VALUE"""),10000.0)</f>
        <v>10000</v>
      </c>
      <c r="G1042" s="2" t="str">
        <f>IFERROR(__xludf.DUMMYFUNCTION("""COMPUTED_VALUE"""),"Roti Bawang Saus Keju")</f>
        <v>Roti Bawang Saus Keju</v>
      </c>
      <c r="H1042" s="2"/>
      <c r="I1042" s="2"/>
      <c r="J1042" s="2">
        <f>IFERROR(__xludf.DUMMYFUNCTION("""COMPUTED_VALUE"""),1.0)</f>
        <v>1</v>
      </c>
      <c r="K1042" s="6">
        <f>IFERROR(__xludf.DUMMYFUNCTION("""COMPUTED_VALUE"""),29524.0)</f>
        <v>29524</v>
      </c>
      <c r="L1042" s="2">
        <f>IFERROR(__xludf.DUMMYFUNCTION("""COMPUTED_VALUE"""),0.0)</f>
        <v>0</v>
      </c>
      <c r="M1042" s="2">
        <f>IFERROR(__xludf.DUMMYFUNCTION("""COMPUTED_VALUE"""),29524.0)</f>
        <v>29524</v>
      </c>
      <c r="N1042" s="2">
        <f>IFERROR(__xludf.DUMMYFUNCTION("""COMPUTED_VALUE"""),0.0)</f>
        <v>0</v>
      </c>
      <c r="O1042" s="2">
        <f>IFERROR(__xludf.DUMMYFUNCTION("""COMPUTED_VALUE"""),29524.0)</f>
        <v>29524</v>
      </c>
      <c r="P1042" s="2">
        <f>IFERROR(__xludf.DUMMYFUNCTION("""COMPUTED_VALUE"""),1476.0)</f>
        <v>1476</v>
      </c>
      <c r="Q1042" s="2" t="str">
        <f>IFERROR(__xludf.DUMMYFUNCTION("""COMPUTED_VALUE"""),"Dine In")</f>
        <v>Dine In</v>
      </c>
      <c r="R1042" s="2" t="str">
        <f>IFERROR(__xludf.DUMMYFUNCTION("""COMPUTED_VALUE"""),"Kedai")</f>
        <v>Kedai</v>
      </c>
      <c r="S1042" s="2" t="str">
        <f>IFERROR(__xludf.DUMMYFUNCTION("""COMPUTED_VALUE"""),"Temu Roti")</f>
        <v>Temu Roti</v>
      </c>
      <c r="T1042" s="2" t="str">
        <f>IFERROR(__xludf.DUMMYFUNCTION("""COMPUTED_VALUE"""),"Owner")</f>
        <v>Owner</v>
      </c>
      <c r="U1042" s="2"/>
      <c r="V1042" s="2"/>
      <c r="W1042" s="2"/>
      <c r="X1042" s="2" t="str">
        <f>IFERROR(__xludf.DUMMYFUNCTION("""COMPUTED_VALUE"""),"Closed")</f>
        <v>Closed</v>
      </c>
    </row>
    <row r="1043">
      <c r="A1043" s="3" t="s">
        <v>1058</v>
      </c>
      <c r="B1043" s="4">
        <f>IFERROR(__xludf.DUMMYFUNCTION("SPLIT(A1043,"","",0,0)"),45543.68680555555)</f>
        <v>45543.68681</v>
      </c>
      <c r="C1043" s="5">
        <f>IFERROR(__xludf.DUMMYFUNCTION("""COMPUTED_VALUE"""),2653154.0)</f>
        <v>2653154</v>
      </c>
      <c r="D1043" s="2" t="str">
        <f>IFERROR(__xludf.DUMMYFUNCTION("""COMPUTED_VALUE"""),"Sale")</f>
        <v>Sale</v>
      </c>
      <c r="E1043" s="2" t="str">
        <f>IFERROR(__xludf.DUMMYFUNCTION("""COMPUTED_VALUE"""),"Minuman")</f>
        <v>Minuman</v>
      </c>
      <c r="F1043" s="2">
        <f>IFERROR(__xludf.DUMMYFUNCTION("""COMPUTED_VALUE"""),10128.0)</f>
        <v>10128</v>
      </c>
      <c r="G1043" s="2" t="str">
        <f>IFERROR(__xludf.DUMMYFUNCTION("""COMPUTED_VALUE"""),"Es Kopi Susu")</f>
        <v>Es Kopi Susu</v>
      </c>
      <c r="H1043" s="2"/>
      <c r="I1043" s="2"/>
      <c r="J1043" s="2">
        <f>IFERROR(__xludf.DUMMYFUNCTION("""COMPUTED_VALUE"""),1.0)</f>
        <v>1</v>
      </c>
      <c r="K1043" s="6">
        <f>IFERROR(__xludf.DUMMYFUNCTION("""COMPUTED_VALUE"""),23333.0)</f>
        <v>23333</v>
      </c>
      <c r="L1043" s="2">
        <f>IFERROR(__xludf.DUMMYFUNCTION("""COMPUTED_VALUE"""),0.0)</f>
        <v>0</v>
      </c>
      <c r="M1043" s="2">
        <f>IFERROR(__xludf.DUMMYFUNCTION("""COMPUTED_VALUE"""),23333.0)</f>
        <v>23333</v>
      </c>
      <c r="N1043" s="2">
        <f>IFERROR(__xludf.DUMMYFUNCTION("""COMPUTED_VALUE"""),0.0)</f>
        <v>0</v>
      </c>
      <c r="O1043" s="2">
        <f>IFERROR(__xludf.DUMMYFUNCTION("""COMPUTED_VALUE"""),23333.0)</f>
        <v>23333</v>
      </c>
      <c r="P1043" s="2">
        <f>IFERROR(__xludf.DUMMYFUNCTION("""COMPUTED_VALUE"""),1167.0)</f>
        <v>1167</v>
      </c>
      <c r="Q1043" s="2" t="str">
        <f>IFERROR(__xludf.DUMMYFUNCTION("""COMPUTED_VALUE"""),"Dine In")</f>
        <v>Dine In</v>
      </c>
      <c r="R1043" s="2" t="str">
        <f>IFERROR(__xludf.DUMMYFUNCTION("""COMPUTED_VALUE"""),"Kedai")</f>
        <v>Kedai</v>
      </c>
      <c r="S1043" s="2" t="str">
        <f>IFERROR(__xludf.DUMMYFUNCTION("""COMPUTED_VALUE"""),"Temu Roti")</f>
        <v>Temu Roti</v>
      </c>
      <c r="T1043" s="2" t="str">
        <f>IFERROR(__xludf.DUMMYFUNCTION("""COMPUTED_VALUE"""),"Owner")</f>
        <v>Owner</v>
      </c>
      <c r="U1043" s="2"/>
      <c r="V1043" s="2"/>
      <c r="W1043" s="2"/>
      <c r="X1043" s="2" t="str">
        <f>IFERROR(__xludf.DUMMYFUNCTION("""COMPUTED_VALUE"""),"Closed")</f>
        <v>Closed</v>
      </c>
    </row>
    <row r="1044">
      <c r="A1044" s="3" t="s">
        <v>1059</v>
      </c>
      <c r="B1044" s="4">
        <f>IFERROR(__xludf.DUMMYFUNCTION("SPLIT(A1044,"","",0,0)"),45543.686111111114)</f>
        <v>45543.68611</v>
      </c>
      <c r="C1044" s="5">
        <f>IFERROR(__xludf.DUMMYFUNCTION("""COMPUTED_VALUE"""),2652789.0)</f>
        <v>2652789</v>
      </c>
      <c r="D1044" s="2" t="str">
        <f>IFERROR(__xludf.DUMMYFUNCTION("""COMPUTED_VALUE"""),"Sale")</f>
        <v>Sale</v>
      </c>
      <c r="E1044" s="2" t="str">
        <f>IFERROR(__xludf.DUMMYFUNCTION("""COMPUTED_VALUE"""),"Minuman")</f>
        <v>Minuman</v>
      </c>
      <c r="F1044" s="2">
        <f>IFERROR(__xludf.DUMMYFUNCTION("""COMPUTED_VALUE"""),10128.0)</f>
        <v>10128</v>
      </c>
      <c r="G1044" s="2" t="str">
        <f>IFERROR(__xludf.DUMMYFUNCTION("""COMPUTED_VALUE"""),"Es Kopi Susu")</f>
        <v>Es Kopi Susu</v>
      </c>
      <c r="H1044" s="2"/>
      <c r="I1044" s="2"/>
      <c r="J1044" s="2">
        <f>IFERROR(__xludf.DUMMYFUNCTION("""COMPUTED_VALUE"""),1.0)</f>
        <v>1</v>
      </c>
      <c r="K1044" s="6">
        <f>IFERROR(__xludf.DUMMYFUNCTION("""COMPUTED_VALUE"""),23333.0)</f>
        <v>23333</v>
      </c>
      <c r="L1044" s="2">
        <f>IFERROR(__xludf.DUMMYFUNCTION("""COMPUTED_VALUE"""),0.0)</f>
        <v>0</v>
      </c>
      <c r="M1044" s="2">
        <f>IFERROR(__xludf.DUMMYFUNCTION("""COMPUTED_VALUE"""),23333.0)</f>
        <v>23333</v>
      </c>
      <c r="N1044" s="2">
        <f>IFERROR(__xludf.DUMMYFUNCTION("""COMPUTED_VALUE"""),0.0)</f>
        <v>0</v>
      </c>
      <c r="O1044" s="2">
        <f>IFERROR(__xludf.DUMMYFUNCTION("""COMPUTED_VALUE"""),23333.0)</f>
        <v>23333</v>
      </c>
      <c r="P1044" s="2">
        <f>IFERROR(__xludf.DUMMYFUNCTION("""COMPUTED_VALUE"""),1167.0)</f>
        <v>1167</v>
      </c>
      <c r="Q1044" s="2" t="str">
        <f>IFERROR(__xludf.DUMMYFUNCTION("""COMPUTED_VALUE"""),"Dine In")</f>
        <v>Dine In</v>
      </c>
      <c r="R1044" s="2" t="str">
        <f>IFERROR(__xludf.DUMMYFUNCTION("""COMPUTED_VALUE"""),"Kedai")</f>
        <v>Kedai</v>
      </c>
      <c r="S1044" s="2" t="str">
        <f>IFERROR(__xludf.DUMMYFUNCTION("""COMPUTED_VALUE"""),"Temu Roti")</f>
        <v>Temu Roti</v>
      </c>
      <c r="T1044" s="2" t="str">
        <f>IFERROR(__xludf.DUMMYFUNCTION("""COMPUTED_VALUE"""),"Owner")</f>
        <v>Owner</v>
      </c>
      <c r="U1044" s="2"/>
      <c r="V1044" s="2"/>
      <c r="W1044" s="2"/>
      <c r="X1044" s="2" t="str">
        <f>IFERROR(__xludf.DUMMYFUNCTION("""COMPUTED_VALUE"""),"Closed")</f>
        <v>Closed</v>
      </c>
    </row>
    <row r="1045">
      <c r="A1045" s="3" t="s">
        <v>1060</v>
      </c>
      <c r="B1045" s="4">
        <f>IFERROR(__xludf.DUMMYFUNCTION("SPLIT(A1045,"","",0,0)"),45543.686111111114)</f>
        <v>45543.68611</v>
      </c>
      <c r="C1045" s="5">
        <f>IFERROR(__xludf.DUMMYFUNCTION("""COMPUTED_VALUE"""),2652789.0)</f>
        <v>2652789</v>
      </c>
      <c r="D1045" s="2" t="str">
        <f>IFERROR(__xludf.DUMMYFUNCTION("""COMPUTED_VALUE"""),"Sale")</f>
        <v>Sale</v>
      </c>
      <c r="E1045" s="2" t="str">
        <f>IFERROR(__xludf.DUMMYFUNCTION("""COMPUTED_VALUE"""),"Roti")</f>
        <v>Roti</v>
      </c>
      <c r="F1045" s="2">
        <f>IFERROR(__xludf.DUMMYFUNCTION("""COMPUTED_VALUE"""),10002.0)</f>
        <v>10002</v>
      </c>
      <c r="G1045" s="2" t="str">
        <f>IFERROR(__xludf.DUMMYFUNCTION("""COMPUTED_VALUE"""),"Roti Cranberry")</f>
        <v>Roti Cranberry</v>
      </c>
      <c r="H1045" s="2"/>
      <c r="I1045" s="2"/>
      <c r="J1045" s="2">
        <f>IFERROR(__xludf.DUMMYFUNCTION("""COMPUTED_VALUE"""),1.0)</f>
        <v>1</v>
      </c>
      <c r="K1045" s="6">
        <f>IFERROR(__xludf.DUMMYFUNCTION("""COMPUTED_VALUE"""),18571.0)</f>
        <v>18571</v>
      </c>
      <c r="L1045" s="2">
        <f>IFERROR(__xludf.DUMMYFUNCTION("""COMPUTED_VALUE"""),0.0)</f>
        <v>0</v>
      </c>
      <c r="M1045" s="2">
        <f>IFERROR(__xludf.DUMMYFUNCTION("""COMPUTED_VALUE"""),18571.0)</f>
        <v>18571</v>
      </c>
      <c r="N1045" s="2">
        <f>IFERROR(__xludf.DUMMYFUNCTION("""COMPUTED_VALUE"""),0.0)</f>
        <v>0</v>
      </c>
      <c r="O1045" s="2">
        <f>IFERROR(__xludf.DUMMYFUNCTION("""COMPUTED_VALUE"""),18571.0)</f>
        <v>18571</v>
      </c>
      <c r="P1045" s="2">
        <f>IFERROR(__xludf.DUMMYFUNCTION("""COMPUTED_VALUE"""),928.0)</f>
        <v>928</v>
      </c>
      <c r="Q1045" s="2" t="str">
        <f>IFERROR(__xludf.DUMMYFUNCTION("""COMPUTED_VALUE"""),"Dine In")</f>
        <v>Dine In</v>
      </c>
      <c r="R1045" s="2" t="str">
        <f>IFERROR(__xludf.DUMMYFUNCTION("""COMPUTED_VALUE"""),"Kedai")</f>
        <v>Kedai</v>
      </c>
      <c r="S1045" s="2" t="str">
        <f>IFERROR(__xludf.DUMMYFUNCTION("""COMPUTED_VALUE"""),"Temu Roti")</f>
        <v>Temu Roti</v>
      </c>
      <c r="T1045" s="2" t="str">
        <f>IFERROR(__xludf.DUMMYFUNCTION("""COMPUTED_VALUE"""),"Owner")</f>
        <v>Owner</v>
      </c>
      <c r="U1045" s="2"/>
      <c r="V1045" s="2"/>
      <c r="W1045" s="2"/>
      <c r="X1045" s="2" t="str">
        <f>IFERROR(__xludf.DUMMYFUNCTION("""COMPUTED_VALUE"""),"Closed")</f>
        <v>Closed</v>
      </c>
    </row>
    <row r="1046">
      <c r="A1046" s="3" t="s">
        <v>1061</v>
      </c>
      <c r="B1046" s="4">
        <f>IFERROR(__xludf.DUMMYFUNCTION("SPLIT(A1046,"","",0,0)"),45543.683333333334)</f>
        <v>45543.68333</v>
      </c>
      <c r="C1046" s="5">
        <f>IFERROR(__xludf.DUMMYFUNCTION("""COMPUTED_VALUE"""),2652424.0)</f>
        <v>2652424</v>
      </c>
      <c r="D1046" s="2" t="str">
        <f>IFERROR(__xludf.DUMMYFUNCTION("""COMPUTED_VALUE"""),"Sale")</f>
        <v>Sale</v>
      </c>
      <c r="E1046" s="2" t="str">
        <f>IFERROR(__xludf.DUMMYFUNCTION("""COMPUTED_VALUE"""),"Minuman")</f>
        <v>Minuman</v>
      </c>
      <c r="F1046" s="2">
        <f>IFERROR(__xludf.DUMMYFUNCTION("""COMPUTED_VALUE"""),10026.0)</f>
        <v>10026</v>
      </c>
      <c r="G1046" s="2" t="str">
        <f>IFERROR(__xludf.DUMMYFUNCTION("""COMPUTED_VALUE"""),"Es Kopi Lemon")</f>
        <v>Es Kopi Lemon</v>
      </c>
      <c r="H1046" s="2"/>
      <c r="I1046" s="2"/>
      <c r="J1046" s="2">
        <f>IFERROR(__xludf.DUMMYFUNCTION("""COMPUTED_VALUE"""),1.0)</f>
        <v>1</v>
      </c>
      <c r="K1046" s="6">
        <f>IFERROR(__xludf.DUMMYFUNCTION("""COMPUTED_VALUE"""),21905.0)</f>
        <v>21905</v>
      </c>
      <c r="L1046" s="2">
        <f>IFERROR(__xludf.DUMMYFUNCTION("""COMPUTED_VALUE"""),0.0)</f>
        <v>0</v>
      </c>
      <c r="M1046" s="2">
        <f>IFERROR(__xludf.DUMMYFUNCTION("""COMPUTED_VALUE"""),21905.0)</f>
        <v>21905</v>
      </c>
      <c r="N1046" s="2">
        <f>IFERROR(__xludf.DUMMYFUNCTION("""COMPUTED_VALUE"""),0.0)</f>
        <v>0</v>
      </c>
      <c r="O1046" s="2">
        <f>IFERROR(__xludf.DUMMYFUNCTION("""COMPUTED_VALUE"""),21905.0)</f>
        <v>21905</v>
      </c>
      <c r="P1046" s="2">
        <f>IFERROR(__xludf.DUMMYFUNCTION("""COMPUTED_VALUE"""),1095.0)</f>
        <v>1095</v>
      </c>
      <c r="Q1046" s="2" t="str">
        <f>IFERROR(__xludf.DUMMYFUNCTION("""COMPUTED_VALUE"""),"Dine In")</f>
        <v>Dine In</v>
      </c>
      <c r="R1046" s="2" t="str">
        <f>IFERROR(__xludf.DUMMYFUNCTION("""COMPUTED_VALUE"""),"Kedai")</f>
        <v>Kedai</v>
      </c>
      <c r="S1046" s="2" t="str">
        <f>IFERROR(__xludf.DUMMYFUNCTION("""COMPUTED_VALUE"""),"Temu Roti")</f>
        <v>Temu Roti</v>
      </c>
      <c r="T1046" s="2" t="str">
        <f>IFERROR(__xludf.DUMMYFUNCTION("""COMPUTED_VALUE"""),"Owner")</f>
        <v>Owner</v>
      </c>
      <c r="U1046" s="2"/>
      <c r="V1046" s="2"/>
      <c r="W1046" s="2"/>
      <c r="X1046" s="2" t="str">
        <f>IFERROR(__xludf.DUMMYFUNCTION("""COMPUTED_VALUE"""),"Closed")</f>
        <v>Closed</v>
      </c>
    </row>
    <row r="1047">
      <c r="A1047" s="3" t="s">
        <v>1062</v>
      </c>
      <c r="B1047" s="4">
        <f>IFERROR(__xludf.DUMMYFUNCTION("SPLIT(A1047,"","",0,0)"),45543.683333333334)</f>
        <v>45543.68333</v>
      </c>
      <c r="C1047" s="5">
        <f>IFERROR(__xludf.DUMMYFUNCTION("""COMPUTED_VALUE"""),2652424.0)</f>
        <v>2652424</v>
      </c>
      <c r="D1047" s="2" t="str">
        <f>IFERROR(__xludf.DUMMYFUNCTION("""COMPUTED_VALUE"""),"Sale")</f>
        <v>Sale</v>
      </c>
      <c r="E1047" s="2" t="str">
        <f>IFERROR(__xludf.DUMMYFUNCTION("""COMPUTED_VALUE"""),"Minuman")</f>
        <v>Minuman</v>
      </c>
      <c r="F1047" s="2">
        <f>IFERROR(__xludf.DUMMYFUNCTION("""COMPUTED_VALUE"""),10070.0)</f>
        <v>10070</v>
      </c>
      <c r="G1047" s="2" t="str">
        <f>IFERROR(__xludf.DUMMYFUNCTION("""COMPUTED_VALUE"""),"Wedang laut")</f>
        <v>Wedang laut</v>
      </c>
      <c r="H1047" s="2"/>
      <c r="I1047" s="2"/>
      <c r="J1047" s="2">
        <f>IFERROR(__xludf.DUMMYFUNCTION("""COMPUTED_VALUE"""),1.0)</f>
        <v>1</v>
      </c>
      <c r="K1047" s="6">
        <f>IFERROR(__xludf.DUMMYFUNCTION("""COMPUTED_VALUE"""),24762.0)</f>
        <v>24762</v>
      </c>
      <c r="L1047" s="2">
        <f>IFERROR(__xludf.DUMMYFUNCTION("""COMPUTED_VALUE"""),0.0)</f>
        <v>0</v>
      </c>
      <c r="M1047" s="2">
        <f>IFERROR(__xludf.DUMMYFUNCTION("""COMPUTED_VALUE"""),24762.0)</f>
        <v>24762</v>
      </c>
      <c r="N1047" s="2">
        <f>IFERROR(__xludf.DUMMYFUNCTION("""COMPUTED_VALUE"""),0.0)</f>
        <v>0</v>
      </c>
      <c r="O1047" s="2">
        <f>IFERROR(__xludf.DUMMYFUNCTION("""COMPUTED_VALUE"""),24762.0)</f>
        <v>24762</v>
      </c>
      <c r="P1047" s="2">
        <f>IFERROR(__xludf.DUMMYFUNCTION("""COMPUTED_VALUE"""),1238.0)</f>
        <v>1238</v>
      </c>
      <c r="Q1047" s="2" t="str">
        <f>IFERROR(__xludf.DUMMYFUNCTION("""COMPUTED_VALUE"""),"Dine In")</f>
        <v>Dine In</v>
      </c>
      <c r="R1047" s="2" t="str">
        <f>IFERROR(__xludf.DUMMYFUNCTION("""COMPUTED_VALUE"""),"Kedai")</f>
        <v>Kedai</v>
      </c>
      <c r="S1047" s="2" t="str">
        <f>IFERROR(__xludf.DUMMYFUNCTION("""COMPUTED_VALUE"""),"Temu Roti")</f>
        <v>Temu Roti</v>
      </c>
      <c r="T1047" s="2" t="str">
        <f>IFERROR(__xludf.DUMMYFUNCTION("""COMPUTED_VALUE"""),"Owner")</f>
        <v>Owner</v>
      </c>
      <c r="U1047" s="2"/>
      <c r="V1047" s="2"/>
      <c r="W1047" s="2"/>
      <c r="X1047" s="2" t="str">
        <f>IFERROR(__xludf.DUMMYFUNCTION("""COMPUTED_VALUE"""),"Closed")</f>
        <v>Closed</v>
      </c>
    </row>
    <row r="1048">
      <c r="A1048" s="3" t="s">
        <v>1063</v>
      </c>
      <c r="B1048" s="4">
        <f>IFERROR(__xludf.DUMMYFUNCTION("SPLIT(A1048,"","",0,0)"),45543.683333333334)</f>
        <v>45543.68333</v>
      </c>
      <c r="C1048" s="5">
        <f>IFERROR(__xludf.DUMMYFUNCTION("""COMPUTED_VALUE"""),2652424.0)</f>
        <v>2652424</v>
      </c>
      <c r="D1048" s="2" t="str">
        <f>IFERROR(__xludf.DUMMYFUNCTION("""COMPUTED_VALUE"""),"Sale")</f>
        <v>Sale</v>
      </c>
      <c r="E1048" s="2" t="str">
        <f>IFERROR(__xludf.DUMMYFUNCTION("""COMPUTED_VALUE"""),"Kudapan")</f>
        <v>Kudapan</v>
      </c>
      <c r="F1048" s="2">
        <f>IFERROR(__xludf.DUMMYFUNCTION("""COMPUTED_VALUE"""),10004.0)</f>
        <v>10004</v>
      </c>
      <c r="G1048" s="2" t="str">
        <f>IFERROR(__xludf.DUMMYFUNCTION("""COMPUTED_VALUE"""),"Tahu walik")</f>
        <v>Tahu walik</v>
      </c>
      <c r="H1048" s="2"/>
      <c r="I1048" s="2"/>
      <c r="J1048" s="2">
        <f>IFERROR(__xludf.DUMMYFUNCTION("""COMPUTED_VALUE"""),1.0)</f>
        <v>1</v>
      </c>
      <c r="K1048" s="6">
        <f>IFERROR(__xludf.DUMMYFUNCTION("""COMPUTED_VALUE"""),25238.0)</f>
        <v>25238</v>
      </c>
      <c r="L1048" s="2">
        <f>IFERROR(__xludf.DUMMYFUNCTION("""COMPUTED_VALUE"""),0.0)</f>
        <v>0</v>
      </c>
      <c r="M1048" s="2">
        <f>IFERROR(__xludf.DUMMYFUNCTION("""COMPUTED_VALUE"""),25238.0)</f>
        <v>25238</v>
      </c>
      <c r="N1048" s="2">
        <f>IFERROR(__xludf.DUMMYFUNCTION("""COMPUTED_VALUE"""),0.0)</f>
        <v>0</v>
      </c>
      <c r="O1048" s="2">
        <f>IFERROR(__xludf.DUMMYFUNCTION("""COMPUTED_VALUE"""),25238.0)</f>
        <v>25238</v>
      </c>
      <c r="P1048" s="2">
        <f>IFERROR(__xludf.DUMMYFUNCTION("""COMPUTED_VALUE"""),1262.0)</f>
        <v>1262</v>
      </c>
      <c r="Q1048" s="2" t="str">
        <f>IFERROR(__xludf.DUMMYFUNCTION("""COMPUTED_VALUE"""),"Dine In")</f>
        <v>Dine In</v>
      </c>
      <c r="R1048" s="2" t="str">
        <f>IFERROR(__xludf.DUMMYFUNCTION("""COMPUTED_VALUE"""),"Kedai")</f>
        <v>Kedai</v>
      </c>
      <c r="S1048" s="2" t="str">
        <f>IFERROR(__xludf.DUMMYFUNCTION("""COMPUTED_VALUE"""),"Temu Roti")</f>
        <v>Temu Roti</v>
      </c>
      <c r="T1048" s="2" t="str">
        <f>IFERROR(__xludf.DUMMYFUNCTION("""COMPUTED_VALUE"""),"Owner")</f>
        <v>Owner</v>
      </c>
      <c r="U1048" s="2"/>
      <c r="V1048" s="2"/>
      <c r="W1048" s="2"/>
      <c r="X1048" s="2" t="str">
        <f>IFERROR(__xludf.DUMMYFUNCTION("""COMPUTED_VALUE"""),"Closed")</f>
        <v>Closed</v>
      </c>
    </row>
    <row r="1049">
      <c r="A1049" s="3" t="s">
        <v>1064</v>
      </c>
      <c r="B1049" s="4">
        <f>IFERROR(__xludf.DUMMYFUNCTION("SPLIT(A1049,"","",0,0)"),45543.683333333334)</f>
        <v>45543.68333</v>
      </c>
      <c r="C1049" s="5">
        <f>IFERROR(__xludf.DUMMYFUNCTION("""COMPUTED_VALUE"""),2652424.0)</f>
        <v>2652424</v>
      </c>
      <c r="D1049" s="2" t="str">
        <f>IFERROR(__xludf.DUMMYFUNCTION("""COMPUTED_VALUE"""),"Sale")</f>
        <v>Sale</v>
      </c>
      <c r="E1049" s="2" t="str">
        <f>IFERROR(__xludf.DUMMYFUNCTION("""COMPUTED_VALUE"""),"Kudapan")</f>
        <v>Kudapan</v>
      </c>
      <c r="F1049" s="2">
        <f>IFERROR(__xludf.DUMMYFUNCTION("""COMPUTED_VALUE"""),10014.0)</f>
        <v>10014</v>
      </c>
      <c r="G1049" s="2" t="str">
        <f>IFERROR(__xludf.DUMMYFUNCTION("""COMPUTED_VALUE"""),"Tempe Mendoan")</f>
        <v>Tempe Mendoan</v>
      </c>
      <c r="H1049" s="2"/>
      <c r="I1049" s="2"/>
      <c r="J1049" s="2">
        <f>IFERROR(__xludf.DUMMYFUNCTION("""COMPUTED_VALUE"""),1.0)</f>
        <v>1</v>
      </c>
      <c r="K1049" s="6">
        <f>IFERROR(__xludf.DUMMYFUNCTION("""COMPUTED_VALUE"""),25238.0)</f>
        <v>25238</v>
      </c>
      <c r="L1049" s="2">
        <f>IFERROR(__xludf.DUMMYFUNCTION("""COMPUTED_VALUE"""),0.0)</f>
        <v>0</v>
      </c>
      <c r="M1049" s="2">
        <f>IFERROR(__xludf.DUMMYFUNCTION("""COMPUTED_VALUE"""),25238.0)</f>
        <v>25238</v>
      </c>
      <c r="N1049" s="2">
        <f>IFERROR(__xludf.DUMMYFUNCTION("""COMPUTED_VALUE"""),0.0)</f>
        <v>0</v>
      </c>
      <c r="O1049" s="2">
        <f>IFERROR(__xludf.DUMMYFUNCTION("""COMPUTED_VALUE"""),25238.0)</f>
        <v>25238</v>
      </c>
      <c r="P1049" s="2">
        <f>IFERROR(__xludf.DUMMYFUNCTION("""COMPUTED_VALUE"""),1262.0)</f>
        <v>1262</v>
      </c>
      <c r="Q1049" s="2" t="str">
        <f>IFERROR(__xludf.DUMMYFUNCTION("""COMPUTED_VALUE"""),"Dine In")</f>
        <v>Dine In</v>
      </c>
      <c r="R1049" s="2" t="str">
        <f>IFERROR(__xludf.DUMMYFUNCTION("""COMPUTED_VALUE"""),"Kedai")</f>
        <v>Kedai</v>
      </c>
      <c r="S1049" s="2" t="str">
        <f>IFERROR(__xludf.DUMMYFUNCTION("""COMPUTED_VALUE"""),"Temu Roti")</f>
        <v>Temu Roti</v>
      </c>
      <c r="T1049" s="2" t="str">
        <f>IFERROR(__xludf.DUMMYFUNCTION("""COMPUTED_VALUE"""),"Owner")</f>
        <v>Owner</v>
      </c>
      <c r="U1049" s="2"/>
      <c r="V1049" s="2"/>
      <c r="W1049" s="2"/>
      <c r="X1049" s="2" t="str">
        <f>IFERROR(__xludf.DUMMYFUNCTION("""COMPUTED_VALUE"""),"Closed")</f>
        <v>Closed</v>
      </c>
    </row>
    <row r="1050">
      <c r="A1050" s="3" t="s">
        <v>1065</v>
      </c>
      <c r="B1050" s="4">
        <f>IFERROR(__xludf.DUMMYFUNCTION("SPLIT(A1050,"","",0,0)"),45543.683333333334)</f>
        <v>45543.68333</v>
      </c>
      <c r="C1050" s="5">
        <f>IFERROR(__xludf.DUMMYFUNCTION("""COMPUTED_VALUE"""),2652424.0)</f>
        <v>2652424</v>
      </c>
      <c r="D1050" s="2" t="str">
        <f>IFERROR(__xludf.DUMMYFUNCTION("""COMPUTED_VALUE"""),"Sale")</f>
        <v>Sale</v>
      </c>
      <c r="E1050" s="2" t="str">
        <f>IFERROR(__xludf.DUMMYFUNCTION("""COMPUTED_VALUE"""),"Kudapan")</f>
        <v>Kudapan</v>
      </c>
      <c r="F1050" s="2">
        <f>IFERROR(__xludf.DUMMYFUNCTION("""COMPUTED_VALUE"""),10010.0)</f>
        <v>10010</v>
      </c>
      <c r="G1050" s="2" t="str">
        <f>IFERROR(__xludf.DUMMYFUNCTION("""COMPUTED_VALUE"""),"Pisang Goreng")</f>
        <v>Pisang Goreng</v>
      </c>
      <c r="H1050" s="2"/>
      <c r="I1050" s="2"/>
      <c r="J1050" s="2">
        <f>IFERROR(__xludf.DUMMYFUNCTION("""COMPUTED_VALUE"""),1.0)</f>
        <v>1</v>
      </c>
      <c r="K1050" s="6">
        <f>IFERROR(__xludf.DUMMYFUNCTION("""COMPUTED_VALUE"""),25238.0)</f>
        <v>25238</v>
      </c>
      <c r="L1050" s="2">
        <f>IFERROR(__xludf.DUMMYFUNCTION("""COMPUTED_VALUE"""),0.0)</f>
        <v>0</v>
      </c>
      <c r="M1050" s="2">
        <f>IFERROR(__xludf.DUMMYFUNCTION("""COMPUTED_VALUE"""),25238.0)</f>
        <v>25238</v>
      </c>
      <c r="N1050" s="2">
        <f>IFERROR(__xludf.DUMMYFUNCTION("""COMPUTED_VALUE"""),0.0)</f>
        <v>0</v>
      </c>
      <c r="O1050" s="2">
        <f>IFERROR(__xludf.DUMMYFUNCTION("""COMPUTED_VALUE"""),25238.0)</f>
        <v>25238</v>
      </c>
      <c r="P1050" s="2">
        <f>IFERROR(__xludf.DUMMYFUNCTION("""COMPUTED_VALUE"""),1262.0)</f>
        <v>1262</v>
      </c>
      <c r="Q1050" s="2" t="str">
        <f>IFERROR(__xludf.DUMMYFUNCTION("""COMPUTED_VALUE"""),"Dine In")</f>
        <v>Dine In</v>
      </c>
      <c r="R1050" s="2" t="str">
        <f>IFERROR(__xludf.DUMMYFUNCTION("""COMPUTED_VALUE"""),"Kedai")</f>
        <v>Kedai</v>
      </c>
      <c r="S1050" s="2" t="str">
        <f>IFERROR(__xludf.DUMMYFUNCTION("""COMPUTED_VALUE"""),"Temu Roti")</f>
        <v>Temu Roti</v>
      </c>
      <c r="T1050" s="2" t="str">
        <f>IFERROR(__xludf.DUMMYFUNCTION("""COMPUTED_VALUE"""),"Owner")</f>
        <v>Owner</v>
      </c>
      <c r="U1050" s="2"/>
      <c r="V1050" s="2"/>
      <c r="W1050" s="2"/>
      <c r="X1050" s="2" t="str">
        <f>IFERROR(__xludf.DUMMYFUNCTION("""COMPUTED_VALUE"""),"Closed")</f>
        <v>Closed</v>
      </c>
    </row>
    <row r="1051">
      <c r="A1051" s="3" t="s">
        <v>1066</v>
      </c>
      <c r="B1051" s="4">
        <f>IFERROR(__xludf.DUMMYFUNCTION("SPLIT(A1051,"","",0,0)"),45543.683333333334)</f>
        <v>45543.68333</v>
      </c>
      <c r="C1051" s="5">
        <f>IFERROR(__xludf.DUMMYFUNCTION("""COMPUTED_VALUE"""),2652424.0)</f>
        <v>2652424</v>
      </c>
      <c r="D1051" s="2" t="str">
        <f>IFERROR(__xludf.DUMMYFUNCTION("""COMPUTED_VALUE"""),"Sale")</f>
        <v>Sale</v>
      </c>
      <c r="E1051" s="2" t="str">
        <f>IFERROR(__xludf.DUMMYFUNCTION("""COMPUTED_VALUE"""),"Minuman")</f>
        <v>Minuman</v>
      </c>
      <c r="F1051" s="2">
        <f>IFERROR(__xludf.DUMMYFUNCTION("""COMPUTED_VALUE"""),10106.0)</f>
        <v>10106</v>
      </c>
      <c r="G1051" s="2" t="str">
        <f>IFERROR(__xludf.DUMMYFUNCTION("""COMPUTED_VALUE"""),"Korean Strawberry Fresh Milk")</f>
        <v>Korean Strawberry Fresh Milk</v>
      </c>
      <c r="H1051" s="2"/>
      <c r="I1051" s="2"/>
      <c r="J1051" s="2">
        <f>IFERROR(__xludf.DUMMYFUNCTION("""COMPUTED_VALUE"""),1.0)</f>
        <v>1</v>
      </c>
      <c r="K1051" s="6">
        <f>IFERROR(__xludf.DUMMYFUNCTION("""COMPUTED_VALUE"""),26667.0)</f>
        <v>26667</v>
      </c>
      <c r="L1051" s="2">
        <f>IFERROR(__xludf.DUMMYFUNCTION("""COMPUTED_VALUE"""),0.0)</f>
        <v>0</v>
      </c>
      <c r="M1051" s="2">
        <f>IFERROR(__xludf.DUMMYFUNCTION("""COMPUTED_VALUE"""),26667.0)</f>
        <v>26667</v>
      </c>
      <c r="N1051" s="2">
        <f>IFERROR(__xludf.DUMMYFUNCTION("""COMPUTED_VALUE"""),0.0)</f>
        <v>0</v>
      </c>
      <c r="O1051" s="2">
        <f>IFERROR(__xludf.DUMMYFUNCTION("""COMPUTED_VALUE"""),26667.0)</f>
        <v>26667</v>
      </c>
      <c r="P1051" s="2">
        <f>IFERROR(__xludf.DUMMYFUNCTION("""COMPUTED_VALUE"""),1333.0)</f>
        <v>1333</v>
      </c>
      <c r="Q1051" s="2" t="str">
        <f>IFERROR(__xludf.DUMMYFUNCTION("""COMPUTED_VALUE"""),"Dine In")</f>
        <v>Dine In</v>
      </c>
      <c r="R1051" s="2" t="str">
        <f>IFERROR(__xludf.DUMMYFUNCTION("""COMPUTED_VALUE"""),"Kedai")</f>
        <v>Kedai</v>
      </c>
      <c r="S1051" s="2" t="str">
        <f>IFERROR(__xludf.DUMMYFUNCTION("""COMPUTED_VALUE"""),"Temu Roti")</f>
        <v>Temu Roti</v>
      </c>
      <c r="T1051" s="2" t="str">
        <f>IFERROR(__xludf.DUMMYFUNCTION("""COMPUTED_VALUE"""),"Owner")</f>
        <v>Owner</v>
      </c>
      <c r="U1051" s="2"/>
      <c r="V1051" s="2"/>
      <c r="W1051" s="2"/>
      <c r="X1051" s="2" t="str">
        <f>IFERROR(__xludf.DUMMYFUNCTION("""COMPUTED_VALUE"""),"Closed")</f>
        <v>Closed</v>
      </c>
    </row>
    <row r="1052">
      <c r="A1052" s="3" t="s">
        <v>1067</v>
      </c>
      <c r="B1052" s="4">
        <f>IFERROR(__xludf.DUMMYFUNCTION("SPLIT(A1052,"","",0,0)"),45543.683333333334)</f>
        <v>45543.68333</v>
      </c>
      <c r="C1052" s="5">
        <f>IFERROR(__xludf.DUMMYFUNCTION("""COMPUTED_VALUE"""),2652424.0)</f>
        <v>2652424</v>
      </c>
      <c r="D1052" s="2" t="str">
        <f>IFERROR(__xludf.DUMMYFUNCTION("""COMPUTED_VALUE"""),"Sale")</f>
        <v>Sale</v>
      </c>
      <c r="E1052" s="2" t="str">
        <f>IFERROR(__xludf.DUMMYFUNCTION("""COMPUTED_VALUE"""),"Minuman")</f>
        <v>Minuman</v>
      </c>
      <c r="F1052" s="2">
        <f>IFERROR(__xludf.DUMMYFUNCTION("""COMPUTED_VALUE"""),10128.0)</f>
        <v>10128</v>
      </c>
      <c r="G1052" s="2" t="str">
        <f>IFERROR(__xludf.DUMMYFUNCTION("""COMPUTED_VALUE"""),"Es Kopi Susu")</f>
        <v>Es Kopi Susu</v>
      </c>
      <c r="H1052" s="2"/>
      <c r="I1052" s="2"/>
      <c r="J1052" s="2">
        <f>IFERROR(__xludf.DUMMYFUNCTION("""COMPUTED_VALUE"""),1.0)</f>
        <v>1</v>
      </c>
      <c r="K1052" s="6">
        <f>IFERROR(__xludf.DUMMYFUNCTION("""COMPUTED_VALUE"""),23333.0)</f>
        <v>23333</v>
      </c>
      <c r="L1052" s="2">
        <f>IFERROR(__xludf.DUMMYFUNCTION("""COMPUTED_VALUE"""),0.0)</f>
        <v>0</v>
      </c>
      <c r="M1052" s="2">
        <f>IFERROR(__xludf.DUMMYFUNCTION("""COMPUTED_VALUE"""),23333.0)</f>
        <v>23333</v>
      </c>
      <c r="N1052" s="2">
        <f>IFERROR(__xludf.DUMMYFUNCTION("""COMPUTED_VALUE"""),0.0)</f>
        <v>0</v>
      </c>
      <c r="O1052" s="2">
        <f>IFERROR(__xludf.DUMMYFUNCTION("""COMPUTED_VALUE"""),23333.0)</f>
        <v>23333</v>
      </c>
      <c r="P1052" s="2">
        <f>IFERROR(__xludf.DUMMYFUNCTION("""COMPUTED_VALUE"""),1167.0)</f>
        <v>1167</v>
      </c>
      <c r="Q1052" s="2" t="str">
        <f>IFERROR(__xludf.DUMMYFUNCTION("""COMPUTED_VALUE"""),"Dine In")</f>
        <v>Dine In</v>
      </c>
      <c r="R1052" s="2" t="str">
        <f>IFERROR(__xludf.DUMMYFUNCTION("""COMPUTED_VALUE"""),"Kedai")</f>
        <v>Kedai</v>
      </c>
      <c r="S1052" s="2" t="str">
        <f>IFERROR(__xludf.DUMMYFUNCTION("""COMPUTED_VALUE"""),"Temu Roti")</f>
        <v>Temu Roti</v>
      </c>
      <c r="T1052" s="2" t="str">
        <f>IFERROR(__xludf.DUMMYFUNCTION("""COMPUTED_VALUE"""),"Owner")</f>
        <v>Owner</v>
      </c>
      <c r="U1052" s="2"/>
      <c r="V1052" s="2"/>
      <c r="W1052" s="2"/>
      <c r="X1052" s="2" t="str">
        <f>IFERROR(__xludf.DUMMYFUNCTION("""COMPUTED_VALUE"""),"Closed")</f>
        <v>Closed</v>
      </c>
    </row>
    <row r="1053">
      <c r="A1053" s="3" t="s">
        <v>1068</v>
      </c>
      <c r="B1053" s="4">
        <f>IFERROR(__xludf.DUMMYFUNCTION("SPLIT(A1053,"","",0,0)"),45543.683333333334)</f>
        <v>45543.68333</v>
      </c>
      <c r="C1053" s="5">
        <f>IFERROR(__xludf.DUMMYFUNCTION("""COMPUTED_VALUE"""),2652424.0)</f>
        <v>2652424</v>
      </c>
      <c r="D1053" s="2" t="str">
        <f>IFERROR(__xludf.DUMMYFUNCTION("""COMPUTED_VALUE"""),"Sale")</f>
        <v>Sale</v>
      </c>
      <c r="E1053" s="2" t="str">
        <f>IFERROR(__xludf.DUMMYFUNCTION("""COMPUTED_VALUE"""),"Roti")</f>
        <v>Roti</v>
      </c>
      <c r="F1053" s="2">
        <f>IFERROR(__xludf.DUMMYFUNCTION("""COMPUTED_VALUE"""),10002.0)</f>
        <v>10002</v>
      </c>
      <c r="G1053" s="2" t="str">
        <f>IFERROR(__xludf.DUMMYFUNCTION("""COMPUTED_VALUE"""),"Roti Cranberry")</f>
        <v>Roti Cranberry</v>
      </c>
      <c r="H1053" s="2"/>
      <c r="I1053" s="2"/>
      <c r="J1053" s="2">
        <f>IFERROR(__xludf.DUMMYFUNCTION("""COMPUTED_VALUE"""),1.0)</f>
        <v>1</v>
      </c>
      <c r="K1053" s="6">
        <f>IFERROR(__xludf.DUMMYFUNCTION("""COMPUTED_VALUE"""),18571.0)</f>
        <v>18571</v>
      </c>
      <c r="L1053" s="2">
        <f>IFERROR(__xludf.DUMMYFUNCTION("""COMPUTED_VALUE"""),0.0)</f>
        <v>0</v>
      </c>
      <c r="M1053" s="2">
        <f>IFERROR(__xludf.DUMMYFUNCTION("""COMPUTED_VALUE"""),18571.0)</f>
        <v>18571</v>
      </c>
      <c r="N1053" s="2">
        <f>IFERROR(__xludf.DUMMYFUNCTION("""COMPUTED_VALUE"""),0.0)</f>
        <v>0</v>
      </c>
      <c r="O1053" s="2">
        <f>IFERROR(__xludf.DUMMYFUNCTION("""COMPUTED_VALUE"""),18571.0)</f>
        <v>18571</v>
      </c>
      <c r="P1053" s="2">
        <f>IFERROR(__xludf.DUMMYFUNCTION("""COMPUTED_VALUE"""),929.0)</f>
        <v>929</v>
      </c>
      <c r="Q1053" s="2" t="str">
        <f>IFERROR(__xludf.DUMMYFUNCTION("""COMPUTED_VALUE"""),"Dine In")</f>
        <v>Dine In</v>
      </c>
      <c r="R1053" s="2" t="str">
        <f>IFERROR(__xludf.DUMMYFUNCTION("""COMPUTED_VALUE"""),"Kedai")</f>
        <v>Kedai</v>
      </c>
      <c r="S1053" s="2" t="str">
        <f>IFERROR(__xludf.DUMMYFUNCTION("""COMPUTED_VALUE"""),"Temu Roti")</f>
        <v>Temu Roti</v>
      </c>
      <c r="T1053" s="2" t="str">
        <f>IFERROR(__xludf.DUMMYFUNCTION("""COMPUTED_VALUE"""),"Owner")</f>
        <v>Owner</v>
      </c>
      <c r="U1053" s="2"/>
      <c r="V1053" s="2"/>
      <c r="W1053" s="2"/>
      <c r="X1053" s="2" t="str">
        <f>IFERROR(__xludf.DUMMYFUNCTION("""COMPUTED_VALUE"""),"Closed")</f>
        <v>Closed</v>
      </c>
    </row>
    <row r="1054">
      <c r="A1054" s="3" t="s">
        <v>1069</v>
      </c>
      <c r="B1054" s="4">
        <f>IFERROR(__xludf.DUMMYFUNCTION("SPLIT(A1054,"","",0,0)"),45543.64722222222)</f>
        <v>45543.64722</v>
      </c>
      <c r="C1054" s="5">
        <f>IFERROR(__xludf.DUMMYFUNCTION("""COMPUTED_VALUE"""),2652059.0)</f>
        <v>2652059</v>
      </c>
      <c r="D1054" s="2" t="str">
        <f>IFERROR(__xludf.DUMMYFUNCTION("""COMPUTED_VALUE"""),"Sale")</f>
        <v>Sale</v>
      </c>
      <c r="E1054" s="2" t="str">
        <f>IFERROR(__xludf.DUMMYFUNCTION("""COMPUTED_VALUE"""),"Minuman")</f>
        <v>Minuman</v>
      </c>
      <c r="F1054" s="2">
        <f>IFERROR(__xludf.DUMMYFUNCTION("""COMPUTED_VALUE"""),10026.0)</f>
        <v>10026</v>
      </c>
      <c r="G1054" s="2" t="str">
        <f>IFERROR(__xludf.DUMMYFUNCTION("""COMPUTED_VALUE"""),"Es Kopi Lemon")</f>
        <v>Es Kopi Lemon</v>
      </c>
      <c r="H1054" s="2"/>
      <c r="I1054" s="2"/>
      <c r="J1054" s="2">
        <f>IFERROR(__xludf.DUMMYFUNCTION("""COMPUTED_VALUE"""),1.0)</f>
        <v>1</v>
      </c>
      <c r="K1054" s="6">
        <f>IFERROR(__xludf.DUMMYFUNCTION("""COMPUTED_VALUE"""),21905.0)</f>
        <v>21905</v>
      </c>
      <c r="L1054" s="2">
        <f>IFERROR(__xludf.DUMMYFUNCTION("""COMPUTED_VALUE"""),0.0)</f>
        <v>0</v>
      </c>
      <c r="M1054" s="2">
        <f>IFERROR(__xludf.DUMMYFUNCTION("""COMPUTED_VALUE"""),21905.0)</f>
        <v>21905</v>
      </c>
      <c r="N1054" s="2">
        <f>IFERROR(__xludf.DUMMYFUNCTION("""COMPUTED_VALUE"""),0.0)</f>
        <v>0</v>
      </c>
      <c r="O1054" s="2">
        <f>IFERROR(__xludf.DUMMYFUNCTION("""COMPUTED_VALUE"""),21905.0)</f>
        <v>21905</v>
      </c>
      <c r="P1054" s="2">
        <f>IFERROR(__xludf.DUMMYFUNCTION("""COMPUTED_VALUE"""),1095.0)</f>
        <v>1095</v>
      </c>
      <c r="Q1054" s="2" t="str">
        <f>IFERROR(__xludf.DUMMYFUNCTION("""COMPUTED_VALUE"""),"Dine In")</f>
        <v>Dine In</v>
      </c>
      <c r="R1054" s="2" t="str">
        <f>IFERROR(__xludf.DUMMYFUNCTION("""COMPUTED_VALUE"""),"Kedai")</f>
        <v>Kedai</v>
      </c>
      <c r="S1054" s="2" t="str">
        <f>IFERROR(__xludf.DUMMYFUNCTION("""COMPUTED_VALUE"""),"Temu Roti")</f>
        <v>Temu Roti</v>
      </c>
      <c r="T1054" s="2" t="str">
        <f>IFERROR(__xludf.DUMMYFUNCTION("""COMPUTED_VALUE"""),"Owner")</f>
        <v>Owner</v>
      </c>
      <c r="U1054" s="2"/>
      <c r="V1054" s="2"/>
      <c r="W1054" s="2"/>
      <c r="X1054" s="2" t="str">
        <f>IFERROR(__xludf.DUMMYFUNCTION("""COMPUTED_VALUE"""),"Closed")</f>
        <v>Closed</v>
      </c>
    </row>
    <row r="1055">
      <c r="A1055" s="3" t="s">
        <v>1070</v>
      </c>
      <c r="B1055" s="4">
        <f>IFERROR(__xludf.DUMMYFUNCTION("SPLIT(A1055,"","",0,0)"),45543.64722222222)</f>
        <v>45543.64722</v>
      </c>
      <c r="C1055" s="5">
        <f>IFERROR(__xludf.DUMMYFUNCTION("""COMPUTED_VALUE"""),2652059.0)</f>
        <v>2652059</v>
      </c>
      <c r="D1055" s="2" t="str">
        <f>IFERROR(__xludf.DUMMYFUNCTION("""COMPUTED_VALUE"""),"Sale")</f>
        <v>Sale</v>
      </c>
      <c r="E1055" s="2" t="str">
        <f>IFERROR(__xludf.DUMMYFUNCTION("""COMPUTED_VALUE"""),"Kudapan")</f>
        <v>Kudapan</v>
      </c>
      <c r="F1055" s="2">
        <f>IFERROR(__xludf.DUMMYFUNCTION("""COMPUTED_VALUE"""),10011.0)</f>
        <v>10011</v>
      </c>
      <c r="G1055" s="2" t="str">
        <f>IFERROR(__xludf.DUMMYFUNCTION("""COMPUTED_VALUE"""),"Kentang Goreng")</f>
        <v>Kentang Goreng</v>
      </c>
      <c r="H1055" s="2"/>
      <c r="I1055" s="2"/>
      <c r="J1055" s="2">
        <f>IFERROR(__xludf.DUMMYFUNCTION("""COMPUTED_VALUE"""),1.0)</f>
        <v>1</v>
      </c>
      <c r="K1055" s="6">
        <f>IFERROR(__xludf.DUMMYFUNCTION("""COMPUTED_VALUE"""),25238.0)</f>
        <v>25238</v>
      </c>
      <c r="L1055" s="2">
        <f>IFERROR(__xludf.DUMMYFUNCTION("""COMPUTED_VALUE"""),0.0)</f>
        <v>0</v>
      </c>
      <c r="M1055" s="2">
        <f>IFERROR(__xludf.DUMMYFUNCTION("""COMPUTED_VALUE"""),25238.0)</f>
        <v>25238</v>
      </c>
      <c r="N1055" s="2">
        <f>IFERROR(__xludf.DUMMYFUNCTION("""COMPUTED_VALUE"""),0.0)</f>
        <v>0</v>
      </c>
      <c r="O1055" s="2">
        <f>IFERROR(__xludf.DUMMYFUNCTION("""COMPUTED_VALUE"""),25238.0)</f>
        <v>25238</v>
      </c>
      <c r="P1055" s="2">
        <f>IFERROR(__xludf.DUMMYFUNCTION("""COMPUTED_VALUE"""),1262.0)</f>
        <v>1262</v>
      </c>
      <c r="Q1055" s="2" t="str">
        <f>IFERROR(__xludf.DUMMYFUNCTION("""COMPUTED_VALUE"""),"Dine In")</f>
        <v>Dine In</v>
      </c>
      <c r="R1055" s="2" t="str">
        <f>IFERROR(__xludf.DUMMYFUNCTION("""COMPUTED_VALUE"""),"Kedai")</f>
        <v>Kedai</v>
      </c>
      <c r="S1055" s="2" t="str">
        <f>IFERROR(__xludf.DUMMYFUNCTION("""COMPUTED_VALUE"""),"Temu Roti")</f>
        <v>Temu Roti</v>
      </c>
      <c r="T1055" s="2" t="str">
        <f>IFERROR(__xludf.DUMMYFUNCTION("""COMPUTED_VALUE"""),"Owner")</f>
        <v>Owner</v>
      </c>
      <c r="U1055" s="2"/>
      <c r="V1055" s="2"/>
      <c r="W1055" s="2"/>
      <c r="X1055" s="2" t="str">
        <f>IFERROR(__xludf.DUMMYFUNCTION("""COMPUTED_VALUE"""),"Closed")</f>
        <v>Closed</v>
      </c>
    </row>
    <row r="1056">
      <c r="A1056" s="3" t="s">
        <v>1071</v>
      </c>
      <c r="B1056" s="4">
        <f>IFERROR(__xludf.DUMMYFUNCTION("SPLIT(A1056,"","",0,0)"),45543.64722222222)</f>
        <v>45543.64722</v>
      </c>
      <c r="C1056" s="5">
        <f>IFERROR(__xludf.DUMMYFUNCTION("""COMPUTED_VALUE"""),2652059.0)</f>
        <v>2652059</v>
      </c>
      <c r="D1056" s="2" t="str">
        <f>IFERROR(__xludf.DUMMYFUNCTION("""COMPUTED_VALUE"""),"Sale")</f>
        <v>Sale</v>
      </c>
      <c r="E1056" s="2" t="str">
        <f>IFERROR(__xludf.DUMMYFUNCTION("""COMPUTED_VALUE"""),"Minuman")</f>
        <v>Minuman</v>
      </c>
      <c r="F1056" s="2">
        <f>IFERROR(__xludf.DUMMYFUNCTION("""COMPUTED_VALUE"""),10070.0)</f>
        <v>10070</v>
      </c>
      <c r="G1056" s="2" t="str">
        <f>IFERROR(__xludf.DUMMYFUNCTION("""COMPUTED_VALUE"""),"Wedang laut")</f>
        <v>Wedang laut</v>
      </c>
      <c r="H1056" s="2"/>
      <c r="I1056" s="2"/>
      <c r="J1056" s="2">
        <f>IFERROR(__xludf.DUMMYFUNCTION("""COMPUTED_VALUE"""),1.0)</f>
        <v>1</v>
      </c>
      <c r="K1056" s="6">
        <f>IFERROR(__xludf.DUMMYFUNCTION("""COMPUTED_VALUE"""),24762.0)</f>
        <v>24762</v>
      </c>
      <c r="L1056" s="2">
        <f>IFERROR(__xludf.DUMMYFUNCTION("""COMPUTED_VALUE"""),0.0)</f>
        <v>0</v>
      </c>
      <c r="M1056" s="2">
        <f>IFERROR(__xludf.DUMMYFUNCTION("""COMPUTED_VALUE"""),24762.0)</f>
        <v>24762</v>
      </c>
      <c r="N1056" s="2">
        <f>IFERROR(__xludf.DUMMYFUNCTION("""COMPUTED_VALUE"""),0.0)</f>
        <v>0</v>
      </c>
      <c r="O1056" s="2">
        <f>IFERROR(__xludf.DUMMYFUNCTION("""COMPUTED_VALUE"""),24762.0)</f>
        <v>24762</v>
      </c>
      <c r="P1056" s="2">
        <f>IFERROR(__xludf.DUMMYFUNCTION("""COMPUTED_VALUE"""),1238.0)</f>
        <v>1238</v>
      </c>
      <c r="Q1056" s="2" t="str">
        <f>IFERROR(__xludf.DUMMYFUNCTION("""COMPUTED_VALUE"""),"Dine In")</f>
        <v>Dine In</v>
      </c>
      <c r="R1056" s="2" t="str">
        <f>IFERROR(__xludf.DUMMYFUNCTION("""COMPUTED_VALUE"""),"Kedai")</f>
        <v>Kedai</v>
      </c>
      <c r="S1056" s="2" t="str">
        <f>IFERROR(__xludf.DUMMYFUNCTION("""COMPUTED_VALUE"""),"Temu Roti")</f>
        <v>Temu Roti</v>
      </c>
      <c r="T1056" s="2" t="str">
        <f>IFERROR(__xludf.DUMMYFUNCTION("""COMPUTED_VALUE"""),"Owner")</f>
        <v>Owner</v>
      </c>
      <c r="U1056" s="2"/>
      <c r="V1056" s="2"/>
      <c r="W1056" s="2"/>
      <c r="X1056" s="2" t="str">
        <f>IFERROR(__xludf.DUMMYFUNCTION("""COMPUTED_VALUE"""),"Closed")</f>
        <v>Closed</v>
      </c>
    </row>
    <row r="1057">
      <c r="A1057" s="3" t="s">
        <v>1072</v>
      </c>
      <c r="B1057" s="4">
        <f>IFERROR(__xludf.DUMMYFUNCTION("SPLIT(A1057,"","",0,0)"),45543.638194444444)</f>
        <v>45543.63819</v>
      </c>
      <c r="C1057" s="5">
        <f>IFERROR(__xludf.DUMMYFUNCTION("""COMPUTED_VALUE"""),2651693.0)</f>
        <v>2651693</v>
      </c>
      <c r="D1057" s="2" t="str">
        <f>IFERROR(__xludf.DUMMYFUNCTION("""COMPUTED_VALUE"""),"Sale")</f>
        <v>Sale</v>
      </c>
      <c r="E1057" s="2" t="str">
        <f>IFERROR(__xludf.DUMMYFUNCTION("""COMPUTED_VALUE"""),"Roti")</f>
        <v>Roti</v>
      </c>
      <c r="F1057" s="2">
        <f>IFERROR(__xludf.DUMMYFUNCTION("""COMPUTED_VALUE"""),10000.0)</f>
        <v>10000</v>
      </c>
      <c r="G1057" s="2" t="str">
        <f>IFERROR(__xludf.DUMMYFUNCTION("""COMPUTED_VALUE"""),"Roti Bawang Saus Keju")</f>
        <v>Roti Bawang Saus Keju</v>
      </c>
      <c r="H1057" s="2"/>
      <c r="I1057" s="2"/>
      <c r="J1057" s="2">
        <f>IFERROR(__xludf.DUMMYFUNCTION("""COMPUTED_VALUE"""),1.0)</f>
        <v>1</v>
      </c>
      <c r="K1057" s="6">
        <f>IFERROR(__xludf.DUMMYFUNCTION("""COMPUTED_VALUE"""),29524.0)</f>
        <v>29524</v>
      </c>
      <c r="L1057" s="2">
        <f>IFERROR(__xludf.DUMMYFUNCTION("""COMPUTED_VALUE"""),0.0)</f>
        <v>0</v>
      </c>
      <c r="M1057" s="2">
        <f>IFERROR(__xludf.DUMMYFUNCTION("""COMPUTED_VALUE"""),29524.0)</f>
        <v>29524</v>
      </c>
      <c r="N1057" s="2">
        <f>IFERROR(__xludf.DUMMYFUNCTION("""COMPUTED_VALUE"""),0.0)</f>
        <v>0</v>
      </c>
      <c r="O1057" s="2">
        <f>IFERROR(__xludf.DUMMYFUNCTION("""COMPUTED_VALUE"""),29524.0)</f>
        <v>29524</v>
      </c>
      <c r="P1057" s="2">
        <f>IFERROR(__xludf.DUMMYFUNCTION("""COMPUTED_VALUE"""),1476.0)</f>
        <v>1476</v>
      </c>
      <c r="Q1057" s="2" t="str">
        <f>IFERROR(__xludf.DUMMYFUNCTION("""COMPUTED_VALUE"""),"Dine In")</f>
        <v>Dine In</v>
      </c>
      <c r="R1057" s="2" t="str">
        <f>IFERROR(__xludf.DUMMYFUNCTION("""COMPUTED_VALUE"""),"Kedai")</f>
        <v>Kedai</v>
      </c>
      <c r="S1057" s="2" t="str">
        <f>IFERROR(__xludf.DUMMYFUNCTION("""COMPUTED_VALUE"""),"Temu Roti")</f>
        <v>Temu Roti</v>
      </c>
      <c r="T1057" s="2" t="str">
        <f>IFERROR(__xludf.DUMMYFUNCTION("""COMPUTED_VALUE"""),"Owner")</f>
        <v>Owner</v>
      </c>
      <c r="U1057" s="2"/>
      <c r="V1057" s="2"/>
      <c r="W1057" s="2"/>
      <c r="X1057" s="2" t="str">
        <f>IFERROR(__xludf.DUMMYFUNCTION("""COMPUTED_VALUE"""),"Closed")</f>
        <v>Closed</v>
      </c>
    </row>
    <row r="1058">
      <c r="A1058" s="3" t="s">
        <v>1073</v>
      </c>
      <c r="B1058" s="4">
        <f>IFERROR(__xludf.DUMMYFUNCTION("SPLIT(A1058,"","",0,0)"),45543.638194444444)</f>
        <v>45543.63819</v>
      </c>
      <c r="C1058" s="5">
        <f>IFERROR(__xludf.DUMMYFUNCTION("""COMPUTED_VALUE"""),2651693.0)</f>
        <v>2651693</v>
      </c>
      <c r="D1058" s="2" t="str">
        <f>IFERROR(__xludf.DUMMYFUNCTION("""COMPUTED_VALUE"""),"Sale")</f>
        <v>Sale</v>
      </c>
      <c r="E1058" s="2" t="str">
        <f>IFERROR(__xludf.DUMMYFUNCTION("""COMPUTED_VALUE"""),"Minuman")</f>
        <v>Minuman</v>
      </c>
      <c r="F1058" s="2">
        <f>IFERROR(__xludf.DUMMYFUNCTION("""COMPUTED_VALUE"""),10128.0)</f>
        <v>10128</v>
      </c>
      <c r="G1058" s="2" t="str">
        <f>IFERROR(__xludf.DUMMYFUNCTION("""COMPUTED_VALUE"""),"Es Kopi Susu")</f>
        <v>Es Kopi Susu</v>
      </c>
      <c r="H1058" s="2"/>
      <c r="I1058" s="2"/>
      <c r="J1058" s="2">
        <f>IFERROR(__xludf.DUMMYFUNCTION("""COMPUTED_VALUE"""),3.0)</f>
        <v>3</v>
      </c>
      <c r="K1058" s="6">
        <f>IFERROR(__xludf.DUMMYFUNCTION("""COMPUTED_VALUE"""),69999.0)</f>
        <v>69999</v>
      </c>
      <c r="L1058" s="2">
        <f>IFERROR(__xludf.DUMMYFUNCTION("""COMPUTED_VALUE"""),0.0)</f>
        <v>0</v>
      </c>
      <c r="M1058" s="2">
        <f>IFERROR(__xludf.DUMMYFUNCTION("""COMPUTED_VALUE"""),69999.0)</f>
        <v>69999</v>
      </c>
      <c r="N1058" s="2">
        <f>IFERROR(__xludf.DUMMYFUNCTION("""COMPUTED_VALUE"""),0.0)</f>
        <v>0</v>
      </c>
      <c r="O1058" s="2">
        <f>IFERROR(__xludf.DUMMYFUNCTION("""COMPUTED_VALUE"""),69999.0)</f>
        <v>69999</v>
      </c>
      <c r="P1058" s="2">
        <f>IFERROR(__xludf.DUMMYFUNCTION("""COMPUTED_VALUE"""),3500.0)</f>
        <v>3500</v>
      </c>
      <c r="Q1058" s="2" t="str">
        <f>IFERROR(__xludf.DUMMYFUNCTION("""COMPUTED_VALUE"""),"Dine In")</f>
        <v>Dine In</v>
      </c>
      <c r="R1058" s="2" t="str">
        <f>IFERROR(__xludf.DUMMYFUNCTION("""COMPUTED_VALUE"""),"Kedai")</f>
        <v>Kedai</v>
      </c>
      <c r="S1058" s="2" t="str">
        <f>IFERROR(__xludf.DUMMYFUNCTION("""COMPUTED_VALUE"""),"Temu Roti")</f>
        <v>Temu Roti</v>
      </c>
      <c r="T1058" s="2" t="str">
        <f>IFERROR(__xludf.DUMMYFUNCTION("""COMPUTED_VALUE"""),"Owner")</f>
        <v>Owner</v>
      </c>
      <c r="U1058" s="2"/>
      <c r="V1058" s="2"/>
      <c r="W1058" s="2"/>
      <c r="X1058" s="2" t="str">
        <f>IFERROR(__xludf.DUMMYFUNCTION("""COMPUTED_VALUE"""),"Closed")</f>
        <v>Closed</v>
      </c>
    </row>
    <row r="1059">
      <c r="A1059" s="3" t="s">
        <v>1074</v>
      </c>
      <c r="B1059" s="4">
        <f>IFERROR(__xludf.DUMMYFUNCTION("SPLIT(A1059,"","",0,0)"),45543.638194444444)</f>
        <v>45543.63819</v>
      </c>
      <c r="C1059" s="5">
        <f>IFERROR(__xludf.DUMMYFUNCTION("""COMPUTED_VALUE"""),2651693.0)</f>
        <v>2651693</v>
      </c>
      <c r="D1059" s="2" t="str">
        <f>IFERROR(__xludf.DUMMYFUNCTION("""COMPUTED_VALUE"""),"Sale")</f>
        <v>Sale</v>
      </c>
      <c r="E1059" s="2" t="str">
        <f>IFERROR(__xludf.DUMMYFUNCTION("""COMPUTED_VALUE"""),"Kudapan")</f>
        <v>Kudapan</v>
      </c>
      <c r="F1059" s="2">
        <f>IFERROR(__xludf.DUMMYFUNCTION("""COMPUTED_VALUE"""),10010.0)</f>
        <v>10010</v>
      </c>
      <c r="G1059" s="2" t="str">
        <f>IFERROR(__xludf.DUMMYFUNCTION("""COMPUTED_VALUE"""),"Pisang Goreng")</f>
        <v>Pisang Goreng</v>
      </c>
      <c r="H1059" s="2"/>
      <c r="I1059" s="2"/>
      <c r="J1059" s="2">
        <f>IFERROR(__xludf.DUMMYFUNCTION("""COMPUTED_VALUE"""),1.0)</f>
        <v>1</v>
      </c>
      <c r="K1059" s="6">
        <f>IFERROR(__xludf.DUMMYFUNCTION("""COMPUTED_VALUE"""),25238.0)</f>
        <v>25238</v>
      </c>
      <c r="L1059" s="2">
        <f>IFERROR(__xludf.DUMMYFUNCTION("""COMPUTED_VALUE"""),0.0)</f>
        <v>0</v>
      </c>
      <c r="M1059" s="2">
        <f>IFERROR(__xludf.DUMMYFUNCTION("""COMPUTED_VALUE"""),25238.0)</f>
        <v>25238</v>
      </c>
      <c r="N1059" s="2">
        <f>IFERROR(__xludf.DUMMYFUNCTION("""COMPUTED_VALUE"""),0.0)</f>
        <v>0</v>
      </c>
      <c r="O1059" s="2">
        <f>IFERROR(__xludf.DUMMYFUNCTION("""COMPUTED_VALUE"""),25238.0)</f>
        <v>25238</v>
      </c>
      <c r="P1059" s="2">
        <f>IFERROR(__xludf.DUMMYFUNCTION("""COMPUTED_VALUE"""),1262.0)</f>
        <v>1262</v>
      </c>
      <c r="Q1059" s="2" t="str">
        <f>IFERROR(__xludf.DUMMYFUNCTION("""COMPUTED_VALUE"""),"Dine In")</f>
        <v>Dine In</v>
      </c>
      <c r="R1059" s="2" t="str">
        <f>IFERROR(__xludf.DUMMYFUNCTION("""COMPUTED_VALUE"""),"Kedai")</f>
        <v>Kedai</v>
      </c>
      <c r="S1059" s="2" t="str">
        <f>IFERROR(__xludf.DUMMYFUNCTION("""COMPUTED_VALUE"""),"Temu Roti")</f>
        <v>Temu Roti</v>
      </c>
      <c r="T1059" s="2" t="str">
        <f>IFERROR(__xludf.DUMMYFUNCTION("""COMPUTED_VALUE"""),"Owner")</f>
        <v>Owner</v>
      </c>
      <c r="U1059" s="2"/>
      <c r="V1059" s="2"/>
      <c r="W1059" s="2"/>
      <c r="X1059" s="2" t="str">
        <f>IFERROR(__xludf.DUMMYFUNCTION("""COMPUTED_VALUE"""),"Closed")</f>
        <v>Closed</v>
      </c>
    </row>
    <row r="1060">
      <c r="A1060" s="3" t="s">
        <v>1075</v>
      </c>
      <c r="B1060" s="4">
        <f>IFERROR(__xludf.DUMMYFUNCTION("SPLIT(A1060,"","",0,0)"),45543.638194444444)</f>
        <v>45543.63819</v>
      </c>
      <c r="C1060" s="5">
        <f>IFERROR(__xludf.DUMMYFUNCTION("""COMPUTED_VALUE"""),2651693.0)</f>
        <v>2651693</v>
      </c>
      <c r="D1060" s="2" t="str">
        <f>IFERROR(__xludf.DUMMYFUNCTION("""COMPUTED_VALUE"""),"Sale")</f>
        <v>Sale</v>
      </c>
      <c r="E1060" s="2" t="str">
        <f>IFERROR(__xludf.DUMMYFUNCTION("""COMPUTED_VALUE"""),"Kudapan")</f>
        <v>Kudapan</v>
      </c>
      <c r="F1060" s="2">
        <f>IFERROR(__xludf.DUMMYFUNCTION("""COMPUTED_VALUE"""),10004.0)</f>
        <v>10004</v>
      </c>
      <c r="G1060" s="2" t="str">
        <f>IFERROR(__xludf.DUMMYFUNCTION("""COMPUTED_VALUE"""),"Tahu walik")</f>
        <v>Tahu walik</v>
      </c>
      <c r="H1060" s="2"/>
      <c r="I1060" s="2"/>
      <c r="J1060" s="2">
        <f>IFERROR(__xludf.DUMMYFUNCTION("""COMPUTED_VALUE"""),1.0)</f>
        <v>1</v>
      </c>
      <c r="K1060" s="6">
        <f>IFERROR(__xludf.DUMMYFUNCTION("""COMPUTED_VALUE"""),25238.0)</f>
        <v>25238</v>
      </c>
      <c r="L1060" s="2">
        <f>IFERROR(__xludf.DUMMYFUNCTION("""COMPUTED_VALUE"""),0.0)</f>
        <v>0</v>
      </c>
      <c r="M1060" s="2">
        <f>IFERROR(__xludf.DUMMYFUNCTION("""COMPUTED_VALUE"""),25238.0)</f>
        <v>25238</v>
      </c>
      <c r="N1060" s="2">
        <f>IFERROR(__xludf.DUMMYFUNCTION("""COMPUTED_VALUE"""),0.0)</f>
        <v>0</v>
      </c>
      <c r="O1060" s="2">
        <f>IFERROR(__xludf.DUMMYFUNCTION("""COMPUTED_VALUE"""),25238.0)</f>
        <v>25238</v>
      </c>
      <c r="P1060" s="2">
        <f>IFERROR(__xludf.DUMMYFUNCTION("""COMPUTED_VALUE"""),1262.0)</f>
        <v>1262</v>
      </c>
      <c r="Q1060" s="2" t="str">
        <f>IFERROR(__xludf.DUMMYFUNCTION("""COMPUTED_VALUE"""),"Dine In")</f>
        <v>Dine In</v>
      </c>
      <c r="R1060" s="2" t="str">
        <f>IFERROR(__xludf.DUMMYFUNCTION("""COMPUTED_VALUE"""),"Kedai")</f>
        <v>Kedai</v>
      </c>
      <c r="S1060" s="2" t="str">
        <f>IFERROR(__xludf.DUMMYFUNCTION("""COMPUTED_VALUE"""),"Temu Roti")</f>
        <v>Temu Roti</v>
      </c>
      <c r="T1060" s="2" t="str">
        <f>IFERROR(__xludf.DUMMYFUNCTION("""COMPUTED_VALUE"""),"Owner")</f>
        <v>Owner</v>
      </c>
      <c r="U1060" s="2"/>
      <c r="V1060" s="2"/>
      <c r="W1060" s="2"/>
      <c r="X1060" s="2" t="str">
        <f>IFERROR(__xludf.DUMMYFUNCTION("""COMPUTED_VALUE"""),"Closed")</f>
        <v>Closed</v>
      </c>
    </row>
    <row r="1061">
      <c r="A1061" s="3" t="s">
        <v>1076</v>
      </c>
      <c r="B1061" s="4">
        <f>IFERROR(__xludf.DUMMYFUNCTION("SPLIT(A1061,"","",0,0)"),45543.59861111111)</f>
        <v>45543.59861</v>
      </c>
      <c r="C1061" s="5">
        <f>IFERROR(__xludf.DUMMYFUNCTION("""COMPUTED_VALUE"""),2651328.0)</f>
        <v>2651328</v>
      </c>
      <c r="D1061" s="2" t="str">
        <f>IFERROR(__xludf.DUMMYFUNCTION("""COMPUTED_VALUE"""),"Sale")</f>
        <v>Sale</v>
      </c>
      <c r="E1061" s="2" t="str">
        <f>IFERROR(__xludf.DUMMYFUNCTION("""COMPUTED_VALUE"""),"Minuman")</f>
        <v>Minuman</v>
      </c>
      <c r="F1061" s="2">
        <f>IFERROR(__xludf.DUMMYFUNCTION("""COMPUTED_VALUE"""),10128.0)</f>
        <v>10128</v>
      </c>
      <c r="G1061" s="2" t="str">
        <f>IFERROR(__xludf.DUMMYFUNCTION("""COMPUTED_VALUE"""),"Es Kopi Susu")</f>
        <v>Es Kopi Susu</v>
      </c>
      <c r="H1061" s="2"/>
      <c r="I1061" s="2"/>
      <c r="J1061" s="2">
        <f>IFERROR(__xludf.DUMMYFUNCTION("""COMPUTED_VALUE"""),1.0)</f>
        <v>1</v>
      </c>
      <c r="K1061" s="6">
        <f>IFERROR(__xludf.DUMMYFUNCTION("""COMPUTED_VALUE"""),23333.0)</f>
        <v>23333</v>
      </c>
      <c r="L1061" s="2">
        <f>IFERROR(__xludf.DUMMYFUNCTION("""COMPUTED_VALUE"""),0.0)</f>
        <v>0</v>
      </c>
      <c r="M1061" s="2">
        <f>IFERROR(__xludf.DUMMYFUNCTION("""COMPUTED_VALUE"""),23333.0)</f>
        <v>23333</v>
      </c>
      <c r="N1061" s="2">
        <f>IFERROR(__xludf.DUMMYFUNCTION("""COMPUTED_VALUE"""),0.0)</f>
        <v>0</v>
      </c>
      <c r="O1061" s="2">
        <f>IFERROR(__xludf.DUMMYFUNCTION("""COMPUTED_VALUE"""),23333.0)</f>
        <v>23333</v>
      </c>
      <c r="P1061" s="2">
        <f>IFERROR(__xludf.DUMMYFUNCTION("""COMPUTED_VALUE"""),1167.0)</f>
        <v>1167</v>
      </c>
      <c r="Q1061" s="2" t="str">
        <f>IFERROR(__xludf.DUMMYFUNCTION("""COMPUTED_VALUE"""),"Dine In")</f>
        <v>Dine In</v>
      </c>
      <c r="R1061" s="2" t="str">
        <f>IFERROR(__xludf.DUMMYFUNCTION("""COMPUTED_VALUE"""),"Kedai")</f>
        <v>Kedai</v>
      </c>
      <c r="S1061" s="2" t="str">
        <f>IFERROR(__xludf.DUMMYFUNCTION("""COMPUTED_VALUE"""),"Temu Roti")</f>
        <v>Temu Roti</v>
      </c>
      <c r="T1061" s="2" t="str">
        <f>IFERROR(__xludf.DUMMYFUNCTION("""COMPUTED_VALUE"""),"Owner")</f>
        <v>Owner</v>
      </c>
      <c r="U1061" s="2"/>
      <c r="V1061" s="2"/>
      <c r="W1061" s="2"/>
      <c r="X1061" s="2" t="str">
        <f>IFERROR(__xludf.DUMMYFUNCTION("""COMPUTED_VALUE"""),"Closed")</f>
        <v>Closed</v>
      </c>
    </row>
    <row r="1062">
      <c r="A1062" s="3" t="s">
        <v>1077</v>
      </c>
      <c r="B1062" s="4">
        <f>IFERROR(__xludf.DUMMYFUNCTION("SPLIT(A1062,"","",0,0)"),45543.59861111111)</f>
        <v>45543.59861</v>
      </c>
      <c r="C1062" s="5">
        <f>IFERROR(__xludf.DUMMYFUNCTION("""COMPUTED_VALUE"""),2651328.0)</f>
        <v>2651328</v>
      </c>
      <c r="D1062" s="2" t="str">
        <f>IFERROR(__xludf.DUMMYFUNCTION("""COMPUTED_VALUE"""),"Sale")</f>
        <v>Sale</v>
      </c>
      <c r="E1062" s="2" t="str">
        <f>IFERROR(__xludf.DUMMYFUNCTION("""COMPUTED_VALUE"""),"Roti")</f>
        <v>Roti</v>
      </c>
      <c r="F1062" s="2">
        <f>IFERROR(__xludf.DUMMYFUNCTION("""COMPUTED_VALUE"""),10002.0)</f>
        <v>10002</v>
      </c>
      <c r="G1062" s="2" t="str">
        <f>IFERROR(__xludf.DUMMYFUNCTION("""COMPUTED_VALUE"""),"Roti Cranberry")</f>
        <v>Roti Cranberry</v>
      </c>
      <c r="H1062" s="2"/>
      <c r="I1062" s="2"/>
      <c r="J1062" s="2">
        <f>IFERROR(__xludf.DUMMYFUNCTION("""COMPUTED_VALUE"""),1.0)</f>
        <v>1</v>
      </c>
      <c r="K1062" s="6">
        <f>IFERROR(__xludf.DUMMYFUNCTION("""COMPUTED_VALUE"""),18571.0)</f>
        <v>18571</v>
      </c>
      <c r="L1062" s="2">
        <f>IFERROR(__xludf.DUMMYFUNCTION("""COMPUTED_VALUE"""),0.0)</f>
        <v>0</v>
      </c>
      <c r="M1062" s="2">
        <f>IFERROR(__xludf.DUMMYFUNCTION("""COMPUTED_VALUE"""),18571.0)</f>
        <v>18571</v>
      </c>
      <c r="N1062" s="2">
        <f>IFERROR(__xludf.DUMMYFUNCTION("""COMPUTED_VALUE"""),0.0)</f>
        <v>0</v>
      </c>
      <c r="O1062" s="2">
        <f>IFERROR(__xludf.DUMMYFUNCTION("""COMPUTED_VALUE"""),18571.0)</f>
        <v>18571</v>
      </c>
      <c r="P1062" s="2">
        <f>IFERROR(__xludf.DUMMYFUNCTION("""COMPUTED_VALUE"""),928.0)</f>
        <v>928</v>
      </c>
      <c r="Q1062" s="2" t="str">
        <f>IFERROR(__xludf.DUMMYFUNCTION("""COMPUTED_VALUE"""),"Dine In")</f>
        <v>Dine In</v>
      </c>
      <c r="R1062" s="2" t="str">
        <f>IFERROR(__xludf.DUMMYFUNCTION("""COMPUTED_VALUE"""),"Kedai")</f>
        <v>Kedai</v>
      </c>
      <c r="S1062" s="2" t="str">
        <f>IFERROR(__xludf.DUMMYFUNCTION("""COMPUTED_VALUE"""),"Temu Roti")</f>
        <v>Temu Roti</v>
      </c>
      <c r="T1062" s="2" t="str">
        <f>IFERROR(__xludf.DUMMYFUNCTION("""COMPUTED_VALUE"""),"Owner")</f>
        <v>Owner</v>
      </c>
      <c r="U1062" s="2"/>
      <c r="V1062" s="2"/>
      <c r="W1062" s="2"/>
      <c r="X1062" s="2" t="str">
        <f>IFERROR(__xludf.DUMMYFUNCTION("""COMPUTED_VALUE"""),"Closed")</f>
        <v>Closed</v>
      </c>
    </row>
    <row r="1063">
      <c r="A1063" s="3" t="s">
        <v>1078</v>
      </c>
      <c r="B1063" s="4">
        <f>IFERROR(__xludf.DUMMYFUNCTION("SPLIT(A1063,"","",0,0)"),45543.59861111111)</f>
        <v>45543.59861</v>
      </c>
      <c r="C1063" s="5">
        <f>IFERROR(__xludf.DUMMYFUNCTION("""COMPUTED_VALUE"""),2650963.0)</f>
        <v>2650963</v>
      </c>
      <c r="D1063" s="2" t="str">
        <f>IFERROR(__xludf.DUMMYFUNCTION("""COMPUTED_VALUE"""),"Refund")</f>
        <v>Refund</v>
      </c>
      <c r="E1063" s="2" t="str">
        <f>IFERROR(__xludf.DUMMYFUNCTION("""COMPUTED_VALUE"""),"Roti")</f>
        <v>Roti</v>
      </c>
      <c r="F1063" s="2">
        <f>IFERROR(__xludf.DUMMYFUNCTION("""COMPUTED_VALUE"""),10002.0)</f>
        <v>10002</v>
      </c>
      <c r="G1063" s="2" t="str">
        <f>IFERROR(__xludf.DUMMYFUNCTION("""COMPUTED_VALUE"""),"Roti Cranberry")</f>
        <v>Roti Cranberry</v>
      </c>
      <c r="H1063" s="2"/>
      <c r="I1063" s="2"/>
      <c r="J1063" s="2">
        <f>IFERROR(__xludf.DUMMYFUNCTION("""COMPUTED_VALUE"""),-1.0)</f>
        <v>-1</v>
      </c>
      <c r="K1063" s="6">
        <f>IFERROR(__xludf.DUMMYFUNCTION("""COMPUTED_VALUE"""),-18571.0)</f>
        <v>-18571</v>
      </c>
      <c r="L1063" s="2">
        <f>IFERROR(__xludf.DUMMYFUNCTION("""COMPUTED_VALUE"""),0.0)</f>
        <v>0</v>
      </c>
      <c r="M1063" s="2">
        <f>IFERROR(__xludf.DUMMYFUNCTION("""COMPUTED_VALUE"""),-18571.0)</f>
        <v>-18571</v>
      </c>
      <c r="N1063" s="2">
        <f>IFERROR(__xludf.DUMMYFUNCTION("""COMPUTED_VALUE"""),0.0)</f>
        <v>0</v>
      </c>
      <c r="O1063" s="2">
        <f>IFERROR(__xludf.DUMMYFUNCTION("""COMPUTED_VALUE"""),-18571.0)</f>
        <v>-18571</v>
      </c>
      <c r="P1063" s="2">
        <f>IFERROR(__xludf.DUMMYFUNCTION("""COMPUTED_VALUE"""),-929.0)</f>
        <v>-929</v>
      </c>
      <c r="Q1063" s="2" t="str">
        <f>IFERROR(__xludf.DUMMYFUNCTION("""COMPUTED_VALUE"""),"Dine In")</f>
        <v>Dine In</v>
      </c>
      <c r="R1063" s="2" t="str">
        <f>IFERROR(__xludf.DUMMYFUNCTION("""COMPUTED_VALUE"""),"Kedai")</f>
        <v>Kedai</v>
      </c>
      <c r="S1063" s="2" t="str">
        <f>IFERROR(__xludf.DUMMYFUNCTION("""COMPUTED_VALUE"""),"Temu Roti")</f>
        <v>Temu Roti</v>
      </c>
      <c r="T1063" s="2" t="str">
        <f>IFERROR(__xludf.DUMMYFUNCTION("""COMPUTED_VALUE"""),"Owner")</f>
        <v>Owner</v>
      </c>
      <c r="U1063" s="2"/>
      <c r="V1063" s="2"/>
      <c r="W1063" s="2"/>
      <c r="X1063" s="2" t="str">
        <f>IFERROR(__xludf.DUMMYFUNCTION("""COMPUTED_VALUE"""),"Closed")</f>
        <v>Closed</v>
      </c>
    </row>
    <row r="1064">
      <c r="A1064" s="3" t="s">
        <v>1079</v>
      </c>
      <c r="B1064" s="4">
        <f>IFERROR(__xludf.DUMMYFUNCTION("SPLIT(A1064,"","",0,0)"),45543.59861111111)</f>
        <v>45543.59861</v>
      </c>
      <c r="C1064" s="5">
        <f>IFERROR(__xludf.DUMMYFUNCTION("""COMPUTED_VALUE"""),2650963.0)</f>
        <v>2650963</v>
      </c>
      <c r="D1064" s="2" t="str">
        <f>IFERROR(__xludf.DUMMYFUNCTION("""COMPUTED_VALUE"""),"Refund")</f>
        <v>Refund</v>
      </c>
      <c r="E1064" s="2" t="str">
        <f>IFERROR(__xludf.DUMMYFUNCTION("""COMPUTED_VALUE"""),"Minuman")</f>
        <v>Minuman</v>
      </c>
      <c r="F1064" s="2">
        <f>IFERROR(__xludf.DUMMYFUNCTION("""COMPUTED_VALUE"""),10128.0)</f>
        <v>10128</v>
      </c>
      <c r="G1064" s="2" t="str">
        <f>IFERROR(__xludf.DUMMYFUNCTION("""COMPUTED_VALUE"""),"Es Kopi Susu")</f>
        <v>Es Kopi Susu</v>
      </c>
      <c r="H1064" s="2"/>
      <c r="I1064" s="2"/>
      <c r="J1064" s="2">
        <f>IFERROR(__xludf.DUMMYFUNCTION("""COMPUTED_VALUE"""),-1.0)</f>
        <v>-1</v>
      </c>
      <c r="K1064" s="6">
        <f>IFERROR(__xludf.DUMMYFUNCTION("""COMPUTED_VALUE"""),-23333.0)</f>
        <v>-23333</v>
      </c>
      <c r="L1064" s="2">
        <f>IFERROR(__xludf.DUMMYFUNCTION("""COMPUTED_VALUE"""),0.0)</f>
        <v>0</v>
      </c>
      <c r="M1064" s="2">
        <f>IFERROR(__xludf.DUMMYFUNCTION("""COMPUTED_VALUE"""),-23333.0)</f>
        <v>-23333</v>
      </c>
      <c r="N1064" s="2">
        <f>IFERROR(__xludf.DUMMYFUNCTION("""COMPUTED_VALUE"""),0.0)</f>
        <v>0</v>
      </c>
      <c r="O1064" s="2">
        <f>IFERROR(__xludf.DUMMYFUNCTION("""COMPUTED_VALUE"""),-23333.0)</f>
        <v>-23333</v>
      </c>
      <c r="P1064" s="2">
        <f>IFERROR(__xludf.DUMMYFUNCTION("""COMPUTED_VALUE"""),-1166.0)</f>
        <v>-1166</v>
      </c>
      <c r="Q1064" s="2" t="str">
        <f>IFERROR(__xludf.DUMMYFUNCTION("""COMPUTED_VALUE"""),"Dine In")</f>
        <v>Dine In</v>
      </c>
      <c r="R1064" s="2" t="str">
        <f>IFERROR(__xludf.DUMMYFUNCTION("""COMPUTED_VALUE"""),"Kedai")</f>
        <v>Kedai</v>
      </c>
      <c r="S1064" s="2" t="str">
        <f>IFERROR(__xludf.DUMMYFUNCTION("""COMPUTED_VALUE"""),"Temu Roti")</f>
        <v>Temu Roti</v>
      </c>
      <c r="T1064" s="2" t="str">
        <f>IFERROR(__xludf.DUMMYFUNCTION("""COMPUTED_VALUE"""),"Owner")</f>
        <v>Owner</v>
      </c>
      <c r="U1064" s="2"/>
      <c r="V1064" s="2"/>
      <c r="W1064" s="2"/>
      <c r="X1064" s="2" t="str">
        <f>IFERROR(__xludf.DUMMYFUNCTION("""COMPUTED_VALUE"""),"Closed")</f>
        <v>Closed</v>
      </c>
    </row>
    <row r="1065">
      <c r="A1065" s="3" t="s">
        <v>1080</v>
      </c>
      <c r="B1065" s="4">
        <f>IFERROR(__xludf.DUMMYFUNCTION("SPLIT(A1065,"","",0,0)"),45543.597916666666)</f>
        <v>45543.59792</v>
      </c>
      <c r="C1065" s="5">
        <f>IFERROR(__xludf.DUMMYFUNCTION("""COMPUTED_VALUE"""),2650598.0)</f>
        <v>2650598</v>
      </c>
      <c r="D1065" s="2" t="str">
        <f>IFERROR(__xludf.DUMMYFUNCTION("""COMPUTED_VALUE"""),"Sale")</f>
        <v>Sale</v>
      </c>
      <c r="E1065" s="2" t="str">
        <f>IFERROR(__xludf.DUMMYFUNCTION("""COMPUTED_VALUE"""),"Roti")</f>
        <v>Roti</v>
      </c>
      <c r="F1065" s="2">
        <f>IFERROR(__xludf.DUMMYFUNCTION("""COMPUTED_VALUE"""),10002.0)</f>
        <v>10002</v>
      </c>
      <c r="G1065" s="2" t="str">
        <f>IFERROR(__xludf.DUMMYFUNCTION("""COMPUTED_VALUE"""),"Roti Cranberry")</f>
        <v>Roti Cranberry</v>
      </c>
      <c r="H1065" s="2"/>
      <c r="I1065" s="2"/>
      <c r="J1065" s="2">
        <f>IFERROR(__xludf.DUMMYFUNCTION("""COMPUTED_VALUE"""),1.0)</f>
        <v>1</v>
      </c>
      <c r="K1065" s="6">
        <f>IFERROR(__xludf.DUMMYFUNCTION("""COMPUTED_VALUE"""),18571.0)</f>
        <v>18571</v>
      </c>
      <c r="L1065" s="2">
        <f>IFERROR(__xludf.DUMMYFUNCTION("""COMPUTED_VALUE"""),0.0)</f>
        <v>0</v>
      </c>
      <c r="M1065" s="2">
        <f>IFERROR(__xludf.DUMMYFUNCTION("""COMPUTED_VALUE"""),18571.0)</f>
        <v>18571</v>
      </c>
      <c r="N1065" s="2">
        <f>IFERROR(__xludf.DUMMYFUNCTION("""COMPUTED_VALUE"""),0.0)</f>
        <v>0</v>
      </c>
      <c r="O1065" s="2">
        <f>IFERROR(__xludf.DUMMYFUNCTION("""COMPUTED_VALUE"""),18571.0)</f>
        <v>18571</v>
      </c>
      <c r="P1065" s="2">
        <f>IFERROR(__xludf.DUMMYFUNCTION("""COMPUTED_VALUE"""),929.0)</f>
        <v>929</v>
      </c>
      <c r="Q1065" s="2" t="str">
        <f>IFERROR(__xludf.DUMMYFUNCTION("""COMPUTED_VALUE"""),"Dine In")</f>
        <v>Dine In</v>
      </c>
      <c r="R1065" s="2" t="str">
        <f>IFERROR(__xludf.DUMMYFUNCTION("""COMPUTED_VALUE"""),"Kedai")</f>
        <v>Kedai</v>
      </c>
      <c r="S1065" s="2" t="str">
        <f>IFERROR(__xludf.DUMMYFUNCTION("""COMPUTED_VALUE"""),"Temu Roti")</f>
        <v>Temu Roti</v>
      </c>
      <c r="T1065" s="2" t="str">
        <f>IFERROR(__xludf.DUMMYFUNCTION("""COMPUTED_VALUE"""),"Owner")</f>
        <v>Owner</v>
      </c>
      <c r="U1065" s="2"/>
      <c r="V1065" s="2"/>
      <c r="W1065" s="2"/>
      <c r="X1065" s="2" t="str">
        <f>IFERROR(__xludf.DUMMYFUNCTION("""COMPUTED_VALUE"""),"Closed")</f>
        <v>Closed</v>
      </c>
    </row>
    <row r="1066">
      <c r="A1066" s="3" t="s">
        <v>1081</v>
      </c>
      <c r="B1066" s="4">
        <f>IFERROR(__xludf.DUMMYFUNCTION("SPLIT(A1066,"","",0,0)"),45543.597916666666)</f>
        <v>45543.59792</v>
      </c>
      <c r="C1066" s="5">
        <f>IFERROR(__xludf.DUMMYFUNCTION("""COMPUTED_VALUE"""),2650598.0)</f>
        <v>2650598</v>
      </c>
      <c r="D1066" s="2" t="str">
        <f>IFERROR(__xludf.DUMMYFUNCTION("""COMPUTED_VALUE"""),"Sale")</f>
        <v>Sale</v>
      </c>
      <c r="E1066" s="2" t="str">
        <f>IFERROR(__xludf.DUMMYFUNCTION("""COMPUTED_VALUE"""),"Minuman")</f>
        <v>Minuman</v>
      </c>
      <c r="F1066" s="2">
        <f>IFERROR(__xludf.DUMMYFUNCTION("""COMPUTED_VALUE"""),10128.0)</f>
        <v>10128</v>
      </c>
      <c r="G1066" s="2" t="str">
        <f>IFERROR(__xludf.DUMMYFUNCTION("""COMPUTED_VALUE"""),"Es Kopi Susu")</f>
        <v>Es Kopi Susu</v>
      </c>
      <c r="H1066" s="2"/>
      <c r="I1066" s="2"/>
      <c r="J1066" s="2">
        <f>IFERROR(__xludf.DUMMYFUNCTION("""COMPUTED_VALUE"""),1.0)</f>
        <v>1</v>
      </c>
      <c r="K1066" s="6">
        <f>IFERROR(__xludf.DUMMYFUNCTION("""COMPUTED_VALUE"""),23333.0)</f>
        <v>23333</v>
      </c>
      <c r="L1066" s="2">
        <f>IFERROR(__xludf.DUMMYFUNCTION("""COMPUTED_VALUE"""),0.0)</f>
        <v>0</v>
      </c>
      <c r="M1066" s="2">
        <f>IFERROR(__xludf.DUMMYFUNCTION("""COMPUTED_VALUE"""),23333.0)</f>
        <v>23333</v>
      </c>
      <c r="N1066" s="2">
        <f>IFERROR(__xludf.DUMMYFUNCTION("""COMPUTED_VALUE"""),0.0)</f>
        <v>0</v>
      </c>
      <c r="O1066" s="2">
        <f>IFERROR(__xludf.DUMMYFUNCTION("""COMPUTED_VALUE"""),23333.0)</f>
        <v>23333</v>
      </c>
      <c r="P1066" s="2">
        <f>IFERROR(__xludf.DUMMYFUNCTION("""COMPUTED_VALUE"""),1166.0)</f>
        <v>1166</v>
      </c>
      <c r="Q1066" s="2" t="str">
        <f>IFERROR(__xludf.DUMMYFUNCTION("""COMPUTED_VALUE"""),"Dine In")</f>
        <v>Dine In</v>
      </c>
      <c r="R1066" s="2" t="str">
        <f>IFERROR(__xludf.DUMMYFUNCTION("""COMPUTED_VALUE"""),"Kedai")</f>
        <v>Kedai</v>
      </c>
      <c r="S1066" s="2" t="str">
        <f>IFERROR(__xludf.DUMMYFUNCTION("""COMPUTED_VALUE"""),"Temu Roti")</f>
        <v>Temu Roti</v>
      </c>
      <c r="T1066" s="2" t="str">
        <f>IFERROR(__xludf.DUMMYFUNCTION("""COMPUTED_VALUE"""),"Owner")</f>
        <v>Owner</v>
      </c>
      <c r="U1066" s="2"/>
      <c r="V1066" s="2"/>
      <c r="W1066" s="2"/>
      <c r="X1066" s="2" t="str">
        <f>IFERROR(__xludf.DUMMYFUNCTION("""COMPUTED_VALUE"""),"Closed")</f>
        <v>Closed</v>
      </c>
    </row>
    <row r="1067">
      <c r="A1067" s="3" t="s">
        <v>1082</v>
      </c>
      <c r="B1067" s="4">
        <f>IFERROR(__xludf.DUMMYFUNCTION("SPLIT(A1067,"","",0,0)"),45543.584027777775)</f>
        <v>45543.58403</v>
      </c>
      <c r="C1067" s="5">
        <f>IFERROR(__xludf.DUMMYFUNCTION("""COMPUTED_VALUE"""),2650232.0)</f>
        <v>2650232</v>
      </c>
      <c r="D1067" s="2" t="str">
        <f>IFERROR(__xludf.DUMMYFUNCTION("""COMPUTED_VALUE"""),"Sale")</f>
        <v>Sale</v>
      </c>
      <c r="E1067" s="2" t="str">
        <f>IFERROR(__xludf.DUMMYFUNCTION("""COMPUTED_VALUE"""),"Hidangan Utama")</f>
        <v>Hidangan Utama</v>
      </c>
      <c r="F1067" s="2">
        <f>IFERROR(__xludf.DUMMYFUNCTION("""COMPUTED_VALUE"""),10003.0)</f>
        <v>10003</v>
      </c>
      <c r="G1067" s="2" t="str">
        <f>IFERROR(__xludf.DUMMYFUNCTION("""COMPUTED_VALUE"""),"Nasi Goreng Temu")</f>
        <v>Nasi Goreng Temu</v>
      </c>
      <c r="H1067" s="2"/>
      <c r="I1067" s="2"/>
      <c r="J1067" s="2">
        <f>IFERROR(__xludf.DUMMYFUNCTION("""COMPUTED_VALUE"""),1.0)</f>
        <v>1</v>
      </c>
      <c r="K1067" s="6">
        <f>IFERROR(__xludf.DUMMYFUNCTION("""COMPUTED_VALUE"""),29524.0)</f>
        <v>29524</v>
      </c>
      <c r="L1067" s="2">
        <f>IFERROR(__xludf.DUMMYFUNCTION("""COMPUTED_VALUE"""),0.0)</f>
        <v>0</v>
      </c>
      <c r="M1067" s="2">
        <f>IFERROR(__xludf.DUMMYFUNCTION("""COMPUTED_VALUE"""),29524.0)</f>
        <v>29524</v>
      </c>
      <c r="N1067" s="2">
        <f>IFERROR(__xludf.DUMMYFUNCTION("""COMPUTED_VALUE"""),0.0)</f>
        <v>0</v>
      </c>
      <c r="O1067" s="2">
        <f>IFERROR(__xludf.DUMMYFUNCTION("""COMPUTED_VALUE"""),29524.0)</f>
        <v>29524</v>
      </c>
      <c r="P1067" s="2">
        <f>IFERROR(__xludf.DUMMYFUNCTION("""COMPUTED_VALUE"""),1476.0)</f>
        <v>1476</v>
      </c>
      <c r="Q1067" s="2" t="str">
        <f>IFERROR(__xludf.DUMMYFUNCTION("""COMPUTED_VALUE"""),"Dine In")</f>
        <v>Dine In</v>
      </c>
      <c r="R1067" s="2" t="str">
        <f>IFERROR(__xludf.DUMMYFUNCTION("""COMPUTED_VALUE"""),"Kedai")</f>
        <v>Kedai</v>
      </c>
      <c r="S1067" s="2" t="str">
        <f>IFERROR(__xludf.DUMMYFUNCTION("""COMPUTED_VALUE"""),"Temu Roti")</f>
        <v>Temu Roti</v>
      </c>
      <c r="T1067" s="2" t="str">
        <f>IFERROR(__xludf.DUMMYFUNCTION("""COMPUTED_VALUE"""),"Owner")</f>
        <v>Owner</v>
      </c>
      <c r="U1067" s="2"/>
      <c r="V1067" s="2"/>
      <c r="W1067" s="2"/>
      <c r="X1067" s="2" t="str">
        <f>IFERROR(__xludf.DUMMYFUNCTION("""COMPUTED_VALUE"""),"Closed")</f>
        <v>Closed</v>
      </c>
    </row>
    <row r="1068">
      <c r="A1068" s="3" t="s">
        <v>1083</v>
      </c>
      <c r="B1068" s="4">
        <f>IFERROR(__xludf.DUMMYFUNCTION("SPLIT(A1068,"","",0,0)"),45543.584027777775)</f>
        <v>45543.58403</v>
      </c>
      <c r="C1068" s="5">
        <f>IFERROR(__xludf.DUMMYFUNCTION("""COMPUTED_VALUE"""),2650232.0)</f>
        <v>2650232</v>
      </c>
      <c r="D1068" s="2" t="str">
        <f>IFERROR(__xludf.DUMMYFUNCTION("""COMPUTED_VALUE"""),"Sale")</f>
        <v>Sale</v>
      </c>
      <c r="E1068" s="2" t="str">
        <f>IFERROR(__xludf.DUMMYFUNCTION("""COMPUTED_VALUE"""),"Minuman")</f>
        <v>Minuman</v>
      </c>
      <c r="F1068" s="2">
        <f>IFERROR(__xludf.DUMMYFUNCTION("""COMPUTED_VALUE"""),10107.0)</f>
        <v>10107</v>
      </c>
      <c r="G1068" s="2" t="str">
        <f>IFERROR(__xludf.DUMMYFUNCTION("""COMPUTED_VALUE"""),"Korean Mango Fresh Milk")</f>
        <v>Korean Mango Fresh Milk</v>
      </c>
      <c r="H1068" s="2"/>
      <c r="I1068" s="2"/>
      <c r="J1068" s="2">
        <f>IFERROR(__xludf.DUMMYFUNCTION("""COMPUTED_VALUE"""),1.0)</f>
        <v>1</v>
      </c>
      <c r="K1068" s="6">
        <f>IFERROR(__xludf.DUMMYFUNCTION("""COMPUTED_VALUE"""),26667.0)</f>
        <v>26667</v>
      </c>
      <c r="L1068" s="2">
        <f>IFERROR(__xludf.DUMMYFUNCTION("""COMPUTED_VALUE"""),0.0)</f>
        <v>0</v>
      </c>
      <c r="M1068" s="2">
        <f>IFERROR(__xludf.DUMMYFUNCTION("""COMPUTED_VALUE"""),26667.0)</f>
        <v>26667</v>
      </c>
      <c r="N1068" s="2">
        <f>IFERROR(__xludf.DUMMYFUNCTION("""COMPUTED_VALUE"""),0.0)</f>
        <v>0</v>
      </c>
      <c r="O1068" s="2">
        <f>IFERROR(__xludf.DUMMYFUNCTION("""COMPUTED_VALUE"""),26667.0)</f>
        <v>26667</v>
      </c>
      <c r="P1068" s="2">
        <f>IFERROR(__xludf.DUMMYFUNCTION("""COMPUTED_VALUE"""),1334.0)</f>
        <v>1334</v>
      </c>
      <c r="Q1068" s="2" t="str">
        <f>IFERROR(__xludf.DUMMYFUNCTION("""COMPUTED_VALUE"""),"Dine In")</f>
        <v>Dine In</v>
      </c>
      <c r="R1068" s="2" t="str">
        <f>IFERROR(__xludf.DUMMYFUNCTION("""COMPUTED_VALUE"""),"Kedai")</f>
        <v>Kedai</v>
      </c>
      <c r="S1068" s="2" t="str">
        <f>IFERROR(__xludf.DUMMYFUNCTION("""COMPUTED_VALUE"""),"Temu Roti")</f>
        <v>Temu Roti</v>
      </c>
      <c r="T1068" s="2" t="str">
        <f>IFERROR(__xludf.DUMMYFUNCTION("""COMPUTED_VALUE"""),"Owner")</f>
        <v>Owner</v>
      </c>
      <c r="U1068" s="2"/>
      <c r="V1068" s="2"/>
      <c r="W1068" s="2"/>
      <c r="X1068" s="2" t="str">
        <f>IFERROR(__xludf.DUMMYFUNCTION("""COMPUTED_VALUE"""),"Closed")</f>
        <v>Closed</v>
      </c>
    </row>
    <row r="1069">
      <c r="A1069" s="3" t="s">
        <v>1084</v>
      </c>
      <c r="B1069" s="4">
        <f>IFERROR(__xludf.DUMMYFUNCTION("SPLIT(A1069,"","",0,0)"),45543.584027777775)</f>
        <v>45543.58403</v>
      </c>
      <c r="C1069" s="5">
        <f>IFERROR(__xludf.DUMMYFUNCTION("""COMPUTED_VALUE"""),2650232.0)</f>
        <v>2650232</v>
      </c>
      <c r="D1069" s="2" t="str">
        <f>IFERROR(__xludf.DUMMYFUNCTION("""COMPUTED_VALUE"""),"Sale")</f>
        <v>Sale</v>
      </c>
      <c r="E1069" s="2" t="str">
        <f>IFERROR(__xludf.DUMMYFUNCTION("""COMPUTED_VALUE"""),"Roti")</f>
        <v>Roti</v>
      </c>
      <c r="F1069" s="2">
        <f>IFERROR(__xludf.DUMMYFUNCTION("""COMPUTED_VALUE"""),10005.0)</f>
        <v>10005</v>
      </c>
      <c r="G1069" s="2" t="str">
        <f>IFERROR(__xludf.DUMMYFUNCTION("""COMPUTED_VALUE"""),"Roti Gandum Cokelat")</f>
        <v>Roti Gandum Cokelat</v>
      </c>
      <c r="H1069" s="2"/>
      <c r="I1069" s="2"/>
      <c r="J1069" s="2">
        <f>IFERROR(__xludf.DUMMYFUNCTION("""COMPUTED_VALUE"""),1.0)</f>
        <v>1</v>
      </c>
      <c r="K1069" s="6">
        <f>IFERROR(__xludf.DUMMYFUNCTION("""COMPUTED_VALUE"""),19524.0)</f>
        <v>19524</v>
      </c>
      <c r="L1069" s="2">
        <f>IFERROR(__xludf.DUMMYFUNCTION("""COMPUTED_VALUE"""),0.0)</f>
        <v>0</v>
      </c>
      <c r="M1069" s="2">
        <f>IFERROR(__xludf.DUMMYFUNCTION("""COMPUTED_VALUE"""),19524.0)</f>
        <v>19524</v>
      </c>
      <c r="N1069" s="2">
        <f>IFERROR(__xludf.DUMMYFUNCTION("""COMPUTED_VALUE"""),0.0)</f>
        <v>0</v>
      </c>
      <c r="O1069" s="2">
        <f>IFERROR(__xludf.DUMMYFUNCTION("""COMPUTED_VALUE"""),19524.0)</f>
        <v>19524</v>
      </c>
      <c r="P1069" s="2">
        <f>IFERROR(__xludf.DUMMYFUNCTION("""COMPUTED_VALUE"""),976.0)</f>
        <v>976</v>
      </c>
      <c r="Q1069" s="2" t="str">
        <f>IFERROR(__xludf.DUMMYFUNCTION("""COMPUTED_VALUE"""),"Dine In")</f>
        <v>Dine In</v>
      </c>
      <c r="R1069" s="2" t="str">
        <f>IFERROR(__xludf.DUMMYFUNCTION("""COMPUTED_VALUE"""),"Kedai")</f>
        <v>Kedai</v>
      </c>
      <c r="S1069" s="2" t="str">
        <f>IFERROR(__xludf.DUMMYFUNCTION("""COMPUTED_VALUE"""),"Temu Roti")</f>
        <v>Temu Roti</v>
      </c>
      <c r="T1069" s="2" t="str">
        <f>IFERROR(__xludf.DUMMYFUNCTION("""COMPUTED_VALUE"""),"Owner")</f>
        <v>Owner</v>
      </c>
      <c r="U1069" s="2"/>
      <c r="V1069" s="2"/>
      <c r="W1069" s="2"/>
      <c r="X1069" s="2" t="str">
        <f>IFERROR(__xludf.DUMMYFUNCTION("""COMPUTED_VALUE"""),"Closed")</f>
        <v>Closed</v>
      </c>
    </row>
    <row r="1070">
      <c r="A1070" s="3" t="s">
        <v>1085</v>
      </c>
      <c r="B1070" s="4">
        <f>IFERROR(__xludf.DUMMYFUNCTION("SPLIT(A1070,"","",0,0)"),45543.584027777775)</f>
        <v>45543.58403</v>
      </c>
      <c r="C1070" s="5">
        <f>IFERROR(__xludf.DUMMYFUNCTION("""COMPUTED_VALUE"""),2650232.0)</f>
        <v>2650232</v>
      </c>
      <c r="D1070" s="2" t="str">
        <f>IFERROR(__xludf.DUMMYFUNCTION("""COMPUTED_VALUE"""),"Sale")</f>
        <v>Sale</v>
      </c>
      <c r="E1070" s="2" t="str">
        <f>IFERROR(__xludf.DUMMYFUNCTION("""COMPUTED_VALUE"""),"Minuman")</f>
        <v>Minuman</v>
      </c>
      <c r="F1070" s="2">
        <f>IFERROR(__xludf.DUMMYFUNCTION("""COMPUTED_VALUE"""),10106.0)</f>
        <v>10106</v>
      </c>
      <c r="G1070" s="2" t="str">
        <f>IFERROR(__xludf.DUMMYFUNCTION("""COMPUTED_VALUE"""),"Korean Strawberry Fresh Milk")</f>
        <v>Korean Strawberry Fresh Milk</v>
      </c>
      <c r="H1070" s="2"/>
      <c r="I1070" s="2"/>
      <c r="J1070" s="2">
        <f>IFERROR(__xludf.DUMMYFUNCTION("""COMPUTED_VALUE"""),1.0)</f>
        <v>1</v>
      </c>
      <c r="K1070" s="6">
        <f>IFERROR(__xludf.DUMMYFUNCTION("""COMPUTED_VALUE"""),26667.0)</f>
        <v>26667</v>
      </c>
      <c r="L1070" s="2">
        <f>IFERROR(__xludf.DUMMYFUNCTION("""COMPUTED_VALUE"""),0.0)</f>
        <v>0</v>
      </c>
      <c r="M1070" s="2">
        <f>IFERROR(__xludf.DUMMYFUNCTION("""COMPUTED_VALUE"""),26667.0)</f>
        <v>26667</v>
      </c>
      <c r="N1070" s="2">
        <f>IFERROR(__xludf.DUMMYFUNCTION("""COMPUTED_VALUE"""),0.0)</f>
        <v>0</v>
      </c>
      <c r="O1070" s="2">
        <f>IFERROR(__xludf.DUMMYFUNCTION("""COMPUTED_VALUE"""),26667.0)</f>
        <v>26667</v>
      </c>
      <c r="P1070" s="2">
        <f>IFERROR(__xludf.DUMMYFUNCTION("""COMPUTED_VALUE"""),1333.0)</f>
        <v>1333</v>
      </c>
      <c r="Q1070" s="2" t="str">
        <f>IFERROR(__xludf.DUMMYFUNCTION("""COMPUTED_VALUE"""),"Dine In")</f>
        <v>Dine In</v>
      </c>
      <c r="R1070" s="2" t="str">
        <f>IFERROR(__xludf.DUMMYFUNCTION("""COMPUTED_VALUE"""),"Kedai")</f>
        <v>Kedai</v>
      </c>
      <c r="S1070" s="2" t="str">
        <f>IFERROR(__xludf.DUMMYFUNCTION("""COMPUTED_VALUE"""),"Temu Roti")</f>
        <v>Temu Roti</v>
      </c>
      <c r="T1070" s="2" t="str">
        <f>IFERROR(__xludf.DUMMYFUNCTION("""COMPUTED_VALUE"""),"Owner")</f>
        <v>Owner</v>
      </c>
      <c r="U1070" s="2"/>
      <c r="V1070" s="2"/>
      <c r="W1070" s="2"/>
      <c r="X1070" s="2" t="str">
        <f>IFERROR(__xludf.DUMMYFUNCTION("""COMPUTED_VALUE"""),"Closed")</f>
        <v>Closed</v>
      </c>
    </row>
    <row r="1071">
      <c r="A1071" s="3" t="s">
        <v>1086</v>
      </c>
      <c r="B1071" s="4">
        <f>IFERROR(__xludf.DUMMYFUNCTION("SPLIT(A1071,"","",0,0)"),45543.57916666667)</f>
        <v>45543.57917</v>
      </c>
      <c r="C1071" s="5">
        <f>IFERROR(__xludf.DUMMYFUNCTION("""COMPUTED_VALUE"""),2649867.0)</f>
        <v>2649867</v>
      </c>
      <c r="D1071" s="2" t="str">
        <f>IFERROR(__xludf.DUMMYFUNCTION("""COMPUTED_VALUE"""),"Sale")</f>
        <v>Sale</v>
      </c>
      <c r="E1071" s="2" t="str">
        <f>IFERROR(__xludf.DUMMYFUNCTION("""COMPUTED_VALUE"""),"Minuman")</f>
        <v>Minuman</v>
      </c>
      <c r="F1071" s="2">
        <f>IFERROR(__xludf.DUMMYFUNCTION("""COMPUTED_VALUE"""),10128.0)</f>
        <v>10128</v>
      </c>
      <c r="G1071" s="2" t="str">
        <f>IFERROR(__xludf.DUMMYFUNCTION("""COMPUTED_VALUE"""),"Es Kopi Susu")</f>
        <v>Es Kopi Susu</v>
      </c>
      <c r="H1071" s="2"/>
      <c r="I1071" s="2"/>
      <c r="J1071" s="2">
        <f>IFERROR(__xludf.DUMMYFUNCTION("""COMPUTED_VALUE"""),1.0)</f>
        <v>1</v>
      </c>
      <c r="K1071" s="6">
        <f>IFERROR(__xludf.DUMMYFUNCTION("""COMPUTED_VALUE"""),23333.0)</f>
        <v>23333</v>
      </c>
      <c r="L1071" s="2">
        <f>IFERROR(__xludf.DUMMYFUNCTION("""COMPUTED_VALUE"""),0.0)</f>
        <v>0</v>
      </c>
      <c r="M1071" s="2">
        <f>IFERROR(__xludf.DUMMYFUNCTION("""COMPUTED_VALUE"""),23333.0)</f>
        <v>23333</v>
      </c>
      <c r="N1071" s="2">
        <f>IFERROR(__xludf.DUMMYFUNCTION("""COMPUTED_VALUE"""),0.0)</f>
        <v>0</v>
      </c>
      <c r="O1071" s="2">
        <f>IFERROR(__xludf.DUMMYFUNCTION("""COMPUTED_VALUE"""),23333.0)</f>
        <v>23333</v>
      </c>
      <c r="P1071" s="2">
        <f>IFERROR(__xludf.DUMMYFUNCTION("""COMPUTED_VALUE"""),1167.0)</f>
        <v>1167</v>
      </c>
      <c r="Q1071" s="2" t="str">
        <f>IFERROR(__xludf.DUMMYFUNCTION("""COMPUTED_VALUE"""),"Dine In")</f>
        <v>Dine In</v>
      </c>
      <c r="R1071" s="2" t="str">
        <f>IFERROR(__xludf.DUMMYFUNCTION("""COMPUTED_VALUE"""),"Kedai")</f>
        <v>Kedai</v>
      </c>
      <c r="S1071" s="2" t="str">
        <f>IFERROR(__xludf.DUMMYFUNCTION("""COMPUTED_VALUE"""),"Temu Roti")</f>
        <v>Temu Roti</v>
      </c>
      <c r="T1071" s="2" t="str">
        <f>IFERROR(__xludf.DUMMYFUNCTION("""COMPUTED_VALUE"""),"Owner")</f>
        <v>Owner</v>
      </c>
      <c r="U1071" s="2"/>
      <c r="V1071" s="2"/>
      <c r="W1071" s="2"/>
      <c r="X1071" s="2" t="str">
        <f>IFERROR(__xludf.DUMMYFUNCTION("""COMPUTED_VALUE"""),"Closed")</f>
        <v>Closed</v>
      </c>
    </row>
    <row r="1072">
      <c r="A1072" s="3" t="s">
        <v>1087</v>
      </c>
      <c r="B1072" s="4">
        <f>IFERROR(__xludf.DUMMYFUNCTION("SPLIT(A1072,"","",0,0)"),45543.57916666667)</f>
        <v>45543.57917</v>
      </c>
      <c r="C1072" s="5">
        <f>IFERROR(__xludf.DUMMYFUNCTION("""COMPUTED_VALUE"""),2649867.0)</f>
        <v>2649867</v>
      </c>
      <c r="D1072" s="2" t="str">
        <f>IFERROR(__xludf.DUMMYFUNCTION("""COMPUTED_VALUE"""),"Sale")</f>
        <v>Sale</v>
      </c>
      <c r="E1072" s="2" t="str">
        <f>IFERROR(__xludf.DUMMYFUNCTION("""COMPUTED_VALUE"""),"Roti")</f>
        <v>Roti</v>
      </c>
      <c r="F1072" s="2">
        <f>IFERROR(__xludf.DUMMYFUNCTION("""COMPUTED_VALUE"""),10007.0)</f>
        <v>10007</v>
      </c>
      <c r="G1072" s="2" t="str">
        <f>IFERROR(__xludf.DUMMYFUNCTION("""COMPUTED_VALUE"""),"Roti cranberry 2 pcs")</f>
        <v>Roti cranberry 2 pcs</v>
      </c>
      <c r="H1072" s="2"/>
      <c r="I1072" s="2"/>
      <c r="J1072" s="2">
        <f>IFERROR(__xludf.DUMMYFUNCTION("""COMPUTED_VALUE"""),1.0)</f>
        <v>1</v>
      </c>
      <c r="K1072" s="6">
        <f>IFERROR(__xludf.DUMMYFUNCTION("""COMPUTED_VALUE"""),33810.0)</f>
        <v>33810</v>
      </c>
      <c r="L1072" s="2">
        <f>IFERROR(__xludf.DUMMYFUNCTION("""COMPUTED_VALUE"""),0.0)</f>
        <v>0</v>
      </c>
      <c r="M1072" s="2">
        <f>IFERROR(__xludf.DUMMYFUNCTION("""COMPUTED_VALUE"""),33810.0)</f>
        <v>33810</v>
      </c>
      <c r="N1072" s="2">
        <f>IFERROR(__xludf.DUMMYFUNCTION("""COMPUTED_VALUE"""),0.0)</f>
        <v>0</v>
      </c>
      <c r="O1072" s="2">
        <f>IFERROR(__xludf.DUMMYFUNCTION("""COMPUTED_VALUE"""),33810.0)</f>
        <v>33810</v>
      </c>
      <c r="P1072" s="2">
        <f>IFERROR(__xludf.DUMMYFUNCTION("""COMPUTED_VALUE"""),1690.0)</f>
        <v>1690</v>
      </c>
      <c r="Q1072" s="2" t="str">
        <f>IFERROR(__xludf.DUMMYFUNCTION("""COMPUTED_VALUE"""),"Dine In")</f>
        <v>Dine In</v>
      </c>
      <c r="R1072" s="2" t="str">
        <f>IFERROR(__xludf.DUMMYFUNCTION("""COMPUTED_VALUE"""),"Kedai")</f>
        <v>Kedai</v>
      </c>
      <c r="S1072" s="2" t="str">
        <f>IFERROR(__xludf.DUMMYFUNCTION("""COMPUTED_VALUE"""),"Temu Roti")</f>
        <v>Temu Roti</v>
      </c>
      <c r="T1072" s="2" t="str">
        <f>IFERROR(__xludf.DUMMYFUNCTION("""COMPUTED_VALUE"""),"Owner")</f>
        <v>Owner</v>
      </c>
      <c r="U1072" s="2"/>
      <c r="V1072" s="2"/>
      <c r="W1072" s="2"/>
      <c r="X1072" s="2" t="str">
        <f>IFERROR(__xludf.DUMMYFUNCTION("""COMPUTED_VALUE"""),"Closed")</f>
        <v>Closed</v>
      </c>
    </row>
    <row r="1073">
      <c r="A1073" s="3" t="s">
        <v>1088</v>
      </c>
      <c r="B1073" s="4">
        <f>IFERROR(__xludf.DUMMYFUNCTION("SPLIT(A1073,"","",0,0)"),45543.56875)</f>
        <v>45543.56875</v>
      </c>
      <c r="C1073" s="5">
        <f>IFERROR(__xludf.DUMMYFUNCTION("""COMPUTED_VALUE"""),2649502.0)</f>
        <v>2649502</v>
      </c>
      <c r="D1073" s="2" t="str">
        <f>IFERROR(__xludf.DUMMYFUNCTION("""COMPUTED_VALUE"""),"Sale")</f>
        <v>Sale</v>
      </c>
      <c r="E1073" s="2" t="str">
        <f>IFERROR(__xludf.DUMMYFUNCTION("""COMPUTED_VALUE"""),"Minuman")</f>
        <v>Minuman</v>
      </c>
      <c r="F1073" s="2">
        <f>IFERROR(__xludf.DUMMYFUNCTION("""COMPUTED_VALUE"""),10107.0)</f>
        <v>10107</v>
      </c>
      <c r="G1073" s="2" t="str">
        <f>IFERROR(__xludf.DUMMYFUNCTION("""COMPUTED_VALUE"""),"Korean Mango Fresh Milk")</f>
        <v>Korean Mango Fresh Milk</v>
      </c>
      <c r="H1073" s="2"/>
      <c r="I1073" s="2"/>
      <c r="J1073" s="2">
        <f>IFERROR(__xludf.DUMMYFUNCTION("""COMPUTED_VALUE"""),1.0)</f>
        <v>1</v>
      </c>
      <c r="K1073" s="6">
        <f>IFERROR(__xludf.DUMMYFUNCTION("""COMPUTED_VALUE"""),26667.0)</f>
        <v>26667</v>
      </c>
      <c r="L1073" s="2">
        <f>IFERROR(__xludf.DUMMYFUNCTION("""COMPUTED_VALUE"""),0.0)</f>
        <v>0</v>
      </c>
      <c r="M1073" s="2">
        <f>IFERROR(__xludf.DUMMYFUNCTION("""COMPUTED_VALUE"""),26667.0)</f>
        <v>26667</v>
      </c>
      <c r="N1073" s="2">
        <f>IFERROR(__xludf.DUMMYFUNCTION("""COMPUTED_VALUE"""),0.0)</f>
        <v>0</v>
      </c>
      <c r="O1073" s="2">
        <f>IFERROR(__xludf.DUMMYFUNCTION("""COMPUTED_VALUE"""),26667.0)</f>
        <v>26667</v>
      </c>
      <c r="P1073" s="2">
        <f>IFERROR(__xludf.DUMMYFUNCTION("""COMPUTED_VALUE"""),1333.0)</f>
        <v>1333</v>
      </c>
      <c r="Q1073" s="2" t="str">
        <f>IFERROR(__xludf.DUMMYFUNCTION("""COMPUTED_VALUE"""),"Dine In")</f>
        <v>Dine In</v>
      </c>
      <c r="R1073" s="2" t="str">
        <f>IFERROR(__xludf.DUMMYFUNCTION("""COMPUTED_VALUE"""),"Kedai")</f>
        <v>Kedai</v>
      </c>
      <c r="S1073" s="2" t="str">
        <f>IFERROR(__xludf.DUMMYFUNCTION("""COMPUTED_VALUE"""),"Temu Roti")</f>
        <v>Temu Roti</v>
      </c>
      <c r="T1073" s="2" t="str">
        <f>IFERROR(__xludf.DUMMYFUNCTION("""COMPUTED_VALUE"""),"Owner")</f>
        <v>Owner</v>
      </c>
      <c r="U1073" s="2"/>
      <c r="V1073" s="2"/>
      <c r="W1073" s="2"/>
      <c r="X1073" s="2" t="str">
        <f>IFERROR(__xludf.DUMMYFUNCTION("""COMPUTED_VALUE"""),"Closed")</f>
        <v>Closed</v>
      </c>
    </row>
    <row r="1074">
      <c r="A1074" s="3" t="s">
        <v>1089</v>
      </c>
      <c r="B1074" s="4">
        <f>IFERROR(__xludf.DUMMYFUNCTION("SPLIT(A1074,"","",0,0)"),45543.563888888886)</f>
        <v>45543.56389</v>
      </c>
      <c r="C1074" s="5">
        <f>IFERROR(__xludf.DUMMYFUNCTION("""COMPUTED_VALUE"""),2649137.0)</f>
        <v>2649137</v>
      </c>
      <c r="D1074" s="2" t="str">
        <f>IFERROR(__xludf.DUMMYFUNCTION("""COMPUTED_VALUE"""),"Sale")</f>
        <v>Sale</v>
      </c>
      <c r="E1074" s="2" t="str">
        <f>IFERROR(__xludf.DUMMYFUNCTION("""COMPUTED_VALUE"""),"Minuman")</f>
        <v>Minuman</v>
      </c>
      <c r="F1074" s="2">
        <f>IFERROR(__xludf.DUMMYFUNCTION("""COMPUTED_VALUE"""),10119.0)</f>
        <v>10119</v>
      </c>
      <c r="G1074" s="2" t="str">
        <f>IFERROR(__xludf.DUMMYFUNCTION("""COMPUTED_VALUE"""),"Teh Tawar Dingin")</f>
        <v>Teh Tawar Dingin</v>
      </c>
      <c r="H1074" s="2"/>
      <c r="I1074" s="2"/>
      <c r="J1074" s="2">
        <f>IFERROR(__xludf.DUMMYFUNCTION("""COMPUTED_VALUE"""),2.0)</f>
        <v>2</v>
      </c>
      <c r="K1074" s="6">
        <f>IFERROR(__xludf.DUMMYFUNCTION("""COMPUTED_VALUE"""),14286.0)</f>
        <v>14286</v>
      </c>
      <c r="L1074" s="2">
        <f>IFERROR(__xludf.DUMMYFUNCTION("""COMPUTED_VALUE"""),0.0)</f>
        <v>0</v>
      </c>
      <c r="M1074" s="2">
        <f>IFERROR(__xludf.DUMMYFUNCTION("""COMPUTED_VALUE"""),14286.0)</f>
        <v>14286</v>
      </c>
      <c r="N1074" s="2">
        <f>IFERROR(__xludf.DUMMYFUNCTION("""COMPUTED_VALUE"""),0.0)</f>
        <v>0</v>
      </c>
      <c r="O1074" s="2">
        <f>IFERROR(__xludf.DUMMYFUNCTION("""COMPUTED_VALUE"""),14286.0)</f>
        <v>14286</v>
      </c>
      <c r="P1074" s="2">
        <f>IFERROR(__xludf.DUMMYFUNCTION("""COMPUTED_VALUE"""),714.0)</f>
        <v>714</v>
      </c>
      <c r="Q1074" s="2" t="str">
        <f>IFERROR(__xludf.DUMMYFUNCTION("""COMPUTED_VALUE"""),"Dine In")</f>
        <v>Dine In</v>
      </c>
      <c r="R1074" s="2" t="str">
        <f>IFERROR(__xludf.DUMMYFUNCTION("""COMPUTED_VALUE"""),"Kedai")</f>
        <v>Kedai</v>
      </c>
      <c r="S1074" s="2" t="str">
        <f>IFERROR(__xludf.DUMMYFUNCTION("""COMPUTED_VALUE"""),"Temu Roti")</f>
        <v>Temu Roti</v>
      </c>
      <c r="T1074" s="2" t="str">
        <f>IFERROR(__xludf.DUMMYFUNCTION("""COMPUTED_VALUE"""),"Owner")</f>
        <v>Owner</v>
      </c>
      <c r="U1074" s="2"/>
      <c r="V1074" s="2"/>
      <c r="W1074" s="2"/>
      <c r="X1074" s="2" t="str">
        <f>IFERROR(__xludf.DUMMYFUNCTION("""COMPUTED_VALUE"""),"Closed")</f>
        <v>Closed</v>
      </c>
    </row>
    <row r="1075">
      <c r="A1075" s="3" t="s">
        <v>1090</v>
      </c>
      <c r="B1075" s="4">
        <f>IFERROR(__xludf.DUMMYFUNCTION("SPLIT(A1075,"","",0,0)"),45543.563888888886)</f>
        <v>45543.56389</v>
      </c>
      <c r="C1075" s="5">
        <f>IFERROR(__xludf.DUMMYFUNCTION("""COMPUTED_VALUE"""),2649137.0)</f>
        <v>2649137</v>
      </c>
      <c r="D1075" s="2" t="str">
        <f>IFERROR(__xludf.DUMMYFUNCTION("""COMPUTED_VALUE"""),"Sale")</f>
        <v>Sale</v>
      </c>
      <c r="E1075" s="2" t="str">
        <f>IFERROR(__xludf.DUMMYFUNCTION("""COMPUTED_VALUE"""),"Minuman")</f>
        <v>Minuman</v>
      </c>
      <c r="F1075" s="2">
        <f>IFERROR(__xludf.DUMMYFUNCTION("""COMPUTED_VALUE"""),10117.0)</f>
        <v>10117</v>
      </c>
      <c r="G1075" s="2" t="str">
        <f>IFERROR(__xludf.DUMMYFUNCTION("""COMPUTED_VALUE"""),"Teh Manis Dingin")</f>
        <v>Teh Manis Dingin</v>
      </c>
      <c r="H1075" s="2"/>
      <c r="I1075" s="2"/>
      <c r="J1075" s="2">
        <f>IFERROR(__xludf.DUMMYFUNCTION("""COMPUTED_VALUE"""),1.0)</f>
        <v>1</v>
      </c>
      <c r="K1075" s="6">
        <f>IFERROR(__xludf.DUMMYFUNCTION("""COMPUTED_VALUE"""),14286.0)</f>
        <v>14286</v>
      </c>
      <c r="L1075" s="2">
        <f>IFERROR(__xludf.DUMMYFUNCTION("""COMPUTED_VALUE"""),0.0)</f>
        <v>0</v>
      </c>
      <c r="M1075" s="2">
        <f>IFERROR(__xludf.DUMMYFUNCTION("""COMPUTED_VALUE"""),14286.0)</f>
        <v>14286</v>
      </c>
      <c r="N1075" s="2">
        <f>IFERROR(__xludf.DUMMYFUNCTION("""COMPUTED_VALUE"""),0.0)</f>
        <v>0</v>
      </c>
      <c r="O1075" s="2">
        <f>IFERROR(__xludf.DUMMYFUNCTION("""COMPUTED_VALUE"""),14286.0)</f>
        <v>14286</v>
      </c>
      <c r="P1075" s="2">
        <f>IFERROR(__xludf.DUMMYFUNCTION("""COMPUTED_VALUE"""),715.0)</f>
        <v>715</v>
      </c>
      <c r="Q1075" s="2" t="str">
        <f>IFERROR(__xludf.DUMMYFUNCTION("""COMPUTED_VALUE"""),"Dine In")</f>
        <v>Dine In</v>
      </c>
      <c r="R1075" s="2" t="str">
        <f>IFERROR(__xludf.DUMMYFUNCTION("""COMPUTED_VALUE"""),"Kedai")</f>
        <v>Kedai</v>
      </c>
      <c r="S1075" s="2" t="str">
        <f>IFERROR(__xludf.DUMMYFUNCTION("""COMPUTED_VALUE"""),"Temu Roti")</f>
        <v>Temu Roti</v>
      </c>
      <c r="T1075" s="2" t="str">
        <f>IFERROR(__xludf.DUMMYFUNCTION("""COMPUTED_VALUE"""),"Owner")</f>
        <v>Owner</v>
      </c>
      <c r="U1075" s="2"/>
      <c r="V1075" s="2"/>
      <c r="W1075" s="2"/>
      <c r="X1075" s="2" t="str">
        <f>IFERROR(__xludf.DUMMYFUNCTION("""COMPUTED_VALUE"""),"Closed")</f>
        <v>Closed</v>
      </c>
    </row>
    <row r="1076">
      <c r="A1076" s="3" t="s">
        <v>1091</v>
      </c>
      <c r="B1076" s="4">
        <f>IFERROR(__xludf.DUMMYFUNCTION("SPLIT(A1076,"","",0,0)"),45543.563888888886)</f>
        <v>45543.56389</v>
      </c>
      <c r="C1076" s="5">
        <f>IFERROR(__xludf.DUMMYFUNCTION("""COMPUTED_VALUE"""),2649137.0)</f>
        <v>2649137</v>
      </c>
      <c r="D1076" s="2" t="str">
        <f>IFERROR(__xludf.DUMMYFUNCTION("""COMPUTED_VALUE"""),"Sale")</f>
        <v>Sale</v>
      </c>
      <c r="E1076" s="2" t="str">
        <f>IFERROR(__xludf.DUMMYFUNCTION("""COMPUTED_VALUE"""),"Minuman")</f>
        <v>Minuman</v>
      </c>
      <c r="F1076" s="2">
        <f>IFERROR(__xludf.DUMMYFUNCTION("""COMPUTED_VALUE"""),10112.0)</f>
        <v>10112</v>
      </c>
      <c r="G1076" s="2" t="str">
        <f>IFERROR(__xludf.DUMMYFUNCTION("""COMPUTED_VALUE"""),"Air mineral")</f>
        <v>Air mineral</v>
      </c>
      <c r="H1076" s="2"/>
      <c r="I1076" s="2"/>
      <c r="J1076" s="2">
        <f>IFERROR(__xludf.DUMMYFUNCTION("""COMPUTED_VALUE"""),1.0)</f>
        <v>1</v>
      </c>
      <c r="K1076" s="6">
        <f>IFERROR(__xludf.DUMMYFUNCTION("""COMPUTED_VALUE"""),6667.0)</f>
        <v>6667</v>
      </c>
      <c r="L1076" s="2">
        <f>IFERROR(__xludf.DUMMYFUNCTION("""COMPUTED_VALUE"""),0.0)</f>
        <v>0</v>
      </c>
      <c r="M1076" s="2">
        <f>IFERROR(__xludf.DUMMYFUNCTION("""COMPUTED_VALUE"""),6667.0)</f>
        <v>6667</v>
      </c>
      <c r="N1076" s="2">
        <f>IFERROR(__xludf.DUMMYFUNCTION("""COMPUTED_VALUE"""),0.0)</f>
        <v>0</v>
      </c>
      <c r="O1076" s="2">
        <f>IFERROR(__xludf.DUMMYFUNCTION("""COMPUTED_VALUE"""),6667.0)</f>
        <v>6667</v>
      </c>
      <c r="P1076" s="2">
        <f>IFERROR(__xludf.DUMMYFUNCTION("""COMPUTED_VALUE"""),333.0)</f>
        <v>333</v>
      </c>
      <c r="Q1076" s="2" t="str">
        <f>IFERROR(__xludf.DUMMYFUNCTION("""COMPUTED_VALUE"""),"Dine In")</f>
        <v>Dine In</v>
      </c>
      <c r="R1076" s="2" t="str">
        <f>IFERROR(__xludf.DUMMYFUNCTION("""COMPUTED_VALUE"""),"Kedai")</f>
        <v>Kedai</v>
      </c>
      <c r="S1076" s="2" t="str">
        <f>IFERROR(__xludf.DUMMYFUNCTION("""COMPUTED_VALUE"""),"Temu Roti")</f>
        <v>Temu Roti</v>
      </c>
      <c r="T1076" s="2" t="str">
        <f>IFERROR(__xludf.DUMMYFUNCTION("""COMPUTED_VALUE"""),"Owner")</f>
        <v>Owner</v>
      </c>
      <c r="U1076" s="2"/>
      <c r="V1076" s="2"/>
      <c r="W1076" s="2"/>
      <c r="X1076" s="2" t="str">
        <f>IFERROR(__xludf.DUMMYFUNCTION("""COMPUTED_VALUE"""),"Closed")</f>
        <v>Closed</v>
      </c>
    </row>
    <row r="1077">
      <c r="A1077" s="3" t="s">
        <v>1092</v>
      </c>
      <c r="B1077" s="4">
        <f>IFERROR(__xludf.DUMMYFUNCTION("SPLIT(A1077,"","",0,0)"),45543.555555555555)</f>
        <v>45543.55556</v>
      </c>
      <c r="C1077" s="5">
        <f>IFERROR(__xludf.DUMMYFUNCTION("""COMPUTED_VALUE"""),2648771.0)</f>
        <v>2648771</v>
      </c>
      <c r="D1077" s="2" t="str">
        <f>IFERROR(__xludf.DUMMYFUNCTION("""COMPUTED_VALUE"""),"Sale")</f>
        <v>Sale</v>
      </c>
      <c r="E1077" s="2" t="str">
        <f>IFERROR(__xludf.DUMMYFUNCTION("""COMPUTED_VALUE"""),"Roti")</f>
        <v>Roti</v>
      </c>
      <c r="F1077" s="2">
        <f>IFERROR(__xludf.DUMMYFUNCTION("""COMPUTED_VALUE"""),10007.0)</f>
        <v>10007</v>
      </c>
      <c r="G1077" s="2" t="str">
        <f>IFERROR(__xludf.DUMMYFUNCTION("""COMPUTED_VALUE"""),"Roti cranberry 2 pcs")</f>
        <v>Roti cranberry 2 pcs</v>
      </c>
      <c r="H1077" s="2"/>
      <c r="I1077" s="2"/>
      <c r="J1077" s="2">
        <f>IFERROR(__xludf.DUMMYFUNCTION("""COMPUTED_VALUE"""),1.0)</f>
        <v>1</v>
      </c>
      <c r="K1077" s="6">
        <f>IFERROR(__xludf.DUMMYFUNCTION("""COMPUTED_VALUE"""),33810.0)</f>
        <v>33810</v>
      </c>
      <c r="L1077" s="2">
        <f>IFERROR(__xludf.DUMMYFUNCTION("""COMPUTED_VALUE"""),0.0)</f>
        <v>0</v>
      </c>
      <c r="M1077" s="2">
        <f>IFERROR(__xludf.DUMMYFUNCTION("""COMPUTED_VALUE"""),33810.0)</f>
        <v>33810</v>
      </c>
      <c r="N1077" s="2">
        <f>IFERROR(__xludf.DUMMYFUNCTION("""COMPUTED_VALUE"""),0.0)</f>
        <v>0</v>
      </c>
      <c r="O1077" s="2">
        <f>IFERROR(__xludf.DUMMYFUNCTION("""COMPUTED_VALUE"""),33810.0)</f>
        <v>33810</v>
      </c>
      <c r="P1077" s="2">
        <f>IFERROR(__xludf.DUMMYFUNCTION("""COMPUTED_VALUE"""),1691.0)</f>
        <v>1691</v>
      </c>
      <c r="Q1077" s="2" t="str">
        <f>IFERROR(__xludf.DUMMYFUNCTION("""COMPUTED_VALUE"""),"Dine In")</f>
        <v>Dine In</v>
      </c>
      <c r="R1077" s="2" t="str">
        <f>IFERROR(__xludf.DUMMYFUNCTION("""COMPUTED_VALUE"""),"Kedai")</f>
        <v>Kedai</v>
      </c>
      <c r="S1077" s="2" t="str">
        <f>IFERROR(__xludf.DUMMYFUNCTION("""COMPUTED_VALUE"""),"Temu Roti")</f>
        <v>Temu Roti</v>
      </c>
      <c r="T1077" s="2" t="str">
        <f>IFERROR(__xludf.DUMMYFUNCTION("""COMPUTED_VALUE"""),"Owner")</f>
        <v>Owner</v>
      </c>
      <c r="U1077" s="2"/>
      <c r="V1077" s="2"/>
      <c r="W1077" s="2"/>
      <c r="X1077" s="2" t="str">
        <f>IFERROR(__xludf.DUMMYFUNCTION("""COMPUTED_VALUE"""),"Closed")</f>
        <v>Closed</v>
      </c>
    </row>
    <row r="1078">
      <c r="A1078" s="3" t="s">
        <v>1093</v>
      </c>
      <c r="B1078" s="4">
        <f>IFERROR(__xludf.DUMMYFUNCTION("SPLIT(A1078,"","",0,0)"),45543.555555555555)</f>
        <v>45543.55556</v>
      </c>
      <c r="C1078" s="5">
        <f>IFERROR(__xludf.DUMMYFUNCTION("""COMPUTED_VALUE"""),2648771.0)</f>
        <v>2648771</v>
      </c>
      <c r="D1078" s="2" t="str">
        <f>IFERROR(__xludf.DUMMYFUNCTION("""COMPUTED_VALUE"""),"Sale")</f>
        <v>Sale</v>
      </c>
      <c r="E1078" s="2" t="str">
        <f>IFERROR(__xludf.DUMMYFUNCTION("""COMPUTED_VALUE"""),"Roti")</f>
        <v>Roti</v>
      </c>
      <c r="F1078" s="2">
        <f>IFERROR(__xludf.DUMMYFUNCTION("""COMPUTED_VALUE"""),10055.0)</f>
        <v>10055</v>
      </c>
      <c r="G1078" s="2" t="str">
        <f>IFERROR(__xludf.DUMMYFUNCTION("""COMPUTED_VALUE"""),"Roti Gandum Cokelat 2 pcs")</f>
        <v>Roti Gandum Cokelat 2 pcs</v>
      </c>
      <c r="H1078" s="2"/>
      <c r="I1078" s="2"/>
      <c r="J1078" s="2">
        <f>IFERROR(__xludf.DUMMYFUNCTION("""COMPUTED_VALUE"""),1.0)</f>
        <v>1</v>
      </c>
      <c r="K1078" s="6">
        <f>IFERROR(__xludf.DUMMYFUNCTION("""COMPUTED_VALUE"""),34762.0)</f>
        <v>34762</v>
      </c>
      <c r="L1078" s="2">
        <f>IFERROR(__xludf.DUMMYFUNCTION("""COMPUTED_VALUE"""),0.0)</f>
        <v>0</v>
      </c>
      <c r="M1078" s="2">
        <f>IFERROR(__xludf.DUMMYFUNCTION("""COMPUTED_VALUE"""),34762.0)</f>
        <v>34762</v>
      </c>
      <c r="N1078" s="2">
        <f>IFERROR(__xludf.DUMMYFUNCTION("""COMPUTED_VALUE"""),0.0)</f>
        <v>0</v>
      </c>
      <c r="O1078" s="2">
        <f>IFERROR(__xludf.DUMMYFUNCTION("""COMPUTED_VALUE"""),34762.0)</f>
        <v>34762</v>
      </c>
      <c r="P1078" s="2">
        <f>IFERROR(__xludf.DUMMYFUNCTION("""COMPUTED_VALUE"""),1738.0)</f>
        <v>1738</v>
      </c>
      <c r="Q1078" s="2" t="str">
        <f>IFERROR(__xludf.DUMMYFUNCTION("""COMPUTED_VALUE"""),"Dine In")</f>
        <v>Dine In</v>
      </c>
      <c r="R1078" s="2" t="str">
        <f>IFERROR(__xludf.DUMMYFUNCTION("""COMPUTED_VALUE"""),"Kedai")</f>
        <v>Kedai</v>
      </c>
      <c r="S1078" s="2" t="str">
        <f>IFERROR(__xludf.DUMMYFUNCTION("""COMPUTED_VALUE"""),"Temu Roti")</f>
        <v>Temu Roti</v>
      </c>
      <c r="T1078" s="2" t="str">
        <f>IFERROR(__xludf.DUMMYFUNCTION("""COMPUTED_VALUE"""),"Owner")</f>
        <v>Owner</v>
      </c>
      <c r="U1078" s="2"/>
      <c r="V1078" s="2"/>
      <c r="W1078" s="2"/>
      <c r="X1078" s="2" t="str">
        <f>IFERROR(__xludf.DUMMYFUNCTION("""COMPUTED_VALUE"""),"Closed")</f>
        <v>Closed</v>
      </c>
    </row>
    <row r="1079">
      <c r="A1079" s="3" t="s">
        <v>1094</v>
      </c>
      <c r="B1079" s="4">
        <f>IFERROR(__xludf.DUMMYFUNCTION("SPLIT(A1079,"","",0,0)"),45543.555555555555)</f>
        <v>45543.55556</v>
      </c>
      <c r="C1079" s="5">
        <f>IFERROR(__xludf.DUMMYFUNCTION("""COMPUTED_VALUE"""),2648771.0)</f>
        <v>2648771</v>
      </c>
      <c r="D1079" s="2" t="str">
        <f>IFERROR(__xludf.DUMMYFUNCTION("""COMPUTED_VALUE"""),"Sale")</f>
        <v>Sale</v>
      </c>
      <c r="E1079" s="2" t="str">
        <f>IFERROR(__xludf.DUMMYFUNCTION("""COMPUTED_VALUE"""),"Roti")</f>
        <v>Roti</v>
      </c>
      <c r="F1079" s="2">
        <f>IFERROR(__xludf.DUMMYFUNCTION("""COMPUTED_VALUE"""),10005.0)</f>
        <v>10005</v>
      </c>
      <c r="G1079" s="2" t="str">
        <f>IFERROR(__xludf.DUMMYFUNCTION("""COMPUTED_VALUE"""),"Roti Gandum Cokelat")</f>
        <v>Roti Gandum Cokelat</v>
      </c>
      <c r="H1079" s="2"/>
      <c r="I1079" s="2"/>
      <c r="J1079" s="2">
        <f>IFERROR(__xludf.DUMMYFUNCTION("""COMPUTED_VALUE"""),1.0)</f>
        <v>1</v>
      </c>
      <c r="K1079" s="6">
        <f>IFERROR(__xludf.DUMMYFUNCTION("""COMPUTED_VALUE"""),19524.0)</f>
        <v>19524</v>
      </c>
      <c r="L1079" s="2">
        <f>IFERROR(__xludf.DUMMYFUNCTION("""COMPUTED_VALUE"""),0.0)</f>
        <v>0</v>
      </c>
      <c r="M1079" s="2">
        <f>IFERROR(__xludf.DUMMYFUNCTION("""COMPUTED_VALUE"""),19524.0)</f>
        <v>19524</v>
      </c>
      <c r="N1079" s="2">
        <f>IFERROR(__xludf.DUMMYFUNCTION("""COMPUTED_VALUE"""),0.0)</f>
        <v>0</v>
      </c>
      <c r="O1079" s="2">
        <f>IFERROR(__xludf.DUMMYFUNCTION("""COMPUTED_VALUE"""),19524.0)</f>
        <v>19524</v>
      </c>
      <c r="P1079" s="2">
        <f>IFERROR(__xludf.DUMMYFUNCTION("""COMPUTED_VALUE"""),976.0)</f>
        <v>976</v>
      </c>
      <c r="Q1079" s="2" t="str">
        <f>IFERROR(__xludf.DUMMYFUNCTION("""COMPUTED_VALUE"""),"Dine In")</f>
        <v>Dine In</v>
      </c>
      <c r="R1079" s="2" t="str">
        <f>IFERROR(__xludf.DUMMYFUNCTION("""COMPUTED_VALUE"""),"Kedai")</f>
        <v>Kedai</v>
      </c>
      <c r="S1079" s="2" t="str">
        <f>IFERROR(__xludf.DUMMYFUNCTION("""COMPUTED_VALUE"""),"Temu Roti")</f>
        <v>Temu Roti</v>
      </c>
      <c r="T1079" s="2" t="str">
        <f>IFERROR(__xludf.DUMMYFUNCTION("""COMPUTED_VALUE"""),"Owner")</f>
        <v>Owner</v>
      </c>
      <c r="U1079" s="2"/>
      <c r="V1079" s="2"/>
      <c r="W1079" s="2"/>
      <c r="X1079" s="2" t="str">
        <f>IFERROR(__xludf.DUMMYFUNCTION("""COMPUTED_VALUE"""),"Closed")</f>
        <v>Closed</v>
      </c>
    </row>
    <row r="1080">
      <c r="A1080" s="3" t="s">
        <v>1095</v>
      </c>
      <c r="B1080" s="4">
        <f>IFERROR(__xludf.DUMMYFUNCTION("SPLIT(A1080,"","",0,0)"),45543.55416666667)</f>
        <v>45543.55417</v>
      </c>
      <c r="C1080" s="5">
        <f>IFERROR(__xludf.DUMMYFUNCTION("""COMPUTED_VALUE"""),2648406.0)</f>
        <v>2648406</v>
      </c>
      <c r="D1080" s="2" t="str">
        <f>IFERROR(__xludf.DUMMYFUNCTION("""COMPUTED_VALUE"""),"Sale")</f>
        <v>Sale</v>
      </c>
      <c r="E1080" s="2" t="str">
        <f>IFERROR(__xludf.DUMMYFUNCTION("""COMPUTED_VALUE"""),"Roti")</f>
        <v>Roti</v>
      </c>
      <c r="F1080" s="2">
        <f>IFERROR(__xludf.DUMMYFUNCTION("""COMPUTED_VALUE"""),10055.0)</f>
        <v>10055</v>
      </c>
      <c r="G1080" s="2" t="str">
        <f>IFERROR(__xludf.DUMMYFUNCTION("""COMPUTED_VALUE"""),"Roti Gandum Cokelat 2 pcs")</f>
        <v>Roti Gandum Cokelat 2 pcs</v>
      </c>
      <c r="H1080" s="2"/>
      <c r="I1080" s="2"/>
      <c r="J1080" s="2">
        <f>IFERROR(__xludf.DUMMYFUNCTION("""COMPUTED_VALUE"""),1.0)</f>
        <v>1</v>
      </c>
      <c r="K1080" s="6">
        <f>IFERROR(__xludf.DUMMYFUNCTION("""COMPUTED_VALUE"""),34762.0)</f>
        <v>34762</v>
      </c>
      <c r="L1080" s="2">
        <f>IFERROR(__xludf.DUMMYFUNCTION("""COMPUTED_VALUE"""),0.0)</f>
        <v>0</v>
      </c>
      <c r="M1080" s="2">
        <f>IFERROR(__xludf.DUMMYFUNCTION("""COMPUTED_VALUE"""),34762.0)</f>
        <v>34762</v>
      </c>
      <c r="N1080" s="2">
        <f>IFERROR(__xludf.DUMMYFUNCTION("""COMPUTED_VALUE"""),0.0)</f>
        <v>0</v>
      </c>
      <c r="O1080" s="2">
        <f>IFERROR(__xludf.DUMMYFUNCTION("""COMPUTED_VALUE"""),34762.0)</f>
        <v>34762</v>
      </c>
      <c r="P1080" s="2">
        <f>IFERROR(__xludf.DUMMYFUNCTION("""COMPUTED_VALUE"""),1738.0)</f>
        <v>1738</v>
      </c>
      <c r="Q1080" s="2" t="str">
        <f>IFERROR(__xludf.DUMMYFUNCTION("""COMPUTED_VALUE"""),"Dine In")</f>
        <v>Dine In</v>
      </c>
      <c r="R1080" s="2" t="str">
        <f>IFERROR(__xludf.DUMMYFUNCTION("""COMPUTED_VALUE"""),"Kedai")</f>
        <v>Kedai</v>
      </c>
      <c r="S1080" s="2" t="str">
        <f>IFERROR(__xludf.DUMMYFUNCTION("""COMPUTED_VALUE"""),"Temu Roti")</f>
        <v>Temu Roti</v>
      </c>
      <c r="T1080" s="2" t="str">
        <f>IFERROR(__xludf.DUMMYFUNCTION("""COMPUTED_VALUE"""),"Owner")</f>
        <v>Owner</v>
      </c>
      <c r="U1080" s="2"/>
      <c r="V1080" s="2"/>
      <c r="W1080" s="2"/>
      <c r="X1080" s="2" t="str">
        <f>IFERROR(__xludf.DUMMYFUNCTION("""COMPUTED_VALUE"""),"Closed")</f>
        <v>Closed</v>
      </c>
    </row>
    <row r="1081">
      <c r="A1081" s="3" t="s">
        <v>1096</v>
      </c>
      <c r="B1081" s="4">
        <f>IFERROR(__xludf.DUMMYFUNCTION("SPLIT(A1081,"","",0,0)"),45543.55416666667)</f>
        <v>45543.55417</v>
      </c>
      <c r="C1081" s="5">
        <f>IFERROR(__xludf.DUMMYFUNCTION("""COMPUTED_VALUE"""),2648406.0)</f>
        <v>2648406</v>
      </c>
      <c r="D1081" s="2" t="str">
        <f>IFERROR(__xludf.DUMMYFUNCTION("""COMPUTED_VALUE"""),"Sale")</f>
        <v>Sale</v>
      </c>
      <c r="E1081" s="2" t="str">
        <f>IFERROR(__xludf.DUMMYFUNCTION("""COMPUTED_VALUE"""),"Roti")</f>
        <v>Roti</v>
      </c>
      <c r="F1081" s="2">
        <f>IFERROR(__xludf.DUMMYFUNCTION("""COMPUTED_VALUE"""),10007.0)</f>
        <v>10007</v>
      </c>
      <c r="G1081" s="2" t="str">
        <f>IFERROR(__xludf.DUMMYFUNCTION("""COMPUTED_VALUE"""),"Roti cranberry 2 pcs")</f>
        <v>Roti cranberry 2 pcs</v>
      </c>
      <c r="H1081" s="2"/>
      <c r="I1081" s="2"/>
      <c r="J1081" s="2">
        <f>IFERROR(__xludf.DUMMYFUNCTION("""COMPUTED_VALUE"""),1.0)</f>
        <v>1</v>
      </c>
      <c r="K1081" s="6">
        <f>IFERROR(__xludf.DUMMYFUNCTION("""COMPUTED_VALUE"""),33810.0)</f>
        <v>33810</v>
      </c>
      <c r="L1081" s="2">
        <f>IFERROR(__xludf.DUMMYFUNCTION("""COMPUTED_VALUE"""),0.0)</f>
        <v>0</v>
      </c>
      <c r="M1081" s="2">
        <f>IFERROR(__xludf.DUMMYFUNCTION("""COMPUTED_VALUE"""),33810.0)</f>
        <v>33810</v>
      </c>
      <c r="N1081" s="2">
        <f>IFERROR(__xludf.DUMMYFUNCTION("""COMPUTED_VALUE"""),0.0)</f>
        <v>0</v>
      </c>
      <c r="O1081" s="2">
        <f>IFERROR(__xludf.DUMMYFUNCTION("""COMPUTED_VALUE"""),33810.0)</f>
        <v>33810</v>
      </c>
      <c r="P1081" s="2">
        <f>IFERROR(__xludf.DUMMYFUNCTION("""COMPUTED_VALUE"""),1691.0)</f>
        <v>1691</v>
      </c>
      <c r="Q1081" s="2" t="str">
        <f>IFERROR(__xludf.DUMMYFUNCTION("""COMPUTED_VALUE"""),"Dine In")</f>
        <v>Dine In</v>
      </c>
      <c r="R1081" s="2" t="str">
        <f>IFERROR(__xludf.DUMMYFUNCTION("""COMPUTED_VALUE"""),"Kedai")</f>
        <v>Kedai</v>
      </c>
      <c r="S1081" s="2" t="str">
        <f>IFERROR(__xludf.DUMMYFUNCTION("""COMPUTED_VALUE"""),"Temu Roti")</f>
        <v>Temu Roti</v>
      </c>
      <c r="T1081" s="2" t="str">
        <f>IFERROR(__xludf.DUMMYFUNCTION("""COMPUTED_VALUE"""),"Owner")</f>
        <v>Owner</v>
      </c>
      <c r="U1081" s="2"/>
      <c r="V1081" s="2"/>
      <c r="W1081" s="2"/>
      <c r="X1081" s="2" t="str">
        <f>IFERROR(__xludf.DUMMYFUNCTION("""COMPUTED_VALUE"""),"Closed")</f>
        <v>Closed</v>
      </c>
    </row>
    <row r="1082">
      <c r="A1082" s="3" t="s">
        <v>1097</v>
      </c>
      <c r="B1082" s="4">
        <f>IFERROR(__xludf.DUMMYFUNCTION("SPLIT(A1082,"","",0,0)"),45543.55416666667)</f>
        <v>45543.55417</v>
      </c>
      <c r="C1082" s="5">
        <f>IFERROR(__xludf.DUMMYFUNCTION("""COMPUTED_VALUE"""),2648406.0)</f>
        <v>2648406</v>
      </c>
      <c r="D1082" s="2" t="str">
        <f>IFERROR(__xludf.DUMMYFUNCTION("""COMPUTED_VALUE"""),"Sale")</f>
        <v>Sale</v>
      </c>
      <c r="E1082" s="2" t="str">
        <f>IFERROR(__xludf.DUMMYFUNCTION("""COMPUTED_VALUE"""),"Roti")</f>
        <v>Roti</v>
      </c>
      <c r="F1082" s="2">
        <f>IFERROR(__xludf.DUMMYFUNCTION("""COMPUTED_VALUE"""),10000.0)</f>
        <v>10000</v>
      </c>
      <c r="G1082" s="2" t="str">
        <f>IFERROR(__xludf.DUMMYFUNCTION("""COMPUTED_VALUE"""),"Roti Bawang Saus Keju")</f>
        <v>Roti Bawang Saus Keju</v>
      </c>
      <c r="H1082" s="2"/>
      <c r="I1082" s="2"/>
      <c r="J1082" s="2">
        <f>IFERROR(__xludf.DUMMYFUNCTION("""COMPUTED_VALUE"""),1.0)</f>
        <v>1</v>
      </c>
      <c r="K1082" s="6">
        <f>IFERROR(__xludf.DUMMYFUNCTION("""COMPUTED_VALUE"""),29524.0)</f>
        <v>29524</v>
      </c>
      <c r="L1082" s="2">
        <f>IFERROR(__xludf.DUMMYFUNCTION("""COMPUTED_VALUE"""),0.0)</f>
        <v>0</v>
      </c>
      <c r="M1082" s="2">
        <f>IFERROR(__xludf.DUMMYFUNCTION("""COMPUTED_VALUE"""),29524.0)</f>
        <v>29524</v>
      </c>
      <c r="N1082" s="2">
        <f>IFERROR(__xludf.DUMMYFUNCTION("""COMPUTED_VALUE"""),0.0)</f>
        <v>0</v>
      </c>
      <c r="O1082" s="2">
        <f>IFERROR(__xludf.DUMMYFUNCTION("""COMPUTED_VALUE"""),29524.0)</f>
        <v>29524</v>
      </c>
      <c r="P1082" s="2">
        <f>IFERROR(__xludf.DUMMYFUNCTION("""COMPUTED_VALUE"""),1476.0)</f>
        <v>1476</v>
      </c>
      <c r="Q1082" s="2" t="str">
        <f>IFERROR(__xludf.DUMMYFUNCTION("""COMPUTED_VALUE"""),"Dine In")</f>
        <v>Dine In</v>
      </c>
      <c r="R1082" s="2" t="str">
        <f>IFERROR(__xludf.DUMMYFUNCTION("""COMPUTED_VALUE"""),"Kedai")</f>
        <v>Kedai</v>
      </c>
      <c r="S1082" s="2" t="str">
        <f>IFERROR(__xludf.DUMMYFUNCTION("""COMPUTED_VALUE"""),"Temu Roti")</f>
        <v>Temu Roti</v>
      </c>
      <c r="T1082" s="2" t="str">
        <f>IFERROR(__xludf.DUMMYFUNCTION("""COMPUTED_VALUE"""),"Owner")</f>
        <v>Owner</v>
      </c>
      <c r="U1082" s="2"/>
      <c r="V1082" s="2"/>
      <c r="W1082" s="2"/>
      <c r="X1082" s="2" t="str">
        <f>IFERROR(__xludf.DUMMYFUNCTION("""COMPUTED_VALUE"""),"Closed")</f>
        <v>Closed</v>
      </c>
    </row>
    <row r="1083">
      <c r="A1083" s="3" t="s">
        <v>1095</v>
      </c>
      <c r="B1083" s="4">
        <f>IFERROR(__xludf.DUMMYFUNCTION("SPLIT(A1083,"","",0,0)"),45543.55416666667)</f>
        <v>45543.55417</v>
      </c>
      <c r="C1083" s="5">
        <f>IFERROR(__xludf.DUMMYFUNCTION("""COMPUTED_VALUE"""),2648406.0)</f>
        <v>2648406</v>
      </c>
      <c r="D1083" s="2" t="str">
        <f>IFERROR(__xludf.DUMMYFUNCTION("""COMPUTED_VALUE"""),"Sale")</f>
        <v>Sale</v>
      </c>
      <c r="E1083" s="2" t="str">
        <f>IFERROR(__xludf.DUMMYFUNCTION("""COMPUTED_VALUE"""),"Roti")</f>
        <v>Roti</v>
      </c>
      <c r="F1083" s="2">
        <f>IFERROR(__xludf.DUMMYFUNCTION("""COMPUTED_VALUE"""),10055.0)</f>
        <v>10055</v>
      </c>
      <c r="G1083" s="2" t="str">
        <f>IFERROR(__xludf.DUMMYFUNCTION("""COMPUTED_VALUE"""),"Roti Gandum Cokelat 2 pcs")</f>
        <v>Roti Gandum Cokelat 2 pcs</v>
      </c>
      <c r="H1083" s="2"/>
      <c r="I1083" s="2"/>
      <c r="J1083" s="2">
        <f>IFERROR(__xludf.DUMMYFUNCTION("""COMPUTED_VALUE"""),1.0)</f>
        <v>1</v>
      </c>
      <c r="K1083" s="6">
        <f>IFERROR(__xludf.DUMMYFUNCTION("""COMPUTED_VALUE"""),34762.0)</f>
        <v>34762</v>
      </c>
      <c r="L1083" s="2">
        <f>IFERROR(__xludf.DUMMYFUNCTION("""COMPUTED_VALUE"""),0.0)</f>
        <v>0</v>
      </c>
      <c r="M1083" s="2">
        <f>IFERROR(__xludf.DUMMYFUNCTION("""COMPUTED_VALUE"""),34762.0)</f>
        <v>34762</v>
      </c>
      <c r="N1083" s="2">
        <f>IFERROR(__xludf.DUMMYFUNCTION("""COMPUTED_VALUE"""),0.0)</f>
        <v>0</v>
      </c>
      <c r="O1083" s="2">
        <f>IFERROR(__xludf.DUMMYFUNCTION("""COMPUTED_VALUE"""),34762.0)</f>
        <v>34762</v>
      </c>
      <c r="P1083" s="2">
        <f>IFERROR(__xludf.DUMMYFUNCTION("""COMPUTED_VALUE"""),1738.0)</f>
        <v>1738</v>
      </c>
      <c r="Q1083" s="2" t="str">
        <f>IFERROR(__xludf.DUMMYFUNCTION("""COMPUTED_VALUE"""),"Dine In")</f>
        <v>Dine In</v>
      </c>
      <c r="R1083" s="2" t="str">
        <f>IFERROR(__xludf.DUMMYFUNCTION("""COMPUTED_VALUE"""),"Kedai")</f>
        <v>Kedai</v>
      </c>
      <c r="S1083" s="2" t="str">
        <f>IFERROR(__xludf.DUMMYFUNCTION("""COMPUTED_VALUE"""),"Temu Roti")</f>
        <v>Temu Roti</v>
      </c>
      <c r="T1083" s="2" t="str">
        <f>IFERROR(__xludf.DUMMYFUNCTION("""COMPUTED_VALUE"""),"Owner")</f>
        <v>Owner</v>
      </c>
      <c r="U1083" s="2"/>
      <c r="V1083" s="2"/>
      <c r="W1083" s="2"/>
      <c r="X1083" s="2" t="str">
        <f>IFERROR(__xludf.DUMMYFUNCTION("""COMPUTED_VALUE"""),"Closed")</f>
        <v>Closed</v>
      </c>
    </row>
    <row r="1084">
      <c r="A1084" s="3" t="s">
        <v>1098</v>
      </c>
      <c r="B1084" s="4">
        <f>IFERROR(__xludf.DUMMYFUNCTION("SPLIT(A1084,"","",0,0)"),45543.51666666667)</f>
        <v>45543.51667</v>
      </c>
      <c r="C1084" s="5">
        <f>IFERROR(__xludf.DUMMYFUNCTION("""COMPUTED_VALUE"""),2648041.0)</f>
        <v>2648041</v>
      </c>
      <c r="D1084" s="2" t="str">
        <f>IFERROR(__xludf.DUMMYFUNCTION("""COMPUTED_VALUE"""),"Sale")</f>
        <v>Sale</v>
      </c>
      <c r="E1084" s="2" t="str">
        <f>IFERROR(__xludf.DUMMYFUNCTION("""COMPUTED_VALUE"""),"Roti")</f>
        <v>Roti</v>
      </c>
      <c r="F1084" s="2">
        <f>IFERROR(__xludf.DUMMYFUNCTION("""COMPUTED_VALUE"""),10055.0)</f>
        <v>10055</v>
      </c>
      <c r="G1084" s="2" t="str">
        <f>IFERROR(__xludf.DUMMYFUNCTION("""COMPUTED_VALUE"""),"Roti Gandum Cokelat 2 pcs")</f>
        <v>Roti Gandum Cokelat 2 pcs</v>
      </c>
      <c r="H1084" s="2"/>
      <c r="I1084" s="2"/>
      <c r="J1084" s="2">
        <f>IFERROR(__xludf.DUMMYFUNCTION("""COMPUTED_VALUE"""),1.0)</f>
        <v>1</v>
      </c>
      <c r="K1084" s="6">
        <f>IFERROR(__xludf.DUMMYFUNCTION("""COMPUTED_VALUE"""),34762.0)</f>
        <v>34762</v>
      </c>
      <c r="L1084" s="2">
        <f>IFERROR(__xludf.DUMMYFUNCTION("""COMPUTED_VALUE"""),0.0)</f>
        <v>0</v>
      </c>
      <c r="M1084" s="2">
        <f>IFERROR(__xludf.DUMMYFUNCTION("""COMPUTED_VALUE"""),34762.0)</f>
        <v>34762</v>
      </c>
      <c r="N1084" s="2">
        <f>IFERROR(__xludf.DUMMYFUNCTION("""COMPUTED_VALUE"""),0.0)</f>
        <v>0</v>
      </c>
      <c r="O1084" s="2">
        <f>IFERROR(__xludf.DUMMYFUNCTION("""COMPUTED_VALUE"""),34762.0)</f>
        <v>34762</v>
      </c>
      <c r="P1084" s="2">
        <f>IFERROR(__xludf.DUMMYFUNCTION("""COMPUTED_VALUE"""),1738.0)</f>
        <v>1738</v>
      </c>
      <c r="Q1084" s="2" t="str">
        <f>IFERROR(__xludf.DUMMYFUNCTION("""COMPUTED_VALUE"""),"Dine In")</f>
        <v>Dine In</v>
      </c>
      <c r="R1084" s="2" t="str">
        <f>IFERROR(__xludf.DUMMYFUNCTION("""COMPUTED_VALUE"""),"Kedai")</f>
        <v>Kedai</v>
      </c>
      <c r="S1084" s="2" t="str">
        <f>IFERROR(__xludf.DUMMYFUNCTION("""COMPUTED_VALUE"""),"Temu Roti")</f>
        <v>Temu Roti</v>
      </c>
      <c r="T1084" s="2" t="str">
        <f>IFERROR(__xludf.DUMMYFUNCTION("""COMPUTED_VALUE"""),"Owner")</f>
        <v>Owner</v>
      </c>
      <c r="U1084" s="2"/>
      <c r="V1084" s="2"/>
      <c r="W1084" s="2"/>
      <c r="X1084" s="2" t="str">
        <f>IFERROR(__xludf.DUMMYFUNCTION("""COMPUTED_VALUE"""),"Closed")</f>
        <v>Closed</v>
      </c>
    </row>
    <row r="1085">
      <c r="A1085" s="3" t="s">
        <v>1099</v>
      </c>
      <c r="B1085" s="4">
        <f>IFERROR(__xludf.DUMMYFUNCTION("SPLIT(A1085,"","",0,0)"),45543.51458333333)</f>
        <v>45543.51458</v>
      </c>
      <c r="C1085" s="5">
        <f>IFERROR(__xludf.DUMMYFUNCTION("""COMPUTED_VALUE"""),2647676.0)</f>
        <v>2647676</v>
      </c>
      <c r="D1085" s="2" t="str">
        <f>IFERROR(__xludf.DUMMYFUNCTION("""COMPUTED_VALUE"""),"Sale")</f>
        <v>Sale</v>
      </c>
      <c r="E1085" s="2" t="str">
        <f>IFERROR(__xludf.DUMMYFUNCTION("""COMPUTED_VALUE"""),"Hidangan Utama")</f>
        <v>Hidangan Utama</v>
      </c>
      <c r="F1085" s="2">
        <f>IFERROR(__xludf.DUMMYFUNCTION("""COMPUTED_VALUE"""),10003.0)</f>
        <v>10003</v>
      </c>
      <c r="G1085" s="2" t="str">
        <f>IFERROR(__xludf.DUMMYFUNCTION("""COMPUTED_VALUE"""),"Nasi Goreng Temu")</f>
        <v>Nasi Goreng Temu</v>
      </c>
      <c r="H1085" s="2"/>
      <c r="I1085" s="2"/>
      <c r="J1085" s="2">
        <f>IFERROR(__xludf.DUMMYFUNCTION("""COMPUTED_VALUE"""),1.0)</f>
        <v>1</v>
      </c>
      <c r="K1085" s="6">
        <f>IFERROR(__xludf.DUMMYFUNCTION("""COMPUTED_VALUE"""),29524.0)</f>
        <v>29524</v>
      </c>
      <c r="L1085" s="2">
        <f>IFERROR(__xludf.DUMMYFUNCTION("""COMPUTED_VALUE"""),0.0)</f>
        <v>0</v>
      </c>
      <c r="M1085" s="2">
        <f>IFERROR(__xludf.DUMMYFUNCTION("""COMPUTED_VALUE"""),29524.0)</f>
        <v>29524</v>
      </c>
      <c r="N1085" s="2">
        <f>IFERROR(__xludf.DUMMYFUNCTION("""COMPUTED_VALUE"""),0.0)</f>
        <v>0</v>
      </c>
      <c r="O1085" s="2">
        <f>IFERROR(__xludf.DUMMYFUNCTION("""COMPUTED_VALUE"""),29524.0)</f>
        <v>29524</v>
      </c>
      <c r="P1085" s="2">
        <f>IFERROR(__xludf.DUMMYFUNCTION("""COMPUTED_VALUE"""),1476.0)</f>
        <v>1476</v>
      </c>
      <c r="Q1085" s="2" t="str">
        <f>IFERROR(__xludf.DUMMYFUNCTION("""COMPUTED_VALUE"""),"Dine In")</f>
        <v>Dine In</v>
      </c>
      <c r="R1085" s="2" t="str">
        <f>IFERROR(__xludf.DUMMYFUNCTION("""COMPUTED_VALUE"""),"Kedai")</f>
        <v>Kedai</v>
      </c>
      <c r="S1085" s="2" t="str">
        <f>IFERROR(__xludf.DUMMYFUNCTION("""COMPUTED_VALUE"""),"Temu Roti")</f>
        <v>Temu Roti</v>
      </c>
      <c r="T1085" s="2" t="str">
        <f>IFERROR(__xludf.DUMMYFUNCTION("""COMPUTED_VALUE"""),"Owner")</f>
        <v>Owner</v>
      </c>
      <c r="U1085" s="2"/>
      <c r="V1085" s="2"/>
      <c r="W1085" s="2"/>
      <c r="X1085" s="2" t="str">
        <f>IFERROR(__xludf.DUMMYFUNCTION("""COMPUTED_VALUE"""),"Closed")</f>
        <v>Closed</v>
      </c>
    </row>
    <row r="1086">
      <c r="A1086" s="3" t="s">
        <v>1100</v>
      </c>
      <c r="B1086" s="4">
        <f>IFERROR(__xludf.DUMMYFUNCTION("SPLIT(A1086,"","",0,0)"),45543.51458333333)</f>
        <v>45543.51458</v>
      </c>
      <c r="C1086" s="5">
        <f>IFERROR(__xludf.DUMMYFUNCTION("""COMPUTED_VALUE"""),2647676.0)</f>
        <v>2647676</v>
      </c>
      <c r="D1086" s="2" t="str">
        <f>IFERROR(__xludf.DUMMYFUNCTION("""COMPUTED_VALUE"""),"Sale")</f>
        <v>Sale</v>
      </c>
      <c r="E1086" s="2" t="str">
        <f>IFERROR(__xludf.DUMMYFUNCTION("""COMPUTED_VALUE"""),"Kudapan")</f>
        <v>Kudapan</v>
      </c>
      <c r="F1086" s="2">
        <f>IFERROR(__xludf.DUMMYFUNCTION("""COMPUTED_VALUE"""),10004.0)</f>
        <v>10004</v>
      </c>
      <c r="G1086" s="2" t="str">
        <f>IFERROR(__xludf.DUMMYFUNCTION("""COMPUTED_VALUE"""),"Tahu walik")</f>
        <v>Tahu walik</v>
      </c>
      <c r="H1086" s="2"/>
      <c r="I1086" s="2"/>
      <c r="J1086" s="2">
        <f>IFERROR(__xludf.DUMMYFUNCTION("""COMPUTED_VALUE"""),1.0)</f>
        <v>1</v>
      </c>
      <c r="K1086" s="6">
        <f>IFERROR(__xludf.DUMMYFUNCTION("""COMPUTED_VALUE"""),25238.0)</f>
        <v>25238</v>
      </c>
      <c r="L1086" s="2">
        <f>IFERROR(__xludf.DUMMYFUNCTION("""COMPUTED_VALUE"""),0.0)</f>
        <v>0</v>
      </c>
      <c r="M1086" s="2">
        <f>IFERROR(__xludf.DUMMYFUNCTION("""COMPUTED_VALUE"""),25238.0)</f>
        <v>25238</v>
      </c>
      <c r="N1086" s="2">
        <f>IFERROR(__xludf.DUMMYFUNCTION("""COMPUTED_VALUE"""),0.0)</f>
        <v>0</v>
      </c>
      <c r="O1086" s="2">
        <f>IFERROR(__xludf.DUMMYFUNCTION("""COMPUTED_VALUE"""),25238.0)</f>
        <v>25238</v>
      </c>
      <c r="P1086" s="2">
        <f>IFERROR(__xludf.DUMMYFUNCTION("""COMPUTED_VALUE"""),1262.0)</f>
        <v>1262</v>
      </c>
      <c r="Q1086" s="2" t="str">
        <f>IFERROR(__xludf.DUMMYFUNCTION("""COMPUTED_VALUE"""),"Dine In")</f>
        <v>Dine In</v>
      </c>
      <c r="R1086" s="2" t="str">
        <f>IFERROR(__xludf.DUMMYFUNCTION("""COMPUTED_VALUE"""),"Kedai")</f>
        <v>Kedai</v>
      </c>
      <c r="S1086" s="2" t="str">
        <f>IFERROR(__xludf.DUMMYFUNCTION("""COMPUTED_VALUE"""),"Temu Roti")</f>
        <v>Temu Roti</v>
      </c>
      <c r="T1086" s="2" t="str">
        <f>IFERROR(__xludf.DUMMYFUNCTION("""COMPUTED_VALUE"""),"Owner")</f>
        <v>Owner</v>
      </c>
      <c r="U1086" s="2"/>
      <c r="V1086" s="2"/>
      <c r="W1086" s="2"/>
      <c r="X1086" s="2" t="str">
        <f>IFERROR(__xludf.DUMMYFUNCTION("""COMPUTED_VALUE"""),"Closed")</f>
        <v>Closed</v>
      </c>
    </row>
    <row r="1087">
      <c r="A1087" s="3" t="s">
        <v>1101</v>
      </c>
      <c r="B1087" s="4">
        <f>IFERROR(__xludf.DUMMYFUNCTION("SPLIT(A1087,"","",0,0)"),45543.51458333333)</f>
        <v>45543.51458</v>
      </c>
      <c r="C1087" s="5">
        <f>IFERROR(__xludf.DUMMYFUNCTION("""COMPUTED_VALUE"""),2647676.0)</f>
        <v>2647676</v>
      </c>
      <c r="D1087" s="2" t="str">
        <f>IFERROR(__xludf.DUMMYFUNCTION("""COMPUTED_VALUE"""),"Sale")</f>
        <v>Sale</v>
      </c>
      <c r="E1087" s="2" t="str">
        <f>IFERROR(__xludf.DUMMYFUNCTION("""COMPUTED_VALUE"""),"Hidangan Utama")</f>
        <v>Hidangan Utama</v>
      </c>
      <c r="F1087" s="2">
        <f>IFERROR(__xludf.DUMMYFUNCTION("""COMPUTED_VALUE"""),10104.0)</f>
        <v>10104</v>
      </c>
      <c r="G1087" s="2" t="str">
        <f>IFERROR(__xludf.DUMMYFUNCTION("""COMPUTED_VALUE"""),"Chicken Claypot Rice")</f>
        <v>Chicken Claypot Rice</v>
      </c>
      <c r="H1087" s="2"/>
      <c r="I1087" s="2"/>
      <c r="J1087" s="2">
        <f>IFERROR(__xludf.DUMMYFUNCTION("""COMPUTED_VALUE"""),1.0)</f>
        <v>1</v>
      </c>
      <c r="K1087" s="6">
        <f>IFERROR(__xludf.DUMMYFUNCTION("""COMPUTED_VALUE"""),34762.0)</f>
        <v>34762</v>
      </c>
      <c r="L1087" s="2">
        <f>IFERROR(__xludf.DUMMYFUNCTION("""COMPUTED_VALUE"""),0.0)</f>
        <v>0</v>
      </c>
      <c r="M1087" s="2">
        <f>IFERROR(__xludf.DUMMYFUNCTION("""COMPUTED_VALUE"""),34762.0)</f>
        <v>34762</v>
      </c>
      <c r="N1087" s="2">
        <f>IFERROR(__xludf.DUMMYFUNCTION("""COMPUTED_VALUE"""),0.0)</f>
        <v>0</v>
      </c>
      <c r="O1087" s="2">
        <f>IFERROR(__xludf.DUMMYFUNCTION("""COMPUTED_VALUE"""),34762.0)</f>
        <v>34762</v>
      </c>
      <c r="P1087" s="2">
        <f>IFERROR(__xludf.DUMMYFUNCTION("""COMPUTED_VALUE"""),1738.0)</f>
        <v>1738</v>
      </c>
      <c r="Q1087" s="2" t="str">
        <f>IFERROR(__xludf.DUMMYFUNCTION("""COMPUTED_VALUE"""),"Dine In")</f>
        <v>Dine In</v>
      </c>
      <c r="R1087" s="2" t="str">
        <f>IFERROR(__xludf.DUMMYFUNCTION("""COMPUTED_VALUE"""),"Kedai")</f>
        <v>Kedai</v>
      </c>
      <c r="S1087" s="2" t="str">
        <f>IFERROR(__xludf.DUMMYFUNCTION("""COMPUTED_VALUE"""),"Temu Roti")</f>
        <v>Temu Roti</v>
      </c>
      <c r="T1087" s="2" t="str">
        <f>IFERROR(__xludf.DUMMYFUNCTION("""COMPUTED_VALUE"""),"Owner")</f>
        <v>Owner</v>
      </c>
      <c r="U1087" s="2"/>
      <c r="V1087" s="2"/>
      <c r="W1087" s="2"/>
      <c r="X1087" s="2" t="str">
        <f>IFERROR(__xludf.DUMMYFUNCTION("""COMPUTED_VALUE"""),"Closed")</f>
        <v>Closed</v>
      </c>
    </row>
    <row r="1088">
      <c r="A1088" s="3" t="s">
        <v>1102</v>
      </c>
      <c r="B1088" s="4">
        <f>IFERROR(__xludf.DUMMYFUNCTION("SPLIT(A1088,"","",0,0)"),45543.51458333333)</f>
        <v>45543.51458</v>
      </c>
      <c r="C1088" s="5">
        <f>IFERROR(__xludf.DUMMYFUNCTION("""COMPUTED_VALUE"""),2647676.0)</f>
        <v>2647676</v>
      </c>
      <c r="D1088" s="2" t="str">
        <f>IFERROR(__xludf.DUMMYFUNCTION("""COMPUTED_VALUE"""),"Sale")</f>
        <v>Sale</v>
      </c>
      <c r="E1088" s="2" t="str">
        <f>IFERROR(__xludf.DUMMYFUNCTION("""COMPUTED_VALUE"""),"Minuman")</f>
        <v>Minuman</v>
      </c>
      <c r="F1088" s="2">
        <f>IFERROR(__xludf.DUMMYFUNCTION("""COMPUTED_VALUE"""),10125.0)</f>
        <v>10125</v>
      </c>
      <c r="G1088" s="2" t="str">
        <f>IFERROR(__xludf.DUMMYFUNCTION("""COMPUTED_VALUE"""),"Gula Asam Dingin")</f>
        <v>Gula Asam Dingin</v>
      </c>
      <c r="H1088" s="2"/>
      <c r="I1088" s="2"/>
      <c r="J1088" s="2">
        <f>IFERROR(__xludf.DUMMYFUNCTION("""COMPUTED_VALUE"""),1.0)</f>
        <v>1</v>
      </c>
      <c r="K1088" s="6">
        <f>IFERROR(__xludf.DUMMYFUNCTION("""COMPUTED_VALUE"""),20476.0)</f>
        <v>20476</v>
      </c>
      <c r="L1088" s="2">
        <f>IFERROR(__xludf.DUMMYFUNCTION("""COMPUTED_VALUE"""),0.0)</f>
        <v>0</v>
      </c>
      <c r="M1088" s="2">
        <f>IFERROR(__xludf.DUMMYFUNCTION("""COMPUTED_VALUE"""),20476.0)</f>
        <v>20476</v>
      </c>
      <c r="N1088" s="2">
        <f>IFERROR(__xludf.DUMMYFUNCTION("""COMPUTED_VALUE"""),0.0)</f>
        <v>0</v>
      </c>
      <c r="O1088" s="2">
        <f>IFERROR(__xludf.DUMMYFUNCTION("""COMPUTED_VALUE"""),20476.0)</f>
        <v>20476</v>
      </c>
      <c r="P1088" s="2">
        <f>IFERROR(__xludf.DUMMYFUNCTION("""COMPUTED_VALUE"""),1024.0)</f>
        <v>1024</v>
      </c>
      <c r="Q1088" s="2" t="str">
        <f>IFERROR(__xludf.DUMMYFUNCTION("""COMPUTED_VALUE"""),"Dine In")</f>
        <v>Dine In</v>
      </c>
      <c r="R1088" s="2" t="str">
        <f>IFERROR(__xludf.DUMMYFUNCTION("""COMPUTED_VALUE"""),"Kedai")</f>
        <v>Kedai</v>
      </c>
      <c r="S1088" s="2" t="str">
        <f>IFERROR(__xludf.DUMMYFUNCTION("""COMPUTED_VALUE"""),"Temu Roti")</f>
        <v>Temu Roti</v>
      </c>
      <c r="T1088" s="2" t="str">
        <f>IFERROR(__xludf.DUMMYFUNCTION("""COMPUTED_VALUE"""),"Owner")</f>
        <v>Owner</v>
      </c>
      <c r="U1088" s="2"/>
      <c r="V1088" s="2"/>
      <c r="W1088" s="2"/>
      <c r="X1088" s="2" t="str">
        <f>IFERROR(__xludf.DUMMYFUNCTION("""COMPUTED_VALUE"""),"Closed")</f>
        <v>Closed</v>
      </c>
    </row>
    <row r="1089">
      <c r="A1089" s="3" t="s">
        <v>1103</v>
      </c>
      <c r="B1089" s="4">
        <f>IFERROR(__xludf.DUMMYFUNCTION("SPLIT(A1089,"","",0,0)"),45543.45347222222)</f>
        <v>45543.45347</v>
      </c>
      <c r="C1089" s="5">
        <f>IFERROR(__xludf.DUMMYFUNCTION("""COMPUTED_VALUE"""),2647310.0)</f>
        <v>2647310</v>
      </c>
      <c r="D1089" s="2" t="str">
        <f>IFERROR(__xludf.DUMMYFUNCTION("""COMPUTED_VALUE"""),"Sale")</f>
        <v>Sale</v>
      </c>
      <c r="E1089" s="2" t="str">
        <f>IFERROR(__xludf.DUMMYFUNCTION("""COMPUTED_VALUE"""),"Roti")</f>
        <v>Roti</v>
      </c>
      <c r="F1089" s="2">
        <f>IFERROR(__xludf.DUMMYFUNCTION("""COMPUTED_VALUE"""),10007.0)</f>
        <v>10007</v>
      </c>
      <c r="G1089" s="2" t="str">
        <f>IFERROR(__xludf.DUMMYFUNCTION("""COMPUTED_VALUE"""),"Roti cranberry 2 pcs")</f>
        <v>Roti cranberry 2 pcs</v>
      </c>
      <c r="H1089" s="2"/>
      <c r="I1089" s="2"/>
      <c r="J1089" s="2">
        <f>IFERROR(__xludf.DUMMYFUNCTION("""COMPUTED_VALUE"""),1.0)</f>
        <v>1</v>
      </c>
      <c r="K1089" s="6">
        <f>IFERROR(__xludf.DUMMYFUNCTION("""COMPUTED_VALUE"""),33810.0)</f>
        <v>33810</v>
      </c>
      <c r="L1089" s="2">
        <f>IFERROR(__xludf.DUMMYFUNCTION("""COMPUTED_VALUE"""),0.0)</f>
        <v>0</v>
      </c>
      <c r="M1089" s="2">
        <f>IFERROR(__xludf.DUMMYFUNCTION("""COMPUTED_VALUE"""),33810.0)</f>
        <v>33810</v>
      </c>
      <c r="N1089" s="2">
        <f>IFERROR(__xludf.DUMMYFUNCTION("""COMPUTED_VALUE"""),0.0)</f>
        <v>0</v>
      </c>
      <c r="O1089" s="2">
        <f>IFERROR(__xludf.DUMMYFUNCTION("""COMPUTED_VALUE"""),33810.0)</f>
        <v>33810</v>
      </c>
      <c r="P1089" s="2">
        <f>IFERROR(__xludf.DUMMYFUNCTION("""COMPUTED_VALUE"""),1691.0)</f>
        <v>1691</v>
      </c>
      <c r="Q1089" s="2" t="str">
        <f>IFERROR(__xludf.DUMMYFUNCTION("""COMPUTED_VALUE"""),"Take Away")</f>
        <v>Take Away</v>
      </c>
      <c r="R1089" s="2" t="str">
        <f>IFERROR(__xludf.DUMMYFUNCTION("""COMPUTED_VALUE"""),"Kedai")</f>
        <v>Kedai</v>
      </c>
      <c r="S1089" s="2" t="str">
        <f>IFERROR(__xludf.DUMMYFUNCTION("""COMPUTED_VALUE"""),"Temu Roti")</f>
        <v>Temu Roti</v>
      </c>
      <c r="T1089" s="2" t="str">
        <f>IFERROR(__xludf.DUMMYFUNCTION("""COMPUTED_VALUE"""),"Owner")</f>
        <v>Owner</v>
      </c>
      <c r="U1089" s="2"/>
      <c r="V1089" s="2"/>
      <c r="W1089" s="2"/>
      <c r="X1089" s="2" t="str">
        <f>IFERROR(__xludf.DUMMYFUNCTION("""COMPUTED_VALUE"""),"Closed")</f>
        <v>Closed</v>
      </c>
    </row>
    <row r="1090">
      <c r="A1090" s="3" t="s">
        <v>1104</v>
      </c>
      <c r="B1090" s="4">
        <f>IFERROR(__xludf.DUMMYFUNCTION("SPLIT(A1090,"","",0,0)"),45543.427083333336)</f>
        <v>45543.42708</v>
      </c>
      <c r="C1090" s="5">
        <f>IFERROR(__xludf.DUMMYFUNCTION("""COMPUTED_VALUE"""),2646945.0)</f>
        <v>2646945</v>
      </c>
      <c r="D1090" s="2" t="str">
        <f>IFERROR(__xludf.DUMMYFUNCTION("""COMPUTED_VALUE"""),"Sale")</f>
        <v>Sale</v>
      </c>
      <c r="E1090" s="2" t="str">
        <f>IFERROR(__xludf.DUMMYFUNCTION("""COMPUTED_VALUE"""),"Roti")</f>
        <v>Roti</v>
      </c>
      <c r="F1090" s="2">
        <f>IFERROR(__xludf.DUMMYFUNCTION("""COMPUTED_VALUE"""),10000.0)</f>
        <v>10000</v>
      </c>
      <c r="G1090" s="2" t="str">
        <f>IFERROR(__xludf.DUMMYFUNCTION("""COMPUTED_VALUE"""),"Roti Bawang Saus Keju")</f>
        <v>Roti Bawang Saus Keju</v>
      </c>
      <c r="H1090" s="2"/>
      <c r="I1090" s="2"/>
      <c r="J1090" s="2">
        <f>IFERROR(__xludf.DUMMYFUNCTION("""COMPUTED_VALUE"""),1.0)</f>
        <v>1</v>
      </c>
      <c r="K1090" s="6">
        <f>IFERROR(__xludf.DUMMYFUNCTION("""COMPUTED_VALUE"""),29524.0)</f>
        <v>29524</v>
      </c>
      <c r="L1090" s="2">
        <f>IFERROR(__xludf.DUMMYFUNCTION("""COMPUTED_VALUE"""),0.0)</f>
        <v>0</v>
      </c>
      <c r="M1090" s="2">
        <f>IFERROR(__xludf.DUMMYFUNCTION("""COMPUTED_VALUE"""),29524.0)</f>
        <v>29524</v>
      </c>
      <c r="N1090" s="2">
        <f>IFERROR(__xludf.DUMMYFUNCTION("""COMPUTED_VALUE"""),0.0)</f>
        <v>0</v>
      </c>
      <c r="O1090" s="2">
        <f>IFERROR(__xludf.DUMMYFUNCTION("""COMPUTED_VALUE"""),29524.0)</f>
        <v>29524</v>
      </c>
      <c r="P1090" s="2">
        <f>IFERROR(__xludf.DUMMYFUNCTION("""COMPUTED_VALUE"""),1476.0)</f>
        <v>1476</v>
      </c>
      <c r="Q1090" s="2" t="str">
        <f>IFERROR(__xludf.DUMMYFUNCTION("""COMPUTED_VALUE"""),"Dine In")</f>
        <v>Dine In</v>
      </c>
      <c r="R1090" s="2" t="str">
        <f>IFERROR(__xludf.DUMMYFUNCTION("""COMPUTED_VALUE"""),"Kedai")</f>
        <v>Kedai</v>
      </c>
      <c r="S1090" s="2" t="str">
        <f>IFERROR(__xludf.DUMMYFUNCTION("""COMPUTED_VALUE"""),"Temu Roti")</f>
        <v>Temu Roti</v>
      </c>
      <c r="T1090" s="2" t="str">
        <f>IFERROR(__xludf.DUMMYFUNCTION("""COMPUTED_VALUE"""),"Owner")</f>
        <v>Owner</v>
      </c>
      <c r="U1090" s="2"/>
      <c r="V1090" s="2"/>
      <c r="W1090" s="2"/>
      <c r="X1090" s="2" t="str">
        <f>IFERROR(__xludf.DUMMYFUNCTION("""COMPUTED_VALUE"""),"Closed")</f>
        <v>Closed</v>
      </c>
    </row>
    <row r="1091">
      <c r="A1091" s="3" t="s">
        <v>1105</v>
      </c>
      <c r="B1091" s="4">
        <f>IFERROR(__xludf.DUMMYFUNCTION("SPLIT(A1091,"","",0,0)"),45543.424305555556)</f>
        <v>45543.42431</v>
      </c>
      <c r="C1091" s="5">
        <f>IFERROR(__xludf.DUMMYFUNCTION("""COMPUTED_VALUE"""),2646580.0)</f>
        <v>2646580</v>
      </c>
      <c r="D1091" s="2" t="str">
        <f>IFERROR(__xludf.DUMMYFUNCTION("""COMPUTED_VALUE"""),"Sale")</f>
        <v>Sale</v>
      </c>
      <c r="E1091" s="2" t="str">
        <f>IFERROR(__xludf.DUMMYFUNCTION("""COMPUTED_VALUE"""),"Roti")</f>
        <v>Roti</v>
      </c>
      <c r="F1091" s="2">
        <f>IFERROR(__xludf.DUMMYFUNCTION("""COMPUTED_VALUE"""),10007.0)</f>
        <v>10007</v>
      </c>
      <c r="G1091" s="2" t="str">
        <f>IFERROR(__xludf.DUMMYFUNCTION("""COMPUTED_VALUE"""),"Roti cranberry 2 pcs")</f>
        <v>Roti cranberry 2 pcs</v>
      </c>
      <c r="H1091" s="2"/>
      <c r="I1091" s="2"/>
      <c r="J1091" s="2">
        <f>IFERROR(__xludf.DUMMYFUNCTION("""COMPUTED_VALUE"""),2.0)</f>
        <v>2</v>
      </c>
      <c r="K1091" s="6">
        <f>IFERROR(__xludf.DUMMYFUNCTION("""COMPUTED_VALUE"""),67620.0)</f>
        <v>67620</v>
      </c>
      <c r="L1091" s="2">
        <f>IFERROR(__xludf.DUMMYFUNCTION("""COMPUTED_VALUE"""),0.0)</f>
        <v>0</v>
      </c>
      <c r="M1091" s="2">
        <f>IFERROR(__xludf.DUMMYFUNCTION("""COMPUTED_VALUE"""),67620.0)</f>
        <v>67620</v>
      </c>
      <c r="N1091" s="2">
        <f>IFERROR(__xludf.DUMMYFUNCTION("""COMPUTED_VALUE"""),0.0)</f>
        <v>0</v>
      </c>
      <c r="O1091" s="2">
        <f>IFERROR(__xludf.DUMMYFUNCTION("""COMPUTED_VALUE"""),67620.0)</f>
        <v>67620</v>
      </c>
      <c r="P1091" s="2">
        <f>IFERROR(__xludf.DUMMYFUNCTION("""COMPUTED_VALUE"""),3381.0)</f>
        <v>3381</v>
      </c>
      <c r="Q1091" s="2" t="str">
        <f>IFERROR(__xludf.DUMMYFUNCTION("""COMPUTED_VALUE"""),"Dine In")</f>
        <v>Dine In</v>
      </c>
      <c r="R1091" s="2" t="str">
        <f>IFERROR(__xludf.DUMMYFUNCTION("""COMPUTED_VALUE"""),"Kedai")</f>
        <v>Kedai</v>
      </c>
      <c r="S1091" s="2" t="str">
        <f>IFERROR(__xludf.DUMMYFUNCTION("""COMPUTED_VALUE"""),"Temu Roti")</f>
        <v>Temu Roti</v>
      </c>
      <c r="T1091" s="2" t="str">
        <f>IFERROR(__xludf.DUMMYFUNCTION("""COMPUTED_VALUE"""),"Owner")</f>
        <v>Owner</v>
      </c>
      <c r="U1091" s="2"/>
      <c r="V1091" s="2"/>
      <c r="W1091" s="2"/>
      <c r="X1091" s="2" t="str">
        <f>IFERROR(__xludf.DUMMYFUNCTION("""COMPUTED_VALUE"""),"Closed")</f>
        <v>Closed</v>
      </c>
    </row>
    <row r="1092">
      <c r="A1092" s="3" t="s">
        <v>1106</v>
      </c>
      <c r="B1092" s="4">
        <f>IFERROR(__xludf.DUMMYFUNCTION("SPLIT(A1092,"","",0,0)"),45543.424305555556)</f>
        <v>45543.42431</v>
      </c>
      <c r="C1092" s="5">
        <f>IFERROR(__xludf.DUMMYFUNCTION("""COMPUTED_VALUE"""),2646580.0)</f>
        <v>2646580</v>
      </c>
      <c r="D1092" s="2" t="str">
        <f>IFERROR(__xludf.DUMMYFUNCTION("""COMPUTED_VALUE"""),"Sale")</f>
        <v>Sale</v>
      </c>
      <c r="E1092" s="2" t="str">
        <f>IFERROR(__xludf.DUMMYFUNCTION("""COMPUTED_VALUE"""),"Roti")</f>
        <v>Roti</v>
      </c>
      <c r="F1092" s="2">
        <f>IFERROR(__xludf.DUMMYFUNCTION("""COMPUTED_VALUE"""),10005.0)</f>
        <v>10005</v>
      </c>
      <c r="G1092" s="2" t="str">
        <f>IFERROR(__xludf.DUMMYFUNCTION("""COMPUTED_VALUE"""),"Roti Gandum Cokelat")</f>
        <v>Roti Gandum Cokelat</v>
      </c>
      <c r="H1092" s="2"/>
      <c r="I1092" s="2"/>
      <c r="J1092" s="2">
        <f>IFERROR(__xludf.DUMMYFUNCTION("""COMPUTED_VALUE"""),1.0)</f>
        <v>1</v>
      </c>
      <c r="K1092" s="6">
        <f>IFERROR(__xludf.DUMMYFUNCTION("""COMPUTED_VALUE"""),19524.0)</f>
        <v>19524</v>
      </c>
      <c r="L1092" s="2">
        <f>IFERROR(__xludf.DUMMYFUNCTION("""COMPUTED_VALUE"""),0.0)</f>
        <v>0</v>
      </c>
      <c r="M1092" s="2">
        <f>IFERROR(__xludf.DUMMYFUNCTION("""COMPUTED_VALUE"""),19524.0)</f>
        <v>19524</v>
      </c>
      <c r="N1092" s="2">
        <f>IFERROR(__xludf.DUMMYFUNCTION("""COMPUTED_VALUE"""),0.0)</f>
        <v>0</v>
      </c>
      <c r="O1092" s="2">
        <f>IFERROR(__xludf.DUMMYFUNCTION("""COMPUTED_VALUE"""),19524.0)</f>
        <v>19524</v>
      </c>
      <c r="P1092" s="2">
        <f>IFERROR(__xludf.DUMMYFUNCTION("""COMPUTED_VALUE"""),976.0)</f>
        <v>976</v>
      </c>
      <c r="Q1092" s="2" t="str">
        <f>IFERROR(__xludf.DUMMYFUNCTION("""COMPUTED_VALUE"""),"Dine In")</f>
        <v>Dine In</v>
      </c>
      <c r="R1092" s="2" t="str">
        <f>IFERROR(__xludf.DUMMYFUNCTION("""COMPUTED_VALUE"""),"Kedai")</f>
        <v>Kedai</v>
      </c>
      <c r="S1092" s="2" t="str">
        <f>IFERROR(__xludf.DUMMYFUNCTION("""COMPUTED_VALUE"""),"Temu Roti")</f>
        <v>Temu Roti</v>
      </c>
      <c r="T1092" s="2" t="str">
        <f>IFERROR(__xludf.DUMMYFUNCTION("""COMPUTED_VALUE"""),"Owner")</f>
        <v>Owner</v>
      </c>
      <c r="U1092" s="2"/>
      <c r="V1092" s="2"/>
      <c r="W1092" s="2"/>
      <c r="X1092" s="2" t="str">
        <f>IFERROR(__xludf.DUMMYFUNCTION("""COMPUTED_VALUE"""),"Closed")</f>
        <v>Closed</v>
      </c>
    </row>
    <row r="1093">
      <c r="A1093" s="3" t="s">
        <v>1107</v>
      </c>
      <c r="B1093" s="4">
        <f>IFERROR(__xludf.DUMMYFUNCTION("SPLIT(A1093,"","",0,0)"),45543.424305555556)</f>
        <v>45543.42431</v>
      </c>
      <c r="C1093" s="5">
        <f>IFERROR(__xludf.DUMMYFUNCTION("""COMPUTED_VALUE"""),2646580.0)</f>
        <v>2646580</v>
      </c>
      <c r="D1093" s="2" t="str">
        <f>IFERROR(__xludf.DUMMYFUNCTION("""COMPUTED_VALUE"""),"Sale")</f>
        <v>Sale</v>
      </c>
      <c r="E1093" s="2" t="str">
        <f>IFERROR(__xludf.DUMMYFUNCTION("""COMPUTED_VALUE"""),"Minuman")</f>
        <v>Minuman</v>
      </c>
      <c r="F1093" s="2">
        <f>IFERROR(__xludf.DUMMYFUNCTION("""COMPUTED_VALUE"""),10128.0)</f>
        <v>10128</v>
      </c>
      <c r="G1093" s="2" t="str">
        <f>IFERROR(__xludf.DUMMYFUNCTION("""COMPUTED_VALUE"""),"Es Kopi Susu")</f>
        <v>Es Kopi Susu</v>
      </c>
      <c r="H1093" s="2"/>
      <c r="I1093" s="2"/>
      <c r="J1093" s="2">
        <f>IFERROR(__xludf.DUMMYFUNCTION("""COMPUTED_VALUE"""),1.0)</f>
        <v>1</v>
      </c>
      <c r="K1093" s="6">
        <f>IFERROR(__xludf.DUMMYFUNCTION("""COMPUTED_VALUE"""),23333.0)</f>
        <v>23333</v>
      </c>
      <c r="L1093" s="2">
        <f>IFERROR(__xludf.DUMMYFUNCTION("""COMPUTED_VALUE"""),0.0)</f>
        <v>0</v>
      </c>
      <c r="M1093" s="2">
        <f>IFERROR(__xludf.DUMMYFUNCTION("""COMPUTED_VALUE"""),23333.0)</f>
        <v>23333</v>
      </c>
      <c r="N1093" s="2">
        <f>IFERROR(__xludf.DUMMYFUNCTION("""COMPUTED_VALUE"""),0.0)</f>
        <v>0</v>
      </c>
      <c r="O1093" s="2">
        <f>IFERROR(__xludf.DUMMYFUNCTION("""COMPUTED_VALUE"""),23333.0)</f>
        <v>23333</v>
      </c>
      <c r="P1093" s="2">
        <f>IFERROR(__xludf.DUMMYFUNCTION("""COMPUTED_VALUE"""),1167.0)</f>
        <v>1167</v>
      </c>
      <c r="Q1093" s="2" t="str">
        <f>IFERROR(__xludf.DUMMYFUNCTION("""COMPUTED_VALUE"""),"Dine In")</f>
        <v>Dine In</v>
      </c>
      <c r="R1093" s="2" t="str">
        <f>IFERROR(__xludf.DUMMYFUNCTION("""COMPUTED_VALUE"""),"Kedai")</f>
        <v>Kedai</v>
      </c>
      <c r="S1093" s="2" t="str">
        <f>IFERROR(__xludf.DUMMYFUNCTION("""COMPUTED_VALUE"""),"Temu Roti")</f>
        <v>Temu Roti</v>
      </c>
      <c r="T1093" s="2" t="str">
        <f>IFERROR(__xludf.DUMMYFUNCTION("""COMPUTED_VALUE"""),"Owner")</f>
        <v>Owner</v>
      </c>
      <c r="U1093" s="2"/>
      <c r="V1093" s="2"/>
      <c r="W1093" s="2"/>
      <c r="X1093" s="2" t="str">
        <f>IFERROR(__xludf.DUMMYFUNCTION("""COMPUTED_VALUE"""),"Closed")</f>
        <v>Closed</v>
      </c>
    </row>
    <row r="1094">
      <c r="A1094" s="3" t="s">
        <v>1108</v>
      </c>
      <c r="B1094" s="4">
        <f>IFERROR(__xludf.DUMMYFUNCTION("SPLIT(A1094,"","",0,0)"),45543.424305555556)</f>
        <v>45543.42431</v>
      </c>
      <c r="C1094" s="5">
        <f>IFERROR(__xludf.DUMMYFUNCTION("""COMPUTED_VALUE"""),2646580.0)</f>
        <v>2646580</v>
      </c>
      <c r="D1094" s="2" t="str">
        <f>IFERROR(__xludf.DUMMYFUNCTION("""COMPUTED_VALUE"""),"Sale")</f>
        <v>Sale</v>
      </c>
      <c r="E1094" s="2" t="str">
        <f>IFERROR(__xludf.DUMMYFUNCTION("""COMPUTED_VALUE"""),"Minuman")</f>
        <v>Minuman</v>
      </c>
      <c r="F1094" s="2">
        <f>IFERROR(__xludf.DUMMYFUNCTION("""COMPUTED_VALUE"""),10122.0)</f>
        <v>10122</v>
      </c>
      <c r="G1094" s="2" t="str">
        <f>IFERROR(__xludf.DUMMYFUNCTION("""COMPUTED_VALUE"""),"Rempah Madu Panas")</f>
        <v>Rempah Madu Panas</v>
      </c>
      <c r="H1094" s="2"/>
      <c r="I1094" s="2"/>
      <c r="J1094" s="2">
        <f>IFERROR(__xludf.DUMMYFUNCTION("""COMPUTED_VALUE"""),1.0)</f>
        <v>1</v>
      </c>
      <c r="K1094" s="6">
        <f>IFERROR(__xludf.DUMMYFUNCTION("""COMPUTED_VALUE"""),21905.0)</f>
        <v>21905</v>
      </c>
      <c r="L1094" s="2">
        <f>IFERROR(__xludf.DUMMYFUNCTION("""COMPUTED_VALUE"""),0.0)</f>
        <v>0</v>
      </c>
      <c r="M1094" s="2">
        <f>IFERROR(__xludf.DUMMYFUNCTION("""COMPUTED_VALUE"""),21905.0)</f>
        <v>21905</v>
      </c>
      <c r="N1094" s="2">
        <f>IFERROR(__xludf.DUMMYFUNCTION("""COMPUTED_VALUE"""),0.0)</f>
        <v>0</v>
      </c>
      <c r="O1094" s="2">
        <f>IFERROR(__xludf.DUMMYFUNCTION("""COMPUTED_VALUE"""),21905.0)</f>
        <v>21905</v>
      </c>
      <c r="P1094" s="2">
        <f>IFERROR(__xludf.DUMMYFUNCTION("""COMPUTED_VALUE"""),1095.0)</f>
        <v>1095</v>
      </c>
      <c r="Q1094" s="2" t="str">
        <f>IFERROR(__xludf.DUMMYFUNCTION("""COMPUTED_VALUE"""),"Dine In")</f>
        <v>Dine In</v>
      </c>
      <c r="R1094" s="2" t="str">
        <f>IFERROR(__xludf.DUMMYFUNCTION("""COMPUTED_VALUE"""),"Kedai")</f>
        <v>Kedai</v>
      </c>
      <c r="S1094" s="2" t="str">
        <f>IFERROR(__xludf.DUMMYFUNCTION("""COMPUTED_VALUE"""),"Temu Roti")</f>
        <v>Temu Roti</v>
      </c>
      <c r="T1094" s="2" t="str">
        <f>IFERROR(__xludf.DUMMYFUNCTION("""COMPUTED_VALUE"""),"Owner")</f>
        <v>Owner</v>
      </c>
      <c r="U1094" s="2"/>
      <c r="V1094" s="2"/>
      <c r="W1094" s="2"/>
      <c r="X1094" s="2" t="str">
        <f>IFERROR(__xludf.DUMMYFUNCTION("""COMPUTED_VALUE"""),"Closed")</f>
        <v>Closed</v>
      </c>
    </row>
    <row r="1095">
      <c r="A1095" s="3" t="s">
        <v>1107</v>
      </c>
      <c r="B1095" s="4">
        <f>IFERROR(__xludf.DUMMYFUNCTION("SPLIT(A1095,"","",0,0)"),45543.424305555556)</f>
        <v>45543.42431</v>
      </c>
      <c r="C1095" s="5">
        <f>IFERROR(__xludf.DUMMYFUNCTION("""COMPUTED_VALUE"""),2646580.0)</f>
        <v>2646580</v>
      </c>
      <c r="D1095" s="2" t="str">
        <f>IFERROR(__xludf.DUMMYFUNCTION("""COMPUTED_VALUE"""),"Sale")</f>
        <v>Sale</v>
      </c>
      <c r="E1095" s="2" t="str">
        <f>IFERROR(__xludf.DUMMYFUNCTION("""COMPUTED_VALUE"""),"Minuman")</f>
        <v>Minuman</v>
      </c>
      <c r="F1095" s="2">
        <f>IFERROR(__xludf.DUMMYFUNCTION("""COMPUTED_VALUE"""),10128.0)</f>
        <v>10128</v>
      </c>
      <c r="G1095" s="2" t="str">
        <f>IFERROR(__xludf.DUMMYFUNCTION("""COMPUTED_VALUE"""),"Es Kopi Susu")</f>
        <v>Es Kopi Susu</v>
      </c>
      <c r="H1095" s="2"/>
      <c r="I1095" s="2"/>
      <c r="J1095" s="2">
        <f>IFERROR(__xludf.DUMMYFUNCTION("""COMPUTED_VALUE"""),1.0)</f>
        <v>1</v>
      </c>
      <c r="K1095" s="6">
        <f>IFERROR(__xludf.DUMMYFUNCTION("""COMPUTED_VALUE"""),23333.0)</f>
        <v>23333</v>
      </c>
      <c r="L1095" s="2">
        <f>IFERROR(__xludf.DUMMYFUNCTION("""COMPUTED_VALUE"""),0.0)</f>
        <v>0</v>
      </c>
      <c r="M1095" s="2">
        <f>IFERROR(__xludf.DUMMYFUNCTION("""COMPUTED_VALUE"""),23333.0)</f>
        <v>23333</v>
      </c>
      <c r="N1095" s="2">
        <f>IFERROR(__xludf.DUMMYFUNCTION("""COMPUTED_VALUE"""),0.0)</f>
        <v>0</v>
      </c>
      <c r="O1095" s="2">
        <f>IFERROR(__xludf.DUMMYFUNCTION("""COMPUTED_VALUE"""),23333.0)</f>
        <v>23333</v>
      </c>
      <c r="P1095" s="2">
        <f>IFERROR(__xludf.DUMMYFUNCTION("""COMPUTED_VALUE"""),1167.0)</f>
        <v>1167</v>
      </c>
      <c r="Q1095" s="2" t="str">
        <f>IFERROR(__xludf.DUMMYFUNCTION("""COMPUTED_VALUE"""),"Dine In")</f>
        <v>Dine In</v>
      </c>
      <c r="R1095" s="2" t="str">
        <f>IFERROR(__xludf.DUMMYFUNCTION("""COMPUTED_VALUE"""),"Kedai")</f>
        <v>Kedai</v>
      </c>
      <c r="S1095" s="2" t="str">
        <f>IFERROR(__xludf.DUMMYFUNCTION("""COMPUTED_VALUE"""),"Temu Roti")</f>
        <v>Temu Roti</v>
      </c>
      <c r="T1095" s="2" t="str">
        <f>IFERROR(__xludf.DUMMYFUNCTION("""COMPUTED_VALUE"""),"Owner")</f>
        <v>Owner</v>
      </c>
      <c r="U1095" s="2"/>
      <c r="V1095" s="2"/>
      <c r="W1095" s="2"/>
      <c r="X1095" s="2" t="str">
        <f>IFERROR(__xludf.DUMMYFUNCTION("""COMPUTED_VALUE"""),"Closed")</f>
        <v>Closed</v>
      </c>
    </row>
    <row r="1096">
      <c r="A1096" s="3" t="s">
        <v>1109</v>
      </c>
      <c r="B1096" s="4">
        <f>IFERROR(__xludf.DUMMYFUNCTION("SPLIT(A1096,"","",0,0)"),45543.424305555556)</f>
        <v>45543.42431</v>
      </c>
      <c r="C1096" s="5">
        <f>IFERROR(__xludf.DUMMYFUNCTION("""COMPUTED_VALUE"""),2646580.0)</f>
        <v>2646580</v>
      </c>
      <c r="D1096" s="2" t="str">
        <f>IFERROR(__xludf.DUMMYFUNCTION("""COMPUTED_VALUE"""),"Sale")</f>
        <v>Sale</v>
      </c>
      <c r="E1096" s="2" t="str">
        <f>IFERROR(__xludf.DUMMYFUNCTION("""COMPUTED_VALUE"""),"Minuman")</f>
        <v>Minuman</v>
      </c>
      <c r="F1096" s="2">
        <f>IFERROR(__xludf.DUMMYFUNCTION("""COMPUTED_VALUE"""),10106.0)</f>
        <v>10106</v>
      </c>
      <c r="G1096" s="2" t="str">
        <f>IFERROR(__xludf.DUMMYFUNCTION("""COMPUTED_VALUE"""),"Korean Strawberry Fresh Milk")</f>
        <v>Korean Strawberry Fresh Milk</v>
      </c>
      <c r="H1096" s="2"/>
      <c r="I1096" s="2"/>
      <c r="J1096" s="2">
        <f>IFERROR(__xludf.DUMMYFUNCTION("""COMPUTED_VALUE"""),1.0)</f>
        <v>1</v>
      </c>
      <c r="K1096" s="6">
        <f>IFERROR(__xludf.DUMMYFUNCTION("""COMPUTED_VALUE"""),26667.0)</f>
        <v>26667</v>
      </c>
      <c r="L1096" s="2">
        <f>IFERROR(__xludf.DUMMYFUNCTION("""COMPUTED_VALUE"""),0.0)</f>
        <v>0</v>
      </c>
      <c r="M1096" s="2">
        <f>IFERROR(__xludf.DUMMYFUNCTION("""COMPUTED_VALUE"""),26667.0)</f>
        <v>26667</v>
      </c>
      <c r="N1096" s="2">
        <f>IFERROR(__xludf.DUMMYFUNCTION("""COMPUTED_VALUE"""),0.0)</f>
        <v>0</v>
      </c>
      <c r="O1096" s="2">
        <f>IFERROR(__xludf.DUMMYFUNCTION("""COMPUTED_VALUE"""),26667.0)</f>
        <v>26667</v>
      </c>
      <c r="P1096" s="2">
        <f>IFERROR(__xludf.DUMMYFUNCTION("""COMPUTED_VALUE"""),1333.0)</f>
        <v>1333</v>
      </c>
      <c r="Q1096" s="2" t="str">
        <f>IFERROR(__xludf.DUMMYFUNCTION("""COMPUTED_VALUE"""),"Dine In")</f>
        <v>Dine In</v>
      </c>
      <c r="R1096" s="2" t="str">
        <f>IFERROR(__xludf.DUMMYFUNCTION("""COMPUTED_VALUE"""),"Kedai")</f>
        <v>Kedai</v>
      </c>
      <c r="S1096" s="2" t="str">
        <f>IFERROR(__xludf.DUMMYFUNCTION("""COMPUTED_VALUE"""),"Temu Roti")</f>
        <v>Temu Roti</v>
      </c>
      <c r="T1096" s="2" t="str">
        <f>IFERROR(__xludf.DUMMYFUNCTION("""COMPUTED_VALUE"""),"Owner")</f>
        <v>Owner</v>
      </c>
      <c r="U1096" s="2"/>
      <c r="V1096" s="2"/>
      <c r="W1096" s="2"/>
      <c r="X1096" s="2" t="str">
        <f>IFERROR(__xludf.DUMMYFUNCTION("""COMPUTED_VALUE"""),"Closed")</f>
        <v>Closed</v>
      </c>
    </row>
    <row r="1097">
      <c r="A1097" s="3" t="s">
        <v>1110</v>
      </c>
      <c r="B1097" s="4">
        <f>IFERROR(__xludf.DUMMYFUNCTION("SPLIT(A1097,"","",0,0)"),45543.424305555556)</f>
        <v>45543.42431</v>
      </c>
      <c r="C1097" s="5">
        <f>IFERROR(__xludf.DUMMYFUNCTION("""COMPUTED_VALUE"""),2646580.0)</f>
        <v>2646580</v>
      </c>
      <c r="D1097" s="2" t="str">
        <f>IFERROR(__xludf.DUMMYFUNCTION("""COMPUTED_VALUE"""),"Sale")</f>
        <v>Sale</v>
      </c>
      <c r="E1097" s="2" t="str">
        <f>IFERROR(__xludf.DUMMYFUNCTION("""COMPUTED_VALUE"""),"Minuman")</f>
        <v>Minuman</v>
      </c>
      <c r="F1097" s="2">
        <f>IFERROR(__xludf.DUMMYFUNCTION("""COMPUTED_VALUE"""),10112.0)</f>
        <v>10112</v>
      </c>
      <c r="G1097" s="2" t="str">
        <f>IFERROR(__xludf.DUMMYFUNCTION("""COMPUTED_VALUE"""),"Air mineral")</f>
        <v>Air mineral</v>
      </c>
      <c r="H1097" s="2"/>
      <c r="I1097" s="2"/>
      <c r="J1097" s="2">
        <f>IFERROR(__xludf.DUMMYFUNCTION("""COMPUTED_VALUE"""),1.0)</f>
        <v>1</v>
      </c>
      <c r="K1097" s="6">
        <f>IFERROR(__xludf.DUMMYFUNCTION("""COMPUTED_VALUE"""),6667.0)</f>
        <v>6667</v>
      </c>
      <c r="L1097" s="2">
        <f>IFERROR(__xludf.DUMMYFUNCTION("""COMPUTED_VALUE"""),0.0)</f>
        <v>0</v>
      </c>
      <c r="M1097" s="2">
        <f>IFERROR(__xludf.DUMMYFUNCTION("""COMPUTED_VALUE"""),6667.0)</f>
        <v>6667</v>
      </c>
      <c r="N1097" s="2">
        <f>IFERROR(__xludf.DUMMYFUNCTION("""COMPUTED_VALUE"""),0.0)</f>
        <v>0</v>
      </c>
      <c r="O1097" s="2">
        <f>IFERROR(__xludf.DUMMYFUNCTION("""COMPUTED_VALUE"""),6667.0)</f>
        <v>6667</v>
      </c>
      <c r="P1097" s="2">
        <f>IFERROR(__xludf.DUMMYFUNCTION("""COMPUTED_VALUE"""),333.0)</f>
        <v>333</v>
      </c>
      <c r="Q1097" s="2" t="str">
        <f>IFERROR(__xludf.DUMMYFUNCTION("""COMPUTED_VALUE"""),"Dine In")</f>
        <v>Dine In</v>
      </c>
      <c r="R1097" s="2" t="str">
        <f>IFERROR(__xludf.DUMMYFUNCTION("""COMPUTED_VALUE"""),"Kedai")</f>
        <v>Kedai</v>
      </c>
      <c r="S1097" s="2" t="str">
        <f>IFERROR(__xludf.DUMMYFUNCTION("""COMPUTED_VALUE"""),"Temu Roti")</f>
        <v>Temu Roti</v>
      </c>
      <c r="T1097" s="2" t="str">
        <f>IFERROR(__xludf.DUMMYFUNCTION("""COMPUTED_VALUE"""),"Owner")</f>
        <v>Owner</v>
      </c>
      <c r="U1097" s="2"/>
      <c r="V1097" s="2"/>
      <c r="W1097" s="2"/>
      <c r="X1097" s="2" t="str">
        <f>IFERROR(__xludf.DUMMYFUNCTION("""COMPUTED_VALUE"""),"Closed")</f>
        <v>Closed</v>
      </c>
    </row>
    <row r="1098">
      <c r="A1098" s="3" t="s">
        <v>1111</v>
      </c>
      <c r="B1098" s="4">
        <f>IFERROR(__xludf.DUMMYFUNCTION("SPLIT(A1098,"","",0,0)"),45543.424305555556)</f>
        <v>45543.42431</v>
      </c>
      <c r="C1098" s="5">
        <f>IFERROR(__xludf.DUMMYFUNCTION("""COMPUTED_VALUE"""),2646580.0)</f>
        <v>2646580</v>
      </c>
      <c r="D1098" s="2" t="str">
        <f>IFERROR(__xludf.DUMMYFUNCTION("""COMPUTED_VALUE"""),"Sale")</f>
        <v>Sale</v>
      </c>
      <c r="E1098" s="2" t="str">
        <f>IFERROR(__xludf.DUMMYFUNCTION("""COMPUTED_VALUE"""),"Kudapan")</f>
        <v>Kudapan</v>
      </c>
      <c r="F1098" s="2">
        <f>IFERROR(__xludf.DUMMYFUNCTION("""COMPUTED_VALUE"""),10011.0)</f>
        <v>10011</v>
      </c>
      <c r="G1098" s="2" t="str">
        <f>IFERROR(__xludf.DUMMYFUNCTION("""COMPUTED_VALUE"""),"Kentang Goreng")</f>
        <v>Kentang Goreng</v>
      </c>
      <c r="H1098" s="2"/>
      <c r="I1098" s="2"/>
      <c r="J1098" s="2">
        <f>IFERROR(__xludf.DUMMYFUNCTION("""COMPUTED_VALUE"""),1.0)</f>
        <v>1</v>
      </c>
      <c r="K1098" s="6">
        <f>IFERROR(__xludf.DUMMYFUNCTION("""COMPUTED_VALUE"""),25238.0)</f>
        <v>25238</v>
      </c>
      <c r="L1098" s="2">
        <f>IFERROR(__xludf.DUMMYFUNCTION("""COMPUTED_VALUE"""),0.0)</f>
        <v>0</v>
      </c>
      <c r="M1098" s="2">
        <f>IFERROR(__xludf.DUMMYFUNCTION("""COMPUTED_VALUE"""),25238.0)</f>
        <v>25238</v>
      </c>
      <c r="N1098" s="2">
        <f>IFERROR(__xludf.DUMMYFUNCTION("""COMPUTED_VALUE"""),0.0)</f>
        <v>0</v>
      </c>
      <c r="O1098" s="2">
        <f>IFERROR(__xludf.DUMMYFUNCTION("""COMPUTED_VALUE"""),25238.0)</f>
        <v>25238</v>
      </c>
      <c r="P1098" s="2">
        <f>IFERROR(__xludf.DUMMYFUNCTION("""COMPUTED_VALUE"""),1262.0)</f>
        <v>1262</v>
      </c>
      <c r="Q1098" s="2" t="str">
        <f>IFERROR(__xludf.DUMMYFUNCTION("""COMPUTED_VALUE"""),"Dine In")</f>
        <v>Dine In</v>
      </c>
      <c r="R1098" s="2" t="str">
        <f>IFERROR(__xludf.DUMMYFUNCTION("""COMPUTED_VALUE"""),"Kedai")</f>
        <v>Kedai</v>
      </c>
      <c r="S1098" s="2" t="str">
        <f>IFERROR(__xludf.DUMMYFUNCTION("""COMPUTED_VALUE"""),"Temu Roti")</f>
        <v>Temu Roti</v>
      </c>
      <c r="T1098" s="2" t="str">
        <f>IFERROR(__xludf.DUMMYFUNCTION("""COMPUTED_VALUE"""),"Owner")</f>
        <v>Owner</v>
      </c>
      <c r="U1098" s="2"/>
      <c r="V1098" s="2"/>
      <c r="W1098" s="2"/>
      <c r="X1098" s="2" t="str">
        <f>IFERROR(__xludf.DUMMYFUNCTION("""COMPUTED_VALUE"""),"Closed")</f>
        <v>Closed</v>
      </c>
    </row>
    <row r="1099">
      <c r="A1099" s="3" t="s">
        <v>1112</v>
      </c>
      <c r="B1099" s="4">
        <f>IFERROR(__xludf.DUMMYFUNCTION("SPLIT(A1099,"","",0,0)"),45543.424305555556)</f>
        <v>45543.42431</v>
      </c>
      <c r="C1099" s="5">
        <f>IFERROR(__xludf.DUMMYFUNCTION("""COMPUTED_VALUE"""),2646580.0)</f>
        <v>2646580</v>
      </c>
      <c r="D1099" s="2" t="str">
        <f>IFERROR(__xludf.DUMMYFUNCTION("""COMPUTED_VALUE"""),"Sale")</f>
        <v>Sale</v>
      </c>
      <c r="E1099" s="2" t="str">
        <f>IFERROR(__xludf.DUMMYFUNCTION("""COMPUTED_VALUE"""),"Minuman")</f>
        <v>Minuman</v>
      </c>
      <c r="F1099" s="2">
        <f>IFERROR(__xludf.DUMMYFUNCTION("""COMPUTED_VALUE"""),10122.0)</f>
        <v>10122</v>
      </c>
      <c r="G1099" s="2" t="str">
        <f>IFERROR(__xludf.DUMMYFUNCTION("""COMPUTED_VALUE"""),"Rempah Madu Panas")</f>
        <v>Rempah Madu Panas</v>
      </c>
      <c r="H1099" s="2"/>
      <c r="I1099" s="2"/>
      <c r="J1099" s="2">
        <f>IFERROR(__xludf.DUMMYFUNCTION("""COMPUTED_VALUE"""),1.0)</f>
        <v>1</v>
      </c>
      <c r="K1099" s="6">
        <f>IFERROR(__xludf.DUMMYFUNCTION("""COMPUTED_VALUE"""),21905.0)</f>
        <v>21905</v>
      </c>
      <c r="L1099" s="2">
        <f>IFERROR(__xludf.DUMMYFUNCTION("""COMPUTED_VALUE"""),0.0)</f>
        <v>0</v>
      </c>
      <c r="M1099" s="2">
        <f>IFERROR(__xludf.DUMMYFUNCTION("""COMPUTED_VALUE"""),21905.0)</f>
        <v>21905</v>
      </c>
      <c r="N1099" s="2">
        <f>IFERROR(__xludf.DUMMYFUNCTION("""COMPUTED_VALUE"""),0.0)</f>
        <v>0</v>
      </c>
      <c r="O1099" s="2">
        <f>IFERROR(__xludf.DUMMYFUNCTION("""COMPUTED_VALUE"""),21905.0)</f>
        <v>21905</v>
      </c>
      <c r="P1099" s="2">
        <f>IFERROR(__xludf.DUMMYFUNCTION("""COMPUTED_VALUE"""),1096.0)</f>
        <v>1096</v>
      </c>
      <c r="Q1099" s="2" t="str">
        <f>IFERROR(__xludf.DUMMYFUNCTION("""COMPUTED_VALUE"""),"Dine In")</f>
        <v>Dine In</v>
      </c>
      <c r="R1099" s="2" t="str">
        <f>IFERROR(__xludf.DUMMYFUNCTION("""COMPUTED_VALUE"""),"Kedai")</f>
        <v>Kedai</v>
      </c>
      <c r="S1099" s="2" t="str">
        <f>IFERROR(__xludf.DUMMYFUNCTION("""COMPUTED_VALUE"""),"Temu Roti")</f>
        <v>Temu Roti</v>
      </c>
      <c r="T1099" s="2" t="str">
        <f>IFERROR(__xludf.DUMMYFUNCTION("""COMPUTED_VALUE"""),"Owner")</f>
        <v>Owner</v>
      </c>
      <c r="U1099" s="2"/>
      <c r="V1099" s="2"/>
      <c r="W1099" s="2"/>
      <c r="X1099" s="2" t="str">
        <f>IFERROR(__xludf.DUMMYFUNCTION("""COMPUTED_VALUE"""),"Closed")</f>
        <v>Closed</v>
      </c>
    </row>
    <row r="1100">
      <c r="A1100" s="3" t="s">
        <v>1113</v>
      </c>
      <c r="B1100" s="4">
        <f>IFERROR(__xludf.DUMMYFUNCTION("SPLIT(A1100,"","",0,0)"),45543.424305555556)</f>
        <v>45543.42431</v>
      </c>
      <c r="C1100" s="5">
        <f>IFERROR(__xludf.DUMMYFUNCTION("""COMPUTED_VALUE"""),2646580.0)</f>
        <v>2646580</v>
      </c>
      <c r="D1100" s="2" t="str">
        <f>IFERROR(__xludf.DUMMYFUNCTION("""COMPUTED_VALUE"""),"Sale")</f>
        <v>Sale</v>
      </c>
      <c r="E1100" s="2" t="str">
        <f>IFERROR(__xludf.DUMMYFUNCTION("""COMPUTED_VALUE"""),"Minuman")</f>
        <v>Minuman</v>
      </c>
      <c r="F1100" s="2">
        <f>IFERROR(__xludf.DUMMYFUNCTION("""COMPUTED_VALUE"""),10067.0)</f>
        <v>10067</v>
      </c>
      <c r="G1100" s="2" t="str">
        <f>IFERROR(__xludf.DUMMYFUNCTION("""COMPUTED_VALUE"""),"Wedang angin")</f>
        <v>Wedang angin</v>
      </c>
      <c r="H1100" s="2"/>
      <c r="I1100" s="2"/>
      <c r="J1100" s="2">
        <f>IFERROR(__xludf.DUMMYFUNCTION("""COMPUTED_VALUE"""),1.0)</f>
        <v>1</v>
      </c>
      <c r="K1100" s="6">
        <f>IFERROR(__xludf.DUMMYFUNCTION("""COMPUTED_VALUE"""),24762.0)</f>
        <v>24762</v>
      </c>
      <c r="L1100" s="2">
        <f>IFERROR(__xludf.DUMMYFUNCTION("""COMPUTED_VALUE"""),0.0)</f>
        <v>0</v>
      </c>
      <c r="M1100" s="2">
        <f>IFERROR(__xludf.DUMMYFUNCTION("""COMPUTED_VALUE"""),24762.0)</f>
        <v>24762</v>
      </c>
      <c r="N1100" s="2">
        <f>IFERROR(__xludf.DUMMYFUNCTION("""COMPUTED_VALUE"""),0.0)</f>
        <v>0</v>
      </c>
      <c r="O1100" s="2">
        <f>IFERROR(__xludf.DUMMYFUNCTION("""COMPUTED_VALUE"""),24762.0)</f>
        <v>24762</v>
      </c>
      <c r="P1100" s="2">
        <f>IFERROR(__xludf.DUMMYFUNCTION("""COMPUTED_VALUE"""),1238.0)</f>
        <v>1238</v>
      </c>
      <c r="Q1100" s="2" t="str">
        <f>IFERROR(__xludf.DUMMYFUNCTION("""COMPUTED_VALUE"""),"Dine In")</f>
        <v>Dine In</v>
      </c>
      <c r="R1100" s="2" t="str">
        <f>IFERROR(__xludf.DUMMYFUNCTION("""COMPUTED_VALUE"""),"Kedai")</f>
        <v>Kedai</v>
      </c>
      <c r="S1100" s="2" t="str">
        <f>IFERROR(__xludf.DUMMYFUNCTION("""COMPUTED_VALUE"""),"Temu Roti")</f>
        <v>Temu Roti</v>
      </c>
      <c r="T1100" s="2" t="str">
        <f>IFERROR(__xludf.DUMMYFUNCTION("""COMPUTED_VALUE"""),"Owner")</f>
        <v>Owner</v>
      </c>
      <c r="U1100" s="2"/>
      <c r="V1100" s="2"/>
      <c r="W1100" s="2"/>
      <c r="X1100" s="2" t="str">
        <f>IFERROR(__xludf.DUMMYFUNCTION("""COMPUTED_VALUE"""),"Closed")</f>
        <v>Closed</v>
      </c>
    </row>
    <row r="1101">
      <c r="A1101" s="3" t="s">
        <v>1114</v>
      </c>
      <c r="B1101" s="4">
        <f>IFERROR(__xludf.DUMMYFUNCTION("SPLIT(A1101,"","",0,0)"),45543.424305555556)</f>
        <v>45543.42431</v>
      </c>
      <c r="C1101" s="5">
        <f>IFERROR(__xludf.DUMMYFUNCTION("""COMPUTED_VALUE"""),2646580.0)</f>
        <v>2646580</v>
      </c>
      <c r="D1101" s="2" t="str">
        <f>IFERROR(__xludf.DUMMYFUNCTION("""COMPUTED_VALUE"""),"Sale")</f>
        <v>Sale</v>
      </c>
      <c r="E1101" s="2" t="str">
        <f>IFERROR(__xludf.DUMMYFUNCTION("""COMPUTED_VALUE"""),"Roti")</f>
        <v>Roti</v>
      </c>
      <c r="F1101" s="2">
        <f>IFERROR(__xludf.DUMMYFUNCTION("""COMPUTED_VALUE"""),10002.0)</f>
        <v>10002</v>
      </c>
      <c r="G1101" s="2" t="str">
        <f>IFERROR(__xludf.DUMMYFUNCTION("""COMPUTED_VALUE"""),"Roti Cranberry")</f>
        <v>Roti Cranberry</v>
      </c>
      <c r="H1101" s="2"/>
      <c r="I1101" s="2"/>
      <c r="J1101" s="2">
        <f>IFERROR(__xludf.DUMMYFUNCTION("""COMPUTED_VALUE"""),1.0)</f>
        <v>1</v>
      </c>
      <c r="K1101" s="6">
        <f>IFERROR(__xludf.DUMMYFUNCTION("""COMPUTED_VALUE"""),18571.0)</f>
        <v>18571</v>
      </c>
      <c r="L1101" s="2">
        <f>IFERROR(__xludf.DUMMYFUNCTION("""COMPUTED_VALUE"""),0.0)</f>
        <v>0</v>
      </c>
      <c r="M1101" s="2">
        <f>IFERROR(__xludf.DUMMYFUNCTION("""COMPUTED_VALUE"""),18571.0)</f>
        <v>18571</v>
      </c>
      <c r="N1101" s="2">
        <f>IFERROR(__xludf.DUMMYFUNCTION("""COMPUTED_VALUE"""),0.0)</f>
        <v>0</v>
      </c>
      <c r="O1101" s="2">
        <f>IFERROR(__xludf.DUMMYFUNCTION("""COMPUTED_VALUE"""),18571.0)</f>
        <v>18571</v>
      </c>
      <c r="P1101" s="2">
        <f>IFERROR(__xludf.DUMMYFUNCTION("""COMPUTED_VALUE"""),928.0)</f>
        <v>928</v>
      </c>
      <c r="Q1101" s="2" t="str">
        <f>IFERROR(__xludf.DUMMYFUNCTION("""COMPUTED_VALUE"""),"Dine In")</f>
        <v>Dine In</v>
      </c>
      <c r="R1101" s="2" t="str">
        <f>IFERROR(__xludf.DUMMYFUNCTION("""COMPUTED_VALUE"""),"Kedai")</f>
        <v>Kedai</v>
      </c>
      <c r="S1101" s="2" t="str">
        <f>IFERROR(__xludf.DUMMYFUNCTION("""COMPUTED_VALUE"""),"Temu Roti")</f>
        <v>Temu Roti</v>
      </c>
      <c r="T1101" s="2" t="str">
        <f>IFERROR(__xludf.DUMMYFUNCTION("""COMPUTED_VALUE"""),"Owner")</f>
        <v>Owner</v>
      </c>
      <c r="U1101" s="2"/>
      <c r="V1101" s="2"/>
      <c r="W1101" s="2"/>
      <c r="X1101" s="2" t="str">
        <f>IFERROR(__xludf.DUMMYFUNCTION("""COMPUTED_VALUE"""),"Closed")</f>
        <v>Closed</v>
      </c>
    </row>
    <row r="1102">
      <c r="A1102" s="3" t="s">
        <v>1115</v>
      </c>
      <c r="B1102" s="4">
        <f>IFERROR(__xludf.DUMMYFUNCTION("SPLIT(A1102,"","",0,0)"),45543.41180555556)</f>
        <v>45543.41181</v>
      </c>
      <c r="C1102" s="5">
        <f>IFERROR(__xludf.DUMMYFUNCTION("""COMPUTED_VALUE"""),2646215.0)</f>
        <v>2646215</v>
      </c>
      <c r="D1102" s="2" t="str">
        <f>IFERROR(__xludf.DUMMYFUNCTION("""COMPUTED_VALUE"""),"Sale")</f>
        <v>Sale</v>
      </c>
      <c r="E1102" s="2" t="str">
        <f>IFERROR(__xludf.DUMMYFUNCTION("""COMPUTED_VALUE"""),"Roti")</f>
        <v>Roti</v>
      </c>
      <c r="F1102" s="2">
        <f>IFERROR(__xludf.DUMMYFUNCTION("""COMPUTED_VALUE"""),10007.0)</f>
        <v>10007</v>
      </c>
      <c r="G1102" s="2" t="str">
        <f>IFERROR(__xludf.DUMMYFUNCTION("""COMPUTED_VALUE"""),"Roti cranberry 2 pcs")</f>
        <v>Roti cranberry 2 pcs</v>
      </c>
      <c r="H1102" s="2"/>
      <c r="I1102" s="2"/>
      <c r="J1102" s="2">
        <f>IFERROR(__xludf.DUMMYFUNCTION("""COMPUTED_VALUE"""),1.0)</f>
        <v>1</v>
      </c>
      <c r="K1102" s="6">
        <f>IFERROR(__xludf.DUMMYFUNCTION("""COMPUTED_VALUE"""),33810.0)</f>
        <v>33810</v>
      </c>
      <c r="L1102" s="2">
        <f>IFERROR(__xludf.DUMMYFUNCTION("""COMPUTED_VALUE"""),0.0)</f>
        <v>0</v>
      </c>
      <c r="M1102" s="2">
        <f>IFERROR(__xludf.DUMMYFUNCTION("""COMPUTED_VALUE"""),33810.0)</f>
        <v>33810</v>
      </c>
      <c r="N1102" s="2">
        <f>IFERROR(__xludf.DUMMYFUNCTION("""COMPUTED_VALUE"""),0.0)</f>
        <v>0</v>
      </c>
      <c r="O1102" s="2">
        <f>IFERROR(__xludf.DUMMYFUNCTION("""COMPUTED_VALUE"""),33810.0)</f>
        <v>33810</v>
      </c>
      <c r="P1102" s="2">
        <f>IFERROR(__xludf.DUMMYFUNCTION("""COMPUTED_VALUE"""),1691.0)</f>
        <v>1691</v>
      </c>
      <c r="Q1102" s="2" t="str">
        <f>IFERROR(__xludf.DUMMYFUNCTION("""COMPUTED_VALUE"""),"Dine In")</f>
        <v>Dine In</v>
      </c>
      <c r="R1102" s="2" t="str">
        <f>IFERROR(__xludf.DUMMYFUNCTION("""COMPUTED_VALUE"""),"Kedai")</f>
        <v>Kedai</v>
      </c>
      <c r="S1102" s="2" t="str">
        <f>IFERROR(__xludf.DUMMYFUNCTION("""COMPUTED_VALUE"""),"Temu Roti")</f>
        <v>Temu Roti</v>
      </c>
      <c r="T1102" s="2" t="str">
        <f>IFERROR(__xludf.DUMMYFUNCTION("""COMPUTED_VALUE"""),"Owner")</f>
        <v>Owner</v>
      </c>
      <c r="U1102" s="2"/>
      <c r="V1102" s="2"/>
      <c r="W1102" s="2"/>
      <c r="X1102" s="2" t="str">
        <f>IFERROR(__xludf.DUMMYFUNCTION("""COMPUTED_VALUE"""),"Closed")</f>
        <v>Closed</v>
      </c>
    </row>
    <row r="1103">
      <c r="A1103" s="3" t="s">
        <v>1116</v>
      </c>
      <c r="B1103" s="4">
        <f>IFERROR(__xludf.DUMMYFUNCTION("SPLIT(A1103,"","",0,0)"),45543.41180555556)</f>
        <v>45543.41181</v>
      </c>
      <c r="C1103" s="5">
        <f>IFERROR(__xludf.DUMMYFUNCTION("""COMPUTED_VALUE"""),2646215.0)</f>
        <v>2646215</v>
      </c>
      <c r="D1103" s="2" t="str">
        <f>IFERROR(__xludf.DUMMYFUNCTION("""COMPUTED_VALUE"""),"Sale")</f>
        <v>Sale</v>
      </c>
      <c r="E1103" s="2" t="str">
        <f>IFERROR(__xludf.DUMMYFUNCTION("""COMPUTED_VALUE"""),"Minuman")</f>
        <v>Minuman</v>
      </c>
      <c r="F1103" s="2">
        <f>IFERROR(__xludf.DUMMYFUNCTION("""COMPUTED_VALUE"""),10120.0)</f>
        <v>10120</v>
      </c>
      <c r="G1103" s="2" t="str">
        <f>IFERROR(__xludf.DUMMYFUNCTION("""COMPUTED_VALUE"""),"Lemon Tea Panas")</f>
        <v>Lemon Tea Panas</v>
      </c>
      <c r="H1103" s="2"/>
      <c r="I1103" s="2"/>
      <c r="J1103" s="2">
        <f>IFERROR(__xludf.DUMMYFUNCTION("""COMPUTED_VALUE"""),1.0)</f>
        <v>1</v>
      </c>
      <c r="K1103" s="6">
        <f>IFERROR(__xludf.DUMMYFUNCTION("""COMPUTED_VALUE"""),19524.0)</f>
        <v>19524</v>
      </c>
      <c r="L1103" s="2">
        <f>IFERROR(__xludf.DUMMYFUNCTION("""COMPUTED_VALUE"""),0.0)</f>
        <v>0</v>
      </c>
      <c r="M1103" s="2">
        <f>IFERROR(__xludf.DUMMYFUNCTION("""COMPUTED_VALUE"""),19524.0)</f>
        <v>19524</v>
      </c>
      <c r="N1103" s="2">
        <f>IFERROR(__xludf.DUMMYFUNCTION("""COMPUTED_VALUE"""),0.0)</f>
        <v>0</v>
      </c>
      <c r="O1103" s="2">
        <f>IFERROR(__xludf.DUMMYFUNCTION("""COMPUTED_VALUE"""),19524.0)</f>
        <v>19524</v>
      </c>
      <c r="P1103" s="2">
        <f>IFERROR(__xludf.DUMMYFUNCTION("""COMPUTED_VALUE"""),976.0)</f>
        <v>976</v>
      </c>
      <c r="Q1103" s="2" t="str">
        <f>IFERROR(__xludf.DUMMYFUNCTION("""COMPUTED_VALUE"""),"Dine In")</f>
        <v>Dine In</v>
      </c>
      <c r="R1103" s="2" t="str">
        <f>IFERROR(__xludf.DUMMYFUNCTION("""COMPUTED_VALUE"""),"Kedai")</f>
        <v>Kedai</v>
      </c>
      <c r="S1103" s="2" t="str">
        <f>IFERROR(__xludf.DUMMYFUNCTION("""COMPUTED_VALUE"""),"Temu Roti")</f>
        <v>Temu Roti</v>
      </c>
      <c r="T1103" s="2" t="str">
        <f>IFERROR(__xludf.DUMMYFUNCTION("""COMPUTED_VALUE"""),"Owner")</f>
        <v>Owner</v>
      </c>
      <c r="U1103" s="2"/>
      <c r="V1103" s="2"/>
      <c r="W1103" s="2"/>
      <c r="X1103" s="2" t="str">
        <f>IFERROR(__xludf.DUMMYFUNCTION("""COMPUTED_VALUE"""),"Closed")</f>
        <v>Closed</v>
      </c>
    </row>
    <row r="1104">
      <c r="A1104" s="3" t="s">
        <v>1117</v>
      </c>
      <c r="B1104" s="4">
        <f>IFERROR(__xludf.DUMMYFUNCTION("SPLIT(A1104,"","",0,0)"),45543.41180555556)</f>
        <v>45543.41181</v>
      </c>
      <c r="C1104" s="5">
        <f>IFERROR(__xludf.DUMMYFUNCTION("""COMPUTED_VALUE"""),2646215.0)</f>
        <v>2646215</v>
      </c>
      <c r="D1104" s="2" t="str">
        <f>IFERROR(__xludf.DUMMYFUNCTION("""COMPUTED_VALUE"""),"Sale")</f>
        <v>Sale</v>
      </c>
      <c r="E1104" s="2" t="str">
        <f>IFERROR(__xludf.DUMMYFUNCTION("""COMPUTED_VALUE"""),"Minuman")</f>
        <v>Minuman</v>
      </c>
      <c r="F1104" s="2">
        <f>IFERROR(__xludf.DUMMYFUNCTION("""COMPUTED_VALUE"""),10121.0)</f>
        <v>10121</v>
      </c>
      <c r="G1104" s="2" t="str">
        <f>IFERROR(__xludf.DUMMYFUNCTION("""COMPUTED_VALUE"""),"Lemon Tea Dingin")</f>
        <v>Lemon Tea Dingin</v>
      </c>
      <c r="H1104" s="2"/>
      <c r="I1104" s="2"/>
      <c r="J1104" s="2">
        <f>IFERROR(__xludf.DUMMYFUNCTION("""COMPUTED_VALUE"""),1.0)</f>
        <v>1</v>
      </c>
      <c r="K1104" s="6">
        <f>IFERROR(__xludf.DUMMYFUNCTION("""COMPUTED_VALUE"""),19524.0)</f>
        <v>19524</v>
      </c>
      <c r="L1104" s="2">
        <f>IFERROR(__xludf.DUMMYFUNCTION("""COMPUTED_VALUE"""),0.0)</f>
        <v>0</v>
      </c>
      <c r="M1104" s="2">
        <f>IFERROR(__xludf.DUMMYFUNCTION("""COMPUTED_VALUE"""),19524.0)</f>
        <v>19524</v>
      </c>
      <c r="N1104" s="2">
        <f>IFERROR(__xludf.DUMMYFUNCTION("""COMPUTED_VALUE"""),0.0)</f>
        <v>0</v>
      </c>
      <c r="O1104" s="2">
        <f>IFERROR(__xludf.DUMMYFUNCTION("""COMPUTED_VALUE"""),19524.0)</f>
        <v>19524</v>
      </c>
      <c r="P1104" s="2">
        <f>IFERROR(__xludf.DUMMYFUNCTION("""COMPUTED_VALUE"""),976.0)</f>
        <v>976</v>
      </c>
      <c r="Q1104" s="2" t="str">
        <f>IFERROR(__xludf.DUMMYFUNCTION("""COMPUTED_VALUE"""),"Dine In")</f>
        <v>Dine In</v>
      </c>
      <c r="R1104" s="2" t="str">
        <f>IFERROR(__xludf.DUMMYFUNCTION("""COMPUTED_VALUE"""),"Kedai")</f>
        <v>Kedai</v>
      </c>
      <c r="S1104" s="2" t="str">
        <f>IFERROR(__xludf.DUMMYFUNCTION("""COMPUTED_VALUE"""),"Temu Roti")</f>
        <v>Temu Roti</v>
      </c>
      <c r="T1104" s="2" t="str">
        <f>IFERROR(__xludf.DUMMYFUNCTION("""COMPUTED_VALUE"""),"Owner")</f>
        <v>Owner</v>
      </c>
      <c r="U1104" s="2"/>
      <c r="V1104" s="2"/>
      <c r="W1104" s="2"/>
      <c r="X1104" s="2" t="str">
        <f>IFERROR(__xludf.DUMMYFUNCTION("""COMPUTED_VALUE"""),"Closed")</f>
        <v>Closed</v>
      </c>
    </row>
    <row r="1105">
      <c r="A1105" s="3" t="s">
        <v>1118</v>
      </c>
      <c r="B1105" s="4">
        <f>IFERROR(__xludf.DUMMYFUNCTION("SPLIT(A1105,"","",0,0)"),45543.40694444445)</f>
        <v>45543.40694</v>
      </c>
      <c r="C1105" s="5">
        <f>IFERROR(__xludf.DUMMYFUNCTION("""COMPUTED_VALUE"""),2645849.0)</f>
        <v>2645849</v>
      </c>
      <c r="D1105" s="2" t="str">
        <f>IFERROR(__xludf.DUMMYFUNCTION("""COMPUTED_VALUE"""),"Sale")</f>
        <v>Sale</v>
      </c>
      <c r="E1105" s="2" t="str">
        <f>IFERROR(__xludf.DUMMYFUNCTION("""COMPUTED_VALUE"""),"Roti")</f>
        <v>Roti</v>
      </c>
      <c r="F1105" s="2">
        <f>IFERROR(__xludf.DUMMYFUNCTION("""COMPUTED_VALUE"""),10002.0)</f>
        <v>10002</v>
      </c>
      <c r="G1105" s="2" t="str">
        <f>IFERROR(__xludf.DUMMYFUNCTION("""COMPUTED_VALUE"""),"Roti Cranberry")</f>
        <v>Roti Cranberry</v>
      </c>
      <c r="H1105" s="2"/>
      <c r="I1105" s="2"/>
      <c r="J1105" s="2">
        <f>IFERROR(__xludf.DUMMYFUNCTION("""COMPUTED_VALUE"""),1.0)</f>
        <v>1</v>
      </c>
      <c r="K1105" s="6">
        <f>IFERROR(__xludf.DUMMYFUNCTION("""COMPUTED_VALUE"""),18571.0)</f>
        <v>18571</v>
      </c>
      <c r="L1105" s="2">
        <f>IFERROR(__xludf.DUMMYFUNCTION("""COMPUTED_VALUE"""),0.0)</f>
        <v>0</v>
      </c>
      <c r="M1105" s="2">
        <f>IFERROR(__xludf.DUMMYFUNCTION("""COMPUTED_VALUE"""),18571.0)</f>
        <v>18571</v>
      </c>
      <c r="N1105" s="2">
        <f>IFERROR(__xludf.DUMMYFUNCTION("""COMPUTED_VALUE"""),0.0)</f>
        <v>0</v>
      </c>
      <c r="O1105" s="2">
        <f>IFERROR(__xludf.DUMMYFUNCTION("""COMPUTED_VALUE"""),18571.0)</f>
        <v>18571</v>
      </c>
      <c r="P1105" s="2">
        <f>IFERROR(__xludf.DUMMYFUNCTION("""COMPUTED_VALUE"""),929.0)</f>
        <v>929</v>
      </c>
      <c r="Q1105" s="2" t="str">
        <f>IFERROR(__xludf.DUMMYFUNCTION("""COMPUTED_VALUE"""),"Dine In")</f>
        <v>Dine In</v>
      </c>
      <c r="R1105" s="2" t="str">
        <f>IFERROR(__xludf.DUMMYFUNCTION("""COMPUTED_VALUE"""),"Kedai")</f>
        <v>Kedai</v>
      </c>
      <c r="S1105" s="2" t="str">
        <f>IFERROR(__xludf.DUMMYFUNCTION("""COMPUTED_VALUE"""),"Temu Roti")</f>
        <v>Temu Roti</v>
      </c>
      <c r="T1105" s="2" t="str">
        <f>IFERROR(__xludf.DUMMYFUNCTION("""COMPUTED_VALUE"""),"Owner")</f>
        <v>Owner</v>
      </c>
      <c r="U1105" s="2"/>
      <c r="V1105" s="2"/>
      <c r="W1105" s="2"/>
      <c r="X1105" s="2" t="str">
        <f>IFERROR(__xludf.DUMMYFUNCTION("""COMPUTED_VALUE"""),"Closed")</f>
        <v>Closed</v>
      </c>
    </row>
    <row r="1106">
      <c r="A1106" s="3" t="s">
        <v>1119</v>
      </c>
      <c r="B1106" s="4">
        <f>IFERROR(__xludf.DUMMYFUNCTION("SPLIT(A1106,"","",0,0)"),45543.40694444445)</f>
        <v>45543.40694</v>
      </c>
      <c r="C1106" s="5">
        <f>IFERROR(__xludf.DUMMYFUNCTION("""COMPUTED_VALUE"""),2645849.0)</f>
        <v>2645849</v>
      </c>
      <c r="D1106" s="2" t="str">
        <f>IFERROR(__xludf.DUMMYFUNCTION("""COMPUTED_VALUE"""),"Sale")</f>
        <v>Sale</v>
      </c>
      <c r="E1106" s="2" t="str">
        <f>IFERROR(__xludf.DUMMYFUNCTION("""COMPUTED_VALUE"""),"Roti")</f>
        <v>Roti</v>
      </c>
      <c r="F1106" s="2">
        <f>IFERROR(__xludf.DUMMYFUNCTION("""COMPUTED_VALUE"""),10005.0)</f>
        <v>10005</v>
      </c>
      <c r="G1106" s="2" t="str">
        <f>IFERROR(__xludf.DUMMYFUNCTION("""COMPUTED_VALUE"""),"Roti Gandum Cokelat")</f>
        <v>Roti Gandum Cokelat</v>
      </c>
      <c r="H1106" s="2"/>
      <c r="I1106" s="2"/>
      <c r="J1106" s="2">
        <f>IFERROR(__xludf.DUMMYFUNCTION("""COMPUTED_VALUE"""),1.0)</f>
        <v>1</v>
      </c>
      <c r="K1106" s="6">
        <f>IFERROR(__xludf.DUMMYFUNCTION("""COMPUTED_VALUE"""),19524.0)</f>
        <v>19524</v>
      </c>
      <c r="L1106" s="2">
        <f>IFERROR(__xludf.DUMMYFUNCTION("""COMPUTED_VALUE"""),0.0)</f>
        <v>0</v>
      </c>
      <c r="M1106" s="2">
        <f>IFERROR(__xludf.DUMMYFUNCTION("""COMPUTED_VALUE"""),19524.0)</f>
        <v>19524</v>
      </c>
      <c r="N1106" s="2">
        <f>IFERROR(__xludf.DUMMYFUNCTION("""COMPUTED_VALUE"""),0.0)</f>
        <v>0</v>
      </c>
      <c r="O1106" s="2">
        <f>IFERROR(__xludf.DUMMYFUNCTION("""COMPUTED_VALUE"""),19524.0)</f>
        <v>19524</v>
      </c>
      <c r="P1106" s="2">
        <f>IFERROR(__xludf.DUMMYFUNCTION("""COMPUTED_VALUE"""),976.0)</f>
        <v>976</v>
      </c>
      <c r="Q1106" s="2" t="str">
        <f>IFERROR(__xludf.DUMMYFUNCTION("""COMPUTED_VALUE"""),"Dine In")</f>
        <v>Dine In</v>
      </c>
      <c r="R1106" s="2" t="str">
        <f>IFERROR(__xludf.DUMMYFUNCTION("""COMPUTED_VALUE"""),"Kedai")</f>
        <v>Kedai</v>
      </c>
      <c r="S1106" s="2" t="str">
        <f>IFERROR(__xludf.DUMMYFUNCTION("""COMPUTED_VALUE"""),"Temu Roti")</f>
        <v>Temu Roti</v>
      </c>
      <c r="T1106" s="2" t="str">
        <f>IFERROR(__xludf.DUMMYFUNCTION("""COMPUTED_VALUE"""),"Owner")</f>
        <v>Owner</v>
      </c>
      <c r="U1106" s="2"/>
      <c r="V1106" s="2"/>
      <c r="W1106" s="2"/>
      <c r="X1106" s="2" t="str">
        <f>IFERROR(__xludf.DUMMYFUNCTION("""COMPUTED_VALUE"""),"Closed")</f>
        <v>Closed</v>
      </c>
    </row>
    <row r="1107">
      <c r="A1107" s="3" t="s">
        <v>1120</v>
      </c>
      <c r="B1107" s="4">
        <f>IFERROR(__xludf.DUMMYFUNCTION("SPLIT(A1107,"","",0,0)"),45543.40694444445)</f>
        <v>45543.40694</v>
      </c>
      <c r="C1107" s="5">
        <f>IFERROR(__xludf.DUMMYFUNCTION("""COMPUTED_VALUE"""),2645849.0)</f>
        <v>2645849</v>
      </c>
      <c r="D1107" s="2" t="str">
        <f>IFERROR(__xludf.DUMMYFUNCTION("""COMPUTED_VALUE"""),"Sale")</f>
        <v>Sale</v>
      </c>
      <c r="E1107" s="2" t="str">
        <f>IFERROR(__xludf.DUMMYFUNCTION("""COMPUTED_VALUE"""),"Kudapan")</f>
        <v>Kudapan</v>
      </c>
      <c r="F1107" s="2">
        <f>IFERROR(__xludf.DUMMYFUNCTION("""COMPUTED_VALUE"""),10014.0)</f>
        <v>10014</v>
      </c>
      <c r="G1107" s="2" t="str">
        <f>IFERROR(__xludf.DUMMYFUNCTION("""COMPUTED_VALUE"""),"Tempe Mendoan")</f>
        <v>Tempe Mendoan</v>
      </c>
      <c r="H1107" s="2"/>
      <c r="I1107" s="2"/>
      <c r="J1107" s="2">
        <f>IFERROR(__xludf.DUMMYFUNCTION("""COMPUTED_VALUE"""),1.0)</f>
        <v>1</v>
      </c>
      <c r="K1107" s="6">
        <f>IFERROR(__xludf.DUMMYFUNCTION("""COMPUTED_VALUE"""),25238.0)</f>
        <v>25238</v>
      </c>
      <c r="L1107" s="2">
        <f>IFERROR(__xludf.DUMMYFUNCTION("""COMPUTED_VALUE"""),0.0)</f>
        <v>0</v>
      </c>
      <c r="M1107" s="2">
        <f>IFERROR(__xludf.DUMMYFUNCTION("""COMPUTED_VALUE"""),25238.0)</f>
        <v>25238</v>
      </c>
      <c r="N1107" s="2">
        <f>IFERROR(__xludf.DUMMYFUNCTION("""COMPUTED_VALUE"""),0.0)</f>
        <v>0</v>
      </c>
      <c r="O1107" s="2">
        <f>IFERROR(__xludf.DUMMYFUNCTION("""COMPUTED_VALUE"""),25238.0)</f>
        <v>25238</v>
      </c>
      <c r="P1107" s="2">
        <f>IFERROR(__xludf.DUMMYFUNCTION("""COMPUTED_VALUE"""),1262.0)</f>
        <v>1262</v>
      </c>
      <c r="Q1107" s="2" t="str">
        <f>IFERROR(__xludf.DUMMYFUNCTION("""COMPUTED_VALUE"""),"Dine In")</f>
        <v>Dine In</v>
      </c>
      <c r="R1107" s="2" t="str">
        <f>IFERROR(__xludf.DUMMYFUNCTION("""COMPUTED_VALUE"""),"Kedai")</f>
        <v>Kedai</v>
      </c>
      <c r="S1107" s="2" t="str">
        <f>IFERROR(__xludf.DUMMYFUNCTION("""COMPUTED_VALUE"""),"Temu Roti")</f>
        <v>Temu Roti</v>
      </c>
      <c r="T1107" s="2" t="str">
        <f>IFERROR(__xludf.DUMMYFUNCTION("""COMPUTED_VALUE"""),"Owner")</f>
        <v>Owner</v>
      </c>
      <c r="U1107" s="2"/>
      <c r="V1107" s="2"/>
      <c r="W1107" s="2"/>
      <c r="X1107" s="2" t="str">
        <f>IFERROR(__xludf.DUMMYFUNCTION("""COMPUTED_VALUE"""),"Closed")</f>
        <v>Closed</v>
      </c>
    </row>
    <row r="1108">
      <c r="A1108" s="3" t="s">
        <v>1121</v>
      </c>
      <c r="B1108" s="4">
        <f>IFERROR(__xludf.DUMMYFUNCTION("SPLIT(A1108,"","",0,0)"),45543.40694444445)</f>
        <v>45543.40694</v>
      </c>
      <c r="C1108" s="5">
        <f>IFERROR(__xludf.DUMMYFUNCTION("""COMPUTED_VALUE"""),2645849.0)</f>
        <v>2645849</v>
      </c>
      <c r="D1108" s="2" t="str">
        <f>IFERROR(__xludf.DUMMYFUNCTION("""COMPUTED_VALUE"""),"Sale")</f>
        <v>Sale</v>
      </c>
      <c r="E1108" s="2" t="str">
        <f>IFERROR(__xludf.DUMMYFUNCTION("""COMPUTED_VALUE"""),"Minuman")</f>
        <v>Minuman</v>
      </c>
      <c r="F1108" s="2">
        <f>IFERROR(__xludf.DUMMYFUNCTION("""COMPUTED_VALUE"""),10128.0)</f>
        <v>10128</v>
      </c>
      <c r="G1108" s="2" t="str">
        <f>IFERROR(__xludf.DUMMYFUNCTION("""COMPUTED_VALUE"""),"Es Kopi Susu")</f>
        <v>Es Kopi Susu</v>
      </c>
      <c r="H1108" s="2"/>
      <c r="I1108" s="2"/>
      <c r="J1108" s="2">
        <f>IFERROR(__xludf.DUMMYFUNCTION("""COMPUTED_VALUE"""),2.0)</f>
        <v>2</v>
      </c>
      <c r="K1108" s="6">
        <f>IFERROR(__xludf.DUMMYFUNCTION("""COMPUTED_VALUE"""),46666.0)</f>
        <v>46666</v>
      </c>
      <c r="L1108" s="2">
        <f>IFERROR(__xludf.DUMMYFUNCTION("""COMPUTED_VALUE"""),0.0)</f>
        <v>0</v>
      </c>
      <c r="M1108" s="2">
        <f>IFERROR(__xludf.DUMMYFUNCTION("""COMPUTED_VALUE"""),46666.0)</f>
        <v>46666</v>
      </c>
      <c r="N1108" s="2">
        <f>IFERROR(__xludf.DUMMYFUNCTION("""COMPUTED_VALUE"""),0.0)</f>
        <v>0</v>
      </c>
      <c r="O1108" s="2">
        <f>IFERROR(__xludf.DUMMYFUNCTION("""COMPUTED_VALUE"""),46666.0)</f>
        <v>46666</v>
      </c>
      <c r="P1108" s="2">
        <f>IFERROR(__xludf.DUMMYFUNCTION("""COMPUTED_VALUE"""),2333.0)</f>
        <v>2333</v>
      </c>
      <c r="Q1108" s="2" t="str">
        <f>IFERROR(__xludf.DUMMYFUNCTION("""COMPUTED_VALUE"""),"Dine In")</f>
        <v>Dine In</v>
      </c>
      <c r="R1108" s="2" t="str">
        <f>IFERROR(__xludf.DUMMYFUNCTION("""COMPUTED_VALUE"""),"Kedai")</f>
        <v>Kedai</v>
      </c>
      <c r="S1108" s="2" t="str">
        <f>IFERROR(__xludf.DUMMYFUNCTION("""COMPUTED_VALUE"""),"Temu Roti")</f>
        <v>Temu Roti</v>
      </c>
      <c r="T1108" s="2" t="str">
        <f>IFERROR(__xludf.DUMMYFUNCTION("""COMPUTED_VALUE"""),"Owner")</f>
        <v>Owner</v>
      </c>
      <c r="U1108" s="2"/>
      <c r="V1108" s="2"/>
      <c r="W1108" s="2"/>
      <c r="X1108" s="2" t="str">
        <f>IFERROR(__xludf.DUMMYFUNCTION("""COMPUTED_VALUE"""),"Closed")</f>
        <v>Closed</v>
      </c>
    </row>
    <row r="1109">
      <c r="A1109" s="3" t="s">
        <v>1122</v>
      </c>
      <c r="B1109" s="4">
        <f>IFERROR(__xludf.DUMMYFUNCTION("SPLIT(A1109,"","",0,0)"),45543.40694444445)</f>
        <v>45543.40694</v>
      </c>
      <c r="C1109" s="5">
        <f>IFERROR(__xludf.DUMMYFUNCTION("""COMPUTED_VALUE"""),2645849.0)</f>
        <v>2645849</v>
      </c>
      <c r="D1109" s="2" t="str">
        <f>IFERROR(__xludf.DUMMYFUNCTION("""COMPUTED_VALUE"""),"Sale")</f>
        <v>Sale</v>
      </c>
      <c r="E1109" s="2" t="str">
        <f>IFERROR(__xludf.DUMMYFUNCTION("""COMPUTED_VALUE"""),"Minuman")</f>
        <v>Minuman</v>
      </c>
      <c r="F1109" s="2">
        <f>IFERROR(__xludf.DUMMYFUNCTION("""COMPUTED_VALUE"""),10013.0)</f>
        <v>10013</v>
      </c>
      <c r="G1109" s="2" t="str">
        <f>IFERROR(__xludf.DUMMYFUNCTION("""COMPUTED_VALUE"""),"Kopi cur")</f>
        <v>Kopi cur</v>
      </c>
      <c r="H1109" s="2"/>
      <c r="I1109" s="2"/>
      <c r="J1109" s="2">
        <f>IFERROR(__xludf.DUMMYFUNCTION("""COMPUTED_VALUE"""),1.0)</f>
        <v>1</v>
      </c>
      <c r="K1109" s="6">
        <f>IFERROR(__xludf.DUMMYFUNCTION("""COMPUTED_VALUE"""),23333.0)</f>
        <v>23333</v>
      </c>
      <c r="L1109" s="2">
        <f>IFERROR(__xludf.DUMMYFUNCTION("""COMPUTED_VALUE"""),0.0)</f>
        <v>0</v>
      </c>
      <c r="M1109" s="2">
        <f>IFERROR(__xludf.DUMMYFUNCTION("""COMPUTED_VALUE"""),23333.0)</f>
        <v>23333</v>
      </c>
      <c r="N1109" s="2">
        <f>IFERROR(__xludf.DUMMYFUNCTION("""COMPUTED_VALUE"""),0.0)</f>
        <v>0</v>
      </c>
      <c r="O1109" s="2">
        <f>IFERROR(__xludf.DUMMYFUNCTION("""COMPUTED_VALUE"""),23333.0)</f>
        <v>23333</v>
      </c>
      <c r="P1109" s="2">
        <f>IFERROR(__xludf.DUMMYFUNCTION("""COMPUTED_VALUE"""),1167.0)</f>
        <v>1167</v>
      </c>
      <c r="Q1109" s="2" t="str">
        <f>IFERROR(__xludf.DUMMYFUNCTION("""COMPUTED_VALUE"""),"Dine In")</f>
        <v>Dine In</v>
      </c>
      <c r="R1109" s="2" t="str">
        <f>IFERROR(__xludf.DUMMYFUNCTION("""COMPUTED_VALUE"""),"Kedai")</f>
        <v>Kedai</v>
      </c>
      <c r="S1109" s="2" t="str">
        <f>IFERROR(__xludf.DUMMYFUNCTION("""COMPUTED_VALUE"""),"Temu Roti")</f>
        <v>Temu Roti</v>
      </c>
      <c r="T1109" s="2" t="str">
        <f>IFERROR(__xludf.DUMMYFUNCTION("""COMPUTED_VALUE"""),"Owner")</f>
        <v>Owner</v>
      </c>
      <c r="U1109" s="2"/>
      <c r="V1109" s="2"/>
      <c r="W1109" s="2"/>
      <c r="X1109" s="2" t="str">
        <f>IFERROR(__xludf.DUMMYFUNCTION("""COMPUTED_VALUE"""),"Closed")</f>
        <v>Closed</v>
      </c>
    </row>
    <row r="1110">
      <c r="A1110" s="3" t="s">
        <v>1123</v>
      </c>
      <c r="B1110" s="4">
        <f>IFERROR(__xludf.DUMMYFUNCTION("SPLIT(A1110,"","",0,0)"),45543.40694444445)</f>
        <v>45543.40694</v>
      </c>
      <c r="C1110" s="5">
        <f>IFERROR(__xludf.DUMMYFUNCTION("""COMPUTED_VALUE"""),2645849.0)</f>
        <v>2645849</v>
      </c>
      <c r="D1110" s="2" t="str">
        <f>IFERROR(__xludf.DUMMYFUNCTION("""COMPUTED_VALUE"""),"Sale")</f>
        <v>Sale</v>
      </c>
      <c r="E1110" s="2" t="str">
        <f>IFERROR(__xludf.DUMMYFUNCTION("""COMPUTED_VALUE"""),"Minuman")</f>
        <v>Minuman</v>
      </c>
      <c r="F1110" s="2">
        <f>IFERROR(__xludf.DUMMYFUNCTION("""COMPUTED_VALUE"""),10106.0)</f>
        <v>10106</v>
      </c>
      <c r="G1110" s="2" t="str">
        <f>IFERROR(__xludf.DUMMYFUNCTION("""COMPUTED_VALUE"""),"Korean Strawberry Fresh Milk")</f>
        <v>Korean Strawberry Fresh Milk</v>
      </c>
      <c r="H1110" s="2"/>
      <c r="I1110" s="2"/>
      <c r="J1110" s="2">
        <f>IFERROR(__xludf.DUMMYFUNCTION("""COMPUTED_VALUE"""),1.0)</f>
        <v>1</v>
      </c>
      <c r="K1110" s="6">
        <f>IFERROR(__xludf.DUMMYFUNCTION("""COMPUTED_VALUE"""),26667.0)</f>
        <v>26667</v>
      </c>
      <c r="L1110" s="2">
        <f>IFERROR(__xludf.DUMMYFUNCTION("""COMPUTED_VALUE"""),0.0)</f>
        <v>0</v>
      </c>
      <c r="M1110" s="2">
        <f>IFERROR(__xludf.DUMMYFUNCTION("""COMPUTED_VALUE"""),26667.0)</f>
        <v>26667</v>
      </c>
      <c r="N1110" s="2">
        <f>IFERROR(__xludf.DUMMYFUNCTION("""COMPUTED_VALUE"""),0.0)</f>
        <v>0</v>
      </c>
      <c r="O1110" s="2">
        <f>IFERROR(__xludf.DUMMYFUNCTION("""COMPUTED_VALUE"""),26667.0)</f>
        <v>26667</v>
      </c>
      <c r="P1110" s="2">
        <f>IFERROR(__xludf.DUMMYFUNCTION("""COMPUTED_VALUE"""),1333.0)</f>
        <v>1333</v>
      </c>
      <c r="Q1110" s="2" t="str">
        <f>IFERROR(__xludf.DUMMYFUNCTION("""COMPUTED_VALUE"""),"Dine In")</f>
        <v>Dine In</v>
      </c>
      <c r="R1110" s="2" t="str">
        <f>IFERROR(__xludf.DUMMYFUNCTION("""COMPUTED_VALUE"""),"Kedai")</f>
        <v>Kedai</v>
      </c>
      <c r="S1110" s="2" t="str">
        <f>IFERROR(__xludf.DUMMYFUNCTION("""COMPUTED_VALUE"""),"Temu Roti")</f>
        <v>Temu Roti</v>
      </c>
      <c r="T1110" s="2" t="str">
        <f>IFERROR(__xludf.DUMMYFUNCTION("""COMPUTED_VALUE"""),"Owner")</f>
        <v>Owner</v>
      </c>
      <c r="U1110" s="2"/>
      <c r="V1110" s="2"/>
      <c r="W1110" s="2"/>
      <c r="X1110" s="2" t="str">
        <f>IFERROR(__xludf.DUMMYFUNCTION("""COMPUTED_VALUE"""),"Closed")</f>
        <v>Closed</v>
      </c>
    </row>
    <row r="1111">
      <c r="A1111" s="3" t="s">
        <v>1124</v>
      </c>
      <c r="B1111" s="4">
        <f>IFERROR(__xludf.DUMMYFUNCTION("SPLIT(A1111,"","",0,0)"),45543.40694444445)</f>
        <v>45543.40694</v>
      </c>
      <c r="C1111" s="5">
        <f>IFERROR(__xludf.DUMMYFUNCTION("""COMPUTED_VALUE"""),2645849.0)</f>
        <v>2645849</v>
      </c>
      <c r="D1111" s="2" t="str">
        <f>IFERROR(__xludf.DUMMYFUNCTION("""COMPUTED_VALUE"""),"Sale")</f>
        <v>Sale</v>
      </c>
      <c r="E1111" s="2" t="str">
        <f>IFERROR(__xludf.DUMMYFUNCTION("""COMPUTED_VALUE"""),"Minuman")</f>
        <v>Minuman</v>
      </c>
      <c r="F1111" s="2">
        <f>IFERROR(__xludf.DUMMYFUNCTION("""COMPUTED_VALUE"""),10056.0)</f>
        <v>10056</v>
      </c>
      <c r="G1111" s="2" t="str">
        <f>IFERROR(__xludf.DUMMYFUNCTION("""COMPUTED_VALUE"""),"Susu murni moca")</f>
        <v>Susu murni moca</v>
      </c>
      <c r="H1111" s="2"/>
      <c r="I1111" s="2"/>
      <c r="J1111" s="2">
        <f>IFERROR(__xludf.DUMMYFUNCTION("""COMPUTED_VALUE"""),1.0)</f>
        <v>1</v>
      </c>
      <c r="K1111" s="6">
        <f>IFERROR(__xludf.DUMMYFUNCTION("""COMPUTED_VALUE"""),19524.0)</f>
        <v>19524</v>
      </c>
      <c r="L1111" s="2">
        <f>IFERROR(__xludf.DUMMYFUNCTION("""COMPUTED_VALUE"""),0.0)</f>
        <v>0</v>
      </c>
      <c r="M1111" s="2">
        <f>IFERROR(__xludf.DUMMYFUNCTION("""COMPUTED_VALUE"""),19524.0)</f>
        <v>19524</v>
      </c>
      <c r="N1111" s="2">
        <f>IFERROR(__xludf.DUMMYFUNCTION("""COMPUTED_VALUE"""),0.0)</f>
        <v>0</v>
      </c>
      <c r="O1111" s="2">
        <f>IFERROR(__xludf.DUMMYFUNCTION("""COMPUTED_VALUE"""),19524.0)</f>
        <v>19524</v>
      </c>
      <c r="P1111" s="2">
        <f>IFERROR(__xludf.DUMMYFUNCTION("""COMPUTED_VALUE"""),976.0)</f>
        <v>976</v>
      </c>
      <c r="Q1111" s="2" t="str">
        <f>IFERROR(__xludf.DUMMYFUNCTION("""COMPUTED_VALUE"""),"Dine In")</f>
        <v>Dine In</v>
      </c>
      <c r="R1111" s="2" t="str">
        <f>IFERROR(__xludf.DUMMYFUNCTION("""COMPUTED_VALUE"""),"Kedai")</f>
        <v>Kedai</v>
      </c>
      <c r="S1111" s="2" t="str">
        <f>IFERROR(__xludf.DUMMYFUNCTION("""COMPUTED_VALUE"""),"Temu Roti")</f>
        <v>Temu Roti</v>
      </c>
      <c r="T1111" s="2" t="str">
        <f>IFERROR(__xludf.DUMMYFUNCTION("""COMPUTED_VALUE"""),"Owner")</f>
        <v>Owner</v>
      </c>
      <c r="U1111" s="2"/>
      <c r="V1111" s="2"/>
      <c r="W1111" s="2"/>
      <c r="X1111" s="2" t="str">
        <f>IFERROR(__xludf.DUMMYFUNCTION("""COMPUTED_VALUE"""),"Closed")</f>
        <v>Closed</v>
      </c>
    </row>
    <row r="1112">
      <c r="A1112" s="3" t="s">
        <v>1125</v>
      </c>
      <c r="B1112" s="4">
        <f>IFERROR(__xludf.DUMMYFUNCTION("SPLIT(A1112,"","",0,0)"),45543.40694444445)</f>
        <v>45543.40694</v>
      </c>
      <c r="C1112" s="5">
        <f>IFERROR(__xludf.DUMMYFUNCTION("""COMPUTED_VALUE"""),2645849.0)</f>
        <v>2645849</v>
      </c>
      <c r="D1112" s="2" t="str">
        <f>IFERROR(__xludf.DUMMYFUNCTION("""COMPUTED_VALUE"""),"Sale")</f>
        <v>Sale</v>
      </c>
      <c r="E1112" s="2" t="str">
        <f>IFERROR(__xludf.DUMMYFUNCTION("""COMPUTED_VALUE"""),"Kudapan")</f>
        <v>Kudapan</v>
      </c>
      <c r="F1112" s="2">
        <f>IFERROR(__xludf.DUMMYFUNCTION("""COMPUTED_VALUE"""),10051.0)</f>
        <v>10051</v>
      </c>
      <c r="G1112" s="2" t="str">
        <f>IFERROR(__xludf.DUMMYFUNCTION("""COMPUTED_VALUE"""),"Tahu baso")</f>
        <v>Tahu baso</v>
      </c>
      <c r="H1112" s="2"/>
      <c r="I1112" s="2"/>
      <c r="J1112" s="2">
        <f>IFERROR(__xludf.DUMMYFUNCTION("""COMPUTED_VALUE"""),1.0)</f>
        <v>1</v>
      </c>
      <c r="K1112" s="6">
        <f>IFERROR(__xludf.DUMMYFUNCTION("""COMPUTED_VALUE"""),25238.0)</f>
        <v>25238</v>
      </c>
      <c r="L1112" s="2">
        <f>IFERROR(__xludf.DUMMYFUNCTION("""COMPUTED_VALUE"""),0.0)</f>
        <v>0</v>
      </c>
      <c r="M1112" s="2">
        <f>IFERROR(__xludf.DUMMYFUNCTION("""COMPUTED_VALUE"""),25238.0)</f>
        <v>25238</v>
      </c>
      <c r="N1112" s="2">
        <f>IFERROR(__xludf.DUMMYFUNCTION("""COMPUTED_VALUE"""),0.0)</f>
        <v>0</v>
      </c>
      <c r="O1112" s="2">
        <f>IFERROR(__xludf.DUMMYFUNCTION("""COMPUTED_VALUE"""),25238.0)</f>
        <v>25238</v>
      </c>
      <c r="P1112" s="2">
        <f>IFERROR(__xludf.DUMMYFUNCTION("""COMPUTED_VALUE"""),1262.0)</f>
        <v>1262</v>
      </c>
      <c r="Q1112" s="2" t="str">
        <f>IFERROR(__xludf.DUMMYFUNCTION("""COMPUTED_VALUE"""),"Dine In")</f>
        <v>Dine In</v>
      </c>
      <c r="R1112" s="2" t="str">
        <f>IFERROR(__xludf.DUMMYFUNCTION("""COMPUTED_VALUE"""),"Kedai")</f>
        <v>Kedai</v>
      </c>
      <c r="S1112" s="2" t="str">
        <f>IFERROR(__xludf.DUMMYFUNCTION("""COMPUTED_VALUE"""),"Temu Roti")</f>
        <v>Temu Roti</v>
      </c>
      <c r="T1112" s="2" t="str">
        <f>IFERROR(__xludf.DUMMYFUNCTION("""COMPUTED_VALUE"""),"Owner")</f>
        <v>Owner</v>
      </c>
      <c r="U1112" s="2"/>
      <c r="V1112" s="2"/>
      <c r="W1112" s="2"/>
      <c r="X1112" s="2" t="str">
        <f>IFERROR(__xludf.DUMMYFUNCTION("""COMPUTED_VALUE"""),"Closed")</f>
        <v>Closed</v>
      </c>
    </row>
    <row r="1113">
      <c r="A1113" s="3" t="s">
        <v>1126</v>
      </c>
      <c r="B1113" s="4">
        <f>IFERROR(__xludf.DUMMYFUNCTION("SPLIT(A1113,"","",0,0)"),45543.384722222225)</f>
        <v>45543.38472</v>
      </c>
      <c r="C1113" s="5">
        <f>IFERROR(__xludf.DUMMYFUNCTION("""COMPUTED_VALUE"""),2645484.0)</f>
        <v>2645484</v>
      </c>
      <c r="D1113" s="2" t="str">
        <f>IFERROR(__xludf.DUMMYFUNCTION("""COMPUTED_VALUE"""),"Sale")</f>
        <v>Sale</v>
      </c>
      <c r="E1113" s="2" t="str">
        <f>IFERROR(__xludf.DUMMYFUNCTION("""COMPUTED_VALUE"""),"Roti")</f>
        <v>Roti</v>
      </c>
      <c r="F1113" s="2">
        <f>IFERROR(__xludf.DUMMYFUNCTION("""COMPUTED_VALUE"""),10005.0)</f>
        <v>10005</v>
      </c>
      <c r="G1113" s="2" t="str">
        <f>IFERROR(__xludf.DUMMYFUNCTION("""COMPUTED_VALUE"""),"Roti Gandum Cokelat")</f>
        <v>Roti Gandum Cokelat</v>
      </c>
      <c r="H1113" s="2"/>
      <c r="I1113" s="2"/>
      <c r="J1113" s="2">
        <f>IFERROR(__xludf.DUMMYFUNCTION("""COMPUTED_VALUE"""),1.0)</f>
        <v>1</v>
      </c>
      <c r="K1113" s="6">
        <f>IFERROR(__xludf.DUMMYFUNCTION("""COMPUTED_VALUE"""),19524.0)</f>
        <v>19524</v>
      </c>
      <c r="L1113" s="2">
        <f>IFERROR(__xludf.DUMMYFUNCTION("""COMPUTED_VALUE"""),0.0)</f>
        <v>0</v>
      </c>
      <c r="M1113" s="2">
        <f>IFERROR(__xludf.DUMMYFUNCTION("""COMPUTED_VALUE"""),19524.0)</f>
        <v>19524</v>
      </c>
      <c r="N1113" s="2">
        <f>IFERROR(__xludf.DUMMYFUNCTION("""COMPUTED_VALUE"""),0.0)</f>
        <v>0</v>
      </c>
      <c r="O1113" s="2">
        <f>IFERROR(__xludf.DUMMYFUNCTION("""COMPUTED_VALUE"""),19524.0)</f>
        <v>19524</v>
      </c>
      <c r="P1113" s="2">
        <f>IFERROR(__xludf.DUMMYFUNCTION("""COMPUTED_VALUE"""),976.0)</f>
        <v>976</v>
      </c>
      <c r="Q1113" s="2" t="str">
        <f>IFERROR(__xludf.DUMMYFUNCTION("""COMPUTED_VALUE"""),"Dine In")</f>
        <v>Dine In</v>
      </c>
      <c r="R1113" s="2" t="str">
        <f>IFERROR(__xludf.DUMMYFUNCTION("""COMPUTED_VALUE"""),"Kedai")</f>
        <v>Kedai</v>
      </c>
      <c r="S1113" s="2" t="str">
        <f>IFERROR(__xludf.DUMMYFUNCTION("""COMPUTED_VALUE"""),"Temu Roti")</f>
        <v>Temu Roti</v>
      </c>
      <c r="T1113" s="2" t="str">
        <f>IFERROR(__xludf.DUMMYFUNCTION("""COMPUTED_VALUE"""),"Owner")</f>
        <v>Owner</v>
      </c>
      <c r="U1113" s="2"/>
      <c r="V1113" s="2"/>
      <c r="W1113" s="2"/>
      <c r="X1113" s="2" t="str">
        <f>IFERROR(__xludf.DUMMYFUNCTION("""COMPUTED_VALUE"""),"Closed")</f>
        <v>Closed</v>
      </c>
    </row>
    <row r="1114">
      <c r="A1114" s="3" t="s">
        <v>1127</v>
      </c>
      <c r="B1114" s="4">
        <f>IFERROR(__xludf.DUMMYFUNCTION("SPLIT(A1114,"","",0,0)"),45543.384722222225)</f>
        <v>45543.38472</v>
      </c>
      <c r="C1114" s="5">
        <f>IFERROR(__xludf.DUMMYFUNCTION("""COMPUTED_VALUE"""),2645484.0)</f>
        <v>2645484</v>
      </c>
      <c r="D1114" s="2" t="str">
        <f>IFERROR(__xludf.DUMMYFUNCTION("""COMPUTED_VALUE"""),"Sale")</f>
        <v>Sale</v>
      </c>
      <c r="E1114" s="2" t="str">
        <f>IFERROR(__xludf.DUMMYFUNCTION("""COMPUTED_VALUE"""),"Roti")</f>
        <v>Roti</v>
      </c>
      <c r="F1114" s="2">
        <f>IFERROR(__xludf.DUMMYFUNCTION("""COMPUTED_VALUE"""),10007.0)</f>
        <v>10007</v>
      </c>
      <c r="G1114" s="2" t="str">
        <f>IFERROR(__xludf.DUMMYFUNCTION("""COMPUTED_VALUE"""),"Roti cranberry 2 pcs")</f>
        <v>Roti cranberry 2 pcs</v>
      </c>
      <c r="H1114" s="2"/>
      <c r="I1114" s="2"/>
      <c r="J1114" s="2">
        <f>IFERROR(__xludf.DUMMYFUNCTION("""COMPUTED_VALUE"""),1.0)</f>
        <v>1</v>
      </c>
      <c r="K1114" s="6">
        <f>IFERROR(__xludf.DUMMYFUNCTION("""COMPUTED_VALUE"""),33810.0)</f>
        <v>33810</v>
      </c>
      <c r="L1114" s="2">
        <f>IFERROR(__xludf.DUMMYFUNCTION("""COMPUTED_VALUE"""),0.0)</f>
        <v>0</v>
      </c>
      <c r="M1114" s="2">
        <f>IFERROR(__xludf.DUMMYFUNCTION("""COMPUTED_VALUE"""),33810.0)</f>
        <v>33810</v>
      </c>
      <c r="N1114" s="2">
        <f>IFERROR(__xludf.DUMMYFUNCTION("""COMPUTED_VALUE"""),0.0)</f>
        <v>0</v>
      </c>
      <c r="O1114" s="2">
        <f>IFERROR(__xludf.DUMMYFUNCTION("""COMPUTED_VALUE"""),33810.0)</f>
        <v>33810</v>
      </c>
      <c r="P1114" s="2">
        <f>IFERROR(__xludf.DUMMYFUNCTION("""COMPUTED_VALUE"""),1691.0)</f>
        <v>1691</v>
      </c>
      <c r="Q1114" s="2" t="str">
        <f>IFERROR(__xludf.DUMMYFUNCTION("""COMPUTED_VALUE"""),"Dine In")</f>
        <v>Dine In</v>
      </c>
      <c r="R1114" s="2" t="str">
        <f>IFERROR(__xludf.DUMMYFUNCTION("""COMPUTED_VALUE"""),"Kedai")</f>
        <v>Kedai</v>
      </c>
      <c r="S1114" s="2" t="str">
        <f>IFERROR(__xludf.DUMMYFUNCTION("""COMPUTED_VALUE"""),"Temu Roti")</f>
        <v>Temu Roti</v>
      </c>
      <c r="T1114" s="2" t="str">
        <f>IFERROR(__xludf.DUMMYFUNCTION("""COMPUTED_VALUE"""),"Owner")</f>
        <v>Owner</v>
      </c>
      <c r="U1114" s="2"/>
      <c r="V1114" s="2"/>
      <c r="W1114" s="2"/>
      <c r="X1114" s="2" t="str">
        <f>IFERROR(__xludf.DUMMYFUNCTION("""COMPUTED_VALUE"""),"Closed")</f>
        <v>Closed</v>
      </c>
    </row>
    <row r="1115">
      <c r="A1115" s="3" t="s">
        <v>1128</v>
      </c>
      <c r="B1115" s="4">
        <f>IFERROR(__xludf.DUMMYFUNCTION("SPLIT(A1115,"","",0,0)"),45543.384722222225)</f>
        <v>45543.38472</v>
      </c>
      <c r="C1115" s="5">
        <f>IFERROR(__xludf.DUMMYFUNCTION("""COMPUTED_VALUE"""),2645484.0)</f>
        <v>2645484</v>
      </c>
      <c r="D1115" s="2" t="str">
        <f>IFERROR(__xludf.DUMMYFUNCTION("""COMPUTED_VALUE"""),"Sale")</f>
        <v>Sale</v>
      </c>
      <c r="E1115" s="2" t="str">
        <f>IFERROR(__xludf.DUMMYFUNCTION("""COMPUTED_VALUE"""),"Minuman")</f>
        <v>Minuman</v>
      </c>
      <c r="F1115" s="2">
        <f>IFERROR(__xludf.DUMMYFUNCTION("""COMPUTED_VALUE"""),10026.0)</f>
        <v>10026</v>
      </c>
      <c r="G1115" s="2" t="str">
        <f>IFERROR(__xludf.DUMMYFUNCTION("""COMPUTED_VALUE"""),"Es Kopi Lemon")</f>
        <v>Es Kopi Lemon</v>
      </c>
      <c r="H1115" s="2"/>
      <c r="I1115" s="2"/>
      <c r="J1115" s="2">
        <f>IFERROR(__xludf.DUMMYFUNCTION("""COMPUTED_VALUE"""),1.0)</f>
        <v>1</v>
      </c>
      <c r="K1115" s="6">
        <f>IFERROR(__xludf.DUMMYFUNCTION("""COMPUTED_VALUE"""),21905.0)</f>
        <v>21905</v>
      </c>
      <c r="L1115" s="2">
        <f>IFERROR(__xludf.DUMMYFUNCTION("""COMPUTED_VALUE"""),0.0)</f>
        <v>0</v>
      </c>
      <c r="M1115" s="2">
        <f>IFERROR(__xludf.DUMMYFUNCTION("""COMPUTED_VALUE"""),21905.0)</f>
        <v>21905</v>
      </c>
      <c r="N1115" s="2">
        <f>IFERROR(__xludf.DUMMYFUNCTION("""COMPUTED_VALUE"""),0.0)</f>
        <v>0</v>
      </c>
      <c r="O1115" s="2">
        <f>IFERROR(__xludf.DUMMYFUNCTION("""COMPUTED_VALUE"""),21905.0)</f>
        <v>21905</v>
      </c>
      <c r="P1115" s="2">
        <f>IFERROR(__xludf.DUMMYFUNCTION("""COMPUTED_VALUE"""),1095.0)</f>
        <v>1095</v>
      </c>
      <c r="Q1115" s="2" t="str">
        <f>IFERROR(__xludf.DUMMYFUNCTION("""COMPUTED_VALUE"""),"Dine In")</f>
        <v>Dine In</v>
      </c>
      <c r="R1115" s="2" t="str">
        <f>IFERROR(__xludf.DUMMYFUNCTION("""COMPUTED_VALUE"""),"Kedai")</f>
        <v>Kedai</v>
      </c>
      <c r="S1115" s="2" t="str">
        <f>IFERROR(__xludf.DUMMYFUNCTION("""COMPUTED_VALUE"""),"Temu Roti")</f>
        <v>Temu Roti</v>
      </c>
      <c r="T1115" s="2" t="str">
        <f>IFERROR(__xludf.DUMMYFUNCTION("""COMPUTED_VALUE"""),"Owner")</f>
        <v>Owner</v>
      </c>
      <c r="U1115" s="2"/>
      <c r="V1115" s="2"/>
      <c r="W1115" s="2"/>
      <c r="X1115" s="2" t="str">
        <f>IFERROR(__xludf.DUMMYFUNCTION("""COMPUTED_VALUE"""),"Closed")</f>
        <v>Closed</v>
      </c>
    </row>
    <row r="1116">
      <c r="A1116" s="3" t="s">
        <v>1129</v>
      </c>
      <c r="B1116" s="4">
        <f>IFERROR(__xludf.DUMMYFUNCTION("SPLIT(A1116,"","",0,0)"),45543.384722222225)</f>
        <v>45543.38472</v>
      </c>
      <c r="C1116" s="5">
        <f>IFERROR(__xludf.DUMMYFUNCTION("""COMPUTED_VALUE"""),2645484.0)</f>
        <v>2645484</v>
      </c>
      <c r="D1116" s="2" t="str">
        <f>IFERROR(__xludf.DUMMYFUNCTION("""COMPUTED_VALUE"""),"Sale")</f>
        <v>Sale</v>
      </c>
      <c r="E1116" s="2" t="str">
        <f>IFERROR(__xludf.DUMMYFUNCTION("""COMPUTED_VALUE"""),"Kudapan")</f>
        <v>Kudapan</v>
      </c>
      <c r="F1116" s="2">
        <f>IFERROR(__xludf.DUMMYFUNCTION("""COMPUTED_VALUE"""),10015.0)</f>
        <v>10015</v>
      </c>
      <c r="G1116" s="2" t="str">
        <f>IFERROR(__xludf.DUMMYFUNCTION("""COMPUTED_VALUE"""),"Tahu Lada Garam")</f>
        <v>Tahu Lada Garam</v>
      </c>
      <c r="H1116" s="2"/>
      <c r="I1116" s="2"/>
      <c r="J1116" s="2">
        <f>IFERROR(__xludf.DUMMYFUNCTION("""COMPUTED_VALUE"""),1.0)</f>
        <v>1</v>
      </c>
      <c r="K1116" s="6">
        <f>IFERROR(__xludf.DUMMYFUNCTION("""COMPUTED_VALUE"""),25238.0)</f>
        <v>25238</v>
      </c>
      <c r="L1116" s="2">
        <f>IFERROR(__xludf.DUMMYFUNCTION("""COMPUTED_VALUE"""),0.0)</f>
        <v>0</v>
      </c>
      <c r="M1116" s="2">
        <f>IFERROR(__xludf.DUMMYFUNCTION("""COMPUTED_VALUE"""),25238.0)</f>
        <v>25238</v>
      </c>
      <c r="N1116" s="2">
        <f>IFERROR(__xludf.DUMMYFUNCTION("""COMPUTED_VALUE"""),0.0)</f>
        <v>0</v>
      </c>
      <c r="O1116" s="2">
        <f>IFERROR(__xludf.DUMMYFUNCTION("""COMPUTED_VALUE"""),25238.0)</f>
        <v>25238</v>
      </c>
      <c r="P1116" s="2">
        <f>IFERROR(__xludf.DUMMYFUNCTION("""COMPUTED_VALUE"""),1262.0)</f>
        <v>1262</v>
      </c>
      <c r="Q1116" s="2" t="str">
        <f>IFERROR(__xludf.DUMMYFUNCTION("""COMPUTED_VALUE"""),"Dine In")</f>
        <v>Dine In</v>
      </c>
      <c r="R1116" s="2" t="str">
        <f>IFERROR(__xludf.DUMMYFUNCTION("""COMPUTED_VALUE"""),"Kedai")</f>
        <v>Kedai</v>
      </c>
      <c r="S1116" s="2" t="str">
        <f>IFERROR(__xludf.DUMMYFUNCTION("""COMPUTED_VALUE"""),"Temu Roti")</f>
        <v>Temu Roti</v>
      </c>
      <c r="T1116" s="2" t="str">
        <f>IFERROR(__xludf.DUMMYFUNCTION("""COMPUTED_VALUE"""),"Owner")</f>
        <v>Owner</v>
      </c>
      <c r="U1116" s="2"/>
      <c r="V1116" s="2"/>
      <c r="W1116" s="2"/>
      <c r="X1116" s="2" t="str">
        <f>IFERROR(__xludf.DUMMYFUNCTION("""COMPUTED_VALUE"""),"Closed")</f>
        <v>Closed</v>
      </c>
    </row>
    <row r="1117">
      <c r="A1117" s="3" t="s">
        <v>1130</v>
      </c>
      <c r="B1117" s="4">
        <f>IFERROR(__xludf.DUMMYFUNCTION("SPLIT(A1117,"","",0,0)"),45543.384722222225)</f>
        <v>45543.38472</v>
      </c>
      <c r="C1117" s="5">
        <f>IFERROR(__xludf.DUMMYFUNCTION("""COMPUTED_VALUE"""),2645484.0)</f>
        <v>2645484</v>
      </c>
      <c r="D1117" s="2" t="str">
        <f>IFERROR(__xludf.DUMMYFUNCTION("""COMPUTED_VALUE"""),"Sale")</f>
        <v>Sale</v>
      </c>
      <c r="E1117" s="2" t="str">
        <f>IFERROR(__xludf.DUMMYFUNCTION("""COMPUTED_VALUE"""),"Minuman")</f>
        <v>Minuman</v>
      </c>
      <c r="F1117" s="2">
        <f>IFERROR(__xludf.DUMMYFUNCTION("""COMPUTED_VALUE"""),10121.0)</f>
        <v>10121</v>
      </c>
      <c r="G1117" s="2" t="str">
        <f>IFERROR(__xludf.DUMMYFUNCTION("""COMPUTED_VALUE"""),"Lemon Tea Dingin")</f>
        <v>Lemon Tea Dingin</v>
      </c>
      <c r="H1117" s="2"/>
      <c r="I1117" s="2"/>
      <c r="J1117" s="2">
        <f>IFERROR(__xludf.DUMMYFUNCTION("""COMPUTED_VALUE"""),1.0)</f>
        <v>1</v>
      </c>
      <c r="K1117" s="6">
        <f>IFERROR(__xludf.DUMMYFUNCTION("""COMPUTED_VALUE"""),19524.0)</f>
        <v>19524</v>
      </c>
      <c r="L1117" s="2">
        <f>IFERROR(__xludf.DUMMYFUNCTION("""COMPUTED_VALUE"""),0.0)</f>
        <v>0</v>
      </c>
      <c r="M1117" s="2">
        <f>IFERROR(__xludf.DUMMYFUNCTION("""COMPUTED_VALUE"""),19524.0)</f>
        <v>19524</v>
      </c>
      <c r="N1117" s="2">
        <f>IFERROR(__xludf.DUMMYFUNCTION("""COMPUTED_VALUE"""),0.0)</f>
        <v>0</v>
      </c>
      <c r="O1117" s="2">
        <f>IFERROR(__xludf.DUMMYFUNCTION("""COMPUTED_VALUE"""),19524.0)</f>
        <v>19524</v>
      </c>
      <c r="P1117" s="2">
        <f>IFERROR(__xludf.DUMMYFUNCTION("""COMPUTED_VALUE"""),976.0)</f>
        <v>976</v>
      </c>
      <c r="Q1117" s="2" t="str">
        <f>IFERROR(__xludf.DUMMYFUNCTION("""COMPUTED_VALUE"""),"Dine In")</f>
        <v>Dine In</v>
      </c>
      <c r="R1117" s="2" t="str">
        <f>IFERROR(__xludf.DUMMYFUNCTION("""COMPUTED_VALUE"""),"Kedai")</f>
        <v>Kedai</v>
      </c>
      <c r="S1117" s="2" t="str">
        <f>IFERROR(__xludf.DUMMYFUNCTION("""COMPUTED_VALUE"""),"Temu Roti")</f>
        <v>Temu Roti</v>
      </c>
      <c r="T1117" s="2" t="str">
        <f>IFERROR(__xludf.DUMMYFUNCTION("""COMPUTED_VALUE"""),"Owner")</f>
        <v>Owner</v>
      </c>
      <c r="U1117" s="2"/>
      <c r="V1117" s="2"/>
      <c r="W1117" s="2"/>
      <c r="X1117" s="2" t="str">
        <f>IFERROR(__xludf.DUMMYFUNCTION("""COMPUTED_VALUE"""),"Closed")</f>
        <v>Closed</v>
      </c>
    </row>
    <row r="1118">
      <c r="A1118" s="3" t="s">
        <v>1131</v>
      </c>
      <c r="B1118" s="4">
        <f>IFERROR(__xludf.DUMMYFUNCTION("SPLIT(A1118,"","",0,0)"),45543.35833333333)</f>
        <v>45543.35833</v>
      </c>
      <c r="C1118" s="5">
        <f>IFERROR(__xludf.DUMMYFUNCTION("""COMPUTED_VALUE"""),2645119.0)</f>
        <v>2645119</v>
      </c>
      <c r="D1118" s="2" t="str">
        <f>IFERROR(__xludf.DUMMYFUNCTION("""COMPUTED_VALUE"""),"Sale")</f>
        <v>Sale</v>
      </c>
      <c r="E1118" s="2" t="str">
        <f>IFERROR(__xludf.DUMMYFUNCTION("""COMPUTED_VALUE"""),"Roti")</f>
        <v>Roti</v>
      </c>
      <c r="F1118" s="2">
        <f>IFERROR(__xludf.DUMMYFUNCTION("""COMPUTED_VALUE"""),10002.0)</f>
        <v>10002</v>
      </c>
      <c r="G1118" s="2" t="str">
        <f>IFERROR(__xludf.DUMMYFUNCTION("""COMPUTED_VALUE"""),"Roti Cranberry")</f>
        <v>Roti Cranberry</v>
      </c>
      <c r="H1118" s="2"/>
      <c r="I1118" s="2"/>
      <c r="J1118" s="2">
        <f>IFERROR(__xludf.DUMMYFUNCTION("""COMPUTED_VALUE"""),1.0)</f>
        <v>1</v>
      </c>
      <c r="K1118" s="6">
        <f>IFERROR(__xludf.DUMMYFUNCTION("""COMPUTED_VALUE"""),18571.0)</f>
        <v>18571</v>
      </c>
      <c r="L1118" s="2">
        <f>IFERROR(__xludf.DUMMYFUNCTION("""COMPUTED_VALUE"""),0.0)</f>
        <v>0</v>
      </c>
      <c r="M1118" s="2">
        <f>IFERROR(__xludf.DUMMYFUNCTION("""COMPUTED_VALUE"""),18571.0)</f>
        <v>18571</v>
      </c>
      <c r="N1118" s="2">
        <f>IFERROR(__xludf.DUMMYFUNCTION("""COMPUTED_VALUE"""),0.0)</f>
        <v>0</v>
      </c>
      <c r="O1118" s="2">
        <f>IFERROR(__xludf.DUMMYFUNCTION("""COMPUTED_VALUE"""),18571.0)</f>
        <v>18571</v>
      </c>
      <c r="P1118" s="2">
        <f>IFERROR(__xludf.DUMMYFUNCTION("""COMPUTED_VALUE"""),929.0)</f>
        <v>929</v>
      </c>
      <c r="Q1118" s="2" t="str">
        <f>IFERROR(__xludf.DUMMYFUNCTION("""COMPUTED_VALUE"""),"Dine In")</f>
        <v>Dine In</v>
      </c>
      <c r="R1118" s="2" t="str">
        <f>IFERROR(__xludf.DUMMYFUNCTION("""COMPUTED_VALUE"""),"Kedai")</f>
        <v>Kedai</v>
      </c>
      <c r="S1118" s="2" t="str">
        <f>IFERROR(__xludf.DUMMYFUNCTION("""COMPUTED_VALUE"""),"Temu Roti")</f>
        <v>Temu Roti</v>
      </c>
      <c r="T1118" s="2" t="str">
        <f>IFERROR(__xludf.DUMMYFUNCTION("""COMPUTED_VALUE"""),"Owner")</f>
        <v>Owner</v>
      </c>
      <c r="U1118" s="2"/>
      <c r="V1118" s="2"/>
      <c r="W1118" s="2"/>
      <c r="X1118" s="2" t="str">
        <f>IFERROR(__xludf.DUMMYFUNCTION("""COMPUTED_VALUE"""),"Closed")</f>
        <v>Closed</v>
      </c>
    </row>
    <row r="1119">
      <c r="A1119" s="3" t="s">
        <v>1132</v>
      </c>
      <c r="B1119" s="4">
        <f>IFERROR(__xludf.DUMMYFUNCTION("SPLIT(A1119,"","",0,0)"),45543.35833333333)</f>
        <v>45543.35833</v>
      </c>
      <c r="C1119" s="5">
        <f>IFERROR(__xludf.DUMMYFUNCTION("""COMPUTED_VALUE"""),2645119.0)</f>
        <v>2645119</v>
      </c>
      <c r="D1119" s="2" t="str">
        <f>IFERROR(__xludf.DUMMYFUNCTION("""COMPUTED_VALUE"""),"Sale")</f>
        <v>Sale</v>
      </c>
      <c r="E1119" s="2" t="str">
        <f>IFERROR(__xludf.DUMMYFUNCTION("""COMPUTED_VALUE"""),"Roti")</f>
        <v>Roti</v>
      </c>
      <c r="F1119" s="2">
        <f>IFERROR(__xludf.DUMMYFUNCTION("""COMPUTED_VALUE"""),10005.0)</f>
        <v>10005</v>
      </c>
      <c r="G1119" s="2" t="str">
        <f>IFERROR(__xludf.DUMMYFUNCTION("""COMPUTED_VALUE"""),"Roti Gandum Cokelat")</f>
        <v>Roti Gandum Cokelat</v>
      </c>
      <c r="H1119" s="2"/>
      <c r="I1119" s="2"/>
      <c r="J1119" s="2">
        <f>IFERROR(__xludf.DUMMYFUNCTION("""COMPUTED_VALUE"""),1.0)</f>
        <v>1</v>
      </c>
      <c r="K1119" s="6">
        <f>IFERROR(__xludf.DUMMYFUNCTION("""COMPUTED_VALUE"""),19524.0)</f>
        <v>19524</v>
      </c>
      <c r="L1119" s="2">
        <f>IFERROR(__xludf.DUMMYFUNCTION("""COMPUTED_VALUE"""),0.0)</f>
        <v>0</v>
      </c>
      <c r="M1119" s="2">
        <f>IFERROR(__xludf.DUMMYFUNCTION("""COMPUTED_VALUE"""),19524.0)</f>
        <v>19524</v>
      </c>
      <c r="N1119" s="2">
        <f>IFERROR(__xludf.DUMMYFUNCTION("""COMPUTED_VALUE"""),0.0)</f>
        <v>0</v>
      </c>
      <c r="O1119" s="2">
        <f>IFERROR(__xludf.DUMMYFUNCTION("""COMPUTED_VALUE"""),19524.0)</f>
        <v>19524</v>
      </c>
      <c r="P1119" s="2">
        <f>IFERROR(__xludf.DUMMYFUNCTION("""COMPUTED_VALUE"""),976.0)</f>
        <v>976</v>
      </c>
      <c r="Q1119" s="2" t="str">
        <f>IFERROR(__xludf.DUMMYFUNCTION("""COMPUTED_VALUE"""),"Dine In")</f>
        <v>Dine In</v>
      </c>
      <c r="R1119" s="2" t="str">
        <f>IFERROR(__xludf.DUMMYFUNCTION("""COMPUTED_VALUE"""),"Kedai")</f>
        <v>Kedai</v>
      </c>
      <c r="S1119" s="2" t="str">
        <f>IFERROR(__xludf.DUMMYFUNCTION("""COMPUTED_VALUE"""),"Temu Roti")</f>
        <v>Temu Roti</v>
      </c>
      <c r="T1119" s="2" t="str">
        <f>IFERROR(__xludf.DUMMYFUNCTION("""COMPUTED_VALUE"""),"Owner")</f>
        <v>Owner</v>
      </c>
      <c r="U1119" s="2"/>
      <c r="V1119" s="2"/>
      <c r="W1119" s="2"/>
      <c r="X1119" s="2" t="str">
        <f>IFERROR(__xludf.DUMMYFUNCTION("""COMPUTED_VALUE"""),"Closed")</f>
        <v>Closed</v>
      </c>
    </row>
    <row r="1120">
      <c r="A1120" s="3" t="s">
        <v>1133</v>
      </c>
      <c r="B1120" s="4">
        <f>IFERROR(__xludf.DUMMYFUNCTION("SPLIT(A1120,"","",0,0)"),45543.3125)</f>
        <v>45543.3125</v>
      </c>
      <c r="C1120" s="5">
        <f>IFERROR(__xludf.DUMMYFUNCTION("""COMPUTED_VALUE"""),2644754.0)</f>
        <v>2644754</v>
      </c>
      <c r="D1120" s="2" t="str">
        <f>IFERROR(__xludf.DUMMYFUNCTION("""COMPUTED_VALUE"""),"Sale")</f>
        <v>Sale</v>
      </c>
      <c r="E1120" s="2" t="str">
        <f>IFERROR(__xludf.DUMMYFUNCTION("""COMPUTED_VALUE"""),"Roti")</f>
        <v>Roti</v>
      </c>
      <c r="F1120" s="2">
        <f>IFERROR(__xludf.DUMMYFUNCTION("""COMPUTED_VALUE"""),10002.0)</f>
        <v>10002</v>
      </c>
      <c r="G1120" s="2" t="str">
        <f>IFERROR(__xludf.DUMMYFUNCTION("""COMPUTED_VALUE"""),"Roti Cranberry")</f>
        <v>Roti Cranberry</v>
      </c>
      <c r="H1120" s="2"/>
      <c r="I1120" s="2"/>
      <c r="J1120" s="2">
        <f>IFERROR(__xludf.DUMMYFUNCTION("""COMPUTED_VALUE"""),1.0)</f>
        <v>1</v>
      </c>
      <c r="K1120" s="6">
        <f>IFERROR(__xludf.DUMMYFUNCTION("""COMPUTED_VALUE"""),18571.0)</f>
        <v>18571</v>
      </c>
      <c r="L1120" s="2">
        <f>IFERROR(__xludf.DUMMYFUNCTION("""COMPUTED_VALUE"""),0.0)</f>
        <v>0</v>
      </c>
      <c r="M1120" s="2">
        <f>IFERROR(__xludf.DUMMYFUNCTION("""COMPUTED_VALUE"""),18571.0)</f>
        <v>18571</v>
      </c>
      <c r="N1120" s="2">
        <f>IFERROR(__xludf.DUMMYFUNCTION("""COMPUTED_VALUE"""),0.0)</f>
        <v>0</v>
      </c>
      <c r="O1120" s="2">
        <f>IFERROR(__xludf.DUMMYFUNCTION("""COMPUTED_VALUE"""),18571.0)</f>
        <v>18571</v>
      </c>
      <c r="P1120" s="2">
        <f>IFERROR(__xludf.DUMMYFUNCTION("""COMPUTED_VALUE"""),929.0)</f>
        <v>929</v>
      </c>
      <c r="Q1120" s="2" t="str">
        <f>IFERROR(__xludf.DUMMYFUNCTION("""COMPUTED_VALUE"""),"Dine In")</f>
        <v>Dine In</v>
      </c>
      <c r="R1120" s="2" t="str">
        <f>IFERROR(__xludf.DUMMYFUNCTION("""COMPUTED_VALUE"""),"Kedai")</f>
        <v>Kedai</v>
      </c>
      <c r="S1120" s="2" t="str">
        <f>IFERROR(__xludf.DUMMYFUNCTION("""COMPUTED_VALUE"""),"Temu Roti")</f>
        <v>Temu Roti</v>
      </c>
      <c r="T1120" s="2" t="str">
        <f>IFERROR(__xludf.DUMMYFUNCTION("""COMPUTED_VALUE"""),"Owner")</f>
        <v>Owner</v>
      </c>
      <c r="U1120" s="2"/>
      <c r="V1120" s="2"/>
      <c r="W1120" s="2"/>
      <c r="X1120" s="2" t="str">
        <f>IFERROR(__xludf.DUMMYFUNCTION("""COMPUTED_VALUE"""),"Closed")</f>
        <v>Closed</v>
      </c>
    </row>
    <row r="1121">
      <c r="A1121" s="3" t="s">
        <v>1134</v>
      </c>
      <c r="B1121" s="4">
        <f>IFERROR(__xludf.DUMMYFUNCTION("SPLIT(A1121,"","",0,0)"),45543.3125)</f>
        <v>45543.3125</v>
      </c>
      <c r="C1121" s="5">
        <f>IFERROR(__xludf.DUMMYFUNCTION("""COMPUTED_VALUE"""),2644754.0)</f>
        <v>2644754</v>
      </c>
      <c r="D1121" s="2" t="str">
        <f>IFERROR(__xludf.DUMMYFUNCTION("""COMPUTED_VALUE"""),"Sale")</f>
        <v>Sale</v>
      </c>
      <c r="E1121" s="2" t="str">
        <f>IFERROR(__xludf.DUMMYFUNCTION("""COMPUTED_VALUE"""),"Roti")</f>
        <v>Roti</v>
      </c>
      <c r="F1121" s="2">
        <f>IFERROR(__xludf.DUMMYFUNCTION("""COMPUTED_VALUE"""),10000.0)</f>
        <v>10000</v>
      </c>
      <c r="G1121" s="2" t="str">
        <f>IFERROR(__xludf.DUMMYFUNCTION("""COMPUTED_VALUE"""),"Roti Bawang Saus Keju")</f>
        <v>Roti Bawang Saus Keju</v>
      </c>
      <c r="H1121" s="2"/>
      <c r="I1121" s="2"/>
      <c r="J1121" s="2">
        <f>IFERROR(__xludf.DUMMYFUNCTION("""COMPUTED_VALUE"""),1.0)</f>
        <v>1</v>
      </c>
      <c r="K1121" s="6">
        <f>IFERROR(__xludf.DUMMYFUNCTION("""COMPUTED_VALUE"""),29524.0)</f>
        <v>29524</v>
      </c>
      <c r="L1121" s="2">
        <f>IFERROR(__xludf.DUMMYFUNCTION("""COMPUTED_VALUE"""),0.0)</f>
        <v>0</v>
      </c>
      <c r="M1121" s="2">
        <f>IFERROR(__xludf.DUMMYFUNCTION("""COMPUTED_VALUE"""),29524.0)</f>
        <v>29524</v>
      </c>
      <c r="N1121" s="2">
        <f>IFERROR(__xludf.DUMMYFUNCTION("""COMPUTED_VALUE"""),0.0)</f>
        <v>0</v>
      </c>
      <c r="O1121" s="2">
        <f>IFERROR(__xludf.DUMMYFUNCTION("""COMPUTED_VALUE"""),29524.0)</f>
        <v>29524</v>
      </c>
      <c r="P1121" s="2">
        <f>IFERROR(__xludf.DUMMYFUNCTION("""COMPUTED_VALUE"""),1476.0)</f>
        <v>1476</v>
      </c>
      <c r="Q1121" s="2" t="str">
        <f>IFERROR(__xludf.DUMMYFUNCTION("""COMPUTED_VALUE"""),"Dine In")</f>
        <v>Dine In</v>
      </c>
      <c r="R1121" s="2" t="str">
        <f>IFERROR(__xludf.DUMMYFUNCTION("""COMPUTED_VALUE"""),"Kedai")</f>
        <v>Kedai</v>
      </c>
      <c r="S1121" s="2" t="str">
        <f>IFERROR(__xludf.DUMMYFUNCTION("""COMPUTED_VALUE"""),"Temu Roti")</f>
        <v>Temu Roti</v>
      </c>
      <c r="T1121" s="2" t="str">
        <f>IFERROR(__xludf.DUMMYFUNCTION("""COMPUTED_VALUE"""),"Owner")</f>
        <v>Owner</v>
      </c>
      <c r="U1121" s="2"/>
      <c r="V1121" s="2"/>
      <c r="W1121" s="2"/>
      <c r="X1121" s="2" t="str">
        <f>IFERROR(__xludf.DUMMYFUNCTION("""COMPUTED_VALUE"""),"Closed")</f>
        <v>Closed</v>
      </c>
    </row>
    <row r="1122">
      <c r="A1122" s="3" t="s">
        <v>1135</v>
      </c>
      <c r="B1122" s="4">
        <f>IFERROR(__xludf.DUMMYFUNCTION("SPLIT(A1122,"","",0,0)"),45542.881944444445)</f>
        <v>45542.88194</v>
      </c>
      <c r="C1122" s="5">
        <f>IFERROR(__xludf.DUMMYFUNCTION("""COMPUTED_VALUE"""),2644388.0)</f>
        <v>2644388</v>
      </c>
      <c r="D1122" s="2" t="str">
        <f>IFERROR(__xludf.DUMMYFUNCTION("""COMPUTED_VALUE"""),"Sale")</f>
        <v>Sale</v>
      </c>
      <c r="E1122" s="2" t="str">
        <f>IFERROR(__xludf.DUMMYFUNCTION("""COMPUTED_VALUE"""),"Minuman")</f>
        <v>Minuman</v>
      </c>
      <c r="F1122" s="2">
        <f>IFERROR(__xludf.DUMMYFUNCTION("""COMPUTED_VALUE"""),10013.0)</f>
        <v>10013</v>
      </c>
      <c r="G1122" s="2" t="str">
        <f>IFERROR(__xludf.DUMMYFUNCTION("""COMPUTED_VALUE"""),"Kopi cur")</f>
        <v>Kopi cur</v>
      </c>
      <c r="H1122" s="2"/>
      <c r="I1122" s="2"/>
      <c r="J1122" s="2">
        <f>IFERROR(__xludf.DUMMYFUNCTION("""COMPUTED_VALUE"""),1.0)</f>
        <v>1</v>
      </c>
      <c r="K1122" s="6">
        <f>IFERROR(__xludf.DUMMYFUNCTION("""COMPUTED_VALUE"""),23333.0)</f>
        <v>23333</v>
      </c>
      <c r="L1122" s="2">
        <f>IFERROR(__xludf.DUMMYFUNCTION("""COMPUTED_VALUE"""),0.0)</f>
        <v>0</v>
      </c>
      <c r="M1122" s="2">
        <f>IFERROR(__xludf.DUMMYFUNCTION("""COMPUTED_VALUE"""),23333.0)</f>
        <v>23333</v>
      </c>
      <c r="N1122" s="2">
        <f>IFERROR(__xludf.DUMMYFUNCTION("""COMPUTED_VALUE"""),0.0)</f>
        <v>0</v>
      </c>
      <c r="O1122" s="2">
        <f>IFERROR(__xludf.DUMMYFUNCTION("""COMPUTED_VALUE"""),23333.0)</f>
        <v>23333</v>
      </c>
      <c r="P1122" s="2">
        <f>IFERROR(__xludf.DUMMYFUNCTION("""COMPUTED_VALUE"""),1167.0)</f>
        <v>1167</v>
      </c>
      <c r="Q1122" s="2" t="str">
        <f>IFERROR(__xludf.DUMMYFUNCTION("""COMPUTED_VALUE"""),"Dine In")</f>
        <v>Dine In</v>
      </c>
      <c r="R1122" s="2" t="str">
        <f>IFERROR(__xludf.DUMMYFUNCTION("""COMPUTED_VALUE"""),"Kedai")</f>
        <v>Kedai</v>
      </c>
      <c r="S1122" s="2" t="str">
        <f>IFERROR(__xludf.DUMMYFUNCTION("""COMPUTED_VALUE"""),"Temu Roti")</f>
        <v>Temu Roti</v>
      </c>
      <c r="T1122" s="2" t="str">
        <f>IFERROR(__xludf.DUMMYFUNCTION("""COMPUTED_VALUE"""),"Owner")</f>
        <v>Owner</v>
      </c>
      <c r="U1122" s="2"/>
      <c r="V1122" s="2"/>
      <c r="W1122" s="2"/>
      <c r="X1122" s="2" t="str">
        <f>IFERROR(__xludf.DUMMYFUNCTION("""COMPUTED_VALUE"""),"Closed")</f>
        <v>Closed</v>
      </c>
    </row>
    <row r="1123">
      <c r="A1123" s="3" t="s">
        <v>1136</v>
      </c>
      <c r="B1123" s="4">
        <f>IFERROR(__xludf.DUMMYFUNCTION("SPLIT(A1123,"","",0,0)"),45542.88125)</f>
        <v>45542.88125</v>
      </c>
      <c r="C1123" s="5">
        <f>IFERROR(__xludf.DUMMYFUNCTION("""COMPUTED_VALUE"""),2644023.0)</f>
        <v>2644023</v>
      </c>
      <c r="D1123" s="2" t="str">
        <f>IFERROR(__xludf.DUMMYFUNCTION("""COMPUTED_VALUE"""),"Sale")</f>
        <v>Sale</v>
      </c>
      <c r="E1123" s="2" t="str">
        <f>IFERROR(__xludf.DUMMYFUNCTION("""COMPUTED_VALUE"""),"Kudapan")</f>
        <v>Kudapan</v>
      </c>
      <c r="F1123" s="2">
        <f>IFERROR(__xludf.DUMMYFUNCTION("""COMPUTED_VALUE"""),10051.0)</f>
        <v>10051</v>
      </c>
      <c r="G1123" s="2" t="str">
        <f>IFERROR(__xludf.DUMMYFUNCTION("""COMPUTED_VALUE"""),"Tahu baso")</f>
        <v>Tahu baso</v>
      </c>
      <c r="H1123" s="2"/>
      <c r="I1123" s="2"/>
      <c r="J1123" s="2">
        <f>IFERROR(__xludf.DUMMYFUNCTION("""COMPUTED_VALUE"""),1.0)</f>
        <v>1</v>
      </c>
      <c r="K1123" s="6">
        <f>IFERROR(__xludf.DUMMYFUNCTION("""COMPUTED_VALUE"""),25238.0)</f>
        <v>25238</v>
      </c>
      <c r="L1123" s="2">
        <f>IFERROR(__xludf.DUMMYFUNCTION("""COMPUTED_VALUE"""),0.0)</f>
        <v>0</v>
      </c>
      <c r="M1123" s="2">
        <f>IFERROR(__xludf.DUMMYFUNCTION("""COMPUTED_VALUE"""),25238.0)</f>
        <v>25238</v>
      </c>
      <c r="N1123" s="2">
        <f>IFERROR(__xludf.DUMMYFUNCTION("""COMPUTED_VALUE"""),0.0)</f>
        <v>0</v>
      </c>
      <c r="O1123" s="2">
        <f>IFERROR(__xludf.DUMMYFUNCTION("""COMPUTED_VALUE"""),25238.0)</f>
        <v>25238</v>
      </c>
      <c r="P1123" s="2">
        <f>IFERROR(__xludf.DUMMYFUNCTION("""COMPUTED_VALUE"""),1262.0)</f>
        <v>1262</v>
      </c>
      <c r="Q1123" s="2" t="str">
        <f>IFERROR(__xludf.DUMMYFUNCTION("""COMPUTED_VALUE"""),"Dine In")</f>
        <v>Dine In</v>
      </c>
      <c r="R1123" s="2" t="str">
        <f>IFERROR(__xludf.DUMMYFUNCTION("""COMPUTED_VALUE"""),"Kedai")</f>
        <v>Kedai</v>
      </c>
      <c r="S1123" s="2" t="str">
        <f>IFERROR(__xludf.DUMMYFUNCTION("""COMPUTED_VALUE"""),"Temu Roti")</f>
        <v>Temu Roti</v>
      </c>
      <c r="T1123" s="2" t="str">
        <f>IFERROR(__xludf.DUMMYFUNCTION("""COMPUTED_VALUE"""),"Owner")</f>
        <v>Owner</v>
      </c>
      <c r="U1123" s="2"/>
      <c r="V1123" s="2"/>
      <c r="W1123" s="2"/>
      <c r="X1123" s="2" t="str">
        <f>IFERROR(__xludf.DUMMYFUNCTION("""COMPUTED_VALUE"""),"Closed")</f>
        <v>Closed</v>
      </c>
    </row>
    <row r="1124">
      <c r="A1124" s="3" t="s">
        <v>1137</v>
      </c>
      <c r="B1124" s="4">
        <f>IFERROR(__xludf.DUMMYFUNCTION("SPLIT(A1124,"","",0,0)"),45542.88125)</f>
        <v>45542.88125</v>
      </c>
      <c r="C1124" s="5">
        <f>IFERROR(__xludf.DUMMYFUNCTION("""COMPUTED_VALUE"""),2644023.0)</f>
        <v>2644023</v>
      </c>
      <c r="D1124" s="2" t="str">
        <f>IFERROR(__xludf.DUMMYFUNCTION("""COMPUTED_VALUE"""),"Sale")</f>
        <v>Sale</v>
      </c>
      <c r="E1124" s="2" t="str">
        <f>IFERROR(__xludf.DUMMYFUNCTION("""COMPUTED_VALUE"""),"Roti")</f>
        <v>Roti</v>
      </c>
      <c r="F1124" s="2">
        <f>IFERROR(__xludf.DUMMYFUNCTION("""COMPUTED_VALUE"""),10002.0)</f>
        <v>10002</v>
      </c>
      <c r="G1124" s="2" t="str">
        <f>IFERROR(__xludf.DUMMYFUNCTION("""COMPUTED_VALUE"""),"Roti Cranberry")</f>
        <v>Roti Cranberry</v>
      </c>
      <c r="H1124" s="2"/>
      <c r="I1124" s="2"/>
      <c r="J1124" s="2">
        <f>IFERROR(__xludf.DUMMYFUNCTION("""COMPUTED_VALUE"""),1.0)</f>
        <v>1</v>
      </c>
      <c r="K1124" s="6">
        <f>IFERROR(__xludf.DUMMYFUNCTION("""COMPUTED_VALUE"""),18571.0)</f>
        <v>18571</v>
      </c>
      <c r="L1124" s="2">
        <f>IFERROR(__xludf.DUMMYFUNCTION("""COMPUTED_VALUE"""),0.0)</f>
        <v>0</v>
      </c>
      <c r="M1124" s="2">
        <f>IFERROR(__xludf.DUMMYFUNCTION("""COMPUTED_VALUE"""),18571.0)</f>
        <v>18571</v>
      </c>
      <c r="N1124" s="2">
        <f>IFERROR(__xludf.DUMMYFUNCTION("""COMPUTED_VALUE"""),0.0)</f>
        <v>0</v>
      </c>
      <c r="O1124" s="2">
        <f>IFERROR(__xludf.DUMMYFUNCTION("""COMPUTED_VALUE"""),18571.0)</f>
        <v>18571</v>
      </c>
      <c r="P1124" s="2">
        <f>IFERROR(__xludf.DUMMYFUNCTION("""COMPUTED_VALUE"""),928.0)</f>
        <v>928</v>
      </c>
      <c r="Q1124" s="2" t="str">
        <f>IFERROR(__xludf.DUMMYFUNCTION("""COMPUTED_VALUE"""),"Dine In")</f>
        <v>Dine In</v>
      </c>
      <c r="R1124" s="2" t="str">
        <f>IFERROR(__xludf.DUMMYFUNCTION("""COMPUTED_VALUE"""),"Kedai")</f>
        <v>Kedai</v>
      </c>
      <c r="S1124" s="2" t="str">
        <f>IFERROR(__xludf.DUMMYFUNCTION("""COMPUTED_VALUE"""),"Temu Roti")</f>
        <v>Temu Roti</v>
      </c>
      <c r="T1124" s="2" t="str">
        <f>IFERROR(__xludf.DUMMYFUNCTION("""COMPUTED_VALUE"""),"Owner")</f>
        <v>Owner</v>
      </c>
      <c r="U1124" s="2"/>
      <c r="V1124" s="2"/>
      <c r="W1124" s="2"/>
      <c r="X1124" s="2" t="str">
        <f>IFERROR(__xludf.DUMMYFUNCTION("""COMPUTED_VALUE"""),"Closed")</f>
        <v>Closed</v>
      </c>
    </row>
    <row r="1125">
      <c r="A1125" s="3" t="s">
        <v>1138</v>
      </c>
      <c r="B1125" s="4">
        <f>IFERROR(__xludf.DUMMYFUNCTION("SPLIT(A1125,"","",0,0)"),45542.88125)</f>
        <v>45542.88125</v>
      </c>
      <c r="C1125" s="5">
        <f>IFERROR(__xludf.DUMMYFUNCTION("""COMPUTED_VALUE"""),2644023.0)</f>
        <v>2644023</v>
      </c>
      <c r="D1125" s="2" t="str">
        <f>IFERROR(__xludf.DUMMYFUNCTION("""COMPUTED_VALUE"""),"Sale")</f>
        <v>Sale</v>
      </c>
      <c r="E1125" s="2" t="str">
        <f>IFERROR(__xludf.DUMMYFUNCTION("""COMPUTED_VALUE"""),"Minuman")</f>
        <v>Minuman</v>
      </c>
      <c r="F1125" s="2">
        <f>IFERROR(__xludf.DUMMYFUNCTION("""COMPUTED_VALUE"""),10122.0)</f>
        <v>10122</v>
      </c>
      <c r="G1125" s="2" t="str">
        <f>IFERROR(__xludf.DUMMYFUNCTION("""COMPUTED_VALUE"""),"Rempah Madu Panas")</f>
        <v>Rempah Madu Panas</v>
      </c>
      <c r="H1125" s="2"/>
      <c r="I1125" s="2"/>
      <c r="J1125" s="2">
        <f>IFERROR(__xludf.DUMMYFUNCTION("""COMPUTED_VALUE"""),1.0)</f>
        <v>1</v>
      </c>
      <c r="K1125" s="6">
        <f>IFERROR(__xludf.DUMMYFUNCTION("""COMPUTED_VALUE"""),21905.0)</f>
        <v>21905</v>
      </c>
      <c r="L1125" s="2">
        <f>IFERROR(__xludf.DUMMYFUNCTION("""COMPUTED_VALUE"""),0.0)</f>
        <v>0</v>
      </c>
      <c r="M1125" s="2">
        <f>IFERROR(__xludf.DUMMYFUNCTION("""COMPUTED_VALUE"""),21905.0)</f>
        <v>21905</v>
      </c>
      <c r="N1125" s="2">
        <f>IFERROR(__xludf.DUMMYFUNCTION("""COMPUTED_VALUE"""),0.0)</f>
        <v>0</v>
      </c>
      <c r="O1125" s="2">
        <f>IFERROR(__xludf.DUMMYFUNCTION("""COMPUTED_VALUE"""),21905.0)</f>
        <v>21905</v>
      </c>
      <c r="P1125" s="2">
        <f>IFERROR(__xludf.DUMMYFUNCTION("""COMPUTED_VALUE"""),1096.0)</f>
        <v>1096</v>
      </c>
      <c r="Q1125" s="2" t="str">
        <f>IFERROR(__xludf.DUMMYFUNCTION("""COMPUTED_VALUE"""),"Dine In")</f>
        <v>Dine In</v>
      </c>
      <c r="R1125" s="2" t="str">
        <f>IFERROR(__xludf.DUMMYFUNCTION("""COMPUTED_VALUE"""),"Kedai")</f>
        <v>Kedai</v>
      </c>
      <c r="S1125" s="2" t="str">
        <f>IFERROR(__xludf.DUMMYFUNCTION("""COMPUTED_VALUE"""),"Temu Roti")</f>
        <v>Temu Roti</v>
      </c>
      <c r="T1125" s="2" t="str">
        <f>IFERROR(__xludf.DUMMYFUNCTION("""COMPUTED_VALUE"""),"Owner")</f>
        <v>Owner</v>
      </c>
      <c r="U1125" s="2"/>
      <c r="V1125" s="2"/>
      <c r="W1125" s="2"/>
      <c r="X1125" s="2" t="str">
        <f>IFERROR(__xludf.DUMMYFUNCTION("""COMPUTED_VALUE"""),"Closed")</f>
        <v>Closed</v>
      </c>
    </row>
    <row r="1126">
      <c r="A1126" s="3" t="s">
        <v>1139</v>
      </c>
      <c r="B1126" s="4">
        <f>IFERROR(__xludf.DUMMYFUNCTION("SPLIT(A1126,"","",0,0)"),45542.875)</f>
        <v>45542.875</v>
      </c>
      <c r="C1126" s="5">
        <f>IFERROR(__xludf.DUMMYFUNCTION("""COMPUTED_VALUE"""),2643658.0)</f>
        <v>2643658</v>
      </c>
      <c r="D1126" s="2" t="str">
        <f>IFERROR(__xludf.DUMMYFUNCTION("""COMPUTED_VALUE"""),"Sale")</f>
        <v>Sale</v>
      </c>
      <c r="E1126" s="2" t="str">
        <f>IFERROR(__xludf.DUMMYFUNCTION("""COMPUTED_VALUE"""),"Minuman")</f>
        <v>Minuman</v>
      </c>
      <c r="F1126" s="2">
        <f>IFERROR(__xludf.DUMMYFUNCTION("""COMPUTED_VALUE"""),10057.0)</f>
        <v>10057</v>
      </c>
      <c r="G1126" s="2" t="str">
        <f>IFERROR(__xludf.DUMMYFUNCTION("""COMPUTED_VALUE"""),"Susu murni strawberry")</f>
        <v>Susu murni strawberry</v>
      </c>
      <c r="H1126" s="2"/>
      <c r="I1126" s="2"/>
      <c r="J1126" s="2">
        <f>IFERROR(__xludf.DUMMYFUNCTION("""COMPUTED_VALUE"""),1.0)</f>
        <v>1</v>
      </c>
      <c r="K1126" s="6">
        <f>IFERROR(__xludf.DUMMYFUNCTION("""COMPUTED_VALUE"""),19524.0)</f>
        <v>19524</v>
      </c>
      <c r="L1126" s="2">
        <f>IFERROR(__xludf.DUMMYFUNCTION("""COMPUTED_VALUE"""),0.0)</f>
        <v>0</v>
      </c>
      <c r="M1126" s="2">
        <f>IFERROR(__xludf.DUMMYFUNCTION("""COMPUTED_VALUE"""),19524.0)</f>
        <v>19524</v>
      </c>
      <c r="N1126" s="2">
        <f>IFERROR(__xludf.DUMMYFUNCTION("""COMPUTED_VALUE"""),0.0)</f>
        <v>0</v>
      </c>
      <c r="O1126" s="2">
        <f>IFERROR(__xludf.DUMMYFUNCTION("""COMPUTED_VALUE"""),19524.0)</f>
        <v>19524</v>
      </c>
      <c r="P1126" s="2">
        <f>IFERROR(__xludf.DUMMYFUNCTION("""COMPUTED_VALUE"""),976.0)</f>
        <v>976</v>
      </c>
      <c r="Q1126" s="2" t="str">
        <f>IFERROR(__xludf.DUMMYFUNCTION("""COMPUTED_VALUE"""),"Dine In")</f>
        <v>Dine In</v>
      </c>
      <c r="R1126" s="2" t="str">
        <f>IFERROR(__xludf.DUMMYFUNCTION("""COMPUTED_VALUE"""),"Kedai")</f>
        <v>Kedai</v>
      </c>
      <c r="S1126" s="2" t="str">
        <f>IFERROR(__xludf.DUMMYFUNCTION("""COMPUTED_VALUE"""),"Temu Roti")</f>
        <v>Temu Roti</v>
      </c>
      <c r="T1126" s="2" t="str">
        <f>IFERROR(__xludf.DUMMYFUNCTION("""COMPUTED_VALUE"""),"Owner")</f>
        <v>Owner</v>
      </c>
      <c r="U1126" s="2"/>
      <c r="V1126" s="2"/>
      <c r="W1126" s="2"/>
      <c r="X1126" s="2" t="str">
        <f>IFERROR(__xludf.DUMMYFUNCTION("""COMPUTED_VALUE"""),"Closed")</f>
        <v>Closed</v>
      </c>
    </row>
    <row r="1127">
      <c r="A1127" s="3" t="s">
        <v>1140</v>
      </c>
      <c r="B1127" s="4">
        <f>IFERROR(__xludf.DUMMYFUNCTION("SPLIT(A1127,"","",0,0)"),45542.87152777778)</f>
        <v>45542.87153</v>
      </c>
      <c r="C1127" s="5">
        <f>IFERROR(__xludf.DUMMYFUNCTION("""COMPUTED_VALUE"""),2643293.0)</f>
        <v>2643293</v>
      </c>
      <c r="D1127" s="2" t="str">
        <f>IFERROR(__xludf.DUMMYFUNCTION("""COMPUTED_VALUE"""),"Sale")</f>
        <v>Sale</v>
      </c>
      <c r="E1127" s="2" t="str">
        <f>IFERROR(__xludf.DUMMYFUNCTION("""COMPUTED_VALUE"""),"Kudapan")</f>
        <v>Kudapan</v>
      </c>
      <c r="F1127" s="2">
        <f>IFERROR(__xludf.DUMMYFUNCTION("""COMPUTED_VALUE"""),10051.0)</f>
        <v>10051</v>
      </c>
      <c r="G1127" s="2" t="str">
        <f>IFERROR(__xludf.DUMMYFUNCTION("""COMPUTED_VALUE"""),"Tahu baso")</f>
        <v>Tahu baso</v>
      </c>
      <c r="H1127" s="2"/>
      <c r="I1127" s="2"/>
      <c r="J1127" s="2">
        <f>IFERROR(__xludf.DUMMYFUNCTION("""COMPUTED_VALUE"""),1.0)</f>
        <v>1</v>
      </c>
      <c r="K1127" s="6">
        <f>IFERROR(__xludf.DUMMYFUNCTION("""COMPUTED_VALUE"""),25238.0)</f>
        <v>25238</v>
      </c>
      <c r="L1127" s="2">
        <f>IFERROR(__xludf.DUMMYFUNCTION("""COMPUTED_VALUE"""),0.0)</f>
        <v>0</v>
      </c>
      <c r="M1127" s="2">
        <f>IFERROR(__xludf.DUMMYFUNCTION("""COMPUTED_VALUE"""),25238.0)</f>
        <v>25238</v>
      </c>
      <c r="N1127" s="2">
        <f>IFERROR(__xludf.DUMMYFUNCTION("""COMPUTED_VALUE"""),0.0)</f>
        <v>0</v>
      </c>
      <c r="O1127" s="2">
        <f>IFERROR(__xludf.DUMMYFUNCTION("""COMPUTED_VALUE"""),25238.0)</f>
        <v>25238</v>
      </c>
      <c r="P1127" s="2">
        <f>IFERROR(__xludf.DUMMYFUNCTION("""COMPUTED_VALUE"""),1262.0)</f>
        <v>1262</v>
      </c>
      <c r="Q1127" s="2" t="str">
        <f>IFERROR(__xludf.DUMMYFUNCTION("""COMPUTED_VALUE"""),"Dine In")</f>
        <v>Dine In</v>
      </c>
      <c r="R1127" s="2" t="str">
        <f>IFERROR(__xludf.DUMMYFUNCTION("""COMPUTED_VALUE"""),"Kedai")</f>
        <v>Kedai</v>
      </c>
      <c r="S1127" s="2" t="str">
        <f>IFERROR(__xludf.DUMMYFUNCTION("""COMPUTED_VALUE"""),"Temu Roti")</f>
        <v>Temu Roti</v>
      </c>
      <c r="T1127" s="2" t="str">
        <f>IFERROR(__xludf.DUMMYFUNCTION("""COMPUTED_VALUE"""),"Owner")</f>
        <v>Owner</v>
      </c>
      <c r="U1127" s="2"/>
      <c r="V1127" s="2"/>
      <c r="W1127" s="2"/>
      <c r="X1127" s="2" t="str">
        <f>IFERROR(__xludf.DUMMYFUNCTION("""COMPUTED_VALUE"""),"Closed")</f>
        <v>Closed</v>
      </c>
    </row>
    <row r="1128">
      <c r="A1128" s="3" t="s">
        <v>1141</v>
      </c>
      <c r="B1128" s="4">
        <f>IFERROR(__xludf.DUMMYFUNCTION("SPLIT(A1128,"","",0,0)"),45542.87152777778)</f>
        <v>45542.87153</v>
      </c>
      <c r="C1128" s="5">
        <f>IFERROR(__xludf.DUMMYFUNCTION("""COMPUTED_VALUE"""),2643293.0)</f>
        <v>2643293</v>
      </c>
      <c r="D1128" s="2" t="str">
        <f>IFERROR(__xludf.DUMMYFUNCTION("""COMPUTED_VALUE"""),"Sale")</f>
        <v>Sale</v>
      </c>
      <c r="E1128" s="2" t="str">
        <f>IFERROR(__xludf.DUMMYFUNCTION("""COMPUTED_VALUE"""),"Roti")</f>
        <v>Roti</v>
      </c>
      <c r="F1128" s="2">
        <f>IFERROR(__xludf.DUMMYFUNCTION("""COMPUTED_VALUE"""),10054.0)</f>
        <v>10054</v>
      </c>
      <c r="G1128" s="2" t="str">
        <f>IFERROR(__xludf.DUMMYFUNCTION("""COMPUTED_VALUE"""),"Roti toast eskrim")</f>
        <v>Roti toast eskrim</v>
      </c>
      <c r="H1128" s="2"/>
      <c r="I1128" s="2"/>
      <c r="J1128" s="2">
        <f>IFERROR(__xludf.DUMMYFUNCTION("""COMPUTED_VALUE"""),1.0)</f>
        <v>1</v>
      </c>
      <c r="K1128" s="6">
        <f>IFERROR(__xludf.DUMMYFUNCTION("""COMPUTED_VALUE"""),25238.0)</f>
        <v>25238</v>
      </c>
      <c r="L1128" s="2">
        <f>IFERROR(__xludf.DUMMYFUNCTION("""COMPUTED_VALUE"""),0.0)</f>
        <v>0</v>
      </c>
      <c r="M1128" s="2">
        <f>IFERROR(__xludf.DUMMYFUNCTION("""COMPUTED_VALUE"""),25238.0)</f>
        <v>25238</v>
      </c>
      <c r="N1128" s="2">
        <f>IFERROR(__xludf.DUMMYFUNCTION("""COMPUTED_VALUE"""),0.0)</f>
        <v>0</v>
      </c>
      <c r="O1128" s="2">
        <f>IFERROR(__xludf.DUMMYFUNCTION("""COMPUTED_VALUE"""),25238.0)</f>
        <v>25238</v>
      </c>
      <c r="P1128" s="2">
        <f>IFERROR(__xludf.DUMMYFUNCTION("""COMPUTED_VALUE"""),1262.0)</f>
        <v>1262</v>
      </c>
      <c r="Q1128" s="2" t="str">
        <f>IFERROR(__xludf.DUMMYFUNCTION("""COMPUTED_VALUE"""),"Dine In")</f>
        <v>Dine In</v>
      </c>
      <c r="R1128" s="2" t="str">
        <f>IFERROR(__xludf.DUMMYFUNCTION("""COMPUTED_VALUE"""),"Kedai")</f>
        <v>Kedai</v>
      </c>
      <c r="S1128" s="2" t="str">
        <f>IFERROR(__xludf.DUMMYFUNCTION("""COMPUTED_VALUE"""),"Temu Roti")</f>
        <v>Temu Roti</v>
      </c>
      <c r="T1128" s="2" t="str">
        <f>IFERROR(__xludf.DUMMYFUNCTION("""COMPUTED_VALUE"""),"Owner")</f>
        <v>Owner</v>
      </c>
      <c r="U1128" s="2"/>
      <c r="V1128" s="2"/>
      <c r="W1128" s="2"/>
      <c r="X1128" s="2" t="str">
        <f>IFERROR(__xludf.DUMMYFUNCTION("""COMPUTED_VALUE"""),"Closed")</f>
        <v>Closed</v>
      </c>
    </row>
    <row r="1129">
      <c r="A1129" s="3" t="s">
        <v>1142</v>
      </c>
      <c r="B1129" s="4">
        <f>IFERROR(__xludf.DUMMYFUNCTION("SPLIT(A1129,"","",0,0)"),45542.84652777778)</f>
        <v>45542.84653</v>
      </c>
      <c r="C1129" s="5">
        <f>IFERROR(__xludf.DUMMYFUNCTION("""COMPUTED_VALUE"""),2642927.0)</f>
        <v>2642927</v>
      </c>
      <c r="D1129" s="2" t="str">
        <f>IFERROR(__xludf.DUMMYFUNCTION("""COMPUTED_VALUE"""),"Sale")</f>
        <v>Sale</v>
      </c>
      <c r="E1129" s="2" t="str">
        <f>IFERROR(__xludf.DUMMYFUNCTION("""COMPUTED_VALUE"""),"Roti")</f>
        <v>Roti</v>
      </c>
      <c r="F1129" s="2">
        <f>IFERROR(__xludf.DUMMYFUNCTION("""COMPUTED_VALUE"""),10007.0)</f>
        <v>10007</v>
      </c>
      <c r="G1129" s="2" t="str">
        <f>IFERROR(__xludf.DUMMYFUNCTION("""COMPUTED_VALUE"""),"Roti cranberry 2 pcs")</f>
        <v>Roti cranberry 2 pcs</v>
      </c>
      <c r="H1129" s="2"/>
      <c r="I1129" s="2"/>
      <c r="J1129" s="2">
        <f>IFERROR(__xludf.DUMMYFUNCTION("""COMPUTED_VALUE"""),1.0)</f>
        <v>1</v>
      </c>
      <c r="K1129" s="6">
        <f>IFERROR(__xludf.DUMMYFUNCTION("""COMPUTED_VALUE"""),33810.0)</f>
        <v>33810</v>
      </c>
      <c r="L1129" s="2">
        <f>IFERROR(__xludf.DUMMYFUNCTION("""COMPUTED_VALUE"""),0.0)</f>
        <v>0</v>
      </c>
      <c r="M1129" s="2">
        <f>IFERROR(__xludf.DUMMYFUNCTION("""COMPUTED_VALUE"""),33810.0)</f>
        <v>33810</v>
      </c>
      <c r="N1129" s="2">
        <f>IFERROR(__xludf.DUMMYFUNCTION("""COMPUTED_VALUE"""),0.0)</f>
        <v>0</v>
      </c>
      <c r="O1129" s="2">
        <f>IFERROR(__xludf.DUMMYFUNCTION("""COMPUTED_VALUE"""),33810.0)</f>
        <v>33810</v>
      </c>
      <c r="P1129" s="2">
        <f>IFERROR(__xludf.DUMMYFUNCTION("""COMPUTED_VALUE"""),1691.0)</f>
        <v>1691</v>
      </c>
      <c r="Q1129" s="2" t="str">
        <f>IFERROR(__xludf.DUMMYFUNCTION("""COMPUTED_VALUE"""),"Dine In")</f>
        <v>Dine In</v>
      </c>
      <c r="R1129" s="2" t="str">
        <f>IFERROR(__xludf.DUMMYFUNCTION("""COMPUTED_VALUE"""),"Kedai")</f>
        <v>Kedai</v>
      </c>
      <c r="S1129" s="2" t="str">
        <f>IFERROR(__xludf.DUMMYFUNCTION("""COMPUTED_VALUE"""),"Temu Roti")</f>
        <v>Temu Roti</v>
      </c>
      <c r="T1129" s="2" t="str">
        <f>IFERROR(__xludf.DUMMYFUNCTION("""COMPUTED_VALUE"""),"Owner")</f>
        <v>Owner</v>
      </c>
      <c r="U1129" s="2"/>
      <c r="V1129" s="2"/>
      <c r="W1129" s="2"/>
      <c r="X1129" s="2" t="str">
        <f>IFERROR(__xludf.DUMMYFUNCTION("""COMPUTED_VALUE"""),"Closed")</f>
        <v>Closed</v>
      </c>
    </row>
    <row r="1130">
      <c r="A1130" s="3" t="s">
        <v>1143</v>
      </c>
      <c r="B1130" s="4">
        <f>IFERROR(__xludf.DUMMYFUNCTION("SPLIT(A1130,"","",0,0)"),45542.82708333333)</f>
        <v>45542.82708</v>
      </c>
      <c r="C1130" s="5">
        <f>IFERROR(__xludf.DUMMYFUNCTION("""COMPUTED_VALUE"""),2642562.0)</f>
        <v>2642562</v>
      </c>
      <c r="D1130" s="2" t="str">
        <f>IFERROR(__xludf.DUMMYFUNCTION("""COMPUTED_VALUE"""),"Sale")</f>
        <v>Sale</v>
      </c>
      <c r="E1130" s="2" t="str">
        <f>IFERROR(__xludf.DUMMYFUNCTION("""COMPUTED_VALUE"""),"Minuman")</f>
        <v>Minuman</v>
      </c>
      <c r="F1130" s="2">
        <f>IFERROR(__xludf.DUMMYFUNCTION("""COMPUTED_VALUE"""),10063.0)</f>
        <v>10063</v>
      </c>
      <c r="G1130" s="2" t="str">
        <f>IFERROR(__xludf.DUMMYFUNCTION("""COMPUTED_VALUE"""),"Wedang Bulan")</f>
        <v>Wedang Bulan</v>
      </c>
      <c r="H1130" s="2"/>
      <c r="I1130" s="2"/>
      <c r="J1130" s="2">
        <f>IFERROR(__xludf.DUMMYFUNCTION("""COMPUTED_VALUE"""),1.0)</f>
        <v>1</v>
      </c>
      <c r="K1130" s="6">
        <f>IFERROR(__xludf.DUMMYFUNCTION("""COMPUTED_VALUE"""),24762.0)</f>
        <v>24762</v>
      </c>
      <c r="L1130" s="2">
        <f>IFERROR(__xludf.DUMMYFUNCTION("""COMPUTED_VALUE"""),0.0)</f>
        <v>0</v>
      </c>
      <c r="M1130" s="2">
        <f>IFERROR(__xludf.DUMMYFUNCTION("""COMPUTED_VALUE"""),24762.0)</f>
        <v>24762</v>
      </c>
      <c r="N1130" s="2">
        <f>IFERROR(__xludf.DUMMYFUNCTION("""COMPUTED_VALUE"""),0.0)</f>
        <v>0</v>
      </c>
      <c r="O1130" s="2">
        <f>IFERROR(__xludf.DUMMYFUNCTION("""COMPUTED_VALUE"""),24762.0)</f>
        <v>24762</v>
      </c>
      <c r="P1130" s="2">
        <f>IFERROR(__xludf.DUMMYFUNCTION("""COMPUTED_VALUE"""),1238.0)</f>
        <v>1238</v>
      </c>
      <c r="Q1130" s="2" t="str">
        <f>IFERROR(__xludf.DUMMYFUNCTION("""COMPUTED_VALUE"""),"Dine In")</f>
        <v>Dine In</v>
      </c>
      <c r="R1130" s="2" t="str">
        <f>IFERROR(__xludf.DUMMYFUNCTION("""COMPUTED_VALUE"""),"Kedai")</f>
        <v>Kedai</v>
      </c>
      <c r="S1130" s="2" t="str">
        <f>IFERROR(__xludf.DUMMYFUNCTION("""COMPUTED_VALUE"""),"Temu Roti")</f>
        <v>Temu Roti</v>
      </c>
      <c r="T1130" s="2" t="str">
        <f>IFERROR(__xludf.DUMMYFUNCTION("""COMPUTED_VALUE"""),"Owner")</f>
        <v>Owner</v>
      </c>
      <c r="U1130" s="2"/>
      <c r="V1130" s="2"/>
      <c r="W1130" s="2"/>
      <c r="X1130" s="2" t="str">
        <f>IFERROR(__xludf.DUMMYFUNCTION("""COMPUTED_VALUE"""),"Closed")</f>
        <v>Closed</v>
      </c>
    </row>
    <row r="1131">
      <c r="A1131" s="3" t="s">
        <v>1144</v>
      </c>
      <c r="B1131" s="4">
        <f>IFERROR(__xludf.DUMMYFUNCTION("SPLIT(A1131,"","",0,0)"),45542.82708333333)</f>
        <v>45542.82708</v>
      </c>
      <c r="C1131" s="5">
        <f>IFERROR(__xludf.DUMMYFUNCTION("""COMPUTED_VALUE"""),2642562.0)</f>
        <v>2642562</v>
      </c>
      <c r="D1131" s="2" t="str">
        <f>IFERROR(__xludf.DUMMYFUNCTION("""COMPUTED_VALUE"""),"Sale")</f>
        <v>Sale</v>
      </c>
      <c r="E1131" s="2" t="str">
        <f>IFERROR(__xludf.DUMMYFUNCTION("""COMPUTED_VALUE"""),"Minuman")</f>
        <v>Minuman</v>
      </c>
      <c r="F1131" s="2">
        <f>IFERROR(__xludf.DUMMYFUNCTION("""COMPUTED_VALUE"""),10057.0)</f>
        <v>10057</v>
      </c>
      <c r="G1131" s="2" t="str">
        <f>IFERROR(__xludf.DUMMYFUNCTION("""COMPUTED_VALUE"""),"Susu murni strawberry")</f>
        <v>Susu murni strawberry</v>
      </c>
      <c r="H1131" s="2"/>
      <c r="I1131" s="2"/>
      <c r="J1131" s="2">
        <f>IFERROR(__xludf.DUMMYFUNCTION("""COMPUTED_VALUE"""),1.0)</f>
        <v>1</v>
      </c>
      <c r="K1131" s="6">
        <f>IFERROR(__xludf.DUMMYFUNCTION("""COMPUTED_VALUE"""),19524.0)</f>
        <v>19524</v>
      </c>
      <c r="L1131" s="2">
        <f>IFERROR(__xludf.DUMMYFUNCTION("""COMPUTED_VALUE"""),0.0)</f>
        <v>0</v>
      </c>
      <c r="M1131" s="2">
        <f>IFERROR(__xludf.DUMMYFUNCTION("""COMPUTED_VALUE"""),19524.0)</f>
        <v>19524</v>
      </c>
      <c r="N1131" s="2">
        <f>IFERROR(__xludf.DUMMYFUNCTION("""COMPUTED_VALUE"""),0.0)</f>
        <v>0</v>
      </c>
      <c r="O1131" s="2">
        <f>IFERROR(__xludf.DUMMYFUNCTION("""COMPUTED_VALUE"""),19524.0)</f>
        <v>19524</v>
      </c>
      <c r="P1131" s="2">
        <f>IFERROR(__xludf.DUMMYFUNCTION("""COMPUTED_VALUE"""),976.0)</f>
        <v>976</v>
      </c>
      <c r="Q1131" s="2" t="str">
        <f>IFERROR(__xludf.DUMMYFUNCTION("""COMPUTED_VALUE"""),"Dine In")</f>
        <v>Dine In</v>
      </c>
      <c r="R1131" s="2" t="str">
        <f>IFERROR(__xludf.DUMMYFUNCTION("""COMPUTED_VALUE"""),"Kedai")</f>
        <v>Kedai</v>
      </c>
      <c r="S1131" s="2" t="str">
        <f>IFERROR(__xludf.DUMMYFUNCTION("""COMPUTED_VALUE"""),"Temu Roti")</f>
        <v>Temu Roti</v>
      </c>
      <c r="T1131" s="2" t="str">
        <f>IFERROR(__xludf.DUMMYFUNCTION("""COMPUTED_VALUE"""),"Owner")</f>
        <v>Owner</v>
      </c>
      <c r="U1131" s="2"/>
      <c r="V1131" s="2"/>
      <c r="W1131" s="2"/>
      <c r="X1131" s="2" t="str">
        <f>IFERROR(__xludf.DUMMYFUNCTION("""COMPUTED_VALUE"""),"Closed")</f>
        <v>Closed</v>
      </c>
    </row>
    <row r="1132">
      <c r="A1132" s="3" t="s">
        <v>1145</v>
      </c>
      <c r="B1132" s="4">
        <f>IFERROR(__xludf.DUMMYFUNCTION("SPLIT(A1132,"","",0,0)"),45542.82708333333)</f>
        <v>45542.82708</v>
      </c>
      <c r="C1132" s="5">
        <f>IFERROR(__xludf.DUMMYFUNCTION("""COMPUTED_VALUE"""),2642562.0)</f>
        <v>2642562</v>
      </c>
      <c r="D1132" s="2" t="str">
        <f>IFERROR(__xludf.DUMMYFUNCTION("""COMPUTED_VALUE"""),"Sale")</f>
        <v>Sale</v>
      </c>
      <c r="E1132" s="2" t="str">
        <f>IFERROR(__xludf.DUMMYFUNCTION("""COMPUTED_VALUE"""),"Hidangan Utama")</f>
        <v>Hidangan Utama</v>
      </c>
      <c r="F1132" s="2">
        <f>IFERROR(__xludf.DUMMYFUNCTION("""COMPUTED_VALUE"""),10003.0)</f>
        <v>10003</v>
      </c>
      <c r="G1132" s="2" t="str">
        <f>IFERROR(__xludf.DUMMYFUNCTION("""COMPUTED_VALUE"""),"Nasi Goreng Temu")</f>
        <v>Nasi Goreng Temu</v>
      </c>
      <c r="H1132" s="2"/>
      <c r="I1132" s="2"/>
      <c r="J1132" s="2">
        <f>IFERROR(__xludf.DUMMYFUNCTION("""COMPUTED_VALUE"""),1.0)</f>
        <v>1</v>
      </c>
      <c r="K1132" s="6">
        <f>IFERROR(__xludf.DUMMYFUNCTION("""COMPUTED_VALUE"""),29524.0)</f>
        <v>29524</v>
      </c>
      <c r="L1132" s="2">
        <f>IFERROR(__xludf.DUMMYFUNCTION("""COMPUTED_VALUE"""),0.0)</f>
        <v>0</v>
      </c>
      <c r="M1132" s="2">
        <f>IFERROR(__xludf.DUMMYFUNCTION("""COMPUTED_VALUE"""),29524.0)</f>
        <v>29524</v>
      </c>
      <c r="N1132" s="2">
        <f>IFERROR(__xludf.DUMMYFUNCTION("""COMPUTED_VALUE"""),0.0)</f>
        <v>0</v>
      </c>
      <c r="O1132" s="2">
        <f>IFERROR(__xludf.DUMMYFUNCTION("""COMPUTED_VALUE"""),29524.0)</f>
        <v>29524</v>
      </c>
      <c r="P1132" s="2">
        <f>IFERROR(__xludf.DUMMYFUNCTION("""COMPUTED_VALUE"""),1477.0)</f>
        <v>1477</v>
      </c>
      <c r="Q1132" s="2" t="str">
        <f>IFERROR(__xludf.DUMMYFUNCTION("""COMPUTED_VALUE"""),"Dine In")</f>
        <v>Dine In</v>
      </c>
      <c r="R1132" s="2" t="str">
        <f>IFERROR(__xludf.DUMMYFUNCTION("""COMPUTED_VALUE"""),"Kedai")</f>
        <v>Kedai</v>
      </c>
      <c r="S1132" s="2" t="str">
        <f>IFERROR(__xludf.DUMMYFUNCTION("""COMPUTED_VALUE"""),"Temu Roti")</f>
        <v>Temu Roti</v>
      </c>
      <c r="T1132" s="2" t="str">
        <f>IFERROR(__xludf.DUMMYFUNCTION("""COMPUTED_VALUE"""),"Owner")</f>
        <v>Owner</v>
      </c>
      <c r="U1132" s="2"/>
      <c r="V1132" s="2"/>
      <c r="W1132" s="2"/>
      <c r="X1132" s="2" t="str">
        <f>IFERROR(__xludf.DUMMYFUNCTION("""COMPUTED_VALUE"""),"Closed")</f>
        <v>Closed</v>
      </c>
    </row>
    <row r="1133">
      <c r="A1133" s="3" t="s">
        <v>1146</v>
      </c>
      <c r="B1133" s="4">
        <f>IFERROR(__xludf.DUMMYFUNCTION("SPLIT(A1133,"","",0,0)"),45542.82708333333)</f>
        <v>45542.82708</v>
      </c>
      <c r="C1133" s="5">
        <f>IFERROR(__xludf.DUMMYFUNCTION("""COMPUTED_VALUE"""),2642562.0)</f>
        <v>2642562</v>
      </c>
      <c r="D1133" s="2" t="str">
        <f>IFERROR(__xludf.DUMMYFUNCTION("""COMPUTED_VALUE"""),"Sale")</f>
        <v>Sale</v>
      </c>
      <c r="E1133" s="2" t="str">
        <f>IFERROR(__xludf.DUMMYFUNCTION("""COMPUTED_VALUE"""),"Kudapan")</f>
        <v>Kudapan</v>
      </c>
      <c r="F1133" s="2">
        <f>IFERROR(__xludf.DUMMYFUNCTION("""COMPUTED_VALUE"""),10014.0)</f>
        <v>10014</v>
      </c>
      <c r="G1133" s="2" t="str">
        <f>IFERROR(__xludf.DUMMYFUNCTION("""COMPUTED_VALUE"""),"Tempe Mendoan")</f>
        <v>Tempe Mendoan</v>
      </c>
      <c r="H1133" s="2"/>
      <c r="I1133" s="2"/>
      <c r="J1133" s="2">
        <f>IFERROR(__xludf.DUMMYFUNCTION("""COMPUTED_VALUE"""),1.0)</f>
        <v>1</v>
      </c>
      <c r="K1133" s="6">
        <f>IFERROR(__xludf.DUMMYFUNCTION("""COMPUTED_VALUE"""),25238.0)</f>
        <v>25238</v>
      </c>
      <c r="L1133" s="2">
        <f>IFERROR(__xludf.DUMMYFUNCTION("""COMPUTED_VALUE"""),0.0)</f>
        <v>0</v>
      </c>
      <c r="M1133" s="2">
        <f>IFERROR(__xludf.DUMMYFUNCTION("""COMPUTED_VALUE"""),25238.0)</f>
        <v>25238</v>
      </c>
      <c r="N1133" s="2">
        <f>IFERROR(__xludf.DUMMYFUNCTION("""COMPUTED_VALUE"""),0.0)</f>
        <v>0</v>
      </c>
      <c r="O1133" s="2">
        <f>IFERROR(__xludf.DUMMYFUNCTION("""COMPUTED_VALUE"""),25238.0)</f>
        <v>25238</v>
      </c>
      <c r="P1133" s="2">
        <f>IFERROR(__xludf.DUMMYFUNCTION("""COMPUTED_VALUE"""),1261.0)</f>
        <v>1261</v>
      </c>
      <c r="Q1133" s="2" t="str">
        <f>IFERROR(__xludf.DUMMYFUNCTION("""COMPUTED_VALUE"""),"Dine In")</f>
        <v>Dine In</v>
      </c>
      <c r="R1133" s="2" t="str">
        <f>IFERROR(__xludf.DUMMYFUNCTION("""COMPUTED_VALUE"""),"Kedai")</f>
        <v>Kedai</v>
      </c>
      <c r="S1133" s="2" t="str">
        <f>IFERROR(__xludf.DUMMYFUNCTION("""COMPUTED_VALUE"""),"Temu Roti")</f>
        <v>Temu Roti</v>
      </c>
      <c r="T1133" s="2" t="str">
        <f>IFERROR(__xludf.DUMMYFUNCTION("""COMPUTED_VALUE"""),"Owner")</f>
        <v>Owner</v>
      </c>
      <c r="U1133" s="2"/>
      <c r="V1133" s="2"/>
      <c r="W1133" s="2"/>
      <c r="X1133" s="2" t="str">
        <f>IFERROR(__xludf.DUMMYFUNCTION("""COMPUTED_VALUE"""),"Closed")</f>
        <v>Closed</v>
      </c>
    </row>
    <row r="1134">
      <c r="A1134" s="3" t="s">
        <v>1147</v>
      </c>
      <c r="B1134" s="4">
        <f>IFERROR(__xludf.DUMMYFUNCTION("SPLIT(A1134,"","",0,0)"),45542.82152777778)</f>
        <v>45542.82153</v>
      </c>
      <c r="C1134" s="5">
        <f>IFERROR(__xludf.DUMMYFUNCTION("""COMPUTED_VALUE"""),2642197.0)</f>
        <v>2642197</v>
      </c>
      <c r="D1134" s="2" t="str">
        <f>IFERROR(__xludf.DUMMYFUNCTION("""COMPUTED_VALUE"""),"Refund")</f>
        <v>Refund</v>
      </c>
      <c r="E1134" s="2" t="str">
        <f>IFERROR(__xludf.DUMMYFUNCTION("""COMPUTED_VALUE"""),"Roti")</f>
        <v>Roti</v>
      </c>
      <c r="F1134" s="2">
        <f>IFERROR(__xludf.DUMMYFUNCTION("""COMPUTED_VALUE"""),10002.0)</f>
        <v>10002</v>
      </c>
      <c r="G1134" s="2" t="str">
        <f>IFERROR(__xludf.DUMMYFUNCTION("""COMPUTED_VALUE"""),"Roti Cranberry")</f>
        <v>Roti Cranberry</v>
      </c>
      <c r="H1134" s="2"/>
      <c r="I1134" s="2"/>
      <c r="J1134" s="2">
        <f>IFERROR(__xludf.DUMMYFUNCTION("""COMPUTED_VALUE"""),-1.0)</f>
        <v>-1</v>
      </c>
      <c r="K1134" s="6">
        <f>IFERROR(__xludf.DUMMYFUNCTION("""COMPUTED_VALUE"""),-18571.0)</f>
        <v>-18571</v>
      </c>
      <c r="L1134" s="2">
        <f>IFERROR(__xludf.DUMMYFUNCTION("""COMPUTED_VALUE"""),0.0)</f>
        <v>0</v>
      </c>
      <c r="M1134" s="2">
        <f>IFERROR(__xludf.DUMMYFUNCTION("""COMPUTED_VALUE"""),-18571.0)</f>
        <v>-18571</v>
      </c>
      <c r="N1134" s="2">
        <f>IFERROR(__xludf.DUMMYFUNCTION("""COMPUTED_VALUE"""),0.0)</f>
        <v>0</v>
      </c>
      <c r="O1134" s="2">
        <f>IFERROR(__xludf.DUMMYFUNCTION("""COMPUTED_VALUE"""),-18571.0)</f>
        <v>-18571</v>
      </c>
      <c r="P1134" s="2">
        <f>IFERROR(__xludf.DUMMYFUNCTION("""COMPUTED_VALUE"""),-929.0)</f>
        <v>-929</v>
      </c>
      <c r="Q1134" s="2" t="str">
        <f>IFERROR(__xludf.DUMMYFUNCTION("""COMPUTED_VALUE"""),"Dine In")</f>
        <v>Dine In</v>
      </c>
      <c r="R1134" s="2" t="str">
        <f>IFERROR(__xludf.DUMMYFUNCTION("""COMPUTED_VALUE"""),"Kedai")</f>
        <v>Kedai</v>
      </c>
      <c r="S1134" s="2" t="str">
        <f>IFERROR(__xludf.DUMMYFUNCTION("""COMPUTED_VALUE"""),"Temu Roti")</f>
        <v>Temu Roti</v>
      </c>
      <c r="T1134" s="2" t="str">
        <f>IFERROR(__xludf.DUMMYFUNCTION("""COMPUTED_VALUE"""),"Owner")</f>
        <v>Owner</v>
      </c>
      <c r="U1134" s="2"/>
      <c r="V1134" s="2"/>
      <c r="W1134" s="2"/>
      <c r="X1134" s="2" t="str">
        <f>IFERROR(__xludf.DUMMYFUNCTION("""COMPUTED_VALUE"""),"Closed")</f>
        <v>Closed</v>
      </c>
    </row>
    <row r="1135">
      <c r="A1135" s="3" t="s">
        <v>1148</v>
      </c>
      <c r="B1135" s="4">
        <f>IFERROR(__xludf.DUMMYFUNCTION("SPLIT(A1135,"","",0,0)"),45542.82152777778)</f>
        <v>45542.82153</v>
      </c>
      <c r="C1135" s="5">
        <f>IFERROR(__xludf.DUMMYFUNCTION("""COMPUTED_VALUE"""),2642197.0)</f>
        <v>2642197</v>
      </c>
      <c r="D1135" s="2" t="str">
        <f>IFERROR(__xludf.DUMMYFUNCTION("""COMPUTED_VALUE"""),"Refund")</f>
        <v>Refund</v>
      </c>
      <c r="E1135" s="2" t="str">
        <f>IFERROR(__xludf.DUMMYFUNCTION("""COMPUTED_VALUE"""),"Minuman")</f>
        <v>Minuman</v>
      </c>
      <c r="F1135" s="2">
        <f>IFERROR(__xludf.DUMMYFUNCTION("""COMPUTED_VALUE"""),10122.0)</f>
        <v>10122</v>
      </c>
      <c r="G1135" s="2" t="str">
        <f>IFERROR(__xludf.DUMMYFUNCTION("""COMPUTED_VALUE"""),"Rempah Madu Panas")</f>
        <v>Rempah Madu Panas</v>
      </c>
      <c r="H1135" s="2"/>
      <c r="I1135" s="2"/>
      <c r="J1135" s="2">
        <f>IFERROR(__xludf.DUMMYFUNCTION("""COMPUTED_VALUE"""),-1.0)</f>
        <v>-1</v>
      </c>
      <c r="K1135" s="6">
        <f>IFERROR(__xludf.DUMMYFUNCTION("""COMPUTED_VALUE"""),-21905.0)</f>
        <v>-21905</v>
      </c>
      <c r="L1135" s="2">
        <f>IFERROR(__xludf.DUMMYFUNCTION("""COMPUTED_VALUE"""),0.0)</f>
        <v>0</v>
      </c>
      <c r="M1135" s="2">
        <f>IFERROR(__xludf.DUMMYFUNCTION("""COMPUTED_VALUE"""),-21905.0)</f>
        <v>-21905</v>
      </c>
      <c r="N1135" s="2">
        <f>IFERROR(__xludf.DUMMYFUNCTION("""COMPUTED_VALUE"""),0.0)</f>
        <v>0</v>
      </c>
      <c r="O1135" s="2">
        <f>IFERROR(__xludf.DUMMYFUNCTION("""COMPUTED_VALUE"""),-21905.0)</f>
        <v>-21905</v>
      </c>
      <c r="P1135" s="2">
        <f>IFERROR(__xludf.DUMMYFUNCTION("""COMPUTED_VALUE"""),-1095.0)</f>
        <v>-1095</v>
      </c>
      <c r="Q1135" s="2" t="str">
        <f>IFERROR(__xludf.DUMMYFUNCTION("""COMPUTED_VALUE"""),"Dine In")</f>
        <v>Dine In</v>
      </c>
      <c r="R1135" s="2" t="str">
        <f>IFERROR(__xludf.DUMMYFUNCTION("""COMPUTED_VALUE"""),"Kedai")</f>
        <v>Kedai</v>
      </c>
      <c r="S1135" s="2" t="str">
        <f>IFERROR(__xludf.DUMMYFUNCTION("""COMPUTED_VALUE"""),"Temu Roti")</f>
        <v>Temu Roti</v>
      </c>
      <c r="T1135" s="2" t="str">
        <f>IFERROR(__xludf.DUMMYFUNCTION("""COMPUTED_VALUE"""),"Owner")</f>
        <v>Owner</v>
      </c>
      <c r="U1135" s="2"/>
      <c r="V1135" s="2"/>
      <c r="W1135" s="2"/>
      <c r="X1135" s="2" t="str">
        <f>IFERROR(__xludf.DUMMYFUNCTION("""COMPUTED_VALUE"""),"Closed")</f>
        <v>Closed</v>
      </c>
    </row>
    <row r="1136">
      <c r="A1136" s="3" t="s">
        <v>1149</v>
      </c>
      <c r="B1136" s="4">
        <f>IFERROR(__xludf.DUMMYFUNCTION("SPLIT(A1136,"","",0,0)"),45542.82152777778)</f>
        <v>45542.82153</v>
      </c>
      <c r="C1136" s="5">
        <f>IFERROR(__xludf.DUMMYFUNCTION("""COMPUTED_VALUE"""),2642197.0)</f>
        <v>2642197</v>
      </c>
      <c r="D1136" s="2" t="str">
        <f>IFERROR(__xludf.DUMMYFUNCTION("""COMPUTED_VALUE"""),"Refund")</f>
        <v>Refund</v>
      </c>
      <c r="E1136" s="2" t="str">
        <f>IFERROR(__xludf.DUMMYFUNCTION("""COMPUTED_VALUE"""),"Kudapan")</f>
        <v>Kudapan</v>
      </c>
      <c r="F1136" s="2">
        <f>IFERROR(__xludf.DUMMYFUNCTION("""COMPUTED_VALUE"""),10051.0)</f>
        <v>10051</v>
      </c>
      <c r="G1136" s="2" t="str">
        <f>IFERROR(__xludf.DUMMYFUNCTION("""COMPUTED_VALUE"""),"Tahu baso")</f>
        <v>Tahu baso</v>
      </c>
      <c r="H1136" s="2"/>
      <c r="I1136" s="2"/>
      <c r="J1136" s="2">
        <f>IFERROR(__xludf.DUMMYFUNCTION("""COMPUTED_VALUE"""),-1.0)</f>
        <v>-1</v>
      </c>
      <c r="K1136" s="6">
        <f>IFERROR(__xludf.DUMMYFUNCTION("""COMPUTED_VALUE"""),-25238.0)</f>
        <v>-25238</v>
      </c>
      <c r="L1136" s="2">
        <f>IFERROR(__xludf.DUMMYFUNCTION("""COMPUTED_VALUE"""),0.0)</f>
        <v>0</v>
      </c>
      <c r="M1136" s="2">
        <f>IFERROR(__xludf.DUMMYFUNCTION("""COMPUTED_VALUE"""),-25238.0)</f>
        <v>-25238</v>
      </c>
      <c r="N1136" s="2">
        <f>IFERROR(__xludf.DUMMYFUNCTION("""COMPUTED_VALUE"""),0.0)</f>
        <v>0</v>
      </c>
      <c r="O1136" s="2">
        <f>IFERROR(__xludf.DUMMYFUNCTION("""COMPUTED_VALUE"""),-25238.0)</f>
        <v>-25238</v>
      </c>
      <c r="P1136" s="2">
        <f>IFERROR(__xludf.DUMMYFUNCTION("""COMPUTED_VALUE"""),-1262.0)</f>
        <v>-1262</v>
      </c>
      <c r="Q1136" s="2" t="str">
        <f>IFERROR(__xludf.DUMMYFUNCTION("""COMPUTED_VALUE"""),"Dine In")</f>
        <v>Dine In</v>
      </c>
      <c r="R1136" s="2" t="str">
        <f>IFERROR(__xludf.DUMMYFUNCTION("""COMPUTED_VALUE"""),"Kedai")</f>
        <v>Kedai</v>
      </c>
      <c r="S1136" s="2" t="str">
        <f>IFERROR(__xludf.DUMMYFUNCTION("""COMPUTED_VALUE"""),"Temu Roti")</f>
        <v>Temu Roti</v>
      </c>
      <c r="T1136" s="2" t="str">
        <f>IFERROR(__xludf.DUMMYFUNCTION("""COMPUTED_VALUE"""),"Owner")</f>
        <v>Owner</v>
      </c>
      <c r="U1136" s="2"/>
      <c r="V1136" s="2"/>
      <c r="W1136" s="2"/>
      <c r="X1136" s="2" t="str">
        <f>IFERROR(__xludf.DUMMYFUNCTION("""COMPUTED_VALUE"""),"Closed")</f>
        <v>Closed</v>
      </c>
    </row>
    <row r="1137">
      <c r="A1137" s="3" t="s">
        <v>1150</v>
      </c>
      <c r="B1137" s="4">
        <f>IFERROR(__xludf.DUMMYFUNCTION("SPLIT(A1137,"","",0,0)"),45542.82013888889)</f>
        <v>45542.82014</v>
      </c>
      <c r="C1137" s="5">
        <f>IFERROR(__xludf.DUMMYFUNCTION("""COMPUTED_VALUE"""),2641832.0)</f>
        <v>2641832</v>
      </c>
      <c r="D1137" s="2" t="str">
        <f>IFERROR(__xludf.DUMMYFUNCTION("""COMPUTED_VALUE"""),"Sale")</f>
        <v>Sale</v>
      </c>
      <c r="E1137" s="2" t="str">
        <f>IFERROR(__xludf.DUMMYFUNCTION("""COMPUTED_VALUE"""),"Roti")</f>
        <v>Roti</v>
      </c>
      <c r="F1137" s="2">
        <f>IFERROR(__xludf.DUMMYFUNCTION("""COMPUTED_VALUE"""),10002.0)</f>
        <v>10002</v>
      </c>
      <c r="G1137" s="2" t="str">
        <f>IFERROR(__xludf.DUMMYFUNCTION("""COMPUTED_VALUE"""),"Roti Cranberry")</f>
        <v>Roti Cranberry</v>
      </c>
      <c r="H1137" s="2"/>
      <c r="I1137" s="2"/>
      <c r="J1137" s="2">
        <f>IFERROR(__xludf.DUMMYFUNCTION("""COMPUTED_VALUE"""),1.0)</f>
        <v>1</v>
      </c>
      <c r="K1137" s="6">
        <f>IFERROR(__xludf.DUMMYFUNCTION("""COMPUTED_VALUE"""),18571.0)</f>
        <v>18571</v>
      </c>
      <c r="L1137" s="2">
        <f>IFERROR(__xludf.DUMMYFUNCTION("""COMPUTED_VALUE"""),0.0)</f>
        <v>0</v>
      </c>
      <c r="M1137" s="2">
        <f>IFERROR(__xludf.DUMMYFUNCTION("""COMPUTED_VALUE"""),18571.0)</f>
        <v>18571</v>
      </c>
      <c r="N1137" s="2">
        <f>IFERROR(__xludf.DUMMYFUNCTION("""COMPUTED_VALUE"""),0.0)</f>
        <v>0</v>
      </c>
      <c r="O1137" s="2">
        <f>IFERROR(__xludf.DUMMYFUNCTION("""COMPUTED_VALUE"""),18571.0)</f>
        <v>18571</v>
      </c>
      <c r="P1137" s="2">
        <f>IFERROR(__xludf.DUMMYFUNCTION("""COMPUTED_VALUE"""),929.0)</f>
        <v>929</v>
      </c>
      <c r="Q1137" s="2" t="str">
        <f>IFERROR(__xludf.DUMMYFUNCTION("""COMPUTED_VALUE"""),"Dine In")</f>
        <v>Dine In</v>
      </c>
      <c r="R1137" s="2" t="str">
        <f>IFERROR(__xludf.DUMMYFUNCTION("""COMPUTED_VALUE"""),"Kedai")</f>
        <v>Kedai</v>
      </c>
      <c r="S1137" s="2" t="str">
        <f>IFERROR(__xludf.DUMMYFUNCTION("""COMPUTED_VALUE"""),"Temu Roti")</f>
        <v>Temu Roti</v>
      </c>
      <c r="T1137" s="2" t="str">
        <f>IFERROR(__xludf.DUMMYFUNCTION("""COMPUTED_VALUE"""),"Owner")</f>
        <v>Owner</v>
      </c>
      <c r="U1137" s="2"/>
      <c r="V1137" s="2"/>
      <c r="W1137" s="2"/>
      <c r="X1137" s="2" t="str">
        <f>IFERROR(__xludf.DUMMYFUNCTION("""COMPUTED_VALUE"""),"Closed")</f>
        <v>Closed</v>
      </c>
    </row>
    <row r="1138">
      <c r="A1138" s="3" t="s">
        <v>1151</v>
      </c>
      <c r="B1138" s="4">
        <f>IFERROR(__xludf.DUMMYFUNCTION("SPLIT(A1138,"","",0,0)"),45542.82013888889)</f>
        <v>45542.82014</v>
      </c>
      <c r="C1138" s="5">
        <f>IFERROR(__xludf.DUMMYFUNCTION("""COMPUTED_VALUE"""),2641832.0)</f>
        <v>2641832</v>
      </c>
      <c r="D1138" s="2" t="str">
        <f>IFERROR(__xludf.DUMMYFUNCTION("""COMPUTED_VALUE"""),"Sale")</f>
        <v>Sale</v>
      </c>
      <c r="E1138" s="2" t="str">
        <f>IFERROR(__xludf.DUMMYFUNCTION("""COMPUTED_VALUE"""),"Minuman")</f>
        <v>Minuman</v>
      </c>
      <c r="F1138" s="2">
        <f>IFERROR(__xludf.DUMMYFUNCTION("""COMPUTED_VALUE"""),10122.0)</f>
        <v>10122</v>
      </c>
      <c r="G1138" s="2" t="str">
        <f>IFERROR(__xludf.DUMMYFUNCTION("""COMPUTED_VALUE"""),"Rempah Madu Panas")</f>
        <v>Rempah Madu Panas</v>
      </c>
      <c r="H1138" s="2"/>
      <c r="I1138" s="2"/>
      <c r="J1138" s="2">
        <f>IFERROR(__xludf.DUMMYFUNCTION("""COMPUTED_VALUE"""),1.0)</f>
        <v>1</v>
      </c>
      <c r="K1138" s="6">
        <f>IFERROR(__xludf.DUMMYFUNCTION("""COMPUTED_VALUE"""),21905.0)</f>
        <v>21905</v>
      </c>
      <c r="L1138" s="2">
        <f>IFERROR(__xludf.DUMMYFUNCTION("""COMPUTED_VALUE"""),0.0)</f>
        <v>0</v>
      </c>
      <c r="M1138" s="2">
        <f>IFERROR(__xludf.DUMMYFUNCTION("""COMPUTED_VALUE"""),21905.0)</f>
        <v>21905</v>
      </c>
      <c r="N1138" s="2">
        <f>IFERROR(__xludf.DUMMYFUNCTION("""COMPUTED_VALUE"""),0.0)</f>
        <v>0</v>
      </c>
      <c r="O1138" s="2">
        <f>IFERROR(__xludf.DUMMYFUNCTION("""COMPUTED_VALUE"""),21905.0)</f>
        <v>21905</v>
      </c>
      <c r="P1138" s="2">
        <f>IFERROR(__xludf.DUMMYFUNCTION("""COMPUTED_VALUE"""),1095.0)</f>
        <v>1095</v>
      </c>
      <c r="Q1138" s="2" t="str">
        <f>IFERROR(__xludf.DUMMYFUNCTION("""COMPUTED_VALUE"""),"Dine In")</f>
        <v>Dine In</v>
      </c>
      <c r="R1138" s="2" t="str">
        <f>IFERROR(__xludf.DUMMYFUNCTION("""COMPUTED_VALUE"""),"Kedai")</f>
        <v>Kedai</v>
      </c>
      <c r="S1138" s="2" t="str">
        <f>IFERROR(__xludf.DUMMYFUNCTION("""COMPUTED_VALUE"""),"Temu Roti")</f>
        <v>Temu Roti</v>
      </c>
      <c r="T1138" s="2" t="str">
        <f>IFERROR(__xludf.DUMMYFUNCTION("""COMPUTED_VALUE"""),"Owner")</f>
        <v>Owner</v>
      </c>
      <c r="U1138" s="2"/>
      <c r="V1138" s="2"/>
      <c r="W1138" s="2"/>
      <c r="X1138" s="2" t="str">
        <f>IFERROR(__xludf.DUMMYFUNCTION("""COMPUTED_VALUE"""),"Closed")</f>
        <v>Closed</v>
      </c>
    </row>
    <row r="1139">
      <c r="A1139" s="3" t="s">
        <v>1152</v>
      </c>
      <c r="B1139" s="4">
        <f>IFERROR(__xludf.DUMMYFUNCTION("SPLIT(A1139,"","",0,0)"),45542.82013888889)</f>
        <v>45542.82014</v>
      </c>
      <c r="C1139" s="5">
        <f>IFERROR(__xludf.DUMMYFUNCTION("""COMPUTED_VALUE"""),2641832.0)</f>
        <v>2641832</v>
      </c>
      <c r="D1139" s="2" t="str">
        <f>IFERROR(__xludf.DUMMYFUNCTION("""COMPUTED_VALUE"""),"Sale")</f>
        <v>Sale</v>
      </c>
      <c r="E1139" s="2" t="str">
        <f>IFERROR(__xludf.DUMMYFUNCTION("""COMPUTED_VALUE"""),"Kudapan")</f>
        <v>Kudapan</v>
      </c>
      <c r="F1139" s="2">
        <f>IFERROR(__xludf.DUMMYFUNCTION("""COMPUTED_VALUE"""),10051.0)</f>
        <v>10051</v>
      </c>
      <c r="G1139" s="2" t="str">
        <f>IFERROR(__xludf.DUMMYFUNCTION("""COMPUTED_VALUE"""),"Tahu baso")</f>
        <v>Tahu baso</v>
      </c>
      <c r="H1139" s="2"/>
      <c r="I1139" s="2"/>
      <c r="J1139" s="2">
        <f>IFERROR(__xludf.DUMMYFUNCTION("""COMPUTED_VALUE"""),1.0)</f>
        <v>1</v>
      </c>
      <c r="K1139" s="6">
        <f>IFERROR(__xludf.DUMMYFUNCTION("""COMPUTED_VALUE"""),25238.0)</f>
        <v>25238</v>
      </c>
      <c r="L1139" s="2">
        <f>IFERROR(__xludf.DUMMYFUNCTION("""COMPUTED_VALUE"""),0.0)</f>
        <v>0</v>
      </c>
      <c r="M1139" s="2">
        <f>IFERROR(__xludf.DUMMYFUNCTION("""COMPUTED_VALUE"""),25238.0)</f>
        <v>25238</v>
      </c>
      <c r="N1139" s="2">
        <f>IFERROR(__xludf.DUMMYFUNCTION("""COMPUTED_VALUE"""),0.0)</f>
        <v>0</v>
      </c>
      <c r="O1139" s="2">
        <f>IFERROR(__xludf.DUMMYFUNCTION("""COMPUTED_VALUE"""),25238.0)</f>
        <v>25238</v>
      </c>
      <c r="P1139" s="2">
        <f>IFERROR(__xludf.DUMMYFUNCTION("""COMPUTED_VALUE"""),1262.0)</f>
        <v>1262</v>
      </c>
      <c r="Q1139" s="2" t="str">
        <f>IFERROR(__xludf.DUMMYFUNCTION("""COMPUTED_VALUE"""),"Dine In")</f>
        <v>Dine In</v>
      </c>
      <c r="R1139" s="2" t="str">
        <f>IFERROR(__xludf.DUMMYFUNCTION("""COMPUTED_VALUE"""),"Kedai")</f>
        <v>Kedai</v>
      </c>
      <c r="S1139" s="2" t="str">
        <f>IFERROR(__xludf.DUMMYFUNCTION("""COMPUTED_VALUE"""),"Temu Roti")</f>
        <v>Temu Roti</v>
      </c>
      <c r="T1139" s="2" t="str">
        <f>IFERROR(__xludf.DUMMYFUNCTION("""COMPUTED_VALUE"""),"Owner")</f>
        <v>Owner</v>
      </c>
      <c r="U1139" s="2"/>
      <c r="V1139" s="2"/>
      <c r="W1139" s="2"/>
      <c r="X1139" s="2" t="str">
        <f>IFERROR(__xludf.DUMMYFUNCTION("""COMPUTED_VALUE"""),"Closed")</f>
        <v>Closed</v>
      </c>
    </row>
    <row r="1140">
      <c r="A1140" s="3" t="s">
        <v>1153</v>
      </c>
      <c r="B1140" s="4">
        <f>IFERROR(__xludf.DUMMYFUNCTION("SPLIT(A1140,"","",0,0)"),45542.81458333333)</f>
        <v>45542.81458</v>
      </c>
      <c r="C1140" s="5">
        <f>IFERROR(__xludf.DUMMYFUNCTION("""COMPUTED_VALUE"""),2641466.0)</f>
        <v>2641466</v>
      </c>
      <c r="D1140" s="2" t="str">
        <f>IFERROR(__xludf.DUMMYFUNCTION("""COMPUTED_VALUE"""),"Sale")</f>
        <v>Sale</v>
      </c>
      <c r="E1140" s="2" t="str">
        <f>IFERROR(__xludf.DUMMYFUNCTION("""COMPUTED_VALUE"""),"Kudapan")</f>
        <v>Kudapan</v>
      </c>
      <c r="F1140" s="2">
        <f>IFERROR(__xludf.DUMMYFUNCTION("""COMPUTED_VALUE"""),10010.0)</f>
        <v>10010</v>
      </c>
      <c r="G1140" s="2" t="str">
        <f>IFERROR(__xludf.DUMMYFUNCTION("""COMPUTED_VALUE"""),"Pisang Goreng")</f>
        <v>Pisang Goreng</v>
      </c>
      <c r="H1140" s="2"/>
      <c r="I1140" s="2"/>
      <c r="J1140" s="2">
        <f>IFERROR(__xludf.DUMMYFUNCTION("""COMPUTED_VALUE"""),1.0)</f>
        <v>1</v>
      </c>
      <c r="K1140" s="6">
        <f>IFERROR(__xludf.DUMMYFUNCTION("""COMPUTED_VALUE"""),25238.0)</f>
        <v>25238</v>
      </c>
      <c r="L1140" s="2">
        <f>IFERROR(__xludf.DUMMYFUNCTION("""COMPUTED_VALUE"""),0.0)</f>
        <v>0</v>
      </c>
      <c r="M1140" s="2">
        <f>IFERROR(__xludf.DUMMYFUNCTION("""COMPUTED_VALUE"""),25238.0)</f>
        <v>25238</v>
      </c>
      <c r="N1140" s="2">
        <f>IFERROR(__xludf.DUMMYFUNCTION("""COMPUTED_VALUE"""),0.0)</f>
        <v>0</v>
      </c>
      <c r="O1140" s="2">
        <f>IFERROR(__xludf.DUMMYFUNCTION("""COMPUTED_VALUE"""),25238.0)</f>
        <v>25238</v>
      </c>
      <c r="P1140" s="2">
        <f>IFERROR(__xludf.DUMMYFUNCTION("""COMPUTED_VALUE"""),1262.0)</f>
        <v>1262</v>
      </c>
      <c r="Q1140" s="2" t="str">
        <f>IFERROR(__xludf.DUMMYFUNCTION("""COMPUTED_VALUE"""),"Dine In")</f>
        <v>Dine In</v>
      </c>
      <c r="R1140" s="2" t="str">
        <f>IFERROR(__xludf.DUMMYFUNCTION("""COMPUTED_VALUE"""),"Kedai")</f>
        <v>Kedai</v>
      </c>
      <c r="S1140" s="2" t="str">
        <f>IFERROR(__xludf.DUMMYFUNCTION("""COMPUTED_VALUE"""),"Temu Roti")</f>
        <v>Temu Roti</v>
      </c>
      <c r="T1140" s="2" t="str">
        <f>IFERROR(__xludf.DUMMYFUNCTION("""COMPUTED_VALUE"""),"Owner")</f>
        <v>Owner</v>
      </c>
      <c r="U1140" s="2"/>
      <c r="V1140" s="2"/>
      <c r="W1140" s="2"/>
      <c r="X1140" s="2" t="str">
        <f>IFERROR(__xludf.DUMMYFUNCTION("""COMPUTED_VALUE"""),"Closed")</f>
        <v>Closed</v>
      </c>
    </row>
    <row r="1141">
      <c r="A1141" s="3" t="s">
        <v>1154</v>
      </c>
      <c r="B1141" s="4">
        <f>IFERROR(__xludf.DUMMYFUNCTION("SPLIT(A1141,"","",0,0)"),45542.8125)</f>
        <v>45542.8125</v>
      </c>
      <c r="C1141" s="5">
        <f>IFERROR(__xludf.DUMMYFUNCTION("""COMPUTED_VALUE"""),2641101.0)</f>
        <v>2641101</v>
      </c>
      <c r="D1141" s="2" t="str">
        <f>IFERROR(__xludf.DUMMYFUNCTION("""COMPUTED_VALUE"""),"Sale")</f>
        <v>Sale</v>
      </c>
      <c r="E1141" s="2" t="str">
        <f>IFERROR(__xludf.DUMMYFUNCTION("""COMPUTED_VALUE"""),"Kudapan")</f>
        <v>Kudapan</v>
      </c>
      <c r="F1141" s="2">
        <f>IFERROR(__xludf.DUMMYFUNCTION("""COMPUTED_VALUE"""),10004.0)</f>
        <v>10004</v>
      </c>
      <c r="G1141" s="2" t="str">
        <f>IFERROR(__xludf.DUMMYFUNCTION("""COMPUTED_VALUE"""),"Tahu walik")</f>
        <v>Tahu walik</v>
      </c>
      <c r="H1141" s="2"/>
      <c r="I1141" s="2"/>
      <c r="J1141" s="2">
        <f>IFERROR(__xludf.DUMMYFUNCTION("""COMPUTED_VALUE"""),1.0)</f>
        <v>1</v>
      </c>
      <c r="K1141" s="6">
        <f>IFERROR(__xludf.DUMMYFUNCTION("""COMPUTED_VALUE"""),25238.0)</f>
        <v>25238</v>
      </c>
      <c r="L1141" s="2">
        <f>IFERROR(__xludf.DUMMYFUNCTION("""COMPUTED_VALUE"""),0.0)</f>
        <v>0</v>
      </c>
      <c r="M1141" s="2">
        <f>IFERROR(__xludf.DUMMYFUNCTION("""COMPUTED_VALUE"""),25238.0)</f>
        <v>25238</v>
      </c>
      <c r="N1141" s="2">
        <f>IFERROR(__xludf.DUMMYFUNCTION("""COMPUTED_VALUE"""),0.0)</f>
        <v>0</v>
      </c>
      <c r="O1141" s="2">
        <f>IFERROR(__xludf.DUMMYFUNCTION("""COMPUTED_VALUE"""),25238.0)</f>
        <v>25238</v>
      </c>
      <c r="P1141" s="2">
        <f>IFERROR(__xludf.DUMMYFUNCTION("""COMPUTED_VALUE"""),1262.0)</f>
        <v>1262</v>
      </c>
      <c r="Q1141" s="2" t="str">
        <f>IFERROR(__xludf.DUMMYFUNCTION("""COMPUTED_VALUE"""),"Dine In")</f>
        <v>Dine In</v>
      </c>
      <c r="R1141" s="2" t="str">
        <f>IFERROR(__xludf.DUMMYFUNCTION("""COMPUTED_VALUE"""),"Kedai")</f>
        <v>Kedai</v>
      </c>
      <c r="S1141" s="2" t="str">
        <f>IFERROR(__xludf.DUMMYFUNCTION("""COMPUTED_VALUE"""),"Temu Roti")</f>
        <v>Temu Roti</v>
      </c>
      <c r="T1141" s="2" t="str">
        <f>IFERROR(__xludf.DUMMYFUNCTION("""COMPUTED_VALUE"""),"Owner")</f>
        <v>Owner</v>
      </c>
      <c r="U1141" s="2"/>
      <c r="V1141" s="2"/>
      <c r="W1141" s="2"/>
      <c r="X1141" s="2" t="str">
        <f>IFERROR(__xludf.DUMMYFUNCTION("""COMPUTED_VALUE"""),"Closed")</f>
        <v>Closed</v>
      </c>
    </row>
    <row r="1142">
      <c r="A1142" s="3" t="s">
        <v>1155</v>
      </c>
      <c r="B1142" s="4">
        <f>IFERROR(__xludf.DUMMYFUNCTION("SPLIT(A1142,"","",0,0)"),45542.805555555555)</f>
        <v>45542.80556</v>
      </c>
      <c r="C1142" s="5">
        <f>IFERROR(__xludf.DUMMYFUNCTION("""COMPUTED_VALUE"""),2640736.0)</f>
        <v>2640736</v>
      </c>
      <c r="D1142" s="2" t="str">
        <f>IFERROR(__xludf.DUMMYFUNCTION("""COMPUTED_VALUE"""),"Sale")</f>
        <v>Sale</v>
      </c>
      <c r="E1142" s="2" t="str">
        <f>IFERROR(__xludf.DUMMYFUNCTION("""COMPUTED_VALUE"""),"Kudapan")</f>
        <v>Kudapan</v>
      </c>
      <c r="F1142" s="2">
        <f>IFERROR(__xludf.DUMMYFUNCTION("""COMPUTED_VALUE"""),10014.0)</f>
        <v>10014</v>
      </c>
      <c r="G1142" s="2" t="str">
        <f>IFERROR(__xludf.DUMMYFUNCTION("""COMPUTED_VALUE"""),"Tempe Mendoan")</f>
        <v>Tempe Mendoan</v>
      </c>
      <c r="H1142" s="2"/>
      <c r="I1142" s="2"/>
      <c r="J1142" s="2">
        <f>IFERROR(__xludf.DUMMYFUNCTION("""COMPUTED_VALUE"""),1.0)</f>
        <v>1</v>
      </c>
      <c r="K1142" s="6">
        <f>IFERROR(__xludf.DUMMYFUNCTION("""COMPUTED_VALUE"""),25238.0)</f>
        <v>25238</v>
      </c>
      <c r="L1142" s="2">
        <f>IFERROR(__xludf.DUMMYFUNCTION("""COMPUTED_VALUE"""),0.0)</f>
        <v>0</v>
      </c>
      <c r="M1142" s="2">
        <f>IFERROR(__xludf.DUMMYFUNCTION("""COMPUTED_VALUE"""),25238.0)</f>
        <v>25238</v>
      </c>
      <c r="N1142" s="2">
        <f>IFERROR(__xludf.DUMMYFUNCTION("""COMPUTED_VALUE"""),0.0)</f>
        <v>0</v>
      </c>
      <c r="O1142" s="2">
        <f>IFERROR(__xludf.DUMMYFUNCTION("""COMPUTED_VALUE"""),25238.0)</f>
        <v>25238</v>
      </c>
      <c r="P1142" s="2">
        <f>IFERROR(__xludf.DUMMYFUNCTION("""COMPUTED_VALUE"""),1262.0)</f>
        <v>1262</v>
      </c>
      <c r="Q1142" s="2" t="str">
        <f>IFERROR(__xludf.DUMMYFUNCTION("""COMPUTED_VALUE"""),"Dine In")</f>
        <v>Dine In</v>
      </c>
      <c r="R1142" s="2" t="str">
        <f>IFERROR(__xludf.DUMMYFUNCTION("""COMPUTED_VALUE"""),"Kedai")</f>
        <v>Kedai</v>
      </c>
      <c r="S1142" s="2" t="str">
        <f>IFERROR(__xludf.DUMMYFUNCTION("""COMPUTED_VALUE"""),"Temu Roti")</f>
        <v>Temu Roti</v>
      </c>
      <c r="T1142" s="2" t="str">
        <f>IFERROR(__xludf.DUMMYFUNCTION("""COMPUTED_VALUE"""),"Owner")</f>
        <v>Owner</v>
      </c>
      <c r="U1142" s="2"/>
      <c r="V1142" s="2"/>
      <c r="W1142" s="2"/>
      <c r="X1142" s="2" t="str">
        <f>IFERROR(__xludf.DUMMYFUNCTION("""COMPUTED_VALUE"""),"Closed")</f>
        <v>Closed</v>
      </c>
    </row>
    <row r="1143">
      <c r="A1143" s="3" t="s">
        <v>1156</v>
      </c>
      <c r="B1143" s="4">
        <f>IFERROR(__xludf.DUMMYFUNCTION("SPLIT(A1143,"","",0,0)"),45542.805555555555)</f>
        <v>45542.80556</v>
      </c>
      <c r="C1143" s="5">
        <f>IFERROR(__xludf.DUMMYFUNCTION("""COMPUTED_VALUE"""),2640371.0)</f>
        <v>2640371</v>
      </c>
      <c r="D1143" s="2" t="str">
        <f>IFERROR(__xludf.DUMMYFUNCTION("""COMPUTED_VALUE"""),"Sale")</f>
        <v>Sale</v>
      </c>
      <c r="E1143" s="2" t="str">
        <f>IFERROR(__xludf.DUMMYFUNCTION("""COMPUTED_VALUE"""),"Hidangan Utama")</f>
        <v>Hidangan Utama</v>
      </c>
      <c r="F1143" s="2">
        <f>IFERROR(__xludf.DUMMYFUNCTION("""COMPUTED_VALUE"""),10104.0)</f>
        <v>10104</v>
      </c>
      <c r="G1143" s="2" t="str">
        <f>IFERROR(__xludf.DUMMYFUNCTION("""COMPUTED_VALUE"""),"Chicken Claypot Rice")</f>
        <v>Chicken Claypot Rice</v>
      </c>
      <c r="H1143" s="2"/>
      <c r="I1143" s="2"/>
      <c r="J1143" s="2">
        <f>IFERROR(__xludf.DUMMYFUNCTION("""COMPUTED_VALUE"""),2.0)</f>
        <v>2</v>
      </c>
      <c r="K1143" s="6">
        <f>IFERROR(__xludf.DUMMYFUNCTION("""COMPUTED_VALUE"""),69524.0)</f>
        <v>69524</v>
      </c>
      <c r="L1143" s="2">
        <f>IFERROR(__xludf.DUMMYFUNCTION("""COMPUTED_VALUE"""),0.0)</f>
        <v>0</v>
      </c>
      <c r="M1143" s="2">
        <f>IFERROR(__xludf.DUMMYFUNCTION("""COMPUTED_VALUE"""),69524.0)</f>
        <v>69524</v>
      </c>
      <c r="N1143" s="2">
        <f>IFERROR(__xludf.DUMMYFUNCTION("""COMPUTED_VALUE"""),0.0)</f>
        <v>0</v>
      </c>
      <c r="O1143" s="2">
        <f>IFERROR(__xludf.DUMMYFUNCTION("""COMPUTED_VALUE"""),69524.0)</f>
        <v>69524</v>
      </c>
      <c r="P1143" s="2">
        <f>IFERROR(__xludf.DUMMYFUNCTION("""COMPUTED_VALUE"""),3476.0)</f>
        <v>3476</v>
      </c>
      <c r="Q1143" s="2" t="str">
        <f>IFERROR(__xludf.DUMMYFUNCTION("""COMPUTED_VALUE"""),"Dine In")</f>
        <v>Dine In</v>
      </c>
      <c r="R1143" s="2" t="str">
        <f>IFERROR(__xludf.DUMMYFUNCTION("""COMPUTED_VALUE"""),"Kedai")</f>
        <v>Kedai</v>
      </c>
      <c r="S1143" s="2" t="str">
        <f>IFERROR(__xludf.DUMMYFUNCTION("""COMPUTED_VALUE"""),"Temu Roti")</f>
        <v>Temu Roti</v>
      </c>
      <c r="T1143" s="2" t="str">
        <f>IFERROR(__xludf.DUMMYFUNCTION("""COMPUTED_VALUE"""),"Owner")</f>
        <v>Owner</v>
      </c>
      <c r="U1143" s="2"/>
      <c r="V1143" s="2"/>
      <c r="W1143" s="2"/>
      <c r="X1143" s="2" t="str">
        <f>IFERROR(__xludf.DUMMYFUNCTION("""COMPUTED_VALUE"""),"Closed")</f>
        <v>Closed</v>
      </c>
    </row>
    <row r="1144">
      <c r="A1144" s="3" t="s">
        <v>1157</v>
      </c>
      <c r="B1144" s="4">
        <f>IFERROR(__xludf.DUMMYFUNCTION("SPLIT(A1144,"","",0,0)"),45542.805555555555)</f>
        <v>45542.80556</v>
      </c>
      <c r="C1144" s="5">
        <f>IFERROR(__xludf.DUMMYFUNCTION("""COMPUTED_VALUE"""),2640371.0)</f>
        <v>2640371</v>
      </c>
      <c r="D1144" s="2" t="str">
        <f>IFERROR(__xludf.DUMMYFUNCTION("""COMPUTED_VALUE"""),"Sale")</f>
        <v>Sale</v>
      </c>
      <c r="E1144" s="2" t="str">
        <f>IFERROR(__xludf.DUMMYFUNCTION("""COMPUTED_VALUE"""),"Hidangan Utama")</f>
        <v>Hidangan Utama</v>
      </c>
      <c r="F1144" s="2">
        <f>IFERROR(__xludf.DUMMYFUNCTION("""COMPUTED_VALUE"""),10012.0)</f>
        <v>10012</v>
      </c>
      <c r="G1144" s="2" t="str">
        <f>IFERROR(__xludf.DUMMYFUNCTION("""COMPUTED_VALUE"""),"Mie joglo")</f>
        <v>Mie joglo</v>
      </c>
      <c r="H1144" s="2"/>
      <c r="I1144" s="2"/>
      <c r="J1144" s="2">
        <f>IFERROR(__xludf.DUMMYFUNCTION("""COMPUTED_VALUE"""),1.0)</f>
        <v>1</v>
      </c>
      <c r="K1144" s="6">
        <f>IFERROR(__xludf.DUMMYFUNCTION("""COMPUTED_VALUE"""),29524.0)</f>
        <v>29524</v>
      </c>
      <c r="L1144" s="2">
        <f>IFERROR(__xludf.DUMMYFUNCTION("""COMPUTED_VALUE"""),0.0)</f>
        <v>0</v>
      </c>
      <c r="M1144" s="2">
        <f>IFERROR(__xludf.DUMMYFUNCTION("""COMPUTED_VALUE"""),29524.0)</f>
        <v>29524</v>
      </c>
      <c r="N1144" s="2">
        <f>IFERROR(__xludf.DUMMYFUNCTION("""COMPUTED_VALUE"""),0.0)</f>
        <v>0</v>
      </c>
      <c r="O1144" s="2">
        <f>IFERROR(__xludf.DUMMYFUNCTION("""COMPUTED_VALUE"""),29524.0)</f>
        <v>29524</v>
      </c>
      <c r="P1144" s="2">
        <f>IFERROR(__xludf.DUMMYFUNCTION("""COMPUTED_VALUE"""),1476.0)</f>
        <v>1476</v>
      </c>
      <c r="Q1144" s="2" t="str">
        <f>IFERROR(__xludf.DUMMYFUNCTION("""COMPUTED_VALUE"""),"Dine In")</f>
        <v>Dine In</v>
      </c>
      <c r="R1144" s="2" t="str">
        <f>IFERROR(__xludf.DUMMYFUNCTION("""COMPUTED_VALUE"""),"Kedai")</f>
        <v>Kedai</v>
      </c>
      <c r="S1144" s="2" t="str">
        <f>IFERROR(__xludf.DUMMYFUNCTION("""COMPUTED_VALUE"""),"Temu Roti")</f>
        <v>Temu Roti</v>
      </c>
      <c r="T1144" s="2" t="str">
        <f>IFERROR(__xludf.DUMMYFUNCTION("""COMPUTED_VALUE"""),"Owner")</f>
        <v>Owner</v>
      </c>
      <c r="U1144" s="2"/>
      <c r="V1144" s="2"/>
      <c r="W1144" s="2"/>
      <c r="X1144" s="2" t="str">
        <f>IFERROR(__xludf.DUMMYFUNCTION("""COMPUTED_VALUE"""),"Closed")</f>
        <v>Closed</v>
      </c>
    </row>
    <row r="1145">
      <c r="A1145" s="3" t="s">
        <v>1158</v>
      </c>
      <c r="B1145" s="4">
        <f>IFERROR(__xludf.DUMMYFUNCTION("SPLIT(A1145,"","",0,0)"),45542.805555555555)</f>
        <v>45542.80556</v>
      </c>
      <c r="C1145" s="5">
        <f>IFERROR(__xludf.DUMMYFUNCTION("""COMPUTED_VALUE"""),2640371.0)</f>
        <v>2640371</v>
      </c>
      <c r="D1145" s="2" t="str">
        <f>IFERROR(__xludf.DUMMYFUNCTION("""COMPUTED_VALUE"""),"Sale")</f>
        <v>Sale</v>
      </c>
      <c r="E1145" s="2" t="str">
        <f>IFERROR(__xludf.DUMMYFUNCTION("""COMPUTED_VALUE"""),"Minuman")</f>
        <v>Minuman</v>
      </c>
      <c r="F1145" s="2">
        <f>IFERROR(__xludf.DUMMYFUNCTION("""COMPUTED_VALUE"""),10120.0)</f>
        <v>10120</v>
      </c>
      <c r="G1145" s="2" t="str">
        <f>IFERROR(__xludf.DUMMYFUNCTION("""COMPUTED_VALUE"""),"Lemon Tea Panas")</f>
        <v>Lemon Tea Panas</v>
      </c>
      <c r="H1145" s="2"/>
      <c r="I1145" s="2"/>
      <c r="J1145" s="2">
        <f>IFERROR(__xludf.DUMMYFUNCTION("""COMPUTED_VALUE"""),2.0)</f>
        <v>2</v>
      </c>
      <c r="K1145" s="6">
        <f>IFERROR(__xludf.DUMMYFUNCTION("""COMPUTED_VALUE"""),39048.0)</f>
        <v>39048</v>
      </c>
      <c r="L1145" s="2">
        <f>IFERROR(__xludf.DUMMYFUNCTION("""COMPUTED_VALUE"""),0.0)</f>
        <v>0</v>
      </c>
      <c r="M1145" s="2">
        <f>IFERROR(__xludf.DUMMYFUNCTION("""COMPUTED_VALUE"""),39048.0)</f>
        <v>39048</v>
      </c>
      <c r="N1145" s="2">
        <f>IFERROR(__xludf.DUMMYFUNCTION("""COMPUTED_VALUE"""),0.0)</f>
        <v>0</v>
      </c>
      <c r="O1145" s="2">
        <f>IFERROR(__xludf.DUMMYFUNCTION("""COMPUTED_VALUE"""),39048.0)</f>
        <v>39048</v>
      </c>
      <c r="P1145" s="2">
        <f>IFERROR(__xludf.DUMMYFUNCTION("""COMPUTED_VALUE"""),1953.0)</f>
        <v>1953</v>
      </c>
      <c r="Q1145" s="2" t="str">
        <f>IFERROR(__xludf.DUMMYFUNCTION("""COMPUTED_VALUE"""),"Dine In")</f>
        <v>Dine In</v>
      </c>
      <c r="R1145" s="2" t="str">
        <f>IFERROR(__xludf.DUMMYFUNCTION("""COMPUTED_VALUE"""),"Kedai")</f>
        <v>Kedai</v>
      </c>
      <c r="S1145" s="2" t="str">
        <f>IFERROR(__xludf.DUMMYFUNCTION("""COMPUTED_VALUE"""),"Temu Roti")</f>
        <v>Temu Roti</v>
      </c>
      <c r="T1145" s="2" t="str">
        <f>IFERROR(__xludf.DUMMYFUNCTION("""COMPUTED_VALUE"""),"Owner")</f>
        <v>Owner</v>
      </c>
      <c r="U1145" s="2"/>
      <c r="V1145" s="2"/>
      <c r="W1145" s="2"/>
      <c r="X1145" s="2" t="str">
        <f>IFERROR(__xludf.DUMMYFUNCTION("""COMPUTED_VALUE"""),"Closed")</f>
        <v>Closed</v>
      </c>
    </row>
    <row r="1146">
      <c r="A1146" s="3" t="s">
        <v>1159</v>
      </c>
      <c r="B1146" s="4">
        <f>IFERROR(__xludf.DUMMYFUNCTION("SPLIT(A1146,"","",0,0)"),45542.805555555555)</f>
        <v>45542.80556</v>
      </c>
      <c r="C1146" s="5">
        <f>IFERROR(__xludf.DUMMYFUNCTION("""COMPUTED_VALUE"""),2640371.0)</f>
        <v>2640371</v>
      </c>
      <c r="D1146" s="2" t="str">
        <f>IFERROR(__xludf.DUMMYFUNCTION("""COMPUTED_VALUE"""),"Sale")</f>
        <v>Sale</v>
      </c>
      <c r="E1146" s="2" t="str">
        <f>IFERROR(__xludf.DUMMYFUNCTION("""COMPUTED_VALUE"""),"Kudapan")</f>
        <v>Kudapan</v>
      </c>
      <c r="F1146" s="2">
        <f>IFERROR(__xludf.DUMMYFUNCTION("""COMPUTED_VALUE"""),10009.0)</f>
        <v>10009</v>
      </c>
      <c r="G1146" s="2" t="str">
        <f>IFERROR(__xludf.DUMMYFUNCTION("""COMPUTED_VALUE"""),"Jamur Enoki Krispi")</f>
        <v>Jamur Enoki Krispi</v>
      </c>
      <c r="H1146" s="2"/>
      <c r="I1146" s="2"/>
      <c r="J1146" s="2">
        <f>IFERROR(__xludf.DUMMYFUNCTION("""COMPUTED_VALUE"""),1.0)</f>
        <v>1</v>
      </c>
      <c r="K1146" s="6">
        <f>IFERROR(__xludf.DUMMYFUNCTION("""COMPUTED_VALUE"""),26667.0)</f>
        <v>26667</v>
      </c>
      <c r="L1146" s="2">
        <f>IFERROR(__xludf.DUMMYFUNCTION("""COMPUTED_VALUE"""),0.0)</f>
        <v>0</v>
      </c>
      <c r="M1146" s="2">
        <f>IFERROR(__xludf.DUMMYFUNCTION("""COMPUTED_VALUE"""),26667.0)</f>
        <v>26667</v>
      </c>
      <c r="N1146" s="2">
        <f>IFERROR(__xludf.DUMMYFUNCTION("""COMPUTED_VALUE"""),0.0)</f>
        <v>0</v>
      </c>
      <c r="O1146" s="2">
        <f>IFERROR(__xludf.DUMMYFUNCTION("""COMPUTED_VALUE"""),26667.0)</f>
        <v>26667</v>
      </c>
      <c r="P1146" s="2">
        <f>IFERROR(__xludf.DUMMYFUNCTION("""COMPUTED_VALUE"""),1333.0)</f>
        <v>1333</v>
      </c>
      <c r="Q1146" s="2" t="str">
        <f>IFERROR(__xludf.DUMMYFUNCTION("""COMPUTED_VALUE"""),"Dine In")</f>
        <v>Dine In</v>
      </c>
      <c r="R1146" s="2" t="str">
        <f>IFERROR(__xludf.DUMMYFUNCTION("""COMPUTED_VALUE"""),"Kedai")</f>
        <v>Kedai</v>
      </c>
      <c r="S1146" s="2" t="str">
        <f>IFERROR(__xludf.DUMMYFUNCTION("""COMPUTED_VALUE"""),"Temu Roti")</f>
        <v>Temu Roti</v>
      </c>
      <c r="T1146" s="2" t="str">
        <f>IFERROR(__xludf.DUMMYFUNCTION("""COMPUTED_VALUE"""),"Owner")</f>
        <v>Owner</v>
      </c>
      <c r="U1146" s="2"/>
      <c r="V1146" s="2"/>
      <c r="W1146" s="2"/>
      <c r="X1146" s="2" t="str">
        <f>IFERROR(__xludf.DUMMYFUNCTION("""COMPUTED_VALUE"""),"Closed")</f>
        <v>Closed</v>
      </c>
    </row>
    <row r="1147">
      <c r="A1147" s="3" t="s">
        <v>1160</v>
      </c>
      <c r="B1147" s="4">
        <f>IFERROR(__xludf.DUMMYFUNCTION("SPLIT(A1147,"","",0,0)"),45542.805555555555)</f>
        <v>45542.80556</v>
      </c>
      <c r="C1147" s="5">
        <f>IFERROR(__xludf.DUMMYFUNCTION("""COMPUTED_VALUE"""),2640371.0)</f>
        <v>2640371</v>
      </c>
      <c r="D1147" s="2" t="str">
        <f>IFERROR(__xludf.DUMMYFUNCTION("""COMPUTED_VALUE"""),"Sale")</f>
        <v>Sale</v>
      </c>
      <c r="E1147" s="2" t="str">
        <f>IFERROR(__xludf.DUMMYFUNCTION("""COMPUTED_VALUE"""),"Minuman")</f>
        <v>Minuman</v>
      </c>
      <c r="F1147" s="2">
        <f>IFERROR(__xludf.DUMMYFUNCTION("""COMPUTED_VALUE"""),10118.0)</f>
        <v>10118</v>
      </c>
      <c r="G1147" s="2" t="str">
        <f>IFERROR(__xludf.DUMMYFUNCTION("""COMPUTED_VALUE"""),"Teh Tawar Panas")</f>
        <v>Teh Tawar Panas</v>
      </c>
      <c r="H1147" s="2"/>
      <c r="I1147" s="2"/>
      <c r="J1147" s="2">
        <f>IFERROR(__xludf.DUMMYFUNCTION("""COMPUTED_VALUE"""),1.0)</f>
        <v>1</v>
      </c>
      <c r="K1147" s="6">
        <f>IFERROR(__xludf.DUMMYFUNCTION("""COMPUTED_VALUE"""),7143.0)</f>
        <v>7143</v>
      </c>
      <c r="L1147" s="2">
        <f>IFERROR(__xludf.DUMMYFUNCTION("""COMPUTED_VALUE"""),0.0)</f>
        <v>0</v>
      </c>
      <c r="M1147" s="2">
        <f>IFERROR(__xludf.DUMMYFUNCTION("""COMPUTED_VALUE"""),7143.0)</f>
        <v>7143</v>
      </c>
      <c r="N1147" s="2">
        <f>IFERROR(__xludf.DUMMYFUNCTION("""COMPUTED_VALUE"""),0.0)</f>
        <v>0</v>
      </c>
      <c r="O1147" s="2">
        <f>IFERROR(__xludf.DUMMYFUNCTION("""COMPUTED_VALUE"""),7143.0)</f>
        <v>7143</v>
      </c>
      <c r="P1147" s="2">
        <f>IFERROR(__xludf.DUMMYFUNCTION("""COMPUTED_VALUE"""),357.0)</f>
        <v>357</v>
      </c>
      <c r="Q1147" s="2" t="str">
        <f>IFERROR(__xludf.DUMMYFUNCTION("""COMPUTED_VALUE"""),"Dine In")</f>
        <v>Dine In</v>
      </c>
      <c r="R1147" s="2" t="str">
        <f>IFERROR(__xludf.DUMMYFUNCTION("""COMPUTED_VALUE"""),"Kedai")</f>
        <v>Kedai</v>
      </c>
      <c r="S1147" s="2" t="str">
        <f>IFERROR(__xludf.DUMMYFUNCTION("""COMPUTED_VALUE"""),"Temu Roti")</f>
        <v>Temu Roti</v>
      </c>
      <c r="T1147" s="2" t="str">
        <f>IFERROR(__xludf.DUMMYFUNCTION("""COMPUTED_VALUE"""),"Owner")</f>
        <v>Owner</v>
      </c>
      <c r="U1147" s="2"/>
      <c r="V1147" s="2"/>
      <c r="W1147" s="2"/>
      <c r="X1147" s="2" t="str">
        <f>IFERROR(__xludf.DUMMYFUNCTION("""COMPUTED_VALUE"""),"Closed")</f>
        <v>Closed</v>
      </c>
    </row>
    <row r="1148">
      <c r="A1148" s="3" t="s">
        <v>1161</v>
      </c>
      <c r="B1148" s="4">
        <f>IFERROR(__xludf.DUMMYFUNCTION("SPLIT(A1148,"","",0,0)"),45542.80069444444)</f>
        <v>45542.80069</v>
      </c>
      <c r="C1148" s="5">
        <f>IFERROR(__xludf.DUMMYFUNCTION("""COMPUTED_VALUE"""),2640005.0)</f>
        <v>2640005</v>
      </c>
      <c r="D1148" s="2" t="str">
        <f>IFERROR(__xludf.DUMMYFUNCTION("""COMPUTED_VALUE"""),"Sale")</f>
        <v>Sale</v>
      </c>
      <c r="E1148" s="2" t="str">
        <f>IFERROR(__xludf.DUMMYFUNCTION("""COMPUTED_VALUE"""),"Minuman")</f>
        <v>Minuman</v>
      </c>
      <c r="F1148" s="2">
        <f>IFERROR(__xludf.DUMMYFUNCTION("""COMPUTED_VALUE"""),10106.0)</f>
        <v>10106</v>
      </c>
      <c r="G1148" s="2" t="str">
        <f>IFERROR(__xludf.DUMMYFUNCTION("""COMPUTED_VALUE"""),"Korean Strawberry Fresh Milk")</f>
        <v>Korean Strawberry Fresh Milk</v>
      </c>
      <c r="H1148" s="2"/>
      <c r="I1148" s="2"/>
      <c r="J1148" s="2">
        <f>IFERROR(__xludf.DUMMYFUNCTION("""COMPUTED_VALUE"""),1.0)</f>
        <v>1</v>
      </c>
      <c r="K1148" s="6">
        <f>IFERROR(__xludf.DUMMYFUNCTION("""COMPUTED_VALUE"""),26667.0)</f>
        <v>26667</v>
      </c>
      <c r="L1148" s="2">
        <f>IFERROR(__xludf.DUMMYFUNCTION("""COMPUTED_VALUE"""),0.0)</f>
        <v>0</v>
      </c>
      <c r="M1148" s="2">
        <f>IFERROR(__xludf.DUMMYFUNCTION("""COMPUTED_VALUE"""),26667.0)</f>
        <v>26667</v>
      </c>
      <c r="N1148" s="2">
        <f>IFERROR(__xludf.DUMMYFUNCTION("""COMPUTED_VALUE"""),0.0)</f>
        <v>0</v>
      </c>
      <c r="O1148" s="2">
        <f>IFERROR(__xludf.DUMMYFUNCTION("""COMPUTED_VALUE"""),26667.0)</f>
        <v>26667</v>
      </c>
      <c r="P1148" s="2">
        <f>IFERROR(__xludf.DUMMYFUNCTION("""COMPUTED_VALUE"""),1333.0)</f>
        <v>1333</v>
      </c>
      <c r="Q1148" s="2" t="str">
        <f>IFERROR(__xludf.DUMMYFUNCTION("""COMPUTED_VALUE"""),"Dine In")</f>
        <v>Dine In</v>
      </c>
      <c r="R1148" s="2" t="str">
        <f>IFERROR(__xludf.DUMMYFUNCTION("""COMPUTED_VALUE"""),"Kedai")</f>
        <v>Kedai</v>
      </c>
      <c r="S1148" s="2" t="str">
        <f>IFERROR(__xludf.DUMMYFUNCTION("""COMPUTED_VALUE"""),"Temu Roti")</f>
        <v>Temu Roti</v>
      </c>
      <c r="T1148" s="2" t="str">
        <f>IFERROR(__xludf.DUMMYFUNCTION("""COMPUTED_VALUE"""),"Owner")</f>
        <v>Owner</v>
      </c>
      <c r="U1148" s="2"/>
      <c r="V1148" s="2"/>
      <c r="W1148" s="2"/>
      <c r="X1148" s="2" t="str">
        <f>IFERROR(__xludf.DUMMYFUNCTION("""COMPUTED_VALUE"""),"Closed")</f>
        <v>Closed</v>
      </c>
    </row>
    <row r="1149">
      <c r="A1149" s="3" t="s">
        <v>1162</v>
      </c>
      <c r="B1149" s="4">
        <f>IFERROR(__xludf.DUMMYFUNCTION("SPLIT(A1149,"","",0,0)"),45542.79652777778)</f>
        <v>45542.79653</v>
      </c>
      <c r="C1149" s="5">
        <f>IFERROR(__xludf.DUMMYFUNCTION("""COMPUTED_VALUE"""),2639640.0)</f>
        <v>2639640</v>
      </c>
      <c r="D1149" s="2" t="str">
        <f>IFERROR(__xludf.DUMMYFUNCTION("""COMPUTED_VALUE"""),"Sale")</f>
        <v>Sale</v>
      </c>
      <c r="E1149" s="2" t="str">
        <f>IFERROR(__xludf.DUMMYFUNCTION("""COMPUTED_VALUE"""),"Hidangan Utama")</f>
        <v>Hidangan Utama</v>
      </c>
      <c r="F1149" s="2">
        <f>IFERROR(__xludf.DUMMYFUNCTION("""COMPUTED_VALUE"""),10105.0)</f>
        <v>10105</v>
      </c>
      <c r="G1149" s="2" t="str">
        <f>IFERROR(__xludf.DUMMYFUNCTION("""COMPUTED_VALUE"""),"Beef Claypot Rice")</f>
        <v>Beef Claypot Rice</v>
      </c>
      <c r="H1149" s="2"/>
      <c r="I1149" s="2"/>
      <c r="J1149" s="2">
        <f>IFERROR(__xludf.DUMMYFUNCTION("""COMPUTED_VALUE"""),1.0)</f>
        <v>1</v>
      </c>
      <c r="K1149" s="6">
        <f>IFERROR(__xludf.DUMMYFUNCTION("""COMPUTED_VALUE"""),38095.0)</f>
        <v>38095</v>
      </c>
      <c r="L1149" s="2">
        <f>IFERROR(__xludf.DUMMYFUNCTION("""COMPUTED_VALUE"""),0.0)</f>
        <v>0</v>
      </c>
      <c r="M1149" s="2">
        <f>IFERROR(__xludf.DUMMYFUNCTION("""COMPUTED_VALUE"""),38095.0)</f>
        <v>38095</v>
      </c>
      <c r="N1149" s="2">
        <f>IFERROR(__xludf.DUMMYFUNCTION("""COMPUTED_VALUE"""),0.0)</f>
        <v>0</v>
      </c>
      <c r="O1149" s="2">
        <f>IFERROR(__xludf.DUMMYFUNCTION("""COMPUTED_VALUE"""),38095.0)</f>
        <v>38095</v>
      </c>
      <c r="P1149" s="2">
        <f>IFERROR(__xludf.DUMMYFUNCTION("""COMPUTED_VALUE"""),1905.0)</f>
        <v>1905</v>
      </c>
      <c r="Q1149" s="2" t="str">
        <f>IFERROR(__xludf.DUMMYFUNCTION("""COMPUTED_VALUE"""),"Dine In")</f>
        <v>Dine In</v>
      </c>
      <c r="R1149" s="2" t="str">
        <f>IFERROR(__xludf.DUMMYFUNCTION("""COMPUTED_VALUE"""),"Kedai")</f>
        <v>Kedai</v>
      </c>
      <c r="S1149" s="2" t="str">
        <f>IFERROR(__xludf.DUMMYFUNCTION("""COMPUTED_VALUE"""),"Temu Roti")</f>
        <v>Temu Roti</v>
      </c>
      <c r="T1149" s="2" t="str">
        <f>IFERROR(__xludf.DUMMYFUNCTION("""COMPUTED_VALUE"""),"Owner")</f>
        <v>Owner</v>
      </c>
      <c r="U1149" s="2"/>
      <c r="V1149" s="2"/>
      <c r="W1149" s="2"/>
      <c r="X1149" s="2" t="str">
        <f>IFERROR(__xludf.DUMMYFUNCTION("""COMPUTED_VALUE"""),"Closed")</f>
        <v>Closed</v>
      </c>
    </row>
    <row r="1150">
      <c r="A1150" s="3" t="s">
        <v>1163</v>
      </c>
      <c r="B1150" s="4">
        <f>IFERROR(__xludf.DUMMYFUNCTION("SPLIT(A1150,"","",0,0)"),45542.79652777778)</f>
        <v>45542.79653</v>
      </c>
      <c r="C1150" s="5">
        <f>IFERROR(__xludf.DUMMYFUNCTION("""COMPUTED_VALUE"""),2639640.0)</f>
        <v>2639640</v>
      </c>
      <c r="D1150" s="2" t="str">
        <f>IFERROR(__xludf.DUMMYFUNCTION("""COMPUTED_VALUE"""),"Sale")</f>
        <v>Sale</v>
      </c>
      <c r="E1150" s="2" t="str">
        <f>IFERROR(__xludf.DUMMYFUNCTION("""COMPUTED_VALUE"""),"Hidangan Utama")</f>
        <v>Hidangan Utama</v>
      </c>
      <c r="F1150" s="2">
        <f>IFERROR(__xludf.DUMMYFUNCTION("""COMPUTED_VALUE"""),10104.0)</f>
        <v>10104</v>
      </c>
      <c r="G1150" s="2" t="str">
        <f>IFERROR(__xludf.DUMMYFUNCTION("""COMPUTED_VALUE"""),"Chicken Claypot Rice")</f>
        <v>Chicken Claypot Rice</v>
      </c>
      <c r="H1150" s="2"/>
      <c r="I1150" s="2"/>
      <c r="J1150" s="2">
        <f>IFERROR(__xludf.DUMMYFUNCTION("""COMPUTED_VALUE"""),1.0)</f>
        <v>1</v>
      </c>
      <c r="K1150" s="6">
        <f>IFERROR(__xludf.DUMMYFUNCTION("""COMPUTED_VALUE"""),34762.0)</f>
        <v>34762</v>
      </c>
      <c r="L1150" s="2">
        <f>IFERROR(__xludf.DUMMYFUNCTION("""COMPUTED_VALUE"""),0.0)</f>
        <v>0</v>
      </c>
      <c r="M1150" s="2">
        <f>IFERROR(__xludf.DUMMYFUNCTION("""COMPUTED_VALUE"""),34762.0)</f>
        <v>34762</v>
      </c>
      <c r="N1150" s="2">
        <f>IFERROR(__xludf.DUMMYFUNCTION("""COMPUTED_VALUE"""),0.0)</f>
        <v>0</v>
      </c>
      <c r="O1150" s="2">
        <f>IFERROR(__xludf.DUMMYFUNCTION("""COMPUTED_VALUE"""),34762.0)</f>
        <v>34762</v>
      </c>
      <c r="P1150" s="2">
        <f>IFERROR(__xludf.DUMMYFUNCTION("""COMPUTED_VALUE"""),1738.0)</f>
        <v>1738</v>
      </c>
      <c r="Q1150" s="2" t="str">
        <f>IFERROR(__xludf.DUMMYFUNCTION("""COMPUTED_VALUE"""),"Dine In")</f>
        <v>Dine In</v>
      </c>
      <c r="R1150" s="2" t="str">
        <f>IFERROR(__xludf.DUMMYFUNCTION("""COMPUTED_VALUE"""),"Kedai")</f>
        <v>Kedai</v>
      </c>
      <c r="S1150" s="2" t="str">
        <f>IFERROR(__xludf.DUMMYFUNCTION("""COMPUTED_VALUE"""),"Temu Roti")</f>
        <v>Temu Roti</v>
      </c>
      <c r="T1150" s="2" t="str">
        <f>IFERROR(__xludf.DUMMYFUNCTION("""COMPUTED_VALUE"""),"Owner")</f>
        <v>Owner</v>
      </c>
      <c r="U1150" s="2"/>
      <c r="V1150" s="2"/>
      <c r="W1150" s="2"/>
      <c r="X1150" s="2" t="str">
        <f>IFERROR(__xludf.DUMMYFUNCTION("""COMPUTED_VALUE"""),"Closed")</f>
        <v>Closed</v>
      </c>
    </row>
    <row r="1151">
      <c r="A1151" s="3" t="s">
        <v>1164</v>
      </c>
      <c r="B1151" s="4">
        <f>IFERROR(__xludf.DUMMYFUNCTION("SPLIT(A1151,"","",0,0)"),45542.79513888889)</f>
        <v>45542.79514</v>
      </c>
      <c r="C1151" s="5">
        <f>IFERROR(__xludf.DUMMYFUNCTION("""COMPUTED_VALUE"""),2639275.0)</f>
        <v>2639275</v>
      </c>
      <c r="D1151" s="2" t="str">
        <f>IFERROR(__xludf.DUMMYFUNCTION("""COMPUTED_VALUE"""),"Sale")</f>
        <v>Sale</v>
      </c>
      <c r="E1151" s="2" t="str">
        <f>IFERROR(__xludf.DUMMYFUNCTION("""COMPUTED_VALUE"""),"Roti")</f>
        <v>Roti</v>
      </c>
      <c r="F1151" s="2">
        <f>IFERROR(__xludf.DUMMYFUNCTION("""COMPUTED_VALUE"""),10005.0)</f>
        <v>10005</v>
      </c>
      <c r="G1151" s="2" t="str">
        <f>IFERROR(__xludf.DUMMYFUNCTION("""COMPUTED_VALUE"""),"Roti Gandum Cokelat")</f>
        <v>Roti Gandum Cokelat</v>
      </c>
      <c r="H1151" s="2"/>
      <c r="I1151" s="2"/>
      <c r="J1151" s="2">
        <f>IFERROR(__xludf.DUMMYFUNCTION("""COMPUTED_VALUE"""),1.0)</f>
        <v>1</v>
      </c>
      <c r="K1151" s="6">
        <f>IFERROR(__xludf.DUMMYFUNCTION("""COMPUTED_VALUE"""),19524.0)</f>
        <v>19524</v>
      </c>
      <c r="L1151" s="2">
        <f>IFERROR(__xludf.DUMMYFUNCTION("""COMPUTED_VALUE"""),0.0)</f>
        <v>0</v>
      </c>
      <c r="M1151" s="2">
        <f>IFERROR(__xludf.DUMMYFUNCTION("""COMPUTED_VALUE"""),19524.0)</f>
        <v>19524</v>
      </c>
      <c r="N1151" s="2">
        <f>IFERROR(__xludf.DUMMYFUNCTION("""COMPUTED_VALUE"""),0.0)</f>
        <v>0</v>
      </c>
      <c r="O1151" s="2">
        <f>IFERROR(__xludf.DUMMYFUNCTION("""COMPUTED_VALUE"""),19524.0)</f>
        <v>19524</v>
      </c>
      <c r="P1151" s="2">
        <f>IFERROR(__xludf.DUMMYFUNCTION("""COMPUTED_VALUE"""),976.0)</f>
        <v>976</v>
      </c>
      <c r="Q1151" s="2" t="str">
        <f>IFERROR(__xludf.DUMMYFUNCTION("""COMPUTED_VALUE"""),"Dine In")</f>
        <v>Dine In</v>
      </c>
      <c r="R1151" s="2" t="str">
        <f>IFERROR(__xludf.DUMMYFUNCTION("""COMPUTED_VALUE"""),"Kedai")</f>
        <v>Kedai</v>
      </c>
      <c r="S1151" s="2" t="str">
        <f>IFERROR(__xludf.DUMMYFUNCTION("""COMPUTED_VALUE"""),"Temu Roti")</f>
        <v>Temu Roti</v>
      </c>
      <c r="T1151" s="2" t="str">
        <f>IFERROR(__xludf.DUMMYFUNCTION("""COMPUTED_VALUE"""),"Owner")</f>
        <v>Owner</v>
      </c>
      <c r="U1151" s="2"/>
      <c r="V1151" s="2"/>
      <c r="W1151" s="2"/>
      <c r="X1151" s="2" t="str">
        <f>IFERROR(__xludf.DUMMYFUNCTION("""COMPUTED_VALUE"""),"Closed")</f>
        <v>Closed</v>
      </c>
    </row>
    <row r="1152">
      <c r="A1152" s="3" t="s">
        <v>1165</v>
      </c>
      <c r="B1152" s="4">
        <f>IFERROR(__xludf.DUMMYFUNCTION("SPLIT(A1152,"","",0,0)"),45542.79513888889)</f>
        <v>45542.79514</v>
      </c>
      <c r="C1152" s="5">
        <f>IFERROR(__xludf.DUMMYFUNCTION("""COMPUTED_VALUE"""),2639275.0)</f>
        <v>2639275</v>
      </c>
      <c r="D1152" s="2" t="str">
        <f>IFERROR(__xludf.DUMMYFUNCTION("""COMPUTED_VALUE"""),"Sale")</f>
        <v>Sale</v>
      </c>
      <c r="E1152" s="2" t="str">
        <f>IFERROR(__xludf.DUMMYFUNCTION("""COMPUTED_VALUE"""),"Roti")</f>
        <v>Roti</v>
      </c>
      <c r="F1152" s="2">
        <f>IFERROR(__xludf.DUMMYFUNCTION("""COMPUTED_VALUE"""),10002.0)</f>
        <v>10002</v>
      </c>
      <c r="G1152" s="2" t="str">
        <f>IFERROR(__xludf.DUMMYFUNCTION("""COMPUTED_VALUE"""),"Roti Cranberry")</f>
        <v>Roti Cranberry</v>
      </c>
      <c r="H1152" s="2"/>
      <c r="I1152" s="2"/>
      <c r="J1152" s="2">
        <f>IFERROR(__xludf.DUMMYFUNCTION("""COMPUTED_VALUE"""),1.0)</f>
        <v>1</v>
      </c>
      <c r="K1152" s="6">
        <f>IFERROR(__xludf.DUMMYFUNCTION("""COMPUTED_VALUE"""),18571.0)</f>
        <v>18571</v>
      </c>
      <c r="L1152" s="2">
        <f>IFERROR(__xludf.DUMMYFUNCTION("""COMPUTED_VALUE"""),0.0)</f>
        <v>0</v>
      </c>
      <c r="M1152" s="2">
        <f>IFERROR(__xludf.DUMMYFUNCTION("""COMPUTED_VALUE"""),18571.0)</f>
        <v>18571</v>
      </c>
      <c r="N1152" s="2">
        <f>IFERROR(__xludf.DUMMYFUNCTION("""COMPUTED_VALUE"""),0.0)</f>
        <v>0</v>
      </c>
      <c r="O1152" s="2">
        <f>IFERROR(__xludf.DUMMYFUNCTION("""COMPUTED_VALUE"""),18571.0)</f>
        <v>18571</v>
      </c>
      <c r="P1152" s="2">
        <f>IFERROR(__xludf.DUMMYFUNCTION("""COMPUTED_VALUE"""),929.0)</f>
        <v>929</v>
      </c>
      <c r="Q1152" s="2" t="str">
        <f>IFERROR(__xludf.DUMMYFUNCTION("""COMPUTED_VALUE"""),"Dine In")</f>
        <v>Dine In</v>
      </c>
      <c r="R1152" s="2" t="str">
        <f>IFERROR(__xludf.DUMMYFUNCTION("""COMPUTED_VALUE"""),"Kedai")</f>
        <v>Kedai</v>
      </c>
      <c r="S1152" s="2" t="str">
        <f>IFERROR(__xludf.DUMMYFUNCTION("""COMPUTED_VALUE"""),"Temu Roti")</f>
        <v>Temu Roti</v>
      </c>
      <c r="T1152" s="2" t="str">
        <f>IFERROR(__xludf.DUMMYFUNCTION("""COMPUTED_VALUE"""),"Owner")</f>
        <v>Owner</v>
      </c>
      <c r="U1152" s="2"/>
      <c r="V1152" s="2"/>
      <c r="W1152" s="2"/>
      <c r="X1152" s="2" t="str">
        <f>IFERROR(__xludf.DUMMYFUNCTION("""COMPUTED_VALUE"""),"Closed")</f>
        <v>Closed</v>
      </c>
    </row>
    <row r="1153">
      <c r="A1153" s="3" t="s">
        <v>1166</v>
      </c>
      <c r="B1153" s="4">
        <f>IFERROR(__xludf.DUMMYFUNCTION("SPLIT(A1153,"","",0,0)"),45542.785416666666)</f>
        <v>45542.78542</v>
      </c>
      <c r="C1153" s="5">
        <f>IFERROR(__xludf.DUMMYFUNCTION("""COMPUTED_VALUE"""),2638910.0)</f>
        <v>2638910</v>
      </c>
      <c r="D1153" s="2" t="str">
        <f>IFERROR(__xludf.DUMMYFUNCTION("""COMPUTED_VALUE"""),"Sale")</f>
        <v>Sale</v>
      </c>
      <c r="E1153" s="2" t="str">
        <f>IFERROR(__xludf.DUMMYFUNCTION("""COMPUTED_VALUE"""),"Minuman")</f>
        <v>Minuman</v>
      </c>
      <c r="F1153" s="2">
        <f>IFERROR(__xludf.DUMMYFUNCTION("""COMPUTED_VALUE"""),10128.0)</f>
        <v>10128</v>
      </c>
      <c r="G1153" s="2" t="str">
        <f>IFERROR(__xludf.DUMMYFUNCTION("""COMPUTED_VALUE"""),"Es Kopi Susu")</f>
        <v>Es Kopi Susu</v>
      </c>
      <c r="H1153" s="2"/>
      <c r="I1153" s="2"/>
      <c r="J1153" s="2">
        <f>IFERROR(__xludf.DUMMYFUNCTION("""COMPUTED_VALUE"""),1.0)</f>
        <v>1</v>
      </c>
      <c r="K1153" s="6">
        <f>IFERROR(__xludf.DUMMYFUNCTION("""COMPUTED_VALUE"""),23333.0)</f>
        <v>23333</v>
      </c>
      <c r="L1153" s="2">
        <f>IFERROR(__xludf.DUMMYFUNCTION("""COMPUTED_VALUE"""),0.0)</f>
        <v>0</v>
      </c>
      <c r="M1153" s="2">
        <f>IFERROR(__xludf.DUMMYFUNCTION("""COMPUTED_VALUE"""),23333.0)</f>
        <v>23333</v>
      </c>
      <c r="N1153" s="2">
        <f>IFERROR(__xludf.DUMMYFUNCTION("""COMPUTED_VALUE"""),0.0)</f>
        <v>0</v>
      </c>
      <c r="O1153" s="2">
        <f>IFERROR(__xludf.DUMMYFUNCTION("""COMPUTED_VALUE"""),23333.0)</f>
        <v>23333</v>
      </c>
      <c r="P1153" s="2">
        <f>IFERROR(__xludf.DUMMYFUNCTION("""COMPUTED_VALUE"""),1167.0)</f>
        <v>1167</v>
      </c>
      <c r="Q1153" s="2" t="str">
        <f>IFERROR(__xludf.DUMMYFUNCTION("""COMPUTED_VALUE"""),"Dine In")</f>
        <v>Dine In</v>
      </c>
      <c r="R1153" s="2" t="str">
        <f>IFERROR(__xludf.DUMMYFUNCTION("""COMPUTED_VALUE"""),"Kedai")</f>
        <v>Kedai</v>
      </c>
      <c r="S1153" s="2" t="str">
        <f>IFERROR(__xludf.DUMMYFUNCTION("""COMPUTED_VALUE"""),"Temu Roti")</f>
        <v>Temu Roti</v>
      </c>
      <c r="T1153" s="2" t="str">
        <f>IFERROR(__xludf.DUMMYFUNCTION("""COMPUTED_VALUE"""),"Owner")</f>
        <v>Owner</v>
      </c>
      <c r="U1153" s="2"/>
      <c r="V1153" s="2"/>
      <c r="W1153" s="2"/>
      <c r="X1153" s="2" t="str">
        <f>IFERROR(__xludf.DUMMYFUNCTION("""COMPUTED_VALUE"""),"Closed")</f>
        <v>Closed</v>
      </c>
    </row>
    <row r="1154">
      <c r="A1154" s="3" t="s">
        <v>1167</v>
      </c>
      <c r="B1154" s="4">
        <f>IFERROR(__xludf.DUMMYFUNCTION("SPLIT(A1154,"","",0,0)"),45542.785416666666)</f>
        <v>45542.78542</v>
      </c>
      <c r="C1154" s="5">
        <f>IFERROR(__xludf.DUMMYFUNCTION("""COMPUTED_VALUE"""),2638910.0)</f>
        <v>2638910</v>
      </c>
      <c r="D1154" s="2" t="str">
        <f>IFERROR(__xludf.DUMMYFUNCTION("""COMPUTED_VALUE"""),"Sale")</f>
        <v>Sale</v>
      </c>
      <c r="E1154" s="2" t="str">
        <f>IFERROR(__xludf.DUMMYFUNCTION("""COMPUTED_VALUE"""),"Kudapan")</f>
        <v>Kudapan</v>
      </c>
      <c r="F1154" s="2">
        <f>IFERROR(__xludf.DUMMYFUNCTION("""COMPUTED_VALUE"""),10014.0)</f>
        <v>10014</v>
      </c>
      <c r="G1154" s="2" t="str">
        <f>IFERROR(__xludf.DUMMYFUNCTION("""COMPUTED_VALUE"""),"Tempe Mendoan")</f>
        <v>Tempe Mendoan</v>
      </c>
      <c r="H1154" s="2"/>
      <c r="I1154" s="2"/>
      <c r="J1154" s="2">
        <f>IFERROR(__xludf.DUMMYFUNCTION("""COMPUTED_VALUE"""),1.0)</f>
        <v>1</v>
      </c>
      <c r="K1154" s="6">
        <f>IFERROR(__xludf.DUMMYFUNCTION("""COMPUTED_VALUE"""),25238.0)</f>
        <v>25238</v>
      </c>
      <c r="L1154" s="2">
        <f>IFERROR(__xludf.DUMMYFUNCTION("""COMPUTED_VALUE"""),0.0)</f>
        <v>0</v>
      </c>
      <c r="M1154" s="2">
        <f>IFERROR(__xludf.DUMMYFUNCTION("""COMPUTED_VALUE"""),25238.0)</f>
        <v>25238</v>
      </c>
      <c r="N1154" s="2">
        <f>IFERROR(__xludf.DUMMYFUNCTION("""COMPUTED_VALUE"""),0.0)</f>
        <v>0</v>
      </c>
      <c r="O1154" s="2">
        <f>IFERROR(__xludf.DUMMYFUNCTION("""COMPUTED_VALUE"""),25238.0)</f>
        <v>25238</v>
      </c>
      <c r="P1154" s="2">
        <f>IFERROR(__xludf.DUMMYFUNCTION("""COMPUTED_VALUE"""),1262.0)</f>
        <v>1262</v>
      </c>
      <c r="Q1154" s="2" t="str">
        <f>IFERROR(__xludf.DUMMYFUNCTION("""COMPUTED_VALUE"""),"Dine In")</f>
        <v>Dine In</v>
      </c>
      <c r="R1154" s="2" t="str">
        <f>IFERROR(__xludf.DUMMYFUNCTION("""COMPUTED_VALUE"""),"Kedai")</f>
        <v>Kedai</v>
      </c>
      <c r="S1154" s="2" t="str">
        <f>IFERROR(__xludf.DUMMYFUNCTION("""COMPUTED_VALUE"""),"Temu Roti")</f>
        <v>Temu Roti</v>
      </c>
      <c r="T1154" s="2" t="str">
        <f>IFERROR(__xludf.DUMMYFUNCTION("""COMPUTED_VALUE"""),"Owner")</f>
        <v>Owner</v>
      </c>
      <c r="U1154" s="2"/>
      <c r="V1154" s="2"/>
      <c r="W1154" s="2"/>
      <c r="X1154" s="2" t="str">
        <f>IFERROR(__xludf.DUMMYFUNCTION("""COMPUTED_VALUE"""),"Closed")</f>
        <v>Closed</v>
      </c>
    </row>
    <row r="1155">
      <c r="A1155" s="3" t="s">
        <v>1168</v>
      </c>
      <c r="B1155" s="4">
        <f>IFERROR(__xludf.DUMMYFUNCTION("SPLIT(A1155,"","",0,0)"),45542.785416666666)</f>
        <v>45542.78542</v>
      </c>
      <c r="C1155" s="5">
        <f>IFERROR(__xludf.DUMMYFUNCTION("""COMPUTED_VALUE"""),2638910.0)</f>
        <v>2638910</v>
      </c>
      <c r="D1155" s="2" t="str">
        <f>IFERROR(__xludf.DUMMYFUNCTION("""COMPUTED_VALUE"""),"Sale")</f>
        <v>Sale</v>
      </c>
      <c r="E1155" s="2" t="str">
        <f>IFERROR(__xludf.DUMMYFUNCTION("""COMPUTED_VALUE"""),"Roti")</f>
        <v>Roti</v>
      </c>
      <c r="F1155" s="2">
        <f>IFERROR(__xludf.DUMMYFUNCTION("""COMPUTED_VALUE"""),10002.0)</f>
        <v>10002</v>
      </c>
      <c r="G1155" s="2" t="str">
        <f>IFERROR(__xludf.DUMMYFUNCTION("""COMPUTED_VALUE"""),"Roti Cranberry")</f>
        <v>Roti Cranberry</v>
      </c>
      <c r="H1155" s="2"/>
      <c r="I1155" s="2"/>
      <c r="J1155" s="2">
        <f>IFERROR(__xludf.DUMMYFUNCTION("""COMPUTED_VALUE"""),1.0)</f>
        <v>1</v>
      </c>
      <c r="K1155" s="6">
        <f>IFERROR(__xludf.DUMMYFUNCTION("""COMPUTED_VALUE"""),18571.0)</f>
        <v>18571</v>
      </c>
      <c r="L1155" s="2">
        <f>IFERROR(__xludf.DUMMYFUNCTION("""COMPUTED_VALUE"""),0.0)</f>
        <v>0</v>
      </c>
      <c r="M1155" s="2">
        <f>IFERROR(__xludf.DUMMYFUNCTION("""COMPUTED_VALUE"""),18571.0)</f>
        <v>18571</v>
      </c>
      <c r="N1155" s="2">
        <f>IFERROR(__xludf.DUMMYFUNCTION("""COMPUTED_VALUE"""),0.0)</f>
        <v>0</v>
      </c>
      <c r="O1155" s="2">
        <f>IFERROR(__xludf.DUMMYFUNCTION("""COMPUTED_VALUE"""),18571.0)</f>
        <v>18571</v>
      </c>
      <c r="P1155" s="2">
        <f>IFERROR(__xludf.DUMMYFUNCTION("""COMPUTED_VALUE"""),928.0)</f>
        <v>928</v>
      </c>
      <c r="Q1155" s="2" t="str">
        <f>IFERROR(__xludf.DUMMYFUNCTION("""COMPUTED_VALUE"""),"Dine In")</f>
        <v>Dine In</v>
      </c>
      <c r="R1155" s="2" t="str">
        <f>IFERROR(__xludf.DUMMYFUNCTION("""COMPUTED_VALUE"""),"Kedai")</f>
        <v>Kedai</v>
      </c>
      <c r="S1155" s="2" t="str">
        <f>IFERROR(__xludf.DUMMYFUNCTION("""COMPUTED_VALUE"""),"Temu Roti")</f>
        <v>Temu Roti</v>
      </c>
      <c r="T1155" s="2" t="str">
        <f>IFERROR(__xludf.DUMMYFUNCTION("""COMPUTED_VALUE"""),"Owner")</f>
        <v>Owner</v>
      </c>
      <c r="U1155" s="2"/>
      <c r="V1155" s="2"/>
      <c r="W1155" s="2"/>
      <c r="X1155" s="2" t="str">
        <f>IFERROR(__xludf.DUMMYFUNCTION("""COMPUTED_VALUE"""),"Closed")</f>
        <v>Closed</v>
      </c>
    </row>
    <row r="1156">
      <c r="A1156" s="3" t="s">
        <v>1169</v>
      </c>
      <c r="B1156" s="4">
        <f>IFERROR(__xludf.DUMMYFUNCTION("SPLIT(A1156,"","",0,0)"),45542.78055555555)</f>
        <v>45542.78056</v>
      </c>
      <c r="C1156" s="5">
        <f>IFERROR(__xludf.DUMMYFUNCTION("""COMPUTED_VALUE"""),2638544.0)</f>
        <v>2638544</v>
      </c>
      <c r="D1156" s="2" t="str">
        <f>IFERROR(__xludf.DUMMYFUNCTION("""COMPUTED_VALUE"""),"Sale")</f>
        <v>Sale</v>
      </c>
      <c r="E1156" s="2" t="str">
        <f>IFERROR(__xludf.DUMMYFUNCTION("""COMPUTED_VALUE"""),"Minuman")</f>
        <v>Minuman</v>
      </c>
      <c r="F1156" s="2">
        <f>IFERROR(__xludf.DUMMYFUNCTION("""COMPUTED_VALUE"""),10026.0)</f>
        <v>10026</v>
      </c>
      <c r="G1156" s="2" t="str">
        <f>IFERROR(__xludf.DUMMYFUNCTION("""COMPUTED_VALUE"""),"Es Kopi Lemon")</f>
        <v>Es Kopi Lemon</v>
      </c>
      <c r="H1156" s="2"/>
      <c r="I1156" s="2"/>
      <c r="J1156" s="2">
        <f>IFERROR(__xludf.DUMMYFUNCTION("""COMPUTED_VALUE"""),1.0)</f>
        <v>1</v>
      </c>
      <c r="K1156" s="6">
        <f>IFERROR(__xludf.DUMMYFUNCTION("""COMPUTED_VALUE"""),21905.0)</f>
        <v>21905</v>
      </c>
      <c r="L1156" s="2">
        <f>IFERROR(__xludf.DUMMYFUNCTION("""COMPUTED_VALUE"""),0.0)</f>
        <v>0</v>
      </c>
      <c r="M1156" s="2">
        <f>IFERROR(__xludf.DUMMYFUNCTION("""COMPUTED_VALUE"""),21905.0)</f>
        <v>21905</v>
      </c>
      <c r="N1156" s="2">
        <f>IFERROR(__xludf.DUMMYFUNCTION("""COMPUTED_VALUE"""),0.0)</f>
        <v>0</v>
      </c>
      <c r="O1156" s="2">
        <f>IFERROR(__xludf.DUMMYFUNCTION("""COMPUTED_VALUE"""),21905.0)</f>
        <v>21905</v>
      </c>
      <c r="P1156" s="2">
        <f>IFERROR(__xludf.DUMMYFUNCTION("""COMPUTED_VALUE"""),1095.0)</f>
        <v>1095</v>
      </c>
      <c r="Q1156" s="2" t="str">
        <f>IFERROR(__xludf.DUMMYFUNCTION("""COMPUTED_VALUE"""),"Dine In")</f>
        <v>Dine In</v>
      </c>
      <c r="R1156" s="2" t="str">
        <f>IFERROR(__xludf.DUMMYFUNCTION("""COMPUTED_VALUE"""),"Kedai")</f>
        <v>Kedai</v>
      </c>
      <c r="S1156" s="2" t="str">
        <f>IFERROR(__xludf.DUMMYFUNCTION("""COMPUTED_VALUE"""),"Temu Roti")</f>
        <v>Temu Roti</v>
      </c>
      <c r="T1156" s="2" t="str">
        <f>IFERROR(__xludf.DUMMYFUNCTION("""COMPUTED_VALUE"""),"Owner")</f>
        <v>Owner</v>
      </c>
      <c r="U1156" s="2"/>
      <c r="V1156" s="2"/>
      <c r="W1156" s="2"/>
      <c r="X1156" s="2" t="str">
        <f>IFERROR(__xludf.DUMMYFUNCTION("""COMPUTED_VALUE"""),"Closed")</f>
        <v>Closed</v>
      </c>
    </row>
    <row r="1157">
      <c r="A1157" s="3" t="s">
        <v>1170</v>
      </c>
      <c r="B1157" s="4">
        <f>IFERROR(__xludf.DUMMYFUNCTION("SPLIT(A1157,"","",0,0)"),45542.78055555555)</f>
        <v>45542.78056</v>
      </c>
      <c r="C1157" s="5">
        <f>IFERROR(__xludf.DUMMYFUNCTION("""COMPUTED_VALUE"""),2638544.0)</f>
        <v>2638544</v>
      </c>
      <c r="D1157" s="2" t="str">
        <f>IFERROR(__xludf.DUMMYFUNCTION("""COMPUTED_VALUE"""),"Sale")</f>
        <v>Sale</v>
      </c>
      <c r="E1157" s="2" t="str">
        <f>IFERROR(__xludf.DUMMYFUNCTION("""COMPUTED_VALUE"""),"Minuman")</f>
        <v>Minuman</v>
      </c>
      <c r="F1157" s="2">
        <f>IFERROR(__xludf.DUMMYFUNCTION("""COMPUTED_VALUE"""),10128.0)</f>
        <v>10128</v>
      </c>
      <c r="G1157" s="2" t="str">
        <f>IFERROR(__xludf.DUMMYFUNCTION("""COMPUTED_VALUE"""),"Es Kopi Susu")</f>
        <v>Es Kopi Susu</v>
      </c>
      <c r="H1157" s="2"/>
      <c r="I1157" s="2"/>
      <c r="J1157" s="2">
        <f>IFERROR(__xludf.DUMMYFUNCTION("""COMPUTED_VALUE"""),1.0)</f>
        <v>1</v>
      </c>
      <c r="K1157" s="6">
        <f>IFERROR(__xludf.DUMMYFUNCTION("""COMPUTED_VALUE"""),23333.0)</f>
        <v>23333</v>
      </c>
      <c r="L1157" s="2">
        <f>IFERROR(__xludf.DUMMYFUNCTION("""COMPUTED_VALUE"""),0.0)</f>
        <v>0</v>
      </c>
      <c r="M1157" s="2">
        <f>IFERROR(__xludf.DUMMYFUNCTION("""COMPUTED_VALUE"""),23333.0)</f>
        <v>23333</v>
      </c>
      <c r="N1157" s="2">
        <f>IFERROR(__xludf.DUMMYFUNCTION("""COMPUTED_VALUE"""),0.0)</f>
        <v>0</v>
      </c>
      <c r="O1157" s="2">
        <f>IFERROR(__xludf.DUMMYFUNCTION("""COMPUTED_VALUE"""),23333.0)</f>
        <v>23333</v>
      </c>
      <c r="P1157" s="2">
        <f>IFERROR(__xludf.DUMMYFUNCTION("""COMPUTED_VALUE"""),1167.0)</f>
        <v>1167</v>
      </c>
      <c r="Q1157" s="2" t="str">
        <f>IFERROR(__xludf.DUMMYFUNCTION("""COMPUTED_VALUE"""),"Dine In")</f>
        <v>Dine In</v>
      </c>
      <c r="R1157" s="2" t="str">
        <f>IFERROR(__xludf.DUMMYFUNCTION("""COMPUTED_VALUE"""),"Kedai")</f>
        <v>Kedai</v>
      </c>
      <c r="S1157" s="2" t="str">
        <f>IFERROR(__xludf.DUMMYFUNCTION("""COMPUTED_VALUE"""),"Temu Roti")</f>
        <v>Temu Roti</v>
      </c>
      <c r="T1157" s="2" t="str">
        <f>IFERROR(__xludf.DUMMYFUNCTION("""COMPUTED_VALUE"""),"Owner")</f>
        <v>Owner</v>
      </c>
      <c r="U1157" s="2"/>
      <c r="V1157" s="2"/>
      <c r="W1157" s="2"/>
      <c r="X1157" s="2" t="str">
        <f>IFERROR(__xludf.DUMMYFUNCTION("""COMPUTED_VALUE"""),"Closed")</f>
        <v>Closed</v>
      </c>
    </row>
    <row r="1158">
      <c r="A1158" s="3" t="s">
        <v>1171</v>
      </c>
      <c r="B1158" s="4">
        <f>IFERROR(__xludf.DUMMYFUNCTION("SPLIT(A1158,"","",0,0)"),45542.78055555555)</f>
        <v>45542.78056</v>
      </c>
      <c r="C1158" s="5">
        <f>IFERROR(__xludf.DUMMYFUNCTION("""COMPUTED_VALUE"""),2638544.0)</f>
        <v>2638544</v>
      </c>
      <c r="D1158" s="2" t="str">
        <f>IFERROR(__xludf.DUMMYFUNCTION("""COMPUTED_VALUE"""),"Sale")</f>
        <v>Sale</v>
      </c>
      <c r="E1158" s="2" t="str">
        <f>IFERROR(__xludf.DUMMYFUNCTION("""COMPUTED_VALUE"""),"Kudapan")</f>
        <v>Kudapan</v>
      </c>
      <c r="F1158" s="2">
        <f>IFERROR(__xludf.DUMMYFUNCTION("""COMPUTED_VALUE"""),10004.0)</f>
        <v>10004</v>
      </c>
      <c r="G1158" s="2" t="str">
        <f>IFERROR(__xludf.DUMMYFUNCTION("""COMPUTED_VALUE"""),"Tahu walik")</f>
        <v>Tahu walik</v>
      </c>
      <c r="H1158" s="2"/>
      <c r="I1158" s="2"/>
      <c r="J1158" s="2">
        <f>IFERROR(__xludf.DUMMYFUNCTION("""COMPUTED_VALUE"""),1.0)</f>
        <v>1</v>
      </c>
      <c r="K1158" s="6">
        <f>IFERROR(__xludf.DUMMYFUNCTION("""COMPUTED_VALUE"""),25238.0)</f>
        <v>25238</v>
      </c>
      <c r="L1158" s="2">
        <f>IFERROR(__xludf.DUMMYFUNCTION("""COMPUTED_VALUE"""),0.0)</f>
        <v>0</v>
      </c>
      <c r="M1158" s="2">
        <f>IFERROR(__xludf.DUMMYFUNCTION("""COMPUTED_VALUE"""),25238.0)</f>
        <v>25238</v>
      </c>
      <c r="N1158" s="2">
        <f>IFERROR(__xludf.DUMMYFUNCTION("""COMPUTED_VALUE"""),0.0)</f>
        <v>0</v>
      </c>
      <c r="O1158" s="2">
        <f>IFERROR(__xludf.DUMMYFUNCTION("""COMPUTED_VALUE"""),25238.0)</f>
        <v>25238</v>
      </c>
      <c r="P1158" s="2">
        <f>IFERROR(__xludf.DUMMYFUNCTION("""COMPUTED_VALUE"""),1262.0)</f>
        <v>1262</v>
      </c>
      <c r="Q1158" s="2" t="str">
        <f>IFERROR(__xludf.DUMMYFUNCTION("""COMPUTED_VALUE"""),"Dine In")</f>
        <v>Dine In</v>
      </c>
      <c r="R1158" s="2" t="str">
        <f>IFERROR(__xludf.DUMMYFUNCTION("""COMPUTED_VALUE"""),"Kedai")</f>
        <v>Kedai</v>
      </c>
      <c r="S1158" s="2" t="str">
        <f>IFERROR(__xludf.DUMMYFUNCTION("""COMPUTED_VALUE"""),"Temu Roti")</f>
        <v>Temu Roti</v>
      </c>
      <c r="T1158" s="2" t="str">
        <f>IFERROR(__xludf.DUMMYFUNCTION("""COMPUTED_VALUE"""),"Owner")</f>
        <v>Owner</v>
      </c>
      <c r="U1158" s="2"/>
      <c r="V1158" s="2"/>
      <c r="W1158" s="2"/>
      <c r="X1158" s="2" t="str">
        <f>IFERROR(__xludf.DUMMYFUNCTION("""COMPUTED_VALUE"""),"Closed")</f>
        <v>Closed</v>
      </c>
    </row>
    <row r="1159">
      <c r="A1159" s="3" t="s">
        <v>1172</v>
      </c>
      <c r="B1159" s="4">
        <f>IFERROR(__xludf.DUMMYFUNCTION("SPLIT(A1159,"","",0,0)"),45542.763194444444)</f>
        <v>45542.76319</v>
      </c>
      <c r="C1159" s="5">
        <f>IFERROR(__xludf.DUMMYFUNCTION("""COMPUTED_VALUE"""),2638179.0)</f>
        <v>2638179</v>
      </c>
      <c r="D1159" s="2" t="str">
        <f>IFERROR(__xludf.DUMMYFUNCTION("""COMPUTED_VALUE"""),"Sale")</f>
        <v>Sale</v>
      </c>
      <c r="E1159" s="2" t="str">
        <f>IFERROR(__xludf.DUMMYFUNCTION("""COMPUTED_VALUE"""),"Roti")</f>
        <v>Roti</v>
      </c>
      <c r="F1159" s="2">
        <f>IFERROR(__xludf.DUMMYFUNCTION("""COMPUTED_VALUE"""),10055.0)</f>
        <v>10055</v>
      </c>
      <c r="G1159" s="2" t="str">
        <f>IFERROR(__xludf.DUMMYFUNCTION("""COMPUTED_VALUE"""),"Roti Gandum Cokelat 2 pcs")</f>
        <v>Roti Gandum Cokelat 2 pcs</v>
      </c>
      <c r="H1159" s="2"/>
      <c r="I1159" s="2"/>
      <c r="J1159" s="2">
        <f>IFERROR(__xludf.DUMMYFUNCTION("""COMPUTED_VALUE"""),1.0)</f>
        <v>1</v>
      </c>
      <c r="K1159" s="6">
        <f>IFERROR(__xludf.DUMMYFUNCTION("""COMPUTED_VALUE"""),34762.0)</f>
        <v>34762</v>
      </c>
      <c r="L1159" s="2">
        <f>IFERROR(__xludf.DUMMYFUNCTION("""COMPUTED_VALUE"""),0.0)</f>
        <v>0</v>
      </c>
      <c r="M1159" s="2">
        <f>IFERROR(__xludf.DUMMYFUNCTION("""COMPUTED_VALUE"""),34762.0)</f>
        <v>34762</v>
      </c>
      <c r="N1159" s="2">
        <f>IFERROR(__xludf.DUMMYFUNCTION("""COMPUTED_VALUE"""),0.0)</f>
        <v>0</v>
      </c>
      <c r="O1159" s="2">
        <f>IFERROR(__xludf.DUMMYFUNCTION("""COMPUTED_VALUE"""),34762.0)</f>
        <v>34762</v>
      </c>
      <c r="P1159" s="2">
        <f>IFERROR(__xludf.DUMMYFUNCTION("""COMPUTED_VALUE"""),1738.0)</f>
        <v>1738</v>
      </c>
      <c r="Q1159" s="2" t="str">
        <f>IFERROR(__xludf.DUMMYFUNCTION("""COMPUTED_VALUE"""),"Dine In")</f>
        <v>Dine In</v>
      </c>
      <c r="R1159" s="2" t="str">
        <f>IFERROR(__xludf.DUMMYFUNCTION("""COMPUTED_VALUE"""),"Kedai")</f>
        <v>Kedai</v>
      </c>
      <c r="S1159" s="2" t="str">
        <f>IFERROR(__xludf.DUMMYFUNCTION("""COMPUTED_VALUE"""),"Temu Roti")</f>
        <v>Temu Roti</v>
      </c>
      <c r="T1159" s="2" t="str">
        <f>IFERROR(__xludf.DUMMYFUNCTION("""COMPUTED_VALUE"""),"Owner")</f>
        <v>Owner</v>
      </c>
      <c r="U1159" s="2"/>
      <c r="V1159" s="2"/>
      <c r="W1159" s="2"/>
      <c r="X1159" s="2" t="str">
        <f>IFERROR(__xludf.DUMMYFUNCTION("""COMPUTED_VALUE"""),"Closed")</f>
        <v>Closed</v>
      </c>
    </row>
    <row r="1160">
      <c r="A1160" s="3" t="s">
        <v>1173</v>
      </c>
      <c r="B1160" s="4">
        <f>IFERROR(__xludf.DUMMYFUNCTION("SPLIT(A1160,"","",0,0)"),45542.763194444444)</f>
        <v>45542.76319</v>
      </c>
      <c r="C1160" s="5">
        <f>IFERROR(__xludf.DUMMYFUNCTION("""COMPUTED_VALUE"""),2638179.0)</f>
        <v>2638179</v>
      </c>
      <c r="D1160" s="2" t="str">
        <f>IFERROR(__xludf.DUMMYFUNCTION("""COMPUTED_VALUE"""),"Sale")</f>
        <v>Sale</v>
      </c>
      <c r="E1160" s="2" t="str">
        <f>IFERROR(__xludf.DUMMYFUNCTION("""COMPUTED_VALUE"""),"Roti")</f>
        <v>Roti</v>
      </c>
      <c r="F1160" s="2">
        <f>IFERROR(__xludf.DUMMYFUNCTION("""COMPUTED_VALUE"""),10007.0)</f>
        <v>10007</v>
      </c>
      <c r="G1160" s="2" t="str">
        <f>IFERROR(__xludf.DUMMYFUNCTION("""COMPUTED_VALUE"""),"Roti cranberry 2 pcs")</f>
        <v>Roti cranberry 2 pcs</v>
      </c>
      <c r="H1160" s="2"/>
      <c r="I1160" s="2"/>
      <c r="J1160" s="2">
        <f>IFERROR(__xludf.DUMMYFUNCTION("""COMPUTED_VALUE"""),1.0)</f>
        <v>1</v>
      </c>
      <c r="K1160" s="6">
        <f>IFERROR(__xludf.DUMMYFUNCTION("""COMPUTED_VALUE"""),33810.0)</f>
        <v>33810</v>
      </c>
      <c r="L1160" s="2">
        <f>IFERROR(__xludf.DUMMYFUNCTION("""COMPUTED_VALUE"""),0.0)</f>
        <v>0</v>
      </c>
      <c r="M1160" s="2">
        <f>IFERROR(__xludf.DUMMYFUNCTION("""COMPUTED_VALUE"""),33810.0)</f>
        <v>33810</v>
      </c>
      <c r="N1160" s="2">
        <f>IFERROR(__xludf.DUMMYFUNCTION("""COMPUTED_VALUE"""),0.0)</f>
        <v>0</v>
      </c>
      <c r="O1160" s="2">
        <f>IFERROR(__xludf.DUMMYFUNCTION("""COMPUTED_VALUE"""),33810.0)</f>
        <v>33810</v>
      </c>
      <c r="P1160" s="2">
        <f>IFERROR(__xludf.DUMMYFUNCTION("""COMPUTED_VALUE"""),1691.0)</f>
        <v>1691</v>
      </c>
      <c r="Q1160" s="2" t="str">
        <f>IFERROR(__xludf.DUMMYFUNCTION("""COMPUTED_VALUE"""),"Dine In")</f>
        <v>Dine In</v>
      </c>
      <c r="R1160" s="2" t="str">
        <f>IFERROR(__xludf.DUMMYFUNCTION("""COMPUTED_VALUE"""),"Kedai")</f>
        <v>Kedai</v>
      </c>
      <c r="S1160" s="2" t="str">
        <f>IFERROR(__xludf.DUMMYFUNCTION("""COMPUTED_VALUE"""),"Temu Roti")</f>
        <v>Temu Roti</v>
      </c>
      <c r="T1160" s="2" t="str">
        <f>IFERROR(__xludf.DUMMYFUNCTION("""COMPUTED_VALUE"""),"Owner")</f>
        <v>Owner</v>
      </c>
      <c r="U1160" s="2"/>
      <c r="V1160" s="2"/>
      <c r="W1160" s="2"/>
      <c r="X1160" s="2" t="str">
        <f>IFERROR(__xludf.DUMMYFUNCTION("""COMPUTED_VALUE"""),"Closed")</f>
        <v>Closed</v>
      </c>
    </row>
    <row r="1161">
      <c r="A1161" s="3" t="s">
        <v>1174</v>
      </c>
      <c r="B1161" s="4">
        <f>IFERROR(__xludf.DUMMYFUNCTION("SPLIT(A1161,"","",0,0)"),45542.760416666664)</f>
        <v>45542.76042</v>
      </c>
      <c r="C1161" s="5">
        <f>IFERROR(__xludf.DUMMYFUNCTION("""COMPUTED_VALUE"""),2637814.0)</f>
        <v>2637814</v>
      </c>
      <c r="D1161" s="2" t="str">
        <f>IFERROR(__xludf.DUMMYFUNCTION("""COMPUTED_VALUE"""),"Sale")</f>
        <v>Sale</v>
      </c>
      <c r="E1161" s="2" t="str">
        <f>IFERROR(__xludf.DUMMYFUNCTION("""COMPUTED_VALUE"""),"Roti")</f>
        <v>Roti</v>
      </c>
      <c r="F1161" s="2">
        <f>IFERROR(__xludf.DUMMYFUNCTION("""COMPUTED_VALUE"""),10005.0)</f>
        <v>10005</v>
      </c>
      <c r="G1161" s="2" t="str">
        <f>IFERROR(__xludf.DUMMYFUNCTION("""COMPUTED_VALUE"""),"Roti Gandum Cokelat")</f>
        <v>Roti Gandum Cokelat</v>
      </c>
      <c r="H1161" s="2"/>
      <c r="I1161" s="2"/>
      <c r="J1161" s="2">
        <f>IFERROR(__xludf.DUMMYFUNCTION("""COMPUTED_VALUE"""),1.0)</f>
        <v>1</v>
      </c>
      <c r="K1161" s="6">
        <f>IFERROR(__xludf.DUMMYFUNCTION("""COMPUTED_VALUE"""),19524.0)</f>
        <v>19524</v>
      </c>
      <c r="L1161" s="2">
        <f>IFERROR(__xludf.DUMMYFUNCTION("""COMPUTED_VALUE"""),0.0)</f>
        <v>0</v>
      </c>
      <c r="M1161" s="2">
        <f>IFERROR(__xludf.DUMMYFUNCTION("""COMPUTED_VALUE"""),19524.0)</f>
        <v>19524</v>
      </c>
      <c r="N1161" s="2">
        <f>IFERROR(__xludf.DUMMYFUNCTION("""COMPUTED_VALUE"""),0.0)</f>
        <v>0</v>
      </c>
      <c r="O1161" s="2">
        <f>IFERROR(__xludf.DUMMYFUNCTION("""COMPUTED_VALUE"""),19524.0)</f>
        <v>19524</v>
      </c>
      <c r="P1161" s="2">
        <f>IFERROR(__xludf.DUMMYFUNCTION("""COMPUTED_VALUE"""),976.0)</f>
        <v>976</v>
      </c>
      <c r="Q1161" s="2" t="str">
        <f>IFERROR(__xludf.DUMMYFUNCTION("""COMPUTED_VALUE"""),"Dine In")</f>
        <v>Dine In</v>
      </c>
      <c r="R1161" s="2" t="str">
        <f>IFERROR(__xludf.DUMMYFUNCTION("""COMPUTED_VALUE"""),"Kedai")</f>
        <v>Kedai</v>
      </c>
      <c r="S1161" s="2" t="str">
        <f>IFERROR(__xludf.DUMMYFUNCTION("""COMPUTED_VALUE"""),"Temu Roti")</f>
        <v>Temu Roti</v>
      </c>
      <c r="T1161" s="2" t="str">
        <f>IFERROR(__xludf.DUMMYFUNCTION("""COMPUTED_VALUE"""),"Owner")</f>
        <v>Owner</v>
      </c>
      <c r="U1161" s="2"/>
      <c r="V1161" s="2"/>
      <c r="W1161" s="2"/>
      <c r="X1161" s="2" t="str">
        <f>IFERROR(__xludf.DUMMYFUNCTION("""COMPUTED_VALUE"""),"Closed")</f>
        <v>Closed</v>
      </c>
    </row>
    <row r="1162">
      <c r="A1162" s="3" t="s">
        <v>1175</v>
      </c>
      <c r="B1162" s="4">
        <f>IFERROR(__xludf.DUMMYFUNCTION("SPLIT(A1162,"","",0,0)"),45542.75902777778)</f>
        <v>45542.75903</v>
      </c>
      <c r="C1162" s="5">
        <f>IFERROR(__xludf.DUMMYFUNCTION("""COMPUTED_VALUE"""),2637449.0)</f>
        <v>2637449</v>
      </c>
      <c r="D1162" s="2" t="str">
        <f>IFERROR(__xludf.DUMMYFUNCTION("""COMPUTED_VALUE"""),"Sale")</f>
        <v>Sale</v>
      </c>
      <c r="E1162" s="2" t="str">
        <f>IFERROR(__xludf.DUMMYFUNCTION("""COMPUTED_VALUE"""),"Minuman")</f>
        <v>Minuman</v>
      </c>
      <c r="F1162" s="2">
        <f>IFERROR(__xludf.DUMMYFUNCTION("""COMPUTED_VALUE"""),10125.0)</f>
        <v>10125</v>
      </c>
      <c r="G1162" s="2" t="str">
        <f>IFERROR(__xludf.DUMMYFUNCTION("""COMPUTED_VALUE"""),"Gula Asam Dingin")</f>
        <v>Gula Asam Dingin</v>
      </c>
      <c r="H1162" s="2"/>
      <c r="I1162" s="2"/>
      <c r="J1162" s="2">
        <f>IFERROR(__xludf.DUMMYFUNCTION("""COMPUTED_VALUE"""),1.0)</f>
        <v>1</v>
      </c>
      <c r="K1162" s="6">
        <f>IFERROR(__xludf.DUMMYFUNCTION("""COMPUTED_VALUE"""),20476.0)</f>
        <v>20476</v>
      </c>
      <c r="L1162" s="2">
        <f>IFERROR(__xludf.DUMMYFUNCTION("""COMPUTED_VALUE"""),0.0)</f>
        <v>0</v>
      </c>
      <c r="M1162" s="2">
        <f>IFERROR(__xludf.DUMMYFUNCTION("""COMPUTED_VALUE"""),20476.0)</f>
        <v>20476</v>
      </c>
      <c r="N1162" s="2">
        <f>IFERROR(__xludf.DUMMYFUNCTION("""COMPUTED_VALUE"""),0.0)</f>
        <v>0</v>
      </c>
      <c r="O1162" s="2">
        <f>IFERROR(__xludf.DUMMYFUNCTION("""COMPUTED_VALUE"""),20476.0)</f>
        <v>20476</v>
      </c>
      <c r="P1162" s="2">
        <f>IFERROR(__xludf.DUMMYFUNCTION("""COMPUTED_VALUE"""),1024.0)</f>
        <v>1024</v>
      </c>
      <c r="Q1162" s="2" t="str">
        <f>IFERROR(__xludf.DUMMYFUNCTION("""COMPUTED_VALUE"""),"Dine In")</f>
        <v>Dine In</v>
      </c>
      <c r="R1162" s="2" t="str">
        <f>IFERROR(__xludf.DUMMYFUNCTION("""COMPUTED_VALUE"""),"Kedai")</f>
        <v>Kedai</v>
      </c>
      <c r="S1162" s="2" t="str">
        <f>IFERROR(__xludf.DUMMYFUNCTION("""COMPUTED_VALUE"""),"Temu Roti")</f>
        <v>Temu Roti</v>
      </c>
      <c r="T1162" s="2" t="str">
        <f>IFERROR(__xludf.DUMMYFUNCTION("""COMPUTED_VALUE"""),"Owner")</f>
        <v>Owner</v>
      </c>
      <c r="U1162" s="2"/>
      <c r="V1162" s="2"/>
      <c r="W1162" s="2"/>
      <c r="X1162" s="2" t="str">
        <f>IFERROR(__xludf.DUMMYFUNCTION("""COMPUTED_VALUE"""),"Closed")</f>
        <v>Closed</v>
      </c>
    </row>
    <row r="1163">
      <c r="A1163" s="3" t="s">
        <v>1176</v>
      </c>
      <c r="B1163" s="4">
        <f>IFERROR(__xludf.DUMMYFUNCTION("SPLIT(A1163,"","",0,0)"),45542.736805555556)</f>
        <v>45542.73681</v>
      </c>
      <c r="C1163" s="5">
        <f>IFERROR(__xludf.DUMMYFUNCTION("""COMPUTED_VALUE"""),2637083.0)</f>
        <v>2637083</v>
      </c>
      <c r="D1163" s="2" t="str">
        <f>IFERROR(__xludf.DUMMYFUNCTION("""COMPUTED_VALUE"""),"Sale")</f>
        <v>Sale</v>
      </c>
      <c r="E1163" s="2" t="str">
        <f>IFERROR(__xludf.DUMMYFUNCTION("""COMPUTED_VALUE"""),"Minuman")</f>
        <v>Minuman</v>
      </c>
      <c r="F1163" s="2">
        <f>IFERROR(__xludf.DUMMYFUNCTION("""COMPUTED_VALUE"""),10112.0)</f>
        <v>10112</v>
      </c>
      <c r="G1163" s="2" t="str">
        <f>IFERROR(__xludf.DUMMYFUNCTION("""COMPUTED_VALUE"""),"Air mineral")</f>
        <v>Air mineral</v>
      </c>
      <c r="H1163" s="2"/>
      <c r="I1163" s="2"/>
      <c r="J1163" s="2">
        <f>IFERROR(__xludf.DUMMYFUNCTION("""COMPUTED_VALUE"""),1.0)</f>
        <v>1</v>
      </c>
      <c r="K1163" s="6">
        <f>IFERROR(__xludf.DUMMYFUNCTION("""COMPUTED_VALUE"""),6667.0)</f>
        <v>6667</v>
      </c>
      <c r="L1163" s="2">
        <f>IFERROR(__xludf.DUMMYFUNCTION("""COMPUTED_VALUE"""),0.0)</f>
        <v>0</v>
      </c>
      <c r="M1163" s="2">
        <f>IFERROR(__xludf.DUMMYFUNCTION("""COMPUTED_VALUE"""),6667.0)</f>
        <v>6667</v>
      </c>
      <c r="N1163" s="2">
        <f>IFERROR(__xludf.DUMMYFUNCTION("""COMPUTED_VALUE"""),0.0)</f>
        <v>0</v>
      </c>
      <c r="O1163" s="2">
        <f>IFERROR(__xludf.DUMMYFUNCTION("""COMPUTED_VALUE"""),6667.0)</f>
        <v>6667</v>
      </c>
      <c r="P1163" s="2">
        <f>IFERROR(__xludf.DUMMYFUNCTION("""COMPUTED_VALUE"""),333.0)</f>
        <v>333</v>
      </c>
      <c r="Q1163" s="2" t="str">
        <f>IFERROR(__xludf.DUMMYFUNCTION("""COMPUTED_VALUE"""),"Dine In")</f>
        <v>Dine In</v>
      </c>
      <c r="R1163" s="2" t="str">
        <f>IFERROR(__xludf.DUMMYFUNCTION("""COMPUTED_VALUE"""),"Kedai")</f>
        <v>Kedai</v>
      </c>
      <c r="S1163" s="2" t="str">
        <f>IFERROR(__xludf.DUMMYFUNCTION("""COMPUTED_VALUE"""),"Temu Roti")</f>
        <v>Temu Roti</v>
      </c>
      <c r="T1163" s="2" t="str">
        <f>IFERROR(__xludf.DUMMYFUNCTION("""COMPUTED_VALUE"""),"Owner")</f>
        <v>Owner</v>
      </c>
      <c r="U1163" s="2"/>
      <c r="V1163" s="2"/>
      <c r="W1163" s="2"/>
      <c r="X1163" s="2" t="str">
        <f>IFERROR(__xludf.DUMMYFUNCTION("""COMPUTED_VALUE"""),"Closed")</f>
        <v>Closed</v>
      </c>
    </row>
    <row r="1164">
      <c r="A1164" s="3" t="s">
        <v>1177</v>
      </c>
      <c r="B1164" s="4">
        <f>IFERROR(__xludf.DUMMYFUNCTION("SPLIT(A1164,"","",0,0)"),45542.736805555556)</f>
        <v>45542.73681</v>
      </c>
      <c r="C1164" s="5">
        <f>IFERROR(__xludf.DUMMYFUNCTION("""COMPUTED_VALUE"""),2637083.0)</f>
        <v>2637083</v>
      </c>
      <c r="D1164" s="2" t="str">
        <f>IFERROR(__xludf.DUMMYFUNCTION("""COMPUTED_VALUE"""),"Sale")</f>
        <v>Sale</v>
      </c>
      <c r="E1164" s="2" t="str">
        <f>IFERROR(__xludf.DUMMYFUNCTION("""COMPUTED_VALUE"""),"Minuman")</f>
        <v>Minuman</v>
      </c>
      <c r="F1164" s="2">
        <f>IFERROR(__xludf.DUMMYFUNCTION("""COMPUTED_VALUE"""),10026.0)</f>
        <v>10026</v>
      </c>
      <c r="G1164" s="2" t="str">
        <f>IFERROR(__xludf.DUMMYFUNCTION("""COMPUTED_VALUE"""),"Es Kopi Lemon")</f>
        <v>Es Kopi Lemon</v>
      </c>
      <c r="H1164" s="2"/>
      <c r="I1164" s="2"/>
      <c r="J1164" s="2">
        <f>IFERROR(__xludf.DUMMYFUNCTION("""COMPUTED_VALUE"""),2.0)</f>
        <v>2</v>
      </c>
      <c r="K1164" s="6">
        <f>IFERROR(__xludf.DUMMYFUNCTION("""COMPUTED_VALUE"""),43810.0)</f>
        <v>43810</v>
      </c>
      <c r="L1164" s="2">
        <f>IFERROR(__xludf.DUMMYFUNCTION("""COMPUTED_VALUE"""),0.0)</f>
        <v>0</v>
      </c>
      <c r="M1164" s="2">
        <f>IFERROR(__xludf.DUMMYFUNCTION("""COMPUTED_VALUE"""),43810.0)</f>
        <v>43810</v>
      </c>
      <c r="N1164" s="2">
        <f>IFERROR(__xludf.DUMMYFUNCTION("""COMPUTED_VALUE"""),0.0)</f>
        <v>0</v>
      </c>
      <c r="O1164" s="2">
        <f>IFERROR(__xludf.DUMMYFUNCTION("""COMPUTED_VALUE"""),43810.0)</f>
        <v>43810</v>
      </c>
      <c r="P1164" s="2">
        <f>IFERROR(__xludf.DUMMYFUNCTION("""COMPUTED_VALUE"""),2191.0)</f>
        <v>2191</v>
      </c>
      <c r="Q1164" s="2" t="str">
        <f>IFERROR(__xludf.DUMMYFUNCTION("""COMPUTED_VALUE"""),"Dine In")</f>
        <v>Dine In</v>
      </c>
      <c r="R1164" s="2" t="str">
        <f>IFERROR(__xludf.DUMMYFUNCTION("""COMPUTED_VALUE"""),"Kedai")</f>
        <v>Kedai</v>
      </c>
      <c r="S1164" s="2" t="str">
        <f>IFERROR(__xludf.DUMMYFUNCTION("""COMPUTED_VALUE"""),"Temu Roti")</f>
        <v>Temu Roti</v>
      </c>
      <c r="T1164" s="2" t="str">
        <f>IFERROR(__xludf.DUMMYFUNCTION("""COMPUTED_VALUE"""),"Owner")</f>
        <v>Owner</v>
      </c>
      <c r="U1164" s="2"/>
      <c r="V1164" s="2"/>
      <c r="W1164" s="2"/>
      <c r="X1164" s="2" t="str">
        <f>IFERROR(__xludf.DUMMYFUNCTION("""COMPUTED_VALUE"""),"Closed")</f>
        <v>Closed</v>
      </c>
    </row>
    <row r="1165">
      <c r="A1165" s="3" t="s">
        <v>1178</v>
      </c>
      <c r="B1165" s="4">
        <f>IFERROR(__xludf.DUMMYFUNCTION("SPLIT(A1165,"","",0,0)"),45542.736805555556)</f>
        <v>45542.73681</v>
      </c>
      <c r="C1165" s="5">
        <f>IFERROR(__xludf.DUMMYFUNCTION("""COMPUTED_VALUE"""),2637083.0)</f>
        <v>2637083</v>
      </c>
      <c r="D1165" s="2" t="str">
        <f>IFERROR(__xludf.DUMMYFUNCTION("""COMPUTED_VALUE"""),"Sale")</f>
        <v>Sale</v>
      </c>
      <c r="E1165" s="2" t="str">
        <f>IFERROR(__xludf.DUMMYFUNCTION("""COMPUTED_VALUE"""),"Roti")</f>
        <v>Roti</v>
      </c>
      <c r="F1165" s="2">
        <f>IFERROR(__xludf.DUMMYFUNCTION("""COMPUTED_VALUE"""),10002.0)</f>
        <v>10002</v>
      </c>
      <c r="G1165" s="2" t="str">
        <f>IFERROR(__xludf.DUMMYFUNCTION("""COMPUTED_VALUE"""),"Roti Cranberry")</f>
        <v>Roti Cranberry</v>
      </c>
      <c r="H1165" s="2"/>
      <c r="I1165" s="2"/>
      <c r="J1165" s="2">
        <f>IFERROR(__xludf.DUMMYFUNCTION("""COMPUTED_VALUE"""),1.0)</f>
        <v>1</v>
      </c>
      <c r="K1165" s="6">
        <f>IFERROR(__xludf.DUMMYFUNCTION("""COMPUTED_VALUE"""),18571.0)</f>
        <v>18571</v>
      </c>
      <c r="L1165" s="2">
        <f>IFERROR(__xludf.DUMMYFUNCTION("""COMPUTED_VALUE"""),0.0)</f>
        <v>0</v>
      </c>
      <c r="M1165" s="2">
        <f>IFERROR(__xludf.DUMMYFUNCTION("""COMPUTED_VALUE"""),18571.0)</f>
        <v>18571</v>
      </c>
      <c r="N1165" s="2">
        <f>IFERROR(__xludf.DUMMYFUNCTION("""COMPUTED_VALUE"""),0.0)</f>
        <v>0</v>
      </c>
      <c r="O1165" s="2">
        <f>IFERROR(__xludf.DUMMYFUNCTION("""COMPUTED_VALUE"""),18571.0)</f>
        <v>18571</v>
      </c>
      <c r="P1165" s="2">
        <f>IFERROR(__xludf.DUMMYFUNCTION("""COMPUTED_VALUE"""),928.0)</f>
        <v>928</v>
      </c>
      <c r="Q1165" s="2" t="str">
        <f>IFERROR(__xludf.DUMMYFUNCTION("""COMPUTED_VALUE"""),"Dine In")</f>
        <v>Dine In</v>
      </c>
      <c r="R1165" s="2" t="str">
        <f>IFERROR(__xludf.DUMMYFUNCTION("""COMPUTED_VALUE"""),"Kedai")</f>
        <v>Kedai</v>
      </c>
      <c r="S1165" s="2" t="str">
        <f>IFERROR(__xludf.DUMMYFUNCTION("""COMPUTED_VALUE"""),"Temu Roti")</f>
        <v>Temu Roti</v>
      </c>
      <c r="T1165" s="2" t="str">
        <f>IFERROR(__xludf.DUMMYFUNCTION("""COMPUTED_VALUE"""),"Owner")</f>
        <v>Owner</v>
      </c>
      <c r="U1165" s="2"/>
      <c r="V1165" s="2"/>
      <c r="W1165" s="2"/>
      <c r="X1165" s="2" t="str">
        <f>IFERROR(__xludf.DUMMYFUNCTION("""COMPUTED_VALUE"""),"Closed")</f>
        <v>Closed</v>
      </c>
    </row>
    <row r="1166">
      <c r="A1166" s="3" t="s">
        <v>1179</v>
      </c>
      <c r="B1166" s="4">
        <f>IFERROR(__xludf.DUMMYFUNCTION("SPLIT(A1166,"","",0,0)"),45542.736805555556)</f>
        <v>45542.73681</v>
      </c>
      <c r="C1166" s="5">
        <f>IFERROR(__xludf.DUMMYFUNCTION("""COMPUTED_VALUE"""),2637083.0)</f>
        <v>2637083</v>
      </c>
      <c r="D1166" s="2" t="str">
        <f>IFERROR(__xludf.DUMMYFUNCTION("""COMPUTED_VALUE"""),"Sale")</f>
        <v>Sale</v>
      </c>
      <c r="E1166" s="2" t="str">
        <f>IFERROR(__xludf.DUMMYFUNCTION("""COMPUTED_VALUE"""),"Roti")</f>
        <v>Roti</v>
      </c>
      <c r="F1166" s="2">
        <f>IFERROR(__xludf.DUMMYFUNCTION("""COMPUTED_VALUE"""),10005.0)</f>
        <v>10005</v>
      </c>
      <c r="G1166" s="2" t="str">
        <f>IFERROR(__xludf.DUMMYFUNCTION("""COMPUTED_VALUE"""),"Roti Gandum Cokelat")</f>
        <v>Roti Gandum Cokelat</v>
      </c>
      <c r="H1166" s="2"/>
      <c r="I1166" s="2"/>
      <c r="J1166" s="2">
        <f>IFERROR(__xludf.DUMMYFUNCTION("""COMPUTED_VALUE"""),1.0)</f>
        <v>1</v>
      </c>
      <c r="K1166" s="6">
        <f>IFERROR(__xludf.DUMMYFUNCTION("""COMPUTED_VALUE"""),19524.0)</f>
        <v>19524</v>
      </c>
      <c r="L1166" s="2">
        <f>IFERROR(__xludf.DUMMYFUNCTION("""COMPUTED_VALUE"""),0.0)</f>
        <v>0</v>
      </c>
      <c r="M1166" s="2">
        <f>IFERROR(__xludf.DUMMYFUNCTION("""COMPUTED_VALUE"""),19524.0)</f>
        <v>19524</v>
      </c>
      <c r="N1166" s="2">
        <f>IFERROR(__xludf.DUMMYFUNCTION("""COMPUTED_VALUE"""),0.0)</f>
        <v>0</v>
      </c>
      <c r="O1166" s="2">
        <f>IFERROR(__xludf.DUMMYFUNCTION("""COMPUTED_VALUE"""),19524.0)</f>
        <v>19524</v>
      </c>
      <c r="P1166" s="2">
        <f>IFERROR(__xludf.DUMMYFUNCTION("""COMPUTED_VALUE"""),977.0)</f>
        <v>977</v>
      </c>
      <c r="Q1166" s="2" t="str">
        <f>IFERROR(__xludf.DUMMYFUNCTION("""COMPUTED_VALUE"""),"Dine In")</f>
        <v>Dine In</v>
      </c>
      <c r="R1166" s="2" t="str">
        <f>IFERROR(__xludf.DUMMYFUNCTION("""COMPUTED_VALUE"""),"Kedai")</f>
        <v>Kedai</v>
      </c>
      <c r="S1166" s="2" t="str">
        <f>IFERROR(__xludf.DUMMYFUNCTION("""COMPUTED_VALUE"""),"Temu Roti")</f>
        <v>Temu Roti</v>
      </c>
      <c r="T1166" s="2" t="str">
        <f>IFERROR(__xludf.DUMMYFUNCTION("""COMPUTED_VALUE"""),"Owner")</f>
        <v>Owner</v>
      </c>
      <c r="U1166" s="2"/>
      <c r="V1166" s="2"/>
      <c r="W1166" s="2"/>
      <c r="X1166" s="2" t="str">
        <f>IFERROR(__xludf.DUMMYFUNCTION("""COMPUTED_VALUE"""),"Closed")</f>
        <v>Closed</v>
      </c>
    </row>
    <row r="1167">
      <c r="A1167" s="3" t="s">
        <v>1180</v>
      </c>
      <c r="B1167" s="4">
        <f>IFERROR(__xludf.DUMMYFUNCTION("SPLIT(A1167,"","",0,0)"),45542.720138888886)</f>
        <v>45542.72014</v>
      </c>
      <c r="C1167" s="5">
        <f>IFERROR(__xludf.DUMMYFUNCTION("""COMPUTED_VALUE"""),2636718.0)</f>
        <v>2636718</v>
      </c>
      <c r="D1167" s="2" t="str">
        <f>IFERROR(__xludf.DUMMYFUNCTION("""COMPUTED_VALUE"""),"Sale")</f>
        <v>Sale</v>
      </c>
      <c r="E1167" s="2" t="str">
        <f>IFERROR(__xludf.DUMMYFUNCTION("""COMPUTED_VALUE"""),"Roti")</f>
        <v>Roti</v>
      </c>
      <c r="F1167" s="2">
        <f>IFERROR(__xludf.DUMMYFUNCTION("""COMPUTED_VALUE"""),10054.0)</f>
        <v>10054</v>
      </c>
      <c r="G1167" s="2" t="str">
        <f>IFERROR(__xludf.DUMMYFUNCTION("""COMPUTED_VALUE"""),"Roti toast eskrim")</f>
        <v>Roti toast eskrim</v>
      </c>
      <c r="H1167" s="2"/>
      <c r="I1167" s="2"/>
      <c r="J1167" s="2">
        <f>IFERROR(__xludf.DUMMYFUNCTION("""COMPUTED_VALUE"""),1.0)</f>
        <v>1</v>
      </c>
      <c r="K1167" s="6">
        <f>IFERROR(__xludf.DUMMYFUNCTION("""COMPUTED_VALUE"""),25238.0)</f>
        <v>25238</v>
      </c>
      <c r="L1167" s="2">
        <f>IFERROR(__xludf.DUMMYFUNCTION("""COMPUTED_VALUE"""),0.0)</f>
        <v>0</v>
      </c>
      <c r="M1167" s="2">
        <f>IFERROR(__xludf.DUMMYFUNCTION("""COMPUTED_VALUE"""),25238.0)</f>
        <v>25238</v>
      </c>
      <c r="N1167" s="2">
        <f>IFERROR(__xludf.DUMMYFUNCTION("""COMPUTED_VALUE"""),0.0)</f>
        <v>0</v>
      </c>
      <c r="O1167" s="2">
        <f>IFERROR(__xludf.DUMMYFUNCTION("""COMPUTED_VALUE"""),25238.0)</f>
        <v>25238</v>
      </c>
      <c r="P1167" s="2">
        <f>IFERROR(__xludf.DUMMYFUNCTION("""COMPUTED_VALUE"""),1262.0)</f>
        <v>1262</v>
      </c>
      <c r="Q1167" s="2" t="str">
        <f>IFERROR(__xludf.DUMMYFUNCTION("""COMPUTED_VALUE"""),"Dine In")</f>
        <v>Dine In</v>
      </c>
      <c r="R1167" s="2" t="str">
        <f>IFERROR(__xludf.DUMMYFUNCTION("""COMPUTED_VALUE"""),"Kedai")</f>
        <v>Kedai</v>
      </c>
      <c r="S1167" s="2" t="str">
        <f>IFERROR(__xludf.DUMMYFUNCTION("""COMPUTED_VALUE"""),"Temu Roti")</f>
        <v>Temu Roti</v>
      </c>
      <c r="T1167" s="2" t="str">
        <f>IFERROR(__xludf.DUMMYFUNCTION("""COMPUTED_VALUE"""),"Owner")</f>
        <v>Owner</v>
      </c>
      <c r="U1167" s="2"/>
      <c r="V1167" s="2"/>
      <c r="W1167" s="2"/>
      <c r="X1167" s="2" t="str">
        <f>IFERROR(__xludf.DUMMYFUNCTION("""COMPUTED_VALUE"""),"Closed")</f>
        <v>Closed</v>
      </c>
    </row>
    <row r="1168">
      <c r="A1168" s="3" t="s">
        <v>1181</v>
      </c>
      <c r="B1168" s="4">
        <f>IFERROR(__xludf.DUMMYFUNCTION("SPLIT(A1168,"","",0,0)"),45542.720138888886)</f>
        <v>45542.72014</v>
      </c>
      <c r="C1168" s="5">
        <f>IFERROR(__xludf.DUMMYFUNCTION("""COMPUTED_VALUE"""),2636718.0)</f>
        <v>2636718</v>
      </c>
      <c r="D1168" s="2" t="str">
        <f>IFERROR(__xludf.DUMMYFUNCTION("""COMPUTED_VALUE"""),"Sale")</f>
        <v>Sale</v>
      </c>
      <c r="E1168" s="2" t="str">
        <f>IFERROR(__xludf.DUMMYFUNCTION("""COMPUTED_VALUE"""),"Roti")</f>
        <v>Roti</v>
      </c>
      <c r="F1168" s="2">
        <f>IFERROR(__xludf.DUMMYFUNCTION("""COMPUTED_VALUE"""),10002.0)</f>
        <v>10002</v>
      </c>
      <c r="G1168" s="2" t="str">
        <f>IFERROR(__xludf.DUMMYFUNCTION("""COMPUTED_VALUE"""),"Roti Cranberry")</f>
        <v>Roti Cranberry</v>
      </c>
      <c r="H1168" s="2"/>
      <c r="I1168" s="2"/>
      <c r="J1168" s="2">
        <f>IFERROR(__xludf.DUMMYFUNCTION("""COMPUTED_VALUE"""),1.0)</f>
        <v>1</v>
      </c>
      <c r="K1168" s="6">
        <f>IFERROR(__xludf.DUMMYFUNCTION("""COMPUTED_VALUE"""),18571.0)</f>
        <v>18571</v>
      </c>
      <c r="L1168" s="2">
        <f>IFERROR(__xludf.DUMMYFUNCTION("""COMPUTED_VALUE"""),0.0)</f>
        <v>0</v>
      </c>
      <c r="M1168" s="2">
        <f>IFERROR(__xludf.DUMMYFUNCTION("""COMPUTED_VALUE"""),18571.0)</f>
        <v>18571</v>
      </c>
      <c r="N1168" s="2">
        <f>IFERROR(__xludf.DUMMYFUNCTION("""COMPUTED_VALUE"""),0.0)</f>
        <v>0</v>
      </c>
      <c r="O1168" s="2">
        <f>IFERROR(__xludf.DUMMYFUNCTION("""COMPUTED_VALUE"""),18571.0)</f>
        <v>18571</v>
      </c>
      <c r="P1168" s="2">
        <f>IFERROR(__xludf.DUMMYFUNCTION("""COMPUTED_VALUE"""),928.0)</f>
        <v>928</v>
      </c>
      <c r="Q1168" s="2" t="str">
        <f>IFERROR(__xludf.DUMMYFUNCTION("""COMPUTED_VALUE"""),"Dine In")</f>
        <v>Dine In</v>
      </c>
      <c r="R1168" s="2" t="str">
        <f>IFERROR(__xludf.DUMMYFUNCTION("""COMPUTED_VALUE"""),"Kedai")</f>
        <v>Kedai</v>
      </c>
      <c r="S1168" s="2" t="str">
        <f>IFERROR(__xludf.DUMMYFUNCTION("""COMPUTED_VALUE"""),"Temu Roti")</f>
        <v>Temu Roti</v>
      </c>
      <c r="T1168" s="2" t="str">
        <f>IFERROR(__xludf.DUMMYFUNCTION("""COMPUTED_VALUE"""),"Owner")</f>
        <v>Owner</v>
      </c>
      <c r="U1168" s="2"/>
      <c r="V1168" s="2"/>
      <c r="W1168" s="2"/>
      <c r="X1168" s="2" t="str">
        <f>IFERROR(__xludf.DUMMYFUNCTION("""COMPUTED_VALUE"""),"Closed")</f>
        <v>Closed</v>
      </c>
    </row>
    <row r="1169">
      <c r="A1169" s="3" t="s">
        <v>1182</v>
      </c>
      <c r="B1169" s="4">
        <f>IFERROR(__xludf.DUMMYFUNCTION("SPLIT(A1169,"","",0,0)"),45542.720138888886)</f>
        <v>45542.72014</v>
      </c>
      <c r="C1169" s="5">
        <f>IFERROR(__xludf.DUMMYFUNCTION("""COMPUTED_VALUE"""),2636718.0)</f>
        <v>2636718</v>
      </c>
      <c r="D1169" s="2" t="str">
        <f>IFERROR(__xludf.DUMMYFUNCTION("""COMPUTED_VALUE"""),"Sale")</f>
        <v>Sale</v>
      </c>
      <c r="E1169" s="2" t="str">
        <f>IFERROR(__xludf.DUMMYFUNCTION("""COMPUTED_VALUE"""),"Roti")</f>
        <v>Roti</v>
      </c>
      <c r="F1169" s="2">
        <f>IFERROR(__xludf.DUMMYFUNCTION("""COMPUTED_VALUE"""),10005.0)</f>
        <v>10005</v>
      </c>
      <c r="G1169" s="2" t="str">
        <f>IFERROR(__xludf.DUMMYFUNCTION("""COMPUTED_VALUE"""),"Roti Gandum Cokelat")</f>
        <v>Roti Gandum Cokelat</v>
      </c>
      <c r="H1169" s="2"/>
      <c r="I1169" s="2"/>
      <c r="J1169" s="2">
        <f>IFERROR(__xludf.DUMMYFUNCTION("""COMPUTED_VALUE"""),1.0)</f>
        <v>1</v>
      </c>
      <c r="K1169" s="6">
        <f>IFERROR(__xludf.DUMMYFUNCTION("""COMPUTED_VALUE"""),19524.0)</f>
        <v>19524</v>
      </c>
      <c r="L1169" s="2">
        <f>IFERROR(__xludf.DUMMYFUNCTION("""COMPUTED_VALUE"""),0.0)</f>
        <v>0</v>
      </c>
      <c r="M1169" s="2">
        <f>IFERROR(__xludf.DUMMYFUNCTION("""COMPUTED_VALUE"""),19524.0)</f>
        <v>19524</v>
      </c>
      <c r="N1169" s="2">
        <f>IFERROR(__xludf.DUMMYFUNCTION("""COMPUTED_VALUE"""),0.0)</f>
        <v>0</v>
      </c>
      <c r="O1169" s="2">
        <f>IFERROR(__xludf.DUMMYFUNCTION("""COMPUTED_VALUE"""),19524.0)</f>
        <v>19524</v>
      </c>
      <c r="P1169" s="2">
        <f>IFERROR(__xludf.DUMMYFUNCTION("""COMPUTED_VALUE"""),977.0)</f>
        <v>977</v>
      </c>
      <c r="Q1169" s="2" t="str">
        <f>IFERROR(__xludf.DUMMYFUNCTION("""COMPUTED_VALUE"""),"Dine In")</f>
        <v>Dine In</v>
      </c>
      <c r="R1169" s="2" t="str">
        <f>IFERROR(__xludf.DUMMYFUNCTION("""COMPUTED_VALUE"""),"Kedai")</f>
        <v>Kedai</v>
      </c>
      <c r="S1169" s="2" t="str">
        <f>IFERROR(__xludf.DUMMYFUNCTION("""COMPUTED_VALUE"""),"Temu Roti")</f>
        <v>Temu Roti</v>
      </c>
      <c r="T1169" s="2" t="str">
        <f>IFERROR(__xludf.DUMMYFUNCTION("""COMPUTED_VALUE"""),"Owner")</f>
        <v>Owner</v>
      </c>
      <c r="U1169" s="2"/>
      <c r="V1169" s="2"/>
      <c r="W1169" s="2"/>
      <c r="X1169" s="2" t="str">
        <f>IFERROR(__xludf.DUMMYFUNCTION("""COMPUTED_VALUE"""),"Closed")</f>
        <v>Closed</v>
      </c>
    </row>
    <row r="1170">
      <c r="A1170" s="3" t="s">
        <v>1183</v>
      </c>
      <c r="B1170" s="4">
        <f>IFERROR(__xludf.DUMMYFUNCTION("SPLIT(A1170,"","",0,0)"),45542.720138888886)</f>
        <v>45542.72014</v>
      </c>
      <c r="C1170" s="5">
        <f>IFERROR(__xludf.DUMMYFUNCTION("""COMPUTED_VALUE"""),2636718.0)</f>
        <v>2636718</v>
      </c>
      <c r="D1170" s="2" t="str">
        <f>IFERROR(__xludf.DUMMYFUNCTION("""COMPUTED_VALUE"""),"Sale")</f>
        <v>Sale</v>
      </c>
      <c r="E1170" s="2" t="str">
        <f>IFERROR(__xludf.DUMMYFUNCTION("""COMPUTED_VALUE"""),"Roti")</f>
        <v>Roti</v>
      </c>
      <c r="F1170" s="2">
        <f>IFERROR(__xludf.DUMMYFUNCTION("""COMPUTED_VALUE"""),10000.0)</f>
        <v>10000</v>
      </c>
      <c r="G1170" s="2" t="str">
        <f>IFERROR(__xludf.DUMMYFUNCTION("""COMPUTED_VALUE"""),"Roti Bawang Saus Keju")</f>
        <v>Roti Bawang Saus Keju</v>
      </c>
      <c r="H1170" s="2"/>
      <c r="I1170" s="2"/>
      <c r="J1170" s="2">
        <f>IFERROR(__xludf.DUMMYFUNCTION("""COMPUTED_VALUE"""),1.0)</f>
        <v>1</v>
      </c>
      <c r="K1170" s="6">
        <f>IFERROR(__xludf.DUMMYFUNCTION("""COMPUTED_VALUE"""),29524.0)</f>
        <v>29524</v>
      </c>
      <c r="L1170" s="2">
        <f>IFERROR(__xludf.DUMMYFUNCTION("""COMPUTED_VALUE"""),0.0)</f>
        <v>0</v>
      </c>
      <c r="M1170" s="2">
        <f>IFERROR(__xludf.DUMMYFUNCTION("""COMPUTED_VALUE"""),29524.0)</f>
        <v>29524</v>
      </c>
      <c r="N1170" s="2">
        <f>IFERROR(__xludf.DUMMYFUNCTION("""COMPUTED_VALUE"""),0.0)</f>
        <v>0</v>
      </c>
      <c r="O1170" s="2">
        <f>IFERROR(__xludf.DUMMYFUNCTION("""COMPUTED_VALUE"""),29524.0)</f>
        <v>29524</v>
      </c>
      <c r="P1170" s="2">
        <f>IFERROR(__xludf.DUMMYFUNCTION("""COMPUTED_VALUE"""),1476.0)</f>
        <v>1476</v>
      </c>
      <c r="Q1170" s="2" t="str">
        <f>IFERROR(__xludf.DUMMYFUNCTION("""COMPUTED_VALUE"""),"Dine In")</f>
        <v>Dine In</v>
      </c>
      <c r="R1170" s="2" t="str">
        <f>IFERROR(__xludf.DUMMYFUNCTION("""COMPUTED_VALUE"""),"Kedai")</f>
        <v>Kedai</v>
      </c>
      <c r="S1170" s="2" t="str">
        <f>IFERROR(__xludf.DUMMYFUNCTION("""COMPUTED_VALUE"""),"Temu Roti")</f>
        <v>Temu Roti</v>
      </c>
      <c r="T1170" s="2" t="str">
        <f>IFERROR(__xludf.DUMMYFUNCTION("""COMPUTED_VALUE"""),"Owner")</f>
        <v>Owner</v>
      </c>
      <c r="U1170" s="2"/>
      <c r="V1170" s="2"/>
      <c r="W1170" s="2"/>
      <c r="X1170" s="2" t="str">
        <f>IFERROR(__xludf.DUMMYFUNCTION("""COMPUTED_VALUE"""),"Closed")</f>
        <v>Closed</v>
      </c>
    </row>
    <row r="1171">
      <c r="A1171" s="3" t="s">
        <v>1184</v>
      </c>
      <c r="B1171" s="4">
        <f>IFERROR(__xludf.DUMMYFUNCTION("SPLIT(A1171,"","",0,0)"),45542.70416666667)</f>
        <v>45542.70417</v>
      </c>
      <c r="C1171" s="5">
        <f>IFERROR(__xludf.DUMMYFUNCTION("""COMPUTED_VALUE"""),2636353.0)</f>
        <v>2636353</v>
      </c>
      <c r="D1171" s="2" t="str">
        <f>IFERROR(__xludf.DUMMYFUNCTION("""COMPUTED_VALUE"""),"Sale")</f>
        <v>Sale</v>
      </c>
      <c r="E1171" s="2" t="str">
        <f>IFERROR(__xludf.DUMMYFUNCTION("""COMPUTED_VALUE"""),"Minuman")</f>
        <v>Minuman</v>
      </c>
      <c r="F1171" s="2">
        <f>IFERROR(__xludf.DUMMYFUNCTION("""COMPUTED_VALUE"""),10118.0)</f>
        <v>10118</v>
      </c>
      <c r="G1171" s="2" t="str">
        <f>IFERROR(__xludf.DUMMYFUNCTION("""COMPUTED_VALUE"""),"Teh Tawar Panas")</f>
        <v>Teh Tawar Panas</v>
      </c>
      <c r="H1171" s="2"/>
      <c r="I1171" s="2"/>
      <c r="J1171" s="2">
        <f>IFERROR(__xludf.DUMMYFUNCTION("""COMPUTED_VALUE"""),1.0)</f>
        <v>1</v>
      </c>
      <c r="K1171" s="6">
        <f>IFERROR(__xludf.DUMMYFUNCTION("""COMPUTED_VALUE"""),7143.0)</f>
        <v>7143</v>
      </c>
      <c r="L1171" s="2">
        <f>IFERROR(__xludf.DUMMYFUNCTION("""COMPUTED_VALUE"""),0.0)</f>
        <v>0</v>
      </c>
      <c r="M1171" s="2">
        <f>IFERROR(__xludf.DUMMYFUNCTION("""COMPUTED_VALUE"""),7143.0)</f>
        <v>7143</v>
      </c>
      <c r="N1171" s="2">
        <f>IFERROR(__xludf.DUMMYFUNCTION("""COMPUTED_VALUE"""),0.0)</f>
        <v>0</v>
      </c>
      <c r="O1171" s="2">
        <f>IFERROR(__xludf.DUMMYFUNCTION("""COMPUTED_VALUE"""),7143.0)</f>
        <v>7143</v>
      </c>
      <c r="P1171" s="2">
        <f>IFERROR(__xludf.DUMMYFUNCTION("""COMPUTED_VALUE"""),357.0)</f>
        <v>357</v>
      </c>
      <c r="Q1171" s="2" t="str">
        <f>IFERROR(__xludf.DUMMYFUNCTION("""COMPUTED_VALUE"""),"Dine In")</f>
        <v>Dine In</v>
      </c>
      <c r="R1171" s="2" t="str">
        <f>IFERROR(__xludf.DUMMYFUNCTION("""COMPUTED_VALUE"""),"Kedai")</f>
        <v>Kedai</v>
      </c>
      <c r="S1171" s="2" t="str">
        <f>IFERROR(__xludf.DUMMYFUNCTION("""COMPUTED_VALUE"""),"Temu Roti")</f>
        <v>Temu Roti</v>
      </c>
      <c r="T1171" s="2" t="str">
        <f>IFERROR(__xludf.DUMMYFUNCTION("""COMPUTED_VALUE"""),"Owner")</f>
        <v>Owner</v>
      </c>
      <c r="U1171" s="2"/>
      <c r="V1171" s="2"/>
      <c r="W1171" s="2"/>
      <c r="X1171" s="2" t="str">
        <f>IFERROR(__xludf.DUMMYFUNCTION("""COMPUTED_VALUE"""),"Closed")</f>
        <v>Closed</v>
      </c>
    </row>
    <row r="1172">
      <c r="A1172" s="3" t="s">
        <v>1185</v>
      </c>
      <c r="B1172" s="4">
        <f>IFERROR(__xludf.DUMMYFUNCTION("SPLIT(A1172,"","",0,0)"),45542.70416666667)</f>
        <v>45542.70417</v>
      </c>
      <c r="C1172" s="5">
        <f>IFERROR(__xludf.DUMMYFUNCTION("""COMPUTED_VALUE"""),2636353.0)</f>
        <v>2636353</v>
      </c>
      <c r="D1172" s="2" t="str">
        <f>IFERROR(__xludf.DUMMYFUNCTION("""COMPUTED_VALUE"""),"Sale")</f>
        <v>Sale</v>
      </c>
      <c r="E1172" s="2" t="str">
        <f>IFERROR(__xludf.DUMMYFUNCTION("""COMPUTED_VALUE"""),"Roti")</f>
        <v>Roti</v>
      </c>
      <c r="F1172" s="2">
        <f>IFERROR(__xludf.DUMMYFUNCTION("""COMPUTED_VALUE"""),10002.0)</f>
        <v>10002</v>
      </c>
      <c r="G1172" s="2" t="str">
        <f>IFERROR(__xludf.DUMMYFUNCTION("""COMPUTED_VALUE"""),"Roti Cranberry")</f>
        <v>Roti Cranberry</v>
      </c>
      <c r="H1172" s="2"/>
      <c r="I1172" s="2"/>
      <c r="J1172" s="2">
        <f>IFERROR(__xludf.DUMMYFUNCTION("""COMPUTED_VALUE"""),1.0)</f>
        <v>1</v>
      </c>
      <c r="K1172" s="6">
        <f>IFERROR(__xludf.DUMMYFUNCTION("""COMPUTED_VALUE"""),18571.0)</f>
        <v>18571</v>
      </c>
      <c r="L1172" s="2">
        <f>IFERROR(__xludf.DUMMYFUNCTION("""COMPUTED_VALUE"""),0.0)</f>
        <v>0</v>
      </c>
      <c r="M1172" s="2">
        <f>IFERROR(__xludf.DUMMYFUNCTION("""COMPUTED_VALUE"""),18571.0)</f>
        <v>18571</v>
      </c>
      <c r="N1172" s="2">
        <f>IFERROR(__xludf.DUMMYFUNCTION("""COMPUTED_VALUE"""),0.0)</f>
        <v>0</v>
      </c>
      <c r="O1172" s="2">
        <f>IFERROR(__xludf.DUMMYFUNCTION("""COMPUTED_VALUE"""),18571.0)</f>
        <v>18571</v>
      </c>
      <c r="P1172" s="2">
        <f>IFERROR(__xludf.DUMMYFUNCTION("""COMPUTED_VALUE"""),929.0)</f>
        <v>929</v>
      </c>
      <c r="Q1172" s="2" t="str">
        <f>IFERROR(__xludf.DUMMYFUNCTION("""COMPUTED_VALUE"""),"Dine In")</f>
        <v>Dine In</v>
      </c>
      <c r="R1172" s="2" t="str">
        <f>IFERROR(__xludf.DUMMYFUNCTION("""COMPUTED_VALUE"""),"Kedai")</f>
        <v>Kedai</v>
      </c>
      <c r="S1172" s="2" t="str">
        <f>IFERROR(__xludf.DUMMYFUNCTION("""COMPUTED_VALUE"""),"Temu Roti")</f>
        <v>Temu Roti</v>
      </c>
      <c r="T1172" s="2" t="str">
        <f>IFERROR(__xludf.DUMMYFUNCTION("""COMPUTED_VALUE"""),"Owner")</f>
        <v>Owner</v>
      </c>
      <c r="U1172" s="2"/>
      <c r="V1172" s="2"/>
      <c r="W1172" s="2"/>
      <c r="X1172" s="2" t="str">
        <f>IFERROR(__xludf.DUMMYFUNCTION("""COMPUTED_VALUE"""),"Closed")</f>
        <v>Closed</v>
      </c>
    </row>
    <row r="1173">
      <c r="A1173" s="3" t="s">
        <v>1186</v>
      </c>
      <c r="B1173" s="4">
        <f>IFERROR(__xludf.DUMMYFUNCTION("SPLIT(A1173,"","",0,0)"),45542.70416666667)</f>
        <v>45542.70417</v>
      </c>
      <c r="C1173" s="5">
        <f>IFERROR(__xludf.DUMMYFUNCTION("""COMPUTED_VALUE"""),2636353.0)</f>
        <v>2636353</v>
      </c>
      <c r="D1173" s="2" t="str">
        <f>IFERROR(__xludf.DUMMYFUNCTION("""COMPUTED_VALUE"""),"Sale")</f>
        <v>Sale</v>
      </c>
      <c r="E1173" s="2" t="str">
        <f>IFERROR(__xludf.DUMMYFUNCTION("""COMPUTED_VALUE"""),"Kudapan")</f>
        <v>Kudapan</v>
      </c>
      <c r="F1173" s="2">
        <f>IFERROR(__xludf.DUMMYFUNCTION("""COMPUTED_VALUE"""),10014.0)</f>
        <v>10014</v>
      </c>
      <c r="G1173" s="2" t="str">
        <f>IFERROR(__xludf.DUMMYFUNCTION("""COMPUTED_VALUE"""),"Tempe Mendoan")</f>
        <v>Tempe Mendoan</v>
      </c>
      <c r="H1173" s="2"/>
      <c r="I1173" s="2"/>
      <c r="J1173" s="2">
        <f>IFERROR(__xludf.DUMMYFUNCTION("""COMPUTED_VALUE"""),1.0)</f>
        <v>1</v>
      </c>
      <c r="K1173" s="6">
        <f>IFERROR(__xludf.DUMMYFUNCTION("""COMPUTED_VALUE"""),25238.0)</f>
        <v>25238</v>
      </c>
      <c r="L1173" s="2">
        <f>IFERROR(__xludf.DUMMYFUNCTION("""COMPUTED_VALUE"""),0.0)</f>
        <v>0</v>
      </c>
      <c r="M1173" s="2">
        <f>IFERROR(__xludf.DUMMYFUNCTION("""COMPUTED_VALUE"""),25238.0)</f>
        <v>25238</v>
      </c>
      <c r="N1173" s="2">
        <f>IFERROR(__xludf.DUMMYFUNCTION("""COMPUTED_VALUE"""),0.0)</f>
        <v>0</v>
      </c>
      <c r="O1173" s="2">
        <f>IFERROR(__xludf.DUMMYFUNCTION("""COMPUTED_VALUE"""),25238.0)</f>
        <v>25238</v>
      </c>
      <c r="P1173" s="2">
        <f>IFERROR(__xludf.DUMMYFUNCTION("""COMPUTED_VALUE"""),1262.0)</f>
        <v>1262</v>
      </c>
      <c r="Q1173" s="2" t="str">
        <f>IFERROR(__xludf.DUMMYFUNCTION("""COMPUTED_VALUE"""),"Dine In")</f>
        <v>Dine In</v>
      </c>
      <c r="R1173" s="2" t="str">
        <f>IFERROR(__xludf.DUMMYFUNCTION("""COMPUTED_VALUE"""),"Kedai")</f>
        <v>Kedai</v>
      </c>
      <c r="S1173" s="2" t="str">
        <f>IFERROR(__xludf.DUMMYFUNCTION("""COMPUTED_VALUE"""),"Temu Roti")</f>
        <v>Temu Roti</v>
      </c>
      <c r="T1173" s="2" t="str">
        <f>IFERROR(__xludf.DUMMYFUNCTION("""COMPUTED_VALUE"""),"Owner")</f>
        <v>Owner</v>
      </c>
      <c r="U1173" s="2"/>
      <c r="V1173" s="2"/>
      <c r="W1173" s="2"/>
      <c r="X1173" s="2" t="str">
        <f>IFERROR(__xludf.DUMMYFUNCTION("""COMPUTED_VALUE"""),"Closed")</f>
        <v>Closed</v>
      </c>
    </row>
    <row r="1174">
      <c r="A1174" s="3" t="s">
        <v>1187</v>
      </c>
      <c r="B1174" s="4">
        <f>IFERROR(__xludf.DUMMYFUNCTION("SPLIT(A1174,"","",0,0)"),45542.70416666667)</f>
        <v>45542.70417</v>
      </c>
      <c r="C1174" s="5">
        <f>IFERROR(__xludf.DUMMYFUNCTION("""COMPUTED_VALUE"""),2636353.0)</f>
        <v>2636353</v>
      </c>
      <c r="D1174" s="2" t="str">
        <f>IFERROR(__xludf.DUMMYFUNCTION("""COMPUTED_VALUE"""),"Sale")</f>
        <v>Sale</v>
      </c>
      <c r="E1174" s="2" t="str">
        <f>IFERROR(__xludf.DUMMYFUNCTION("""COMPUTED_VALUE"""),"Minuman")</f>
        <v>Minuman</v>
      </c>
      <c r="F1174" s="2">
        <f>IFERROR(__xludf.DUMMYFUNCTION("""COMPUTED_VALUE"""),10107.0)</f>
        <v>10107</v>
      </c>
      <c r="G1174" s="2" t="str">
        <f>IFERROR(__xludf.DUMMYFUNCTION("""COMPUTED_VALUE"""),"Korean Mango Fresh Milk")</f>
        <v>Korean Mango Fresh Milk</v>
      </c>
      <c r="H1174" s="2"/>
      <c r="I1174" s="2"/>
      <c r="J1174" s="2">
        <f>IFERROR(__xludf.DUMMYFUNCTION("""COMPUTED_VALUE"""),1.0)</f>
        <v>1</v>
      </c>
      <c r="K1174" s="6">
        <f>IFERROR(__xludf.DUMMYFUNCTION("""COMPUTED_VALUE"""),26667.0)</f>
        <v>26667</v>
      </c>
      <c r="L1174" s="2">
        <f>IFERROR(__xludf.DUMMYFUNCTION("""COMPUTED_VALUE"""),0.0)</f>
        <v>0</v>
      </c>
      <c r="M1174" s="2">
        <f>IFERROR(__xludf.DUMMYFUNCTION("""COMPUTED_VALUE"""),26667.0)</f>
        <v>26667</v>
      </c>
      <c r="N1174" s="2">
        <f>IFERROR(__xludf.DUMMYFUNCTION("""COMPUTED_VALUE"""),0.0)</f>
        <v>0</v>
      </c>
      <c r="O1174" s="2">
        <f>IFERROR(__xludf.DUMMYFUNCTION("""COMPUTED_VALUE"""),26667.0)</f>
        <v>26667</v>
      </c>
      <c r="P1174" s="2">
        <f>IFERROR(__xludf.DUMMYFUNCTION("""COMPUTED_VALUE"""),1333.0)</f>
        <v>1333</v>
      </c>
      <c r="Q1174" s="2" t="str">
        <f>IFERROR(__xludf.DUMMYFUNCTION("""COMPUTED_VALUE"""),"Dine In")</f>
        <v>Dine In</v>
      </c>
      <c r="R1174" s="2" t="str">
        <f>IFERROR(__xludf.DUMMYFUNCTION("""COMPUTED_VALUE"""),"Kedai")</f>
        <v>Kedai</v>
      </c>
      <c r="S1174" s="2" t="str">
        <f>IFERROR(__xludf.DUMMYFUNCTION("""COMPUTED_VALUE"""),"Temu Roti")</f>
        <v>Temu Roti</v>
      </c>
      <c r="T1174" s="2" t="str">
        <f>IFERROR(__xludf.DUMMYFUNCTION("""COMPUTED_VALUE"""),"Owner")</f>
        <v>Owner</v>
      </c>
      <c r="U1174" s="2"/>
      <c r="V1174" s="2"/>
      <c r="W1174" s="2"/>
      <c r="X1174" s="2" t="str">
        <f>IFERROR(__xludf.DUMMYFUNCTION("""COMPUTED_VALUE"""),"Closed")</f>
        <v>Closed</v>
      </c>
    </row>
    <row r="1175">
      <c r="A1175" s="3" t="s">
        <v>1188</v>
      </c>
      <c r="B1175" s="4">
        <f>IFERROR(__xludf.DUMMYFUNCTION("SPLIT(A1175,"","",0,0)"),45542.68958333333)</f>
        <v>45542.68958</v>
      </c>
      <c r="C1175" s="5">
        <f>IFERROR(__xludf.DUMMYFUNCTION("""COMPUTED_VALUE"""),2635988.0)</f>
        <v>2635988</v>
      </c>
      <c r="D1175" s="2" t="str">
        <f>IFERROR(__xludf.DUMMYFUNCTION("""COMPUTED_VALUE"""),"Sale")</f>
        <v>Sale</v>
      </c>
      <c r="E1175" s="2" t="str">
        <f>IFERROR(__xludf.DUMMYFUNCTION("""COMPUTED_VALUE"""),"Kudapan")</f>
        <v>Kudapan</v>
      </c>
      <c r="F1175" s="2">
        <f>IFERROR(__xludf.DUMMYFUNCTION("""COMPUTED_VALUE"""),10051.0)</f>
        <v>10051</v>
      </c>
      <c r="G1175" s="2" t="str">
        <f>IFERROR(__xludf.DUMMYFUNCTION("""COMPUTED_VALUE"""),"Tahu baso")</f>
        <v>Tahu baso</v>
      </c>
      <c r="H1175" s="2"/>
      <c r="I1175" s="2"/>
      <c r="J1175" s="2">
        <f>IFERROR(__xludf.DUMMYFUNCTION("""COMPUTED_VALUE"""),1.0)</f>
        <v>1</v>
      </c>
      <c r="K1175" s="6">
        <f>IFERROR(__xludf.DUMMYFUNCTION("""COMPUTED_VALUE"""),25238.0)</f>
        <v>25238</v>
      </c>
      <c r="L1175" s="2">
        <f>IFERROR(__xludf.DUMMYFUNCTION("""COMPUTED_VALUE"""),0.0)</f>
        <v>0</v>
      </c>
      <c r="M1175" s="2">
        <f>IFERROR(__xludf.DUMMYFUNCTION("""COMPUTED_VALUE"""),25238.0)</f>
        <v>25238</v>
      </c>
      <c r="N1175" s="2">
        <f>IFERROR(__xludf.DUMMYFUNCTION("""COMPUTED_VALUE"""),0.0)</f>
        <v>0</v>
      </c>
      <c r="O1175" s="2">
        <f>IFERROR(__xludf.DUMMYFUNCTION("""COMPUTED_VALUE"""),25238.0)</f>
        <v>25238</v>
      </c>
      <c r="P1175" s="2">
        <f>IFERROR(__xludf.DUMMYFUNCTION("""COMPUTED_VALUE"""),1262.0)</f>
        <v>1262</v>
      </c>
      <c r="Q1175" s="2" t="str">
        <f>IFERROR(__xludf.DUMMYFUNCTION("""COMPUTED_VALUE"""),"Dine In")</f>
        <v>Dine In</v>
      </c>
      <c r="R1175" s="2" t="str">
        <f>IFERROR(__xludf.DUMMYFUNCTION("""COMPUTED_VALUE"""),"Kedai")</f>
        <v>Kedai</v>
      </c>
      <c r="S1175" s="2" t="str">
        <f>IFERROR(__xludf.DUMMYFUNCTION("""COMPUTED_VALUE"""),"Temu Roti")</f>
        <v>Temu Roti</v>
      </c>
      <c r="T1175" s="2" t="str">
        <f>IFERROR(__xludf.DUMMYFUNCTION("""COMPUTED_VALUE"""),"Owner")</f>
        <v>Owner</v>
      </c>
      <c r="U1175" s="2"/>
      <c r="V1175" s="2"/>
      <c r="W1175" s="2"/>
      <c r="X1175" s="2" t="str">
        <f>IFERROR(__xludf.DUMMYFUNCTION("""COMPUTED_VALUE"""),"Closed")</f>
        <v>Closed</v>
      </c>
    </row>
    <row r="1176">
      <c r="A1176" s="3" t="s">
        <v>1189</v>
      </c>
      <c r="B1176" s="4">
        <f>IFERROR(__xludf.DUMMYFUNCTION("SPLIT(A1176,"","",0,0)"),45542.686111111114)</f>
        <v>45542.68611</v>
      </c>
      <c r="C1176" s="5">
        <f>IFERROR(__xludf.DUMMYFUNCTION("""COMPUTED_VALUE"""),2635622.0)</f>
        <v>2635622</v>
      </c>
      <c r="D1176" s="2" t="str">
        <f>IFERROR(__xludf.DUMMYFUNCTION("""COMPUTED_VALUE"""),"Sale")</f>
        <v>Sale</v>
      </c>
      <c r="E1176" s="2" t="str">
        <f>IFERROR(__xludf.DUMMYFUNCTION("""COMPUTED_VALUE"""),"Minuman")</f>
        <v>Minuman</v>
      </c>
      <c r="F1176" s="2">
        <f>IFERROR(__xludf.DUMMYFUNCTION("""COMPUTED_VALUE"""),10128.0)</f>
        <v>10128</v>
      </c>
      <c r="G1176" s="2" t="str">
        <f>IFERROR(__xludf.DUMMYFUNCTION("""COMPUTED_VALUE"""),"Es Kopi Susu")</f>
        <v>Es Kopi Susu</v>
      </c>
      <c r="H1176" s="2"/>
      <c r="I1176" s="2"/>
      <c r="J1176" s="2">
        <f>IFERROR(__xludf.DUMMYFUNCTION("""COMPUTED_VALUE"""),1.0)</f>
        <v>1</v>
      </c>
      <c r="K1176" s="6">
        <f>IFERROR(__xludf.DUMMYFUNCTION("""COMPUTED_VALUE"""),23333.0)</f>
        <v>23333</v>
      </c>
      <c r="L1176" s="2">
        <f>IFERROR(__xludf.DUMMYFUNCTION("""COMPUTED_VALUE"""),0.0)</f>
        <v>0</v>
      </c>
      <c r="M1176" s="2">
        <f>IFERROR(__xludf.DUMMYFUNCTION("""COMPUTED_VALUE"""),23333.0)</f>
        <v>23333</v>
      </c>
      <c r="N1176" s="2">
        <f>IFERROR(__xludf.DUMMYFUNCTION("""COMPUTED_VALUE"""),0.0)</f>
        <v>0</v>
      </c>
      <c r="O1176" s="2">
        <f>IFERROR(__xludf.DUMMYFUNCTION("""COMPUTED_VALUE"""),23333.0)</f>
        <v>23333</v>
      </c>
      <c r="P1176" s="2">
        <f>IFERROR(__xludf.DUMMYFUNCTION("""COMPUTED_VALUE"""),1167.0)</f>
        <v>1167</v>
      </c>
      <c r="Q1176" s="2" t="str">
        <f>IFERROR(__xludf.DUMMYFUNCTION("""COMPUTED_VALUE"""),"Dine In")</f>
        <v>Dine In</v>
      </c>
      <c r="R1176" s="2" t="str">
        <f>IFERROR(__xludf.DUMMYFUNCTION("""COMPUTED_VALUE"""),"Kedai")</f>
        <v>Kedai</v>
      </c>
      <c r="S1176" s="2" t="str">
        <f>IFERROR(__xludf.DUMMYFUNCTION("""COMPUTED_VALUE"""),"Temu Roti")</f>
        <v>Temu Roti</v>
      </c>
      <c r="T1176" s="2" t="str">
        <f>IFERROR(__xludf.DUMMYFUNCTION("""COMPUTED_VALUE"""),"Owner")</f>
        <v>Owner</v>
      </c>
      <c r="U1176" s="2"/>
      <c r="V1176" s="2"/>
      <c r="W1176" s="2"/>
      <c r="X1176" s="2" t="str">
        <f>IFERROR(__xludf.DUMMYFUNCTION("""COMPUTED_VALUE"""),"Closed")</f>
        <v>Closed</v>
      </c>
    </row>
    <row r="1177">
      <c r="A1177" s="3" t="s">
        <v>1190</v>
      </c>
      <c r="B1177" s="4">
        <f>IFERROR(__xludf.DUMMYFUNCTION("SPLIT(A1177,"","",0,0)"),45542.686111111114)</f>
        <v>45542.68611</v>
      </c>
      <c r="C1177" s="5">
        <f>IFERROR(__xludf.DUMMYFUNCTION("""COMPUTED_VALUE"""),2635622.0)</f>
        <v>2635622</v>
      </c>
      <c r="D1177" s="2" t="str">
        <f>IFERROR(__xludf.DUMMYFUNCTION("""COMPUTED_VALUE"""),"Sale")</f>
        <v>Sale</v>
      </c>
      <c r="E1177" s="2" t="str">
        <f>IFERROR(__xludf.DUMMYFUNCTION("""COMPUTED_VALUE"""),"Hidangan Utama")</f>
        <v>Hidangan Utama</v>
      </c>
      <c r="F1177" s="2">
        <f>IFERROR(__xludf.DUMMYFUNCTION("""COMPUTED_VALUE"""),10012.0)</f>
        <v>10012</v>
      </c>
      <c r="G1177" s="2" t="str">
        <f>IFERROR(__xludf.DUMMYFUNCTION("""COMPUTED_VALUE"""),"Mie joglo")</f>
        <v>Mie joglo</v>
      </c>
      <c r="H1177" s="2"/>
      <c r="I1177" s="2"/>
      <c r="J1177" s="2">
        <f>IFERROR(__xludf.DUMMYFUNCTION("""COMPUTED_VALUE"""),1.0)</f>
        <v>1</v>
      </c>
      <c r="K1177" s="6">
        <f>IFERROR(__xludf.DUMMYFUNCTION("""COMPUTED_VALUE"""),29524.0)</f>
        <v>29524</v>
      </c>
      <c r="L1177" s="2">
        <f>IFERROR(__xludf.DUMMYFUNCTION("""COMPUTED_VALUE"""),0.0)</f>
        <v>0</v>
      </c>
      <c r="M1177" s="2">
        <f>IFERROR(__xludf.DUMMYFUNCTION("""COMPUTED_VALUE"""),29524.0)</f>
        <v>29524</v>
      </c>
      <c r="N1177" s="2">
        <f>IFERROR(__xludf.DUMMYFUNCTION("""COMPUTED_VALUE"""),0.0)</f>
        <v>0</v>
      </c>
      <c r="O1177" s="2">
        <f>IFERROR(__xludf.DUMMYFUNCTION("""COMPUTED_VALUE"""),29524.0)</f>
        <v>29524</v>
      </c>
      <c r="P1177" s="2">
        <f>IFERROR(__xludf.DUMMYFUNCTION("""COMPUTED_VALUE"""),1476.0)</f>
        <v>1476</v>
      </c>
      <c r="Q1177" s="2" t="str">
        <f>IFERROR(__xludf.DUMMYFUNCTION("""COMPUTED_VALUE"""),"Dine In")</f>
        <v>Dine In</v>
      </c>
      <c r="R1177" s="2" t="str">
        <f>IFERROR(__xludf.DUMMYFUNCTION("""COMPUTED_VALUE"""),"Kedai")</f>
        <v>Kedai</v>
      </c>
      <c r="S1177" s="2" t="str">
        <f>IFERROR(__xludf.DUMMYFUNCTION("""COMPUTED_VALUE"""),"Temu Roti")</f>
        <v>Temu Roti</v>
      </c>
      <c r="T1177" s="2" t="str">
        <f>IFERROR(__xludf.DUMMYFUNCTION("""COMPUTED_VALUE"""),"Owner")</f>
        <v>Owner</v>
      </c>
      <c r="U1177" s="2"/>
      <c r="V1177" s="2"/>
      <c r="W1177" s="2"/>
      <c r="X1177" s="2" t="str">
        <f>IFERROR(__xludf.DUMMYFUNCTION("""COMPUTED_VALUE"""),"Closed")</f>
        <v>Closed</v>
      </c>
    </row>
    <row r="1178">
      <c r="A1178" s="3" t="s">
        <v>1191</v>
      </c>
      <c r="B1178" s="4">
        <f>IFERROR(__xludf.DUMMYFUNCTION("SPLIT(A1178,"","",0,0)"),45542.686111111114)</f>
        <v>45542.68611</v>
      </c>
      <c r="C1178" s="5">
        <f>IFERROR(__xludf.DUMMYFUNCTION("""COMPUTED_VALUE"""),2635622.0)</f>
        <v>2635622</v>
      </c>
      <c r="D1178" s="2" t="str">
        <f>IFERROR(__xludf.DUMMYFUNCTION("""COMPUTED_VALUE"""),"Sale")</f>
        <v>Sale</v>
      </c>
      <c r="E1178" s="2" t="str">
        <f>IFERROR(__xludf.DUMMYFUNCTION("""COMPUTED_VALUE"""),"Roti")</f>
        <v>Roti</v>
      </c>
      <c r="F1178" s="2">
        <f>IFERROR(__xludf.DUMMYFUNCTION("""COMPUTED_VALUE"""),10002.0)</f>
        <v>10002</v>
      </c>
      <c r="G1178" s="2" t="str">
        <f>IFERROR(__xludf.DUMMYFUNCTION("""COMPUTED_VALUE"""),"Roti Cranberry")</f>
        <v>Roti Cranberry</v>
      </c>
      <c r="H1178" s="2"/>
      <c r="I1178" s="2"/>
      <c r="J1178" s="2">
        <f>IFERROR(__xludf.DUMMYFUNCTION("""COMPUTED_VALUE"""),1.0)</f>
        <v>1</v>
      </c>
      <c r="K1178" s="6">
        <f>IFERROR(__xludf.DUMMYFUNCTION("""COMPUTED_VALUE"""),18571.0)</f>
        <v>18571</v>
      </c>
      <c r="L1178" s="2">
        <f>IFERROR(__xludf.DUMMYFUNCTION("""COMPUTED_VALUE"""),0.0)</f>
        <v>0</v>
      </c>
      <c r="M1178" s="2">
        <f>IFERROR(__xludf.DUMMYFUNCTION("""COMPUTED_VALUE"""),18571.0)</f>
        <v>18571</v>
      </c>
      <c r="N1178" s="2">
        <f>IFERROR(__xludf.DUMMYFUNCTION("""COMPUTED_VALUE"""),0.0)</f>
        <v>0</v>
      </c>
      <c r="O1178" s="2">
        <f>IFERROR(__xludf.DUMMYFUNCTION("""COMPUTED_VALUE"""),18571.0)</f>
        <v>18571</v>
      </c>
      <c r="P1178" s="2">
        <f>IFERROR(__xludf.DUMMYFUNCTION("""COMPUTED_VALUE"""),928.0)</f>
        <v>928</v>
      </c>
      <c r="Q1178" s="2" t="str">
        <f>IFERROR(__xludf.DUMMYFUNCTION("""COMPUTED_VALUE"""),"Dine In")</f>
        <v>Dine In</v>
      </c>
      <c r="R1178" s="2" t="str">
        <f>IFERROR(__xludf.DUMMYFUNCTION("""COMPUTED_VALUE"""),"Kedai")</f>
        <v>Kedai</v>
      </c>
      <c r="S1178" s="2" t="str">
        <f>IFERROR(__xludf.DUMMYFUNCTION("""COMPUTED_VALUE"""),"Temu Roti")</f>
        <v>Temu Roti</v>
      </c>
      <c r="T1178" s="2" t="str">
        <f>IFERROR(__xludf.DUMMYFUNCTION("""COMPUTED_VALUE"""),"Owner")</f>
        <v>Owner</v>
      </c>
      <c r="U1178" s="2"/>
      <c r="V1178" s="2"/>
      <c r="W1178" s="2"/>
      <c r="X1178" s="2" t="str">
        <f>IFERROR(__xludf.DUMMYFUNCTION("""COMPUTED_VALUE"""),"Closed")</f>
        <v>Closed</v>
      </c>
    </row>
    <row r="1179">
      <c r="A1179" s="3" t="s">
        <v>1192</v>
      </c>
      <c r="B1179" s="4">
        <f>IFERROR(__xludf.DUMMYFUNCTION("SPLIT(A1179,"","",0,0)"),45542.686111111114)</f>
        <v>45542.68611</v>
      </c>
      <c r="C1179" s="5">
        <f>IFERROR(__xludf.DUMMYFUNCTION("""COMPUTED_VALUE"""),2635622.0)</f>
        <v>2635622</v>
      </c>
      <c r="D1179" s="2" t="str">
        <f>IFERROR(__xludf.DUMMYFUNCTION("""COMPUTED_VALUE"""),"Sale")</f>
        <v>Sale</v>
      </c>
      <c r="E1179" s="2" t="str">
        <f>IFERROR(__xludf.DUMMYFUNCTION("""COMPUTED_VALUE"""),"Roti")</f>
        <v>Roti</v>
      </c>
      <c r="F1179" s="2">
        <f>IFERROR(__xludf.DUMMYFUNCTION("""COMPUTED_VALUE"""),10054.0)</f>
        <v>10054</v>
      </c>
      <c r="G1179" s="2" t="str">
        <f>IFERROR(__xludf.DUMMYFUNCTION("""COMPUTED_VALUE"""),"Roti toast eskrim")</f>
        <v>Roti toast eskrim</v>
      </c>
      <c r="H1179" s="2"/>
      <c r="I1179" s="2"/>
      <c r="J1179" s="2">
        <f>IFERROR(__xludf.DUMMYFUNCTION("""COMPUTED_VALUE"""),1.0)</f>
        <v>1</v>
      </c>
      <c r="K1179" s="6">
        <f>IFERROR(__xludf.DUMMYFUNCTION("""COMPUTED_VALUE"""),25238.0)</f>
        <v>25238</v>
      </c>
      <c r="L1179" s="2">
        <f>IFERROR(__xludf.DUMMYFUNCTION("""COMPUTED_VALUE"""),0.0)</f>
        <v>0</v>
      </c>
      <c r="M1179" s="2">
        <f>IFERROR(__xludf.DUMMYFUNCTION("""COMPUTED_VALUE"""),25238.0)</f>
        <v>25238</v>
      </c>
      <c r="N1179" s="2">
        <f>IFERROR(__xludf.DUMMYFUNCTION("""COMPUTED_VALUE"""),0.0)</f>
        <v>0</v>
      </c>
      <c r="O1179" s="2">
        <f>IFERROR(__xludf.DUMMYFUNCTION("""COMPUTED_VALUE"""),25238.0)</f>
        <v>25238</v>
      </c>
      <c r="P1179" s="2">
        <f>IFERROR(__xludf.DUMMYFUNCTION("""COMPUTED_VALUE"""),1262.0)</f>
        <v>1262</v>
      </c>
      <c r="Q1179" s="2" t="str">
        <f>IFERROR(__xludf.DUMMYFUNCTION("""COMPUTED_VALUE"""),"Dine In")</f>
        <v>Dine In</v>
      </c>
      <c r="R1179" s="2" t="str">
        <f>IFERROR(__xludf.DUMMYFUNCTION("""COMPUTED_VALUE"""),"Kedai")</f>
        <v>Kedai</v>
      </c>
      <c r="S1179" s="2" t="str">
        <f>IFERROR(__xludf.DUMMYFUNCTION("""COMPUTED_VALUE"""),"Temu Roti")</f>
        <v>Temu Roti</v>
      </c>
      <c r="T1179" s="2" t="str">
        <f>IFERROR(__xludf.DUMMYFUNCTION("""COMPUTED_VALUE"""),"Owner")</f>
        <v>Owner</v>
      </c>
      <c r="U1179" s="2"/>
      <c r="V1179" s="2"/>
      <c r="W1179" s="2"/>
      <c r="X1179" s="2" t="str">
        <f>IFERROR(__xludf.DUMMYFUNCTION("""COMPUTED_VALUE"""),"Closed")</f>
        <v>Closed</v>
      </c>
    </row>
    <row r="1180">
      <c r="A1180" s="3" t="s">
        <v>1189</v>
      </c>
      <c r="B1180" s="4">
        <f>IFERROR(__xludf.DUMMYFUNCTION("SPLIT(A1180,"","",0,0)"),45542.686111111114)</f>
        <v>45542.68611</v>
      </c>
      <c r="C1180" s="5">
        <f>IFERROR(__xludf.DUMMYFUNCTION("""COMPUTED_VALUE"""),2635622.0)</f>
        <v>2635622</v>
      </c>
      <c r="D1180" s="2" t="str">
        <f>IFERROR(__xludf.DUMMYFUNCTION("""COMPUTED_VALUE"""),"Sale")</f>
        <v>Sale</v>
      </c>
      <c r="E1180" s="2" t="str">
        <f>IFERROR(__xludf.DUMMYFUNCTION("""COMPUTED_VALUE"""),"Minuman")</f>
        <v>Minuman</v>
      </c>
      <c r="F1180" s="2">
        <f>IFERROR(__xludf.DUMMYFUNCTION("""COMPUTED_VALUE"""),10128.0)</f>
        <v>10128</v>
      </c>
      <c r="G1180" s="2" t="str">
        <f>IFERROR(__xludf.DUMMYFUNCTION("""COMPUTED_VALUE"""),"Es Kopi Susu")</f>
        <v>Es Kopi Susu</v>
      </c>
      <c r="H1180" s="2"/>
      <c r="I1180" s="2"/>
      <c r="J1180" s="2">
        <f>IFERROR(__xludf.DUMMYFUNCTION("""COMPUTED_VALUE"""),1.0)</f>
        <v>1</v>
      </c>
      <c r="K1180" s="6">
        <f>IFERROR(__xludf.DUMMYFUNCTION("""COMPUTED_VALUE"""),23333.0)</f>
        <v>23333</v>
      </c>
      <c r="L1180" s="2">
        <f>IFERROR(__xludf.DUMMYFUNCTION("""COMPUTED_VALUE"""),0.0)</f>
        <v>0</v>
      </c>
      <c r="M1180" s="2">
        <f>IFERROR(__xludf.DUMMYFUNCTION("""COMPUTED_VALUE"""),23333.0)</f>
        <v>23333</v>
      </c>
      <c r="N1180" s="2">
        <f>IFERROR(__xludf.DUMMYFUNCTION("""COMPUTED_VALUE"""),0.0)</f>
        <v>0</v>
      </c>
      <c r="O1180" s="2">
        <f>IFERROR(__xludf.DUMMYFUNCTION("""COMPUTED_VALUE"""),23333.0)</f>
        <v>23333</v>
      </c>
      <c r="P1180" s="2">
        <f>IFERROR(__xludf.DUMMYFUNCTION("""COMPUTED_VALUE"""),1167.0)</f>
        <v>1167</v>
      </c>
      <c r="Q1180" s="2" t="str">
        <f>IFERROR(__xludf.DUMMYFUNCTION("""COMPUTED_VALUE"""),"Dine In")</f>
        <v>Dine In</v>
      </c>
      <c r="R1180" s="2" t="str">
        <f>IFERROR(__xludf.DUMMYFUNCTION("""COMPUTED_VALUE"""),"Kedai")</f>
        <v>Kedai</v>
      </c>
      <c r="S1180" s="2" t="str">
        <f>IFERROR(__xludf.DUMMYFUNCTION("""COMPUTED_VALUE"""),"Temu Roti")</f>
        <v>Temu Roti</v>
      </c>
      <c r="T1180" s="2" t="str">
        <f>IFERROR(__xludf.DUMMYFUNCTION("""COMPUTED_VALUE"""),"Owner")</f>
        <v>Owner</v>
      </c>
      <c r="U1180" s="2"/>
      <c r="V1180" s="2"/>
      <c r="W1180" s="2"/>
      <c r="X1180" s="2" t="str">
        <f>IFERROR(__xludf.DUMMYFUNCTION("""COMPUTED_VALUE"""),"Closed")</f>
        <v>Closed</v>
      </c>
    </row>
    <row r="1181">
      <c r="A1181" s="3" t="s">
        <v>1193</v>
      </c>
      <c r="B1181" s="4">
        <f>IFERROR(__xludf.DUMMYFUNCTION("SPLIT(A1181,"","",0,0)"),45542.68472222222)</f>
        <v>45542.68472</v>
      </c>
      <c r="C1181" s="5">
        <f>IFERROR(__xludf.DUMMYFUNCTION("""COMPUTED_VALUE"""),2635257.0)</f>
        <v>2635257</v>
      </c>
      <c r="D1181" s="2" t="str">
        <f>IFERROR(__xludf.DUMMYFUNCTION("""COMPUTED_VALUE"""),"Sale")</f>
        <v>Sale</v>
      </c>
      <c r="E1181" s="2" t="str">
        <f>IFERROR(__xludf.DUMMYFUNCTION("""COMPUTED_VALUE"""),"Roti")</f>
        <v>Roti</v>
      </c>
      <c r="F1181" s="2">
        <f>IFERROR(__xludf.DUMMYFUNCTION("""COMPUTED_VALUE"""),10054.0)</f>
        <v>10054</v>
      </c>
      <c r="G1181" s="2" t="str">
        <f>IFERROR(__xludf.DUMMYFUNCTION("""COMPUTED_VALUE"""),"Roti toast eskrim")</f>
        <v>Roti toast eskrim</v>
      </c>
      <c r="H1181" s="2"/>
      <c r="I1181" s="2"/>
      <c r="J1181" s="2">
        <f>IFERROR(__xludf.DUMMYFUNCTION("""COMPUTED_VALUE"""),1.0)</f>
        <v>1</v>
      </c>
      <c r="K1181" s="6">
        <f>IFERROR(__xludf.DUMMYFUNCTION("""COMPUTED_VALUE"""),25238.0)</f>
        <v>25238</v>
      </c>
      <c r="L1181" s="2">
        <f>IFERROR(__xludf.DUMMYFUNCTION("""COMPUTED_VALUE"""),0.0)</f>
        <v>0</v>
      </c>
      <c r="M1181" s="2">
        <f>IFERROR(__xludf.DUMMYFUNCTION("""COMPUTED_VALUE"""),25238.0)</f>
        <v>25238</v>
      </c>
      <c r="N1181" s="2">
        <f>IFERROR(__xludf.DUMMYFUNCTION("""COMPUTED_VALUE"""),0.0)</f>
        <v>0</v>
      </c>
      <c r="O1181" s="2">
        <f>IFERROR(__xludf.DUMMYFUNCTION("""COMPUTED_VALUE"""),25238.0)</f>
        <v>25238</v>
      </c>
      <c r="P1181" s="2">
        <f>IFERROR(__xludf.DUMMYFUNCTION("""COMPUTED_VALUE"""),1262.0)</f>
        <v>1262</v>
      </c>
      <c r="Q1181" s="2" t="str">
        <f>IFERROR(__xludf.DUMMYFUNCTION("""COMPUTED_VALUE"""),"Dine In")</f>
        <v>Dine In</v>
      </c>
      <c r="R1181" s="2" t="str">
        <f>IFERROR(__xludf.DUMMYFUNCTION("""COMPUTED_VALUE"""),"Kedai")</f>
        <v>Kedai</v>
      </c>
      <c r="S1181" s="2" t="str">
        <f>IFERROR(__xludf.DUMMYFUNCTION("""COMPUTED_VALUE"""),"Temu Roti")</f>
        <v>Temu Roti</v>
      </c>
      <c r="T1181" s="2" t="str">
        <f>IFERROR(__xludf.DUMMYFUNCTION("""COMPUTED_VALUE"""),"Owner")</f>
        <v>Owner</v>
      </c>
      <c r="U1181" s="2"/>
      <c r="V1181" s="2"/>
      <c r="W1181" s="2"/>
      <c r="X1181" s="2" t="str">
        <f>IFERROR(__xludf.DUMMYFUNCTION("""COMPUTED_VALUE"""),"Closed")</f>
        <v>Closed</v>
      </c>
    </row>
    <row r="1182">
      <c r="A1182" s="3" t="s">
        <v>1194</v>
      </c>
      <c r="B1182" s="4">
        <f>IFERROR(__xludf.DUMMYFUNCTION("SPLIT(A1182,"","",0,0)"),45542.68402777778)</f>
        <v>45542.68403</v>
      </c>
      <c r="C1182" s="5">
        <f>IFERROR(__xludf.DUMMYFUNCTION("""COMPUTED_VALUE"""),2634892.0)</f>
        <v>2634892</v>
      </c>
      <c r="D1182" s="2" t="str">
        <f>IFERROR(__xludf.DUMMYFUNCTION("""COMPUTED_VALUE"""),"Sale")</f>
        <v>Sale</v>
      </c>
      <c r="E1182" s="2" t="str">
        <f>IFERROR(__xludf.DUMMYFUNCTION("""COMPUTED_VALUE"""),"Minuman")</f>
        <v>Minuman</v>
      </c>
      <c r="F1182" s="2">
        <f>IFERROR(__xludf.DUMMYFUNCTION("""COMPUTED_VALUE"""),10070.0)</f>
        <v>10070</v>
      </c>
      <c r="G1182" s="2" t="str">
        <f>IFERROR(__xludf.DUMMYFUNCTION("""COMPUTED_VALUE"""),"Wedang laut")</f>
        <v>Wedang laut</v>
      </c>
      <c r="H1182" s="2"/>
      <c r="I1182" s="2"/>
      <c r="J1182" s="2">
        <f>IFERROR(__xludf.DUMMYFUNCTION("""COMPUTED_VALUE"""),1.0)</f>
        <v>1</v>
      </c>
      <c r="K1182" s="6">
        <f>IFERROR(__xludf.DUMMYFUNCTION("""COMPUTED_VALUE"""),24762.0)</f>
        <v>24762</v>
      </c>
      <c r="L1182" s="2">
        <f>IFERROR(__xludf.DUMMYFUNCTION("""COMPUTED_VALUE"""),0.0)</f>
        <v>0</v>
      </c>
      <c r="M1182" s="2">
        <f>IFERROR(__xludf.DUMMYFUNCTION("""COMPUTED_VALUE"""),24762.0)</f>
        <v>24762</v>
      </c>
      <c r="N1182" s="2">
        <f>IFERROR(__xludf.DUMMYFUNCTION("""COMPUTED_VALUE"""),0.0)</f>
        <v>0</v>
      </c>
      <c r="O1182" s="2">
        <f>IFERROR(__xludf.DUMMYFUNCTION("""COMPUTED_VALUE"""),24762.0)</f>
        <v>24762</v>
      </c>
      <c r="P1182" s="2">
        <f>IFERROR(__xludf.DUMMYFUNCTION("""COMPUTED_VALUE"""),1238.0)</f>
        <v>1238</v>
      </c>
      <c r="Q1182" s="2" t="str">
        <f>IFERROR(__xludf.DUMMYFUNCTION("""COMPUTED_VALUE"""),"Dine In")</f>
        <v>Dine In</v>
      </c>
      <c r="R1182" s="2" t="str">
        <f>IFERROR(__xludf.DUMMYFUNCTION("""COMPUTED_VALUE"""),"Kedai")</f>
        <v>Kedai</v>
      </c>
      <c r="S1182" s="2" t="str">
        <f>IFERROR(__xludf.DUMMYFUNCTION("""COMPUTED_VALUE"""),"Temu Roti")</f>
        <v>Temu Roti</v>
      </c>
      <c r="T1182" s="2" t="str">
        <f>IFERROR(__xludf.DUMMYFUNCTION("""COMPUTED_VALUE"""),"Owner")</f>
        <v>Owner</v>
      </c>
      <c r="U1182" s="2"/>
      <c r="V1182" s="2"/>
      <c r="W1182" s="2"/>
      <c r="X1182" s="2" t="str">
        <f>IFERROR(__xludf.DUMMYFUNCTION("""COMPUTED_VALUE"""),"Closed")</f>
        <v>Closed</v>
      </c>
    </row>
    <row r="1183">
      <c r="A1183" s="3" t="s">
        <v>1195</v>
      </c>
      <c r="B1183" s="4">
        <f>IFERROR(__xludf.DUMMYFUNCTION("SPLIT(A1183,"","",0,0)"),45542.67569444444)</f>
        <v>45542.67569</v>
      </c>
      <c r="C1183" s="5">
        <f>IFERROR(__xludf.DUMMYFUNCTION("""COMPUTED_VALUE"""),2634527.0)</f>
        <v>2634527</v>
      </c>
      <c r="D1183" s="2" t="str">
        <f>IFERROR(__xludf.DUMMYFUNCTION("""COMPUTED_VALUE"""),"Sale")</f>
        <v>Sale</v>
      </c>
      <c r="E1183" s="2" t="str">
        <f>IFERROR(__xludf.DUMMYFUNCTION("""COMPUTED_VALUE"""),"Minuman")</f>
        <v>Minuman</v>
      </c>
      <c r="F1183" s="2">
        <f>IFERROR(__xludf.DUMMYFUNCTION("""COMPUTED_VALUE"""),10125.0)</f>
        <v>10125</v>
      </c>
      <c r="G1183" s="2" t="str">
        <f>IFERROR(__xludf.DUMMYFUNCTION("""COMPUTED_VALUE"""),"Gula Asam Dingin")</f>
        <v>Gula Asam Dingin</v>
      </c>
      <c r="H1183" s="2"/>
      <c r="I1183" s="2"/>
      <c r="J1183" s="2">
        <f>IFERROR(__xludf.DUMMYFUNCTION("""COMPUTED_VALUE"""),1.0)</f>
        <v>1</v>
      </c>
      <c r="K1183" s="6">
        <f>IFERROR(__xludf.DUMMYFUNCTION("""COMPUTED_VALUE"""),20476.0)</f>
        <v>20476</v>
      </c>
      <c r="L1183" s="2">
        <f>IFERROR(__xludf.DUMMYFUNCTION("""COMPUTED_VALUE"""),0.0)</f>
        <v>0</v>
      </c>
      <c r="M1183" s="2">
        <f>IFERROR(__xludf.DUMMYFUNCTION("""COMPUTED_VALUE"""),20476.0)</f>
        <v>20476</v>
      </c>
      <c r="N1183" s="2">
        <f>IFERROR(__xludf.DUMMYFUNCTION("""COMPUTED_VALUE"""),0.0)</f>
        <v>0</v>
      </c>
      <c r="O1183" s="2">
        <f>IFERROR(__xludf.DUMMYFUNCTION("""COMPUTED_VALUE"""),20476.0)</f>
        <v>20476</v>
      </c>
      <c r="P1183" s="2">
        <f>IFERROR(__xludf.DUMMYFUNCTION("""COMPUTED_VALUE"""),1024.0)</f>
        <v>1024</v>
      </c>
      <c r="Q1183" s="2" t="str">
        <f>IFERROR(__xludf.DUMMYFUNCTION("""COMPUTED_VALUE"""),"Dine In")</f>
        <v>Dine In</v>
      </c>
      <c r="R1183" s="2" t="str">
        <f>IFERROR(__xludf.DUMMYFUNCTION("""COMPUTED_VALUE"""),"Kedai")</f>
        <v>Kedai</v>
      </c>
      <c r="S1183" s="2" t="str">
        <f>IFERROR(__xludf.DUMMYFUNCTION("""COMPUTED_VALUE"""),"Temu Roti")</f>
        <v>Temu Roti</v>
      </c>
      <c r="T1183" s="2" t="str">
        <f>IFERROR(__xludf.DUMMYFUNCTION("""COMPUTED_VALUE"""),"Owner")</f>
        <v>Owner</v>
      </c>
      <c r="U1183" s="2"/>
      <c r="V1183" s="2"/>
      <c r="W1183" s="2"/>
      <c r="X1183" s="2" t="str">
        <f>IFERROR(__xludf.DUMMYFUNCTION("""COMPUTED_VALUE"""),"Closed")</f>
        <v>Closed</v>
      </c>
    </row>
    <row r="1184">
      <c r="A1184" s="3" t="s">
        <v>1196</v>
      </c>
      <c r="B1184" s="4">
        <f>IFERROR(__xludf.DUMMYFUNCTION("SPLIT(A1184,"","",0,0)"),45542.67569444444)</f>
        <v>45542.67569</v>
      </c>
      <c r="C1184" s="5">
        <f>IFERROR(__xludf.DUMMYFUNCTION("""COMPUTED_VALUE"""),2634527.0)</f>
        <v>2634527</v>
      </c>
      <c r="D1184" s="2" t="str">
        <f>IFERROR(__xludf.DUMMYFUNCTION("""COMPUTED_VALUE"""),"Sale")</f>
        <v>Sale</v>
      </c>
      <c r="E1184" s="2" t="str">
        <f>IFERROR(__xludf.DUMMYFUNCTION("""COMPUTED_VALUE"""),"Minuman")</f>
        <v>Minuman</v>
      </c>
      <c r="F1184" s="2">
        <f>IFERROR(__xludf.DUMMYFUNCTION("""COMPUTED_VALUE"""),10121.0)</f>
        <v>10121</v>
      </c>
      <c r="G1184" s="2" t="str">
        <f>IFERROR(__xludf.DUMMYFUNCTION("""COMPUTED_VALUE"""),"Lemon Tea Dingin")</f>
        <v>Lemon Tea Dingin</v>
      </c>
      <c r="H1184" s="2"/>
      <c r="I1184" s="2"/>
      <c r="J1184" s="2">
        <f>IFERROR(__xludf.DUMMYFUNCTION("""COMPUTED_VALUE"""),1.0)</f>
        <v>1</v>
      </c>
      <c r="K1184" s="6">
        <f>IFERROR(__xludf.DUMMYFUNCTION("""COMPUTED_VALUE"""),19524.0)</f>
        <v>19524</v>
      </c>
      <c r="L1184" s="2">
        <f>IFERROR(__xludf.DUMMYFUNCTION("""COMPUTED_VALUE"""),0.0)</f>
        <v>0</v>
      </c>
      <c r="M1184" s="2">
        <f>IFERROR(__xludf.DUMMYFUNCTION("""COMPUTED_VALUE"""),19524.0)</f>
        <v>19524</v>
      </c>
      <c r="N1184" s="2">
        <f>IFERROR(__xludf.DUMMYFUNCTION("""COMPUTED_VALUE"""),0.0)</f>
        <v>0</v>
      </c>
      <c r="O1184" s="2">
        <f>IFERROR(__xludf.DUMMYFUNCTION("""COMPUTED_VALUE"""),19524.0)</f>
        <v>19524</v>
      </c>
      <c r="P1184" s="2">
        <f>IFERROR(__xludf.DUMMYFUNCTION("""COMPUTED_VALUE"""),976.0)</f>
        <v>976</v>
      </c>
      <c r="Q1184" s="2" t="str">
        <f>IFERROR(__xludf.DUMMYFUNCTION("""COMPUTED_VALUE"""),"Dine In")</f>
        <v>Dine In</v>
      </c>
      <c r="R1184" s="2" t="str">
        <f>IFERROR(__xludf.DUMMYFUNCTION("""COMPUTED_VALUE"""),"Kedai")</f>
        <v>Kedai</v>
      </c>
      <c r="S1184" s="2" t="str">
        <f>IFERROR(__xludf.DUMMYFUNCTION("""COMPUTED_VALUE"""),"Temu Roti")</f>
        <v>Temu Roti</v>
      </c>
      <c r="T1184" s="2" t="str">
        <f>IFERROR(__xludf.DUMMYFUNCTION("""COMPUTED_VALUE"""),"Owner")</f>
        <v>Owner</v>
      </c>
      <c r="U1184" s="2"/>
      <c r="V1184" s="2"/>
      <c r="W1184" s="2"/>
      <c r="X1184" s="2" t="str">
        <f>IFERROR(__xludf.DUMMYFUNCTION("""COMPUTED_VALUE"""),"Closed")</f>
        <v>Closed</v>
      </c>
    </row>
    <row r="1185">
      <c r="A1185" s="3" t="s">
        <v>1197</v>
      </c>
      <c r="B1185" s="4">
        <f>IFERROR(__xludf.DUMMYFUNCTION("SPLIT(A1185,"","",0,0)"),45542.67569444444)</f>
        <v>45542.67569</v>
      </c>
      <c r="C1185" s="5">
        <f>IFERROR(__xludf.DUMMYFUNCTION("""COMPUTED_VALUE"""),2634527.0)</f>
        <v>2634527</v>
      </c>
      <c r="D1185" s="2" t="str">
        <f>IFERROR(__xludf.DUMMYFUNCTION("""COMPUTED_VALUE"""),"Sale")</f>
        <v>Sale</v>
      </c>
      <c r="E1185" s="2" t="str">
        <f>IFERROR(__xludf.DUMMYFUNCTION("""COMPUTED_VALUE"""),"Hidangan Utama")</f>
        <v>Hidangan Utama</v>
      </c>
      <c r="F1185" s="2">
        <f>IFERROR(__xludf.DUMMYFUNCTION("""COMPUTED_VALUE"""),10012.0)</f>
        <v>10012</v>
      </c>
      <c r="G1185" s="2" t="str">
        <f>IFERROR(__xludf.DUMMYFUNCTION("""COMPUTED_VALUE"""),"Mie joglo")</f>
        <v>Mie joglo</v>
      </c>
      <c r="H1185" s="2"/>
      <c r="I1185" s="2"/>
      <c r="J1185" s="2">
        <f>IFERROR(__xludf.DUMMYFUNCTION("""COMPUTED_VALUE"""),1.0)</f>
        <v>1</v>
      </c>
      <c r="K1185" s="6">
        <f>IFERROR(__xludf.DUMMYFUNCTION("""COMPUTED_VALUE"""),29524.0)</f>
        <v>29524</v>
      </c>
      <c r="L1185" s="2">
        <f>IFERROR(__xludf.DUMMYFUNCTION("""COMPUTED_VALUE"""),0.0)</f>
        <v>0</v>
      </c>
      <c r="M1185" s="2">
        <f>IFERROR(__xludf.DUMMYFUNCTION("""COMPUTED_VALUE"""),29524.0)</f>
        <v>29524</v>
      </c>
      <c r="N1185" s="2">
        <f>IFERROR(__xludf.DUMMYFUNCTION("""COMPUTED_VALUE"""),0.0)</f>
        <v>0</v>
      </c>
      <c r="O1185" s="2">
        <f>IFERROR(__xludf.DUMMYFUNCTION("""COMPUTED_VALUE"""),29524.0)</f>
        <v>29524</v>
      </c>
      <c r="P1185" s="2">
        <f>IFERROR(__xludf.DUMMYFUNCTION("""COMPUTED_VALUE"""),1476.0)</f>
        <v>1476</v>
      </c>
      <c r="Q1185" s="2" t="str">
        <f>IFERROR(__xludf.DUMMYFUNCTION("""COMPUTED_VALUE"""),"Dine In")</f>
        <v>Dine In</v>
      </c>
      <c r="R1185" s="2" t="str">
        <f>IFERROR(__xludf.DUMMYFUNCTION("""COMPUTED_VALUE"""),"Kedai")</f>
        <v>Kedai</v>
      </c>
      <c r="S1185" s="2" t="str">
        <f>IFERROR(__xludf.DUMMYFUNCTION("""COMPUTED_VALUE"""),"Temu Roti")</f>
        <v>Temu Roti</v>
      </c>
      <c r="T1185" s="2" t="str">
        <f>IFERROR(__xludf.DUMMYFUNCTION("""COMPUTED_VALUE"""),"Owner")</f>
        <v>Owner</v>
      </c>
      <c r="U1185" s="2"/>
      <c r="V1185" s="2"/>
      <c r="W1185" s="2"/>
      <c r="X1185" s="2" t="str">
        <f>IFERROR(__xludf.DUMMYFUNCTION("""COMPUTED_VALUE"""),"Closed")</f>
        <v>Closed</v>
      </c>
    </row>
    <row r="1186">
      <c r="A1186" s="3" t="s">
        <v>1198</v>
      </c>
      <c r="B1186" s="4">
        <f>IFERROR(__xludf.DUMMYFUNCTION("SPLIT(A1186,"","",0,0)"),45542.67361111111)</f>
        <v>45542.67361</v>
      </c>
      <c r="C1186" s="5">
        <f>IFERROR(__xludf.DUMMYFUNCTION("""COMPUTED_VALUE"""),2634161.0)</f>
        <v>2634161</v>
      </c>
      <c r="D1186" s="2" t="str">
        <f>IFERROR(__xludf.DUMMYFUNCTION("""COMPUTED_VALUE"""),"Sale")</f>
        <v>Sale</v>
      </c>
      <c r="E1186" s="2" t="str">
        <f>IFERROR(__xludf.DUMMYFUNCTION("""COMPUTED_VALUE"""),"Roti")</f>
        <v>Roti</v>
      </c>
      <c r="F1186" s="2">
        <f>IFERROR(__xludf.DUMMYFUNCTION("""COMPUTED_VALUE"""),10034.0)</f>
        <v>10034</v>
      </c>
      <c r="G1186" s="2" t="str">
        <f>IFERROR(__xludf.DUMMYFUNCTION("""COMPUTED_VALUE"""),"Roti panggang coklat")</f>
        <v>Roti panggang coklat</v>
      </c>
      <c r="H1186" s="2"/>
      <c r="I1186" s="2"/>
      <c r="J1186" s="2">
        <f>IFERROR(__xludf.DUMMYFUNCTION("""COMPUTED_VALUE"""),1.0)</f>
        <v>1</v>
      </c>
      <c r="K1186" s="6">
        <f>IFERROR(__xludf.DUMMYFUNCTION("""COMPUTED_VALUE"""),21905.0)</f>
        <v>21905</v>
      </c>
      <c r="L1186" s="2">
        <f>IFERROR(__xludf.DUMMYFUNCTION("""COMPUTED_VALUE"""),0.0)</f>
        <v>0</v>
      </c>
      <c r="M1186" s="2">
        <f>IFERROR(__xludf.DUMMYFUNCTION("""COMPUTED_VALUE"""),21905.0)</f>
        <v>21905</v>
      </c>
      <c r="N1186" s="2">
        <f>IFERROR(__xludf.DUMMYFUNCTION("""COMPUTED_VALUE"""),0.0)</f>
        <v>0</v>
      </c>
      <c r="O1186" s="2">
        <f>IFERROR(__xludf.DUMMYFUNCTION("""COMPUTED_VALUE"""),21905.0)</f>
        <v>21905</v>
      </c>
      <c r="P1186" s="2">
        <f>IFERROR(__xludf.DUMMYFUNCTION("""COMPUTED_VALUE"""),1095.0)</f>
        <v>1095</v>
      </c>
      <c r="Q1186" s="2" t="str">
        <f>IFERROR(__xludf.DUMMYFUNCTION("""COMPUTED_VALUE"""),"Dine In")</f>
        <v>Dine In</v>
      </c>
      <c r="R1186" s="2" t="str">
        <f>IFERROR(__xludf.DUMMYFUNCTION("""COMPUTED_VALUE"""),"Kedai")</f>
        <v>Kedai</v>
      </c>
      <c r="S1186" s="2" t="str">
        <f>IFERROR(__xludf.DUMMYFUNCTION("""COMPUTED_VALUE"""),"Temu Roti")</f>
        <v>Temu Roti</v>
      </c>
      <c r="T1186" s="2" t="str">
        <f>IFERROR(__xludf.DUMMYFUNCTION("""COMPUTED_VALUE"""),"Owner")</f>
        <v>Owner</v>
      </c>
      <c r="U1186" s="2"/>
      <c r="V1186" s="2"/>
      <c r="W1186" s="2"/>
      <c r="X1186" s="2" t="str">
        <f>IFERROR(__xludf.DUMMYFUNCTION("""COMPUTED_VALUE"""),"Closed")</f>
        <v>Closed</v>
      </c>
    </row>
    <row r="1187">
      <c r="A1187" s="3" t="s">
        <v>1199</v>
      </c>
      <c r="B1187" s="4">
        <f>IFERROR(__xludf.DUMMYFUNCTION("SPLIT(A1187,"","",0,0)"),45542.67361111111)</f>
        <v>45542.67361</v>
      </c>
      <c r="C1187" s="5">
        <f>IFERROR(__xludf.DUMMYFUNCTION("""COMPUTED_VALUE"""),2634161.0)</f>
        <v>2634161</v>
      </c>
      <c r="D1187" s="2" t="str">
        <f>IFERROR(__xludf.DUMMYFUNCTION("""COMPUTED_VALUE"""),"Sale")</f>
        <v>Sale</v>
      </c>
      <c r="E1187" s="2" t="str">
        <f>IFERROR(__xludf.DUMMYFUNCTION("""COMPUTED_VALUE"""),"Roti")</f>
        <v>Roti</v>
      </c>
      <c r="F1187" s="2">
        <f>IFERROR(__xludf.DUMMYFUNCTION("""COMPUTED_VALUE"""),10002.0)</f>
        <v>10002</v>
      </c>
      <c r="G1187" s="2" t="str">
        <f>IFERROR(__xludf.DUMMYFUNCTION("""COMPUTED_VALUE"""),"Roti Cranberry")</f>
        <v>Roti Cranberry</v>
      </c>
      <c r="H1187" s="2"/>
      <c r="I1187" s="2"/>
      <c r="J1187" s="2">
        <f>IFERROR(__xludf.DUMMYFUNCTION("""COMPUTED_VALUE"""),1.0)</f>
        <v>1</v>
      </c>
      <c r="K1187" s="6">
        <f>IFERROR(__xludf.DUMMYFUNCTION("""COMPUTED_VALUE"""),18571.0)</f>
        <v>18571</v>
      </c>
      <c r="L1187" s="2">
        <f>IFERROR(__xludf.DUMMYFUNCTION("""COMPUTED_VALUE"""),0.0)</f>
        <v>0</v>
      </c>
      <c r="M1187" s="2">
        <f>IFERROR(__xludf.DUMMYFUNCTION("""COMPUTED_VALUE"""),18571.0)</f>
        <v>18571</v>
      </c>
      <c r="N1187" s="2">
        <f>IFERROR(__xludf.DUMMYFUNCTION("""COMPUTED_VALUE"""),0.0)</f>
        <v>0</v>
      </c>
      <c r="O1187" s="2">
        <f>IFERROR(__xludf.DUMMYFUNCTION("""COMPUTED_VALUE"""),18571.0)</f>
        <v>18571</v>
      </c>
      <c r="P1187" s="2">
        <f>IFERROR(__xludf.DUMMYFUNCTION("""COMPUTED_VALUE"""),929.0)</f>
        <v>929</v>
      </c>
      <c r="Q1187" s="2" t="str">
        <f>IFERROR(__xludf.DUMMYFUNCTION("""COMPUTED_VALUE"""),"Dine In")</f>
        <v>Dine In</v>
      </c>
      <c r="R1187" s="2" t="str">
        <f>IFERROR(__xludf.DUMMYFUNCTION("""COMPUTED_VALUE"""),"Kedai")</f>
        <v>Kedai</v>
      </c>
      <c r="S1187" s="2" t="str">
        <f>IFERROR(__xludf.DUMMYFUNCTION("""COMPUTED_VALUE"""),"Temu Roti")</f>
        <v>Temu Roti</v>
      </c>
      <c r="T1187" s="2" t="str">
        <f>IFERROR(__xludf.DUMMYFUNCTION("""COMPUTED_VALUE"""),"Owner")</f>
        <v>Owner</v>
      </c>
      <c r="U1187" s="2"/>
      <c r="V1187" s="2"/>
      <c r="W1187" s="2"/>
      <c r="X1187" s="2" t="str">
        <f>IFERROR(__xludf.DUMMYFUNCTION("""COMPUTED_VALUE"""),"Closed")</f>
        <v>Closed</v>
      </c>
    </row>
    <row r="1188">
      <c r="A1188" s="3" t="s">
        <v>1200</v>
      </c>
      <c r="B1188" s="4">
        <f>IFERROR(__xludf.DUMMYFUNCTION("SPLIT(A1188,"","",0,0)"),45542.67222222222)</f>
        <v>45542.67222</v>
      </c>
      <c r="C1188" s="5">
        <f>IFERROR(__xludf.DUMMYFUNCTION("""COMPUTED_VALUE"""),2633796.0)</f>
        <v>2633796</v>
      </c>
      <c r="D1188" s="2" t="str">
        <f>IFERROR(__xludf.DUMMYFUNCTION("""COMPUTED_VALUE"""),"Sale")</f>
        <v>Sale</v>
      </c>
      <c r="E1188" s="2" t="str">
        <f>IFERROR(__xludf.DUMMYFUNCTION("""COMPUTED_VALUE"""),"Roti")</f>
        <v>Roti</v>
      </c>
      <c r="F1188" s="2">
        <f>IFERROR(__xludf.DUMMYFUNCTION("""COMPUTED_VALUE"""),10007.0)</f>
        <v>10007</v>
      </c>
      <c r="G1188" s="2" t="str">
        <f>IFERROR(__xludf.DUMMYFUNCTION("""COMPUTED_VALUE"""),"Roti cranberry 2 pcs")</f>
        <v>Roti cranberry 2 pcs</v>
      </c>
      <c r="H1188" s="2"/>
      <c r="I1188" s="2"/>
      <c r="J1188" s="2">
        <f>IFERROR(__xludf.DUMMYFUNCTION("""COMPUTED_VALUE"""),1.0)</f>
        <v>1</v>
      </c>
      <c r="K1188" s="6">
        <f>IFERROR(__xludf.DUMMYFUNCTION("""COMPUTED_VALUE"""),33810.0)</f>
        <v>33810</v>
      </c>
      <c r="L1188" s="2">
        <f>IFERROR(__xludf.DUMMYFUNCTION("""COMPUTED_VALUE"""),0.0)</f>
        <v>0</v>
      </c>
      <c r="M1188" s="2">
        <f>IFERROR(__xludf.DUMMYFUNCTION("""COMPUTED_VALUE"""),33810.0)</f>
        <v>33810</v>
      </c>
      <c r="N1188" s="2">
        <f>IFERROR(__xludf.DUMMYFUNCTION("""COMPUTED_VALUE"""),0.0)</f>
        <v>0</v>
      </c>
      <c r="O1188" s="2">
        <f>IFERROR(__xludf.DUMMYFUNCTION("""COMPUTED_VALUE"""),33810.0)</f>
        <v>33810</v>
      </c>
      <c r="P1188" s="2">
        <f>IFERROR(__xludf.DUMMYFUNCTION("""COMPUTED_VALUE"""),1691.0)</f>
        <v>1691</v>
      </c>
      <c r="Q1188" s="2" t="str">
        <f>IFERROR(__xludf.DUMMYFUNCTION("""COMPUTED_VALUE"""),"Dine In")</f>
        <v>Dine In</v>
      </c>
      <c r="R1188" s="2" t="str">
        <f>IFERROR(__xludf.DUMMYFUNCTION("""COMPUTED_VALUE"""),"Kedai")</f>
        <v>Kedai</v>
      </c>
      <c r="S1188" s="2" t="str">
        <f>IFERROR(__xludf.DUMMYFUNCTION("""COMPUTED_VALUE"""),"Temu Roti")</f>
        <v>Temu Roti</v>
      </c>
      <c r="T1188" s="2" t="str">
        <f>IFERROR(__xludf.DUMMYFUNCTION("""COMPUTED_VALUE"""),"Owner")</f>
        <v>Owner</v>
      </c>
      <c r="U1188" s="2"/>
      <c r="V1188" s="2"/>
      <c r="W1188" s="2"/>
      <c r="X1188" s="2" t="str">
        <f>IFERROR(__xludf.DUMMYFUNCTION("""COMPUTED_VALUE"""),"Closed")</f>
        <v>Closed</v>
      </c>
    </row>
    <row r="1189">
      <c r="A1189" s="3" t="s">
        <v>1201</v>
      </c>
      <c r="B1189" s="4">
        <f>IFERROR(__xludf.DUMMYFUNCTION("SPLIT(A1189,"","",0,0)"),45542.6625)</f>
        <v>45542.6625</v>
      </c>
      <c r="C1189" s="5">
        <f>IFERROR(__xludf.DUMMYFUNCTION("""COMPUTED_VALUE"""),2633431.0)</f>
        <v>2633431</v>
      </c>
      <c r="D1189" s="2" t="str">
        <f>IFERROR(__xludf.DUMMYFUNCTION("""COMPUTED_VALUE"""),"Sale")</f>
        <v>Sale</v>
      </c>
      <c r="E1189" s="2" t="str">
        <f>IFERROR(__xludf.DUMMYFUNCTION("""COMPUTED_VALUE"""),"Roti")</f>
        <v>Roti</v>
      </c>
      <c r="F1189" s="2">
        <f>IFERROR(__xludf.DUMMYFUNCTION("""COMPUTED_VALUE"""),10000.0)</f>
        <v>10000</v>
      </c>
      <c r="G1189" s="2" t="str">
        <f>IFERROR(__xludf.DUMMYFUNCTION("""COMPUTED_VALUE"""),"Roti Bawang Saus Keju")</f>
        <v>Roti Bawang Saus Keju</v>
      </c>
      <c r="H1189" s="2"/>
      <c r="I1189" s="2"/>
      <c r="J1189" s="2">
        <f>IFERROR(__xludf.DUMMYFUNCTION("""COMPUTED_VALUE"""),1.0)</f>
        <v>1</v>
      </c>
      <c r="K1189" s="6">
        <f>IFERROR(__xludf.DUMMYFUNCTION("""COMPUTED_VALUE"""),29524.0)</f>
        <v>29524</v>
      </c>
      <c r="L1189" s="2">
        <f>IFERROR(__xludf.DUMMYFUNCTION("""COMPUTED_VALUE"""),0.0)</f>
        <v>0</v>
      </c>
      <c r="M1189" s="2">
        <f>IFERROR(__xludf.DUMMYFUNCTION("""COMPUTED_VALUE"""),29524.0)</f>
        <v>29524</v>
      </c>
      <c r="N1189" s="2">
        <f>IFERROR(__xludf.DUMMYFUNCTION("""COMPUTED_VALUE"""),0.0)</f>
        <v>0</v>
      </c>
      <c r="O1189" s="2">
        <f>IFERROR(__xludf.DUMMYFUNCTION("""COMPUTED_VALUE"""),29524.0)</f>
        <v>29524</v>
      </c>
      <c r="P1189" s="2">
        <f>IFERROR(__xludf.DUMMYFUNCTION("""COMPUTED_VALUE"""),1476.0)</f>
        <v>1476</v>
      </c>
      <c r="Q1189" s="2" t="str">
        <f>IFERROR(__xludf.DUMMYFUNCTION("""COMPUTED_VALUE"""),"Dine In")</f>
        <v>Dine In</v>
      </c>
      <c r="R1189" s="2" t="str">
        <f>IFERROR(__xludf.DUMMYFUNCTION("""COMPUTED_VALUE"""),"Kedai")</f>
        <v>Kedai</v>
      </c>
      <c r="S1189" s="2" t="str">
        <f>IFERROR(__xludf.DUMMYFUNCTION("""COMPUTED_VALUE"""),"Temu Roti")</f>
        <v>Temu Roti</v>
      </c>
      <c r="T1189" s="2" t="str">
        <f>IFERROR(__xludf.DUMMYFUNCTION("""COMPUTED_VALUE"""),"Owner")</f>
        <v>Owner</v>
      </c>
      <c r="U1189" s="2"/>
      <c r="V1189" s="2"/>
      <c r="W1189" s="2"/>
      <c r="X1189" s="2" t="str">
        <f>IFERROR(__xludf.DUMMYFUNCTION("""COMPUTED_VALUE"""),"Closed")</f>
        <v>Closed</v>
      </c>
    </row>
    <row r="1190">
      <c r="A1190" s="3" t="s">
        <v>1202</v>
      </c>
      <c r="B1190" s="4">
        <f>IFERROR(__xludf.DUMMYFUNCTION("SPLIT(A1190,"","",0,0)"),45542.6625)</f>
        <v>45542.6625</v>
      </c>
      <c r="C1190" s="5">
        <f>IFERROR(__xludf.DUMMYFUNCTION("""COMPUTED_VALUE"""),2633431.0)</f>
        <v>2633431</v>
      </c>
      <c r="D1190" s="2" t="str">
        <f>IFERROR(__xludf.DUMMYFUNCTION("""COMPUTED_VALUE"""),"Sale")</f>
        <v>Sale</v>
      </c>
      <c r="E1190" s="2" t="str">
        <f>IFERROR(__xludf.DUMMYFUNCTION("""COMPUTED_VALUE"""),"Roti")</f>
        <v>Roti</v>
      </c>
      <c r="F1190" s="2">
        <f>IFERROR(__xludf.DUMMYFUNCTION("""COMPUTED_VALUE"""),10002.0)</f>
        <v>10002</v>
      </c>
      <c r="G1190" s="2" t="str">
        <f>IFERROR(__xludf.DUMMYFUNCTION("""COMPUTED_VALUE"""),"Roti Cranberry")</f>
        <v>Roti Cranberry</v>
      </c>
      <c r="H1190" s="2"/>
      <c r="I1190" s="2"/>
      <c r="J1190" s="2">
        <f>IFERROR(__xludf.DUMMYFUNCTION("""COMPUTED_VALUE"""),1.0)</f>
        <v>1</v>
      </c>
      <c r="K1190" s="6">
        <f>IFERROR(__xludf.DUMMYFUNCTION("""COMPUTED_VALUE"""),18571.0)</f>
        <v>18571</v>
      </c>
      <c r="L1190" s="2">
        <f>IFERROR(__xludf.DUMMYFUNCTION("""COMPUTED_VALUE"""),0.0)</f>
        <v>0</v>
      </c>
      <c r="M1190" s="2">
        <f>IFERROR(__xludf.DUMMYFUNCTION("""COMPUTED_VALUE"""),18571.0)</f>
        <v>18571</v>
      </c>
      <c r="N1190" s="2">
        <f>IFERROR(__xludf.DUMMYFUNCTION("""COMPUTED_VALUE"""),0.0)</f>
        <v>0</v>
      </c>
      <c r="O1190" s="2">
        <f>IFERROR(__xludf.DUMMYFUNCTION("""COMPUTED_VALUE"""),18571.0)</f>
        <v>18571</v>
      </c>
      <c r="P1190" s="2">
        <f>IFERROR(__xludf.DUMMYFUNCTION("""COMPUTED_VALUE"""),929.0)</f>
        <v>929</v>
      </c>
      <c r="Q1190" s="2" t="str">
        <f>IFERROR(__xludf.DUMMYFUNCTION("""COMPUTED_VALUE"""),"Dine In")</f>
        <v>Dine In</v>
      </c>
      <c r="R1190" s="2" t="str">
        <f>IFERROR(__xludf.DUMMYFUNCTION("""COMPUTED_VALUE"""),"Kedai")</f>
        <v>Kedai</v>
      </c>
      <c r="S1190" s="2" t="str">
        <f>IFERROR(__xludf.DUMMYFUNCTION("""COMPUTED_VALUE"""),"Temu Roti")</f>
        <v>Temu Roti</v>
      </c>
      <c r="T1190" s="2" t="str">
        <f>IFERROR(__xludf.DUMMYFUNCTION("""COMPUTED_VALUE"""),"Owner")</f>
        <v>Owner</v>
      </c>
      <c r="U1190" s="2"/>
      <c r="V1190" s="2"/>
      <c r="W1190" s="2"/>
      <c r="X1190" s="2" t="str">
        <f>IFERROR(__xludf.DUMMYFUNCTION("""COMPUTED_VALUE"""),"Closed")</f>
        <v>Closed</v>
      </c>
    </row>
    <row r="1191">
      <c r="A1191" s="3" t="s">
        <v>1201</v>
      </c>
      <c r="B1191" s="4">
        <f>IFERROR(__xludf.DUMMYFUNCTION("SPLIT(A1191,"","",0,0)"),45542.6625)</f>
        <v>45542.6625</v>
      </c>
      <c r="C1191" s="5">
        <f>IFERROR(__xludf.DUMMYFUNCTION("""COMPUTED_VALUE"""),2633431.0)</f>
        <v>2633431</v>
      </c>
      <c r="D1191" s="2" t="str">
        <f>IFERROR(__xludf.DUMMYFUNCTION("""COMPUTED_VALUE"""),"Sale")</f>
        <v>Sale</v>
      </c>
      <c r="E1191" s="2" t="str">
        <f>IFERROR(__xludf.DUMMYFUNCTION("""COMPUTED_VALUE"""),"Roti")</f>
        <v>Roti</v>
      </c>
      <c r="F1191" s="2">
        <f>IFERROR(__xludf.DUMMYFUNCTION("""COMPUTED_VALUE"""),10000.0)</f>
        <v>10000</v>
      </c>
      <c r="G1191" s="2" t="str">
        <f>IFERROR(__xludf.DUMMYFUNCTION("""COMPUTED_VALUE"""),"Roti Bawang Saus Keju")</f>
        <v>Roti Bawang Saus Keju</v>
      </c>
      <c r="H1191" s="2"/>
      <c r="I1191" s="2"/>
      <c r="J1191" s="2">
        <f>IFERROR(__xludf.DUMMYFUNCTION("""COMPUTED_VALUE"""),1.0)</f>
        <v>1</v>
      </c>
      <c r="K1191" s="6">
        <f>IFERROR(__xludf.DUMMYFUNCTION("""COMPUTED_VALUE"""),29524.0)</f>
        <v>29524</v>
      </c>
      <c r="L1191" s="2">
        <f>IFERROR(__xludf.DUMMYFUNCTION("""COMPUTED_VALUE"""),0.0)</f>
        <v>0</v>
      </c>
      <c r="M1191" s="2">
        <f>IFERROR(__xludf.DUMMYFUNCTION("""COMPUTED_VALUE"""),29524.0)</f>
        <v>29524</v>
      </c>
      <c r="N1191" s="2">
        <f>IFERROR(__xludf.DUMMYFUNCTION("""COMPUTED_VALUE"""),0.0)</f>
        <v>0</v>
      </c>
      <c r="O1191" s="2">
        <f>IFERROR(__xludf.DUMMYFUNCTION("""COMPUTED_VALUE"""),29524.0)</f>
        <v>29524</v>
      </c>
      <c r="P1191" s="2">
        <f>IFERROR(__xludf.DUMMYFUNCTION("""COMPUTED_VALUE"""),1476.0)</f>
        <v>1476</v>
      </c>
      <c r="Q1191" s="2" t="str">
        <f>IFERROR(__xludf.DUMMYFUNCTION("""COMPUTED_VALUE"""),"Dine In")</f>
        <v>Dine In</v>
      </c>
      <c r="R1191" s="2" t="str">
        <f>IFERROR(__xludf.DUMMYFUNCTION("""COMPUTED_VALUE"""),"Kedai")</f>
        <v>Kedai</v>
      </c>
      <c r="S1191" s="2" t="str">
        <f>IFERROR(__xludf.DUMMYFUNCTION("""COMPUTED_VALUE"""),"Temu Roti")</f>
        <v>Temu Roti</v>
      </c>
      <c r="T1191" s="2" t="str">
        <f>IFERROR(__xludf.DUMMYFUNCTION("""COMPUTED_VALUE"""),"Owner")</f>
        <v>Owner</v>
      </c>
      <c r="U1191" s="2"/>
      <c r="V1191" s="2"/>
      <c r="W1191" s="2"/>
      <c r="X1191" s="2" t="str">
        <f>IFERROR(__xludf.DUMMYFUNCTION("""COMPUTED_VALUE"""),"Closed")</f>
        <v>Closed</v>
      </c>
    </row>
    <row r="1192">
      <c r="A1192" s="3" t="s">
        <v>1203</v>
      </c>
      <c r="B1192" s="4">
        <f>IFERROR(__xludf.DUMMYFUNCTION("SPLIT(A1192,"","",0,0)"),45542.6625)</f>
        <v>45542.6625</v>
      </c>
      <c r="C1192" s="5">
        <f>IFERROR(__xludf.DUMMYFUNCTION("""COMPUTED_VALUE"""),2633431.0)</f>
        <v>2633431</v>
      </c>
      <c r="D1192" s="2" t="str">
        <f>IFERROR(__xludf.DUMMYFUNCTION("""COMPUTED_VALUE"""),"Sale")</f>
        <v>Sale</v>
      </c>
      <c r="E1192" s="2" t="str">
        <f>IFERROR(__xludf.DUMMYFUNCTION("""COMPUTED_VALUE"""),"Roti")</f>
        <v>Roti</v>
      </c>
      <c r="F1192" s="2">
        <f>IFERROR(__xludf.DUMMYFUNCTION("""COMPUTED_VALUE"""),10005.0)</f>
        <v>10005</v>
      </c>
      <c r="G1192" s="2" t="str">
        <f>IFERROR(__xludf.DUMMYFUNCTION("""COMPUTED_VALUE"""),"Roti Gandum Cokelat")</f>
        <v>Roti Gandum Cokelat</v>
      </c>
      <c r="H1192" s="2"/>
      <c r="I1192" s="2"/>
      <c r="J1192" s="2">
        <f>IFERROR(__xludf.DUMMYFUNCTION("""COMPUTED_VALUE"""),1.0)</f>
        <v>1</v>
      </c>
      <c r="K1192" s="6">
        <f>IFERROR(__xludf.DUMMYFUNCTION("""COMPUTED_VALUE"""),19524.0)</f>
        <v>19524</v>
      </c>
      <c r="L1192" s="2">
        <f>IFERROR(__xludf.DUMMYFUNCTION("""COMPUTED_VALUE"""),0.0)</f>
        <v>0</v>
      </c>
      <c r="M1192" s="2">
        <f>IFERROR(__xludf.DUMMYFUNCTION("""COMPUTED_VALUE"""),19524.0)</f>
        <v>19524</v>
      </c>
      <c r="N1192" s="2">
        <f>IFERROR(__xludf.DUMMYFUNCTION("""COMPUTED_VALUE"""),0.0)</f>
        <v>0</v>
      </c>
      <c r="O1192" s="2">
        <f>IFERROR(__xludf.DUMMYFUNCTION("""COMPUTED_VALUE"""),19524.0)</f>
        <v>19524</v>
      </c>
      <c r="P1192" s="2">
        <f>IFERROR(__xludf.DUMMYFUNCTION("""COMPUTED_VALUE"""),976.0)</f>
        <v>976</v>
      </c>
      <c r="Q1192" s="2" t="str">
        <f>IFERROR(__xludf.DUMMYFUNCTION("""COMPUTED_VALUE"""),"Dine In")</f>
        <v>Dine In</v>
      </c>
      <c r="R1192" s="2" t="str">
        <f>IFERROR(__xludf.DUMMYFUNCTION("""COMPUTED_VALUE"""),"Kedai")</f>
        <v>Kedai</v>
      </c>
      <c r="S1192" s="2" t="str">
        <f>IFERROR(__xludf.DUMMYFUNCTION("""COMPUTED_VALUE"""),"Temu Roti")</f>
        <v>Temu Roti</v>
      </c>
      <c r="T1192" s="2" t="str">
        <f>IFERROR(__xludf.DUMMYFUNCTION("""COMPUTED_VALUE"""),"Owner")</f>
        <v>Owner</v>
      </c>
      <c r="U1192" s="2"/>
      <c r="V1192" s="2"/>
      <c r="W1192" s="2"/>
      <c r="X1192" s="2" t="str">
        <f>IFERROR(__xludf.DUMMYFUNCTION("""COMPUTED_VALUE"""),"Closed")</f>
        <v>Closed</v>
      </c>
    </row>
    <row r="1193">
      <c r="A1193" s="3" t="s">
        <v>1204</v>
      </c>
      <c r="B1193" s="4">
        <f>IFERROR(__xludf.DUMMYFUNCTION("SPLIT(A1193,"","",0,0)"),45542.66180555556)</f>
        <v>45542.66181</v>
      </c>
      <c r="C1193" s="5">
        <f>IFERROR(__xludf.DUMMYFUNCTION("""COMPUTED_VALUE"""),2633066.0)</f>
        <v>2633066</v>
      </c>
      <c r="D1193" s="2" t="str">
        <f>IFERROR(__xludf.DUMMYFUNCTION("""COMPUTED_VALUE"""),"Sale")</f>
        <v>Sale</v>
      </c>
      <c r="E1193" s="2" t="str">
        <f>IFERROR(__xludf.DUMMYFUNCTION("""COMPUTED_VALUE"""),"Roti")</f>
        <v>Roti</v>
      </c>
      <c r="F1193" s="2">
        <f>IFERROR(__xludf.DUMMYFUNCTION("""COMPUTED_VALUE"""),10000.0)</f>
        <v>10000</v>
      </c>
      <c r="G1193" s="2" t="str">
        <f>IFERROR(__xludf.DUMMYFUNCTION("""COMPUTED_VALUE"""),"Roti Bawang Saus Keju")</f>
        <v>Roti Bawang Saus Keju</v>
      </c>
      <c r="H1193" s="2"/>
      <c r="I1193" s="2"/>
      <c r="J1193" s="2">
        <f>IFERROR(__xludf.DUMMYFUNCTION("""COMPUTED_VALUE"""),1.0)</f>
        <v>1</v>
      </c>
      <c r="K1193" s="6">
        <f>IFERROR(__xludf.DUMMYFUNCTION("""COMPUTED_VALUE"""),29524.0)</f>
        <v>29524</v>
      </c>
      <c r="L1193" s="2">
        <f>IFERROR(__xludf.DUMMYFUNCTION("""COMPUTED_VALUE"""),0.0)</f>
        <v>0</v>
      </c>
      <c r="M1193" s="2">
        <f>IFERROR(__xludf.DUMMYFUNCTION("""COMPUTED_VALUE"""),29524.0)</f>
        <v>29524</v>
      </c>
      <c r="N1193" s="2">
        <f>IFERROR(__xludf.DUMMYFUNCTION("""COMPUTED_VALUE"""),0.0)</f>
        <v>0</v>
      </c>
      <c r="O1193" s="2">
        <f>IFERROR(__xludf.DUMMYFUNCTION("""COMPUTED_VALUE"""),29524.0)</f>
        <v>29524</v>
      </c>
      <c r="P1193" s="2">
        <f>IFERROR(__xludf.DUMMYFUNCTION("""COMPUTED_VALUE"""),1476.0)</f>
        <v>1476</v>
      </c>
      <c r="Q1193" s="2" t="str">
        <f>IFERROR(__xludf.DUMMYFUNCTION("""COMPUTED_VALUE"""),"Dine In")</f>
        <v>Dine In</v>
      </c>
      <c r="R1193" s="2" t="str">
        <f>IFERROR(__xludf.DUMMYFUNCTION("""COMPUTED_VALUE"""),"Kedai")</f>
        <v>Kedai</v>
      </c>
      <c r="S1193" s="2" t="str">
        <f>IFERROR(__xludf.DUMMYFUNCTION("""COMPUTED_VALUE"""),"Temu Roti")</f>
        <v>Temu Roti</v>
      </c>
      <c r="T1193" s="2" t="str">
        <f>IFERROR(__xludf.DUMMYFUNCTION("""COMPUTED_VALUE"""),"Owner")</f>
        <v>Owner</v>
      </c>
      <c r="U1193" s="2"/>
      <c r="V1193" s="2"/>
      <c r="W1193" s="2"/>
      <c r="X1193" s="2" t="str">
        <f>IFERROR(__xludf.DUMMYFUNCTION("""COMPUTED_VALUE"""),"Closed")</f>
        <v>Closed</v>
      </c>
    </row>
    <row r="1194">
      <c r="A1194" s="3" t="s">
        <v>1205</v>
      </c>
      <c r="B1194" s="4">
        <f>IFERROR(__xludf.DUMMYFUNCTION("SPLIT(A1194,"","",0,0)"),45542.66180555556)</f>
        <v>45542.66181</v>
      </c>
      <c r="C1194" s="5">
        <f>IFERROR(__xludf.DUMMYFUNCTION("""COMPUTED_VALUE"""),2633066.0)</f>
        <v>2633066</v>
      </c>
      <c r="D1194" s="2" t="str">
        <f>IFERROR(__xludf.DUMMYFUNCTION("""COMPUTED_VALUE"""),"Sale")</f>
        <v>Sale</v>
      </c>
      <c r="E1194" s="2" t="str">
        <f>IFERROR(__xludf.DUMMYFUNCTION("""COMPUTED_VALUE"""),"Minuman")</f>
        <v>Minuman</v>
      </c>
      <c r="F1194" s="2">
        <f>IFERROR(__xludf.DUMMYFUNCTION("""COMPUTED_VALUE"""),10128.0)</f>
        <v>10128</v>
      </c>
      <c r="G1194" s="2" t="str">
        <f>IFERROR(__xludf.DUMMYFUNCTION("""COMPUTED_VALUE"""),"Es Kopi Susu")</f>
        <v>Es Kopi Susu</v>
      </c>
      <c r="H1194" s="2"/>
      <c r="I1194" s="2"/>
      <c r="J1194" s="2">
        <f>IFERROR(__xludf.DUMMYFUNCTION("""COMPUTED_VALUE"""),1.0)</f>
        <v>1</v>
      </c>
      <c r="K1194" s="6">
        <f>IFERROR(__xludf.DUMMYFUNCTION("""COMPUTED_VALUE"""),23333.0)</f>
        <v>23333</v>
      </c>
      <c r="L1194" s="2">
        <f>IFERROR(__xludf.DUMMYFUNCTION("""COMPUTED_VALUE"""),0.0)</f>
        <v>0</v>
      </c>
      <c r="M1194" s="2">
        <f>IFERROR(__xludf.DUMMYFUNCTION("""COMPUTED_VALUE"""),23333.0)</f>
        <v>23333</v>
      </c>
      <c r="N1194" s="2">
        <f>IFERROR(__xludf.DUMMYFUNCTION("""COMPUTED_VALUE"""),0.0)</f>
        <v>0</v>
      </c>
      <c r="O1194" s="2">
        <f>IFERROR(__xludf.DUMMYFUNCTION("""COMPUTED_VALUE"""),23333.0)</f>
        <v>23333</v>
      </c>
      <c r="P1194" s="2">
        <f>IFERROR(__xludf.DUMMYFUNCTION("""COMPUTED_VALUE"""),1167.0)</f>
        <v>1167</v>
      </c>
      <c r="Q1194" s="2" t="str">
        <f>IFERROR(__xludf.DUMMYFUNCTION("""COMPUTED_VALUE"""),"Dine In")</f>
        <v>Dine In</v>
      </c>
      <c r="R1194" s="2" t="str">
        <f>IFERROR(__xludf.DUMMYFUNCTION("""COMPUTED_VALUE"""),"Kedai")</f>
        <v>Kedai</v>
      </c>
      <c r="S1194" s="2" t="str">
        <f>IFERROR(__xludf.DUMMYFUNCTION("""COMPUTED_VALUE"""),"Temu Roti")</f>
        <v>Temu Roti</v>
      </c>
      <c r="T1194" s="2" t="str">
        <f>IFERROR(__xludf.DUMMYFUNCTION("""COMPUTED_VALUE"""),"Owner")</f>
        <v>Owner</v>
      </c>
      <c r="U1194" s="2"/>
      <c r="V1194" s="2"/>
      <c r="W1194" s="2"/>
      <c r="X1194" s="2" t="str">
        <f>IFERROR(__xludf.DUMMYFUNCTION("""COMPUTED_VALUE"""),"Closed")</f>
        <v>Closed</v>
      </c>
    </row>
    <row r="1195">
      <c r="A1195" s="3" t="s">
        <v>1206</v>
      </c>
      <c r="B1195" s="4">
        <f>IFERROR(__xludf.DUMMYFUNCTION("SPLIT(A1195,"","",0,0)"),45542.66180555556)</f>
        <v>45542.66181</v>
      </c>
      <c r="C1195" s="5">
        <f>IFERROR(__xludf.DUMMYFUNCTION("""COMPUTED_VALUE"""),2633066.0)</f>
        <v>2633066</v>
      </c>
      <c r="D1195" s="2" t="str">
        <f>IFERROR(__xludf.DUMMYFUNCTION("""COMPUTED_VALUE"""),"Sale")</f>
        <v>Sale</v>
      </c>
      <c r="E1195" s="2" t="str">
        <f>IFERROR(__xludf.DUMMYFUNCTION("""COMPUTED_VALUE"""),"Minuman")</f>
        <v>Minuman</v>
      </c>
      <c r="F1195" s="2">
        <f>IFERROR(__xludf.DUMMYFUNCTION("""COMPUTED_VALUE"""),10026.0)</f>
        <v>10026</v>
      </c>
      <c r="G1195" s="2" t="str">
        <f>IFERROR(__xludf.DUMMYFUNCTION("""COMPUTED_VALUE"""),"Es Kopi Lemon")</f>
        <v>Es Kopi Lemon</v>
      </c>
      <c r="H1195" s="2"/>
      <c r="I1195" s="2"/>
      <c r="J1195" s="2">
        <f>IFERROR(__xludf.DUMMYFUNCTION("""COMPUTED_VALUE"""),1.0)</f>
        <v>1</v>
      </c>
      <c r="K1195" s="6">
        <f>IFERROR(__xludf.DUMMYFUNCTION("""COMPUTED_VALUE"""),21905.0)</f>
        <v>21905</v>
      </c>
      <c r="L1195" s="2">
        <f>IFERROR(__xludf.DUMMYFUNCTION("""COMPUTED_VALUE"""),0.0)</f>
        <v>0</v>
      </c>
      <c r="M1195" s="2">
        <f>IFERROR(__xludf.DUMMYFUNCTION("""COMPUTED_VALUE"""),21905.0)</f>
        <v>21905</v>
      </c>
      <c r="N1195" s="2">
        <f>IFERROR(__xludf.DUMMYFUNCTION("""COMPUTED_VALUE"""),0.0)</f>
        <v>0</v>
      </c>
      <c r="O1195" s="2">
        <f>IFERROR(__xludf.DUMMYFUNCTION("""COMPUTED_VALUE"""),21905.0)</f>
        <v>21905</v>
      </c>
      <c r="P1195" s="2">
        <f>IFERROR(__xludf.DUMMYFUNCTION("""COMPUTED_VALUE"""),1095.0)</f>
        <v>1095</v>
      </c>
      <c r="Q1195" s="2" t="str">
        <f>IFERROR(__xludf.DUMMYFUNCTION("""COMPUTED_VALUE"""),"Dine In")</f>
        <v>Dine In</v>
      </c>
      <c r="R1195" s="2" t="str">
        <f>IFERROR(__xludf.DUMMYFUNCTION("""COMPUTED_VALUE"""),"Kedai")</f>
        <v>Kedai</v>
      </c>
      <c r="S1195" s="2" t="str">
        <f>IFERROR(__xludf.DUMMYFUNCTION("""COMPUTED_VALUE"""),"Temu Roti")</f>
        <v>Temu Roti</v>
      </c>
      <c r="T1195" s="2" t="str">
        <f>IFERROR(__xludf.DUMMYFUNCTION("""COMPUTED_VALUE"""),"Owner")</f>
        <v>Owner</v>
      </c>
      <c r="U1195" s="2"/>
      <c r="V1195" s="2"/>
      <c r="W1195" s="2"/>
      <c r="X1195" s="2" t="str">
        <f>IFERROR(__xludf.DUMMYFUNCTION("""COMPUTED_VALUE"""),"Closed")</f>
        <v>Closed</v>
      </c>
    </row>
    <row r="1196">
      <c r="A1196" s="3" t="s">
        <v>1207</v>
      </c>
      <c r="B1196" s="4">
        <f>IFERROR(__xludf.DUMMYFUNCTION("SPLIT(A1196,"","",0,0)"),45542.65069444444)</f>
        <v>45542.65069</v>
      </c>
      <c r="C1196" s="5">
        <f>IFERROR(__xludf.DUMMYFUNCTION("""COMPUTED_VALUE"""),2632700.0)</f>
        <v>2632700</v>
      </c>
      <c r="D1196" s="2" t="str">
        <f>IFERROR(__xludf.DUMMYFUNCTION("""COMPUTED_VALUE"""),"Sale")</f>
        <v>Sale</v>
      </c>
      <c r="E1196" s="2" t="str">
        <f>IFERROR(__xludf.DUMMYFUNCTION("""COMPUTED_VALUE"""),"Roti")</f>
        <v>Roti</v>
      </c>
      <c r="F1196" s="2">
        <f>IFERROR(__xludf.DUMMYFUNCTION("""COMPUTED_VALUE"""),10002.0)</f>
        <v>10002</v>
      </c>
      <c r="G1196" s="2" t="str">
        <f>IFERROR(__xludf.DUMMYFUNCTION("""COMPUTED_VALUE"""),"Roti Cranberry")</f>
        <v>Roti Cranberry</v>
      </c>
      <c r="H1196" s="2"/>
      <c r="I1196" s="2"/>
      <c r="J1196" s="2">
        <f>IFERROR(__xludf.DUMMYFUNCTION("""COMPUTED_VALUE"""),1.0)</f>
        <v>1</v>
      </c>
      <c r="K1196" s="6">
        <f>IFERROR(__xludf.DUMMYFUNCTION("""COMPUTED_VALUE"""),18571.0)</f>
        <v>18571</v>
      </c>
      <c r="L1196" s="2">
        <f>IFERROR(__xludf.DUMMYFUNCTION("""COMPUTED_VALUE"""),0.0)</f>
        <v>0</v>
      </c>
      <c r="M1196" s="2">
        <f>IFERROR(__xludf.DUMMYFUNCTION("""COMPUTED_VALUE"""),18571.0)</f>
        <v>18571</v>
      </c>
      <c r="N1196" s="2">
        <f>IFERROR(__xludf.DUMMYFUNCTION("""COMPUTED_VALUE"""),0.0)</f>
        <v>0</v>
      </c>
      <c r="O1196" s="2">
        <f>IFERROR(__xludf.DUMMYFUNCTION("""COMPUTED_VALUE"""),18571.0)</f>
        <v>18571</v>
      </c>
      <c r="P1196" s="2">
        <f>IFERROR(__xludf.DUMMYFUNCTION("""COMPUTED_VALUE"""),929.0)</f>
        <v>929</v>
      </c>
      <c r="Q1196" s="2" t="str">
        <f>IFERROR(__xludf.DUMMYFUNCTION("""COMPUTED_VALUE"""),"Dine In")</f>
        <v>Dine In</v>
      </c>
      <c r="R1196" s="2" t="str">
        <f>IFERROR(__xludf.DUMMYFUNCTION("""COMPUTED_VALUE"""),"Kedai")</f>
        <v>Kedai</v>
      </c>
      <c r="S1196" s="2" t="str">
        <f>IFERROR(__xludf.DUMMYFUNCTION("""COMPUTED_VALUE"""),"Temu Roti")</f>
        <v>Temu Roti</v>
      </c>
      <c r="T1196" s="2" t="str">
        <f>IFERROR(__xludf.DUMMYFUNCTION("""COMPUTED_VALUE"""),"Owner")</f>
        <v>Owner</v>
      </c>
      <c r="U1196" s="2"/>
      <c r="V1196" s="2"/>
      <c r="W1196" s="2"/>
      <c r="X1196" s="2" t="str">
        <f>IFERROR(__xludf.DUMMYFUNCTION("""COMPUTED_VALUE"""),"Closed")</f>
        <v>Closed</v>
      </c>
    </row>
    <row r="1197">
      <c r="A1197" s="3" t="s">
        <v>1208</v>
      </c>
      <c r="B1197" s="4">
        <f>IFERROR(__xludf.DUMMYFUNCTION("SPLIT(A1197,"","",0,0)"),45542.65069444444)</f>
        <v>45542.65069</v>
      </c>
      <c r="C1197" s="5">
        <f>IFERROR(__xludf.DUMMYFUNCTION("""COMPUTED_VALUE"""),2632700.0)</f>
        <v>2632700</v>
      </c>
      <c r="D1197" s="2" t="str">
        <f>IFERROR(__xludf.DUMMYFUNCTION("""COMPUTED_VALUE"""),"Sale")</f>
        <v>Sale</v>
      </c>
      <c r="E1197" s="2" t="str">
        <f>IFERROR(__xludf.DUMMYFUNCTION("""COMPUTED_VALUE"""),"Roti")</f>
        <v>Roti</v>
      </c>
      <c r="F1197" s="2">
        <f>IFERROR(__xludf.DUMMYFUNCTION("""COMPUTED_VALUE"""),10005.0)</f>
        <v>10005</v>
      </c>
      <c r="G1197" s="2" t="str">
        <f>IFERROR(__xludf.DUMMYFUNCTION("""COMPUTED_VALUE"""),"Roti Gandum Cokelat")</f>
        <v>Roti Gandum Cokelat</v>
      </c>
      <c r="H1197" s="2"/>
      <c r="I1197" s="2"/>
      <c r="J1197" s="2">
        <f>IFERROR(__xludf.DUMMYFUNCTION("""COMPUTED_VALUE"""),1.0)</f>
        <v>1</v>
      </c>
      <c r="K1197" s="6">
        <f>IFERROR(__xludf.DUMMYFUNCTION("""COMPUTED_VALUE"""),19524.0)</f>
        <v>19524</v>
      </c>
      <c r="L1197" s="2">
        <f>IFERROR(__xludf.DUMMYFUNCTION("""COMPUTED_VALUE"""),0.0)</f>
        <v>0</v>
      </c>
      <c r="M1197" s="2">
        <f>IFERROR(__xludf.DUMMYFUNCTION("""COMPUTED_VALUE"""),19524.0)</f>
        <v>19524</v>
      </c>
      <c r="N1197" s="2">
        <f>IFERROR(__xludf.DUMMYFUNCTION("""COMPUTED_VALUE"""),0.0)</f>
        <v>0</v>
      </c>
      <c r="O1197" s="2">
        <f>IFERROR(__xludf.DUMMYFUNCTION("""COMPUTED_VALUE"""),19524.0)</f>
        <v>19524</v>
      </c>
      <c r="P1197" s="2">
        <f>IFERROR(__xludf.DUMMYFUNCTION("""COMPUTED_VALUE"""),976.0)</f>
        <v>976</v>
      </c>
      <c r="Q1197" s="2" t="str">
        <f>IFERROR(__xludf.DUMMYFUNCTION("""COMPUTED_VALUE"""),"Dine In")</f>
        <v>Dine In</v>
      </c>
      <c r="R1197" s="2" t="str">
        <f>IFERROR(__xludf.DUMMYFUNCTION("""COMPUTED_VALUE"""),"Kedai")</f>
        <v>Kedai</v>
      </c>
      <c r="S1197" s="2" t="str">
        <f>IFERROR(__xludf.DUMMYFUNCTION("""COMPUTED_VALUE"""),"Temu Roti")</f>
        <v>Temu Roti</v>
      </c>
      <c r="T1197" s="2" t="str">
        <f>IFERROR(__xludf.DUMMYFUNCTION("""COMPUTED_VALUE"""),"Owner")</f>
        <v>Owner</v>
      </c>
      <c r="U1197" s="2"/>
      <c r="V1197" s="2"/>
      <c r="W1197" s="2"/>
      <c r="X1197" s="2" t="str">
        <f>IFERROR(__xludf.DUMMYFUNCTION("""COMPUTED_VALUE"""),"Closed")</f>
        <v>Closed</v>
      </c>
    </row>
    <row r="1198">
      <c r="A1198" s="3" t="s">
        <v>1209</v>
      </c>
      <c r="B1198" s="4">
        <f>IFERROR(__xludf.DUMMYFUNCTION("SPLIT(A1198,"","",0,0)"),45542.63611111111)</f>
        <v>45542.63611</v>
      </c>
      <c r="C1198" s="5">
        <f>IFERROR(__xludf.DUMMYFUNCTION("""COMPUTED_VALUE"""),2632335.0)</f>
        <v>2632335</v>
      </c>
      <c r="D1198" s="2" t="str">
        <f>IFERROR(__xludf.DUMMYFUNCTION("""COMPUTED_VALUE"""),"Sale")</f>
        <v>Sale</v>
      </c>
      <c r="E1198" s="2" t="str">
        <f>IFERROR(__xludf.DUMMYFUNCTION("""COMPUTED_VALUE"""),"Roti")</f>
        <v>Roti</v>
      </c>
      <c r="F1198" s="2">
        <f>IFERROR(__xludf.DUMMYFUNCTION("""COMPUTED_VALUE"""),10002.0)</f>
        <v>10002</v>
      </c>
      <c r="G1198" s="2" t="str">
        <f>IFERROR(__xludf.DUMMYFUNCTION("""COMPUTED_VALUE"""),"Roti Cranberry")</f>
        <v>Roti Cranberry</v>
      </c>
      <c r="H1198" s="2"/>
      <c r="I1198" s="2"/>
      <c r="J1198" s="2">
        <f>IFERROR(__xludf.DUMMYFUNCTION("""COMPUTED_VALUE"""),1.0)</f>
        <v>1</v>
      </c>
      <c r="K1198" s="6">
        <f>IFERROR(__xludf.DUMMYFUNCTION("""COMPUTED_VALUE"""),18571.0)</f>
        <v>18571</v>
      </c>
      <c r="L1198" s="2">
        <f>IFERROR(__xludf.DUMMYFUNCTION("""COMPUTED_VALUE"""),0.0)</f>
        <v>0</v>
      </c>
      <c r="M1198" s="2">
        <f>IFERROR(__xludf.DUMMYFUNCTION("""COMPUTED_VALUE"""),18571.0)</f>
        <v>18571</v>
      </c>
      <c r="N1198" s="2">
        <f>IFERROR(__xludf.DUMMYFUNCTION("""COMPUTED_VALUE"""),0.0)</f>
        <v>0</v>
      </c>
      <c r="O1198" s="2">
        <f>IFERROR(__xludf.DUMMYFUNCTION("""COMPUTED_VALUE"""),18571.0)</f>
        <v>18571</v>
      </c>
      <c r="P1198" s="2">
        <f>IFERROR(__xludf.DUMMYFUNCTION("""COMPUTED_VALUE"""),929.0)</f>
        <v>929</v>
      </c>
      <c r="Q1198" s="2" t="str">
        <f>IFERROR(__xludf.DUMMYFUNCTION("""COMPUTED_VALUE"""),"Dine In")</f>
        <v>Dine In</v>
      </c>
      <c r="R1198" s="2" t="str">
        <f>IFERROR(__xludf.DUMMYFUNCTION("""COMPUTED_VALUE"""),"Kedai")</f>
        <v>Kedai</v>
      </c>
      <c r="S1198" s="2" t="str">
        <f>IFERROR(__xludf.DUMMYFUNCTION("""COMPUTED_VALUE"""),"Temu Roti")</f>
        <v>Temu Roti</v>
      </c>
      <c r="T1198" s="2" t="str">
        <f>IFERROR(__xludf.DUMMYFUNCTION("""COMPUTED_VALUE"""),"Owner")</f>
        <v>Owner</v>
      </c>
      <c r="U1198" s="2"/>
      <c r="V1198" s="2"/>
      <c r="W1198" s="2"/>
      <c r="X1198" s="2" t="str">
        <f>IFERROR(__xludf.DUMMYFUNCTION("""COMPUTED_VALUE"""),"Closed")</f>
        <v>Closed</v>
      </c>
    </row>
    <row r="1199">
      <c r="A1199" s="3" t="s">
        <v>1210</v>
      </c>
      <c r="B1199" s="4">
        <f>IFERROR(__xludf.DUMMYFUNCTION("SPLIT(A1199,"","",0,0)"),45542.63125)</f>
        <v>45542.63125</v>
      </c>
      <c r="C1199" s="5">
        <f>IFERROR(__xludf.DUMMYFUNCTION("""COMPUTED_VALUE"""),2631970.0)</f>
        <v>2631970</v>
      </c>
      <c r="D1199" s="2" t="str">
        <f>IFERROR(__xludf.DUMMYFUNCTION("""COMPUTED_VALUE"""),"Sale")</f>
        <v>Sale</v>
      </c>
      <c r="E1199" s="2" t="str">
        <f>IFERROR(__xludf.DUMMYFUNCTION("""COMPUTED_VALUE"""),"Roti")</f>
        <v>Roti</v>
      </c>
      <c r="F1199" s="2">
        <f>IFERROR(__xludf.DUMMYFUNCTION("""COMPUTED_VALUE"""),10054.0)</f>
        <v>10054</v>
      </c>
      <c r="G1199" s="2" t="str">
        <f>IFERROR(__xludf.DUMMYFUNCTION("""COMPUTED_VALUE"""),"Roti toast eskrim")</f>
        <v>Roti toast eskrim</v>
      </c>
      <c r="H1199" s="2"/>
      <c r="I1199" s="2"/>
      <c r="J1199" s="2">
        <f>IFERROR(__xludf.DUMMYFUNCTION("""COMPUTED_VALUE"""),1.0)</f>
        <v>1</v>
      </c>
      <c r="K1199" s="6">
        <f>IFERROR(__xludf.DUMMYFUNCTION("""COMPUTED_VALUE"""),25238.0)</f>
        <v>25238</v>
      </c>
      <c r="L1199" s="2">
        <f>IFERROR(__xludf.DUMMYFUNCTION("""COMPUTED_VALUE"""),0.0)</f>
        <v>0</v>
      </c>
      <c r="M1199" s="2">
        <f>IFERROR(__xludf.DUMMYFUNCTION("""COMPUTED_VALUE"""),25238.0)</f>
        <v>25238</v>
      </c>
      <c r="N1199" s="2">
        <f>IFERROR(__xludf.DUMMYFUNCTION("""COMPUTED_VALUE"""),0.0)</f>
        <v>0</v>
      </c>
      <c r="O1199" s="2">
        <f>IFERROR(__xludf.DUMMYFUNCTION("""COMPUTED_VALUE"""),25238.0)</f>
        <v>25238</v>
      </c>
      <c r="P1199" s="2">
        <f>IFERROR(__xludf.DUMMYFUNCTION("""COMPUTED_VALUE"""),1262.0)</f>
        <v>1262</v>
      </c>
      <c r="Q1199" s="2" t="str">
        <f>IFERROR(__xludf.DUMMYFUNCTION("""COMPUTED_VALUE"""),"Dine In")</f>
        <v>Dine In</v>
      </c>
      <c r="R1199" s="2" t="str">
        <f>IFERROR(__xludf.DUMMYFUNCTION("""COMPUTED_VALUE"""),"Kedai")</f>
        <v>Kedai</v>
      </c>
      <c r="S1199" s="2" t="str">
        <f>IFERROR(__xludf.DUMMYFUNCTION("""COMPUTED_VALUE"""),"Temu Roti")</f>
        <v>Temu Roti</v>
      </c>
      <c r="T1199" s="2" t="str">
        <f>IFERROR(__xludf.DUMMYFUNCTION("""COMPUTED_VALUE"""),"Owner")</f>
        <v>Owner</v>
      </c>
      <c r="U1199" s="2"/>
      <c r="V1199" s="2"/>
      <c r="W1199" s="2"/>
      <c r="X1199" s="2" t="str">
        <f>IFERROR(__xludf.DUMMYFUNCTION("""COMPUTED_VALUE"""),"Closed")</f>
        <v>Closed</v>
      </c>
    </row>
    <row r="1200">
      <c r="A1200" s="3" t="s">
        <v>1211</v>
      </c>
      <c r="B1200" s="4">
        <f>IFERROR(__xludf.DUMMYFUNCTION("SPLIT(A1200,"","",0,0)"),45542.63125)</f>
        <v>45542.63125</v>
      </c>
      <c r="C1200" s="5">
        <f>IFERROR(__xludf.DUMMYFUNCTION("""COMPUTED_VALUE"""),2631970.0)</f>
        <v>2631970</v>
      </c>
      <c r="D1200" s="2" t="str">
        <f>IFERROR(__xludf.DUMMYFUNCTION("""COMPUTED_VALUE"""),"Sale")</f>
        <v>Sale</v>
      </c>
      <c r="E1200" s="2" t="str">
        <f>IFERROR(__xludf.DUMMYFUNCTION("""COMPUTED_VALUE"""),"Kudapan")</f>
        <v>Kudapan</v>
      </c>
      <c r="F1200" s="2">
        <f>IFERROR(__xludf.DUMMYFUNCTION("""COMPUTED_VALUE"""),10015.0)</f>
        <v>10015</v>
      </c>
      <c r="G1200" s="2" t="str">
        <f>IFERROR(__xludf.DUMMYFUNCTION("""COMPUTED_VALUE"""),"Tahu Lada Garam")</f>
        <v>Tahu Lada Garam</v>
      </c>
      <c r="H1200" s="2"/>
      <c r="I1200" s="2"/>
      <c r="J1200" s="2">
        <f>IFERROR(__xludf.DUMMYFUNCTION("""COMPUTED_VALUE"""),1.0)</f>
        <v>1</v>
      </c>
      <c r="K1200" s="6">
        <f>IFERROR(__xludf.DUMMYFUNCTION("""COMPUTED_VALUE"""),25238.0)</f>
        <v>25238</v>
      </c>
      <c r="L1200" s="2">
        <f>IFERROR(__xludf.DUMMYFUNCTION("""COMPUTED_VALUE"""),0.0)</f>
        <v>0</v>
      </c>
      <c r="M1200" s="2">
        <f>IFERROR(__xludf.DUMMYFUNCTION("""COMPUTED_VALUE"""),25238.0)</f>
        <v>25238</v>
      </c>
      <c r="N1200" s="2">
        <f>IFERROR(__xludf.DUMMYFUNCTION("""COMPUTED_VALUE"""),0.0)</f>
        <v>0</v>
      </c>
      <c r="O1200" s="2">
        <f>IFERROR(__xludf.DUMMYFUNCTION("""COMPUTED_VALUE"""),25238.0)</f>
        <v>25238</v>
      </c>
      <c r="P1200" s="2">
        <f>IFERROR(__xludf.DUMMYFUNCTION("""COMPUTED_VALUE"""),1262.0)</f>
        <v>1262</v>
      </c>
      <c r="Q1200" s="2" t="str">
        <f>IFERROR(__xludf.DUMMYFUNCTION("""COMPUTED_VALUE"""),"Dine In")</f>
        <v>Dine In</v>
      </c>
      <c r="R1200" s="2" t="str">
        <f>IFERROR(__xludf.DUMMYFUNCTION("""COMPUTED_VALUE"""),"Kedai")</f>
        <v>Kedai</v>
      </c>
      <c r="S1200" s="2" t="str">
        <f>IFERROR(__xludf.DUMMYFUNCTION("""COMPUTED_VALUE"""),"Temu Roti")</f>
        <v>Temu Roti</v>
      </c>
      <c r="T1200" s="2" t="str">
        <f>IFERROR(__xludf.DUMMYFUNCTION("""COMPUTED_VALUE"""),"Owner")</f>
        <v>Owner</v>
      </c>
      <c r="U1200" s="2"/>
      <c r="V1200" s="2"/>
      <c r="W1200" s="2"/>
      <c r="X1200" s="2" t="str">
        <f>IFERROR(__xludf.DUMMYFUNCTION("""COMPUTED_VALUE"""),"Closed")</f>
        <v>Closed</v>
      </c>
    </row>
    <row r="1201">
      <c r="A1201" s="3" t="s">
        <v>1212</v>
      </c>
      <c r="B1201" s="4">
        <f>IFERROR(__xludf.DUMMYFUNCTION("SPLIT(A1201,"","",0,0)"),45542.63125)</f>
        <v>45542.63125</v>
      </c>
      <c r="C1201" s="5">
        <f>IFERROR(__xludf.DUMMYFUNCTION("""COMPUTED_VALUE"""),2631970.0)</f>
        <v>2631970</v>
      </c>
      <c r="D1201" s="2" t="str">
        <f>IFERROR(__xludf.DUMMYFUNCTION("""COMPUTED_VALUE"""),"Sale")</f>
        <v>Sale</v>
      </c>
      <c r="E1201" s="2" t="str">
        <f>IFERROR(__xludf.DUMMYFUNCTION("""COMPUTED_VALUE"""),"Minuman")</f>
        <v>Minuman</v>
      </c>
      <c r="F1201" s="2">
        <f>IFERROR(__xludf.DUMMYFUNCTION("""COMPUTED_VALUE"""),10112.0)</f>
        <v>10112</v>
      </c>
      <c r="G1201" s="2" t="str">
        <f>IFERROR(__xludf.DUMMYFUNCTION("""COMPUTED_VALUE"""),"Air mineral")</f>
        <v>Air mineral</v>
      </c>
      <c r="H1201" s="2"/>
      <c r="I1201" s="2"/>
      <c r="J1201" s="2">
        <f>IFERROR(__xludf.DUMMYFUNCTION("""COMPUTED_VALUE"""),1.0)</f>
        <v>1</v>
      </c>
      <c r="K1201" s="6">
        <f>IFERROR(__xludf.DUMMYFUNCTION("""COMPUTED_VALUE"""),6667.0)</f>
        <v>6667</v>
      </c>
      <c r="L1201" s="2">
        <f>IFERROR(__xludf.DUMMYFUNCTION("""COMPUTED_VALUE"""),0.0)</f>
        <v>0</v>
      </c>
      <c r="M1201" s="2">
        <f>IFERROR(__xludf.DUMMYFUNCTION("""COMPUTED_VALUE"""),6667.0)</f>
        <v>6667</v>
      </c>
      <c r="N1201" s="2">
        <f>IFERROR(__xludf.DUMMYFUNCTION("""COMPUTED_VALUE"""),0.0)</f>
        <v>0</v>
      </c>
      <c r="O1201" s="2">
        <f>IFERROR(__xludf.DUMMYFUNCTION("""COMPUTED_VALUE"""),6667.0)</f>
        <v>6667</v>
      </c>
      <c r="P1201" s="2">
        <f>IFERROR(__xludf.DUMMYFUNCTION("""COMPUTED_VALUE"""),333.0)</f>
        <v>333</v>
      </c>
      <c r="Q1201" s="2" t="str">
        <f>IFERROR(__xludf.DUMMYFUNCTION("""COMPUTED_VALUE"""),"Dine In")</f>
        <v>Dine In</v>
      </c>
      <c r="R1201" s="2" t="str">
        <f>IFERROR(__xludf.DUMMYFUNCTION("""COMPUTED_VALUE"""),"Kedai")</f>
        <v>Kedai</v>
      </c>
      <c r="S1201" s="2" t="str">
        <f>IFERROR(__xludf.DUMMYFUNCTION("""COMPUTED_VALUE"""),"Temu Roti")</f>
        <v>Temu Roti</v>
      </c>
      <c r="T1201" s="2" t="str">
        <f>IFERROR(__xludf.DUMMYFUNCTION("""COMPUTED_VALUE"""),"Owner")</f>
        <v>Owner</v>
      </c>
      <c r="U1201" s="2"/>
      <c r="V1201" s="2"/>
      <c r="W1201" s="2"/>
      <c r="X1201" s="2" t="str">
        <f>IFERROR(__xludf.DUMMYFUNCTION("""COMPUTED_VALUE"""),"Closed")</f>
        <v>Closed</v>
      </c>
    </row>
    <row r="1202">
      <c r="A1202" s="3" t="s">
        <v>1213</v>
      </c>
      <c r="B1202" s="4">
        <f>IFERROR(__xludf.DUMMYFUNCTION("SPLIT(A1202,"","",0,0)"),45542.62986111111)</f>
        <v>45542.62986</v>
      </c>
      <c r="C1202" s="5">
        <f>IFERROR(__xludf.DUMMYFUNCTION("""COMPUTED_VALUE"""),2631605.0)</f>
        <v>2631605</v>
      </c>
      <c r="D1202" s="2" t="str">
        <f>IFERROR(__xludf.DUMMYFUNCTION("""COMPUTED_VALUE"""),"Sale")</f>
        <v>Sale</v>
      </c>
      <c r="E1202" s="2" t="str">
        <f>IFERROR(__xludf.DUMMYFUNCTION("""COMPUTED_VALUE"""),"Minuman")</f>
        <v>Minuman</v>
      </c>
      <c r="F1202" s="2">
        <f>IFERROR(__xludf.DUMMYFUNCTION("""COMPUTED_VALUE"""),10128.0)</f>
        <v>10128</v>
      </c>
      <c r="G1202" s="2" t="str">
        <f>IFERROR(__xludf.DUMMYFUNCTION("""COMPUTED_VALUE"""),"Es Kopi Susu")</f>
        <v>Es Kopi Susu</v>
      </c>
      <c r="H1202" s="2"/>
      <c r="I1202" s="2"/>
      <c r="J1202" s="2">
        <f>IFERROR(__xludf.DUMMYFUNCTION("""COMPUTED_VALUE"""),2.0)</f>
        <v>2</v>
      </c>
      <c r="K1202" s="6">
        <f>IFERROR(__xludf.DUMMYFUNCTION("""COMPUTED_VALUE"""),46666.0)</f>
        <v>46666</v>
      </c>
      <c r="L1202" s="2">
        <f>IFERROR(__xludf.DUMMYFUNCTION("""COMPUTED_VALUE"""),0.0)</f>
        <v>0</v>
      </c>
      <c r="M1202" s="2">
        <f>IFERROR(__xludf.DUMMYFUNCTION("""COMPUTED_VALUE"""),46666.0)</f>
        <v>46666</v>
      </c>
      <c r="N1202" s="2">
        <f>IFERROR(__xludf.DUMMYFUNCTION("""COMPUTED_VALUE"""),0.0)</f>
        <v>0</v>
      </c>
      <c r="O1202" s="2">
        <f>IFERROR(__xludf.DUMMYFUNCTION("""COMPUTED_VALUE"""),46666.0)</f>
        <v>46666</v>
      </c>
      <c r="P1202" s="2">
        <f>IFERROR(__xludf.DUMMYFUNCTION("""COMPUTED_VALUE"""),2333.0)</f>
        <v>2333</v>
      </c>
      <c r="Q1202" s="2" t="str">
        <f>IFERROR(__xludf.DUMMYFUNCTION("""COMPUTED_VALUE"""),"Dine In")</f>
        <v>Dine In</v>
      </c>
      <c r="R1202" s="2" t="str">
        <f>IFERROR(__xludf.DUMMYFUNCTION("""COMPUTED_VALUE"""),"Kedai")</f>
        <v>Kedai</v>
      </c>
      <c r="S1202" s="2" t="str">
        <f>IFERROR(__xludf.DUMMYFUNCTION("""COMPUTED_VALUE"""),"Temu Roti")</f>
        <v>Temu Roti</v>
      </c>
      <c r="T1202" s="2" t="str">
        <f>IFERROR(__xludf.DUMMYFUNCTION("""COMPUTED_VALUE"""),"Owner")</f>
        <v>Owner</v>
      </c>
      <c r="U1202" s="2"/>
      <c r="V1202" s="2"/>
      <c r="W1202" s="2"/>
      <c r="X1202" s="2" t="str">
        <f>IFERROR(__xludf.DUMMYFUNCTION("""COMPUTED_VALUE"""),"Closed")</f>
        <v>Closed</v>
      </c>
    </row>
    <row r="1203">
      <c r="A1203" s="3" t="s">
        <v>1214</v>
      </c>
      <c r="B1203" s="4">
        <f>IFERROR(__xludf.DUMMYFUNCTION("SPLIT(A1203,"","",0,0)"),45542.62986111111)</f>
        <v>45542.62986</v>
      </c>
      <c r="C1203" s="5">
        <f>IFERROR(__xludf.DUMMYFUNCTION("""COMPUTED_VALUE"""),2631605.0)</f>
        <v>2631605</v>
      </c>
      <c r="D1203" s="2" t="str">
        <f>IFERROR(__xludf.DUMMYFUNCTION("""COMPUTED_VALUE"""),"Sale")</f>
        <v>Sale</v>
      </c>
      <c r="E1203" s="2" t="str">
        <f>IFERROR(__xludf.DUMMYFUNCTION("""COMPUTED_VALUE"""),"Minuman")</f>
        <v>Minuman</v>
      </c>
      <c r="F1203" s="2">
        <f>IFERROR(__xludf.DUMMYFUNCTION("""COMPUTED_VALUE"""),10067.0)</f>
        <v>10067</v>
      </c>
      <c r="G1203" s="2" t="str">
        <f>IFERROR(__xludf.DUMMYFUNCTION("""COMPUTED_VALUE"""),"Wedang angin")</f>
        <v>Wedang angin</v>
      </c>
      <c r="H1203" s="2"/>
      <c r="I1203" s="2"/>
      <c r="J1203" s="2">
        <f>IFERROR(__xludf.DUMMYFUNCTION("""COMPUTED_VALUE"""),1.0)</f>
        <v>1</v>
      </c>
      <c r="K1203" s="6">
        <f>IFERROR(__xludf.DUMMYFUNCTION("""COMPUTED_VALUE"""),24762.0)</f>
        <v>24762</v>
      </c>
      <c r="L1203" s="2">
        <f>IFERROR(__xludf.DUMMYFUNCTION("""COMPUTED_VALUE"""),0.0)</f>
        <v>0</v>
      </c>
      <c r="M1203" s="2">
        <f>IFERROR(__xludf.DUMMYFUNCTION("""COMPUTED_VALUE"""),24762.0)</f>
        <v>24762</v>
      </c>
      <c r="N1203" s="2">
        <f>IFERROR(__xludf.DUMMYFUNCTION("""COMPUTED_VALUE"""),0.0)</f>
        <v>0</v>
      </c>
      <c r="O1203" s="2">
        <f>IFERROR(__xludf.DUMMYFUNCTION("""COMPUTED_VALUE"""),24762.0)</f>
        <v>24762</v>
      </c>
      <c r="P1203" s="2">
        <f>IFERROR(__xludf.DUMMYFUNCTION("""COMPUTED_VALUE"""),1238.0)</f>
        <v>1238</v>
      </c>
      <c r="Q1203" s="2" t="str">
        <f>IFERROR(__xludf.DUMMYFUNCTION("""COMPUTED_VALUE"""),"Dine In")</f>
        <v>Dine In</v>
      </c>
      <c r="R1203" s="2" t="str">
        <f>IFERROR(__xludf.DUMMYFUNCTION("""COMPUTED_VALUE"""),"Kedai")</f>
        <v>Kedai</v>
      </c>
      <c r="S1203" s="2" t="str">
        <f>IFERROR(__xludf.DUMMYFUNCTION("""COMPUTED_VALUE"""),"Temu Roti")</f>
        <v>Temu Roti</v>
      </c>
      <c r="T1203" s="2" t="str">
        <f>IFERROR(__xludf.DUMMYFUNCTION("""COMPUTED_VALUE"""),"Owner")</f>
        <v>Owner</v>
      </c>
      <c r="U1203" s="2"/>
      <c r="V1203" s="2"/>
      <c r="W1203" s="2"/>
      <c r="X1203" s="2" t="str">
        <f>IFERROR(__xludf.DUMMYFUNCTION("""COMPUTED_VALUE"""),"Closed")</f>
        <v>Closed</v>
      </c>
    </row>
    <row r="1204">
      <c r="A1204" s="3" t="s">
        <v>1215</v>
      </c>
      <c r="B1204" s="4">
        <f>IFERROR(__xludf.DUMMYFUNCTION("SPLIT(A1204,"","",0,0)"),45542.62986111111)</f>
        <v>45542.62986</v>
      </c>
      <c r="C1204" s="5">
        <f>IFERROR(__xludf.DUMMYFUNCTION("""COMPUTED_VALUE"""),2631605.0)</f>
        <v>2631605</v>
      </c>
      <c r="D1204" s="2" t="str">
        <f>IFERROR(__xludf.DUMMYFUNCTION("""COMPUTED_VALUE"""),"Sale")</f>
        <v>Sale</v>
      </c>
      <c r="E1204" s="2" t="str">
        <f>IFERROR(__xludf.DUMMYFUNCTION("""COMPUTED_VALUE"""),"Roti")</f>
        <v>Roti</v>
      </c>
      <c r="F1204" s="2">
        <f>IFERROR(__xludf.DUMMYFUNCTION("""COMPUTED_VALUE"""),10007.0)</f>
        <v>10007</v>
      </c>
      <c r="G1204" s="2" t="str">
        <f>IFERROR(__xludf.DUMMYFUNCTION("""COMPUTED_VALUE"""),"Roti cranberry 2 pcs")</f>
        <v>Roti cranberry 2 pcs</v>
      </c>
      <c r="H1204" s="2"/>
      <c r="I1204" s="2"/>
      <c r="J1204" s="2">
        <f>IFERROR(__xludf.DUMMYFUNCTION("""COMPUTED_VALUE"""),1.0)</f>
        <v>1</v>
      </c>
      <c r="K1204" s="6">
        <f>IFERROR(__xludf.DUMMYFUNCTION("""COMPUTED_VALUE"""),33810.0)</f>
        <v>33810</v>
      </c>
      <c r="L1204" s="2">
        <f>IFERROR(__xludf.DUMMYFUNCTION("""COMPUTED_VALUE"""),0.0)</f>
        <v>0</v>
      </c>
      <c r="M1204" s="2">
        <f>IFERROR(__xludf.DUMMYFUNCTION("""COMPUTED_VALUE"""),33810.0)</f>
        <v>33810</v>
      </c>
      <c r="N1204" s="2">
        <f>IFERROR(__xludf.DUMMYFUNCTION("""COMPUTED_VALUE"""),0.0)</f>
        <v>0</v>
      </c>
      <c r="O1204" s="2">
        <f>IFERROR(__xludf.DUMMYFUNCTION("""COMPUTED_VALUE"""),33810.0)</f>
        <v>33810</v>
      </c>
      <c r="P1204" s="2">
        <f>IFERROR(__xludf.DUMMYFUNCTION("""COMPUTED_VALUE"""),1691.0)</f>
        <v>1691</v>
      </c>
      <c r="Q1204" s="2" t="str">
        <f>IFERROR(__xludf.DUMMYFUNCTION("""COMPUTED_VALUE"""),"Dine In")</f>
        <v>Dine In</v>
      </c>
      <c r="R1204" s="2" t="str">
        <f>IFERROR(__xludf.DUMMYFUNCTION("""COMPUTED_VALUE"""),"Kedai")</f>
        <v>Kedai</v>
      </c>
      <c r="S1204" s="2" t="str">
        <f>IFERROR(__xludf.DUMMYFUNCTION("""COMPUTED_VALUE"""),"Temu Roti")</f>
        <v>Temu Roti</v>
      </c>
      <c r="T1204" s="2" t="str">
        <f>IFERROR(__xludf.DUMMYFUNCTION("""COMPUTED_VALUE"""),"Owner")</f>
        <v>Owner</v>
      </c>
      <c r="U1204" s="2"/>
      <c r="V1204" s="2"/>
      <c r="W1204" s="2"/>
      <c r="X1204" s="2" t="str">
        <f>IFERROR(__xludf.DUMMYFUNCTION("""COMPUTED_VALUE"""),"Closed")</f>
        <v>Closed</v>
      </c>
    </row>
    <row r="1205">
      <c r="A1205" s="3" t="s">
        <v>1216</v>
      </c>
      <c r="B1205" s="4">
        <f>IFERROR(__xludf.DUMMYFUNCTION("SPLIT(A1205,"","",0,0)"),45542.62986111111)</f>
        <v>45542.62986</v>
      </c>
      <c r="C1205" s="5">
        <f>IFERROR(__xludf.DUMMYFUNCTION("""COMPUTED_VALUE"""),2631605.0)</f>
        <v>2631605</v>
      </c>
      <c r="D1205" s="2" t="str">
        <f>IFERROR(__xludf.DUMMYFUNCTION("""COMPUTED_VALUE"""),"Sale")</f>
        <v>Sale</v>
      </c>
      <c r="E1205" s="2" t="str">
        <f>IFERROR(__xludf.DUMMYFUNCTION("""COMPUTED_VALUE"""),"Roti")</f>
        <v>Roti</v>
      </c>
      <c r="F1205" s="2">
        <f>IFERROR(__xludf.DUMMYFUNCTION("""COMPUTED_VALUE"""),10033.0)</f>
        <v>10033</v>
      </c>
      <c r="G1205" s="2" t="str">
        <f>IFERROR(__xludf.DUMMYFUNCTION("""COMPUTED_VALUE"""),"Roti panggang sarikaya")</f>
        <v>Roti panggang sarikaya</v>
      </c>
      <c r="H1205" s="2"/>
      <c r="I1205" s="2"/>
      <c r="J1205" s="2">
        <f>IFERROR(__xludf.DUMMYFUNCTION("""COMPUTED_VALUE"""),1.0)</f>
        <v>1</v>
      </c>
      <c r="K1205" s="6">
        <f>IFERROR(__xludf.DUMMYFUNCTION("""COMPUTED_VALUE"""),21905.0)</f>
        <v>21905</v>
      </c>
      <c r="L1205" s="2">
        <f>IFERROR(__xludf.DUMMYFUNCTION("""COMPUTED_VALUE"""),0.0)</f>
        <v>0</v>
      </c>
      <c r="M1205" s="2">
        <f>IFERROR(__xludf.DUMMYFUNCTION("""COMPUTED_VALUE"""),21905.0)</f>
        <v>21905</v>
      </c>
      <c r="N1205" s="2">
        <f>IFERROR(__xludf.DUMMYFUNCTION("""COMPUTED_VALUE"""),0.0)</f>
        <v>0</v>
      </c>
      <c r="O1205" s="2">
        <f>IFERROR(__xludf.DUMMYFUNCTION("""COMPUTED_VALUE"""),21905.0)</f>
        <v>21905</v>
      </c>
      <c r="P1205" s="2">
        <f>IFERROR(__xludf.DUMMYFUNCTION("""COMPUTED_VALUE"""),1095.0)</f>
        <v>1095</v>
      </c>
      <c r="Q1205" s="2" t="str">
        <f>IFERROR(__xludf.DUMMYFUNCTION("""COMPUTED_VALUE"""),"Dine In")</f>
        <v>Dine In</v>
      </c>
      <c r="R1205" s="2" t="str">
        <f>IFERROR(__xludf.DUMMYFUNCTION("""COMPUTED_VALUE"""),"Kedai")</f>
        <v>Kedai</v>
      </c>
      <c r="S1205" s="2" t="str">
        <f>IFERROR(__xludf.DUMMYFUNCTION("""COMPUTED_VALUE"""),"Temu Roti")</f>
        <v>Temu Roti</v>
      </c>
      <c r="T1205" s="2" t="str">
        <f>IFERROR(__xludf.DUMMYFUNCTION("""COMPUTED_VALUE"""),"Owner")</f>
        <v>Owner</v>
      </c>
      <c r="U1205" s="2"/>
      <c r="V1205" s="2"/>
      <c r="W1205" s="2"/>
      <c r="X1205" s="2" t="str">
        <f>IFERROR(__xludf.DUMMYFUNCTION("""COMPUTED_VALUE"""),"Closed")</f>
        <v>Closed</v>
      </c>
    </row>
    <row r="1206">
      <c r="A1206" s="3" t="s">
        <v>1217</v>
      </c>
      <c r="B1206" s="4">
        <f>IFERROR(__xludf.DUMMYFUNCTION("SPLIT(A1206,"","",0,0)"),45542.55069444444)</f>
        <v>45542.55069</v>
      </c>
      <c r="C1206" s="5">
        <f>IFERROR(__xludf.DUMMYFUNCTION("""COMPUTED_VALUE"""),2631239.0)</f>
        <v>2631239</v>
      </c>
      <c r="D1206" s="2" t="str">
        <f>IFERROR(__xludf.DUMMYFUNCTION("""COMPUTED_VALUE"""),"Sale")</f>
        <v>Sale</v>
      </c>
      <c r="E1206" s="2" t="str">
        <f>IFERROR(__xludf.DUMMYFUNCTION("""COMPUTED_VALUE"""),"Minuman")</f>
        <v>Minuman</v>
      </c>
      <c r="F1206" s="2">
        <f>IFERROR(__xludf.DUMMYFUNCTION("""COMPUTED_VALUE"""),10112.0)</f>
        <v>10112</v>
      </c>
      <c r="G1206" s="2" t="str">
        <f>IFERROR(__xludf.DUMMYFUNCTION("""COMPUTED_VALUE"""),"Air mineral")</f>
        <v>Air mineral</v>
      </c>
      <c r="H1206" s="2"/>
      <c r="I1206" s="2"/>
      <c r="J1206" s="2">
        <f>IFERROR(__xludf.DUMMYFUNCTION("""COMPUTED_VALUE"""),1.0)</f>
        <v>1</v>
      </c>
      <c r="K1206" s="6">
        <f>IFERROR(__xludf.DUMMYFUNCTION("""COMPUTED_VALUE"""),6667.0)</f>
        <v>6667</v>
      </c>
      <c r="L1206" s="2">
        <f>IFERROR(__xludf.DUMMYFUNCTION("""COMPUTED_VALUE"""),0.0)</f>
        <v>0</v>
      </c>
      <c r="M1206" s="2">
        <f>IFERROR(__xludf.DUMMYFUNCTION("""COMPUTED_VALUE"""),6667.0)</f>
        <v>6667</v>
      </c>
      <c r="N1206" s="2">
        <f>IFERROR(__xludf.DUMMYFUNCTION("""COMPUTED_VALUE"""),0.0)</f>
        <v>0</v>
      </c>
      <c r="O1206" s="2">
        <f>IFERROR(__xludf.DUMMYFUNCTION("""COMPUTED_VALUE"""),6667.0)</f>
        <v>6667</v>
      </c>
      <c r="P1206" s="2">
        <f>IFERROR(__xludf.DUMMYFUNCTION("""COMPUTED_VALUE"""),333.0)</f>
        <v>333</v>
      </c>
      <c r="Q1206" s="2" t="str">
        <f>IFERROR(__xludf.DUMMYFUNCTION("""COMPUTED_VALUE"""),"Dine In")</f>
        <v>Dine In</v>
      </c>
      <c r="R1206" s="2" t="str">
        <f>IFERROR(__xludf.DUMMYFUNCTION("""COMPUTED_VALUE"""),"Kedai")</f>
        <v>Kedai</v>
      </c>
      <c r="S1206" s="2" t="str">
        <f>IFERROR(__xludf.DUMMYFUNCTION("""COMPUTED_VALUE"""),"Temu Roti")</f>
        <v>Temu Roti</v>
      </c>
      <c r="T1206" s="2" t="str">
        <f>IFERROR(__xludf.DUMMYFUNCTION("""COMPUTED_VALUE"""),"Owner")</f>
        <v>Owner</v>
      </c>
      <c r="U1206" s="2"/>
      <c r="V1206" s="2"/>
      <c r="W1206" s="2"/>
      <c r="X1206" s="2" t="str">
        <f>IFERROR(__xludf.DUMMYFUNCTION("""COMPUTED_VALUE"""),"Closed")</f>
        <v>Closed</v>
      </c>
    </row>
    <row r="1207">
      <c r="A1207" s="3" t="s">
        <v>1218</v>
      </c>
      <c r="B1207" s="4">
        <f>IFERROR(__xludf.DUMMYFUNCTION("SPLIT(A1207,"","",0,0)"),45542.55069444444)</f>
        <v>45542.55069</v>
      </c>
      <c r="C1207" s="5">
        <f>IFERROR(__xludf.DUMMYFUNCTION("""COMPUTED_VALUE"""),2631239.0)</f>
        <v>2631239</v>
      </c>
      <c r="D1207" s="2" t="str">
        <f>IFERROR(__xludf.DUMMYFUNCTION("""COMPUTED_VALUE"""),"Sale")</f>
        <v>Sale</v>
      </c>
      <c r="E1207" s="2" t="str">
        <f>IFERROR(__xludf.DUMMYFUNCTION("""COMPUTED_VALUE"""),"Kudapan")</f>
        <v>Kudapan</v>
      </c>
      <c r="F1207" s="2">
        <f>IFERROR(__xludf.DUMMYFUNCTION("""COMPUTED_VALUE"""),10014.0)</f>
        <v>10014</v>
      </c>
      <c r="G1207" s="2" t="str">
        <f>IFERROR(__xludf.DUMMYFUNCTION("""COMPUTED_VALUE"""),"Tempe Mendoan")</f>
        <v>Tempe Mendoan</v>
      </c>
      <c r="H1207" s="2"/>
      <c r="I1207" s="2"/>
      <c r="J1207" s="2">
        <f>IFERROR(__xludf.DUMMYFUNCTION("""COMPUTED_VALUE"""),1.0)</f>
        <v>1</v>
      </c>
      <c r="K1207" s="6">
        <f>IFERROR(__xludf.DUMMYFUNCTION("""COMPUTED_VALUE"""),25238.0)</f>
        <v>25238</v>
      </c>
      <c r="L1207" s="2">
        <f>IFERROR(__xludf.DUMMYFUNCTION("""COMPUTED_VALUE"""),0.0)</f>
        <v>0</v>
      </c>
      <c r="M1207" s="2">
        <f>IFERROR(__xludf.DUMMYFUNCTION("""COMPUTED_VALUE"""),25238.0)</f>
        <v>25238</v>
      </c>
      <c r="N1207" s="2">
        <f>IFERROR(__xludf.DUMMYFUNCTION("""COMPUTED_VALUE"""),0.0)</f>
        <v>0</v>
      </c>
      <c r="O1207" s="2">
        <f>IFERROR(__xludf.DUMMYFUNCTION("""COMPUTED_VALUE"""),25238.0)</f>
        <v>25238</v>
      </c>
      <c r="P1207" s="2">
        <f>IFERROR(__xludf.DUMMYFUNCTION("""COMPUTED_VALUE"""),1262.0)</f>
        <v>1262</v>
      </c>
      <c r="Q1207" s="2" t="str">
        <f>IFERROR(__xludf.DUMMYFUNCTION("""COMPUTED_VALUE"""),"Dine In")</f>
        <v>Dine In</v>
      </c>
      <c r="R1207" s="2" t="str">
        <f>IFERROR(__xludf.DUMMYFUNCTION("""COMPUTED_VALUE"""),"Kedai")</f>
        <v>Kedai</v>
      </c>
      <c r="S1207" s="2" t="str">
        <f>IFERROR(__xludf.DUMMYFUNCTION("""COMPUTED_VALUE"""),"Temu Roti")</f>
        <v>Temu Roti</v>
      </c>
      <c r="T1207" s="2" t="str">
        <f>IFERROR(__xludf.DUMMYFUNCTION("""COMPUTED_VALUE"""),"Owner")</f>
        <v>Owner</v>
      </c>
      <c r="U1207" s="2"/>
      <c r="V1207" s="2"/>
      <c r="W1207" s="2"/>
      <c r="X1207" s="2" t="str">
        <f>IFERROR(__xludf.DUMMYFUNCTION("""COMPUTED_VALUE"""),"Closed")</f>
        <v>Closed</v>
      </c>
    </row>
    <row r="1208">
      <c r="A1208" s="3" t="s">
        <v>1219</v>
      </c>
      <c r="B1208" s="4">
        <f>IFERROR(__xludf.DUMMYFUNCTION("SPLIT(A1208,"","",0,0)"),45542.53888888889)</f>
        <v>45542.53889</v>
      </c>
      <c r="C1208" s="5">
        <f>IFERROR(__xludf.DUMMYFUNCTION("""COMPUTED_VALUE"""),2630874.0)</f>
        <v>2630874</v>
      </c>
      <c r="D1208" s="2" t="str">
        <f>IFERROR(__xludf.DUMMYFUNCTION("""COMPUTED_VALUE"""),"Sale")</f>
        <v>Sale</v>
      </c>
      <c r="E1208" s="2" t="str">
        <f>IFERROR(__xludf.DUMMYFUNCTION("""COMPUTED_VALUE"""),"Minuman")</f>
        <v>Minuman</v>
      </c>
      <c r="F1208" s="2">
        <f>IFERROR(__xludf.DUMMYFUNCTION("""COMPUTED_VALUE"""),10107.0)</f>
        <v>10107</v>
      </c>
      <c r="G1208" s="2" t="str">
        <f>IFERROR(__xludf.DUMMYFUNCTION("""COMPUTED_VALUE"""),"Korean Mango Fresh Milk")</f>
        <v>Korean Mango Fresh Milk</v>
      </c>
      <c r="H1208" s="2"/>
      <c r="I1208" s="2"/>
      <c r="J1208" s="2">
        <f>IFERROR(__xludf.DUMMYFUNCTION("""COMPUTED_VALUE"""),2.0)</f>
        <v>2</v>
      </c>
      <c r="K1208" s="6">
        <f>IFERROR(__xludf.DUMMYFUNCTION("""COMPUTED_VALUE"""),53334.0)</f>
        <v>53334</v>
      </c>
      <c r="L1208" s="2">
        <f>IFERROR(__xludf.DUMMYFUNCTION("""COMPUTED_VALUE"""),0.0)</f>
        <v>0</v>
      </c>
      <c r="M1208" s="2">
        <f>IFERROR(__xludf.DUMMYFUNCTION("""COMPUTED_VALUE"""),53334.0)</f>
        <v>53334</v>
      </c>
      <c r="N1208" s="2">
        <f>IFERROR(__xludf.DUMMYFUNCTION("""COMPUTED_VALUE"""),0.0)</f>
        <v>0</v>
      </c>
      <c r="O1208" s="2">
        <f>IFERROR(__xludf.DUMMYFUNCTION("""COMPUTED_VALUE"""),53334.0)</f>
        <v>53334</v>
      </c>
      <c r="P1208" s="2">
        <f>IFERROR(__xludf.DUMMYFUNCTION("""COMPUTED_VALUE"""),2667.0)</f>
        <v>2667</v>
      </c>
      <c r="Q1208" s="2" t="str">
        <f>IFERROR(__xludf.DUMMYFUNCTION("""COMPUTED_VALUE"""),"Dine In")</f>
        <v>Dine In</v>
      </c>
      <c r="R1208" s="2" t="str">
        <f>IFERROR(__xludf.DUMMYFUNCTION("""COMPUTED_VALUE"""),"Kedai")</f>
        <v>Kedai</v>
      </c>
      <c r="S1208" s="2" t="str">
        <f>IFERROR(__xludf.DUMMYFUNCTION("""COMPUTED_VALUE"""),"Temu Roti")</f>
        <v>Temu Roti</v>
      </c>
      <c r="T1208" s="2" t="str">
        <f>IFERROR(__xludf.DUMMYFUNCTION("""COMPUTED_VALUE"""),"Owner")</f>
        <v>Owner</v>
      </c>
      <c r="U1208" s="2"/>
      <c r="V1208" s="2"/>
      <c r="W1208" s="2"/>
      <c r="X1208" s="2" t="str">
        <f>IFERROR(__xludf.DUMMYFUNCTION("""COMPUTED_VALUE"""),"Closed")</f>
        <v>Closed</v>
      </c>
    </row>
    <row r="1209">
      <c r="A1209" s="3" t="s">
        <v>1220</v>
      </c>
      <c r="B1209" s="4">
        <f>IFERROR(__xludf.DUMMYFUNCTION("SPLIT(A1209,"","",0,0)"),45542.53888888889)</f>
        <v>45542.53889</v>
      </c>
      <c r="C1209" s="5">
        <f>IFERROR(__xludf.DUMMYFUNCTION("""COMPUTED_VALUE"""),2630874.0)</f>
        <v>2630874</v>
      </c>
      <c r="D1209" s="2" t="str">
        <f>IFERROR(__xludf.DUMMYFUNCTION("""COMPUTED_VALUE"""),"Sale")</f>
        <v>Sale</v>
      </c>
      <c r="E1209" s="2" t="str">
        <f>IFERROR(__xludf.DUMMYFUNCTION("""COMPUTED_VALUE"""),"Kudapan")</f>
        <v>Kudapan</v>
      </c>
      <c r="F1209" s="2">
        <f>IFERROR(__xludf.DUMMYFUNCTION("""COMPUTED_VALUE"""),10009.0)</f>
        <v>10009</v>
      </c>
      <c r="G1209" s="2" t="str">
        <f>IFERROR(__xludf.DUMMYFUNCTION("""COMPUTED_VALUE"""),"Jamur Enoki Krispi")</f>
        <v>Jamur Enoki Krispi</v>
      </c>
      <c r="H1209" s="2"/>
      <c r="I1209" s="2"/>
      <c r="J1209" s="2">
        <f>IFERROR(__xludf.DUMMYFUNCTION("""COMPUTED_VALUE"""),1.0)</f>
        <v>1</v>
      </c>
      <c r="K1209" s="6">
        <f>IFERROR(__xludf.DUMMYFUNCTION("""COMPUTED_VALUE"""),26667.0)</f>
        <v>26667</v>
      </c>
      <c r="L1209" s="2">
        <f>IFERROR(__xludf.DUMMYFUNCTION("""COMPUTED_VALUE"""),0.0)</f>
        <v>0</v>
      </c>
      <c r="M1209" s="2">
        <f>IFERROR(__xludf.DUMMYFUNCTION("""COMPUTED_VALUE"""),26667.0)</f>
        <v>26667</v>
      </c>
      <c r="N1209" s="2">
        <f>IFERROR(__xludf.DUMMYFUNCTION("""COMPUTED_VALUE"""),0.0)</f>
        <v>0</v>
      </c>
      <c r="O1209" s="2">
        <f>IFERROR(__xludf.DUMMYFUNCTION("""COMPUTED_VALUE"""),26667.0)</f>
        <v>26667</v>
      </c>
      <c r="P1209" s="2">
        <f>IFERROR(__xludf.DUMMYFUNCTION("""COMPUTED_VALUE"""),1333.0)</f>
        <v>1333</v>
      </c>
      <c r="Q1209" s="2" t="str">
        <f>IFERROR(__xludf.DUMMYFUNCTION("""COMPUTED_VALUE"""),"Dine In")</f>
        <v>Dine In</v>
      </c>
      <c r="R1209" s="2" t="str">
        <f>IFERROR(__xludf.DUMMYFUNCTION("""COMPUTED_VALUE"""),"Kedai")</f>
        <v>Kedai</v>
      </c>
      <c r="S1209" s="2" t="str">
        <f>IFERROR(__xludf.DUMMYFUNCTION("""COMPUTED_VALUE"""),"Temu Roti")</f>
        <v>Temu Roti</v>
      </c>
      <c r="T1209" s="2" t="str">
        <f>IFERROR(__xludf.DUMMYFUNCTION("""COMPUTED_VALUE"""),"Owner")</f>
        <v>Owner</v>
      </c>
      <c r="U1209" s="2"/>
      <c r="V1209" s="2"/>
      <c r="W1209" s="2"/>
      <c r="X1209" s="2" t="str">
        <f>IFERROR(__xludf.DUMMYFUNCTION("""COMPUTED_VALUE"""),"Closed")</f>
        <v>Closed</v>
      </c>
    </row>
    <row r="1210">
      <c r="A1210" s="3" t="s">
        <v>1221</v>
      </c>
      <c r="B1210" s="4">
        <f>IFERROR(__xludf.DUMMYFUNCTION("SPLIT(A1210,"","",0,0)"),45542.407638888886)</f>
        <v>45542.40764</v>
      </c>
      <c r="C1210" s="5">
        <f>IFERROR(__xludf.DUMMYFUNCTION("""COMPUTED_VALUE"""),2630509.0)</f>
        <v>2630509</v>
      </c>
      <c r="D1210" s="2" t="str">
        <f>IFERROR(__xludf.DUMMYFUNCTION("""COMPUTED_VALUE"""),"Sale")</f>
        <v>Sale</v>
      </c>
      <c r="E1210" s="2" t="str">
        <f>IFERROR(__xludf.DUMMYFUNCTION("""COMPUTED_VALUE"""),"Minuman")</f>
        <v>Minuman</v>
      </c>
      <c r="F1210" s="2">
        <f>IFERROR(__xludf.DUMMYFUNCTION("""COMPUTED_VALUE"""),10128.0)</f>
        <v>10128</v>
      </c>
      <c r="G1210" s="2" t="str">
        <f>IFERROR(__xludf.DUMMYFUNCTION("""COMPUTED_VALUE"""),"Es Kopi Susu")</f>
        <v>Es Kopi Susu</v>
      </c>
      <c r="H1210" s="2"/>
      <c r="I1210" s="2"/>
      <c r="J1210" s="2">
        <f>IFERROR(__xludf.DUMMYFUNCTION("""COMPUTED_VALUE"""),2.0)</f>
        <v>2</v>
      </c>
      <c r="K1210" s="6">
        <f>IFERROR(__xludf.DUMMYFUNCTION("""COMPUTED_VALUE"""),46666.0)</f>
        <v>46666</v>
      </c>
      <c r="L1210" s="2">
        <f>IFERROR(__xludf.DUMMYFUNCTION("""COMPUTED_VALUE"""),0.0)</f>
        <v>0</v>
      </c>
      <c r="M1210" s="2">
        <f>IFERROR(__xludf.DUMMYFUNCTION("""COMPUTED_VALUE"""),46666.0)</f>
        <v>46666</v>
      </c>
      <c r="N1210" s="2">
        <f>IFERROR(__xludf.DUMMYFUNCTION("""COMPUTED_VALUE"""),0.0)</f>
        <v>0</v>
      </c>
      <c r="O1210" s="2">
        <f>IFERROR(__xludf.DUMMYFUNCTION("""COMPUTED_VALUE"""),46666.0)</f>
        <v>46666</v>
      </c>
      <c r="P1210" s="2">
        <f>IFERROR(__xludf.DUMMYFUNCTION("""COMPUTED_VALUE"""),2333.0)</f>
        <v>2333</v>
      </c>
      <c r="Q1210" s="2" t="str">
        <f>IFERROR(__xludf.DUMMYFUNCTION("""COMPUTED_VALUE"""),"Dine In")</f>
        <v>Dine In</v>
      </c>
      <c r="R1210" s="2" t="str">
        <f>IFERROR(__xludf.DUMMYFUNCTION("""COMPUTED_VALUE"""),"Kedai")</f>
        <v>Kedai</v>
      </c>
      <c r="S1210" s="2" t="str">
        <f>IFERROR(__xludf.DUMMYFUNCTION("""COMPUTED_VALUE"""),"Temu Roti")</f>
        <v>Temu Roti</v>
      </c>
      <c r="T1210" s="2" t="str">
        <f>IFERROR(__xludf.DUMMYFUNCTION("""COMPUTED_VALUE"""),"Owner")</f>
        <v>Owner</v>
      </c>
      <c r="U1210" s="2"/>
      <c r="V1210" s="2"/>
      <c r="W1210" s="2"/>
      <c r="X1210" s="2" t="str">
        <f>IFERROR(__xludf.DUMMYFUNCTION("""COMPUTED_VALUE"""),"Closed")</f>
        <v>Closed</v>
      </c>
    </row>
    <row r="1211">
      <c r="A1211" s="3" t="s">
        <v>1222</v>
      </c>
      <c r="B1211" s="4">
        <f>IFERROR(__xludf.DUMMYFUNCTION("SPLIT(A1211,"","",0,0)"),45542.407638888886)</f>
        <v>45542.40764</v>
      </c>
      <c r="C1211" s="5">
        <f>IFERROR(__xludf.DUMMYFUNCTION("""COMPUTED_VALUE"""),2630509.0)</f>
        <v>2630509</v>
      </c>
      <c r="D1211" s="2" t="str">
        <f>IFERROR(__xludf.DUMMYFUNCTION("""COMPUTED_VALUE"""),"Sale")</f>
        <v>Sale</v>
      </c>
      <c r="E1211" s="2" t="str">
        <f>IFERROR(__xludf.DUMMYFUNCTION("""COMPUTED_VALUE"""),"Roti")</f>
        <v>Roti</v>
      </c>
      <c r="F1211" s="2">
        <f>IFERROR(__xludf.DUMMYFUNCTION("""COMPUTED_VALUE"""),10033.0)</f>
        <v>10033</v>
      </c>
      <c r="G1211" s="2" t="str">
        <f>IFERROR(__xludf.DUMMYFUNCTION("""COMPUTED_VALUE"""),"Roti panggang sarikaya")</f>
        <v>Roti panggang sarikaya</v>
      </c>
      <c r="H1211" s="2"/>
      <c r="I1211" s="2"/>
      <c r="J1211" s="2">
        <f>IFERROR(__xludf.DUMMYFUNCTION("""COMPUTED_VALUE"""),1.0)</f>
        <v>1</v>
      </c>
      <c r="K1211" s="6">
        <f>IFERROR(__xludf.DUMMYFUNCTION("""COMPUTED_VALUE"""),21905.0)</f>
        <v>21905</v>
      </c>
      <c r="L1211" s="2">
        <f>IFERROR(__xludf.DUMMYFUNCTION("""COMPUTED_VALUE"""),0.0)</f>
        <v>0</v>
      </c>
      <c r="M1211" s="2">
        <f>IFERROR(__xludf.DUMMYFUNCTION("""COMPUTED_VALUE"""),21905.0)</f>
        <v>21905</v>
      </c>
      <c r="N1211" s="2">
        <f>IFERROR(__xludf.DUMMYFUNCTION("""COMPUTED_VALUE"""),0.0)</f>
        <v>0</v>
      </c>
      <c r="O1211" s="2">
        <f>IFERROR(__xludf.DUMMYFUNCTION("""COMPUTED_VALUE"""),21905.0)</f>
        <v>21905</v>
      </c>
      <c r="P1211" s="2">
        <f>IFERROR(__xludf.DUMMYFUNCTION("""COMPUTED_VALUE"""),1096.0)</f>
        <v>1096</v>
      </c>
      <c r="Q1211" s="2" t="str">
        <f>IFERROR(__xludf.DUMMYFUNCTION("""COMPUTED_VALUE"""),"Dine In")</f>
        <v>Dine In</v>
      </c>
      <c r="R1211" s="2" t="str">
        <f>IFERROR(__xludf.DUMMYFUNCTION("""COMPUTED_VALUE"""),"Kedai")</f>
        <v>Kedai</v>
      </c>
      <c r="S1211" s="2" t="str">
        <f>IFERROR(__xludf.DUMMYFUNCTION("""COMPUTED_VALUE"""),"Temu Roti")</f>
        <v>Temu Roti</v>
      </c>
      <c r="T1211" s="2" t="str">
        <f>IFERROR(__xludf.DUMMYFUNCTION("""COMPUTED_VALUE"""),"Owner")</f>
        <v>Owner</v>
      </c>
      <c r="U1211" s="2"/>
      <c r="V1211" s="2"/>
      <c r="W1211" s="2"/>
      <c r="X1211" s="2" t="str">
        <f>IFERROR(__xludf.DUMMYFUNCTION("""COMPUTED_VALUE"""),"Closed")</f>
        <v>Closed</v>
      </c>
    </row>
    <row r="1212">
      <c r="A1212" s="3" t="s">
        <v>1223</v>
      </c>
      <c r="B1212" s="4">
        <f>IFERROR(__xludf.DUMMYFUNCTION("SPLIT(A1212,"","",0,0)"),45542.407638888886)</f>
        <v>45542.40764</v>
      </c>
      <c r="C1212" s="5">
        <f>IFERROR(__xludf.DUMMYFUNCTION("""COMPUTED_VALUE"""),2630509.0)</f>
        <v>2630509</v>
      </c>
      <c r="D1212" s="2" t="str">
        <f>IFERROR(__xludf.DUMMYFUNCTION("""COMPUTED_VALUE"""),"Sale")</f>
        <v>Sale</v>
      </c>
      <c r="E1212" s="2" t="str">
        <f>IFERROR(__xludf.DUMMYFUNCTION("""COMPUTED_VALUE"""),"Kudapan")</f>
        <v>Kudapan</v>
      </c>
      <c r="F1212" s="2">
        <f>IFERROR(__xludf.DUMMYFUNCTION("""COMPUTED_VALUE"""),10051.0)</f>
        <v>10051</v>
      </c>
      <c r="G1212" s="2" t="str">
        <f>IFERROR(__xludf.DUMMYFUNCTION("""COMPUTED_VALUE"""),"Tahu baso")</f>
        <v>Tahu baso</v>
      </c>
      <c r="H1212" s="2"/>
      <c r="I1212" s="2"/>
      <c r="J1212" s="2">
        <f>IFERROR(__xludf.DUMMYFUNCTION("""COMPUTED_VALUE"""),1.0)</f>
        <v>1</v>
      </c>
      <c r="K1212" s="6">
        <f>IFERROR(__xludf.DUMMYFUNCTION("""COMPUTED_VALUE"""),25238.0)</f>
        <v>25238</v>
      </c>
      <c r="L1212" s="2">
        <f>IFERROR(__xludf.DUMMYFUNCTION("""COMPUTED_VALUE"""),0.0)</f>
        <v>0</v>
      </c>
      <c r="M1212" s="2">
        <f>IFERROR(__xludf.DUMMYFUNCTION("""COMPUTED_VALUE"""),25238.0)</f>
        <v>25238</v>
      </c>
      <c r="N1212" s="2">
        <f>IFERROR(__xludf.DUMMYFUNCTION("""COMPUTED_VALUE"""),0.0)</f>
        <v>0</v>
      </c>
      <c r="O1212" s="2">
        <f>IFERROR(__xludf.DUMMYFUNCTION("""COMPUTED_VALUE"""),25238.0)</f>
        <v>25238</v>
      </c>
      <c r="P1212" s="2">
        <f>IFERROR(__xludf.DUMMYFUNCTION("""COMPUTED_VALUE"""),1261.0)</f>
        <v>1261</v>
      </c>
      <c r="Q1212" s="2" t="str">
        <f>IFERROR(__xludf.DUMMYFUNCTION("""COMPUTED_VALUE"""),"Dine In")</f>
        <v>Dine In</v>
      </c>
      <c r="R1212" s="2" t="str">
        <f>IFERROR(__xludf.DUMMYFUNCTION("""COMPUTED_VALUE"""),"Kedai")</f>
        <v>Kedai</v>
      </c>
      <c r="S1212" s="2" t="str">
        <f>IFERROR(__xludf.DUMMYFUNCTION("""COMPUTED_VALUE"""),"Temu Roti")</f>
        <v>Temu Roti</v>
      </c>
      <c r="T1212" s="2" t="str">
        <f>IFERROR(__xludf.DUMMYFUNCTION("""COMPUTED_VALUE"""),"Owner")</f>
        <v>Owner</v>
      </c>
      <c r="U1212" s="2"/>
      <c r="V1212" s="2"/>
      <c r="W1212" s="2"/>
      <c r="X1212" s="2" t="str">
        <f>IFERROR(__xludf.DUMMYFUNCTION("""COMPUTED_VALUE"""),"Closed")</f>
        <v>Closed</v>
      </c>
    </row>
    <row r="1213">
      <c r="A1213" s="3" t="s">
        <v>1224</v>
      </c>
      <c r="B1213" s="4">
        <f>IFERROR(__xludf.DUMMYFUNCTION("SPLIT(A1213,"","",0,0)"),45542.407638888886)</f>
        <v>45542.40764</v>
      </c>
      <c r="C1213" s="5">
        <f>IFERROR(__xludf.DUMMYFUNCTION("""COMPUTED_VALUE"""),2630509.0)</f>
        <v>2630509</v>
      </c>
      <c r="D1213" s="2" t="str">
        <f>IFERROR(__xludf.DUMMYFUNCTION("""COMPUTED_VALUE"""),"Sale")</f>
        <v>Sale</v>
      </c>
      <c r="E1213" s="2" t="str">
        <f>IFERROR(__xludf.DUMMYFUNCTION("""COMPUTED_VALUE"""),"Roti")</f>
        <v>Roti</v>
      </c>
      <c r="F1213" s="2">
        <f>IFERROR(__xludf.DUMMYFUNCTION("""COMPUTED_VALUE"""),10002.0)</f>
        <v>10002</v>
      </c>
      <c r="G1213" s="2" t="str">
        <f>IFERROR(__xludf.DUMMYFUNCTION("""COMPUTED_VALUE"""),"Roti Cranberry")</f>
        <v>Roti Cranberry</v>
      </c>
      <c r="H1213" s="2"/>
      <c r="I1213" s="2"/>
      <c r="J1213" s="2">
        <f>IFERROR(__xludf.DUMMYFUNCTION("""COMPUTED_VALUE"""),1.0)</f>
        <v>1</v>
      </c>
      <c r="K1213" s="6">
        <f>IFERROR(__xludf.DUMMYFUNCTION("""COMPUTED_VALUE"""),18571.0)</f>
        <v>18571</v>
      </c>
      <c r="L1213" s="2">
        <f>IFERROR(__xludf.DUMMYFUNCTION("""COMPUTED_VALUE"""),0.0)</f>
        <v>0</v>
      </c>
      <c r="M1213" s="2">
        <f>IFERROR(__xludf.DUMMYFUNCTION("""COMPUTED_VALUE"""),18571.0)</f>
        <v>18571</v>
      </c>
      <c r="N1213" s="2">
        <f>IFERROR(__xludf.DUMMYFUNCTION("""COMPUTED_VALUE"""),0.0)</f>
        <v>0</v>
      </c>
      <c r="O1213" s="2">
        <f>IFERROR(__xludf.DUMMYFUNCTION("""COMPUTED_VALUE"""),18571.0)</f>
        <v>18571</v>
      </c>
      <c r="P1213" s="2">
        <f>IFERROR(__xludf.DUMMYFUNCTION("""COMPUTED_VALUE"""),929.0)</f>
        <v>929</v>
      </c>
      <c r="Q1213" s="2" t="str">
        <f>IFERROR(__xludf.DUMMYFUNCTION("""COMPUTED_VALUE"""),"Dine In")</f>
        <v>Dine In</v>
      </c>
      <c r="R1213" s="2" t="str">
        <f>IFERROR(__xludf.DUMMYFUNCTION("""COMPUTED_VALUE"""),"Kedai")</f>
        <v>Kedai</v>
      </c>
      <c r="S1213" s="2" t="str">
        <f>IFERROR(__xludf.DUMMYFUNCTION("""COMPUTED_VALUE"""),"Temu Roti")</f>
        <v>Temu Roti</v>
      </c>
      <c r="T1213" s="2" t="str">
        <f>IFERROR(__xludf.DUMMYFUNCTION("""COMPUTED_VALUE"""),"Owner")</f>
        <v>Owner</v>
      </c>
      <c r="U1213" s="2"/>
      <c r="V1213" s="2"/>
      <c r="W1213" s="2"/>
      <c r="X1213" s="2" t="str">
        <f>IFERROR(__xludf.DUMMYFUNCTION("""COMPUTED_VALUE"""),"Closed")</f>
        <v>Closed</v>
      </c>
    </row>
    <row r="1214">
      <c r="A1214" s="3" t="s">
        <v>1225</v>
      </c>
      <c r="B1214" s="4">
        <f>IFERROR(__xludf.DUMMYFUNCTION("SPLIT(A1214,"","",0,0)"),45541.8)</f>
        <v>45541.8</v>
      </c>
      <c r="C1214" s="5">
        <f>IFERROR(__xludf.DUMMYFUNCTION("""COMPUTED_VALUE"""),2630144.0)</f>
        <v>2630144</v>
      </c>
      <c r="D1214" s="2" t="str">
        <f>IFERROR(__xludf.DUMMYFUNCTION("""COMPUTED_VALUE"""),"Sale")</f>
        <v>Sale</v>
      </c>
      <c r="E1214" s="2" t="str">
        <f>IFERROR(__xludf.DUMMYFUNCTION("""COMPUTED_VALUE"""),"Minuman")</f>
        <v>Minuman</v>
      </c>
      <c r="F1214" s="2">
        <f>IFERROR(__xludf.DUMMYFUNCTION("""COMPUTED_VALUE"""),10112.0)</f>
        <v>10112</v>
      </c>
      <c r="G1214" s="2" t="str">
        <f>IFERROR(__xludf.DUMMYFUNCTION("""COMPUTED_VALUE"""),"Air mineral")</f>
        <v>Air mineral</v>
      </c>
      <c r="H1214" s="2"/>
      <c r="I1214" s="2"/>
      <c r="J1214" s="2">
        <f>IFERROR(__xludf.DUMMYFUNCTION("""COMPUTED_VALUE"""),1.0)</f>
        <v>1</v>
      </c>
      <c r="K1214" s="6">
        <f>IFERROR(__xludf.DUMMYFUNCTION("""COMPUTED_VALUE"""),6667.0)</f>
        <v>6667</v>
      </c>
      <c r="L1214" s="2">
        <f>IFERROR(__xludf.DUMMYFUNCTION("""COMPUTED_VALUE"""),0.0)</f>
        <v>0</v>
      </c>
      <c r="M1214" s="2">
        <f>IFERROR(__xludf.DUMMYFUNCTION("""COMPUTED_VALUE"""),6667.0)</f>
        <v>6667</v>
      </c>
      <c r="N1214" s="2">
        <f>IFERROR(__xludf.DUMMYFUNCTION("""COMPUTED_VALUE"""),0.0)</f>
        <v>0</v>
      </c>
      <c r="O1214" s="2">
        <f>IFERROR(__xludf.DUMMYFUNCTION("""COMPUTED_VALUE"""),6667.0)</f>
        <v>6667</v>
      </c>
      <c r="P1214" s="2">
        <f>IFERROR(__xludf.DUMMYFUNCTION("""COMPUTED_VALUE"""),333.0)</f>
        <v>333</v>
      </c>
      <c r="Q1214" s="2" t="str">
        <f>IFERROR(__xludf.DUMMYFUNCTION("""COMPUTED_VALUE"""),"Dine In")</f>
        <v>Dine In</v>
      </c>
      <c r="R1214" s="2" t="str">
        <f>IFERROR(__xludf.DUMMYFUNCTION("""COMPUTED_VALUE"""),"Kedai")</f>
        <v>Kedai</v>
      </c>
      <c r="S1214" s="2" t="str">
        <f>IFERROR(__xludf.DUMMYFUNCTION("""COMPUTED_VALUE"""),"Temu Roti")</f>
        <v>Temu Roti</v>
      </c>
      <c r="T1214" s="2" t="str">
        <f>IFERROR(__xludf.DUMMYFUNCTION("""COMPUTED_VALUE"""),"Owner")</f>
        <v>Owner</v>
      </c>
      <c r="U1214" s="2"/>
      <c r="V1214" s="2"/>
      <c r="W1214" s="2"/>
      <c r="X1214" s="2" t="str">
        <f>IFERROR(__xludf.DUMMYFUNCTION("""COMPUTED_VALUE"""),"Closed")</f>
        <v>Closed</v>
      </c>
    </row>
    <row r="1215">
      <c r="A1215" s="3" t="s">
        <v>1226</v>
      </c>
      <c r="B1215" s="4">
        <f>IFERROR(__xludf.DUMMYFUNCTION("SPLIT(A1215,"","",0,0)"),45541.74930555555)</f>
        <v>45541.74931</v>
      </c>
      <c r="C1215" s="5">
        <f>IFERROR(__xludf.DUMMYFUNCTION("""COMPUTED_VALUE"""),2629779.0)</f>
        <v>2629779</v>
      </c>
      <c r="D1215" s="2" t="str">
        <f>IFERROR(__xludf.DUMMYFUNCTION("""COMPUTED_VALUE"""),"Sale")</f>
        <v>Sale</v>
      </c>
      <c r="E1215" s="2" t="str">
        <f>IFERROR(__xludf.DUMMYFUNCTION("""COMPUTED_VALUE"""),"Kudapan")</f>
        <v>Kudapan</v>
      </c>
      <c r="F1215" s="2">
        <f>IFERROR(__xludf.DUMMYFUNCTION("""COMPUTED_VALUE"""),10011.0)</f>
        <v>10011</v>
      </c>
      <c r="G1215" s="2" t="str">
        <f>IFERROR(__xludf.DUMMYFUNCTION("""COMPUTED_VALUE"""),"Kentang Goreng")</f>
        <v>Kentang Goreng</v>
      </c>
      <c r="H1215" s="2"/>
      <c r="I1215" s="2"/>
      <c r="J1215" s="2">
        <f>IFERROR(__xludf.DUMMYFUNCTION("""COMPUTED_VALUE"""),1.0)</f>
        <v>1</v>
      </c>
      <c r="K1215" s="6">
        <f>IFERROR(__xludf.DUMMYFUNCTION("""COMPUTED_VALUE"""),25238.0)</f>
        <v>25238</v>
      </c>
      <c r="L1215" s="2">
        <f>IFERROR(__xludf.DUMMYFUNCTION("""COMPUTED_VALUE"""),0.0)</f>
        <v>0</v>
      </c>
      <c r="M1215" s="2">
        <f>IFERROR(__xludf.DUMMYFUNCTION("""COMPUTED_VALUE"""),25238.0)</f>
        <v>25238</v>
      </c>
      <c r="N1215" s="2">
        <f>IFERROR(__xludf.DUMMYFUNCTION("""COMPUTED_VALUE"""),0.0)</f>
        <v>0</v>
      </c>
      <c r="O1215" s="2">
        <f>IFERROR(__xludf.DUMMYFUNCTION("""COMPUTED_VALUE"""),25238.0)</f>
        <v>25238</v>
      </c>
      <c r="P1215" s="2">
        <f>IFERROR(__xludf.DUMMYFUNCTION("""COMPUTED_VALUE"""),1262.0)</f>
        <v>1262</v>
      </c>
      <c r="Q1215" s="2" t="str">
        <f>IFERROR(__xludf.DUMMYFUNCTION("""COMPUTED_VALUE"""),"Dine In")</f>
        <v>Dine In</v>
      </c>
      <c r="R1215" s="2" t="str">
        <f>IFERROR(__xludf.DUMMYFUNCTION("""COMPUTED_VALUE"""),"Kedai")</f>
        <v>Kedai</v>
      </c>
      <c r="S1215" s="2" t="str">
        <f>IFERROR(__xludf.DUMMYFUNCTION("""COMPUTED_VALUE"""),"Temu Roti")</f>
        <v>Temu Roti</v>
      </c>
      <c r="T1215" s="2" t="str">
        <f>IFERROR(__xludf.DUMMYFUNCTION("""COMPUTED_VALUE"""),"Owner")</f>
        <v>Owner</v>
      </c>
      <c r="U1215" s="2"/>
      <c r="V1215" s="2"/>
      <c r="W1215" s="2"/>
      <c r="X1215" s="2" t="str">
        <f>IFERROR(__xludf.DUMMYFUNCTION("""COMPUTED_VALUE"""),"Closed")</f>
        <v>Closed</v>
      </c>
    </row>
    <row r="1216">
      <c r="A1216" s="3" t="s">
        <v>1227</v>
      </c>
      <c r="B1216" s="4">
        <f>IFERROR(__xludf.DUMMYFUNCTION("SPLIT(A1216,"","",0,0)"),45541.74930555555)</f>
        <v>45541.74931</v>
      </c>
      <c r="C1216" s="5">
        <f>IFERROR(__xludf.DUMMYFUNCTION("""COMPUTED_VALUE"""),2629779.0)</f>
        <v>2629779</v>
      </c>
      <c r="D1216" s="2" t="str">
        <f>IFERROR(__xludf.DUMMYFUNCTION("""COMPUTED_VALUE"""),"Sale")</f>
        <v>Sale</v>
      </c>
      <c r="E1216" s="2" t="str">
        <f>IFERROR(__xludf.DUMMYFUNCTION("""COMPUTED_VALUE"""),"Roti")</f>
        <v>Roti</v>
      </c>
      <c r="F1216" s="2">
        <f>IFERROR(__xludf.DUMMYFUNCTION("""COMPUTED_VALUE"""),10002.0)</f>
        <v>10002</v>
      </c>
      <c r="G1216" s="2" t="str">
        <f>IFERROR(__xludf.DUMMYFUNCTION("""COMPUTED_VALUE"""),"Roti Cranberry")</f>
        <v>Roti Cranberry</v>
      </c>
      <c r="H1216" s="2"/>
      <c r="I1216" s="2"/>
      <c r="J1216" s="2">
        <f>IFERROR(__xludf.DUMMYFUNCTION("""COMPUTED_VALUE"""),1.0)</f>
        <v>1</v>
      </c>
      <c r="K1216" s="6">
        <f>IFERROR(__xludf.DUMMYFUNCTION("""COMPUTED_VALUE"""),18571.0)</f>
        <v>18571</v>
      </c>
      <c r="L1216" s="2">
        <f>IFERROR(__xludf.DUMMYFUNCTION("""COMPUTED_VALUE"""),0.0)</f>
        <v>0</v>
      </c>
      <c r="M1216" s="2">
        <f>IFERROR(__xludf.DUMMYFUNCTION("""COMPUTED_VALUE"""),18571.0)</f>
        <v>18571</v>
      </c>
      <c r="N1216" s="2">
        <f>IFERROR(__xludf.DUMMYFUNCTION("""COMPUTED_VALUE"""),0.0)</f>
        <v>0</v>
      </c>
      <c r="O1216" s="2">
        <f>IFERROR(__xludf.DUMMYFUNCTION("""COMPUTED_VALUE"""),18571.0)</f>
        <v>18571</v>
      </c>
      <c r="P1216" s="2">
        <f>IFERROR(__xludf.DUMMYFUNCTION("""COMPUTED_VALUE"""),928.0)</f>
        <v>928</v>
      </c>
      <c r="Q1216" s="2" t="str">
        <f>IFERROR(__xludf.DUMMYFUNCTION("""COMPUTED_VALUE"""),"Dine In")</f>
        <v>Dine In</v>
      </c>
      <c r="R1216" s="2" t="str">
        <f>IFERROR(__xludf.DUMMYFUNCTION("""COMPUTED_VALUE"""),"Kedai")</f>
        <v>Kedai</v>
      </c>
      <c r="S1216" s="2" t="str">
        <f>IFERROR(__xludf.DUMMYFUNCTION("""COMPUTED_VALUE"""),"Temu Roti")</f>
        <v>Temu Roti</v>
      </c>
      <c r="T1216" s="2" t="str">
        <f>IFERROR(__xludf.DUMMYFUNCTION("""COMPUTED_VALUE"""),"Owner")</f>
        <v>Owner</v>
      </c>
      <c r="U1216" s="2"/>
      <c r="V1216" s="2"/>
      <c r="W1216" s="2"/>
      <c r="X1216" s="2" t="str">
        <f>IFERROR(__xludf.DUMMYFUNCTION("""COMPUTED_VALUE"""),"Closed")</f>
        <v>Closed</v>
      </c>
    </row>
    <row r="1217">
      <c r="A1217" s="3" t="s">
        <v>1228</v>
      </c>
      <c r="B1217" s="4">
        <f>IFERROR(__xludf.DUMMYFUNCTION("SPLIT(A1217,"","",0,0)"),45541.71319444444)</f>
        <v>45541.71319</v>
      </c>
      <c r="C1217" s="5">
        <f>IFERROR(__xludf.DUMMYFUNCTION("""COMPUTED_VALUE"""),2629414.0)</f>
        <v>2629414</v>
      </c>
      <c r="D1217" s="2" t="str">
        <f>IFERROR(__xludf.DUMMYFUNCTION("""COMPUTED_VALUE"""),"Sale")</f>
        <v>Sale</v>
      </c>
      <c r="E1217" s="2" t="str">
        <f>IFERROR(__xludf.DUMMYFUNCTION("""COMPUTED_VALUE"""),"Roti")</f>
        <v>Roti</v>
      </c>
      <c r="F1217" s="2">
        <f>IFERROR(__xludf.DUMMYFUNCTION("""COMPUTED_VALUE"""),10007.0)</f>
        <v>10007</v>
      </c>
      <c r="G1217" s="2" t="str">
        <f>IFERROR(__xludf.DUMMYFUNCTION("""COMPUTED_VALUE"""),"Roti cranberry 2 pcs")</f>
        <v>Roti cranberry 2 pcs</v>
      </c>
      <c r="H1217" s="2"/>
      <c r="I1217" s="2"/>
      <c r="J1217" s="2">
        <f>IFERROR(__xludf.DUMMYFUNCTION("""COMPUTED_VALUE"""),1.0)</f>
        <v>1</v>
      </c>
      <c r="K1217" s="6">
        <f>IFERROR(__xludf.DUMMYFUNCTION("""COMPUTED_VALUE"""),33810.0)</f>
        <v>33810</v>
      </c>
      <c r="L1217" s="2">
        <f>IFERROR(__xludf.DUMMYFUNCTION("""COMPUTED_VALUE"""),0.0)</f>
        <v>0</v>
      </c>
      <c r="M1217" s="2">
        <f>IFERROR(__xludf.DUMMYFUNCTION("""COMPUTED_VALUE"""),33810.0)</f>
        <v>33810</v>
      </c>
      <c r="N1217" s="2">
        <f>IFERROR(__xludf.DUMMYFUNCTION("""COMPUTED_VALUE"""),0.0)</f>
        <v>0</v>
      </c>
      <c r="O1217" s="2">
        <f>IFERROR(__xludf.DUMMYFUNCTION("""COMPUTED_VALUE"""),33810.0)</f>
        <v>33810</v>
      </c>
      <c r="P1217" s="2">
        <f>IFERROR(__xludf.DUMMYFUNCTION("""COMPUTED_VALUE"""),1691.0)</f>
        <v>1691</v>
      </c>
      <c r="Q1217" s="2" t="str">
        <f>IFERROR(__xludf.DUMMYFUNCTION("""COMPUTED_VALUE"""),"Dine In")</f>
        <v>Dine In</v>
      </c>
      <c r="R1217" s="2" t="str">
        <f>IFERROR(__xludf.DUMMYFUNCTION("""COMPUTED_VALUE"""),"Kedai")</f>
        <v>Kedai</v>
      </c>
      <c r="S1217" s="2" t="str">
        <f>IFERROR(__xludf.DUMMYFUNCTION("""COMPUTED_VALUE"""),"Temu Roti")</f>
        <v>Temu Roti</v>
      </c>
      <c r="T1217" s="2" t="str">
        <f>IFERROR(__xludf.DUMMYFUNCTION("""COMPUTED_VALUE"""),"Owner")</f>
        <v>Owner</v>
      </c>
      <c r="U1217" s="2"/>
      <c r="V1217" s="2"/>
      <c r="W1217" s="2"/>
      <c r="X1217" s="2" t="str">
        <f>IFERROR(__xludf.DUMMYFUNCTION("""COMPUTED_VALUE"""),"Closed")</f>
        <v>Closed</v>
      </c>
    </row>
    <row r="1218">
      <c r="A1218" s="3" t="s">
        <v>1229</v>
      </c>
      <c r="B1218" s="4">
        <f>IFERROR(__xludf.DUMMYFUNCTION("SPLIT(A1218,"","",0,0)"),45541.71319444444)</f>
        <v>45541.71319</v>
      </c>
      <c r="C1218" s="5">
        <f>IFERROR(__xludf.DUMMYFUNCTION("""COMPUTED_VALUE"""),2629414.0)</f>
        <v>2629414</v>
      </c>
      <c r="D1218" s="2" t="str">
        <f>IFERROR(__xludf.DUMMYFUNCTION("""COMPUTED_VALUE"""),"Sale")</f>
        <v>Sale</v>
      </c>
      <c r="E1218" s="2" t="str">
        <f>IFERROR(__xludf.DUMMYFUNCTION("""COMPUTED_VALUE"""),"Roti")</f>
        <v>Roti</v>
      </c>
      <c r="F1218" s="2">
        <f>IFERROR(__xludf.DUMMYFUNCTION("""COMPUTED_VALUE"""),10055.0)</f>
        <v>10055</v>
      </c>
      <c r="G1218" s="2" t="str">
        <f>IFERROR(__xludf.DUMMYFUNCTION("""COMPUTED_VALUE"""),"Roti Gandum Cokelat 2 pcs")</f>
        <v>Roti Gandum Cokelat 2 pcs</v>
      </c>
      <c r="H1218" s="2"/>
      <c r="I1218" s="2"/>
      <c r="J1218" s="2">
        <f>IFERROR(__xludf.DUMMYFUNCTION("""COMPUTED_VALUE"""),1.0)</f>
        <v>1</v>
      </c>
      <c r="K1218" s="6">
        <f>IFERROR(__xludf.DUMMYFUNCTION("""COMPUTED_VALUE"""),34762.0)</f>
        <v>34762</v>
      </c>
      <c r="L1218" s="2">
        <f>IFERROR(__xludf.DUMMYFUNCTION("""COMPUTED_VALUE"""),0.0)</f>
        <v>0</v>
      </c>
      <c r="M1218" s="2">
        <f>IFERROR(__xludf.DUMMYFUNCTION("""COMPUTED_VALUE"""),34762.0)</f>
        <v>34762</v>
      </c>
      <c r="N1218" s="2">
        <f>IFERROR(__xludf.DUMMYFUNCTION("""COMPUTED_VALUE"""),0.0)</f>
        <v>0</v>
      </c>
      <c r="O1218" s="2">
        <f>IFERROR(__xludf.DUMMYFUNCTION("""COMPUTED_VALUE"""),34762.0)</f>
        <v>34762</v>
      </c>
      <c r="P1218" s="2">
        <f>IFERROR(__xludf.DUMMYFUNCTION("""COMPUTED_VALUE"""),1738.0)</f>
        <v>1738</v>
      </c>
      <c r="Q1218" s="2" t="str">
        <f>IFERROR(__xludf.DUMMYFUNCTION("""COMPUTED_VALUE"""),"Dine In")</f>
        <v>Dine In</v>
      </c>
      <c r="R1218" s="2" t="str">
        <f>IFERROR(__xludf.DUMMYFUNCTION("""COMPUTED_VALUE"""),"Kedai")</f>
        <v>Kedai</v>
      </c>
      <c r="S1218" s="2" t="str">
        <f>IFERROR(__xludf.DUMMYFUNCTION("""COMPUTED_VALUE"""),"Temu Roti")</f>
        <v>Temu Roti</v>
      </c>
      <c r="T1218" s="2" t="str">
        <f>IFERROR(__xludf.DUMMYFUNCTION("""COMPUTED_VALUE"""),"Owner")</f>
        <v>Owner</v>
      </c>
      <c r="U1218" s="2"/>
      <c r="V1218" s="2"/>
      <c r="W1218" s="2"/>
      <c r="X1218" s="2" t="str">
        <f>IFERROR(__xludf.DUMMYFUNCTION("""COMPUTED_VALUE"""),"Closed")</f>
        <v>Closed</v>
      </c>
    </row>
    <row r="1219">
      <c r="A1219" s="3" t="s">
        <v>1230</v>
      </c>
      <c r="B1219" s="4">
        <f>IFERROR(__xludf.DUMMYFUNCTION("SPLIT(A1219,"","",0,0)"),45541.68263888889)</f>
        <v>45541.68264</v>
      </c>
      <c r="C1219" s="5">
        <f>IFERROR(__xludf.DUMMYFUNCTION("""COMPUTED_VALUE"""),2629049.0)</f>
        <v>2629049</v>
      </c>
      <c r="D1219" s="2" t="str">
        <f>IFERROR(__xludf.DUMMYFUNCTION("""COMPUTED_VALUE"""),"Sale")</f>
        <v>Sale</v>
      </c>
      <c r="E1219" s="2" t="str">
        <f>IFERROR(__xludf.DUMMYFUNCTION("""COMPUTED_VALUE"""),"Minuman")</f>
        <v>Minuman</v>
      </c>
      <c r="F1219" s="2">
        <f>IFERROR(__xludf.DUMMYFUNCTION("""COMPUTED_VALUE"""),10128.0)</f>
        <v>10128</v>
      </c>
      <c r="G1219" s="2" t="str">
        <f>IFERROR(__xludf.DUMMYFUNCTION("""COMPUTED_VALUE"""),"Es Kopi Susu")</f>
        <v>Es Kopi Susu</v>
      </c>
      <c r="H1219" s="2"/>
      <c r="I1219" s="2"/>
      <c r="J1219" s="2">
        <f>IFERROR(__xludf.DUMMYFUNCTION("""COMPUTED_VALUE"""),1.0)</f>
        <v>1</v>
      </c>
      <c r="K1219" s="6">
        <f>IFERROR(__xludf.DUMMYFUNCTION("""COMPUTED_VALUE"""),23333.0)</f>
        <v>23333</v>
      </c>
      <c r="L1219" s="2">
        <f>IFERROR(__xludf.DUMMYFUNCTION("""COMPUTED_VALUE"""),0.0)</f>
        <v>0</v>
      </c>
      <c r="M1219" s="2">
        <f>IFERROR(__xludf.DUMMYFUNCTION("""COMPUTED_VALUE"""),23333.0)</f>
        <v>23333</v>
      </c>
      <c r="N1219" s="2">
        <f>IFERROR(__xludf.DUMMYFUNCTION("""COMPUTED_VALUE"""),0.0)</f>
        <v>0</v>
      </c>
      <c r="O1219" s="2">
        <f>IFERROR(__xludf.DUMMYFUNCTION("""COMPUTED_VALUE"""),23333.0)</f>
        <v>23333</v>
      </c>
      <c r="P1219" s="2">
        <f>IFERROR(__xludf.DUMMYFUNCTION("""COMPUTED_VALUE"""),1167.0)</f>
        <v>1167</v>
      </c>
      <c r="Q1219" s="2" t="str">
        <f>IFERROR(__xludf.DUMMYFUNCTION("""COMPUTED_VALUE"""),"Dine In")</f>
        <v>Dine In</v>
      </c>
      <c r="R1219" s="2" t="str">
        <f>IFERROR(__xludf.DUMMYFUNCTION("""COMPUTED_VALUE"""),"Kedai")</f>
        <v>Kedai</v>
      </c>
      <c r="S1219" s="2" t="str">
        <f>IFERROR(__xludf.DUMMYFUNCTION("""COMPUTED_VALUE"""),"Temu Roti")</f>
        <v>Temu Roti</v>
      </c>
      <c r="T1219" s="2" t="str">
        <f>IFERROR(__xludf.DUMMYFUNCTION("""COMPUTED_VALUE"""),"Owner")</f>
        <v>Owner</v>
      </c>
      <c r="U1219" s="2"/>
      <c r="V1219" s="2"/>
      <c r="W1219" s="2"/>
      <c r="X1219" s="2" t="str">
        <f>IFERROR(__xludf.DUMMYFUNCTION("""COMPUTED_VALUE"""),"Closed")</f>
        <v>Closed</v>
      </c>
    </row>
    <row r="1220">
      <c r="A1220" s="3" t="s">
        <v>1231</v>
      </c>
      <c r="B1220" s="4">
        <f>IFERROR(__xludf.DUMMYFUNCTION("SPLIT(A1220,"","",0,0)"),45541.680555555555)</f>
        <v>45541.68056</v>
      </c>
      <c r="C1220" s="5">
        <f>IFERROR(__xludf.DUMMYFUNCTION("""COMPUTED_VALUE"""),2628684.0)</f>
        <v>2628684</v>
      </c>
      <c r="D1220" s="2" t="str">
        <f>IFERROR(__xludf.DUMMYFUNCTION("""COMPUTED_VALUE"""),"Sale")</f>
        <v>Sale</v>
      </c>
      <c r="E1220" s="2" t="str">
        <f>IFERROR(__xludf.DUMMYFUNCTION("""COMPUTED_VALUE"""),"Roti")</f>
        <v>Roti</v>
      </c>
      <c r="F1220" s="2">
        <f>IFERROR(__xludf.DUMMYFUNCTION("""COMPUTED_VALUE"""),10002.0)</f>
        <v>10002</v>
      </c>
      <c r="G1220" s="2" t="str">
        <f>IFERROR(__xludf.DUMMYFUNCTION("""COMPUTED_VALUE"""),"Roti Cranberry")</f>
        <v>Roti Cranberry</v>
      </c>
      <c r="H1220" s="2"/>
      <c r="I1220" s="2"/>
      <c r="J1220" s="2">
        <f>IFERROR(__xludf.DUMMYFUNCTION("""COMPUTED_VALUE"""),1.0)</f>
        <v>1</v>
      </c>
      <c r="K1220" s="6">
        <f>IFERROR(__xludf.DUMMYFUNCTION("""COMPUTED_VALUE"""),18571.0)</f>
        <v>18571</v>
      </c>
      <c r="L1220" s="2">
        <f>IFERROR(__xludf.DUMMYFUNCTION("""COMPUTED_VALUE"""),0.0)</f>
        <v>0</v>
      </c>
      <c r="M1220" s="2">
        <f>IFERROR(__xludf.DUMMYFUNCTION("""COMPUTED_VALUE"""),18571.0)</f>
        <v>18571</v>
      </c>
      <c r="N1220" s="2">
        <f>IFERROR(__xludf.DUMMYFUNCTION("""COMPUTED_VALUE"""),0.0)</f>
        <v>0</v>
      </c>
      <c r="O1220" s="2">
        <f>IFERROR(__xludf.DUMMYFUNCTION("""COMPUTED_VALUE"""),18571.0)</f>
        <v>18571</v>
      </c>
      <c r="P1220" s="2">
        <f>IFERROR(__xludf.DUMMYFUNCTION("""COMPUTED_VALUE"""),929.0)</f>
        <v>929</v>
      </c>
      <c r="Q1220" s="2" t="str">
        <f>IFERROR(__xludf.DUMMYFUNCTION("""COMPUTED_VALUE"""),"Dine In")</f>
        <v>Dine In</v>
      </c>
      <c r="R1220" s="2" t="str">
        <f>IFERROR(__xludf.DUMMYFUNCTION("""COMPUTED_VALUE"""),"Kedai")</f>
        <v>Kedai</v>
      </c>
      <c r="S1220" s="2" t="str">
        <f>IFERROR(__xludf.DUMMYFUNCTION("""COMPUTED_VALUE"""),"Temu Roti")</f>
        <v>Temu Roti</v>
      </c>
      <c r="T1220" s="2" t="str">
        <f>IFERROR(__xludf.DUMMYFUNCTION("""COMPUTED_VALUE"""),"Owner")</f>
        <v>Owner</v>
      </c>
      <c r="U1220" s="2"/>
      <c r="V1220" s="2"/>
      <c r="W1220" s="2"/>
      <c r="X1220" s="2" t="str">
        <f>IFERROR(__xludf.DUMMYFUNCTION("""COMPUTED_VALUE"""),"Closed")</f>
        <v>Closed</v>
      </c>
    </row>
    <row r="1221">
      <c r="A1221" s="3" t="s">
        <v>1232</v>
      </c>
      <c r="B1221" s="4">
        <f>IFERROR(__xludf.DUMMYFUNCTION("SPLIT(A1221,"","",0,0)"),45541.680555555555)</f>
        <v>45541.68056</v>
      </c>
      <c r="C1221" s="5">
        <f>IFERROR(__xludf.DUMMYFUNCTION("""COMPUTED_VALUE"""),2628684.0)</f>
        <v>2628684</v>
      </c>
      <c r="D1221" s="2" t="str">
        <f>IFERROR(__xludf.DUMMYFUNCTION("""COMPUTED_VALUE"""),"Sale")</f>
        <v>Sale</v>
      </c>
      <c r="E1221" s="2" t="str">
        <f>IFERROR(__xludf.DUMMYFUNCTION("""COMPUTED_VALUE"""),"Minuman")</f>
        <v>Minuman</v>
      </c>
      <c r="F1221" s="2">
        <f>IFERROR(__xludf.DUMMYFUNCTION("""COMPUTED_VALUE"""),10065.0)</f>
        <v>10065</v>
      </c>
      <c r="G1221" s="2" t="str">
        <f>IFERROR(__xludf.DUMMYFUNCTION("""COMPUTED_VALUE"""),"Jasmine Green Sencha Hot Artisan Tea")</f>
        <v>Jasmine Green Sencha Hot Artisan Tea</v>
      </c>
      <c r="H1221" s="2"/>
      <c r="I1221" s="2"/>
      <c r="J1221" s="2">
        <f>IFERROR(__xludf.DUMMYFUNCTION("""COMPUTED_VALUE"""),1.0)</f>
        <v>1</v>
      </c>
      <c r="K1221" s="6">
        <f>IFERROR(__xludf.DUMMYFUNCTION("""COMPUTED_VALUE"""),23810.0)</f>
        <v>23810</v>
      </c>
      <c r="L1221" s="2">
        <f>IFERROR(__xludf.DUMMYFUNCTION("""COMPUTED_VALUE"""),0.0)</f>
        <v>0</v>
      </c>
      <c r="M1221" s="2">
        <f>IFERROR(__xludf.DUMMYFUNCTION("""COMPUTED_VALUE"""),23810.0)</f>
        <v>23810</v>
      </c>
      <c r="N1221" s="2">
        <f>IFERROR(__xludf.DUMMYFUNCTION("""COMPUTED_VALUE"""),0.0)</f>
        <v>0</v>
      </c>
      <c r="O1221" s="2">
        <f>IFERROR(__xludf.DUMMYFUNCTION("""COMPUTED_VALUE"""),23810.0)</f>
        <v>23810</v>
      </c>
      <c r="P1221" s="2">
        <f>IFERROR(__xludf.DUMMYFUNCTION("""COMPUTED_VALUE"""),1190.0)</f>
        <v>1190</v>
      </c>
      <c r="Q1221" s="2" t="str">
        <f>IFERROR(__xludf.DUMMYFUNCTION("""COMPUTED_VALUE"""),"Dine In")</f>
        <v>Dine In</v>
      </c>
      <c r="R1221" s="2" t="str">
        <f>IFERROR(__xludf.DUMMYFUNCTION("""COMPUTED_VALUE"""),"Kedai")</f>
        <v>Kedai</v>
      </c>
      <c r="S1221" s="2" t="str">
        <f>IFERROR(__xludf.DUMMYFUNCTION("""COMPUTED_VALUE"""),"Temu Roti")</f>
        <v>Temu Roti</v>
      </c>
      <c r="T1221" s="2" t="str">
        <f>IFERROR(__xludf.DUMMYFUNCTION("""COMPUTED_VALUE"""),"Owner")</f>
        <v>Owner</v>
      </c>
      <c r="U1221" s="2"/>
      <c r="V1221" s="2"/>
      <c r="W1221" s="2"/>
      <c r="X1221" s="2" t="str">
        <f>IFERROR(__xludf.DUMMYFUNCTION("""COMPUTED_VALUE"""),"Closed")</f>
        <v>Closed</v>
      </c>
    </row>
    <row r="1222">
      <c r="A1222" s="3" t="s">
        <v>1233</v>
      </c>
      <c r="B1222" s="4">
        <f>IFERROR(__xludf.DUMMYFUNCTION("SPLIT(A1222,"","",0,0)"),45541.680555555555)</f>
        <v>45541.68056</v>
      </c>
      <c r="C1222" s="5">
        <f>IFERROR(__xludf.DUMMYFUNCTION("""COMPUTED_VALUE"""),2628684.0)</f>
        <v>2628684</v>
      </c>
      <c r="D1222" s="2" t="str">
        <f>IFERROR(__xludf.DUMMYFUNCTION("""COMPUTED_VALUE"""),"Sale")</f>
        <v>Sale</v>
      </c>
      <c r="E1222" s="2" t="str">
        <f>IFERROR(__xludf.DUMMYFUNCTION("""COMPUTED_VALUE"""),"Kudapan")</f>
        <v>Kudapan</v>
      </c>
      <c r="F1222" s="2">
        <f>IFERROR(__xludf.DUMMYFUNCTION("""COMPUTED_VALUE"""),10014.0)</f>
        <v>10014</v>
      </c>
      <c r="G1222" s="2" t="str">
        <f>IFERROR(__xludf.DUMMYFUNCTION("""COMPUTED_VALUE"""),"Tempe Mendoan")</f>
        <v>Tempe Mendoan</v>
      </c>
      <c r="H1222" s="2"/>
      <c r="I1222" s="2"/>
      <c r="J1222" s="2">
        <f>IFERROR(__xludf.DUMMYFUNCTION("""COMPUTED_VALUE"""),1.0)</f>
        <v>1</v>
      </c>
      <c r="K1222" s="6">
        <f>IFERROR(__xludf.DUMMYFUNCTION("""COMPUTED_VALUE"""),25238.0)</f>
        <v>25238</v>
      </c>
      <c r="L1222" s="2">
        <f>IFERROR(__xludf.DUMMYFUNCTION("""COMPUTED_VALUE"""),0.0)</f>
        <v>0</v>
      </c>
      <c r="M1222" s="2">
        <f>IFERROR(__xludf.DUMMYFUNCTION("""COMPUTED_VALUE"""),25238.0)</f>
        <v>25238</v>
      </c>
      <c r="N1222" s="2">
        <f>IFERROR(__xludf.DUMMYFUNCTION("""COMPUTED_VALUE"""),0.0)</f>
        <v>0</v>
      </c>
      <c r="O1222" s="2">
        <f>IFERROR(__xludf.DUMMYFUNCTION("""COMPUTED_VALUE"""),25238.0)</f>
        <v>25238</v>
      </c>
      <c r="P1222" s="2">
        <f>IFERROR(__xludf.DUMMYFUNCTION("""COMPUTED_VALUE"""),1262.0)</f>
        <v>1262</v>
      </c>
      <c r="Q1222" s="2" t="str">
        <f>IFERROR(__xludf.DUMMYFUNCTION("""COMPUTED_VALUE"""),"Dine In")</f>
        <v>Dine In</v>
      </c>
      <c r="R1222" s="2" t="str">
        <f>IFERROR(__xludf.DUMMYFUNCTION("""COMPUTED_VALUE"""),"Kedai")</f>
        <v>Kedai</v>
      </c>
      <c r="S1222" s="2" t="str">
        <f>IFERROR(__xludf.DUMMYFUNCTION("""COMPUTED_VALUE"""),"Temu Roti")</f>
        <v>Temu Roti</v>
      </c>
      <c r="T1222" s="2" t="str">
        <f>IFERROR(__xludf.DUMMYFUNCTION("""COMPUTED_VALUE"""),"Owner")</f>
        <v>Owner</v>
      </c>
      <c r="U1222" s="2"/>
      <c r="V1222" s="2"/>
      <c r="W1222" s="2"/>
      <c r="X1222" s="2" t="str">
        <f>IFERROR(__xludf.DUMMYFUNCTION("""COMPUTED_VALUE"""),"Closed")</f>
        <v>Closed</v>
      </c>
    </row>
    <row r="1223">
      <c r="A1223" s="3" t="s">
        <v>1234</v>
      </c>
      <c r="B1223" s="4">
        <f>IFERROR(__xludf.DUMMYFUNCTION("SPLIT(A1223,"","",0,0)"),45541.67847222222)</f>
        <v>45541.67847</v>
      </c>
      <c r="C1223" s="5">
        <f>IFERROR(__xludf.DUMMYFUNCTION("""COMPUTED_VALUE"""),2628318.0)</f>
        <v>2628318</v>
      </c>
      <c r="D1223" s="2" t="str">
        <f>IFERROR(__xludf.DUMMYFUNCTION("""COMPUTED_VALUE"""),"Sale")</f>
        <v>Sale</v>
      </c>
      <c r="E1223" s="2" t="str">
        <f>IFERROR(__xludf.DUMMYFUNCTION("""COMPUTED_VALUE"""),"Roti")</f>
        <v>Roti</v>
      </c>
      <c r="F1223" s="2">
        <f>IFERROR(__xludf.DUMMYFUNCTION("""COMPUTED_VALUE"""),10054.0)</f>
        <v>10054</v>
      </c>
      <c r="G1223" s="2" t="str">
        <f>IFERROR(__xludf.DUMMYFUNCTION("""COMPUTED_VALUE"""),"Roti toast eskrim")</f>
        <v>Roti toast eskrim</v>
      </c>
      <c r="H1223" s="2"/>
      <c r="I1223" s="2"/>
      <c r="J1223" s="2">
        <f>IFERROR(__xludf.DUMMYFUNCTION("""COMPUTED_VALUE"""),1.0)</f>
        <v>1</v>
      </c>
      <c r="K1223" s="6">
        <f>IFERROR(__xludf.DUMMYFUNCTION("""COMPUTED_VALUE"""),25238.0)</f>
        <v>25238</v>
      </c>
      <c r="L1223" s="2">
        <f>IFERROR(__xludf.DUMMYFUNCTION("""COMPUTED_VALUE"""),0.0)</f>
        <v>0</v>
      </c>
      <c r="M1223" s="2">
        <f>IFERROR(__xludf.DUMMYFUNCTION("""COMPUTED_VALUE"""),25238.0)</f>
        <v>25238</v>
      </c>
      <c r="N1223" s="2">
        <f>IFERROR(__xludf.DUMMYFUNCTION("""COMPUTED_VALUE"""),0.0)</f>
        <v>0</v>
      </c>
      <c r="O1223" s="2">
        <f>IFERROR(__xludf.DUMMYFUNCTION("""COMPUTED_VALUE"""),25238.0)</f>
        <v>25238</v>
      </c>
      <c r="P1223" s="2">
        <f>IFERROR(__xludf.DUMMYFUNCTION("""COMPUTED_VALUE"""),1262.0)</f>
        <v>1262</v>
      </c>
      <c r="Q1223" s="2" t="str">
        <f>IFERROR(__xludf.DUMMYFUNCTION("""COMPUTED_VALUE"""),"Dine In")</f>
        <v>Dine In</v>
      </c>
      <c r="R1223" s="2" t="str">
        <f>IFERROR(__xludf.DUMMYFUNCTION("""COMPUTED_VALUE"""),"Kedai")</f>
        <v>Kedai</v>
      </c>
      <c r="S1223" s="2" t="str">
        <f>IFERROR(__xludf.DUMMYFUNCTION("""COMPUTED_VALUE"""),"Temu Roti")</f>
        <v>Temu Roti</v>
      </c>
      <c r="T1223" s="2" t="str">
        <f>IFERROR(__xludf.DUMMYFUNCTION("""COMPUTED_VALUE"""),"Owner")</f>
        <v>Owner</v>
      </c>
      <c r="U1223" s="2"/>
      <c r="V1223" s="2"/>
      <c r="W1223" s="2"/>
      <c r="X1223" s="2" t="str">
        <f>IFERROR(__xludf.DUMMYFUNCTION("""COMPUTED_VALUE"""),"Closed")</f>
        <v>Closed</v>
      </c>
    </row>
    <row r="1224">
      <c r="A1224" s="3" t="s">
        <v>1235</v>
      </c>
      <c r="B1224" s="4">
        <f>IFERROR(__xludf.DUMMYFUNCTION("SPLIT(A1224,"","",0,0)"),45541.67847222222)</f>
        <v>45541.67847</v>
      </c>
      <c r="C1224" s="5">
        <f>IFERROR(__xludf.DUMMYFUNCTION("""COMPUTED_VALUE"""),2628318.0)</f>
        <v>2628318</v>
      </c>
      <c r="D1224" s="2" t="str">
        <f>IFERROR(__xludf.DUMMYFUNCTION("""COMPUTED_VALUE"""),"Sale")</f>
        <v>Sale</v>
      </c>
      <c r="E1224" s="2" t="str">
        <f>IFERROR(__xludf.DUMMYFUNCTION("""COMPUTED_VALUE"""),"Roti")</f>
        <v>Roti</v>
      </c>
      <c r="F1224" s="2">
        <f>IFERROR(__xludf.DUMMYFUNCTION("""COMPUTED_VALUE"""),10042.0)</f>
        <v>10042</v>
      </c>
      <c r="G1224" s="2" t="str">
        <f>IFERROR(__xludf.DUMMYFUNCTION("""COMPUTED_VALUE"""),"Roti coklat")</f>
        <v>Roti coklat</v>
      </c>
      <c r="H1224" s="2"/>
      <c r="I1224" s="2"/>
      <c r="J1224" s="2">
        <f>IFERROR(__xludf.DUMMYFUNCTION("""COMPUTED_VALUE"""),1.0)</f>
        <v>1</v>
      </c>
      <c r="K1224" s="6">
        <f>IFERROR(__xludf.DUMMYFUNCTION("""COMPUTED_VALUE"""),9524.0)</f>
        <v>9524</v>
      </c>
      <c r="L1224" s="2">
        <f>IFERROR(__xludf.DUMMYFUNCTION("""COMPUTED_VALUE"""),0.0)</f>
        <v>0</v>
      </c>
      <c r="M1224" s="2">
        <f>IFERROR(__xludf.DUMMYFUNCTION("""COMPUTED_VALUE"""),9524.0)</f>
        <v>9524</v>
      </c>
      <c r="N1224" s="2">
        <f>IFERROR(__xludf.DUMMYFUNCTION("""COMPUTED_VALUE"""),0.0)</f>
        <v>0</v>
      </c>
      <c r="O1224" s="2">
        <f>IFERROR(__xludf.DUMMYFUNCTION("""COMPUTED_VALUE"""),9524.0)</f>
        <v>9524</v>
      </c>
      <c r="P1224" s="2">
        <f>IFERROR(__xludf.DUMMYFUNCTION("""COMPUTED_VALUE"""),476.0)</f>
        <v>476</v>
      </c>
      <c r="Q1224" s="2" t="str">
        <f>IFERROR(__xludf.DUMMYFUNCTION("""COMPUTED_VALUE"""),"Dine In")</f>
        <v>Dine In</v>
      </c>
      <c r="R1224" s="2" t="str">
        <f>IFERROR(__xludf.DUMMYFUNCTION("""COMPUTED_VALUE"""),"Kedai")</f>
        <v>Kedai</v>
      </c>
      <c r="S1224" s="2" t="str">
        <f>IFERROR(__xludf.DUMMYFUNCTION("""COMPUTED_VALUE"""),"Temu Roti")</f>
        <v>Temu Roti</v>
      </c>
      <c r="T1224" s="2" t="str">
        <f>IFERROR(__xludf.DUMMYFUNCTION("""COMPUTED_VALUE"""),"Owner")</f>
        <v>Owner</v>
      </c>
      <c r="U1224" s="2"/>
      <c r="V1224" s="2"/>
      <c r="W1224" s="2"/>
      <c r="X1224" s="2" t="str">
        <f>IFERROR(__xludf.DUMMYFUNCTION("""COMPUTED_VALUE"""),"Closed")</f>
        <v>Closed</v>
      </c>
    </row>
    <row r="1225">
      <c r="A1225" s="3" t="s">
        <v>1236</v>
      </c>
      <c r="B1225" s="4">
        <f>IFERROR(__xludf.DUMMYFUNCTION("SPLIT(A1225,"","",0,0)"),45541.67847222222)</f>
        <v>45541.67847</v>
      </c>
      <c r="C1225" s="5">
        <f>IFERROR(__xludf.DUMMYFUNCTION("""COMPUTED_VALUE"""),2628318.0)</f>
        <v>2628318</v>
      </c>
      <c r="D1225" s="2" t="str">
        <f>IFERROR(__xludf.DUMMYFUNCTION("""COMPUTED_VALUE"""),"Sale")</f>
        <v>Sale</v>
      </c>
      <c r="E1225" s="2" t="str">
        <f>IFERROR(__xludf.DUMMYFUNCTION("""COMPUTED_VALUE"""),"Minuman")</f>
        <v>Minuman</v>
      </c>
      <c r="F1225" s="2">
        <f>IFERROR(__xludf.DUMMYFUNCTION("""COMPUTED_VALUE"""),10112.0)</f>
        <v>10112</v>
      </c>
      <c r="G1225" s="2" t="str">
        <f>IFERROR(__xludf.DUMMYFUNCTION("""COMPUTED_VALUE"""),"Air mineral")</f>
        <v>Air mineral</v>
      </c>
      <c r="H1225" s="2"/>
      <c r="I1225" s="2"/>
      <c r="J1225" s="2">
        <f>IFERROR(__xludf.DUMMYFUNCTION("""COMPUTED_VALUE"""),1.0)</f>
        <v>1</v>
      </c>
      <c r="K1225" s="6">
        <f>IFERROR(__xludf.DUMMYFUNCTION("""COMPUTED_VALUE"""),6667.0)</f>
        <v>6667</v>
      </c>
      <c r="L1225" s="2">
        <f>IFERROR(__xludf.DUMMYFUNCTION("""COMPUTED_VALUE"""),0.0)</f>
        <v>0</v>
      </c>
      <c r="M1225" s="2">
        <f>IFERROR(__xludf.DUMMYFUNCTION("""COMPUTED_VALUE"""),6667.0)</f>
        <v>6667</v>
      </c>
      <c r="N1225" s="2">
        <f>IFERROR(__xludf.DUMMYFUNCTION("""COMPUTED_VALUE"""),0.0)</f>
        <v>0</v>
      </c>
      <c r="O1225" s="2">
        <f>IFERROR(__xludf.DUMMYFUNCTION("""COMPUTED_VALUE"""),6667.0)</f>
        <v>6667</v>
      </c>
      <c r="P1225" s="2">
        <f>IFERROR(__xludf.DUMMYFUNCTION("""COMPUTED_VALUE"""),333.0)</f>
        <v>333</v>
      </c>
      <c r="Q1225" s="2" t="str">
        <f>IFERROR(__xludf.DUMMYFUNCTION("""COMPUTED_VALUE"""),"Dine In")</f>
        <v>Dine In</v>
      </c>
      <c r="R1225" s="2" t="str">
        <f>IFERROR(__xludf.DUMMYFUNCTION("""COMPUTED_VALUE"""),"Kedai")</f>
        <v>Kedai</v>
      </c>
      <c r="S1225" s="2" t="str">
        <f>IFERROR(__xludf.DUMMYFUNCTION("""COMPUTED_VALUE"""),"Temu Roti")</f>
        <v>Temu Roti</v>
      </c>
      <c r="T1225" s="2" t="str">
        <f>IFERROR(__xludf.DUMMYFUNCTION("""COMPUTED_VALUE"""),"Owner")</f>
        <v>Owner</v>
      </c>
      <c r="U1225" s="2"/>
      <c r="V1225" s="2"/>
      <c r="W1225" s="2"/>
      <c r="X1225" s="2" t="str">
        <f>IFERROR(__xludf.DUMMYFUNCTION("""COMPUTED_VALUE"""),"Closed")</f>
        <v>Closed</v>
      </c>
    </row>
    <row r="1226">
      <c r="A1226" s="3" t="s">
        <v>1237</v>
      </c>
      <c r="B1226" s="4">
        <f>IFERROR(__xludf.DUMMYFUNCTION("SPLIT(A1226,"","",0,0)"),45541.67847222222)</f>
        <v>45541.67847</v>
      </c>
      <c r="C1226" s="5">
        <f>IFERROR(__xludf.DUMMYFUNCTION("""COMPUTED_VALUE"""),2628318.0)</f>
        <v>2628318</v>
      </c>
      <c r="D1226" s="2" t="str">
        <f>IFERROR(__xludf.DUMMYFUNCTION("""COMPUTED_VALUE"""),"Sale")</f>
        <v>Sale</v>
      </c>
      <c r="E1226" s="2" t="str">
        <f>IFERROR(__xludf.DUMMYFUNCTION("""COMPUTED_VALUE"""),"Minuman")</f>
        <v>Minuman</v>
      </c>
      <c r="F1226" s="2">
        <f>IFERROR(__xludf.DUMMYFUNCTION("""COMPUTED_VALUE"""),10117.0)</f>
        <v>10117</v>
      </c>
      <c r="G1226" s="2" t="str">
        <f>IFERROR(__xludf.DUMMYFUNCTION("""COMPUTED_VALUE"""),"Teh Manis Dingin")</f>
        <v>Teh Manis Dingin</v>
      </c>
      <c r="H1226" s="2"/>
      <c r="I1226" s="2"/>
      <c r="J1226" s="2">
        <f>IFERROR(__xludf.DUMMYFUNCTION("""COMPUTED_VALUE"""),1.0)</f>
        <v>1</v>
      </c>
      <c r="K1226" s="6">
        <f>IFERROR(__xludf.DUMMYFUNCTION("""COMPUTED_VALUE"""),14286.0)</f>
        <v>14286</v>
      </c>
      <c r="L1226" s="2">
        <f>IFERROR(__xludf.DUMMYFUNCTION("""COMPUTED_VALUE"""),0.0)</f>
        <v>0</v>
      </c>
      <c r="M1226" s="2">
        <f>IFERROR(__xludf.DUMMYFUNCTION("""COMPUTED_VALUE"""),14286.0)</f>
        <v>14286</v>
      </c>
      <c r="N1226" s="2">
        <f>IFERROR(__xludf.DUMMYFUNCTION("""COMPUTED_VALUE"""),0.0)</f>
        <v>0</v>
      </c>
      <c r="O1226" s="2">
        <f>IFERROR(__xludf.DUMMYFUNCTION("""COMPUTED_VALUE"""),14286.0)</f>
        <v>14286</v>
      </c>
      <c r="P1226" s="2">
        <f>IFERROR(__xludf.DUMMYFUNCTION("""COMPUTED_VALUE"""),715.0)</f>
        <v>715</v>
      </c>
      <c r="Q1226" s="2" t="str">
        <f>IFERROR(__xludf.DUMMYFUNCTION("""COMPUTED_VALUE"""),"Dine In")</f>
        <v>Dine In</v>
      </c>
      <c r="R1226" s="2" t="str">
        <f>IFERROR(__xludf.DUMMYFUNCTION("""COMPUTED_VALUE"""),"Kedai")</f>
        <v>Kedai</v>
      </c>
      <c r="S1226" s="2" t="str">
        <f>IFERROR(__xludf.DUMMYFUNCTION("""COMPUTED_VALUE"""),"Temu Roti")</f>
        <v>Temu Roti</v>
      </c>
      <c r="T1226" s="2" t="str">
        <f>IFERROR(__xludf.DUMMYFUNCTION("""COMPUTED_VALUE"""),"Owner")</f>
        <v>Owner</v>
      </c>
      <c r="U1226" s="2"/>
      <c r="V1226" s="2"/>
      <c r="W1226" s="2"/>
      <c r="X1226" s="2" t="str">
        <f>IFERROR(__xludf.DUMMYFUNCTION("""COMPUTED_VALUE"""),"Closed")</f>
        <v>Closed</v>
      </c>
    </row>
    <row r="1227">
      <c r="A1227" s="3" t="s">
        <v>1238</v>
      </c>
      <c r="B1227" s="4">
        <f>IFERROR(__xludf.DUMMYFUNCTION("SPLIT(A1227,"","",0,0)"),45541.67847222222)</f>
        <v>45541.67847</v>
      </c>
      <c r="C1227" s="5">
        <f>IFERROR(__xludf.DUMMYFUNCTION("""COMPUTED_VALUE"""),2628318.0)</f>
        <v>2628318</v>
      </c>
      <c r="D1227" s="2" t="str">
        <f>IFERROR(__xludf.DUMMYFUNCTION("""COMPUTED_VALUE"""),"Sale")</f>
        <v>Sale</v>
      </c>
      <c r="E1227" s="2" t="str">
        <f>IFERROR(__xludf.DUMMYFUNCTION("""COMPUTED_VALUE"""),"Minuman")</f>
        <v>Minuman</v>
      </c>
      <c r="F1227" s="2">
        <f>IFERROR(__xludf.DUMMYFUNCTION("""COMPUTED_VALUE"""),10128.0)</f>
        <v>10128</v>
      </c>
      <c r="G1227" s="2" t="str">
        <f>IFERROR(__xludf.DUMMYFUNCTION("""COMPUTED_VALUE"""),"Es Kopi Susu")</f>
        <v>Es Kopi Susu</v>
      </c>
      <c r="H1227" s="2"/>
      <c r="I1227" s="2"/>
      <c r="J1227" s="2">
        <f>IFERROR(__xludf.DUMMYFUNCTION("""COMPUTED_VALUE"""),1.0)</f>
        <v>1</v>
      </c>
      <c r="K1227" s="6">
        <f>IFERROR(__xludf.DUMMYFUNCTION("""COMPUTED_VALUE"""),23333.0)</f>
        <v>23333</v>
      </c>
      <c r="L1227" s="2">
        <f>IFERROR(__xludf.DUMMYFUNCTION("""COMPUTED_VALUE"""),0.0)</f>
        <v>0</v>
      </c>
      <c r="M1227" s="2">
        <f>IFERROR(__xludf.DUMMYFUNCTION("""COMPUTED_VALUE"""),23333.0)</f>
        <v>23333</v>
      </c>
      <c r="N1227" s="2">
        <f>IFERROR(__xludf.DUMMYFUNCTION("""COMPUTED_VALUE"""),0.0)</f>
        <v>0</v>
      </c>
      <c r="O1227" s="2">
        <f>IFERROR(__xludf.DUMMYFUNCTION("""COMPUTED_VALUE"""),23333.0)</f>
        <v>23333</v>
      </c>
      <c r="P1227" s="2">
        <f>IFERROR(__xludf.DUMMYFUNCTION("""COMPUTED_VALUE"""),1166.0)</f>
        <v>1166</v>
      </c>
      <c r="Q1227" s="2" t="str">
        <f>IFERROR(__xludf.DUMMYFUNCTION("""COMPUTED_VALUE"""),"Dine In")</f>
        <v>Dine In</v>
      </c>
      <c r="R1227" s="2" t="str">
        <f>IFERROR(__xludf.DUMMYFUNCTION("""COMPUTED_VALUE"""),"Kedai")</f>
        <v>Kedai</v>
      </c>
      <c r="S1227" s="2" t="str">
        <f>IFERROR(__xludf.DUMMYFUNCTION("""COMPUTED_VALUE"""),"Temu Roti")</f>
        <v>Temu Roti</v>
      </c>
      <c r="T1227" s="2" t="str">
        <f>IFERROR(__xludf.DUMMYFUNCTION("""COMPUTED_VALUE"""),"Owner")</f>
        <v>Owner</v>
      </c>
      <c r="U1227" s="2"/>
      <c r="V1227" s="2"/>
      <c r="W1227" s="2"/>
      <c r="X1227" s="2" t="str">
        <f>IFERROR(__xludf.DUMMYFUNCTION("""COMPUTED_VALUE"""),"Closed")</f>
        <v>Closed</v>
      </c>
    </row>
    <row r="1228">
      <c r="A1228" s="3" t="s">
        <v>1239</v>
      </c>
      <c r="B1228" s="4">
        <f>IFERROR(__xludf.DUMMYFUNCTION("SPLIT(A1228,"","",0,0)"),45541.66805555556)</f>
        <v>45541.66806</v>
      </c>
      <c r="C1228" s="5">
        <f>IFERROR(__xludf.DUMMYFUNCTION("""COMPUTED_VALUE"""),2627953.0)</f>
        <v>2627953</v>
      </c>
      <c r="D1228" s="2" t="str">
        <f>IFERROR(__xludf.DUMMYFUNCTION("""COMPUTED_VALUE"""),"Sale")</f>
        <v>Sale</v>
      </c>
      <c r="E1228" s="2" t="str">
        <f>IFERROR(__xludf.DUMMYFUNCTION("""COMPUTED_VALUE"""),"Minuman")</f>
        <v>Minuman</v>
      </c>
      <c r="F1228" s="2">
        <f>IFERROR(__xludf.DUMMYFUNCTION("""COMPUTED_VALUE"""),10128.0)</f>
        <v>10128</v>
      </c>
      <c r="G1228" s="2" t="str">
        <f>IFERROR(__xludf.DUMMYFUNCTION("""COMPUTED_VALUE"""),"Es Kopi Susu")</f>
        <v>Es Kopi Susu</v>
      </c>
      <c r="H1228" s="2"/>
      <c r="I1228" s="2"/>
      <c r="J1228" s="2">
        <f>IFERROR(__xludf.DUMMYFUNCTION("""COMPUTED_VALUE"""),2.0)</f>
        <v>2</v>
      </c>
      <c r="K1228" s="6">
        <f>IFERROR(__xludf.DUMMYFUNCTION("""COMPUTED_VALUE"""),46666.0)</f>
        <v>46666</v>
      </c>
      <c r="L1228" s="2">
        <f>IFERROR(__xludf.DUMMYFUNCTION("""COMPUTED_VALUE"""),0.0)</f>
        <v>0</v>
      </c>
      <c r="M1228" s="2">
        <f>IFERROR(__xludf.DUMMYFUNCTION("""COMPUTED_VALUE"""),46666.0)</f>
        <v>46666</v>
      </c>
      <c r="N1228" s="2">
        <f>IFERROR(__xludf.DUMMYFUNCTION("""COMPUTED_VALUE"""),0.0)</f>
        <v>0</v>
      </c>
      <c r="O1228" s="2">
        <f>IFERROR(__xludf.DUMMYFUNCTION("""COMPUTED_VALUE"""),46666.0)</f>
        <v>46666</v>
      </c>
      <c r="P1228" s="2">
        <f>IFERROR(__xludf.DUMMYFUNCTION("""COMPUTED_VALUE"""),2333.0)</f>
        <v>2333</v>
      </c>
      <c r="Q1228" s="2" t="str">
        <f>IFERROR(__xludf.DUMMYFUNCTION("""COMPUTED_VALUE"""),"Dine In")</f>
        <v>Dine In</v>
      </c>
      <c r="R1228" s="2" t="str">
        <f>IFERROR(__xludf.DUMMYFUNCTION("""COMPUTED_VALUE"""),"Kedai")</f>
        <v>Kedai</v>
      </c>
      <c r="S1228" s="2" t="str">
        <f>IFERROR(__xludf.DUMMYFUNCTION("""COMPUTED_VALUE"""),"Temu Roti")</f>
        <v>Temu Roti</v>
      </c>
      <c r="T1228" s="2" t="str">
        <f>IFERROR(__xludf.DUMMYFUNCTION("""COMPUTED_VALUE"""),"Owner")</f>
        <v>Owner</v>
      </c>
      <c r="U1228" s="2"/>
      <c r="V1228" s="2"/>
      <c r="W1228" s="2"/>
      <c r="X1228" s="2" t="str">
        <f>IFERROR(__xludf.DUMMYFUNCTION("""COMPUTED_VALUE"""),"Closed")</f>
        <v>Closed</v>
      </c>
    </row>
    <row r="1229">
      <c r="A1229" s="3" t="s">
        <v>1240</v>
      </c>
      <c r="B1229" s="4">
        <f>IFERROR(__xludf.DUMMYFUNCTION("SPLIT(A1229,"","",0,0)"),45541.66805555556)</f>
        <v>45541.66806</v>
      </c>
      <c r="C1229" s="5">
        <f>IFERROR(__xludf.DUMMYFUNCTION("""COMPUTED_VALUE"""),2627953.0)</f>
        <v>2627953</v>
      </c>
      <c r="D1229" s="2" t="str">
        <f>IFERROR(__xludf.DUMMYFUNCTION("""COMPUTED_VALUE"""),"Sale")</f>
        <v>Sale</v>
      </c>
      <c r="E1229" s="2" t="str">
        <f>IFERROR(__xludf.DUMMYFUNCTION("""COMPUTED_VALUE"""),"Roti")</f>
        <v>Roti</v>
      </c>
      <c r="F1229" s="2">
        <f>IFERROR(__xludf.DUMMYFUNCTION("""COMPUTED_VALUE"""),10007.0)</f>
        <v>10007</v>
      </c>
      <c r="G1229" s="2" t="str">
        <f>IFERROR(__xludf.DUMMYFUNCTION("""COMPUTED_VALUE"""),"Roti cranberry 2 pcs")</f>
        <v>Roti cranberry 2 pcs</v>
      </c>
      <c r="H1229" s="2"/>
      <c r="I1229" s="2"/>
      <c r="J1229" s="2">
        <f>IFERROR(__xludf.DUMMYFUNCTION("""COMPUTED_VALUE"""),1.0)</f>
        <v>1</v>
      </c>
      <c r="K1229" s="6">
        <f>IFERROR(__xludf.DUMMYFUNCTION("""COMPUTED_VALUE"""),33810.0)</f>
        <v>33810</v>
      </c>
      <c r="L1229" s="2">
        <f>IFERROR(__xludf.DUMMYFUNCTION("""COMPUTED_VALUE"""),0.0)</f>
        <v>0</v>
      </c>
      <c r="M1229" s="2">
        <f>IFERROR(__xludf.DUMMYFUNCTION("""COMPUTED_VALUE"""),33810.0)</f>
        <v>33810</v>
      </c>
      <c r="N1229" s="2">
        <f>IFERROR(__xludf.DUMMYFUNCTION("""COMPUTED_VALUE"""),0.0)</f>
        <v>0</v>
      </c>
      <c r="O1229" s="2">
        <f>IFERROR(__xludf.DUMMYFUNCTION("""COMPUTED_VALUE"""),33810.0)</f>
        <v>33810</v>
      </c>
      <c r="P1229" s="2">
        <f>IFERROR(__xludf.DUMMYFUNCTION("""COMPUTED_VALUE"""),1691.0)</f>
        <v>1691</v>
      </c>
      <c r="Q1229" s="2" t="str">
        <f>IFERROR(__xludf.DUMMYFUNCTION("""COMPUTED_VALUE"""),"Dine In")</f>
        <v>Dine In</v>
      </c>
      <c r="R1229" s="2" t="str">
        <f>IFERROR(__xludf.DUMMYFUNCTION("""COMPUTED_VALUE"""),"Kedai")</f>
        <v>Kedai</v>
      </c>
      <c r="S1229" s="2" t="str">
        <f>IFERROR(__xludf.DUMMYFUNCTION("""COMPUTED_VALUE"""),"Temu Roti")</f>
        <v>Temu Roti</v>
      </c>
      <c r="T1229" s="2" t="str">
        <f>IFERROR(__xludf.DUMMYFUNCTION("""COMPUTED_VALUE"""),"Owner")</f>
        <v>Owner</v>
      </c>
      <c r="U1229" s="2"/>
      <c r="V1229" s="2"/>
      <c r="W1229" s="2"/>
      <c r="X1229" s="2" t="str">
        <f>IFERROR(__xludf.DUMMYFUNCTION("""COMPUTED_VALUE"""),"Closed")</f>
        <v>Closed</v>
      </c>
    </row>
    <row r="1230">
      <c r="A1230" s="3" t="s">
        <v>1241</v>
      </c>
      <c r="B1230" s="4">
        <f>IFERROR(__xludf.DUMMYFUNCTION("SPLIT(A1230,"","",0,0)"),45541.66805555556)</f>
        <v>45541.66806</v>
      </c>
      <c r="C1230" s="5">
        <f>IFERROR(__xludf.DUMMYFUNCTION("""COMPUTED_VALUE"""),2627953.0)</f>
        <v>2627953</v>
      </c>
      <c r="D1230" s="2" t="str">
        <f>IFERROR(__xludf.DUMMYFUNCTION("""COMPUTED_VALUE"""),"Sale")</f>
        <v>Sale</v>
      </c>
      <c r="E1230" s="2" t="str">
        <f>IFERROR(__xludf.DUMMYFUNCTION("""COMPUTED_VALUE"""),"Roti")</f>
        <v>Roti</v>
      </c>
      <c r="F1230" s="2">
        <f>IFERROR(__xludf.DUMMYFUNCTION("""COMPUTED_VALUE"""),10002.0)</f>
        <v>10002</v>
      </c>
      <c r="G1230" s="2" t="str">
        <f>IFERROR(__xludf.DUMMYFUNCTION("""COMPUTED_VALUE"""),"Roti Cranberry")</f>
        <v>Roti Cranberry</v>
      </c>
      <c r="H1230" s="2"/>
      <c r="I1230" s="2"/>
      <c r="J1230" s="2">
        <f>IFERROR(__xludf.DUMMYFUNCTION("""COMPUTED_VALUE"""),1.0)</f>
        <v>1</v>
      </c>
      <c r="K1230" s="6">
        <f>IFERROR(__xludf.DUMMYFUNCTION("""COMPUTED_VALUE"""),18571.0)</f>
        <v>18571</v>
      </c>
      <c r="L1230" s="2">
        <f>IFERROR(__xludf.DUMMYFUNCTION("""COMPUTED_VALUE"""),0.0)</f>
        <v>0</v>
      </c>
      <c r="M1230" s="2">
        <f>IFERROR(__xludf.DUMMYFUNCTION("""COMPUTED_VALUE"""),18571.0)</f>
        <v>18571</v>
      </c>
      <c r="N1230" s="2">
        <f>IFERROR(__xludf.DUMMYFUNCTION("""COMPUTED_VALUE"""),0.0)</f>
        <v>0</v>
      </c>
      <c r="O1230" s="2">
        <f>IFERROR(__xludf.DUMMYFUNCTION("""COMPUTED_VALUE"""),18571.0)</f>
        <v>18571</v>
      </c>
      <c r="P1230" s="2">
        <f>IFERROR(__xludf.DUMMYFUNCTION("""COMPUTED_VALUE"""),928.0)</f>
        <v>928</v>
      </c>
      <c r="Q1230" s="2" t="str">
        <f>IFERROR(__xludf.DUMMYFUNCTION("""COMPUTED_VALUE"""),"Dine In")</f>
        <v>Dine In</v>
      </c>
      <c r="R1230" s="2" t="str">
        <f>IFERROR(__xludf.DUMMYFUNCTION("""COMPUTED_VALUE"""),"Kedai")</f>
        <v>Kedai</v>
      </c>
      <c r="S1230" s="2" t="str">
        <f>IFERROR(__xludf.DUMMYFUNCTION("""COMPUTED_VALUE"""),"Temu Roti")</f>
        <v>Temu Roti</v>
      </c>
      <c r="T1230" s="2" t="str">
        <f>IFERROR(__xludf.DUMMYFUNCTION("""COMPUTED_VALUE"""),"Owner")</f>
        <v>Owner</v>
      </c>
      <c r="U1230" s="2"/>
      <c r="V1230" s="2"/>
      <c r="W1230" s="2"/>
      <c r="X1230" s="2" t="str">
        <f>IFERROR(__xludf.DUMMYFUNCTION("""COMPUTED_VALUE"""),"Closed")</f>
        <v>Closed</v>
      </c>
    </row>
    <row r="1231">
      <c r="A1231" s="3" t="s">
        <v>1242</v>
      </c>
      <c r="B1231" s="4">
        <f>IFERROR(__xludf.DUMMYFUNCTION("SPLIT(A1231,"","",0,0)"),45541.66805555556)</f>
        <v>45541.66806</v>
      </c>
      <c r="C1231" s="5">
        <f>IFERROR(__xludf.DUMMYFUNCTION("""COMPUTED_VALUE"""),2627953.0)</f>
        <v>2627953</v>
      </c>
      <c r="D1231" s="2" t="str">
        <f>IFERROR(__xludf.DUMMYFUNCTION("""COMPUTED_VALUE"""),"Sale")</f>
        <v>Sale</v>
      </c>
      <c r="E1231" s="2" t="str">
        <f>IFERROR(__xludf.DUMMYFUNCTION("""COMPUTED_VALUE"""),"Hidangan Utama")</f>
        <v>Hidangan Utama</v>
      </c>
      <c r="F1231" s="2">
        <f>IFERROR(__xludf.DUMMYFUNCTION("""COMPUTED_VALUE"""),10012.0)</f>
        <v>10012</v>
      </c>
      <c r="G1231" s="2" t="str">
        <f>IFERROR(__xludf.DUMMYFUNCTION("""COMPUTED_VALUE"""),"Mie joglo")</f>
        <v>Mie joglo</v>
      </c>
      <c r="H1231" s="2"/>
      <c r="I1231" s="2"/>
      <c r="J1231" s="2">
        <f>IFERROR(__xludf.DUMMYFUNCTION("""COMPUTED_VALUE"""),1.0)</f>
        <v>1</v>
      </c>
      <c r="K1231" s="6">
        <f>IFERROR(__xludf.DUMMYFUNCTION("""COMPUTED_VALUE"""),29524.0)</f>
        <v>29524</v>
      </c>
      <c r="L1231" s="2">
        <f>IFERROR(__xludf.DUMMYFUNCTION("""COMPUTED_VALUE"""),0.0)</f>
        <v>0</v>
      </c>
      <c r="M1231" s="2">
        <f>IFERROR(__xludf.DUMMYFUNCTION("""COMPUTED_VALUE"""),29524.0)</f>
        <v>29524</v>
      </c>
      <c r="N1231" s="2">
        <f>IFERROR(__xludf.DUMMYFUNCTION("""COMPUTED_VALUE"""),0.0)</f>
        <v>0</v>
      </c>
      <c r="O1231" s="2">
        <f>IFERROR(__xludf.DUMMYFUNCTION("""COMPUTED_VALUE"""),29524.0)</f>
        <v>29524</v>
      </c>
      <c r="P1231" s="2">
        <f>IFERROR(__xludf.DUMMYFUNCTION("""COMPUTED_VALUE"""),1477.0)</f>
        <v>1477</v>
      </c>
      <c r="Q1231" s="2" t="str">
        <f>IFERROR(__xludf.DUMMYFUNCTION("""COMPUTED_VALUE"""),"Dine In")</f>
        <v>Dine In</v>
      </c>
      <c r="R1231" s="2" t="str">
        <f>IFERROR(__xludf.DUMMYFUNCTION("""COMPUTED_VALUE"""),"Kedai")</f>
        <v>Kedai</v>
      </c>
      <c r="S1231" s="2" t="str">
        <f>IFERROR(__xludf.DUMMYFUNCTION("""COMPUTED_VALUE"""),"Temu Roti")</f>
        <v>Temu Roti</v>
      </c>
      <c r="T1231" s="2" t="str">
        <f>IFERROR(__xludf.DUMMYFUNCTION("""COMPUTED_VALUE"""),"Owner")</f>
        <v>Owner</v>
      </c>
      <c r="U1231" s="2"/>
      <c r="V1231" s="2"/>
      <c r="W1231" s="2"/>
      <c r="X1231" s="2" t="str">
        <f>IFERROR(__xludf.DUMMYFUNCTION("""COMPUTED_VALUE"""),"Closed")</f>
        <v>Closed</v>
      </c>
    </row>
    <row r="1232">
      <c r="A1232" s="3" t="s">
        <v>1243</v>
      </c>
      <c r="B1232" s="4">
        <f>IFERROR(__xludf.DUMMYFUNCTION("SPLIT(A1232,"","",0,0)"),45541.66805555556)</f>
        <v>45541.66806</v>
      </c>
      <c r="C1232" s="5">
        <f>IFERROR(__xludf.DUMMYFUNCTION("""COMPUTED_VALUE"""),2627953.0)</f>
        <v>2627953</v>
      </c>
      <c r="D1232" s="2" t="str">
        <f>IFERROR(__xludf.DUMMYFUNCTION("""COMPUTED_VALUE"""),"Sale")</f>
        <v>Sale</v>
      </c>
      <c r="E1232" s="2" t="str">
        <f>IFERROR(__xludf.DUMMYFUNCTION("""COMPUTED_VALUE"""),"Kudapan")</f>
        <v>Kudapan</v>
      </c>
      <c r="F1232" s="2">
        <f>IFERROR(__xludf.DUMMYFUNCTION("""COMPUTED_VALUE"""),10051.0)</f>
        <v>10051</v>
      </c>
      <c r="G1232" s="2" t="str">
        <f>IFERROR(__xludf.DUMMYFUNCTION("""COMPUTED_VALUE"""),"Tahu baso")</f>
        <v>Tahu baso</v>
      </c>
      <c r="H1232" s="2"/>
      <c r="I1232" s="2"/>
      <c r="J1232" s="2">
        <f>IFERROR(__xludf.DUMMYFUNCTION("""COMPUTED_VALUE"""),1.0)</f>
        <v>1</v>
      </c>
      <c r="K1232" s="6">
        <f>IFERROR(__xludf.DUMMYFUNCTION("""COMPUTED_VALUE"""),25238.0)</f>
        <v>25238</v>
      </c>
      <c r="L1232" s="2">
        <f>IFERROR(__xludf.DUMMYFUNCTION("""COMPUTED_VALUE"""),0.0)</f>
        <v>0</v>
      </c>
      <c r="M1232" s="2">
        <f>IFERROR(__xludf.DUMMYFUNCTION("""COMPUTED_VALUE"""),25238.0)</f>
        <v>25238</v>
      </c>
      <c r="N1232" s="2">
        <f>IFERROR(__xludf.DUMMYFUNCTION("""COMPUTED_VALUE"""),0.0)</f>
        <v>0</v>
      </c>
      <c r="O1232" s="2">
        <f>IFERROR(__xludf.DUMMYFUNCTION("""COMPUTED_VALUE"""),25238.0)</f>
        <v>25238</v>
      </c>
      <c r="P1232" s="2">
        <f>IFERROR(__xludf.DUMMYFUNCTION("""COMPUTED_VALUE"""),1261.0)</f>
        <v>1261</v>
      </c>
      <c r="Q1232" s="2" t="str">
        <f>IFERROR(__xludf.DUMMYFUNCTION("""COMPUTED_VALUE"""),"Dine In")</f>
        <v>Dine In</v>
      </c>
      <c r="R1232" s="2" t="str">
        <f>IFERROR(__xludf.DUMMYFUNCTION("""COMPUTED_VALUE"""),"Kedai")</f>
        <v>Kedai</v>
      </c>
      <c r="S1232" s="2" t="str">
        <f>IFERROR(__xludf.DUMMYFUNCTION("""COMPUTED_VALUE"""),"Temu Roti")</f>
        <v>Temu Roti</v>
      </c>
      <c r="T1232" s="2" t="str">
        <f>IFERROR(__xludf.DUMMYFUNCTION("""COMPUTED_VALUE"""),"Owner")</f>
        <v>Owner</v>
      </c>
      <c r="U1232" s="2"/>
      <c r="V1232" s="2"/>
      <c r="W1232" s="2"/>
      <c r="X1232" s="2" t="str">
        <f>IFERROR(__xludf.DUMMYFUNCTION("""COMPUTED_VALUE"""),"Closed")</f>
        <v>Closed</v>
      </c>
    </row>
    <row r="1233">
      <c r="A1233" s="3" t="s">
        <v>1244</v>
      </c>
      <c r="B1233" s="4">
        <f>IFERROR(__xludf.DUMMYFUNCTION("SPLIT(A1233,"","",0,0)"),45541.652083333334)</f>
        <v>45541.65208</v>
      </c>
      <c r="C1233" s="5">
        <f>IFERROR(__xludf.DUMMYFUNCTION("""COMPUTED_VALUE"""),2627588.0)</f>
        <v>2627588</v>
      </c>
      <c r="D1233" s="2" t="str">
        <f>IFERROR(__xludf.DUMMYFUNCTION("""COMPUTED_VALUE"""),"Sale")</f>
        <v>Sale</v>
      </c>
      <c r="E1233" s="2" t="str">
        <f>IFERROR(__xludf.DUMMYFUNCTION("""COMPUTED_VALUE"""),"Minuman")</f>
        <v>Minuman</v>
      </c>
      <c r="F1233" s="2">
        <f>IFERROR(__xludf.DUMMYFUNCTION("""COMPUTED_VALUE"""),10026.0)</f>
        <v>10026</v>
      </c>
      <c r="G1233" s="2" t="str">
        <f>IFERROR(__xludf.DUMMYFUNCTION("""COMPUTED_VALUE"""),"Es Kopi Lemon")</f>
        <v>Es Kopi Lemon</v>
      </c>
      <c r="H1233" s="2"/>
      <c r="I1233" s="2"/>
      <c r="J1233" s="2">
        <f>IFERROR(__xludf.DUMMYFUNCTION("""COMPUTED_VALUE"""),1.0)</f>
        <v>1</v>
      </c>
      <c r="K1233" s="6">
        <f>IFERROR(__xludf.DUMMYFUNCTION("""COMPUTED_VALUE"""),21905.0)</f>
        <v>21905</v>
      </c>
      <c r="L1233" s="2">
        <f>IFERROR(__xludf.DUMMYFUNCTION("""COMPUTED_VALUE"""),0.0)</f>
        <v>0</v>
      </c>
      <c r="M1233" s="2">
        <f>IFERROR(__xludf.DUMMYFUNCTION("""COMPUTED_VALUE"""),21905.0)</f>
        <v>21905</v>
      </c>
      <c r="N1233" s="2">
        <f>IFERROR(__xludf.DUMMYFUNCTION("""COMPUTED_VALUE"""),0.0)</f>
        <v>0</v>
      </c>
      <c r="O1233" s="2">
        <f>IFERROR(__xludf.DUMMYFUNCTION("""COMPUTED_VALUE"""),21905.0)</f>
        <v>21905</v>
      </c>
      <c r="P1233" s="2">
        <f>IFERROR(__xludf.DUMMYFUNCTION("""COMPUTED_VALUE"""),1095.0)</f>
        <v>1095</v>
      </c>
      <c r="Q1233" s="2" t="str">
        <f>IFERROR(__xludf.DUMMYFUNCTION("""COMPUTED_VALUE"""),"Dine In")</f>
        <v>Dine In</v>
      </c>
      <c r="R1233" s="2" t="str">
        <f>IFERROR(__xludf.DUMMYFUNCTION("""COMPUTED_VALUE"""),"Kedai")</f>
        <v>Kedai</v>
      </c>
      <c r="S1233" s="2" t="str">
        <f>IFERROR(__xludf.DUMMYFUNCTION("""COMPUTED_VALUE"""),"Temu Roti")</f>
        <v>Temu Roti</v>
      </c>
      <c r="T1233" s="2" t="str">
        <f>IFERROR(__xludf.DUMMYFUNCTION("""COMPUTED_VALUE"""),"Owner")</f>
        <v>Owner</v>
      </c>
      <c r="U1233" s="2"/>
      <c r="V1233" s="2"/>
      <c r="W1233" s="2"/>
      <c r="X1233" s="2" t="str">
        <f>IFERROR(__xludf.DUMMYFUNCTION("""COMPUTED_VALUE"""),"Closed")</f>
        <v>Closed</v>
      </c>
    </row>
    <row r="1234">
      <c r="A1234" s="3" t="s">
        <v>1245</v>
      </c>
      <c r="B1234" s="4">
        <f>IFERROR(__xludf.DUMMYFUNCTION("SPLIT(A1234,"","",0,0)"),45541.652083333334)</f>
        <v>45541.65208</v>
      </c>
      <c r="C1234" s="5">
        <f>IFERROR(__xludf.DUMMYFUNCTION("""COMPUTED_VALUE"""),2627588.0)</f>
        <v>2627588</v>
      </c>
      <c r="D1234" s="2" t="str">
        <f>IFERROR(__xludf.DUMMYFUNCTION("""COMPUTED_VALUE"""),"Sale")</f>
        <v>Sale</v>
      </c>
      <c r="E1234" s="2" t="str">
        <f>IFERROR(__xludf.DUMMYFUNCTION("""COMPUTED_VALUE"""),"Minuman")</f>
        <v>Minuman</v>
      </c>
      <c r="F1234" s="2">
        <f>IFERROR(__xludf.DUMMYFUNCTION("""COMPUTED_VALUE"""),10128.0)</f>
        <v>10128</v>
      </c>
      <c r="G1234" s="2" t="str">
        <f>IFERROR(__xludf.DUMMYFUNCTION("""COMPUTED_VALUE"""),"Es Kopi Susu")</f>
        <v>Es Kopi Susu</v>
      </c>
      <c r="H1234" s="2"/>
      <c r="I1234" s="2"/>
      <c r="J1234" s="2">
        <f>IFERROR(__xludf.DUMMYFUNCTION("""COMPUTED_VALUE"""),1.0)</f>
        <v>1</v>
      </c>
      <c r="K1234" s="6">
        <f>IFERROR(__xludf.DUMMYFUNCTION("""COMPUTED_VALUE"""),23333.0)</f>
        <v>23333</v>
      </c>
      <c r="L1234" s="2">
        <f>IFERROR(__xludf.DUMMYFUNCTION("""COMPUTED_VALUE"""),0.0)</f>
        <v>0</v>
      </c>
      <c r="M1234" s="2">
        <f>IFERROR(__xludf.DUMMYFUNCTION("""COMPUTED_VALUE"""),23333.0)</f>
        <v>23333</v>
      </c>
      <c r="N1234" s="2">
        <f>IFERROR(__xludf.DUMMYFUNCTION("""COMPUTED_VALUE"""),0.0)</f>
        <v>0</v>
      </c>
      <c r="O1234" s="2">
        <f>IFERROR(__xludf.DUMMYFUNCTION("""COMPUTED_VALUE"""),23333.0)</f>
        <v>23333</v>
      </c>
      <c r="P1234" s="2">
        <f>IFERROR(__xludf.DUMMYFUNCTION("""COMPUTED_VALUE"""),1167.0)</f>
        <v>1167</v>
      </c>
      <c r="Q1234" s="2" t="str">
        <f>IFERROR(__xludf.DUMMYFUNCTION("""COMPUTED_VALUE"""),"Dine In")</f>
        <v>Dine In</v>
      </c>
      <c r="R1234" s="2" t="str">
        <f>IFERROR(__xludf.DUMMYFUNCTION("""COMPUTED_VALUE"""),"Kedai")</f>
        <v>Kedai</v>
      </c>
      <c r="S1234" s="2" t="str">
        <f>IFERROR(__xludf.DUMMYFUNCTION("""COMPUTED_VALUE"""),"Temu Roti")</f>
        <v>Temu Roti</v>
      </c>
      <c r="T1234" s="2" t="str">
        <f>IFERROR(__xludf.DUMMYFUNCTION("""COMPUTED_VALUE"""),"Owner")</f>
        <v>Owner</v>
      </c>
      <c r="U1234" s="2"/>
      <c r="V1234" s="2"/>
      <c r="W1234" s="2"/>
      <c r="X1234" s="2" t="str">
        <f>IFERROR(__xludf.DUMMYFUNCTION("""COMPUTED_VALUE"""),"Closed")</f>
        <v>Closed</v>
      </c>
    </row>
    <row r="1235">
      <c r="A1235" s="3" t="s">
        <v>1246</v>
      </c>
      <c r="B1235" s="4">
        <f>IFERROR(__xludf.DUMMYFUNCTION("SPLIT(A1235,"","",0,0)"),45541.652083333334)</f>
        <v>45541.65208</v>
      </c>
      <c r="C1235" s="5">
        <f>IFERROR(__xludf.DUMMYFUNCTION("""COMPUTED_VALUE"""),2627588.0)</f>
        <v>2627588</v>
      </c>
      <c r="D1235" s="2" t="str">
        <f>IFERROR(__xludf.DUMMYFUNCTION("""COMPUTED_VALUE"""),"Sale")</f>
        <v>Sale</v>
      </c>
      <c r="E1235" s="2" t="str">
        <f>IFERROR(__xludf.DUMMYFUNCTION("""COMPUTED_VALUE"""),"Kudapan")</f>
        <v>Kudapan</v>
      </c>
      <c r="F1235" s="2">
        <f>IFERROR(__xludf.DUMMYFUNCTION("""COMPUTED_VALUE"""),10010.0)</f>
        <v>10010</v>
      </c>
      <c r="G1235" s="2" t="str">
        <f>IFERROR(__xludf.DUMMYFUNCTION("""COMPUTED_VALUE"""),"Pisang Goreng")</f>
        <v>Pisang Goreng</v>
      </c>
      <c r="H1235" s="2"/>
      <c r="I1235" s="2"/>
      <c r="J1235" s="2">
        <f>IFERROR(__xludf.DUMMYFUNCTION("""COMPUTED_VALUE"""),1.0)</f>
        <v>1</v>
      </c>
      <c r="K1235" s="6">
        <f>IFERROR(__xludf.DUMMYFUNCTION("""COMPUTED_VALUE"""),25238.0)</f>
        <v>25238</v>
      </c>
      <c r="L1235" s="2">
        <f>IFERROR(__xludf.DUMMYFUNCTION("""COMPUTED_VALUE"""),0.0)</f>
        <v>0</v>
      </c>
      <c r="M1235" s="2">
        <f>IFERROR(__xludf.DUMMYFUNCTION("""COMPUTED_VALUE"""),25238.0)</f>
        <v>25238</v>
      </c>
      <c r="N1235" s="2">
        <f>IFERROR(__xludf.DUMMYFUNCTION("""COMPUTED_VALUE"""),0.0)</f>
        <v>0</v>
      </c>
      <c r="O1235" s="2">
        <f>IFERROR(__xludf.DUMMYFUNCTION("""COMPUTED_VALUE"""),25238.0)</f>
        <v>25238</v>
      </c>
      <c r="P1235" s="2">
        <f>IFERROR(__xludf.DUMMYFUNCTION("""COMPUTED_VALUE"""),1262.0)</f>
        <v>1262</v>
      </c>
      <c r="Q1235" s="2" t="str">
        <f>IFERROR(__xludf.DUMMYFUNCTION("""COMPUTED_VALUE"""),"Dine In")</f>
        <v>Dine In</v>
      </c>
      <c r="R1235" s="2" t="str">
        <f>IFERROR(__xludf.DUMMYFUNCTION("""COMPUTED_VALUE"""),"Kedai")</f>
        <v>Kedai</v>
      </c>
      <c r="S1235" s="2" t="str">
        <f>IFERROR(__xludf.DUMMYFUNCTION("""COMPUTED_VALUE"""),"Temu Roti")</f>
        <v>Temu Roti</v>
      </c>
      <c r="T1235" s="2" t="str">
        <f>IFERROR(__xludf.DUMMYFUNCTION("""COMPUTED_VALUE"""),"Owner")</f>
        <v>Owner</v>
      </c>
      <c r="U1235" s="2"/>
      <c r="V1235" s="2"/>
      <c r="W1235" s="2"/>
      <c r="X1235" s="2" t="str">
        <f>IFERROR(__xludf.DUMMYFUNCTION("""COMPUTED_VALUE"""),"Closed")</f>
        <v>Closed</v>
      </c>
    </row>
    <row r="1236">
      <c r="A1236" s="3" t="s">
        <v>1247</v>
      </c>
      <c r="B1236" s="4">
        <f>IFERROR(__xludf.DUMMYFUNCTION("SPLIT(A1236,"","",0,0)"),45541.63402777778)</f>
        <v>45541.63403</v>
      </c>
      <c r="C1236" s="5">
        <f>IFERROR(__xludf.DUMMYFUNCTION("""COMPUTED_VALUE"""),2627223.0)</f>
        <v>2627223</v>
      </c>
      <c r="D1236" s="2" t="str">
        <f>IFERROR(__xludf.DUMMYFUNCTION("""COMPUTED_VALUE"""),"Sale")</f>
        <v>Sale</v>
      </c>
      <c r="E1236" s="2" t="str">
        <f>IFERROR(__xludf.DUMMYFUNCTION("""COMPUTED_VALUE"""),"Minuman")</f>
        <v>Minuman</v>
      </c>
      <c r="F1236" s="2">
        <f>IFERROR(__xludf.DUMMYFUNCTION("""COMPUTED_VALUE"""),10128.0)</f>
        <v>10128</v>
      </c>
      <c r="G1236" s="2" t="str">
        <f>IFERROR(__xludf.DUMMYFUNCTION("""COMPUTED_VALUE"""),"Es Kopi Susu")</f>
        <v>Es Kopi Susu</v>
      </c>
      <c r="H1236" s="2"/>
      <c r="I1236" s="2"/>
      <c r="J1236" s="2">
        <f>IFERROR(__xludf.DUMMYFUNCTION("""COMPUTED_VALUE"""),1.0)</f>
        <v>1</v>
      </c>
      <c r="K1236" s="6">
        <f>IFERROR(__xludf.DUMMYFUNCTION("""COMPUTED_VALUE"""),23333.0)</f>
        <v>23333</v>
      </c>
      <c r="L1236" s="2">
        <f>IFERROR(__xludf.DUMMYFUNCTION("""COMPUTED_VALUE"""),0.0)</f>
        <v>0</v>
      </c>
      <c r="M1236" s="2">
        <f>IFERROR(__xludf.DUMMYFUNCTION("""COMPUTED_VALUE"""),23333.0)</f>
        <v>23333</v>
      </c>
      <c r="N1236" s="2">
        <f>IFERROR(__xludf.DUMMYFUNCTION("""COMPUTED_VALUE"""),0.0)</f>
        <v>0</v>
      </c>
      <c r="O1236" s="2">
        <f>IFERROR(__xludf.DUMMYFUNCTION("""COMPUTED_VALUE"""),23333.0)</f>
        <v>23333</v>
      </c>
      <c r="P1236" s="2">
        <f>IFERROR(__xludf.DUMMYFUNCTION("""COMPUTED_VALUE"""),1167.0)</f>
        <v>1167</v>
      </c>
      <c r="Q1236" s="2" t="str">
        <f>IFERROR(__xludf.DUMMYFUNCTION("""COMPUTED_VALUE"""),"Dine In")</f>
        <v>Dine In</v>
      </c>
      <c r="R1236" s="2" t="str">
        <f>IFERROR(__xludf.DUMMYFUNCTION("""COMPUTED_VALUE"""),"Kedai")</f>
        <v>Kedai</v>
      </c>
      <c r="S1236" s="2" t="str">
        <f>IFERROR(__xludf.DUMMYFUNCTION("""COMPUTED_VALUE"""),"Temu Roti")</f>
        <v>Temu Roti</v>
      </c>
      <c r="T1236" s="2" t="str">
        <f>IFERROR(__xludf.DUMMYFUNCTION("""COMPUTED_VALUE"""),"Owner")</f>
        <v>Owner</v>
      </c>
      <c r="U1236" s="2"/>
      <c r="V1236" s="2"/>
      <c r="W1236" s="2"/>
      <c r="X1236" s="2" t="str">
        <f>IFERROR(__xludf.DUMMYFUNCTION("""COMPUTED_VALUE"""),"Closed")</f>
        <v>Closed</v>
      </c>
    </row>
    <row r="1237">
      <c r="A1237" s="3" t="s">
        <v>1248</v>
      </c>
      <c r="B1237" s="4">
        <f>IFERROR(__xludf.DUMMYFUNCTION("SPLIT(A1237,"","",0,0)"),45541.60208333333)</f>
        <v>45541.60208</v>
      </c>
      <c r="C1237" s="5">
        <f>IFERROR(__xludf.DUMMYFUNCTION("""COMPUTED_VALUE"""),2626857.0)</f>
        <v>2626857</v>
      </c>
      <c r="D1237" s="2" t="str">
        <f>IFERROR(__xludf.DUMMYFUNCTION("""COMPUTED_VALUE"""),"Sale")</f>
        <v>Sale</v>
      </c>
      <c r="E1237" s="2" t="str">
        <f>IFERROR(__xludf.DUMMYFUNCTION("""COMPUTED_VALUE"""),"Minuman")</f>
        <v>Minuman</v>
      </c>
      <c r="F1237" s="2">
        <f>IFERROR(__xludf.DUMMYFUNCTION("""COMPUTED_VALUE"""),10128.0)</f>
        <v>10128</v>
      </c>
      <c r="G1237" s="2" t="str">
        <f>IFERROR(__xludf.DUMMYFUNCTION("""COMPUTED_VALUE"""),"Es Kopi Susu")</f>
        <v>Es Kopi Susu</v>
      </c>
      <c r="H1237" s="2"/>
      <c r="I1237" s="2"/>
      <c r="J1237" s="2">
        <f>IFERROR(__xludf.DUMMYFUNCTION("""COMPUTED_VALUE"""),1.0)</f>
        <v>1</v>
      </c>
      <c r="K1237" s="6">
        <f>IFERROR(__xludf.DUMMYFUNCTION("""COMPUTED_VALUE"""),23333.0)</f>
        <v>23333</v>
      </c>
      <c r="L1237" s="2">
        <f>IFERROR(__xludf.DUMMYFUNCTION("""COMPUTED_VALUE"""),0.0)</f>
        <v>0</v>
      </c>
      <c r="M1237" s="2">
        <f>IFERROR(__xludf.DUMMYFUNCTION("""COMPUTED_VALUE"""),23333.0)</f>
        <v>23333</v>
      </c>
      <c r="N1237" s="2">
        <f>IFERROR(__xludf.DUMMYFUNCTION("""COMPUTED_VALUE"""),0.0)</f>
        <v>0</v>
      </c>
      <c r="O1237" s="2">
        <f>IFERROR(__xludf.DUMMYFUNCTION("""COMPUTED_VALUE"""),23333.0)</f>
        <v>23333</v>
      </c>
      <c r="P1237" s="2">
        <f>IFERROR(__xludf.DUMMYFUNCTION("""COMPUTED_VALUE"""),1167.0)</f>
        <v>1167</v>
      </c>
      <c r="Q1237" s="2" t="str">
        <f>IFERROR(__xludf.DUMMYFUNCTION("""COMPUTED_VALUE"""),"Dine In")</f>
        <v>Dine In</v>
      </c>
      <c r="R1237" s="2" t="str">
        <f>IFERROR(__xludf.DUMMYFUNCTION("""COMPUTED_VALUE"""),"Kedai")</f>
        <v>Kedai</v>
      </c>
      <c r="S1237" s="2" t="str">
        <f>IFERROR(__xludf.DUMMYFUNCTION("""COMPUTED_VALUE"""),"Temu Roti")</f>
        <v>Temu Roti</v>
      </c>
      <c r="T1237" s="2" t="str">
        <f>IFERROR(__xludf.DUMMYFUNCTION("""COMPUTED_VALUE"""),"Owner")</f>
        <v>Owner</v>
      </c>
      <c r="U1237" s="2"/>
      <c r="V1237" s="2"/>
      <c r="W1237" s="2"/>
      <c r="X1237" s="2" t="str">
        <f>IFERROR(__xludf.DUMMYFUNCTION("""COMPUTED_VALUE"""),"Closed")</f>
        <v>Closed</v>
      </c>
    </row>
    <row r="1238">
      <c r="A1238" s="3" t="s">
        <v>1249</v>
      </c>
      <c r="B1238" s="4">
        <f>IFERROR(__xludf.DUMMYFUNCTION("SPLIT(A1238,"","",0,0)"),45541.56180555555)</f>
        <v>45541.56181</v>
      </c>
      <c r="C1238" s="5">
        <f>IFERROR(__xludf.DUMMYFUNCTION("""COMPUTED_VALUE"""),2626492.0)</f>
        <v>2626492</v>
      </c>
      <c r="D1238" s="2" t="str">
        <f>IFERROR(__xludf.DUMMYFUNCTION("""COMPUTED_VALUE"""),"Sale")</f>
        <v>Sale</v>
      </c>
      <c r="E1238" s="2" t="str">
        <f>IFERROR(__xludf.DUMMYFUNCTION("""COMPUTED_VALUE"""),"Minuman")</f>
        <v>Minuman</v>
      </c>
      <c r="F1238" s="2">
        <f>IFERROR(__xludf.DUMMYFUNCTION("""COMPUTED_VALUE"""),10058.0)</f>
        <v>10058</v>
      </c>
      <c r="G1238" s="2" t="str">
        <f>IFERROR(__xludf.DUMMYFUNCTION("""COMPUTED_VALUE"""),"Susu murni ori")</f>
        <v>Susu murni ori</v>
      </c>
      <c r="H1238" s="2"/>
      <c r="I1238" s="2"/>
      <c r="J1238" s="2">
        <f>IFERROR(__xludf.DUMMYFUNCTION("""COMPUTED_VALUE"""),1.0)</f>
        <v>1</v>
      </c>
      <c r="K1238" s="6">
        <f>IFERROR(__xludf.DUMMYFUNCTION("""COMPUTED_VALUE"""),19524.0)</f>
        <v>19524</v>
      </c>
      <c r="L1238" s="2">
        <f>IFERROR(__xludf.DUMMYFUNCTION("""COMPUTED_VALUE"""),0.0)</f>
        <v>0</v>
      </c>
      <c r="M1238" s="2">
        <f>IFERROR(__xludf.DUMMYFUNCTION("""COMPUTED_VALUE"""),19524.0)</f>
        <v>19524</v>
      </c>
      <c r="N1238" s="2">
        <f>IFERROR(__xludf.DUMMYFUNCTION("""COMPUTED_VALUE"""),0.0)</f>
        <v>0</v>
      </c>
      <c r="O1238" s="2">
        <f>IFERROR(__xludf.DUMMYFUNCTION("""COMPUTED_VALUE"""),19524.0)</f>
        <v>19524</v>
      </c>
      <c r="P1238" s="2">
        <f>IFERROR(__xludf.DUMMYFUNCTION("""COMPUTED_VALUE"""),976.0)</f>
        <v>976</v>
      </c>
      <c r="Q1238" s="2" t="str">
        <f>IFERROR(__xludf.DUMMYFUNCTION("""COMPUTED_VALUE"""),"Dine In")</f>
        <v>Dine In</v>
      </c>
      <c r="R1238" s="2" t="str">
        <f>IFERROR(__xludf.DUMMYFUNCTION("""COMPUTED_VALUE"""),"Kedai")</f>
        <v>Kedai</v>
      </c>
      <c r="S1238" s="2" t="str">
        <f>IFERROR(__xludf.DUMMYFUNCTION("""COMPUTED_VALUE"""),"Temu Roti")</f>
        <v>Temu Roti</v>
      </c>
      <c r="T1238" s="2" t="str">
        <f>IFERROR(__xludf.DUMMYFUNCTION("""COMPUTED_VALUE"""),"Owner")</f>
        <v>Owner</v>
      </c>
      <c r="U1238" s="2"/>
      <c r="V1238" s="2"/>
      <c r="W1238" s="2"/>
      <c r="X1238" s="2" t="str">
        <f>IFERROR(__xludf.DUMMYFUNCTION("""COMPUTED_VALUE"""),"Closed")</f>
        <v>Closed</v>
      </c>
    </row>
    <row r="1239">
      <c r="A1239" s="3" t="s">
        <v>1250</v>
      </c>
      <c r="B1239" s="4">
        <f>IFERROR(__xludf.DUMMYFUNCTION("SPLIT(A1239,"","",0,0)"),45541.53680555556)</f>
        <v>45541.53681</v>
      </c>
      <c r="C1239" s="5">
        <f>IFERROR(__xludf.DUMMYFUNCTION("""COMPUTED_VALUE"""),2626127.0)</f>
        <v>2626127</v>
      </c>
      <c r="D1239" s="2" t="str">
        <f>IFERROR(__xludf.DUMMYFUNCTION("""COMPUTED_VALUE"""),"Sale")</f>
        <v>Sale</v>
      </c>
      <c r="E1239" s="2" t="str">
        <f>IFERROR(__xludf.DUMMYFUNCTION("""COMPUTED_VALUE"""),"Roti")</f>
        <v>Roti</v>
      </c>
      <c r="F1239" s="2">
        <f>IFERROR(__xludf.DUMMYFUNCTION("""COMPUTED_VALUE"""),10000.0)</f>
        <v>10000</v>
      </c>
      <c r="G1239" s="2" t="str">
        <f>IFERROR(__xludf.DUMMYFUNCTION("""COMPUTED_VALUE"""),"Roti Bawang Saus Keju")</f>
        <v>Roti Bawang Saus Keju</v>
      </c>
      <c r="H1239" s="2"/>
      <c r="I1239" s="2"/>
      <c r="J1239" s="2">
        <f>IFERROR(__xludf.DUMMYFUNCTION("""COMPUTED_VALUE"""),1.0)</f>
        <v>1</v>
      </c>
      <c r="K1239" s="6">
        <f>IFERROR(__xludf.DUMMYFUNCTION("""COMPUTED_VALUE"""),29524.0)</f>
        <v>29524</v>
      </c>
      <c r="L1239" s="2">
        <f>IFERROR(__xludf.DUMMYFUNCTION("""COMPUTED_VALUE"""),0.0)</f>
        <v>0</v>
      </c>
      <c r="M1239" s="2">
        <f>IFERROR(__xludf.DUMMYFUNCTION("""COMPUTED_VALUE"""),29524.0)</f>
        <v>29524</v>
      </c>
      <c r="N1239" s="2">
        <f>IFERROR(__xludf.DUMMYFUNCTION("""COMPUTED_VALUE"""),0.0)</f>
        <v>0</v>
      </c>
      <c r="O1239" s="2">
        <f>IFERROR(__xludf.DUMMYFUNCTION("""COMPUTED_VALUE"""),29524.0)</f>
        <v>29524</v>
      </c>
      <c r="P1239" s="2">
        <f>IFERROR(__xludf.DUMMYFUNCTION("""COMPUTED_VALUE"""),1476.0)</f>
        <v>1476</v>
      </c>
      <c r="Q1239" s="2" t="str">
        <f>IFERROR(__xludf.DUMMYFUNCTION("""COMPUTED_VALUE"""),"Dine In")</f>
        <v>Dine In</v>
      </c>
      <c r="R1239" s="2" t="str">
        <f>IFERROR(__xludf.DUMMYFUNCTION("""COMPUTED_VALUE"""),"Kedai")</f>
        <v>Kedai</v>
      </c>
      <c r="S1239" s="2" t="str">
        <f>IFERROR(__xludf.DUMMYFUNCTION("""COMPUTED_VALUE"""),"Temu Roti")</f>
        <v>Temu Roti</v>
      </c>
      <c r="T1239" s="2" t="str">
        <f>IFERROR(__xludf.DUMMYFUNCTION("""COMPUTED_VALUE"""),"Owner")</f>
        <v>Owner</v>
      </c>
      <c r="U1239" s="2"/>
      <c r="V1239" s="2"/>
      <c r="W1239" s="2"/>
      <c r="X1239" s="2" t="str">
        <f>IFERROR(__xludf.DUMMYFUNCTION("""COMPUTED_VALUE"""),"Closed")</f>
        <v>Closed</v>
      </c>
    </row>
    <row r="1240">
      <c r="A1240" s="3" t="s">
        <v>1251</v>
      </c>
      <c r="B1240" s="4">
        <f>IFERROR(__xludf.DUMMYFUNCTION("SPLIT(A1240,"","",0,0)"),45541.53680555556)</f>
        <v>45541.53681</v>
      </c>
      <c r="C1240" s="5">
        <f>IFERROR(__xludf.DUMMYFUNCTION("""COMPUTED_VALUE"""),2626127.0)</f>
        <v>2626127</v>
      </c>
      <c r="D1240" s="2" t="str">
        <f>IFERROR(__xludf.DUMMYFUNCTION("""COMPUTED_VALUE"""),"Sale")</f>
        <v>Sale</v>
      </c>
      <c r="E1240" s="2" t="str">
        <f>IFERROR(__xludf.DUMMYFUNCTION("""COMPUTED_VALUE"""),"Minuman")</f>
        <v>Minuman</v>
      </c>
      <c r="F1240" s="2">
        <f>IFERROR(__xludf.DUMMYFUNCTION("""COMPUTED_VALUE"""),10013.0)</f>
        <v>10013</v>
      </c>
      <c r="G1240" s="2" t="str">
        <f>IFERROR(__xludf.DUMMYFUNCTION("""COMPUTED_VALUE"""),"Kopi cur")</f>
        <v>Kopi cur</v>
      </c>
      <c r="H1240" s="2"/>
      <c r="I1240" s="2"/>
      <c r="J1240" s="2">
        <f>IFERROR(__xludf.DUMMYFUNCTION("""COMPUTED_VALUE"""),1.0)</f>
        <v>1</v>
      </c>
      <c r="K1240" s="6">
        <f>IFERROR(__xludf.DUMMYFUNCTION("""COMPUTED_VALUE"""),23333.0)</f>
        <v>23333</v>
      </c>
      <c r="L1240" s="2">
        <f>IFERROR(__xludf.DUMMYFUNCTION("""COMPUTED_VALUE"""),0.0)</f>
        <v>0</v>
      </c>
      <c r="M1240" s="2">
        <f>IFERROR(__xludf.DUMMYFUNCTION("""COMPUTED_VALUE"""),23333.0)</f>
        <v>23333</v>
      </c>
      <c r="N1240" s="2">
        <f>IFERROR(__xludf.DUMMYFUNCTION("""COMPUTED_VALUE"""),0.0)</f>
        <v>0</v>
      </c>
      <c r="O1240" s="2">
        <f>IFERROR(__xludf.DUMMYFUNCTION("""COMPUTED_VALUE"""),23333.0)</f>
        <v>23333</v>
      </c>
      <c r="P1240" s="2">
        <f>IFERROR(__xludf.DUMMYFUNCTION("""COMPUTED_VALUE"""),1167.0)</f>
        <v>1167</v>
      </c>
      <c r="Q1240" s="2" t="str">
        <f>IFERROR(__xludf.DUMMYFUNCTION("""COMPUTED_VALUE"""),"Dine In")</f>
        <v>Dine In</v>
      </c>
      <c r="R1240" s="2" t="str">
        <f>IFERROR(__xludf.DUMMYFUNCTION("""COMPUTED_VALUE"""),"Kedai")</f>
        <v>Kedai</v>
      </c>
      <c r="S1240" s="2" t="str">
        <f>IFERROR(__xludf.DUMMYFUNCTION("""COMPUTED_VALUE"""),"Temu Roti")</f>
        <v>Temu Roti</v>
      </c>
      <c r="T1240" s="2" t="str">
        <f>IFERROR(__xludf.DUMMYFUNCTION("""COMPUTED_VALUE"""),"Owner")</f>
        <v>Owner</v>
      </c>
      <c r="U1240" s="2"/>
      <c r="V1240" s="2"/>
      <c r="W1240" s="2"/>
      <c r="X1240" s="2" t="str">
        <f>IFERROR(__xludf.DUMMYFUNCTION("""COMPUTED_VALUE"""),"Closed")</f>
        <v>Closed</v>
      </c>
    </row>
    <row r="1241">
      <c r="A1241" s="3" t="s">
        <v>1252</v>
      </c>
      <c r="B1241" s="4">
        <f>IFERROR(__xludf.DUMMYFUNCTION("SPLIT(A1241,"","",0,0)"),45541.53680555556)</f>
        <v>45541.53681</v>
      </c>
      <c r="C1241" s="5">
        <f>IFERROR(__xludf.DUMMYFUNCTION("""COMPUTED_VALUE"""),2626127.0)</f>
        <v>2626127</v>
      </c>
      <c r="D1241" s="2" t="str">
        <f>IFERROR(__xludf.DUMMYFUNCTION("""COMPUTED_VALUE"""),"Sale")</f>
        <v>Sale</v>
      </c>
      <c r="E1241" s="2" t="str">
        <f>IFERROR(__xludf.DUMMYFUNCTION("""COMPUTED_VALUE"""),"Minuman")</f>
        <v>Minuman</v>
      </c>
      <c r="F1241" s="2">
        <f>IFERROR(__xludf.DUMMYFUNCTION("""COMPUTED_VALUE"""),10128.0)</f>
        <v>10128</v>
      </c>
      <c r="G1241" s="2" t="str">
        <f>IFERROR(__xludf.DUMMYFUNCTION("""COMPUTED_VALUE"""),"Es Kopi Susu")</f>
        <v>Es Kopi Susu</v>
      </c>
      <c r="H1241" s="2"/>
      <c r="I1241" s="2"/>
      <c r="J1241" s="2">
        <f>IFERROR(__xludf.DUMMYFUNCTION("""COMPUTED_VALUE"""),1.0)</f>
        <v>1</v>
      </c>
      <c r="K1241" s="6">
        <f>IFERROR(__xludf.DUMMYFUNCTION("""COMPUTED_VALUE"""),23333.0)</f>
        <v>23333</v>
      </c>
      <c r="L1241" s="2">
        <f>IFERROR(__xludf.DUMMYFUNCTION("""COMPUTED_VALUE"""),0.0)</f>
        <v>0</v>
      </c>
      <c r="M1241" s="2">
        <f>IFERROR(__xludf.DUMMYFUNCTION("""COMPUTED_VALUE"""),23333.0)</f>
        <v>23333</v>
      </c>
      <c r="N1241" s="2">
        <f>IFERROR(__xludf.DUMMYFUNCTION("""COMPUTED_VALUE"""),0.0)</f>
        <v>0</v>
      </c>
      <c r="O1241" s="2">
        <f>IFERROR(__xludf.DUMMYFUNCTION("""COMPUTED_VALUE"""),23333.0)</f>
        <v>23333</v>
      </c>
      <c r="P1241" s="2">
        <f>IFERROR(__xludf.DUMMYFUNCTION("""COMPUTED_VALUE"""),1167.0)</f>
        <v>1167</v>
      </c>
      <c r="Q1241" s="2" t="str">
        <f>IFERROR(__xludf.DUMMYFUNCTION("""COMPUTED_VALUE"""),"Dine In")</f>
        <v>Dine In</v>
      </c>
      <c r="R1241" s="2" t="str">
        <f>IFERROR(__xludf.DUMMYFUNCTION("""COMPUTED_VALUE"""),"Kedai")</f>
        <v>Kedai</v>
      </c>
      <c r="S1241" s="2" t="str">
        <f>IFERROR(__xludf.DUMMYFUNCTION("""COMPUTED_VALUE"""),"Temu Roti")</f>
        <v>Temu Roti</v>
      </c>
      <c r="T1241" s="2" t="str">
        <f>IFERROR(__xludf.DUMMYFUNCTION("""COMPUTED_VALUE"""),"Owner")</f>
        <v>Owner</v>
      </c>
      <c r="U1241" s="2"/>
      <c r="V1241" s="2"/>
      <c r="W1241" s="2"/>
      <c r="X1241" s="2" t="str">
        <f>IFERROR(__xludf.DUMMYFUNCTION("""COMPUTED_VALUE"""),"Closed")</f>
        <v>Closed</v>
      </c>
    </row>
    <row r="1242">
      <c r="A1242" s="3" t="s">
        <v>1253</v>
      </c>
      <c r="B1242" s="4">
        <f>IFERROR(__xludf.DUMMYFUNCTION("SPLIT(A1242,"","",0,0)"),45541.47361111111)</f>
        <v>45541.47361</v>
      </c>
      <c r="C1242" s="5">
        <f>IFERROR(__xludf.DUMMYFUNCTION("""COMPUTED_VALUE"""),2625762.0)</f>
        <v>2625762</v>
      </c>
      <c r="D1242" s="2" t="str">
        <f>IFERROR(__xludf.DUMMYFUNCTION("""COMPUTED_VALUE"""),"Sale")</f>
        <v>Sale</v>
      </c>
      <c r="E1242" s="2" t="str">
        <f>IFERROR(__xludf.DUMMYFUNCTION("""COMPUTED_VALUE"""),"Roti")</f>
        <v>Roti</v>
      </c>
      <c r="F1242" s="2">
        <f>IFERROR(__xludf.DUMMYFUNCTION("""COMPUTED_VALUE"""),10042.0)</f>
        <v>10042</v>
      </c>
      <c r="G1242" s="2" t="str">
        <f>IFERROR(__xludf.DUMMYFUNCTION("""COMPUTED_VALUE"""),"Roti coklat")</f>
        <v>Roti coklat</v>
      </c>
      <c r="H1242" s="2"/>
      <c r="I1242" s="2"/>
      <c r="J1242" s="2">
        <f>IFERROR(__xludf.DUMMYFUNCTION("""COMPUTED_VALUE"""),1.0)</f>
        <v>1</v>
      </c>
      <c r="K1242" s="6">
        <f>IFERROR(__xludf.DUMMYFUNCTION("""COMPUTED_VALUE"""),9524.0)</f>
        <v>9524</v>
      </c>
      <c r="L1242" s="2">
        <f>IFERROR(__xludf.DUMMYFUNCTION("""COMPUTED_VALUE"""),0.0)</f>
        <v>0</v>
      </c>
      <c r="M1242" s="2">
        <f>IFERROR(__xludf.DUMMYFUNCTION("""COMPUTED_VALUE"""),9524.0)</f>
        <v>9524</v>
      </c>
      <c r="N1242" s="2">
        <f>IFERROR(__xludf.DUMMYFUNCTION("""COMPUTED_VALUE"""),0.0)</f>
        <v>0</v>
      </c>
      <c r="O1242" s="2">
        <f>IFERROR(__xludf.DUMMYFUNCTION("""COMPUTED_VALUE"""),9524.0)</f>
        <v>9524</v>
      </c>
      <c r="P1242" s="2">
        <f>IFERROR(__xludf.DUMMYFUNCTION("""COMPUTED_VALUE"""),476.0)</f>
        <v>476</v>
      </c>
      <c r="Q1242" s="2" t="str">
        <f>IFERROR(__xludf.DUMMYFUNCTION("""COMPUTED_VALUE"""),"Dine In")</f>
        <v>Dine In</v>
      </c>
      <c r="R1242" s="2" t="str">
        <f>IFERROR(__xludf.DUMMYFUNCTION("""COMPUTED_VALUE"""),"Kedai")</f>
        <v>Kedai</v>
      </c>
      <c r="S1242" s="2" t="str">
        <f>IFERROR(__xludf.DUMMYFUNCTION("""COMPUTED_VALUE"""),"Temu Roti")</f>
        <v>Temu Roti</v>
      </c>
      <c r="T1242" s="2" t="str">
        <f>IFERROR(__xludf.DUMMYFUNCTION("""COMPUTED_VALUE"""),"Owner")</f>
        <v>Owner</v>
      </c>
      <c r="U1242" s="2"/>
      <c r="V1242" s="2"/>
      <c r="W1242" s="2"/>
      <c r="X1242" s="2" t="str">
        <f>IFERROR(__xludf.DUMMYFUNCTION("""COMPUTED_VALUE"""),"Closed")</f>
        <v>Closed</v>
      </c>
    </row>
    <row r="1243">
      <c r="A1243" s="3" t="s">
        <v>1254</v>
      </c>
      <c r="B1243" s="4">
        <f>IFERROR(__xludf.DUMMYFUNCTION("SPLIT(A1243,"","",0,0)"),45541.47361111111)</f>
        <v>45541.47361</v>
      </c>
      <c r="C1243" s="5">
        <f>IFERROR(__xludf.DUMMYFUNCTION("""COMPUTED_VALUE"""),2625762.0)</f>
        <v>2625762</v>
      </c>
      <c r="D1243" s="2" t="str">
        <f>IFERROR(__xludf.DUMMYFUNCTION("""COMPUTED_VALUE"""),"Sale")</f>
        <v>Sale</v>
      </c>
      <c r="E1243" s="2" t="str">
        <f>IFERROR(__xludf.DUMMYFUNCTION("""COMPUTED_VALUE"""),"Minuman")</f>
        <v>Minuman</v>
      </c>
      <c r="F1243" s="2">
        <f>IFERROR(__xludf.DUMMYFUNCTION("""COMPUTED_VALUE"""),10117.0)</f>
        <v>10117</v>
      </c>
      <c r="G1243" s="2" t="str">
        <f>IFERROR(__xludf.DUMMYFUNCTION("""COMPUTED_VALUE"""),"Teh Manis Dingin")</f>
        <v>Teh Manis Dingin</v>
      </c>
      <c r="H1243" s="2"/>
      <c r="I1243" s="2"/>
      <c r="J1243" s="2">
        <f>IFERROR(__xludf.DUMMYFUNCTION("""COMPUTED_VALUE"""),1.0)</f>
        <v>1</v>
      </c>
      <c r="K1243" s="6">
        <f>IFERROR(__xludf.DUMMYFUNCTION("""COMPUTED_VALUE"""),14286.0)</f>
        <v>14286</v>
      </c>
      <c r="L1243" s="2">
        <f>IFERROR(__xludf.DUMMYFUNCTION("""COMPUTED_VALUE"""),0.0)</f>
        <v>0</v>
      </c>
      <c r="M1243" s="2">
        <f>IFERROR(__xludf.DUMMYFUNCTION("""COMPUTED_VALUE"""),14286.0)</f>
        <v>14286</v>
      </c>
      <c r="N1243" s="2">
        <f>IFERROR(__xludf.DUMMYFUNCTION("""COMPUTED_VALUE"""),0.0)</f>
        <v>0</v>
      </c>
      <c r="O1243" s="2">
        <f>IFERROR(__xludf.DUMMYFUNCTION("""COMPUTED_VALUE"""),14286.0)</f>
        <v>14286</v>
      </c>
      <c r="P1243" s="2">
        <f>IFERROR(__xludf.DUMMYFUNCTION("""COMPUTED_VALUE"""),715.0)</f>
        <v>715</v>
      </c>
      <c r="Q1243" s="2" t="str">
        <f>IFERROR(__xludf.DUMMYFUNCTION("""COMPUTED_VALUE"""),"Dine In")</f>
        <v>Dine In</v>
      </c>
      <c r="R1243" s="2" t="str">
        <f>IFERROR(__xludf.DUMMYFUNCTION("""COMPUTED_VALUE"""),"Kedai")</f>
        <v>Kedai</v>
      </c>
      <c r="S1243" s="2" t="str">
        <f>IFERROR(__xludf.DUMMYFUNCTION("""COMPUTED_VALUE"""),"Temu Roti")</f>
        <v>Temu Roti</v>
      </c>
      <c r="T1243" s="2" t="str">
        <f>IFERROR(__xludf.DUMMYFUNCTION("""COMPUTED_VALUE"""),"Owner")</f>
        <v>Owner</v>
      </c>
      <c r="U1243" s="2"/>
      <c r="V1243" s="2"/>
      <c r="W1243" s="2"/>
      <c r="X1243" s="2" t="str">
        <f>IFERROR(__xludf.DUMMYFUNCTION("""COMPUTED_VALUE"""),"Closed")</f>
        <v>Closed</v>
      </c>
    </row>
    <row r="1244">
      <c r="A1244" s="3" t="s">
        <v>1255</v>
      </c>
      <c r="B1244" s="4">
        <f>IFERROR(__xludf.DUMMYFUNCTION("SPLIT(A1244,"","",0,0)"),45541.444444444445)</f>
        <v>45541.44444</v>
      </c>
      <c r="C1244" s="5">
        <f>IFERROR(__xludf.DUMMYFUNCTION("""COMPUTED_VALUE"""),2625396.0)</f>
        <v>2625396</v>
      </c>
      <c r="D1244" s="2" t="str">
        <f>IFERROR(__xludf.DUMMYFUNCTION("""COMPUTED_VALUE"""),"Sale")</f>
        <v>Sale</v>
      </c>
      <c r="E1244" s="2" t="str">
        <f>IFERROR(__xludf.DUMMYFUNCTION("""COMPUTED_VALUE"""),"Promo")</f>
        <v>Promo</v>
      </c>
      <c r="F1244" s="2">
        <f>IFERROR(__xludf.DUMMYFUNCTION("""COMPUTED_VALUE"""),10023.0)</f>
        <v>10023</v>
      </c>
      <c r="G1244" s="2" t="str">
        <f>IFERROR(__xludf.DUMMYFUNCTION("""COMPUTED_VALUE"""),"(Voucher Gratis) Es Kopi Susu")</f>
        <v>(Voucher Gratis) Es Kopi Susu</v>
      </c>
      <c r="H1244" s="2"/>
      <c r="I1244" s="2"/>
      <c r="J1244" s="2">
        <f>IFERROR(__xludf.DUMMYFUNCTION("""COMPUTED_VALUE"""),1.0)</f>
        <v>1</v>
      </c>
      <c r="K1244" s="6">
        <f>IFERROR(__xludf.DUMMYFUNCTION("""COMPUTED_VALUE"""),0.0)</f>
        <v>0</v>
      </c>
      <c r="L1244" s="2">
        <f>IFERROR(__xludf.DUMMYFUNCTION("""COMPUTED_VALUE"""),0.0)</f>
        <v>0</v>
      </c>
      <c r="M1244" s="2">
        <f>IFERROR(__xludf.DUMMYFUNCTION("""COMPUTED_VALUE"""),0.0)</f>
        <v>0</v>
      </c>
      <c r="N1244" s="2">
        <f>IFERROR(__xludf.DUMMYFUNCTION("""COMPUTED_VALUE"""),0.0)</f>
        <v>0</v>
      </c>
      <c r="O1244" s="2">
        <f>IFERROR(__xludf.DUMMYFUNCTION("""COMPUTED_VALUE"""),0.0)</f>
        <v>0</v>
      </c>
      <c r="P1244" s="2">
        <f>IFERROR(__xludf.DUMMYFUNCTION("""COMPUTED_VALUE"""),0.0)</f>
        <v>0</v>
      </c>
      <c r="Q1244" s="2" t="str">
        <f>IFERROR(__xludf.DUMMYFUNCTION("""COMPUTED_VALUE"""),"Dine In")</f>
        <v>Dine In</v>
      </c>
      <c r="R1244" s="2" t="str">
        <f>IFERROR(__xludf.DUMMYFUNCTION("""COMPUTED_VALUE"""),"Kedai")</f>
        <v>Kedai</v>
      </c>
      <c r="S1244" s="2" t="str">
        <f>IFERROR(__xludf.DUMMYFUNCTION("""COMPUTED_VALUE"""),"Temu Roti")</f>
        <v>Temu Roti</v>
      </c>
      <c r="T1244" s="2" t="str">
        <f>IFERROR(__xludf.DUMMYFUNCTION("""COMPUTED_VALUE"""),"Owner")</f>
        <v>Owner</v>
      </c>
      <c r="U1244" s="2"/>
      <c r="V1244" s="2"/>
      <c r="W1244" s="2"/>
      <c r="X1244" s="2" t="str">
        <f>IFERROR(__xludf.DUMMYFUNCTION("""COMPUTED_VALUE"""),"Closed")</f>
        <v>Closed</v>
      </c>
    </row>
    <row r="1245">
      <c r="A1245" s="3" t="s">
        <v>1256</v>
      </c>
      <c r="B1245" s="4">
        <f>IFERROR(__xludf.DUMMYFUNCTION("SPLIT(A1245,"","",0,0)"),45541.444444444445)</f>
        <v>45541.44444</v>
      </c>
      <c r="C1245" s="5">
        <f>IFERROR(__xludf.DUMMYFUNCTION("""COMPUTED_VALUE"""),2625396.0)</f>
        <v>2625396</v>
      </c>
      <c r="D1245" s="2" t="str">
        <f>IFERROR(__xludf.DUMMYFUNCTION("""COMPUTED_VALUE"""),"Sale")</f>
        <v>Sale</v>
      </c>
      <c r="E1245" s="2" t="str">
        <f>IFERROR(__xludf.DUMMYFUNCTION("""COMPUTED_VALUE"""),"Promo")</f>
        <v>Promo</v>
      </c>
      <c r="F1245" s="2">
        <f>IFERROR(__xludf.DUMMYFUNCTION("""COMPUTED_VALUE"""),10021.0)</f>
        <v>10021</v>
      </c>
      <c r="G1245" s="2" t="str">
        <f>IFERROR(__xludf.DUMMYFUNCTION("""COMPUTED_VALUE"""),"(Voucher Gratis) Roti Gandum Coklat")</f>
        <v>(Voucher Gratis) Roti Gandum Coklat</v>
      </c>
      <c r="H1245" s="2"/>
      <c r="I1245" s="2"/>
      <c r="J1245" s="2">
        <f>IFERROR(__xludf.DUMMYFUNCTION("""COMPUTED_VALUE"""),1.0)</f>
        <v>1</v>
      </c>
      <c r="K1245" s="6">
        <f>IFERROR(__xludf.DUMMYFUNCTION("""COMPUTED_VALUE"""),0.0)</f>
        <v>0</v>
      </c>
      <c r="L1245" s="2">
        <f>IFERROR(__xludf.DUMMYFUNCTION("""COMPUTED_VALUE"""),0.0)</f>
        <v>0</v>
      </c>
      <c r="M1245" s="2">
        <f>IFERROR(__xludf.DUMMYFUNCTION("""COMPUTED_VALUE"""),0.0)</f>
        <v>0</v>
      </c>
      <c r="N1245" s="2">
        <f>IFERROR(__xludf.DUMMYFUNCTION("""COMPUTED_VALUE"""),0.0)</f>
        <v>0</v>
      </c>
      <c r="O1245" s="2">
        <f>IFERROR(__xludf.DUMMYFUNCTION("""COMPUTED_VALUE"""),0.0)</f>
        <v>0</v>
      </c>
      <c r="P1245" s="2">
        <f>IFERROR(__xludf.DUMMYFUNCTION("""COMPUTED_VALUE"""),0.0)</f>
        <v>0</v>
      </c>
      <c r="Q1245" s="2" t="str">
        <f>IFERROR(__xludf.DUMMYFUNCTION("""COMPUTED_VALUE"""),"Dine In")</f>
        <v>Dine In</v>
      </c>
      <c r="R1245" s="2" t="str">
        <f>IFERROR(__xludf.DUMMYFUNCTION("""COMPUTED_VALUE"""),"Kedai")</f>
        <v>Kedai</v>
      </c>
      <c r="S1245" s="2" t="str">
        <f>IFERROR(__xludf.DUMMYFUNCTION("""COMPUTED_VALUE"""),"Temu Roti")</f>
        <v>Temu Roti</v>
      </c>
      <c r="T1245" s="2" t="str">
        <f>IFERROR(__xludf.DUMMYFUNCTION("""COMPUTED_VALUE"""),"Owner")</f>
        <v>Owner</v>
      </c>
      <c r="U1245" s="2"/>
      <c r="V1245" s="2"/>
      <c r="W1245" s="2"/>
      <c r="X1245" s="2" t="str">
        <f>IFERROR(__xludf.DUMMYFUNCTION("""COMPUTED_VALUE"""),"Closed")</f>
        <v>Closed</v>
      </c>
    </row>
    <row r="1246">
      <c r="A1246" s="3" t="s">
        <v>1257</v>
      </c>
      <c r="B1246" s="4">
        <f>IFERROR(__xludf.DUMMYFUNCTION("SPLIT(A1246,"","",0,0)"),45541.444444444445)</f>
        <v>45541.44444</v>
      </c>
      <c r="C1246" s="5">
        <f>IFERROR(__xludf.DUMMYFUNCTION("""COMPUTED_VALUE"""),2625396.0)</f>
        <v>2625396</v>
      </c>
      <c r="D1246" s="2" t="str">
        <f>IFERROR(__xludf.DUMMYFUNCTION("""COMPUTED_VALUE"""),"Sale")</f>
        <v>Sale</v>
      </c>
      <c r="E1246" s="2" t="str">
        <f>IFERROR(__xludf.DUMMYFUNCTION("""COMPUTED_VALUE"""),"Promo")</f>
        <v>Promo</v>
      </c>
      <c r="F1246" s="2">
        <f>IFERROR(__xludf.DUMMYFUNCTION("""COMPUTED_VALUE"""),10023.0)</f>
        <v>10023</v>
      </c>
      <c r="G1246" s="2" t="str">
        <f>IFERROR(__xludf.DUMMYFUNCTION("""COMPUTED_VALUE"""),"(Voucher Gratis) Es Kopi Susu")</f>
        <v>(Voucher Gratis) Es Kopi Susu</v>
      </c>
      <c r="H1246" s="2"/>
      <c r="I1246" s="2"/>
      <c r="J1246" s="2">
        <f>IFERROR(__xludf.DUMMYFUNCTION("""COMPUTED_VALUE"""),2.0)</f>
        <v>2</v>
      </c>
      <c r="K1246" s="6">
        <f>IFERROR(__xludf.DUMMYFUNCTION("""COMPUTED_VALUE"""),0.0)</f>
        <v>0</v>
      </c>
      <c r="L1246" s="2">
        <f>IFERROR(__xludf.DUMMYFUNCTION("""COMPUTED_VALUE"""),0.0)</f>
        <v>0</v>
      </c>
      <c r="M1246" s="2">
        <f>IFERROR(__xludf.DUMMYFUNCTION("""COMPUTED_VALUE"""),0.0)</f>
        <v>0</v>
      </c>
      <c r="N1246" s="2">
        <f>IFERROR(__xludf.DUMMYFUNCTION("""COMPUTED_VALUE"""),0.0)</f>
        <v>0</v>
      </c>
      <c r="O1246" s="2">
        <f>IFERROR(__xludf.DUMMYFUNCTION("""COMPUTED_VALUE"""),0.0)</f>
        <v>0</v>
      </c>
      <c r="P1246" s="2">
        <f>IFERROR(__xludf.DUMMYFUNCTION("""COMPUTED_VALUE"""),0.0)</f>
        <v>0</v>
      </c>
      <c r="Q1246" s="2" t="str">
        <f>IFERROR(__xludf.DUMMYFUNCTION("""COMPUTED_VALUE"""),"Dine In")</f>
        <v>Dine In</v>
      </c>
      <c r="R1246" s="2" t="str">
        <f>IFERROR(__xludf.DUMMYFUNCTION("""COMPUTED_VALUE"""),"Kedai")</f>
        <v>Kedai</v>
      </c>
      <c r="S1246" s="2" t="str">
        <f>IFERROR(__xludf.DUMMYFUNCTION("""COMPUTED_VALUE"""),"Temu Roti")</f>
        <v>Temu Roti</v>
      </c>
      <c r="T1246" s="2" t="str">
        <f>IFERROR(__xludf.DUMMYFUNCTION("""COMPUTED_VALUE"""),"Owner")</f>
        <v>Owner</v>
      </c>
      <c r="U1246" s="2"/>
      <c r="V1246" s="2"/>
      <c r="W1246" s="2"/>
      <c r="X1246" s="2" t="str">
        <f>IFERROR(__xludf.DUMMYFUNCTION("""COMPUTED_VALUE"""),"Closed")</f>
        <v>Closed</v>
      </c>
    </row>
    <row r="1247">
      <c r="A1247" s="3" t="s">
        <v>1258</v>
      </c>
      <c r="B1247" s="4">
        <f>IFERROR(__xludf.DUMMYFUNCTION("SPLIT(A1247,"","",0,0)"),45541.444444444445)</f>
        <v>45541.44444</v>
      </c>
      <c r="C1247" s="5">
        <f>IFERROR(__xludf.DUMMYFUNCTION("""COMPUTED_VALUE"""),2625396.0)</f>
        <v>2625396</v>
      </c>
      <c r="D1247" s="2" t="str">
        <f>IFERROR(__xludf.DUMMYFUNCTION("""COMPUTED_VALUE"""),"Sale")</f>
        <v>Sale</v>
      </c>
      <c r="E1247" s="2" t="str">
        <f>IFERROR(__xludf.DUMMYFUNCTION("""COMPUTED_VALUE"""),"Promo")</f>
        <v>Promo</v>
      </c>
      <c r="F1247" s="2">
        <f>IFERROR(__xludf.DUMMYFUNCTION("""COMPUTED_VALUE"""),10021.0)</f>
        <v>10021</v>
      </c>
      <c r="G1247" s="2" t="str">
        <f>IFERROR(__xludf.DUMMYFUNCTION("""COMPUTED_VALUE"""),"(Voucher Gratis) Roti Gandum Coklat")</f>
        <v>(Voucher Gratis) Roti Gandum Coklat</v>
      </c>
      <c r="H1247" s="2"/>
      <c r="I1247" s="2"/>
      <c r="J1247" s="2">
        <f>IFERROR(__xludf.DUMMYFUNCTION("""COMPUTED_VALUE"""),2.0)</f>
        <v>2</v>
      </c>
      <c r="K1247" s="6">
        <f>IFERROR(__xludf.DUMMYFUNCTION("""COMPUTED_VALUE"""),0.0)</f>
        <v>0</v>
      </c>
      <c r="L1247" s="2">
        <f>IFERROR(__xludf.DUMMYFUNCTION("""COMPUTED_VALUE"""),0.0)</f>
        <v>0</v>
      </c>
      <c r="M1247" s="2">
        <f>IFERROR(__xludf.DUMMYFUNCTION("""COMPUTED_VALUE"""),0.0)</f>
        <v>0</v>
      </c>
      <c r="N1247" s="2">
        <f>IFERROR(__xludf.DUMMYFUNCTION("""COMPUTED_VALUE"""),0.0)</f>
        <v>0</v>
      </c>
      <c r="O1247" s="2">
        <f>IFERROR(__xludf.DUMMYFUNCTION("""COMPUTED_VALUE"""),0.0)</f>
        <v>0</v>
      </c>
      <c r="P1247" s="2">
        <f>IFERROR(__xludf.DUMMYFUNCTION("""COMPUTED_VALUE"""),0.0)</f>
        <v>0</v>
      </c>
      <c r="Q1247" s="2" t="str">
        <f>IFERROR(__xludf.DUMMYFUNCTION("""COMPUTED_VALUE"""),"Dine In")</f>
        <v>Dine In</v>
      </c>
      <c r="R1247" s="2" t="str">
        <f>IFERROR(__xludf.DUMMYFUNCTION("""COMPUTED_VALUE"""),"Kedai")</f>
        <v>Kedai</v>
      </c>
      <c r="S1247" s="2" t="str">
        <f>IFERROR(__xludf.DUMMYFUNCTION("""COMPUTED_VALUE"""),"Temu Roti")</f>
        <v>Temu Roti</v>
      </c>
      <c r="T1247" s="2" t="str">
        <f>IFERROR(__xludf.DUMMYFUNCTION("""COMPUTED_VALUE"""),"Owner")</f>
        <v>Owner</v>
      </c>
      <c r="U1247" s="2"/>
      <c r="V1247" s="2"/>
      <c r="W1247" s="2"/>
      <c r="X1247" s="2" t="str">
        <f>IFERROR(__xludf.DUMMYFUNCTION("""COMPUTED_VALUE"""),"Closed")</f>
        <v>Closed</v>
      </c>
    </row>
    <row r="1248">
      <c r="A1248" s="3" t="s">
        <v>1259</v>
      </c>
      <c r="B1248" s="4">
        <f>IFERROR(__xludf.DUMMYFUNCTION("SPLIT(A1248,"","",0,0)"),45541.44305555556)</f>
        <v>45541.44306</v>
      </c>
      <c r="C1248" s="5">
        <f>IFERROR(__xludf.DUMMYFUNCTION("""COMPUTED_VALUE"""),2625031.0)</f>
        <v>2625031</v>
      </c>
      <c r="D1248" s="2" t="str">
        <f>IFERROR(__xludf.DUMMYFUNCTION("""COMPUTED_VALUE"""),"Sale")</f>
        <v>Sale</v>
      </c>
      <c r="E1248" s="2" t="str">
        <f>IFERROR(__xludf.DUMMYFUNCTION("""COMPUTED_VALUE"""),"Minuman")</f>
        <v>Minuman</v>
      </c>
      <c r="F1248" s="2">
        <f>IFERROR(__xludf.DUMMYFUNCTION("""COMPUTED_VALUE"""),10112.0)</f>
        <v>10112</v>
      </c>
      <c r="G1248" s="2" t="str">
        <f>IFERROR(__xludf.DUMMYFUNCTION("""COMPUTED_VALUE"""),"Air mineral")</f>
        <v>Air mineral</v>
      </c>
      <c r="H1248" s="2"/>
      <c r="I1248" s="2"/>
      <c r="J1248" s="2">
        <f>IFERROR(__xludf.DUMMYFUNCTION("""COMPUTED_VALUE"""),1.0)</f>
        <v>1</v>
      </c>
      <c r="K1248" s="6">
        <f>IFERROR(__xludf.DUMMYFUNCTION("""COMPUTED_VALUE"""),6667.0)</f>
        <v>6667</v>
      </c>
      <c r="L1248" s="2">
        <f>IFERROR(__xludf.DUMMYFUNCTION("""COMPUTED_VALUE"""),0.0)</f>
        <v>0</v>
      </c>
      <c r="M1248" s="2">
        <f>IFERROR(__xludf.DUMMYFUNCTION("""COMPUTED_VALUE"""),6667.0)</f>
        <v>6667</v>
      </c>
      <c r="N1248" s="2">
        <f>IFERROR(__xludf.DUMMYFUNCTION("""COMPUTED_VALUE"""),0.0)</f>
        <v>0</v>
      </c>
      <c r="O1248" s="2">
        <f>IFERROR(__xludf.DUMMYFUNCTION("""COMPUTED_VALUE"""),6667.0)</f>
        <v>6667</v>
      </c>
      <c r="P1248" s="2">
        <f>IFERROR(__xludf.DUMMYFUNCTION("""COMPUTED_VALUE"""),333.0)</f>
        <v>333</v>
      </c>
      <c r="Q1248" s="2" t="str">
        <f>IFERROR(__xludf.DUMMYFUNCTION("""COMPUTED_VALUE"""),"Dine In")</f>
        <v>Dine In</v>
      </c>
      <c r="R1248" s="2" t="str">
        <f>IFERROR(__xludf.DUMMYFUNCTION("""COMPUTED_VALUE"""),"Kedai")</f>
        <v>Kedai</v>
      </c>
      <c r="S1248" s="2" t="str">
        <f>IFERROR(__xludf.DUMMYFUNCTION("""COMPUTED_VALUE"""),"Temu Roti")</f>
        <v>Temu Roti</v>
      </c>
      <c r="T1248" s="2" t="str">
        <f>IFERROR(__xludf.DUMMYFUNCTION("""COMPUTED_VALUE"""),"Owner")</f>
        <v>Owner</v>
      </c>
      <c r="U1248" s="2"/>
      <c r="V1248" s="2"/>
      <c r="W1248" s="2"/>
      <c r="X1248" s="2" t="str">
        <f>IFERROR(__xludf.DUMMYFUNCTION("""COMPUTED_VALUE"""),"Closed")</f>
        <v>Closed</v>
      </c>
    </row>
    <row r="1249">
      <c r="A1249" s="3" t="s">
        <v>1260</v>
      </c>
      <c r="B1249" s="4">
        <f>IFERROR(__xludf.DUMMYFUNCTION("SPLIT(A1249,"","",0,0)"),45541.44305555556)</f>
        <v>45541.44306</v>
      </c>
      <c r="C1249" s="5">
        <f>IFERROR(__xludf.DUMMYFUNCTION("""COMPUTED_VALUE"""),2625031.0)</f>
        <v>2625031</v>
      </c>
      <c r="D1249" s="2" t="str">
        <f>IFERROR(__xludf.DUMMYFUNCTION("""COMPUTED_VALUE"""),"Sale")</f>
        <v>Sale</v>
      </c>
      <c r="E1249" s="2" t="str">
        <f>IFERROR(__xludf.DUMMYFUNCTION("""COMPUTED_VALUE"""),"Roti")</f>
        <v>Roti</v>
      </c>
      <c r="F1249" s="2">
        <f>IFERROR(__xludf.DUMMYFUNCTION("""COMPUTED_VALUE"""),10002.0)</f>
        <v>10002</v>
      </c>
      <c r="G1249" s="2" t="str">
        <f>IFERROR(__xludf.DUMMYFUNCTION("""COMPUTED_VALUE"""),"Roti Cranberry")</f>
        <v>Roti Cranberry</v>
      </c>
      <c r="H1249" s="2"/>
      <c r="I1249" s="2"/>
      <c r="J1249" s="2">
        <f>IFERROR(__xludf.DUMMYFUNCTION("""COMPUTED_VALUE"""),1.0)</f>
        <v>1</v>
      </c>
      <c r="K1249" s="6">
        <f>IFERROR(__xludf.DUMMYFUNCTION("""COMPUTED_VALUE"""),18571.0)</f>
        <v>18571</v>
      </c>
      <c r="L1249" s="2">
        <f>IFERROR(__xludf.DUMMYFUNCTION("""COMPUTED_VALUE"""),0.0)</f>
        <v>0</v>
      </c>
      <c r="M1249" s="2">
        <f>IFERROR(__xludf.DUMMYFUNCTION("""COMPUTED_VALUE"""),18571.0)</f>
        <v>18571</v>
      </c>
      <c r="N1249" s="2">
        <f>IFERROR(__xludf.DUMMYFUNCTION("""COMPUTED_VALUE"""),0.0)</f>
        <v>0</v>
      </c>
      <c r="O1249" s="2">
        <f>IFERROR(__xludf.DUMMYFUNCTION("""COMPUTED_VALUE"""),18571.0)</f>
        <v>18571</v>
      </c>
      <c r="P1249" s="2">
        <f>IFERROR(__xludf.DUMMYFUNCTION("""COMPUTED_VALUE"""),929.0)</f>
        <v>929</v>
      </c>
      <c r="Q1249" s="2" t="str">
        <f>IFERROR(__xludf.DUMMYFUNCTION("""COMPUTED_VALUE"""),"Dine In")</f>
        <v>Dine In</v>
      </c>
      <c r="R1249" s="2" t="str">
        <f>IFERROR(__xludf.DUMMYFUNCTION("""COMPUTED_VALUE"""),"Kedai")</f>
        <v>Kedai</v>
      </c>
      <c r="S1249" s="2" t="str">
        <f>IFERROR(__xludf.DUMMYFUNCTION("""COMPUTED_VALUE"""),"Temu Roti")</f>
        <v>Temu Roti</v>
      </c>
      <c r="T1249" s="2" t="str">
        <f>IFERROR(__xludf.DUMMYFUNCTION("""COMPUTED_VALUE"""),"Owner")</f>
        <v>Owner</v>
      </c>
      <c r="U1249" s="2"/>
      <c r="V1249" s="2"/>
      <c r="W1249" s="2"/>
      <c r="X1249" s="2" t="str">
        <f>IFERROR(__xludf.DUMMYFUNCTION("""COMPUTED_VALUE"""),"Closed")</f>
        <v>Closed</v>
      </c>
    </row>
    <row r="1250">
      <c r="A1250" s="3" t="s">
        <v>1261</v>
      </c>
      <c r="B1250" s="4">
        <f>IFERROR(__xludf.DUMMYFUNCTION("SPLIT(A1250,"","",0,0)"),45541.44305555556)</f>
        <v>45541.44306</v>
      </c>
      <c r="C1250" s="5">
        <f>IFERROR(__xludf.DUMMYFUNCTION("""COMPUTED_VALUE"""),2625031.0)</f>
        <v>2625031</v>
      </c>
      <c r="D1250" s="2" t="str">
        <f>IFERROR(__xludf.DUMMYFUNCTION("""COMPUTED_VALUE"""),"Sale")</f>
        <v>Sale</v>
      </c>
      <c r="E1250" s="2" t="str">
        <f>IFERROR(__xludf.DUMMYFUNCTION("""COMPUTED_VALUE"""),"Roti")</f>
        <v>Roti</v>
      </c>
      <c r="F1250" s="2">
        <f>IFERROR(__xludf.DUMMYFUNCTION("""COMPUTED_VALUE"""),10005.0)</f>
        <v>10005</v>
      </c>
      <c r="G1250" s="2" t="str">
        <f>IFERROR(__xludf.DUMMYFUNCTION("""COMPUTED_VALUE"""),"Roti Gandum Cokelat")</f>
        <v>Roti Gandum Cokelat</v>
      </c>
      <c r="H1250" s="2"/>
      <c r="I1250" s="2"/>
      <c r="J1250" s="2">
        <f>IFERROR(__xludf.DUMMYFUNCTION("""COMPUTED_VALUE"""),1.0)</f>
        <v>1</v>
      </c>
      <c r="K1250" s="6">
        <f>IFERROR(__xludf.DUMMYFUNCTION("""COMPUTED_VALUE"""),19524.0)</f>
        <v>19524</v>
      </c>
      <c r="L1250" s="2">
        <f>IFERROR(__xludf.DUMMYFUNCTION("""COMPUTED_VALUE"""),0.0)</f>
        <v>0</v>
      </c>
      <c r="M1250" s="2">
        <f>IFERROR(__xludf.DUMMYFUNCTION("""COMPUTED_VALUE"""),19524.0)</f>
        <v>19524</v>
      </c>
      <c r="N1250" s="2">
        <f>IFERROR(__xludf.DUMMYFUNCTION("""COMPUTED_VALUE"""),0.0)</f>
        <v>0</v>
      </c>
      <c r="O1250" s="2">
        <f>IFERROR(__xludf.DUMMYFUNCTION("""COMPUTED_VALUE"""),19524.0)</f>
        <v>19524</v>
      </c>
      <c r="P1250" s="2">
        <f>IFERROR(__xludf.DUMMYFUNCTION("""COMPUTED_VALUE"""),976.0)</f>
        <v>976</v>
      </c>
      <c r="Q1250" s="2" t="str">
        <f>IFERROR(__xludf.DUMMYFUNCTION("""COMPUTED_VALUE"""),"Dine In")</f>
        <v>Dine In</v>
      </c>
      <c r="R1250" s="2" t="str">
        <f>IFERROR(__xludf.DUMMYFUNCTION("""COMPUTED_VALUE"""),"Kedai")</f>
        <v>Kedai</v>
      </c>
      <c r="S1250" s="2" t="str">
        <f>IFERROR(__xludf.DUMMYFUNCTION("""COMPUTED_VALUE"""),"Temu Roti")</f>
        <v>Temu Roti</v>
      </c>
      <c r="T1250" s="2" t="str">
        <f>IFERROR(__xludf.DUMMYFUNCTION("""COMPUTED_VALUE"""),"Owner")</f>
        <v>Owner</v>
      </c>
      <c r="U1250" s="2"/>
      <c r="V1250" s="2"/>
      <c r="W1250" s="2"/>
      <c r="X1250" s="2" t="str">
        <f>IFERROR(__xludf.DUMMYFUNCTION("""COMPUTED_VALUE"""),"Closed")</f>
        <v>Closed</v>
      </c>
    </row>
    <row r="1251">
      <c r="A1251" s="3" t="s">
        <v>1262</v>
      </c>
      <c r="B1251" s="4">
        <f>IFERROR(__xludf.DUMMYFUNCTION("SPLIT(A1251,"","",0,0)"),45541.38888888889)</f>
        <v>45541.38889</v>
      </c>
      <c r="C1251" s="5">
        <f>IFERROR(__xludf.DUMMYFUNCTION("""COMPUTED_VALUE"""),2624666.0)</f>
        <v>2624666</v>
      </c>
      <c r="D1251" s="2" t="str">
        <f>IFERROR(__xludf.DUMMYFUNCTION("""COMPUTED_VALUE"""),"Sale")</f>
        <v>Sale</v>
      </c>
      <c r="E1251" s="2" t="str">
        <f>IFERROR(__xludf.DUMMYFUNCTION("""COMPUTED_VALUE"""),"Minuman")</f>
        <v>Minuman</v>
      </c>
      <c r="F1251" s="2">
        <f>IFERROR(__xludf.DUMMYFUNCTION("""COMPUTED_VALUE"""),10058.0)</f>
        <v>10058</v>
      </c>
      <c r="G1251" s="2" t="str">
        <f>IFERROR(__xludf.DUMMYFUNCTION("""COMPUTED_VALUE"""),"Susu murni ori")</f>
        <v>Susu murni ori</v>
      </c>
      <c r="H1251" s="2"/>
      <c r="I1251" s="2"/>
      <c r="J1251" s="2">
        <f>IFERROR(__xludf.DUMMYFUNCTION("""COMPUTED_VALUE"""),1.0)</f>
        <v>1</v>
      </c>
      <c r="K1251" s="6">
        <f>IFERROR(__xludf.DUMMYFUNCTION("""COMPUTED_VALUE"""),19524.0)</f>
        <v>19524</v>
      </c>
      <c r="L1251" s="2">
        <f>IFERROR(__xludf.DUMMYFUNCTION("""COMPUTED_VALUE"""),0.0)</f>
        <v>0</v>
      </c>
      <c r="M1251" s="2">
        <f>IFERROR(__xludf.DUMMYFUNCTION("""COMPUTED_VALUE"""),19524.0)</f>
        <v>19524</v>
      </c>
      <c r="N1251" s="2">
        <f>IFERROR(__xludf.DUMMYFUNCTION("""COMPUTED_VALUE"""),0.0)</f>
        <v>0</v>
      </c>
      <c r="O1251" s="2">
        <f>IFERROR(__xludf.DUMMYFUNCTION("""COMPUTED_VALUE"""),19524.0)</f>
        <v>19524</v>
      </c>
      <c r="P1251" s="2">
        <f>IFERROR(__xludf.DUMMYFUNCTION("""COMPUTED_VALUE"""),976.0)</f>
        <v>976</v>
      </c>
      <c r="Q1251" s="2" t="str">
        <f>IFERROR(__xludf.DUMMYFUNCTION("""COMPUTED_VALUE"""),"Dine In")</f>
        <v>Dine In</v>
      </c>
      <c r="R1251" s="2" t="str">
        <f>IFERROR(__xludf.DUMMYFUNCTION("""COMPUTED_VALUE"""),"Kedai")</f>
        <v>Kedai</v>
      </c>
      <c r="S1251" s="2" t="str">
        <f>IFERROR(__xludf.DUMMYFUNCTION("""COMPUTED_VALUE"""),"Temu Roti")</f>
        <v>Temu Roti</v>
      </c>
      <c r="T1251" s="2" t="str">
        <f>IFERROR(__xludf.DUMMYFUNCTION("""COMPUTED_VALUE"""),"Owner")</f>
        <v>Owner</v>
      </c>
      <c r="U1251" s="2"/>
      <c r="V1251" s="2"/>
      <c r="W1251" s="2"/>
      <c r="X1251" s="2" t="str">
        <f>IFERROR(__xludf.DUMMYFUNCTION("""COMPUTED_VALUE"""),"Closed")</f>
        <v>Closed</v>
      </c>
    </row>
    <row r="1252">
      <c r="A1252" s="3" t="s">
        <v>1263</v>
      </c>
      <c r="B1252" s="4">
        <f>IFERROR(__xludf.DUMMYFUNCTION("SPLIT(A1252,"","",0,0)"),45541.379166666666)</f>
        <v>45541.37917</v>
      </c>
      <c r="C1252" s="5">
        <f>IFERROR(__xludf.DUMMYFUNCTION("""COMPUTED_VALUE"""),2624301.0)</f>
        <v>2624301</v>
      </c>
      <c r="D1252" s="2" t="str">
        <f>IFERROR(__xludf.DUMMYFUNCTION("""COMPUTED_VALUE"""),"Sale")</f>
        <v>Sale</v>
      </c>
      <c r="E1252" s="2" t="str">
        <f>IFERROR(__xludf.DUMMYFUNCTION("""COMPUTED_VALUE"""),"Roti")</f>
        <v>Roti</v>
      </c>
      <c r="F1252" s="2">
        <f>IFERROR(__xludf.DUMMYFUNCTION("""COMPUTED_VALUE"""),10005.0)</f>
        <v>10005</v>
      </c>
      <c r="G1252" s="2" t="str">
        <f>IFERROR(__xludf.DUMMYFUNCTION("""COMPUTED_VALUE"""),"Roti Gandum Cokelat")</f>
        <v>Roti Gandum Cokelat</v>
      </c>
      <c r="H1252" s="2"/>
      <c r="I1252" s="2"/>
      <c r="J1252" s="2">
        <f>IFERROR(__xludf.DUMMYFUNCTION("""COMPUTED_VALUE"""),1.0)</f>
        <v>1</v>
      </c>
      <c r="K1252" s="6">
        <f>IFERROR(__xludf.DUMMYFUNCTION("""COMPUTED_VALUE"""),19524.0)</f>
        <v>19524</v>
      </c>
      <c r="L1252" s="2">
        <f>IFERROR(__xludf.DUMMYFUNCTION("""COMPUTED_VALUE"""),0.0)</f>
        <v>0</v>
      </c>
      <c r="M1252" s="2">
        <f>IFERROR(__xludf.DUMMYFUNCTION("""COMPUTED_VALUE"""),19524.0)</f>
        <v>19524</v>
      </c>
      <c r="N1252" s="2">
        <f>IFERROR(__xludf.DUMMYFUNCTION("""COMPUTED_VALUE"""),0.0)</f>
        <v>0</v>
      </c>
      <c r="O1252" s="2">
        <f>IFERROR(__xludf.DUMMYFUNCTION("""COMPUTED_VALUE"""),19524.0)</f>
        <v>19524</v>
      </c>
      <c r="P1252" s="2">
        <f>IFERROR(__xludf.DUMMYFUNCTION("""COMPUTED_VALUE"""),976.0)</f>
        <v>976</v>
      </c>
      <c r="Q1252" s="2" t="str">
        <f>IFERROR(__xludf.DUMMYFUNCTION("""COMPUTED_VALUE"""),"Dine In")</f>
        <v>Dine In</v>
      </c>
      <c r="R1252" s="2" t="str">
        <f>IFERROR(__xludf.DUMMYFUNCTION("""COMPUTED_VALUE"""),"Kedai")</f>
        <v>Kedai</v>
      </c>
      <c r="S1252" s="2" t="str">
        <f>IFERROR(__xludf.DUMMYFUNCTION("""COMPUTED_VALUE"""),"Temu Roti")</f>
        <v>Temu Roti</v>
      </c>
      <c r="T1252" s="2" t="str">
        <f>IFERROR(__xludf.DUMMYFUNCTION("""COMPUTED_VALUE"""),"Owner")</f>
        <v>Owner</v>
      </c>
      <c r="U1252" s="2"/>
      <c r="V1252" s="2"/>
      <c r="W1252" s="2"/>
      <c r="X1252" s="2" t="str">
        <f>IFERROR(__xludf.DUMMYFUNCTION("""COMPUTED_VALUE"""),"Closed")</f>
        <v>Closed</v>
      </c>
    </row>
    <row r="1253">
      <c r="A1253" s="3" t="s">
        <v>1264</v>
      </c>
      <c r="B1253" s="4">
        <f>IFERROR(__xludf.DUMMYFUNCTION("SPLIT(A1253,"","",0,0)"),45540.87986111111)</f>
        <v>45540.87986</v>
      </c>
      <c r="C1253" s="5">
        <f>IFERROR(__xludf.DUMMYFUNCTION("""COMPUTED_VALUE"""),2623935.0)</f>
        <v>2623935</v>
      </c>
      <c r="D1253" s="2" t="str">
        <f>IFERROR(__xludf.DUMMYFUNCTION("""COMPUTED_VALUE"""),"Sale")</f>
        <v>Sale</v>
      </c>
      <c r="E1253" s="2" t="str">
        <f>IFERROR(__xludf.DUMMYFUNCTION("""COMPUTED_VALUE"""),"Kudapan")</f>
        <v>Kudapan</v>
      </c>
      <c r="F1253" s="2">
        <f>IFERROR(__xludf.DUMMYFUNCTION("""COMPUTED_VALUE"""),10015.0)</f>
        <v>10015</v>
      </c>
      <c r="G1253" s="2" t="str">
        <f>IFERROR(__xludf.DUMMYFUNCTION("""COMPUTED_VALUE"""),"Tahu Lada Garam")</f>
        <v>Tahu Lada Garam</v>
      </c>
      <c r="H1253" s="2"/>
      <c r="I1253" s="2"/>
      <c r="J1253" s="2">
        <f>IFERROR(__xludf.DUMMYFUNCTION("""COMPUTED_VALUE"""),1.0)</f>
        <v>1</v>
      </c>
      <c r="K1253" s="6">
        <f>IFERROR(__xludf.DUMMYFUNCTION("""COMPUTED_VALUE"""),25238.0)</f>
        <v>25238</v>
      </c>
      <c r="L1253" s="2">
        <f>IFERROR(__xludf.DUMMYFUNCTION("""COMPUTED_VALUE"""),0.0)</f>
        <v>0</v>
      </c>
      <c r="M1253" s="2">
        <f>IFERROR(__xludf.DUMMYFUNCTION("""COMPUTED_VALUE"""),25238.0)</f>
        <v>25238</v>
      </c>
      <c r="N1253" s="2">
        <f>IFERROR(__xludf.DUMMYFUNCTION("""COMPUTED_VALUE"""),0.0)</f>
        <v>0</v>
      </c>
      <c r="O1253" s="2">
        <f>IFERROR(__xludf.DUMMYFUNCTION("""COMPUTED_VALUE"""),25238.0)</f>
        <v>25238</v>
      </c>
      <c r="P1253" s="2">
        <f>IFERROR(__xludf.DUMMYFUNCTION("""COMPUTED_VALUE"""),1262.0)</f>
        <v>1262</v>
      </c>
      <c r="Q1253" s="2" t="str">
        <f>IFERROR(__xludf.DUMMYFUNCTION("""COMPUTED_VALUE"""),"Dine In")</f>
        <v>Dine In</v>
      </c>
      <c r="R1253" s="2" t="str">
        <f>IFERROR(__xludf.DUMMYFUNCTION("""COMPUTED_VALUE"""),"Kedai")</f>
        <v>Kedai</v>
      </c>
      <c r="S1253" s="2" t="str">
        <f>IFERROR(__xludf.DUMMYFUNCTION("""COMPUTED_VALUE"""),"Temu Roti")</f>
        <v>Temu Roti</v>
      </c>
      <c r="T1253" s="2" t="str">
        <f>IFERROR(__xludf.DUMMYFUNCTION("""COMPUTED_VALUE"""),"Owner")</f>
        <v>Owner</v>
      </c>
      <c r="U1253" s="2"/>
      <c r="V1253" s="2"/>
      <c r="W1253" s="2"/>
      <c r="X1253" s="2" t="str">
        <f>IFERROR(__xludf.DUMMYFUNCTION("""COMPUTED_VALUE"""),"Closed")</f>
        <v>Closed</v>
      </c>
    </row>
    <row r="1254">
      <c r="A1254" s="3" t="s">
        <v>1265</v>
      </c>
      <c r="B1254" s="4">
        <f>IFERROR(__xludf.DUMMYFUNCTION("SPLIT(A1254,"","",0,0)"),45540.87986111111)</f>
        <v>45540.87986</v>
      </c>
      <c r="C1254" s="5">
        <f>IFERROR(__xludf.DUMMYFUNCTION("""COMPUTED_VALUE"""),2623935.0)</f>
        <v>2623935</v>
      </c>
      <c r="D1254" s="2" t="str">
        <f>IFERROR(__xludf.DUMMYFUNCTION("""COMPUTED_VALUE"""),"Sale")</f>
        <v>Sale</v>
      </c>
      <c r="E1254" s="2" t="str">
        <f>IFERROR(__xludf.DUMMYFUNCTION("""COMPUTED_VALUE"""),"Kudapan")</f>
        <v>Kudapan</v>
      </c>
      <c r="F1254" s="2">
        <f>IFERROR(__xludf.DUMMYFUNCTION("""COMPUTED_VALUE"""),10014.0)</f>
        <v>10014</v>
      </c>
      <c r="G1254" s="2" t="str">
        <f>IFERROR(__xludf.DUMMYFUNCTION("""COMPUTED_VALUE"""),"Tempe Mendoan")</f>
        <v>Tempe Mendoan</v>
      </c>
      <c r="H1254" s="2"/>
      <c r="I1254" s="2"/>
      <c r="J1254" s="2">
        <f>IFERROR(__xludf.DUMMYFUNCTION("""COMPUTED_VALUE"""),1.0)</f>
        <v>1</v>
      </c>
      <c r="K1254" s="6">
        <f>IFERROR(__xludf.DUMMYFUNCTION("""COMPUTED_VALUE"""),25238.0)</f>
        <v>25238</v>
      </c>
      <c r="L1254" s="2">
        <f>IFERROR(__xludf.DUMMYFUNCTION("""COMPUTED_VALUE"""),0.0)</f>
        <v>0</v>
      </c>
      <c r="M1254" s="2">
        <f>IFERROR(__xludf.DUMMYFUNCTION("""COMPUTED_VALUE"""),25238.0)</f>
        <v>25238</v>
      </c>
      <c r="N1254" s="2">
        <f>IFERROR(__xludf.DUMMYFUNCTION("""COMPUTED_VALUE"""),0.0)</f>
        <v>0</v>
      </c>
      <c r="O1254" s="2">
        <f>IFERROR(__xludf.DUMMYFUNCTION("""COMPUTED_VALUE"""),25238.0)</f>
        <v>25238</v>
      </c>
      <c r="P1254" s="2">
        <f>IFERROR(__xludf.DUMMYFUNCTION("""COMPUTED_VALUE"""),1262.0)</f>
        <v>1262</v>
      </c>
      <c r="Q1254" s="2" t="str">
        <f>IFERROR(__xludf.DUMMYFUNCTION("""COMPUTED_VALUE"""),"Dine In")</f>
        <v>Dine In</v>
      </c>
      <c r="R1254" s="2" t="str">
        <f>IFERROR(__xludf.DUMMYFUNCTION("""COMPUTED_VALUE"""),"Kedai")</f>
        <v>Kedai</v>
      </c>
      <c r="S1254" s="2" t="str">
        <f>IFERROR(__xludf.DUMMYFUNCTION("""COMPUTED_VALUE"""),"Temu Roti")</f>
        <v>Temu Roti</v>
      </c>
      <c r="T1254" s="2" t="str">
        <f>IFERROR(__xludf.DUMMYFUNCTION("""COMPUTED_VALUE"""),"Owner")</f>
        <v>Owner</v>
      </c>
      <c r="U1254" s="2"/>
      <c r="V1254" s="2"/>
      <c r="W1254" s="2"/>
      <c r="X1254" s="2" t="str">
        <f>IFERROR(__xludf.DUMMYFUNCTION("""COMPUTED_VALUE"""),"Closed")</f>
        <v>Closed</v>
      </c>
    </row>
    <row r="1255">
      <c r="A1255" s="3" t="s">
        <v>1266</v>
      </c>
      <c r="B1255" s="4">
        <f>IFERROR(__xludf.DUMMYFUNCTION("SPLIT(A1255,"","",0,0)"),45540.87986111111)</f>
        <v>45540.87986</v>
      </c>
      <c r="C1255" s="5">
        <f>IFERROR(__xludf.DUMMYFUNCTION("""COMPUTED_VALUE"""),2623935.0)</f>
        <v>2623935</v>
      </c>
      <c r="D1255" s="2" t="str">
        <f>IFERROR(__xludf.DUMMYFUNCTION("""COMPUTED_VALUE"""),"Sale")</f>
        <v>Sale</v>
      </c>
      <c r="E1255" s="2" t="str">
        <f>IFERROR(__xludf.DUMMYFUNCTION("""COMPUTED_VALUE"""),"Kudapan")</f>
        <v>Kudapan</v>
      </c>
      <c r="F1255" s="2">
        <f>IFERROR(__xludf.DUMMYFUNCTION("""COMPUTED_VALUE"""),10010.0)</f>
        <v>10010</v>
      </c>
      <c r="G1255" s="2" t="str">
        <f>IFERROR(__xludf.DUMMYFUNCTION("""COMPUTED_VALUE"""),"Pisang Goreng")</f>
        <v>Pisang Goreng</v>
      </c>
      <c r="H1255" s="2"/>
      <c r="I1255" s="2"/>
      <c r="J1255" s="2">
        <f>IFERROR(__xludf.DUMMYFUNCTION("""COMPUTED_VALUE"""),1.0)</f>
        <v>1</v>
      </c>
      <c r="K1255" s="6">
        <f>IFERROR(__xludf.DUMMYFUNCTION("""COMPUTED_VALUE"""),25238.0)</f>
        <v>25238</v>
      </c>
      <c r="L1255" s="2">
        <f>IFERROR(__xludf.DUMMYFUNCTION("""COMPUTED_VALUE"""),0.0)</f>
        <v>0</v>
      </c>
      <c r="M1255" s="2">
        <f>IFERROR(__xludf.DUMMYFUNCTION("""COMPUTED_VALUE"""),25238.0)</f>
        <v>25238</v>
      </c>
      <c r="N1255" s="2">
        <f>IFERROR(__xludf.DUMMYFUNCTION("""COMPUTED_VALUE"""),0.0)</f>
        <v>0</v>
      </c>
      <c r="O1255" s="2">
        <f>IFERROR(__xludf.DUMMYFUNCTION("""COMPUTED_VALUE"""),25238.0)</f>
        <v>25238</v>
      </c>
      <c r="P1255" s="2">
        <f>IFERROR(__xludf.DUMMYFUNCTION("""COMPUTED_VALUE"""),1262.0)</f>
        <v>1262</v>
      </c>
      <c r="Q1255" s="2" t="str">
        <f>IFERROR(__xludf.DUMMYFUNCTION("""COMPUTED_VALUE"""),"Dine In")</f>
        <v>Dine In</v>
      </c>
      <c r="R1255" s="2" t="str">
        <f>IFERROR(__xludf.DUMMYFUNCTION("""COMPUTED_VALUE"""),"Kedai")</f>
        <v>Kedai</v>
      </c>
      <c r="S1255" s="2" t="str">
        <f>IFERROR(__xludf.DUMMYFUNCTION("""COMPUTED_VALUE"""),"Temu Roti")</f>
        <v>Temu Roti</v>
      </c>
      <c r="T1255" s="2" t="str">
        <f>IFERROR(__xludf.DUMMYFUNCTION("""COMPUTED_VALUE"""),"Owner")</f>
        <v>Owner</v>
      </c>
      <c r="U1255" s="2"/>
      <c r="V1255" s="2"/>
      <c r="W1255" s="2"/>
      <c r="X1255" s="2" t="str">
        <f>IFERROR(__xludf.DUMMYFUNCTION("""COMPUTED_VALUE"""),"Closed")</f>
        <v>Closed</v>
      </c>
    </row>
    <row r="1256">
      <c r="A1256" s="3" t="s">
        <v>1267</v>
      </c>
      <c r="B1256" s="4">
        <f>IFERROR(__xludf.DUMMYFUNCTION("SPLIT(A1256,"","",0,0)"),45540.87986111111)</f>
        <v>45540.87986</v>
      </c>
      <c r="C1256" s="5">
        <f>IFERROR(__xludf.DUMMYFUNCTION("""COMPUTED_VALUE"""),2623935.0)</f>
        <v>2623935</v>
      </c>
      <c r="D1256" s="2" t="str">
        <f>IFERROR(__xludf.DUMMYFUNCTION("""COMPUTED_VALUE"""),"Sale")</f>
        <v>Sale</v>
      </c>
      <c r="E1256" s="2" t="str">
        <f>IFERROR(__xludf.DUMMYFUNCTION("""COMPUTED_VALUE"""),"Hidangan Utama")</f>
        <v>Hidangan Utama</v>
      </c>
      <c r="F1256" s="2">
        <f>IFERROR(__xludf.DUMMYFUNCTION("""COMPUTED_VALUE"""),10003.0)</f>
        <v>10003</v>
      </c>
      <c r="G1256" s="2" t="str">
        <f>IFERROR(__xludf.DUMMYFUNCTION("""COMPUTED_VALUE"""),"Nasi Goreng Temu")</f>
        <v>Nasi Goreng Temu</v>
      </c>
      <c r="H1256" s="2"/>
      <c r="I1256" s="2"/>
      <c r="J1256" s="2">
        <f>IFERROR(__xludf.DUMMYFUNCTION("""COMPUTED_VALUE"""),1.0)</f>
        <v>1</v>
      </c>
      <c r="K1256" s="6">
        <f>IFERROR(__xludf.DUMMYFUNCTION("""COMPUTED_VALUE"""),29524.0)</f>
        <v>29524</v>
      </c>
      <c r="L1256" s="2">
        <f>IFERROR(__xludf.DUMMYFUNCTION("""COMPUTED_VALUE"""),0.0)</f>
        <v>0</v>
      </c>
      <c r="M1256" s="2">
        <f>IFERROR(__xludf.DUMMYFUNCTION("""COMPUTED_VALUE"""),29524.0)</f>
        <v>29524</v>
      </c>
      <c r="N1256" s="2">
        <f>IFERROR(__xludf.DUMMYFUNCTION("""COMPUTED_VALUE"""),0.0)</f>
        <v>0</v>
      </c>
      <c r="O1256" s="2">
        <f>IFERROR(__xludf.DUMMYFUNCTION("""COMPUTED_VALUE"""),29524.0)</f>
        <v>29524</v>
      </c>
      <c r="P1256" s="2">
        <f>IFERROR(__xludf.DUMMYFUNCTION("""COMPUTED_VALUE"""),1476.0)</f>
        <v>1476</v>
      </c>
      <c r="Q1256" s="2" t="str">
        <f>IFERROR(__xludf.DUMMYFUNCTION("""COMPUTED_VALUE"""),"Dine In")</f>
        <v>Dine In</v>
      </c>
      <c r="R1256" s="2" t="str">
        <f>IFERROR(__xludf.DUMMYFUNCTION("""COMPUTED_VALUE"""),"Kedai")</f>
        <v>Kedai</v>
      </c>
      <c r="S1256" s="2" t="str">
        <f>IFERROR(__xludf.DUMMYFUNCTION("""COMPUTED_VALUE"""),"Temu Roti")</f>
        <v>Temu Roti</v>
      </c>
      <c r="T1256" s="2" t="str">
        <f>IFERROR(__xludf.DUMMYFUNCTION("""COMPUTED_VALUE"""),"Owner")</f>
        <v>Owner</v>
      </c>
      <c r="U1256" s="2"/>
      <c r="V1256" s="2"/>
      <c r="W1256" s="2"/>
      <c r="X1256" s="2" t="str">
        <f>IFERROR(__xludf.DUMMYFUNCTION("""COMPUTED_VALUE"""),"Closed")</f>
        <v>Closed</v>
      </c>
    </row>
    <row r="1257">
      <c r="A1257" s="3" t="s">
        <v>1267</v>
      </c>
      <c r="B1257" s="4">
        <f>IFERROR(__xludf.DUMMYFUNCTION("SPLIT(A1257,"","",0,0)"),45540.87986111111)</f>
        <v>45540.87986</v>
      </c>
      <c r="C1257" s="5">
        <f>IFERROR(__xludf.DUMMYFUNCTION("""COMPUTED_VALUE"""),2623935.0)</f>
        <v>2623935</v>
      </c>
      <c r="D1257" s="2" t="str">
        <f>IFERROR(__xludf.DUMMYFUNCTION("""COMPUTED_VALUE"""),"Sale")</f>
        <v>Sale</v>
      </c>
      <c r="E1257" s="2" t="str">
        <f>IFERROR(__xludf.DUMMYFUNCTION("""COMPUTED_VALUE"""),"Hidangan Utama")</f>
        <v>Hidangan Utama</v>
      </c>
      <c r="F1257" s="2">
        <f>IFERROR(__xludf.DUMMYFUNCTION("""COMPUTED_VALUE"""),10003.0)</f>
        <v>10003</v>
      </c>
      <c r="G1257" s="2" t="str">
        <f>IFERROR(__xludf.DUMMYFUNCTION("""COMPUTED_VALUE"""),"Nasi Goreng Temu")</f>
        <v>Nasi Goreng Temu</v>
      </c>
      <c r="H1257" s="2"/>
      <c r="I1257" s="2"/>
      <c r="J1257" s="2">
        <f>IFERROR(__xludf.DUMMYFUNCTION("""COMPUTED_VALUE"""),1.0)</f>
        <v>1</v>
      </c>
      <c r="K1257" s="6">
        <f>IFERROR(__xludf.DUMMYFUNCTION("""COMPUTED_VALUE"""),29524.0)</f>
        <v>29524</v>
      </c>
      <c r="L1257" s="2">
        <f>IFERROR(__xludf.DUMMYFUNCTION("""COMPUTED_VALUE"""),0.0)</f>
        <v>0</v>
      </c>
      <c r="M1257" s="2">
        <f>IFERROR(__xludf.DUMMYFUNCTION("""COMPUTED_VALUE"""),29524.0)</f>
        <v>29524</v>
      </c>
      <c r="N1257" s="2">
        <f>IFERROR(__xludf.DUMMYFUNCTION("""COMPUTED_VALUE"""),0.0)</f>
        <v>0</v>
      </c>
      <c r="O1257" s="2">
        <f>IFERROR(__xludf.DUMMYFUNCTION("""COMPUTED_VALUE"""),29524.0)</f>
        <v>29524</v>
      </c>
      <c r="P1257" s="2">
        <f>IFERROR(__xludf.DUMMYFUNCTION("""COMPUTED_VALUE"""),1476.0)</f>
        <v>1476</v>
      </c>
      <c r="Q1257" s="2" t="str">
        <f>IFERROR(__xludf.DUMMYFUNCTION("""COMPUTED_VALUE"""),"Dine In")</f>
        <v>Dine In</v>
      </c>
      <c r="R1257" s="2" t="str">
        <f>IFERROR(__xludf.DUMMYFUNCTION("""COMPUTED_VALUE"""),"Kedai")</f>
        <v>Kedai</v>
      </c>
      <c r="S1257" s="2" t="str">
        <f>IFERROR(__xludf.DUMMYFUNCTION("""COMPUTED_VALUE"""),"Temu Roti")</f>
        <v>Temu Roti</v>
      </c>
      <c r="T1257" s="2" t="str">
        <f>IFERROR(__xludf.DUMMYFUNCTION("""COMPUTED_VALUE"""),"Owner")</f>
        <v>Owner</v>
      </c>
      <c r="U1257" s="2"/>
      <c r="V1257" s="2"/>
      <c r="W1257" s="2"/>
      <c r="X1257" s="2" t="str">
        <f>IFERROR(__xludf.DUMMYFUNCTION("""COMPUTED_VALUE"""),"Closed")</f>
        <v>Closed</v>
      </c>
    </row>
    <row r="1258">
      <c r="A1258" s="3" t="s">
        <v>1268</v>
      </c>
      <c r="B1258" s="4">
        <f>IFERROR(__xludf.DUMMYFUNCTION("SPLIT(A1258,"","",0,0)"),45540.875)</f>
        <v>45540.875</v>
      </c>
      <c r="C1258" s="5">
        <f>IFERROR(__xludf.DUMMYFUNCTION("""COMPUTED_VALUE"""),2623570.0)</f>
        <v>2623570</v>
      </c>
      <c r="D1258" s="2" t="str">
        <f>IFERROR(__xludf.DUMMYFUNCTION("""COMPUTED_VALUE"""),"Sale")</f>
        <v>Sale</v>
      </c>
      <c r="E1258" s="2" t="str">
        <f>IFERROR(__xludf.DUMMYFUNCTION("""COMPUTED_VALUE"""),"Kudapan")</f>
        <v>Kudapan</v>
      </c>
      <c r="F1258" s="2">
        <f>IFERROR(__xludf.DUMMYFUNCTION("""COMPUTED_VALUE"""),10051.0)</f>
        <v>10051</v>
      </c>
      <c r="G1258" s="2" t="str">
        <f>IFERROR(__xludf.DUMMYFUNCTION("""COMPUTED_VALUE"""),"Tahu baso")</f>
        <v>Tahu baso</v>
      </c>
      <c r="H1258" s="2"/>
      <c r="I1258" s="2"/>
      <c r="J1258" s="2">
        <f>IFERROR(__xludf.DUMMYFUNCTION("""COMPUTED_VALUE"""),1.0)</f>
        <v>1</v>
      </c>
      <c r="K1258" s="6">
        <f>IFERROR(__xludf.DUMMYFUNCTION("""COMPUTED_VALUE"""),25238.0)</f>
        <v>25238</v>
      </c>
      <c r="L1258" s="2">
        <f>IFERROR(__xludf.DUMMYFUNCTION("""COMPUTED_VALUE"""),0.0)</f>
        <v>0</v>
      </c>
      <c r="M1258" s="2">
        <f>IFERROR(__xludf.DUMMYFUNCTION("""COMPUTED_VALUE"""),25238.0)</f>
        <v>25238</v>
      </c>
      <c r="N1258" s="2">
        <f>IFERROR(__xludf.DUMMYFUNCTION("""COMPUTED_VALUE"""),0.0)</f>
        <v>0</v>
      </c>
      <c r="O1258" s="2">
        <f>IFERROR(__xludf.DUMMYFUNCTION("""COMPUTED_VALUE"""),25238.0)</f>
        <v>25238</v>
      </c>
      <c r="P1258" s="2">
        <f>IFERROR(__xludf.DUMMYFUNCTION("""COMPUTED_VALUE"""),1262.0)</f>
        <v>1262</v>
      </c>
      <c r="Q1258" s="2" t="str">
        <f>IFERROR(__xludf.DUMMYFUNCTION("""COMPUTED_VALUE"""),"Dine In")</f>
        <v>Dine In</v>
      </c>
      <c r="R1258" s="2" t="str">
        <f>IFERROR(__xludf.DUMMYFUNCTION("""COMPUTED_VALUE"""),"Kedai")</f>
        <v>Kedai</v>
      </c>
      <c r="S1258" s="2" t="str">
        <f>IFERROR(__xludf.DUMMYFUNCTION("""COMPUTED_VALUE"""),"Temu Roti")</f>
        <v>Temu Roti</v>
      </c>
      <c r="T1258" s="2" t="str">
        <f>IFERROR(__xludf.DUMMYFUNCTION("""COMPUTED_VALUE"""),"Owner")</f>
        <v>Owner</v>
      </c>
      <c r="U1258" s="2"/>
      <c r="V1258" s="2"/>
      <c r="W1258" s="2"/>
      <c r="X1258" s="2" t="str">
        <f>IFERROR(__xludf.DUMMYFUNCTION("""COMPUTED_VALUE"""),"Closed")</f>
        <v>Closed</v>
      </c>
    </row>
    <row r="1259">
      <c r="A1259" s="3" t="s">
        <v>1269</v>
      </c>
      <c r="B1259" s="4">
        <f>IFERROR(__xludf.DUMMYFUNCTION("SPLIT(A1259,"","",0,0)"),45540.875)</f>
        <v>45540.875</v>
      </c>
      <c r="C1259" s="5">
        <f>IFERROR(__xludf.DUMMYFUNCTION("""COMPUTED_VALUE"""),2623570.0)</f>
        <v>2623570</v>
      </c>
      <c r="D1259" s="2" t="str">
        <f>IFERROR(__xludf.DUMMYFUNCTION("""COMPUTED_VALUE"""),"Sale")</f>
        <v>Sale</v>
      </c>
      <c r="E1259" s="2" t="str">
        <f>IFERROR(__xludf.DUMMYFUNCTION("""COMPUTED_VALUE"""),"Roti")</f>
        <v>Roti</v>
      </c>
      <c r="F1259" s="2">
        <f>IFERROR(__xludf.DUMMYFUNCTION("""COMPUTED_VALUE"""),10002.0)</f>
        <v>10002</v>
      </c>
      <c r="G1259" s="2" t="str">
        <f>IFERROR(__xludf.DUMMYFUNCTION("""COMPUTED_VALUE"""),"Roti Cranberry")</f>
        <v>Roti Cranberry</v>
      </c>
      <c r="H1259" s="2"/>
      <c r="I1259" s="2"/>
      <c r="J1259" s="2">
        <f>IFERROR(__xludf.DUMMYFUNCTION("""COMPUTED_VALUE"""),1.0)</f>
        <v>1</v>
      </c>
      <c r="K1259" s="6">
        <f>IFERROR(__xludf.DUMMYFUNCTION("""COMPUTED_VALUE"""),18571.0)</f>
        <v>18571</v>
      </c>
      <c r="L1259" s="2">
        <f>IFERROR(__xludf.DUMMYFUNCTION("""COMPUTED_VALUE"""),0.0)</f>
        <v>0</v>
      </c>
      <c r="M1259" s="2">
        <f>IFERROR(__xludf.DUMMYFUNCTION("""COMPUTED_VALUE"""),18571.0)</f>
        <v>18571</v>
      </c>
      <c r="N1259" s="2">
        <f>IFERROR(__xludf.DUMMYFUNCTION("""COMPUTED_VALUE"""),0.0)</f>
        <v>0</v>
      </c>
      <c r="O1259" s="2">
        <f>IFERROR(__xludf.DUMMYFUNCTION("""COMPUTED_VALUE"""),18571.0)</f>
        <v>18571</v>
      </c>
      <c r="P1259" s="2">
        <f>IFERROR(__xludf.DUMMYFUNCTION("""COMPUTED_VALUE"""),928.0)</f>
        <v>928</v>
      </c>
      <c r="Q1259" s="2" t="str">
        <f>IFERROR(__xludf.DUMMYFUNCTION("""COMPUTED_VALUE"""),"Dine In")</f>
        <v>Dine In</v>
      </c>
      <c r="R1259" s="2" t="str">
        <f>IFERROR(__xludf.DUMMYFUNCTION("""COMPUTED_VALUE"""),"Kedai")</f>
        <v>Kedai</v>
      </c>
      <c r="S1259" s="2" t="str">
        <f>IFERROR(__xludf.DUMMYFUNCTION("""COMPUTED_VALUE"""),"Temu Roti")</f>
        <v>Temu Roti</v>
      </c>
      <c r="T1259" s="2" t="str">
        <f>IFERROR(__xludf.DUMMYFUNCTION("""COMPUTED_VALUE"""),"Owner")</f>
        <v>Owner</v>
      </c>
      <c r="U1259" s="2"/>
      <c r="V1259" s="2"/>
      <c r="W1259" s="2"/>
      <c r="X1259" s="2" t="str">
        <f>IFERROR(__xludf.DUMMYFUNCTION("""COMPUTED_VALUE"""),"Closed")</f>
        <v>Closed</v>
      </c>
    </row>
    <row r="1260">
      <c r="A1260" s="3" t="s">
        <v>1270</v>
      </c>
      <c r="B1260" s="4">
        <f>IFERROR(__xludf.DUMMYFUNCTION("SPLIT(A1260,"","",0,0)"),45540.82430555556)</f>
        <v>45540.82431</v>
      </c>
      <c r="C1260" s="5">
        <f>IFERROR(__xludf.DUMMYFUNCTION("""COMPUTED_VALUE"""),2623205.0)</f>
        <v>2623205</v>
      </c>
      <c r="D1260" s="2" t="str">
        <f>IFERROR(__xludf.DUMMYFUNCTION("""COMPUTED_VALUE"""),"Sale")</f>
        <v>Sale</v>
      </c>
      <c r="E1260" s="2" t="str">
        <f>IFERROR(__xludf.DUMMYFUNCTION("""COMPUTED_VALUE"""),"Roti")</f>
        <v>Roti</v>
      </c>
      <c r="F1260" s="2">
        <f>IFERROR(__xludf.DUMMYFUNCTION("""COMPUTED_VALUE"""),10002.0)</f>
        <v>10002</v>
      </c>
      <c r="G1260" s="2" t="str">
        <f>IFERROR(__xludf.DUMMYFUNCTION("""COMPUTED_VALUE"""),"Roti Cranberry")</f>
        <v>Roti Cranberry</v>
      </c>
      <c r="H1260" s="2"/>
      <c r="I1260" s="2"/>
      <c r="J1260" s="2">
        <f>IFERROR(__xludf.DUMMYFUNCTION("""COMPUTED_VALUE"""),1.0)</f>
        <v>1</v>
      </c>
      <c r="K1260" s="6">
        <f>IFERROR(__xludf.DUMMYFUNCTION("""COMPUTED_VALUE"""),18571.0)</f>
        <v>18571</v>
      </c>
      <c r="L1260" s="2">
        <f>IFERROR(__xludf.DUMMYFUNCTION("""COMPUTED_VALUE"""),0.0)</f>
        <v>0</v>
      </c>
      <c r="M1260" s="2">
        <f>IFERROR(__xludf.DUMMYFUNCTION("""COMPUTED_VALUE"""),18571.0)</f>
        <v>18571</v>
      </c>
      <c r="N1260" s="2">
        <f>IFERROR(__xludf.DUMMYFUNCTION("""COMPUTED_VALUE"""),0.0)</f>
        <v>0</v>
      </c>
      <c r="O1260" s="2">
        <f>IFERROR(__xludf.DUMMYFUNCTION("""COMPUTED_VALUE"""),18571.0)</f>
        <v>18571</v>
      </c>
      <c r="P1260" s="2">
        <f>IFERROR(__xludf.DUMMYFUNCTION("""COMPUTED_VALUE"""),929.0)</f>
        <v>929</v>
      </c>
      <c r="Q1260" s="2" t="str">
        <f>IFERROR(__xludf.DUMMYFUNCTION("""COMPUTED_VALUE"""),"Dine In")</f>
        <v>Dine In</v>
      </c>
      <c r="R1260" s="2" t="str">
        <f>IFERROR(__xludf.DUMMYFUNCTION("""COMPUTED_VALUE"""),"Kedai")</f>
        <v>Kedai</v>
      </c>
      <c r="S1260" s="2" t="str">
        <f>IFERROR(__xludf.DUMMYFUNCTION("""COMPUTED_VALUE"""),"Temu Roti")</f>
        <v>Temu Roti</v>
      </c>
      <c r="T1260" s="2" t="str">
        <f>IFERROR(__xludf.DUMMYFUNCTION("""COMPUTED_VALUE"""),"Owner")</f>
        <v>Owner</v>
      </c>
      <c r="U1260" s="2"/>
      <c r="V1260" s="2"/>
      <c r="W1260" s="2"/>
      <c r="X1260" s="2" t="str">
        <f>IFERROR(__xludf.DUMMYFUNCTION("""COMPUTED_VALUE"""),"Closed")</f>
        <v>Closed</v>
      </c>
    </row>
    <row r="1261">
      <c r="A1261" s="3" t="s">
        <v>1271</v>
      </c>
      <c r="B1261" s="4">
        <f>IFERROR(__xludf.DUMMYFUNCTION("SPLIT(A1261,"","",0,0)"),45540.82152777778)</f>
        <v>45540.82153</v>
      </c>
      <c r="C1261" s="5">
        <f>IFERROR(__xludf.DUMMYFUNCTION("""COMPUTED_VALUE"""),2622840.0)</f>
        <v>2622840</v>
      </c>
      <c r="D1261" s="2" t="str">
        <f>IFERROR(__xludf.DUMMYFUNCTION("""COMPUTED_VALUE"""),"Sale")</f>
        <v>Sale</v>
      </c>
      <c r="E1261" s="2" t="str">
        <f>IFERROR(__xludf.DUMMYFUNCTION("""COMPUTED_VALUE"""),"Minuman")</f>
        <v>Minuman</v>
      </c>
      <c r="F1261" s="2">
        <f>IFERROR(__xludf.DUMMYFUNCTION("""COMPUTED_VALUE"""),10122.0)</f>
        <v>10122</v>
      </c>
      <c r="G1261" s="2" t="str">
        <f>IFERROR(__xludf.DUMMYFUNCTION("""COMPUTED_VALUE"""),"Rempah Madu Panas")</f>
        <v>Rempah Madu Panas</v>
      </c>
      <c r="H1261" s="2"/>
      <c r="I1261" s="2"/>
      <c r="J1261" s="2">
        <f>IFERROR(__xludf.DUMMYFUNCTION("""COMPUTED_VALUE"""),1.0)</f>
        <v>1</v>
      </c>
      <c r="K1261" s="6">
        <f>IFERROR(__xludf.DUMMYFUNCTION("""COMPUTED_VALUE"""),21905.0)</f>
        <v>21905</v>
      </c>
      <c r="L1261" s="2">
        <f>IFERROR(__xludf.DUMMYFUNCTION("""COMPUTED_VALUE"""),0.0)</f>
        <v>0</v>
      </c>
      <c r="M1261" s="2">
        <f>IFERROR(__xludf.DUMMYFUNCTION("""COMPUTED_VALUE"""),21905.0)</f>
        <v>21905</v>
      </c>
      <c r="N1261" s="2">
        <f>IFERROR(__xludf.DUMMYFUNCTION("""COMPUTED_VALUE"""),0.0)</f>
        <v>0</v>
      </c>
      <c r="O1261" s="2">
        <f>IFERROR(__xludf.DUMMYFUNCTION("""COMPUTED_VALUE"""),21905.0)</f>
        <v>21905</v>
      </c>
      <c r="P1261" s="2">
        <f>IFERROR(__xludf.DUMMYFUNCTION("""COMPUTED_VALUE"""),1095.0)</f>
        <v>1095</v>
      </c>
      <c r="Q1261" s="2" t="str">
        <f>IFERROR(__xludf.DUMMYFUNCTION("""COMPUTED_VALUE"""),"Dine In")</f>
        <v>Dine In</v>
      </c>
      <c r="R1261" s="2" t="str">
        <f>IFERROR(__xludf.DUMMYFUNCTION("""COMPUTED_VALUE"""),"Kedai")</f>
        <v>Kedai</v>
      </c>
      <c r="S1261" s="2" t="str">
        <f>IFERROR(__xludf.DUMMYFUNCTION("""COMPUTED_VALUE"""),"Temu Roti")</f>
        <v>Temu Roti</v>
      </c>
      <c r="T1261" s="2" t="str">
        <f>IFERROR(__xludf.DUMMYFUNCTION("""COMPUTED_VALUE"""),"Owner")</f>
        <v>Owner</v>
      </c>
      <c r="U1261" s="2"/>
      <c r="V1261" s="2"/>
      <c r="W1261" s="2"/>
      <c r="X1261" s="2" t="str">
        <f>IFERROR(__xludf.DUMMYFUNCTION("""COMPUTED_VALUE"""),"Closed")</f>
        <v>Closed</v>
      </c>
    </row>
    <row r="1262">
      <c r="A1262" s="3" t="s">
        <v>1272</v>
      </c>
      <c r="B1262" s="4">
        <f>IFERROR(__xludf.DUMMYFUNCTION("SPLIT(A1262,"","",0,0)"),45540.82152777778)</f>
        <v>45540.82153</v>
      </c>
      <c r="C1262" s="5">
        <f>IFERROR(__xludf.DUMMYFUNCTION("""COMPUTED_VALUE"""),2622840.0)</f>
        <v>2622840</v>
      </c>
      <c r="D1262" s="2" t="str">
        <f>IFERROR(__xludf.DUMMYFUNCTION("""COMPUTED_VALUE"""),"Sale")</f>
        <v>Sale</v>
      </c>
      <c r="E1262" s="2" t="str">
        <f>IFERROR(__xludf.DUMMYFUNCTION("""COMPUTED_VALUE"""),"Hidangan Utama")</f>
        <v>Hidangan Utama</v>
      </c>
      <c r="F1262" s="2">
        <f>IFERROR(__xludf.DUMMYFUNCTION("""COMPUTED_VALUE"""),10003.0)</f>
        <v>10003</v>
      </c>
      <c r="G1262" s="2" t="str">
        <f>IFERROR(__xludf.DUMMYFUNCTION("""COMPUTED_VALUE"""),"Nasi Goreng Temu")</f>
        <v>Nasi Goreng Temu</v>
      </c>
      <c r="H1262" s="2"/>
      <c r="I1262" s="2"/>
      <c r="J1262" s="2">
        <f>IFERROR(__xludf.DUMMYFUNCTION("""COMPUTED_VALUE"""),1.0)</f>
        <v>1</v>
      </c>
      <c r="K1262" s="6">
        <f>IFERROR(__xludf.DUMMYFUNCTION("""COMPUTED_VALUE"""),29524.0)</f>
        <v>29524</v>
      </c>
      <c r="L1262" s="2">
        <f>IFERROR(__xludf.DUMMYFUNCTION("""COMPUTED_VALUE"""),0.0)</f>
        <v>0</v>
      </c>
      <c r="M1262" s="2">
        <f>IFERROR(__xludf.DUMMYFUNCTION("""COMPUTED_VALUE"""),29524.0)</f>
        <v>29524</v>
      </c>
      <c r="N1262" s="2">
        <f>IFERROR(__xludf.DUMMYFUNCTION("""COMPUTED_VALUE"""),0.0)</f>
        <v>0</v>
      </c>
      <c r="O1262" s="2">
        <f>IFERROR(__xludf.DUMMYFUNCTION("""COMPUTED_VALUE"""),29524.0)</f>
        <v>29524</v>
      </c>
      <c r="P1262" s="2">
        <f>IFERROR(__xludf.DUMMYFUNCTION("""COMPUTED_VALUE"""),1476.0)</f>
        <v>1476</v>
      </c>
      <c r="Q1262" s="2" t="str">
        <f>IFERROR(__xludf.DUMMYFUNCTION("""COMPUTED_VALUE"""),"Dine In")</f>
        <v>Dine In</v>
      </c>
      <c r="R1262" s="2" t="str">
        <f>IFERROR(__xludf.DUMMYFUNCTION("""COMPUTED_VALUE"""),"Kedai")</f>
        <v>Kedai</v>
      </c>
      <c r="S1262" s="2" t="str">
        <f>IFERROR(__xludf.DUMMYFUNCTION("""COMPUTED_VALUE"""),"Temu Roti")</f>
        <v>Temu Roti</v>
      </c>
      <c r="T1262" s="2" t="str">
        <f>IFERROR(__xludf.DUMMYFUNCTION("""COMPUTED_VALUE"""),"Owner")</f>
        <v>Owner</v>
      </c>
      <c r="U1262" s="2"/>
      <c r="V1262" s="2"/>
      <c r="W1262" s="2"/>
      <c r="X1262" s="2" t="str">
        <f>IFERROR(__xludf.DUMMYFUNCTION("""COMPUTED_VALUE"""),"Closed")</f>
        <v>Closed</v>
      </c>
    </row>
    <row r="1263">
      <c r="A1263" s="3" t="s">
        <v>1273</v>
      </c>
      <c r="B1263" s="4">
        <f>IFERROR(__xludf.DUMMYFUNCTION("SPLIT(A1263,"","",0,0)"),45540.82152777778)</f>
        <v>45540.82153</v>
      </c>
      <c r="C1263" s="5">
        <f>IFERROR(__xludf.DUMMYFUNCTION("""COMPUTED_VALUE"""),2622840.0)</f>
        <v>2622840</v>
      </c>
      <c r="D1263" s="2" t="str">
        <f>IFERROR(__xludf.DUMMYFUNCTION("""COMPUTED_VALUE"""),"Sale")</f>
        <v>Sale</v>
      </c>
      <c r="E1263" s="2" t="str">
        <f>IFERROR(__xludf.DUMMYFUNCTION("""COMPUTED_VALUE"""),"Kudapan")</f>
        <v>Kudapan</v>
      </c>
      <c r="F1263" s="2">
        <f>IFERROR(__xludf.DUMMYFUNCTION("""COMPUTED_VALUE"""),10051.0)</f>
        <v>10051</v>
      </c>
      <c r="G1263" s="2" t="str">
        <f>IFERROR(__xludf.DUMMYFUNCTION("""COMPUTED_VALUE"""),"Tahu baso")</f>
        <v>Tahu baso</v>
      </c>
      <c r="H1263" s="2"/>
      <c r="I1263" s="2"/>
      <c r="J1263" s="2">
        <f>IFERROR(__xludf.DUMMYFUNCTION("""COMPUTED_VALUE"""),1.0)</f>
        <v>1</v>
      </c>
      <c r="K1263" s="6">
        <f>IFERROR(__xludf.DUMMYFUNCTION("""COMPUTED_VALUE"""),25238.0)</f>
        <v>25238</v>
      </c>
      <c r="L1263" s="2">
        <f>IFERROR(__xludf.DUMMYFUNCTION("""COMPUTED_VALUE"""),0.0)</f>
        <v>0</v>
      </c>
      <c r="M1263" s="2">
        <f>IFERROR(__xludf.DUMMYFUNCTION("""COMPUTED_VALUE"""),25238.0)</f>
        <v>25238</v>
      </c>
      <c r="N1263" s="2">
        <f>IFERROR(__xludf.DUMMYFUNCTION("""COMPUTED_VALUE"""),0.0)</f>
        <v>0</v>
      </c>
      <c r="O1263" s="2">
        <f>IFERROR(__xludf.DUMMYFUNCTION("""COMPUTED_VALUE"""),25238.0)</f>
        <v>25238</v>
      </c>
      <c r="P1263" s="2">
        <f>IFERROR(__xludf.DUMMYFUNCTION("""COMPUTED_VALUE"""),1262.0)</f>
        <v>1262</v>
      </c>
      <c r="Q1263" s="2" t="str">
        <f>IFERROR(__xludf.DUMMYFUNCTION("""COMPUTED_VALUE"""),"Dine In")</f>
        <v>Dine In</v>
      </c>
      <c r="R1263" s="2" t="str">
        <f>IFERROR(__xludf.DUMMYFUNCTION("""COMPUTED_VALUE"""),"Kedai")</f>
        <v>Kedai</v>
      </c>
      <c r="S1263" s="2" t="str">
        <f>IFERROR(__xludf.DUMMYFUNCTION("""COMPUTED_VALUE"""),"Temu Roti")</f>
        <v>Temu Roti</v>
      </c>
      <c r="T1263" s="2" t="str">
        <f>IFERROR(__xludf.DUMMYFUNCTION("""COMPUTED_VALUE"""),"Owner")</f>
        <v>Owner</v>
      </c>
      <c r="U1263" s="2"/>
      <c r="V1263" s="2"/>
      <c r="W1263" s="2"/>
      <c r="X1263" s="2" t="str">
        <f>IFERROR(__xludf.DUMMYFUNCTION("""COMPUTED_VALUE"""),"Closed")</f>
        <v>Closed</v>
      </c>
    </row>
    <row r="1264">
      <c r="A1264" s="3" t="s">
        <v>1274</v>
      </c>
      <c r="B1264" s="4">
        <f>IFERROR(__xludf.DUMMYFUNCTION("SPLIT(A1264,"","",0,0)"),45540.82152777778)</f>
        <v>45540.82153</v>
      </c>
      <c r="C1264" s="5">
        <f>IFERROR(__xludf.DUMMYFUNCTION("""COMPUTED_VALUE"""),2622840.0)</f>
        <v>2622840</v>
      </c>
      <c r="D1264" s="2" t="str">
        <f>IFERROR(__xludf.DUMMYFUNCTION("""COMPUTED_VALUE"""),"Sale")</f>
        <v>Sale</v>
      </c>
      <c r="E1264" s="2" t="str">
        <f>IFERROR(__xludf.DUMMYFUNCTION("""COMPUTED_VALUE"""),"Minuman")</f>
        <v>Minuman</v>
      </c>
      <c r="F1264" s="2">
        <f>IFERROR(__xludf.DUMMYFUNCTION("""COMPUTED_VALUE"""),10112.0)</f>
        <v>10112</v>
      </c>
      <c r="G1264" s="2" t="str">
        <f>IFERROR(__xludf.DUMMYFUNCTION("""COMPUTED_VALUE"""),"Air mineral")</f>
        <v>Air mineral</v>
      </c>
      <c r="H1264" s="2"/>
      <c r="I1264" s="2"/>
      <c r="J1264" s="2">
        <f>IFERROR(__xludf.DUMMYFUNCTION("""COMPUTED_VALUE"""),1.0)</f>
        <v>1</v>
      </c>
      <c r="K1264" s="6">
        <f>IFERROR(__xludf.DUMMYFUNCTION("""COMPUTED_VALUE"""),6667.0)</f>
        <v>6667</v>
      </c>
      <c r="L1264" s="2">
        <f>IFERROR(__xludf.DUMMYFUNCTION("""COMPUTED_VALUE"""),0.0)</f>
        <v>0</v>
      </c>
      <c r="M1264" s="2">
        <f>IFERROR(__xludf.DUMMYFUNCTION("""COMPUTED_VALUE"""),6667.0)</f>
        <v>6667</v>
      </c>
      <c r="N1264" s="2">
        <f>IFERROR(__xludf.DUMMYFUNCTION("""COMPUTED_VALUE"""),0.0)</f>
        <v>0</v>
      </c>
      <c r="O1264" s="2">
        <f>IFERROR(__xludf.DUMMYFUNCTION("""COMPUTED_VALUE"""),6667.0)</f>
        <v>6667</v>
      </c>
      <c r="P1264" s="2">
        <f>IFERROR(__xludf.DUMMYFUNCTION("""COMPUTED_VALUE"""),334.0)</f>
        <v>334</v>
      </c>
      <c r="Q1264" s="2" t="str">
        <f>IFERROR(__xludf.DUMMYFUNCTION("""COMPUTED_VALUE"""),"Dine In")</f>
        <v>Dine In</v>
      </c>
      <c r="R1264" s="2" t="str">
        <f>IFERROR(__xludf.DUMMYFUNCTION("""COMPUTED_VALUE"""),"Kedai")</f>
        <v>Kedai</v>
      </c>
      <c r="S1264" s="2" t="str">
        <f>IFERROR(__xludf.DUMMYFUNCTION("""COMPUTED_VALUE"""),"Temu Roti")</f>
        <v>Temu Roti</v>
      </c>
      <c r="T1264" s="2" t="str">
        <f>IFERROR(__xludf.DUMMYFUNCTION("""COMPUTED_VALUE"""),"Owner")</f>
        <v>Owner</v>
      </c>
      <c r="U1264" s="2"/>
      <c r="V1264" s="2"/>
      <c r="W1264" s="2"/>
      <c r="X1264" s="2" t="str">
        <f>IFERROR(__xludf.DUMMYFUNCTION("""COMPUTED_VALUE"""),"Closed")</f>
        <v>Closed</v>
      </c>
    </row>
    <row r="1265">
      <c r="A1265" s="3" t="s">
        <v>1275</v>
      </c>
      <c r="B1265" s="4">
        <f>IFERROR(__xludf.DUMMYFUNCTION("SPLIT(A1265,"","",0,0)"),45540.82152777778)</f>
        <v>45540.82153</v>
      </c>
      <c r="C1265" s="5">
        <f>IFERROR(__xludf.DUMMYFUNCTION("""COMPUTED_VALUE"""),2622840.0)</f>
        <v>2622840</v>
      </c>
      <c r="D1265" s="2" t="str">
        <f>IFERROR(__xludf.DUMMYFUNCTION("""COMPUTED_VALUE"""),"Sale")</f>
        <v>Sale</v>
      </c>
      <c r="E1265" s="2" t="str">
        <f>IFERROR(__xludf.DUMMYFUNCTION("""COMPUTED_VALUE"""),"Roti")</f>
        <v>Roti</v>
      </c>
      <c r="F1265" s="2">
        <f>IFERROR(__xludf.DUMMYFUNCTION("""COMPUTED_VALUE"""),10002.0)</f>
        <v>10002</v>
      </c>
      <c r="G1265" s="2" t="str">
        <f>IFERROR(__xludf.DUMMYFUNCTION("""COMPUTED_VALUE"""),"Roti Cranberry")</f>
        <v>Roti Cranberry</v>
      </c>
      <c r="H1265" s="2"/>
      <c r="I1265" s="2"/>
      <c r="J1265" s="2">
        <f>IFERROR(__xludf.DUMMYFUNCTION("""COMPUTED_VALUE"""),1.0)</f>
        <v>1</v>
      </c>
      <c r="K1265" s="6">
        <f>IFERROR(__xludf.DUMMYFUNCTION("""COMPUTED_VALUE"""),18571.0)</f>
        <v>18571</v>
      </c>
      <c r="L1265" s="2">
        <f>IFERROR(__xludf.DUMMYFUNCTION("""COMPUTED_VALUE"""),0.0)</f>
        <v>0</v>
      </c>
      <c r="M1265" s="2">
        <f>IFERROR(__xludf.DUMMYFUNCTION("""COMPUTED_VALUE"""),18571.0)</f>
        <v>18571</v>
      </c>
      <c r="N1265" s="2">
        <f>IFERROR(__xludf.DUMMYFUNCTION("""COMPUTED_VALUE"""),0.0)</f>
        <v>0</v>
      </c>
      <c r="O1265" s="2">
        <f>IFERROR(__xludf.DUMMYFUNCTION("""COMPUTED_VALUE"""),18571.0)</f>
        <v>18571</v>
      </c>
      <c r="P1265" s="2">
        <f>IFERROR(__xludf.DUMMYFUNCTION("""COMPUTED_VALUE"""),928.0)</f>
        <v>928</v>
      </c>
      <c r="Q1265" s="2" t="str">
        <f>IFERROR(__xludf.DUMMYFUNCTION("""COMPUTED_VALUE"""),"Dine In")</f>
        <v>Dine In</v>
      </c>
      <c r="R1265" s="2" t="str">
        <f>IFERROR(__xludf.DUMMYFUNCTION("""COMPUTED_VALUE"""),"Kedai")</f>
        <v>Kedai</v>
      </c>
      <c r="S1265" s="2" t="str">
        <f>IFERROR(__xludf.DUMMYFUNCTION("""COMPUTED_VALUE"""),"Temu Roti")</f>
        <v>Temu Roti</v>
      </c>
      <c r="T1265" s="2" t="str">
        <f>IFERROR(__xludf.DUMMYFUNCTION("""COMPUTED_VALUE"""),"Owner")</f>
        <v>Owner</v>
      </c>
      <c r="U1265" s="2"/>
      <c r="V1265" s="2"/>
      <c r="W1265" s="2"/>
      <c r="X1265" s="2" t="str">
        <f>IFERROR(__xludf.DUMMYFUNCTION("""COMPUTED_VALUE"""),"Closed")</f>
        <v>Closed</v>
      </c>
    </row>
    <row r="1266">
      <c r="A1266" s="3" t="s">
        <v>1276</v>
      </c>
      <c r="B1266" s="4">
        <f>IFERROR(__xludf.DUMMYFUNCTION("SPLIT(A1266,"","",0,0)"),45540.81041666667)</f>
        <v>45540.81042</v>
      </c>
      <c r="C1266" s="5">
        <f>IFERROR(__xludf.DUMMYFUNCTION("""COMPUTED_VALUE"""),2622474.0)</f>
        <v>2622474</v>
      </c>
      <c r="D1266" s="2" t="str">
        <f>IFERROR(__xludf.DUMMYFUNCTION("""COMPUTED_VALUE"""),"Sale")</f>
        <v>Sale</v>
      </c>
      <c r="E1266" s="2" t="str">
        <f>IFERROR(__xludf.DUMMYFUNCTION("""COMPUTED_VALUE"""),"Roti")</f>
        <v>Roti</v>
      </c>
      <c r="F1266" s="2">
        <f>IFERROR(__xludf.DUMMYFUNCTION("""COMPUTED_VALUE"""),10000.0)</f>
        <v>10000</v>
      </c>
      <c r="G1266" s="2" t="str">
        <f>IFERROR(__xludf.DUMMYFUNCTION("""COMPUTED_VALUE"""),"Roti Bawang Saus Keju")</f>
        <v>Roti Bawang Saus Keju</v>
      </c>
      <c r="H1266" s="2"/>
      <c r="I1266" s="2"/>
      <c r="J1266" s="2">
        <f>IFERROR(__xludf.DUMMYFUNCTION("""COMPUTED_VALUE"""),1.0)</f>
        <v>1</v>
      </c>
      <c r="K1266" s="6">
        <f>IFERROR(__xludf.DUMMYFUNCTION("""COMPUTED_VALUE"""),29524.0)</f>
        <v>29524</v>
      </c>
      <c r="L1266" s="2">
        <f>IFERROR(__xludf.DUMMYFUNCTION("""COMPUTED_VALUE"""),0.0)</f>
        <v>0</v>
      </c>
      <c r="M1266" s="2">
        <f>IFERROR(__xludf.DUMMYFUNCTION("""COMPUTED_VALUE"""),29524.0)</f>
        <v>29524</v>
      </c>
      <c r="N1266" s="2">
        <f>IFERROR(__xludf.DUMMYFUNCTION("""COMPUTED_VALUE"""),0.0)</f>
        <v>0</v>
      </c>
      <c r="O1266" s="2">
        <f>IFERROR(__xludf.DUMMYFUNCTION("""COMPUTED_VALUE"""),29524.0)</f>
        <v>29524</v>
      </c>
      <c r="P1266" s="2">
        <f>IFERROR(__xludf.DUMMYFUNCTION("""COMPUTED_VALUE"""),1476.0)</f>
        <v>1476</v>
      </c>
      <c r="Q1266" s="2" t="str">
        <f>IFERROR(__xludf.DUMMYFUNCTION("""COMPUTED_VALUE"""),"Dine In")</f>
        <v>Dine In</v>
      </c>
      <c r="R1266" s="2" t="str">
        <f>IFERROR(__xludf.DUMMYFUNCTION("""COMPUTED_VALUE"""),"Kedai")</f>
        <v>Kedai</v>
      </c>
      <c r="S1266" s="2" t="str">
        <f>IFERROR(__xludf.DUMMYFUNCTION("""COMPUTED_VALUE"""),"Temu Roti")</f>
        <v>Temu Roti</v>
      </c>
      <c r="T1266" s="2" t="str">
        <f>IFERROR(__xludf.DUMMYFUNCTION("""COMPUTED_VALUE"""),"Owner")</f>
        <v>Owner</v>
      </c>
      <c r="U1266" s="2"/>
      <c r="V1266" s="2"/>
      <c r="W1266" s="2"/>
      <c r="X1266" s="2" t="str">
        <f>IFERROR(__xludf.DUMMYFUNCTION("""COMPUTED_VALUE"""),"Closed")</f>
        <v>Closed</v>
      </c>
    </row>
    <row r="1267">
      <c r="A1267" s="3" t="s">
        <v>1277</v>
      </c>
      <c r="B1267" s="4">
        <f>IFERROR(__xludf.DUMMYFUNCTION("SPLIT(A1267,"","",0,0)"),45540.81041666667)</f>
        <v>45540.81042</v>
      </c>
      <c r="C1267" s="5">
        <f>IFERROR(__xludf.DUMMYFUNCTION("""COMPUTED_VALUE"""),2622474.0)</f>
        <v>2622474</v>
      </c>
      <c r="D1267" s="2" t="str">
        <f>IFERROR(__xludf.DUMMYFUNCTION("""COMPUTED_VALUE"""),"Sale")</f>
        <v>Sale</v>
      </c>
      <c r="E1267" s="2" t="str">
        <f>IFERROR(__xludf.DUMMYFUNCTION("""COMPUTED_VALUE"""),"Minuman")</f>
        <v>Minuman</v>
      </c>
      <c r="F1267" s="2">
        <f>IFERROR(__xludf.DUMMYFUNCTION("""COMPUTED_VALUE"""),10112.0)</f>
        <v>10112</v>
      </c>
      <c r="G1267" s="2" t="str">
        <f>IFERROR(__xludf.DUMMYFUNCTION("""COMPUTED_VALUE"""),"Air mineral")</f>
        <v>Air mineral</v>
      </c>
      <c r="H1267" s="2"/>
      <c r="I1267" s="2"/>
      <c r="J1267" s="2">
        <f>IFERROR(__xludf.DUMMYFUNCTION("""COMPUTED_VALUE"""),1.0)</f>
        <v>1</v>
      </c>
      <c r="K1267" s="6">
        <f>IFERROR(__xludf.DUMMYFUNCTION("""COMPUTED_VALUE"""),6667.0)</f>
        <v>6667</v>
      </c>
      <c r="L1267" s="2">
        <f>IFERROR(__xludf.DUMMYFUNCTION("""COMPUTED_VALUE"""),0.0)</f>
        <v>0</v>
      </c>
      <c r="M1267" s="2">
        <f>IFERROR(__xludf.DUMMYFUNCTION("""COMPUTED_VALUE"""),6667.0)</f>
        <v>6667</v>
      </c>
      <c r="N1267" s="2">
        <f>IFERROR(__xludf.DUMMYFUNCTION("""COMPUTED_VALUE"""),0.0)</f>
        <v>0</v>
      </c>
      <c r="O1267" s="2">
        <f>IFERROR(__xludf.DUMMYFUNCTION("""COMPUTED_VALUE"""),6667.0)</f>
        <v>6667</v>
      </c>
      <c r="P1267" s="2">
        <f>IFERROR(__xludf.DUMMYFUNCTION("""COMPUTED_VALUE"""),334.0)</f>
        <v>334</v>
      </c>
      <c r="Q1267" s="2" t="str">
        <f>IFERROR(__xludf.DUMMYFUNCTION("""COMPUTED_VALUE"""),"Dine In")</f>
        <v>Dine In</v>
      </c>
      <c r="R1267" s="2" t="str">
        <f>IFERROR(__xludf.DUMMYFUNCTION("""COMPUTED_VALUE"""),"Kedai")</f>
        <v>Kedai</v>
      </c>
      <c r="S1267" s="2" t="str">
        <f>IFERROR(__xludf.DUMMYFUNCTION("""COMPUTED_VALUE"""),"Temu Roti")</f>
        <v>Temu Roti</v>
      </c>
      <c r="T1267" s="2" t="str">
        <f>IFERROR(__xludf.DUMMYFUNCTION("""COMPUTED_VALUE"""),"Owner")</f>
        <v>Owner</v>
      </c>
      <c r="U1267" s="2"/>
      <c r="V1267" s="2"/>
      <c r="W1267" s="2"/>
      <c r="X1267" s="2" t="str">
        <f>IFERROR(__xludf.DUMMYFUNCTION("""COMPUTED_VALUE"""),"Closed")</f>
        <v>Closed</v>
      </c>
    </row>
    <row r="1268">
      <c r="A1268" s="3" t="s">
        <v>1278</v>
      </c>
      <c r="B1268" s="4">
        <f>IFERROR(__xludf.DUMMYFUNCTION("SPLIT(A1268,"","",0,0)"),45540.80972222222)</f>
        <v>45540.80972</v>
      </c>
      <c r="C1268" s="5">
        <f>IFERROR(__xludf.DUMMYFUNCTION("""COMPUTED_VALUE"""),2622109.0)</f>
        <v>2622109</v>
      </c>
      <c r="D1268" s="2" t="str">
        <f>IFERROR(__xludf.DUMMYFUNCTION("""COMPUTED_VALUE"""),"Sale")</f>
        <v>Sale</v>
      </c>
      <c r="E1268" s="2" t="str">
        <f>IFERROR(__xludf.DUMMYFUNCTION("""COMPUTED_VALUE"""),"Roti")</f>
        <v>Roti</v>
      </c>
      <c r="F1268" s="2">
        <f>IFERROR(__xludf.DUMMYFUNCTION("""COMPUTED_VALUE"""),10005.0)</f>
        <v>10005</v>
      </c>
      <c r="G1268" s="2" t="str">
        <f>IFERROR(__xludf.DUMMYFUNCTION("""COMPUTED_VALUE"""),"Roti Gandum Cokelat")</f>
        <v>Roti Gandum Cokelat</v>
      </c>
      <c r="H1268" s="2"/>
      <c r="I1268" s="2"/>
      <c r="J1268" s="2">
        <f>IFERROR(__xludf.DUMMYFUNCTION("""COMPUTED_VALUE"""),1.0)</f>
        <v>1</v>
      </c>
      <c r="K1268" s="6">
        <f>IFERROR(__xludf.DUMMYFUNCTION("""COMPUTED_VALUE"""),19524.0)</f>
        <v>19524</v>
      </c>
      <c r="L1268" s="2">
        <f>IFERROR(__xludf.DUMMYFUNCTION("""COMPUTED_VALUE"""),0.0)</f>
        <v>0</v>
      </c>
      <c r="M1268" s="2">
        <f>IFERROR(__xludf.DUMMYFUNCTION("""COMPUTED_VALUE"""),19524.0)</f>
        <v>19524</v>
      </c>
      <c r="N1268" s="2">
        <f>IFERROR(__xludf.DUMMYFUNCTION("""COMPUTED_VALUE"""),0.0)</f>
        <v>0</v>
      </c>
      <c r="O1268" s="2">
        <f>IFERROR(__xludf.DUMMYFUNCTION("""COMPUTED_VALUE"""),19524.0)</f>
        <v>19524</v>
      </c>
      <c r="P1268" s="2">
        <f>IFERROR(__xludf.DUMMYFUNCTION("""COMPUTED_VALUE"""),976.0)</f>
        <v>976</v>
      </c>
      <c r="Q1268" s="2" t="str">
        <f>IFERROR(__xludf.DUMMYFUNCTION("""COMPUTED_VALUE"""),"Dine In")</f>
        <v>Dine In</v>
      </c>
      <c r="R1268" s="2" t="str">
        <f>IFERROR(__xludf.DUMMYFUNCTION("""COMPUTED_VALUE"""),"Kedai")</f>
        <v>Kedai</v>
      </c>
      <c r="S1268" s="2" t="str">
        <f>IFERROR(__xludf.DUMMYFUNCTION("""COMPUTED_VALUE"""),"Temu Roti")</f>
        <v>Temu Roti</v>
      </c>
      <c r="T1268" s="2" t="str">
        <f>IFERROR(__xludf.DUMMYFUNCTION("""COMPUTED_VALUE"""),"Owner")</f>
        <v>Owner</v>
      </c>
      <c r="U1268" s="2"/>
      <c r="V1268" s="2"/>
      <c r="W1268" s="2"/>
      <c r="X1268" s="2" t="str">
        <f>IFERROR(__xludf.DUMMYFUNCTION("""COMPUTED_VALUE"""),"Closed")</f>
        <v>Closed</v>
      </c>
    </row>
    <row r="1269">
      <c r="A1269" s="3" t="s">
        <v>1279</v>
      </c>
      <c r="B1269" s="4">
        <f>IFERROR(__xludf.DUMMYFUNCTION("SPLIT(A1269,"","",0,0)"),45540.80902777778)</f>
        <v>45540.80903</v>
      </c>
      <c r="C1269" s="5">
        <f>IFERROR(__xludf.DUMMYFUNCTION("""COMPUTED_VALUE"""),2621744.0)</f>
        <v>2621744</v>
      </c>
      <c r="D1269" s="2" t="str">
        <f>IFERROR(__xludf.DUMMYFUNCTION("""COMPUTED_VALUE"""),"Sale")</f>
        <v>Sale</v>
      </c>
      <c r="E1269" s="2" t="str">
        <f>IFERROR(__xludf.DUMMYFUNCTION("""COMPUTED_VALUE"""),"Roti")</f>
        <v>Roti</v>
      </c>
      <c r="F1269" s="2">
        <f>IFERROR(__xludf.DUMMYFUNCTION("""COMPUTED_VALUE"""),10042.0)</f>
        <v>10042</v>
      </c>
      <c r="G1269" s="2" t="str">
        <f>IFERROR(__xludf.DUMMYFUNCTION("""COMPUTED_VALUE"""),"Roti coklat")</f>
        <v>Roti coklat</v>
      </c>
      <c r="H1269" s="2"/>
      <c r="I1269" s="2"/>
      <c r="J1269" s="2">
        <f>IFERROR(__xludf.DUMMYFUNCTION("""COMPUTED_VALUE"""),1.0)</f>
        <v>1</v>
      </c>
      <c r="K1269" s="6">
        <f>IFERROR(__xludf.DUMMYFUNCTION("""COMPUTED_VALUE"""),9524.0)</f>
        <v>9524</v>
      </c>
      <c r="L1269" s="2">
        <f>IFERROR(__xludf.DUMMYFUNCTION("""COMPUTED_VALUE"""),0.0)</f>
        <v>0</v>
      </c>
      <c r="M1269" s="2">
        <f>IFERROR(__xludf.DUMMYFUNCTION("""COMPUTED_VALUE"""),9524.0)</f>
        <v>9524</v>
      </c>
      <c r="N1269" s="2">
        <f>IFERROR(__xludf.DUMMYFUNCTION("""COMPUTED_VALUE"""),0.0)</f>
        <v>0</v>
      </c>
      <c r="O1269" s="2">
        <f>IFERROR(__xludf.DUMMYFUNCTION("""COMPUTED_VALUE"""),9524.0)</f>
        <v>9524</v>
      </c>
      <c r="P1269" s="2">
        <f>IFERROR(__xludf.DUMMYFUNCTION("""COMPUTED_VALUE"""),476.0)</f>
        <v>476</v>
      </c>
      <c r="Q1269" s="2" t="str">
        <f>IFERROR(__xludf.DUMMYFUNCTION("""COMPUTED_VALUE"""),"Dine In")</f>
        <v>Dine In</v>
      </c>
      <c r="R1269" s="2" t="str">
        <f>IFERROR(__xludf.DUMMYFUNCTION("""COMPUTED_VALUE"""),"Kedai")</f>
        <v>Kedai</v>
      </c>
      <c r="S1269" s="2" t="str">
        <f>IFERROR(__xludf.DUMMYFUNCTION("""COMPUTED_VALUE"""),"Temu Roti")</f>
        <v>Temu Roti</v>
      </c>
      <c r="T1269" s="2" t="str">
        <f>IFERROR(__xludf.DUMMYFUNCTION("""COMPUTED_VALUE"""),"Owner")</f>
        <v>Owner</v>
      </c>
      <c r="U1269" s="2"/>
      <c r="V1269" s="2"/>
      <c r="W1269" s="2"/>
      <c r="X1269" s="2" t="str">
        <f>IFERROR(__xludf.DUMMYFUNCTION("""COMPUTED_VALUE"""),"Closed")</f>
        <v>Closed</v>
      </c>
    </row>
    <row r="1270">
      <c r="A1270" s="3" t="s">
        <v>1280</v>
      </c>
      <c r="B1270" s="4">
        <f>IFERROR(__xludf.DUMMYFUNCTION("SPLIT(A1270,"","",0,0)"),45540.80486111111)</f>
        <v>45540.80486</v>
      </c>
      <c r="C1270" s="5">
        <f>IFERROR(__xludf.DUMMYFUNCTION("""COMPUTED_VALUE"""),2621379.0)</f>
        <v>2621379</v>
      </c>
      <c r="D1270" s="2" t="str">
        <f>IFERROR(__xludf.DUMMYFUNCTION("""COMPUTED_VALUE"""),"Sale")</f>
        <v>Sale</v>
      </c>
      <c r="E1270" s="2" t="str">
        <f>IFERROR(__xludf.DUMMYFUNCTION("""COMPUTED_VALUE"""),"Kudapan")</f>
        <v>Kudapan</v>
      </c>
      <c r="F1270" s="2">
        <f>IFERROR(__xludf.DUMMYFUNCTION("""COMPUTED_VALUE"""),10010.0)</f>
        <v>10010</v>
      </c>
      <c r="G1270" s="2" t="str">
        <f>IFERROR(__xludf.DUMMYFUNCTION("""COMPUTED_VALUE"""),"Pisang Goreng")</f>
        <v>Pisang Goreng</v>
      </c>
      <c r="H1270" s="2"/>
      <c r="I1270" s="2"/>
      <c r="J1270" s="2">
        <f>IFERROR(__xludf.DUMMYFUNCTION("""COMPUTED_VALUE"""),1.0)</f>
        <v>1</v>
      </c>
      <c r="K1270" s="6">
        <f>IFERROR(__xludf.DUMMYFUNCTION("""COMPUTED_VALUE"""),25238.0)</f>
        <v>25238</v>
      </c>
      <c r="L1270" s="2">
        <f>IFERROR(__xludf.DUMMYFUNCTION("""COMPUTED_VALUE"""),0.0)</f>
        <v>0</v>
      </c>
      <c r="M1270" s="2">
        <f>IFERROR(__xludf.DUMMYFUNCTION("""COMPUTED_VALUE"""),25238.0)</f>
        <v>25238</v>
      </c>
      <c r="N1270" s="2">
        <f>IFERROR(__xludf.DUMMYFUNCTION("""COMPUTED_VALUE"""),0.0)</f>
        <v>0</v>
      </c>
      <c r="O1270" s="2">
        <f>IFERROR(__xludf.DUMMYFUNCTION("""COMPUTED_VALUE"""),25238.0)</f>
        <v>25238</v>
      </c>
      <c r="P1270" s="2">
        <f>IFERROR(__xludf.DUMMYFUNCTION("""COMPUTED_VALUE"""),1262.0)</f>
        <v>1262</v>
      </c>
      <c r="Q1270" s="2" t="str">
        <f>IFERROR(__xludf.DUMMYFUNCTION("""COMPUTED_VALUE"""),"Dine In")</f>
        <v>Dine In</v>
      </c>
      <c r="R1270" s="2" t="str">
        <f>IFERROR(__xludf.DUMMYFUNCTION("""COMPUTED_VALUE"""),"Kedai")</f>
        <v>Kedai</v>
      </c>
      <c r="S1270" s="2" t="str">
        <f>IFERROR(__xludf.DUMMYFUNCTION("""COMPUTED_VALUE"""),"Temu Roti")</f>
        <v>Temu Roti</v>
      </c>
      <c r="T1270" s="2" t="str">
        <f>IFERROR(__xludf.DUMMYFUNCTION("""COMPUTED_VALUE"""),"Owner")</f>
        <v>Owner</v>
      </c>
      <c r="U1270" s="2"/>
      <c r="V1270" s="2"/>
      <c r="W1270" s="2"/>
      <c r="X1270" s="2" t="str">
        <f>IFERROR(__xludf.DUMMYFUNCTION("""COMPUTED_VALUE"""),"Closed")</f>
        <v>Closed</v>
      </c>
    </row>
    <row r="1271">
      <c r="A1271" s="3" t="s">
        <v>1281</v>
      </c>
      <c r="B1271" s="4">
        <f>IFERROR(__xludf.DUMMYFUNCTION("SPLIT(A1271,"","",0,0)"),45540.80486111111)</f>
        <v>45540.80486</v>
      </c>
      <c r="C1271" s="5">
        <f>IFERROR(__xludf.DUMMYFUNCTION("""COMPUTED_VALUE"""),2621379.0)</f>
        <v>2621379</v>
      </c>
      <c r="D1271" s="2" t="str">
        <f>IFERROR(__xludf.DUMMYFUNCTION("""COMPUTED_VALUE"""),"Sale")</f>
        <v>Sale</v>
      </c>
      <c r="E1271" s="2" t="str">
        <f>IFERROR(__xludf.DUMMYFUNCTION("""COMPUTED_VALUE"""),"Kudapan")</f>
        <v>Kudapan</v>
      </c>
      <c r="F1271" s="2">
        <f>IFERROR(__xludf.DUMMYFUNCTION("""COMPUTED_VALUE"""),10051.0)</f>
        <v>10051</v>
      </c>
      <c r="G1271" s="2" t="str">
        <f>IFERROR(__xludf.DUMMYFUNCTION("""COMPUTED_VALUE"""),"Tahu baso")</f>
        <v>Tahu baso</v>
      </c>
      <c r="H1271" s="2"/>
      <c r="I1271" s="2"/>
      <c r="J1271" s="2">
        <f>IFERROR(__xludf.DUMMYFUNCTION("""COMPUTED_VALUE"""),1.0)</f>
        <v>1</v>
      </c>
      <c r="K1271" s="6">
        <f>IFERROR(__xludf.DUMMYFUNCTION("""COMPUTED_VALUE"""),25238.0)</f>
        <v>25238</v>
      </c>
      <c r="L1271" s="2">
        <f>IFERROR(__xludf.DUMMYFUNCTION("""COMPUTED_VALUE"""),0.0)</f>
        <v>0</v>
      </c>
      <c r="M1271" s="2">
        <f>IFERROR(__xludf.DUMMYFUNCTION("""COMPUTED_VALUE"""),25238.0)</f>
        <v>25238</v>
      </c>
      <c r="N1271" s="2">
        <f>IFERROR(__xludf.DUMMYFUNCTION("""COMPUTED_VALUE"""),0.0)</f>
        <v>0</v>
      </c>
      <c r="O1271" s="2">
        <f>IFERROR(__xludf.DUMMYFUNCTION("""COMPUTED_VALUE"""),25238.0)</f>
        <v>25238</v>
      </c>
      <c r="P1271" s="2">
        <f>IFERROR(__xludf.DUMMYFUNCTION("""COMPUTED_VALUE"""),1262.0)</f>
        <v>1262</v>
      </c>
      <c r="Q1271" s="2" t="str">
        <f>IFERROR(__xludf.DUMMYFUNCTION("""COMPUTED_VALUE"""),"Dine In")</f>
        <v>Dine In</v>
      </c>
      <c r="R1271" s="2" t="str">
        <f>IFERROR(__xludf.DUMMYFUNCTION("""COMPUTED_VALUE"""),"Kedai")</f>
        <v>Kedai</v>
      </c>
      <c r="S1271" s="2" t="str">
        <f>IFERROR(__xludf.DUMMYFUNCTION("""COMPUTED_VALUE"""),"Temu Roti")</f>
        <v>Temu Roti</v>
      </c>
      <c r="T1271" s="2" t="str">
        <f>IFERROR(__xludf.DUMMYFUNCTION("""COMPUTED_VALUE"""),"Owner")</f>
        <v>Owner</v>
      </c>
      <c r="U1271" s="2"/>
      <c r="V1271" s="2"/>
      <c r="W1271" s="2"/>
      <c r="X1271" s="2" t="str">
        <f>IFERROR(__xludf.DUMMYFUNCTION("""COMPUTED_VALUE"""),"Closed")</f>
        <v>Closed</v>
      </c>
    </row>
    <row r="1272">
      <c r="A1272" s="3" t="s">
        <v>1282</v>
      </c>
      <c r="B1272" s="4">
        <f>IFERROR(__xludf.DUMMYFUNCTION("SPLIT(A1272,"","",0,0)"),45540.80486111111)</f>
        <v>45540.80486</v>
      </c>
      <c r="C1272" s="5">
        <f>IFERROR(__xludf.DUMMYFUNCTION("""COMPUTED_VALUE"""),2621013.0)</f>
        <v>2621013</v>
      </c>
      <c r="D1272" s="2" t="str">
        <f>IFERROR(__xludf.DUMMYFUNCTION("""COMPUTED_VALUE"""),"Refund")</f>
        <v>Refund</v>
      </c>
      <c r="E1272" s="2" t="str">
        <f>IFERROR(__xludf.DUMMYFUNCTION("""COMPUTED_VALUE"""),"Kudapan")</f>
        <v>Kudapan</v>
      </c>
      <c r="F1272" s="2">
        <f>IFERROR(__xludf.DUMMYFUNCTION("""COMPUTED_VALUE"""),10051.0)</f>
        <v>10051</v>
      </c>
      <c r="G1272" s="2" t="str">
        <f>IFERROR(__xludf.DUMMYFUNCTION("""COMPUTED_VALUE"""),"Tahu baso")</f>
        <v>Tahu baso</v>
      </c>
      <c r="H1272" s="2"/>
      <c r="I1272" s="2"/>
      <c r="J1272" s="2">
        <f>IFERROR(__xludf.DUMMYFUNCTION("""COMPUTED_VALUE"""),-1.0)</f>
        <v>-1</v>
      </c>
      <c r="K1272" s="6">
        <f>IFERROR(__xludf.DUMMYFUNCTION("""COMPUTED_VALUE"""),-25238.0)</f>
        <v>-25238</v>
      </c>
      <c r="L1272" s="2">
        <f>IFERROR(__xludf.DUMMYFUNCTION("""COMPUTED_VALUE"""),0.0)</f>
        <v>0</v>
      </c>
      <c r="M1272" s="2">
        <f>IFERROR(__xludf.DUMMYFUNCTION("""COMPUTED_VALUE"""),-25238.0)</f>
        <v>-25238</v>
      </c>
      <c r="N1272" s="2">
        <f>IFERROR(__xludf.DUMMYFUNCTION("""COMPUTED_VALUE"""),0.0)</f>
        <v>0</v>
      </c>
      <c r="O1272" s="2">
        <f>IFERROR(__xludf.DUMMYFUNCTION("""COMPUTED_VALUE"""),-25238.0)</f>
        <v>-25238</v>
      </c>
      <c r="P1272" s="2">
        <f>IFERROR(__xludf.DUMMYFUNCTION("""COMPUTED_VALUE"""),-1262.0)</f>
        <v>-1262</v>
      </c>
      <c r="Q1272" s="2" t="str">
        <f>IFERROR(__xludf.DUMMYFUNCTION("""COMPUTED_VALUE"""),"Dine In")</f>
        <v>Dine In</v>
      </c>
      <c r="R1272" s="2" t="str">
        <f>IFERROR(__xludf.DUMMYFUNCTION("""COMPUTED_VALUE"""),"Kedai")</f>
        <v>Kedai</v>
      </c>
      <c r="S1272" s="2" t="str">
        <f>IFERROR(__xludf.DUMMYFUNCTION("""COMPUTED_VALUE"""),"Temu Roti")</f>
        <v>Temu Roti</v>
      </c>
      <c r="T1272" s="2" t="str">
        <f>IFERROR(__xludf.DUMMYFUNCTION("""COMPUTED_VALUE"""),"Owner")</f>
        <v>Owner</v>
      </c>
      <c r="U1272" s="2"/>
      <c r="V1272" s="2"/>
      <c r="W1272" s="2"/>
      <c r="X1272" s="2" t="str">
        <f>IFERROR(__xludf.DUMMYFUNCTION("""COMPUTED_VALUE"""),"Closed")</f>
        <v>Closed</v>
      </c>
    </row>
    <row r="1273">
      <c r="A1273" s="3" t="s">
        <v>1283</v>
      </c>
      <c r="B1273" s="4">
        <f>IFERROR(__xludf.DUMMYFUNCTION("SPLIT(A1273,"","",0,0)"),45540.80486111111)</f>
        <v>45540.80486</v>
      </c>
      <c r="C1273" s="5">
        <f>IFERROR(__xludf.DUMMYFUNCTION("""COMPUTED_VALUE"""),2621013.0)</f>
        <v>2621013</v>
      </c>
      <c r="D1273" s="2" t="str">
        <f>IFERROR(__xludf.DUMMYFUNCTION("""COMPUTED_VALUE"""),"Refund")</f>
        <v>Refund</v>
      </c>
      <c r="E1273" s="2" t="str">
        <f>IFERROR(__xludf.DUMMYFUNCTION("""COMPUTED_VALUE"""),"Kudapan")</f>
        <v>Kudapan</v>
      </c>
      <c r="F1273" s="2">
        <f>IFERROR(__xludf.DUMMYFUNCTION("""COMPUTED_VALUE"""),10010.0)</f>
        <v>10010</v>
      </c>
      <c r="G1273" s="2" t="str">
        <f>IFERROR(__xludf.DUMMYFUNCTION("""COMPUTED_VALUE"""),"Pisang Goreng")</f>
        <v>Pisang Goreng</v>
      </c>
      <c r="H1273" s="2"/>
      <c r="I1273" s="2"/>
      <c r="J1273" s="2">
        <f>IFERROR(__xludf.DUMMYFUNCTION("""COMPUTED_VALUE"""),-1.0)</f>
        <v>-1</v>
      </c>
      <c r="K1273" s="6">
        <f>IFERROR(__xludf.DUMMYFUNCTION("""COMPUTED_VALUE"""),-25238.0)</f>
        <v>-25238</v>
      </c>
      <c r="L1273" s="2">
        <f>IFERROR(__xludf.DUMMYFUNCTION("""COMPUTED_VALUE"""),0.0)</f>
        <v>0</v>
      </c>
      <c r="M1273" s="2">
        <f>IFERROR(__xludf.DUMMYFUNCTION("""COMPUTED_VALUE"""),-25238.0)</f>
        <v>-25238</v>
      </c>
      <c r="N1273" s="2">
        <f>IFERROR(__xludf.DUMMYFUNCTION("""COMPUTED_VALUE"""),0.0)</f>
        <v>0</v>
      </c>
      <c r="O1273" s="2">
        <f>IFERROR(__xludf.DUMMYFUNCTION("""COMPUTED_VALUE"""),-25238.0)</f>
        <v>-25238</v>
      </c>
      <c r="P1273" s="2">
        <f>IFERROR(__xludf.DUMMYFUNCTION("""COMPUTED_VALUE"""),-1262.0)</f>
        <v>-1262</v>
      </c>
      <c r="Q1273" s="2" t="str">
        <f>IFERROR(__xludf.DUMMYFUNCTION("""COMPUTED_VALUE"""),"Dine In")</f>
        <v>Dine In</v>
      </c>
      <c r="R1273" s="2" t="str">
        <f>IFERROR(__xludf.DUMMYFUNCTION("""COMPUTED_VALUE"""),"Kedai")</f>
        <v>Kedai</v>
      </c>
      <c r="S1273" s="2" t="str">
        <f>IFERROR(__xludf.DUMMYFUNCTION("""COMPUTED_VALUE"""),"Temu Roti")</f>
        <v>Temu Roti</v>
      </c>
      <c r="T1273" s="2" t="str">
        <f>IFERROR(__xludf.DUMMYFUNCTION("""COMPUTED_VALUE"""),"Owner")</f>
        <v>Owner</v>
      </c>
      <c r="U1273" s="2"/>
      <c r="V1273" s="2"/>
      <c r="W1273" s="2"/>
      <c r="X1273" s="2" t="str">
        <f>IFERROR(__xludf.DUMMYFUNCTION("""COMPUTED_VALUE"""),"Closed")</f>
        <v>Closed</v>
      </c>
    </row>
    <row r="1274">
      <c r="A1274" s="3" t="s">
        <v>1284</v>
      </c>
      <c r="B1274" s="4">
        <f>IFERROR(__xludf.DUMMYFUNCTION("SPLIT(A1274,"","",0,0)"),45540.80416666667)</f>
        <v>45540.80417</v>
      </c>
      <c r="C1274" s="5">
        <f>IFERROR(__xludf.DUMMYFUNCTION("""COMPUTED_VALUE"""),2620648.0)</f>
        <v>2620648</v>
      </c>
      <c r="D1274" s="2" t="str">
        <f>IFERROR(__xludf.DUMMYFUNCTION("""COMPUTED_VALUE"""),"Sale")</f>
        <v>Sale</v>
      </c>
      <c r="E1274" s="2" t="str">
        <f>IFERROR(__xludf.DUMMYFUNCTION("""COMPUTED_VALUE"""),"Kudapan")</f>
        <v>Kudapan</v>
      </c>
      <c r="F1274" s="2">
        <f>IFERROR(__xludf.DUMMYFUNCTION("""COMPUTED_VALUE"""),10051.0)</f>
        <v>10051</v>
      </c>
      <c r="G1274" s="2" t="str">
        <f>IFERROR(__xludf.DUMMYFUNCTION("""COMPUTED_VALUE"""),"Tahu baso")</f>
        <v>Tahu baso</v>
      </c>
      <c r="H1274" s="2"/>
      <c r="I1274" s="2"/>
      <c r="J1274" s="2">
        <f>IFERROR(__xludf.DUMMYFUNCTION("""COMPUTED_VALUE"""),1.0)</f>
        <v>1</v>
      </c>
      <c r="K1274" s="6">
        <f>IFERROR(__xludf.DUMMYFUNCTION("""COMPUTED_VALUE"""),25238.0)</f>
        <v>25238</v>
      </c>
      <c r="L1274" s="2">
        <f>IFERROR(__xludf.DUMMYFUNCTION("""COMPUTED_VALUE"""),0.0)</f>
        <v>0</v>
      </c>
      <c r="M1274" s="2">
        <f>IFERROR(__xludf.DUMMYFUNCTION("""COMPUTED_VALUE"""),25238.0)</f>
        <v>25238</v>
      </c>
      <c r="N1274" s="2">
        <f>IFERROR(__xludf.DUMMYFUNCTION("""COMPUTED_VALUE"""),0.0)</f>
        <v>0</v>
      </c>
      <c r="O1274" s="2">
        <f>IFERROR(__xludf.DUMMYFUNCTION("""COMPUTED_VALUE"""),25238.0)</f>
        <v>25238</v>
      </c>
      <c r="P1274" s="2">
        <f>IFERROR(__xludf.DUMMYFUNCTION("""COMPUTED_VALUE"""),1262.0)</f>
        <v>1262</v>
      </c>
      <c r="Q1274" s="2" t="str">
        <f>IFERROR(__xludf.DUMMYFUNCTION("""COMPUTED_VALUE"""),"Dine In")</f>
        <v>Dine In</v>
      </c>
      <c r="R1274" s="2" t="str">
        <f>IFERROR(__xludf.DUMMYFUNCTION("""COMPUTED_VALUE"""),"Kedai")</f>
        <v>Kedai</v>
      </c>
      <c r="S1274" s="2" t="str">
        <f>IFERROR(__xludf.DUMMYFUNCTION("""COMPUTED_VALUE"""),"Temu Roti")</f>
        <v>Temu Roti</v>
      </c>
      <c r="T1274" s="2" t="str">
        <f>IFERROR(__xludf.DUMMYFUNCTION("""COMPUTED_VALUE"""),"Owner")</f>
        <v>Owner</v>
      </c>
      <c r="U1274" s="2"/>
      <c r="V1274" s="2"/>
      <c r="W1274" s="2"/>
      <c r="X1274" s="2" t="str">
        <f>IFERROR(__xludf.DUMMYFUNCTION("""COMPUTED_VALUE"""),"Closed")</f>
        <v>Closed</v>
      </c>
    </row>
    <row r="1275">
      <c r="A1275" s="3" t="s">
        <v>1285</v>
      </c>
      <c r="B1275" s="4">
        <f>IFERROR(__xludf.DUMMYFUNCTION("SPLIT(A1275,"","",0,0)"),45540.80416666667)</f>
        <v>45540.80417</v>
      </c>
      <c r="C1275" s="5">
        <f>IFERROR(__xludf.DUMMYFUNCTION("""COMPUTED_VALUE"""),2620648.0)</f>
        <v>2620648</v>
      </c>
      <c r="D1275" s="2" t="str">
        <f>IFERROR(__xludf.DUMMYFUNCTION("""COMPUTED_VALUE"""),"Sale")</f>
        <v>Sale</v>
      </c>
      <c r="E1275" s="2" t="str">
        <f>IFERROR(__xludf.DUMMYFUNCTION("""COMPUTED_VALUE"""),"Kudapan")</f>
        <v>Kudapan</v>
      </c>
      <c r="F1275" s="2">
        <f>IFERROR(__xludf.DUMMYFUNCTION("""COMPUTED_VALUE"""),10010.0)</f>
        <v>10010</v>
      </c>
      <c r="G1275" s="2" t="str">
        <f>IFERROR(__xludf.DUMMYFUNCTION("""COMPUTED_VALUE"""),"Pisang Goreng")</f>
        <v>Pisang Goreng</v>
      </c>
      <c r="H1275" s="2"/>
      <c r="I1275" s="2"/>
      <c r="J1275" s="2">
        <f>IFERROR(__xludf.DUMMYFUNCTION("""COMPUTED_VALUE"""),1.0)</f>
        <v>1</v>
      </c>
      <c r="K1275" s="6">
        <f>IFERROR(__xludf.DUMMYFUNCTION("""COMPUTED_VALUE"""),25238.0)</f>
        <v>25238</v>
      </c>
      <c r="L1275" s="2">
        <f>IFERROR(__xludf.DUMMYFUNCTION("""COMPUTED_VALUE"""),0.0)</f>
        <v>0</v>
      </c>
      <c r="M1275" s="2">
        <f>IFERROR(__xludf.DUMMYFUNCTION("""COMPUTED_VALUE"""),25238.0)</f>
        <v>25238</v>
      </c>
      <c r="N1275" s="2">
        <f>IFERROR(__xludf.DUMMYFUNCTION("""COMPUTED_VALUE"""),0.0)</f>
        <v>0</v>
      </c>
      <c r="O1275" s="2">
        <f>IFERROR(__xludf.DUMMYFUNCTION("""COMPUTED_VALUE"""),25238.0)</f>
        <v>25238</v>
      </c>
      <c r="P1275" s="2">
        <f>IFERROR(__xludf.DUMMYFUNCTION("""COMPUTED_VALUE"""),1262.0)</f>
        <v>1262</v>
      </c>
      <c r="Q1275" s="2" t="str">
        <f>IFERROR(__xludf.DUMMYFUNCTION("""COMPUTED_VALUE"""),"Dine In")</f>
        <v>Dine In</v>
      </c>
      <c r="R1275" s="2" t="str">
        <f>IFERROR(__xludf.DUMMYFUNCTION("""COMPUTED_VALUE"""),"Kedai")</f>
        <v>Kedai</v>
      </c>
      <c r="S1275" s="2" t="str">
        <f>IFERROR(__xludf.DUMMYFUNCTION("""COMPUTED_VALUE"""),"Temu Roti")</f>
        <v>Temu Roti</v>
      </c>
      <c r="T1275" s="2" t="str">
        <f>IFERROR(__xludf.DUMMYFUNCTION("""COMPUTED_VALUE"""),"Owner")</f>
        <v>Owner</v>
      </c>
      <c r="U1275" s="2"/>
      <c r="V1275" s="2"/>
      <c r="W1275" s="2"/>
      <c r="X1275" s="2" t="str">
        <f>IFERROR(__xludf.DUMMYFUNCTION("""COMPUTED_VALUE"""),"Closed")</f>
        <v>Closed</v>
      </c>
    </row>
    <row r="1276">
      <c r="A1276" s="3" t="s">
        <v>1286</v>
      </c>
      <c r="B1276" s="4">
        <f>IFERROR(__xludf.DUMMYFUNCTION("SPLIT(A1276,"","",0,0)"),45540.79236111111)</f>
        <v>45540.79236</v>
      </c>
      <c r="C1276" s="5">
        <f>IFERROR(__xludf.DUMMYFUNCTION("""COMPUTED_VALUE"""),2620283.0)</f>
        <v>2620283</v>
      </c>
      <c r="D1276" s="2" t="str">
        <f>IFERROR(__xludf.DUMMYFUNCTION("""COMPUTED_VALUE"""),"Sale")</f>
        <v>Sale</v>
      </c>
      <c r="E1276" s="2" t="str">
        <f>IFERROR(__xludf.DUMMYFUNCTION("""COMPUTED_VALUE"""),"Roti")</f>
        <v>Roti</v>
      </c>
      <c r="F1276" s="2">
        <f>IFERROR(__xludf.DUMMYFUNCTION("""COMPUTED_VALUE"""),10007.0)</f>
        <v>10007</v>
      </c>
      <c r="G1276" s="2" t="str">
        <f>IFERROR(__xludf.DUMMYFUNCTION("""COMPUTED_VALUE"""),"Roti cranberry 2 pcs")</f>
        <v>Roti cranberry 2 pcs</v>
      </c>
      <c r="H1276" s="2"/>
      <c r="I1276" s="2"/>
      <c r="J1276" s="2">
        <f>IFERROR(__xludf.DUMMYFUNCTION("""COMPUTED_VALUE"""),1.0)</f>
        <v>1</v>
      </c>
      <c r="K1276" s="6">
        <f>IFERROR(__xludf.DUMMYFUNCTION("""COMPUTED_VALUE"""),33810.0)</f>
        <v>33810</v>
      </c>
      <c r="L1276" s="2">
        <f>IFERROR(__xludf.DUMMYFUNCTION("""COMPUTED_VALUE"""),0.0)</f>
        <v>0</v>
      </c>
      <c r="M1276" s="2">
        <f>IFERROR(__xludf.DUMMYFUNCTION("""COMPUTED_VALUE"""),33810.0)</f>
        <v>33810</v>
      </c>
      <c r="N1276" s="2">
        <f>IFERROR(__xludf.DUMMYFUNCTION("""COMPUTED_VALUE"""),0.0)</f>
        <v>0</v>
      </c>
      <c r="O1276" s="2">
        <f>IFERROR(__xludf.DUMMYFUNCTION("""COMPUTED_VALUE"""),33810.0)</f>
        <v>33810</v>
      </c>
      <c r="P1276" s="2">
        <f>IFERROR(__xludf.DUMMYFUNCTION("""COMPUTED_VALUE"""),1691.0)</f>
        <v>1691</v>
      </c>
      <c r="Q1276" s="2" t="str">
        <f>IFERROR(__xludf.DUMMYFUNCTION("""COMPUTED_VALUE"""),"Dine In")</f>
        <v>Dine In</v>
      </c>
      <c r="R1276" s="2" t="str">
        <f>IFERROR(__xludf.DUMMYFUNCTION("""COMPUTED_VALUE"""),"Kedai")</f>
        <v>Kedai</v>
      </c>
      <c r="S1276" s="2" t="str">
        <f>IFERROR(__xludf.DUMMYFUNCTION("""COMPUTED_VALUE"""),"Temu Roti")</f>
        <v>Temu Roti</v>
      </c>
      <c r="T1276" s="2" t="str">
        <f>IFERROR(__xludf.DUMMYFUNCTION("""COMPUTED_VALUE"""),"Owner")</f>
        <v>Owner</v>
      </c>
      <c r="U1276" s="2"/>
      <c r="V1276" s="2"/>
      <c r="W1276" s="2"/>
      <c r="X1276" s="2" t="str">
        <f>IFERROR(__xludf.DUMMYFUNCTION("""COMPUTED_VALUE"""),"Closed")</f>
        <v>Closed</v>
      </c>
    </row>
    <row r="1277">
      <c r="A1277" s="3" t="s">
        <v>1287</v>
      </c>
      <c r="B1277" s="4">
        <f>IFERROR(__xludf.DUMMYFUNCTION("SPLIT(A1277,"","",0,0)"),45540.79236111111)</f>
        <v>45540.79236</v>
      </c>
      <c r="C1277" s="5">
        <f>IFERROR(__xludf.DUMMYFUNCTION("""COMPUTED_VALUE"""),2620283.0)</f>
        <v>2620283</v>
      </c>
      <c r="D1277" s="2" t="str">
        <f>IFERROR(__xludf.DUMMYFUNCTION("""COMPUTED_VALUE"""),"Sale")</f>
        <v>Sale</v>
      </c>
      <c r="E1277" s="2" t="str">
        <f>IFERROR(__xludf.DUMMYFUNCTION("""COMPUTED_VALUE"""),"Minuman")</f>
        <v>Minuman</v>
      </c>
      <c r="F1277" s="2">
        <f>IFERROR(__xludf.DUMMYFUNCTION("""COMPUTED_VALUE"""),10128.0)</f>
        <v>10128</v>
      </c>
      <c r="G1277" s="2" t="str">
        <f>IFERROR(__xludf.DUMMYFUNCTION("""COMPUTED_VALUE"""),"Es Kopi Susu")</f>
        <v>Es Kopi Susu</v>
      </c>
      <c r="H1277" s="2"/>
      <c r="I1277" s="2"/>
      <c r="J1277" s="2">
        <f>IFERROR(__xludf.DUMMYFUNCTION("""COMPUTED_VALUE"""),1.0)</f>
        <v>1</v>
      </c>
      <c r="K1277" s="6">
        <f>IFERROR(__xludf.DUMMYFUNCTION("""COMPUTED_VALUE"""),23333.0)</f>
        <v>23333</v>
      </c>
      <c r="L1277" s="2">
        <f>IFERROR(__xludf.DUMMYFUNCTION("""COMPUTED_VALUE"""),0.0)</f>
        <v>0</v>
      </c>
      <c r="M1277" s="2">
        <f>IFERROR(__xludf.DUMMYFUNCTION("""COMPUTED_VALUE"""),23333.0)</f>
        <v>23333</v>
      </c>
      <c r="N1277" s="2">
        <f>IFERROR(__xludf.DUMMYFUNCTION("""COMPUTED_VALUE"""),0.0)</f>
        <v>0</v>
      </c>
      <c r="O1277" s="2">
        <f>IFERROR(__xludf.DUMMYFUNCTION("""COMPUTED_VALUE"""),23333.0)</f>
        <v>23333</v>
      </c>
      <c r="P1277" s="2">
        <f>IFERROR(__xludf.DUMMYFUNCTION("""COMPUTED_VALUE"""),1166.0)</f>
        <v>1166</v>
      </c>
      <c r="Q1277" s="2" t="str">
        <f>IFERROR(__xludf.DUMMYFUNCTION("""COMPUTED_VALUE"""),"Dine In")</f>
        <v>Dine In</v>
      </c>
      <c r="R1277" s="2" t="str">
        <f>IFERROR(__xludf.DUMMYFUNCTION("""COMPUTED_VALUE"""),"Kedai")</f>
        <v>Kedai</v>
      </c>
      <c r="S1277" s="2" t="str">
        <f>IFERROR(__xludf.DUMMYFUNCTION("""COMPUTED_VALUE"""),"Temu Roti")</f>
        <v>Temu Roti</v>
      </c>
      <c r="T1277" s="2" t="str">
        <f>IFERROR(__xludf.DUMMYFUNCTION("""COMPUTED_VALUE"""),"Owner")</f>
        <v>Owner</v>
      </c>
      <c r="U1277" s="2"/>
      <c r="V1277" s="2"/>
      <c r="W1277" s="2"/>
      <c r="X1277" s="2" t="str">
        <f>IFERROR(__xludf.DUMMYFUNCTION("""COMPUTED_VALUE"""),"Closed")</f>
        <v>Closed</v>
      </c>
    </row>
    <row r="1278">
      <c r="A1278" s="3" t="s">
        <v>1288</v>
      </c>
      <c r="B1278" s="4">
        <f>IFERROR(__xludf.DUMMYFUNCTION("SPLIT(A1278,"","",0,0)"),45540.79236111111)</f>
        <v>45540.79236</v>
      </c>
      <c r="C1278" s="5">
        <f>IFERROR(__xludf.DUMMYFUNCTION("""COMPUTED_VALUE"""),2620283.0)</f>
        <v>2620283</v>
      </c>
      <c r="D1278" s="2" t="str">
        <f>IFERROR(__xludf.DUMMYFUNCTION("""COMPUTED_VALUE"""),"Sale")</f>
        <v>Sale</v>
      </c>
      <c r="E1278" s="2" t="str">
        <f>IFERROR(__xludf.DUMMYFUNCTION("""COMPUTED_VALUE"""),"Kudapan")</f>
        <v>Kudapan</v>
      </c>
      <c r="F1278" s="2">
        <f>IFERROR(__xludf.DUMMYFUNCTION("""COMPUTED_VALUE"""),10051.0)</f>
        <v>10051</v>
      </c>
      <c r="G1278" s="2" t="str">
        <f>IFERROR(__xludf.DUMMYFUNCTION("""COMPUTED_VALUE"""),"Tahu baso")</f>
        <v>Tahu baso</v>
      </c>
      <c r="H1278" s="2"/>
      <c r="I1278" s="2"/>
      <c r="J1278" s="2">
        <f>IFERROR(__xludf.DUMMYFUNCTION("""COMPUTED_VALUE"""),1.0)</f>
        <v>1</v>
      </c>
      <c r="K1278" s="6">
        <f>IFERROR(__xludf.DUMMYFUNCTION("""COMPUTED_VALUE"""),25238.0)</f>
        <v>25238</v>
      </c>
      <c r="L1278" s="2">
        <f>IFERROR(__xludf.DUMMYFUNCTION("""COMPUTED_VALUE"""),0.0)</f>
        <v>0</v>
      </c>
      <c r="M1278" s="2">
        <f>IFERROR(__xludf.DUMMYFUNCTION("""COMPUTED_VALUE"""),25238.0)</f>
        <v>25238</v>
      </c>
      <c r="N1278" s="2">
        <f>IFERROR(__xludf.DUMMYFUNCTION("""COMPUTED_VALUE"""),0.0)</f>
        <v>0</v>
      </c>
      <c r="O1278" s="2">
        <f>IFERROR(__xludf.DUMMYFUNCTION("""COMPUTED_VALUE"""),25238.0)</f>
        <v>25238</v>
      </c>
      <c r="P1278" s="2">
        <f>IFERROR(__xludf.DUMMYFUNCTION("""COMPUTED_VALUE"""),1262.0)</f>
        <v>1262</v>
      </c>
      <c r="Q1278" s="2" t="str">
        <f>IFERROR(__xludf.DUMMYFUNCTION("""COMPUTED_VALUE"""),"Dine In")</f>
        <v>Dine In</v>
      </c>
      <c r="R1278" s="2" t="str">
        <f>IFERROR(__xludf.DUMMYFUNCTION("""COMPUTED_VALUE"""),"Kedai")</f>
        <v>Kedai</v>
      </c>
      <c r="S1278" s="2" t="str">
        <f>IFERROR(__xludf.DUMMYFUNCTION("""COMPUTED_VALUE"""),"Temu Roti")</f>
        <v>Temu Roti</v>
      </c>
      <c r="T1278" s="2" t="str">
        <f>IFERROR(__xludf.DUMMYFUNCTION("""COMPUTED_VALUE"""),"Owner")</f>
        <v>Owner</v>
      </c>
      <c r="U1278" s="2"/>
      <c r="V1278" s="2"/>
      <c r="W1278" s="2"/>
      <c r="X1278" s="2" t="str">
        <f>IFERROR(__xludf.DUMMYFUNCTION("""COMPUTED_VALUE"""),"Closed")</f>
        <v>Closed</v>
      </c>
    </row>
    <row r="1279">
      <c r="A1279" s="3" t="s">
        <v>1289</v>
      </c>
      <c r="B1279" s="4">
        <f>IFERROR(__xludf.DUMMYFUNCTION("SPLIT(A1279,"","",0,0)"),45540.79236111111)</f>
        <v>45540.79236</v>
      </c>
      <c r="C1279" s="5">
        <f>IFERROR(__xludf.DUMMYFUNCTION("""COMPUTED_VALUE"""),2620283.0)</f>
        <v>2620283</v>
      </c>
      <c r="D1279" s="2" t="str">
        <f>IFERROR(__xludf.DUMMYFUNCTION("""COMPUTED_VALUE"""),"Sale")</f>
        <v>Sale</v>
      </c>
      <c r="E1279" s="2" t="str">
        <f>IFERROR(__xludf.DUMMYFUNCTION("""COMPUTED_VALUE"""),"Minuman")</f>
        <v>Minuman</v>
      </c>
      <c r="F1279" s="2">
        <f>IFERROR(__xludf.DUMMYFUNCTION("""COMPUTED_VALUE"""),10026.0)</f>
        <v>10026</v>
      </c>
      <c r="G1279" s="2" t="str">
        <f>IFERROR(__xludf.DUMMYFUNCTION("""COMPUTED_VALUE"""),"Es Kopi Lemon")</f>
        <v>Es Kopi Lemon</v>
      </c>
      <c r="H1279" s="2"/>
      <c r="I1279" s="2"/>
      <c r="J1279" s="2">
        <f>IFERROR(__xludf.DUMMYFUNCTION("""COMPUTED_VALUE"""),1.0)</f>
        <v>1</v>
      </c>
      <c r="K1279" s="6">
        <f>IFERROR(__xludf.DUMMYFUNCTION("""COMPUTED_VALUE"""),21905.0)</f>
        <v>21905</v>
      </c>
      <c r="L1279" s="2">
        <f>IFERROR(__xludf.DUMMYFUNCTION("""COMPUTED_VALUE"""),0.0)</f>
        <v>0</v>
      </c>
      <c r="M1279" s="2">
        <f>IFERROR(__xludf.DUMMYFUNCTION("""COMPUTED_VALUE"""),21905.0)</f>
        <v>21905</v>
      </c>
      <c r="N1279" s="2">
        <f>IFERROR(__xludf.DUMMYFUNCTION("""COMPUTED_VALUE"""),0.0)</f>
        <v>0</v>
      </c>
      <c r="O1279" s="2">
        <f>IFERROR(__xludf.DUMMYFUNCTION("""COMPUTED_VALUE"""),21905.0)</f>
        <v>21905</v>
      </c>
      <c r="P1279" s="2">
        <f>IFERROR(__xludf.DUMMYFUNCTION("""COMPUTED_VALUE"""),1095.0)</f>
        <v>1095</v>
      </c>
      <c r="Q1279" s="2" t="str">
        <f>IFERROR(__xludf.DUMMYFUNCTION("""COMPUTED_VALUE"""),"Dine In")</f>
        <v>Dine In</v>
      </c>
      <c r="R1279" s="2" t="str">
        <f>IFERROR(__xludf.DUMMYFUNCTION("""COMPUTED_VALUE"""),"Kedai")</f>
        <v>Kedai</v>
      </c>
      <c r="S1279" s="2" t="str">
        <f>IFERROR(__xludf.DUMMYFUNCTION("""COMPUTED_VALUE"""),"Temu Roti")</f>
        <v>Temu Roti</v>
      </c>
      <c r="T1279" s="2" t="str">
        <f>IFERROR(__xludf.DUMMYFUNCTION("""COMPUTED_VALUE"""),"Owner")</f>
        <v>Owner</v>
      </c>
      <c r="U1279" s="2"/>
      <c r="V1279" s="2"/>
      <c r="W1279" s="2"/>
      <c r="X1279" s="2" t="str">
        <f>IFERROR(__xludf.DUMMYFUNCTION("""COMPUTED_VALUE"""),"Closed")</f>
        <v>Closed</v>
      </c>
    </row>
    <row r="1280">
      <c r="A1280" s="3" t="s">
        <v>1290</v>
      </c>
      <c r="B1280" s="4">
        <f>IFERROR(__xludf.DUMMYFUNCTION("SPLIT(A1280,"","",0,0)"),45540.78333333333)</f>
        <v>45540.78333</v>
      </c>
      <c r="C1280" s="5">
        <f>IFERROR(__xludf.DUMMYFUNCTION("""COMPUTED_VALUE"""),2619918.0)</f>
        <v>2619918</v>
      </c>
      <c r="D1280" s="2" t="str">
        <f>IFERROR(__xludf.DUMMYFUNCTION("""COMPUTED_VALUE"""),"Sale")</f>
        <v>Sale</v>
      </c>
      <c r="E1280" s="2" t="str">
        <f>IFERROR(__xludf.DUMMYFUNCTION("""COMPUTED_VALUE"""),"Minuman")</f>
        <v>Minuman</v>
      </c>
      <c r="F1280" s="2">
        <f>IFERROR(__xludf.DUMMYFUNCTION("""COMPUTED_VALUE"""),10026.0)</f>
        <v>10026</v>
      </c>
      <c r="G1280" s="2" t="str">
        <f>IFERROR(__xludf.DUMMYFUNCTION("""COMPUTED_VALUE"""),"Es Kopi Lemon")</f>
        <v>Es Kopi Lemon</v>
      </c>
      <c r="H1280" s="2"/>
      <c r="I1280" s="2"/>
      <c r="J1280" s="2">
        <f>IFERROR(__xludf.DUMMYFUNCTION("""COMPUTED_VALUE"""),1.0)</f>
        <v>1</v>
      </c>
      <c r="K1280" s="6">
        <f>IFERROR(__xludf.DUMMYFUNCTION("""COMPUTED_VALUE"""),21905.0)</f>
        <v>21905</v>
      </c>
      <c r="L1280" s="2">
        <f>IFERROR(__xludf.DUMMYFUNCTION("""COMPUTED_VALUE"""),0.0)</f>
        <v>0</v>
      </c>
      <c r="M1280" s="2">
        <f>IFERROR(__xludf.DUMMYFUNCTION("""COMPUTED_VALUE"""),21905.0)</f>
        <v>21905</v>
      </c>
      <c r="N1280" s="2">
        <f>IFERROR(__xludf.DUMMYFUNCTION("""COMPUTED_VALUE"""),0.0)</f>
        <v>0</v>
      </c>
      <c r="O1280" s="2">
        <f>IFERROR(__xludf.DUMMYFUNCTION("""COMPUTED_VALUE"""),21905.0)</f>
        <v>21905</v>
      </c>
      <c r="P1280" s="2">
        <f>IFERROR(__xludf.DUMMYFUNCTION("""COMPUTED_VALUE"""),1095.0)</f>
        <v>1095</v>
      </c>
      <c r="Q1280" s="2" t="str">
        <f>IFERROR(__xludf.DUMMYFUNCTION("""COMPUTED_VALUE"""),"Dine In")</f>
        <v>Dine In</v>
      </c>
      <c r="R1280" s="2" t="str">
        <f>IFERROR(__xludf.DUMMYFUNCTION("""COMPUTED_VALUE"""),"Kedai")</f>
        <v>Kedai</v>
      </c>
      <c r="S1280" s="2" t="str">
        <f>IFERROR(__xludf.DUMMYFUNCTION("""COMPUTED_VALUE"""),"Temu Roti")</f>
        <v>Temu Roti</v>
      </c>
      <c r="T1280" s="2" t="str">
        <f>IFERROR(__xludf.DUMMYFUNCTION("""COMPUTED_VALUE"""),"Owner")</f>
        <v>Owner</v>
      </c>
      <c r="U1280" s="2"/>
      <c r="V1280" s="2"/>
      <c r="W1280" s="2"/>
      <c r="X1280" s="2" t="str">
        <f>IFERROR(__xludf.DUMMYFUNCTION("""COMPUTED_VALUE"""),"Closed")</f>
        <v>Closed</v>
      </c>
    </row>
    <row r="1281">
      <c r="A1281" s="3" t="s">
        <v>1291</v>
      </c>
      <c r="B1281" s="4">
        <f>IFERROR(__xludf.DUMMYFUNCTION("SPLIT(A1281,"","",0,0)"),45540.78333333333)</f>
        <v>45540.78333</v>
      </c>
      <c r="C1281" s="5">
        <f>IFERROR(__xludf.DUMMYFUNCTION("""COMPUTED_VALUE"""),2619918.0)</f>
        <v>2619918</v>
      </c>
      <c r="D1281" s="2" t="str">
        <f>IFERROR(__xludf.DUMMYFUNCTION("""COMPUTED_VALUE"""),"Sale")</f>
        <v>Sale</v>
      </c>
      <c r="E1281" s="2" t="str">
        <f>IFERROR(__xludf.DUMMYFUNCTION("""COMPUTED_VALUE"""),"Kudapan")</f>
        <v>Kudapan</v>
      </c>
      <c r="F1281" s="2">
        <f>IFERROR(__xludf.DUMMYFUNCTION("""COMPUTED_VALUE"""),10051.0)</f>
        <v>10051</v>
      </c>
      <c r="G1281" s="2" t="str">
        <f>IFERROR(__xludf.DUMMYFUNCTION("""COMPUTED_VALUE"""),"Tahu baso")</f>
        <v>Tahu baso</v>
      </c>
      <c r="H1281" s="2"/>
      <c r="I1281" s="2"/>
      <c r="J1281" s="2">
        <f>IFERROR(__xludf.DUMMYFUNCTION("""COMPUTED_VALUE"""),1.0)</f>
        <v>1</v>
      </c>
      <c r="K1281" s="6">
        <f>IFERROR(__xludf.DUMMYFUNCTION("""COMPUTED_VALUE"""),25238.0)</f>
        <v>25238</v>
      </c>
      <c r="L1281" s="2">
        <f>IFERROR(__xludf.DUMMYFUNCTION("""COMPUTED_VALUE"""),0.0)</f>
        <v>0</v>
      </c>
      <c r="M1281" s="2">
        <f>IFERROR(__xludf.DUMMYFUNCTION("""COMPUTED_VALUE"""),25238.0)</f>
        <v>25238</v>
      </c>
      <c r="N1281" s="2">
        <f>IFERROR(__xludf.DUMMYFUNCTION("""COMPUTED_VALUE"""),0.0)</f>
        <v>0</v>
      </c>
      <c r="O1281" s="2">
        <f>IFERROR(__xludf.DUMMYFUNCTION("""COMPUTED_VALUE"""),25238.0)</f>
        <v>25238</v>
      </c>
      <c r="P1281" s="2">
        <f>IFERROR(__xludf.DUMMYFUNCTION("""COMPUTED_VALUE"""),1262.0)</f>
        <v>1262</v>
      </c>
      <c r="Q1281" s="2" t="str">
        <f>IFERROR(__xludf.DUMMYFUNCTION("""COMPUTED_VALUE"""),"Dine In")</f>
        <v>Dine In</v>
      </c>
      <c r="R1281" s="2" t="str">
        <f>IFERROR(__xludf.DUMMYFUNCTION("""COMPUTED_VALUE"""),"Kedai")</f>
        <v>Kedai</v>
      </c>
      <c r="S1281" s="2" t="str">
        <f>IFERROR(__xludf.DUMMYFUNCTION("""COMPUTED_VALUE"""),"Temu Roti")</f>
        <v>Temu Roti</v>
      </c>
      <c r="T1281" s="2" t="str">
        <f>IFERROR(__xludf.DUMMYFUNCTION("""COMPUTED_VALUE"""),"Owner")</f>
        <v>Owner</v>
      </c>
      <c r="U1281" s="2"/>
      <c r="V1281" s="2"/>
      <c r="W1281" s="2"/>
      <c r="X1281" s="2" t="str">
        <f>IFERROR(__xludf.DUMMYFUNCTION("""COMPUTED_VALUE"""),"Closed")</f>
        <v>Closed</v>
      </c>
    </row>
    <row r="1282">
      <c r="A1282" s="3" t="s">
        <v>1292</v>
      </c>
      <c r="B1282" s="4">
        <f>IFERROR(__xludf.DUMMYFUNCTION("SPLIT(A1282,"","",0,0)"),45540.78333333333)</f>
        <v>45540.78333</v>
      </c>
      <c r="C1282" s="5">
        <f>IFERROR(__xludf.DUMMYFUNCTION("""COMPUTED_VALUE"""),2619918.0)</f>
        <v>2619918</v>
      </c>
      <c r="D1282" s="2" t="str">
        <f>IFERROR(__xludf.DUMMYFUNCTION("""COMPUTED_VALUE"""),"Sale")</f>
        <v>Sale</v>
      </c>
      <c r="E1282" s="2" t="str">
        <f>IFERROR(__xludf.DUMMYFUNCTION("""COMPUTED_VALUE"""),"Minuman")</f>
        <v>Minuman</v>
      </c>
      <c r="F1282" s="2">
        <f>IFERROR(__xludf.DUMMYFUNCTION("""COMPUTED_VALUE"""),10128.0)</f>
        <v>10128</v>
      </c>
      <c r="G1282" s="2" t="str">
        <f>IFERROR(__xludf.DUMMYFUNCTION("""COMPUTED_VALUE"""),"Es Kopi Susu")</f>
        <v>Es Kopi Susu</v>
      </c>
      <c r="H1282" s="2"/>
      <c r="I1282" s="2"/>
      <c r="J1282" s="2">
        <f>IFERROR(__xludf.DUMMYFUNCTION("""COMPUTED_VALUE"""),1.0)</f>
        <v>1</v>
      </c>
      <c r="K1282" s="6">
        <f>IFERROR(__xludf.DUMMYFUNCTION("""COMPUTED_VALUE"""),23333.0)</f>
        <v>23333</v>
      </c>
      <c r="L1282" s="2">
        <f>IFERROR(__xludf.DUMMYFUNCTION("""COMPUTED_VALUE"""),0.0)</f>
        <v>0</v>
      </c>
      <c r="M1282" s="2">
        <f>IFERROR(__xludf.DUMMYFUNCTION("""COMPUTED_VALUE"""),23333.0)</f>
        <v>23333</v>
      </c>
      <c r="N1282" s="2">
        <f>IFERROR(__xludf.DUMMYFUNCTION("""COMPUTED_VALUE"""),0.0)</f>
        <v>0</v>
      </c>
      <c r="O1282" s="2">
        <f>IFERROR(__xludf.DUMMYFUNCTION("""COMPUTED_VALUE"""),23333.0)</f>
        <v>23333</v>
      </c>
      <c r="P1282" s="2">
        <f>IFERROR(__xludf.DUMMYFUNCTION("""COMPUTED_VALUE"""),1167.0)</f>
        <v>1167</v>
      </c>
      <c r="Q1282" s="2" t="str">
        <f>IFERROR(__xludf.DUMMYFUNCTION("""COMPUTED_VALUE"""),"Dine In")</f>
        <v>Dine In</v>
      </c>
      <c r="R1282" s="2" t="str">
        <f>IFERROR(__xludf.DUMMYFUNCTION("""COMPUTED_VALUE"""),"Kedai")</f>
        <v>Kedai</v>
      </c>
      <c r="S1282" s="2" t="str">
        <f>IFERROR(__xludf.DUMMYFUNCTION("""COMPUTED_VALUE"""),"Temu Roti")</f>
        <v>Temu Roti</v>
      </c>
      <c r="T1282" s="2" t="str">
        <f>IFERROR(__xludf.DUMMYFUNCTION("""COMPUTED_VALUE"""),"Owner")</f>
        <v>Owner</v>
      </c>
      <c r="U1282" s="2"/>
      <c r="V1282" s="2"/>
      <c r="W1282" s="2"/>
      <c r="X1282" s="2" t="str">
        <f>IFERROR(__xludf.DUMMYFUNCTION("""COMPUTED_VALUE"""),"Closed")</f>
        <v>Closed</v>
      </c>
    </row>
    <row r="1283">
      <c r="A1283" s="3" t="s">
        <v>1293</v>
      </c>
      <c r="B1283" s="4">
        <f>IFERROR(__xludf.DUMMYFUNCTION("SPLIT(A1283,"","",0,0)"),45540.77847222222)</f>
        <v>45540.77847</v>
      </c>
      <c r="C1283" s="5">
        <f>IFERROR(__xludf.DUMMYFUNCTION("""COMPUTED_VALUE"""),2619552.0)</f>
        <v>2619552</v>
      </c>
      <c r="D1283" s="2" t="str">
        <f>IFERROR(__xludf.DUMMYFUNCTION("""COMPUTED_VALUE"""),"Refund")</f>
        <v>Refund</v>
      </c>
      <c r="E1283" s="2" t="str">
        <f>IFERROR(__xludf.DUMMYFUNCTION("""COMPUTED_VALUE"""),"Roti")</f>
        <v>Roti</v>
      </c>
      <c r="F1283" s="2">
        <f>IFERROR(__xludf.DUMMYFUNCTION("""COMPUTED_VALUE"""),10002.0)</f>
        <v>10002</v>
      </c>
      <c r="G1283" s="2" t="str">
        <f>IFERROR(__xludf.DUMMYFUNCTION("""COMPUTED_VALUE"""),"Roti Cranberry")</f>
        <v>Roti Cranberry</v>
      </c>
      <c r="H1283" s="2"/>
      <c r="I1283" s="2"/>
      <c r="J1283" s="2">
        <f>IFERROR(__xludf.DUMMYFUNCTION("""COMPUTED_VALUE"""),-1.0)</f>
        <v>-1</v>
      </c>
      <c r="K1283" s="6">
        <f>IFERROR(__xludf.DUMMYFUNCTION("""COMPUTED_VALUE"""),-18571.0)</f>
        <v>-18571</v>
      </c>
      <c r="L1283" s="2">
        <f>IFERROR(__xludf.DUMMYFUNCTION("""COMPUTED_VALUE"""),0.0)</f>
        <v>0</v>
      </c>
      <c r="M1283" s="2">
        <f>IFERROR(__xludf.DUMMYFUNCTION("""COMPUTED_VALUE"""),-18571.0)</f>
        <v>-18571</v>
      </c>
      <c r="N1283" s="2">
        <f>IFERROR(__xludf.DUMMYFUNCTION("""COMPUTED_VALUE"""),0.0)</f>
        <v>0</v>
      </c>
      <c r="O1283" s="2">
        <f>IFERROR(__xludf.DUMMYFUNCTION("""COMPUTED_VALUE"""),-18571.0)</f>
        <v>-18571</v>
      </c>
      <c r="P1283" s="2">
        <f>IFERROR(__xludf.DUMMYFUNCTION("""COMPUTED_VALUE"""),-929.0)</f>
        <v>-929</v>
      </c>
      <c r="Q1283" s="2" t="str">
        <f>IFERROR(__xludf.DUMMYFUNCTION("""COMPUTED_VALUE"""),"Dine In")</f>
        <v>Dine In</v>
      </c>
      <c r="R1283" s="2" t="str">
        <f>IFERROR(__xludf.DUMMYFUNCTION("""COMPUTED_VALUE"""),"Kedai")</f>
        <v>Kedai</v>
      </c>
      <c r="S1283" s="2" t="str">
        <f>IFERROR(__xludf.DUMMYFUNCTION("""COMPUTED_VALUE"""),"Temu Roti")</f>
        <v>Temu Roti</v>
      </c>
      <c r="T1283" s="2" t="str">
        <f>IFERROR(__xludf.DUMMYFUNCTION("""COMPUTED_VALUE"""),"Owner")</f>
        <v>Owner</v>
      </c>
      <c r="U1283" s="2"/>
      <c r="V1283" s="2"/>
      <c r="W1283" s="2"/>
      <c r="X1283" s="2" t="str">
        <f>IFERROR(__xludf.DUMMYFUNCTION("""COMPUTED_VALUE"""),"Closed")</f>
        <v>Closed</v>
      </c>
    </row>
    <row r="1284">
      <c r="A1284" s="3" t="s">
        <v>1294</v>
      </c>
      <c r="B1284" s="4">
        <f>IFERROR(__xludf.DUMMYFUNCTION("SPLIT(A1284,"","",0,0)"),45540.77847222222)</f>
        <v>45540.77847</v>
      </c>
      <c r="C1284" s="5">
        <f>IFERROR(__xludf.DUMMYFUNCTION("""COMPUTED_VALUE"""),2619552.0)</f>
        <v>2619552</v>
      </c>
      <c r="D1284" s="2" t="str">
        <f>IFERROR(__xludf.DUMMYFUNCTION("""COMPUTED_VALUE"""),"Refund")</f>
        <v>Refund</v>
      </c>
      <c r="E1284" s="2" t="str">
        <f>IFERROR(__xludf.DUMMYFUNCTION("""COMPUTED_VALUE"""),"Roti")</f>
        <v>Roti</v>
      </c>
      <c r="F1284" s="2">
        <f>IFERROR(__xludf.DUMMYFUNCTION("""COMPUTED_VALUE"""),10042.0)</f>
        <v>10042</v>
      </c>
      <c r="G1284" s="2" t="str">
        <f>IFERROR(__xludf.DUMMYFUNCTION("""COMPUTED_VALUE"""),"Roti coklat")</f>
        <v>Roti coklat</v>
      </c>
      <c r="H1284" s="2"/>
      <c r="I1284" s="2"/>
      <c r="J1284" s="2">
        <f>IFERROR(__xludf.DUMMYFUNCTION("""COMPUTED_VALUE"""),-1.0)</f>
        <v>-1</v>
      </c>
      <c r="K1284" s="6">
        <f>IFERROR(__xludf.DUMMYFUNCTION("""COMPUTED_VALUE"""),-9524.0)</f>
        <v>-9524</v>
      </c>
      <c r="L1284" s="2">
        <f>IFERROR(__xludf.DUMMYFUNCTION("""COMPUTED_VALUE"""),0.0)</f>
        <v>0</v>
      </c>
      <c r="M1284" s="2">
        <f>IFERROR(__xludf.DUMMYFUNCTION("""COMPUTED_VALUE"""),-9524.0)</f>
        <v>-9524</v>
      </c>
      <c r="N1284" s="2">
        <f>IFERROR(__xludf.DUMMYFUNCTION("""COMPUTED_VALUE"""),0.0)</f>
        <v>0</v>
      </c>
      <c r="O1284" s="2">
        <f>IFERROR(__xludf.DUMMYFUNCTION("""COMPUTED_VALUE"""),-9524.0)</f>
        <v>-9524</v>
      </c>
      <c r="P1284" s="2">
        <f>IFERROR(__xludf.DUMMYFUNCTION("""COMPUTED_VALUE"""),-476.0)</f>
        <v>-476</v>
      </c>
      <c r="Q1284" s="2" t="str">
        <f>IFERROR(__xludf.DUMMYFUNCTION("""COMPUTED_VALUE"""),"Dine In")</f>
        <v>Dine In</v>
      </c>
      <c r="R1284" s="2" t="str">
        <f>IFERROR(__xludf.DUMMYFUNCTION("""COMPUTED_VALUE"""),"Kedai")</f>
        <v>Kedai</v>
      </c>
      <c r="S1284" s="2" t="str">
        <f>IFERROR(__xludf.DUMMYFUNCTION("""COMPUTED_VALUE"""),"Temu Roti")</f>
        <v>Temu Roti</v>
      </c>
      <c r="T1284" s="2" t="str">
        <f>IFERROR(__xludf.DUMMYFUNCTION("""COMPUTED_VALUE"""),"Owner")</f>
        <v>Owner</v>
      </c>
      <c r="U1284" s="2"/>
      <c r="V1284" s="2"/>
      <c r="W1284" s="2"/>
      <c r="X1284" s="2" t="str">
        <f>IFERROR(__xludf.DUMMYFUNCTION("""COMPUTED_VALUE"""),"Closed")</f>
        <v>Closed</v>
      </c>
    </row>
    <row r="1285">
      <c r="A1285" s="3" t="s">
        <v>1295</v>
      </c>
      <c r="B1285" s="4">
        <f>IFERROR(__xludf.DUMMYFUNCTION("SPLIT(A1285,"","",0,0)"),45540.77847222222)</f>
        <v>45540.77847</v>
      </c>
      <c r="C1285" s="5">
        <f>IFERROR(__xludf.DUMMYFUNCTION("""COMPUTED_VALUE"""),2619187.0)</f>
        <v>2619187</v>
      </c>
      <c r="D1285" s="2" t="str">
        <f>IFERROR(__xludf.DUMMYFUNCTION("""COMPUTED_VALUE"""),"Sale")</f>
        <v>Sale</v>
      </c>
      <c r="E1285" s="2" t="str">
        <f>IFERROR(__xludf.DUMMYFUNCTION("""COMPUTED_VALUE"""),"Roti")</f>
        <v>Roti</v>
      </c>
      <c r="F1285" s="2">
        <f>IFERROR(__xludf.DUMMYFUNCTION("""COMPUTED_VALUE"""),10002.0)</f>
        <v>10002</v>
      </c>
      <c r="G1285" s="2" t="str">
        <f>IFERROR(__xludf.DUMMYFUNCTION("""COMPUTED_VALUE"""),"Roti Cranberry")</f>
        <v>Roti Cranberry</v>
      </c>
      <c r="H1285" s="2"/>
      <c r="I1285" s="2"/>
      <c r="J1285" s="2">
        <f>IFERROR(__xludf.DUMMYFUNCTION("""COMPUTED_VALUE"""),1.0)</f>
        <v>1</v>
      </c>
      <c r="K1285" s="6">
        <f>IFERROR(__xludf.DUMMYFUNCTION("""COMPUTED_VALUE"""),18571.0)</f>
        <v>18571</v>
      </c>
      <c r="L1285" s="2">
        <f>IFERROR(__xludf.DUMMYFUNCTION("""COMPUTED_VALUE"""),0.0)</f>
        <v>0</v>
      </c>
      <c r="M1285" s="2">
        <f>IFERROR(__xludf.DUMMYFUNCTION("""COMPUTED_VALUE"""),18571.0)</f>
        <v>18571</v>
      </c>
      <c r="N1285" s="2">
        <f>IFERROR(__xludf.DUMMYFUNCTION("""COMPUTED_VALUE"""),0.0)</f>
        <v>0</v>
      </c>
      <c r="O1285" s="2">
        <f>IFERROR(__xludf.DUMMYFUNCTION("""COMPUTED_VALUE"""),18571.0)</f>
        <v>18571</v>
      </c>
      <c r="P1285" s="2">
        <f>IFERROR(__xludf.DUMMYFUNCTION("""COMPUTED_VALUE"""),929.0)</f>
        <v>929</v>
      </c>
      <c r="Q1285" s="2" t="str">
        <f>IFERROR(__xludf.DUMMYFUNCTION("""COMPUTED_VALUE"""),"Dine In")</f>
        <v>Dine In</v>
      </c>
      <c r="R1285" s="2" t="str">
        <f>IFERROR(__xludf.DUMMYFUNCTION("""COMPUTED_VALUE"""),"Kedai")</f>
        <v>Kedai</v>
      </c>
      <c r="S1285" s="2" t="str">
        <f>IFERROR(__xludf.DUMMYFUNCTION("""COMPUTED_VALUE"""),"Temu Roti")</f>
        <v>Temu Roti</v>
      </c>
      <c r="T1285" s="2" t="str">
        <f>IFERROR(__xludf.DUMMYFUNCTION("""COMPUTED_VALUE"""),"Owner")</f>
        <v>Owner</v>
      </c>
      <c r="U1285" s="2"/>
      <c r="V1285" s="2"/>
      <c r="W1285" s="2"/>
      <c r="X1285" s="2" t="str">
        <f>IFERROR(__xludf.DUMMYFUNCTION("""COMPUTED_VALUE"""),"Closed")</f>
        <v>Closed</v>
      </c>
    </row>
    <row r="1286">
      <c r="A1286" s="3" t="s">
        <v>1296</v>
      </c>
      <c r="B1286" s="4">
        <f>IFERROR(__xludf.DUMMYFUNCTION("SPLIT(A1286,"","",0,0)"),45540.77847222222)</f>
        <v>45540.77847</v>
      </c>
      <c r="C1286" s="5">
        <f>IFERROR(__xludf.DUMMYFUNCTION("""COMPUTED_VALUE"""),2619187.0)</f>
        <v>2619187</v>
      </c>
      <c r="D1286" s="2" t="str">
        <f>IFERROR(__xludf.DUMMYFUNCTION("""COMPUTED_VALUE"""),"Sale")</f>
        <v>Sale</v>
      </c>
      <c r="E1286" s="2" t="str">
        <f>IFERROR(__xludf.DUMMYFUNCTION("""COMPUTED_VALUE"""),"Roti")</f>
        <v>Roti</v>
      </c>
      <c r="F1286" s="2">
        <f>IFERROR(__xludf.DUMMYFUNCTION("""COMPUTED_VALUE"""),10042.0)</f>
        <v>10042</v>
      </c>
      <c r="G1286" s="2" t="str">
        <f>IFERROR(__xludf.DUMMYFUNCTION("""COMPUTED_VALUE"""),"Roti coklat")</f>
        <v>Roti coklat</v>
      </c>
      <c r="H1286" s="2"/>
      <c r="I1286" s="2"/>
      <c r="J1286" s="2">
        <f>IFERROR(__xludf.DUMMYFUNCTION("""COMPUTED_VALUE"""),1.0)</f>
        <v>1</v>
      </c>
      <c r="K1286" s="6">
        <f>IFERROR(__xludf.DUMMYFUNCTION("""COMPUTED_VALUE"""),9524.0)</f>
        <v>9524</v>
      </c>
      <c r="L1286" s="2">
        <f>IFERROR(__xludf.DUMMYFUNCTION("""COMPUTED_VALUE"""),0.0)</f>
        <v>0</v>
      </c>
      <c r="M1286" s="2">
        <f>IFERROR(__xludf.DUMMYFUNCTION("""COMPUTED_VALUE"""),9524.0)</f>
        <v>9524</v>
      </c>
      <c r="N1286" s="2">
        <f>IFERROR(__xludf.DUMMYFUNCTION("""COMPUTED_VALUE"""),0.0)</f>
        <v>0</v>
      </c>
      <c r="O1286" s="2">
        <f>IFERROR(__xludf.DUMMYFUNCTION("""COMPUTED_VALUE"""),9524.0)</f>
        <v>9524</v>
      </c>
      <c r="P1286" s="2">
        <f>IFERROR(__xludf.DUMMYFUNCTION("""COMPUTED_VALUE"""),476.0)</f>
        <v>476</v>
      </c>
      <c r="Q1286" s="2" t="str">
        <f>IFERROR(__xludf.DUMMYFUNCTION("""COMPUTED_VALUE"""),"Dine In")</f>
        <v>Dine In</v>
      </c>
      <c r="R1286" s="2" t="str">
        <f>IFERROR(__xludf.DUMMYFUNCTION("""COMPUTED_VALUE"""),"Kedai")</f>
        <v>Kedai</v>
      </c>
      <c r="S1286" s="2" t="str">
        <f>IFERROR(__xludf.DUMMYFUNCTION("""COMPUTED_VALUE"""),"Temu Roti")</f>
        <v>Temu Roti</v>
      </c>
      <c r="T1286" s="2" t="str">
        <f>IFERROR(__xludf.DUMMYFUNCTION("""COMPUTED_VALUE"""),"Owner")</f>
        <v>Owner</v>
      </c>
      <c r="U1286" s="2"/>
      <c r="V1286" s="2"/>
      <c r="W1286" s="2"/>
      <c r="X1286" s="2" t="str">
        <f>IFERROR(__xludf.DUMMYFUNCTION("""COMPUTED_VALUE"""),"Closed")</f>
        <v>Closed</v>
      </c>
    </row>
    <row r="1287">
      <c r="A1287" s="3" t="s">
        <v>1297</v>
      </c>
      <c r="B1287" s="4">
        <f>IFERROR(__xludf.DUMMYFUNCTION("SPLIT(A1287,"","",0,0)"),45540.77777777778)</f>
        <v>45540.77778</v>
      </c>
      <c r="C1287" s="5">
        <f>IFERROR(__xludf.DUMMYFUNCTION("""COMPUTED_VALUE"""),2618822.0)</f>
        <v>2618822</v>
      </c>
      <c r="D1287" s="2" t="str">
        <f>IFERROR(__xludf.DUMMYFUNCTION("""COMPUTED_VALUE"""),"Sale")</f>
        <v>Sale</v>
      </c>
      <c r="E1287" s="2" t="str">
        <f>IFERROR(__xludf.DUMMYFUNCTION("""COMPUTED_VALUE"""),"Roti")</f>
        <v>Roti</v>
      </c>
      <c r="F1287" s="2">
        <f>IFERROR(__xludf.DUMMYFUNCTION("""COMPUTED_VALUE"""),10042.0)</f>
        <v>10042</v>
      </c>
      <c r="G1287" s="2" t="str">
        <f>IFERROR(__xludf.DUMMYFUNCTION("""COMPUTED_VALUE"""),"Roti coklat")</f>
        <v>Roti coklat</v>
      </c>
      <c r="H1287" s="2"/>
      <c r="I1287" s="2"/>
      <c r="J1287" s="2">
        <f>IFERROR(__xludf.DUMMYFUNCTION("""COMPUTED_VALUE"""),1.0)</f>
        <v>1</v>
      </c>
      <c r="K1287" s="6">
        <f>IFERROR(__xludf.DUMMYFUNCTION("""COMPUTED_VALUE"""),9524.0)</f>
        <v>9524</v>
      </c>
      <c r="L1287" s="2">
        <f>IFERROR(__xludf.DUMMYFUNCTION("""COMPUTED_VALUE"""),0.0)</f>
        <v>0</v>
      </c>
      <c r="M1287" s="2">
        <f>IFERROR(__xludf.DUMMYFUNCTION("""COMPUTED_VALUE"""),9524.0)</f>
        <v>9524</v>
      </c>
      <c r="N1287" s="2">
        <f>IFERROR(__xludf.DUMMYFUNCTION("""COMPUTED_VALUE"""),0.0)</f>
        <v>0</v>
      </c>
      <c r="O1287" s="2">
        <f>IFERROR(__xludf.DUMMYFUNCTION("""COMPUTED_VALUE"""),9524.0)</f>
        <v>9524</v>
      </c>
      <c r="P1287" s="2">
        <f>IFERROR(__xludf.DUMMYFUNCTION("""COMPUTED_VALUE"""),476.0)</f>
        <v>476</v>
      </c>
      <c r="Q1287" s="2" t="str">
        <f>IFERROR(__xludf.DUMMYFUNCTION("""COMPUTED_VALUE"""),"Dine In")</f>
        <v>Dine In</v>
      </c>
      <c r="R1287" s="2" t="str">
        <f>IFERROR(__xludf.DUMMYFUNCTION("""COMPUTED_VALUE"""),"Kedai")</f>
        <v>Kedai</v>
      </c>
      <c r="S1287" s="2" t="str">
        <f>IFERROR(__xludf.DUMMYFUNCTION("""COMPUTED_VALUE"""),"Temu Roti")</f>
        <v>Temu Roti</v>
      </c>
      <c r="T1287" s="2" t="str">
        <f>IFERROR(__xludf.DUMMYFUNCTION("""COMPUTED_VALUE"""),"Owner")</f>
        <v>Owner</v>
      </c>
      <c r="U1287" s="2"/>
      <c r="V1287" s="2"/>
      <c r="W1287" s="2"/>
      <c r="X1287" s="2" t="str">
        <f>IFERROR(__xludf.DUMMYFUNCTION("""COMPUTED_VALUE"""),"Closed")</f>
        <v>Closed</v>
      </c>
    </row>
    <row r="1288">
      <c r="A1288" s="3" t="s">
        <v>1298</v>
      </c>
      <c r="B1288" s="4">
        <f>IFERROR(__xludf.DUMMYFUNCTION("SPLIT(A1288,"","",0,0)"),45540.77777777778)</f>
        <v>45540.77778</v>
      </c>
      <c r="C1288" s="5">
        <f>IFERROR(__xludf.DUMMYFUNCTION("""COMPUTED_VALUE"""),2618822.0)</f>
        <v>2618822</v>
      </c>
      <c r="D1288" s="2" t="str">
        <f>IFERROR(__xludf.DUMMYFUNCTION("""COMPUTED_VALUE"""),"Sale")</f>
        <v>Sale</v>
      </c>
      <c r="E1288" s="2" t="str">
        <f>IFERROR(__xludf.DUMMYFUNCTION("""COMPUTED_VALUE"""),"Roti")</f>
        <v>Roti</v>
      </c>
      <c r="F1288" s="2">
        <f>IFERROR(__xludf.DUMMYFUNCTION("""COMPUTED_VALUE"""),10002.0)</f>
        <v>10002</v>
      </c>
      <c r="G1288" s="2" t="str">
        <f>IFERROR(__xludf.DUMMYFUNCTION("""COMPUTED_VALUE"""),"Roti Cranberry")</f>
        <v>Roti Cranberry</v>
      </c>
      <c r="H1288" s="2"/>
      <c r="I1288" s="2"/>
      <c r="J1288" s="2">
        <f>IFERROR(__xludf.DUMMYFUNCTION("""COMPUTED_VALUE"""),1.0)</f>
        <v>1</v>
      </c>
      <c r="K1288" s="6">
        <f>IFERROR(__xludf.DUMMYFUNCTION("""COMPUTED_VALUE"""),18571.0)</f>
        <v>18571</v>
      </c>
      <c r="L1288" s="2">
        <f>IFERROR(__xludf.DUMMYFUNCTION("""COMPUTED_VALUE"""),0.0)</f>
        <v>0</v>
      </c>
      <c r="M1288" s="2">
        <f>IFERROR(__xludf.DUMMYFUNCTION("""COMPUTED_VALUE"""),18571.0)</f>
        <v>18571</v>
      </c>
      <c r="N1288" s="2">
        <f>IFERROR(__xludf.DUMMYFUNCTION("""COMPUTED_VALUE"""),0.0)</f>
        <v>0</v>
      </c>
      <c r="O1288" s="2">
        <f>IFERROR(__xludf.DUMMYFUNCTION("""COMPUTED_VALUE"""),18571.0)</f>
        <v>18571</v>
      </c>
      <c r="P1288" s="2">
        <f>IFERROR(__xludf.DUMMYFUNCTION("""COMPUTED_VALUE"""),929.0)</f>
        <v>929</v>
      </c>
      <c r="Q1288" s="2" t="str">
        <f>IFERROR(__xludf.DUMMYFUNCTION("""COMPUTED_VALUE"""),"Dine In")</f>
        <v>Dine In</v>
      </c>
      <c r="R1288" s="2" t="str">
        <f>IFERROR(__xludf.DUMMYFUNCTION("""COMPUTED_VALUE"""),"Kedai")</f>
        <v>Kedai</v>
      </c>
      <c r="S1288" s="2" t="str">
        <f>IFERROR(__xludf.DUMMYFUNCTION("""COMPUTED_VALUE"""),"Temu Roti")</f>
        <v>Temu Roti</v>
      </c>
      <c r="T1288" s="2" t="str">
        <f>IFERROR(__xludf.DUMMYFUNCTION("""COMPUTED_VALUE"""),"Owner")</f>
        <v>Owner</v>
      </c>
      <c r="U1288" s="2"/>
      <c r="V1288" s="2"/>
      <c r="W1288" s="2"/>
      <c r="X1288" s="2" t="str">
        <f>IFERROR(__xludf.DUMMYFUNCTION("""COMPUTED_VALUE"""),"Closed")</f>
        <v>Closed</v>
      </c>
    </row>
    <row r="1289">
      <c r="A1289" s="3" t="s">
        <v>1299</v>
      </c>
      <c r="B1289" s="4">
        <f>IFERROR(__xludf.DUMMYFUNCTION("SPLIT(A1289,"","",0,0)"),45540.69930555556)</f>
        <v>45540.69931</v>
      </c>
      <c r="C1289" s="5">
        <f>IFERROR(__xludf.DUMMYFUNCTION("""COMPUTED_VALUE"""),2618457.0)</f>
        <v>2618457</v>
      </c>
      <c r="D1289" s="2" t="str">
        <f>IFERROR(__xludf.DUMMYFUNCTION("""COMPUTED_VALUE"""),"Sale")</f>
        <v>Sale</v>
      </c>
      <c r="E1289" s="2" t="str">
        <f>IFERROR(__xludf.DUMMYFUNCTION("""COMPUTED_VALUE"""),"Roti")</f>
        <v>Roti</v>
      </c>
      <c r="F1289" s="2">
        <f>IFERROR(__xludf.DUMMYFUNCTION("""COMPUTED_VALUE"""),10055.0)</f>
        <v>10055</v>
      </c>
      <c r="G1289" s="2" t="str">
        <f>IFERROR(__xludf.DUMMYFUNCTION("""COMPUTED_VALUE"""),"Roti Gandum Cokelat 2 pcs")</f>
        <v>Roti Gandum Cokelat 2 pcs</v>
      </c>
      <c r="H1289" s="2"/>
      <c r="I1289" s="2"/>
      <c r="J1289" s="2">
        <f>IFERROR(__xludf.DUMMYFUNCTION("""COMPUTED_VALUE"""),1.0)</f>
        <v>1</v>
      </c>
      <c r="K1289" s="6">
        <f>IFERROR(__xludf.DUMMYFUNCTION("""COMPUTED_VALUE"""),34762.0)</f>
        <v>34762</v>
      </c>
      <c r="L1289" s="2">
        <f>IFERROR(__xludf.DUMMYFUNCTION("""COMPUTED_VALUE"""),0.0)</f>
        <v>0</v>
      </c>
      <c r="M1289" s="2">
        <f>IFERROR(__xludf.DUMMYFUNCTION("""COMPUTED_VALUE"""),34762.0)</f>
        <v>34762</v>
      </c>
      <c r="N1289" s="2">
        <f>IFERROR(__xludf.DUMMYFUNCTION("""COMPUTED_VALUE"""),0.0)</f>
        <v>0</v>
      </c>
      <c r="O1289" s="2">
        <f>IFERROR(__xludf.DUMMYFUNCTION("""COMPUTED_VALUE"""),34762.0)</f>
        <v>34762</v>
      </c>
      <c r="P1289" s="2">
        <f>IFERROR(__xludf.DUMMYFUNCTION("""COMPUTED_VALUE"""),1738.0)</f>
        <v>1738</v>
      </c>
      <c r="Q1289" s="2" t="str">
        <f>IFERROR(__xludf.DUMMYFUNCTION("""COMPUTED_VALUE"""),"Dine In")</f>
        <v>Dine In</v>
      </c>
      <c r="R1289" s="2" t="str">
        <f>IFERROR(__xludf.DUMMYFUNCTION("""COMPUTED_VALUE"""),"Kedai")</f>
        <v>Kedai</v>
      </c>
      <c r="S1289" s="2" t="str">
        <f>IFERROR(__xludf.DUMMYFUNCTION("""COMPUTED_VALUE"""),"Temu Roti")</f>
        <v>Temu Roti</v>
      </c>
      <c r="T1289" s="2" t="str">
        <f>IFERROR(__xludf.DUMMYFUNCTION("""COMPUTED_VALUE"""),"Owner")</f>
        <v>Owner</v>
      </c>
      <c r="U1289" s="2"/>
      <c r="V1289" s="2"/>
      <c r="W1289" s="2"/>
      <c r="X1289" s="2" t="str">
        <f>IFERROR(__xludf.DUMMYFUNCTION("""COMPUTED_VALUE"""),"Closed")</f>
        <v>Closed</v>
      </c>
    </row>
    <row r="1290">
      <c r="A1290" s="3" t="s">
        <v>1300</v>
      </c>
      <c r="B1290" s="4">
        <f>IFERROR(__xludf.DUMMYFUNCTION("SPLIT(A1290,"","",0,0)"),45540.67847222222)</f>
        <v>45540.67847</v>
      </c>
      <c r="C1290" s="5">
        <f>IFERROR(__xludf.DUMMYFUNCTION("""COMPUTED_VALUE"""),2618091.0)</f>
        <v>2618091</v>
      </c>
      <c r="D1290" s="2" t="str">
        <f>IFERROR(__xludf.DUMMYFUNCTION("""COMPUTED_VALUE"""),"Sale")</f>
        <v>Sale</v>
      </c>
      <c r="E1290" s="2" t="str">
        <f>IFERROR(__xludf.DUMMYFUNCTION("""COMPUTED_VALUE"""),"Roti")</f>
        <v>Roti</v>
      </c>
      <c r="F1290" s="2">
        <f>IFERROR(__xludf.DUMMYFUNCTION("""COMPUTED_VALUE"""),10000.0)</f>
        <v>10000</v>
      </c>
      <c r="G1290" s="2" t="str">
        <f>IFERROR(__xludf.DUMMYFUNCTION("""COMPUTED_VALUE"""),"Roti Bawang Saus Keju")</f>
        <v>Roti Bawang Saus Keju</v>
      </c>
      <c r="H1290" s="2"/>
      <c r="I1290" s="2"/>
      <c r="J1290" s="2">
        <f>IFERROR(__xludf.DUMMYFUNCTION("""COMPUTED_VALUE"""),1.0)</f>
        <v>1</v>
      </c>
      <c r="K1290" s="6">
        <f>IFERROR(__xludf.DUMMYFUNCTION("""COMPUTED_VALUE"""),29524.0)</f>
        <v>29524</v>
      </c>
      <c r="L1290" s="2">
        <f>IFERROR(__xludf.DUMMYFUNCTION("""COMPUTED_VALUE"""),0.0)</f>
        <v>0</v>
      </c>
      <c r="M1290" s="2">
        <f>IFERROR(__xludf.DUMMYFUNCTION("""COMPUTED_VALUE"""),29524.0)</f>
        <v>29524</v>
      </c>
      <c r="N1290" s="2">
        <f>IFERROR(__xludf.DUMMYFUNCTION("""COMPUTED_VALUE"""),0.0)</f>
        <v>0</v>
      </c>
      <c r="O1290" s="2">
        <f>IFERROR(__xludf.DUMMYFUNCTION("""COMPUTED_VALUE"""),29524.0)</f>
        <v>29524</v>
      </c>
      <c r="P1290" s="2">
        <f>IFERROR(__xludf.DUMMYFUNCTION("""COMPUTED_VALUE"""),1476.0)</f>
        <v>1476</v>
      </c>
      <c r="Q1290" s="2" t="str">
        <f>IFERROR(__xludf.DUMMYFUNCTION("""COMPUTED_VALUE"""),"Dine In")</f>
        <v>Dine In</v>
      </c>
      <c r="R1290" s="2" t="str">
        <f>IFERROR(__xludf.DUMMYFUNCTION("""COMPUTED_VALUE"""),"Kedai")</f>
        <v>Kedai</v>
      </c>
      <c r="S1290" s="2" t="str">
        <f>IFERROR(__xludf.DUMMYFUNCTION("""COMPUTED_VALUE"""),"Temu Roti")</f>
        <v>Temu Roti</v>
      </c>
      <c r="T1290" s="2" t="str">
        <f>IFERROR(__xludf.DUMMYFUNCTION("""COMPUTED_VALUE"""),"Owner")</f>
        <v>Owner</v>
      </c>
      <c r="U1290" s="2"/>
      <c r="V1290" s="2"/>
      <c r="W1290" s="2"/>
      <c r="X1290" s="2" t="str">
        <f>IFERROR(__xludf.DUMMYFUNCTION("""COMPUTED_VALUE"""),"Closed")</f>
        <v>Closed</v>
      </c>
    </row>
    <row r="1291">
      <c r="A1291" s="3" t="s">
        <v>1301</v>
      </c>
      <c r="B1291" s="4">
        <f>IFERROR(__xludf.DUMMYFUNCTION("SPLIT(A1291,"","",0,0)"),45540.67847222222)</f>
        <v>45540.67847</v>
      </c>
      <c r="C1291" s="5">
        <f>IFERROR(__xludf.DUMMYFUNCTION("""COMPUTED_VALUE"""),2617726.0)</f>
        <v>2617726</v>
      </c>
      <c r="D1291" s="2" t="str">
        <f>IFERROR(__xludf.DUMMYFUNCTION("""COMPUTED_VALUE"""),"Sale")</f>
        <v>Sale</v>
      </c>
      <c r="E1291" s="2" t="str">
        <f>IFERROR(__xludf.DUMMYFUNCTION("""COMPUTED_VALUE"""),"Roti")</f>
        <v>Roti</v>
      </c>
      <c r="F1291" s="2">
        <f>IFERROR(__xludf.DUMMYFUNCTION("""COMPUTED_VALUE"""),10000.0)</f>
        <v>10000</v>
      </c>
      <c r="G1291" s="2" t="str">
        <f>IFERROR(__xludf.DUMMYFUNCTION("""COMPUTED_VALUE"""),"Roti Bawang Saus Keju")</f>
        <v>Roti Bawang Saus Keju</v>
      </c>
      <c r="H1291" s="2"/>
      <c r="I1291" s="2"/>
      <c r="J1291" s="2">
        <f>IFERROR(__xludf.DUMMYFUNCTION("""COMPUTED_VALUE"""),1.0)</f>
        <v>1</v>
      </c>
      <c r="K1291" s="6">
        <f>IFERROR(__xludf.DUMMYFUNCTION("""COMPUTED_VALUE"""),29524.0)</f>
        <v>29524</v>
      </c>
      <c r="L1291" s="2">
        <f>IFERROR(__xludf.DUMMYFUNCTION("""COMPUTED_VALUE"""),0.0)</f>
        <v>0</v>
      </c>
      <c r="M1291" s="2">
        <f>IFERROR(__xludf.DUMMYFUNCTION("""COMPUTED_VALUE"""),29524.0)</f>
        <v>29524</v>
      </c>
      <c r="N1291" s="2">
        <f>IFERROR(__xludf.DUMMYFUNCTION("""COMPUTED_VALUE"""),0.0)</f>
        <v>0</v>
      </c>
      <c r="O1291" s="2">
        <f>IFERROR(__xludf.DUMMYFUNCTION("""COMPUTED_VALUE"""),29524.0)</f>
        <v>29524</v>
      </c>
      <c r="P1291" s="2">
        <f>IFERROR(__xludf.DUMMYFUNCTION("""COMPUTED_VALUE"""),1476.0)</f>
        <v>1476</v>
      </c>
      <c r="Q1291" s="2" t="str">
        <f>IFERROR(__xludf.DUMMYFUNCTION("""COMPUTED_VALUE"""),"Dine In")</f>
        <v>Dine In</v>
      </c>
      <c r="R1291" s="2" t="str">
        <f>IFERROR(__xludf.DUMMYFUNCTION("""COMPUTED_VALUE"""),"Kedai")</f>
        <v>Kedai</v>
      </c>
      <c r="S1291" s="2" t="str">
        <f>IFERROR(__xludf.DUMMYFUNCTION("""COMPUTED_VALUE"""),"Temu Roti")</f>
        <v>Temu Roti</v>
      </c>
      <c r="T1291" s="2" t="str">
        <f>IFERROR(__xludf.DUMMYFUNCTION("""COMPUTED_VALUE"""),"Owner")</f>
        <v>Owner</v>
      </c>
      <c r="U1291" s="2"/>
      <c r="V1291" s="2"/>
      <c r="W1291" s="2"/>
      <c r="X1291" s="2" t="str">
        <f>IFERROR(__xludf.DUMMYFUNCTION("""COMPUTED_VALUE"""),"Closed")</f>
        <v>Closed</v>
      </c>
    </row>
    <row r="1292">
      <c r="A1292" s="3" t="s">
        <v>1302</v>
      </c>
      <c r="B1292" s="4">
        <f>IFERROR(__xludf.DUMMYFUNCTION("SPLIT(A1292,"","",0,0)"),45540.67847222222)</f>
        <v>45540.67847</v>
      </c>
      <c r="C1292" s="5">
        <f>IFERROR(__xludf.DUMMYFUNCTION("""COMPUTED_VALUE"""),2617726.0)</f>
        <v>2617726</v>
      </c>
      <c r="D1292" s="2" t="str">
        <f>IFERROR(__xludf.DUMMYFUNCTION("""COMPUTED_VALUE"""),"Sale")</f>
        <v>Sale</v>
      </c>
      <c r="E1292" s="2" t="str">
        <f>IFERROR(__xludf.DUMMYFUNCTION("""COMPUTED_VALUE"""),"Roti")</f>
        <v>Roti</v>
      </c>
      <c r="F1292" s="2">
        <f>IFERROR(__xludf.DUMMYFUNCTION("""COMPUTED_VALUE"""),10007.0)</f>
        <v>10007</v>
      </c>
      <c r="G1292" s="2" t="str">
        <f>IFERROR(__xludf.DUMMYFUNCTION("""COMPUTED_VALUE"""),"Roti cranberry 2 pcs")</f>
        <v>Roti cranberry 2 pcs</v>
      </c>
      <c r="H1292" s="2"/>
      <c r="I1292" s="2"/>
      <c r="J1292" s="2">
        <f>IFERROR(__xludf.DUMMYFUNCTION("""COMPUTED_VALUE"""),1.0)</f>
        <v>1</v>
      </c>
      <c r="K1292" s="6">
        <f>IFERROR(__xludf.DUMMYFUNCTION("""COMPUTED_VALUE"""),33810.0)</f>
        <v>33810</v>
      </c>
      <c r="L1292" s="2">
        <f>IFERROR(__xludf.DUMMYFUNCTION("""COMPUTED_VALUE"""),0.0)</f>
        <v>0</v>
      </c>
      <c r="M1292" s="2">
        <f>IFERROR(__xludf.DUMMYFUNCTION("""COMPUTED_VALUE"""),33810.0)</f>
        <v>33810</v>
      </c>
      <c r="N1292" s="2">
        <f>IFERROR(__xludf.DUMMYFUNCTION("""COMPUTED_VALUE"""),0.0)</f>
        <v>0</v>
      </c>
      <c r="O1292" s="2">
        <f>IFERROR(__xludf.DUMMYFUNCTION("""COMPUTED_VALUE"""),33810.0)</f>
        <v>33810</v>
      </c>
      <c r="P1292" s="2">
        <f>IFERROR(__xludf.DUMMYFUNCTION("""COMPUTED_VALUE"""),1691.0)</f>
        <v>1691</v>
      </c>
      <c r="Q1292" s="2" t="str">
        <f>IFERROR(__xludf.DUMMYFUNCTION("""COMPUTED_VALUE"""),"Dine In")</f>
        <v>Dine In</v>
      </c>
      <c r="R1292" s="2" t="str">
        <f>IFERROR(__xludf.DUMMYFUNCTION("""COMPUTED_VALUE"""),"Kedai")</f>
        <v>Kedai</v>
      </c>
      <c r="S1292" s="2" t="str">
        <f>IFERROR(__xludf.DUMMYFUNCTION("""COMPUTED_VALUE"""),"Temu Roti")</f>
        <v>Temu Roti</v>
      </c>
      <c r="T1292" s="2" t="str">
        <f>IFERROR(__xludf.DUMMYFUNCTION("""COMPUTED_VALUE"""),"Owner")</f>
        <v>Owner</v>
      </c>
      <c r="U1292" s="2"/>
      <c r="V1292" s="2"/>
      <c r="W1292" s="2"/>
      <c r="X1292" s="2" t="str">
        <f>IFERROR(__xludf.DUMMYFUNCTION("""COMPUTED_VALUE"""),"Closed")</f>
        <v>Closed</v>
      </c>
    </row>
    <row r="1293">
      <c r="A1293" s="3" t="s">
        <v>1303</v>
      </c>
      <c r="B1293" s="4">
        <f>IFERROR(__xludf.DUMMYFUNCTION("SPLIT(A1293,"","",0,0)"),45540.649305555555)</f>
        <v>45540.64931</v>
      </c>
      <c r="C1293" s="5">
        <f>IFERROR(__xludf.DUMMYFUNCTION("""COMPUTED_VALUE"""),2617361.0)</f>
        <v>2617361</v>
      </c>
      <c r="D1293" s="2" t="str">
        <f>IFERROR(__xludf.DUMMYFUNCTION("""COMPUTED_VALUE"""),"Sale")</f>
        <v>Sale</v>
      </c>
      <c r="E1293" s="2" t="str">
        <f>IFERROR(__xludf.DUMMYFUNCTION("""COMPUTED_VALUE"""),"Roti")</f>
        <v>Roti</v>
      </c>
      <c r="F1293" s="2">
        <f>IFERROR(__xludf.DUMMYFUNCTION("""COMPUTED_VALUE"""),10002.0)</f>
        <v>10002</v>
      </c>
      <c r="G1293" s="2" t="str">
        <f>IFERROR(__xludf.DUMMYFUNCTION("""COMPUTED_VALUE"""),"Roti Cranberry")</f>
        <v>Roti Cranberry</v>
      </c>
      <c r="H1293" s="2"/>
      <c r="I1293" s="2"/>
      <c r="J1293" s="2">
        <f>IFERROR(__xludf.DUMMYFUNCTION("""COMPUTED_VALUE"""),1.0)</f>
        <v>1</v>
      </c>
      <c r="K1293" s="6">
        <f>IFERROR(__xludf.DUMMYFUNCTION("""COMPUTED_VALUE"""),18571.0)</f>
        <v>18571</v>
      </c>
      <c r="L1293" s="2">
        <f>IFERROR(__xludf.DUMMYFUNCTION("""COMPUTED_VALUE"""),0.0)</f>
        <v>0</v>
      </c>
      <c r="M1293" s="2">
        <f>IFERROR(__xludf.DUMMYFUNCTION("""COMPUTED_VALUE"""),18571.0)</f>
        <v>18571</v>
      </c>
      <c r="N1293" s="2">
        <f>IFERROR(__xludf.DUMMYFUNCTION("""COMPUTED_VALUE"""),0.0)</f>
        <v>0</v>
      </c>
      <c r="O1293" s="2">
        <f>IFERROR(__xludf.DUMMYFUNCTION("""COMPUTED_VALUE"""),18571.0)</f>
        <v>18571</v>
      </c>
      <c r="P1293" s="2">
        <f>IFERROR(__xludf.DUMMYFUNCTION("""COMPUTED_VALUE"""),929.0)</f>
        <v>929</v>
      </c>
      <c r="Q1293" s="2" t="str">
        <f>IFERROR(__xludf.DUMMYFUNCTION("""COMPUTED_VALUE"""),"Dine In")</f>
        <v>Dine In</v>
      </c>
      <c r="R1293" s="2" t="str">
        <f>IFERROR(__xludf.DUMMYFUNCTION("""COMPUTED_VALUE"""),"Kedai")</f>
        <v>Kedai</v>
      </c>
      <c r="S1293" s="2" t="str">
        <f>IFERROR(__xludf.DUMMYFUNCTION("""COMPUTED_VALUE"""),"Temu Roti")</f>
        <v>Temu Roti</v>
      </c>
      <c r="T1293" s="2" t="str">
        <f>IFERROR(__xludf.DUMMYFUNCTION("""COMPUTED_VALUE"""),"Owner")</f>
        <v>Owner</v>
      </c>
      <c r="U1293" s="2"/>
      <c r="V1293" s="2"/>
      <c r="W1293" s="2"/>
      <c r="X1293" s="2" t="str">
        <f>IFERROR(__xludf.DUMMYFUNCTION("""COMPUTED_VALUE"""),"Closed")</f>
        <v>Closed</v>
      </c>
    </row>
    <row r="1294">
      <c r="A1294" s="3" t="s">
        <v>1304</v>
      </c>
      <c r="B1294" s="4">
        <f>IFERROR(__xludf.DUMMYFUNCTION("SPLIT(A1294,"","",0,0)"),45540.64722222222)</f>
        <v>45540.64722</v>
      </c>
      <c r="C1294" s="5">
        <f>IFERROR(__xludf.DUMMYFUNCTION("""COMPUTED_VALUE"""),2616996.0)</f>
        <v>2616996</v>
      </c>
      <c r="D1294" s="2" t="str">
        <f>IFERROR(__xludf.DUMMYFUNCTION("""COMPUTED_VALUE"""),"Sale")</f>
        <v>Sale</v>
      </c>
      <c r="E1294" s="2" t="str">
        <f>IFERROR(__xludf.DUMMYFUNCTION("""COMPUTED_VALUE"""),"Roti")</f>
        <v>Roti</v>
      </c>
      <c r="F1294" s="2">
        <f>IFERROR(__xludf.DUMMYFUNCTION("""COMPUTED_VALUE"""),10000.0)</f>
        <v>10000</v>
      </c>
      <c r="G1294" s="2" t="str">
        <f>IFERROR(__xludf.DUMMYFUNCTION("""COMPUTED_VALUE"""),"Roti Bawang Saus Keju")</f>
        <v>Roti Bawang Saus Keju</v>
      </c>
      <c r="H1294" s="2"/>
      <c r="I1294" s="2"/>
      <c r="J1294" s="2">
        <f>IFERROR(__xludf.DUMMYFUNCTION("""COMPUTED_VALUE"""),1.0)</f>
        <v>1</v>
      </c>
      <c r="K1294" s="6">
        <f>IFERROR(__xludf.DUMMYFUNCTION("""COMPUTED_VALUE"""),29524.0)</f>
        <v>29524</v>
      </c>
      <c r="L1294" s="2">
        <f>IFERROR(__xludf.DUMMYFUNCTION("""COMPUTED_VALUE"""),0.0)</f>
        <v>0</v>
      </c>
      <c r="M1294" s="2">
        <f>IFERROR(__xludf.DUMMYFUNCTION("""COMPUTED_VALUE"""),29524.0)</f>
        <v>29524</v>
      </c>
      <c r="N1294" s="2">
        <f>IFERROR(__xludf.DUMMYFUNCTION("""COMPUTED_VALUE"""),0.0)</f>
        <v>0</v>
      </c>
      <c r="O1294" s="2">
        <f>IFERROR(__xludf.DUMMYFUNCTION("""COMPUTED_VALUE"""),29524.0)</f>
        <v>29524</v>
      </c>
      <c r="P1294" s="2">
        <f>IFERROR(__xludf.DUMMYFUNCTION("""COMPUTED_VALUE"""),1476.0)</f>
        <v>1476</v>
      </c>
      <c r="Q1294" s="2" t="str">
        <f>IFERROR(__xludf.DUMMYFUNCTION("""COMPUTED_VALUE"""),"Dine In")</f>
        <v>Dine In</v>
      </c>
      <c r="R1294" s="2" t="str">
        <f>IFERROR(__xludf.DUMMYFUNCTION("""COMPUTED_VALUE"""),"Kedai")</f>
        <v>Kedai</v>
      </c>
      <c r="S1294" s="2" t="str">
        <f>IFERROR(__xludf.DUMMYFUNCTION("""COMPUTED_VALUE"""),"Temu Roti")</f>
        <v>Temu Roti</v>
      </c>
      <c r="T1294" s="2" t="str">
        <f>IFERROR(__xludf.DUMMYFUNCTION("""COMPUTED_VALUE"""),"Owner")</f>
        <v>Owner</v>
      </c>
      <c r="U1294" s="2"/>
      <c r="V1294" s="2"/>
      <c r="W1294" s="2"/>
      <c r="X1294" s="2" t="str">
        <f>IFERROR(__xludf.DUMMYFUNCTION("""COMPUTED_VALUE"""),"Closed")</f>
        <v>Closed</v>
      </c>
    </row>
    <row r="1295">
      <c r="A1295" s="3" t="s">
        <v>1305</v>
      </c>
      <c r="B1295" s="4">
        <f>IFERROR(__xludf.DUMMYFUNCTION("SPLIT(A1295,"","",0,0)"),45540.64722222222)</f>
        <v>45540.64722</v>
      </c>
      <c r="C1295" s="5">
        <f>IFERROR(__xludf.DUMMYFUNCTION("""COMPUTED_VALUE"""),2616996.0)</f>
        <v>2616996</v>
      </c>
      <c r="D1295" s="2" t="str">
        <f>IFERROR(__xludf.DUMMYFUNCTION("""COMPUTED_VALUE"""),"Sale")</f>
        <v>Sale</v>
      </c>
      <c r="E1295" s="2" t="str">
        <f>IFERROR(__xludf.DUMMYFUNCTION("""COMPUTED_VALUE"""),"Roti")</f>
        <v>Roti</v>
      </c>
      <c r="F1295" s="2">
        <f>IFERROR(__xludf.DUMMYFUNCTION("""COMPUTED_VALUE"""),10007.0)</f>
        <v>10007</v>
      </c>
      <c r="G1295" s="2" t="str">
        <f>IFERROR(__xludf.DUMMYFUNCTION("""COMPUTED_VALUE"""),"Roti cranberry 2 pcs")</f>
        <v>Roti cranberry 2 pcs</v>
      </c>
      <c r="H1295" s="2"/>
      <c r="I1295" s="2"/>
      <c r="J1295" s="2">
        <f>IFERROR(__xludf.DUMMYFUNCTION("""COMPUTED_VALUE"""),2.0)</f>
        <v>2</v>
      </c>
      <c r="K1295" s="6">
        <f>IFERROR(__xludf.DUMMYFUNCTION("""COMPUTED_VALUE"""),67620.0)</f>
        <v>67620</v>
      </c>
      <c r="L1295" s="2">
        <f>IFERROR(__xludf.DUMMYFUNCTION("""COMPUTED_VALUE"""),0.0)</f>
        <v>0</v>
      </c>
      <c r="M1295" s="2">
        <f>IFERROR(__xludf.DUMMYFUNCTION("""COMPUTED_VALUE"""),67620.0)</f>
        <v>67620</v>
      </c>
      <c r="N1295" s="2">
        <f>IFERROR(__xludf.DUMMYFUNCTION("""COMPUTED_VALUE"""),0.0)</f>
        <v>0</v>
      </c>
      <c r="O1295" s="2">
        <f>IFERROR(__xludf.DUMMYFUNCTION("""COMPUTED_VALUE"""),67620.0)</f>
        <v>67620</v>
      </c>
      <c r="P1295" s="2">
        <f>IFERROR(__xludf.DUMMYFUNCTION("""COMPUTED_VALUE"""),3381.0)</f>
        <v>3381</v>
      </c>
      <c r="Q1295" s="2" t="str">
        <f>IFERROR(__xludf.DUMMYFUNCTION("""COMPUTED_VALUE"""),"Dine In")</f>
        <v>Dine In</v>
      </c>
      <c r="R1295" s="2" t="str">
        <f>IFERROR(__xludf.DUMMYFUNCTION("""COMPUTED_VALUE"""),"Kedai")</f>
        <v>Kedai</v>
      </c>
      <c r="S1295" s="2" t="str">
        <f>IFERROR(__xludf.DUMMYFUNCTION("""COMPUTED_VALUE"""),"Temu Roti")</f>
        <v>Temu Roti</v>
      </c>
      <c r="T1295" s="2" t="str">
        <f>IFERROR(__xludf.DUMMYFUNCTION("""COMPUTED_VALUE"""),"Owner")</f>
        <v>Owner</v>
      </c>
      <c r="U1295" s="2"/>
      <c r="V1295" s="2"/>
      <c r="W1295" s="2"/>
      <c r="X1295" s="2" t="str">
        <f>IFERROR(__xludf.DUMMYFUNCTION("""COMPUTED_VALUE"""),"Closed")</f>
        <v>Closed</v>
      </c>
    </row>
    <row r="1296">
      <c r="A1296" s="3" t="s">
        <v>1306</v>
      </c>
      <c r="B1296" s="4">
        <f>IFERROR(__xludf.DUMMYFUNCTION("SPLIT(A1296,"","",0,0)"),45540.64722222222)</f>
        <v>45540.64722</v>
      </c>
      <c r="C1296" s="5">
        <f>IFERROR(__xludf.DUMMYFUNCTION("""COMPUTED_VALUE"""),2616996.0)</f>
        <v>2616996</v>
      </c>
      <c r="D1296" s="2" t="str">
        <f>IFERROR(__xludf.DUMMYFUNCTION("""COMPUTED_VALUE"""),"Sale")</f>
        <v>Sale</v>
      </c>
      <c r="E1296" s="2" t="str">
        <f>IFERROR(__xludf.DUMMYFUNCTION("""COMPUTED_VALUE"""),"Roti")</f>
        <v>Roti</v>
      </c>
      <c r="F1296" s="2">
        <f>IFERROR(__xludf.DUMMYFUNCTION("""COMPUTED_VALUE"""),10043.0)</f>
        <v>10043</v>
      </c>
      <c r="G1296" s="2" t="str">
        <f>IFERROR(__xludf.DUMMYFUNCTION("""COMPUTED_VALUE"""),"Roti keju")</f>
        <v>Roti keju</v>
      </c>
      <c r="H1296" s="2"/>
      <c r="I1296" s="2"/>
      <c r="J1296" s="2">
        <f>IFERROR(__xludf.DUMMYFUNCTION("""COMPUTED_VALUE"""),1.0)</f>
        <v>1</v>
      </c>
      <c r="K1296" s="6">
        <f>IFERROR(__xludf.DUMMYFUNCTION("""COMPUTED_VALUE"""),9524.0)</f>
        <v>9524</v>
      </c>
      <c r="L1296" s="2">
        <f>IFERROR(__xludf.DUMMYFUNCTION("""COMPUTED_VALUE"""),0.0)</f>
        <v>0</v>
      </c>
      <c r="M1296" s="2">
        <f>IFERROR(__xludf.DUMMYFUNCTION("""COMPUTED_VALUE"""),9524.0)</f>
        <v>9524</v>
      </c>
      <c r="N1296" s="2">
        <f>IFERROR(__xludf.DUMMYFUNCTION("""COMPUTED_VALUE"""),0.0)</f>
        <v>0</v>
      </c>
      <c r="O1296" s="2">
        <f>IFERROR(__xludf.DUMMYFUNCTION("""COMPUTED_VALUE"""),9524.0)</f>
        <v>9524</v>
      </c>
      <c r="P1296" s="2">
        <f>IFERROR(__xludf.DUMMYFUNCTION("""COMPUTED_VALUE"""),476.0)</f>
        <v>476</v>
      </c>
      <c r="Q1296" s="2" t="str">
        <f>IFERROR(__xludf.DUMMYFUNCTION("""COMPUTED_VALUE"""),"Dine In")</f>
        <v>Dine In</v>
      </c>
      <c r="R1296" s="2" t="str">
        <f>IFERROR(__xludf.DUMMYFUNCTION("""COMPUTED_VALUE"""),"Kedai")</f>
        <v>Kedai</v>
      </c>
      <c r="S1296" s="2" t="str">
        <f>IFERROR(__xludf.DUMMYFUNCTION("""COMPUTED_VALUE"""),"Temu Roti")</f>
        <v>Temu Roti</v>
      </c>
      <c r="T1296" s="2" t="str">
        <f>IFERROR(__xludf.DUMMYFUNCTION("""COMPUTED_VALUE"""),"Owner")</f>
        <v>Owner</v>
      </c>
      <c r="U1296" s="2"/>
      <c r="V1296" s="2"/>
      <c r="W1296" s="2"/>
      <c r="X1296" s="2" t="str">
        <f>IFERROR(__xludf.DUMMYFUNCTION("""COMPUTED_VALUE"""),"Closed")</f>
        <v>Closed</v>
      </c>
    </row>
    <row r="1297">
      <c r="A1297" s="3" t="s">
        <v>1307</v>
      </c>
      <c r="B1297" s="4">
        <f>IFERROR(__xludf.DUMMYFUNCTION("SPLIT(A1297,"","",0,0)"),45540.626388888886)</f>
        <v>45540.62639</v>
      </c>
      <c r="C1297" s="5">
        <f>IFERROR(__xludf.DUMMYFUNCTION("""COMPUTED_VALUE"""),2616630.0)</f>
        <v>2616630</v>
      </c>
      <c r="D1297" s="2" t="str">
        <f>IFERROR(__xludf.DUMMYFUNCTION("""COMPUTED_VALUE"""),"Sale")</f>
        <v>Sale</v>
      </c>
      <c r="E1297" s="2" t="str">
        <f>IFERROR(__xludf.DUMMYFUNCTION("""COMPUTED_VALUE"""),"Roti")</f>
        <v>Roti</v>
      </c>
      <c r="F1297" s="2">
        <f>IFERROR(__xludf.DUMMYFUNCTION("""COMPUTED_VALUE"""),10042.0)</f>
        <v>10042</v>
      </c>
      <c r="G1297" s="2" t="str">
        <f>IFERROR(__xludf.DUMMYFUNCTION("""COMPUTED_VALUE"""),"Roti coklat")</f>
        <v>Roti coklat</v>
      </c>
      <c r="H1297" s="2"/>
      <c r="I1297" s="2"/>
      <c r="J1297" s="2">
        <f>IFERROR(__xludf.DUMMYFUNCTION("""COMPUTED_VALUE"""),1.0)</f>
        <v>1</v>
      </c>
      <c r="K1297" s="6">
        <f>IFERROR(__xludf.DUMMYFUNCTION("""COMPUTED_VALUE"""),9524.0)</f>
        <v>9524</v>
      </c>
      <c r="L1297" s="2">
        <f>IFERROR(__xludf.DUMMYFUNCTION("""COMPUTED_VALUE"""),0.0)</f>
        <v>0</v>
      </c>
      <c r="M1297" s="2">
        <f>IFERROR(__xludf.DUMMYFUNCTION("""COMPUTED_VALUE"""),9524.0)</f>
        <v>9524</v>
      </c>
      <c r="N1297" s="2">
        <f>IFERROR(__xludf.DUMMYFUNCTION("""COMPUTED_VALUE"""),0.0)</f>
        <v>0</v>
      </c>
      <c r="O1297" s="2">
        <f>IFERROR(__xludf.DUMMYFUNCTION("""COMPUTED_VALUE"""),9524.0)</f>
        <v>9524</v>
      </c>
      <c r="P1297" s="2">
        <f>IFERROR(__xludf.DUMMYFUNCTION("""COMPUTED_VALUE"""),476.0)</f>
        <v>476</v>
      </c>
      <c r="Q1297" s="2" t="str">
        <f>IFERROR(__xludf.DUMMYFUNCTION("""COMPUTED_VALUE"""),"Dine In")</f>
        <v>Dine In</v>
      </c>
      <c r="R1297" s="2" t="str">
        <f>IFERROR(__xludf.DUMMYFUNCTION("""COMPUTED_VALUE"""),"Kedai")</f>
        <v>Kedai</v>
      </c>
      <c r="S1297" s="2" t="str">
        <f>IFERROR(__xludf.DUMMYFUNCTION("""COMPUTED_VALUE"""),"Temu Roti")</f>
        <v>Temu Roti</v>
      </c>
      <c r="T1297" s="2" t="str">
        <f>IFERROR(__xludf.DUMMYFUNCTION("""COMPUTED_VALUE"""),"Owner")</f>
        <v>Owner</v>
      </c>
      <c r="U1297" s="2"/>
      <c r="V1297" s="2"/>
      <c r="W1297" s="2"/>
      <c r="X1297" s="2" t="str">
        <f>IFERROR(__xludf.DUMMYFUNCTION("""COMPUTED_VALUE"""),"Closed")</f>
        <v>Closed</v>
      </c>
    </row>
    <row r="1298">
      <c r="A1298" s="3" t="s">
        <v>1308</v>
      </c>
      <c r="B1298" s="4">
        <f>IFERROR(__xludf.DUMMYFUNCTION("SPLIT(A1298,"","",0,0)"),45540.623611111114)</f>
        <v>45540.62361</v>
      </c>
      <c r="C1298" s="5">
        <f>IFERROR(__xludf.DUMMYFUNCTION("""COMPUTED_VALUE"""),2616265.0)</f>
        <v>2616265</v>
      </c>
      <c r="D1298" s="2" t="str">
        <f>IFERROR(__xludf.DUMMYFUNCTION("""COMPUTED_VALUE"""),"Sale")</f>
        <v>Sale</v>
      </c>
      <c r="E1298" s="2" t="str">
        <f>IFERROR(__xludf.DUMMYFUNCTION("""COMPUTED_VALUE"""),"Minuman")</f>
        <v>Minuman</v>
      </c>
      <c r="F1298" s="2">
        <f>IFERROR(__xludf.DUMMYFUNCTION("""COMPUTED_VALUE"""),10063.0)</f>
        <v>10063</v>
      </c>
      <c r="G1298" s="2" t="str">
        <f>IFERROR(__xludf.DUMMYFUNCTION("""COMPUTED_VALUE"""),"Wedang Bulan")</f>
        <v>Wedang Bulan</v>
      </c>
      <c r="H1298" s="2"/>
      <c r="I1298" s="2"/>
      <c r="J1298" s="2">
        <f>IFERROR(__xludf.DUMMYFUNCTION("""COMPUTED_VALUE"""),1.0)</f>
        <v>1</v>
      </c>
      <c r="K1298" s="6">
        <f>IFERROR(__xludf.DUMMYFUNCTION("""COMPUTED_VALUE"""),24762.0)</f>
        <v>24762</v>
      </c>
      <c r="L1298" s="2">
        <f>IFERROR(__xludf.DUMMYFUNCTION("""COMPUTED_VALUE"""),0.0)</f>
        <v>0</v>
      </c>
      <c r="M1298" s="2">
        <f>IFERROR(__xludf.DUMMYFUNCTION("""COMPUTED_VALUE"""),24762.0)</f>
        <v>24762</v>
      </c>
      <c r="N1298" s="2">
        <f>IFERROR(__xludf.DUMMYFUNCTION("""COMPUTED_VALUE"""),0.0)</f>
        <v>0</v>
      </c>
      <c r="O1298" s="2">
        <f>IFERROR(__xludf.DUMMYFUNCTION("""COMPUTED_VALUE"""),24762.0)</f>
        <v>24762</v>
      </c>
      <c r="P1298" s="2">
        <f>IFERROR(__xludf.DUMMYFUNCTION("""COMPUTED_VALUE"""),1238.0)</f>
        <v>1238</v>
      </c>
      <c r="Q1298" s="2" t="str">
        <f>IFERROR(__xludf.DUMMYFUNCTION("""COMPUTED_VALUE"""),"Dine In")</f>
        <v>Dine In</v>
      </c>
      <c r="R1298" s="2" t="str">
        <f>IFERROR(__xludf.DUMMYFUNCTION("""COMPUTED_VALUE"""),"Kedai")</f>
        <v>Kedai</v>
      </c>
      <c r="S1298" s="2" t="str">
        <f>IFERROR(__xludf.DUMMYFUNCTION("""COMPUTED_VALUE"""),"Temu Roti")</f>
        <v>Temu Roti</v>
      </c>
      <c r="T1298" s="2" t="str">
        <f>IFERROR(__xludf.DUMMYFUNCTION("""COMPUTED_VALUE"""),"Owner")</f>
        <v>Owner</v>
      </c>
      <c r="U1298" s="2"/>
      <c r="V1298" s="2"/>
      <c r="W1298" s="2"/>
      <c r="X1298" s="2" t="str">
        <f>IFERROR(__xludf.DUMMYFUNCTION("""COMPUTED_VALUE"""),"Closed")</f>
        <v>Closed</v>
      </c>
    </row>
    <row r="1299">
      <c r="A1299" s="3" t="s">
        <v>1309</v>
      </c>
      <c r="B1299" s="4">
        <f>IFERROR(__xludf.DUMMYFUNCTION("SPLIT(A1299,"","",0,0)"),45540.623611111114)</f>
        <v>45540.62361</v>
      </c>
      <c r="C1299" s="5">
        <f>IFERROR(__xludf.DUMMYFUNCTION("""COMPUTED_VALUE"""),2616265.0)</f>
        <v>2616265</v>
      </c>
      <c r="D1299" s="2" t="str">
        <f>IFERROR(__xludf.DUMMYFUNCTION("""COMPUTED_VALUE"""),"Sale")</f>
        <v>Sale</v>
      </c>
      <c r="E1299" s="2" t="str">
        <f>IFERROR(__xludf.DUMMYFUNCTION("""COMPUTED_VALUE"""),"Roti")</f>
        <v>Roti</v>
      </c>
      <c r="F1299" s="2">
        <f>IFERROR(__xludf.DUMMYFUNCTION("""COMPUTED_VALUE"""),10042.0)</f>
        <v>10042</v>
      </c>
      <c r="G1299" s="2" t="str">
        <f>IFERROR(__xludf.DUMMYFUNCTION("""COMPUTED_VALUE"""),"Roti coklat")</f>
        <v>Roti coklat</v>
      </c>
      <c r="H1299" s="2"/>
      <c r="I1299" s="2"/>
      <c r="J1299" s="2">
        <f>IFERROR(__xludf.DUMMYFUNCTION("""COMPUTED_VALUE"""),1.0)</f>
        <v>1</v>
      </c>
      <c r="K1299" s="6">
        <f>IFERROR(__xludf.DUMMYFUNCTION("""COMPUTED_VALUE"""),9524.0)</f>
        <v>9524</v>
      </c>
      <c r="L1299" s="2">
        <f>IFERROR(__xludf.DUMMYFUNCTION("""COMPUTED_VALUE"""),0.0)</f>
        <v>0</v>
      </c>
      <c r="M1299" s="2">
        <f>IFERROR(__xludf.DUMMYFUNCTION("""COMPUTED_VALUE"""),9524.0)</f>
        <v>9524</v>
      </c>
      <c r="N1299" s="2">
        <f>IFERROR(__xludf.DUMMYFUNCTION("""COMPUTED_VALUE"""),0.0)</f>
        <v>0</v>
      </c>
      <c r="O1299" s="2">
        <f>IFERROR(__xludf.DUMMYFUNCTION("""COMPUTED_VALUE"""),9524.0)</f>
        <v>9524</v>
      </c>
      <c r="P1299" s="2">
        <f>IFERROR(__xludf.DUMMYFUNCTION("""COMPUTED_VALUE"""),476.0)</f>
        <v>476</v>
      </c>
      <c r="Q1299" s="2" t="str">
        <f>IFERROR(__xludf.DUMMYFUNCTION("""COMPUTED_VALUE"""),"Dine In")</f>
        <v>Dine In</v>
      </c>
      <c r="R1299" s="2" t="str">
        <f>IFERROR(__xludf.DUMMYFUNCTION("""COMPUTED_VALUE"""),"Kedai")</f>
        <v>Kedai</v>
      </c>
      <c r="S1299" s="2" t="str">
        <f>IFERROR(__xludf.DUMMYFUNCTION("""COMPUTED_VALUE"""),"Temu Roti")</f>
        <v>Temu Roti</v>
      </c>
      <c r="T1299" s="2" t="str">
        <f>IFERROR(__xludf.DUMMYFUNCTION("""COMPUTED_VALUE"""),"Owner")</f>
        <v>Owner</v>
      </c>
      <c r="U1299" s="2"/>
      <c r="V1299" s="2"/>
      <c r="W1299" s="2"/>
      <c r="X1299" s="2" t="str">
        <f>IFERROR(__xludf.DUMMYFUNCTION("""COMPUTED_VALUE"""),"Closed")</f>
        <v>Closed</v>
      </c>
    </row>
    <row r="1300">
      <c r="A1300" s="3" t="s">
        <v>1310</v>
      </c>
      <c r="B1300" s="4">
        <f>IFERROR(__xludf.DUMMYFUNCTION("SPLIT(A1300,"","",0,0)"),45540.61875)</f>
        <v>45540.61875</v>
      </c>
      <c r="C1300" s="5">
        <f>IFERROR(__xludf.DUMMYFUNCTION("""COMPUTED_VALUE"""),2615900.0)</f>
        <v>2615900</v>
      </c>
      <c r="D1300" s="2" t="str">
        <f>IFERROR(__xludf.DUMMYFUNCTION("""COMPUTED_VALUE"""),"Sale")</f>
        <v>Sale</v>
      </c>
      <c r="E1300" s="2" t="str">
        <f>IFERROR(__xludf.DUMMYFUNCTION("""COMPUTED_VALUE"""),"Hidangan Utama")</f>
        <v>Hidangan Utama</v>
      </c>
      <c r="F1300" s="2">
        <f>IFERROR(__xludf.DUMMYFUNCTION("""COMPUTED_VALUE"""),10053.0)</f>
        <v>10053</v>
      </c>
      <c r="G1300" s="2" t="str">
        <f>IFERROR(__xludf.DUMMYFUNCTION("""COMPUTED_VALUE"""),"Nasi telor")</f>
        <v>Nasi telor</v>
      </c>
      <c r="H1300" s="2"/>
      <c r="I1300" s="2"/>
      <c r="J1300" s="2">
        <f>IFERROR(__xludf.DUMMYFUNCTION("""COMPUTED_VALUE"""),1.0)</f>
        <v>1</v>
      </c>
      <c r="K1300" s="6">
        <f>IFERROR(__xludf.DUMMYFUNCTION("""COMPUTED_VALUE"""),25238.0)</f>
        <v>25238</v>
      </c>
      <c r="L1300" s="2">
        <f>IFERROR(__xludf.DUMMYFUNCTION("""COMPUTED_VALUE"""),0.0)</f>
        <v>0</v>
      </c>
      <c r="M1300" s="2">
        <f>IFERROR(__xludf.DUMMYFUNCTION("""COMPUTED_VALUE"""),25238.0)</f>
        <v>25238</v>
      </c>
      <c r="N1300" s="2">
        <f>IFERROR(__xludf.DUMMYFUNCTION("""COMPUTED_VALUE"""),0.0)</f>
        <v>0</v>
      </c>
      <c r="O1300" s="2">
        <f>IFERROR(__xludf.DUMMYFUNCTION("""COMPUTED_VALUE"""),25238.0)</f>
        <v>25238</v>
      </c>
      <c r="P1300" s="2">
        <f>IFERROR(__xludf.DUMMYFUNCTION("""COMPUTED_VALUE"""),1262.0)</f>
        <v>1262</v>
      </c>
      <c r="Q1300" s="2" t="str">
        <f>IFERROR(__xludf.DUMMYFUNCTION("""COMPUTED_VALUE"""),"Dine In")</f>
        <v>Dine In</v>
      </c>
      <c r="R1300" s="2" t="str">
        <f>IFERROR(__xludf.DUMMYFUNCTION("""COMPUTED_VALUE"""),"Kedai")</f>
        <v>Kedai</v>
      </c>
      <c r="S1300" s="2" t="str">
        <f>IFERROR(__xludf.DUMMYFUNCTION("""COMPUTED_VALUE"""),"Temu Roti")</f>
        <v>Temu Roti</v>
      </c>
      <c r="T1300" s="2" t="str">
        <f>IFERROR(__xludf.DUMMYFUNCTION("""COMPUTED_VALUE"""),"Owner")</f>
        <v>Owner</v>
      </c>
      <c r="U1300" s="2"/>
      <c r="V1300" s="2"/>
      <c r="W1300" s="2"/>
      <c r="X1300" s="2" t="str">
        <f>IFERROR(__xludf.DUMMYFUNCTION("""COMPUTED_VALUE"""),"Closed")</f>
        <v>Closed</v>
      </c>
    </row>
    <row r="1301">
      <c r="A1301" s="3" t="s">
        <v>1311</v>
      </c>
      <c r="B1301" s="4">
        <f>IFERROR(__xludf.DUMMYFUNCTION("SPLIT(A1301,"","",0,0)"),45540.61875)</f>
        <v>45540.61875</v>
      </c>
      <c r="C1301" s="5">
        <f>IFERROR(__xludf.DUMMYFUNCTION("""COMPUTED_VALUE"""),2615900.0)</f>
        <v>2615900</v>
      </c>
      <c r="D1301" s="2" t="str">
        <f>IFERROR(__xludf.DUMMYFUNCTION("""COMPUTED_VALUE"""),"Sale")</f>
        <v>Sale</v>
      </c>
      <c r="E1301" s="2" t="str">
        <f>IFERROR(__xludf.DUMMYFUNCTION("""COMPUTED_VALUE"""),"Roti")</f>
        <v>Roti</v>
      </c>
      <c r="F1301" s="2">
        <f>IFERROR(__xludf.DUMMYFUNCTION("""COMPUTED_VALUE"""),10002.0)</f>
        <v>10002</v>
      </c>
      <c r="G1301" s="2" t="str">
        <f>IFERROR(__xludf.DUMMYFUNCTION("""COMPUTED_VALUE"""),"Roti Cranberry")</f>
        <v>Roti Cranberry</v>
      </c>
      <c r="H1301" s="2"/>
      <c r="I1301" s="2"/>
      <c r="J1301" s="2">
        <f>IFERROR(__xludf.DUMMYFUNCTION("""COMPUTED_VALUE"""),1.0)</f>
        <v>1</v>
      </c>
      <c r="K1301" s="6">
        <f>IFERROR(__xludf.DUMMYFUNCTION("""COMPUTED_VALUE"""),18571.0)</f>
        <v>18571</v>
      </c>
      <c r="L1301" s="2">
        <f>IFERROR(__xludf.DUMMYFUNCTION("""COMPUTED_VALUE"""),0.0)</f>
        <v>0</v>
      </c>
      <c r="M1301" s="2">
        <f>IFERROR(__xludf.DUMMYFUNCTION("""COMPUTED_VALUE"""),18571.0)</f>
        <v>18571</v>
      </c>
      <c r="N1301" s="2">
        <f>IFERROR(__xludf.DUMMYFUNCTION("""COMPUTED_VALUE"""),0.0)</f>
        <v>0</v>
      </c>
      <c r="O1301" s="2">
        <f>IFERROR(__xludf.DUMMYFUNCTION("""COMPUTED_VALUE"""),18571.0)</f>
        <v>18571</v>
      </c>
      <c r="P1301" s="2">
        <f>IFERROR(__xludf.DUMMYFUNCTION("""COMPUTED_VALUE"""),928.0)</f>
        <v>928</v>
      </c>
      <c r="Q1301" s="2" t="str">
        <f>IFERROR(__xludf.DUMMYFUNCTION("""COMPUTED_VALUE"""),"Dine In")</f>
        <v>Dine In</v>
      </c>
      <c r="R1301" s="2" t="str">
        <f>IFERROR(__xludf.DUMMYFUNCTION("""COMPUTED_VALUE"""),"Kedai")</f>
        <v>Kedai</v>
      </c>
      <c r="S1301" s="2" t="str">
        <f>IFERROR(__xludf.DUMMYFUNCTION("""COMPUTED_VALUE"""),"Temu Roti")</f>
        <v>Temu Roti</v>
      </c>
      <c r="T1301" s="2" t="str">
        <f>IFERROR(__xludf.DUMMYFUNCTION("""COMPUTED_VALUE"""),"Owner")</f>
        <v>Owner</v>
      </c>
      <c r="U1301" s="2"/>
      <c r="V1301" s="2"/>
      <c r="W1301" s="2"/>
      <c r="X1301" s="2" t="str">
        <f>IFERROR(__xludf.DUMMYFUNCTION("""COMPUTED_VALUE"""),"Closed")</f>
        <v>Closed</v>
      </c>
    </row>
    <row r="1302">
      <c r="A1302" s="3" t="s">
        <v>1312</v>
      </c>
      <c r="B1302" s="4">
        <f>IFERROR(__xludf.DUMMYFUNCTION("SPLIT(A1302,"","",0,0)"),45540.575694444444)</f>
        <v>45540.57569</v>
      </c>
      <c r="C1302" s="5">
        <f>IFERROR(__xludf.DUMMYFUNCTION("""COMPUTED_VALUE"""),2615535.0)</f>
        <v>2615535</v>
      </c>
      <c r="D1302" s="2" t="str">
        <f>IFERROR(__xludf.DUMMYFUNCTION("""COMPUTED_VALUE"""),"Sale")</f>
        <v>Sale</v>
      </c>
      <c r="E1302" s="2" t="str">
        <f>IFERROR(__xludf.DUMMYFUNCTION("""COMPUTED_VALUE"""),"Roti")</f>
        <v>Roti</v>
      </c>
      <c r="F1302" s="2">
        <f>IFERROR(__xludf.DUMMYFUNCTION("""COMPUTED_VALUE"""),10007.0)</f>
        <v>10007</v>
      </c>
      <c r="G1302" s="2" t="str">
        <f>IFERROR(__xludf.DUMMYFUNCTION("""COMPUTED_VALUE"""),"Roti cranberry 2 pcs")</f>
        <v>Roti cranberry 2 pcs</v>
      </c>
      <c r="H1302" s="2"/>
      <c r="I1302" s="2"/>
      <c r="J1302" s="2">
        <f>IFERROR(__xludf.DUMMYFUNCTION("""COMPUTED_VALUE"""),1.0)</f>
        <v>1</v>
      </c>
      <c r="K1302" s="6">
        <f>IFERROR(__xludf.DUMMYFUNCTION("""COMPUTED_VALUE"""),33810.0)</f>
        <v>33810</v>
      </c>
      <c r="L1302" s="2">
        <f>IFERROR(__xludf.DUMMYFUNCTION("""COMPUTED_VALUE"""),0.0)</f>
        <v>0</v>
      </c>
      <c r="M1302" s="2">
        <f>IFERROR(__xludf.DUMMYFUNCTION("""COMPUTED_VALUE"""),33810.0)</f>
        <v>33810</v>
      </c>
      <c r="N1302" s="2">
        <f>IFERROR(__xludf.DUMMYFUNCTION("""COMPUTED_VALUE"""),0.0)</f>
        <v>0</v>
      </c>
      <c r="O1302" s="2">
        <f>IFERROR(__xludf.DUMMYFUNCTION("""COMPUTED_VALUE"""),33810.0)</f>
        <v>33810</v>
      </c>
      <c r="P1302" s="2">
        <f>IFERROR(__xludf.DUMMYFUNCTION("""COMPUTED_VALUE"""),1691.0)</f>
        <v>1691</v>
      </c>
      <c r="Q1302" s="2" t="str">
        <f>IFERROR(__xludf.DUMMYFUNCTION("""COMPUTED_VALUE"""),"Dine In")</f>
        <v>Dine In</v>
      </c>
      <c r="R1302" s="2" t="str">
        <f>IFERROR(__xludf.DUMMYFUNCTION("""COMPUTED_VALUE"""),"Kedai")</f>
        <v>Kedai</v>
      </c>
      <c r="S1302" s="2" t="str">
        <f>IFERROR(__xludf.DUMMYFUNCTION("""COMPUTED_VALUE"""),"Temu Roti")</f>
        <v>Temu Roti</v>
      </c>
      <c r="T1302" s="2" t="str">
        <f>IFERROR(__xludf.DUMMYFUNCTION("""COMPUTED_VALUE"""),"Owner")</f>
        <v>Owner</v>
      </c>
      <c r="U1302" s="2"/>
      <c r="V1302" s="2"/>
      <c r="W1302" s="2"/>
      <c r="X1302" s="2" t="str">
        <f>IFERROR(__xludf.DUMMYFUNCTION("""COMPUTED_VALUE"""),"Closed")</f>
        <v>Closed</v>
      </c>
    </row>
    <row r="1303">
      <c r="A1303" s="3" t="s">
        <v>1313</v>
      </c>
      <c r="B1303" s="4">
        <f>IFERROR(__xludf.DUMMYFUNCTION("SPLIT(A1303,"","",0,0)"),45540.575694444444)</f>
        <v>45540.57569</v>
      </c>
      <c r="C1303" s="5">
        <f>IFERROR(__xludf.DUMMYFUNCTION("""COMPUTED_VALUE"""),2615535.0)</f>
        <v>2615535</v>
      </c>
      <c r="D1303" s="2" t="str">
        <f>IFERROR(__xludf.DUMMYFUNCTION("""COMPUTED_VALUE"""),"Sale")</f>
        <v>Sale</v>
      </c>
      <c r="E1303" s="2" t="str">
        <f>IFERROR(__xludf.DUMMYFUNCTION("""COMPUTED_VALUE"""),"Roti")</f>
        <v>Roti</v>
      </c>
      <c r="F1303" s="2">
        <f>IFERROR(__xludf.DUMMYFUNCTION("""COMPUTED_VALUE"""),10042.0)</f>
        <v>10042</v>
      </c>
      <c r="G1303" s="2" t="str">
        <f>IFERROR(__xludf.DUMMYFUNCTION("""COMPUTED_VALUE"""),"Roti coklat")</f>
        <v>Roti coklat</v>
      </c>
      <c r="H1303" s="2"/>
      <c r="I1303" s="2"/>
      <c r="J1303" s="2">
        <f>IFERROR(__xludf.DUMMYFUNCTION("""COMPUTED_VALUE"""),2.0)</f>
        <v>2</v>
      </c>
      <c r="K1303" s="6">
        <f>IFERROR(__xludf.DUMMYFUNCTION("""COMPUTED_VALUE"""),19048.0)</f>
        <v>19048</v>
      </c>
      <c r="L1303" s="2">
        <f>IFERROR(__xludf.DUMMYFUNCTION("""COMPUTED_VALUE"""),0.0)</f>
        <v>0</v>
      </c>
      <c r="M1303" s="2">
        <f>IFERROR(__xludf.DUMMYFUNCTION("""COMPUTED_VALUE"""),19048.0)</f>
        <v>19048</v>
      </c>
      <c r="N1303" s="2">
        <f>IFERROR(__xludf.DUMMYFUNCTION("""COMPUTED_VALUE"""),0.0)</f>
        <v>0</v>
      </c>
      <c r="O1303" s="2">
        <f>IFERROR(__xludf.DUMMYFUNCTION("""COMPUTED_VALUE"""),19048.0)</f>
        <v>19048</v>
      </c>
      <c r="P1303" s="2">
        <f>IFERROR(__xludf.DUMMYFUNCTION("""COMPUTED_VALUE"""),952.0)</f>
        <v>952</v>
      </c>
      <c r="Q1303" s="2" t="str">
        <f>IFERROR(__xludf.DUMMYFUNCTION("""COMPUTED_VALUE"""),"Dine In")</f>
        <v>Dine In</v>
      </c>
      <c r="R1303" s="2" t="str">
        <f>IFERROR(__xludf.DUMMYFUNCTION("""COMPUTED_VALUE"""),"Kedai")</f>
        <v>Kedai</v>
      </c>
      <c r="S1303" s="2" t="str">
        <f>IFERROR(__xludf.DUMMYFUNCTION("""COMPUTED_VALUE"""),"Temu Roti")</f>
        <v>Temu Roti</v>
      </c>
      <c r="T1303" s="2" t="str">
        <f>IFERROR(__xludf.DUMMYFUNCTION("""COMPUTED_VALUE"""),"Owner")</f>
        <v>Owner</v>
      </c>
      <c r="U1303" s="2"/>
      <c r="V1303" s="2"/>
      <c r="W1303" s="2"/>
      <c r="X1303" s="2" t="str">
        <f>IFERROR(__xludf.DUMMYFUNCTION("""COMPUTED_VALUE"""),"Closed")</f>
        <v>Closed</v>
      </c>
    </row>
    <row r="1304">
      <c r="A1304" s="3" t="s">
        <v>1314</v>
      </c>
      <c r="B1304" s="4">
        <f>IFERROR(__xludf.DUMMYFUNCTION("SPLIT(A1304,"","",0,0)"),45540.575694444444)</f>
        <v>45540.57569</v>
      </c>
      <c r="C1304" s="5">
        <f>IFERROR(__xludf.DUMMYFUNCTION("""COMPUTED_VALUE"""),2615535.0)</f>
        <v>2615535</v>
      </c>
      <c r="D1304" s="2" t="str">
        <f>IFERROR(__xludf.DUMMYFUNCTION("""COMPUTED_VALUE"""),"Sale")</f>
        <v>Sale</v>
      </c>
      <c r="E1304" s="2" t="str">
        <f>IFERROR(__xludf.DUMMYFUNCTION("""COMPUTED_VALUE"""),"Roti")</f>
        <v>Roti</v>
      </c>
      <c r="F1304" s="2">
        <f>IFERROR(__xludf.DUMMYFUNCTION("""COMPUTED_VALUE"""),10043.0)</f>
        <v>10043</v>
      </c>
      <c r="G1304" s="2" t="str">
        <f>IFERROR(__xludf.DUMMYFUNCTION("""COMPUTED_VALUE"""),"Roti keju")</f>
        <v>Roti keju</v>
      </c>
      <c r="H1304" s="2"/>
      <c r="I1304" s="2"/>
      <c r="J1304" s="2">
        <f>IFERROR(__xludf.DUMMYFUNCTION("""COMPUTED_VALUE"""),1.0)</f>
        <v>1</v>
      </c>
      <c r="K1304" s="6">
        <f>IFERROR(__xludf.DUMMYFUNCTION("""COMPUTED_VALUE"""),9524.0)</f>
        <v>9524</v>
      </c>
      <c r="L1304" s="2">
        <f>IFERROR(__xludf.DUMMYFUNCTION("""COMPUTED_VALUE"""),0.0)</f>
        <v>0</v>
      </c>
      <c r="M1304" s="2">
        <f>IFERROR(__xludf.DUMMYFUNCTION("""COMPUTED_VALUE"""),9524.0)</f>
        <v>9524</v>
      </c>
      <c r="N1304" s="2">
        <f>IFERROR(__xludf.DUMMYFUNCTION("""COMPUTED_VALUE"""),0.0)</f>
        <v>0</v>
      </c>
      <c r="O1304" s="2">
        <f>IFERROR(__xludf.DUMMYFUNCTION("""COMPUTED_VALUE"""),9524.0)</f>
        <v>9524</v>
      </c>
      <c r="P1304" s="2">
        <f>IFERROR(__xludf.DUMMYFUNCTION("""COMPUTED_VALUE"""),476.0)</f>
        <v>476</v>
      </c>
      <c r="Q1304" s="2" t="str">
        <f>IFERROR(__xludf.DUMMYFUNCTION("""COMPUTED_VALUE"""),"Dine In")</f>
        <v>Dine In</v>
      </c>
      <c r="R1304" s="2" t="str">
        <f>IFERROR(__xludf.DUMMYFUNCTION("""COMPUTED_VALUE"""),"Kedai")</f>
        <v>Kedai</v>
      </c>
      <c r="S1304" s="2" t="str">
        <f>IFERROR(__xludf.DUMMYFUNCTION("""COMPUTED_VALUE"""),"Temu Roti")</f>
        <v>Temu Roti</v>
      </c>
      <c r="T1304" s="2" t="str">
        <f>IFERROR(__xludf.DUMMYFUNCTION("""COMPUTED_VALUE"""),"Owner")</f>
        <v>Owner</v>
      </c>
      <c r="U1304" s="2"/>
      <c r="V1304" s="2"/>
      <c r="W1304" s="2"/>
      <c r="X1304" s="2" t="str">
        <f>IFERROR(__xludf.DUMMYFUNCTION("""COMPUTED_VALUE"""),"Closed")</f>
        <v>Closed</v>
      </c>
    </row>
    <row r="1305">
      <c r="A1305" s="3" t="s">
        <v>1315</v>
      </c>
      <c r="B1305" s="4">
        <f>IFERROR(__xludf.DUMMYFUNCTION("SPLIT(A1305,"","",0,0)"),45540.54722222222)</f>
        <v>45540.54722</v>
      </c>
      <c r="C1305" s="5">
        <f>IFERROR(__xludf.DUMMYFUNCTION("""COMPUTED_VALUE"""),2615169.0)</f>
        <v>2615169</v>
      </c>
      <c r="D1305" s="2" t="str">
        <f>IFERROR(__xludf.DUMMYFUNCTION("""COMPUTED_VALUE"""),"Sale")</f>
        <v>Sale</v>
      </c>
      <c r="E1305" s="2" t="str">
        <f>IFERROR(__xludf.DUMMYFUNCTION("""COMPUTED_VALUE"""),"Hidangan Utama")</f>
        <v>Hidangan Utama</v>
      </c>
      <c r="F1305" s="2">
        <f>IFERROR(__xludf.DUMMYFUNCTION("""COMPUTED_VALUE"""),10003.0)</f>
        <v>10003</v>
      </c>
      <c r="G1305" s="2" t="str">
        <f>IFERROR(__xludf.DUMMYFUNCTION("""COMPUTED_VALUE"""),"Nasi Goreng Temu")</f>
        <v>Nasi Goreng Temu</v>
      </c>
      <c r="H1305" s="2"/>
      <c r="I1305" s="2"/>
      <c r="J1305" s="2">
        <f>IFERROR(__xludf.DUMMYFUNCTION("""COMPUTED_VALUE"""),3.0)</f>
        <v>3</v>
      </c>
      <c r="K1305" s="6">
        <f>IFERROR(__xludf.DUMMYFUNCTION("""COMPUTED_VALUE"""),88572.0)</f>
        <v>88572</v>
      </c>
      <c r="L1305" s="2">
        <f>IFERROR(__xludf.DUMMYFUNCTION("""COMPUTED_VALUE"""),0.0)</f>
        <v>0</v>
      </c>
      <c r="M1305" s="2">
        <f>IFERROR(__xludf.DUMMYFUNCTION("""COMPUTED_VALUE"""),88572.0)</f>
        <v>88572</v>
      </c>
      <c r="N1305" s="2">
        <f>IFERROR(__xludf.DUMMYFUNCTION("""COMPUTED_VALUE"""),0.0)</f>
        <v>0</v>
      </c>
      <c r="O1305" s="2">
        <f>IFERROR(__xludf.DUMMYFUNCTION("""COMPUTED_VALUE"""),88572.0)</f>
        <v>88572</v>
      </c>
      <c r="P1305" s="2">
        <f>IFERROR(__xludf.DUMMYFUNCTION("""COMPUTED_VALUE"""),4429.0)</f>
        <v>4429</v>
      </c>
      <c r="Q1305" s="2" t="str">
        <f>IFERROR(__xludf.DUMMYFUNCTION("""COMPUTED_VALUE"""),"Dine In")</f>
        <v>Dine In</v>
      </c>
      <c r="R1305" s="2" t="str">
        <f>IFERROR(__xludf.DUMMYFUNCTION("""COMPUTED_VALUE"""),"Kedai")</f>
        <v>Kedai</v>
      </c>
      <c r="S1305" s="2" t="str">
        <f>IFERROR(__xludf.DUMMYFUNCTION("""COMPUTED_VALUE"""),"Temu Roti")</f>
        <v>Temu Roti</v>
      </c>
      <c r="T1305" s="2" t="str">
        <f>IFERROR(__xludf.DUMMYFUNCTION("""COMPUTED_VALUE"""),"Owner")</f>
        <v>Owner</v>
      </c>
      <c r="U1305" s="2"/>
      <c r="V1305" s="2"/>
      <c r="W1305" s="2"/>
      <c r="X1305" s="2" t="str">
        <f>IFERROR(__xludf.DUMMYFUNCTION("""COMPUTED_VALUE"""),"Closed")</f>
        <v>Closed</v>
      </c>
    </row>
    <row r="1306">
      <c r="A1306" s="3" t="s">
        <v>1316</v>
      </c>
      <c r="B1306" s="4">
        <f>IFERROR(__xludf.DUMMYFUNCTION("SPLIT(A1306,"","",0,0)"),45540.50208333333)</f>
        <v>45540.50208</v>
      </c>
      <c r="C1306" s="5">
        <f>IFERROR(__xludf.DUMMYFUNCTION("""COMPUTED_VALUE"""),2614804.0)</f>
        <v>2614804</v>
      </c>
      <c r="D1306" s="2" t="str">
        <f>IFERROR(__xludf.DUMMYFUNCTION("""COMPUTED_VALUE"""),"Sale")</f>
        <v>Sale</v>
      </c>
      <c r="E1306" s="2" t="str">
        <f>IFERROR(__xludf.DUMMYFUNCTION("""COMPUTED_VALUE"""),"Minuman")</f>
        <v>Minuman</v>
      </c>
      <c r="F1306" s="2">
        <f>IFERROR(__xludf.DUMMYFUNCTION("""COMPUTED_VALUE"""),10026.0)</f>
        <v>10026</v>
      </c>
      <c r="G1306" s="2" t="str">
        <f>IFERROR(__xludf.DUMMYFUNCTION("""COMPUTED_VALUE"""),"Es Kopi Lemon")</f>
        <v>Es Kopi Lemon</v>
      </c>
      <c r="H1306" s="2"/>
      <c r="I1306" s="2"/>
      <c r="J1306" s="2">
        <f>IFERROR(__xludf.DUMMYFUNCTION("""COMPUTED_VALUE"""),1.0)</f>
        <v>1</v>
      </c>
      <c r="K1306" s="6">
        <f>IFERROR(__xludf.DUMMYFUNCTION("""COMPUTED_VALUE"""),21905.0)</f>
        <v>21905</v>
      </c>
      <c r="L1306" s="2">
        <f>IFERROR(__xludf.DUMMYFUNCTION("""COMPUTED_VALUE"""),0.0)</f>
        <v>0</v>
      </c>
      <c r="M1306" s="2">
        <f>IFERROR(__xludf.DUMMYFUNCTION("""COMPUTED_VALUE"""),21905.0)</f>
        <v>21905</v>
      </c>
      <c r="N1306" s="2">
        <f>IFERROR(__xludf.DUMMYFUNCTION("""COMPUTED_VALUE"""),0.0)</f>
        <v>0</v>
      </c>
      <c r="O1306" s="2">
        <f>IFERROR(__xludf.DUMMYFUNCTION("""COMPUTED_VALUE"""),21905.0)</f>
        <v>21905</v>
      </c>
      <c r="P1306" s="2">
        <f>IFERROR(__xludf.DUMMYFUNCTION("""COMPUTED_VALUE"""),1095.0)</f>
        <v>1095</v>
      </c>
      <c r="Q1306" s="2" t="str">
        <f>IFERROR(__xludf.DUMMYFUNCTION("""COMPUTED_VALUE"""),"Dine In")</f>
        <v>Dine In</v>
      </c>
      <c r="R1306" s="2" t="str">
        <f>IFERROR(__xludf.DUMMYFUNCTION("""COMPUTED_VALUE"""),"Kedai")</f>
        <v>Kedai</v>
      </c>
      <c r="S1306" s="2" t="str">
        <f>IFERROR(__xludf.DUMMYFUNCTION("""COMPUTED_VALUE"""),"Temu Roti")</f>
        <v>Temu Roti</v>
      </c>
      <c r="T1306" s="2" t="str">
        <f>IFERROR(__xludf.DUMMYFUNCTION("""COMPUTED_VALUE"""),"Owner")</f>
        <v>Owner</v>
      </c>
      <c r="U1306" s="2"/>
      <c r="V1306" s="2"/>
      <c r="W1306" s="2"/>
      <c r="X1306" s="2" t="str">
        <f>IFERROR(__xludf.DUMMYFUNCTION("""COMPUTED_VALUE"""),"Closed")</f>
        <v>Closed</v>
      </c>
    </row>
    <row r="1307">
      <c r="A1307" s="3" t="s">
        <v>1317</v>
      </c>
      <c r="B1307" s="4">
        <f>IFERROR(__xludf.DUMMYFUNCTION("SPLIT(A1307,"","",0,0)"),45540.50208333333)</f>
        <v>45540.50208</v>
      </c>
      <c r="C1307" s="5">
        <f>IFERROR(__xludf.DUMMYFUNCTION("""COMPUTED_VALUE"""),2614804.0)</f>
        <v>2614804</v>
      </c>
      <c r="D1307" s="2" t="str">
        <f>IFERROR(__xludf.DUMMYFUNCTION("""COMPUTED_VALUE"""),"Sale")</f>
        <v>Sale</v>
      </c>
      <c r="E1307" s="2" t="str">
        <f>IFERROR(__xludf.DUMMYFUNCTION("""COMPUTED_VALUE"""),"Hidangan Utama")</f>
        <v>Hidangan Utama</v>
      </c>
      <c r="F1307" s="2">
        <f>IFERROR(__xludf.DUMMYFUNCTION("""COMPUTED_VALUE"""),10053.0)</f>
        <v>10053</v>
      </c>
      <c r="G1307" s="2" t="str">
        <f>IFERROR(__xludf.DUMMYFUNCTION("""COMPUTED_VALUE"""),"Nasi telor")</f>
        <v>Nasi telor</v>
      </c>
      <c r="H1307" s="2"/>
      <c r="I1307" s="2"/>
      <c r="J1307" s="2">
        <f>IFERROR(__xludf.DUMMYFUNCTION("""COMPUTED_VALUE"""),1.0)</f>
        <v>1</v>
      </c>
      <c r="K1307" s="6">
        <f>IFERROR(__xludf.DUMMYFUNCTION("""COMPUTED_VALUE"""),25238.0)</f>
        <v>25238</v>
      </c>
      <c r="L1307" s="2">
        <f>IFERROR(__xludf.DUMMYFUNCTION("""COMPUTED_VALUE"""),0.0)</f>
        <v>0</v>
      </c>
      <c r="M1307" s="2">
        <f>IFERROR(__xludf.DUMMYFUNCTION("""COMPUTED_VALUE"""),25238.0)</f>
        <v>25238</v>
      </c>
      <c r="N1307" s="2">
        <f>IFERROR(__xludf.DUMMYFUNCTION("""COMPUTED_VALUE"""),0.0)</f>
        <v>0</v>
      </c>
      <c r="O1307" s="2">
        <f>IFERROR(__xludf.DUMMYFUNCTION("""COMPUTED_VALUE"""),25238.0)</f>
        <v>25238</v>
      </c>
      <c r="P1307" s="2">
        <f>IFERROR(__xludf.DUMMYFUNCTION("""COMPUTED_VALUE"""),1262.0)</f>
        <v>1262</v>
      </c>
      <c r="Q1307" s="2" t="str">
        <f>IFERROR(__xludf.DUMMYFUNCTION("""COMPUTED_VALUE"""),"Dine In")</f>
        <v>Dine In</v>
      </c>
      <c r="R1307" s="2" t="str">
        <f>IFERROR(__xludf.DUMMYFUNCTION("""COMPUTED_VALUE"""),"Kedai")</f>
        <v>Kedai</v>
      </c>
      <c r="S1307" s="2" t="str">
        <f>IFERROR(__xludf.DUMMYFUNCTION("""COMPUTED_VALUE"""),"Temu Roti")</f>
        <v>Temu Roti</v>
      </c>
      <c r="T1307" s="2" t="str">
        <f>IFERROR(__xludf.DUMMYFUNCTION("""COMPUTED_VALUE"""),"Owner")</f>
        <v>Owner</v>
      </c>
      <c r="U1307" s="2"/>
      <c r="V1307" s="2"/>
      <c r="W1307" s="2"/>
      <c r="X1307" s="2" t="str">
        <f>IFERROR(__xludf.DUMMYFUNCTION("""COMPUTED_VALUE"""),"Closed")</f>
        <v>Closed</v>
      </c>
    </row>
    <row r="1308">
      <c r="A1308" s="3" t="s">
        <v>1318</v>
      </c>
      <c r="B1308" s="4">
        <f>IFERROR(__xludf.DUMMYFUNCTION("SPLIT(A1308,"","",0,0)"),45539.76111111111)</f>
        <v>45539.76111</v>
      </c>
      <c r="C1308" s="5">
        <f>IFERROR(__xludf.DUMMYFUNCTION("""COMPUTED_VALUE"""),2614439.0)</f>
        <v>2614439</v>
      </c>
      <c r="D1308" s="2" t="str">
        <f>IFERROR(__xludf.DUMMYFUNCTION("""COMPUTED_VALUE"""),"Sale")</f>
        <v>Sale</v>
      </c>
      <c r="E1308" s="2" t="str">
        <f>IFERROR(__xludf.DUMMYFUNCTION("""COMPUTED_VALUE"""),"Roti")</f>
        <v>Roti</v>
      </c>
      <c r="F1308" s="2">
        <f>IFERROR(__xludf.DUMMYFUNCTION("""COMPUTED_VALUE"""),10054.0)</f>
        <v>10054</v>
      </c>
      <c r="G1308" s="2" t="str">
        <f>IFERROR(__xludf.DUMMYFUNCTION("""COMPUTED_VALUE"""),"Roti toast eskrim")</f>
        <v>Roti toast eskrim</v>
      </c>
      <c r="H1308" s="2"/>
      <c r="I1308" s="2"/>
      <c r="J1308" s="2">
        <f>IFERROR(__xludf.DUMMYFUNCTION("""COMPUTED_VALUE"""),1.0)</f>
        <v>1</v>
      </c>
      <c r="K1308" s="6">
        <f>IFERROR(__xludf.DUMMYFUNCTION("""COMPUTED_VALUE"""),25238.0)</f>
        <v>25238</v>
      </c>
      <c r="L1308" s="2">
        <f>IFERROR(__xludf.DUMMYFUNCTION("""COMPUTED_VALUE"""),0.0)</f>
        <v>0</v>
      </c>
      <c r="M1308" s="2">
        <f>IFERROR(__xludf.DUMMYFUNCTION("""COMPUTED_VALUE"""),25238.0)</f>
        <v>25238</v>
      </c>
      <c r="N1308" s="2">
        <f>IFERROR(__xludf.DUMMYFUNCTION("""COMPUTED_VALUE"""),0.0)</f>
        <v>0</v>
      </c>
      <c r="O1308" s="2">
        <f>IFERROR(__xludf.DUMMYFUNCTION("""COMPUTED_VALUE"""),25238.0)</f>
        <v>25238</v>
      </c>
      <c r="P1308" s="2">
        <f>IFERROR(__xludf.DUMMYFUNCTION("""COMPUTED_VALUE"""),1262.0)</f>
        <v>1262</v>
      </c>
      <c r="Q1308" s="2" t="str">
        <f>IFERROR(__xludf.DUMMYFUNCTION("""COMPUTED_VALUE"""),"Dine In")</f>
        <v>Dine In</v>
      </c>
      <c r="R1308" s="2" t="str">
        <f>IFERROR(__xludf.DUMMYFUNCTION("""COMPUTED_VALUE"""),"Kedai")</f>
        <v>Kedai</v>
      </c>
      <c r="S1308" s="2" t="str">
        <f>IFERROR(__xludf.DUMMYFUNCTION("""COMPUTED_VALUE"""),"Temu Roti")</f>
        <v>Temu Roti</v>
      </c>
      <c r="T1308" s="2" t="str">
        <f>IFERROR(__xludf.DUMMYFUNCTION("""COMPUTED_VALUE"""),"Owner")</f>
        <v>Owner</v>
      </c>
      <c r="U1308" s="2"/>
      <c r="V1308" s="2"/>
      <c r="W1308" s="2"/>
      <c r="X1308" s="2" t="str">
        <f>IFERROR(__xludf.DUMMYFUNCTION("""COMPUTED_VALUE"""),"Closed")</f>
        <v>Closed</v>
      </c>
    </row>
    <row r="1309">
      <c r="A1309" s="3" t="s">
        <v>1319</v>
      </c>
      <c r="B1309" s="4">
        <f>IFERROR(__xludf.DUMMYFUNCTION("SPLIT(A1309,"","",0,0)"),45539.73819444444)</f>
        <v>45539.73819</v>
      </c>
      <c r="C1309" s="5">
        <f>IFERROR(__xludf.DUMMYFUNCTION("""COMPUTED_VALUE"""),2614074.0)</f>
        <v>2614074</v>
      </c>
      <c r="D1309" s="2" t="str">
        <f>IFERROR(__xludf.DUMMYFUNCTION("""COMPUTED_VALUE"""),"Sale")</f>
        <v>Sale</v>
      </c>
      <c r="E1309" s="2" t="str">
        <f>IFERROR(__xludf.DUMMYFUNCTION("""COMPUTED_VALUE"""),"Hidangan Utama")</f>
        <v>Hidangan Utama</v>
      </c>
      <c r="F1309" s="2">
        <f>IFERROR(__xludf.DUMMYFUNCTION("""COMPUTED_VALUE"""),10003.0)</f>
        <v>10003</v>
      </c>
      <c r="G1309" s="2" t="str">
        <f>IFERROR(__xludf.DUMMYFUNCTION("""COMPUTED_VALUE"""),"Nasi Goreng Temu")</f>
        <v>Nasi Goreng Temu</v>
      </c>
      <c r="H1309" s="2"/>
      <c r="I1309" s="2"/>
      <c r="J1309" s="2">
        <f>IFERROR(__xludf.DUMMYFUNCTION("""COMPUTED_VALUE"""),1.0)</f>
        <v>1</v>
      </c>
      <c r="K1309" s="6">
        <f>IFERROR(__xludf.DUMMYFUNCTION("""COMPUTED_VALUE"""),29524.0)</f>
        <v>29524</v>
      </c>
      <c r="L1309" s="2">
        <f>IFERROR(__xludf.DUMMYFUNCTION("""COMPUTED_VALUE"""),0.0)</f>
        <v>0</v>
      </c>
      <c r="M1309" s="2">
        <f>IFERROR(__xludf.DUMMYFUNCTION("""COMPUTED_VALUE"""),29524.0)</f>
        <v>29524</v>
      </c>
      <c r="N1309" s="2">
        <f>IFERROR(__xludf.DUMMYFUNCTION("""COMPUTED_VALUE"""),0.0)</f>
        <v>0</v>
      </c>
      <c r="O1309" s="2">
        <f>IFERROR(__xludf.DUMMYFUNCTION("""COMPUTED_VALUE"""),29524.0)</f>
        <v>29524</v>
      </c>
      <c r="P1309" s="2">
        <f>IFERROR(__xludf.DUMMYFUNCTION("""COMPUTED_VALUE"""),1476.0)</f>
        <v>1476</v>
      </c>
      <c r="Q1309" s="2" t="str">
        <f>IFERROR(__xludf.DUMMYFUNCTION("""COMPUTED_VALUE"""),"Dine In")</f>
        <v>Dine In</v>
      </c>
      <c r="R1309" s="2" t="str">
        <f>IFERROR(__xludf.DUMMYFUNCTION("""COMPUTED_VALUE"""),"Kedai")</f>
        <v>Kedai</v>
      </c>
      <c r="S1309" s="2" t="str">
        <f>IFERROR(__xludf.DUMMYFUNCTION("""COMPUTED_VALUE"""),"Temu Roti")</f>
        <v>Temu Roti</v>
      </c>
      <c r="T1309" s="2" t="str">
        <f>IFERROR(__xludf.DUMMYFUNCTION("""COMPUTED_VALUE"""),"Owner")</f>
        <v>Owner</v>
      </c>
      <c r="U1309" s="2"/>
      <c r="V1309" s="2"/>
      <c r="W1309" s="2"/>
      <c r="X1309" s="2" t="str">
        <f>IFERROR(__xludf.DUMMYFUNCTION("""COMPUTED_VALUE"""),"Closed")</f>
        <v>Closed</v>
      </c>
    </row>
    <row r="1310">
      <c r="A1310" s="3" t="s">
        <v>1320</v>
      </c>
      <c r="B1310" s="4">
        <f>IFERROR(__xludf.DUMMYFUNCTION("SPLIT(A1310,"","",0,0)"),45539.73819444444)</f>
        <v>45539.73819</v>
      </c>
      <c r="C1310" s="5">
        <f>IFERROR(__xludf.DUMMYFUNCTION("""COMPUTED_VALUE"""),2613708.0)</f>
        <v>2613708</v>
      </c>
      <c r="D1310" s="2" t="str">
        <f>IFERROR(__xludf.DUMMYFUNCTION("""COMPUTED_VALUE"""),"Sale")</f>
        <v>Sale</v>
      </c>
      <c r="E1310" s="2" t="str">
        <f>IFERROR(__xludf.DUMMYFUNCTION("""COMPUTED_VALUE"""),"Roti")</f>
        <v>Roti</v>
      </c>
      <c r="F1310" s="2">
        <f>IFERROR(__xludf.DUMMYFUNCTION("""COMPUTED_VALUE"""),10005.0)</f>
        <v>10005</v>
      </c>
      <c r="G1310" s="2" t="str">
        <f>IFERROR(__xludf.DUMMYFUNCTION("""COMPUTED_VALUE"""),"Roti Gandum Cokelat")</f>
        <v>Roti Gandum Cokelat</v>
      </c>
      <c r="H1310" s="2"/>
      <c r="I1310" s="2"/>
      <c r="J1310" s="2">
        <f>IFERROR(__xludf.DUMMYFUNCTION("""COMPUTED_VALUE"""),1.0)</f>
        <v>1</v>
      </c>
      <c r="K1310" s="6">
        <f>IFERROR(__xludf.DUMMYFUNCTION("""COMPUTED_VALUE"""),19524.0)</f>
        <v>19524</v>
      </c>
      <c r="L1310" s="2">
        <f>IFERROR(__xludf.DUMMYFUNCTION("""COMPUTED_VALUE"""),0.0)</f>
        <v>0</v>
      </c>
      <c r="M1310" s="2">
        <f>IFERROR(__xludf.DUMMYFUNCTION("""COMPUTED_VALUE"""),19524.0)</f>
        <v>19524</v>
      </c>
      <c r="N1310" s="2">
        <f>IFERROR(__xludf.DUMMYFUNCTION("""COMPUTED_VALUE"""),0.0)</f>
        <v>0</v>
      </c>
      <c r="O1310" s="2">
        <f>IFERROR(__xludf.DUMMYFUNCTION("""COMPUTED_VALUE"""),19524.0)</f>
        <v>19524</v>
      </c>
      <c r="P1310" s="2">
        <f>IFERROR(__xludf.DUMMYFUNCTION("""COMPUTED_VALUE"""),976.0)</f>
        <v>976</v>
      </c>
      <c r="Q1310" s="2" t="str">
        <f>IFERROR(__xludf.DUMMYFUNCTION("""COMPUTED_VALUE"""),"Dine In")</f>
        <v>Dine In</v>
      </c>
      <c r="R1310" s="2" t="str">
        <f>IFERROR(__xludf.DUMMYFUNCTION("""COMPUTED_VALUE"""),"Kedai")</f>
        <v>Kedai</v>
      </c>
      <c r="S1310" s="2" t="str">
        <f>IFERROR(__xludf.DUMMYFUNCTION("""COMPUTED_VALUE"""),"Temu Roti")</f>
        <v>Temu Roti</v>
      </c>
      <c r="T1310" s="2" t="str">
        <f>IFERROR(__xludf.DUMMYFUNCTION("""COMPUTED_VALUE"""),"Owner")</f>
        <v>Owner</v>
      </c>
      <c r="U1310" s="2"/>
      <c r="V1310" s="2"/>
      <c r="W1310" s="2"/>
      <c r="X1310" s="2" t="str">
        <f>IFERROR(__xludf.DUMMYFUNCTION("""COMPUTED_VALUE"""),"Closed")</f>
        <v>Closed</v>
      </c>
    </row>
    <row r="1311">
      <c r="A1311" s="3" t="s">
        <v>1321</v>
      </c>
      <c r="B1311" s="4">
        <f>IFERROR(__xludf.DUMMYFUNCTION("SPLIT(A1311,"","",0,0)"),45539.73611111111)</f>
        <v>45539.73611</v>
      </c>
      <c r="C1311" s="5">
        <f>IFERROR(__xludf.DUMMYFUNCTION("""COMPUTED_VALUE"""),2613343.0)</f>
        <v>2613343</v>
      </c>
      <c r="D1311" s="2" t="str">
        <f>IFERROR(__xludf.DUMMYFUNCTION("""COMPUTED_VALUE"""),"Sale")</f>
        <v>Sale</v>
      </c>
      <c r="E1311" s="2" t="str">
        <f>IFERROR(__xludf.DUMMYFUNCTION("""COMPUTED_VALUE"""),"Hidangan Utama")</f>
        <v>Hidangan Utama</v>
      </c>
      <c r="F1311" s="2">
        <f>IFERROR(__xludf.DUMMYFUNCTION("""COMPUTED_VALUE"""),10003.0)</f>
        <v>10003</v>
      </c>
      <c r="G1311" s="2" t="str">
        <f>IFERROR(__xludf.DUMMYFUNCTION("""COMPUTED_VALUE"""),"Nasi Goreng Temu")</f>
        <v>Nasi Goreng Temu</v>
      </c>
      <c r="H1311" s="2"/>
      <c r="I1311" s="2"/>
      <c r="J1311" s="2">
        <f>IFERROR(__xludf.DUMMYFUNCTION("""COMPUTED_VALUE"""),1.0)</f>
        <v>1</v>
      </c>
      <c r="K1311" s="6">
        <f>IFERROR(__xludf.DUMMYFUNCTION("""COMPUTED_VALUE"""),29524.0)</f>
        <v>29524</v>
      </c>
      <c r="L1311" s="2">
        <f>IFERROR(__xludf.DUMMYFUNCTION("""COMPUTED_VALUE"""),0.0)</f>
        <v>0</v>
      </c>
      <c r="M1311" s="2">
        <f>IFERROR(__xludf.DUMMYFUNCTION("""COMPUTED_VALUE"""),29524.0)</f>
        <v>29524</v>
      </c>
      <c r="N1311" s="2">
        <f>IFERROR(__xludf.DUMMYFUNCTION("""COMPUTED_VALUE"""),0.0)</f>
        <v>0</v>
      </c>
      <c r="O1311" s="2">
        <f>IFERROR(__xludf.DUMMYFUNCTION("""COMPUTED_VALUE"""),29524.0)</f>
        <v>29524</v>
      </c>
      <c r="P1311" s="2">
        <f>IFERROR(__xludf.DUMMYFUNCTION("""COMPUTED_VALUE"""),1476.0)</f>
        <v>1476</v>
      </c>
      <c r="Q1311" s="2" t="str">
        <f>IFERROR(__xludf.DUMMYFUNCTION("""COMPUTED_VALUE"""),"Dine In")</f>
        <v>Dine In</v>
      </c>
      <c r="R1311" s="2" t="str">
        <f>IFERROR(__xludf.DUMMYFUNCTION("""COMPUTED_VALUE"""),"Kedai")</f>
        <v>Kedai</v>
      </c>
      <c r="S1311" s="2" t="str">
        <f>IFERROR(__xludf.DUMMYFUNCTION("""COMPUTED_VALUE"""),"Temu Roti")</f>
        <v>Temu Roti</v>
      </c>
      <c r="T1311" s="2" t="str">
        <f>IFERROR(__xludf.DUMMYFUNCTION("""COMPUTED_VALUE"""),"Owner")</f>
        <v>Owner</v>
      </c>
      <c r="U1311" s="2"/>
      <c r="V1311" s="2"/>
      <c r="W1311" s="2"/>
      <c r="X1311" s="2" t="str">
        <f>IFERROR(__xludf.DUMMYFUNCTION("""COMPUTED_VALUE"""),"Closed")</f>
        <v>Closed</v>
      </c>
    </row>
    <row r="1312">
      <c r="A1312" s="3" t="s">
        <v>1322</v>
      </c>
      <c r="B1312" s="4">
        <f>IFERROR(__xludf.DUMMYFUNCTION("SPLIT(A1312,"","",0,0)"),45539.73611111111)</f>
        <v>45539.73611</v>
      </c>
      <c r="C1312" s="5">
        <f>IFERROR(__xludf.DUMMYFUNCTION("""COMPUTED_VALUE"""),2613343.0)</f>
        <v>2613343</v>
      </c>
      <c r="D1312" s="2" t="str">
        <f>IFERROR(__xludf.DUMMYFUNCTION("""COMPUTED_VALUE"""),"Sale")</f>
        <v>Sale</v>
      </c>
      <c r="E1312" s="2" t="str">
        <f>IFERROR(__xludf.DUMMYFUNCTION("""COMPUTED_VALUE"""),"Kudapan")</f>
        <v>Kudapan</v>
      </c>
      <c r="F1312" s="2">
        <f>IFERROR(__xludf.DUMMYFUNCTION("""COMPUTED_VALUE"""),10015.0)</f>
        <v>10015</v>
      </c>
      <c r="G1312" s="2" t="str">
        <f>IFERROR(__xludf.DUMMYFUNCTION("""COMPUTED_VALUE"""),"Tahu Lada Garam")</f>
        <v>Tahu Lada Garam</v>
      </c>
      <c r="H1312" s="2"/>
      <c r="I1312" s="2"/>
      <c r="J1312" s="2">
        <f>IFERROR(__xludf.DUMMYFUNCTION("""COMPUTED_VALUE"""),1.0)</f>
        <v>1</v>
      </c>
      <c r="K1312" s="6">
        <f>IFERROR(__xludf.DUMMYFUNCTION("""COMPUTED_VALUE"""),25238.0)</f>
        <v>25238</v>
      </c>
      <c r="L1312" s="2">
        <f>IFERROR(__xludf.DUMMYFUNCTION("""COMPUTED_VALUE"""),0.0)</f>
        <v>0</v>
      </c>
      <c r="M1312" s="2">
        <f>IFERROR(__xludf.DUMMYFUNCTION("""COMPUTED_VALUE"""),25238.0)</f>
        <v>25238</v>
      </c>
      <c r="N1312" s="2">
        <f>IFERROR(__xludf.DUMMYFUNCTION("""COMPUTED_VALUE"""),0.0)</f>
        <v>0</v>
      </c>
      <c r="O1312" s="2">
        <f>IFERROR(__xludf.DUMMYFUNCTION("""COMPUTED_VALUE"""),25238.0)</f>
        <v>25238</v>
      </c>
      <c r="P1312" s="2">
        <f>IFERROR(__xludf.DUMMYFUNCTION("""COMPUTED_VALUE"""),1262.0)</f>
        <v>1262</v>
      </c>
      <c r="Q1312" s="2" t="str">
        <f>IFERROR(__xludf.DUMMYFUNCTION("""COMPUTED_VALUE"""),"Dine In")</f>
        <v>Dine In</v>
      </c>
      <c r="R1312" s="2" t="str">
        <f>IFERROR(__xludf.DUMMYFUNCTION("""COMPUTED_VALUE"""),"Kedai")</f>
        <v>Kedai</v>
      </c>
      <c r="S1312" s="2" t="str">
        <f>IFERROR(__xludf.DUMMYFUNCTION("""COMPUTED_VALUE"""),"Temu Roti")</f>
        <v>Temu Roti</v>
      </c>
      <c r="T1312" s="2" t="str">
        <f>IFERROR(__xludf.DUMMYFUNCTION("""COMPUTED_VALUE"""),"Owner")</f>
        <v>Owner</v>
      </c>
      <c r="U1312" s="2"/>
      <c r="V1312" s="2"/>
      <c r="W1312" s="2"/>
      <c r="X1312" s="2" t="str">
        <f>IFERROR(__xludf.DUMMYFUNCTION("""COMPUTED_VALUE"""),"Closed")</f>
        <v>Closed</v>
      </c>
    </row>
    <row r="1313">
      <c r="A1313" s="3" t="s">
        <v>1323</v>
      </c>
      <c r="B1313" s="4">
        <f>IFERROR(__xludf.DUMMYFUNCTION("SPLIT(A1313,"","",0,0)"),45539.71666666667)</f>
        <v>45539.71667</v>
      </c>
      <c r="C1313" s="5">
        <f>IFERROR(__xludf.DUMMYFUNCTION("""COMPUTED_VALUE"""),2612978.0)</f>
        <v>2612978</v>
      </c>
      <c r="D1313" s="2" t="str">
        <f>IFERROR(__xludf.DUMMYFUNCTION("""COMPUTED_VALUE"""),"Sale")</f>
        <v>Sale</v>
      </c>
      <c r="E1313" s="2" t="str">
        <f>IFERROR(__xludf.DUMMYFUNCTION("""COMPUTED_VALUE"""),"Roti")</f>
        <v>Roti</v>
      </c>
      <c r="F1313" s="2">
        <f>IFERROR(__xludf.DUMMYFUNCTION("""COMPUTED_VALUE"""),10007.0)</f>
        <v>10007</v>
      </c>
      <c r="G1313" s="2" t="str">
        <f>IFERROR(__xludf.DUMMYFUNCTION("""COMPUTED_VALUE"""),"Roti cranberry 2 pcs")</f>
        <v>Roti cranberry 2 pcs</v>
      </c>
      <c r="H1313" s="2"/>
      <c r="I1313" s="2"/>
      <c r="J1313" s="2">
        <f>IFERROR(__xludf.DUMMYFUNCTION("""COMPUTED_VALUE"""),3.0)</f>
        <v>3</v>
      </c>
      <c r="K1313" s="6">
        <f>IFERROR(__xludf.DUMMYFUNCTION("""COMPUTED_VALUE"""),101430.0)</f>
        <v>101430</v>
      </c>
      <c r="L1313" s="2">
        <f>IFERROR(__xludf.DUMMYFUNCTION("""COMPUTED_VALUE"""),0.0)</f>
        <v>0</v>
      </c>
      <c r="M1313" s="2">
        <f>IFERROR(__xludf.DUMMYFUNCTION("""COMPUTED_VALUE"""),101430.0)</f>
        <v>101430</v>
      </c>
      <c r="N1313" s="2">
        <f>IFERROR(__xludf.DUMMYFUNCTION("""COMPUTED_VALUE"""),0.0)</f>
        <v>0</v>
      </c>
      <c r="O1313" s="2">
        <f>IFERROR(__xludf.DUMMYFUNCTION("""COMPUTED_VALUE"""),101430.0)</f>
        <v>101430</v>
      </c>
      <c r="P1313" s="2">
        <f>IFERROR(__xludf.DUMMYFUNCTION("""COMPUTED_VALUE"""),5072.0)</f>
        <v>5072</v>
      </c>
      <c r="Q1313" s="2" t="str">
        <f>IFERROR(__xludf.DUMMYFUNCTION("""COMPUTED_VALUE"""),"Dine In")</f>
        <v>Dine In</v>
      </c>
      <c r="R1313" s="2" t="str">
        <f>IFERROR(__xludf.DUMMYFUNCTION("""COMPUTED_VALUE"""),"Kedai")</f>
        <v>Kedai</v>
      </c>
      <c r="S1313" s="2" t="str">
        <f>IFERROR(__xludf.DUMMYFUNCTION("""COMPUTED_VALUE"""),"Temu Roti")</f>
        <v>Temu Roti</v>
      </c>
      <c r="T1313" s="2" t="str">
        <f>IFERROR(__xludf.DUMMYFUNCTION("""COMPUTED_VALUE"""),"Owner")</f>
        <v>Owner</v>
      </c>
      <c r="U1313" s="2"/>
      <c r="V1313" s="2"/>
      <c r="W1313" s="2"/>
      <c r="X1313" s="2" t="str">
        <f>IFERROR(__xludf.DUMMYFUNCTION("""COMPUTED_VALUE"""),"Closed")</f>
        <v>Closed</v>
      </c>
    </row>
    <row r="1314">
      <c r="A1314" s="3" t="s">
        <v>1324</v>
      </c>
      <c r="B1314" s="4">
        <f>IFERROR(__xludf.DUMMYFUNCTION("SPLIT(A1314,"","",0,0)"),45539.71666666667)</f>
        <v>45539.71667</v>
      </c>
      <c r="C1314" s="5">
        <f>IFERROR(__xludf.DUMMYFUNCTION("""COMPUTED_VALUE"""),2612978.0)</f>
        <v>2612978</v>
      </c>
      <c r="D1314" s="2" t="str">
        <f>IFERROR(__xludf.DUMMYFUNCTION("""COMPUTED_VALUE"""),"Sale")</f>
        <v>Sale</v>
      </c>
      <c r="E1314" s="2" t="str">
        <f>IFERROR(__xludf.DUMMYFUNCTION("""COMPUTED_VALUE"""),"Roti")</f>
        <v>Roti</v>
      </c>
      <c r="F1314" s="2">
        <f>IFERROR(__xludf.DUMMYFUNCTION("""COMPUTED_VALUE"""),10002.0)</f>
        <v>10002</v>
      </c>
      <c r="G1314" s="2" t="str">
        <f>IFERROR(__xludf.DUMMYFUNCTION("""COMPUTED_VALUE"""),"Roti Cranberry")</f>
        <v>Roti Cranberry</v>
      </c>
      <c r="H1314" s="2"/>
      <c r="I1314" s="2"/>
      <c r="J1314" s="2">
        <f>IFERROR(__xludf.DUMMYFUNCTION("""COMPUTED_VALUE"""),1.0)</f>
        <v>1</v>
      </c>
      <c r="K1314" s="6">
        <f>IFERROR(__xludf.DUMMYFUNCTION("""COMPUTED_VALUE"""),18571.0)</f>
        <v>18571</v>
      </c>
      <c r="L1314" s="2">
        <f>IFERROR(__xludf.DUMMYFUNCTION("""COMPUTED_VALUE"""),0.0)</f>
        <v>0</v>
      </c>
      <c r="M1314" s="2">
        <f>IFERROR(__xludf.DUMMYFUNCTION("""COMPUTED_VALUE"""),18571.0)</f>
        <v>18571</v>
      </c>
      <c r="N1314" s="2">
        <f>IFERROR(__xludf.DUMMYFUNCTION("""COMPUTED_VALUE"""),0.0)</f>
        <v>0</v>
      </c>
      <c r="O1314" s="2">
        <f>IFERROR(__xludf.DUMMYFUNCTION("""COMPUTED_VALUE"""),18571.0)</f>
        <v>18571</v>
      </c>
      <c r="P1314" s="2">
        <f>IFERROR(__xludf.DUMMYFUNCTION("""COMPUTED_VALUE"""),928.0)</f>
        <v>928</v>
      </c>
      <c r="Q1314" s="2" t="str">
        <f>IFERROR(__xludf.DUMMYFUNCTION("""COMPUTED_VALUE"""),"Dine In")</f>
        <v>Dine In</v>
      </c>
      <c r="R1314" s="2" t="str">
        <f>IFERROR(__xludf.DUMMYFUNCTION("""COMPUTED_VALUE"""),"Kedai")</f>
        <v>Kedai</v>
      </c>
      <c r="S1314" s="2" t="str">
        <f>IFERROR(__xludf.DUMMYFUNCTION("""COMPUTED_VALUE"""),"Temu Roti")</f>
        <v>Temu Roti</v>
      </c>
      <c r="T1314" s="2" t="str">
        <f>IFERROR(__xludf.DUMMYFUNCTION("""COMPUTED_VALUE"""),"Owner")</f>
        <v>Owner</v>
      </c>
      <c r="U1314" s="2"/>
      <c r="V1314" s="2"/>
      <c r="W1314" s="2"/>
      <c r="X1314" s="2" t="str">
        <f>IFERROR(__xludf.DUMMYFUNCTION("""COMPUTED_VALUE"""),"Closed")</f>
        <v>Closed</v>
      </c>
    </row>
    <row r="1315">
      <c r="A1315" s="3" t="s">
        <v>1325</v>
      </c>
      <c r="B1315" s="4">
        <f>IFERROR(__xludf.DUMMYFUNCTION("SPLIT(A1315,"","",0,0)"),45539.71666666667)</f>
        <v>45539.71667</v>
      </c>
      <c r="C1315" s="5">
        <f>IFERROR(__xludf.DUMMYFUNCTION("""COMPUTED_VALUE"""),2612978.0)</f>
        <v>2612978</v>
      </c>
      <c r="D1315" s="2" t="str">
        <f>IFERROR(__xludf.DUMMYFUNCTION("""COMPUTED_VALUE"""),"Sale")</f>
        <v>Sale</v>
      </c>
      <c r="E1315" s="2" t="str">
        <f>IFERROR(__xludf.DUMMYFUNCTION("""COMPUTED_VALUE"""),"Roti")</f>
        <v>Roti</v>
      </c>
      <c r="F1315" s="2">
        <f>IFERROR(__xludf.DUMMYFUNCTION("""COMPUTED_VALUE"""),10055.0)</f>
        <v>10055</v>
      </c>
      <c r="G1315" s="2" t="str">
        <f>IFERROR(__xludf.DUMMYFUNCTION("""COMPUTED_VALUE"""),"Roti Gandum Cokelat 2 pcs")</f>
        <v>Roti Gandum Cokelat 2 pcs</v>
      </c>
      <c r="H1315" s="2"/>
      <c r="I1315" s="2"/>
      <c r="J1315" s="2">
        <f>IFERROR(__xludf.DUMMYFUNCTION("""COMPUTED_VALUE"""),2.0)</f>
        <v>2</v>
      </c>
      <c r="K1315" s="6">
        <f>IFERROR(__xludf.DUMMYFUNCTION("""COMPUTED_VALUE"""),69524.0)</f>
        <v>69524</v>
      </c>
      <c r="L1315" s="2">
        <f>IFERROR(__xludf.DUMMYFUNCTION("""COMPUTED_VALUE"""),0.0)</f>
        <v>0</v>
      </c>
      <c r="M1315" s="2">
        <f>IFERROR(__xludf.DUMMYFUNCTION("""COMPUTED_VALUE"""),69524.0)</f>
        <v>69524</v>
      </c>
      <c r="N1315" s="2">
        <f>IFERROR(__xludf.DUMMYFUNCTION("""COMPUTED_VALUE"""),0.0)</f>
        <v>0</v>
      </c>
      <c r="O1315" s="2">
        <f>IFERROR(__xludf.DUMMYFUNCTION("""COMPUTED_VALUE"""),69524.0)</f>
        <v>69524</v>
      </c>
      <c r="P1315" s="2">
        <f>IFERROR(__xludf.DUMMYFUNCTION("""COMPUTED_VALUE"""),3476.0)</f>
        <v>3476</v>
      </c>
      <c r="Q1315" s="2" t="str">
        <f>IFERROR(__xludf.DUMMYFUNCTION("""COMPUTED_VALUE"""),"Dine In")</f>
        <v>Dine In</v>
      </c>
      <c r="R1315" s="2" t="str">
        <f>IFERROR(__xludf.DUMMYFUNCTION("""COMPUTED_VALUE"""),"Kedai")</f>
        <v>Kedai</v>
      </c>
      <c r="S1315" s="2" t="str">
        <f>IFERROR(__xludf.DUMMYFUNCTION("""COMPUTED_VALUE"""),"Temu Roti")</f>
        <v>Temu Roti</v>
      </c>
      <c r="T1315" s="2" t="str">
        <f>IFERROR(__xludf.DUMMYFUNCTION("""COMPUTED_VALUE"""),"Owner")</f>
        <v>Owner</v>
      </c>
      <c r="U1315" s="2"/>
      <c r="V1315" s="2"/>
      <c r="W1315" s="2"/>
      <c r="X1315" s="2" t="str">
        <f>IFERROR(__xludf.DUMMYFUNCTION("""COMPUTED_VALUE"""),"Closed")</f>
        <v>Closed</v>
      </c>
    </row>
    <row r="1316">
      <c r="A1316" s="3" t="s">
        <v>1326</v>
      </c>
      <c r="B1316" s="4">
        <f>IFERROR(__xludf.DUMMYFUNCTION("SPLIT(A1316,"","",0,0)"),45539.71666666667)</f>
        <v>45539.71667</v>
      </c>
      <c r="C1316" s="5">
        <f>IFERROR(__xludf.DUMMYFUNCTION("""COMPUTED_VALUE"""),2612978.0)</f>
        <v>2612978</v>
      </c>
      <c r="D1316" s="2" t="str">
        <f>IFERROR(__xludf.DUMMYFUNCTION("""COMPUTED_VALUE"""),"Sale")</f>
        <v>Sale</v>
      </c>
      <c r="E1316" s="2" t="str">
        <f>IFERROR(__xludf.DUMMYFUNCTION("""COMPUTED_VALUE"""),"Roti")</f>
        <v>Roti</v>
      </c>
      <c r="F1316" s="2">
        <f>IFERROR(__xludf.DUMMYFUNCTION("""COMPUTED_VALUE"""),10005.0)</f>
        <v>10005</v>
      </c>
      <c r="G1316" s="2" t="str">
        <f>IFERROR(__xludf.DUMMYFUNCTION("""COMPUTED_VALUE"""),"Roti Gandum Cokelat")</f>
        <v>Roti Gandum Cokelat</v>
      </c>
      <c r="H1316" s="2"/>
      <c r="I1316" s="2"/>
      <c r="J1316" s="2">
        <f>IFERROR(__xludf.DUMMYFUNCTION("""COMPUTED_VALUE"""),1.0)</f>
        <v>1</v>
      </c>
      <c r="K1316" s="6">
        <f>IFERROR(__xludf.DUMMYFUNCTION("""COMPUTED_VALUE"""),19524.0)</f>
        <v>19524</v>
      </c>
      <c r="L1316" s="2">
        <f>IFERROR(__xludf.DUMMYFUNCTION("""COMPUTED_VALUE"""),0.0)</f>
        <v>0</v>
      </c>
      <c r="M1316" s="2">
        <f>IFERROR(__xludf.DUMMYFUNCTION("""COMPUTED_VALUE"""),19524.0)</f>
        <v>19524</v>
      </c>
      <c r="N1316" s="2">
        <f>IFERROR(__xludf.DUMMYFUNCTION("""COMPUTED_VALUE"""),0.0)</f>
        <v>0</v>
      </c>
      <c r="O1316" s="2">
        <f>IFERROR(__xludf.DUMMYFUNCTION("""COMPUTED_VALUE"""),19524.0)</f>
        <v>19524</v>
      </c>
      <c r="P1316" s="2">
        <f>IFERROR(__xludf.DUMMYFUNCTION("""COMPUTED_VALUE"""),976.0)</f>
        <v>976</v>
      </c>
      <c r="Q1316" s="2" t="str">
        <f>IFERROR(__xludf.DUMMYFUNCTION("""COMPUTED_VALUE"""),"Dine In")</f>
        <v>Dine In</v>
      </c>
      <c r="R1316" s="2" t="str">
        <f>IFERROR(__xludf.DUMMYFUNCTION("""COMPUTED_VALUE"""),"Kedai")</f>
        <v>Kedai</v>
      </c>
      <c r="S1316" s="2" t="str">
        <f>IFERROR(__xludf.DUMMYFUNCTION("""COMPUTED_VALUE"""),"Temu Roti")</f>
        <v>Temu Roti</v>
      </c>
      <c r="T1316" s="2" t="str">
        <f>IFERROR(__xludf.DUMMYFUNCTION("""COMPUTED_VALUE"""),"Owner")</f>
        <v>Owner</v>
      </c>
      <c r="U1316" s="2"/>
      <c r="V1316" s="2"/>
      <c r="W1316" s="2"/>
      <c r="X1316" s="2" t="str">
        <f>IFERROR(__xludf.DUMMYFUNCTION("""COMPUTED_VALUE"""),"Closed")</f>
        <v>Closed</v>
      </c>
    </row>
    <row r="1317">
      <c r="A1317" s="3" t="s">
        <v>1327</v>
      </c>
      <c r="B1317" s="4">
        <f>IFERROR(__xludf.DUMMYFUNCTION("SPLIT(A1317,"","",0,0)"),45539.71666666667)</f>
        <v>45539.71667</v>
      </c>
      <c r="C1317" s="5">
        <f>IFERROR(__xludf.DUMMYFUNCTION("""COMPUTED_VALUE"""),2612978.0)</f>
        <v>2612978</v>
      </c>
      <c r="D1317" s="2" t="str">
        <f>IFERROR(__xludf.DUMMYFUNCTION("""COMPUTED_VALUE"""),"Sale")</f>
        <v>Sale</v>
      </c>
      <c r="E1317" s="2" t="str">
        <f>IFERROR(__xludf.DUMMYFUNCTION("""COMPUTED_VALUE"""),"Roti")</f>
        <v>Roti</v>
      </c>
      <c r="F1317" s="2">
        <f>IFERROR(__xludf.DUMMYFUNCTION("""COMPUTED_VALUE"""),10000.0)</f>
        <v>10000</v>
      </c>
      <c r="G1317" s="2" t="str">
        <f>IFERROR(__xludf.DUMMYFUNCTION("""COMPUTED_VALUE"""),"Roti Bawang Saus Keju")</f>
        <v>Roti Bawang Saus Keju</v>
      </c>
      <c r="H1317" s="2"/>
      <c r="I1317" s="2"/>
      <c r="J1317" s="2">
        <f>IFERROR(__xludf.DUMMYFUNCTION("""COMPUTED_VALUE"""),2.0)</f>
        <v>2</v>
      </c>
      <c r="K1317" s="6">
        <f>IFERROR(__xludf.DUMMYFUNCTION("""COMPUTED_VALUE"""),59048.0)</f>
        <v>59048</v>
      </c>
      <c r="L1317" s="2">
        <f>IFERROR(__xludf.DUMMYFUNCTION("""COMPUTED_VALUE"""),0.0)</f>
        <v>0</v>
      </c>
      <c r="M1317" s="2">
        <f>IFERROR(__xludf.DUMMYFUNCTION("""COMPUTED_VALUE"""),59048.0)</f>
        <v>59048</v>
      </c>
      <c r="N1317" s="2">
        <f>IFERROR(__xludf.DUMMYFUNCTION("""COMPUTED_VALUE"""),0.0)</f>
        <v>0</v>
      </c>
      <c r="O1317" s="2">
        <f>IFERROR(__xludf.DUMMYFUNCTION("""COMPUTED_VALUE"""),59048.0)</f>
        <v>59048</v>
      </c>
      <c r="P1317" s="2">
        <f>IFERROR(__xludf.DUMMYFUNCTION("""COMPUTED_VALUE"""),2953.0)</f>
        <v>2953</v>
      </c>
      <c r="Q1317" s="2" t="str">
        <f>IFERROR(__xludf.DUMMYFUNCTION("""COMPUTED_VALUE"""),"Dine In")</f>
        <v>Dine In</v>
      </c>
      <c r="R1317" s="2" t="str">
        <f>IFERROR(__xludf.DUMMYFUNCTION("""COMPUTED_VALUE"""),"Kedai")</f>
        <v>Kedai</v>
      </c>
      <c r="S1317" s="2" t="str">
        <f>IFERROR(__xludf.DUMMYFUNCTION("""COMPUTED_VALUE"""),"Temu Roti")</f>
        <v>Temu Roti</v>
      </c>
      <c r="T1317" s="2" t="str">
        <f>IFERROR(__xludf.DUMMYFUNCTION("""COMPUTED_VALUE"""),"Owner")</f>
        <v>Owner</v>
      </c>
      <c r="U1317" s="2"/>
      <c r="V1317" s="2"/>
      <c r="W1317" s="2"/>
      <c r="X1317" s="2" t="str">
        <f>IFERROR(__xludf.DUMMYFUNCTION("""COMPUTED_VALUE"""),"Closed")</f>
        <v>Closed</v>
      </c>
    </row>
    <row r="1318">
      <c r="A1318" s="3" t="s">
        <v>1328</v>
      </c>
      <c r="B1318" s="4">
        <f>IFERROR(__xludf.DUMMYFUNCTION("SPLIT(A1318,"","",0,0)"),45539.71319444444)</f>
        <v>45539.71319</v>
      </c>
      <c r="C1318" s="5">
        <f>IFERROR(__xludf.DUMMYFUNCTION("""COMPUTED_VALUE"""),2612613.0)</f>
        <v>2612613</v>
      </c>
      <c r="D1318" s="2" t="str">
        <f>IFERROR(__xludf.DUMMYFUNCTION("""COMPUTED_VALUE"""),"Sale")</f>
        <v>Sale</v>
      </c>
      <c r="E1318" s="2" t="str">
        <f>IFERROR(__xludf.DUMMYFUNCTION("""COMPUTED_VALUE"""),"Minuman")</f>
        <v>Minuman</v>
      </c>
      <c r="F1318" s="2">
        <f>IFERROR(__xludf.DUMMYFUNCTION("""COMPUTED_VALUE"""),10128.0)</f>
        <v>10128</v>
      </c>
      <c r="G1318" s="2" t="str">
        <f>IFERROR(__xludf.DUMMYFUNCTION("""COMPUTED_VALUE"""),"Es Kopi Susu")</f>
        <v>Es Kopi Susu</v>
      </c>
      <c r="H1318" s="2"/>
      <c r="I1318" s="2"/>
      <c r="J1318" s="2">
        <f>IFERROR(__xludf.DUMMYFUNCTION("""COMPUTED_VALUE"""),1.0)</f>
        <v>1</v>
      </c>
      <c r="K1318" s="6">
        <f>IFERROR(__xludf.DUMMYFUNCTION("""COMPUTED_VALUE"""),23333.0)</f>
        <v>23333</v>
      </c>
      <c r="L1318" s="2">
        <f>IFERROR(__xludf.DUMMYFUNCTION("""COMPUTED_VALUE"""),0.0)</f>
        <v>0</v>
      </c>
      <c r="M1318" s="2">
        <f>IFERROR(__xludf.DUMMYFUNCTION("""COMPUTED_VALUE"""),23333.0)</f>
        <v>23333</v>
      </c>
      <c r="N1318" s="2">
        <f>IFERROR(__xludf.DUMMYFUNCTION("""COMPUTED_VALUE"""),0.0)</f>
        <v>0</v>
      </c>
      <c r="O1318" s="2">
        <f>IFERROR(__xludf.DUMMYFUNCTION("""COMPUTED_VALUE"""),23333.0)</f>
        <v>23333</v>
      </c>
      <c r="P1318" s="2">
        <f>IFERROR(__xludf.DUMMYFUNCTION("""COMPUTED_VALUE"""),1167.0)</f>
        <v>1167</v>
      </c>
      <c r="Q1318" s="2" t="str">
        <f>IFERROR(__xludf.DUMMYFUNCTION("""COMPUTED_VALUE"""),"Dine In")</f>
        <v>Dine In</v>
      </c>
      <c r="R1318" s="2" t="str">
        <f>IFERROR(__xludf.DUMMYFUNCTION("""COMPUTED_VALUE"""),"Kedai")</f>
        <v>Kedai</v>
      </c>
      <c r="S1318" s="2" t="str">
        <f>IFERROR(__xludf.DUMMYFUNCTION("""COMPUTED_VALUE"""),"Temu Roti")</f>
        <v>Temu Roti</v>
      </c>
      <c r="T1318" s="2" t="str">
        <f>IFERROR(__xludf.DUMMYFUNCTION("""COMPUTED_VALUE"""),"Owner")</f>
        <v>Owner</v>
      </c>
      <c r="U1318" s="2"/>
      <c r="V1318" s="2"/>
      <c r="W1318" s="2"/>
      <c r="X1318" s="2" t="str">
        <f>IFERROR(__xludf.DUMMYFUNCTION("""COMPUTED_VALUE"""),"Closed")</f>
        <v>Closed</v>
      </c>
    </row>
    <row r="1319">
      <c r="A1319" s="3" t="s">
        <v>1329</v>
      </c>
      <c r="B1319" s="4">
        <f>IFERROR(__xludf.DUMMYFUNCTION("SPLIT(A1319,"","",0,0)"),45539.71319444444)</f>
        <v>45539.71319</v>
      </c>
      <c r="C1319" s="5">
        <f>IFERROR(__xludf.DUMMYFUNCTION("""COMPUTED_VALUE"""),2612613.0)</f>
        <v>2612613</v>
      </c>
      <c r="D1319" s="2" t="str">
        <f>IFERROR(__xludf.DUMMYFUNCTION("""COMPUTED_VALUE"""),"Sale")</f>
        <v>Sale</v>
      </c>
      <c r="E1319" s="2" t="str">
        <f>IFERROR(__xludf.DUMMYFUNCTION("""COMPUTED_VALUE"""),"Kudapan")</f>
        <v>Kudapan</v>
      </c>
      <c r="F1319" s="2">
        <f>IFERROR(__xludf.DUMMYFUNCTION("""COMPUTED_VALUE"""),10004.0)</f>
        <v>10004</v>
      </c>
      <c r="G1319" s="2" t="str">
        <f>IFERROR(__xludf.DUMMYFUNCTION("""COMPUTED_VALUE"""),"Tahu walik")</f>
        <v>Tahu walik</v>
      </c>
      <c r="H1319" s="2"/>
      <c r="I1319" s="2"/>
      <c r="J1319" s="2">
        <f>IFERROR(__xludf.DUMMYFUNCTION("""COMPUTED_VALUE"""),1.0)</f>
        <v>1</v>
      </c>
      <c r="K1319" s="6">
        <f>IFERROR(__xludf.DUMMYFUNCTION("""COMPUTED_VALUE"""),25238.0)</f>
        <v>25238</v>
      </c>
      <c r="L1319" s="2">
        <f>IFERROR(__xludf.DUMMYFUNCTION("""COMPUTED_VALUE"""),0.0)</f>
        <v>0</v>
      </c>
      <c r="M1319" s="2">
        <f>IFERROR(__xludf.DUMMYFUNCTION("""COMPUTED_VALUE"""),25238.0)</f>
        <v>25238</v>
      </c>
      <c r="N1319" s="2">
        <f>IFERROR(__xludf.DUMMYFUNCTION("""COMPUTED_VALUE"""),0.0)</f>
        <v>0</v>
      </c>
      <c r="O1319" s="2">
        <f>IFERROR(__xludf.DUMMYFUNCTION("""COMPUTED_VALUE"""),25238.0)</f>
        <v>25238</v>
      </c>
      <c r="P1319" s="2">
        <f>IFERROR(__xludf.DUMMYFUNCTION("""COMPUTED_VALUE"""),1262.0)</f>
        <v>1262</v>
      </c>
      <c r="Q1319" s="2" t="str">
        <f>IFERROR(__xludf.DUMMYFUNCTION("""COMPUTED_VALUE"""),"Dine In")</f>
        <v>Dine In</v>
      </c>
      <c r="R1319" s="2" t="str">
        <f>IFERROR(__xludf.DUMMYFUNCTION("""COMPUTED_VALUE"""),"Kedai")</f>
        <v>Kedai</v>
      </c>
      <c r="S1319" s="2" t="str">
        <f>IFERROR(__xludf.DUMMYFUNCTION("""COMPUTED_VALUE"""),"Temu Roti")</f>
        <v>Temu Roti</v>
      </c>
      <c r="T1319" s="2" t="str">
        <f>IFERROR(__xludf.DUMMYFUNCTION("""COMPUTED_VALUE"""),"Owner")</f>
        <v>Owner</v>
      </c>
      <c r="U1319" s="2"/>
      <c r="V1319" s="2"/>
      <c r="W1319" s="2"/>
      <c r="X1319" s="2" t="str">
        <f>IFERROR(__xludf.DUMMYFUNCTION("""COMPUTED_VALUE"""),"Closed")</f>
        <v>Closed</v>
      </c>
    </row>
    <row r="1320">
      <c r="A1320" s="3" t="s">
        <v>1330</v>
      </c>
      <c r="B1320" s="4">
        <f>IFERROR(__xludf.DUMMYFUNCTION("SPLIT(A1320,"","",0,0)"),45539.69861111111)</f>
        <v>45539.69861</v>
      </c>
      <c r="C1320" s="5">
        <f>IFERROR(__xludf.DUMMYFUNCTION("""COMPUTED_VALUE"""),2612247.0)</f>
        <v>2612247</v>
      </c>
      <c r="D1320" s="2" t="str">
        <f>IFERROR(__xludf.DUMMYFUNCTION("""COMPUTED_VALUE"""),"Sale")</f>
        <v>Sale</v>
      </c>
      <c r="E1320" s="2" t="str">
        <f>IFERROR(__xludf.DUMMYFUNCTION("""COMPUTED_VALUE"""),"Roti")</f>
        <v>Roti</v>
      </c>
      <c r="F1320" s="2">
        <f>IFERROR(__xludf.DUMMYFUNCTION("""COMPUTED_VALUE"""),10005.0)</f>
        <v>10005</v>
      </c>
      <c r="G1320" s="2" t="str">
        <f>IFERROR(__xludf.DUMMYFUNCTION("""COMPUTED_VALUE"""),"Roti Gandum Cokelat")</f>
        <v>Roti Gandum Cokelat</v>
      </c>
      <c r="H1320" s="2"/>
      <c r="I1320" s="2"/>
      <c r="J1320" s="2">
        <f>IFERROR(__xludf.DUMMYFUNCTION("""COMPUTED_VALUE"""),1.0)</f>
        <v>1</v>
      </c>
      <c r="K1320" s="6">
        <f>IFERROR(__xludf.DUMMYFUNCTION("""COMPUTED_VALUE"""),19524.0)</f>
        <v>19524</v>
      </c>
      <c r="L1320" s="2">
        <f>IFERROR(__xludf.DUMMYFUNCTION("""COMPUTED_VALUE"""),0.0)</f>
        <v>0</v>
      </c>
      <c r="M1320" s="2">
        <f>IFERROR(__xludf.DUMMYFUNCTION("""COMPUTED_VALUE"""),19524.0)</f>
        <v>19524</v>
      </c>
      <c r="N1320" s="2">
        <f>IFERROR(__xludf.DUMMYFUNCTION("""COMPUTED_VALUE"""),0.0)</f>
        <v>0</v>
      </c>
      <c r="O1320" s="2">
        <f>IFERROR(__xludf.DUMMYFUNCTION("""COMPUTED_VALUE"""),19524.0)</f>
        <v>19524</v>
      </c>
      <c r="P1320" s="2">
        <f>IFERROR(__xludf.DUMMYFUNCTION("""COMPUTED_VALUE"""),976.0)</f>
        <v>976</v>
      </c>
      <c r="Q1320" s="2" t="str">
        <f>IFERROR(__xludf.DUMMYFUNCTION("""COMPUTED_VALUE"""),"Dine In")</f>
        <v>Dine In</v>
      </c>
      <c r="R1320" s="2" t="str">
        <f>IFERROR(__xludf.DUMMYFUNCTION("""COMPUTED_VALUE"""),"Kedai")</f>
        <v>Kedai</v>
      </c>
      <c r="S1320" s="2" t="str">
        <f>IFERROR(__xludf.DUMMYFUNCTION("""COMPUTED_VALUE"""),"Temu Roti")</f>
        <v>Temu Roti</v>
      </c>
      <c r="T1320" s="2" t="str">
        <f>IFERROR(__xludf.DUMMYFUNCTION("""COMPUTED_VALUE"""),"Owner")</f>
        <v>Owner</v>
      </c>
      <c r="U1320" s="2"/>
      <c r="V1320" s="2"/>
      <c r="W1320" s="2"/>
      <c r="X1320" s="2" t="str">
        <f>IFERROR(__xludf.DUMMYFUNCTION("""COMPUTED_VALUE"""),"Closed")</f>
        <v>Closed</v>
      </c>
    </row>
    <row r="1321">
      <c r="A1321" s="3" t="s">
        <v>1331</v>
      </c>
      <c r="B1321" s="4">
        <f>IFERROR(__xludf.DUMMYFUNCTION("SPLIT(A1321,"","",0,0)"),45539.666666666664)</f>
        <v>45539.66667</v>
      </c>
      <c r="C1321" s="5">
        <f>IFERROR(__xludf.DUMMYFUNCTION("""COMPUTED_VALUE"""),2611882.0)</f>
        <v>2611882</v>
      </c>
      <c r="D1321" s="2" t="str">
        <f>IFERROR(__xludf.DUMMYFUNCTION("""COMPUTED_VALUE"""),"Sale")</f>
        <v>Sale</v>
      </c>
      <c r="E1321" s="2" t="str">
        <f>IFERROR(__xludf.DUMMYFUNCTION("""COMPUTED_VALUE"""),"Roti")</f>
        <v>Roti</v>
      </c>
      <c r="F1321" s="2">
        <f>IFERROR(__xludf.DUMMYFUNCTION("""COMPUTED_VALUE"""),10007.0)</f>
        <v>10007</v>
      </c>
      <c r="G1321" s="2" t="str">
        <f>IFERROR(__xludf.DUMMYFUNCTION("""COMPUTED_VALUE"""),"Roti cranberry 2 pcs")</f>
        <v>Roti cranberry 2 pcs</v>
      </c>
      <c r="H1321" s="2"/>
      <c r="I1321" s="2"/>
      <c r="J1321" s="2">
        <f>IFERROR(__xludf.DUMMYFUNCTION("""COMPUTED_VALUE"""),1.0)</f>
        <v>1</v>
      </c>
      <c r="K1321" s="6">
        <f>IFERROR(__xludf.DUMMYFUNCTION("""COMPUTED_VALUE"""),33810.0)</f>
        <v>33810</v>
      </c>
      <c r="L1321" s="2">
        <f>IFERROR(__xludf.DUMMYFUNCTION("""COMPUTED_VALUE"""),0.0)</f>
        <v>0</v>
      </c>
      <c r="M1321" s="2">
        <f>IFERROR(__xludf.DUMMYFUNCTION("""COMPUTED_VALUE"""),33810.0)</f>
        <v>33810</v>
      </c>
      <c r="N1321" s="2">
        <f>IFERROR(__xludf.DUMMYFUNCTION("""COMPUTED_VALUE"""),0.0)</f>
        <v>0</v>
      </c>
      <c r="O1321" s="2">
        <f>IFERROR(__xludf.DUMMYFUNCTION("""COMPUTED_VALUE"""),33810.0)</f>
        <v>33810</v>
      </c>
      <c r="P1321" s="2">
        <f>IFERROR(__xludf.DUMMYFUNCTION("""COMPUTED_VALUE"""),1691.0)</f>
        <v>1691</v>
      </c>
      <c r="Q1321" s="2" t="str">
        <f>IFERROR(__xludf.DUMMYFUNCTION("""COMPUTED_VALUE"""),"Dine In")</f>
        <v>Dine In</v>
      </c>
      <c r="R1321" s="2" t="str">
        <f>IFERROR(__xludf.DUMMYFUNCTION("""COMPUTED_VALUE"""),"Kedai")</f>
        <v>Kedai</v>
      </c>
      <c r="S1321" s="2" t="str">
        <f>IFERROR(__xludf.DUMMYFUNCTION("""COMPUTED_VALUE"""),"Temu Roti")</f>
        <v>Temu Roti</v>
      </c>
      <c r="T1321" s="2" t="str">
        <f>IFERROR(__xludf.DUMMYFUNCTION("""COMPUTED_VALUE"""),"Owner")</f>
        <v>Owner</v>
      </c>
      <c r="U1321" s="2"/>
      <c r="V1321" s="2"/>
      <c r="W1321" s="2"/>
      <c r="X1321" s="2" t="str">
        <f>IFERROR(__xludf.DUMMYFUNCTION("""COMPUTED_VALUE"""),"Closed")</f>
        <v>Closed</v>
      </c>
    </row>
    <row r="1322">
      <c r="A1322" s="3" t="s">
        <v>1332</v>
      </c>
      <c r="B1322" s="4">
        <f>IFERROR(__xludf.DUMMYFUNCTION("SPLIT(A1322,"","",0,0)"),45539.65694444445)</f>
        <v>45539.65694</v>
      </c>
      <c r="C1322" s="5">
        <f>IFERROR(__xludf.DUMMYFUNCTION("""COMPUTED_VALUE"""),2611517.0)</f>
        <v>2611517</v>
      </c>
      <c r="D1322" s="2" t="str">
        <f>IFERROR(__xludf.DUMMYFUNCTION("""COMPUTED_VALUE"""),"Sale")</f>
        <v>Sale</v>
      </c>
      <c r="E1322" s="2" t="str">
        <f>IFERROR(__xludf.DUMMYFUNCTION("""COMPUTED_VALUE"""),"Minuman")</f>
        <v>Minuman</v>
      </c>
      <c r="F1322" s="2">
        <f>IFERROR(__xludf.DUMMYFUNCTION("""COMPUTED_VALUE"""),10107.0)</f>
        <v>10107</v>
      </c>
      <c r="G1322" s="2" t="str">
        <f>IFERROR(__xludf.DUMMYFUNCTION("""COMPUTED_VALUE"""),"Korean Mango Fresh Milk")</f>
        <v>Korean Mango Fresh Milk</v>
      </c>
      <c r="H1322" s="2"/>
      <c r="I1322" s="2"/>
      <c r="J1322" s="2">
        <f>IFERROR(__xludf.DUMMYFUNCTION("""COMPUTED_VALUE"""),1.0)</f>
        <v>1</v>
      </c>
      <c r="K1322" s="6">
        <f>IFERROR(__xludf.DUMMYFUNCTION("""COMPUTED_VALUE"""),26667.0)</f>
        <v>26667</v>
      </c>
      <c r="L1322" s="2">
        <f>IFERROR(__xludf.DUMMYFUNCTION("""COMPUTED_VALUE"""),0.0)</f>
        <v>0</v>
      </c>
      <c r="M1322" s="2">
        <f>IFERROR(__xludf.DUMMYFUNCTION("""COMPUTED_VALUE"""),26667.0)</f>
        <v>26667</v>
      </c>
      <c r="N1322" s="2">
        <f>IFERROR(__xludf.DUMMYFUNCTION("""COMPUTED_VALUE"""),0.0)</f>
        <v>0</v>
      </c>
      <c r="O1322" s="2">
        <f>IFERROR(__xludf.DUMMYFUNCTION("""COMPUTED_VALUE"""),26667.0)</f>
        <v>26667</v>
      </c>
      <c r="P1322" s="2">
        <f>IFERROR(__xludf.DUMMYFUNCTION("""COMPUTED_VALUE"""),1333.0)</f>
        <v>1333</v>
      </c>
      <c r="Q1322" s="2" t="str">
        <f>IFERROR(__xludf.DUMMYFUNCTION("""COMPUTED_VALUE"""),"Dine In")</f>
        <v>Dine In</v>
      </c>
      <c r="R1322" s="2" t="str">
        <f>IFERROR(__xludf.DUMMYFUNCTION("""COMPUTED_VALUE"""),"Kedai")</f>
        <v>Kedai</v>
      </c>
      <c r="S1322" s="2" t="str">
        <f>IFERROR(__xludf.DUMMYFUNCTION("""COMPUTED_VALUE"""),"Temu Roti")</f>
        <v>Temu Roti</v>
      </c>
      <c r="T1322" s="2" t="str">
        <f>IFERROR(__xludf.DUMMYFUNCTION("""COMPUTED_VALUE"""),"Owner")</f>
        <v>Owner</v>
      </c>
      <c r="U1322" s="2"/>
      <c r="V1322" s="2"/>
      <c r="W1322" s="2"/>
      <c r="X1322" s="2" t="str">
        <f>IFERROR(__xludf.DUMMYFUNCTION("""COMPUTED_VALUE"""),"Closed")</f>
        <v>Closed</v>
      </c>
    </row>
    <row r="1323">
      <c r="A1323" s="3" t="s">
        <v>1333</v>
      </c>
      <c r="B1323" s="4">
        <f>IFERROR(__xludf.DUMMYFUNCTION("SPLIT(A1323,"","",0,0)"),45539.65694444445)</f>
        <v>45539.65694</v>
      </c>
      <c r="C1323" s="5">
        <f>IFERROR(__xludf.DUMMYFUNCTION("""COMPUTED_VALUE"""),2611517.0)</f>
        <v>2611517</v>
      </c>
      <c r="D1323" s="2" t="str">
        <f>IFERROR(__xludf.DUMMYFUNCTION("""COMPUTED_VALUE"""),"Sale")</f>
        <v>Sale</v>
      </c>
      <c r="E1323" s="2" t="str">
        <f>IFERROR(__xludf.DUMMYFUNCTION("""COMPUTED_VALUE"""),"Minuman")</f>
        <v>Minuman</v>
      </c>
      <c r="F1323" s="2">
        <f>IFERROR(__xludf.DUMMYFUNCTION("""COMPUTED_VALUE"""),10128.0)</f>
        <v>10128</v>
      </c>
      <c r="G1323" s="2" t="str">
        <f>IFERROR(__xludf.DUMMYFUNCTION("""COMPUTED_VALUE"""),"Es Kopi Susu")</f>
        <v>Es Kopi Susu</v>
      </c>
      <c r="H1323" s="2"/>
      <c r="I1323" s="2"/>
      <c r="J1323" s="2">
        <f>IFERROR(__xludf.DUMMYFUNCTION("""COMPUTED_VALUE"""),1.0)</f>
        <v>1</v>
      </c>
      <c r="K1323" s="6">
        <f>IFERROR(__xludf.DUMMYFUNCTION("""COMPUTED_VALUE"""),23333.0)</f>
        <v>23333</v>
      </c>
      <c r="L1323" s="2">
        <f>IFERROR(__xludf.DUMMYFUNCTION("""COMPUTED_VALUE"""),0.0)</f>
        <v>0</v>
      </c>
      <c r="M1323" s="2">
        <f>IFERROR(__xludf.DUMMYFUNCTION("""COMPUTED_VALUE"""),23333.0)</f>
        <v>23333</v>
      </c>
      <c r="N1323" s="2">
        <f>IFERROR(__xludf.DUMMYFUNCTION("""COMPUTED_VALUE"""),0.0)</f>
        <v>0</v>
      </c>
      <c r="O1323" s="2">
        <f>IFERROR(__xludf.DUMMYFUNCTION("""COMPUTED_VALUE"""),23333.0)</f>
        <v>23333</v>
      </c>
      <c r="P1323" s="2">
        <f>IFERROR(__xludf.DUMMYFUNCTION("""COMPUTED_VALUE"""),1167.0)</f>
        <v>1167</v>
      </c>
      <c r="Q1323" s="2" t="str">
        <f>IFERROR(__xludf.DUMMYFUNCTION("""COMPUTED_VALUE"""),"Dine In")</f>
        <v>Dine In</v>
      </c>
      <c r="R1323" s="2" t="str">
        <f>IFERROR(__xludf.DUMMYFUNCTION("""COMPUTED_VALUE"""),"Kedai")</f>
        <v>Kedai</v>
      </c>
      <c r="S1323" s="2" t="str">
        <f>IFERROR(__xludf.DUMMYFUNCTION("""COMPUTED_VALUE"""),"Temu Roti")</f>
        <v>Temu Roti</v>
      </c>
      <c r="T1323" s="2" t="str">
        <f>IFERROR(__xludf.DUMMYFUNCTION("""COMPUTED_VALUE"""),"Owner")</f>
        <v>Owner</v>
      </c>
      <c r="U1323" s="2"/>
      <c r="V1323" s="2"/>
      <c r="W1323" s="2"/>
      <c r="X1323" s="2" t="str">
        <f>IFERROR(__xludf.DUMMYFUNCTION("""COMPUTED_VALUE"""),"Closed")</f>
        <v>Closed</v>
      </c>
    </row>
    <row r="1324">
      <c r="A1324" s="3" t="s">
        <v>1334</v>
      </c>
      <c r="B1324" s="4">
        <f>IFERROR(__xludf.DUMMYFUNCTION("SPLIT(A1324,"","",0,0)"),45539.65555555555)</f>
        <v>45539.65556</v>
      </c>
      <c r="C1324" s="5">
        <f>IFERROR(__xludf.DUMMYFUNCTION("""COMPUTED_VALUE"""),2611152.0)</f>
        <v>2611152</v>
      </c>
      <c r="D1324" s="2" t="str">
        <f>IFERROR(__xludf.DUMMYFUNCTION("""COMPUTED_VALUE"""),"Sale")</f>
        <v>Sale</v>
      </c>
      <c r="E1324" s="2" t="str">
        <f>IFERROR(__xludf.DUMMYFUNCTION("""COMPUTED_VALUE"""),"Minuman")</f>
        <v>Minuman</v>
      </c>
      <c r="F1324" s="2">
        <f>IFERROR(__xludf.DUMMYFUNCTION("""COMPUTED_VALUE"""),10119.0)</f>
        <v>10119</v>
      </c>
      <c r="G1324" s="2" t="str">
        <f>IFERROR(__xludf.DUMMYFUNCTION("""COMPUTED_VALUE"""),"Teh Tawar Dingin")</f>
        <v>Teh Tawar Dingin</v>
      </c>
      <c r="H1324" s="2"/>
      <c r="I1324" s="2"/>
      <c r="J1324" s="2">
        <f>IFERROR(__xludf.DUMMYFUNCTION("""COMPUTED_VALUE"""),1.0)</f>
        <v>1</v>
      </c>
      <c r="K1324" s="6">
        <f>IFERROR(__xludf.DUMMYFUNCTION("""COMPUTED_VALUE"""),7143.0)</f>
        <v>7143</v>
      </c>
      <c r="L1324" s="2">
        <f>IFERROR(__xludf.DUMMYFUNCTION("""COMPUTED_VALUE"""),0.0)</f>
        <v>0</v>
      </c>
      <c r="M1324" s="2">
        <f>IFERROR(__xludf.DUMMYFUNCTION("""COMPUTED_VALUE"""),7143.0)</f>
        <v>7143</v>
      </c>
      <c r="N1324" s="2">
        <f>IFERROR(__xludf.DUMMYFUNCTION("""COMPUTED_VALUE"""),0.0)</f>
        <v>0</v>
      </c>
      <c r="O1324" s="2">
        <f>IFERROR(__xludf.DUMMYFUNCTION("""COMPUTED_VALUE"""),7143.0)</f>
        <v>7143</v>
      </c>
      <c r="P1324" s="2">
        <f>IFERROR(__xludf.DUMMYFUNCTION("""COMPUTED_VALUE"""),357.0)</f>
        <v>357</v>
      </c>
      <c r="Q1324" s="2" t="str">
        <f>IFERROR(__xludf.DUMMYFUNCTION("""COMPUTED_VALUE"""),"Dine In")</f>
        <v>Dine In</v>
      </c>
      <c r="R1324" s="2" t="str">
        <f>IFERROR(__xludf.DUMMYFUNCTION("""COMPUTED_VALUE"""),"Kedai")</f>
        <v>Kedai</v>
      </c>
      <c r="S1324" s="2" t="str">
        <f>IFERROR(__xludf.DUMMYFUNCTION("""COMPUTED_VALUE"""),"Temu Roti")</f>
        <v>Temu Roti</v>
      </c>
      <c r="T1324" s="2" t="str">
        <f>IFERROR(__xludf.DUMMYFUNCTION("""COMPUTED_VALUE"""),"Owner")</f>
        <v>Owner</v>
      </c>
      <c r="U1324" s="2"/>
      <c r="V1324" s="2"/>
      <c r="W1324" s="2"/>
      <c r="X1324" s="2" t="str">
        <f>IFERROR(__xludf.DUMMYFUNCTION("""COMPUTED_VALUE"""),"Closed")</f>
        <v>Closed</v>
      </c>
    </row>
    <row r="1325">
      <c r="A1325" s="3" t="s">
        <v>1335</v>
      </c>
      <c r="B1325" s="4">
        <f>IFERROR(__xludf.DUMMYFUNCTION("SPLIT(A1325,"","",0,0)"),45539.65555555555)</f>
        <v>45539.65556</v>
      </c>
      <c r="C1325" s="5">
        <f>IFERROR(__xludf.DUMMYFUNCTION("""COMPUTED_VALUE"""),2611152.0)</f>
        <v>2611152</v>
      </c>
      <c r="D1325" s="2" t="str">
        <f>IFERROR(__xludf.DUMMYFUNCTION("""COMPUTED_VALUE"""),"Sale")</f>
        <v>Sale</v>
      </c>
      <c r="E1325" s="2" t="str">
        <f>IFERROR(__xludf.DUMMYFUNCTION("""COMPUTED_VALUE"""),"Minuman")</f>
        <v>Minuman</v>
      </c>
      <c r="F1325" s="2">
        <f>IFERROR(__xludf.DUMMYFUNCTION("""COMPUTED_VALUE"""),10125.0)</f>
        <v>10125</v>
      </c>
      <c r="G1325" s="2" t="str">
        <f>IFERROR(__xludf.DUMMYFUNCTION("""COMPUTED_VALUE"""),"Gula Asam Dingin")</f>
        <v>Gula Asam Dingin</v>
      </c>
      <c r="H1325" s="2"/>
      <c r="I1325" s="2"/>
      <c r="J1325" s="2">
        <f>IFERROR(__xludf.DUMMYFUNCTION("""COMPUTED_VALUE"""),1.0)</f>
        <v>1</v>
      </c>
      <c r="K1325" s="6">
        <f>IFERROR(__xludf.DUMMYFUNCTION("""COMPUTED_VALUE"""),20476.0)</f>
        <v>20476</v>
      </c>
      <c r="L1325" s="2">
        <f>IFERROR(__xludf.DUMMYFUNCTION("""COMPUTED_VALUE"""),0.0)</f>
        <v>0</v>
      </c>
      <c r="M1325" s="2">
        <f>IFERROR(__xludf.DUMMYFUNCTION("""COMPUTED_VALUE"""),20476.0)</f>
        <v>20476</v>
      </c>
      <c r="N1325" s="2">
        <f>IFERROR(__xludf.DUMMYFUNCTION("""COMPUTED_VALUE"""),0.0)</f>
        <v>0</v>
      </c>
      <c r="O1325" s="2">
        <f>IFERROR(__xludf.DUMMYFUNCTION("""COMPUTED_VALUE"""),20476.0)</f>
        <v>20476</v>
      </c>
      <c r="P1325" s="2">
        <f>IFERROR(__xludf.DUMMYFUNCTION("""COMPUTED_VALUE"""),1024.0)</f>
        <v>1024</v>
      </c>
      <c r="Q1325" s="2" t="str">
        <f>IFERROR(__xludf.DUMMYFUNCTION("""COMPUTED_VALUE"""),"Dine In")</f>
        <v>Dine In</v>
      </c>
      <c r="R1325" s="2" t="str">
        <f>IFERROR(__xludf.DUMMYFUNCTION("""COMPUTED_VALUE"""),"Kedai")</f>
        <v>Kedai</v>
      </c>
      <c r="S1325" s="2" t="str">
        <f>IFERROR(__xludf.DUMMYFUNCTION("""COMPUTED_VALUE"""),"Temu Roti")</f>
        <v>Temu Roti</v>
      </c>
      <c r="T1325" s="2" t="str">
        <f>IFERROR(__xludf.DUMMYFUNCTION("""COMPUTED_VALUE"""),"Owner")</f>
        <v>Owner</v>
      </c>
      <c r="U1325" s="2"/>
      <c r="V1325" s="2"/>
      <c r="W1325" s="2"/>
      <c r="X1325" s="2" t="str">
        <f>IFERROR(__xludf.DUMMYFUNCTION("""COMPUTED_VALUE"""),"Closed")</f>
        <v>Closed</v>
      </c>
    </row>
    <row r="1326">
      <c r="A1326" s="3" t="s">
        <v>1336</v>
      </c>
      <c r="B1326" s="4">
        <f>IFERROR(__xludf.DUMMYFUNCTION("SPLIT(A1326,"","",0,0)"),45539.65555555555)</f>
        <v>45539.65556</v>
      </c>
      <c r="C1326" s="5">
        <f>IFERROR(__xludf.DUMMYFUNCTION("""COMPUTED_VALUE"""),2611152.0)</f>
        <v>2611152</v>
      </c>
      <c r="D1326" s="2" t="str">
        <f>IFERROR(__xludf.DUMMYFUNCTION("""COMPUTED_VALUE"""),"Sale")</f>
        <v>Sale</v>
      </c>
      <c r="E1326" s="2" t="str">
        <f>IFERROR(__xludf.DUMMYFUNCTION("""COMPUTED_VALUE"""),"Roti")</f>
        <v>Roti</v>
      </c>
      <c r="F1326" s="2">
        <f>IFERROR(__xludf.DUMMYFUNCTION("""COMPUTED_VALUE"""),10033.0)</f>
        <v>10033</v>
      </c>
      <c r="G1326" s="2" t="str">
        <f>IFERROR(__xludf.DUMMYFUNCTION("""COMPUTED_VALUE"""),"Roti panggang sarikaya")</f>
        <v>Roti panggang sarikaya</v>
      </c>
      <c r="H1326" s="2"/>
      <c r="I1326" s="2"/>
      <c r="J1326" s="2">
        <f>IFERROR(__xludf.DUMMYFUNCTION("""COMPUTED_VALUE"""),1.0)</f>
        <v>1</v>
      </c>
      <c r="K1326" s="6">
        <f>IFERROR(__xludf.DUMMYFUNCTION("""COMPUTED_VALUE"""),21905.0)</f>
        <v>21905</v>
      </c>
      <c r="L1326" s="2">
        <f>IFERROR(__xludf.DUMMYFUNCTION("""COMPUTED_VALUE"""),0.0)</f>
        <v>0</v>
      </c>
      <c r="M1326" s="2">
        <f>IFERROR(__xludf.DUMMYFUNCTION("""COMPUTED_VALUE"""),21905.0)</f>
        <v>21905</v>
      </c>
      <c r="N1326" s="2">
        <f>IFERROR(__xludf.DUMMYFUNCTION("""COMPUTED_VALUE"""),0.0)</f>
        <v>0</v>
      </c>
      <c r="O1326" s="2">
        <f>IFERROR(__xludf.DUMMYFUNCTION("""COMPUTED_VALUE"""),21905.0)</f>
        <v>21905</v>
      </c>
      <c r="P1326" s="2">
        <f>IFERROR(__xludf.DUMMYFUNCTION("""COMPUTED_VALUE"""),1095.0)</f>
        <v>1095</v>
      </c>
      <c r="Q1326" s="2" t="str">
        <f>IFERROR(__xludf.DUMMYFUNCTION("""COMPUTED_VALUE"""),"Dine In")</f>
        <v>Dine In</v>
      </c>
      <c r="R1326" s="2" t="str">
        <f>IFERROR(__xludf.DUMMYFUNCTION("""COMPUTED_VALUE"""),"Kedai")</f>
        <v>Kedai</v>
      </c>
      <c r="S1326" s="2" t="str">
        <f>IFERROR(__xludf.DUMMYFUNCTION("""COMPUTED_VALUE"""),"Temu Roti")</f>
        <v>Temu Roti</v>
      </c>
      <c r="T1326" s="2" t="str">
        <f>IFERROR(__xludf.DUMMYFUNCTION("""COMPUTED_VALUE"""),"Owner")</f>
        <v>Owner</v>
      </c>
      <c r="U1326" s="2"/>
      <c r="V1326" s="2"/>
      <c r="W1326" s="2"/>
      <c r="X1326" s="2" t="str">
        <f>IFERROR(__xludf.DUMMYFUNCTION("""COMPUTED_VALUE"""),"Closed")</f>
        <v>Closed</v>
      </c>
    </row>
    <row r="1327">
      <c r="A1327" s="3" t="s">
        <v>1337</v>
      </c>
      <c r="B1327" s="4">
        <f>IFERROR(__xludf.DUMMYFUNCTION("SPLIT(A1327,"","",0,0)"),45539.63888888889)</f>
        <v>45539.63889</v>
      </c>
      <c r="C1327" s="5">
        <f>IFERROR(__xludf.DUMMYFUNCTION("""COMPUTED_VALUE"""),2610786.0)</f>
        <v>2610786</v>
      </c>
      <c r="D1327" s="2" t="str">
        <f>IFERROR(__xludf.DUMMYFUNCTION("""COMPUTED_VALUE"""),"Sale")</f>
        <v>Sale</v>
      </c>
      <c r="E1327" s="2" t="str">
        <f>IFERROR(__xludf.DUMMYFUNCTION("""COMPUTED_VALUE"""),"Roti")</f>
        <v>Roti</v>
      </c>
      <c r="F1327" s="2">
        <f>IFERROR(__xludf.DUMMYFUNCTION("""COMPUTED_VALUE"""),10043.0)</f>
        <v>10043</v>
      </c>
      <c r="G1327" s="2" t="str">
        <f>IFERROR(__xludf.DUMMYFUNCTION("""COMPUTED_VALUE"""),"Roti keju")</f>
        <v>Roti keju</v>
      </c>
      <c r="H1327" s="2"/>
      <c r="I1327" s="2"/>
      <c r="J1327" s="2">
        <f>IFERROR(__xludf.DUMMYFUNCTION("""COMPUTED_VALUE"""),2.0)</f>
        <v>2</v>
      </c>
      <c r="K1327" s="6">
        <f>IFERROR(__xludf.DUMMYFUNCTION("""COMPUTED_VALUE"""),19048.0)</f>
        <v>19048</v>
      </c>
      <c r="L1327" s="2">
        <f>IFERROR(__xludf.DUMMYFUNCTION("""COMPUTED_VALUE"""),0.0)</f>
        <v>0</v>
      </c>
      <c r="M1327" s="2">
        <f>IFERROR(__xludf.DUMMYFUNCTION("""COMPUTED_VALUE"""),19048.0)</f>
        <v>19048</v>
      </c>
      <c r="N1327" s="2">
        <f>IFERROR(__xludf.DUMMYFUNCTION("""COMPUTED_VALUE"""),0.0)</f>
        <v>0</v>
      </c>
      <c r="O1327" s="2">
        <f>IFERROR(__xludf.DUMMYFUNCTION("""COMPUTED_VALUE"""),19048.0)</f>
        <v>19048</v>
      </c>
      <c r="P1327" s="2">
        <f>IFERROR(__xludf.DUMMYFUNCTION("""COMPUTED_VALUE"""),952.0)</f>
        <v>952</v>
      </c>
      <c r="Q1327" s="2" t="str">
        <f>IFERROR(__xludf.DUMMYFUNCTION("""COMPUTED_VALUE"""),"Dine In")</f>
        <v>Dine In</v>
      </c>
      <c r="R1327" s="2" t="str">
        <f>IFERROR(__xludf.DUMMYFUNCTION("""COMPUTED_VALUE"""),"Kedai")</f>
        <v>Kedai</v>
      </c>
      <c r="S1327" s="2" t="str">
        <f>IFERROR(__xludf.DUMMYFUNCTION("""COMPUTED_VALUE"""),"Temu Roti")</f>
        <v>Temu Roti</v>
      </c>
      <c r="T1327" s="2" t="str">
        <f>IFERROR(__xludf.DUMMYFUNCTION("""COMPUTED_VALUE"""),"Owner")</f>
        <v>Owner</v>
      </c>
      <c r="U1327" s="2"/>
      <c r="V1327" s="2"/>
      <c r="W1327" s="2"/>
      <c r="X1327" s="2" t="str">
        <f>IFERROR(__xludf.DUMMYFUNCTION("""COMPUTED_VALUE"""),"Closed")</f>
        <v>Closed</v>
      </c>
    </row>
    <row r="1328">
      <c r="A1328" s="3" t="s">
        <v>1338</v>
      </c>
      <c r="B1328" s="4">
        <f>IFERROR(__xludf.DUMMYFUNCTION("SPLIT(A1328,"","",0,0)"),45539.629166666666)</f>
        <v>45539.62917</v>
      </c>
      <c r="C1328" s="5">
        <f>IFERROR(__xludf.DUMMYFUNCTION("""COMPUTED_VALUE"""),2610421.0)</f>
        <v>2610421</v>
      </c>
      <c r="D1328" s="2" t="str">
        <f>IFERROR(__xludf.DUMMYFUNCTION("""COMPUTED_VALUE"""),"Sale")</f>
        <v>Sale</v>
      </c>
      <c r="E1328" s="2" t="str">
        <f>IFERROR(__xludf.DUMMYFUNCTION("""COMPUTED_VALUE"""),"Roti")</f>
        <v>Roti</v>
      </c>
      <c r="F1328" s="2">
        <f>IFERROR(__xludf.DUMMYFUNCTION("""COMPUTED_VALUE"""),10007.0)</f>
        <v>10007</v>
      </c>
      <c r="G1328" s="2" t="str">
        <f>IFERROR(__xludf.DUMMYFUNCTION("""COMPUTED_VALUE"""),"Roti cranberry 2 pcs")</f>
        <v>Roti cranberry 2 pcs</v>
      </c>
      <c r="H1328" s="2"/>
      <c r="I1328" s="2"/>
      <c r="J1328" s="2">
        <f>IFERROR(__xludf.DUMMYFUNCTION("""COMPUTED_VALUE"""),1.0)</f>
        <v>1</v>
      </c>
      <c r="K1328" s="6">
        <f>IFERROR(__xludf.DUMMYFUNCTION("""COMPUTED_VALUE"""),33810.0)</f>
        <v>33810</v>
      </c>
      <c r="L1328" s="2">
        <f>IFERROR(__xludf.DUMMYFUNCTION("""COMPUTED_VALUE"""),0.0)</f>
        <v>0</v>
      </c>
      <c r="M1328" s="2">
        <f>IFERROR(__xludf.DUMMYFUNCTION("""COMPUTED_VALUE"""),33810.0)</f>
        <v>33810</v>
      </c>
      <c r="N1328" s="2">
        <f>IFERROR(__xludf.DUMMYFUNCTION("""COMPUTED_VALUE"""),0.0)</f>
        <v>0</v>
      </c>
      <c r="O1328" s="2">
        <f>IFERROR(__xludf.DUMMYFUNCTION("""COMPUTED_VALUE"""),33810.0)</f>
        <v>33810</v>
      </c>
      <c r="P1328" s="2">
        <f>IFERROR(__xludf.DUMMYFUNCTION("""COMPUTED_VALUE"""),1691.0)</f>
        <v>1691</v>
      </c>
      <c r="Q1328" s="2" t="str">
        <f>IFERROR(__xludf.DUMMYFUNCTION("""COMPUTED_VALUE"""),"Dine In")</f>
        <v>Dine In</v>
      </c>
      <c r="R1328" s="2" t="str">
        <f>IFERROR(__xludf.DUMMYFUNCTION("""COMPUTED_VALUE"""),"Kedai")</f>
        <v>Kedai</v>
      </c>
      <c r="S1328" s="2" t="str">
        <f>IFERROR(__xludf.DUMMYFUNCTION("""COMPUTED_VALUE"""),"Temu Roti")</f>
        <v>Temu Roti</v>
      </c>
      <c r="T1328" s="2" t="str">
        <f>IFERROR(__xludf.DUMMYFUNCTION("""COMPUTED_VALUE"""),"Owner")</f>
        <v>Owner</v>
      </c>
      <c r="U1328" s="2"/>
      <c r="V1328" s="2"/>
      <c r="W1328" s="2"/>
      <c r="X1328" s="2" t="str">
        <f>IFERROR(__xludf.DUMMYFUNCTION("""COMPUTED_VALUE"""),"Closed")</f>
        <v>Closed</v>
      </c>
    </row>
    <row r="1329">
      <c r="A1329" s="3" t="s">
        <v>1339</v>
      </c>
      <c r="B1329" s="4">
        <f>IFERROR(__xludf.DUMMYFUNCTION("SPLIT(A1329,"","",0,0)"),45539.629166666666)</f>
        <v>45539.62917</v>
      </c>
      <c r="C1329" s="5">
        <f>IFERROR(__xludf.DUMMYFUNCTION("""COMPUTED_VALUE"""),2610421.0)</f>
        <v>2610421</v>
      </c>
      <c r="D1329" s="2" t="str">
        <f>IFERROR(__xludf.DUMMYFUNCTION("""COMPUTED_VALUE"""),"Sale")</f>
        <v>Sale</v>
      </c>
      <c r="E1329" s="2" t="str">
        <f>IFERROR(__xludf.DUMMYFUNCTION("""COMPUTED_VALUE"""),"Roti")</f>
        <v>Roti</v>
      </c>
      <c r="F1329" s="2">
        <f>IFERROR(__xludf.DUMMYFUNCTION("""COMPUTED_VALUE"""),10002.0)</f>
        <v>10002</v>
      </c>
      <c r="G1329" s="2" t="str">
        <f>IFERROR(__xludf.DUMMYFUNCTION("""COMPUTED_VALUE"""),"Roti Cranberry")</f>
        <v>Roti Cranberry</v>
      </c>
      <c r="H1329" s="2"/>
      <c r="I1329" s="2"/>
      <c r="J1329" s="2">
        <f>IFERROR(__xludf.DUMMYFUNCTION("""COMPUTED_VALUE"""),1.0)</f>
        <v>1</v>
      </c>
      <c r="K1329" s="6">
        <f>IFERROR(__xludf.DUMMYFUNCTION("""COMPUTED_VALUE"""),18571.0)</f>
        <v>18571</v>
      </c>
      <c r="L1329" s="2">
        <f>IFERROR(__xludf.DUMMYFUNCTION("""COMPUTED_VALUE"""),0.0)</f>
        <v>0</v>
      </c>
      <c r="M1329" s="2">
        <f>IFERROR(__xludf.DUMMYFUNCTION("""COMPUTED_VALUE"""),18571.0)</f>
        <v>18571</v>
      </c>
      <c r="N1329" s="2">
        <f>IFERROR(__xludf.DUMMYFUNCTION("""COMPUTED_VALUE"""),0.0)</f>
        <v>0</v>
      </c>
      <c r="O1329" s="2">
        <f>IFERROR(__xludf.DUMMYFUNCTION("""COMPUTED_VALUE"""),18571.0)</f>
        <v>18571</v>
      </c>
      <c r="P1329" s="2">
        <f>IFERROR(__xludf.DUMMYFUNCTION("""COMPUTED_VALUE"""),928.0)</f>
        <v>928</v>
      </c>
      <c r="Q1329" s="2" t="str">
        <f>IFERROR(__xludf.DUMMYFUNCTION("""COMPUTED_VALUE"""),"Dine In")</f>
        <v>Dine In</v>
      </c>
      <c r="R1329" s="2" t="str">
        <f>IFERROR(__xludf.DUMMYFUNCTION("""COMPUTED_VALUE"""),"Kedai")</f>
        <v>Kedai</v>
      </c>
      <c r="S1329" s="2" t="str">
        <f>IFERROR(__xludf.DUMMYFUNCTION("""COMPUTED_VALUE"""),"Temu Roti")</f>
        <v>Temu Roti</v>
      </c>
      <c r="T1329" s="2" t="str">
        <f>IFERROR(__xludf.DUMMYFUNCTION("""COMPUTED_VALUE"""),"Owner")</f>
        <v>Owner</v>
      </c>
      <c r="U1329" s="2"/>
      <c r="V1329" s="2"/>
      <c r="W1329" s="2"/>
      <c r="X1329" s="2" t="str">
        <f>IFERROR(__xludf.DUMMYFUNCTION("""COMPUTED_VALUE"""),"Closed")</f>
        <v>Closed</v>
      </c>
    </row>
    <row r="1330">
      <c r="A1330" s="3" t="s">
        <v>1340</v>
      </c>
      <c r="B1330" s="4">
        <f>IFERROR(__xludf.DUMMYFUNCTION("SPLIT(A1330,"","",0,0)"),45539.629166666666)</f>
        <v>45539.62917</v>
      </c>
      <c r="C1330" s="5">
        <f>IFERROR(__xludf.DUMMYFUNCTION("""COMPUTED_VALUE"""),2610421.0)</f>
        <v>2610421</v>
      </c>
      <c r="D1330" s="2" t="str">
        <f>IFERROR(__xludf.DUMMYFUNCTION("""COMPUTED_VALUE"""),"Sale")</f>
        <v>Sale</v>
      </c>
      <c r="E1330" s="2" t="str">
        <f>IFERROR(__xludf.DUMMYFUNCTION("""COMPUTED_VALUE"""),"Roti")</f>
        <v>Roti</v>
      </c>
      <c r="F1330" s="2">
        <f>IFERROR(__xludf.DUMMYFUNCTION("""COMPUTED_VALUE"""),10055.0)</f>
        <v>10055</v>
      </c>
      <c r="G1330" s="2" t="str">
        <f>IFERROR(__xludf.DUMMYFUNCTION("""COMPUTED_VALUE"""),"Roti Gandum Cokelat 2 pcs")</f>
        <v>Roti Gandum Cokelat 2 pcs</v>
      </c>
      <c r="H1330" s="2"/>
      <c r="I1330" s="2"/>
      <c r="J1330" s="2">
        <f>IFERROR(__xludf.DUMMYFUNCTION("""COMPUTED_VALUE"""),1.0)</f>
        <v>1</v>
      </c>
      <c r="K1330" s="6">
        <f>IFERROR(__xludf.DUMMYFUNCTION("""COMPUTED_VALUE"""),34762.0)</f>
        <v>34762</v>
      </c>
      <c r="L1330" s="2">
        <f>IFERROR(__xludf.DUMMYFUNCTION("""COMPUTED_VALUE"""),0.0)</f>
        <v>0</v>
      </c>
      <c r="M1330" s="2">
        <f>IFERROR(__xludf.DUMMYFUNCTION("""COMPUTED_VALUE"""),34762.0)</f>
        <v>34762</v>
      </c>
      <c r="N1330" s="2">
        <f>IFERROR(__xludf.DUMMYFUNCTION("""COMPUTED_VALUE"""),0.0)</f>
        <v>0</v>
      </c>
      <c r="O1330" s="2">
        <f>IFERROR(__xludf.DUMMYFUNCTION("""COMPUTED_VALUE"""),34762.0)</f>
        <v>34762</v>
      </c>
      <c r="P1330" s="2">
        <f>IFERROR(__xludf.DUMMYFUNCTION("""COMPUTED_VALUE"""),1738.0)</f>
        <v>1738</v>
      </c>
      <c r="Q1330" s="2" t="str">
        <f>IFERROR(__xludf.DUMMYFUNCTION("""COMPUTED_VALUE"""),"Dine In")</f>
        <v>Dine In</v>
      </c>
      <c r="R1330" s="2" t="str">
        <f>IFERROR(__xludf.DUMMYFUNCTION("""COMPUTED_VALUE"""),"Kedai")</f>
        <v>Kedai</v>
      </c>
      <c r="S1330" s="2" t="str">
        <f>IFERROR(__xludf.DUMMYFUNCTION("""COMPUTED_VALUE"""),"Temu Roti")</f>
        <v>Temu Roti</v>
      </c>
      <c r="T1330" s="2" t="str">
        <f>IFERROR(__xludf.DUMMYFUNCTION("""COMPUTED_VALUE"""),"Owner")</f>
        <v>Owner</v>
      </c>
      <c r="U1330" s="2"/>
      <c r="V1330" s="2"/>
      <c r="W1330" s="2"/>
      <c r="X1330" s="2" t="str">
        <f>IFERROR(__xludf.DUMMYFUNCTION("""COMPUTED_VALUE"""),"Closed")</f>
        <v>Closed</v>
      </c>
    </row>
    <row r="1331">
      <c r="A1331" s="3" t="s">
        <v>1341</v>
      </c>
      <c r="B1331" s="4">
        <f>IFERROR(__xludf.DUMMYFUNCTION("SPLIT(A1331,"","",0,0)"),45539.60833333333)</f>
        <v>45539.60833</v>
      </c>
      <c r="C1331" s="5">
        <f>IFERROR(__xludf.DUMMYFUNCTION("""COMPUTED_VALUE"""),2610056.0)</f>
        <v>2610056</v>
      </c>
      <c r="D1331" s="2" t="str">
        <f>IFERROR(__xludf.DUMMYFUNCTION("""COMPUTED_VALUE"""),"Sale")</f>
        <v>Sale</v>
      </c>
      <c r="E1331" s="2" t="str">
        <f>IFERROR(__xludf.DUMMYFUNCTION("""COMPUTED_VALUE"""),"Roti")</f>
        <v>Roti</v>
      </c>
      <c r="F1331" s="2">
        <f>IFERROR(__xludf.DUMMYFUNCTION("""COMPUTED_VALUE"""),10005.0)</f>
        <v>10005</v>
      </c>
      <c r="G1331" s="2" t="str">
        <f>IFERROR(__xludf.DUMMYFUNCTION("""COMPUTED_VALUE"""),"Roti Gandum Cokelat")</f>
        <v>Roti Gandum Cokelat</v>
      </c>
      <c r="H1331" s="2"/>
      <c r="I1331" s="2"/>
      <c r="J1331" s="2">
        <f>IFERROR(__xludf.DUMMYFUNCTION("""COMPUTED_VALUE"""),1.0)</f>
        <v>1</v>
      </c>
      <c r="K1331" s="6">
        <f>IFERROR(__xludf.DUMMYFUNCTION("""COMPUTED_VALUE"""),19524.0)</f>
        <v>19524</v>
      </c>
      <c r="L1331" s="2">
        <f>IFERROR(__xludf.DUMMYFUNCTION("""COMPUTED_VALUE"""),0.0)</f>
        <v>0</v>
      </c>
      <c r="M1331" s="2">
        <f>IFERROR(__xludf.DUMMYFUNCTION("""COMPUTED_VALUE"""),19524.0)</f>
        <v>19524</v>
      </c>
      <c r="N1331" s="2">
        <f>IFERROR(__xludf.DUMMYFUNCTION("""COMPUTED_VALUE"""),0.0)</f>
        <v>0</v>
      </c>
      <c r="O1331" s="2">
        <f>IFERROR(__xludf.DUMMYFUNCTION("""COMPUTED_VALUE"""),19524.0)</f>
        <v>19524</v>
      </c>
      <c r="P1331" s="2">
        <f>IFERROR(__xludf.DUMMYFUNCTION("""COMPUTED_VALUE"""),976.0)</f>
        <v>976</v>
      </c>
      <c r="Q1331" s="2" t="str">
        <f>IFERROR(__xludf.DUMMYFUNCTION("""COMPUTED_VALUE"""),"Dine In")</f>
        <v>Dine In</v>
      </c>
      <c r="R1331" s="2" t="str">
        <f>IFERROR(__xludf.DUMMYFUNCTION("""COMPUTED_VALUE"""),"Kedai")</f>
        <v>Kedai</v>
      </c>
      <c r="S1331" s="2" t="str">
        <f>IFERROR(__xludf.DUMMYFUNCTION("""COMPUTED_VALUE"""),"Temu Roti")</f>
        <v>Temu Roti</v>
      </c>
      <c r="T1331" s="2" t="str">
        <f>IFERROR(__xludf.DUMMYFUNCTION("""COMPUTED_VALUE"""),"Owner")</f>
        <v>Owner</v>
      </c>
      <c r="U1331" s="2"/>
      <c r="V1331" s="2"/>
      <c r="W1331" s="2"/>
      <c r="X1331" s="2" t="str">
        <f>IFERROR(__xludf.DUMMYFUNCTION("""COMPUTED_VALUE"""),"Closed")</f>
        <v>Closed</v>
      </c>
    </row>
    <row r="1332">
      <c r="A1332" s="3" t="s">
        <v>1342</v>
      </c>
      <c r="B1332" s="4">
        <f>IFERROR(__xludf.DUMMYFUNCTION("SPLIT(A1332,"","",0,0)"),45539.60833333333)</f>
        <v>45539.60833</v>
      </c>
      <c r="C1332" s="5">
        <f>IFERROR(__xludf.DUMMYFUNCTION("""COMPUTED_VALUE"""),2610056.0)</f>
        <v>2610056</v>
      </c>
      <c r="D1332" s="2" t="str">
        <f>IFERROR(__xludf.DUMMYFUNCTION("""COMPUTED_VALUE"""),"Sale")</f>
        <v>Sale</v>
      </c>
      <c r="E1332" s="2" t="str">
        <f>IFERROR(__xludf.DUMMYFUNCTION("""COMPUTED_VALUE"""),"Roti")</f>
        <v>Roti</v>
      </c>
      <c r="F1332" s="2">
        <f>IFERROR(__xludf.DUMMYFUNCTION("""COMPUTED_VALUE"""),10002.0)</f>
        <v>10002</v>
      </c>
      <c r="G1332" s="2" t="str">
        <f>IFERROR(__xludf.DUMMYFUNCTION("""COMPUTED_VALUE"""),"Roti Cranberry")</f>
        <v>Roti Cranberry</v>
      </c>
      <c r="H1332" s="2"/>
      <c r="I1332" s="2"/>
      <c r="J1332" s="2">
        <f>IFERROR(__xludf.DUMMYFUNCTION("""COMPUTED_VALUE"""),1.0)</f>
        <v>1</v>
      </c>
      <c r="K1332" s="6">
        <f>IFERROR(__xludf.DUMMYFUNCTION("""COMPUTED_VALUE"""),18571.0)</f>
        <v>18571</v>
      </c>
      <c r="L1332" s="2">
        <f>IFERROR(__xludf.DUMMYFUNCTION("""COMPUTED_VALUE"""),0.0)</f>
        <v>0</v>
      </c>
      <c r="M1332" s="2">
        <f>IFERROR(__xludf.DUMMYFUNCTION("""COMPUTED_VALUE"""),18571.0)</f>
        <v>18571</v>
      </c>
      <c r="N1332" s="2">
        <f>IFERROR(__xludf.DUMMYFUNCTION("""COMPUTED_VALUE"""),0.0)</f>
        <v>0</v>
      </c>
      <c r="O1332" s="2">
        <f>IFERROR(__xludf.DUMMYFUNCTION("""COMPUTED_VALUE"""),18571.0)</f>
        <v>18571</v>
      </c>
      <c r="P1332" s="2">
        <f>IFERROR(__xludf.DUMMYFUNCTION("""COMPUTED_VALUE"""),929.0)</f>
        <v>929</v>
      </c>
      <c r="Q1332" s="2" t="str">
        <f>IFERROR(__xludf.DUMMYFUNCTION("""COMPUTED_VALUE"""),"Dine In")</f>
        <v>Dine In</v>
      </c>
      <c r="R1332" s="2" t="str">
        <f>IFERROR(__xludf.DUMMYFUNCTION("""COMPUTED_VALUE"""),"Kedai")</f>
        <v>Kedai</v>
      </c>
      <c r="S1332" s="2" t="str">
        <f>IFERROR(__xludf.DUMMYFUNCTION("""COMPUTED_VALUE"""),"Temu Roti")</f>
        <v>Temu Roti</v>
      </c>
      <c r="T1332" s="2" t="str">
        <f>IFERROR(__xludf.DUMMYFUNCTION("""COMPUTED_VALUE"""),"Owner")</f>
        <v>Owner</v>
      </c>
      <c r="U1332" s="2"/>
      <c r="V1332" s="2"/>
      <c r="W1332" s="2"/>
      <c r="X1332" s="2" t="str">
        <f>IFERROR(__xludf.DUMMYFUNCTION("""COMPUTED_VALUE"""),"Closed")</f>
        <v>Closed</v>
      </c>
    </row>
    <row r="1333">
      <c r="A1333" s="3" t="s">
        <v>1343</v>
      </c>
      <c r="B1333" s="4">
        <f>IFERROR(__xludf.DUMMYFUNCTION("SPLIT(A1333,"","",0,0)"),45539.60833333333)</f>
        <v>45539.60833</v>
      </c>
      <c r="C1333" s="5">
        <f>IFERROR(__xludf.DUMMYFUNCTION("""COMPUTED_VALUE"""),2610056.0)</f>
        <v>2610056</v>
      </c>
      <c r="D1333" s="2" t="str">
        <f>IFERROR(__xludf.DUMMYFUNCTION("""COMPUTED_VALUE"""),"Sale")</f>
        <v>Sale</v>
      </c>
      <c r="E1333" s="2" t="str">
        <f>IFERROR(__xludf.DUMMYFUNCTION("""COMPUTED_VALUE"""),"Minuman")</f>
        <v>Minuman</v>
      </c>
      <c r="F1333" s="2">
        <f>IFERROR(__xludf.DUMMYFUNCTION("""COMPUTED_VALUE"""),10128.0)</f>
        <v>10128</v>
      </c>
      <c r="G1333" s="2" t="str">
        <f>IFERROR(__xludf.DUMMYFUNCTION("""COMPUTED_VALUE"""),"Es Kopi Susu")</f>
        <v>Es Kopi Susu</v>
      </c>
      <c r="H1333" s="2"/>
      <c r="I1333" s="2"/>
      <c r="J1333" s="2">
        <f>IFERROR(__xludf.DUMMYFUNCTION("""COMPUTED_VALUE"""),1.0)</f>
        <v>1</v>
      </c>
      <c r="K1333" s="6">
        <f>IFERROR(__xludf.DUMMYFUNCTION("""COMPUTED_VALUE"""),23333.0)</f>
        <v>23333</v>
      </c>
      <c r="L1333" s="2">
        <f>IFERROR(__xludf.DUMMYFUNCTION("""COMPUTED_VALUE"""),0.0)</f>
        <v>0</v>
      </c>
      <c r="M1333" s="2">
        <f>IFERROR(__xludf.DUMMYFUNCTION("""COMPUTED_VALUE"""),23333.0)</f>
        <v>23333</v>
      </c>
      <c r="N1333" s="2">
        <f>IFERROR(__xludf.DUMMYFUNCTION("""COMPUTED_VALUE"""),0.0)</f>
        <v>0</v>
      </c>
      <c r="O1333" s="2">
        <f>IFERROR(__xludf.DUMMYFUNCTION("""COMPUTED_VALUE"""),23333.0)</f>
        <v>23333</v>
      </c>
      <c r="P1333" s="2">
        <f>IFERROR(__xludf.DUMMYFUNCTION("""COMPUTED_VALUE"""),1166.0)</f>
        <v>1166</v>
      </c>
      <c r="Q1333" s="2" t="str">
        <f>IFERROR(__xludf.DUMMYFUNCTION("""COMPUTED_VALUE"""),"Dine In")</f>
        <v>Dine In</v>
      </c>
      <c r="R1333" s="2" t="str">
        <f>IFERROR(__xludf.DUMMYFUNCTION("""COMPUTED_VALUE"""),"Kedai")</f>
        <v>Kedai</v>
      </c>
      <c r="S1333" s="2" t="str">
        <f>IFERROR(__xludf.DUMMYFUNCTION("""COMPUTED_VALUE"""),"Temu Roti")</f>
        <v>Temu Roti</v>
      </c>
      <c r="T1333" s="2" t="str">
        <f>IFERROR(__xludf.DUMMYFUNCTION("""COMPUTED_VALUE"""),"Owner")</f>
        <v>Owner</v>
      </c>
      <c r="U1333" s="2"/>
      <c r="V1333" s="2"/>
      <c r="W1333" s="2"/>
      <c r="X1333" s="2" t="str">
        <f>IFERROR(__xludf.DUMMYFUNCTION("""COMPUTED_VALUE"""),"Closed")</f>
        <v>Closed</v>
      </c>
    </row>
    <row r="1334">
      <c r="A1334" s="3" t="s">
        <v>1344</v>
      </c>
      <c r="B1334" s="4">
        <f>IFERROR(__xludf.DUMMYFUNCTION("SPLIT(A1334,"","",0,0)"),45539.60833333333)</f>
        <v>45539.60833</v>
      </c>
      <c r="C1334" s="5">
        <f>IFERROR(__xludf.DUMMYFUNCTION("""COMPUTED_VALUE"""),2610056.0)</f>
        <v>2610056</v>
      </c>
      <c r="D1334" s="2" t="str">
        <f>IFERROR(__xludf.DUMMYFUNCTION("""COMPUTED_VALUE"""),"Sale")</f>
        <v>Sale</v>
      </c>
      <c r="E1334" s="2" t="str">
        <f>IFERROR(__xludf.DUMMYFUNCTION("""COMPUTED_VALUE"""),"Minuman")</f>
        <v>Minuman</v>
      </c>
      <c r="F1334" s="2">
        <f>IFERROR(__xludf.DUMMYFUNCTION("""COMPUTED_VALUE"""),10107.0)</f>
        <v>10107</v>
      </c>
      <c r="G1334" s="2" t="str">
        <f>IFERROR(__xludf.DUMMYFUNCTION("""COMPUTED_VALUE"""),"Korean Mango Fresh Milk")</f>
        <v>Korean Mango Fresh Milk</v>
      </c>
      <c r="H1334" s="2"/>
      <c r="I1334" s="2"/>
      <c r="J1334" s="2">
        <f>IFERROR(__xludf.DUMMYFUNCTION("""COMPUTED_VALUE"""),1.0)</f>
        <v>1</v>
      </c>
      <c r="K1334" s="6">
        <f>IFERROR(__xludf.DUMMYFUNCTION("""COMPUTED_VALUE"""),26667.0)</f>
        <v>26667</v>
      </c>
      <c r="L1334" s="2">
        <f>IFERROR(__xludf.DUMMYFUNCTION("""COMPUTED_VALUE"""),0.0)</f>
        <v>0</v>
      </c>
      <c r="M1334" s="2">
        <f>IFERROR(__xludf.DUMMYFUNCTION("""COMPUTED_VALUE"""),26667.0)</f>
        <v>26667</v>
      </c>
      <c r="N1334" s="2">
        <f>IFERROR(__xludf.DUMMYFUNCTION("""COMPUTED_VALUE"""),0.0)</f>
        <v>0</v>
      </c>
      <c r="O1334" s="2">
        <f>IFERROR(__xludf.DUMMYFUNCTION("""COMPUTED_VALUE"""),26667.0)</f>
        <v>26667</v>
      </c>
      <c r="P1334" s="2">
        <f>IFERROR(__xludf.DUMMYFUNCTION("""COMPUTED_VALUE"""),1334.0)</f>
        <v>1334</v>
      </c>
      <c r="Q1334" s="2" t="str">
        <f>IFERROR(__xludf.DUMMYFUNCTION("""COMPUTED_VALUE"""),"Dine In")</f>
        <v>Dine In</v>
      </c>
      <c r="R1334" s="2" t="str">
        <f>IFERROR(__xludf.DUMMYFUNCTION("""COMPUTED_VALUE"""),"Kedai")</f>
        <v>Kedai</v>
      </c>
      <c r="S1334" s="2" t="str">
        <f>IFERROR(__xludf.DUMMYFUNCTION("""COMPUTED_VALUE"""),"Temu Roti")</f>
        <v>Temu Roti</v>
      </c>
      <c r="T1334" s="2" t="str">
        <f>IFERROR(__xludf.DUMMYFUNCTION("""COMPUTED_VALUE"""),"Owner")</f>
        <v>Owner</v>
      </c>
      <c r="U1334" s="2"/>
      <c r="V1334" s="2"/>
      <c r="W1334" s="2"/>
      <c r="X1334" s="2" t="str">
        <f>IFERROR(__xludf.DUMMYFUNCTION("""COMPUTED_VALUE"""),"Closed")</f>
        <v>Closed</v>
      </c>
    </row>
    <row r="1335">
      <c r="A1335" s="3" t="s">
        <v>1345</v>
      </c>
      <c r="B1335" s="4">
        <f>IFERROR(__xludf.DUMMYFUNCTION("SPLIT(A1335,"","",0,0)"),45539.59722222222)</f>
        <v>45539.59722</v>
      </c>
      <c r="C1335" s="5">
        <f>IFERROR(__xludf.DUMMYFUNCTION("""COMPUTED_VALUE"""),2609691.0)</f>
        <v>2609691</v>
      </c>
      <c r="D1335" s="2" t="str">
        <f>IFERROR(__xludf.DUMMYFUNCTION("""COMPUTED_VALUE"""),"Sale")</f>
        <v>Sale</v>
      </c>
      <c r="E1335" s="2" t="str">
        <f>IFERROR(__xludf.DUMMYFUNCTION("""COMPUTED_VALUE"""),"Kudapan")</f>
        <v>Kudapan</v>
      </c>
      <c r="F1335" s="2">
        <f>IFERROR(__xludf.DUMMYFUNCTION("""COMPUTED_VALUE"""),10004.0)</f>
        <v>10004</v>
      </c>
      <c r="G1335" s="2" t="str">
        <f>IFERROR(__xludf.DUMMYFUNCTION("""COMPUTED_VALUE"""),"Tahu walik")</f>
        <v>Tahu walik</v>
      </c>
      <c r="H1335" s="2"/>
      <c r="I1335" s="2"/>
      <c r="J1335" s="2">
        <f>IFERROR(__xludf.DUMMYFUNCTION("""COMPUTED_VALUE"""),1.0)</f>
        <v>1</v>
      </c>
      <c r="K1335" s="6">
        <f>IFERROR(__xludf.DUMMYFUNCTION("""COMPUTED_VALUE"""),25238.0)</f>
        <v>25238</v>
      </c>
      <c r="L1335" s="2">
        <f>IFERROR(__xludf.DUMMYFUNCTION("""COMPUTED_VALUE"""),0.0)</f>
        <v>0</v>
      </c>
      <c r="M1335" s="2">
        <f>IFERROR(__xludf.DUMMYFUNCTION("""COMPUTED_VALUE"""),25238.0)</f>
        <v>25238</v>
      </c>
      <c r="N1335" s="2">
        <f>IFERROR(__xludf.DUMMYFUNCTION("""COMPUTED_VALUE"""),0.0)</f>
        <v>0</v>
      </c>
      <c r="O1335" s="2">
        <f>IFERROR(__xludf.DUMMYFUNCTION("""COMPUTED_VALUE"""),25238.0)</f>
        <v>25238</v>
      </c>
      <c r="P1335" s="2">
        <f>IFERROR(__xludf.DUMMYFUNCTION("""COMPUTED_VALUE"""),1262.0)</f>
        <v>1262</v>
      </c>
      <c r="Q1335" s="2" t="str">
        <f>IFERROR(__xludf.DUMMYFUNCTION("""COMPUTED_VALUE"""),"Dine In")</f>
        <v>Dine In</v>
      </c>
      <c r="R1335" s="2" t="str">
        <f>IFERROR(__xludf.DUMMYFUNCTION("""COMPUTED_VALUE"""),"Kedai")</f>
        <v>Kedai</v>
      </c>
      <c r="S1335" s="2" t="str">
        <f>IFERROR(__xludf.DUMMYFUNCTION("""COMPUTED_VALUE"""),"Temu Roti")</f>
        <v>Temu Roti</v>
      </c>
      <c r="T1335" s="2" t="str">
        <f>IFERROR(__xludf.DUMMYFUNCTION("""COMPUTED_VALUE"""),"Owner")</f>
        <v>Owner</v>
      </c>
      <c r="U1335" s="2"/>
      <c r="V1335" s="2"/>
      <c r="W1335" s="2"/>
      <c r="X1335" s="2" t="str">
        <f>IFERROR(__xludf.DUMMYFUNCTION("""COMPUTED_VALUE"""),"Closed")</f>
        <v>Closed</v>
      </c>
    </row>
    <row r="1336">
      <c r="A1336" s="3" t="s">
        <v>1346</v>
      </c>
      <c r="B1336" s="4">
        <f>IFERROR(__xludf.DUMMYFUNCTION("SPLIT(A1336,"","",0,0)"),45539.59722222222)</f>
        <v>45539.59722</v>
      </c>
      <c r="C1336" s="5">
        <f>IFERROR(__xludf.DUMMYFUNCTION("""COMPUTED_VALUE"""),2609691.0)</f>
        <v>2609691</v>
      </c>
      <c r="D1336" s="2" t="str">
        <f>IFERROR(__xludf.DUMMYFUNCTION("""COMPUTED_VALUE"""),"Sale")</f>
        <v>Sale</v>
      </c>
      <c r="E1336" s="2" t="str">
        <f>IFERROR(__xludf.DUMMYFUNCTION("""COMPUTED_VALUE"""),"Roti")</f>
        <v>Roti</v>
      </c>
      <c r="F1336" s="2">
        <f>IFERROR(__xludf.DUMMYFUNCTION("""COMPUTED_VALUE"""),10007.0)</f>
        <v>10007</v>
      </c>
      <c r="G1336" s="2" t="str">
        <f>IFERROR(__xludf.DUMMYFUNCTION("""COMPUTED_VALUE"""),"Roti cranberry 2 pcs")</f>
        <v>Roti cranberry 2 pcs</v>
      </c>
      <c r="H1336" s="2"/>
      <c r="I1336" s="2"/>
      <c r="J1336" s="2">
        <f>IFERROR(__xludf.DUMMYFUNCTION("""COMPUTED_VALUE"""),1.0)</f>
        <v>1</v>
      </c>
      <c r="K1336" s="6">
        <f>IFERROR(__xludf.DUMMYFUNCTION("""COMPUTED_VALUE"""),33810.0)</f>
        <v>33810</v>
      </c>
      <c r="L1336" s="2">
        <f>IFERROR(__xludf.DUMMYFUNCTION("""COMPUTED_VALUE"""),0.0)</f>
        <v>0</v>
      </c>
      <c r="M1336" s="2">
        <f>IFERROR(__xludf.DUMMYFUNCTION("""COMPUTED_VALUE"""),33810.0)</f>
        <v>33810</v>
      </c>
      <c r="N1336" s="2">
        <f>IFERROR(__xludf.DUMMYFUNCTION("""COMPUTED_VALUE"""),0.0)</f>
        <v>0</v>
      </c>
      <c r="O1336" s="2">
        <f>IFERROR(__xludf.DUMMYFUNCTION("""COMPUTED_VALUE"""),33810.0)</f>
        <v>33810</v>
      </c>
      <c r="P1336" s="2">
        <f>IFERROR(__xludf.DUMMYFUNCTION("""COMPUTED_VALUE"""),1690.0)</f>
        <v>1690</v>
      </c>
      <c r="Q1336" s="2" t="str">
        <f>IFERROR(__xludf.DUMMYFUNCTION("""COMPUTED_VALUE"""),"Dine In")</f>
        <v>Dine In</v>
      </c>
      <c r="R1336" s="2" t="str">
        <f>IFERROR(__xludf.DUMMYFUNCTION("""COMPUTED_VALUE"""),"Kedai")</f>
        <v>Kedai</v>
      </c>
      <c r="S1336" s="2" t="str">
        <f>IFERROR(__xludf.DUMMYFUNCTION("""COMPUTED_VALUE"""),"Temu Roti")</f>
        <v>Temu Roti</v>
      </c>
      <c r="T1336" s="2" t="str">
        <f>IFERROR(__xludf.DUMMYFUNCTION("""COMPUTED_VALUE"""),"Owner")</f>
        <v>Owner</v>
      </c>
      <c r="U1336" s="2"/>
      <c r="V1336" s="2"/>
      <c r="W1336" s="2"/>
      <c r="X1336" s="2" t="str">
        <f>IFERROR(__xludf.DUMMYFUNCTION("""COMPUTED_VALUE"""),"Closed")</f>
        <v>Closed</v>
      </c>
    </row>
    <row r="1337">
      <c r="A1337" s="3" t="s">
        <v>1347</v>
      </c>
      <c r="B1337" s="4">
        <f>IFERROR(__xludf.DUMMYFUNCTION("SPLIT(A1337,"","",0,0)"),45539.569444444445)</f>
        <v>45539.56944</v>
      </c>
      <c r="C1337" s="5">
        <f>IFERROR(__xludf.DUMMYFUNCTION("""COMPUTED_VALUE"""),2609325.0)</f>
        <v>2609325</v>
      </c>
      <c r="D1337" s="2" t="str">
        <f>IFERROR(__xludf.DUMMYFUNCTION("""COMPUTED_VALUE"""),"Sale")</f>
        <v>Sale</v>
      </c>
      <c r="E1337" s="2" t="str">
        <f>IFERROR(__xludf.DUMMYFUNCTION("""COMPUTED_VALUE"""),"Minuman")</f>
        <v>Minuman</v>
      </c>
      <c r="F1337" s="2">
        <f>IFERROR(__xludf.DUMMYFUNCTION("""COMPUTED_VALUE"""),10107.0)</f>
        <v>10107</v>
      </c>
      <c r="G1337" s="2" t="str">
        <f>IFERROR(__xludf.DUMMYFUNCTION("""COMPUTED_VALUE"""),"Korean Mango Fresh Milk")</f>
        <v>Korean Mango Fresh Milk</v>
      </c>
      <c r="H1337" s="2"/>
      <c r="I1337" s="2"/>
      <c r="J1337" s="2">
        <f>IFERROR(__xludf.DUMMYFUNCTION("""COMPUTED_VALUE"""),1.0)</f>
        <v>1</v>
      </c>
      <c r="K1337" s="6">
        <f>IFERROR(__xludf.DUMMYFUNCTION("""COMPUTED_VALUE"""),26667.0)</f>
        <v>26667</v>
      </c>
      <c r="L1337" s="2">
        <f>IFERROR(__xludf.DUMMYFUNCTION("""COMPUTED_VALUE"""),0.0)</f>
        <v>0</v>
      </c>
      <c r="M1337" s="2">
        <f>IFERROR(__xludf.DUMMYFUNCTION("""COMPUTED_VALUE"""),26667.0)</f>
        <v>26667</v>
      </c>
      <c r="N1337" s="2">
        <f>IFERROR(__xludf.DUMMYFUNCTION("""COMPUTED_VALUE"""),0.0)</f>
        <v>0</v>
      </c>
      <c r="O1337" s="2">
        <f>IFERROR(__xludf.DUMMYFUNCTION("""COMPUTED_VALUE"""),26667.0)</f>
        <v>26667</v>
      </c>
      <c r="P1337" s="2">
        <f>IFERROR(__xludf.DUMMYFUNCTION("""COMPUTED_VALUE"""),1333.0)</f>
        <v>1333</v>
      </c>
      <c r="Q1337" s="2" t="str">
        <f>IFERROR(__xludf.DUMMYFUNCTION("""COMPUTED_VALUE"""),"Dine In")</f>
        <v>Dine In</v>
      </c>
      <c r="R1337" s="2" t="str">
        <f>IFERROR(__xludf.DUMMYFUNCTION("""COMPUTED_VALUE"""),"Kedai")</f>
        <v>Kedai</v>
      </c>
      <c r="S1337" s="2" t="str">
        <f>IFERROR(__xludf.DUMMYFUNCTION("""COMPUTED_VALUE"""),"Temu Roti")</f>
        <v>Temu Roti</v>
      </c>
      <c r="T1337" s="2" t="str">
        <f>IFERROR(__xludf.DUMMYFUNCTION("""COMPUTED_VALUE"""),"Owner")</f>
        <v>Owner</v>
      </c>
      <c r="U1337" s="2"/>
      <c r="V1337" s="2"/>
      <c r="W1337" s="2"/>
      <c r="X1337" s="2" t="str">
        <f>IFERROR(__xludf.DUMMYFUNCTION("""COMPUTED_VALUE"""),"Closed")</f>
        <v>Closed</v>
      </c>
    </row>
    <row r="1338">
      <c r="A1338" s="3" t="s">
        <v>1348</v>
      </c>
      <c r="B1338" s="4">
        <f>IFERROR(__xludf.DUMMYFUNCTION("SPLIT(A1338,"","",0,0)"),45539.56805555556)</f>
        <v>45539.56806</v>
      </c>
      <c r="C1338" s="5">
        <f>IFERROR(__xludf.DUMMYFUNCTION("""COMPUTED_VALUE"""),2608960.0)</f>
        <v>2608960</v>
      </c>
      <c r="D1338" s="2" t="str">
        <f>IFERROR(__xludf.DUMMYFUNCTION("""COMPUTED_VALUE"""),"Sale")</f>
        <v>Sale</v>
      </c>
      <c r="E1338" s="2" t="str">
        <f>IFERROR(__xludf.DUMMYFUNCTION("""COMPUTED_VALUE"""),"Roti")</f>
        <v>Roti</v>
      </c>
      <c r="F1338" s="2">
        <f>IFERROR(__xludf.DUMMYFUNCTION("""COMPUTED_VALUE"""),10000.0)</f>
        <v>10000</v>
      </c>
      <c r="G1338" s="2" t="str">
        <f>IFERROR(__xludf.DUMMYFUNCTION("""COMPUTED_VALUE"""),"Roti Bawang Saus Keju")</f>
        <v>Roti Bawang Saus Keju</v>
      </c>
      <c r="H1338" s="2"/>
      <c r="I1338" s="2"/>
      <c r="J1338" s="2">
        <f>IFERROR(__xludf.DUMMYFUNCTION("""COMPUTED_VALUE"""),1.0)</f>
        <v>1</v>
      </c>
      <c r="K1338" s="6">
        <f>IFERROR(__xludf.DUMMYFUNCTION("""COMPUTED_VALUE"""),29524.0)</f>
        <v>29524</v>
      </c>
      <c r="L1338" s="2">
        <f>IFERROR(__xludf.DUMMYFUNCTION("""COMPUTED_VALUE"""),0.0)</f>
        <v>0</v>
      </c>
      <c r="M1338" s="2">
        <f>IFERROR(__xludf.DUMMYFUNCTION("""COMPUTED_VALUE"""),29524.0)</f>
        <v>29524</v>
      </c>
      <c r="N1338" s="2">
        <f>IFERROR(__xludf.DUMMYFUNCTION("""COMPUTED_VALUE"""),0.0)</f>
        <v>0</v>
      </c>
      <c r="O1338" s="2">
        <f>IFERROR(__xludf.DUMMYFUNCTION("""COMPUTED_VALUE"""),29524.0)</f>
        <v>29524</v>
      </c>
      <c r="P1338" s="2">
        <f>IFERROR(__xludf.DUMMYFUNCTION("""COMPUTED_VALUE"""),1476.0)</f>
        <v>1476</v>
      </c>
      <c r="Q1338" s="2" t="str">
        <f>IFERROR(__xludf.DUMMYFUNCTION("""COMPUTED_VALUE"""),"Dine In")</f>
        <v>Dine In</v>
      </c>
      <c r="R1338" s="2" t="str">
        <f>IFERROR(__xludf.DUMMYFUNCTION("""COMPUTED_VALUE"""),"Kedai")</f>
        <v>Kedai</v>
      </c>
      <c r="S1338" s="2" t="str">
        <f>IFERROR(__xludf.DUMMYFUNCTION("""COMPUTED_VALUE"""),"Temu Roti")</f>
        <v>Temu Roti</v>
      </c>
      <c r="T1338" s="2" t="str">
        <f>IFERROR(__xludf.DUMMYFUNCTION("""COMPUTED_VALUE"""),"Owner")</f>
        <v>Owner</v>
      </c>
      <c r="U1338" s="2"/>
      <c r="V1338" s="2"/>
      <c r="W1338" s="2"/>
      <c r="X1338" s="2" t="str">
        <f>IFERROR(__xludf.DUMMYFUNCTION("""COMPUTED_VALUE"""),"Closed")</f>
        <v>Closed</v>
      </c>
    </row>
    <row r="1339">
      <c r="A1339" s="3" t="s">
        <v>1349</v>
      </c>
      <c r="B1339" s="4">
        <f>IFERROR(__xludf.DUMMYFUNCTION("SPLIT(A1339,"","",0,0)"),45539.56805555556)</f>
        <v>45539.56806</v>
      </c>
      <c r="C1339" s="5">
        <f>IFERROR(__xludf.DUMMYFUNCTION("""COMPUTED_VALUE"""),2608960.0)</f>
        <v>2608960</v>
      </c>
      <c r="D1339" s="2" t="str">
        <f>IFERROR(__xludf.DUMMYFUNCTION("""COMPUTED_VALUE"""),"Sale")</f>
        <v>Sale</v>
      </c>
      <c r="E1339" s="2" t="str">
        <f>IFERROR(__xludf.DUMMYFUNCTION("""COMPUTED_VALUE"""),"Minuman")</f>
        <v>Minuman</v>
      </c>
      <c r="F1339" s="2">
        <f>IFERROR(__xludf.DUMMYFUNCTION("""COMPUTED_VALUE"""),10117.0)</f>
        <v>10117</v>
      </c>
      <c r="G1339" s="2" t="str">
        <f>IFERROR(__xludf.DUMMYFUNCTION("""COMPUTED_VALUE"""),"Teh Manis Dingin")</f>
        <v>Teh Manis Dingin</v>
      </c>
      <c r="H1339" s="2"/>
      <c r="I1339" s="2"/>
      <c r="J1339" s="2">
        <f>IFERROR(__xludf.DUMMYFUNCTION("""COMPUTED_VALUE"""),1.0)</f>
        <v>1</v>
      </c>
      <c r="K1339" s="6">
        <f>IFERROR(__xludf.DUMMYFUNCTION("""COMPUTED_VALUE"""),14286.0)</f>
        <v>14286</v>
      </c>
      <c r="L1339" s="2">
        <f>IFERROR(__xludf.DUMMYFUNCTION("""COMPUTED_VALUE"""),0.0)</f>
        <v>0</v>
      </c>
      <c r="M1339" s="2">
        <f>IFERROR(__xludf.DUMMYFUNCTION("""COMPUTED_VALUE"""),14286.0)</f>
        <v>14286</v>
      </c>
      <c r="N1339" s="2">
        <f>IFERROR(__xludf.DUMMYFUNCTION("""COMPUTED_VALUE"""),0.0)</f>
        <v>0</v>
      </c>
      <c r="O1339" s="2">
        <f>IFERROR(__xludf.DUMMYFUNCTION("""COMPUTED_VALUE"""),14286.0)</f>
        <v>14286</v>
      </c>
      <c r="P1339" s="2">
        <f>IFERROR(__xludf.DUMMYFUNCTION("""COMPUTED_VALUE"""),715.0)</f>
        <v>715</v>
      </c>
      <c r="Q1339" s="2" t="str">
        <f>IFERROR(__xludf.DUMMYFUNCTION("""COMPUTED_VALUE"""),"Dine In")</f>
        <v>Dine In</v>
      </c>
      <c r="R1339" s="2" t="str">
        <f>IFERROR(__xludf.DUMMYFUNCTION("""COMPUTED_VALUE"""),"Kedai")</f>
        <v>Kedai</v>
      </c>
      <c r="S1339" s="2" t="str">
        <f>IFERROR(__xludf.DUMMYFUNCTION("""COMPUTED_VALUE"""),"Temu Roti")</f>
        <v>Temu Roti</v>
      </c>
      <c r="T1339" s="2" t="str">
        <f>IFERROR(__xludf.DUMMYFUNCTION("""COMPUTED_VALUE"""),"Owner")</f>
        <v>Owner</v>
      </c>
      <c r="U1339" s="2"/>
      <c r="V1339" s="2"/>
      <c r="W1339" s="2"/>
      <c r="X1339" s="2" t="str">
        <f>IFERROR(__xludf.DUMMYFUNCTION("""COMPUTED_VALUE"""),"Closed")</f>
        <v>Closed</v>
      </c>
    </row>
    <row r="1340">
      <c r="A1340" s="3" t="s">
        <v>1350</v>
      </c>
      <c r="B1340" s="4">
        <f>IFERROR(__xludf.DUMMYFUNCTION("SPLIT(A1340,"","",0,0)"),45539.56805555556)</f>
        <v>45539.56806</v>
      </c>
      <c r="C1340" s="5">
        <f>IFERROR(__xludf.DUMMYFUNCTION("""COMPUTED_VALUE"""),2608960.0)</f>
        <v>2608960</v>
      </c>
      <c r="D1340" s="2" t="str">
        <f>IFERROR(__xludf.DUMMYFUNCTION("""COMPUTED_VALUE"""),"Sale")</f>
        <v>Sale</v>
      </c>
      <c r="E1340" s="2" t="str">
        <f>IFERROR(__xludf.DUMMYFUNCTION("""COMPUTED_VALUE"""),"Roti")</f>
        <v>Roti</v>
      </c>
      <c r="F1340" s="2">
        <f>IFERROR(__xludf.DUMMYFUNCTION("""COMPUTED_VALUE"""),10002.0)</f>
        <v>10002</v>
      </c>
      <c r="G1340" s="2" t="str">
        <f>IFERROR(__xludf.DUMMYFUNCTION("""COMPUTED_VALUE"""),"Roti Cranberry")</f>
        <v>Roti Cranberry</v>
      </c>
      <c r="H1340" s="2"/>
      <c r="I1340" s="2"/>
      <c r="J1340" s="2">
        <f>IFERROR(__xludf.DUMMYFUNCTION("""COMPUTED_VALUE"""),1.0)</f>
        <v>1</v>
      </c>
      <c r="K1340" s="6">
        <f>IFERROR(__xludf.DUMMYFUNCTION("""COMPUTED_VALUE"""),18571.0)</f>
        <v>18571</v>
      </c>
      <c r="L1340" s="2">
        <f>IFERROR(__xludf.DUMMYFUNCTION("""COMPUTED_VALUE"""),0.0)</f>
        <v>0</v>
      </c>
      <c r="M1340" s="2">
        <f>IFERROR(__xludf.DUMMYFUNCTION("""COMPUTED_VALUE"""),18571.0)</f>
        <v>18571</v>
      </c>
      <c r="N1340" s="2">
        <f>IFERROR(__xludf.DUMMYFUNCTION("""COMPUTED_VALUE"""),0.0)</f>
        <v>0</v>
      </c>
      <c r="O1340" s="2">
        <f>IFERROR(__xludf.DUMMYFUNCTION("""COMPUTED_VALUE"""),18571.0)</f>
        <v>18571</v>
      </c>
      <c r="P1340" s="2">
        <f>IFERROR(__xludf.DUMMYFUNCTION("""COMPUTED_VALUE"""),928.0)</f>
        <v>928</v>
      </c>
      <c r="Q1340" s="2" t="str">
        <f>IFERROR(__xludf.DUMMYFUNCTION("""COMPUTED_VALUE"""),"Dine In")</f>
        <v>Dine In</v>
      </c>
      <c r="R1340" s="2" t="str">
        <f>IFERROR(__xludf.DUMMYFUNCTION("""COMPUTED_VALUE"""),"Kedai")</f>
        <v>Kedai</v>
      </c>
      <c r="S1340" s="2" t="str">
        <f>IFERROR(__xludf.DUMMYFUNCTION("""COMPUTED_VALUE"""),"Temu Roti")</f>
        <v>Temu Roti</v>
      </c>
      <c r="T1340" s="2" t="str">
        <f>IFERROR(__xludf.DUMMYFUNCTION("""COMPUTED_VALUE"""),"Owner")</f>
        <v>Owner</v>
      </c>
      <c r="U1340" s="2"/>
      <c r="V1340" s="2"/>
      <c r="W1340" s="2"/>
      <c r="X1340" s="2" t="str">
        <f>IFERROR(__xludf.DUMMYFUNCTION("""COMPUTED_VALUE"""),"Closed")</f>
        <v>Closed</v>
      </c>
    </row>
    <row r="1341">
      <c r="A1341" s="3" t="s">
        <v>1351</v>
      </c>
      <c r="B1341" s="4">
        <f>IFERROR(__xludf.DUMMYFUNCTION("SPLIT(A1341,"","",0,0)"),45539.41388888889)</f>
        <v>45539.41389</v>
      </c>
      <c r="C1341" s="5">
        <f>IFERROR(__xludf.DUMMYFUNCTION("""COMPUTED_VALUE"""),2608595.0)</f>
        <v>2608595</v>
      </c>
      <c r="D1341" s="2" t="str">
        <f>IFERROR(__xludf.DUMMYFUNCTION("""COMPUTED_VALUE"""),"Sale")</f>
        <v>Sale</v>
      </c>
      <c r="E1341" s="2" t="str">
        <f>IFERROR(__xludf.DUMMYFUNCTION("""COMPUTED_VALUE"""),"Roti")</f>
        <v>Roti</v>
      </c>
      <c r="F1341" s="2">
        <f>IFERROR(__xludf.DUMMYFUNCTION("""COMPUTED_VALUE"""),10002.0)</f>
        <v>10002</v>
      </c>
      <c r="G1341" s="2" t="str">
        <f>IFERROR(__xludf.DUMMYFUNCTION("""COMPUTED_VALUE"""),"Roti Cranberry")</f>
        <v>Roti Cranberry</v>
      </c>
      <c r="H1341" s="2"/>
      <c r="I1341" s="2"/>
      <c r="J1341" s="2">
        <f>IFERROR(__xludf.DUMMYFUNCTION("""COMPUTED_VALUE"""),1.0)</f>
        <v>1</v>
      </c>
      <c r="K1341" s="6">
        <f>IFERROR(__xludf.DUMMYFUNCTION("""COMPUTED_VALUE"""),18571.0)</f>
        <v>18571</v>
      </c>
      <c r="L1341" s="2">
        <f>IFERROR(__xludf.DUMMYFUNCTION("""COMPUTED_VALUE"""),0.0)</f>
        <v>0</v>
      </c>
      <c r="M1341" s="2">
        <f>IFERROR(__xludf.DUMMYFUNCTION("""COMPUTED_VALUE"""),18571.0)</f>
        <v>18571</v>
      </c>
      <c r="N1341" s="2">
        <f>IFERROR(__xludf.DUMMYFUNCTION("""COMPUTED_VALUE"""),0.0)</f>
        <v>0</v>
      </c>
      <c r="O1341" s="2">
        <f>IFERROR(__xludf.DUMMYFUNCTION("""COMPUTED_VALUE"""),18571.0)</f>
        <v>18571</v>
      </c>
      <c r="P1341" s="2">
        <f>IFERROR(__xludf.DUMMYFUNCTION("""COMPUTED_VALUE"""),929.0)</f>
        <v>929</v>
      </c>
      <c r="Q1341" s="2" t="str">
        <f>IFERROR(__xludf.DUMMYFUNCTION("""COMPUTED_VALUE"""),"Dine In")</f>
        <v>Dine In</v>
      </c>
      <c r="R1341" s="2" t="str">
        <f>IFERROR(__xludf.DUMMYFUNCTION("""COMPUTED_VALUE"""),"Kedai")</f>
        <v>Kedai</v>
      </c>
      <c r="S1341" s="2" t="str">
        <f>IFERROR(__xludf.DUMMYFUNCTION("""COMPUTED_VALUE"""),"Temu Roti")</f>
        <v>Temu Roti</v>
      </c>
      <c r="T1341" s="2" t="str">
        <f>IFERROR(__xludf.DUMMYFUNCTION("""COMPUTED_VALUE"""),"Owner")</f>
        <v>Owner</v>
      </c>
      <c r="U1341" s="2"/>
      <c r="V1341" s="2"/>
      <c r="W1341" s="2"/>
      <c r="X1341" s="2" t="str">
        <f>IFERROR(__xludf.DUMMYFUNCTION("""COMPUTED_VALUE"""),"Closed")</f>
        <v>Closed</v>
      </c>
    </row>
    <row r="1342">
      <c r="A1342" s="3" t="s">
        <v>1352</v>
      </c>
      <c r="B1342" s="4">
        <f>IFERROR(__xludf.DUMMYFUNCTION("SPLIT(A1342,"","",0,0)"),45539.41388888889)</f>
        <v>45539.41389</v>
      </c>
      <c r="C1342" s="5">
        <f>IFERROR(__xludf.DUMMYFUNCTION("""COMPUTED_VALUE"""),2608595.0)</f>
        <v>2608595</v>
      </c>
      <c r="D1342" s="2" t="str">
        <f>IFERROR(__xludf.DUMMYFUNCTION("""COMPUTED_VALUE"""),"Sale")</f>
        <v>Sale</v>
      </c>
      <c r="E1342" s="2" t="str">
        <f>IFERROR(__xludf.DUMMYFUNCTION("""COMPUTED_VALUE"""),"Roti")</f>
        <v>Roti</v>
      </c>
      <c r="F1342" s="2">
        <f>IFERROR(__xludf.DUMMYFUNCTION("""COMPUTED_VALUE"""),10043.0)</f>
        <v>10043</v>
      </c>
      <c r="G1342" s="2" t="str">
        <f>IFERROR(__xludf.DUMMYFUNCTION("""COMPUTED_VALUE"""),"Roti keju")</f>
        <v>Roti keju</v>
      </c>
      <c r="H1342" s="2"/>
      <c r="I1342" s="2"/>
      <c r="J1342" s="2">
        <f>IFERROR(__xludf.DUMMYFUNCTION("""COMPUTED_VALUE"""),1.0)</f>
        <v>1</v>
      </c>
      <c r="K1342" s="6">
        <f>IFERROR(__xludf.DUMMYFUNCTION("""COMPUTED_VALUE"""),9524.0)</f>
        <v>9524</v>
      </c>
      <c r="L1342" s="2">
        <f>IFERROR(__xludf.DUMMYFUNCTION("""COMPUTED_VALUE"""),0.0)</f>
        <v>0</v>
      </c>
      <c r="M1342" s="2">
        <f>IFERROR(__xludf.DUMMYFUNCTION("""COMPUTED_VALUE"""),9524.0)</f>
        <v>9524</v>
      </c>
      <c r="N1342" s="2">
        <f>IFERROR(__xludf.DUMMYFUNCTION("""COMPUTED_VALUE"""),0.0)</f>
        <v>0</v>
      </c>
      <c r="O1342" s="2">
        <f>IFERROR(__xludf.DUMMYFUNCTION("""COMPUTED_VALUE"""),9524.0)</f>
        <v>9524</v>
      </c>
      <c r="P1342" s="2">
        <f>IFERROR(__xludf.DUMMYFUNCTION("""COMPUTED_VALUE"""),476.0)</f>
        <v>476</v>
      </c>
      <c r="Q1342" s="2" t="str">
        <f>IFERROR(__xludf.DUMMYFUNCTION("""COMPUTED_VALUE"""),"Dine In")</f>
        <v>Dine In</v>
      </c>
      <c r="R1342" s="2" t="str">
        <f>IFERROR(__xludf.DUMMYFUNCTION("""COMPUTED_VALUE"""),"Kedai")</f>
        <v>Kedai</v>
      </c>
      <c r="S1342" s="2" t="str">
        <f>IFERROR(__xludf.DUMMYFUNCTION("""COMPUTED_VALUE"""),"Temu Roti")</f>
        <v>Temu Roti</v>
      </c>
      <c r="T1342" s="2" t="str">
        <f>IFERROR(__xludf.DUMMYFUNCTION("""COMPUTED_VALUE"""),"Owner")</f>
        <v>Owner</v>
      </c>
      <c r="U1342" s="2"/>
      <c r="V1342" s="2"/>
      <c r="W1342" s="2"/>
      <c r="X1342" s="2" t="str">
        <f>IFERROR(__xludf.DUMMYFUNCTION("""COMPUTED_VALUE"""),"Closed")</f>
        <v>Closed</v>
      </c>
    </row>
    <row r="1343">
      <c r="A1343" s="3" t="s">
        <v>1353</v>
      </c>
      <c r="B1343" s="4">
        <f>IFERROR(__xludf.DUMMYFUNCTION("SPLIT(A1343,"","",0,0)"),45539.40277777778)</f>
        <v>45539.40278</v>
      </c>
      <c r="C1343" s="5">
        <f>IFERROR(__xludf.DUMMYFUNCTION("""COMPUTED_VALUE"""),2608230.0)</f>
        <v>2608230</v>
      </c>
      <c r="D1343" s="2" t="str">
        <f>IFERROR(__xludf.DUMMYFUNCTION("""COMPUTED_VALUE"""),"Sale")</f>
        <v>Sale</v>
      </c>
      <c r="E1343" s="2" t="str">
        <f>IFERROR(__xludf.DUMMYFUNCTION("""COMPUTED_VALUE"""),"Minuman")</f>
        <v>Minuman</v>
      </c>
      <c r="F1343" s="2">
        <f>IFERROR(__xludf.DUMMYFUNCTION("""COMPUTED_VALUE"""),10112.0)</f>
        <v>10112</v>
      </c>
      <c r="G1343" s="2" t="str">
        <f>IFERROR(__xludf.DUMMYFUNCTION("""COMPUTED_VALUE"""),"Air mineral")</f>
        <v>Air mineral</v>
      </c>
      <c r="H1343" s="2"/>
      <c r="I1343" s="2"/>
      <c r="J1343" s="2">
        <f>IFERROR(__xludf.DUMMYFUNCTION("""COMPUTED_VALUE"""),1.0)</f>
        <v>1</v>
      </c>
      <c r="K1343" s="6">
        <f>IFERROR(__xludf.DUMMYFUNCTION("""COMPUTED_VALUE"""),6667.0)</f>
        <v>6667</v>
      </c>
      <c r="L1343" s="2">
        <f>IFERROR(__xludf.DUMMYFUNCTION("""COMPUTED_VALUE"""),0.0)</f>
        <v>0</v>
      </c>
      <c r="M1343" s="2">
        <f>IFERROR(__xludf.DUMMYFUNCTION("""COMPUTED_VALUE"""),6667.0)</f>
        <v>6667</v>
      </c>
      <c r="N1343" s="2">
        <f>IFERROR(__xludf.DUMMYFUNCTION("""COMPUTED_VALUE"""),0.0)</f>
        <v>0</v>
      </c>
      <c r="O1343" s="2">
        <f>IFERROR(__xludf.DUMMYFUNCTION("""COMPUTED_VALUE"""),6667.0)</f>
        <v>6667</v>
      </c>
      <c r="P1343" s="2">
        <f>IFERROR(__xludf.DUMMYFUNCTION("""COMPUTED_VALUE"""),333.0)</f>
        <v>333</v>
      </c>
      <c r="Q1343" s="2" t="str">
        <f>IFERROR(__xludf.DUMMYFUNCTION("""COMPUTED_VALUE"""),"Dine In")</f>
        <v>Dine In</v>
      </c>
      <c r="R1343" s="2" t="str">
        <f>IFERROR(__xludf.DUMMYFUNCTION("""COMPUTED_VALUE"""),"Kedai")</f>
        <v>Kedai</v>
      </c>
      <c r="S1343" s="2" t="str">
        <f>IFERROR(__xludf.DUMMYFUNCTION("""COMPUTED_VALUE"""),"Temu Roti")</f>
        <v>Temu Roti</v>
      </c>
      <c r="T1343" s="2" t="str">
        <f>IFERROR(__xludf.DUMMYFUNCTION("""COMPUTED_VALUE"""),"Owner")</f>
        <v>Owner</v>
      </c>
      <c r="U1343" s="2"/>
      <c r="V1343" s="2"/>
      <c r="W1343" s="2"/>
      <c r="X1343" s="2" t="str">
        <f>IFERROR(__xludf.DUMMYFUNCTION("""COMPUTED_VALUE"""),"Closed")</f>
        <v>Closed</v>
      </c>
    </row>
    <row r="1344">
      <c r="A1344" s="3" t="s">
        <v>1354</v>
      </c>
      <c r="B1344" s="4">
        <f>IFERROR(__xludf.DUMMYFUNCTION("SPLIT(A1344,"","",0,0)"),45539.396527777775)</f>
        <v>45539.39653</v>
      </c>
      <c r="C1344" s="5">
        <f>IFERROR(__xludf.DUMMYFUNCTION("""COMPUTED_VALUE"""),2607864.0)</f>
        <v>2607864</v>
      </c>
      <c r="D1344" s="2" t="str">
        <f>IFERROR(__xludf.DUMMYFUNCTION("""COMPUTED_VALUE"""),"Sale")</f>
        <v>Sale</v>
      </c>
      <c r="E1344" s="2" t="str">
        <f>IFERROR(__xludf.DUMMYFUNCTION("""COMPUTED_VALUE"""),"Roti")</f>
        <v>Roti</v>
      </c>
      <c r="F1344" s="2">
        <f>IFERROR(__xludf.DUMMYFUNCTION("""COMPUTED_VALUE"""),10002.0)</f>
        <v>10002</v>
      </c>
      <c r="G1344" s="2" t="str">
        <f>IFERROR(__xludf.DUMMYFUNCTION("""COMPUTED_VALUE"""),"Roti Cranberry")</f>
        <v>Roti Cranberry</v>
      </c>
      <c r="H1344" s="2"/>
      <c r="I1344" s="2"/>
      <c r="J1344" s="2">
        <f>IFERROR(__xludf.DUMMYFUNCTION("""COMPUTED_VALUE"""),1.0)</f>
        <v>1</v>
      </c>
      <c r="K1344" s="6">
        <f>IFERROR(__xludf.DUMMYFUNCTION("""COMPUTED_VALUE"""),18571.0)</f>
        <v>18571</v>
      </c>
      <c r="L1344" s="2">
        <f>IFERROR(__xludf.DUMMYFUNCTION("""COMPUTED_VALUE"""),0.0)</f>
        <v>0</v>
      </c>
      <c r="M1344" s="2">
        <f>IFERROR(__xludf.DUMMYFUNCTION("""COMPUTED_VALUE"""),18571.0)</f>
        <v>18571</v>
      </c>
      <c r="N1344" s="2">
        <f>IFERROR(__xludf.DUMMYFUNCTION("""COMPUTED_VALUE"""),0.0)</f>
        <v>0</v>
      </c>
      <c r="O1344" s="2">
        <f>IFERROR(__xludf.DUMMYFUNCTION("""COMPUTED_VALUE"""),18571.0)</f>
        <v>18571</v>
      </c>
      <c r="P1344" s="2">
        <f>IFERROR(__xludf.DUMMYFUNCTION("""COMPUTED_VALUE"""),929.0)</f>
        <v>929</v>
      </c>
      <c r="Q1344" s="2" t="str">
        <f>IFERROR(__xludf.DUMMYFUNCTION("""COMPUTED_VALUE"""),"Dine In")</f>
        <v>Dine In</v>
      </c>
      <c r="R1344" s="2" t="str">
        <f>IFERROR(__xludf.DUMMYFUNCTION("""COMPUTED_VALUE"""),"Kedai")</f>
        <v>Kedai</v>
      </c>
      <c r="S1344" s="2" t="str">
        <f>IFERROR(__xludf.DUMMYFUNCTION("""COMPUTED_VALUE"""),"Temu Roti")</f>
        <v>Temu Roti</v>
      </c>
      <c r="T1344" s="2" t="str">
        <f>IFERROR(__xludf.DUMMYFUNCTION("""COMPUTED_VALUE"""),"Owner")</f>
        <v>Owner</v>
      </c>
      <c r="U1344" s="2"/>
      <c r="V1344" s="2"/>
      <c r="W1344" s="2"/>
      <c r="X1344" s="2" t="str">
        <f>IFERROR(__xludf.DUMMYFUNCTION("""COMPUTED_VALUE"""),"Closed")</f>
        <v>Closed</v>
      </c>
    </row>
    <row r="1345">
      <c r="A1345" s="3" t="s">
        <v>1355</v>
      </c>
      <c r="B1345" s="4">
        <f>IFERROR(__xludf.DUMMYFUNCTION("SPLIT(A1345,"","",0,0)"),45539.396527777775)</f>
        <v>45539.39653</v>
      </c>
      <c r="C1345" s="5">
        <f>IFERROR(__xludf.DUMMYFUNCTION("""COMPUTED_VALUE"""),2607864.0)</f>
        <v>2607864</v>
      </c>
      <c r="D1345" s="2" t="str">
        <f>IFERROR(__xludf.DUMMYFUNCTION("""COMPUTED_VALUE"""),"Sale")</f>
        <v>Sale</v>
      </c>
      <c r="E1345" s="2" t="str">
        <f>IFERROR(__xludf.DUMMYFUNCTION("""COMPUTED_VALUE"""),"Minuman")</f>
        <v>Minuman</v>
      </c>
      <c r="F1345" s="2">
        <f>IFERROR(__xludf.DUMMYFUNCTION("""COMPUTED_VALUE"""),10128.0)</f>
        <v>10128</v>
      </c>
      <c r="G1345" s="2" t="str">
        <f>IFERROR(__xludf.DUMMYFUNCTION("""COMPUTED_VALUE"""),"Es Kopi Susu")</f>
        <v>Es Kopi Susu</v>
      </c>
      <c r="H1345" s="2"/>
      <c r="I1345" s="2"/>
      <c r="J1345" s="2">
        <f>IFERROR(__xludf.DUMMYFUNCTION("""COMPUTED_VALUE"""),1.0)</f>
        <v>1</v>
      </c>
      <c r="K1345" s="6">
        <f>IFERROR(__xludf.DUMMYFUNCTION("""COMPUTED_VALUE"""),23333.0)</f>
        <v>23333</v>
      </c>
      <c r="L1345" s="2">
        <f>IFERROR(__xludf.DUMMYFUNCTION("""COMPUTED_VALUE"""),0.0)</f>
        <v>0</v>
      </c>
      <c r="M1345" s="2">
        <f>IFERROR(__xludf.DUMMYFUNCTION("""COMPUTED_VALUE"""),23333.0)</f>
        <v>23333</v>
      </c>
      <c r="N1345" s="2">
        <f>IFERROR(__xludf.DUMMYFUNCTION("""COMPUTED_VALUE"""),0.0)</f>
        <v>0</v>
      </c>
      <c r="O1345" s="2">
        <f>IFERROR(__xludf.DUMMYFUNCTION("""COMPUTED_VALUE"""),23333.0)</f>
        <v>23333</v>
      </c>
      <c r="P1345" s="2">
        <f>IFERROR(__xludf.DUMMYFUNCTION("""COMPUTED_VALUE"""),1166.0)</f>
        <v>1166</v>
      </c>
      <c r="Q1345" s="2" t="str">
        <f>IFERROR(__xludf.DUMMYFUNCTION("""COMPUTED_VALUE"""),"Dine In")</f>
        <v>Dine In</v>
      </c>
      <c r="R1345" s="2" t="str">
        <f>IFERROR(__xludf.DUMMYFUNCTION("""COMPUTED_VALUE"""),"Kedai")</f>
        <v>Kedai</v>
      </c>
      <c r="S1345" s="2" t="str">
        <f>IFERROR(__xludf.DUMMYFUNCTION("""COMPUTED_VALUE"""),"Temu Roti")</f>
        <v>Temu Roti</v>
      </c>
      <c r="T1345" s="2" t="str">
        <f>IFERROR(__xludf.DUMMYFUNCTION("""COMPUTED_VALUE"""),"Owner")</f>
        <v>Owner</v>
      </c>
      <c r="U1345" s="2"/>
      <c r="V1345" s="2"/>
      <c r="W1345" s="2"/>
      <c r="X1345" s="2" t="str">
        <f>IFERROR(__xludf.DUMMYFUNCTION("""COMPUTED_VALUE"""),"Closed")</f>
        <v>Closed</v>
      </c>
    </row>
    <row r="1346">
      <c r="A1346" s="3" t="s">
        <v>1356</v>
      </c>
      <c r="B1346" s="4">
        <f>IFERROR(__xludf.DUMMYFUNCTION("SPLIT(A1346,"","",0,0)"),45539.396527777775)</f>
        <v>45539.39653</v>
      </c>
      <c r="C1346" s="5">
        <f>IFERROR(__xludf.DUMMYFUNCTION("""COMPUTED_VALUE"""),2607864.0)</f>
        <v>2607864</v>
      </c>
      <c r="D1346" s="2" t="str">
        <f>IFERROR(__xludf.DUMMYFUNCTION("""COMPUTED_VALUE"""),"Sale")</f>
        <v>Sale</v>
      </c>
      <c r="E1346" s="2" t="str">
        <f>IFERROR(__xludf.DUMMYFUNCTION("""COMPUTED_VALUE"""),"Minuman")</f>
        <v>Minuman</v>
      </c>
      <c r="F1346" s="2">
        <f>IFERROR(__xludf.DUMMYFUNCTION("""COMPUTED_VALUE"""),10026.0)</f>
        <v>10026</v>
      </c>
      <c r="G1346" s="2" t="str">
        <f>IFERROR(__xludf.DUMMYFUNCTION("""COMPUTED_VALUE"""),"Es Kopi Lemon")</f>
        <v>Es Kopi Lemon</v>
      </c>
      <c r="H1346" s="2"/>
      <c r="I1346" s="2"/>
      <c r="J1346" s="2">
        <f>IFERROR(__xludf.DUMMYFUNCTION("""COMPUTED_VALUE"""),1.0)</f>
        <v>1</v>
      </c>
      <c r="K1346" s="6">
        <f>IFERROR(__xludf.DUMMYFUNCTION("""COMPUTED_VALUE"""),21905.0)</f>
        <v>21905</v>
      </c>
      <c r="L1346" s="2">
        <f>IFERROR(__xludf.DUMMYFUNCTION("""COMPUTED_VALUE"""),0.0)</f>
        <v>0</v>
      </c>
      <c r="M1346" s="2">
        <f>IFERROR(__xludf.DUMMYFUNCTION("""COMPUTED_VALUE"""),21905.0)</f>
        <v>21905</v>
      </c>
      <c r="N1346" s="2">
        <f>IFERROR(__xludf.DUMMYFUNCTION("""COMPUTED_VALUE"""),0.0)</f>
        <v>0</v>
      </c>
      <c r="O1346" s="2">
        <f>IFERROR(__xludf.DUMMYFUNCTION("""COMPUTED_VALUE"""),21905.0)</f>
        <v>21905</v>
      </c>
      <c r="P1346" s="2">
        <f>IFERROR(__xludf.DUMMYFUNCTION("""COMPUTED_VALUE"""),1095.0)</f>
        <v>1095</v>
      </c>
      <c r="Q1346" s="2" t="str">
        <f>IFERROR(__xludf.DUMMYFUNCTION("""COMPUTED_VALUE"""),"Dine In")</f>
        <v>Dine In</v>
      </c>
      <c r="R1346" s="2" t="str">
        <f>IFERROR(__xludf.DUMMYFUNCTION("""COMPUTED_VALUE"""),"Kedai")</f>
        <v>Kedai</v>
      </c>
      <c r="S1346" s="2" t="str">
        <f>IFERROR(__xludf.DUMMYFUNCTION("""COMPUTED_VALUE"""),"Temu Roti")</f>
        <v>Temu Roti</v>
      </c>
      <c r="T1346" s="2" t="str">
        <f>IFERROR(__xludf.DUMMYFUNCTION("""COMPUTED_VALUE"""),"Owner")</f>
        <v>Owner</v>
      </c>
      <c r="U1346" s="2"/>
      <c r="V1346" s="2"/>
      <c r="W1346" s="2"/>
      <c r="X1346" s="2" t="str">
        <f>IFERROR(__xludf.DUMMYFUNCTION("""COMPUTED_VALUE"""),"Closed")</f>
        <v>Closed</v>
      </c>
    </row>
    <row r="1347">
      <c r="A1347" s="3" t="s">
        <v>1357</v>
      </c>
      <c r="B1347" s="4">
        <f>IFERROR(__xludf.DUMMYFUNCTION("SPLIT(A1347,"","",0,0)"),45539.396527777775)</f>
        <v>45539.39653</v>
      </c>
      <c r="C1347" s="5">
        <f>IFERROR(__xludf.DUMMYFUNCTION("""COMPUTED_VALUE"""),2607864.0)</f>
        <v>2607864</v>
      </c>
      <c r="D1347" s="2" t="str">
        <f>IFERROR(__xludf.DUMMYFUNCTION("""COMPUTED_VALUE"""),"Sale")</f>
        <v>Sale</v>
      </c>
      <c r="E1347" s="2" t="str">
        <f>IFERROR(__xludf.DUMMYFUNCTION("""COMPUTED_VALUE"""),"Kudapan")</f>
        <v>Kudapan</v>
      </c>
      <c r="F1347" s="2">
        <f>IFERROR(__xludf.DUMMYFUNCTION("""COMPUTED_VALUE"""),10004.0)</f>
        <v>10004</v>
      </c>
      <c r="G1347" s="2" t="str">
        <f>IFERROR(__xludf.DUMMYFUNCTION("""COMPUTED_VALUE"""),"Tahu walik")</f>
        <v>Tahu walik</v>
      </c>
      <c r="H1347" s="2"/>
      <c r="I1347" s="2"/>
      <c r="J1347" s="2">
        <f>IFERROR(__xludf.DUMMYFUNCTION("""COMPUTED_VALUE"""),1.0)</f>
        <v>1</v>
      </c>
      <c r="K1347" s="6">
        <f>IFERROR(__xludf.DUMMYFUNCTION("""COMPUTED_VALUE"""),25238.0)</f>
        <v>25238</v>
      </c>
      <c r="L1347" s="2">
        <f>IFERROR(__xludf.DUMMYFUNCTION("""COMPUTED_VALUE"""),0.0)</f>
        <v>0</v>
      </c>
      <c r="M1347" s="2">
        <f>IFERROR(__xludf.DUMMYFUNCTION("""COMPUTED_VALUE"""),25238.0)</f>
        <v>25238</v>
      </c>
      <c r="N1347" s="2">
        <f>IFERROR(__xludf.DUMMYFUNCTION("""COMPUTED_VALUE"""),0.0)</f>
        <v>0</v>
      </c>
      <c r="O1347" s="2">
        <f>IFERROR(__xludf.DUMMYFUNCTION("""COMPUTED_VALUE"""),25238.0)</f>
        <v>25238</v>
      </c>
      <c r="P1347" s="2">
        <f>IFERROR(__xludf.DUMMYFUNCTION("""COMPUTED_VALUE"""),1262.0)</f>
        <v>1262</v>
      </c>
      <c r="Q1347" s="2" t="str">
        <f>IFERROR(__xludf.DUMMYFUNCTION("""COMPUTED_VALUE"""),"Dine In")</f>
        <v>Dine In</v>
      </c>
      <c r="R1347" s="2" t="str">
        <f>IFERROR(__xludf.DUMMYFUNCTION("""COMPUTED_VALUE"""),"Kedai")</f>
        <v>Kedai</v>
      </c>
      <c r="S1347" s="2" t="str">
        <f>IFERROR(__xludf.DUMMYFUNCTION("""COMPUTED_VALUE"""),"Temu Roti")</f>
        <v>Temu Roti</v>
      </c>
      <c r="T1347" s="2" t="str">
        <f>IFERROR(__xludf.DUMMYFUNCTION("""COMPUTED_VALUE"""),"Owner")</f>
        <v>Owner</v>
      </c>
      <c r="U1347" s="2"/>
      <c r="V1347" s="2"/>
      <c r="W1347" s="2"/>
      <c r="X1347" s="2" t="str">
        <f>IFERROR(__xludf.DUMMYFUNCTION("""COMPUTED_VALUE"""),"Closed")</f>
        <v>Closed</v>
      </c>
    </row>
    <row r="1348">
      <c r="A1348" s="3" t="s">
        <v>1358</v>
      </c>
      <c r="B1348" s="4">
        <f>IFERROR(__xludf.DUMMYFUNCTION("SPLIT(A1348,"","",0,0)"),45539.39375)</f>
        <v>45539.39375</v>
      </c>
      <c r="C1348" s="5">
        <f>IFERROR(__xludf.DUMMYFUNCTION("""COMPUTED_VALUE"""),2607499.0)</f>
        <v>2607499</v>
      </c>
      <c r="D1348" s="2" t="str">
        <f>IFERROR(__xludf.DUMMYFUNCTION("""COMPUTED_VALUE"""),"Sale")</f>
        <v>Sale</v>
      </c>
      <c r="E1348" s="2" t="str">
        <f>IFERROR(__xludf.DUMMYFUNCTION("""COMPUTED_VALUE"""),"Minuman")</f>
        <v>Minuman</v>
      </c>
      <c r="F1348" s="2">
        <f>IFERROR(__xludf.DUMMYFUNCTION("""COMPUTED_VALUE"""),10112.0)</f>
        <v>10112</v>
      </c>
      <c r="G1348" s="2" t="str">
        <f>IFERROR(__xludf.DUMMYFUNCTION("""COMPUTED_VALUE"""),"Air mineral")</f>
        <v>Air mineral</v>
      </c>
      <c r="H1348" s="2"/>
      <c r="I1348" s="2"/>
      <c r="J1348" s="2">
        <f>IFERROR(__xludf.DUMMYFUNCTION("""COMPUTED_VALUE"""),1.0)</f>
        <v>1</v>
      </c>
      <c r="K1348" s="6">
        <f>IFERROR(__xludf.DUMMYFUNCTION("""COMPUTED_VALUE"""),6667.0)</f>
        <v>6667</v>
      </c>
      <c r="L1348" s="2">
        <f>IFERROR(__xludf.DUMMYFUNCTION("""COMPUTED_VALUE"""),0.0)</f>
        <v>0</v>
      </c>
      <c r="M1348" s="2">
        <f>IFERROR(__xludf.DUMMYFUNCTION("""COMPUTED_VALUE"""),6667.0)</f>
        <v>6667</v>
      </c>
      <c r="N1348" s="2">
        <f>IFERROR(__xludf.DUMMYFUNCTION("""COMPUTED_VALUE"""),0.0)</f>
        <v>0</v>
      </c>
      <c r="O1348" s="2">
        <f>IFERROR(__xludf.DUMMYFUNCTION("""COMPUTED_VALUE"""),6667.0)</f>
        <v>6667</v>
      </c>
      <c r="P1348" s="2">
        <f>IFERROR(__xludf.DUMMYFUNCTION("""COMPUTED_VALUE"""),333.0)</f>
        <v>333</v>
      </c>
      <c r="Q1348" s="2" t="str">
        <f>IFERROR(__xludf.DUMMYFUNCTION("""COMPUTED_VALUE"""),"Dine In")</f>
        <v>Dine In</v>
      </c>
      <c r="R1348" s="2" t="str">
        <f>IFERROR(__xludf.DUMMYFUNCTION("""COMPUTED_VALUE"""),"Kedai")</f>
        <v>Kedai</v>
      </c>
      <c r="S1348" s="2" t="str">
        <f>IFERROR(__xludf.DUMMYFUNCTION("""COMPUTED_VALUE"""),"Temu Roti")</f>
        <v>Temu Roti</v>
      </c>
      <c r="T1348" s="2" t="str">
        <f>IFERROR(__xludf.DUMMYFUNCTION("""COMPUTED_VALUE"""),"Owner")</f>
        <v>Owner</v>
      </c>
      <c r="U1348" s="2"/>
      <c r="V1348" s="2"/>
      <c r="W1348" s="2"/>
      <c r="X1348" s="2" t="str">
        <f>IFERROR(__xludf.DUMMYFUNCTION("""COMPUTED_VALUE"""),"Closed")</f>
        <v>Closed</v>
      </c>
    </row>
    <row r="1349">
      <c r="A1349" s="3" t="s">
        <v>1359</v>
      </c>
      <c r="B1349" s="4">
        <f>IFERROR(__xludf.DUMMYFUNCTION("SPLIT(A1349,"","",0,0)"),45539.39375)</f>
        <v>45539.39375</v>
      </c>
      <c r="C1349" s="5">
        <f>IFERROR(__xludf.DUMMYFUNCTION("""COMPUTED_VALUE"""),2607499.0)</f>
        <v>2607499</v>
      </c>
      <c r="D1349" s="2" t="str">
        <f>IFERROR(__xludf.DUMMYFUNCTION("""COMPUTED_VALUE"""),"Sale")</f>
        <v>Sale</v>
      </c>
      <c r="E1349" s="2" t="str">
        <f>IFERROR(__xludf.DUMMYFUNCTION("""COMPUTED_VALUE"""),"Kudapan")</f>
        <v>Kudapan</v>
      </c>
      <c r="F1349" s="2">
        <f>IFERROR(__xludf.DUMMYFUNCTION("""COMPUTED_VALUE"""),10011.0)</f>
        <v>10011</v>
      </c>
      <c r="G1349" s="2" t="str">
        <f>IFERROR(__xludf.DUMMYFUNCTION("""COMPUTED_VALUE"""),"Kentang Goreng")</f>
        <v>Kentang Goreng</v>
      </c>
      <c r="H1349" s="2"/>
      <c r="I1349" s="2"/>
      <c r="J1349" s="2">
        <f>IFERROR(__xludf.DUMMYFUNCTION("""COMPUTED_VALUE"""),1.0)</f>
        <v>1</v>
      </c>
      <c r="K1349" s="6">
        <f>IFERROR(__xludf.DUMMYFUNCTION("""COMPUTED_VALUE"""),25238.0)</f>
        <v>25238</v>
      </c>
      <c r="L1349" s="2">
        <f>IFERROR(__xludf.DUMMYFUNCTION("""COMPUTED_VALUE"""),0.0)</f>
        <v>0</v>
      </c>
      <c r="M1349" s="2">
        <f>IFERROR(__xludf.DUMMYFUNCTION("""COMPUTED_VALUE"""),25238.0)</f>
        <v>25238</v>
      </c>
      <c r="N1349" s="2">
        <f>IFERROR(__xludf.DUMMYFUNCTION("""COMPUTED_VALUE"""),0.0)</f>
        <v>0</v>
      </c>
      <c r="O1349" s="2">
        <f>IFERROR(__xludf.DUMMYFUNCTION("""COMPUTED_VALUE"""),25238.0)</f>
        <v>25238</v>
      </c>
      <c r="P1349" s="2">
        <f>IFERROR(__xludf.DUMMYFUNCTION("""COMPUTED_VALUE"""),1262.0)</f>
        <v>1262</v>
      </c>
      <c r="Q1349" s="2" t="str">
        <f>IFERROR(__xludf.DUMMYFUNCTION("""COMPUTED_VALUE"""),"Dine In")</f>
        <v>Dine In</v>
      </c>
      <c r="R1349" s="2" t="str">
        <f>IFERROR(__xludf.DUMMYFUNCTION("""COMPUTED_VALUE"""),"Kedai")</f>
        <v>Kedai</v>
      </c>
      <c r="S1349" s="2" t="str">
        <f>IFERROR(__xludf.DUMMYFUNCTION("""COMPUTED_VALUE"""),"Temu Roti")</f>
        <v>Temu Roti</v>
      </c>
      <c r="T1349" s="2" t="str">
        <f>IFERROR(__xludf.DUMMYFUNCTION("""COMPUTED_VALUE"""),"Owner")</f>
        <v>Owner</v>
      </c>
      <c r="U1349" s="2"/>
      <c r="V1349" s="2"/>
      <c r="W1349" s="2"/>
      <c r="X1349" s="2" t="str">
        <f>IFERROR(__xludf.DUMMYFUNCTION("""COMPUTED_VALUE"""),"Closed")</f>
        <v>Closed</v>
      </c>
    </row>
    <row r="1350">
      <c r="A1350" s="3" t="s">
        <v>1360</v>
      </c>
      <c r="B1350" s="4">
        <f>IFERROR(__xludf.DUMMYFUNCTION("SPLIT(A1350,"","",0,0)"),45538.87777777778)</f>
        <v>45538.87778</v>
      </c>
      <c r="C1350" s="5">
        <f>IFERROR(__xludf.DUMMYFUNCTION("""COMPUTED_VALUE"""),2607134.0)</f>
        <v>2607134</v>
      </c>
      <c r="D1350" s="2" t="str">
        <f>IFERROR(__xludf.DUMMYFUNCTION("""COMPUTED_VALUE"""),"Sale")</f>
        <v>Sale</v>
      </c>
      <c r="E1350" s="2" t="str">
        <f>IFERROR(__xludf.DUMMYFUNCTION("""COMPUTED_VALUE"""),"Hidangan Utama")</f>
        <v>Hidangan Utama</v>
      </c>
      <c r="F1350" s="2">
        <f>IFERROR(__xludf.DUMMYFUNCTION("""COMPUTED_VALUE"""),10012.0)</f>
        <v>10012</v>
      </c>
      <c r="G1350" s="2" t="str">
        <f>IFERROR(__xludf.DUMMYFUNCTION("""COMPUTED_VALUE"""),"Mie joglo")</f>
        <v>Mie joglo</v>
      </c>
      <c r="H1350" s="2"/>
      <c r="I1350" s="2"/>
      <c r="J1350" s="2">
        <f>IFERROR(__xludf.DUMMYFUNCTION("""COMPUTED_VALUE"""),1.0)</f>
        <v>1</v>
      </c>
      <c r="K1350" s="6">
        <f>IFERROR(__xludf.DUMMYFUNCTION("""COMPUTED_VALUE"""),29524.0)</f>
        <v>29524</v>
      </c>
      <c r="L1350" s="2">
        <f>IFERROR(__xludf.DUMMYFUNCTION("""COMPUTED_VALUE"""),0.0)</f>
        <v>0</v>
      </c>
      <c r="M1350" s="2">
        <f>IFERROR(__xludf.DUMMYFUNCTION("""COMPUTED_VALUE"""),29524.0)</f>
        <v>29524</v>
      </c>
      <c r="N1350" s="2">
        <f>IFERROR(__xludf.DUMMYFUNCTION("""COMPUTED_VALUE"""),0.0)</f>
        <v>0</v>
      </c>
      <c r="O1350" s="2">
        <f>IFERROR(__xludf.DUMMYFUNCTION("""COMPUTED_VALUE"""),29524.0)</f>
        <v>29524</v>
      </c>
      <c r="P1350" s="2">
        <f>IFERROR(__xludf.DUMMYFUNCTION("""COMPUTED_VALUE"""),1476.0)</f>
        <v>1476</v>
      </c>
      <c r="Q1350" s="2" t="str">
        <f>IFERROR(__xludf.DUMMYFUNCTION("""COMPUTED_VALUE"""),"Dine In")</f>
        <v>Dine In</v>
      </c>
      <c r="R1350" s="2" t="str">
        <f>IFERROR(__xludf.DUMMYFUNCTION("""COMPUTED_VALUE"""),"Kedai")</f>
        <v>Kedai</v>
      </c>
      <c r="S1350" s="2" t="str">
        <f>IFERROR(__xludf.DUMMYFUNCTION("""COMPUTED_VALUE"""),"Temu Roti")</f>
        <v>Temu Roti</v>
      </c>
      <c r="T1350" s="2" t="str">
        <f>IFERROR(__xludf.DUMMYFUNCTION("""COMPUTED_VALUE"""),"Owner")</f>
        <v>Owner</v>
      </c>
      <c r="U1350" s="2"/>
      <c r="V1350" s="2"/>
      <c r="W1350" s="2"/>
      <c r="X1350" s="2" t="str">
        <f>IFERROR(__xludf.DUMMYFUNCTION("""COMPUTED_VALUE"""),"Closed")</f>
        <v>Closed</v>
      </c>
    </row>
    <row r="1351">
      <c r="A1351" s="3" t="s">
        <v>1361</v>
      </c>
      <c r="B1351" s="4">
        <f>IFERROR(__xludf.DUMMYFUNCTION("SPLIT(A1351,"","",0,0)"),45538.87777777778)</f>
        <v>45538.87778</v>
      </c>
      <c r="C1351" s="5">
        <f>IFERROR(__xludf.DUMMYFUNCTION("""COMPUTED_VALUE"""),2607134.0)</f>
        <v>2607134</v>
      </c>
      <c r="D1351" s="2" t="str">
        <f>IFERROR(__xludf.DUMMYFUNCTION("""COMPUTED_VALUE"""),"Sale")</f>
        <v>Sale</v>
      </c>
      <c r="E1351" s="2" t="str">
        <f>IFERROR(__xludf.DUMMYFUNCTION("""COMPUTED_VALUE"""),"Kudapan")</f>
        <v>Kudapan</v>
      </c>
      <c r="F1351" s="2">
        <f>IFERROR(__xludf.DUMMYFUNCTION("""COMPUTED_VALUE"""),10014.0)</f>
        <v>10014</v>
      </c>
      <c r="G1351" s="2" t="str">
        <f>IFERROR(__xludf.DUMMYFUNCTION("""COMPUTED_VALUE"""),"Tempe Mendoan")</f>
        <v>Tempe Mendoan</v>
      </c>
      <c r="H1351" s="2"/>
      <c r="I1351" s="2"/>
      <c r="J1351" s="2">
        <f>IFERROR(__xludf.DUMMYFUNCTION("""COMPUTED_VALUE"""),1.0)</f>
        <v>1</v>
      </c>
      <c r="K1351" s="6">
        <f>IFERROR(__xludf.DUMMYFUNCTION("""COMPUTED_VALUE"""),25238.0)</f>
        <v>25238</v>
      </c>
      <c r="L1351" s="2">
        <f>IFERROR(__xludf.DUMMYFUNCTION("""COMPUTED_VALUE"""),0.0)</f>
        <v>0</v>
      </c>
      <c r="M1351" s="2">
        <f>IFERROR(__xludf.DUMMYFUNCTION("""COMPUTED_VALUE"""),25238.0)</f>
        <v>25238</v>
      </c>
      <c r="N1351" s="2">
        <f>IFERROR(__xludf.DUMMYFUNCTION("""COMPUTED_VALUE"""),0.0)</f>
        <v>0</v>
      </c>
      <c r="O1351" s="2">
        <f>IFERROR(__xludf.DUMMYFUNCTION("""COMPUTED_VALUE"""),25238.0)</f>
        <v>25238</v>
      </c>
      <c r="P1351" s="2">
        <f>IFERROR(__xludf.DUMMYFUNCTION("""COMPUTED_VALUE"""),1262.0)</f>
        <v>1262</v>
      </c>
      <c r="Q1351" s="2" t="str">
        <f>IFERROR(__xludf.DUMMYFUNCTION("""COMPUTED_VALUE"""),"Dine In")</f>
        <v>Dine In</v>
      </c>
      <c r="R1351" s="2" t="str">
        <f>IFERROR(__xludf.DUMMYFUNCTION("""COMPUTED_VALUE"""),"Kedai")</f>
        <v>Kedai</v>
      </c>
      <c r="S1351" s="2" t="str">
        <f>IFERROR(__xludf.DUMMYFUNCTION("""COMPUTED_VALUE"""),"Temu Roti")</f>
        <v>Temu Roti</v>
      </c>
      <c r="T1351" s="2" t="str">
        <f>IFERROR(__xludf.DUMMYFUNCTION("""COMPUTED_VALUE"""),"Owner")</f>
        <v>Owner</v>
      </c>
      <c r="U1351" s="2"/>
      <c r="V1351" s="2"/>
      <c r="W1351" s="2"/>
      <c r="X1351" s="2" t="str">
        <f>IFERROR(__xludf.DUMMYFUNCTION("""COMPUTED_VALUE"""),"Closed")</f>
        <v>Closed</v>
      </c>
    </row>
    <row r="1352">
      <c r="A1352" s="3" t="s">
        <v>1362</v>
      </c>
      <c r="B1352" s="4">
        <f>IFERROR(__xludf.DUMMYFUNCTION("SPLIT(A1352,"","",0,0)"),45538.86597222222)</f>
        <v>45538.86597</v>
      </c>
      <c r="C1352" s="5">
        <f>IFERROR(__xludf.DUMMYFUNCTION("""COMPUTED_VALUE"""),2606769.0)</f>
        <v>2606769</v>
      </c>
      <c r="D1352" s="2" t="str">
        <f>IFERROR(__xludf.DUMMYFUNCTION("""COMPUTED_VALUE"""),"Sale")</f>
        <v>Sale</v>
      </c>
      <c r="E1352" s="2" t="str">
        <f>IFERROR(__xludf.DUMMYFUNCTION("""COMPUTED_VALUE"""),"Kudapan")</f>
        <v>Kudapan</v>
      </c>
      <c r="F1352" s="2">
        <f>IFERROR(__xludf.DUMMYFUNCTION("""COMPUTED_VALUE"""),10004.0)</f>
        <v>10004</v>
      </c>
      <c r="G1352" s="2" t="str">
        <f>IFERROR(__xludf.DUMMYFUNCTION("""COMPUTED_VALUE"""),"Tahu walik")</f>
        <v>Tahu walik</v>
      </c>
      <c r="H1352" s="2"/>
      <c r="I1352" s="2"/>
      <c r="J1352" s="2">
        <f>IFERROR(__xludf.DUMMYFUNCTION("""COMPUTED_VALUE"""),1.0)</f>
        <v>1</v>
      </c>
      <c r="K1352" s="6">
        <f>IFERROR(__xludf.DUMMYFUNCTION("""COMPUTED_VALUE"""),25238.0)</f>
        <v>25238</v>
      </c>
      <c r="L1352" s="2">
        <f>IFERROR(__xludf.DUMMYFUNCTION("""COMPUTED_VALUE"""),0.0)</f>
        <v>0</v>
      </c>
      <c r="M1352" s="2">
        <f>IFERROR(__xludf.DUMMYFUNCTION("""COMPUTED_VALUE"""),25238.0)</f>
        <v>25238</v>
      </c>
      <c r="N1352" s="2">
        <f>IFERROR(__xludf.DUMMYFUNCTION("""COMPUTED_VALUE"""),0.0)</f>
        <v>0</v>
      </c>
      <c r="O1352" s="2">
        <f>IFERROR(__xludf.DUMMYFUNCTION("""COMPUTED_VALUE"""),25238.0)</f>
        <v>25238</v>
      </c>
      <c r="P1352" s="2">
        <f>IFERROR(__xludf.DUMMYFUNCTION("""COMPUTED_VALUE"""),1262.0)</f>
        <v>1262</v>
      </c>
      <c r="Q1352" s="2" t="str">
        <f>IFERROR(__xludf.DUMMYFUNCTION("""COMPUTED_VALUE"""),"Dine In")</f>
        <v>Dine In</v>
      </c>
      <c r="R1352" s="2" t="str">
        <f>IFERROR(__xludf.DUMMYFUNCTION("""COMPUTED_VALUE"""),"Kedai")</f>
        <v>Kedai</v>
      </c>
      <c r="S1352" s="2" t="str">
        <f>IFERROR(__xludf.DUMMYFUNCTION("""COMPUTED_VALUE"""),"Temu Roti")</f>
        <v>Temu Roti</v>
      </c>
      <c r="T1352" s="2" t="str">
        <f>IFERROR(__xludf.DUMMYFUNCTION("""COMPUTED_VALUE"""),"Owner")</f>
        <v>Owner</v>
      </c>
      <c r="U1352" s="2"/>
      <c r="V1352" s="2"/>
      <c r="W1352" s="2"/>
      <c r="X1352" s="2" t="str">
        <f>IFERROR(__xludf.DUMMYFUNCTION("""COMPUTED_VALUE"""),"Closed")</f>
        <v>Closed</v>
      </c>
    </row>
    <row r="1353">
      <c r="A1353" s="3" t="s">
        <v>1363</v>
      </c>
      <c r="B1353" s="4">
        <f>IFERROR(__xludf.DUMMYFUNCTION("SPLIT(A1353,"","",0,0)"),45538.86597222222)</f>
        <v>45538.86597</v>
      </c>
      <c r="C1353" s="5">
        <f>IFERROR(__xludf.DUMMYFUNCTION("""COMPUTED_VALUE"""),2606769.0)</f>
        <v>2606769</v>
      </c>
      <c r="D1353" s="2" t="str">
        <f>IFERROR(__xludf.DUMMYFUNCTION("""COMPUTED_VALUE"""),"Sale")</f>
        <v>Sale</v>
      </c>
      <c r="E1353" s="2" t="str">
        <f>IFERROR(__xludf.DUMMYFUNCTION("""COMPUTED_VALUE"""),"Roti")</f>
        <v>Roti</v>
      </c>
      <c r="F1353" s="2">
        <f>IFERROR(__xludf.DUMMYFUNCTION("""COMPUTED_VALUE"""),10033.0)</f>
        <v>10033</v>
      </c>
      <c r="G1353" s="2" t="str">
        <f>IFERROR(__xludf.DUMMYFUNCTION("""COMPUTED_VALUE"""),"Roti panggang sarikaya")</f>
        <v>Roti panggang sarikaya</v>
      </c>
      <c r="H1353" s="2"/>
      <c r="I1353" s="2"/>
      <c r="J1353" s="2">
        <f>IFERROR(__xludf.DUMMYFUNCTION("""COMPUTED_VALUE"""),1.0)</f>
        <v>1</v>
      </c>
      <c r="K1353" s="6">
        <f>IFERROR(__xludf.DUMMYFUNCTION("""COMPUTED_VALUE"""),21905.0)</f>
        <v>21905</v>
      </c>
      <c r="L1353" s="2">
        <f>IFERROR(__xludf.DUMMYFUNCTION("""COMPUTED_VALUE"""),0.0)</f>
        <v>0</v>
      </c>
      <c r="M1353" s="2">
        <f>IFERROR(__xludf.DUMMYFUNCTION("""COMPUTED_VALUE"""),21905.0)</f>
        <v>21905</v>
      </c>
      <c r="N1353" s="2">
        <f>IFERROR(__xludf.DUMMYFUNCTION("""COMPUTED_VALUE"""),0.0)</f>
        <v>0</v>
      </c>
      <c r="O1353" s="2">
        <f>IFERROR(__xludf.DUMMYFUNCTION("""COMPUTED_VALUE"""),21905.0)</f>
        <v>21905</v>
      </c>
      <c r="P1353" s="2">
        <f>IFERROR(__xludf.DUMMYFUNCTION("""COMPUTED_VALUE"""),1095.0)</f>
        <v>1095</v>
      </c>
      <c r="Q1353" s="2" t="str">
        <f>IFERROR(__xludf.DUMMYFUNCTION("""COMPUTED_VALUE"""),"Dine In")</f>
        <v>Dine In</v>
      </c>
      <c r="R1353" s="2" t="str">
        <f>IFERROR(__xludf.DUMMYFUNCTION("""COMPUTED_VALUE"""),"Kedai")</f>
        <v>Kedai</v>
      </c>
      <c r="S1353" s="2" t="str">
        <f>IFERROR(__xludf.DUMMYFUNCTION("""COMPUTED_VALUE"""),"Temu Roti")</f>
        <v>Temu Roti</v>
      </c>
      <c r="T1353" s="2" t="str">
        <f>IFERROR(__xludf.DUMMYFUNCTION("""COMPUTED_VALUE"""),"Owner")</f>
        <v>Owner</v>
      </c>
      <c r="U1353" s="2"/>
      <c r="V1353" s="2"/>
      <c r="W1353" s="2"/>
      <c r="X1353" s="2" t="str">
        <f>IFERROR(__xludf.DUMMYFUNCTION("""COMPUTED_VALUE"""),"Closed")</f>
        <v>Closed</v>
      </c>
    </row>
    <row r="1354">
      <c r="A1354" s="3" t="s">
        <v>1364</v>
      </c>
      <c r="B1354" s="4">
        <f>IFERROR(__xludf.DUMMYFUNCTION("SPLIT(A1354,"","",0,0)"),45538.86597222222)</f>
        <v>45538.86597</v>
      </c>
      <c r="C1354" s="5">
        <f>IFERROR(__xludf.DUMMYFUNCTION("""COMPUTED_VALUE"""),2606769.0)</f>
        <v>2606769</v>
      </c>
      <c r="D1354" s="2" t="str">
        <f>IFERROR(__xludf.DUMMYFUNCTION("""COMPUTED_VALUE"""),"Sale")</f>
        <v>Sale</v>
      </c>
      <c r="E1354" s="2" t="str">
        <f>IFERROR(__xludf.DUMMYFUNCTION("""COMPUTED_VALUE"""),"Roti")</f>
        <v>Roti</v>
      </c>
      <c r="F1354" s="2">
        <f>IFERROR(__xludf.DUMMYFUNCTION("""COMPUTED_VALUE"""),10007.0)</f>
        <v>10007</v>
      </c>
      <c r="G1354" s="2" t="str">
        <f>IFERROR(__xludf.DUMMYFUNCTION("""COMPUTED_VALUE"""),"Roti cranberry 2 pcs")</f>
        <v>Roti cranberry 2 pcs</v>
      </c>
      <c r="H1354" s="2"/>
      <c r="I1354" s="2"/>
      <c r="J1354" s="2">
        <f>IFERROR(__xludf.DUMMYFUNCTION("""COMPUTED_VALUE"""),1.0)</f>
        <v>1</v>
      </c>
      <c r="K1354" s="6">
        <f>IFERROR(__xludf.DUMMYFUNCTION("""COMPUTED_VALUE"""),33810.0)</f>
        <v>33810</v>
      </c>
      <c r="L1354" s="2">
        <f>IFERROR(__xludf.DUMMYFUNCTION("""COMPUTED_VALUE"""),0.0)</f>
        <v>0</v>
      </c>
      <c r="M1354" s="2">
        <f>IFERROR(__xludf.DUMMYFUNCTION("""COMPUTED_VALUE"""),33810.0)</f>
        <v>33810</v>
      </c>
      <c r="N1354" s="2">
        <f>IFERROR(__xludf.DUMMYFUNCTION("""COMPUTED_VALUE"""),0.0)</f>
        <v>0</v>
      </c>
      <c r="O1354" s="2">
        <f>IFERROR(__xludf.DUMMYFUNCTION("""COMPUTED_VALUE"""),33810.0)</f>
        <v>33810</v>
      </c>
      <c r="P1354" s="2">
        <f>IFERROR(__xludf.DUMMYFUNCTION("""COMPUTED_VALUE"""),1691.0)</f>
        <v>1691</v>
      </c>
      <c r="Q1354" s="2" t="str">
        <f>IFERROR(__xludf.DUMMYFUNCTION("""COMPUTED_VALUE"""),"Dine In")</f>
        <v>Dine In</v>
      </c>
      <c r="R1354" s="2" t="str">
        <f>IFERROR(__xludf.DUMMYFUNCTION("""COMPUTED_VALUE"""),"Kedai")</f>
        <v>Kedai</v>
      </c>
      <c r="S1354" s="2" t="str">
        <f>IFERROR(__xludf.DUMMYFUNCTION("""COMPUTED_VALUE"""),"Temu Roti")</f>
        <v>Temu Roti</v>
      </c>
      <c r="T1354" s="2" t="str">
        <f>IFERROR(__xludf.DUMMYFUNCTION("""COMPUTED_VALUE"""),"Owner")</f>
        <v>Owner</v>
      </c>
      <c r="U1354" s="2"/>
      <c r="V1354" s="2"/>
      <c r="W1354" s="2"/>
      <c r="X1354" s="2" t="str">
        <f>IFERROR(__xludf.DUMMYFUNCTION("""COMPUTED_VALUE"""),"Closed")</f>
        <v>Closed</v>
      </c>
    </row>
    <row r="1355">
      <c r="A1355" s="3" t="s">
        <v>1365</v>
      </c>
      <c r="B1355" s="4">
        <f>IFERROR(__xludf.DUMMYFUNCTION("SPLIT(A1355,"","",0,0)"),45538.86597222222)</f>
        <v>45538.86597</v>
      </c>
      <c r="C1355" s="5">
        <f>IFERROR(__xludf.DUMMYFUNCTION("""COMPUTED_VALUE"""),2606769.0)</f>
        <v>2606769</v>
      </c>
      <c r="D1355" s="2" t="str">
        <f>IFERROR(__xludf.DUMMYFUNCTION("""COMPUTED_VALUE"""),"Sale")</f>
        <v>Sale</v>
      </c>
      <c r="E1355" s="2" t="str">
        <f>IFERROR(__xludf.DUMMYFUNCTION("""COMPUTED_VALUE"""),"Hidangan Utama")</f>
        <v>Hidangan Utama</v>
      </c>
      <c r="F1355" s="2">
        <f>IFERROR(__xludf.DUMMYFUNCTION("""COMPUTED_VALUE"""),10012.0)</f>
        <v>10012</v>
      </c>
      <c r="G1355" s="2" t="str">
        <f>IFERROR(__xludf.DUMMYFUNCTION("""COMPUTED_VALUE"""),"Mie joglo")</f>
        <v>Mie joglo</v>
      </c>
      <c r="H1355" s="2"/>
      <c r="I1355" s="2"/>
      <c r="J1355" s="2">
        <f>IFERROR(__xludf.DUMMYFUNCTION("""COMPUTED_VALUE"""),1.0)</f>
        <v>1</v>
      </c>
      <c r="K1355" s="6">
        <f>IFERROR(__xludf.DUMMYFUNCTION("""COMPUTED_VALUE"""),29524.0)</f>
        <v>29524</v>
      </c>
      <c r="L1355" s="2">
        <f>IFERROR(__xludf.DUMMYFUNCTION("""COMPUTED_VALUE"""),0.0)</f>
        <v>0</v>
      </c>
      <c r="M1355" s="2">
        <f>IFERROR(__xludf.DUMMYFUNCTION("""COMPUTED_VALUE"""),29524.0)</f>
        <v>29524</v>
      </c>
      <c r="N1355" s="2">
        <f>IFERROR(__xludf.DUMMYFUNCTION("""COMPUTED_VALUE"""),0.0)</f>
        <v>0</v>
      </c>
      <c r="O1355" s="2">
        <f>IFERROR(__xludf.DUMMYFUNCTION("""COMPUTED_VALUE"""),29524.0)</f>
        <v>29524</v>
      </c>
      <c r="P1355" s="2">
        <f>IFERROR(__xludf.DUMMYFUNCTION("""COMPUTED_VALUE"""),1476.0)</f>
        <v>1476</v>
      </c>
      <c r="Q1355" s="2" t="str">
        <f>IFERROR(__xludf.DUMMYFUNCTION("""COMPUTED_VALUE"""),"Dine In")</f>
        <v>Dine In</v>
      </c>
      <c r="R1355" s="2" t="str">
        <f>IFERROR(__xludf.DUMMYFUNCTION("""COMPUTED_VALUE"""),"Kedai")</f>
        <v>Kedai</v>
      </c>
      <c r="S1355" s="2" t="str">
        <f>IFERROR(__xludf.DUMMYFUNCTION("""COMPUTED_VALUE"""),"Temu Roti")</f>
        <v>Temu Roti</v>
      </c>
      <c r="T1355" s="2" t="str">
        <f>IFERROR(__xludf.DUMMYFUNCTION("""COMPUTED_VALUE"""),"Owner")</f>
        <v>Owner</v>
      </c>
      <c r="U1355" s="2"/>
      <c r="V1355" s="2"/>
      <c r="W1355" s="2"/>
      <c r="X1355" s="2" t="str">
        <f>IFERROR(__xludf.DUMMYFUNCTION("""COMPUTED_VALUE"""),"Closed")</f>
        <v>Closed</v>
      </c>
    </row>
    <row r="1356">
      <c r="A1356" s="3" t="s">
        <v>1366</v>
      </c>
      <c r="B1356" s="4">
        <f>IFERROR(__xludf.DUMMYFUNCTION("SPLIT(A1356,"","",0,0)"),45538.86597222222)</f>
        <v>45538.86597</v>
      </c>
      <c r="C1356" s="5">
        <f>IFERROR(__xludf.DUMMYFUNCTION("""COMPUTED_VALUE"""),2606403.0)</f>
        <v>2606403</v>
      </c>
      <c r="D1356" s="2" t="str">
        <f>IFERROR(__xludf.DUMMYFUNCTION("""COMPUTED_VALUE"""),"Refund")</f>
        <v>Refund</v>
      </c>
      <c r="E1356" s="2" t="str">
        <f>IFERROR(__xludf.DUMMYFUNCTION("""COMPUTED_VALUE"""),"Roti")</f>
        <v>Roti</v>
      </c>
      <c r="F1356" s="2">
        <f>IFERROR(__xludf.DUMMYFUNCTION("""COMPUTED_VALUE"""),10033.0)</f>
        <v>10033</v>
      </c>
      <c r="G1356" s="2" t="str">
        <f>IFERROR(__xludf.DUMMYFUNCTION("""COMPUTED_VALUE"""),"Roti panggang sarikaya")</f>
        <v>Roti panggang sarikaya</v>
      </c>
      <c r="H1356" s="2"/>
      <c r="I1356" s="2"/>
      <c r="J1356" s="2">
        <f>IFERROR(__xludf.DUMMYFUNCTION("""COMPUTED_VALUE"""),-1.0)</f>
        <v>-1</v>
      </c>
      <c r="K1356" s="6">
        <f>IFERROR(__xludf.DUMMYFUNCTION("""COMPUTED_VALUE"""),-21905.0)</f>
        <v>-21905</v>
      </c>
      <c r="L1356" s="2">
        <f>IFERROR(__xludf.DUMMYFUNCTION("""COMPUTED_VALUE"""),0.0)</f>
        <v>0</v>
      </c>
      <c r="M1356" s="2">
        <f>IFERROR(__xludf.DUMMYFUNCTION("""COMPUTED_VALUE"""),-21905.0)</f>
        <v>-21905</v>
      </c>
      <c r="N1356" s="2">
        <f>IFERROR(__xludf.DUMMYFUNCTION("""COMPUTED_VALUE"""),0.0)</f>
        <v>0</v>
      </c>
      <c r="O1356" s="2">
        <f>IFERROR(__xludf.DUMMYFUNCTION("""COMPUTED_VALUE"""),-21905.0)</f>
        <v>-21905</v>
      </c>
      <c r="P1356" s="2">
        <f>IFERROR(__xludf.DUMMYFUNCTION("""COMPUTED_VALUE"""),-1095.0)</f>
        <v>-1095</v>
      </c>
      <c r="Q1356" s="2" t="str">
        <f>IFERROR(__xludf.DUMMYFUNCTION("""COMPUTED_VALUE"""),"Dine In")</f>
        <v>Dine In</v>
      </c>
      <c r="R1356" s="2" t="str">
        <f>IFERROR(__xludf.DUMMYFUNCTION("""COMPUTED_VALUE"""),"Kedai")</f>
        <v>Kedai</v>
      </c>
      <c r="S1356" s="2" t="str">
        <f>IFERROR(__xludf.DUMMYFUNCTION("""COMPUTED_VALUE"""),"Temu Roti")</f>
        <v>Temu Roti</v>
      </c>
      <c r="T1356" s="2" t="str">
        <f>IFERROR(__xludf.DUMMYFUNCTION("""COMPUTED_VALUE"""),"Owner")</f>
        <v>Owner</v>
      </c>
      <c r="U1356" s="2"/>
      <c r="V1356" s="2"/>
      <c r="W1356" s="2" t="str">
        <f>IFERROR(__xludf.DUMMYFUNCTION("""COMPUTED_VALUE"""),"Sarikaya sedikit")</f>
        <v>Sarikaya sedikit</v>
      </c>
      <c r="X1356" s="2" t="str">
        <f>IFERROR(__xludf.DUMMYFUNCTION("""COMPUTED_VALUE"""),"Closed")</f>
        <v>Closed</v>
      </c>
    </row>
    <row r="1357">
      <c r="A1357" s="3" t="s">
        <v>1367</v>
      </c>
      <c r="B1357" s="4">
        <f>IFERROR(__xludf.DUMMYFUNCTION("SPLIT(A1357,"","",0,0)"),45538.86597222222)</f>
        <v>45538.86597</v>
      </c>
      <c r="C1357" s="5">
        <f>IFERROR(__xludf.DUMMYFUNCTION("""COMPUTED_VALUE"""),2606403.0)</f>
        <v>2606403</v>
      </c>
      <c r="D1357" s="2" t="str">
        <f>IFERROR(__xludf.DUMMYFUNCTION("""COMPUTED_VALUE"""),"Refund")</f>
        <v>Refund</v>
      </c>
      <c r="E1357" s="2" t="str">
        <f>IFERROR(__xludf.DUMMYFUNCTION("""COMPUTED_VALUE"""),"Kudapan")</f>
        <v>Kudapan</v>
      </c>
      <c r="F1357" s="2">
        <f>IFERROR(__xludf.DUMMYFUNCTION("""COMPUTED_VALUE"""),10004.0)</f>
        <v>10004</v>
      </c>
      <c r="G1357" s="2" t="str">
        <f>IFERROR(__xludf.DUMMYFUNCTION("""COMPUTED_VALUE"""),"Tahu walik")</f>
        <v>Tahu walik</v>
      </c>
      <c r="H1357" s="2"/>
      <c r="I1357" s="2"/>
      <c r="J1357" s="2">
        <f>IFERROR(__xludf.DUMMYFUNCTION("""COMPUTED_VALUE"""),-1.0)</f>
        <v>-1</v>
      </c>
      <c r="K1357" s="6">
        <f>IFERROR(__xludf.DUMMYFUNCTION("""COMPUTED_VALUE"""),-25238.0)</f>
        <v>-25238</v>
      </c>
      <c r="L1357" s="2">
        <f>IFERROR(__xludf.DUMMYFUNCTION("""COMPUTED_VALUE"""),0.0)</f>
        <v>0</v>
      </c>
      <c r="M1357" s="2">
        <f>IFERROR(__xludf.DUMMYFUNCTION("""COMPUTED_VALUE"""),-25238.0)</f>
        <v>-25238</v>
      </c>
      <c r="N1357" s="2">
        <f>IFERROR(__xludf.DUMMYFUNCTION("""COMPUTED_VALUE"""),0.0)</f>
        <v>0</v>
      </c>
      <c r="O1357" s="2">
        <f>IFERROR(__xludf.DUMMYFUNCTION("""COMPUTED_VALUE"""),-25238.0)</f>
        <v>-25238</v>
      </c>
      <c r="P1357" s="2">
        <f>IFERROR(__xludf.DUMMYFUNCTION("""COMPUTED_VALUE"""),-1262.0)</f>
        <v>-1262</v>
      </c>
      <c r="Q1357" s="2" t="str">
        <f>IFERROR(__xludf.DUMMYFUNCTION("""COMPUTED_VALUE"""),"Dine In")</f>
        <v>Dine In</v>
      </c>
      <c r="R1357" s="2" t="str">
        <f>IFERROR(__xludf.DUMMYFUNCTION("""COMPUTED_VALUE"""),"Kedai")</f>
        <v>Kedai</v>
      </c>
      <c r="S1357" s="2" t="str">
        <f>IFERROR(__xludf.DUMMYFUNCTION("""COMPUTED_VALUE"""),"Temu Roti")</f>
        <v>Temu Roti</v>
      </c>
      <c r="T1357" s="2" t="str">
        <f>IFERROR(__xludf.DUMMYFUNCTION("""COMPUTED_VALUE"""),"Owner")</f>
        <v>Owner</v>
      </c>
      <c r="U1357" s="2"/>
      <c r="V1357" s="2"/>
      <c r="W1357" s="2"/>
      <c r="X1357" s="2" t="str">
        <f>IFERROR(__xludf.DUMMYFUNCTION("""COMPUTED_VALUE"""),"Closed")</f>
        <v>Closed</v>
      </c>
    </row>
    <row r="1358">
      <c r="A1358" s="3" t="s">
        <v>1368</v>
      </c>
      <c r="B1358" s="4">
        <f>IFERROR(__xludf.DUMMYFUNCTION("SPLIT(A1358,"","",0,0)"),45538.86597222222)</f>
        <v>45538.86597</v>
      </c>
      <c r="C1358" s="5">
        <f>IFERROR(__xludf.DUMMYFUNCTION("""COMPUTED_VALUE"""),2606403.0)</f>
        <v>2606403</v>
      </c>
      <c r="D1358" s="2" t="str">
        <f>IFERROR(__xludf.DUMMYFUNCTION("""COMPUTED_VALUE"""),"Refund")</f>
        <v>Refund</v>
      </c>
      <c r="E1358" s="2" t="str">
        <f>IFERROR(__xludf.DUMMYFUNCTION("""COMPUTED_VALUE"""),"Hidangan Utama")</f>
        <v>Hidangan Utama</v>
      </c>
      <c r="F1358" s="2">
        <f>IFERROR(__xludf.DUMMYFUNCTION("""COMPUTED_VALUE"""),10012.0)</f>
        <v>10012</v>
      </c>
      <c r="G1358" s="2" t="str">
        <f>IFERROR(__xludf.DUMMYFUNCTION("""COMPUTED_VALUE"""),"Mie joglo")</f>
        <v>Mie joglo</v>
      </c>
      <c r="H1358" s="2"/>
      <c r="I1358" s="2"/>
      <c r="J1358" s="2">
        <f>IFERROR(__xludf.DUMMYFUNCTION("""COMPUTED_VALUE"""),-1.0)</f>
        <v>-1</v>
      </c>
      <c r="K1358" s="6">
        <f>IFERROR(__xludf.DUMMYFUNCTION("""COMPUTED_VALUE"""),-29524.0)</f>
        <v>-29524</v>
      </c>
      <c r="L1358" s="2">
        <f>IFERROR(__xludf.DUMMYFUNCTION("""COMPUTED_VALUE"""),0.0)</f>
        <v>0</v>
      </c>
      <c r="M1358" s="2">
        <f>IFERROR(__xludf.DUMMYFUNCTION("""COMPUTED_VALUE"""),-29524.0)</f>
        <v>-29524</v>
      </c>
      <c r="N1358" s="2">
        <f>IFERROR(__xludf.DUMMYFUNCTION("""COMPUTED_VALUE"""),0.0)</f>
        <v>0</v>
      </c>
      <c r="O1358" s="2">
        <f>IFERROR(__xludf.DUMMYFUNCTION("""COMPUTED_VALUE"""),-29524.0)</f>
        <v>-29524</v>
      </c>
      <c r="P1358" s="2">
        <f>IFERROR(__xludf.DUMMYFUNCTION("""COMPUTED_VALUE"""),-1476.0)</f>
        <v>-1476</v>
      </c>
      <c r="Q1358" s="2" t="str">
        <f>IFERROR(__xludf.DUMMYFUNCTION("""COMPUTED_VALUE"""),"Dine In")</f>
        <v>Dine In</v>
      </c>
      <c r="R1358" s="2" t="str">
        <f>IFERROR(__xludf.DUMMYFUNCTION("""COMPUTED_VALUE"""),"Kedai")</f>
        <v>Kedai</v>
      </c>
      <c r="S1358" s="2" t="str">
        <f>IFERROR(__xludf.DUMMYFUNCTION("""COMPUTED_VALUE"""),"Temu Roti")</f>
        <v>Temu Roti</v>
      </c>
      <c r="T1358" s="2" t="str">
        <f>IFERROR(__xludf.DUMMYFUNCTION("""COMPUTED_VALUE"""),"Owner")</f>
        <v>Owner</v>
      </c>
      <c r="U1358" s="2"/>
      <c r="V1358" s="2"/>
      <c r="W1358" s="2" t="str">
        <f>IFERROR(__xludf.DUMMYFUNCTION("""COMPUTED_VALUE"""),"Manis pedas")</f>
        <v>Manis pedas</v>
      </c>
      <c r="X1358" s="2" t="str">
        <f>IFERROR(__xludf.DUMMYFUNCTION("""COMPUTED_VALUE"""),"Closed")</f>
        <v>Closed</v>
      </c>
    </row>
    <row r="1359">
      <c r="A1359" s="3" t="s">
        <v>1369</v>
      </c>
      <c r="B1359" s="4">
        <f>IFERROR(__xludf.DUMMYFUNCTION("SPLIT(A1359,"","",0,0)"),45538.86597222222)</f>
        <v>45538.86597</v>
      </c>
      <c r="C1359" s="5">
        <f>IFERROR(__xludf.DUMMYFUNCTION("""COMPUTED_VALUE"""),2606403.0)</f>
        <v>2606403</v>
      </c>
      <c r="D1359" s="2" t="str">
        <f>IFERROR(__xludf.DUMMYFUNCTION("""COMPUTED_VALUE"""),"Refund")</f>
        <v>Refund</v>
      </c>
      <c r="E1359" s="2" t="str">
        <f>IFERROR(__xludf.DUMMYFUNCTION("""COMPUTED_VALUE"""),"Roti")</f>
        <v>Roti</v>
      </c>
      <c r="F1359" s="2">
        <f>IFERROR(__xludf.DUMMYFUNCTION("""COMPUTED_VALUE"""),10007.0)</f>
        <v>10007</v>
      </c>
      <c r="G1359" s="2" t="str">
        <f>IFERROR(__xludf.DUMMYFUNCTION("""COMPUTED_VALUE"""),"Roti cranberry 2 pcs")</f>
        <v>Roti cranberry 2 pcs</v>
      </c>
      <c r="H1359" s="2"/>
      <c r="I1359" s="2"/>
      <c r="J1359" s="2">
        <f>IFERROR(__xludf.DUMMYFUNCTION("""COMPUTED_VALUE"""),-1.0)</f>
        <v>-1</v>
      </c>
      <c r="K1359" s="6">
        <f>IFERROR(__xludf.DUMMYFUNCTION("""COMPUTED_VALUE"""),-33810.0)</f>
        <v>-33810</v>
      </c>
      <c r="L1359" s="2">
        <f>IFERROR(__xludf.DUMMYFUNCTION("""COMPUTED_VALUE"""),0.0)</f>
        <v>0</v>
      </c>
      <c r="M1359" s="2">
        <f>IFERROR(__xludf.DUMMYFUNCTION("""COMPUTED_VALUE"""),-33810.0)</f>
        <v>-33810</v>
      </c>
      <c r="N1359" s="2">
        <f>IFERROR(__xludf.DUMMYFUNCTION("""COMPUTED_VALUE"""),0.0)</f>
        <v>0</v>
      </c>
      <c r="O1359" s="2">
        <f>IFERROR(__xludf.DUMMYFUNCTION("""COMPUTED_VALUE"""),-33810.0)</f>
        <v>-33810</v>
      </c>
      <c r="P1359" s="2">
        <f>IFERROR(__xludf.DUMMYFUNCTION("""COMPUTED_VALUE"""),-1691.0)</f>
        <v>-1691</v>
      </c>
      <c r="Q1359" s="2" t="str">
        <f>IFERROR(__xludf.DUMMYFUNCTION("""COMPUTED_VALUE"""),"Dine In")</f>
        <v>Dine In</v>
      </c>
      <c r="R1359" s="2" t="str">
        <f>IFERROR(__xludf.DUMMYFUNCTION("""COMPUTED_VALUE"""),"Kedai")</f>
        <v>Kedai</v>
      </c>
      <c r="S1359" s="2" t="str">
        <f>IFERROR(__xludf.DUMMYFUNCTION("""COMPUTED_VALUE"""),"Temu Roti")</f>
        <v>Temu Roti</v>
      </c>
      <c r="T1359" s="2" t="str">
        <f>IFERROR(__xludf.DUMMYFUNCTION("""COMPUTED_VALUE"""),"Owner")</f>
        <v>Owner</v>
      </c>
      <c r="U1359" s="2"/>
      <c r="V1359" s="2"/>
      <c r="W1359" s="2"/>
      <c r="X1359" s="2" t="str">
        <f>IFERROR(__xludf.DUMMYFUNCTION("""COMPUTED_VALUE"""),"Closed")</f>
        <v>Closed</v>
      </c>
    </row>
    <row r="1360">
      <c r="A1360" s="3" t="s">
        <v>1370</v>
      </c>
      <c r="B1360" s="4">
        <f>IFERROR(__xludf.DUMMYFUNCTION("SPLIT(A1360,"","",0,0)"),45538.865277777775)</f>
        <v>45538.86528</v>
      </c>
      <c r="C1360" s="5">
        <f>IFERROR(__xludf.DUMMYFUNCTION("""COMPUTED_VALUE"""),2606038.0)</f>
        <v>2606038</v>
      </c>
      <c r="D1360" s="2" t="str">
        <f>IFERROR(__xludf.DUMMYFUNCTION("""COMPUTED_VALUE"""),"Sale")</f>
        <v>Sale</v>
      </c>
      <c r="E1360" s="2" t="str">
        <f>IFERROR(__xludf.DUMMYFUNCTION("""COMPUTED_VALUE"""),"Roti")</f>
        <v>Roti</v>
      </c>
      <c r="F1360" s="2">
        <f>IFERROR(__xludf.DUMMYFUNCTION("""COMPUTED_VALUE"""),10000.0)</f>
        <v>10000</v>
      </c>
      <c r="G1360" s="2" t="str">
        <f>IFERROR(__xludf.DUMMYFUNCTION("""COMPUTED_VALUE"""),"Roti Bawang Saus Keju")</f>
        <v>Roti Bawang Saus Keju</v>
      </c>
      <c r="H1360" s="2"/>
      <c r="I1360" s="2"/>
      <c r="J1360" s="2">
        <f>IFERROR(__xludf.DUMMYFUNCTION("""COMPUTED_VALUE"""),1.0)</f>
        <v>1</v>
      </c>
      <c r="K1360" s="6">
        <f>IFERROR(__xludf.DUMMYFUNCTION("""COMPUTED_VALUE"""),29524.0)</f>
        <v>29524</v>
      </c>
      <c r="L1360" s="2">
        <f>IFERROR(__xludf.DUMMYFUNCTION("""COMPUTED_VALUE"""),0.0)</f>
        <v>0</v>
      </c>
      <c r="M1360" s="2">
        <f>IFERROR(__xludf.DUMMYFUNCTION("""COMPUTED_VALUE"""),29524.0)</f>
        <v>29524</v>
      </c>
      <c r="N1360" s="2">
        <f>IFERROR(__xludf.DUMMYFUNCTION("""COMPUTED_VALUE"""),0.0)</f>
        <v>0</v>
      </c>
      <c r="O1360" s="2">
        <f>IFERROR(__xludf.DUMMYFUNCTION("""COMPUTED_VALUE"""),29524.0)</f>
        <v>29524</v>
      </c>
      <c r="P1360" s="2">
        <f>IFERROR(__xludf.DUMMYFUNCTION("""COMPUTED_VALUE"""),1476.0)</f>
        <v>1476</v>
      </c>
      <c r="Q1360" s="2" t="str">
        <f>IFERROR(__xludf.DUMMYFUNCTION("""COMPUTED_VALUE"""),"Dine In")</f>
        <v>Dine In</v>
      </c>
      <c r="R1360" s="2" t="str">
        <f>IFERROR(__xludf.DUMMYFUNCTION("""COMPUTED_VALUE"""),"Kedai")</f>
        <v>Kedai</v>
      </c>
      <c r="S1360" s="2" t="str">
        <f>IFERROR(__xludf.DUMMYFUNCTION("""COMPUTED_VALUE"""),"Temu Roti")</f>
        <v>Temu Roti</v>
      </c>
      <c r="T1360" s="2" t="str">
        <f>IFERROR(__xludf.DUMMYFUNCTION("""COMPUTED_VALUE"""),"Owner")</f>
        <v>Owner</v>
      </c>
      <c r="U1360" s="2"/>
      <c r="V1360" s="2"/>
      <c r="W1360" s="2"/>
      <c r="X1360" s="2" t="str">
        <f>IFERROR(__xludf.DUMMYFUNCTION("""COMPUTED_VALUE"""),"Closed")</f>
        <v>Closed</v>
      </c>
    </row>
    <row r="1361">
      <c r="A1361" s="3" t="s">
        <v>1371</v>
      </c>
      <c r="B1361" s="4">
        <f>IFERROR(__xludf.DUMMYFUNCTION("SPLIT(A1361,"","",0,0)"),45538.865277777775)</f>
        <v>45538.86528</v>
      </c>
      <c r="C1361" s="5">
        <f>IFERROR(__xludf.DUMMYFUNCTION("""COMPUTED_VALUE"""),2606038.0)</f>
        <v>2606038</v>
      </c>
      <c r="D1361" s="2" t="str">
        <f>IFERROR(__xludf.DUMMYFUNCTION("""COMPUTED_VALUE"""),"Sale")</f>
        <v>Sale</v>
      </c>
      <c r="E1361" s="2" t="str">
        <f>IFERROR(__xludf.DUMMYFUNCTION("""COMPUTED_VALUE"""),"Minuman")</f>
        <v>Minuman</v>
      </c>
      <c r="F1361" s="2">
        <f>IFERROR(__xludf.DUMMYFUNCTION("""COMPUTED_VALUE"""),10128.0)</f>
        <v>10128</v>
      </c>
      <c r="G1361" s="2" t="str">
        <f>IFERROR(__xludf.DUMMYFUNCTION("""COMPUTED_VALUE"""),"Es Kopi Susu")</f>
        <v>Es Kopi Susu</v>
      </c>
      <c r="H1361" s="2"/>
      <c r="I1361" s="2"/>
      <c r="J1361" s="2">
        <f>IFERROR(__xludf.DUMMYFUNCTION("""COMPUTED_VALUE"""),1.0)</f>
        <v>1</v>
      </c>
      <c r="K1361" s="6">
        <f>IFERROR(__xludf.DUMMYFUNCTION("""COMPUTED_VALUE"""),23333.0)</f>
        <v>23333</v>
      </c>
      <c r="L1361" s="2">
        <f>IFERROR(__xludf.DUMMYFUNCTION("""COMPUTED_VALUE"""),0.0)</f>
        <v>0</v>
      </c>
      <c r="M1361" s="2">
        <f>IFERROR(__xludf.DUMMYFUNCTION("""COMPUTED_VALUE"""),23333.0)</f>
        <v>23333</v>
      </c>
      <c r="N1361" s="2">
        <f>IFERROR(__xludf.DUMMYFUNCTION("""COMPUTED_VALUE"""),0.0)</f>
        <v>0</v>
      </c>
      <c r="O1361" s="2">
        <f>IFERROR(__xludf.DUMMYFUNCTION("""COMPUTED_VALUE"""),23333.0)</f>
        <v>23333</v>
      </c>
      <c r="P1361" s="2">
        <f>IFERROR(__xludf.DUMMYFUNCTION("""COMPUTED_VALUE"""),1167.0)</f>
        <v>1167</v>
      </c>
      <c r="Q1361" s="2" t="str">
        <f>IFERROR(__xludf.DUMMYFUNCTION("""COMPUTED_VALUE"""),"Dine In")</f>
        <v>Dine In</v>
      </c>
      <c r="R1361" s="2" t="str">
        <f>IFERROR(__xludf.DUMMYFUNCTION("""COMPUTED_VALUE"""),"Kedai")</f>
        <v>Kedai</v>
      </c>
      <c r="S1361" s="2" t="str">
        <f>IFERROR(__xludf.DUMMYFUNCTION("""COMPUTED_VALUE"""),"Temu Roti")</f>
        <v>Temu Roti</v>
      </c>
      <c r="T1361" s="2" t="str">
        <f>IFERROR(__xludf.DUMMYFUNCTION("""COMPUTED_VALUE"""),"Owner")</f>
        <v>Owner</v>
      </c>
      <c r="U1361" s="2"/>
      <c r="V1361" s="2"/>
      <c r="W1361" s="2"/>
      <c r="X1361" s="2" t="str">
        <f>IFERROR(__xludf.DUMMYFUNCTION("""COMPUTED_VALUE"""),"Closed")</f>
        <v>Closed</v>
      </c>
    </row>
    <row r="1362">
      <c r="A1362" s="3" t="s">
        <v>1372</v>
      </c>
      <c r="B1362" s="4">
        <f>IFERROR(__xludf.DUMMYFUNCTION("SPLIT(A1362,"","",0,0)"),45538.865277777775)</f>
        <v>45538.86528</v>
      </c>
      <c r="C1362" s="5">
        <f>IFERROR(__xludf.DUMMYFUNCTION("""COMPUTED_VALUE"""),2606038.0)</f>
        <v>2606038</v>
      </c>
      <c r="D1362" s="2" t="str">
        <f>IFERROR(__xludf.DUMMYFUNCTION("""COMPUTED_VALUE"""),"Sale")</f>
        <v>Sale</v>
      </c>
      <c r="E1362" s="2" t="str">
        <f>IFERROR(__xludf.DUMMYFUNCTION("""COMPUTED_VALUE"""),"Kudapan")</f>
        <v>Kudapan</v>
      </c>
      <c r="F1362" s="2">
        <f>IFERROR(__xludf.DUMMYFUNCTION("""COMPUTED_VALUE"""),10009.0)</f>
        <v>10009</v>
      </c>
      <c r="G1362" s="2" t="str">
        <f>IFERROR(__xludf.DUMMYFUNCTION("""COMPUTED_VALUE"""),"Jamur Enoki Krispi")</f>
        <v>Jamur Enoki Krispi</v>
      </c>
      <c r="H1362" s="2"/>
      <c r="I1362" s="2"/>
      <c r="J1362" s="2">
        <f>IFERROR(__xludf.DUMMYFUNCTION("""COMPUTED_VALUE"""),1.0)</f>
        <v>1</v>
      </c>
      <c r="K1362" s="6">
        <f>IFERROR(__xludf.DUMMYFUNCTION("""COMPUTED_VALUE"""),26667.0)</f>
        <v>26667</v>
      </c>
      <c r="L1362" s="2">
        <f>IFERROR(__xludf.DUMMYFUNCTION("""COMPUTED_VALUE"""),0.0)</f>
        <v>0</v>
      </c>
      <c r="M1362" s="2">
        <f>IFERROR(__xludf.DUMMYFUNCTION("""COMPUTED_VALUE"""),26667.0)</f>
        <v>26667</v>
      </c>
      <c r="N1362" s="2">
        <f>IFERROR(__xludf.DUMMYFUNCTION("""COMPUTED_VALUE"""),0.0)</f>
        <v>0</v>
      </c>
      <c r="O1362" s="2">
        <f>IFERROR(__xludf.DUMMYFUNCTION("""COMPUTED_VALUE"""),26667.0)</f>
        <v>26667</v>
      </c>
      <c r="P1362" s="2">
        <f>IFERROR(__xludf.DUMMYFUNCTION("""COMPUTED_VALUE"""),1333.0)</f>
        <v>1333</v>
      </c>
      <c r="Q1362" s="2" t="str">
        <f>IFERROR(__xludf.DUMMYFUNCTION("""COMPUTED_VALUE"""),"Dine In")</f>
        <v>Dine In</v>
      </c>
      <c r="R1362" s="2" t="str">
        <f>IFERROR(__xludf.DUMMYFUNCTION("""COMPUTED_VALUE"""),"Kedai")</f>
        <v>Kedai</v>
      </c>
      <c r="S1362" s="2" t="str">
        <f>IFERROR(__xludf.DUMMYFUNCTION("""COMPUTED_VALUE"""),"Temu Roti")</f>
        <v>Temu Roti</v>
      </c>
      <c r="T1362" s="2" t="str">
        <f>IFERROR(__xludf.DUMMYFUNCTION("""COMPUTED_VALUE"""),"Owner")</f>
        <v>Owner</v>
      </c>
      <c r="U1362" s="2"/>
      <c r="V1362" s="2"/>
      <c r="W1362" s="2"/>
      <c r="X1362" s="2" t="str">
        <f>IFERROR(__xludf.DUMMYFUNCTION("""COMPUTED_VALUE"""),"Closed")</f>
        <v>Closed</v>
      </c>
    </row>
    <row r="1363">
      <c r="A1363" s="3" t="s">
        <v>1373</v>
      </c>
      <c r="B1363" s="4">
        <f>IFERROR(__xludf.DUMMYFUNCTION("SPLIT(A1363,"","",0,0)"),45538.865277777775)</f>
        <v>45538.86528</v>
      </c>
      <c r="C1363" s="5">
        <f>IFERROR(__xludf.DUMMYFUNCTION("""COMPUTED_VALUE"""),2605673.0)</f>
        <v>2605673</v>
      </c>
      <c r="D1363" s="2" t="str">
        <f>IFERROR(__xludf.DUMMYFUNCTION("""COMPUTED_VALUE"""),"Refund")</f>
        <v>Refund</v>
      </c>
      <c r="E1363" s="2" t="str">
        <f>IFERROR(__xludf.DUMMYFUNCTION("""COMPUTED_VALUE"""),"Minuman")</f>
        <v>Minuman</v>
      </c>
      <c r="F1363" s="2">
        <f>IFERROR(__xludf.DUMMYFUNCTION("""COMPUTED_VALUE"""),10128.0)</f>
        <v>10128</v>
      </c>
      <c r="G1363" s="2" t="str">
        <f>IFERROR(__xludf.DUMMYFUNCTION("""COMPUTED_VALUE"""),"Es Kopi Susu")</f>
        <v>Es Kopi Susu</v>
      </c>
      <c r="H1363" s="2"/>
      <c r="I1363" s="2"/>
      <c r="J1363" s="2">
        <f>IFERROR(__xludf.DUMMYFUNCTION("""COMPUTED_VALUE"""),-1.0)</f>
        <v>-1</v>
      </c>
      <c r="K1363" s="6">
        <f>IFERROR(__xludf.DUMMYFUNCTION("""COMPUTED_VALUE"""),-23333.0)</f>
        <v>-23333</v>
      </c>
      <c r="L1363" s="2">
        <f>IFERROR(__xludf.DUMMYFUNCTION("""COMPUTED_VALUE"""),0.0)</f>
        <v>0</v>
      </c>
      <c r="M1363" s="2">
        <f>IFERROR(__xludf.DUMMYFUNCTION("""COMPUTED_VALUE"""),-23333.0)</f>
        <v>-23333</v>
      </c>
      <c r="N1363" s="2">
        <f>IFERROR(__xludf.DUMMYFUNCTION("""COMPUTED_VALUE"""),0.0)</f>
        <v>0</v>
      </c>
      <c r="O1363" s="2">
        <f>IFERROR(__xludf.DUMMYFUNCTION("""COMPUTED_VALUE"""),-23333.0)</f>
        <v>-23333</v>
      </c>
      <c r="P1363" s="2">
        <f>IFERROR(__xludf.DUMMYFUNCTION("""COMPUTED_VALUE"""),-1167.0)</f>
        <v>-1167</v>
      </c>
      <c r="Q1363" s="2" t="str">
        <f>IFERROR(__xludf.DUMMYFUNCTION("""COMPUTED_VALUE"""),"Dine In")</f>
        <v>Dine In</v>
      </c>
      <c r="R1363" s="2" t="str">
        <f>IFERROR(__xludf.DUMMYFUNCTION("""COMPUTED_VALUE"""),"Kedai")</f>
        <v>Kedai</v>
      </c>
      <c r="S1363" s="2" t="str">
        <f>IFERROR(__xludf.DUMMYFUNCTION("""COMPUTED_VALUE"""),"Temu Roti")</f>
        <v>Temu Roti</v>
      </c>
      <c r="T1363" s="2" t="str">
        <f>IFERROR(__xludf.DUMMYFUNCTION("""COMPUTED_VALUE"""),"Owner")</f>
        <v>Owner</v>
      </c>
      <c r="U1363" s="2"/>
      <c r="V1363" s="2"/>
      <c r="W1363" s="2"/>
      <c r="X1363" s="2" t="str">
        <f>IFERROR(__xludf.DUMMYFUNCTION("""COMPUTED_VALUE"""),"Closed")</f>
        <v>Closed</v>
      </c>
    </row>
    <row r="1364">
      <c r="A1364" s="3" t="s">
        <v>1374</v>
      </c>
      <c r="B1364" s="4">
        <f>IFERROR(__xludf.DUMMYFUNCTION("SPLIT(A1364,"","",0,0)"),45538.865277777775)</f>
        <v>45538.86528</v>
      </c>
      <c r="C1364" s="5">
        <f>IFERROR(__xludf.DUMMYFUNCTION("""COMPUTED_VALUE"""),2605673.0)</f>
        <v>2605673</v>
      </c>
      <c r="D1364" s="2" t="str">
        <f>IFERROR(__xludf.DUMMYFUNCTION("""COMPUTED_VALUE"""),"Refund")</f>
        <v>Refund</v>
      </c>
      <c r="E1364" s="2" t="str">
        <f>IFERROR(__xludf.DUMMYFUNCTION("""COMPUTED_VALUE"""),"Kudapan")</f>
        <v>Kudapan</v>
      </c>
      <c r="F1364" s="2">
        <f>IFERROR(__xludf.DUMMYFUNCTION("""COMPUTED_VALUE"""),10009.0)</f>
        <v>10009</v>
      </c>
      <c r="G1364" s="2" t="str">
        <f>IFERROR(__xludf.DUMMYFUNCTION("""COMPUTED_VALUE"""),"Jamur Enoki Krispi")</f>
        <v>Jamur Enoki Krispi</v>
      </c>
      <c r="H1364" s="2"/>
      <c r="I1364" s="2"/>
      <c r="J1364" s="2">
        <f>IFERROR(__xludf.DUMMYFUNCTION("""COMPUTED_VALUE"""),-1.0)</f>
        <v>-1</v>
      </c>
      <c r="K1364" s="6">
        <f>IFERROR(__xludf.DUMMYFUNCTION("""COMPUTED_VALUE"""),-26667.0)</f>
        <v>-26667</v>
      </c>
      <c r="L1364" s="2">
        <f>IFERROR(__xludf.DUMMYFUNCTION("""COMPUTED_VALUE"""),0.0)</f>
        <v>0</v>
      </c>
      <c r="M1364" s="2">
        <f>IFERROR(__xludf.DUMMYFUNCTION("""COMPUTED_VALUE"""),-26667.0)</f>
        <v>-26667</v>
      </c>
      <c r="N1364" s="2">
        <f>IFERROR(__xludf.DUMMYFUNCTION("""COMPUTED_VALUE"""),0.0)</f>
        <v>0</v>
      </c>
      <c r="O1364" s="2">
        <f>IFERROR(__xludf.DUMMYFUNCTION("""COMPUTED_VALUE"""),-26667.0)</f>
        <v>-26667</v>
      </c>
      <c r="P1364" s="2">
        <f>IFERROR(__xludf.DUMMYFUNCTION("""COMPUTED_VALUE"""),-1333.0)</f>
        <v>-1333</v>
      </c>
      <c r="Q1364" s="2" t="str">
        <f>IFERROR(__xludf.DUMMYFUNCTION("""COMPUTED_VALUE"""),"Dine In")</f>
        <v>Dine In</v>
      </c>
      <c r="R1364" s="2" t="str">
        <f>IFERROR(__xludf.DUMMYFUNCTION("""COMPUTED_VALUE"""),"Kedai")</f>
        <v>Kedai</v>
      </c>
      <c r="S1364" s="2" t="str">
        <f>IFERROR(__xludf.DUMMYFUNCTION("""COMPUTED_VALUE"""),"Temu Roti")</f>
        <v>Temu Roti</v>
      </c>
      <c r="T1364" s="2" t="str">
        <f>IFERROR(__xludf.DUMMYFUNCTION("""COMPUTED_VALUE"""),"Owner")</f>
        <v>Owner</v>
      </c>
      <c r="U1364" s="2"/>
      <c r="V1364" s="2"/>
      <c r="W1364" s="2"/>
      <c r="X1364" s="2" t="str">
        <f>IFERROR(__xludf.DUMMYFUNCTION("""COMPUTED_VALUE"""),"Closed")</f>
        <v>Closed</v>
      </c>
    </row>
    <row r="1365">
      <c r="A1365" s="3" t="s">
        <v>1375</v>
      </c>
      <c r="B1365" s="4">
        <f>IFERROR(__xludf.DUMMYFUNCTION("SPLIT(A1365,"","",0,0)"),45538.865277777775)</f>
        <v>45538.86528</v>
      </c>
      <c r="C1365" s="5">
        <f>IFERROR(__xludf.DUMMYFUNCTION("""COMPUTED_VALUE"""),2605673.0)</f>
        <v>2605673</v>
      </c>
      <c r="D1365" s="2" t="str">
        <f>IFERROR(__xludf.DUMMYFUNCTION("""COMPUTED_VALUE"""),"Refund")</f>
        <v>Refund</v>
      </c>
      <c r="E1365" s="2" t="str">
        <f>IFERROR(__xludf.DUMMYFUNCTION("""COMPUTED_VALUE"""),"Roti")</f>
        <v>Roti</v>
      </c>
      <c r="F1365" s="2">
        <f>IFERROR(__xludf.DUMMYFUNCTION("""COMPUTED_VALUE"""),10000.0)</f>
        <v>10000</v>
      </c>
      <c r="G1365" s="2" t="str">
        <f>IFERROR(__xludf.DUMMYFUNCTION("""COMPUTED_VALUE"""),"Roti Bawang Saus Keju")</f>
        <v>Roti Bawang Saus Keju</v>
      </c>
      <c r="H1365" s="2"/>
      <c r="I1365" s="2"/>
      <c r="J1365" s="2">
        <f>IFERROR(__xludf.DUMMYFUNCTION("""COMPUTED_VALUE"""),-1.0)</f>
        <v>-1</v>
      </c>
      <c r="K1365" s="6">
        <f>IFERROR(__xludf.DUMMYFUNCTION("""COMPUTED_VALUE"""),-29524.0)</f>
        <v>-29524</v>
      </c>
      <c r="L1365" s="2">
        <f>IFERROR(__xludf.DUMMYFUNCTION("""COMPUTED_VALUE"""),0.0)</f>
        <v>0</v>
      </c>
      <c r="M1365" s="2">
        <f>IFERROR(__xludf.DUMMYFUNCTION("""COMPUTED_VALUE"""),-29524.0)</f>
        <v>-29524</v>
      </c>
      <c r="N1365" s="2">
        <f>IFERROR(__xludf.DUMMYFUNCTION("""COMPUTED_VALUE"""),0.0)</f>
        <v>0</v>
      </c>
      <c r="O1365" s="2">
        <f>IFERROR(__xludf.DUMMYFUNCTION("""COMPUTED_VALUE"""),-29524.0)</f>
        <v>-29524</v>
      </c>
      <c r="P1365" s="2">
        <f>IFERROR(__xludf.DUMMYFUNCTION("""COMPUTED_VALUE"""),-1476.0)</f>
        <v>-1476</v>
      </c>
      <c r="Q1365" s="2" t="str">
        <f>IFERROR(__xludf.DUMMYFUNCTION("""COMPUTED_VALUE"""),"Dine In")</f>
        <v>Dine In</v>
      </c>
      <c r="R1365" s="2" t="str">
        <f>IFERROR(__xludf.DUMMYFUNCTION("""COMPUTED_VALUE"""),"Kedai")</f>
        <v>Kedai</v>
      </c>
      <c r="S1365" s="2" t="str">
        <f>IFERROR(__xludf.DUMMYFUNCTION("""COMPUTED_VALUE"""),"Temu Roti")</f>
        <v>Temu Roti</v>
      </c>
      <c r="T1365" s="2" t="str">
        <f>IFERROR(__xludf.DUMMYFUNCTION("""COMPUTED_VALUE"""),"Owner")</f>
        <v>Owner</v>
      </c>
      <c r="U1365" s="2"/>
      <c r="V1365" s="2"/>
      <c r="W1365" s="2"/>
      <c r="X1365" s="2" t="str">
        <f>IFERROR(__xludf.DUMMYFUNCTION("""COMPUTED_VALUE"""),"Closed")</f>
        <v>Closed</v>
      </c>
    </row>
    <row r="1366">
      <c r="A1366" s="3" t="s">
        <v>1376</v>
      </c>
      <c r="B1366" s="4">
        <f>IFERROR(__xludf.DUMMYFUNCTION("SPLIT(A1366,"","",0,0)"),45538.84027777778)</f>
        <v>45538.84028</v>
      </c>
      <c r="C1366" s="5">
        <f>IFERROR(__xludf.DUMMYFUNCTION("""COMPUTED_VALUE"""),2605308.0)</f>
        <v>2605308</v>
      </c>
      <c r="D1366" s="2" t="str">
        <f>IFERROR(__xludf.DUMMYFUNCTION("""COMPUTED_VALUE"""),"Sale")</f>
        <v>Sale</v>
      </c>
      <c r="E1366" s="2" t="str">
        <f>IFERROR(__xludf.DUMMYFUNCTION("""COMPUTED_VALUE"""),"Roti")</f>
        <v>Roti</v>
      </c>
      <c r="F1366" s="2">
        <f>IFERROR(__xludf.DUMMYFUNCTION("""COMPUTED_VALUE"""),10007.0)</f>
        <v>10007</v>
      </c>
      <c r="G1366" s="2" t="str">
        <f>IFERROR(__xludf.DUMMYFUNCTION("""COMPUTED_VALUE"""),"Roti cranberry 2 pcs")</f>
        <v>Roti cranberry 2 pcs</v>
      </c>
      <c r="H1366" s="2"/>
      <c r="I1366" s="2"/>
      <c r="J1366" s="2">
        <f>IFERROR(__xludf.DUMMYFUNCTION("""COMPUTED_VALUE"""),1.0)</f>
        <v>1</v>
      </c>
      <c r="K1366" s="6">
        <f>IFERROR(__xludf.DUMMYFUNCTION("""COMPUTED_VALUE"""),33810.0)</f>
        <v>33810</v>
      </c>
      <c r="L1366" s="2">
        <f>IFERROR(__xludf.DUMMYFUNCTION("""COMPUTED_VALUE"""),0.0)</f>
        <v>0</v>
      </c>
      <c r="M1366" s="2">
        <f>IFERROR(__xludf.DUMMYFUNCTION("""COMPUTED_VALUE"""),33810.0)</f>
        <v>33810</v>
      </c>
      <c r="N1366" s="2">
        <f>IFERROR(__xludf.DUMMYFUNCTION("""COMPUTED_VALUE"""),0.0)</f>
        <v>0</v>
      </c>
      <c r="O1366" s="2">
        <f>IFERROR(__xludf.DUMMYFUNCTION("""COMPUTED_VALUE"""),33810.0)</f>
        <v>33810</v>
      </c>
      <c r="P1366" s="2">
        <f>IFERROR(__xludf.DUMMYFUNCTION("""COMPUTED_VALUE"""),1691.0)</f>
        <v>1691</v>
      </c>
      <c r="Q1366" s="2" t="str">
        <f>IFERROR(__xludf.DUMMYFUNCTION("""COMPUTED_VALUE"""),"Take Away")</f>
        <v>Take Away</v>
      </c>
      <c r="R1366" s="2" t="str">
        <f>IFERROR(__xludf.DUMMYFUNCTION("""COMPUTED_VALUE"""),"Kedai")</f>
        <v>Kedai</v>
      </c>
      <c r="S1366" s="2" t="str">
        <f>IFERROR(__xludf.DUMMYFUNCTION("""COMPUTED_VALUE"""),"Temu Roti")</f>
        <v>Temu Roti</v>
      </c>
      <c r="T1366" s="2" t="str">
        <f>IFERROR(__xludf.DUMMYFUNCTION("""COMPUTED_VALUE"""),"Owner")</f>
        <v>Owner</v>
      </c>
      <c r="U1366" s="2"/>
      <c r="V1366" s="2"/>
      <c r="W1366" s="2"/>
      <c r="X1366" s="2" t="str">
        <f>IFERROR(__xludf.DUMMYFUNCTION("""COMPUTED_VALUE"""),"Closed")</f>
        <v>Closed</v>
      </c>
    </row>
    <row r="1367">
      <c r="A1367" s="3" t="s">
        <v>1377</v>
      </c>
      <c r="B1367" s="4">
        <f>IFERROR(__xludf.DUMMYFUNCTION("SPLIT(A1367,"","",0,0)"),45538.84027777778)</f>
        <v>45538.84028</v>
      </c>
      <c r="C1367" s="5">
        <f>IFERROR(__xludf.DUMMYFUNCTION("""COMPUTED_VALUE"""),2605308.0)</f>
        <v>2605308</v>
      </c>
      <c r="D1367" s="2" t="str">
        <f>IFERROR(__xludf.DUMMYFUNCTION("""COMPUTED_VALUE"""),"Sale")</f>
        <v>Sale</v>
      </c>
      <c r="E1367" s="2" t="str">
        <f>IFERROR(__xludf.DUMMYFUNCTION("""COMPUTED_VALUE"""),"Roti")</f>
        <v>Roti</v>
      </c>
      <c r="F1367" s="2">
        <f>IFERROR(__xludf.DUMMYFUNCTION("""COMPUTED_VALUE"""),10002.0)</f>
        <v>10002</v>
      </c>
      <c r="G1367" s="2" t="str">
        <f>IFERROR(__xludf.DUMMYFUNCTION("""COMPUTED_VALUE"""),"Roti Cranberry")</f>
        <v>Roti Cranberry</v>
      </c>
      <c r="H1367" s="2"/>
      <c r="I1367" s="2"/>
      <c r="J1367" s="2">
        <f>IFERROR(__xludf.DUMMYFUNCTION("""COMPUTED_VALUE"""),1.0)</f>
        <v>1</v>
      </c>
      <c r="K1367" s="6">
        <f>IFERROR(__xludf.DUMMYFUNCTION("""COMPUTED_VALUE"""),18571.0)</f>
        <v>18571</v>
      </c>
      <c r="L1367" s="2">
        <f>IFERROR(__xludf.DUMMYFUNCTION("""COMPUTED_VALUE"""),0.0)</f>
        <v>0</v>
      </c>
      <c r="M1367" s="2">
        <f>IFERROR(__xludf.DUMMYFUNCTION("""COMPUTED_VALUE"""),18571.0)</f>
        <v>18571</v>
      </c>
      <c r="N1367" s="2">
        <f>IFERROR(__xludf.DUMMYFUNCTION("""COMPUTED_VALUE"""),0.0)</f>
        <v>0</v>
      </c>
      <c r="O1367" s="2">
        <f>IFERROR(__xludf.DUMMYFUNCTION("""COMPUTED_VALUE"""),18571.0)</f>
        <v>18571</v>
      </c>
      <c r="P1367" s="2">
        <f>IFERROR(__xludf.DUMMYFUNCTION("""COMPUTED_VALUE"""),928.0)</f>
        <v>928</v>
      </c>
      <c r="Q1367" s="2" t="str">
        <f>IFERROR(__xludf.DUMMYFUNCTION("""COMPUTED_VALUE"""),"Take Away")</f>
        <v>Take Away</v>
      </c>
      <c r="R1367" s="2" t="str">
        <f>IFERROR(__xludf.DUMMYFUNCTION("""COMPUTED_VALUE"""),"Kedai")</f>
        <v>Kedai</v>
      </c>
      <c r="S1367" s="2" t="str">
        <f>IFERROR(__xludf.DUMMYFUNCTION("""COMPUTED_VALUE"""),"Temu Roti")</f>
        <v>Temu Roti</v>
      </c>
      <c r="T1367" s="2" t="str">
        <f>IFERROR(__xludf.DUMMYFUNCTION("""COMPUTED_VALUE"""),"Owner")</f>
        <v>Owner</v>
      </c>
      <c r="U1367" s="2"/>
      <c r="V1367" s="2"/>
      <c r="W1367" s="2"/>
      <c r="X1367" s="2" t="str">
        <f>IFERROR(__xludf.DUMMYFUNCTION("""COMPUTED_VALUE"""),"Closed")</f>
        <v>Closed</v>
      </c>
    </row>
    <row r="1368">
      <c r="A1368" s="3" t="s">
        <v>1378</v>
      </c>
      <c r="B1368" s="4">
        <f>IFERROR(__xludf.DUMMYFUNCTION("SPLIT(A1368,"","",0,0)"),45538.84027777778)</f>
        <v>45538.84028</v>
      </c>
      <c r="C1368" s="5">
        <f>IFERROR(__xludf.DUMMYFUNCTION("""COMPUTED_VALUE"""),2605308.0)</f>
        <v>2605308</v>
      </c>
      <c r="D1368" s="2" t="str">
        <f>IFERROR(__xludf.DUMMYFUNCTION("""COMPUTED_VALUE"""),"Sale")</f>
        <v>Sale</v>
      </c>
      <c r="E1368" s="2" t="str">
        <f>IFERROR(__xludf.DUMMYFUNCTION("""COMPUTED_VALUE"""),"Minuman")</f>
        <v>Minuman</v>
      </c>
      <c r="F1368" s="2">
        <f>IFERROR(__xludf.DUMMYFUNCTION("""COMPUTED_VALUE"""),10107.0)</f>
        <v>10107</v>
      </c>
      <c r="G1368" s="2" t="str">
        <f>IFERROR(__xludf.DUMMYFUNCTION("""COMPUTED_VALUE"""),"Korean Mango Fresh Milk")</f>
        <v>Korean Mango Fresh Milk</v>
      </c>
      <c r="H1368" s="2"/>
      <c r="I1368" s="2"/>
      <c r="J1368" s="2">
        <f>IFERROR(__xludf.DUMMYFUNCTION("""COMPUTED_VALUE"""),1.0)</f>
        <v>1</v>
      </c>
      <c r="K1368" s="6">
        <f>IFERROR(__xludf.DUMMYFUNCTION("""COMPUTED_VALUE"""),26667.0)</f>
        <v>26667</v>
      </c>
      <c r="L1368" s="2">
        <f>IFERROR(__xludf.DUMMYFUNCTION("""COMPUTED_VALUE"""),0.0)</f>
        <v>0</v>
      </c>
      <c r="M1368" s="2">
        <f>IFERROR(__xludf.DUMMYFUNCTION("""COMPUTED_VALUE"""),26667.0)</f>
        <v>26667</v>
      </c>
      <c r="N1368" s="2">
        <f>IFERROR(__xludf.DUMMYFUNCTION("""COMPUTED_VALUE"""),0.0)</f>
        <v>0</v>
      </c>
      <c r="O1368" s="2">
        <f>IFERROR(__xludf.DUMMYFUNCTION("""COMPUTED_VALUE"""),26667.0)</f>
        <v>26667</v>
      </c>
      <c r="P1368" s="2">
        <f>IFERROR(__xludf.DUMMYFUNCTION("""COMPUTED_VALUE"""),1333.0)</f>
        <v>1333</v>
      </c>
      <c r="Q1368" s="2" t="str">
        <f>IFERROR(__xludf.DUMMYFUNCTION("""COMPUTED_VALUE"""),"Take Away")</f>
        <v>Take Away</v>
      </c>
      <c r="R1368" s="2" t="str">
        <f>IFERROR(__xludf.DUMMYFUNCTION("""COMPUTED_VALUE"""),"Kedai")</f>
        <v>Kedai</v>
      </c>
      <c r="S1368" s="2" t="str">
        <f>IFERROR(__xludf.DUMMYFUNCTION("""COMPUTED_VALUE"""),"Temu Roti")</f>
        <v>Temu Roti</v>
      </c>
      <c r="T1368" s="2" t="str">
        <f>IFERROR(__xludf.DUMMYFUNCTION("""COMPUTED_VALUE"""),"Owner")</f>
        <v>Owner</v>
      </c>
      <c r="U1368" s="2"/>
      <c r="V1368" s="2"/>
      <c r="W1368" s="2"/>
      <c r="X1368" s="2" t="str">
        <f>IFERROR(__xludf.DUMMYFUNCTION("""COMPUTED_VALUE"""),"Closed")</f>
        <v>Closed</v>
      </c>
    </row>
    <row r="1369">
      <c r="A1369" s="3" t="s">
        <v>1379</v>
      </c>
      <c r="B1369" s="4">
        <f>IFERROR(__xludf.DUMMYFUNCTION("SPLIT(A1369,"","",0,0)"),45538.836805555555)</f>
        <v>45538.83681</v>
      </c>
      <c r="C1369" s="5">
        <f>IFERROR(__xludf.DUMMYFUNCTION("""COMPUTED_VALUE"""),2604942.0)</f>
        <v>2604942</v>
      </c>
      <c r="D1369" s="2" t="str">
        <f>IFERROR(__xludf.DUMMYFUNCTION("""COMPUTED_VALUE"""),"Sale")</f>
        <v>Sale</v>
      </c>
      <c r="E1369" s="2" t="str">
        <f>IFERROR(__xludf.DUMMYFUNCTION("""COMPUTED_VALUE"""),"Roti")</f>
        <v>Roti</v>
      </c>
      <c r="F1369" s="2">
        <f>IFERROR(__xludf.DUMMYFUNCTION("""COMPUTED_VALUE"""),10007.0)</f>
        <v>10007</v>
      </c>
      <c r="G1369" s="2" t="str">
        <f>IFERROR(__xludf.DUMMYFUNCTION("""COMPUTED_VALUE"""),"Roti cranberry 2 pcs")</f>
        <v>Roti cranberry 2 pcs</v>
      </c>
      <c r="H1369" s="2"/>
      <c r="I1369" s="2"/>
      <c r="J1369" s="2">
        <f>IFERROR(__xludf.DUMMYFUNCTION("""COMPUTED_VALUE"""),1.0)</f>
        <v>1</v>
      </c>
      <c r="K1369" s="6">
        <f>IFERROR(__xludf.DUMMYFUNCTION("""COMPUTED_VALUE"""),33810.0)</f>
        <v>33810</v>
      </c>
      <c r="L1369" s="2">
        <f>IFERROR(__xludf.DUMMYFUNCTION("""COMPUTED_VALUE"""),0.0)</f>
        <v>0</v>
      </c>
      <c r="M1369" s="2">
        <f>IFERROR(__xludf.DUMMYFUNCTION("""COMPUTED_VALUE"""),33810.0)</f>
        <v>33810</v>
      </c>
      <c r="N1369" s="2">
        <f>IFERROR(__xludf.DUMMYFUNCTION("""COMPUTED_VALUE"""),0.0)</f>
        <v>0</v>
      </c>
      <c r="O1369" s="2">
        <f>IFERROR(__xludf.DUMMYFUNCTION("""COMPUTED_VALUE"""),33810.0)</f>
        <v>33810</v>
      </c>
      <c r="P1369" s="2">
        <f>IFERROR(__xludf.DUMMYFUNCTION("""COMPUTED_VALUE"""),1691.0)</f>
        <v>1691</v>
      </c>
      <c r="Q1369" s="2" t="str">
        <f>IFERROR(__xludf.DUMMYFUNCTION("""COMPUTED_VALUE"""),"Dine In")</f>
        <v>Dine In</v>
      </c>
      <c r="R1369" s="2" t="str">
        <f>IFERROR(__xludf.DUMMYFUNCTION("""COMPUTED_VALUE"""),"Kedai")</f>
        <v>Kedai</v>
      </c>
      <c r="S1369" s="2" t="str">
        <f>IFERROR(__xludf.DUMMYFUNCTION("""COMPUTED_VALUE"""),"Temu Roti")</f>
        <v>Temu Roti</v>
      </c>
      <c r="T1369" s="2" t="str">
        <f>IFERROR(__xludf.DUMMYFUNCTION("""COMPUTED_VALUE"""),"Owner")</f>
        <v>Owner</v>
      </c>
      <c r="U1369" s="2"/>
      <c r="V1369" s="2"/>
      <c r="W1369" s="2"/>
      <c r="X1369" s="2" t="str">
        <f>IFERROR(__xludf.DUMMYFUNCTION("""COMPUTED_VALUE"""),"Closed")</f>
        <v>Closed</v>
      </c>
    </row>
    <row r="1370">
      <c r="A1370" s="3" t="s">
        <v>1380</v>
      </c>
      <c r="B1370" s="4">
        <f>IFERROR(__xludf.DUMMYFUNCTION("SPLIT(A1370,"","",0,0)"),45538.83194444444)</f>
        <v>45538.83194</v>
      </c>
      <c r="C1370" s="5">
        <f>IFERROR(__xludf.DUMMYFUNCTION("""COMPUTED_VALUE"""),2604577.0)</f>
        <v>2604577</v>
      </c>
      <c r="D1370" s="2" t="str">
        <f>IFERROR(__xludf.DUMMYFUNCTION("""COMPUTED_VALUE"""),"Sale")</f>
        <v>Sale</v>
      </c>
      <c r="E1370" s="2" t="str">
        <f>IFERROR(__xludf.DUMMYFUNCTION("""COMPUTED_VALUE"""),"Minuman")</f>
        <v>Minuman</v>
      </c>
      <c r="F1370" s="2">
        <f>IFERROR(__xludf.DUMMYFUNCTION("""COMPUTED_VALUE"""),10128.0)</f>
        <v>10128</v>
      </c>
      <c r="G1370" s="2" t="str">
        <f>IFERROR(__xludf.DUMMYFUNCTION("""COMPUTED_VALUE"""),"Es Kopi Susu")</f>
        <v>Es Kopi Susu</v>
      </c>
      <c r="H1370" s="2"/>
      <c r="I1370" s="2"/>
      <c r="J1370" s="2">
        <f>IFERROR(__xludf.DUMMYFUNCTION("""COMPUTED_VALUE"""),1.0)</f>
        <v>1</v>
      </c>
      <c r="K1370" s="6">
        <f>IFERROR(__xludf.DUMMYFUNCTION("""COMPUTED_VALUE"""),23333.0)</f>
        <v>23333</v>
      </c>
      <c r="L1370" s="2">
        <f>IFERROR(__xludf.DUMMYFUNCTION("""COMPUTED_VALUE"""),0.0)</f>
        <v>0</v>
      </c>
      <c r="M1370" s="2">
        <f>IFERROR(__xludf.DUMMYFUNCTION("""COMPUTED_VALUE"""),23333.0)</f>
        <v>23333</v>
      </c>
      <c r="N1370" s="2">
        <f>IFERROR(__xludf.DUMMYFUNCTION("""COMPUTED_VALUE"""),0.0)</f>
        <v>0</v>
      </c>
      <c r="O1370" s="2">
        <f>IFERROR(__xludf.DUMMYFUNCTION("""COMPUTED_VALUE"""),23333.0)</f>
        <v>23333</v>
      </c>
      <c r="P1370" s="2">
        <f>IFERROR(__xludf.DUMMYFUNCTION("""COMPUTED_VALUE"""),1167.0)</f>
        <v>1167</v>
      </c>
      <c r="Q1370" s="2" t="str">
        <f>IFERROR(__xludf.DUMMYFUNCTION("""COMPUTED_VALUE"""),"Dine In")</f>
        <v>Dine In</v>
      </c>
      <c r="R1370" s="2" t="str">
        <f>IFERROR(__xludf.DUMMYFUNCTION("""COMPUTED_VALUE"""),"Kedai")</f>
        <v>Kedai</v>
      </c>
      <c r="S1370" s="2" t="str">
        <f>IFERROR(__xludf.DUMMYFUNCTION("""COMPUTED_VALUE"""),"Temu Roti")</f>
        <v>Temu Roti</v>
      </c>
      <c r="T1370" s="2" t="str">
        <f>IFERROR(__xludf.DUMMYFUNCTION("""COMPUTED_VALUE"""),"Owner")</f>
        <v>Owner</v>
      </c>
      <c r="U1370" s="2"/>
      <c r="V1370" s="2"/>
      <c r="W1370" s="2"/>
      <c r="X1370" s="2" t="str">
        <f>IFERROR(__xludf.DUMMYFUNCTION("""COMPUTED_VALUE"""),"Closed")</f>
        <v>Closed</v>
      </c>
    </row>
    <row r="1371">
      <c r="A1371" s="3" t="s">
        <v>1381</v>
      </c>
      <c r="B1371" s="4">
        <f>IFERROR(__xludf.DUMMYFUNCTION("SPLIT(A1371,"","",0,0)"),45538.83194444444)</f>
        <v>45538.83194</v>
      </c>
      <c r="C1371" s="5">
        <f>IFERROR(__xludf.DUMMYFUNCTION("""COMPUTED_VALUE"""),2604577.0)</f>
        <v>2604577</v>
      </c>
      <c r="D1371" s="2" t="str">
        <f>IFERROR(__xludf.DUMMYFUNCTION("""COMPUTED_VALUE"""),"Sale")</f>
        <v>Sale</v>
      </c>
      <c r="E1371" s="2" t="str">
        <f>IFERROR(__xludf.DUMMYFUNCTION("""COMPUTED_VALUE"""),"Kudapan")</f>
        <v>Kudapan</v>
      </c>
      <c r="F1371" s="2">
        <f>IFERROR(__xludf.DUMMYFUNCTION("""COMPUTED_VALUE"""),10009.0)</f>
        <v>10009</v>
      </c>
      <c r="G1371" s="2" t="str">
        <f>IFERROR(__xludf.DUMMYFUNCTION("""COMPUTED_VALUE"""),"Jamur Enoki Krispi")</f>
        <v>Jamur Enoki Krispi</v>
      </c>
      <c r="H1371" s="2"/>
      <c r="I1371" s="2"/>
      <c r="J1371" s="2">
        <f>IFERROR(__xludf.DUMMYFUNCTION("""COMPUTED_VALUE"""),1.0)</f>
        <v>1</v>
      </c>
      <c r="K1371" s="6">
        <f>IFERROR(__xludf.DUMMYFUNCTION("""COMPUTED_VALUE"""),26667.0)</f>
        <v>26667</v>
      </c>
      <c r="L1371" s="2">
        <f>IFERROR(__xludf.DUMMYFUNCTION("""COMPUTED_VALUE"""),0.0)</f>
        <v>0</v>
      </c>
      <c r="M1371" s="2">
        <f>IFERROR(__xludf.DUMMYFUNCTION("""COMPUTED_VALUE"""),26667.0)</f>
        <v>26667</v>
      </c>
      <c r="N1371" s="2">
        <f>IFERROR(__xludf.DUMMYFUNCTION("""COMPUTED_VALUE"""),0.0)</f>
        <v>0</v>
      </c>
      <c r="O1371" s="2">
        <f>IFERROR(__xludf.DUMMYFUNCTION("""COMPUTED_VALUE"""),26667.0)</f>
        <v>26667</v>
      </c>
      <c r="P1371" s="2">
        <f>IFERROR(__xludf.DUMMYFUNCTION("""COMPUTED_VALUE"""),1333.0)</f>
        <v>1333</v>
      </c>
      <c r="Q1371" s="2" t="str">
        <f>IFERROR(__xludf.DUMMYFUNCTION("""COMPUTED_VALUE"""),"Dine In")</f>
        <v>Dine In</v>
      </c>
      <c r="R1371" s="2" t="str">
        <f>IFERROR(__xludf.DUMMYFUNCTION("""COMPUTED_VALUE"""),"Kedai")</f>
        <v>Kedai</v>
      </c>
      <c r="S1371" s="2" t="str">
        <f>IFERROR(__xludf.DUMMYFUNCTION("""COMPUTED_VALUE"""),"Temu Roti")</f>
        <v>Temu Roti</v>
      </c>
      <c r="T1371" s="2" t="str">
        <f>IFERROR(__xludf.DUMMYFUNCTION("""COMPUTED_VALUE"""),"Owner")</f>
        <v>Owner</v>
      </c>
      <c r="U1371" s="2"/>
      <c r="V1371" s="2"/>
      <c r="W1371" s="2"/>
      <c r="X1371" s="2" t="str">
        <f>IFERROR(__xludf.DUMMYFUNCTION("""COMPUTED_VALUE"""),"Closed")</f>
        <v>Closed</v>
      </c>
    </row>
    <row r="1372">
      <c r="A1372" s="3" t="s">
        <v>1382</v>
      </c>
      <c r="B1372" s="4">
        <f>IFERROR(__xludf.DUMMYFUNCTION("SPLIT(A1372,"","",0,0)"),45538.83194444444)</f>
        <v>45538.83194</v>
      </c>
      <c r="C1372" s="5">
        <f>IFERROR(__xludf.DUMMYFUNCTION("""COMPUTED_VALUE"""),2604577.0)</f>
        <v>2604577</v>
      </c>
      <c r="D1372" s="2" t="str">
        <f>IFERROR(__xludf.DUMMYFUNCTION("""COMPUTED_VALUE"""),"Sale")</f>
        <v>Sale</v>
      </c>
      <c r="E1372" s="2" t="str">
        <f>IFERROR(__xludf.DUMMYFUNCTION("""COMPUTED_VALUE"""),"Roti")</f>
        <v>Roti</v>
      </c>
      <c r="F1372" s="2">
        <f>IFERROR(__xludf.DUMMYFUNCTION("""COMPUTED_VALUE"""),10000.0)</f>
        <v>10000</v>
      </c>
      <c r="G1372" s="2" t="str">
        <f>IFERROR(__xludf.DUMMYFUNCTION("""COMPUTED_VALUE"""),"Roti Bawang Saus Keju")</f>
        <v>Roti Bawang Saus Keju</v>
      </c>
      <c r="H1372" s="2"/>
      <c r="I1372" s="2"/>
      <c r="J1372" s="2">
        <f>IFERROR(__xludf.DUMMYFUNCTION("""COMPUTED_VALUE"""),1.0)</f>
        <v>1</v>
      </c>
      <c r="K1372" s="6">
        <f>IFERROR(__xludf.DUMMYFUNCTION("""COMPUTED_VALUE"""),29524.0)</f>
        <v>29524</v>
      </c>
      <c r="L1372" s="2">
        <f>IFERROR(__xludf.DUMMYFUNCTION("""COMPUTED_VALUE"""),0.0)</f>
        <v>0</v>
      </c>
      <c r="M1372" s="2">
        <f>IFERROR(__xludf.DUMMYFUNCTION("""COMPUTED_VALUE"""),29524.0)</f>
        <v>29524</v>
      </c>
      <c r="N1372" s="2">
        <f>IFERROR(__xludf.DUMMYFUNCTION("""COMPUTED_VALUE"""),0.0)</f>
        <v>0</v>
      </c>
      <c r="O1372" s="2">
        <f>IFERROR(__xludf.DUMMYFUNCTION("""COMPUTED_VALUE"""),29524.0)</f>
        <v>29524</v>
      </c>
      <c r="P1372" s="2">
        <f>IFERROR(__xludf.DUMMYFUNCTION("""COMPUTED_VALUE"""),1476.0)</f>
        <v>1476</v>
      </c>
      <c r="Q1372" s="2" t="str">
        <f>IFERROR(__xludf.DUMMYFUNCTION("""COMPUTED_VALUE"""),"Dine In")</f>
        <v>Dine In</v>
      </c>
      <c r="R1372" s="2" t="str">
        <f>IFERROR(__xludf.DUMMYFUNCTION("""COMPUTED_VALUE"""),"Kedai")</f>
        <v>Kedai</v>
      </c>
      <c r="S1372" s="2" t="str">
        <f>IFERROR(__xludf.DUMMYFUNCTION("""COMPUTED_VALUE"""),"Temu Roti")</f>
        <v>Temu Roti</v>
      </c>
      <c r="T1372" s="2" t="str">
        <f>IFERROR(__xludf.DUMMYFUNCTION("""COMPUTED_VALUE"""),"Owner")</f>
        <v>Owner</v>
      </c>
      <c r="U1372" s="2"/>
      <c r="V1372" s="2"/>
      <c r="W1372" s="2"/>
      <c r="X1372" s="2" t="str">
        <f>IFERROR(__xludf.DUMMYFUNCTION("""COMPUTED_VALUE"""),"Closed")</f>
        <v>Closed</v>
      </c>
    </row>
    <row r="1373">
      <c r="A1373" s="3" t="s">
        <v>1383</v>
      </c>
      <c r="B1373" s="4">
        <f>IFERROR(__xludf.DUMMYFUNCTION("SPLIT(A1373,"","",0,0)"),45538.82986111111)</f>
        <v>45538.82986</v>
      </c>
      <c r="C1373" s="5">
        <f>IFERROR(__xludf.DUMMYFUNCTION("""COMPUTED_VALUE"""),2604212.0)</f>
        <v>2604212</v>
      </c>
      <c r="D1373" s="2" t="str">
        <f>IFERROR(__xludf.DUMMYFUNCTION("""COMPUTED_VALUE"""),"Sale")</f>
        <v>Sale</v>
      </c>
      <c r="E1373" s="2" t="str">
        <f>IFERROR(__xludf.DUMMYFUNCTION("""COMPUTED_VALUE"""),"Roti")</f>
        <v>Roti</v>
      </c>
      <c r="F1373" s="2">
        <f>IFERROR(__xludf.DUMMYFUNCTION("""COMPUTED_VALUE"""),10033.0)</f>
        <v>10033</v>
      </c>
      <c r="G1373" s="2" t="str">
        <f>IFERROR(__xludf.DUMMYFUNCTION("""COMPUTED_VALUE"""),"Roti panggang sarikaya")</f>
        <v>Roti panggang sarikaya</v>
      </c>
      <c r="H1373" s="2"/>
      <c r="I1373" s="2"/>
      <c r="J1373" s="2">
        <f>IFERROR(__xludf.DUMMYFUNCTION("""COMPUTED_VALUE"""),1.0)</f>
        <v>1</v>
      </c>
      <c r="K1373" s="6">
        <f>IFERROR(__xludf.DUMMYFUNCTION("""COMPUTED_VALUE"""),21905.0)</f>
        <v>21905</v>
      </c>
      <c r="L1373" s="2">
        <f>IFERROR(__xludf.DUMMYFUNCTION("""COMPUTED_VALUE"""),0.0)</f>
        <v>0</v>
      </c>
      <c r="M1373" s="2">
        <f>IFERROR(__xludf.DUMMYFUNCTION("""COMPUTED_VALUE"""),21905.0)</f>
        <v>21905</v>
      </c>
      <c r="N1373" s="2">
        <f>IFERROR(__xludf.DUMMYFUNCTION("""COMPUTED_VALUE"""),0.0)</f>
        <v>0</v>
      </c>
      <c r="O1373" s="2">
        <f>IFERROR(__xludf.DUMMYFUNCTION("""COMPUTED_VALUE"""),21905.0)</f>
        <v>21905</v>
      </c>
      <c r="P1373" s="2">
        <f>IFERROR(__xludf.DUMMYFUNCTION("""COMPUTED_VALUE"""),1095.0)</f>
        <v>1095</v>
      </c>
      <c r="Q1373" s="2" t="str">
        <f>IFERROR(__xludf.DUMMYFUNCTION("""COMPUTED_VALUE"""),"Dine In")</f>
        <v>Dine In</v>
      </c>
      <c r="R1373" s="2" t="str">
        <f>IFERROR(__xludf.DUMMYFUNCTION("""COMPUTED_VALUE"""),"Kedai")</f>
        <v>Kedai</v>
      </c>
      <c r="S1373" s="2" t="str">
        <f>IFERROR(__xludf.DUMMYFUNCTION("""COMPUTED_VALUE"""),"Temu Roti")</f>
        <v>Temu Roti</v>
      </c>
      <c r="T1373" s="2" t="str">
        <f>IFERROR(__xludf.DUMMYFUNCTION("""COMPUTED_VALUE"""),"Owner")</f>
        <v>Owner</v>
      </c>
      <c r="U1373" s="2"/>
      <c r="V1373" s="2"/>
      <c r="W1373" s="2" t="str">
        <f>IFERROR(__xludf.DUMMYFUNCTION("""COMPUTED_VALUE"""),"Sarikaya sedikit")</f>
        <v>Sarikaya sedikit</v>
      </c>
      <c r="X1373" s="2" t="str">
        <f>IFERROR(__xludf.DUMMYFUNCTION("""COMPUTED_VALUE"""),"Closed")</f>
        <v>Closed</v>
      </c>
    </row>
    <row r="1374">
      <c r="A1374" s="3" t="s">
        <v>1384</v>
      </c>
      <c r="B1374" s="4">
        <f>IFERROR(__xludf.DUMMYFUNCTION("SPLIT(A1374,"","",0,0)"),45538.82986111111)</f>
        <v>45538.82986</v>
      </c>
      <c r="C1374" s="5">
        <f>IFERROR(__xludf.DUMMYFUNCTION("""COMPUTED_VALUE"""),2604212.0)</f>
        <v>2604212</v>
      </c>
      <c r="D1374" s="2" t="str">
        <f>IFERROR(__xludf.DUMMYFUNCTION("""COMPUTED_VALUE"""),"Sale")</f>
        <v>Sale</v>
      </c>
      <c r="E1374" s="2" t="str">
        <f>IFERROR(__xludf.DUMMYFUNCTION("""COMPUTED_VALUE"""),"Kudapan")</f>
        <v>Kudapan</v>
      </c>
      <c r="F1374" s="2">
        <f>IFERROR(__xludf.DUMMYFUNCTION("""COMPUTED_VALUE"""),10004.0)</f>
        <v>10004</v>
      </c>
      <c r="G1374" s="2" t="str">
        <f>IFERROR(__xludf.DUMMYFUNCTION("""COMPUTED_VALUE"""),"Tahu walik")</f>
        <v>Tahu walik</v>
      </c>
      <c r="H1374" s="2"/>
      <c r="I1374" s="2"/>
      <c r="J1374" s="2">
        <f>IFERROR(__xludf.DUMMYFUNCTION("""COMPUTED_VALUE"""),1.0)</f>
        <v>1</v>
      </c>
      <c r="K1374" s="6">
        <f>IFERROR(__xludf.DUMMYFUNCTION("""COMPUTED_VALUE"""),25238.0)</f>
        <v>25238</v>
      </c>
      <c r="L1374" s="2">
        <f>IFERROR(__xludf.DUMMYFUNCTION("""COMPUTED_VALUE"""),0.0)</f>
        <v>0</v>
      </c>
      <c r="M1374" s="2">
        <f>IFERROR(__xludf.DUMMYFUNCTION("""COMPUTED_VALUE"""),25238.0)</f>
        <v>25238</v>
      </c>
      <c r="N1374" s="2">
        <f>IFERROR(__xludf.DUMMYFUNCTION("""COMPUTED_VALUE"""),0.0)</f>
        <v>0</v>
      </c>
      <c r="O1374" s="2">
        <f>IFERROR(__xludf.DUMMYFUNCTION("""COMPUTED_VALUE"""),25238.0)</f>
        <v>25238</v>
      </c>
      <c r="P1374" s="2">
        <f>IFERROR(__xludf.DUMMYFUNCTION("""COMPUTED_VALUE"""),1262.0)</f>
        <v>1262</v>
      </c>
      <c r="Q1374" s="2" t="str">
        <f>IFERROR(__xludf.DUMMYFUNCTION("""COMPUTED_VALUE"""),"Dine In")</f>
        <v>Dine In</v>
      </c>
      <c r="R1374" s="2" t="str">
        <f>IFERROR(__xludf.DUMMYFUNCTION("""COMPUTED_VALUE"""),"Kedai")</f>
        <v>Kedai</v>
      </c>
      <c r="S1374" s="2" t="str">
        <f>IFERROR(__xludf.DUMMYFUNCTION("""COMPUTED_VALUE"""),"Temu Roti")</f>
        <v>Temu Roti</v>
      </c>
      <c r="T1374" s="2" t="str">
        <f>IFERROR(__xludf.DUMMYFUNCTION("""COMPUTED_VALUE"""),"Owner")</f>
        <v>Owner</v>
      </c>
      <c r="U1374" s="2"/>
      <c r="V1374" s="2"/>
      <c r="W1374" s="2"/>
      <c r="X1374" s="2" t="str">
        <f>IFERROR(__xludf.DUMMYFUNCTION("""COMPUTED_VALUE"""),"Closed")</f>
        <v>Closed</v>
      </c>
    </row>
    <row r="1375">
      <c r="A1375" s="3" t="s">
        <v>1385</v>
      </c>
      <c r="B1375" s="4">
        <f>IFERROR(__xludf.DUMMYFUNCTION("SPLIT(A1375,"","",0,0)"),45538.82986111111)</f>
        <v>45538.82986</v>
      </c>
      <c r="C1375" s="5">
        <f>IFERROR(__xludf.DUMMYFUNCTION("""COMPUTED_VALUE"""),2604212.0)</f>
        <v>2604212</v>
      </c>
      <c r="D1375" s="2" t="str">
        <f>IFERROR(__xludf.DUMMYFUNCTION("""COMPUTED_VALUE"""),"Sale")</f>
        <v>Sale</v>
      </c>
      <c r="E1375" s="2" t="str">
        <f>IFERROR(__xludf.DUMMYFUNCTION("""COMPUTED_VALUE"""),"Hidangan Utama")</f>
        <v>Hidangan Utama</v>
      </c>
      <c r="F1375" s="2">
        <f>IFERROR(__xludf.DUMMYFUNCTION("""COMPUTED_VALUE"""),10012.0)</f>
        <v>10012</v>
      </c>
      <c r="G1375" s="2" t="str">
        <f>IFERROR(__xludf.DUMMYFUNCTION("""COMPUTED_VALUE"""),"Mie joglo")</f>
        <v>Mie joglo</v>
      </c>
      <c r="H1375" s="2"/>
      <c r="I1375" s="2"/>
      <c r="J1375" s="2">
        <f>IFERROR(__xludf.DUMMYFUNCTION("""COMPUTED_VALUE"""),1.0)</f>
        <v>1</v>
      </c>
      <c r="K1375" s="6">
        <f>IFERROR(__xludf.DUMMYFUNCTION("""COMPUTED_VALUE"""),29524.0)</f>
        <v>29524</v>
      </c>
      <c r="L1375" s="2">
        <f>IFERROR(__xludf.DUMMYFUNCTION("""COMPUTED_VALUE"""),0.0)</f>
        <v>0</v>
      </c>
      <c r="M1375" s="2">
        <f>IFERROR(__xludf.DUMMYFUNCTION("""COMPUTED_VALUE"""),29524.0)</f>
        <v>29524</v>
      </c>
      <c r="N1375" s="2">
        <f>IFERROR(__xludf.DUMMYFUNCTION("""COMPUTED_VALUE"""),0.0)</f>
        <v>0</v>
      </c>
      <c r="O1375" s="2">
        <f>IFERROR(__xludf.DUMMYFUNCTION("""COMPUTED_VALUE"""),29524.0)</f>
        <v>29524</v>
      </c>
      <c r="P1375" s="2">
        <f>IFERROR(__xludf.DUMMYFUNCTION("""COMPUTED_VALUE"""),1476.0)</f>
        <v>1476</v>
      </c>
      <c r="Q1375" s="2" t="str">
        <f>IFERROR(__xludf.DUMMYFUNCTION("""COMPUTED_VALUE"""),"Dine In")</f>
        <v>Dine In</v>
      </c>
      <c r="R1375" s="2" t="str">
        <f>IFERROR(__xludf.DUMMYFUNCTION("""COMPUTED_VALUE"""),"Kedai")</f>
        <v>Kedai</v>
      </c>
      <c r="S1375" s="2" t="str">
        <f>IFERROR(__xludf.DUMMYFUNCTION("""COMPUTED_VALUE"""),"Temu Roti")</f>
        <v>Temu Roti</v>
      </c>
      <c r="T1375" s="2" t="str">
        <f>IFERROR(__xludf.DUMMYFUNCTION("""COMPUTED_VALUE"""),"Owner")</f>
        <v>Owner</v>
      </c>
      <c r="U1375" s="2"/>
      <c r="V1375" s="2"/>
      <c r="W1375" s="2" t="str">
        <f>IFERROR(__xludf.DUMMYFUNCTION("""COMPUTED_VALUE"""),"Manis pedas")</f>
        <v>Manis pedas</v>
      </c>
      <c r="X1375" s="2" t="str">
        <f>IFERROR(__xludf.DUMMYFUNCTION("""COMPUTED_VALUE"""),"Closed")</f>
        <v>Closed</v>
      </c>
    </row>
    <row r="1376">
      <c r="A1376" s="3" t="s">
        <v>1386</v>
      </c>
      <c r="B1376" s="4">
        <f>IFERROR(__xludf.DUMMYFUNCTION("SPLIT(A1376,"","",0,0)"),45538.82986111111)</f>
        <v>45538.82986</v>
      </c>
      <c r="C1376" s="5">
        <f>IFERROR(__xludf.DUMMYFUNCTION("""COMPUTED_VALUE"""),2604212.0)</f>
        <v>2604212</v>
      </c>
      <c r="D1376" s="2" t="str">
        <f>IFERROR(__xludf.DUMMYFUNCTION("""COMPUTED_VALUE"""),"Sale")</f>
        <v>Sale</v>
      </c>
      <c r="E1376" s="2" t="str">
        <f>IFERROR(__xludf.DUMMYFUNCTION("""COMPUTED_VALUE"""),"Roti")</f>
        <v>Roti</v>
      </c>
      <c r="F1376" s="2">
        <f>IFERROR(__xludf.DUMMYFUNCTION("""COMPUTED_VALUE"""),10007.0)</f>
        <v>10007</v>
      </c>
      <c r="G1376" s="2" t="str">
        <f>IFERROR(__xludf.DUMMYFUNCTION("""COMPUTED_VALUE"""),"Roti cranberry 2 pcs")</f>
        <v>Roti cranberry 2 pcs</v>
      </c>
      <c r="H1376" s="2"/>
      <c r="I1376" s="2"/>
      <c r="J1376" s="2">
        <f>IFERROR(__xludf.DUMMYFUNCTION("""COMPUTED_VALUE"""),1.0)</f>
        <v>1</v>
      </c>
      <c r="K1376" s="6">
        <f>IFERROR(__xludf.DUMMYFUNCTION("""COMPUTED_VALUE"""),33810.0)</f>
        <v>33810</v>
      </c>
      <c r="L1376" s="2">
        <f>IFERROR(__xludf.DUMMYFUNCTION("""COMPUTED_VALUE"""),0.0)</f>
        <v>0</v>
      </c>
      <c r="M1376" s="2">
        <f>IFERROR(__xludf.DUMMYFUNCTION("""COMPUTED_VALUE"""),33810.0)</f>
        <v>33810</v>
      </c>
      <c r="N1376" s="2">
        <f>IFERROR(__xludf.DUMMYFUNCTION("""COMPUTED_VALUE"""),0.0)</f>
        <v>0</v>
      </c>
      <c r="O1376" s="2">
        <f>IFERROR(__xludf.DUMMYFUNCTION("""COMPUTED_VALUE"""),33810.0)</f>
        <v>33810</v>
      </c>
      <c r="P1376" s="2">
        <f>IFERROR(__xludf.DUMMYFUNCTION("""COMPUTED_VALUE"""),1691.0)</f>
        <v>1691</v>
      </c>
      <c r="Q1376" s="2" t="str">
        <f>IFERROR(__xludf.DUMMYFUNCTION("""COMPUTED_VALUE"""),"Dine In")</f>
        <v>Dine In</v>
      </c>
      <c r="R1376" s="2" t="str">
        <f>IFERROR(__xludf.DUMMYFUNCTION("""COMPUTED_VALUE"""),"Kedai")</f>
        <v>Kedai</v>
      </c>
      <c r="S1376" s="2" t="str">
        <f>IFERROR(__xludf.DUMMYFUNCTION("""COMPUTED_VALUE"""),"Temu Roti")</f>
        <v>Temu Roti</v>
      </c>
      <c r="T1376" s="2" t="str">
        <f>IFERROR(__xludf.DUMMYFUNCTION("""COMPUTED_VALUE"""),"Owner")</f>
        <v>Owner</v>
      </c>
      <c r="U1376" s="2"/>
      <c r="V1376" s="2"/>
      <c r="W1376" s="2"/>
      <c r="X1376" s="2" t="str">
        <f>IFERROR(__xludf.DUMMYFUNCTION("""COMPUTED_VALUE"""),"Closed")</f>
        <v>Closed</v>
      </c>
    </row>
    <row r="1377">
      <c r="A1377" s="3" t="s">
        <v>1387</v>
      </c>
      <c r="B1377" s="4">
        <f>IFERROR(__xludf.DUMMYFUNCTION("SPLIT(A1377,"","",0,0)"),45538.81875)</f>
        <v>45538.81875</v>
      </c>
      <c r="C1377" s="5">
        <f>IFERROR(__xludf.DUMMYFUNCTION("""COMPUTED_VALUE"""),2603847.0)</f>
        <v>2603847</v>
      </c>
      <c r="D1377" s="2" t="str">
        <f>IFERROR(__xludf.DUMMYFUNCTION("""COMPUTED_VALUE"""),"Sale")</f>
        <v>Sale</v>
      </c>
      <c r="E1377" s="2" t="str">
        <f>IFERROR(__xludf.DUMMYFUNCTION("""COMPUTED_VALUE"""),"Kudapan")</f>
        <v>Kudapan</v>
      </c>
      <c r="F1377" s="2">
        <f>IFERROR(__xludf.DUMMYFUNCTION("""COMPUTED_VALUE"""),10004.0)</f>
        <v>10004</v>
      </c>
      <c r="G1377" s="2" t="str">
        <f>IFERROR(__xludf.DUMMYFUNCTION("""COMPUTED_VALUE"""),"Tahu walik")</f>
        <v>Tahu walik</v>
      </c>
      <c r="H1377" s="2"/>
      <c r="I1377" s="2"/>
      <c r="J1377" s="2">
        <f>IFERROR(__xludf.DUMMYFUNCTION("""COMPUTED_VALUE"""),1.0)</f>
        <v>1</v>
      </c>
      <c r="K1377" s="6">
        <f>IFERROR(__xludf.DUMMYFUNCTION("""COMPUTED_VALUE"""),25238.0)</f>
        <v>25238</v>
      </c>
      <c r="L1377" s="2">
        <f>IFERROR(__xludf.DUMMYFUNCTION("""COMPUTED_VALUE"""),0.0)</f>
        <v>0</v>
      </c>
      <c r="M1377" s="2">
        <f>IFERROR(__xludf.DUMMYFUNCTION("""COMPUTED_VALUE"""),25238.0)</f>
        <v>25238</v>
      </c>
      <c r="N1377" s="2">
        <f>IFERROR(__xludf.DUMMYFUNCTION("""COMPUTED_VALUE"""),0.0)</f>
        <v>0</v>
      </c>
      <c r="O1377" s="2">
        <f>IFERROR(__xludf.DUMMYFUNCTION("""COMPUTED_VALUE"""),25238.0)</f>
        <v>25238</v>
      </c>
      <c r="P1377" s="2">
        <f>IFERROR(__xludf.DUMMYFUNCTION("""COMPUTED_VALUE"""),1262.0)</f>
        <v>1262</v>
      </c>
      <c r="Q1377" s="2" t="str">
        <f>IFERROR(__xludf.DUMMYFUNCTION("""COMPUTED_VALUE"""),"Dine In")</f>
        <v>Dine In</v>
      </c>
      <c r="R1377" s="2" t="str">
        <f>IFERROR(__xludf.DUMMYFUNCTION("""COMPUTED_VALUE"""),"Kedai")</f>
        <v>Kedai</v>
      </c>
      <c r="S1377" s="2" t="str">
        <f>IFERROR(__xludf.DUMMYFUNCTION("""COMPUTED_VALUE"""),"Temu Roti")</f>
        <v>Temu Roti</v>
      </c>
      <c r="T1377" s="2" t="str">
        <f>IFERROR(__xludf.DUMMYFUNCTION("""COMPUTED_VALUE"""),"Owner")</f>
        <v>Owner</v>
      </c>
      <c r="U1377" s="2"/>
      <c r="V1377" s="2"/>
      <c r="W1377" s="2"/>
      <c r="X1377" s="2" t="str">
        <f>IFERROR(__xludf.DUMMYFUNCTION("""COMPUTED_VALUE"""),"Closed")</f>
        <v>Closed</v>
      </c>
    </row>
    <row r="1378">
      <c r="A1378" s="3" t="s">
        <v>1388</v>
      </c>
      <c r="B1378" s="4">
        <f>IFERROR(__xludf.DUMMYFUNCTION("SPLIT(A1378,"","",0,0)"),45538.81875)</f>
        <v>45538.81875</v>
      </c>
      <c r="C1378" s="5">
        <f>IFERROR(__xludf.DUMMYFUNCTION("""COMPUTED_VALUE"""),2603847.0)</f>
        <v>2603847</v>
      </c>
      <c r="D1378" s="2" t="str">
        <f>IFERROR(__xludf.DUMMYFUNCTION("""COMPUTED_VALUE"""),"Sale")</f>
        <v>Sale</v>
      </c>
      <c r="E1378" s="2" t="str">
        <f>IFERROR(__xludf.DUMMYFUNCTION("""COMPUTED_VALUE"""),"Minuman")</f>
        <v>Minuman</v>
      </c>
      <c r="F1378" s="2">
        <f>IFERROR(__xludf.DUMMYFUNCTION("""COMPUTED_VALUE"""),10112.0)</f>
        <v>10112</v>
      </c>
      <c r="G1378" s="2" t="str">
        <f>IFERROR(__xludf.DUMMYFUNCTION("""COMPUTED_VALUE"""),"Air mineral")</f>
        <v>Air mineral</v>
      </c>
      <c r="H1378" s="2"/>
      <c r="I1378" s="2"/>
      <c r="J1378" s="2">
        <f>IFERROR(__xludf.DUMMYFUNCTION("""COMPUTED_VALUE"""),1.0)</f>
        <v>1</v>
      </c>
      <c r="K1378" s="6">
        <f>IFERROR(__xludf.DUMMYFUNCTION("""COMPUTED_VALUE"""),6667.0)</f>
        <v>6667</v>
      </c>
      <c r="L1378" s="2">
        <f>IFERROR(__xludf.DUMMYFUNCTION("""COMPUTED_VALUE"""),0.0)</f>
        <v>0</v>
      </c>
      <c r="M1378" s="2">
        <f>IFERROR(__xludf.DUMMYFUNCTION("""COMPUTED_VALUE"""),6667.0)</f>
        <v>6667</v>
      </c>
      <c r="N1378" s="2">
        <f>IFERROR(__xludf.DUMMYFUNCTION("""COMPUTED_VALUE"""),0.0)</f>
        <v>0</v>
      </c>
      <c r="O1378" s="2">
        <f>IFERROR(__xludf.DUMMYFUNCTION("""COMPUTED_VALUE"""),6667.0)</f>
        <v>6667</v>
      </c>
      <c r="P1378" s="2">
        <f>IFERROR(__xludf.DUMMYFUNCTION("""COMPUTED_VALUE"""),333.0)</f>
        <v>333</v>
      </c>
      <c r="Q1378" s="2" t="str">
        <f>IFERROR(__xludf.DUMMYFUNCTION("""COMPUTED_VALUE"""),"Dine In")</f>
        <v>Dine In</v>
      </c>
      <c r="R1378" s="2" t="str">
        <f>IFERROR(__xludf.DUMMYFUNCTION("""COMPUTED_VALUE"""),"Kedai")</f>
        <v>Kedai</v>
      </c>
      <c r="S1378" s="2" t="str">
        <f>IFERROR(__xludf.DUMMYFUNCTION("""COMPUTED_VALUE"""),"Temu Roti")</f>
        <v>Temu Roti</v>
      </c>
      <c r="T1378" s="2" t="str">
        <f>IFERROR(__xludf.DUMMYFUNCTION("""COMPUTED_VALUE"""),"Owner")</f>
        <v>Owner</v>
      </c>
      <c r="U1378" s="2"/>
      <c r="V1378" s="2"/>
      <c r="W1378" s="2"/>
      <c r="X1378" s="2" t="str">
        <f>IFERROR(__xludf.DUMMYFUNCTION("""COMPUTED_VALUE"""),"Closed")</f>
        <v>Closed</v>
      </c>
    </row>
    <row r="1379">
      <c r="A1379" s="3" t="s">
        <v>1389</v>
      </c>
      <c r="B1379" s="4">
        <f>IFERROR(__xludf.DUMMYFUNCTION("SPLIT(A1379,"","",0,0)"),45538.81875)</f>
        <v>45538.81875</v>
      </c>
      <c r="C1379" s="5">
        <f>IFERROR(__xludf.DUMMYFUNCTION("""COMPUTED_VALUE"""),2603847.0)</f>
        <v>2603847</v>
      </c>
      <c r="D1379" s="2" t="str">
        <f>IFERROR(__xludf.DUMMYFUNCTION("""COMPUTED_VALUE"""),"Sale")</f>
        <v>Sale</v>
      </c>
      <c r="E1379" s="2" t="str">
        <f>IFERROR(__xludf.DUMMYFUNCTION("""COMPUTED_VALUE"""),"Kudapan")</f>
        <v>Kudapan</v>
      </c>
      <c r="F1379" s="2">
        <f>IFERROR(__xludf.DUMMYFUNCTION("""COMPUTED_VALUE"""),10015.0)</f>
        <v>10015</v>
      </c>
      <c r="G1379" s="2" t="str">
        <f>IFERROR(__xludf.DUMMYFUNCTION("""COMPUTED_VALUE"""),"Tahu Lada Garam")</f>
        <v>Tahu Lada Garam</v>
      </c>
      <c r="H1379" s="2"/>
      <c r="I1379" s="2"/>
      <c r="J1379" s="2">
        <f>IFERROR(__xludf.DUMMYFUNCTION("""COMPUTED_VALUE"""),1.0)</f>
        <v>1</v>
      </c>
      <c r="K1379" s="6">
        <f>IFERROR(__xludf.DUMMYFUNCTION("""COMPUTED_VALUE"""),25238.0)</f>
        <v>25238</v>
      </c>
      <c r="L1379" s="2">
        <f>IFERROR(__xludf.DUMMYFUNCTION("""COMPUTED_VALUE"""),0.0)</f>
        <v>0</v>
      </c>
      <c r="M1379" s="2">
        <f>IFERROR(__xludf.DUMMYFUNCTION("""COMPUTED_VALUE"""),25238.0)</f>
        <v>25238</v>
      </c>
      <c r="N1379" s="2">
        <f>IFERROR(__xludf.DUMMYFUNCTION("""COMPUTED_VALUE"""),0.0)</f>
        <v>0</v>
      </c>
      <c r="O1379" s="2">
        <f>IFERROR(__xludf.DUMMYFUNCTION("""COMPUTED_VALUE"""),25238.0)</f>
        <v>25238</v>
      </c>
      <c r="P1379" s="2">
        <f>IFERROR(__xludf.DUMMYFUNCTION("""COMPUTED_VALUE"""),1262.0)</f>
        <v>1262</v>
      </c>
      <c r="Q1379" s="2" t="str">
        <f>IFERROR(__xludf.DUMMYFUNCTION("""COMPUTED_VALUE"""),"Dine In")</f>
        <v>Dine In</v>
      </c>
      <c r="R1379" s="2" t="str">
        <f>IFERROR(__xludf.DUMMYFUNCTION("""COMPUTED_VALUE"""),"Kedai")</f>
        <v>Kedai</v>
      </c>
      <c r="S1379" s="2" t="str">
        <f>IFERROR(__xludf.DUMMYFUNCTION("""COMPUTED_VALUE"""),"Temu Roti")</f>
        <v>Temu Roti</v>
      </c>
      <c r="T1379" s="2" t="str">
        <f>IFERROR(__xludf.DUMMYFUNCTION("""COMPUTED_VALUE"""),"Owner")</f>
        <v>Owner</v>
      </c>
      <c r="U1379" s="2"/>
      <c r="V1379" s="2"/>
      <c r="W1379" s="2"/>
      <c r="X1379" s="2" t="str">
        <f>IFERROR(__xludf.DUMMYFUNCTION("""COMPUTED_VALUE"""),"Closed")</f>
        <v>Closed</v>
      </c>
    </row>
    <row r="1380">
      <c r="A1380" s="3" t="s">
        <v>1390</v>
      </c>
      <c r="B1380" s="4">
        <f>IFERROR(__xludf.DUMMYFUNCTION("SPLIT(A1380,"","",0,0)"),45538.81875)</f>
        <v>45538.81875</v>
      </c>
      <c r="C1380" s="5">
        <f>IFERROR(__xludf.DUMMYFUNCTION("""COMPUTED_VALUE"""),2603847.0)</f>
        <v>2603847</v>
      </c>
      <c r="D1380" s="2" t="str">
        <f>IFERROR(__xludf.DUMMYFUNCTION("""COMPUTED_VALUE"""),"Sale")</f>
        <v>Sale</v>
      </c>
      <c r="E1380" s="2" t="str">
        <f>IFERROR(__xludf.DUMMYFUNCTION("""COMPUTED_VALUE"""),"Kudapan")</f>
        <v>Kudapan</v>
      </c>
      <c r="F1380" s="2">
        <f>IFERROR(__xludf.DUMMYFUNCTION("""COMPUTED_VALUE"""),10051.0)</f>
        <v>10051</v>
      </c>
      <c r="G1380" s="2" t="str">
        <f>IFERROR(__xludf.DUMMYFUNCTION("""COMPUTED_VALUE"""),"Tahu baso")</f>
        <v>Tahu baso</v>
      </c>
      <c r="H1380" s="2"/>
      <c r="I1380" s="2"/>
      <c r="J1380" s="2">
        <f>IFERROR(__xludf.DUMMYFUNCTION("""COMPUTED_VALUE"""),1.0)</f>
        <v>1</v>
      </c>
      <c r="K1380" s="6">
        <f>IFERROR(__xludf.DUMMYFUNCTION("""COMPUTED_VALUE"""),25238.0)</f>
        <v>25238</v>
      </c>
      <c r="L1380" s="2">
        <f>IFERROR(__xludf.DUMMYFUNCTION("""COMPUTED_VALUE"""),0.0)</f>
        <v>0</v>
      </c>
      <c r="M1380" s="2">
        <f>IFERROR(__xludf.DUMMYFUNCTION("""COMPUTED_VALUE"""),25238.0)</f>
        <v>25238</v>
      </c>
      <c r="N1380" s="2">
        <f>IFERROR(__xludf.DUMMYFUNCTION("""COMPUTED_VALUE"""),0.0)</f>
        <v>0</v>
      </c>
      <c r="O1380" s="2">
        <f>IFERROR(__xludf.DUMMYFUNCTION("""COMPUTED_VALUE"""),25238.0)</f>
        <v>25238</v>
      </c>
      <c r="P1380" s="2">
        <f>IFERROR(__xludf.DUMMYFUNCTION("""COMPUTED_VALUE"""),1262.0)</f>
        <v>1262</v>
      </c>
      <c r="Q1380" s="2" t="str">
        <f>IFERROR(__xludf.DUMMYFUNCTION("""COMPUTED_VALUE"""),"Dine In")</f>
        <v>Dine In</v>
      </c>
      <c r="R1380" s="2" t="str">
        <f>IFERROR(__xludf.DUMMYFUNCTION("""COMPUTED_VALUE"""),"Kedai")</f>
        <v>Kedai</v>
      </c>
      <c r="S1380" s="2" t="str">
        <f>IFERROR(__xludf.DUMMYFUNCTION("""COMPUTED_VALUE"""),"Temu Roti")</f>
        <v>Temu Roti</v>
      </c>
      <c r="T1380" s="2" t="str">
        <f>IFERROR(__xludf.DUMMYFUNCTION("""COMPUTED_VALUE"""),"Owner")</f>
        <v>Owner</v>
      </c>
      <c r="U1380" s="2"/>
      <c r="V1380" s="2"/>
      <c r="W1380" s="2"/>
      <c r="X1380" s="2" t="str">
        <f>IFERROR(__xludf.DUMMYFUNCTION("""COMPUTED_VALUE"""),"Closed")</f>
        <v>Closed</v>
      </c>
    </row>
    <row r="1381">
      <c r="A1381" s="3" t="s">
        <v>1391</v>
      </c>
      <c r="B1381" s="4">
        <f>IFERROR(__xludf.DUMMYFUNCTION("SPLIT(A1381,"","",0,0)"),45538.81805555556)</f>
        <v>45538.81806</v>
      </c>
      <c r="C1381" s="5">
        <f>IFERROR(__xludf.DUMMYFUNCTION("""COMPUTED_VALUE"""),2603481.0)</f>
        <v>2603481</v>
      </c>
      <c r="D1381" s="2" t="str">
        <f>IFERROR(__xludf.DUMMYFUNCTION("""COMPUTED_VALUE"""),"Sale")</f>
        <v>Sale</v>
      </c>
      <c r="E1381" s="2" t="str">
        <f>IFERROR(__xludf.DUMMYFUNCTION("""COMPUTED_VALUE"""),"Roti")</f>
        <v>Roti</v>
      </c>
      <c r="F1381" s="2">
        <f>IFERROR(__xludf.DUMMYFUNCTION("""COMPUTED_VALUE"""),10002.0)</f>
        <v>10002</v>
      </c>
      <c r="G1381" s="2" t="str">
        <f>IFERROR(__xludf.DUMMYFUNCTION("""COMPUTED_VALUE"""),"Roti Cranberry")</f>
        <v>Roti Cranberry</v>
      </c>
      <c r="H1381" s="2"/>
      <c r="I1381" s="2"/>
      <c r="J1381" s="2">
        <f>IFERROR(__xludf.DUMMYFUNCTION("""COMPUTED_VALUE"""),1.0)</f>
        <v>1</v>
      </c>
      <c r="K1381" s="6">
        <f>IFERROR(__xludf.DUMMYFUNCTION("""COMPUTED_VALUE"""),18571.0)</f>
        <v>18571</v>
      </c>
      <c r="L1381" s="2">
        <f>IFERROR(__xludf.DUMMYFUNCTION("""COMPUTED_VALUE"""),0.0)</f>
        <v>0</v>
      </c>
      <c r="M1381" s="2">
        <f>IFERROR(__xludf.DUMMYFUNCTION("""COMPUTED_VALUE"""),18571.0)</f>
        <v>18571</v>
      </c>
      <c r="N1381" s="2">
        <f>IFERROR(__xludf.DUMMYFUNCTION("""COMPUTED_VALUE"""),0.0)</f>
        <v>0</v>
      </c>
      <c r="O1381" s="2">
        <f>IFERROR(__xludf.DUMMYFUNCTION("""COMPUTED_VALUE"""),18571.0)</f>
        <v>18571</v>
      </c>
      <c r="P1381" s="2">
        <f>IFERROR(__xludf.DUMMYFUNCTION("""COMPUTED_VALUE"""),929.0)</f>
        <v>929</v>
      </c>
      <c r="Q1381" s="2" t="str">
        <f>IFERROR(__xludf.DUMMYFUNCTION("""COMPUTED_VALUE"""),"Dine In")</f>
        <v>Dine In</v>
      </c>
      <c r="R1381" s="2" t="str">
        <f>IFERROR(__xludf.DUMMYFUNCTION("""COMPUTED_VALUE"""),"Kedai")</f>
        <v>Kedai</v>
      </c>
      <c r="S1381" s="2" t="str">
        <f>IFERROR(__xludf.DUMMYFUNCTION("""COMPUTED_VALUE"""),"Temu Roti")</f>
        <v>Temu Roti</v>
      </c>
      <c r="T1381" s="2" t="str">
        <f>IFERROR(__xludf.DUMMYFUNCTION("""COMPUTED_VALUE"""),"Owner")</f>
        <v>Owner</v>
      </c>
      <c r="U1381" s="2"/>
      <c r="V1381" s="2"/>
      <c r="W1381" s="2"/>
      <c r="X1381" s="2" t="str">
        <f>IFERROR(__xludf.DUMMYFUNCTION("""COMPUTED_VALUE"""),"Closed")</f>
        <v>Closed</v>
      </c>
    </row>
    <row r="1382">
      <c r="A1382" s="3" t="s">
        <v>1392</v>
      </c>
      <c r="B1382" s="4">
        <f>IFERROR(__xludf.DUMMYFUNCTION("SPLIT(A1382,"","",0,0)"),45538.81805555556)</f>
        <v>45538.81806</v>
      </c>
      <c r="C1382" s="5">
        <f>IFERROR(__xludf.DUMMYFUNCTION("""COMPUTED_VALUE"""),2603481.0)</f>
        <v>2603481</v>
      </c>
      <c r="D1382" s="2" t="str">
        <f>IFERROR(__xludf.DUMMYFUNCTION("""COMPUTED_VALUE"""),"Sale")</f>
        <v>Sale</v>
      </c>
      <c r="E1382" s="2" t="str">
        <f>IFERROR(__xludf.DUMMYFUNCTION("""COMPUTED_VALUE"""),"Roti")</f>
        <v>Roti</v>
      </c>
      <c r="F1382" s="2">
        <f>IFERROR(__xludf.DUMMYFUNCTION("""COMPUTED_VALUE"""),10005.0)</f>
        <v>10005</v>
      </c>
      <c r="G1382" s="2" t="str">
        <f>IFERROR(__xludf.DUMMYFUNCTION("""COMPUTED_VALUE"""),"Roti Gandum Cokelat")</f>
        <v>Roti Gandum Cokelat</v>
      </c>
      <c r="H1382" s="2"/>
      <c r="I1382" s="2"/>
      <c r="J1382" s="2">
        <f>IFERROR(__xludf.DUMMYFUNCTION("""COMPUTED_VALUE"""),1.0)</f>
        <v>1</v>
      </c>
      <c r="K1382" s="6">
        <f>IFERROR(__xludf.DUMMYFUNCTION("""COMPUTED_VALUE"""),19524.0)</f>
        <v>19524</v>
      </c>
      <c r="L1382" s="2">
        <f>IFERROR(__xludf.DUMMYFUNCTION("""COMPUTED_VALUE"""),0.0)</f>
        <v>0</v>
      </c>
      <c r="M1382" s="2">
        <f>IFERROR(__xludf.DUMMYFUNCTION("""COMPUTED_VALUE"""),19524.0)</f>
        <v>19524</v>
      </c>
      <c r="N1382" s="2">
        <f>IFERROR(__xludf.DUMMYFUNCTION("""COMPUTED_VALUE"""),0.0)</f>
        <v>0</v>
      </c>
      <c r="O1382" s="2">
        <f>IFERROR(__xludf.DUMMYFUNCTION("""COMPUTED_VALUE"""),19524.0)</f>
        <v>19524</v>
      </c>
      <c r="P1382" s="2">
        <f>IFERROR(__xludf.DUMMYFUNCTION("""COMPUTED_VALUE"""),976.0)</f>
        <v>976</v>
      </c>
      <c r="Q1382" s="2" t="str">
        <f>IFERROR(__xludf.DUMMYFUNCTION("""COMPUTED_VALUE"""),"Dine In")</f>
        <v>Dine In</v>
      </c>
      <c r="R1382" s="2" t="str">
        <f>IFERROR(__xludf.DUMMYFUNCTION("""COMPUTED_VALUE"""),"Kedai")</f>
        <v>Kedai</v>
      </c>
      <c r="S1382" s="2" t="str">
        <f>IFERROR(__xludf.DUMMYFUNCTION("""COMPUTED_VALUE"""),"Temu Roti")</f>
        <v>Temu Roti</v>
      </c>
      <c r="T1382" s="2" t="str">
        <f>IFERROR(__xludf.DUMMYFUNCTION("""COMPUTED_VALUE"""),"Owner")</f>
        <v>Owner</v>
      </c>
      <c r="U1382" s="2"/>
      <c r="V1382" s="2"/>
      <c r="W1382" s="2"/>
      <c r="X1382" s="2" t="str">
        <f>IFERROR(__xludf.DUMMYFUNCTION("""COMPUTED_VALUE"""),"Closed")</f>
        <v>Closed</v>
      </c>
    </row>
    <row r="1383">
      <c r="A1383" s="3" t="s">
        <v>1393</v>
      </c>
      <c r="B1383" s="4">
        <f>IFERROR(__xludf.DUMMYFUNCTION("SPLIT(A1383,"","",0,0)"),45538.805555555555)</f>
        <v>45538.80556</v>
      </c>
      <c r="C1383" s="5">
        <f>IFERROR(__xludf.DUMMYFUNCTION("""COMPUTED_VALUE"""),2603116.0)</f>
        <v>2603116</v>
      </c>
      <c r="D1383" s="2" t="str">
        <f>IFERROR(__xludf.DUMMYFUNCTION("""COMPUTED_VALUE"""),"Sale")</f>
        <v>Sale</v>
      </c>
      <c r="E1383" s="2" t="str">
        <f>IFERROR(__xludf.DUMMYFUNCTION("""COMPUTED_VALUE"""),"Roti")</f>
        <v>Roti</v>
      </c>
      <c r="F1383" s="2">
        <f>IFERROR(__xludf.DUMMYFUNCTION("""COMPUTED_VALUE"""),10034.0)</f>
        <v>10034</v>
      </c>
      <c r="G1383" s="2" t="str">
        <f>IFERROR(__xludf.DUMMYFUNCTION("""COMPUTED_VALUE"""),"Roti panggang coklat")</f>
        <v>Roti panggang coklat</v>
      </c>
      <c r="H1383" s="2"/>
      <c r="I1383" s="2"/>
      <c r="J1383" s="2">
        <f>IFERROR(__xludf.DUMMYFUNCTION("""COMPUTED_VALUE"""),1.0)</f>
        <v>1</v>
      </c>
      <c r="K1383" s="6">
        <f>IFERROR(__xludf.DUMMYFUNCTION("""COMPUTED_VALUE"""),21905.0)</f>
        <v>21905</v>
      </c>
      <c r="L1383" s="2">
        <f>IFERROR(__xludf.DUMMYFUNCTION("""COMPUTED_VALUE"""),0.0)</f>
        <v>0</v>
      </c>
      <c r="M1383" s="2">
        <f>IFERROR(__xludf.DUMMYFUNCTION("""COMPUTED_VALUE"""),21905.0)</f>
        <v>21905</v>
      </c>
      <c r="N1383" s="2">
        <f>IFERROR(__xludf.DUMMYFUNCTION("""COMPUTED_VALUE"""),0.0)</f>
        <v>0</v>
      </c>
      <c r="O1383" s="2">
        <f>IFERROR(__xludf.DUMMYFUNCTION("""COMPUTED_VALUE"""),21905.0)</f>
        <v>21905</v>
      </c>
      <c r="P1383" s="2">
        <f>IFERROR(__xludf.DUMMYFUNCTION("""COMPUTED_VALUE"""),1095.0)</f>
        <v>1095</v>
      </c>
      <c r="Q1383" s="2" t="str">
        <f>IFERROR(__xludf.DUMMYFUNCTION("""COMPUTED_VALUE"""),"Dine In")</f>
        <v>Dine In</v>
      </c>
      <c r="R1383" s="2" t="str">
        <f>IFERROR(__xludf.DUMMYFUNCTION("""COMPUTED_VALUE"""),"Kedai")</f>
        <v>Kedai</v>
      </c>
      <c r="S1383" s="2" t="str">
        <f>IFERROR(__xludf.DUMMYFUNCTION("""COMPUTED_VALUE"""),"Temu Roti")</f>
        <v>Temu Roti</v>
      </c>
      <c r="T1383" s="2" t="str">
        <f>IFERROR(__xludf.DUMMYFUNCTION("""COMPUTED_VALUE"""),"Owner")</f>
        <v>Owner</v>
      </c>
      <c r="U1383" s="2"/>
      <c r="V1383" s="2"/>
      <c r="W1383" s="2"/>
      <c r="X1383" s="2" t="str">
        <f>IFERROR(__xludf.DUMMYFUNCTION("""COMPUTED_VALUE"""),"Closed")</f>
        <v>Closed</v>
      </c>
    </row>
    <row r="1384">
      <c r="A1384" s="3" t="s">
        <v>1394</v>
      </c>
      <c r="B1384" s="4">
        <f>IFERROR(__xludf.DUMMYFUNCTION("SPLIT(A1384,"","",0,0)"),45538.805555555555)</f>
        <v>45538.80556</v>
      </c>
      <c r="C1384" s="5">
        <f>IFERROR(__xludf.DUMMYFUNCTION("""COMPUTED_VALUE"""),2603116.0)</f>
        <v>2603116</v>
      </c>
      <c r="D1384" s="2" t="str">
        <f>IFERROR(__xludf.DUMMYFUNCTION("""COMPUTED_VALUE"""),"Sale")</f>
        <v>Sale</v>
      </c>
      <c r="E1384" s="2" t="str">
        <f>IFERROR(__xludf.DUMMYFUNCTION("""COMPUTED_VALUE"""),"Minuman")</f>
        <v>Minuman</v>
      </c>
      <c r="F1384" s="2">
        <f>IFERROR(__xludf.DUMMYFUNCTION("""COMPUTED_VALUE"""),10122.0)</f>
        <v>10122</v>
      </c>
      <c r="G1384" s="2" t="str">
        <f>IFERROR(__xludf.DUMMYFUNCTION("""COMPUTED_VALUE"""),"Rempah Madu Panas")</f>
        <v>Rempah Madu Panas</v>
      </c>
      <c r="H1384" s="2"/>
      <c r="I1384" s="2"/>
      <c r="J1384" s="2">
        <f>IFERROR(__xludf.DUMMYFUNCTION("""COMPUTED_VALUE"""),1.0)</f>
        <v>1</v>
      </c>
      <c r="K1384" s="6">
        <f>IFERROR(__xludf.DUMMYFUNCTION("""COMPUTED_VALUE"""),21905.0)</f>
        <v>21905</v>
      </c>
      <c r="L1384" s="2">
        <f>IFERROR(__xludf.DUMMYFUNCTION("""COMPUTED_VALUE"""),0.0)</f>
        <v>0</v>
      </c>
      <c r="M1384" s="2">
        <f>IFERROR(__xludf.DUMMYFUNCTION("""COMPUTED_VALUE"""),21905.0)</f>
        <v>21905</v>
      </c>
      <c r="N1384" s="2">
        <f>IFERROR(__xludf.DUMMYFUNCTION("""COMPUTED_VALUE"""),0.0)</f>
        <v>0</v>
      </c>
      <c r="O1384" s="2">
        <f>IFERROR(__xludf.DUMMYFUNCTION("""COMPUTED_VALUE"""),21905.0)</f>
        <v>21905</v>
      </c>
      <c r="P1384" s="2">
        <f>IFERROR(__xludf.DUMMYFUNCTION("""COMPUTED_VALUE"""),1096.0)</f>
        <v>1096</v>
      </c>
      <c r="Q1384" s="2" t="str">
        <f>IFERROR(__xludf.DUMMYFUNCTION("""COMPUTED_VALUE"""),"Dine In")</f>
        <v>Dine In</v>
      </c>
      <c r="R1384" s="2" t="str">
        <f>IFERROR(__xludf.DUMMYFUNCTION("""COMPUTED_VALUE"""),"Kedai")</f>
        <v>Kedai</v>
      </c>
      <c r="S1384" s="2" t="str">
        <f>IFERROR(__xludf.DUMMYFUNCTION("""COMPUTED_VALUE"""),"Temu Roti")</f>
        <v>Temu Roti</v>
      </c>
      <c r="T1384" s="2" t="str">
        <f>IFERROR(__xludf.DUMMYFUNCTION("""COMPUTED_VALUE"""),"Owner")</f>
        <v>Owner</v>
      </c>
      <c r="U1384" s="2"/>
      <c r="V1384" s="2"/>
      <c r="W1384" s="2"/>
      <c r="X1384" s="2" t="str">
        <f>IFERROR(__xludf.DUMMYFUNCTION("""COMPUTED_VALUE"""),"Closed")</f>
        <v>Closed</v>
      </c>
    </row>
    <row r="1385">
      <c r="A1385" s="3" t="s">
        <v>1395</v>
      </c>
      <c r="B1385" s="4">
        <f>IFERROR(__xludf.DUMMYFUNCTION("SPLIT(A1385,"","",0,0)"),45538.805555555555)</f>
        <v>45538.80556</v>
      </c>
      <c r="C1385" s="5">
        <f>IFERROR(__xludf.DUMMYFUNCTION("""COMPUTED_VALUE"""),2603116.0)</f>
        <v>2603116</v>
      </c>
      <c r="D1385" s="2" t="str">
        <f>IFERROR(__xludf.DUMMYFUNCTION("""COMPUTED_VALUE"""),"Sale")</f>
        <v>Sale</v>
      </c>
      <c r="E1385" s="2" t="str">
        <f>IFERROR(__xludf.DUMMYFUNCTION("""COMPUTED_VALUE"""),"Kudapan")</f>
        <v>Kudapan</v>
      </c>
      <c r="F1385" s="2">
        <f>IFERROR(__xludf.DUMMYFUNCTION("""COMPUTED_VALUE"""),10014.0)</f>
        <v>10014</v>
      </c>
      <c r="G1385" s="2" t="str">
        <f>IFERROR(__xludf.DUMMYFUNCTION("""COMPUTED_VALUE"""),"Tempe Mendoan")</f>
        <v>Tempe Mendoan</v>
      </c>
      <c r="H1385" s="2"/>
      <c r="I1385" s="2"/>
      <c r="J1385" s="2">
        <f>IFERROR(__xludf.DUMMYFUNCTION("""COMPUTED_VALUE"""),1.0)</f>
        <v>1</v>
      </c>
      <c r="K1385" s="6">
        <f>IFERROR(__xludf.DUMMYFUNCTION("""COMPUTED_VALUE"""),25238.0)</f>
        <v>25238</v>
      </c>
      <c r="L1385" s="2">
        <f>IFERROR(__xludf.DUMMYFUNCTION("""COMPUTED_VALUE"""),0.0)</f>
        <v>0</v>
      </c>
      <c r="M1385" s="2">
        <f>IFERROR(__xludf.DUMMYFUNCTION("""COMPUTED_VALUE"""),25238.0)</f>
        <v>25238</v>
      </c>
      <c r="N1385" s="2">
        <f>IFERROR(__xludf.DUMMYFUNCTION("""COMPUTED_VALUE"""),0.0)</f>
        <v>0</v>
      </c>
      <c r="O1385" s="2">
        <f>IFERROR(__xludf.DUMMYFUNCTION("""COMPUTED_VALUE"""),25238.0)</f>
        <v>25238</v>
      </c>
      <c r="P1385" s="2">
        <f>IFERROR(__xludf.DUMMYFUNCTION("""COMPUTED_VALUE"""),1261.0)</f>
        <v>1261</v>
      </c>
      <c r="Q1385" s="2" t="str">
        <f>IFERROR(__xludf.DUMMYFUNCTION("""COMPUTED_VALUE"""),"Dine In")</f>
        <v>Dine In</v>
      </c>
      <c r="R1385" s="2" t="str">
        <f>IFERROR(__xludf.DUMMYFUNCTION("""COMPUTED_VALUE"""),"Kedai")</f>
        <v>Kedai</v>
      </c>
      <c r="S1385" s="2" t="str">
        <f>IFERROR(__xludf.DUMMYFUNCTION("""COMPUTED_VALUE"""),"Temu Roti")</f>
        <v>Temu Roti</v>
      </c>
      <c r="T1385" s="2" t="str">
        <f>IFERROR(__xludf.DUMMYFUNCTION("""COMPUTED_VALUE"""),"Owner")</f>
        <v>Owner</v>
      </c>
      <c r="U1385" s="2"/>
      <c r="V1385" s="2"/>
      <c r="W1385" s="2"/>
      <c r="X1385" s="2" t="str">
        <f>IFERROR(__xludf.DUMMYFUNCTION("""COMPUTED_VALUE"""),"Closed")</f>
        <v>Closed</v>
      </c>
    </row>
    <row r="1386">
      <c r="A1386" s="3" t="s">
        <v>1396</v>
      </c>
      <c r="B1386" s="4">
        <f>IFERROR(__xludf.DUMMYFUNCTION("SPLIT(A1386,"","",0,0)"),45538.805555555555)</f>
        <v>45538.80556</v>
      </c>
      <c r="C1386" s="5">
        <f>IFERROR(__xludf.DUMMYFUNCTION("""COMPUTED_VALUE"""),2603116.0)</f>
        <v>2603116</v>
      </c>
      <c r="D1386" s="2" t="str">
        <f>IFERROR(__xludf.DUMMYFUNCTION("""COMPUTED_VALUE"""),"Sale")</f>
        <v>Sale</v>
      </c>
      <c r="E1386" s="2" t="str">
        <f>IFERROR(__xludf.DUMMYFUNCTION("""COMPUTED_VALUE"""),"Minuman")</f>
        <v>Minuman</v>
      </c>
      <c r="F1386" s="2">
        <f>IFERROR(__xludf.DUMMYFUNCTION("""COMPUTED_VALUE"""),10112.0)</f>
        <v>10112</v>
      </c>
      <c r="G1386" s="2" t="str">
        <f>IFERROR(__xludf.DUMMYFUNCTION("""COMPUTED_VALUE"""),"Air mineral")</f>
        <v>Air mineral</v>
      </c>
      <c r="H1386" s="2"/>
      <c r="I1386" s="2"/>
      <c r="J1386" s="2">
        <f>IFERROR(__xludf.DUMMYFUNCTION("""COMPUTED_VALUE"""),1.0)</f>
        <v>1</v>
      </c>
      <c r="K1386" s="6">
        <f>IFERROR(__xludf.DUMMYFUNCTION("""COMPUTED_VALUE"""),6667.0)</f>
        <v>6667</v>
      </c>
      <c r="L1386" s="2">
        <f>IFERROR(__xludf.DUMMYFUNCTION("""COMPUTED_VALUE"""),0.0)</f>
        <v>0</v>
      </c>
      <c r="M1386" s="2">
        <f>IFERROR(__xludf.DUMMYFUNCTION("""COMPUTED_VALUE"""),6667.0)</f>
        <v>6667</v>
      </c>
      <c r="N1386" s="2">
        <f>IFERROR(__xludf.DUMMYFUNCTION("""COMPUTED_VALUE"""),0.0)</f>
        <v>0</v>
      </c>
      <c r="O1386" s="2">
        <f>IFERROR(__xludf.DUMMYFUNCTION("""COMPUTED_VALUE"""),6667.0)</f>
        <v>6667</v>
      </c>
      <c r="P1386" s="2">
        <f>IFERROR(__xludf.DUMMYFUNCTION("""COMPUTED_VALUE"""),334.0)</f>
        <v>334</v>
      </c>
      <c r="Q1386" s="2" t="str">
        <f>IFERROR(__xludf.DUMMYFUNCTION("""COMPUTED_VALUE"""),"Dine In")</f>
        <v>Dine In</v>
      </c>
      <c r="R1386" s="2" t="str">
        <f>IFERROR(__xludf.DUMMYFUNCTION("""COMPUTED_VALUE"""),"Kedai")</f>
        <v>Kedai</v>
      </c>
      <c r="S1386" s="2" t="str">
        <f>IFERROR(__xludf.DUMMYFUNCTION("""COMPUTED_VALUE"""),"Temu Roti")</f>
        <v>Temu Roti</v>
      </c>
      <c r="T1386" s="2" t="str">
        <f>IFERROR(__xludf.DUMMYFUNCTION("""COMPUTED_VALUE"""),"Owner")</f>
        <v>Owner</v>
      </c>
      <c r="U1386" s="2"/>
      <c r="V1386" s="2"/>
      <c r="W1386" s="2"/>
      <c r="X1386" s="2" t="str">
        <f>IFERROR(__xludf.DUMMYFUNCTION("""COMPUTED_VALUE"""),"Closed")</f>
        <v>Closed</v>
      </c>
    </row>
    <row r="1387">
      <c r="A1387" s="3" t="s">
        <v>1397</v>
      </c>
      <c r="B1387" s="4">
        <f>IFERROR(__xludf.DUMMYFUNCTION("SPLIT(A1387,"","",0,0)"),45538.80416666667)</f>
        <v>45538.80417</v>
      </c>
      <c r="C1387" s="5">
        <f>IFERROR(__xludf.DUMMYFUNCTION("""COMPUTED_VALUE"""),2602751.0)</f>
        <v>2602751</v>
      </c>
      <c r="D1387" s="2" t="str">
        <f>IFERROR(__xludf.DUMMYFUNCTION("""COMPUTED_VALUE"""),"Sale")</f>
        <v>Sale</v>
      </c>
      <c r="E1387" s="2" t="str">
        <f>IFERROR(__xludf.DUMMYFUNCTION("""COMPUTED_VALUE"""),"Minuman")</f>
        <v>Minuman</v>
      </c>
      <c r="F1387" s="2">
        <f>IFERROR(__xludf.DUMMYFUNCTION("""COMPUTED_VALUE"""),10128.0)</f>
        <v>10128</v>
      </c>
      <c r="G1387" s="2" t="str">
        <f>IFERROR(__xludf.DUMMYFUNCTION("""COMPUTED_VALUE"""),"Es Kopi Susu")</f>
        <v>Es Kopi Susu</v>
      </c>
      <c r="H1387" s="2"/>
      <c r="I1387" s="2"/>
      <c r="J1387" s="2">
        <f>IFERROR(__xludf.DUMMYFUNCTION("""COMPUTED_VALUE"""),1.0)</f>
        <v>1</v>
      </c>
      <c r="K1387" s="6">
        <f>IFERROR(__xludf.DUMMYFUNCTION("""COMPUTED_VALUE"""),23333.0)</f>
        <v>23333</v>
      </c>
      <c r="L1387" s="2">
        <f>IFERROR(__xludf.DUMMYFUNCTION("""COMPUTED_VALUE"""),0.0)</f>
        <v>0</v>
      </c>
      <c r="M1387" s="2">
        <f>IFERROR(__xludf.DUMMYFUNCTION("""COMPUTED_VALUE"""),23333.0)</f>
        <v>23333</v>
      </c>
      <c r="N1387" s="2">
        <f>IFERROR(__xludf.DUMMYFUNCTION("""COMPUTED_VALUE"""),0.0)</f>
        <v>0</v>
      </c>
      <c r="O1387" s="2">
        <f>IFERROR(__xludf.DUMMYFUNCTION("""COMPUTED_VALUE"""),23333.0)</f>
        <v>23333</v>
      </c>
      <c r="P1387" s="2">
        <f>IFERROR(__xludf.DUMMYFUNCTION("""COMPUTED_VALUE"""),1167.0)</f>
        <v>1167</v>
      </c>
      <c r="Q1387" s="2" t="str">
        <f>IFERROR(__xludf.DUMMYFUNCTION("""COMPUTED_VALUE"""),"Dine In")</f>
        <v>Dine In</v>
      </c>
      <c r="R1387" s="2" t="str">
        <f>IFERROR(__xludf.DUMMYFUNCTION("""COMPUTED_VALUE"""),"Kedai")</f>
        <v>Kedai</v>
      </c>
      <c r="S1387" s="2" t="str">
        <f>IFERROR(__xludf.DUMMYFUNCTION("""COMPUTED_VALUE"""),"Temu Roti")</f>
        <v>Temu Roti</v>
      </c>
      <c r="T1387" s="2" t="str">
        <f>IFERROR(__xludf.DUMMYFUNCTION("""COMPUTED_VALUE"""),"Owner")</f>
        <v>Owner</v>
      </c>
      <c r="U1387" s="2"/>
      <c r="V1387" s="2"/>
      <c r="W1387" s="2"/>
      <c r="X1387" s="2" t="str">
        <f>IFERROR(__xludf.DUMMYFUNCTION("""COMPUTED_VALUE"""),"Closed")</f>
        <v>Closed</v>
      </c>
    </row>
    <row r="1388">
      <c r="A1388" s="3" t="s">
        <v>1398</v>
      </c>
      <c r="B1388" s="4">
        <f>IFERROR(__xludf.DUMMYFUNCTION("SPLIT(A1388,"","",0,0)"),45538.80416666667)</f>
        <v>45538.80417</v>
      </c>
      <c r="C1388" s="5">
        <f>IFERROR(__xludf.DUMMYFUNCTION("""COMPUTED_VALUE"""),2602751.0)</f>
        <v>2602751</v>
      </c>
      <c r="D1388" s="2" t="str">
        <f>IFERROR(__xludf.DUMMYFUNCTION("""COMPUTED_VALUE"""),"Sale")</f>
        <v>Sale</v>
      </c>
      <c r="E1388" s="2" t="str">
        <f>IFERROR(__xludf.DUMMYFUNCTION("""COMPUTED_VALUE"""),"Roti")</f>
        <v>Roti</v>
      </c>
      <c r="F1388" s="2">
        <f>IFERROR(__xludf.DUMMYFUNCTION("""COMPUTED_VALUE"""),10002.0)</f>
        <v>10002</v>
      </c>
      <c r="G1388" s="2" t="str">
        <f>IFERROR(__xludf.DUMMYFUNCTION("""COMPUTED_VALUE"""),"Roti Cranberry")</f>
        <v>Roti Cranberry</v>
      </c>
      <c r="H1388" s="2"/>
      <c r="I1388" s="2"/>
      <c r="J1388" s="2">
        <f>IFERROR(__xludf.DUMMYFUNCTION("""COMPUTED_VALUE"""),1.0)</f>
        <v>1</v>
      </c>
      <c r="K1388" s="6">
        <f>IFERROR(__xludf.DUMMYFUNCTION("""COMPUTED_VALUE"""),18571.0)</f>
        <v>18571</v>
      </c>
      <c r="L1388" s="2">
        <f>IFERROR(__xludf.DUMMYFUNCTION("""COMPUTED_VALUE"""),0.0)</f>
        <v>0</v>
      </c>
      <c r="M1388" s="2">
        <f>IFERROR(__xludf.DUMMYFUNCTION("""COMPUTED_VALUE"""),18571.0)</f>
        <v>18571</v>
      </c>
      <c r="N1388" s="2">
        <f>IFERROR(__xludf.DUMMYFUNCTION("""COMPUTED_VALUE"""),0.0)</f>
        <v>0</v>
      </c>
      <c r="O1388" s="2">
        <f>IFERROR(__xludf.DUMMYFUNCTION("""COMPUTED_VALUE"""),18571.0)</f>
        <v>18571</v>
      </c>
      <c r="P1388" s="2">
        <f>IFERROR(__xludf.DUMMYFUNCTION("""COMPUTED_VALUE"""),928.0)</f>
        <v>928</v>
      </c>
      <c r="Q1388" s="2" t="str">
        <f>IFERROR(__xludf.DUMMYFUNCTION("""COMPUTED_VALUE"""),"Dine In")</f>
        <v>Dine In</v>
      </c>
      <c r="R1388" s="2" t="str">
        <f>IFERROR(__xludf.DUMMYFUNCTION("""COMPUTED_VALUE"""),"Kedai")</f>
        <v>Kedai</v>
      </c>
      <c r="S1388" s="2" t="str">
        <f>IFERROR(__xludf.DUMMYFUNCTION("""COMPUTED_VALUE"""),"Temu Roti")</f>
        <v>Temu Roti</v>
      </c>
      <c r="T1388" s="2" t="str">
        <f>IFERROR(__xludf.DUMMYFUNCTION("""COMPUTED_VALUE"""),"Owner")</f>
        <v>Owner</v>
      </c>
      <c r="U1388" s="2"/>
      <c r="V1388" s="2"/>
      <c r="W1388" s="2"/>
      <c r="X1388" s="2" t="str">
        <f>IFERROR(__xludf.DUMMYFUNCTION("""COMPUTED_VALUE"""),"Closed")</f>
        <v>Closed</v>
      </c>
    </row>
    <row r="1389">
      <c r="A1389" s="3" t="s">
        <v>1399</v>
      </c>
      <c r="B1389" s="4">
        <f>IFERROR(__xludf.DUMMYFUNCTION("SPLIT(A1389,"","",0,0)"),45538.80416666667)</f>
        <v>45538.80417</v>
      </c>
      <c r="C1389" s="5">
        <f>IFERROR(__xludf.DUMMYFUNCTION("""COMPUTED_VALUE"""),2602751.0)</f>
        <v>2602751</v>
      </c>
      <c r="D1389" s="2" t="str">
        <f>IFERROR(__xludf.DUMMYFUNCTION("""COMPUTED_VALUE"""),"Sale")</f>
        <v>Sale</v>
      </c>
      <c r="E1389" s="2" t="str">
        <f>IFERROR(__xludf.DUMMYFUNCTION("""COMPUTED_VALUE"""),"Roti")</f>
        <v>Roti</v>
      </c>
      <c r="F1389" s="2">
        <f>IFERROR(__xludf.DUMMYFUNCTION("""COMPUTED_VALUE"""),10005.0)</f>
        <v>10005</v>
      </c>
      <c r="G1389" s="2" t="str">
        <f>IFERROR(__xludf.DUMMYFUNCTION("""COMPUTED_VALUE"""),"Roti Gandum Cokelat")</f>
        <v>Roti Gandum Cokelat</v>
      </c>
      <c r="H1389" s="2"/>
      <c r="I1389" s="2"/>
      <c r="J1389" s="2">
        <f>IFERROR(__xludf.DUMMYFUNCTION("""COMPUTED_VALUE"""),1.0)</f>
        <v>1</v>
      </c>
      <c r="K1389" s="6">
        <f>IFERROR(__xludf.DUMMYFUNCTION("""COMPUTED_VALUE"""),19524.0)</f>
        <v>19524</v>
      </c>
      <c r="L1389" s="2">
        <f>IFERROR(__xludf.DUMMYFUNCTION("""COMPUTED_VALUE"""),0.0)</f>
        <v>0</v>
      </c>
      <c r="M1389" s="2">
        <f>IFERROR(__xludf.DUMMYFUNCTION("""COMPUTED_VALUE"""),19524.0)</f>
        <v>19524</v>
      </c>
      <c r="N1389" s="2">
        <f>IFERROR(__xludf.DUMMYFUNCTION("""COMPUTED_VALUE"""),0.0)</f>
        <v>0</v>
      </c>
      <c r="O1389" s="2">
        <f>IFERROR(__xludf.DUMMYFUNCTION("""COMPUTED_VALUE"""),19524.0)</f>
        <v>19524</v>
      </c>
      <c r="P1389" s="2">
        <f>IFERROR(__xludf.DUMMYFUNCTION("""COMPUTED_VALUE"""),976.0)</f>
        <v>976</v>
      </c>
      <c r="Q1389" s="2" t="str">
        <f>IFERROR(__xludf.DUMMYFUNCTION("""COMPUTED_VALUE"""),"Dine In")</f>
        <v>Dine In</v>
      </c>
      <c r="R1389" s="2" t="str">
        <f>IFERROR(__xludf.DUMMYFUNCTION("""COMPUTED_VALUE"""),"Kedai")</f>
        <v>Kedai</v>
      </c>
      <c r="S1389" s="2" t="str">
        <f>IFERROR(__xludf.DUMMYFUNCTION("""COMPUTED_VALUE"""),"Temu Roti")</f>
        <v>Temu Roti</v>
      </c>
      <c r="T1389" s="2" t="str">
        <f>IFERROR(__xludf.DUMMYFUNCTION("""COMPUTED_VALUE"""),"Owner")</f>
        <v>Owner</v>
      </c>
      <c r="U1389" s="2"/>
      <c r="V1389" s="2"/>
      <c r="W1389" s="2"/>
      <c r="X1389" s="2" t="str">
        <f>IFERROR(__xludf.DUMMYFUNCTION("""COMPUTED_VALUE"""),"Closed")</f>
        <v>Closed</v>
      </c>
    </row>
    <row r="1390">
      <c r="A1390" s="3" t="s">
        <v>1400</v>
      </c>
      <c r="B1390" s="4">
        <f>IFERROR(__xludf.DUMMYFUNCTION("SPLIT(A1390,"","",0,0)"),45538.80416666667)</f>
        <v>45538.80417</v>
      </c>
      <c r="C1390" s="5">
        <f>IFERROR(__xludf.DUMMYFUNCTION("""COMPUTED_VALUE"""),2602751.0)</f>
        <v>2602751</v>
      </c>
      <c r="D1390" s="2" t="str">
        <f>IFERROR(__xludf.DUMMYFUNCTION("""COMPUTED_VALUE"""),"Sale")</f>
        <v>Sale</v>
      </c>
      <c r="E1390" s="2" t="str">
        <f>IFERROR(__xludf.DUMMYFUNCTION("""COMPUTED_VALUE"""),"Roti")</f>
        <v>Roti</v>
      </c>
      <c r="F1390" s="2">
        <f>IFERROR(__xludf.DUMMYFUNCTION("""COMPUTED_VALUE"""),10043.0)</f>
        <v>10043</v>
      </c>
      <c r="G1390" s="2" t="str">
        <f>IFERROR(__xludf.DUMMYFUNCTION("""COMPUTED_VALUE"""),"Roti keju")</f>
        <v>Roti keju</v>
      </c>
      <c r="H1390" s="2"/>
      <c r="I1390" s="2"/>
      <c r="J1390" s="2">
        <f>IFERROR(__xludf.DUMMYFUNCTION("""COMPUTED_VALUE"""),1.0)</f>
        <v>1</v>
      </c>
      <c r="K1390" s="6">
        <f>IFERROR(__xludf.DUMMYFUNCTION("""COMPUTED_VALUE"""),9524.0)</f>
        <v>9524</v>
      </c>
      <c r="L1390" s="2">
        <f>IFERROR(__xludf.DUMMYFUNCTION("""COMPUTED_VALUE"""),0.0)</f>
        <v>0</v>
      </c>
      <c r="M1390" s="2">
        <f>IFERROR(__xludf.DUMMYFUNCTION("""COMPUTED_VALUE"""),9524.0)</f>
        <v>9524</v>
      </c>
      <c r="N1390" s="2">
        <f>IFERROR(__xludf.DUMMYFUNCTION("""COMPUTED_VALUE"""),0.0)</f>
        <v>0</v>
      </c>
      <c r="O1390" s="2">
        <f>IFERROR(__xludf.DUMMYFUNCTION("""COMPUTED_VALUE"""),9524.0)</f>
        <v>9524</v>
      </c>
      <c r="P1390" s="2">
        <f>IFERROR(__xludf.DUMMYFUNCTION("""COMPUTED_VALUE"""),477.0)</f>
        <v>477</v>
      </c>
      <c r="Q1390" s="2" t="str">
        <f>IFERROR(__xludf.DUMMYFUNCTION("""COMPUTED_VALUE"""),"Dine In")</f>
        <v>Dine In</v>
      </c>
      <c r="R1390" s="2" t="str">
        <f>IFERROR(__xludf.DUMMYFUNCTION("""COMPUTED_VALUE"""),"Kedai")</f>
        <v>Kedai</v>
      </c>
      <c r="S1390" s="2" t="str">
        <f>IFERROR(__xludf.DUMMYFUNCTION("""COMPUTED_VALUE"""),"Temu Roti")</f>
        <v>Temu Roti</v>
      </c>
      <c r="T1390" s="2" t="str">
        <f>IFERROR(__xludf.DUMMYFUNCTION("""COMPUTED_VALUE"""),"Owner")</f>
        <v>Owner</v>
      </c>
      <c r="U1390" s="2"/>
      <c r="V1390" s="2"/>
      <c r="W1390" s="2"/>
      <c r="X1390" s="2" t="str">
        <f>IFERROR(__xludf.DUMMYFUNCTION("""COMPUTED_VALUE"""),"Closed")</f>
        <v>Closed</v>
      </c>
    </row>
    <row r="1391">
      <c r="A1391" s="3" t="s">
        <v>1401</v>
      </c>
      <c r="B1391" s="4">
        <f>IFERROR(__xludf.DUMMYFUNCTION("SPLIT(A1391,"","",0,0)"),45538.79722222222)</f>
        <v>45538.79722</v>
      </c>
      <c r="C1391" s="5">
        <f>IFERROR(__xludf.DUMMYFUNCTION("""COMPUTED_VALUE"""),2602386.0)</f>
        <v>2602386</v>
      </c>
      <c r="D1391" s="2" t="str">
        <f>IFERROR(__xludf.DUMMYFUNCTION("""COMPUTED_VALUE"""),"Sale")</f>
        <v>Sale</v>
      </c>
      <c r="E1391" s="2" t="str">
        <f>IFERROR(__xludf.DUMMYFUNCTION("""COMPUTED_VALUE"""),"Roti")</f>
        <v>Roti</v>
      </c>
      <c r="F1391" s="2">
        <f>IFERROR(__xludf.DUMMYFUNCTION("""COMPUTED_VALUE"""),10000.0)</f>
        <v>10000</v>
      </c>
      <c r="G1391" s="2" t="str">
        <f>IFERROR(__xludf.DUMMYFUNCTION("""COMPUTED_VALUE"""),"Roti Bawang Saus Keju")</f>
        <v>Roti Bawang Saus Keju</v>
      </c>
      <c r="H1391" s="2"/>
      <c r="I1391" s="2"/>
      <c r="J1391" s="2">
        <f>IFERROR(__xludf.DUMMYFUNCTION("""COMPUTED_VALUE"""),1.0)</f>
        <v>1</v>
      </c>
      <c r="K1391" s="6">
        <f>IFERROR(__xludf.DUMMYFUNCTION("""COMPUTED_VALUE"""),29524.0)</f>
        <v>29524</v>
      </c>
      <c r="L1391" s="2">
        <f>IFERROR(__xludf.DUMMYFUNCTION("""COMPUTED_VALUE"""),0.0)</f>
        <v>0</v>
      </c>
      <c r="M1391" s="2">
        <f>IFERROR(__xludf.DUMMYFUNCTION("""COMPUTED_VALUE"""),29524.0)</f>
        <v>29524</v>
      </c>
      <c r="N1391" s="2">
        <f>IFERROR(__xludf.DUMMYFUNCTION("""COMPUTED_VALUE"""),0.0)</f>
        <v>0</v>
      </c>
      <c r="O1391" s="2">
        <f>IFERROR(__xludf.DUMMYFUNCTION("""COMPUTED_VALUE"""),29524.0)</f>
        <v>29524</v>
      </c>
      <c r="P1391" s="2">
        <f>IFERROR(__xludf.DUMMYFUNCTION("""COMPUTED_VALUE"""),1476.0)</f>
        <v>1476</v>
      </c>
      <c r="Q1391" s="2" t="str">
        <f>IFERROR(__xludf.DUMMYFUNCTION("""COMPUTED_VALUE"""),"Dine In")</f>
        <v>Dine In</v>
      </c>
      <c r="R1391" s="2" t="str">
        <f>IFERROR(__xludf.DUMMYFUNCTION("""COMPUTED_VALUE"""),"Kedai")</f>
        <v>Kedai</v>
      </c>
      <c r="S1391" s="2" t="str">
        <f>IFERROR(__xludf.DUMMYFUNCTION("""COMPUTED_VALUE"""),"Temu Roti")</f>
        <v>Temu Roti</v>
      </c>
      <c r="T1391" s="2" t="str">
        <f>IFERROR(__xludf.DUMMYFUNCTION("""COMPUTED_VALUE"""),"Owner")</f>
        <v>Owner</v>
      </c>
      <c r="U1391" s="2"/>
      <c r="V1391" s="2"/>
      <c r="W1391" s="2"/>
      <c r="X1391" s="2" t="str">
        <f>IFERROR(__xludf.DUMMYFUNCTION("""COMPUTED_VALUE"""),"Closed")</f>
        <v>Closed</v>
      </c>
    </row>
    <row r="1392">
      <c r="A1392" s="3" t="s">
        <v>1402</v>
      </c>
      <c r="B1392" s="4">
        <f>IFERROR(__xludf.DUMMYFUNCTION("SPLIT(A1392,"","",0,0)"),45538.79583333333)</f>
        <v>45538.79583</v>
      </c>
      <c r="C1392" s="5">
        <f>IFERROR(__xludf.DUMMYFUNCTION("""COMPUTED_VALUE"""),2602020.0)</f>
        <v>2602020</v>
      </c>
      <c r="D1392" s="2" t="str">
        <f>IFERROR(__xludf.DUMMYFUNCTION("""COMPUTED_VALUE"""),"Sale")</f>
        <v>Sale</v>
      </c>
      <c r="E1392" s="2" t="str">
        <f>IFERROR(__xludf.DUMMYFUNCTION("""COMPUTED_VALUE"""),"Kudapan")</f>
        <v>Kudapan</v>
      </c>
      <c r="F1392" s="2">
        <f>IFERROR(__xludf.DUMMYFUNCTION("""COMPUTED_VALUE"""),10004.0)</f>
        <v>10004</v>
      </c>
      <c r="G1392" s="2" t="str">
        <f>IFERROR(__xludf.DUMMYFUNCTION("""COMPUTED_VALUE"""),"Tahu walik")</f>
        <v>Tahu walik</v>
      </c>
      <c r="H1392" s="2"/>
      <c r="I1392" s="2"/>
      <c r="J1392" s="2">
        <f>IFERROR(__xludf.DUMMYFUNCTION("""COMPUTED_VALUE"""),1.0)</f>
        <v>1</v>
      </c>
      <c r="K1392" s="6">
        <f>IFERROR(__xludf.DUMMYFUNCTION("""COMPUTED_VALUE"""),25238.0)</f>
        <v>25238</v>
      </c>
      <c r="L1392" s="2">
        <f>IFERROR(__xludf.DUMMYFUNCTION("""COMPUTED_VALUE"""),0.0)</f>
        <v>0</v>
      </c>
      <c r="M1392" s="2">
        <f>IFERROR(__xludf.DUMMYFUNCTION("""COMPUTED_VALUE"""),25238.0)</f>
        <v>25238</v>
      </c>
      <c r="N1392" s="2">
        <f>IFERROR(__xludf.DUMMYFUNCTION("""COMPUTED_VALUE"""),0.0)</f>
        <v>0</v>
      </c>
      <c r="O1392" s="2">
        <f>IFERROR(__xludf.DUMMYFUNCTION("""COMPUTED_VALUE"""),25238.0)</f>
        <v>25238</v>
      </c>
      <c r="P1392" s="2">
        <f>IFERROR(__xludf.DUMMYFUNCTION("""COMPUTED_VALUE"""),1262.0)</f>
        <v>1262</v>
      </c>
      <c r="Q1392" s="2" t="str">
        <f>IFERROR(__xludf.DUMMYFUNCTION("""COMPUTED_VALUE"""),"Dine In")</f>
        <v>Dine In</v>
      </c>
      <c r="R1392" s="2" t="str">
        <f>IFERROR(__xludf.DUMMYFUNCTION("""COMPUTED_VALUE"""),"Kedai")</f>
        <v>Kedai</v>
      </c>
      <c r="S1392" s="2" t="str">
        <f>IFERROR(__xludf.DUMMYFUNCTION("""COMPUTED_VALUE"""),"Temu Roti")</f>
        <v>Temu Roti</v>
      </c>
      <c r="T1392" s="2" t="str">
        <f>IFERROR(__xludf.DUMMYFUNCTION("""COMPUTED_VALUE"""),"Owner")</f>
        <v>Owner</v>
      </c>
      <c r="U1392" s="2"/>
      <c r="V1392" s="2"/>
      <c r="W1392" s="2"/>
      <c r="X1392" s="2" t="str">
        <f>IFERROR(__xludf.DUMMYFUNCTION("""COMPUTED_VALUE"""),"Closed")</f>
        <v>Closed</v>
      </c>
    </row>
    <row r="1393">
      <c r="A1393" s="3" t="s">
        <v>1403</v>
      </c>
      <c r="B1393" s="4">
        <f>IFERROR(__xludf.DUMMYFUNCTION("SPLIT(A1393,"","",0,0)"),45538.79583333333)</f>
        <v>45538.79583</v>
      </c>
      <c r="C1393" s="5">
        <f>IFERROR(__xludf.DUMMYFUNCTION("""COMPUTED_VALUE"""),2602020.0)</f>
        <v>2602020</v>
      </c>
      <c r="D1393" s="2" t="str">
        <f>IFERROR(__xludf.DUMMYFUNCTION("""COMPUTED_VALUE"""),"Sale")</f>
        <v>Sale</v>
      </c>
      <c r="E1393" s="2" t="str">
        <f>IFERROR(__xludf.DUMMYFUNCTION("""COMPUTED_VALUE"""),"Minuman")</f>
        <v>Minuman</v>
      </c>
      <c r="F1393" s="2">
        <f>IFERROR(__xludf.DUMMYFUNCTION("""COMPUTED_VALUE"""),10128.0)</f>
        <v>10128</v>
      </c>
      <c r="G1393" s="2" t="str">
        <f>IFERROR(__xludf.DUMMYFUNCTION("""COMPUTED_VALUE"""),"Es Kopi Susu")</f>
        <v>Es Kopi Susu</v>
      </c>
      <c r="H1393" s="2"/>
      <c r="I1393" s="2"/>
      <c r="J1393" s="2">
        <f>IFERROR(__xludf.DUMMYFUNCTION("""COMPUTED_VALUE"""),1.0)</f>
        <v>1</v>
      </c>
      <c r="K1393" s="6">
        <f>IFERROR(__xludf.DUMMYFUNCTION("""COMPUTED_VALUE"""),23333.0)</f>
        <v>23333</v>
      </c>
      <c r="L1393" s="2">
        <f>IFERROR(__xludf.DUMMYFUNCTION("""COMPUTED_VALUE"""),0.0)</f>
        <v>0</v>
      </c>
      <c r="M1393" s="2">
        <f>IFERROR(__xludf.DUMMYFUNCTION("""COMPUTED_VALUE"""),23333.0)</f>
        <v>23333</v>
      </c>
      <c r="N1393" s="2">
        <f>IFERROR(__xludf.DUMMYFUNCTION("""COMPUTED_VALUE"""),0.0)</f>
        <v>0</v>
      </c>
      <c r="O1393" s="2">
        <f>IFERROR(__xludf.DUMMYFUNCTION("""COMPUTED_VALUE"""),23333.0)</f>
        <v>23333</v>
      </c>
      <c r="P1393" s="2">
        <f>IFERROR(__xludf.DUMMYFUNCTION("""COMPUTED_VALUE"""),1167.0)</f>
        <v>1167</v>
      </c>
      <c r="Q1393" s="2" t="str">
        <f>IFERROR(__xludf.DUMMYFUNCTION("""COMPUTED_VALUE"""),"Dine In")</f>
        <v>Dine In</v>
      </c>
      <c r="R1393" s="2" t="str">
        <f>IFERROR(__xludf.DUMMYFUNCTION("""COMPUTED_VALUE"""),"Kedai")</f>
        <v>Kedai</v>
      </c>
      <c r="S1393" s="2" t="str">
        <f>IFERROR(__xludf.DUMMYFUNCTION("""COMPUTED_VALUE"""),"Temu Roti")</f>
        <v>Temu Roti</v>
      </c>
      <c r="T1393" s="2" t="str">
        <f>IFERROR(__xludf.DUMMYFUNCTION("""COMPUTED_VALUE"""),"Owner")</f>
        <v>Owner</v>
      </c>
      <c r="U1393" s="2"/>
      <c r="V1393" s="2"/>
      <c r="W1393" s="2"/>
      <c r="X1393" s="2" t="str">
        <f>IFERROR(__xludf.DUMMYFUNCTION("""COMPUTED_VALUE"""),"Closed")</f>
        <v>Closed</v>
      </c>
    </row>
    <row r="1394">
      <c r="A1394" s="3" t="s">
        <v>1404</v>
      </c>
      <c r="B1394" s="4">
        <f>IFERROR(__xludf.DUMMYFUNCTION("SPLIT(A1394,"","",0,0)"),45538.79583333333)</f>
        <v>45538.79583</v>
      </c>
      <c r="C1394" s="5">
        <f>IFERROR(__xludf.DUMMYFUNCTION("""COMPUTED_VALUE"""),2602020.0)</f>
        <v>2602020</v>
      </c>
      <c r="D1394" s="2" t="str">
        <f>IFERROR(__xludf.DUMMYFUNCTION("""COMPUTED_VALUE"""),"Sale")</f>
        <v>Sale</v>
      </c>
      <c r="E1394" s="2" t="str">
        <f>IFERROR(__xludf.DUMMYFUNCTION("""COMPUTED_VALUE"""),"Minuman")</f>
        <v>Minuman</v>
      </c>
      <c r="F1394" s="2">
        <f>IFERROR(__xludf.DUMMYFUNCTION("""COMPUTED_VALUE"""),10067.0)</f>
        <v>10067</v>
      </c>
      <c r="G1394" s="2" t="str">
        <f>IFERROR(__xludf.DUMMYFUNCTION("""COMPUTED_VALUE"""),"Wedang angin")</f>
        <v>Wedang angin</v>
      </c>
      <c r="H1394" s="2"/>
      <c r="I1394" s="2"/>
      <c r="J1394" s="2">
        <f>IFERROR(__xludf.DUMMYFUNCTION("""COMPUTED_VALUE"""),1.0)</f>
        <v>1</v>
      </c>
      <c r="K1394" s="6">
        <f>IFERROR(__xludf.DUMMYFUNCTION("""COMPUTED_VALUE"""),24762.0)</f>
        <v>24762</v>
      </c>
      <c r="L1394" s="2">
        <f>IFERROR(__xludf.DUMMYFUNCTION("""COMPUTED_VALUE"""),0.0)</f>
        <v>0</v>
      </c>
      <c r="M1394" s="2">
        <f>IFERROR(__xludf.DUMMYFUNCTION("""COMPUTED_VALUE"""),24762.0)</f>
        <v>24762</v>
      </c>
      <c r="N1394" s="2">
        <f>IFERROR(__xludf.DUMMYFUNCTION("""COMPUTED_VALUE"""),0.0)</f>
        <v>0</v>
      </c>
      <c r="O1394" s="2">
        <f>IFERROR(__xludf.DUMMYFUNCTION("""COMPUTED_VALUE"""),24762.0)</f>
        <v>24762</v>
      </c>
      <c r="P1394" s="2">
        <f>IFERROR(__xludf.DUMMYFUNCTION("""COMPUTED_VALUE"""),1238.0)</f>
        <v>1238</v>
      </c>
      <c r="Q1394" s="2" t="str">
        <f>IFERROR(__xludf.DUMMYFUNCTION("""COMPUTED_VALUE"""),"Dine In")</f>
        <v>Dine In</v>
      </c>
      <c r="R1394" s="2" t="str">
        <f>IFERROR(__xludf.DUMMYFUNCTION("""COMPUTED_VALUE"""),"Kedai")</f>
        <v>Kedai</v>
      </c>
      <c r="S1394" s="2" t="str">
        <f>IFERROR(__xludf.DUMMYFUNCTION("""COMPUTED_VALUE"""),"Temu Roti")</f>
        <v>Temu Roti</v>
      </c>
      <c r="T1394" s="2" t="str">
        <f>IFERROR(__xludf.DUMMYFUNCTION("""COMPUTED_VALUE"""),"Owner")</f>
        <v>Owner</v>
      </c>
      <c r="U1394" s="2"/>
      <c r="V1394" s="2"/>
      <c r="W1394" s="2"/>
      <c r="X1394" s="2" t="str">
        <f>IFERROR(__xludf.DUMMYFUNCTION("""COMPUTED_VALUE"""),"Closed")</f>
        <v>Closed</v>
      </c>
    </row>
    <row r="1395">
      <c r="A1395" s="3" t="s">
        <v>1405</v>
      </c>
      <c r="B1395" s="4">
        <f>IFERROR(__xludf.DUMMYFUNCTION("SPLIT(A1395,"","",0,0)"),45538.79583333333)</f>
        <v>45538.79583</v>
      </c>
      <c r="C1395" s="5">
        <f>IFERROR(__xludf.DUMMYFUNCTION("""COMPUTED_VALUE"""),2602020.0)</f>
        <v>2602020</v>
      </c>
      <c r="D1395" s="2" t="str">
        <f>IFERROR(__xludf.DUMMYFUNCTION("""COMPUTED_VALUE"""),"Sale")</f>
        <v>Sale</v>
      </c>
      <c r="E1395" s="2" t="str">
        <f>IFERROR(__xludf.DUMMYFUNCTION("""COMPUTED_VALUE"""),"Minuman")</f>
        <v>Minuman</v>
      </c>
      <c r="F1395" s="2">
        <f>IFERROR(__xludf.DUMMYFUNCTION("""COMPUTED_VALUE"""),10107.0)</f>
        <v>10107</v>
      </c>
      <c r="G1395" s="2" t="str">
        <f>IFERROR(__xludf.DUMMYFUNCTION("""COMPUTED_VALUE"""),"Korean Mango Fresh Milk")</f>
        <v>Korean Mango Fresh Milk</v>
      </c>
      <c r="H1395" s="2"/>
      <c r="I1395" s="2"/>
      <c r="J1395" s="2">
        <f>IFERROR(__xludf.DUMMYFUNCTION("""COMPUTED_VALUE"""),1.0)</f>
        <v>1</v>
      </c>
      <c r="K1395" s="6">
        <f>IFERROR(__xludf.DUMMYFUNCTION("""COMPUTED_VALUE"""),26667.0)</f>
        <v>26667</v>
      </c>
      <c r="L1395" s="2">
        <f>IFERROR(__xludf.DUMMYFUNCTION("""COMPUTED_VALUE"""),0.0)</f>
        <v>0</v>
      </c>
      <c r="M1395" s="2">
        <f>IFERROR(__xludf.DUMMYFUNCTION("""COMPUTED_VALUE"""),26667.0)</f>
        <v>26667</v>
      </c>
      <c r="N1395" s="2">
        <f>IFERROR(__xludf.DUMMYFUNCTION("""COMPUTED_VALUE"""),0.0)</f>
        <v>0</v>
      </c>
      <c r="O1395" s="2">
        <f>IFERROR(__xludf.DUMMYFUNCTION("""COMPUTED_VALUE"""),26667.0)</f>
        <v>26667</v>
      </c>
      <c r="P1395" s="2">
        <f>IFERROR(__xludf.DUMMYFUNCTION("""COMPUTED_VALUE"""),1333.0)</f>
        <v>1333</v>
      </c>
      <c r="Q1395" s="2" t="str">
        <f>IFERROR(__xludf.DUMMYFUNCTION("""COMPUTED_VALUE"""),"Dine In")</f>
        <v>Dine In</v>
      </c>
      <c r="R1395" s="2" t="str">
        <f>IFERROR(__xludf.DUMMYFUNCTION("""COMPUTED_VALUE"""),"Kedai")</f>
        <v>Kedai</v>
      </c>
      <c r="S1395" s="2" t="str">
        <f>IFERROR(__xludf.DUMMYFUNCTION("""COMPUTED_VALUE"""),"Temu Roti")</f>
        <v>Temu Roti</v>
      </c>
      <c r="T1395" s="2" t="str">
        <f>IFERROR(__xludf.DUMMYFUNCTION("""COMPUTED_VALUE"""),"Owner")</f>
        <v>Owner</v>
      </c>
      <c r="U1395" s="2"/>
      <c r="V1395" s="2"/>
      <c r="W1395" s="2"/>
      <c r="X1395" s="2" t="str">
        <f>IFERROR(__xludf.DUMMYFUNCTION("""COMPUTED_VALUE"""),"Closed")</f>
        <v>Closed</v>
      </c>
    </row>
    <row r="1396">
      <c r="A1396" s="3" t="s">
        <v>1406</v>
      </c>
      <c r="B1396" s="4">
        <f>IFERROR(__xludf.DUMMYFUNCTION("SPLIT(A1396,"","",0,0)"),45538.79583333333)</f>
        <v>45538.79583</v>
      </c>
      <c r="C1396" s="5">
        <f>IFERROR(__xludf.DUMMYFUNCTION("""COMPUTED_VALUE"""),2602020.0)</f>
        <v>2602020</v>
      </c>
      <c r="D1396" s="2" t="str">
        <f>IFERROR(__xludf.DUMMYFUNCTION("""COMPUTED_VALUE"""),"Sale")</f>
        <v>Sale</v>
      </c>
      <c r="E1396" s="2" t="str">
        <f>IFERROR(__xludf.DUMMYFUNCTION("""COMPUTED_VALUE"""),"Hidangan Utama")</f>
        <v>Hidangan Utama</v>
      </c>
      <c r="F1396" s="2">
        <f>IFERROR(__xludf.DUMMYFUNCTION("""COMPUTED_VALUE"""),10012.0)</f>
        <v>10012</v>
      </c>
      <c r="G1396" s="2" t="str">
        <f>IFERROR(__xludf.DUMMYFUNCTION("""COMPUTED_VALUE"""),"Mie joglo")</f>
        <v>Mie joglo</v>
      </c>
      <c r="H1396" s="2"/>
      <c r="I1396" s="2"/>
      <c r="J1396" s="2">
        <f>IFERROR(__xludf.DUMMYFUNCTION("""COMPUTED_VALUE"""),1.0)</f>
        <v>1</v>
      </c>
      <c r="K1396" s="6">
        <f>IFERROR(__xludf.DUMMYFUNCTION("""COMPUTED_VALUE"""),29524.0)</f>
        <v>29524</v>
      </c>
      <c r="L1396" s="2">
        <f>IFERROR(__xludf.DUMMYFUNCTION("""COMPUTED_VALUE"""),0.0)</f>
        <v>0</v>
      </c>
      <c r="M1396" s="2">
        <f>IFERROR(__xludf.DUMMYFUNCTION("""COMPUTED_VALUE"""),29524.0)</f>
        <v>29524</v>
      </c>
      <c r="N1396" s="2">
        <f>IFERROR(__xludf.DUMMYFUNCTION("""COMPUTED_VALUE"""),0.0)</f>
        <v>0</v>
      </c>
      <c r="O1396" s="2">
        <f>IFERROR(__xludf.DUMMYFUNCTION("""COMPUTED_VALUE"""),29524.0)</f>
        <v>29524</v>
      </c>
      <c r="P1396" s="2">
        <f>IFERROR(__xludf.DUMMYFUNCTION("""COMPUTED_VALUE"""),1476.0)</f>
        <v>1476</v>
      </c>
      <c r="Q1396" s="2" t="str">
        <f>IFERROR(__xludf.DUMMYFUNCTION("""COMPUTED_VALUE"""),"Dine In")</f>
        <v>Dine In</v>
      </c>
      <c r="R1396" s="2" t="str">
        <f>IFERROR(__xludf.DUMMYFUNCTION("""COMPUTED_VALUE"""),"Kedai")</f>
        <v>Kedai</v>
      </c>
      <c r="S1396" s="2" t="str">
        <f>IFERROR(__xludf.DUMMYFUNCTION("""COMPUTED_VALUE"""),"Temu Roti")</f>
        <v>Temu Roti</v>
      </c>
      <c r="T1396" s="2" t="str">
        <f>IFERROR(__xludf.DUMMYFUNCTION("""COMPUTED_VALUE"""),"Owner")</f>
        <v>Owner</v>
      </c>
      <c r="U1396" s="2"/>
      <c r="V1396" s="2"/>
      <c r="W1396" s="2"/>
      <c r="X1396" s="2" t="str">
        <f>IFERROR(__xludf.DUMMYFUNCTION("""COMPUTED_VALUE"""),"Closed")</f>
        <v>Closed</v>
      </c>
    </row>
    <row r="1397">
      <c r="A1397" s="3" t="s">
        <v>1407</v>
      </c>
      <c r="B1397" s="4">
        <f>IFERROR(__xludf.DUMMYFUNCTION("SPLIT(A1397,"","",0,0)"),45538.79305555556)</f>
        <v>45538.79306</v>
      </c>
      <c r="C1397" s="5">
        <f>IFERROR(__xludf.DUMMYFUNCTION("""COMPUTED_VALUE"""),2601655.0)</f>
        <v>2601655</v>
      </c>
      <c r="D1397" s="2" t="str">
        <f>IFERROR(__xludf.DUMMYFUNCTION("""COMPUTED_VALUE"""),"Sale")</f>
        <v>Sale</v>
      </c>
      <c r="E1397" s="2" t="str">
        <f>IFERROR(__xludf.DUMMYFUNCTION("""COMPUTED_VALUE"""),"Roti")</f>
        <v>Roti</v>
      </c>
      <c r="F1397" s="2">
        <f>IFERROR(__xludf.DUMMYFUNCTION("""COMPUTED_VALUE"""),10054.0)</f>
        <v>10054</v>
      </c>
      <c r="G1397" s="2" t="str">
        <f>IFERROR(__xludf.DUMMYFUNCTION("""COMPUTED_VALUE"""),"Roti toast eskrim")</f>
        <v>Roti toast eskrim</v>
      </c>
      <c r="H1397" s="2"/>
      <c r="I1397" s="2"/>
      <c r="J1397" s="2">
        <f>IFERROR(__xludf.DUMMYFUNCTION("""COMPUTED_VALUE"""),1.0)</f>
        <v>1</v>
      </c>
      <c r="K1397" s="6">
        <f>IFERROR(__xludf.DUMMYFUNCTION("""COMPUTED_VALUE"""),25238.0)</f>
        <v>25238</v>
      </c>
      <c r="L1397" s="2">
        <f>IFERROR(__xludf.DUMMYFUNCTION("""COMPUTED_VALUE"""),0.0)</f>
        <v>0</v>
      </c>
      <c r="M1397" s="2">
        <f>IFERROR(__xludf.DUMMYFUNCTION("""COMPUTED_VALUE"""),25238.0)</f>
        <v>25238</v>
      </c>
      <c r="N1397" s="2">
        <f>IFERROR(__xludf.DUMMYFUNCTION("""COMPUTED_VALUE"""),0.0)</f>
        <v>0</v>
      </c>
      <c r="O1397" s="2">
        <f>IFERROR(__xludf.DUMMYFUNCTION("""COMPUTED_VALUE"""),25238.0)</f>
        <v>25238</v>
      </c>
      <c r="P1397" s="2">
        <f>IFERROR(__xludf.DUMMYFUNCTION("""COMPUTED_VALUE"""),1262.0)</f>
        <v>1262</v>
      </c>
      <c r="Q1397" s="2" t="str">
        <f>IFERROR(__xludf.DUMMYFUNCTION("""COMPUTED_VALUE"""),"Dine In")</f>
        <v>Dine In</v>
      </c>
      <c r="R1397" s="2" t="str">
        <f>IFERROR(__xludf.DUMMYFUNCTION("""COMPUTED_VALUE"""),"Kedai")</f>
        <v>Kedai</v>
      </c>
      <c r="S1397" s="2" t="str">
        <f>IFERROR(__xludf.DUMMYFUNCTION("""COMPUTED_VALUE"""),"Temu Roti")</f>
        <v>Temu Roti</v>
      </c>
      <c r="T1397" s="2" t="str">
        <f>IFERROR(__xludf.DUMMYFUNCTION("""COMPUTED_VALUE"""),"Owner")</f>
        <v>Owner</v>
      </c>
      <c r="U1397" s="2"/>
      <c r="V1397" s="2"/>
      <c r="W1397" s="2"/>
      <c r="X1397" s="2" t="str">
        <f>IFERROR(__xludf.DUMMYFUNCTION("""COMPUTED_VALUE"""),"Closed")</f>
        <v>Closed</v>
      </c>
    </row>
    <row r="1398">
      <c r="A1398" s="3" t="s">
        <v>1408</v>
      </c>
      <c r="B1398" s="4">
        <f>IFERROR(__xludf.DUMMYFUNCTION("SPLIT(A1398,"","",0,0)"),45538.79305555556)</f>
        <v>45538.79306</v>
      </c>
      <c r="C1398" s="5">
        <f>IFERROR(__xludf.DUMMYFUNCTION("""COMPUTED_VALUE"""),2601655.0)</f>
        <v>2601655</v>
      </c>
      <c r="D1398" s="2" t="str">
        <f>IFERROR(__xludf.DUMMYFUNCTION("""COMPUTED_VALUE"""),"Sale")</f>
        <v>Sale</v>
      </c>
      <c r="E1398" s="2" t="str">
        <f>IFERROR(__xludf.DUMMYFUNCTION("""COMPUTED_VALUE"""),"Kudapan")</f>
        <v>Kudapan</v>
      </c>
      <c r="F1398" s="2">
        <f>IFERROR(__xludf.DUMMYFUNCTION("""COMPUTED_VALUE"""),10014.0)</f>
        <v>10014</v>
      </c>
      <c r="G1398" s="2" t="str">
        <f>IFERROR(__xludf.DUMMYFUNCTION("""COMPUTED_VALUE"""),"Tempe Mendoan")</f>
        <v>Tempe Mendoan</v>
      </c>
      <c r="H1398" s="2"/>
      <c r="I1398" s="2"/>
      <c r="J1398" s="2">
        <f>IFERROR(__xludf.DUMMYFUNCTION("""COMPUTED_VALUE"""),1.0)</f>
        <v>1</v>
      </c>
      <c r="K1398" s="6">
        <f>IFERROR(__xludf.DUMMYFUNCTION("""COMPUTED_VALUE"""),25238.0)</f>
        <v>25238</v>
      </c>
      <c r="L1398" s="2">
        <f>IFERROR(__xludf.DUMMYFUNCTION("""COMPUTED_VALUE"""),0.0)</f>
        <v>0</v>
      </c>
      <c r="M1398" s="2">
        <f>IFERROR(__xludf.DUMMYFUNCTION("""COMPUTED_VALUE"""),25238.0)</f>
        <v>25238</v>
      </c>
      <c r="N1398" s="2">
        <f>IFERROR(__xludf.DUMMYFUNCTION("""COMPUTED_VALUE"""),0.0)</f>
        <v>0</v>
      </c>
      <c r="O1398" s="2">
        <f>IFERROR(__xludf.DUMMYFUNCTION("""COMPUTED_VALUE"""),25238.0)</f>
        <v>25238</v>
      </c>
      <c r="P1398" s="2">
        <f>IFERROR(__xludf.DUMMYFUNCTION("""COMPUTED_VALUE"""),1262.0)</f>
        <v>1262</v>
      </c>
      <c r="Q1398" s="2" t="str">
        <f>IFERROR(__xludf.DUMMYFUNCTION("""COMPUTED_VALUE"""),"Dine In")</f>
        <v>Dine In</v>
      </c>
      <c r="R1398" s="2" t="str">
        <f>IFERROR(__xludf.DUMMYFUNCTION("""COMPUTED_VALUE"""),"Kedai")</f>
        <v>Kedai</v>
      </c>
      <c r="S1398" s="2" t="str">
        <f>IFERROR(__xludf.DUMMYFUNCTION("""COMPUTED_VALUE"""),"Temu Roti")</f>
        <v>Temu Roti</v>
      </c>
      <c r="T1398" s="2" t="str">
        <f>IFERROR(__xludf.DUMMYFUNCTION("""COMPUTED_VALUE"""),"Owner")</f>
        <v>Owner</v>
      </c>
      <c r="U1398" s="2"/>
      <c r="V1398" s="2"/>
      <c r="W1398" s="2"/>
      <c r="X1398" s="2" t="str">
        <f>IFERROR(__xludf.DUMMYFUNCTION("""COMPUTED_VALUE"""),"Closed")</f>
        <v>Closed</v>
      </c>
    </row>
    <row r="1399">
      <c r="A1399" s="3" t="s">
        <v>1409</v>
      </c>
      <c r="B1399" s="4">
        <f>IFERROR(__xludf.DUMMYFUNCTION("SPLIT(A1399,"","",0,0)"),45538.79305555556)</f>
        <v>45538.79306</v>
      </c>
      <c r="C1399" s="5">
        <f>IFERROR(__xludf.DUMMYFUNCTION("""COMPUTED_VALUE"""),2601655.0)</f>
        <v>2601655</v>
      </c>
      <c r="D1399" s="2" t="str">
        <f>IFERROR(__xludf.DUMMYFUNCTION("""COMPUTED_VALUE"""),"Sale")</f>
        <v>Sale</v>
      </c>
      <c r="E1399" s="2" t="str">
        <f>IFERROR(__xludf.DUMMYFUNCTION("""COMPUTED_VALUE"""),"Kudapan")</f>
        <v>Kudapan</v>
      </c>
      <c r="F1399" s="2">
        <f>IFERROR(__xludf.DUMMYFUNCTION("""COMPUTED_VALUE"""),10004.0)</f>
        <v>10004</v>
      </c>
      <c r="G1399" s="2" t="str">
        <f>IFERROR(__xludf.DUMMYFUNCTION("""COMPUTED_VALUE"""),"Tahu walik")</f>
        <v>Tahu walik</v>
      </c>
      <c r="H1399" s="2"/>
      <c r="I1399" s="2"/>
      <c r="J1399" s="2">
        <f>IFERROR(__xludf.DUMMYFUNCTION("""COMPUTED_VALUE"""),1.0)</f>
        <v>1</v>
      </c>
      <c r="K1399" s="6">
        <f>IFERROR(__xludf.DUMMYFUNCTION("""COMPUTED_VALUE"""),25238.0)</f>
        <v>25238</v>
      </c>
      <c r="L1399" s="2">
        <f>IFERROR(__xludf.DUMMYFUNCTION("""COMPUTED_VALUE"""),0.0)</f>
        <v>0</v>
      </c>
      <c r="M1399" s="2">
        <f>IFERROR(__xludf.DUMMYFUNCTION("""COMPUTED_VALUE"""),25238.0)</f>
        <v>25238</v>
      </c>
      <c r="N1399" s="2">
        <f>IFERROR(__xludf.DUMMYFUNCTION("""COMPUTED_VALUE"""),0.0)</f>
        <v>0</v>
      </c>
      <c r="O1399" s="2">
        <f>IFERROR(__xludf.DUMMYFUNCTION("""COMPUTED_VALUE"""),25238.0)</f>
        <v>25238</v>
      </c>
      <c r="P1399" s="2">
        <f>IFERROR(__xludf.DUMMYFUNCTION("""COMPUTED_VALUE"""),1262.0)</f>
        <v>1262</v>
      </c>
      <c r="Q1399" s="2" t="str">
        <f>IFERROR(__xludf.DUMMYFUNCTION("""COMPUTED_VALUE"""),"Dine In")</f>
        <v>Dine In</v>
      </c>
      <c r="R1399" s="2" t="str">
        <f>IFERROR(__xludf.DUMMYFUNCTION("""COMPUTED_VALUE"""),"Kedai")</f>
        <v>Kedai</v>
      </c>
      <c r="S1399" s="2" t="str">
        <f>IFERROR(__xludf.DUMMYFUNCTION("""COMPUTED_VALUE"""),"Temu Roti")</f>
        <v>Temu Roti</v>
      </c>
      <c r="T1399" s="2" t="str">
        <f>IFERROR(__xludf.DUMMYFUNCTION("""COMPUTED_VALUE"""),"Owner")</f>
        <v>Owner</v>
      </c>
      <c r="U1399" s="2"/>
      <c r="V1399" s="2"/>
      <c r="W1399" s="2"/>
      <c r="X1399" s="2" t="str">
        <f>IFERROR(__xludf.DUMMYFUNCTION("""COMPUTED_VALUE"""),"Closed")</f>
        <v>Closed</v>
      </c>
    </row>
    <row r="1400">
      <c r="A1400" s="3" t="s">
        <v>1410</v>
      </c>
      <c r="B1400" s="4">
        <f>IFERROR(__xludf.DUMMYFUNCTION("SPLIT(A1400,"","",0,0)"),45538.79305555556)</f>
        <v>45538.79306</v>
      </c>
      <c r="C1400" s="5">
        <f>IFERROR(__xludf.DUMMYFUNCTION("""COMPUTED_VALUE"""),2601655.0)</f>
        <v>2601655</v>
      </c>
      <c r="D1400" s="2" t="str">
        <f>IFERROR(__xludf.DUMMYFUNCTION("""COMPUTED_VALUE"""),"Sale")</f>
        <v>Sale</v>
      </c>
      <c r="E1400" s="2" t="str">
        <f>IFERROR(__xludf.DUMMYFUNCTION("""COMPUTED_VALUE"""),"Minuman")</f>
        <v>Minuman</v>
      </c>
      <c r="F1400" s="2">
        <f>IFERROR(__xludf.DUMMYFUNCTION("""COMPUTED_VALUE"""),10107.0)</f>
        <v>10107</v>
      </c>
      <c r="G1400" s="2" t="str">
        <f>IFERROR(__xludf.DUMMYFUNCTION("""COMPUTED_VALUE"""),"Korean Mango Fresh Milk")</f>
        <v>Korean Mango Fresh Milk</v>
      </c>
      <c r="H1400" s="2"/>
      <c r="I1400" s="2"/>
      <c r="J1400" s="2">
        <f>IFERROR(__xludf.DUMMYFUNCTION("""COMPUTED_VALUE"""),1.0)</f>
        <v>1</v>
      </c>
      <c r="K1400" s="6">
        <f>IFERROR(__xludf.DUMMYFUNCTION("""COMPUTED_VALUE"""),26667.0)</f>
        <v>26667</v>
      </c>
      <c r="L1400" s="2">
        <f>IFERROR(__xludf.DUMMYFUNCTION("""COMPUTED_VALUE"""),0.0)</f>
        <v>0</v>
      </c>
      <c r="M1400" s="2">
        <f>IFERROR(__xludf.DUMMYFUNCTION("""COMPUTED_VALUE"""),26667.0)</f>
        <v>26667</v>
      </c>
      <c r="N1400" s="2">
        <f>IFERROR(__xludf.DUMMYFUNCTION("""COMPUTED_VALUE"""),0.0)</f>
        <v>0</v>
      </c>
      <c r="O1400" s="2">
        <f>IFERROR(__xludf.DUMMYFUNCTION("""COMPUTED_VALUE"""),26667.0)</f>
        <v>26667</v>
      </c>
      <c r="P1400" s="2">
        <f>IFERROR(__xludf.DUMMYFUNCTION("""COMPUTED_VALUE"""),1333.0)</f>
        <v>1333</v>
      </c>
      <c r="Q1400" s="2" t="str">
        <f>IFERROR(__xludf.DUMMYFUNCTION("""COMPUTED_VALUE"""),"Dine In")</f>
        <v>Dine In</v>
      </c>
      <c r="R1400" s="2" t="str">
        <f>IFERROR(__xludf.DUMMYFUNCTION("""COMPUTED_VALUE"""),"Kedai")</f>
        <v>Kedai</v>
      </c>
      <c r="S1400" s="2" t="str">
        <f>IFERROR(__xludf.DUMMYFUNCTION("""COMPUTED_VALUE"""),"Temu Roti")</f>
        <v>Temu Roti</v>
      </c>
      <c r="T1400" s="2" t="str">
        <f>IFERROR(__xludf.DUMMYFUNCTION("""COMPUTED_VALUE"""),"Owner")</f>
        <v>Owner</v>
      </c>
      <c r="U1400" s="2"/>
      <c r="V1400" s="2"/>
      <c r="W1400" s="2"/>
      <c r="X1400" s="2" t="str">
        <f>IFERROR(__xludf.DUMMYFUNCTION("""COMPUTED_VALUE"""),"Closed")</f>
        <v>Closed</v>
      </c>
    </row>
    <row r="1401">
      <c r="A1401" s="3" t="s">
        <v>1411</v>
      </c>
      <c r="B1401" s="4">
        <f>IFERROR(__xludf.DUMMYFUNCTION("SPLIT(A1401,"","",0,0)"),45538.79305555556)</f>
        <v>45538.79306</v>
      </c>
      <c r="C1401" s="5">
        <f>IFERROR(__xludf.DUMMYFUNCTION("""COMPUTED_VALUE"""),2601655.0)</f>
        <v>2601655</v>
      </c>
      <c r="D1401" s="2" t="str">
        <f>IFERROR(__xludf.DUMMYFUNCTION("""COMPUTED_VALUE"""),"Sale")</f>
        <v>Sale</v>
      </c>
      <c r="E1401" s="2" t="str">
        <f>IFERROR(__xludf.DUMMYFUNCTION("""COMPUTED_VALUE"""),"Minuman")</f>
        <v>Minuman</v>
      </c>
      <c r="F1401" s="2">
        <f>IFERROR(__xludf.DUMMYFUNCTION("""COMPUTED_VALUE"""),10106.0)</f>
        <v>10106</v>
      </c>
      <c r="G1401" s="2" t="str">
        <f>IFERROR(__xludf.DUMMYFUNCTION("""COMPUTED_VALUE"""),"Korean Strawberry Fresh Milk")</f>
        <v>Korean Strawberry Fresh Milk</v>
      </c>
      <c r="H1401" s="2"/>
      <c r="I1401" s="2"/>
      <c r="J1401" s="2">
        <f>IFERROR(__xludf.DUMMYFUNCTION("""COMPUTED_VALUE"""),1.0)</f>
        <v>1</v>
      </c>
      <c r="K1401" s="6">
        <f>IFERROR(__xludf.DUMMYFUNCTION("""COMPUTED_VALUE"""),26667.0)</f>
        <v>26667</v>
      </c>
      <c r="L1401" s="2">
        <f>IFERROR(__xludf.DUMMYFUNCTION("""COMPUTED_VALUE"""),0.0)</f>
        <v>0</v>
      </c>
      <c r="M1401" s="2">
        <f>IFERROR(__xludf.DUMMYFUNCTION("""COMPUTED_VALUE"""),26667.0)</f>
        <v>26667</v>
      </c>
      <c r="N1401" s="2">
        <f>IFERROR(__xludf.DUMMYFUNCTION("""COMPUTED_VALUE"""),0.0)</f>
        <v>0</v>
      </c>
      <c r="O1401" s="2">
        <f>IFERROR(__xludf.DUMMYFUNCTION("""COMPUTED_VALUE"""),26667.0)</f>
        <v>26667</v>
      </c>
      <c r="P1401" s="2">
        <f>IFERROR(__xludf.DUMMYFUNCTION("""COMPUTED_VALUE"""),1333.0)</f>
        <v>1333</v>
      </c>
      <c r="Q1401" s="2" t="str">
        <f>IFERROR(__xludf.DUMMYFUNCTION("""COMPUTED_VALUE"""),"Dine In")</f>
        <v>Dine In</v>
      </c>
      <c r="R1401" s="2" t="str">
        <f>IFERROR(__xludf.DUMMYFUNCTION("""COMPUTED_VALUE"""),"Kedai")</f>
        <v>Kedai</v>
      </c>
      <c r="S1401" s="2" t="str">
        <f>IFERROR(__xludf.DUMMYFUNCTION("""COMPUTED_VALUE"""),"Temu Roti")</f>
        <v>Temu Roti</v>
      </c>
      <c r="T1401" s="2" t="str">
        <f>IFERROR(__xludf.DUMMYFUNCTION("""COMPUTED_VALUE"""),"Owner")</f>
        <v>Owner</v>
      </c>
      <c r="U1401" s="2"/>
      <c r="V1401" s="2"/>
      <c r="W1401" s="2"/>
      <c r="X1401" s="2" t="str">
        <f>IFERROR(__xludf.DUMMYFUNCTION("""COMPUTED_VALUE"""),"Closed")</f>
        <v>Closed</v>
      </c>
    </row>
    <row r="1402">
      <c r="A1402" s="3" t="s">
        <v>1412</v>
      </c>
      <c r="B1402" s="4">
        <f>IFERROR(__xludf.DUMMYFUNCTION("SPLIT(A1402,"","",0,0)"),45538.79305555556)</f>
        <v>45538.79306</v>
      </c>
      <c r="C1402" s="5">
        <f>IFERROR(__xludf.DUMMYFUNCTION("""COMPUTED_VALUE"""),2601655.0)</f>
        <v>2601655</v>
      </c>
      <c r="D1402" s="2" t="str">
        <f>IFERROR(__xludf.DUMMYFUNCTION("""COMPUTED_VALUE"""),"Sale")</f>
        <v>Sale</v>
      </c>
      <c r="E1402" s="2" t="str">
        <f>IFERROR(__xludf.DUMMYFUNCTION("""COMPUTED_VALUE"""),"Minuman")</f>
        <v>Minuman</v>
      </c>
      <c r="F1402" s="2">
        <f>IFERROR(__xludf.DUMMYFUNCTION("""COMPUTED_VALUE"""),10128.0)</f>
        <v>10128</v>
      </c>
      <c r="G1402" s="2" t="str">
        <f>IFERROR(__xludf.DUMMYFUNCTION("""COMPUTED_VALUE"""),"Es Kopi Susu")</f>
        <v>Es Kopi Susu</v>
      </c>
      <c r="H1402" s="2"/>
      <c r="I1402" s="2"/>
      <c r="J1402" s="2">
        <f>IFERROR(__xludf.DUMMYFUNCTION("""COMPUTED_VALUE"""),1.0)</f>
        <v>1</v>
      </c>
      <c r="K1402" s="6">
        <f>IFERROR(__xludf.DUMMYFUNCTION("""COMPUTED_VALUE"""),23333.0)</f>
        <v>23333</v>
      </c>
      <c r="L1402" s="2">
        <f>IFERROR(__xludf.DUMMYFUNCTION("""COMPUTED_VALUE"""),0.0)</f>
        <v>0</v>
      </c>
      <c r="M1402" s="2">
        <f>IFERROR(__xludf.DUMMYFUNCTION("""COMPUTED_VALUE"""),23333.0)</f>
        <v>23333</v>
      </c>
      <c r="N1402" s="2">
        <f>IFERROR(__xludf.DUMMYFUNCTION("""COMPUTED_VALUE"""),0.0)</f>
        <v>0</v>
      </c>
      <c r="O1402" s="2">
        <f>IFERROR(__xludf.DUMMYFUNCTION("""COMPUTED_VALUE"""),23333.0)</f>
        <v>23333</v>
      </c>
      <c r="P1402" s="2">
        <f>IFERROR(__xludf.DUMMYFUNCTION("""COMPUTED_VALUE"""),1167.0)</f>
        <v>1167</v>
      </c>
      <c r="Q1402" s="2" t="str">
        <f>IFERROR(__xludf.DUMMYFUNCTION("""COMPUTED_VALUE"""),"Dine In")</f>
        <v>Dine In</v>
      </c>
      <c r="R1402" s="2" t="str">
        <f>IFERROR(__xludf.DUMMYFUNCTION("""COMPUTED_VALUE"""),"Kedai")</f>
        <v>Kedai</v>
      </c>
      <c r="S1402" s="2" t="str">
        <f>IFERROR(__xludf.DUMMYFUNCTION("""COMPUTED_VALUE"""),"Temu Roti")</f>
        <v>Temu Roti</v>
      </c>
      <c r="T1402" s="2" t="str">
        <f>IFERROR(__xludf.DUMMYFUNCTION("""COMPUTED_VALUE"""),"Owner")</f>
        <v>Owner</v>
      </c>
      <c r="U1402" s="2"/>
      <c r="V1402" s="2"/>
      <c r="W1402" s="2"/>
      <c r="X1402" s="2" t="str">
        <f>IFERROR(__xludf.DUMMYFUNCTION("""COMPUTED_VALUE"""),"Closed")</f>
        <v>Closed</v>
      </c>
    </row>
    <row r="1403">
      <c r="A1403" s="3" t="s">
        <v>1413</v>
      </c>
      <c r="B1403" s="4">
        <f>IFERROR(__xludf.DUMMYFUNCTION("SPLIT(A1403,"","",0,0)"),45538.69375)</f>
        <v>45538.69375</v>
      </c>
      <c r="C1403" s="5">
        <f>IFERROR(__xludf.DUMMYFUNCTION("""COMPUTED_VALUE"""),2601290.0)</f>
        <v>2601290</v>
      </c>
      <c r="D1403" s="2" t="str">
        <f>IFERROR(__xludf.DUMMYFUNCTION("""COMPUTED_VALUE"""),"Sale")</f>
        <v>Sale</v>
      </c>
      <c r="E1403" s="2" t="str">
        <f>IFERROR(__xludf.DUMMYFUNCTION("""COMPUTED_VALUE"""),"Minuman")</f>
        <v>Minuman</v>
      </c>
      <c r="F1403" s="2">
        <f>IFERROR(__xludf.DUMMYFUNCTION("""COMPUTED_VALUE"""),10121.0)</f>
        <v>10121</v>
      </c>
      <c r="G1403" s="2" t="str">
        <f>IFERROR(__xludf.DUMMYFUNCTION("""COMPUTED_VALUE"""),"Lemon Tea Dingin")</f>
        <v>Lemon Tea Dingin</v>
      </c>
      <c r="H1403" s="2"/>
      <c r="I1403" s="2"/>
      <c r="J1403" s="2">
        <f>IFERROR(__xludf.DUMMYFUNCTION("""COMPUTED_VALUE"""),1.0)</f>
        <v>1</v>
      </c>
      <c r="K1403" s="6">
        <f>IFERROR(__xludf.DUMMYFUNCTION("""COMPUTED_VALUE"""),19524.0)</f>
        <v>19524</v>
      </c>
      <c r="L1403" s="2">
        <f>IFERROR(__xludf.DUMMYFUNCTION("""COMPUTED_VALUE"""),0.0)</f>
        <v>0</v>
      </c>
      <c r="M1403" s="2">
        <f>IFERROR(__xludf.DUMMYFUNCTION("""COMPUTED_VALUE"""),19524.0)</f>
        <v>19524</v>
      </c>
      <c r="N1403" s="2">
        <f>IFERROR(__xludf.DUMMYFUNCTION("""COMPUTED_VALUE"""),0.0)</f>
        <v>0</v>
      </c>
      <c r="O1403" s="2">
        <f>IFERROR(__xludf.DUMMYFUNCTION("""COMPUTED_VALUE"""),19524.0)</f>
        <v>19524</v>
      </c>
      <c r="P1403" s="2">
        <f>IFERROR(__xludf.DUMMYFUNCTION("""COMPUTED_VALUE"""),976.0)</f>
        <v>976</v>
      </c>
      <c r="Q1403" s="2" t="str">
        <f>IFERROR(__xludf.DUMMYFUNCTION("""COMPUTED_VALUE"""),"Dine In")</f>
        <v>Dine In</v>
      </c>
      <c r="R1403" s="2" t="str">
        <f>IFERROR(__xludf.DUMMYFUNCTION("""COMPUTED_VALUE"""),"Kedai")</f>
        <v>Kedai</v>
      </c>
      <c r="S1403" s="2" t="str">
        <f>IFERROR(__xludf.DUMMYFUNCTION("""COMPUTED_VALUE"""),"Temu Roti")</f>
        <v>Temu Roti</v>
      </c>
      <c r="T1403" s="2" t="str">
        <f>IFERROR(__xludf.DUMMYFUNCTION("""COMPUTED_VALUE"""),"Owner")</f>
        <v>Owner</v>
      </c>
      <c r="U1403" s="2"/>
      <c r="V1403" s="2"/>
      <c r="W1403" s="2"/>
      <c r="X1403" s="2" t="str">
        <f>IFERROR(__xludf.DUMMYFUNCTION("""COMPUTED_VALUE"""),"Closed")</f>
        <v>Closed</v>
      </c>
    </row>
    <row r="1404">
      <c r="A1404" s="3" t="s">
        <v>1414</v>
      </c>
      <c r="B1404" s="4">
        <f>IFERROR(__xludf.DUMMYFUNCTION("SPLIT(A1404,"","",0,0)"),45538.657638888886)</f>
        <v>45538.65764</v>
      </c>
      <c r="C1404" s="5">
        <f>IFERROR(__xludf.DUMMYFUNCTION("""COMPUTED_VALUE"""),2600925.0)</f>
        <v>2600925</v>
      </c>
      <c r="D1404" s="2" t="str">
        <f>IFERROR(__xludf.DUMMYFUNCTION("""COMPUTED_VALUE"""),"Sale")</f>
        <v>Sale</v>
      </c>
      <c r="E1404" s="2" t="str">
        <f>IFERROR(__xludf.DUMMYFUNCTION("""COMPUTED_VALUE"""),"Roti")</f>
        <v>Roti</v>
      </c>
      <c r="F1404" s="2">
        <f>IFERROR(__xludf.DUMMYFUNCTION("""COMPUTED_VALUE"""),10002.0)</f>
        <v>10002</v>
      </c>
      <c r="G1404" s="2" t="str">
        <f>IFERROR(__xludf.DUMMYFUNCTION("""COMPUTED_VALUE"""),"Roti Cranberry")</f>
        <v>Roti Cranberry</v>
      </c>
      <c r="H1404" s="2"/>
      <c r="I1404" s="2"/>
      <c r="J1404" s="2">
        <f>IFERROR(__xludf.DUMMYFUNCTION("""COMPUTED_VALUE"""),1.0)</f>
        <v>1</v>
      </c>
      <c r="K1404" s="6">
        <f>IFERROR(__xludf.DUMMYFUNCTION("""COMPUTED_VALUE"""),18571.0)</f>
        <v>18571</v>
      </c>
      <c r="L1404" s="2">
        <f>IFERROR(__xludf.DUMMYFUNCTION("""COMPUTED_VALUE"""),0.0)</f>
        <v>0</v>
      </c>
      <c r="M1404" s="2">
        <f>IFERROR(__xludf.DUMMYFUNCTION("""COMPUTED_VALUE"""),18571.0)</f>
        <v>18571</v>
      </c>
      <c r="N1404" s="2">
        <f>IFERROR(__xludf.DUMMYFUNCTION("""COMPUTED_VALUE"""),0.0)</f>
        <v>0</v>
      </c>
      <c r="O1404" s="2">
        <f>IFERROR(__xludf.DUMMYFUNCTION("""COMPUTED_VALUE"""),18571.0)</f>
        <v>18571</v>
      </c>
      <c r="P1404" s="2">
        <f>IFERROR(__xludf.DUMMYFUNCTION("""COMPUTED_VALUE"""),929.0)</f>
        <v>929</v>
      </c>
      <c r="Q1404" s="2" t="str">
        <f>IFERROR(__xludf.DUMMYFUNCTION("""COMPUTED_VALUE"""),"Dine In")</f>
        <v>Dine In</v>
      </c>
      <c r="R1404" s="2" t="str">
        <f>IFERROR(__xludf.DUMMYFUNCTION("""COMPUTED_VALUE"""),"Kedai")</f>
        <v>Kedai</v>
      </c>
      <c r="S1404" s="2" t="str">
        <f>IFERROR(__xludf.DUMMYFUNCTION("""COMPUTED_VALUE"""),"Temu Roti")</f>
        <v>Temu Roti</v>
      </c>
      <c r="T1404" s="2" t="str">
        <f>IFERROR(__xludf.DUMMYFUNCTION("""COMPUTED_VALUE"""),"Owner")</f>
        <v>Owner</v>
      </c>
      <c r="U1404" s="2"/>
      <c r="V1404" s="2"/>
      <c r="W1404" s="2"/>
      <c r="X1404" s="2" t="str">
        <f>IFERROR(__xludf.DUMMYFUNCTION("""COMPUTED_VALUE"""),"Closed")</f>
        <v>Closed</v>
      </c>
    </row>
    <row r="1405">
      <c r="A1405" s="3" t="s">
        <v>1415</v>
      </c>
      <c r="B1405" s="4">
        <f>IFERROR(__xludf.DUMMYFUNCTION("SPLIT(A1405,"","",0,0)"),45538.65694444445)</f>
        <v>45538.65694</v>
      </c>
      <c r="C1405" s="5">
        <f>IFERROR(__xludf.DUMMYFUNCTION("""COMPUTED_VALUE"""),2600559.0)</f>
        <v>2600559</v>
      </c>
      <c r="D1405" s="2" t="str">
        <f>IFERROR(__xludf.DUMMYFUNCTION("""COMPUTED_VALUE"""),"Sale")</f>
        <v>Sale</v>
      </c>
      <c r="E1405" s="2" t="str">
        <f>IFERROR(__xludf.DUMMYFUNCTION("""COMPUTED_VALUE"""),"Roti")</f>
        <v>Roti</v>
      </c>
      <c r="F1405" s="2">
        <f>IFERROR(__xludf.DUMMYFUNCTION("""COMPUTED_VALUE"""),10007.0)</f>
        <v>10007</v>
      </c>
      <c r="G1405" s="2" t="str">
        <f>IFERROR(__xludf.DUMMYFUNCTION("""COMPUTED_VALUE"""),"Roti cranberry 2 pcs")</f>
        <v>Roti cranberry 2 pcs</v>
      </c>
      <c r="H1405" s="2"/>
      <c r="I1405" s="2"/>
      <c r="J1405" s="2">
        <f>IFERROR(__xludf.DUMMYFUNCTION("""COMPUTED_VALUE"""),1.0)</f>
        <v>1</v>
      </c>
      <c r="K1405" s="6">
        <f>IFERROR(__xludf.DUMMYFUNCTION("""COMPUTED_VALUE"""),33810.0)</f>
        <v>33810</v>
      </c>
      <c r="L1405" s="2">
        <f>IFERROR(__xludf.DUMMYFUNCTION("""COMPUTED_VALUE"""),0.0)</f>
        <v>0</v>
      </c>
      <c r="M1405" s="2">
        <f>IFERROR(__xludf.DUMMYFUNCTION("""COMPUTED_VALUE"""),33810.0)</f>
        <v>33810</v>
      </c>
      <c r="N1405" s="2">
        <f>IFERROR(__xludf.DUMMYFUNCTION("""COMPUTED_VALUE"""),0.0)</f>
        <v>0</v>
      </c>
      <c r="O1405" s="2">
        <f>IFERROR(__xludf.DUMMYFUNCTION("""COMPUTED_VALUE"""),33810.0)</f>
        <v>33810</v>
      </c>
      <c r="P1405" s="2">
        <f>IFERROR(__xludf.DUMMYFUNCTION("""COMPUTED_VALUE"""),1691.0)</f>
        <v>1691</v>
      </c>
      <c r="Q1405" s="2" t="str">
        <f>IFERROR(__xludf.DUMMYFUNCTION("""COMPUTED_VALUE"""),"Dine In")</f>
        <v>Dine In</v>
      </c>
      <c r="R1405" s="2" t="str">
        <f>IFERROR(__xludf.DUMMYFUNCTION("""COMPUTED_VALUE"""),"Kedai")</f>
        <v>Kedai</v>
      </c>
      <c r="S1405" s="2" t="str">
        <f>IFERROR(__xludf.DUMMYFUNCTION("""COMPUTED_VALUE"""),"Temu Roti")</f>
        <v>Temu Roti</v>
      </c>
      <c r="T1405" s="2" t="str">
        <f>IFERROR(__xludf.DUMMYFUNCTION("""COMPUTED_VALUE"""),"Owner")</f>
        <v>Owner</v>
      </c>
      <c r="U1405" s="2"/>
      <c r="V1405" s="2"/>
      <c r="W1405" s="2"/>
      <c r="X1405" s="2" t="str">
        <f>IFERROR(__xludf.DUMMYFUNCTION("""COMPUTED_VALUE"""),"Closed")</f>
        <v>Closed</v>
      </c>
    </row>
    <row r="1406">
      <c r="A1406" s="3" t="s">
        <v>1416</v>
      </c>
      <c r="B1406" s="4">
        <f>IFERROR(__xludf.DUMMYFUNCTION("SPLIT(A1406,"","",0,0)"),45538.65694444445)</f>
        <v>45538.65694</v>
      </c>
      <c r="C1406" s="5">
        <f>IFERROR(__xludf.DUMMYFUNCTION("""COMPUTED_VALUE"""),2600559.0)</f>
        <v>2600559</v>
      </c>
      <c r="D1406" s="2" t="str">
        <f>IFERROR(__xludf.DUMMYFUNCTION("""COMPUTED_VALUE"""),"Sale")</f>
        <v>Sale</v>
      </c>
      <c r="E1406" s="2" t="str">
        <f>IFERROR(__xludf.DUMMYFUNCTION("""COMPUTED_VALUE"""),"Minuman")</f>
        <v>Minuman</v>
      </c>
      <c r="F1406" s="2">
        <f>IFERROR(__xludf.DUMMYFUNCTION("""COMPUTED_VALUE"""),10128.0)</f>
        <v>10128</v>
      </c>
      <c r="G1406" s="2" t="str">
        <f>IFERROR(__xludf.DUMMYFUNCTION("""COMPUTED_VALUE"""),"Es Kopi Susu")</f>
        <v>Es Kopi Susu</v>
      </c>
      <c r="H1406" s="2"/>
      <c r="I1406" s="2"/>
      <c r="J1406" s="2">
        <f>IFERROR(__xludf.DUMMYFUNCTION("""COMPUTED_VALUE"""),1.0)</f>
        <v>1</v>
      </c>
      <c r="K1406" s="6">
        <f>IFERROR(__xludf.DUMMYFUNCTION("""COMPUTED_VALUE"""),23333.0)</f>
        <v>23333</v>
      </c>
      <c r="L1406" s="2">
        <f>IFERROR(__xludf.DUMMYFUNCTION("""COMPUTED_VALUE"""),0.0)</f>
        <v>0</v>
      </c>
      <c r="M1406" s="2">
        <f>IFERROR(__xludf.DUMMYFUNCTION("""COMPUTED_VALUE"""),23333.0)</f>
        <v>23333</v>
      </c>
      <c r="N1406" s="2">
        <f>IFERROR(__xludf.DUMMYFUNCTION("""COMPUTED_VALUE"""),0.0)</f>
        <v>0</v>
      </c>
      <c r="O1406" s="2">
        <f>IFERROR(__xludf.DUMMYFUNCTION("""COMPUTED_VALUE"""),23333.0)</f>
        <v>23333</v>
      </c>
      <c r="P1406" s="2">
        <f>IFERROR(__xludf.DUMMYFUNCTION("""COMPUTED_VALUE"""),1166.0)</f>
        <v>1166</v>
      </c>
      <c r="Q1406" s="2" t="str">
        <f>IFERROR(__xludf.DUMMYFUNCTION("""COMPUTED_VALUE"""),"Dine In")</f>
        <v>Dine In</v>
      </c>
      <c r="R1406" s="2" t="str">
        <f>IFERROR(__xludf.DUMMYFUNCTION("""COMPUTED_VALUE"""),"Kedai")</f>
        <v>Kedai</v>
      </c>
      <c r="S1406" s="2" t="str">
        <f>IFERROR(__xludf.DUMMYFUNCTION("""COMPUTED_VALUE"""),"Temu Roti")</f>
        <v>Temu Roti</v>
      </c>
      <c r="T1406" s="2" t="str">
        <f>IFERROR(__xludf.DUMMYFUNCTION("""COMPUTED_VALUE"""),"Owner")</f>
        <v>Owner</v>
      </c>
      <c r="U1406" s="2"/>
      <c r="V1406" s="2"/>
      <c r="W1406" s="2"/>
      <c r="X1406" s="2" t="str">
        <f>IFERROR(__xludf.DUMMYFUNCTION("""COMPUTED_VALUE"""),"Closed")</f>
        <v>Closed</v>
      </c>
    </row>
    <row r="1407">
      <c r="A1407" s="3" t="s">
        <v>1417</v>
      </c>
      <c r="B1407" s="4">
        <f>IFERROR(__xludf.DUMMYFUNCTION("SPLIT(A1407,"","",0,0)"),45538.60902777778)</f>
        <v>45538.60903</v>
      </c>
      <c r="C1407" s="5">
        <f>IFERROR(__xludf.DUMMYFUNCTION("""COMPUTED_VALUE"""),2600194.0)</f>
        <v>2600194</v>
      </c>
      <c r="D1407" s="2" t="str">
        <f>IFERROR(__xludf.DUMMYFUNCTION("""COMPUTED_VALUE"""),"Sale")</f>
        <v>Sale</v>
      </c>
      <c r="E1407" s="2" t="str">
        <f>IFERROR(__xludf.DUMMYFUNCTION("""COMPUTED_VALUE"""),"Roti")</f>
        <v>Roti</v>
      </c>
      <c r="F1407" s="2">
        <f>IFERROR(__xludf.DUMMYFUNCTION("""COMPUTED_VALUE"""),10002.0)</f>
        <v>10002</v>
      </c>
      <c r="G1407" s="2" t="str">
        <f>IFERROR(__xludf.DUMMYFUNCTION("""COMPUTED_VALUE"""),"Roti Cranberry")</f>
        <v>Roti Cranberry</v>
      </c>
      <c r="H1407" s="2"/>
      <c r="I1407" s="2"/>
      <c r="J1407" s="2">
        <f>IFERROR(__xludf.DUMMYFUNCTION("""COMPUTED_VALUE"""),1.0)</f>
        <v>1</v>
      </c>
      <c r="K1407" s="6">
        <f>IFERROR(__xludf.DUMMYFUNCTION("""COMPUTED_VALUE"""),18571.0)</f>
        <v>18571</v>
      </c>
      <c r="L1407" s="2">
        <f>IFERROR(__xludf.DUMMYFUNCTION("""COMPUTED_VALUE"""),0.0)</f>
        <v>0</v>
      </c>
      <c r="M1407" s="2">
        <f>IFERROR(__xludf.DUMMYFUNCTION("""COMPUTED_VALUE"""),18571.0)</f>
        <v>18571</v>
      </c>
      <c r="N1407" s="2">
        <f>IFERROR(__xludf.DUMMYFUNCTION("""COMPUTED_VALUE"""),0.0)</f>
        <v>0</v>
      </c>
      <c r="O1407" s="2">
        <f>IFERROR(__xludf.DUMMYFUNCTION("""COMPUTED_VALUE"""),18571.0)</f>
        <v>18571</v>
      </c>
      <c r="P1407" s="2">
        <f>IFERROR(__xludf.DUMMYFUNCTION("""COMPUTED_VALUE"""),929.0)</f>
        <v>929</v>
      </c>
      <c r="Q1407" s="2" t="str">
        <f>IFERROR(__xludf.DUMMYFUNCTION("""COMPUTED_VALUE"""),"Dine In")</f>
        <v>Dine In</v>
      </c>
      <c r="R1407" s="2" t="str">
        <f>IFERROR(__xludf.DUMMYFUNCTION("""COMPUTED_VALUE"""),"Kedai")</f>
        <v>Kedai</v>
      </c>
      <c r="S1407" s="2" t="str">
        <f>IFERROR(__xludf.DUMMYFUNCTION("""COMPUTED_VALUE"""),"Temu Roti")</f>
        <v>Temu Roti</v>
      </c>
      <c r="T1407" s="2" t="str">
        <f>IFERROR(__xludf.DUMMYFUNCTION("""COMPUTED_VALUE"""),"Owner")</f>
        <v>Owner</v>
      </c>
      <c r="U1407" s="2"/>
      <c r="V1407" s="2"/>
      <c r="W1407" s="2"/>
      <c r="X1407" s="2" t="str">
        <f>IFERROR(__xludf.DUMMYFUNCTION("""COMPUTED_VALUE"""),"Closed")</f>
        <v>Closed</v>
      </c>
    </row>
    <row r="1408">
      <c r="A1408" s="3" t="s">
        <v>1418</v>
      </c>
      <c r="B1408" s="4">
        <f>IFERROR(__xludf.DUMMYFUNCTION("SPLIT(A1408,"","",0,0)"),45538.59305555555)</f>
        <v>45538.59306</v>
      </c>
      <c r="C1408" s="5">
        <f>IFERROR(__xludf.DUMMYFUNCTION("""COMPUTED_VALUE"""),2599829.0)</f>
        <v>2599829</v>
      </c>
      <c r="D1408" s="2" t="str">
        <f>IFERROR(__xludf.DUMMYFUNCTION("""COMPUTED_VALUE"""),"Sale")</f>
        <v>Sale</v>
      </c>
      <c r="E1408" s="2" t="str">
        <f>IFERROR(__xludf.DUMMYFUNCTION("""COMPUTED_VALUE"""),"Minuman")</f>
        <v>Minuman</v>
      </c>
      <c r="F1408" s="2">
        <f>IFERROR(__xludf.DUMMYFUNCTION("""COMPUTED_VALUE"""),10128.0)</f>
        <v>10128</v>
      </c>
      <c r="G1408" s="2" t="str">
        <f>IFERROR(__xludf.DUMMYFUNCTION("""COMPUTED_VALUE"""),"Es Kopi Susu")</f>
        <v>Es Kopi Susu</v>
      </c>
      <c r="H1408" s="2"/>
      <c r="I1408" s="2"/>
      <c r="J1408" s="2">
        <f>IFERROR(__xludf.DUMMYFUNCTION("""COMPUTED_VALUE"""),1.0)</f>
        <v>1</v>
      </c>
      <c r="K1408" s="6">
        <f>IFERROR(__xludf.DUMMYFUNCTION("""COMPUTED_VALUE"""),23333.0)</f>
        <v>23333</v>
      </c>
      <c r="L1408" s="2">
        <f>IFERROR(__xludf.DUMMYFUNCTION("""COMPUTED_VALUE"""),0.0)</f>
        <v>0</v>
      </c>
      <c r="M1408" s="2">
        <f>IFERROR(__xludf.DUMMYFUNCTION("""COMPUTED_VALUE"""),23333.0)</f>
        <v>23333</v>
      </c>
      <c r="N1408" s="2">
        <f>IFERROR(__xludf.DUMMYFUNCTION("""COMPUTED_VALUE"""),0.0)</f>
        <v>0</v>
      </c>
      <c r="O1408" s="2">
        <f>IFERROR(__xludf.DUMMYFUNCTION("""COMPUTED_VALUE"""),23333.0)</f>
        <v>23333</v>
      </c>
      <c r="P1408" s="2">
        <f>IFERROR(__xludf.DUMMYFUNCTION("""COMPUTED_VALUE"""),1167.0)</f>
        <v>1167</v>
      </c>
      <c r="Q1408" s="2" t="str">
        <f>IFERROR(__xludf.DUMMYFUNCTION("""COMPUTED_VALUE"""),"Dine In")</f>
        <v>Dine In</v>
      </c>
      <c r="R1408" s="2" t="str">
        <f>IFERROR(__xludf.DUMMYFUNCTION("""COMPUTED_VALUE"""),"Kedai")</f>
        <v>Kedai</v>
      </c>
      <c r="S1408" s="2" t="str">
        <f>IFERROR(__xludf.DUMMYFUNCTION("""COMPUTED_VALUE"""),"Temu Roti")</f>
        <v>Temu Roti</v>
      </c>
      <c r="T1408" s="2" t="str">
        <f>IFERROR(__xludf.DUMMYFUNCTION("""COMPUTED_VALUE"""),"Owner")</f>
        <v>Owner</v>
      </c>
      <c r="U1408" s="2"/>
      <c r="V1408" s="2"/>
      <c r="W1408" s="2"/>
      <c r="X1408" s="2" t="str">
        <f>IFERROR(__xludf.DUMMYFUNCTION("""COMPUTED_VALUE"""),"Closed")</f>
        <v>Closed</v>
      </c>
    </row>
    <row r="1409">
      <c r="A1409" s="3" t="s">
        <v>1419</v>
      </c>
      <c r="B1409" s="4">
        <f>IFERROR(__xludf.DUMMYFUNCTION("SPLIT(A1409,"","",0,0)"),45538.58472222222)</f>
        <v>45538.58472</v>
      </c>
      <c r="C1409" s="5">
        <f>IFERROR(__xludf.DUMMYFUNCTION("""COMPUTED_VALUE"""),2599464.0)</f>
        <v>2599464</v>
      </c>
      <c r="D1409" s="2" t="str">
        <f>IFERROR(__xludf.DUMMYFUNCTION("""COMPUTED_VALUE"""),"Sale")</f>
        <v>Sale</v>
      </c>
      <c r="E1409" s="2" t="str">
        <f>IFERROR(__xludf.DUMMYFUNCTION("""COMPUTED_VALUE"""),"Kudapan")</f>
        <v>Kudapan</v>
      </c>
      <c r="F1409" s="2">
        <f>IFERROR(__xludf.DUMMYFUNCTION("""COMPUTED_VALUE"""),10014.0)</f>
        <v>10014</v>
      </c>
      <c r="G1409" s="2" t="str">
        <f>IFERROR(__xludf.DUMMYFUNCTION("""COMPUTED_VALUE"""),"Tempe Mendoan")</f>
        <v>Tempe Mendoan</v>
      </c>
      <c r="H1409" s="2"/>
      <c r="I1409" s="2"/>
      <c r="J1409" s="2">
        <f>IFERROR(__xludf.DUMMYFUNCTION("""COMPUTED_VALUE"""),1.0)</f>
        <v>1</v>
      </c>
      <c r="K1409" s="6">
        <f>IFERROR(__xludf.DUMMYFUNCTION("""COMPUTED_VALUE"""),25238.0)</f>
        <v>25238</v>
      </c>
      <c r="L1409" s="2">
        <f>IFERROR(__xludf.DUMMYFUNCTION("""COMPUTED_VALUE"""),0.0)</f>
        <v>0</v>
      </c>
      <c r="M1409" s="2">
        <f>IFERROR(__xludf.DUMMYFUNCTION("""COMPUTED_VALUE"""),25238.0)</f>
        <v>25238</v>
      </c>
      <c r="N1409" s="2">
        <f>IFERROR(__xludf.DUMMYFUNCTION("""COMPUTED_VALUE"""),0.0)</f>
        <v>0</v>
      </c>
      <c r="O1409" s="2">
        <f>IFERROR(__xludf.DUMMYFUNCTION("""COMPUTED_VALUE"""),25238.0)</f>
        <v>25238</v>
      </c>
      <c r="P1409" s="2">
        <f>IFERROR(__xludf.DUMMYFUNCTION("""COMPUTED_VALUE"""),1262.0)</f>
        <v>1262</v>
      </c>
      <c r="Q1409" s="2" t="str">
        <f>IFERROR(__xludf.DUMMYFUNCTION("""COMPUTED_VALUE"""),"Dine In")</f>
        <v>Dine In</v>
      </c>
      <c r="R1409" s="2" t="str">
        <f>IFERROR(__xludf.DUMMYFUNCTION("""COMPUTED_VALUE"""),"Kedai")</f>
        <v>Kedai</v>
      </c>
      <c r="S1409" s="2" t="str">
        <f>IFERROR(__xludf.DUMMYFUNCTION("""COMPUTED_VALUE"""),"Temu Roti")</f>
        <v>Temu Roti</v>
      </c>
      <c r="T1409" s="2" t="str">
        <f>IFERROR(__xludf.DUMMYFUNCTION("""COMPUTED_VALUE"""),"Owner")</f>
        <v>Owner</v>
      </c>
      <c r="U1409" s="2"/>
      <c r="V1409" s="2"/>
      <c r="W1409" s="2"/>
      <c r="X1409" s="2" t="str">
        <f>IFERROR(__xludf.DUMMYFUNCTION("""COMPUTED_VALUE"""),"Closed")</f>
        <v>Closed</v>
      </c>
    </row>
    <row r="1410">
      <c r="A1410" s="3" t="s">
        <v>1420</v>
      </c>
      <c r="B1410" s="4">
        <f>IFERROR(__xludf.DUMMYFUNCTION("SPLIT(A1410,"","",0,0)"),45538.57013888889)</f>
        <v>45538.57014</v>
      </c>
      <c r="C1410" s="5">
        <f>IFERROR(__xludf.DUMMYFUNCTION("""COMPUTED_VALUE"""),2599098.0)</f>
        <v>2599098</v>
      </c>
      <c r="D1410" s="2" t="str">
        <f>IFERROR(__xludf.DUMMYFUNCTION("""COMPUTED_VALUE"""),"Sale")</f>
        <v>Sale</v>
      </c>
      <c r="E1410" s="2" t="str">
        <f>IFERROR(__xludf.DUMMYFUNCTION("""COMPUTED_VALUE"""),"Roti")</f>
        <v>Roti</v>
      </c>
      <c r="F1410" s="2">
        <f>IFERROR(__xludf.DUMMYFUNCTION("""COMPUTED_VALUE"""),10034.0)</f>
        <v>10034</v>
      </c>
      <c r="G1410" s="2" t="str">
        <f>IFERROR(__xludf.DUMMYFUNCTION("""COMPUTED_VALUE"""),"Roti panggang coklat")</f>
        <v>Roti panggang coklat</v>
      </c>
      <c r="H1410" s="2"/>
      <c r="I1410" s="2"/>
      <c r="J1410" s="2">
        <f>IFERROR(__xludf.DUMMYFUNCTION("""COMPUTED_VALUE"""),1.0)</f>
        <v>1</v>
      </c>
      <c r="K1410" s="6">
        <f>IFERROR(__xludf.DUMMYFUNCTION("""COMPUTED_VALUE"""),21905.0)</f>
        <v>21905</v>
      </c>
      <c r="L1410" s="2">
        <f>IFERROR(__xludf.DUMMYFUNCTION("""COMPUTED_VALUE"""),0.0)</f>
        <v>0</v>
      </c>
      <c r="M1410" s="2">
        <f>IFERROR(__xludf.DUMMYFUNCTION("""COMPUTED_VALUE"""),21905.0)</f>
        <v>21905</v>
      </c>
      <c r="N1410" s="2">
        <f>IFERROR(__xludf.DUMMYFUNCTION("""COMPUTED_VALUE"""),0.0)</f>
        <v>0</v>
      </c>
      <c r="O1410" s="2">
        <f>IFERROR(__xludf.DUMMYFUNCTION("""COMPUTED_VALUE"""),21905.0)</f>
        <v>21905</v>
      </c>
      <c r="P1410" s="2">
        <f>IFERROR(__xludf.DUMMYFUNCTION("""COMPUTED_VALUE"""),1095.0)</f>
        <v>1095</v>
      </c>
      <c r="Q1410" s="2" t="str">
        <f>IFERROR(__xludf.DUMMYFUNCTION("""COMPUTED_VALUE"""),"Dine In")</f>
        <v>Dine In</v>
      </c>
      <c r="R1410" s="2" t="str">
        <f>IFERROR(__xludf.DUMMYFUNCTION("""COMPUTED_VALUE"""),"Kedai")</f>
        <v>Kedai</v>
      </c>
      <c r="S1410" s="2" t="str">
        <f>IFERROR(__xludf.DUMMYFUNCTION("""COMPUTED_VALUE"""),"Temu Roti")</f>
        <v>Temu Roti</v>
      </c>
      <c r="T1410" s="2" t="str">
        <f>IFERROR(__xludf.DUMMYFUNCTION("""COMPUTED_VALUE"""),"Owner")</f>
        <v>Owner</v>
      </c>
      <c r="U1410" s="2"/>
      <c r="V1410" s="2"/>
      <c r="W1410" s="2"/>
      <c r="X1410" s="2" t="str">
        <f>IFERROR(__xludf.DUMMYFUNCTION("""COMPUTED_VALUE"""),"Closed")</f>
        <v>Closed</v>
      </c>
    </row>
    <row r="1411">
      <c r="A1411" s="3" t="s">
        <v>1421</v>
      </c>
      <c r="B1411" s="4">
        <f>IFERROR(__xludf.DUMMYFUNCTION("SPLIT(A1411,"","",0,0)"),45538.57013888889)</f>
        <v>45538.57014</v>
      </c>
      <c r="C1411" s="5">
        <f>IFERROR(__xludf.DUMMYFUNCTION("""COMPUTED_VALUE"""),2599098.0)</f>
        <v>2599098</v>
      </c>
      <c r="D1411" s="2" t="str">
        <f>IFERROR(__xludf.DUMMYFUNCTION("""COMPUTED_VALUE"""),"Sale")</f>
        <v>Sale</v>
      </c>
      <c r="E1411" s="2" t="str">
        <f>IFERROR(__xludf.DUMMYFUNCTION("""COMPUTED_VALUE"""),"Minuman")</f>
        <v>Minuman</v>
      </c>
      <c r="F1411" s="2">
        <f>IFERROR(__xludf.DUMMYFUNCTION("""COMPUTED_VALUE"""),10125.0)</f>
        <v>10125</v>
      </c>
      <c r="G1411" s="2" t="str">
        <f>IFERROR(__xludf.DUMMYFUNCTION("""COMPUTED_VALUE"""),"Gula Asam Dingin")</f>
        <v>Gula Asam Dingin</v>
      </c>
      <c r="H1411" s="2"/>
      <c r="I1411" s="2"/>
      <c r="J1411" s="2">
        <f>IFERROR(__xludf.DUMMYFUNCTION("""COMPUTED_VALUE"""),1.0)</f>
        <v>1</v>
      </c>
      <c r="K1411" s="6">
        <f>IFERROR(__xludf.DUMMYFUNCTION("""COMPUTED_VALUE"""),20476.0)</f>
        <v>20476</v>
      </c>
      <c r="L1411" s="2">
        <f>IFERROR(__xludf.DUMMYFUNCTION("""COMPUTED_VALUE"""),0.0)</f>
        <v>0</v>
      </c>
      <c r="M1411" s="2">
        <f>IFERROR(__xludf.DUMMYFUNCTION("""COMPUTED_VALUE"""),20476.0)</f>
        <v>20476</v>
      </c>
      <c r="N1411" s="2">
        <f>IFERROR(__xludf.DUMMYFUNCTION("""COMPUTED_VALUE"""),0.0)</f>
        <v>0</v>
      </c>
      <c r="O1411" s="2">
        <f>IFERROR(__xludf.DUMMYFUNCTION("""COMPUTED_VALUE"""),20476.0)</f>
        <v>20476</v>
      </c>
      <c r="P1411" s="2">
        <f>IFERROR(__xludf.DUMMYFUNCTION("""COMPUTED_VALUE"""),1024.0)</f>
        <v>1024</v>
      </c>
      <c r="Q1411" s="2" t="str">
        <f>IFERROR(__xludf.DUMMYFUNCTION("""COMPUTED_VALUE"""),"Dine In")</f>
        <v>Dine In</v>
      </c>
      <c r="R1411" s="2" t="str">
        <f>IFERROR(__xludf.DUMMYFUNCTION("""COMPUTED_VALUE"""),"Kedai")</f>
        <v>Kedai</v>
      </c>
      <c r="S1411" s="2" t="str">
        <f>IFERROR(__xludf.DUMMYFUNCTION("""COMPUTED_VALUE"""),"Temu Roti")</f>
        <v>Temu Roti</v>
      </c>
      <c r="T1411" s="2" t="str">
        <f>IFERROR(__xludf.DUMMYFUNCTION("""COMPUTED_VALUE"""),"Owner")</f>
        <v>Owner</v>
      </c>
      <c r="U1411" s="2"/>
      <c r="V1411" s="2"/>
      <c r="W1411" s="2"/>
      <c r="X1411" s="2" t="str">
        <f>IFERROR(__xludf.DUMMYFUNCTION("""COMPUTED_VALUE"""),"Closed")</f>
        <v>Closed</v>
      </c>
    </row>
    <row r="1412">
      <c r="A1412" s="3" t="s">
        <v>1422</v>
      </c>
      <c r="B1412" s="4">
        <f>IFERROR(__xludf.DUMMYFUNCTION("SPLIT(A1412,"","",0,0)"),45538.54652777778)</f>
        <v>45538.54653</v>
      </c>
      <c r="C1412" s="5">
        <f>IFERROR(__xludf.DUMMYFUNCTION("""COMPUTED_VALUE"""),2598733.0)</f>
        <v>2598733</v>
      </c>
      <c r="D1412" s="2" t="str">
        <f>IFERROR(__xludf.DUMMYFUNCTION("""COMPUTED_VALUE"""),"Sale")</f>
        <v>Sale</v>
      </c>
      <c r="E1412" s="2" t="str">
        <f>IFERROR(__xludf.DUMMYFUNCTION("""COMPUTED_VALUE"""),"Minuman")</f>
        <v>Minuman</v>
      </c>
      <c r="F1412" s="2">
        <f>IFERROR(__xludf.DUMMYFUNCTION("""COMPUTED_VALUE"""),10128.0)</f>
        <v>10128</v>
      </c>
      <c r="G1412" s="2" t="str">
        <f>IFERROR(__xludf.DUMMYFUNCTION("""COMPUTED_VALUE"""),"Es Kopi Susu")</f>
        <v>Es Kopi Susu</v>
      </c>
      <c r="H1412" s="2"/>
      <c r="I1412" s="2"/>
      <c r="J1412" s="2">
        <f>IFERROR(__xludf.DUMMYFUNCTION("""COMPUTED_VALUE"""),1.0)</f>
        <v>1</v>
      </c>
      <c r="K1412" s="6">
        <f>IFERROR(__xludf.DUMMYFUNCTION("""COMPUTED_VALUE"""),23333.0)</f>
        <v>23333</v>
      </c>
      <c r="L1412" s="2">
        <f>IFERROR(__xludf.DUMMYFUNCTION("""COMPUTED_VALUE"""),0.0)</f>
        <v>0</v>
      </c>
      <c r="M1412" s="2">
        <f>IFERROR(__xludf.DUMMYFUNCTION("""COMPUTED_VALUE"""),23333.0)</f>
        <v>23333</v>
      </c>
      <c r="N1412" s="2">
        <f>IFERROR(__xludf.DUMMYFUNCTION("""COMPUTED_VALUE"""),0.0)</f>
        <v>0</v>
      </c>
      <c r="O1412" s="2">
        <f>IFERROR(__xludf.DUMMYFUNCTION("""COMPUTED_VALUE"""),23333.0)</f>
        <v>23333</v>
      </c>
      <c r="P1412" s="2">
        <f>IFERROR(__xludf.DUMMYFUNCTION("""COMPUTED_VALUE"""),1167.0)</f>
        <v>1167</v>
      </c>
      <c r="Q1412" s="2" t="str">
        <f>IFERROR(__xludf.DUMMYFUNCTION("""COMPUTED_VALUE"""),"Dine In")</f>
        <v>Dine In</v>
      </c>
      <c r="R1412" s="2" t="str">
        <f>IFERROR(__xludf.DUMMYFUNCTION("""COMPUTED_VALUE"""),"Kedai")</f>
        <v>Kedai</v>
      </c>
      <c r="S1412" s="2" t="str">
        <f>IFERROR(__xludf.DUMMYFUNCTION("""COMPUTED_VALUE"""),"Temu Roti")</f>
        <v>Temu Roti</v>
      </c>
      <c r="T1412" s="2" t="str">
        <f>IFERROR(__xludf.DUMMYFUNCTION("""COMPUTED_VALUE"""),"Owner")</f>
        <v>Owner</v>
      </c>
      <c r="U1412" s="2"/>
      <c r="V1412" s="2"/>
      <c r="W1412" s="2"/>
      <c r="X1412" s="2" t="str">
        <f>IFERROR(__xludf.DUMMYFUNCTION("""COMPUTED_VALUE"""),"Closed")</f>
        <v>Closed</v>
      </c>
    </row>
    <row r="1413">
      <c r="A1413" s="3" t="s">
        <v>1423</v>
      </c>
      <c r="B1413" s="4">
        <f>IFERROR(__xludf.DUMMYFUNCTION("SPLIT(A1413,"","",0,0)"),45538.54583333333)</f>
        <v>45538.54583</v>
      </c>
      <c r="C1413" s="5">
        <f>IFERROR(__xludf.DUMMYFUNCTION("""COMPUTED_VALUE"""),2598368.0)</f>
        <v>2598368</v>
      </c>
      <c r="D1413" s="2" t="str">
        <f>IFERROR(__xludf.DUMMYFUNCTION("""COMPUTED_VALUE"""),"Sale")</f>
        <v>Sale</v>
      </c>
      <c r="E1413" s="2" t="str">
        <f>IFERROR(__xludf.DUMMYFUNCTION("""COMPUTED_VALUE"""),"Minuman")</f>
        <v>Minuman</v>
      </c>
      <c r="F1413" s="2">
        <f>IFERROR(__xludf.DUMMYFUNCTION("""COMPUTED_VALUE"""),10128.0)</f>
        <v>10128</v>
      </c>
      <c r="G1413" s="2" t="str">
        <f>IFERROR(__xludf.DUMMYFUNCTION("""COMPUTED_VALUE"""),"Es Kopi Susu")</f>
        <v>Es Kopi Susu</v>
      </c>
      <c r="H1413" s="2"/>
      <c r="I1413" s="2"/>
      <c r="J1413" s="2">
        <f>IFERROR(__xludf.DUMMYFUNCTION("""COMPUTED_VALUE"""),1.0)</f>
        <v>1</v>
      </c>
      <c r="K1413" s="6">
        <f>IFERROR(__xludf.DUMMYFUNCTION("""COMPUTED_VALUE"""),23333.0)</f>
        <v>23333</v>
      </c>
      <c r="L1413" s="2">
        <f>IFERROR(__xludf.DUMMYFUNCTION("""COMPUTED_VALUE"""),0.0)</f>
        <v>0</v>
      </c>
      <c r="M1413" s="2">
        <f>IFERROR(__xludf.DUMMYFUNCTION("""COMPUTED_VALUE"""),23333.0)</f>
        <v>23333</v>
      </c>
      <c r="N1413" s="2">
        <f>IFERROR(__xludf.DUMMYFUNCTION("""COMPUTED_VALUE"""),0.0)</f>
        <v>0</v>
      </c>
      <c r="O1413" s="2">
        <f>IFERROR(__xludf.DUMMYFUNCTION("""COMPUTED_VALUE"""),23333.0)</f>
        <v>23333</v>
      </c>
      <c r="P1413" s="2">
        <f>IFERROR(__xludf.DUMMYFUNCTION("""COMPUTED_VALUE"""),1167.0)</f>
        <v>1167</v>
      </c>
      <c r="Q1413" s="2" t="str">
        <f>IFERROR(__xludf.DUMMYFUNCTION("""COMPUTED_VALUE"""),"Dine In")</f>
        <v>Dine In</v>
      </c>
      <c r="R1413" s="2" t="str">
        <f>IFERROR(__xludf.DUMMYFUNCTION("""COMPUTED_VALUE"""),"Kedai")</f>
        <v>Kedai</v>
      </c>
      <c r="S1413" s="2" t="str">
        <f>IFERROR(__xludf.DUMMYFUNCTION("""COMPUTED_VALUE"""),"Temu Roti")</f>
        <v>Temu Roti</v>
      </c>
      <c r="T1413" s="2" t="str">
        <f>IFERROR(__xludf.DUMMYFUNCTION("""COMPUTED_VALUE"""),"Owner")</f>
        <v>Owner</v>
      </c>
      <c r="U1413" s="2"/>
      <c r="V1413" s="2"/>
      <c r="W1413" s="2"/>
      <c r="X1413" s="2" t="str">
        <f>IFERROR(__xludf.DUMMYFUNCTION("""COMPUTED_VALUE"""),"Closed")</f>
        <v>Closed</v>
      </c>
    </row>
    <row r="1414">
      <c r="A1414" s="3" t="s">
        <v>1424</v>
      </c>
      <c r="B1414" s="4">
        <f>IFERROR(__xludf.DUMMYFUNCTION("SPLIT(A1414,"","",0,0)"),45538.54583333333)</f>
        <v>45538.54583</v>
      </c>
      <c r="C1414" s="5">
        <f>IFERROR(__xludf.DUMMYFUNCTION("""COMPUTED_VALUE"""),2598368.0)</f>
        <v>2598368</v>
      </c>
      <c r="D1414" s="2" t="str">
        <f>IFERROR(__xludf.DUMMYFUNCTION("""COMPUTED_VALUE"""),"Sale")</f>
        <v>Sale</v>
      </c>
      <c r="E1414" s="2" t="str">
        <f>IFERROR(__xludf.DUMMYFUNCTION("""COMPUTED_VALUE"""),"Minuman")</f>
        <v>Minuman</v>
      </c>
      <c r="F1414" s="2">
        <f>IFERROR(__xludf.DUMMYFUNCTION("""COMPUTED_VALUE"""),10057.0)</f>
        <v>10057</v>
      </c>
      <c r="G1414" s="2" t="str">
        <f>IFERROR(__xludf.DUMMYFUNCTION("""COMPUTED_VALUE"""),"Susu murni strawberry")</f>
        <v>Susu murni strawberry</v>
      </c>
      <c r="H1414" s="2"/>
      <c r="I1414" s="2"/>
      <c r="J1414" s="2">
        <f>IFERROR(__xludf.DUMMYFUNCTION("""COMPUTED_VALUE"""),1.0)</f>
        <v>1</v>
      </c>
      <c r="K1414" s="6">
        <f>IFERROR(__xludf.DUMMYFUNCTION("""COMPUTED_VALUE"""),19524.0)</f>
        <v>19524</v>
      </c>
      <c r="L1414" s="2">
        <f>IFERROR(__xludf.DUMMYFUNCTION("""COMPUTED_VALUE"""),0.0)</f>
        <v>0</v>
      </c>
      <c r="M1414" s="2">
        <f>IFERROR(__xludf.DUMMYFUNCTION("""COMPUTED_VALUE"""),19524.0)</f>
        <v>19524</v>
      </c>
      <c r="N1414" s="2">
        <f>IFERROR(__xludf.DUMMYFUNCTION("""COMPUTED_VALUE"""),0.0)</f>
        <v>0</v>
      </c>
      <c r="O1414" s="2">
        <f>IFERROR(__xludf.DUMMYFUNCTION("""COMPUTED_VALUE"""),19524.0)</f>
        <v>19524</v>
      </c>
      <c r="P1414" s="2">
        <f>IFERROR(__xludf.DUMMYFUNCTION("""COMPUTED_VALUE"""),976.0)</f>
        <v>976</v>
      </c>
      <c r="Q1414" s="2" t="str">
        <f>IFERROR(__xludf.DUMMYFUNCTION("""COMPUTED_VALUE"""),"Dine In")</f>
        <v>Dine In</v>
      </c>
      <c r="R1414" s="2" t="str">
        <f>IFERROR(__xludf.DUMMYFUNCTION("""COMPUTED_VALUE"""),"Kedai")</f>
        <v>Kedai</v>
      </c>
      <c r="S1414" s="2" t="str">
        <f>IFERROR(__xludf.DUMMYFUNCTION("""COMPUTED_VALUE"""),"Temu Roti")</f>
        <v>Temu Roti</v>
      </c>
      <c r="T1414" s="2" t="str">
        <f>IFERROR(__xludf.DUMMYFUNCTION("""COMPUTED_VALUE"""),"Owner")</f>
        <v>Owner</v>
      </c>
      <c r="U1414" s="2"/>
      <c r="V1414" s="2"/>
      <c r="W1414" s="2"/>
      <c r="X1414" s="2" t="str">
        <f>IFERROR(__xludf.DUMMYFUNCTION("""COMPUTED_VALUE"""),"Closed")</f>
        <v>Closed</v>
      </c>
    </row>
    <row r="1415">
      <c r="A1415" s="3" t="s">
        <v>1425</v>
      </c>
      <c r="B1415" s="4">
        <f>IFERROR(__xludf.DUMMYFUNCTION("SPLIT(A1415,"","",0,0)"),45538.54583333333)</f>
        <v>45538.54583</v>
      </c>
      <c r="C1415" s="5">
        <f>IFERROR(__xludf.DUMMYFUNCTION("""COMPUTED_VALUE"""),2598368.0)</f>
        <v>2598368</v>
      </c>
      <c r="D1415" s="2" t="str">
        <f>IFERROR(__xludf.DUMMYFUNCTION("""COMPUTED_VALUE"""),"Sale")</f>
        <v>Sale</v>
      </c>
      <c r="E1415" s="2" t="str">
        <f>IFERROR(__xludf.DUMMYFUNCTION("""COMPUTED_VALUE"""),"Kudapan")</f>
        <v>Kudapan</v>
      </c>
      <c r="F1415" s="2">
        <f>IFERROR(__xludf.DUMMYFUNCTION("""COMPUTED_VALUE"""),10015.0)</f>
        <v>10015</v>
      </c>
      <c r="G1415" s="2" t="str">
        <f>IFERROR(__xludf.DUMMYFUNCTION("""COMPUTED_VALUE"""),"Tahu Lada Garam")</f>
        <v>Tahu Lada Garam</v>
      </c>
      <c r="H1415" s="2"/>
      <c r="I1415" s="2"/>
      <c r="J1415" s="2">
        <f>IFERROR(__xludf.DUMMYFUNCTION("""COMPUTED_VALUE"""),1.0)</f>
        <v>1</v>
      </c>
      <c r="K1415" s="6">
        <f>IFERROR(__xludf.DUMMYFUNCTION("""COMPUTED_VALUE"""),25238.0)</f>
        <v>25238</v>
      </c>
      <c r="L1415" s="2">
        <f>IFERROR(__xludf.DUMMYFUNCTION("""COMPUTED_VALUE"""),0.0)</f>
        <v>0</v>
      </c>
      <c r="M1415" s="2">
        <f>IFERROR(__xludf.DUMMYFUNCTION("""COMPUTED_VALUE"""),25238.0)</f>
        <v>25238</v>
      </c>
      <c r="N1415" s="2">
        <f>IFERROR(__xludf.DUMMYFUNCTION("""COMPUTED_VALUE"""),0.0)</f>
        <v>0</v>
      </c>
      <c r="O1415" s="2">
        <f>IFERROR(__xludf.DUMMYFUNCTION("""COMPUTED_VALUE"""),25238.0)</f>
        <v>25238</v>
      </c>
      <c r="P1415" s="2">
        <f>IFERROR(__xludf.DUMMYFUNCTION("""COMPUTED_VALUE"""),1262.0)</f>
        <v>1262</v>
      </c>
      <c r="Q1415" s="2" t="str">
        <f>IFERROR(__xludf.DUMMYFUNCTION("""COMPUTED_VALUE"""),"Dine In")</f>
        <v>Dine In</v>
      </c>
      <c r="R1415" s="2" t="str">
        <f>IFERROR(__xludf.DUMMYFUNCTION("""COMPUTED_VALUE"""),"Kedai")</f>
        <v>Kedai</v>
      </c>
      <c r="S1415" s="2" t="str">
        <f>IFERROR(__xludf.DUMMYFUNCTION("""COMPUTED_VALUE"""),"Temu Roti")</f>
        <v>Temu Roti</v>
      </c>
      <c r="T1415" s="2" t="str">
        <f>IFERROR(__xludf.DUMMYFUNCTION("""COMPUTED_VALUE"""),"Owner")</f>
        <v>Owner</v>
      </c>
      <c r="U1415" s="2"/>
      <c r="V1415" s="2"/>
      <c r="W1415" s="2"/>
      <c r="X1415" s="2" t="str">
        <f>IFERROR(__xludf.DUMMYFUNCTION("""COMPUTED_VALUE"""),"Closed")</f>
        <v>Closed</v>
      </c>
    </row>
    <row r="1416">
      <c r="A1416" s="3" t="s">
        <v>1426</v>
      </c>
      <c r="B1416" s="4">
        <f>IFERROR(__xludf.DUMMYFUNCTION("SPLIT(A1416,"","",0,0)"),45538.54583333333)</f>
        <v>45538.54583</v>
      </c>
      <c r="C1416" s="5">
        <f>IFERROR(__xludf.DUMMYFUNCTION("""COMPUTED_VALUE"""),2598368.0)</f>
        <v>2598368</v>
      </c>
      <c r="D1416" s="2" t="str">
        <f>IFERROR(__xludf.DUMMYFUNCTION("""COMPUTED_VALUE"""),"Sale")</f>
        <v>Sale</v>
      </c>
      <c r="E1416" s="2" t="str">
        <f>IFERROR(__xludf.DUMMYFUNCTION("""COMPUTED_VALUE"""),"Hidangan Utama")</f>
        <v>Hidangan Utama</v>
      </c>
      <c r="F1416" s="2">
        <f>IFERROR(__xludf.DUMMYFUNCTION("""COMPUTED_VALUE"""),10003.0)</f>
        <v>10003</v>
      </c>
      <c r="G1416" s="2" t="str">
        <f>IFERROR(__xludf.DUMMYFUNCTION("""COMPUTED_VALUE"""),"Nasi Goreng Temu")</f>
        <v>Nasi Goreng Temu</v>
      </c>
      <c r="H1416" s="2"/>
      <c r="I1416" s="2"/>
      <c r="J1416" s="2">
        <f>IFERROR(__xludf.DUMMYFUNCTION("""COMPUTED_VALUE"""),1.0)</f>
        <v>1</v>
      </c>
      <c r="K1416" s="6">
        <f>IFERROR(__xludf.DUMMYFUNCTION("""COMPUTED_VALUE"""),29524.0)</f>
        <v>29524</v>
      </c>
      <c r="L1416" s="2">
        <f>IFERROR(__xludf.DUMMYFUNCTION("""COMPUTED_VALUE"""),0.0)</f>
        <v>0</v>
      </c>
      <c r="M1416" s="2">
        <f>IFERROR(__xludf.DUMMYFUNCTION("""COMPUTED_VALUE"""),29524.0)</f>
        <v>29524</v>
      </c>
      <c r="N1416" s="2">
        <f>IFERROR(__xludf.DUMMYFUNCTION("""COMPUTED_VALUE"""),0.0)</f>
        <v>0</v>
      </c>
      <c r="O1416" s="2">
        <f>IFERROR(__xludf.DUMMYFUNCTION("""COMPUTED_VALUE"""),29524.0)</f>
        <v>29524</v>
      </c>
      <c r="P1416" s="2">
        <f>IFERROR(__xludf.DUMMYFUNCTION("""COMPUTED_VALUE"""),1476.0)</f>
        <v>1476</v>
      </c>
      <c r="Q1416" s="2" t="str">
        <f>IFERROR(__xludf.DUMMYFUNCTION("""COMPUTED_VALUE"""),"Dine In")</f>
        <v>Dine In</v>
      </c>
      <c r="R1416" s="2" t="str">
        <f>IFERROR(__xludf.DUMMYFUNCTION("""COMPUTED_VALUE"""),"Kedai")</f>
        <v>Kedai</v>
      </c>
      <c r="S1416" s="2" t="str">
        <f>IFERROR(__xludf.DUMMYFUNCTION("""COMPUTED_VALUE"""),"Temu Roti")</f>
        <v>Temu Roti</v>
      </c>
      <c r="T1416" s="2" t="str">
        <f>IFERROR(__xludf.DUMMYFUNCTION("""COMPUTED_VALUE"""),"Owner")</f>
        <v>Owner</v>
      </c>
      <c r="U1416" s="2"/>
      <c r="V1416" s="2"/>
      <c r="W1416" s="2"/>
      <c r="X1416" s="2" t="str">
        <f>IFERROR(__xludf.DUMMYFUNCTION("""COMPUTED_VALUE"""),"Closed")</f>
        <v>Closed</v>
      </c>
    </row>
    <row r="1417">
      <c r="A1417" s="3" t="s">
        <v>1427</v>
      </c>
      <c r="B1417" s="4">
        <f>IFERROR(__xludf.DUMMYFUNCTION("SPLIT(A1417,"","",0,0)"),45538.52291666667)</f>
        <v>45538.52292</v>
      </c>
      <c r="C1417" s="5">
        <f>IFERROR(__xludf.DUMMYFUNCTION("""COMPUTED_VALUE"""),2598003.0)</f>
        <v>2598003</v>
      </c>
      <c r="D1417" s="2" t="str">
        <f>IFERROR(__xludf.DUMMYFUNCTION("""COMPUTED_VALUE"""),"Sale")</f>
        <v>Sale</v>
      </c>
      <c r="E1417" s="2" t="str">
        <f>IFERROR(__xludf.DUMMYFUNCTION("""COMPUTED_VALUE"""),"Kudapan")</f>
        <v>Kudapan</v>
      </c>
      <c r="F1417" s="2">
        <f>IFERROR(__xludf.DUMMYFUNCTION("""COMPUTED_VALUE"""),10051.0)</f>
        <v>10051</v>
      </c>
      <c r="G1417" s="2" t="str">
        <f>IFERROR(__xludf.DUMMYFUNCTION("""COMPUTED_VALUE"""),"Tahu baso")</f>
        <v>Tahu baso</v>
      </c>
      <c r="H1417" s="2"/>
      <c r="I1417" s="2"/>
      <c r="J1417" s="2">
        <f>IFERROR(__xludf.DUMMYFUNCTION("""COMPUTED_VALUE"""),1.0)</f>
        <v>1</v>
      </c>
      <c r="K1417" s="6">
        <f>IFERROR(__xludf.DUMMYFUNCTION("""COMPUTED_VALUE"""),25238.0)</f>
        <v>25238</v>
      </c>
      <c r="L1417" s="2">
        <f>IFERROR(__xludf.DUMMYFUNCTION("""COMPUTED_VALUE"""),0.0)</f>
        <v>0</v>
      </c>
      <c r="M1417" s="2">
        <f>IFERROR(__xludf.DUMMYFUNCTION("""COMPUTED_VALUE"""),25238.0)</f>
        <v>25238</v>
      </c>
      <c r="N1417" s="2">
        <f>IFERROR(__xludf.DUMMYFUNCTION("""COMPUTED_VALUE"""),0.0)</f>
        <v>0</v>
      </c>
      <c r="O1417" s="2">
        <f>IFERROR(__xludf.DUMMYFUNCTION("""COMPUTED_VALUE"""),25238.0)</f>
        <v>25238</v>
      </c>
      <c r="P1417" s="2">
        <f>IFERROR(__xludf.DUMMYFUNCTION("""COMPUTED_VALUE"""),1262.0)</f>
        <v>1262</v>
      </c>
      <c r="Q1417" s="2" t="str">
        <f>IFERROR(__xludf.DUMMYFUNCTION("""COMPUTED_VALUE"""),"Dine In")</f>
        <v>Dine In</v>
      </c>
      <c r="R1417" s="2" t="str">
        <f>IFERROR(__xludf.DUMMYFUNCTION("""COMPUTED_VALUE"""),"Kedai")</f>
        <v>Kedai</v>
      </c>
      <c r="S1417" s="2" t="str">
        <f>IFERROR(__xludf.DUMMYFUNCTION("""COMPUTED_VALUE"""),"Temu Roti")</f>
        <v>Temu Roti</v>
      </c>
      <c r="T1417" s="2" t="str">
        <f>IFERROR(__xludf.DUMMYFUNCTION("""COMPUTED_VALUE"""),"Owner")</f>
        <v>Owner</v>
      </c>
      <c r="U1417" s="2"/>
      <c r="V1417" s="2"/>
      <c r="W1417" s="2"/>
      <c r="X1417" s="2" t="str">
        <f>IFERROR(__xludf.DUMMYFUNCTION("""COMPUTED_VALUE"""),"Closed")</f>
        <v>Closed</v>
      </c>
    </row>
    <row r="1418">
      <c r="A1418" s="3" t="s">
        <v>1428</v>
      </c>
      <c r="B1418" s="4">
        <f>IFERROR(__xludf.DUMMYFUNCTION("SPLIT(A1418,"","",0,0)"),45538.52291666667)</f>
        <v>45538.52292</v>
      </c>
      <c r="C1418" s="5">
        <f>IFERROR(__xludf.DUMMYFUNCTION("""COMPUTED_VALUE"""),2598003.0)</f>
        <v>2598003</v>
      </c>
      <c r="D1418" s="2" t="str">
        <f>IFERROR(__xludf.DUMMYFUNCTION("""COMPUTED_VALUE"""),"Sale")</f>
        <v>Sale</v>
      </c>
      <c r="E1418" s="2" t="str">
        <f>IFERROR(__xludf.DUMMYFUNCTION("""COMPUTED_VALUE"""),"Minuman")</f>
        <v>Minuman</v>
      </c>
      <c r="F1418" s="2">
        <f>IFERROR(__xludf.DUMMYFUNCTION("""COMPUTED_VALUE"""),10112.0)</f>
        <v>10112</v>
      </c>
      <c r="G1418" s="2" t="str">
        <f>IFERROR(__xludf.DUMMYFUNCTION("""COMPUTED_VALUE"""),"Air mineral")</f>
        <v>Air mineral</v>
      </c>
      <c r="H1418" s="2"/>
      <c r="I1418" s="2"/>
      <c r="J1418" s="2">
        <f>IFERROR(__xludf.DUMMYFUNCTION("""COMPUTED_VALUE"""),1.0)</f>
        <v>1</v>
      </c>
      <c r="K1418" s="6">
        <f>IFERROR(__xludf.DUMMYFUNCTION("""COMPUTED_VALUE"""),6667.0)</f>
        <v>6667</v>
      </c>
      <c r="L1418" s="2">
        <f>IFERROR(__xludf.DUMMYFUNCTION("""COMPUTED_VALUE"""),0.0)</f>
        <v>0</v>
      </c>
      <c r="M1418" s="2">
        <f>IFERROR(__xludf.DUMMYFUNCTION("""COMPUTED_VALUE"""),6667.0)</f>
        <v>6667</v>
      </c>
      <c r="N1418" s="2">
        <f>IFERROR(__xludf.DUMMYFUNCTION("""COMPUTED_VALUE"""),0.0)</f>
        <v>0</v>
      </c>
      <c r="O1418" s="2">
        <f>IFERROR(__xludf.DUMMYFUNCTION("""COMPUTED_VALUE"""),6667.0)</f>
        <v>6667</v>
      </c>
      <c r="P1418" s="2">
        <f>IFERROR(__xludf.DUMMYFUNCTION("""COMPUTED_VALUE"""),333.0)</f>
        <v>333</v>
      </c>
      <c r="Q1418" s="2" t="str">
        <f>IFERROR(__xludf.DUMMYFUNCTION("""COMPUTED_VALUE"""),"Dine In")</f>
        <v>Dine In</v>
      </c>
      <c r="R1418" s="2" t="str">
        <f>IFERROR(__xludf.DUMMYFUNCTION("""COMPUTED_VALUE"""),"Kedai")</f>
        <v>Kedai</v>
      </c>
      <c r="S1418" s="2" t="str">
        <f>IFERROR(__xludf.DUMMYFUNCTION("""COMPUTED_VALUE"""),"Temu Roti")</f>
        <v>Temu Roti</v>
      </c>
      <c r="T1418" s="2" t="str">
        <f>IFERROR(__xludf.DUMMYFUNCTION("""COMPUTED_VALUE"""),"Owner")</f>
        <v>Owner</v>
      </c>
      <c r="U1418" s="2"/>
      <c r="V1418" s="2"/>
      <c r="W1418" s="2"/>
      <c r="X1418" s="2" t="str">
        <f>IFERROR(__xludf.DUMMYFUNCTION("""COMPUTED_VALUE"""),"Closed")</f>
        <v>Closed</v>
      </c>
    </row>
    <row r="1419">
      <c r="A1419" s="3" t="s">
        <v>1429</v>
      </c>
      <c r="B1419" s="4">
        <f>IFERROR(__xludf.DUMMYFUNCTION("SPLIT(A1419,"","",0,0)"),45538.50486111111)</f>
        <v>45538.50486</v>
      </c>
      <c r="C1419" s="5">
        <f>IFERROR(__xludf.DUMMYFUNCTION("""COMPUTED_VALUE"""),2597637.0)</f>
        <v>2597637</v>
      </c>
      <c r="D1419" s="2" t="str">
        <f>IFERROR(__xludf.DUMMYFUNCTION("""COMPUTED_VALUE"""),"Sale")</f>
        <v>Sale</v>
      </c>
      <c r="E1419" s="2" t="str">
        <f>IFERROR(__xludf.DUMMYFUNCTION("""COMPUTED_VALUE"""),"Minuman")</f>
        <v>Minuman</v>
      </c>
      <c r="F1419" s="2">
        <f>IFERROR(__xludf.DUMMYFUNCTION("""COMPUTED_VALUE"""),10112.0)</f>
        <v>10112</v>
      </c>
      <c r="G1419" s="2" t="str">
        <f>IFERROR(__xludf.DUMMYFUNCTION("""COMPUTED_VALUE"""),"Air mineral")</f>
        <v>Air mineral</v>
      </c>
      <c r="H1419" s="2"/>
      <c r="I1419" s="2"/>
      <c r="J1419" s="2">
        <f>IFERROR(__xludf.DUMMYFUNCTION("""COMPUTED_VALUE"""),1.0)</f>
        <v>1</v>
      </c>
      <c r="K1419" s="6">
        <f>IFERROR(__xludf.DUMMYFUNCTION("""COMPUTED_VALUE"""),6667.0)</f>
        <v>6667</v>
      </c>
      <c r="L1419" s="2">
        <f>IFERROR(__xludf.DUMMYFUNCTION("""COMPUTED_VALUE"""),0.0)</f>
        <v>0</v>
      </c>
      <c r="M1419" s="2">
        <f>IFERROR(__xludf.DUMMYFUNCTION("""COMPUTED_VALUE"""),6667.0)</f>
        <v>6667</v>
      </c>
      <c r="N1419" s="2">
        <f>IFERROR(__xludf.DUMMYFUNCTION("""COMPUTED_VALUE"""),0.0)</f>
        <v>0</v>
      </c>
      <c r="O1419" s="2">
        <f>IFERROR(__xludf.DUMMYFUNCTION("""COMPUTED_VALUE"""),6667.0)</f>
        <v>6667</v>
      </c>
      <c r="P1419" s="2">
        <f>IFERROR(__xludf.DUMMYFUNCTION("""COMPUTED_VALUE"""),333.0)</f>
        <v>333</v>
      </c>
      <c r="Q1419" s="2" t="str">
        <f>IFERROR(__xludf.DUMMYFUNCTION("""COMPUTED_VALUE"""),"Dine In")</f>
        <v>Dine In</v>
      </c>
      <c r="R1419" s="2" t="str">
        <f>IFERROR(__xludf.DUMMYFUNCTION("""COMPUTED_VALUE"""),"Kedai")</f>
        <v>Kedai</v>
      </c>
      <c r="S1419" s="2" t="str">
        <f>IFERROR(__xludf.DUMMYFUNCTION("""COMPUTED_VALUE"""),"Temu Roti")</f>
        <v>Temu Roti</v>
      </c>
      <c r="T1419" s="2" t="str">
        <f>IFERROR(__xludf.DUMMYFUNCTION("""COMPUTED_VALUE"""),"Owner")</f>
        <v>Owner</v>
      </c>
      <c r="U1419" s="2"/>
      <c r="V1419" s="2"/>
      <c r="W1419" s="2"/>
      <c r="X1419" s="2" t="str">
        <f>IFERROR(__xludf.DUMMYFUNCTION("""COMPUTED_VALUE"""),"Closed")</f>
        <v>Closed</v>
      </c>
    </row>
    <row r="1420">
      <c r="A1420" s="3" t="s">
        <v>1430</v>
      </c>
      <c r="B1420" s="4">
        <f>IFERROR(__xludf.DUMMYFUNCTION("SPLIT(A1420,"","",0,0)"),45538.50486111111)</f>
        <v>45538.50486</v>
      </c>
      <c r="C1420" s="5">
        <f>IFERROR(__xludf.DUMMYFUNCTION("""COMPUTED_VALUE"""),2597637.0)</f>
        <v>2597637</v>
      </c>
      <c r="D1420" s="2" t="str">
        <f>IFERROR(__xludf.DUMMYFUNCTION("""COMPUTED_VALUE"""),"Sale")</f>
        <v>Sale</v>
      </c>
      <c r="E1420" s="2" t="str">
        <f>IFERROR(__xludf.DUMMYFUNCTION("""COMPUTED_VALUE"""),"Hidangan Utama")</f>
        <v>Hidangan Utama</v>
      </c>
      <c r="F1420" s="2">
        <f>IFERROR(__xludf.DUMMYFUNCTION("""COMPUTED_VALUE"""),10012.0)</f>
        <v>10012</v>
      </c>
      <c r="G1420" s="2" t="str">
        <f>IFERROR(__xludf.DUMMYFUNCTION("""COMPUTED_VALUE"""),"Mie joglo")</f>
        <v>Mie joglo</v>
      </c>
      <c r="H1420" s="2"/>
      <c r="I1420" s="2"/>
      <c r="J1420" s="2">
        <f>IFERROR(__xludf.DUMMYFUNCTION("""COMPUTED_VALUE"""),1.0)</f>
        <v>1</v>
      </c>
      <c r="K1420" s="6">
        <f>IFERROR(__xludf.DUMMYFUNCTION("""COMPUTED_VALUE"""),29524.0)</f>
        <v>29524</v>
      </c>
      <c r="L1420" s="2">
        <f>IFERROR(__xludf.DUMMYFUNCTION("""COMPUTED_VALUE"""),0.0)</f>
        <v>0</v>
      </c>
      <c r="M1420" s="2">
        <f>IFERROR(__xludf.DUMMYFUNCTION("""COMPUTED_VALUE"""),29524.0)</f>
        <v>29524</v>
      </c>
      <c r="N1420" s="2">
        <f>IFERROR(__xludf.DUMMYFUNCTION("""COMPUTED_VALUE"""),0.0)</f>
        <v>0</v>
      </c>
      <c r="O1420" s="2">
        <f>IFERROR(__xludf.DUMMYFUNCTION("""COMPUTED_VALUE"""),29524.0)</f>
        <v>29524</v>
      </c>
      <c r="P1420" s="2">
        <f>IFERROR(__xludf.DUMMYFUNCTION("""COMPUTED_VALUE"""),1477.0)</f>
        <v>1477</v>
      </c>
      <c r="Q1420" s="2" t="str">
        <f>IFERROR(__xludf.DUMMYFUNCTION("""COMPUTED_VALUE"""),"Dine In")</f>
        <v>Dine In</v>
      </c>
      <c r="R1420" s="2" t="str">
        <f>IFERROR(__xludf.DUMMYFUNCTION("""COMPUTED_VALUE"""),"Kedai")</f>
        <v>Kedai</v>
      </c>
      <c r="S1420" s="2" t="str">
        <f>IFERROR(__xludf.DUMMYFUNCTION("""COMPUTED_VALUE"""),"Temu Roti")</f>
        <v>Temu Roti</v>
      </c>
      <c r="T1420" s="2" t="str">
        <f>IFERROR(__xludf.DUMMYFUNCTION("""COMPUTED_VALUE"""),"Owner")</f>
        <v>Owner</v>
      </c>
      <c r="U1420" s="2"/>
      <c r="V1420" s="2"/>
      <c r="W1420" s="2"/>
      <c r="X1420" s="2" t="str">
        <f>IFERROR(__xludf.DUMMYFUNCTION("""COMPUTED_VALUE"""),"Closed")</f>
        <v>Closed</v>
      </c>
    </row>
    <row r="1421">
      <c r="A1421" s="3" t="s">
        <v>1431</v>
      </c>
      <c r="B1421" s="4">
        <f>IFERROR(__xludf.DUMMYFUNCTION("SPLIT(A1421,"","",0,0)"),45538.46666666667)</f>
        <v>45538.46667</v>
      </c>
      <c r="C1421" s="5">
        <f>IFERROR(__xludf.DUMMYFUNCTION("""COMPUTED_VALUE"""),2597272.0)</f>
        <v>2597272</v>
      </c>
      <c r="D1421" s="2" t="str">
        <f>IFERROR(__xludf.DUMMYFUNCTION("""COMPUTED_VALUE"""),"Sale")</f>
        <v>Sale</v>
      </c>
      <c r="E1421" s="2" t="str">
        <f>IFERROR(__xludf.DUMMYFUNCTION("""COMPUTED_VALUE"""),"Roti")</f>
        <v>Roti</v>
      </c>
      <c r="F1421" s="2">
        <f>IFERROR(__xludf.DUMMYFUNCTION("""COMPUTED_VALUE"""),10002.0)</f>
        <v>10002</v>
      </c>
      <c r="G1421" s="2" t="str">
        <f>IFERROR(__xludf.DUMMYFUNCTION("""COMPUTED_VALUE"""),"Roti Cranberry")</f>
        <v>Roti Cranberry</v>
      </c>
      <c r="H1421" s="2"/>
      <c r="I1421" s="2"/>
      <c r="J1421" s="2">
        <f>IFERROR(__xludf.DUMMYFUNCTION("""COMPUTED_VALUE"""),1.0)</f>
        <v>1</v>
      </c>
      <c r="K1421" s="6">
        <f>IFERROR(__xludf.DUMMYFUNCTION("""COMPUTED_VALUE"""),18571.0)</f>
        <v>18571</v>
      </c>
      <c r="L1421" s="2">
        <f>IFERROR(__xludf.DUMMYFUNCTION("""COMPUTED_VALUE"""),0.0)</f>
        <v>0</v>
      </c>
      <c r="M1421" s="2">
        <f>IFERROR(__xludf.DUMMYFUNCTION("""COMPUTED_VALUE"""),18571.0)</f>
        <v>18571</v>
      </c>
      <c r="N1421" s="2">
        <f>IFERROR(__xludf.DUMMYFUNCTION("""COMPUTED_VALUE"""),0.0)</f>
        <v>0</v>
      </c>
      <c r="O1421" s="2">
        <f>IFERROR(__xludf.DUMMYFUNCTION("""COMPUTED_VALUE"""),18571.0)</f>
        <v>18571</v>
      </c>
      <c r="P1421" s="2">
        <f>IFERROR(__xludf.DUMMYFUNCTION("""COMPUTED_VALUE"""),929.0)</f>
        <v>929</v>
      </c>
      <c r="Q1421" s="2" t="str">
        <f>IFERROR(__xludf.DUMMYFUNCTION("""COMPUTED_VALUE"""),"Dine In")</f>
        <v>Dine In</v>
      </c>
      <c r="R1421" s="2" t="str">
        <f>IFERROR(__xludf.DUMMYFUNCTION("""COMPUTED_VALUE"""),"Kedai")</f>
        <v>Kedai</v>
      </c>
      <c r="S1421" s="2" t="str">
        <f>IFERROR(__xludf.DUMMYFUNCTION("""COMPUTED_VALUE"""),"Temu Roti")</f>
        <v>Temu Roti</v>
      </c>
      <c r="T1421" s="2" t="str">
        <f>IFERROR(__xludf.DUMMYFUNCTION("""COMPUTED_VALUE"""),"Owner")</f>
        <v>Owner</v>
      </c>
      <c r="U1421" s="2"/>
      <c r="V1421" s="2"/>
      <c r="W1421" s="2"/>
      <c r="X1421" s="2" t="str">
        <f>IFERROR(__xludf.DUMMYFUNCTION("""COMPUTED_VALUE"""),"Closed")</f>
        <v>Closed</v>
      </c>
    </row>
    <row r="1422">
      <c r="A1422" s="3" t="s">
        <v>1432</v>
      </c>
      <c r="B1422" s="4">
        <f>IFERROR(__xludf.DUMMYFUNCTION("SPLIT(A1422,"","",0,0)"),45538.46666666667)</f>
        <v>45538.46667</v>
      </c>
      <c r="C1422" s="5">
        <f>IFERROR(__xludf.DUMMYFUNCTION("""COMPUTED_VALUE"""),2597272.0)</f>
        <v>2597272</v>
      </c>
      <c r="D1422" s="2" t="str">
        <f>IFERROR(__xludf.DUMMYFUNCTION("""COMPUTED_VALUE"""),"Sale")</f>
        <v>Sale</v>
      </c>
      <c r="E1422" s="2" t="str">
        <f>IFERROR(__xludf.DUMMYFUNCTION("""COMPUTED_VALUE"""),"Minuman")</f>
        <v>Minuman</v>
      </c>
      <c r="F1422" s="2">
        <f>IFERROR(__xludf.DUMMYFUNCTION("""COMPUTED_VALUE"""),10118.0)</f>
        <v>10118</v>
      </c>
      <c r="G1422" s="2" t="str">
        <f>IFERROR(__xludf.DUMMYFUNCTION("""COMPUTED_VALUE"""),"Teh Tawar Panas")</f>
        <v>Teh Tawar Panas</v>
      </c>
      <c r="H1422" s="2"/>
      <c r="I1422" s="2"/>
      <c r="J1422" s="2">
        <f>IFERROR(__xludf.DUMMYFUNCTION("""COMPUTED_VALUE"""),1.0)</f>
        <v>1</v>
      </c>
      <c r="K1422" s="6">
        <f>IFERROR(__xludf.DUMMYFUNCTION("""COMPUTED_VALUE"""),7143.0)</f>
        <v>7143</v>
      </c>
      <c r="L1422" s="2">
        <f>IFERROR(__xludf.DUMMYFUNCTION("""COMPUTED_VALUE"""),0.0)</f>
        <v>0</v>
      </c>
      <c r="M1422" s="2">
        <f>IFERROR(__xludf.DUMMYFUNCTION("""COMPUTED_VALUE"""),7143.0)</f>
        <v>7143</v>
      </c>
      <c r="N1422" s="2">
        <f>IFERROR(__xludf.DUMMYFUNCTION("""COMPUTED_VALUE"""),0.0)</f>
        <v>0</v>
      </c>
      <c r="O1422" s="2">
        <f>IFERROR(__xludf.DUMMYFUNCTION("""COMPUTED_VALUE"""),7143.0)</f>
        <v>7143</v>
      </c>
      <c r="P1422" s="2">
        <f>IFERROR(__xludf.DUMMYFUNCTION("""COMPUTED_VALUE"""),357.0)</f>
        <v>357</v>
      </c>
      <c r="Q1422" s="2" t="str">
        <f>IFERROR(__xludf.DUMMYFUNCTION("""COMPUTED_VALUE"""),"Dine In")</f>
        <v>Dine In</v>
      </c>
      <c r="R1422" s="2" t="str">
        <f>IFERROR(__xludf.DUMMYFUNCTION("""COMPUTED_VALUE"""),"Kedai")</f>
        <v>Kedai</v>
      </c>
      <c r="S1422" s="2" t="str">
        <f>IFERROR(__xludf.DUMMYFUNCTION("""COMPUTED_VALUE"""),"Temu Roti")</f>
        <v>Temu Roti</v>
      </c>
      <c r="T1422" s="2" t="str">
        <f>IFERROR(__xludf.DUMMYFUNCTION("""COMPUTED_VALUE"""),"Owner")</f>
        <v>Owner</v>
      </c>
      <c r="U1422" s="2"/>
      <c r="V1422" s="2"/>
      <c r="W1422" s="2"/>
      <c r="X1422" s="2" t="str">
        <f>IFERROR(__xludf.DUMMYFUNCTION("""COMPUTED_VALUE"""),"Closed")</f>
        <v>Closed</v>
      </c>
    </row>
    <row r="1423">
      <c r="A1423" s="3" t="s">
        <v>1433</v>
      </c>
      <c r="B1423" s="4">
        <f>IFERROR(__xludf.DUMMYFUNCTION("SPLIT(A1423,"","",0,0)"),45538.46666666667)</f>
        <v>45538.46667</v>
      </c>
      <c r="C1423" s="5">
        <f>IFERROR(__xludf.DUMMYFUNCTION("""COMPUTED_VALUE"""),2597272.0)</f>
        <v>2597272</v>
      </c>
      <c r="D1423" s="2" t="str">
        <f>IFERROR(__xludf.DUMMYFUNCTION("""COMPUTED_VALUE"""),"Sale")</f>
        <v>Sale</v>
      </c>
      <c r="E1423" s="2" t="str">
        <f>IFERROR(__xludf.DUMMYFUNCTION("""COMPUTED_VALUE"""),"Roti")</f>
        <v>Roti</v>
      </c>
      <c r="F1423" s="2">
        <f>IFERROR(__xludf.DUMMYFUNCTION("""COMPUTED_VALUE"""),10007.0)</f>
        <v>10007</v>
      </c>
      <c r="G1423" s="2" t="str">
        <f>IFERROR(__xludf.DUMMYFUNCTION("""COMPUTED_VALUE"""),"Roti cranberry 2 pcs")</f>
        <v>Roti cranberry 2 pcs</v>
      </c>
      <c r="H1423" s="2"/>
      <c r="I1423" s="2"/>
      <c r="J1423" s="2">
        <f>IFERROR(__xludf.DUMMYFUNCTION("""COMPUTED_VALUE"""),1.0)</f>
        <v>1</v>
      </c>
      <c r="K1423" s="6">
        <f>IFERROR(__xludf.DUMMYFUNCTION("""COMPUTED_VALUE"""),33810.0)</f>
        <v>33810</v>
      </c>
      <c r="L1423" s="2">
        <f>IFERROR(__xludf.DUMMYFUNCTION("""COMPUTED_VALUE"""),0.0)</f>
        <v>0</v>
      </c>
      <c r="M1423" s="2">
        <f>IFERROR(__xludf.DUMMYFUNCTION("""COMPUTED_VALUE"""),33810.0)</f>
        <v>33810</v>
      </c>
      <c r="N1423" s="2">
        <f>IFERROR(__xludf.DUMMYFUNCTION("""COMPUTED_VALUE"""),0.0)</f>
        <v>0</v>
      </c>
      <c r="O1423" s="2">
        <f>IFERROR(__xludf.DUMMYFUNCTION("""COMPUTED_VALUE"""),33810.0)</f>
        <v>33810</v>
      </c>
      <c r="P1423" s="2">
        <f>IFERROR(__xludf.DUMMYFUNCTION("""COMPUTED_VALUE"""),1690.0)</f>
        <v>1690</v>
      </c>
      <c r="Q1423" s="2" t="str">
        <f>IFERROR(__xludf.DUMMYFUNCTION("""COMPUTED_VALUE"""),"Dine In")</f>
        <v>Dine In</v>
      </c>
      <c r="R1423" s="2" t="str">
        <f>IFERROR(__xludf.DUMMYFUNCTION("""COMPUTED_VALUE"""),"Kedai")</f>
        <v>Kedai</v>
      </c>
      <c r="S1423" s="2" t="str">
        <f>IFERROR(__xludf.DUMMYFUNCTION("""COMPUTED_VALUE"""),"Temu Roti")</f>
        <v>Temu Roti</v>
      </c>
      <c r="T1423" s="2" t="str">
        <f>IFERROR(__xludf.DUMMYFUNCTION("""COMPUTED_VALUE"""),"Owner")</f>
        <v>Owner</v>
      </c>
      <c r="U1423" s="2"/>
      <c r="V1423" s="2"/>
      <c r="W1423" s="2"/>
      <c r="X1423" s="2" t="str">
        <f>IFERROR(__xludf.DUMMYFUNCTION("""COMPUTED_VALUE"""),"Closed")</f>
        <v>Closed</v>
      </c>
    </row>
    <row r="1424">
      <c r="A1424" s="3" t="s">
        <v>1434</v>
      </c>
      <c r="B1424" s="4">
        <f>IFERROR(__xludf.DUMMYFUNCTION("SPLIT(A1424,"","",0,0)"),45538.46666666667)</f>
        <v>45538.46667</v>
      </c>
      <c r="C1424" s="5">
        <f>IFERROR(__xludf.DUMMYFUNCTION("""COMPUTED_VALUE"""),2597272.0)</f>
        <v>2597272</v>
      </c>
      <c r="D1424" s="2" t="str">
        <f>IFERROR(__xludf.DUMMYFUNCTION("""COMPUTED_VALUE"""),"Sale")</f>
        <v>Sale</v>
      </c>
      <c r="E1424" s="2" t="str">
        <f>IFERROR(__xludf.DUMMYFUNCTION("""COMPUTED_VALUE"""),"Roti")</f>
        <v>Roti</v>
      </c>
      <c r="F1424" s="2">
        <f>IFERROR(__xludf.DUMMYFUNCTION("""COMPUTED_VALUE"""),10055.0)</f>
        <v>10055</v>
      </c>
      <c r="G1424" s="2" t="str">
        <f>IFERROR(__xludf.DUMMYFUNCTION("""COMPUTED_VALUE"""),"Roti Gandum Cokelat 2 pcs")</f>
        <v>Roti Gandum Cokelat 2 pcs</v>
      </c>
      <c r="H1424" s="2"/>
      <c r="I1424" s="2"/>
      <c r="J1424" s="2">
        <f>IFERROR(__xludf.DUMMYFUNCTION("""COMPUTED_VALUE"""),1.0)</f>
        <v>1</v>
      </c>
      <c r="K1424" s="6">
        <f>IFERROR(__xludf.DUMMYFUNCTION("""COMPUTED_VALUE"""),34762.0)</f>
        <v>34762</v>
      </c>
      <c r="L1424" s="2">
        <f>IFERROR(__xludf.DUMMYFUNCTION("""COMPUTED_VALUE"""),0.0)</f>
        <v>0</v>
      </c>
      <c r="M1424" s="2">
        <f>IFERROR(__xludf.DUMMYFUNCTION("""COMPUTED_VALUE"""),34762.0)</f>
        <v>34762</v>
      </c>
      <c r="N1424" s="2">
        <f>IFERROR(__xludf.DUMMYFUNCTION("""COMPUTED_VALUE"""),0.0)</f>
        <v>0</v>
      </c>
      <c r="O1424" s="2">
        <f>IFERROR(__xludf.DUMMYFUNCTION("""COMPUTED_VALUE"""),34762.0)</f>
        <v>34762</v>
      </c>
      <c r="P1424" s="2">
        <f>IFERROR(__xludf.DUMMYFUNCTION("""COMPUTED_VALUE"""),1738.0)</f>
        <v>1738</v>
      </c>
      <c r="Q1424" s="2" t="str">
        <f>IFERROR(__xludf.DUMMYFUNCTION("""COMPUTED_VALUE"""),"Dine In")</f>
        <v>Dine In</v>
      </c>
      <c r="R1424" s="2" t="str">
        <f>IFERROR(__xludf.DUMMYFUNCTION("""COMPUTED_VALUE"""),"Kedai")</f>
        <v>Kedai</v>
      </c>
      <c r="S1424" s="2" t="str">
        <f>IFERROR(__xludf.DUMMYFUNCTION("""COMPUTED_VALUE"""),"Temu Roti")</f>
        <v>Temu Roti</v>
      </c>
      <c r="T1424" s="2" t="str">
        <f>IFERROR(__xludf.DUMMYFUNCTION("""COMPUTED_VALUE"""),"Owner")</f>
        <v>Owner</v>
      </c>
      <c r="U1424" s="2"/>
      <c r="V1424" s="2"/>
      <c r="W1424" s="2"/>
      <c r="X1424" s="2" t="str">
        <f>IFERROR(__xludf.DUMMYFUNCTION("""COMPUTED_VALUE"""),"Closed")</f>
        <v>Closed</v>
      </c>
    </row>
    <row r="1425">
      <c r="A1425" s="3" t="s">
        <v>1435</v>
      </c>
      <c r="B1425" s="4">
        <f>IFERROR(__xludf.DUMMYFUNCTION("SPLIT(A1425,"","",0,0)"),45538.46666666667)</f>
        <v>45538.46667</v>
      </c>
      <c r="C1425" s="5">
        <f>IFERROR(__xludf.DUMMYFUNCTION("""COMPUTED_VALUE"""),2597272.0)</f>
        <v>2597272</v>
      </c>
      <c r="D1425" s="2" t="str">
        <f>IFERROR(__xludf.DUMMYFUNCTION("""COMPUTED_VALUE"""),"Sale")</f>
        <v>Sale</v>
      </c>
      <c r="E1425" s="2" t="str">
        <f>IFERROR(__xludf.DUMMYFUNCTION("""COMPUTED_VALUE"""),"Roti")</f>
        <v>Roti</v>
      </c>
      <c r="F1425" s="2">
        <f>IFERROR(__xludf.DUMMYFUNCTION("""COMPUTED_VALUE"""),10043.0)</f>
        <v>10043</v>
      </c>
      <c r="G1425" s="2" t="str">
        <f>IFERROR(__xludf.DUMMYFUNCTION("""COMPUTED_VALUE"""),"Roti keju")</f>
        <v>Roti keju</v>
      </c>
      <c r="H1425" s="2"/>
      <c r="I1425" s="2"/>
      <c r="J1425" s="2">
        <f>IFERROR(__xludf.DUMMYFUNCTION("""COMPUTED_VALUE"""),1.0)</f>
        <v>1</v>
      </c>
      <c r="K1425" s="6">
        <f>IFERROR(__xludf.DUMMYFUNCTION("""COMPUTED_VALUE"""),9524.0)</f>
        <v>9524</v>
      </c>
      <c r="L1425" s="2">
        <f>IFERROR(__xludf.DUMMYFUNCTION("""COMPUTED_VALUE"""),0.0)</f>
        <v>0</v>
      </c>
      <c r="M1425" s="2">
        <f>IFERROR(__xludf.DUMMYFUNCTION("""COMPUTED_VALUE"""),9524.0)</f>
        <v>9524</v>
      </c>
      <c r="N1425" s="2">
        <f>IFERROR(__xludf.DUMMYFUNCTION("""COMPUTED_VALUE"""),0.0)</f>
        <v>0</v>
      </c>
      <c r="O1425" s="2">
        <f>IFERROR(__xludf.DUMMYFUNCTION("""COMPUTED_VALUE"""),9524.0)</f>
        <v>9524</v>
      </c>
      <c r="P1425" s="2">
        <f>IFERROR(__xludf.DUMMYFUNCTION("""COMPUTED_VALUE"""),477.0)</f>
        <v>477</v>
      </c>
      <c r="Q1425" s="2" t="str">
        <f>IFERROR(__xludf.DUMMYFUNCTION("""COMPUTED_VALUE"""),"Dine In")</f>
        <v>Dine In</v>
      </c>
      <c r="R1425" s="2" t="str">
        <f>IFERROR(__xludf.DUMMYFUNCTION("""COMPUTED_VALUE"""),"Kedai")</f>
        <v>Kedai</v>
      </c>
      <c r="S1425" s="2" t="str">
        <f>IFERROR(__xludf.DUMMYFUNCTION("""COMPUTED_VALUE"""),"Temu Roti")</f>
        <v>Temu Roti</v>
      </c>
      <c r="T1425" s="2" t="str">
        <f>IFERROR(__xludf.DUMMYFUNCTION("""COMPUTED_VALUE"""),"Owner")</f>
        <v>Owner</v>
      </c>
      <c r="U1425" s="2"/>
      <c r="V1425" s="2"/>
      <c r="W1425" s="2"/>
      <c r="X1425" s="2" t="str">
        <f>IFERROR(__xludf.DUMMYFUNCTION("""COMPUTED_VALUE"""),"Closed")</f>
        <v>Closed</v>
      </c>
    </row>
    <row r="1426">
      <c r="A1426" s="3" t="s">
        <v>1436</v>
      </c>
      <c r="B1426" s="4">
        <f>IFERROR(__xludf.DUMMYFUNCTION("SPLIT(A1426,"","",0,0)"),45538.447222222225)</f>
        <v>45538.44722</v>
      </c>
      <c r="C1426" s="5">
        <f>IFERROR(__xludf.DUMMYFUNCTION("""COMPUTED_VALUE"""),2596907.0)</f>
        <v>2596907</v>
      </c>
      <c r="D1426" s="2" t="str">
        <f>IFERROR(__xludf.DUMMYFUNCTION("""COMPUTED_VALUE"""),"Sale")</f>
        <v>Sale</v>
      </c>
      <c r="E1426" s="2" t="str">
        <f>IFERROR(__xludf.DUMMYFUNCTION("""COMPUTED_VALUE"""),"Minuman")</f>
        <v>Minuman</v>
      </c>
      <c r="F1426" s="2">
        <f>IFERROR(__xludf.DUMMYFUNCTION("""COMPUTED_VALUE"""),10056.0)</f>
        <v>10056</v>
      </c>
      <c r="G1426" s="2" t="str">
        <f>IFERROR(__xludf.DUMMYFUNCTION("""COMPUTED_VALUE"""),"Susu murni moca")</f>
        <v>Susu murni moca</v>
      </c>
      <c r="H1426" s="2"/>
      <c r="I1426" s="2"/>
      <c r="J1426" s="2">
        <f>IFERROR(__xludf.DUMMYFUNCTION("""COMPUTED_VALUE"""),1.0)</f>
        <v>1</v>
      </c>
      <c r="K1426" s="6">
        <f>IFERROR(__xludf.DUMMYFUNCTION("""COMPUTED_VALUE"""),19524.0)</f>
        <v>19524</v>
      </c>
      <c r="L1426" s="2">
        <f>IFERROR(__xludf.DUMMYFUNCTION("""COMPUTED_VALUE"""),0.0)</f>
        <v>0</v>
      </c>
      <c r="M1426" s="2">
        <f>IFERROR(__xludf.DUMMYFUNCTION("""COMPUTED_VALUE"""),19524.0)</f>
        <v>19524</v>
      </c>
      <c r="N1426" s="2">
        <f>IFERROR(__xludf.DUMMYFUNCTION("""COMPUTED_VALUE"""),0.0)</f>
        <v>0</v>
      </c>
      <c r="O1426" s="2">
        <f>IFERROR(__xludf.DUMMYFUNCTION("""COMPUTED_VALUE"""),19524.0)</f>
        <v>19524</v>
      </c>
      <c r="P1426" s="2">
        <f>IFERROR(__xludf.DUMMYFUNCTION("""COMPUTED_VALUE"""),976.0)</f>
        <v>976</v>
      </c>
      <c r="Q1426" s="2" t="str">
        <f>IFERROR(__xludf.DUMMYFUNCTION("""COMPUTED_VALUE"""),"Dine In")</f>
        <v>Dine In</v>
      </c>
      <c r="R1426" s="2" t="str">
        <f>IFERROR(__xludf.DUMMYFUNCTION("""COMPUTED_VALUE"""),"Kedai")</f>
        <v>Kedai</v>
      </c>
      <c r="S1426" s="2" t="str">
        <f>IFERROR(__xludf.DUMMYFUNCTION("""COMPUTED_VALUE"""),"Temu Roti")</f>
        <v>Temu Roti</v>
      </c>
      <c r="T1426" s="2" t="str">
        <f>IFERROR(__xludf.DUMMYFUNCTION("""COMPUTED_VALUE"""),"Owner")</f>
        <v>Owner</v>
      </c>
      <c r="U1426" s="2"/>
      <c r="V1426" s="2"/>
      <c r="W1426" s="2"/>
      <c r="X1426" s="2" t="str">
        <f>IFERROR(__xludf.DUMMYFUNCTION("""COMPUTED_VALUE"""),"Closed")</f>
        <v>Closed</v>
      </c>
    </row>
    <row r="1427">
      <c r="A1427" s="3" t="s">
        <v>1437</v>
      </c>
      <c r="B1427" s="4">
        <f>IFERROR(__xludf.DUMMYFUNCTION("SPLIT(A1427,"","",0,0)"),45538.447222222225)</f>
        <v>45538.44722</v>
      </c>
      <c r="C1427" s="5">
        <f>IFERROR(__xludf.DUMMYFUNCTION("""COMPUTED_VALUE"""),2596907.0)</f>
        <v>2596907</v>
      </c>
      <c r="D1427" s="2" t="str">
        <f>IFERROR(__xludf.DUMMYFUNCTION("""COMPUTED_VALUE"""),"Sale")</f>
        <v>Sale</v>
      </c>
      <c r="E1427" s="2" t="str">
        <f>IFERROR(__xludf.DUMMYFUNCTION("""COMPUTED_VALUE"""),"Minuman")</f>
        <v>Minuman</v>
      </c>
      <c r="F1427" s="2">
        <f>IFERROR(__xludf.DUMMYFUNCTION("""COMPUTED_VALUE"""),10057.0)</f>
        <v>10057</v>
      </c>
      <c r="G1427" s="2" t="str">
        <f>IFERROR(__xludf.DUMMYFUNCTION("""COMPUTED_VALUE"""),"Susu murni strawberry")</f>
        <v>Susu murni strawberry</v>
      </c>
      <c r="H1427" s="2"/>
      <c r="I1427" s="2"/>
      <c r="J1427" s="2">
        <f>IFERROR(__xludf.DUMMYFUNCTION("""COMPUTED_VALUE"""),1.0)</f>
        <v>1</v>
      </c>
      <c r="K1427" s="6">
        <f>IFERROR(__xludf.DUMMYFUNCTION("""COMPUTED_VALUE"""),19524.0)</f>
        <v>19524</v>
      </c>
      <c r="L1427" s="2">
        <f>IFERROR(__xludf.DUMMYFUNCTION("""COMPUTED_VALUE"""),0.0)</f>
        <v>0</v>
      </c>
      <c r="M1427" s="2">
        <f>IFERROR(__xludf.DUMMYFUNCTION("""COMPUTED_VALUE"""),19524.0)</f>
        <v>19524</v>
      </c>
      <c r="N1427" s="2">
        <f>IFERROR(__xludf.DUMMYFUNCTION("""COMPUTED_VALUE"""),0.0)</f>
        <v>0</v>
      </c>
      <c r="O1427" s="2">
        <f>IFERROR(__xludf.DUMMYFUNCTION("""COMPUTED_VALUE"""),19524.0)</f>
        <v>19524</v>
      </c>
      <c r="P1427" s="2">
        <f>IFERROR(__xludf.DUMMYFUNCTION("""COMPUTED_VALUE"""),976.0)</f>
        <v>976</v>
      </c>
      <c r="Q1427" s="2" t="str">
        <f>IFERROR(__xludf.DUMMYFUNCTION("""COMPUTED_VALUE"""),"Dine In")</f>
        <v>Dine In</v>
      </c>
      <c r="R1427" s="2" t="str">
        <f>IFERROR(__xludf.DUMMYFUNCTION("""COMPUTED_VALUE"""),"Kedai")</f>
        <v>Kedai</v>
      </c>
      <c r="S1427" s="2" t="str">
        <f>IFERROR(__xludf.DUMMYFUNCTION("""COMPUTED_VALUE"""),"Temu Roti")</f>
        <v>Temu Roti</v>
      </c>
      <c r="T1427" s="2" t="str">
        <f>IFERROR(__xludf.DUMMYFUNCTION("""COMPUTED_VALUE"""),"Owner")</f>
        <v>Owner</v>
      </c>
      <c r="U1427" s="2"/>
      <c r="V1427" s="2"/>
      <c r="W1427" s="2"/>
      <c r="X1427" s="2" t="str">
        <f>IFERROR(__xludf.DUMMYFUNCTION("""COMPUTED_VALUE"""),"Closed")</f>
        <v>Closed</v>
      </c>
    </row>
    <row r="1428">
      <c r="A1428" s="3" t="s">
        <v>1438</v>
      </c>
      <c r="B1428" s="4">
        <f>IFERROR(__xludf.DUMMYFUNCTION("SPLIT(A1428,"","",0,0)"),45538.447222222225)</f>
        <v>45538.44722</v>
      </c>
      <c r="C1428" s="5">
        <f>IFERROR(__xludf.DUMMYFUNCTION("""COMPUTED_VALUE"""),2596907.0)</f>
        <v>2596907</v>
      </c>
      <c r="D1428" s="2" t="str">
        <f>IFERROR(__xludf.DUMMYFUNCTION("""COMPUTED_VALUE"""),"Sale")</f>
        <v>Sale</v>
      </c>
      <c r="E1428" s="2" t="str">
        <f>IFERROR(__xludf.DUMMYFUNCTION("""COMPUTED_VALUE"""),"Roti")</f>
        <v>Roti</v>
      </c>
      <c r="F1428" s="2">
        <f>IFERROR(__xludf.DUMMYFUNCTION("""COMPUTED_VALUE"""),10043.0)</f>
        <v>10043</v>
      </c>
      <c r="G1428" s="2" t="str">
        <f>IFERROR(__xludf.DUMMYFUNCTION("""COMPUTED_VALUE"""),"Roti keju")</f>
        <v>Roti keju</v>
      </c>
      <c r="H1428" s="2"/>
      <c r="I1428" s="2"/>
      <c r="J1428" s="2">
        <f>IFERROR(__xludf.DUMMYFUNCTION("""COMPUTED_VALUE"""),1.0)</f>
        <v>1</v>
      </c>
      <c r="K1428" s="6">
        <f>IFERROR(__xludf.DUMMYFUNCTION("""COMPUTED_VALUE"""),9524.0)</f>
        <v>9524</v>
      </c>
      <c r="L1428" s="2">
        <f>IFERROR(__xludf.DUMMYFUNCTION("""COMPUTED_VALUE"""),0.0)</f>
        <v>0</v>
      </c>
      <c r="M1428" s="2">
        <f>IFERROR(__xludf.DUMMYFUNCTION("""COMPUTED_VALUE"""),9524.0)</f>
        <v>9524</v>
      </c>
      <c r="N1428" s="2">
        <f>IFERROR(__xludf.DUMMYFUNCTION("""COMPUTED_VALUE"""),0.0)</f>
        <v>0</v>
      </c>
      <c r="O1428" s="2">
        <f>IFERROR(__xludf.DUMMYFUNCTION("""COMPUTED_VALUE"""),9524.0)</f>
        <v>9524</v>
      </c>
      <c r="P1428" s="2">
        <f>IFERROR(__xludf.DUMMYFUNCTION("""COMPUTED_VALUE"""),477.0)</f>
        <v>477</v>
      </c>
      <c r="Q1428" s="2" t="str">
        <f>IFERROR(__xludf.DUMMYFUNCTION("""COMPUTED_VALUE"""),"Dine In")</f>
        <v>Dine In</v>
      </c>
      <c r="R1428" s="2" t="str">
        <f>IFERROR(__xludf.DUMMYFUNCTION("""COMPUTED_VALUE"""),"Kedai")</f>
        <v>Kedai</v>
      </c>
      <c r="S1428" s="2" t="str">
        <f>IFERROR(__xludf.DUMMYFUNCTION("""COMPUTED_VALUE"""),"Temu Roti")</f>
        <v>Temu Roti</v>
      </c>
      <c r="T1428" s="2" t="str">
        <f>IFERROR(__xludf.DUMMYFUNCTION("""COMPUTED_VALUE"""),"Owner")</f>
        <v>Owner</v>
      </c>
      <c r="U1428" s="2"/>
      <c r="V1428" s="2"/>
      <c r="W1428" s="2"/>
      <c r="X1428" s="2" t="str">
        <f>IFERROR(__xludf.DUMMYFUNCTION("""COMPUTED_VALUE"""),"Closed")</f>
        <v>Closed</v>
      </c>
    </row>
    <row r="1429">
      <c r="A1429" s="3" t="s">
        <v>1439</v>
      </c>
      <c r="B1429" s="4">
        <f>IFERROR(__xludf.DUMMYFUNCTION("SPLIT(A1429,"","",0,0)"),45538.447222222225)</f>
        <v>45538.44722</v>
      </c>
      <c r="C1429" s="5">
        <f>IFERROR(__xludf.DUMMYFUNCTION("""COMPUTED_VALUE"""),2596907.0)</f>
        <v>2596907</v>
      </c>
      <c r="D1429" s="2" t="str">
        <f>IFERROR(__xludf.DUMMYFUNCTION("""COMPUTED_VALUE"""),"Sale")</f>
        <v>Sale</v>
      </c>
      <c r="E1429" s="2" t="str">
        <f>IFERROR(__xludf.DUMMYFUNCTION("""COMPUTED_VALUE"""),"Minuman")</f>
        <v>Minuman</v>
      </c>
      <c r="F1429" s="2">
        <f>IFERROR(__xludf.DUMMYFUNCTION("""COMPUTED_VALUE"""),10106.0)</f>
        <v>10106</v>
      </c>
      <c r="G1429" s="2" t="str">
        <f>IFERROR(__xludf.DUMMYFUNCTION("""COMPUTED_VALUE"""),"Korean Strawberry Fresh Milk")</f>
        <v>Korean Strawberry Fresh Milk</v>
      </c>
      <c r="H1429" s="2"/>
      <c r="I1429" s="2"/>
      <c r="J1429" s="2">
        <f>IFERROR(__xludf.DUMMYFUNCTION("""COMPUTED_VALUE"""),1.0)</f>
        <v>1</v>
      </c>
      <c r="K1429" s="6">
        <f>IFERROR(__xludf.DUMMYFUNCTION("""COMPUTED_VALUE"""),26667.0)</f>
        <v>26667</v>
      </c>
      <c r="L1429" s="2">
        <f>IFERROR(__xludf.DUMMYFUNCTION("""COMPUTED_VALUE"""),0.0)</f>
        <v>0</v>
      </c>
      <c r="M1429" s="2">
        <f>IFERROR(__xludf.DUMMYFUNCTION("""COMPUTED_VALUE"""),26667.0)</f>
        <v>26667</v>
      </c>
      <c r="N1429" s="2">
        <f>IFERROR(__xludf.DUMMYFUNCTION("""COMPUTED_VALUE"""),0.0)</f>
        <v>0</v>
      </c>
      <c r="O1429" s="2">
        <f>IFERROR(__xludf.DUMMYFUNCTION("""COMPUTED_VALUE"""),26667.0)</f>
        <v>26667</v>
      </c>
      <c r="P1429" s="2">
        <f>IFERROR(__xludf.DUMMYFUNCTION("""COMPUTED_VALUE"""),1333.0)</f>
        <v>1333</v>
      </c>
      <c r="Q1429" s="2" t="str">
        <f>IFERROR(__xludf.DUMMYFUNCTION("""COMPUTED_VALUE"""),"Dine In")</f>
        <v>Dine In</v>
      </c>
      <c r="R1429" s="2" t="str">
        <f>IFERROR(__xludf.DUMMYFUNCTION("""COMPUTED_VALUE"""),"Kedai")</f>
        <v>Kedai</v>
      </c>
      <c r="S1429" s="2" t="str">
        <f>IFERROR(__xludf.DUMMYFUNCTION("""COMPUTED_VALUE"""),"Temu Roti")</f>
        <v>Temu Roti</v>
      </c>
      <c r="T1429" s="2" t="str">
        <f>IFERROR(__xludf.DUMMYFUNCTION("""COMPUTED_VALUE"""),"Owner")</f>
        <v>Owner</v>
      </c>
      <c r="U1429" s="2"/>
      <c r="V1429" s="2"/>
      <c r="W1429" s="2"/>
      <c r="X1429" s="2" t="str">
        <f>IFERROR(__xludf.DUMMYFUNCTION("""COMPUTED_VALUE"""),"Closed")</f>
        <v>Closed</v>
      </c>
    </row>
    <row r="1430">
      <c r="A1430" s="3" t="s">
        <v>1440</v>
      </c>
      <c r="B1430" s="4">
        <f>IFERROR(__xludf.DUMMYFUNCTION("SPLIT(A1430,"","",0,0)"),45538.447222222225)</f>
        <v>45538.44722</v>
      </c>
      <c r="C1430" s="5">
        <f>IFERROR(__xludf.DUMMYFUNCTION("""COMPUTED_VALUE"""),2596907.0)</f>
        <v>2596907</v>
      </c>
      <c r="D1430" s="2" t="str">
        <f>IFERROR(__xludf.DUMMYFUNCTION("""COMPUTED_VALUE"""),"Sale")</f>
        <v>Sale</v>
      </c>
      <c r="E1430" s="2" t="str">
        <f>IFERROR(__xludf.DUMMYFUNCTION("""COMPUTED_VALUE"""),"Roti")</f>
        <v>Roti</v>
      </c>
      <c r="F1430" s="2">
        <f>IFERROR(__xludf.DUMMYFUNCTION("""COMPUTED_VALUE"""),10007.0)</f>
        <v>10007</v>
      </c>
      <c r="G1430" s="2" t="str">
        <f>IFERROR(__xludf.DUMMYFUNCTION("""COMPUTED_VALUE"""),"Roti cranberry 2 pcs")</f>
        <v>Roti cranberry 2 pcs</v>
      </c>
      <c r="H1430" s="2"/>
      <c r="I1430" s="2"/>
      <c r="J1430" s="2">
        <f>IFERROR(__xludf.DUMMYFUNCTION("""COMPUTED_VALUE"""),1.0)</f>
        <v>1</v>
      </c>
      <c r="K1430" s="6">
        <f>IFERROR(__xludf.DUMMYFUNCTION("""COMPUTED_VALUE"""),33810.0)</f>
        <v>33810</v>
      </c>
      <c r="L1430" s="2">
        <f>IFERROR(__xludf.DUMMYFUNCTION("""COMPUTED_VALUE"""),0.0)</f>
        <v>0</v>
      </c>
      <c r="M1430" s="2">
        <f>IFERROR(__xludf.DUMMYFUNCTION("""COMPUTED_VALUE"""),33810.0)</f>
        <v>33810</v>
      </c>
      <c r="N1430" s="2">
        <f>IFERROR(__xludf.DUMMYFUNCTION("""COMPUTED_VALUE"""),0.0)</f>
        <v>0</v>
      </c>
      <c r="O1430" s="2">
        <f>IFERROR(__xludf.DUMMYFUNCTION("""COMPUTED_VALUE"""),33810.0)</f>
        <v>33810</v>
      </c>
      <c r="P1430" s="2">
        <f>IFERROR(__xludf.DUMMYFUNCTION("""COMPUTED_VALUE"""),1690.0)</f>
        <v>1690</v>
      </c>
      <c r="Q1430" s="2" t="str">
        <f>IFERROR(__xludf.DUMMYFUNCTION("""COMPUTED_VALUE"""),"Dine In")</f>
        <v>Dine In</v>
      </c>
      <c r="R1430" s="2" t="str">
        <f>IFERROR(__xludf.DUMMYFUNCTION("""COMPUTED_VALUE"""),"Kedai")</f>
        <v>Kedai</v>
      </c>
      <c r="S1430" s="2" t="str">
        <f>IFERROR(__xludf.DUMMYFUNCTION("""COMPUTED_VALUE"""),"Temu Roti")</f>
        <v>Temu Roti</v>
      </c>
      <c r="T1430" s="2" t="str">
        <f>IFERROR(__xludf.DUMMYFUNCTION("""COMPUTED_VALUE"""),"Owner")</f>
        <v>Owner</v>
      </c>
      <c r="U1430" s="2"/>
      <c r="V1430" s="2"/>
      <c r="W1430" s="2"/>
      <c r="X1430" s="2" t="str">
        <f>IFERROR(__xludf.DUMMYFUNCTION("""COMPUTED_VALUE"""),"Closed")</f>
        <v>Closed</v>
      </c>
    </row>
    <row r="1431">
      <c r="A1431" s="3" t="s">
        <v>1441</v>
      </c>
      <c r="B1431" s="4">
        <f>IFERROR(__xludf.DUMMYFUNCTION("SPLIT(A1431,"","",0,0)"),45536.86597222222)</f>
        <v>45536.86597</v>
      </c>
      <c r="C1431" s="5">
        <f>IFERROR(__xludf.DUMMYFUNCTION("""COMPUTED_VALUE"""),2596542.0)</f>
        <v>2596542</v>
      </c>
      <c r="D1431" s="2" t="str">
        <f>IFERROR(__xludf.DUMMYFUNCTION("""COMPUTED_VALUE"""),"Sale")</f>
        <v>Sale</v>
      </c>
      <c r="E1431" s="2" t="str">
        <f>IFERROR(__xludf.DUMMYFUNCTION("""COMPUTED_VALUE"""),"Minuman")</f>
        <v>Minuman</v>
      </c>
      <c r="F1431" s="2">
        <f>IFERROR(__xludf.DUMMYFUNCTION("""COMPUTED_VALUE"""),10107.0)</f>
        <v>10107</v>
      </c>
      <c r="G1431" s="2" t="str">
        <f>IFERROR(__xludf.DUMMYFUNCTION("""COMPUTED_VALUE"""),"Korean Mango Fresh Milk")</f>
        <v>Korean Mango Fresh Milk</v>
      </c>
      <c r="H1431" s="2"/>
      <c r="I1431" s="2"/>
      <c r="J1431" s="2">
        <f>IFERROR(__xludf.DUMMYFUNCTION("""COMPUTED_VALUE"""),1.0)</f>
        <v>1</v>
      </c>
      <c r="K1431" s="6">
        <f>IFERROR(__xludf.DUMMYFUNCTION("""COMPUTED_VALUE"""),26667.0)</f>
        <v>26667</v>
      </c>
      <c r="L1431" s="2">
        <f>IFERROR(__xludf.DUMMYFUNCTION("""COMPUTED_VALUE"""),0.0)</f>
        <v>0</v>
      </c>
      <c r="M1431" s="2">
        <f>IFERROR(__xludf.DUMMYFUNCTION("""COMPUTED_VALUE"""),26667.0)</f>
        <v>26667</v>
      </c>
      <c r="N1431" s="2">
        <f>IFERROR(__xludf.DUMMYFUNCTION("""COMPUTED_VALUE"""),0.0)</f>
        <v>0</v>
      </c>
      <c r="O1431" s="2">
        <f>IFERROR(__xludf.DUMMYFUNCTION("""COMPUTED_VALUE"""),26667.0)</f>
        <v>26667</v>
      </c>
      <c r="P1431" s="2">
        <f>IFERROR(__xludf.DUMMYFUNCTION("""COMPUTED_VALUE"""),1333.0)</f>
        <v>1333</v>
      </c>
      <c r="Q1431" s="2" t="str">
        <f>IFERROR(__xludf.DUMMYFUNCTION("""COMPUTED_VALUE"""),"Dine In")</f>
        <v>Dine In</v>
      </c>
      <c r="R1431" s="2" t="str">
        <f>IFERROR(__xludf.DUMMYFUNCTION("""COMPUTED_VALUE"""),"Kedai")</f>
        <v>Kedai</v>
      </c>
      <c r="S1431" s="2" t="str">
        <f>IFERROR(__xludf.DUMMYFUNCTION("""COMPUTED_VALUE"""),"Temu Roti")</f>
        <v>Temu Roti</v>
      </c>
      <c r="T1431" s="2" t="str">
        <f>IFERROR(__xludf.DUMMYFUNCTION("""COMPUTED_VALUE"""),"Owner")</f>
        <v>Owner</v>
      </c>
      <c r="U1431" s="2"/>
      <c r="V1431" s="2"/>
      <c r="W1431" s="2"/>
      <c r="X1431" s="2" t="str">
        <f>IFERROR(__xludf.DUMMYFUNCTION("""COMPUTED_VALUE"""),"Closed")</f>
        <v>Closed</v>
      </c>
    </row>
    <row r="1432">
      <c r="A1432" s="3" t="s">
        <v>1442</v>
      </c>
      <c r="B1432" s="4">
        <f>IFERROR(__xludf.DUMMYFUNCTION("SPLIT(A1432,"","",0,0)"),45536.86597222222)</f>
        <v>45536.86597</v>
      </c>
      <c r="C1432" s="5">
        <f>IFERROR(__xludf.DUMMYFUNCTION("""COMPUTED_VALUE"""),2596542.0)</f>
        <v>2596542</v>
      </c>
      <c r="D1432" s="2" t="str">
        <f>IFERROR(__xludf.DUMMYFUNCTION("""COMPUTED_VALUE"""),"Sale")</f>
        <v>Sale</v>
      </c>
      <c r="E1432" s="2" t="str">
        <f>IFERROR(__xludf.DUMMYFUNCTION("""COMPUTED_VALUE"""),"Minuman")</f>
        <v>Minuman</v>
      </c>
      <c r="F1432" s="2">
        <f>IFERROR(__xludf.DUMMYFUNCTION("""COMPUTED_VALUE"""),10120.0)</f>
        <v>10120</v>
      </c>
      <c r="G1432" s="2" t="str">
        <f>IFERROR(__xludf.DUMMYFUNCTION("""COMPUTED_VALUE"""),"Lemon Tea Panas")</f>
        <v>Lemon Tea Panas</v>
      </c>
      <c r="H1432" s="2"/>
      <c r="I1432" s="2"/>
      <c r="J1432" s="2">
        <f>IFERROR(__xludf.DUMMYFUNCTION("""COMPUTED_VALUE"""),1.0)</f>
        <v>1</v>
      </c>
      <c r="K1432" s="6">
        <f>IFERROR(__xludf.DUMMYFUNCTION("""COMPUTED_VALUE"""),19524.0)</f>
        <v>19524</v>
      </c>
      <c r="L1432" s="2">
        <f>IFERROR(__xludf.DUMMYFUNCTION("""COMPUTED_VALUE"""),0.0)</f>
        <v>0</v>
      </c>
      <c r="M1432" s="2">
        <f>IFERROR(__xludf.DUMMYFUNCTION("""COMPUTED_VALUE"""),19524.0)</f>
        <v>19524</v>
      </c>
      <c r="N1432" s="2">
        <f>IFERROR(__xludf.DUMMYFUNCTION("""COMPUTED_VALUE"""),0.0)</f>
        <v>0</v>
      </c>
      <c r="O1432" s="2">
        <f>IFERROR(__xludf.DUMMYFUNCTION("""COMPUTED_VALUE"""),19524.0)</f>
        <v>19524</v>
      </c>
      <c r="P1432" s="2">
        <f>IFERROR(__xludf.DUMMYFUNCTION("""COMPUTED_VALUE"""),977.0)</f>
        <v>977</v>
      </c>
      <c r="Q1432" s="2" t="str">
        <f>IFERROR(__xludf.DUMMYFUNCTION("""COMPUTED_VALUE"""),"Dine In")</f>
        <v>Dine In</v>
      </c>
      <c r="R1432" s="2" t="str">
        <f>IFERROR(__xludf.DUMMYFUNCTION("""COMPUTED_VALUE"""),"Kedai")</f>
        <v>Kedai</v>
      </c>
      <c r="S1432" s="2" t="str">
        <f>IFERROR(__xludf.DUMMYFUNCTION("""COMPUTED_VALUE"""),"Temu Roti")</f>
        <v>Temu Roti</v>
      </c>
      <c r="T1432" s="2" t="str">
        <f>IFERROR(__xludf.DUMMYFUNCTION("""COMPUTED_VALUE"""),"Owner")</f>
        <v>Owner</v>
      </c>
      <c r="U1432" s="2"/>
      <c r="V1432" s="2"/>
      <c r="W1432" s="2"/>
      <c r="X1432" s="2" t="str">
        <f>IFERROR(__xludf.DUMMYFUNCTION("""COMPUTED_VALUE"""),"Closed")</f>
        <v>Closed</v>
      </c>
    </row>
    <row r="1433">
      <c r="A1433" s="3" t="s">
        <v>1443</v>
      </c>
      <c r="B1433" s="4">
        <f>IFERROR(__xludf.DUMMYFUNCTION("SPLIT(A1433,"","",0,0)"),45536.86597222222)</f>
        <v>45536.86597</v>
      </c>
      <c r="C1433" s="5">
        <f>IFERROR(__xludf.DUMMYFUNCTION("""COMPUTED_VALUE"""),2596542.0)</f>
        <v>2596542</v>
      </c>
      <c r="D1433" s="2" t="str">
        <f>IFERROR(__xludf.DUMMYFUNCTION("""COMPUTED_VALUE"""),"Sale")</f>
        <v>Sale</v>
      </c>
      <c r="E1433" s="2" t="str">
        <f>IFERROR(__xludf.DUMMYFUNCTION("""COMPUTED_VALUE"""),"Minuman")</f>
        <v>Minuman</v>
      </c>
      <c r="F1433" s="2">
        <f>IFERROR(__xludf.DUMMYFUNCTION("""COMPUTED_VALUE"""),10119.0)</f>
        <v>10119</v>
      </c>
      <c r="G1433" s="2" t="str">
        <f>IFERROR(__xludf.DUMMYFUNCTION("""COMPUTED_VALUE"""),"Teh Tawar Dingin")</f>
        <v>Teh Tawar Dingin</v>
      </c>
      <c r="H1433" s="2"/>
      <c r="I1433" s="2"/>
      <c r="J1433" s="2">
        <f>IFERROR(__xludf.DUMMYFUNCTION("""COMPUTED_VALUE"""),2.0)</f>
        <v>2</v>
      </c>
      <c r="K1433" s="6">
        <f>IFERROR(__xludf.DUMMYFUNCTION("""COMPUTED_VALUE"""),14286.0)</f>
        <v>14286</v>
      </c>
      <c r="L1433" s="2">
        <f>IFERROR(__xludf.DUMMYFUNCTION("""COMPUTED_VALUE"""),0.0)</f>
        <v>0</v>
      </c>
      <c r="M1433" s="2">
        <f>IFERROR(__xludf.DUMMYFUNCTION("""COMPUTED_VALUE"""),14286.0)</f>
        <v>14286</v>
      </c>
      <c r="N1433" s="2">
        <f>IFERROR(__xludf.DUMMYFUNCTION("""COMPUTED_VALUE"""),0.0)</f>
        <v>0</v>
      </c>
      <c r="O1433" s="2">
        <f>IFERROR(__xludf.DUMMYFUNCTION("""COMPUTED_VALUE"""),14286.0)</f>
        <v>14286</v>
      </c>
      <c r="P1433" s="2">
        <f>IFERROR(__xludf.DUMMYFUNCTION("""COMPUTED_VALUE"""),714.0)</f>
        <v>714</v>
      </c>
      <c r="Q1433" s="2" t="str">
        <f>IFERROR(__xludf.DUMMYFUNCTION("""COMPUTED_VALUE"""),"Dine In")</f>
        <v>Dine In</v>
      </c>
      <c r="R1433" s="2" t="str">
        <f>IFERROR(__xludf.DUMMYFUNCTION("""COMPUTED_VALUE"""),"Kedai")</f>
        <v>Kedai</v>
      </c>
      <c r="S1433" s="2" t="str">
        <f>IFERROR(__xludf.DUMMYFUNCTION("""COMPUTED_VALUE"""),"Temu Roti")</f>
        <v>Temu Roti</v>
      </c>
      <c r="T1433" s="2" t="str">
        <f>IFERROR(__xludf.DUMMYFUNCTION("""COMPUTED_VALUE"""),"Owner")</f>
        <v>Owner</v>
      </c>
      <c r="U1433" s="2"/>
      <c r="V1433" s="2"/>
      <c r="W1433" s="2"/>
      <c r="X1433" s="2" t="str">
        <f>IFERROR(__xludf.DUMMYFUNCTION("""COMPUTED_VALUE"""),"Closed")</f>
        <v>Closed</v>
      </c>
    </row>
    <row r="1434">
      <c r="A1434" s="3" t="s">
        <v>1444</v>
      </c>
      <c r="B1434" s="4">
        <f>IFERROR(__xludf.DUMMYFUNCTION("SPLIT(A1434,"","",0,0)"),45536.86597222222)</f>
        <v>45536.86597</v>
      </c>
      <c r="C1434" s="5">
        <f>IFERROR(__xludf.DUMMYFUNCTION("""COMPUTED_VALUE"""),2596542.0)</f>
        <v>2596542</v>
      </c>
      <c r="D1434" s="2" t="str">
        <f>IFERROR(__xludf.DUMMYFUNCTION("""COMPUTED_VALUE"""),"Sale")</f>
        <v>Sale</v>
      </c>
      <c r="E1434" s="2" t="str">
        <f>IFERROR(__xludf.DUMMYFUNCTION("""COMPUTED_VALUE"""),"Hidangan Utama")</f>
        <v>Hidangan Utama</v>
      </c>
      <c r="F1434" s="2">
        <f>IFERROR(__xludf.DUMMYFUNCTION("""COMPUTED_VALUE"""),10003.0)</f>
        <v>10003</v>
      </c>
      <c r="G1434" s="2" t="str">
        <f>IFERROR(__xludf.DUMMYFUNCTION("""COMPUTED_VALUE"""),"Nasi Goreng Temu")</f>
        <v>Nasi Goreng Temu</v>
      </c>
      <c r="H1434" s="2"/>
      <c r="I1434" s="2"/>
      <c r="J1434" s="2">
        <f>IFERROR(__xludf.DUMMYFUNCTION("""COMPUTED_VALUE"""),2.0)</f>
        <v>2</v>
      </c>
      <c r="K1434" s="6">
        <f>IFERROR(__xludf.DUMMYFUNCTION("""COMPUTED_VALUE"""),59048.0)</f>
        <v>59048</v>
      </c>
      <c r="L1434" s="2">
        <f>IFERROR(__xludf.DUMMYFUNCTION("""COMPUTED_VALUE"""),0.0)</f>
        <v>0</v>
      </c>
      <c r="M1434" s="2">
        <f>IFERROR(__xludf.DUMMYFUNCTION("""COMPUTED_VALUE"""),59048.0)</f>
        <v>59048</v>
      </c>
      <c r="N1434" s="2">
        <f>IFERROR(__xludf.DUMMYFUNCTION("""COMPUTED_VALUE"""),0.0)</f>
        <v>0</v>
      </c>
      <c r="O1434" s="2">
        <f>IFERROR(__xludf.DUMMYFUNCTION("""COMPUTED_VALUE"""),59048.0)</f>
        <v>59048</v>
      </c>
      <c r="P1434" s="2">
        <f>IFERROR(__xludf.DUMMYFUNCTION("""COMPUTED_VALUE"""),2952.0)</f>
        <v>2952</v>
      </c>
      <c r="Q1434" s="2" t="str">
        <f>IFERROR(__xludf.DUMMYFUNCTION("""COMPUTED_VALUE"""),"Dine In")</f>
        <v>Dine In</v>
      </c>
      <c r="R1434" s="2" t="str">
        <f>IFERROR(__xludf.DUMMYFUNCTION("""COMPUTED_VALUE"""),"Kedai")</f>
        <v>Kedai</v>
      </c>
      <c r="S1434" s="2" t="str">
        <f>IFERROR(__xludf.DUMMYFUNCTION("""COMPUTED_VALUE"""),"Temu Roti")</f>
        <v>Temu Roti</v>
      </c>
      <c r="T1434" s="2" t="str">
        <f>IFERROR(__xludf.DUMMYFUNCTION("""COMPUTED_VALUE"""),"Owner")</f>
        <v>Owner</v>
      </c>
      <c r="U1434" s="2"/>
      <c r="V1434" s="2"/>
      <c r="W1434" s="2"/>
      <c r="X1434" s="2" t="str">
        <f>IFERROR(__xludf.DUMMYFUNCTION("""COMPUTED_VALUE"""),"Closed")</f>
        <v>Closed</v>
      </c>
    </row>
    <row r="1435">
      <c r="A1435" s="3" t="s">
        <v>1445</v>
      </c>
      <c r="B1435" s="4">
        <f>IFERROR(__xludf.DUMMYFUNCTION("SPLIT(A1435,"","",0,0)"),45536.86597222222)</f>
        <v>45536.86597</v>
      </c>
      <c r="C1435" s="5">
        <f>IFERROR(__xludf.DUMMYFUNCTION("""COMPUTED_VALUE"""),2596542.0)</f>
        <v>2596542</v>
      </c>
      <c r="D1435" s="2" t="str">
        <f>IFERROR(__xludf.DUMMYFUNCTION("""COMPUTED_VALUE"""),"Sale")</f>
        <v>Sale</v>
      </c>
      <c r="E1435" s="2" t="str">
        <f>IFERROR(__xludf.DUMMYFUNCTION("""COMPUTED_VALUE"""),"Minuman")</f>
        <v>Minuman</v>
      </c>
      <c r="F1435" s="2">
        <f>IFERROR(__xludf.DUMMYFUNCTION("""COMPUTED_VALUE"""),10106.0)</f>
        <v>10106</v>
      </c>
      <c r="G1435" s="2" t="str">
        <f>IFERROR(__xludf.DUMMYFUNCTION("""COMPUTED_VALUE"""),"Korean Strawberry Fresh Milk")</f>
        <v>Korean Strawberry Fresh Milk</v>
      </c>
      <c r="H1435" s="2"/>
      <c r="I1435" s="2"/>
      <c r="J1435" s="2">
        <f>IFERROR(__xludf.DUMMYFUNCTION("""COMPUTED_VALUE"""),2.0)</f>
        <v>2</v>
      </c>
      <c r="K1435" s="6">
        <f>IFERROR(__xludf.DUMMYFUNCTION("""COMPUTED_VALUE"""),53334.0)</f>
        <v>53334</v>
      </c>
      <c r="L1435" s="2">
        <f>IFERROR(__xludf.DUMMYFUNCTION("""COMPUTED_VALUE"""),0.0)</f>
        <v>0</v>
      </c>
      <c r="M1435" s="2">
        <f>IFERROR(__xludf.DUMMYFUNCTION("""COMPUTED_VALUE"""),53334.0)</f>
        <v>53334</v>
      </c>
      <c r="N1435" s="2">
        <f>IFERROR(__xludf.DUMMYFUNCTION("""COMPUTED_VALUE"""),0.0)</f>
        <v>0</v>
      </c>
      <c r="O1435" s="2">
        <f>IFERROR(__xludf.DUMMYFUNCTION("""COMPUTED_VALUE"""),53334.0)</f>
        <v>53334</v>
      </c>
      <c r="P1435" s="2">
        <f>IFERROR(__xludf.DUMMYFUNCTION("""COMPUTED_VALUE"""),2667.0)</f>
        <v>2667</v>
      </c>
      <c r="Q1435" s="2" t="str">
        <f>IFERROR(__xludf.DUMMYFUNCTION("""COMPUTED_VALUE"""),"Dine In")</f>
        <v>Dine In</v>
      </c>
      <c r="R1435" s="2" t="str">
        <f>IFERROR(__xludf.DUMMYFUNCTION("""COMPUTED_VALUE"""),"Kedai")</f>
        <v>Kedai</v>
      </c>
      <c r="S1435" s="2" t="str">
        <f>IFERROR(__xludf.DUMMYFUNCTION("""COMPUTED_VALUE"""),"Temu Roti")</f>
        <v>Temu Roti</v>
      </c>
      <c r="T1435" s="2" t="str">
        <f>IFERROR(__xludf.DUMMYFUNCTION("""COMPUTED_VALUE"""),"Owner")</f>
        <v>Owner</v>
      </c>
      <c r="U1435" s="2"/>
      <c r="V1435" s="2"/>
      <c r="W1435" s="2"/>
      <c r="X1435" s="2" t="str">
        <f>IFERROR(__xludf.DUMMYFUNCTION("""COMPUTED_VALUE"""),"Closed")</f>
        <v>Closed</v>
      </c>
    </row>
    <row r="1436">
      <c r="A1436" s="3" t="s">
        <v>1446</v>
      </c>
      <c r="B1436" s="4">
        <f>IFERROR(__xludf.DUMMYFUNCTION("SPLIT(A1436,"","",0,0)"),45536.86597222222)</f>
        <v>45536.86597</v>
      </c>
      <c r="C1436" s="5">
        <f>IFERROR(__xludf.DUMMYFUNCTION("""COMPUTED_VALUE"""),2596542.0)</f>
        <v>2596542</v>
      </c>
      <c r="D1436" s="2" t="str">
        <f>IFERROR(__xludf.DUMMYFUNCTION("""COMPUTED_VALUE"""),"Sale")</f>
        <v>Sale</v>
      </c>
      <c r="E1436" s="2" t="str">
        <f>IFERROR(__xludf.DUMMYFUNCTION("""COMPUTED_VALUE"""),"Kudapan")</f>
        <v>Kudapan</v>
      </c>
      <c r="F1436" s="2">
        <f>IFERROR(__xludf.DUMMYFUNCTION("""COMPUTED_VALUE"""),10015.0)</f>
        <v>10015</v>
      </c>
      <c r="G1436" s="2" t="str">
        <f>IFERROR(__xludf.DUMMYFUNCTION("""COMPUTED_VALUE"""),"Tahu Lada Garam")</f>
        <v>Tahu Lada Garam</v>
      </c>
      <c r="H1436" s="2"/>
      <c r="I1436" s="2"/>
      <c r="J1436" s="2">
        <f>IFERROR(__xludf.DUMMYFUNCTION("""COMPUTED_VALUE"""),1.0)</f>
        <v>1</v>
      </c>
      <c r="K1436" s="6">
        <f>IFERROR(__xludf.DUMMYFUNCTION("""COMPUTED_VALUE"""),25238.0)</f>
        <v>25238</v>
      </c>
      <c r="L1436" s="2">
        <f>IFERROR(__xludf.DUMMYFUNCTION("""COMPUTED_VALUE"""),0.0)</f>
        <v>0</v>
      </c>
      <c r="M1436" s="2">
        <f>IFERROR(__xludf.DUMMYFUNCTION("""COMPUTED_VALUE"""),25238.0)</f>
        <v>25238</v>
      </c>
      <c r="N1436" s="2">
        <f>IFERROR(__xludf.DUMMYFUNCTION("""COMPUTED_VALUE"""),0.0)</f>
        <v>0</v>
      </c>
      <c r="O1436" s="2">
        <f>IFERROR(__xludf.DUMMYFUNCTION("""COMPUTED_VALUE"""),25238.0)</f>
        <v>25238</v>
      </c>
      <c r="P1436" s="2">
        <f>IFERROR(__xludf.DUMMYFUNCTION("""COMPUTED_VALUE"""),1262.0)</f>
        <v>1262</v>
      </c>
      <c r="Q1436" s="2" t="str">
        <f>IFERROR(__xludf.DUMMYFUNCTION("""COMPUTED_VALUE"""),"Dine In")</f>
        <v>Dine In</v>
      </c>
      <c r="R1436" s="2" t="str">
        <f>IFERROR(__xludf.DUMMYFUNCTION("""COMPUTED_VALUE"""),"Kedai")</f>
        <v>Kedai</v>
      </c>
      <c r="S1436" s="2" t="str">
        <f>IFERROR(__xludf.DUMMYFUNCTION("""COMPUTED_VALUE"""),"Temu Roti")</f>
        <v>Temu Roti</v>
      </c>
      <c r="T1436" s="2" t="str">
        <f>IFERROR(__xludf.DUMMYFUNCTION("""COMPUTED_VALUE"""),"Owner")</f>
        <v>Owner</v>
      </c>
      <c r="U1436" s="2"/>
      <c r="V1436" s="2"/>
      <c r="W1436" s="2"/>
      <c r="X1436" s="2" t="str">
        <f>IFERROR(__xludf.DUMMYFUNCTION("""COMPUTED_VALUE"""),"Closed")</f>
        <v>Closed</v>
      </c>
    </row>
    <row r="1437">
      <c r="A1437" s="3" t="s">
        <v>1447</v>
      </c>
      <c r="B1437" s="4">
        <f>IFERROR(__xludf.DUMMYFUNCTION("SPLIT(A1437,"","",0,0)"),45536.86597222222)</f>
        <v>45536.86597</v>
      </c>
      <c r="C1437" s="5">
        <f>IFERROR(__xludf.DUMMYFUNCTION("""COMPUTED_VALUE"""),2596542.0)</f>
        <v>2596542</v>
      </c>
      <c r="D1437" s="2" t="str">
        <f>IFERROR(__xludf.DUMMYFUNCTION("""COMPUTED_VALUE"""),"Sale")</f>
        <v>Sale</v>
      </c>
      <c r="E1437" s="2" t="str">
        <f>IFERROR(__xludf.DUMMYFUNCTION("""COMPUTED_VALUE"""),"Roti")</f>
        <v>Roti</v>
      </c>
      <c r="F1437" s="2">
        <f>IFERROR(__xludf.DUMMYFUNCTION("""COMPUTED_VALUE"""),10005.0)</f>
        <v>10005</v>
      </c>
      <c r="G1437" s="2" t="str">
        <f>IFERROR(__xludf.DUMMYFUNCTION("""COMPUTED_VALUE"""),"Roti Gandum Cokelat")</f>
        <v>Roti Gandum Cokelat</v>
      </c>
      <c r="H1437" s="2"/>
      <c r="I1437" s="2"/>
      <c r="J1437" s="2">
        <f>IFERROR(__xludf.DUMMYFUNCTION("""COMPUTED_VALUE"""),1.0)</f>
        <v>1</v>
      </c>
      <c r="K1437" s="6">
        <f>IFERROR(__xludf.DUMMYFUNCTION("""COMPUTED_VALUE"""),19524.0)</f>
        <v>19524</v>
      </c>
      <c r="L1437" s="2">
        <f>IFERROR(__xludf.DUMMYFUNCTION("""COMPUTED_VALUE"""),0.0)</f>
        <v>0</v>
      </c>
      <c r="M1437" s="2">
        <f>IFERROR(__xludf.DUMMYFUNCTION("""COMPUTED_VALUE"""),19524.0)</f>
        <v>19524</v>
      </c>
      <c r="N1437" s="2">
        <f>IFERROR(__xludf.DUMMYFUNCTION("""COMPUTED_VALUE"""),0.0)</f>
        <v>0</v>
      </c>
      <c r="O1437" s="2">
        <f>IFERROR(__xludf.DUMMYFUNCTION("""COMPUTED_VALUE"""),19524.0)</f>
        <v>19524</v>
      </c>
      <c r="P1437" s="2">
        <f>IFERROR(__xludf.DUMMYFUNCTION("""COMPUTED_VALUE"""),976.0)</f>
        <v>976</v>
      </c>
      <c r="Q1437" s="2" t="str">
        <f>IFERROR(__xludf.DUMMYFUNCTION("""COMPUTED_VALUE"""),"Dine In")</f>
        <v>Dine In</v>
      </c>
      <c r="R1437" s="2" t="str">
        <f>IFERROR(__xludf.DUMMYFUNCTION("""COMPUTED_VALUE"""),"Kedai")</f>
        <v>Kedai</v>
      </c>
      <c r="S1437" s="2" t="str">
        <f>IFERROR(__xludf.DUMMYFUNCTION("""COMPUTED_VALUE"""),"Temu Roti")</f>
        <v>Temu Roti</v>
      </c>
      <c r="T1437" s="2" t="str">
        <f>IFERROR(__xludf.DUMMYFUNCTION("""COMPUTED_VALUE"""),"Owner")</f>
        <v>Owner</v>
      </c>
      <c r="U1437" s="2"/>
      <c r="V1437" s="2"/>
      <c r="W1437" s="2"/>
      <c r="X1437" s="2" t="str">
        <f>IFERROR(__xludf.DUMMYFUNCTION("""COMPUTED_VALUE"""),"Closed")</f>
        <v>Closed</v>
      </c>
    </row>
    <row r="1438">
      <c r="A1438" s="3" t="s">
        <v>1448</v>
      </c>
      <c r="B1438" s="4">
        <f>IFERROR(__xludf.DUMMYFUNCTION("SPLIT(A1438,"","",0,0)"),45536.86597222222)</f>
        <v>45536.86597</v>
      </c>
      <c r="C1438" s="5">
        <f>IFERROR(__xludf.DUMMYFUNCTION("""COMPUTED_VALUE"""),2596542.0)</f>
        <v>2596542</v>
      </c>
      <c r="D1438" s="2" t="str">
        <f>IFERROR(__xludf.DUMMYFUNCTION("""COMPUTED_VALUE"""),"Sale")</f>
        <v>Sale</v>
      </c>
      <c r="E1438" s="2" t="str">
        <f>IFERROR(__xludf.DUMMYFUNCTION("""COMPUTED_VALUE"""),"Minuman")</f>
        <v>Minuman</v>
      </c>
      <c r="F1438" s="2">
        <f>IFERROR(__xludf.DUMMYFUNCTION("""COMPUTED_VALUE"""),10121.0)</f>
        <v>10121</v>
      </c>
      <c r="G1438" s="2" t="str">
        <f>IFERROR(__xludf.DUMMYFUNCTION("""COMPUTED_VALUE"""),"Lemon Tea Dingin")</f>
        <v>Lemon Tea Dingin</v>
      </c>
      <c r="H1438" s="2"/>
      <c r="I1438" s="2"/>
      <c r="J1438" s="2">
        <f>IFERROR(__xludf.DUMMYFUNCTION("""COMPUTED_VALUE"""),1.0)</f>
        <v>1</v>
      </c>
      <c r="K1438" s="6">
        <f>IFERROR(__xludf.DUMMYFUNCTION("""COMPUTED_VALUE"""),19524.0)</f>
        <v>19524</v>
      </c>
      <c r="L1438" s="2">
        <f>IFERROR(__xludf.DUMMYFUNCTION("""COMPUTED_VALUE"""),0.0)</f>
        <v>0</v>
      </c>
      <c r="M1438" s="2">
        <f>IFERROR(__xludf.DUMMYFUNCTION("""COMPUTED_VALUE"""),19524.0)</f>
        <v>19524</v>
      </c>
      <c r="N1438" s="2">
        <f>IFERROR(__xludf.DUMMYFUNCTION("""COMPUTED_VALUE"""),0.0)</f>
        <v>0</v>
      </c>
      <c r="O1438" s="2">
        <f>IFERROR(__xludf.DUMMYFUNCTION("""COMPUTED_VALUE"""),19524.0)</f>
        <v>19524</v>
      </c>
      <c r="P1438" s="2">
        <f>IFERROR(__xludf.DUMMYFUNCTION("""COMPUTED_VALUE"""),976.0)</f>
        <v>976</v>
      </c>
      <c r="Q1438" s="2" t="str">
        <f>IFERROR(__xludf.DUMMYFUNCTION("""COMPUTED_VALUE"""),"Dine In")</f>
        <v>Dine In</v>
      </c>
      <c r="R1438" s="2" t="str">
        <f>IFERROR(__xludf.DUMMYFUNCTION("""COMPUTED_VALUE"""),"Kedai")</f>
        <v>Kedai</v>
      </c>
      <c r="S1438" s="2" t="str">
        <f>IFERROR(__xludf.DUMMYFUNCTION("""COMPUTED_VALUE"""),"Temu Roti")</f>
        <v>Temu Roti</v>
      </c>
      <c r="T1438" s="2" t="str">
        <f>IFERROR(__xludf.DUMMYFUNCTION("""COMPUTED_VALUE"""),"Owner")</f>
        <v>Owner</v>
      </c>
      <c r="U1438" s="2"/>
      <c r="V1438" s="2"/>
      <c r="W1438" s="2"/>
      <c r="X1438" s="2" t="str">
        <f>IFERROR(__xludf.DUMMYFUNCTION("""COMPUTED_VALUE"""),"Closed")</f>
        <v>Closed</v>
      </c>
    </row>
    <row r="1439">
      <c r="A1439" s="3" t="s">
        <v>1449</v>
      </c>
      <c r="B1439" s="4">
        <f>IFERROR(__xludf.DUMMYFUNCTION("SPLIT(A1439,"","",0,0)"),45536.86111111111)</f>
        <v>45536.86111</v>
      </c>
      <c r="C1439" s="5">
        <f>IFERROR(__xludf.DUMMYFUNCTION("""COMPUTED_VALUE"""),2596176.0)</f>
        <v>2596176</v>
      </c>
      <c r="D1439" s="2" t="str">
        <f>IFERROR(__xludf.DUMMYFUNCTION("""COMPUTED_VALUE"""),"Sale")</f>
        <v>Sale</v>
      </c>
      <c r="E1439" s="2" t="str">
        <f>IFERROR(__xludf.DUMMYFUNCTION("""COMPUTED_VALUE"""),"Roti")</f>
        <v>Roti</v>
      </c>
      <c r="F1439" s="2">
        <f>IFERROR(__xludf.DUMMYFUNCTION("""COMPUTED_VALUE"""),10000.0)</f>
        <v>10000</v>
      </c>
      <c r="G1439" s="2" t="str">
        <f>IFERROR(__xludf.DUMMYFUNCTION("""COMPUTED_VALUE"""),"Roti Bawang Saus Keju")</f>
        <v>Roti Bawang Saus Keju</v>
      </c>
      <c r="H1439" s="2"/>
      <c r="I1439" s="2"/>
      <c r="J1439" s="2">
        <f>IFERROR(__xludf.DUMMYFUNCTION("""COMPUTED_VALUE"""),1.0)</f>
        <v>1</v>
      </c>
      <c r="K1439" s="6">
        <f>IFERROR(__xludf.DUMMYFUNCTION("""COMPUTED_VALUE"""),29524.0)</f>
        <v>29524</v>
      </c>
      <c r="L1439" s="2">
        <f>IFERROR(__xludf.DUMMYFUNCTION("""COMPUTED_VALUE"""),0.0)</f>
        <v>0</v>
      </c>
      <c r="M1439" s="2">
        <f>IFERROR(__xludf.DUMMYFUNCTION("""COMPUTED_VALUE"""),29524.0)</f>
        <v>29524</v>
      </c>
      <c r="N1439" s="2">
        <f>IFERROR(__xludf.DUMMYFUNCTION("""COMPUTED_VALUE"""),0.0)</f>
        <v>0</v>
      </c>
      <c r="O1439" s="2">
        <f>IFERROR(__xludf.DUMMYFUNCTION("""COMPUTED_VALUE"""),29524.0)</f>
        <v>29524</v>
      </c>
      <c r="P1439" s="2">
        <f>IFERROR(__xludf.DUMMYFUNCTION("""COMPUTED_VALUE"""),1476.0)</f>
        <v>1476</v>
      </c>
      <c r="Q1439" s="2" t="str">
        <f>IFERROR(__xludf.DUMMYFUNCTION("""COMPUTED_VALUE"""),"Dine In")</f>
        <v>Dine In</v>
      </c>
      <c r="R1439" s="2" t="str">
        <f>IFERROR(__xludf.DUMMYFUNCTION("""COMPUTED_VALUE"""),"Kedai")</f>
        <v>Kedai</v>
      </c>
      <c r="S1439" s="2" t="str">
        <f>IFERROR(__xludf.DUMMYFUNCTION("""COMPUTED_VALUE"""),"Temu Roti")</f>
        <v>Temu Roti</v>
      </c>
      <c r="T1439" s="2" t="str">
        <f>IFERROR(__xludf.DUMMYFUNCTION("""COMPUTED_VALUE"""),"Owner")</f>
        <v>Owner</v>
      </c>
      <c r="U1439" s="2"/>
      <c r="V1439" s="2"/>
      <c r="W1439" s="2"/>
      <c r="X1439" s="2" t="str">
        <f>IFERROR(__xludf.DUMMYFUNCTION("""COMPUTED_VALUE"""),"Closed")</f>
        <v>Closed</v>
      </c>
    </row>
    <row r="1440">
      <c r="A1440" s="3" t="s">
        <v>1450</v>
      </c>
      <c r="B1440" s="4">
        <f>IFERROR(__xludf.DUMMYFUNCTION("SPLIT(A1440,"","",0,0)"),45536.86111111111)</f>
        <v>45536.86111</v>
      </c>
      <c r="C1440" s="5">
        <f>IFERROR(__xludf.DUMMYFUNCTION("""COMPUTED_VALUE"""),2596176.0)</f>
        <v>2596176</v>
      </c>
      <c r="D1440" s="2" t="str">
        <f>IFERROR(__xludf.DUMMYFUNCTION("""COMPUTED_VALUE"""),"Sale")</f>
        <v>Sale</v>
      </c>
      <c r="E1440" s="2" t="str">
        <f>IFERROR(__xludf.DUMMYFUNCTION("""COMPUTED_VALUE"""),"Roti")</f>
        <v>Roti</v>
      </c>
      <c r="F1440" s="2">
        <f>IFERROR(__xludf.DUMMYFUNCTION("""COMPUTED_VALUE"""),10002.0)</f>
        <v>10002</v>
      </c>
      <c r="G1440" s="2" t="str">
        <f>IFERROR(__xludf.DUMMYFUNCTION("""COMPUTED_VALUE"""),"Roti Cranberry")</f>
        <v>Roti Cranberry</v>
      </c>
      <c r="H1440" s="2"/>
      <c r="I1440" s="2"/>
      <c r="J1440" s="2">
        <f>IFERROR(__xludf.DUMMYFUNCTION("""COMPUTED_VALUE"""),1.0)</f>
        <v>1</v>
      </c>
      <c r="K1440" s="6">
        <f>IFERROR(__xludf.DUMMYFUNCTION("""COMPUTED_VALUE"""),18571.0)</f>
        <v>18571</v>
      </c>
      <c r="L1440" s="2">
        <f>IFERROR(__xludf.DUMMYFUNCTION("""COMPUTED_VALUE"""),0.0)</f>
        <v>0</v>
      </c>
      <c r="M1440" s="2">
        <f>IFERROR(__xludf.DUMMYFUNCTION("""COMPUTED_VALUE"""),18571.0)</f>
        <v>18571</v>
      </c>
      <c r="N1440" s="2">
        <f>IFERROR(__xludf.DUMMYFUNCTION("""COMPUTED_VALUE"""),0.0)</f>
        <v>0</v>
      </c>
      <c r="O1440" s="2">
        <f>IFERROR(__xludf.DUMMYFUNCTION("""COMPUTED_VALUE"""),18571.0)</f>
        <v>18571</v>
      </c>
      <c r="P1440" s="2">
        <f>IFERROR(__xludf.DUMMYFUNCTION("""COMPUTED_VALUE"""),929.0)</f>
        <v>929</v>
      </c>
      <c r="Q1440" s="2" t="str">
        <f>IFERROR(__xludf.DUMMYFUNCTION("""COMPUTED_VALUE"""),"Dine In")</f>
        <v>Dine In</v>
      </c>
      <c r="R1440" s="2" t="str">
        <f>IFERROR(__xludf.DUMMYFUNCTION("""COMPUTED_VALUE"""),"Kedai")</f>
        <v>Kedai</v>
      </c>
      <c r="S1440" s="2" t="str">
        <f>IFERROR(__xludf.DUMMYFUNCTION("""COMPUTED_VALUE"""),"Temu Roti")</f>
        <v>Temu Roti</v>
      </c>
      <c r="T1440" s="2" t="str">
        <f>IFERROR(__xludf.DUMMYFUNCTION("""COMPUTED_VALUE"""),"Owner")</f>
        <v>Owner</v>
      </c>
      <c r="U1440" s="2"/>
      <c r="V1440" s="2"/>
      <c r="W1440" s="2"/>
      <c r="X1440" s="2" t="str">
        <f>IFERROR(__xludf.DUMMYFUNCTION("""COMPUTED_VALUE"""),"Closed")</f>
        <v>Closed</v>
      </c>
    </row>
    <row r="1441">
      <c r="A1441" s="3" t="s">
        <v>1451</v>
      </c>
      <c r="B1441" s="4">
        <f>IFERROR(__xludf.DUMMYFUNCTION("SPLIT(A1441,"","",0,0)"),45536.86111111111)</f>
        <v>45536.86111</v>
      </c>
      <c r="C1441" s="5">
        <f>IFERROR(__xludf.DUMMYFUNCTION("""COMPUTED_VALUE"""),2596176.0)</f>
        <v>2596176</v>
      </c>
      <c r="D1441" s="2" t="str">
        <f>IFERROR(__xludf.DUMMYFUNCTION("""COMPUTED_VALUE"""),"Sale")</f>
        <v>Sale</v>
      </c>
      <c r="E1441" s="2" t="str">
        <f>IFERROR(__xludf.DUMMYFUNCTION("""COMPUTED_VALUE"""),"Minuman")</f>
        <v>Minuman</v>
      </c>
      <c r="F1441" s="2">
        <f>IFERROR(__xludf.DUMMYFUNCTION("""COMPUTED_VALUE"""),10125.0)</f>
        <v>10125</v>
      </c>
      <c r="G1441" s="2" t="str">
        <f>IFERROR(__xludf.DUMMYFUNCTION("""COMPUTED_VALUE"""),"Gula Asam Dingin")</f>
        <v>Gula Asam Dingin</v>
      </c>
      <c r="H1441" s="2"/>
      <c r="I1441" s="2"/>
      <c r="J1441" s="2">
        <f>IFERROR(__xludf.DUMMYFUNCTION("""COMPUTED_VALUE"""),1.0)</f>
        <v>1</v>
      </c>
      <c r="K1441" s="6">
        <f>IFERROR(__xludf.DUMMYFUNCTION("""COMPUTED_VALUE"""),20476.0)</f>
        <v>20476</v>
      </c>
      <c r="L1441" s="2">
        <f>IFERROR(__xludf.DUMMYFUNCTION("""COMPUTED_VALUE"""),0.0)</f>
        <v>0</v>
      </c>
      <c r="M1441" s="2">
        <f>IFERROR(__xludf.DUMMYFUNCTION("""COMPUTED_VALUE"""),20476.0)</f>
        <v>20476</v>
      </c>
      <c r="N1441" s="2">
        <f>IFERROR(__xludf.DUMMYFUNCTION("""COMPUTED_VALUE"""),0.0)</f>
        <v>0</v>
      </c>
      <c r="O1441" s="2">
        <f>IFERROR(__xludf.DUMMYFUNCTION("""COMPUTED_VALUE"""),20476.0)</f>
        <v>20476</v>
      </c>
      <c r="P1441" s="2">
        <f>IFERROR(__xludf.DUMMYFUNCTION("""COMPUTED_VALUE"""),1024.0)</f>
        <v>1024</v>
      </c>
      <c r="Q1441" s="2" t="str">
        <f>IFERROR(__xludf.DUMMYFUNCTION("""COMPUTED_VALUE"""),"Dine In")</f>
        <v>Dine In</v>
      </c>
      <c r="R1441" s="2" t="str">
        <f>IFERROR(__xludf.DUMMYFUNCTION("""COMPUTED_VALUE"""),"Kedai")</f>
        <v>Kedai</v>
      </c>
      <c r="S1441" s="2" t="str">
        <f>IFERROR(__xludf.DUMMYFUNCTION("""COMPUTED_VALUE"""),"Temu Roti")</f>
        <v>Temu Roti</v>
      </c>
      <c r="T1441" s="2" t="str">
        <f>IFERROR(__xludf.DUMMYFUNCTION("""COMPUTED_VALUE"""),"Owner")</f>
        <v>Owner</v>
      </c>
      <c r="U1441" s="2"/>
      <c r="V1441" s="2"/>
      <c r="W1441" s="2"/>
      <c r="X1441" s="2" t="str">
        <f>IFERROR(__xludf.DUMMYFUNCTION("""COMPUTED_VALUE"""),"Closed")</f>
        <v>Closed</v>
      </c>
    </row>
    <row r="1442">
      <c r="A1442" s="3" t="s">
        <v>1452</v>
      </c>
      <c r="B1442" s="4">
        <f>IFERROR(__xludf.DUMMYFUNCTION("SPLIT(A1442,"","",0,0)"),45536.86111111111)</f>
        <v>45536.86111</v>
      </c>
      <c r="C1442" s="5">
        <f>IFERROR(__xludf.DUMMYFUNCTION("""COMPUTED_VALUE"""),2596176.0)</f>
        <v>2596176</v>
      </c>
      <c r="D1442" s="2" t="str">
        <f>IFERROR(__xludf.DUMMYFUNCTION("""COMPUTED_VALUE"""),"Sale")</f>
        <v>Sale</v>
      </c>
      <c r="E1442" s="2" t="str">
        <f>IFERROR(__xludf.DUMMYFUNCTION("""COMPUTED_VALUE"""),"Minuman")</f>
        <v>Minuman</v>
      </c>
      <c r="F1442" s="2">
        <f>IFERROR(__xludf.DUMMYFUNCTION("""COMPUTED_VALUE"""),10117.0)</f>
        <v>10117</v>
      </c>
      <c r="G1442" s="2" t="str">
        <f>IFERROR(__xludf.DUMMYFUNCTION("""COMPUTED_VALUE"""),"Teh Manis Dingin")</f>
        <v>Teh Manis Dingin</v>
      </c>
      <c r="H1442" s="2"/>
      <c r="I1442" s="2"/>
      <c r="J1442" s="2">
        <f>IFERROR(__xludf.DUMMYFUNCTION("""COMPUTED_VALUE"""),1.0)</f>
        <v>1</v>
      </c>
      <c r="K1442" s="6">
        <f>IFERROR(__xludf.DUMMYFUNCTION("""COMPUTED_VALUE"""),14286.0)</f>
        <v>14286</v>
      </c>
      <c r="L1442" s="2">
        <f>IFERROR(__xludf.DUMMYFUNCTION("""COMPUTED_VALUE"""),0.0)</f>
        <v>0</v>
      </c>
      <c r="M1442" s="2">
        <f>IFERROR(__xludf.DUMMYFUNCTION("""COMPUTED_VALUE"""),14286.0)</f>
        <v>14286</v>
      </c>
      <c r="N1442" s="2">
        <f>IFERROR(__xludf.DUMMYFUNCTION("""COMPUTED_VALUE"""),0.0)</f>
        <v>0</v>
      </c>
      <c r="O1442" s="2">
        <f>IFERROR(__xludf.DUMMYFUNCTION("""COMPUTED_VALUE"""),14286.0)</f>
        <v>14286</v>
      </c>
      <c r="P1442" s="2">
        <f>IFERROR(__xludf.DUMMYFUNCTION("""COMPUTED_VALUE"""),714.0)</f>
        <v>714</v>
      </c>
      <c r="Q1442" s="2" t="str">
        <f>IFERROR(__xludf.DUMMYFUNCTION("""COMPUTED_VALUE"""),"Dine In")</f>
        <v>Dine In</v>
      </c>
      <c r="R1442" s="2" t="str">
        <f>IFERROR(__xludf.DUMMYFUNCTION("""COMPUTED_VALUE"""),"Kedai")</f>
        <v>Kedai</v>
      </c>
      <c r="S1442" s="2" t="str">
        <f>IFERROR(__xludf.DUMMYFUNCTION("""COMPUTED_VALUE"""),"Temu Roti")</f>
        <v>Temu Roti</v>
      </c>
      <c r="T1442" s="2" t="str">
        <f>IFERROR(__xludf.DUMMYFUNCTION("""COMPUTED_VALUE"""),"Owner")</f>
        <v>Owner</v>
      </c>
      <c r="U1442" s="2"/>
      <c r="V1442" s="2"/>
      <c r="W1442" s="2"/>
      <c r="X1442" s="2" t="str">
        <f>IFERROR(__xludf.DUMMYFUNCTION("""COMPUTED_VALUE"""),"Closed")</f>
        <v>Closed</v>
      </c>
    </row>
    <row r="1443">
      <c r="A1443" s="3" t="s">
        <v>1453</v>
      </c>
      <c r="B1443" s="4">
        <f>IFERROR(__xludf.DUMMYFUNCTION("SPLIT(A1443,"","",0,0)"),45536.82847222222)</f>
        <v>45536.82847</v>
      </c>
      <c r="C1443" s="5">
        <f>IFERROR(__xludf.DUMMYFUNCTION("""COMPUTED_VALUE"""),2595811.0)</f>
        <v>2595811</v>
      </c>
      <c r="D1443" s="2" t="str">
        <f>IFERROR(__xludf.DUMMYFUNCTION("""COMPUTED_VALUE"""),"Sale")</f>
        <v>Sale</v>
      </c>
      <c r="E1443" s="2" t="str">
        <f>IFERROR(__xludf.DUMMYFUNCTION("""COMPUTED_VALUE"""),"Roti")</f>
        <v>Roti</v>
      </c>
      <c r="F1443" s="2">
        <f>IFERROR(__xludf.DUMMYFUNCTION("""COMPUTED_VALUE"""),10000.0)</f>
        <v>10000</v>
      </c>
      <c r="G1443" s="2" t="str">
        <f>IFERROR(__xludf.DUMMYFUNCTION("""COMPUTED_VALUE"""),"Roti Bawang Saus Keju")</f>
        <v>Roti Bawang Saus Keju</v>
      </c>
      <c r="H1443" s="2"/>
      <c r="I1443" s="2"/>
      <c r="J1443" s="2">
        <f>IFERROR(__xludf.DUMMYFUNCTION("""COMPUTED_VALUE"""),1.0)</f>
        <v>1</v>
      </c>
      <c r="K1443" s="6">
        <f>IFERROR(__xludf.DUMMYFUNCTION("""COMPUTED_VALUE"""),29524.0)</f>
        <v>29524</v>
      </c>
      <c r="L1443" s="2">
        <f>IFERROR(__xludf.DUMMYFUNCTION("""COMPUTED_VALUE"""),0.0)</f>
        <v>0</v>
      </c>
      <c r="M1443" s="2">
        <f>IFERROR(__xludf.DUMMYFUNCTION("""COMPUTED_VALUE"""),29524.0)</f>
        <v>29524</v>
      </c>
      <c r="N1443" s="2">
        <f>IFERROR(__xludf.DUMMYFUNCTION("""COMPUTED_VALUE"""),0.0)</f>
        <v>0</v>
      </c>
      <c r="O1443" s="2">
        <f>IFERROR(__xludf.DUMMYFUNCTION("""COMPUTED_VALUE"""),29524.0)</f>
        <v>29524</v>
      </c>
      <c r="P1443" s="2">
        <f>IFERROR(__xludf.DUMMYFUNCTION("""COMPUTED_VALUE"""),1476.0)</f>
        <v>1476</v>
      </c>
      <c r="Q1443" s="2" t="str">
        <f>IFERROR(__xludf.DUMMYFUNCTION("""COMPUTED_VALUE"""),"Dine In")</f>
        <v>Dine In</v>
      </c>
      <c r="R1443" s="2" t="str">
        <f>IFERROR(__xludf.DUMMYFUNCTION("""COMPUTED_VALUE"""),"Kedai")</f>
        <v>Kedai</v>
      </c>
      <c r="S1443" s="2" t="str">
        <f>IFERROR(__xludf.DUMMYFUNCTION("""COMPUTED_VALUE"""),"Temu Roti")</f>
        <v>Temu Roti</v>
      </c>
      <c r="T1443" s="2" t="str">
        <f>IFERROR(__xludf.DUMMYFUNCTION("""COMPUTED_VALUE"""),"Owner")</f>
        <v>Owner</v>
      </c>
      <c r="U1443" s="2"/>
      <c r="V1443" s="2"/>
      <c r="W1443" s="2"/>
      <c r="X1443" s="2" t="str">
        <f>IFERROR(__xludf.DUMMYFUNCTION("""COMPUTED_VALUE"""),"Closed")</f>
        <v>Closed</v>
      </c>
    </row>
    <row r="1444">
      <c r="A1444" s="3" t="s">
        <v>1454</v>
      </c>
      <c r="B1444" s="4">
        <f>IFERROR(__xludf.DUMMYFUNCTION("SPLIT(A1444,"","",0,0)"),45536.82847222222)</f>
        <v>45536.82847</v>
      </c>
      <c r="C1444" s="5">
        <f>IFERROR(__xludf.DUMMYFUNCTION("""COMPUTED_VALUE"""),2595811.0)</f>
        <v>2595811</v>
      </c>
      <c r="D1444" s="2" t="str">
        <f>IFERROR(__xludf.DUMMYFUNCTION("""COMPUTED_VALUE"""),"Sale")</f>
        <v>Sale</v>
      </c>
      <c r="E1444" s="2" t="str">
        <f>IFERROR(__xludf.DUMMYFUNCTION("""COMPUTED_VALUE"""),"Minuman")</f>
        <v>Minuman</v>
      </c>
      <c r="F1444" s="2">
        <f>IFERROR(__xludf.DUMMYFUNCTION("""COMPUTED_VALUE"""),10128.0)</f>
        <v>10128</v>
      </c>
      <c r="G1444" s="2" t="str">
        <f>IFERROR(__xludf.DUMMYFUNCTION("""COMPUTED_VALUE"""),"Es Kopi Susu")</f>
        <v>Es Kopi Susu</v>
      </c>
      <c r="H1444" s="2"/>
      <c r="I1444" s="2"/>
      <c r="J1444" s="2">
        <f>IFERROR(__xludf.DUMMYFUNCTION("""COMPUTED_VALUE"""),1.0)</f>
        <v>1</v>
      </c>
      <c r="K1444" s="6">
        <f>IFERROR(__xludf.DUMMYFUNCTION("""COMPUTED_VALUE"""),23333.0)</f>
        <v>23333</v>
      </c>
      <c r="L1444" s="2">
        <f>IFERROR(__xludf.DUMMYFUNCTION("""COMPUTED_VALUE"""),0.0)</f>
        <v>0</v>
      </c>
      <c r="M1444" s="2">
        <f>IFERROR(__xludf.DUMMYFUNCTION("""COMPUTED_VALUE"""),23333.0)</f>
        <v>23333</v>
      </c>
      <c r="N1444" s="2">
        <f>IFERROR(__xludf.DUMMYFUNCTION("""COMPUTED_VALUE"""),0.0)</f>
        <v>0</v>
      </c>
      <c r="O1444" s="2">
        <f>IFERROR(__xludf.DUMMYFUNCTION("""COMPUTED_VALUE"""),23333.0)</f>
        <v>23333</v>
      </c>
      <c r="P1444" s="2">
        <f>IFERROR(__xludf.DUMMYFUNCTION("""COMPUTED_VALUE"""),1167.0)</f>
        <v>1167</v>
      </c>
      <c r="Q1444" s="2" t="str">
        <f>IFERROR(__xludf.DUMMYFUNCTION("""COMPUTED_VALUE"""),"Dine In")</f>
        <v>Dine In</v>
      </c>
      <c r="R1444" s="2" t="str">
        <f>IFERROR(__xludf.DUMMYFUNCTION("""COMPUTED_VALUE"""),"Kedai")</f>
        <v>Kedai</v>
      </c>
      <c r="S1444" s="2" t="str">
        <f>IFERROR(__xludf.DUMMYFUNCTION("""COMPUTED_VALUE"""),"Temu Roti")</f>
        <v>Temu Roti</v>
      </c>
      <c r="T1444" s="2" t="str">
        <f>IFERROR(__xludf.DUMMYFUNCTION("""COMPUTED_VALUE"""),"Owner")</f>
        <v>Owner</v>
      </c>
      <c r="U1444" s="2"/>
      <c r="V1444" s="2"/>
      <c r="W1444" s="2"/>
      <c r="X1444" s="2" t="str">
        <f>IFERROR(__xludf.DUMMYFUNCTION("""COMPUTED_VALUE"""),"Closed")</f>
        <v>Closed</v>
      </c>
    </row>
    <row r="1445">
      <c r="A1445" s="3" t="s">
        <v>1455</v>
      </c>
      <c r="B1445" s="4">
        <f>IFERROR(__xludf.DUMMYFUNCTION("SPLIT(A1445,"","",0,0)"),45536.79722222222)</f>
        <v>45536.79722</v>
      </c>
      <c r="C1445" s="5">
        <f>IFERROR(__xludf.DUMMYFUNCTION("""COMPUTED_VALUE"""),2595446.0)</f>
        <v>2595446</v>
      </c>
      <c r="D1445" s="2" t="str">
        <f>IFERROR(__xludf.DUMMYFUNCTION("""COMPUTED_VALUE"""),"Sale")</f>
        <v>Sale</v>
      </c>
      <c r="E1445" s="2" t="str">
        <f>IFERROR(__xludf.DUMMYFUNCTION("""COMPUTED_VALUE"""),"Kudapan")</f>
        <v>Kudapan</v>
      </c>
      <c r="F1445" s="2">
        <f>IFERROR(__xludf.DUMMYFUNCTION("""COMPUTED_VALUE"""),10004.0)</f>
        <v>10004</v>
      </c>
      <c r="G1445" s="2" t="str">
        <f>IFERROR(__xludf.DUMMYFUNCTION("""COMPUTED_VALUE"""),"Tahu walik")</f>
        <v>Tahu walik</v>
      </c>
      <c r="H1445" s="2"/>
      <c r="I1445" s="2"/>
      <c r="J1445" s="2">
        <f>IFERROR(__xludf.DUMMYFUNCTION("""COMPUTED_VALUE"""),1.0)</f>
        <v>1</v>
      </c>
      <c r="K1445" s="6">
        <f>IFERROR(__xludf.DUMMYFUNCTION("""COMPUTED_VALUE"""),25238.0)</f>
        <v>25238</v>
      </c>
      <c r="L1445" s="2">
        <f>IFERROR(__xludf.DUMMYFUNCTION("""COMPUTED_VALUE"""),0.0)</f>
        <v>0</v>
      </c>
      <c r="M1445" s="2">
        <f>IFERROR(__xludf.DUMMYFUNCTION("""COMPUTED_VALUE"""),25238.0)</f>
        <v>25238</v>
      </c>
      <c r="N1445" s="2">
        <f>IFERROR(__xludf.DUMMYFUNCTION("""COMPUTED_VALUE"""),0.0)</f>
        <v>0</v>
      </c>
      <c r="O1445" s="2">
        <f>IFERROR(__xludf.DUMMYFUNCTION("""COMPUTED_VALUE"""),25238.0)</f>
        <v>25238</v>
      </c>
      <c r="P1445" s="2">
        <f>IFERROR(__xludf.DUMMYFUNCTION("""COMPUTED_VALUE"""),1262.0)</f>
        <v>1262</v>
      </c>
      <c r="Q1445" s="2" t="str">
        <f>IFERROR(__xludf.DUMMYFUNCTION("""COMPUTED_VALUE"""),"Dine In")</f>
        <v>Dine In</v>
      </c>
      <c r="R1445" s="2" t="str">
        <f>IFERROR(__xludf.DUMMYFUNCTION("""COMPUTED_VALUE"""),"Kedai")</f>
        <v>Kedai</v>
      </c>
      <c r="S1445" s="2" t="str">
        <f>IFERROR(__xludf.DUMMYFUNCTION("""COMPUTED_VALUE"""),"Temu Roti")</f>
        <v>Temu Roti</v>
      </c>
      <c r="T1445" s="2" t="str">
        <f>IFERROR(__xludf.DUMMYFUNCTION("""COMPUTED_VALUE"""),"Owner")</f>
        <v>Owner</v>
      </c>
      <c r="U1445" s="2"/>
      <c r="V1445" s="2"/>
      <c r="W1445" s="2"/>
      <c r="X1445" s="2" t="str">
        <f>IFERROR(__xludf.DUMMYFUNCTION("""COMPUTED_VALUE"""),"Closed")</f>
        <v>Closed</v>
      </c>
    </row>
    <row r="1446">
      <c r="A1446" s="3" t="s">
        <v>1456</v>
      </c>
      <c r="B1446" s="4">
        <f>IFERROR(__xludf.DUMMYFUNCTION("SPLIT(A1446,"","",0,0)"),45536.78958333333)</f>
        <v>45536.78958</v>
      </c>
      <c r="C1446" s="5">
        <f>IFERROR(__xludf.DUMMYFUNCTION("""COMPUTED_VALUE"""),2595081.0)</f>
        <v>2595081</v>
      </c>
      <c r="D1446" s="2" t="str">
        <f>IFERROR(__xludf.DUMMYFUNCTION("""COMPUTED_VALUE"""),"Sale")</f>
        <v>Sale</v>
      </c>
      <c r="E1446" s="2" t="str">
        <f>IFERROR(__xludf.DUMMYFUNCTION("""COMPUTED_VALUE"""),"Minuman")</f>
        <v>Minuman</v>
      </c>
      <c r="F1446" s="2">
        <f>IFERROR(__xludf.DUMMYFUNCTION("""COMPUTED_VALUE"""),10128.0)</f>
        <v>10128</v>
      </c>
      <c r="G1446" s="2" t="str">
        <f>IFERROR(__xludf.DUMMYFUNCTION("""COMPUTED_VALUE"""),"Es Kopi Susu")</f>
        <v>Es Kopi Susu</v>
      </c>
      <c r="H1446" s="2"/>
      <c r="I1446" s="2"/>
      <c r="J1446" s="2">
        <f>IFERROR(__xludf.DUMMYFUNCTION("""COMPUTED_VALUE"""),1.0)</f>
        <v>1</v>
      </c>
      <c r="K1446" s="6">
        <f>IFERROR(__xludf.DUMMYFUNCTION("""COMPUTED_VALUE"""),23333.0)</f>
        <v>23333</v>
      </c>
      <c r="L1446" s="2">
        <f>IFERROR(__xludf.DUMMYFUNCTION("""COMPUTED_VALUE"""),0.0)</f>
        <v>0</v>
      </c>
      <c r="M1446" s="2">
        <f>IFERROR(__xludf.DUMMYFUNCTION("""COMPUTED_VALUE"""),23333.0)</f>
        <v>23333</v>
      </c>
      <c r="N1446" s="2">
        <f>IFERROR(__xludf.DUMMYFUNCTION("""COMPUTED_VALUE"""),0.0)</f>
        <v>0</v>
      </c>
      <c r="O1446" s="2">
        <f>IFERROR(__xludf.DUMMYFUNCTION("""COMPUTED_VALUE"""),23333.0)</f>
        <v>23333</v>
      </c>
      <c r="P1446" s="2">
        <f>IFERROR(__xludf.DUMMYFUNCTION("""COMPUTED_VALUE"""),1167.0)</f>
        <v>1167</v>
      </c>
      <c r="Q1446" s="2" t="str">
        <f>IFERROR(__xludf.DUMMYFUNCTION("""COMPUTED_VALUE"""),"Dine In")</f>
        <v>Dine In</v>
      </c>
      <c r="R1446" s="2" t="str">
        <f>IFERROR(__xludf.DUMMYFUNCTION("""COMPUTED_VALUE"""),"Kedai")</f>
        <v>Kedai</v>
      </c>
      <c r="S1446" s="2" t="str">
        <f>IFERROR(__xludf.DUMMYFUNCTION("""COMPUTED_VALUE"""),"Temu Roti")</f>
        <v>Temu Roti</v>
      </c>
      <c r="T1446" s="2" t="str">
        <f>IFERROR(__xludf.DUMMYFUNCTION("""COMPUTED_VALUE"""),"Owner")</f>
        <v>Owner</v>
      </c>
      <c r="U1446" s="2"/>
      <c r="V1446" s="2"/>
      <c r="W1446" s="2"/>
      <c r="X1446" s="2" t="str">
        <f>IFERROR(__xludf.DUMMYFUNCTION("""COMPUTED_VALUE"""),"Closed")</f>
        <v>Closed</v>
      </c>
    </row>
    <row r="1447">
      <c r="A1447" s="3" t="s">
        <v>1457</v>
      </c>
      <c r="B1447" s="4">
        <f>IFERROR(__xludf.DUMMYFUNCTION("SPLIT(A1447,"","",0,0)"),45536.77777777778)</f>
        <v>45536.77778</v>
      </c>
      <c r="C1447" s="5">
        <f>IFERROR(__xludf.DUMMYFUNCTION("""COMPUTED_VALUE"""),2594715.0)</f>
        <v>2594715</v>
      </c>
      <c r="D1447" s="2" t="str">
        <f>IFERROR(__xludf.DUMMYFUNCTION("""COMPUTED_VALUE"""),"Sale")</f>
        <v>Sale</v>
      </c>
      <c r="E1447" s="2" t="str">
        <f>IFERROR(__xludf.DUMMYFUNCTION("""COMPUTED_VALUE"""),"Minuman")</f>
        <v>Minuman</v>
      </c>
      <c r="F1447" s="2">
        <f>IFERROR(__xludf.DUMMYFUNCTION("""COMPUTED_VALUE"""),10127.0)</f>
        <v>10127</v>
      </c>
      <c r="G1447" s="2" t="str">
        <f>IFERROR(__xludf.DUMMYFUNCTION("""COMPUTED_VALUE"""),"Kopi Tubruk Panas")</f>
        <v>Kopi Tubruk Panas</v>
      </c>
      <c r="H1447" s="2"/>
      <c r="I1447" s="2"/>
      <c r="J1447" s="2">
        <f>IFERROR(__xludf.DUMMYFUNCTION("""COMPUTED_VALUE"""),1.0)</f>
        <v>1</v>
      </c>
      <c r="K1447" s="6">
        <f>IFERROR(__xludf.DUMMYFUNCTION("""COMPUTED_VALUE"""),18571.0)</f>
        <v>18571</v>
      </c>
      <c r="L1447" s="2">
        <f>IFERROR(__xludf.DUMMYFUNCTION("""COMPUTED_VALUE"""),0.0)</f>
        <v>0</v>
      </c>
      <c r="M1447" s="2">
        <f>IFERROR(__xludf.DUMMYFUNCTION("""COMPUTED_VALUE"""),18571.0)</f>
        <v>18571</v>
      </c>
      <c r="N1447" s="2">
        <f>IFERROR(__xludf.DUMMYFUNCTION("""COMPUTED_VALUE"""),0.0)</f>
        <v>0</v>
      </c>
      <c r="O1447" s="2">
        <f>IFERROR(__xludf.DUMMYFUNCTION("""COMPUTED_VALUE"""),18571.0)</f>
        <v>18571</v>
      </c>
      <c r="P1447" s="2">
        <f>IFERROR(__xludf.DUMMYFUNCTION("""COMPUTED_VALUE"""),929.0)</f>
        <v>929</v>
      </c>
      <c r="Q1447" s="2" t="str">
        <f>IFERROR(__xludf.DUMMYFUNCTION("""COMPUTED_VALUE"""),"Dine In")</f>
        <v>Dine In</v>
      </c>
      <c r="R1447" s="2" t="str">
        <f>IFERROR(__xludf.DUMMYFUNCTION("""COMPUTED_VALUE"""),"Kedai")</f>
        <v>Kedai</v>
      </c>
      <c r="S1447" s="2" t="str">
        <f>IFERROR(__xludf.DUMMYFUNCTION("""COMPUTED_VALUE"""),"Temu Roti")</f>
        <v>Temu Roti</v>
      </c>
      <c r="T1447" s="2" t="str">
        <f>IFERROR(__xludf.DUMMYFUNCTION("""COMPUTED_VALUE"""),"Owner")</f>
        <v>Owner</v>
      </c>
      <c r="U1447" s="2"/>
      <c r="V1447" s="2"/>
      <c r="W1447" s="2"/>
      <c r="X1447" s="2" t="str">
        <f>IFERROR(__xludf.DUMMYFUNCTION("""COMPUTED_VALUE"""),"Closed")</f>
        <v>Closed</v>
      </c>
    </row>
    <row r="1448">
      <c r="A1448" s="3" t="s">
        <v>1458</v>
      </c>
      <c r="B1448" s="4">
        <f>IFERROR(__xludf.DUMMYFUNCTION("SPLIT(A1448,"","",0,0)"),45536.77569444444)</f>
        <v>45536.77569</v>
      </c>
      <c r="C1448" s="5">
        <f>IFERROR(__xludf.DUMMYFUNCTION("""COMPUTED_VALUE"""),2594350.0)</f>
        <v>2594350</v>
      </c>
      <c r="D1448" s="2" t="str">
        <f>IFERROR(__xludf.DUMMYFUNCTION("""COMPUTED_VALUE"""),"Sale")</f>
        <v>Sale</v>
      </c>
      <c r="E1448" s="2" t="str">
        <f>IFERROR(__xludf.DUMMYFUNCTION("""COMPUTED_VALUE"""),"Minuman")</f>
        <v>Minuman</v>
      </c>
      <c r="F1448" s="2">
        <f>IFERROR(__xludf.DUMMYFUNCTION("""COMPUTED_VALUE"""),10013.0)</f>
        <v>10013</v>
      </c>
      <c r="G1448" s="2" t="str">
        <f>IFERROR(__xludf.DUMMYFUNCTION("""COMPUTED_VALUE"""),"Kopi cur")</f>
        <v>Kopi cur</v>
      </c>
      <c r="H1448" s="2"/>
      <c r="I1448" s="2"/>
      <c r="J1448" s="2">
        <f>IFERROR(__xludf.DUMMYFUNCTION("""COMPUTED_VALUE"""),1.0)</f>
        <v>1</v>
      </c>
      <c r="K1448" s="6">
        <f>IFERROR(__xludf.DUMMYFUNCTION("""COMPUTED_VALUE"""),23333.0)</f>
        <v>23333</v>
      </c>
      <c r="L1448" s="2">
        <f>IFERROR(__xludf.DUMMYFUNCTION("""COMPUTED_VALUE"""),0.0)</f>
        <v>0</v>
      </c>
      <c r="M1448" s="2">
        <f>IFERROR(__xludf.DUMMYFUNCTION("""COMPUTED_VALUE"""),23333.0)</f>
        <v>23333</v>
      </c>
      <c r="N1448" s="2">
        <f>IFERROR(__xludf.DUMMYFUNCTION("""COMPUTED_VALUE"""),0.0)</f>
        <v>0</v>
      </c>
      <c r="O1448" s="2">
        <f>IFERROR(__xludf.DUMMYFUNCTION("""COMPUTED_VALUE"""),23333.0)</f>
        <v>23333</v>
      </c>
      <c r="P1448" s="2">
        <f>IFERROR(__xludf.DUMMYFUNCTION("""COMPUTED_VALUE"""),1167.0)</f>
        <v>1167</v>
      </c>
      <c r="Q1448" s="2" t="str">
        <f>IFERROR(__xludf.DUMMYFUNCTION("""COMPUTED_VALUE"""),"Dine In")</f>
        <v>Dine In</v>
      </c>
      <c r="R1448" s="2" t="str">
        <f>IFERROR(__xludf.DUMMYFUNCTION("""COMPUTED_VALUE"""),"Kedai")</f>
        <v>Kedai</v>
      </c>
      <c r="S1448" s="2" t="str">
        <f>IFERROR(__xludf.DUMMYFUNCTION("""COMPUTED_VALUE"""),"Temu Roti")</f>
        <v>Temu Roti</v>
      </c>
      <c r="T1448" s="2" t="str">
        <f>IFERROR(__xludf.DUMMYFUNCTION("""COMPUTED_VALUE"""),"Owner")</f>
        <v>Owner</v>
      </c>
      <c r="U1448" s="2"/>
      <c r="V1448" s="2"/>
      <c r="W1448" s="2"/>
      <c r="X1448" s="2" t="str">
        <f>IFERROR(__xludf.DUMMYFUNCTION("""COMPUTED_VALUE"""),"Closed")</f>
        <v>Closed</v>
      </c>
    </row>
    <row r="1449">
      <c r="A1449" s="3" t="s">
        <v>1459</v>
      </c>
      <c r="B1449" s="4">
        <f>IFERROR(__xludf.DUMMYFUNCTION("SPLIT(A1449,"","",0,0)"),45536.77569444444)</f>
        <v>45536.77569</v>
      </c>
      <c r="C1449" s="5">
        <f>IFERROR(__xludf.DUMMYFUNCTION("""COMPUTED_VALUE"""),2594350.0)</f>
        <v>2594350</v>
      </c>
      <c r="D1449" s="2" t="str">
        <f>IFERROR(__xludf.DUMMYFUNCTION("""COMPUTED_VALUE"""),"Sale")</f>
        <v>Sale</v>
      </c>
      <c r="E1449" s="2" t="str">
        <f>IFERROR(__xludf.DUMMYFUNCTION("""COMPUTED_VALUE"""),"Kudapan")</f>
        <v>Kudapan</v>
      </c>
      <c r="F1449" s="2">
        <f>IFERROR(__xludf.DUMMYFUNCTION("""COMPUTED_VALUE"""),10014.0)</f>
        <v>10014</v>
      </c>
      <c r="G1449" s="2" t="str">
        <f>IFERROR(__xludf.DUMMYFUNCTION("""COMPUTED_VALUE"""),"Tempe Mendoan")</f>
        <v>Tempe Mendoan</v>
      </c>
      <c r="H1449" s="2"/>
      <c r="I1449" s="2"/>
      <c r="J1449" s="2">
        <f>IFERROR(__xludf.DUMMYFUNCTION("""COMPUTED_VALUE"""),1.0)</f>
        <v>1</v>
      </c>
      <c r="K1449" s="6">
        <f>IFERROR(__xludf.DUMMYFUNCTION("""COMPUTED_VALUE"""),25238.0)</f>
        <v>25238</v>
      </c>
      <c r="L1449" s="2">
        <f>IFERROR(__xludf.DUMMYFUNCTION("""COMPUTED_VALUE"""),0.0)</f>
        <v>0</v>
      </c>
      <c r="M1449" s="2">
        <f>IFERROR(__xludf.DUMMYFUNCTION("""COMPUTED_VALUE"""),25238.0)</f>
        <v>25238</v>
      </c>
      <c r="N1449" s="2">
        <f>IFERROR(__xludf.DUMMYFUNCTION("""COMPUTED_VALUE"""),0.0)</f>
        <v>0</v>
      </c>
      <c r="O1449" s="2">
        <f>IFERROR(__xludf.DUMMYFUNCTION("""COMPUTED_VALUE"""),25238.0)</f>
        <v>25238</v>
      </c>
      <c r="P1449" s="2">
        <f>IFERROR(__xludf.DUMMYFUNCTION("""COMPUTED_VALUE"""),1262.0)</f>
        <v>1262</v>
      </c>
      <c r="Q1449" s="2" t="str">
        <f>IFERROR(__xludf.DUMMYFUNCTION("""COMPUTED_VALUE"""),"Dine In")</f>
        <v>Dine In</v>
      </c>
      <c r="R1449" s="2" t="str">
        <f>IFERROR(__xludf.DUMMYFUNCTION("""COMPUTED_VALUE"""),"Kedai")</f>
        <v>Kedai</v>
      </c>
      <c r="S1449" s="2" t="str">
        <f>IFERROR(__xludf.DUMMYFUNCTION("""COMPUTED_VALUE"""),"Temu Roti")</f>
        <v>Temu Roti</v>
      </c>
      <c r="T1449" s="2" t="str">
        <f>IFERROR(__xludf.DUMMYFUNCTION("""COMPUTED_VALUE"""),"Owner")</f>
        <v>Owner</v>
      </c>
      <c r="U1449" s="2"/>
      <c r="V1449" s="2"/>
      <c r="W1449" s="2"/>
      <c r="X1449" s="2" t="str">
        <f>IFERROR(__xludf.DUMMYFUNCTION("""COMPUTED_VALUE"""),"Closed")</f>
        <v>Closed</v>
      </c>
    </row>
    <row r="1450">
      <c r="A1450" s="3" t="s">
        <v>1460</v>
      </c>
      <c r="B1450" s="4">
        <f>IFERROR(__xludf.DUMMYFUNCTION("SPLIT(A1450,"","",0,0)"),45536.74722222222)</f>
        <v>45536.74722</v>
      </c>
      <c r="C1450" s="5">
        <f>IFERROR(__xludf.DUMMYFUNCTION("""COMPUTED_VALUE"""),2593985.0)</f>
        <v>2593985</v>
      </c>
      <c r="D1450" s="2" t="str">
        <f>IFERROR(__xludf.DUMMYFUNCTION("""COMPUTED_VALUE"""),"Sale")</f>
        <v>Sale</v>
      </c>
      <c r="E1450" s="2" t="str">
        <f>IFERROR(__xludf.DUMMYFUNCTION("""COMPUTED_VALUE"""),"Roti")</f>
        <v>Roti</v>
      </c>
      <c r="F1450" s="2">
        <f>IFERROR(__xludf.DUMMYFUNCTION("""COMPUTED_VALUE"""),10005.0)</f>
        <v>10005</v>
      </c>
      <c r="G1450" s="2" t="str">
        <f>IFERROR(__xludf.DUMMYFUNCTION("""COMPUTED_VALUE"""),"Roti Gandum Cokelat")</f>
        <v>Roti Gandum Cokelat</v>
      </c>
      <c r="H1450" s="2"/>
      <c r="I1450" s="2"/>
      <c r="J1450" s="2">
        <f>IFERROR(__xludf.DUMMYFUNCTION("""COMPUTED_VALUE"""),1.0)</f>
        <v>1</v>
      </c>
      <c r="K1450" s="6">
        <f>IFERROR(__xludf.DUMMYFUNCTION("""COMPUTED_VALUE"""),19524.0)</f>
        <v>19524</v>
      </c>
      <c r="L1450" s="2">
        <f>IFERROR(__xludf.DUMMYFUNCTION("""COMPUTED_VALUE"""),0.0)</f>
        <v>0</v>
      </c>
      <c r="M1450" s="2">
        <f>IFERROR(__xludf.DUMMYFUNCTION("""COMPUTED_VALUE"""),19524.0)</f>
        <v>19524</v>
      </c>
      <c r="N1450" s="2">
        <f>IFERROR(__xludf.DUMMYFUNCTION("""COMPUTED_VALUE"""),0.0)</f>
        <v>0</v>
      </c>
      <c r="O1450" s="2">
        <f>IFERROR(__xludf.DUMMYFUNCTION("""COMPUTED_VALUE"""),19524.0)</f>
        <v>19524</v>
      </c>
      <c r="P1450" s="2">
        <f>IFERROR(__xludf.DUMMYFUNCTION("""COMPUTED_VALUE"""),976.0)</f>
        <v>976</v>
      </c>
      <c r="Q1450" s="2" t="str">
        <f>IFERROR(__xludf.DUMMYFUNCTION("""COMPUTED_VALUE"""),"Dine In")</f>
        <v>Dine In</v>
      </c>
      <c r="R1450" s="2" t="str">
        <f>IFERROR(__xludf.DUMMYFUNCTION("""COMPUTED_VALUE"""),"Kedai")</f>
        <v>Kedai</v>
      </c>
      <c r="S1450" s="2" t="str">
        <f>IFERROR(__xludf.DUMMYFUNCTION("""COMPUTED_VALUE"""),"Temu Roti")</f>
        <v>Temu Roti</v>
      </c>
      <c r="T1450" s="2" t="str">
        <f>IFERROR(__xludf.DUMMYFUNCTION("""COMPUTED_VALUE"""),"Owner")</f>
        <v>Owner</v>
      </c>
      <c r="U1450" s="2"/>
      <c r="V1450" s="2"/>
      <c r="W1450" s="2"/>
      <c r="X1450" s="2" t="str">
        <f>IFERROR(__xludf.DUMMYFUNCTION("""COMPUTED_VALUE"""),"Closed")</f>
        <v>Closed</v>
      </c>
    </row>
    <row r="1451">
      <c r="A1451" s="3" t="s">
        <v>1461</v>
      </c>
      <c r="B1451" s="4">
        <f>IFERROR(__xludf.DUMMYFUNCTION("SPLIT(A1451,"","",0,0)"),45536.74722222222)</f>
        <v>45536.74722</v>
      </c>
      <c r="C1451" s="5">
        <f>IFERROR(__xludf.DUMMYFUNCTION("""COMPUTED_VALUE"""),2593985.0)</f>
        <v>2593985</v>
      </c>
      <c r="D1451" s="2" t="str">
        <f>IFERROR(__xludf.DUMMYFUNCTION("""COMPUTED_VALUE"""),"Sale")</f>
        <v>Sale</v>
      </c>
      <c r="E1451" s="2" t="str">
        <f>IFERROR(__xludf.DUMMYFUNCTION("""COMPUTED_VALUE"""),"Roti")</f>
        <v>Roti</v>
      </c>
      <c r="F1451" s="2">
        <f>IFERROR(__xludf.DUMMYFUNCTION("""COMPUTED_VALUE"""),10002.0)</f>
        <v>10002</v>
      </c>
      <c r="G1451" s="2" t="str">
        <f>IFERROR(__xludf.DUMMYFUNCTION("""COMPUTED_VALUE"""),"Roti Cranberry")</f>
        <v>Roti Cranberry</v>
      </c>
      <c r="H1451" s="2"/>
      <c r="I1451" s="2"/>
      <c r="J1451" s="2">
        <f>IFERROR(__xludf.DUMMYFUNCTION("""COMPUTED_VALUE"""),1.0)</f>
        <v>1</v>
      </c>
      <c r="K1451" s="6">
        <f>IFERROR(__xludf.DUMMYFUNCTION("""COMPUTED_VALUE"""),18571.0)</f>
        <v>18571</v>
      </c>
      <c r="L1451" s="2">
        <f>IFERROR(__xludf.DUMMYFUNCTION("""COMPUTED_VALUE"""),0.0)</f>
        <v>0</v>
      </c>
      <c r="M1451" s="2">
        <f>IFERROR(__xludf.DUMMYFUNCTION("""COMPUTED_VALUE"""),18571.0)</f>
        <v>18571</v>
      </c>
      <c r="N1451" s="2">
        <f>IFERROR(__xludf.DUMMYFUNCTION("""COMPUTED_VALUE"""),0.0)</f>
        <v>0</v>
      </c>
      <c r="O1451" s="2">
        <f>IFERROR(__xludf.DUMMYFUNCTION("""COMPUTED_VALUE"""),18571.0)</f>
        <v>18571</v>
      </c>
      <c r="P1451" s="2">
        <f>IFERROR(__xludf.DUMMYFUNCTION("""COMPUTED_VALUE"""),929.0)</f>
        <v>929</v>
      </c>
      <c r="Q1451" s="2" t="str">
        <f>IFERROR(__xludf.DUMMYFUNCTION("""COMPUTED_VALUE"""),"Dine In")</f>
        <v>Dine In</v>
      </c>
      <c r="R1451" s="2" t="str">
        <f>IFERROR(__xludf.DUMMYFUNCTION("""COMPUTED_VALUE"""),"Kedai")</f>
        <v>Kedai</v>
      </c>
      <c r="S1451" s="2" t="str">
        <f>IFERROR(__xludf.DUMMYFUNCTION("""COMPUTED_VALUE"""),"Temu Roti")</f>
        <v>Temu Roti</v>
      </c>
      <c r="T1451" s="2" t="str">
        <f>IFERROR(__xludf.DUMMYFUNCTION("""COMPUTED_VALUE"""),"Owner")</f>
        <v>Owner</v>
      </c>
      <c r="U1451" s="2"/>
      <c r="V1451" s="2"/>
      <c r="W1451" s="2"/>
      <c r="X1451" s="2" t="str">
        <f>IFERROR(__xludf.DUMMYFUNCTION("""COMPUTED_VALUE"""),"Closed")</f>
        <v>Closed</v>
      </c>
    </row>
    <row r="1452">
      <c r="A1452" s="3" t="s">
        <v>1462</v>
      </c>
      <c r="B1452" s="4">
        <f>IFERROR(__xludf.DUMMYFUNCTION("SPLIT(A1452,"","",0,0)"),45536.73263888889)</f>
        <v>45536.73264</v>
      </c>
      <c r="C1452" s="5">
        <f>IFERROR(__xludf.DUMMYFUNCTION("""COMPUTED_VALUE"""),2593620.0)</f>
        <v>2593620</v>
      </c>
      <c r="D1452" s="2" t="str">
        <f>IFERROR(__xludf.DUMMYFUNCTION("""COMPUTED_VALUE"""),"Sale")</f>
        <v>Sale</v>
      </c>
      <c r="E1452" s="2" t="str">
        <f>IFERROR(__xludf.DUMMYFUNCTION("""COMPUTED_VALUE"""),"Kudapan")</f>
        <v>Kudapan</v>
      </c>
      <c r="F1452" s="2">
        <f>IFERROR(__xludf.DUMMYFUNCTION("""COMPUTED_VALUE"""),10004.0)</f>
        <v>10004</v>
      </c>
      <c r="G1452" s="2" t="str">
        <f>IFERROR(__xludf.DUMMYFUNCTION("""COMPUTED_VALUE"""),"Tahu walik")</f>
        <v>Tahu walik</v>
      </c>
      <c r="H1452" s="2"/>
      <c r="I1452" s="2"/>
      <c r="J1452" s="2">
        <f>IFERROR(__xludf.DUMMYFUNCTION("""COMPUTED_VALUE"""),2.0)</f>
        <v>2</v>
      </c>
      <c r="K1452" s="6">
        <f>IFERROR(__xludf.DUMMYFUNCTION("""COMPUTED_VALUE"""),50476.0)</f>
        <v>50476</v>
      </c>
      <c r="L1452" s="2">
        <f>IFERROR(__xludf.DUMMYFUNCTION("""COMPUTED_VALUE"""),0.0)</f>
        <v>0</v>
      </c>
      <c r="M1452" s="2">
        <f>IFERROR(__xludf.DUMMYFUNCTION("""COMPUTED_VALUE"""),50476.0)</f>
        <v>50476</v>
      </c>
      <c r="N1452" s="2">
        <f>IFERROR(__xludf.DUMMYFUNCTION("""COMPUTED_VALUE"""),0.0)</f>
        <v>0</v>
      </c>
      <c r="O1452" s="2">
        <f>IFERROR(__xludf.DUMMYFUNCTION("""COMPUTED_VALUE"""),50476.0)</f>
        <v>50476</v>
      </c>
      <c r="P1452" s="2">
        <f>IFERROR(__xludf.DUMMYFUNCTION("""COMPUTED_VALUE"""),2524.0)</f>
        <v>2524</v>
      </c>
      <c r="Q1452" s="2" t="str">
        <f>IFERROR(__xludf.DUMMYFUNCTION("""COMPUTED_VALUE"""),"Dine In")</f>
        <v>Dine In</v>
      </c>
      <c r="R1452" s="2" t="str">
        <f>IFERROR(__xludf.DUMMYFUNCTION("""COMPUTED_VALUE"""),"Kedai")</f>
        <v>Kedai</v>
      </c>
      <c r="S1452" s="2" t="str">
        <f>IFERROR(__xludf.DUMMYFUNCTION("""COMPUTED_VALUE"""),"Temu Roti")</f>
        <v>Temu Roti</v>
      </c>
      <c r="T1452" s="2" t="str">
        <f>IFERROR(__xludf.DUMMYFUNCTION("""COMPUTED_VALUE"""),"Owner")</f>
        <v>Owner</v>
      </c>
      <c r="U1452" s="2"/>
      <c r="V1452" s="2"/>
      <c r="W1452" s="2"/>
      <c r="X1452" s="2" t="str">
        <f>IFERROR(__xludf.DUMMYFUNCTION("""COMPUTED_VALUE"""),"Closed")</f>
        <v>Closed</v>
      </c>
    </row>
    <row r="1453">
      <c r="A1453" s="3" t="s">
        <v>1463</v>
      </c>
      <c r="B1453" s="4">
        <f>IFERROR(__xludf.DUMMYFUNCTION("SPLIT(A1453,"","",0,0)"),45536.73263888889)</f>
        <v>45536.73264</v>
      </c>
      <c r="C1453" s="5">
        <f>IFERROR(__xludf.DUMMYFUNCTION("""COMPUTED_VALUE"""),2593620.0)</f>
        <v>2593620</v>
      </c>
      <c r="D1453" s="2" t="str">
        <f>IFERROR(__xludf.DUMMYFUNCTION("""COMPUTED_VALUE"""),"Sale")</f>
        <v>Sale</v>
      </c>
      <c r="E1453" s="2" t="str">
        <f>IFERROR(__xludf.DUMMYFUNCTION("""COMPUTED_VALUE"""),"Kudapan")</f>
        <v>Kudapan</v>
      </c>
      <c r="F1453" s="2">
        <f>IFERROR(__xludf.DUMMYFUNCTION("""COMPUTED_VALUE"""),10014.0)</f>
        <v>10014</v>
      </c>
      <c r="G1453" s="2" t="str">
        <f>IFERROR(__xludf.DUMMYFUNCTION("""COMPUTED_VALUE"""),"Tempe Mendoan")</f>
        <v>Tempe Mendoan</v>
      </c>
      <c r="H1453" s="2"/>
      <c r="I1453" s="2"/>
      <c r="J1453" s="2">
        <f>IFERROR(__xludf.DUMMYFUNCTION("""COMPUTED_VALUE"""),2.0)</f>
        <v>2</v>
      </c>
      <c r="K1453" s="6">
        <f>IFERROR(__xludf.DUMMYFUNCTION("""COMPUTED_VALUE"""),50476.0)</f>
        <v>50476</v>
      </c>
      <c r="L1453" s="2">
        <f>IFERROR(__xludf.DUMMYFUNCTION("""COMPUTED_VALUE"""),0.0)</f>
        <v>0</v>
      </c>
      <c r="M1453" s="2">
        <f>IFERROR(__xludf.DUMMYFUNCTION("""COMPUTED_VALUE"""),50476.0)</f>
        <v>50476</v>
      </c>
      <c r="N1453" s="2">
        <f>IFERROR(__xludf.DUMMYFUNCTION("""COMPUTED_VALUE"""),0.0)</f>
        <v>0</v>
      </c>
      <c r="O1453" s="2">
        <f>IFERROR(__xludf.DUMMYFUNCTION("""COMPUTED_VALUE"""),50476.0)</f>
        <v>50476</v>
      </c>
      <c r="P1453" s="2">
        <f>IFERROR(__xludf.DUMMYFUNCTION("""COMPUTED_VALUE"""),2524.0)</f>
        <v>2524</v>
      </c>
      <c r="Q1453" s="2" t="str">
        <f>IFERROR(__xludf.DUMMYFUNCTION("""COMPUTED_VALUE"""),"Dine In")</f>
        <v>Dine In</v>
      </c>
      <c r="R1453" s="2" t="str">
        <f>IFERROR(__xludf.DUMMYFUNCTION("""COMPUTED_VALUE"""),"Kedai")</f>
        <v>Kedai</v>
      </c>
      <c r="S1453" s="2" t="str">
        <f>IFERROR(__xludf.DUMMYFUNCTION("""COMPUTED_VALUE"""),"Temu Roti")</f>
        <v>Temu Roti</v>
      </c>
      <c r="T1453" s="2" t="str">
        <f>IFERROR(__xludf.DUMMYFUNCTION("""COMPUTED_VALUE"""),"Owner")</f>
        <v>Owner</v>
      </c>
      <c r="U1453" s="2"/>
      <c r="V1453" s="2"/>
      <c r="W1453" s="2"/>
      <c r="X1453" s="2" t="str">
        <f>IFERROR(__xludf.DUMMYFUNCTION("""COMPUTED_VALUE"""),"Closed")</f>
        <v>Closed</v>
      </c>
    </row>
    <row r="1454">
      <c r="A1454" s="3" t="s">
        <v>1464</v>
      </c>
      <c r="B1454" s="4">
        <f>IFERROR(__xludf.DUMMYFUNCTION("SPLIT(A1454,"","",0,0)"),45536.73263888889)</f>
        <v>45536.73264</v>
      </c>
      <c r="C1454" s="5">
        <f>IFERROR(__xludf.DUMMYFUNCTION("""COMPUTED_VALUE"""),2593620.0)</f>
        <v>2593620</v>
      </c>
      <c r="D1454" s="2" t="str">
        <f>IFERROR(__xludf.DUMMYFUNCTION("""COMPUTED_VALUE"""),"Sale")</f>
        <v>Sale</v>
      </c>
      <c r="E1454" s="2" t="str">
        <f>IFERROR(__xludf.DUMMYFUNCTION("""COMPUTED_VALUE"""),"Kudapan")</f>
        <v>Kudapan</v>
      </c>
      <c r="F1454" s="2">
        <f>IFERROR(__xludf.DUMMYFUNCTION("""COMPUTED_VALUE"""),10010.0)</f>
        <v>10010</v>
      </c>
      <c r="G1454" s="2" t="str">
        <f>IFERROR(__xludf.DUMMYFUNCTION("""COMPUTED_VALUE"""),"Pisang Goreng")</f>
        <v>Pisang Goreng</v>
      </c>
      <c r="H1454" s="2"/>
      <c r="I1454" s="2"/>
      <c r="J1454" s="2">
        <f>IFERROR(__xludf.DUMMYFUNCTION("""COMPUTED_VALUE"""),1.0)</f>
        <v>1</v>
      </c>
      <c r="K1454" s="6">
        <f>IFERROR(__xludf.DUMMYFUNCTION("""COMPUTED_VALUE"""),25238.0)</f>
        <v>25238</v>
      </c>
      <c r="L1454" s="2">
        <f>IFERROR(__xludf.DUMMYFUNCTION("""COMPUTED_VALUE"""),0.0)</f>
        <v>0</v>
      </c>
      <c r="M1454" s="2">
        <f>IFERROR(__xludf.DUMMYFUNCTION("""COMPUTED_VALUE"""),25238.0)</f>
        <v>25238</v>
      </c>
      <c r="N1454" s="2">
        <f>IFERROR(__xludf.DUMMYFUNCTION("""COMPUTED_VALUE"""),0.0)</f>
        <v>0</v>
      </c>
      <c r="O1454" s="2">
        <f>IFERROR(__xludf.DUMMYFUNCTION("""COMPUTED_VALUE"""),25238.0)</f>
        <v>25238</v>
      </c>
      <c r="P1454" s="2">
        <f>IFERROR(__xludf.DUMMYFUNCTION("""COMPUTED_VALUE"""),1262.0)</f>
        <v>1262</v>
      </c>
      <c r="Q1454" s="2" t="str">
        <f>IFERROR(__xludf.DUMMYFUNCTION("""COMPUTED_VALUE"""),"Dine In")</f>
        <v>Dine In</v>
      </c>
      <c r="R1454" s="2" t="str">
        <f>IFERROR(__xludf.DUMMYFUNCTION("""COMPUTED_VALUE"""),"Kedai")</f>
        <v>Kedai</v>
      </c>
      <c r="S1454" s="2" t="str">
        <f>IFERROR(__xludf.DUMMYFUNCTION("""COMPUTED_VALUE"""),"Temu Roti")</f>
        <v>Temu Roti</v>
      </c>
      <c r="T1454" s="2" t="str">
        <f>IFERROR(__xludf.DUMMYFUNCTION("""COMPUTED_VALUE"""),"Owner")</f>
        <v>Owner</v>
      </c>
      <c r="U1454" s="2"/>
      <c r="V1454" s="2"/>
      <c r="W1454" s="2"/>
      <c r="X1454" s="2" t="str">
        <f>IFERROR(__xludf.DUMMYFUNCTION("""COMPUTED_VALUE"""),"Closed")</f>
        <v>Closed</v>
      </c>
    </row>
    <row r="1455">
      <c r="A1455" s="3" t="s">
        <v>1465</v>
      </c>
      <c r="B1455" s="4">
        <f>IFERROR(__xludf.DUMMYFUNCTION("SPLIT(A1455,"","",0,0)"),45536.69027777778)</f>
        <v>45536.69028</v>
      </c>
      <c r="C1455" s="5">
        <f>IFERROR(__xludf.DUMMYFUNCTION("""COMPUTED_VALUE"""),2593255.0)</f>
        <v>2593255</v>
      </c>
      <c r="D1455" s="2" t="str">
        <f>IFERROR(__xludf.DUMMYFUNCTION("""COMPUTED_VALUE"""),"Sale")</f>
        <v>Sale</v>
      </c>
      <c r="E1455" s="2" t="str">
        <f>IFERROR(__xludf.DUMMYFUNCTION("""COMPUTED_VALUE"""),"Minuman")</f>
        <v>Minuman</v>
      </c>
      <c r="F1455" s="2">
        <f>IFERROR(__xludf.DUMMYFUNCTION("""COMPUTED_VALUE"""),10128.0)</f>
        <v>10128</v>
      </c>
      <c r="G1455" s="2" t="str">
        <f>IFERROR(__xludf.DUMMYFUNCTION("""COMPUTED_VALUE"""),"Es Kopi Susu")</f>
        <v>Es Kopi Susu</v>
      </c>
      <c r="H1455" s="2"/>
      <c r="I1455" s="2"/>
      <c r="J1455" s="2">
        <f>IFERROR(__xludf.DUMMYFUNCTION("""COMPUTED_VALUE"""),1.0)</f>
        <v>1</v>
      </c>
      <c r="K1455" s="6">
        <f>IFERROR(__xludf.DUMMYFUNCTION("""COMPUTED_VALUE"""),23333.0)</f>
        <v>23333</v>
      </c>
      <c r="L1455" s="2">
        <f>IFERROR(__xludf.DUMMYFUNCTION("""COMPUTED_VALUE"""),0.0)</f>
        <v>0</v>
      </c>
      <c r="M1455" s="2">
        <f>IFERROR(__xludf.DUMMYFUNCTION("""COMPUTED_VALUE"""),23333.0)</f>
        <v>23333</v>
      </c>
      <c r="N1455" s="2">
        <f>IFERROR(__xludf.DUMMYFUNCTION("""COMPUTED_VALUE"""),0.0)</f>
        <v>0</v>
      </c>
      <c r="O1455" s="2">
        <f>IFERROR(__xludf.DUMMYFUNCTION("""COMPUTED_VALUE"""),23333.0)</f>
        <v>23333</v>
      </c>
      <c r="P1455" s="2">
        <f>IFERROR(__xludf.DUMMYFUNCTION("""COMPUTED_VALUE"""),1167.0)</f>
        <v>1167</v>
      </c>
      <c r="Q1455" s="2" t="str">
        <f>IFERROR(__xludf.DUMMYFUNCTION("""COMPUTED_VALUE"""),"Dine In")</f>
        <v>Dine In</v>
      </c>
      <c r="R1455" s="2" t="str">
        <f>IFERROR(__xludf.DUMMYFUNCTION("""COMPUTED_VALUE"""),"Kedai")</f>
        <v>Kedai</v>
      </c>
      <c r="S1455" s="2" t="str">
        <f>IFERROR(__xludf.DUMMYFUNCTION("""COMPUTED_VALUE"""),"Temu Roti")</f>
        <v>Temu Roti</v>
      </c>
      <c r="T1455" s="2" t="str">
        <f>IFERROR(__xludf.DUMMYFUNCTION("""COMPUTED_VALUE"""),"Owner")</f>
        <v>Owner</v>
      </c>
      <c r="U1455" s="2"/>
      <c r="V1455" s="2"/>
      <c r="W1455" s="2"/>
      <c r="X1455" s="2" t="str">
        <f>IFERROR(__xludf.DUMMYFUNCTION("""COMPUTED_VALUE"""),"Closed")</f>
        <v>Closed</v>
      </c>
    </row>
    <row r="1456">
      <c r="A1456" s="3" t="s">
        <v>1466</v>
      </c>
      <c r="B1456" s="4">
        <f>IFERROR(__xludf.DUMMYFUNCTION("SPLIT(A1456,"","",0,0)"),45536.69027777778)</f>
        <v>45536.69028</v>
      </c>
      <c r="C1456" s="5">
        <f>IFERROR(__xludf.DUMMYFUNCTION("""COMPUTED_VALUE"""),2593255.0)</f>
        <v>2593255</v>
      </c>
      <c r="D1456" s="2" t="str">
        <f>IFERROR(__xludf.DUMMYFUNCTION("""COMPUTED_VALUE"""),"Sale")</f>
        <v>Sale</v>
      </c>
      <c r="E1456" s="2" t="str">
        <f>IFERROR(__xludf.DUMMYFUNCTION("""COMPUTED_VALUE"""),"Minuman")</f>
        <v>Minuman</v>
      </c>
      <c r="F1456" s="2">
        <f>IFERROR(__xludf.DUMMYFUNCTION("""COMPUTED_VALUE"""),10063.0)</f>
        <v>10063</v>
      </c>
      <c r="G1456" s="2" t="str">
        <f>IFERROR(__xludf.DUMMYFUNCTION("""COMPUTED_VALUE"""),"Wedang Bulan")</f>
        <v>Wedang Bulan</v>
      </c>
      <c r="H1456" s="2"/>
      <c r="I1456" s="2"/>
      <c r="J1456" s="2">
        <f>IFERROR(__xludf.DUMMYFUNCTION("""COMPUTED_VALUE"""),1.0)</f>
        <v>1</v>
      </c>
      <c r="K1456" s="6">
        <f>IFERROR(__xludf.DUMMYFUNCTION("""COMPUTED_VALUE"""),24762.0)</f>
        <v>24762</v>
      </c>
      <c r="L1456" s="2">
        <f>IFERROR(__xludf.DUMMYFUNCTION("""COMPUTED_VALUE"""),0.0)</f>
        <v>0</v>
      </c>
      <c r="M1456" s="2">
        <f>IFERROR(__xludf.DUMMYFUNCTION("""COMPUTED_VALUE"""),24762.0)</f>
        <v>24762</v>
      </c>
      <c r="N1456" s="2">
        <f>IFERROR(__xludf.DUMMYFUNCTION("""COMPUTED_VALUE"""),0.0)</f>
        <v>0</v>
      </c>
      <c r="O1456" s="2">
        <f>IFERROR(__xludf.DUMMYFUNCTION("""COMPUTED_VALUE"""),24762.0)</f>
        <v>24762</v>
      </c>
      <c r="P1456" s="2">
        <f>IFERROR(__xludf.DUMMYFUNCTION("""COMPUTED_VALUE"""),1238.0)</f>
        <v>1238</v>
      </c>
      <c r="Q1456" s="2" t="str">
        <f>IFERROR(__xludf.DUMMYFUNCTION("""COMPUTED_VALUE"""),"Dine In")</f>
        <v>Dine In</v>
      </c>
      <c r="R1456" s="2" t="str">
        <f>IFERROR(__xludf.DUMMYFUNCTION("""COMPUTED_VALUE"""),"Kedai")</f>
        <v>Kedai</v>
      </c>
      <c r="S1456" s="2" t="str">
        <f>IFERROR(__xludf.DUMMYFUNCTION("""COMPUTED_VALUE"""),"Temu Roti")</f>
        <v>Temu Roti</v>
      </c>
      <c r="T1456" s="2" t="str">
        <f>IFERROR(__xludf.DUMMYFUNCTION("""COMPUTED_VALUE"""),"Owner")</f>
        <v>Owner</v>
      </c>
      <c r="U1456" s="2"/>
      <c r="V1456" s="2"/>
      <c r="W1456" s="2"/>
      <c r="X1456" s="2" t="str">
        <f>IFERROR(__xludf.DUMMYFUNCTION("""COMPUTED_VALUE"""),"Closed")</f>
        <v>Closed</v>
      </c>
    </row>
    <row r="1457">
      <c r="A1457" s="3" t="s">
        <v>1467</v>
      </c>
      <c r="B1457" s="4">
        <f>IFERROR(__xludf.DUMMYFUNCTION("SPLIT(A1457,"","",0,0)"),45536.677083333336)</f>
        <v>45536.67708</v>
      </c>
      <c r="C1457" s="5">
        <f>IFERROR(__xludf.DUMMYFUNCTION("""COMPUTED_VALUE"""),2592890.0)</f>
        <v>2592890</v>
      </c>
      <c r="D1457" s="2" t="str">
        <f>IFERROR(__xludf.DUMMYFUNCTION("""COMPUTED_VALUE"""),"Sale")</f>
        <v>Sale</v>
      </c>
      <c r="E1457" s="2" t="str">
        <f>IFERROR(__xludf.DUMMYFUNCTION("""COMPUTED_VALUE"""),"Minuman")</f>
        <v>Minuman</v>
      </c>
      <c r="F1457" s="2">
        <f>IFERROR(__xludf.DUMMYFUNCTION("""COMPUTED_VALUE"""),10128.0)</f>
        <v>10128</v>
      </c>
      <c r="G1457" s="2" t="str">
        <f>IFERROR(__xludf.DUMMYFUNCTION("""COMPUTED_VALUE"""),"Es Kopi Susu")</f>
        <v>Es Kopi Susu</v>
      </c>
      <c r="H1457" s="2"/>
      <c r="I1457" s="2"/>
      <c r="J1457" s="2">
        <f>IFERROR(__xludf.DUMMYFUNCTION("""COMPUTED_VALUE"""),1.0)</f>
        <v>1</v>
      </c>
      <c r="K1457" s="6">
        <f>IFERROR(__xludf.DUMMYFUNCTION("""COMPUTED_VALUE"""),23333.0)</f>
        <v>23333</v>
      </c>
      <c r="L1457" s="2">
        <f>IFERROR(__xludf.DUMMYFUNCTION("""COMPUTED_VALUE"""),0.0)</f>
        <v>0</v>
      </c>
      <c r="M1457" s="2">
        <f>IFERROR(__xludf.DUMMYFUNCTION("""COMPUTED_VALUE"""),23333.0)</f>
        <v>23333</v>
      </c>
      <c r="N1457" s="2">
        <f>IFERROR(__xludf.DUMMYFUNCTION("""COMPUTED_VALUE"""),0.0)</f>
        <v>0</v>
      </c>
      <c r="O1457" s="2">
        <f>IFERROR(__xludf.DUMMYFUNCTION("""COMPUTED_VALUE"""),23333.0)</f>
        <v>23333</v>
      </c>
      <c r="P1457" s="2">
        <f>IFERROR(__xludf.DUMMYFUNCTION("""COMPUTED_VALUE"""),1167.0)</f>
        <v>1167</v>
      </c>
      <c r="Q1457" s="2" t="str">
        <f>IFERROR(__xludf.DUMMYFUNCTION("""COMPUTED_VALUE"""),"Dine In")</f>
        <v>Dine In</v>
      </c>
      <c r="R1457" s="2" t="str">
        <f>IFERROR(__xludf.DUMMYFUNCTION("""COMPUTED_VALUE"""),"Kedai")</f>
        <v>Kedai</v>
      </c>
      <c r="S1457" s="2" t="str">
        <f>IFERROR(__xludf.DUMMYFUNCTION("""COMPUTED_VALUE"""),"Temu Roti")</f>
        <v>Temu Roti</v>
      </c>
      <c r="T1457" s="2" t="str">
        <f>IFERROR(__xludf.DUMMYFUNCTION("""COMPUTED_VALUE"""),"Owner")</f>
        <v>Owner</v>
      </c>
      <c r="U1457" s="2"/>
      <c r="V1457" s="2"/>
      <c r="W1457" s="2"/>
      <c r="X1457" s="2" t="str">
        <f>IFERROR(__xludf.DUMMYFUNCTION("""COMPUTED_VALUE"""),"Closed")</f>
        <v>Closed</v>
      </c>
    </row>
    <row r="1458">
      <c r="A1458" s="3" t="s">
        <v>1468</v>
      </c>
      <c r="B1458" s="4">
        <f>IFERROR(__xludf.DUMMYFUNCTION("SPLIT(A1458,"","",0,0)"),45536.66458333333)</f>
        <v>45536.66458</v>
      </c>
      <c r="C1458" s="5">
        <f>IFERROR(__xludf.DUMMYFUNCTION("""COMPUTED_VALUE"""),2592525.0)</f>
        <v>2592525</v>
      </c>
      <c r="D1458" s="2" t="str">
        <f>IFERROR(__xludf.DUMMYFUNCTION("""COMPUTED_VALUE"""),"Sale")</f>
        <v>Sale</v>
      </c>
      <c r="E1458" s="2" t="str">
        <f>IFERROR(__xludf.DUMMYFUNCTION("""COMPUTED_VALUE"""),"Roti")</f>
        <v>Roti</v>
      </c>
      <c r="F1458" s="2">
        <f>IFERROR(__xludf.DUMMYFUNCTION("""COMPUTED_VALUE"""),10002.0)</f>
        <v>10002</v>
      </c>
      <c r="G1458" s="2" t="str">
        <f>IFERROR(__xludf.DUMMYFUNCTION("""COMPUTED_VALUE"""),"Roti Cranberry")</f>
        <v>Roti Cranberry</v>
      </c>
      <c r="H1458" s="2"/>
      <c r="I1458" s="2"/>
      <c r="J1458" s="2">
        <f>IFERROR(__xludf.DUMMYFUNCTION("""COMPUTED_VALUE"""),1.0)</f>
        <v>1</v>
      </c>
      <c r="K1458" s="6">
        <f>IFERROR(__xludf.DUMMYFUNCTION("""COMPUTED_VALUE"""),18571.0)</f>
        <v>18571</v>
      </c>
      <c r="L1458" s="2">
        <f>IFERROR(__xludf.DUMMYFUNCTION("""COMPUTED_VALUE"""),0.0)</f>
        <v>0</v>
      </c>
      <c r="M1458" s="2">
        <f>IFERROR(__xludf.DUMMYFUNCTION("""COMPUTED_VALUE"""),18571.0)</f>
        <v>18571</v>
      </c>
      <c r="N1458" s="2">
        <f>IFERROR(__xludf.DUMMYFUNCTION("""COMPUTED_VALUE"""),0.0)</f>
        <v>0</v>
      </c>
      <c r="O1458" s="2">
        <f>IFERROR(__xludf.DUMMYFUNCTION("""COMPUTED_VALUE"""),18571.0)</f>
        <v>18571</v>
      </c>
      <c r="P1458" s="2">
        <f>IFERROR(__xludf.DUMMYFUNCTION("""COMPUTED_VALUE"""),929.0)</f>
        <v>929</v>
      </c>
      <c r="Q1458" s="2" t="str">
        <f>IFERROR(__xludf.DUMMYFUNCTION("""COMPUTED_VALUE"""),"Dine In")</f>
        <v>Dine In</v>
      </c>
      <c r="R1458" s="2" t="str">
        <f>IFERROR(__xludf.DUMMYFUNCTION("""COMPUTED_VALUE"""),"Kedai")</f>
        <v>Kedai</v>
      </c>
      <c r="S1458" s="2" t="str">
        <f>IFERROR(__xludf.DUMMYFUNCTION("""COMPUTED_VALUE"""),"Temu Roti")</f>
        <v>Temu Roti</v>
      </c>
      <c r="T1458" s="2" t="str">
        <f>IFERROR(__xludf.DUMMYFUNCTION("""COMPUTED_VALUE"""),"Owner")</f>
        <v>Owner</v>
      </c>
      <c r="U1458" s="2"/>
      <c r="V1458" s="2"/>
      <c r="W1458" s="2"/>
      <c r="X1458" s="2" t="str">
        <f>IFERROR(__xludf.DUMMYFUNCTION("""COMPUTED_VALUE"""),"Closed")</f>
        <v>Closed</v>
      </c>
    </row>
    <row r="1459">
      <c r="A1459" s="3" t="s">
        <v>1469</v>
      </c>
      <c r="B1459" s="4">
        <f>IFERROR(__xludf.DUMMYFUNCTION("SPLIT(A1459,"","",0,0)"),45536.66458333333)</f>
        <v>45536.66458</v>
      </c>
      <c r="C1459" s="5">
        <f>IFERROR(__xludf.DUMMYFUNCTION("""COMPUTED_VALUE"""),2592525.0)</f>
        <v>2592525</v>
      </c>
      <c r="D1459" s="2" t="str">
        <f>IFERROR(__xludf.DUMMYFUNCTION("""COMPUTED_VALUE"""),"Sale")</f>
        <v>Sale</v>
      </c>
      <c r="E1459" s="2" t="str">
        <f>IFERROR(__xludf.DUMMYFUNCTION("""COMPUTED_VALUE"""),"Minuman")</f>
        <v>Minuman</v>
      </c>
      <c r="F1459" s="2">
        <f>IFERROR(__xludf.DUMMYFUNCTION("""COMPUTED_VALUE"""),10118.0)</f>
        <v>10118</v>
      </c>
      <c r="G1459" s="2" t="str">
        <f>IFERROR(__xludf.DUMMYFUNCTION("""COMPUTED_VALUE"""),"Teh Tawar Panas")</f>
        <v>Teh Tawar Panas</v>
      </c>
      <c r="H1459" s="2"/>
      <c r="I1459" s="2"/>
      <c r="J1459" s="2">
        <f>IFERROR(__xludf.DUMMYFUNCTION("""COMPUTED_VALUE"""),1.0)</f>
        <v>1</v>
      </c>
      <c r="K1459" s="6">
        <f>IFERROR(__xludf.DUMMYFUNCTION("""COMPUTED_VALUE"""),7143.0)</f>
        <v>7143</v>
      </c>
      <c r="L1459" s="2">
        <f>IFERROR(__xludf.DUMMYFUNCTION("""COMPUTED_VALUE"""),0.0)</f>
        <v>0</v>
      </c>
      <c r="M1459" s="2">
        <f>IFERROR(__xludf.DUMMYFUNCTION("""COMPUTED_VALUE"""),7143.0)</f>
        <v>7143</v>
      </c>
      <c r="N1459" s="2">
        <f>IFERROR(__xludf.DUMMYFUNCTION("""COMPUTED_VALUE"""),0.0)</f>
        <v>0</v>
      </c>
      <c r="O1459" s="2">
        <f>IFERROR(__xludf.DUMMYFUNCTION("""COMPUTED_VALUE"""),7143.0)</f>
        <v>7143</v>
      </c>
      <c r="P1459" s="2">
        <f>IFERROR(__xludf.DUMMYFUNCTION("""COMPUTED_VALUE"""),357.0)</f>
        <v>357</v>
      </c>
      <c r="Q1459" s="2" t="str">
        <f>IFERROR(__xludf.DUMMYFUNCTION("""COMPUTED_VALUE"""),"Dine In")</f>
        <v>Dine In</v>
      </c>
      <c r="R1459" s="2" t="str">
        <f>IFERROR(__xludf.DUMMYFUNCTION("""COMPUTED_VALUE"""),"Kedai")</f>
        <v>Kedai</v>
      </c>
      <c r="S1459" s="2" t="str">
        <f>IFERROR(__xludf.DUMMYFUNCTION("""COMPUTED_VALUE"""),"Temu Roti")</f>
        <v>Temu Roti</v>
      </c>
      <c r="T1459" s="2" t="str">
        <f>IFERROR(__xludf.DUMMYFUNCTION("""COMPUTED_VALUE"""),"Owner")</f>
        <v>Owner</v>
      </c>
      <c r="U1459" s="2"/>
      <c r="V1459" s="2"/>
      <c r="W1459" s="2"/>
      <c r="X1459" s="2" t="str">
        <f>IFERROR(__xludf.DUMMYFUNCTION("""COMPUTED_VALUE"""),"Closed")</f>
        <v>Closed</v>
      </c>
    </row>
    <row r="1460">
      <c r="A1460" s="3" t="s">
        <v>1470</v>
      </c>
      <c r="B1460" s="4">
        <f>IFERROR(__xludf.DUMMYFUNCTION("SPLIT(A1460,"","",0,0)"),45536.66111111111)</f>
        <v>45536.66111</v>
      </c>
      <c r="C1460" s="5">
        <f>IFERROR(__xludf.DUMMYFUNCTION("""COMPUTED_VALUE"""),2592160.0)</f>
        <v>2592160</v>
      </c>
      <c r="D1460" s="2" t="str">
        <f>IFERROR(__xludf.DUMMYFUNCTION("""COMPUTED_VALUE"""),"Sale")</f>
        <v>Sale</v>
      </c>
      <c r="E1460" s="2" t="str">
        <f>IFERROR(__xludf.DUMMYFUNCTION("""COMPUTED_VALUE"""),"Minuman")</f>
        <v>Minuman</v>
      </c>
      <c r="F1460" s="2">
        <f>IFERROR(__xludf.DUMMYFUNCTION("""COMPUTED_VALUE"""),10128.0)</f>
        <v>10128</v>
      </c>
      <c r="G1460" s="2" t="str">
        <f>IFERROR(__xludf.DUMMYFUNCTION("""COMPUTED_VALUE"""),"Es Kopi Susu")</f>
        <v>Es Kopi Susu</v>
      </c>
      <c r="H1460" s="2"/>
      <c r="I1460" s="2"/>
      <c r="J1460" s="2">
        <f>IFERROR(__xludf.DUMMYFUNCTION("""COMPUTED_VALUE"""),1.0)</f>
        <v>1</v>
      </c>
      <c r="K1460" s="6">
        <f>IFERROR(__xludf.DUMMYFUNCTION("""COMPUTED_VALUE"""),23333.0)</f>
        <v>23333</v>
      </c>
      <c r="L1460" s="2">
        <f>IFERROR(__xludf.DUMMYFUNCTION("""COMPUTED_VALUE"""),0.0)</f>
        <v>0</v>
      </c>
      <c r="M1460" s="2">
        <f>IFERROR(__xludf.DUMMYFUNCTION("""COMPUTED_VALUE"""),23333.0)</f>
        <v>23333</v>
      </c>
      <c r="N1460" s="2">
        <f>IFERROR(__xludf.DUMMYFUNCTION("""COMPUTED_VALUE"""),0.0)</f>
        <v>0</v>
      </c>
      <c r="O1460" s="2">
        <f>IFERROR(__xludf.DUMMYFUNCTION("""COMPUTED_VALUE"""),23333.0)</f>
        <v>23333</v>
      </c>
      <c r="P1460" s="2">
        <f>IFERROR(__xludf.DUMMYFUNCTION("""COMPUTED_VALUE"""),1167.0)</f>
        <v>1167</v>
      </c>
      <c r="Q1460" s="2" t="str">
        <f>IFERROR(__xludf.DUMMYFUNCTION("""COMPUTED_VALUE"""),"Dine In")</f>
        <v>Dine In</v>
      </c>
      <c r="R1460" s="2" t="str">
        <f>IFERROR(__xludf.DUMMYFUNCTION("""COMPUTED_VALUE"""),"Kedai")</f>
        <v>Kedai</v>
      </c>
      <c r="S1460" s="2" t="str">
        <f>IFERROR(__xludf.DUMMYFUNCTION("""COMPUTED_VALUE"""),"Temu Roti")</f>
        <v>Temu Roti</v>
      </c>
      <c r="T1460" s="2" t="str">
        <f>IFERROR(__xludf.DUMMYFUNCTION("""COMPUTED_VALUE"""),"Owner")</f>
        <v>Owner</v>
      </c>
      <c r="U1460" s="2"/>
      <c r="V1460" s="2"/>
      <c r="W1460" s="2"/>
      <c r="X1460" s="2" t="str">
        <f>IFERROR(__xludf.DUMMYFUNCTION("""COMPUTED_VALUE"""),"Closed")</f>
        <v>Closed</v>
      </c>
    </row>
    <row r="1461">
      <c r="A1461" s="3" t="s">
        <v>1471</v>
      </c>
      <c r="B1461" s="4">
        <f>IFERROR(__xludf.DUMMYFUNCTION("SPLIT(A1461,"","",0,0)"),45536.66111111111)</f>
        <v>45536.66111</v>
      </c>
      <c r="C1461" s="5">
        <f>IFERROR(__xludf.DUMMYFUNCTION("""COMPUTED_VALUE"""),2592160.0)</f>
        <v>2592160</v>
      </c>
      <c r="D1461" s="2" t="str">
        <f>IFERROR(__xludf.DUMMYFUNCTION("""COMPUTED_VALUE"""),"Sale")</f>
        <v>Sale</v>
      </c>
      <c r="E1461" s="2" t="str">
        <f>IFERROR(__xludf.DUMMYFUNCTION("""COMPUTED_VALUE"""),"Hidangan Utama")</f>
        <v>Hidangan Utama</v>
      </c>
      <c r="F1461" s="2">
        <f>IFERROR(__xludf.DUMMYFUNCTION("""COMPUTED_VALUE"""),10104.0)</f>
        <v>10104</v>
      </c>
      <c r="G1461" s="2" t="str">
        <f>IFERROR(__xludf.DUMMYFUNCTION("""COMPUTED_VALUE"""),"Chicken Claypot Rice")</f>
        <v>Chicken Claypot Rice</v>
      </c>
      <c r="H1461" s="2"/>
      <c r="I1461" s="2"/>
      <c r="J1461" s="2">
        <f>IFERROR(__xludf.DUMMYFUNCTION("""COMPUTED_VALUE"""),1.0)</f>
        <v>1</v>
      </c>
      <c r="K1461" s="6">
        <f>IFERROR(__xludf.DUMMYFUNCTION("""COMPUTED_VALUE"""),34762.0)</f>
        <v>34762</v>
      </c>
      <c r="L1461" s="2">
        <f>IFERROR(__xludf.DUMMYFUNCTION("""COMPUTED_VALUE"""),0.0)</f>
        <v>0</v>
      </c>
      <c r="M1461" s="2">
        <f>IFERROR(__xludf.DUMMYFUNCTION("""COMPUTED_VALUE"""),34762.0)</f>
        <v>34762</v>
      </c>
      <c r="N1461" s="2">
        <f>IFERROR(__xludf.DUMMYFUNCTION("""COMPUTED_VALUE"""),0.0)</f>
        <v>0</v>
      </c>
      <c r="O1461" s="2">
        <f>IFERROR(__xludf.DUMMYFUNCTION("""COMPUTED_VALUE"""),34762.0)</f>
        <v>34762</v>
      </c>
      <c r="P1461" s="2">
        <f>IFERROR(__xludf.DUMMYFUNCTION("""COMPUTED_VALUE"""),1738.0)</f>
        <v>1738</v>
      </c>
      <c r="Q1461" s="2" t="str">
        <f>IFERROR(__xludf.DUMMYFUNCTION("""COMPUTED_VALUE"""),"Dine In")</f>
        <v>Dine In</v>
      </c>
      <c r="R1461" s="2" t="str">
        <f>IFERROR(__xludf.DUMMYFUNCTION("""COMPUTED_VALUE"""),"Kedai")</f>
        <v>Kedai</v>
      </c>
      <c r="S1461" s="2" t="str">
        <f>IFERROR(__xludf.DUMMYFUNCTION("""COMPUTED_VALUE"""),"Temu Roti")</f>
        <v>Temu Roti</v>
      </c>
      <c r="T1461" s="2" t="str">
        <f>IFERROR(__xludf.DUMMYFUNCTION("""COMPUTED_VALUE"""),"Owner")</f>
        <v>Owner</v>
      </c>
      <c r="U1461" s="2"/>
      <c r="V1461" s="2"/>
      <c r="W1461" s="2"/>
      <c r="X1461" s="2" t="str">
        <f>IFERROR(__xludf.DUMMYFUNCTION("""COMPUTED_VALUE"""),"Closed")</f>
        <v>Closed</v>
      </c>
    </row>
    <row r="1462">
      <c r="A1462" s="3" t="s">
        <v>1472</v>
      </c>
      <c r="B1462" s="4">
        <f>IFERROR(__xludf.DUMMYFUNCTION("SPLIT(A1462,"","",0,0)"),45536.66111111111)</f>
        <v>45536.66111</v>
      </c>
      <c r="C1462" s="5">
        <f>IFERROR(__xludf.DUMMYFUNCTION("""COMPUTED_VALUE"""),2592160.0)</f>
        <v>2592160</v>
      </c>
      <c r="D1462" s="2" t="str">
        <f>IFERROR(__xludf.DUMMYFUNCTION("""COMPUTED_VALUE"""),"Sale")</f>
        <v>Sale</v>
      </c>
      <c r="E1462" s="2" t="str">
        <f>IFERROR(__xludf.DUMMYFUNCTION("""COMPUTED_VALUE"""),"Roti")</f>
        <v>Roti</v>
      </c>
      <c r="F1462" s="2">
        <f>IFERROR(__xludf.DUMMYFUNCTION("""COMPUTED_VALUE"""),10002.0)</f>
        <v>10002</v>
      </c>
      <c r="G1462" s="2" t="str">
        <f>IFERROR(__xludf.DUMMYFUNCTION("""COMPUTED_VALUE"""),"Roti Cranberry")</f>
        <v>Roti Cranberry</v>
      </c>
      <c r="H1462" s="2"/>
      <c r="I1462" s="2"/>
      <c r="J1462" s="2">
        <f>IFERROR(__xludf.DUMMYFUNCTION("""COMPUTED_VALUE"""),1.0)</f>
        <v>1</v>
      </c>
      <c r="K1462" s="6">
        <f>IFERROR(__xludf.DUMMYFUNCTION("""COMPUTED_VALUE"""),18571.0)</f>
        <v>18571</v>
      </c>
      <c r="L1462" s="2">
        <f>IFERROR(__xludf.DUMMYFUNCTION("""COMPUTED_VALUE"""),0.0)</f>
        <v>0</v>
      </c>
      <c r="M1462" s="2">
        <f>IFERROR(__xludf.DUMMYFUNCTION("""COMPUTED_VALUE"""),18571.0)</f>
        <v>18571</v>
      </c>
      <c r="N1462" s="2">
        <f>IFERROR(__xludf.DUMMYFUNCTION("""COMPUTED_VALUE"""),0.0)</f>
        <v>0</v>
      </c>
      <c r="O1462" s="2">
        <f>IFERROR(__xludf.DUMMYFUNCTION("""COMPUTED_VALUE"""),18571.0)</f>
        <v>18571</v>
      </c>
      <c r="P1462" s="2">
        <f>IFERROR(__xludf.DUMMYFUNCTION("""COMPUTED_VALUE"""),928.0)</f>
        <v>928</v>
      </c>
      <c r="Q1462" s="2" t="str">
        <f>IFERROR(__xludf.DUMMYFUNCTION("""COMPUTED_VALUE"""),"Dine In")</f>
        <v>Dine In</v>
      </c>
      <c r="R1462" s="2" t="str">
        <f>IFERROR(__xludf.DUMMYFUNCTION("""COMPUTED_VALUE"""),"Kedai")</f>
        <v>Kedai</v>
      </c>
      <c r="S1462" s="2" t="str">
        <f>IFERROR(__xludf.DUMMYFUNCTION("""COMPUTED_VALUE"""),"Temu Roti")</f>
        <v>Temu Roti</v>
      </c>
      <c r="T1462" s="2" t="str">
        <f>IFERROR(__xludf.DUMMYFUNCTION("""COMPUTED_VALUE"""),"Owner")</f>
        <v>Owner</v>
      </c>
      <c r="U1462" s="2"/>
      <c r="V1462" s="2"/>
      <c r="W1462" s="2"/>
      <c r="X1462" s="2" t="str">
        <f>IFERROR(__xludf.DUMMYFUNCTION("""COMPUTED_VALUE"""),"Closed")</f>
        <v>Closed</v>
      </c>
    </row>
    <row r="1463">
      <c r="A1463" s="3" t="s">
        <v>1473</v>
      </c>
      <c r="B1463" s="4">
        <f>IFERROR(__xludf.DUMMYFUNCTION("SPLIT(A1463,"","",0,0)"),45536.66111111111)</f>
        <v>45536.66111</v>
      </c>
      <c r="C1463" s="5">
        <f>IFERROR(__xludf.DUMMYFUNCTION("""COMPUTED_VALUE"""),2592160.0)</f>
        <v>2592160</v>
      </c>
      <c r="D1463" s="2" t="str">
        <f>IFERROR(__xludf.DUMMYFUNCTION("""COMPUTED_VALUE"""),"Sale")</f>
        <v>Sale</v>
      </c>
      <c r="E1463" s="2" t="str">
        <f>IFERROR(__xludf.DUMMYFUNCTION("""COMPUTED_VALUE"""),"Kudapan")</f>
        <v>Kudapan</v>
      </c>
      <c r="F1463" s="2">
        <f>IFERROR(__xludf.DUMMYFUNCTION("""COMPUTED_VALUE"""),10004.0)</f>
        <v>10004</v>
      </c>
      <c r="G1463" s="2" t="str">
        <f>IFERROR(__xludf.DUMMYFUNCTION("""COMPUTED_VALUE"""),"Tahu walik")</f>
        <v>Tahu walik</v>
      </c>
      <c r="H1463" s="2"/>
      <c r="I1463" s="2"/>
      <c r="J1463" s="2">
        <f>IFERROR(__xludf.DUMMYFUNCTION("""COMPUTED_VALUE"""),1.0)</f>
        <v>1</v>
      </c>
      <c r="K1463" s="6">
        <f>IFERROR(__xludf.DUMMYFUNCTION("""COMPUTED_VALUE"""),25238.0)</f>
        <v>25238</v>
      </c>
      <c r="L1463" s="2">
        <f>IFERROR(__xludf.DUMMYFUNCTION("""COMPUTED_VALUE"""),0.0)</f>
        <v>0</v>
      </c>
      <c r="M1463" s="2">
        <f>IFERROR(__xludf.DUMMYFUNCTION("""COMPUTED_VALUE"""),25238.0)</f>
        <v>25238</v>
      </c>
      <c r="N1463" s="2">
        <f>IFERROR(__xludf.DUMMYFUNCTION("""COMPUTED_VALUE"""),0.0)</f>
        <v>0</v>
      </c>
      <c r="O1463" s="2">
        <f>IFERROR(__xludf.DUMMYFUNCTION("""COMPUTED_VALUE"""),25238.0)</f>
        <v>25238</v>
      </c>
      <c r="P1463" s="2">
        <f>IFERROR(__xludf.DUMMYFUNCTION("""COMPUTED_VALUE"""),1262.0)</f>
        <v>1262</v>
      </c>
      <c r="Q1463" s="2" t="str">
        <f>IFERROR(__xludf.DUMMYFUNCTION("""COMPUTED_VALUE"""),"Dine In")</f>
        <v>Dine In</v>
      </c>
      <c r="R1463" s="2" t="str">
        <f>IFERROR(__xludf.DUMMYFUNCTION("""COMPUTED_VALUE"""),"Kedai")</f>
        <v>Kedai</v>
      </c>
      <c r="S1463" s="2" t="str">
        <f>IFERROR(__xludf.DUMMYFUNCTION("""COMPUTED_VALUE"""),"Temu Roti")</f>
        <v>Temu Roti</v>
      </c>
      <c r="T1463" s="2" t="str">
        <f>IFERROR(__xludf.DUMMYFUNCTION("""COMPUTED_VALUE"""),"Owner")</f>
        <v>Owner</v>
      </c>
      <c r="U1463" s="2"/>
      <c r="V1463" s="2"/>
      <c r="W1463" s="2"/>
      <c r="X1463" s="2" t="str">
        <f>IFERROR(__xludf.DUMMYFUNCTION("""COMPUTED_VALUE"""),"Closed")</f>
        <v>Closed</v>
      </c>
    </row>
    <row r="1464">
      <c r="A1464" s="3" t="s">
        <v>1474</v>
      </c>
      <c r="B1464" s="4">
        <f>IFERROR(__xludf.DUMMYFUNCTION("SPLIT(A1464,"","",0,0)"),45536.65347222222)</f>
        <v>45536.65347</v>
      </c>
      <c r="C1464" s="5">
        <f>IFERROR(__xludf.DUMMYFUNCTION("""COMPUTED_VALUE"""),2591794.0)</f>
        <v>2591794</v>
      </c>
      <c r="D1464" s="2" t="str">
        <f>IFERROR(__xludf.DUMMYFUNCTION("""COMPUTED_VALUE"""),"Sale")</f>
        <v>Sale</v>
      </c>
      <c r="E1464" s="2" t="str">
        <f>IFERROR(__xludf.DUMMYFUNCTION("""COMPUTED_VALUE"""),"Minuman")</f>
        <v>Minuman</v>
      </c>
      <c r="F1464" s="2">
        <f>IFERROR(__xludf.DUMMYFUNCTION("""COMPUTED_VALUE"""),10121.0)</f>
        <v>10121</v>
      </c>
      <c r="G1464" s="2" t="str">
        <f>IFERROR(__xludf.DUMMYFUNCTION("""COMPUTED_VALUE"""),"Lemon Tea Dingin")</f>
        <v>Lemon Tea Dingin</v>
      </c>
      <c r="H1464" s="2"/>
      <c r="I1464" s="2"/>
      <c r="J1464" s="2">
        <f>IFERROR(__xludf.DUMMYFUNCTION("""COMPUTED_VALUE"""),1.0)</f>
        <v>1</v>
      </c>
      <c r="K1464" s="6">
        <f>IFERROR(__xludf.DUMMYFUNCTION("""COMPUTED_VALUE"""),19524.0)</f>
        <v>19524</v>
      </c>
      <c r="L1464" s="2">
        <f>IFERROR(__xludf.DUMMYFUNCTION("""COMPUTED_VALUE"""),0.0)</f>
        <v>0</v>
      </c>
      <c r="M1464" s="2">
        <f>IFERROR(__xludf.DUMMYFUNCTION("""COMPUTED_VALUE"""),19524.0)</f>
        <v>19524</v>
      </c>
      <c r="N1464" s="2">
        <f>IFERROR(__xludf.DUMMYFUNCTION("""COMPUTED_VALUE"""),0.0)</f>
        <v>0</v>
      </c>
      <c r="O1464" s="2">
        <f>IFERROR(__xludf.DUMMYFUNCTION("""COMPUTED_VALUE"""),19524.0)</f>
        <v>19524</v>
      </c>
      <c r="P1464" s="2">
        <f>IFERROR(__xludf.DUMMYFUNCTION("""COMPUTED_VALUE"""),976.0)</f>
        <v>976</v>
      </c>
      <c r="Q1464" s="2" t="str">
        <f>IFERROR(__xludf.DUMMYFUNCTION("""COMPUTED_VALUE"""),"Dine In")</f>
        <v>Dine In</v>
      </c>
      <c r="R1464" s="2" t="str">
        <f>IFERROR(__xludf.DUMMYFUNCTION("""COMPUTED_VALUE"""),"Kedai")</f>
        <v>Kedai</v>
      </c>
      <c r="S1464" s="2" t="str">
        <f>IFERROR(__xludf.DUMMYFUNCTION("""COMPUTED_VALUE"""),"Temu Roti")</f>
        <v>Temu Roti</v>
      </c>
      <c r="T1464" s="2" t="str">
        <f>IFERROR(__xludf.DUMMYFUNCTION("""COMPUTED_VALUE"""),"Owner")</f>
        <v>Owner</v>
      </c>
      <c r="U1464" s="2"/>
      <c r="V1464" s="2"/>
      <c r="W1464" s="2"/>
      <c r="X1464" s="2" t="str">
        <f>IFERROR(__xludf.DUMMYFUNCTION("""COMPUTED_VALUE"""),"Closed")</f>
        <v>Closed</v>
      </c>
    </row>
    <row r="1465">
      <c r="A1465" s="3" t="s">
        <v>1475</v>
      </c>
      <c r="B1465" s="4">
        <f>IFERROR(__xludf.DUMMYFUNCTION("SPLIT(A1465,"","",0,0)"),45536.643055555556)</f>
        <v>45536.64306</v>
      </c>
      <c r="C1465" s="5">
        <f>IFERROR(__xludf.DUMMYFUNCTION("""COMPUTED_VALUE"""),2591429.0)</f>
        <v>2591429</v>
      </c>
      <c r="D1465" s="2" t="str">
        <f>IFERROR(__xludf.DUMMYFUNCTION("""COMPUTED_VALUE"""),"Sale")</f>
        <v>Sale</v>
      </c>
      <c r="E1465" s="2" t="str">
        <f>IFERROR(__xludf.DUMMYFUNCTION("""COMPUTED_VALUE"""),"Minuman")</f>
        <v>Minuman</v>
      </c>
      <c r="F1465" s="2">
        <f>IFERROR(__xludf.DUMMYFUNCTION("""COMPUTED_VALUE"""),10128.0)</f>
        <v>10128</v>
      </c>
      <c r="G1465" s="2" t="str">
        <f>IFERROR(__xludf.DUMMYFUNCTION("""COMPUTED_VALUE"""),"Es Kopi Susu")</f>
        <v>Es Kopi Susu</v>
      </c>
      <c r="H1465" s="2"/>
      <c r="I1465" s="2"/>
      <c r="J1465" s="2">
        <f>IFERROR(__xludf.DUMMYFUNCTION("""COMPUTED_VALUE"""),1.0)</f>
        <v>1</v>
      </c>
      <c r="K1465" s="6">
        <f>IFERROR(__xludf.DUMMYFUNCTION("""COMPUTED_VALUE"""),23333.0)</f>
        <v>23333</v>
      </c>
      <c r="L1465" s="2">
        <f>IFERROR(__xludf.DUMMYFUNCTION("""COMPUTED_VALUE"""),0.0)</f>
        <v>0</v>
      </c>
      <c r="M1465" s="2">
        <f>IFERROR(__xludf.DUMMYFUNCTION("""COMPUTED_VALUE"""),23333.0)</f>
        <v>23333</v>
      </c>
      <c r="N1465" s="2">
        <f>IFERROR(__xludf.DUMMYFUNCTION("""COMPUTED_VALUE"""),0.0)</f>
        <v>0</v>
      </c>
      <c r="O1465" s="2">
        <f>IFERROR(__xludf.DUMMYFUNCTION("""COMPUTED_VALUE"""),23333.0)</f>
        <v>23333</v>
      </c>
      <c r="P1465" s="2">
        <f>IFERROR(__xludf.DUMMYFUNCTION("""COMPUTED_VALUE"""),1167.0)</f>
        <v>1167</v>
      </c>
      <c r="Q1465" s="2" t="str">
        <f>IFERROR(__xludf.DUMMYFUNCTION("""COMPUTED_VALUE"""),"Dine In")</f>
        <v>Dine In</v>
      </c>
      <c r="R1465" s="2" t="str">
        <f>IFERROR(__xludf.DUMMYFUNCTION("""COMPUTED_VALUE"""),"Kedai")</f>
        <v>Kedai</v>
      </c>
      <c r="S1465" s="2" t="str">
        <f>IFERROR(__xludf.DUMMYFUNCTION("""COMPUTED_VALUE"""),"Temu Roti")</f>
        <v>Temu Roti</v>
      </c>
      <c r="T1465" s="2" t="str">
        <f>IFERROR(__xludf.DUMMYFUNCTION("""COMPUTED_VALUE"""),"Owner")</f>
        <v>Owner</v>
      </c>
      <c r="U1465" s="2"/>
      <c r="V1465" s="2"/>
      <c r="W1465" s="2"/>
      <c r="X1465" s="2" t="str">
        <f>IFERROR(__xludf.DUMMYFUNCTION("""COMPUTED_VALUE"""),"Closed")</f>
        <v>Closed</v>
      </c>
    </row>
    <row r="1466">
      <c r="A1466" s="3" t="s">
        <v>1476</v>
      </c>
      <c r="B1466" s="4">
        <f>IFERROR(__xludf.DUMMYFUNCTION("SPLIT(A1466,"","",0,0)"),45536.643055555556)</f>
        <v>45536.64306</v>
      </c>
      <c r="C1466" s="5">
        <f>IFERROR(__xludf.DUMMYFUNCTION("""COMPUTED_VALUE"""),2591429.0)</f>
        <v>2591429</v>
      </c>
      <c r="D1466" s="2" t="str">
        <f>IFERROR(__xludf.DUMMYFUNCTION("""COMPUTED_VALUE"""),"Sale")</f>
        <v>Sale</v>
      </c>
      <c r="E1466" s="2" t="str">
        <f>IFERROR(__xludf.DUMMYFUNCTION("""COMPUTED_VALUE"""),"Roti")</f>
        <v>Roti</v>
      </c>
      <c r="F1466" s="2">
        <f>IFERROR(__xludf.DUMMYFUNCTION("""COMPUTED_VALUE"""),10007.0)</f>
        <v>10007</v>
      </c>
      <c r="G1466" s="2" t="str">
        <f>IFERROR(__xludf.DUMMYFUNCTION("""COMPUTED_VALUE"""),"Roti cranberry 2 pcs")</f>
        <v>Roti cranberry 2 pcs</v>
      </c>
      <c r="H1466" s="2"/>
      <c r="I1466" s="2"/>
      <c r="J1466" s="2">
        <f>IFERROR(__xludf.DUMMYFUNCTION("""COMPUTED_VALUE"""),1.0)</f>
        <v>1</v>
      </c>
      <c r="K1466" s="6">
        <f>IFERROR(__xludf.DUMMYFUNCTION("""COMPUTED_VALUE"""),33810.0)</f>
        <v>33810</v>
      </c>
      <c r="L1466" s="2">
        <f>IFERROR(__xludf.DUMMYFUNCTION("""COMPUTED_VALUE"""),0.0)</f>
        <v>0</v>
      </c>
      <c r="M1466" s="2">
        <f>IFERROR(__xludf.DUMMYFUNCTION("""COMPUTED_VALUE"""),33810.0)</f>
        <v>33810</v>
      </c>
      <c r="N1466" s="2">
        <f>IFERROR(__xludf.DUMMYFUNCTION("""COMPUTED_VALUE"""),0.0)</f>
        <v>0</v>
      </c>
      <c r="O1466" s="2">
        <f>IFERROR(__xludf.DUMMYFUNCTION("""COMPUTED_VALUE"""),33810.0)</f>
        <v>33810</v>
      </c>
      <c r="P1466" s="2">
        <f>IFERROR(__xludf.DUMMYFUNCTION("""COMPUTED_VALUE"""),1690.0)</f>
        <v>1690</v>
      </c>
      <c r="Q1466" s="2" t="str">
        <f>IFERROR(__xludf.DUMMYFUNCTION("""COMPUTED_VALUE"""),"Dine In")</f>
        <v>Dine In</v>
      </c>
      <c r="R1466" s="2" t="str">
        <f>IFERROR(__xludf.DUMMYFUNCTION("""COMPUTED_VALUE"""),"Kedai")</f>
        <v>Kedai</v>
      </c>
      <c r="S1466" s="2" t="str">
        <f>IFERROR(__xludf.DUMMYFUNCTION("""COMPUTED_VALUE"""),"Temu Roti")</f>
        <v>Temu Roti</v>
      </c>
      <c r="T1466" s="2" t="str">
        <f>IFERROR(__xludf.DUMMYFUNCTION("""COMPUTED_VALUE"""),"Owner")</f>
        <v>Owner</v>
      </c>
      <c r="U1466" s="2"/>
      <c r="V1466" s="2"/>
      <c r="W1466" s="2"/>
      <c r="X1466" s="2" t="str">
        <f>IFERROR(__xludf.DUMMYFUNCTION("""COMPUTED_VALUE"""),"Closed")</f>
        <v>Closed</v>
      </c>
    </row>
    <row r="1467">
      <c r="A1467" s="3" t="s">
        <v>1477</v>
      </c>
      <c r="B1467" s="4">
        <f>IFERROR(__xludf.DUMMYFUNCTION("SPLIT(A1467,"","",0,0)"),45536.64236111111)</f>
        <v>45536.64236</v>
      </c>
      <c r="C1467" s="5">
        <f>IFERROR(__xludf.DUMMYFUNCTION("""COMPUTED_VALUE"""),2591064.0)</f>
        <v>2591064</v>
      </c>
      <c r="D1467" s="2" t="str">
        <f>IFERROR(__xludf.DUMMYFUNCTION("""COMPUTED_VALUE"""),"Sale")</f>
        <v>Sale</v>
      </c>
      <c r="E1467" s="2" t="str">
        <f>IFERROR(__xludf.DUMMYFUNCTION("""COMPUTED_VALUE"""),"Hidangan Utama")</f>
        <v>Hidangan Utama</v>
      </c>
      <c r="F1467" s="2">
        <f>IFERROR(__xludf.DUMMYFUNCTION("""COMPUTED_VALUE"""),10104.0)</f>
        <v>10104</v>
      </c>
      <c r="G1467" s="2" t="str">
        <f>IFERROR(__xludf.DUMMYFUNCTION("""COMPUTED_VALUE"""),"Chicken Claypot Rice")</f>
        <v>Chicken Claypot Rice</v>
      </c>
      <c r="H1467" s="2"/>
      <c r="I1467" s="2"/>
      <c r="J1467" s="2">
        <f>IFERROR(__xludf.DUMMYFUNCTION("""COMPUTED_VALUE"""),2.0)</f>
        <v>2</v>
      </c>
      <c r="K1467" s="6">
        <f>IFERROR(__xludf.DUMMYFUNCTION("""COMPUTED_VALUE"""),69524.0)</f>
        <v>69524</v>
      </c>
      <c r="L1467" s="2">
        <f>IFERROR(__xludf.DUMMYFUNCTION("""COMPUTED_VALUE"""),0.0)</f>
        <v>0</v>
      </c>
      <c r="M1467" s="2">
        <f>IFERROR(__xludf.DUMMYFUNCTION("""COMPUTED_VALUE"""),69524.0)</f>
        <v>69524</v>
      </c>
      <c r="N1467" s="2">
        <f>IFERROR(__xludf.DUMMYFUNCTION("""COMPUTED_VALUE"""),0.0)</f>
        <v>0</v>
      </c>
      <c r="O1467" s="2">
        <f>IFERROR(__xludf.DUMMYFUNCTION("""COMPUTED_VALUE"""),69524.0)</f>
        <v>69524</v>
      </c>
      <c r="P1467" s="2">
        <f>IFERROR(__xludf.DUMMYFUNCTION("""COMPUTED_VALUE"""),3476.0)</f>
        <v>3476</v>
      </c>
      <c r="Q1467" s="2" t="str">
        <f>IFERROR(__xludf.DUMMYFUNCTION("""COMPUTED_VALUE"""),"Dine In")</f>
        <v>Dine In</v>
      </c>
      <c r="R1467" s="2" t="str">
        <f>IFERROR(__xludf.DUMMYFUNCTION("""COMPUTED_VALUE"""),"Kedai")</f>
        <v>Kedai</v>
      </c>
      <c r="S1467" s="2" t="str">
        <f>IFERROR(__xludf.DUMMYFUNCTION("""COMPUTED_VALUE"""),"Temu Roti")</f>
        <v>Temu Roti</v>
      </c>
      <c r="T1467" s="2" t="str">
        <f>IFERROR(__xludf.DUMMYFUNCTION("""COMPUTED_VALUE"""),"Owner")</f>
        <v>Owner</v>
      </c>
      <c r="U1467" s="2"/>
      <c r="V1467" s="2"/>
      <c r="W1467" s="2"/>
      <c r="X1467" s="2" t="str">
        <f>IFERROR(__xludf.DUMMYFUNCTION("""COMPUTED_VALUE"""),"Closed")</f>
        <v>Closed</v>
      </c>
    </row>
    <row r="1468">
      <c r="A1468" s="3" t="s">
        <v>1478</v>
      </c>
      <c r="B1468" s="4">
        <f>IFERROR(__xludf.DUMMYFUNCTION("SPLIT(A1468,"","",0,0)"),45536.64236111111)</f>
        <v>45536.64236</v>
      </c>
      <c r="C1468" s="5">
        <f>IFERROR(__xludf.DUMMYFUNCTION("""COMPUTED_VALUE"""),2591064.0)</f>
        <v>2591064</v>
      </c>
      <c r="D1468" s="2" t="str">
        <f>IFERROR(__xludf.DUMMYFUNCTION("""COMPUTED_VALUE"""),"Sale")</f>
        <v>Sale</v>
      </c>
      <c r="E1468" s="2" t="str">
        <f>IFERROR(__xludf.DUMMYFUNCTION("""COMPUTED_VALUE"""),"Minuman")</f>
        <v>Minuman</v>
      </c>
      <c r="F1468" s="2">
        <f>IFERROR(__xludf.DUMMYFUNCTION("""COMPUTED_VALUE"""),10107.0)</f>
        <v>10107</v>
      </c>
      <c r="G1468" s="2" t="str">
        <f>IFERROR(__xludf.DUMMYFUNCTION("""COMPUTED_VALUE"""),"Korean Mango Fresh Milk")</f>
        <v>Korean Mango Fresh Milk</v>
      </c>
      <c r="H1468" s="2"/>
      <c r="I1468" s="2"/>
      <c r="J1468" s="2">
        <f>IFERROR(__xludf.DUMMYFUNCTION("""COMPUTED_VALUE"""),1.0)</f>
        <v>1</v>
      </c>
      <c r="K1468" s="6">
        <f>IFERROR(__xludf.DUMMYFUNCTION("""COMPUTED_VALUE"""),26667.0)</f>
        <v>26667</v>
      </c>
      <c r="L1468" s="2">
        <f>IFERROR(__xludf.DUMMYFUNCTION("""COMPUTED_VALUE"""),0.0)</f>
        <v>0</v>
      </c>
      <c r="M1468" s="2">
        <f>IFERROR(__xludf.DUMMYFUNCTION("""COMPUTED_VALUE"""),26667.0)</f>
        <v>26667</v>
      </c>
      <c r="N1468" s="2">
        <f>IFERROR(__xludf.DUMMYFUNCTION("""COMPUTED_VALUE"""),0.0)</f>
        <v>0</v>
      </c>
      <c r="O1468" s="2">
        <f>IFERROR(__xludf.DUMMYFUNCTION("""COMPUTED_VALUE"""),26667.0)</f>
        <v>26667</v>
      </c>
      <c r="P1468" s="2">
        <f>IFERROR(__xludf.DUMMYFUNCTION("""COMPUTED_VALUE"""),1334.0)</f>
        <v>1334</v>
      </c>
      <c r="Q1468" s="2" t="str">
        <f>IFERROR(__xludf.DUMMYFUNCTION("""COMPUTED_VALUE"""),"Dine In")</f>
        <v>Dine In</v>
      </c>
      <c r="R1468" s="2" t="str">
        <f>IFERROR(__xludf.DUMMYFUNCTION("""COMPUTED_VALUE"""),"Kedai")</f>
        <v>Kedai</v>
      </c>
      <c r="S1468" s="2" t="str">
        <f>IFERROR(__xludf.DUMMYFUNCTION("""COMPUTED_VALUE"""),"Temu Roti")</f>
        <v>Temu Roti</v>
      </c>
      <c r="T1468" s="2" t="str">
        <f>IFERROR(__xludf.DUMMYFUNCTION("""COMPUTED_VALUE"""),"Owner")</f>
        <v>Owner</v>
      </c>
      <c r="U1468" s="2"/>
      <c r="V1468" s="2"/>
      <c r="W1468" s="2"/>
      <c r="X1468" s="2" t="str">
        <f>IFERROR(__xludf.DUMMYFUNCTION("""COMPUTED_VALUE"""),"Closed")</f>
        <v>Closed</v>
      </c>
    </row>
    <row r="1469">
      <c r="A1469" s="3" t="s">
        <v>1479</v>
      </c>
      <c r="B1469" s="4">
        <f>IFERROR(__xludf.DUMMYFUNCTION("SPLIT(A1469,"","",0,0)"),45536.64236111111)</f>
        <v>45536.64236</v>
      </c>
      <c r="C1469" s="5">
        <f>IFERROR(__xludf.DUMMYFUNCTION("""COMPUTED_VALUE"""),2591064.0)</f>
        <v>2591064</v>
      </c>
      <c r="D1469" s="2" t="str">
        <f>IFERROR(__xludf.DUMMYFUNCTION("""COMPUTED_VALUE"""),"Sale")</f>
        <v>Sale</v>
      </c>
      <c r="E1469" s="2" t="str">
        <f>IFERROR(__xludf.DUMMYFUNCTION("""COMPUTED_VALUE"""),"Minuman")</f>
        <v>Minuman</v>
      </c>
      <c r="F1469" s="2">
        <f>IFERROR(__xludf.DUMMYFUNCTION("""COMPUTED_VALUE"""),10106.0)</f>
        <v>10106</v>
      </c>
      <c r="G1469" s="2" t="str">
        <f>IFERROR(__xludf.DUMMYFUNCTION("""COMPUTED_VALUE"""),"Korean Strawberry Fresh Milk")</f>
        <v>Korean Strawberry Fresh Milk</v>
      </c>
      <c r="H1469" s="2"/>
      <c r="I1469" s="2"/>
      <c r="J1469" s="2">
        <f>IFERROR(__xludf.DUMMYFUNCTION("""COMPUTED_VALUE"""),1.0)</f>
        <v>1</v>
      </c>
      <c r="K1469" s="6">
        <f>IFERROR(__xludf.DUMMYFUNCTION("""COMPUTED_VALUE"""),26667.0)</f>
        <v>26667</v>
      </c>
      <c r="L1469" s="2">
        <f>IFERROR(__xludf.DUMMYFUNCTION("""COMPUTED_VALUE"""),0.0)</f>
        <v>0</v>
      </c>
      <c r="M1469" s="2">
        <f>IFERROR(__xludf.DUMMYFUNCTION("""COMPUTED_VALUE"""),26667.0)</f>
        <v>26667</v>
      </c>
      <c r="N1469" s="2">
        <f>IFERROR(__xludf.DUMMYFUNCTION("""COMPUTED_VALUE"""),0.0)</f>
        <v>0</v>
      </c>
      <c r="O1469" s="2">
        <f>IFERROR(__xludf.DUMMYFUNCTION("""COMPUTED_VALUE"""),26667.0)</f>
        <v>26667</v>
      </c>
      <c r="P1469" s="2">
        <f>IFERROR(__xludf.DUMMYFUNCTION("""COMPUTED_VALUE"""),1333.0)</f>
        <v>1333</v>
      </c>
      <c r="Q1469" s="2" t="str">
        <f>IFERROR(__xludf.DUMMYFUNCTION("""COMPUTED_VALUE"""),"Dine In")</f>
        <v>Dine In</v>
      </c>
      <c r="R1469" s="2" t="str">
        <f>IFERROR(__xludf.DUMMYFUNCTION("""COMPUTED_VALUE"""),"Kedai")</f>
        <v>Kedai</v>
      </c>
      <c r="S1469" s="2" t="str">
        <f>IFERROR(__xludf.DUMMYFUNCTION("""COMPUTED_VALUE"""),"Temu Roti")</f>
        <v>Temu Roti</v>
      </c>
      <c r="T1469" s="2" t="str">
        <f>IFERROR(__xludf.DUMMYFUNCTION("""COMPUTED_VALUE"""),"Owner")</f>
        <v>Owner</v>
      </c>
      <c r="U1469" s="2"/>
      <c r="V1469" s="2"/>
      <c r="W1469" s="2"/>
      <c r="X1469" s="2" t="str">
        <f>IFERROR(__xludf.DUMMYFUNCTION("""COMPUTED_VALUE"""),"Closed")</f>
        <v>Closed</v>
      </c>
    </row>
    <row r="1470">
      <c r="A1470" s="3" t="s">
        <v>1480</v>
      </c>
      <c r="B1470" s="4">
        <f>IFERROR(__xludf.DUMMYFUNCTION("SPLIT(A1470,"","",0,0)"),45536.629166666666)</f>
        <v>45536.62917</v>
      </c>
      <c r="C1470" s="5">
        <f>IFERROR(__xludf.DUMMYFUNCTION("""COMPUTED_VALUE"""),2590699.0)</f>
        <v>2590699</v>
      </c>
      <c r="D1470" s="2" t="str">
        <f>IFERROR(__xludf.DUMMYFUNCTION("""COMPUTED_VALUE"""),"Sale")</f>
        <v>Sale</v>
      </c>
      <c r="E1470" s="2" t="str">
        <f>IFERROR(__xludf.DUMMYFUNCTION("""COMPUTED_VALUE"""),"Kudapan")</f>
        <v>Kudapan</v>
      </c>
      <c r="F1470" s="2">
        <f>IFERROR(__xludf.DUMMYFUNCTION("""COMPUTED_VALUE"""),10004.0)</f>
        <v>10004</v>
      </c>
      <c r="G1470" s="2" t="str">
        <f>IFERROR(__xludf.DUMMYFUNCTION("""COMPUTED_VALUE"""),"Tahu walik")</f>
        <v>Tahu walik</v>
      </c>
      <c r="H1470" s="2"/>
      <c r="I1470" s="2"/>
      <c r="J1470" s="2">
        <f>IFERROR(__xludf.DUMMYFUNCTION("""COMPUTED_VALUE"""),1.0)</f>
        <v>1</v>
      </c>
      <c r="K1470" s="6">
        <f>IFERROR(__xludf.DUMMYFUNCTION("""COMPUTED_VALUE"""),25238.0)</f>
        <v>25238</v>
      </c>
      <c r="L1470" s="2">
        <f>IFERROR(__xludf.DUMMYFUNCTION("""COMPUTED_VALUE"""),0.0)</f>
        <v>0</v>
      </c>
      <c r="M1470" s="2">
        <f>IFERROR(__xludf.DUMMYFUNCTION("""COMPUTED_VALUE"""),25238.0)</f>
        <v>25238</v>
      </c>
      <c r="N1470" s="2">
        <f>IFERROR(__xludf.DUMMYFUNCTION("""COMPUTED_VALUE"""),0.0)</f>
        <v>0</v>
      </c>
      <c r="O1470" s="2">
        <f>IFERROR(__xludf.DUMMYFUNCTION("""COMPUTED_VALUE"""),25238.0)</f>
        <v>25238</v>
      </c>
      <c r="P1470" s="2">
        <f>IFERROR(__xludf.DUMMYFUNCTION("""COMPUTED_VALUE"""),1262.0)</f>
        <v>1262</v>
      </c>
      <c r="Q1470" s="2" t="str">
        <f>IFERROR(__xludf.DUMMYFUNCTION("""COMPUTED_VALUE"""),"Dine In")</f>
        <v>Dine In</v>
      </c>
      <c r="R1470" s="2" t="str">
        <f>IFERROR(__xludf.DUMMYFUNCTION("""COMPUTED_VALUE"""),"Kedai")</f>
        <v>Kedai</v>
      </c>
      <c r="S1470" s="2" t="str">
        <f>IFERROR(__xludf.DUMMYFUNCTION("""COMPUTED_VALUE"""),"Temu Roti")</f>
        <v>Temu Roti</v>
      </c>
      <c r="T1470" s="2" t="str">
        <f>IFERROR(__xludf.DUMMYFUNCTION("""COMPUTED_VALUE"""),"Owner")</f>
        <v>Owner</v>
      </c>
      <c r="U1470" s="2"/>
      <c r="V1470" s="2"/>
      <c r="W1470" s="2"/>
      <c r="X1470" s="2" t="str">
        <f>IFERROR(__xludf.DUMMYFUNCTION("""COMPUTED_VALUE"""),"Closed")</f>
        <v>Closed</v>
      </c>
    </row>
    <row r="1471">
      <c r="A1471" s="3" t="s">
        <v>1481</v>
      </c>
      <c r="B1471" s="4">
        <f>IFERROR(__xludf.DUMMYFUNCTION("SPLIT(A1471,"","",0,0)"),45536.62847222222)</f>
        <v>45536.62847</v>
      </c>
      <c r="C1471" s="5">
        <f>IFERROR(__xludf.DUMMYFUNCTION("""COMPUTED_VALUE"""),2590333.0)</f>
        <v>2590333</v>
      </c>
      <c r="D1471" s="2" t="str">
        <f>IFERROR(__xludf.DUMMYFUNCTION("""COMPUTED_VALUE"""),"Refund")</f>
        <v>Refund</v>
      </c>
      <c r="E1471" s="2" t="str">
        <f>IFERROR(__xludf.DUMMYFUNCTION("""COMPUTED_VALUE"""),"Kudapan")</f>
        <v>Kudapan</v>
      </c>
      <c r="F1471" s="2">
        <f>IFERROR(__xludf.DUMMYFUNCTION("""COMPUTED_VALUE"""),10011.0)</f>
        <v>10011</v>
      </c>
      <c r="G1471" s="2" t="str">
        <f>IFERROR(__xludf.DUMMYFUNCTION("""COMPUTED_VALUE"""),"Kentang Goreng")</f>
        <v>Kentang Goreng</v>
      </c>
      <c r="H1471" s="2"/>
      <c r="I1471" s="2"/>
      <c r="J1471" s="2">
        <f>IFERROR(__xludf.DUMMYFUNCTION("""COMPUTED_VALUE"""),-1.0)</f>
        <v>-1</v>
      </c>
      <c r="K1471" s="6">
        <f>IFERROR(__xludf.DUMMYFUNCTION("""COMPUTED_VALUE"""),-25238.0)</f>
        <v>-25238</v>
      </c>
      <c r="L1471" s="2">
        <f>IFERROR(__xludf.DUMMYFUNCTION("""COMPUTED_VALUE"""),0.0)</f>
        <v>0</v>
      </c>
      <c r="M1471" s="2">
        <f>IFERROR(__xludf.DUMMYFUNCTION("""COMPUTED_VALUE"""),-25238.0)</f>
        <v>-25238</v>
      </c>
      <c r="N1471" s="2">
        <f>IFERROR(__xludf.DUMMYFUNCTION("""COMPUTED_VALUE"""),0.0)</f>
        <v>0</v>
      </c>
      <c r="O1471" s="2">
        <f>IFERROR(__xludf.DUMMYFUNCTION("""COMPUTED_VALUE"""),-25238.0)</f>
        <v>-25238</v>
      </c>
      <c r="P1471" s="2">
        <f>IFERROR(__xludf.DUMMYFUNCTION("""COMPUTED_VALUE"""),-1262.0)</f>
        <v>-1262</v>
      </c>
      <c r="Q1471" s="2" t="str">
        <f>IFERROR(__xludf.DUMMYFUNCTION("""COMPUTED_VALUE"""),"Dine In")</f>
        <v>Dine In</v>
      </c>
      <c r="R1471" s="2" t="str">
        <f>IFERROR(__xludf.DUMMYFUNCTION("""COMPUTED_VALUE"""),"Kedai")</f>
        <v>Kedai</v>
      </c>
      <c r="S1471" s="2" t="str">
        <f>IFERROR(__xludf.DUMMYFUNCTION("""COMPUTED_VALUE"""),"Temu Roti")</f>
        <v>Temu Roti</v>
      </c>
      <c r="T1471" s="2" t="str">
        <f>IFERROR(__xludf.DUMMYFUNCTION("""COMPUTED_VALUE"""),"Owner")</f>
        <v>Owner</v>
      </c>
      <c r="U1471" s="2"/>
      <c r="V1471" s="2"/>
      <c r="W1471" s="2"/>
      <c r="X1471" s="2" t="str">
        <f>IFERROR(__xludf.DUMMYFUNCTION("""COMPUTED_VALUE"""),"Closed")</f>
        <v>Closed</v>
      </c>
    </row>
    <row r="1472">
      <c r="A1472" s="3" t="s">
        <v>1482</v>
      </c>
      <c r="B1472" s="4">
        <f>IFERROR(__xludf.DUMMYFUNCTION("SPLIT(A1472,"","",0,0)"),45536.62013888889)</f>
        <v>45536.62014</v>
      </c>
      <c r="C1472" s="5">
        <f>IFERROR(__xludf.DUMMYFUNCTION("""COMPUTED_VALUE"""),2589968.0)</f>
        <v>2589968</v>
      </c>
      <c r="D1472" s="2" t="str">
        <f>IFERROR(__xludf.DUMMYFUNCTION("""COMPUTED_VALUE"""),"Sale")</f>
        <v>Sale</v>
      </c>
      <c r="E1472" s="2" t="str">
        <f>IFERROR(__xludf.DUMMYFUNCTION("""COMPUTED_VALUE"""),"Roti")</f>
        <v>Roti</v>
      </c>
      <c r="F1472" s="2">
        <f>IFERROR(__xludf.DUMMYFUNCTION("""COMPUTED_VALUE"""),10002.0)</f>
        <v>10002</v>
      </c>
      <c r="G1472" s="2" t="str">
        <f>IFERROR(__xludf.DUMMYFUNCTION("""COMPUTED_VALUE"""),"Roti Cranberry")</f>
        <v>Roti Cranberry</v>
      </c>
      <c r="H1472" s="2"/>
      <c r="I1472" s="2"/>
      <c r="J1472" s="2">
        <f>IFERROR(__xludf.DUMMYFUNCTION("""COMPUTED_VALUE"""),1.0)</f>
        <v>1</v>
      </c>
      <c r="K1472" s="6">
        <f>IFERROR(__xludf.DUMMYFUNCTION("""COMPUTED_VALUE"""),18571.0)</f>
        <v>18571</v>
      </c>
      <c r="L1472" s="2">
        <f>IFERROR(__xludf.DUMMYFUNCTION("""COMPUTED_VALUE"""),0.0)</f>
        <v>0</v>
      </c>
      <c r="M1472" s="2">
        <f>IFERROR(__xludf.DUMMYFUNCTION("""COMPUTED_VALUE"""),18571.0)</f>
        <v>18571</v>
      </c>
      <c r="N1472" s="2">
        <f>IFERROR(__xludf.DUMMYFUNCTION("""COMPUTED_VALUE"""),0.0)</f>
        <v>0</v>
      </c>
      <c r="O1472" s="2">
        <f>IFERROR(__xludf.DUMMYFUNCTION("""COMPUTED_VALUE"""),18571.0)</f>
        <v>18571</v>
      </c>
      <c r="P1472" s="2">
        <f>IFERROR(__xludf.DUMMYFUNCTION("""COMPUTED_VALUE"""),929.0)</f>
        <v>929</v>
      </c>
      <c r="Q1472" s="2" t="str">
        <f>IFERROR(__xludf.DUMMYFUNCTION("""COMPUTED_VALUE"""),"Dine In")</f>
        <v>Dine In</v>
      </c>
      <c r="R1472" s="2" t="str">
        <f>IFERROR(__xludf.DUMMYFUNCTION("""COMPUTED_VALUE"""),"Kedai")</f>
        <v>Kedai</v>
      </c>
      <c r="S1472" s="2" t="str">
        <f>IFERROR(__xludf.DUMMYFUNCTION("""COMPUTED_VALUE"""),"Temu Roti")</f>
        <v>Temu Roti</v>
      </c>
      <c r="T1472" s="2" t="str">
        <f>IFERROR(__xludf.DUMMYFUNCTION("""COMPUTED_VALUE"""),"Owner")</f>
        <v>Owner</v>
      </c>
      <c r="U1472" s="2"/>
      <c r="V1472" s="2"/>
      <c r="W1472" s="2"/>
      <c r="X1472" s="2" t="str">
        <f>IFERROR(__xludf.DUMMYFUNCTION("""COMPUTED_VALUE"""),"Closed")</f>
        <v>Closed</v>
      </c>
    </row>
    <row r="1473">
      <c r="A1473" s="3" t="s">
        <v>1483</v>
      </c>
      <c r="B1473" s="4">
        <f>IFERROR(__xludf.DUMMYFUNCTION("SPLIT(A1473,"","",0,0)"),45536.62013888889)</f>
        <v>45536.62014</v>
      </c>
      <c r="C1473" s="5">
        <f>IFERROR(__xludf.DUMMYFUNCTION("""COMPUTED_VALUE"""),2589968.0)</f>
        <v>2589968</v>
      </c>
      <c r="D1473" s="2" t="str">
        <f>IFERROR(__xludf.DUMMYFUNCTION("""COMPUTED_VALUE"""),"Sale")</f>
        <v>Sale</v>
      </c>
      <c r="E1473" s="2" t="str">
        <f>IFERROR(__xludf.DUMMYFUNCTION("""COMPUTED_VALUE"""),"Roti")</f>
        <v>Roti</v>
      </c>
      <c r="F1473" s="2">
        <f>IFERROR(__xludf.DUMMYFUNCTION("""COMPUTED_VALUE"""),10000.0)</f>
        <v>10000</v>
      </c>
      <c r="G1473" s="2" t="str">
        <f>IFERROR(__xludf.DUMMYFUNCTION("""COMPUTED_VALUE"""),"Roti Bawang Saus Keju")</f>
        <v>Roti Bawang Saus Keju</v>
      </c>
      <c r="H1473" s="2"/>
      <c r="I1473" s="2"/>
      <c r="J1473" s="2">
        <f>IFERROR(__xludf.DUMMYFUNCTION("""COMPUTED_VALUE"""),1.0)</f>
        <v>1</v>
      </c>
      <c r="K1473" s="6">
        <f>IFERROR(__xludf.DUMMYFUNCTION("""COMPUTED_VALUE"""),29524.0)</f>
        <v>29524</v>
      </c>
      <c r="L1473" s="2">
        <f>IFERROR(__xludf.DUMMYFUNCTION("""COMPUTED_VALUE"""),0.0)</f>
        <v>0</v>
      </c>
      <c r="M1473" s="2">
        <f>IFERROR(__xludf.DUMMYFUNCTION("""COMPUTED_VALUE"""),29524.0)</f>
        <v>29524</v>
      </c>
      <c r="N1473" s="2">
        <f>IFERROR(__xludf.DUMMYFUNCTION("""COMPUTED_VALUE"""),0.0)</f>
        <v>0</v>
      </c>
      <c r="O1473" s="2">
        <f>IFERROR(__xludf.DUMMYFUNCTION("""COMPUTED_VALUE"""),29524.0)</f>
        <v>29524</v>
      </c>
      <c r="P1473" s="2">
        <f>IFERROR(__xludf.DUMMYFUNCTION("""COMPUTED_VALUE"""),1476.0)</f>
        <v>1476</v>
      </c>
      <c r="Q1473" s="2" t="str">
        <f>IFERROR(__xludf.DUMMYFUNCTION("""COMPUTED_VALUE"""),"Dine In")</f>
        <v>Dine In</v>
      </c>
      <c r="R1473" s="2" t="str">
        <f>IFERROR(__xludf.DUMMYFUNCTION("""COMPUTED_VALUE"""),"Kedai")</f>
        <v>Kedai</v>
      </c>
      <c r="S1473" s="2" t="str">
        <f>IFERROR(__xludf.DUMMYFUNCTION("""COMPUTED_VALUE"""),"Temu Roti")</f>
        <v>Temu Roti</v>
      </c>
      <c r="T1473" s="2" t="str">
        <f>IFERROR(__xludf.DUMMYFUNCTION("""COMPUTED_VALUE"""),"Owner")</f>
        <v>Owner</v>
      </c>
      <c r="U1473" s="2"/>
      <c r="V1473" s="2"/>
      <c r="W1473" s="2"/>
      <c r="X1473" s="2" t="str">
        <f>IFERROR(__xludf.DUMMYFUNCTION("""COMPUTED_VALUE"""),"Closed")</f>
        <v>Closed</v>
      </c>
    </row>
    <row r="1474">
      <c r="A1474" s="3" t="s">
        <v>1484</v>
      </c>
      <c r="B1474" s="4">
        <f>IFERROR(__xludf.DUMMYFUNCTION("SPLIT(A1474,"","",0,0)"),45536.61319444444)</f>
        <v>45536.61319</v>
      </c>
      <c r="C1474" s="5">
        <f>IFERROR(__xludf.DUMMYFUNCTION("""COMPUTED_VALUE"""),2589603.0)</f>
        <v>2589603</v>
      </c>
      <c r="D1474" s="2" t="str">
        <f>IFERROR(__xludf.DUMMYFUNCTION("""COMPUTED_VALUE"""),"Sale")</f>
        <v>Sale</v>
      </c>
      <c r="E1474" s="2" t="str">
        <f>IFERROR(__xludf.DUMMYFUNCTION("""COMPUTED_VALUE"""),"Minuman")</f>
        <v>Minuman</v>
      </c>
      <c r="F1474" s="2">
        <f>IFERROR(__xludf.DUMMYFUNCTION("""COMPUTED_VALUE"""),10125.0)</f>
        <v>10125</v>
      </c>
      <c r="G1474" s="2" t="str">
        <f>IFERROR(__xludf.DUMMYFUNCTION("""COMPUTED_VALUE"""),"Gula Asam Dingin")</f>
        <v>Gula Asam Dingin</v>
      </c>
      <c r="H1474" s="2"/>
      <c r="I1474" s="2"/>
      <c r="J1474" s="2">
        <f>IFERROR(__xludf.DUMMYFUNCTION("""COMPUTED_VALUE"""),1.0)</f>
        <v>1</v>
      </c>
      <c r="K1474" s="6">
        <f>IFERROR(__xludf.DUMMYFUNCTION("""COMPUTED_VALUE"""),20476.0)</f>
        <v>20476</v>
      </c>
      <c r="L1474" s="2">
        <f>IFERROR(__xludf.DUMMYFUNCTION("""COMPUTED_VALUE"""),0.0)</f>
        <v>0</v>
      </c>
      <c r="M1474" s="2">
        <f>IFERROR(__xludf.DUMMYFUNCTION("""COMPUTED_VALUE"""),20476.0)</f>
        <v>20476</v>
      </c>
      <c r="N1474" s="2">
        <f>IFERROR(__xludf.DUMMYFUNCTION("""COMPUTED_VALUE"""),0.0)</f>
        <v>0</v>
      </c>
      <c r="O1474" s="2">
        <f>IFERROR(__xludf.DUMMYFUNCTION("""COMPUTED_VALUE"""),20476.0)</f>
        <v>20476</v>
      </c>
      <c r="P1474" s="2">
        <f>IFERROR(__xludf.DUMMYFUNCTION("""COMPUTED_VALUE"""),1024.0)</f>
        <v>1024</v>
      </c>
      <c r="Q1474" s="2" t="str">
        <f>IFERROR(__xludf.DUMMYFUNCTION("""COMPUTED_VALUE"""),"Dine In")</f>
        <v>Dine In</v>
      </c>
      <c r="R1474" s="2" t="str">
        <f>IFERROR(__xludf.DUMMYFUNCTION("""COMPUTED_VALUE"""),"Kedai")</f>
        <v>Kedai</v>
      </c>
      <c r="S1474" s="2" t="str">
        <f>IFERROR(__xludf.DUMMYFUNCTION("""COMPUTED_VALUE"""),"Temu Roti")</f>
        <v>Temu Roti</v>
      </c>
      <c r="T1474" s="2" t="str">
        <f>IFERROR(__xludf.DUMMYFUNCTION("""COMPUTED_VALUE"""),"Owner")</f>
        <v>Owner</v>
      </c>
      <c r="U1474" s="2"/>
      <c r="V1474" s="2"/>
      <c r="W1474" s="2"/>
      <c r="X1474" s="2" t="str">
        <f>IFERROR(__xludf.DUMMYFUNCTION("""COMPUTED_VALUE"""),"Closed")</f>
        <v>Closed</v>
      </c>
    </row>
    <row r="1475">
      <c r="A1475" s="3" t="s">
        <v>1485</v>
      </c>
      <c r="B1475" s="4">
        <f>IFERROR(__xludf.DUMMYFUNCTION("SPLIT(A1475,"","",0,0)"),45536.61111111111)</f>
        <v>45536.61111</v>
      </c>
      <c r="C1475" s="5">
        <f>IFERROR(__xludf.DUMMYFUNCTION("""COMPUTED_VALUE"""),2589238.0)</f>
        <v>2589238</v>
      </c>
      <c r="D1475" s="2" t="str">
        <f>IFERROR(__xludf.DUMMYFUNCTION("""COMPUTED_VALUE"""),"Sale")</f>
        <v>Sale</v>
      </c>
      <c r="E1475" s="2" t="str">
        <f>IFERROR(__xludf.DUMMYFUNCTION("""COMPUTED_VALUE"""),"Minuman")</f>
        <v>Minuman</v>
      </c>
      <c r="F1475" s="2">
        <f>IFERROR(__xludf.DUMMYFUNCTION("""COMPUTED_VALUE"""),10128.0)</f>
        <v>10128</v>
      </c>
      <c r="G1475" s="2" t="str">
        <f>IFERROR(__xludf.DUMMYFUNCTION("""COMPUTED_VALUE"""),"Es Kopi Susu")</f>
        <v>Es Kopi Susu</v>
      </c>
      <c r="H1475" s="2"/>
      <c r="I1475" s="2"/>
      <c r="J1475" s="2">
        <f>IFERROR(__xludf.DUMMYFUNCTION("""COMPUTED_VALUE"""),1.0)</f>
        <v>1</v>
      </c>
      <c r="K1475" s="6">
        <f>IFERROR(__xludf.DUMMYFUNCTION("""COMPUTED_VALUE"""),23333.0)</f>
        <v>23333</v>
      </c>
      <c r="L1475" s="2">
        <f>IFERROR(__xludf.DUMMYFUNCTION("""COMPUTED_VALUE"""),0.0)</f>
        <v>0</v>
      </c>
      <c r="M1475" s="2">
        <f>IFERROR(__xludf.DUMMYFUNCTION("""COMPUTED_VALUE"""),23333.0)</f>
        <v>23333</v>
      </c>
      <c r="N1475" s="2">
        <f>IFERROR(__xludf.DUMMYFUNCTION("""COMPUTED_VALUE"""),0.0)</f>
        <v>0</v>
      </c>
      <c r="O1475" s="2">
        <f>IFERROR(__xludf.DUMMYFUNCTION("""COMPUTED_VALUE"""),23333.0)</f>
        <v>23333</v>
      </c>
      <c r="P1475" s="2">
        <f>IFERROR(__xludf.DUMMYFUNCTION("""COMPUTED_VALUE"""),1167.0)</f>
        <v>1167</v>
      </c>
      <c r="Q1475" s="2" t="str">
        <f>IFERROR(__xludf.DUMMYFUNCTION("""COMPUTED_VALUE"""),"Dine In")</f>
        <v>Dine In</v>
      </c>
      <c r="R1475" s="2" t="str">
        <f>IFERROR(__xludf.DUMMYFUNCTION("""COMPUTED_VALUE"""),"Kedai")</f>
        <v>Kedai</v>
      </c>
      <c r="S1475" s="2" t="str">
        <f>IFERROR(__xludf.DUMMYFUNCTION("""COMPUTED_VALUE"""),"Temu Roti")</f>
        <v>Temu Roti</v>
      </c>
      <c r="T1475" s="2" t="str">
        <f>IFERROR(__xludf.DUMMYFUNCTION("""COMPUTED_VALUE"""),"Owner")</f>
        <v>Owner</v>
      </c>
      <c r="U1475" s="2"/>
      <c r="V1475" s="2"/>
      <c r="W1475" s="2"/>
      <c r="X1475" s="2" t="str">
        <f>IFERROR(__xludf.DUMMYFUNCTION("""COMPUTED_VALUE"""),"Closed")</f>
        <v>Closed</v>
      </c>
    </row>
    <row r="1476">
      <c r="A1476" s="3" t="s">
        <v>1486</v>
      </c>
      <c r="B1476" s="4">
        <f>IFERROR(__xludf.DUMMYFUNCTION("SPLIT(A1476,"","",0,0)"),45536.61111111111)</f>
        <v>45536.61111</v>
      </c>
      <c r="C1476" s="5">
        <f>IFERROR(__xludf.DUMMYFUNCTION("""COMPUTED_VALUE"""),2589238.0)</f>
        <v>2589238</v>
      </c>
      <c r="D1476" s="2" t="str">
        <f>IFERROR(__xludf.DUMMYFUNCTION("""COMPUTED_VALUE"""),"Sale")</f>
        <v>Sale</v>
      </c>
      <c r="E1476" s="2" t="str">
        <f>IFERROR(__xludf.DUMMYFUNCTION("""COMPUTED_VALUE"""),"Kudapan")</f>
        <v>Kudapan</v>
      </c>
      <c r="F1476" s="2">
        <f>IFERROR(__xludf.DUMMYFUNCTION("""COMPUTED_VALUE"""),10011.0)</f>
        <v>10011</v>
      </c>
      <c r="G1476" s="2" t="str">
        <f>IFERROR(__xludf.DUMMYFUNCTION("""COMPUTED_VALUE"""),"Kentang Goreng")</f>
        <v>Kentang Goreng</v>
      </c>
      <c r="H1476" s="2"/>
      <c r="I1476" s="2"/>
      <c r="J1476" s="2">
        <f>IFERROR(__xludf.DUMMYFUNCTION("""COMPUTED_VALUE"""),1.0)</f>
        <v>1</v>
      </c>
      <c r="K1476" s="6">
        <f>IFERROR(__xludf.DUMMYFUNCTION("""COMPUTED_VALUE"""),25238.0)</f>
        <v>25238</v>
      </c>
      <c r="L1476" s="2">
        <f>IFERROR(__xludf.DUMMYFUNCTION("""COMPUTED_VALUE"""),0.0)</f>
        <v>0</v>
      </c>
      <c r="M1476" s="2">
        <f>IFERROR(__xludf.DUMMYFUNCTION("""COMPUTED_VALUE"""),25238.0)</f>
        <v>25238</v>
      </c>
      <c r="N1476" s="2">
        <f>IFERROR(__xludf.DUMMYFUNCTION("""COMPUTED_VALUE"""),0.0)</f>
        <v>0</v>
      </c>
      <c r="O1476" s="2">
        <f>IFERROR(__xludf.DUMMYFUNCTION("""COMPUTED_VALUE"""),25238.0)</f>
        <v>25238</v>
      </c>
      <c r="P1476" s="2">
        <f>IFERROR(__xludf.DUMMYFUNCTION("""COMPUTED_VALUE"""),1262.0)</f>
        <v>1262</v>
      </c>
      <c r="Q1476" s="2" t="str">
        <f>IFERROR(__xludf.DUMMYFUNCTION("""COMPUTED_VALUE"""),"Dine In")</f>
        <v>Dine In</v>
      </c>
      <c r="R1476" s="2" t="str">
        <f>IFERROR(__xludf.DUMMYFUNCTION("""COMPUTED_VALUE"""),"Kedai")</f>
        <v>Kedai</v>
      </c>
      <c r="S1476" s="2" t="str">
        <f>IFERROR(__xludf.DUMMYFUNCTION("""COMPUTED_VALUE"""),"Temu Roti")</f>
        <v>Temu Roti</v>
      </c>
      <c r="T1476" s="2" t="str">
        <f>IFERROR(__xludf.DUMMYFUNCTION("""COMPUTED_VALUE"""),"Owner")</f>
        <v>Owner</v>
      </c>
      <c r="U1476" s="2"/>
      <c r="V1476" s="2"/>
      <c r="W1476" s="2"/>
      <c r="X1476" s="2" t="str">
        <f>IFERROR(__xludf.DUMMYFUNCTION("""COMPUTED_VALUE"""),"Closed")</f>
        <v>Closed</v>
      </c>
    </row>
    <row r="1477">
      <c r="A1477" s="3" t="s">
        <v>1487</v>
      </c>
      <c r="B1477" s="4">
        <f>IFERROR(__xludf.DUMMYFUNCTION("SPLIT(A1477,"","",0,0)"),45536.60486111111)</f>
        <v>45536.60486</v>
      </c>
      <c r="C1477" s="5">
        <f>IFERROR(__xludf.DUMMYFUNCTION("""COMPUTED_VALUE"""),2588872.0)</f>
        <v>2588872</v>
      </c>
      <c r="D1477" s="2" t="str">
        <f>IFERROR(__xludf.DUMMYFUNCTION("""COMPUTED_VALUE"""),"Sale")</f>
        <v>Sale</v>
      </c>
      <c r="E1477" s="2" t="str">
        <f>IFERROR(__xludf.DUMMYFUNCTION("""COMPUTED_VALUE"""),"Roti")</f>
        <v>Roti</v>
      </c>
      <c r="F1477" s="2">
        <f>IFERROR(__xludf.DUMMYFUNCTION("""COMPUTED_VALUE"""),10034.0)</f>
        <v>10034</v>
      </c>
      <c r="G1477" s="2" t="str">
        <f>IFERROR(__xludf.DUMMYFUNCTION("""COMPUTED_VALUE"""),"Roti panggang coklat")</f>
        <v>Roti panggang coklat</v>
      </c>
      <c r="H1477" s="2"/>
      <c r="I1477" s="2"/>
      <c r="J1477" s="2">
        <f>IFERROR(__xludf.DUMMYFUNCTION("""COMPUTED_VALUE"""),1.0)</f>
        <v>1</v>
      </c>
      <c r="K1477" s="6">
        <f>IFERROR(__xludf.DUMMYFUNCTION("""COMPUTED_VALUE"""),21905.0)</f>
        <v>21905</v>
      </c>
      <c r="L1477" s="2">
        <f>IFERROR(__xludf.DUMMYFUNCTION("""COMPUTED_VALUE"""),0.0)</f>
        <v>0</v>
      </c>
      <c r="M1477" s="2">
        <f>IFERROR(__xludf.DUMMYFUNCTION("""COMPUTED_VALUE"""),21905.0)</f>
        <v>21905</v>
      </c>
      <c r="N1477" s="2">
        <f>IFERROR(__xludf.DUMMYFUNCTION("""COMPUTED_VALUE"""),0.0)</f>
        <v>0</v>
      </c>
      <c r="O1477" s="2">
        <f>IFERROR(__xludf.DUMMYFUNCTION("""COMPUTED_VALUE"""),21905.0)</f>
        <v>21905</v>
      </c>
      <c r="P1477" s="2">
        <f>IFERROR(__xludf.DUMMYFUNCTION("""COMPUTED_VALUE"""),1095.0)</f>
        <v>1095</v>
      </c>
      <c r="Q1477" s="2" t="str">
        <f>IFERROR(__xludf.DUMMYFUNCTION("""COMPUTED_VALUE"""),"Dine In")</f>
        <v>Dine In</v>
      </c>
      <c r="R1477" s="2" t="str">
        <f>IFERROR(__xludf.DUMMYFUNCTION("""COMPUTED_VALUE"""),"Kedai")</f>
        <v>Kedai</v>
      </c>
      <c r="S1477" s="2" t="str">
        <f>IFERROR(__xludf.DUMMYFUNCTION("""COMPUTED_VALUE"""),"Temu Roti")</f>
        <v>Temu Roti</v>
      </c>
      <c r="T1477" s="2" t="str">
        <f>IFERROR(__xludf.DUMMYFUNCTION("""COMPUTED_VALUE"""),"Owner")</f>
        <v>Owner</v>
      </c>
      <c r="U1477" s="2"/>
      <c r="V1477" s="2"/>
      <c r="W1477" s="2"/>
      <c r="X1477" s="2" t="str">
        <f>IFERROR(__xludf.DUMMYFUNCTION("""COMPUTED_VALUE"""),"Closed")</f>
        <v>Closed</v>
      </c>
    </row>
    <row r="1478">
      <c r="A1478" s="3" t="s">
        <v>1488</v>
      </c>
      <c r="B1478" s="4">
        <f>IFERROR(__xludf.DUMMYFUNCTION("SPLIT(A1478,"","",0,0)"),45536.60486111111)</f>
        <v>45536.60486</v>
      </c>
      <c r="C1478" s="5">
        <f>IFERROR(__xludf.DUMMYFUNCTION("""COMPUTED_VALUE"""),2588872.0)</f>
        <v>2588872</v>
      </c>
      <c r="D1478" s="2" t="str">
        <f>IFERROR(__xludf.DUMMYFUNCTION("""COMPUTED_VALUE"""),"Sale")</f>
        <v>Sale</v>
      </c>
      <c r="E1478" s="2" t="str">
        <f>IFERROR(__xludf.DUMMYFUNCTION("""COMPUTED_VALUE"""),"Minuman")</f>
        <v>Minuman</v>
      </c>
      <c r="F1478" s="2">
        <f>IFERROR(__xludf.DUMMYFUNCTION("""COMPUTED_VALUE"""),10026.0)</f>
        <v>10026</v>
      </c>
      <c r="G1478" s="2" t="str">
        <f>IFERROR(__xludf.DUMMYFUNCTION("""COMPUTED_VALUE"""),"Es Kopi Lemon")</f>
        <v>Es Kopi Lemon</v>
      </c>
      <c r="H1478" s="2"/>
      <c r="I1478" s="2"/>
      <c r="J1478" s="2">
        <f>IFERROR(__xludf.DUMMYFUNCTION("""COMPUTED_VALUE"""),1.0)</f>
        <v>1</v>
      </c>
      <c r="K1478" s="6">
        <f>IFERROR(__xludf.DUMMYFUNCTION("""COMPUTED_VALUE"""),21905.0)</f>
        <v>21905</v>
      </c>
      <c r="L1478" s="2">
        <f>IFERROR(__xludf.DUMMYFUNCTION("""COMPUTED_VALUE"""),0.0)</f>
        <v>0</v>
      </c>
      <c r="M1478" s="2">
        <f>IFERROR(__xludf.DUMMYFUNCTION("""COMPUTED_VALUE"""),21905.0)</f>
        <v>21905</v>
      </c>
      <c r="N1478" s="2">
        <f>IFERROR(__xludf.DUMMYFUNCTION("""COMPUTED_VALUE"""),0.0)</f>
        <v>0</v>
      </c>
      <c r="O1478" s="2">
        <f>IFERROR(__xludf.DUMMYFUNCTION("""COMPUTED_VALUE"""),21905.0)</f>
        <v>21905</v>
      </c>
      <c r="P1478" s="2">
        <f>IFERROR(__xludf.DUMMYFUNCTION("""COMPUTED_VALUE"""),1096.0)</f>
        <v>1096</v>
      </c>
      <c r="Q1478" s="2" t="str">
        <f>IFERROR(__xludf.DUMMYFUNCTION("""COMPUTED_VALUE"""),"Dine In")</f>
        <v>Dine In</v>
      </c>
      <c r="R1478" s="2" t="str">
        <f>IFERROR(__xludf.DUMMYFUNCTION("""COMPUTED_VALUE"""),"Kedai")</f>
        <v>Kedai</v>
      </c>
      <c r="S1478" s="2" t="str">
        <f>IFERROR(__xludf.DUMMYFUNCTION("""COMPUTED_VALUE"""),"Temu Roti")</f>
        <v>Temu Roti</v>
      </c>
      <c r="T1478" s="2" t="str">
        <f>IFERROR(__xludf.DUMMYFUNCTION("""COMPUTED_VALUE"""),"Owner")</f>
        <v>Owner</v>
      </c>
      <c r="U1478" s="2"/>
      <c r="V1478" s="2"/>
      <c r="W1478" s="2"/>
      <c r="X1478" s="2" t="str">
        <f>IFERROR(__xludf.DUMMYFUNCTION("""COMPUTED_VALUE"""),"Closed")</f>
        <v>Closed</v>
      </c>
    </row>
    <row r="1479">
      <c r="A1479" s="3" t="s">
        <v>1489</v>
      </c>
      <c r="B1479" s="4">
        <f>IFERROR(__xludf.DUMMYFUNCTION("SPLIT(A1479,"","",0,0)"),45536.60486111111)</f>
        <v>45536.60486</v>
      </c>
      <c r="C1479" s="5">
        <f>IFERROR(__xludf.DUMMYFUNCTION("""COMPUTED_VALUE"""),2588872.0)</f>
        <v>2588872</v>
      </c>
      <c r="D1479" s="2" t="str">
        <f>IFERROR(__xludf.DUMMYFUNCTION("""COMPUTED_VALUE"""),"Sale")</f>
        <v>Sale</v>
      </c>
      <c r="E1479" s="2" t="str">
        <f>IFERROR(__xludf.DUMMYFUNCTION("""COMPUTED_VALUE"""),"Minuman")</f>
        <v>Minuman</v>
      </c>
      <c r="F1479" s="2">
        <f>IFERROR(__xludf.DUMMYFUNCTION("""COMPUTED_VALUE"""),10128.0)</f>
        <v>10128</v>
      </c>
      <c r="G1479" s="2" t="str">
        <f>IFERROR(__xludf.DUMMYFUNCTION("""COMPUTED_VALUE"""),"Es Kopi Susu")</f>
        <v>Es Kopi Susu</v>
      </c>
      <c r="H1479" s="2"/>
      <c r="I1479" s="2"/>
      <c r="J1479" s="2">
        <f>IFERROR(__xludf.DUMMYFUNCTION("""COMPUTED_VALUE"""),1.0)</f>
        <v>1</v>
      </c>
      <c r="K1479" s="6">
        <f>IFERROR(__xludf.DUMMYFUNCTION("""COMPUTED_VALUE"""),23333.0)</f>
        <v>23333</v>
      </c>
      <c r="L1479" s="2">
        <f>IFERROR(__xludf.DUMMYFUNCTION("""COMPUTED_VALUE"""),0.0)</f>
        <v>0</v>
      </c>
      <c r="M1479" s="2">
        <f>IFERROR(__xludf.DUMMYFUNCTION("""COMPUTED_VALUE"""),23333.0)</f>
        <v>23333</v>
      </c>
      <c r="N1479" s="2">
        <f>IFERROR(__xludf.DUMMYFUNCTION("""COMPUTED_VALUE"""),0.0)</f>
        <v>0</v>
      </c>
      <c r="O1479" s="2">
        <f>IFERROR(__xludf.DUMMYFUNCTION("""COMPUTED_VALUE"""),23333.0)</f>
        <v>23333</v>
      </c>
      <c r="P1479" s="2">
        <f>IFERROR(__xludf.DUMMYFUNCTION("""COMPUTED_VALUE"""),1166.0)</f>
        <v>1166</v>
      </c>
      <c r="Q1479" s="2" t="str">
        <f>IFERROR(__xludf.DUMMYFUNCTION("""COMPUTED_VALUE"""),"Dine In")</f>
        <v>Dine In</v>
      </c>
      <c r="R1479" s="2" t="str">
        <f>IFERROR(__xludf.DUMMYFUNCTION("""COMPUTED_VALUE"""),"Kedai")</f>
        <v>Kedai</v>
      </c>
      <c r="S1479" s="2" t="str">
        <f>IFERROR(__xludf.DUMMYFUNCTION("""COMPUTED_VALUE"""),"Temu Roti")</f>
        <v>Temu Roti</v>
      </c>
      <c r="T1479" s="2" t="str">
        <f>IFERROR(__xludf.DUMMYFUNCTION("""COMPUTED_VALUE"""),"Owner")</f>
        <v>Owner</v>
      </c>
      <c r="U1479" s="2"/>
      <c r="V1479" s="2"/>
      <c r="W1479" s="2"/>
      <c r="X1479" s="2" t="str">
        <f>IFERROR(__xludf.DUMMYFUNCTION("""COMPUTED_VALUE"""),"Closed")</f>
        <v>Closed</v>
      </c>
    </row>
    <row r="1480">
      <c r="A1480" s="3" t="s">
        <v>1490</v>
      </c>
      <c r="B1480" s="4">
        <f>IFERROR(__xludf.DUMMYFUNCTION("SPLIT(A1480,"","",0,0)"),45536.60138888889)</f>
        <v>45536.60139</v>
      </c>
      <c r="C1480" s="5">
        <f>IFERROR(__xludf.DUMMYFUNCTION("""COMPUTED_VALUE"""),2588507.0)</f>
        <v>2588507</v>
      </c>
      <c r="D1480" s="2" t="str">
        <f>IFERROR(__xludf.DUMMYFUNCTION("""COMPUTED_VALUE"""),"Sale")</f>
        <v>Sale</v>
      </c>
      <c r="E1480" s="2" t="str">
        <f>IFERROR(__xludf.DUMMYFUNCTION("""COMPUTED_VALUE"""),"Roti")</f>
        <v>Roti</v>
      </c>
      <c r="F1480" s="2">
        <f>IFERROR(__xludf.DUMMYFUNCTION("""COMPUTED_VALUE"""),10039.0)</f>
        <v>10039</v>
      </c>
      <c r="G1480" s="2" t="str">
        <f>IFERROR(__xludf.DUMMYFUNCTION("""COMPUTED_VALUE"""),"Roti panggang strawberry")</f>
        <v>Roti panggang strawberry</v>
      </c>
      <c r="H1480" s="2"/>
      <c r="I1480" s="2"/>
      <c r="J1480" s="2">
        <f>IFERROR(__xludf.DUMMYFUNCTION("""COMPUTED_VALUE"""),1.0)</f>
        <v>1</v>
      </c>
      <c r="K1480" s="6">
        <f>IFERROR(__xludf.DUMMYFUNCTION("""COMPUTED_VALUE"""),21905.0)</f>
        <v>21905</v>
      </c>
      <c r="L1480" s="2">
        <f>IFERROR(__xludf.DUMMYFUNCTION("""COMPUTED_VALUE"""),0.0)</f>
        <v>0</v>
      </c>
      <c r="M1480" s="2">
        <f>IFERROR(__xludf.DUMMYFUNCTION("""COMPUTED_VALUE"""),21905.0)</f>
        <v>21905</v>
      </c>
      <c r="N1480" s="2">
        <f>IFERROR(__xludf.DUMMYFUNCTION("""COMPUTED_VALUE"""),0.0)</f>
        <v>0</v>
      </c>
      <c r="O1480" s="2">
        <f>IFERROR(__xludf.DUMMYFUNCTION("""COMPUTED_VALUE"""),21905.0)</f>
        <v>21905</v>
      </c>
      <c r="P1480" s="2">
        <f>IFERROR(__xludf.DUMMYFUNCTION("""COMPUTED_VALUE"""),1095.0)</f>
        <v>1095</v>
      </c>
      <c r="Q1480" s="2" t="str">
        <f>IFERROR(__xludf.DUMMYFUNCTION("""COMPUTED_VALUE"""),"Dine In")</f>
        <v>Dine In</v>
      </c>
      <c r="R1480" s="2" t="str">
        <f>IFERROR(__xludf.DUMMYFUNCTION("""COMPUTED_VALUE"""),"Kedai")</f>
        <v>Kedai</v>
      </c>
      <c r="S1480" s="2" t="str">
        <f>IFERROR(__xludf.DUMMYFUNCTION("""COMPUTED_VALUE"""),"Temu Roti")</f>
        <v>Temu Roti</v>
      </c>
      <c r="T1480" s="2" t="str">
        <f>IFERROR(__xludf.DUMMYFUNCTION("""COMPUTED_VALUE"""),"Owner")</f>
        <v>Owner</v>
      </c>
      <c r="U1480" s="2"/>
      <c r="V1480" s="2"/>
      <c r="W1480" s="2"/>
      <c r="X1480" s="2" t="str">
        <f>IFERROR(__xludf.DUMMYFUNCTION("""COMPUTED_VALUE"""),"Closed")</f>
        <v>Closed</v>
      </c>
    </row>
    <row r="1481">
      <c r="A1481" s="3" t="s">
        <v>1491</v>
      </c>
      <c r="B1481" s="4">
        <f>IFERROR(__xludf.DUMMYFUNCTION("SPLIT(A1481,"","",0,0)"),45536.60138888889)</f>
        <v>45536.60139</v>
      </c>
      <c r="C1481" s="5">
        <f>IFERROR(__xludf.DUMMYFUNCTION("""COMPUTED_VALUE"""),2588507.0)</f>
        <v>2588507</v>
      </c>
      <c r="D1481" s="2" t="str">
        <f>IFERROR(__xludf.DUMMYFUNCTION("""COMPUTED_VALUE"""),"Sale")</f>
        <v>Sale</v>
      </c>
      <c r="E1481" s="2" t="str">
        <f>IFERROR(__xludf.DUMMYFUNCTION("""COMPUTED_VALUE"""),"Roti")</f>
        <v>Roti</v>
      </c>
      <c r="F1481" s="2">
        <f>IFERROR(__xludf.DUMMYFUNCTION("""COMPUTED_VALUE"""),10000.0)</f>
        <v>10000</v>
      </c>
      <c r="G1481" s="2" t="str">
        <f>IFERROR(__xludf.DUMMYFUNCTION("""COMPUTED_VALUE"""),"Roti Bawang Saus Keju")</f>
        <v>Roti Bawang Saus Keju</v>
      </c>
      <c r="H1481" s="2"/>
      <c r="I1481" s="2"/>
      <c r="J1481" s="2">
        <f>IFERROR(__xludf.DUMMYFUNCTION("""COMPUTED_VALUE"""),1.0)</f>
        <v>1</v>
      </c>
      <c r="K1481" s="6">
        <f>IFERROR(__xludf.DUMMYFUNCTION("""COMPUTED_VALUE"""),29524.0)</f>
        <v>29524</v>
      </c>
      <c r="L1481" s="2">
        <f>IFERROR(__xludf.DUMMYFUNCTION("""COMPUTED_VALUE"""),0.0)</f>
        <v>0</v>
      </c>
      <c r="M1481" s="2">
        <f>IFERROR(__xludf.DUMMYFUNCTION("""COMPUTED_VALUE"""),29524.0)</f>
        <v>29524</v>
      </c>
      <c r="N1481" s="2">
        <f>IFERROR(__xludf.DUMMYFUNCTION("""COMPUTED_VALUE"""),0.0)</f>
        <v>0</v>
      </c>
      <c r="O1481" s="2">
        <f>IFERROR(__xludf.DUMMYFUNCTION("""COMPUTED_VALUE"""),29524.0)</f>
        <v>29524</v>
      </c>
      <c r="P1481" s="2">
        <f>IFERROR(__xludf.DUMMYFUNCTION("""COMPUTED_VALUE"""),1476.0)</f>
        <v>1476</v>
      </c>
      <c r="Q1481" s="2" t="str">
        <f>IFERROR(__xludf.DUMMYFUNCTION("""COMPUTED_VALUE"""),"Dine In")</f>
        <v>Dine In</v>
      </c>
      <c r="R1481" s="2" t="str">
        <f>IFERROR(__xludf.DUMMYFUNCTION("""COMPUTED_VALUE"""),"Kedai")</f>
        <v>Kedai</v>
      </c>
      <c r="S1481" s="2" t="str">
        <f>IFERROR(__xludf.DUMMYFUNCTION("""COMPUTED_VALUE"""),"Temu Roti")</f>
        <v>Temu Roti</v>
      </c>
      <c r="T1481" s="2" t="str">
        <f>IFERROR(__xludf.DUMMYFUNCTION("""COMPUTED_VALUE"""),"Owner")</f>
        <v>Owner</v>
      </c>
      <c r="U1481" s="2"/>
      <c r="V1481" s="2"/>
      <c r="W1481" s="2"/>
      <c r="X1481" s="2" t="str">
        <f>IFERROR(__xludf.DUMMYFUNCTION("""COMPUTED_VALUE"""),"Closed")</f>
        <v>Closed</v>
      </c>
    </row>
    <row r="1482">
      <c r="A1482" s="3" t="s">
        <v>1492</v>
      </c>
      <c r="B1482" s="4">
        <f>IFERROR(__xludf.DUMMYFUNCTION("SPLIT(A1482,"","",0,0)"),45536.60138888889)</f>
        <v>45536.60139</v>
      </c>
      <c r="C1482" s="5">
        <f>IFERROR(__xludf.DUMMYFUNCTION("""COMPUTED_VALUE"""),2588507.0)</f>
        <v>2588507</v>
      </c>
      <c r="D1482" s="2" t="str">
        <f>IFERROR(__xludf.DUMMYFUNCTION("""COMPUTED_VALUE"""),"Sale")</f>
        <v>Sale</v>
      </c>
      <c r="E1482" s="2" t="str">
        <f>IFERROR(__xludf.DUMMYFUNCTION("""COMPUTED_VALUE"""),"Minuman")</f>
        <v>Minuman</v>
      </c>
      <c r="F1482" s="2">
        <f>IFERROR(__xludf.DUMMYFUNCTION("""COMPUTED_VALUE"""),10106.0)</f>
        <v>10106</v>
      </c>
      <c r="G1482" s="2" t="str">
        <f>IFERROR(__xludf.DUMMYFUNCTION("""COMPUTED_VALUE"""),"Korean Strawberry Fresh Milk")</f>
        <v>Korean Strawberry Fresh Milk</v>
      </c>
      <c r="H1482" s="2"/>
      <c r="I1482" s="2"/>
      <c r="J1482" s="2">
        <f>IFERROR(__xludf.DUMMYFUNCTION("""COMPUTED_VALUE"""),1.0)</f>
        <v>1</v>
      </c>
      <c r="K1482" s="6">
        <f>IFERROR(__xludf.DUMMYFUNCTION("""COMPUTED_VALUE"""),26667.0)</f>
        <v>26667</v>
      </c>
      <c r="L1482" s="2">
        <f>IFERROR(__xludf.DUMMYFUNCTION("""COMPUTED_VALUE"""),0.0)</f>
        <v>0</v>
      </c>
      <c r="M1482" s="2">
        <f>IFERROR(__xludf.DUMMYFUNCTION("""COMPUTED_VALUE"""),26667.0)</f>
        <v>26667</v>
      </c>
      <c r="N1482" s="2">
        <f>IFERROR(__xludf.DUMMYFUNCTION("""COMPUTED_VALUE"""),0.0)</f>
        <v>0</v>
      </c>
      <c r="O1482" s="2">
        <f>IFERROR(__xludf.DUMMYFUNCTION("""COMPUTED_VALUE"""),26667.0)</f>
        <v>26667</v>
      </c>
      <c r="P1482" s="2">
        <f>IFERROR(__xludf.DUMMYFUNCTION("""COMPUTED_VALUE"""),1334.0)</f>
        <v>1334</v>
      </c>
      <c r="Q1482" s="2" t="str">
        <f>IFERROR(__xludf.DUMMYFUNCTION("""COMPUTED_VALUE"""),"Dine In")</f>
        <v>Dine In</v>
      </c>
      <c r="R1482" s="2" t="str">
        <f>IFERROR(__xludf.DUMMYFUNCTION("""COMPUTED_VALUE"""),"Kedai")</f>
        <v>Kedai</v>
      </c>
      <c r="S1482" s="2" t="str">
        <f>IFERROR(__xludf.DUMMYFUNCTION("""COMPUTED_VALUE"""),"Temu Roti")</f>
        <v>Temu Roti</v>
      </c>
      <c r="T1482" s="2" t="str">
        <f>IFERROR(__xludf.DUMMYFUNCTION("""COMPUTED_VALUE"""),"Owner")</f>
        <v>Owner</v>
      </c>
      <c r="U1482" s="2"/>
      <c r="V1482" s="2"/>
      <c r="W1482" s="2"/>
      <c r="X1482" s="2" t="str">
        <f>IFERROR(__xludf.DUMMYFUNCTION("""COMPUTED_VALUE"""),"Closed")</f>
        <v>Closed</v>
      </c>
    </row>
    <row r="1483">
      <c r="A1483" s="3" t="s">
        <v>1493</v>
      </c>
      <c r="B1483" s="4">
        <f>IFERROR(__xludf.DUMMYFUNCTION("SPLIT(A1483,"","",0,0)"),45536.60138888889)</f>
        <v>45536.60139</v>
      </c>
      <c r="C1483" s="5">
        <f>IFERROR(__xludf.DUMMYFUNCTION("""COMPUTED_VALUE"""),2588507.0)</f>
        <v>2588507</v>
      </c>
      <c r="D1483" s="2" t="str">
        <f>IFERROR(__xludf.DUMMYFUNCTION("""COMPUTED_VALUE"""),"Sale")</f>
        <v>Sale</v>
      </c>
      <c r="E1483" s="2" t="str">
        <f>IFERROR(__xludf.DUMMYFUNCTION("""COMPUTED_VALUE"""),"Minuman")</f>
        <v>Minuman</v>
      </c>
      <c r="F1483" s="2">
        <f>IFERROR(__xludf.DUMMYFUNCTION("""COMPUTED_VALUE"""),10069.0)</f>
        <v>10069</v>
      </c>
      <c r="G1483" s="2" t="str">
        <f>IFERROR(__xludf.DUMMYFUNCTION("""COMPUTED_VALUE"""),"Wedang hujan")</f>
        <v>Wedang hujan</v>
      </c>
      <c r="H1483" s="2"/>
      <c r="I1483" s="2"/>
      <c r="J1483" s="2">
        <f>IFERROR(__xludf.DUMMYFUNCTION("""COMPUTED_VALUE"""),1.0)</f>
        <v>1</v>
      </c>
      <c r="K1483" s="6">
        <f>IFERROR(__xludf.DUMMYFUNCTION("""COMPUTED_VALUE"""),24762.0)</f>
        <v>24762</v>
      </c>
      <c r="L1483" s="2">
        <f>IFERROR(__xludf.DUMMYFUNCTION("""COMPUTED_VALUE"""),0.0)</f>
        <v>0</v>
      </c>
      <c r="M1483" s="2">
        <f>IFERROR(__xludf.DUMMYFUNCTION("""COMPUTED_VALUE"""),24762.0)</f>
        <v>24762</v>
      </c>
      <c r="N1483" s="2">
        <f>IFERROR(__xludf.DUMMYFUNCTION("""COMPUTED_VALUE"""),0.0)</f>
        <v>0</v>
      </c>
      <c r="O1483" s="2">
        <f>IFERROR(__xludf.DUMMYFUNCTION("""COMPUTED_VALUE"""),24762.0)</f>
        <v>24762</v>
      </c>
      <c r="P1483" s="2">
        <f>IFERROR(__xludf.DUMMYFUNCTION("""COMPUTED_VALUE"""),1238.0)</f>
        <v>1238</v>
      </c>
      <c r="Q1483" s="2" t="str">
        <f>IFERROR(__xludf.DUMMYFUNCTION("""COMPUTED_VALUE"""),"Dine In")</f>
        <v>Dine In</v>
      </c>
      <c r="R1483" s="2" t="str">
        <f>IFERROR(__xludf.DUMMYFUNCTION("""COMPUTED_VALUE"""),"Kedai")</f>
        <v>Kedai</v>
      </c>
      <c r="S1483" s="2" t="str">
        <f>IFERROR(__xludf.DUMMYFUNCTION("""COMPUTED_VALUE"""),"Temu Roti")</f>
        <v>Temu Roti</v>
      </c>
      <c r="T1483" s="2" t="str">
        <f>IFERROR(__xludf.DUMMYFUNCTION("""COMPUTED_VALUE"""),"Owner")</f>
        <v>Owner</v>
      </c>
      <c r="U1483" s="2"/>
      <c r="V1483" s="2"/>
      <c r="W1483" s="2"/>
      <c r="X1483" s="2" t="str">
        <f>IFERROR(__xludf.DUMMYFUNCTION("""COMPUTED_VALUE"""),"Closed")</f>
        <v>Closed</v>
      </c>
    </row>
    <row r="1484">
      <c r="A1484" s="3" t="s">
        <v>1494</v>
      </c>
      <c r="B1484" s="4">
        <f>IFERROR(__xludf.DUMMYFUNCTION("SPLIT(A1484,"","",0,0)"),45536.58819444444)</f>
        <v>45536.58819</v>
      </c>
      <c r="C1484" s="5">
        <f>IFERROR(__xludf.DUMMYFUNCTION("""COMPUTED_VALUE"""),2588142.0)</f>
        <v>2588142</v>
      </c>
      <c r="D1484" s="2" t="str">
        <f>IFERROR(__xludf.DUMMYFUNCTION("""COMPUTED_VALUE"""),"Sale")</f>
        <v>Sale</v>
      </c>
      <c r="E1484" s="2" t="str">
        <f>IFERROR(__xludf.DUMMYFUNCTION("""COMPUTED_VALUE"""),"Roti")</f>
        <v>Roti</v>
      </c>
      <c r="F1484" s="2">
        <f>IFERROR(__xludf.DUMMYFUNCTION("""COMPUTED_VALUE"""),10002.0)</f>
        <v>10002</v>
      </c>
      <c r="G1484" s="2" t="str">
        <f>IFERROR(__xludf.DUMMYFUNCTION("""COMPUTED_VALUE"""),"Roti Cranberry")</f>
        <v>Roti Cranberry</v>
      </c>
      <c r="H1484" s="2"/>
      <c r="I1484" s="2"/>
      <c r="J1484" s="2">
        <f>IFERROR(__xludf.DUMMYFUNCTION("""COMPUTED_VALUE"""),1.0)</f>
        <v>1</v>
      </c>
      <c r="K1484" s="6">
        <f>IFERROR(__xludf.DUMMYFUNCTION("""COMPUTED_VALUE"""),18571.0)</f>
        <v>18571</v>
      </c>
      <c r="L1484" s="2">
        <f>IFERROR(__xludf.DUMMYFUNCTION("""COMPUTED_VALUE"""),0.0)</f>
        <v>0</v>
      </c>
      <c r="M1484" s="2">
        <f>IFERROR(__xludf.DUMMYFUNCTION("""COMPUTED_VALUE"""),18571.0)</f>
        <v>18571</v>
      </c>
      <c r="N1484" s="2">
        <f>IFERROR(__xludf.DUMMYFUNCTION("""COMPUTED_VALUE"""),0.0)</f>
        <v>0</v>
      </c>
      <c r="O1484" s="2">
        <f>IFERROR(__xludf.DUMMYFUNCTION("""COMPUTED_VALUE"""),18571.0)</f>
        <v>18571</v>
      </c>
      <c r="P1484" s="2">
        <f>IFERROR(__xludf.DUMMYFUNCTION("""COMPUTED_VALUE"""),929.0)</f>
        <v>929</v>
      </c>
      <c r="Q1484" s="2" t="str">
        <f>IFERROR(__xludf.DUMMYFUNCTION("""COMPUTED_VALUE"""),"Dine In")</f>
        <v>Dine In</v>
      </c>
      <c r="R1484" s="2" t="str">
        <f>IFERROR(__xludf.DUMMYFUNCTION("""COMPUTED_VALUE"""),"Kedai")</f>
        <v>Kedai</v>
      </c>
      <c r="S1484" s="2" t="str">
        <f>IFERROR(__xludf.DUMMYFUNCTION("""COMPUTED_VALUE"""),"Temu Roti")</f>
        <v>Temu Roti</v>
      </c>
      <c r="T1484" s="2" t="str">
        <f>IFERROR(__xludf.DUMMYFUNCTION("""COMPUTED_VALUE"""),"Owner")</f>
        <v>Owner</v>
      </c>
      <c r="U1484" s="2"/>
      <c r="V1484" s="2"/>
      <c r="W1484" s="2"/>
      <c r="X1484" s="2" t="str">
        <f>IFERROR(__xludf.DUMMYFUNCTION("""COMPUTED_VALUE"""),"Closed")</f>
        <v>Closed</v>
      </c>
    </row>
    <row r="1485">
      <c r="A1485" s="3" t="s">
        <v>1495</v>
      </c>
      <c r="B1485" s="4">
        <f>IFERROR(__xludf.DUMMYFUNCTION("SPLIT(A1485,"","",0,0)"),45536.58819444444)</f>
        <v>45536.58819</v>
      </c>
      <c r="C1485" s="5">
        <f>IFERROR(__xludf.DUMMYFUNCTION("""COMPUTED_VALUE"""),2588142.0)</f>
        <v>2588142</v>
      </c>
      <c r="D1485" s="2" t="str">
        <f>IFERROR(__xludf.DUMMYFUNCTION("""COMPUTED_VALUE"""),"Sale")</f>
        <v>Sale</v>
      </c>
      <c r="E1485" s="2" t="str">
        <f>IFERROR(__xludf.DUMMYFUNCTION("""COMPUTED_VALUE"""),"Kudapan")</f>
        <v>Kudapan</v>
      </c>
      <c r="F1485" s="2">
        <f>IFERROR(__xludf.DUMMYFUNCTION("""COMPUTED_VALUE"""),10009.0)</f>
        <v>10009</v>
      </c>
      <c r="G1485" s="2" t="str">
        <f>IFERROR(__xludf.DUMMYFUNCTION("""COMPUTED_VALUE"""),"Jamur Enoki Krispi")</f>
        <v>Jamur Enoki Krispi</v>
      </c>
      <c r="H1485" s="2"/>
      <c r="I1485" s="2"/>
      <c r="J1485" s="2">
        <f>IFERROR(__xludf.DUMMYFUNCTION("""COMPUTED_VALUE"""),1.0)</f>
        <v>1</v>
      </c>
      <c r="K1485" s="6">
        <f>IFERROR(__xludf.DUMMYFUNCTION("""COMPUTED_VALUE"""),26667.0)</f>
        <v>26667</v>
      </c>
      <c r="L1485" s="2">
        <f>IFERROR(__xludf.DUMMYFUNCTION("""COMPUTED_VALUE"""),0.0)</f>
        <v>0</v>
      </c>
      <c r="M1485" s="2">
        <f>IFERROR(__xludf.DUMMYFUNCTION("""COMPUTED_VALUE"""),26667.0)</f>
        <v>26667</v>
      </c>
      <c r="N1485" s="2">
        <f>IFERROR(__xludf.DUMMYFUNCTION("""COMPUTED_VALUE"""),0.0)</f>
        <v>0</v>
      </c>
      <c r="O1485" s="2">
        <f>IFERROR(__xludf.DUMMYFUNCTION("""COMPUTED_VALUE"""),26667.0)</f>
        <v>26667</v>
      </c>
      <c r="P1485" s="2">
        <f>IFERROR(__xludf.DUMMYFUNCTION("""COMPUTED_VALUE"""),1333.0)</f>
        <v>1333</v>
      </c>
      <c r="Q1485" s="2" t="str">
        <f>IFERROR(__xludf.DUMMYFUNCTION("""COMPUTED_VALUE"""),"Dine In")</f>
        <v>Dine In</v>
      </c>
      <c r="R1485" s="2" t="str">
        <f>IFERROR(__xludf.DUMMYFUNCTION("""COMPUTED_VALUE"""),"Kedai")</f>
        <v>Kedai</v>
      </c>
      <c r="S1485" s="2" t="str">
        <f>IFERROR(__xludf.DUMMYFUNCTION("""COMPUTED_VALUE"""),"Temu Roti")</f>
        <v>Temu Roti</v>
      </c>
      <c r="T1485" s="2" t="str">
        <f>IFERROR(__xludf.DUMMYFUNCTION("""COMPUTED_VALUE"""),"Owner")</f>
        <v>Owner</v>
      </c>
      <c r="U1485" s="2"/>
      <c r="V1485" s="2"/>
      <c r="W1485" s="2"/>
      <c r="X1485" s="2" t="str">
        <f>IFERROR(__xludf.DUMMYFUNCTION("""COMPUTED_VALUE"""),"Closed")</f>
        <v>Closed</v>
      </c>
    </row>
    <row r="1486">
      <c r="A1486" s="3" t="s">
        <v>1496</v>
      </c>
      <c r="B1486" s="4">
        <f>IFERROR(__xludf.DUMMYFUNCTION("SPLIT(A1486,"","",0,0)"),45536.58819444444)</f>
        <v>45536.58819</v>
      </c>
      <c r="C1486" s="5">
        <f>IFERROR(__xludf.DUMMYFUNCTION("""COMPUTED_VALUE"""),2588142.0)</f>
        <v>2588142</v>
      </c>
      <c r="D1486" s="2" t="str">
        <f>IFERROR(__xludf.DUMMYFUNCTION("""COMPUTED_VALUE"""),"Sale")</f>
        <v>Sale</v>
      </c>
      <c r="E1486" s="2" t="str">
        <f>IFERROR(__xludf.DUMMYFUNCTION("""COMPUTED_VALUE"""),"Minuman")</f>
        <v>Minuman</v>
      </c>
      <c r="F1486" s="2">
        <f>IFERROR(__xludf.DUMMYFUNCTION("""COMPUTED_VALUE"""),10067.0)</f>
        <v>10067</v>
      </c>
      <c r="G1486" s="2" t="str">
        <f>IFERROR(__xludf.DUMMYFUNCTION("""COMPUTED_VALUE"""),"Wedang angin")</f>
        <v>Wedang angin</v>
      </c>
      <c r="H1486" s="2"/>
      <c r="I1486" s="2"/>
      <c r="J1486" s="2">
        <f>IFERROR(__xludf.DUMMYFUNCTION("""COMPUTED_VALUE"""),1.0)</f>
        <v>1</v>
      </c>
      <c r="K1486" s="6">
        <f>IFERROR(__xludf.DUMMYFUNCTION("""COMPUTED_VALUE"""),24762.0)</f>
        <v>24762</v>
      </c>
      <c r="L1486" s="2">
        <f>IFERROR(__xludf.DUMMYFUNCTION("""COMPUTED_VALUE"""),0.0)</f>
        <v>0</v>
      </c>
      <c r="M1486" s="2">
        <f>IFERROR(__xludf.DUMMYFUNCTION("""COMPUTED_VALUE"""),24762.0)</f>
        <v>24762</v>
      </c>
      <c r="N1486" s="2">
        <f>IFERROR(__xludf.DUMMYFUNCTION("""COMPUTED_VALUE"""),0.0)</f>
        <v>0</v>
      </c>
      <c r="O1486" s="2">
        <f>IFERROR(__xludf.DUMMYFUNCTION("""COMPUTED_VALUE"""),24762.0)</f>
        <v>24762</v>
      </c>
      <c r="P1486" s="2">
        <f>IFERROR(__xludf.DUMMYFUNCTION("""COMPUTED_VALUE"""),1238.0)</f>
        <v>1238</v>
      </c>
      <c r="Q1486" s="2" t="str">
        <f>IFERROR(__xludf.DUMMYFUNCTION("""COMPUTED_VALUE"""),"Dine In")</f>
        <v>Dine In</v>
      </c>
      <c r="R1486" s="2" t="str">
        <f>IFERROR(__xludf.DUMMYFUNCTION("""COMPUTED_VALUE"""),"Kedai")</f>
        <v>Kedai</v>
      </c>
      <c r="S1486" s="2" t="str">
        <f>IFERROR(__xludf.DUMMYFUNCTION("""COMPUTED_VALUE"""),"Temu Roti")</f>
        <v>Temu Roti</v>
      </c>
      <c r="T1486" s="2" t="str">
        <f>IFERROR(__xludf.DUMMYFUNCTION("""COMPUTED_VALUE"""),"Owner")</f>
        <v>Owner</v>
      </c>
      <c r="U1486" s="2"/>
      <c r="V1486" s="2"/>
      <c r="W1486" s="2"/>
      <c r="X1486" s="2" t="str">
        <f>IFERROR(__xludf.DUMMYFUNCTION("""COMPUTED_VALUE"""),"Closed")</f>
        <v>Closed</v>
      </c>
    </row>
    <row r="1487">
      <c r="A1487" s="3" t="s">
        <v>1497</v>
      </c>
      <c r="B1487" s="4">
        <f>IFERROR(__xludf.DUMMYFUNCTION("SPLIT(A1487,"","",0,0)"),45536.58819444444)</f>
        <v>45536.58819</v>
      </c>
      <c r="C1487" s="5">
        <f>IFERROR(__xludf.DUMMYFUNCTION("""COMPUTED_VALUE"""),2588142.0)</f>
        <v>2588142</v>
      </c>
      <c r="D1487" s="2" t="str">
        <f>IFERROR(__xludf.DUMMYFUNCTION("""COMPUTED_VALUE"""),"Sale")</f>
        <v>Sale</v>
      </c>
      <c r="E1487" s="2" t="str">
        <f>IFERROR(__xludf.DUMMYFUNCTION("""COMPUTED_VALUE"""),"Minuman")</f>
        <v>Minuman</v>
      </c>
      <c r="F1487" s="2">
        <f>IFERROR(__xludf.DUMMYFUNCTION("""COMPUTED_VALUE"""),10026.0)</f>
        <v>10026</v>
      </c>
      <c r="G1487" s="2" t="str">
        <f>IFERROR(__xludf.DUMMYFUNCTION("""COMPUTED_VALUE"""),"Es Kopi Lemon")</f>
        <v>Es Kopi Lemon</v>
      </c>
      <c r="H1487" s="2"/>
      <c r="I1487" s="2"/>
      <c r="J1487" s="2">
        <f>IFERROR(__xludf.DUMMYFUNCTION("""COMPUTED_VALUE"""),1.0)</f>
        <v>1</v>
      </c>
      <c r="K1487" s="6">
        <f>IFERROR(__xludf.DUMMYFUNCTION("""COMPUTED_VALUE"""),21905.0)</f>
        <v>21905</v>
      </c>
      <c r="L1487" s="2">
        <f>IFERROR(__xludf.DUMMYFUNCTION("""COMPUTED_VALUE"""),0.0)</f>
        <v>0</v>
      </c>
      <c r="M1487" s="2">
        <f>IFERROR(__xludf.DUMMYFUNCTION("""COMPUTED_VALUE"""),21905.0)</f>
        <v>21905</v>
      </c>
      <c r="N1487" s="2">
        <f>IFERROR(__xludf.DUMMYFUNCTION("""COMPUTED_VALUE"""),0.0)</f>
        <v>0</v>
      </c>
      <c r="O1487" s="2">
        <f>IFERROR(__xludf.DUMMYFUNCTION("""COMPUTED_VALUE"""),21905.0)</f>
        <v>21905</v>
      </c>
      <c r="P1487" s="2">
        <f>IFERROR(__xludf.DUMMYFUNCTION("""COMPUTED_VALUE"""),1095.0)</f>
        <v>1095</v>
      </c>
      <c r="Q1487" s="2" t="str">
        <f>IFERROR(__xludf.DUMMYFUNCTION("""COMPUTED_VALUE"""),"Dine In")</f>
        <v>Dine In</v>
      </c>
      <c r="R1487" s="2" t="str">
        <f>IFERROR(__xludf.DUMMYFUNCTION("""COMPUTED_VALUE"""),"Kedai")</f>
        <v>Kedai</v>
      </c>
      <c r="S1487" s="2" t="str">
        <f>IFERROR(__xludf.DUMMYFUNCTION("""COMPUTED_VALUE"""),"Temu Roti")</f>
        <v>Temu Roti</v>
      </c>
      <c r="T1487" s="2" t="str">
        <f>IFERROR(__xludf.DUMMYFUNCTION("""COMPUTED_VALUE"""),"Owner")</f>
        <v>Owner</v>
      </c>
      <c r="U1487" s="2"/>
      <c r="V1487" s="2"/>
      <c r="W1487" s="2"/>
      <c r="X1487" s="2" t="str">
        <f>IFERROR(__xludf.DUMMYFUNCTION("""COMPUTED_VALUE"""),"Closed")</f>
        <v>Closed</v>
      </c>
    </row>
    <row r="1488">
      <c r="A1488" s="3" t="s">
        <v>1498</v>
      </c>
      <c r="B1488" s="4">
        <f>IFERROR(__xludf.DUMMYFUNCTION("SPLIT(A1488,"","",0,0)"),45536.58819444444)</f>
        <v>45536.58819</v>
      </c>
      <c r="C1488" s="5">
        <f>IFERROR(__xludf.DUMMYFUNCTION("""COMPUTED_VALUE"""),2588142.0)</f>
        <v>2588142</v>
      </c>
      <c r="D1488" s="2" t="str">
        <f>IFERROR(__xludf.DUMMYFUNCTION("""COMPUTED_VALUE"""),"Sale")</f>
        <v>Sale</v>
      </c>
      <c r="E1488" s="2" t="str">
        <f>IFERROR(__xludf.DUMMYFUNCTION("""COMPUTED_VALUE"""),"Kudapan")</f>
        <v>Kudapan</v>
      </c>
      <c r="F1488" s="2">
        <f>IFERROR(__xludf.DUMMYFUNCTION("""COMPUTED_VALUE"""),10011.0)</f>
        <v>10011</v>
      </c>
      <c r="G1488" s="2" t="str">
        <f>IFERROR(__xludf.DUMMYFUNCTION("""COMPUTED_VALUE"""),"Kentang Goreng")</f>
        <v>Kentang Goreng</v>
      </c>
      <c r="H1488" s="2"/>
      <c r="I1488" s="2"/>
      <c r="J1488" s="2">
        <f>IFERROR(__xludf.DUMMYFUNCTION("""COMPUTED_VALUE"""),1.0)</f>
        <v>1</v>
      </c>
      <c r="K1488" s="6">
        <f>IFERROR(__xludf.DUMMYFUNCTION("""COMPUTED_VALUE"""),25238.0)</f>
        <v>25238</v>
      </c>
      <c r="L1488" s="2">
        <f>IFERROR(__xludf.DUMMYFUNCTION("""COMPUTED_VALUE"""),0.0)</f>
        <v>0</v>
      </c>
      <c r="M1488" s="2">
        <f>IFERROR(__xludf.DUMMYFUNCTION("""COMPUTED_VALUE"""),25238.0)</f>
        <v>25238</v>
      </c>
      <c r="N1488" s="2">
        <f>IFERROR(__xludf.DUMMYFUNCTION("""COMPUTED_VALUE"""),0.0)</f>
        <v>0</v>
      </c>
      <c r="O1488" s="2">
        <f>IFERROR(__xludf.DUMMYFUNCTION("""COMPUTED_VALUE"""),25238.0)</f>
        <v>25238</v>
      </c>
      <c r="P1488" s="2">
        <f>IFERROR(__xludf.DUMMYFUNCTION("""COMPUTED_VALUE"""),1262.0)</f>
        <v>1262</v>
      </c>
      <c r="Q1488" s="2" t="str">
        <f>IFERROR(__xludf.DUMMYFUNCTION("""COMPUTED_VALUE"""),"Dine In")</f>
        <v>Dine In</v>
      </c>
      <c r="R1488" s="2" t="str">
        <f>IFERROR(__xludf.DUMMYFUNCTION("""COMPUTED_VALUE"""),"Kedai")</f>
        <v>Kedai</v>
      </c>
      <c r="S1488" s="2" t="str">
        <f>IFERROR(__xludf.DUMMYFUNCTION("""COMPUTED_VALUE"""),"Temu Roti")</f>
        <v>Temu Roti</v>
      </c>
      <c r="T1488" s="2" t="str">
        <f>IFERROR(__xludf.DUMMYFUNCTION("""COMPUTED_VALUE"""),"Owner")</f>
        <v>Owner</v>
      </c>
      <c r="U1488" s="2"/>
      <c r="V1488" s="2"/>
      <c r="W1488" s="2"/>
      <c r="X1488" s="2" t="str">
        <f>IFERROR(__xludf.DUMMYFUNCTION("""COMPUTED_VALUE"""),"Closed")</f>
        <v>Closed</v>
      </c>
    </row>
    <row r="1489">
      <c r="A1489" s="3" t="s">
        <v>1499</v>
      </c>
      <c r="B1489" s="4">
        <f>IFERROR(__xludf.DUMMYFUNCTION("SPLIT(A1489,"","",0,0)"),45536.58819444444)</f>
        <v>45536.58819</v>
      </c>
      <c r="C1489" s="5">
        <f>IFERROR(__xludf.DUMMYFUNCTION("""COMPUTED_VALUE"""),2588142.0)</f>
        <v>2588142</v>
      </c>
      <c r="D1489" s="2" t="str">
        <f>IFERROR(__xludf.DUMMYFUNCTION("""COMPUTED_VALUE"""),"Sale")</f>
        <v>Sale</v>
      </c>
      <c r="E1489" s="2" t="str">
        <f>IFERROR(__xludf.DUMMYFUNCTION("""COMPUTED_VALUE"""),"Minuman")</f>
        <v>Minuman</v>
      </c>
      <c r="F1489" s="2">
        <f>IFERROR(__xludf.DUMMYFUNCTION("""COMPUTED_VALUE"""),10128.0)</f>
        <v>10128</v>
      </c>
      <c r="G1489" s="2" t="str">
        <f>IFERROR(__xludf.DUMMYFUNCTION("""COMPUTED_VALUE"""),"Es Kopi Susu")</f>
        <v>Es Kopi Susu</v>
      </c>
      <c r="H1489" s="2"/>
      <c r="I1489" s="2"/>
      <c r="J1489" s="2">
        <f>IFERROR(__xludf.DUMMYFUNCTION("""COMPUTED_VALUE"""),1.0)</f>
        <v>1</v>
      </c>
      <c r="K1489" s="6">
        <f>IFERROR(__xludf.DUMMYFUNCTION("""COMPUTED_VALUE"""),23333.0)</f>
        <v>23333</v>
      </c>
      <c r="L1489" s="2">
        <f>IFERROR(__xludf.DUMMYFUNCTION("""COMPUTED_VALUE"""),0.0)</f>
        <v>0</v>
      </c>
      <c r="M1489" s="2">
        <f>IFERROR(__xludf.DUMMYFUNCTION("""COMPUTED_VALUE"""),23333.0)</f>
        <v>23333</v>
      </c>
      <c r="N1489" s="2">
        <f>IFERROR(__xludf.DUMMYFUNCTION("""COMPUTED_VALUE"""),0.0)</f>
        <v>0</v>
      </c>
      <c r="O1489" s="2">
        <f>IFERROR(__xludf.DUMMYFUNCTION("""COMPUTED_VALUE"""),23333.0)</f>
        <v>23333</v>
      </c>
      <c r="P1489" s="2">
        <f>IFERROR(__xludf.DUMMYFUNCTION("""COMPUTED_VALUE"""),1167.0)</f>
        <v>1167</v>
      </c>
      <c r="Q1489" s="2" t="str">
        <f>IFERROR(__xludf.DUMMYFUNCTION("""COMPUTED_VALUE"""),"Dine In")</f>
        <v>Dine In</v>
      </c>
      <c r="R1489" s="2" t="str">
        <f>IFERROR(__xludf.DUMMYFUNCTION("""COMPUTED_VALUE"""),"Kedai")</f>
        <v>Kedai</v>
      </c>
      <c r="S1489" s="2" t="str">
        <f>IFERROR(__xludf.DUMMYFUNCTION("""COMPUTED_VALUE"""),"Temu Roti")</f>
        <v>Temu Roti</v>
      </c>
      <c r="T1489" s="2" t="str">
        <f>IFERROR(__xludf.DUMMYFUNCTION("""COMPUTED_VALUE"""),"Owner")</f>
        <v>Owner</v>
      </c>
      <c r="U1489" s="2"/>
      <c r="V1489" s="2"/>
      <c r="W1489" s="2"/>
      <c r="X1489" s="2" t="str">
        <f>IFERROR(__xludf.DUMMYFUNCTION("""COMPUTED_VALUE"""),"Closed")</f>
        <v>Closed</v>
      </c>
    </row>
    <row r="1490">
      <c r="A1490" s="3" t="s">
        <v>1500</v>
      </c>
      <c r="B1490" s="4">
        <f>IFERROR(__xludf.DUMMYFUNCTION("SPLIT(A1490,"","",0,0)"),45536.58819444444)</f>
        <v>45536.58819</v>
      </c>
      <c r="C1490" s="5">
        <f>IFERROR(__xludf.DUMMYFUNCTION("""COMPUTED_VALUE"""),2588142.0)</f>
        <v>2588142</v>
      </c>
      <c r="D1490" s="2" t="str">
        <f>IFERROR(__xludf.DUMMYFUNCTION("""COMPUTED_VALUE"""),"Sale")</f>
        <v>Sale</v>
      </c>
      <c r="E1490" s="2" t="str">
        <f>IFERROR(__xludf.DUMMYFUNCTION("""COMPUTED_VALUE"""),"Minuman")</f>
        <v>Minuman</v>
      </c>
      <c r="F1490" s="2">
        <f>IFERROR(__xludf.DUMMYFUNCTION("""COMPUTED_VALUE"""),10122.0)</f>
        <v>10122</v>
      </c>
      <c r="G1490" s="2" t="str">
        <f>IFERROR(__xludf.DUMMYFUNCTION("""COMPUTED_VALUE"""),"Rempah Madu Panas")</f>
        <v>Rempah Madu Panas</v>
      </c>
      <c r="H1490" s="2"/>
      <c r="I1490" s="2"/>
      <c r="J1490" s="2">
        <f>IFERROR(__xludf.DUMMYFUNCTION("""COMPUTED_VALUE"""),1.0)</f>
        <v>1</v>
      </c>
      <c r="K1490" s="6">
        <f>IFERROR(__xludf.DUMMYFUNCTION("""COMPUTED_VALUE"""),21905.0)</f>
        <v>21905</v>
      </c>
      <c r="L1490" s="2">
        <f>IFERROR(__xludf.DUMMYFUNCTION("""COMPUTED_VALUE"""),0.0)</f>
        <v>0</v>
      </c>
      <c r="M1490" s="2">
        <f>IFERROR(__xludf.DUMMYFUNCTION("""COMPUTED_VALUE"""),21905.0)</f>
        <v>21905</v>
      </c>
      <c r="N1490" s="2">
        <f>IFERROR(__xludf.DUMMYFUNCTION("""COMPUTED_VALUE"""),0.0)</f>
        <v>0</v>
      </c>
      <c r="O1490" s="2">
        <f>IFERROR(__xludf.DUMMYFUNCTION("""COMPUTED_VALUE"""),21905.0)</f>
        <v>21905</v>
      </c>
      <c r="P1490" s="2">
        <f>IFERROR(__xludf.DUMMYFUNCTION("""COMPUTED_VALUE"""),1095.0)</f>
        <v>1095</v>
      </c>
      <c r="Q1490" s="2" t="str">
        <f>IFERROR(__xludf.DUMMYFUNCTION("""COMPUTED_VALUE"""),"Dine In")</f>
        <v>Dine In</v>
      </c>
      <c r="R1490" s="2" t="str">
        <f>IFERROR(__xludf.DUMMYFUNCTION("""COMPUTED_VALUE"""),"Kedai")</f>
        <v>Kedai</v>
      </c>
      <c r="S1490" s="2" t="str">
        <f>IFERROR(__xludf.DUMMYFUNCTION("""COMPUTED_VALUE"""),"Temu Roti")</f>
        <v>Temu Roti</v>
      </c>
      <c r="T1490" s="2" t="str">
        <f>IFERROR(__xludf.DUMMYFUNCTION("""COMPUTED_VALUE"""),"Owner")</f>
        <v>Owner</v>
      </c>
      <c r="U1490" s="2"/>
      <c r="V1490" s="2"/>
      <c r="W1490" s="2"/>
      <c r="X1490" s="2" t="str">
        <f>IFERROR(__xludf.DUMMYFUNCTION("""COMPUTED_VALUE"""),"Closed")</f>
        <v>Closed</v>
      </c>
    </row>
    <row r="1491">
      <c r="A1491" s="3" t="s">
        <v>1501</v>
      </c>
      <c r="B1491" s="4">
        <f>IFERROR(__xludf.DUMMYFUNCTION("SPLIT(A1491,"","",0,0)"),45536.57847222222)</f>
        <v>45536.57847</v>
      </c>
      <c r="C1491" s="5">
        <f>IFERROR(__xludf.DUMMYFUNCTION("""COMPUTED_VALUE"""),2587777.0)</f>
        <v>2587777</v>
      </c>
      <c r="D1491" s="2" t="str">
        <f>IFERROR(__xludf.DUMMYFUNCTION("""COMPUTED_VALUE"""),"Sale")</f>
        <v>Sale</v>
      </c>
      <c r="E1491" s="2" t="str">
        <f>IFERROR(__xludf.DUMMYFUNCTION("""COMPUTED_VALUE"""),"Roti")</f>
        <v>Roti</v>
      </c>
      <c r="F1491" s="2">
        <f>IFERROR(__xludf.DUMMYFUNCTION("""COMPUTED_VALUE"""),10002.0)</f>
        <v>10002</v>
      </c>
      <c r="G1491" s="2" t="str">
        <f>IFERROR(__xludf.DUMMYFUNCTION("""COMPUTED_VALUE"""),"Roti Cranberry")</f>
        <v>Roti Cranberry</v>
      </c>
      <c r="H1491" s="2"/>
      <c r="I1491" s="2"/>
      <c r="J1491" s="2">
        <f>IFERROR(__xludf.DUMMYFUNCTION("""COMPUTED_VALUE"""),1.0)</f>
        <v>1</v>
      </c>
      <c r="K1491" s="6">
        <f>IFERROR(__xludf.DUMMYFUNCTION("""COMPUTED_VALUE"""),18571.0)</f>
        <v>18571</v>
      </c>
      <c r="L1491" s="2">
        <f>IFERROR(__xludf.DUMMYFUNCTION("""COMPUTED_VALUE"""),0.0)</f>
        <v>0</v>
      </c>
      <c r="M1491" s="2">
        <f>IFERROR(__xludf.DUMMYFUNCTION("""COMPUTED_VALUE"""),18571.0)</f>
        <v>18571</v>
      </c>
      <c r="N1491" s="2">
        <f>IFERROR(__xludf.DUMMYFUNCTION("""COMPUTED_VALUE"""),0.0)</f>
        <v>0</v>
      </c>
      <c r="O1491" s="2">
        <f>IFERROR(__xludf.DUMMYFUNCTION("""COMPUTED_VALUE"""),18571.0)</f>
        <v>18571</v>
      </c>
      <c r="P1491" s="2">
        <f>IFERROR(__xludf.DUMMYFUNCTION("""COMPUTED_VALUE"""),929.0)</f>
        <v>929</v>
      </c>
      <c r="Q1491" s="2" t="str">
        <f>IFERROR(__xludf.DUMMYFUNCTION("""COMPUTED_VALUE"""),"Dine In")</f>
        <v>Dine In</v>
      </c>
      <c r="R1491" s="2" t="str">
        <f>IFERROR(__xludf.DUMMYFUNCTION("""COMPUTED_VALUE"""),"Kedai")</f>
        <v>Kedai</v>
      </c>
      <c r="S1491" s="2" t="str">
        <f>IFERROR(__xludf.DUMMYFUNCTION("""COMPUTED_VALUE"""),"Temu Roti")</f>
        <v>Temu Roti</v>
      </c>
      <c r="T1491" s="2" t="str">
        <f>IFERROR(__xludf.DUMMYFUNCTION("""COMPUTED_VALUE"""),"Owner")</f>
        <v>Owner</v>
      </c>
      <c r="U1491" s="2"/>
      <c r="V1491" s="2"/>
      <c r="W1491" s="2"/>
      <c r="X1491" s="2" t="str">
        <f>IFERROR(__xludf.DUMMYFUNCTION("""COMPUTED_VALUE"""),"Closed")</f>
        <v>Closed</v>
      </c>
    </row>
    <row r="1492">
      <c r="A1492" s="3" t="s">
        <v>1502</v>
      </c>
      <c r="B1492" s="4">
        <f>IFERROR(__xludf.DUMMYFUNCTION("SPLIT(A1492,"","",0,0)"),45536.561111111114)</f>
        <v>45536.56111</v>
      </c>
      <c r="C1492" s="5">
        <f>IFERROR(__xludf.DUMMYFUNCTION("""COMPUTED_VALUE"""),2587411.0)</f>
        <v>2587411</v>
      </c>
      <c r="D1492" s="2" t="str">
        <f>IFERROR(__xludf.DUMMYFUNCTION("""COMPUTED_VALUE"""),"Sale")</f>
        <v>Sale</v>
      </c>
      <c r="E1492" s="2" t="str">
        <f>IFERROR(__xludf.DUMMYFUNCTION("""COMPUTED_VALUE"""),"Roti")</f>
        <v>Roti</v>
      </c>
      <c r="F1492" s="2">
        <f>IFERROR(__xludf.DUMMYFUNCTION("""COMPUTED_VALUE"""),10000.0)</f>
        <v>10000</v>
      </c>
      <c r="G1492" s="2" t="str">
        <f>IFERROR(__xludf.DUMMYFUNCTION("""COMPUTED_VALUE"""),"Roti Bawang Saus Keju")</f>
        <v>Roti Bawang Saus Keju</v>
      </c>
      <c r="H1492" s="2"/>
      <c r="I1492" s="2"/>
      <c r="J1492" s="2">
        <f>IFERROR(__xludf.DUMMYFUNCTION("""COMPUTED_VALUE"""),1.0)</f>
        <v>1</v>
      </c>
      <c r="K1492" s="6">
        <f>IFERROR(__xludf.DUMMYFUNCTION("""COMPUTED_VALUE"""),29524.0)</f>
        <v>29524</v>
      </c>
      <c r="L1492" s="2">
        <f>IFERROR(__xludf.DUMMYFUNCTION("""COMPUTED_VALUE"""),0.0)</f>
        <v>0</v>
      </c>
      <c r="M1492" s="2">
        <f>IFERROR(__xludf.DUMMYFUNCTION("""COMPUTED_VALUE"""),29524.0)</f>
        <v>29524</v>
      </c>
      <c r="N1492" s="2">
        <f>IFERROR(__xludf.DUMMYFUNCTION("""COMPUTED_VALUE"""),0.0)</f>
        <v>0</v>
      </c>
      <c r="O1492" s="2">
        <f>IFERROR(__xludf.DUMMYFUNCTION("""COMPUTED_VALUE"""),29524.0)</f>
        <v>29524</v>
      </c>
      <c r="P1492" s="2">
        <f>IFERROR(__xludf.DUMMYFUNCTION("""COMPUTED_VALUE"""),1476.0)</f>
        <v>1476</v>
      </c>
      <c r="Q1492" s="2" t="str">
        <f>IFERROR(__xludf.DUMMYFUNCTION("""COMPUTED_VALUE"""),"Dine In")</f>
        <v>Dine In</v>
      </c>
      <c r="R1492" s="2" t="str">
        <f>IFERROR(__xludf.DUMMYFUNCTION("""COMPUTED_VALUE"""),"Kedai")</f>
        <v>Kedai</v>
      </c>
      <c r="S1492" s="2" t="str">
        <f>IFERROR(__xludf.DUMMYFUNCTION("""COMPUTED_VALUE"""),"Temu Roti")</f>
        <v>Temu Roti</v>
      </c>
      <c r="T1492" s="2" t="str">
        <f>IFERROR(__xludf.DUMMYFUNCTION("""COMPUTED_VALUE"""),"Owner")</f>
        <v>Owner</v>
      </c>
      <c r="U1492" s="2"/>
      <c r="V1492" s="2"/>
      <c r="W1492" s="2"/>
      <c r="X1492" s="2" t="str">
        <f>IFERROR(__xludf.DUMMYFUNCTION("""COMPUTED_VALUE"""),"Closed")</f>
        <v>Closed</v>
      </c>
    </row>
    <row r="1493">
      <c r="A1493" s="3" t="s">
        <v>1503</v>
      </c>
      <c r="B1493" s="4">
        <f>IFERROR(__xludf.DUMMYFUNCTION("SPLIT(A1493,"","",0,0)"),45536.561111111114)</f>
        <v>45536.56111</v>
      </c>
      <c r="C1493" s="5">
        <f>IFERROR(__xludf.DUMMYFUNCTION("""COMPUTED_VALUE"""),2587411.0)</f>
        <v>2587411</v>
      </c>
      <c r="D1493" s="2" t="str">
        <f>IFERROR(__xludf.DUMMYFUNCTION("""COMPUTED_VALUE"""),"Sale")</f>
        <v>Sale</v>
      </c>
      <c r="E1493" s="2" t="str">
        <f>IFERROR(__xludf.DUMMYFUNCTION("""COMPUTED_VALUE"""),"Roti")</f>
        <v>Roti</v>
      </c>
      <c r="F1493" s="2">
        <f>IFERROR(__xludf.DUMMYFUNCTION("""COMPUTED_VALUE"""),10002.0)</f>
        <v>10002</v>
      </c>
      <c r="G1493" s="2" t="str">
        <f>IFERROR(__xludf.DUMMYFUNCTION("""COMPUTED_VALUE"""),"Roti Cranberry")</f>
        <v>Roti Cranberry</v>
      </c>
      <c r="H1493" s="2"/>
      <c r="I1493" s="2"/>
      <c r="J1493" s="2">
        <f>IFERROR(__xludf.DUMMYFUNCTION("""COMPUTED_VALUE"""),1.0)</f>
        <v>1</v>
      </c>
      <c r="K1493" s="6">
        <f>IFERROR(__xludf.DUMMYFUNCTION("""COMPUTED_VALUE"""),18571.0)</f>
        <v>18571</v>
      </c>
      <c r="L1493" s="2">
        <f>IFERROR(__xludf.DUMMYFUNCTION("""COMPUTED_VALUE"""),0.0)</f>
        <v>0</v>
      </c>
      <c r="M1493" s="2">
        <f>IFERROR(__xludf.DUMMYFUNCTION("""COMPUTED_VALUE"""),18571.0)</f>
        <v>18571</v>
      </c>
      <c r="N1493" s="2">
        <f>IFERROR(__xludf.DUMMYFUNCTION("""COMPUTED_VALUE"""),0.0)</f>
        <v>0</v>
      </c>
      <c r="O1493" s="2">
        <f>IFERROR(__xludf.DUMMYFUNCTION("""COMPUTED_VALUE"""),18571.0)</f>
        <v>18571</v>
      </c>
      <c r="P1493" s="2">
        <f>IFERROR(__xludf.DUMMYFUNCTION("""COMPUTED_VALUE"""),929.0)</f>
        <v>929</v>
      </c>
      <c r="Q1493" s="2" t="str">
        <f>IFERROR(__xludf.DUMMYFUNCTION("""COMPUTED_VALUE"""),"Dine In")</f>
        <v>Dine In</v>
      </c>
      <c r="R1493" s="2" t="str">
        <f>IFERROR(__xludf.DUMMYFUNCTION("""COMPUTED_VALUE"""),"Kedai")</f>
        <v>Kedai</v>
      </c>
      <c r="S1493" s="2" t="str">
        <f>IFERROR(__xludf.DUMMYFUNCTION("""COMPUTED_VALUE"""),"Temu Roti")</f>
        <v>Temu Roti</v>
      </c>
      <c r="T1493" s="2" t="str">
        <f>IFERROR(__xludf.DUMMYFUNCTION("""COMPUTED_VALUE"""),"Owner")</f>
        <v>Owner</v>
      </c>
      <c r="U1493" s="2"/>
      <c r="V1493" s="2"/>
      <c r="W1493" s="2"/>
      <c r="X1493" s="2" t="str">
        <f>IFERROR(__xludf.DUMMYFUNCTION("""COMPUTED_VALUE"""),"Closed")</f>
        <v>Closed</v>
      </c>
    </row>
    <row r="1494">
      <c r="A1494" s="3" t="s">
        <v>1504</v>
      </c>
      <c r="B1494" s="4">
        <f>IFERROR(__xludf.DUMMYFUNCTION("SPLIT(A1494,"","",0,0)"),45536.561111111114)</f>
        <v>45536.56111</v>
      </c>
      <c r="C1494" s="5">
        <f>IFERROR(__xludf.DUMMYFUNCTION("""COMPUTED_VALUE"""),2587411.0)</f>
        <v>2587411</v>
      </c>
      <c r="D1494" s="2" t="str">
        <f>IFERROR(__xludf.DUMMYFUNCTION("""COMPUTED_VALUE"""),"Sale")</f>
        <v>Sale</v>
      </c>
      <c r="E1494" s="2" t="str">
        <f>IFERROR(__xludf.DUMMYFUNCTION("""COMPUTED_VALUE"""),"Roti")</f>
        <v>Roti</v>
      </c>
      <c r="F1494" s="2">
        <f>IFERROR(__xludf.DUMMYFUNCTION("""COMPUTED_VALUE"""),10005.0)</f>
        <v>10005</v>
      </c>
      <c r="G1494" s="2" t="str">
        <f>IFERROR(__xludf.DUMMYFUNCTION("""COMPUTED_VALUE"""),"Roti Gandum Cokelat")</f>
        <v>Roti Gandum Cokelat</v>
      </c>
      <c r="H1494" s="2"/>
      <c r="I1494" s="2"/>
      <c r="J1494" s="2">
        <f>IFERROR(__xludf.DUMMYFUNCTION("""COMPUTED_VALUE"""),1.0)</f>
        <v>1</v>
      </c>
      <c r="K1494" s="6">
        <f>IFERROR(__xludf.DUMMYFUNCTION("""COMPUTED_VALUE"""),19524.0)</f>
        <v>19524</v>
      </c>
      <c r="L1494" s="2">
        <f>IFERROR(__xludf.DUMMYFUNCTION("""COMPUTED_VALUE"""),0.0)</f>
        <v>0</v>
      </c>
      <c r="M1494" s="2">
        <f>IFERROR(__xludf.DUMMYFUNCTION("""COMPUTED_VALUE"""),19524.0)</f>
        <v>19524</v>
      </c>
      <c r="N1494" s="2">
        <f>IFERROR(__xludf.DUMMYFUNCTION("""COMPUTED_VALUE"""),0.0)</f>
        <v>0</v>
      </c>
      <c r="O1494" s="2">
        <f>IFERROR(__xludf.DUMMYFUNCTION("""COMPUTED_VALUE"""),19524.0)</f>
        <v>19524</v>
      </c>
      <c r="P1494" s="2">
        <f>IFERROR(__xludf.DUMMYFUNCTION("""COMPUTED_VALUE"""),976.0)</f>
        <v>976</v>
      </c>
      <c r="Q1494" s="2" t="str">
        <f>IFERROR(__xludf.DUMMYFUNCTION("""COMPUTED_VALUE"""),"Dine In")</f>
        <v>Dine In</v>
      </c>
      <c r="R1494" s="2" t="str">
        <f>IFERROR(__xludf.DUMMYFUNCTION("""COMPUTED_VALUE"""),"Kedai")</f>
        <v>Kedai</v>
      </c>
      <c r="S1494" s="2" t="str">
        <f>IFERROR(__xludf.DUMMYFUNCTION("""COMPUTED_VALUE"""),"Temu Roti")</f>
        <v>Temu Roti</v>
      </c>
      <c r="T1494" s="2" t="str">
        <f>IFERROR(__xludf.DUMMYFUNCTION("""COMPUTED_VALUE"""),"Owner")</f>
        <v>Owner</v>
      </c>
      <c r="U1494" s="2"/>
      <c r="V1494" s="2"/>
      <c r="W1494" s="2"/>
      <c r="X1494" s="2" t="str">
        <f>IFERROR(__xludf.DUMMYFUNCTION("""COMPUTED_VALUE"""),"Closed")</f>
        <v>Closed</v>
      </c>
    </row>
    <row r="1495">
      <c r="A1495" s="3" t="s">
        <v>1505</v>
      </c>
      <c r="B1495" s="4">
        <f>IFERROR(__xludf.DUMMYFUNCTION("SPLIT(A1495,"","",0,0)"),45536.561111111114)</f>
        <v>45536.56111</v>
      </c>
      <c r="C1495" s="5">
        <f>IFERROR(__xludf.DUMMYFUNCTION("""COMPUTED_VALUE"""),2587411.0)</f>
        <v>2587411</v>
      </c>
      <c r="D1495" s="2" t="str">
        <f>IFERROR(__xludf.DUMMYFUNCTION("""COMPUTED_VALUE"""),"Sale")</f>
        <v>Sale</v>
      </c>
      <c r="E1495" s="2" t="str">
        <f>IFERROR(__xludf.DUMMYFUNCTION("""COMPUTED_VALUE"""),"Minuman")</f>
        <v>Minuman</v>
      </c>
      <c r="F1495" s="2">
        <f>IFERROR(__xludf.DUMMYFUNCTION("""COMPUTED_VALUE"""),10126.0)</f>
        <v>10126</v>
      </c>
      <c r="G1495" s="2" t="str">
        <f>IFERROR(__xludf.DUMMYFUNCTION("""COMPUTED_VALUE"""),"Chamomile Lemongrass Hot Artisan Tea")</f>
        <v>Chamomile Lemongrass Hot Artisan Tea</v>
      </c>
      <c r="H1495" s="2"/>
      <c r="I1495" s="2"/>
      <c r="J1495" s="2">
        <f>IFERROR(__xludf.DUMMYFUNCTION("""COMPUTED_VALUE"""),1.0)</f>
        <v>1</v>
      </c>
      <c r="K1495" s="6">
        <f>IFERROR(__xludf.DUMMYFUNCTION("""COMPUTED_VALUE"""),23810.0)</f>
        <v>23810</v>
      </c>
      <c r="L1495" s="2">
        <f>IFERROR(__xludf.DUMMYFUNCTION("""COMPUTED_VALUE"""),0.0)</f>
        <v>0</v>
      </c>
      <c r="M1495" s="2">
        <f>IFERROR(__xludf.DUMMYFUNCTION("""COMPUTED_VALUE"""),23810.0)</f>
        <v>23810</v>
      </c>
      <c r="N1495" s="2">
        <f>IFERROR(__xludf.DUMMYFUNCTION("""COMPUTED_VALUE"""),0.0)</f>
        <v>0</v>
      </c>
      <c r="O1495" s="2">
        <f>IFERROR(__xludf.DUMMYFUNCTION("""COMPUTED_VALUE"""),23810.0)</f>
        <v>23810</v>
      </c>
      <c r="P1495" s="2">
        <f>IFERROR(__xludf.DUMMYFUNCTION("""COMPUTED_VALUE"""),1190.0)</f>
        <v>1190</v>
      </c>
      <c r="Q1495" s="2" t="str">
        <f>IFERROR(__xludf.DUMMYFUNCTION("""COMPUTED_VALUE"""),"Dine In")</f>
        <v>Dine In</v>
      </c>
      <c r="R1495" s="2" t="str">
        <f>IFERROR(__xludf.DUMMYFUNCTION("""COMPUTED_VALUE"""),"Kedai")</f>
        <v>Kedai</v>
      </c>
      <c r="S1495" s="2" t="str">
        <f>IFERROR(__xludf.DUMMYFUNCTION("""COMPUTED_VALUE"""),"Temu Roti")</f>
        <v>Temu Roti</v>
      </c>
      <c r="T1495" s="2" t="str">
        <f>IFERROR(__xludf.DUMMYFUNCTION("""COMPUTED_VALUE"""),"Owner")</f>
        <v>Owner</v>
      </c>
      <c r="U1495" s="2"/>
      <c r="V1495" s="2"/>
      <c r="W1495" s="2"/>
      <c r="X1495" s="2" t="str">
        <f>IFERROR(__xludf.DUMMYFUNCTION("""COMPUTED_VALUE"""),"Closed")</f>
        <v>Closed</v>
      </c>
    </row>
    <row r="1496">
      <c r="A1496" s="3" t="s">
        <v>1506</v>
      </c>
      <c r="B1496" s="4">
        <f>IFERROR(__xludf.DUMMYFUNCTION("SPLIT(A1496,"","",0,0)"),45536.561111111114)</f>
        <v>45536.56111</v>
      </c>
      <c r="C1496" s="5">
        <f>IFERROR(__xludf.DUMMYFUNCTION("""COMPUTED_VALUE"""),2587411.0)</f>
        <v>2587411</v>
      </c>
      <c r="D1496" s="2" t="str">
        <f>IFERROR(__xludf.DUMMYFUNCTION("""COMPUTED_VALUE"""),"Sale")</f>
        <v>Sale</v>
      </c>
      <c r="E1496" s="2" t="str">
        <f>IFERROR(__xludf.DUMMYFUNCTION("""COMPUTED_VALUE"""),"Roti")</f>
        <v>Roti</v>
      </c>
      <c r="F1496" s="2">
        <f>IFERROR(__xludf.DUMMYFUNCTION("""COMPUTED_VALUE"""),10033.0)</f>
        <v>10033</v>
      </c>
      <c r="G1496" s="2" t="str">
        <f>IFERROR(__xludf.DUMMYFUNCTION("""COMPUTED_VALUE"""),"Roti panggang sarikaya")</f>
        <v>Roti panggang sarikaya</v>
      </c>
      <c r="H1496" s="2"/>
      <c r="I1496" s="2"/>
      <c r="J1496" s="2">
        <f>IFERROR(__xludf.DUMMYFUNCTION("""COMPUTED_VALUE"""),1.0)</f>
        <v>1</v>
      </c>
      <c r="K1496" s="6">
        <f>IFERROR(__xludf.DUMMYFUNCTION("""COMPUTED_VALUE"""),21905.0)</f>
        <v>21905</v>
      </c>
      <c r="L1496" s="2">
        <f>IFERROR(__xludf.DUMMYFUNCTION("""COMPUTED_VALUE"""),0.0)</f>
        <v>0</v>
      </c>
      <c r="M1496" s="2">
        <f>IFERROR(__xludf.DUMMYFUNCTION("""COMPUTED_VALUE"""),21905.0)</f>
        <v>21905</v>
      </c>
      <c r="N1496" s="2">
        <f>IFERROR(__xludf.DUMMYFUNCTION("""COMPUTED_VALUE"""),0.0)</f>
        <v>0</v>
      </c>
      <c r="O1496" s="2">
        <f>IFERROR(__xludf.DUMMYFUNCTION("""COMPUTED_VALUE"""),21905.0)</f>
        <v>21905</v>
      </c>
      <c r="P1496" s="2">
        <f>IFERROR(__xludf.DUMMYFUNCTION("""COMPUTED_VALUE"""),1096.0)</f>
        <v>1096</v>
      </c>
      <c r="Q1496" s="2" t="str">
        <f>IFERROR(__xludf.DUMMYFUNCTION("""COMPUTED_VALUE"""),"Dine In")</f>
        <v>Dine In</v>
      </c>
      <c r="R1496" s="2" t="str">
        <f>IFERROR(__xludf.DUMMYFUNCTION("""COMPUTED_VALUE"""),"Kedai")</f>
        <v>Kedai</v>
      </c>
      <c r="S1496" s="2" t="str">
        <f>IFERROR(__xludf.DUMMYFUNCTION("""COMPUTED_VALUE"""),"Temu Roti")</f>
        <v>Temu Roti</v>
      </c>
      <c r="T1496" s="2" t="str">
        <f>IFERROR(__xludf.DUMMYFUNCTION("""COMPUTED_VALUE"""),"Owner")</f>
        <v>Owner</v>
      </c>
      <c r="U1496" s="2"/>
      <c r="V1496" s="2"/>
      <c r="W1496" s="2"/>
      <c r="X1496" s="2" t="str">
        <f>IFERROR(__xludf.DUMMYFUNCTION("""COMPUTED_VALUE"""),"Closed")</f>
        <v>Closed</v>
      </c>
    </row>
    <row r="1497">
      <c r="A1497" s="3" t="s">
        <v>1507</v>
      </c>
      <c r="B1497" s="4">
        <f>IFERROR(__xludf.DUMMYFUNCTION("SPLIT(A1497,"","",0,0)"),45536.561111111114)</f>
        <v>45536.56111</v>
      </c>
      <c r="C1497" s="5">
        <f>IFERROR(__xludf.DUMMYFUNCTION("""COMPUTED_VALUE"""),2587411.0)</f>
        <v>2587411</v>
      </c>
      <c r="D1497" s="2" t="str">
        <f>IFERROR(__xludf.DUMMYFUNCTION("""COMPUTED_VALUE"""),"Sale")</f>
        <v>Sale</v>
      </c>
      <c r="E1497" s="2" t="str">
        <f>IFERROR(__xludf.DUMMYFUNCTION("""COMPUTED_VALUE"""),"Minuman")</f>
        <v>Minuman</v>
      </c>
      <c r="F1497" s="2">
        <f>IFERROR(__xludf.DUMMYFUNCTION("""COMPUTED_VALUE"""),10107.0)</f>
        <v>10107</v>
      </c>
      <c r="G1497" s="2" t="str">
        <f>IFERROR(__xludf.DUMMYFUNCTION("""COMPUTED_VALUE"""),"Korean Mango Fresh Milk")</f>
        <v>Korean Mango Fresh Milk</v>
      </c>
      <c r="H1497" s="2"/>
      <c r="I1497" s="2"/>
      <c r="J1497" s="2">
        <f>IFERROR(__xludf.DUMMYFUNCTION("""COMPUTED_VALUE"""),1.0)</f>
        <v>1</v>
      </c>
      <c r="K1497" s="6">
        <f>IFERROR(__xludf.DUMMYFUNCTION("""COMPUTED_VALUE"""),26667.0)</f>
        <v>26667</v>
      </c>
      <c r="L1497" s="2">
        <f>IFERROR(__xludf.DUMMYFUNCTION("""COMPUTED_VALUE"""),0.0)</f>
        <v>0</v>
      </c>
      <c r="M1497" s="2">
        <f>IFERROR(__xludf.DUMMYFUNCTION("""COMPUTED_VALUE"""),26667.0)</f>
        <v>26667</v>
      </c>
      <c r="N1497" s="2">
        <f>IFERROR(__xludf.DUMMYFUNCTION("""COMPUTED_VALUE"""),0.0)</f>
        <v>0</v>
      </c>
      <c r="O1497" s="2">
        <f>IFERROR(__xludf.DUMMYFUNCTION("""COMPUTED_VALUE"""),26667.0)</f>
        <v>26667</v>
      </c>
      <c r="P1497" s="2">
        <f>IFERROR(__xludf.DUMMYFUNCTION("""COMPUTED_VALUE"""),1333.0)</f>
        <v>1333</v>
      </c>
      <c r="Q1497" s="2" t="str">
        <f>IFERROR(__xludf.DUMMYFUNCTION("""COMPUTED_VALUE"""),"Dine In")</f>
        <v>Dine In</v>
      </c>
      <c r="R1497" s="2" t="str">
        <f>IFERROR(__xludf.DUMMYFUNCTION("""COMPUTED_VALUE"""),"Kedai")</f>
        <v>Kedai</v>
      </c>
      <c r="S1497" s="2" t="str">
        <f>IFERROR(__xludf.DUMMYFUNCTION("""COMPUTED_VALUE"""),"Temu Roti")</f>
        <v>Temu Roti</v>
      </c>
      <c r="T1497" s="2" t="str">
        <f>IFERROR(__xludf.DUMMYFUNCTION("""COMPUTED_VALUE"""),"Owner")</f>
        <v>Owner</v>
      </c>
      <c r="U1497" s="2"/>
      <c r="V1497" s="2"/>
      <c r="W1497" s="2"/>
      <c r="X1497" s="2" t="str">
        <f>IFERROR(__xludf.DUMMYFUNCTION("""COMPUTED_VALUE"""),"Closed")</f>
        <v>Closed</v>
      </c>
    </row>
    <row r="1498">
      <c r="A1498" s="3" t="s">
        <v>1508</v>
      </c>
      <c r="B1498" s="4">
        <f>IFERROR(__xludf.DUMMYFUNCTION("SPLIT(A1498,"","",0,0)"),45536.561111111114)</f>
        <v>45536.56111</v>
      </c>
      <c r="C1498" s="5">
        <f>IFERROR(__xludf.DUMMYFUNCTION("""COMPUTED_VALUE"""),2587411.0)</f>
        <v>2587411</v>
      </c>
      <c r="D1498" s="2" t="str">
        <f>IFERROR(__xludf.DUMMYFUNCTION("""COMPUTED_VALUE"""),"Sale")</f>
        <v>Sale</v>
      </c>
      <c r="E1498" s="2" t="str">
        <f>IFERROR(__xludf.DUMMYFUNCTION("""COMPUTED_VALUE"""),"Minuman")</f>
        <v>Minuman</v>
      </c>
      <c r="F1498" s="2">
        <f>IFERROR(__xludf.DUMMYFUNCTION("""COMPUTED_VALUE"""),10063.0)</f>
        <v>10063</v>
      </c>
      <c r="G1498" s="2" t="str">
        <f>IFERROR(__xludf.DUMMYFUNCTION("""COMPUTED_VALUE"""),"Wedang Bulan")</f>
        <v>Wedang Bulan</v>
      </c>
      <c r="H1498" s="2"/>
      <c r="I1498" s="2"/>
      <c r="J1498" s="2">
        <f>IFERROR(__xludf.DUMMYFUNCTION("""COMPUTED_VALUE"""),1.0)</f>
        <v>1</v>
      </c>
      <c r="K1498" s="6">
        <f>IFERROR(__xludf.DUMMYFUNCTION("""COMPUTED_VALUE"""),24762.0)</f>
        <v>24762</v>
      </c>
      <c r="L1498" s="2">
        <f>IFERROR(__xludf.DUMMYFUNCTION("""COMPUTED_VALUE"""),0.0)</f>
        <v>0</v>
      </c>
      <c r="M1498" s="2">
        <f>IFERROR(__xludf.DUMMYFUNCTION("""COMPUTED_VALUE"""),24762.0)</f>
        <v>24762</v>
      </c>
      <c r="N1498" s="2">
        <f>IFERROR(__xludf.DUMMYFUNCTION("""COMPUTED_VALUE"""),0.0)</f>
        <v>0</v>
      </c>
      <c r="O1498" s="2">
        <f>IFERROR(__xludf.DUMMYFUNCTION("""COMPUTED_VALUE"""),24762.0)</f>
        <v>24762</v>
      </c>
      <c r="P1498" s="2">
        <f>IFERROR(__xludf.DUMMYFUNCTION("""COMPUTED_VALUE"""),1238.0)</f>
        <v>1238</v>
      </c>
      <c r="Q1498" s="2" t="str">
        <f>IFERROR(__xludf.DUMMYFUNCTION("""COMPUTED_VALUE"""),"Dine In")</f>
        <v>Dine In</v>
      </c>
      <c r="R1498" s="2" t="str">
        <f>IFERROR(__xludf.DUMMYFUNCTION("""COMPUTED_VALUE"""),"Kedai")</f>
        <v>Kedai</v>
      </c>
      <c r="S1498" s="2" t="str">
        <f>IFERROR(__xludf.DUMMYFUNCTION("""COMPUTED_VALUE"""),"Temu Roti")</f>
        <v>Temu Roti</v>
      </c>
      <c r="T1498" s="2" t="str">
        <f>IFERROR(__xludf.DUMMYFUNCTION("""COMPUTED_VALUE"""),"Owner")</f>
        <v>Owner</v>
      </c>
      <c r="U1498" s="2"/>
      <c r="V1498" s="2"/>
      <c r="W1498" s="2"/>
      <c r="X1498" s="2" t="str">
        <f>IFERROR(__xludf.DUMMYFUNCTION("""COMPUTED_VALUE"""),"Closed")</f>
        <v>Closed</v>
      </c>
    </row>
    <row r="1499">
      <c r="A1499" s="3" t="s">
        <v>1509</v>
      </c>
      <c r="B1499" s="4">
        <f>IFERROR(__xludf.DUMMYFUNCTION("SPLIT(A1499,"","",0,0)"),45536.561111111114)</f>
        <v>45536.56111</v>
      </c>
      <c r="C1499" s="5">
        <f>IFERROR(__xludf.DUMMYFUNCTION("""COMPUTED_VALUE"""),2587411.0)</f>
        <v>2587411</v>
      </c>
      <c r="D1499" s="2" t="str">
        <f>IFERROR(__xludf.DUMMYFUNCTION("""COMPUTED_VALUE"""),"Sale")</f>
        <v>Sale</v>
      </c>
      <c r="E1499" s="2" t="str">
        <f>IFERROR(__xludf.DUMMYFUNCTION("""COMPUTED_VALUE"""),"Minuman")</f>
        <v>Minuman</v>
      </c>
      <c r="F1499" s="2">
        <f>IFERROR(__xludf.DUMMYFUNCTION("""COMPUTED_VALUE"""),10058.0)</f>
        <v>10058</v>
      </c>
      <c r="G1499" s="2" t="str">
        <f>IFERROR(__xludf.DUMMYFUNCTION("""COMPUTED_VALUE"""),"Susu murni ori")</f>
        <v>Susu murni ori</v>
      </c>
      <c r="H1499" s="2"/>
      <c r="I1499" s="2"/>
      <c r="J1499" s="2">
        <f>IFERROR(__xludf.DUMMYFUNCTION("""COMPUTED_VALUE"""),1.0)</f>
        <v>1</v>
      </c>
      <c r="K1499" s="6">
        <f>IFERROR(__xludf.DUMMYFUNCTION("""COMPUTED_VALUE"""),19524.0)</f>
        <v>19524</v>
      </c>
      <c r="L1499" s="2">
        <f>IFERROR(__xludf.DUMMYFUNCTION("""COMPUTED_VALUE"""),0.0)</f>
        <v>0</v>
      </c>
      <c r="M1499" s="2">
        <f>IFERROR(__xludf.DUMMYFUNCTION("""COMPUTED_VALUE"""),19524.0)</f>
        <v>19524</v>
      </c>
      <c r="N1499" s="2">
        <f>IFERROR(__xludf.DUMMYFUNCTION("""COMPUTED_VALUE"""),0.0)</f>
        <v>0</v>
      </c>
      <c r="O1499" s="2">
        <f>IFERROR(__xludf.DUMMYFUNCTION("""COMPUTED_VALUE"""),19524.0)</f>
        <v>19524</v>
      </c>
      <c r="P1499" s="2">
        <f>IFERROR(__xludf.DUMMYFUNCTION("""COMPUTED_VALUE"""),976.0)</f>
        <v>976</v>
      </c>
      <c r="Q1499" s="2" t="str">
        <f>IFERROR(__xludf.DUMMYFUNCTION("""COMPUTED_VALUE"""),"Dine In")</f>
        <v>Dine In</v>
      </c>
      <c r="R1499" s="2" t="str">
        <f>IFERROR(__xludf.DUMMYFUNCTION("""COMPUTED_VALUE"""),"Kedai")</f>
        <v>Kedai</v>
      </c>
      <c r="S1499" s="2" t="str">
        <f>IFERROR(__xludf.DUMMYFUNCTION("""COMPUTED_VALUE"""),"Temu Roti")</f>
        <v>Temu Roti</v>
      </c>
      <c r="T1499" s="2" t="str">
        <f>IFERROR(__xludf.DUMMYFUNCTION("""COMPUTED_VALUE"""),"Owner")</f>
        <v>Owner</v>
      </c>
      <c r="U1499" s="2"/>
      <c r="V1499" s="2"/>
      <c r="W1499" s="2"/>
      <c r="X1499" s="2" t="str">
        <f>IFERROR(__xludf.DUMMYFUNCTION("""COMPUTED_VALUE"""),"Closed")</f>
        <v>Closed</v>
      </c>
    </row>
    <row r="1500">
      <c r="A1500" s="3" t="s">
        <v>1510</v>
      </c>
      <c r="B1500" s="4">
        <f>IFERROR(__xludf.DUMMYFUNCTION("SPLIT(A1500,"","",0,0)"),45536.55972222222)</f>
        <v>45536.55972</v>
      </c>
      <c r="C1500" s="5">
        <f>IFERROR(__xludf.DUMMYFUNCTION("""COMPUTED_VALUE"""),2587046.0)</f>
        <v>2587046</v>
      </c>
      <c r="D1500" s="2" t="str">
        <f>IFERROR(__xludf.DUMMYFUNCTION("""COMPUTED_VALUE"""),"Sale")</f>
        <v>Sale</v>
      </c>
      <c r="E1500" s="2" t="str">
        <f>IFERROR(__xludf.DUMMYFUNCTION("""COMPUTED_VALUE"""),"Minuman")</f>
        <v>Minuman</v>
      </c>
      <c r="F1500" s="2">
        <f>IFERROR(__xludf.DUMMYFUNCTION("""COMPUTED_VALUE"""),10128.0)</f>
        <v>10128</v>
      </c>
      <c r="G1500" s="2" t="str">
        <f>IFERROR(__xludf.DUMMYFUNCTION("""COMPUTED_VALUE"""),"Es Kopi Susu")</f>
        <v>Es Kopi Susu</v>
      </c>
      <c r="H1500" s="2"/>
      <c r="I1500" s="2"/>
      <c r="J1500" s="2">
        <f>IFERROR(__xludf.DUMMYFUNCTION("""COMPUTED_VALUE"""),1.0)</f>
        <v>1</v>
      </c>
      <c r="K1500" s="6">
        <f>IFERROR(__xludf.DUMMYFUNCTION("""COMPUTED_VALUE"""),23333.0)</f>
        <v>23333</v>
      </c>
      <c r="L1500" s="2">
        <f>IFERROR(__xludf.DUMMYFUNCTION("""COMPUTED_VALUE"""),0.0)</f>
        <v>0</v>
      </c>
      <c r="M1500" s="2">
        <f>IFERROR(__xludf.DUMMYFUNCTION("""COMPUTED_VALUE"""),23333.0)</f>
        <v>23333</v>
      </c>
      <c r="N1500" s="2">
        <f>IFERROR(__xludf.DUMMYFUNCTION("""COMPUTED_VALUE"""),0.0)</f>
        <v>0</v>
      </c>
      <c r="O1500" s="2">
        <f>IFERROR(__xludf.DUMMYFUNCTION("""COMPUTED_VALUE"""),23333.0)</f>
        <v>23333</v>
      </c>
      <c r="P1500" s="2">
        <f>IFERROR(__xludf.DUMMYFUNCTION("""COMPUTED_VALUE"""),1167.0)</f>
        <v>1167</v>
      </c>
      <c r="Q1500" s="2" t="str">
        <f>IFERROR(__xludf.DUMMYFUNCTION("""COMPUTED_VALUE"""),"Dine In")</f>
        <v>Dine In</v>
      </c>
      <c r="R1500" s="2" t="str">
        <f>IFERROR(__xludf.DUMMYFUNCTION("""COMPUTED_VALUE"""),"Kedai")</f>
        <v>Kedai</v>
      </c>
      <c r="S1500" s="2" t="str">
        <f>IFERROR(__xludf.DUMMYFUNCTION("""COMPUTED_VALUE"""),"Temu Roti")</f>
        <v>Temu Roti</v>
      </c>
      <c r="T1500" s="2" t="str">
        <f>IFERROR(__xludf.DUMMYFUNCTION("""COMPUTED_VALUE"""),"Owner")</f>
        <v>Owner</v>
      </c>
      <c r="U1500" s="2"/>
      <c r="V1500" s="2"/>
      <c r="W1500" s="2"/>
      <c r="X1500" s="2" t="str">
        <f>IFERROR(__xludf.DUMMYFUNCTION("""COMPUTED_VALUE"""),"Closed")</f>
        <v>Closed</v>
      </c>
    </row>
    <row r="1501">
      <c r="A1501" s="3" t="s">
        <v>1511</v>
      </c>
      <c r="B1501" s="4">
        <f>IFERROR(__xludf.DUMMYFUNCTION("SPLIT(A1501,"","",0,0)"),45536.55972222222)</f>
        <v>45536.55972</v>
      </c>
      <c r="C1501" s="5">
        <f>IFERROR(__xludf.DUMMYFUNCTION("""COMPUTED_VALUE"""),2587046.0)</f>
        <v>2587046</v>
      </c>
      <c r="D1501" s="2" t="str">
        <f>IFERROR(__xludf.DUMMYFUNCTION("""COMPUTED_VALUE"""),"Sale")</f>
        <v>Sale</v>
      </c>
      <c r="E1501" s="2" t="str">
        <f>IFERROR(__xludf.DUMMYFUNCTION("""COMPUTED_VALUE"""),"Minuman")</f>
        <v>Minuman</v>
      </c>
      <c r="F1501" s="2">
        <f>IFERROR(__xludf.DUMMYFUNCTION("""COMPUTED_VALUE"""),10106.0)</f>
        <v>10106</v>
      </c>
      <c r="G1501" s="2" t="str">
        <f>IFERROR(__xludf.DUMMYFUNCTION("""COMPUTED_VALUE"""),"Korean Strawberry Fresh Milk")</f>
        <v>Korean Strawberry Fresh Milk</v>
      </c>
      <c r="H1501" s="2"/>
      <c r="I1501" s="2"/>
      <c r="J1501" s="2">
        <f>IFERROR(__xludf.DUMMYFUNCTION("""COMPUTED_VALUE"""),1.0)</f>
        <v>1</v>
      </c>
      <c r="K1501" s="6">
        <f>IFERROR(__xludf.DUMMYFUNCTION("""COMPUTED_VALUE"""),26667.0)</f>
        <v>26667</v>
      </c>
      <c r="L1501" s="2">
        <f>IFERROR(__xludf.DUMMYFUNCTION("""COMPUTED_VALUE"""),0.0)</f>
        <v>0</v>
      </c>
      <c r="M1501" s="2">
        <f>IFERROR(__xludf.DUMMYFUNCTION("""COMPUTED_VALUE"""),26667.0)</f>
        <v>26667</v>
      </c>
      <c r="N1501" s="2">
        <f>IFERROR(__xludf.DUMMYFUNCTION("""COMPUTED_VALUE"""),0.0)</f>
        <v>0</v>
      </c>
      <c r="O1501" s="2">
        <f>IFERROR(__xludf.DUMMYFUNCTION("""COMPUTED_VALUE"""),26667.0)</f>
        <v>26667</v>
      </c>
      <c r="P1501" s="2">
        <f>IFERROR(__xludf.DUMMYFUNCTION("""COMPUTED_VALUE"""),1333.0)</f>
        <v>1333</v>
      </c>
      <c r="Q1501" s="2" t="str">
        <f>IFERROR(__xludf.DUMMYFUNCTION("""COMPUTED_VALUE"""),"Dine In")</f>
        <v>Dine In</v>
      </c>
      <c r="R1501" s="2" t="str">
        <f>IFERROR(__xludf.DUMMYFUNCTION("""COMPUTED_VALUE"""),"Kedai")</f>
        <v>Kedai</v>
      </c>
      <c r="S1501" s="2" t="str">
        <f>IFERROR(__xludf.DUMMYFUNCTION("""COMPUTED_VALUE"""),"Temu Roti")</f>
        <v>Temu Roti</v>
      </c>
      <c r="T1501" s="2" t="str">
        <f>IFERROR(__xludf.DUMMYFUNCTION("""COMPUTED_VALUE"""),"Owner")</f>
        <v>Owner</v>
      </c>
      <c r="U1501" s="2"/>
      <c r="V1501" s="2"/>
      <c r="W1501" s="2"/>
      <c r="X1501" s="2" t="str">
        <f>IFERROR(__xludf.DUMMYFUNCTION("""COMPUTED_VALUE"""),"Closed")</f>
        <v>Closed</v>
      </c>
    </row>
    <row r="1502">
      <c r="A1502" s="3" t="s">
        <v>1512</v>
      </c>
      <c r="B1502" s="4">
        <f>IFERROR(__xludf.DUMMYFUNCTION("SPLIT(A1502,"","",0,0)"),45536.55972222222)</f>
        <v>45536.55972</v>
      </c>
      <c r="C1502" s="5">
        <f>IFERROR(__xludf.DUMMYFUNCTION("""COMPUTED_VALUE"""),2587046.0)</f>
        <v>2587046</v>
      </c>
      <c r="D1502" s="2" t="str">
        <f>IFERROR(__xludf.DUMMYFUNCTION("""COMPUTED_VALUE"""),"Sale")</f>
        <v>Sale</v>
      </c>
      <c r="E1502" s="2" t="str">
        <f>IFERROR(__xludf.DUMMYFUNCTION("""COMPUTED_VALUE"""),"Roti")</f>
        <v>Roti</v>
      </c>
      <c r="F1502" s="2">
        <f>IFERROR(__xludf.DUMMYFUNCTION("""COMPUTED_VALUE"""),10002.0)</f>
        <v>10002</v>
      </c>
      <c r="G1502" s="2" t="str">
        <f>IFERROR(__xludf.DUMMYFUNCTION("""COMPUTED_VALUE"""),"Roti Cranberry")</f>
        <v>Roti Cranberry</v>
      </c>
      <c r="H1502" s="2"/>
      <c r="I1502" s="2"/>
      <c r="J1502" s="2">
        <f>IFERROR(__xludf.DUMMYFUNCTION("""COMPUTED_VALUE"""),1.0)</f>
        <v>1</v>
      </c>
      <c r="K1502" s="6">
        <f>IFERROR(__xludf.DUMMYFUNCTION("""COMPUTED_VALUE"""),18571.0)</f>
        <v>18571</v>
      </c>
      <c r="L1502" s="2">
        <f>IFERROR(__xludf.DUMMYFUNCTION("""COMPUTED_VALUE"""),0.0)</f>
        <v>0</v>
      </c>
      <c r="M1502" s="2">
        <f>IFERROR(__xludf.DUMMYFUNCTION("""COMPUTED_VALUE"""),18571.0)</f>
        <v>18571</v>
      </c>
      <c r="N1502" s="2">
        <f>IFERROR(__xludf.DUMMYFUNCTION("""COMPUTED_VALUE"""),0.0)</f>
        <v>0</v>
      </c>
      <c r="O1502" s="2">
        <f>IFERROR(__xludf.DUMMYFUNCTION("""COMPUTED_VALUE"""),18571.0)</f>
        <v>18571</v>
      </c>
      <c r="P1502" s="2">
        <f>IFERROR(__xludf.DUMMYFUNCTION("""COMPUTED_VALUE"""),929.0)</f>
        <v>929</v>
      </c>
      <c r="Q1502" s="2" t="str">
        <f>IFERROR(__xludf.DUMMYFUNCTION("""COMPUTED_VALUE"""),"Dine In")</f>
        <v>Dine In</v>
      </c>
      <c r="R1502" s="2" t="str">
        <f>IFERROR(__xludf.DUMMYFUNCTION("""COMPUTED_VALUE"""),"Kedai")</f>
        <v>Kedai</v>
      </c>
      <c r="S1502" s="2" t="str">
        <f>IFERROR(__xludf.DUMMYFUNCTION("""COMPUTED_VALUE"""),"Temu Roti")</f>
        <v>Temu Roti</v>
      </c>
      <c r="T1502" s="2" t="str">
        <f>IFERROR(__xludf.DUMMYFUNCTION("""COMPUTED_VALUE"""),"Owner")</f>
        <v>Owner</v>
      </c>
      <c r="U1502" s="2"/>
      <c r="V1502" s="2"/>
      <c r="W1502" s="2"/>
      <c r="X1502" s="2" t="str">
        <f>IFERROR(__xludf.DUMMYFUNCTION("""COMPUTED_VALUE"""),"Closed")</f>
        <v>Closed</v>
      </c>
    </row>
    <row r="1503">
      <c r="A1503" s="3" t="s">
        <v>1513</v>
      </c>
      <c r="B1503" s="4">
        <f>IFERROR(__xludf.DUMMYFUNCTION("SPLIT(A1503,"","",0,0)"),45536.54652777778)</f>
        <v>45536.54653</v>
      </c>
      <c r="C1503" s="5">
        <f>IFERROR(__xludf.DUMMYFUNCTION("""COMPUTED_VALUE"""),2586681.0)</f>
        <v>2586681</v>
      </c>
      <c r="D1503" s="2" t="str">
        <f>IFERROR(__xludf.DUMMYFUNCTION("""COMPUTED_VALUE"""),"Sale")</f>
        <v>Sale</v>
      </c>
      <c r="E1503" s="2" t="str">
        <f>IFERROR(__xludf.DUMMYFUNCTION("""COMPUTED_VALUE"""),"Minuman")</f>
        <v>Minuman</v>
      </c>
      <c r="F1503" s="2">
        <f>IFERROR(__xludf.DUMMYFUNCTION("""COMPUTED_VALUE"""),10107.0)</f>
        <v>10107</v>
      </c>
      <c r="G1503" s="2" t="str">
        <f>IFERROR(__xludf.DUMMYFUNCTION("""COMPUTED_VALUE"""),"Korean Mango Fresh Milk")</f>
        <v>Korean Mango Fresh Milk</v>
      </c>
      <c r="H1503" s="2"/>
      <c r="I1503" s="2"/>
      <c r="J1503" s="2">
        <f>IFERROR(__xludf.DUMMYFUNCTION("""COMPUTED_VALUE"""),1.0)</f>
        <v>1</v>
      </c>
      <c r="K1503" s="6">
        <f>IFERROR(__xludf.DUMMYFUNCTION("""COMPUTED_VALUE"""),26667.0)</f>
        <v>26667</v>
      </c>
      <c r="L1503" s="2">
        <f>IFERROR(__xludf.DUMMYFUNCTION("""COMPUTED_VALUE"""),0.0)</f>
        <v>0</v>
      </c>
      <c r="M1503" s="2">
        <f>IFERROR(__xludf.DUMMYFUNCTION("""COMPUTED_VALUE"""),26667.0)</f>
        <v>26667</v>
      </c>
      <c r="N1503" s="2">
        <f>IFERROR(__xludf.DUMMYFUNCTION("""COMPUTED_VALUE"""),0.0)</f>
        <v>0</v>
      </c>
      <c r="O1503" s="2">
        <f>IFERROR(__xludf.DUMMYFUNCTION("""COMPUTED_VALUE"""),26667.0)</f>
        <v>26667</v>
      </c>
      <c r="P1503" s="2">
        <f>IFERROR(__xludf.DUMMYFUNCTION("""COMPUTED_VALUE"""),1333.0)</f>
        <v>1333</v>
      </c>
      <c r="Q1503" s="2" t="str">
        <f>IFERROR(__xludf.DUMMYFUNCTION("""COMPUTED_VALUE"""),"Dine In")</f>
        <v>Dine In</v>
      </c>
      <c r="R1503" s="2" t="str">
        <f>IFERROR(__xludf.DUMMYFUNCTION("""COMPUTED_VALUE"""),"Kedai")</f>
        <v>Kedai</v>
      </c>
      <c r="S1503" s="2" t="str">
        <f>IFERROR(__xludf.DUMMYFUNCTION("""COMPUTED_VALUE"""),"Temu Roti")</f>
        <v>Temu Roti</v>
      </c>
      <c r="T1503" s="2" t="str">
        <f>IFERROR(__xludf.DUMMYFUNCTION("""COMPUTED_VALUE"""),"Owner")</f>
        <v>Owner</v>
      </c>
      <c r="U1503" s="2"/>
      <c r="V1503" s="2"/>
      <c r="W1503" s="2"/>
      <c r="X1503" s="2" t="str">
        <f>IFERROR(__xludf.DUMMYFUNCTION("""COMPUTED_VALUE"""),"Closed")</f>
        <v>Closed</v>
      </c>
    </row>
    <row r="1504">
      <c r="A1504" s="3" t="s">
        <v>1514</v>
      </c>
      <c r="B1504" s="4">
        <f>IFERROR(__xludf.DUMMYFUNCTION("SPLIT(A1504,"","",0,0)"),45536.54583333333)</f>
        <v>45536.54583</v>
      </c>
      <c r="C1504" s="5">
        <f>IFERROR(__xludf.DUMMYFUNCTION("""COMPUTED_VALUE"""),2586316.0)</f>
        <v>2586316</v>
      </c>
      <c r="D1504" s="2" t="str">
        <f>IFERROR(__xludf.DUMMYFUNCTION("""COMPUTED_VALUE"""),"Sale")</f>
        <v>Sale</v>
      </c>
      <c r="E1504" s="2" t="str">
        <f>IFERROR(__xludf.DUMMYFUNCTION("""COMPUTED_VALUE"""),"Hidangan Utama")</f>
        <v>Hidangan Utama</v>
      </c>
      <c r="F1504" s="2">
        <f>IFERROR(__xludf.DUMMYFUNCTION("""COMPUTED_VALUE"""),10012.0)</f>
        <v>10012</v>
      </c>
      <c r="G1504" s="2" t="str">
        <f>IFERROR(__xludf.DUMMYFUNCTION("""COMPUTED_VALUE"""),"Mie joglo")</f>
        <v>Mie joglo</v>
      </c>
      <c r="H1504" s="2"/>
      <c r="I1504" s="2"/>
      <c r="J1504" s="2">
        <f>IFERROR(__xludf.DUMMYFUNCTION("""COMPUTED_VALUE"""),1.0)</f>
        <v>1</v>
      </c>
      <c r="K1504" s="6">
        <f>IFERROR(__xludf.DUMMYFUNCTION("""COMPUTED_VALUE"""),29524.0)</f>
        <v>29524</v>
      </c>
      <c r="L1504" s="2">
        <f>IFERROR(__xludf.DUMMYFUNCTION("""COMPUTED_VALUE"""),0.0)</f>
        <v>0</v>
      </c>
      <c r="M1504" s="2">
        <f>IFERROR(__xludf.DUMMYFUNCTION("""COMPUTED_VALUE"""),29524.0)</f>
        <v>29524</v>
      </c>
      <c r="N1504" s="2">
        <f>IFERROR(__xludf.DUMMYFUNCTION("""COMPUTED_VALUE"""),0.0)</f>
        <v>0</v>
      </c>
      <c r="O1504" s="2">
        <f>IFERROR(__xludf.DUMMYFUNCTION("""COMPUTED_VALUE"""),29524.0)</f>
        <v>29524</v>
      </c>
      <c r="P1504" s="2">
        <f>IFERROR(__xludf.DUMMYFUNCTION("""COMPUTED_VALUE"""),1476.0)</f>
        <v>1476</v>
      </c>
      <c r="Q1504" s="2" t="str">
        <f>IFERROR(__xludf.DUMMYFUNCTION("""COMPUTED_VALUE"""),"Dine In")</f>
        <v>Dine In</v>
      </c>
      <c r="R1504" s="2" t="str">
        <f>IFERROR(__xludf.DUMMYFUNCTION("""COMPUTED_VALUE"""),"Kedai")</f>
        <v>Kedai</v>
      </c>
      <c r="S1504" s="2" t="str">
        <f>IFERROR(__xludf.DUMMYFUNCTION("""COMPUTED_VALUE"""),"Temu Roti")</f>
        <v>Temu Roti</v>
      </c>
      <c r="T1504" s="2" t="str">
        <f>IFERROR(__xludf.DUMMYFUNCTION("""COMPUTED_VALUE"""),"Owner")</f>
        <v>Owner</v>
      </c>
      <c r="U1504" s="2"/>
      <c r="V1504" s="2"/>
      <c r="W1504" s="2"/>
      <c r="X1504" s="2" t="str">
        <f>IFERROR(__xludf.DUMMYFUNCTION("""COMPUTED_VALUE"""),"Closed")</f>
        <v>Closed</v>
      </c>
    </row>
    <row r="1505">
      <c r="A1505" s="3" t="s">
        <v>1515</v>
      </c>
      <c r="B1505" s="4">
        <f>IFERROR(__xludf.DUMMYFUNCTION("SPLIT(A1505,"","",0,0)"),45536.54583333333)</f>
        <v>45536.54583</v>
      </c>
      <c r="C1505" s="5">
        <f>IFERROR(__xludf.DUMMYFUNCTION("""COMPUTED_VALUE"""),2586316.0)</f>
        <v>2586316</v>
      </c>
      <c r="D1505" s="2" t="str">
        <f>IFERROR(__xludf.DUMMYFUNCTION("""COMPUTED_VALUE"""),"Sale")</f>
        <v>Sale</v>
      </c>
      <c r="E1505" s="2" t="str">
        <f>IFERROR(__xludf.DUMMYFUNCTION("""COMPUTED_VALUE"""),"Minuman")</f>
        <v>Minuman</v>
      </c>
      <c r="F1505" s="2">
        <f>IFERROR(__xludf.DUMMYFUNCTION("""COMPUTED_VALUE"""),10106.0)</f>
        <v>10106</v>
      </c>
      <c r="G1505" s="2" t="str">
        <f>IFERROR(__xludf.DUMMYFUNCTION("""COMPUTED_VALUE"""),"Korean Strawberry Fresh Milk")</f>
        <v>Korean Strawberry Fresh Milk</v>
      </c>
      <c r="H1505" s="2"/>
      <c r="I1505" s="2"/>
      <c r="J1505" s="2">
        <f>IFERROR(__xludf.DUMMYFUNCTION("""COMPUTED_VALUE"""),1.0)</f>
        <v>1</v>
      </c>
      <c r="K1505" s="6">
        <f>IFERROR(__xludf.DUMMYFUNCTION("""COMPUTED_VALUE"""),26667.0)</f>
        <v>26667</v>
      </c>
      <c r="L1505" s="2">
        <f>IFERROR(__xludf.DUMMYFUNCTION("""COMPUTED_VALUE"""),0.0)</f>
        <v>0</v>
      </c>
      <c r="M1505" s="2">
        <f>IFERROR(__xludf.DUMMYFUNCTION("""COMPUTED_VALUE"""),26667.0)</f>
        <v>26667</v>
      </c>
      <c r="N1505" s="2">
        <f>IFERROR(__xludf.DUMMYFUNCTION("""COMPUTED_VALUE"""),0.0)</f>
        <v>0</v>
      </c>
      <c r="O1505" s="2">
        <f>IFERROR(__xludf.DUMMYFUNCTION("""COMPUTED_VALUE"""),26667.0)</f>
        <v>26667</v>
      </c>
      <c r="P1505" s="2">
        <f>IFERROR(__xludf.DUMMYFUNCTION("""COMPUTED_VALUE"""),1334.0)</f>
        <v>1334</v>
      </c>
      <c r="Q1505" s="2" t="str">
        <f>IFERROR(__xludf.DUMMYFUNCTION("""COMPUTED_VALUE"""),"Dine In")</f>
        <v>Dine In</v>
      </c>
      <c r="R1505" s="2" t="str">
        <f>IFERROR(__xludf.DUMMYFUNCTION("""COMPUTED_VALUE"""),"Kedai")</f>
        <v>Kedai</v>
      </c>
      <c r="S1505" s="2" t="str">
        <f>IFERROR(__xludf.DUMMYFUNCTION("""COMPUTED_VALUE"""),"Temu Roti")</f>
        <v>Temu Roti</v>
      </c>
      <c r="T1505" s="2" t="str">
        <f>IFERROR(__xludf.DUMMYFUNCTION("""COMPUTED_VALUE"""),"Owner")</f>
        <v>Owner</v>
      </c>
      <c r="U1505" s="2"/>
      <c r="V1505" s="2"/>
      <c r="W1505" s="2"/>
      <c r="X1505" s="2" t="str">
        <f>IFERROR(__xludf.DUMMYFUNCTION("""COMPUTED_VALUE"""),"Closed")</f>
        <v>Closed</v>
      </c>
    </row>
    <row r="1506">
      <c r="A1506" s="3" t="s">
        <v>1516</v>
      </c>
      <c r="B1506" s="4">
        <f>IFERROR(__xludf.DUMMYFUNCTION("SPLIT(A1506,"","",0,0)"),45536.544444444444)</f>
        <v>45536.54444</v>
      </c>
      <c r="C1506" s="5">
        <f>IFERROR(__xludf.DUMMYFUNCTION("""COMPUTED_VALUE"""),2585950.0)</f>
        <v>2585950</v>
      </c>
      <c r="D1506" s="2" t="str">
        <f>IFERROR(__xludf.DUMMYFUNCTION("""COMPUTED_VALUE"""),"Sale")</f>
        <v>Sale</v>
      </c>
      <c r="E1506" s="2" t="str">
        <f>IFERROR(__xludf.DUMMYFUNCTION("""COMPUTED_VALUE"""),"Roti")</f>
        <v>Roti</v>
      </c>
      <c r="F1506" s="2">
        <f>IFERROR(__xludf.DUMMYFUNCTION("""COMPUTED_VALUE"""),10002.0)</f>
        <v>10002</v>
      </c>
      <c r="G1506" s="2" t="str">
        <f>IFERROR(__xludf.DUMMYFUNCTION("""COMPUTED_VALUE"""),"Roti Cranberry")</f>
        <v>Roti Cranberry</v>
      </c>
      <c r="H1506" s="2"/>
      <c r="I1506" s="2"/>
      <c r="J1506" s="2">
        <f>IFERROR(__xludf.DUMMYFUNCTION("""COMPUTED_VALUE"""),1.0)</f>
        <v>1</v>
      </c>
      <c r="K1506" s="6">
        <f>IFERROR(__xludf.DUMMYFUNCTION("""COMPUTED_VALUE"""),18571.0)</f>
        <v>18571</v>
      </c>
      <c r="L1506" s="2">
        <f>IFERROR(__xludf.DUMMYFUNCTION("""COMPUTED_VALUE"""),0.0)</f>
        <v>0</v>
      </c>
      <c r="M1506" s="2">
        <f>IFERROR(__xludf.DUMMYFUNCTION("""COMPUTED_VALUE"""),18571.0)</f>
        <v>18571</v>
      </c>
      <c r="N1506" s="2">
        <f>IFERROR(__xludf.DUMMYFUNCTION("""COMPUTED_VALUE"""),0.0)</f>
        <v>0</v>
      </c>
      <c r="O1506" s="2">
        <f>IFERROR(__xludf.DUMMYFUNCTION("""COMPUTED_VALUE"""),18571.0)</f>
        <v>18571</v>
      </c>
      <c r="P1506" s="2">
        <f>IFERROR(__xludf.DUMMYFUNCTION("""COMPUTED_VALUE"""),929.0)</f>
        <v>929</v>
      </c>
      <c r="Q1506" s="2" t="str">
        <f>IFERROR(__xludf.DUMMYFUNCTION("""COMPUTED_VALUE"""),"Dine In")</f>
        <v>Dine In</v>
      </c>
      <c r="R1506" s="2" t="str">
        <f>IFERROR(__xludf.DUMMYFUNCTION("""COMPUTED_VALUE"""),"Kedai")</f>
        <v>Kedai</v>
      </c>
      <c r="S1506" s="2" t="str">
        <f>IFERROR(__xludf.DUMMYFUNCTION("""COMPUTED_VALUE"""),"Temu Roti")</f>
        <v>Temu Roti</v>
      </c>
      <c r="T1506" s="2" t="str">
        <f>IFERROR(__xludf.DUMMYFUNCTION("""COMPUTED_VALUE"""),"Owner")</f>
        <v>Owner</v>
      </c>
      <c r="U1506" s="2"/>
      <c r="V1506" s="2"/>
      <c r="W1506" s="2"/>
      <c r="X1506" s="2" t="str">
        <f>IFERROR(__xludf.DUMMYFUNCTION("""COMPUTED_VALUE"""),"Closed")</f>
        <v>Closed</v>
      </c>
    </row>
    <row r="1507">
      <c r="A1507" s="3" t="s">
        <v>1517</v>
      </c>
      <c r="B1507" s="4">
        <f>IFERROR(__xludf.DUMMYFUNCTION("SPLIT(A1507,"","",0,0)"),45536.544444444444)</f>
        <v>45536.54444</v>
      </c>
      <c r="C1507" s="5">
        <f>IFERROR(__xludf.DUMMYFUNCTION("""COMPUTED_VALUE"""),2585950.0)</f>
        <v>2585950</v>
      </c>
      <c r="D1507" s="2" t="str">
        <f>IFERROR(__xludf.DUMMYFUNCTION("""COMPUTED_VALUE"""),"Sale")</f>
        <v>Sale</v>
      </c>
      <c r="E1507" s="2" t="str">
        <f>IFERROR(__xludf.DUMMYFUNCTION("""COMPUTED_VALUE"""),"Roti")</f>
        <v>Roti</v>
      </c>
      <c r="F1507" s="2">
        <f>IFERROR(__xludf.DUMMYFUNCTION("""COMPUTED_VALUE"""),10005.0)</f>
        <v>10005</v>
      </c>
      <c r="G1507" s="2" t="str">
        <f>IFERROR(__xludf.DUMMYFUNCTION("""COMPUTED_VALUE"""),"Roti Gandum Cokelat")</f>
        <v>Roti Gandum Cokelat</v>
      </c>
      <c r="H1507" s="2"/>
      <c r="I1507" s="2"/>
      <c r="J1507" s="2">
        <f>IFERROR(__xludf.DUMMYFUNCTION("""COMPUTED_VALUE"""),1.0)</f>
        <v>1</v>
      </c>
      <c r="K1507" s="6">
        <f>IFERROR(__xludf.DUMMYFUNCTION("""COMPUTED_VALUE"""),19524.0)</f>
        <v>19524</v>
      </c>
      <c r="L1507" s="2">
        <f>IFERROR(__xludf.DUMMYFUNCTION("""COMPUTED_VALUE"""),0.0)</f>
        <v>0</v>
      </c>
      <c r="M1507" s="2">
        <f>IFERROR(__xludf.DUMMYFUNCTION("""COMPUTED_VALUE"""),19524.0)</f>
        <v>19524</v>
      </c>
      <c r="N1507" s="2">
        <f>IFERROR(__xludf.DUMMYFUNCTION("""COMPUTED_VALUE"""),0.0)</f>
        <v>0</v>
      </c>
      <c r="O1507" s="2">
        <f>IFERROR(__xludf.DUMMYFUNCTION("""COMPUTED_VALUE"""),19524.0)</f>
        <v>19524</v>
      </c>
      <c r="P1507" s="2">
        <f>IFERROR(__xludf.DUMMYFUNCTION("""COMPUTED_VALUE"""),976.0)</f>
        <v>976</v>
      </c>
      <c r="Q1507" s="2" t="str">
        <f>IFERROR(__xludf.DUMMYFUNCTION("""COMPUTED_VALUE"""),"Dine In")</f>
        <v>Dine In</v>
      </c>
      <c r="R1507" s="2" t="str">
        <f>IFERROR(__xludf.DUMMYFUNCTION("""COMPUTED_VALUE"""),"Kedai")</f>
        <v>Kedai</v>
      </c>
      <c r="S1507" s="2" t="str">
        <f>IFERROR(__xludf.DUMMYFUNCTION("""COMPUTED_VALUE"""),"Temu Roti")</f>
        <v>Temu Roti</v>
      </c>
      <c r="T1507" s="2" t="str">
        <f>IFERROR(__xludf.DUMMYFUNCTION("""COMPUTED_VALUE"""),"Owner")</f>
        <v>Owner</v>
      </c>
      <c r="U1507" s="2"/>
      <c r="V1507" s="2"/>
      <c r="W1507" s="2"/>
      <c r="X1507" s="2" t="str">
        <f>IFERROR(__xludf.DUMMYFUNCTION("""COMPUTED_VALUE"""),"Closed")</f>
        <v>Closed</v>
      </c>
    </row>
    <row r="1508">
      <c r="A1508" s="3" t="s">
        <v>1518</v>
      </c>
      <c r="B1508" s="4">
        <f>IFERROR(__xludf.DUMMYFUNCTION("SPLIT(A1508,"","",0,0)"),45536.544444444444)</f>
        <v>45536.54444</v>
      </c>
      <c r="C1508" s="5">
        <f>IFERROR(__xludf.DUMMYFUNCTION("""COMPUTED_VALUE"""),2585950.0)</f>
        <v>2585950</v>
      </c>
      <c r="D1508" s="2" t="str">
        <f>IFERROR(__xludf.DUMMYFUNCTION("""COMPUTED_VALUE"""),"Sale")</f>
        <v>Sale</v>
      </c>
      <c r="E1508" s="2" t="str">
        <f>IFERROR(__xludf.DUMMYFUNCTION("""COMPUTED_VALUE"""),"Minuman")</f>
        <v>Minuman</v>
      </c>
      <c r="F1508" s="2">
        <f>IFERROR(__xludf.DUMMYFUNCTION("""COMPUTED_VALUE"""),10026.0)</f>
        <v>10026</v>
      </c>
      <c r="G1508" s="2" t="str">
        <f>IFERROR(__xludf.DUMMYFUNCTION("""COMPUTED_VALUE"""),"Es Kopi Lemon")</f>
        <v>Es Kopi Lemon</v>
      </c>
      <c r="H1508" s="2"/>
      <c r="I1508" s="2"/>
      <c r="J1508" s="2">
        <f>IFERROR(__xludf.DUMMYFUNCTION("""COMPUTED_VALUE"""),1.0)</f>
        <v>1</v>
      </c>
      <c r="K1508" s="6">
        <f>IFERROR(__xludf.DUMMYFUNCTION("""COMPUTED_VALUE"""),21905.0)</f>
        <v>21905</v>
      </c>
      <c r="L1508" s="2">
        <f>IFERROR(__xludf.DUMMYFUNCTION("""COMPUTED_VALUE"""),0.0)</f>
        <v>0</v>
      </c>
      <c r="M1508" s="2">
        <f>IFERROR(__xludf.DUMMYFUNCTION("""COMPUTED_VALUE"""),21905.0)</f>
        <v>21905</v>
      </c>
      <c r="N1508" s="2">
        <f>IFERROR(__xludf.DUMMYFUNCTION("""COMPUTED_VALUE"""),0.0)</f>
        <v>0</v>
      </c>
      <c r="O1508" s="2">
        <f>IFERROR(__xludf.DUMMYFUNCTION("""COMPUTED_VALUE"""),21905.0)</f>
        <v>21905</v>
      </c>
      <c r="P1508" s="2">
        <f>IFERROR(__xludf.DUMMYFUNCTION("""COMPUTED_VALUE"""),1095.0)</f>
        <v>1095</v>
      </c>
      <c r="Q1508" s="2" t="str">
        <f>IFERROR(__xludf.DUMMYFUNCTION("""COMPUTED_VALUE"""),"Dine In")</f>
        <v>Dine In</v>
      </c>
      <c r="R1508" s="2" t="str">
        <f>IFERROR(__xludf.DUMMYFUNCTION("""COMPUTED_VALUE"""),"Kedai")</f>
        <v>Kedai</v>
      </c>
      <c r="S1508" s="2" t="str">
        <f>IFERROR(__xludf.DUMMYFUNCTION("""COMPUTED_VALUE"""),"Temu Roti")</f>
        <v>Temu Roti</v>
      </c>
      <c r="T1508" s="2" t="str">
        <f>IFERROR(__xludf.DUMMYFUNCTION("""COMPUTED_VALUE"""),"Owner")</f>
        <v>Owner</v>
      </c>
      <c r="U1508" s="2"/>
      <c r="V1508" s="2"/>
      <c r="W1508" s="2"/>
      <c r="X1508" s="2" t="str">
        <f>IFERROR(__xludf.DUMMYFUNCTION("""COMPUTED_VALUE"""),"Closed")</f>
        <v>Closed</v>
      </c>
    </row>
    <row r="1509">
      <c r="A1509" s="3" t="s">
        <v>1519</v>
      </c>
      <c r="B1509" s="4">
        <f>IFERROR(__xludf.DUMMYFUNCTION("SPLIT(A1509,"","",0,0)"),45536.544444444444)</f>
        <v>45536.54444</v>
      </c>
      <c r="C1509" s="5">
        <f>IFERROR(__xludf.DUMMYFUNCTION("""COMPUTED_VALUE"""),2585950.0)</f>
        <v>2585950</v>
      </c>
      <c r="D1509" s="2" t="str">
        <f>IFERROR(__xludf.DUMMYFUNCTION("""COMPUTED_VALUE"""),"Sale")</f>
        <v>Sale</v>
      </c>
      <c r="E1509" s="2" t="str">
        <f>IFERROR(__xludf.DUMMYFUNCTION("""COMPUTED_VALUE"""),"Minuman")</f>
        <v>Minuman</v>
      </c>
      <c r="F1509" s="2">
        <f>IFERROR(__xludf.DUMMYFUNCTION("""COMPUTED_VALUE"""),10128.0)</f>
        <v>10128</v>
      </c>
      <c r="G1509" s="2" t="str">
        <f>IFERROR(__xludf.DUMMYFUNCTION("""COMPUTED_VALUE"""),"Es Kopi Susu")</f>
        <v>Es Kopi Susu</v>
      </c>
      <c r="H1509" s="2"/>
      <c r="I1509" s="2"/>
      <c r="J1509" s="2">
        <f>IFERROR(__xludf.DUMMYFUNCTION("""COMPUTED_VALUE"""),1.0)</f>
        <v>1</v>
      </c>
      <c r="K1509" s="6">
        <f>IFERROR(__xludf.DUMMYFUNCTION("""COMPUTED_VALUE"""),23333.0)</f>
        <v>23333</v>
      </c>
      <c r="L1509" s="2">
        <f>IFERROR(__xludf.DUMMYFUNCTION("""COMPUTED_VALUE"""),0.0)</f>
        <v>0</v>
      </c>
      <c r="M1509" s="2">
        <f>IFERROR(__xludf.DUMMYFUNCTION("""COMPUTED_VALUE"""),23333.0)</f>
        <v>23333</v>
      </c>
      <c r="N1509" s="2">
        <f>IFERROR(__xludf.DUMMYFUNCTION("""COMPUTED_VALUE"""),0.0)</f>
        <v>0</v>
      </c>
      <c r="O1509" s="2">
        <f>IFERROR(__xludf.DUMMYFUNCTION("""COMPUTED_VALUE"""),23333.0)</f>
        <v>23333</v>
      </c>
      <c r="P1509" s="2">
        <f>IFERROR(__xludf.DUMMYFUNCTION("""COMPUTED_VALUE"""),1167.0)</f>
        <v>1167</v>
      </c>
      <c r="Q1509" s="2" t="str">
        <f>IFERROR(__xludf.DUMMYFUNCTION("""COMPUTED_VALUE"""),"Dine In")</f>
        <v>Dine In</v>
      </c>
      <c r="R1509" s="2" t="str">
        <f>IFERROR(__xludf.DUMMYFUNCTION("""COMPUTED_VALUE"""),"Kedai")</f>
        <v>Kedai</v>
      </c>
      <c r="S1509" s="2" t="str">
        <f>IFERROR(__xludf.DUMMYFUNCTION("""COMPUTED_VALUE"""),"Temu Roti")</f>
        <v>Temu Roti</v>
      </c>
      <c r="T1509" s="2" t="str">
        <f>IFERROR(__xludf.DUMMYFUNCTION("""COMPUTED_VALUE"""),"Owner")</f>
        <v>Owner</v>
      </c>
      <c r="U1509" s="2"/>
      <c r="V1509" s="2"/>
      <c r="W1509" s="2"/>
      <c r="X1509" s="2" t="str">
        <f>IFERROR(__xludf.DUMMYFUNCTION("""COMPUTED_VALUE"""),"Closed")</f>
        <v>Closed</v>
      </c>
    </row>
    <row r="1510">
      <c r="A1510" s="3" t="s">
        <v>1520</v>
      </c>
      <c r="B1510" s="4">
        <f>IFERROR(__xludf.DUMMYFUNCTION("SPLIT(A1510,"","",0,0)"),45536.518055555556)</f>
        <v>45536.51806</v>
      </c>
      <c r="C1510" s="5">
        <f>IFERROR(__xludf.DUMMYFUNCTION("""COMPUTED_VALUE"""),2585585.0)</f>
        <v>2585585</v>
      </c>
      <c r="D1510" s="2" t="str">
        <f>IFERROR(__xludf.DUMMYFUNCTION("""COMPUTED_VALUE"""),"Sale")</f>
        <v>Sale</v>
      </c>
      <c r="E1510" s="2" t="str">
        <f>IFERROR(__xludf.DUMMYFUNCTION("""COMPUTED_VALUE"""),"Roti")</f>
        <v>Roti</v>
      </c>
      <c r="F1510" s="2">
        <f>IFERROR(__xludf.DUMMYFUNCTION("""COMPUTED_VALUE"""),10054.0)</f>
        <v>10054</v>
      </c>
      <c r="G1510" s="2" t="str">
        <f>IFERROR(__xludf.DUMMYFUNCTION("""COMPUTED_VALUE"""),"Roti toast eskrim")</f>
        <v>Roti toast eskrim</v>
      </c>
      <c r="H1510" s="2"/>
      <c r="I1510" s="2"/>
      <c r="J1510" s="2">
        <f>IFERROR(__xludf.DUMMYFUNCTION("""COMPUTED_VALUE"""),1.0)</f>
        <v>1</v>
      </c>
      <c r="K1510" s="6">
        <f>IFERROR(__xludf.DUMMYFUNCTION("""COMPUTED_VALUE"""),25238.0)</f>
        <v>25238</v>
      </c>
      <c r="L1510" s="2">
        <f>IFERROR(__xludf.DUMMYFUNCTION("""COMPUTED_VALUE"""),0.0)</f>
        <v>0</v>
      </c>
      <c r="M1510" s="2">
        <f>IFERROR(__xludf.DUMMYFUNCTION("""COMPUTED_VALUE"""),25238.0)</f>
        <v>25238</v>
      </c>
      <c r="N1510" s="2">
        <f>IFERROR(__xludf.DUMMYFUNCTION("""COMPUTED_VALUE"""),0.0)</f>
        <v>0</v>
      </c>
      <c r="O1510" s="2">
        <f>IFERROR(__xludf.DUMMYFUNCTION("""COMPUTED_VALUE"""),25238.0)</f>
        <v>25238</v>
      </c>
      <c r="P1510" s="2">
        <f>IFERROR(__xludf.DUMMYFUNCTION("""COMPUTED_VALUE"""),1262.0)</f>
        <v>1262</v>
      </c>
      <c r="Q1510" s="2" t="str">
        <f>IFERROR(__xludf.DUMMYFUNCTION("""COMPUTED_VALUE"""),"Dine In")</f>
        <v>Dine In</v>
      </c>
      <c r="R1510" s="2" t="str">
        <f>IFERROR(__xludf.DUMMYFUNCTION("""COMPUTED_VALUE"""),"Kedai")</f>
        <v>Kedai</v>
      </c>
      <c r="S1510" s="2" t="str">
        <f>IFERROR(__xludf.DUMMYFUNCTION("""COMPUTED_VALUE"""),"Temu Roti")</f>
        <v>Temu Roti</v>
      </c>
      <c r="T1510" s="2" t="str">
        <f>IFERROR(__xludf.DUMMYFUNCTION("""COMPUTED_VALUE"""),"Owner")</f>
        <v>Owner</v>
      </c>
      <c r="U1510" s="2"/>
      <c r="V1510" s="2"/>
      <c r="W1510" s="2"/>
      <c r="X1510" s="2" t="str">
        <f>IFERROR(__xludf.DUMMYFUNCTION("""COMPUTED_VALUE"""),"Closed")</f>
        <v>Closed</v>
      </c>
    </row>
    <row r="1511">
      <c r="A1511" s="3" t="s">
        <v>1521</v>
      </c>
      <c r="B1511" s="4">
        <f>IFERROR(__xludf.DUMMYFUNCTION("SPLIT(A1511,"","",0,0)"),45536.518055555556)</f>
        <v>45536.51806</v>
      </c>
      <c r="C1511" s="5">
        <f>IFERROR(__xludf.DUMMYFUNCTION("""COMPUTED_VALUE"""),2585585.0)</f>
        <v>2585585</v>
      </c>
      <c r="D1511" s="2" t="str">
        <f>IFERROR(__xludf.DUMMYFUNCTION("""COMPUTED_VALUE"""),"Sale")</f>
        <v>Sale</v>
      </c>
      <c r="E1511" s="2" t="str">
        <f>IFERROR(__xludf.DUMMYFUNCTION("""COMPUTED_VALUE"""),"Kudapan")</f>
        <v>Kudapan</v>
      </c>
      <c r="F1511" s="2">
        <f>IFERROR(__xludf.DUMMYFUNCTION("""COMPUTED_VALUE"""),10015.0)</f>
        <v>10015</v>
      </c>
      <c r="G1511" s="2" t="str">
        <f>IFERROR(__xludf.DUMMYFUNCTION("""COMPUTED_VALUE"""),"Tahu Lada Garam")</f>
        <v>Tahu Lada Garam</v>
      </c>
      <c r="H1511" s="2"/>
      <c r="I1511" s="2"/>
      <c r="J1511" s="2">
        <f>IFERROR(__xludf.DUMMYFUNCTION("""COMPUTED_VALUE"""),1.0)</f>
        <v>1</v>
      </c>
      <c r="K1511" s="6">
        <f>IFERROR(__xludf.DUMMYFUNCTION("""COMPUTED_VALUE"""),25238.0)</f>
        <v>25238</v>
      </c>
      <c r="L1511" s="2">
        <f>IFERROR(__xludf.DUMMYFUNCTION("""COMPUTED_VALUE"""),0.0)</f>
        <v>0</v>
      </c>
      <c r="M1511" s="2">
        <f>IFERROR(__xludf.DUMMYFUNCTION("""COMPUTED_VALUE"""),25238.0)</f>
        <v>25238</v>
      </c>
      <c r="N1511" s="2">
        <f>IFERROR(__xludf.DUMMYFUNCTION("""COMPUTED_VALUE"""),0.0)</f>
        <v>0</v>
      </c>
      <c r="O1511" s="2">
        <f>IFERROR(__xludf.DUMMYFUNCTION("""COMPUTED_VALUE"""),25238.0)</f>
        <v>25238</v>
      </c>
      <c r="P1511" s="2">
        <f>IFERROR(__xludf.DUMMYFUNCTION("""COMPUTED_VALUE"""),1262.0)</f>
        <v>1262</v>
      </c>
      <c r="Q1511" s="2" t="str">
        <f>IFERROR(__xludf.DUMMYFUNCTION("""COMPUTED_VALUE"""),"Dine In")</f>
        <v>Dine In</v>
      </c>
      <c r="R1511" s="2" t="str">
        <f>IFERROR(__xludf.DUMMYFUNCTION("""COMPUTED_VALUE"""),"Kedai")</f>
        <v>Kedai</v>
      </c>
      <c r="S1511" s="2" t="str">
        <f>IFERROR(__xludf.DUMMYFUNCTION("""COMPUTED_VALUE"""),"Temu Roti")</f>
        <v>Temu Roti</v>
      </c>
      <c r="T1511" s="2" t="str">
        <f>IFERROR(__xludf.DUMMYFUNCTION("""COMPUTED_VALUE"""),"Owner")</f>
        <v>Owner</v>
      </c>
      <c r="U1511" s="2"/>
      <c r="V1511" s="2"/>
      <c r="W1511" s="2"/>
      <c r="X1511" s="2" t="str">
        <f>IFERROR(__xludf.DUMMYFUNCTION("""COMPUTED_VALUE"""),"Closed")</f>
        <v>Closed</v>
      </c>
    </row>
    <row r="1512">
      <c r="A1512" s="3" t="s">
        <v>1522</v>
      </c>
      <c r="B1512" s="4">
        <f>IFERROR(__xludf.DUMMYFUNCTION("SPLIT(A1512,"","",0,0)"),45536.518055555556)</f>
        <v>45536.51806</v>
      </c>
      <c r="C1512" s="5">
        <f>IFERROR(__xludf.DUMMYFUNCTION("""COMPUTED_VALUE"""),2585220.0)</f>
        <v>2585220</v>
      </c>
      <c r="D1512" s="2" t="str">
        <f>IFERROR(__xludf.DUMMYFUNCTION("""COMPUTED_VALUE"""),"Sale")</f>
        <v>Sale</v>
      </c>
      <c r="E1512" s="2" t="str">
        <f>IFERROR(__xludf.DUMMYFUNCTION("""COMPUTED_VALUE"""),"Roti")</f>
        <v>Roti</v>
      </c>
      <c r="F1512" s="2">
        <f>IFERROR(__xludf.DUMMYFUNCTION("""COMPUTED_VALUE"""),10007.0)</f>
        <v>10007</v>
      </c>
      <c r="G1512" s="2" t="str">
        <f>IFERROR(__xludf.DUMMYFUNCTION("""COMPUTED_VALUE"""),"Roti cranberry 2 pcs")</f>
        <v>Roti cranberry 2 pcs</v>
      </c>
      <c r="H1512" s="2"/>
      <c r="I1512" s="2"/>
      <c r="J1512" s="2">
        <f>IFERROR(__xludf.DUMMYFUNCTION("""COMPUTED_VALUE"""),1.0)</f>
        <v>1</v>
      </c>
      <c r="K1512" s="6">
        <f>IFERROR(__xludf.DUMMYFUNCTION("""COMPUTED_VALUE"""),33810.0)</f>
        <v>33810</v>
      </c>
      <c r="L1512" s="2">
        <f>IFERROR(__xludf.DUMMYFUNCTION("""COMPUTED_VALUE"""),0.0)</f>
        <v>0</v>
      </c>
      <c r="M1512" s="2">
        <f>IFERROR(__xludf.DUMMYFUNCTION("""COMPUTED_VALUE"""),33810.0)</f>
        <v>33810</v>
      </c>
      <c r="N1512" s="2">
        <f>IFERROR(__xludf.DUMMYFUNCTION("""COMPUTED_VALUE"""),0.0)</f>
        <v>0</v>
      </c>
      <c r="O1512" s="2">
        <f>IFERROR(__xludf.DUMMYFUNCTION("""COMPUTED_VALUE"""),33810.0)</f>
        <v>33810</v>
      </c>
      <c r="P1512" s="2">
        <f>IFERROR(__xludf.DUMMYFUNCTION("""COMPUTED_VALUE"""),1691.0)</f>
        <v>1691</v>
      </c>
      <c r="Q1512" s="2" t="str">
        <f>IFERROR(__xludf.DUMMYFUNCTION("""COMPUTED_VALUE"""),"Take Away")</f>
        <v>Take Away</v>
      </c>
      <c r="R1512" s="2" t="str">
        <f>IFERROR(__xludf.DUMMYFUNCTION("""COMPUTED_VALUE"""),"Kedai")</f>
        <v>Kedai</v>
      </c>
      <c r="S1512" s="2" t="str">
        <f>IFERROR(__xludf.DUMMYFUNCTION("""COMPUTED_VALUE"""),"Temu Roti")</f>
        <v>Temu Roti</v>
      </c>
      <c r="T1512" s="2" t="str">
        <f>IFERROR(__xludf.DUMMYFUNCTION("""COMPUTED_VALUE"""),"Owner")</f>
        <v>Owner</v>
      </c>
      <c r="U1512" s="2"/>
      <c r="V1512" s="2"/>
      <c r="W1512" s="2"/>
      <c r="X1512" s="2" t="str">
        <f>IFERROR(__xludf.DUMMYFUNCTION("""COMPUTED_VALUE"""),"Closed")</f>
        <v>Closed</v>
      </c>
    </row>
    <row r="1513">
      <c r="A1513" s="3" t="s">
        <v>1523</v>
      </c>
      <c r="B1513" s="4">
        <f>IFERROR(__xludf.DUMMYFUNCTION("SPLIT(A1513,"","",0,0)"),45536.518055555556)</f>
        <v>45536.51806</v>
      </c>
      <c r="C1513" s="5">
        <f>IFERROR(__xludf.DUMMYFUNCTION("""COMPUTED_VALUE"""),2585220.0)</f>
        <v>2585220</v>
      </c>
      <c r="D1513" s="2" t="str">
        <f>IFERROR(__xludf.DUMMYFUNCTION("""COMPUTED_VALUE"""),"Sale")</f>
        <v>Sale</v>
      </c>
      <c r="E1513" s="2" t="str">
        <f>IFERROR(__xludf.DUMMYFUNCTION("""COMPUTED_VALUE"""),"Roti")</f>
        <v>Roti</v>
      </c>
      <c r="F1513" s="2">
        <f>IFERROR(__xludf.DUMMYFUNCTION("""COMPUTED_VALUE"""),10055.0)</f>
        <v>10055</v>
      </c>
      <c r="G1513" s="2" t="str">
        <f>IFERROR(__xludf.DUMMYFUNCTION("""COMPUTED_VALUE"""),"Roti Gandum Cokelat 2 pcs")</f>
        <v>Roti Gandum Cokelat 2 pcs</v>
      </c>
      <c r="H1513" s="2"/>
      <c r="I1513" s="2"/>
      <c r="J1513" s="2">
        <f>IFERROR(__xludf.DUMMYFUNCTION("""COMPUTED_VALUE"""),1.0)</f>
        <v>1</v>
      </c>
      <c r="K1513" s="6">
        <f>IFERROR(__xludf.DUMMYFUNCTION("""COMPUTED_VALUE"""),34762.0)</f>
        <v>34762</v>
      </c>
      <c r="L1513" s="2">
        <f>IFERROR(__xludf.DUMMYFUNCTION("""COMPUTED_VALUE"""),0.0)</f>
        <v>0</v>
      </c>
      <c r="M1513" s="2">
        <f>IFERROR(__xludf.DUMMYFUNCTION("""COMPUTED_VALUE"""),34762.0)</f>
        <v>34762</v>
      </c>
      <c r="N1513" s="2">
        <f>IFERROR(__xludf.DUMMYFUNCTION("""COMPUTED_VALUE"""),0.0)</f>
        <v>0</v>
      </c>
      <c r="O1513" s="2">
        <f>IFERROR(__xludf.DUMMYFUNCTION("""COMPUTED_VALUE"""),34762.0)</f>
        <v>34762</v>
      </c>
      <c r="P1513" s="2">
        <f>IFERROR(__xludf.DUMMYFUNCTION("""COMPUTED_VALUE"""),1738.0)</f>
        <v>1738</v>
      </c>
      <c r="Q1513" s="2" t="str">
        <f>IFERROR(__xludf.DUMMYFUNCTION("""COMPUTED_VALUE"""),"Take Away")</f>
        <v>Take Away</v>
      </c>
      <c r="R1513" s="2" t="str">
        <f>IFERROR(__xludf.DUMMYFUNCTION("""COMPUTED_VALUE"""),"Kedai")</f>
        <v>Kedai</v>
      </c>
      <c r="S1513" s="2" t="str">
        <f>IFERROR(__xludf.DUMMYFUNCTION("""COMPUTED_VALUE"""),"Temu Roti")</f>
        <v>Temu Roti</v>
      </c>
      <c r="T1513" s="2" t="str">
        <f>IFERROR(__xludf.DUMMYFUNCTION("""COMPUTED_VALUE"""),"Owner")</f>
        <v>Owner</v>
      </c>
      <c r="U1513" s="2"/>
      <c r="V1513" s="2"/>
      <c r="W1513" s="2"/>
      <c r="X1513" s="2" t="str">
        <f>IFERROR(__xludf.DUMMYFUNCTION("""COMPUTED_VALUE"""),"Closed")</f>
        <v>Closed</v>
      </c>
    </row>
    <row r="1514">
      <c r="A1514" s="3" t="s">
        <v>1524</v>
      </c>
      <c r="B1514" s="4">
        <f>IFERROR(__xludf.DUMMYFUNCTION("SPLIT(A1514,"","",0,0)"),45536.518055555556)</f>
        <v>45536.51806</v>
      </c>
      <c r="C1514" s="5">
        <f>IFERROR(__xludf.DUMMYFUNCTION("""COMPUTED_VALUE"""),2585220.0)</f>
        <v>2585220</v>
      </c>
      <c r="D1514" s="2" t="str">
        <f>IFERROR(__xludf.DUMMYFUNCTION("""COMPUTED_VALUE"""),"Sale")</f>
        <v>Sale</v>
      </c>
      <c r="E1514" s="2" t="str">
        <f>IFERROR(__xludf.DUMMYFUNCTION("""COMPUTED_VALUE"""),"Roti")</f>
        <v>Roti</v>
      </c>
      <c r="F1514" s="2">
        <f>IFERROR(__xludf.DUMMYFUNCTION("""COMPUTED_VALUE"""),10005.0)</f>
        <v>10005</v>
      </c>
      <c r="G1514" s="2" t="str">
        <f>IFERROR(__xludf.DUMMYFUNCTION("""COMPUTED_VALUE"""),"Roti Gandum Cokelat")</f>
        <v>Roti Gandum Cokelat</v>
      </c>
      <c r="H1514" s="2"/>
      <c r="I1514" s="2"/>
      <c r="J1514" s="2">
        <f>IFERROR(__xludf.DUMMYFUNCTION("""COMPUTED_VALUE"""),1.0)</f>
        <v>1</v>
      </c>
      <c r="K1514" s="6">
        <f>IFERROR(__xludf.DUMMYFUNCTION("""COMPUTED_VALUE"""),19524.0)</f>
        <v>19524</v>
      </c>
      <c r="L1514" s="2">
        <f>IFERROR(__xludf.DUMMYFUNCTION("""COMPUTED_VALUE"""),0.0)</f>
        <v>0</v>
      </c>
      <c r="M1514" s="2">
        <f>IFERROR(__xludf.DUMMYFUNCTION("""COMPUTED_VALUE"""),19524.0)</f>
        <v>19524</v>
      </c>
      <c r="N1514" s="2">
        <f>IFERROR(__xludf.DUMMYFUNCTION("""COMPUTED_VALUE"""),0.0)</f>
        <v>0</v>
      </c>
      <c r="O1514" s="2">
        <f>IFERROR(__xludf.DUMMYFUNCTION("""COMPUTED_VALUE"""),19524.0)</f>
        <v>19524</v>
      </c>
      <c r="P1514" s="2">
        <f>IFERROR(__xludf.DUMMYFUNCTION("""COMPUTED_VALUE"""),976.0)</f>
        <v>976</v>
      </c>
      <c r="Q1514" s="2" t="str">
        <f>IFERROR(__xludf.DUMMYFUNCTION("""COMPUTED_VALUE"""),"Take Away")</f>
        <v>Take Away</v>
      </c>
      <c r="R1514" s="2" t="str">
        <f>IFERROR(__xludf.DUMMYFUNCTION("""COMPUTED_VALUE"""),"Kedai")</f>
        <v>Kedai</v>
      </c>
      <c r="S1514" s="2" t="str">
        <f>IFERROR(__xludf.DUMMYFUNCTION("""COMPUTED_VALUE"""),"Temu Roti")</f>
        <v>Temu Roti</v>
      </c>
      <c r="T1514" s="2" t="str">
        <f>IFERROR(__xludf.DUMMYFUNCTION("""COMPUTED_VALUE"""),"Owner")</f>
        <v>Owner</v>
      </c>
      <c r="U1514" s="2"/>
      <c r="V1514" s="2"/>
      <c r="W1514" s="2"/>
      <c r="X1514" s="2" t="str">
        <f>IFERROR(__xludf.DUMMYFUNCTION("""COMPUTED_VALUE"""),"Closed")</f>
        <v>Closed</v>
      </c>
    </row>
    <row r="1515">
      <c r="A1515" s="3" t="s">
        <v>1525</v>
      </c>
      <c r="B1515" s="4">
        <f>IFERROR(__xludf.DUMMYFUNCTION("SPLIT(A1515,"","",0,0)"),45536.49236111111)</f>
        <v>45536.49236</v>
      </c>
      <c r="C1515" s="5">
        <f>IFERROR(__xludf.DUMMYFUNCTION("""COMPUTED_VALUE"""),2584855.0)</f>
        <v>2584855</v>
      </c>
      <c r="D1515" s="2" t="str">
        <f>IFERROR(__xludf.DUMMYFUNCTION("""COMPUTED_VALUE"""),"Sale")</f>
        <v>Sale</v>
      </c>
      <c r="E1515" s="2" t="str">
        <f>IFERROR(__xludf.DUMMYFUNCTION("""COMPUTED_VALUE"""),"Minuman")</f>
        <v>Minuman</v>
      </c>
      <c r="F1515" s="2">
        <f>IFERROR(__xludf.DUMMYFUNCTION("""COMPUTED_VALUE"""),10128.0)</f>
        <v>10128</v>
      </c>
      <c r="G1515" s="2" t="str">
        <f>IFERROR(__xludf.DUMMYFUNCTION("""COMPUTED_VALUE"""),"Es Kopi Susu")</f>
        <v>Es Kopi Susu</v>
      </c>
      <c r="H1515" s="2"/>
      <c r="I1515" s="2"/>
      <c r="J1515" s="2">
        <f>IFERROR(__xludf.DUMMYFUNCTION("""COMPUTED_VALUE"""),1.0)</f>
        <v>1</v>
      </c>
      <c r="K1515" s="6">
        <f>IFERROR(__xludf.DUMMYFUNCTION("""COMPUTED_VALUE"""),23333.0)</f>
        <v>23333</v>
      </c>
      <c r="L1515" s="2">
        <f>IFERROR(__xludf.DUMMYFUNCTION("""COMPUTED_VALUE"""),0.0)</f>
        <v>0</v>
      </c>
      <c r="M1515" s="2">
        <f>IFERROR(__xludf.DUMMYFUNCTION("""COMPUTED_VALUE"""),23333.0)</f>
        <v>23333</v>
      </c>
      <c r="N1515" s="2">
        <f>IFERROR(__xludf.DUMMYFUNCTION("""COMPUTED_VALUE"""),0.0)</f>
        <v>0</v>
      </c>
      <c r="O1515" s="2">
        <f>IFERROR(__xludf.DUMMYFUNCTION("""COMPUTED_VALUE"""),23333.0)</f>
        <v>23333</v>
      </c>
      <c r="P1515" s="2">
        <f>IFERROR(__xludf.DUMMYFUNCTION("""COMPUTED_VALUE"""),1167.0)</f>
        <v>1167</v>
      </c>
      <c r="Q1515" s="2" t="str">
        <f>IFERROR(__xludf.DUMMYFUNCTION("""COMPUTED_VALUE"""),"Dine In")</f>
        <v>Dine In</v>
      </c>
      <c r="R1515" s="2" t="str">
        <f>IFERROR(__xludf.DUMMYFUNCTION("""COMPUTED_VALUE"""),"Kedai")</f>
        <v>Kedai</v>
      </c>
      <c r="S1515" s="2" t="str">
        <f>IFERROR(__xludf.DUMMYFUNCTION("""COMPUTED_VALUE"""),"Temu Roti")</f>
        <v>Temu Roti</v>
      </c>
      <c r="T1515" s="2" t="str">
        <f>IFERROR(__xludf.DUMMYFUNCTION("""COMPUTED_VALUE"""),"Owner")</f>
        <v>Owner</v>
      </c>
      <c r="U1515" s="2"/>
      <c r="V1515" s="2"/>
      <c r="W1515" s="2"/>
      <c r="X1515" s="2" t="str">
        <f>IFERROR(__xludf.DUMMYFUNCTION("""COMPUTED_VALUE"""),"Closed")</f>
        <v>Closed</v>
      </c>
    </row>
    <row r="1516">
      <c r="A1516" s="3" t="s">
        <v>1526</v>
      </c>
      <c r="B1516" s="4">
        <f>IFERROR(__xludf.DUMMYFUNCTION("SPLIT(A1516,"","",0,0)"),45536.49236111111)</f>
        <v>45536.49236</v>
      </c>
      <c r="C1516" s="5">
        <f>IFERROR(__xludf.DUMMYFUNCTION("""COMPUTED_VALUE"""),2584855.0)</f>
        <v>2584855</v>
      </c>
      <c r="D1516" s="2" t="str">
        <f>IFERROR(__xludf.DUMMYFUNCTION("""COMPUTED_VALUE"""),"Sale")</f>
        <v>Sale</v>
      </c>
      <c r="E1516" s="2" t="str">
        <f>IFERROR(__xludf.DUMMYFUNCTION("""COMPUTED_VALUE"""),"Hidangan Utama")</f>
        <v>Hidangan Utama</v>
      </c>
      <c r="F1516" s="2">
        <f>IFERROR(__xludf.DUMMYFUNCTION("""COMPUTED_VALUE"""),10012.0)</f>
        <v>10012</v>
      </c>
      <c r="G1516" s="2" t="str">
        <f>IFERROR(__xludf.DUMMYFUNCTION("""COMPUTED_VALUE"""),"Mie joglo")</f>
        <v>Mie joglo</v>
      </c>
      <c r="H1516" s="2"/>
      <c r="I1516" s="2"/>
      <c r="J1516" s="2">
        <f>IFERROR(__xludf.DUMMYFUNCTION("""COMPUTED_VALUE"""),1.0)</f>
        <v>1</v>
      </c>
      <c r="K1516" s="6">
        <f>IFERROR(__xludf.DUMMYFUNCTION("""COMPUTED_VALUE"""),29524.0)</f>
        <v>29524</v>
      </c>
      <c r="L1516" s="2">
        <f>IFERROR(__xludf.DUMMYFUNCTION("""COMPUTED_VALUE"""),0.0)</f>
        <v>0</v>
      </c>
      <c r="M1516" s="2">
        <f>IFERROR(__xludf.DUMMYFUNCTION("""COMPUTED_VALUE"""),29524.0)</f>
        <v>29524</v>
      </c>
      <c r="N1516" s="2">
        <f>IFERROR(__xludf.DUMMYFUNCTION("""COMPUTED_VALUE"""),0.0)</f>
        <v>0</v>
      </c>
      <c r="O1516" s="2">
        <f>IFERROR(__xludf.DUMMYFUNCTION("""COMPUTED_VALUE"""),29524.0)</f>
        <v>29524</v>
      </c>
      <c r="P1516" s="2">
        <f>IFERROR(__xludf.DUMMYFUNCTION("""COMPUTED_VALUE"""),1476.0)</f>
        <v>1476</v>
      </c>
      <c r="Q1516" s="2" t="str">
        <f>IFERROR(__xludf.DUMMYFUNCTION("""COMPUTED_VALUE"""),"Dine In")</f>
        <v>Dine In</v>
      </c>
      <c r="R1516" s="2" t="str">
        <f>IFERROR(__xludf.DUMMYFUNCTION("""COMPUTED_VALUE"""),"Kedai")</f>
        <v>Kedai</v>
      </c>
      <c r="S1516" s="2" t="str">
        <f>IFERROR(__xludf.DUMMYFUNCTION("""COMPUTED_VALUE"""),"Temu Roti")</f>
        <v>Temu Roti</v>
      </c>
      <c r="T1516" s="2" t="str">
        <f>IFERROR(__xludf.DUMMYFUNCTION("""COMPUTED_VALUE"""),"Owner")</f>
        <v>Owner</v>
      </c>
      <c r="U1516" s="2"/>
      <c r="V1516" s="2"/>
      <c r="W1516" s="2"/>
      <c r="X1516" s="2" t="str">
        <f>IFERROR(__xludf.DUMMYFUNCTION("""COMPUTED_VALUE"""),"Closed")</f>
        <v>Closed</v>
      </c>
    </row>
    <row r="1517">
      <c r="A1517" s="3" t="s">
        <v>1527</v>
      </c>
      <c r="B1517" s="4">
        <f>IFERROR(__xludf.DUMMYFUNCTION("SPLIT(A1517,"","",0,0)"),45536.48611111111)</f>
        <v>45536.48611</v>
      </c>
      <c r="C1517" s="5">
        <f>IFERROR(__xludf.DUMMYFUNCTION("""COMPUTED_VALUE"""),2584489.0)</f>
        <v>2584489</v>
      </c>
      <c r="D1517" s="2" t="str">
        <f>IFERROR(__xludf.DUMMYFUNCTION("""COMPUTED_VALUE"""),"Sale")</f>
        <v>Sale</v>
      </c>
      <c r="E1517" s="2" t="str">
        <f>IFERROR(__xludf.DUMMYFUNCTION("""COMPUTED_VALUE"""),"Roti")</f>
        <v>Roti</v>
      </c>
      <c r="F1517" s="2">
        <f>IFERROR(__xludf.DUMMYFUNCTION("""COMPUTED_VALUE"""),10002.0)</f>
        <v>10002</v>
      </c>
      <c r="G1517" s="2" t="str">
        <f>IFERROR(__xludf.DUMMYFUNCTION("""COMPUTED_VALUE"""),"Roti Cranberry")</f>
        <v>Roti Cranberry</v>
      </c>
      <c r="H1517" s="2"/>
      <c r="I1517" s="2"/>
      <c r="J1517" s="2">
        <f>IFERROR(__xludf.DUMMYFUNCTION("""COMPUTED_VALUE"""),1.0)</f>
        <v>1</v>
      </c>
      <c r="K1517" s="6">
        <f>IFERROR(__xludf.DUMMYFUNCTION("""COMPUTED_VALUE"""),18571.0)</f>
        <v>18571</v>
      </c>
      <c r="L1517" s="2">
        <f>IFERROR(__xludf.DUMMYFUNCTION("""COMPUTED_VALUE"""),0.0)</f>
        <v>0</v>
      </c>
      <c r="M1517" s="2">
        <f>IFERROR(__xludf.DUMMYFUNCTION("""COMPUTED_VALUE"""),18571.0)</f>
        <v>18571</v>
      </c>
      <c r="N1517" s="2">
        <f>IFERROR(__xludf.DUMMYFUNCTION("""COMPUTED_VALUE"""),0.0)</f>
        <v>0</v>
      </c>
      <c r="O1517" s="2">
        <f>IFERROR(__xludf.DUMMYFUNCTION("""COMPUTED_VALUE"""),18571.0)</f>
        <v>18571</v>
      </c>
      <c r="P1517" s="2">
        <f>IFERROR(__xludf.DUMMYFUNCTION("""COMPUTED_VALUE"""),929.0)</f>
        <v>929</v>
      </c>
      <c r="Q1517" s="2" t="str">
        <f>IFERROR(__xludf.DUMMYFUNCTION("""COMPUTED_VALUE"""),"Dine In")</f>
        <v>Dine In</v>
      </c>
      <c r="R1517" s="2" t="str">
        <f>IFERROR(__xludf.DUMMYFUNCTION("""COMPUTED_VALUE"""),"Kedai")</f>
        <v>Kedai</v>
      </c>
      <c r="S1517" s="2" t="str">
        <f>IFERROR(__xludf.DUMMYFUNCTION("""COMPUTED_VALUE"""),"Temu Roti")</f>
        <v>Temu Roti</v>
      </c>
      <c r="T1517" s="2" t="str">
        <f>IFERROR(__xludf.DUMMYFUNCTION("""COMPUTED_VALUE"""),"Owner")</f>
        <v>Owner</v>
      </c>
      <c r="U1517" s="2"/>
      <c r="V1517" s="2"/>
      <c r="W1517" s="2"/>
      <c r="X1517" s="2" t="str">
        <f>IFERROR(__xludf.DUMMYFUNCTION("""COMPUTED_VALUE"""),"Closed")</f>
        <v>Closed</v>
      </c>
    </row>
    <row r="1518">
      <c r="A1518" s="3" t="s">
        <v>1528</v>
      </c>
      <c r="B1518" s="4">
        <f>IFERROR(__xludf.DUMMYFUNCTION("SPLIT(A1518,"","",0,0)"),45536.48611111111)</f>
        <v>45536.48611</v>
      </c>
      <c r="C1518" s="5">
        <f>IFERROR(__xludf.DUMMYFUNCTION("""COMPUTED_VALUE"""),2584489.0)</f>
        <v>2584489</v>
      </c>
      <c r="D1518" s="2" t="str">
        <f>IFERROR(__xludf.DUMMYFUNCTION("""COMPUTED_VALUE"""),"Sale")</f>
        <v>Sale</v>
      </c>
      <c r="E1518" s="2" t="str">
        <f>IFERROR(__xludf.DUMMYFUNCTION("""COMPUTED_VALUE"""),"Roti")</f>
        <v>Roti</v>
      </c>
      <c r="F1518" s="2">
        <f>IFERROR(__xludf.DUMMYFUNCTION("""COMPUTED_VALUE"""),10042.0)</f>
        <v>10042</v>
      </c>
      <c r="G1518" s="2" t="str">
        <f>IFERROR(__xludf.DUMMYFUNCTION("""COMPUTED_VALUE"""),"Roti coklat")</f>
        <v>Roti coklat</v>
      </c>
      <c r="H1518" s="2"/>
      <c r="I1518" s="2"/>
      <c r="J1518" s="2">
        <f>IFERROR(__xludf.DUMMYFUNCTION("""COMPUTED_VALUE"""),1.0)</f>
        <v>1</v>
      </c>
      <c r="K1518" s="6">
        <f>IFERROR(__xludf.DUMMYFUNCTION("""COMPUTED_VALUE"""),9524.0)</f>
        <v>9524</v>
      </c>
      <c r="L1518" s="2">
        <f>IFERROR(__xludf.DUMMYFUNCTION("""COMPUTED_VALUE"""),0.0)</f>
        <v>0</v>
      </c>
      <c r="M1518" s="2">
        <f>IFERROR(__xludf.DUMMYFUNCTION("""COMPUTED_VALUE"""),9524.0)</f>
        <v>9524</v>
      </c>
      <c r="N1518" s="2">
        <f>IFERROR(__xludf.DUMMYFUNCTION("""COMPUTED_VALUE"""),0.0)</f>
        <v>0</v>
      </c>
      <c r="O1518" s="2">
        <f>IFERROR(__xludf.DUMMYFUNCTION("""COMPUTED_VALUE"""),9524.0)</f>
        <v>9524</v>
      </c>
      <c r="P1518" s="2">
        <f>IFERROR(__xludf.DUMMYFUNCTION("""COMPUTED_VALUE"""),476.0)</f>
        <v>476</v>
      </c>
      <c r="Q1518" s="2" t="str">
        <f>IFERROR(__xludf.DUMMYFUNCTION("""COMPUTED_VALUE"""),"Dine In")</f>
        <v>Dine In</v>
      </c>
      <c r="R1518" s="2" t="str">
        <f>IFERROR(__xludf.DUMMYFUNCTION("""COMPUTED_VALUE"""),"Kedai")</f>
        <v>Kedai</v>
      </c>
      <c r="S1518" s="2" t="str">
        <f>IFERROR(__xludf.DUMMYFUNCTION("""COMPUTED_VALUE"""),"Temu Roti")</f>
        <v>Temu Roti</v>
      </c>
      <c r="T1518" s="2" t="str">
        <f>IFERROR(__xludf.DUMMYFUNCTION("""COMPUTED_VALUE"""),"Owner")</f>
        <v>Owner</v>
      </c>
      <c r="U1518" s="2"/>
      <c r="V1518" s="2"/>
      <c r="W1518" s="2"/>
      <c r="X1518" s="2" t="str">
        <f>IFERROR(__xludf.DUMMYFUNCTION("""COMPUTED_VALUE"""),"Closed")</f>
        <v>Closed</v>
      </c>
    </row>
    <row r="1519">
      <c r="A1519" s="3" t="s">
        <v>1529</v>
      </c>
      <c r="B1519" s="4">
        <f>IFERROR(__xludf.DUMMYFUNCTION("SPLIT(A1519,"","",0,0)"),45536.48611111111)</f>
        <v>45536.48611</v>
      </c>
      <c r="C1519" s="5">
        <f>IFERROR(__xludf.DUMMYFUNCTION("""COMPUTED_VALUE"""),2584489.0)</f>
        <v>2584489</v>
      </c>
      <c r="D1519" s="2" t="str">
        <f>IFERROR(__xludf.DUMMYFUNCTION("""COMPUTED_VALUE"""),"Sale")</f>
        <v>Sale</v>
      </c>
      <c r="E1519" s="2" t="str">
        <f>IFERROR(__xludf.DUMMYFUNCTION("""COMPUTED_VALUE"""),"Minuman")</f>
        <v>Minuman</v>
      </c>
      <c r="F1519" s="2">
        <f>IFERROR(__xludf.DUMMYFUNCTION("""COMPUTED_VALUE"""),10106.0)</f>
        <v>10106</v>
      </c>
      <c r="G1519" s="2" t="str">
        <f>IFERROR(__xludf.DUMMYFUNCTION("""COMPUTED_VALUE"""),"Korean Strawberry Fresh Milk")</f>
        <v>Korean Strawberry Fresh Milk</v>
      </c>
      <c r="H1519" s="2"/>
      <c r="I1519" s="2"/>
      <c r="J1519" s="2">
        <f>IFERROR(__xludf.DUMMYFUNCTION("""COMPUTED_VALUE"""),1.0)</f>
        <v>1</v>
      </c>
      <c r="K1519" s="6">
        <f>IFERROR(__xludf.DUMMYFUNCTION("""COMPUTED_VALUE"""),26667.0)</f>
        <v>26667</v>
      </c>
      <c r="L1519" s="2">
        <f>IFERROR(__xludf.DUMMYFUNCTION("""COMPUTED_VALUE"""),0.0)</f>
        <v>0</v>
      </c>
      <c r="M1519" s="2">
        <f>IFERROR(__xludf.DUMMYFUNCTION("""COMPUTED_VALUE"""),26667.0)</f>
        <v>26667</v>
      </c>
      <c r="N1519" s="2">
        <f>IFERROR(__xludf.DUMMYFUNCTION("""COMPUTED_VALUE"""),0.0)</f>
        <v>0</v>
      </c>
      <c r="O1519" s="2">
        <f>IFERROR(__xludf.DUMMYFUNCTION("""COMPUTED_VALUE"""),26667.0)</f>
        <v>26667</v>
      </c>
      <c r="P1519" s="2">
        <f>IFERROR(__xludf.DUMMYFUNCTION("""COMPUTED_VALUE"""),1333.0)</f>
        <v>1333</v>
      </c>
      <c r="Q1519" s="2" t="str">
        <f>IFERROR(__xludf.DUMMYFUNCTION("""COMPUTED_VALUE"""),"Dine In")</f>
        <v>Dine In</v>
      </c>
      <c r="R1519" s="2" t="str">
        <f>IFERROR(__xludf.DUMMYFUNCTION("""COMPUTED_VALUE"""),"Kedai")</f>
        <v>Kedai</v>
      </c>
      <c r="S1519" s="2" t="str">
        <f>IFERROR(__xludf.DUMMYFUNCTION("""COMPUTED_VALUE"""),"Temu Roti")</f>
        <v>Temu Roti</v>
      </c>
      <c r="T1519" s="2" t="str">
        <f>IFERROR(__xludf.DUMMYFUNCTION("""COMPUTED_VALUE"""),"Owner")</f>
        <v>Owner</v>
      </c>
      <c r="U1519" s="2"/>
      <c r="V1519" s="2"/>
      <c r="W1519" s="2"/>
      <c r="X1519" s="2" t="str">
        <f>IFERROR(__xludf.DUMMYFUNCTION("""COMPUTED_VALUE"""),"Closed")</f>
        <v>Closed</v>
      </c>
    </row>
    <row r="1520">
      <c r="A1520" s="3" t="s">
        <v>1530</v>
      </c>
      <c r="B1520" s="4">
        <f>IFERROR(__xludf.DUMMYFUNCTION("SPLIT(A1520,"","",0,0)"),45536.48611111111)</f>
        <v>45536.48611</v>
      </c>
      <c r="C1520" s="5">
        <f>IFERROR(__xludf.DUMMYFUNCTION("""COMPUTED_VALUE"""),2584489.0)</f>
        <v>2584489</v>
      </c>
      <c r="D1520" s="2" t="str">
        <f>IFERROR(__xludf.DUMMYFUNCTION("""COMPUTED_VALUE"""),"Sale")</f>
        <v>Sale</v>
      </c>
      <c r="E1520" s="2" t="str">
        <f>IFERROR(__xludf.DUMMYFUNCTION("""COMPUTED_VALUE"""),"Minuman")</f>
        <v>Minuman</v>
      </c>
      <c r="F1520" s="2">
        <f>IFERROR(__xludf.DUMMYFUNCTION("""COMPUTED_VALUE"""),10118.0)</f>
        <v>10118</v>
      </c>
      <c r="G1520" s="2" t="str">
        <f>IFERROR(__xludf.DUMMYFUNCTION("""COMPUTED_VALUE"""),"Teh Tawar Panas")</f>
        <v>Teh Tawar Panas</v>
      </c>
      <c r="H1520" s="2"/>
      <c r="I1520" s="2"/>
      <c r="J1520" s="2">
        <f>IFERROR(__xludf.DUMMYFUNCTION("""COMPUTED_VALUE"""),1.0)</f>
        <v>1</v>
      </c>
      <c r="K1520" s="6">
        <f>IFERROR(__xludf.DUMMYFUNCTION("""COMPUTED_VALUE"""),7143.0)</f>
        <v>7143</v>
      </c>
      <c r="L1520" s="2">
        <f>IFERROR(__xludf.DUMMYFUNCTION("""COMPUTED_VALUE"""),0.0)</f>
        <v>0</v>
      </c>
      <c r="M1520" s="2">
        <f>IFERROR(__xludf.DUMMYFUNCTION("""COMPUTED_VALUE"""),7143.0)</f>
        <v>7143</v>
      </c>
      <c r="N1520" s="2">
        <f>IFERROR(__xludf.DUMMYFUNCTION("""COMPUTED_VALUE"""),0.0)</f>
        <v>0</v>
      </c>
      <c r="O1520" s="2">
        <f>IFERROR(__xludf.DUMMYFUNCTION("""COMPUTED_VALUE"""),7143.0)</f>
        <v>7143</v>
      </c>
      <c r="P1520" s="2">
        <f>IFERROR(__xludf.DUMMYFUNCTION("""COMPUTED_VALUE"""),357.0)</f>
        <v>357</v>
      </c>
      <c r="Q1520" s="2" t="str">
        <f>IFERROR(__xludf.DUMMYFUNCTION("""COMPUTED_VALUE"""),"Dine In")</f>
        <v>Dine In</v>
      </c>
      <c r="R1520" s="2" t="str">
        <f>IFERROR(__xludf.DUMMYFUNCTION("""COMPUTED_VALUE"""),"Kedai")</f>
        <v>Kedai</v>
      </c>
      <c r="S1520" s="2" t="str">
        <f>IFERROR(__xludf.DUMMYFUNCTION("""COMPUTED_VALUE"""),"Temu Roti")</f>
        <v>Temu Roti</v>
      </c>
      <c r="T1520" s="2" t="str">
        <f>IFERROR(__xludf.DUMMYFUNCTION("""COMPUTED_VALUE"""),"Owner")</f>
        <v>Owner</v>
      </c>
      <c r="U1520" s="2"/>
      <c r="V1520" s="2"/>
      <c r="W1520" s="2"/>
      <c r="X1520" s="2" t="str">
        <f>IFERROR(__xludf.DUMMYFUNCTION("""COMPUTED_VALUE"""),"Closed")</f>
        <v>Closed</v>
      </c>
    </row>
    <row r="1521">
      <c r="A1521" s="3" t="s">
        <v>1531</v>
      </c>
      <c r="B1521" s="4">
        <f>IFERROR(__xludf.DUMMYFUNCTION("SPLIT(A1521,"","",0,0)"),45536.48611111111)</f>
        <v>45536.48611</v>
      </c>
      <c r="C1521" s="5">
        <f>IFERROR(__xludf.DUMMYFUNCTION("""COMPUTED_VALUE"""),2584489.0)</f>
        <v>2584489</v>
      </c>
      <c r="D1521" s="2" t="str">
        <f>IFERROR(__xludf.DUMMYFUNCTION("""COMPUTED_VALUE"""),"Sale")</f>
        <v>Sale</v>
      </c>
      <c r="E1521" s="2" t="str">
        <f>IFERROR(__xludf.DUMMYFUNCTION("""COMPUTED_VALUE"""),"Hidangan Utama")</f>
        <v>Hidangan Utama</v>
      </c>
      <c r="F1521" s="2">
        <f>IFERROR(__xludf.DUMMYFUNCTION("""COMPUTED_VALUE"""),10003.0)</f>
        <v>10003</v>
      </c>
      <c r="G1521" s="2" t="str">
        <f>IFERROR(__xludf.DUMMYFUNCTION("""COMPUTED_VALUE"""),"Nasi Goreng Temu")</f>
        <v>Nasi Goreng Temu</v>
      </c>
      <c r="H1521" s="2"/>
      <c r="I1521" s="2"/>
      <c r="J1521" s="2">
        <f>IFERROR(__xludf.DUMMYFUNCTION("""COMPUTED_VALUE"""),1.0)</f>
        <v>1</v>
      </c>
      <c r="K1521" s="6">
        <f>IFERROR(__xludf.DUMMYFUNCTION("""COMPUTED_VALUE"""),29524.0)</f>
        <v>29524</v>
      </c>
      <c r="L1521" s="2">
        <f>IFERROR(__xludf.DUMMYFUNCTION("""COMPUTED_VALUE"""),0.0)</f>
        <v>0</v>
      </c>
      <c r="M1521" s="2">
        <f>IFERROR(__xludf.DUMMYFUNCTION("""COMPUTED_VALUE"""),29524.0)</f>
        <v>29524</v>
      </c>
      <c r="N1521" s="2">
        <f>IFERROR(__xludf.DUMMYFUNCTION("""COMPUTED_VALUE"""),0.0)</f>
        <v>0</v>
      </c>
      <c r="O1521" s="2">
        <f>IFERROR(__xludf.DUMMYFUNCTION("""COMPUTED_VALUE"""),29524.0)</f>
        <v>29524</v>
      </c>
      <c r="P1521" s="2">
        <f>IFERROR(__xludf.DUMMYFUNCTION("""COMPUTED_VALUE"""),1476.0)</f>
        <v>1476</v>
      </c>
      <c r="Q1521" s="2" t="str">
        <f>IFERROR(__xludf.DUMMYFUNCTION("""COMPUTED_VALUE"""),"Dine In")</f>
        <v>Dine In</v>
      </c>
      <c r="R1521" s="2" t="str">
        <f>IFERROR(__xludf.DUMMYFUNCTION("""COMPUTED_VALUE"""),"Kedai")</f>
        <v>Kedai</v>
      </c>
      <c r="S1521" s="2" t="str">
        <f>IFERROR(__xludf.DUMMYFUNCTION("""COMPUTED_VALUE"""),"Temu Roti")</f>
        <v>Temu Roti</v>
      </c>
      <c r="T1521" s="2" t="str">
        <f>IFERROR(__xludf.DUMMYFUNCTION("""COMPUTED_VALUE"""),"Owner")</f>
        <v>Owner</v>
      </c>
      <c r="U1521" s="2"/>
      <c r="V1521" s="2"/>
      <c r="W1521" s="2"/>
      <c r="X1521" s="2" t="str">
        <f>IFERROR(__xludf.DUMMYFUNCTION("""COMPUTED_VALUE"""),"Closed")</f>
        <v>Closed</v>
      </c>
    </row>
    <row r="1522">
      <c r="A1522" s="3" t="s">
        <v>1532</v>
      </c>
      <c r="B1522" s="4">
        <f>IFERROR(__xludf.DUMMYFUNCTION("SPLIT(A1522,"","",0,0)"),45536.48125)</f>
        <v>45536.48125</v>
      </c>
      <c r="C1522" s="5">
        <f>IFERROR(__xludf.DUMMYFUNCTION("""COMPUTED_VALUE"""),2584124.0)</f>
        <v>2584124</v>
      </c>
      <c r="D1522" s="2" t="str">
        <f>IFERROR(__xludf.DUMMYFUNCTION("""COMPUTED_VALUE"""),"Sale")</f>
        <v>Sale</v>
      </c>
      <c r="E1522" s="2" t="str">
        <f>IFERROR(__xludf.DUMMYFUNCTION("""COMPUTED_VALUE"""),"Roti")</f>
        <v>Roti</v>
      </c>
      <c r="F1522" s="2">
        <f>IFERROR(__xludf.DUMMYFUNCTION("""COMPUTED_VALUE"""),10007.0)</f>
        <v>10007</v>
      </c>
      <c r="G1522" s="2" t="str">
        <f>IFERROR(__xludf.DUMMYFUNCTION("""COMPUTED_VALUE"""),"Roti cranberry 2 pcs")</f>
        <v>Roti cranberry 2 pcs</v>
      </c>
      <c r="H1522" s="2"/>
      <c r="I1522" s="2"/>
      <c r="J1522" s="2">
        <f>IFERROR(__xludf.DUMMYFUNCTION("""COMPUTED_VALUE"""),1.0)</f>
        <v>1</v>
      </c>
      <c r="K1522" s="6">
        <f>IFERROR(__xludf.DUMMYFUNCTION("""COMPUTED_VALUE"""),33810.0)</f>
        <v>33810</v>
      </c>
      <c r="L1522" s="2">
        <f>IFERROR(__xludf.DUMMYFUNCTION("""COMPUTED_VALUE"""),0.0)</f>
        <v>0</v>
      </c>
      <c r="M1522" s="2">
        <f>IFERROR(__xludf.DUMMYFUNCTION("""COMPUTED_VALUE"""),33810.0)</f>
        <v>33810</v>
      </c>
      <c r="N1522" s="2">
        <f>IFERROR(__xludf.DUMMYFUNCTION("""COMPUTED_VALUE"""),0.0)</f>
        <v>0</v>
      </c>
      <c r="O1522" s="2">
        <f>IFERROR(__xludf.DUMMYFUNCTION("""COMPUTED_VALUE"""),33810.0)</f>
        <v>33810</v>
      </c>
      <c r="P1522" s="2">
        <f>IFERROR(__xludf.DUMMYFUNCTION("""COMPUTED_VALUE"""),1691.0)</f>
        <v>1691</v>
      </c>
      <c r="Q1522" s="2" t="str">
        <f>IFERROR(__xludf.DUMMYFUNCTION("""COMPUTED_VALUE"""),"Dine In")</f>
        <v>Dine In</v>
      </c>
      <c r="R1522" s="2" t="str">
        <f>IFERROR(__xludf.DUMMYFUNCTION("""COMPUTED_VALUE"""),"Kedai")</f>
        <v>Kedai</v>
      </c>
      <c r="S1522" s="2" t="str">
        <f>IFERROR(__xludf.DUMMYFUNCTION("""COMPUTED_VALUE"""),"Temu Roti")</f>
        <v>Temu Roti</v>
      </c>
      <c r="T1522" s="2" t="str">
        <f>IFERROR(__xludf.DUMMYFUNCTION("""COMPUTED_VALUE"""),"Owner")</f>
        <v>Owner</v>
      </c>
      <c r="U1522" s="2"/>
      <c r="V1522" s="2"/>
      <c r="W1522" s="2"/>
      <c r="X1522" s="2" t="str">
        <f>IFERROR(__xludf.DUMMYFUNCTION("""COMPUTED_VALUE"""),"Closed")</f>
        <v>Closed</v>
      </c>
    </row>
    <row r="1523">
      <c r="A1523" s="3" t="s">
        <v>1533</v>
      </c>
      <c r="B1523" s="4">
        <f>IFERROR(__xludf.DUMMYFUNCTION("SPLIT(A1523,"","",0,0)"),45536.48125)</f>
        <v>45536.48125</v>
      </c>
      <c r="C1523" s="5">
        <f>IFERROR(__xludf.DUMMYFUNCTION("""COMPUTED_VALUE"""),2584124.0)</f>
        <v>2584124</v>
      </c>
      <c r="D1523" s="2" t="str">
        <f>IFERROR(__xludf.DUMMYFUNCTION("""COMPUTED_VALUE"""),"Sale")</f>
        <v>Sale</v>
      </c>
      <c r="E1523" s="2" t="str">
        <f>IFERROR(__xludf.DUMMYFUNCTION("""COMPUTED_VALUE"""),"Roti")</f>
        <v>Roti</v>
      </c>
      <c r="F1523" s="2">
        <f>IFERROR(__xludf.DUMMYFUNCTION("""COMPUTED_VALUE"""),10054.0)</f>
        <v>10054</v>
      </c>
      <c r="G1523" s="2" t="str">
        <f>IFERROR(__xludf.DUMMYFUNCTION("""COMPUTED_VALUE"""),"Roti toast eskrim")</f>
        <v>Roti toast eskrim</v>
      </c>
      <c r="H1523" s="2"/>
      <c r="I1523" s="2"/>
      <c r="J1523" s="2">
        <f>IFERROR(__xludf.DUMMYFUNCTION("""COMPUTED_VALUE"""),1.0)</f>
        <v>1</v>
      </c>
      <c r="K1523" s="6">
        <f>IFERROR(__xludf.DUMMYFUNCTION("""COMPUTED_VALUE"""),25238.0)</f>
        <v>25238</v>
      </c>
      <c r="L1523" s="2">
        <f>IFERROR(__xludf.DUMMYFUNCTION("""COMPUTED_VALUE"""),0.0)</f>
        <v>0</v>
      </c>
      <c r="M1523" s="2">
        <f>IFERROR(__xludf.DUMMYFUNCTION("""COMPUTED_VALUE"""),25238.0)</f>
        <v>25238</v>
      </c>
      <c r="N1523" s="2">
        <f>IFERROR(__xludf.DUMMYFUNCTION("""COMPUTED_VALUE"""),0.0)</f>
        <v>0</v>
      </c>
      <c r="O1523" s="2">
        <f>IFERROR(__xludf.DUMMYFUNCTION("""COMPUTED_VALUE"""),25238.0)</f>
        <v>25238</v>
      </c>
      <c r="P1523" s="2">
        <f>IFERROR(__xludf.DUMMYFUNCTION("""COMPUTED_VALUE"""),1261.0)</f>
        <v>1261</v>
      </c>
      <c r="Q1523" s="2" t="str">
        <f>IFERROR(__xludf.DUMMYFUNCTION("""COMPUTED_VALUE"""),"Dine In")</f>
        <v>Dine In</v>
      </c>
      <c r="R1523" s="2" t="str">
        <f>IFERROR(__xludf.DUMMYFUNCTION("""COMPUTED_VALUE"""),"Kedai")</f>
        <v>Kedai</v>
      </c>
      <c r="S1523" s="2" t="str">
        <f>IFERROR(__xludf.DUMMYFUNCTION("""COMPUTED_VALUE"""),"Temu Roti")</f>
        <v>Temu Roti</v>
      </c>
      <c r="T1523" s="2" t="str">
        <f>IFERROR(__xludf.DUMMYFUNCTION("""COMPUTED_VALUE"""),"Owner")</f>
        <v>Owner</v>
      </c>
      <c r="U1523" s="2"/>
      <c r="V1523" s="2"/>
      <c r="W1523" s="2"/>
      <c r="X1523" s="2" t="str">
        <f>IFERROR(__xludf.DUMMYFUNCTION("""COMPUTED_VALUE"""),"Closed")</f>
        <v>Closed</v>
      </c>
    </row>
    <row r="1524">
      <c r="A1524" s="3" t="s">
        <v>1534</v>
      </c>
      <c r="B1524" s="4">
        <f>IFERROR(__xludf.DUMMYFUNCTION("SPLIT(A1524,"","",0,0)"),45536.48125)</f>
        <v>45536.48125</v>
      </c>
      <c r="C1524" s="5">
        <f>IFERROR(__xludf.DUMMYFUNCTION("""COMPUTED_VALUE"""),2584124.0)</f>
        <v>2584124</v>
      </c>
      <c r="D1524" s="2" t="str">
        <f>IFERROR(__xludf.DUMMYFUNCTION("""COMPUTED_VALUE"""),"Sale")</f>
        <v>Sale</v>
      </c>
      <c r="E1524" s="2" t="str">
        <f>IFERROR(__xludf.DUMMYFUNCTION("""COMPUTED_VALUE"""),"Minuman")</f>
        <v>Minuman</v>
      </c>
      <c r="F1524" s="2">
        <f>IFERROR(__xludf.DUMMYFUNCTION("""COMPUTED_VALUE"""),10026.0)</f>
        <v>10026</v>
      </c>
      <c r="G1524" s="2" t="str">
        <f>IFERROR(__xludf.DUMMYFUNCTION("""COMPUTED_VALUE"""),"Es Kopi Lemon")</f>
        <v>Es Kopi Lemon</v>
      </c>
      <c r="H1524" s="2"/>
      <c r="I1524" s="2"/>
      <c r="J1524" s="2">
        <f>IFERROR(__xludf.DUMMYFUNCTION("""COMPUTED_VALUE"""),1.0)</f>
        <v>1</v>
      </c>
      <c r="K1524" s="6">
        <f>IFERROR(__xludf.DUMMYFUNCTION("""COMPUTED_VALUE"""),21905.0)</f>
        <v>21905</v>
      </c>
      <c r="L1524" s="2">
        <f>IFERROR(__xludf.DUMMYFUNCTION("""COMPUTED_VALUE"""),0.0)</f>
        <v>0</v>
      </c>
      <c r="M1524" s="2">
        <f>IFERROR(__xludf.DUMMYFUNCTION("""COMPUTED_VALUE"""),21905.0)</f>
        <v>21905</v>
      </c>
      <c r="N1524" s="2">
        <f>IFERROR(__xludf.DUMMYFUNCTION("""COMPUTED_VALUE"""),0.0)</f>
        <v>0</v>
      </c>
      <c r="O1524" s="2">
        <f>IFERROR(__xludf.DUMMYFUNCTION("""COMPUTED_VALUE"""),21905.0)</f>
        <v>21905</v>
      </c>
      <c r="P1524" s="2">
        <f>IFERROR(__xludf.DUMMYFUNCTION("""COMPUTED_VALUE"""),1096.0)</f>
        <v>1096</v>
      </c>
      <c r="Q1524" s="2" t="str">
        <f>IFERROR(__xludf.DUMMYFUNCTION("""COMPUTED_VALUE"""),"Dine In")</f>
        <v>Dine In</v>
      </c>
      <c r="R1524" s="2" t="str">
        <f>IFERROR(__xludf.DUMMYFUNCTION("""COMPUTED_VALUE"""),"Kedai")</f>
        <v>Kedai</v>
      </c>
      <c r="S1524" s="2" t="str">
        <f>IFERROR(__xludf.DUMMYFUNCTION("""COMPUTED_VALUE"""),"Temu Roti")</f>
        <v>Temu Roti</v>
      </c>
      <c r="T1524" s="2" t="str">
        <f>IFERROR(__xludf.DUMMYFUNCTION("""COMPUTED_VALUE"""),"Owner")</f>
        <v>Owner</v>
      </c>
      <c r="U1524" s="2"/>
      <c r="V1524" s="2"/>
      <c r="W1524" s="2"/>
      <c r="X1524" s="2" t="str">
        <f>IFERROR(__xludf.DUMMYFUNCTION("""COMPUTED_VALUE"""),"Closed")</f>
        <v>Closed</v>
      </c>
    </row>
    <row r="1525">
      <c r="A1525" s="3" t="s">
        <v>1535</v>
      </c>
      <c r="B1525" s="4">
        <f>IFERROR(__xludf.DUMMYFUNCTION("SPLIT(A1525,"","",0,0)"),45536.48125)</f>
        <v>45536.48125</v>
      </c>
      <c r="C1525" s="5">
        <f>IFERROR(__xludf.DUMMYFUNCTION("""COMPUTED_VALUE"""),2584124.0)</f>
        <v>2584124</v>
      </c>
      <c r="D1525" s="2" t="str">
        <f>IFERROR(__xludf.DUMMYFUNCTION("""COMPUTED_VALUE"""),"Sale")</f>
        <v>Sale</v>
      </c>
      <c r="E1525" s="2" t="str">
        <f>IFERROR(__xludf.DUMMYFUNCTION("""COMPUTED_VALUE"""),"Minuman")</f>
        <v>Minuman</v>
      </c>
      <c r="F1525" s="2">
        <f>IFERROR(__xludf.DUMMYFUNCTION("""COMPUTED_VALUE"""),10128.0)</f>
        <v>10128</v>
      </c>
      <c r="G1525" s="2" t="str">
        <f>IFERROR(__xludf.DUMMYFUNCTION("""COMPUTED_VALUE"""),"Es Kopi Susu")</f>
        <v>Es Kopi Susu</v>
      </c>
      <c r="H1525" s="2"/>
      <c r="I1525" s="2"/>
      <c r="J1525" s="2">
        <f>IFERROR(__xludf.DUMMYFUNCTION("""COMPUTED_VALUE"""),1.0)</f>
        <v>1</v>
      </c>
      <c r="K1525" s="6">
        <f>IFERROR(__xludf.DUMMYFUNCTION("""COMPUTED_VALUE"""),23333.0)</f>
        <v>23333</v>
      </c>
      <c r="L1525" s="2">
        <f>IFERROR(__xludf.DUMMYFUNCTION("""COMPUTED_VALUE"""),0.0)</f>
        <v>0</v>
      </c>
      <c r="M1525" s="2">
        <f>IFERROR(__xludf.DUMMYFUNCTION("""COMPUTED_VALUE"""),23333.0)</f>
        <v>23333</v>
      </c>
      <c r="N1525" s="2">
        <f>IFERROR(__xludf.DUMMYFUNCTION("""COMPUTED_VALUE"""),0.0)</f>
        <v>0</v>
      </c>
      <c r="O1525" s="2">
        <f>IFERROR(__xludf.DUMMYFUNCTION("""COMPUTED_VALUE"""),23333.0)</f>
        <v>23333</v>
      </c>
      <c r="P1525" s="2">
        <f>IFERROR(__xludf.DUMMYFUNCTION("""COMPUTED_VALUE"""),1166.0)</f>
        <v>1166</v>
      </c>
      <c r="Q1525" s="2" t="str">
        <f>IFERROR(__xludf.DUMMYFUNCTION("""COMPUTED_VALUE"""),"Dine In")</f>
        <v>Dine In</v>
      </c>
      <c r="R1525" s="2" t="str">
        <f>IFERROR(__xludf.DUMMYFUNCTION("""COMPUTED_VALUE"""),"Kedai")</f>
        <v>Kedai</v>
      </c>
      <c r="S1525" s="2" t="str">
        <f>IFERROR(__xludf.DUMMYFUNCTION("""COMPUTED_VALUE"""),"Temu Roti")</f>
        <v>Temu Roti</v>
      </c>
      <c r="T1525" s="2" t="str">
        <f>IFERROR(__xludf.DUMMYFUNCTION("""COMPUTED_VALUE"""),"Owner")</f>
        <v>Owner</v>
      </c>
      <c r="U1525" s="2"/>
      <c r="V1525" s="2"/>
      <c r="W1525" s="2"/>
      <c r="X1525" s="2" t="str">
        <f>IFERROR(__xludf.DUMMYFUNCTION("""COMPUTED_VALUE"""),"Closed")</f>
        <v>Closed</v>
      </c>
    </row>
    <row r="1526">
      <c r="A1526" s="3" t="s">
        <v>1536</v>
      </c>
      <c r="B1526" s="4">
        <f>IFERROR(__xludf.DUMMYFUNCTION("SPLIT(A1526,"","",0,0)"),45536.438888888886)</f>
        <v>45536.43889</v>
      </c>
      <c r="C1526" s="5">
        <f>IFERROR(__xludf.DUMMYFUNCTION("""COMPUTED_VALUE"""),2583759.0)</f>
        <v>2583759</v>
      </c>
      <c r="D1526" s="2" t="str">
        <f>IFERROR(__xludf.DUMMYFUNCTION("""COMPUTED_VALUE"""),"Sale")</f>
        <v>Sale</v>
      </c>
      <c r="E1526" s="2" t="str">
        <f>IFERROR(__xludf.DUMMYFUNCTION("""COMPUTED_VALUE"""),"Roti")</f>
        <v>Roti</v>
      </c>
      <c r="F1526" s="2">
        <f>IFERROR(__xludf.DUMMYFUNCTION("""COMPUTED_VALUE"""),10007.0)</f>
        <v>10007</v>
      </c>
      <c r="G1526" s="2" t="str">
        <f>IFERROR(__xludf.DUMMYFUNCTION("""COMPUTED_VALUE"""),"Roti cranberry 2 pcs")</f>
        <v>Roti cranberry 2 pcs</v>
      </c>
      <c r="H1526" s="2"/>
      <c r="I1526" s="2"/>
      <c r="J1526" s="2">
        <f>IFERROR(__xludf.DUMMYFUNCTION("""COMPUTED_VALUE"""),1.0)</f>
        <v>1</v>
      </c>
      <c r="K1526" s="6">
        <f>IFERROR(__xludf.DUMMYFUNCTION("""COMPUTED_VALUE"""),33810.0)</f>
        <v>33810</v>
      </c>
      <c r="L1526" s="2">
        <f>IFERROR(__xludf.DUMMYFUNCTION("""COMPUTED_VALUE"""),0.0)</f>
        <v>0</v>
      </c>
      <c r="M1526" s="2">
        <f>IFERROR(__xludf.DUMMYFUNCTION("""COMPUTED_VALUE"""),33810.0)</f>
        <v>33810</v>
      </c>
      <c r="N1526" s="2">
        <f>IFERROR(__xludf.DUMMYFUNCTION("""COMPUTED_VALUE"""),0.0)</f>
        <v>0</v>
      </c>
      <c r="O1526" s="2">
        <f>IFERROR(__xludf.DUMMYFUNCTION("""COMPUTED_VALUE"""),33810.0)</f>
        <v>33810</v>
      </c>
      <c r="P1526" s="2">
        <f>IFERROR(__xludf.DUMMYFUNCTION("""COMPUTED_VALUE"""),1691.0)</f>
        <v>1691</v>
      </c>
      <c r="Q1526" s="2" t="str">
        <f>IFERROR(__xludf.DUMMYFUNCTION("""COMPUTED_VALUE"""),"Dine In")</f>
        <v>Dine In</v>
      </c>
      <c r="R1526" s="2" t="str">
        <f>IFERROR(__xludf.DUMMYFUNCTION("""COMPUTED_VALUE"""),"Kedai")</f>
        <v>Kedai</v>
      </c>
      <c r="S1526" s="2" t="str">
        <f>IFERROR(__xludf.DUMMYFUNCTION("""COMPUTED_VALUE"""),"Temu Roti")</f>
        <v>Temu Roti</v>
      </c>
      <c r="T1526" s="2" t="str">
        <f>IFERROR(__xludf.DUMMYFUNCTION("""COMPUTED_VALUE"""),"Owner")</f>
        <v>Owner</v>
      </c>
      <c r="U1526" s="2"/>
      <c r="V1526" s="2"/>
      <c r="W1526" s="2"/>
      <c r="X1526" s="2" t="str">
        <f>IFERROR(__xludf.DUMMYFUNCTION("""COMPUTED_VALUE"""),"Closed")</f>
        <v>Closed</v>
      </c>
    </row>
    <row r="1527">
      <c r="A1527" s="3" t="s">
        <v>1537</v>
      </c>
      <c r="B1527" s="4">
        <f>IFERROR(__xludf.DUMMYFUNCTION("SPLIT(A1527,"","",0,0)"),45536.419444444444)</f>
        <v>45536.41944</v>
      </c>
      <c r="C1527" s="5">
        <f>IFERROR(__xludf.DUMMYFUNCTION("""COMPUTED_VALUE"""),2583394.0)</f>
        <v>2583394</v>
      </c>
      <c r="D1527" s="2" t="str">
        <f>IFERROR(__xludf.DUMMYFUNCTION("""COMPUTED_VALUE"""),"Sale")</f>
        <v>Sale</v>
      </c>
      <c r="E1527" s="2" t="str">
        <f>IFERROR(__xludf.DUMMYFUNCTION("""COMPUTED_VALUE"""),"Roti")</f>
        <v>Roti</v>
      </c>
      <c r="F1527" s="2">
        <f>IFERROR(__xludf.DUMMYFUNCTION("""COMPUTED_VALUE"""),10042.0)</f>
        <v>10042</v>
      </c>
      <c r="G1527" s="2" t="str">
        <f>IFERROR(__xludf.DUMMYFUNCTION("""COMPUTED_VALUE"""),"Roti coklat")</f>
        <v>Roti coklat</v>
      </c>
      <c r="H1527" s="2"/>
      <c r="I1527" s="2"/>
      <c r="J1527" s="2">
        <f>IFERROR(__xludf.DUMMYFUNCTION("""COMPUTED_VALUE"""),1.0)</f>
        <v>1</v>
      </c>
      <c r="K1527" s="6">
        <f>IFERROR(__xludf.DUMMYFUNCTION("""COMPUTED_VALUE"""),9524.0)</f>
        <v>9524</v>
      </c>
      <c r="L1527" s="2">
        <f>IFERROR(__xludf.DUMMYFUNCTION("""COMPUTED_VALUE"""),0.0)</f>
        <v>0</v>
      </c>
      <c r="M1527" s="2">
        <f>IFERROR(__xludf.DUMMYFUNCTION("""COMPUTED_VALUE"""),9524.0)</f>
        <v>9524</v>
      </c>
      <c r="N1527" s="2">
        <f>IFERROR(__xludf.DUMMYFUNCTION("""COMPUTED_VALUE"""),0.0)</f>
        <v>0</v>
      </c>
      <c r="O1527" s="2">
        <f>IFERROR(__xludf.DUMMYFUNCTION("""COMPUTED_VALUE"""),9524.0)</f>
        <v>9524</v>
      </c>
      <c r="P1527" s="2">
        <f>IFERROR(__xludf.DUMMYFUNCTION("""COMPUTED_VALUE"""),476.0)</f>
        <v>476</v>
      </c>
      <c r="Q1527" s="2" t="str">
        <f>IFERROR(__xludf.DUMMYFUNCTION("""COMPUTED_VALUE"""),"Take Away")</f>
        <v>Take Away</v>
      </c>
      <c r="R1527" s="2" t="str">
        <f>IFERROR(__xludf.DUMMYFUNCTION("""COMPUTED_VALUE"""),"Kedai")</f>
        <v>Kedai</v>
      </c>
      <c r="S1527" s="2" t="str">
        <f>IFERROR(__xludf.DUMMYFUNCTION("""COMPUTED_VALUE"""),"Temu Roti")</f>
        <v>Temu Roti</v>
      </c>
      <c r="T1527" s="2" t="str">
        <f>IFERROR(__xludf.DUMMYFUNCTION("""COMPUTED_VALUE"""),"Owner")</f>
        <v>Owner</v>
      </c>
      <c r="U1527" s="2"/>
      <c r="V1527" s="2"/>
      <c r="W1527" s="2"/>
      <c r="X1527" s="2" t="str">
        <f>IFERROR(__xludf.DUMMYFUNCTION("""COMPUTED_VALUE"""),"Closed")</f>
        <v>Closed</v>
      </c>
    </row>
    <row r="1528">
      <c r="A1528" s="3" t="s">
        <v>1538</v>
      </c>
      <c r="B1528" s="4">
        <f>IFERROR(__xludf.DUMMYFUNCTION("SPLIT(A1528,"","",0,0)"),45536.419444444444)</f>
        <v>45536.41944</v>
      </c>
      <c r="C1528" s="5">
        <f>IFERROR(__xludf.DUMMYFUNCTION("""COMPUTED_VALUE"""),2583394.0)</f>
        <v>2583394</v>
      </c>
      <c r="D1528" s="2" t="str">
        <f>IFERROR(__xludf.DUMMYFUNCTION("""COMPUTED_VALUE"""),"Sale")</f>
        <v>Sale</v>
      </c>
      <c r="E1528" s="2" t="str">
        <f>IFERROR(__xludf.DUMMYFUNCTION("""COMPUTED_VALUE"""),"Roti")</f>
        <v>Roti</v>
      </c>
      <c r="F1528" s="2">
        <f>IFERROR(__xludf.DUMMYFUNCTION("""COMPUTED_VALUE"""),10002.0)</f>
        <v>10002</v>
      </c>
      <c r="G1528" s="2" t="str">
        <f>IFERROR(__xludf.DUMMYFUNCTION("""COMPUTED_VALUE"""),"Roti Cranberry")</f>
        <v>Roti Cranberry</v>
      </c>
      <c r="H1528" s="2"/>
      <c r="I1528" s="2"/>
      <c r="J1528" s="2">
        <f>IFERROR(__xludf.DUMMYFUNCTION("""COMPUTED_VALUE"""),1.0)</f>
        <v>1</v>
      </c>
      <c r="K1528" s="6">
        <f>IFERROR(__xludf.DUMMYFUNCTION("""COMPUTED_VALUE"""),18571.0)</f>
        <v>18571</v>
      </c>
      <c r="L1528" s="2">
        <f>IFERROR(__xludf.DUMMYFUNCTION("""COMPUTED_VALUE"""),0.0)</f>
        <v>0</v>
      </c>
      <c r="M1528" s="2">
        <f>IFERROR(__xludf.DUMMYFUNCTION("""COMPUTED_VALUE"""),18571.0)</f>
        <v>18571</v>
      </c>
      <c r="N1528" s="2">
        <f>IFERROR(__xludf.DUMMYFUNCTION("""COMPUTED_VALUE"""),0.0)</f>
        <v>0</v>
      </c>
      <c r="O1528" s="2">
        <f>IFERROR(__xludf.DUMMYFUNCTION("""COMPUTED_VALUE"""),18571.0)</f>
        <v>18571</v>
      </c>
      <c r="P1528" s="2">
        <f>IFERROR(__xludf.DUMMYFUNCTION("""COMPUTED_VALUE"""),929.0)</f>
        <v>929</v>
      </c>
      <c r="Q1528" s="2" t="str">
        <f>IFERROR(__xludf.DUMMYFUNCTION("""COMPUTED_VALUE"""),"Take Away")</f>
        <v>Take Away</v>
      </c>
      <c r="R1528" s="2" t="str">
        <f>IFERROR(__xludf.DUMMYFUNCTION("""COMPUTED_VALUE"""),"Kedai")</f>
        <v>Kedai</v>
      </c>
      <c r="S1528" s="2" t="str">
        <f>IFERROR(__xludf.DUMMYFUNCTION("""COMPUTED_VALUE"""),"Temu Roti")</f>
        <v>Temu Roti</v>
      </c>
      <c r="T1528" s="2" t="str">
        <f>IFERROR(__xludf.DUMMYFUNCTION("""COMPUTED_VALUE"""),"Owner")</f>
        <v>Owner</v>
      </c>
      <c r="U1528" s="2"/>
      <c r="V1528" s="2"/>
      <c r="W1528" s="2"/>
      <c r="X1528" s="2" t="str">
        <f>IFERROR(__xludf.DUMMYFUNCTION("""COMPUTED_VALUE"""),"Closed")</f>
        <v>Closed</v>
      </c>
    </row>
    <row r="1529">
      <c r="A1529" s="3" t="s">
        <v>1539</v>
      </c>
      <c r="B1529" s="4">
        <f>IFERROR(__xludf.DUMMYFUNCTION("SPLIT(A1529,"","",0,0)"),45536.402083333334)</f>
        <v>45536.40208</v>
      </c>
      <c r="C1529" s="5">
        <f>IFERROR(__xludf.DUMMYFUNCTION("""COMPUTED_VALUE"""),2583028.0)</f>
        <v>2583028</v>
      </c>
      <c r="D1529" s="2" t="str">
        <f>IFERROR(__xludf.DUMMYFUNCTION("""COMPUTED_VALUE"""),"Sale")</f>
        <v>Sale</v>
      </c>
      <c r="E1529" s="2" t="str">
        <f>IFERROR(__xludf.DUMMYFUNCTION("""COMPUTED_VALUE"""),"Minuman")</f>
        <v>Minuman</v>
      </c>
      <c r="F1529" s="2">
        <f>IFERROR(__xludf.DUMMYFUNCTION("""COMPUTED_VALUE"""),10065.0)</f>
        <v>10065</v>
      </c>
      <c r="G1529" s="2" t="str">
        <f>IFERROR(__xludf.DUMMYFUNCTION("""COMPUTED_VALUE"""),"Jasmine Green Sencha Hot Artisan Tea")</f>
        <v>Jasmine Green Sencha Hot Artisan Tea</v>
      </c>
      <c r="H1529" s="2"/>
      <c r="I1529" s="2"/>
      <c r="J1529" s="2">
        <f>IFERROR(__xludf.DUMMYFUNCTION("""COMPUTED_VALUE"""),1.0)</f>
        <v>1</v>
      </c>
      <c r="K1529" s="6">
        <f>IFERROR(__xludf.DUMMYFUNCTION("""COMPUTED_VALUE"""),23810.0)</f>
        <v>23810</v>
      </c>
      <c r="L1529" s="2">
        <f>IFERROR(__xludf.DUMMYFUNCTION("""COMPUTED_VALUE"""),0.0)</f>
        <v>0</v>
      </c>
      <c r="M1529" s="2">
        <f>IFERROR(__xludf.DUMMYFUNCTION("""COMPUTED_VALUE"""),23810.0)</f>
        <v>23810</v>
      </c>
      <c r="N1529" s="2">
        <f>IFERROR(__xludf.DUMMYFUNCTION("""COMPUTED_VALUE"""),0.0)</f>
        <v>0</v>
      </c>
      <c r="O1529" s="2">
        <f>IFERROR(__xludf.DUMMYFUNCTION("""COMPUTED_VALUE"""),23810.0)</f>
        <v>23810</v>
      </c>
      <c r="P1529" s="2">
        <f>IFERROR(__xludf.DUMMYFUNCTION("""COMPUTED_VALUE"""),1191.0)</f>
        <v>1191</v>
      </c>
      <c r="Q1529" s="2" t="str">
        <f>IFERROR(__xludf.DUMMYFUNCTION("""COMPUTED_VALUE"""),"Dine In")</f>
        <v>Dine In</v>
      </c>
      <c r="R1529" s="2" t="str">
        <f>IFERROR(__xludf.DUMMYFUNCTION("""COMPUTED_VALUE"""),"Kedai")</f>
        <v>Kedai</v>
      </c>
      <c r="S1529" s="2" t="str">
        <f>IFERROR(__xludf.DUMMYFUNCTION("""COMPUTED_VALUE"""),"Temu Roti")</f>
        <v>Temu Roti</v>
      </c>
      <c r="T1529" s="2" t="str">
        <f>IFERROR(__xludf.DUMMYFUNCTION("""COMPUTED_VALUE"""),"Owner")</f>
        <v>Owner</v>
      </c>
      <c r="U1529" s="2"/>
      <c r="V1529" s="2"/>
      <c r="W1529" s="2"/>
      <c r="X1529" s="2" t="str">
        <f>IFERROR(__xludf.DUMMYFUNCTION("""COMPUTED_VALUE"""),"Closed")</f>
        <v>Closed</v>
      </c>
    </row>
    <row r="1530">
      <c r="A1530" s="3" t="s">
        <v>1540</v>
      </c>
      <c r="B1530" s="4">
        <f>IFERROR(__xludf.DUMMYFUNCTION("SPLIT(A1530,"","",0,0)"),45536.402083333334)</f>
        <v>45536.40208</v>
      </c>
      <c r="C1530" s="5">
        <f>IFERROR(__xludf.DUMMYFUNCTION("""COMPUTED_VALUE"""),2583028.0)</f>
        <v>2583028</v>
      </c>
      <c r="D1530" s="2" t="str">
        <f>IFERROR(__xludf.DUMMYFUNCTION("""COMPUTED_VALUE"""),"Sale")</f>
        <v>Sale</v>
      </c>
      <c r="E1530" s="2" t="str">
        <f>IFERROR(__xludf.DUMMYFUNCTION("""COMPUTED_VALUE"""),"Roti")</f>
        <v>Roti</v>
      </c>
      <c r="F1530" s="2">
        <f>IFERROR(__xludf.DUMMYFUNCTION("""COMPUTED_VALUE"""),10033.0)</f>
        <v>10033</v>
      </c>
      <c r="G1530" s="2" t="str">
        <f>IFERROR(__xludf.DUMMYFUNCTION("""COMPUTED_VALUE"""),"Roti panggang sarikaya")</f>
        <v>Roti panggang sarikaya</v>
      </c>
      <c r="H1530" s="2"/>
      <c r="I1530" s="2"/>
      <c r="J1530" s="2">
        <f>IFERROR(__xludf.DUMMYFUNCTION("""COMPUTED_VALUE"""),1.0)</f>
        <v>1</v>
      </c>
      <c r="K1530" s="6">
        <f>IFERROR(__xludf.DUMMYFUNCTION("""COMPUTED_VALUE"""),21905.0)</f>
        <v>21905</v>
      </c>
      <c r="L1530" s="2">
        <f>IFERROR(__xludf.DUMMYFUNCTION("""COMPUTED_VALUE"""),0.0)</f>
        <v>0</v>
      </c>
      <c r="M1530" s="2">
        <f>IFERROR(__xludf.DUMMYFUNCTION("""COMPUTED_VALUE"""),21905.0)</f>
        <v>21905</v>
      </c>
      <c r="N1530" s="2">
        <f>IFERROR(__xludf.DUMMYFUNCTION("""COMPUTED_VALUE"""),0.0)</f>
        <v>0</v>
      </c>
      <c r="O1530" s="2">
        <f>IFERROR(__xludf.DUMMYFUNCTION("""COMPUTED_VALUE"""),21905.0)</f>
        <v>21905</v>
      </c>
      <c r="P1530" s="2">
        <f>IFERROR(__xludf.DUMMYFUNCTION("""COMPUTED_VALUE"""),1095.0)</f>
        <v>1095</v>
      </c>
      <c r="Q1530" s="2" t="str">
        <f>IFERROR(__xludf.DUMMYFUNCTION("""COMPUTED_VALUE"""),"Dine In")</f>
        <v>Dine In</v>
      </c>
      <c r="R1530" s="2" t="str">
        <f>IFERROR(__xludf.DUMMYFUNCTION("""COMPUTED_VALUE"""),"Kedai")</f>
        <v>Kedai</v>
      </c>
      <c r="S1530" s="2" t="str">
        <f>IFERROR(__xludf.DUMMYFUNCTION("""COMPUTED_VALUE"""),"Temu Roti")</f>
        <v>Temu Roti</v>
      </c>
      <c r="T1530" s="2" t="str">
        <f>IFERROR(__xludf.DUMMYFUNCTION("""COMPUTED_VALUE"""),"Owner")</f>
        <v>Owner</v>
      </c>
      <c r="U1530" s="2"/>
      <c r="V1530" s="2"/>
      <c r="W1530" s="2"/>
      <c r="X1530" s="2" t="str">
        <f>IFERROR(__xludf.DUMMYFUNCTION("""COMPUTED_VALUE"""),"Closed")</f>
        <v>Closed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0.88"/>
    <col customWidth="1" min="8" max="8" width="13.63"/>
  </cols>
  <sheetData>
    <row r="1">
      <c r="A1" s="2" t="s">
        <v>1541</v>
      </c>
      <c r="B1" s="2" t="s">
        <v>1542</v>
      </c>
      <c r="C1" s="2" t="s">
        <v>1543</v>
      </c>
      <c r="D1" s="2" t="s">
        <v>1544</v>
      </c>
      <c r="E1" s="2" t="s">
        <v>1545</v>
      </c>
      <c r="F1" s="2" t="s">
        <v>1546</v>
      </c>
      <c r="G1" s="2" t="s">
        <v>1547</v>
      </c>
      <c r="H1" s="2" t="s">
        <v>1548</v>
      </c>
      <c r="I1" s="7" t="s">
        <v>1549</v>
      </c>
      <c r="J1" s="2" t="s">
        <v>1550</v>
      </c>
      <c r="K1" s="2" t="s">
        <v>1551</v>
      </c>
      <c r="L1" s="2" t="s">
        <v>1552</v>
      </c>
      <c r="M1" s="2" t="s">
        <v>1553</v>
      </c>
      <c r="N1" s="2" t="s">
        <v>1554</v>
      </c>
      <c r="O1" s="2" t="s">
        <v>1555</v>
      </c>
      <c r="P1" s="2" t="s">
        <v>1556</v>
      </c>
      <c r="Q1" s="2" t="s">
        <v>1557</v>
      </c>
      <c r="R1" s="2" t="s">
        <v>1558</v>
      </c>
      <c r="S1" s="2" t="s">
        <v>1559</v>
      </c>
      <c r="T1" s="2" t="s">
        <v>1560</v>
      </c>
      <c r="U1" s="2" t="s">
        <v>1561</v>
      </c>
      <c r="V1" s="2" t="s">
        <v>1562</v>
      </c>
      <c r="W1" s="2" t="s">
        <v>1563</v>
      </c>
    </row>
    <row r="2">
      <c r="A2" s="4">
        <v>45564.850694444445</v>
      </c>
      <c r="B2" s="5">
        <v>2801443.0</v>
      </c>
      <c r="C2" s="2" t="s">
        <v>1564</v>
      </c>
      <c r="D2" s="2" t="s">
        <v>1565</v>
      </c>
      <c r="E2" s="2">
        <v>10000.0</v>
      </c>
      <c r="F2" s="2" t="s">
        <v>1566</v>
      </c>
      <c r="I2" s="7">
        <v>-1.0</v>
      </c>
      <c r="J2" s="6">
        <v>-29524.0</v>
      </c>
      <c r="K2" s="2">
        <v>0.0</v>
      </c>
      <c r="L2" s="2">
        <v>-29524.0</v>
      </c>
      <c r="M2" s="2">
        <v>0.0</v>
      </c>
      <c r="N2" s="2">
        <v>-29524.0</v>
      </c>
      <c r="O2" s="2">
        <v>-1476.0</v>
      </c>
      <c r="P2" s="2" t="s">
        <v>1567</v>
      </c>
      <c r="Q2" s="2" t="s">
        <v>1568</v>
      </c>
      <c r="R2" s="2" t="s">
        <v>1569</v>
      </c>
      <c r="S2" s="2" t="s">
        <v>1570</v>
      </c>
      <c r="W2" s="2" t="s">
        <v>1571</v>
      </c>
    </row>
    <row r="3">
      <c r="A3" s="4">
        <v>45564.85</v>
      </c>
      <c r="B3" s="5">
        <v>2801078.0</v>
      </c>
      <c r="C3" s="2" t="s">
        <v>1564</v>
      </c>
      <c r="D3" s="2" t="s">
        <v>1572</v>
      </c>
      <c r="E3" s="2">
        <v>10112.0</v>
      </c>
      <c r="F3" s="2" t="s">
        <v>1573</v>
      </c>
      <c r="I3" s="7">
        <v>-2.0</v>
      </c>
      <c r="J3" s="6">
        <v>-13334.0</v>
      </c>
      <c r="K3" s="2">
        <v>0.0</v>
      </c>
      <c r="L3" s="2">
        <v>-13334.0</v>
      </c>
      <c r="M3" s="2">
        <v>0.0</v>
      </c>
      <c r="N3" s="2">
        <v>-13334.0</v>
      </c>
      <c r="O3" s="2">
        <v>-667.0</v>
      </c>
      <c r="P3" s="2" t="s">
        <v>1574</v>
      </c>
      <c r="Q3" s="2" t="s">
        <v>1568</v>
      </c>
      <c r="R3" s="2" t="s">
        <v>1569</v>
      </c>
      <c r="S3" s="2" t="s">
        <v>1570</v>
      </c>
      <c r="W3" s="2" t="s">
        <v>1571</v>
      </c>
    </row>
    <row r="4">
      <c r="A4" s="4">
        <v>45564.84444444445</v>
      </c>
      <c r="B4" s="5">
        <v>2800712.0</v>
      </c>
      <c r="C4" s="2" t="s">
        <v>1575</v>
      </c>
      <c r="D4" s="2" t="s">
        <v>1565</v>
      </c>
      <c r="E4" s="2">
        <v>10002.0</v>
      </c>
      <c r="F4" s="2" t="s">
        <v>1576</v>
      </c>
      <c r="I4" s="7">
        <v>1.0</v>
      </c>
      <c r="J4" s="6">
        <v>18571.0</v>
      </c>
      <c r="K4" s="2">
        <v>0.0</v>
      </c>
      <c r="L4" s="2">
        <v>18571.0</v>
      </c>
      <c r="M4" s="2">
        <v>0.0</v>
      </c>
      <c r="N4" s="2">
        <v>18571.0</v>
      </c>
      <c r="O4" s="2">
        <v>929.0</v>
      </c>
      <c r="P4" s="2" t="s">
        <v>1574</v>
      </c>
      <c r="Q4" s="2" t="s">
        <v>1568</v>
      </c>
      <c r="R4" s="2" t="s">
        <v>1569</v>
      </c>
      <c r="S4" s="2" t="s">
        <v>1570</v>
      </c>
      <c r="W4" s="2" t="s">
        <v>1571</v>
      </c>
    </row>
    <row r="5">
      <c r="A5" s="4">
        <v>45564.77777777778</v>
      </c>
      <c r="B5" s="5">
        <v>2800347.0</v>
      </c>
      <c r="C5" s="2" t="s">
        <v>1575</v>
      </c>
      <c r="D5" s="2" t="s">
        <v>1572</v>
      </c>
      <c r="E5" s="2">
        <v>10122.0</v>
      </c>
      <c r="F5" s="2" t="s">
        <v>1577</v>
      </c>
      <c r="I5" s="7">
        <v>2.0</v>
      </c>
      <c r="J5" s="6">
        <v>43810.0</v>
      </c>
      <c r="K5" s="2">
        <v>0.0</v>
      </c>
      <c r="L5" s="2">
        <v>43810.0</v>
      </c>
      <c r="M5" s="2">
        <v>0.0</v>
      </c>
      <c r="N5" s="2">
        <v>43810.0</v>
      </c>
      <c r="O5" s="2">
        <v>2191.0</v>
      </c>
      <c r="P5" s="2" t="s">
        <v>1574</v>
      </c>
      <c r="Q5" s="2" t="s">
        <v>1568</v>
      </c>
      <c r="R5" s="2" t="s">
        <v>1569</v>
      </c>
      <c r="S5" s="2" t="s">
        <v>1570</v>
      </c>
      <c r="W5" s="2" t="s">
        <v>1571</v>
      </c>
    </row>
    <row r="6">
      <c r="A6" s="4">
        <v>45564.77777777778</v>
      </c>
      <c r="B6" s="5">
        <v>2800347.0</v>
      </c>
      <c r="C6" s="2" t="s">
        <v>1575</v>
      </c>
      <c r="D6" s="2" t="s">
        <v>1578</v>
      </c>
      <c r="E6" s="2">
        <v>10051.0</v>
      </c>
      <c r="F6" s="2" t="s">
        <v>1579</v>
      </c>
      <c r="I6" s="7">
        <v>1.0</v>
      </c>
      <c r="J6" s="6">
        <v>25238.0</v>
      </c>
      <c r="K6" s="2">
        <v>0.0</v>
      </c>
      <c r="L6" s="2">
        <v>25238.0</v>
      </c>
      <c r="M6" s="2">
        <v>0.0</v>
      </c>
      <c r="N6" s="2">
        <v>25238.0</v>
      </c>
      <c r="O6" s="2">
        <v>1261.0</v>
      </c>
      <c r="P6" s="2" t="s">
        <v>1574</v>
      </c>
      <c r="Q6" s="2" t="s">
        <v>1568</v>
      </c>
      <c r="R6" s="2" t="s">
        <v>1569</v>
      </c>
      <c r="S6" s="2" t="s">
        <v>1570</v>
      </c>
      <c r="W6" s="2" t="s">
        <v>1571</v>
      </c>
    </row>
    <row r="7">
      <c r="A7" s="4">
        <v>45564.77777777778</v>
      </c>
      <c r="B7" s="5">
        <v>2799982.0</v>
      </c>
      <c r="C7" s="2" t="s">
        <v>1564</v>
      </c>
      <c r="D7" s="2" t="s">
        <v>1572</v>
      </c>
      <c r="E7" s="2">
        <v>10122.0</v>
      </c>
      <c r="F7" s="2" t="s">
        <v>1577</v>
      </c>
      <c r="I7" s="7">
        <v>-1.0</v>
      </c>
      <c r="J7" s="6">
        <v>-21905.0</v>
      </c>
      <c r="K7" s="2">
        <v>0.0</v>
      </c>
      <c r="L7" s="2">
        <v>-21905.0</v>
      </c>
      <c r="M7" s="2">
        <v>0.0</v>
      </c>
      <c r="N7" s="2">
        <v>-21905.0</v>
      </c>
      <c r="O7" s="2">
        <v>-1095.0</v>
      </c>
      <c r="P7" s="2" t="s">
        <v>1574</v>
      </c>
      <c r="Q7" s="2" t="s">
        <v>1568</v>
      </c>
      <c r="R7" s="2" t="s">
        <v>1569</v>
      </c>
      <c r="S7" s="2" t="s">
        <v>1570</v>
      </c>
      <c r="W7" s="2" t="s">
        <v>1571</v>
      </c>
    </row>
    <row r="8">
      <c r="A8" s="4">
        <v>45564.77777777778</v>
      </c>
      <c r="B8" s="5">
        <v>2799982.0</v>
      </c>
      <c r="C8" s="2" t="s">
        <v>1564</v>
      </c>
      <c r="D8" s="2" t="s">
        <v>1578</v>
      </c>
      <c r="E8" s="2">
        <v>10051.0</v>
      </c>
      <c r="F8" s="2" t="s">
        <v>1579</v>
      </c>
      <c r="I8" s="7">
        <v>-2.0</v>
      </c>
      <c r="J8" s="6">
        <v>-50476.0</v>
      </c>
      <c r="K8" s="2">
        <v>0.0</v>
      </c>
      <c r="L8" s="2">
        <v>-50476.0</v>
      </c>
      <c r="M8" s="2">
        <v>0.0</v>
      </c>
      <c r="N8" s="2">
        <v>-50476.0</v>
      </c>
      <c r="O8" s="2">
        <v>-2524.0</v>
      </c>
      <c r="P8" s="2" t="s">
        <v>1574</v>
      </c>
      <c r="Q8" s="2" t="s">
        <v>1568</v>
      </c>
      <c r="R8" s="2" t="s">
        <v>1569</v>
      </c>
      <c r="S8" s="2" t="s">
        <v>1570</v>
      </c>
      <c r="W8" s="2" t="s">
        <v>1571</v>
      </c>
    </row>
    <row r="9">
      <c r="A9" s="4">
        <v>45564.77777777778</v>
      </c>
      <c r="B9" s="5">
        <v>2799982.0</v>
      </c>
      <c r="C9" s="2" t="s">
        <v>1564</v>
      </c>
      <c r="D9" s="2" t="s">
        <v>1572</v>
      </c>
      <c r="E9" s="2">
        <v>10122.0</v>
      </c>
      <c r="F9" s="2" t="s">
        <v>1577</v>
      </c>
      <c r="I9" s="7">
        <v>-1.0</v>
      </c>
      <c r="J9" s="6">
        <v>-21905.0</v>
      </c>
      <c r="K9" s="2">
        <v>0.0</v>
      </c>
      <c r="L9" s="2">
        <v>-21905.0</v>
      </c>
      <c r="M9" s="2">
        <v>0.0</v>
      </c>
      <c r="N9" s="2">
        <v>-21905.0</v>
      </c>
      <c r="O9" s="2">
        <v>-1095.0</v>
      </c>
      <c r="P9" s="2" t="s">
        <v>1574</v>
      </c>
      <c r="Q9" s="2" t="s">
        <v>1568</v>
      </c>
      <c r="R9" s="2" t="s">
        <v>1569</v>
      </c>
      <c r="S9" s="2" t="s">
        <v>1570</v>
      </c>
      <c r="W9" s="2" t="s">
        <v>1571</v>
      </c>
    </row>
    <row r="10">
      <c r="A10" s="4">
        <v>45564.775</v>
      </c>
      <c r="B10" s="5">
        <v>2799617.0</v>
      </c>
      <c r="C10" s="2" t="s">
        <v>1575</v>
      </c>
      <c r="D10" s="2" t="s">
        <v>1572</v>
      </c>
      <c r="E10" s="2">
        <v>10122.0</v>
      </c>
      <c r="F10" s="2" t="s">
        <v>1577</v>
      </c>
      <c r="I10" s="7">
        <v>1.0</v>
      </c>
      <c r="J10" s="6">
        <v>21905.0</v>
      </c>
      <c r="K10" s="2">
        <v>0.0</v>
      </c>
      <c r="L10" s="2">
        <v>21905.0</v>
      </c>
      <c r="M10" s="2">
        <v>0.0</v>
      </c>
      <c r="N10" s="2">
        <v>21905.0</v>
      </c>
      <c r="O10" s="2">
        <v>1095.0</v>
      </c>
      <c r="P10" s="2" t="s">
        <v>1574</v>
      </c>
      <c r="Q10" s="2" t="s">
        <v>1568</v>
      </c>
      <c r="R10" s="2" t="s">
        <v>1569</v>
      </c>
      <c r="S10" s="2" t="s">
        <v>1570</v>
      </c>
      <c r="W10" s="2" t="s">
        <v>1571</v>
      </c>
    </row>
    <row r="11">
      <c r="A11" s="4">
        <v>45564.775</v>
      </c>
      <c r="B11" s="5">
        <v>2799617.0</v>
      </c>
      <c r="C11" s="2" t="s">
        <v>1575</v>
      </c>
      <c r="D11" s="2" t="s">
        <v>1578</v>
      </c>
      <c r="E11" s="2">
        <v>10051.0</v>
      </c>
      <c r="F11" s="2" t="s">
        <v>1579</v>
      </c>
      <c r="I11" s="7">
        <v>2.0</v>
      </c>
      <c r="J11" s="6">
        <v>50476.0</v>
      </c>
      <c r="K11" s="2">
        <v>0.0</v>
      </c>
      <c r="L11" s="2">
        <v>50476.0</v>
      </c>
      <c r="M11" s="2">
        <v>0.0</v>
      </c>
      <c r="N11" s="2">
        <v>50476.0</v>
      </c>
      <c r="O11" s="2">
        <v>2524.0</v>
      </c>
      <c r="P11" s="2" t="s">
        <v>1574</v>
      </c>
      <c r="Q11" s="2" t="s">
        <v>1568</v>
      </c>
      <c r="R11" s="2" t="s">
        <v>1569</v>
      </c>
      <c r="S11" s="2" t="s">
        <v>1570</v>
      </c>
      <c r="W11" s="2" t="s">
        <v>1571</v>
      </c>
    </row>
    <row r="12">
      <c r="A12" s="4">
        <v>45564.775</v>
      </c>
      <c r="B12" s="5">
        <v>2799617.0</v>
      </c>
      <c r="C12" s="2" t="s">
        <v>1575</v>
      </c>
      <c r="D12" s="2" t="s">
        <v>1572</v>
      </c>
      <c r="E12" s="2">
        <v>10122.0</v>
      </c>
      <c r="F12" s="2" t="s">
        <v>1577</v>
      </c>
      <c r="I12" s="7">
        <v>1.0</v>
      </c>
      <c r="J12" s="6">
        <v>21905.0</v>
      </c>
      <c r="K12" s="2">
        <v>0.0</v>
      </c>
      <c r="L12" s="2">
        <v>21905.0</v>
      </c>
      <c r="M12" s="2">
        <v>0.0</v>
      </c>
      <c r="N12" s="2">
        <v>21905.0</v>
      </c>
      <c r="O12" s="2">
        <v>1095.0</v>
      </c>
      <c r="P12" s="2" t="s">
        <v>1574</v>
      </c>
      <c r="Q12" s="2" t="s">
        <v>1568</v>
      </c>
      <c r="R12" s="2" t="s">
        <v>1569</v>
      </c>
      <c r="S12" s="2" t="s">
        <v>1570</v>
      </c>
      <c r="W12" s="2" t="s">
        <v>1571</v>
      </c>
    </row>
    <row r="13">
      <c r="A13" s="4">
        <v>45564.77222222222</v>
      </c>
      <c r="B13" s="5">
        <v>2799251.0</v>
      </c>
      <c r="C13" s="2" t="s">
        <v>1575</v>
      </c>
      <c r="D13" s="2" t="s">
        <v>1580</v>
      </c>
      <c r="E13" s="2">
        <v>10104.0</v>
      </c>
      <c r="F13" s="2" t="s">
        <v>1581</v>
      </c>
      <c r="I13" s="7">
        <v>1.0</v>
      </c>
      <c r="J13" s="6">
        <v>34762.0</v>
      </c>
      <c r="K13" s="2">
        <v>0.0</v>
      </c>
      <c r="L13" s="2">
        <v>34762.0</v>
      </c>
      <c r="M13" s="2">
        <v>0.0</v>
      </c>
      <c r="N13" s="2">
        <v>34762.0</v>
      </c>
      <c r="O13" s="2">
        <v>1738.0</v>
      </c>
      <c r="P13" s="2" t="s">
        <v>1574</v>
      </c>
      <c r="Q13" s="2" t="s">
        <v>1568</v>
      </c>
      <c r="R13" s="2" t="s">
        <v>1569</v>
      </c>
      <c r="S13" s="2" t="s">
        <v>1570</v>
      </c>
      <c r="W13" s="2" t="s">
        <v>1571</v>
      </c>
    </row>
    <row r="14">
      <c r="A14" s="4">
        <v>45564.77222222222</v>
      </c>
      <c r="B14" s="5">
        <v>2799251.0</v>
      </c>
      <c r="C14" s="2" t="s">
        <v>1575</v>
      </c>
      <c r="D14" s="2" t="s">
        <v>1572</v>
      </c>
      <c r="E14" s="2">
        <v>10119.0</v>
      </c>
      <c r="F14" s="2" t="s">
        <v>1582</v>
      </c>
      <c r="I14" s="7">
        <v>1.0</v>
      </c>
      <c r="J14" s="6">
        <v>7143.0</v>
      </c>
      <c r="K14" s="2">
        <v>0.0</v>
      </c>
      <c r="L14" s="2">
        <v>7143.0</v>
      </c>
      <c r="M14" s="2">
        <v>0.0</v>
      </c>
      <c r="N14" s="2">
        <v>7143.0</v>
      </c>
      <c r="O14" s="2">
        <v>357.0</v>
      </c>
      <c r="P14" s="2" t="s">
        <v>1574</v>
      </c>
      <c r="Q14" s="2" t="s">
        <v>1568</v>
      </c>
      <c r="R14" s="2" t="s">
        <v>1569</v>
      </c>
      <c r="S14" s="2" t="s">
        <v>1570</v>
      </c>
      <c r="W14" s="2" t="s">
        <v>1571</v>
      </c>
    </row>
    <row r="15">
      <c r="A15" s="4">
        <v>45564.76111111111</v>
      </c>
      <c r="B15" s="5">
        <v>2798886.0</v>
      </c>
      <c r="C15" s="2" t="s">
        <v>1575</v>
      </c>
      <c r="D15" s="2" t="s">
        <v>1572</v>
      </c>
      <c r="E15" s="2">
        <v>10026.0</v>
      </c>
      <c r="F15" s="2" t="s">
        <v>1583</v>
      </c>
      <c r="I15" s="7">
        <v>1.0</v>
      </c>
      <c r="J15" s="6">
        <v>21905.0</v>
      </c>
      <c r="K15" s="2">
        <v>0.0</v>
      </c>
      <c r="L15" s="2">
        <v>21905.0</v>
      </c>
      <c r="M15" s="2">
        <v>0.0</v>
      </c>
      <c r="N15" s="2">
        <v>21905.0</v>
      </c>
      <c r="O15" s="2">
        <v>1095.0</v>
      </c>
      <c r="P15" s="2" t="s">
        <v>1574</v>
      </c>
      <c r="Q15" s="2" t="s">
        <v>1568</v>
      </c>
      <c r="R15" s="2" t="s">
        <v>1569</v>
      </c>
      <c r="S15" s="2" t="s">
        <v>1570</v>
      </c>
      <c r="W15" s="2" t="s">
        <v>1571</v>
      </c>
    </row>
    <row r="16">
      <c r="A16" s="4">
        <v>45564.76111111111</v>
      </c>
      <c r="B16" s="5">
        <v>2798886.0</v>
      </c>
      <c r="C16" s="2" t="s">
        <v>1575</v>
      </c>
      <c r="D16" s="2" t="s">
        <v>1572</v>
      </c>
      <c r="E16" s="2">
        <v>10107.0</v>
      </c>
      <c r="F16" s="2" t="s">
        <v>1584</v>
      </c>
      <c r="I16" s="7">
        <v>1.0</v>
      </c>
      <c r="J16" s="6">
        <v>26667.0</v>
      </c>
      <c r="K16" s="2">
        <v>0.0</v>
      </c>
      <c r="L16" s="2">
        <v>26667.0</v>
      </c>
      <c r="M16" s="2">
        <v>0.0</v>
      </c>
      <c r="N16" s="2">
        <v>26667.0</v>
      </c>
      <c r="O16" s="2">
        <v>1334.0</v>
      </c>
      <c r="P16" s="2" t="s">
        <v>1574</v>
      </c>
      <c r="Q16" s="2" t="s">
        <v>1568</v>
      </c>
      <c r="R16" s="2" t="s">
        <v>1569</v>
      </c>
      <c r="S16" s="2" t="s">
        <v>1570</v>
      </c>
      <c r="W16" s="2" t="s">
        <v>1571</v>
      </c>
    </row>
    <row r="17">
      <c r="A17" s="4">
        <v>45564.75833333333</v>
      </c>
      <c r="B17" s="5">
        <v>2798521.0</v>
      </c>
      <c r="C17" s="2" t="s">
        <v>1575</v>
      </c>
      <c r="D17" s="2" t="s">
        <v>1572</v>
      </c>
      <c r="E17" s="2">
        <v>10056.0</v>
      </c>
      <c r="F17" s="2" t="s">
        <v>1585</v>
      </c>
      <c r="I17" s="7">
        <v>1.0</v>
      </c>
      <c r="J17" s="6">
        <v>19524.0</v>
      </c>
      <c r="K17" s="2">
        <v>0.0</v>
      </c>
      <c r="L17" s="2">
        <v>19524.0</v>
      </c>
      <c r="M17" s="2">
        <v>0.0</v>
      </c>
      <c r="N17" s="2">
        <v>19524.0</v>
      </c>
      <c r="O17" s="2">
        <v>976.0</v>
      </c>
      <c r="P17" s="2" t="s">
        <v>1574</v>
      </c>
      <c r="Q17" s="2" t="s">
        <v>1568</v>
      </c>
      <c r="R17" s="2" t="s">
        <v>1569</v>
      </c>
      <c r="S17" s="2" t="s">
        <v>1570</v>
      </c>
      <c r="W17" s="2" t="s">
        <v>1571</v>
      </c>
    </row>
    <row r="18">
      <c r="A18" s="4">
        <v>45564.74930555555</v>
      </c>
      <c r="B18" s="5">
        <v>2798156.0</v>
      </c>
      <c r="C18" s="2" t="s">
        <v>1575</v>
      </c>
      <c r="D18" s="2" t="s">
        <v>1578</v>
      </c>
      <c r="E18" s="2">
        <v>10009.0</v>
      </c>
      <c r="F18" s="2" t="s">
        <v>1586</v>
      </c>
      <c r="I18" s="7">
        <v>1.0</v>
      </c>
      <c r="J18" s="6">
        <v>26667.0</v>
      </c>
      <c r="K18" s="2">
        <v>0.0</v>
      </c>
      <c r="L18" s="2">
        <v>26667.0</v>
      </c>
      <c r="M18" s="2">
        <v>0.0</v>
      </c>
      <c r="N18" s="2">
        <v>26667.0</v>
      </c>
      <c r="O18" s="2">
        <v>1333.0</v>
      </c>
      <c r="P18" s="2" t="s">
        <v>1574</v>
      </c>
      <c r="Q18" s="2" t="s">
        <v>1568</v>
      </c>
      <c r="R18" s="2" t="s">
        <v>1569</v>
      </c>
      <c r="S18" s="2" t="s">
        <v>1570</v>
      </c>
      <c r="W18" s="2" t="s">
        <v>1571</v>
      </c>
    </row>
    <row r="19">
      <c r="A19" s="4">
        <v>45564.74513888889</v>
      </c>
      <c r="B19" s="5">
        <v>2797790.0</v>
      </c>
      <c r="C19" s="2" t="s">
        <v>1575</v>
      </c>
      <c r="D19" s="2" t="s">
        <v>1580</v>
      </c>
      <c r="E19" s="2">
        <v>10104.0</v>
      </c>
      <c r="F19" s="2" t="s">
        <v>1581</v>
      </c>
      <c r="I19" s="7">
        <v>1.0</v>
      </c>
      <c r="J19" s="6">
        <v>34762.0</v>
      </c>
      <c r="K19" s="2">
        <v>0.0</v>
      </c>
      <c r="L19" s="2">
        <v>34762.0</v>
      </c>
      <c r="M19" s="2">
        <v>0.0</v>
      </c>
      <c r="N19" s="2">
        <v>34762.0</v>
      </c>
      <c r="O19" s="2">
        <v>1738.0</v>
      </c>
      <c r="P19" s="2" t="s">
        <v>1574</v>
      </c>
      <c r="Q19" s="2" t="s">
        <v>1568</v>
      </c>
      <c r="R19" s="2" t="s">
        <v>1569</v>
      </c>
      <c r="S19" s="2" t="s">
        <v>1570</v>
      </c>
      <c r="W19" s="2" t="s">
        <v>1571</v>
      </c>
    </row>
    <row r="20">
      <c r="A20" s="4">
        <v>45564.73888888889</v>
      </c>
      <c r="B20" s="5">
        <v>2797425.0</v>
      </c>
      <c r="C20" s="2" t="s">
        <v>1575</v>
      </c>
      <c r="D20" s="2" t="s">
        <v>1578</v>
      </c>
      <c r="E20" s="2">
        <v>10015.0</v>
      </c>
      <c r="F20" s="2" t="s">
        <v>1587</v>
      </c>
      <c r="I20" s="7">
        <v>1.0</v>
      </c>
      <c r="J20" s="6">
        <v>25238.0</v>
      </c>
      <c r="K20" s="2">
        <v>0.0</v>
      </c>
      <c r="L20" s="2">
        <v>25238.0</v>
      </c>
      <c r="M20" s="2">
        <v>0.0</v>
      </c>
      <c r="N20" s="2">
        <v>25238.0</v>
      </c>
      <c r="O20" s="2">
        <v>1262.0</v>
      </c>
      <c r="P20" s="2" t="s">
        <v>1574</v>
      </c>
      <c r="Q20" s="2" t="s">
        <v>1568</v>
      </c>
      <c r="R20" s="2" t="s">
        <v>1569</v>
      </c>
      <c r="S20" s="2" t="s">
        <v>1570</v>
      </c>
      <c r="W20" s="2" t="s">
        <v>1571</v>
      </c>
    </row>
    <row r="21">
      <c r="A21" s="4">
        <v>45564.73611111111</v>
      </c>
      <c r="B21" s="5">
        <v>2797060.0</v>
      </c>
      <c r="C21" s="2" t="s">
        <v>1575</v>
      </c>
      <c r="D21" s="2" t="s">
        <v>1572</v>
      </c>
      <c r="E21" s="2">
        <v>10128.0</v>
      </c>
      <c r="F21" s="2" t="s">
        <v>1588</v>
      </c>
      <c r="I21" s="7">
        <v>1.0</v>
      </c>
      <c r="J21" s="6">
        <v>23333.0</v>
      </c>
      <c r="K21" s="2">
        <v>0.0</v>
      </c>
      <c r="L21" s="2">
        <v>23333.0</v>
      </c>
      <c r="M21" s="2">
        <v>0.0</v>
      </c>
      <c r="N21" s="2">
        <v>23333.0</v>
      </c>
      <c r="O21" s="2">
        <v>1167.0</v>
      </c>
      <c r="P21" s="2" t="s">
        <v>1574</v>
      </c>
      <c r="Q21" s="2" t="s">
        <v>1568</v>
      </c>
      <c r="R21" s="2" t="s">
        <v>1569</v>
      </c>
      <c r="S21" s="2" t="s">
        <v>1570</v>
      </c>
      <c r="W21" s="2" t="s">
        <v>1571</v>
      </c>
    </row>
    <row r="22">
      <c r="A22" s="4">
        <v>45564.73611111111</v>
      </c>
      <c r="B22" s="5">
        <v>2797060.0</v>
      </c>
      <c r="C22" s="2" t="s">
        <v>1575</v>
      </c>
      <c r="D22" s="2" t="s">
        <v>1565</v>
      </c>
      <c r="E22" s="2">
        <v>10000.0</v>
      </c>
      <c r="F22" s="2" t="s">
        <v>1566</v>
      </c>
      <c r="I22" s="7">
        <v>1.0</v>
      </c>
      <c r="J22" s="6">
        <v>29524.0</v>
      </c>
      <c r="K22" s="2">
        <v>0.0</v>
      </c>
      <c r="L22" s="2">
        <v>29524.0</v>
      </c>
      <c r="M22" s="2">
        <v>0.0</v>
      </c>
      <c r="N22" s="2">
        <v>29524.0</v>
      </c>
      <c r="O22" s="2">
        <v>1476.0</v>
      </c>
      <c r="P22" s="2" t="s">
        <v>1574</v>
      </c>
      <c r="Q22" s="2" t="s">
        <v>1568</v>
      </c>
      <c r="R22" s="2" t="s">
        <v>1569</v>
      </c>
      <c r="S22" s="2" t="s">
        <v>1570</v>
      </c>
      <c r="W22" s="2" t="s">
        <v>1571</v>
      </c>
    </row>
    <row r="23">
      <c r="A23" s="4">
        <v>45564.73611111111</v>
      </c>
      <c r="B23" s="5">
        <v>2797060.0</v>
      </c>
      <c r="C23" s="2" t="s">
        <v>1575</v>
      </c>
      <c r="D23" s="2" t="s">
        <v>1572</v>
      </c>
      <c r="E23" s="2">
        <v>10117.0</v>
      </c>
      <c r="F23" s="2" t="s">
        <v>1589</v>
      </c>
      <c r="I23" s="7">
        <v>1.0</v>
      </c>
      <c r="J23" s="6">
        <v>14286.0</v>
      </c>
      <c r="K23" s="2">
        <v>0.0</v>
      </c>
      <c r="L23" s="2">
        <v>14286.0</v>
      </c>
      <c r="M23" s="2">
        <v>0.0</v>
      </c>
      <c r="N23" s="2">
        <v>14286.0</v>
      </c>
      <c r="O23" s="2">
        <v>714.0</v>
      </c>
      <c r="P23" s="2" t="s">
        <v>1574</v>
      </c>
      <c r="Q23" s="2" t="s">
        <v>1568</v>
      </c>
      <c r="R23" s="2" t="s">
        <v>1569</v>
      </c>
      <c r="S23" s="2" t="s">
        <v>1570</v>
      </c>
      <c r="W23" s="2" t="s">
        <v>1571</v>
      </c>
    </row>
    <row r="24">
      <c r="A24" s="4">
        <v>45564.731944444444</v>
      </c>
      <c r="B24" s="5">
        <v>2796695.0</v>
      </c>
      <c r="C24" s="2" t="s">
        <v>1575</v>
      </c>
      <c r="D24" s="2" t="s">
        <v>1565</v>
      </c>
      <c r="E24" s="2">
        <v>10000.0</v>
      </c>
      <c r="F24" s="2" t="s">
        <v>1566</v>
      </c>
      <c r="I24" s="7">
        <v>1.0</v>
      </c>
      <c r="J24" s="6">
        <v>29524.0</v>
      </c>
      <c r="K24" s="2">
        <v>0.0</v>
      </c>
      <c r="L24" s="2">
        <v>29524.0</v>
      </c>
      <c r="M24" s="2">
        <v>0.0</v>
      </c>
      <c r="N24" s="2">
        <v>29524.0</v>
      </c>
      <c r="O24" s="2">
        <v>1476.0</v>
      </c>
      <c r="P24" s="2" t="s">
        <v>1574</v>
      </c>
      <c r="Q24" s="2" t="s">
        <v>1568</v>
      </c>
      <c r="R24" s="2" t="s">
        <v>1569</v>
      </c>
      <c r="S24" s="2" t="s">
        <v>1570</v>
      </c>
      <c r="W24" s="2" t="s">
        <v>1571</v>
      </c>
    </row>
    <row r="25">
      <c r="A25" s="4">
        <v>45564.731944444444</v>
      </c>
      <c r="B25" s="5">
        <v>2796695.0</v>
      </c>
      <c r="C25" s="2" t="s">
        <v>1575</v>
      </c>
      <c r="D25" s="2" t="s">
        <v>1572</v>
      </c>
      <c r="E25" s="2">
        <v>10120.0</v>
      </c>
      <c r="F25" s="2" t="s">
        <v>1590</v>
      </c>
      <c r="I25" s="7">
        <v>1.0</v>
      </c>
      <c r="J25" s="6">
        <v>19524.0</v>
      </c>
      <c r="K25" s="2">
        <v>0.0</v>
      </c>
      <c r="L25" s="2">
        <v>19524.0</v>
      </c>
      <c r="M25" s="2">
        <v>0.0</v>
      </c>
      <c r="N25" s="2">
        <v>19524.0</v>
      </c>
      <c r="O25" s="2">
        <v>976.0</v>
      </c>
      <c r="P25" s="2" t="s">
        <v>1574</v>
      </c>
      <c r="Q25" s="2" t="s">
        <v>1568</v>
      </c>
      <c r="R25" s="2" t="s">
        <v>1569</v>
      </c>
      <c r="S25" s="2" t="s">
        <v>1570</v>
      </c>
      <c r="W25" s="2" t="s">
        <v>1571</v>
      </c>
    </row>
    <row r="26">
      <c r="A26" s="4">
        <v>45564.731944444444</v>
      </c>
      <c r="B26" s="5">
        <v>2796695.0</v>
      </c>
      <c r="C26" s="2" t="s">
        <v>1575</v>
      </c>
      <c r="D26" s="2" t="s">
        <v>1572</v>
      </c>
      <c r="E26" s="2">
        <v>10122.0</v>
      </c>
      <c r="F26" s="2" t="s">
        <v>1577</v>
      </c>
      <c r="I26" s="7">
        <v>1.0</v>
      </c>
      <c r="J26" s="6">
        <v>21905.0</v>
      </c>
      <c r="K26" s="2">
        <v>0.0</v>
      </c>
      <c r="L26" s="2">
        <v>21905.0</v>
      </c>
      <c r="M26" s="2">
        <v>0.0</v>
      </c>
      <c r="N26" s="2">
        <v>21905.0</v>
      </c>
      <c r="O26" s="2">
        <v>1096.0</v>
      </c>
      <c r="P26" s="2" t="s">
        <v>1574</v>
      </c>
      <c r="Q26" s="2" t="s">
        <v>1568</v>
      </c>
      <c r="R26" s="2" t="s">
        <v>1569</v>
      </c>
      <c r="S26" s="2" t="s">
        <v>1570</v>
      </c>
      <c r="W26" s="2" t="s">
        <v>1571</v>
      </c>
    </row>
    <row r="27">
      <c r="A27" s="4">
        <v>45564.729166666664</v>
      </c>
      <c r="B27" s="5">
        <v>2796329.0</v>
      </c>
      <c r="C27" s="2" t="s">
        <v>1575</v>
      </c>
      <c r="D27" s="2" t="s">
        <v>1572</v>
      </c>
      <c r="E27" s="2">
        <v>10128.0</v>
      </c>
      <c r="F27" s="2" t="s">
        <v>1588</v>
      </c>
      <c r="I27" s="7">
        <v>1.0</v>
      </c>
      <c r="J27" s="6">
        <v>23333.0</v>
      </c>
      <c r="K27" s="2">
        <v>0.0</v>
      </c>
      <c r="L27" s="2">
        <v>23333.0</v>
      </c>
      <c r="M27" s="2">
        <v>0.0</v>
      </c>
      <c r="N27" s="2">
        <v>23333.0</v>
      </c>
      <c r="O27" s="2">
        <v>1167.0</v>
      </c>
      <c r="P27" s="2" t="s">
        <v>1574</v>
      </c>
      <c r="Q27" s="2" t="s">
        <v>1568</v>
      </c>
      <c r="R27" s="2" t="s">
        <v>1569</v>
      </c>
      <c r="S27" s="2" t="s">
        <v>1570</v>
      </c>
      <c r="W27" s="2" t="s">
        <v>1571</v>
      </c>
    </row>
    <row r="28">
      <c r="A28" s="4">
        <v>45564.729166666664</v>
      </c>
      <c r="B28" s="5">
        <v>2796329.0</v>
      </c>
      <c r="C28" s="2" t="s">
        <v>1575</v>
      </c>
      <c r="D28" s="2" t="s">
        <v>1565</v>
      </c>
      <c r="E28" s="2">
        <v>10002.0</v>
      </c>
      <c r="F28" s="2" t="s">
        <v>1576</v>
      </c>
      <c r="I28" s="7">
        <v>1.0</v>
      </c>
      <c r="J28" s="6">
        <v>18571.0</v>
      </c>
      <c r="K28" s="2">
        <v>0.0</v>
      </c>
      <c r="L28" s="2">
        <v>18571.0</v>
      </c>
      <c r="M28" s="2">
        <v>0.0</v>
      </c>
      <c r="N28" s="2">
        <v>18571.0</v>
      </c>
      <c r="O28" s="2">
        <v>928.0</v>
      </c>
      <c r="P28" s="2" t="s">
        <v>1574</v>
      </c>
      <c r="Q28" s="2" t="s">
        <v>1568</v>
      </c>
      <c r="R28" s="2" t="s">
        <v>1569</v>
      </c>
      <c r="S28" s="2" t="s">
        <v>1570</v>
      </c>
      <c r="W28" s="2" t="s">
        <v>1571</v>
      </c>
    </row>
    <row r="29">
      <c r="A29" s="4">
        <v>45564.71875</v>
      </c>
      <c r="B29" s="5">
        <v>2795964.0</v>
      </c>
      <c r="C29" s="2" t="s">
        <v>1575</v>
      </c>
      <c r="D29" s="2" t="s">
        <v>1565</v>
      </c>
      <c r="E29" s="2">
        <v>10000.0</v>
      </c>
      <c r="F29" s="2" t="s">
        <v>1566</v>
      </c>
      <c r="I29" s="7">
        <v>1.0</v>
      </c>
      <c r="J29" s="6">
        <v>29524.0</v>
      </c>
      <c r="K29" s="2">
        <v>0.0</v>
      </c>
      <c r="L29" s="2">
        <v>29524.0</v>
      </c>
      <c r="M29" s="2">
        <v>0.0</v>
      </c>
      <c r="N29" s="2">
        <v>29524.0</v>
      </c>
      <c r="O29" s="2">
        <v>1476.0</v>
      </c>
      <c r="P29" s="2" t="s">
        <v>1574</v>
      </c>
      <c r="Q29" s="2" t="s">
        <v>1568</v>
      </c>
      <c r="R29" s="2" t="s">
        <v>1569</v>
      </c>
      <c r="S29" s="2" t="s">
        <v>1570</v>
      </c>
      <c r="W29" s="2" t="s">
        <v>1571</v>
      </c>
    </row>
    <row r="30">
      <c r="A30" s="4">
        <v>45564.71875</v>
      </c>
      <c r="B30" s="5">
        <v>2795964.0</v>
      </c>
      <c r="C30" s="2" t="s">
        <v>1575</v>
      </c>
      <c r="D30" s="2" t="s">
        <v>1572</v>
      </c>
      <c r="E30" s="2">
        <v>10013.0</v>
      </c>
      <c r="F30" s="2" t="s">
        <v>1591</v>
      </c>
      <c r="I30" s="7">
        <v>1.0</v>
      </c>
      <c r="J30" s="6">
        <v>23333.0</v>
      </c>
      <c r="K30" s="2">
        <v>0.0</v>
      </c>
      <c r="L30" s="2">
        <v>23333.0</v>
      </c>
      <c r="M30" s="2">
        <v>0.0</v>
      </c>
      <c r="N30" s="2">
        <v>23333.0</v>
      </c>
      <c r="O30" s="2">
        <v>1167.0</v>
      </c>
      <c r="P30" s="2" t="s">
        <v>1574</v>
      </c>
      <c r="Q30" s="2" t="s">
        <v>1568</v>
      </c>
      <c r="R30" s="2" t="s">
        <v>1569</v>
      </c>
      <c r="S30" s="2" t="s">
        <v>1570</v>
      </c>
      <c r="W30" s="2" t="s">
        <v>1571</v>
      </c>
    </row>
    <row r="31">
      <c r="A31" s="4">
        <v>45564.71875</v>
      </c>
      <c r="B31" s="5">
        <v>2795964.0</v>
      </c>
      <c r="C31" s="2" t="s">
        <v>1575</v>
      </c>
      <c r="D31" s="2" t="s">
        <v>1572</v>
      </c>
      <c r="E31" s="2">
        <v>10127.0</v>
      </c>
      <c r="F31" s="2" t="s">
        <v>1592</v>
      </c>
      <c r="I31" s="7">
        <v>1.0</v>
      </c>
      <c r="J31" s="6">
        <v>18571.0</v>
      </c>
      <c r="K31" s="2">
        <v>0.0</v>
      </c>
      <c r="L31" s="2">
        <v>18571.0</v>
      </c>
      <c r="M31" s="2">
        <v>0.0</v>
      </c>
      <c r="N31" s="2">
        <v>18571.0</v>
      </c>
      <c r="O31" s="2">
        <v>928.0</v>
      </c>
      <c r="P31" s="2" t="s">
        <v>1574</v>
      </c>
      <c r="Q31" s="2" t="s">
        <v>1568</v>
      </c>
      <c r="R31" s="2" t="s">
        <v>1569</v>
      </c>
      <c r="S31" s="2" t="s">
        <v>1570</v>
      </c>
      <c r="W31" s="2" t="s">
        <v>1571</v>
      </c>
    </row>
    <row r="32">
      <c r="A32" s="4">
        <v>45564.71875</v>
      </c>
      <c r="B32" s="5">
        <v>2795964.0</v>
      </c>
      <c r="C32" s="2" t="s">
        <v>1575</v>
      </c>
      <c r="D32" s="2" t="s">
        <v>1572</v>
      </c>
      <c r="E32" s="2">
        <v>10070.0</v>
      </c>
      <c r="F32" s="2" t="s">
        <v>1593</v>
      </c>
      <c r="I32" s="7">
        <v>1.0</v>
      </c>
      <c r="J32" s="6">
        <v>24762.0</v>
      </c>
      <c r="K32" s="2">
        <v>0.0</v>
      </c>
      <c r="L32" s="2">
        <v>24762.0</v>
      </c>
      <c r="M32" s="2">
        <v>0.0</v>
      </c>
      <c r="N32" s="2">
        <v>24762.0</v>
      </c>
      <c r="O32" s="2">
        <v>1239.0</v>
      </c>
      <c r="P32" s="2" t="s">
        <v>1574</v>
      </c>
      <c r="Q32" s="2" t="s">
        <v>1568</v>
      </c>
      <c r="R32" s="2" t="s">
        <v>1569</v>
      </c>
      <c r="S32" s="2" t="s">
        <v>1570</v>
      </c>
      <c r="W32" s="2" t="s">
        <v>1571</v>
      </c>
    </row>
    <row r="33">
      <c r="A33" s="4">
        <v>45564.717361111114</v>
      </c>
      <c r="B33" s="5">
        <v>2795599.0</v>
      </c>
      <c r="C33" s="2" t="s">
        <v>1575</v>
      </c>
      <c r="D33" s="2" t="s">
        <v>1572</v>
      </c>
      <c r="E33" s="2">
        <v>10128.0</v>
      </c>
      <c r="F33" s="2" t="s">
        <v>1588</v>
      </c>
      <c r="I33" s="7">
        <v>1.0</v>
      </c>
      <c r="J33" s="6">
        <v>23333.0</v>
      </c>
      <c r="K33" s="2">
        <v>0.0</v>
      </c>
      <c r="L33" s="2">
        <v>23333.0</v>
      </c>
      <c r="M33" s="2">
        <v>0.0</v>
      </c>
      <c r="N33" s="2">
        <v>23333.0</v>
      </c>
      <c r="O33" s="2">
        <v>1167.0</v>
      </c>
      <c r="P33" s="2" t="s">
        <v>1574</v>
      </c>
      <c r="Q33" s="2" t="s">
        <v>1568</v>
      </c>
      <c r="R33" s="2" t="s">
        <v>1569</v>
      </c>
      <c r="S33" s="2" t="s">
        <v>1570</v>
      </c>
      <c r="W33" s="2" t="s">
        <v>1571</v>
      </c>
    </row>
    <row r="34">
      <c r="A34" s="4">
        <v>45564.70694444444</v>
      </c>
      <c r="B34" s="5">
        <v>2795234.0</v>
      </c>
      <c r="C34" s="2" t="s">
        <v>1575</v>
      </c>
      <c r="D34" s="2" t="s">
        <v>1572</v>
      </c>
      <c r="E34" s="2">
        <v>10128.0</v>
      </c>
      <c r="F34" s="2" t="s">
        <v>1588</v>
      </c>
      <c r="I34" s="7">
        <v>2.0</v>
      </c>
      <c r="J34" s="6">
        <v>46666.0</v>
      </c>
      <c r="K34" s="2">
        <v>0.0</v>
      </c>
      <c r="L34" s="2">
        <v>46666.0</v>
      </c>
      <c r="M34" s="2">
        <v>0.0</v>
      </c>
      <c r="N34" s="2">
        <v>46666.0</v>
      </c>
      <c r="O34" s="2">
        <v>2333.0</v>
      </c>
      <c r="P34" s="2" t="s">
        <v>1574</v>
      </c>
      <c r="Q34" s="2" t="s">
        <v>1568</v>
      </c>
      <c r="R34" s="2" t="s">
        <v>1569</v>
      </c>
      <c r="S34" s="2" t="s">
        <v>1570</v>
      </c>
      <c r="W34" s="2" t="s">
        <v>1571</v>
      </c>
    </row>
    <row r="35">
      <c r="A35" s="4">
        <v>45564.69930555556</v>
      </c>
      <c r="B35" s="5">
        <v>2794868.0</v>
      </c>
      <c r="C35" s="2" t="s">
        <v>1575</v>
      </c>
      <c r="D35" s="2" t="s">
        <v>1572</v>
      </c>
      <c r="E35" s="2">
        <v>10063.0</v>
      </c>
      <c r="F35" s="2" t="s">
        <v>1594</v>
      </c>
      <c r="I35" s="7">
        <v>1.0</v>
      </c>
      <c r="J35" s="6">
        <v>24762.0</v>
      </c>
      <c r="K35" s="2">
        <v>0.0</v>
      </c>
      <c r="L35" s="2">
        <v>24762.0</v>
      </c>
      <c r="M35" s="2">
        <v>0.0</v>
      </c>
      <c r="N35" s="2">
        <v>24762.0</v>
      </c>
      <c r="O35" s="2">
        <v>1238.0</v>
      </c>
      <c r="P35" s="2" t="s">
        <v>1574</v>
      </c>
      <c r="Q35" s="2" t="s">
        <v>1568</v>
      </c>
      <c r="R35" s="2" t="s">
        <v>1569</v>
      </c>
      <c r="S35" s="2" t="s">
        <v>1570</v>
      </c>
      <c r="W35" s="2" t="s">
        <v>1571</v>
      </c>
    </row>
    <row r="36">
      <c r="A36" s="4">
        <v>45564.69930555556</v>
      </c>
      <c r="B36" s="5">
        <v>2794868.0</v>
      </c>
      <c r="C36" s="2" t="s">
        <v>1575</v>
      </c>
      <c r="D36" s="2" t="s">
        <v>1572</v>
      </c>
      <c r="E36" s="2">
        <v>10107.0</v>
      </c>
      <c r="F36" s="2" t="s">
        <v>1584</v>
      </c>
      <c r="I36" s="7">
        <v>1.0</v>
      </c>
      <c r="J36" s="6">
        <v>26667.0</v>
      </c>
      <c r="K36" s="2">
        <v>0.0</v>
      </c>
      <c r="L36" s="2">
        <v>26667.0</v>
      </c>
      <c r="M36" s="2">
        <v>0.0</v>
      </c>
      <c r="N36" s="2">
        <v>26667.0</v>
      </c>
      <c r="O36" s="2">
        <v>1333.0</v>
      </c>
      <c r="P36" s="2" t="s">
        <v>1574</v>
      </c>
      <c r="Q36" s="2" t="s">
        <v>1568</v>
      </c>
      <c r="R36" s="2" t="s">
        <v>1569</v>
      </c>
      <c r="S36" s="2" t="s">
        <v>1570</v>
      </c>
      <c r="W36" s="2" t="s">
        <v>1571</v>
      </c>
    </row>
    <row r="37">
      <c r="A37" s="4">
        <v>45564.69930555556</v>
      </c>
      <c r="B37" s="5">
        <v>2794868.0</v>
      </c>
      <c r="C37" s="2" t="s">
        <v>1575</v>
      </c>
      <c r="D37" s="2" t="s">
        <v>1565</v>
      </c>
      <c r="E37" s="2">
        <v>10005.0</v>
      </c>
      <c r="F37" s="2" t="s">
        <v>1595</v>
      </c>
      <c r="I37" s="7">
        <v>1.0</v>
      </c>
      <c r="J37" s="6">
        <v>19524.0</v>
      </c>
      <c r="K37" s="2">
        <v>0.0</v>
      </c>
      <c r="L37" s="2">
        <v>19524.0</v>
      </c>
      <c r="M37" s="2">
        <v>0.0</v>
      </c>
      <c r="N37" s="2">
        <v>19524.0</v>
      </c>
      <c r="O37" s="2">
        <v>977.0</v>
      </c>
      <c r="P37" s="2" t="s">
        <v>1574</v>
      </c>
      <c r="Q37" s="2" t="s">
        <v>1568</v>
      </c>
      <c r="R37" s="2" t="s">
        <v>1569</v>
      </c>
      <c r="S37" s="2" t="s">
        <v>1570</v>
      </c>
      <c r="W37" s="2" t="s">
        <v>1571</v>
      </c>
    </row>
    <row r="38">
      <c r="A38" s="4">
        <v>45564.69930555556</v>
      </c>
      <c r="B38" s="5">
        <v>2794868.0</v>
      </c>
      <c r="C38" s="2" t="s">
        <v>1575</v>
      </c>
      <c r="D38" s="2" t="s">
        <v>1565</v>
      </c>
      <c r="E38" s="2">
        <v>10002.0</v>
      </c>
      <c r="F38" s="2" t="s">
        <v>1576</v>
      </c>
      <c r="I38" s="7">
        <v>1.0</v>
      </c>
      <c r="J38" s="6">
        <v>18571.0</v>
      </c>
      <c r="K38" s="2">
        <v>0.0</v>
      </c>
      <c r="L38" s="2">
        <v>18571.0</v>
      </c>
      <c r="M38" s="2">
        <v>0.0</v>
      </c>
      <c r="N38" s="2">
        <v>18571.0</v>
      </c>
      <c r="O38" s="2">
        <v>928.0</v>
      </c>
      <c r="P38" s="2" t="s">
        <v>1574</v>
      </c>
      <c r="Q38" s="2" t="s">
        <v>1568</v>
      </c>
      <c r="R38" s="2" t="s">
        <v>1569</v>
      </c>
      <c r="S38" s="2" t="s">
        <v>1570</v>
      </c>
      <c r="W38" s="2" t="s">
        <v>1571</v>
      </c>
    </row>
    <row r="39">
      <c r="A39" s="4">
        <v>45564.64375</v>
      </c>
      <c r="B39" s="5">
        <v>2794503.0</v>
      </c>
      <c r="C39" s="2" t="s">
        <v>1564</v>
      </c>
      <c r="D39" s="2" t="s">
        <v>1565</v>
      </c>
      <c r="E39" s="2">
        <v>10007.0</v>
      </c>
      <c r="F39" s="2" t="s">
        <v>1596</v>
      </c>
      <c r="I39" s="7">
        <v>-1.0</v>
      </c>
      <c r="J39" s="6">
        <v>-33810.0</v>
      </c>
      <c r="K39" s="2">
        <v>0.0</v>
      </c>
      <c r="L39" s="2">
        <v>-33810.0</v>
      </c>
      <c r="M39" s="2">
        <v>0.0</v>
      </c>
      <c r="N39" s="2">
        <v>-33810.0</v>
      </c>
      <c r="O39" s="2">
        <v>-1691.0</v>
      </c>
      <c r="P39" s="2" t="s">
        <v>1574</v>
      </c>
      <c r="Q39" s="2" t="s">
        <v>1568</v>
      </c>
      <c r="R39" s="2" t="s">
        <v>1569</v>
      </c>
      <c r="S39" s="2" t="s">
        <v>1570</v>
      </c>
      <c r="W39" s="2" t="s">
        <v>1571</v>
      </c>
    </row>
    <row r="40">
      <c r="A40" s="4">
        <v>45564.64375</v>
      </c>
      <c r="B40" s="5">
        <v>2794503.0</v>
      </c>
      <c r="C40" s="2" t="s">
        <v>1564</v>
      </c>
      <c r="D40" s="2" t="s">
        <v>1565</v>
      </c>
      <c r="E40" s="2">
        <v>10055.0</v>
      </c>
      <c r="F40" s="2" t="s">
        <v>1597</v>
      </c>
      <c r="I40" s="7">
        <v>-1.0</v>
      </c>
      <c r="J40" s="6">
        <v>-34762.0</v>
      </c>
      <c r="K40" s="2">
        <v>0.0</v>
      </c>
      <c r="L40" s="2">
        <v>-34762.0</v>
      </c>
      <c r="M40" s="2">
        <v>0.0</v>
      </c>
      <c r="N40" s="2">
        <v>-34762.0</v>
      </c>
      <c r="O40" s="2">
        <v>-1738.0</v>
      </c>
      <c r="P40" s="2" t="s">
        <v>1574</v>
      </c>
      <c r="Q40" s="2" t="s">
        <v>1568</v>
      </c>
      <c r="R40" s="2" t="s">
        <v>1569</v>
      </c>
      <c r="S40" s="2" t="s">
        <v>1570</v>
      </c>
      <c r="W40" s="2" t="s">
        <v>1571</v>
      </c>
    </row>
    <row r="41">
      <c r="A41" s="4">
        <v>45564.64375</v>
      </c>
      <c r="B41" s="5">
        <v>2794503.0</v>
      </c>
      <c r="C41" s="2" t="s">
        <v>1564</v>
      </c>
      <c r="D41" s="2" t="s">
        <v>1572</v>
      </c>
      <c r="E41" s="2">
        <v>10107.0</v>
      </c>
      <c r="F41" s="2" t="s">
        <v>1584</v>
      </c>
      <c r="I41" s="7">
        <v>-1.0</v>
      </c>
      <c r="J41" s="6">
        <v>-26667.0</v>
      </c>
      <c r="K41" s="2">
        <v>0.0</v>
      </c>
      <c r="L41" s="2">
        <v>-26667.0</v>
      </c>
      <c r="M41" s="2">
        <v>0.0</v>
      </c>
      <c r="N41" s="2">
        <v>-26667.0</v>
      </c>
      <c r="O41" s="2">
        <v>-1333.0</v>
      </c>
      <c r="P41" s="2" t="s">
        <v>1574</v>
      </c>
      <c r="Q41" s="2" t="s">
        <v>1568</v>
      </c>
      <c r="R41" s="2" t="s">
        <v>1569</v>
      </c>
      <c r="S41" s="2" t="s">
        <v>1570</v>
      </c>
      <c r="W41" s="2" t="s">
        <v>1571</v>
      </c>
    </row>
    <row r="42">
      <c r="A42" s="4">
        <v>45564.64375</v>
      </c>
      <c r="B42" s="5">
        <v>2794503.0</v>
      </c>
      <c r="C42" s="2" t="s">
        <v>1564</v>
      </c>
      <c r="D42" s="2" t="s">
        <v>1572</v>
      </c>
      <c r="E42" s="2">
        <v>10106.0</v>
      </c>
      <c r="F42" s="2" t="s">
        <v>1598</v>
      </c>
      <c r="I42" s="7">
        <v>-1.0</v>
      </c>
      <c r="J42" s="6">
        <v>-26667.0</v>
      </c>
      <c r="K42" s="2">
        <v>0.0</v>
      </c>
      <c r="L42" s="2">
        <v>-26667.0</v>
      </c>
      <c r="M42" s="2">
        <v>0.0</v>
      </c>
      <c r="N42" s="2">
        <v>-26667.0</v>
      </c>
      <c r="O42" s="2">
        <v>-1333.0</v>
      </c>
      <c r="P42" s="2" t="s">
        <v>1574</v>
      </c>
      <c r="Q42" s="2" t="s">
        <v>1568</v>
      </c>
      <c r="R42" s="2" t="s">
        <v>1569</v>
      </c>
      <c r="S42" s="2" t="s">
        <v>1570</v>
      </c>
      <c r="W42" s="2" t="s">
        <v>1571</v>
      </c>
    </row>
    <row r="43">
      <c r="A43" s="4">
        <v>45564.643055555556</v>
      </c>
      <c r="B43" s="5">
        <v>2794138.0</v>
      </c>
      <c r="C43" s="2" t="s">
        <v>1575</v>
      </c>
      <c r="D43" s="2" t="s">
        <v>1572</v>
      </c>
      <c r="E43" s="2">
        <v>10106.0</v>
      </c>
      <c r="F43" s="2" t="s">
        <v>1598</v>
      </c>
      <c r="I43" s="7">
        <v>1.0</v>
      </c>
      <c r="J43" s="6">
        <v>26667.0</v>
      </c>
      <c r="K43" s="2">
        <v>0.0</v>
      </c>
      <c r="L43" s="2">
        <v>26667.0</v>
      </c>
      <c r="M43" s="2">
        <v>0.0</v>
      </c>
      <c r="N43" s="2">
        <v>26667.0</v>
      </c>
      <c r="O43" s="2">
        <v>1333.0</v>
      </c>
      <c r="P43" s="2" t="s">
        <v>1574</v>
      </c>
      <c r="Q43" s="2" t="s">
        <v>1568</v>
      </c>
      <c r="R43" s="2" t="s">
        <v>1569</v>
      </c>
      <c r="S43" s="2" t="s">
        <v>1570</v>
      </c>
      <c r="W43" s="2" t="s">
        <v>1571</v>
      </c>
    </row>
    <row r="44">
      <c r="A44" s="4">
        <v>45564.643055555556</v>
      </c>
      <c r="B44" s="5">
        <v>2794138.0</v>
      </c>
      <c r="C44" s="2" t="s">
        <v>1575</v>
      </c>
      <c r="D44" s="2" t="s">
        <v>1572</v>
      </c>
      <c r="E44" s="2">
        <v>10107.0</v>
      </c>
      <c r="F44" s="2" t="s">
        <v>1584</v>
      </c>
      <c r="I44" s="7">
        <v>1.0</v>
      </c>
      <c r="J44" s="6">
        <v>26667.0</v>
      </c>
      <c r="K44" s="2">
        <v>0.0</v>
      </c>
      <c r="L44" s="2">
        <v>26667.0</v>
      </c>
      <c r="M44" s="2">
        <v>0.0</v>
      </c>
      <c r="N44" s="2">
        <v>26667.0</v>
      </c>
      <c r="O44" s="2">
        <v>1334.0</v>
      </c>
      <c r="P44" s="2" t="s">
        <v>1574</v>
      </c>
      <c r="Q44" s="2" t="s">
        <v>1568</v>
      </c>
      <c r="R44" s="2" t="s">
        <v>1569</v>
      </c>
      <c r="S44" s="2" t="s">
        <v>1570</v>
      </c>
      <c r="W44" s="2" t="s">
        <v>1571</v>
      </c>
    </row>
    <row r="45">
      <c r="A45" s="4">
        <v>45564.643055555556</v>
      </c>
      <c r="B45" s="5">
        <v>2794138.0</v>
      </c>
      <c r="C45" s="2" t="s">
        <v>1575</v>
      </c>
      <c r="D45" s="2" t="s">
        <v>1565</v>
      </c>
      <c r="E45" s="2">
        <v>10007.0</v>
      </c>
      <c r="F45" s="2" t="s">
        <v>1596</v>
      </c>
      <c r="I45" s="7">
        <v>1.0</v>
      </c>
      <c r="J45" s="6">
        <v>33810.0</v>
      </c>
      <c r="K45" s="2">
        <v>0.0</v>
      </c>
      <c r="L45" s="2">
        <v>33810.0</v>
      </c>
      <c r="M45" s="2">
        <v>0.0</v>
      </c>
      <c r="N45" s="2">
        <v>33810.0</v>
      </c>
      <c r="O45" s="2">
        <v>1690.0</v>
      </c>
      <c r="P45" s="2" t="s">
        <v>1574</v>
      </c>
      <c r="Q45" s="2" t="s">
        <v>1568</v>
      </c>
      <c r="R45" s="2" t="s">
        <v>1569</v>
      </c>
      <c r="S45" s="2" t="s">
        <v>1570</v>
      </c>
      <c r="W45" s="2" t="s">
        <v>1571</v>
      </c>
    </row>
    <row r="46">
      <c r="A46" s="4">
        <v>45564.643055555556</v>
      </c>
      <c r="B46" s="5">
        <v>2794138.0</v>
      </c>
      <c r="C46" s="2" t="s">
        <v>1575</v>
      </c>
      <c r="D46" s="2" t="s">
        <v>1565</v>
      </c>
      <c r="E46" s="2">
        <v>10055.0</v>
      </c>
      <c r="F46" s="2" t="s">
        <v>1597</v>
      </c>
      <c r="I46" s="7">
        <v>1.0</v>
      </c>
      <c r="J46" s="6">
        <v>34762.0</v>
      </c>
      <c r="K46" s="2">
        <v>0.0</v>
      </c>
      <c r="L46" s="2">
        <v>34762.0</v>
      </c>
      <c r="M46" s="2">
        <v>0.0</v>
      </c>
      <c r="N46" s="2">
        <v>34762.0</v>
      </c>
      <c r="O46" s="2">
        <v>1738.0</v>
      </c>
      <c r="P46" s="2" t="s">
        <v>1574</v>
      </c>
      <c r="Q46" s="2" t="s">
        <v>1568</v>
      </c>
      <c r="R46" s="2" t="s">
        <v>1569</v>
      </c>
      <c r="S46" s="2" t="s">
        <v>1570</v>
      </c>
      <c r="W46" s="2" t="s">
        <v>1571</v>
      </c>
    </row>
    <row r="47">
      <c r="A47" s="4">
        <v>45564.64097222222</v>
      </c>
      <c r="B47" s="5">
        <v>2793773.0</v>
      </c>
      <c r="C47" s="2" t="s">
        <v>1575</v>
      </c>
      <c r="D47" s="2" t="s">
        <v>1565</v>
      </c>
      <c r="E47" s="2">
        <v>10007.0</v>
      </c>
      <c r="F47" s="2" t="s">
        <v>1596</v>
      </c>
      <c r="I47" s="7">
        <v>1.0</v>
      </c>
      <c r="J47" s="6">
        <v>33810.0</v>
      </c>
      <c r="K47" s="2">
        <v>0.0</v>
      </c>
      <c r="L47" s="2">
        <v>33810.0</v>
      </c>
      <c r="M47" s="2">
        <v>0.0</v>
      </c>
      <c r="N47" s="2">
        <v>33810.0</v>
      </c>
      <c r="O47" s="2">
        <v>1691.0</v>
      </c>
      <c r="P47" s="2" t="s">
        <v>1574</v>
      </c>
      <c r="Q47" s="2" t="s">
        <v>1568</v>
      </c>
      <c r="R47" s="2" t="s">
        <v>1569</v>
      </c>
      <c r="S47" s="2" t="s">
        <v>1570</v>
      </c>
      <c r="W47" s="2" t="s">
        <v>1571</v>
      </c>
    </row>
    <row r="48">
      <c r="A48" s="4">
        <v>45564.64097222222</v>
      </c>
      <c r="B48" s="5">
        <v>2793773.0</v>
      </c>
      <c r="C48" s="2" t="s">
        <v>1575</v>
      </c>
      <c r="D48" s="2" t="s">
        <v>1565</v>
      </c>
      <c r="E48" s="2">
        <v>10055.0</v>
      </c>
      <c r="F48" s="2" t="s">
        <v>1597</v>
      </c>
      <c r="I48" s="7">
        <v>1.0</v>
      </c>
      <c r="J48" s="6">
        <v>34762.0</v>
      </c>
      <c r="K48" s="2">
        <v>0.0</v>
      </c>
      <c r="L48" s="2">
        <v>34762.0</v>
      </c>
      <c r="M48" s="2">
        <v>0.0</v>
      </c>
      <c r="N48" s="2">
        <v>34762.0</v>
      </c>
      <c r="O48" s="2">
        <v>1738.0</v>
      </c>
      <c r="P48" s="2" t="s">
        <v>1574</v>
      </c>
      <c r="Q48" s="2" t="s">
        <v>1568</v>
      </c>
      <c r="R48" s="2" t="s">
        <v>1569</v>
      </c>
      <c r="S48" s="2" t="s">
        <v>1570</v>
      </c>
      <c r="W48" s="2" t="s">
        <v>1571</v>
      </c>
    </row>
    <row r="49">
      <c r="A49" s="4">
        <v>45564.64097222222</v>
      </c>
      <c r="B49" s="5">
        <v>2793773.0</v>
      </c>
      <c r="C49" s="2" t="s">
        <v>1575</v>
      </c>
      <c r="D49" s="2" t="s">
        <v>1572</v>
      </c>
      <c r="E49" s="2">
        <v>10107.0</v>
      </c>
      <c r="F49" s="2" t="s">
        <v>1584</v>
      </c>
      <c r="I49" s="7">
        <v>1.0</v>
      </c>
      <c r="J49" s="6">
        <v>26667.0</v>
      </c>
      <c r="K49" s="2">
        <v>0.0</v>
      </c>
      <c r="L49" s="2">
        <v>26667.0</v>
      </c>
      <c r="M49" s="2">
        <v>0.0</v>
      </c>
      <c r="N49" s="2">
        <v>26667.0</v>
      </c>
      <c r="O49" s="2">
        <v>1333.0</v>
      </c>
      <c r="P49" s="2" t="s">
        <v>1574</v>
      </c>
      <c r="Q49" s="2" t="s">
        <v>1568</v>
      </c>
      <c r="R49" s="2" t="s">
        <v>1569</v>
      </c>
      <c r="S49" s="2" t="s">
        <v>1570</v>
      </c>
      <c r="W49" s="2" t="s">
        <v>1571</v>
      </c>
    </row>
    <row r="50">
      <c r="A50" s="4">
        <v>45564.64097222222</v>
      </c>
      <c r="B50" s="5">
        <v>2793773.0</v>
      </c>
      <c r="C50" s="2" t="s">
        <v>1575</v>
      </c>
      <c r="D50" s="2" t="s">
        <v>1572</v>
      </c>
      <c r="E50" s="2">
        <v>10106.0</v>
      </c>
      <c r="F50" s="2" t="s">
        <v>1598</v>
      </c>
      <c r="I50" s="7">
        <v>1.0</v>
      </c>
      <c r="J50" s="6">
        <v>26667.0</v>
      </c>
      <c r="K50" s="2">
        <v>0.0</v>
      </c>
      <c r="L50" s="2">
        <v>26667.0</v>
      </c>
      <c r="M50" s="2">
        <v>0.0</v>
      </c>
      <c r="N50" s="2">
        <v>26667.0</v>
      </c>
      <c r="O50" s="2">
        <v>1333.0</v>
      </c>
      <c r="P50" s="2" t="s">
        <v>1574</v>
      </c>
      <c r="Q50" s="2" t="s">
        <v>1568</v>
      </c>
      <c r="R50" s="2" t="s">
        <v>1569</v>
      </c>
      <c r="S50" s="2" t="s">
        <v>1570</v>
      </c>
      <c r="W50" s="2" t="s">
        <v>1571</v>
      </c>
    </row>
    <row r="51">
      <c r="A51" s="4">
        <v>45564.60763888889</v>
      </c>
      <c r="B51" s="5">
        <v>2793407.0</v>
      </c>
      <c r="C51" s="2" t="s">
        <v>1564</v>
      </c>
      <c r="D51" s="2" t="s">
        <v>1565</v>
      </c>
      <c r="E51" s="2">
        <v>10007.0</v>
      </c>
      <c r="F51" s="2" t="s">
        <v>1596</v>
      </c>
      <c r="I51" s="7">
        <v>-1.0</v>
      </c>
      <c r="J51" s="6">
        <v>-33810.0</v>
      </c>
      <c r="K51" s="2">
        <v>0.0</v>
      </c>
      <c r="L51" s="2">
        <v>-33810.0</v>
      </c>
      <c r="M51" s="2">
        <v>0.0</v>
      </c>
      <c r="N51" s="2">
        <v>-33810.0</v>
      </c>
      <c r="O51" s="2">
        <v>-1691.0</v>
      </c>
      <c r="P51" s="2" t="s">
        <v>1567</v>
      </c>
      <c r="Q51" s="2" t="s">
        <v>1568</v>
      </c>
      <c r="R51" s="2" t="s">
        <v>1569</v>
      </c>
      <c r="S51" s="2" t="s">
        <v>1570</v>
      </c>
      <c r="W51" s="2" t="s">
        <v>1571</v>
      </c>
    </row>
    <row r="52">
      <c r="A52" s="4">
        <v>45564.60763888889</v>
      </c>
      <c r="B52" s="5">
        <v>2793407.0</v>
      </c>
      <c r="C52" s="2" t="s">
        <v>1564</v>
      </c>
      <c r="D52" s="2" t="s">
        <v>1565</v>
      </c>
      <c r="E52" s="2">
        <v>10005.0</v>
      </c>
      <c r="F52" s="2" t="s">
        <v>1595</v>
      </c>
      <c r="I52" s="7">
        <v>-1.0</v>
      </c>
      <c r="J52" s="6">
        <v>-19524.0</v>
      </c>
      <c r="K52" s="2">
        <v>0.0</v>
      </c>
      <c r="L52" s="2">
        <v>-19524.0</v>
      </c>
      <c r="M52" s="2">
        <v>0.0</v>
      </c>
      <c r="N52" s="2">
        <v>-19524.0</v>
      </c>
      <c r="O52" s="2">
        <v>-976.0</v>
      </c>
      <c r="P52" s="2" t="s">
        <v>1567</v>
      </c>
      <c r="Q52" s="2" t="s">
        <v>1568</v>
      </c>
      <c r="R52" s="2" t="s">
        <v>1569</v>
      </c>
      <c r="S52" s="2" t="s">
        <v>1570</v>
      </c>
      <c r="W52" s="2" t="s">
        <v>1571</v>
      </c>
    </row>
    <row r="53">
      <c r="A53" s="4">
        <v>45564.60763888889</v>
      </c>
      <c r="B53" s="5">
        <v>2793407.0</v>
      </c>
      <c r="C53" s="2" t="s">
        <v>1564</v>
      </c>
      <c r="D53" s="2" t="s">
        <v>1572</v>
      </c>
      <c r="E53" s="2">
        <v>10013.0</v>
      </c>
      <c r="F53" s="2" t="s">
        <v>1591</v>
      </c>
      <c r="I53" s="7">
        <v>-1.0</v>
      </c>
      <c r="J53" s="6">
        <v>-23333.0</v>
      </c>
      <c r="K53" s="2">
        <v>0.0</v>
      </c>
      <c r="L53" s="2">
        <v>-23333.0</v>
      </c>
      <c r="M53" s="2">
        <v>0.0</v>
      </c>
      <c r="N53" s="2">
        <v>-23333.0</v>
      </c>
      <c r="O53" s="2">
        <v>-1166.0</v>
      </c>
      <c r="P53" s="2" t="s">
        <v>1567</v>
      </c>
      <c r="Q53" s="2" t="s">
        <v>1568</v>
      </c>
      <c r="R53" s="2" t="s">
        <v>1569</v>
      </c>
      <c r="S53" s="2" t="s">
        <v>1570</v>
      </c>
      <c r="W53" s="2" t="s">
        <v>1571</v>
      </c>
    </row>
    <row r="54">
      <c r="A54" s="4">
        <v>45564.592361111114</v>
      </c>
      <c r="B54" s="5">
        <v>2793042.0</v>
      </c>
      <c r="C54" s="2" t="s">
        <v>1575</v>
      </c>
      <c r="D54" s="2" t="s">
        <v>1565</v>
      </c>
      <c r="E54" s="2">
        <v>10055.0</v>
      </c>
      <c r="F54" s="2" t="s">
        <v>1597</v>
      </c>
      <c r="I54" s="7">
        <v>1.0</v>
      </c>
      <c r="J54" s="6">
        <v>34762.0</v>
      </c>
      <c r="K54" s="2">
        <v>0.0</v>
      </c>
      <c r="L54" s="2">
        <v>34762.0</v>
      </c>
      <c r="M54" s="2">
        <v>0.0</v>
      </c>
      <c r="N54" s="2">
        <v>34762.0</v>
      </c>
      <c r="O54" s="2">
        <v>1738.0</v>
      </c>
      <c r="P54" s="2" t="s">
        <v>1574</v>
      </c>
      <c r="Q54" s="2" t="s">
        <v>1568</v>
      </c>
      <c r="R54" s="2" t="s">
        <v>1569</v>
      </c>
      <c r="S54" s="2" t="s">
        <v>1570</v>
      </c>
      <c r="W54" s="2" t="s">
        <v>1571</v>
      </c>
    </row>
    <row r="55">
      <c r="A55" s="4">
        <v>45564.592361111114</v>
      </c>
      <c r="B55" s="5">
        <v>2793042.0</v>
      </c>
      <c r="C55" s="2" t="s">
        <v>1575</v>
      </c>
      <c r="D55" s="2" t="s">
        <v>1578</v>
      </c>
      <c r="E55" s="2">
        <v>10009.0</v>
      </c>
      <c r="F55" s="2" t="s">
        <v>1586</v>
      </c>
      <c r="I55" s="7">
        <v>1.0</v>
      </c>
      <c r="J55" s="6">
        <v>26667.0</v>
      </c>
      <c r="K55" s="2">
        <v>0.0</v>
      </c>
      <c r="L55" s="2">
        <v>26667.0</v>
      </c>
      <c r="M55" s="2">
        <v>0.0</v>
      </c>
      <c r="N55" s="2">
        <v>26667.0</v>
      </c>
      <c r="O55" s="2">
        <v>1333.0</v>
      </c>
      <c r="P55" s="2" t="s">
        <v>1574</v>
      </c>
      <c r="Q55" s="2" t="s">
        <v>1568</v>
      </c>
      <c r="R55" s="2" t="s">
        <v>1569</v>
      </c>
      <c r="S55" s="2" t="s">
        <v>1570</v>
      </c>
      <c r="W55" s="2" t="s">
        <v>1571</v>
      </c>
    </row>
    <row r="56">
      <c r="A56" s="4">
        <v>45564.592361111114</v>
      </c>
      <c r="B56" s="5">
        <v>2793042.0</v>
      </c>
      <c r="C56" s="2" t="s">
        <v>1575</v>
      </c>
      <c r="D56" s="2" t="s">
        <v>1572</v>
      </c>
      <c r="E56" s="2">
        <v>10117.0</v>
      </c>
      <c r="F56" s="2" t="s">
        <v>1589</v>
      </c>
      <c r="I56" s="7">
        <v>1.0</v>
      </c>
      <c r="J56" s="6">
        <v>14286.0</v>
      </c>
      <c r="K56" s="2">
        <v>0.0</v>
      </c>
      <c r="L56" s="2">
        <v>14286.0</v>
      </c>
      <c r="M56" s="2">
        <v>0.0</v>
      </c>
      <c r="N56" s="2">
        <v>14286.0</v>
      </c>
      <c r="O56" s="2">
        <v>715.0</v>
      </c>
      <c r="P56" s="2" t="s">
        <v>1574</v>
      </c>
      <c r="Q56" s="2" t="s">
        <v>1568</v>
      </c>
      <c r="R56" s="2" t="s">
        <v>1569</v>
      </c>
      <c r="S56" s="2" t="s">
        <v>1570</v>
      </c>
      <c r="W56" s="2" t="s">
        <v>1571</v>
      </c>
    </row>
    <row r="57">
      <c r="A57" s="4">
        <v>45564.592361111114</v>
      </c>
      <c r="B57" s="5">
        <v>2793042.0</v>
      </c>
      <c r="C57" s="2" t="s">
        <v>1575</v>
      </c>
      <c r="D57" s="2" t="s">
        <v>1572</v>
      </c>
      <c r="E57" s="2">
        <v>10123.0</v>
      </c>
      <c r="F57" s="2" t="s">
        <v>1599</v>
      </c>
      <c r="I57" s="7">
        <v>1.0</v>
      </c>
      <c r="J57" s="6">
        <v>21905.0</v>
      </c>
      <c r="K57" s="2">
        <v>0.0</v>
      </c>
      <c r="L57" s="2">
        <v>21905.0</v>
      </c>
      <c r="M57" s="2">
        <v>0.0</v>
      </c>
      <c r="N57" s="2">
        <v>21905.0</v>
      </c>
      <c r="O57" s="2">
        <v>1095.0</v>
      </c>
      <c r="P57" s="2" t="s">
        <v>1574</v>
      </c>
      <c r="Q57" s="2" t="s">
        <v>1568</v>
      </c>
      <c r="R57" s="2" t="s">
        <v>1569</v>
      </c>
      <c r="S57" s="2" t="s">
        <v>1570</v>
      </c>
      <c r="W57" s="2" t="s">
        <v>1571</v>
      </c>
    </row>
    <row r="58">
      <c r="A58" s="4">
        <v>45564.592361111114</v>
      </c>
      <c r="B58" s="5">
        <v>2793042.0</v>
      </c>
      <c r="C58" s="2" t="s">
        <v>1575</v>
      </c>
      <c r="D58" s="2" t="s">
        <v>1572</v>
      </c>
      <c r="E58" s="2">
        <v>10126.0</v>
      </c>
      <c r="F58" s="2" t="s">
        <v>1600</v>
      </c>
      <c r="I58" s="7">
        <v>1.0</v>
      </c>
      <c r="J58" s="6">
        <v>23810.0</v>
      </c>
      <c r="K58" s="2">
        <v>0.0</v>
      </c>
      <c r="L58" s="2">
        <v>23810.0</v>
      </c>
      <c r="M58" s="2">
        <v>0.0</v>
      </c>
      <c r="N58" s="2">
        <v>23810.0</v>
      </c>
      <c r="O58" s="2">
        <v>1191.0</v>
      </c>
      <c r="P58" s="2" t="s">
        <v>1574</v>
      </c>
      <c r="Q58" s="2" t="s">
        <v>1568</v>
      </c>
      <c r="R58" s="2" t="s">
        <v>1569</v>
      </c>
      <c r="S58" s="2" t="s">
        <v>1570</v>
      </c>
      <c r="W58" s="2" t="s">
        <v>1571</v>
      </c>
    </row>
    <row r="59">
      <c r="A59" s="4">
        <v>45564.59027777778</v>
      </c>
      <c r="B59" s="5">
        <v>2792677.0</v>
      </c>
      <c r="C59" s="2" t="s">
        <v>1564</v>
      </c>
      <c r="D59" s="2" t="s">
        <v>1572</v>
      </c>
      <c r="E59" s="2">
        <v>10125.0</v>
      </c>
      <c r="F59" s="2" t="s">
        <v>1601</v>
      </c>
      <c r="I59" s="7">
        <v>-1.0</v>
      </c>
      <c r="J59" s="6">
        <v>-20476.0</v>
      </c>
      <c r="K59" s="2">
        <v>0.0</v>
      </c>
      <c r="L59" s="2">
        <v>-20476.0</v>
      </c>
      <c r="M59" s="2">
        <v>0.0</v>
      </c>
      <c r="N59" s="2">
        <v>-20476.0</v>
      </c>
      <c r="O59" s="2">
        <v>-1024.0</v>
      </c>
      <c r="P59" s="2" t="s">
        <v>1574</v>
      </c>
      <c r="Q59" s="2" t="s">
        <v>1568</v>
      </c>
      <c r="R59" s="2" t="s">
        <v>1569</v>
      </c>
      <c r="S59" s="2" t="s">
        <v>1570</v>
      </c>
      <c r="W59" s="2" t="s">
        <v>1571</v>
      </c>
    </row>
    <row r="60">
      <c r="A60" s="4">
        <v>45564.59027777778</v>
      </c>
      <c r="B60" s="5">
        <v>2792677.0</v>
      </c>
      <c r="C60" s="2" t="s">
        <v>1564</v>
      </c>
      <c r="D60" s="2" t="s">
        <v>1572</v>
      </c>
      <c r="E60" s="2">
        <v>10128.0</v>
      </c>
      <c r="F60" s="2" t="s">
        <v>1588</v>
      </c>
      <c r="I60" s="7">
        <v>-1.0</v>
      </c>
      <c r="J60" s="6">
        <v>-23333.0</v>
      </c>
      <c r="K60" s="2">
        <v>0.0</v>
      </c>
      <c r="L60" s="2">
        <v>-23333.0</v>
      </c>
      <c r="M60" s="2">
        <v>0.0</v>
      </c>
      <c r="N60" s="2">
        <v>-23333.0</v>
      </c>
      <c r="O60" s="2">
        <v>-1166.0</v>
      </c>
      <c r="P60" s="2" t="s">
        <v>1574</v>
      </c>
      <c r="Q60" s="2" t="s">
        <v>1568</v>
      </c>
      <c r="R60" s="2" t="s">
        <v>1569</v>
      </c>
      <c r="S60" s="2" t="s">
        <v>1570</v>
      </c>
      <c r="W60" s="2" t="s">
        <v>1571</v>
      </c>
    </row>
    <row r="61">
      <c r="A61" s="4">
        <v>45564.59027777778</v>
      </c>
      <c r="B61" s="5">
        <v>2792677.0</v>
      </c>
      <c r="C61" s="2" t="s">
        <v>1564</v>
      </c>
      <c r="D61" s="2" t="s">
        <v>1565</v>
      </c>
      <c r="E61" s="2">
        <v>10055.0</v>
      </c>
      <c r="F61" s="2" t="s">
        <v>1597</v>
      </c>
      <c r="I61" s="7">
        <v>-2.0</v>
      </c>
      <c r="J61" s="6">
        <v>-69524.0</v>
      </c>
      <c r="K61" s="2">
        <v>0.0</v>
      </c>
      <c r="L61" s="2">
        <v>-69524.0</v>
      </c>
      <c r="M61" s="2">
        <v>0.0</v>
      </c>
      <c r="N61" s="2">
        <v>-69524.0</v>
      </c>
      <c r="O61" s="2">
        <v>-3477.0</v>
      </c>
      <c r="P61" s="2" t="s">
        <v>1574</v>
      </c>
      <c r="Q61" s="2" t="s">
        <v>1568</v>
      </c>
      <c r="R61" s="2" t="s">
        <v>1569</v>
      </c>
      <c r="S61" s="2" t="s">
        <v>1570</v>
      </c>
      <c r="W61" s="2" t="s">
        <v>1571</v>
      </c>
    </row>
    <row r="62">
      <c r="A62" s="4">
        <v>45564.58819444444</v>
      </c>
      <c r="B62" s="5">
        <v>2792312.0</v>
      </c>
      <c r="C62" s="2" t="s">
        <v>1575</v>
      </c>
      <c r="D62" s="2" t="s">
        <v>1565</v>
      </c>
      <c r="E62" s="2">
        <v>10002.0</v>
      </c>
      <c r="F62" s="2" t="s">
        <v>1576</v>
      </c>
      <c r="I62" s="7">
        <v>1.0</v>
      </c>
      <c r="J62" s="6">
        <v>18571.0</v>
      </c>
      <c r="K62" s="2">
        <v>0.0</v>
      </c>
      <c r="L62" s="2">
        <v>18571.0</v>
      </c>
      <c r="M62" s="2">
        <v>0.0</v>
      </c>
      <c r="N62" s="2">
        <v>18571.0</v>
      </c>
      <c r="O62" s="2">
        <v>929.0</v>
      </c>
      <c r="P62" s="2" t="s">
        <v>1574</v>
      </c>
      <c r="Q62" s="2" t="s">
        <v>1568</v>
      </c>
      <c r="R62" s="2" t="s">
        <v>1569</v>
      </c>
      <c r="S62" s="2" t="s">
        <v>1570</v>
      </c>
      <c r="W62" s="2" t="s">
        <v>1571</v>
      </c>
    </row>
    <row r="63">
      <c r="A63" s="4">
        <v>45564.58819444444</v>
      </c>
      <c r="B63" s="5">
        <v>2792312.0</v>
      </c>
      <c r="C63" s="2" t="s">
        <v>1575</v>
      </c>
      <c r="D63" s="2" t="s">
        <v>1565</v>
      </c>
      <c r="E63" s="2">
        <v>10005.0</v>
      </c>
      <c r="F63" s="2" t="s">
        <v>1595</v>
      </c>
      <c r="I63" s="7">
        <v>1.0</v>
      </c>
      <c r="J63" s="6">
        <v>19524.0</v>
      </c>
      <c r="K63" s="2">
        <v>0.0</v>
      </c>
      <c r="L63" s="2">
        <v>19524.0</v>
      </c>
      <c r="M63" s="2">
        <v>0.0</v>
      </c>
      <c r="N63" s="2">
        <v>19524.0</v>
      </c>
      <c r="O63" s="2">
        <v>976.0</v>
      </c>
      <c r="P63" s="2" t="s">
        <v>1574</v>
      </c>
      <c r="Q63" s="2" t="s">
        <v>1568</v>
      </c>
      <c r="R63" s="2" t="s">
        <v>1569</v>
      </c>
      <c r="S63" s="2" t="s">
        <v>1570</v>
      </c>
      <c r="W63" s="2" t="s">
        <v>1571</v>
      </c>
    </row>
    <row r="64">
      <c r="A64" s="4">
        <v>45564.58819444444</v>
      </c>
      <c r="B64" s="5">
        <v>2792312.0</v>
      </c>
      <c r="C64" s="2" t="s">
        <v>1575</v>
      </c>
      <c r="D64" s="2" t="s">
        <v>1572</v>
      </c>
      <c r="E64" s="2">
        <v>10128.0</v>
      </c>
      <c r="F64" s="2" t="s">
        <v>1588</v>
      </c>
      <c r="I64" s="7">
        <v>1.0</v>
      </c>
      <c r="J64" s="6">
        <v>23333.0</v>
      </c>
      <c r="K64" s="2">
        <v>0.0</v>
      </c>
      <c r="L64" s="2">
        <v>23333.0</v>
      </c>
      <c r="M64" s="2">
        <v>0.0</v>
      </c>
      <c r="N64" s="2">
        <v>23333.0</v>
      </c>
      <c r="O64" s="2">
        <v>1166.0</v>
      </c>
      <c r="P64" s="2" t="s">
        <v>1574</v>
      </c>
      <c r="Q64" s="2" t="s">
        <v>1568</v>
      </c>
      <c r="R64" s="2" t="s">
        <v>1569</v>
      </c>
      <c r="S64" s="2" t="s">
        <v>1570</v>
      </c>
      <c r="W64" s="2" t="s">
        <v>1571</v>
      </c>
    </row>
    <row r="65">
      <c r="A65" s="4">
        <v>45564.58819444444</v>
      </c>
      <c r="B65" s="5">
        <v>2792312.0</v>
      </c>
      <c r="C65" s="2" t="s">
        <v>1575</v>
      </c>
      <c r="D65" s="2" t="s">
        <v>1572</v>
      </c>
      <c r="E65" s="2">
        <v>10125.0</v>
      </c>
      <c r="F65" s="2" t="s">
        <v>1601</v>
      </c>
      <c r="I65" s="7">
        <v>1.0</v>
      </c>
      <c r="J65" s="6">
        <v>20476.0</v>
      </c>
      <c r="K65" s="2">
        <v>0.0</v>
      </c>
      <c r="L65" s="2">
        <v>20476.0</v>
      </c>
      <c r="M65" s="2">
        <v>0.0</v>
      </c>
      <c r="N65" s="2">
        <v>20476.0</v>
      </c>
      <c r="O65" s="2">
        <v>1024.0</v>
      </c>
      <c r="P65" s="2" t="s">
        <v>1574</v>
      </c>
      <c r="Q65" s="2" t="s">
        <v>1568</v>
      </c>
      <c r="R65" s="2" t="s">
        <v>1569</v>
      </c>
      <c r="S65" s="2" t="s">
        <v>1570</v>
      </c>
      <c r="W65" s="2" t="s">
        <v>1571</v>
      </c>
    </row>
    <row r="66">
      <c r="A66" s="4">
        <v>45564.58611111111</v>
      </c>
      <c r="B66" s="5">
        <v>2791946.0</v>
      </c>
      <c r="C66" s="2" t="s">
        <v>1575</v>
      </c>
      <c r="D66" s="2" t="s">
        <v>1572</v>
      </c>
      <c r="E66" s="2">
        <v>10125.0</v>
      </c>
      <c r="F66" s="2" t="s">
        <v>1601</v>
      </c>
      <c r="I66" s="7">
        <v>1.0</v>
      </c>
      <c r="J66" s="6">
        <v>20476.0</v>
      </c>
      <c r="K66" s="2">
        <v>0.0</v>
      </c>
      <c r="L66" s="2">
        <v>20476.0</v>
      </c>
      <c r="M66" s="2">
        <v>0.0</v>
      </c>
      <c r="N66" s="2">
        <v>20476.0</v>
      </c>
      <c r="O66" s="2">
        <v>1024.0</v>
      </c>
      <c r="P66" s="2" t="s">
        <v>1574</v>
      </c>
      <c r="Q66" s="2" t="s">
        <v>1568</v>
      </c>
      <c r="R66" s="2" t="s">
        <v>1569</v>
      </c>
      <c r="S66" s="2" t="s">
        <v>1570</v>
      </c>
      <c r="W66" s="2" t="s">
        <v>1571</v>
      </c>
    </row>
    <row r="67">
      <c r="A67" s="4">
        <v>45564.58611111111</v>
      </c>
      <c r="B67" s="5">
        <v>2791946.0</v>
      </c>
      <c r="C67" s="2" t="s">
        <v>1575</v>
      </c>
      <c r="D67" s="2" t="s">
        <v>1572</v>
      </c>
      <c r="E67" s="2">
        <v>10128.0</v>
      </c>
      <c r="F67" s="2" t="s">
        <v>1588</v>
      </c>
      <c r="I67" s="7">
        <v>1.0</v>
      </c>
      <c r="J67" s="6">
        <v>23333.0</v>
      </c>
      <c r="K67" s="2">
        <v>0.0</v>
      </c>
      <c r="L67" s="2">
        <v>23333.0</v>
      </c>
      <c r="M67" s="2">
        <v>0.0</v>
      </c>
      <c r="N67" s="2">
        <v>23333.0</v>
      </c>
      <c r="O67" s="2">
        <v>1166.0</v>
      </c>
      <c r="P67" s="2" t="s">
        <v>1574</v>
      </c>
      <c r="Q67" s="2" t="s">
        <v>1568</v>
      </c>
      <c r="R67" s="2" t="s">
        <v>1569</v>
      </c>
      <c r="S67" s="2" t="s">
        <v>1570</v>
      </c>
      <c r="W67" s="2" t="s">
        <v>1571</v>
      </c>
    </row>
    <row r="68">
      <c r="A68" s="4">
        <v>45564.58611111111</v>
      </c>
      <c r="B68" s="5">
        <v>2791946.0</v>
      </c>
      <c r="C68" s="2" t="s">
        <v>1575</v>
      </c>
      <c r="D68" s="2" t="s">
        <v>1565</v>
      </c>
      <c r="E68" s="2">
        <v>10055.0</v>
      </c>
      <c r="F68" s="2" t="s">
        <v>1597</v>
      </c>
      <c r="I68" s="7">
        <v>2.0</v>
      </c>
      <c r="J68" s="6">
        <v>69524.0</v>
      </c>
      <c r="K68" s="2">
        <v>0.0</v>
      </c>
      <c r="L68" s="2">
        <v>69524.0</v>
      </c>
      <c r="M68" s="2">
        <v>0.0</v>
      </c>
      <c r="N68" s="2">
        <v>69524.0</v>
      </c>
      <c r="O68" s="2">
        <v>3477.0</v>
      </c>
      <c r="P68" s="2" t="s">
        <v>1574</v>
      </c>
      <c r="Q68" s="2" t="s">
        <v>1568</v>
      </c>
      <c r="R68" s="2" t="s">
        <v>1569</v>
      </c>
      <c r="S68" s="2" t="s">
        <v>1570</v>
      </c>
      <c r="W68" s="2" t="s">
        <v>1571</v>
      </c>
    </row>
    <row r="69">
      <c r="A69" s="4">
        <v>45564.57916666667</v>
      </c>
      <c r="B69" s="5">
        <v>2791581.0</v>
      </c>
      <c r="C69" s="2" t="s">
        <v>1575</v>
      </c>
      <c r="D69" s="2" t="s">
        <v>1565</v>
      </c>
      <c r="E69" s="2">
        <v>10005.0</v>
      </c>
      <c r="F69" s="2" t="s">
        <v>1595</v>
      </c>
      <c r="I69" s="7">
        <v>1.0</v>
      </c>
      <c r="J69" s="6">
        <v>19524.0</v>
      </c>
      <c r="K69" s="2">
        <v>0.0</v>
      </c>
      <c r="L69" s="2">
        <v>19524.0</v>
      </c>
      <c r="M69" s="2">
        <v>0.0</v>
      </c>
      <c r="N69" s="2">
        <v>19524.0</v>
      </c>
      <c r="O69" s="2">
        <v>976.0</v>
      </c>
      <c r="P69" s="2" t="s">
        <v>1574</v>
      </c>
      <c r="Q69" s="2" t="s">
        <v>1568</v>
      </c>
      <c r="R69" s="2" t="s">
        <v>1569</v>
      </c>
      <c r="S69" s="2" t="s">
        <v>1570</v>
      </c>
      <c r="W69" s="2" t="s">
        <v>1571</v>
      </c>
    </row>
    <row r="70">
      <c r="A70" s="4">
        <v>45564.57916666667</v>
      </c>
      <c r="B70" s="5">
        <v>2791581.0</v>
      </c>
      <c r="C70" s="2" t="s">
        <v>1575</v>
      </c>
      <c r="D70" s="2" t="s">
        <v>1572</v>
      </c>
      <c r="E70" s="2">
        <v>10128.0</v>
      </c>
      <c r="F70" s="2" t="s">
        <v>1588</v>
      </c>
      <c r="I70" s="7">
        <v>1.0</v>
      </c>
      <c r="J70" s="6">
        <v>23333.0</v>
      </c>
      <c r="K70" s="2">
        <v>0.0</v>
      </c>
      <c r="L70" s="2">
        <v>23333.0</v>
      </c>
      <c r="M70" s="2">
        <v>0.0</v>
      </c>
      <c r="N70" s="2">
        <v>23333.0</v>
      </c>
      <c r="O70" s="2">
        <v>1167.0</v>
      </c>
      <c r="P70" s="2" t="s">
        <v>1574</v>
      </c>
      <c r="Q70" s="2" t="s">
        <v>1568</v>
      </c>
      <c r="R70" s="2" t="s">
        <v>1569</v>
      </c>
      <c r="S70" s="2" t="s">
        <v>1570</v>
      </c>
      <c r="W70" s="2" t="s">
        <v>1571</v>
      </c>
    </row>
    <row r="71">
      <c r="A71" s="4">
        <v>45564.57916666667</v>
      </c>
      <c r="B71" s="5">
        <v>2791581.0</v>
      </c>
      <c r="C71" s="2" t="s">
        <v>1575</v>
      </c>
      <c r="D71" s="2" t="s">
        <v>1565</v>
      </c>
      <c r="E71" s="2">
        <v>10007.0</v>
      </c>
      <c r="F71" s="2" t="s">
        <v>1596</v>
      </c>
      <c r="I71" s="7">
        <v>1.0</v>
      </c>
      <c r="J71" s="6">
        <v>33810.0</v>
      </c>
      <c r="K71" s="2">
        <v>0.0</v>
      </c>
      <c r="L71" s="2">
        <v>33810.0</v>
      </c>
      <c r="M71" s="2">
        <v>0.0</v>
      </c>
      <c r="N71" s="2">
        <v>33810.0</v>
      </c>
      <c r="O71" s="2">
        <v>1690.0</v>
      </c>
      <c r="P71" s="2" t="s">
        <v>1574</v>
      </c>
      <c r="Q71" s="2" t="s">
        <v>1568</v>
      </c>
      <c r="R71" s="2" t="s">
        <v>1569</v>
      </c>
      <c r="S71" s="2" t="s">
        <v>1570</v>
      </c>
      <c r="W71" s="2" t="s">
        <v>1571</v>
      </c>
    </row>
    <row r="72">
      <c r="A72" s="4">
        <v>45564.53611111111</v>
      </c>
      <c r="B72" s="5">
        <v>2791216.0</v>
      </c>
      <c r="C72" s="2" t="s">
        <v>1575</v>
      </c>
      <c r="D72" s="2" t="s">
        <v>1565</v>
      </c>
      <c r="E72" s="2">
        <v>10002.0</v>
      </c>
      <c r="F72" s="2" t="s">
        <v>1576</v>
      </c>
      <c r="I72" s="7">
        <v>1.0</v>
      </c>
      <c r="J72" s="6">
        <v>18571.0</v>
      </c>
      <c r="K72" s="2">
        <v>0.0</v>
      </c>
      <c r="L72" s="2">
        <v>18571.0</v>
      </c>
      <c r="M72" s="2">
        <v>0.0</v>
      </c>
      <c r="N72" s="2">
        <v>18571.0</v>
      </c>
      <c r="O72" s="2">
        <v>929.0</v>
      </c>
      <c r="P72" s="2" t="s">
        <v>1574</v>
      </c>
      <c r="Q72" s="2" t="s">
        <v>1568</v>
      </c>
      <c r="R72" s="2" t="s">
        <v>1569</v>
      </c>
      <c r="S72" s="2" t="s">
        <v>1570</v>
      </c>
      <c r="W72" s="2" t="s">
        <v>1571</v>
      </c>
    </row>
    <row r="73">
      <c r="A73" s="4">
        <v>45564.53611111111</v>
      </c>
      <c r="B73" s="5">
        <v>2791216.0</v>
      </c>
      <c r="C73" s="2" t="s">
        <v>1575</v>
      </c>
      <c r="D73" s="2" t="s">
        <v>1580</v>
      </c>
      <c r="E73" s="2">
        <v>10012.0</v>
      </c>
      <c r="F73" s="2" t="s">
        <v>1602</v>
      </c>
      <c r="I73" s="7">
        <v>1.0</v>
      </c>
      <c r="J73" s="6">
        <v>29524.0</v>
      </c>
      <c r="K73" s="2">
        <v>0.0</v>
      </c>
      <c r="L73" s="2">
        <v>29524.0</v>
      </c>
      <c r="M73" s="2">
        <v>0.0</v>
      </c>
      <c r="N73" s="2">
        <v>29524.0</v>
      </c>
      <c r="O73" s="2">
        <v>1476.0</v>
      </c>
      <c r="P73" s="2" t="s">
        <v>1574</v>
      </c>
      <c r="Q73" s="2" t="s">
        <v>1568</v>
      </c>
      <c r="R73" s="2" t="s">
        <v>1569</v>
      </c>
      <c r="S73" s="2" t="s">
        <v>1570</v>
      </c>
      <c r="W73" s="2" t="s">
        <v>1571</v>
      </c>
    </row>
    <row r="74">
      <c r="A74" s="4">
        <v>45564.53611111111</v>
      </c>
      <c r="B74" s="5">
        <v>2791216.0</v>
      </c>
      <c r="C74" s="2" t="s">
        <v>1575</v>
      </c>
      <c r="D74" s="2" t="s">
        <v>1572</v>
      </c>
      <c r="E74" s="2">
        <v>10070.0</v>
      </c>
      <c r="F74" s="2" t="s">
        <v>1593</v>
      </c>
      <c r="I74" s="7">
        <v>1.0</v>
      </c>
      <c r="J74" s="6">
        <v>24762.0</v>
      </c>
      <c r="K74" s="2">
        <v>0.0</v>
      </c>
      <c r="L74" s="2">
        <v>24762.0</v>
      </c>
      <c r="M74" s="2">
        <v>0.0</v>
      </c>
      <c r="N74" s="2">
        <v>24762.0</v>
      </c>
      <c r="O74" s="2">
        <v>1238.0</v>
      </c>
      <c r="P74" s="2" t="s">
        <v>1574</v>
      </c>
      <c r="Q74" s="2" t="s">
        <v>1568</v>
      </c>
      <c r="R74" s="2" t="s">
        <v>1569</v>
      </c>
      <c r="S74" s="2" t="s">
        <v>1570</v>
      </c>
      <c r="W74" s="2" t="s">
        <v>1571</v>
      </c>
    </row>
    <row r="75">
      <c r="A75" s="4">
        <v>45564.53611111111</v>
      </c>
      <c r="B75" s="5">
        <v>2791216.0</v>
      </c>
      <c r="C75" s="2" t="s">
        <v>1575</v>
      </c>
      <c r="D75" s="2" t="s">
        <v>1580</v>
      </c>
      <c r="E75" s="2">
        <v>10003.0</v>
      </c>
      <c r="F75" s="2" t="s">
        <v>1603</v>
      </c>
      <c r="I75" s="7">
        <v>1.0</v>
      </c>
      <c r="J75" s="6">
        <v>29524.0</v>
      </c>
      <c r="K75" s="2">
        <v>0.0</v>
      </c>
      <c r="L75" s="2">
        <v>29524.0</v>
      </c>
      <c r="M75" s="2">
        <v>0.0</v>
      </c>
      <c r="N75" s="2">
        <v>29524.0</v>
      </c>
      <c r="O75" s="2">
        <v>1476.0</v>
      </c>
      <c r="P75" s="2" t="s">
        <v>1574</v>
      </c>
      <c r="Q75" s="2" t="s">
        <v>1568</v>
      </c>
      <c r="R75" s="2" t="s">
        <v>1569</v>
      </c>
      <c r="S75" s="2" t="s">
        <v>1570</v>
      </c>
      <c r="W75" s="2" t="s">
        <v>1571</v>
      </c>
    </row>
    <row r="76">
      <c r="A76" s="4">
        <v>45564.53611111111</v>
      </c>
      <c r="B76" s="5">
        <v>2791216.0</v>
      </c>
      <c r="C76" s="2" t="s">
        <v>1575</v>
      </c>
      <c r="D76" s="2" t="s">
        <v>1572</v>
      </c>
      <c r="E76" s="2">
        <v>10118.0</v>
      </c>
      <c r="F76" s="2" t="s">
        <v>1604</v>
      </c>
      <c r="I76" s="7">
        <v>1.0</v>
      </c>
      <c r="J76" s="6">
        <v>7143.0</v>
      </c>
      <c r="K76" s="2">
        <v>0.0</v>
      </c>
      <c r="L76" s="2">
        <v>7143.0</v>
      </c>
      <c r="M76" s="2">
        <v>0.0</v>
      </c>
      <c r="N76" s="2">
        <v>7143.0</v>
      </c>
      <c r="O76" s="2">
        <v>357.0</v>
      </c>
      <c r="P76" s="2" t="s">
        <v>1574</v>
      </c>
      <c r="Q76" s="2" t="s">
        <v>1568</v>
      </c>
      <c r="R76" s="2" t="s">
        <v>1569</v>
      </c>
      <c r="S76" s="2" t="s">
        <v>1570</v>
      </c>
      <c r="W76" s="2" t="s">
        <v>1571</v>
      </c>
    </row>
    <row r="77">
      <c r="A77" s="4">
        <v>45564.532638888886</v>
      </c>
      <c r="B77" s="5">
        <v>2790851.0</v>
      </c>
      <c r="C77" s="2" t="s">
        <v>1575</v>
      </c>
      <c r="D77" s="2" t="s">
        <v>1565</v>
      </c>
      <c r="E77" s="2">
        <v>10002.0</v>
      </c>
      <c r="F77" s="2" t="s">
        <v>1576</v>
      </c>
      <c r="I77" s="7">
        <v>1.0</v>
      </c>
      <c r="J77" s="6">
        <v>18571.0</v>
      </c>
      <c r="K77" s="2">
        <v>0.0</v>
      </c>
      <c r="L77" s="2">
        <v>18571.0</v>
      </c>
      <c r="M77" s="2">
        <v>0.0</v>
      </c>
      <c r="N77" s="2">
        <v>18571.0</v>
      </c>
      <c r="O77" s="2">
        <v>929.0</v>
      </c>
      <c r="P77" s="2" t="s">
        <v>1574</v>
      </c>
      <c r="Q77" s="2" t="s">
        <v>1568</v>
      </c>
      <c r="R77" s="2" t="s">
        <v>1569</v>
      </c>
      <c r="S77" s="2" t="s">
        <v>1570</v>
      </c>
      <c r="W77" s="2" t="s">
        <v>1571</v>
      </c>
    </row>
    <row r="78">
      <c r="A78" s="4">
        <v>45564.532638888886</v>
      </c>
      <c r="B78" s="5">
        <v>2790851.0</v>
      </c>
      <c r="C78" s="2" t="s">
        <v>1575</v>
      </c>
      <c r="D78" s="2" t="s">
        <v>1565</v>
      </c>
      <c r="E78" s="2">
        <v>10005.0</v>
      </c>
      <c r="F78" s="2" t="s">
        <v>1595</v>
      </c>
      <c r="I78" s="7">
        <v>1.0</v>
      </c>
      <c r="J78" s="6">
        <v>19524.0</v>
      </c>
      <c r="K78" s="2">
        <v>0.0</v>
      </c>
      <c r="L78" s="2">
        <v>19524.0</v>
      </c>
      <c r="M78" s="2">
        <v>0.0</v>
      </c>
      <c r="N78" s="2">
        <v>19524.0</v>
      </c>
      <c r="O78" s="2">
        <v>976.0</v>
      </c>
      <c r="P78" s="2" t="s">
        <v>1574</v>
      </c>
      <c r="Q78" s="2" t="s">
        <v>1568</v>
      </c>
      <c r="R78" s="2" t="s">
        <v>1569</v>
      </c>
      <c r="S78" s="2" t="s">
        <v>1570</v>
      </c>
      <c r="W78" s="2" t="s">
        <v>1571</v>
      </c>
    </row>
    <row r="79">
      <c r="A79" s="4">
        <v>45564.532638888886</v>
      </c>
      <c r="B79" s="5">
        <v>2790851.0</v>
      </c>
      <c r="C79" s="2" t="s">
        <v>1575</v>
      </c>
      <c r="D79" s="2" t="s">
        <v>1572</v>
      </c>
      <c r="E79" s="2">
        <v>10128.0</v>
      </c>
      <c r="F79" s="2" t="s">
        <v>1588</v>
      </c>
      <c r="I79" s="7">
        <v>1.0</v>
      </c>
      <c r="J79" s="6">
        <v>23333.0</v>
      </c>
      <c r="K79" s="2">
        <v>0.0</v>
      </c>
      <c r="L79" s="2">
        <v>23333.0</v>
      </c>
      <c r="M79" s="2">
        <v>0.0</v>
      </c>
      <c r="N79" s="2">
        <v>23333.0</v>
      </c>
      <c r="O79" s="2">
        <v>1166.0</v>
      </c>
      <c r="P79" s="2" t="s">
        <v>1574</v>
      </c>
      <c r="Q79" s="2" t="s">
        <v>1568</v>
      </c>
      <c r="R79" s="2" t="s">
        <v>1569</v>
      </c>
      <c r="S79" s="2" t="s">
        <v>1570</v>
      </c>
      <c r="W79" s="2" t="s">
        <v>1571</v>
      </c>
    </row>
    <row r="80">
      <c r="A80" s="4">
        <v>45564.532638888886</v>
      </c>
      <c r="B80" s="5">
        <v>2790851.0</v>
      </c>
      <c r="C80" s="2" t="s">
        <v>1575</v>
      </c>
      <c r="D80" s="2" t="s">
        <v>1572</v>
      </c>
      <c r="E80" s="2">
        <v>10120.0</v>
      </c>
      <c r="F80" s="2" t="s">
        <v>1590</v>
      </c>
      <c r="I80" s="7">
        <v>1.0</v>
      </c>
      <c r="J80" s="6">
        <v>19524.0</v>
      </c>
      <c r="K80" s="2">
        <v>0.0</v>
      </c>
      <c r="L80" s="2">
        <v>19524.0</v>
      </c>
      <c r="M80" s="2">
        <v>0.0</v>
      </c>
      <c r="N80" s="2">
        <v>19524.0</v>
      </c>
      <c r="O80" s="2">
        <v>977.0</v>
      </c>
      <c r="P80" s="2" t="s">
        <v>1574</v>
      </c>
      <c r="Q80" s="2" t="s">
        <v>1568</v>
      </c>
      <c r="R80" s="2" t="s">
        <v>1569</v>
      </c>
      <c r="S80" s="2" t="s">
        <v>1570</v>
      </c>
      <c r="W80" s="2" t="s">
        <v>1571</v>
      </c>
    </row>
    <row r="81">
      <c r="A81" s="4">
        <v>45564.52291666667</v>
      </c>
      <c r="B81" s="5">
        <v>2790485.0</v>
      </c>
      <c r="C81" s="2" t="s">
        <v>1575</v>
      </c>
      <c r="D81" s="2" t="s">
        <v>1572</v>
      </c>
      <c r="E81" s="2">
        <v>10112.0</v>
      </c>
      <c r="F81" s="2" t="s">
        <v>1573</v>
      </c>
      <c r="I81" s="7">
        <v>2.0</v>
      </c>
      <c r="J81" s="6">
        <v>13334.0</v>
      </c>
      <c r="K81" s="2">
        <v>0.0</v>
      </c>
      <c r="L81" s="2">
        <v>13334.0</v>
      </c>
      <c r="M81" s="2">
        <v>0.0</v>
      </c>
      <c r="N81" s="2">
        <v>13334.0</v>
      </c>
      <c r="O81" s="2">
        <v>667.0</v>
      </c>
      <c r="P81" s="2" t="s">
        <v>1574</v>
      </c>
      <c r="Q81" s="2" t="s">
        <v>1568</v>
      </c>
      <c r="R81" s="2" t="s">
        <v>1569</v>
      </c>
      <c r="S81" s="2" t="s">
        <v>1570</v>
      </c>
      <c r="W81" s="2" t="s">
        <v>1571</v>
      </c>
    </row>
    <row r="82">
      <c r="A82" s="4">
        <v>45564.506944444445</v>
      </c>
      <c r="B82" s="5">
        <v>2790120.0</v>
      </c>
      <c r="C82" s="2" t="s">
        <v>1575</v>
      </c>
      <c r="D82" s="2" t="s">
        <v>1578</v>
      </c>
      <c r="E82" s="2">
        <v>10011.0</v>
      </c>
      <c r="F82" s="2" t="s">
        <v>1605</v>
      </c>
      <c r="I82" s="7">
        <v>1.0</v>
      </c>
      <c r="J82" s="6">
        <v>25238.0</v>
      </c>
      <c r="K82" s="2">
        <v>0.0</v>
      </c>
      <c r="L82" s="2">
        <v>25238.0</v>
      </c>
      <c r="M82" s="2">
        <v>0.0</v>
      </c>
      <c r="N82" s="2">
        <v>25238.0</v>
      </c>
      <c r="O82" s="2">
        <v>1262.0</v>
      </c>
      <c r="P82" s="2" t="s">
        <v>1574</v>
      </c>
      <c r="Q82" s="2" t="s">
        <v>1568</v>
      </c>
      <c r="R82" s="2" t="s">
        <v>1569</v>
      </c>
      <c r="S82" s="2" t="s">
        <v>1570</v>
      </c>
      <c r="W82" s="2" t="s">
        <v>1571</v>
      </c>
    </row>
    <row r="83">
      <c r="A83" s="4">
        <v>45564.506944444445</v>
      </c>
      <c r="B83" s="5">
        <v>2790120.0</v>
      </c>
      <c r="C83" s="2" t="s">
        <v>1575</v>
      </c>
      <c r="D83" s="2" t="s">
        <v>1578</v>
      </c>
      <c r="E83" s="2">
        <v>10010.0</v>
      </c>
      <c r="F83" s="2" t="s">
        <v>1606</v>
      </c>
      <c r="I83" s="7">
        <v>1.0</v>
      </c>
      <c r="J83" s="6">
        <v>25238.0</v>
      </c>
      <c r="K83" s="2">
        <v>0.0</v>
      </c>
      <c r="L83" s="2">
        <v>25238.0</v>
      </c>
      <c r="M83" s="2">
        <v>0.0</v>
      </c>
      <c r="N83" s="2">
        <v>25238.0</v>
      </c>
      <c r="O83" s="2">
        <v>1262.0</v>
      </c>
      <c r="P83" s="2" t="s">
        <v>1574</v>
      </c>
      <c r="Q83" s="2" t="s">
        <v>1568</v>
      </c>
      <c r="R83" s="2" t="s">
        <v>1569</v>
      </c>
      <c r="S83" s="2" t="s">
        <v>1570</v>
      </c>
      <c r="W83" s="2" t="s">
        <v>1571</v>
      </c>
    </row>
    <row r="84">
      <c r="A84" s="4">
        <v>45564.5</v>
      </c>
      <c r="B84" s="5">
        <v>2789755.0</v>
      </c>
      <c r="C84" s="2" t="s">
        <v>1575</v>
      </c>
      <c r="D84" s="2" t="s">
        <v>1565</v>
      </c>
      <c r="E84" s="2">
        <v>10000.0</v>
      </c>
      <c r="F84" s="2" t="s">
        <v>1566</v>
      </c>
      <c r="I84" s="7">
        <v>1.0</v>
      </c>
      <c r="J84" s="6">
        <v>29524.0</v>
      </c>
      <c r="K84" s="2">
        <v>0.0</v>
      </c>
      <c r="L84" s="2">
        <v>29524.0</v>
      </c>
      <c r="M84" s="2">
        <v>0.0</v>
      </c>
      <c r="N84" s="2">
        <v>29524.0</v>
      </c>
      <c r="O84" s="2">
        <v>1476.0</v>
      </c>
      <c r="P84" s="2" t="s">
        <v>1567</v>
      </c>
      <c r="Q84" s="2" t="s">
        <v>1568</v>
      </c>
      <c r="R84" s="2" t="s">
        <v>1569</v>
      </c>
      <c r="S84" s="2" t="s">
        <v>1570</v>
      </c>
      <c r="W84" s="2" t="s">
        <v>1571</v>
      </c>
    </row>
    <row r="85">
      <c r="A85" s="4">
        <v>45564.49930555555</v>
      </c>
      <c r="B85" s="5">
        <v>2789390.0</v>
      </c>
      <c r="C85" s="2" t="s">
        <v>1575</v>
      </c>
      <c r="D85" s="2" t="s">
        <v>1565</v>
      </c>
      <c r="E85" s="2">
        <v>10000.0</v>
      </c>
      <c r="F85" s="2" t="s">
        <v>1566</v>
      </c>
      <c r="I85" s="7">
        <v>1.0</v>
      </c>
      <c r="J85" s="6">
        <v>29524.0</v>
      </c>
      <c r="K85" s="2">
        <v>0.0</v>
      </c>
      <c r="L85" s="2">
        <v>29524.0</v>
      </c>
      <c r="M85" s="2">
        <v>0.0</v>
      </c>
      <c r="N85" s="2">
        <v>29524.0</v>
      </c>
      <c r="O85" s="2">
        <v>1476.0</v>
      </c>
      <c r="P85" s="2" t="s">
        <v>1574</v>
      </c>
      <c r="Q85" s="2" t="s">
        <v>1568</v>
      </c>
      <c r="R85" s="2" t="s">
        <v>1569</v>
      </c>
      <c r="S85" s="2" t="s">
        <v>1570</v>
      </c>
      <c r="W85" s="2" t="s">
        <v>1571</v>
      </c>
    </row>
    <row r="86">
      <c r="A86" s="4">
        <v>45564.498611111114</v>
      </c>
      <c r="B86" s="5">
        <v>2789024.0</v>
      </c>
      <c r="C86" s="2" t="s">
        <v>1575</v>
      </c>
      <c r="D86" s="2" t="s">
        <v>1572</v>
      </c>
      <c r="E86" s="2">
        <v>10128.0</v>
      </c>
      <c r="F86" s="2" t="s">
        <v>1588</v>
      </c>
      <c r="I86" s="7">
        <v>1.0</v>
      </c>
      <c r="J86" s="6">
        <v>23333.0</v>
      </c>
      <c r="K86" s="2">
        <v>0.0</v>
      </c>
      <c r="L86" s="2">
        <v>23333.0</v>
      </c>
      <c r="M86" s="2">
        <v>0.0</v>
      </c>
      <c r="N86" s="2">
        <v>23333.0</v>
      </c>
      <c r="O86" s="2">
        <v>1167.0</v>
      </c>
      <c r="P86" s="2" t="s">
        <v>1574</v>
      </c>
      <c r="Q86" s="2" t="s">
        <v>1568</v>
      </c>
      <c r="R86" s="2" t="s">
        <v>1569</v>
      </c>
      <c r="S86" s="2" t="s">
        <v>1570</v>
      </c>
      <c r="W86" s="2" t="s">
        <v>1571</v>
      </c>
    </row>
    <row r="87">
      <c r="A87" s="4">
        <v>45564.498611111114</v>
      </c>
      <c r="B87" s="5">
        <v>2789024.0</v>
      </c>
      <c r="C87" s="2" t="s">
        <v>1575</v>
      </c>
      <c r="D87" s="2" t="s">
        <v>1572</v>
      </c>
      <c r="E87" s="2">
        <v>10013.0</v>
      </c>
      <c r="F87" s="2" t="s">
        <v>1591</v>
      </c>
      <c r="I87" s="7">
        <v>1.0</v>
      </c>
      <c r="J87" s="6">
        <v>23333.0</v>
      </c>
      <c r="K87" s="2">
        <v>0.0</v>
      </c>
      <c r="L87" s="2">
        <v>23333.0</v>
      </c>
      <c r="M87" s="2">
        <v>0.0</v>
      </c>
      <c r="N87" s="2">
        <v>23333.0</v>
      </c>
      <c r="O87" s="2">
        <v>1166.0</v>
      </c>
      <c r="P87" s="2" t="s">
        <v>1574</v>
      </c>
      <c r="Q87" s="2" t="s">
        <v>1568</v>
      </c>
      <c r="R87" s="2" t="s">
        <v>1569</v>
      </c>
      <c r="S87" s="2" t="s">
        <v>1570</v>
      </c>
      <c r="W87" s="2" t="s">
        <v>1571</v>
      </c>
    </row>
    <row r="88">
      <c r="A88" s="4">
        <v>45564.498611111114</v>
      </c>
      <c r="B88" s="5">
        <v>2789024.0</v>
      </c>
      <c r="C88" s="2" t="s">
        <v>1575</v>
      </c>
      <c r="D88" s="2" t="s">
        <v>1565</v>
      </c>
      <c r="E88" s="2">
        <v>10007.0</v>
      </c>
      <c r="F88" s="2" t="s">
        <v>1596</v>
      </c>
      <c r="I88" s="7">
        <v>1.0</v>
      </c>
      <c r="J88" s="6">
        <v>33810.0</v>
      </c>
      <c r="K88" s="2">
        <v>0.0</v>
      </c>
      <c r="L88" s="2">
        <v>33810.0</v>
      </c>
      <c r="M88" s="2">
        <v>0.0</v>
      </c>
      <c r="N88" s="2">
        <v>33810.0</v>
      </c>
      <c r="O88" s="2">
        <v>1691.0</v>
      </c>
      <c r="P88" s="2" t="s">
        <v>1574</v>
      </c>
      <c r="Q88" s="2" t="s">
        <v>1568</v>
      </c>
      <c r="R88" s="2" t="s">
        <v>1569</v>
      </c>
      <c r="S88" s="2" t="s">
        <v>1570</v>
      </c>
      <c r="W88" s="2" t="s">
        <v>1571</v>
      </c>
    </row>
    <row r="89">
      <c r="A89" s="4">
        <v>45564.498611111114</v>
      </c>
      <c r="B89" s="5">
        <v>2789024.0</v>
      </c>
      <c r="C89" s="2" t="s">
        <v>1575</v>
      </c>
      <c r="D89" s="2" t="s">
        <v>1572</v>
      </c>
      <c r="E89" s="2">
        <v>10122.0</v>
      </c>
      <c r="F89" s="2" t="s">
        <v>1577</v>
      </c>
      <c r="I89" s="7">
        <v>1.0</v>
      </c>
      <c r="J89" s="6">
        <v>21905.0</v>
      </c>
      <c r="K89" s="2">
        <v>0.0</v>
      </c>
      <c r="L89" s="2">
        <v>21905.0</v>
      </c>
      <c r="M89" s="2">
        <v>0.0</v>
      </c>
      <c r="N89" s="2">
        <v>21905.0</v>
      </c>
      <c r="O89" s="2">
        <v>1095.0</v>
      </c>
      <c r="P89" s="2" t="s">
        <v>1574</v>
      </c>
      <c r="Q89" s="2" t="s">
        <v>1568</v>
      </c>
      <c r="R89" s="2" t="s">
        <v>1569</v>
      </c>
      <c r="S89" s="2" t="s">
        <v>1570</v>
      </c>
      <c r="W89" s="2" t="s">
        <v>1571</v>
      </c>
    </row>
    <row r="90">
      <c r="A90" s="4">
        <v>45564.49791666667</v>
      </c>
      <c r="B90" s="5">
        <v>2788659.0</v>
      </c>
      <c r="C90" s="2" t="s">
        <v>1575</v>
      </c>
      <c r="D90" s="2" t="s">
        <v>1572</v>
      </c>
      <c r="E90" s="2">
        <v>10122.0</v>
      </c>
      <c r="F90" s="2" t="s">
        <v>1577</v>
      </c>
      <c r="I90" s="7">
        <v>1.0</v>
      </c>
      <c r="J90" s="6">
        <v>21905.0</v>
      </c>
      <c r="K90" s="2">
        <v>0.0</v>
      </c>
      <c r="L90" s="2">
        <v>21905.0</v>
      </c>
      <c r="M90" s="2">
        <v>0.0</v>
      </c>
      <c r="N90" s="2">
        <v>21905.0</v>
      </c>
      <c r="O90" s="2">
        <v>1095.0</v>
      </c>
      <c r="P90" s="2" t="s">
        <v>1574</v>
      </c>
      <c r="Q90" s="2" t="s">
        <v>1568</v>
      </c>
      <c r="R90" s="2" t="s">
        <v>1569</v>
      </c>
      <c r="S90" s="2" t="s">
        <v>1570</v>
      </c>
      <c r="W90" s="2" t="s">
        <v>1571</v>
      </c>
    </row>
    <row r="91">
      <c r="A91" s="4">
        <v>45564.49791666667</v>
      </c>
      <c r="B91" s="5">
        <v>2788659.0</v>
      </c>
      <c r="C91" s="2" t="s">
        <v>1575</v>
      </c>
      <c r="D91" s="2" t="s">
        <v>1572</v>
      </c>
      <c r="E91" s="2">
        <v>10128.0</v>
      </c>
      <c r="F91" s="2" t="s">
        <v>1588</v>
      </c>
      <c r="I91" s="7">
        <v>1.0</v>
      </c>
      <c r="J91" s="6">
        <v>23333.0</v>
      </c>
      <c r="K91" s="2">
        <v>0.0</v>
      </c>
      <c r="L91" s="2">
        <v>23333.0</v>
      </c>
      <c r="M91" s="2">
        <v>0.0</v>
      </c>
      <c r="N91" s="2">
        <v>23333.0</v>
      </c>
      <c r="O91" s="2">
        <v>1167.0</v>
      </c>
      <c r="P91" s="2" t="s">
        <v>1574</v>
      </c>
      <c r="Q91" s="2" t="s">
        <v>1568</v>
      </c>
      <c r="R91" s="2" t="s">
        <v>1569</v>
      </c>
      <c r="S91" s="2" t="s">
        <v>1570</v>
      </c>
      <c r="W91" s="2" t="s">
        <v>1571</v>
      </c>
    </row>
    <row r="92">
      <c r="A92" s="4">
        <v>45564.49791666667</v>
      </c>
      <c r="B92" s="5">
        <v>2788659.0</v>
      </c>
      <c r="C92" s="2" t="s">
        <v>1575</v>
      </c>
      <c r="D92" s="2" t="s">
        <v>1572</v>
      </c>
      <c r="E92" s="2">
        <v>10013.0</v>
      </c>
      <c r="F92" s="2" t="s">
        <v>1591</v>
      </c>
      <c r="I92" s="7">
        <v>1.0</v>
      </c>
      <c r="J92" s="6">
        <v>23333.0</v>
      </c>
      <c r="K92" s="2">
        <v>0.0</v>
      </c>
      <c r="L92" s="2">
        <v>23333.0</v>
      </c>
      <c r="M92" s="2">
        <v>0.0</v>
      </c>
      <c r="N92" s="2">
        <v>23333.0</v>
      </c>
      <c r="O92" s="2">
        <v>1167.0</v>
      </c>
      <c r="P92" s="2" t="s">
        <v>1574</v>
      </c>
      <c r="Q92" s="2" t="s">
        <v>1568</v>
      </c>
      <c r="R92" s="2" t="s">
        <v>1569</v>
      </c>
      <c r="S92" s="2" t="s">
        <v>1570</v>
      </c>
      <c r="W92" s="2" t="s">
        <v>1571</v>
      </c>
    </row>
    <row r="93">
      <c r="A93" s="4">
        <v>45564.49097222222</v>
      </c>
      <c r="B93" s="5">
        <v>2788294.0</v>
      </c>
      <c r="C93" s="2" t="s">
        <v>1575</v>
      </c>
      <c r="D93" s="2" t="s">
        <v>1572</v>
      </c>
      <c r="E93" s="2">
        <v>10013.0</v>
      </c>
      <c r="F93" s="2" t="s">
        <v>1591</v>
      </c>
      <c r="I93" s="7">
        <v>1.0</v>
      </c>
      <c r="J93" s="6">
        <v>23333.0</v>
      </c>
      <c r="K93" s="2">
        <v>0.0</v>
      </c>
      <c r="L93" s="2">
        <v>23333.0</v>
      </c>
      <c r="M93" s="2">
        <v>0.0</v>
      </c>
      <c r="N93" s="2">
        <v>23333.0</v>
      </c>
      <c r="O93" s="2">
        <v>1167.0</v>
      </c>
      <c r="P93" s="2" t="s">
        <v>1567</v>
      </c>
      <c r="Q93" s="2" t="s">
        <v>1568</v>
      </c>
      <c r="R93" s="2" t="s">
        <v>1569</v>
      </c>
      <c r="S93" s="2" t="s">
        <v>1570</v>
      </c>
      <c r="W93" s="2" t="s">
        <v>1571</v>
      </c>
    </row>
    <row r="94">
      <c r="A94" s="4">
        <v>45564.49097222222</v>
      </c>
      <c r="B94" s="5">
        <v>2788294.0</v>
      </c>
      <c r="C94" s="2" t="s">
        <v>1575</v>
      </c>
      <c r="D94" s="2" t="s">
        <v>1565</v>
      </c>
      <c r="E94" s="2">
        <v>10007.0</v>
      </c>
      <c r="F94" s="2" t="s">
        <v>1596</v>
      </c>
      <c r="I94" s="7">
        <v>1.0</v>
      </c>
      <c r="J94" s="6">
        <v>33810.0</v>
      </c>
      <c r="K94" s="2">
        <v>0.0</v>
      </c>
      <c r="L94" s="2">
        <v>33810.0</v>
      </c>
      <c r="M94" s="2">
        <v>0.0</v>
      </c>
      <c r="N94" s="2">
        <v>33810.0</v>
      </c>
      <c r="O94" s="2">
        <v>1690.0</v>
      </c>
      <c r="P94" s="2" t="s">
        <v>1567</v>
      </c>
      <c r="Q94" s="2" t="s">
        <v>1568</v>
      </c>
      <c r="R94" s="2" t="s">
        <v>1569</v>
      </c>
      <c r="S94" s="2" t="s">
        <v>1570</v>
      </c>
      <c r="W94" s="2" t="s">
        <v>1571</v>
      </c>
    </row>
    <row r="95">
      <c r="A95" s="4">
        <v>45564.49097222222</v>
      </c>
      <c r="B95" s="5">
        <v>2788294.0</v>
      </c>
      <c r="C95" s="2" t="s">
        <v>1575</v>
      </c>
      <c r="D95" s="2" t="s">
        <v>1565</v>
      </c>
      <c r="E95" s="2">
        <v>10005.0</v>
      </c>
      <c r="F95" s="2" t="s">
        <v>1595</v>
      </c>
      <c r="I95" s="7">
        <v>1.0</v>
      </c>
      <c r="J95" s="6">
        <v>19524.0</v>
      </c>
      <c r="K95" s="2">
        <v>0.0</v>
      </c>
      <c r="L95" s="2">
        <v>19524.0</v>
      </c>
      <c r="M95" s="2">
        <v>0.0</v>
      </c>
      <c r="N95" s="2">
        <v>19524.0</v>
      </c>
      <c r="O95" s="2">
        <v>976.0</v>
      </c>
      <c r="P95" s="2" t="s">
        <v>1567</v>
      </c>
      <c r="Q95" s="2" t="s">
        <v>1568</v>
      </c>
      <c r="R95" s="2" t="s">
        <v>1569</v>
      </c>
      <c r="S95" s="2" t="s">
        <v>1570</v>
      </c>
      <c r="W95" s="2" t="s">
        <v>1571</v>
      </c>
    </row>
    <row r="96">
      <c r="A96" s="4">
        <v>45564.49097222222</v>
      </c>
      <c r="B96" s="5">
        <v>2788294.0</v>
      </c>
      <c r="C96" s="2" t="s">
        <v>1575</v>
      </c>
      <c r="D96" s="2" t="s">
        <v>1578</v>
      </c>
      <c r="E96" s="2">
        <v>10004.0</v>
      </c>
      <c r="F96" s="2" t="s">
        <v>1607</v>
      </c>
      <c r="I96" s="7">
        <v>1.0</v>
      </c>
      <c r="J96" s="6">
        <v>25238.0</v>
      </c>
      <c r="K96" s="2">
        <v>0.0</v>
      </c>
      <c r="L96" s="2">
        <v>25238.0</v>
      </c>
      <c r="M96" s="2">
        <v>0.0</v>
      </c>
      <c r="N96" s="2">
        <v>25238.0</v>
      </c>
      <c r="O96" s="2">
        <v>1262.0</v>
      </c>
      <c r="P96" s="2" t="s">
        <v>1567</v>
      </c>
      <c r="Q96" s="2" t="s">
        <v>1568</v>
      </c>
      <c r="R96" s="2" t="s">
        <v>1569</v>
      </c>
      <c r="S96" s="2" t="s">
        <v>1570</v>
      </c>
      <c r="W96" s="2" t="s">
        <v>1571</v>
      </c>
    </row>
    <row r="97">
      <c r="A97" s="4">
        <v>45564.489583333336</v>
      </c>
      <c r="B97" s="5">
        <v>2787929.0</v>
      </c>
      <c r="C97" s="2" t="s">
        <v>1575</v>
      </c>
      <c r="D97" s="2" t="s">
        <v>1565</v>
      </c>
      <c r="E97" s="2">
        <v>10007.0</v>
      </c>
      <c r="F97" s="2" t="s">
        <v>1596</v>
      </c>
      <c r="I97" s="7">
        <v>1.0</v>
      </c>
      <c r="J97" s="6">
        <v>33810.0</v>
      </c>
      <c r="K97" s="2">
        <v>0.0</v>
      </c>
      <c r="L97" s="2">
        <v>33810.0</v>
      </c>
      <c r="M97" s="2">
        <v>0.0</v>
      </c>
      <c r="N97" s="2">
        <v>33810.0</v>
      </c>
      <c r="O97" s="2">
        <v>1691.0</v>
      </c>
      <c r="P97" s="2" t="s">
        <v>1567</v>
      </c>
      <c r="Q97" s="2" t="s">
        <v>1568</v>
      </c>
      <c r="R97" s="2" t="s">
        <v>1569</v>
      </c>
      <c r="S97" s="2" t="s">
        <v>1570</v>
      </c>
      <c r="W97" s="2" t="s">
        <v>1571</v>
      </c>
    </row>
    <row r="98">
      <c r="A98" s="4">
        <v>45564.489583333336</v>
      </c>
      <c r="B98" s="5">
        <v>2787929.0</v>
      </c>
      <c r="C98" s="2" t="s">
        <v>1575</v>
      </c>
      <c r="D98" s="2" t="s">
        <v>1565</v>
      </c>
      <c r="E98" s="2">
        <v>10005.0</v>
      </c>
      <c r="F98" s="2" t="s">
        <v>1595</v>
      </c>
      <c r="I98" s="7">
        <v>1.0</v>
      </c>
      <c r="J98" s="6">
        <v>19524.0</v>
      </c>
      <c r="K98" s="2">
        <v>0.0</v>
      </c>
      <c r="L98" s="2">
        <v>19524.0</v>
      </c>
      <c r="M98" s="2">
        <v>0.0</v>
      </c>
      <c r="N98" s="2">
        <v>19524.0</v>
      </c>
      <c r="O98" s="2">
        <v>976.0</v>
      </c>
      <c r="P98" s="2" t="s">
        <v>1567</v>
      </c>
      <c r="Q98" s="2" t="s">
        <v>1568</v>
      </c>
      <c r="R98" s="2" t="s">
        <v>1569</v>
      </c>
      <c r="S98" s="2" t="s">
        <v>1570</v>
      </c>
      <c r="W98" s="2" t="s">
        <v>1571</v>
      </c>
    </row>
    <row r="99">
      <c r="A99" s="4">
        <v>45564.489583333336</v>
      </c>
      <c r="B99" s="5">
        <v>2787929.0</v>
      </c>
      <c r="C99" s="2" t="s">
        <v>1575</v>
      </c>
      <c r="D99" s="2" t="s">
        <v>1572</v>
      </c>
      <c r="E99" s="2">
        <v>10013.0</v>
      </c>
      <c r="F99" s="2" t="s">
        <v>1591</v>
      </c>
      <c r="I99" s="7">
        <v>1.0</v>
      </c>
      <c r="J99" s="6">
        <v>23333.0</v>
      </c>
      <c r="K99" s="2">
        <v>0.0</v>
      </c>
      <c r="L99" s="2">
        <v>23333.0</v>
      </c>
      <c r="M99" s="2">
        <v>0.0</v>
      </c>
      <c r="N99" s="2">
        <v>23333.0</v>
      </c>
      <c r="O99" s="2">
        <v>1166.0</v>
      </c>
      <c r="P99" s="2" t="s">
        <v>1567</v>
      </c>
      <c r="Q99" s="2" t="s">
        <v>1568</v>
      </c>
      <c r="R99" s="2" t="s">
        <v>1569</v>
      </c>
      <c r="S99" s="2" t="s">
        <v>1570</v>
      </c>
      <c r="W99" s="2" t="s">
        <v>1571</v>
      </c>
    </row>
    <row r="100">
      <c r="A100" s="4">
        <v>45564.45486111111</v>
      </c>
      <c r="B100" s="5">
        <v>2787563.0</v>
      </c>
      <c r="C100" s="2" t="s">
        <v>1575</v>
      </c>
      <c r="D100" s="2" t="s">
        <v>1572</v>
      </c>
      <c r="E100" s="2">
        <v>10026.0</v>
      </c>
      <c r="F100" s="2" t="s">
        <v>1583</v>
      </c>
      <c r="I100" s="7">
        <v>1.0</v>
      </c>
      <c r="J100" s="6">
        <v>21905.0</v>
      </c>
      <c r="K100" s="2">
        <v>0.0</v>
      </c>
      <c r="L100" s="2">
        <v>21905.0</v>
      </c>
      <c r="M100" s="2">
        <v>0.0</v>
      </c>
      <c r="N100" s="2">
        <v>21905.0</v>
      </c>
      <c r="O100" s="2">
        <v>1095.0</v>
      </c>
      <c r="P100" s="2" t="s">
        <v>1574</v>
      </c>
      <c r="Q100" s="2" t="s">
        <v>1568</v>
      </c>
      <c r="R100" s="2" t="s">
        <v>1569</v>
      </c>
      <c r="S100" s="2" t="s">
        <v>1570</v>
      </c>
      <c r="W100" s="2" t="s">
        <v>1571</v>
      </c>
    </row>
    <row r="101">
      <c r="A101" s="4">
        <v>45564.45486111111</v>
      </c>
      <c r="B101" s="5">
        <v>2787563.0</v>
      </c>
      <c r="C101" s="2" t="s">
        <v>1575</v>
      </c>
      <c r="D101" s="2" t="s">
        <v>1572</v>
      </c>
      <c r="E101" s="2">
        <v>10107.0</v>
      </c>
      <c r="F101" s="2" t="s">
        <v>1584</v>
      </c>
      <c r="I101" s="7">
        <v>1.0</v>
      </c>
      <c r="J101" s="6">
        <v>26667.0</v>
      </c>
      <c r="K101" s="2">
        <v>0.0</v>
      </c>
      <c r="L101" s="2">
        <v>26667.0</v>
      </c>
      <c r="M101" s="2">
        <v>0.0</v>
      </c>
      <c r="N101" s="2">
        <v>26667.0</v>
      </c>
      <c r="O101" s="2">
        <v>1334.0</v>
      </c>
      <c r="P101" s="2" t="s">
        <v>1574</v>
      </c>
      <c r="Q101" s="2" t="s">
        <v>1568</v>
      </c>
      <c r="R101" s="2" t="s">
        <v>1569</v>
      </c>
      <c r="S101" s="2" t="s">
        <v>1570</v>
      </c>
      <c r="W101" s="2" t="s">
        <v>1571</v>
      </c>
    </row>
    <row r="102">
      <c r="A102" s="4">
        <v>45564.45486111111</v>
      </c>
      <c r="B102" s="5">
        <v>2787563.0</v>
      </c>
      <c r="C102" s="2" t="s">
        <v>1575</v>
      </c>
      <c r="D102" s="2" t="s">
        <v>1578</v>
      </c>
      <c r="E102" s="2">
        <v>10051.0</v>
      </c>
      <c r="F102" s="2" t="s">
        <v>1579</v>
      </c>
      <c r="I102" s="7">
        <v>1.0</v>
      </c>
      <c r="J102" s="6">
        <v>25238.0</v>
      </c>
      <c r="K102" s="2">
        <v>0.0</v>
      </c>
      <c r="L102" s="2">
        <v>25238.0</v>
      </c>
      <c r="M102" s="2">
        <v>0.0</v>
      </c>
      <c r="N102" s="2">
        <v>25238.0</v>
      </c>
      <c r="O102" s="2">
        <v>1262.0</v>
      </c>
      <c r="P102" s="2" t="s">
        <v>1574</v>
      </c>
      <c r="Q102" s="2" t="s">
        <v>1568</v>
      </c>
      <c r="R102" s="2" t="s">
        <v>1569</v>
      </c>
      <c r="S102" s="2" t="s">
        <v>1570</v>
      </c>
      <c r="W102" s="2" t="s">
        <v>1571</v>
      </c>
    </row>
    <row r="103">
      <c r="A103" s="4">
        <v>45564.45486111111</v>
      </c>
      <c r="B103" s="5">
        <v>2787563.0</v>
      </c>
      <c r="C103" s="2" t="s">
        <v>1575</v>
      </c>
      <c r="D103" s="2" t="s">
        <v>1578</v>
      </c>
      <c r="E103" s="2">
        <v>10010.0</v>
      </c>
      <c r="F103" s="2" t="s">
        <v>1606</v>
      </c>
      <c r="I103" s="7">
        <v>1.0</v>
      </c>
      <c r="J103" s="6">
        <v>25238.0</v>
      </c>
      <c r="K103" s="2">
        <v>0.0</v>
      </c>
      <c r="L103" s="2">
        <v>25238.0</v>
      </c>
      <c r="M103" s="2">
        <v>0.0</v>
      </c>
      <c r="N103" s="2">
        <v>25238.0</v>
      </c>
      <c r="O103" s="2">
        <v>1261.0</v>
      </c>
      <c r="P103" s="2" t="s">
        <v>1574</v>
      </c>
      <c r="Q103" s="2" t="s">
        <v>1568</v>
      </c>
      <c r="R103" s="2" t="s">
        <v>1569</v>
      </c>
      <c r="S103" s="2" t="s">
        <v>1570</v>
      </c>
      <c r="W103" s="2" t="s">
        <v>1571</v>
      </c>
    </row>
    <row r="104">
      <c r="A104" s="4">
        <v>45564.45486111111</v>
      </c>
      <c r="B104" s="5">
        <v>2787563.0</v>
      </c>
      <c r="C104" s="2" t="s">
        <v>1575</v>
      </c>
      <c r="D104" s="2" t="s">
        <v>1572</v>
      </c>
      <c r="E104" s="2">
        <v>10057.0</v>
      </c>
      <c r="F104" s="2" t="s">
        <v>1608</v>
      </c>
      <c r="I104" s="7">
        <v>1.0</v>
      </c>
      <c r="J104" s="6">
        <v>19524.0</v>
      </c>
      <c r="K104" s="2">
        <v>0.0</v>
      </c>
      <c r="L104" s="2">
        <v>19524.0</v>
      </c>
      <c r="M104" s="2">
        <v>0.0</v>
      </c>
      <c r="N104" s="2">
        <v>19524.0</v>
      </c>
      <c r="O104" s="2">
        <v>977.0</v>
      </c>
      <c r="P104" s="2" t="s">
        <v>1574</v>
      </c>
      <c r="Q104" s="2" t="s">
        <v>1568</v>
      </c>
      <c r="R104" s="2" t="s">
        <v>1569</v>
      </c>
      <c r="S104" s="2" t="s">
        <v>1570</v>
      </c>
      <c r="W104" s="2" t="s">
        <v>1571</v>
      </c>
    </row>
    <row r="105">
      <c r="A105" s="4">
        <v>45564.45486111111</v>
      </c>
      <c r="B105" s="5">
        <v>2787563.0</v>
      </c>
      <c r="C105" s="2" t="s">
        <v>1575</v>
      </c>
      <c r="D105" s="2" t="s">
        <v>1572</v>
      </c>
      <c r="E105" s="2">
        <v>10125.0</v>
      </c>
      <c r="F105" s="2" t="s">
        <v>1601</v>
      </c>
      <c r="I105" s="7">
        <v>1.0</v>
      </c>
      <c r="J105" s="6">
        <v>20476.0</v>
      </c>
      <c r="K105" s="2">
        <v>0.0</v>
      </c>
      <c r="L105" s="2">
        <v>20476.0</v>
      </c>
      <c r="M105" s="2">
        <v>0.0</v>
      </c>
      <c r="N105" s="2">
        <v>20476.0</v>
      </c>
      <c r="O105" s="2">
        <v>1023.0</v>
      </c>
      <c r="P105" s="2" t="s">
        <v>1574</v>
      </c>
      <c r="Q105" s="2" t="s">
        <v>1568</v>
      </c>
      <c r="R105" s="2" t="s">
        <v>1569</v>
      </c>
      <c r="S105" s="2" t="s">
        <v>1570</v>
      </c>
      <c r="W105" s="2" t="s">
        <v>1571</v>
      </c>
    </row>
    <row r="106">
      <c r="A106" s="4">
        <v>45564.45486111111</v>
      </c>
      <c r="B106" s="5">
        <v>2787563.0</v>
      </c>
      <c r="C106" s="2" t="s">
        <v>1575</v>
      </c>
      <c r="D106" s="2" t="s">
        <v>1565</v>
      </c>
      <c r="E106" s="2">
        <v>10007.0</v>
      </c>
      <c r="F106" s="2" t="s">
        <v>1596</v>
      </c>
      <c r="I106" s="7">
        <v>1.0</v>
      </c>
      <c r="J106" s="6">
        <v>33810.0</v>
      </c>
      <c r="K106" s="2">
        <v>0.0</v>
      </c>
      <c r="L106" s="2">
        <v>33810.0</v>
      </c>
      <c r="M106" s="2">
        <v>0.0</v>
      </c>
      <c r="N106" s="2">
        <v>33810.0</v>
      </c>
      <c r="O106" s="2">
        <v>1691.0</v>
      </c>
      <c r="P106" s="2" t="s">
        <v>1574</v>
      </c>
      <c r="Q106" s="2" t="s">
        <v>1568</v>
      </c>
      <c r="R106" s="2" t="s">
        <v>1569</v>
      </c>
      <c r="S106" s="2" t="s">
        <v>1570</v>
      </c>
      <c r="W106" s="2" t="s">
        <v>1571</v>
      </c>
    </row>
    <row r="107">
      <c r="A107" s="4">
        <v>45564.41180555556</v>
      </c>
      <c r="B107" s="5">
        <v>2787198.0</v>
      </c>
      <c r="C107" s="2" t="s">
        <v>1575</v>
      </c>
      <c r="D107" s="2" t="s">
        <v>1572</v>
      </c>
      <c r="E107" s="2">
        <v>10026.0</v>
      </c>
      <c r="F107" s="2" t="s">
        <v>1583</v>
      </c>
      <c r="I107" s="7">
        <v>1.0</v>
      </c>
      <c r="J107" s="6">
        <v>21905.0</v>
      </c>
      <c r="K107" s="2">
        <v>0.0</v>
      </c>
      <c r="L107" s="2">
        <v>21905.0</v>
      </c>
      <c r="M107" s="2">
        <v>0.0</v>
      </c>
      <c r="N107" s="2">
        <v>21905.0</v>
      </c>
      <c r="O107" s="2">
        <v>1095.0</v>
      </c>
      <c r="P107" s="2" t="s">
        <v>1574</v>
      </c>
      <c r="Q107" s="2" t="s">
        <v>1568</v>
      </c>
      <c r="R107" s="2" t="s">
        <v>1569</v>
      </c>
      <c r="S107" s="2" t="s">
        <v>1570</v>
      </c>
      <c r="W107" s="2" t="s">
        <v>1571</v>
      </c>
    </row>
    <row r="108">
      <c r="A108" s="4">
        <v>45564.41180555556</v>
      </c>
      <c r="B108" s="5">
        <v>2787198.0</v>
      </c>
      <c r="C108" s="2" t="s">
        <v>1575</v>
      </c>
      <c r="D108" s="2" t="s">
        <v>1572</v>
      </c>
      <c r="E108" s="2">
        <v>10125.0</v>
      </c>
      <c r="F108" s="2" t="s">
        <v>1601</v>
      </c>
      <c r="I108" s="7">
        <v>1.0</v>
      </c>
      <c r="J108" s="6">
        <v>20476.0</v>
      </c>
      <c r="K108" s="2">
        <v>0.0</v>
      </c>
      <c r="L108" s="2">
        <v>20476.0</v>
      </c>
      <c r="M108" s="2">
        <v>0.0</v>
      </c>
      <c r="N108" s="2">
        <v>20476.0</v>
      </c>
      <c r="O108" s="2">
        <v>1024.0</v>
      </c>
      <c r="P108" s="2" t="s">
        <v>1574</v>
      </c>
      <c r="Q108" s="2" t="s">
        <v>1568</v>
      </c>
      <c r="R108" s="2" t="s">
        <v>1569</v>
      </c>
      <c r="S108" s="2" t="s">
        <v>1570</v>
      </c>
      <c r="W108" s="2" t="s">
        <v>1571</v>
      </c>
    </row>
    <row r="109">
      <c r="A109" s="4">
        <v>45564.41180555556</v>
      </c>
      <c r="B109" s="5">
        <v>2787198.0</v>
      </c>
      <c r="C109" s="2" t="s">
        <v>1575</v>
      </c>
      <c r="D109" s="2" t="s">
        <v>1572</v>
      </c>
      <c r="E109" s="2">
        <v>10128.0</v>
      </c>
      <c r="F109" s="2" t="s">
        <v>1588</v>
      </c>
      <c r="I109" s="7">
        <v>1.0</v>
      </c>
      <c r="J109" s="6">
        <v>23333.0</v>
      </c>
      <c r="K109" s="2">
        <v>0.0</v>
      </c>
      <c r="L109" s="2">
        <v>23333.0</v>
      </c>
      <c r="M109" s="2">
        <v>0.0</v>
      </c>
      <c r="N109" s="2">
        <v>23333.0</v>
      </c>
      <c r="O109" s="2">
        <v>1167.0</v>
      </c>
      <c r="P109" s="2" t="s">
        <v>1574</v>
      </c>
      <c r="Q109" s="2" t="s">
        <v>1568</v>
      </c>
      <c r="R109" s="2" t="s">
        <v>1569</v>
      </c>
      <c r="S109" s="2" t="s">
        <v>1570</v>
      </c>
      <c r="W109" s="2" t="s">
        <v>1571</v>
      </c>
    </row>
    <row r="110">
      <c r="A110" s="4">
        <v>45564.41180555556</v>
      </c>
      <c r="B110" s="5">
        <v>2787198.0</v>
      </c>
      <c r="C110" s="2" t="s">
        <v>1575</v>
      </c>
      <c r="D110" s="2" t="s">
        <v>1578</v>
      </c>
      <c r="E110" s="2">
        <v>10014.0</v>
      </c>
      <c r="F110" s="2" t="s">
        <v>1609</v>
      </c>
      <c r="I110" s="7">
        <v>1.0</v>
      </c>
      <c r="J110" s="6">
        <v>25238.0</v>
      </c>
      <c r="K110" s="2">
        <v>0.0</v>
      </c>
      <c r="L110" s="2">
        <v>25238.0</v>
      </c>
      <c r="M110" s="2">
        <v>0.0</v>
      </c>
      <c r="N110" s="2">
        <v>25238.0</v>
      </c>
      <c r="O110" s="2">
        <v>1262.0</v>
      </c>
      <c r="P110" s="2" t="s">
        <v>1574</v>
      </c>
      <c r="Q110" s="2" t="s">
        <v>1568</v>
      </c>
      <c r="R110" s="2" t="s">
        <v>1569</v>
      </c>
      <c r="S110" s="2" t="s">
        <v>1570</v>
      </c>
      <c r="W110" s="2" t="s">
        <v>1571</v>
      </c>
    </row>
    <row r="111">
      <c r="A111" s="4">
        <v>45564.41180555556</v>
      </c>
      <c r="B111" s="5">
        <v>2787198.0</v>
      </c>
      <c r="C111" s="2" t="s">
        <v>1575</v>
      </c>
      <c r="D111" s="2" t="s">
        <v>1565</v>
      </c>
      <c r="E111" s="2">
        <v>10007.0</v>
      </c>
      <c r="F111" s="2" t="s">
        <v>1596</v>
      </c>
      <c r="I111" s="7">
        <v>2.0</v>
      </c>
      <c r="J111" s="6">
        <v>67620.0</v>
      </c>
      <c r="K111" s="2">
        <v>0.0</v>
      </c>
      <c r="L111" s="2">
        <v>67620.0</v>
      </c>
      <c r="M111" s="2">
        <v>0.0</v>
      </c>
      <c r="N111" s="2">
        <v>67620.0</v>
      </c>
      <c r="O111" s="2">
        <v>3381.0</v>
      </c>
      <c r="P111" s="2" t="s">
        <v>1574</v>
      </c>
      <c r="Q111" s="2" t="s">
        <v>1568</v>
      </c>
      <c r="R111" s="2" t="s">
        <v>1569</v>
      </c>
      <c r="S111" s="2" t="s">
        <v>1570</v>
      </c>
      <c r="W111" s="2" t="s">
        <v>1571</v>
      </c>
    </row>
    <row r="112">
      <c r="A112" s="4">
        <v>45564.39513888889</v>
      </c>
      <c r="B112" s="5">
        <v>2786833.0</v>
      </c>
      <c r="C112" s="2" t="s">
        <v>1575</v>
      </c>
      <c r="D112" s="2" t="s">
        <v>1565</v>
      </c>
      <c r="E112" s="2">
        <v>10000.0</v>
      </c>
      <c r="F112" s="2" t="s">
        <v>1566</v>
      </c>
      <c r="I112" s="7">
        <v>1.0</v>
      </c>
      <c r="J112" s="6">
        <v>29524.0</v>
      </c>
      <c r="K112" s="2">
        <v>0.0</v>
      </c>
      <c r="L112" s="2">
        <v>29524.0</v>
      </c>
      <c r="M112" s="2">
        <v>0.0</v>
      </c>
      <c r="N112" s="2">
        <v>29524.0</v>
      </c>
      <c r="O112" s="2">
        <v>1476.0</v>
      </c>
      <c r="P112" s="2" t="s">
        <v>1567</v>
      </c>
      <c r="Q112" s="2" t="s">
        <v>1568</v>
      </c>
      <c r="R112" s="2" t="s">
        <v>1569</v>
      </c>
      <c r="S112" s="2" t="s">
        <v>1570</v>
      </c>
      <c r="W112" s="2" t="s">
        <v>1571</v>
      </c>
    </row>
    <row r="113">
      <c r="A113" s="4">
        <v>45564.36597222222</v>
      </c>
      <c r="B113" s="5">
        <v>2786468.0</v>
      </c>
      <c r="C113" s="2" t="s">
        <v>1564</v>
      </c>
      <c r="D113" s="2" t="s">
        <v>1565</v>
      </c>
      <c r="E113" s="2">
        <v>10005.0</v>
      </c>
      <c r="F113" s="2" t="s">
        <v>1595</v>
      </c>
      <c r="I113" s="7">
        <v>-1.0</v>
      </c>
      <c r="J113" s="6">
        <v>-19524.0</v>
      </c>
      <c r="K113" s="2">
        <v>0.0</v>
      </c>
      <c r="L113" s="2">
        <v>-19524.0</v>
      </c>
      <c r="M113" s="2">
        <v>0.0</v>
      </c>
      <c r="N113" s="2">
        <v>-19524.0</v>
      </c>
      <c r="O113" s="2">
        <v>-976.0</v>
      </c>
      <c r="P113" s="2" t="s">
        <v>1574</v>
      </c>
      <c r="Q113" s="2" t="s">
        <v>1568</v>
      </c>
      <c r="R113" s="2" t="s">
        <v>1569</v>
      </c>
      <c r="S113" s="2" t="s">
        <v>1570</v>
      </c>
      <c r="W113" s="2" t="s">
        <v>1571</v>
      </c>
    </row>
    <row r="114">
      <c r="A114" s="4">
        <v>45564.36597222222</v>
      </c>
      <c r="B114" s="5">
        <v>2786468.0</v>
      </c>
      <c r="C114" s="2" t="s">
        <v>1564</v>
      </c>
      <c r="D114" s="2" t="s">
        <v>1565</v>
      </c>
      <c r="E114" s="2">
        <v>10007.0</v>
      </c>
      <c r="F114" s="2" t="s">
        <v>1596</v>
      </c>
      <c r="I114" s="7">
        <v>-1.0</v>
      </c>
      <c r="J114" s="6">
        <v>-33810.0</v>
      </c>
      <c r="K114" s="2">
        <v>0.0</v>
      </c>
      <c r="L114" s="2">
        <v>-33810.0</v>
      </c>
      <c r="M114" s="2">
        <v>0.0</v>
      </c>
      <c r="N114" s="2">
        <v>-33810.0</v>
      </c>
      <c r="O114" s="2">
        <v>-1691.0</v>
      </c>
      <c r="P114" s="2" t="s">
        <v>1574</v>
      </c>
      <c r="Q114" s="2" t="s">
        <v>1568</v>
      </c>
      <c r="R114" s="2" t="s">
        <v>1569</v>
      </c>
      <c r="S114" s="2" t="s">
        <v>1570</v>
      </c>
      <c r="W114" s="2" t="s">
        <v>1571</v>
      </c>
    </row>
    <row r="115">
      <c r="A115" s="4">
        <v>45564.365277777775</v>
      </c>
      <c r="B115" s="5">
        <v>2786102.0</v>
      </c>
      <c r="C115" s="2" t="s">
        <v>1575</v>
      </c>
      <c r="D115" s="2" t="s">
        <v>1565</v>
      </c>
      <c r="E115" s="2">
        <v>10005.0</v>
      </c>
      <c r="F115" s="2" t="s">
        <v>1595</v>
      </c>
      <c r="I115" s="7">
        <v>1.0</v>
      </c>
      <c r="J115" s="6">
        <v>19524.0</v>
      </c>
      <c r="K115" s="2">
        <v>0.0</v>
      </c>
      <c r="L115" s="2">
        <v>19524.0</v>
      </c>
      <c r="M115" s="2">
        <v>0.0</v>
      </c>
      <c r="N115" s="2">
        <v>19524.0</v>
      </c>
      <c r="O115" s="2">
        <v>976.0</v>
      </c>
      <c r="P115" s="2" t="s">
        <v>1574</v>
      </c>
      <c r="Q115" s="2" t="s">
        <v>1568</v>
      </c>
      <c r="R115" s="2" t="s">
        <v>1569</v>
      </c>
      <c r="S115" s="2" t="s">
        <v>1570</v>
      </c>
      <c r="W115" s="2" t="s">
        <v>1571</v>
      </c>
    </row>
    <row r="116">
      <c r="A116" s="4">
        <v>45564.365277777775</v>
      </c>
      <c r="B116" s="5">
        <v>2786102.0</v>
      </c>
      <c r="C116" s="2" t="s">
        <v>1575</v>
      </c>
      <c r="D116" s="2" t="s">
        <v>1565</v>
      </c>
      <c r="E116" s="2">
        <v>10007.0</v>
      </c>
      <c r="F116" s="2" t="s">
        <v>1596</v>
      </c>
      <c r="I116" s="7">
        <v>1.0</v>
      </c>
      <c r="J116" s="6">
        <v>33810.0</v>
      </c>
      <c r="K116" s="2">
        <v>0.0</v>
      </c>
      <c r="L116" s="2">
        <v>33810.0</v>
      </c>
      <c r="M116" s="2">
        <v>0.0</v>
      </c>
      <c r="N116" s="2">
        <v>33810.0</v>
      </c>
      <c r="O116" s="2">
        <v>1691.0</v>
      </c>
      <c r="P116" s="2" t="s">
        <v>1574</v>
      </c>
      <c r="Q116" s="2" t="s">
        <v>1568</v>
      </c>
      <c r="R116" s="2" t="s">
        <v>1569</v>
      </c>
      <c r="S116" s="2" t="s">
        <v>1570</v>
      </c>
      <c r="W116" s="2" t="s">
        <v>1571</v>
      </c>
    </row>
    <row r="117">
      <c r="A117" s="4">
        <v>45563.875</v>
      </c>
      <c r="B117" s="5">
        <v>2785737.0</v>
      </c>
      <c r="C117" s="2" t="s">
        <v>1575</v>
      </c>
      <c r="D117" s="2" t="s">
        <v>1578</v>
      </c>
      <c r="E117" s="2">
        <v>10004.0</v>
      </c>
      <c r="F117" s="2" t="s">
        <v>1607</v>
      </c>
      <c r="I117" s="7">
        <v>1.0</v>
      </c>
      <c r="J117" s="6">
        <v>25238.0</v>
      </c>
      <c r="K117" s="2">
        <v>0.0</v>
      </c>
      <c r="L117" s="2">
        <v>25238.0</v>
      </c>
      <c r="M117" s="2">
        <v>0.0</v>
      </c>
      <c r="N117" s="2">
        <v>25238.0</v>
      </c>
      <c r="O117" s="2">
        <v>1262.0</v>
      </c>
      <c r="P117" s="2" t="s">
        <v>1574</v>
      </c>
      <c r="Q117" s="2" t="s">
        <v>1568</v>
      </c>
      <c r="R117" s="2" t="s">
        <v>1569</v>
      </c>
      <c r="S117" s="2" t="s">
        <v>1570</v>
      </c>
      <c r="W117" s="2" t="s">
        <v>1571</v>
      </c>
    </row>
    <row r="118">
      <c r="A118" s="4">
        <v>45563.81805555556</v>
      </c>
      <c r="B118" s="5">
        <v>2785372.0</v>
      </c>
      <c r="C118" s="2" t="s">
        <v>1575</v>
      </c>
      <c r="D118" s="2" t="s">
        <v>1572</v>
      </c>
      <c r="E118" s="2">
        <v>10013.0</v>
      </c>
      <c r="F118" s="2" t="s">
        <v>1591</v>
      </c>
      <c r="I118" s="7">
        <v>1.0</v>
      </c>
      <c r="J118" s="6">
        <v>23333.0</v>
      </c>
      <c r="K118" s="2">
        <v>0.0</v>
      </c>
      <c r="L118" s="2">
        <v>23333.0</v>
      </c>
      <c r="M118" s="2">
        <v>0.0</v>
      </c>
      <c r="N118" s="2">
        <v>23333.0</v>
      </c>
      <c r="O118" s="2">
        <v>1167.0</v>
      </c>
      <c r="P118" s="2" t="s">
        <v>1574</v>
      </c>
      <c r="Q118" s="2" t="s">
        <v>1568</v>
      </c>
      <c r="R118" s="2" t="s">
        <v>1569</v>
      </c>
      <c r="S118" s="2" t="s">
        <v>1570</v>
      </c>
      <c r="W118" s="2" t="s">
        <v>1571</v>
      </c>
    </row>
    <row r="119">
      <c r="A119" s="4">
        <v>45563.81805555556</v>
      </c>
      <c r="B119" s="5">
        <v>2785372.0</v>
      </c>
      <c r="C119" s="2" t="s">
        <v>1575</v>
      </c>
      <c r="D119" s="2" t="s">
        <v>1572</v>
      </c>
      <c r="E119" s="2">
        <v>10070.0</v>
      </c>
      <c r="F119" s="2" t="s">
        <v>1593</v>
      </c>
      <c r="I119" s="7">
        <v>1.0</v>
      </c>
      <c r="J119" s="6">
        <v>24762.0</v>
      </c>
      <c r="K119" s="2">
        <v>0.0</v>
      </c>
      <c r="L119" s="2">
        <v>24762.0</v>
      </c>
      <c r="M119" s="2">
        <v>0.0</v>
      </c>
      <c r="N119" s="2">
        <v>24762.0</v>
      </c>
      <c r="O119" s="2">
        <v>1238.0</v>
      </c>
      <c r="P119" s="2" t="s">
        <v>1574</v>
      </c>
      <c r="Q119" s="2" t="s">
        <v>1568</v>
      </c>
      <c r="R119" s="2" t="s">
        <v>1569</v>
      </c>
      <c r="S119" s="2" t="s">
        <v>1570</v>
      </c>
      <c r="W119" s="2" t="s">
        <v>1571</v>
      </c>
    </row>
    <row r="120">
      <c r="A120" s="4">
        <v>45563.81805555556</v>
      </c>
      <c r="B120" s="5">
        <v>2785372.0</v>
      </c>
      <c r="C120" s="2" t="s">
        <v>1575</v>
      </c>
      <c r="D120" s="2" t="s">
        <v>1565</v>
      </c>
      <c r="E120" s="2">
        <v>10000.0</v>
      </c>
      <c r="F120" s="2" t="s">
        <v>1566</v>
      </c>
      <c r="I120" s="7">
        <v>1.0</v>
      </c>
      <c r="J120" s="6">
        <v>29524.0</v>
      </c>
      <c r="K120" s="2">
        <v>0.0</v>
      </c>
      <c r="L120" s="2">
        <v>29524.0</v>
      </c>
      <c r="M120" s="2">
        <v>0.0</v>
      </c>
      <c r="N120" s="2">
        <v>29524.0</v>
      </c>
      <c r="O120" s="2">
        <v>1476.0</v>
      </c>
      <c r="P120" s="2" t="s">
        <v>1574</v>
      </c>
      <c r="Q120" s="2" t="s">
        <v>1568</v>
      </c>
      <c r="R120" s="2" t="s">
        <v>1569</v>
      </c>
      <c r="S120" s="2" t="s">
        <v>1570</v>
      </c>
      <c r="W120" s="2" t="s">
        <v>1571</v>
      </c>
    </row>
    <row r="121">
      <c r="A121" s="4">
        <v>45563.81180555555</v>
      </c>
      <c r="B121" s="5">
        <v>2785007.0</v>
      </c>
      <c r="C121" s="2" t="s">
        <v>1575</v>
      </c>
      <c r="D121" s="2" t="s">
        <v>1565</v>
      </c>
      <c r="E121" s="2">
        <v>10054.0</v>
      </c>
      <c r="F121" s="2" t="s">
        <v>1610</v>
      </c>
      <c r="I121" s="7">
        <v>1.0</v>
      </c>
      <c r="J121" s="6">
        <v>25238.0</v>
      </c>
      <c r="K121" s="2">
        <v>0.0</v>
      </c>
      <c r="L121" s="2">
        <v>25238.0</v>
      </c>
      <c r="M121" s="2">
        <v>0.0</v>
      </c>
      <c r="N121" s="2">
        <v>25238.0</v>
      </c>
      <c r="O121" s="2">
        <v>1262.0</v>
      </c>
      <c r="P121" s="2" t="s">
        <v>1574</v>
      </c>
      <c r="Q121" s="2" t="s">
        <v>1568</v>
      </c>
      <c r="R121" s="2" t="s">
        <v>1569</v>
      </c>
      <c r="S121" s="2" t="s">
        <v>1570</v>
      </c>
      <c r="W121" s="2" t="s">
        <v>1571</v>
      </c>
    </row>
    <row r="122">
      <c r="A122" s="4">
        <v>45563.81180555555</v>
      </c>
      <c r="B122" s="5">
        <v>2785007.0</v>
      </c>
      <c r="C122" s="2" t="s">
        <v>1575</v>
      </c>
      <c r="D122" s="2" t="s">
        <v>1578</v>
      </c>
      <c r="E122" s="2">
        <v>10051.0</v>
      </c>
      <c r="F122" s="2" t="s">
        <v>1579</v>
      </c>
      <c r="I122" s="7">
        <v>1.0</v>
      </c>
      <c r="J122" s="6">
        <v>25238.0</v>
      </c>
      <c r="K122" s="2">
        <v>0.0</v>
      </c>
      <c r="L122" s="2">
        <v>25238.0</v>
      </c>
      <c r="M122" s="2">
        <v>0.0</v>
      </c>
      <c r="N122" s="2">
        <v>25238.0</v>
      </c>
      <c r="O122" s="2">
        <v>1262.0</v>
      </c>
      <c r="P122" s="2" t="s">
        <v>1574</v>
      </c>
      <c r="Q122" s="2" t="s">
        <v>1568</v>
      </c>
      <c r="R122" s="2" t="s">
        <v>1569</v>
      </c>
      <c r="S122" s="2" t="s">
        <v>1570</v>
      </c>
      <c r="W122" s="2" t="s">
        <v>1571</v>
      </c>
    </row>
    <row r="123">
      <c r="A123" s="4">
        <v>45563.78611111111</v>
      </c>
      <c r="B123" s="5">
        <v>2784641.0</v>
      </c>
      <c r="C123" s="2" t="s">
        <v>1575</v>
      </c>
      <c r="D123" s="2" t="s">
        <v>1572</v>
      </c>
      <c r="E123" s="2">
        <v>10106.0</v>
      </c>
      <c r="F123" s="2" t="s">
        <v>1598</v>
      </c>
      <c r="I123" s="7">
        <v>1.0</v>
      </c>
      <c r="J123" s="6">
        <v>26667.0</v>
      </c>
      <c r="K123" s="2">
        <v>0.0</v>
      </c>
      <c r="L123" s="2">
        <v>26667.0</v>
      </c>
      <c r="M123" s="2">
        <v>0.0</v>
      </c>
      <c r="N123" s="2">
        <v>26667.0</v>
      </c>
      <c r="O123" s="2">
        <v>1333.0</v>
      </c>
      <c r="P123" s="2" t="s">
        <v>1574</v>
      </c>
      <c r="Q123" s="2" t="s">
        <v>1568</v>
      </c>
      <c r="R123" s="2" t="s">
        <v>1569</v>
      </c>
      <c r="S123" s="2" t="s">
        <v>1570</v>
      </c>
      <c r="W123" s="2" t="s">
        <v>1571</v>
      </c>
    </row>
    <row r="124">
      <c r="A124" s="4">
        <v>45563.78611111111</v>
      </c>
      <c r="B124" s="5">
        <v>2784641.0</v>
      </c>
      <c r="C124" s="2" t="s">
        <v>1575</v>
      </c>
      <c r="D124" s="2" t="s">
        <v>1580</v>
      </c>
      <c r="E124" s="2">
        <v>10104.0</v>
      </c>
      <c r="F124" s="2" t="s">
        <v>1581</v>
      </c>
      <c r="I124" s="7">
        <v>1.0</v>
      </c>
      <c r="J124" s="6">
        <v>34762.0</v>
      </c>
      <c r="K124" s="2">
        <v>0.0</v>
      </c>
      <c r="L124" s="2">
        <v>34762.0</v>
      </c>
      <c r="M124" s="2">
        <v>0.0</v>
      </c>
      <c r="N124" s="2">
        <v>34762.0</v>
      </c>
      <c r="O124" s="2">
        <v>1738.0</v>
      </c>
      <c r="P124" s="2" t="s">
        <v>1574</v>
      </c>
      <c r="Q124" s="2" t="s">
        <v>1568</v>
      </c>
      <c r="R124" s="2" t="s">
        <v>1569</v>
      </c>
      <c r="S124" s="2" t="s">
        <v>1570</v>
      </c>
      <c r="W124" s="2" t="s">
        <v>1571</v>
      </c>
    </row>
    <row r="125">
      <c r="A125" s="4">
        <v>45563.78611111111</v>
      </c>
      <c r="B125" s="5">
        <v>2784641.0</v>
      </c>
      <c r="C125" s="2" t="s">
        <v>1575</v>
      </c>
      <c r="D125" s="2" t="s">
        <v>1580</v>
      </c>
      <c r="E125" s="2">
        <v>10105.0</v>
      </c>
      <c r="F125" s="2" t="s">
        <v>1611</v>
      </c>
      <c r="I125" s="7">
        <v>1.0</v>
      </c>
      <c r="J125" s="6">
        <v>38095.0</v>
      </c>
      <c r="K125" s="2">
        <v>0.0</v>
      </c>
      <c r="L125" s="2">
        <v>38095.0</v>
      </c>
      <c r="M125" s="2">
        <v>0.0</v>
      </c>
      <c r="N125" s="2">
        <v>38095.0</v>
      </c>
      <c r="O125" s="2">
        <v>1905.0</v>
      </c>
      <c r="P125" s="2" t="s">
        <v>1574</v>
      </c>
      <c r="Q125" s="2" t="s">
        <v>1568</v>
      </c>
      <c r="R125" s="2" t="s">
        <v>1569</v>
      </c>
      <c r="S125" s="2" t="s">
        <v>1570</v>
      </c>
      <c r="W125" s="2" t="s">
        <v>1571</v>
      </c>
    </row>
    <row r="126">
      <c r="A126" s="4">
        <v>45563.78611111111</v>
      </c>
      <c r="B126" s="5">
        <v>2784641.0</v>
      </c>
      <c r="C126" s="2" t="s">
        <v>1575</v>
      </c>
      <c r="D126" s="2" t="s">
        <v>1578</v>
      </c>
      <c r="E126" s="2">
        <v>10014.0</v>
      </c>
      <c r="F126" s="2" t="s">
        <v>1609</v>
      </c>
      <c r="I126" s="7">
        <v>1.0</v>
      </c>
      <c r="J126" s="6">
        <v>25238.0</v>
      </c>
      <c r="K126" s="2">
        <v>0.0</v>
      </c>
      <c r="L126" s="2">
        <v>25238.0</v>
      </c>
      <c r="M126" s="2">
        <v>0.0</v>
      </c>
      <c r="N126" s="2">
        <v>25238.0</v>
      </c>
      <c r="O126" s="2">
        <v>1262.0</v>
      </c>
      <c r="P126" s="2" t="s">
        <v>1574</v>
      </c>
      <c r="Q126" s="2" t="s">
        <v>1568</v>
      </c>
      <c r="R126" s="2" t="s">
        <v>1569</v>
      </c>
      <c r="S126" s="2" t="s">
        <v>1570</v>
      </c>
      <c r="W126" s="2" t="s">
        <v>1571</v>
      </c>
    </row>
    <row r="127">
      <c r="A127" s="4">
        <v>45563.78611111111</v>
      </c>
      <c r="B127" s="5">
        <v>2784641.0</v>
      </c>
      <c r="C127" s="2" t="s">
        <v>1575</v>
      </c>
      <c r="D127" s="2" t="s">
        <v>1580</v>
      </c>
      <c r="E127" s="2">
        <v>10003.0</v>
      </c>
      <c r="F127" s="2" t="s">
        <v>1603</v>
      </c>
      <c r="I127" s="7">
        <v>1.0</v>
      </c>
      <c r="J127" s="6">
        <v>29524.0</v>
      </c>
      <c r="K127" s="2">
        <v>0.0</v>
      </c>
      <c r="L127" s="2">
        <v>29524.0</v>
      </c>
      <c r="M127" s="2">
        <v>0.0</v>
      </c>
      <c r="N127" s="2">
        <v>29524.0</v>
      </c>
      <c r="O127" s="2">
        <v>1476.0</v>
      </c>
      <c r="P127" s="2" t="s">
        <v>1574</v>
      </c>
      <c r="Q127" s="2" t="s">
        <v>1568</v>
      </c>
      <c r="R127" s="2" t="s">
        <v>1569</v>
      </c>
      <c r="S127" s="2" t="s">
        <v>1570</v>
      </c>
      <c r="W127" s="2" t="s">
        <v>1571</v>
      </c>
    </row>
    <row r="128">
      <c r="A128" s="4">
        <v>45563.77847222222</v>
      </c>
      <c r="B128" s="5">
        <v>2784276.0</v>
      </c>
      <c r="C128" s="2" t="s">
        <v>1575</v>
      </c>
      <c r="D128" s="2" t="s">
        <v>1572</v>
      </c>
      <c r="E128" s="2">
        <v>10118.0</v>
      </c>
      <c r="F128" s="2" t="s">
        <v>1604</v>
      </c>
      <c r="I128" s="7">
        <v>1.0</v>
      </c>
      <c r="J128" s="6">
        <v>7143.0</v>
      </c>
      <c r="K128" s="2">
        <v>0.0</v>
      </c>
      <c r="L128" s="2">
        <v>7143.0</v>
      </c>
      <c r="M128" s="2">
        <v>0.0</v>
      </c>
      <c r="N128" s="2">
        <v>7143.0</v>
      </c>
      <c r="O128" s="2">
        <v>357.0</v>
      </c>
      <c r="P128" s="2" t="s">
        <v>1574</v>
      </c>
      <c r="Q128" s="2" t="s">
        <v>1568</v>
      </c>
      <c r="R128" s="2" t="s">
        <v>1569</v>
      </c>
      <c r="S128" s="2" t="s">
        <v>1570</v>
      </c>
      <c r="W128" s="2" t="s">
        <v>1571</v>
      </c>
    </row>
    <row r="129">
      <c r="A129" s="4">
        <v>45563.77013888889</v>
      </c>
      <c r="B129" s="5">
        <v>2783911.0</v>
      </c>
      <c r="C129" s="2" t="s">
        <v>1575</v>
      </c>
      <c r="D129" s="2" t="s">
        <v>1580</v>
      </c>
      <c r="E129" s="2">
        <v>10003.0</v>
      </c>
      <c r="F129" s="2" t="s">
        <v>1603</v>
      </c>
      <c r="I129" s="7">
        <v>1.0</v>
      </c>
      <c r="J129" s="6">
        <v>29524.0</v>
      </c>
      <c r="K129" s="2">
        <v>0.0</v>
      </c>
      <c r="L129" s="2">
        <v>29524.0</v>
      </c>
      <c r="M129" s="2">
        <v>0.0</v>
      </c>
      <c r="N129" s="2">
        <v>29524.0</v>
      </c>
      <c r="O129" s="2">
        <v>1476.0</v>
      </c>
      <c r="P129" s="2" t="s">
        <v>1574</v>
      </c>
      <c r="Q129" s="2" t="s">
        <v>1568</v>
      </c>
      <c r="R129" s="2" t="s">
        <v>1569</v>
      </c>
      <c r="S129" s="2" t="s">
        <v>1570</v>
      </c>
      <c r="W129" s="2" t="s">
        <v>1571</v>
      </c>
    </row>
    <row r="130">
      <c r="A130" s="4">
        <v>45563.77013888889</v>
      </c>
      <c r="B130" s="5">
        <v>2783911.0</v>
      </c>
      <c r="C130" s="2" t="s">
        <v>1575</v>
      </c>
      <c r="D130" s="2" t="s">
        <v>1572</v>
      </c>
      <c r="E130" s="2">
        <v>10128.0</v>
      </c>
      <c r="F130" s="2" t="s">
        <v>1588</v>
      </c>
      <c r="I130" s="7">
        <v>1.0</v>
      </c>
      <c r="J130" s="6">
        <v>23333.0</v>
      </c>
      <c r="K130" s="2">
        <v>0.0</v>
      </c>
      <c r="L130" s="2">
        <v>23333.0</v>
      </c>
      <c r="M130" s="2">
        <v>0.0</v>
      </c>
      <c r="N130" s="2">
        <v>23333.0</v>
      </c>
      <c r="O130" s="2">
        <v>1167.0</v>
      </c>
      <c r="P130" s="2" t="s">
        <v>1574</v>
      </c>
      <c r="Q130" s="2" t="s">
        <v>1568</v>
      </c>
      <c r="R130" s="2" t="s">
        <v>1569</v>
      </c>
      <c r="S130" s="2" t="s">
        <v>1570</v>
      </c>
      <c r="W130" s="2" t="s">
        <v>1571</v>
      </c>
    </row>
    <row r="131">
      <c r="A131" s="4">
        <v>45563.72152777778</v>
      </c>
      <c r="B131" s="5">
        <v>2783546.0</v>
      </c>
      <c r="C131" s="2" t="s">
        <v>1575</v>
      </c>
      <c r="D131" s="2" t="s">
        <v>1572</v>
      </c>
      <c r="E131" s="2">
        <v>10128.0</v>
      </c>
      <c r="F131" s="2" t="s">
        <v>1588</v>
      </c>
      <c r="I131" s="7">
        <v>1.0</v>
      </c>
      <c r="J131" s="6">
        <v>23333.0</v>
      </c>
      <c r="K131" s="2">
        <v>0.0</v>
      </c>
      <c r="L131" s="2">
        <v>23333.0</v>
      </c>
      <c r="M131" s="2">
        <v>0.0</v>
      </c>
      <c r="N131" s="2">
        <v>23333.0</v>
      </c>
      <c r="O131" s="2">
        <v>1167.0</v>
      </c>
      <c r="P131" s="2" t="s">
        <v>1574</v>
      </c>
      <c r="Q131" s="2" t="s">
        <v>1568</v>
      </c>
      <c r="R131" s="2" t="s">
        <v>1569</v>
      </c>
      <c r="S131" s="2" t="s">
        <v>1570</v>
      </c>
      <c r="W131" s="2" t="s">
        <v>1571</v>
      </c>
    </row>
    <row r="132">
      <c r="A132" s="4">
        <v>45563.72152777778</v>
      </c>
      <c r="B132" s="5">
        <v>2783546.0</v>
      </c>
      <c r="C132" s="2" t="s">
        <v>1575</v>
      </c>
      <c r="D132" s="2" t="s">
        <v>1580</v>
      </c>
      <c r="E132" s="2">
        <v>10053.0</v>
      </c>
      <c r="F132" s="2" t="s">
        <v>1612</v>
      </c>
      <c r="I132" s="7">
        <v>1.0</v>
      </c>
      <c r="J132" s="6">
        <v>25238.0</v>
      </c>
      <c r="K132" s="2">
        <v>0.0</v>
      </c>
      <c r="L132" s="2">
        <v>25238.0</v>
      </c>
      <c r="M132" s="2">
        <v>0.0</v>
      </c>
      <c r="N132" s="2">
        <v>25238.0</v>
      </c>
      <c r="O132" s="2">
        <v>1262.0</v>
      </c>
      <c r="P132" s="2" t="s">
        <v>1574</v>
      </c>
      <c r="Q132" s="2" t="s">
        <v>1568</v>
      </c>
      <c r="R132" s="2" t="s">
        <v>1569</v>
      </c>
      <c r="S132" s="2" t="s">
        <v>1570</v>
      </c>
      <c r="W132" s="2" t="s">
        <v>1571</v>
      </c>
    </row>
    <row r="133">
      <c r="A133" s="4">
        <v>45563.72083333333</v>
      </c>
      <c r="B133" s="5">
        <v>2783180.0</v>
      </c>
      <c r="C133" s="2" t="s">
        <v>1564</v>
      </c>
      <c r="D133" s="2" t="s">
        <v>1572</v>
      </c>
      <c r="E133" s="2">
        <v>10128.0</v>
      </c>
      <c r="F133" s="2" t="s">
        <v>1588</v>
      </c>
      <c r="I133" s="7">
        <v>-1.0</v>
      </c>
      <c r="J133" s="6">
        <v>-23333.0</v>
      </c>
      <c r="K133" s="2">
        <v>0.0</v>
      </c>
      <c r="L133" s="2">
        <v>-23333.0</v>
      </c>
      <c r="M133" s="2">
        <v>0.0</v>
      </c>
      <c r="N133" s="2">
        <v>-23333.0</v>
      </c>
      <c r="O133" s="2">
        <v>-1167.0</v>
      </c>
      <c r="P133" s="2" t="s">
        <v>1574</v>
      </c>
      <c r="Q133" s="2" t="s">
        <v>1568</v>
      </c>
      <c r="R133" s="2" t="s">
        <v>1569</v>
      </c>
      <c r="S133" s="2" t="s">
        <v>1570</v>
      </c>
      <c r="W133" s="2" t="s">
        <v>1571</v>
      </c>
    </row>
    <row r="134">
      <c r="A134" s="4">
        <v>45563.72083333333</v>
      </c>
      <c r="B134" s="5">
        <v>2783180.0</v>
      </c>
      <c r="C134" s="2" t="s">
        <v>1564</v>
      </c>
      <c r="D134" s="2" t="s">
        <v>1580</v>
      </c>
      <c r="E134" s="2">
        <v>10053.0</v>
      </c>
      <c r="F134" s="2" t="s">
        <v>1612</v>
      </c>
      <c r="I134" s="7">
        <v>-1.0</v>
      </c>
      <c r="J134" s="6">
        <v>-25238.0</v>
      </c>
      <c r="K134" s="2">
        <v>0.0</v>
      </c>
      <c r="L134" s="2">
        <v>-25238.0</v>
      </c>
      <c r="M134" s="2">
        <v>0.0</v>
      </c>
      <c r="N134" s="2">
        <v>-25238.0</v>
      </c>
      <c r="O134" s="2">
        <v>-1262.0</v>
      </c>
      <c r="P134" s="2" t="s">
        <v>1574</v>
      </c>
      <c r="Q134" s="2" t="s">
        <v>1568</v>
      </c>
      <c r="R134" s="2" t="s">
        <v>1569</v>
      </c>
      <c r="S134" s="2" t="s">
        <v>1570</v>
      </c>
      <c r="W134" s="2" t="s">
        <v>1571</v>
      </c>
    </row>
    <row r="135">
      <c r="A135" s="4">
        <v>45563.70763888889</v>
      </c>
      <c r="B135" s="5">
        <v>2782815.0</v>
      </c>
      <c r="C135" s="2" t="s">
        <v>1575</v>
      </c>
      <c r="D135" s="2" t="s">
        <v>1572</v>
      </c>
      <c r="E135" s="2">
        <v>10122.0</v>
      </c>
      <c r="F135" s="2" t="s">
        <v>1577</v>
      </c>
      <c r="I135" s="7">
        <v>1.0</v>
      </c>
      <c r="J135" s="6">
        <v>21905.0</v>
      </c>
      <c r="K135" s="2">
        <v>0.0</v>
      </c>
      <c r="L135" s="2">
        <v>21905.0</v>
      </c>
      <c r="M135" s="2">
        <v>0.0</v>
      </c>
      <c r="N135" s="2">
        <v>21905.0</v>
      </c>
      <c r="O135" s="2">
        <v>1095.0</v>
      </c>
      <c r="P135" s="2" t="s">
        <v>1574</v>
      </c>
      <c r="Q135" s="2" t="s">
        <v>1568</v>
      </c>
      <c r="R135" s="2" t="s">
        <v>1569</v>
      </c>
      <c r="S135" s="2" t="s">
        <v>1570</v>
      </c>
      <c r="W135" s="2" t="s">
        <v>1571</v>
      </c>
    </row>
    <row r="136">
      <c r="A136" s="4">
        <v>45563.70763888889</v>
      </c>
      <c r="B136" s="5">
        <v>2782815.0</v>
      </c>
      <c r="C136" s="2" t="s">
        <v>1575</v>
      </c>
      <c r="D136" s="2" t="s">
        <v>1572</v>
      </c>
      <c r="E136" s="2">
        <v>10125.0</v>
      </c>
      <c r="F136" s="2" t="s">
        <v>1601</v>
      </c>
      <c r="I136" s="7">
        <v>1.0</v>
      </c>
      <c r="J136" s="6">
        <v>20476.0</v>
      </c>
      <c r="K136" s="2">
        <v>0.0</v>
      </c>
      <c r="L136" s="2">
        <v>20476.0</v>
      </c>
      <c r="M136" s="2">
        <v>0.0</v>
      </c>
      <c r="N136" s="2">
        <v>20476.0</v>
      </c>
      <c r="O136" s="2">
        <v>1024.0</v>
      </c>
      <c r="P136" s="2" t="s">
        <v>1574</v>
      </c>
      <c r="Q136" s="2" t="s">
        <v>1568</v>
      </c>
      <c r="R136" s="2" t="s">
        <v>1569</v>
      </c>
      <c r="S136" s="2" t="s">
        <v>1570</v>
      </c>
      <c r="W136" s="2" t="s">
        <v>1571</v>
      </c>
    </row>
    <row r="137">
      <c r="A137" s="4">
        <v>45563.68680555555</v>
      </c>
      <c r="B137" s="5">
        <v>2782450.0</v>
      </c>
      <c r="C137" s="2" t="s">
        <v>1575</v>
      </c>
      <c r="D137" s="2" t="s">
        <v>1572</v>
      </c>
      <c r="E137" s="2">
        <v>10057.0</v>
      </c>
      <c r="F137" s="2" t="s">
        <v>1608</v>
      </c>
      <c r="I137" s="7">
        <v>1.0</v>
      </c>
      <c r="J137" s="6">
        <v>19524.0</v>
      </c>
      <c r="K137" s="2">
        <v>0.0</v>
      </c>
      <c r="L137" s="2">
        <v>19524.0</v>
      </c>
      <c r="M137" s="2">
        <v>0.0</v>
      </c>
      <c r="N137" s="2">
        <v>19524.0</v>
      </c>
      <c r="O137" s="2">
        <v>976.0</v>
      </c>
      <c r="P137" s="2" t="s">
        <v>1574</v>
      </c>
      <c r="Q137" s="2" t="s">
        <v>1568</v>
      </c>
      <c r="R137" s="2" t="s">
        <v>1569</v>
      </c>
      <c r="S137" s="2" t="s">
        <v>1570</v>
      </c>
      <c r="W137" s="2" t="s">
        <v>1571</v>
      </c>
    </row>
    <row r="138">
      <c r="A138" s="4">
        <v>45563.68680555555</v>
      </c>
      <c r="B138" s="5">
        <v>2782450.0</v>
      </c>
      <c r="C138" s="2" t="s">
        <v>1575</v>
      </c>
      <c r="D138" s="2" t="s">
        <v>1565</v>
      </c>
      <c r="E138" s="2">
        <v>10035.0</v>
      </c>
      <c r="F138" s="2" t="s">
        <v>1613</v>
      </c>
      <c r="I138" s="7">
        <v>1.0</v>
      </c>
      <c r="J138" s="6">
        <v>21905.0</v>
      </c>
      <c r="K138" s="2">
        <v>0.0</v>
      </c>
      <c r="L138" s="2">
        <v>21905.0</v>
      </c>
      <c r="M138" s="2">
        <v>0.0</v>
      </c>
      <c r="N138" s="2">
        <v>21905.0</v>
      </c>
      <c r="O138" s="2">
        <v>1095.0</v>
      </c>
      <c r="P138" s="2" t="s">
        <v>1574</v>
      </c>
      <c r="Q138" s="2" t="s">
        <v>1568</v>
      </c>
      <c r="R138" s="2" t="s">
        <v>1569</v>
      </c>
      <c r="S138" s="2" t="s">
        <v>1570</v>
      </c>
      <c r="W138" s="2" t="s">
        <v>1571</v>
      </c>
    </row>
    <row r="139">
      <c r="A139" s="4">
        <v>45563.67152777778</v>
      </c>
      <c r="B139" s="5">
        <v>2782085.0</v>
      </c>
      <c r="C139" s="2" t="s">
        <v>1575</v>
      </c>
      <c r="D139" s="2" t="s">
        <v>1565</v>
      </c>
      <c r="E139" s="2">
        <v>10000.0</v>
      </c>
      <c r="F139" s="2" t="s">
        <v>1566</v>
      </c>
      <c r="I139" s="7">
        <v>2.0</v>
      </c>
      <c r="J139" s="6">
        <v>59048.0</v>
      </c>
      <c r="K139" s="2">
        <v>0.0</v>
      </c>
      <c r="L139" s="2">
        <v>59048.0</v>
      </c>
      <c r="M139" s="2">
        <v>0.0</v>
      </c>
      <c r="N139" s="2">
        <v>59048.0</v>
      </c>
      <c r="O139" s="2">
        <v>2952.0</v>
      </c>
      <c r="P139" s="2" t="s">
        <v>1574</v>
      </c>
      <c r="Q139" s="2" t="s">
        <v>1568</v>
      </c>
      <c r="R139" s="2" t="s">
        <v>1569</v>
      </c>
      <c r="S139" s="2" t="s">
        <v>1570</v>
      </c>
      <c r="W139" s="2" t="s">
        <v>1571</v>
      </c>
    </row>
    <row r="140">
      <c r="A140" s="4">
        <v>45563.652083333334</v>
      </c>
      <c r="B140" s="5">
        <v>2781719.0</v>
      </c>
      <c r="C140" s="2" t="s">
        <v>1575</v>
      </c>
      <c r="D140" s="2" t="s">
        <v>1580</v>
      </c>
      <c r="E140" s="2">
        <v>10003.0</v>
      </c>
      <c r="F140" s="2" t="s">
        <v>1603</v>
      </c>
      <c r="I140" s="7">
        <v>1.0</v>
      </c>
      <c r="J140" s="6">
        <v>29524.0</v>
      </c>
      <c r="K140" s="2">
        <v>0.0</v>
      </c>
      <c r="L140" s="2">
        <v>29524.0</v>
      </c>
      <c r="M140" s="2">
        <v>0.0</v>
      </c>
      <c r="N140" s="2">
        <v>29524.0</v>
      </c>
      <c r="O140" s="2">
        <v>1476.0</v>
      </c>
      <c r="P140" s="2" t="s">
        <v>1574</v>
      </c>
      <c r="Q140" s="2" t="s">
        <v>1568</v>
      </c>
      <c r="R140" s="2" t="s">
        <v>1569</v>
      </c>
      <c r="S140" s="2" t="s">
        <v>1570</v>
      </c>
      <c r="W140" s="2" t="s">
        <v>1571</v>
      </c>
    </row>
    <row r="141">
      <c r="A141" s="4">
        <v>45563.652083333334</v>
      </c>
      <c r="B141" s="5">
        <v>2781719.0</v>
      </c>
      <c r="C141" s="2" t="s">
        <v>1575</v>
      </c>
      <c r="D141" s="2" t="s">
        <v>1572</v>
      </c>
      <c r="E141" s="2">
        <v>10112.0</v>
      </c>
      <c r="F141" s="2" t="s">
        <v>1573</v>
      </c>
      <c r="I141" s="7">
        <v>1.0</v>
      </c>
      <c r="J141" s="6">
        <v>6667.0</v>
      </c>
      <c r="K141" s="2">
        <v>0.0</v>
      </c>
      <c r="L141" s="2">
        <v>6667.0</v>
      </c>
      <c r="M141" s="2">
        <v>0.0</v>
      </c>
      <c r="N141" s="2">
        <v>6667.0</v>
      </c>
      <c r="O141" s="2">
        <v>334.0</v>
      </c>
      <c r="P141" s="2" t="s">
        <v>1574</v>
      </c>
      <c r="Q141" s="2" t="s">
        <v>1568</v>
      </c>
      <c r="R141" s="2" t="s">
        <v>1569</v>
      </c>
      <c r="S141" s="2" t="s">
        <v>1570</v>
      </c>
      <c r="W141" s="2" t="s">
        <v>1571</v>
      </c>
    </row>
    <row r="142">
      <c r="A142" s="4">
        <v>45563.64513888889</v>
      </c>
      <c r="B142" s="5">
        <v>2781354.0</v>
      </c>
      <c r="C142" s="2" t="s">
        <v>1575</v>
      </c>
      <c r="D142" s="2" t="s">
        <v>1565</v>
      </c>
      <c r="E142" s="2">
        <v>10002.0</v>
      </c>
      <c r="F142" s="2" t="s">
        <v>1576</v>
      </c>
      <c r="I142" s="7">
        <v>1.0</v>
      </c>
      <c r="J142" s="6">
        <v>18571.0</v>
      </c>
      <c r="K142" s="2">
        <v>0.0</v>
      </c>
      <c r="L142" s="2">
        <v>18571.0</v>
      </c>
      <c r="M142" s="2">
        <v>0.0</v>
      </c>
      <c r="N142" s="2">
        <v>18571.0</v>
      </c>
      <c r="O142" s="2">
        <v>929.0</v>
      </c>
      <c r="P142" s="2" t="s">
        <v>1574</v>
      </c>
      <c r="Q142" s="2" t="s">
        <v>1568</v>
      </c>
      <c r="R142" s="2" t="s">
        <v>1569</v>
      </c>
      <c r="S142" s="2" t="s">
        <v>1570</v>
      </c>
      <c r="W142" s="2" t="s">
        <v>1571</v>
      </c>
    </row>
    <row r="143">
      <c r="A143" s="4">
        <v>45563.64513888889</v>
      </c>
      <c r="B143" s="5">
        <v>2781354.0</v>
      </c>
      <c r="C143" s="2" t="s">
        <v>1575</v>
      </c>
      <c r="D143" s="2" t="s">
        <v>1572</v>
      </c>
      <c r="E143" s="2">
        <v>10128.0</v>
      </c>
      <c r="F143" s="2" t="s">
        <v>1588</v>
      </c>
      <c r="I143" s="7">
        <v>1.0</v>
      </c>
      <c r="J143" s="6">
        <v>23333.0</v>
      </c>
      <c r="K143" s="2">
        <v>0.0</v>
      </c>
      <c r="L143" s="2">
        <v>23333.0</v>
      </c>
      <c r="M143" s="2">
        <v>0.0</v>
      </c>
      <c r="N143" s="2">
        <v>23333.0</v>
      </c>
      <c r="O143" s="2">
        <v>1166.0</v>
      </c>
      <c r="P143" s="2" t="s">
        <v>1574</v>
      </c>
      <c r="Q143" s="2" t="s">
        <v>1568</v>
      </c>
      <c r="R143" s="2" t="s">
        <v>1569</v>
      </c>
      <c r="S143" s="2" t="s">
        <v>1570</v>
      </c>
      <c r="W143" s="2" t="s">
        <v>1571</v>
      </c>
    </row>
    <row r="144">
      <c r="A144" s="4">
        <v>45563.64513888889</v>
      </c>
      <c r="B144" s="5">
        <v>2781354.0</v>
      </c>
      <c r="C144" s="2" t="s">
        <v>1575</v>
      </c>
      <c r="D144" s="2" t="s">
        <v>1572</v>
      </c>
      <c r="E144" s="2">
        <v>10112.0</v>
      </c>
      <c r="F144" s="2" t="s">
        <v>1573</v>
      </c>
      <c r="I144" s="7">
        <v>2.0</v>
      </c>
      <c r="J144" s="6">
        <v>13334.0</v>
      </c>
      <c r="K144" s="2">
        <v>0.0</v>
      </c>
      <c r="L144" s="2">
        <v>13334.0</v>
      </c>
      <c r="M144" s="2">
        <v>0.0</v>
      </c>
      <c r="N144" s="2">
        <v>13334.0</v>
      </c>
      <c r="O144" s="2">
        <v>667.0</v>
      </c>
      <c r="P144" s="2" t="s">
        <v>1574</v>
      </c>
      <c r="Q144" s="2" t="s">
        <v>1568</v>
      </c>
      <c r="R144" s="2" t="s">
        <v>1569</v>
      </c>
      <c r="S144" s="2" t="s">
        <v>1570</v>
      </c>
      <c r="W144" s="2" t="s">
        <v>1571</v>
      </c>
    </row>
    <row r="145">
      <c r="A145" s="4">
        <v>45563.64444444444</v>
      </c>
      <c r="B145" s="5">
        <v>2780989.0</v>
      </c>
      <c r="C145" s="2" t="s">
        <v>1575</v>
      </c>
      <c r="D145" s="2" t="s">
        <v>1572</v>
      </c>
      <c r="E145" s="2">
        <v>10026.0</v>
      </c>
      <c r="F145" s="2" t="s">
        <v>1583</v>
      </c>
      <c r="I145" s="7">
        <v>1.0</v>
      </c>
      <c r="J145" s="6">
        <v>21905.0</v>
      </c>
      <c r="K145" s="2">
        <v>0.0</v>
      </c>
      <c r="L145" s="2">
        <v>21905.0</v>
      </c>
      <c r="M145" s="2">
        <v>0.0</v>
      </c>
      <c r="N145" s="2">
        <v>21905.0</v>
      </c>
      <c r="O145" s="2">
        <v>1095.0</v>
      </c>
      <c r="P145" s="2" t="s">
        <v>1574</v>
      </c>
      <c r="Q145" s="2" t="s">
        <v>1568</v>
      </c>
      <c r="R145" s="2" t="s">
        <v>1569</v>
      </c>
      <c r="S145" s="2" t="s">
        <v>1570</v>
      </c>
      <c r="W145" s="2" t="s">
        <v>1571</v>
      </c>
    </row>
    <row r="146">
      <c r="A146" s="4">
        <v>45563.64444444444</v>
      </c>
      <c r="B146" s="5">
        <v>2780989.0</v>
      </c>
      <c r="C146" s="2" t="s">
        <v>1575</v>
      </c>
      <c r="D146" s="2" t="s">
        <v>1572</v>
      </c>
      <c r="E146" s="2">
        <v>10013.0</v>
      </c>
      <c r="F146" s="2" t="s">
        <v>1591</v>
      </c>
      <c r="I146" s="7">
        <v>1.0</v>
      </c>
      <c r="J146" s="6">
        <v>23333.0</v>
      </c>
      <c r="K146" s="2">
        <v>0.0</v>
      </c>
      <c r="L146" s="2">
        <v>23333.0</v>
      </c>
      <c r="M146" s="2">
        <v>0.0</v>
      </c>
      <c r="N146" s="2">
        <v>23333.0</v>
      </c>
      <c r="O146" s="2">
        <v>1167.0</v>
      </c>
      <c r="P146" s="2" t="s">
        <v>1574</v>
      </c>
      <c r="Q146" s="2" t="s">
        <v>1568</v>
      </c>
      <c r="R146" s="2" t="s">
        <v>1569</v>
      </c>
      <c r="S146" s="2" t="s">
        <v>1570</v>
      </c>
      <c r="W146" s="2" t="s">
        <v>1571</v>
      </c>
    </row>
    <row r="147">
      <c r="A147" s="4">
        <v>45563.64444444444</v>
      </c>
      <c r="B147" s="5">
        <v>2780989.0</v>
      </c>
      <c r="C147" s="2" t="s">
        <v>1575</v>
      </c>
      <c r="D147" s="2" t="s">
        <v>1565</v>
      </c>
      <c r="E147" s="2">
        <v>10002.0</v>
      </c>
      <c r="F147" s="2" t="s">
        <v>1576</v>
      </c>
      <c r="I147" s="7">
        <v>1.0</v>
      </c>
      <c r="J147" s="6">
        <v>18571.0</v>
      </c>
      <c r="K147" s="2">
        <v>0.0</v>
      </c>
      <c r="L147" s="2">
        <v>18571.0</v>
      </c>
      <c r="M147" s="2">
        <v>0.0</v>
      </c>
      <c r="N147" s="2">
        <v>18571.0</v>
      </c>
      <c r="O147" s="2">
        <v>928.0</v>
      </c>
      <c r="P147" s="2" t="s">
        <v>1574</v>
      </c>
      <c r="Q147" s="2" t="s">
        <v>1568</v>
      </c>
      <c r="R147" s="2" t="s">
        <v>1569</v>
      </c>
      <c r="S147" s="2" t="s">
        <v>1570</v>
      </c>
      <c r="W147" s="2" t="s">
        <v>1571</v>
      </c>
    </row>
    <row r="148">
      <c r="A148" s="4">
        <v>45563.64236111111</v>
      </c>
      <c r="B148" s="5">
        <v>2780624.0</v>
      </c>
      <c r="C148" s="2" t="s">
        <v>1575</v>
      </c>
      <c r="D148" s="2" t="s">
        <v>1565</v>
      </c>
      <c r="E148" s="2">
        <v>10054.0</v>
      </c>
      <c r="F148" s="2" t="s">
        <v>1610</v>
      </c>
      <c r="I148" s="7">
        <v>1.0</v>
      </c>
      <c r="J148" s="6">
        <v>25238.0</v>
      </c>
      <c r="K148" s="2">
        <v>0.0</v>
      </c>
      <c r="L148" s="2">
        <v>25238.0</v>
      </c>
      <c r="M148" s="2">
        <v>0.0</v>
      </c>
      <c r="N148" s="2">
        <v>25238.0</v>
      </c>
      <c r="O148" s="2">
        <v>1262.0</v>
      </c>
      <c r="P148" s="2" t="s">
        <v>1574</v>
      </c>
      <c r="Q148" s="2" t="s">
        <v>1568</v>
      </c>
      <c r="R148" s="2" t="s">
        <v>1569</v>
      </c>
      <c r="S148" s="2" t="s">
        <v>1570</v>
      </c>
      <c r="W148" s="2" t="s">
        <v>1571</v>
      </c>
    </row>
    <row r="149">
      <c r="A149" s="4">
        <v>45563.64236111111</v>
      </c>
      <c r="B149" s="5">
        <v>2780624.0</v>
      </c>
      <c r="C149" s="2" t="s">
        <v>1575</v>
      </c>
      <c r="D149" s="2" t="s">
        <v>1572</v>
      </c>
      <c r="E149" s="2">
        <v>10013.0</v>
      </c>
      <c r="F149" s="2" t="s">
        <v>1591</v>
      </c>
      <c r="I149" s="7">
        <v>1.0</v>
      </c>
      <c r="J149" s="6">
        <v>23333.0</v>
      </c>
      <c r="K149" s="2">
        <v>0.0</v>
      </c>
      <c r="L149" s="2">
        <v>23333.0</v>
      </c>
      <c r="M149" s="2">
        <v>0.0</v>
      </c>
      <c r="N149" s="2">
        <v>23333.0</v>
      </c>
      <c r="O149" s="2">
        <v>1167.0</v>
      </c>
      <c r="P149" s="2" t="s">
        <v>1574</v>
      </c>
      <c r="Q149" s="2" t="s">
        <v>1568</v>
      </c>
      <c r="R149" s="2" t="s">
        <v>1569</v>
      </c>
      <c r="S149" s="2" t="s">
        <v>1570</v>
      </c>
      <c r="W149" s="2" t="s">
        <v>1571</v>
      </c>
    </row>
    <row r="150">
      <c r="A150" s="4">
        <v>45563.64236111111</v>
      </c>
      <c r="B150" s="5">
        <v>2780258.0</v>
      </c>
      <c r="C150" s="2" t="s">
        <v>1575</v>
      </c>
      <c r="D150" s="2" t="s">
        <v>1572</v>
      </c>
      <c r="E150" s="2">
        <v>10123.0</v>
      </c>
      <c r="F150" s="2" t="s">
        <v>1599</v>
      </c>
      <c r="I150" s="7">
        <v>1.0</v>
      </c>
      <c r="J150" s="6">
        <v>21905.0</v>
      </c>
      <c r="K150" s="2">
        <v>0.0</v>
      </c>
      <c r="L150" s="2">
        <v>21905.0</v>
      </c>
      <c r="M150" s="2">
        <v>0.0</v>
      </c>
      <c r="N150" s="2">
        <v>21905.0</v>
      </c>
      <c r="O150" s="2">
        <v>1095.0</v>
      </c>
      <c r="P150" s="2" t="s">
        <v>1574</v>
      </c>
      <c r="Q150" s="2" t="s">
        <v>1568</v>
      </c>
      <c r="R150" s="2" t="s">
        <v>1569</v>
      </c>
      <c r="S150" s="2" t="s">
        <v>1570</v>
      </c>
      <c r="W150" s="2" t="s">
        <v>1571</v>
      </c>
    </row>
    <row r="151">
      <c r="A151" s="4">
        <v>45563.62986111111</v>
      </c>
      <c r="B151" s="5">
        <v>2779893.0</v>
      </c>
      <c r="C151" s="2" t="s">
        <v>1575</v>
      </c>
      <c r="D151" s="2" t="s">
        <v>1565</v>
      </c>
      <c r="E151" s="2">
        <v>10007.0</v>
      </c>
      <c r="F151" s="2" t="s">
        <v>1596</v>
      </c>
      <c r="I151" s="7">
        <v>1.0</v>
      </c>
      <c r="J151" s="6">
        <v>33810.0</v>
      </c>
      <c r="K151" s="2">
        <v>0.0</v>
      </c>
      <c r="L151" s="2">
        <v>33810.0</v>
      </c>
      <c r="M151" s="2">
        <v>0.0</v>
      </c>
      <c r="N151" s="2">
        <v>33810.0</v>
      </c>
      <c r="O151" s="2">
        <v>1691.0</v>
      </c>
      <c r="P151" s="2" t="s">
        <v>1574</v>
      </c>
      <c r="Q151" s="2" t="s">
        <v>1568</v>
      </c>
      <c r="R151" s="2" t="s">
        <v>1569</v>
      </c>
      <c r="S151" s="2" t="s">
        <v>1570</v>
      </c>
      <c r="W151" s="2" t="s">
        <v>1571</v>
      </c>
    </row>
    <row r="152">
      <c r="A152" s="4">
        <v>45563.62986111111</v>
      </c>
      <c r="B152" s="5">
        <v>2779893.0</v>
      </c>
      <c r="C152" s="2" t="s">
        <v>1575</v>
      </c>
      <c r="D152" s="2" t="s">
        <v>1565</v>
      </c>
      <c r="E152" s="2">
        <v>10055.0</v>
      </c>
      <c r="F152" s="2" t="s">
        <v>1597</v>
      </c>
      <c r="I152" s="7">
        <v>2.0</v>
      </c>
      <c r="J152" s="6">
        <v>69524.0</v>
      </c>
      <c r="K152" s="2">
        <v>0.0</v>
      </c>
      <c r="L152" s="2">
        <v>69524.0</v>
      </c>
      <c r="M152" s="2">
        <v>0.0</v>
      </c>
      <c r="N152" s="2">
        <v>69524.0</v>
      </c>
      <c r="O152" s="2">
        <v>3476.0</v>
      </c>
      <c r="P152" s="2" t="s">
        <v>1574</v>
      </c>
      <c r="Q152" s="2" t="s">
        <v>1568</v>
      </c>
      <c r="R152" s="2" t="s">
        <v>1569</v>
      </c>
      <c r="S152" s="2" t="s">
        <v>1570</v>
      </c>
      <c r="W152" s="2" t="s">
        <v>1571</v>
      </c>
    </row>
    <row r="153">
      <c r="A153" s="4">
        <v>45563.62777777778</v>
      </c>
      <c r="B153" s="5">
        <v>2779528.0</v>
      </c>
      <c r="C153" s="2" t="s">
        <v>1575</v>
      </c>
      <c r="D153" s="2" t="s">
        <v>1565</v>
      </c>
      <c r="E153" s="2">
        <v>10055.0</v>
      </c>
      <c r="F153" s="2" t="s">
        <v>1597</v>
      </c>
      <c r="I153" s="7">
        <v>1.0</v>
      </c>
      <c r="J153" s="6">
        <v>34762.0</v>
      </c>
      <c r="K153" s="2">
        <v>0.0</v>
      </c>
      <c r="L153" s="2">
        <v>34762.0</v>
      </c>
      <c r="M153" s="2">
        <v>0.0</v>
      </c>
      <c r="N153" s="2">
        <v>34762.0</v>
      </c>
      <c r="O153" s="2">
        <v>1738.0</v>
      </c>
      <c r="P153" s="2" t="s">
        <v>1574</v>
      </c>
      <c r="Q153" s="2" t="s">
        <v>1568</v>
      </c>
      <c r="R153" s="2" t="s">
        <v>1569</v>
      </c>
      <c r="S153" s="2" t="s">
        <v>1570</v>
      </c>
      <c r="W153" s="2" t="s">
        <v>1571</v>
      </c>
    </row>
    <row r="154">
      <c r="A154" s="4">
        <v>45563.626388888886</v>
      </c>
      <c r="B154" s="5">
        <v>2779163.0</v>
      </c>
      <c r="C154" s="2" t="s">
        <v>1575</v>
      </c>
      <c r="D154" s="2" t="s">
        <v>1565</v>
      </c>
      <c r="E154" s="2">
        <v>10002.0</v>
      </c>
      <c r="F154" s="2" t="s">
        <v>1576</v>
      </c>
      <c r="I154" s="7">
        <v>1.0</v>
      </c>
      <c r="J154" s="6">
        <v>18571.0</v>
      </c>
      <c r="K154" s="2">
        <v>0.0</v>
      </c>
      <c r="L154" s="2">
        <v>18571.0</v>
      </c>
      <c r="M154" s="2">
        <v>0.0</v>
      </c>
      <c r="N154" s="2">
        <v>18571.0</v>
      </c>
      <c r="O154" s="2">
        <v>929.0</v>
      </c>
      <c r="P154" s="2" t="s">
        <v>1574</v>
      </c>
      <c r="Q154" s="2" t="s">
        <v>1568</v>
      </c>
      <c r="R154" s="2" t="s">
        <v>1569</v>
      </c>
      <c r="S154" s="2" t="s">
        <v>1570</v>
      </c>
      <c r="W154" s="2" t="s">
        <v>1571</v>
      </c>
    </row>
    <row r="155">
      <c r="A155" s="4">
        <v>45563.626388888886</v>
      </c>
      <c r="B155" s="5">
        <v>2779163.0</v>
      </c>
      <c r="C155" s="2" t="s">
        <v>1575</v>
      </c>
      <c r="D155" s="2" t="s">
        <v>1565</v>
      </c>
      <c r="E155" s="2">
        <v>10005.0</v>
      </c>
      <c r="F155" s="2" t="s">
        <v>1595</v>
      </c>
      <c r="I155" s="7">
        <v>1.0</v>
      </c>
      <c r="J155" s="6">
        <v>19524.0</v>
      </c>
      <c r="K155" s="2">
        <v>0.0</v>
      </c>
      <c r="L155" s="2">
        <v>19524.0</v>
      </c>
      <c r="M155" s="2">
        <v>0.0</v>
      </c>
      <c r="N155" s="2">
        <v>19524.0</v>
      </c>
      <c r="O155" s="2">
        <v>976.0</v>
      </c>
      <c r="P155" s="2" t="s">
        <v>1574</v>
      </c>
      <c r="Q155" s="2" t="s">
        <v>1568</v>
      </c>
      <c r="R155" s="2" t="s">
        <v>1569</v>
      </c>
      <c r="S155" s="2" t="s">
        <v>1570</v>
      </c>
      <c r="W155" s="2" t="s">
        <v>1571</v>
      </c>
    </row>
    <row r="156">
      <c r="A156" s="4">
        <v>45563.59722222222</v>
      </c>
      <c r="B156" s="5">
        <v>2778797.0</v>
      </c>
      <c r="C156" s="2" t="s">
        <v>1575</v>
      </c>
      <c r="D156" s="2" t="s">
        <v>1565</v>
      </c>
      <c r="E156" s="2">
        <v>10007.0</v>
      </c>
      <c r="F156" s="2" t="s">
        <v>1596</v>
      </c>
      <c r="I156" s="7">
        <v>1.0</v>
      </c>
      <c r="J156" s="6">
        <v>33810.0</v>
      </c>
      <c r="K156" s="2">
        <v>0.0</v>
      </c>
      <c r="L156" s="2">
        <v>33810.0</v>
      </c>
      <c r="M156" s="2">
        <v>0.0</v>
      </c>
      <c r="N156" s="2">
        <v>33810.0</v>
      </c>
      <c r="O156" s="2">
        <v>1691.0</v>
      </c>
      <c r="P156" s="2" t="s">
        <v>1574</v>
      </c>
      <c r="Q156" s="2" t="s">
        <v>1568</v>
      </c>
      <c r="R156" s="2" t="s">
        <v>1569</v>
      </c>
      <c r="S156" s="2" t="s">
        <v>1570</v>
      </c>
      <c r="W156" s="2" t="s">
        <v>1571</v>
      </c>
    </row>
    <row r="157">
      <c r="A157" s="4">
        <v>45563.59722222222</v>
      </c>
      <c r="B157" s="5">
        <v>2778797.0</v>
      </c>
      <c r="C157" s="2" t="s">
        <v>1575</v>
      </c>
      <c r="D157" s="2" t="s">
        <v>1572</v>
      </c>
      <c r="E157" s="2">
        <v>10126.0</v>
      </c>
      <c r="F157" s="2" t="s">
        <v>1600</v>
      </c>
      <c r="I157" s="7">
        <v>1.0</v>
      </c>
      <c r="J157" s="6">
        <v>23810.0</v>
      </c>
      <c r="K157" s="2">
        <v>0.0</v>
      </c>
      <c r="L157" s="2">
        <v>23810.0</v>
      </c>
      <c r="M157" s="2">
        <v>0.0</v>
      </c>
      <c r="N157" s="2">
        <v>23810.0</v>
      </c>
      <c r="O157" s="2">
        <v>1190.0</v>
      </c>
      <c r="P157" s="2" t="s">
        <v>1574</v>
      </c>
      <c r="Q157" s="2" t="s">
        <v>1568</v>
      </c>
      <c r="R157" s="2" t="s">
        <v>1569</v>
      </c>
      <c r="S157" s="2" t="s">
        <v>1570</v>
      </c>
      <c r="W157" s="2" t="s">
        <v>1571</v>
      </c>
    </row>
    <row r="158">
      <c r="A158" s="4">
        <v>45563.59722222222</v>
      </c>
      <c r="B158" s="5">
        <v>2778797.0</v>
      </c>
      <c r="C158" s="2" t="s">
        <v>1575</v>
      </c>
      <c r="D158" s="2" t="s">
        <v>1572</v>
      </c>
      <c r="E158" s="2">
        <v>10013.0</v>
      </c>
      <c r="F158" s="2" t="s">
        <v>1591</v>
      </c>
      <c r="I158" s="7">
        <v>1.0</v>
      </c>
      <c r="J158" s="6">
        <v>23333.0</v>
      </c>
      <c r="K158" s="2">
        <v>0.0</v>
      </c>
      <c r="L158" s="2">
        <v>23333.0</v>
      </c>
      <c r="M158" s="2">
        <v>0.0</v>
      </c>
      <c r="N158" s="2">
        <v>23333.0</v>
      </c>
      <c r="O158" s="2">
        <v>1167.0</v>
      </c>
      <c r="P158" s="2" t="s">
        <v>1574</v>
      </c>
      <c r="Q158" s="2" t="s">
        <v>1568</v>
      </c>
      <c r="R158" s="2" t="s">
        <v>1569</v>
      </c>
      <c r="S158" s="2" t="s">
        <v>1570</v>
      </c>
      <c r="W158" s="2" t="s">
        <v>1571</v>
      </c>
    </row>
    <row r="159">
      <c r="A159" s="4">
        <v>45563.57083333333</v>
      </c>
      <c r="B159" s="5">
        <v>2778432.0</v>
      </c>
      <c r="C159" s="2" t="s">
        <v>1575</v>
      </c>
      <c r="D159" s="2" t="s">
        <v>1565</v>
      </c>
      <c r="E159" s="2">
        <v>10055.0</v>
      </c>
      <c r="F159" s="2" t="s">
        <v>1597</v>
      </c>
      <c r="I159" s="7">
        <v>2.0</v>
      </c>
      <c r="J159" s="6">
        <v>69524.0</v>
      </c>
      <c r="K159" s="2">
        <v>0.0</v>
      </c>
      <c r="L159" s="2">
        <v>69524.0</v>
      </c>
      <c r="M159" s="2">
        <v>0.0</v>
      </c>
      <c r="N159" s="2">
        <v>69524.0</v>
      </c>
      <c r="O159" s="2">
        <v>3476.0</v>
      </c>
      <c r="P159" s="2" t="s">
        <v>1567</v>
      </c>
      <c r="Q159" s="2" t="s">
        <v>1568</v>
      </c>
      <c r="R159" s="2" t="s">
        <v>1569</v>
      </c>
      <c r="S159" s="2" t="s">
        <v>1570</v>
      </c>
      <c r="W159" s="2" t="s">
        <v>1571</v>
      </c>
    </row>
    <row r="160">
      <c r="A160" s="4">
        <v>45563.57083333333</v>
      </c>
      <c r="B160" s="5">
        <v>2778432.0</v>
      </c>
      <c r="C160" s="2" t="s">
        <v>1575</v>
      </c>
      <c r="D160" s="2" t="s">
        <v>1565</v>
      </c>
      <c r="E160" s="2">
        <v>10000.0</v>
      </c>
      <c r="F160" s="2" t="s">
        <v>1566</v>
      </c>
      <c r="I160" s="7">
        <v>1.0</v>
      </c>
      <c r="J160" s="6">
        <v>29524.0</v>
      </c>
      <c r="K160" s="2">
        <v>0.0</v>
      </c>
      <c r="L160" s="2">
        <v>29524.0</v>
      </c>
      <c r="M160" s="2">
        <v>0.0</v>
      </c>
      <c r="N160" s="2">
        <v>29524.0</v>
      </c>
      <c r="O160" s="2">
        <v>1476.0</v>
      </c>
      <c r="P160" s="2" t="s">
        <v>1567</v>
      </c>
      <c r="Q160" s="2" t="s">
        <v>1568</v>
      </c>
      <c r="R160" s="2" t="s">
        <v>1569</v>
      </c>
      <c r="S160" s="2" t="s">
        <v>1570</v>
      </c>
      <c r="W160" s="2" t="s">
        <v>1571</v>
      </c>
    </row>
    <row r="161">
      <c r="A161" s="4">
        <v>45563.57083333333</v>
      </c>
      <c r="B161" s="5">
        <v>2778432.0</v>
      </c>
      <c r="C161" s="2" t="s">
        <v>1575</v>
      </c>
      <c r="D161" s="2" t="s">
        <v>1565</v>
      </c>
      <c r="E161" s="2">
        <v>10007.0</v>
      </c>
      <c r="F161" s="2" t="s">
        <v>1596</v>
      </c>
      <c r="I161" s="7">
        <v>1.0</v>
      </c>
      <c r="J161" s="6">
        <v>33810.0</v>
      </c>
      <c r="K161" s="2">
        <v>0.0</v>
      </c>
      <c r="L161" s="2">
        <v>33810.0</v>
      </c>
      <c r="M161" s="2">
        <v>0.0</v>
      </c>
      <c r="N161" s="2">
        <v>33810.0</v>
      </c>
      <c r="O161" s="2">
        <v>1691.0</v>
      </c>
      <c r="P161" s="2" t="s">
        <v>1567</v>
      </c>
      <c r="Q161" s="2" t="s">
        <v>1568</v>
      </c>
      <c r="R161" s="2" t="s">
        <v>1569</v>
      </c>
      <c r="S161" s="2" t="s">
        <v>1570</v>
      </c>
      <c r="W161" s="2" t="s">
        <v>1571</v>
      </c>
    </row>
    <row r="162">
      <c r="A162" s="4">
        <v>45563.5625</v>
      </c>
      <c r="B162" s="5">
        <v>2778067.0</v>
      </c>
      <c r="C162" s="2" t="s">
        <v>1575</v>
      </c>
      <c r="D162" s="2" t="s">
        <v>1572</v>
      </c>
      <c r="E162" s="2">
        <v>10127.0</v>
      </c>
      <c r="F162" s="2" t="s">
        <v>1592</v>
      </c>
      <c r="I162" s="7">
        <v>1.0</v>
      </c>
      <c r="J162" s="6">
        <v>18571.0</v>
      </c>
      <c r="K162" s="2">
        <v>0.0</v>
      </c>
      <c r="L162" s="2">
        <v>18571.0</v>
      </c>
      <c r="M162" s="2">
        <v>0.0</v>
      </c>
      <c r="N162" s="2">
        <v>18571.0</v>
      </c>
      <c r="O162" s="2">
        <v>929.0</v>
      </c>
      <c r="P162" s="2" t="s">
        <v>1574</v>
      </c>
      <c r="Q162" s="2" t="s">
        <v>1568</v>
      </c>
      <c r="R162" s="2" t="s">
        <v>1569</v>
      </c>
      <c r="S162" s="2" t="s">
        <v>1570</v>
      </c>
      <c r="W162" s="2" t="s">
        <v>1571</v>
      </c>
    </row>
    <row r="163">
      <c r="A163" s="4">
        <v>45563.5625</v>
      </c>
      <c r="B163" s="5">
        <v>2778067.0</v>
      </c>
      <c r="C163" s="2" t="s">
        <v>1575</v>
      </c>
      <c r="D163" s="2" t="s">
        <v>1572</v>
      </c>
      <c r="E163" s="2">
        <v>10112.0</v>
      </c>
      <c r="F163" s="2" t="s">
        <v>1573</v>
      </c>
      <c r="I163" s="7">
        <v>1.0</v>
      </c>
      <c r="J163" s="6">
        <v>6667.0</v>
      </c>
      <c r="K163" s="2">
        <v>0.0</v>
      </c>
      <c r="L163" s="2">
        <v>6667.0</v>
      </c>
      <c r="M163" s="2">
        <v>0.0</v>
      </c>
      <c r="N163" s="2">
        <v>6667.0</v>
      </c>
      <c r="O163" s="2">
        <v>333.0</v>
      </c>
      <c r="P163" s="2" t="s">
        <v>1574</v>
      </c>
      <c r="Q163" s="2" t="s">
        <v>1568</v>
      </c>
      <c r="R163" s="2" t="s">
        <v>1569</v>
      </c>
      <c r="S163" s="2" t="s">
        <v>1570</v>
      </c>
      <c r="W163" s="2" t="s">
        <v>1571</v>
      </c>
    </row>
    <row r="164">
      <c r="A164" s="4">
        <v>45563.55486111111</v>
      </c>
      <c r="B164" s="5">
        <v>2777702.0</v>
      </c>
      <c r="C164" s="2" t="s">
        <v>1575</v>
      </c>
      <c r="D164" s="2" t="s">
        <v>1572</v>
      </c>
      <c r="E164" s="2">
        <v>10123.0</v>
      </c>
      <c r="F164" s="2" t="s">
        <v>1599</v>
      </c>
      <c r="I164" s="7">
        <v>1.0</v>
      </c>
      <c r="J164" s="6">
        <v>21905.0</v>
      </c>
      <c r="K164" s="2">
        <v>0.0</v>
      </c>
      <c r="L164" s="2">
        <v>21905.0</v>
      </c>
      <c r="M164" s="2">
        <v>0.0</v>
      </c>
      <c r="N164" s="2">
        <v>21905.0</v>
      </c>
      <c r="O164" s="2">
        <v>1095.0</v>
      </c>
      <c r="P164" s="2" t="s">
        <v>1574</v>
      </c>
      <c r="Q164" s="2" t="s">
        <v>1568</v>
      </c>
      <c r="R164" s="2" t="s">
        <v>1569</v>
      </c>
      <c r="S164" s="2" t="s">
        <v>1570</v>
      </c>
      <c r="W164" s="2" t="s">
        <v>1571</v>
      </c>
    </row>
    <row r="165">
      <c r="A165" s="4">
        <v>45563.55486111111</v>
      </c>
      <c r="B165" s="5">
        <v>2777702.0</v>
      </c>
      <c r="C165" s="2" t="s">
        <v>1575</v>
      </c>
      <c r="D165" s="2" t="s">
        <v>1572</v>
      </c>
      <c r="E165" s="2">
        <v>10026.0</v>
      </c>
      <c r="F165" s="2" t="s">
        <v>1583</v>
      </c>
      <c r="I165" s="7">
        <v>1.0</v>
      </c>
      <c r="J165" s="6">
        <v>21905.0</v>
      </c>
      <c r="K165" s="2">
        <v>0.0</v>
      </c>
      <c r="L165" s="2">
        <v>21905.0</v>
      </c>
      <c r="M165" s="2">
        <v>0.0</v>
      </c>
      <c r="N165" s="2">
        <v>21905.0</v>
      </c>
      <c r="O165" s="2">
        <v>1096.0</v>
      </c>
      <c r="P165" s="2" t="s">
        <v>1574</v>
      </c>
      <c r="Q165" s="2" t="s">
        <v>1568</v>
      </c>
      <c r="R165" s="2" t="s">
        <v>1569</v>
      </c>
      <c r="S165" s="2" t="s">
        <v>1570</v>
      </c>
      <c r="W165" s="2" t="s">
        <v>1571</v>
      </c>
    </row>
    <row r="166">
      <c r="A166" s="4">
        <v>45563.55486111111</v>
      </c>
      <c r="B166" s="5">
        <v>2777702.0</v>
      </c>
      <c r="C166" s="2" t="s">
        <v>1575</v>
      </c>
      <c r="D166" s="2" t="s">
        <v>1565</v>
      </c>
      <c r="E166" s="2">
        <v>10002.0</v>
      </c>
      <c r="F166" s="2" t="s">
        <v>1576</v>
      </c>
      <c r="I166" s="7">
        <v>1.0</v>
      </c>
      <c r="J166" s="6">
        <v>18571.0</v>
      </c>
      <c r="K166" s="2">
        <v>0.0</v>
      </c>
      <c r="L166" s="2">
        <v>18571.0</v>
      </c>
      <c r="M166" s="2">
        <v>0.0</v>
      </c>
      <c r="N166" s="2">
        <v>18571.0</v>
      </c>
      <c r="O166" s="2">
        <v>928.0</v>
      </c>
      <c r="P166" s="2" t="s">
        <v>1574</v>
      </c>
      <c r="Q166" s="2" t="s">
        <v>1568</v>
      </c>
      <c r="R166" s="2" t="s">
        <v>1569</v>
      </c>
      <c r="S166" s="2" t="s">
        <v>1570</v>
      </c>
      <c r="W166" s="2" t="s">
        <v>1571</v>
      </c>
    </row>
    <row r="167">
      <c r="A167" s="4">
        <v>45563.55486111111</v>
      </c>
      <c r="B167" s="5">
        <v>2777702.0</v>
      </c>
      <c r="C167" s="2" t="s">
        <v>1575</v>
      </c>
      <c r="D167" s="2" t="s">
        <v>1565</v>
      </c>
      <c r="E167" s="2">
        <v>10005.0</v>
      </c>
      <c r="F167" s="2" t="s">
        <v>1595</v>
      </c>
      <c r="I167" s="7">
        <v>1.0</v>
      </c>
      <c r="J167" s="6">
        <v>19524.0</v>
      </c>
      <c r="K167" s="2">
        <v>0.0</v>
      </c>
      <c r="L167" s="2">
        <v>19524.0</v>
      </c>
      <c r="M167" s="2">
        <v>0.0</v>
      </c>
      <c r="N167" s="2">
        <v>19524.0</v>
      </c>
      <c r="O167" s="2">
        <v>976.0</v>
      </c>
      <c r="P167" s="2" t="s">
        <v>1574</v>
      </c>
      <c r="Q167" s="2" t="s">
        <v>1568</v>
      </c>
      <c r="R167" s="2" t="s">
        <v>1569</v>
      </c>
      <c r="S167" s="2" t="s">
        <v>1570</v>
      </c>
      <c r="W167" s="2" t="s">
        <v>1571</v>
      </c>
    </row>
    <row r="168">
      <c r="A168" s="4">
        <v>45563.52638888889</v>
      </c>
      <c r="B168" s="5">
        <v>2777336.0</v>
      </c>
      <c r="C168" s="2" t="s">
        <v>1575</v>
      </c>
      <c r="D168" s="2" t="s">
        <v>1565</v>
      </c>
      <c r="E168" s="2">
        <v>10007.0</v>
      </c>
      <c r="F168" s="2" t="s">
        <v>1596</v>
      </c>
      <c r="I168" s="7">
        <v>1.0</v>
      </c>
      <c r="J168" s="6">
        <v>33810.0</v>
      </c>
      <c r="K168" s="2">
        <v>0.0</v>
      </c>
      <c r="L168" s="2">
        <v>33810.0</v>
      </c>
      <c r="M168" s="2">
        <v>0.0</v>
      </c>
      <c r="N168" s="2">
        <v>33810.0</v>
      </c>
      <c r="O168" s="2">
        <v>1691.0</v>
      </c>
      <c r="P168" s="2" t="s">
        <v>1567</v>
      </c>
      <c r="Q168" s="2" t="s">
        <v>1568</v>
      </c>
      <c r="R168" s="2" t="s">
        <v>1569</v>
      </c>
      <c r="S168" s="2" t="s">
        <v>1570</v>
      </c>
      <c r="W168" s="2" t="s">
        <v>1571</v>
      </c>
    </row>
    <row r="169">
      <c r="A169" s="4">
        <v>45563.52638888889</v>
      </c>
      <c r="B169" s="5">
        <v>2777336.0</v>
      </c>
      <c r="C169" s="2" t="s">
        <v>1575</v>
      </c>
      <c r="D169" s="2" t="s">
        <v>1565</v>
      </c>
      <c r="E169" s="2">
        <v>10055.0</v>
      </c>
      <c r="F169" s="2" t="s">
        <v>1597</v>
      </c>
      <c r="I169" s="7">
        <v>1.0</v>
      </c>
      <c r="J169" s="6">
        <v>34762.0</v>
      </c>
      <c r="K169" s="2">
        <v>0.0</v>
      </c>
      <c r="L169" s="2">
        <v>34762.0</v>
      </c>
      <c r="M169" s="2">
        <v>0.0</v>
      </c>
      <c r="N169" s="2">
        <v>34762.0</v>
      </c>
      <c r="O169" s="2">
        <v>1738.0</v>
      </c>
      <c r="P169" s="2" t="s">
        <v>1567</v>
      </c>
      <c r="Q169" s="2" t="s">
        <v>1568</v>
      </c>
      <c r="R169" s="2" t="s">
        <v>1569</v>
      </c>
      <c r="S169" s="2" t="s">
        <v>1570</v>
      </c>
      <c r="W169" s="2" t="s">
        <v>1571</v>
      </c>
    </row>
    <row r="170">
      <c r="A170" s="4">
        <v>45563.52638888889</v>
      </c>
      <c r="B170" s="5">
        <v>2777336.0</v>
      </c>
      <c r="C170" s="2" t="s">
        <v>1575</v>
      </c>
      <c r="D170" s="2" t="s">
        <v>1565</v>
      </c>
      <c r="E170" s="2">
        <v>10000.0</v>
      </c>
      <c r="F170" s="2" t="s">
        <v>1566</v>
      </c>
      <c r="I170" s="7">
        <v>1.0</v>
      </c>
      <c r="J170" s="6">
        <v>29524.0</v>
      </c>
      <c r="K170" s="2">
        <v>0.0</v>
      </c>
      <c r="L170" s="2">
        <v>29524.0</v>
      </c>
      <c r="M170" s="2">
        <v>0.0</v>
      </c>
      <c r="N170" s="2">
        <v>29524.0</v>
      </c>
      <c r="O170" s="2">
        <v>1476.0</v>
      </c>
      <c r="P170" s="2" t="s">
        <v>1567</v>
      </c>
      <c r="Q170" s="2" t="s">
        <v>1568</v>
      </c>
      <c r="R170" s="2" t="s">
        <v>1569</v>
      </c>
      <c r="S170" s="2" t="s">
        <v>1570</v>
      </c>
      <c r="W170" s="2" t="s">
        <v>1571</v>
      </c>
    </row>
    <row r="171">
      <c r="A171" s="4">
        <v>45563.52638888889</v>
      </c>
      <c r="B171" s="5">
        <v>2777336.0</v>
      </c>
      <c r="C171" s="2" t="s">
        <v>1575</v>
      </c>
      <c r="D171" s="2" t="s">
        <v>1565</v>
      </c>
      <c r="E171" s="2">
        <v>10007.0</v>
      </c>
      <c r="F171" s="2" t="s">
        <v>1596</v>
      </c>
      <c r="I171" s="7">
        <v>1.0</v>
      </c>
      <c r="J171" s="6">
        <v>33810.0</v>
      </c>
      <c r="K171" s="2">
        <v>0.0</v>
      </c>
      <c r="L171" s="2">
        <v>33810.0</v>
      </c>
      <c r="M171" s="2">
        <v>0.0</v>
      </c>
      <c r="N171" s="2">
        <v>33810.0</v>
      </c>
      <c r="O171" s="2">
        <v>1690.0</v>
      </c>
      <c r="P171" s="2" t="s">
        <v>1567</v>
      </c>
      <c r="Q171" s="2" t="s">
        <v>1568</v>
      </c>
      <c r="R171" s="2" t="s">
        <v>1569</v>
      </c>
      <c r="S171" s="2" t="s">
        <v>1570</v>
      </c>
      <c r="W171" s="2" t="s">
        <v>1571</v>
      </c>
    </row>
    <row r="172">
      <c r="A172" s="4">
        <v>45563.50902777778</v>
      </c>
      <c r="B172" s="5">
        <v>2776971.0</v>
      </c>
      <c r="C172" s="2" t="s">
        <v>1575</v>
      </c>
      <c r="D172" s="2" t="s">
        <v>1572</v>
      </c>
      <c r="E172" s="2">
        <v>10063.0</v>
      </c>
      <c r="F172" s="2" t="s">
        <v>1594</v>
      </c>
      <c r="I172" s="7">
        <v>1.0</v>
      </c>
      <c r="J172" s="6">
        <v>24762.0</v>
      </c>
      <c r="K172" s="2">
        <v>0.0</v>
      </c>
      <c r="L172" s="2">
        <v>24762.0</v>
      </c>
      <c r="M172" s="2">
        <v>0.0</v>
      </c>
      <c r="N172" s="2">
        <v>24762.0</v>
      </c>
      <c r="O172" s="2">
        <v>1238.0</v>
      </c>
      <c r="P172" s="2" t="s">
        <v>1574</v>
      </c>
      <c r="Q172" s="2" t="s">
        <v>1568</v>
      </c>
      <c r="R172" s="2" t="s">
        <v>1569</v>
      </c>
      <c r="S172" s="2" t="s">
        <v>1570</v>
      </c>
      <c r="W172" s="2" t="s">
        <v>1571</v>
      </c>
    </row>
    <row r="173">
      <c r="A173" s="4">
        <v>45563.50902777778</v>
      </c>
      <c r="B173" s="5">
        <v>2776971.0</v>
      </c>
      <c r="C173" s="2" t="s">
        <v>1575</v>
      </c>
      <c r="D173" s="2" t="s">
        <v>1572</v>
      </c>
      <c r="E173" s="2">
        <v>10070.0</v>
      </c>
      <c r="F173" s="2" t="s">
        <v>1593</v>
      </c>
      <c r="I173" s="7">
        <v>1.0</v>
      </c>
      <c r="J173" s="6">
        <v>24762.0</v>
      </c>
      <c r="K173" s="2">
        <v>0.0</v>
      </c>
      <c r="L173" s="2">
        <v>24762.0</v>
      </c>
      <c r="M173" s="2">
        <v>0.0</v>
      </c>
      <c r="N173" s="2">
        <v>24762.0</v>
      </c>
      <c r="O173" s="2">
        <v>1238.0</v>
      </c>
      <c r="P173" s="2" t="s">
        <v>1574</v>
      </c>
      <c r="Q173" s="2" t="s">
        <v>1568</v>
      </c>
      <c r="R173" s="2" t="s">
        <v>1569</v>
      </c>
      <c r="S173" s="2" t="s">
        <v>1570</v>
      </c>
      <c r="W173" s="2" t="s">
        <v>1571</v>
      </c>
    </row>
    <row r="174">
      <c r="A174" s="4">
        <v>45563.50902777778</v>
      </c>
      <c r="B174" s="5">
        <v>2776971.0</v>
      </c>
      <c r="C174" s="2" t="s">
        <v>1575</v>
      </c>
      <c r="D174" s="2" t="s">
        <v>1565</v>
      </c>
      <c r="E174" s="2">
        <v>10002.0</v>
      </c>
      <c r="F174" s="2" t="s">
        <v>1576</v>
      </c>
      <c r="I174" s="7">
        <v>1.0</v>
      </c>
      <c r="J174" s="6">
        <v>18571.0</v>
      </c>
      <c r="K174" s="2">
        <v>0.0</v>
      </c>
      <c r="L174" s="2">
        <v>18571.0</v>
      </c>
      <c r="M174" s="2">
        <v>0.0</v>
      </c>
      <c r="N174" s="2">
        <v>18571.0</v>
      </c>
      <c r="O174" s="2">
        <v>929.0</v>
      </c>
      <c r="P174" s="2" t="s">
        <v>1574</v>
      </c>
      <c r="Q174" s="2" t="s">
        <v>1568</v>
      </c>
      <c r="R174" s="2" t="s">
        <v>1569</v>
      </c>
      <c r="S174" s="2" t="s">
        <v>1570</v>
      </c>
      <c r="W174" s="2" t="s">
        <v>1571</v>
      </c>
    </row>
    <row r="175">
      <c r="A175" s="4">
        <v>45563.489583333336</v>
      </c>
      <c r="B175" s="5">
        <v>2776606.0</v>
      </c>
      <c r="C175" s="2" t="s">
        <v>1575</v>
      </c>
      <c r="D175" s="2" t="s">
        <v>1572</v>
      </c>
      <c r="E175" s="2">
        <v>10128.0</v>
      </c>
      <c r="F175" s="2" t="s">
        <v>1588</v>
      </c>
      <c r="I175" s="7">
        <v>1.0</v>
      </c>
      <c r="J175" s="6">
        <v>23333.0</v>
      </c>
      <c r="K175" s="2">
        <v>0.0</v>
      </c>
      <c r="L175" s="2">
        <v>23333.0</v>
      </c>
      <c r="M175" s="2">
        <v>0.0</v>
      </c>
      <c r="N175" s="2">
        <v>23333.0</v>
      </c>
      <c r="O175" s="2">
        <v>1167.0</v>
      </c>
      <c r="P175" s="2" t="s">
        <v>1574</v>
      </c>
      <c r="Q175" s="2" t="s">
        <v>1568</v>
      </c>
      <c r="R175" s="2" t="s">
        <v>1569</v>
      </c>
      <c r="S175" s="2" t="s">
        <v>1570</v>
      </c>
      <c r="W175" s="2" t="s">
        <v>1571</v>
      </c>
    </row>
    <row r="176">
      <c r="A176" s="4">
        <v>45563.489583333336</v>
      </c>
      <c r="B176" s="5">
        <v>2776606.0</v>
      </c>
      <c r="C176" s="2" t="s">
        <v>1575</v>
      </c>
      <c r="D176" s="2" t="s">
        <v>1580</v>
      </c>
      <c r="E176" s="2">
        <v>10053.0</v>
      </c>
      <c r="F176" s="2" t="s">
        <v>1612</v>
      </c>
      <c r="I176" s="7">
        <v>1.0</v>
      </c>
      <c r="J176" s="6">
        <v>25238.0</v>
      </c>
      <c r="K176" s="2">
        <v>0.0</v>
      </c>
      <c r="L176" s="2">
        <v>25238.0</v>
      </c>
      <c r="M176" s="2">
        <v>0.0</v>
      </c>
      <c r="N176" s="2">
        <v>25238.0</v>
      </c>
      <c r="O176" s="2">
        <v>1262.0</v>
      </c>
      <c r="P176" s="2" t="s">
        <v>1574</v>
      </c>
      <c r="Q176" s="2" t="s">
        <v>1568</v>
      </c>
      <c r="R176" s="2" t="s">
        <v>1569</v>
      </c>
      <c r="S176" s="2" t="s">
        <v>1570</v>
      </c>
      <c r="W176" s="2" t="s">
        <v>1571</v>
      </c>
    </row>
    <row r="177">
      <c r="A177" s="4">
        <v>45563.48888888889</v>
      </c>
      <c r="B177" s="5">
        <v>2776241.0</v>
      </c>
      <c r="C177" s="2" t="s">
        <v>1575</v>
      </c>
      <c r="D177" s="2" t="s">
        <v>1572</v>
      </c>
      <c r="E177" s="2">
        <v>10128.0</v>
      </c>
      <c r="F177" s="2" t="s">
        <v>1588</v>
      </c>
      <c r="I177" s="7">
        <v>1.0</v>
      </c>
      <c r="J177" s="6">
        <v>23333.0</v>
      </c>
      <c r="K177" s="2">
        <v>0.0</v>
      </c>
      <c r="L177" s="2">
        <v>23333.0</v>
      </c>
      <c r="M177" s="2">
        <v>0.0</v>
      </c>
      <c r="N177" s="2">
        <v>23333.0</v>
      </c>
      <c r="O177" s="2">
        <v>1167.0</v>
      </c>
      <c r="P177" s="2" t="s">
        <v>1574</v>
      </c>
      <c r="Q177" s="2" t="s">
        <v>1568</v>
      </c>
      <c r="R177" s="2" t="s">
        <v>1569</v>
      </c>
      <c r="S177" s="2" t="s">
        <v>1570</v>
      </c>
      <c r="W177" s="2" t="s">
        <v>1571</v>
      </c>
    </row>
    <row r="178">
      <c r="A178" s="4">
        <v>45563.48888888889</v>
      </c>
      <c r="B178" s="5">
        <v>2776241.0</v>
      </c>
      <c r="C178" s="2" t="s">
        <v>1575</v>
      </c>
      <c r="D178" s="2" t="s">
        <v>1580</v>
      </c>
      <c r="E178" s="2">
        <v>10053.0</v>
      </c>
      <c r="F178" s="2" t="s">
        <v>1612</v>
      </c>
      <c r="I178" s="7">
        <v>1.0</v>
      </c>
      <c r="J178" s="6">
        <v>25238.0</v>
      </c>
      <c r="K178" s="2">
        <v>0.0</v>
      </c>
      <c r="L178" s="2">
        <v>25238.0</v>
      </c>
      <c r="M178" s="2">
        <v>0.0</v>
      </c>
      <c r="N178" s="2">
        <v>25238.0</v>
      </c>
      <c r="O178" s="2">
        <v>1262.0</v>
      </c>
      <c r="P178" s="2" t="s">
        <v>1574</v>
      </c>
      <c r="Q178" s="2" t="s">
        <v>1568</v>
      </c>
      <c r="R178" s="2" t="s">
        <v>1569</v>
      </c>
      <c r="S178" s="2" t="s">
        <v>1570</v>
      </c>
      <c r="W178" s="2" t="s">
        <v>1571</v>
      </c>
    </row>
    <row r="179">
      <c r="A179" s="4">
        <v>45563.479166666664</v>
      </c>
      <c r="B179" s="5">
        <v>2775876.0</v>
      </c>
      <c r="C179" s="2" t="s">
        <v>1575</v>
      </c>
      <c r="D179" s="2" t="s">
        <v>1572</v>
      </c>
      <c r="E179" s="2">
        <v>10130.0</v>
      </c>
      <c r="F179" s="2" t="s">
        <v>1614</v>
      </c>
      <c r="I179" s="7">
        <v>1.0</v>
      </c>
      <c r="J179" s="6">
        <v>23333.0</v>
      </c>
      <c r="K179" s="2">
        <v>0.0</v>
      </c>
      <c r="L179" s="2">
        <v>23333.0</v>
      </c>
      <c r="M179" s="2">
        <v>0.0</v>
      </c>
      <c r="N179" s="2">
        <v>23333.0</v>
      </c>
      <c r="O179" s="2">
        <v>1167.0</v>
      </c>
      <c r="P179" s="2" t="s">
        <v>1574</v>
      </c>
      <c r="Q179" s="2" t="s">
        <v>1568</v>
      </c>
      <c r="R179" s="2" t="s">
        <v>1569</v>
      </c>
      <c r="S179" s="2" t="s">
        <v>1570</v>
      </c>
      <c r="W179" s="2" t="s">
        <v>1571</v>
      </c>
    </row>
    <row r="180">
      <c r="A180" s="4">
        <v>45563.479166666664</v>
      </c>
      <c r="B180" s="5">
        <v>2775876.0</v>
      </c>
      <c r="C180" s="2" t="s">
        <v>1575</v>
      </c>
      <c r="D180" s="2" t="s">
        <v>1572</v>
      </c>
      <c r="E180" s="2">
        <v>10119.0</v>
      </c>
      <c r="F180" s="2" t="s">
        <v>1582</v>
      </c>
      <c r="I180" s="7">
        <v>1.0</v>
      </c>
      <c r="J180" s="6">
        <v>7143.0</v>
      </c>
      <c r="K180" s="2">
        <v>0.0</v>
      </c>
      <c r="L180" s="2">
        <v>7143.0</v>
      </c>
      <c r="M180" s="2">
        <v>0.0</v>
      </c>
      <c r="N180" s="2">
        <v>7143.0</v>
      </c>
      <c r="O180" s="2">
        <v>357.0</v>
      </c>
      <c r="P180" s="2" t="s">
        <v>1574</v>
      </c>
      <c r="Q180" s="2" t="s">
        <v>1568</v>
      </c>
      <c r="R180" s="2" t="s">
        <v>1569</v>
      </c>
      <c r="S180" s="2" t="s">
        <v>1570</v>
      </c>
      <c r="W180" s="2" t="s">
        <v>1571</v>
      </c>
    </row>
    <row r="181">
      <c r="A181" s="4">
        <v>45563.479166666664</v>
      </c>
      <c r="B181" s="5">
        <v>2775876.0</v>
      </c>
      <c r="C181" s="2" t="s">
        <v>1575</v>
      </c>
      <c r="D181" s="2" t="s">
        <v>1565</v>
      </c>
      <c r="E181" s="2">
        <v>10002.0</v>
      </c>
      <c r="F181" s="2" t="s">
        <v>1576</v>
      </c>
      <c r="I181" s="7">
        <v>1.0</v>
      </c>
      <c r="J181" s="6">
        <v>18571.0</v>
      </c>
      <c r="K181" s="2">
        <v>0.0</v>
      </c>
      <c r="L181" s="2">
        <v>18571.0</v>
      </c>
      <c r="M181" s="2">
        <v>0.0</v>
      </c>
      <c r="N181" s="2">
        <v>18571.0</v>
      </c>
      <c r="O181" s="2">
        <v>928.0</v>
      </c>
      <c r="P181" s="2" t="s">
        <v>1574</v>
      </c>
      <c r="Q181" s="2" t="s">
        <v>1568</v>
      </c>
      <c r="R181" s="2" t="s">
        <v>1569</v>
      </c>
      <c r="S181" s="2" t="s">
        <v>1570</v>
      </c>
      <c r="W181" s="2" t="s">
        <v>1571</v>
      </c>
    </row>
    <row r="182">
      <c r="A182" s="4">
        <v>45563.479166666664</v>
      </c>
      <c r="B182" s="5">
        <v>2775876.0</v>
      </c>
      <c r="C182" s="2" t="s">
        <v>1575</v>
      </c>
      <c r="D182" s="2" t="s">
        <v>1572</v>
      </c>
      <c r="E182" s="2">
        <v>10125.0</v>
      </c>
      <c r="F182" s="2" t="s">
        <v>1601</v>
      </c>
      <c r="I182" s="7">
        <v>1.0</v>
      </c>
      <c r="J182" s="6">
        <v>20476.0</v>
      </c>
      <c r="K182" s="2">
        <v>0.0</v>
      </c>
      <c r="L182" s="2">
        <v>20476.0</v>
      </c>
      <c r="M182" s="2">
        <v>0.0</v>
      </c>
      <c r="N182" s="2">
        <v>20476.0</v>
      </c>
      <c r="O182" s="2">
        <v>1024.0</v>
      </c>
      <c r="P182" s="2" t="s">
        <v>1574</v>
      </c>
      <c r="Q182" s="2" t="s">
        <v>1568</v>
      </c>
      <c r="R182" s="2" t="s">
        <v>1569</v>
      </c>
      <c r="S182" s="2" t="s">
        <v>1570</v>
      </c>
      <c r="W182" s="2" t="s">
        <v>1571</v>
      </c>
    </row>
    <row r="183">
      <c r="A183" s="4">
        <v>45563.44513888889</v>
      </c>
      <c r="B183" s="5">
        <v>2775511.0</v>
      </c>
      <c r="C183" s="2" t="s">
        <v>1575</v>
      </c>
      <c r="D183" s="2" t="s">
        <v>1565</v>
      </c>
      <c r="E183" s="2">
        <v>10007.0</v>
      </c>
      <c r="F183" s="2" t="s">
        <v>1596</v>
      </c>
      <c r="I183" s="7">
        <v>1.0</v>
      </c>
      <c r="J183" s="6">
        <v>33810.0</v>
      </c>
      <c r="K183" s="2">
        <v>0.0</v>
      </c>
      <c r="L183" s="2">
        <v>33810.0</v>
      </c>
      <c r="M183" s="2">
        <v>0.0</v>
      </c>
      <c r="N183" s="2">
        <v>33810.0</v>
      </c>
      <c r="O183" s="2">
        <v>1691.0</v>
      </c>
      <c r="P183" s="2" t="s">
        <v>1567</v>
      </c>
      <c r="Q183" s="2" t="s">
        <v>1568</v>
      </c>
      <c r="R183" s="2" t="s">
        <v>1569</v>
      </c>
      <c r="S183" s="2" t="s">
        <v>1570</v>
      </c>
      <c r="W183" s="2" t="s">
        <v>1571</v>
      </c>
    </row>
    <row r="184">
      <c r="A184" s="4">
        <v>45563.444444444445</v>
      </c>
      <c r="B184" s="5">
        <v>2775146.0</v>
      </c>
      <c r="C184" s="2" t="s">
        <v>1575</v>
      </c>
      <c r="D184" s="2" t="s">
        <v>1565</v>
      </c>
      <c r="E184" s="2">
        <v>10007.0</v>
      </c>
      <c r="F184" s="2" t="s">
        <v>1596</v>
      </c>
      <c r="I184" s="7">
        <v>1.0</v>
      </c>
      <c r="J184" s="6">
        <v>33810.0</v>
      </c>
      <c r="K184" s="2">
        <v>0.0</v>
      </c>
      <c r="L184" s="2">
        <v>33810.0</v>
      </c>
      <c r="M184" s="2">
        <v>0.0</v>
      </c>
      <c r="N184" s="2">
        <v>33810.0</v>
      </c>
      <c r="O184" s="2">
        <v>1691.0</v>
      </c>
      <c r="P184" s="2" t="s">
        <v>1567</v>
      </c>
      <c r="Q184" s="2" t="s">
        <v>1568</v>
      </c>
      <c r="R184" s="2" t="s">
        <v>1569</v>
      </c>
      <c r="S184" s="2" t="s">
        <v>1570</v>
      </c>
      <c r="W184" s="2" t="s">
        <v>1571</v>
      </c>
    </row>
    <row r="185">
      <c r="A185" s="4">
        <v>45563.444444444445</v>
      </c>
      <c r="B185" s="5">
        <v>2775146.0</v>
      </c>
      <c r="C185" s="2" t="s">
        <v>1575</v>
      </c>
      <c r="D185" s="2" t="s">
        <v>1565</v>
      </c>
      <c r="E185" s="2">
        <v>10000.0</v>
      </c>
      <c r="F185" s="2" t="s">
        <v>1566</v>
      </c>
      <c r="I185" s="7">
        <v>1.0</v>
      </c>
      <c r="J185" s="6">
        <v>29524.0</v>
      </c>
      <c r="K185" s="2">
        <v>0.0</v>
      </c>
      <c r="L185" s="2">
        <v>29524.0</v>
      </c>
      <c r="M185" s="2">
        <v>0.0</v>
      </c>
      <c r="N185" s="2">
        <v>29524.0</v>
      </c>
      <c r="O185" s="2">
        <v>1476.0</v>
      </c>
      <c r="P185" s="2" t="s">
        <v>1567</v>
      </c>
      <c r="Q185" s="2" t="s">
        <v>1568</v>
      </c>
      <c r="R185" s="2" t="s">
        <v>1569</v>
      </c>
      <c r="S185" s="2" t="s">
        <v>1570</v>
      </c>
      <c r="W185" s="2" t="s">
        <v>1571</v>
      </c>
    </row>
    <row r="186">
      <c r="A186" s="4">
        <v>45563.444444444445</v>
      </c>
      <c r="B186" s="5">
        <v>2775146.0</v>
      </c>
      <c r="C186" s="2" t="s">
        <v>1575</v>
      </c>
      <c r="D186" s="2" t="s">
        <v>1565</v>
      </c>
      <c r="E186" s="2">
        <v>10055.0</v>
      </c>
      <c r="F186" s="2" t="s">
        <v>1597</v>
      </c>
      <c r="I186" s="7">
        <v>1.0</v>
      </c>
      <c r="J186" s="6">
        <v>34762.0</v>
      </c>
      <c r="K186" s="2">
        <v>0.0</v>
      </c>
      <c r="L186" s="2">
        <v>34762.0</v>
      </c>
      <c r="M186" s="2">
        <v>0.0</v>
      </c>
      <c r="N186" s="2">
        <v>34762.0</v>
      </c>
      <c r="O186" s="2">
        <v>1738.0</v>
      </c>
      <c r="P186" s="2" t="s">
        <v>1567</v>
      </c>
      <c r="Q186" s="2" t="s">
        <v>1568</v>
      </c>
      <c r="R186" s="2" t="s">
        <v>1569</v>
      </c>
      <c r="S186" s="2" t="s">
        <v>1570</v>
      </c>
      <c r="W186" s="2" t="s">
        <v>1571</v>
      </c>
    </row>
    <row r="187">
      <c r="A187" s="4">
        <v>45563.44305555556</v>
      </c>
      <c r="B187" s="5">
        <v>2774781.0</v>
      </c>
      <c r="C187" s="2" t="s">
        <v>1575</v>
      </c>
      <c r="D187" s="2" t="s">
        <v>1565</v>
      </c>
      <c r="E187" s="2">
        <v>10000.0</v>
      </c>
      <c r="F187" s="2" t="s">
        <v>1566</v>
      </c>
      <c r="I187" s="7">
        <v>1.0</v>
      </c>
      <c r="J187" s="6">
        <v>29524.0</v>
      </c>
      <c r="K187" s="2">
        <v>0.0</v>
      </c>
      <c r="L187" s="2">
        <v>29524.0</v>
      </c>
      <c r="M187" s="2">
        <v>0.0</v>
      </c>
      <c r="N187" s="2">
        <v>29524.0</v>
      </c>
      <c r="O187" s="2">
        <v>1476.0</v>
      </c>
      <c r="P187" s="2" t="s">
        <v>1574</v>
      </c>
      <c r="Q187" s="2" t="s">
        <v>1568</v>
      </c>
      <c r="R187" s="2" t="s">
        <v>1569</v>
      </c>
      <c r="S187" s="2" t="s">
        <v>1570</v>
      </c>
      <c r="W187" s="2" t="s">
        <v>1571</v>
      </c>
    </row>
    <row r="188">
      <c r="A188" s="4">
        <v>45563.44305555556</v>
      </c>
      <c r="B188" s="5">
        <v>2774781.0</v>
      </c>
      <c r="C188" s="2" t="s">
        <v>1575</v>
      </c>
      <c r="D188" s="2" t="s">
        <v>1578</v>
      </c>
      <c r="E188" s="2">
        <v>10051.0</v>
      </c>
      <c r="F188" s="2" t="s">
        <v>1579</v>
      </c>
      <c r="I188" s="7">
        <v>1.0</v>
      </c>
      <c r="J188" s="6">
        <v>25238.0</v>
      </c>
      <c r="K188" s="2">
        <v>0.0</v>
      </c>
      <c r="L188" s="2">
        <v>25238.0</v>
      </c>
      <c r="M188" s="2">
        <v>0.0</v>
      </c>
      <c r="N188" s="2">
        <v>25238.0</v>
      </c>
      <c r="O188" s="2">
        <v>1262.0</v>
      </c>
      <c r="P188" s="2" t="s">
        <v>1574</v>
      </c>
      <c r="Q188" s="2" t="s">
        <v>1568</v>
      </c>
      <c r="R188" s="2" t="s">
        <v>1569</v>
      </c>
      <c r="S188" s="2" t="s">
        <v>1570</v>
      </c>
      <c r="W188" s="2" t="s">
        <v>1571</v>
      </c>
    </row>
    <row r="189">
      <c r="A189" s="4">
        <v>45563.44305555556</v>
      </c>
      <c r="B189" s="5">
        <v>2774781.0</v>
      </c>
      <c r="C189" s="2" t="s">
        <v>1575</v>
      </c>
      <c r="D189" s="2" t="s">
        <v>1572</v>
      </c>
      <c r="E189" s="2">
        <v>10128.0</v>
      </c>
      <c r="F189" s="2" t="s">
        <v>1588</v>
      </c>
      <c r="I189" s="7">
        <v>1.0</v>
      </c>
      <c r="J189" s="6">
        <v>23333.0</v>
      </c>
      <c r="K189" s="2">
        <v>0.0</v>
      </c>
      <c r="L189" s="2">
        <v>23333.0</v>
      </c>
      <c r="M189" s="2">
        <v>0.0</v>
      </c>
      <c r="N189" s="2">
        <v>23333.0</v>
      </c>
      <c r="O189" s="2">
        <v>1167.0</v>
      </c>
      <c r="P189" s="2" t="s">
        <v>1574</v>
      </c>
      <c r="Q189" s="2" t="s">
        <v>1568</v>
      </c>
      <c r="R189" s="2" t="s">
        <v>1569</v>
      </c>
      <c r="S189" s="2" t="s">
        <v>1570</v>
      </c>
      <c r="W189" s="2" t="s">
        <v>1571</v>
      </c>
    </row>
    <row r="190">
      <c r="A190" s="4">
        <v>45563.44305555556</v>
      </c>
      <c r="B190" s="5">
        <v>2774781.0</v>
      </c>
      <c r="C190" s="2" t="s">
        <v>1575</v>
      </c>
      <c r="D190" s="2" t="s">
        <v>1572</v>
      </c>
      <c r="E190" s="2">
        <v>10013.0</v>
      </c>
      <c r="F190" s="2" t="s">
        <v>1591</v>
      </c>
      <c r="I190" s="7">
        <v>1.0</v>
      </c>
      <c r="J190" s="6">
        <v>23333.0</v>
      </c>
      <c r="K190" s="2">
        <v>0.0</v>
      </c>
      <c r="L190" s="2">
        <v>23333.0</v>
      </c>
      <c r="M190" s="2">
        <v>0.0</v>
      </c>
      <c r="N190" s="2">
        <v>23333.0</v>
      </c>
      <c r="O190" s="2">
        <v>1166.0</v>
      </c>
      <c r="P190" s="2" t="s">
        <v>1574</v>
      </c>
      <c r="Q190" s="2" t="s">
        <v>1568</v>
      </c>
      <c r="R190" s="2" t="s">
        <v>1569</v>
      </c>
      <c r="S190" s="2" t="s">
        <v>1570</v>
      </c>
      <c r="W190" s="2" t="s">
        <v>1571</v>
      </c>
    </row>
    <row r="191">
      <c r="A191" s="4">
        <v>45563.44305555556</v>
      </c>
      <c r="B191" s="5">
        <v>2774781.0</v>
      </c>
      <c r="C191" s="2" t="s">
        <v>1575</v>
      </c>
      <c r="D191" s="2" t="s">
        <v>1565</v>
      </c>
      <c r="E191" s="2">
        <v>10033.0</v>
      </c>
      <c r="F191" s="2" t="s">
        <v>1615</v>
      </c>
      <c r="I191" s="7">
        <v>1.0</v>
      </c>
      <c r="J191" s="6">
        <v>21905.0</v>
      </c>
      <c r="K191" s="2">
        <v>0.0</v>
      </c>
      <c r="L191" s="2">
        <v>21905.0</v>
      </c>
      <c r="M191" s="2">
        <v>0.0</v>
      </c>
      <c r="N191" s="2">
        <v>21905.0</v>
      </c>
      <c r="O191" s="2">
        <v>1096.0</v>
      </c>
      <c r="P191" s="2" t="s">
        <v>1574</v>
      </c>
      <c r="Q191" s="2" t="s">
        <v>1568</v>
      </c>
      <c r="R191" s="2" t="s">
        <v>1569</v>
      </c>
      <c r="S191" s="2" t="s">
        <v>1570</v>
      </c>
      <c r="W191" s="2" t="s">
        <v>1571</v>
      </c>
    </row>
    <row r="192">
      <c r="A192" s="4">
        <v>45563.44305555556</v>
      </c>
      <c r="B192" s="5">
        <v>2774781.0</v>
      </c>
      <c r="C192" s="2" t="s">
        <v>1575</v>
      </c>
      <c r="D192" s="2" t="s">
        <v>1565</v>
      </c>
      <c r="E192" s="2">
        <v>10034.0</v>
      </c>
      <c r="F192" s="2" t="s">
        <v>1616</v>
      </c>
      <c r="I192" s="7">
        <v>1.0</v>
      </c>
      <c r="J192" s="6">
        <v>21905.0</v>
      </c>
      <c r="K192" s="2">
        <v>0.0</v>
      </c>
      <c r="L192" s="2">
        <v>21905.0</v>
      </c>
      <c r="M192" s="2">
        <v>0.0</v>
      </c>
      <c r="N192" s="2">
        <v>21905.0</v>
      </c>
      <c r="O192" s="2">
        <v>1095.0</v>
      </c>
      <c r="P192" s="2" t="s">
        <v>1574</v>
      </c>
      <c r="Q192" s="2" t="s">
        <v>1568</v>
      </c>
      <c r="R192" s="2" t="s">
        <v>1569</v>
      </c>
      <c r="S192" s="2" t="s">
        <v>1570</v>
      </c>
      <c r="W192" s="2" t="s">
        <v>1571</v>
      </c>
    </row>
    <row r="193">
      <c r="A193" s="4">
        <v>45563.44305555556</v>
      </c>
      <c r="B193" s="5">
        <v>2774781.0</v>
      </c>
      <c r="C193" s="2" t="s">
        <v>1575</v>
      </c>
      <c r="D193" s="2" t="s">
        <v>1572</v>
      </c>
      <c r="E193" s="2">
        <v>10107.0</v>
      </c>
      <c r="F193" s="2" t="s">
        <v>1584</v>
      </c>
      <c r="I193" s="7">
        <v>1.0</v>
      </c>
      <c r="J193" s="6">
        <v>26667.0</v>
      </c>
      <c r="K193" s="2">
        <v>0.0</v>
      </c>
      <c r="L193" s="2">
        <v>26667.0</v>
      </c>
      <c r="M193" s="2">
        <v>0.0</v>
      </c>
      <c r="N193" s="2">
        <v>26667.0</v>
      </c>
      <c r="O193" s="2">
        <v>1333.0</v>
      </c>
      <c r="P193" s="2" t="s">
        <v>1574</v>
      </c>
      <c r="Q193" s="2" t="s">
        <v>1568</v>
      </c>
      <c r="R193" s="2" t="s">
        <v>1569</v>
      </c>
      <c r="S193" s="2" t="s">
        <v>1570</v>
      </c>
      <c r="W193" s="2" t="s">
        <v>1571</v>
      </c>
    </row>
    <row r="194">
      <c r="A194" s="4">
        <v>45563.44305555556</v>
      </c>
      <c r="B194" s="5">
        <v>2774781.0</v>
      </c>
      <c r="C194" s="2" t="s">
        <v>1575</v>
      </c>
      <c r="D194" s="2" t="s">
        <v>1572</v>
      </c>
      <c r="E194" s="2">
        <v>10106.0</v>
      </c>
      <c r="F194" s="2" t="s">
        <v>1598</v>
      </c>
      <c r="I194" s="7">
        <v>1.0</v>
      </c>
      <c r="J194" s="6">
        <v>26667.0</v>
      </c>
      <c r="K194" s="2">
        <v>0.0</v>
      </c>
      <c r="L194" s="2">
        <v>26667.0</v>
      </c>
      <c r="M194" s="2">
        <v>0.0</v>
      </c>
      <c r="N194" s="2">
        <v>26667.0</v>
      </c>
      <c r="O194" s="2">
        <v>1334.0</v>
      </c>
      <c r="P194" s="2" t="s">
        <v>1574</v>
      </c>
      <c r="Q194" s="2" t="s">
        <v>1568</v>
      </c>
      <c r="R194" s="2" t="s">
        <v>1569</v>
      </c>
      <c r="S194" s="2" t="s">
        <v>1570</v>
      </c>
      <c r="W194" s="2" t="s">
        <v>1571</v>
      </c>
    </row>
    <row r="195">
      <c r="A195" s="4">
        <v>45563.44305555556</v>
      </c>
      <c r="B195" s="5">
        <v>2774781.0</v>
      </c>
      <c r="C195" s="2" t="s">
        <v>1575</v>
      </c>
      <c r="D195" s="2" t="s">
        <v>1565</v>
      </c>
      <c r="E195" s="2">
        <v>10055.0</v>
      </c>
      <c r="F195" s="2" t="s">
        <v>1597</v>
      </c>
      <c r="I195" s="7">
        <v>1.0</v>
      </c>
      <c r="J195" s="6">
        <v>34762.0</v>
      </c>
      <c r="K195" s="2">
        <v>0.0</v>
      </c>
      <c r="L195" s="2">
        <v>34762.0</v>
      </c>
      <c r="M195" s="2">
        <v>0.0</v>
      </c>
      <c r="N195" s="2">
        <v>34762.0</v>
      </c>
      <c r="O195" s="2">
        <v>1738.0</v>
      </c>
      <c r="P195" s="2" t="s">
        <v>1574</v>
      </c>
      <c r="Q195" s="2" t="s">
        <v>1568</v>
      </c>
      <c r="R195" s="2" t="s">
        <v>1569</v>
      </c>
      <c r="S195" s="2" t="s">
        <v>1570</v>
      </c>
      <c r="W195" s="2" t="s">
        <v>1571</v>
      </c>
    </row>
    <row r="196">
      <c r="A196" s="4">
        <v>45563.44305555556</v>
      </c>
      <c r="B196" s="5">
        <v>2774781.0</v>
      </c>
      <c r="C196" s="2" t="s">
        <v>1575</v>
      </c>
      <c r="D196" s="2" t="s">
        <v>1572</v>
      </c>
      <c r="E196" s="2">
        <v>10128.0</v>
      </c>
      <c r="F196" s="2" t="s">
        <v>1588</v>
      </c>
      <c r="I196" s="7">
        <v>1.0</v>
      </c>
      <c r="J196" s="6">
        <v>23333.0</v>
      </c>
      <c r="K196" s="2">
        <v>0.0</v>
      </c>
      <c r="L196" s="2">
        <v>23333.0</v>
      </c>
      <c r="M196" s="2">
        <v>0.0</v>
      </c>
      <c r="N196" s="2">
        <v>23333.0</v>
      </c>
      <c r="O196" s="2">
        <v>1166.0</v>
      </c>
      <c r="P196" s="2" t="s">
        <v>1574</v>
      </c>
      <c r="Q196" s="2" t="s">
        <v>1568</v>
      </c>
      <c r="R196" s="2" t="s">
        <v>1569</v>
      </c>
      <c r="S196" s="2" t="s">
        <v>1570</v>
      </c>
      <c r="W196" s="2" t="s">
        <v>1571</v>
      </c>
    </row>
    <row r="197">
      <c r="A197" s="4">
        <v>45563.44305555556</v>
      </c>
      <c r="B197" s="5">
        <v>2774781.0</v>
      </c>
      <c r="C197" s="2" t="s">
        <v>1575</v>
      </c>
      <c r="D197" s="2" t="s">
        <v>1572</v>
      </c>
      <c r="E197" s="2">
        <v>10106.0</v>
      </c>
      <c r="F197" s="2" t="s">
        <v>1598</v>
      </c>
      <c r="I197" s="7">
        <v>1.0</v>
      </c>
      <c r="J197" s="6">
        <v>26667.0</v>
      </c>
      <c r="K197" s="2">
        <v>0.0</v>
      </c>
      <c r="L197" s="2">
        <v>26667.0</v>
      </c>
      <c r="M197" s="2">
        <v>0.0</v>
      </c>
      <c r="N197" s="2">
        <v>26667.0</v>
      </c>
      <c r="O197" s="2">
        <v>1334.0</v>
      </c>
      <c r="P197" s="2" t="s">
        <v>1574</v>
      </c>
      <c r="Q197" s="2" t="s">
        <v>1568</v>
      </c>
      <c r="R197" s="2" t="s">
        <v>1569</v>
      </c>
      <c r="S197" s="2" t="s">
        <v>1570</v>
      </c>
      <c r="W197" s="2" t="s">
        <v>1571</v>
      </c>
    </row>
    <row r="198">
      <c r="A198" s="4">
        <v>45563.41736111111</v>
      </c>
      <c r="B198" s="5">
        <v>2774415.0</v>
      </c>
      <c r="C198" s="2" t="s">
        <v>1575</v>
      </c>
      <c r="D198" s="2" t="s">
        <v>1572</v>
      </c>
      <c r="E198" s="2">
        <v>10107.0</v>
      </c>
      <c r="F198" s="2" t="s">
        <v>1584</v>
      </c>
      <c r="I198" s="7">
        <v>1.0</v>
      </c>
      <c r="J198" s="6">
        <v>26667.0</v>
      </c>
      <c r="K198" s="2">
        <v>0.0</v>
      </c>
      <c r="L198" s="2">
        <v>26667.0</v>
      </c>
      <c r="M198" s="2">
        <v>0.0</v>
      </c>
      <c r="N198" s="2">
        <v>26667.0</v>
      </c>
      <c r="O198" s="2">
        <v>1333.0</v>
      </c>
      <c r="P198" s="2" t="s">
        <v>1574</v>
      </c>
      <c r="Q198" s="2" t="s">
        <v>1568</v>
      </c>
      <c r="R198" s="2" t="s">
        <v>1569</v>
      </c>
      <c r="S198" s="2" t="s">
        <v>1570</v>
      </c>
      <c r="W198" s="2" t="s">
        <v>1571</v>
      </c>
    </row>
    <row r="199">
      <c r="A199" s="4">
        <v>45563.41736111111</v>
      </c>
      <c r="B199" s="5">
        <v>2774415.0</v>
      </c>
      <c r="C199" s="2" t="s">
        <v>1575</v>
      </c>
      <c r="D199" s="2" t="s">
        <v>1572</v>
      </c>
      <c r="E199" s="2">
        <v>10106.0</v>
      </c>
      <c r="F199" s="2" t="s">
        <v>1598</v>
      </c>
      <c r="I199" s="7">
        <v>1.0</v>
      </c>
      <c r="J199" s="6">
        <v>26667.0</v>
      </c>
      <c r="K199" s="2">
        <v>0.0</v>
      </c>
      <c r="L199" s="2">
        <v>26667.0</v>
      </c>
      <c r="M199" s="2">
        <v>0.0</v>
      </c>
      <c r="N199" s="2">
        <v>26667.0</v>
      </c>
      <c r="O199" s="2">
        <v>1334.0</v>
      </c>
      <c r="P199" s="2" t="s">
        <v>1574</v>
      </c>
      <c r="Q199" s="2" t="s">
        <v>1568</v>
      </c>
      <c r="R199" s="2" t="s">
        <v>1569</v>
      </c>
      <c r="S199" s="2" t="s">
        <v>1570</v>
      </c>
      <c r="W199" s="2" t="s">
        <v>1571</v>
      </c>
    </row>
    <row r="200">
      <c r="A200" s="4">
        <v>45563.40625</v>
      </c>
      <c r="B200" s="5">
        <v>2774050.0</v>
      </c>
      <c r="C200" s="2" t="s">
        <v>1575</v>
      </c>
      <c r="D200" s="2" t="s">
        <v>1565</v>
      </c>
      <c r="E200" s="2">
        <v>10007.0</v>
      </c>
      <c r="F200" s="2" t="s">
        <v>1596</v>
      </c>
      <c r="I200" s="7">
        <v>1.0</v>
      </c>
      <c r="J200" s="6">
        <v>33810.0</v>
      </c>
      <c r="K200" s="2">
        <v>0.0</v>
      </c>
      <c r="L200" s="2">
        <v>33810.0</v>
      </c>
      <c r="M200" s="2">
        <v>0.0</v>
      </c>
      <c r="N200" s="2">
        <v>33810.0</v>
      </c>
      <c r="O200" s="2">
        <v>1691.0</v>
      </c>
      <c r="P200" s="2" t="s">
        <v>1574</v>
      </c>
      <c r="Q200" s="2" t="s">
        <v>1568</v>
      </c>
      <c r="R200" s="2" t="s">
        <v>1569</v>
      </c>
      <c r="S200" s="2" t="s">
        <v>1570</v>
      </c>
      <c r="W200" s="2" t="s">
        <v>1571</v>
      </c>
    </row>
    <row r="201">
      <c r="A201" s="4">
        <v>45563.40625</v>
      </c>
      <c r="B201" s="5">
        <v>2774050.0</v>
      </c>
      <c r="C201" s="2" t="s">
        <v>1575</v>
      </c>
      <c r="D201" s="2" t="s">
        <v>1572</v>
      </c>
      <c r="E201" s="2">
        <v>10119.0</v>
      </c>
      <c r="F201" s="2" t="s">
        <v>1582</v>
      </c>
      <c r="I201" s="7">
        <v>1.0</v>
      </c>
      <c r="J201" s="6">
        <v>7143.0</v>
      </c>
      <c r="K201" s="2">
        <v>0.0</v>
      </c>
      <c r="L201" s="2">
        <v>7143.0</v>
      </c>
      <c r="M201" s="2">
        <v>0.0</v>
      </c>
      <c r="N201" s="2">
        <v>7143.0</v>
      </c>
      <c r="O201" s="2">
        <v>357.0</v>
      </c>
      <c r="P201" s="2" t="s">
        <v>1574</v>
      </c>
      <c r="Q201" s="2" t="s">
        <v>1568</v>
      </c>
      <c r="R201" s="2" t="s">
        <v>1569</v>
      </c>
      <c r="S201" s="2" t="s">
        <v>1570</v>
      </c>
      <c r="W201" s="2" t="s">
        <v>1571</v>
      </c>
    </row>
    <row r="202">
      <c r="A202" s="4">
        <v>45563.40625</v>
      </c>
      <c r="B202" s="5">
        <v>2774050.0</v>
      </c>
      <c r="C202" s="2" t="s">
        <v>1575</v>
      </c>
      <c r="D202" s="2" t="s">
        <v>1572</v>
      </c>
      <c r="E202" s="2">
        <v>10056.0</v>
      </c>
      <c r="F202" s="2" t="s">
        <v>1585</v>
      </c>
      <c r="I202" s="7">
        <v>1.0</v>
      </c>
      <c r="J202" s="6">
        <v>19524.0</v>
      </c>
      <c r="K202" s="2">
        <v>0.0</v>
      </c>
      <c r="L202" s="2">
        <v>19524.0</v>
      </c>
      <c r="M202" s="2">
        <v>0.0</v>
      </c>
      <c r="N202" s="2">
        <v>19524.0</v>
      </c>
      <c r="O202" s="2">
        <v>976.0</v>
      </c>
      <c r="P202" s="2" t="s">
        <v>1574</v>
      </c>
      <c r="Q202" s="2" t="s">
        <v>1568</v>
      </c>
      <c r="R202" s="2" t="s">
        <v>1569</v>
      </c>
      <c r="S202" s="2" t="s">
        <v>1570</v>
      </c>
      <c r="W202" s="2" t="s">
        <v>1571</v>
      </c>
    </row>
    <row r="203">
      <c r="A203" s="4">
        <v>45563.3875</v>
      </c>
      <c r="B203" s="5">
        <v>2773685.0</v>
      </c>
      <c r="C203" s="2" t="s">
        <v>1575</v>
      </c>
      <c r="D203" s="2" t="s">
        <v>1572</v>
      </c>
      <c r="E203" s="2">
        <v>10107.0</v>
      </c>
      <c r="F203" s="2" t="s">
        <v>1584</v>
      </c>
      <c r="I203" s="7">
        <v>1.0</v>
      </c>
      <c r="J203" s="6">
        <v>26667.0</v>
      </c>
      <c r="K203" s="2">
        <v>0.0</v>
      </c>
      <c r="L203" s="2">
        <v>26667.0</v>
      </c>
      <c r="M203" s="2">
        <v>0.0</v>
      </c>
      <c r="N203" s="2">
        <v>26667.0</v>
      </c>
      <c r="O203" s="2">
        <v>1333.0</v>
      </c>
      <c r="P203" s="2" t="s">
        <v>1574</v>
      </c>
      <c r="Q203" s="2" t="s">
        <v>1568</v>
      </c>
      <c r="R203" s="2" t="s">
        <v>1569</v>
      </c>
      <c r="S203" s="2" t="s">
        <v>1570</v>
      </c>
      <c r="W203" s="2" t="s">
        <v>1571</v>
      </c>
    </row>
    <row r="204">
      <c r="A204" s="4">
        <v>45563.3875</v>
      </c>
      <c r="B204" s="5">
        <v>2773685.0</v>
      </c>
      <c r="C204" s="2" t="s">
        <v>1575</v>
      </c>
      <c r="D204" s="2" t="s">
        <v>1572</v>
      </c>
      <c r="E204" s="2">
        <v>10121.0</v>
      </c>
      <c r="F204" s="2" t="s">
        <v>1617</v>
      </c>
      <c r="I204" s="7">
        <v>1.0</v>
      </c>
      <c r="J204" s="6">
        <v>19524.0</v>
      </c>
      <c r="K204" s="2">
        <v>0.0</v>
      </c>
      <c r="L204" s="2">
        <v>19524.0</v>
      </c>
      <c r="M204" s="2">
        <v>0.0</v>
      </c>
      <c r="N204" s="2">
        <v>19524.0</v>
      </c>
      <c r="O204" s="2">
        <v>977.0</v>
      </c>
      <c r="P204" s="2" t="s">
        <v>1574</v>
      </c>
      <c r="Q204" s="2" t="s">
        <v>1568</v>
      </c>
      <c r="R204" s="2" t="s">
        <v>1569</v>
      </c>
      <c r="S204" s="2" t="s">
        <v>1570</v>
      </c>
      <c r="W204" s="2" t="s">
        <v>1571</v>
      </c>
    </row>
    <row r="205">
      <c r="A205" s="4">
        <v>45562.87847222222</v>
      </c>
      <c r="B205" s="5">
        <v>2773320.0</v>
      </c>
      <c r="C205" s="2" t="s">
        <v>1575</v>
      </c>
      <c r="D205" s="2" t="s">
        <v>1572</v>
      </c>
      <c r="E205" s="2">
        <v>10122.0</v>
      </c>
      <c r="F205" s="2" t="s">
        <v>1577</v>
      </c>
      <c r="I205" s="7">
        <v>1.0</v>
      </c>
      <c r="J205" s="6">
        <v>21905.0</v>
      </c>
      <c r="K205" s="2">
        <v>0.0</v>
      </c>
      <c r="L205" s="2">
        <v>21905.0</v>
      </c>
      <c r="M205" s="2">
        <v>0.0</v>
      </c>
      <c r="N205" s="2">
        <v>21905.0</v>
      </c>
      <c r="O205" s="2">
        <v>1095.0</v>
      </c>
      <c r="P205" s="2" t="s">
        <v>1574</v>
      </c>
      <c r="Q205" s="2" t="s">
        <v>1568</v>
      </c>
      <c r="R205" s="2" t="s">
        <v>1569</v>
      </c>
      <c r="S205" s="2" t="s">
        <v>1570</v>
      </c>
      <c r="W205" s="2" t="s">
        <v>1571</v>
      </c>
    </row>
    <row r="206">
      <c r="A206" s="4">
        <v>45562.87847222222</v>
      </c>
      <c r="B206" s="5">
        <v>2773320.0</v>
      </c>
      <c r="C206" s="2" t="s">
        <v>1575</v>
      </c>
      <c r="D206" s="2" t="s">
        <v>1572</v>
      </c>
      <c r="E206" s="2">
        <v>10058.0</v>
      </c>
      <c r="F206" s="2" t="s">
        <v>1618</v>
      </c>
      <c r="I206" s="7">
        <v>1.0</v>
      </c>
      <c r="J206" s="6">
        <v>19524.0</v>
      </c>
      <c r="K206" s="2">
        <v>0.0</v>
      </c>
      <c r="L206" s="2">
        <v>19524.0</v>
      </c>
      <c r="M206" s="2">
        <v>0.0</v>
      </c>
      <c r="N206" s="2">
        <v>19524.0</v>
      </c>
      <c r="O206" s="2">
        <v>976.0</v>
      </c>
      <c r="P206" s="2" t="s">
        <v>1574</v>
      </c>
      <c r="Q206" s="2" t="s">
        <v>1568</v>
      </c>
      <c r="R206" s="2" t="s">
        <v>1569</v>
      </c>
      <c r="S206" s="2" t="s">
        <v>1570</v>
      </c>
      <c r="W206" s="2" t="s">
        <v>1571</v>
      </c>
    </row>
    <row r="207">
      <c r="A207" s="4">
        <v>45562.87847222222</v>
      </c>
      <c r="B207" s="5">
        <v>2773320.0</v>
      </c>
      <c r="C207" s="2" t="s">
        <v>1575</v>
      </c>
      <c r="D207" s="2" t="s">
        <v>1565</v>
      </c>
      <c r="E207" s="2">
        <v>10033.0</v>
      </c>
      <c r="F207" s="2" t="s">
        <v>1615</v>
      </c>
      <c r="I207" s="7">
        <v>1.0</v>
      </c>
      <c r="J207" s="6">
        <v>21905.0</v>
      </c>
      <c r="K207" s="2">
        <v>0.0</v>
      </c>
      <c r="L207" s="2">
        <v>21905.0</v>
      </c>
      <c r="M207" s="2">
        <v>0.0</v>
      </c>
      <c r="N207" s="2">
        <v>21905.0</v>
      </c>
      <c r="O207" s="2">
        <v>1096.0</v>
      </c>
      <c r="P207" s="2" t="s">
        <v>1574</v>
      </c>
      <c r="Q207" s="2" t="s">
        <v>1568</v>
      </c>
      <c r="R207" s="2" t="s">
        <v>1569</v>
      </c>
      <c r="S207" s="2" t="s">
        <v>1570</v>
      </c>
      <c r="W207" s="2" t="s">
        <v>1571</v>
      </c>
    </row>
    <row r="208">
      <c r="A208" s="4">
        <v>45562.87847222222</v>
      </c>
      <c r="B208" s="5">
        <v>2773320.0</v>
      </c>
      <c r="C208" s="2" t="s">
        <v>1575</v>
      </c>
      <c r="D208" s="2" t="s">
        <v>1578</v>
      </c>
      <c r="E208" s="2">
        <v>10051.0</v>
      </c>
      <c r="F208" s="2" t="s">
        <v>1579</v>
      </c>
      <c r="I208" s="7">
        <v>1.0</v>
      </c>
      <c r="J208" s="6">
        <v>25238.0</v>
      </c>
      <c r="K208" s="2">
        <v>0.0</v>
      </c>
      <c r="L208" s="2">
        <v>25238.0</v>
      </c>
      <c r="M208" s="2">
        <v>0.0</v>
      </c>
      <c r="N208" s="2">
        <v>25238.0</v>
      </c>
      <c r="O208" s="2">
        <v>1262.0</v>
      </c>
      <c r="P208" s="2" t="s">
        <v>1574</v>
      </c>
      <c r="Q208" s="2" t="s">
        <v>1568</v>
      </c>
      <c r="R208" s="2" t="s">
        <v>1569</v>
      </c>
      <c r="S208" s="2" t="s">
        <v>1570</v>
      </c>
      <c r="W208" s="2" t="s">
        <v>1571</v>
      </c>
    </row>
    <row r="209">
      <c r="A209" s="4">
        <v>45562.87847222222</v>
      </c>
      <c r="B209" s="5">
        <v>2773320.0</v>
      </c>
      <c r="C209" s="2" t="s">
        <v>1575</v>
      </c>
      <c r="D209" s="2" t="s">
        <v>1565</v>
      </c>
      <c r="E209" s="2">
        <v>10002.0</v>
      </c>
      <c r="F209" s="2" t="s">
        <v>1576</v>
      </c>
      <c r="I209" s="7">
        <v>1.0</v>
      </c>
      <c r="J209" s="6">
        <v>18571.0</v>
      </c>
      <c r="K209" s="2">
        <v>0.0</v>
      </c>
      <c r="L209" s="2">
        <v>18571.0</v>
      </c>
      <c r="M209" s="2">
        <v>0.0</v>
      </c>
      <c r="N209" s="2">
        <v>18571.0</v>
      </c>
      <c r="O209" s="2">
        <v>928.0</v>
      </c>
      <c r="P209" s="2" t="s">
        <v>1574</v>
      </c>
      <c r="Q209" s="2" t="s">
        <v>1568</v>
      </c>
      <c r="R209" s="2" t="s">
        <v>1569</v>
      </c>
      <c r="S209" s="2" t="s">
        <v>1570</v>
      </c>
      <c r="W209" s="2" t="s">
        <v>1571</v>
      </c>
    </row>
    <row r="210">
      <c r="A210" s="4">
        <v>45562.87847222222</v>
      </c>
      <c r="B210" s="5">
        <v>2773320.0</v>
      </c>
      <c r="C210" s="2" t="s">
        <v>1575</v>
      </c>
      <c r="D210" s="2" t="s">
        <v>1572</v>
      </c>
      <c r="E210" s="2">
        <v>10119.0</v>
      </c>
      <c r="F210" s="2" t="s">
        <v>1582</v>
      </c>
      <c r="I210" s="7">
        <v>1.0</v>
      </c>
      <c r="J210" s="6">
        <v>7143.0</v>
      </c>
      <c r="K210" s="2">
        <v>0.0</v>
      </c>
      <c r="L210" s="2">
        <v>7143.0</v>
      </c>
      <c r="M210" s="2">
        <v>0.0</v>
      </c>
      <c r="N210" s="2">
        <v>7143.0</v>
      </c>
      <c r="O210" s="2">
        <v>357.0</v>
      </c>
      <c r="P210" s="2" t="s">
        <v>1574</v>
      </c>
      <c r="Q210" s="2" t="s">
        <v>1568</v>
      </c>
      <c r="R210" s="2" t="s">
        <v>1569</v>
      </c>
      <c r="S210" s="2" t="s">
        <v>1570</v>
      </c>
      <c r="W210" s="2" t="s">
        <v>1571</v>
      </c>
    </row>
    <row r="211">
      <c r="A211" s="4">
        <v>45562.87847222222</v>
      </c>
      <c r="B211" s="5">
        <v>2773320.0</v>
      </c>
      <c r="C211" s="2" t="s">
        <v>1575</v>
      </c>
      <c r="D211" s="2" t="s">
        <v>1578</v>
      </c>
      <c r="E211" s="2">
        <v>10014.0</v>
      </c>
      <c r="F211" s="2" t="s">
        <v>1609</v>
      </c>
      <c r="I211" s="7">
        <v>1.0</v>
      </c>
      <c r="J211" s="6">
        <v>25238.0</v>
      </c>
      <c r="K211" s="2">
        <v>0.0</v>
      </c>
      <c r="L211" s="2">
        <v>25238.0</v>
      </c>
      <c r="M211" s="2">
        <v>0.0</v>
      </c>
      <c r="N211" s="2">
        <v>25238.0</v>
      </c>
      <c r="O211" s="2">
        <v>1262.0</v>
      </c>
      <c r="P211" s="2" t="s">
        <v>1574</v>
      </c>
      <c r="Q211" s="2" t="s">
        <v>1568</v>
      </c>
      <c r="R211" s="2" t="s">
        <v>1569</v>
      </c>
      <c r="S211" s="2" t="s">
        <v>1570</v>
      </c>
      <c r="W211" s="2" t="s">
        <v>1571</v>
      </c>
    </row>
    <row r="212">
      <c r="A212" s="4">
        <v>45562.87847222222</v>
      </c>
      <c r="B212" s="5">
        <v>2773320.0</v>
      </c>
      <c r="C212" s="2" t="s">
        <v>1575</v>
      </c>
      <c r="D212" s="2" t="s">
        <v>1572</v>
      </c>
      <c r="E212" s="2">
        <v>10119.0</v>
      </c>
      <c r="F212" s="2" t="s">
        <v>1582</v>
      </c>
      <c r="I212" s="7">
        <v>1.0</v>
      </c>
      <c r="J212" s="6">
        <v>7143.0</v>
      </c>
      <c r="K212" s="2">
        <v>0.0</v>
      </c>
      <c r="L212" s="2">
        <v>7143.0</v>
      </c>
      <c r="M212" s="2">
        <v>0.0</v>
      </c>
      <c r="N212" s="2">
        <v>7143.0</v>
      </c>
      <c r="O212" s="2">
        <v>357.0</v>
      </c>
      <c r="P212" s="2" t="s">
        <v>1574</v>
      </c>
      <c r="Q212" s="2" t="s">
        <v>1568</v>
      </c>
      <c r="R212" s="2" t="s">
        <v>1569</v>
      </c>
      <c r="S212" s="2" t="s">
        <v>1570</v>
      </c>
      <c r="W212" s="2" t="s">
        <v>1571</v>
      </c>
    </row>
    <row r="213">
      <c r="A213" s="4">
        <v>45562.87777777778</v>
      </c>
      <c r="B213" s="5">
        <v>2772954.0</v>
      </c>
      <c r="C213" s="2" t="s">
        <v>1575</v>
      </c>
      <c r="D213" s="2" t="s">
        <v>1572</v>
      </c>
      <c r="E213" s="2">
        <v>10117.0</v>
      </c>
      <c r="F213" s="2" t="s">
        <v>1589</v>
      </c>
      <c r="I213" s="7">
        <v>1.0</v>
      </c>
      <c r="J213" s="6">
        <v>14286.0</v>
      </c>
      <c r="K213" s="2">
        <v>0.0</v>
      </c>
      <c r="L213" s="2">
        <v>14286.0</v>
      </c>
      <c r="M213" s="2">
        <v>0.0</v>
      </c>
      <c r="N213" s="2">
        <v>14286.0</v>
      </c>
      <c r="O213" s="2">
        <v>714.0</v>
      </c>
      <c r="P213" s="2" t="s">
        <v>1574</v>
      </c>
      <c r="Q213" s="2" t="s">
        <v>1568</v>
      </c>
      <c r="R213" s="2" t="s">
        <v>1569</v>
      </c>
      <c r="S213" s="2" t="s">
        <v>1570</v>
      </c>
      <c r="W213" s="2" t="s">
        <v>1571</v>
      </c>
    </row>
    <row r="214">
      <c r="A214" s="4">
        <v>45562.87777777778</v>
      </c>
      <c r="B214" s="5">
        <v>2772954.0</v>
      </c>
      <c r="C214" s="2" t="s">
        <v>1575</v>
      </c>
      <c r="D214" s="2" t="s">
        <v>1572</v>
      </c>
      <c r="E214" s="2">
        <v>10116.0</v>
      </c>
      <c r="F214" s="2" t="s">
        <v>1619</v>
      </c>
      <c r="I214" s="7">
        <v>1.0</v>
      </c>
      <c r="J214" s="6">
        <v>14286.0</v>
      </c>
      <c r="K214" s="2">
        <v>0.0</v>
      </c>
      <c r="L214" s="2">
        <v>14286.0</v>
      </c>
      <c r="M214" s="2">
        <v>0.0</v>
      </c>
      <c r="N214" s="2">
        <v>14286.0</v>
      </c>
      <c r="O214" s="2">
        <v>715.0</v>
      </c>
      <c r="P214" s="2" t="s">
        <v>1574</v>
      </c>
      <c r="Q214" s="2" t="s">
        <v>1568</v>
      </c>
      <c r="R214" s="2" t="s">
        <v>1569</v>
      </c>
      <c r="S214" s="2" t="s">
        <v>1570</v>
      </c>
      <c r="W214" s="2" t="s">
        <v>1571</v>
      </c>
    </row>
    <row r="215">
      <c r="A215" s="4">
        <v>45562.87777777778</v>
      </c>
      <c r="B215" s="5">
        <v>2772954.0</v>
      </c>
      <c r="C215" s="2" t="s">
        <v>1575</v>
      </c>
      <c r="D215" s="2" t="s">
        <v>1578</v>
      </c>
      <c r="E215" s="2">
        <v>10011.0</v>
      </c>
      <c r="F215" s="2" t="s">
        <v>1605</v>
      </c>
      <c r="I215" s="7">
        <v>1.0</v>
      </c>
      <c r="J215" s="6">
        <v>25238.0</v>
      </c>
      <c r="K215" s="2">
        <v>0.0</v>
      </c>
      <c r="L215" s="2">
        <v>25238.0</v>
      </c>
      <c r="M215" s="2">
        <v>0.0</v>
      </c>
      <c r="N215" s="2">
        <v>25238.0</v>
      </c>
      <c r="O215" s="2">
        <v>1262.0</v>
      </c>
      <c r="P215" s="2" t="s">
        <v>1574</v>
      </c>
      <c r="Q215" s="2" t="s">
        <v>1568</v>
      </c>
      <c r="R215" s="2" t="s">
        <v>1569</v>
      </c>
      <c r="S215" s="2" t="s">
        <v>1570</v>
      </c>
      <c r="W215" s="2" t="s">
        <v>1571</v>
      </c>
    </row>
    <row r="216">
      <c r="A216" s="4">
        <v>45562.80347222222</v>
      </c>
      <c r="B216" s="5">
        <v>2772589.0</v>
      </c>
      <c r="C216" s="2" t="s">
        <v>1575</v>
      </c>
      <c r="D216" s="2" t="s">
        <v>1572</v>
      </c>
      <c r="E216" s="2">
        <v>10058.0</v>
      </c>
      <c r="F216" s="2" t="s">
        <v>1618</v>
      </c>
      <c r="I216" s="7">
        <v>1.0</v>
      </c>
      <c r="J216" s="6">
        <v>19524.0</v>
      </c>
      <c r="K216" s="2">
        <v>0.0</v>
      </c>
      <c r="L216" s="2">
        <v>19524.0</v>
      </c>
      <c r="M216" s="2">
        <v>0.0</v>
      </c>
      <c r="N216" s="2">
        <v>19524.0</v>
      </c>
      <c r="O216" s="2">
        <v>976.0</v>
      </c>
      <c r="P216" s="2" t="s">
        <v>1574</v>
      </c>
      <c r="Q216" s="2" t="s">
        <v>1568</v>
      </c>
      <c r="R216" s="2" t="s">
        <v>1569</v>
      </c>
      <c r="S216" s="2" t="s">
        <v>1570</v>
      </c>
      <c r="W216" s="2" t="s">
        <v>1571</v>
      </c>
    </row>
    <row r="217">
      <c r="A217" s="4">
        <v>45562.80347222222</v>
      </c>
      <c r="B217" s="5">
        <v>2772589.0</v>
      </c>
      <c r="C217" s="2" t="s">
        <v>1575</v>
      </c>
      <c r="D217" s="2" t="s">
        <v>1572</v>
      </c>
      <c r="E217" s="2">
        <v>10119.0</v>
      </c>
      <c r="F217" s="2" t="s">
        <v>1582</v>
      </c>
      <c r="I217" s="7">
        <v>1.0</v>
      </c>
      <c r="J217" s="6">
        <v>7143.0</v>
      </c>
      <c r="K217" s="2">
        <v>0.0</v>
      </c>
      <c r="L217" s="2">
        <v>7143.0</v>
      </c>
      <c r="M217" s="2">
        <v>0.0</v>
      </c>
      <c r="N217" s="2">
        <v>7143.0</v>
      </c>
      <c r="O217" s="2">
        <v>357.0</v>
      </c>
      <c r="P217" s="2" t="s">
        <v>1574</v>
      </c>
      <c r="Q217" s="2" t="s">
        <v>1568</v>
      </c>
      <c r="R217" s="2" t="s">
        <v>1569</v>
      </c>
      <c r="S217" s="2" t="s">
        <v>1570</v>
      </c>
      <c r="W217" s="2" t="s">
        <v>1571</v>
      </c>
    </row>
    <row r="218">
      <c r="A218" s="4">
        <v>45562.80347222222</v>
      </c>
      <c r="B218" s="5">
        <v>2772589.0</v>
      </c>
      <c r="C218" s="2" t="s">
        <v>1575</v>
      </c>
      <c r="D218" s="2" t="s">
        <v>1565</v>
      </c>
      <c r="E218" s="2">
        <v>10005.0</v>
      </c>
      <c r="F218" s="2" t="s">
        <v>1595</v>
      </c>
      <c r="I218" s="7">
        <v>1.0</v>
      </c>
      <c r="J218" s="6">
        <v>19524.0</v>
      </c>
      <c r="K218" s="2">
        <v>0.0</v>
      </c>
      <c r="L218" s="2">
        <v>19524.0</v>
      </c>
      <c r="M218" s="2">
        <v>0.0</v>
      </c>
      <c r="N218" s="2">
        <v>19524.0</v>
      </c>
      <c r="O218" s="2">
        <v>977.0</v>
      </c>
      <c r="P218" s="2" t="s">
        <v>1574</v>
      </c>
      <c r="Q218" s="2" t="s">
        <v>1568</v>
      </c>
      <c r="R218" s="2" t="s">
        <v>1569</v>
      </c>
      <c r="S218" s="2" t="s">
        <v>1570</v>
      </c>
      <c r="W218" s="2" t="s">
        <v>1571</v>
      </c>
    </row>
    <row r="219">
      <c r="A219" s="4">
        <v>45562.80347222222</v>
      </c>
      <c r="B219" s="5">
        <v>2772589.0</v>
      </c>
      <c r="C219" s="2" t="s">
        <v>1575</v>
      </c>
      <c r="D219" s="2" t="s">
        <v>1572</v>
      </c>
      <c r="E219" s="2">
        <v>10112.0</v>
      </c>
      <c r="F219" s="2" t="s">
        <v>1573</v>
      </c>
      <c r="I219" s="7">
        <v>1.0</v>
      </c>
      <c r="J219" s="6">
        <v>6667.0</v>
      </c>
      <c r="K219" s="2">
        <v>0.0</v>
      </c>
      <c r="L219" s="2">
        <v>6667.0</v>
      </c>
      <c r="M219" s="2">
        <v>0.0</v>
      </c>
      <c r="N219" s="2">
        <v>6667.0</v>
      </c>
      <c r="O219" s="2">
        <v>333.0</v>
      </c>
      <c r="P219" s="2" t="s">
        <v>1574</v>
      </c>
      <c r="Q219" s="2" t="s">
        <v>1568</v>
      </c>
      <c r="R219" s="2" t="s">
        <v>1569</v>
      </c>
      <c r="S219" s="2" t="s">
        <v>1570</v>
      </c>
      <c r="W219" s="2" t="s">
        <v>1571</v>
      </c>
    </row>
    <row r="220">
      <c r="A220" s="4">
        <v>45562.8</v>
      </c>
      <c r="B220" s="5">
        <v>2772224.0</v>
      </c>
      <c r="C220" s="2" t="s">
        <v>1575</v>
      </c>
      <c r="D220" s="2" t="s">
        <v>1572</v>
      </c>
      <c r="E220" s="2">
        <v>10013.0</v>
      </c>
      <c r="F220" s="2" t="s">
        <v>1591</v>
      </c>
      <c r="I220" s="7">
        <v>1.0</v>
      </c>
      <c r="J220" s="6">
        <v>23333.0</v>
      </c>
      <c r="K220" s="2">
        <v>0.0</v>
      </c>
      <c r="L220" s="2">
        <v>23333.0</v>
      </c>
      <c r="M220" s="2">
        <v>0.0</v>
      </c>
      <c r="N220" s="2">
        <v>23333.0</v>
      </c>
      <c r="O220" s="2">
        <v>1167.0</v>
      </c>
      <c r="P220" s="2" t="s">
        <v>1574</v>
      </c>
      <c r="Q220" s="2" t="s">
        <v>1568</v>
      </c>
      <c r="R220" s="2" t="s">
        <v>1569</v>
      </c>
      <c r="S220" s="2" t="s">
        <v>1570</v>
      </c>
      <c r="W220" s="2" t="s">
        <v>1571</v>
      </c>
    </row>
    <row r="221">
      <c r="A221" s="4">
        <v>45562.79791666667</v>
      </c>
      <c r="B221" s="5">
        <v>2771859.0</v>
      </c>
      <c r="C221" s="2" t="s">
        <v>1575</v>
      </c>
      <c r="D221" s="2" t="s">
        <v>1572</v>
      </c>
      <c r="E221" s="2">
        <v>10112.0</v>
      </c>
      <c r="F221" s="2" t="s">
        <v>1573</v>
      </c>
      <c r="I221" s="7">
        <v>1.0</v>
      </c>
      <c r="J221" s="6">
        <v>6667.0</v>
      </c>
      <c r="K221" s="2">
        <v>0.0</v>
      </c>
      <c r="L221" s="2">
        <v>6667.0</v>
      </c>
      <c r="M221" s="2">
        <v>0.0</v>
      </c>
      <c r="N221" s="2">
        <v>6667.0</v>
      </c>
      <c r="O221" s="2">
        <v>333.0</v>
      </c>
      <c r="P221" s="2" t="s">
        <v>1574</v>
      </c>
      <c r="Q221" s="2" t="s">
        <v>1568</v>
      </c>
      <c r="R221" s="2" t="s">
        <v>1569</v>
      </c>
      <c r="S221" s="2" t="s">
        <v>1570</v>
      </c>
      <c r="W221" s="2" t="s">
        <v>1571</v>
      </c>
    </row>
    <row r="222">
      <c r="A222" s="4">
        <v>45562.688888888886</v>
      </c>
      <c r="B222" s="5">
        <v>2771493.0</v>
      </c>
      <c r="C222" s="2" t="s">
        <v>1575</v>
      </c>
      <c r="D222" s="2" t="s">
        <v>1572</v>
      </c>
      <c r="E222" s="2">
        <v>10107.0</v>
      </c>
      <c r="F222" s="2" t="s">
        <v>1584</v>
      </c>
      <c r="I222" s="7">
        <v>1.0</v>
      </c>
      <c r="J222" s="6">
        <v>26667.0</v>
      </c>
      <c r="K222" s="2">
        <v>0.0</v>
      </c>
      <c r="L222" s="2">
        <v>26667.0</v>
      </c>
      <c r="M222" s="2">
        <v>0.0</v>
      </c>
      <c r="N222" s="2">
        <v>26667.0</v>
      </c>
      <c r="O222" s="2">
        <v>1333.0</v>
      </c>
      <c r="P222" s="2" t="s">
        <v>1574</v>
      </c>
      <c r="Q222" s="2" t="s">
        <v>1568</v>
      </c>
      <c r="R222" s="2" t="s">
        <v>1569</v>
      </c>
      <c r="S222" s="2" t="s">
        <v>1570</v>
      </c>
      <c r="W222" s="2" t="s">
        <v>1571</v>
      </c>
    </row>
    <row r="223">
      <c r="A223" s="4">
        <v>45562.688888888886</v>
      </c>
      <c r="B223" s="5">
        <v>2771493.0</v>
      </c>
      <c r="C223" s="2" t="s">
        <v>1575</v>
      </c>
      <c r="D223" s="2" t="s">
        <v>1565</v>
      </c>
      <c r="E223" s="2">
        <v>10005.0</v>
      </c>
      <c r="F223" s="2" t="s">
        <v>1595</v>
      </c>
      <c r="I223" s="7">
        <v>1.0</v>
      </c>
      <c r="J223" s="6">
        <v>19524.0</v>
      </c>
      <c r="K223" s="2">
        <v>0.0</v>
      </c>
      <c r="L223" s="2">
        <v>19524.0</v>
      </c>
      <c r="M223" s="2">
        <v>0.0</v>
      </c>
      <c r="N223" s="2">
        <v>19524.0</v>
      </c>
      <c r="O223" s="2">
        <v>977.0</v>
      </c>
      <c r="P223" s="2" t="s">
        <v>1574</v>
      </c>
      <c r="Q223" s="2" t="s">
        <v>1568</v>
      </c>
      <c r="R223" s="2" t="s">
        <v>1569</v>
      </c>
      <c r="S223" s="2" t="s">
        <v>1570</v>
      </c>
      <c r="W223" s="2" t="s">
        <v>1571</v>
      </c>
    </row>
    <row r="224">
      <c r="A224" s="4">
        <v>45562.688888888886</v>
      </c>
      <c r="B224" s="5">
        <v>2771493.0</v>
      </c>
      <c r="C224" s="2" t="s">
        <v>1575</v>
      </c>
      <c r="D224" s="2" t="s">
        <v>1572</v>
      </c>
      <c r="E224" s="2">
        <v>10063.0</v>
      </c>
      <c r="F224" s="2" t="s">
        <v>1594</v>
      </c>
      <c r="I224" s="7">
        <v>1.0</v>
      </c>
      <c r="J224" s="6">
        <v>24762.0</v>
      </c>
      <c r="K224" s="2">
        <v>0.0</v>
      </c>
      <c r="L224" s="2">
        <v>24762.0</v>
      </c>
      <c r="M224" s="2">
        <v>0.0</v>
      </c>
      <c r="N224" s="2">
        <v>24762.0</v>
      </c>
      <c r="O224" s="2">
        <v>1238.0</v>
      </c>
      <c r="P224" s="2" t="s">
        <v>1574</v>
      </c>
      <c r="Q224" s="2" t="s">
        <v>1568</v>
      </c>
      <c r="R224" s="2" t="s">
        <v>1569</v>
      </c>
      <c r="S224" s="2" t="s">
        <v>1570</v>
      </c>
      <c r="W224" s="2" t="s">
        <v>1571</v>
      </c>
    </row>
    <row r="225">
      <c r="A225" s="4">
        <v>45562.688888888886</v>
      </c>
      <c r="B225" s="5">
        <v>2771493.0</v>
      </c>
      <c r="C225" s="2" t="s">
        <v>1575</v>
      </c>
      <c r="D225" s="2" t="s">
        <v>1565</v>
      </c>
      <c r="E225" s="2">
        <v>10002.0</v>
      </c>
      <c r="F225" s="2" t="s">
        <v>1576</v>
      </c>
      <c r="I225" s="7">
        <v>1.0</v>
      </c>
      <c r="J225" s="6">
        <v>18571.0</v>
      </c>
      <c r="K225" s="2">
        <v>0.0</v>
      </c>
      <c r="L225" s="2">
        <v>18571.0</v>
      </c>
      <c r="M225" s="2">
        <v>0.0</v>
      </c>
      <c r="N225" s="2">
        <v>18571.0</v>
      </c>
      <c r="O225" s="2">
        <v>928.0</v>
      </c>
      <c r="P225" s="2" t="s">
        <v>1574</v>
      </c>
      <c r="Q225" s="2" t="s">
        <v>1568</v>
      </c>
      <c r="R225" s="2" t="s">
        <v>1569</v>
      </c>
      <c r="S225" s="2" t="s">
        <v>1570</v>
      </c>
      <c r="W225" s="2" t="s">
        <v>1571</v>
      </c>
    </row>
    <row r="226">
      <c r="A226" s="4">
        <v>45562.688888888886</v>
      </c>
      <c r="B226" s="5">
        <v>2771493.0</v>
      </c>
      <c r="C226" s="2" t="s">
        <v>1575</v>
      </c>
      <c r="D226" s="2" t="s">
        <v>1572</v>
      </c>
      <c r="E226" s="2">
        <v>10128.0</v>
      </c>
      <c r="F226" s="2" t="s">
        <v>1588</v>
      </c>
      <c r="I226" s="7">
        <v>1.0</v>
      </c>
      <c r="J226" s="6">
        <v>23333.0</v>
      </c>
      <c r="K226" s="2">
        <v>0.0</v>
      </c>
      <c r="L226" s="2">
        <v>23333.0</v>
      </c>
      <c r="M226" s="2">
        <v>0.0</v>
      </c>
      <c r="N226" s="2">
        <v>23333.0</v>
      </c>
      <c r="O226" s="2">
        <v>1167.0</v>
      </c>
      <c r="P226" s="2" t="s">
        <v>1574</v>
      </c>
      <c r="Q226" s="2" t="s">
        <v>1568</v>
      </c>
      <c r="R226" s="2" t="s">
        <v>1569</v>
      </c>
      <c r="S226" s="2" t="s">
        <v>1570</v>
      </c>
      <c r="W226" s="2" t="s">
        <v>1571</v>
      </c>
    </row>
    <row r="227">
      <c r="A227" s="4">
        <v>45562.675</v>
      </c>
      <c r="B227" s="5">
        <v>2771128.0</v>
      </c>
      <c r="C227" s="2" t="s">
        <v>1575</v>
      </c>
      <c r="D227" s="2" t="s">
        <v>1565</v>
      </c>
      <c r="E227" s="2">
        <v>10033.0</v>
      </c>
      <c r="F227" s="2" t="s">
        <v>1615</v>
      </c>
      <c r="I227" s="7">
        <v>1.0</v>
      </c>
      <c r="J227" s="6">
        <v>21905.0</v>
      </c>
      <c r="K227" s="2">
        <v>0.0</v>
      </c>
      <c r="L227" s="2">
        <v>21905.0</v>
      </c>
      <c r="M227" s="2">
        <v>0.0</v>
      </c>
      <c r="N227" s="2">
        <v>21905.0</v>
      </c>
      <c r="O227" s="2">
        <v>1095.0</v>
      </c>
      <c r="P227" s="2" t="s">
        <v>1574</v>
      </c>
      <c r="Q227" s="2" t="s">
        <v>1568</v>
      </c>
      <c r="R227" s="2" t="s">
        <v>1569</v>
      </c>
      <c r="S227" s="2" t="s">
        <v>1570</v>
      </c>
      <c r="W227" s="2" t="s">
        <v>1571</v>
      </c>
    </row>
    <row r="228">
      <c r="A228" s="4">
        <v>45562.675</v>
      </c>
      <c r="B228" s="5">
        <v>2771128.0</v>
      </c>
      <c r="C228" s="2" t="s">
        <v>1575</v>
      </c>
      <c r="D228" s="2" t="s">
        <v>1578</v>
      </c>
      <c r="E228" s="2">
        <v>10014.0</v>
      </c>
      <c r="F228" s="2" t="s">
        <v>1609</v>
      </c>
      <c r="I228" s="7">
        <v>1.0</v>
      </c>
      <c r="J228" s="6">
        <v>25238.0</v>
      </c>
      <c r="K228" s="2">
        <v>0.0</v>
      </c>
      <c r="L228" s="2">
        <v>25238.0</v>
      </c>
      <c r="M228" s="2">
        <v>0.0</v>
      </c>
      <c r="N228" s="2">
        <v>25238.0</v>
      </c>
      <c r="O228" s="2">
        <v>1262.0</v>
      </c>
      <c r="P228" s="2" t="s">
        <v>1574</v>
      </c>
      <c r="Q228" s="2" t="s">
        <v>1568</v>
      </c>
      <c r="R228" s="2" t="s">
        <v>1569</v>
      </c>
      <c r="S228" s="2" t="s">
        <v>1570</v>
      </c>
      <c r="W228" s="2" t="s">
        <v>1571</v>
      </c>
    </row>
    <row r="229">
      <c r="A229" s="4">
        <v>45562.65</v>
      </c>
      <c r="B229" s="5">
        <v>2770763.0</v>
      </c>
      <c r="C229" s="2" t="s">
        <v>1575</v>
      </c>
      <c r="D229" s="2" t="s">
        <v>1580</v>
      </c>
      <c r="E229" s="2">
        <v>10012.0</v>
      </c>
      <c r="F229" s="2" t="s">
        <v>1602</v>
      </c>
      <c r="I229" s="7">
        <v>1.0</v>
      </c>
      <c r="J229" s="6">
        <v>29524.0</v>
      </c>
      <c r="K229" s="2">
        <v>0.0</v>
      </c>
      <c r="L229" s="2">
        <v>29524.0</v>
      </c>
      <c r="M229" s="2">
        <v>0.0</v>
      </c>
      <c r="N229" s="2">
        <v>29524.0</v>
      </c>
      <c r="O229" s="2">
        <v>1476.0</v>
      </c>
      <c r="P229" s="2" t="s">
        <v>1574</v>
      </c>
      <c r="Q229" s="2" t="s">
        <v>1568</v>
      </c>
      <c r="R229" s="2" t="s">
        <v>1569</v>
      </c>
      <c r="S229" s="2" t="s">
        <v>1570</v>
      </c>
      <c r="W229" s="2" t="s">
        <v>1571</v>
      </c>
    </row>
    <row r="230">
      <c r="A230" s="4">
        <v>45562.65</v>
      </c>
      <c r="B230" s="5">
        <v>2770763.0</v>
      </c>
      <c r="C230" s="2" t="s">
        <v>1575</v>
      </c>
      <c r="D230" s="2" t="s">
        <v>1572</v>
      </c>
      <c r="E230" s="2">
        <v>10058.0</v>
      </c>
      <c r="F230" s="2" t="s">
        <v>1618</v>
      </c>
      <c r="I230" s="7">
        <v>1.0</v>
      </c>
      <c r="J230" s="6">
        <v>19524.0</v>
      </c>
      <c r="K230" s="2">
        <v>0.0</v>
      </c>
      <c r="L230" s="2">
        <v>19524.0</v>
      </c>
      <c r="M230" s="2">
        <v>0.0</v>
      </c>
      <c r="N230" s="2">
        <v>19524.0</v>
      </c>
      <c r="O230" s="2">
        <v>976.0</v>
      </c>
      <c r="P230" s="2" t="s">
        <v>1574</v>
      </c>
      <c r="Q230" s="2" t="s">
        <v>1568</v>
      </c>
      <c r="R230" s="2" t="s">
        <v>1569</v>
      </c>
      <c r="S230" s="2" t="s">
        <v>1570</v>
      </c>
      <c r="W230" s="2" t="s">
        <v>1571</v>
      </c>
    </row>
    <row r="231">
      <c r="A231" s="4">
        <v>45562.65</v>
      </c>
      <c r="B231" s="5">
        <v>2770763.0</v>
      </c>
      <c r="C231" s="2" t="s">
        <v>1575</v>
      </c>
      <c r="D231" s="2" t="s">
        <v>1572</v>
      </c>
      <c r="E231" s="2">
        <v>10128.0</v>
      </c>
      <c r="F231" s="2" t="s">
        <v>1588</v>
      </c>
      <c r="I231" s="7">
        <v>1.0</v>
      </c>
      <c r="J231" s="6">
        <v>23333.0</v>
      </c>
      <c r="K231" s="2">
        <v>0.0</v>
      </c>
      <c r="L231" s="2">
        <v>23333.0</v>
      </c>
      <c r="M231" s="2">
        <v>0.0</v>
      </c>
      <c r="N231" s="2">
        <v>23333.0</v>
      </c>
      <c r="O231" s="2">
        <v>1167.0</v>
      </c>
      <c r="P231" s="2" t="s">
        <v>1574</v>
      </c>
      <c r="Q231" s="2" t="s">
        <v>1568</v>
      </c>
      <c r="R231" s="2" t="s">
        <v>1569</v>
      </c>
      <c r="S231" s="2" t="s">
        <v>1570</v>
      </c>
      <c r="W231" s="2" t="s">
        <v>1571</v>
      </c>
    </row>
    <row r="232">
      <c r="A232" s="4">
        <v>45562.65</v>
      </c>
      <c r="B232" s="5">
        <v>2770763.0</v>
      </c>
      <c r="C232" s="2" t="s">
        <v>1575</v>
      </c>
      <c r="D232" s="2" t="s">
        <v>1580</v>
      </c>
      <c r="E232" s="2">
        <v>10003.0</v>
      </c>
      <c r="F232" s="2" t="s">
        <v>1603</v>
      </c>
      <c r="I232" s="7">
        <v>1.0</v>
      </c>
      <c r="J232" s="6">
        <v>29524.0</v>
      </c>
      <c r="K232" s="2">
        <v>0.0</v>
      </c>
      <c r="L232" s="2">
        <v>29524.0</v>
      </c>
      <c r="M232" s="2">
        <v>0.0</v>
      </c>
      <c r="N232" s="2">
        <v>29524.0</v>
      </c>
      <c r="O232" s="2">
        <v>1476.0</v>
      </c>
      <c r="P232" s="2" t="s">
        <v>1574</v>
      </c>
      <c r="Q232" s="2" t="s">
        <v>1568</v>
      </c>
      <c r="R232" s="2" t="s">
        <v>1569</v>
      </c>
      <c r="S232" s="2" t="s">
        <v>1570</v>
      </c>
      <c r="W232" s="2" t="s">
        <v>1571</v>
      </c>
    </row>
    <row r="233">
      <c r="A233" s="4">
        <v>45562.614583333336</v>
      </c>
      <c r="B233" s="5">
        <v>2770398.0</v>
      </c>
      <c r="C233" s="2" t="s">
        <v>1575</v>
      </c>
      <c r="D233" s="2" t="s">
        <v>1578</v>
      </c>
      <c r="E233" s="2">
        <v>10010.0</v>
      </c>
      <c r="F233" s="2" t="s">
        <v>1606</v>
      </c>
      <c r="I233" s="7">
        <v>1.0</v>
      </c>
      <c r="J233" s="6">
        <v>25238.0</v>
      </c>
      <c r="K233" s="2">
        <v>0.0</v>
      </c>
      <c r="L233" s="2">
        <v>25238.0</v>
      </c>
      <c r="M233" s="2">
        <v>0.0</v>
      </c>
      <c r="N233" s="2">
        <v>25238.0</v>
      </c>
      <c r="O233" s="2">
        <v>1262.0</v>
      </c>
      <c r="P233" s="2" t="s">
        <v>1574</v>
      </c>
      <c r="Q233" s="2" t="s">
        <v>1568</v>
      </c>
      <c r="R233" s="2" t="s">
        <v>1569</v>
      </c>
      <c r="S233" s="2" t="s">
        <v>1570</v>
      </c>
      <c r="W233" s="2" t="s">
        <v>1571</v>
      </c>
    </row>
    <row r="234">
      <c r="A234" s="4">
        <v>45562.61319444444</v>
      </c>
      <c r="B234" s="5">
        <v>2770032.0</v>
      </c>
      <c r="C234" s="2" t="s">
        <v>1575</v>
      </c>
      <c r="D234" s="2" t="s">
        <v>1565</v>
      </c>
      <c r="E234" s="2">
        <v>10007.0</v>
      </c>
      <c r="F234" s="2" t="s">
        <v>1596</v>
      </c>
      <c r="I234" s="7">
        <v>2.0</v>
      </c>
      <c r="J234" s="6">
        <v>67620.0</v>
      </c>
      <c r="K234" s="2">
        <v>0.0</v>
      </c>
      <c r="L234" s="2">
        <v>67620.0</v>
      </c>
      <c r="M234" s="2">
        <v>0.0</v>
      </c>
      <c r="N234" s="2">
        <v>67620.0</v>
      </c>
      <c r="O234" s="2">
        <v>3381.0</v>
      </c>
      <c r="P234" s="2" t="s">
        <v>1567</v>
      </c>
      <c r="Q234" s="2" t="s">
        <v>1568</v>
      </c>
      <c r="R234" s="2" t="s">
        <v>1569</v>
      </c>
      <c r="S234" s="2" t="s">
        <v>1570</v>
      </c>
      <c r="W234" s="2" t="s">
        <v>1571</v>
      </c>
    </row>
    <row r="235">
      <c r="A235" s="4">
        <v>45562.59097222222</v>
      </c>
      <c r="B235" s="5">
        <v>2769667.0</v>
      </c>
      <c r="C235" s="2" t="s">
        <v>1575</v>
      </c>
      <c r="D235" s="2" t="s">
        <v>1565</v>
      </c>
      <c r="E235" s="2">
        <v>10007.0</v>
      </c>
      <c r="F235" s="2" t="s">
        <v>1596</v>
      </c>
      <c r="I235" s="7">
        <v>1.0</v>
      </c>
      <c r="J235" s="6">
        <v>33810.0</v>
      </c>
      <c r="K235" s="2">
        <v>0.0</v>
      </c>
      <c r="L235" s="2">
        <v>33810.0</v>
      </c>
      <c r="M235" s="2">
        <v>0.0</v>
      </c>
      <c r="N235" s="2">
        <v>33810.0</v>
      </c>
      <c r="O235" s="2">
        <v>1691.0</v>
      </c>
      <c r="P235" s="2" t="s">
        <v>1574</v>
      </c>
      <c r="Q235" s="2" t="s">
        <v>1568</v>
      </c>
      <c r="R235" s="2" t="s">
        <v>1569</v>
      </c>
      <c r="S235" s="2" t="s">
        <v>1570</v>
      </c>
      <c r="W235" s="2" t="s">
        <v>1571</v>
      </c>
    </row>
    <row r="236">
      <c r="A236" s="4">
        <v>45562.59097222222</v>
      </c>
      <c r="B236" s="5">
        <v>2769667.0</v>
      </c>
      <c r="C236" s="2" t="s">
        <v>1575</v>
      </c>
      <c r="D236" s="2" t="s">
        <v>1565</v>
      </c>
      <c r="E236" s="2">
        <v>10035.0</v>
      </c>
      <c r="F236" s="2" t="s">
        <v>1613</v>
      </c>
      <c r="I236" s="7">
        <v>1.0</v>
      </c>
      <c r="J236" s="6">
        <v>21905.0</v>
      </c>
      <c r="K236" s="2">
        <v>0.0</v>
      </c>
      <c r="L236" s="2">
        <v>21905.0</v>
      </c>
      <c r="M236" s="2">
        <v>0.0</v>
      </c>
      <c r="N236" s="2">
        <v>21905.0</v>
      </c>
      <c r="O236" s="2">
        <v>1095.0</v>
      </c>
      <c r="P236" s="2" t="s">
        <v>1574</v>
      </c>
      <c r="Q236" s="2" t="s">
        <v>1568</v>
      </c>
      <c r="R236" s="2" t="s">
        <v>1569</v>
      </c>
      <c r="S236" s="2" t="s">
        <v>1570</v>
      </c>
      <c r="W236" s="2" t="s">
        <v>1571</v>
      </c>
    </row>
    <row r="237">
      <c r="A237" s="4">
        <v>45562.59097222222</v>
      </c>
      <c r="B237" s="5">
        <v>2769667.0</v>
      </c>
      <c r="C237" s="2" t="s">
        <v>1575</v>
      </c>
      <c r="D237" s="2" t="s">
        <v>1572</v>
      </c>
      <c r="E237" s="2">
        <v>10128.0</v>
      </c>
      <c r="F237" s="2" t="s">
        <v>1588</v>
      </c>
      <c r="I237" s="7">
        <v>1.0</v>
      </c>
      <c r="J237" s="6">
        <v>23333.0</v>
      </c>
      <c r="K237" s="2">
        <v>0.0</v>
      </c>
      <c r="L237" s="2">
        <v>23333.0</v>
      </c>
      <c r="M237" s="2">
        <v>0.0</v>
      </c>
      <c r="N237" s="2">
        <v>23333.0</v>
      </c>
      <c r="O237" s="2">
        <v>1166.0</v>
      </c>
      <c r="P237" s="2" t="s">
        <v>1574</v>
      </c>
      <c r="Q237" s="2" t="s">
        <v>1568</v>
      </c>
      <c r="R237" s="2" t="s">
        <v>1569</v>
      </c>
      <c r="S237" s="2" t="s">
        <v>1570</v>
      </c>
      <c r="W237" s="2" t="s">
        <v>1571</v>
      </c>
    </row>
    <row r="238">
      <c r="A238" s="4">
        <v>45562.51458333333</v>
      </c>
      <c r="B238" s="5">
        <v>2769302.0</v>
      </c>
      <c r="C238" s="2" t="s">
        <v>1575</v>
      </c>
      <c r="D238" s="2" t="s">
        <v>1580</v>
      </c>
      <c r="E238" s="2">
        <v>10105.0</v>
      </c>
      <c r="F238" s="2" t="s">
        <v>1611</v>
      </c>
      <c r="I238" s="7">
        <v>1.0</v>
      </c>
      <c r="J238" s="6">
        <v>38095.0</v>
      </c>
      <c r="K238" s="2">
        <v>0.0</v>
      </c>
      <c r="L238" s="2">
        <v>38095.0</v>
      </c>
      <c r="M238" s="2">
        <v>0.0</v>
      </c>
      <c r="N238" s="2">
        <v>38095.0</v>
      </c>
      <c r="O238" s="2">
        <v>1905.0</v>
      </c>
      <c r="P238" s="2" t="s">
        <v>1574</v>
      </c>
      <c r="Q238" s="2" t="s">
        <v>1568</v>
      </c>
      <c r="R238" s="2" t="s">
        <v>1569</v>
      </c>
      <c r="S238" s="2" t="s">
        <v>1570</v>
      </c>
      <c r="W238" s="2" t="s">
        <v>1571</v>
      </c>
    </row>
    <row r="239">
      <c r="A239" s="4">
        <v>45562.51458333333</v>
      </c>
      <c r="B239" s="5">
        <v>2769302.0</v>
      </c>
      <c r="C239" s="2" t="s">
        <v>1575</v>
      </c>
      <c r="D239" s="2" t="s">
        <v>1572</v>
      </c>
      <c r="E239" s="2">
        <v>10112.0</v>
      </c>
      <c r="F239" s="2" t="s">
        <v>1573</v>
      </c>
      <c r="I239" s="7">
        <v>1.0</v>
      </c>
      <c r="J239" s="6">
        <v>6667.0</v>
      </c>
      <c r="K239" s="2">
        <v>0.0</v>
      </c>
      <c r="L239" s="2">
        <v>6667.0</v>
      </c>
      <c r="M239" s="2">
        <v>0.0</v>
      </c>
      <c r="N239" s="2">
        <v>6667.0</v>
      </c>
      <c r="O239" s="2">
        <v>333.0</v>
      </c>
      <c r="P239" s="2" t="s">
        <v>1574</v>
      </c>
      <c r="Q239" s="2" t="s">
        <v>1568</v>
      </c>
      <c r="R239" s="2" t="s">
        <v>1569</v>
      </c>
      <c r="S239" s="2" t="s">
        <v>1570</v>
      </c>
      <c r="W239" s="2" t="s">
        <v>1571</v>
      </c>
    </row>
    <row r="240">
      <c r="A240" s="4">
        <v>45562.50625</v>
      </c>
      <c r="B240" s="5">
        <v>2768937.0</v>
      </c>
      <c r="C240" s="2" t="s">
        <v>1575</v>
      </c>
      <c r="D240" s="2" t="s">
        <v>1565</v>
      </c>
      <c r="E240" s="2">
        <v>10055.0</v>
      </c>
      <c r="F240" s="2" t="s">
        <v>1597</v>
      </c>
      <c r="I240" s="7">
        <v>1.0</v>
      </c>
      <c r="J240" s="6">
        <v>34762.0</v>
      </c>
      <c r="K240" s="2">
        <v>0.0</v>
      </c>
      <c r="L240" s="2">
        <v>34762.0</v>
      </c>
      <c r="M240" s="2">
        <v>0.0</v>
      </c>
      <c r="N240" s="2">
        <v>34762.0</v>
      </c>
      <c r="O240" s="2">
        <v>1738.0</v>
      </c>
      <c r="P240" s="2" t="s">
        <v>1574</v>
      </c>
      <c r="Q240" s="2" t="s">
        <v>1568</v>
      </c>
      <c r="R240" s="2" t="s">
        <v>1569</v>
      </c>
      <c r="S240" s="2" t="s">
        <v>1570</v>
      </c>
      <c r="W240" s="2" t="s">
        <v>1571</v>
      </c>
    </row>
    <row r="241">
      <c r="A241" s="4">
        <v>45562.493055555555</v>
      </c>
      <c r="B241" s="5">
        <v>2768571.0</v>
      </c>
      <c r="C241" s="2" t="s">
        <v>1575</v>
      </c>
      <c r="D241" s="2" t="s">
        <v>1565</v>
      </c>
      <c r="E241" s="2">
        <v>10002.0</v>
      </c>
      <c r="F241" s="2" t="s">
        <v>1576</v>
      </c>
      <c r="I241" s="7">
        <v>1.0</v>
      </c>
      <c r="J241" s="6">
        <v>18571.0</v>
      </c>
      <c r="K241" s="2">
        <v>0.0</v>
      </c>
      <c r="L241" s="2">
        <v>18571.0</v>
      </c>
      <c r="M241" s="2">
        <v>0.0</v>
      </c>
      <c r="N241" s="2">
        <v>18571.0</v>
      </c>
      <c r="O241" s="2">
        <v>929.0</v>
      </c>
      <c r="P241" s="2" t="s">
        <v>1574</v>
      </c>
      <c r="Q241" s="2" t="s">
        <v>1568</v>
      </c>
      <c r="R241" s="2" t="s">
        <v>1569</v>
      </c>
      <c r="S241" s="2" t="s">
        <v>1570</v>
      </c>
      <c r="W241" s="2" t="s">
        <v>1571</v>
      </c>
    </row>
    <row r="242">
      <c r="A242" s="4">
        <v>45562.493055555555</v>
      </c>
      <c r="B242" s="5">
        <v>2768571.0</v>
      </c>
      <c r="C242" s="2" t="s">
        <v>1575</v>
      </c>
      <c r="D242" s="2" t="s">
        <v>1578</v>
      </c>
      <c r="E242" s="2">
        <v>10051.0</v>
      </c>
      <c r="F242" s="2" t="s">
        <v>1579</v>
      </c>
      <c r="I242" s="7">
        <v>1.0</v>
      </c>
      <c r="J242" s="6">
        <v>25238.0</v>
      </c>
      <c r="K242" s="2">
        <v>0.0</v>
      </c>
      <c r="L242" s="2">
        <v>25238.0</v>
      </c>
      <c r="M242" s="2">
        <v>0.0</v>
      </c>
      <c r="N242" s="2">
        <v>25238.0</v>
      </c>
      <c r="O242" s="2">
        <v>1261.0</v>
      </c>
      <c r="P242" s="2" t="s">
        <v>1574</v>
      </c>
      <c r="Q242" s="2" t="s">
        <v>1568</v>
      </c>
      <c r="R242" s="2" t="s">
        <v>1569</v>
      </c>
      <c r="S242" s="2" t="s">
        <v>1570</v>
      </c>
      <c r="W242" s="2" t="s">
        <v>1571</v>
      </c>
    </row>
    <row r="243">
      <c r="A243" s="4">
        <v>45562.493055555555</v>
      </c>
      <c r="B243" s="5">
        <v>2768571.0</v>
      </c>
      <c r="C243" s="2" t="s">
        <v>1575</v>
      </c>
      <c r="D243" s="2" t="s">
        <v>1572</v>
      </c>
      <c r="E243" s="2">
        <v>10125.0</v>
      </c>
      <c r="F243" s="2" t="s">
        <v>1601</v>
      </c>
      <c r="I243" s="7">
        <v>1.0</v>
      </c>
      <c r="J243" s="6">
        <v>20476.0</v>
      </c>
      <c r="K243" s="2">
        <v>0.0</v>
      </c>
      <c r="L243" s="2">
        <v>20476.0</v>
      </c>
      <c r="M243" s="2">
        <v>0.0</v>
      </c>
      <c r="N243" s="2">
        <v>20476.0</v>
      </c>
      <c r="O243" s="2">
        <v>1024.0</v>
      </c>
      <c r="P243" s="2" t="s">
        <v>1574</v>
      </c>
      <c r="Q243" s="2" t="s">
        <v>1568</v>
      </c>
      <c r="R243" s="2" t="s">
        <v>1569</v>
      </c>
      <c r="S243" s="2" t="s">
        <v>1570</v>
      </c>
      <c r="W243" s="2" t="s">
        <v>1571</v>
      </c>
    </row>
    <row r="244">
      <c r="A244" s="4">
        <v>45562.493055555555</v>
      </c>
      <c r="B244" s="5">
        <v>2768571.0</v>
      </c>
      <c r="C244" s="2" t="s">
        <v>1575</v>
      </c>
      <c r="D244" s="2" t="s">
        <v>1572</v>
      </c>
      <c r="E244" s="2">
        <v>10127.0</v>
      </c>
      <c r="F244" s="2" t="s">
        <v>1592</v>
      </c>
      <c r="I244" s="7">
        <v>1.0</v>
      </c>
      <c r="J244" s="6">
        <v>18571.0</v>
      </c>
      <c r="K244" s="2">
        <v>0.0</v>
      </c>
      <c r="L244" s="2">
        <v>18571.0</v>
      </c>
      <c r="M244" s="2">
        <v>0.0</v>
      </c>
      <c r="N244" s="2">
        <v>18571.0</v>
      </c>
      <c r="O244" s="2">
        <v>929.0</v>
      </c>
      <c r="P244" s="2" t="s">
        <v>1574</v>
      </c>
      <c r="Q244" s="2" t="s">
        <v>1568</v>
      </c>
      <c r="R244" s="2" t="s">
        <v>1569</v>
      </c>
      <c r="S244" s="2" t="s">
        <v>1570</v>
      </c>
      <c r="W244" s="2" t="s">
        <v>1571</v>
      </c>
    </row>
    <row r="245">
      <c r="A245" s="4">
        <v>45562.493055555555</v>
      </c>
      <c r="B245" s="5">
        <v>2768571.0</v>
      </c>
      <c r="C245" s="2" t="s">
        <v>1575</v>
      </c>
      <c r="D245" s="2" t="s">
        <v>1578</v>
      </c>
      <c r="E245" s="2">
        <v>10010.0</v>
      </c>
      <c r="F245" s="2" t="s">
        <v>1606</v>
      </c>
      <c r="I245" s="7">
        <v>1.0</v>
      </c>
      <c r="J245" s="6">
        <v>25238.0</v>
      </c>
      <c r="K245" s="2">
        <v>0.0</v>
      </c>
      <c r="L245" s="2">
        <v>25238.0</v>
      </c>
      <c r="M245" s="2">
        <v>0.0</v>
      </c>
      <c r="N245" s="2">
        <v>25238.0</v>
      </c>
      <c r="O245" s="2">
        <v>1262.0</v>
      </c>
      <c r="P245" s="2" t="s">
        <v>1574</v>
      </c>
      <c r="Q245" s="2" t="s">
        <v>1568</v>
      </c>
      <c r="R245" s="2" t="s">
        <v>1569</v>
      </c>
      <c r="S245" s="2" t="s">
        <v>1570</v>
      </c>
      <c r="W245" s="2" t="s">
        <v>1571</v>
      </c>
    </row>
    <row r="246">
      <c r="A246" s="4">
        <v>45561.85902777778</v>
      </c>
      <c r="B246" s="5">
        <v>2768206.0</v>
      </c>
      <c r="C246" s="2" t="s">
        <v>1575</v>
      </c>
      <c r="D246" s="2" t="s">
        <v>1565</v>
      </c>
      <c r="E246" s="2">
        <v>10007.0</v>
      </c>
      <c r="F246" s="2" t="s">
        <v>1596</v>
      </c>
      <c r="I246" s="7">
        <v>1.0</v>
      </c>
      <c r="J246" s="6">
        <v>33810.0</v>
      </c>
      <c r="K246" s="2">
        <v>0.0</v>
      </c>
      <c r="L246" s="2">
        <v>33810.0</v>
      </c>
      <c r="M246" s="2">
        <v>0.0</v>
      </c>
      <c r="N246" s="2">
        <v>33810.0</v>
      </c>
      <c r="O246" s="2">
        <v>1691.0</v>
      </c>
      <c r="P246" s="2" t="s">
        <v>1574</v>
      </c>
      <c r="Q246" s="2" t="s">
        <v>1568</v>
      </c>
      <c r="R246" s="2" t="s">
        <v>1569</v>
      </c>
      <c r="S246" s="2" t="s">
        <v>1570</v>
      </c>
      <c r="W246" s="2" t="s">
        <v>1571</v>
      </c>
    </row>
    <row r="247">
      <c r="A247" s="4">
        <v>45561.777083333334</v>
      </c>
      <c r="B247" s="5">
        <v>2767841.0</v>
      </c>
      <c r="C247" s="2" t="s">
        <v>1575</v>
      </c>
      <c r="D247" s="2" t="s">
        <v>1580</v>
      </c>
      <c r="E247" s="2">
        <v>10104.0</v>
      </c>
      <c r="F247" s="2" t="s">
        <v>1581</v>
      </c>
      <c r="I247" s="7">
        <v>1.0</v>
      </c>
      <c r="J247" s="6">
        <v>34762.0</v>
      </c>
      <c r="K247" s="2">
        <v>0.0</v>
      </c>
      <c r="L247" s="2">
        <v>34762.0</v>
      </c>
      <c r="M247" s="2">
        <v>0.0</v>
      </c>
      <c r="N247" s="2">
        <v>34762.0</v>
      </c>
      <c r="O247" s="2">
        <v>1738.0</v>
      </c>
      <c r="P247" s="2" t="s">
        <v>1574</v>
      </c>
      <c r="Q247" s="2" t="s">
        <v>1568</v>
      </c>
      <c r="R247" s="2" t="s">
        <v>1569</v>
      </c>
      <c r="S247" s="2" t="s">
        <v>1570</v>
      </c>
      <c r="W247" s="2" t="s">
        <v>1571</v>
      </c>
    </row>
    <row r="248">
      <c r="A248" s="4">
        <v>45561.777083333334</v>
      </c>
      <c r="B248" s="5">
        <v>2767841.0</v>
      </c>
      <c r="C248" s="2" t="s">
        <v>1575</v>
      </c>
      <c r="D248" s="2" t="s">
        <v>1580</v>
      </c>
      <c r="E248" s="2">
        <v>10012.0</v>
      </c>
      <c r="F248" s="2" t="s">
        <v>1602</v>
      </c>
      <c r="I248" s="7">
        <v>1.0</v>
      </c>
      <c r="J248" s="6">
        <v>29524.0</v>
      </c>
      <c r="K248" s="2">
        <v>0.0</v>
      </c>
      <c r="L248" s="2">
        <v>29524.0</v>
      </c>
      <c r="M248" s="2">
        <v>0.0</v>
      </c>
      <c r="N248" s="2">
        <v>29524.0</v>
      </c>
      <c r="O248" s="2">
        <v>1476.0</v>
      </c>
      <c r="P248" s="2" t="s">
        <v>1574</v>
      </c>
      <c r="Q248" s="2" t="s">
        <v>1568</v>
      </c>
      <c r="R248" s="2" t="s">
        <v>1569</v>
      </c>
      <c r="S248" s="2" t="s">
        <v>1570</v>
      </c>
      <c r="W248" s="2" t="s">
        <v>1571</v>
      </c>
    </row>
    <row r="249">
      <c r="A249" s="4">
        <v>45561.777083333334</v>
      </c>
      <c r="B249" s="5">
        <v>2767841.0</v>
      </c>
      <c r="C249" s="2" t="s">
        <v>1575</v>
      </c>
      <c r="D249" s="2" t="s">
        <v>1565</v>
      </c>
      <c r="E249" s="2">
        <v>10002.0</v>
      </c>
      <c r="F249" s="2" t="s">
        <v>1576</v>
      </c>
      <c r="I249" s="7">
        <v>1.0</v>
      </c>
      <c r="J249" s="6">
        <v>18571.0</v>
      </c>
      <c r="K249" s="2">
        <v>0.0</v>
      </c>
      <c r="L249" s="2">
        <v>18571.0</v>
      </c>
      <c r="M249" s="2">
        <v>0.0</v>
      </c>
      <c r="N249" s="2">
        <v>18571.0</v>
      </c>
      <c r="O249" s="2">
        <v>929.0</v>
      </c>
      <c r="P249" s="2" t="s">
        <v>1574</v>
      </c>
      <c r="Q249" s="2" t="s">
        <v>1568</v>
      </c>
      <c r="R249" s="2" t="s">
        <v>1569</v>
      </c>
      <c r="S249" s="2" t="s">
        <v>1570</v>
      </c>
      <c r="W249" s="2" t="s">
        <v>1571</v>
      </c>
    </row>
    <row r="250">
      <c r="A250" s="4">
        <v>45561.777083333334</v>
      </c>
      <c r="B250" s="5">
        <v>2767841.0</v>
      </c>
      <c r="C250" s="2" t="s">
        <v>1575</v>
      </c>
      <c r="D250" s="2" t="s">
        <v>1572</v>
      </c>
      <c r="E250" s="2">
        <v>10122.0</v>
      </c>
      <c r="F250" s="2" t="s">
        <v>1577</v>
      </c>
      <c r="I250" s="7">
        <v>1.0</v>
      </c>
      <c r="J250" s="6">
        <v>21905.0</v>
      </c>
      <c r="K250" s="2">
        <v>0.0</v>
      </c>
      <c r="L250" s="2">
        <v>21905.0</v>
      </c>
      <c r="M250" s="2">
        <v>0.0</v>
      </c>
      <c r="N250" s="2">
        <v>21905.0</v>
      </c>
      <c r="O250" s="2">
        <v>1095.0</v>
      </c>
      <c r="P250" s="2" t="s">
        <v>1574</v>
      </c>
      <c r="Q250" s="2" t="s">
        <v>1568</v>
      </c>
      <c r="R250" s="2" t="s">
        <v>1569</v>
      </c>
      <c r="S250" s="2" t="s">
        <v>1570</v>
      </c>
      <c r="W250" s="2" t="s">
        <v>1571</v>
      </c>
    </row>
    <row r="251">
      <c r="A251" s="4">
        <v>45561.777083333334</v>
      </c>
      <c r="B251" s="5">
        <v>2767841.0</v>
      </c>
      <c r="C251" s="2" t="s">
        <v>1575</v>
      </c>
      <c r="D251" s="2" t="s">
        <v>1572</v>
      </c>
      <c r="E251" s="2">
        <v>10069.0</v>
      </c>
      <c r="F251" s="2" t="s">
        <v>1620</v>
      </c>
      <c r="I251" s="7">
        <v>1.0</v>
      </c>
      <c r="J251" s="6">
        <v>24762.0</v>
      </c>
      <c r="K251" s="2">
        <v>0.0</v>
      </c>
      <c r="L251" s="2">
        <v>24762.0</v>
      </c>
      <c r="M251" s="2">
        <v>0.0</v>
      </c>
      <c r="N251" s="2">
        <v>24762.0</v>
      </c>
      <c r="O251" s="2">
        <v>1238.0</v>
      </c>
      <c r="P251" s="2" t="s">
        <v>1574</v>
      </c>
      <c r="Q251" s="2" t="s">
        <v>1568</v>
      </c>
      <c r="R251" s="2" t="s">
        <v>1569</v>
      </c>
      <c r="S251" s="2" t="s">
        <v>1570</v>
      </c>
      <c r="W251" s="2" t="s">
        <v>1571</v>
      </c>
    </row>
    <row r="252">
      <c r="A252" s="4">
        <v>45561.7375</v>
      </c>
      <c r="B252" s="5">
        <v>2767476.0</v>
      </c>
      <c r="C252" s="2" t="s">
        <v>1575</v>
      </c>
      <c r="D252" s="2" t="s">
        <v>1572</v>
      </c>
      <c r="E252" s="2">
        <v>10127.0</v>
      </c>
      <c r="F252" s="2" t="s">
        <v>1592</v>
      </c>
      <c r="I252" s="7">
        <v>1.0</v>
      </c>
      <c r="J252" s="6">
        <v>18571.0</v>
      </c>
      <c r="K252" s="2">
        <v>0.0</v>
      </c>
      <c r="L252" s="2">
        <v>18571.0</v>
      </c>
      <c r="M252" s="2">
        <v>0.0</v>
      </c>
      <c r="N252" s="2">
        <v>18571.0</v>
      </c>
      <c r="O252" s="2">
        <v>929.0</v>
      </c>
      <c r="P252" s="2" t="s">
        <v>1574</v>
      </c>
      <c r="Q252" s="2" t="s">
        <v>1568</v>
      </c>
      <c r="R252" s="2" t="s">
        <v>1569</v>
      </c>
      <c r="S252" s="2" t="s">
        <v>1570</v>
      </c>
      <c r="W252" s="2" t="s">
        <v>1571</v>
      </c>
    </row>
    <row r="253">
      <c r="A253" s="4">
        <v>45561.720138888886</v>
      </c>
      <c r="B253" s="5">
        <v>2767110.0</v>
      </c>
      <c r="C253" s="2" t="s">
        <v>1575</v>
      </c>
      <c r="D253" s="2" t="s">
        <v>1565</v>
      </c>
      <c r="E253" s="2">
        <v>10002.0</v>
      </c>
      <c r="F253" s="2" t="s">
        <v>1576</v>
      </c>
      <c r="I253" s="7">
        <v>1.0</v>
      </c>
      <c r="J253" s="6">
        <v>18571.0</v>
      </c>
      <c r="K253" s="2">
        <v>0.0</v>
      </c>
      <c r="L253" s="2">
        <v>18571.0</v>
      </c>
      <c r="M253" s="2">
        <v>0.0</v>
      </c>
      <c r="N253" s="2">
        <v>18571.0</v>
      </c>
      <c r="O253" s="2">
        <v>929.0</v>
      </c>
      <c r="P253" s="2" t="s">
        <v>1574</v>
      </c>
      <c r="Q253" s="2" t="s">
        <v>1568</v>
      </c>
      <c r="R253" s="2" t="s">
        <v>1569</v>
      </c>
      <c r="S253" s="2" t="s">
        <v>1570</v>
      </c>
      <c r="W253" s="2" t="s">
        <v>1571</v>
      </c>
    </row>
    <row r="254">
      <c r="A254" s="4">
        <v>45561.720138888886</v>
      </c>
      <c r="B254" s="5">
        <v>2766745.0</v>
      </c>
      <c r="C254" s="2" t="s">
        <v>1564</v>
      </c>
      <c r="D254" s="2" t="s">
        <v>1565</v>
      </c>
      <c r="E254" s="2">
        <v>10002.0</v>
      </c>
      <c r="F254" s="2" t="s">
        <v>1576</v>
      </c>
      <c r="I254" s="7">
        <v>-1.0</v>
      </c>
      <c r="J254" s="6">
        <v>-18571.0</v>
      </c>
      <c r="K254" s="2">
        <v>0.0</v>
      </c>
      <c r="L254" s="2">
        <v>-18571.0</v>
      </c>
      <c r="M254" s="2">
        <v>0.0</v>
      </c>
      <c r="N254" s="2">
        <v>-18571.0</v>
      </c>
      <c r="O254" s="2">
        <v>-929.0</v>
      </c>
      <c r="P254" s="2" t="s">
        <v>1574</v>
      </c>
      <c r="Q254" s="2" t="s">
        <v>1568</v>
      </c>
      <c r="R254" s="2" t="s">
        <v>1569</v>
      </c>
      <c r="S254" s="2" t="s">
        <v>1570</v>
      </c>
      <c r="W254" s="2" t="s">
        <v>1571</v>
      </c>
    </row>
    <row r="255">
      <c r="A255" s="4">
        <v>45561.717361111114</v>
      </c>
      <c r="B255" s="5">
        <v>2766380.0</v>
      </c>
      <c r="C255" s="2" t="s">
        <v>1575</v>
      </c>
      <c r="D255" s="2" t="s">
        <v>1565</v>
      </c>
      <c r="E255" s="2">
        <v>10002.0</v>
      </c>
      <c r="F255" s="2" t="s">
        <v>1576</v>
      </c>
      <c r="I255" s="7">
        <v>1.0</v>
      </c>
      <c r="J255" s="6">
        <v>18571.0</v>
      </c>
      <c r="K255" s="2">
        <v>0.0</v>
      </c>
      <c r="L255" s="2">
        <v>18571.0</v>
      </c>
      <c r="M255" s="2">
        <v>0.0</v>
      </c>
      <c r="N255" s="2">
        <v>18571.0</v>
      </c>
      <c r="O255" s="2">
        <v>929.0</v>
      </c>
      <c r="P255" s="2" t="s">
        <v>1574</v>
      </c>
      <c r="Q255" s="2" t="s">
        <v>1568</v>
      </c>
      <c r="R255" s="2" t="s">
        <v>1569</v>
      </c>
      <c r="S255" s="2" t="s">
        <v>1570</v>
      </c>
      <c r="W255" s="2" t="s">
        <v>1571</v>
      </c>
    </row>
    <row r="256">
      <c r="A256" s="4">
        <v>45561.70972222222</v>
      </c>
      <c r="B256" s="5">
        <v>2766015.0</v>
      </c>
      <c r="C256" s="2" t="s">
        <v>1575</v>
      </c>
      <c r="D256" s="2" t="s">
        <v>1565</v>
      </c>
      <c r="E256" s="2">
        <v>10002.0</v>
      </c>
      <c r="F256" s="2" t="s">
        <v>1576</v>
      </c>
      <c r="I256" s="7">
        <v>1.0</v>
      </c>
      <c r="J256" s="6">
        <v>18571.0</v>
      </c>
      <c r="K256" s="2">
        <v>0.0</v>
      </c>
      <c r="L256" s="2">
        <v>18571.0</v>
      </c>
      <c r="M256" s="2">
        <v>0.0</v>
      </c>
      <c r="N256" s="2">
        <v>18571.0</v>
      </c>
      <c r="O256" s="2">
        <v>929.0</v>
      </c>
      <c r="P256" s="2" t="s">
        <v>1574</v>
      </c>
      <c r="Q256" s="2" t="s">
        <v>1568</v>
      </c>
      <c r="R256" s="2" t="s">
        <v>1569</v>
      </c>
      <c r="S256" s="2" t="s">
        <v>1570</v>
      </c>
      <c r="W256" s="2" t="s">
        <v>1571</v>
      </c>
    </row>
    <row r="257">
      <c r="A257" s="4">
        <v>45561.70972222222</v>
      </c>
      <c r="B257" s="5">
        <v>2766015.0</v>
      </c>
      <c r="C257" s="2" t="s">
        <v>1575</v>
      </c>
      <c r="D257" s="2" t="s">
        <v>1572</v>
      </c>
      <c r="E257" s="2">
        <v>10128.0</v>
      </c>
      <c r="F257" s="2" t="s">
        <v>1588</v>
      </c>
      <c r="I257" s="7">
        <v>2.0</v>
      </c>
      <c r="J257" s="6">
        <v>46666.0</v>
      </c>
      <c r="K257" s="2">
        <v>0.0</v>
      </c>
      <c r="L257" s="2">
        <v>46666.0</v>
      </c>
      <c r="M257" s="2">
        <v>0.0</v>
      </c>
      <c r="N257" s="2">
        <v>46666.0</v>
      </c>
      <c r="O257" s="2">
        <v>2333.0</v>
      </c>
      <c r="P257" s="2" t="s">
        <v>1574</v>
      </c>
      <c r="Q257" s="2" t="s">
        <v>1568</v>
      </c>
      <c r="R257" s="2" t="s">
        <v>1569</v>
      </c>
      <c r="S257" s="2" t="s">
        <v>1570</v>
      </c>
      <c r="W257" s="2" t="s">
        <v>1571</v>
      </c>
    </row>
    <row r="258">
      <c r="A258" s="4">
        <v>45561.654861111114</v>
      </c>
      <c r="B258" s="5">
        <v>2765649.0</v>
      </c>
      <c r="C258" s="2" t="s">
        <v>1575</v>
      </c>
      <c r="D258" s="2" t="s">
        <v>1565</v>
      </c>
      <c r="E258" s="2">
        <v>10005.0</v>
      </c>
      <c r="F258" s="2" t="s">
        <v>1595</v>
      </c>
      <c r="I258" s="7">
        <v>1.0</v>
      </c>
      <c r="J258" s="6">
        <v>19524.0</v>
      </c>
      <c r="K258" s="2">
        <v>0.0</v>
      </c>
      <c r="L258" s="2">
        <v>19524.0</v>
      </c>
      <c r="M258" s="2">
        <v>0.0</v>
      </c>
      <c r="N258" s="2">
        <v>19524.0</v>
      </c>
      <c r="O258" s="2">
        <v>976.0</v>
      </c>
      <c r="P258" s="2" t="s">
        <v>1574</v>
      </c>
      <c r="Q258" s="2" t="s">
        <v>1568</v>
      </c>
      <c r="R258" s="2" t="s">
        <v>1569</v>
      </c>
      <c r="S258" s="2" t="s">
        <v>1570</v>
      </c>
      <c r="W258" s="2" t="s">
        <v>1571</v>
      </c>
    </row>
    <row r="259">
      <c r="A259" s="4">
        <v>45561.654861111114</v>
      </c>
      <c r="B259" s="5">
        <v>2765649.0</v>
      </c>
      <c r="C259" s="2" t="s">
        <v>1575</v>
      </c>
      <c r="D259" s="2" t="s">
        <v>1572</v>
      </c>
      <c r="E259" s="2">
        <v>10122.0</v>
      </c>
      <c r="F259" s="2" t="s">
        <v>1577</v>
      </c>
      <c r="I259" s="7">
        <v>1.0</v>
      </c>
      <c r="J259" s="6">
        <v>21905.0</v>
      </c>
      <c r="K259" s="2">
        <v>0.0</v>
      </c>
      <c r="L259" s="2">
        <v>21905.0</v>
      </c>
      <c r="M259" s="2">
        <v>0.0</v>
      </c>
      <c r="N259" s="2">
        <v>21905.0</v>
      </c>
      <c r="O259" s="2">
        <v>1095.0</v>
      </c>
      <c r="P259" s="2" t="s">
        <v>1574</v>
      </c>
      <c r="Q259" s="2" t="s">
        <v>1568</v>
      </c>
      <c r="R259" s="2" t="s">
        <v>1569</v>
      </c>
      <c r="S259" s="2" t="s">
        <v>1570</v>
      </c>
      <c r="W259" s="2" t="s">
        <v>1571</v>
      </c>
    </row>
    <row r="260">
      <c r="A260" s="4">
        <v>45561.53125</v>
      </c>
      <c r="B260" s="5">
        <v>2765284.0</v>
      </c>
      <c r="C260" s="2" t="s">
        <v>1575</v>
      </c>
      <c r="D260" s="2" t="s">
        <v>1580</v>
      </c>
      <c r="E260" s="2">
        <v>10003.0</v>
      </c>
      <c r="F260" s="2" t="s">
        <v>1603</v>
      </c>
      <c r="I260" s="7">
        <v>2.0</v>
      </c>
      <c r="J260" s="6">
        <v>59048.0</v>
      </c>
      <c r="K260" s="2">
        <v>0.0</v>
      </c>
      <c r="L260" s="2">
        <v>59048.0</v>
      </c>
      <c r="M260" s="2">
        <v>0.0</v>
      </c>
      <c r="N260" s="2">
        <v>59048.0</v>
      </c>
      <c r="O260" s="2">
        <v>2952.0</v>
      </c>
      <c r="P260" s="2" t="s">
        <v>1574</v>
      </c>
      <c r="Q260" s="2" t="s">
        <v>1568</v>
      </c>
      <c r="R260" s="2" t="s">
        <v>1569</v>
      </c>
      <c r="S260" s="2" t="s">
        <v>1570</v>
      </c>
      <c r="W260" s="2" t="s">
        <v>1571</v>
      </c>
    </row>
    <row r="261">
      <c r="A261" s="4">
        <v>45561.53125</v>
      </c>
      <c r="B261" s="5">
        <v>2765284.0</v>
      </c>
      <c r="C261" s="2" t="s">
        <v>1575</v>
      </c>
      <c r="D261" s="2" t="s">
        <v>1580</v>
      </c>
      <c r="E261" s="2">
        <v>10012.0</v>
      </c>
      <c r="F261" s="2" t="s">
        <v>1602</v>
      </c>
      <c r="I261" s="7">
        <v>1.0</v>
      </c>
      <c r="J261" s="6">
        <v>29524.0</v>
      </c>
      <c r="K261" s="2">
        <v>0.0</v>
      </c>
      <c r="L261" s="2">
        <v>29524.0</v>
      </c>
      <c r="M261" s="2">
        <v>0.0</v>
      </c>
      <c r="N261" s="2">
        <v>29524.0</v>
      </c>
      <c r="O261" s="2">
        <v>1477.0</v>
      </c>
      <c r="P261" s="2" t="s">
        <v>1574</v>
      </c>
      <c r="Q261" s="2" t="s">
        <v>1568</v>
      </c>
      <c r="R261" s="2" t="s">
        <v>1569</v>
      </c>
      <c r="S261" s="2" t="s">
        <v>1570</v>
      </c>
      <c r="W261" s="2" t="s">
        <v>1571</v>
      </c>
    </row>
    <row r="262">
      <c r="A262" s="4">
        <v>45561.50902777778</v>
      </c>
      <c r="B262" s="5">
        <v>2764919.0</v>
      </c>
      <c r="C262" s="2" t="s">
        <v>1575</v>
      </c>
      <c r="D262" s="2" t="s">
        <v>1565</v>
      </c>
      <c r="E262" s="2">
        <v>10000.0</v>
      </c>
      <c r="F262" s="2" t="s">
        <v>1566</v>
      </c>
      <c r="I262" s="7">
        <v>1.0</v>
      </c>
      <c r="J262" s="6">
        <v>29524.0</v>
      </c>
      <c r="K262" s="2">
        <v>0.0</v>
      </c>
      <c r="L262" s="2">
        <v>29524.0</v>
      </c>
      <c r="M262" s="2">
        <v>0.0</v>
      </c>
      <c r="N262" s="2">
        <v>29524.0</v>
      </c>
      <c r="O262" s="2">
        <v>1476.0</v>
      </c>
      <c r="P262" s="2" t="s">
        <v>1574</v>
      </c>
      <c r="Q262" s="2" t="s">
        <v>1568</v>
      </c>
      <c r="R262" s="2" t="s">
        <v>1569</v>
      </c>
      <c r="S262" s="2" t="s">
        <v>1570</v>
      </c>
      <c r="W262" s="2" t="s">
        <v>1571</v>
      </c>
    </row>
    <row r="263">
      <c r="A263" s="4">
        <v>45561.50902777778</v>
      </c>
      <c r="B263" s="5">
        <v>2764919.0</v>
      </c>
      <c r="C263" s="2" t="s">
        <v>1575</v>
      </c>
      <c r="D263" s="2" t="s">
        <v>1565</v>
      </c>
      <c r="E263" s="2">
        <v>10005.0</v>
      </c>
      <c r="F263" s="2" t="s">
        <v>1595</v>
      </c>
      <c r="I263" s="7">
        <v>1.0</v>
      </c>
      <c r="J263" s="6">
        <v>19524.0</v>
      </c>
      <c r="K263" s="2">
        <v>0.0</v>
      </c>
      <c r="L263" s="2">
        <v>19524.0</v>
      </c>
      <c r="M263" s="2">
        <v>0.0</v>
      </c>
      <c r="N263" s="2">
        <v>19524.0</v>
      </c>
      <c r="O263" s="2">
        <v>976.0</v>
      </c>
      <c r="P263" s="2" t="s">
        <v>1574</v>
      </c>
      <c r="Q263" s="2" t="s">
        <v>1568</v>
      </c>
      <c r="R263" s="2" t="s">
        <v>1569</v>
      </c>
      <c r="S263" s="2" t="s">
        <v>1570</v>
      </c>
      <c r="W263" s="2" t="s">
        <v>1571</v>
      </c>
    </row>
    <row r="264">
      <c r="A264" s="4">
        <v>45561.50902777778</v>
      </c>
      <c r="B264" s="5">
        <v>2764919.0</v>
      </c>
      <c r="C264" s="2" t="s">
        <v>1575</v>
      </c>
      <c r="D264" s="2" t="s">
        <v>1572</v>
      </c>
      <c r="E264" s="2">
        <v>10128.0</v>
      </c>
      <c r="F264" s="2" t="s">
        <v>1588</v>
      </c>
      <c r="I264" s="7">
        <v>1.0</v>
      </c>
      <c r="J264" s="6">
        <v>23333.0</v>
      </c>
      <c r="K264" s="2">
        <v>0.0</v>
      </c>
      <c r="L264" s="2">
        <v>23333.0</v>
      </c>
      <c r="M264" s="2">
        <v>0.0</v>
      </c>
      <c r="N264" s="2">
        <v>23333.0</v>
      </c>
      <c r="O264" s="2">
        <v>1167.0</v>
      </c>
      <c r="P264" s="2" t="s">
        <v>1574</v>
      </c>
      <c r="Q264" s="2" t="s">
        <v>1568</v>
      </c>
      <c r="R264" s="2" t="s">
        <v>1569</v>
      </c>
      <c r="S264" s="2" t="s">
        <v>1570</v>
      </c>
      <c r="W264" s="2" t="s">
        <v>1571</v>
      </c>
    </row>
    <row r="265">
      <c r="A265" s="4">
        <v>45561.50833333333</v>
      </c>
      <c r="B265" s="5">
        <v>2764554.0</v>
      </c>
      <c r="C265" s="2" t="s">
        <v>1575</v>
      </c>
      <c r="D265" s="2" t="s">
        <v>1572</v>
      </c>
      <c r="E265" s="2">
        <v>10119.0</v>
      </c>
      <c r="F265" s="2" t="s">
        <v>1582</v>
      </c>
      <c r="I265" s="7">
        <v>1.0</v>
      </c>
      <c r="J265" s="6">
        <v>7143.0</v>
      </c>
      <c r="K265" s="2">
        <v>0.0</v>
      </c>
      <c r="L265" s="2">
        <v>7143.0</v>
      </c>
      <c r="M265" s="2">
        <v>0.0</v>
      </c>
      <c r="N265" s="2">
        <v>7143.0</v>
      </c>
      <c r="O265" s="2">
        <v>357.0</v>
      </c>
      <c r="P265" s="2" t="s">
        <v>1574</v>
      </c>
      <c r="Q265" s="2" t="s">
        <v>1568</v>
      </c>
      <c r="R265" s="2" t="s">
        <v>1569</v>
      </c>
      <c r="S265" s="2" t="s">
        <v>1570</v>
      </c>
      <c r="W265" s="2" t="s">
        <v>1571</v>
      </c>
    </row>
    <row r="266">
      <c r="A266" s="4">
        <v>45561.425</v>
      </c>
      <c r="B266" s="5">
        <v>2764188.0</v>
      </c>
      <c r="C266" s="2" t="s">
        <v>1575</v>
      </c>
      <c r="D266" s="2" t="s">
        <v>1565</v>
      </c>
      <c r="E266" s="2">
        <v>10000.0</v>
      </c>
      <c r="F266" s="2" t="s">
        <v>1566</v>
      </c>
      <c r="I266" s="7">
        <v>1.0</v>
      </c>
      <c r="J266" s="6">
        <v>29524.0</v>
      </c>
      <c r="K266" s="2">
        <v>0.0</v>
      </c>
      <c r="L266" s="2">
        <v>29524.0</v>
      </c>
      <c r="M266" s="2">
        <v>0.0</v>
      </c>
      <c r="N266" s="2">
        <v>29524.0</v>
      </c>
      <c r="O266" s="2">
        <v>1476.0</v>
      </c>
      <c r="P266" s="2" t="s">
        <v>1574</v>
      </c>
      <c r="Q266" s="2" t="s">
        <v>1568</v>
      </c>
      <c r="R266" s="2" t="s">
        <v>1569</v>
      </c>
      <c r="S266" s="2" t="s">
        <v>1570</v>
      </c>
      <c r="W266" s="2" t="s">
        <v>1571</v>
      </c>
    </row>
    <row r="267">
      <c r="A267" s="4">
        <v>45561.425</v>
      </c>
      <c r="B267" s="5">
        <v>2764188.0</v>
      </c>
      <c r="C267" s="2" t="s">
        <v>1575</v>
      </c>
      <c r="D267" s="2" t="s">
        <v>1565</v>
      </c>
      <c r="E267" s="2">
        <v>10005.0</v>
      </c>
      <c r="F267" s="2" t="s">
        <v>1595</v>
      </c>
      <c r="I267" s="7">
        <v>1.0</v>
      </c>
      <c r="J267" s="6">
        <v>19524.0</v>
      </c>
      <c r="K267" s="2">
        <v>0.0</v>
      </c>
      <c r="L267" s="2">
        <v>19524.0</v>
      </c>
      <c r="M267" s="2">
        <v>0.0</v>
      </c>
      <c r="N267" s="2">
        <v>19524.0</v>
      </c>
      <c r="O267" s="2">
        <v>976.0</v>
      </c>
      <c r="P267" s="2" t="s">
        <v>1574</v>
      </c>
      <c r="Q267" s="2" t="s">
        <v>1568</v>
      </c>
      <c r="R267" s="2" t="s">
        <v>1569</v>
      </c>
      <c r="S267" s="2" t="s">
        <v>1570</v>
      </c>
      <c r="W267" s="2" t="s">
        <v>1571</v>
      </c>
    </row>
    <row r="268">
      <c r="A268" s="4">
        <v>45561.425</v>
      </c>
      <c r="B268" s="5">
        <v>2764188.0</v>
      </c>
      <c r="C268" s="2" t="s">
        <v>1575</v>
      </c>
      <c r="D268" s="2" t="s">
        <v>1565</v>
      </c>
      <c r="E268" s="2">
        <v>10002.0</v>
      </c>
      <c r="F268" s="2" t="s">
        <v>1576</v>
      </c>
      <c r="I268" s="7">
        <v>1.0</v>
      </c>
      <c r="J268" s="6">
        <v>18571.0</v>
      </c>
      <c r="K268" s="2">
        <v>0.0</v>
      </c>
      <c r="L268" s="2">
        <v>18571.0</v>
      </c>
      <c r="M268" s="2">
        <v>0.0</v>
      </c>
      <c r="N268" s="2">
        <v>18571.0</v>
      </c>
      <c r="O268" s="2">
        <v>929.0</v>
      </c>
      <c r="P268" s="2" t="s">
        <v>1574</v>
      </c>
      <c r="Q268" s="2" t="s">
        <v>1568</v>
      </c>
      <c r="R268" s="2" t="s">
        <v>1569</v>
      </c>
      <c r="S268" s="2" t="s">
        <v>1570</v>
      </c>
      <c r="W268" s="2" t="s">
        <v>1571</v>
      </c>
    </row>
    <row r="269">
      <c r="A269" s="4">
        <v>45561.425</v>
      </c>
      <c r="B269" s="5">
        <v>2764188.0</v>
      </c>
      <c r="C269" s="2" t="s">
        <v>1575</v>
      </c>
      <c r="D269" s="2" t="s">
        <v>1572</v>
      </c>
      <c r="E269" s="2">
        <v>10128.0</v>
      </c>
      <c r="F269" s="2" t="s">
        <v>1588</v>
      </c>
      <c r="I269" s="7">
        <v>2.0</v>
      </c>
      <c r="J269" s="6">
        <v>46666.0</v>
      </c>
      <c r="K269" s="2">
        <v>0.0</v>
      </c>
      <c r="L269" s="2">
        <v>46666.0</v>
      </c>
      <c r="M269" s="2">
        <v>0.0</v>
      </c>
      <c r="N269" s="2">
        <v>46666.0</v>
      </c>
      <c r="O269" s="2">
        <v>2333.0</v>
      </c>
      <c r="P269" s="2" t="s">
        <v>1574</v>
      </c>
      <c r="Q269" s="2" t="s">
        <v>1568</v>
      </c>
      <c r="R269" s="2" t="s">
        <v>1569</v>
      </c>
      <c r="S269" s="2" t="s">
        <v>1570</v>
      </c>
      <c r="W269" s="2" t="s">
        <v>1571</v>
      </c>
    </row>
    <row r="270">
      <c r="A270" s="4">
        <v>45561.425</v>
      </c>
      <c r="B270" s="5">
        <v>2764188.0</v>
      </c>
      <c r="C270" s="2" t="s">
        <v>1575</v>
      </c>
      <c r="D270" s="2" t="s">
        <v>1572</v>
      </c>
      <c r="E270" s="2">
        <v>10106.0</v>
      </c>
      <c r="F270" s="2" t="s">
        <v>1598</v>
      </c>
      <c r="I270" s="7">
        <v>1.0</v>
      </c>
      <c r="J270" s="6">
        <v>26667.0</v>
      </c>
      <c r="K270" s="2">
        <v>0.0</v>
      </c>
      <c r="L270" s="2">
        <v>26667.0</v>
      </c>
      <c r="M270" s="2">
        <v>0.0</v>
      </c>
      <c r="N270" s="2">
        <v>26667.0</v>
      </c>
      <c r="O270" s="2">
        <v>1334.0</v>
      </c>
      <c r="P270" s="2" t="s">
        <v>1574</v>
      </c>
      <c r="Q270" s="2" t="s">
        <v>1568</v>
      </c>
      <c r="R270" s="2" t="s">
        <v>1569</v>
      </c>
      <c r="S270" s="2" t="s">
        <v>1570</v>
      </c>
      <c r="W270" s="2" t="s">
        <v>1571</v>
      </c>
    </row>
    <row r="271">
      <c r="A271" s="4">
        <v>45561.425</v>
      </c>
      <c r="B271" s="5">
        <v>2764188.0</v>
      </c>
      <c r="C271" s="2" t="s">
        <v>1575</v>
      </c>
      <c r="D271" s="2" t="s">
        <v>1572</v>
      </c>
      <c r="E271" s="2">
        <v>10069.0</v>
      </c>
      <c r="F271" s="2" t="s">
        <v>1620</v>
      </c>
      <c r="I271" s="7">
        <v>1.0</v>
      </c>
      <c r="J271" s="6">
        <v>24762.0</v>
      </c>
      <c r="K271" s="2">
        <v>0.0</v>
      </c>
      <c r="L271" s="2">
        <v>24762.0</v>
      </c>
      <c r="M271" s="2">
        <v>0.0</v>
      </c>
      <c r="N271" s="2">
        <v>24762.0</v>
      </c>
      <c r="O271" s="2">
        <v>1238.0</v>
      </c>
      <c r="P271" s="2" t="s">
        <v>1574</v>
      </c>
      <c r="Q271" s="2" t="s">
        <v>1568</v>
      </c>
      <c r="R271" s="2" t="s">
        <v>1569</v>
      </c>
      <c r="S271" s="2" t="s">
        <v>1570</v>
      </c>
      <c r="W271" s="2" t="s">
        <v>1571</v>
      </c>
    </row>
    <row r="272">
      <c r="A272" s="4">
        <v>45561.40833333333</v>
      </c>
      <c r="B272" s="5">
        <v>2763823.0</v>
      </c>
      <c r="C272" s="2" t="s">
        <v>1575</v>
      </c>
      <c r="D272" s="2" t="s">
        <v>1565</v>
      </c>
      <c r="E272" s="2">
        <v>10005.0</v>
      </c>
      <c r="F272" s="2" t="s">
        <v>1595</v>
      </c>
      <c r="I272" s="7">
        <v>1.0</v>
      </c>
      <c r="J272" s="6">
        <v>19524.0</v>
      </c>
      <c r="K272" s="2">
        <v>0.0</v>
      </c>
      <c r="L272" s="2">
        <v>19524.0</v>
      </c>
      <c r="M272" s="2">
        <v>0.0</v>
      </c>
      <c r="N272" s="2">
        <v>19524.0</v>
      </c>
      <c r="O272" s="2">
        <v>976.0</v>
      </c>
      <c r="P272" s="2" t="s">
        <v>1574</v>
      </c>
      <c r="Q272" s="2" t="s">
        <v>1568</v>
      </c>
      <c r="R272" s="2" t="s">
        <v>1569</v>
      </c>
      <c r="S272" s="2" t="s">
        <v>1570</v>
      </c>
      <c r="W272" s="2" t="s">
        <v>1571</v>
      </c>
    </row>
    <row r="273">
      <c r="A273" s="4">
        <v>45561.40833333333</v>
      </c>
      <c r="B273" s="5">
        <v>2763823.0</v>
      </c>
      <c r="C273" s="2" t="s">
        <v>1575</v>
      </c>
      <c r="D273" s="2" t="s">
        <v>1565</v>
      </c>
      <c r="E273" s="2">
        <v>10002.0</v>
      </c>
      <c r="F273" s="2" t="s">
        <v>1576</v>
      </c>
      <c r="I273" s="7">
        <v>1.0</v>
      </c>
      <c r="J273" s="6">
        <v>18571.0</v>
      </c>
      <c r="K273" s="2">
        <v>0.0</v>
      </c>
      <c r="L273" s="2">
        <v>18571.0</v>
      </c>
      <c r="M273" s="2">
        <v>0.0</v>
      </c>
      <c r="N273" s="2">
        <v>18571.0</v>
      </c>
      <c r="O273" s="2">
        <v>929.0</v>
      </c>
      <c r="P273" s="2" t="s">
        <v>1574</v>
      </c>
      <c r="Q273" s="2" t="s">
        <v>1568</v>
      </c>
      <c r="R273" s="2" t="s">
        <v>1569</v>
      </c>
      <c r="S273" s="2" t="s">
        <v>1570</v>
      </c>
      <c r="W273" s="2" t="s">
        <v>1571</v>
      </c>
    </row>
    <row r="274">
      <c r="A274" s="4">
        <v>45561.40625</v>
      </c>
      <c r="B274" s="5">
        <v>2763458.0</v>
      </c>
      <c r="C274" s="2" t="s">
        <v>1575</v>
      </c>
      <c r="D274" s="2" t="s">
        <v>1572</v>
      </c>
      <c r="E274" s="2">
        <v>10067.0</v>
      </c>
      <c r="F274" s="2" t="s">
        <v>1621</v>
      </c>
      <c r="I274" s="7">
        <v>1.0</v>
      </c>
      <c r="J274" s="6">
        <v>24762.0</v>
      </c>
      <c r="K274" s="2">
        <v>0.0</v>
      </c>
      <c r="L274" s="2">
        <v>24762.0</v>
      </c>
      <c r="M274" s="2">
        <v>0.0</v>
      </c>
      <c r="N274" s="2">
        <v>24762.0</v>
      </c>
      <c r="O274" s="2">
        <v>1238.0</v>
      </c>
      <c r="P274" s="2" t="s">
        <v>1574</v>
      </c>
      <c r="Q274" s="2" t="s">
        <v>1568</v>
      </c>
      <c r="R274" s="2" t="s">
        <v>1569</v>
      </c>
      <c r="S274" s="2" t="s">
        <v>1570</v>
      </c>
      <c r="W274" s="2" t="s">
        <v>1571</v>
      </c>
    </row>
    <row r="275">
      <c r="A275" s="4">
        <v>45561.40625</v>
      </c>
      <c r="B275" s="5">
        <v>2763458.0</v>
      </c>
      <c r="C275" s="2" t="s">
        <v>1575</v>
      </c>
      <c r="D275" s="2" t="s">
        <v>1572</v>
      </c>
      <c r="E275" s="2">
        <v>10128.0</v>
      </c>
      <c r="F275" s="2" t="s">
        <v>1588</v>
      </c>
      <c r="I275" s="7">
        <v>1.0</v>
      </c>
      <c r="J275" s="6">
        <v>23333.0</v>
      </c>
      <c r="K275" s="2">
        <v>0.0</v>
      </c>
      <c r="L275" s="2">
        <v>23333.0</v>
      </c>
      <c r="M275" s="2">
        <v>0.0</v>
      </c>
      <c r="N275" s="2">
        <v>23333.0</v>
      </c>
      <c r="O275" s="2">
        <v>1167.0</v>
      </c>
      <c r="P275" s="2" t="s">
        <v>1574</v>
      </c>
      <c r="Q275" s="2" t="s">
        <v>1568</v>
      </c>
      <c r="R275" s="2" t="s">
        <v>1569</v>
      </c>
      <c r="S275" s="2" t="s">
        <v>1570</v>
      </c>
      <c r="W275" s="2" t="s">
        <v>1571</v>
      </c>
    </row>
    <row r="276">
      <c r="A276" s="4">
        <v>45561.40625</v>
      </c>
      <c r="B276" s="5">
        <v>2763458.0</v>
      </c>
      <c r="C276" s="2" t="s">
        <v>1575</v>
      </c>
      <c r="D276" s="2" t="s">
        <v>1565</v>
      </c>
      <c r="E276" s="2">
        <v>10007.0</v>
      </c>
      <c r="F276" s="2" t="s">
        <v>1596</v>
      </c>
      <c r="I276" s="7">
        <v>1.0</v>
      </c>
      <c r="J276" s="6">
        <v>33810.0</v>
      </c>
      <c r="K276" s="2">
        <v>0.0</v>
      </c>
      <c r="L276" s="2">
        <v>33810.0</v>
      </c>
      <c r="M276" s="2">
        <v>0.0</v>
      </c>
      <c r="N276" s="2">
        <v>33810.0</v>
      </c>
      <c r="O276" s="2">
        <v>1690.0</v>
      </c>
      <c r="P276" s="2" t="s">
        <v>1574</v>
      </c>
      <c r="Q276" s="2" t="s">
        <v>1568</v>
      </c>
      <c r="R276" s="2" t="s">
        <v>1569</v>
      </c>
      <c r="S276" s="2" t="s">
        <v>1570</v>
      </c>
      <c r="W276" s="2" t="s">
        <v>1571</v>
      </c>
    </row>
    <row r="277">
      <c r="A277" s="4">
        <v>45560.88055555556</v>
      </c>
      <c r="B277" s="5">
        <v>2763093.0</v>
      </c>
      <c r="C277" s="2" t="s">
        <v>1575</v>
      </c>
      <c r="D277" s="2" t="s">
        <v>1565</v>
      </c>
      <c r="E277" s="2">
        <v>10002.0</v>
      </c>
      <c r="F277" s="2" t="s">
        <v>1576</v>
      </c>
      <c r="I277" s="7">
        <v>1.0</v>
      </c>
      <c r="J277" s="6">
        <v>18571.0</v>
      </c>
      <c r="K277" s="2">
        <v>0.0</v>
      </c>
      <c r="L277" s="2">
        <v>18571.0</v>
      </c>
      <c r="M277" s="2">
        <v>0.0</v>
      </c>
      <c r="N277" s="2">
        <v>18571.0</v>
      </c>
      <c r="O277" s="2">
        <v>929.0</v>
      </c>
      <c r="P277" s="2" t="s">
        <v>1574</v>
      </c>
      <c r="Q277" s="2" t="s">
        <v>1568</v>
      </c>
      <c r="R277" s="2" t="s">
        <v>1569</v>
      </c>
      <c r="S277" s="2" t="s">
        <v>1570</v>
      </c>
      <c r="W277" s="2" t="s">
        <v>1571</v>
      </c>
    </row>
    <row r="278">
      <c r="A278" s="4">
        <v>45560.81736111111</v>
      </c>
      <c r="B278" s="5">
        <v>2762727.0</v>
      </c>
      <c r="C278" s="2" t="s">
        <v>1575</v>
      </c>
      <c r="D278" s="2" t="s">
        <v>1572</v>
      </c>
      <c r="E278" s="2">
        <v>10122.0</v>
      </c>
      <c r="F278" s="2" t="s">
        <v>1577</v>
      </c>
      <c r="I278" s="7">
        <v>1.0</v>
      </c>
      <c r="J278" s="6">
        <v>21905.0</v>
      </c>
      <c r="K278" s="2">
        <v>0.0</v>
      </c>
      <c r="L278" s="2">
        <v>21905.0</v>
      </c>
      <c r="M278" s="2">
        <v>0.0</v>
      </c>
      <c r="N278" s="2">
        <v>21905.0</v>
      </c>
      <c r="O278" s="2">
        <v>1095.0</v>
      </c>
      <c r="P278" s="2" t="s">
        <v>1574</v>
      </c>
      <c r="Q278" s="2" t="s">
        <v>1568</v>
      </c>
      <c r="R278" s="2" t="s">
        <v>1569</v>
      </c>
      <c r="S278" s="2" t="s">
        <v>1570</v>
      </c>
      <c r="W278" s="2" t="s">
        <v>1571</v>
      </c>
    </row>
    <row r="279">
      <c r="A279" s="4">
        <v>45560.81736111111</v>
      </c>
      <c r="B279" s="5">
        <v>2762727.0</v>
      </c>
      <c r="C279" s="2" t="s">
        <v>1575</v>
      </c>
      <c r="D279" s="2" t="s">
        <v>1572</v>
      </c>
      <c r="E279" s="2">
        <v>10070.0</v>
      </c>
      <c r="F279" s="2" t="s">
        <v>1593</v>
      </c>
      <c r="I279" s="7">
        <v>1.0</v>
      </c>
      <c r="J279" s="6">
        <v>24762.0</v>
      </c>
      <c r="K279" s="2">
        <v>0.0</v>
      </c>
      <c r="L279" s="2">
        <v>24762.0</v>
      </c>
      <c r="M279" s="2">
        <v>0.0</v>
      </c>
      <c r="N279" s="2">
        <v>24762.0</v>
      </c>
      <c r="O279" s="2">
        <v>1238.0</v>
      </c>
      <c r="P279" s="2" t="s">
        <v>1574</v>
      </c>
      <c r="Q279" s="2" t="s">
        <v>1568</v>
      </c>
      <c r="R279" s="2" t="s">
        <v>1569</v>
      </c>
      <c r="S279" s="2" t="s">
        <v>1570</v>
      </c>
      <c r="W279" s="2" t="s">
        <v>1571</v>
      </c>
    </row>
    <row r="280">
      <c r="A280" s="4">
        <v>45560.78194444445</v>
      </c>
      <c r="B280" s="5">
        <v>2762362.0</v>
      </c>
      <c r="C280" s="2" t="s">
        <v>1575</v>
      </c>
      <c r="D280" s="2" t="s">
        <v>1565</v>
      </c>
      <c r="E280" s="2">
        <v>10000.0</v>
      </c>
      <c r="F280" s="2" t="s">
        <v>1566</v>
      </c>
      <c r="I280" s="7">
        <v>1.0</v>
      </c>
      <c r="J280" s="6">
        <v>29524.0</v>
      </c>
      <c r="K280" s="2">
        <v>0.0</v>
      </c>
      <c r="L280" s="2">
        <v>29524.0</v>
      </c>
      <c r="M280" s="2">
        <v>0.0</v>
      </c>
      <c r="N280" s="2">
        <v>29524.0</v>
      </c>
      <c r="O280" s="2">
        <v>1476.0</v>
      </c>
      <c r="P280" s="2" t="s">
        <v>1574</v>
      </c>
      <c r="Q280" s="2" t="s">
        <v>1568</v>
      </c>
      <c r="R280" s="2" t="s">
        <v>1569</v>
      </c>
      <c r="S280" s="2" t="s">
        <v>1570</v>
      </c>
      <c r="W280" s="2" t="s">
        <v>1571</v>
      </c>
    </row>
    <row r="281">
      <c r="A281" s="4">
        <v>45560.78194444445</v>
      </c>
      <c r="B281" s="5">
        <v>2762362.0</v>
      </c>
      <c r="C281" s="2" t="s">
        <v>1575</v>
      </c>
      <c r="D281" s="2" t="s">
        <v>1572</v>
      </c>
      <c r="E281" s="2">
        <v>10117.0</v>
      </c>
      <c r="F281" s="2" t="s">
        <v>1589</v>
      </c>
      <c r="I281" s="7">
        <v>1.0</v>
      </c>
      <c r="J281" s="6">
        <v>14286.0</v>
      </c>
      <c r="K281" s="2">
        <v>0.0</v>
      </c>
      <c r="L281" s="2">
        <v>14286.0</v>
      </c>
      <c r="M281" s="2">
        <v>0.0</v>
      </c>
      <c r="N281" s="2">
        <v>14286.0</v>
      </c>
      <c r="O281" s="2">
        <v>715.0</v>
      </c>
      <c r="P281" s="2" t="s">
        <v>1574</v>
      </c>
      <c r="Q281" s="2" t="s">
        <v>1568</v>
      </c>
      <c r="R281" s="2" t="s">
        <v>1569</v>
      </c>
      <c r="S281" s="2" t="s">
        <v>1570</v>
      </c>
      <c r="W281" s="2" t="s">
        <v>1571</v>
      </c>
    </row>
    <row r="282">
      <c r="A282" s="4">
        <v>45560.78194444445</v>
      </c>
      <c r="B282" s="5">
        <v>2762362.0</v>
      </c>
      <c r="C282" s="2" t="s">
        <v>1575</v>
      </c>
      <c r="D282" s="2" t="s">
        <v>1572</v>
      </c>
      <c r="E282" s="2">
        <v>10118.0</v>
      </c>
      <c r="F282" s="2" t="s">
        <v>1604</v>
      </c>
      <c r="I282" s="7">
        <v>1.0</v>
      </c>
      <c r="J282" s="6">
        <v>7143.0</v>
      </c>
      <c r="K282" s="2">
        <v>0.0</v>
      </c>
      <c r="L282" s="2">
        <v>7143.0</v>
      </c>
      <c r="M282" s="2">
        <v>0.0</v>
      </c>
      <c r="N282" s="2">
        <v>7143.0</v>
      </c>
      <c r="O282" s="2">
        <v>357.0</v>
      </c>
      <c r="P282" s="2" t="s">
        <v>1574</v>
      </c>
      <c r="Q282" s="2" t="s">
        <v>1568</v>
      </c>
      <c r="R282" s="2" t="s">
        <v>1569</v>
      </c>
      <c r="S282" s="2" t="s">
        <v>1570</v>
      </c>
      <c r="W282" s="2" t="s">
        <v>1571</v>
      </c>
    </row>
    <row r="283">
      <c r="A283" s="4">
        <v>45560.78194444445</v>
      </c>
      <c r="B283" s="5">
        <v>2762362.0</v>
      </c>
      <c r="C283" s="2" t="s">
        <v>1575</v>
      </c>
      <c r="D283" s="2" t="s">
        <v>1572</v>
      </c>
      <c r="E283" s="2">
        <v>10120.0</v>
      </c>
      <c r="F283" s="2" t="s">
        <v>1590</v>
      </c>
      <c r="I283" s="7">
        <v>2.0</v>
      </c>
      <c r="J283" s="6">
        <v>39048.0</v>
      </c>
      <c r="K283" s="2">
        <v>0.0</v>
      </c>
      <c r="L283" s="2">
        <v>39048.0</v>
      </c>
      <c r="M283" s="2">
        <v>0.0</v>
      </c>
      <c r="N283" s="2">
        <v>39048.0</v>
      </c>
      <c r="O283" s="2">
        <v>1952.0</v>
      </c>
      <c r="P283" s="2" t="s">
        <v>1574</v>
      </c>
      <c r="Q283" s="2" t="s">
        <v>1568</v>
      </c>
      <c r="R283" s="2" t="s">
        <v>1569</v>
      </c>
      <c r="S283" s="2" t="s">
        <v>1570</v>
      </c>
      <c r="W283" s="2" t="s">
        <v>1571</v>
      </c>
    </row>
    <row r="284">
      <c r="A284" s="4">
        <v>45560.78194444445</v>
      </c>
      <c r="B284" s="5">
        <v>2762362.0</v>
      </c>
      <c r="C284" s="2" t="s">
        <v>1575</v>
      </c>
      <c r="D284" s="2" t="s">
        <v>1572</v>
      </c>
      <c r="E284" s="2">
        <v>10122.0</v>
      </c>
      <c r="F284" s="2" t="s">
        <v>1577</v>
      </c>
      <c r="I284" s="7">
        <v>1.0</v>
      </c>
      <c r="J284" s="6">
        <v>21905.0</v>
      </c>
      <c r="K284" s="2">
        <v>0.0</v>
      </c>
      <c r="L284" s="2">
        <v>21905.0</v>
      </c>
      <c r="M284" s="2">
        <v>0.0</v>
      </c>
      <c r="N284" s="2">
        <v>21905.0</v>
      </c>
      <c r="O284" s="2">
        <v>1095.0</v>
      </c>
      <c r="P284" s="2" t="s">
        <v>1574</v>
      </c>
      <c r="Q284" s="2" t="s">
        <v>1568</v>
      </c>
      <c r="R284" s="2" t="s">
        <v>1569</v>
      </c>
      <c r="S284" s="2" t="s">
        <v>1570</v>
      </c>
      <c r="W284" s="2" t="s">
        <v>1571</v>
      </c>
    </row>
    <row r="285">
      <c r="A285" s="4">
        <v>45560.78194444445</v>
      </c>
      <c r="B285" s="5">
        <v>2762362.0</v>
      </c>
      <c r="C285" s="2" t="s">
        <v>1575</v>
      </c>
      <c r="D285" s="2" t="s">
        <v>1578</v>
      </c>
      <c r="E285" s="2">
        <v>10010.0</v>
      </c>
      <c r="F285" s="2" t="s">
        <v>1606</v>
      </c>
      <c r="I285" s="7">
        <v>1.0</v>
      </c>
      <c r="J285" s="6">
        <v>25238.0</v>
      </c>
      <c r="K285" s="2">
        <v>0.0</v>
      </c>
      <c r="L285" s="2">
        <v>25238.0</v>
      </c>
      <c r="M285" s="2">
        <v>0.0</v>
      </c>
      <c r="N285" s="2">
        <v>25238.0</v>
      </c>
      <c r="O285" s="2">
        <v>1262.0</v>
      </c>
      <c r="P285" s="2" t="s">
        <v>1574</v>
      </c>
      <c r="Q285" s="2" t="s">
        <v>1568</v>
      </c>
      <c r="R285" s="2" t="s">
        <v>1569</v>
      </c>
      <c r="S285" s="2" t="s">
        <v>1570</v>
      </c>
      <c r="W285" s="2" t="s">
        <v>1571</v>
      </c>
    </row>
    <row r="286">
      <c r="A286" s="4">
        <v>45560.78194444445</v>
      </c>
      <c r="B286" s="5">
        <v>2762362.0</v>
      </c>
      <c r="C286" s="2" t="s">
        <v>1575</v>
      </c>
      <c r="D286" s="2" t="s">
        <v>1578</v>
      </c>
      <c r="E286" s="2">
        <v>10004.0</v>
      </c>
      <c r="F286" s="2" t="s">
        <v>1607</v>
      </c>
      <c r="I286" s="7">
        <v>1.0</v>
      </c>
      <c r="J286" s="6">
        <v>25238.0</v>
      </c>
      <c r="K286" s="2">
        <v>0.0</v>
      </c>
      <c r="L286" s="2">
        <v>25238.0</v>
      </c>
      <c r="M286" s="2">
        <v>0.0</v>
      </c>
      <c r="N286" s="2">
        <v>25238.0</v>
      </c>
      <c r="O286" s="2">
        <v>1262.0</v>
      </c>
      <c r="P286" s="2" t="s">
        <v>1574</v>
      </c>
      <c r="Q286" s="2" t="s">
        <v>1568</v>
      </c>
      <c r="R286" s="2" t="s">
        <v>1569</v>
      </c>
      <c r="S286" s="2" t="s">
        <v>1570</v>
      </c>
      <c r="W286" s="2" t="s">
        <v>1571</v>
      </c>
    </row>
    <row r="287">
      <c r="A287" s="4">
        <v>45560.78194444445</v>
      </c>
      <c r="B287" s="5">
        <v>2762362.0</v>
      </c>
      <c r="C287" s="2" t="s">
        <v>1575</v>
      </c>
      <c r="D287" s="2" t="s">
        <v>1572</v>
      </c>
      <c r="E287" s="2">
        <v>10112.0</v>
      </c>
      <c r="F287" s="2" t="s">
        <v>1573</v>
      </c>
      <c r="I287" s="7">
        <v>1.0</v>
      </c>
      <c r="J287" s="6">
        <v>6667.0</v>
      </c>
      <c r="K287" s="2">
        <v>0.0</v>
      </c>
      <c r="L287" s="2">
        <v>6667.0</v>
      </c>
      <c r="M287" s="2">
        <v>0.0</v>
      </c>
      <c r="N287" s="2">
        <v>6667.0</v>
      </c>
      <c r="O287" s="2">
        <v>333.0</v>
      </c>
      <c r="P287" s="2" t="s">
        <v>1574</v>
      </c>
      <c r="Q287" s="2" t="s">
        <v>1568</v>
      </c>
      <c r="R287" s="2" t="s">
        <v>1569</v>
      </c>
      <c r="S287" s="2" t="s">
        <v>1570</v>
      </c>
      <c r="W287" s="2" t="s">
        <v>1571</v>
      </c>
    </row>
    <row r="288">
      <c r="A288" s="4">
        <v>45560.78194444445</v>
      </c>
      <c r="B288" s="5">
        <v>2762362.0</v>
      </c>
      <c r="C288" s="2" t="s">
        <v>1575</v>
      </c>
      <c r="D288" s="2" t="s">
        <v>1578</v>
      </c>
      <c r="E288" s="2">
        <v>10014.0</v>
      </c>
      <c r="F288" s="2" t="s">
        <v>1609</v>
      </c>
      <c r="I288" s="7">
        <v>1.0</v>
      </c>
      <c r="J288" s="6">
        <v>25238.0</v>
      </c>
      <c r="K288" s="2">
        <v>0.0</v>
      </c>
      <c r="L288" s="2">
        <v>25238.0</v>
      </c>
      <c r="M288" s="2">
        <v>0.0</v>
      </c>
      <c r="N288" s="2">
        <v>25238.0</v>
      </c>
      <c r="O288" s="2">
        <v>1262.0</v>
      </c>
      <c r="P288" s="2" t="s">
        <v>1574</v>
      </c>
      <c r="Q288" s="2" t="s">
        <v>1568</v>
      </c>
      <c r="R288" s="2" t="s">
        <v>1569</v>
      </c>
      <c r="S288" s="2" t="s">
        <v>1570</v>
      </c>
      <c r="W288" s="2" t="s">
        <v>1571</v>
      </c>
    </row>
    <row r="289">
      <c r="A289" s="4">
        <v>45560.78194444445</v>
      </c>
      <c r="B289" s="5">
        <v>2762362.0</v>
      </c>
      <c r="C289" s="2" t="s">
        <v>1575</v>
      </c>
      <c r="D289" s="2" t="s">
        <v>1565</v>
      </c>
      <c r="E289" s="2">
        <v>10039.0</v>
      </c>
      <c r="F289" s="2" t="s">
        <v>1622</v>
      </c>
      <c r="I289" s="7">
        <v>1.0</v>
      </c>
      <c r="J289" s="6">
        <v>21905.0</v>
      </c>
      <c r="K289" s="2">
        <v>0.0</v>
      </c>
      <c r="L289" s="2">
        <v>21905.0</v>
      </c>
      <c r="M289" s="2">
        <v>0.0</v>
      </c>
      <c r="N289" s="2">
        <v>21905.0</v>
      </c>
      <c r="O289" s="2">
        <v>1096.0</v>
      </c>
      <c r="P289" s="2" t="s">
        <v>1574</v>
      </c>
      <c r="Q289" s="2" t="s">
        <v>1568</v>
      </c>
      <c r="R289" s="2" t="s">
        <v>1569</v>
      </c>
      <c r="S289" s="2" t="s">
        <v>1570</v>
      </c>
      <c r="W289" s="2" t="s">
        <v>1571</v>
      </c>
    </row>
    <row r="290">
      <c r="A290" s="4">
        <v>45559.865277777775</v>
      </c>
      <c r="B290" s="5">
        <v>2761997.0</v>
      </c>
      <c r="C290" s="2" t="s">
        <v>1575</v>
      </c>
      <c r="D290" s="2" t="s">
        <v>1565</v>
      </c>
      <c r="E290" s="2">
        <v>10034.0</v>
      </c>
      <c r="F290" s="2" t="s">
        <v>1616</v>
      </c>
      <c r="I290" s="7">
        <v>1.0</v>
      </c>
      <c r="J290" s="6">
        <v>21905.0</v>
      </c>
      <c r="K290" s="2">
        <v>0.0</v>
      </c>
      <c r="L290" s="2">
        <v>21905.0</v>
      </c>
      <c r="M290" s="2">
        <v>0.0</v>
      </c>
      <c r="N290" s="2">
        <v>21905.0</v>
      </c>
      <c r="O290" s="2">
        <v>1095.0</v>
      </c>
      <c r="P290" s="2" t="s">
        <v>1574</v>
      </c>
      <c r="Q290" s="2" t="s">
        <v>1568</v>
      </c>
      <c r="R290" s="2" t="s">
        <v>1569</v>
      </c>
      <c r="S290" s="2" t="s">
        <v>1570</v>
      </c>
      <c r="W290" s="2" t="s">
        <v>1571</v>
      </c>
    </row>
    <row r="291">
      <c r="A291" s="4">
        <v>45559.85763888889</v>
      </c>
      <c r="B291" s="5">
        <v>2761632.0</v>
      </c>
      <c r="C291" s="2" t="s">
        <v>1575</v>
      </c>
      <c r="D291" s="2" t="s">
        <v>1565</v>
      </c>
      <c r="E291" s="2">
        <v>10033.0</v>
      </c>
      <c r="F291" s="2" t="s">
        <v>1615</v>
      </c>
      <c r="I291" s="7">
        <v>1.0</v>
      </c>
      <c r="J291" s="6">
        <v>21905.0</v>
      </c>
      <c r="K291" s="2">
        <v>0.0</v>
      </c>
      <c r="L291" s="2">
        <v>21905.0</v>
      </c>
      <c r="M291" s="2">
        <v>0.0</v>
      </c>
      <c r="N291" s="2">
        <v>21905.0</v>
      </c>
      <c r="O291" s="2">
        <v>1095.0</v>
      </c>
      <c r="P291" s="2" t="s">
        <v>1574</v>
      </c>
      <c r="Q291" s="2" t="s">
        <v>1568</v>
      </c>
      <c r="R291" s="2" t="s">
        <v>1569</v>
      </c>
      <c r="S291" s="2" t="s">
        <v>1570</v>
      </c>
      <c r="W291" s="2" t="s">
        <v>1571</v>
      </c>
    </row>
    <row r="292">
      <c r="A292" s="4">
        <v>45559.85138888889</v>
      </c>
      <c r="B292" s="5">
        <v>2761266.0</v>
      </c>
      <c r="C292" s="2" t="s">
        <v>1575</v>
      </c>
      <c r="D292" s="2" t="s">
        <v>1565</v>
      </c>
      <c r="E292" s="2">
        <v>10007.0</v>
      </c>
      <c r="F292" s="2" t="s">
        <v>1596</v>
      </c>
      <c r="I292" s="7">
        <v>2.0</v>
      </c>
      <c r="J292" s="6">
        <v>67620.0</v>
      </c>
      <c r="K292" s="2">
        <v>0.0</v>
      </c>
      <c r="L292" s="2">
        <v>67620.0</v>
      </c>
      <c r="M292" s="2">
        <v>0.0</v>
      </c>
      <c r="N292" s="2">
        <v>67620.0</v>
      </c>
      <c r="O292" s="2">
        <v>3381.0</v>
      </c>
      <c r="P292" s="2" t="s">
        <v>1574</v>
      </c>
      <c r="Q292" s="2" t="s">
        <v>1568</v>
      </c>
      <c r="R292" s="2" t="s">
        <v>1569</v>
      </c>
      <c r="S292" s="2" t="s">
        <v>1570</v>
      </c>
      <c r="W292" s="2" t="s">
        <v>1571</v>
      </c>
    </row>
    <row r="293">
      <c r="A293" s="4">
        <v>45559.82361111111</v>
      </c>
      <c r="B293" s="5">
        <v>2760901.0</v>
      </c>
      <c r="C293" s="2" t="s">
        <v>1575</v>
      </c>
      <c r="D293" s="2" t="s">
        <v>1572</v>
      </c>
      <c r="E293" s="2">
        <v>10125.0</v>
      </c>
      <c r="F293" s="2" t="s">
        <v>1601</v>
      </c>
      <c r="I293" s="7">
        <v>1.0</v>
      </c>
      <c r="J293" s="6">
        <v>20476.0</v>
      </c>
      <c r="K293" s="2">
        <v>0.0</v>
      </c>
      <c r="L293" s="2">
        <v>20476.0</v>
      </c>
      <c r="M293" s="2">
        <v>0.0</v>
      </c>
      <c r="N293" s="2">
        <v>20476.0</v>
      </c>
      <c r="O293" s="2">
        <v>1024.0</v>
      </c>
      <c r="P293" s="2" t="s">
        <v>1574</v>
      </c>
      <c r="Q293" s="2" t="s">
        <v>1568</v>
      </c>
      <c r="R293" s="2" t="s">
        <v>1569</v>
      </c>
      <c r="S293" s="2" t="s">
        <v>1570</v>
      </c>
      <c r="W293" s="2" t="s">
        <v>1571</v>
      </c>
    </row>
    <row r="294">
      <c r="A294" s="4">
        <v>45559.82361111111</v>
      </c>
      <c r="B294" s="5">
        <v>2760901.0</v>
      </c>
      <c r="C294" s="2" t="s">
        <v>1575</v>
      </c>
      <c r="D294" s="2" t="s">
        <v>1572</v>
      </c>
      <c r="E294" s="2">
        <v>10122.0</v>
      </c>
      <c r="F294" s="2" t="s">
        <v>1577</v>
      </c>
      <c r="I294" s="7">
        <v>1.0</v>
      </c>
      <c r="J294" s="6">
        <v>21905.0</v>
      </c>
      <c r="K294" s="2">
        <v>0.0</v>
      </c>
      <c r="L294" s="2">
        <v>21905.0</v>
      </c>
      <c r="M294" s="2">
        <v>0.0</v>
      </c>
      <c r="N294" s="2">
        <v>21905.0</v>
      </c>
      <c r="O294" s="2">
        <v>1095.0</v>
      </c>
      <c r="P294" s="2" t="s">
        <v>1574</v>
      </c>
      <c r="Q294" s="2" t="s">
        <v>1568</v>
      </c>
      <c r="R294" s="2" t="s">
        <v>1569</v>
      </c>
      <c r="S294" s="2" t="s">
        <v>1570</v>
      </c>
      <c r="W294" s="2" t="s">
        <v>1571</v>
      </c>
    </row>
    <row r="295">
      <c r="A295" s="4">
        <v>45559.82361111111</v>
      </c>
      <c r="B295" s="5">
        <v>2760901.0</v>
      </c>
      <c r="C295" s="2" t="s">
        <v>1575</v>
      </c>
      <c r="D295" s="2" t="s">
        <v>1565</v>
      </c>
      <c r="E295" s="2">
        <v>10025.0</v>
      </c>
      <c r="F295" s="2" t="s">
        <v>1623</v>
      </c>
      <c r="I295" s="7">
        <v>1.0</v>
      </c>
      <c r="J295" s="6">
        <v>24762.0</v>
      </c>
      <c r="K295" s="2">
        <v>0.0</v>
      </c>
      <c r="L295" s="2">
        <v>24762.0</v>
      </c>
      <c r="M295" s="2">
        <v>0.0</v>
      </c>
      <c r="N295" s="2">
        <v>24762.0</v>
      </c>
      <c r="O295" s="2">
        <v>1238.0</v>
      </c>
      <c r="P295" s="2" t="s">
        <v>1574</v>
      </c>
      <c r="Q295" s="2" t="s">
        <v>1568</v>
      </c>
      <c r="R295" s="2" t="s">
        <v>1569</v>
      </c>
      <c r="S295" s="2" t="s">
        <v>1570</v>
      </c>
      <c r="W295" s="2" t="s">
        <v>1571</v>
      </c>
    </row>
    <row r="296">
      <c r="A296" s="4">
        <v>45559.82361111111</v>
      </c>
      <c r="B296" s="5">
        <v>2760901.0</v>
      </c>
      <c r="C296" s="2" t="s">
        <v>1575</v>
      </c>
      <c r="D296" s="2" t="s">
        <v>1578</v>
      </c>
      <c r="E296" s="2">
        <v>10004.0</v>
      </c>
      <c r="F296" s="2" t="s">
        <v>1607</v>
      </c>
      <c r="I296" s="7">
        <v>1.0</v>
      </c>
      <c r="J296" s="6">
        <v>25238.0</v>
      </c>
      <c r="K296" s="2">
        <v>0.0</v>
      </c>
      <c r="L296" s="2">
        <v>25238.0</v>
      </c>
      <c r="M296" s="2">
        <v>0.0</v>
      </c>
      <c r="N296" s="2">
        <v>25238.0</v>
      </c>
      <c r="O296" s="2">
        <v>1262.0</v>
      </c>
      <c r="P296" s="2" t="s">
        <v>1574</v>
      </c>
      <c r="Q296" s="2" t="s">
        <v>1568</v>
      </c>
      <c r="R296" s="2" t="s">
        <v>1569</v>
      </c>
      <c r="S296" s="2" t="s">
        <v>1570</v>
      </c>
      <c r="W296" s="2" t="s">
        <v>1571</v>
      </c>
    </row>
    <row r="297">
      <c r="A297" s="4">
        <v>45559.80069444444</v>
      </c>
      <c r="B297" s="5">
        <v>2760536.0</v>
      </c>
      <c r="C297" s="2" t="s">
        <v>1575</v>
      </c>
      <c r="D297" s="2" t="s">
        <v>1572</v>
      </c>
      <c r="E297" s="2">
        <v>10026.0</v>
      </c>
      <c r="F297" s="2" t="s">
        <v>1583</v>
      </c>
      <c r="I297" s="7">
        <v>1.0</v>
      </c>
      <c r="J297" s="6">
        <v>21905.0</v>
      </c>
      <c r="K297" s="2">
        <v>0.0</v>
      </c>
      <c r="L297" s="2">
        <v>21905.0</v>
      </c>
      <c r="M297" s="2">
        <v>0.0</v>
      </c>
      <c r="N297" s="2">
        <v>21905.0</v>
      </c>
      <c r="O297" s="2">
        <v>1095.0</v>
      </c>
      <c r="P297" s="2" t="s">
        <v>1574</v>
      </c>
      <c r="Q297" s="2" t="s">
        <v>1568</v>
      </c>
      <c r="R297" s="2" t="s">
        <v>1569</v>
      </c>
      <c r="S297" s="2" t="s">
        <v>1570</v>
      </c>
      <c r="W297" s="2" t="s">
        <v>1571</v>
      </c>
    </row>
    <row r="298">
      <c r="A298" s="4">
        <v>45559.80069444444</v>
      </c>
      <c r="B298" s="5">
        <v>2760536.0</v>
      </c>
      <c r="C298" s="2" t="s">
        <v>1575</v>
      </c>
      <c r="D298" s="2" t="s">
        <v>1572</v>
      </c>
      <c r="E298" s="2">
        <v>10057.0</v>
      </c>
      <c r="F298" s="2" t="s">
        <v>1608</v>
      </c>
      <c r="I298" s="7">
        <v>1.0</v>
      </c>
      <c r="J298" s="6">
        <v>19524.0</v>
      </c>
      <c r="K298" s="2">
        <v>0.0</v>
      </c>
      <c r="L298" s="2">
        <v>19524.0</v>
      </c>
      <c r="M298" s="2">
        <v>0.0</v>
      </c>
      <c r="N298" s="2">
        <v>19524.0</v>
      </c>
      <c r="O298" s="2">
        <v>976.0</v>
      </c>
      <c r="P298" s="2" t="s">
        <v>1574</v>
      </c>
      <c r="Q298" s="2" t="s">
        <v>1568</v>
      </c>
      <c r="R298" s="2" t="s">
        <v>1569</v>
      </c>
      <c r="S298" s="2" t="s">
        <v>1570</v>
      </c>
      <c r="W298" s="2" t="s">
        <v>1571</v>
      </c>
    </row>
    <row r="299">
      <c r="A299" s="4">
        <v>45559.799305555556</v>
      </c>
      <c r="B299" s="5">
        <v>2760171.0</v>
      </c>
      <c r="C299" s="2" t="s">
        <v>1564</v>
      </c>
      <c r="D299" s="2" t="s">
        <v>1572</v>
      </c>
      <c r="E299" s="2">
        <v>10026.0</v>
      </c>
      <c r="F299" s="2" t="s">
        <v>1583</v>
      </c>
      <c r="I299" s="7">
        <v>-1.0</v>
      </c>
      <c r="J299" s="6">
        <v>-21905.0</v>
      </c>
      <c r="K299" s="2">
        <v>0.0</v>
      </c>
      <c r="L299" s="2">
        <v>-21905.0</v>
      </c>
      <c r="M299" s="2">
        <v>0.0</v>
      </c>
      <c r="N299" s="2">
        <v>-21905.0</v>
      </c>
      <c r="O299" s="2">
        <v>-1095.0</v>
      </c>
      <c r="P299" s="2" t="s">
        <v>1574</v>
      </c>
      <c r="Q299" s="2" t="s">
        <v>1568</v>
      </c>
      <c r="R299" s="2" t="s">
        <v>1569</v>
      </c>
      <c r="S299" s="2" t="s">
        <v>1570</v>
      </c>
      <c r="W299" s="2" t="s">
        <v>1571</v>
      </c>
    </row>
    <row r="300">
      <c r="A300" s="4">
        <v>45559.799305555556</v>
      </c>
      <c r="B300" s="5">
        <v>2760171.0</v>
      </c>
      <c r="C300" s="2" t="s">
        <v>1564</v>
      </c>
      <c r="D300" s="2" t="s">
        <v>1572</v>
      </c>
      <c r="E300" s="2">
        <v>10057.0</v>
      </c>
      <c r="F300" s="2" t="s">
        <v>1608</v>
      </c>
      <c r="I300" s="7">
        <v>-1.0</v>
      </c>
      <c r="J300" s="6">
        <v>-19524.0</v>
      </c>
      <c r="K300" s="2">
        <v>0.0</v>
      </c>
      <c r="L300" s="2">
        <v>-19524.0</v>
      </c>
      <c r="M300" s="2">
        <v>0.0</v>
      </c>
      <c r="N300" s="2">
        <v>-19524.0</v>
      </c>
      <c r="O300" s="2">
        <v>-976.0</v>
      </c>
      <c r="P300" s="2" t="s">
        <v>1574</v>
      </c>
      <c r="Q300" s="2" t="s">
        <v>1568</v>
      </c>
      <c r="R300" s="2" t="s">
        <v>1569</v>
      </c>
      <c r="S300" s="2" t="s">
        <v>1570</v>
      </c>
      <c r="W300" s="2" t="s">
        <v>1571</v>
      </c>
    </row>
    <row r="301">
      <c r="A301" s="4">
        <v>45559.79861111111</v>
      </c>
      <c r="B301" s="5">
        <v>2759805.0</v>
      </c>
      <c r="C301" s="2" t="s">
        <v>1575</v>
      </c>
      <c r="D301" s="2" t="s">
        <v>1572</v>
      </c>
      <c r="E301" s="2">
        <v>10026.0</v>
      </c>
      <c r="F301" s="2" t="s">
        <v>1583</v>
      </c>
      <c r="I301" s="7">
        <v>1.0</v>
      </c>
      <c r="J301" s="6">
        <v>21905.0</v>
      </c>
      <c r="K301" s="2">
        <v>0.0</v>
      </c>
      <c r="L301" s="2">
        <v>21905.0</v>
      </c>
      <c r="M301" s="2">
        <v>0.0</v>
      </c>
      <c r="N301" s="2">
        <v>21905.0</v>
      </c>
      <c r="O301" s="2">
        <v>1095.0</v>
      </c>
      <c r="P301" s="2" t="s">
        <v>1574</v>
      </c>
      <c r="Q301" s="2" t="s">
        <v>1568</v>
      </c>
      <c r="R301" s="2" t="s">
        <v>1569</v>
      </c>
      <c r="S301" s="2" t="s">
        <v>1570</v>
      </c>
      <c r="W301" s="2" t="s">
        <v>1571</v>
      </c>
    </row>
    <row r="302">
      <c r="A302" s="4">
        <v>45559.79861111111</v>
      </c>
      <c r="B302" s="5">
        <v>2759805.0</v>
      </c>
      <c r="C302" s="2" t="s">
        <v>1575</v>
      </c>
      <c r="D302" s="2" t="s">
        <v>1572</v>
      </c>
      <c r="E302" s="2">
        <v>10057.0</v>
      </c>
      <c r="F302" s="2" t="s">
        <v>1608</v>
      </c>
      <c r="I302" s="7">
        <v>1.0</v>
      </c>
      <c r="J302" s="6">
        <v>19524.0</v>
      </c>
      <c r="K302" s="2">
        <v>0.0</v>
      </c>
      <c r="L302" s="2">
        <v>19524.0</v>
      </c>
      <c r="M302" s="2">
        <v>0.0</v>
      </c>
      <c r="N302" s="2">
        <v>19524.0</v>
      </c>
      <c r="O302" s="2">
        <v>976.0</v>
      </c>
      <c r="P302" s="2" t="s">
        <v>1574</v>
      </c>
      <c r="Q302" s="2" t="s">
        <v>1568</v>
      </c>
      <c r="R302" s="2" t="s">
        <v>1569</v>
      </c>
      <c r="S302" s="2" t="s">
        <v>1570</v>
      </c>
      <c r="W302" s="2" t="s">
        <v>1571</v>
      </c>
    </row>
    <row r="303">
      <c r="A303" s="4">
        <v>45559.736805555556</v>
      </c>
      <c r="B303" s="5">
        <v>2759440.0</v>
      </c>
      <c r="C303" s="2" t="s">
        <v>1575</v>
      </c>
      <c r="D303" s="2" t="s">
        <v>1565</v>
      </c>
      <c r="E303" s="2">
        <v>10005.0</v>
      </c>
      <c r="F303" s="2" t="s">
        <v>1595</v>
      </c>
      <c r="I303" s="7">
        <v>1.0</v>
      </c>
      <c r="J303" s="6">
        <v>19524.0</v>
      </c>
      <c r="K303" s="2">
        <v>0.0</v>
      </c>
      <c r="L303" s="2">
        <v>19524.0</v>
      </c>
      <c r="M303" s="2">
        <v>0.0</v>
      </c>
      <c r="N303" s="2">
        <v>19524.0</v>
      </c>
      <c r="O303" s="2">
        <v>976.0</v>
      </c>
      <c r="P303" s="2" t="s">
        <v>1574</v>
      </c>
      <c r="Q303" s="2" t="s">
        <v>1568</v>
      </c>
      <c r="R303" s="2" t="s">
        <v>1569</v>
      </c>
      <c r="S303" s="2" t="s">
        <v>1570</v>
      </c>
      <c r="W303" s="2" t="s">
        <v>1571</v>
      </c>
    </row>
    <row r="304">
      <c r="A304" s="4">
        <v>45559.736805555556</v>
      </c>
      <c r="B304" s="5">
        <v>2759440.0</v>
      </c>
      <c r="C304" s="2" t="s">
        <v>1575</v>
      </c>
      <c r="D304" s="2" t="s">
        <v>1578</v>
      </c>
      <c r="E304" s="2">
        <v>10004.0</v>
      </c>
      <c r="F304" s="2" t="s">
        <v>1607</v>
      </c>
      <c r="I304" s="7">
        <v>1.0</v>
      </c>
      <c r="J304" s="6">
        <v>25238.0</v>
      </c>
      <c r="K304" s="2">
        <v>0.0</v>
      </c>
      <c r="L304" s="2">
        <v>25238.0</v>
      </c>
      <c r="M304" s="2">
        <v>0.0</v>
      </c>
      <c r="N304" s="2">
        <v>25238.0</v>
      </c>
      <c r="O304" s="2">
        <v>1262.0</v>
      </c>
      <c r="P304" s="2" t="s">
        <v>1574</v>
      </c>
      <c r="Q304" s="2" t="s">
        <v>1568</v>
      </c>
      <c r="R304" s="2" t="s">
        <v>1569</v>
      </c>
      <c r="S304" s="2" t="s">
        <v>1570</v>
      </c>
      <c r="W304" s="2" t="s">
        <v>1571</v>
      </c>
    </row>
    <row r="305">
      <c r="A305" s="4">
        <v>45559.71875</v>
      </c>
      <c r="B305" s="5">
        <v>2759075.0</v>
      </c>
      <c r="C305" s="2" t="s">
        <v>1575</v>
      </c>
      <c r="D305" s="2" t="s">
        <v>1565</v>
      </c>
      <c r="E305" s="2">
        <v>10002.0</v>
      </c>
      <c r="F305" s="2" t="s">
        <v>1576</v>
      </c>
      <c r="I305" s="7">
        <v>1.0</v>
      </c>
      <c r="J305" s="6">
        <v>18571.0</v>
      </c>
      <c r="K305" s="2">
        <v>0.0</v>
      </c>
      <c r="L305" s="2">
        <v>18571.0</v>
      </c>
      <c r="M305" s="2">
        <v>0.0</v>
      </c>
      <c r="N305" s="2">
        <v>18571.0</v>
      </c>
      <c r="O305" s="2">
        <v>929.0</v>
      </c>
      <c r="P305" s="2" t="s">
        <v>1574</v>
      </c>
      <c r="Q305" s="2" t="s">
        <v>1568</v>
      </c>
      <c r="R305" s="2" t="s">
        <v>1569</v>
      </c>
      <c r="S305" s="2" t="s">
        <v>1570</v>
      </c>
      <c r="W305" s="2" t="s">
        <v>1571</v>
      </c>
    </row>
    <row r="306">
      <c r="A306" s="4">
        <v>45559.71875</v>
      </c>
      <c r="B306" s="5">
        <v>2759075.0</v>
      </c>
      <c r="C306" s="2" t="s">
        <v>1575</v>
      </c>
      <c r="D306" s="2" t="s">
        <v>1565</v>
      </c>
      <c r="E306" s="2">
        <v>10005.0</v>
      </c>
      <c r="F306" s="2" t="s">
        <v>1595</v>
      </c>
      <c r="I306" s="7">
        <v>1.0</v>
      </c>
      <c r="J306" s="6">
        <v>19524.0</v>
      </c>
      <c r="K306" s="2">
        <v>0.0</v>
      </c>
      <c r="L306" s="2">
        <v>19524.0</v>
      </c>
      <c r="M306" s="2">
        <v>0.0</v>
      </c>
      <c r="N306" s="2">
        <v>19524.0</v>
      </c>
      <c r="O306" s="2">
        <v>976.0</v>
      </c>
      <c r="P306" s="2" t="s">
        <v>1574</v>
      </c>
      <c r="Q306" s="2" t="s">
        <v>1568</v>
      </c>
      <c r="R306" s="2" t="s">
        <v>1569</v>
      </c>
      <c r="S306" s="2" t="s">
        <v>1570</v>
      </c>
      <c r="W306" s="2" t="s">
        <v>1571</v>
      </c>
    </row>
    <row r="307">
      <c r="A307" s="4">
        <v>45559.70625</v>
      </c>
      <c r="B307" s="5">
        <v>2758710.0</v>
      </c>
      <c r="C307" s="2" t="s">
        <v>1575</v>
      </c>
      <c r="D307" s="2" t="s">
        <v>1580</v>
      </c>
      <c r="E307" s="2">
        <v>10104.0</v>
      </c>
      <c r="F307" s="2" t="s">
        <v>1581</v>
      </c>
      <c r="I307" s="7">
        <v>1.0</v>
      </c>
      <c r="J307" s="6">
        <v>34762.0</v>
      </c>
      <c r="K307" s="2">
        <v>0.0</v>
      </c>
      <c r="L307" s="2">
        <v>34762.0</v>
      </c>
      <c r="M307" s="2">
        <v>0.0</v>
      </c>
      <c r="N307" s="2">
        <v>34762.0</v>
      </c>
      <c r="O307" s="2">
        <v>1738.0</v>
      </c>
      <c r="P307" s="2" t="s">
        <v>1574</v>
      </c>
      <c r="Q307" s="2" t="s">
        <v>1568</v>
      </c>
      <c r="R307" s="2" t="s">
        <v>1569</v>
      </c>
      <c r="S307" s="2" t="s">
        <v>1570</v>
      </c>
      <c r="W307" s="2" t="s">
        <v>1571</v>
      </c>
    </row>
    <row r="308">
      <c r="A308" s="4">
        <v>45559.70625</v>
      </c>
      <c r="B308" s="5">
        <v>2758710.0</v>
      </c>
      <c r="C308" s="2" t="s">
        <v>1575</v>
      </c>
      <c r="D308" s="2" t="s">
        <v>1565</v>
      </c>
      <c r="E308" s="2">
        <v>10002.0</v>
      </c>
      <c r="F308" s="2" t="s">
        <v>1576</v>
      </c>
      <c r="I308" s="7">
        <v>1.0</v>
      </c>
      <c r="J308" s="6">
        <v>18571.0</v>
      </c>
      <c r="K308" s="2">
        <v>0.0</v>
      </c>
      <c r="L308" s="2">
        <v>18571.0</v>
      </c>
      <c r="M308" s="2">
        <v>0.0</v>
      </c>
      <c r="N308" s="2">
        <v>18571.0</v>
      </c>
      <c r="O308" s="2">
        <v>929.0</v>
      </c>
      <c r="P308" s="2" t="s">
        <v>1574</v>
      </c>
      <c r="Q308" s="2" t="s">
        <v>1568</v>
      </c>
      <c r="R308" s="2" t="s">
        <v>1569</v>
      </c>
      <c r="S308" s="2" t="s">
        <v>1570</v>
      </c>
      <c r="W308" s="2" t="s">
        <v>1571</v>
      </c>
    </row>
    <row r="309">
      <c r="A309" s="4">
        <v>45559.70625</v>
      </c>
      <c r="B309" s="5">
        <v>2758710.0</v>
      </c>
      <c r="C309" s="2" t="s">
        <v>1575</v>
      </c>
      <c r="D309" s="2" t="s">
        <v>1572</v>
      </c>
      <c r="E309" s="2">
        <v>10057.0</v>
      </c>
      <c r="F309" s="2" t="s">
        <v>1608</v>
      </c>
      <c r="I309" s="7">
        <v>1.0</v>
      </c>
      <c r="J309" s="6">
        <v>19524.0</v>
      </c>
      <c r="K309" s="2">
        <v>0.0</v>
      </c>
      <c r="L309" s="2">
        <v>19524.0</v>
      </c>
      <c r="M309" s="2">
        <v>0.0</v>
      </c>
      <c r="N309" s="2">
        <v>19524.0</v>
      </c>
      <c r="O309" s="2">
        <v>976.0</v>
      </c>
      <c r="P309" s="2" t="s">
        <v>1574</v>
      </c>
      <c r="Q309" s="2" t="s">
        <v>1568</v>
      </c>
      <c r="R309" s="2" t="s">
        <v>1569</v>
      </c>
      <c r="S309" s="2" t="s">
        <v>1570</v>
      </c>
      <c r="W309" s="2" t="s">
        <v>1571</v>
      </c>
    </row>
    <row r="310">
      <c r="A310" s="4">
        <v>45559.70625</v>
      </c>
      <c r="B310" s="5">
        <v>2758710.0</v>
      </c>
      <c r="C310" s="2" t="s">
        <v>1575</v>
      </c>
      <c r="D310" s="2" t="s">
        <v>1572</v>
      </c>
      <c r="E310" s="2">
        <v>10116.0</v>
      </c>
      <c r="F310" s="2" t="s">
        <v>1619</v>
      </c>
      <c r="I310" s="7">
        <v>1.0</v>
      </c>
      <c r="J310" s="6">
        <v>14286.0</v>
      </c>
      <c r="K310" s="2">
        <v>0.0</v>
      </c>
      <c r="L310" s="2">
        <v>14286.0</v>
      </c>
      <c r="M310" s="2">
        <v>0.0</v>
      </c>
      <c r="N310" s="2">
        <v>14286.0</v>
      </c>
      <c r="O310" s="2">
        <v>714.0</v>
      </c>
      <c r="P310" s="2" t="s">
        <v>1574</v>
      </c>
      <c r="Q310" s="2" t="s">
        <v>1568</v>
      </c>
      <c r="R310" s="2" t="s">
        <v>1569</v>
      </c>
      <c r="S310" s="2" t="s">
        <v>1570</v>
      </c>
      <c r="W310" s="2" t="s">
        <v>1571</v>
      </c>
    </row>
    <row r="311">
      <c r="A311" s="4">
        <v>45559.70347222222</v>
      </c>
      <c r="B311" s="5">
        <v>2758344.0</v>
      </c>
      <c r="C311" s="2" t="s">
        <v>1575</v>
      </c>
      <c r="D311" s="2" t="s">
        <v>1565</v>
      </c>
      <c r="E311" s="2">
        <v>10007.0</v>
      </c>
      <c r="F311" s="2" t="s">
        <v>1596</v>
      </c>
      <c r="I311" s="7">
        <v>1.0</v>
      </c>
      <c r="J311" s="6">
        <v>33810.0</v>
      </c>
      <c r="K311" s="2">
        <v>0.0</v>
      </c>
      <c r="L311" s="2">
        <v>33810.0</v>
      </c>
      <c r="M311" s="2">
        <v>0.0</v>
      </c>
      <c r="N311" s="2">
        <v>33810.0</v>
      </c>
      <c r="O311" s="2">
        <v>1691.0</v>
      </c>
      <c r="P311" s="2" t="s">
        <v>1567</v>
      </c>
      <c r="Q311" s="2" t="s">
        <v>1568</v>
      </c>
      <c r="R311" s="2" t="s">
        <v>1569</v>
      </c>
      <c r="S311" s="2" t="s">
        <v>1570</v>
      </c>
      <c r="W311" s="2" t="s">
        <v>1571</v>
      </c>
    </row>
    <row r="312">
      <c r="A312" s="4">
        <v>45559.70347222222</v>
      </c>
      <c r="B312" s="5">
        <v>2758344.0</v>
      </c>
      <c r="C312" s="2" t="s">
        <v>1575</v>
      </c>
      <c r="D312" s="2" t="s">
        <v>1565</v>
      </c>
      <c r="E312" s="2">
        <v>10002.0</v>
      </c>
      <c r="F312" s="2" t="s">
        <v>1576</v>
      </c>
      <c r="I312" s="7">
        <v>1.0</v>
      </c>
      <c r="J312" s="6">
        <v>18571.0</v>
      </c>
      <c r="K312" s="2">
        <v>0.0</v>
      </c>
      <c r="L312" s="2">
        <v>18571.0</v>
      </c>
      <c r="M312" s="2">
        <v>0.0</v>
      </c>
      <c r="N312" s="2">
        <v>18571.0</v>
      </c>
      <c r="O312" s="2">
        <v>928.0</v>
      </c>
      <c r="P312" s="2" t="s">
        <v>1567</v>
      </c>
      <c r="Q312" s="2" t="s">
        <v>1568</v>
      </c>
      <c r="R312" s="2" t="s">
        <v>1569</v>
      </c>
      <c r="S312" s="2" t="s">
        <v>1570</v>
      </c>
      <c r="W312" s="2" t="s">
        <v>1571</v>
      </c>
    </row>
    <row r="313">
      <c r="A313" s="4">
        <v>45559.70347222222</v>
      </c>
      <c r="B313" s="5">
        <v>2758344.0</v>
      </c>
      <c r="C313" s="2" t="s">
        <v>1575</v>
      </c>
      <c r="D313" s="2" t="s">
        <v>1565</v>
      </c>
      <c r="E313" s="2">
        <v>10055.0</v>
      </c>
      <c r="F313" s="2" t="s">
        <v>1597</v>
      </c>
      <c r="I313" s="7">
        <v>1.0</v>
      </c>
      <c r="J313" s="6">
        <v>34762.0</v>
      </c>
      <c r="K313" s="2">
        <v>0.0</v>
      </c>
      <c r="L313" s="2">
        <v>34762.0</v>
      </c>
      <c r="M313" s="2">
        <v>0.0</v>
      </c>
      <c r="N313" s="2">
        <v>34762.0</v>
      </c>
      <c r="O313" s="2">
        <v>1738.0</v>
      </c>
      <c r="P313" s="2" t="s">
        <v>1567</v>
      </c>
      <c r="Q313" s="2" t="s">
        <v>1568</v>
      </c>
      <c r="R313" s="2" t="s">
        <v>1569</v>
      </c>
      <c r="S313" s="2" t="s">
        <v>1570</v>
      </c>
      <c r="W313" s="2" t="s">
        <v>1571</v>
      </c>
    </row>
    <row r="314">
      <c r="A314" s="4">
        <v>45559.70347222222</v>
      </c>
      <c r="B314" s="5">
        <v>2758344.0</v>
      </c>
      <c r="C314" s="2" t="s">
        <v>1575</v>
      </c>
      <c r="D314" s="2" t="s">
        <v>1565</v>
      </c>
      <c r="E314" s="2">
        <v>10005.0</v>
      </c>
      <c r="F314" s="2" t="s">
        <v>1595</v>
      </c>
      <c r="I314" s="7">
        <v>1.0</v>
      </c>
      <c r="J314" s="6">
        <v>19524.0</v>
      </c>
      <c r="K314" s="2">
        <v>0.0</v>
      </c>
      <c r="L314" s="2">
        <v>19524.0</v>
      </c>
      <c r="M314" s="2">
        <v>0.0</v>
      </c>
      <c r="N314" s="2">
        <v>19524.0</v>
      </c>
      <c r="O314" s="2">
        <v>976.0</v>
      </c>
      <c r="P314" s="2" t="s">
        <v>1567</v>
      </c>
      <c r="Q314" s="2" t="s">
        <v>1568</v>
      </c>
      <c r="R314" s="2" t="s">
        <v>1569</v>
      </c>
      <c r="S314" s="2" t="s">
        <v>1570</v>
      </c>
      <c r="W314" s="2" t="s">
        <v>1571</v>
      </c>
    </row>
    <row r="315">
      <c r="A315" s="4">
        <v>45559.62013888889</v>
      </c>
      <c r="B315" s="5">
        <v>2757979.0</v>
      </c>
      <c r="C315" s="2" t="s">
        <v>1575</v>
      </c>
      <c r="D315" s="2" t="s">
        <v>1572</v>
      </c>
      <c r="E315" s="2">
        <v>10128.0</v>
      </c>
      <c r="F315" s="2" t="s">
        <v>1588</v>
      </c>
      <c r="I315" s="7">
        <v>1.0</v>
      </c>
      <c r="J315" s="6">
        <v>23333.0</v>
      </c>
      <c r="K315" s="2">
        <v>0.0</v>
      </c>
      <c r="L315" s="2">
        <v>23333.0</v>
      </c>
      <c r="M315" s="2">
        <v>0.0</v>
      </c>
      <c r="N315" s="2">
        <v>23333.0</v>
      </c>
      <c r="O315" s="2">
        <v>1167.0</v>
      </c>
      <c r="P315" s="2" t="s">
        <v>1574</v>
      </c>
      <c r="Q315" s="2" t="s">
        <v>1568</v>
      </c>
      <c r="R315" s="2" t="s">
        <v>1569</v>
      </c>
      <c r="S315" s="2" t="s">
        <v>1570</v>
      </c>
      <c r="W315" s="2" t="s">
        <v>1571</v>
      </c>
    </row>
    <row r="316">
      <c r="A316" s="4">
        <v>45559.62013888889</v>
      </c>
      <c r="B316" s="5">
        <v>2757979.0</v>
      </c>
      <c r="C316" s="2" t="s">
        <v>1575</v>
      </c>
      <c r="D316" s="2" t="s">
        <v>1565</v>
      </c>
      <c r="E316" s="2">
        <v>10005.0</v>
      </c>
      <c r="F316" s="2" t="s">
        <v>1595</v>
      </c>
      <c r="I316" s="7">
        <v>1.0</v>
      </c>
      <c r="J316" s="6">
        <v>19524.0</v>
      </c>
      <c r="K316" s="2">
        <v>0.0</v>
      </c>
      <c r="L316" s="2">
        <v>19524.0</v>
      </c>
      <c r="M316" s="2">
        <v>0.0</v>
      </c>
      <c r="N316" s="2">
        <v>19524.0</v>
      </c>
      <c r="O316" s="2">
        <v>976.0</v>
      </c>
      <c r="P316" s="2" t="s">
        <v>1574</v>
      </c>
      <c r="Q316" s="2" t="s">
        <v>1568</v>
      </c>
      <c r="R316" s="2" t="s">
        <v>1569</v>
      </c>
      <c r="S316" s="2" t="s">
        <v>1570</v>
      </c>
      <c r="W316" s="2" t="s">
        <v>1571</v>
      </c>
    </row>
    <row r="317">
      <c r="A317" s="4">
        <v>45559.60625</v>
      </c>
      <c r="B317" s="5">
        <v>2757614.0</v>
      </c>
      <c r="C317" s="2" t="s">
        <v>1575</v>
      </c>
      <c r="D317" s="2" t="s">
        <v>1565</v>
      </c>
      <c r="E317" s="2">
        <v>10002.0</v>
      </c>
      <c r="F317" s="2" t="s">
        <v>1576</v>
      </c>
      <c r="I317" s="7">
        <v>1.0</v>
      </c>
      <c r="J317" s="6">
        <v>18571.0</v>
      </c>
      <c r="K317" s="2">
        <v>0.0</v>
      </c>
      <c r="L317" s="2">
        <v>18571.0</v>
      </c>
      <c r="M317" s="2">
        <v>0.0</v>
      </c>
      <c r="N317" s="2">
        <v>18571.0</v>
      </c>
      <c r="O317" s="2">
        <v>929.0</v>
      </c>
      <c r="P317" s="2" t="s">
        <v>1574</v>
      </c>
      <c r="Q317" s="2" t="s">
        <v>1568</v>
      </c>
      <c r="R317" s="2" t="s">
        <v>1569</v>
      </c>
      <c r="S317" s="2" t="s">
        <v>1570</v>
      </c>
      <c r="W317" s="2" t="s">
        <v>1571</v>
      </c>
    </row>
    <row r="318">
      <c r="A318" s="4">
        <v>45559.59305555555</v>
      </c>
      <c r="B318" s="5">
        <v>2757249.0</v>
      </c>
      <c r="C318" s="2" t="s">
        <v>1575</v>
      </c>
      <c r="D318" s="2" t="s">
        <v>1565</v>
      </c>
      <c r="E318" s="2">
        <v>10007.0</v>
      </c>
      <c r="F318" s="2" t="s">
        <v>1596</v>
      </c>
      <c r="I318" s="7">
        <v>1.0</v>
      </c>
      <c r="J318" s="6">
        <v>33810.0</v>
      </c>
      <c r="K318" s="2">
        <v>0.0</v>
      </c>
      <c r="L318" s="2">
        <v>33810.0</v>
      </c>
      <c r="M318" s="2">
        <v>0.0</v>
      </c>
      <c r="N318" s="2">
        <v>33810.0</v>
      </c>
      <c r="O318" s="2">
        <v>1691.0</v>
      </c>
      <c r="P318" s="2" t="s">
        <v>1567</v>
      </c>
      <c r="Q318" s="2" t="s">
        <v>1568</v>
      </c>
      <c r="R318" s="2" t="s">
        <v>1569</v>
      </c>
      <c r="S318" s="2" t="s">
        <v>1570</v>
      </c>
      <c r="W318" s="2" t="s">
        <v>1571</v>
      </c>
    </row>
    <row r="319">
      <c r="A319" s="4">
        <v>45559.59305555555</v>
      </c>
      <c r="B319" s="5">
        <v>2757249.0</v>
      </c>
      <c r="C319" s="2" t="s">
        <v>1575</v>
      </c>
      <c r="D319" s="2" t="s">
        <v>1565</v>
      </c>
      <c r="E319" s="2">
        <v>10005.0</v>
      </c>
      <c r="F319" s="2" t="s">
        <v>1595</v>
      </c>
      <c r="I319" s="7">
        <v>1.0</v>
      </c>
      <c r="J319" s="6">
        <v>19524.0</v>
      </c>
      <c r="K319" s="2">
        <v>0.0</v>
      </c>
      <c r="L319" s="2">
        <v>19524.0</v>
      </c>
      <c r="M319" s="2">
        <v>0.0</v>
      </c>
      <c r="N319" s="2">
        <v>19524.0</v>
      </c>
      <c r="O319" s="2">
        <v>976.0</v>
      </c>
      <c r="P319" s="2" t="s">
        <v>1567</v>
      </c>
      <c r="Q319" s="2" t="s">
        <v>1568</v>
      </c>
      <c r="R319" s="2" t="s">
        <v>1569</v>
      </c>
      <c r="S319" s="2" t="s">
        <v>1570</v>
      </c>
      <c r="W319" s="2" t="s">
        <v>1571</v>
      </c>
    </row>
    <row r="320">
      <c r="A320" s="4">
        <v>45559.45138888889</v>
      </c>
      <c r="B320" s="5">
        <v>2756883.0</v>
      </c>
      <c r="C320" s="2" t="s">
        <v>1575</v>
      </c>
      <c r="D320" s="2" t="s">
        <v>1572</v>
      </c>
      <c r="E320" s="2">
        <v>10128.0</v>
      </c>
      <c r="F320" s="2" t="s">
        <v>1588</v>
      </c>
      <c r="I320" s="7">
        <v>1.0</v>
      </c>
      <c r="J320" s="6">
        <v>23333.0</v>
      </c>
      <c r="K320" s="2">
        <v>0.0</v>
      </c>
      <c r="L320" s="2">
        <v>23333.0</v>
      </c>
      <c r="M320" s="2">
        <v>0.0</v>
      </c>
      <c r="N320" s="2">
        <v>23333.0</v>
      </c>
      <c r="O320" s="2">
        <v>1167.0</v>
      </c>
      <c r="P320" s="2" t="s">
        <v>1574</v>
      </c>
      <c r="Q320" s="2" t="s">
        <v>1568</v>
      </c>
      <c r="R320" s="2" t="s">
        <v>1569</v>
      </c>
      <c r="S320" s="2" t="s">
        <v>1570</v>
      </c>
      <c r="W320" s="2" t="s">
        <v>1571</v>
      </c>
    </row>
    <row r="321">
      <c r="A321" s="4">
        <v>45559.45138888889</v>
      </c>
      <c r="B321" s="5">
        <v>2756883.0</v>
      </c>
      <c r="C321" s="2" t="s">
        <v>1575</v>
      </c>
      <c r="D321" s="2" t="s">
        <v>1572</v>
      </c>
      <c r="E321" s="2">
        <v>10069.0</v>
      </c>
      <c r="F321" s="2" t="s">
        <v>1620</v>
      </c>
      <c r="I321" s="7">
        <v>1.0</v>
      </c>
      <c r="J321" s="6">
        <v>24762.0</v>
      </c>
      <c r="K321" s="2">
        <v>0.0</v>
      </c>
      <c r="L321" s="2">
        <v>24762.0</v>
      </c>
      <c r="M321" s="2">
        <v>0.0</v>
      </c>
      <c r="N321" s="2">
        <v>24762.0</v>
      </c>
      <c r="O321" s="2">
        <v>1238.0</v>
      </c>
      <c r="P321" s="2" t="s">
        <v>1574</v>
      </c>
      <c r="Q321" s="2" t="s">
        <v>1568</v>
      </c>
      <c r="R321" s="2" t="s">
        <v>1569</v>
      </c>
      <c r="S321" s="2" t="s">
        <v>1570</v>
      </c>
      <c r="W321" s="2" t="s">
        <v>1571</v>
      </c>
    </row>
    <row r="322">
      <c r="A322" s="4">
        <v>45559.45138888889</v>
      </c>
      <c r="B322" s="5">
        <v>2756883.0</v>
      </c>
      <c r="C322" s="2" t="s">
        <v>1575</v>
      </c>
      <c r="D322" s="2" t="s">
        <v>1565</v>
      </c>
      <c r="E322" s="2">
        <v>10055.0</v>
      </c>
      <c r="F322" s="2" t="s">
        <v>1597</v>
      </c>
      <c r="I322" s="7">
        <v>1.0</v>
      </c>
      <c r="J322" s="6">
        <v>34762.0</v>
      </c>
      <c r="K322" s="2">
        <v>0.0</v>
      </c>
      <c r="L322" s="2">
        <v>34762.0</v>
      </c>
      <c r="M322" s="2">
        <v>0.0</v>
      </c>
      <c r="N322" s="2">
        <v>34762.0</v>
      </c>
      <c r="O322" s="2">
        <v>1738.0</v>
      </c>
      <c r="P322" s="2" t="s">
        <v>1574</v>
      </c>
      <c r="Q322" s="2" t="s">
        <v>1568</v>
      </c>
      <c r="R322" s="2" t="s">
        <v>1569</v>
      </c>
      <c r="S322" s="2" t="s">
        <v>1570</v>
      </c>
      <c r="W322" s="2" t="s">
        <v>1571</v>
      </c>
    </row>
    <row r="323">
      <c r="A323" s="4">
        <v>45559.450694444444</v>
      </c>
      <c r="B323" s="5">
        <v>2756518.0</v>
      </c>
      <c r="C323" s="2" t="s">
        <v>1575</v>
      </c>
      <c r="D323" s="2" t="s">
        <v>1565</v>
      </c>
      <c r="E323" s="2">
        <v>10005.0</v>
      </c>
      <c r="F323" s="2" t="s">
        <v>1595</v>
      </c>
      <c r="I323" s="7">
        <v>1.0</v>
      </c>
      <c r="J323" s="6">
        <v>19524.0</v>
      </c>
      <c r="K323" s="2">
        <v>0.0</v>
      </c>
      <c r="L323" s="2">
        <v>19524.0</v>
      </c>
      <c r="M323" s="2">
        <v>0.0</v>
      </c>
      <c r="N323" s="2">
        <v>19524.0</v>
      </c>
      <c r="O323" s="2">
        <v>976.0</v>
      </c>
      <c r="P323" s="2" t="s">
        <v>1574</v>
      </c>
      <c r="Q323" s="2" t="s">
        <v>1568</v>
      </c>
      <c r="R323" s="2" t="s">
        <v>1569</v>
      </c>
      <c r="S323" s="2" t="s">
        <v>1570</v>
      </c>
      <c r="W323" s="2" t="s">
        <v>1571</v>
      </c>
    </row>
    <row r="324">
      <c r="A324" s="4">
        <v>45557.87777777778</v>
      </c>
      <c r="B324" s="5">
        <v>2756153.0</v>
      </c>
      <c r="C324" s="2" t="s">
        <v>1575</v>
      </c>
      <c r="D324" s="2" t="s">
        <v>1565</v>
      </c>
      <c r="E324" s="2">
        <v>10005.0</v>
      </c>
      <c r="F324" s="2" t="s">
        <v>1595</v>
      </c>
      <c r="I324" s="7">
        <v>1.0</v>
      </c>
      <c r="J324" s="6">
        <v>19524.0</v>
      </c>
      <c r="K324" s="2">
        <v>0.0</v>
      </c>
      <c r="L324" s="2">
        <v>19524.0</v>
      </c>
      <c r="M324" s="2">
        <v>0.0</v>
      </c>
      <c r="N324" s="2">
        <v>19524.0</v>
      </c>
      <c r="O324" s="2">
        <v>976.0</v>
      </c>
      <c r="P324" s="2" t="s">
        <v>1574</v>
      </c>
      <c r="Q324" s="2" t="s">
        <v>1568</v>
      </c>
      <c r="R324" s="2" t="s">
        <v>1569</v>
      </c>
      <c r="S324" s="2" t="s">
        <v>1570</v>
      </c>
      <c r="W324" s="2" t="s">
        <v>1571</v>
      </c>
    </row>
    <row r="325">
      <c r="A325" s="4">
        <v>45557.876388888886</v>
      </c>
      <c r="B325" s="5">
        <v>2755788.0</v>
      </c>
      <c r="C325" s="2" t="s">
        <v>1575</v>
      </c>
      <c r="D325" s="2" t="s">
        <v>1572</v>
      </c>
      <c r="E325" s="2">
        <v>10128.0</v>
      </c>
      <c r="F325" s="2" t="s">
        <v>1588</v>
      </c>
      <c r="I325" s="7">
        <v>1.0</v>
      </c>
      <c r="J325" s="6">
        <v>23333.0</v>
      </c>
      <c r="K325" s="2">
        <v>0.0</v>
      </c>
      <c r="L325" s="2">
        <v>23333.0</v>
      </c>
      <c r="M325" s="2">
        <v>0.0</v>
      </c>
      <c r="N325" s="2">
        <v>23333.0</v>
      </c>
      <c r="O325" s="2">
        <v>1167.0</v>
      </c>
      <c r="P325" s="2" t="s">
        <v>1574</v>
      </c>
      <c r="Q325" s="2" t="s">
        <v>1568</v>
      </c>
      <c r="R325" s="2" t="s">
        <v>1569</v>
      </c>
      <c r="S325" s="2" t="s">
        <v>1570</v>
      </c>
      <c r="W325" s="2" t="s">
        <v>1571</v>
      </c>
    </row>
    <row r="326">
      <c r="A326" s="4">
        <v>45557.876388888886</v>
      </c>
      <c r="B326" s="5">
        <v>2755788.0</v>
      </c>
      <c r="C326" s="2" t="s">
        <v>1575</v>
      </c>
      <c r="D326" s="2" t="s">
        <v>1572</v>
      </c>
      <c r="E326" s="2">
        <v>10112.0</v>
      </c>
      <c r="F326" s="2" t="s">
        <v>1573</v>
      </c>
      <c r="I326" s="7">
        <v>1.0</v>
      </c>
      <c r="J326" s="6">
        <v>6667.0</v>
      </c>
      <c r="K326" s="2">
        <v>0.0</v>
      </c>
      <c r="L326" s="2">
        <v>6667.0</v>
      </c>
      <c r="M326" s="2">
        <v>0.0</v>
      </c>
      <c r="N326" s="2">
        <v>6667.0</v>
      </c>
      <c r="O326" s="2">
        <v>333.0</v>
      </c>
      <c r="P326" s="2" t="s">
        <v>1574</v>
      </c>
      <c r="Q326" s="2" t="s">
        <v>1568</v>
      </c>
      <c r="R326" s="2" t="s">
        <v>1569</v>
      </c>
      <c r="S326" s="2" t="s">
        <v>1570</v>
      </c>
      <c r="W326" s="2" t="s">
        <v>1571</v>
      </c>
    </row>
    <row r="327">
      <c r="A327" s="4">
        <v>45557.876388888886</v>
      </c>
      <c r="B327" s="5">
        <v>2755788.0</v>
      </c>
      <c r="C327" s="2" t="s">
        <v>1575</v>
      </c>
      <c r="D327" s="2" t="s">
        <v>1572</v>
      </c>
      <c r="E327" s="2">
        <v>10128.0</v>
      </c>
      <c r="F327" s="2" t="s">
        <v>1588</v>
      </c>
      <c r="I327" s="7">
        <v>1.0</v>
      </c>
      <c r="J327" s="6">
        <v>23333.0</v>
      </c>
      <c r="K327" s="2">
        <v>0.0</v>
      </c>
      <c r="L327" s="2">
        <v>23333.0</v>
      </c>
      <c r="M327" s="2">
        <v>0.0</v>
      </c>
      <c r="N327" s="2">
        <v>23333.0</v>
      </c>
      <c r="O327" s="2">
        <v>1167.0</v>
      </c>
      <c r="P327" s="2" t="s">
        <v>1574</v>
      </c>
      <c r="Q327" s="2" t="s">
        <v>1568</v>
      </c>
      <c r="R327" s="2" t="s">
        <v>1569</v>
      </c>
      <c r="S327" s="2" t="s">
        <v>1570</v>
      </c>
      <c r="W327" s="2" t="s">
        <v>1571</v>
      </c>
    </row>
    <row r="328">
      <c r="A328" s="4">
        <v>45557.876388888886</v>
      </c>
      <c r="B328" s="5">
        <v>2755788.0</v>
      </c>
      <c r="C328" s="2" t="s">
        <v>1575</v>
      </c>
      <c r="D328" s="2" t="s">
        <v>1565</v>
      </c>
      <c r="E328" s="2">
        <v>10005.0</v>
      </c>
      <c r="F328" s="2" t="s">
        <v>1595</v>
      </c>
      <c r="I328" s="7">
        <v>1.0</v>
      </c>
      <c r="J328" s="6">
        <v>19524.0</v>
      </c>
      <c r="K328" s="2">
        <v>0.0</v>
      </c>
      <c r="L328" s="2">
        <v>19524.0</v>
      </c>
      <c r="M328" s="2">
        <v>0.0</v>
      </c>
      <c r="N328" s="2">
        <v>19524.0</v>
      </c>
      <c r="O328" s="2">
        <v>976.0</v>
      </c>
      <c r="P328" s="2" t="s">
        <v>1574</v>
      </c>
      <c r="Q328" s="2" t="s">
        <v>1568</v>
      </c>
      <c r="R328" s="2" t="s">
        <v>1569</v>
      </c>
      <c r="S328" s="2" t="s">
        <v>1570</v>
      </c>
      <c r="W328" s="2" t="s">
        <v>1571</v>
      </c>
    </row>
    <row r="329">
      <c r="A329" s="4">
        <v>45557.84930555556</v>
      </c>
      <c r="B329" s="5">
        <v>2755422.0</v>
      </c>
      <c r="C329" s="2" t="s">
        <v>1575</v>
      </c>
      <c r="D329" s="2" t="s">
        <v>1565</v>
      </c>
      <c r="E329" s="2">
        <v>10002.0</v>
      </c>
      <c r="F329" s="2" t="s">
        <v>1576</v>
      </c>
      <c r="I329" s="7">
        <v>1.0</v>
      </c>
      <c r="J329" s="6">
        <v>18571.0</v>
      </c>
      <c r="K329" s="2">
        <v>0.0</v>
      </c>
      <c r="L329" s="2">
        <v>18571.0</v>
      </c>
      <c r="M329" s="2">
        <v>0.0</v>
      </c>
      <c r="N329" s="2">
        <v>18571.0</v>
      </c>
      <c r="O329" s="2">
        <v>929.0</v>
      </c>
      <c r="P329" s="2" t="s">
        <v>1574</v>
      </c>
      <c r="Q329" s="2" t="s">
        <v>1568</v>
      </c>
      <c r="R329" s="2" t="s">
        <v>1569</v>
      </c>
      <c r="S329" s="2" t="s">
        <v>1570</v>
      </c>
      <c r="W329" s="2" t="s">
        <v>1571</v>
      </c>
    </row>
    <row r="330">
      <c r="A330" s="4">
        <v>45557.84930555556</v>
      </c>
      <c r="B330" s="5">
        <v>2755422.0</v>
      </c>
      <c r="C330" s="2" t="s">
        <v>1575</v>
      </c>
      <c r="D330" s="2" t="s">
        <v>1565</v>
      </c>
      <c r="E330" s="2">
        <v>10005.0</v>
      </c>
      <c r="F330" s="2" t="s">
        <v>1595</v>
      </c>
      <c r="I330" s="7">
        <v>1.0</v>
      </c>
      <c r="J330" s="6">
        <v>19524.0</v>
      </c>
      <c r="K330" s="2">
        <v>0.0</v>
      </c>
      <c r="L330" s="2">
        <v>19524.0</v>
      </c>
      <c r="M330" s="2">
        <v>0.0</v>
      </c>
      <c r="N330" s="2">
        <v>19524.0</v>
      </c>
      <c r="O330" s="2">
        <v>976.0</v>
      </c>
      <c r="P330" s="2" t="s">
        <v>1574</v>
      </c>
      <c r="Q330" s="2" t="s">
        <v>1568</v>
      </c>
      <c r="R330" s="2" t="s">
        <v>1569</v>
      </c>
      <c r="S330" s="2" t="s">
        <v>1570</v>
      </c>
      <c r="W330" s="2" t="s">
        <v>1571</v>
      </c>
    </row>
    <row r="331">
      <c r="A331" s="4">
        <v>45557.811111111114</v>
      </c>
      <c r="B331" s="5">
        <v>2755057.0</v>
      </c>
      <c r="C331" s="2" t="s">
        <v>1575</v>
      </c>
      <c r="D331" s="2" t="s">
        <v>1572</v>
      </c>
      <c r="E331" s="2">
        <v>10026.0</v>
      </c>
      <c r="F331" s="2" t="s">
        <v>1583</v>
      </c>
      <c r="I331" s="7">
        <v>1.0</v>
      </c>
      <c r="J331" s="6">
        <v>21905.0</v>
      </c>
      <c r="K331" s="2">
        <v>0.0</v>
      </c>
      <c r="L331" s="2">
        <v>21905.0</v>
      </c>
      <c r="M331" s="2">
        <v>0.0</v>
      </c>
      <c r="N331" s="2">
        <v>21905.0</v>
      </c>
      <c r="O331" s="2">
        <v>1095.0</v>
      </c>
      <c r="P331" s="2" t="s">
        <v>1574</v>
      </c>
      <c r="Q331" s="2" t="s">
        <v>1568</v>
      </c>
      <c r="R331" s="2" t="s">
        <v>1569</v>
      </c>
      <c r="S331" s="2" t="s">
        <v>1570</v>
      </c>
      <c r="W331" s="2" t="s">
        <v>1571</v>
      </c>
    </row>
    <row r="332">
      <c r="A332" s="4">
        <v>45557.811111111114</v>
      </c>
      <c r="B332" s="5">
        <v>2755057.0</v>
      </c>
      <c r="C332" s="2" t="s">
        <v>1575</v>
      </c>
      <c r="D332" s="2" t="s">
        <v>1572</v>
      </c>
      <c r="E332" s="2">
        <v>10112.0</v>
      </c>
      <c r="F332" s="2" t="s">
        <v>1573</v>
      </c>
      <c r="I332" s="7">
        <v>1.0</v>
      </c>
      <c r="J332" s="6">
        <v>6667.0</v>
      </c>
      <c r="K332" s="2">
        <v>0.0</v>
      </c>
      <c r="L332" s="2">
        <v>6667.0</v>
      </c>
      <c r="M332" s="2">
        <v>0.0</v>
      </c>
      <c r="N332" s="2">
        <v>6667.0</v>
      </c>
      <c r="O332" s="2">
        <v>334.0</v>
      </c>
      <c r="P332" s="2" t="s">
        <v>1574</v>
      </c>
      <c r="Q332" s="2" t="s">
        <v>1568</v>
      </c>
      <c r="R332" s="2" t="s">
        <v>1569</v>
      </c>
      <c r="S332" s="2" t="s">
        <v>1570</v>
      </c>
      <c r="W332" s="2" t="s">
        <v>1571</v>
      </c>
    </row>
    <row r="333">
      <c r="A333" s="4">
        <v>45557.811111111114</v>
      </c>
      <c r="B333" s="5">
        <v>2755057.0</v>
      </c>
      <c r="C333" s="2" t="s">
        <v>1575</v>
      </c>
      <c r="D333" s="2" t="s">
        <v>1572</v>
      </c>
      <c r="E333" s="2">
        <v>10127.0</v>
      </c>
      <c r="F333" s="2" t="s">
        <v>1592</v>
      </c>
      <c r="I333" s="7">
        <v>1.0</v>
      </c>
      <c r="J333" s="6">
        <v>18571.0</v>
      </c>
      <c r="K333" s="2">
        <v>0.0</v>
      </c>
      <c r="L333" s="2">
        <v>18571.0</v>
      </c>
      <c r="M333" s="2">
        <v>0.0</v>
      </c>
      <c r="N333" s="2">
        <v>18571.0</v>
      </c>
      <c r="O333" s="2">
        <v>928.0</v>
      </c>
      <c r="P333" s="2" t="s">
        <v>1574</v>
      </c>
      <c r="Q333" s="2" t="s">
        <v>1568</v>
      </c>
      <c r="R333" s="2" t="s">
        <v>1569</v>
      </c>
      <c r="S333" s="2" t="s">
        <v>1570</v>
      </c>
      <c r="W333" s="2" t="s">
        <v>1571</v>
      </c>
    </row>
    <row r="334">
      <c r="A334" s="4">
        <v>45557.779861111114</v>
      </c>
      <c r="B334" s="5">
        <v>2754692.0</v>
      </c>
      <c r="C334" s="2" t="s">
        <v>1575</v>
      </c>
      <c r="D334" s="2" t="s">
        <v>1565</v>
      </c>
      <c r="E334" s="2">
        <v>10002.0</v>
      </c>
      <c r="F334" s="2" t="s">
        <v>1576</v>
      </c>
      <c r="I334" s="7">
        <v>1.0</v>
      </c>
      <c r="J334" s="6">
        <v>18571.0</v>
      </c>
      <c r="K334" s="2">
        <v>0.0</v>
      </c>
      <c r="L334" s="2">
        <v>18571.0</v>
      </c>
      <c r="M334" s="2">
        <v>0.0</v>
      </c>
      <c r="N334" s="2">
        <v>18571.0</v>
      </c>
      <c r="O334" s="2">
        <v>929.0</v>
      </c>
      <c r="P334" s="2" t="s">
        <v>1574</v>
      </c>
      <c r="Q334" s="2" t="s">
        <v>1568</v>
      </c>
      <c r="R334" s="2" t="s">
        <v>1569</v>
      </c>
      <c r="S334" s="2" t="s">
        <v>1570</v>
      </c>
      <c r="W334" s="2" t="s">
        <v>1571</v>
      </c>
    </row>
    <row r="335">
      <c r="A335" s="4">
        <v>45557.70416666667</v>
      </c>
      <c r="B335" s="5">
        <v>2754327.0</v>
      </c>
      <c r="C335" s="2" t="s">
        <v>1575</v>
      </c>
      <c r="D335" s="2" t="s">
        <v>1572</v>
      </c>
      <c r="E335" s="2">
        <v>10128.0</v>
      </c>
      <c r="F335" s="2" t="s">
        <v>1588</v>
      </c>
      <c r="I335" s="7">
        <v>2.0</v>
      </c>
      <c r="J335" s="6">
        <v>46666.0</v>
      </c>
      <c r="K335" s="2">
        <v>0.0</v>
      </c>
      <c r="L335" s="2">
        <v>46666.0</v>
      </c>
      <c r="M335" s="2">
        <v>0.0</v>
      </c>
      <c r="N335" s="2">
        <v>46666.0</v>
      </c>
      <c r="O335" s="2">
        <v>2333.0</v>
      </c>
      <c r="P335" s="2" t="s">
        <v>1574</v>
      </c>
      <c r="Q335" s="2" t="s">
        <v>1568</v>
      </c>
      <c r="R335" s="2" t="s">
        <v>1569</v>
      </c>
      <c r="S335" s="2" t="s">
        <v>1570</v>
      </c>
      <c r="W335" s="2" t="s">
        <v>1571</v>
      </c>
    </row>
    <row r="336">
      <c r="A336" s="4">
        <v>45557.63680555556</v>
      </c>
      <c r="B336" s="5">
        <v>2753961.0</v>
      </c>
      <c r="C336" s="2" t="s">
        <v>1575</v>
      </c>
      <c r="D336" s="2" t="s">
        <v>1565</v>
      </c>
      <c r="E336" s="2">
        <v>10007.0</v>
      </c>
      <c r="F336" s="2" t="s">
        <v>1596</v>
      </c>
      <c r="I336" s="7">
        <v>2.0</v>
      </c>
      <c r="J336" s="6">
        <v>67620.0</v>
      </c>
      <c r="K336" s="2">
        <v>0.0</v>
      </c>
      <c r="L336" s="2">
        <v>67620.0</v>
      </c>
      <c r="M336" s="2">
        <v>0.0</v>
      </c>
      <c r="N336" s="2">
        <v>67620.0</v>
      </c>
      <c r="O336" s="2">
        <v>3381.0</v>
      </c>
      <c r="P336" s="2" t="s">
        <v>1567</v>
      </c>
      <c r="Q336" s="2" t="s">
        <v>1568</v>
      </c>
      <c r="R336" s="2" t="s">
        <v>1569</v>
      </c>
      <c r="S336" s="2" t="s">
        <v>1570</v>
      </c>
      <c r="W336" s="2" t="s">
        <v>1571</v>
      </c>
    </row>
    <row r="337">
      <c r="A337" s="4">
        <v>45557.63680555556</v>
      </c>
      <c r="B337" s="5">
        <v>2753961.0</v>
      </c>
      <c r="C337" s="2" t="s">
        <v>1575</v>
      </c>
      <c r="D337" s="2" t="s">
        <v>1565</v>
      </c>
      <c r="E337" s="2">
        <v>10055.0</v>
      </c>
      <c r="F337" s="2" t="s">
        <v>1597</v>
      </c>
      <c r="I337" s="7">
        <v>2.0</v>
      </c>
      <c r="J337" s="6">
        <v>69524.0</v>
      </c>
      <c r="K337" s="2">
        <v>0.0</v>
      </c>
      <c r="L337" s="2">
        <v>69524.0</v>
      </c>
      <c r="M337" s="2">
        <v>0.0</v>
      </c>
      <c r="N337" s="2">
        <v>69524.0</v>
      </c>
      <c r="O337" s="2">
        <v>3476.0</v>
      </c>
      <c r="P337" s="2" t="s">
        <v>1567</v>
      </c>
      <c r="Q337" s="2" t="s">
        <v>1568</v>
      </c>
      <c r="R337" s="2" t="s">
        <v>1569</v>
      </c>
      <c r="S337" s="2" t="s">
        <v>1570</v>
      </c>
      <c r="W337" s="2" t="s">
        <v>1571</v>
      </c>
    </row>
    <row r="338">
      <c r="A338" s="4">
        <v>45557.61875</v>
      </c>
      <c r="B338" s="5">
        <v>2753596.0</v>
      </c>
      <c r="C338" s="2" t="s">
        <v>1575</v>
      </c>
      <c r="D338" s="2" t="s">
        <v>1565</v>
      </c>
      <c r="E338" s="2">
        <v>10007.0</v>
      </c>
      <c r="F338" s="2" t="s">
        <v>1596</v>
      </c>
      <c r="I338" s="7">
        <v>1.0</v>
      </c>
      <c r="J338" s="6">
        <v>33810.0</v>
      </c>
      <c r="K338" s="2">
        <v>0.0</v>
      </c>
      <c r="L338" s="2">
        <v>33810.0</v>
      </c>
      <c r="M338" s="2">
        <v>0.0</v>
      </c>
      <c r="N338" s="2">
        <v>33810.0</v>
      </c>
      <c r="O338" s="2">
        <v>1691.0</v>
      </c>
      <c r="P338" s="2" t="s">
        <v>1574</v>
      </c>
      <c r="Q338" s="2" t="s">
        <v>1568</v>
      </c>
      <c r="R338" s="2" t="s">
        <v>1569</v>
      </c>
      <c r="S338" s="2" t="s">
        <v>1570</v>
      </c>
      <c r="W338" s="2" t="s">
        <v>1571</v>
      </c>
    </row>
    <row r="339">
      <c r="A339" s="4">
        <v>45557.61875</v>
      </c>
      <c r="B339" s="5">
        <v>2753596.0</v>
      </c>
      <c r="C339" s="2" t="s">
        <v>1575</v>
      </c>
      <c r="D339" s="2" t="s">
        <v>1565</v>
      </c>
      <c r="E339" s="2">
        <v>10005.0</v>
      </c>
      <c r="F339" s="2" t="s">
        <v>1595</v>
      </c>
      <c r="I339" s="7">
        <v>1.0</v>
      </c>
      <c r="J339" s="6">
        <v>19524.0</v>
      </c>
      <c r="K339" s="2">
        <v>0.0</v>
      </c>
      <c r="L339" s="2">
        <v>19524.0</v>
      </c>
      <c r="M339" s="2">
        <v>0.0</v>
      </c>
      <c r="N339" s="2">
        <v>19524.0</v>
      </c>
      <c r="O339" s="2">
        <v>976.0</v>
      </c>
      <c r="P339" s="2" t="s">
        <v>1574</v>
      </c>
      <c r="Q339" s="2" t="s">
        <v>1568</v>
      </c>
      <c r="R339" s="2" t="s">
        <v>1569</v>
      </c>
      <c r="S339" s="2" t="s">
        <v>1570</v>
      </c>
      <c r="W339" s="2" t="s">
        <v>1571</v>
      </c>
    </row>
    <row r="340">
      <c r="A340" s="4">
        <v>45557.61666666667</v>
      </c>
      <c r="B340" s="5">
        <v>2753231.0</v>
      </c>
      <c r="C340" s="2" t="s">
        <v>1575</v>
      </c>
      <c r="D340" s="2" t="s">
        <v>1580</v>
      </c>
      <c r="E340" s="2">
        <v>10003.0</v>
      </c>
      <c r="F340" s="2" t="s">
        <v>1603</v>
      </c>
      <c r="I340" s="7">
        <v>1.0</v>
      </c>
      <c r="J340" s="6">
        <v>29524.0</v>
      </c>
      <c r="K340" s="2">
        <v>0.0</v>
      </c>
      <c r="L340" s="2">
        <v>29524.0</v>
      </c>
      <c r="M340" s="2">
        <v>0.0</v>
      </c>
      <c r="N340" s="2">
        <v>29524.0</v>
      </c>
      <c r="O340" s="2">
        <v>1476.0</v>
      </c>
      <c r="P340" s="2" t="s">
        <v>1574</v>
      </c>
      <c r="Q340" s="2" t="s">
        <v>1568</v>
      </c>
      <c r="R340" s="2" t="s">
        <v>1569</v>
      </c>
      <c r="S340" s="2" t="s">
        <v>1570</v>
      </c>
      <c r="W340" s="2" t="s">
        <v>1571</v>
      </c>
    </row>
    <row r="341">
      <c r="A341" s="4">
        <v>45557.61666666667</v>
      </c>
      <c r="B341" s="5">
        <v>2753231.0</v>
      </c>
      <c r="C341" s="2" t="s">
        <v>1575</v>
      </c>
      <c r="D341" s="2" t="s">
        <v>1572</v>
      </c>
      <c r="E341" s="2">
        <v>10121.0</v>
      </c>
      <c r="F341" s="2" t="s">
        <v>1617</v>
      </c>
      <c r="I341" s="7">
        <v>1.0</v>
      </c>
      <c r="J341" s="6">
        <v>19524.0</v>
      </c>
      <c r="K341" s="2">
        <v>0.0</v>
      </c>
      <c r="L341" s="2">
        <v>19524.0</v>
      </c>
      <c r="M341" s="2">
        <v>0.0</v>
      </c>
      <c r="N341" s="2">
        <v>19524.0</v>
      </c>
      <c r="O341" s="2">
        <v>976.0</v>
      </c>
      <c r="P341" s="2" t="s">
        <v>1574</v>
      </c>
      <c r="Q341" s="2" t="s">
        <v>1568</v>
      </c>
      <c r="R341" s="2" t="s">
        <v>1569</v>
      </c>
      <c r="S341" s="2" t="s">
        <v>1570</v>
      </c>
      <c r="W341" s="2" t="s">
        <v>1571</v>
      </c>
    </row>
    <row r="342">
      <c r="A342" s="4">
        <v>45557.61666666667</v>
      </c>
      <c r="B342" s="5">
        <v>2753231.0</v>
      </c>
      <c r="C342" s="2" t="s">
        <v>1575</v>
      </c>
      <c r="D342" s="2" t="s">
        <v>1572</v>
      </c>
      <c r="E342" s="2">
        <v>10128.0</v>
      </c>
      <c r="F342" s="2" t="s">
        <v>1588</v>
      </c>
      <c r="I342" s="7">
        <v>1.0</v>
      </c>
      <c r="J342" s="6">
        <v>23333.0</v>
      </c>
      <c r="K342" s="2">
        <v>0.0</v>
      </c>
      <c r="L342" s="2">
        <v>23333.0</v>
      </c>
      <c r="M342" s="2">
        <v>0.0</v>
      </c>
      <c r="N342" s="2">
        <v>23333.0</v>
      </c>
      <c r="O342" s="2">
        <v>1167.0</v>
      </c>
      <c r="P342" s="2" t="s">
        <v>1574</v>
      </c>
      <c r="Q342" s="2" t="s">
        <v>1568</v>
      </c>
      <c r="R342" s="2" t="s">
        <v>1569</v>
      </c>
      <c r="S342" s="2" t="s">
        <v>1570</v>
      </c>
      <c r="W342" s="2" t="s">
        <v>1571</v>
      </c>
    </row>
    <row r="343">
      <c r="A343" s="4">
        <v>45557.61666666667</v>
      </c>
      <c r="B343" s="5">
        <v>2753231.0</v>
      </c>
      <c r="C343" s="2" t="s">
        <v>1575</v>
      </c>
      <c r="D343" s="2" t="s">
        <v>1565</v>
      </c>
      <c r="E343" s="2">
        <v>10000.0</v>
      </c>
      <c r="F343" s="2" t="s">
        <v>1566</v>
      </c>
      <c r="I343" s="7">
        <v>1.0</v>
      </c>
      <c r="J343" s="6">
        <v>29524.0</v>
      </c>
      <c r="K343" s="2">
        <v>0.0</v>
      </c>
      <c r="L343" s="2">
        <v>29524.0</v>
      </c>
      <c r="M343" s="2">
        <v>0.0</v>
      </c>
      <c r="N343" s="2">
        <v>29524.0</v>
      </c>
      <c r="O343" s="2">
        <v>1476.0</v>
      </c>
      <c r="P343" s="2" t="s">
        <v>1574</v>
      </c>
      <c r="Q343" s="2" t="s">
        <v>1568</v>
      </c>
      <c r="R343" s="2" t="s">
        <v>1569</v>
      </c>
      <c r="S343" s="2" t="s">
        <v>1570</v>
      </c>
      <c r="W343" s="2" t="s">
        <v>1571</v>
      </c>
    </row>
    <row r="344">
      <c r="A344" s="4">
        <v>45557.575694444444</v>
      </c>
      <c r="B344" s="5">
        <v>2752866.0</v>
      </c>
      <c r="C344" s="2" t="s">
        <v>1575</v>
      </c>
      <c r="D344" s="2" t="s">
        <v>1565</v>
      </c>
      <c r="E344" s="2">
        <v>10007.0</v>
      </c>
      <c r="F344" s="2" t="s">
        <v>1596</v>
      </c>
      <c r="I344" s="7">
        <v>1.0</v>
      </c>
      <c r="J344" s="6">
        <v>33810.0</v>
      </c>
      <c r="K344" s="2">
        <v>0.0</v>
      </c>
      <c r="L344" s="2">
        <v>33810.0</v>
      </c>
      <c r="M344" s="2">
        <v>0.0</v>
      </c>
      <c r="N344" s="2">
        <v>33810.0</v>
      </c>
      <c r="O344" s="2">
        <v>1691.0</v>
      </c>
      <c r="P344" s="2" t="s">
        <v>1574</v>
      </c>
      <c r="Q344" s="2" t="s">
        <v>1568</v>
      </c>
      <c r="R344" s="2" t="s">
        <v>1569</v>
      </c>
      <c r="S344" s="2" t="s">
        <v>1570</v>
      </c>
      <c r="W344" s="2" t="s">
        <v>1571</v>
      </c>
    </row>
    <row r="345">
      <c r="A345" s="4">
        <v>45557.575694444444</v>
      </c>
      <c r="B345" s="5">
        <v>2752866.0</v>
      </c>
      <c r="C345" s="2" t="s">
        <v>1575</v>
      </c>
      <c r="D345" s="2" t="s">
        <v>1572</v>
      </c>
      <c r="E345" s="2">
        <v>10125.0</v>
      </c>
      <c r="F345" s="2" t="s">
        <v>1601</v>
      </c>
      <c r="I345" s="7">
        <v>1.0</v>
      </c>
      <c r="J345" s="6">
        <v>20476.0</v>
      </c>
      <c r="K345" s="2">
        <v>0.0</v>
      </c>
      <c r="L345" s="2">
        <v>20476.0</v>
      </c>
      <c r="M345" s="2">
        <v>0.0</v>
      </c>
      <c r="N345" s="2">
        <v>20476.0</v>
      </c>
      <c r="O345" s="2">
        <v>1023.0</v>
      </c>
      <c r="P345" s="2" t="s">
        <v>1574</v>
      </c>
      <c r="Q345" s="2" t="s">
        <v>1568</v>
      </c>
      <c r="R345" s="2" t="s">
        <v>1569</v>
      </c>
      <c r="S345" s="2" t="s">
        <v>1570</v>
      </c>
      <c r="W345" s="2" t="s">
        <v>1571</v>
      </c>
    </row>
    <row r="346">
      <c r="A346" s="4">
        <v>45557.575694444444</v>
      </c>
      <c r="B346" s="5">
        <v>2752866.0</v>
      </c>
      <c r="C346" s="2" t="s">
        <v>1575</v>
      </c>
      <c r="D346" s="2" t="s">
        <v>1572</v>
      </c>
      <c r="E346" s="2">
        <v>10121.0</v>
      </c>
      <c r="F346" s="2" t="s">
        <v>1617</v>
      </c>
      <c r="I346" s="7">
        <v>1.0</v>
      </c>
      <c r="J346" s="6">
        <v>19524.0</v>
      </c>
      <c r="K346" s="2">
        <v>0.0</v>
      </c>
      <c r="L346" s="2">
        <v>19524.0</v>
      </c>
      <c r="M346" s="2">
        <v>0.0</v>
      </c>
      <c r="N346" s="2">
        <v>19524.0</v>
      </c>
      <c r="O346" s="2">
        <v>977.0</v>
      </c>
      <c r="P346" s="2" t="s">
        <v>1574</v>
      </c>
      <c r="Q346" s="2" t="s">
        <v>1568</v>
      </c>
      <c r="R346" s="2" t="s">
        <v>1569</v>
      </c>
      <c r="S346" s="2" t="s">
        <v>1570</v>
      </c>
      <c r="W346" s="2" t="s">
        <v>1571</v>
      </c>
    </row>
    <row r="347">
      <c r="A347" s="4">
        <v>45557.575694444444</v>
      </c>
      <c r="B347" s="5">
        <v>2752866.0</v>
      </c>
      <c r="C347" s="2" t="s">
        <v>1575</v>
      </c>
      <c r="D347" s="2" t="s">
        <v>1572</v>
      </c>
      <c r="E347" s="2">
        <v>10106.0</v>
      </c>
      <c r="F347" s="2" t="s">
        <v>1598</v>
      </c>
      <c r="I347" s="7">
        <v>1.0</v>
      </c>
      <c r="J347" s="6">
        <v>26667.0</v>
      </c>
      <c r="K347" s="2">
        <v>0.0</v>
      </c>
      <c r="L347" s="2">
        <v>26667.0</v>
      </c>
      <c r="M347" s="2">
        <v>0.0</v>
      </c>
      <c r="N347" s="2">
        <v>26667.0</v>
      </c>
      <c r="O347" s="2">
        <v>1333.0</v>
      </c>
      <c r="P347" s="2" t="s">
        <v>1574</v>
      </c>
      <c r="Q347" s="2" t="s">
        <v>1568</v>
      </c>
      <c r="R347" s="2" t="s">
        <v>1569</v>
      </c>
      <c r="S347" s="2" t="s">
        <v>1570</v>
      </c>
      <c r="W347" s="2" t="s">
        <v>1571</v>
      </c>
    </row>
    <row r="348">
      <c r="A348" s="4">
        <v>45557.575694444444</v>
      </c>
      <c r="B348" s="5">
        <v>2752866.0</v>
      </c>
      <c r="C348" s="2" t="s">
        <v>1575</v>
      </c>
      <c r="D348" s="2" t="s">
        <v>1578</v>
      </c>
      <c r="E348" s="2">
        <v>10015.0</v>
      </c>
      <c r="F348" s="2" t="s">
        <v>1587</v>
      </c>
      <c r="I348" s="7">
        <v>1.0</v>
      </c>
      <c r="J348" s="6">
        <v>25238.0</v>
      </c>
      <c r="K348" s="2">
        <v>0.0</v>
      </c>
      <c r="L348" s="2">
        <v>25238.0</v>
      </c>
      <c r="M348" s="2">
        <v>0.0</v>
      </c>
      <c r="N348" s="2">
        <v>25238.0</v>
      </c>
      <c r="O348" s="2">
        <v>1262.0</v>
      </c>
      <c r="P348" s="2" t="s">
        <v>1574</v>
      </c>
      <c r="Q348" s="2" t="s">
        <v>1568</v>
      </c>
      <c r="R348" s="2" t="s">
        <v>1569</v>
      </c>
      <c r="S348" s="2" t="s">
        <v>1570</v>
      </c>
      <c r="W348" s="2" t="s">
        <v>1571</v>
      </c>
    </row>
    <row r="349">
      <c r="A349" s="4">
        <v>45557.575694444444</v>
      </c>
      <c r="B349" s="5">
        <v>2752866.0</v>
      </c>
      <c r="C349" s="2" t="s">
        <v>1575</v>
      </c>
      <c r="D349" s="2" t="s">
        <v>1578</v>
      </c>
      <c r="E349" s="2">
        <v>10014.0</v>
      </c>
      <c r="F349" s="2" t="s">
        <v>1609</v>
      </c>
      <c r="I349" s="7">
        <v>1.0</v>
      </c>
      <c r="J349" s="6">
        <v>25238.0</v>
      </c>
      <c r="K349" s="2">
        <v>0.0</v>
      </c>
      <c r="L349" s="2">
        <v>25238.0</v>
      </c>
      <c r="M349" s="2">
        <v>0.0</v>
      </c>
      <c r="N349" s="2">
        <v>25238.0</v>
      </c>
      <c r="O349" s="2">
        <v>1262.0</v>
      </c>
      <c r="P349" s="2" t="s">
        <v>1574</v>
      </c>
      <c r="Q349" s="2" t="s">
        <v>1568</v>
      </c>
      <c r="R349" s="2" t="s">
        <v>1569</v>
      </c>
      <c r="S349" s="2" t="s">
        <v>1570</v>
      </c>
      <c r="W349" s="2" t="s">
        <v>1571</v>
      </c>
    </row>
    <row r="350">
      <c r="A350" s="4">
        <v>45557.572222222225</v>
      </c>
      <c r="B350" s="5">
        <v>2752500.0</v>
      </c>
      <c r="C350" s="2" t="s">
        <v>1575</v>
      </c>
      <c r="D350" s="2" t="s">
        <v>1565</v>
      </c>
      <c r="E350" s="2">
        <v>10055.0</v>
      </c>
      <c r="F350" s="2" t="s">
        <v>1597</v>
      </c>
      <c r="I350" s="7">
        <v>1.0</v>
      </c>
      <c r="J350" s="6">
        <v>34762.0</v>
      </c>
      <c r="K350" s="2">
        <v>0.0</v>
      </c>
      <c r="L350" s="2">
        <v>34762.0</v>
      </c>
      <c r="M350" s="2">
        <v>0.0</v>
      </c>
      <c r="N350" s="2">
        <v>34762.0</v>
      </c>
      <c r="O350" s="2">
        <v>1738.0</v>
      </c>
      <c r="P350" s="2" t="s">
        <v>1574</v>
      </c>
      <c r="Q350" s="2" t="s">
        <v>1568</v>
      </c>
      <c r="R350" s="2" t="s">
        <v>1569</v>
      </c>
      <c r="S350" s="2" t="s">
        <v>1570</v>
      </c>
      <c r="W350" s="2" t="s">
        <v>1571</v>
      </c>
    </row>
    <row r="351">
      <c r="A351" s="4">
        <v>45557.572222222225</v>
      </c>
      <c r="B351" s="5">
        <v>2752500.0</v>
      </c>
      <c r="C351" s="2" t="s">
        <v>1575</v>
      </c>
      <c r="D351" s="2" t="s">
        <v>1565</v>
      </c>
      <c r="E351" s="2">
        <v>10007.0</v>
      </c>
      <c r="F351" s="2" t="s">
        <v>1596</v>
      </c>
      <c r="I351" s="7">
        <v>1.0</v>
      </c>
      <c r="J351" s="6">
        <v>33810.0</v>
      </c>
      <c r="K351" s="2">
        <v>0.0</v>
      </c>
      <c r="L351" s="2">
        <v>33810.0</v>
      </c>
      <c r="M351" s="2">
        <v>0.0</v>
      </c>
      <c r="N351" s="2">
        <v>33810.0</v>
      </c>
      <c r="O351" s="2">
        <v>1691.0</v>
      </c>
      <c r="P351" s="2" t="s">
        <v>1574</v>
      </c>
      <c r="Q351" s="2" t="s">
        <v>1568</v>
      </c>
      <c r="R351" s="2" t="s">
        <v>1569</v>
      </c>
      <c r="S351" s="2" t="s">
        <v>1570</v>
      </c>
      <c r="W351" s="2" t="s">
        <v>1571</v>
      </c>
    </row>
    <row r="352">
      <c r="A352" s="4">
        <v>45557.572222222225</v>
      </c>
      <c r="B352" s="5">
        <v>2752500.0</v>
      </c>
      <c r="C352" s="2" t="s">
        <v>1575</v>
      </c>
      <c r="D352" s="2" t="s">
        <v>1565</v>
      </c>
      <c r="E352" s="2">
        <v>10005.0</v>
      </c>
      <c r="F352" s="2" t="s">
        <v>1595</v>
      </c>
      <c r="I352" s="7">
        <v>1.0</v>
      </c>
      <c r="J352" s="6">
        <v>19524.0</v>
      </c>
      <c r="K352" s="2">
        <v>0.0</v>
      </c>
      <c r="L352" s="2">
        <v>19524.0</v>
      </c>
      <c r="M352" s="2">
        <v>0.0</v>
      </c>
      <c r="N352" s="2">
        <v>19524.0</v>
      </c>
      <c r="O352" s="2">
        <v>976.0</v>
      </c>
      <c r="P352" s="2" t="s">
        <v>1574</v>
      </c>
      <c r="Q352" s="2" t="s">
        <v>1568</v>
      </c>
      <c r="R352" s="2" t="s">
        <v>1569</v>
      </c>
      <c r="S352" s="2" t="s">
        <v>1570</v>
      </c>
      <c r="W352" s="2" t="s">
        <v>1571</v>
      </c>
    </row>
    <row r="353">
      <c r="A353" s="4">
        <v>45557.561111111114</v>
      </c>
      <c r="B353" s="5">
        <v>2752135.0</v>
      </c>
      <c r="C353" s="2" t="s">
        <v>1575</v>
      </c>
      <c r="D353" s="2" t="s">
        <v>1572</v>
      </c>
      <c r="E353" s="2">
        <v>10013.0</v>
      </c>
      <c r="F353" s="2" t="s">
        <v>1591</v>
      </c>
      <c r="I353" s="7">
        <v>1.0</v>
      </c>
      <c r="J353" s="6">
        <v>23333.0</v>
      </c>
      <c r="K353" s="2">
        <v>0.0</v>
      </c>
      <c r="L353" s="2">
        <v>23333.0</v>
      </c>
      <c r="M353" s="2">
        <v>0.0</v>
      </c>
      <c r="N353" s="2">
        <v>23333.0</v>
      </c>
      <c r="O353" s="2">
        <v>1167.0</v>
      </c>
      <c r="P353" s="2" t="s">
        <v>1574</v>
      </c>
      <c r="Q353" s="2" t="s">
        <v>1568</v>
      </c>
      <c r="R353" s="2" t="s">
        <v>1569</v>
      </c>
      <c r="S353" s="2" t="s">
        <v>1570</v>
      </c>
      <c r="W353" s="2" t="s">
        <v>1571</v>
      </c>
    </row>
    <row r="354">
      <c r="A354" s="4">
        <v>45557.561111111114</v>
      </c>
      <c r="B354" s="5">
        <v>2752135.0</v>
      </c>
      <c r="C354" s="2" t="s">
        <v>1575</v>
      </c>
      <c r="D354" s="2" t="s">
        <v>1565</v>
      </c>
      <c r="E354" s="2">
        <v>10005.0</v>
      </c>
      <c r="F354" s="2" t="s">
        <v>1595</v>
      </c>
      <c r="I354" s="7">
        <v>1.0</v>
      </c>
      <c r="J354" s="6">
        <v>19524.0</v>
      </c>
      <c r="K354" s="2">
        <v>0.0</v>
      </c>
      <c r="L354" s="2">
        <v>19524.0</v>
      </c>
      <c r="M354" s="2">
        <v>0.0</v>
      </c>
      <c r="N354" s="2">
        <v>19524.0</v>
      </c>
      <c r="O354" s="2">
        <v>976.0</v>
      </c>
      <c r="P354" s="2" t="s">
        <v>1574</v>
      </c>
      <c r="Q354" s="2" t="s">
        <v>1568</v>
      </c>
      <c r="R354" s="2" t="s">
        <v>1569</v>
      </c>
      <c r="S354" s="2" t="s">
        <v>1570</v>
      </c>
      <c r="W354" s="2" t="s">
        <v>1571</v>
      </c>
    </row>
    <row r="355">
      <c r="A355" s="4">
        <v>45557.561111111114</v>
      </c>
      <c r="B355" s="5">
        <v>2752135.0</v>
      </c>
      <c r="C355" s="2" t="s">
        <v>1575</v>
      </c>
      <c r="D355" s="2" t="s">
        <v>1565</v>
      </c>
      <c r="E355" s="2">
        <v>10002.0</v>
      </c>
      <c r="F355" s="2" t="s">
        <v>1576</v>
      </c>
      <c r="I355" s="7">
        <v>1.0</v>
      </c>
      <c r="J355" s="6">
        <v>18571.0</v>
      </c>
      <c r="K355" s="2">
        <v>0.0</v>
      </c>
      <c r="L355" s="2">
        <v>18571.0</v>
      </c>
      <c r="M355" s="2">
        <v>0.0</v>
      </c>
      <c r="N355" s="2">
        <v>18571.0</v>
      </c>
      <c r="O355" s="2">
        <v>928.0</v>
      </c>
      <c r="P355" s="2" t="s">
        <v>1574</v>
      </c>
      <c r="Q355" s="2" t="s">
        <v>1568</v>
      </c>
      <c r="R355" s="2" t="s">
        <v>1569</v>
      </c>
      <c r="S355" s="2" t="s">
        <v>1570</v>
      </c>
      <c r="W355" s="2" t="s">
        <v>1571</v>
      </c>
    </row>
    <row r="356">
      <c r="A356" s="4">
        <v>45557.561111111114</v>
      </c>
      <c r="B356" s="5">
        <v>2752135.0</v>
      </c>
      <c r="C356" s="2" t="s">
        <v>1575</v>
      </c>
      <c r="D356" s="2" t="s">
        <v>1572</v>
      </c>
      <c r="E356" s="2">
        <v>10057.0</v>
      </c>
      <c r="F356" s="2" t="s">
        <v>1608</v>
      </c>
      <c r="I356" s="7">
        <v>1.0</v>
      </c>
      <c r="J356" s="6">
        <v>19524.0</v>
      </c>
      <c r="K356" s="2">
        <v>0.0</v>
      </c>
      <c r="L356" s="2">
        <v>19524.0</v>
      </c>
      <c r="M356" s="2">
        <v>0.0</v>
      </c>
      <c r="N356" s="2">
        <v>19524.0</v>
      </c>
      <c r="O356" s="2">
        <v>977.0</v>
      </c>
      <c r="P356" s="2" t="s">
        <v>1574</v>
      </c>
      <c r="Q356" s="2" t="s">
        <v>1568</v>
      </c>
      <c r="R356" s="2" t="s">
        <v>1569</v>
      </c>
      <c r="S356" s="2" t="s">
        <v>1570</v>
      </c>
      <c r="V356" s="2" t="s">
        <v>1624</v>
      </c>
      <c r="W356" s="2" t="s">
        <v>1571</v>
      </c>
    </row>
    <row r="357">
      <c r="A357" s="4">
        <v>45557.54791666667</v>
      </c>
      <c r="B357" s="5">
        <v>2751770.0</v>
      </c>
      <c r="C357" s="2" t="s">
        <v>1575</v>
      </c>
      <c r="D357" s="2" t="s">
        <v>1565</v>
      </c>
      <c r="E357" s="2">
        <v>10007.0</v>
      </c>
      <c r="F357" s="2" t="s">
        <v>1596</v>
      </c>
      <c r="I357" s="7">
        <v>1.0</v>
      </c>
      <c r="J357" s="6">
        <v>33810.0</v>
      </c>
      <c r="K357" s="2">
        <v>0.0</v>
      </c>
      <c r="L357" s="2">
        <v>33810.0</v>
      </c>
      <c r="M357" s="2">
        <v>0.0</v>
      </c>
      <c r="N357" s="2">
        <v>33810.0</v>
      </c>
      <c r="O357" s="2">
        <v>1691.0</v>
      </c>
      <c r="P357" s="2" t="s">
        <v>1574</v>
      </c>
      <c r="Q357" s="2" t="s">
        <v>1568</v>
      </c>
      <c r="R357" s="2" t="s">
        <v>1569</v>
      </c>
      <c r="S357" s="2" t="s">
        <v>1570</v>
      </c>
      <c r="W357" s="2" t="s">
        <v>1571</v>
      </c>
    </row>
    <row r="358">
      <c r="A358" s="4">
        <v>45557.54791666667</v>
      </c>
      <c r="B358" s="5">
        <v>2751770.0</v>
      </c>
      <c r="C358" s="2" t="s">
        <v>1575</v>
      </c>
      <c r="D358" s="2" t="s">
        <v>1565</v>
      </c>
      <c r="E358" s="2">
        <v>10055.0</v>
      </c>
      <c r="F358" s="2" t="s">
        <v>1597</v>
      </c>
      <c r="I358" s="7">
        <v>1.0</v>
      </c>
      <c r="J358" s="6">
        <v>34762.0</v>
      </c>
      <c r="K358" s="2">
        <v>0.0</v>
      </c>
      <c r="L358" s="2">
        <v>34762.0</v>
      </c>
      <c r="M358" s="2">
        <v>0.0</v>
      </c>
      <c r="N358" s="2">
        <v>34762.0</v>
      </c>
      <c r="O358" s="2">
        <v>1738.0</v>
      </c>
      <c r="P358" s="2" t="s">
        <v>1574</v>
      </c>
      <c r="Q358" s="2" t="s">
        <v>1568</v>
      </c>
      <c r="R358" s="2" t="s">
        <v>1569</v>
      </c>
      <c r="S358" s="2" t="s">
        <v>1570</v>
      </c>
      <c r="W358" s="2" t="s">
        <v>1571</v>
      </c>
    </row>
    <row r="359">
      <c r="A359" s="4">
        <v>45557.54791666667</v>
      </c>
      <c r="B359" s="5">
        <v>2751770.0</v>
      </c>
      <c r="C359" s="2" t="s">
        <v>1575</v>
      </c>
      <c r="D359" s="2" t="s">
        <v>1565</v>
      </c>
      <c r="E359" s="2">
        <v>10000.0</v>
      </c>
      <c r="F359" s="2" t="s">
        <v>1566</v>
      </c>
      <c r="I359" s="7">
        <v>1.0</v>
      </c>
      <c r="J359" s="6">
        <v>29524.0</v>
      </c>
      <c r="K359" s="2">
        <v>0.0</v>
      </c>
      <c r="L359" s="2">
        <v>29524.0</v>
      </c>
      <c r="M359" s="2">
        <v>0.0</v>
      </c>
      <c r="N359" s="2">
        <v>29524.0</v>
      </c>
      <c r="O359" s="2">
        <v>1476.0</v>
      </c>
      <c r="P359" s="2" t="s">
        <v>1574</v>
      </c>
      <c r="Q359" s="2" t="s">
        <v>1568</v>
      </c>
      <c r="R359" s="2" t="s">
        <v>1569</v>
      </c>
      <c r="S359" s="2" t="s">
        <v>1570</v>
      </c>
      <c r="W359" s="2" t="s">
        <v>1571</v>
      </c>
    </row>
    <row r="360">
      <c r="A360" s="4">
        <v>45557.54791666667</v>
      </c>
      <c r="B360" s="5">
        <v>2751770.0</v>
      </c>
      <c r="C360" s="2" t="s">
        <v>1575</v>
      </c>
      <c r="D360" s="2" t="s">
        <v>1572</v>
      </c>
      <c r="E360" s="2">
        <v>10128.0</v>
      </c>
      <c r="F360" s="2" t="s">
        <v>1588</v>
      </c>
      <c r="I360" s="7">
        <v>2.0</v>
      </c>
      <c r="J360" s="6">
        <v>46666.0</v>
      </c>
      <c r="K360" s="2">
        <v>0.0</v>
      </c>
      <c r="L360" s="2">
        <v>46666.0</v>
      </c>
      <c r="M360" s="2">
        <v>0.0</v>
      </c>
      <c r="N360" s="2">
        <v>46666.0</v>
      </c>
      <c r="O360" s="2">
        <v>2333.0</v>
      </c>
      <c r="P360" s="2" t="s">
        <v>1574</v>
      </c>
      <c r="Q360" s="2" t="s">
        <v>1568</v>
      </c>
      <c r="R360" s="2" t="s">
        <v>1569</v>
      </c>
      <c r="S360" s="2" t="s">
        <v>1570</v>
      </c>
      <c r="W360" s="2" t="s">
        <v>1571</v>
      </c>
    </row>
    <row r="361">
      <c r="A361" s="4">
        <v>45557.54791666667</v>
      </c>
      <c r="B361" s="5">
        <v>2751770.0</v>
      </c>
      <c r="C361" s="2" t="s">
        <v>1575</v>
      </c>
      <c r="D361" s="2" t="s">
        <v>1572</v>
      </c>
      <c r="E361" s="2">
        <v>10107.0</v>
      </c>
      <c r="F361" s="2" t="s">
        <v>1584</v>
      </c>
      <c r="I361" s="7">
        <v>1.0</v>
      </c>
      <c r="J361" s="6">
        <v>26667.0</v>
      </c>
      <c r="K361" s="2">
        <v>0.0</v>
      </c>
      <c r="L361" s="2">
        <v>26667.0</v>
      </c>
      <c r="M361" s="2">
        <v>0.0</v>
      </c>
      <c r="N361" s="2">
        <v>26667.0</v>
      </c>
      <c r="O361" s="2">
        <v>1333.0</v>
      </c>
      <c r="P361" s="2" t="s">
        <v>1574</v>
      </c>
      <c r="Q361" s="2" t="s">
        <v>1568</v>
      </c>
      <c r="R361" s="2" t="s">
        <v>1569</v>
      </c>
      <c r="S361" s="2" t="s">
        <v>1570</v>
      </c>
      <c r="W361" s="2" t="s">
        <v>1571</v>
      </c>
    </row>
    <row r="362">
      <c r="A362" s="4">
        <v>45557.54375</v>
      </c>
      <c r="B362" s="5">
        <v>2751405.0</v>
      </c>
      <c r="C362" s="2" t="s">
        <v>1575</v>
      </c>
      <c r="D362" s="2" t="s">
        <v>1565</v>
      </c>
      <c r="E362" s="2">
        <v>10000.0</v>
      </c>
      <c r="F362" s="2" t="s">
        <v>1566</v>
      </c>
      <c r="I362" s="7">
        <v>1.0</v>
      </c>
      <c r="J362" s="6">
        <v>29524.0</v>
      </c>
      <c r="K362" s="2">
        <v>0.0</v>
      </c>
      <c r="L362" s="2">
        <v>29524.0</v>
      </c>
      <c r="M362" s="2">
        <v>0.0</v>
      </c>
      <c r="N362" s="2">
        <v>29524.0</v>
      </c>
      <c r="O362" s="2">
        <v>1476.0</v>
      </c>
      <c r="P362" s="2" t="s">
        <v>1574</v>
      </c>
      <c r="Q362" s="2" t="s">
        <v>1568</v>
      </c>
      <c r="R362" s="2" t="s">
        <v>1569</v>
      </c>
      <c r="S362" s="2" t="s">
        <v>1570</v>
      </c>
      <c r="W362" s="2" t="s">
        <v>1571</v>
      </c>
    </row>
    <row r="363">
      <c r="A363" s="4">
        <v>45557.54375</v>
      </c>
      <c r="B363" s="5">
        <v>2751405.0</v>
      </c>
      <c r="C363" s="2" t="s">
        <v>1575</v>
      </c>
      <c r="D363" s="2" t="s">
        <v>1565</v>
      </c>
      <c r="E363" s="2">
        <v>10055.0</v>
      </c>
      <c r="F363" s="2" t="s">
        <v>1597</v>
      </c>
      <c r="I363" s="7">
        <v>1.0</v>
      </c>
      <c r="J363" s="6">
        <v>34762.0</v>
      </c>
      <c r="K363" s="2">
        <v>0.0</v>
      </c>
      <c r="L363" s="2">
        <v>34762.0</v>
      </c>
      <c r="M363" s="2">
        <v>0.0</v>
      </c>
      <c r="N363" s="2">
        <v>34762.0</v>
      </c>
      <c r="O363" s="2">
        <v>1738.0</v>
      </c>
      <c r="P363" s="2" t="s">
        <v>1574</v>
      </c>
      <c r="Q363" s="2" t="s">
        <v>1568</v>
      </c>
      <c r="R363" s="2" t="s">
        <v>1569</v>
      </c>
      <c r="S363" s="2" t="s">
        <v>1570</v>
      </c>
      <c r="W363" s="2" t="s">
        <v>1571</v>
      </c>
    </row>
    <row r="364">
      <c r="A364" s="4">
        <v>45557.49722222222</v>
      </c>
      <c r="B364" s="5">
        <v>2751039.0</v>
      </c>
      <c r="C364" s="2" t="s">
        <v>1575</v>
      </c>
      <c r="D364" s="2" t="s">
        <v>1565</v>
      </c>
      <c r="E364" s="2">
        <v>10007.0</v>
      </c>
      <c r="F364" s="2" t="s">
        <v>1596</v>
      </c>
      <c r="I364" s="7">
        <v>1.0</v>
      </c>
      <c r="J364" s="6">
        <v>33810.0</v>
      </c>
      <c r="K364" s="2">
        <v>0.0</v>
      </c>
      <c r="L364" s="2">
        <v>33810.0</v>
      </c>
      <c r="M364" s="2">
        <v>0.0</v>
      </c>
      <c r="N364" s="2">
        <v>33810.0</v>
      </c>
      <c r="O364" s="2">
        <v>1691.0</v>
      </c>
      <c r="P364" s="2" t="s">
        <v>1574</v>
      </c>
      <c r="Q364" s="2" t="s">
        <v>1568</v>
      </c>
      <c r="R364" s="2" t="s">
        <v>1569</v>
      </c>
      <c r="S364" s="2" t="s">
        <v>1570</v>
      </c>
      <c r="W364" s="2" t="s">
        <v>1571</v>
      </c>
    </row>
    <row r="365">
      <c r="A365" s="4">
        <v>45557.46597222222</v>
      </c>
      <c r="B365" s="5">
        <v>2750674.0</v>
      </c>
      <c r="C365" s="2" t="s">
        <v>1575</v>
      </c>
      <c r="D365" s="2" t="s">
        <v>1572</v>
      </c>
      <c r="E365" s="2">
        <v>10128.0</v>
      </c>
      <c r="F365" s="2" t="s">
        <v>1588</v>
      </c>
      <c r="I365" s="7">
        <v>1.0</v>
      </c>
      <c r="J365" s="6">
        <v>23333.0</v>
      </c>
      <c r="K365" s="2">
        <v>0.0</v>
      </c>
      <c r="L365" s="2">
        <v>23333.0</v>
      </c>
      <c r="M365" s="2">
        <v>0.0</v>
      </c>
      <c r="N365" s="2">
        <v>23333.0</v>
      </c>
      <c r="O365" s="2">
        <v>1167.0</v>
      </c>
      <c r="P365" s="2" t="s">
        <v>1574</v>
      </c>
      <c r="Q365" s="2" t="s">
        <v>1568</v>
      </c>
      <c r="R365" s="2" t="s">
        <v>1569</v>
      </c>
      <c r="S365" s="2" t="s">
        <v>1570</v>
      </c>
      <c r="W365" s="2" t="s">
        <v>1571</v>
      </c>
    </row>
    <row r="366">
      <c r="A366" s="4">
        <v>45557.46597222222</v>
      </c>
      <c r="B366" s="5">
        <v>2750674.0</v>
      </c>
      <c r="C366" s="2" t="s">
        <v>1575</v>
      </c>
      <c r="D366" s="2" t="s">
        <v>1572</v>
      </c>
      <c r="E366" s="2">
        <v>10107.0</v>
      </c>
      <c r="F366" s="2" t="s">
        <v>1584</v>
      </c>
      <c r="I366" s="7">
        <v>1.0</v>
      </c>
      <c r="J366" s="6">
        <v>26667.0</v>
      </c>
      <c r="K366" s="2">
        <v>0.0</v>
      </c>
      <c r="L366" s="2">
        <v>26667.0</v>
      </c>
      <c r="M366" s="2">
        <v>0.0</v>
      </c>
      <c r="N366" s="2">
        <v>26667.0</v>
      </c>
      <c r="O366" s="2">
        <v>1333.0</v>
      </c>
      <c r="P366" s="2" t="s">
        <v>1574</v>
      </c>
      <c r="Q366" s="2" t="s">
        <v>1568</v>
      </c>
      <c r="R366" s="2" t="s">
        <v>1569</v>
      </c>
      <c r="S366" s="2" t="s">
        <v>1570</v>
      </c>
      <c r="W366" s="2" t="s">
        <v>1571</v>
      </c>
    </row>
    <row r="367">
      <c r="A367" s="4">
        <v>45557.46597222222</v>
      </c>
      <c r="B367" s="5">
        <v>2750674.0</v>
      </c>
      <c r="C367" s="2" t="s">
        <v>1575</v>
      </c>
      <c r="D367" s="2" t="s">
        <v>1578</v>
      </c>
      <c r="E367" s="2">
        <v>10004.0</v>
      </c>
      <c r="F367" s="2" t="s">
        <v>1607</v>
      </c>
      <c r="I367" s="7">
        <v>1.0</v>
      </c>
      <c r="J367" s="6">
        <v>25238.0</v>
      </c>
      <c r="K367" s="2">
        <v>0.0</v>
      </c>
      <c r="L367" s="2">
        <v>25238.0</v>
      </c>
      <c r="M367" s="2">
        <v>0.0</v>
      </c>
      <c r="N367" s="2">
        <v>25238.0</v>
      </c>
      <c r="O367" s="2">
        <v>1262.0</v>
      </c>
      <c r="P367" s="2" t="s">
        <v>1574</v>
      </c>
      <c r="Q367" s="2" t="s">
        <v>1568</v>
      </c>
      <c r="R367" s="2" t="s">
        <v>1569</v>
      </c>
      <c r="S367" s="2" t="s">
        <v>1570</v>
      </c>
      <c r="W367" s="2" t="s">
        <v>1571</v>
      </c>
    </row>
    <row r="368">
      <c r="A368" s="4">
        <v>45557.46319444444</v>
      </c>
      <c r="B368" s="5">
        <v>2750309.0</v>
      </c>
      <c r="C368" s="2" t="s">
        <v>1575</v>
      </c>
      <c r="D368" s="2" t="s">
        <v>1572</v>
      </c>
      <c r="E368" s="2">
        <v>10058.0</v>
      </c>
      <c r="F368" s="2" t="s">
        <v>1618</v>
      </c>
      <c r="I368" s="7">
        <v>1.0</v>
      </c>
      <c r="J368" s="6">
        <v>19524.0</v>
      </c>
      <c r="K368" s="2">
        <v>0.0</v>
      </c>
      <c r="L368" s="2">
        <v>19524.0</v>
      </c>
      <c r="M368" s="2">
        <v>0.0</v>
      </c>
      <c r="N368" s="2">
        <v>19524.0</v>
      </c>
      <c r="O368" s="2">
        <v>976.0</v>
      </c>
      <c r="P368" s="2" t="s">
        <v>1574</v>
      </c>
      <c r="Q368" s="2" t="s">
        <v>1568</v>
      </c>
      <c r="R368" s="2" t="s">
        <v>1569</v>
      </c>
      <c r="S368" s="2" t="s">
        <v>1570</v>
      </c>
      <c r="W368" s="2" t="s">
        <v>1571</v>
      </c>
    </row>
    <row r="369">
      <c r="A369" s="4">
        <v>45557.46319444444</v>
      </c>
      <c r="B369" s="5">
        <v>2750309.0</v>
      </c>
      <c r="C369" s="2" t="s">
        <v>1575</v>
      </c>
      <c r="D369" s="2" t="s">
        <v>1572</v>
      </c>
      <c r="E369" s="2">
        <v>10106.0</v>
      </c>
      <c r="F369" s="2" t="s">
        <v>1598</v>
      </c>
      <c r="I369" s="7">
        <v>1.0</v>
      </c>
      <c r="J369" s="6">
        <v>26667.0</v>
      </c>
      <c r="K369" s="2">
        <v>0.0</v>
      </c>
      <c r="L369" s="2">
        <v>26667.0</v>
      </c>
      <c r="M369" s="2">
        <v>0.0</v>
      </c>
      <c r="N369" s="2">
        <v>26667.0</v>
      </c>
      <c r="O369" s="2">
        <v>1334.0</v>
      </c>
      <c r="P369" s="2" t="s">
        <v>1574</v>
      </c>
      <c r="Q369" s="2" t="s">
        <v>1568</v>
      </c>
      <c r="R369" s="2" t="s">
        <v>1569</v>
      </c>
      <c r="S369" s="2" t="s">
        <v>1570</v>
      </c>
      <c r="W369" s="2" t="s">
        <v>1571</v>
      </c>
    </row>
    <row r="370">
      <c r="A370" s="4">
        <v>45557.46319444444</v>
      </c>
      <c r="B370" s="5">
        <v>2750309.0</v>
      </c>
      <c r="C370" s="2" t="s">
        <v>1575</v>
      </c>
      <c r="D370" s="2" t="s">
        <v>1565</v>
      </c>
      <c r="E370" s="2">
        <v>10000.0</v>
      </c>
      <c r="F370" s="2" t="s">
        <v>1566</v>
      </c>
      <c r="I370" s="7">
        <v>1.0</v>
      </c>
      <c r="J370" s="6">
        <v>29524.0</v>
      </c>
      <c r="K370" s="2">
        <v>0.0</v>
      </c>
      <c r="L370" s="2">
        <v>29524.0</v>
      </c>
      <c r="M370" s="2">
        <v>0.0</v>
      </c>
      <c r="N370" s="2">
        <v>29524.0</v>
      </c>
      <c r="O370" s="2">
        <v>1476.0</v>
      </c>
      <c r="P370" s="2" t="s">
        <v>1574</v>
      </c>
      <c r="Q370" s="2" t="s">
        <v>1568</v>
      </c>
      <c r="R370" s="2" t="s">
        <v>1569</v>
      </c>
      <c r="S370" s="2" t="s">
        <v>1570</v>
      </c>
      <c r="W370" s="2" t="s">
        <v>1571</v>
      </c>
    </row>
    <row r="371">
      <c r="A371" s="4">
        <v>45557.46319444444</v>
      </c>
      <c r="B371" s="5">
        <v>2750309.0</v>
      </c>
      <c r="C371" s="2" t="s">
        <v>1575</v>
      </c>
      <c r="D371" s="2" t="s">
        <v>1578</v>
      </c>
      <c r="E371" s="2">
        <v>10051.0</v>
      </c>
      <c r="F371" s="2" t="s">
        <v>1579</v>
      </c>
      <c r="I371" s="7">
        <v>1.0</v>
      </c>
      <c r="J371" s="6">
        <v>25238.0</v>
      </c>
      <c r="K371" s="2">
        <v>0.0</v>
      </c>
      <c r="L371" s="2">
        <v>25238.0</v>
      </c>
      <c r="M371" s="2">
        <v>0.0</v>
      </c>
      <c r="N371" s="2">
        <v>25238.0</v>
      </c>
      <c r="O371" s="2">
        <v>1262.0</v>
      </c>
      <c r="P371" s="2" t="s">
        <v>1574</v>
      </c>
      <c r="Q371" s="2" t="s">
        <v>1568</v>
      </c>
      <c r="R371" s="2" t="s">
        <v>1569</v>
      </c>
      <c r="S371" s="2" t="s">
        <v>1570</v>
      </c>
      <c r="W371" s="2" t="s">
        <v>1571</v>
      </c>
    </row>
    <row r="372">
      <c r="A372" s="4">
        <v>45557.46319444444</v>
      </c>
      <c r="B372" s="5">
        <v>2750309.0</v>
      </c>
      <c r="C372" s="2" t="s">
        <v>1575</v>
      </c>
      <c r="D372" s="2" t="s">
        <v>1580</v>
      </c>
      <c r="E372" s="2">
        <v>10105.0</v>
      </c>
      <c r="F372" s="2" t="s">
        <v>1611</v>
      </c>
      <c r="I372" s="7">
        <v>1.0</v>
      </c>
      <c r="J372" s="6">
        <v>38095.0</v>
      </c>
      <c r="K372" s="2">
        <v>0.0</v>
      </c>
      <c r="L372" s="2">
        <v>38095.0</v>
      </c>
      <c r="M372" s="2">
        <v>0.0</v>
      </c>
      <c r="N372" s="2">
        <v>38095.0</v>
      </c>
      <c r="O372" s="2">
        <v>1904.0</v>
      </c>
      <c r="P372" s="2" t="s">
        <v>1574</v>
      </c>
      <c r="Q372" s="2" t="s">
        <v>1568</v>
      </c>
      <c r="R372" s="2" t="s">
        <v>1569</v>
      </c>
      <c r="S372" s="2" t="s">
        <v>1570</v>
      </c>
      <c r="W372" s="2" t="s">
        <v>1571</v>
      </c>
    </row>
    <row r="373">
      <c r="A373" s="4">
        <v>45557.43680555555</v>
      </c>
      <c r="B373" s="5">
        <v>2749944.0</v>
      </c>
      <c r="C373" s="2" t="s">
        <v>1575</v>
      </c>
      <c r="D373" s="2" t="s">
        <v>1565</v>
      </c>
      <c r="E373" s="2">
        <v>10007.0</v>
      </c>
      <c r="F373" s="2" t="s">
        <v>1596</v>
      </c>
      <c r="I373" s="7">
        <v>1.0</v>
      </c>
      <c r="J373" s="6">
        <v>33810.0</v>
      </c>
      <c r="K373" s="2">
        <v>0.0</v>
      </c>
      <c r="L373" s="2">
        <v>33810.0</v>
      </c>
      <c r="M373" s="2">
        <v>0.0</v>
      </c>
      <c r="N373" s="2">
        <v>33810.0</v>
      </c>
      <c r="O373" s="2">
        <v>1691.0</v>
      </c>
      <c r="P373" s="2" t="s">
        <v>1574</v>
      </c>
      <c r="Q373" s="2" t="s">
        <v>1568</v>
      </c>
      <c r="R373" s="2" t="s">
        <v>1569</v>
      </c>
      <c r="S373" s="2" t="s">
        <v>1570</v>
      </c>
      <c r="W373" s="2" t="s">
        <v>1571</v>
      </c>
    </row>
    <row r="374">
      <c r="A374" s="4">
        <v>45557.43680555555</v>
      </c>
      <c r="B374" s="5">
        <v>2749944.0</v>
      </c>
      <c r="C374" s="2" t="s">
        <v>1575</v>
      </c>
      <c r="D374" s="2" t="s">
        <v>1565</v>
      </c>
      <c r="E374" s="2">
        <v>10002.0</v>
      </c>
      <c r="F374" s="2" t="s">
        <v>1576</v>
      </c>
      <c r="I374" s="7">
        <v>1.0</v>
      </c>
      <c r="J374" s="6">
        <v>18571.0</v>
      </c>
      <c r="K374" s="2">
        <v>0.0</v>
      </c>
      <c r="L374" s="2">
        <v>18571.0</v>
      </c>
      <c r="M374" s="2">
        <v>0.0</v>
      </c>
      <c r="N374" s="2">
        <v>18571.0</v>
      </c>
      <c r="O374" s="2">
        <v>928.0</v>
      </c>
      <c r="P374" s="2" t="s">
        <v>1574</v>
      </c>
      <c r="Q374" s="2" t="s">
        <v>1568</v>
      </c>
      <c r="R374" s="2" t="s">
        <v>1569</v>
      </c>
      <c r="S374" s="2" t="s">
        <v>1570</v>
      </c>
      <c r="W374" s="2" t="s">
        <v>1571</v>
      </c>
    </row>
    <row r="375">
      <c r="A375" s="4">
        <v>45557.43680555555</v>
      </c>
      <c r="B375" s="5">
        <v>2749944.0</v>
      </c>
      <c r="C375" s="2" t="s">
        <v>1575</v>
      </c>
      <c r="D375" s="2" t="s">
        <v>1572</v>
      </c>
      <c r="E375" s="2">
        <v>10106.0</v>
      </c>
      <c r="F375" s="2" t="s">
        <v>1598</v>
      </c>
      <c r="I375" s="7">
        <v>1.0</v>
      </c>
      <c r="J375" s="6">
        <v>26667.0</v>
      </c>
      <c r="K375" s="2">
        <v>0.0</v>
      </c>
      <c r="L375" s="2">
        <v>26667.0</v>
      </c>
      <c r="M375" s="2">
        <v>0.0</v>
      </c>
      <c r="N375" s="2">
        <v>26667.0</v>
      </c>
      <c r="O375" s="2">
        <v>1333.0</v>
      </c>
      <c r="P375" s="2" t="s">
        <v>1574</v>
      </c>
      <c r="Q375" s="2" t="s">
        <v>1568</v>
      </c>
      <c r="R375" s="2" t="s">
        <v>1569</v>
      </c>
      <c r="S375" s="2" t="s">
        <v>1570</v>
      </c>
      <c r="W375" s="2" t="s">
        <v>1571</v>
      </c>
    </row>
    <row r="376">
      <c r="A376" s="4">
        <v>45557.43680555555</v>
      </c>
      <c r="B376" s="5">
        <v>2749944.0</v>
      </c>
      <c r="C376" s="2" t="s">
        <v>1575</v>
      </c>
      <c r="D376" s="2" t="s">
        <v>1572</v>
      </c>
      <c r="E376" s="2">
        <v>10107.0</v>
      </c>
      <c r="F376" s="2" t="s">
        <v>1584</v>
      </c>
      <c r="I376" s="7">
        <v>1.0</v>
      </c>
      <c r="J376" s="6">
        <v>26667.0</v>
      </c>
      <c r="K376" s="2">
        <v>0.0</v>
      </c>
      <c r="L376" s="2">
        <v>26667.0</v>
      </c>
      <c r="M376" s="2">
        <v>0.0</v>
      </c>
      <c r="N376" s="2">
        <v>26667.0</v>
      </c>
      <c r="O376" s="2">
        <v>1334.0</v>
      </c>
      <c r="P376" s="2" t="s">
        <v>1574</v>
      </c>
      <c r="Q376" s="2" t="s">
        <v>1568</v>
      </c>
      <c r="R376" s="2" t="s">
        <v>1569</v>
      </c>
      <c r="S376" s="2" t="s">
        <v>1570</v>
      </c>
      <c r="W376" s="2" t="s">
        <v>1571</v>
      </c>
    </row>
    <row r="377">
      <c r="A377" s="4">
        <v>45557.43680555555</v>
      </c>
      <c r="B377" s="5">
        <v>2749944.0</v>
      </c>
      <c r="C377" s="2" t="s">
        <v>1575</v>
      </c>
      <c r="D377" s="2" t="s">
        <v>1572</v>
      </c>
      <c r="E377" s="2">
        <v>10128.0</v>
      </c>
      <c r="F377" s="2" t="s">
        <v>1588</v>
      </c>
      <c r="I377" s="7">
        <v>2.0</v>
      </c>
      <c r="J377" s="6">
        <v>46666.0</v>
      </c>
      <c r="K377" s="2">
        <v>0.0</v>
      </c>
      <c r="L377" s="2">
        <v>46666.0</v>
      </c>
      <c r="M377" s="2">
        <v>0.0</v>
      </c>
      <c r="N377" s="2">
        <v>46666.0</v>
      </c>
      <c r="O377" s="2">
        <v>2333.0</v>
      </c>
      <c r="P377" s="2" t="s">
        <v>1574</v>
      </c>
      <c r="Q377" s="2" t="s">
        <v>1568</v>
      </c>
      <c r="R377" s="2" t="s">
        <v>1569</v>
      </c>
      <c r="S377" s="2" t="s">
        <v>1570</v>
      </c>
      <c r="W377" s="2" t="s">
        <v>1571</v>
      </c>
    </row>
    <row r="378">
      <c r="A378" s="4">
        <v>45557.43680555555</v>
      </c>
      <c r="B378" s="5">
        <v>2749944.0</v>
      </c>
      <c r="C378" s="2" t="s">
        <v>1575</v>
      </c>
      <c r="D378" s="2" t="s">
        <v>1572</v>
      </c>
      <c r="E378" s="2">
        <v>10069.0</v>
      </c>
      <c r="F378" s="2" t="s">
        <v>1620</v>
      </c>
      <c r="I378" s="7">
        <v>1.0</v>
      </c>
      <c r="J378" s="6">
        <v>24762.0</v>
      </c>
      <c r="K378" s="2">
        <v>0.0</v>
      </c>
      <c r="L378" s="2">
        <v>24762.0</v>
      </c>
      <c r="M378" s="2">
        <v>0.0</v>
      </c>
      <c r="N378" s="2">
        <v>24762.0</v>
      </c>
      <c r="O378" s="2">
        <v>1238.0</v>
      </c>
      <c r="P378" s="2" t="s">
        <v>1574</v>
      </c>
      <c r="Q378" s="2" t="s">
        <v>1568</v>
      </c>
      <c r="R378" s="2" t="s">
        <v>1569</v>
      </c>
      <c r="S378" s="2" t="s">
        <v>1570</v>
      </c>
      <c r="W378" s="2" t="s">
        <v>1571</v>
      </c>
    </row>
    <row r="379">
      <c r="A379" s="4">
        <v>45556.84861111111</v>
      </c>
      <c r="B379" s="5">
        <v>2749578.0</v>
      </c>
      <c r="C379" s="2" t="s">
        <v>1575</v>
      </c>
      <c r="D379" s="2" t="s">
        <v>1572</v>
      </c>
      <c r="E379" s="2">
        <v>10128.0</v>
      </c>
      <c r="F379" s="2" t="s">
        <v>1588</v>
      </c>
      <c r="I379" s="7">
        <v>1.0</v>
      </c>
      <c r="J379" s="6">
        <v>23333.0</v>
      </c>
      <c r="K379" s="2">
        <v>0.0</v>
      </c>
      <c r="L379" s="2">
        <v>23333.0</v>
      </c>
      <c r="M379" s="2">
        <v>0.0</v>
      </c>
      <c r="N379" s="2">
        <v>23333.0</v>
      </c>
      <c r="O379" s="2">
        <v>1167.0</v>
      </c>
      <c r="P379" s="2" t="s">
        <v>1574</v>
      </c>
      <c r="Q379" s="2" t="s">
        <v>1568</v>
      </c>
      <c r="R379" s="2" t="s">
        <v>1569</v>
      </c>
      <c r="S379" s="2" t="s">
        <v>1570</v>
      </c>
      <c r="W379" s="2" t="s">
        <v>1571</v>
      </c>
    </row>
    <row r="380">
      <c r="A380" s="4">
        <v>45556.84305555555</v>
      </c>
      <c r="B380" s="5">
        <v>2749213.0</v>
      </c>
      <c r="C380" s="2" t="s">
        <v>1575</v>
      </c>
      <c r="D380" s="2" t="s">
        <v>1572</v>
      </c>
      <c r="E380" s="2">
        <v>10123.0</v>
      </c>
      <c r="F380" s="2" t="s">
        <v>1599</v>
      </c>
      <c r="I380" s="7">
        <v>1.0</v>
      </c>
      <c r="J380" s="6">
        <v>21905.0</v>
      </c>
      <c r="K380" s="2">
        <v>0.0</v>
      </c>
      <c r="L380" s="2">
        <v>21905.0</v>
      </c>
      <c r="M380" s="2">
        <v>0.0</v>
      </c>
      <c r="N380" s="2">
        <v>21905.0</v>
      </c>
      <c r="O380" s="2">
        <v>1095.0</v>
      </c>
      <c r="P380" s="2" t="s">
        <v>1574</v>
      </c>
      <c r="Q380" s="2" t="s">
        <v>1568</v>
      </c>
      <c r="R380" s="2" t="s">
        <v>1569</v>
      </c>
      <c r="S380" s="2" t="s">
        <v>1570</v>
      </c>
      <c r="W380" s="2" t="s">
        <v>1571</v>
      </c>
    </row>
    <row r="381">
      <c r="A381" s="4">
        <v>45556.83888888889</v>
      </c>
      <c r="B381" s="5">
        <v>2748848.0</v>
      </c>
      <c r="C381" s="2" t="s">
        <v>1575</v>
      </c>
      <c r="D381" s="2" t="s">
        <v>1572</v>
      </c>
      <c r="E381" s="2">
        <v>10128.0</v>
      </c>
      <c r="F381" s="2" t="s">
        <v>1588</v>
      </c>
      <c r="I381" s="7">
        <v>2.0</v>
      </c>
      <c r="J381" s="6">
        <v>46666.0</v>
      </c>
      <c r="K381" s="2">
        <v>0.0</v>
      </c>
      <c r="L381" s="2">
        <v>46666.0</v>
      </c>
      <c r="M381" s="2">
        <v>0.0</v>
      </c>
      <c r="N381" s="2">
        <v>46666.0</v>
      </c>
      <c r="O381" s="2">
        <v>2333.0</v>
      </c>
      <c r="P381" s="2" t="s">
        <v>1574</v>
      </c>
      <c r="Q381" s="2" t="s">
        <v>1568</v>
      </c>
      <c r="R381" s="2" t="s">
        <v>1569</v>
      </c>
      <c r="S381" s="2" t="s">
        <v>1570</v>
      </c>
      <c r="W381" s="2" t="s">
        <v>1571</v>
      </c>
    </row>
    <row r="382">
      <c r="A382" s="4">
        <v>45556.83819444444</v>
      </c>
      <c r="B382" s="5">
        <v>2748483.0</v>
      </c>
      <c r="C382" s="2" t="s">
        <v>1564</v>
      </c>
      <c r="D382" s="2" t="s">
        <v>1572</v>
      </c>
      <c r="E382" s="2">
        <v>10128.0</v>
      </c>
      <c r="F382" s="2" t="s">
        <v>1588</v>
      </c>
      <c r="I382" s="7">
        <v>-2.0</v>
      </c>
      <c r="J382" s="6">
        <v>-46666.0</v>
      </c>
      <c r="K382" s="2">
        <v>0.0</v>
      </c>
      <c r="L382" s="2">
        <v>-46666.0</v>
      </c>
      <c r="M382" s="2">
        <v>0.0</v>
      </c>
      <c r="N382" s="2">
        <v>-46666.0</v>
      </c>
      <c r="O382" s="2">
        <v>-2333.0</v>
      </c>
      <c r="P382" s="2" t="s">
        <v>1574</v>
      </c>
      <c r="Q382" s="2" t="s">
        <v>1568</v>
      </c>
      <c r="R382" s="2" t="s">
        <v>1569</v>
      </c>
      <c r="S382" s="2" t="s">
        <v>1570</v>
      </c>
      <c r="W382" s="2" t="s">
        <v>1571</v>
      </c>
    </row>
    <row r="383">
      <c r="A383" s="4">
        <v>45556.83819444444</v>
      </c>
      <c r="B383" s="5">
        <v>2748117.0</v>
      </c>
      <c r="C383" s="2" t="s">
        <v>1575</v>
      </c>
      <c r="D383" s="2" t="s">
        <v>1572</v>
      </c>
      <c r="E383" s="2">
        <v>10128.0</v>
      </c>
      <c r="F383" s="2" t="s">
        <v>1588</v>
      </c>
      <c r="I383" s="7">
        <v>2.0</v>
      </c>
      <c r="J383" s="6">
        <v>46666.0</v>
      </c>
      <c r="K383" s="2">
        <v>0.0</v>
      </c>
      <c r="L383" s="2">
        <v>46666.0</v>
      </c>
      <c r="M383" s="2">
        <v>0.0</v>
      </c>
      <c r="N383" s="2">
        <v>46666.0</v>
      </c>
      <c r="O383" s="2">
        <v>2333.0</v>
      </c>
      <c r="P383" s="2" t="s">
        <v>1574</v>
      </c>
      <c r="Q383" s="2" t="s">
        <v>1568</v>
      </c>
      <c r="R383" s="2" t="s">
        <v>1569</v>
      </c>
      <c r="S383" s="2" t="s">
        <v>1570</v>
      </c>
      <c r="W383" s="2" t="s">
        <v>1571</v>
      </c>
    </row>
    <row r="384">
      <c r="A384" s="4">
        <v>45556.83263888889</v>
      </c>
      <c r="B384" s="5">
        <v>2747752.0</v>
      </c>
      <c r="C384" s="2" t="s">
        <v>1575</v>
      </c>
      <c r="D384" s="2" t="s">
        <v>1572</v>
      </c>
      <c r="E384" s="2">
        <v>10128.0</v>
      </c>
      <c r="F384" s="2" t="s">
        <v>1588</v>
      </c>
      <c r="I384" s="7">
        <v>1.0</v>
      </c>
      <c r="J384" s="6">
        <v>23333.0</v>
      </c>
      <c r="K384" s="2">
        <v>0.0</v>
      </c>
      <c r="L384" s="2">
        <v>23333.0</v>
      </c>
      <c r="M384" s="2">
        <v>0.0</v>
      </c>
      <c r="N384" s="2">
        <v>23333.0</v>
      </c>
      <c r="O384" s="2">
        <v>1167.0</v>
      </c>
      <c r="P384" s="2" t="s">
        <v>1574</v>
      </c>
      <c r="Q384" s="2" t="s">
        <v>1568</v>
      </c>
      <c r="R384" s="2" t="s">
        <v>1569</v>
      </c>
      <c r="S384" s="2" t="s">
        <v>1570</v>
      </c>
      <c r="W384" s="2" t="s">
        <v>1571</v>
      </c>
    </row>
    <row r="385">
      <c r="A385" s="4">
        <v>45556.83263888889</v>
      </c>
      <c r="B385" s="5">
        <v>2747752.0</v>
      </c>
      <c r="C385" s="2" t="s">
        <v>1575</v>
      </c>
      <c r="D385" s="2" t="s">
        <v>1572</v>
      </c>
      <c r="E385" s="2">
        <v>10107.0</v>
      </c>
      <c r="F385" s="2" t="s">
        <v>1584</v>
      </c>
      <c r="I385" s="7">
        <v>1.0</v>
      </c>
      <c r="J385" s="6">
        <v>26667.0</v>
      </c>
      <c r="K385" s="2">
        <v>0.0</v>
      </c>
      <c r="L385" s="2">
        <v>26667.0</v>
      </c>
      <c r="M385" s="2">
        <v>0.0</v>
      </c>
      <c r="N385" s="2">
        <v>26667.0</v>
      </c>
      <c r="O385" s="2">
        <v>1333.0</v>
      </c>
      <c r="P385" s="2" t="s">
        <v>1574</v>
      </c>
      <c r="Q385" s="2" t="s">
        <v>1568</v>
      </c>
      <c r="R385" s="2" t="s">
        <v>1569</v>
      </c>
      <c r="S385" s="2" t="s">
        <v>1570</v>
      </c>
      <c r="W385" s="2" t="s">
        <v>1571</v>
      </c>
    </row>
    <row r="386">
      <c r="A386" s="4">
        <v>45556.82708333333</v>
      </c>
      <c r="B386" s="5">
        <v>2747387.0</v>
      </c>
      <c r="C386" s="2" t="s">
        <v>1575</v>
      </c>
      <c r="D386" s="2" t="s">
        <v>1565</v>
      </c>
      <c r="E386" s="2">
        <v>10005.0</v>
      </c>
      <c r="F386" s="2" t="s">
        <v>1595</v>
      </c>
      <c r="I386" s="7">
        <v>1.0</v>
      </c>
      <c r="J386" s="6">
        <v>19524.0</v>
      </c>
      <c r="K386" s="2">
        <v>0.0</v>
      </c>
      <c r="L386" s="2">
        <v>19524.0</v>
      </c>
      <c r="M386" s="2">
        <v>0.0</v>
      </c>
      <c r="N386" s="2">
        <v>19524.0</v>
      </c>
      <c r="O386" s="2">
        <v>976.0</v>
      </c>
      <c r="P386" s="2" t="s">
        <v>1574</v>
      </c>
      <c r="Q386" s="2" t="s">
        <v>1568</v>
      </c>
      <c r="R386" s="2" t="s">
        <v>1569</v>
      </c>
      <c r="S386" s="2" t="s">
        <v>1570</v>
      </c>
      <c r="W386" s="2" t="s">
        <v>1571</v>
      </c>
    </row>
    <row r="387">
      <c r="A387" s="4">
        <v>45556.82708333333</v>
      </c>
      <c r="B387" s="5">
        <v>2747387.0</v>
      </c>
      <c r="C387" s="2" t="s">
        <v>1575</v>
      </c>
      <c r="D387" s="2" t="s">
        <v>1572</v>
      </c>
      <c r="E387" s="2">
        <v>10128.0</v>
      </c>
      <c r="F387" s="2" t="s">
        <v>1588</v>
      </c>
      <c r="I387" s="7">
        <v>1.0</v>
      </c>
      <c r="J387" s="6">
        <v>23333.0</v>
      </c>
      <c r="K387" s="2">
        <v>0.0</v>
      </c>
      <c r="L387" s="2">
        <v>23333.0</v>
      </c>
      <c r="M387" s="2">
        <v>0.0</v>
      </c>
      <c r="N387" s="2">
        <v>23333.0</v>
      </c>
      <c r="O387" s="2">
        <v>1167.0</v>
      </c>
      <c r="P387" s="2" t="s">
        <v>1574</v>
      </c>
      <c r="Q387" s="2" t="s">
        <v>1568</v>
      </c>
      <c r="R387" s="2" t="s">
        <v>1569</v>
      </c>
      <c r="S387" s="2" t="s">
        <v>1570</v>
      </c>
      <c r="W387" s="2" t="s">
        <v>1571</v>
      </c>
    </row>
    <row r="388">
      <c r="A388" s="4">
        <v>45556.802777777775</v>
      </c>
      <c r="B388" s="5">
        <v>2747022.0</v>
      </c>
      <c r="C388" s="2" t="s">
        <v>1575</v>
      </c>
      <c r="D388" s="2" t="s">
        <v>1565</v>
      </c>
      <c r="E388" s="2">
        <v>10033.0</v>
      </c>
      <c r="F388" s="2" t="s">
        <v>1615</v>
      </c>
      <c r="I388" s="7">
        <v>1.0</v>
      </c>
      <c r="J388" s="6">
        <v>21905.0</v>
      </c>
      <c r="K388" s="2">
        <v>0.0</v>
      </c>
      <c r="L388" s="2">
        <v>21905.0</v>
      </c>
      <c r="M388" s="2">
        <v>0.0</v>
      </c>
      <c r="N388" s="2">
        <v>21905.0</v>
      </c>
      <c r="O388" s="2">
        <v>1095.0</v>
      </c>
      <c r="P388" s="2" t="s">
        <v>1574</v>
      </c>
      <c r="Q388" s="2" t="s">
        <v>1568</v>
      </c>
      <c r="R388" s="2" t="s">
        <v>1569</v>
      </c>
      <c r="S388" s="2" t="s">
        <v>1570</v>
      </c>
      <c r="W388" s="2" t="s">
        <v>1571</v>
      </c>
    </row>
    <row r="389">
      <c r="A389" s="4">
        <v>45556.802083333336</v>
      </c>
      <c r="B389" s="5">
        <v>2746656.0</v>
      </c>
      <c r="C389" s="2" t="s">
        <v>1575</v>
      </c>
      <c r="D389" s="2" t="s">
        <v>1565</v>
      </c>
      <c r="E389" s="2">
        <v>10000.0</v>
      </c>
      <c r="F389" s="2" t="s">
        <v>1566</v>
      </c>
      <c r="I389" s="7">
        <v>1.0</v>
      </c>
      <c r="J389" s="6">
        <v>29524.0</v>
      </c>
      <c r="K389" s="2">
        <v>0.0</v>
      </c>
      <c r="L389" s="2">
        <v>29524.0</v>
      </c>
      <c r="M389" s="2">
        <v>0.0</v>
      </c>
      <c r="N389" s="2">
        <v>29524.0</v>
      </c>
      <c r="O389" s="2">
        <v>1476.0</v>
      </c>
      <c r="P389" s="2" t="s">
        <v>1574</v>
      </c>
      <c r="Q389" s="2" t="s">
        <v>1568</v>
      </c>
      <c r="R389" s="2" t="s">
        <v>1569</v>
      </c>
      <c r="S389" s="2" t="s">
        <v>1570</v>
      </c>
      <c r="W389" s="2" t="s">
        <v>1571</v>
      </c>
    </row>
    <row r="390">
      <c r="A390" s="4">
        <v>45556.799305555556</v>
      </c>
      <c r="B390" s="5">
        <v>2746291.0</v>
      </c>
      <c r="C390" s="2" t="s">
        <v>1575</v>
      </c>
      <c r="D390" s="2" t="s">
        <v>1572</v>
      </c>
      <c r="E390" s="2">
        <v>10112.0</v>
      </c>
      <c r="F390" s="2" t="s">
        <v>1573</v>
      </c>
      <c r="I390" s="7">
        <v>1.0</v>
      </c>
      <c r="J390" s="6">
        <v>6667.0</v>
      </c>
      <c r="K390" s="2">
        <v>0.0</v>
      </c>
      <c r="L390" s="2">
        <v>6667.0</v>
      </c>
      <c r="M390" s="2">
        <v>0.0</v>
      </c>
      <c r="N390" s="2">
        <v>6667.0</v>
      </c>
      <c r="O390" s="2">
        <v>333.0</v>
      </c>
      <c r="P390" s="2" t="s">
        <v>1574</v>
      </c>
      <c r="Q390" s="2" t="s">
        <v>1568</v>
      </c>
      <c r="R390" s="2" t="s">
        <v>1569</v>
      </c>
      <c r="S390" s="2" t="s">
        <v>1570</v>
      </c>
      <c r="W390" s="2" t="s">
        <v>1571</v>
      </c>
    </row>
    <row r="391">
      <c r="A391" s="4">
        <v>45556.76527777778</v>
      </c>
      <c r="B391" s="5">
        <v>2745926.0</v>
      </c>
      <c r="C391" s="2" t="s">
        <v>1575</v>
      </c>
      <c r="D391" s="2" t="s">
        <v>1572</v>
      </c>
      <c r="E391" s="2">
        <v>10122.0</v>
      </c>
      <c r="F391" s="2" t="s">
        <v>1577</v>
      </c>
      <c r="I391" s="7">
        <v>1.0</v>
      </c>
      <c r="J391" s="6">
        <v>21905.0</v>
      </c>
      <c r="K391" s="2">
        <v>0.0</v>
      </c>
      <c r="L391" s="2">
        <v>21905.0</v>
      </c>
      <c r="M391" s="2">
        <v>0.0</v>
      </c>
      <c r="N391" s="2">
        <v>21905.0</v>
      </c>
      <c r="O391" s="2">
        <v>1095.0</v>
      </c>
      <c r="P391" s="2" t="s">
        <v>1574</v>
      </c>
      <c r="Q391" s="2" t="s">
        <v>1568</v>
      </c>
      <c r="R391" s="2" t="s">
        <v>1569</v>
      </c>
      <c r="S391" s="2" t="s">
        <v>1570</v>
      </c>
      <c r="W391" s="2" t="s">
        <v>1571</v>
      </c>
    </row>
    <row r="392">
      <c r="A392" s="4">
        <v>45556.76527777778</v>
      </c>
      <c r="B392" s="5">
        <v>2745926.0</v>
      </c>
      <c r="C392" s="2" t="s">
        <v>1575</v>
      </c>
      <c r="D392" s="2" t="s">
        <v>1565</v>
      </c>
      <c r="E392" s="2">
        <v>10055.0</v>
      </c>
      <c r="F392" s="2" t="s">
        <v>1597</v>
      </c>
      <c r="I392" s="7">
        <v>1.0</v>
      </c>
      <c r="J392" s="6">
        <v>34762.0</v>
      </c>
      <c r="K392" s="2">
        <v>0.0</v>
      </c>
      <c r="L392" s="2">
        <v>34762.0</v>
      </c>
      <c r="M392" s="2">
        <v>0.0</v>
      </c>
      <c r="N392" s="2">
        <v>34762.0</v>
      </c>
      <c r="O392" s="2">
        <v>1738.0</v>
      </c>
      <c r="P392" s="2" t="s">
        <v>1574</v>
      </c>
      <c r="Q392" s="2" t="s">
        <v>1568</v>
      </c>
      <c r="R392" s="2" t="s">
        <v>1569</v>
      </c>
      <c r="S392" s="2" t="s">
        <v>1570</v>
      </c>
      <c r="W392" s="2" t="s">
        <v>1571</v>
      </c>
    </row>
    <row r="393">
      <c r="A393" s="4">
        <v>45556.739583333336</v>
      </c>
      <c r="B393" s="5">
        <v>2745561.0</v>
      </c>
      <c r="C393" s="2" t="s">
        <v>1575</v>
      </c>
      <c r="D393" s="2" t="s">
        <v>1580</v>
      </c>
      <c r="E393" s="2">
        <v>10012.0</v>
      </c>
      <c r="F393" s="2" t="s">
        <v>1602</v>
      </c>
      <c r="I393" s="7">
        <v>1.0</v>
      </c>
      <c r="J393" s="6">
        <v>29524.0</v>
      </c>
      <c r="K393" s="2">
        <v>0.0</v>
      </c>
      <c r="L393" s="2">
        <v>29524.0</v>
      </c>
      <c r="M393" s="2">
        <v>0.0</v>
      </c>
      <c r="N393" s="2">
        <v>29524.0</v>
      </c>
      <c r="O393" s="2">
        <v>1476.0</v>
      </c>
      <c r="P393" s="2" t="s">
        <v>1574</v>
      </c>
      <c r="Q393" s="2" t="s">
        <v>1568</v>
      </c>
      <c r="R393" s="2" t="s">
        <v>1569</v>
      </c>
      <c r="S393" s="2" t="s">
        <v>1570</v>
      </c>
      <c r="W393" s="2" t="s">
        <v>1571</v>
      </c>
    </row>
    <row r="394">
      <c r="A394" s="4">
        <v>45556.739583333336</v>
      </c>
      <c r="B394" s="5">
        <v>2745561.0</v>
      </c>
      <c r="C394" s="2" t="s">
        <v>1575</v>
      </c>
      <c r="D394" s="2" t="s">
        <v>1565</v>
      </c>
      <c r="E394" s="2">
        <v>10002.0</v>
      </c>
      <c r="F394" s="2" t="s">
        <v>1576</v>
      </c>
      <c r="I394" s="7">
        <v>1.0</v>
      </c>
      <c r="J394" s="6">
        <v>18571.0</v>
      </c>
      <c r="K394" s="2">
        <v>0.0</v>
      </c>
      <c r="L394" s="2">
        <v>18571.0</v>
      </c>
      <c r="M394" s="2">
        <v>0.0</v>
      </c>
      <c r="N394" s="2">
        <v>18571.0</v>
      </c>
      <c r="O394" s="2">
        <v>929.0</v>
      </c>
      <c r="P394" s="2" t="s">
        <v>1574</v>
      </c>
      <c r="Q394" s="2" t="s">
        <v>1568</v>
      </c>
      <c r="R394" s="2" t="s">
        <v>1569</v>
      </c>
      <c r="S394" s="2" t="s">
        <v>1570</v>
      </c>
      <c r="W394" s="2" t="s">
        <v>1571</v>
      </c>
    </row>
    <row r="395">
      <c r="A395" s="4">
        <v>45556.739583333336</v>
      </c>
      <c r="B395" s="5">
        <v>2745561.0</v>
      </c>
      <c r="C395" s="2" t="s">
        <v>1575</v>
      </c>
      <c r="D395" s="2" t="s">
        <v>1565</v>
      </c>
      <c r="E395" s="2">
        <v>10005.0</v>
      </c>
      <c r="F395" s="2" t="s">
        <v>1595</v>
      </c>
      <c r="I395" s="7">
        <v>1.0</v>
      </c>
      <c r="J395" s="6">
        <v>19524.0</v>
      </c>
      <c r="K395" s="2">
        <v>0.0</v>
      </c>
      <c r="L395" s="2">
        <v>19524.0</v>
      </c>
      <c r="M395" s="2">
        <v>0.0</v>
      </c>
      <c r="N395" s="2">
        <v>19524.0</v>
      </c>
      <c r="O395" s="2">
        <v>976.0</v>
      </c>
      <c r="P395" s="2" t="s">
        <v>1574</v>
      </c>
      <c r="Q395" s="2" t="s">
        <v>1568</v>
      </c>
      <c r="R395" s="2" t="s">
        <v>1569</v>
      </c>
      <c r="S395" s="2" t="s">
        <v>1570</v>
      </c>
      <c r="W395" s="2" t="s">
        <v>1571</v>
      </c>
    </row>
    <row r="396">
      <c r="A396" s="4">
        <v>45556.739583333336</v>
      </c>
      <c r="B396" s="5">
        <v>2745561.0</v>
      </c>
      <c r="C396" s="2" t="s">
        <v>1575</v>
      </c>
      <c r="D396" s="2" t="s">
        <v>1572</v>
      </c>
      <c r="E396" s="2">
        <v>10118.0</v>
      </c>
      <c r="F396" s="2" t="s">
        <v>1604</v>
      </c>
      <c r="I396" s="7">
        <v>1.0</v>
      </c>
      <c r="J396" s="6">
        <v>7143.0</v>
      </c>
      <c r="K396" s="2">
        <v>0.0</v>
      </c>
      <c r="L396" s="2">
        <v>7143.0</v>
      </c>
      <c r="M396" s="2">
        <v>0.0</v>
      </c>
      <c r="N396" s="2">
        <v>7143.0</v>
      </c>
      <c r="O396" s="2">
        <v>357.0</v>
      </c>
      <c r="P396" s="2" t="s">
        <v>1574</v>
      </c>
      <c r="Q396" s="2" t="s">
        <v>1568</v>
      </c>
      <c r="R396" s="2" t="s">
        <v>1569</v>
      </c>
      <c r="S396" s="2" t="s">
        <v>1570</v>
      </c>
      <c r="W396" s="2" t="s">
        <v>1571</v>
      </c>
    </row>
    <row r="397">
      <c r="A397" s="4">
        <v>45556.739583333336</v>
      </c>
      <c r="B397" s="5">
        <v>2745561.0</v>
      </c>
      <c r="C397" s="2" t="s">
        <v>1575</v>
      </c>
      <c r="D397" s="2" t="s">
        <v>1572</v>
      </c>
      <c r="E397" s="2">
        <v>10122.0</v>
      </c>
      <c r="F397" s="2" t="s">
        <v>1577</v>
      </c>
      <c r="I397" s="7">
        <v>1.0</v>
      </c>
      <c r="J397" s="6">
        <v>21905.0</v>
      </c>
      <c r="K397" s="2">
        <v>0.0</v>
      </c>
      <c r="L397" s="2">
        <v>21905.0</v>
      </c>
      <c r="M397" s="2">
        <v>0.0</v>
      </c>
      <c r="N397" s="2">
        <v>21905.0</v>
      </c>
      <c r="O397" s="2">
        <v>1095.0</v>
      </c>
      <c r="P397" s="2" t="s">
        <v>1574</v>
      </c>
      <c r="Q397" s="2" t="s">
        <v>1568</v>
      </c>
      <c r="R397" s="2" t="s">
        <v>1569</v>
      </c>
      <c r="S397" s="2" t="s">
        <v>1570</v>
      </c>
      <c r="W397" s="2" t="s">
        <v>1571</v>
      </c>
    </row>
    <row r="398">
      <c r="A398" s="4">
        <v>45556.72638888889</v>
      </c>
      <c r="B398" s="5">
        <v>2745195.0</v>
      </c>
      <c r="C398" s="2" t="s">
        <v>1575</v>
      </c>
      <c r="D398" s="2" t="s">
        <v>1572</v>
      </c>
      <c r="E398" s="2">
        <v>10026.0</v>
      </c>
      <c r="F398" s="2" t="s">
        <v>1583</v>
      </c>
      <c r="I398" s="7">
        <v>1.0</v>
      </c>
      <c r="J398" s="6">
        <v>21905.0</v>
      </c>
      <c r="K398" s="2">
        <v>0.0</v>
      </c>
      <c r="L398" s="2">
        <v>21905.0</v>
      </c>
      <c r="M398" s="2">
        <v>0.0</v>
      </c>
      <c r="N398" s="2">
        <v>21905.0</v>
      </c>
      <c r="O398" s="2">
        <v>1095.0</v>
      </c>
      <c r="P398" s="2" t="s">
        <v>1574</v>
      </c>
      <c r="Q398" s="2" t="s">
        <v>1568</v>
      </c>
      <c r="R398" s="2" t="s">
        <v>1569</v>
      </c>
      <c r="S398" s="2" t="s">
        <v>1570</v>
      </c>
      <c r="W398" s="2" t="s">
        <v>1571</v>
      </c>
    </row>
    <row r="399">
      <c r="A399" s="4">
        <v>45556.72638888889</v>
      </c>
      <c r="B399" s="5">
        <v>2745195.0</v>
      </c>
      <c r="C399" s="2" t="s">
        <v>1575</v>
      </c>
      <c r="D399" s="2" t="s">
        <v>1565</v>
      </c>
      <c r="E399" s="2">
        <v>10033.0</v>
      </c>
      <c r="F399" s="2" t="s">
        <v>1615</v>
      </c>
      <c r="I399" s="7">
        <v>1.0</v>
      </c>
      <c r="J399" s="6">
        <v>21905.0</v>
      </c>
      <c r="K399" s="2">
        <v>0.0</v>
      </c>
      <c r="L399" s="2">
        <v>21905.0</v>
      </c>
      <c r="M399" s="2">
        <v>0.0</v>
      </c>
      <c r="N399" s="2">
        <v>21905.0</v>
      </c>
      <c r="O399" s="2">
        <v>1096.0</v>
      </c>
      <c r="P399" s="2" t="s">
        <v>1574</v>
      </c>
      <c r="Q399" s="2" t="s">
        <v>1568</v>
      </c>
      <c r="R399" s="2" t="s">
        <v>1569</v>
      </c>
      <c r="S399" s="2" t="s">
        <v>1570</v>
      </c>
      <c r="W399" s="2" t="s">
        <v>1571</v>
      </c>
    </row>
    <row r="400">
      <c r="A400" s="4">
        <v>45556.72638888889</v>
      </c>
      <c r="B400" s="5">
        <v>2745195.0</v>
      </c>
      <c r="C400" s="2" t="s">
        <v>1575</v>
      </c>
      <c r="D400" s="2" t="s">
        <v>1572</v>
      </c>
      <c r="E400" s="2">
        <v>10128.0</v>
      </c>
      <c r="F400" s="2" t="s">
        <v>1588</v>
      </c>
      <c r="I400" s="7">
        <v>1.0</v>
      </c>
      <c r="J400" s="6">
        <v>23333.0</v>
      </c>
      <c r="K400" s="2">
        <v>0.0</v>
      </c>
      <c r="L400" s="2">
        <v>23333.0</v>
      </c>
      <c r="M400" s="2">
        <v>0.0</v>
      </c>
      <c r="N400" s="2">
        <v>23333.0</v>
      </c>
      <c r="O400" s="2">
        <v>1166.0</v>
      </c>
      <c r="P400" s="2" t="s">
        <v>1574</v>
      </c>
      <c r="Q400" s="2" t="s">
        <v>1568</v>
      </c>
      <c r="R400" s="2" t="s">
        <v>1569</v>
      </c>
      <c r="S400" s="2" t="s">
        <v>1570</v>
      </c>
      <c r="W400" s="2" t="s">
        <v>1571</v>
      </c>
    </row>
    <row r="401">
      <c r="A401" s="4">
        <v>45556.71944444445</v>
      </c>
      <c r="B401" s="5">
        <v>2744830.0</v>
      </c>
      <c r="C401" s="2" t="s">
        <v>1575</v>
      </c>
      <c r="D401" s="2" t="s">
        <v>1565</v>
      </c>
      <c r="E401" s="2">
        <v>10054.0</v>
      </c>
      <c r="F401" s="2" t="s">
        <v>1610</v>
      </c>
      <c r="I401" s="7">
        <v>1.0</v>
      </c>
      <c r="J401" s="6">
        <v>25238.0</v>
      </c>
      <c r="K401" s="2">
        <v>0.0</v>
      </c>
      <c r="L401" s="2">
        <v>25238.0</v>
      </c>
      <c r="M401" s="2">
        <v>0.0</v>
      </c>
      <c r="N401" s="2">
        <v>25238.0</v>
      </c>
      <c r="O401" s="2">
        <v>1262.0</v>
      </c>
      <c r="P401" s="2" t="s">
        <v>1574</v>
      </c>
      <c r="Q401" s="2" t="s">
        <v>1568</v>
      </c>
      <c r="R401" s="2" t="s">
        <v>1569</v>
      </c>
      <c r="S401" s="2" t="s">
        <v>1570</v>
      </c>
      <c r="W401" s="2" t="s">
        <v>1571</v>
      </c>
    </row>
    <row r="402">
      <c r="A402" s="4">
        <v>45556.71944444445</v>
      </c>
      <c r="B402" s="5">
        <v>2744830.0</v>
      </c>
      <c r="C402" s="2" t="s">
        <v>1575</v>
      </c>
      <c r="D402" s="2" t="s">
        <v>1578</v>
      </c>
      <c r="E402" s="2">
        <v>10014.0</v>
      </c>
      <c r="F402" s="2" t="s">
        <v>1609</v>
      </c>
      <c r="I402" s="7">
        <v>1.0</v>
      </c>
      <c r="J402" s="6">
        <v>25238.0</v>
      </c>
      <c r="K402" s="2">
        <v>0.0</v>
      </c>
      <c r="L402" s="2">
        <v>25238.0</v>
      </c>
      <c r="M402" s="2">
        <v>0.0</v>
      </c>
      <c r="N402" s="2">
        <v>25238.0</v>
      </c>
      <c r="O402" s="2">
        <v>1262.0</v>
      </c>
      <c r="P402" s="2" t="s">
        <v>1574</v>
      </c>
      <c r="Q402" s="2" t="s">
        <v>1568</v>
      </c>
      <c r="R402" s="2" t="s">
        <v>1569</v>
      </c>
      <c r="S402" s="2" t="s">
        <v>1570</v>
      </c>
      <c r="W402" s="2" t="s">
        <v>1571</v>
      </c>
    </row>
    <row r="403">
      <c r="A403" s="4">
        <v>45556.71944444445</v>
      </c>
      <c r="B403" s="5">
        <v>2744830.0</v>
      </c>
      <c r="C403" s="2" t="s">
        <v>1575</v>
      </c>
      <c r="D403" s="2" t="s">
        <v>1572</v>
      </c>
      <c r="E403" s="2">
        <v>10119.0</v>
      </c>
      <c r="F403" s="2" t="s">
        <v>1582</v>
      </c>
      <c r="I403" s="7">
        <v>1.0</v>
      </c>
      <c r="J403" s="6">
        <v>7143.0</v>
      </c>
      <c r="K403" s="2">
        <v>0.0</v>
      </c>
      <c r="L403" s="2">
        <v>7143.0</v>
      </c>
      <c r="M403" s="2">
        <v>0.0</v>
      </c>
      <c r="N403" s="2">
        <v>7143.0</v>
      </c>
      <c r="O403" s="2">
        <v>357.0</v>
      </c>
      <c r="P403" s="2" t="s">
        <v>1574</v>
      </c>
      <c r="Q403" s="2" t="s">
        <v>1568</v>
      </c>
      <c r="R403" s="2" t="s">
        <v>1569</v>
      </c>
      <c r="S403" s="2" t="s">
        <v>1570</v>
      </c>
      <c r="W403" s="2" t="s">
        <v>1571</v>
      </c>
    </row>
    <row r="404">
      <c r="A404" s="4">
        <v>45556.71319444444</v>
      </c>
      <c r="B404" s="5">
        <v>2744465.0</v>
      </c>
      <c r="C404" s="2" t="s">
        <v>1575</v>
      </c>
      <c r="D404" s="2" t="s">
        <v>1565</v>
      </c>
      <c r="E404" s="2">
        <v>10007.0</v>
      </c>
      <c r="F404" s="2" t="s">
        <v>1596</v>
      </c>
      <c r="I404" s="7">
        <v>1.0</v>
      </c>
      <c r="J404" s="6">
        <v>33810.0</v>
      </c>
      <c r="K404" s="2">
        <v>0.0</v>
      </c>
      <c r="L404" s="2">
        <v>33810.0</v>
      </c>
      <c r="M404" s="2">
        <v>0.0</v>
      </c>
      <c r="N404" s="2">
        <v>33810.0</v>
      </c>
      <c r="O404" s="2">
        <v>1691.0</v>
      </c>
      <c r="P404" s="2" t="s">
        <v>1574</v>
      </c>
      <c r="Q404" s="2" t="s">
        <v>1568</v>
      </c>
      <c r="R404" s="2" t="s">
        <v>1569</v>
      </c>
      <c r="S404" s="2" t="s">
        <v>1570</v>
      </c>
      <c r="W404" s="2" t="s">
        <v>1571</v>
      </c>
    </row>
    <row r="405">
      <c r="A405" s="4">
        <v>45556.691666666666</v>
      </c>
      <c r="B405" s="5">
        <v>2744100.0</v>
      </c>
      <c r="C405" s="2" t="s">
        <v>1575</v>
      </c>
      <c r="D405" s="2" t="s">
        <v>1578</v>
      </c>
      <c r="E405" s="2">
        <v>10015.0</v>
      </c>
      <c r="F405" s="2" t="s">
        <v>1587</v>
      </c>
      <c r="I405" s="7">
        <v>1.0</v>
      </c>
      <c r="J405" s="6">
        <v>25238.0</v>
      </c>
      <c r="K405" s="2">
        <v>0.0</v>
      </c>
      <c r="L405" s="2">
        <v>25238.0</v>
      </c>
      <c r="M405" s="2">
        <v>0.0</v>
      </c>
      <c r="N405" s="2">
        <v>25238.0</v>
      </c>
      <c r="O405" s="2">
        <v>1262.0</v>
      </c>
      <c r="P405" s="2" t="s">
        <v>1574</v>
      </c>
      <c r="Q405" s="2" t="s">
        <v>1568</v>
      </c>
      <c r="R405" s="2" t="s">
        <v>1569</v>
      </c>
      <c r="S405" s="2" t="s">
        <v>1570</v>
      </c>
      <c r="W405" s="2" t="s">
        <v>1571</v>
      </c>
    </row>
    <row r="406">
      <c r="A406" s="4">
        <v>45556.691666666666</v>
      </c>
      <c r="B406" s="5">
        <v>2744100.0</v>
      </c>
      <c r="C406" s="2" t="s">
        <v>1575</v>
      </c>
      <c r="D406" s="2" t="s">
        <v>1572</v>
      </c>
      <c r="E406" s="2">
        <v>10128.0</v>
      </c>
      <c r="F406" s="2" t="s">
        <v>1588</v>
      </c>
      <c r="I406" s="7">
        <v>1.0</v>
      </c>
      <c r="J406" s="6">
        <v>23333.0</v>
      </c>
      <c r="K406" s="2">
        <v>0.0</v>
      </c>
      <c r="L406" s="2">
        <v>23333.0</v>
      </c>
      <c r="M406" s="2">
        <v>0.0</v>
      </c>
      <c r="N406" s="2">
        <v>23333.0</v>
      </c>
      <c r="O406" s="2">
        <v>1167.0</v>
      </c>
      <c r="P406" s="2" t="s">
        <v>1574</v>
      </c>
      <c r="Q406" s="2" t="s">
        <v>1568</v>
      </c>
      <c r="R406" s="2" t="s">
        <v>1569</v>
      </c>
      <c r="S406" s="2" t="s">
        <v>1570</v>
      </c>
      <c r="W406" s="2" t="s">
        <v>1571</v>
      </c>
    </row>
    <row r="407">
      <c r="A407" s="4">
        <v>45556.691666666666</v>
      </c>
      <c r="B407" s="5">
        <v>2744100.0</v>
      </c>
      <c r="C407" s="2" t="s">
        <v>1575</v>
      </c>
      <c r="D407" s="2" t="s">
        <v>1572</v>
      </c>
      <c r="E407" s="2">
        <v>10123.0</v>
      </c>
      <c r="F407" s="2" t="s">
        <v>1599</v>
      </c>
      <c r="I407" s="7">
        <v>1.0</v>
      </c>
      <c r="J407" s="6">
        <v>21905.0</v>
      </c>
      <c r="K407" s="2">
        <v>0.0</v>
      </c>
      <c r="L407" s="2">
        <v>21905.0</v>
      </c>
      <c r="M407" s="2">
        <v>0.0</v>
      </c>
      <c r="N407" s="2">
        <v>21905.0</v>
      </c>
      <c r="O407" s="2">
        <v>1095.0</v>
      </c>
      <c r="P407" s="2" t="s">
        <v>1574</v>
      </c>
      <c r="Q407" s="2" t="s">
        <v>1568</v>
      </c>
      <c r="R407" s="2" t="s">
        <v>1569</v>
      </c>
      <c r="S407" s="2" t="s">
        <v>1570</v>
      </c>
      <c r="W407" s="2" t="s">
        <v>1571</v>
      </c>
    </row>
    <row r="408">
      <c r="A408" s="4">
        <v>45556.691666666666</v>
      </c>
      <c r="B408" s="5">
        <v>2744100.0</v>
      </c>
      <c r="C408" s="2" t="s">
        <v>1575</v>
      </c>
      <c r="D408" s="2" t="s">
        <v>1565</v>
      </c>
      <c r="E408" s="2">
        <v>10002.0</v>
      </c>
      <c r="F408" s="2" t="s">
        <v>1576</v>
      </c>
      <c r="I408" s="7">
        <v>1.0</v>
      </c>
      <c r="J408" s="6">
        <v>18571.0</v>
      </c>
      <c r="K408" s="2">
        <v>0.0</v>
      </c>
      <c r="L408" s="2">
        <v>18571.0</v>
      </c>
      <c r="M408" s="2">
        <v>0.0</v>
      </c>
      <c r="N408" s="2">
        <v>18571.0</v>
      </c>
      <c r="O408" s="2">
        <v>928.0</v>
      </c>
      <c r="P408" s="2" t="s">
        <v>1574</v>
      </c>
      <c r="Q408" s="2" t="s">
        <v>1568</v>
      </c>
      <c r="R408" s="2" t="s">
        <v>1569</v>
      </c>
      <c r="S408" s="2" t="s">
        <v>1570</v>
      </c>
      <c r="W408" s="2" t="s">
        <v>1571</v>
      </c>
    </row>
    <row r="409">
      <c r="A409" s="4">
        <v>45556.691666666666</v>
      </c>
      <c r="B409" s="5">
        <v>2744100.0</v>
      </c>
      <c r="C409" s="2" t="s">
        <v>1575</v>
      </c>
      <c r="D409" s="2" t="s">
        <v>1565</v>
      </c>
      <c r="E409" s="2">
        <v>10005.0</v>
      </c>
      <c r="F409" s="2" t="s">
        <v>1595</v>
      </c>
      <c r="I409" s="7">
        <v>1.0</v>
      </c>
      <c r="J409" s="6">
        <v>19524.0</v>
      </c>
      <c r="K409" s="2">
        <v>0.0</v>
      </c>
      <c r="L409" s="2">
        <v>19524.0</v>
      </c>
      <c r="M409" s="2">
        <v>0.0</v>
      </c>
      <c r="N409" s="2">
        <v>19524.0</v>
      </c>
      <c r="O409" s="2">
        <v>977.0</v>
      </c>
      <c r="P409" s="2" t="s">
        <v>1574</v>
      </c>
      <c r="Q409" s="2" t="s">
        <v>1568</v>
      </c>
      <c r="R409" s="2" t="s">
        <v>1569</v>
      </c>
      <c r="S409" s="2" t="s">
        <v>1570</v>
      </c>
      <c r="W409" s="2" t="s">
        <v>1571</v>
      </c>
    </row>
    <row r="410">
      <c r="A410" s="4">
        <v>45556.68402777778</v>
      </c>
      <c r="B410" s="5">
        <v>2743734.0</v>
      </c>
      <c r="C410" s="2" t="s">
        <v>1575</v>
      </c>
      <c r="D410" s="2" t="s">
        <v>1572</v>
      </c>
      <c r="E410" s="2">
        <v>10112.0</v>
      </c>
      <c r="F410" s="2" t="s">
        <v>1573</v>
      </c>
      <c r="I410" s="7">
        <v>2.0</v>
      </c>
      <c r="J410" s="6">
        <v>13334.0</v>
      </c>
      <c r="K410" s="2">
        <v>0.0</v>
      </c>
      <c r="L410" s="2">
        <v>13334.0</v>
      </c>
      <c r="M410" s="2">
        <v>0.0</v>
      </c>
      <c r="N410" s="2">
        <v>13334.0</v>
      </c>
      <c r="O410" s="2">
        <v>667.0</v>
      </c>
      <c r="P410" s="2" t="s">
        <v>1574</v>
      </c>
      <c r="Q410" s="2" t="s">
        <v>1568</v>
      </c>
      <c r="R410" s="2" t="s">
        <v>1569</v>
      </c>
      <c r="S410" s="2" t="s">
        <v>1570</v>
      </c>
      <c r="W410" s="2" t="s">
        <v>1571</v>
      </c>
    </row>
    <row r="411">
      <c r="A411" s="4">
        <v>45556.66875</v>
      </c>
      <c r="B411" s="5">
        <v>2743369.0</v>
      </c>
      <c r="C411" s="2" t="s">
        <v>1575</v>
      </c>
      <c r="D411" s="2" t="s">
        <v>1565</v>
      </c>
      <c r="E411" s="2">
        <v>10007.0</v>
      </c>
      <c r="F411" s="2" t="s">
        <v>1596</v>
      </c>
      <c r="I411" s="7">
        <v>1.0</v>
      </c>
      <c r="J411" s="6">
        <v>33810.0</v>
      </c>
      <c r="K411" s="2">
        <v>0.0</v>
      </c>
      <c r="L411" s="2">
        <v>33810.0</v>
      </c>
      <c r="M411" s="2">
        <v>0.0</v>
      </c>
      <c r="N411" s="2">
        <v>33810.0</v>
      </c>
      <c r="O411" s="2">
        <v>1691.0</v>
      </c>
      <c r="P411" s="2" t="s">
        <v>1574</v>
      </c>
      <c r="Q411" s="2" t="s">
        <v>1568</v>
      </c>
      <c r="R411" s="2" t="s">
        <v>1569</v>
      </c>
      <c r="S411" s="2" t="s">
        <v>1570</v>
      </c>
      <c r="W411" s="2" t="s">
        <v>1571</v>
      </c>
    </row>
    <row r="412">
      <c r="A412" s="4">
        <v>45556.65</v>
      </c>
      <c r="B412" s="5">
        <v>2743004.0</v>
      </c>
      <c r="C412" s="2" t="s">
        <v>1575</v>
      </c>
      <c r="D412" s="2" t="s">
        <v>1565</v>
      </c>
      <c r="E412" s="2">
        <v>10002.0</v>
      </c>
      <c r="F412" s="2" t="s">
        <v>1576</v>
      </c>
      <c r="I412" s="7">
        <v>1.0</v>
      </c>
      <c r="J412" s="6">
        <v>18571.0</v>
      </c>
      <c r="K412" s="2">
        <v>0.0</v>
      </c>
      <c r="L412" s="2">
        <v>18571.0</v>
      </c>
      <c r="M412" s="2">
        <v>0.0</v>
      </c>
      <c r="N412" s="2">
        <v>18571.0</v>
      </c>
      <c r="O412" s="2">
        <v>929.0</v>
      </c>
      <c r="P412" s="2" t="s">
        <v>1574</v>
      </c>
      <c r="Q412" s="2" t="s">
        <v>1568</v>
      </c>
      <c r="R412" s="2" t="s">
        <v>1569</v>
      </c>
      <c r="S412" s="2" t="s">
        <v>1570</v>
      </c>
      <c r="W412" s="2" t="s">
        <v>1571</v>
      </c>
    </row>
    <row r="413">
      <c r="A413" s="4">
        <v>45556.65</v>
      </c>
      <c r="B413" s="5">
        <v>2743004.0</v>
      </c>
      <c r="C413" s="2" t="s">
        <v>1575</v>
      </c>
      <c r="D413" s="2" t="s">
        <v>1565</v>
      </c>
      <c r="E413" s="2">
        <v>10033.0</v>
      </c>
      <c r="F413" s="2" t="s">
        <v>1615</v>
      </c>
      <c r="I413" s="7">
        <v>1.0</v>
      </c>
      <c r="J413" s="6">
        <v>21905.0</v>
      </c>
      <c r="K413" s="2">
        <v>0.0</v>
      </c>
      <c r="L413" s="2">
        <v>21905.0</v>
      </c>
      <c r="M413" s="2">
        <v>0.0</v>
      </c>
      <c r="N413" s="2">
        <v>21905.0</v>
      </c>
      <c r="O413" s="2">
        <v>1095.0</v>
      </c>
      <c r="P413" s="2" t="s">
        <v>1574</v>
      </c>
      <c r="Q413" s="2" t="s">
        <v>1568</v>
      </c>
      <c r="R413" s="2" t="s">
        <v>1569</v>
      </c>
      <c r="S413" s="2" t="s">
        <v>1570</v>
      </c>
      <c r="W413" s="2" t="s">
        <v>1571</v>
      </c>
    </row>
    <row r="414">
      <c r="A414" s="4">
        <v>45556.65</v>
      </c>
      <c r="B414" s="5">
        <v>2743004.0</v>
      </c>
      <c r="C414" s="2" t="s">
        <v>1575</v>
      </c>
      <c r="D414" s="2" t="s">
        <v>1572</v>
      </c>
      <c r="E414" s="2">
        <v>10070.0</v>
      </c>
      <c r="F414" s="2" t="s">
        <v>1593</v>
      </c>
      <c r="I414" s="7">
        <v>1.0</v>
      </c>
      <c r="J414" s="6">
        <v>24762.0</v>
      </c>
      <c r="K414" s="2">
        <v>0.0</v>
      </c>
      <c r="L414" s="2">
        <v>24762.0</v>
      </c>
      <c r="M414" s="2">
        <v>0.0</v>
      </c>
      <c r="N414" s="2">
        <v>24762.0</v>
      </c>
      <c r="O414" s="2">
        <v>1238.0</v>
      </c>
      <c r="P414" s="2" t="s">
        <v>1574</v>
      </c>
      <c r="Q414" s="2" t="s">
        <v>1568</v>
      </c>
      <c r="R414" s="2" t="s">
        <v>1569</v>
      </c>
      <c r="S414" s="2" t="s">
        <v>1570</v>
      </c>
      <c r="W414" s="2" t="s">
        <v>1571</v>
      </c>
    </row>
    <row r="415">
      <c r="A415" s="4">
        <v>45556.65</v>
      </c>
      <c r="B415" s="5">
        <v>2743004.0</v>
      </c>
      <c r="C415" s="2" t="s">
        <v>1575</v>
      </c>
      <c r="D415" s="2" t="s">
        <v>1580</v>
      </c>
      <c r="E415" s="2">
        <v>10003.0</v>
      </c>
      <c r="F415" s="2" t="s">
        <v>1603</v>
      </c>
      <c r="I415" s="7">
        <v>1.0</v>
      </c>
      <c r="J415" s="6">
        <v>29524.0</v>
      </c>
      <c r="K415" s="2">
        <v>0.0</v>
      </c>
      <c r="L415" s="2">
        <v>29524.0</v>
      </c>
      <c r="M415" s="2">
        <v>0.0</v>
      </c>
      <c r="N415" s="2">
        <v>29524.0</v>
      </c>
      <c r="O415" s="2">
        <v>1476.0</v>
      </c>
      <c r="P415" s="2" t="s">
        <v>1574</v>
      </c>
      <c r="Q415" s="2" t="s">
        <v>1568</v>
      </c>
      <c r="R415" s="2" t="s">
        <v>1569</v>
      </c>
      <c r="S415" s="2" t="s">
        <v>1570</v>
      </c>
      <c r="W415" s="2" t="s">
        <v>1571</v>
      </c>
    </row>
    <row r="416">
      <c r="A416" s="4">
        <v>45556.65</v>
      </c>
      <c r="B416" s="5">
        <v>2743004.0</v>
      </c>
      <c r="C416" s="2" t="s">
        <v>1575</v>
      </c>
      <c r="D416" s="2" t="s">
        <v>1565</v>
      </c>
      <c r="E416" s="2">
        <v>10005.0</v>
      </c>
      <c r="F416" s="2" t="s">
        <v>1595</v>
      </c>
      <c r="I416" s="7">
        <v>1.0</v>
      </c>
      <c r="J416" s="6">
        <v>19524.0</v>
      </c>
      <c r="K416" s="2">
        <v>0.0</v>
      </c>
      <c r="L416" s="2">
        <v>19524.0</v>
      </c>
      <c r="M416" s="2">
        <v>0.0</v>
      </c>
      <c r="N416" s="2">
        <v>19524.0</v>
      </c>
      <c r="O416" s="2">
        <v>976.0</v>
      </c>
      <c r="P416" s="2" t="s">
        <v>1574</v>
      </c>
      <c r="Q416" s="2" t="s">
        <v>1568</v>
      </c>
      <c r="R416" s="2" t="s">
        <v>1569</v>
      </c>
      <c r="S416" s="2" t="s">
        <v>1570</v>
      </c>
      <c r="W416" s="2" t="s">
        <v>1571</v>
      </c>
    </row>
    <row r="417">
      <c r="A417" s="4">
        <v>45556.63680555556</v>
      </c>
      <c r="B417" s="5">
        <v>2742639.0</v>
      </c>
      <c r="C417" s="2" t="s">
        <v>1575</v>
      </c>
      <c r="D417" s="2" t="s">
        <v>1572</v>
      </c>
      <c r="E417" s="2">
        <v>10125.0</v>
      </c>
      <c r="F417" s="2" t="s">
        <v>1601</v>
      </c>
      <c r="I417" s="7">
        <v>5.0</v>
      </c>
      <c r="J417" s="6">
        <v>102380.0</v>
      </c>
      <c r="K417" s="2">
        <v>0.0</v>
      </c>
      <c r="L417" s="2">
        <v>102380.0</v>
      </c>
      <c r="M417" s="2">
        <v>0.0</v>
      </c>
      <c r="N417" s="2">
        <v>102380.0</v>
      </c>
      <c r="O417" s="2">
        <v>5119.0</v>
      </c>
      <c r="P417" s="2" t="s">
        <v>1574</v>
      </c>
      <c r="Q417" s="2" t="s">
        <v>1568</v>
      </c>
      <c r="R417" s="2" t="s">
        <v>1569</v>
      </c>
      <c r="S417" s="2" t="s">
        <v>1570</v>
      </c>
      <c r="W417" s="2" t="s">
        <v>1571</v>
      </c>
    </row>
    <row r="418">
      <c r="A418" s="4">
        <v>45556.63680555556</v>
      </c>
      <c r="B418" s="5">
        <v>2742639.0</v>
      </c>
      <c r="C418" s="2" t="s">
        <v>1575</v>
      </c>
      <c r="D418" s="2" t="s">
        <v>1580</v>
      </c>
      <c r="E418" s="2">
        <v>10053.0</v>
      </c>
      <c r="F418" s="2" t="s">
        <v>1612</v>
      </c>
      <c r="I418" s="7">
        <v>2.0</v>
      </c>
      <c r="J418" s="6">
        <v>50476.0</v>
      </c>
      <c r="K418" s="2">
        <v>0.0</v>
      </c>
      <c r="L418" s="2">
        <v>50476.0</v>
      </c>
      <c r="M418" s="2">
        <v>0.0</v>
      </c>
      <c r="N418" s="2">
        <v>50476.0</v>
      </c>
      <c r="O418" s="2">
        <v>2524.0</v>
      </c>
      <c r="P418" s="2" t="s">
        <v>1574</v>
      </c>
      <c r="Q418" s="2" t="s">
        <v>1568</v>
      </c>
      <c r="R418" s="2" t="s">
        <v>1569</v>
      </c>
      <c r="S418" s="2" t="s">
        <v>1570</v>
      </c>
      <c r="W418" s="2" t="s">
        <v>1571</v>
      </c>
    </row>
    <row r="419">
      <c r="A419" s="4">
        <v>45556.63680555556</v>
      </c>
      <c r="B419" s="5">
        <v>2742639.0</v>
      </c>
      <c r="C419" s="2" t="s">
        <v>1575</v>
      </c>
      <c r="D419" s="2" t="s">
        <v>1580</v>
      </c>
      <c r="E419" s="2">
        <v>10104.0</v>
      </c>
      <c r="F419" s="2" t="s">
        <v>1581</v>
      </c>
      <c r="I419" s="7">
        <v>1.0</v>
      </c>
      <c r="J419" s="6">
        <v>34762.0</v>
      </c>
      <c r="K419" s="2">
        <v>0.0</v>
      </c>
      <c r="L419" s="2">
        <v>34762.0</v>
      </c>
      <c r="M419" s="2">
        <v>0.0</v>
      </c>
      <c r="N419" s="2">
        <v>34762.0</v>
      </c>
      <c r="O419" s="2">
        <v>1738.0</v>
      </c>
      <c r="P419" s="2" t="s">
        <v>1574</v>
      </c>
      <c r="Q419" s="2" t="s">
        <v>1568</v>
      </c>
      <c r="R419" s="2" t="s">
        <v>1569</v>
      </c>
      <c r="S419" s="2" t="s">
        <v>1570</v>
      </c>
      <c r="W419" s="2" t="s">
        <v>1571</v>
      </c>
    </row>
    <row r="420">
      <c r="A420" s="4">
        <v>45556.63680555556</v>
      </c>
      <c r="B420" s="5">
        <v>2742639.0</v>
      </c>
      <c r="C420" s="2" t="s">
        <v>1575</v>
      </c>
      <c r="D420" s="2" t="s">
        <v>1565</v>
      </c>
      <c r="E420" s="2">
        <v>10033.0</v>
      </c>
      <c r="F420" s="2" t="s">
        <v>1615</v>
      </c>
      <c r="I420" s="7">
        <v>1.0</v>
      </c>
      <c r="J420" s="6">
        <v>21905.0</v>
      </c>
      <c r="K420" s="2">
        <v>0.0</v>
      </c>
      <c r="L420" s="2">
        <v>21905.0</v>
      </c>
      <c r="M420" s="2">
        <v>0.0</v>
      </c>
      <c r="N420" s="2">
        <v>21905.0</v>
      </c>
      <c r="O420" s="2">
        <v>1095.0</v>
      </c>
      <c r="P420" s="2" t="s">
        <v>1574</v>
      </c>
      <c r="Q420" s="2" t="s">
        <v>1568</v>
      </c>
      <c r="R420" s="2" t="s">
        <v>1569</v>
      </c>
      <c r="S420" s="2" t="s">
        <v>1570</v>
      </c>
      <c r="W420" s="2" t="s">
        <v>1571</v>
      </c>
    </row>
    <row r="421">
      <c r="A421" s="4">
        <v>45556.63680555556</v>
      </c>
      <c r="B421" s="5">
        <v>2742639.0</v>
      </c>
      <c r="C421" s="2" t="s">
        <v>1575</v>
      </c>
      <c r="D421" s="2" t="s">
        <v>1572</v>
      </c>
      <c r="E421" s="2">
        <v>10112.0</v>
      </c>
      <c r="F421" s="2" t="s">
        <v>1573</v>
      </c>
      <c r="I421" s="7">
        <v>1.0</v>
      </c>
      <c r="J421" s="6">
        <v>6667.0</v>
      </c>
      <c r="K421" s="2">
        <v>0.0</v>
      </c>
      <c r="L421" s="2">
        <v>6667.0</v>
      </c>
      <c r="M421" s="2">
        <v>0.0</v>
      </c>
      <c r="N421" s="2">
        <v>6667.0</v>
      </c>
      <c r="O421" s="2">
        <v>334.0</v>
      </c>
      <c r="P421" s="2" t="s">
        <v>1574</v>
      </c>
      <c r="Q421" s="2" t="s">
        <v>1568</v>
      </c>
      <c r="R421" s="2" t="s">
        <v>1569</v>
      </c>
      <c r="S421" s="2" t="s">
        <v>1570</v>
      </c>
      <c r="W421" s="2" t="s">
        <v>1571</v>
      </c>
    </row>
    <row r="422">
      <c r="A422" s="4">
        <v>45556.63680555556</v>
      </c>
      <c r="B422" s="5">
        <v>2742639.0</v>
      </c>
      <c r="C422" s="2" t="s">
        <v>1575</v>
      </c>
      <c r="D422" s="2" t="s">
        <v>1565</v>
      </c>
      <c r="E422" s="2">
        <v>10007.0</v>
      </c>
      <c r="F422" s="2" t="s">
        <v>1596</v>
      </c>
      <c r="I422" s="7">
        <v>1.0</v>
      </c>
      <c r="J422" s="6">
        <v>33810.0</v>
      </c>
      <c r="K422" s="2">
        <v>0.0</v>
      </c>
      <c r="L422" s="2">
        <v>33810.0</v>
      </c>
      <c r="M422" s="2">
        <v>0.0</v>
      </c>
      <c r="N422" s="2">
        <v>33810.0</v>
      </c>
      <c r="O422" s="2">
        <v>1690.0</v>
      </c>
      <c r="P422" s="2" t="s">
        <v>1574</v>
      </c>
      <c r="Q422" s="2" t="s">
        <v>1568</v>
      </c>
      <c r="R422" s="2" t="s">
        <v>1569</v>
      </c>
      <c r="S422" s="2" t="s">
        <v>1570</v>
      </c>
      <c r="W422" s="2" t="s">
        <v>1571</v>
      </c>
    </row>
    <row r="423">
      <c r="A423" s="4">
        <v>45556.63680555556</v>
      </c>
      <c r="B423" s="5">
        <v>2742639.0</v>
      </c>
      <c r="C423" s="2" t="s">
        <v>1575</v>
      </c>
      <c r="D423" s="2" t="s">
        <v>1572</v>
      </c>
      <c r="E423" s="2">
        <v>10107.0</v>
      </c>
      <c r="F423" s="2" t="s">
        <v>1584</v>
      </c>
      <c r="I423" s="7">
        <v>1.0</v>
      </c>
      <c r="J423" s="6">
        <v>26667.0</v>
      </c>
      <c r="K423" s="2">
        <v>0.0</v>
      </c>
      <c r="L423" s="2">
        <v>26667.0</v>
      </c>
      <c r="M423" s="2">
        <v>0.0</v>
      </c>
      <c r="N423" s="2">
        <v>26667.0</v>
      </c>
      <c r="O423" s="2">
        <v>1333.0</v>
      </c>
      <c r="P423" s="2" t="s">
        <v>1574</v>
      </c>
      <c r="Q423" s="2" t="s">
        <v>1568</v>
      </c>
      <c r="R423" s="2" t="s">
        <v>1569</v>
      </c>
      <c r="S423" s="2" t="s">
        <v>1570</v>
      </c>
      <c r="W423" s="2" t="s">
        <v>1571</v>
      </c>
    </row>
    <row r="424">
      <c r="A424" s="4">
        <v>45556.63680555556</v>
      </c>
      <c r="B424" s="5">
        <v>2742639.0</v>
      </c>
      <c r="C424" s="2" t="s">
        <v>1575</v>
      </c>
      <c r="D424" s="2" t="s">
        <v>1572</v>
      </c>
      <c r="E424" s="2">
        <v>10106.0</v>
      </c>
      <c r="F424" s="2" t="s">
        <v>1598</v>
      </c>
      <c r="I424" s="7">
        <v>1.0</v>
      </c>
      <c r="J424" s="6">
        <v>26667.0</v>
      </c>
      <c r="K424" s="2">
        <v>0.0</v>
      </c>
      <c r="L424" s="2">
        <v>26667.0</v>
      </c>
      <c r="M424" s="2">
        <v>0.0</v>
      </c>
      <c r="N424" s="2">
        <v>26667.0</v>
      </c>
      <c r="O424" s="2">
        <v>1334.0</v>
      </c>
      <c r="P424" s="2" t="s">
        <v>1574</v>
      </c>
      <c r="Q424" s="2" t="s">
        <v>1568</v>
      </c>
      <c r="R424" s="2" t="s">
        <v>1569</v>
      </c>
      <c r="S424" s="2" t="s">
        <v>1570</v>
      </c>
      <c r="W424" s="2" t="s">
        <v>1571</v>
      </c>
    </row>
    <row r="425">
      <c r="A425" s="4">
        <v>45556.63680555556</v>
      </c>
      <c r="B425" s="5">
        <v>2742639.0</v>
      </c>
      <c r="C425" s="2" t="s">
        <v>1575</v>
      </c>
      <c r="D425" s="2" t="s">
        <v>1580</v>
      </c>
      <c r="E425" s="2">
        <v>10104.0</v>
      </c>
      <c r="F425" s="2" t="s">
        <v>1581</v>
      </c>
      <c r="I425" s="7">
        <v>1.0</v>
      </c>
      <c r="J425" s="6">
        <v>34762.0</v>
      </c>
      <c r="K425" s="2">
        <v>0.0</v>
      </c>
      <c r="L425" s="2">
        <v>34762.0</v>
      </c>
      <c r="M425" s="2">
        <v>0.0</v>
      </c>
      <c r="N425" s="2">
        <v>34762.0</v>
      </c>
      <c r="O425" s="2">
        <v>1738.0</v>
      </c>
      <c r="P425" s="2" t="s">
        <v>1574</v>
      </c>
      <c r="Q425" s="2" t="s">
        <v>1568</v>
      </c>
      <c r="R425" s="2" t="s">
        <v>1569</v>
      </c>
      <c r="S425" s="2" t="s">
        <v>1570</v>
      </c>
      <c r="W425" s="2" t="s">
        <v>1571</v>
      </c>
    </row>
    <row r="426">
      <c r="A426" s="4">
        <v>45556.63680555556</v>
      </c>
      <c r="B426" s="5">
        <v>2742639.0</v>
      </c>
      <c r="C426" s="2" t="s">
        <v>1575</v>
      </c>
      <c r="D426" s="2" t="s">
        <v>1565</v>
      </c>
      <c r="E426" s="2">
        <v>10007.0</v>
      </c>
      <c r="F426" s="2" t="s">
        <v>1596</v>
      </c>
      <c r="I426" s="7">
        <v>1.0</v>
      </c>
      <c r="J426" s="6">
        <v>33810.0</v>
      </c>
      <c r="K426" s="2">
        <v>0.0</v>
      </c>
      <c r="L426" s="2">
        <v>33810.0</v>
      </c>
      <c r="M426" s="2">
        <v>0.0</v>
      </c>
      <c r="N426" s="2">
        <v>33810.0</v>
      </c>
      <c r="O426" s="2">
        <v>1690.0</v>
      </c>
      <c r="P426" s="2" t="s">
        <v>1574</v>
      </c>
      <c r="Q426" s="2" t="s">
        <v>1568</v>
      </c>
      <c r="R426" s="2" t="s">
        <v>1569</v>
      </c>
      <c r="S426" s="2" t="s">
        <v>1570</v>
      </c>
      <c r="W426" s="2" t="s">
        <v>1571</v>
      </c>
    </row>
    <row r="427">
      <c r="A427" s="4">
        <v>45556.63680555556</v>
      </c>
      <c r="B427" s="5">
        <v>2742639.0</v>
      </c>
      <c r="C427" s="2" t="s">
        <v>1575</v>
      </c>
      <c r="D427" s="2" t="s">
        <v>1565</v>
      </c>
      <c r="E427" s="2">
        <v>10005.0</v>
      </c>
      <c r="F427" s="2" t="s">
        <v>1595</v>
      </c>
      <c r="I427" s="7">
        <v>1.0</v>
      </c>
      <c r="J427" s="6">
        <v>19524.0</v>
      </c>
      <c r="K427" s="2">
        <v>0.0</v>
      </c>
      <c r="L427" s="2">
        <v>19524.0</v>
      </c>
      <c r="M427" s="2">
        <v>0.0</v>
      </c>
      <c r="N427" s="2">
        <v>19524.0</v>
      </c>
      <c r="O427" s="2">
        <v>977.0</v>
      </c>
      <c r="P427" s="2" t="s">
        <v>1574</v>
      </c>
      <c r="Q427" s="2" t="s">
        <v>1568</v>
      </c>
      <c r="R427" s="2" t="s">
        <v>1569</v>
      </c>
      <c r="S427" s="2" t="s">
        <v>1570</v>
      </c>
      <c r="W427" s="2" t="s">
        <v>1571</v>
      </c>
    </row>
    <row r="428">
      <c r="A428" s="4">
        <v>45556.63611111111</v>
      </c>
      <c r="B428" s="5">
        <v>2742273.0</v>
      </c>
      <c r="C428" s="2" t="s">
        <v>1575</v>
      </c>
      <c r="D428" s="2" t="s">
        <v>1578</v>
      </c>
      <c r="E428" s="2">
        <v>10014.0</v>
      </c>
      <c r="F428" s="2" t="s">
        <v>1609</v>
      </c>
      <c r="I428" s="7">
        <v>1.0</v>
      </c>
      <c r="J428" s="6">
        <v>25238.0</v>
      </c>
      <c r="K428" s="2">
        <v>0.0</v>
      </c>
      <c r="L428" s="2">
        <v>25238.0</v>
      </c>
      <c r="M428" s="2">
        <v>0.0</v>
      </c>
      <c r="N428" s="2">
        <v>25238.0</v>
      </c>
      <c r="O428" s="2">
        <v>1262.0</v>
      </c>
      <c r="P428" s="2" t="s">
        <v>1574</v>
      </c>
      <c r="Q428" s="2" t="s">
        <v>1568</v>
      </c>
      <c r="R428" s="2" t="s">
        <v>1569</v>
      </c>
      <c r="S428" s="2" t="s">
        <v>1570</v>
      </c>
      <c r="W428" s="2" t="s">
        <v>1571</v>
      </c>
    </row>
    <row r="429">
      <c r="A429" s="4">
        <v>45556.575</v>
      </c>
      <c r="B429" s="5">
        <v>2741908.0</v>
      </c>
      <c r="C429" s="2" t="s">
        <v>1575</v>
      </c>
      <c r="D429" s="2" t="s">
        <v>1578</v>
      </c>
      <c r="E429" s="2">
        <v>10014.0</v>
      </c>
      <c r="F429" s="2" t="s">
        <v>1609</v>
      </c>
      <c r="I429" s="7">
        <v>1.0</v>
      </c>
      <c r="J429" s="6">
        <v>25238.0</v>
      </c>
      <c r="K429" s="2">
        <v>0.0</v>
      </c>
      <c r="L429" s="2">
        <v>25238.0</v>
      </c>
      <c r="M429" s="2">
        <v>0.0</v>
      </c>
      <c r="N429" s="2">
        <v>25238.0</v>
      </c>
      <c r="O429" s="2">
        <v>1262.0</v>
      </c>
      <c r="P429" s="2" t="s">
        <v>1574</v>
      </c>
      <c r="Q429" s="2" t="s">
        <v>1568</v>
      </c>
      <c r="R429" s="2" t="s">
        <v>1569</v>
      </c>
      <c r="S429" s="2" t="s">
        <v>1570</v>
      </c>
      <c r="W429" s="2" t="s">
        <v>1571</v>
      </c>
    </row>
    <row r="430">
      <c r="A430" s="4">
        <v>45556.575</v>
      </c>
      <c r="B430" s="5">
        <v>2741908.0</v>
      </c>
      <c r="C430" s="2" t="s">
        <v>1575</v>
      </c>
      <c r="D430" s="2" t="s">
        <v>1565</v>
      </c>
      <c r="E430" s="2">
        <v>10054.0</v>
      </c>
      <c r="F430" s="2" t="s">
        <v>1610</v>
      </c>
      <c r="I430" s="7">
        <v>2.0</v>
      </c>
      <c r="J430" s="6">
        <v>50476.0</v>
      </c>
      <c r="K430" s="2">
        <v>0.0</v>
      </c>
      <c r="L430" s="2">
        <v>50476.0</v>
      </c>
      <c r="M430" s="2">
        <v>0.0</v>
      </c>
      <c r="N430" s="2">
        <v>50476.0</v>
      </c>
      <c r="O430" s="2">
        <v>2524.0</v>
      </c>
      <c r="P430" s="2" t="s">
        <v>1574</v>
      </c>
      <c r="Q430" s="2" t="s">
        <v>1568</v>
      </c>
      <c r="R430" s="2" t="s">
        <v>1569</v>
      </c>
      <c r="S430" s="2" t="s">
        <v>1570</v>
      </c>
      <c r="W430" s="2" t="s">
        <v>1571</v>
      </c>
    </row>
    <row r="431">
      <c r="A431" s="4">
        <v>45556.575</v>
      </c>
      <c r="B431" s="5">
        <v>2741908.0</v>
      </c>
      <c r="C431" s="2" t="s">
        <v>1575</v>
      </c>
      <c r="D431" s="2" t="s">
        <v>1572</v>
      </c>
      <c r="E431" s="2">
        <v>10128.0</v>
      </c>
      <c r="F431" s="2" t="s">
        <v>1588</v>
      </c>
      <c r="I431" s="7">
        <v>1.0</v>
      </c>
      <c r="J431" s="6">
        <v>23333.0</v>
      </c>
      <c r="K431" s="2">
        <v>0.0</v>
      </c>
      <c r="L431" s="2">
        <v>23333.0</v>
      </c>
      <c r="M431" s="2">
        <v>0.0</v>
      </c>
      <c r="N431" s="2">
        <v>23333.0</v>
      </c>
      <c r="O431" s="2">
        <v>1166.0</v>
      </c>
      <c r="P431" s="2" t="s">
        <v>1574</v>
      </c>
      <c r="Q431" s="2" t="s">
        <v>1568</v>
      </c>
      <c r="R431" s="2" t="s">
        <v>1569</v>
      </c>
      <c r="S431" s="2" t="s">
        <v>1570</v>
      </c>
      <c r="W431" s="2" t="s">
        <v>1571</v>
      </c>
    </row>
    <row r="432">
      <c r="A432" s="4">
        <v>45556.575</v>
      </c>
      <c r="B432" s="5">
        <v>2741908.0</v>
      </c>
      <c r="C432" s="2" t="s">
        <v>1575</v>
      </c>
      <c r="D432" s="2" t="s">
        <v>1572</v>
      </c>
      <c r="E432" s="2">
        <v>10121.0</v>
      </c>
      <c r="F432" s="2" t="s">
        <v>1617</v>
      </c>
      <c r="I432" s="7">
        <v>1.0</v>
      </c>
      <c r="J432" s="6">
        <v>19524.0</v>
      </c>
      <c r="K432" s="2">
        <v>0.0</v>
      </c>
      <c r="L432" s="2">
        <v>19524.0</v>
      </c>
      <c r="M432" s="2">
        <v>0.0</v>
      </c>
      <c r="N432" s="2">
        <v>19524.0</v>
      </c>
      <c r="O432" s="2">
        <v>977.0</v>
      </c>
      <c r="P432" s="2" t="s">
        <v>1574</v>
      </c>
      <c r="Q432" s="2" t="s">
        <v>1568</v>
      </c>
      <c r="R432" s="2" t="s">
        <v>1569</v>
      </c>
      <c r="S432" s="2" t="s">
        <v>1570</v>
      </c>
      <c r="W432" s="2" t="s">
        <v>1571</v>
      </c>
    </row>
    <row r="433">
      <c r="A433" s="4">
        <v>45556.572222222225</v>
      </c>
      <c r="B433" s="5">
        <v>2741543.0</v>
      </c>
      <c r="C433" s="2" t="s">
        <v>1575</v>
      </c>
      <c r="D433" s="2" t="s">
        <v>1578</v>
      </c>
      <c r="E433" s="2">
        <v>10010.0</v>
      </c>
      <c r="F433" s="2" t="s">
        <v>1606</v>
      </c>
      <c r="I433" s="7">
        <v>2.0</v>
      </c>
      <c r="J433" s="6">
        <v>50476.0</v>
      </c>
      <c r="K433" s="2">
        <v>0.0</v>
      </c>
      <c r="L433" s="2">
        <v>50476.0</v>
      </c>
      <c r="M433" s="2">
        <v>0.0</v>
      </c>
      <c r="N433" s="2">
        <v>50476.0</v>
      </c>
      <c r="O433" s="2">
        <v>2524.0</v>
      </c>
      <c r="P433" s="2" t="s">
        <v>1574</v>
      </c>
      <c r="Q433" s="2" t="s">
        <v>1568</v>
      </c>
      <c r="R433" s="2" t="s">
        <v>1569</v>
      </c>
      <c r="S433" s="2" t="s">
        <v>1570</v>
      </c>
      <c r="W433" s="2" t="s">
        <v>1571</v>
      </c>
    </row>
    <row r="434">
      <c r="A434" s="4">
        <v>45556.572222222225</v>
      </c>
      <c r="B434" s="5">
        <v>2741543.0</v>
      </c>
      <c r="C434" s="2" t="s">
        <v>1575</v>
      </c>
      <c r="D434" s="2" t="s">
        <v>1578</v>
      </c>
      <c r="E434" s="2">
        <v>10015.0</v>
      </c>
      <c r="F434" s="2" t="s">
        <v>1587</v>
      </c>
      <c r="I434" s="7">
        <v>2.0</v>
      </c>
      <c r="J434" s="6">
        <v>50476.0</v>
      </c>
      <c r="K434" s="2">
        <v>0.0</v>
      </c>
      <c r="L434" s="2">
        <v>50476.0</v>
      </c>
      <c r="M434" s="2">
        <v>0.0</v>
      </c>
      <c r="N434" s="2">
        <v>50476.0</v>
      </c>
      <c r="O434" s="2">
        <v>2524.0</v>
      </c>
      <c r="P434" s="2" t="s">
        <v>1574</v>
      </c>
      <c r="Q434" s="2" t="s">
        <v>1568</v>
      </c>
      <c r="R434" s="2" t="s">
        <v>1569</v>
      </c>
      <c r="S434" s="2" t="s">
        <v>1570</v>
      </c>
      <c r="W434" s="2" t="s">
        <v>1571</v>
      </c>
    </row>
    <row r="435">
      <c r="A435" s="4">
        <v>45556.572222222225</v>
      </c>
      <c r="B435" s="5">
        <v>2741543.0</v>
      </c>
      <c r="C435" s="2" t="s">
        <v>1575</v>
      </c>
      <c r="D435" s="2" t="s">
        <v>1572</v>
      </c>
      <c r="E435" s="2">
        <v>10128.0</v>
      </c>
      <c r="F435" s="2" t="s">
        <v>1588</v>
      </c>
      <c r="I435" s="7">
        <v>6.0</v>
      </c>
      <c r="J435" s="6">
        <v>139998.0</v>
      </c>
      <c r="K435" s="2">
        <v>0.0</v>
      </c>
      <c r="L435" s="2">
        <v>139998.0</v>
      </c>
      <c r="M435" s="2">
        <v>0.0</v>
      </c>
      <c r="N435" s="2">
        <v>139998.0</v>
      </c>
      <c r="O435" s="2">
        <v>7000.0</v>
      </c>
      <c r="P435" s="2" t="s">
        <v>1574</v>
      </c>
      <c r="Q435" s="2" t="s">
        <v>1568</v>
      </c>
      <c r="R435" s="2" t="s">
        <v>1569</v>
      </c>
      <c r="S435" s="2" t="s">
        <v>1570</v>
      </c>
      <c r="W435" s="2" t="s">
        <v>1571</v>
      </c>
    </row>
    <row r="436">
      <c r="A436" s="4">
        <v>45556.572222222225</v>
      </c>
      <c r="B436" s="5">
        <v>2741543.0</v>
      </c>
      <c r="C436" s="2" t="s">
        <v>1575</v>
      </c>
      <c r="D436" s="2" t="s">
        <v>1572</v>
      </c>
      <c r="E436" s="2">
        <v>10122.0</v>
      </c>
      <c r="F436" s="2" t="s">
        <v>1577</v>
      </c>
      <c r="I436" s="7">
        <v>5.0</v>
      </c>
      <c r="J436" s="6">
        <v>109525.0</v>
      </c>
      <c r="K436" s="2">
        <v>0.0</v>
      </c>
      <c r="L436" s="2">
        <v>109525.0</v>
      </c>
      <c r="M436" s="2">
        <v>0.0</v>
      </c>
      <c r="N436" s="2">
        <v>109525.0</v>
      </c>
      <c r="O436" s="2">
        <v>5476.0</v>
      </c>
      <c r="P436" s="2" t="s">
        <v>1574</v>
      </c>
      <c r="Q436" s="2" t="s">
        <v>1568</v>
      </c>
      <c r="R436" s="2" t="s">
        <v>1569</v>
      </c>
      <c r="S436" s="2" t="s">
        <v>1570</v>
      </c>
      <c r="W436" s="2" t="s">
        <v>1571</v>
      </c>
    </row>
    <row r="437">
      <c r="A437" s="4">
        <v>45556.572222222225</v>
      </c>
      <c r="B437" s="5">
        <v>2741543.0</v>
      </c>
      <c r="C437" s="2" t="s">
        <v>1575</v>
      </c>
      <c r="D437" s="2" t="s">
        <v>1572</v>
      </c>
      <c r="E437" s="2">
        <v>10127.0</v>
      </c>
      <c r="F437" s="2" t="s">
        <v>1592</v>
      </c>
      <c r="I437" s="7">
        <v>3.0</v>
      </c>
      <c r="J437" s="6">
        <v>55713.0</v>
      </c>
      <c r="K437" s="2">
        <v>0.0</v>
      </c>
      <c r="L437" s="2">
        <v>55713.0</v>
      </c>
      <c r="M437" s="2">
        <v>0.0</v>
      </c>
      <c r="N437" s="2">
        <v>55713.0</v>
      </c>
      <c r="O437" s="2">
        <v>2785.0</v>
      </c>
      <c r="P437" s="2" t="s">
        <v>1574</v>
      </c>
      <c r="Q437" s="2" t="s">
        <v>1568</v>
      </c>
      <c r="R437" s="2" t="s">
        <v>1569</v>
      </c>
      <c r="S437" s="2" t="s">
        <v>1570</v>
      </c>
      <c r="W437" s="2" t="s">
        <v>1571</v>
      </c>
    </row>
    <row r="438">
      <c r="A438" s="4">
        <v>45556.572222222225</v>
      </c>
      <c r="B438" s="5">
        <v>2741543.0</v>
      </c>
      <c r="C438" s="2" t="s">
        <v>1575</v>
      </c>
      <c r="D438" s="2" t="s">
        <v>1572</v>
      </c>
      <c r="E438" s="2">
        <v>10118.0</v>
      </c>
      <c r="F438" s="2" t="s">
        <v>1604</v>
      </c>
      <c r="I438" s="7">
        <v>1.0</v>
      </c>
      <c r="J438" s="6">
        <v>7143.0</v>
      </c>
      <c r="K438" s="2">
        <v>0.0</v>
      </c>
      <c r="L438" s="2">
        <v>7143.0</v>
      </c>
      <c r="M438" s="2">
        <v>0.0</v>
      </c>
      <c r="N438" s="2">
        <v>7143.0</v>
      </c>
      <c r="O438" s="2">
        <v>358.0</v>
      </c>
      <c r="P438" s="2" t="s">
        <v>1574</v>
      </c>
      <c r="Q438" s="2" t="s">
        <v>1568</v>
      </c>
      <c r="R438" s="2" t="s">
        <v>1569</v>
      </c>
      <c r="S438" s="2" t="s">
        <v>1570</v>
      </c>
      <c r="W438" s="2" t="s">
        <v>1571</v>
      </c>
    </row>
    <row r="439">
      <c r="A439" s="4">
        <v>45556.572222222225</v>
      </c>
      <c r="B439" s="5">
        <v>2741543.0</v>
      </c>
      <c r="C439" s="2" t="s">
        <v>1575</v>
      </c>
      <c r="D439" s="2" t="s">
        <v>1565</v>
      </c>
      <c r="E439" s="2">
        <v>10055.0</v>
      </c>
      <c r="F439" s="2" t="s">
        <v>1597</v>
      </c>
      <c r="I439" s="7">
        <v>1.0</v>
      </c>
      <c r="J439" s="6">
        <v>34762.0</v>
      </c>
      <c r="K439" s="2">
        <v>0.0</v>
      </c>
      <c r="L439" s="2">
        <v>34762.0</v>
      </c>
      <c r="M439" s="2">
        <v>0.0</v>
      </c>
      <c r="N439" s="2">
        <v>34762.0</v>
      </c>
      <c r="O439" s="2">
        <v>1738.0</v>
      </c>
      <c r="P439" s="2" t="s">
        <v>1574</v>
      </c>
      <c r="Q439" s="2" t="s">
        <v>1568</v>
      </c>
      <c r="R439" s="2" t="s">
        <v>1569</v>
      </c>
      <c r="S439" s="2" t="s">
        <v>1570</v>
      </c>
      <c r="W439" s="2" t="s">
        <v>1571</v>
      </c>
    </row>
    <row r="440">
      <c r="A440" s="4">
        <v>45556.572222222225</v>
      </c>
      <c r="B440" s="5">
        <v>2741543.0</v>
      </c>
      <c r="C440" s="2" t="s">
        <v>1575</v>
      </c>
      <c r="D440" s="2" t="s">
        <v>1572</v>
      </c>
      <c r="E440" s="2">
        <v>10120.0</v>
      </c>
      <c r="F440" s="2" t="s">
        <v>1590</v>
      </c>
      <c r="I440" s="7">
        <v>2.0</v>
      </c>
      <c r="J440" s="6">
        <v>39048.0</v>
      </c>
      <c r="K440" s="2">
        <v>0.0</v>
      </c>
      <c r="L440" s="2">
        <v>39048.0</v>
      </c>
      <c r="M440" s="2">
        <v>0.0</v>
      </c>
      <c r="N440" s="2">
        <v>39048.0</v>
      </c>
      <c r="O440" s="2">
        <v>1952.0</v>
      </c>
      <c r="P440" s="2" t="s">
        <v>1574</v>
      </c>
      <c r="Q440" s="2" t="s">
        <v>1568</v>
      </c>
      <c r="R440" s="2" t="s">
        <v>1569</v>
      </c>
      <c r="S440" s="2" t="s">
        <v>1570</v>
      </c>
      <c r="W440" s="2" t="s">
        <v>1571</v>
      </c>
    </row>
    <row r="441">
      <c r="A441" s="4">
        <v>45556.572222222225</v>
      </c>
      <c r="B441" s="5">
        <v>2741543.0</v>
      </c>
      <c r="C441" s="2" t="s">
        <v>1575</v>
      </c>
      <c r="D441" s="2" t="s">
        <v>1578</v>
      </c>
      <c r="E441" s="2">
        <v>10011.0</v>
      </c>
      <c r="F441" s="2" t="s">
        <v>1605</v>
      </c>
      <c r="I441" s="7">
        <v>2.0</v>
      </c>
      <c r="J441" s="6">
        <v>50476.0</v>
      </c>
      <c r="K441" s="2">
        <v>0.0</v>
      </c>
      <c r="L441" s="2">
        <v>50476.0</v>
      </c>
      <c r="M441" s="2">
        <v>0.0</v>
      </c>
      <c r="N441" s="2">
        <v>50476.0</v>
      </c>
      <c r="O441" s="2">
        <v>2524.0</v>
      </c>
      <c r="P441" s="2" t="s">
        <v>1574</v>
      </c>
      <c r="Q441" s="2" t="s">
        <v>1568</v>
      </c>
      <c r="R441" s="2" t="s">
        <v>1569</v>
      </c>
      <c r="S441" s="2" t="s">
        <v>1570</v>
      </c>
      <c r="W441" s="2" t="s">
        <v>1571</v>
      </c>
    </row>
    <row r="442">
      <c r="A442" s="4">
        <v>45556.50625</v>
      </c>
      <c r="B442" s="5">
        <v>2741178.0</v>
      </c>
      <c r="C442" s="2" t="s">
        <v>1575</v>
      </c>
      <c r="D442" s="2" t="s">
        <v>1565</v>
      </c>
      <c r="E442" s="2">
        <v>10002.0</v>
      </c>
      <c r="F442" s="2" t="s">
        <v>1576</v>
      </c>
      <c r="I442" s="7">
        <v>1.0</v>
      </c>
      <c r="J442" s="6">
        <v>18571.0</v>
      </c>
      <c r="K442" s="2">
        <v>0.0</v>
      </c>
      <c r="L442" s="2">
        <v>18571.0</v>
      </c>
      <c r="M442" s="2">
        <v>0.0</v>
      </c>
      <c r="N442" s="2">
        <v>18571.0</v>
      </c>
      <c r="O442" s="2">
        <v>929.0</v>
      </c>
      <c r="P442" s="2" t="s">
        <v>1567</v>
      </c>
      <c r="Q442" s="2" t="s">
        <v>1568</v>
      </c>
      <c r="R442" s="2" t="s">
        <v>1569</v>
      </c>
      <c r="S442" s="2" t="s">
        <v>1570</v>
      </c>
      <c r="W442" s="2" t="s">
        <v>1571</v>
      </c>
    </row>
    <row r="443">
      <c r="A443" s="4">
        <v>45556.50625</v>
      </c>
      <c r="B443" s="5">
        <v>2741178.0</v>
      </c>
      <c r="C443" s="2" t="s">
        <v>1575</v>
      </c>
      <c r="D443" s="2" t="s">
        <v>1565</v>
      </c>
      <c r="E443" s="2">
        <v>10005.0</v>
      </c>
      <c r="F443" s="2" t="s">
        <v>1595</v>
      </c>
      <c r="I443" s="7">
        <v>1.0</v>
      </c>
      <c r="J443" s="6">
        <v>19524.0</v>
      </c>
      <c r="K443" s="2">
        <v>0.0</v>
      </c>
      <c r="L443" s="2">
        <v>19524.0</v>
      </c>
      <c r="M443" s="2">
        <v>0.0</v>
      </c>
      <c r="N443" s="2">
        <v>19524.0</v>
      </c>
      <c r="O443" s="2">
        <v>976.0</v>
      </c>
      <c r="P443" s="2" t="s">
        <v>1567</v>
      </c>
      <c r="Q443" s="2" t="s">
        <v>1568</v>
      </c>
      <c r="R443" s="2" t="s">
        <v>1569</v>
      </c>
      <c r="S443" s="2" t="s">
        <v>1570</v>
      </c>
      <c r="W443" s="2" t="s">
        <v>1571</v>
      </c>
    </row>
    <row r="444">
      <c r="A444" s="4">
        <v>45556.50208333333</v>
      </c>
      <c r="B444" s="5">
        <v>2740812.0</v>
      </c>
      <c r="C444" s="2" t="s">
        <v>1575</v>
      </c>
      <c r="D444" s="2" t="s">
        <v>1565</v>
      </c>
      <c r="E444" s="2">
        <v>10055.0</v>
      </c>
      <c r="F444" s="2" t="s">
        <v>1597</v>
      </c>
      <c r="I444" s="7">
        <v>1.0</v>
      </c>
      <c r="J444" s="6">
        <v>34762.0</v>
      </c>
      <c r="K444" s="2">
        <v>0.0</v>
      </c>
      <c r="L444" s="2">
        <v>34762.0</v>
      </c>
      <c r="M444" s="2">
        <v>0.0</v>
      </c>
      <c r="N444" s="2">
        <v>34762.0</v>
      </c>
      <c r="O444" s="2">
        <v>1738.0</v>
      </c>
      <c r="P444" s="2" t="s">
        <v>1574</v>
      </c>
      <c r="Q444" s="2" t="s">
        <v>1568</v>
      </c>
      <c r="R444" s="2" t="s">
        <v>1569</v>
      </c>
      <c r="S444" s="2" t="s">
        <v>1570</v>
      </c>
      <c r="W444" s="2" t="s">
        <v>1571</v>
      </c>
    </row>
    <row r="445">
      <c r="A445" s="4">
        <v>45556.490277777775</v>
      </c>
      <c r="B445" s="5">
        <v>2740447.0</v>
      </c>
      <c r="C445" s="2" t="s">
        <v>1575</v>
      </c>
      <c r="D445" s="2" t="s">
        <v>1565</v>
      </c>
      <c r="E445" s="2">
        <v>10002.0</v>
      </c>
      <c r="F445" s="2" t="s">
        <v>1576</v>
      </c>
      <c r="I445" s="7">
        <v>1.0</v>
      </c>
      <c r="J445" s="6">
        <v>18571.0</v>
      </c>
      <c r="K445" s="2">
        <v>0.0</v>
      </c>
      <c r="L445" s="2">
        <v>18571.0</v>
      </c>
      <c r="M445" s="2">
        <v>0.0</v>
      </c>
      <c r="N445" s="2">
        <v>18571.0</v>
      </c>
      <c r="O445" s="2">
        <v>929.0</v>
      </c>
      <c r="P445" s="2" t="s">
        <v>1567</v>
      </c>
      <c r="Q445" s="2" t="s">
        <v>1568</v>
      </c>
      <c r="R445" s="2" t="s">
        <v>1569</v>
      </c>
      <c r="S445" s="2" t="s">
        <v>1570</v>
      </c>
      <c r="W445" s="2" t="s">
        <v>1571</v>
      </c>
    </row>
    <row r="446">
      <c r="A446" s="4">
        <v>45556.490277777775</v>
      </c>
      <c r="B446" s="5">
        <v>2740447.0</v>
      </c>
      <c r="C446" s="2" t="s">
        <v>1575</v>
      </c>
      <c r="D446" s="2" t="s">
        <v>1565</v>
      </c>
      <c r="E446" s="2">
        <v>10005.0</v>
      </c>
      <c r="F446" s="2" t="s">
        <v>1595</v>
      </c>
      <c r="I446" s="7">
        <v>1.0</v>
      </c>
      <c r="J446" s="6">
        <v>19524.0</v>
      </c>
      <c r="K446" s="2">
        <v>0.0</v>
      </c>
      <c r="L446" s="2">
        <v>19524.0</v>
      </c>
      <c r="M446" s="2">
        <v>0.0</v>
      </c>
      <c r="N446" s="2">
        <v>19524.0</v>
      </c>
      <c r="O446" s="2">
        <v>976.0</v>
      </c>
      <c r="P446" s="2" t="s">
        <v>1567</v>
      </c>
      <c r="Q446" s="2" t="s">
        <v>1568</v>
      </c>
      <c r="R446" s="2" t="s">
        <v>1569</v>
      </c>
      <c r="S446" s="2" t="s">
        <v>1570</v>
      </c>
      <c r="W446" s="2" t="s">
        <v>1571</v>
      </c>
    </row>
    <row r="447">
      <c r="A447" s="4">
        <v>45556.48541666667</v>
      </c>
      <c r="B447" s="5">
        <v>2740082.0</v>
      </c>
      <c r="C447" s="2" t="s">
        <v>1575</v>
      </c>
      <c r="D447" s="2" t="s">
        <v>1565</v>
      </c>
      <c r="E447" s="2">
        <v>10007.0</v>
      </c>
      <c r="F447" s="2" t="s">
        <v>1596</v>
      </c>
      <c r="I447" s="7">
        <v>1.0</v>
      </c>
      <c r="J447" s="6">
        <v>33810.0</v>
      </c>
      <c r="K447" s="2">
        <v>0.0</v>
      </c>
      <c r="L447" s="2">
        <v>33810.0</v>
      </c>
      <c r="M447" s="2">
        <v>0.0</v>
      </c>
      <c r="N447" s="2">
        <v>33810.0</v>
      </c>
      <c r="O447" s="2">
        <v>1691.0</v>
      </c>
      <c r="P447" s="2" t="s">
        <v>1567</v>
      </c>
      <c r="Q447" s="2" t="s">
        <v>1568</v>
      </c>
      <c r="R447" s="2" t="s">
        <v>1569</v>
      </c>
      <c r="S447" s="2" t="s">
        <v>1570</v>
      </c>
      <c r="W447" s="2" t="s">
        <v>1571</v>
      </c>
    </row>
    <row r="448">
      <c r="A448" s="4">
        <v>45556.475</v>
      </c>
      <c r="B448" s="5">
        <v>2739717.0</v>
      </c>
      <c r="C448" s="2" t="s">
        <v>1575</v>
      </c>
      <c r="D448" s="2" t="s">
        <v>1580</v>
      </c>
      <c r="E448" s="2">
        <v>10003.0</v>
      </c>
      <c r="F448" s="2" t="s">
        <v>1603</v>
      </c>
      <c r="I448" s="7">
        <v>2.0</v>
      </c>
      <c r="J448" s="6">
        <v>59048.0</v>
      </c>
      <c r="K448" s="2">
        <v>0.0</v>
      </c>
      <c r="L448" s="2">
        <v>59048.0</v>
      </c>
      <c r="M448" s="2">
        <v>0.0</v>
      </c>
      <c r="N448" s="2">
        <v>59048.0</v>
      </c>
      <c r="O448" s="2">
        <v>2952.0</v>
      </c>
      <c r="P448" s="2" t="s">
        <v>1567</v>
      </c>
      <c r="Q448" s="2" t="s">
        <v>1568</v>
      </c>
      <c r="R448" s="2" t="s">
        <v>1569</v>
      </c>
      <c r="S448" s="2" t="s">
        <v>1570</v>
      </c>
      <c r="W448" s="2" t="s">
        <v>1571</v>
      </c>
    </row>
    <row r="449">
      <c r="A449" s="4">
        <v>45556.475</v>
      </c>
      <c r="B449" s="5">
        <v>2739717.0</v>
      </c>
      <c r="C449" s="2" t="s">
        <v>1575</v>
      </c>
      <c r="D449" s="2" t="s">
        <v>1578</v>
      </c>
      <c r="E449" s="2">
        <v>10014.0</v>
      </c>
      <c r="F449" s="2" t="s">
        <v>1609</v>
      </c>
      <c r="I449" s="7">
        <v>1.0</v>
      </c>
      <c r="J449" s="6">
        <v>25238.0</v>
      </c>
      <c r="K449" s="2">
        <v>0.0</v>
      </c>
      <c r="L449" s="2">
        <v>25238.0</v>
      </c>
      <c r="M449" s="2">
        <v>0.0</v>
      </c>
      <c r="N449" s="2">
        <v>25238.0</v>
      </c>
      <c r="O449" s="2">
        <v>1262.0</v>
      </c>
      <c r="P449" s="2" t="s">
        <v>1567</v>
      </c>
      <c r="Q449" s="2" t="s">
        <v>1568</v>
      </c>
      <c r="R449" s="2" t="s">
        <v>1569</v>
      </c>
      <c r="S449" s="2" t="s">
        <v>1570</v>
      </c>
      <c r="W449" s="2" t="s">
        <v>1571</v>
      </c>
    </row>
    <row r="450">
      <c r="A450" s="4">
        <v>45556.46944444445</v>
      </c>
      <c r="B450" s="5">
        <v>2739352.0</v>
      </c>
      <c r="C450" s="2" t="s">
        <v>1575</v>
      </c>
      <c r="D450" s="2" t="s">
        <v>1565</v>
      </c>
      <c r="E450" s="2">
        <v>10007.0</v>
      </c>
      <c r="F450" s="2" t="s">
        <v>1596</v>
      </c>
      <c r="I450" s="7">
        <v>1.0</v>
      </c>
      <c r="J450" s="6">
        <v>33810.0</v>
      </c>
      <c r="K450" s="2">
        <v>0.0</v>
      </c>
      <c r="L450" s="2">
        <v>33810.0</v>
      </c>
      <c r="M450" s="2">
        <v>0.0</v>
      </c>
      <c r="N450" s="2">
        <v>33810.0</v>
      </c>
      <c r="O450" s="2">
        <v>1691.0</v>
      </c>
      <c r="P450" s="2" t="s">
        <v>1574</v>
      </c>
      <c r="Q450" s="2" t="s">
        <v>1568</v>
      </c>
      <c r="R450" s="2" t="s">
        <v>1569</v>
      </c>
      <c r="S450" s="2" t="s">
        <v>1570</v>
      </c>
      <c r="W450" s="2" t="s">
        <v>1571</v>
      </c>
    </row>
    <row r="451">
      <c r="A451" s="4">
        <v>45556.46805555555</v>
      </c>
      <c r="B451" s="5">
        <v>2738987.0</v>
      </c>
      <c r="C451" s="2" t="s">
        <v>1575</v>
      </c>
      <c r="D451" s="2" t="s">
        <v>1565</v>
      </c>
      <c r="E451" s="2">
        <v>10000.0</v>
      </c>
      <c r="F451" s="2" t="s">
        <v>1566</v>
      </c>
      <c r="I451" s="7">
        <v>1.0</v>
      </c>
      <c r="J451" s="6">
        <v>29524.0</v>
      </c>
      <c r="K451" s="2">
        <v>0.0</v>
      </c>
      <c r="L451" s="2">
        <v>29524.0</v>
      </c>
      <c r="M451" s="2">
        <v>0.0</v>
      </c>
      <c r="N451" s="2">
        <v>29524.0</v>
      </c>
      <c r="O451" s="2">
        <v>1476.0</v>
      </c>
      <c r="P451" s="2" t="s">
        <v>1567</v>
      </c>
      <c r="Q451" s="2" t="s">
        <v>1568</v>
      </c>
      <c r="R451" s="2" t="s">
        <v>1569</v>
      </c>
      <c r="S451" s="2" t="s">
        <v>1570</v>
      </c>
      <c r="W451" s="2" t="s">
        <v>1571</v>
      </c>
    </row>
    <row r="452">
      <c r="A452" s="4">
        <v>45556.46805555555</v>
      </c>
      <c r="B452" s="5">
        <v>2738987.0</v>
      </c>
      <c r="C452" s="2" t="s">
        <v>1575</v>
      </c>
      <c r="D452" s="2" t="s">
        <v>1565</v>
      </c>
      <c r="E452" s="2">
        <v>10002.0</v>
      </c>
      <c r="F452" s="2" t="s">
        <v>1576</v>
      </c>
      <c r="I452" s="7">
        <v>1.0</v>
      </c>
      <c r="J452" s="6">
        <v>18571.0</v>
      </c>
      <c r="K452" s="2">
        <v>0.0</v>
      </c>
      <c r="L452" s="2">
        <v>18571.0</v>
      </c>
      <c r="M452" s="2">
        <v>0.0</v>
      </c>
      <c r="N452" s="2">
        <v>18571.0</v>
      </c>
      <c r="O452" s="2">
        <v>929.0</v>
      </c>
      <c r="P452" s="2" t="s">
        <v>1567</v>
      </c>
      <c r="Q452" s="2" t="s">
        <v>1568</v>
      </c>
      <c r="R452" s="2" t="s">
        <v>1569</v>
      </c>
      <c r="S452" s="2" t="s">
        <v>1570</v>
      </c>
      <c r="W452" s="2" t="s">
        <v>1571</v>
      </c>
    </row>
    <row r="453">
      <c r="A453" s="4">
        <v>45556.46666666667</v>
      </c>
      <c r="B453" s="5">
        <v>2738622.0</v>
      </c>
      <c r="C453" s="2" t="s">
        <v>1575</v>
      </c>
      <c r="D453" s="2" t="s">
        <v>1572</v>
      </c>
      <c r="E453" s="2">
        <v>10067.0</v>
      </c>
      <c r="F453" s="2" t="s">
        <v>1621</v>
      </c>
      <c r="I453" s="7">
        <v>3.0</v>
      </c>
      <c r="J453" s="6">
        <v>74286.0</v>
      </c>
      <c r="K453" s="2">
        <v>0.0</v>
      </c>
      <c r="L453" s="2">
        <v>74286.0</v>
      </c>
      <c r="M453" s="2">
        <v>0.0</v>
      </c>
      <c r="N453" s="2">
        <v>74286.0</v>
      </c>
      <c r="O453" s="2">
        <v>3714.0</v>
      </c>
      <c r="P453" s="2" t="s">
        <v>1574</v>
      </c>
      <c r="Q453" s="2" t="s">
        <v>1568</v>
      </c>
      <c r="R453" s="2" t="s">
        <v>1569</v>
      </c>
      <c r="S453" s="2" t="s">
        <v>1570</v>
      </c>
      <c r="W453" s="2" t="s">
        <v>1571</v>
      </c>
    </row>
    <row r="454">
      <c r="A454" s="4">
        <v>45556.46666666667</v>
      </c>
      <c r="B454" s="5">
        <v>2738622.0</v>
      </c>
      <c r="C454" s="2" t="s">
        <v>1575</v>
      </c>
      <c r="D454" s="2" t="s">
        <v>1578</v>
      </c>
      <c r="E454" s="2">
        <v>10010.0</v>
      </c>
      <c r="F454" s="2" t="s">
        <v>1606</v>
      </c>
      <c r="I454" s="7">
        <v>1.0</v>
      </c>
      <c r="J454" s="6">
        <v>25238.0</v>
      </c>
      <c r="K454" s="2">
        <v>0.0</v>
      </c>
      <c r="L454" s="2">
        <v>25238.0</v>
      </c>
      <c r="M454" s="2">
        <v>0.0</v>
      </c>
      <c r="N454" s="2">
        <v>25238.0</v>
      </c>
      <c r="O454" s="2">
        <v>1262.0</v>
      </c>
      <c r="P454" s="2" t="s">
        <v>1574</v>
      </c>
      <c r="Q454" s="2" t="s">
        <v>1568</v>
      </c>
      <c r="R454" s="2" t="s">
        <v>1569</v>
      </c>
      <c r="S454" s="2" t="s">
        <v>1570</v>
      </c>
      <c r="W454" s="2" t="s">
        <v>1571</v>
      </c>
    </row>
    <row r="455">
      <c r="A455" s="4">
        <v>45556.46666666667</v>
      </c>
      <c r="B455" s="5">
        <v>2738622.0</v>
      </c>
      <c r="C455" s="2" t="s">
        <v>1575</v>
      </c>
      <c r="D455" s="2" t="s">
        <v>1572</v>
      </c>
      <c r="E455" s="2">
        <v>10013.0</v>
      </c>
      <c r="F455" s="2" t="s">
        <v>1591</v>
      </c>
      <c r="I455" s="7">
        <v>1.0</v>
      </c>
      <c r="J455" s="6">
        <v>23333.0</v>
      </c>
      <c r="K455" s="2">
        <v>0.0</v>
      </c>
      <c r="L455" s="2">
        <v>23333.0</v>
      </c>
      <c r="M455" s="2">
        <v>0.0</v>
      </c>
      <c r="N455" s="2">
        <v>23333.0</v>
      </c>
      <c r="O455" s="2">
        <v>1167.0</v>
      </c>
      <c r="P455" s="2" t="s">
        <v>1574</v>
      </c>
      <c r="Q455" s="2" t="s">
        <v>1568</v>
      </c>
      <c r="R455" s="2" t="s">
        <v>1569</v>
      </c>
      <c r="S455" s="2" t="s">
        <v>1570</v>
      </c>
      <c r="W455" s="2" t="s">
        <v>1571</v>
      </c>
    </row>
    <row r="456">
      <c r="A456" s="4">
        <v>45556.46666666667</v>
      </c>
      <c r="B456" s="5">
        <v>2738622.0</v>
      </c>
      <c r="C456" s="2" t="s">
        <v>1575</v>
      </c>
      <c r="D456" s="2" t="s">
        <v>1572</v>
      </c>
      <c r="E456" s="2">
        <v>10107.0</v>
      </c>
      <c r="F456" s="2" t="s">
        <v>1584</v>
      </c>
      <c r="I456" s="7">
        <v>1.0</v>
      </c>
      <c r="J456" s="6">
        <v>26667.0</v>
      </c>
      <c r="K456" s="2">
        <v>0.0</v>
      </c>
      <c r="L456" s="2">
        <v>26667.0</v>
      </c>
      <c r="M456" s="2">
        <v>0.0</v>
      </c>
      <c r="N456" s="2">
        <v>26667.0</v>
      </c>
      <c r="O456" s="2">
        <v>1333.0</v>
      </c>
      <c r="P456" s="2" t="s">
        <v>1574</v>
      </c>
      <c r="Q456" s="2" t="s">
        <v>1568</v>
      </c>
      <c r="R456" s="2" t="s">
        <v>1569</v>
      </c>
      <c r="S456" s="2" t="s">
        <v>1570</v>
      </c>
      <c r="W456" s="2" t="s">
        <v>1571</v>
      </c>
    </row>
    <row r="457">
      <c r="A457" s="4">
        <v>45556.46666666667</v>
      </c>
      <c r="B457" s="5">
        <v>2738622.0</v>
      </c>
      <c r="C457" s="2" t="s">
        <v>1575</v>
      </c>
      <c r="D457" s="2" t="s">
        <v>1565</v>
      </c>
      <c r="E457" s="2">
        <v>10005.0</v>
      </c>
      <c r="F457" s="2" t="s">
        <v>1595</v>
      </c>
      <c r="I457" s="7">
        <v>1.0</v>
      </c>
      <c r="J457" s="6">
        <v>19524.0</v>
      </c>
      <c r="K457" s="2">
        <v>0.0</v>
      </c>
      <c r="L457" s="2">
        <v>19524.0</v>
      </c>
      <c r="M457" s="2">
        <v>0.0</v>
      </c>
      <c r="N457" s="2">
        <v>19524.0</v>
      </c>
      <c r="O457" s="2">
        <v>976.0</v>
      </c>
      <c r="P457" s="2" t="s">
        <v>1574</v>
      </c>
      <c r="Q457" s="2" t="s">
        <v>1568</v>
      </c>
      <c r="R457" s="2" t="s">
        <v>1569</v>
      </c>
      <c r="S457" s="2" t="s">
        <v>1570</v>
      </c>
      <c r="W457" s="2" t="s">
        <v>1571</v>
      </c>
    </row>
    <row r="458">
      <c r="A458" s="4">
        <v>45556.46666666667</v>
      </c>
      <c r="B458" s="5">
        <v>2738622.0</v>
      </c>
      <c r="C458" s="2" t="s">
        <v>1575</v>
      </c>
      <c r="D458" s="2" t="s">
        <v>1565</v>
      </c>
      <c r="E458" s="2">
        <v>10000.0</v>
      </c>
      <c r="F458" s="2" t="s">
        <v>1566</v>
      </c>
      <c r="I458" s="7">
        <v>2.0</v>
      </c>
      <c r="J458" s="6">
        <v>59048.0</v>
      </c>
      <c r="K458" s="2">
        <v>0.0</v>
      </c>
      <c r="L458" s="2">
        <v>59048.0</v>
      </c>
      <c r="M458" s="2">
        <v>0.0</v>
      </c>
      <c r="N458" s="2">
        <v>59048.0</v>
      </c>
      <c r="O458" s="2">
        <v>2953.0</v>
      </c>
      <c r="P458" s="2" t="s">
        <v>1574</v>
      </c>
      <c r="Q458" s="2" t="s">
        <v>1568</v>
      </c>
      <c r="R458" s="2" t="s">
        <v>1569</v>
      </c>
      <c r="S458" s="2" t="s">
        <v>1570</v>
      </c>
      <c r="W458" s="2" t="s">
        <v>1571</v>
      </c>
    </row>
    <row r="459">
      <c r="A459" s="4">
        <v>45556.46666666667</v>
      </c>
      <c r="B459" s="5">
        <v>2738622.0</v>
      </c>
      <c r="C459" s="2" t="s">
        <v>1575</v>
      </c>
      <c r="D459" s="2" t="s">
        <v>1565</v>
      </c>
      <c r="E459" s="2">
        <v>10002.0</v>
      </c>
      <c r="F459" s="2" t="s">
        <v>1576</v>
      </c>
      <c r="I459" s="7">
        <v>1.0</v>
      </c>
      <c r="J459" s="6">
        <v>18571.0</v>
      </c>
      <c r="K459" s="2">
        <v>0.0</v>
      </c>
      <c r="L459" s="2">
        <v>18571.0</v>
      </c>
      <c r="M459" s="2">
        <v>0.0</v>
      </c>
      <c r="N459" s="2">
        <v>18571.0</v>
      </c>
      <c r="O459" s="2">
        <v>928.0</v>
      </c>
      <c r="P459" s="2" t="s">
        <v>1574</v>
      </c>
      <c r="Q459" s="2" t="s">
        <v>1568</v>
      </c>
      <c r="R459" s="2" t="s">
        <v>1569</v>
      </c>
      <c r="S459" s="2" t="s">
        <v>1570</v>
      </c>
      <c r="W459" s="2" t="s">
        <v>1571</v>
      </c>
    </row>
    <row r="460">
      <c r="A460" s="4">
        <v>45556.46666666667</v>
      </c>
      <c r="B460" s="5">
        <v>2738622.0</v>
      </c>
      <c r="C460" s="2" t="s">
        <v>1575</v>
      </c>
      <c r="D460" s="2" t="s">
        <v>1572</v>
      </c>
      <c r="E460" s="2">
        <v>10058.0</v>
      </c>
      <c r="F460" s="2" t="s">
        <v>1618</v>
      </c>
      <c r="I460" s="7">
        <v>1.0</v>
      </c>
      <c r="J460" s="6">
        <v>19524.0</v>
      </c>
      <c r="K460" s="2">
        <v>0.0</v>
      </c>
      <c r="L460" s="2">
        <v>19524.0</v>
      </c>
      <c r="M460" s="2">
        <v>0.0</v>
      </c>
      <c r="N460" s="2">
        <v>19524.0</v>
      </c>
      <c r="O460" s="2">
        <v>977.0</v>
      </c>
      <c r="P460" s="2" t="s">
        <v>1574</v>
      </c>
      <c r="Q460" s="2" t="s">
        <v>1568</v>
      </c>
      <c r="R460" s="2" t="s">
        <v>1569</v>
      </c>
      <c r="S460" s="2" t="s">
        <v>1570</v>
      </c>
      <c r="W460" s="2" t="s">
        <v>1571</v>
      </c>
    </row>
    <row r="461">
      <c r="A461" s="4">
        <v>45556.46666666667</v>
      </c>
      <c r="B461" s="5">
        <v>2738622.0</v>
      </c>
      <c r="C461" s="2" t="s">
        <v>1575</v>
      </c>
      <c r="D461" s="2" t="s">
        <v>1572</v>
      </c>
      <c r="E461" s="2">
        <v>10079.0</v>
      </c>
      <c r="F461" s="2" t="s">
        <v>1625</v>
      </c>
      <c r="I461" s="7">
        <v>8.0</v>
      </c>
      <c r="J461" s="6">
        <v>114280.0</v>
      </c>
      <c r="K461" s="2">
        <v>0.0</v>
      </c>
      <c r="L461" s="2">
        <v>114280.0</v>
      </c>
      <c r="M461" s="2">
        <v>0.0</v>
      </c>
      <c r="N461" s="2">
        <v>114280.0</v>
      </c>
      <c r="O461" s="2">
        <v>5714.0</v>
      </c>
      <c r="P461" s="2" t="s">
        <v>1574</v>
      </c>
      <c r="Q461" s="2" t="s">
        <v>1568</v>
      </c>
      <c r="R461" s="2" t="s">
        <v>1569</v>
      </c>
      <c r="S461" s="2" t="s">
        <v>1570</v>
      </c>
      <c r="W461" s="2" t="s">
        <v>1571</v>
      </c>
    </row>
    <row r="462">
      <c r="A462" s="4">
        <v>45556.45138888889</v>
      </c>
      <c r="B462" s="5">
        <v>2738257.0</v>
      </c>
      <c r="C462" s="2" t="s">
        <v>1575</v>
      </c>
      <c r="D462" s="2" t="s">
        <v>1565</v>
      </c>
      <c r="E462" s="2">
        <v>10007.0</v>
      </c>
      <c r="F462" s="2" t="s">
        <v>1596</v>
      </c>
      <c r="I462" s="7">
        <v>1.0</v>
      </c>
      <c r="J462" s="6">
        <v>33810.0</v>
      </c>
      <c r="K462" s="2">
        <v>0.0</v>
      </c>
      <c r="L462" s="2">
        <v>33810.0</v>
      </c>
      <c r="M462" s="2">
        <v>0.0</v>
      </c>
      <c r="N462" s="2">
        <v>33810.0</v>
      </c>
      <c r="O462" s="2">
        <v>1691.0</v>
      </c>
      <c r="P462" s="2" t="s">
        <v>1574</v>
      </c>
      <c r="Q462" s="2" t="s">
        <v>1568</v>
      </c>
      <c r="R462" s="2" t="s">
        <v>1569</v>
      </c>
      <c r="S462" s="2" t="s">
        <v>1570</v>
      </c>
      <c r="W462" s="2" t="s">
        <v>1571</v>
      </c>
    </row>
    <row r="463">
      <c r="A463" s="4">
        <v>45556.45138888889</v>
      </c>
      <c r="B463" s="5">
        <v>2738257.0</v>
      </c>
      <c r="C463" s="2" t="s">
        <v>1575</v>
      </c>
      <c r="D463" s="2" t="s">
        <v>1565</v>
      </c>
      <c r="E463" s="2">
        <v>10002.0</v>
      </c>
      <c r="F463" s="2" t="s">
        <v>1576</v>
      </c>
      <c r="I463" s="7">
        <v>1.0</v>
      </c>
      <c r="J463" s="6">
        <v>18571.0</v>
      </c>
      <c r="K463" s="2">
        <v>0.0</v>
      </c>
      <c r="L463" s="2">
        <v>18571.0</v>
      </c>
      <c r="M463" s="2">
        <v>0.0</v>
      </c>
      <c r="N463" s="2">
        <v>18571.0</v>
      </c>
      <c r="O463" s="2">
        <v>928.0</v>
      </c>
      <c r="P463" s="2" t="s">
        <v>1574</v>
      </c>
      <c r="Q463" s="2" t="s">
        <v>1568</v>
      </c>
      <c r="R463" s="2" t="s">
        <v>1569</v>
      </c>
      <c r="S463" s="2" t="s">
        <v>1570</v>
      </c>
      <c r="W463" s="2" t="s">
        <v>1571</v>
      </c>
    </row>
    <row r="464">
      <c r="A464" s="4">
        <v>45556.45138888889</v>
      </c>
      <c r="B464" s="5">
        <v>2738257.0</v>
      </c>
      <c r="C464" s="2" t="s">
        <v>1575</v>
      </c>
      <c r="D464" s="2" t="s">
        <v>1578</v>
      </c>
      <c r="E464" s="2">
        <v>10011.0</v>
      </c>
      <c r="F464" s="2" t="s">
        <v>1605</v>
      </c>
      <c r="I464" s="7">
        <v>1.0</v>
      </c>
      <c r="J464" s="6">
        <v>25238.0</v>
      </c>
      <c r="K464" s="2">
        <v>0.0</v>
      </c>
      <c r="L464" s="2">
        <v>25238.0</v>
      </c>
      <c r="M464" s="2">
        <v>0.0</v>
      </c>
      <c r="N464" s="2">
        <v>25238.0</v>
      </c>
      <c r="O464" s="2">
        <v>1262.0</v>
      </c>
      <c r="P464" s="2" t="s">
        <v>1574</v>
      </c>
      <c r="Q464" s="2" t="s">
        <v>1568</v>
      </c>
      <c r="R464" s="2" t="s">
        <v>1569</v>
      </c>
      <c r="S464" s="2" t="s">
        <v>1570</v>
      </c>
      <c r="W464" s="2" t="s">
        <v>1571</v>
      </c>
    </row>
    <row r="465">
      <c r="A465" s="4">
        <v>45556.45138888889</v>
      </c>
      <c r="B465" s="5">
        <v>2738257.0</v>
      </c>
      <c r="C465" s="2" t="s">
        <v>1575</v>
      </c>
      <c r="D465" s="2" t="s">
        <v>1572</v>
      </c>
      <c r="E465" s="2">
        <v>10128.0</v>
      </c>
      <c r="F465" s="2" t="s">
        <v>1588</v>
      </c>
      <c r="I465" s="7">
        <v>1.0</v>
      </c>
      <c r="J465" s="6">
        <v>23333.0</v>
      </c>
      <c r="K465" s="2">
        <v>0.0</v>
      </c>
      <c r="L465" s="2">
        <v>23333.0</v>
      </c>
      <c r="M465" s="2">
        <v>0.0</v>
      </c>
      <c r="N465" s="2">
        <v>23333.0</v>
      </c>
      <c r="O465" s="2">
        <v>1167.0</v>
      </c>
      <c r="P465" s="2" t="s">
        <v>1574</v>
      </c>
      <c r="Q465" s="2" t="s">
        <v>1568</v>
      </c>
      <c r="R465" s="2" t="s">
        <v>1569</v>
      </c>
      <c r="S465" s="2" t="s">
        <v>1570</v>
      </c>
      <c r="W465" s="2" t="s">
        <v>1571</v>
      </c>
    </row>
    <row r="466">
      <c r="A466" s="4">
        <v>45556.45138888889</v>
      </c>
      <c r="B466" s="5">
        <v>2738257.0</v>
      </c>
      <c r="C466" s="2" t="s">
        <v>1575</v>
      </c>
      <c r="D466" s="2" t="s">
        <v>1572</v>
      </c>
      <c r="E466" s="2">
        <v>10063.0</v>
      </c>
      <c r="F466" s="2" t="s">
        <v>1594</v>
      </c>
      <c r="I466" s="7">
        <v>1.0</v>
      </c>
      <c r="J466" s="6">
        <v>24762.0</v>
      </c>
      <c r="K466" s="2">
        <v>0.0</v>
      </c>
      <c r="L466" s="2">
        <v>24762.0</v>
      </c>
      <c r="M466" s="2">
        <v>0.0</v>
      </c>
      <c r="N466" s="2">
        <v>24762.0</v>
      </c>
      <c r="O466" s="2">
        <v>1238.0</v>
      </c>
      <c r="P466" s="2" t="s">
        <v>1574</v>
      </c>
      <c r="Q466" s="2" t="s">
        <v>1568</v>
      </c>
      <c r="R466" s="2" t="s">
        <v>1569</v>
      </c>
      <c r="S466" s="2" t="s">
        <v>1570</v>
      </c>
      <c r="W466" s="2" t="s">
        <v>1571</v>
      </c>
    </row>
    <row r="467">
      <c r="A467" s="4">
        <v>45555.87569444445</v>
      </c>
      <c r="B467" s="5">
        <v>2737891.0</v>
      </c>
      <c r="C467" s="2" t="s">
        <v>1575</v>
      </c>
      <c r="D467" s="2" t="s">
        <v>1565</v>
      </c>
      <c r="E467" s="2">
        <v>10055.0</v>
      </c>
      <c r="F467" s="2" t="s">
        <v>1597</v>
      </c>
      <c r="I467" s="7">
        <v>1.0</v>
      </c>
      <c r="J467" s="6">
        <v>34762.0</v>
      </c>
      <c r="K467" s="2">
        <v>0.0</v>
      </c>
      <c r="L467" s="2">
        <v>34762.0</v>
      </c>
      <c r="M467" s="2">
        <v>0.0</v>
      </c>
      <c r="N467" s="2">
        <v>34762.0</v>
      </c>
      <c r="O467" s="2">
        <v>1738.0</v>
      </c>
      <c r="P467" s="2" t="s">
        <v>1574</v>
      </c>
      <c r="Q467" s="2" t="s">
        <v>1568</v>
      </c>
      <c r="R467" s="2" t="s">
        <v>1569</v>
      </c>
      <c r="S467" s="2" t="s">
        <v>1570</v>
      </c>
      <c r="W467" s="2" t="s">
        <v>1571</v>
      </c>
    </row>
    <row r="468">
      <c r="A468" s="4">
        <v>45555.87569444445</v>
      </c>
      <c r="B468" s="5">
        <v>2737891.0</v>
      </c>
      <c r="C468" s="2" t="s">
        <v>1575</v>
      </c>
      <c r="D468" s="2" t="s">
        <v>1565</v>
      </c>
      <c r="E468" s="2">
        <v>10000.0</v>
      </c>
      <c r="F468" s="2" t="s">
        <v>1566</v>
      </c>
      <c r="I468" s="7">
        <v>2.0</v>
      </c>
      <c r="J468" s="6">
        <v>59048.0</v>
      </c>
      <c r="K468" s="2">
        <v>0.0</v>
      </c>
      <c r="L468" s="2">
        <v>59048.0</v>
      </c>
      <c r="M468" s="2">
        <v>0.0</v>
      </c>
      <c r="N468" s="2">
        <v>59048.0</v>
      </c>
      <c r="O468" s="2">
        <v>2953.0</v>
      </c>
      <c r="P468" s="2" t="s">
        <v>1574</v>
      </c>
      <c r="Q468" s="2" t="s">
        <v>1568</v>
      </c>
      <c r="R468" s="2" t="s">
        <v>1569</v>
      </c>
      <c r="S468" s="2" t="s">
        <v>1570</v>
      </c>
      <c r="W468" s="2" t="s">
        <v>1571</v>
      </c>
    </row>
    <row r="469">
      <c r="A469" s="4">
        <v>45555.76458333333</v>
      </c>
      <c r="B469" s="5">
        <v>2737526.0</v>
      </c>
      <c r="C469" s="2" t="s">
        <v>1575</v>
      </c>
      <c r="D469" s="2" t="s">
        <v>1572</v>
      </c>
      <c r="E469" s="2">
        <v>10106.0</v>
      </c>
      <c r="F469" s="2" t="s">
        <v>1598</v>
      </c>
      <c r="I469" s="7">
        <v>1.0</v>
      </c>
      <c r="J469" s="6">
        <v>26667.0</v>
      </c>
      <c r="K469" s="2">
        <v>0.0</v>
      </c>
      <c r="L469" s="2">
        <v>26667.0</v>
      </c>
      <c r="M469" s="2">
        <v>0.0</v>
      </c>
      <c r="N469" s="2">
        <v>26667.0</v>
      </c>
      <c r="O469" s="2">
        <v>1333.0</v>
      </c>
      <c r="P469" s="2" t="s">
        <v>1574</v>
      </c>
      <c r="Q469" s="2" t="s">
        <v>1568</v>
      </c>
      <c r="R469" s="2" t="s">
        <v>1569</v>
      </c>
      <c r="S469" s="2" t="s">
        <v>1570</v>
      </c>
      <c r="W469" s="2" t="s">
        <v>1571</v>
      </c>
    </row>
    <row r="470">
      <c r="A470" s="4">
        <v>45555.76458333333</v>
      </c>
      <c r="B470" s="5">
        <v>2737526.0</v>
      </c>
      <c r="C470" s="2" t="s">
        <v>1575</v>
      </c>
      <c r="D470" s="2" t="s">
        <v>1572</v>
      </c>
      <c r="E470" s="2">
        <v>10112.0</v>
      </c>
      <c r="F470" s="2" t="s">
        <v>1573</v>
      </c>
      <c r="I470" s="7">
        <v>1.0</v>
      </c>
      <c r="J470" s="6">
        <v>6667.0</v>
      </c>
      <c r="K470" s="2">
        <v>0.0</v>
      </c>
      <c r="L470" s="2">
        <v>6667.0</v>
      </c>
      <c r="M470" s="2">
        <v>0.0</v>
      </c>
      <c r="N470" s="2">
        <v>6667.0</v>
      </c>
      <c r="O470" s="2">
        <v>334.0</v>
      </c>
      <c r="P470" s="2" t="s">
        <v>1574</v>
      </c>
      <c r="Q470" s="2" t="s">
        <v>1568</v>
      </c>
      <c r="R470" s="2" t="s">
        <v>1569</v>
      </c>
      <c r="S470" s="2" t="s">
        <v>1570</v>
      </c>
      <c r="W470" s="2" t="s">
        <v>1571</v>
      </c>
    </row>
    <row r="471">
      <c r="A471" s="4">
        <v>45555.76458333333</v>
      </c>
      <c r="B471" s="5">
        <v>2737526.0</v>
      </c>
      <c r="C471" s="2" t="s">
        <v>1575</v>
      </c>
      <c r="D471" s="2" t="s">
        <v>1572</v>
      </c>
      <c r="E471" s="2">
        <v>10112.0</v>
      </c>
      <c r="F471" s="2" t="s">
        <v>1573</v>
      </c>
      <c r="I471" s="7">
        <v>1.0</v>
      </c>
      <c r="J471" s="6">
        <v>6667.0</v>
      </c>
      <c r="K471" s="2">
        <v>0.0</v>
      </c>
      <c r="L471" s="2">
        <v>6667.0</v>
      </c>
      <c r="M471" s="2">
        <v>0.0</v>
      </c>
      <c r="N471" s="2">
        <v>6667.0</v>
      </c>
      <c r="O471" s="2">
        <v>333.0</v>
      </c>
      <c r="P471" s="2" t="s">
        <v>1574</v>
      </c>
      <c r="Q471" s="2" t="s">
        <v>1568</v>
      </c>
      <c r="R471" s="2" t="s">
        <v>1569</v>
      </c>
      <c r="S471" s="2" t="s">
        <v>1570</v>
      </c>
      <c r="W471" s="2" t="s">
        <v>1571</v>
      </c>
    </row>
    <row r="472">
      <c r="A472" s="4">
        <v>45555.76458333333</v>
      </c>
      <c r="B472" s="5">
        <v>2737526.0</v>
      </c>
      <c r="C472" s="2" t="s">
        <v>1575</v>
      </c>
      <c r="D472" s="2" t="s">
        <v>1572</v>
      </c>
      <c r="E472" s="2">
        <v>10112.0</v>
      </c>
      <c r="F472" s="2" t="s">
        <v>1573</v>
      </c>
      <c r="I472" s="7">
        <v>1.0</v>
      </c>
      <c r="J472" s="6">
        <v>6667.0</v>
      </c>
      <c r="K472" s="2">
        <v>0.0</v>
      </c>
      <c r="L472" s="2">
        <v>6667.0</v>
      </c>
      <c r="M472" s="2">
        <v>0.0</v>
      </c>
      <c r="N472" s="2">
        <v>6667.0</v>
      </c>
      <c r="O472" s="2">
        <v>333.0</v>
      </c>
      <c r="P472" s="2" t="s">
        <v>1574</v>
      </c>
      <c r="Q472" s="2" t="s">
        <v>1568</v>
      </c>
      <c r="R472" s="2" t="s">
        <v>1569</v>
      </c>
      <c r="S472" s="2" t="s">
        <v>1570</v>
      </c>
      <c r="W472" s="2" t="s">
        <v>1571</v>
      </c>
    </row>
    <row r="473">
      <c r="A473" s="4">
        <v>45555.76458333333</v>
      </c>
      <c r="B473" s="5">
        <v>2737526.0</v>
      </c>
      <c r="C473" s="2" t="s">
        <v>1575</v>
      </c>
      <c r="D473" s="2" t="s">
        <v>1578</v>
      </c>
      <c r="E473" s="2">
        <v>10015.0</v>
      </c>
      <c r="F473" s="2" t="s">
        <v>1587</v>
      </c>
      <c r="I473" s="7">
        <v>1.0</v>
      </c>
      <c r="J473" s="6">
        <v>25238.0</v>
      </c>
      <c r="K473" s="2">
        <v>0.0</v>
      </c>
      <c r="L473" s="2">
        <v>25238.0</v>
      </c>
      <c r="M473" s="2">
        <v>0.0</v>
      </c>
      <c r="N473" s="2">
        <v>25238.0</v>
      </c>
      <c r="O473" s="2">
        <v>1262.0</v>
      </c>
      <c r="P473" s="2" t="s">
        <v>1574</v>
      </c>
      <c r="Q473" s="2" t="s">
        <v>1568</v>
      </c>
      <c r="R473" s="2" t="s">
        <v>1569</v>
      </c>
      <c r="S473" s="2" t="s">
        <v>1570</v>
      </c>
      <c r="W473" s="2" t="s">
        <v>1571</v>
      </c>
    </row>
    <row r="474">
      <c r="A474" s="4">
        <v>45555.76458333333</v>
      </c>
      <c r="B474" s="5">
        <v>2737526.0</v>
      </c>
      <c r="C474" s="2" t="s">
        <v>1575</v>
      </c>
      <c r="D474" s="2" t="s">
        <v>1572</v>
      </c>
      <c r="E474" s="2">
        <v>10112.0</v>
      </c>
      <c r="F474" s="2" t="s">
        <v>1573</v>
      </c>
      <c r="I474" s="7">
        <v>1.0</v>
      </c>
      <c r="J474" s="6">
        <v>6667.0</v>
      </c>
      <c r="K474" s="2">
        <v>0.0</v>
      </c>
      <c r="L474" s="2">
        <v>6667.0</v>
      </c>
      <c r="M474" s="2">
        <v>0.0</v>
      </c>
      <c r="N474" s="2">
        <v>6667.0</v>
      </c>
      <c r="O474" s="2">
        <v>334.0</v>
      </c>
      <c r="P474" s="2" t="s">
        <v>1574</v>
      </c>
      <c r="Q474" s="2" t="s">
        <v>1568</v>
      </c>
      <c r="R474" s="2" t="s">
        <v>1569</v>
      </c>
      <c r="S474" s="2" t="s">
        <v>1570</v>
      </c>
      <c r="W474" s="2" t="s">
        <v>1571</v>
      </c>
    </row>
    <row r="475">
      <c r="A475" s="4">
        <v>45555.75277777778</v>
      </c>
      <c r="B475" s="5">
        <v>2737161.0</v>
      </c>
      <c r="C475" s="2" t="s">
        <v>1575</v>
      </c>
      <c r="D475" s="2" t="s">
        <v>1565</v>
      </c>
      <c r="E475" s="2">
        <v>10002.0</v>
      </c>
      <c r="F475" s="2" t="s">
        <v>1576</v>
      </c>
      <c r="I475" s="7">
        <v>1.0</v>
      </c>
      <c r="J475" s="6">
        <v>18571.0</v>
      </c>
      <c r="K475" s="2">
        <v>0.0</v>
      </c>
      <c r="L475" s="2">
        <v>18571.0</v>
      </c>
      <c r="M475" s="2">
        <v>0.0</v>
      </c>
      <c r="N475" s="2">
        <v>18571.0</v>
      </c>
      <c r="O475" s="2">
        <v>929.0</v>
      </c>
      <c r="P475" s="2" t="s">
        <v>1574</v>
      </c>
      <c r="Q475" s="2" t="s">
        <v>1568</v>
      </c>
      <c r="R475" s="2" t="s">
        <v>1569</v>
      </c>
      <c r="S475" s="2" t="s">
        <v>1570</v>
      </c>
      <c r="W475" s="2" t="s">
        <v>1571</v>
      </c>
    </row>
    <row r="476">
      <c r="A476" s="4">
        <v>45555.75277777778</v>
      </c>
      <c r="B476" s="5">
        <v>2737161.0</v>
      </c>
      <c r="C476" s="2" t="s">
        <v>1575</v>
      </c>
      <c r="D476" s="2" t="s">
        <v>1565</v>
      </c>
      <c r="E476" s="2">
        <v>10055.0</v>
      </c>
      <c r="F476" s="2" t="s">
        <v>1597</v>
      </c>
      <c r="I476" s="7">
        <v>1.0</v>
      </c>
      <c r="J476" s="6">
        <v>34762.0</v>
      </c>
      <c r="K476" s="2">
        <v>0.0</v>
      </c>
      <c r="L476" s="2">
        <v>34762.0</v>
      </c>
      <c r="M476" s="2">
        <v>0.0</v>
      </c>
      <c r="N476" s="2">
        <v>34762.0</v>
      </c>
      <c r="O476" s="2">
        <v>1738.0</v>
      </c>
      <c r="P476" s="2" t="s">
        <v>1574</v>
      </c>
      <c r="Q476" s="2" t="s">
        <v>1568</v>
      </c>
      <c r="R476" s="2" t="s">
        <v>1569</v>
      </c>
      <c r="S476" s="2" t="s">
        <v>1570</v>
      </c>
      <c r="W476" s="2" t="s">
        <v>1571</v>
      </c>
    </row>
    <row r="477">
      <c r="A477" s="4">
        <v>45555.75277777778</v>
      </c>
      <c r="B477" s="5">
        <v>2737161.0</v>
      </c>
      <c r="C477" s="2" t="s">
        <v>1575</v>
      </c>
      <c r="D477" s="2" t="s">
        <v>1565</v>
      </c>
      <c r="E477" s="2">
        <v>10005.0</v>
      </c>
      <c r="F477" s="2" t="s">
        <v>1595</v>
      </c>
      <c r="I477" s="7">
        <v>1.0</v>
      </c>
      <c r="J477" s="6">
        <v>19524.0</v>
      </c>
      <c r="K477" s="2">
        <v>0.0</v>
      </c>
      <c r="L477" s="2">
        <v>19524.0</v>
      </c>
      <c r="M477" s="2">
        <v>0.0</v>
      </c>
      <c r="N477" s="2">
        <v>19524.0</v>
      </c>
      <c r="O477" s="2">
        <v>976.0</v>
      </c>
      <c r="P477" s="2" t="s">
        <v>1574</v>
      </c>
      <c r="Q477" s="2" t="s">
        <v>1568</v>
      </c>
      <c r="R477" s="2" t="s">
        <v>1569</v>
      </c>
      <c r="S477" s="2" t="s">
        <v>1570</v>
      </c>
      <c r="W477" s="2" t="s">
        <v>1571</v>
      </c>
    </row>
    <row r="478">
      <c r="A478" s="4">
        <v>45555.623611111114</v>
      </c>
      <c r="B478" s="5">
        <v>2736796.0</v>
      </c>
      <c r="C478" s="2" t="s">
        <v>1575</v>
      </c>
      <c r="D478" s="2" t="s">
        <v>1565</v>
      </c>
      <c r="E478" s="2">
        <v>10000.0</v>
      </c>
      <c r="F478" s="2" t="s">
        <v>1566</v>
      </c>
      <c r="I478" s="7">
        <v>1.0</v>
      </c>
      <c r="J478" s="6">
        <v>29524.0</v>
      </c>
      <c r="K478" s="2">
        <v>0.0</v>
      </c>
      <c r="L478" s="2">
        <v>29524.0</v>
      </c>
      <c r="M478" s="2">
        <v>0.0</v>
      </c>
      <c r="N478" s="2">
        <v>29524.0</v>
      </c>
      <c r="O478" s="2">
        <v>1476.0</v>
      </c>
      <c r="P478" s="2" t="s">
        <v>1574</v>
      </c>
      <c r="Q478" s="2" t="s">
        <v>1568</v>
      </c>
      <c r="R478" s="2" t="s">
        <v>1569</v>
      </c>
      <c r="S478" s="2" t="s">
        <v>1570</v>
      </c>
      <c r="W478" s="2" t="s">
        <v>1571</v>
      </c>
    </row>
    <row r="479">
      <c r="A479" s="4">
        <v>45555.623611111114</v>
      </c>
      <c r="B479" s="5">
        <v>2736796.0</v>
      </c>
      <c r="C479" s="2" t="s">
        <v>1575</v>
      </c>
      <c r="D479" s="2" t="s">
        <v>1565</v>
      </c>
      <c r="E479" s="2">
        <v>10055.0</v>
      </c>
      <c r="F479" s="2" t="s">
        <v>1597</v>
      </c>
      <c r="I479" s="7">
        <v>1.0</v>
      </c>
      <c r="J479" s="6">
        <v>34762.0</v>
      </c>
      <c r="K479" s="2">
        <v>0.0</v>
      </c>
      <c r="L479" s="2">
        <v>34762.0</v>
      </c>
      <c r="M479" s="2">
        <v>0.0</v>
      </c>
      <c r="N479" s="2">
        <v>34762.0</v>
      </c>
      <c r="O479" s="2">
        <v>1738.0</v>
      </c>
      <c r="P479" s="2" t="s">
        <v>1574</v>
      </c>
      <c r="Q479" s="2" t="s">
        <v>1568</v>
      </c>
      <c r="R479" s="2" t="s">
        <v>1569</v>
      </c>
      <c r="S479" s="2" t="s">
        <v>1570</v>
      </c>
      <c r="W479" s="2" t="s">
        <v>1571</v>
      </c>
    </row>
    <row r="480">
      <c r="A480" s="4">
        <v>45555.623611111114</v>
      </c>
      <c r="B480" s="5">
        <v>2736796.0</v>
      </c>
      <c r="C480" s="2" t="s">
        <v>1575</v>
      </c>
      <c r="D480" s="2" t="s">
        <v>1572</v>
      </c>
      <c r="E480" s="2">
        <v>10128.0</v>
      </c>
      <c r="F480" s="2" t="s">
        <v>1588</v>
      </c>
      <c r="I480" s="7">
        <v>1.0</v>
      </c>
      <c r="J480" s="6">
        <v>23333.0</v>
      </c>
      <c r="K480" s="2">
        <v>0.0</v>
      </c>
      <c r="L480" s="2">
        <v>23333.0</v>
      </c>
      <c r="M480" s="2">
        <v>0.0</v>
      </c>
      <c r="N480" s="2">
        <v>23333.0</v>
      </c>
      <c r="O480" s="2">
        <v>1167.0</v>
      </c>
      <c r="P480" s="2" t="s">
        <v>1574</v>
      </c>
      <c r="Q480" s="2" t="s">
        <v>1568</v>
      </c>
      <c r="R480" s="2" t="s">
        <v>1569</v>
      </c>
      <c r="S480" s="2" t="s">
        <v>1570</v>
      </c>
      <c r="W480" s="2" t="s">
        <v>1571</v>
      </c>
    </row>
    <row r="481">
      <c r="A481" s="4">
        <v>45555.623611111114</v>
      </c>
      <c r="B481" s="5">
        <v>2736796.0</v>
      </c>
      <c r="C481" s="2" t="s">
        <v>1575</v>
      </c>
      <c r="D481" s="2" t="s">
        <v>1578</v>
      </c>
      <c r="E481" s="2">
        <v>10014.0</v>
      </c>
      <c r="F481" s="2" t="s">
        <v>1609</v>
      </c>
      <c r="I481" s="7">
        <v>1.0</v>
      </c>
      <c r="J481" s="6">
        <v>25238.0</v>
      </c>
      <c r="K481" s="2">
        <v>0.0</v>
      </c>
      <c r="L481" s="2">
        <v>25238.0</v>
      </c>
      <c r="M481" s="2">
        <v>0.0</v>
      </c>
      <c r="N481" s="2">
        <v>25238.0</v>
      </c>
      <c r="O481" s="2">
        <v>1262.0</v>
      </c>
      <c r="P481" s="2" t="s">
        <v>1574</v>
      </c>
      <c r="Q481" s="2" t="s">
        <v>1568</v>
      </c>
      <c r="R481" s="2" t="s">
        <v>1569</v>
      </c>
      <c r="S481" s="2" t="s">
        <v>1570</v>
      </c>
      <c r="W481" s="2" t="s">
        <v>1571</v>
      </c>
    </row>
    <row r="482">
      <c r="A482" s="4">
        <v>45555.623611111114</v>
      </c>
      <c r="B482" s="5">
        <v>2736796.0</v>
      </c>
      <c r="C482" s="2" t="s">
        <v>1575</v>
      </c>
      <c r="D482" s="2" t="s">
        <v>1565</v>
      </c>
      <c r="E482" s="2">
        <v>10007.0</v>
      </c>
      <c r="F482" s="2" t="s">
        <v>1596</v>
      </c>
      <c r="I482" s="7">
        <v>1.0</v>
      </c>
      <c r="J482" s="6">
        <v>33810.0</v>
      </c>
      <c r="K482" s="2">
        <v>0.0</v>
      </c>
      <c r="L482" s="2">
        <v>33810.0</v>
      </c>
      <c r="M482" s="2">
        <v>0.0</v>
      </c>
      <c r="N482" s="2">
        <v>33810.0</v>
      </c>
      <c r="O482" s="2">
        <v>1690.0</v>
      </c>
      <c r="P482" s="2" t="s">
        <v>1574</v>
      </c>
      <c r="Q482" s="2" t="s">
        <v>1568</v>
      </c>
      <c r="R482" s="2" t="s">
        <v>1569</v>
      </c>
      <c r="S482" s="2" t="s">
        <v>1570</v>
      </c>
      <c r="W482" s="2" t="s">
        <v>1571</v>
      </c>
    </row>
    <row r="483">
      <c r="A483" s="4">
        <v>45555.623611111114</v>
      </c>
      <c r="B483" s="5">
        <v>2736796.0</v>
      </c>
      <c r="C483" s="2" t="s">
        <v>1575</v>
      </c>
      <c r="D483" s="2" t="s">
        <v>1572</v>
      </c>
      <c r="E483" s="2">
        <v>10117.0</v>
      </c>
      <c r="F483" s="2" t="s">
        <v>1589</v>
      </c>
      <c r="I483" s="7">
        <v>1.0</v>
      </c>
      <c r="J483" s="6">
        <v>14286.0</v>
      </c>
      <c r="K483" s="2">
        <v>0.0</v>
      </c>
      <c r="L483" s="2">
        <v>14286.0</v>
      </c>
      <c r="M483" s="2">
        <v>0.0</v>
      </c>
      <c r="N483" s="2">
        <v>14286.0</v>
      </c>
      <c r="O483" s="2">
        <v>715.0</v>
      </c>
      <c r="P483" s="2" t="s">
        <v>1574</v>
      </c>
      <c r="Q483" s="2" t="s">
        <v>1568</v>
      </c>
      <c r="R483" s="2" t="s">
        <v>1569</v>
      </c>
      <c r="S483" s="2" t="s">
        <v>1570</v>
      </c>
      <c r="W483" s="2" t="s">
        <v>1571</v>
      </c>
    </row>
    <row r="484">
      <c r="A484" s="4">
        <v>45555.623611111114</v>
      </c>
      <c r="B484" s="5">
        <v>2736796.0</v>
      </c>
      <c r="C484" s="2" t="s">
        <v>1575</v>
      </c>
      <c r="D484" s="2" t="s">
        <v>1580</v>
      </c>
      <c r="E484" s="2">
        <v>10003.0</v>
      </c>
      <c r="F484" s="2" t="s">
        <v>1603</v>
      </c>
      <c r="I484" s="7">
        <v>1.0</v>
      </c>
      <c r="J484" s="6">
        <v>29524.0</v>
      </c>
      <c r="K484" s="2">
        <v>0.0</v>
      </c>
      <c r="L484" s="2">
        <v>29524.0</v>
      </c>
      <c r="M484" s="2">
        <v>0.0</v>
      </c>
      <c r="N484" s="2">
        <v>29524.0</v>
      </c>
      <c r="O484" s="2">
        <v>1476.0</v>
      </c>
      <c r="P484" s="2" t="s">
        <v>1574</v>
      </c>
      <c r="Q484" s="2" t="s">
        <v>1568</v>
      </c>
      <c r="R484" s="2" t="s">
        <v>1569</v>
      </c>
      <c r="S484" s="2" t="s">
        <v>1570</v>
      </c>
      <c r="W484" s="2" t="s">
        <v>1571</v>
      </c>
    </row>
    <row r="485">
      <c r="A485" s="4">
        <v>45555.623611111114</v>
      </c>
      <c r="B485" s="5">
        <v>2736796.0</v>
      </c>
      <c r="C485" s="2" t="s">
        <v>1575</v>
      </c>
      <c r="D485" s="2" t="s">
        <v>1572</v>
      </c>
      <c r="E485" s="2">
        <v>10112.0</v>
      </c>
      <c r="F485" s="2" t="s">
        <v>1573</v>
      </c>
      <c r="I485" s="7">
        <v>1.0</v>
      </c>
      <c r="J485" s="6">
        <v>6667.0</v>
      </c>
      <c r="K485" s="2">
        <v>0.0</v>
      </c>
      <c r="L485" s="2">
        <v>6667.0</v>
      </c>
      <c r="M485" s="2">
        <v>0.0</v>
      </c>
      <c r="N485" s="2">
        <v>6667.0</v>
      </c>
      <c r="O485" s="2">
        <v>333.0</v>
      </c>
      <c r="P485" s="2" t="s">
        <v>1574</v>
      </c>
      <c r="Q485" s="2" t="s">
        <v>1568</v>
      </c>
      <c r="R485" s="2" t="s">
        <v>1569</v>
      </c>
      <c r="S485" s="2" t="s">
        <v>1570</v>
      </c>
      <c r="W485" s="2" t="s">
        <v>1571</v>
      </c>
    </row>
    <row r="486">
      <c r="A486" s="4">
        <v>45555.61736111111</v>
      </c>
      <c r="B486" s="5">
        <v>2736430.0</v>
      </c>
      <c r="C486" s="2" t="s">
        <v>1575</v>
      </c>
      <c r="D486" s="2" t="s">
        <v>1572</v>
      </c>
      <c r="E486" s="2">
        <v>10112.0</v>
      </c>
      <c r="F486" s="2" t="s">
        <v>1573</v>
      </c>
      <c r="I486" s="7">
        <v>2.0</v>
      </c>
      <c r="J486" s="6">
        <v>13334.0</v>
      </c>
      <c r="K486" s="2">
        <v>0.0</v>
      </c>
      <c r="L486" s="2">
        <v>13334.0</v>
      </c>
      <c r="M486" s="2">
        <v>0.0</v>
      </c>
      <c r="N486" s="2">
        <v>13334.0</v>
      </c>
      <c r="O486" s="2">
        <v>667.0</v>
      </c>
      <c r="P486" s="2" t="s">
        <v>1574</v>
      </c>
      <c r="Q486" s="2" t="s">
        <v>1568</v>
      </c>
      <c r="R486" s="2" t="s">
        <v>1569</v>
      </c>
      <c r="S486" s="2" t="s">
        <v>1570</v>
      </c>
      <c r="W486" s="2" t="s">
        <v>1571</v>
      </c>
    </row>
    <row r="487">
      <c r="A487" s="4">
        <v>45555.61736111111</v>
      </c>
      <c r="B487" s="5">
        <v>2736430.0</v>
      </c>
      <c r="C487" s="2" t="s">
        <v>1575</v>
      </c>
      <c r="D487" s="2" t="s">
        <v>1578</v>
      </c>
      <c r="E487" s="2">
        <v>10014.0</v>
      </c>
      <c r="F487" s="2" t="s">
        <v>1609</v>
      </c>
      <c r="I487" s="7">
        <v>1.0</v>
      </c>
      <c r="J487" s="6">
        <v>25238.0</v>
      </c>
      <c r="K487" s="2">
        <v>0.0</v>
      </c>
      <c r="L487" s="2">
        <v>25238.0</v>
      </c>
      <c r="M487" s="2">
        <v>0.0</v>
      </c>
      <c r="N487" s="2">
        <v>25238.0</v>
      </c>
      <c r="O487" s="2">
        <v>1262.0</v>
      </c>
      <c r="P487" s="2" t="s">
        <v>1574</v>
      </c>
      <c r="Q487" s="2" t="s">
        <v>1568</v>
      </c>
      <c r="R487" s="2" t="s">
        <v>1569</v>
      </c>
      <c r="S487" s="2" t="s">
        <v>1570</v>
      </c>
      <c r="W487" s="2" t="s">
        <v>1571</v>
      </c>
    </row>
    <row r="488">
      <c r="A488" s="4">
        <v>45555.61736111111</v>
      </c>
      <c r="B488" s="5">
        <v>2736430.0</v>
      </c>
      <c r="C488" s="2" t="s">
        <v>1575</v>
      </c>
      <c r="D488" s="2" t="s">
        <v>1578</v>
      </c>
      <c r="E488" s="2">
        <v>10015.0</v>
      </c>
      <c r="F488" s="2" t="s">
        <v>1587</v>
      </c>
      <c r="I488" s="7">
        <v>1.0</v>
      </c>
      <c r="J488" s="6">
        <v>25238.0</v>
      </c>
      <c r="K488" s="2">
        <v>0.0</v>
      </c>
      <c r="L488" s="2">
        <v>25238.0</v>
      </c>
      <c r="M488" s="2">
        <v>0.0</v>
      </c>
      <c r="N488" s="2">
        <v>25238.0</v>
      </c>
      <c r="O488" s="2">
        <v>1262.0</v>
      </c>
      <c r="P488" s="2" t="s">
        <v>1574</v>
      </c>
      <c r="Q488" s="2" t="s">
        <v>1568</v>
      </c>
      <c r="R488" s="2" t="s">
        <v>1569</v>
      </c>
      <c r="S488" s="2" t="s">
        <v>1570</v>
      </c>
      <c r="W488" s="2" t="s">
        <v>1571</v>
      </c>
    </row>
    <row r="489">
      <c r="A489" s="4">
        <v>45555.61736111111</v>
      </c>
      <c r="B489" s="5">
        <v>2736430.0</v>
      </c>
      <c r="C489" s="2" t="s">
        <v>1575</v>
      </c>
      <c r="D489" s="2" t="s">
        <v>1578</v>
      </c>
      <c r="E489" s="2">
        <v>10011.0</v>
      </c>
      <c r="F489" s="2" t="s">
        <v>1605</v>
      </c>
      <c r="I489" s="7">
        <v>1.0</v>
      </c>
      <c r="J489" s="6">
        <v>25238.0</v>
      </c>
      <c r="K489" s="2">
        <v>0.0</v>
      </c>
      <c r="L489" s="2">
        <v>25238.0</v>
      </c>
      <c r="M489" s="2">
        <v>0.0</v>
      </c>
      <c r="N489" s="2">
        <v>25238.0</v>
      </c>
      <c r="O489" s="2">
        <v>1261.0</v>
      </c>
      <c r="P489" s="2" t="s">
        <v>1574</v>
      </c>
      <c r="Q489" s="2" t="s">
        <v>1568</v>
      </c>
      <c r="R489" s="2" t="s">
        <v>1569</v>
      </c>
      <c r="S489" s="2" t="s">
        <v>1570</v>
      </c>
      <c r="W489" s="2" t="s">
        <v>1571</v>
      </c>
    </row>
    <row r="490">
      <c r="A490" s="4">
        <v>45555.61736111111</v>
      </c>
      <c r="B490" s="5">
        <v>2736430.0</v>
      </c>
      <c r="C490" s="2" t="s">
        <v>1575</v>
      </c>
      <c r="D490" s="2" t="s">
        <v>1565</v>
      </c>
      <c r="E490" s="2">
        <v>10055.0</v>
      </c>
      <c r="F490" s="2" t="s">
        <v>1597</v>
      </c>
      <c r="I490" s="7">
        <v>1.0</v>
      </c>
      <c r="J490" s="6">
        <v>34762.0</v>
      </c>
      <c r="K490" s="2">
        <v>0.0</v>
      </c>
      <c r="L490" s="2">
        <v>34762.0</v>
      </c>
      <c r="M490" s="2">
        <v>0.0</v>
      </c>
      <c r="N490" s="2">
        <v>34762.0</v>
      </c>
      <c r="O490" s="2">
        <v>1739.0</v>
      </c>
      <c r="P490" s="2" t="s">
        <v>1574</v>
      </c>
      <c r="Q490" s="2" t="s">
        <v>1568</v>
      </c>
      <c r="R490" s="2" t="s">
        <v>1569</v>
      </c>
      <c r="S490" s="2" t="s">
        <v>1570</v>
      </c>
      <c r="W490" s="2" t="s">
        <v>1571</v>
      </c>
    </row>
    <row r="491">
      <c r="A491" s="4">
        <v>45555.61736111111</v>
      </c>
      <c r="B491" s="5">
        <v>2736430.0</v>
      </c>
      <c r="C491" s="2" t="s">
        <v>1575</v>
      </c>
      <c r="D491" s="2" t="s">
        <v>1565</v>
      </c>
      <c r="E491" s="2">
        <v>10000.0</v>
      </c>
      <c r="F491" s="2" t="s">
        <v>1566</v>
      </c>
      <c r="I491" s="7">
        <v>1.0</v>
      </c>
      <c r="J491" s="6">
        <v>29524.0</v>
      </c>
      <c r="K491" s="2">
        <v>0.0</v>
      </c>
      <c r="L491" s="2">
        <v>29524.0</v>
      </c>
      <c r="M491" s="2">
        <v>0.0</v>
      </c>
      <c r="N491" s="2">
        <v>29524.0</v>
      </c>
      <c r="O491" s="2">
        <v>1476.0</v>
      </c>
      <c r="P491" s="2" t="s">
        <v>1574</v>
      </c>
      <c r="Q491" s="2" t="s">
        <v>1568</v>
      </c>
      <c r="R491" s="2" t="s">
        <v>1569</v>
      </c>
      <c r="S491" s="2" t="s">
        <v>1570</v>
      </c>
      <c r="W491" s="2" t="s">
        <v>1571</v>
      </c>
    </row>
    <row r="492">
      <c r="A492" s="4">
        <v>45555.61736111111</v>
      </c>
      <c r="B492" s="5">
        <v>2736430.0</v>
      </c>
      <c r="C492" s="2" t="s">
        <v>1575</v>
      </c>
      <c r="D492" s="2" t="s">
        <v>1572</v>
      </c>
      <c r="E492" s="2">
        <v>10128.0</v>
      </c>
      <c r="F492" s="2" t="s">
        <v>1588</v>
      </c>
      <c r="I492" s="7">
        <v>4.0</v>
      </c>
      <c r="J492" s="6">
        <v>93332.0</v>
      </c>
      <c r="K492" s="2">
        <v>0.0</v>
      </c>
      <c r="L492" s="2">
        <v>93332.0</v>
      </c>
      <c r="M492" s="2">
        <v>0.0</v>
      </c>
      <c r="N492" s="2">
        <v>93332.0</v>
      </c>
      <c r="O492" s="2">
        <v>4666.0</v>
      </c>
      <c r="P492" s="2" t="s">
        <v>1574</v>
      </c>
      <c r="Q492" s="2" t="s">
        <v>1568</v>
      </c>
      <c r="R492" s="2" t="s">
        <v>1569</v>
      </c>
      <c r="S492" s="2" t="s">
        <v>1570</v>
      </c>
      <c r="W492" s="2" t="s">
        <v>1571</v>
      </c>
    </row>
    <row r="493">
      <c r="A493" s="4">
        <v>45555.61736111111</v>
      </c>
      <c r="B493" s="5">
        <v>2736430.0</v>
      </c>
      <c r="C493" s="2" t="s">
        <v>1575</v>
      </c>
      <c r="D493" s="2" t="s">
        <v>1572</v>
      </c>
      <c r="E493" s="2">
        <v>10026.0</v>
      </c>
      <c r="F493" s="2" t="s">
        <v>1583</v>
      </c>
      <c r="I493" s="7">
        <v>1.0</v>
      </c>
      <c r="J493" s="6">
        <v>21905.0</v>
      </c>
      <c r="K493" s="2">
        <v>0.0</v>
      </c>
      <c r="L493" s="2">
        <v>21905.0</v>
      </c>
      <c r="M493" s="2">
        <v>0.0</v>
      </c>
      <c r="N493" s="2">
        <v>21905.0</v>
      </c>
      <c r="O493" s="2">
        <v>1096.0</v>
      </c>
      <c r="P493" s="2" t="s">
        <v>1574</v>
      </c>
      <c r="Q493" s="2" t="s">
        <v>1568</v>
      </c>
      <c r="R493" s="2" t="s">
        <v>1569</v>
      </c>
      <c r="S493" s="2" t="s">
        <v>1570</v>
      </c>
      <c r="W493" s="2" t="s">
        <v>1571</v>
      </c>
    </row>
    <row r="494">
      <c r="A494" s="4">
        <v>45555.61736111111</v>
      </c>
      <c r="B494" s="5">
        <v>2736430.0</v>
      </c>
      <c r="C494" s="2" t="s">
        <v>1575</v>
      </c>
      <c r="D494" s="2" t="s">
        <v>1565</v>
      </c>
      <c r="E494" s="2">
        <v>10007.0</v>
      </c>
      <c r="F494" s="2" t="s">
        <v>1596</v>
      </c>
      <c r="I494" s="7">
        <v>1.0</v>
      </c>
      <c r="J494" s="6">
        <v>33810.0</v>
      </c>
      <c r="K494" s="2">
        <v>0.0</v>
      </c>
      <c r="L494" s="2">
        <v>33810.0</v>
      </c>
      <c r="M494" s="2">
        <v>0.0</v>
      </c>
      <c r="N494" s="2">
        <v>33810.0</v>
      </c>
      <c r="O494" s="2">
        <v>1690.0</v>
      </c>
      <c r="P494" s="2" t="s">
        <v>1574</v>
      </c>
      <c r="Q494" s="2" t="s">
        <v>1568</v>
      </c>
      <c r="R494" s="2" t="s">
        <v>1569</v>
      </c>
      <c r="S494" s="2" t="s">
        <v>1570</v>
      </c>
      <c r="W494" s="2" t="s">
        <v>1571</v>
      </c>
    </row>
    <row r="495">
      <c r="A495" s="4">
        <v>45555.61319444444</v>
      </c>
      <c r="B495" s="5">
        <v>2736065.0</v>
      </c>
      <c r="C495" s="2" t="s">
        <v>1575</v>
      </c>
      <c r="D495" s="2" t="s">
        <v>1578</v>
      </c>
      <c r="E495" s="2">
        <v>10015.0</v>
      </c>
      <c r="F495" s="2" t="s">
        <v>1587</v>
      </c>
      <c r="I495" s="7">
        <v>1.0</v>
      </c>
      <c r="J495" s="6">
        <v>25238.0</v>
      </c>
      <c r="K495" s="2">
        <v>0.0</v>
      </c>
      <c r="L495" s="2">
        <v>25238.0</v>
      </c>
      <c r="M495" s="2">
        <v>0.0</v>
      </c>
      <c r="N495" s="2">
        <v>25238.0</v>
      </c>
      <c r="O495" s="2">
        <v>1262.0</v>
      </c>
      <c r="P495" s="2" t="s">
        <v>1574</v>
      </c>
      <c r="Q495" s="2" t="s">
        <v>1568</v>
      </c>
      <c r="R495" s="2" t="s">
        <v>1569</v>
      </c>
      <c r="S495" s="2" t="s">
        <v>1570</v>
      </c>
      <c r="W495" s="2" t="s">
        <v>1571</v>
      </c>
    </row>
    <row r="496">
      <c r="A496" s="4">
        <v>45555.604166666664</v>
      </c>
      <c r="B496" s="5">
        <v>2735700.0</v>
      </c>
      <c r="C496" s="2" t="s">
        <v>1575</v>
      </c>
      <c r="D496" s="2" t="s">
        <v>1572</v>
      </c>
      <c r="E496" s="2">
        <v>10112.0</v>
      </c>
      <c r="F496" s="2" t="s">
        <v>1573</v>
      </c>
      <c r="I496" s="7">
        <v>1.0</v>
      </c>
      <c r="J496" s="6">
        <v>6667.0</v>
      </c>
      <c r="K496" s="2">
        <v>0.0</v>
      </c>
      <c r="L496" s="2">
        <v>6667.0</v>
      </c>
      <c r="M496" s="2">
        <v>0.0</v>
      </c>
      <c r="N496" s="2">
        <v>6667.0</v>
      </c>
      <c r="O496" s="2">
        <v>333.0</v>
      </c>
      <c r="P496" s="2" t="s">
        <v>1574</v>
      </c>
      <c r="Q496" s="2" t="s">
        <v>1568</v>
      </c>
      <c r="R496" s="2" t="s">
        <v>1569</v>
      </c>
      <c r="S496" s="2" t="s">
        <v>1570</v>
      </c>
      <c r="W496" s="2" t="s">
        <v>1571</v>
      </c>
    </row>
    <row r="497">
      <c r="A497" s="4">
        <v>45555.600694444445</v>
      </c>
      <c r="B497" s="5">
        <v>2735335.0</v>
      </c>
      <c r="C497" s="2" t="s">
        <v>1575</v>
      </c>
      <c r="D497" s="2" t="s">
        <v>1565</v>
      </c>
      <c r="E497" s="2">
        <v>10007.0</v>
      </c>
      <c r="F497" s="2" t="s">
        <v>1596</v>
      </c>
      <c r="I497" s="7">
        <v>1.0</v>
      </c>
      <c r="J497" s="6">
        <v>33810.0</v>
      </c>
      <c r="K497" s="2">
        <v>0.0</v>
      </c>
      <c r="L497" s="2">
        <v>33810.0</v>
      </c>
      <c r="M497" s="2">
        <v>0.0</v>
      </c>
      <c r="N497" s="2">
        <v>33810.0</v>
      </c>
      <c r="O497" s="2">
        <v>1691.0</v>
      </c>
      <c r="P497" s="2" t="s">
        <v>1574</v>
      </c>
      <c r="Q497" s="2" t="s">
        <v>1568</v>
      </c>
      <c r="R497" s="2" t="s">
        <v>1569</v>
      </c>
      <c r="S497" s="2" t="s">
        <v>1570</v>
      </c>
      <c r="W497" s="2" t="s">
        <v>1571</v>
      </c>
    </row>
    <row r="498">
      <c r="A498" s="4">
        <v>45555.589583333334</v>
      </c>
      <c r="B498" s="5">
        <v>2734969.0</v>
      </c>
      <c r="C498" s="2" t="s">
        <v>1575</v>
      </c>
      <c r="D498" s="2" t="s">
        <v>1580</v>
      </c>
      <c r="E498" s="2">
        <v>10105.0</v>
      </c>
      <c r="F498" s="2" t="s">
        <v>1611</v>
      </c>
      <c r="I498" s="7">
        <v>1.0</v>
      </c>
      <c r="J498" s="6">
        <v>38095.0</v>
      </c>
      <c r="K498" s="2">
        <v>0.0</v>
      </c>
      <c r="L498" s="2">
        <v>38095.0</v>
      </c>
      <c r="M498" s="2">
        <v>0.0</v>
      </c>
      <c r="N498" s="2">
        <v>38095.0</v>
      </c>
      <c r="O498" s="2">
        <v>1905.0</v>
      </c>
      <c r="P498" s="2" t="s">
        <v>1574</v>
      </c>
      <c r="Q498" s="2" t="s">
        <v>1568</v>
      </c>
      <c r="R498" s="2" t="s">
        <v>1569</v>
      </c>
      <c r="S498" s="2" t="s">
        <v>1570</v>
      </c>
      <c r="W498" s="2" t="s">
        <v>1571</v>
      </c>
    </row>
    <row r="499">
      <c r="A499" s="4">
        <v>45555.589583333334</v>
      </c>
      <c r="B499" s="5">
        <v>2734969.0</v>
      </c>
      <c r="C499" s="2" t="s">
        <v>1575</v>
      </c>
      <c r="D499" s="2" t="s">
        <v>1580</v>
      </c>
      <c r="E499" s="2">
        <v>10003.0</v>
      </c>
      <c r="F499" s="2" t="s">
        <v>1603</v>
      </c>
      <c r="I499" s="7">
        <v>1.0</v>
      </c>
      <c r="J499" s="6">
        <v>29524.0</v>
      </c>
      <c r="K499" s="2">
        <v>0.0</v>
      </c>
      <c r="L499" s="2">
        <v>29524.0</v>
      </c>
      <c r="M499" s="2">
        <v>0.0</v>
      </c>
      <c r="N499" s="2">
        <v>29524.0</v>
      </c>
      <c r="O499" s="2">
        <v>1476.0</v>
      </c>
      <c r="P499" s="2" t="s">
        <v>1574</v>
      </c>
      <c r="Q499" s="2" t="s">
        <v>1568</v>
      </c>
      <c r="R499" s="2" t="s">
        <v>1569</v>
      </c>
      <c r="S499" s="2" t="s">
        <v>1570</v>
      </c>
      <c r="W499" s="2" t="s">
        <v>1571</v>
      </c>
    </row>
    <row r="500">
      <c r="A500" s="4">
        <v>45555.589583333334</v>
      </c>
      <c r="B500" s="5">
        <v>2734969.0</v>
      </c>
      <c r="C500" s="2" t="s">
        <v>1575</v>
      </c>
      <c r="D500" s="2" t="s">
        <v>1572</v>
      </c>
      <c r="E500" s="2">
        <v>10118.0</v>
      </c>
      <c r="F500" s="2" t="s">
        <v>1604</v>
      </c>
      <c r="I500" s="7">
        <v>1.0</v>
      </c>
      <c r="J500" s="6">
        <v>7143.0</v>
      </c>
      <c r="K500" s="2">
        <v>0.0</v>
      </c>
      <c r="L500" s="2">
        <v>7143.0</v>
      </c>
      <c r="M500" s="2">
        <v>0.0</v>
      </c>
      <c r="N500" s="2">
        <v>7143.0</v>
      </c>
      <c r="O500" s="2">
        <v>357.0</v>
      </c>
      <c r="P500" s="2" t="s">
        <v>1574</v>
      </c>
      <c r="Q500" s="2" t="s">
        <v>1568</v>
      </c>
      <c r="R500" s="2" t="s">
        <v>1569</v>
      </c>
      <c r="S500" s="2" t="s">
        <v>1570</v>
      </c>
      <c r="W500" s="2" t="s">
        <v>1571</v>
      </c>
    </row>
    <row r="501">
      <c r="A501" s="4">
        <v>45555.589583333334</v>
      </c>
      <c r="B501" s="5">
        <v>2734969.0</v>
      </c>
      <c r="C501" s="2" t="s">
        <v>1575</v>
      </c>
      <c r="D501" s="2" t="s">
        <v>1572</v>
      </c>
      <c r="E501" s="2">
        <v>10121.0</v>
      </c>
      <c r="F501" s="2" t="s">
        <v>1617</v>
      </c>
      <c r="I501" s="7">
        <v>1.0</v>
      </c>
      <c r="J501" s="6">
        <v>19524.0</v>
      </c>
      <c r="K501" s="2">
        <v>0.0</v>
      </c>
      <c r="L501" s="2">
        <v>19524.0</v>
      </c>
      <c r="M501" s="2">
        <v>0.0</v>
      </c>
      <c r="N501" s="2">
        <v>19524.0</v>
      </c>
      <c r="O501" s="2">
        <v>976.0</v>
      </c>
      <c r="P501" s="2" t="s">
        <v>1574</v>
      </c>
      <c r="Q501" s="2" t="s">
        <v>1568</v>
      </c>
      <c r="R501" s="2" t="s">
        <v>1569</v>
      </c>
      <c r="S501" s="2" t="s">
        <v>1570</v>
      </c>
      <c r="W501" s="2" t="s">
        <v>1571</v>
      </c>
    </row>
    <row r="502">
      <c r="A502" s="4">
        <v>45555.589583333334</v>
      </c>
      <c r="B502" s="5">
        <v>2734969.0</v>
      </c>
      <c r="C502" s="2" t="s">
        <v>1575</v>
      </c>
      <c r="D502" s="2" t="s">
        <v>1578</v>
      </c>
      <c r="E502" s="2">
        <v>10015.0</v>
      </c>
      <c r="F502" s="2" t="s">
        <v>1587</v>
      </c>
      <c r="I502" s="7">
        <v>1.0</v>
      </c>
      <c r="J502" s="6">
        <v>25238.0</v>
      </c>
      <c r="K502" s="2">
        <v>0.0</v>
      </c>
      <c r="L502" s="2">
        <v>25238.0</v>
      </c>
      <c r="M502" s="2">
        <v>0.0</v>
      </c>
      <c r="N502" s="2">
        <v>25238.0</v>
      </c>
      <c r="O502" s="2">
        <v>1262.0</v>
      </c>
      <c r="P502" s="2" t="s">
        <v>1574</v>
      </c>
      <c r="Q502" s="2" t="s">
        <v>1568</v>
      </c>
      <c r="R502" s="2" t="s">
        <v>1569</v>
      </c>
      <c r="S502" s="2" t="s">
        <v>1570</v>
      </c>
      <c r="W502" s="2" t="s">
        <v>1571</v>
      </c>
    </row>
    <row r="503">
      <c r="A503" s="4">
        <v>45555.58819444444</v>
      </c>
      <c r="B503" s="5">
        <v>2734604.0</v>
      </c>
      <c r="C503" s="2" t="s">
        <v>1575</v>
      </c>
      <c r="D503" s="2" t="s">
        <v>1572</v>
      </c>
      <c r="E503" s="2">
        <v>10128.0</v>
      </c>
      <c r="F503" s="2" t="s">
        <v>1588</v>
      </c>
      <c r="I503" s="7">
        <v>1.0</v>
      </c>
      <c r="J503" s="6">
        <v>23333.0</v>
      </c>
      <c r="K503" s="2">
        <v>0.0</v>
      </c>
      <c r="L503" s="2">
        <v>23333.0</v>
      </c>
      <c r="M503" s="2">
        <v>0.0</v>
      </c>
      <c r="N503" s="2">
        <v>23333.0</v>
      </c>
      <c r="O503" s="2">
        <v>1167.0</v>
      </c>
      <c r="P503" s="2" t="s">
        <v>1574</v>
      </c>
      <c r="Q503" s="2" t="s">
        <v>1568</v>
      </c>
      <c r="R503" s="2" t="s">
        <v>1569</v>
      </c>
      <c r="S503" s="2" t="s">
        <v>1570</v>
      </c>
      <c r="W503" s="2" t="s">
        <v>1571</v>
      </c>
    </row>
    <row r="504">
      <c r="A504" s="4">
        <v>45555.58819444444</v>
      </c>
      <c r="B504" s="5">
        <v>2734604.0</v>
      </c>
      <c r="C504" s="2" t="s">
        <v>1575</v>
      </c>
      <c r="D504" s="2" t="s">
        <v>1578</v>
      </c>
      <c r="E504" s="2">
        <v>10010.0</v>
      </c>
      <c r="F504" s="2" t="s">
        <v>1606</v>
      </c>
      <c r="I504" s="7">
        <v>1.0</v>
      </c>
      <c r="J504" s="6">
        <v>25238.0</v>
      </c>
      <c r="K504" s="2">
        <v>0.0</v>
      </c>
      <c r="L504" s="2">
        <v>25238.0</v>
      </c>
      <c r="M504" s="2">
        <v>0.0</v>
      </c>
      <c r="N504" s="2">
        <v>25238.0</v>
      </c>
      <c r="O504" s="2">
        <v>1262.0</v>
      </c>
      <c r="P504" s="2" t="s">
        <v>1574</v>
      </c>
      <c r="Q504" s="2" t="s">
        <v>1568</v>
      </c>
      <c r="R504" s="2" t="s">
        <v>1569</v>
      </c>
      <c r="S504" s="2" t="s">
        <v>1570</v>
      </c>
      <c r="W504" s="2" t="s">
        <v>1571</v>
      </c>
    </row>
    <row r="505">
      <c r="A505" s="4">
        <v>45555.53194444445</v>
      </c>
      <c r="B505" s="5">
        <v>2734239.0</v>
      </c>
      <c r="C505" s="2" t="s">
        <v>1575</v>
      </c>
      <c r="D505" s="2" t="s">
        <v>1572</v>
      </c>
      <c r="E505" s="2">
        <v>10128.0</v>
      </c>
      <c r="F505" s="2" t="s">
        <v>1588</v>
      </c>
      <c r="I505" s="7">
        <v>1.0</v>
      </c>
      <c r="J505" s="6">
        <v>23333.0</v>
      </c>
      <c r="K505" s="2">
        <v>0.0</v>
      </c>
      <c r="L505" s="2">
        <v>23333.0</v>
      </c>
      <c r="M505" s="2">
        <v>0.0</v>
      </c>
      <c r="N505" s="2">
        <v>23333.0</v>
      </c>
      <c r="O505" s="2">
        <v>1167.0</v>
      </c>
      <c r="P505" s="2" t="s">
        <v>1574</v>
      </c>
      <c r="Q505" s="2" t="s">
        <v>1568</v>
      </c>
      <c r="R505" s="2" t="s">
        <v>1569</v>
      </c>
      <c r="S505" s="2" t="s">
        <v>1570</v>
      </c>
      <c r="W505" s="2" t="s">
        <v>1571</v>
      </c>
    </row>
    <row r="506">
      <c r="A506" s="4">
        <v>45555.52569444444</v>
      </c>
      <c r="B506" s="5">
        <v>2733874.0</v>
      </c>
      <c r="C506" s="2" t="s">
        <v>1575</v>
      </c>
      <c r="D506" s="2" t="s">
        <v>1565</v>
      </c>
      <c r="E506" s="2">
        <v>10002.0</v>
      </c>
      <c r="F506" s="2" t="s">
        <v>1576</v>
      </c>
      <c r="I506" s="7">
        <v>1.0</v>
      </c>
      <c r="J506" s="6">
        <v>18571.0</v>
      </c>
      <c r="K506" s="2">
        <v>0.0</v>
      </c>
      <c r="L506" s="2">
        <v>18571.0</v>
      </c>
      <c r="M506" s="2">
        <v>0.0</v>
      </c>
      <c r="N506" s="2">
        <v>18571.0</v>
      </c>
      <c r="O506" s="2">
        <v>929.0</v>
      </c>
      <c r="P506" s="2" t="s">
        <v>1567</v>
      </c>
      <c r="Q506" s="2" t="s">
        <v>1568</v>
      </c>
      <c r="R506" s="2" t="s">
        <v>1569</v>
      </c>
      <c r="S506" s="2" t="s">
        <v>1570</v>
      </c>
      <c r="W506" s="2" t="s">
        <v>1571</v>
      </c>
    </row>
    <row r="507">
      <c r="A507" s="4">
        <v>45555.52569444444</v>
      </c>
      <c r="B507" s="5">
        <v>2733874.0</v>
      </c>
      <c r="C507" s="2" t="s">
        <v>1575</v>
      </c>
      <c r="D507" s="2" t="s">
        <v>1565</v>
      </c>
      <c r="E507" s="2">
        <v>10005.0</v>
      </c>
      <c r="F507" s="2" t="s">
        <v>1595</v>
      </c>
      <c r="I507" s="7">
        <v>1.0</v>
      </c>
      <c r="J507" s="6">
        <v>19524.0</v>
      </c>
      <c r="K507" s="2">
        <v>0.0</v>
      </c>
      <c r="L507" s="2">
        <v>19524.0</v>
      </c>
      <c r="M507" s="2">
        <v>0.0</v>
      </c>
      <c r="N507" s="2">
        <v>19524.0</v>
      </c>
      <c r="O507" s="2">
        <v>976.0</v>
      </c>
      <c r="P507" s="2" t="s">
        <v>1567</v>
      </c>
      <c r="Q507" s="2" t="s">
        <v>1568</v>
      </c>
      <c r="R507" s="2" t="s">
        <v>1569</v>
      </c>
      <c r="S507" s="2" t="s">
        <v>1570</v>
      </c>
      <c r="W507" s="2" t="s">
        <v>1571</v>
      </c>
    </row>
    <row r="508">
      <c r="A508" s="4">
        <v>45555.524305555555</v>
      </c>
      <c r="B508" s="5">
        <v>2733508.0</v>
      </c>
      <c r="C508" s="2" t="s">
        <v>1575</v>
      </c>
      <c r="D508" s="2" t="s">
        <v>1578</v>
      </c>
      <c r="E508" s="2">
        <v>10051.0</v>
      </c>
      <c r="F508" s="2" t="s">
        <v>1579</v>
      </c>
      <c r="I508" s="7">
        <v>1.0</v>
      </c>
      <c r="J508" s="6">
        <v>25238.0</v>
      </c>
      <c r="K508" s="2">
        <v>0.0</v>
      </c>
      <c r="L508" s="2">
        <v>25238.0</v>
      </c>
      <c r="M508" s="2">
        <v>0.0</v>
      </c>
      <c r="N508" s="2">
        <v>25238.0</v>
      </c>
      <c r="O508" s="2">
        <v>1262.0</v>
      </c>
      <c r="P508" s="2" t="s">
        <v>1574</v>
      </c>
      <c r="Q508" s="2" t="s">
        <v>1568</v>
      </c>
      <c r="R508" s="2" t="s">
        <v>1569</v>
      </c>
      <c r="S508" s="2" t="s">
        <v>1570</v>
      </c>
      <c r="W508" s="2" t="s">
        <v>1571</v>
      </c>
    </row>
    <row r="509">
      <c r="A509" s="4">
        <v>45555.524305555555</v>
      </c>
      <c r="B509" s="5">
        <v>2733508.0</v>
      </c>
      <c r="C509" s="2" t="s">
        <v>1575</v>
      </c>
      <c r="D509" s="2" t="s">
        <v>1572</v>
      </c>
      <c r="E509" s="2">
        <v>10122.0</v>
      </c>
      <c r="F509" s="2" t="s">
        <v>1577</v>
      </c>
      <c r="I509" s="7">
        <v>1.0</v>
      </c>
      <c r="J509" s="6">
        <v>21905.0</v>
      </c>
      <c r="K509" s="2">
        <v>0.0</v>
      </c>
      <c r="L509" s="2">
        <v>21905.0</v>
      </c>
      <c r="M509" s="2">
        <v>0.0</v>
      </c>
      <c r="N509" s="2">
        <v>21905.0</v>
      </c>
      <c r="O509" s="2">
        <v>1095.0</v>
      </c>
      <c r="P509" s="2" t="s">
        <v>1574</v>
      </c>
      <c r="Q509" s="2" t="s">
        <v>1568</v>
      </c>
      <c r="R509" s="2" t="s">
        <v>1569</v>
      </c>
      <c r="S509" s="2" t="s">
        <v>1570</v>
      </c>
      <c r="W509" s="2" t="s">
        <v>1571</v>
      </c>
    </row>
    <row r="510">
      <c r="A510" s="4">
        <v>45555.50763888889</v>
      </c>
      <c r="B510" s="5">
        <v>2733143.0</v>
      </c>
      <c r="C510" s="2" t="s">
        <v>1575</v>
      </c>
      <c r="D510" s="2" t="s">
        <v>1580</v>
      </c>
      <c r="E510" s="2">
        <v>10105.0</v>
      </c>
      <c r="F510" s="2" t="s">
        <v>1611</v>
      </c>
      <c r="I510" s="7">
        <v>2.0</v>
      </c>
      <c r="J510" s="6">
        <v>76190.0</v>
      </c>
      <c r="K510" s="2">
        <v>0.0</v>
      </c>
      <c r="L510" s="2">
        <v>76190.0</v>
      </c>
      <c r="M510" s="2">
        <v>0.0</v>
      </c>
      <c r="N510" s="2">
        <v>76190.0</v>
      </c>
      <c r="O510" s="2">
        <v>3810.0</v>
      </c>
      <c r="P510" s="2" t="s">
        <v>1574</v>
      </c>
      <c r="Q510" s="2" t="s">
        <v>1568</v>
      </c>
      <c r="R510" s="2" t="s">
        <v>1569</v>
      </c>
      <c r="S510" s="2" t="s">
        <v>1570</v>
      </c>
      <c r="W510" s="2" t="s">
        <v>1571</v>
      </c>
    </row>
    <row r="511">
      <c r="A511" s="4">
        <v>45555.50763888889</v>
      </c>
      <c r="B511" s="5">
        <v>2733143.0</v>
      </c>
      <c r="C511" s="2" t="s">
        <v>1575</v>
      </c>
      <c r="D511" s="2" t="s">
        <v>1572</v>
      </c>
      <c r="E511" s="2">
        <v>10125.0</v>
      </c>
      <c r="F511" s="2" t="s">
        <v>1601</v>
      </c>
      <c r="I511" s="7">
        <v>1.0</v>
      </c>
      <c r="J511" s="6">
        <v>20476.0</v>
      </c>
      <c r="K511" s="2">
        <v>0.0</v>
      </c>
      <c r="L511" s="2">
        <v>20476.0</v>
      </c>
      <c r="M511" s="2">
        <v>0.0</v>
      </c>
      <c r="N511" s="2">
        <v>20476.0</v>
      </c>
      <c r="O511" s="2">
        <v>1023.0</v>
      </c>
      <c r="P511" s="2" t="s">
        <v>1574</v>
      </c>
      <c r="Q511" s="2" t="s">
        <v>1568</v>
      </c>
      <c r="R511" s="2" t="s">
        <v>1569</v>
      </c>
      <c r="S511" s="2" t="s">
        <v>1570</v>
      </c>
      <c r="W511" s="2" t="s">
        <v>1571</v>
      </c>
    </row>
    <row r="512">
      <c r="A512" s="4">
        <v>45555.50763888889</v>
      </c>
      <c r="B512" s="5">
        <v>2733143.0</v>
      </c>
      <c r="C512" s="2" t="s">
        <v>1575</v>
      </c>
      <c r="D512" s="2" t="s">
        <v>1572</v>
      </c>
      <c r="E512" s="2">
        <v>10123.0</v>
      </c>
      <c r="F512" s="2" t="s">
        <v>1599</v>
      </c>
      <c r="I512" s="7">
        <v>1.0</v>
      </c>
      <c r="J512" s="6">
        <v>21905.0</v>
      </c>
      <c r="K512" s="2">
        <v>0.0</v>
      </c>
      <c r="L512" s="2">
        <v>21905.0</v>
      </c>
      <c r="M512" s="2">
        <v>0.0</v>
      </c>
      <c r="N512" s="2">
        <v>21905.0</v>
      </c>
      <c r="O512" s="2">
        <v>1096.0</v>
      </c>
      <c r="P512" s="2" t="s">
        <v>1574</v>
      </c>
      <c r="Q512" s="2" t="s">
        <v>1568</v>
      </c>
      <c r="R512" s="2" t="s">
        <v>1569</v>
      </c>
      <c r="S512" s="2" t="s">
        <v>1570</v>
      </c>
      <c r="W512" s="2" t="s">
        <v>1571</v>
      </c>
    </row>
    <row r="513">
      <c r="A513" s="4">
        <v>45555.42222222222</v>
      </c>
      <c r="B513" s="5">
        <v>2732778.0</v>
      </c>
      <c r="C513" s="2" t="s">
        <v>1575</v>
      </c>
      <c r="D513" s="2" t="s">
        <v>1565</v>
      </c>
      <c r="E513" s="2">
        <v>10054.0</v>
      </c>
      <c r="F513" s="2" t="s">
        <v>1610</v>
      </c>
      <c r="I513" s="7">
        <v>1.0</v>
      </c>
      <c r="J513" s="6">
        <v>25238.0</v>
      </c>
      <c r="K513" s="2">
        <v>0.0</v>
      </c>
      <c r="L513" s="2">
        <v>25238.0</v>
      </c>
      <c r="M513" s="2">
        <v>0.0</v>
      </c>
      <c r="N513" s="2">
        <v>25238.0</v>
      </c>
      <c r="O513" s="2">
        <v>1262.0</v>
      </c>
      <c r="P513" s="2" t="s">
        <v>1574</v>
      </c>
      <c r="Q513" s="2" t="s">
        <v>1568</v>
      </c>
      <c r="R513" s="2" t="s">
        <v>1569</v>
      </c>
      <c r="S513" s="2" t="s">
        <v>1570</v>
      </c>
      <c r="W513" s="2" t="s">
        <v>1571</v>
      </c>
    </row>
    <row r="514">
      <c r="A514" s="4">
        <v>45555.42222222222</v>
      </c>
      <c r="B514" s="5">
        <v>2732778.0</v>
      </c>
      <c r="C514" s="2" t="s">
        <v>1575</v>
      </c>
      <c r="D514" s="2" t="s">
        <v>1565</v>
      </c>
      <c r="E514" s="2">
        <v>10002.0</v>
      </c>
      <c r="F514" s="2" t="s">
        <v>1576</v>
      </c>
      <c r="I514" s="7">
        <v>1.0</v>
      </c>
      <c r="J514" s="6">
        <v>18571.0</v>
      </c>
      <c r="K514" s="2">
        <v>0.0</v>
      </c>
      <c r="L514" s="2">
        <v>18571.0</v>
      </c>
      <c r="M514" s="2">
        <v>0.0</v>
      </c>
      <c r="N514" s="2">
        <v>18571.0</v>
      </c>
      <c r="O514" s="2">
        <v>928.0</v>
      </c>
      <c r="P514" s="2" t="s">
        <v>1574</v>
      </c>
      <c r="Q514" s="2" t="s">
        <v>1568</v>
      </c>
      <c r="R514" s="2" t="s">
        <v>1569</v>
      </c>
      <c r="S514" s="2" t="s">
        <v>1570</v>
      </c>
      <c r="W514" s="2" t="s">
        <v>1571</v>
      </c>
    </row>
    <row r="515">
      <c r="A515" s="4">
        <v>45555.42222222222</v>
      </c>
      <c r="B515" s="5">
        <v>2732778.0</v>
      </c>
      <c r="C515" s="2" t="s">
        <v>1575</v>
      </c>
      <c r="D515" s="2" t="s">
        <v>1572</v>
      </c>
      <c r="E515" s="2">
        <v>10128.0</v>
      </c>
      <c r="F515" s="2" t="s">
        <v>1588</v>
      </c>
      <c r="I515" s="7">
        <v>1.0</v>
      </c>
      <c r="J515" s="6">
        <v>23333.0</v>
      </c>
      <c r="K515" s="2">
        <v>0.0</v>
      </c>
      <c r="L515" s="2">
        <v>23333.0</v>
      </c>
      <c r="M515" s="2">
        <v>0.0</v>
      </c>
      <c r="N515" s="2">
        <v>23333.0</v>
      </c>
      <c r="O515" s="2">
        <v>1167.0</v>
      </c>
      <c r="P515" s="2" t="s">
        <v>1574</v>
      </c>
      <c r="Q515" s="2" t="s">
        <v>1568</v>
      </c>
      <c r="R515" s="2" t="s">
        <v>1569</v>
      </c>
      <c r="S515" s="2" t="s">
        <v>1570</v>
      </c>
      <c r="W515" s="2" t="s">
        <v>1571</v>
      </c>
    </row>
    <row r="516">
      <c r="A516" s="4">
        <v>45555.42222222222</v>
      </c>
      <c r="B516" s="5">
        <v>2732778.0</v>
      </c>
      <c r="C516" s="2" t="s">
        <v>1575</v>
      </c>
      <c r="D516" s="2" t="s">
        <v>1572</v>
      </c>
      <c r="E516" s="2">
        <v>10127.0</v>
      </c>
      <c r="F516" s="2" t="s">
        <v>1592</v>
      </c>
      <c r="I516" s="7">
        <v>1.0</v>
      </c>
      <c r="J516" s="6">
        <v>18571.0</v>
      </c>
      <c r="K516" s="2">
        <v>0.0</v>
      </c>
      <c r="L516" s="2">
        <v>18571.0</v>
      </c>
      <c r="M516" s="2">
        <v>0.0</v>
      </c>
      <c r="N516" s="2">
        <v>18571.0</v>
      </c>
      <c r="O516" s="2">
        <v>929.0</v>
      </c>
      <c r="P516" s="2" t="s">
        <v>1574</v>
      </c>
      <c r="Q516" s="2" t="s">
        <v>1568</v>
      </c>
      <c r="R516" s="2" t="s">
        <v>1569</v>
      </c>
      <c r="S516" s="2" t="s">
        <v>1570</v>
      </c>
      <c r="W516" s="2" t="s">
        <v>1571</v>
      </c>
    </row>
    <row r="517">
      <c r="A517" s="4">
        <v>45555.41736111111</v>
      </c>
      <c r="B517" s="5">
        <v>2732413.0</v>
      </c>
      <c r="C517" s="2" t="s">
        <v>1575</v>
      </c>
      <c r="D517" s="2" t="s">
        <v>1572</v>
      </c>
      <c r="E517" s="2">
        <v>10117.0</v>
      </c>
      <c r="F517" s="2" t="s">
        <v>1589</v>
      </c>
      <c r="I517" s="7">
        <v>1.0</v>
      </c>
      <c r="J517" s="6">
        <v>14286.0</v>
      </c>
      <c r="K517" s="2">
        <v>0.0</v>
      </c>
      <c r="L517" s="2">
        <v>14286.0</v>
      </c>
      <c r="M517" s="2">
        <v>0.0</v>
      </c>
      <c r="N517" s="2">
        <v>14286.0</v>
      </c>
      <c r="O517" s="2">
        <v>714.0</v>
      </c>
      <c r="P517" s="2" t="s">
        <v>1574</v>
      </c>
      <c r="Q517" s="2" t="s">
        <v>1568</v>
      </c>
      <c r="R517" s="2" t="s">
        <v>1569</v>
      </c>
      <c r="S517" s="2" t="s">
        <v>1570</v>
      </c>
      <c r="W517" s="2" t="s">
        <v>1571</v>
      </c>
    </row>
    <row r="518">
      <c r="A518" s="4">
        <v>45555.39722222222</v>
      </c>
      <c r="B518" s="5">
        <v>2732047.0</v>
      </c>
      <c r="C518" s="2" t="s">
        <v>1575</v>
      </c>
      <c r="D518" s="2" t="s">
        <v>1565</v>
      </c>
      <c r="E518" s="2">
        <v>10033.0</v>
      </c>
      <c r="F518" s="2" t="s">
        <v>1615</v>
      </c>
      <c r="I518" s="7">
        <v>1.0</v>
      </c>
      <c r="J518" s="6">
        <v>21905.0</v>
      </c>
      <c r="K518" s="2">
        <v>0.0</v>
      </c>
      <c r="L518" s="2">
        <v>21905.0</v>
      </c>
      <c r="M518" s="2">
        <v>0.0</v>
      </c>
      <c r="N518" s="2">
        <v>21905.0</v>
      </c>
      <c r="O518" s="2">
        <v>1095.0</v>
      </c>
      <c r="P518" s="2" t="s">
        <v>1574</v>
      </c>
      <c r="Q518" s="2" t="s">
        <v>1568</v>
      </c>
      <c r="R518" s="2" t="s">
        <v>1569</v>
      </c>
      <c r="S518" s="2" t="s">
        <v>1570</v>
      </c>
      <c r="W518" s="2" t="s">
        <v>1571</v>
      </c>
    </row>
    <row r="519">
      <c r="A519" s="4">
        <v>45555.39722222222</v>
      </c>
      <c r="B519" s="5">
        <v>2732047.0</v>
      </c>
      <c r="C519" s="2" t="s">
        <v>1575</v>
      </c>
      <c r="D519" s="2" t="s">
        <v>1572</v>
      </c>
      <c r="E519" s="2">
        <v>10130.0</v>
      </c>
      <c r="F519" s="2" t="s">
        <v>1614</v>
      </c>
      <c r="I519" s="7">
        <v>1.0</v>
      </c>
      <c r="J519" s="6">
        <v>23333.0</v>
      </c>
      <c r="K519" s="2">
        <v>0.0</v>
      </c>
      <c r="L519" s="2">
        <v>23333.0</v>
      </c>
      <c r="M519" s="2">
        <v>0.0</v>
      </c>
      <c r="N519" s="2">
        <v>23333.0</v>
      </c>
      <c r="O519" s="2">
        <v>1167.0</v>
      </c>
      <c r="P519" s="2" t="s">
        <v>1574</v>
      </c>
      <c r="Q519" s="2" t="s">
        <v>1568</v>
      </c>
      <c r="R519" s="2" t="s">
        <v>1569</v>
      </c>
      <c r="S519" s="2" t="s">
        <v>1570</v>
      </c>
      <c r="W519" s="2" t="s">
        <v>1571</v>
      </c>
    </row>
    <row r="520">
      <c r="A520" s="4">
        <v>45554.87708333333</v>
      </c>
      <c r="B520" s="5">
        <v>2731682.0</v>
      </c>
      <c r="C520" s="2" t="s">
        <v>1575</v>
      </c>
      <c r="D520" s="2" t="s">
        <v>1565</v>
      </c>
      <c r="E520" s="2">
        <v>10055.0</v>
      </c>
      <c r="F520" s="2" t="s">
        <v>1597</v>
      </c>
      <c r="I520" s="7">
        <v>1.0</v>
      </c>
      <c r="J520" s="6">
        <v>34762.0</v>
      </c>
      <c r="K520" s="2">
        <v>0.0</v>
      </c>
      <c r="L520" s="2">
        <v>34762.0</v>
      </c>
      <c r="M520" s="2">
        <v>0.0</v>
      </c>
      <c r="N520" s="2">
        <v>34762.0</v>
      </c>
      <c r="O520" s="2">
        <v>1738.0</v>
      </c>
      <c r="P520" s="2" t="s">
        <v>1574</v>
      </c>
      <c r="Q520" s="2" t="s">
        <v>1568</v>
      </c>
      <c r="R520" s="2" t="s">
        <v>1569</v>
      </c>
      <c r="S520" s="2" t="s">
        <v>1570</v>
      </c>
      <c r="W520" s="2" t="s">
        <v>1571</v>
      </c>
    </row>
    <row r="521">
      <c r="A521" s="4">
        <v>45554.87708333333</v>
      </c>
      <c r="B521" s="5">
        <v>2731682.0</v>
      </c>
      <c r="C521" s="2" t="s">
        <v>1575</v>
      </c>
      <c r="D521" s="2" t="s">
        <v>1565</v>
      </c>
      <c r="E521" s="2">
        <v>10000.0</v>
      </c>
      <c r="F521" s="2" t="s">
        <v>1566</v>
      </c>
      <c r="I521" s="7">
        <v>1.0</v>
      </c>
      <c r="J521" s="6">
        <v>29524.0</v>
      </c>
      <c r="K521" s="2">
        <v>0.0</v>
      </c>
      <c r="L521" s="2">
        <v>29524.0</v>
      </c>
      <c r="M521" s="2">
        <v>0.0</v>
      </c>
      <c r="N521" s="2">
        <v>29524.0</v>
      </c>
      <c r="O521" s="2">
        <v>1476.0</v>
      </c>
      <c r="P521" s="2" t="s">
        <v>1574</v>
      </c>
      <c r="Q521" s="2" t="s">
        <v>1568</v>
      </c>
      <c r="R521" s="2" t="s">
        <v>1569</v>
      </c>
      <c r="S521" s="2" t="s">
        <v>1570</v>
      </c>
      <c r="W521" s="2" t="s">
        <v>1571</v>
      </c>
    </row>
    <row r="522">
      <c r="A522" s="4">
        <v>45554.87708333333</v>
      </c>
      <c r="B522" s="5">
        <v>2731682.0</v>
      </c>
      <c r="C522" s="2" t="s">
        <v>1575</v>
      </c>
      <c r="D522" s="2" t="s">
        <v>1572</v>
      </c>
      <c r="E522" s="2">
        <v>10057.0</v>
      </c>
      <c r="F522" s="2" t="s">
        <v>1608</v>
      </c>
      <c r="I522" s="7">
        <v>2.0</v>
      </c>
      <c r="J522" s="6">
        <v>39048.0</v>
      </c>
      <c r="K522" s="2">
        <v>0.0</v>
      </c>
      <c r="L522" s="2">
        <v>39048.0</v>
      </c>
      <c r="M522" s="2">
        <v>0.0</v>
      </c>
      <c r="N522" s="2">
        <v>39048.0</v>
      </c>
      <c r="O522" s="2">
        <v>1953.0</v>
      </c>
      <c r="P522" s="2" t="s">
        <v>1574</v>
      </c>
      <c r="Q522" s="2" t="s">
        <v>1568</v>
      </c>
      <c r="R522" s="2" t="s">
        <v>1569</v>
      </c>
      <c r="S522" s="2" t="s">
        <v>1570</v>
      </c>
      <c r="W522" s="2" t="s">
        <v>1571</v>
      </c>
    </row>
    <row r="523">
      <c r="A523" s="4">
        <v>45554.87708333333</v>
      </c>
      <c r="B523" s="5">
        <v>2731682.0</v>
      </c>
      <c r="C523" s="2" t="s">
        <v>1575</v>
      </c>
      <c r="D523" s="2" t="s">
        <v>1572</v>
      </c>
      <c r="E523" s="2">
        <v>10056.0</v>
      </c>
      <c r="F523" s="2" t="s">
        <v>1585</v>
      </c>
      <c r="I523" s="7">
        <v>1.0</v>
      </c>
      <c r="J523" s="6">
        <v>19524.0</v>
      </c>
      <c r="K523" s="2">
        <v>0.0</v>
      </c>
      <c r="L523" s="2">
        <v>19524.0</v>
      </c>
      <c r="M523" s="2">
        <v>0.0</v>
      </c>
      <c r="N523" s="2">
        <v>19524.0</v>
      </c>
      <c r="O523" s="2">
        <v>976.0</v>
      </c>
      <c r="P523" s="2" t="s">
        <v>1574</v>
      </c>
      <c r="Q523" s="2" t="s">
        <v>1568</v>
      </c>
      <c r="R523" s="2" t="s">
        <v>1569</v>
      </c>
      <c r="S523" s="2" t="s">
        <v>1570</v>
      </c>
      <c r="W523" s="2" t="s">
        <v>1571</v>
      </c>
    </row>
    <row r="524">
      <c r="A524" s="4">
        <v>45554.87708333333</v>
      </c>
      <c r="B524" s="5">
        <v>2731682.0</v>
      </c>
      <c r="C524" s="2" t="s">
        <v>1575</v>
      </c>
      <c r="D524" s="2" t="s">
        <v>1565</v>
      </c>
      <c r="E524" s="2">
        <v>10002.0</v>
      </c>
      <c r="F524" s="2" t="s">
        <v>1576</v>
      </c>
      <c r="I524" s="7">
        <v>1.0</v>
      </c>
      <c r="J524" s="6">
        <v>18571.0</v>
      </c>
      <c r="K524" s="2">
        <v>0.0</v>
      </c>
      <c r="L524" s="2">
        <v>18571.0</v>
      </c>
      <c r="M524" s="2">
        <v>0.0</v>
      </c>
      <c r="N524" s="2">
        <v>18571.0</v>
      </c>
      <c r="O524" s="2">
        <v>928.0</v>
      </c>
      <c r="P524" s="2" t="s">
        <v>1574</v>
      </c>
      <c r="Q524" s="2" t="s">
        <v>1568</v>
      </c>
      <c r="R524" s="2" t="s">
        <v>1569</v>
      </c>
      <c r="S524" s="2" t="s">
        <v>1570</v>
      </c>
      <c r="W524" s="2" t="s">
        <v>1571</v>
      </c>
    </row>
    <row r="525">
      <c r="A525" s="4">
        <v>45554.87708333333</v>
      </c>
      <c r="B525" s="5">
        <v>2731682.0</v>
      </c>
      <c r="C525" s="2" t="s">
        <v>1575</v>
      </c>
      <c r="D525" s="2" t="s">
        <v>1565</v>
      </c>
      <c r="E525" s="2">
        <v>10055.0</v>
      </c>
      <c r="F525" s="2" t="s">
        <v>1597</v>
      </c>
      <c r="I525" s="7">
        <v>1.0</v>
      </c>
      <c r="J525" s="6">
        <v>34762.0</v>
      </c>
      <c r="K525" s="2">
        <v>0.0</v>
      </c>
      <c r="L525" s="2">
        <v>34762.0</v>
      </c>
      <c r="M525" s="2">
        <v>0.0</v>
      </c>
      <c r="N525" s="2">
        <v>34762.0</v>
      </c>
      <c r="O525" s="2">
        <v>1739.0</v>
      </c>
      <c r="P525" s="2" t="s">
        <v>1574</v>
      </c>
      <c r="Q525" s="2" t="s">
        <v>1568</v>
      </c>
      <c r="R525" s="2" t="s">
        <v>1569</v>
      </c>
      <c r="S525" s="2" t="s">
        <v>1570</v>
      </c>
      <c r="W525" s="2" t="s">
        <v>1571</v>
      </c>
    </row>
    <row r="526">
      <c r="A526" s="4">
        <v>45554.86944444444</v>
      </c>
      <c r="B526" s="5">
        <v>2731317.0</v>
      </c>
      <c r="C526" s="2" t="s">
        <v>1575</v>
      </c>
      <c r="D526" s="2" t="s">
        <v>1565</v>
      </c>
      <c r="E526" s="2">
        <v>10007.0</v>
      </c>
      <c r="F526" s="2" t="s">
        <v>1596</v>
      </c>
      <c r="I526" s="7">
        <v>1.0</v>
      </c>
      <c r="J526" s="6">
        <v>33810.0</v>
      </c>
      <c r="K526" s="2">
        <v>0.0</v>
      </c>
      <c r="L526" s="2">
        <v>33810.0</v>
      </c>
      <c r="M526" s="2">
        <v>0.0</v>
      </c>
      <c r="N526" s="2">
        <v>33810.0</v>
      </c>
      <c r="O526" s="2">
        <v>1691.0</v>
      </c>
      <c r="P526" s="2" t="s">
        <v>1574</v>
      </c>
      <c r="Q526" s="2" t="s">
        <v>1568</v>
      </c>
      <c r="R526" s="2" t="s">
        <v>1569</v>
      </c>
      <c r="S526" s="2" t="s">
        <v>1570</v>
      </c>
      <c r="W526" s="2" t="s">
        <v>1571</v>
      </c>
    </row>
    <row r="527">
      <c r="A527" s="4">
        <v>45554.86944444444</v>
      </c>
      <c r="B527" s="5">
        <v>2731317.0</v>
      </c>
      <c r="C527" s="2" t="s">
        <v>1575</v>
      </c>
      <c r="D527" s="2" t="s">
        <v>1565</v>
      </c>
      <c r="E527" s="2">
        <v>10005.0</v>
      </c>
      <c r="F527" s="2" t="s">
        <v>1595</v>
      </c>
      <c r="I527" s="7">
        <v>1.0</v>
      </c>
      <c r="J527" s="6">
        <v>19524.0</v>
      </c>
      <c r="K527" s="2">
        <v>0.0</v>
      </c>
      <c r="L527" s="2">
        <v>19524.0</v>
      </c>
      <c r="M527" s="2">
        <v>0.0</v>
      </c>
      <c r="N527" s="2">
        <v>19524.0</v>
      </c>
      <c r="O527" s="2">
        <v>976.0</v>
      </c>
      <c r="P527" s="2" t="s">
        <v>1574</v>
      </c>
      <c r="Q527" s="2" t="s">
        <v>1568</v>
      </c>
      <c r="R527" s="2" t="s">
        <v>1569</v>
      </c>
      <c r="S527" s="2" t="s">
        <v>1570</v>
      </c>
      <c r="W527" s="2" t="s">
        <v>1571</v>
      </c>
    </row>
    <row r="528">
      <c r="A528" s="4">
        <v>45554.86944444444</v>
      </c>
      <c r="B528" s="5">
        <v>2731317.0</v>
      </c>
      <c r="C528" s="2" t="s">
        <v>1575</v>
      </c>
      <c r="D528" s="2" t="s">
        <v>1565</v>
      </c>
      <c r="E528" s="2">
        <v>10000.0</v>
      </c>
      <c r="F528" s="2" t="s">
        <v>1566</v>
      </c>
      <c r="I528" s="7">
        <v>1.0</v>
      </c>
      <c r="J528" s="6">
        <v>29524.0</v>
      </c>
      <c r="K528" s="2">
        <v>0.0</v>
      </c>
      <c r="L528" s="2">
        <v>29524.0</v>
      </c>
      <c r="M528" s="2">
        <v>0.0</v>
      </c>
      <c r="N528" s="2">
        <v>29524.0</v>
      </c>
      <c r="O528" s="2">
        <v>1476.0</v>
      </c>
      <c r="P528" s="2" t="s">
        <v>1574</v>
      </c>
      <c r="Q528" s="2" t="s">
        <v>1568</v>
      </c>
      <c r="R528" s="2" t="s">
        <v>1569</v>
      </c>
      <c r="S528" s="2" t="s">
        <v>1570</v>
      </c>
      <c r="W528" s="2" t="s">
        <v>1571</v>
      </c>
    </row>
    <row r="529">
      <c r="A529" s="4">
        <v>45554.86875</v>
      </c>
      <c r="B529" s="5">
        <v>2730952.0</v>
      </c>
      <c r="C529" s="2" t="s">
        <v>1575</v>
      </c>
      <c r="D529" s="2" t="s">
        <v>1580</v>
      </c>
      <c r="E529" s="2">
        <v>10012.0</v>
      </c>
      <c r="F529" s="2" t="s">
        <v>1602</v>
      </c>
      <c r="I529" s="7">
        <v>1.0</v>
      </c>
      <c r="J529" s="6">
        <v>29524.0</v>
      </c>
      <c r="K529" s="2">
        <v>0.0</v>
      </c>
      <c r="L529" s="2">
        <v>29524.0</v>
      </c>
      <c r="M529" s="2">
        <v>0.0</v>
      </c>
      <c r="N529" s="2">
        <v>29524.0</v>
      </c>
      <c r="O529" s="2">
        <v>1476.0</v>
      </c>
      <c r="P529" s="2" t="s">
        <v>1574</v>
      </c>
      <c r="Q529" s="2" t="s">
        <v>1568</v>
      </c>
      <c r="R529" s="2" t="s">
        <v>1569</v>
      </c>
      <c r="S529" s="2" t="s">
        <v>1570</v>
      </c>
      <c r="W529" s="2" t="s">
        <v>1571</v>
      </c>
    </row>
    <row r="530">
      <c r="A530" s="4">
        <v>45554.790972222225</v>
      </c>
      <c r="B530" s="5">
        <v>2730586.0</v>
      </c>
      <c r="C530" s="2" t="s">
        <v>1575</v>
      </c>
      <c r="D530" s="2" t="s">
        <v>1565</v>
      </c>
      <c r="E530" s="2">
        <v>10005.0</v>
      </c>
      <c r="F530" s="2" t="s">
        <v>1595</v>
      </c>
      <c r="I530" s="7">
        <v>1.0</v>
      </c>
      <c r="J530" s="6">
        <v>19524.0</v>
      </c>
      <c r="K530" s="2">
        <v>0.0</v>
      </c>
      <c r="L530" s="2">
        <v>19524.0</v>
      </c>
      <c r="M530" s="2">
        <v>0.0</v>
      </c>
      <c r="N530" s="2">
        <v>19524.0</v>
      </c>
      <c r="O530" s="2">
        <v>976.0</v>
      </c>
      <c r="P530" s="2" t="s">
        <v>1574</v>
      </c>
      <c r="Q530" s="2" t="s">
        <v>1568</v>
      </c>
      <c r="R530" s="2" t="s">
        <v>1569</v>
      </c>
      <c r="S530" s="2" t="s">
        <v>1570</v>
      </c>
      <c r="W530" s="2" t="s">
        <v>1571</v>
      </c>
    </row>
    <row r="531">
      <c r="A531" s="4">
        <v>45554.790972222225</v>
      </c>
      <c r="B531" s="5">
        <v>2730586.0</v>
      </c>
      <c r="C531" s="2" t="s">
        <v>1575</v>
      </c>
      <c r="D531" s="2" t="s">
        <v>1565</v>
      </c>
      <c r="E531" s="2">
        <v>10000.0</v>
      </c>
      <c r="F531" s="2" t="s">
        <v>1566</v>
      </c>
      <c r="I531" s="7">
        <v>1.0</v>
      </c>
      <c r="J531" s="6">
        <v>29524.0</v>
      </c>
      <c r="K531" s="2">
        <v>0.0</v>
      </c>
      <c r="L531" s="2">
        <v>29524.0</v>
      </c>
      <c r="M531" s="2">
        <v>0.0</v>
      </c>
      <c r="N531" s="2">
        <v>29524.0</v>
      </c>
      <c r="O531" s="2">
        <v>1476.0</v>
      </c>
      <c r="P531" s="2" t="s">
        <v>1574</v>
      </c>
      <c r="Q531" s="2" t="s">
        <v>1568</v>
      </c>
      <c r="R531" s="2" t="s">
        <v>1569</v>
      </c>
      <c r="S531" s="2" t="s">
        <v>1570</v>
      </c>
      <c r="W531" s="2" t="s">
        <v>1571</v>
      </c>
    </row>
    <row r="532">
      <c r="A532" s="4">
        <v>45554.65</v>
      </c>
      <c r="B532" s="5">
        <v>2730221.0</v>
      </c>
      <c r="C532" s="2" t="s">
        <v>1575</v>
      </c>
      <c r="D532" s="2" t="s">
        <v>1565</v>
      </c>
      <c r="E532" s="2">
        <v>10000.0</v>
      </c>
      <c r="F532" s="2" t="s">
        <v>1566</v>
      </c>
      <c r="I532" s="7">
        <v>1.0</v>
      </c>
      <c r="J532" s="6">
        <v>29524.0</v>
      </c>
      <c r="K532" s="2">
        <v>0.0</v>
      </c>
      <c r="L532" s="2">
        <v>29524.0</v>
      </c>
      <c r="M532" s="2">
        <v>0.0</v>
      </c>
      <c r="N532" s="2">
        <v>29524.0</v>
      </c>
      <c r="O532" s="2">
        <v>1476.0</v>
      </c>
      <c r="P532" s="2" t="s">
        <v>1574</v>
      </c>
      <c r="Q532" s="2" t="s">
        <v>1568</v>
      </c>
      <c r="R532" s="2" t="s">
        <v>1569</v>
      </c>
      <c r="S532" s="2" t="s">
        <v>1570</v>
      </c>
      <c r="W532" s="2" t="s">
        <v>1571</v>
      </c>
    </row>
    <row r="533">
      <c r="A533" s="4">
        <v>45554.6125</v>
      </c>
      <c r="B533" s="5">
        <v>2729856.0</v>
      </c>
      <c r="C533" s="2" t="s">
        <v>1575</v>
      </c>
      <c r="D533" s="2" t="s">
        <v>1565</v>
      </c>
      <c r="E533" s="2">
        <v>10002.0</v>
      </c>
      <c r="F533" s="2" t="s">
        <v>1576</v>
      </c>
      <c r="I533" s="7">
        <v>1.0</v>
      </c>
      <c r="J533" s="6">
        <v>18571.0</v>
      </c>
      <c r="K533" s="2">
        <v>0.0</v>
      </c>
      <c r="L533" s="2">
        <v>18571.0</v>
      </c>
      <c r="M533" s="2">
        <v>0.0</v>
      </c>
      <c r="N533" s="2">
        <v>18571.0</v>
      </c>
      <c r="O533" s="2">
        <v>929.0</v>
      </c>
      <c r="P533" s="2" t="s">
        <v>1574</v>
      </c>
      <c r="Q533" s="2" t="s">
        <v>1568</v>
      </c>
      <c r="R533" s="2" t="s">
        <v>1569</v>
      </c>
      <c r="S533" s="2" t="s">
        <v>1570</v>
      </c>
      <c r="W533" s="2" t="s">
        <v>1571</v>
      </c>
    </row>
    <row r="534">
      <c r="A534" s="4">
        <v>45554.6125</v>
      </c>
      <c r="B534" s="5">
        <v>2729856.0</v>
      </c>
      <c r="C534" s="2" t="s">
        <v>1575</v>
      </c>
      <c r="D534" s="2" t="s">
        <v>1565</v>
      </c>
      <c r="E534" s="2">
        <v>10005.0</v>
      </c>
      <c r="F534" s="2" t="s">
        <v>1595</v>
      </c>
      <c r="I534" s="7">
        <v>1.0</v>
      </c>
      <c r="J534" s="6">
        <v>19524.0</v>
      </c>
      <c r="K534" s="2">
        <v>0.0</v>
      </c>
      <c r="L534" s="2">
        <v>19524.0</v>
      </c>
      <c r="M534" s="2">
        <v>0.0</v>
      </c>
      <c r="N534" s="2">
        <v>19524.0</v>
      </c>
      <c r="O534" s="2">
        <v>976.0</v>
      </c>
      <c r="P534" s="2" t="s">
        <v>1574</v>
      </c>
      <c r="Q534" s="2" t="s">
        <v>1568</v>
      </c>
      <c r="R534" s="2" t="s">
        <v>1569</v>
      </c>
      <c r="S534" s="2" t="s">
        <v>1570</v>
      </c>
      <c r="W534" s="2" t="s">
        <v>1571</v>
      </c>
    </row>
    <row r="535">
      <c r="A535" s="4">
        <v>45554.57361111111</v>
      </c>
      <c r="B535" s="5">
        <v>2729491.0</v>
      </c>
      <c r="C535" s="2" t="s">
        <v>1575</v>
      </c>
      <c r="D535" s="2" t="s">
        <v>1565</v>
      </c>
      <c r="E535" s="2">
        <v>10000.0</v>
      </c>
      <c r="F535" s="2" t="s">
        <v>1566</v>
      </c>
      <c r="I535" s="7">
        <v>1.0</v>
      </c>
      <c r="J535" s="6">
        <v>29524.0</v>
      </c>
      <c r="K535" s="2">
        <v>0.0</v>
      </c>
      <c r="L535" s="2">
        <v>29524.0</v>
      </c>
      <c r="M535" s="2">
        <v>0.0</v>
      </c>
      <c r="N535" s="2">
        <v>29524.0</v>
      </c>
      <c r="O535" s="2">
        <v>1476.0</v>
      </c>
      <c r="P535" s="2" t="s">
        <v>1574</v>
      </c>
      <c r="Q535" s="2" t="s">
        <v>1568</v>
      </c>
      <c r="R535" s="2" t="s">
        <v>1569</v>
      </c>
      <c r="S535" s="2" t="s">
        <v>1570</v>
      </c>
      <c r="W535" s="2" t="s">
        <v>1571</v>
      </c>
    </row>
    <row r="536">
      <c r="A536" s="4">
        <v>45554.57361111111</v>
      </c>
      <c r="B536" s="5">
        <v>2729491.0</v>
      </c>
      <c r="C536" s="2" t="s">
        <v>1575</v>
      </c>
      <c r="D536" s="2" t="s">
        <v>1565</v>
      </c>
      <c r="E536" s="2">
        <v>10002.0</v>
      </c>
      <c r="F536" s="2" t="s">
        <v>1576</v>
      </c>
      <c r="I536" s="7">
        <v>1.0</v>
      </c>
      <c r="J536" s="6">
        <v>18571.0</v>
      </c>
      <c r="K536" s="2">
        <v>0.0</v>
      </c>
      <c r="L536" s="2">
        <v>18571.0</v>
      </c>
      <c r="M536" s="2">
        <v>0.0</v>
      </c>
      <c r="N536" s="2">
        <v>18571.0</v>
      </c>
      <c r="O536" s="2">
        <v>929.0</v>
      </c>
      <c r="P536" s="2" t="s">
        <v>1574</v>
      </c>
      <c r="Q536" s="2" t="s">
        <v>1568</v>
      </c>
      <c r="R536" s="2" t="s">
        <v>1569</v>
      </c>
      <c r="S536" s="2" t="s">
        <v>1570</v>
      </c>
      <c r="W536" s="2" t="s">
        <v>1571</v>
      </c>
    </row>
    <row r="537">
      <c r="A537" s="4">
        <v>45554.57361111111</v>
      </c>
      <c r="B537" s="5">
        <v>2729491.0</v>
      </c>
      <c r="C537" s="2" t="s">
        <v>1575</v>
      </c>
      <c r="D537" s="2" t="s">
        <v>1565</v>
      </c>
      <c r="E537" s="2">
        <v>10005.0</v>
      </c>
      <c r="F537" s="2" t="s">
        <v>1595</v>
      </c>
      <c r="I537" s="7">
        <v>1.0</v>
      </c>
      <c r="J537" s="6">
        <v>19524.0</v>
      </c>
      <c r="K537" s="2">
        <v>0.0</v>
      </c>
      <c r="L537" s="2">
        <v>19524.0</v>
      </c>
      <c r="M537" s="2">
        <v>0.0</v>
      </c>
      <c r="N537" s="2">
        <v>19524.0</v>
      </c>
      <c r="O537" s="2">
        <v>976.0</v>
      </c>
      <c r="P537" s="2" t="s">
        <v>1574</v>
      </c>
      <c r="Q537" s="2" t="s">
        <v>1568</v>
      </c>
      <c r="R537" s="2" t="s">
        <v>1569</v>
      </c>
      <c r="S537" s="2" t="s">
        <v>1570</v>
      </c>
      <c r="W537" s="2" t="s">
        <v>1571</v>
      </c>
    </row>
    <row r="538">
      <c r="A538" s="4">
        <v>45554.56180555555</v>
      </c>
      <c r="B538" s="5">
        <v>2729125.0</v>
      </c>
      <c r="C538" s="2" t="s">
        <v>1575</v>
      </c>
      <c r="D538" s="2" t="s">
        <v>1580</v>
      </c>
      <c r="E538" s="2">
        <v>10104.0</v>
      </c>
      <c r="F538" s="2" t="s">
        <v>1581</v>
      </c>
      <c r="I538" s="7">
        <v>1.0</v>
      </c>
      <c r="J538" s="6">
        <v>34762.0</v>
      </c>
      <c r="K538" s="2">
        <v>0.0</v>
      </c>
      <c r="L538" s="2">
        <v>34762.0</v>
      </c>
      <c r="M538" s="2">
        <v>0.0</v>
      </c>
      <c r="N538" s="2">
        <v>34762.0</v>
      </c>
      <c r="O538" s="2">
        <v>1738.0</v>
      </c>
      <c r="P538" s="2" t="s">
        <v>1574</v>
      </c>
      <c r="Q538" s="2" t="s">
        <v>1568</v>
      </c>
      <c r="R538" s="2" t="s">
        <v>1569</v>
      </c>
      <c r="S538" s="2" t="s">
        <v>1570</v>
      </c>
      <c r="W538" s="2" t="s">
        <v>1571</v>
      </c>
    </row>
    <row r="539">
      <c r="A539" s="4">
        <v>45554.56180555555</v>
      </c>
      <c r="B539" s="5">
        <v>2729125.0</v>
      </c>
      <c r="C539" s="2" t="s">
        <v>1575</v>
      </c>
      <c r="D539" s="2" t="s">
        <v>1572</v>
      </c>
      <c r="E539" s="2">
        <v>10106.0</v>
      </c>
      <c r="F539" s="2" t="s">
        <v>1598</v>
      </c>
      <c r="I539" s="7">
        <v>2.0</v>
      </c>
      <c r="J539" s="6">
        <v>53334.0</v>
      </c>
      <c r="K539" s="2">
        <v>0.0</v>
      </c>
      <c r="L539" s="2">
        <v>53334.0</v>
      </c>
      <c r="M539" s="2">
        <v>0.0</v>
      </c>
      <c r="N539" s="2">
        <v>53334.0</v>
      </c>
      <c r="O539" s="2">
        <v>2667.0</v>
      </c>
      <c r="P539" s="2" t="s">
        <v>1574</v>
      </c>
      <c r="Q539" s="2" t="s">
        <v>1568</v>
      </c>
      <c r="R539" s="2" t="s">
        <v>1569</v>
      </c>
      <c r="S539" s="2" t="s">
        <v>1570</v>
      </c>
      <c r="W539" s="2" t="s">
        <v>1571</v>
      </c>
    </row>
    <row r="540">
      <c r="A540" s="4">
        <v>45554.56180555555</v>
      </c>
      <c r="B540" s="5">
        <v>2729125.0</v>
      </c>
      <c r="C540" s="2" t="s">
        <v>1575</v>
      </c>
      <c r="D540" s="2" t="s">
        <v>1572</v>
      </c>
      <c r="E540" s="2">
        <v>10112.0</v>
      </c>
      <c r="F540" s="2" t="s">
        <v>1573</v>
      </c>
      <c r="I540" s="7">
        <v>2.0</v>
      </c>
      <c r="J540" s="6">
        <v>13334.0</v>
      </c>
      <c r="K540" s="2">
        <v>0.0</v>
      </c>
      <c r="L540" s="2">
        <v>13334.0</v>
      </c>
      <c r="M540" s="2">
        <v>0.0</v>
      </c>
      <c r="N540" s="2">
        <v>13334.0</v>
      </c>
      <c r="O540" s="2">
        <v>667.0</v>
      </c>
      <c r="P540" s="2" t="s">
        <v>1574</v>
      </c>
      <c r="Q540" s="2" t="s">
        <v>1568</v>
      </c>
      <c r="R540" s="2" t="s">
        <v>1569</v>
      </c>
      <c r="S540" s="2" t="s">
        <v>1570</v>
      </c>
      <c r="W540" s="2" t="s">
        <v>1571</v>
      </c>
    </row>
    <row r="541">
      <c r="A541" s="4">
        <v>45554.56180555555</v>
      </c>
      <c r="B541" s="5">
        <v>2729125.0</v>
      </c>
      <c r="C541" s="2" t="s">
        <v>1575</v>
      </c>
      <c r="D541" s="2" t="s">
        <v>1580</v>
      </c>
      <c r="E541" s="2">
        <v>10105.0</v>
      </c>
      <c r="F541" s="2" t="s">
        <v>1611</v>
      </c>
      <c r="I541" s="7">
        <v>2.0</v>
      </c>
      <c r="J541" s="6">
        <v>76190.0</v>
      </c>
      <c r="K541" s="2">
        <v>0.0</v>
      </c>
      <c r="L541" s="2">
        <v>76190.0</v>
      </c>
      <c r="M541" s="2">
        <v>0.0</v>
      </c>
      <c r="N541" s="2">
        <v>76190.0</v>
      </c>
      <c r="O541" s="2">
        <v>3809.0</v>
      </c>
      <c r="P541" s="2" t="s">
        <v>1574</v>
      </c>
      <c r="Q541" s="2" t="s">
        <v>1568</v>
      </c>
      <c r="R541" s="2" t="s">
        <v>1569</v>
      </c>
      <c r="S541" s="2" t="s">
        <v>1570</v>
      </c>
      <c r="W541" s="2" t="s">
        <v>1571</v>
      </c>
    </row>
    <row r="542">
      <c r="A542" s="4">
        <v>45554.56180555555</v>
      </c>
      <c r="B542" s="5">
        <v>2729125.0</v>
      </c>
      <c r="C542" s="2" t="s">
        <v>1575</v>
      </c>
      <c r="D542" s="2" t="s">
        <v>1580</v>
      </c>
      <c r="E542" s="2">
        <v>10003.0</v>
      </c>
      <c r="F542" s="2" t="s">
        <v>1603</v>
      </c>
      <c r="I542" s="7">
        <v>3.0</v>
      </c>
      <c r="J542" s="6">
        <v>88572.0</v>
      </c>
      <c r="K542" s="2">
        <v>0.0</v>
      </c>
      <c r="L542" s="2">
        <v>88572.0</v>
      </c>
      <c r="M542" s="2">
        <v>0.0</v>
      </c>
      <c r="N542" s="2">
        <v>88572.0</v>
      </c>
      <c r="O542" s="2">
        <v>4429.0</v>
      </c>
      <c r="P542" s="2" t="s">
        <v>1574</v>
      </c>
      <c r="Q542" s="2" t="s">
        <v>1568</v>
      </c>
      <c r="R542" s="2" t="s">
        <v>1569</v>
      </c>
      <c r="S542" s="2" t="s">
        <v>1570</v>
      </c>
      <c r="W542" s="2" t="s">
        <v>1571</v>
      </c>
    </row>
    <row r="543">
      <c r="A543" s="4">
        <v>45554.56180555555</v>
      </c>
      <c r="B543" s="5">
        <v>2729125.0</v>
      </c>
      <c r="C543" s="2" t="s">
        <v>1575</v>
      </c>
      <c r="D543" s="2" t="s">
        <v>1572</v>
      </c>
      <c r="E543" s="2">
        <v>10128.0</v>
      </c>
      <c r="F543" s="2" t="s">
        <v>1588</v>
      </c>
      <c r="I543" s="7">
        <v>5.0</v>
      </c>
      <c r="J543" s="6">
        <v>116665.0</v>
      </c>
      <c r="K543" s="2">
        <v>0.0</v>
      </c>
      <c r="L543" s="2">
        <v>116665.0</v>
      </c>
      <c r="M543" s="2">
        <v>0.0</v>
      </c>
      <c r="N543" s="2">
        <v>116665.0</v>
      </c>
      <c r="O543" s="2">
        <v>5833.0</v>
      </c>
      <c r="P543" s="2" t="s">
        <v>1574</v>
      </c>
      <c r="Q543" s="2" t="s">
        <v>1568</v>
      </c>
      <c r="R543" s="2" t="s">
        <v>1569</v>
      </c>
      <c r="S543" s="2" t="s">
        <v>1570</v>
      </c>
      <c r="W543" s="2" t="s">
        <v>1571</v>
      </c>
    </row>
    <row r="544">
      <c r="A544" s="4">
        <v>45554.46805555555</v>
      </c>
      <c r="B544" s="5">
        <v>2728760.0</v>
      </c>
      <c r="C544" s="2" t="s">
        <v>1575</v>
      </c>
      <c r="D544" s="2" t="s">
        <v>1580</v>
      </c>
      <c r="E544" s="2">
        <v>10003.0</v>
      </c>
      <c r="F544" s="2" t="s">
        <v>1603</v>
      </c>
      <c r="I544" s="7">
        <v>1.0</v>
      </c>
      <c r="J544" s="6">
        <v>29524.0</v>
      </c>
      <c r="K544" s="2">
        <v>0.0</v>
      </c>
      <c r="L544" s="2">
        <v>29524.0</v>
      </c>
      <c r="M544" s="2">
        <v>0.0</v>
      </c>
      <c r="N544" s="2">
        <v>29524.0</v>
      </c>
      <c r="O544" s="2">
        <v>1476.0</v>
      </c>
      <c r="P544" s="2" t="s">
        <v>1574</v>
      </c>
      <c r="Q544" s="2" t="s">
        <v>1568</v>
      </c>
      <c r="R544" s="2" t="s">
        <v>1569</v>
      </c>
      <c r="S544" s="2" t="s">
        <v>1570</v>
      </c>
      <c r="W544" s="2" t="s">
        <v>1571</v>
      </c>
    </row>
    <row r="545">
      <c r="A545" s="4">
        <v>45554.46805555555</v>
      </c>
      <c r="B545" s="5">
        <v>2728760.0</v>
      </c>
      <c r="C545" s="2" t="s">
        <v>1575</v>
      </c>
      <c r="D545" s="2" t="s">
        <v>1572</v>
      </c>
      <c r="E545" s="2">
        <v>10128.0</v>
      </c>
      <c r="F545" s="2" t="s">
        <v>1588</v>
      </c>
      <c r="I545" s="7">
        <v>1.0</v>
      </c>
      <c r="J545" s="6">
        <v>23333.0</v>
      </c>
      <c r="K545" s="2">
        <v>0.0</v>
      </c>
      <c r="L545" s="2">
        <v>23333.0</v>
      </c>
      <c r="M545" s="2">
        <v>0.0</v>
      </c>
      <c r="N545" s="2">
        <v>23333.0</v>
      </c>
      <c r="O545" s="2">
        <v>1167.0</v>
      </c>
      <c r="P545" s="2" t="s">
        <v>1574</v>
      </c>
      <c r="Q545" s="2" t="s">
        <v>1568</v>
      </c>
      <c r="R545" s="2" t="s">
        <v>1569</v>
      </c>
      <c r="S545" s="2" t="s">
        <v>1570</v>
      </c>
      <c r="W545" s="2" t="s">
        <v>1571</v>
      </c>
    </row>
    <row r="546">
      <c r="A546" s="4">
        <v>45553.80763888889</v>
      </c>
      <c r="B546" s="5">
        <v>2728395.0</v>
      </c>
      <c r="C546" s="2" t="s">
        <v>1575</v>
      </c>
      <c r="D546" s="2" t="s">
        <v>1572</v>
      </c>
      <c r="E546" s="2">
        <v>10119.0</v>
      </c>
      <c r="F546" s="2" t="s">
        <v>1582</v>
      </c>
      <c r="I546" s="7">
        <v>1.0</v>
      </c>
      <c r="J546" s="6">
        <v>7143.0</v>
      </c>
      <c r="K546" s="2">
        <v>0.0</v>
      </c>
      <c r="L546" s="2">
        <v>7143.0</v>
      </c>
      <c r="M546" s="2">
        <v>0.0</v>
      </c>
      <c r="N546" s="2">
        <v>7143.0</v>
      </c>
      <c r="O546" s="2">
        <v>357.0</v>
      </c>
      <c r="P546" s="2" t="s">
        <v>1574</v>
      </c>
      <c r="Q546" s="2" t="s">
        <v>1568</v>
      </c>
      <c r="R546" s="2" t="s">
        <v>1569</v>
      </c>
      <c r="S546" s="2" t="s">
        <v>1570</v>
      </c>
      <c r="W546" s="2" t="s">
        <v>1571</v>
      </c>
    </row>
    <row r="547">
      <c r="A547" s="4">
        <v>45553.80763888889</v>
      </c>
      <c r="B547" s="5">
        <v>2728395.0</v>
      </c>
      <c r="C547" s="2" t="s">
        <v>1575</v>
      </c>
      <c r="D547" s="2" t="s">
        <v>1572</v>
      </c>
      <c r="E547" s="2">
        <v>10058.0</v>
      </c>
      <c r="F547" s="2" t="s">
        <v>1618</v>
      </c>
      <c r="I547" s="7">
        <v>1.0</v>
      </c>
      <c r="J547" s="6">
        <v>19524.0</v>
      </c>
      <c r="K547" s="2">
        <v>0.0</v>
      </c>
      <c r="L547" s="2">
        <v>19524.0</v>
      </c>
      <c r="M547" s="2">
        <v>0.0</v>
      </c>
      <c r="N547" s="2">
        <v>19524.0</v>
      </c>
      <c r="O547" s="2">
        <v>976.0</v>
      </c>
      <c r="P547" s="2" t="s">
        <v>1574</v>
      </c>
      <c r="Q547" s="2" t="s">
        <v>1568</v>
      </c>
      <c r="R547" s="2" t="s">
        <v>1569</v>
      </c>
      <c r="S547" s="2" t="s">
        <v>1570</v>
      </c>
      <c r="W547" s="2" t="s">
        <v>1571</v>
      </c>
    </row>
    <row r="548">
      <c r="A548" s="4">
        <v>45553.80763888889</v>
      </c>
      <c r="B548" s="5">
        <v>2728395.0</v>
      </c>
      <c r="C548" s="2" t="s">
        <v>1575</v>
      </c>
      <c r="D548" s="2" t="s">
        <v>1578</v>
      </c>
      <c r="E548" s="2">
        <v>10015.0</v>
      </c>
      <c r="F548" s="2" t="s">
        <v>1587</v>
      </c>
      <c r="I548" s="7">
        <v>1.0</v>
      </c>
      <c r="J548" s="6">
        <v>25238.0</v>
      </c>
      <c r="K548" s="2">
        <v>0.0</v>
      </c>
      <c r="L548" s="2">
        <v>25238.0</v>
      </c>
      <c r="M548" s="2">
        <v>0.0</v>
      </c>
      <c r="N548" s="2">
        <v>25238.0</v>
      </c>
      <c r="O548" s="2">
        <v>1262.0</v>
      </c>
      <c r="P548" s="2" t="s">
        <v>1574</v>
      </c>
      <c r="Q548" s="2" t="s">
        <v>1568</v>
      </c>
      <c r="R548" s="2" t="s">
        <v>1569</v>
      </c>
      <c r="S548" s="2" t="s">
        <v>1570</v>
      </c>
      <c r="W548" s="2" t="s">
        <v>1571</v>
      </c>
    </row>
    <row r="549">
      <c r="A549" s="4">
        <v>45553.72638888889</v>
      </c>
      <c r="B549" s="5">
        <v>2728030.0</v>
      </c>
      <c r="C549" s="2" t="s">
        <v>1575</v>
      </c>
      <c r="D549" s="2" t="s">
        <v>1565</v>
      </c>
      <c r="E549" s="2">
        <v>10055.0</v>
      </c>
      <c r="F549" s="2" t="s">
        <v>1597</v>
      </c>
      <c r="I549" s="7">
        <v>1.0</v>
      </c>
      <c r="J549" s="6">
        <v>34762.0</v>
      </c>
      <c r="K549" s="2">
        <v>0.0</v>
      </c>
      <c r="L549" s="2">
        <v>34762.0</v>
      </c>
      <c r="M549" s="2">
        <v>0.0</v>
      </c>
      <c r="N549" s="2">
        <v>34762.0</v>
      </c>
      <c r="O549" s="2">
        <v>1738.0</v>
      </c>
      <c r="P549" s="2" t="s">
        <v>1574</v>
      </c>
      <c r="Q549" s="2" t="s">
        <v>1568</v>
      </c>
      <c r="R549" s="2" t="s">
        <v>1569</v>
      </c>
      <c r="S549" s="2" t="s">
        <v>1570</v>
      </c>
      <c r="W549" s="2" t="s">
        <v>1571</v>
      </c>
    </row>
    <row r="550">
      <c r="A550" s="4">
        <v>45553.697916666664</v>
      </c>
      <c r="B550" s="5">
        <v>2727664.0</v>
      </c>
      <c r="C550" s="2" t="s">
        <v>1575</v>
      </c>
      <c r="D550" s="2" t="s">
        <v>1565</v>
      </c>
      <c r="E550" s="2">
        <v>10002.0</v>
      </c>
      <c r="F550" s="2" t="s">
        <v>1576</v>
      </c>
      <c r="I550" s="7">
        <v>1.0</v>
      </c>
      <c r="J550" s="6">
        <v>18571.0</v>
      </c>
      <c r="K550" s="2">
        <v>0.0</v>
      </c>
      <c r="L550" s="2">
        <v>18571.0</v>
      </c>
      <c r="M550" s="2">
        <v>0.0</v>
      </c>
      <c r="N550" s="2">
        <v>18571.0</v>
      </c>
      <c r="O550" s="2">
        <v>929.0</v>
      </c>
      <c r="P550" s="2" t="s">
        <v>1574</v>
      </c>
      <c r="Q550" s="2" t="s">
        <v>1568</v>
      </c>
      <c r="R550" s="2" t="s">
        <v>1569</v>
      </c>
      <c r="S550" s="2" t="s">
        <v>1570</v>
      </c>
      <c r="W550" s="2" t="s">
        <v>1571</v>
      </c>
    </row>
    <row r="551">
      <c r="A551" s="4">
        <v>45553.697916666664</v>
      </c>
      <c r="B551" s="5">
        <v>2727664.0</v>
      </c>
      <c r="C551" s="2" t="s">
        <v>1575</v>
      </c>
      <c r="D551" s="2" t="s">
        <v>1565</v>
      </c>
      <c r="E551" s="2">
        <v>10005.0</v>
      </c>
      <c r="F551" s="2" t="s">
        <v>1595</v>
      </c>
      <c r="I551" s="7">
        <v>1.0</v>
      </c>
      <c r="J551" s="6">
        <v>19524.0</v>
      </c>
      <c r="K551" s="2">
        <v>0.0</v>
      </c>
      <c r="L551" s="2">
        <v>19524.0</v>
      </c>
      <c r="M551" s="2">
        <v>0.0</v>
      </c>
      <c r="N551" s="2">
        <v>19524.0</v>
      </c>
      <c r="O551" s="2">
        <v>976.0</v>
      </c>
      <c r="P551" s="2" t="s">
        <v>1574</v>
      </c>
      <c r="Q551" s="2" t="s">
        <v>1568</v>
      </c>
      <c r="R551" s="2" t="s">
        <v>1569</v>
      </c>
      <c r="S551" s="2" t="s">
        <v>1570</v>
      </c>
      <c r="W551" s="2" t="s">
        <v>1571</v>
      </c>
    </row>
    <row r="552">
      <c r="A552" s="4">
        <v>45553.69097222222</v>
      </c>
      <c r="B552" s="5">
        <v>2727299.0</v>
      </c>
      <c r="C552" s="2" t="s">
        <v>1575</v>
      </c>
      <c r="D552" s="2" t="s">
        <v>1565</v>
      </c>
      <c r="E552" s="2">
        <v>10000.0</v>
      </c>
      <c r="F552" s="2" t="s">
        <v>1566</v>
      </c>
      <c r="I552" s="7">
        <v>1.0</v>
      </c>
      <c r="J552" s="6">
        <v>29524.0</v>
      </c>
      <c r="K552" s="2">
        <v>0.0</v>
      </c>
      <c r="L552" s="2">
        <v>29524.0</v>
      </c>
      <c r="M552" s="2">
        <v>0.0</v>
      </c>
      <c r="N552" s="2">
        <v>29524.0</v>
      </c>
      <c r="O552" s="2">
        <v>1476.0</v>
      </c>
      <c r="P552" s="2" t="s">
        <v>1574</v>
      </c>
      <c r="Q552" s="2" t="s">
        <v>1568</v>
      </c>
      <c r="R552" s="2" t="s">
        <v>1569</v>
      </c>
      <c r="S552" s="2" t="s">
        <v>1570</v>
      </c>
      <c r="W552" s="2" t="s">
        <v>1571</v>
      </c>
    </row>
    <row r="553">
      <c r="A553" s="4">
        <v>45553.69097222222</v>
      </c>
      <c r="B553" s="5">
        <v>2727299.0</v>
      </c>
      <c r="C553" s="2" t="s">
        <v>1575</v>
      </c>
      <c r="D553" s="2" t="s">
        <v>1565</v>
      </c>
      <c r="E553" s="2">
        <v>10034.0</v>
      </c>
      <c r="F553" s="2" t="s">
        <v>1616</v>
      </c>
      <c r="I553" s="7">
        <v>1.0</v>
      </c>
      <c r="J553" s="6">
        <v>21905.0</v>
      </c>
      <c r="K553" s="2">
        <v>0.0</v>
      </c>
      <c r="L553" s="2">
        <v>21905.0</v>
      </c>
      <c r="M553" s="2">
        <v>0.0</v>
      </c>
      <c r="N553" s="2">
        <v>21905.0</v>
      </c>
      <c r="O553" s="2">
        <v>1095.0</v>
      </c>
      <c r="P553" s="2" t="s">
        <v>1574</v>
      </c>
      <c r="Q553" s="2" t="s">
        <v>1568</v>
      </c>
      <c r="R553" s="2" t="s">
        <v>1569</v>
      </c>
      <c r="S553" s="2" t="s">
        <v>1570</v>
      </c>
      <c r="W553" s="2" t="s">
        <v>1571</v>
      </c>
    </row>
    <row r="554">
      <c r="A554" s="4">
        <v>45553.69097222222</v>
      </c>
      <c r="B554" s="5">
        <v>2727299.0</v>
      </c>
      <c r="C554" s="2" t="s">
        <v>1575</v>
      </c>
      <c r="D554" s="2" t="s">
        <v>1578</v>
      </c>
      <c r="E554" s="2">
        <v>10051.0</v>
      </c>
      <c r="F554" s="2" t="s">
        <v>1579</v>
      </c>
      <c r="I554" s="7">
        <v>1.0</v>
      </c>
      <c r="J554" s="6">
        <v>25238.0</v>
      </c>
      <c r="K554" s="2">
        <v>0.0</v>
      </c>
      <c r="L554" s="2">
        <v>25238.0</v>
      </c>
      <c r="M554" s="2">
        <v>0.0</v>
      </c>
      <c r="N554" s="2">
        <v>25238.0</v>
      </c>
      <c r="O554" s="2">
        <v>1262.0</v>
      </c>
      <c r="P554" s="2" t="s">
        <v>1574</v>
      </c>
      <c r="Q554" s="2" t="s">
        <v>1568</v>
      </c>
      <c r="R554" s="2" t="s">
        <v>1569</v>
      </c>
      <c r="S554" s="2" t="s">
        <v>1570</v>
      </c>
      <c r="W554" s="2" t="s">
        <v>1571</v>
      </c>
    </row>
    <row r="555">
      <c r="A555" s="4">
        <v>45553.69097222222</v>
      </c>
      <c r="B555" s="5">
        <v>2727299.0</v>
      </c>
      <c r="C555" s="2" t="s">
        <v>1575</v>
      </c>
      <c r="D555" s="2" t="s">
        <v>1572</v>
      </c>
      <c r="E555" s="2">
        <v>10117.0</v>
      </c>
      <c r="F555" s="2" t="s">
        <v>1589</v>
      </c>
      <c r="I555" s="7">
        <v>1.0</v>
      </c>
      <c r="J555" s="6">
        <v>14286.0</v>
      </c>
      <c r="K555" s="2">
        <v>0.0</v>
      </c>
      <c r="L555" s="2">
        <v>14286.0</v>
      </c>
      <c r="M555" s="2">
        <v>0.0</v>
      </c>
      <c r="N555" s="2">
        <v>14286.0</v>
      </c>
      <c r="O555" s="2">
        <v>715.0</v>
      </c>
      <c r="P555" s="2" t="s">
        <v>1574</v>
      </c>
      <c r="Q555" s="2" t="s">
        <v>1568</v>
      </c>
      <c r="R555" s="2" t="s">
        <v>1569</v>
      </c>
      <c r="S555" s="2" t="s">
        <v>1570</v>
      </c>
      <c r="W555" s="2" t="s">
        <v>1571</v>
      </c>
    </row>
    <row r="556">
      <c r="A556" s="4">
        <v>45553.69097222222</v>
      </c>
      <c r="B556" s="5">
        <v>2727299.0</v>
      </c>
      <c r="C556" s="2" t="s">
        <v>1575</v>
      </c>
      <c r="D556" s="2" t="s">
        <v>1572</v>
      </c>
      <c r="E556" s="2">
        <v>10128.0</v>
      </c>
      <c r="F556" s="2" t="s">
        <v>1588</v>
      </c>
      <c r="I556" s="7">
        <v>1.0</v>
      </c>
      <c r="J556" s="6">
        <v>23333.0</v>
      </c>
      <c r="K556" s="2">
        <v>0.0</v>
      </c>
      <c r="L556" s="2">
        <v>23333.0</v>
      </c>
      <c r="M556" s="2">
        <v>0.0</v>
      </c>
      <c r="N556" s="2">
        <v>23333.0</v>
      </c>
      <c r="O556" s="2">
        <v>1166.0</v>
      </c>
      <c r="P556" s="2" t="s">
        <v>1574</v>
      </c>
      <c r="Q556" s="2" t="s">
        <v>1568</v>
      </c>
      <c r="R556" s="2" t="s">
        <v>1569</v>
      </c>
      <c r="S556" s="2" t="s">
        <v>1570</v>
      </c>
      <c r="W556" s="2" t="s">
        <v>1571</v>
      </c>
    </row>
    <row r="557">
      <c r="A557" s="4">
        <v>45553.68819444445</v>
      </c>
      <c r="B557" s="5">
        <v>2726934.0</v>
      </c>
      <c r="C557" s="2" t="s">
        <v>1575</v>
      </c>
      <c r="D557" s="2" t="s">
        <v>1565</v>
      </c>
      <c r="E557" s="2">
        <v>10007.0</v>
      </c>
      <c r="F557" s="2" t="s">
        <v>1596</v>
      </c>
      <c r="I557" s="7">
        <v>1.0</v>
      </c>
      <c r="J557" s="6">
        <v>33810.0</v>
      </c>
      <c r="K557" s="2">
        <v>0.0</v>
      </c>
      <c r="L557" s="2">
        <v>33810.0</v>
      </c>
      <c r="M557" s="2">
        <v>0.0</v>
      </c>
      <c r="N557" s="2">
        <v>33810.0</v>
      </c>
      <c r="O557" s="2">
        <v>1691.0</v>
      </c>
      <c r="P557" s="2" t="s">
        <v>1574</v>
      </c>
      <c r="Q557" s="2" t="s">
        <v>1568</v>
      </c>
      <c r="R557" s="2" t="s">
        <v>1569</v>
      </c>
      <c r="S557" s="2" t="s">
        <v>1570</v>
      </c>
      <c r="W557" s="2" t="s">
        <v>1571</v>
      </c>
    </row>
    <row r="558">
      <c r="A558" s="4">
        <v>45553.68819444445</v>
      </c>
      <c r="B558" s="5">
        <v>2726934.0</v>
      </c>
      <c r="C558" s="2" t="s">
        <v>1575</v>
      </c>
      <c r="D558" s="2" t="s">
        <v>1572</v>
      </c>
      <c r="E558" s="2">
        <v>10128.0</v>
      </c>
      <c r="F558" s="2" t="s">
        <v>1588</v>
      </c>
      <c r="I558" s="7">
        <v>1.0</v>
      </c>
      <c r="J558" s="6">
        <v>23333.0</v>
      </c>
      <c r="K558" s="2">
        <v>0.0</v>
      </c>
      <c r="L558" s="2">
        <v>23333.0</v>
      </c>
      <c r="M558" s="2">
        <v>0.0</v>
      </c>
      <c r="N558" s="2">
        <v>23333.0</v>
      </c>
      <c r="O558" s="2">
        <v>1166.0</v>
      </c>
      <c r="P558" s="2" t="s">
        <v>1574</v>
      </c>
      <c r="Q558" s="2" t="s">
        <v>1568</v>
      </c>
      <c r="R558" s="2" t="s">
        <v>1569</v>
      </c>
      <c r="S558" s="2" t="s">
        <v>1570</v>
      </c>
      <c r="W558" s="2" t="s">
        <v>1571</v>
      </c>
    </row>
    <row r="559">
      <c r="A559" s="4">
        <v>45553.68819444445</v>
      </c>
      <c r="B559" s="5">
        <v>2726934.0</v>
      </c>
      <c r="C559" s="2" t="s">
        <v>1575</v>
      </c>
      <c r="D559" s="2" t="s">
        <v>1572</v>
      </c>
      <c r="E559" s="2">
        <v>10107.0</v>
      </c>
      <c r="F559" s="2" t="s">
        <v>1584</v>
      </c>
      <c r="I559" s="7">
        <v>1.0</v>
      </c>
      <c r="J559" s="6">
        <v>26667.0</v>
      </c>
      <c r="K559" s="2">
        <v>0.0</v>
      </c>
      <c r="L559" s="2">
        <v>26667.0</v>
      </c>
      <c r="M559" s="2">
        <v>0.0</v>
      </c>
      <c r="N559" s="2">
        <v>26667.0</v>
      </c>
      <c r="O559" s="2">
        <v>1334.0</v>
      </c>
      <c r="P559" s="2" t="s">
        <v>1574</v>
      </c>
      <c r="Q559" s="2" t="s">
        <v>1568</v>
      </c>
      <c r="R559" s="2" t="s">
        <v>1569</v>
      </c>
      <c r="S559" s="2" t="s">
        <v>1570</v>
      </c>
      <c r="W559" s="2" t="s">
        <v>1571</v>
      </c>
    </row>
    <row r="560">
      <c r="A560" s="4">
        <v>45553.675</v>
      </c>
      <c r="B560" s="5">
        <v>2726569.0</v>
      </c>
      <c r="C560" s="2" t="s">
        <v>1575</v>
      </c>
      <c r="D560" s="2" t="s">
        <v>1565</v>
      </c>
      <c r="E560" s="2">
        <v>10000.0</v>
      </c>
      <c r="F560" s="2" t="s">
        <v>1566</v>
      </c>
      <c r="I560" s="7">
        <v>1.0</v>
      </c>
      <c r="J560" s="6">
        <v>29524.0</v>
      </c>
      <c r="K560" s="2">
        <v>0.0</v>
      </c>
      <c r="L560" s="2">
        <v>29524.0</v>
      </c>
      <c r="M560" s="2">
        <v>0.0</v>
      </c>
      <c r="N560" s="2">
        <v>29524.0</v>
      </c>
      <c r="O560" s="2">
        <v>1476.0</v>
      </c>
      <c r="P560" s="2" t="s">
        <v>1574</v>
      </c>
      <c r="Q560" s="2" t="s">
        <v>1568</v>
      </c>
      <c r="R560" s="2" t="s">
        <v>1569</v>
      </c>
      <c r="S560" s="2" t="s">
        <v>1570</v>
      </c>
      <c r="W560" s="2" t="s">
        <v>1571</v>
      </c>
    </row>
    <row r="561">
      <c r="A561" s="4">
        <v>45553.675</v>
      </c>
      <c r="B561" s="5">
        <v>2726569.0</v>
      </c>
      <c r="C561" s="2" t="s">
        <v>1575</v>
      </c>
      <c r="D561" s="2" t="s">
        <v>1578</v>
      </c>
      <c r="E561" s="2">
        <v>10010.0</v>
      </c>
      <c r="F561" s="2" t="s">
        <v>1606</v>
      </c>
      <c r="I561" s="7">
        <v>1.0</v>
      </c>
      <c r="J561" s="6">
        <v>25238.0</v>
      </c>
      <c r="K561" s="2">
        <v>0.0</v>
      </c>
      <c r="L561" s="2">
        <v>25238.0</v>
      </c>
      <c r="M561" s="2">
        <v>0.0</v>
      </c>
      <c r="N561" s="2">
        <v>25238.0</v>
      </c>
      <c r="O561" s="2">
        <v>1262.0</v>
      </c>
      <c r="P561" s="2" t="s">
        <v>1574</v>
      </c>
      <c r="Q561" s="2" t="s">
        <v>1568</v>
      </c>
      <c r="R561" s="2" t="s">
        <v>1569</v>
      </c>
      <c r="S561" s="2" t="s">
        <v>1570</v>
      </c>
      <c r="W561" s="2" t="s">
        <v>1571</v>
      </c>
    </row>
    <row r="562">
      <c r="A562" s="4">
        <v>45553.675</v>
      </c>
      <c r="B562" s="5">
        <v>2726569.0</v>
      </c>
      <c r="C562" s="2" t="s">
        <v>1575</v>
      </c>
      <c r="D562" s="2" t="s">
        <v>1578</v>
      </c>
      <c r="E562" s="2">
        <v>10015.0</v>
      </c>
      <c r="F562" s="2" t="s">
        <v>1587</v>
      </c>
      <c r="I562" s="7">
        <v>1.0</v>
      </c>
      <c r="J562" s="6">
        <v>25238.0</v>
      </c>
      <c r="K562" s="2">
        <v>0.0</v>
      </c>
      <c r="L562" s="2">
        <v>25238.0</v>
      </c>
      <c r="M562" s="2">
        <v>0.0</v>
      </c>
      <c r="N562" s="2">
        <v>25238.0</v>
      </c>
      <c r="O562" s="2">
        <v>1262.0</v>
      </c>
      <c r="P562" s="2" t="s">
        <v>1574</v>
      </c>
      <c r="Q562" s="2" t="s">
        <v>1568</v>
      </c>
      <c r="R562" s="2" t="s">
        <v>1569</v>
      </c>
      <c r="S562" s="2" t="s">
        <v>1570</v>
      </c>
      <c r="W562" s="2" t="s">
        <v>1571</v>
      </c>
    </row>
    <row r="563">
      <c r="A563" s="4">
        <v>45553.675</v>
      </c>
      <c r="B563" s="5">
        <v>2726569.0</v>
      </c>
      <c r="C563" s="2" t="s">
        <v>1575</v>
      </c>
      <c r="D563" s="2" t="s">
        <v>1578</v>
      </c>
      <c r="E563" s="2">
        <v>10014.0</v>
      </c>
      <c r="F563" s="2" t="s">
        <v>1609</v>
      </c>
      <c r="I563" s="7">
        <v>1.0</v>
      </c>
      <c r="J563" s="6">
        <v>25238.0</v>
      </c>
      <c r="K563" s="2">
        <v>0.0</v>
      </c>
      <c r="L563" s="2">
        <v>25238.0</v>
      </c>
      <c r="M563" s="2">
        <v>0.0</v>
      </c>
      <c r="N563" s="2">
        <v>25238.0</v>
      </c>
      <c r="O563" s="2">
        <v>1262.0</v>
      </c>
      <c r="P563" s="2" t="s">
        <v>1574</v>
      </c>
      <c r="Q563" s="2" t="s">
        <v>1568</v>
      </c>
      <c r="R563" s="2" t="s">
        <v>1569</v>
      </c>
      <c r="S563" s="2" t="s">
        <v>1570</v>
      </c>
      <c r="W563" s="2" t="s">
        <v>1571</v>
      </c>
    </row>
    <row r="564">
      <c r="A564" s="4">
        <v>45553.67152777778</v>
      </c>
      <c r="B564" s="5">
        <v>2726203.0</v>
      </c>
      <c r="C564" s="2" t="s">
        <v>1575</v>
      </c>
      <c r="D564" s="2" t="s">
        <v>1565</v>
      </c>
      <c r="E564" s="2">
        <v>10002.0</v>
      </c>
      <c r="F564" s="2" t="s">
        <v>1576</v>
      </c>
      <c r="I564" s="7">
        <v>1.0</v>
      </c>
      <c r="J564" s="6">
        <v>18571.0</v>
      </c>
      <c r="K564" s="2">
        <v>0.0</v>
      </c>
      <c r="L564" s="2">
        <v>18571.0</v>
      </c>
      <c r="M564" s="2">
        <v>0.0</v>
      </c>
      <c r="N564" s="2">
        <v>18571.0</v>
      </c>
      <c r="O564" s="2">
        <v>929.0</v>
      </c>
      <c r="P564" s="2" t="s">
        <v>1574</v>
      </c>
      <c r="Q564" s="2" t="s">
        <v>1568</v>
      </c>
      <c r="R564" s="2" t="s">
        <v>1569</v>
      </c>
      <c r="S564" s="2" t="s">
        <v>1570</v>
      </c>
      <c r="W564" s="2" t="s">
        <v>1571</v>
      </c>
    </row>
    <row r="565">
      <c r="A565" s="4">
        <v>45553.64027777778</v>
      </c>
      <c r="B565" s="5">
        <v>2725838.0</v>
      </c>
      <c r="C565" s="2" t="s">
        <v>1575</v>
      </c>
      <c r="D565" s="2" t="s">
        <v>1572</v>
      </c>
      <c r="E565" s="2">
        <v>10128.0</v>
      </c>
      <c r="F565" s="2" t="s">
        <v>1588</v>
      </c>
      <c r="I565" s="7">
        <v>1.0</v>
      </c>
      <c r="J565" s="6">
        <v>23333.0</v>
      </c>
      <c r="K565" s="2">
        <v>0.0</v>
      </c>
      <c r="L565" s="2">
        <v>23333.0</v>
      </c>
      <c r="M565" s="2">
        <v>0.0</v>
      </c>
      <c r="N565" s="2">
        <v>23333.0</v>
      </c>
      <c r="O565" s="2">
        <v>1167.0</v>
      </c>
      <c r="P565" s="2" t="s">
        <v>1574</v>
      </c>
      <c r="Q565" s="2" t="s">
        <v>1568</v>
      </c>
      <c r="R565" s="2" t="s">
        <v>1569</v>
      </c>
      <c r="S565" s="2" t="s">
        <v>1570</v>
      </c>
      <c r="W565" s="2" t="s">
        <v>1571</v>
      </c>
    </row>
    <row r="566">
      <c r="A566" s="4">
        <v>45553.626388888886</v>
      </c>
      <c r="B566" s="5">
        <v>2725473.0</v>
      </c>
      <c r="C566" s="2" t="s">
        <v>1575</v>
      </c>
      <c r="D566" s="2" t="s">
        <v>1565</v>
      </c>
      <c r="E566" s="2">
        <v>10002.0</v>
      </c>
      <c r="F566" s="2" t="s">
        <v>1576</v>
      </c>
      <c r="I566" s="7">
        <v>1.0</v>
      </c>
      <c r="J566" s="6">
        <v>18571.0</v>
      </c>
      <c r="K566" s="2">
        <v>0.0</v>
      </c>
      <c r="L566" s="2">
        <v>18571.0</v>
      </c>
      <c r="M566" s="2">
        <v>0.0</v>
      </c>
      <c r="N566" s="2">
        <v>18571.0</v>
      </c>
      <c r="O566" s="2">
        <v>929.0</v>
      </c>
      <c r="P566" s="2" t="s">
        <v>1574</v>
      </c>
      <c r="Q566" s="2" t="s">
        <v>1568</v>
      </c>
      <c r="R566" s="2" t="s">
        <v>1569</v>
      </c>
      <c r="S566" s="2" t="s">
        <v>1570</v>
      </c>
      <c r="W566" s="2" t="s">
        <v>1571</v>
      </c>
    </row>
    <row r="567">
      <c r="A567" s="4">
        <v>45553.626388888886</v>
      </c>
      <c r="B567" s="5">
        <v>2725473.0</v>
      </c>
      <c r="C567" s="2" t="s">
        <v>1575</v>
      </c>
      <c r="D567" s="2" t="s">
        <v>1565</v>
      </c>
      <c r="E567" s="2">
        <v>10005.0</v>
      </c>
      <c r="F567" s="2" t="s">
        <v>1595</v>
      </c>
      <c r="I567" s="7">
        <v>1.0</v>
      </c>
      <c r="J567" s="6">
        <v>19524.0</v>
      </c>
      <c r="K567" s="2">
        <v>0.0</v>
      </c>
      <c r="L567" s="2">
        <v>19524.0</v>
      </c>
      <c r="M567" s="2">
        <v>0.0</v>
      </c>
      <c r="N567" s="2">
        <v>19524.0</v>
      </c>
      <c r="O567" s="2">
        <v>976.0</v>
      </c>
      <c r="P567" s="2" t="s">
        <v>1574</v>
      </c>
      <c r="Q567" s="2" t="s">
        <v>1568</v>
      </c>
      <c r="R567" s="2" t="s">
        <v>1569</v>
      </c>
      <c r="S567" s="2" t="s">
        <v>1570</v>
      </c>
      <c r="W567" s="2" t="s">
        <v>1571</v>
      </c>
    </row>
    <row r="568">
      <c r="A568" s="4">
        <v>45553.618055555555</v>
      </c>
      <c r="B568" s="5">
        <v>2725108.0</v>
      </c>
      <c r="C568" s="2" t="s">
        <v>1575</v>
      </c>
      <c r="D568" s="2" t="s">
        <v>1572</v>
      </c>
      <c r="E568" s="2">
        <v>10067.0</v>
      </c>
      <c r="F568" s="2" t="s">
        <v>1621</v>
      </c>
      <c r="I568" s="7">
        <v>1.0</v>
      </c>
      <c r="J568" s="6">
        <v>24762.0</v>
      </c>
      <c r="K568" s="2">
        <v>0.0</v>
      </c>
      <c r="L568" s="2">
        <v>24762.0</v>
      </c>
      <c r="M568" s="2">
        <v>0.0</v>
      </c>
      <c r="N568" s="2">
        <v>24762.0</v>
      </c>
      <c r="O568" s="2">
        <v>1238.0</v>
      </c>
      <c r="P568" s="2" t="s">
        <v>1574</v>
      </c>
      <c r="Q568" s="2" t="s">
        <v>1568</v>
      </c>
      <c r="R568" s="2" t="s">
        <v>1569</v>
      </c>
      <c r="S568" s="2" t="s">
        <v>1570</v>
      </c>
      <c r="W568" s="2" t="s">
        <v>1571</v>
      </c>
    </row>
    <row r="569">
      <c r="A569" s="4">
        <v>45553.603472222225</v>
      </c>
      <c r="B569" s="5">
        <v>2724742.0</v>
      </c>
      <c r="C569" s="2" t="s">
        <v>1575</v>
      </c>
      <c r="D569" s="2" t="s">
        <v>1572</v>
      </c>
      <c r="E569" s="2">
        <v>10069.0</v>
      </c>
      <c r="F569" s="2" t="s">
        <v>1620</v>
      </c>
      <c r="I569" s="7">
        <v>1.0</v>
      </c>
      <c r="J569" s="6">
        <v>24762.0</v>
      </c>
      <c r="K569" s="2">
        <v>0.0</v>
      </c>
      <c r="L569" s="2">
        <v>24762.0</v>
      </c>
      <c r="M569" s="2">
        <v>0.0</v>
      </c>
      <c r="N569" s="2">
        <v>24762.0</v>
      </c>
      <c r="O569" s="2">
        <v>1238.0</v>
      </c>
      <c r="P569" s="2" t="s">
        <v>1574</v>
      </c>
      <c r="Q569" s="2" t="s">
        <v>1568</v>
      </c>
      <c r="R569" s="2" t="s">
        <v>1569</v>
      </c>
      <c r="S569" s="2" t="s">
        <v>1570</v>
      </c>
      <c r="W569" s="2" t="s">
        <v>1571</v>
      </c>
    </row>
    <row r="570">
      <c r="A570" s="4">
        <v>45553.603472222225</v>
      </c>
      <c r="B570" s="5">
        <v>2724742.0</v>
      </c>
      <c r="C570" s="2" t="s">
        <v>1575</v>
      </c>
      <c r="D570" s="2" t="s">
        <v>1572</v>
      </c>
      <c r="E570" s="2">
        <v>10063.0</v>
      </c>
      <c r="F570" s="2" t="s">
        <v>1594</v>
      </c>
      <c r="I570" s="7">
        <v>1.0</v>
      </c>
      <c r="J570" s="6">
        <v>24762.0</v>
      </c>
      <c r="K570" s="2">
        <v>0.0</v>
      </c>
      <c r="L570" s="2">
        <v>24762.0</v>
      </c>
      <c r="M570" s="2">
        <v>0.0</v>
      </c>
      <c r="N570" s="2">
        <v>24762.0</v>
      </c>
      <c r="O570" s="2">
        <v>1238.0</v>
      </c>
      <c r="P570" s="2" t="s">
        <v>1574</v>
      </c>
      <c r="Q570" s="2" t="s">
        <v>1568</v>
      </c>
      <c r="R570" s="2" t="s">
        <v>1569</v>
      </c>
      <c r="S570" s="2" t="s">
        <v>1570</v>
      </c>
      <c r="W570" s="2" t="s">
        <v>1571</v>
      </c>
    </row>
    <row r="571">
      <c r="A571" s="4">
        <v>45553.603472222225</v>
      </c>
      <c r="B571" s="5">
        <v>2724742.0</v>
      </c>
      <c r="C571" s="2" t="s">
        <v>1575</v>
      </c>
      <c r="D571" s="2" t="s">
        <v>1565</v>
      </c>
      <c r="E571" s="2">
        <v>10000.0</v>
      </c>
      <c r="F571" s="2" t="s">
        <v>1566</v>
      </c>
      <c r="I571" s="7">
        <v>1.0</v>
      </c>
      <c r="J571" s="6">
        <v>29524.0</v>
      </c>
      <c r="K571" s="2">
        <v>0.0</v>
      </c>
      <c r="L571" s="2">
        <v>29524.0</v>
      </c>
      <c r="M571" s="2">
        <v>0.0</v>
      </c>
      <c r="N571" s="2">
        <v>29524.0</v>
      </c>
      <c r="O571" s="2">
        <v>1476.0</v>
      </c>
      <c r="P571" s="2" t="s">
        <v>1574</v>
      </c>
      <c r="Q571" s="2" t="s">
        <v>1568</v>
      </c>
      <c r="R571" s="2" t="s">
        <v>1569</v>
      </c>
      <c r="S571" s="2" t="s">
        <v>1570</v>
      </c>
      <c r="W571" s="2" t="s">
        <v>1571</v>
      </c>
    </row>
    <row r="572">
      <c r="A572" s="4">
        <v>45553.57708333333</v>
      </c>
      <c r="B572" s="5">
        <v>2724377.0</v>
      </c>
      <c r="C572" s="2" t="s">
        <v>1575</v>
      </c>
      <c r="D572" s="2" t="s">
        <v>1578</v>
      </c>
      <c r="E572" s="2">
        <v>10051.0</v>
      </c>
      <c r="F572" s="2" t="s">
        <v>1579</v>
      </c>
      <c r="I572" s="7">
        <v>1.0</v>
      </c>
      <c r="J572" s="6">
        <v>25238.0</v>
      </c>
      <c r="K572" s="2">
        <v>0.0</v>
      </c>
      <c r="L572" s="2">
        <v>25238.0</v>
      </c>
      <c r="M572" s="2">
        <v>0.0</v>
      </c>
      <c r="N572" s="2">
        <v>25238.0</v>
      </c>
      <c r="O572" s="2">
        <v>1262.0</v>
      </c>
      <c r="P572" s="2" t="s">
        <v>1574</v>
      </c>
      <c r="Q572" s="2" t="s">
        <v>1568</v>
      </c>
      <c r="R572" s="2" t="s">
        <v>1569</v>
      </c>
      <c r="S572" s="2" t="s">
        <v>1570</v>
      </c>
      <c r="W572" s="2" t="s">
        <v>1571</v>
      </c>
    </row>
    <row r="573">
      <c r="A573" s="4">
        <v>45553.57708333333</v>
      </c>
      <c r="B573" s="5">
        <v>2724377.0</v>
      </c>
      <c r="C573" s="2" t="s">
        <v>1575</v>
      </c>
      <c r="D573" s="2" t="s">
        <v>1565</v>
      </c>
      <c r="E573" s="2">
        <v>10007.0</v>
      </c>
      <c r="F573" s="2" t="s">
        <v>1596</v>
      </c>
      <c r="I573" s="7">
        <v>1.0</v>
      </c>
      <c r="J573" s="6">
        <v>33810.0</v>
      </c>
      <c r="K573" s="2">
        <v>0.0</v>
      </c>
      <c r="L573" s="2">
        <v>33810.0</v>
      </c>
      <c r="M573" s="2">
        <v>0.0</v>
      </c>
      <c r="N573" s="2">
        <v>33810.0</v>
      </c>
      <c r="O573" s="2">
        <v>1690.0</v>
      </c>
      <c r="P573" s="2" t="s">
        <v>1574</v>
      </c>
      <c r="Q573" s="2" t="s">
        <v>1568</v>
      </c>
      <c r="R573" s="2" t="s">
        <v>1569</v>
      </c>
      <c r="S573" s="2" t="s">
        <v>1570</v>
      </c>
      <c r="W573" s="2" t="s">
        <v>1571</v>
      </c>
    </row>
    <row r="574">
      <c r="A574" s="4">
        <v>45553.57638888889</v>
      </c>
      <c r="B574" s="5">
        <v>2724012.0</v>
      </c>
      <c r="C574" s="2" t="s">
        <v>1575</v>
      </c>
      <c r="D574" s="2" t="s">
        <v>1565</v>
      </c>
      <c r="E574" s="2">
        <v>10007.0</v>
      </c>
      <c r="F574" s="2" t="s">
        <v>1596</v>
      </c>
      <c r="I574" s="7">
        <v>1.0</v>
      </c>
      <c r="J574" s="6">
        <v>33810.0</v>
      </c>
      <c r="K574" s="2">
        <v>0.0</v>
      </c>
      <c r="L574" s="2">
        <v>33810.0</v>
      </c>
      <c r="M574" s="2">
        <v>0.0</v>
      </c>
      <c r="N574" s="2">
        <v>33810.0</v>
      </c>
      <c r="O574" s="2">
        <v>1691.0</v>
      </c>
      <c r="P574" s="2" t="s">
        <v>1574</v>
      </c>
      <c r="Q574" s="2" t="s">
        <v>1568</v>
      </c>
      <c r="R574" s="2" t="s">
        <v>1569</v>
      </c>
      <c r="S574" s="2" t="s">
        <v>1570</v>
      </c>
      <c r="W574" s="2" t="s">
        <v>1571</v>
      </c>
    </row>
    <row r="575">
      <c r="A575" s="4">
        <v>45553.57638888889</v>
      </c>
      <c r="B575" s="5">
        <v>2724012.0</v>
      </c>
      <c r="C575" s="2" t="s">
        <v>1575</v>
      </c>
      <c r="D575" s="2" t="s">
        <v>1572</v>
      </c>
      <c r="E575" s="2">
        <v>10128.0</v>
      </c>
      <c r="F575" s="2" t="s">
        <v>1588</v>
      </c>
      <c r="I575" s="7">
        <v>1.0</v>
      </c>
      <c r="J575" s="6">
        <v>23333.0</v>
      </c>
      <c r="K575" s="2">
        <v>0.0</v>
      </c>
      <c r="L575" s="2">
        <v>23333.0</v>
      </c>
      <c r="M575" s="2">
        <v>0.0</v>
      </c>
      <c r="N575" s="2">
        <v>23333.0</v>
      </c>
      <c r="O575" s="2">
        <v>1166.0</v>
      </c>
      <c r="P575" s="2" t="s">
        <v>1574</v>
      </c>
      <c r="Q575" s="2" t="s">
        <v>1568</v>
      </c>
      <c r="R575" s="2" t="s">
        <v>1569</v>
      </c>
      <c r="S575" s="2" t="s">
        <v>1570</v>
      </c>
      <c r="W575" s="2" t="s">
        <v>1571</v>
      </c>
    </row>
    <row r="576">
      <c r="A576" s="4">
        <v>45553.561111111114</v>
      </c>
      <c r="B576" s="5">
        <v>2723647.0</v>
      </c>
      <c r="C576" s="2" t="s">
        <v>1575</v>
      </c>
      <c r="D576" s="2" t="s">
        <v>1578</v>
      </c>
      <c r="E576" s="2">
        <v>10004.0</v>
      </c>
      <c r="F576" s="2" t="s">
        <v>1607</v>
      </c>
      <c r="I576" s="7">
        <v>1.0</v>
      </c>
      <c r="J576" s="6">
        <v>25238.0</v>
      </c>
      <c r="K576" s="2">
        <v>0.0</v>
      </c>
      <c r="L576" s="2">
        <v>25238.0</v>
      </c>
      <c r="M576" s="2">
        <v>0.0</v>
      </c>
      <c r="N576" s="2">
        <v>25238.0</v>
      </c>
      <c r="O576" s="2">
        <v>1262.0</v>
      </c>
      <c r="P576" s="2" t="s">
        <v>1574</v>
      </c>
      <c r="Q576" s="2" t="s">
        <v>1568</v>
      </c>
      <c r="R576" s="2" t="s">
        <v>1569</v>
      </c>
      <c r="S576" s="2" t="s">
        <v>1570</v>
      </c>
      <c r="W576" s="2" t="s">
        <v>1571</v>
      </c>
    </row>
    <row r="577">
      <c r="A577" s="4">
        <v>45553.561111111114</v>
      </c>
      <c r="B577" s="5">
        <v>2723647.0</v>
      </c>
      <c r="C577" s="2" t="s">
        <v>1575</v>
      </c>
      <c r="D577" s="2" t="s">
        <v>1572</v>
      </c>
      <c r="E577" s="2">
        <v>10112.0</v>
      </c>
      <c r="F577" s="2" t="s">
        <v>1573</v>
      </c>
      <c r="I577" s="7">
        <v>1.0</v>
      </c>
      <c r="J577" s="6">
        <v>6667.0</v>
      </c>
      <c r="K577" s="2">
        <v>0.0</v>
      </c>
      <c r="L577" s="2">
        <v>6667.0</v>
      </c>
      <c r="M577" s="2">
        <v>0.0</v>
      </c>
      <c r="N577" s="2">
        <v>6667.0</v>
      </c>
      <c r="O577" s="2">
        <v>333.0</v>
      </c>
      <c r="P577" s="2" t="s">
        <v>1574</v>
      </c>
      <c r="Q577" s="2" t="s">
        <v>1568</v>
      </c>
      <c r="R577" s="2" t="s">
        <v>1569</v>
      </c>
      <c r="S577" s="2" t="s">
        <v>1570</v>
      </c>
      <c r="W577" s="2" t="s">
        <v>1571</v>
      </c>
    </row>
    <row r="578">
      <c r="A578" s="4">
        <v>45553.561111111114</v>
      </c>
      <c r="B578" s="5">
        <v>2723647.0</v>
      </c>
      <c r="C578" s="2" t="s">
        <v>1575</v>
      </c>
      <c r="D578" s="2" t="s">
        <v>1572</v>
      </c>
      <c r="E578" s="2">
        <v>10125.0</v>
      </c>
      <c r="F578" s="2" t="s">
        <v>1601</v>
      </c>
      <c r="I578" s="7">
        <v>1.0</v>
      </c>
      <c r="J578" s="6">
        <v>20476.0</v>
      </c>
      <c r="K578" s="2">
        <v>0.0</v>
      </c>
      <c r="L578" s="2">
        <v>20476.0</v>
      </c>
      <c r="M578" s="2">
        <v>0.0</v>
      </c>
      <c r="N578" s="2">
        <v>20476.0</v>
      </c>
      <c r="O578" s="2">
        <v>1024.0</v>
      </c>
      <c r="P578" s="2" t="s">
        <v>1574</v>
      </c>
      <c r="Q578" s="2" t="s">
        <v>1568</v>
      </c>
      <c r="R578" s="2" t="s">
        <v>1569</v>
      </c>
      <c r="S578" s="2" t="s">
        <v>1570</v>
      </c>
      <c r="W578" s="2" t="s">
        <v>1571</v>
      </c>
    </row>
    <row r="579">
      <c r="A579" s="4">
        <v>45553.561111111114</v>
      </c>
      <c r="B579" s="5">
        <v>2723647.0</v>
      </c>
      <c r="C579" s="2" t="s">
        <v>1575</v>
      </c>
      <c r="D579" s="2" t="s">
        <v>1572</v>
      </c>
      <c r="E579" s="2">
        <v>10123.0</v>
      </c>
      <c r="F579" s="2" t="s">
        <v>1599</v>
      </c>
      <c r="I579" s="7">
        <v>1.0</v>
      </c>
      <c r="J579" s="6">
        <v>21905.0</v>
      </c>
      <c r="K579" s="2">
        <v>0.0</v>
      </c>
      <c r="L579" s="2">
        <v>21905.0</v>
      </c>
      <c r="M579" s="2">
        <v>0.0</v>
      </c>
      <c r="N579" s="2">
        <v>21905.0</v>
      </c>
      <c r="O579" s="2">
        <v>1095.0</v>
      </c>
      <c r="P579" s="2" t="s">
        <v>1574</v>
      </c>
      <c r="Q579" s="2" t="s">
        <v>1568</v>
      </c>
      <c r="R579" s="2" t="s">
        <v>1569</v>
      </c>
      <c r="S579" s="2" t="s">
        <v>1570</v>
      </c>
      <c r="W579" s="2" t="s">
        <v>1571</v>
      </c>
    </row>
    <row r="580">
      <c r="A580" s="4">
        <v>45553.561111111114</v>
      </c>
      <c r="B580" s="5">
        <v>2723647.0</v>
      </c>
      <c r="C580" s="2" t="s">
        <v>1575</v>
      </c>
      <c r="D580" s="2" t="s">
        <v>1580</v>
      </c>
      <c r="E580" s="2">
        <v>10012.0</v>
      </c>
      <c r="F580" s="2" t="s">
        <v>1602</v>
      </c>
      <c r="I580" s="7">
        <v>2.0</v>
      </c>
      <c r="J580" s="6">
        <v>59048.0</v>
      </c>
      <c r="K580" s="2">
        <v>0.0</v>
      </c>
      <c r="L580" s="2">
        <v>59048.0</v>
      </c>
      <c r="M580" s="2">
        <v>0.0</v>
      </c>
      <c r="N580" s="2">
        <v>59048.0</v>
      </c>
      <c r="O580" s="2">
        <v>2953.0</v>
      </c>
      <c r="P580" s="2" t="s">
        <v>1574</v>
      </c>
      <c r="Q580" s="2" t="s">
        <v>1568</v>
      </c>
      <c r="R580" s="2" t="s">
        <v>1569</v>
      </c>
      <c r="S580" s="2" t="s">
        <v>1570</v>
      </c>
      <c r="W580" s="2" t="s">
        <v>1571</v>
      </c>
    </row>
    <row r="581">
      <c r="A581" s="4">
        <v>45553.561111111114</v>
      </c>
      <c r="B581" s="5">
        <v>2723647.0</v>
      </c>
      <c r="C581" s="2" t="s">
        <v>1575</v>
      </c>
      <c r="D581" s="2" t="s">
        <v>1578</v>
      </c>
      <c r="E581" s="2">
        <v>10014.0</v>
      </c>
      <c r="F581" s="2" t="s">
        <v>1609</v>
      </c>
      <c r="I581" s="7">
        <v>1.0</v>
      </c>
      <c r="J581" s="6">
        <v>25238.0</v>
      </c>
      <c r="K581" s="2">
        <v>0.0</v>
      </c>
      <c r="L581" s="2">
        <v>25238.0</v>
      </c>
      <c r="M581" s="2">
        <v>0.0</v>
      </c>
      <c r="N581" s="2">
        <v>25238.0</v>
      </c>
      <c r="O581" s="2">
        <v>1262.0</v>
      </c>
      <c r="P581" s="2" t="s">
        <v>1574</v>
      </c>
      <c r="Q581" s="2" t="s">
        <v>1568</v>
      </c>
      <c r="R581" s="2" t="s">
        <v>1569</v>
      </c>
      <c r="S581" s="2" t="s">
        <v>1570</v>
      </c>
      <c r="W581" s="2" t="s">
        <v>1571</v>
      </c>
    </row>
    <row r="582">
      <c r="A582" s="4">
        <v>45553.53680555556</v>
      </c>
      <c r="B582" s="5">
        <v>2723281.0</v>
      </c>
      <c r="C582" s="2" t="s">
        <v>1575</v>
      </c>
      <c r="D582" s="2" t="s">
        <v>1565</v>
      </c>
      <c r="E582" s="2">
        <v>10007.0</v>
      </c>
      <c r="F582" s="2" t="s">
        <v>1596</v>
      </c>
      <c r="I582" s="7">
        <v>1.0</v>
      </c>
      <c r="J582" s="6">
        <v>33810.0</v>
      </c>
      <c r="K582" s="2">
        <v>0.0</v>
      </c>
      <c r="L582" s="2">
        <v>33810.0</v>
      </c>
      <c r="M582" s="2">
        <v>0.0</v>
      </c>
      <c r="N582" s="2">
        <v>33810.0</v>
      </c>
      <c r="O582" s="2">
        <v>1691.0</v>
      </c>
      <c r="P582" s="2" t="s">
        <v>1574</v>
      </c>
      <c r="Q582" s="2" t="s">
        <v>1568</v>
      </c>
      <c r="R582" s="2" t="s">
        <v>1569</v>
      </c>
      <c r="S582" s="2" t="s">
        <v>1570</v>
      </c>
      <c r="W582" s="2" t="s">
        <v>1571</v>
      </c>
    </row>
    <row r="583">
      <c r="A583" s="4">
        <v>45553.51111111111</v>
      </c>
      <c r="B583" s="5">
        <v>2722916.0</v>
      </c>
      <c r="C583" s="2" t="s">
        <v>1575</v>
      </c>
      <c r="D583" s="2" t="s">
        <v>1572</v>
      </c>
      <c r="E583" s="2">
        <v>10128.0</v>
      </c>
      <c r="F583" s="2" t="s">
        <v>1588</v>
      </c>
      <c r="I583" s="7">
        <v>1.0</v>
      </c>
      <c r="J583" s="6">
        <v>23333.0</v>
      </c>
      <c r="K583" s="2">
        <v>0.0</v>
      </c>
      <c r="L583" s="2">
        <v>23333.0</v>
      </c>
      <c r="M583" s="2">
        <v>0.0</v>
      </c>
      <c r="N583" s="2">
        <v>23333.0</v>
      </c>
      <c r="O583" s="2">
        <v>1167.0</v>
      </c>
      <c r="P583" s="2" t="s">
        <v>1574</v>
      </c>
      <c r="Q583" s="2" t="s">
        <v>1568</v>
      </c>
      <c r="R583" s="2" t="s">
        <v>1569</v>
      </c>
      <c r="S583" s="2" t="s">
        <v>1570</v>
      </c>
      <c r="W583" s="2" t="s">
        <v>1571</v>
      </c>
    </row>
    <row r="584">
      <c r="A584" s="4">
        <v>45553.51111111111</v>
      </c>
      <c r="B584" s="5">
        <v>2722916.0</v>
      </c>
      <c r="C584" s="2" t="s">
        <v>1575</v>
      </c>
      <c r="D584" s="2" t="s">
        <v>1572</v>
      </c>
      <c r="E584" s="2">
        <v>10069.0</v>
      </c>
      <c r="F584" s="2" t="s">
        <v>1620</v>
      </c>
      <c r="I584" s="7">
        <v>1.0</v>
      </c>
      <c r="J584" s="6">
        <v>24762.0</v>
      </c>
      <c r="K584" s="2">
        <v>0.0</v>
      </c>
      <c r="L584" s="2">
        <v>24762.0</v>
      </c>
      <c r="M584" s="2">
        <v>0.0</v>
      </c>
      <c r="N584" s="2">
        <v>24762.0</v>
      </c>
      <c r="O584" s="2">
        <v>1238.0</v>
      </c>
      <c r="P584" s="2" t="s">
        <v>1574</v>
      </c>
      <c r="Q584" s="2" t="s">
        <v>1568</v>
      </c>
      <c r="R584" s="2" t="s">
        <v>1569</v>
      </c>
      <c r="S584" s="2" t="s">
        <v>1570</v>
      </c>
      <c r="W584" s="2" t="s">
        <v>1571</v>
      </c>
    </row>
    <row r="585">
      <c r="A585" s="4">
        <v>45553.51111111111</v>
      </c>
      <c r="B585" s="5">
        <v>2722916.0</v>
      </c>
      <c r="C585" s="2" t="s">
        <v>1575</v>
      </c>
      <c r="D585" s="2" t="s">
        <v>1565</v>
      </c>
      <c r="E585" s="2">
        <v>10039.0</v>
      </c>
      <c r="F585" s="2" t="s">
        <v>1622</v>
      </c>
      <c r="I585" s="7">
        <v>1.0</v>
      </c>
      <c r="J585" s="6">
        <v>21905.0</v>
      </c>
      <c r="K585" s="2">
        <v>0.0</v>
      </c>
      <c r="L585" s="2">
        <v>21905.0</v>
      </c>
      <c r="M585" s="2">
        <v>0.0</v>
      </c>
      <c r="N585" s="2">
        <v>21905.0</v>
      </c>
      <c r="O585" s="2">
        <v>1095.0</v>
      </c>
      <c r="P585" s="2" t="s">
        <v>1574</v>
      </c>
      <c r="Q585" s="2" t="s">
        <v>1568</v>
      </c>
      <c r="R585" s="2" t="s">
        <v>1569</v>
      </c>
      <c r="S585" s="2" t="s">
        <v>1570</v>
      </c>
      <c r="W585" s="2" t="s">
        <v>1571</v>
      </c>
    </row>
    <row r="586">
      <c r="A586" s="4">
        <v>45553.51111111111</v>
      </c>
      <c r="B586" s="5">
        <v>2722916.0</v>
      </c>
      <c r="C586" s="2" t="s">
        <v>1575</v>
      </c>
      <c r="D586" s="2" t="s">
        <v>1565</v>
      </c>
      <c r="E586" s="2">
        <v>10002.0</v>
      </c>
      <c r="F586" s="2" t="s">
        <v>1576</v>
      </c>
      <c r="I586" s="7">
        <v>1.0</v>
      </c>
      <c r="J586" s="6">
        <v>18571.0</v>
      </c>
      <c r="K586" s="2">
        <v>0.0</v>
      </c>
      <c r="L586" s="2">
        <v>18571.0</v>
      </c>
      <c r="M586" s="2">
        <v>0.0</v>
      </c>
      <c r="N586" s="2">
        <v>18571.0</v>
      </c>
      <c r="O586" s="2">
        <v>929.0</v>
      </c>
      <c r="P586" s="2" t="s">
        <v>1574</v>
      </c>
      <c r="Q586" s="2" t="s">
        <v>1568</v>
      </c>
      <c r="R586" s="2" t="s">
        <v>1569</v>
      </c>
      <c r="S586" s="2" t="s">
        <v>1570</v>
      </c>
      <c r="W586" s="2" t="s">
        <v>1571</v>
      </c>
    </row>
    <row r="587">
      <c r="A587" s="4">
        <v>45553.49236111111</v>
      </c>
      <c r="B587" s="5">
        <v>2722551.0</v>
      </c>
      <c r="C587" s="2" t="s">
        <v>1575</v>
      </c>
      <c r="D587" s="2" t="s">
        <v>1565</v>
      </c>
      <c r="E587" s="2">
        <v>10002.0</v>
      </c>
      <c r="F587" s="2" t="s">
        <v>1576</v>
      </c>
      <c r="I587" s="7">
        <v>1.0</v>
      </c>
      <c r="J587" s="6">
        <v>18571.0</v>
      </c>
      <c r="K587" s="2">
        <v>0.0</v>
      </c>
      <c r="L587" s="2">
        <v>18571.0</v>
      </c>
      <c r="M587" s="2">
        <v>0.0</v>
      </c>
      <c r="N587" s="2">
        <v>18571.0</v>
      </c>
      <c r="O587" s="2">
        <v>929.0</v>
      </c>
      <c r="P587" s="2" t="s">
        <v>1574</v>
      </c>
      <c r="Q587" s="2" t="s">
        <v>1568</v>
      </c>
      <c r="R587" s="2" t="s">
        <v>1569</v>
      </c>
      <c r="S587" s="2" t="s">
        <v>1570</v>
      </c>
      <c r="W587" s="2" t="s">
        <v>1571</v>
      </c>
    </row>
    <row r="588">
      <c r="A588" s="4">
        <v>45553.49236111111</v>
      </c>
      <c r="B588" s="5">
        <v>2722551.0</v>
      </c>
      <c r="C588" s="2" t="s">
        <v>1575</v>
      </c>
      <c r="D588" s="2" t="s">
        <v>1565</v>
      </c>
      <c r="E588" s="2">
        <v>10005.0</v>
      </c>
      <c r="F588" s="2" t="s">
        <v>1595</v>
      </c>
      <c r="I588" s="7">
        <v>1.0</v>
      </c>
      <c r="J588" s="6">
        <v>19524.0</v>
      </c>
      <c r="K588" s="2">
        <v>0.0</v>
      </c>
      <c r="L588" s="2">
        <v>19524.0</v>
      </c>
      <c r="M588" s="2">
        <v>0.0</v>
      </c>
      <c r="N588" s="2">
        <v>19524.0</v>
      </c>
      <c r="O588" s="2">
        <v>976.0</v>
      </c>
      <c r="P588" s="2" t="s">
        <v>1574</v>
      </c>
      <c r="Q588" s="2" t="s">
        <v>1568</v>
      </c>
      <c r="R588" s="2" t="s">
        <v>1569</v>
      </c>
      <c r="S588" s="2" t="s">
        <v>1570</v>
      </c>
      <c r="W588" s="2" t="s">
        <v>1571</v>
      </c>
    </row>
    <row r="589">
      <c r="A589" s="4">
        <v>45553.45416666667</v>
      </c>
      <c r="B589" s="5">
        <v>2722186.0</v>
      </c>
      <c r="C589" s="2" t="s">
        <v>1575</v>
      </c>
      <c r="D589" s="2" t="s">
        <v>1572</v>
      </c>
      <c r="E589" s="2">
        <v>10067.0</v>
      </c>
      <c r="F589" s="2" t="s">
        <v>1621</v>
      </c>
      <c r="I589" s="7">
        <v>1.0</v>
      </c>
      <c r="J589" s="6">
        <v>24762.0</v>
      </c>
      <c r="K589" s="2">
        <v>0.0</v>
      </c>
      <c r="L589" s="2">
        <v>24762.0</v>
      </c>
      <c r="M589" s="2">
        <v>0.0</v>
      </c>
      <c r="N589" s="2">
        <v>24762.0</v>
      </c>
      <c r="O589" s="2">
        <v>1238.0</v>
      </c>
      <c r="P589" s="2" t="s">
        <v>1574</v>
      </c>
      <c r="Q589" s="2" t="s">
        <v>1568</v>
      </c>
      <c r="R589" s="2" t="s">
        <v>1569</v>
      </c>
      <c r="S589" s="2" t="s">
        <v>1570</v>
      </c>
      <c r="W589" s="2" t="s">
        <v>1571</v>
      </c>
    </row>
    <row r="590">
      <c r="A590" s="4">
        <v>45553.39375</v>
      </c>
      <c r="B590" s="5">
        <v>2721820.0</v>
      </c>
      <c r="C590" s="2" t="s">
        <v>1575</v>
      </c>
      <c r="D590" s="2" t="s">
        <v>1572</v>
      </c>
      <c r="E590" s="2">
        <v>10106.0</v>
      </c>
      <c r="F590" s="2" t="s">
        <v>1598</v>
      </c>
      <c r="I590" s="7">
        <v>1.0</v>
      </c>
      <c r="J590" s="6">
        <v>26667.0</v>
      </c>
      <c r="K590" s="2">
        <v>0.0</v>
      </c>
      <c r="L590" s="2">
        <v>26667.0</v>
      </c>
      <c r="M590" s="2">
        <v>0.0</v>
      </c>
      <c r="N590" s="2">
        <v>26667.0</v>
      </c>
      <c r="O590" s="2">
        <v>1333.0</v>
      </c>
      <c r="P590" s="2" t="s">
        <v>1574</v>
      </c>
      <c r="Q590" s="2" t="s">
        <v>1568</v>
      </c>
      <c r="R590" s="2" t="s">
        <v>1569</v>
      </c>
      <c r="S590" s="2" t="s">
        <v>1570</v>
      </c>
      <c r="W590" s="2" t="s">
        <v>1571</v>
      </c>
    </row>
    <row r="591">
      <c r="A591" s="4">
        <v>45553.39375</v>
      </c>
      <c r="B591" s="5">
        <v>2721820.0</v>
      </c>
      <c r="C591" s="2" t="s">
        <v>1575</v>
      </c>
      <c r="D591" s="2" t="s">
        <v>1565</v>
      </c>
      <c r="E591" s="2">
        <v>10034.0</v>
      </c>
      <c r="F591" s="2" t="s">
        <v>1616</v>
      </c>
      <c r="I591" s="7">
        <v>1.0</v>
      </c>
      <c r="J591" s="6">
        <v>21905.0</v>
      </c>
      <c r="K591" s="2">
        <v>0.0</v>
      </c>
      <c r="L591" s="2">
        <v>21905.0</v>
      </c>
      <c r="M591" s="2">
        <v>0.0</v>
      </c>
      <c r="N591" s="2">
        <v>21905.0</v>
      </c>
      <c r="O591" s="2">
        <v>1096.0</v>
      </c>
      <c r="P591" s="2" t="s">
        <v>1574</v>
      </c>
      <c r="Q591" s="2" t="s">
        <v>1568</v>
      </c>
      <c r="R591" s="2" t="s">
        <v>1569</v>
      </c>
      <c r="S591" s="2" t="s">
        <v>1570</v>
      </c>
      <c r="W591" s="2" t="s">
        <v>1571</v>
      </c>
    </row>
    <row r="592">
      <c r="A592" s="4">
        <v>45553.39166666667</v>
      </c>
      <c r="B592" s="5">
        <v>2721455.0</v>
      </c>
      <c r="C592" s="2" t="s">
        <v>1575</v>
      </c>
      <c r="D592" s="2" t="s">
        <v>1565</v>
      </c>
      <c r="E592" s="2">
        <v>10055.0</v>
      </c>
      <c r="F592" s="2" t="s">
        <v>1597</v>
      </c>
      <c r="I592" s="7">
        <v>1.0</v>
      </c>
      <c r="J592" s="6">
        <v>34762.0</v>
      </c>
      <c r="K592" s="2">
        <v>0.0</v>
      </c>
      <c r="L592" s="2">
        <v>34762.0</v>
      </c>
      <c r="M592" s="2">
        <v>0.0</v>
      </c>
      <c r="N592" s="2">
        <v>34762.0</v>
      </c>
      <c r="O592" s="2">
        <v>1738.0</v>
      </c>
      <c r="P592" s="2" t="s">
        <v>1574</v>
      </c>
      <c r="Q592" s="2" t="s">
        <v>1568</v>
      </c>
      <c r="R592" s="2" t="s">
        <v>1569</v>
      </c>
      <c r="S592" s="2" t="s">
        <v>1570</v>
      </c>
      <c r="W592" s="2" t="s">
        <v>1571</v>
      </c>
    </row>
    <row r="593">
      <c r="A593" s="4">
        <v>45552.82916666667</v>
      </c>
      <c r="B593" s="5">
        <v>2721090.0</v>
      </c>
      <c r="C593" s="2" t="s">
        <v>1575</v>
      </c>
      <c r="D593" s="2" t="s">
        <v>1565</v>
      </c>
      <c r="E593" s="2">
        <v>10002.0</v>
      </c>
      <c r="F593" s="2" t="s">
        <v>1576</v>
      </c>
      <c r="I593" s="7">
        <v>1.0</v>
      </c>
      <c r="J593" s="6">
        <v>18571.0</v>
      </c>
      <c r="K593" s="2">
        <v>0.0</v>
      </c>
      <c r="L593" s="2">
        <v>18571.0</v>
      </c>
      <c r="M593" s="2">
        <v>0.0</v>
      </c>
      <c r="N593" s="2">
        <v>18571.0</v>
      </c>
      <c r="O593" s="2">
        <v>929.0</v>
      </c>
      <c r="P593" s="2" t="s">
        <v>1574</v>
      </c>
      <c r="Q593" s="2" t="s">
        <v>1568</v>
      </c>
      <c r="R593" s="2" t="s">
        <v>1569</v>
      </c>
      <c r="S593" s="2" t="s">
        <v>1570</v>
      </c>
      <c r="W593" s="2" t="s">
        <v>1571</v>
      </c>
    </row>
    <row r="594">
      <c r="A594" s="4">
        <v>45552.76666666667</v>
      </c>
      <c r="B594" s="5">
        <v>2720725.0</v>
      </c>
      <c r="C594" s="2" t="s">
        <v>1575</v>
      </c>
      <c r="D594" s="2" t="s">
        <v>1572</v>
      </c>
      <c r="E594" s="2">
        <v>10112.0</v>
      </c>
      <c r="F594" s="2" t="s">
        <v>1573</v>
      </c>
      <c r="I594" s="7">
        <v>1.0</v>
      </c>
      <c r="J594" s="6">
        <v>6667.0</v>
      </c>
      <c r="K594" s="2">
        <v>0.0</v>
      </c>
      <c r="L594" s="2">
        <v>6667.0</v>
      </c>
      <c r="M594" s="2">
        <v>0.0</v>
      </c>
      <c r="N594" s="2">
        <v>6667.0</v>
      </c>
      <c r="O594" s="2">
        <v>333.0</v>
      </c>
      <c r="P594" s="2" t="s">
        <v>1574</v>
      </c>
      <c r="Q594" s="2" t="s">
        <v>1568</v>
      </c>
      <c r="R594" s="2" t="s">
        <v>1569</v>
      </c>
      <c r="S594" s="2" t="s">
        <v>1570</v>
      </c>
      <c r="W594" s="2" t="s">
        <v>1571</v>
      </c>
    </row>
    <row r="595">
      <c r="A595" s="4">
        <v>45552.75902777778</v>
      </c>
      <c r="B595" s="5">
        <v>2720359.0</v>
      </c>
      <c r="C595" s="2" t="s">
        <v>1575</v>
      </c>
      <c r="D595" s="2" t="s">
        <v>1565</v>
      </c>
      <c r="E595" s="2">
        <v>10000.0</v>
      </c>
      <c r="F595" s="2" t="s">
        <v>1566</v>
      </c>
      <c r="I595" s="7">
        <v>1.0</v>
      </c>
      <c r="J595" s="6">
        <v>29524.0</v>
      </c>
      <c r="K595" s="2">
        <v>0.0</v>
      </c>
      <c r="L595" s="2">
        <v>29524.0</v>
      </c>
      <c r="M595" s="2">
        <v>0.0</v>
      </c>
      <c r="N595" s="2">
        <v>29524.0</v>
      </c>
      <c r="O595" s="2">
        <v>1476.0</v>
      </c>
      <c r="P595" s="2" t="s">
        <v>1574</v>
      </c>
      <c r="Q595" s="2" t="s">
        <v>1568</v>
      </c>
      <c r="R595" s="2" t="s">
        <v>1569</v>
      </c>
      <c r="S595" s="2" t="s">
        <v>1570</v>
      </c>
      <c r="W595" s="2" t="s">
        <v>1571</v>
      </c>
    </row>
    <row r="596">
      <c r="A596" s="4">
        <v>45552.75902777778</v>
      </c>
      <c r="B596" s="5">
        <v>2720359.0</v>
      </c>
      <c r="C596" s="2" t="s">
        <v>1575</v>
      </c>
      <c r="D596" s="2" t="s">
        <v>1572</v>
      </c>
      <c r="E596" s="2">
        <v>10069.0</v>
      </c>
      <c r="F596" s="2" t="s">
        <v>1620</v>
      </c>
      <c r="I596" s="7">
        <v>1.0</v>
      </c>
      <c r="J596" s="6">
        <v>24762.0</v>
      </c>
      <c r="K596" s="2">
        <v>0.0</v>
      </c>
      <c r="L596" s="2">
        <v>24762.0</v>
      </c>
      <c r="M596" s="2">
        <v>0.0</v>
      </c>
      <c r="N596" s="2">
        <v>24762.0</v>
      </c>
      <c r="O596" s="2">
        <v>1238.0</v>
      </c>
      <c r="P596" s="2" t="s">
        <v>1574</v>
      </c>
      <c r="Q596" s="2" t="s">
        <v>1568</v>
      </c>
      <c r="R596" s="2" t="s">
        <v>1569</v>
      </c>
      <c r="S596" s="2" t="s">
        <v>1570</v>
      </c>
      <c r="W596" s="2" t="s">
        <v>1571</v>
      </c>
    </row>
    <row r="597">
      <c r="A597" s="4">
        <v>45552.75902777778</v>
      </c>
      <c r="B597" s="5">
        <v>2720359.0</v>
      </c>
      <c r="C597" s="2" t="s">
        <v>1575</v>
      </c>
      <c r="D597" s="2" t="s">
        <v>1572</v>
      </c>
      <c r="E597" s="2">
        <v>10063.0</v>
      </c>
      <c r="F597" s="2" t="s">
        <v>1594</v>
      </c>
      <c r="I597" s="7">
        <v>1.0</v>
      </c>
      <c r="J597" s="6">
        <v>24762.0</v>
      </c>
      <c r="K597" s="2">
        <v>0.0</v>
      </c>
      <c r="L597" s="2">
        <v>24762.0</v>
      </c>
      <c r="M597" s="2">
        <v>0.0</v>
      </c>
      <c r="N597" s="2">
        <v>24762.0</v>
      </c>
      <c r="O597" s="2">
        <v>1238.0</v>
      </c>
      <c r="P597" s="2" t="s">
        <v>1574</v>
      </c>
      <c r="Q597" s="2" t="s">
        <v>1568</v>
      </c>
      <c r="R597" s="2" t="s">
        <v>1569</v>
      </c>
      <c r="S597" s="2" t="s">
        <v>1570</v>
      </c>
      <c r="W597" s="2" t="s">
        <v>1571</v>
      </c>
    </row>
    <row r="598">
      <c r="A598" s="4">
        <v>45552.75069444445</v>
      </c>
      <c r="B598" s="5">
        <v>2719994.0</v>
      </c>
      <c r="C598" s="2" t="s">
        <v>1575</v>
      </c>
      <c r="D598" s="2" t="s">
        <v>1572</v>
      </c>
      <c r="E598" s="2">
        <v>10128.0</v>
      </c>
      <c r="F598" s="2" t="s">
        <v>1588</v>
      </c>
      <c r="I598" s="7">
        <v>1.0</v>
      </c>
      <c r="J598" s="6">
        <v>23333.0</v>
      </c>
      <c r="K598" s="2">
        <v>0.0</v>
      </c>
      <c r="L598" s="2">
        <v>23333.0</v>
      </c>
      <c r="M598" s="2">
        <v>0.0</v>
      </c>
      <c r="N598" s="2">
        <v>23333.0</v>
      </c>
      <c r="O598" s="2">
        <v>1167.0</v>
      </c>
      <c r="P598" s="2" t="s">
        <v>1574</v>
      </c>
      <c r="Q598" s="2" t="s">
        <v>1568</v>
      </c>
      <c r="R598" s="2" t="s">
        <v>1569</v>
      </c>
      <c r="S598" s="2" t="s">
        <v>1570</v>
      </c>
      <c r="W598" s="2" t="s">
        <v>1571</v>
      </c>
    </row>
    <row r="599">
      <c r="A599" s="4">
        <v>45552.75069444445</v>
      </c>
      <c r="B599" s="5">
        <v>2719994.0</v>
      </c>
      <c r="C599" s="2" t="s">
        <v>1575</v>
      </c>
      <c r="D599" s="2" t="s">
        <v>1572</v>
      </c>
      <c r="E599" s="2">
        <v>10112.0</v>
      </c>
      <c r="F599" s="2" t="s">
        <v>1573</v>
      </c>
      <c r="I599" s="7">
        <v>1.0</v>
      </c>
      <c r="J599" s="6">
        <v>6667.0</v>
      </c>
      <c r="K599" s="2">
        <v>0.0</v>
      </c>
      <c r="L599" s="2">
        <v>6667.0</v>
      </c>
      <c r="M599" s="2">
        <v>0.0</v>
      </c>
      <c r="N599" s="2">
        <v>6667.0</v>
      </c>
      <c r="O599" s="2">
        <v>333.0</v>
      </c>
      <c r="P599" s="2" t="s">
        <v>1574</v>
      </c>
      <c r="Q599" s="2" t="s">
        <v>1568</v>
      </c>
      <c r="R599" s="2" t="s">
        <v>1569</v>
      </c>
      <c r="S599" s="2" t="s">
        <v>1570</v>
      </c>
      <c r="W599" s="2" t="s">
        <v>1571</v>
      </c>
    </row>
    <row r="600">
      <c r="A600" s="4">
        <v>45552.72152777778</v>
      </c>
      <c r="B600" s="5">
        <v>2719629.0</v>
      </c>
      <c r="C600" s="2" t="s">
        <v>1575</v>
      </c>
      <c r="D600" s="2" t="s">
        <v>1578</v>
      </c>
      <c r="E600" s="2">
        <v>10015.0</v>
      </c>
      <c r="F600" s="2" t="s">
        <v>1587</v>
      </c>
      <c r="I600" s="7">
        <v>1.0</v>
      </c>
      <c r="J600" s="6">
        <v>25238.0</v>
      </c>
      <c r="K600" s="2">
        <v>0.0</v>
      </c>
      <c r="L600" s="2">
        <v>25238.0</v>
      </c>
      <c r="M600" s="2">
        <v>0.0</v>
      </c>
      <c r="N600" s="2">
        <v>25238.0</v>
      </c>
      <c r="O600" s="2">
        <v>1262.0</v>
      </c>
      <c r="P600" s="2" t="s">
        <v>1574</v>
      </c>
      <c r="Q600" s="2" t="s">
        <v>1568</v>
      </c>
      <c r="R600" s="2" t="s">
        <v>1569</v>
      </c>
      <c r="S600" s="2" t="s">
        <v>1570</v>
      </c>
      <c r="W600" s="2" t="s">
        <v>1571</v>
      </c>
    </row>
    <row r="601">
      <c r="A601" s="4">
        <v>45552.67986111111</v>
      </c>
      <c r="B601" s="5">
        <v>2719264.0</v>
      </c>
      <c r="C601" s="2" t="s">
        <v>1575</v>
      </c>
      <c r="D601" s="2" t="s">
        <v>1572</v>
      </c>
      <c r="E601" s="2">
        <v>10128.0</v>
      </c>
      <c r="F601" s="2" t="s">
        <v>1588</v>
      </c>
      <c r="I601" s="7">
        <v>1.0</v>
      </c>
      <c r="J601" s="6">
        <v>23333.0</v>
      </c>
      <c r="K601" s="2">
        <v>0.0</v>
      </c>
      <c r="L601" s="2">
        <v>23333.0</v>
      </c>
      <c r="M601" s="2">
        <v>0.0</v>
      </c>
      <c r="N601" s="2">
        <v>23333.0</v>
      </c>
      <c r="O601" s="2">
        <v>1167.0</v>
      </c>
      <c r="P601" s="2" t="s">
        <v>1574</v>
      </c>
      <c r="Q601" s="2" t="s">
        <v>1568</v>
      </c>
      <c r="R601" s="2" t="s">
        <v>1569</v>
      </c>
      <c r="S601" s="2" t="s">
        <v>1570</v>
      </c>
      <c r="W601" s="2" t="s">
        <v>1571</v>
      </c>
    </row>
    <row r="602">
      <c r="A602" s="4">
        <v>45552.67986111111</v>
      </c>
      <c r="B602" s="5">
        <v>2719264.0</v>
      </c>
      <c r="C602" s="2" t="s">
        <v>1575</v>
      </c>
      <c r="D602" s="2" t="s">
        <v>1565</v>
      </c>
      <c r="E602" s="2">
        <v>10000.0</v>
      </c>
      <c r="F602" s="2" t="s">
        <v>1566</v>
      </c>
      <c r="I602" s="7">
        <v>1.0</v>
      </c>
      <c r="J602" s="6">
        <v>29524.0</v>
      </c>
      <c r="K602" s="2">
        <v>0.0</v>
      </c>
      <c r="L602" s="2">
        <v>29524.0</v>
      </c>
      <c r="M602" s="2">
        <v>0.0</v>
      </c>
      <c r="N602" s="2">
        <v>29524.0</v>
      </c>
      <c r="O602" s="2">
        <v>1476.0</v>
      </c>
      <c r="P602" s="2" t="s">
        <v>1574</v>
      </c>
      <c r="Q602" s="2" t="s">
        <v>1568</v>
      </c>
      <c r="R602" s="2" t="s">
        <v>1569</v>
      </c>
      <c r="S602" s="2" t="s">
        <v>1570</v>
      </c>
      <c r="W602" s="2" t="s">
        <v>1571</v>
      </c>
    </row>
    <row r="603">
      <c r="A603" s="4">
        <v>45552.67222222222</v>
      </c>
      <c r="B603" s="5">
        <v>2718898.0</v>
      </c>
      <c r="C603" s="2" t="s">
        <v>1575</v>
      </c>
      <c r="D603" s="2" t="s">
        <v>1572</v>
      </c>
      <c r="E603" s="2">
        <v>10069.0</v>
      </c>
      <c r="F603" s="2" t="s">
        <v>1620</v>
      </c>
      <c r="I603" s="7">
        <v>1.0</v>
      </c>
      <c r="J603" s="6">
        <v>24762.0</v>
      </c>
      <c r="K603" s="2">
        <v>0.0</v>
      </c>
      <c r="L603" s="2">
        <v>24762.0</v>
      </c>
      <c r="M603" s="2">
        <v>0.0</v>
      </c>
      <c r="N603" s="2">
        <v>24762.0</v>
      </c>
      <c r="O603" s="2">
        <v>1238.0</v>
      </c>
      <c r="P603" s="2" t="s">
        <v>1574</v>
      </c>
      <c r="Q603" s="2" t="s">
        <v>1568</v>
      </c>
      <c r="R603" s="2" t="s">
        <v>1569</v>
      </c>
      <c r="S603" s="2" t="s">
        <v>1570</v>
      </c>
      <c r="W603" s="2" t="s">
        <v>1571</v>
      </c>
    </row>
    <row r="604">
      <c r="A604" s="4">
        <v>45552.57916666667</v>
      </c>
      <c r="B604" s="5">
        <v>2718533.0</v>
      </c>
      <c r="C604" s="2" t="s">
        <v>1575</v>
      </c>
      <c r="D604" s="2" t="s">
        <v>1565</v>
      </c>
      <c r="E604" s="2">
        <v>10000.0</v>
      </c>
      <c r="F604" s="2" t="s">
        <v>1566</v>
      </c>
      <c r="I604" s="7">
        <v>1.0</v>
      </c>
      <c r="J604" s="6">
        <v>29524.0</v>
      </c>
      <c r="K604" s="2">
        <v>0.0</v>
      </c>
      <c r="L604" s="2">
        <v>29524.0</v>
      </c>
      <c r="M604" s="2">
        <v>0.0</v>
      </c>
      <c r="N604" s="2">
        <v>29524.0</v>
      </c>
      <c r="O604" s="2">
        <v>1476.0</v>
      </c>
      <c r="P604" s="2" t="s">
        <v>1574</v>
      </c>
      <c r="Q604" s="2" t="s">
        <v>1568</v>
      </c>
      <c r="R604" s="2" t="s">
        <v>1569</v>
      </c>
      <c r="S604" s="2" t="s">
        <v>1570</v>
      </c>
      <c r="W604" s="2" t="s">
        <v>1571</v>
      </c>
    </row>
    <row r="605">
      <c r="A605" s="4">
        <v>45552.57916666667</v>
      </c>
      <c r="B605" s="5">
        <v>2718533.0</v>
      </c>
      <c r="C605" s="2" t="s">
        <v>1575</v>
      </c>
      <c r="D605" s="2" t="s">
        <v>1572</v>
      </c>
      <c r="E605" s="2">
        <v>10112.0</v>
      </c>
      <c r="F605" s="2" t="s">
        <v>1573</v>
      </c>
      <c r="I605" s="7">
        <v>1.0</v>
      </c>
      <c r="J605" s="6">
        <v>6667.0</v>
      </c>
      <c r="K605" s="2">
        <v>0.0</v>
      </c>
      <c r="L605" s="2">
        <v>6667.0</v>
      </c>
      <c r="M605" s="2">
        <v>0.0</v>
      </c>
      <c r="N605" s="2">
        <v>6667.0</v>
      </c>
      <c r="O605" s="2">
        <v>334.0</v>
      </c>
      <c r="P605" s="2" t="s">
        <v>1574</v>
      </c>
      <c r="Q605" s="2" t="s">
        <v>1568</v>
      </c>
      <c r="R605" s="2" t="s">
        <v>1569</v>
      </c>
      <c r="S605" s="2" t="s">
        <v>1570</v>
      </c>
      <c r="W605" s="2" t="s">
        <v>1571</v>
      </c>
    </row>
    <row r="606">
      <c r="A606" s="4">
        <v>45552.56736111111</v>
      </c>
      <c r="B606" s="5">
        <v>2718168.0</v>
      </c>
      <c r="C606" s="2" t="s">
        <v>1575</v>
      </c>
      <c r="D606" s="2" t="s">
        <v>1578</v>
      </c>
      <c r="E606" s="2">
        <v>10004.0</v>
      </c>
      <c r="F606" s="2" t="s">
        <v>1607</v>
      </c>
      <c r="I606" s="7">
        <v>1.0</v>
      </c>
      <c r="J606" s="6">
        <v>25238.0</v>
      </c>
      <c r="K606" s="2">
        <v>0.0</v>
      </c>
      <c r="L606" s="2">
        <v>25238.0</v>
      </c>
      <c r="M606" s="2">
        <v>0.0</v>
      </c>
      <c r="N606" s="2">
        <v>25238.0</v>
      </c>
      <c r="O606" s="2">
        <v>1262.0</v>
      </c>
      <c r="P606" s="2" t="s">
        <v>1574</v>
      </c>
      <c r="Q606" s="2" t="s">
        <v>1568</v>
      </c>
      <c r="R606" s="2" t="s">
        <v>1569</v>
      </c>
      <c r="S606" s="2" t="s">
        <v>1570</v>
      </c>
      <c r="W606" s="2" t="s">
        <v>1571</v>
      </c>
    </row>
    <row r="607">
      <c r="A607" s="4">
        <v>45552.56736111111</v>
      </c>
      <c r="B607" s="5">
        <v>2718168.0</v>
      </c>
      <c r="C607" s="2" t="s">
        <v>1575</v>
      </c>
      <c r="D607" s="2" t="s">
        <v>1565</v>
      </c>
      <c r="E607" s="2">
        <v>10002.0</v>
      </c>
      <c r="F607" s="2" t="s">
        <v>1576</v>
      </c>
      <c r="I607" s="7">
        <v>1.0</v>
      </c>
      <c r="J607" s="6">
        <v>18571.0</v>
      </c>
      <c r="K607" s="2">
        <v>0.0</v>
      </c>
      <c r="L607" s="2">
        <v>18571.0</v>
      </c>
      <c r="M607" s="2">
        <v>0.0</v>
      </c>
      <c r="N607" s="2">
        <v>18571.0</v>
      </c>
      <c r="O607" s="2">
        <v>928.0</v>
      </c>
      <c r="P607" s="2" t="s">
        <v>1574</v>
      </c>
      <c r="Q607" s="2" t="s">
        <v>1568</v>
      </c>
      <c r="R607" s="2" t="s">
        <v>1569</v>
      </c>
      <c r="S607" s="2" t="s">
        <v>1570</v>
      </c>
      <c r="W607" s="2" t="s">
        <v>1571</v>
      </c>
    </row>
    <row r="608">
      <c r="A608" s="4">
        <v>45552.55694444444</v>
      </c>
      <c r="B608" s="5">
        <v>2717803.0</v>
      </c>
      <c r="C608" s="2" t="s">
        <v>1575</v>
      </c>
      <c r="D608" s="2" t="s">
        <v>1565</v>
      </c>
      <c r="E608" s="2">
        <v>10007.0</v>
      </c>
      <c r="F608" s="2" t="s">
        <v>1596</v>
      </c>
      <c r="I608" s="7">
        <v>1.0</v>
      </c>
      <c r="J608" s="6">
        <v>33810.0</v>
      </c>
      <c r="K608" s="2">
        <v>0.0</v>
      </c>
      <c r="L608" s="2">
        <v>33810.0</v>
      </c>
      <c r="M608" s="2">
        <v>0.0</v>
      </c>
      <c r="N608" s="2">
        <v>33810.0</v>
      </c>
      <c r="O608" s="2">
        <v>1691.0</v>
      </c>
      <c r="P608" s="2" t="s">
        <v>1574</v>
      </c>
      <c r="Q608" s="2" t="s">
        <v>1568</v>
      </c>
      <c r="R608" s="2" t="s">
        <v>1569</v>
      </c>
      <c r="S608" s="2" t="s">
        <v>1570</v>
      </c>
      <c r="W608" s="2" t="s">
        <v>1571</v>
      </c>
    </row>
    <row r="609">
      <c r="A609" s="4">
        <v>45552.55694444444</v>
      </c>
      <c r="B609" s="5">
        <v>2717803.0</v>
      </c>
      <c r="C609" s="2" t="s">
        <v>1575</v>
      </c>
      <c r="D609" s="2" t="s">
        <v>1565</v>
      </c>
      <c r="E609" s="2">
        <v>10000.0</v>
      </c>
      <c r="F609" s="2" t="s">
        <v>1566</v>
      </c>
      <c r="I609" s="7">
        <v>1.0</v>
      </c>
      <c r="J609" s="6">
        <v>29524.0</v>
      </c>
      <c r="K609" s="2">
        <v>0.0</v>
      </c>
      <c r="L609" s="2">
        <v>29524.0</v>
      </c>
      <c r="M609" s="2">
        <v>0.0</v>
      </c>
      <c r="N609" s="2">
        <v>29524.0</v>
      </c>
      <c r="O609" s="2">
        <v>1476.0</v>
      </c>
      <c r="P609" s="2" t="s">
        <v>1574</v>
      </c>
      <c r="Q609" s="2" t="s">
        <v>1568</v>
      </c>
      <c r="R609" s="2" t="s">
        <v>1569</v>
      </c>
      <c r="S609" s="2" t="s">
        <v>1570</v>
      </c>
      <c r="W609" s="2" t="s">
        <v>1571</v>
      </c>
    </row>
    <row r="610">
      <c r="A610" s="4">
        <v>45552.55694444444</v>
      </c>
      <c r="B610" s="5">
        <v>2717803.0</v>
      </c>
      <c r="C610" s="2" t="s">
        <v>1575</v>
      </c>
      <c r="D610" s="2" t="s">
        <v>1565</v>
      </c>
      <c r="E610" s="2">
        <v>10005.0</v>
      </c>
      <c r="F610" s="2" t="s">
        <v>1595</v>
      </c>
      <c r="I610" s="7">
        <v>1.0</v>
      </c>
      <c r="J610" s="6">
        <v>19524.0</v>
      </c>
      <c r="K610" s="2">
        <v>0.0</v>
      </c>
      <c r="L610" s="2">
        <v>19524.0</v>
      </c>
      <c r="M610" s="2">
        <v>0.0</v>
      </c>
      <c r="N610" s="2">
        <v>19524.0</v>
      </c>
      <c r="O610" s="2">
        <v>976.0</v>
      </c>
      <c r="P610" s="2" t="s">
        <v>1574</v>
      </c>
      <c r="Q610" s="2" t="s">
        <v>1568</v>
      </c>
      <c r="R610" s="2" t="s">
        <v>1569</v>
      </c>
      <c r="S610" s="2" t="s">
        <v>1570</v>
      </c>
      <c r="W610" s="2" t="s">
        <v>1571</v>
      </c>
    </row>
    <row r="611">
      <c r="A611" s="4">
        <v>45552.55</v>
      </c>
      <c r="B611" s="5">
        <v>2717437.0</v>
      </c>
      <c r="C611" s="2" t="s">
        <v>1575</v>
      </c>
      <c r="D611" s="2" t="s">
        <v>1572</v>
      </c>
      <c r="E611" s="2">
        <v>10026.0</v>
      </c>
      <c r="F611" s="2" t="s">
        <v>1583</v>
      </c>
      <c r="I611" s="7">
        <v>1.0</v>
      </c>
      <c r="J611" s="6">
        <v>21905.0</v>
      </c>
      <c r="K611" s="2">
        <v>0.0</v>
      </c>
      <c r="L611" s="2">
        <v>21905.0</v>
      </c>
      <c r="M611" s="2">
        <v>0.0</v>
      </c>
      <c r="N611" s="2">
        <v>21905.0</v>
      </c>
      <c r="O611" s="2">
        <v>1095.0</v>
      </c>
      <c r="P611" s="2" t="s">
        <v>1574</v>
      </c>
      <c r="Q611" s="2" t="s">
        <v>1568</v>
      </c>
      <c r="R611" s="2" t="s">
        <v>1569</v>
      </c>
      <c r="S611" s="2" t="s">
        <v>1570</v>
      </c>
      <c r="W611" s="2" t="s">
        <v>1571</v>
      </c>
    </row>
    <row r="612">
      <c r="A612" s="4">
        <v>45552.55</v>
      </c>
      <c r="B612" s="5">
        <v>2717437.0</v>
      </c>
      <c r="C612" s="2" t="s">
        <v>1575</v>
      </c>
      <c r="D612" s="2" t="s">
        <v>1572</v>
      </c>
      <c r="E612" s="2">
        <v>10123.0</v>
      </c>
      <c r="F612" s="2" t="s">
        <v>1599</v>
      </c>
      <c r="I612" s="7">
        <v>1.0</v>
      </c>
      <c r="J612" s="6">
        <v>21905.0</v>
      </c>
      <c r="K612" s="2">
        <v>0.0</v>
      </c>
      <c r="L612" s="2">
        <v>21905.0</v>
      </c>
      <c r="M612" s="2">
        <v>0.0</v>
      </c>
      <c r="N612" s="2">
        <v>21905.0</v>
      </c>
      <c r="O612" s="2">
        <v>1096.0</v>
      </c>
      <c r="P612" s="2" t="s">
        <v>1574</v>
      </c>
      <c r="Q612" s="2" t="s">
        <v>1568</v>
      </c>
      <c r="R612" s="2" t="s">
        <v>1569</v>
      </c>
      <c r="S612" s="2" t="s">
        <v>1570</v>
      </c>
      <c r="W612" s="2" t="s">
        <v>1571</v>
      </c>
    </row>
    <row r="613">
      <c r="A613" s="4">
        <v>45552.55</v>
      </c>
      <c r="B613" s="5">
        <v>2717437.0</v>
      </c>
      <c r="C613" s="2" t="s">
        <v>1575</v>
      </c>
      <c r="D613" s="2" t="s">
        <v>1578</v>
      </c>
      <c r="E613" s="2">
        <v>10004.0</v>
      </c>
      <c r="F613" s="2" t="s">
        <v>1607</v>
      </c>
      <c r="I613" s="7">
        <v>1.0</v>
      </c>
      <c r="J613" s="6">
        <v>25238.0</v>
      </c>
      <c r="K613" s="2">
        <v>0.0</v>
      </c>
      <c r="L613" s="2">
        <v>25238.0</v>
      </c>
      <c r="M613" s="2">
        <v>0.0</v>
      </c>
      <c r="N613" s="2">
        <v>25238.0</v>
      </c>
      <c r="O613" s="2">
        <v>1261.0</v>
      </c>
      <c r="P613" s="2" t="s">
        <v>1574</v>
      </c>
      <c r="Q613" s="2" t="s">
        <v>1568</v>
      </c>
      <c r="R613" s="2" t="s">
        <v>1569</v>
      </c>
      <c r="S613" s="2" t="s">
        <v>1570</v>
      </c>
      <c r="W613" s="2" t="s">
        <v>1571</v>
      </c>
    </row>
    <row r="614">
      <c r="A614" s="4">
        <v>45552.55</v>
      </c>
      <c r="B614" s="5">
        <v>2717437.0</v>
      </c>
      <c r="C614" s="2" t="s">
        <v>1575</v>
      </c>
      <c r="D614" s="2" t="s">
        <v>1565</v>
      </c>
      <c r="E614" s="2">
        <v>10000.0</v>
      </c>
      <c r="F614" s="2" t="s">
        <v>1566</v>
      </c>
      <c r="I614" s="7">
        <v>1.0</v>
      </c>
      <c r="J614" s="6">
        <v>29524.0</v>
      </c>
      <c r="K614" s="2">
        <v>0.0</v>
      </c>
      <c r="L614" s="2">
        <v>29524.0</v>
      </c>
      <c r="M614" s="2">
        <v>0.0</v>
      </c>
      <c r="N614" s="2">
        <v>29524.0</v>
      </c>
      <c r="O614" s="2">
        <v>1477.0</v>
      </c>
      <c r="P614" s="2" t="s">
        <v>1574</v>
      </c>
      <c r="Q614" s="2" t="s">
        <v>1568</v>
      </c>
      <c r="R614" s="2" t="s">
        <v>1569</v>
      </c>
      <c r="S614" s="2" t="s">
        <v>1570</v>
      </c>
      <c r="W614" s="2" t="s">
        <v>1571</v>
      </c>
    </row>
    <row r="615">
      <c r="A615" s="4">
        <v>45552.51666666667</v>
      </c>
      <c r="B615" s="5">
        <v>2717072.0</v>
      </c>
      <c r="C615" s="2" t="s">
        <v>1575</v>
      </c>
      <c r="D615" s="2" t="s">
        <v>1565</v>
      </c>
      <c r="E615" s="2">
        <v>10000.0</v>
      </c>
      <c r="F615" s="2" t="s">
        <v>1566</v>
      </c>
      <c r="I615" s="7">
        <v>1.0</v>
      </c>
      <c r="J615" s="6">
        <v>29524.0</v>
      </c>
      <c r="K615" s="2">
        <v>0.0</v>
      </c>
      <c r="L615" s="2">
        <v>29524.0</v>
      </c>
      <c r="M615" s="2">
        <v>0.0</v>
      </c>
      <c r="N615" s="2">
        <v>29524.0</v>
      </c>
      <c r="O615" s="2">
        <v>1476.0</v>
      </c>
      <c r="P615" s="2" t="s">
        <v>1574</v>
      </c>
      <c r="Q615" s="2" t="s">
        <v>1568</v>
      </c>
      <c r="R615" s="2" t="s">
        <v>1569</v>
      </c>
      <c r="S615" s="2" t="s">
        <v>1570</v>
      </c>
      <c r="W615" s="2" t="s">
        <v>1571</v>
      </c>
    </row>
    <row r="616">
      <c r="A616" s="4">
        <v>45552.46875</v>
      </c>
      <c r="B616" s="5">
        <v>2716707.0</v>
      </c>
      <c r="C616" s="2" t="s">
        <v>1575</v>
      </c>
      <c r="D616" s="2" t="s">
        <v>1565</v>
      </c>
      <c r="E616" s="2">
        <v>10005.0</v>
      </c>
      <c r="F616" s="2" t="s">
        <v>1595</v>
      </c>
      <c r="I616" s="7">
        <v>1.0</v>
      </c>
      <c r="J616" s="6">
        <v>19524.0</v>
      </c>
      <c r="K616" s="2">
        <v>0.0</v>
      </c>
      <c r="L616" s="2">
        <v>19524.0</v>
      </c>
      <c r="M616" s="2">
        <v>0.0</v>
      </c>
      <c r="N616" s="2">
        <v>19524.0</v>
      </c>
      <c r="O616" s="2">
        <v>976.0</v>
      </c>
      <c r="P616" s="2" t="s">
        <v>1574</v>
      </c>
      <c r="Q616" s="2" t="s">
        <v>1568</v>
      </c>
      <c r="R616" s="2" t="s">
        <v>1569</v>
      </c>
      <c r="S616" s="2" t="s">
        <v>1570</v>
      </c>
      <c r="W616" s="2" t="s">
        <v>1571</v>
      </c>
    </row>
    <row r="617">
      <c r="A617" s="4">
        <v>45552.46875</v>
      </c>
      <c r="B617" s="5">
        <v>2716707.0</v>
      </c>
      <c r="C617" s="2" t="s">
        <v>1575</v>
      </c>
      <c r="D617" s="2" t="s">
        <v>1565</v>
      </c>
      <c r="E617" s="2">
        <v>10002.0</v>
      </c>
      <c r="F617" s="2" t="s">
        <v>1576</v>
      </c>
      <c r="I617" s="7">
        <v>1.0</v>
      </c>
      <c r="J617" s="6">
        <v>18571.0</v>
      </c>
      <c r="K617" s="2">
        <v>0.0</v>
      </c>
      <c r="L617" s="2">
        <v>18571.0</v>
      </c>
      <c r="M617" s="2">
        <v>0.0</v>
      </c>
      <c r="N617" s="2">
        <v>18571.0</v>
      </c>
      <c r="O617" s="2">
        <v>929.0</v>
      </c>
      <c r="P617" s="2" t="s">
        <v>1574</v>
      </c>
      <c r="Q617" s="2" t="s">
        <v>1568</v>
      </c>
      <c r="R617" s="2" t="s">
        <v>1569</v>
      </c>
      <c r="S617" s="2" t="s">
        <v>1570</v>
      </c>
      <c r="W617" s="2" t="s">
        <v>1571</v>
      </c>
    </row>
    <row r="618">
      <c r="A618" s="4">
        <v>45552.42013888889</v>
      </c>
      <c r="B618" s="5">
        <v>2716342.0</v>
      </c>
      <c r="C618" s="2" t="s">
        <v>1575</v>
      </c>
      <c r="D618" s="2" t="s">
        <v>1565</v>
      </c>
      <c r="E618" s="2">
        <v>10000.0</v>
      </c>
      <c r="F618" s="2" t="s">
        <v>1566</v>
      </c>
      <c r="I618" s="7">
        <v>1.0</v>
      </c>
      <c r="J618" s="6">
        <v>29524.0</v>
      </c>
      <c r="K618" s="2">
        <v>0.0</v>
      </c>
      <c r="L618" s="2">
        <v>29524.0</v>
      </c>
      <c r="M618" s="2">
        <v>0.0</v>
      </c>
      <c r="N618" s="2">
        <v>29524.0</v>
      </c>
      <c r="O618" s="2">
        <v>1476.0</v>
      </c>
      <c r="P618" s="2" t="s">
        <v>1574</v>
      </c>
      <c r="Q618" s="2" t="s">
        <v>1568</v>
      </c>
      <c r="R618" s="2" t="s">
        <v>1569</v>
      </c>
      <c r="S618" s="2" t="s">
        <v>1570</v>
      </c>
      <c r="W618" s="2" t="s">
        <v>1571</v>
      </c>
    </row>
    <row r="619">
      <c r="A619" s="4">
        <v>45552.42013888889</v>
      </c>
      <c r="B619" s="5">
        <v>2716342.0</v>
      </c>
      <c r="C619" s="2" t="s">
        <v>1575</v>
      </c>
      <c r="D619" s="2" t="s">
        <v>1572</v>
      </c>
      <c r="E619" s="2">
        <v>10070.0</v>
      </c>
      <c r="F619" s="2" t="s">
        <v>1593</v>
      </c>
      <c r="I619" s="7">
        <v>1.0</v>
      </c>
      <c r="J619" s="6">
        <v>24762.0</v>
      </c>
      <c r="K619" s="2">
        <v>0.0</v>
      </c>
      <c r="L619" s="2">
        <v>24762.0</v>
      </c>
      <c r="M619" s="2">
        <v>0.0</v>
      </c>
      <c r="N619" s="2">
        <v>24762.0</v>
      </c>
      <c r="O619" s="2">
        <v>1238.0</v>
      </c>
      <c r="P619" s="2" t="s">
        <v>1574</v>
      </c>
      <c r="Q619" s="2" t="s">
        <v>1568</v>
      </c>
      <c r="R619" s="2" t="s">
        <v>1569</v>
      </c>
      <c r="S619" s="2" t="s">
        <v>1570</v>
      </c>
      <c r="W619" s="2" t="s">
        <v>1571</v>
      </c>
    </row>
    <row r="620">
      <c r="A620" s="4">
        <v>45552.402083333334</v>
      </c>
      <c r="B620" s="5">
        <v>2715976.0</v>
      </c>
      <c r="C620" s="2" t="s">
        <v>1575</v>
      </c>
      <c r="D620" s="2" t="s">
        <v>1565</v>
      </c>
      <c r="E620" s="2">
        <v>10007.0</v>
      </c>
      <c r="F620" s="2" t="s">
        <v>1596</v>
      </c>
      <c r="I620" s="7">
        <v>1.0</v>
      </c>
      <c r="J620" s="6">
        <v>33810.0</v>
      </c>
      <c r="K620" s="2">
        <v>10143.0</v>
      </c>
      <c r="L620" s="2">
        <v>23667.0</v>
      </c>
      <c r="M620" s="2">
        <v>0.0</v>
      </c>
      <c r="N620" s="2">
        <v>23667.0</v>
      </c>
      <c r="O620" s="2">
        <v>1183.0</v>
      </c>
      <c r="P620" s="2" t="s">
        <v>1574</v>
      </c>
      <c r="Q620" s="2" t="s">
        <v>1568</v>
      </c>
      <c r="R620" s="2" t="s">
        <v>1569</v>
      </c>
      <c r="S620" s="2" t="s">
        <v>1570</v>
      </c>
      <c r="W620" s="2" t="s">
        <v>1571</v>
      </c>
    </row>
    <row r="621">
      <c r="A621" s="4">
        <v>45552.396527777775</v>
      </c>
      <c r="B621" s="5">
        <v>2715611.0</v>
      </c>
      <c r="C621" s="2" t="s">
        <v>1575</v>
      </c>
      <c r="D621" s="2" t="s">
        <v>1572</v>
      </c>
      <c r="E621" s="2">
        <v>10128.0</v>
      </c>
      <c r="F621" s="2" t="s">
        <v>1588</v>
      </c>
      <c r="I621" s="7">
        <v>1.0</v>
      </c>
      <c r="J621" s="6">
        <v>23333.0</v>
      </c>
      <c r="K621" s="2">
        <v>0.0</v>
      </c>
      <c r="L621" s="2">
        <v>23333.0</v>
      </c>
      <c r="M621" s="2">
        <v>0.0</v>
      </c>
      <c r="N621" s="2">
        <v>23333.0</v>
      </c>
      <c r="O621" s="2">
        <v>1167.0</v>
      </c>
      <c r="P621" s="2" t="s">
        <v>1574</v>
      </c>
      <c r="Q621" s="2" t="s">
        <v>1568</v>
      </c>
      <c r="R621" s="2" t="s">
        <v>1569</v>
      </c>
      <c r="S621" s="2" t="s">
        <v>1570</v>
      </c>
      <c r="W621" s="2" t="s">
        <v>1571</v>
      </c>
    </row>
    <row r="622">
      <c r="A622" s="4">
        <v>45552.39097222222</v>
      </c>
      <c r="B622" s="5">
        <v>2715246.0</v>
      </c>
      <c r="C622" s="2" t="s">
        <v>1575</v>
      </c>
      <c r="D622" s="2" t="s">
        <v>1565</v>
      </c>
      <c r="E622" s="2">
        <v>10002.0</v>
      </c>
      <c r="F622" s="2" t="s">
        <v>1576</v>
      </c>
      <c r="I622" s="7">
        <v>1.0</v>
      </c>
      <c r="J622" s="6">
        <v>18571.0</v>
      </c>
      <c r="K622" s="2">
        <v>0.0</v>
      </c>
      <c r="L622" s="2">
        <v>18571.0</v>
      </c>
      <c r="M622" s="2">
        <v>0.0</v>
      </c>
      <c r="N622" s="2">
        <v>18571.0</v>
      </c>
      <c r="O622" s="2">
        <v>929.0</v>
      </c>
      <c r="P622" s="2" t="s">
        <v>1574</v>
      </c>
      <c r="Q622" s="2" t="s">
        <v>1568</v>
      </c>
      <c r="R622" s="2" t="s">
        <v>1569</v>
      </c>
      <c r="S622" s="2" t="s">
        <v>1570</v>
      </c>
      <c r="W622" s="2" t="s">
        <v>1571</v>
      </c>
    </row>
    <row r="623">
      <c r="A623" s="4">
        <v>45552.39097222222</v>
      </c>
      <c r="B623" s="5">
        <v>2715246.0</v>
      </c>
      <c r="C623" s="2" t="s">
        <v>1575</v>
      </c>
      <c r="D623" s="2" t="s">
        <v>1572</v>
      </c>
      <c r="E623" s="2">
        <v>10122.0</v>
      </c>
      <c r="F623" s="2" t="s">
        <v>1577</v>
      </c>
      <c r="I623" s="7">
        <v>1.0</v>
      </c>
      <c r="J623" s="6">
        <v>21905.0</v>
      </c>
      <c r="K623" s="2">
        <v>0.0</v>
      </c>
      <c r="L623" s="2">
        <v>21905.0</v>
      </c>
      <c r="M623" s="2">
        <v>0.0</v>
      </c>
      <c r="N623" s="2">
        <v>21905.0</v>
      </c>
      <c r="O623" s="2">
        <v>1095.0</v>
      </c>
      <c r="P623" s="2" t="s">
        <v>1574</v>
      </c>
      <c r="Q623" s="2" t="s">
        <v>1568</v>
      </c>
      <c r="R623" s="2" t="s">
        <v>1569</v>
      </c>
      <c r="S623" s="2" t="s">
        <v>1570</v>
      </c>
      <c r="W623" s="2" t="s">
        <v>1571</v>
      </c>
    </row>
    <row r="624">
      <c r="A624" s="4">
        <v>45550.89722222222</v>
      </c>
      <c r="B624" s="5">
        <v>2714881.0</v>
      </c>
      <c r="C624" s="2" t="s">
        <v>1575</v>
      </c>
      <c r="D624" s="2" t="s">
        <v>1572</v>
      </c>
      <c r="E624" s="2">
        <v>10070.0</v>
      </c>
      <c r="F624" s="2" t="s">
        <v>1593</v>
      </c>
      <c r="I624" s="7">
        <v>1.0</v>
      </c>
      <c r="J624" s="6">
        <v>24762.0</v>
      </c>
      <c r="K624" s="2">
        <v>0.0</v>
      </c>
      <c r="L624" s="2">
        <v>24762.0</v>
      </c>
      <c r="M624" s="2">
        <v>0.0</v>
      </c>
      <c r="N624" s="2">
        <v>24762.0</v>
      </c>
      <c r="O624" s="2">
        <v>1238.0</v>
      </c>
      <c r="P624" s="2" t="s">
        <v>1574</v>
      </c>
      <c r="Q624" s="2" t="s">
        <v>1568</v>
      </c>
      <c r="R624" s="2" t="s">
        <v>1569</v>
      </c>
      <c r="S624" s="2" t="s">
        <v>1570</v>
      </c>
      <c r="W624" s="2" t="s">
        <v>1571</v>
      </c>
    </row>
    <row r="625">
      <c r="A625" s="4">
        <v>45550.89722222222</v>
      </c>
      <c r="B625" s="5">
        <v>2714881.0</v>
      </c>
      <c r="C625" s="2" t="s">
        <v>1575</v>
      </c>
      <c r="D625" s="2" t="s">
        <v>1572</v>
      </c>
      <c r="E625" s="2">
        <v>10128.0</v>
      </c>
      <c r="F625" s="2" t="s">
        <v>1588</v>
      </c>
      <c r="I625" s="7">
        <v>1.0</v>
      </c>
      <c r="J625" s="6">
        <v>23333.0</v>
      </c>
      <c r="K625" s="2">
        <v>0.0</v>
      </c>
      <c r="L625" s="2">
        <v>23333.0</v>
      </c>
      <c r="M625" s="2">
        <v>0.0</v>
      </c>
      <c r="N625" s="2">
        <v>23333.0</v>
      </c>
      <c r="O625" s="2">
        <v>1167.0</v>
      </c>
      <c r="P625" s="2" t="s">
        <v>1574</v>
      </c>
      <c r="Q625" s="2" t="s">
        <v>1568</v>
      </c>
      <c r="R625" s="2" t="s">
        <v>1569</v>
      </c>
      <c r="S625" s="2" t="s">
        <v>1570</v>
      </c>
      <c r="W625" s="2" t="s">
        <v>1571</v>
      </c>
    </row>
    <row r="626">
      <c r="A626" s="4">
        <v>45550.89722222222</v>
      </c>
      <c r="B626" s="5">
        <v>2714881.0</v>
      </c>
      <c r="C626" s="2" t="s">
        <v>1575</v>
      </c>
      <c r="D626" s="2" t="s">
        <v>1572</v>
      </c>
      <c r="E626" s="2">
        <v>10013.0</v>
      </c>
      <c r="F626" s="2" t="s">
        <v>1591</v>
      </c>
      <c r="I626" s="7">
        <v>1.0</v>
      </c>
      <c r="J626" s="6">
        <v>23333.0</v>
      </c>
      <c r="K626" s="2">
        <v>0.0</v>
      </c>
      <c r="L626" s="2">
        <v>23333.0</v>
      </c>
      <c r="M626" s="2">
        <v>0.0</v>
      </c>
      <c r="N626" s="2">
        <v>23333.0</v>
      </c>
      <c r="O626" s="2">
        <v>1166.0</v>
      </c>
      <c r="P626" s="2" t="s">
        <v>1574</v>
      </c>
      <c r="Q626" s="2" t="s">
        <v>1568</v>
      </c>
      <c r="R626" s="2" t="s">
        <v>1569</v>
      </c>
      <c r="S626" s="2" t="s">
        <v>1570</v>
      </c>
      <c r="W626" s="2" t="s">
        <v>1571</v>
      </c>
    </row>
    <row r="627">
      <c r="A627" s="4">
        <v>45550.89722222222</v>
      </c>
      <c r="B627" s="5">
        <v>2714881.0</v>
      </c>
      <c r="C627" s="2" t="s">
        <v>1575</v>
      </c>
      <c r="D627" s="2" t="s">
        <v>1578</v>
      </c>
      <c r="E627" s="2">
        <v>10011.0</v>
      </c>
      <c r="F627" s="2" t="s">
        <v>1605</v>
      </c>
      <c r="I627" s="7">
        <v>1.0</v>
      </c>
      <c r="J627" s="6">
        <v>25238.0</v>
      </c>
      <c r="K627" s="2">
        <v>0.0</v>
      </c>
      <c r="L627" s="2">
        <v>25238.0</v>
      </c>
      <c r="M627" s="2">
        <v>0.0</v>
      </c>
      <c r="N627" s="2">
        <v>25238.0</v>
      </c>
      <c r="O627" s="2">
        <v>1262.0</v>
      </c>
      <c r="P627" s="2" t="s">
        <v>1574</v>
      </c>
      <c r="Q627" s="2" t="s">
        <v>1568</v>
      </c>
      <c r="R627" s="2" t="s">
        <v>1569</v>
      </c>
      <c r="S627" s="2" t="s">
        <v>1570</v>
      </c>
      <c r="W627" s="2" t="s">
        <v>1571</v>
      </c>
    </row>
    <row r="628">
      <c r="A628" s="4">
        <v>45550.896527777775</v>
      </c>
      <c r="B628" s="5">
        <v>2714515.0</v>
      </c>
      <c r="C628" s="2" t="s">
        <v>1575</v>
      </c>
      <c r="D628" s="2" t="s">
        <v>1578</v>
      </c>
      <c r="E628" s="2">
        <v>10004.0</v>
      </c>
      <c r="F628" s="2" t="s">
        <v>1607</v>
      </c>
      <c r="I628" s="7">
        <v>1.0</v>
      </c>
      <c r="J628" s="6">
        <v>25238.0</v>
      </c>
      <c r="K628" s="2">
        <v>0.0</v>
      </c>
      <c r="L628" s="2">
        <v>25238.0</v>
      </c>
      <c r="M628" s="2">
        <v>0.0</v>
      </c>
      <c r="N628" s="2">
        <v>25238.0</v>
      </c>
      <c r="O628" s="2">
        <v>1262.0</v>
      </c>
      <c r="P628" s="2" t="s">
        <v>1574</v>
      </c>
      <c r="Q628" s="2" t="s">
        <v>1568</v>
      </c>
      <c r="R628" s="2" t="s">
        <v>1569</v>
      </c>
      <c r="S628" s="2" t="s">
        <v>1570</v>
      </c>
      <c r="W628" s="2" t="s">
        <v>1571</v>
      </c>
    </row>
    <row r="629">
      <c r="A629" s="4">
        <v>45550.873611111114</v>
      </c>
      <c r="B629" s="5">
        <v>2714150.0</v>
      </c>
      <c r="C629" s="2" t="s">
        <v>1575</v>
      </c>
      <c r="D629" s="2" t="s">
        <v>1580</v>
      </c>
      <c r="E629" s="2">
        <v>10104.0</v>
      </c>
      <c r="F629" s="2" t="s">
        <v>1581</v>
      </c>
      <c r="I629" s="7">
        <v>1.0</v>
      </c>
      <c r="J629" s="6">
        <v>34762.0</v>
      </c>
      <c r="K629" s="2">
        <v>0.0</v>
      </c>
      <c r="L629" s="2">
        <v>34762.0</v>
      </c>
      <c r="M629" s="2">
        <v>0.0</v>
      </c>
      <c r="N629" s="2">
        <v>34762.0</v>
      </c>
      <c r="O629" s="2">
        <v>1738.0</v>
      </c>
      <c r="P629" s="2" t="s">
        <v>1574</v>
      </c>
      <c r="Q629" s="2" t="s">
        <v>1568</v>
      </c>
      <c r="R629" s="2" t="s">
        <v>1569</v>
      </c>
      <c r="S629" s="2" t="s">
        <v>1570</v>
      </c>
      <c r="W629" s="2" t="s">
        <v>1571</v>
      </c>
    </row>
    <row r="630">
      <c r="A630" s="4">
        <v>45550.76597222222</v>
      </c>
      <c r="B630" s="5">
        <v>2713785.0</v>
      </c>
      <c r="C630" s="2" t="s">
        <v>1575</v>
      </c>
      <c r="D630" s="2" t="s">
        <v>1572</v>
      </c>
      <c r="E630" s="2">
        <v>10120.0</v>
      </c>
      <c r="F630" s="2" t="s">
        <v>1590</v>
      </c>
      <c r="I630" s="7">
        <v>1.0</v>
      </c>
      <c r="J630" s="6">
        <v>19524.0</v>
      </c>
      <c r="K630" s="2">
        <v>0.0</v>
      </c>
      <c r="L630" s="2">
        <v>19524.0</v>
      </c>
      <c r="M630" s="2">
        <v>0.0</v>
      </c>
      <c r="N630" s="2">
        <v>19524.0</v>
      </c>
      <c r="O630" s="2">
        <v>976.0</v>
      </c>
      <c r="P630" s="2" t="s">
        <v>1574</v>
      </c>
      <c r="Q630" s="2" t="s">
        <v>1568</v>
      </c>
      <c r="R630" s="2" t="s">
        <v>1569</v>
      </c>
      <c r="S630" s="2" t="s">
        <v>1570</v>
      </c>
      <c r="W630" s="2" t="s">
        <v>1571</v>
      </c>
    </row>
    <row r="631">
      <c r="A631" s="4">
        <v>45550.75833333333</v>
      </c>
      <c r="B631" s="5">
        <v>2713420.0</v>
      </c>
      <c r="C631" s="2" t="s">
        <v>1575</v>
      </c>
      <c r="D631" s="2" t="s">
        <v>1565</v>
      </c>
      <c r="E631" s="2">
        <v>10005.0</v>
      </c>
      <c r="F631" s="2" t="s">
        <v>1595</v>
      </c>
      <c r="I631" s="7">
        <v>1.0</v>
      </c>
      <c r="J631" s="6">
        <v>19524.0</v>
      </c>
      <c r="K631" s="2">
        <v>0.0</v>
      </c>
      <c r="L631" s="2">
        <v>19524.0</v>
      </c>
      <c r="M631" s="2">
        <v>0.0</v>
      </c>
      <c r="N631" s="2">
        <v>19524.0</v>
      </c>
      <c r="O631" s="2">
        <v>976.0</v>
      </c>
      <c r="P631" s="2" t="s">
        <v>1574</v>
      </c>
      <c r="Q631" s="2" t="s">
        <v>1568</v>
      </c>
      <c r="R631" s="2" t="s">
        <v>1569</v>
      </c>
      <c r="S631" s="2" t="s">
        <v>1570</v>
      </c>
      <c r="W631" s="2" t="s">
        <v>1571</v>
      </c>
    </row>
    <row r="632">
      <c r="A632" s="4">
        <v>45550.75763888889</v>
      </c>
      <c r="B632" s="5">
        <v>2713054.0</v>
      </c>
      <c r="C632" s="2" t="s">
        <v>1575</v>
      </c>
      <c r="D632" s="2" t="s">
        <v>1580</v>
      </c>
      <c r="E632" s="2">
        <v>10012.0</v>
      </c>
      <c r="F632" s="2" t="s">
        <v>1602</v>
      </c>
      <c r="I632" s="7">
        <v>1.0</v>
      </c>
      <c r="J632" s="6">
        <v>29524.0</v>
      </c>
      <c r="K632" s="2">
        <v>0.0</v>
      </c>
      <c r="L632" s="2">
        <v>29524.0</v>
      </c>
      <c r="M632" s="2">
        <v>0.0</v>
      </c>
      <c r="N632" s="2">
        <v>29524.0</v>
      </c>
      <c r="O632" s="2">
        <v>1476.0</v>
      </c>
      <c r="P632" s="2" t="s">
        <v>1574</v>
      </c>
      <c r="Q632" s="2" t="s">
        <v>1568</v>
      </c>
      <c r="R632" s="2" t="s">
        <v>1569</v>
      </c>
      <c r="S632" s="2" t="s">
        <v>1570</v>
      </c>
      <c r="W632" s="2" t="s">
        <v>1571</v>
      </c>
    </row>
    <row r="633">
      <c r="A633" s="4">
        <v>45550.75763888889</v>
      </c>
      <c r="B633" s="5">
        <v>2713054.0</v>
      </c>
      <c r="C633" s="2" t="s">
        <v>1575</v>
      </c>
      <c r="D633" s="2" t="s">
        <v>1565</v>
      </c>
      <c r="E633" s="2">
        <v>10005.0</v>
      </c>
      <c r="F633" s="2" t="s">
        <v>1595</v>
      </c>
      <c r="I633" s="7">
        <v>1.0</v>
      </c>
      <c r="J633" s="6">
        <v>19524.0</v>
      </c>
      <c r="K633" s="2">
        <v>0.0</v>
      </c>
      <c r="L633" s="2">
        <v>19524.0</v>
      </c>
      <c r="M633" s="2">
        <v>0.0</v>
      </c>
      <c r="N633" s="2">
        <v>19524.0</v>
      </c>
      <c r="O633" s="2">
        <v>976.0</v>
      </c>
      <c r="P633" s="2" t="s">
        <v>1574</v>
      </c>
      <c r="Q633" s="2" t="s">
        <v>1568</v>
      </c>
      <c r="R633" s="2" t="s">
        <v>1569</v>
      </c>
      <c r="S633" s="2" t="s">
        <v>1570</v>
      </c>
      <c r="W633" s="2" t="s">
        <v>1571</v>
      </c>
    </row>
    <row r="634">
      <c r="A634" s="4">
        <v>45550.75763888889</v>
      </c>
      <c r="B634" s="5">
        <v>2713054.0</v>
      </c>
      <c r="C634" s="2" t="s">
        <v>1575</v>
      </c>
      <c r="D634" s="2" t="s">
        <v>1578</v>
      </c>
      <c r="E634" s="2">
        <v>10051.0</v>
      </c>
      <c r="F634" s="2" t="s">
        <v>1579</v>
      </c>
      <c r="I634" s="7">
        <v>1.0</v>
      </c>
      <c r="J634" s="6">
        <v>25238.0</v>
      </c>
      <c r="K634" s="2">
        <v>0.0</v>
      </c>
      <c r="L634" s="2">
        <v>25238.0</v>
      </c>
      <c r="M634" s="2">
        <v>0.0</v>
      </c>
      <c r="N634" s="2">
        <v>25238.0</v>
      </c>
      <c r="O634" s="2">
        <v>1262.0</v>
      </c>
      <c r="P634" s="2" t="s">
        <v>1574</v>
      </c>
      <c r="Q634" s="2" t="s">
        <v>1568</v>
      </c>
      <c r="R634" s="2" t="s">
        <v>1569</v>
      </c>
      <c r="S634" s="2" t="s">
        <v>1570</v>
      </c>
      <c r="W634" s="2" t="s">
        <v>1571</v>
      </c>
    </row>
    <row r="635">
      <c r="A635" s="4">
        <v>45550.75763888889</v>
      </c>
      <c r="B635" s="5">
        <v>2712689.0</v>
      </c>
      <c r="C635" s="2" t="s">
        <v>1564</v>
      </c>
      <c r="D635" s="2" t="s">
        <v>1580</v>
      </c>
      <c r="E635" s="2">
        <v>10012.0</v>
      </c>
      <c r="F635" s="2" t="s">
        <v>1602</v>
      </c>
      <c r="I635" s="7">
        <v>-1.0</v>
      </c>
      <c r="J635" s="6">
        <v>-29524.0</v>
      </c>
      <c r="K635" s="2">
        <v>0.0</v>
      </c>
      <c r="L635" s="2">
        <v>-29524.0</v>
      </c>
      <c r="M635" s="2">
        <v>0.0</v>
      </c>
      <c r="N635" s="2">
        <v>-29524.0</v>
      </c>
      <c r="O635" s="2">
        <v>-1476.0</v>
      </c>
      <c r="P635" s="2" t="s">
        <v>1574</v>
      </c>
      <c r="Q635" s="2" t="s">
        <v>1568</v>
      </c>
      <c r="R635" s="2" t="s">
        <v>1569</v>
      </c>
      <c r="S635" s="2" t="s">
        <v>1570</v>
      </c>
      <c r="W635" s="2" t="s">
        <v>1571</v>
      </c>
    </row>
    <row r="636">
      <c r="A636" s="4">
        <v>45550.75763888889</v>
      </c>
      <c r="B636" s="5">
        <v>2712689.0</v>
      </c>
      <c r="C636" s="2" t="s">
        <v>1564</v>
      </c>
      <c r="D636" s="2" t="s">
        <v>1578</v>
      </c>
      <c r="E636" s="2">
        <v>10051.0</v>
      </c>
      <c r="F636" s="2" t="s">
        <v>1579</v>
      </c>
      <c r="I636" s="7">
        <v>-1.0</v>
      </c>
      <c r="J636" s="6">
        <v>-25238.0</v>
      </c>
      <c r="K636" s="2">
        <v>0.0</v>
      </c>
      <c r="L636" s="2">
        <v>-25238.0</v>
      </c>
      <c r="M636" s="2">
        <v>0.0</v>
      </c>
      <c r="N636" s="2">
        <v>-25238.0</v>
      </c>
      <c r="O636" s="2">
        <v>-1262.0</v>
      </c>
      <c r="P636" s="2" t="s">
        <v>1574</v>
      </c>
      <c r="Q636" s="2" t="s">
        <v>1568</v>
      </c>
      <c r="R636" s="2" t="s">
        <v>1569</v>
      </c>
      <c r="S636" s="2" t="s">
        <v>1570</v>
      </c>
      <c r="W636" s="2" t="s">
        <v>1571</v>
      </c>
    </row>
    <row r="637">
      <c r="A637" s="4">
        <v>45550.75763888889</v>
      </c>
      <c r="B637" s="5">
        <v>2712689.0</v>
      </c>
      <c r="C637" s="2" t="s">
        <v>1564</v>
      </c>
      <c r="D637" s="2" t="s">
        <v>1565</v>
      </c>
      <c r="E637" s="2">
        <v>10005.0</v>
      </c>
      <c r="F637" s="2" t="s">
        <v>1595</v>
      </c>
      <c r="I637" s="7">
        <v>-1.0</v>
      </c>
      <c r="J637" s="6">
        <v>-19524.0</v>
      </c>
      <c r="K637" s="2">
        <v>0.0</v>
      </c>
      <c r="L637" s="2">
        <v>-19524.0</v>
      </c>
      <c r="M637" s="2">
        <v>0.0</v>
      </c>
      <c r="N637" s="2">
        <v>-19524.0</v>
      </c>
      <c r="O637" s="2">
        <v>-976.0</v>
      </c>
      <c r="P637" s="2" t="s">
        <v>1574</v>
      </c>
      <c r="Q637" s="2" t="s">
        <v>1568</v>
      </c>
      <c r="R637" s="2" t="s">
        <v>1569</v>
      </c>
      <c r="S637" s="2" t="s">
        <v>1570</v>
      </c>
      <c r="W637" s="2" t="s">
        <v>1571</v>
      </c>
    </row>
    <row r="638">
      <c r="A638" s="4">
        <v>45550.74375</v>
      </c>
      <c r="B638" s="5">
        <v>2712324.0</v>
      </c>
      <c r="C638" s="2" t="s">
        <v>1575</v>
      </c>
      <c r="D638" s="2" t="s">
        <v>1565</v>
      </c>
      <c r="E638" s="2">
        <v>10000.0</v>
      </c>
      <c r="F638" s="2" t="s">
        <v>1566</v>
      </c>
      <c r="I638" s="7">
        <v>1.0</v>
      </c>
      <c r="J638" s="6">
        <v>29524.0</v>
      </c>
      <c r="K638" s="2">
        <v>0.0</v>
      </c>
      <c r="L638" s="2">
        <v>29524.0</v>
      </c>
      <c r="M638" s="2">
        <v>0.0</v>
      </c>
      <c r="N638" s="2">
        <v>29524.0</v>
      </c>
      <c r="O638" s="2">
        <v>1476.0</v>
      </c>
      <c r="P638" s="2" t="s">
        <v>1574</v>
      </c>
      <c r="Q638" s="2" t="s">
        <v>1568</v>
      </c>
      <c r="R638" s="2" t="s">
        <v>1569</v>
      </c>
      <c r="S638" s="2" t="s">
        <v>1570</v>
      </c>
      <c r="W638" s="2" t="s">
        <v>1571</v>
      </c>
    </row>
    <row r="639">
      <c r="A639" s="4">
        <v>45550.74375</v>
      </c>
      <c r="B639" s="5">
        <v>2712324.0</v>
      </c>
      <c r="C639" s="2" t="s">
        <v>1575</v>
      </c>
      <c r="D639" s="2" t="s">
        <v>1565</v>
      </c>
      <c r="E639" s="2">
        <v>10055.0</v>
      </c>
      <c r="F639" s="2" t="s">
        <v>1597</v>
      </c>
      <c r="I639" s="7">
        <v>1.0</v>
      </c>
      <c r="J639" s="6">
        <v>34762.0</v>
      </c>
      <c r="K639" s="2">
        <v>0.0</v>
      </c>
      <c r="L639" s="2">
        <v>34762.0</v>
      </c>
      <c r="M639" s="2">
        <v>0.0</v>
      </c>
      <c r="N639" s="2">
        <v>34762.0</v>
      </c>
      <c r="O639" s="2">
        <v>1738.0</v>
      </c>
      <c r="P639" s="2" t="s">
        <v>1574</v>
      </c>
      <c r="Q639" s="2" t="s">
        <v>1568</v>
      </c>
      <c r="R639" s="2" t="s">
        <v>1569</v>
      </c>
      <c r="S639" s="2" t="s">
        <v>1570</v>
      </c>
      <c r="W639" s="2" t="s">
        <v>1571</v>
      </c>
    </row>
    <row r="640">
      <c r="A640" s="4">
        <v>45550.73333333333</v>
      </c>
      <c r="B640" s="5">
        <v>2711959.0</v>
      </c>
      <c r="C640" s="2" t="s">
        <v>1575</v>
      </c>
      <c r="D640" s="2" t="s">
        <v>1572</v>
      </c>
      <c r="E640" s="2">
        <v>10120.0</v>
      </c>
      <c r="F640" s="2" t="s">
        <v>1590</v>
      </c>
      <c r="I640" s="7">
        <v>1.0</v>
      </c>
      <c r="J640" s="6">
        <v>19524.0</v>
      </c>
      <c r="K640" s="2">
        <v>0.0</v>
      </c>
      <c r="L640" s="2">
        <v>19524.0</v>
      </c>
      <c r="M640" s="2">
        <v>0.0</v>
      </c>
      <c r="N640" s="2">
        <v>19524.0</v>
      </c>
      <c r="O640" s="2">
        <v>976.0</v>
      </c>
      <c r="P640" s="2" t="s">
        <v>1574</v>
      </c>
      <c r="Q640" s="2" t="s">
        <v>1568</v>
      </c>
      <c r="R640" s="2" t="s">
        <v>1569</v>
      </c>
      <c r="S640" s="2" t="s">
        <v>1570</v>
      </c>
      <c r="W640" s="2" t="s">
        <v>1571</v>
      </c>
    </row>
    <row r="641">
      <c r="A641" s="4">
        <v>45550.73055555556</v>
      </c>
      <c r="B641" s="5">
        <v>2711593.0</v>
      </c>
      <c r="C641" s="2" t="s">
        <v>1575</v>
      </c>
      <c r="D641" s="2" t="s">
        <v>1565</v>
      </c>
      <c r="E641" s="2">
        <v>10002.0</v>
      </c>
      <c r="F641" s="2" t="s">
        <v>1576</v>
      </c>
      <c r="I641" s="7">
        <v>1.0</v>
      </c>
      <c r="J641" s="6">
        <v>18571.0</v>
      </c>
      <c r="K641" s="2">
        <v>0.0</v>
      </c>
      <c r="L641" s="2">
        <v>18571.0</v>
      </c>
      <c r="M641" s="2">
        <v>0.0</v>
      </c>
      <c r="N641" s="2">
        <v>18571.0</v>
      </c>
      <c r="O641" s="2">
        <v>929.0</v>
      </c>
      <c r="P641" s="2" t="s">
        <v>1574</v>
      </c>
      <c r="Q641" s="2" t="s">
        <v>1568</v>
      </c>
      <c r="R641" s="2" t="s">
        <v>1569</v>
      </c>
      <c r="S641" s="2" t="s">
        <v>1570</v>
      </c>
      <c r="W641" s="2" t="s">
        <v>1571</v>
      </c>
    </row>
    <row r="642">
      <c r="A642" s="4">
        <v>45550.73055555556</v>
      </c>
      <c r="B642" s="5">
        <v>2711593.0</v>
      </c>
      <c r="C642" s="2" t="s">
        <v>1575</v>
      </c>
      <c r="D642" s="2" t="s">
        <v>1572</v>
      </c>
      <c r="E642" s="2">
        <v>10128.0</v>
      </c>
      <c r="F642" s="2" t="s">
        <v>1588</v>
      </c>
      <c r="I642" s="7">
        <v>1.0</v>
      </c>
      <c r="J642" s="6">
        <v>23333.0</v>
      </c>
      <c r="K642" s="2">
        <v>0.0</v>
      </c>
      <c r="L642" s="2">
        <v>23333.0</v>
      </c>
      <c r="M642" s="2">
        <v>0.0</v>
      </c>
      <c r="N642" s="2">
        <v>23333.0</v>
      </c>
      <c r="O642" s="2">
        <v>1166.0</v>
      </c>
      <c r="P642" s="2" t="s">
        <v>1574</v>
      </c>
      <c r="Q642" s="2" t="s">
        <v>1568</v>
      </c>
      <c r="R642" s="2" t="s">
        <v>1569</v>
      </c>
      <c r="S642" s="2" t="s">
        <v>1570</v>
      </c>
      <c r="W642" s="2" t="s">
        <v>1571</v>
      </c>
    </row>
    <row r="643">
      <c r="A643" s="4">
        <v>45550.73055555556</v>
      </c>
      <c r="B643" s="5">
        <v>2711593.0</v>
      </c>
      <c r="C643" s="2" t="s">
        <v>1575</v>
      </c>
      <c r="D643" s="2" t="s">
        <v>1578</v>
      </c>
      <c r="E643" s="2">
        <v>10015.0</v>
      </c>
      <c r="F643" s="2" t="s">
        <v>1587</v>
      </c>
      <c r="I643" s="7">
        <v>1.0</v>
      </c>
      <c r="J643" s="6">
        <v>25238.0</v>
      </c>
      <c r="K643" s="2">
        <v>0.0</v>
      </c>
      <c r="L643" s="2">
        <v>25238.0</v>
      </c>
      <c r="M643" s="2">
        <v>0.0</v>
      </c>
      <c r="N643" s="2">
        <v>25238.0</v>
      </c>
      <c r="O643" s="2">
        <v>1262.0</v>
      </c>
      <c r="P643" s="2" t="s">
        <v>1574</v>
      </c>
      <c r="Q643" s="2" t="s">
        <v>1568</v>
      </c>
      <c r="R643" s="2" t="s">
        <v>1569</v>
      </c>
      <c r="S643" s="2" t="s">
        <v>1570</v>
      </c>
      <c r="W643" s="2" t="s">
        <v>1571</v>
      </c>
    </row>
    <row r="644">
      <c r="A644" s="4">
        <v>45550.73055555556</v>
      </c>
      <c r="B644" s="5">
        <v>2711593.0</v>
      </c>
      <c r="C644" s="2" t="s">
        <v>1575</v>
      </c>
      <c r="D644" s="2" t="s">
        <v>1580</v>
      </c>
      <c r="E644" s="2">
        <v>10012.0</v>
      </c>
      <c r="F644" s="2" t="s">
        <v>1602</v>
      </c>
      <c r="I644" s="7">
        <v>1.0</v>
      </c>
      <c r="J644" s="6">
        <v>29524.0</v>
      </c>
      <c r="K644" s="2">
        <v>0.0</v>
      </c>
      <c r="L644" s="2">
        <v>29524.0</v>
      </c>
      <c r="M644" s="2">
        <v>0.0</v>
      </c>
      <c r="N644" s="2">
        <v>29524.0</v>
      </c>
      <c r="O644" s="2">
        <v>1476.0</v>
      </c>
      <c r="P644" s="2" t="s">
        <v>1574</v>
      </c>
      <c r="Q644" s="2" t="s">
        <v>1568</v>
      </c>
      <c r="R644" s="2" t="s">
        <v>1569</v>
      </c>
      <c r="S644" s="2" t="s">
        <v>1570</v>
      </c>
      <c r="W644" s="2" t="s">
        <v>1571</v>
      </c>
    </row>
    <row r="645">
      <c r="A645" s="4">
        <v>45550.73055555556</v>
      </c>
      <c r="B645" s="5">
        <v>2711593.0</v>
      </c>
      <c r="C645" s="2" t="s">
        <v>1575</v>
      </c>
      <c r="D645" s="2" t="s">
        <v>1572</v>
      </c>
      <c r="E645" s="2">
        <v>10069.0</v>
      </c>
      <c r="F645" s="2" t="s">
        <v>1620</v>
      </c>
      <c r="I645" s="7">
        <v>1.0</v>
      </c>
      <c r="J645" s="6">
        <v>24762.0</v>
      </c>
      <c r="K645" s="2">
        <v>0.0</v>
      </c>
      <c r="L645" s="2">
        <v>24762.0</v>
      </c>
      <c r="M645" s="2">
        <v>0.0</v>
      </c>
      <c r="N645" s="2">
        <v>24762.0</v>
      </c>
      <c r="O645" s="2">
        <v>1238.0</v>
      </c>
      <c r="P645" s="2" t="s">
        <v>1574</v>
      </c>
      <c r="Q645" s="2" t="s">
        <v>1568</v>
      </c>
      <c r="R645" s="2" t="s">
        <v>1569</v>
      </c>
      <c r="S645" s="2" t="s">
        <v>1570</v>
      </c>
      <c r="W645" s="2" t="s">
        <v>1571</v>
      </c>
    </row>
    <row r="646">
      <c r="A646" s="4">
        <v>45550.73055555556</v>
      </c>
      <c r="B646" s="5">
        <v>2711593.0</v>
      </c>
      <c r="C646" s="2" t="s">
        <v>1575</v>
      </c>
      <c r="D646" s="2" t="s">
        <v>1572</v>
      </c>
      <c r="E646" s="2">
        <v>10063.0</v>
      </c>
      <c r="F646" s="2" t="s">
        <v>1594</v>
      </c>
      <c r="I646" s="7">
        <v>1.0</v>
      </c>
      <c r="J646" s="6">
        <v>24762.0</v>
      </c>
      <c r="K646" s="2">
        <v>0.0</v>
      </c>
      <c r="L646" s="2">
        <v>24762.0</v>
      </c>
      <c r="M646" s="2">
        <v>0.0</v>
      </c>
      <c r="N646" s="2">
        <v>24762.0</v>
      </c>
      <c r="O646" s="2">
        <v>1239.0</v>
      </c>
      <c r="P646" s="2" t="s">
        <v>1574</v>
      </c>
      <c r="Q646" s="2" t="s">
        <v>1568</v>
      </c>
      <c r="R646" s="2" t="s">
        <v>1569</v>
      </c>
      <c r="S646" s="2" t="s">
        <v>1570</v>
      </c>
      <c r="W646" s="2" t="s">
        <v>1571</v>
      </c>
    </row>
    <row r="647">
      <c r="A647" s="4">
        <v>45550.73055555556</v>
      </c>
      <c r="B647" s="5">
        <v>2711593.0</v>
      </c>
      <c r="C647" s="2" t="s">
        <v>1575</v>
      </c>
      <c r="D647" s="2" t="s">
        <v>1572</v>
      </c>
      <c r="E647" s="2">
        <v>10112.0</v>
      </c>
      <c r="F647" s="2" t="s">
        <v>1573</v>
      </c>
      <c r="I647" s="7">
        <v>1.0</v>
      </c>
      <c r="J647" s="6">
        <v>6667.0</v>
      </c>
      <c r="K647" s="2">
        <v>0.0</v>
      </c>
      <c r="L647" s="2">
        <v>6667.0</v>
      </c>
      <c r="M647" s="2">
        <v>0.0</v>
      </c>
      <c r="N647" s="2">
        <v>6667.0</v>
      </c>
      <c r="O647" s="2">
        <v>333.0</v>
      </c>
      <c r="P647" s="2" t="s">
        <v>1574</v>
      </c>
      <c r="Q647" s="2" t="s">
        <v>1568</v>
      </c>
      <c r="R647" s="2" t="s">
        <v>1569</v>
      </c>
      <c r="S647" s="2" t="s">
        <v>1570</v>
      </c>
      <c r="W647" s="2" t="s">
        <v>1571</v>
      </c>
    </row>
    <row r="648">
      <c r="A648" s="4">
        <v>45550.725</v>
      </c>
      <c r="B648" s="5">
        <v>2711228.0</v>
      </c>
      <c r="C648" s="2" t="s">
        <v>1575</v>
      </c>
      <c r="D648" s="2" t="s">
        <v>1565</v>
      </c>
      <c r="E648" s="2">
        <v>10002.0</v>
      </c>
      <c r="F648" s="2" t="s">
        <v>1576</v>
      </c>
      <c r="I648" s="7">
        <v>1.0</v>
      </c>
      <c r="J648" s="6">
        <v>18571.0</v>
      </c>
      <c r="K648" s="2">
        <v>0.0</v>
      </c>
      <c r="L648" s="2">
        <v>18571.0</v>
      </c>
      <c r="M648" s="2">
        <v>0.0</v>
      </c>
      <c r="N648" s="2">
        <v>18571.0</v>
      </c>
      <c r="O648" s="2">
        <v>929.0</v>
      </c>
      <c r="P648" s="2" t="s">
        <v>1574</v>
      </c>
      <c r="Q648" s="2" t="s">
        <v>1568</v>
      </c>
      <c r="R648" s="2" t="s">
        <v>1569</v>
      </c>
      <c r="S648" s="2" t="s">
        <v>1570</v>
      </c>
      <c r="W648" s="2" t="s">
        <v>1571</v>
      </c>
    </row>
    <row r="649">
      <c r="A649" s="4">
        <v>45550.72152777778</v>
      </c>
      <c r="B649" s="5">
        <v>2710863.0</v>
      </c>
      <c r="C649" s="2" t="s">
        <v>1575</v>
      </c>
      <c r="D649" s="2" t="s">
        <v>1565</v>
      </c>
      <c r="E649" s="2">
        <v>10000.0</v>
      </c>
      <c r="F649" s="2" t="s">
        <v>1566</v>
      </c>
      <c r="I649" s="7">
        <v>1.0</v>
      </c>
      <c r="J649" s="6">
        <v>29524.0</v>
      </c>
      <c r="K649" s="2">
        <v>0.0</v>
      </c>
      <c r="L649" s="2">
        <v>29524.0</v>
      </c>
      <c r="M649" s="2">
        <v>0.0</v>
      </c>
      <c r="N649" s="2">
        <v>29524.0</v>
      </c>
      <c r="O649" s="2">
        <v>1476.0</v>
      </c>
      <c r="P649" s="2" t="s">
        <v>1574</v>
      </c>
      <c r="Q649" s="2" t="s">
        <v>1568</v>
      </c>
      <c r="R649" s="2" t="s">
        <v>1569</v>
      </c>
      <c r="S649" s="2" t="s">
        <v>1570</v>
      </c>
      <c r="W649" s="2" t="s">
        <v>1571</v>
      </c>
    </row>
    <row r="650">
      <c r="A650" s="4">
        <v>45550.72152777778</v>
      </c>
      <c r="B650" s="5">
        <v>2710863.0</v>
      </c>
      <c r="C650" s="2" t="s">
        <v>1575</v>
      </c>
      <c r="D650" s="2" t="s">
        <v>1565</v>
      </c>
      <c r="E650" s="2">
        <v>10005.0</v>
      </c>
      <c r="F650" s="2" t="s">
        <v>1595</v>
      </c>
      <c r="I650" s="7">
        <v>1.0</v>
      </c>
      <c r="J650" s="6">
        <v>19524.0</v>
      </c>
      <c r="K650" s="2">
        <v>0.0</v>
      </c>
      <c r="L650" s="2">
        <v>19524.0</v>
      </c>
      <c r="M650" s="2">
        <v>0.0</v>
      </c>
      <c r="N650" s="2">
        <v>19524.0</v>
      </c>
      <c r="O650" s="2">
        <v>976.0</v>
      </c>
      <c r="P650" s="2" t="s">
        <v>1574</v>
      </c>
      <c r="Q650" s="2" t="s">
        <v>1568</v>
      </c>
      <c r="R650" s="2" t="s">
        <v>1569</v>
      </c>
      <c r="S650" s="2" t="s">
        <v>1570</v>
      </c>
      <c r="W650" s="2" t="s">
        <v>1571</v>
      </c>
    </row>
    <row r="651">
      <c r="A651" s="4">
        <v>45550.71666666667</v>
      </c>
      <c r="B651" s="5">
        <v>2710498.0</v>
      </c>
      <c r="C651" s="2" t="s">
        <v>1575</v>
      </c>
      <c r="D651" s="2" t="s">
        <v>1578</v>
      </c>
      <c r="E651" s="2">
        <v>10010.0</v>
      </c>
      <c r="F651" s="2" t="s">
        <v>1606</v>
      </c>
      <c r="I651" s="7">
        <v>1.0</v>
      </c>
      <c r="J651" s="6">
        <v>25238.0</v>
      </c>
      <c r="K651" s="2">
        <v>0.0</v>
      </c>
      <c r="L651" s="2">
        <v>25238.0</v>
      </c>
      <c r="M651" s="2">
        <v>0.0</v>
      </c>
      <c r="N651" s="2">
        <v>25238.0</v>
      </c>
      <c r="O651" s="2">
        <v>1262.0</v>
      </c>
      <c r="P651" s="2" t="s">
        <v>1574</v>
      </c>
      <c r="Q651" s="2" t="s">
        <v>1568</v>
      </c>
      <c r="R651" s="2" t="s">
        <v>1569</v>
      </c>
      <c r="S651" s="2" t="s">
        <v>1570</v>
      </c>
      <c r="W651" s="2" t="s">
        <v>1571</v>
      </c>
    </row>
    <row r="652">
      <c r="A652" s="4">
        <v>45550.71666666667</v>
      </c>
      <c r="B652" s="5">
        <v>2710498.0</v>
      </c>
      <c r="C652" s="2" t="s">
        <v>1575</v>
      </c>
      <c r="D652" s="2" t="s">
        <v>1572</v>
      </c>
      <c r="E652" s="2">
        <v>10120.0</v>
      </c>
      <c r="F652" s="2" t="s">
        <v>1590</v>
      </c>
      <c r="I652" s="7">
        <v>1.0</v>
      </c>
      <c r="J652" s="6">
        <v>19524.0</v>
      </c>
      <c r="K652" s="2">
        <v>0.0</v>
      </c>
      <c r="L652" s="2">
        <v>19524.0</v>
      </c>
      <c r="M652" s="2">
        <v>0.0</v>
      </c>
      <c r="N652" s="2">
        <v>19524.0</v>
      </c>
      <c r="O652" s="2">
        <v>976.0</v>
      </c>
      <c r="P652" s="2" t="s">
        <v>1574</v>
      </c>
      <c r="Q652" s="2" t="s">
        <v>1568</v>
      </c>
      <c r="R652" s="2" t="s">
        <v>1569</v>
      </c>
      <c r="S652" s="2" t="s">
        <v>1570</v>
      </c>
      <c r="W652" s="2" t="s">
        <v>1571</v>
      </c>
    </row>
    <row r="653">
      <c r="A653" s="4">
        <v>45550.71666666667</v>
      </c>
      <c r="B653" s="5">
        <v>2710498.0</v>
      </c>
      <c r="C653" s="2" t="s">
        <v>1575</v>
      </c>
      <c r="D653" s="2" t="s">
        <v>1572</v>
      </c>
      <c r="E653" s="2">
        <v>10128.0</v>
      </c>
      <c r="F653" s="2" t="s">
        <v>1588</v>
      </c>
      <c r="I653" s="7">
        <v>1.0</v>
      </c>
      <c r="J653" s="6">
        <v>23333.0</v>
      </c>
      <c r="K653" s="2">
        <v>0.0</v>
      </c>
      <c r="L653" s="2">
        <v>23333.0</v>
      </c>
      <c r="M653" s="2">
        <v>0.0</v>
      </c>
      <c r="N653" s="2">
        <v>23333.0</v>
      </c>
      <c r="O653" s="2">
        <v>1167.0</v>
      </c>
      <c r="P653" s="2" t="s">
        <v>1574</v>
      </c>
      <c r="Q653" s="2" t="s">
        <v>1568</v>
      </c>
      <c r="R653" s="2" t="s">
        <v>1569</v>
      </c>
      <c r="S653" s="2" t="s">
        <v>1570</v>
      </c>
      <c r="W653" s="2" t="s">
        <v>1571</v>
      </c>
    </row>
    <row r="654">
      <c r="A654" s="4">
        <v>45550.71666666667</v>
      </c>
      <c r="B654" s="5">
        <v>2710498.0</v>
      </c>
      <c r="C654" s="2" t="s">
        <v>1575</v>
      </c>
      <c r="D654" s="2" t="s">
        <v>1565</v>
      </c>
      <c r="E654" s="2">
        <v>10002.0</v>
      </c>
      <c r="F654" s="2" t="s">
        <v>1576</v>
      </c>
      <c r="I654" s="7">
        <v>1.0</v>
      </c>
      <c r="J654" s="6">
        <v>18571.0</v>
      </c>
      <c r="K654" s="2">
        <v>0.0</v>
      </c>
      <c r="L654" s="2">
        <v>18571.0</v>
      </c>
      <c r="M654" s="2">
        <v>0.0</v>
      </c>
      <c r="N654" s="2">
        <v>18571.0</v>
      </c>
      <c r="O654" s="2">
        <v>928.0</v>
      </c>
      <c r="P654" s="2" t="s">
        <v>1574</v>
      </c>
      <c r="Q654" s="2" t="s">
        <v>1568</v>
      </c>
      <c r="R654" s="2" t="s">
        <v>1569</v>
      </c>
      <c r="S654" s="2" t="s">
        <v>1570</v>
      </c>
      <c r="W654" s="2" t="s">
        <v>1571</v>
      </c>
    </row>
    <row r="655">
      <c r="A655" s="4">
        <v>45550.714583333334</v>
      </c>
      <c r="B655" s="5">
        <v>2710132.0</v>
      </c>
      <c r="C655" s="2" t="s">
        <v>1575</v>
      </c>
      <c r="D655" s="2" t="s">
        <v>1580</v>
      </c>
      <c r="E655" s="2">
        <v>10003.0</v>
      </c>
      <c r="F655" s="2" t="s">
        <v>1603</v>
      </c>
      <c r="I655" s="7">
        <v>1.0</v>
      </c>
      <c r="J655" s="6">
        <v>29524.0</v>
      </c>
      <c r="K655" s="2">
        <v>0.0</v>
      </c>
      <c r="L655" s="2">
        <v>29524.0</v>
      </c>
      <c r="M655" s="2">
        <v>0.0</v>
      </c>
      <c r="N655" s="2">
        <v>29524.0</v>
      </c>
      <c r="O655" s="2">
        <v>1476.0</v>
      </c>
      <c r="P655" s="2" t="s">
        <v>1574</v>
      </c>
      <c r="Q655" s="2" t="s">
        <v>1568</v>
      </c>
      <c r="R655" s="2" t="s">
        <v>1569</v>
      </c>
      <c r="S655" s="2" t="s">
        <v>1570</v>
      </c>
      <c r="W655" s="2" t="s">
        <v>1571</v>
      </c>
    </row>
    <row r="656">
      <c r="A656" s="4">
        <v>45550.714583333334</v>
      </c>
      <c r="B656" s="5">
        <v>2710132.0</v>
      </c>
      <c r="C656" s="2" t="s">
        <v>1575</v>
      </c>
      <c r="D656" s="2" t="s">
        <v>1572</v>
      </c>
      <c r="E656" s="2">
        <v>10026.0</v>
      </c>
      <c r="F656" s="2" t="s">
        <v>1583</v>
      </c>
      <c r="I656" s="7">
        <v>1.0</v>
      </c>
      <c r="J656" s="6">
        <v>21905.0</v>
      </c>
      <c r="K656" s="2">
        <v>0.0</v>
      </c>
      <c r="L656" s="2">
        <v>21905.0</v>
      </c>
      <c r="M656" s="2">
        <v>0.0</v>
      </c>
      <c r="N656" s="2">
        <v>21905.0</v>
      </c>
      <c r="O656" s="2">
        <v>1095.0</v>
      </c>
      <c r="P656" s="2" t="s">
        <v>1574</v>
      </c>
      <c r="Q656" s="2" t="s">
        <v>1568</v>
      </c>
      <c r="R656" s="2" t="s">
        <v>1569</v>
      </c>
      <c r="S656" s="2" t="s">
        <v>1570</v>
      </c>
      <c r="W656" s="2" t="s">
        <v>1571</v>
      </c>
    </row>
    <row r="657">
      <c r="A657" s="4">
        <v>45550.714583333334</v>
      </c>
      <c r="B657" s="5">
        <v>2710132.0</v>
      </c>
      <c r="C657" s="2" t="s">
        <v>1575</v>
      </c>
      <c r="D657" s="2" t="s">
        <v>1572</v>
      </c>
      <c r="E657" s="2">
        <v>10070.0</v>
      </c>
      <c r="F657" s="2" t="s">
        <v>1593</v>
      </c>
      <c r="I657" s="7">
        <v>1.0</v>
      </c>
      <c r="J657" s="6">
        <v>24762.0</v>
      </c>
      <c r="K657" s="2">
        <v>0.0</v>
      </c>
      <c r="L657" s="2">
        <v>24762.0</v>
      </c>
      <c r="M657" s="2">
        <v>0.0</v>
      </c>
      <c r="N657" s="2">
        <v>24762.0</v>
      </c>
      <c r="O657" s="2">
        <v>1239.0</v>
      </c>
      <c r="P657" s="2" t="s">
        <v>1574</v>
      </c>
      <c r="Q657" s="2" t="s">
        <v>1568</v>
      </c>
      <c r="R657" s="2" t="s">
        <v>1569</v>
      </c>
      <c r="S657" s="2" t="s">
        <v>1570</v>
      </c>
      <c r="W657" s="2" t="s">
        <v>1571</v>
      </c>
    </row>
    <row r="658">
      <c r="A658" s="4">
        <v>45550.711805555555</v>
      </c>
      <c r="B658" s="5">
        <v>2709767.0</v>
      </c>
      <c r="C658" s="2" t="s">
        <v>1575</v>
      </c>
      <c r="D658" s="2" t="s">
        <v>1565</v>
      </c>
      <c r="E658" s="2">
        <v>10002.0</v>
      </c>
      <c r="F658" s="2" t="s">
        <v>1576</v>
      </c>
      <c r="I658" s="7">
        <v>1.0</v>
      </c>
      <c r="J658" s="6">
        <v>18571.0</v>
      </c>
      <c r="K658" s="2">
        <v>0.0</v>
      </c>
      <c r="L658" s="2">
        <v>18571.0</v>
      </c>
      <c r="M658" s="2">
        <v>0.0</v>
      </c>
      <c r="N658" s="2">
        <v>18571.0</v>
      </c>
      <c r="O658" s="2">
        <v>929.0</v>
      </c>
      <c r="P658" s="2" t="s">
        <v>1574</v>
      </c>
      <c r="Q658" s="2" t="s">
        <v>1568</v>
      </c>
      <c r="R658" s="2" t="s">
        <v>1569</v>
      </c>
      <c r="S658" s="2" t="s">
        <v>1570</v>
      </c>
      <c r="W658" s="2" t="s">
        <v>1571</v>
      </c>
    </row>
    <row r="659">
      <c r="A659" s="4">
        <v>45550.711805555555</v>
      </c>
      <c r="B659" s="5">
        <v>2709767.0</v>
      </c>
      <c r="C659" s="2" t="s">
        <v>1575</v>
      </c>
      <c r="D659" s="2" t="s">
        <v>1565</v>
      </c>
      <c r="E659" s="2">
        <v>10005.0</v>
      </c>
      <c r="F659" s="2" t="s">
        <v>1595</v>
      </c>
      <c r="I659" s="7">
        <v>1.0</v>
      </c>
      <c r="J659" s="6">
        <v>19524.0</v>
      </c>
      <c r="K659" s="2">
        <v>0.0</v>
      </c>
      <c r="L659" s="2">
        <v>19524.0</v>
      </c>
      <c r="M659" s="2">
        <v>0.0</v>
      </c>
      <c r="N659" s="2">
        <v>19524.0</v>
      </c>
      <c r="O659" s="2">
        <v>976.0</v>
      </c>
      <c r="P659" s="2" t="s">
        <v>1574</v>
      </c>
      <c r="Q659" s="2" t="s">
        <v>1568</v>
      </c>
      <c r="R659" s="2" t="s">
        <v>1569</v>
      </c>
      <c r="S659" s="2" t="s">
        <v>1570</v>
      </c>
      <c r="W659" s="2" t="s">
        <v>1571</v>
      </c>
    </row>
    <row r="660">
      <c r="A660" s="4">
        <v>45550.70347222222</v>
      </c>
      <c r="B660" s="5">
        <v>2709402.0</v>
      </c>
      <c r="C660" s="2" t="s">
        <v>1575</v>
      </c>
      <c r="D660" s="2" t="s">
        <v>1578</v>
      </c>
      <c r="E660" s="2">
        <v>10010.0</v>
      </c>
      <c r="F660" s="2" t="s">
        <v>1606</v>
      </c>
      <c r="I660" s="7">
        <v>1.0</v>
      </c>
      <c r="J660" s="6">
        <v>25238.0</v>
      </c>
      <c r="K660" s="2">
        <v>0.0</v>
      </c>
      <c r="L660" s="2">
        <v>25238.0</v>
      </c>
      <c r="M660" s="2">
        <v>0.0</v>
      </c>
      <c r="N660" s="2">
        <v>25238.0</v>
      </c>
      <c r="O660" s="2">
        <v>1262.0</v>
      </c>
      <c r="P660" s="2" t="s">
        <v>1574</v>
      </c>
      <c r="Q660" s="2" t="s">
        <v>1568</v>
      </c>
      <c r="R660" s="2" t="s">
        <v>1569</v>
      </c>
      <c r="S660" s="2" t="s">
        <v>1570</v>
      </c>
      <c r="W660" s="2" t="s">
        <v>1571</v>
      </c>
    </row>
    <row r="661">
      <c r="A661" s="4">
        <v>45550.70347222222</v>
      </c>
      <c r="B661" s="5">
        <v>2709402.0</v>
      </c>
      <c r="C661" s="2" t="s">
        <v>1575</v>
      </c>
      <c r="D661" s="2" t="s">
        <v>1578</v>
      </c>
      <c r="E661" s="2">
        <v>10014.0</v>
      </c>
      <c r="F661" s="2" t="s">
        <v>1609</v>
      </c>
      <c r="I661" s="7">
        <v>1.0</v>
      </c>
      <c r="J661" s="6">
        <v>25238.0</v>
      </c>
      <c r="K661" s="2">
        <v>0.0</v>
      </c>
      <c r="L661" s="2">
        <v>25238.0</v>
      </c>
      <c r="M661" s="2">
        <v>0.0</v>
      </c>
      <c r="N661" s="2">
        <v>25238.0</v>
      </c>
      <c r="O661" s="2">
        <v>1262.0</v>
      </c>
      <c r="P661" s="2" t="s">
        <v>1574</v>
      </c>
      <c r="Q661" s="2" t="s">
        <v>1568</v>
      </c>
      <c r="R661" s="2" t="s">
        <v>1569</v>
      </c>
      <c r="S661" s="2" t="s">
        <v>1570</v>
      </c>
      <c r="W661" s="2" t="s">
        <v>1571</v>
      </c>
    </row>
    <row r="662">
      <c r="A662" s="4">
        <v>45550.69375</v>
      </c>
      <c r="B662" s="5">
        <v>2709037.0</v>
      </c>
      <c r="C662" s="2" t="s">
        <v>1575</v>
      </c>
      <c r="D662" s="2" t="s">
        <v>1565</v>
      </c>
      <c r="E662" s="2">
        <v>10002.0</v>
      </c>
      <c r="F662" s="2" t="s">
        <v>1576</v>
      </c>
      <c r="I662" s="7">
        <v>1.0</v>
      </c>
      <c r="J662" s="6">
        <v>18571.0</v>
      </c>
      <c r="K662" s="2">
        <v>0.0</v>
      </c>
      <c r="L662" s="2">
        <v>18571.0</v>
      </c>
      <c r="M662" s="2">
        <v>0.0</v>
      </c>
      <c r="N662" s="2">
        <v>18571.0</v>
      </c>
      <c r="O662" s="2">
        <v>929.0</v>
      </c>
      <c r="P662" s="2" t="s">
        <v>1574</v>
      </c>
      <c r="Q662" s="2" t="s">
        <v>1568</v>
      </c>
      <c r="R662" s="2" t="s">
        <v>1569</v>
      </c>
      <c r="S662" s="2" t="s">
        <v>1570</v>
      </c>
      <c r="W662" s="2" t="s">
        <v>1571</v>
      </c>
    </row>
    <row r="663">
      <c r="A663" s="4">
        <v>45550.68958333333</v>
      </c>
      <c r="B663" s="5">
        <v>2708671.0</v>
      </c>
      <c r="C663" s="2" t="s">
        <v>1575</v>
      </c>
      <c r="D663" s="2" t="s">
        <v>1565</v>
      </c>
      <c r="E663" s="2">
        <v>10005.0</v>
      </c>
      <c r="F663" s="2" t="s">
        <v>1595</v>
      </c>
      <c r="I663" s="7">
        <v>1.0</v>
      </c>
      <c r="J663" s="6">
        <v>19524.0</v>
      </c>
      <c r="K663" s="2">
        <v>0.0</v>
      </c>
      <c r="L663" s="2">
        <v>19524.0</v>
      </c>
      <c r="M663" s="2">
        <v>0.0</v>
      </c>
      <c r="N663" s="2">
        <v>19524.0</v>
      </c>
      <c r="O663" s="2">
        <v>976.0</v>
      </c>
      <c r="P663" s="2" t="s">
        <v>1574</v>
      </c>
      <c r="Q663" s="2" t="s">
        <v>1568</v>
      </c>
      <c r="R663" s="2" t="s">
        <v>1569</v>
      </c>
      <c r="S663" s="2" t="s">
        <v>1570</v>
      </c>
      <c r="W663" s="2" t="s">
        <v>1571</v>
      </c>
    </row>
    <row r="664">
      <c r="A664" s="4">
        <v>45550.68958333333</v>
      </c>
      <c r="B664" s="5">
        <v>2708671.0</v>
      </c>
      <c r="C664" s="2" t="s">
        <v>1575</v>
      </c>
      <c r="D664" s="2" t="s">
        <v>1565</v>
      </c>
      <c r="E664" s="2">
        <v>10007.0</v>
      </c>
      <c r="F664" s="2" t="s">
        <v>1596</v>
      </c>
      <c r="I664" s="7">
        <v>1.0</v>
      </c>
      <c r="J664" s="6">
        <v>33810.0</v>
      </c>
      <c r="K664" s="2">
        <v>0.0</v>
      </c>
      <c r="L664" s="2">
        <v>33810.0</v>
      </c>
      <c r="M664" s="2">
        <v>0.0</v>
      </c>
      <c r="N664" s="2">
        <v>33810.0</v>
      </c>
      <c r="O664" s="2">
        <v>1691.0</v>
      </c>
      <c r="P664" s="2" t="s">
        <v>1574</v>
      </c>
      <c r="Q664" s="2" t="s">
        <v>1568</v>
      </c>
      <c r="R664" s="2" t="s">
        <v>1569</v>
      </c>
      <c r="S664" s="2" t="s">
        <v>1570</v>
      </c>
      <c r="W664" s="2" t="s">
        <v>1571</v>
      </c>
    </row>
    <row r="665">
      <c r="A665" s="4">
        <v>45550.68958333333</v>
      </c>
      <c r="B665" s="5">
        <v>2708671.0</v>
      </c>
      <c r="C665" s="2" t="s">
        <v>1575</v>
      </c>
      <c r="D665" s="2" t="s">
        <v>1565</v>
      </c>
      <c r="E665" s="2">
        <v>10000.0</v>
      </c>
      <c r="F665" s="2" t="s">
        <v>1566</v>
      </c>
      <c r="I665" s="7">
        <v>1.0</v>
      </c>
      <c r="J665" s="6">
        <v>29524.0</v>
      </c>
      <c r="K665" s="2">
        <v>0.0</v>
      </c>
      <c r="L665" s="2">
        <v>29524.0</v>
      </c>
      <c r="M665" s="2">
        <v>0.0</v>
      </c>
      <c r="N665" s="2">
        <v>29524.0</v>
      </c>
      <c r="O665" s="2">
        <v>1476.0</v>
      </c>
      <c r="P665" s="2" t="s">
        <v>1574</v>
      </c>
      <c r="Q665" s="2" t="s">
        <v>1568</v>
      </c>
      <c r="R665" s="2" t="s">
        <v>1569</v>
      </c>
      <c r="S665" s="2" t="s">
        <v>1570</v>
      </c>
      <c r="W665" s="2" t="s">
        <v>1571</v>
      </c>
    </row>
    <row r="666">
      <c r="A666" s="4">
        <v>45550.68958333333</v>
      </c>
      <c r="B666" s="5">
        <v>2708671.0</v>
      </c>
      <c r="C666" s="2" t="s">
        <v>1575</v>
      </c>
      <c r="D666" s="2" t="s">
        <v>1572</v>
      </c>
      <c r="E666" s="2">
        <v>10107.0</v>
      </c>
      <c r="F666" s="2" t="s">
        <v>1584</v>
      </c>
      <c r="I666" s="7">
        <v>1.0</v>
      </c>
      <c r="J666" s="6">
        <v>26667.0</v>
      </c>
      <c r="K666" s="2">
        <v>0.0</v>
      </c>
      <c r="L666" s="2">
        <v>26667.0</v>
      </c>
      <c r="M666" s="2">
        <v>0.0</v>
      </c>
      <c r="N666" s="2">
        <v>26667.0</v>
      </c>
      <c r="O666" s="2">
        <v>1333.0</v>
      </c>
      <c r="P666" s="2" t="s">
        <v>1574</v>
      </c>
      <c r="Q666" s="2" t="s">
        <v>1568</v>
      </c>
      <c r="R666" s="2" t="s">
        <v>1569</v>
      </c>
      <c r="S666" s="2" t="s">
        <v>1570</v>
      </c>
      <c r="W666" s="2" t="s">
        <v>1571</v>
      </c>
    </row>
    <row r="667">
      <c r="A667" s="4">
        <v>45550.68958333333</v>
      </c>
      <c r="B667" s="5">
        <v>2708671.0</v>
      </c>
      <c r="C667" s="2" t="s">
        <v>1575</v>
      </c>
      <c r="D667" s="2" t="s">
        <v>1572</v>
      </c>
      <c r="E667" s="2">
        <v>10128.0</v>
      </c>
      <c r="F667" s="2" t="s">
        <v>1588</v>
      </c>
      <c r="I667" s="7">
        <v>1.0</v>
      </c>
      <c r="J667" s="6">
        <v>23333.0</v>
      </c>
      <c r="K667" s="2">
        <v>0.0</v>
      </c>
      <c r="L667" s="2">
        <v>23333.0</v>
      </c>
      <c r="M667" s="2">
        <v>0.0</v>
      </c>
      <c r="N667" s="2">
        <v>23333.0</v>
      </c>
      <c r="O667" s="2">
        <v>1167.0</v>
      </c>
      <c r="P667" s="2" t="s">
        <v>1574</v>
      </c>
      <c r="Q667" s="2" t="s">
        <v>1568</v>
      </c>
      <c r="R667" s="2" t="s">
        <v>1569</v>
      </c>
      <c r="S667" s="2" t="s">
        <v>1570</v>
      </c>
      <c r="W667" s="2" t="s">
        <v>1571</v>
      </c>
    </row>
    <row r="668">
      <c r="A668" s="4">
        <v>45550.68958333333</v>
      </c>
      <c r="B668" s="5">
        <v>2708671.0</v>
      </c>
      <c r="C668" s="2" t="s">
        <v>1575</v>
      </c>
      <c r="D668" s="2" t="s">
        <v>1572</v>
      </c>
      <c r="E668" s="2">
        <v>10058.0</v>
      </c>
      <c r="F668" s="2" t="s">
        <v>1618</v>
      </c>
      <c r="I668" s="7">
        <v>1.0</v>
      </c>
      <c r="J668" s="6">
        <v>19524.0</v>
      </c>
      <c r="K668" s="2">
        <v>0.0</v>
      </c>
      <c r="L668" s="2">
        <v>19524.0</v>
      </c>
      <c r="M668" s="2">
        <v>0.0</v>
      </c>
      <c r="N668" s="2">
        <v>19524.0</v>
      </c>
      <c r="O668" s="2">
        <v>976.0</v>
      </c>
      <c r="P668" s="2" t="s">
        <v>1574</v>
      </c>
      <c r="Q668" s="2" t="s">
        <v>1568</v>
      </c>
      <c r="R668" s="2" t="s">
        <v>1569</v>
      </c>
      <c r="S668" s="2" t="s">
        <v>1570</v>
      </c>
      <c r="W668" s="2" t="s">
        <v>1571</v>
      </c>
    </row>
    <row r="669">
      <c r="A669" s="4">
        <v>45550.6875</v>
      </c>
      <c r="B669" s="5">
        <v>2708306.0</v>
      </c>
      <c r="C669" s="2" t="s">
        <v>1575</v>
      </c>
      <c r="D669" s="2" t="s">
        <v>1565</v>
      </c>
      <c r="E669" s="2">
        <v>10007.0</v>
      </c>
      <c r="F669" s="2" t="s">
        <v>1596</v>
      </c>
      <c r="I669" s="7">
        <v>1.0</v>
      </c>
      <c r="J669" s="6">
        <v>33810.0</v>
      </c>
      <c r="K669" s="2">
        <v>0.0</v>
      </c>
      <c r="L669" s="2">
        <v>33810.0</v>
      </c>
      <c r="M669" s="2">
        <v>0.0</v>
      </c>
      <c r="N669" s="2">
        <v>33810.0</v>
      </c>
      <c r="O669" s="2">
        <v>1691.0</v>
      </c>
      <c r="P669" s="2" t="s">
        <v>1574</v>
      </c>
      <c r="Q669" s="2" t="s">
        <v>1568</v>
      </c>
      <c r="R669" s="2" t="s">
        <v>1569</v>
      </c>
      <c r="S669" s="2" t="s">
        <v>1570</v>
      </c>
      <c r="W669" s="2" t="s">
        <v>1571</v>
      </c>
    </row>
    <row r="670">
      <c r="A670" s="4">
        <v>45550.6875</v>
      </c>
      <c r="B670" s="5">
        <v>2708306.0</v>
      </c>
      <c r="C670" s="2" t="s">
        <v>1575</v>
      </c>
      <c r="D670" s="2" t="s">
        <v>1565</v>
      </c>
      <c r="E670" s="2">
        <v>10055.0</v>
      </c>
      <c r="F670" s="2" t="s">
        <v>1597</v>
      </c>
      <c r="I670" s="7">
        <v>1.0</v>
      </c>
      <c r="J670" s="6">
        <v>34762.0</v>
      </c>
      <c r="K670" s="2">
        <v>0.0</v>
      </c>
      <c r="L670" s="2">
        <v>34762.0</v>
      </c>
      <c r="M670" s="2">
        <v>0.0</v>
      </c>
      <c r="N670" s="2">
        <v>34762.0</v>
      </c>
      <c r="O670" s="2">
        <v>1738.0</v>
      </c>
      <c r="P670" s="2" t="s">
        <v>1574</v>
      </c>
      <c r="Q670" s="2" t="s">
        <v>1568</v>
      </c>
      <c r="R670" s="2" t="s">
        <v>1569</v>
      </c>
      <c r="S670" s="2" t="s">
        <v>1570</v>
      </c>
      <c r="W670" s="2" t="s">
        <v>1571</v>
      </c>
    </row>
    <row r="671">
      <c r="A671" s="4">
        <v>45550.68125</v>
      </c>
      <c r="B671" s="5">
        <v>2707941.0</v>
      </c>
      <c r="C671" s="2" t="s">
        <v>1575</v>
      </c>
      <c r="D671" s="2" t="s">
        <v>1580</v>
      </c>
      <c r="E671" s="2">
        <v>10003.0</v>
      </c>
      <c r="F671" s="2" t="s">
        <v>1603</v>
      </c>
      <c r="I671" s="7">
        <v>1.0</v>
      </c>
      <c r="J671" s="6">
        <v>29524.0</v>
      </c>
      <c r="K671" s="2">
        <v>0.0</v>
      </c>
      <c r="L671" s="2">
        <v>29524.0</v>
      </c>
      <c r="M671" s="2">
        <v>0.0</v>
      </c>
      <c r="N671" s="2">
        <v>29524.0</v>
      </c>
      <c r="O671" s="2">
        <v>1476.0</v>
      </c>
      <c r="P671" s="2" t="s">
        <v>1574</v>
      </c>
      <c r="Q671" s="2" t="s">
        <v>1568</v>
      </c>
      <c r="R671" s="2" t="s">
        <v>1569</v>
      </c>
      <c r="S671" s="2" t="s">
        <v>1570</v>
      </c>
      <c r="W671" s="2" t="s">
        <v>1571</v>
      </c>
    </row>
    <row r="672">
      <c r="A672" s="4">
        <v>45550.68125</v>
      </c>
      <c r="B672" s="5">
        <v>2707941.0</v>
      </c>
      <c r="C672" s="2" t="s">
        <v>1575</v>
      </c>
      <c r="D672" s="2" t="s">
        <v>1572</v>
      </c>
      <c r="E672" s="2">
        <v>10112.0</v>
      </c>
      <c r="F672" s="2" t="s">
        <v>1573</v>
      </c>
      <c r="I672" s="7">
        <v>1.0</v>
      </c>
      <c r="J672" s="6">
        <v>6667.0</v>
      </c>
      <c r="K672" s="2">
        <v>0.0</v>
      </c>
      <c r="L672" s="2">
        <v>6667.0</v>
      </c>
      <c r="M672" s="2">
        <v>0.0</v>
      </c>
      <c r="N672" s="2">
        <v>6667.0</v>
      </c>
      <c r="O672" s="2">
        <v>334.0</v>
      </c>
      <c r="P672" s="2" t="s">
        <v>1574</v>
      </c>
      <c r="Q672" s="2" t="s">
        <v>1568</v>
      </c>
      <c r="R672" s="2" t="s">
        <v>1569</v>
      </c>
      <c r="S672" s="2" t="s">
        <v>1570</v>
      </c>
      <c r="W672" s="2" t="s">
        <v>1571</v>
      </c>
    </row>
    <row r="673">
      <c r="A673" s="4">
        <v>45550.68125</v>
      </c>
      <c r="B673" s="5">
        <v>2707941.0</v>
      </c>
      <c r="C673" s="2" t="s">
        <v>1575</v>
      </c>
      <c r="D673" s="2" t="s">
        <v>1565</v>
      </c>
      <c r="E673" s="2">
        <v>10002.0</v>
      </c>
      <c r="F673" s="2" t="s">
        <v>1576</v>
      </c>
      <c r="I673" s="7">
        <v>1.0</v>
      </c>
      <c r="J673" s="6">
        <v>18571.0</v>
      </c>
      <c r="K673" s="2">
        <v>0.0</v>
      </c>
      <c r="L673" s="2">
        <v>18571.0</v>
      </c>
      <c r="M673" s="2">
        <v>0.0</v>
      </c>
      <c r="N673" s="2">
        <v>18571.0</v>
      </c>
      <c r="O673" s="2">
        <v>928.0</v>
      </c>
      <c r="P673" s="2" t="s">
        <v>1574</v>
      </c>
      <c r="Q673" s="2" t="s">
        <v>1568</v>
      </c>
      <c r="R673" s="2" t="s">
        <v>1569</v>
      </c>
      <c r="S673" s="2" t="s">
        <v>1570</v>
      </c>
      <c r="W673" s="2" t="s">
        <v>1571</v>
      </c>
    </row>
    <row r="674">
      <c r="A674" s="4">
        <v>45550.67916666667</v>
      </c>
      <c r="B674" s="5">
        <v>2707576.0</v>
      </c>
      <c r="C674" s="2" t="s">
        <v>1575</v>
      </c>
      <c r="D674" s="2" t="s">
        <v>1578</v>
      </c>
      <c r="E674" s="2">
        <v>10010.0</v>
      </c>
      <c r="F674" s="2" t="s">
        <v>1606</v>
      </c>
      <c r="I674" s="7">
        <v>1.0</v>
      </c>
      <c r="J674" s="6">
        <v>25238.0</v>
      </c>
      <c r="K674" s="2">
        <v>0.0</v>
      </c>
      <c r="L674" s="2">
        <v>25238.0</v>
      </c>
      <c r="M674" s="2">
        <v>0.0</v>
      </c>
      <c r="N674" s="2">
        <v>25238.0</v>
      </c>
      <c r="O674" s="2">
        <v>1262.0</v>
      </c>
      <c r="P674" s="2" t="s">
        <v>1574</v>
      </c>
      <c r="Q674" s="2" t="s">
        <v>1568</v>
      </c>
      <c r="R674" s="2" t="s">
        <v>1569</v>
      </c>
      <c r="S674" s="2" t="s">
        <v>1570</v>
      </c>
      <c r="W674" s="2" t="s">
        <v>1571</v>
      </c>
    </row>
    <row r="675">
      <c r="A675" s="4">
        <v>45550.67916666667</v>
      </c>
      <c r="B675" s="5">
        <v>2707576.0</v>
      </c>
      <c r="C675" s="2" t="s">
        <v>1575</v>
      </c>
      <c r="D675" s="2" t="s">
        <v>1578</v>
      </c>
      <c r="E675" s="2">
        <v>10004.0</v>
      </c>
      <c r="F675" s="2" t="s">
        <v>1607</v>
      </c>
      <c r="I675" s="7">
        <v>1.0</v>
      </c>
      <c r="J675" s="6">
        <v>25238.0</v>
      </c>
      <c r="K675" s="2">
        <v>0.0</v>
      </c>
      <c r="L675" s="2">
        <v>25238.0</v>
      </c>
      <c r="M675" s="2">
        <v>0.0</v>
      </c>
      <c r="N675" s="2">
        <v>25238.0</v>
      </c>
      <c r="O675" s="2">
        <v>1262.0</v>
      </c>
      <c r="P675" s="2" t="s">
        <v>1574</v>
      </c>
      <c r="Q675" s="2" t="s">
        <v>1568</v>
      </c>
      <c r="R675" s="2" t="s">
        <v>1569</v>
      </c>
      <c r="S675" s="2" t="s">
        <v>1570</v>
      </c>
      <c r="W675" s="2" t="s">
        <v>1571</v>
      </c>
    </row>
    <row r="676">
      <c r="A676" s="4">
        <v>45550.67916666667</v>
      </c>
      <c r="B676" s="5">
        <v>2707576.0</v>
      </c>
      <c r="C676" s="2" t="s">
        <v>1575</v>
      </c>
      <c r="D676" s="2" t="s">
        <v>1578</v>
      </c>
      <c r="E676" s="2">
        <v>10014.0</v>
      </c>
      <c r="F676" s="2" t="s">
        <v>1609</v>
      </c>
      <c r="I676" s="7">
        <v>1.0</v>
      </c>
      <c r="J676" s="6">
        <v>25238.0</v>
      </c>
      <c r="K676" s="2">
        <v>0.0</v>
      </c>
      <c r="L676" s="2">
        <v>25238.0</v>
      </c>
      <c r="M676" s="2">
        <v>0.0</v>
      </c>
      <c r="N676" s="2">
        <v>25238.0</v>
      </c>
      <c r="O676" s="2">
        <v>1262.0</v>
      </c>
      <c r="P676" s="2" t="s">
        <v>1574</v>
      </c>
      <c r="Q676" s="2" t="s">
        <v>1568</v>
      </c>
      <c r="R676" s="2" t="s">
        <v>1569</v>
      </c>
      <c r="S676" s="2" t="s">
        <v>1570</v>
      </c>
      <c r="W676" s="2" t="s">
        <v>1571</v>
      </c>
    </row>
    <row r="677">
      <c r="A677" s="4">
        <v>45550.67916666667</v>
      </c>
      <c r="B677" s="5">
        <v>2707576.0</v>
      </c>
      <c r="C677" s="2" t="s">
        <v>1575</v>
      </c>
      <c r="D677" s="2" t="s">
        <v>1572</v>
      </c>
      <c r="E677" s="2">
        <v>10119.0</v>
      </c>
      <c r="F677" s="2" t="s">
        <v>1582</v>
      </c>
      <c r="I677" s="7">
        <v>1.0</v>
      </c>
      <c r="J677" s="6">
        <v>7143.0</v>
      </c>
      <c r="K677" s="2">
        <v>0.0</v>
      </c>
      <c r="L677" s="2">
        <v>7143.0</v>
      </c>
      <c r="M677" s="2">
        <v>0.0</v>
      </c>
      <c r="N677" s="2">
        <v>7143.0</v>
      </c>
      <c r="O677" s="2">
        <v>357.0</v>
      </c>
      <c r="P677" s="2" t="s">
        <v>1574</v>
      </c>
      <c r="Q677" s="2" t="s">
        <v>1568</v>
      </c>
      <c r="R677" s="2" t="s">
        <v>1569</v>
      </c>
      <c r="S677" s="2" t="s">
        <v>1570</v>
      </c>
      <c r="W677" s="2" t="s">
        <v>1571</v>
      </c>
    </row>
    <row r="678">
      <c r="A678" s="4">
        <v>45550.67916666667</v>
      </c>
      <c r="B678" s="5">
        <v>2707576.0</v>
      </c>
      <c r="C678" s="2" t="s">
        <v>1575</v>
      </c>
      <c r="D678" s="2" t="s">
        <v>1572</v>
      </c>
      <c r="E678" s="2">
        <v>10056.0</v>
      </c>
      <c r="F678" s="2" t="s">
        <v>1585</v>
      </c>
      <c r="I678" s="7">
        <v>1.0</v>
      </c>
      <c r="J678" s="6">
        <v>19524.0</v>
      </c>
      <c r="K678" s="2">
        <v>0.0</v>
      </c>
      <c r="L678" s="2">
        <v>19524.0</v>
      </c>
      <c r="M678" s="2">
        <v>0.0</v>
      </c>
      <c r="N678" s="2">
        <v>19524.0</v>
      </c>
      <c r="O678" s="2">
        <v>976.0</v>
      </c>
      <c r="P678" s="2" t="s">
        <v>1574</v>
      </c>
      <c r="Q678" s="2" t="s">
        <v>1568</v>
      </c>
      <c r="R678" s="2" t="s">
        <v>1569</v>
      </c>
      <c r="S678" s="2" t="s">
        <v>1570</v>
      </c>
      <c r="W678" s="2" t="s">
        <v>1571</v>
      </c>
    </row>
    <row r="679">
      <c r="A679" s="4">
        <v>45550.67291666667</v>
      </c>
      <c r="B679" s="5">
        <v>2707210.0</v>
      </c>
      <c r="C679" s="2" t="s">
        <v>1575</v>
      </c>
      <c r="D679" s="2" t="s">
        <v>1572</v>
      </c>
      <c r="E679" s="2">
        <v>10128.0</v>
      </c>
      <c r="F679" s="2" t="s">
        <v>1588</v>
      </c>
      <c r="I679" s="7">
        <v>2.0</v>
      </c>
      <c r="J679" s="6">
        <v>46666.0</v>
      </c>
      <c r="K679" s="2">
        <v>0.0</v>
      </c>
      <c r="L679" s="2">
        <v>46666.0</v>
      </c>
      <c r="M679" s="2">
        <v>0.0</v>
      </c>
      <c r="N679" s="2">
        <v>46666.0</v>
      </c>
      <c r="O679" s="2">
        <v>2333.0</v>
      </c>
      <c r="P679" s="2" t="s">
        <v>1574</v>
      </c>
      <c r="Q679" s="2" t="s">
        <v>1568</v>
      </c>
      <c r="R679" s="2" t="s">
        <v>1569</v>
      </c>
      <c r="S679" s="2" t="s">
        <v>1570</v>
      </c>
      <c r="W679" s="2" t="s">
        <v>1571</v>
      </c>
    </row>
    <row r="680">
      <c r="A680" s="4">
        <v>45550.67291666667</v>
      </c>
      <c r="B680" s="5">
        <v>2707210.0</v>
      </c>
      <c r="C680" s="2" t="s">
        <v>1575</v>
      </c>
      <c r="D680" s="2" t="s">
        <v>1565</v>
      </c>
      <c r="E680" s="2">
        <v>10002.0</v>
      </c>
      <c r="F680" s="2" t="s">
        <v>1576</v>
      </c>
      <c r="I680" s="7">
        <v>1.0</v>
      </c>
      <c r="J680" s="6">
        <v>18571.0</v>
      </c>
      <c r="K680" s="2">
        <v>0.0</v>
      </c>
      <c r="L680" s="2">
        <v>18571.0</v>
      </c>
      <c r="M680" s="2">
        <v>0.0</v>
      </c>
      <c r="N680" s="2">
        <v>18571.0</v>
      </c>
      <c r="O680" s="2">
        <v>929.0</v>
      </c>
      <c r="P680" s="2" t="s">
        <v>1574</v>
      </c>
      <c r="Q680" s="2" t="s">
        <v>1568</v>
      </c>
      <c r="R680" s="2" t="s">
        <v>1569</v>
      </c>
      <c r="S680" s="2" t="s">
        <v>1570</v>
      </c>
      <c r="W680" s="2" t="s">
        <v>1571</v>
      </c>
    </row>
    <row r="681">
      <c r="A681" s="4">
        <v>45550.67291666667</v>
      </c>
      <c r="B681" s="5">
        <v>2707210.0</v>
      </c>
      <c r="C681" s="2" t="s">
        <v>1575</v>
      </c>
      <c r="D681" s="2" t="s">
        <v>1565</v>
      </c>
      <c r="E681" s="2">
        <v>10000.0</v>
      </c>
      <c r="F681" s="2" t="s">
        <v>1566</v>
      </c>
      <c r="I681" s="7">
        <v>1.0</v>
      </c>
      <c r="J681" s="6">
        <v>29524.0</v>
      </c>
      <c r="K681" s="2">
        <v>0.0</v>
      </c>
      <c r="L681" s="2">
        <v>29524.0</v>
      </c>
      <c r="M681" s="2">
        <v>0.0</v>
      </c>
      <c r="N681" s="2">
        <v>29524.0</v>
      </c>
      <c r="O681" s="2">
        <v>1476.0</v>
      </c>
      <c r="P681" s="2" t="s">
        <v>1574</v>
      </c>
      <c r="Q681" s="2" t="s">
        <v>1568</v>
      </c>
      <c r="R681" s="2" t="s">
        <v>1569</v>
      </c>
      <c r="S681" s="2" t="s">
        <v>1570</v>
      </c>
      <c r="W681" s="2" t="s">
        <v>1571</v>
      </c>
    </row>
    <row r="682">
      <c r="A682" s="4">
        <v>45550.66527777778</v>
      </c>
      <c r="B682" s="5">
        <v>2706845.0</v>
      </c>
      <c r="C682" s="2" t="s">
        <v>1575</v>
      </c>
      <c r="D682" s="2" t="s">
        <v>1565</v>
      </c>
      <c r="E682" s="2">
        <v>10007.0</v>
      </c>
      <c r="F682" s="2" t="s">
        <v>1596</v>
      </c>
      <c r="I682" s="7">
        <v>2.0</v>
      </c>
      <c r="J682" s="6">
        <v>67620.0</v>
      </c>
      <c r="K682" s="2">
        <v>0.0</v>
      </c>
      <c r="L682" s="2">
        <v>67620.0</v>
      </c>
      <c r="M682" s="2">
        <v>0.0</v>
      </c>
      <c r="N682" s="2">
        <v>67620.0</v>
      </c>
      <c r="O682" s="2">
        <v>3381.0</v>
      </c>
      <c r="P682" s="2" t="s">
        <v>1567</v>
      </c>
      <c r="Q682" s="2" t="s">
        <v>1568</v>
      </c>
      <c r="R682" s="2" t="s">
        <v>1569</v>
      </c>
      <c r="S682" s="2" t="s">
        <v>1570</v>
      </c>
      <c r="W682" s="2" t="s">
        <v>1571</v>
      </c>
    </row>
    <row r="683">
      <c r="A683" s="4">
        <v>45550.65555555555</v>
      </c>
      <c r="B683" s="5">
        <v>2706480.0</v>
      </c>
      <c r="C683" s="2" t="s">
        <v>1575</v>
      </c>
      <c r="D683" s="2" t="s">
        <v>1580</v>
      </c>
      <c r="E683" s="2">
        <v>10003.0</v>
      </c>
      <c r="F683" s="2" t="s">
        <v>1603</v>
      </c>
      <c r="I683" s="7">
        <v>1.0</v>
      </c>
      <c r="J683" s="6">
        <v>29524.0</v>
      </c>
      <c r="K683" s="2">
        <v>0.0</v>
      </c>
      <c r="L683" s="2">
        <v>29524.0</v>
      </c>
      <c r="M683" s="2">
        <v>0.0</v>
      </c>
      <c r="N683" s="2">
        <v>29524.0</v>
      </c>
      <c r="O683" s="2">
        <v>1476.0</v>
      </c>
      <c r="P683" s="2" t="s">
        <v>1574</v>
      </c>
      <c r="Q683" s="2" t="s">
        <v>1568</v>
      </c>
      <c r="R683" s="2" t="s">
        <v>1569</v>
      </c>
      <c r="S683" s="2" t="s">
        <v>1570</v>
      </c>
      <c r="W683" s="2" t="s">
        <v>1571</v>
      </c>
    </row>
    <row r="684">
      <c r="A684" s="4">
        <v>45550.65555555555</v>
      </c>
      <c r="B684" s="5">
        <v>2706480.0</v>
      </c>
      <c r="C684" s="2" t="s">
        <v>1575</v>
      </c>
      <c r="D684" s="2" t="s">
        <v>1572</v>
      </c>
      <c r="E684" s="2">
        <v>10112.0</v>
      </c>
      <c r="F684" s="2" t="s">
        <v>1573</v>
      </c>
      <c r="I684" s="7">
        <v>1.0</v>
      </c>
      <c r="J684" s="6">
        <v>6667.0</v>
      </c>
      <c r="K684" s="2">
        <v>0.0</v>
      </c>
      <c r="L684" s="2">
        <v>6667.0</v>
      </c>
      <c r="M684" s="2">
        <v>0.0</v>
      </c>
      <c r="N684" s="2">
        <v>6667.0</v>
      </c>
      <c r="O684" s="2">
        <v>334.0</v>
      </c>
      <c r="P684" s="2" t="s">
        <v>1574</v>
      </c>
      <c r="Q684" s="2" t="s">
        <v>1568</v>
      </c>
      <c r="R684" s="2" t="s">
        <v>1569</v>
      </c>
      <c r="S684" s="2" t="s">
        <v>1570</v>
      </c>
      <c r="W684" s="2" t="s">
        <v>1571</v>
      </c>
    </row>
    <row r="685">
      <c r="A685" s="4">
        <v>45550.64513888889</v>
      </c>
      <c r="B685" s="5">
        <v>2706115.0</v>
      </c>
      <c r="C685" s="2" t="s">
        <v>1575</v>
      </c>
      <c r="D685" s="2" t="s">
        <v>1578</v>
      </c>
      <c r="E685" s="2">
        <v>10011.0</v>
      </c>
      <c r="F685" s="2" t="s">
        <v>1605</v>
      </c>
      <c r="I685" s="7">
        <v>1.0</v>
      </c>
      <c r="J685" s="6">
        <v>25238.0</v>
      </c>
      <c r="K685" s="2">
        <v>0.0</v>
      </c>
      <c r="L685" s="2">
        <v>25238.0</v>
      </c>
      <c r="M685" s="2">
        <v>0.0</v>
      </c>
      <c r="N685" s="2">
        <v>25238.0</v>
      </c>
      <c r="O685" s="2">
        <v>1262.0</v>
      </c>
      <c r="P685" s="2" t="s">
        <v>1574</v>
      </c>
      <c r="Q685" s="2" t="s">
        <v>1568</v>
      </c>
      <c r="R685" s="2" t="s">
        <v>1569</v>
      </c>
      <c r="S685" s="2" t="s">
        <v>1570</v>
      </c>
      <c r="W685" s="2" t="s">
        <v>1571</v>
      </c>
    </row>
    <row r="686">
      <c r="A686" s="4">
        <v>45550.64513888889</v>
      </c>
      <c r="B686" s="5">
        <v>2706115.0</v>
      </c>
      <c r="C686" s="2" t="s">
        <v>1575</v>
      </c>
      <c r="D686" s="2" t="s">
        <v>1578</v>
      </c>
      <c r="E686" s="2">
        <v>10014.0</v>
      </c>
      <c r="F686" s="2" t="s">
        <v>1609</v>
      </c>
      <c r="I686" s="7">
        <v>1.0</v>
      </c>
      <c r="J686" s="6">
        <v>25238.0</v>
      </c>
      <c r="K686" s="2">
        <v>0.0</v>
      </c>
      <c r="L686" s="2">
        <v>25238.0</v>
      </c>
      <c r="M686" s="2">
        <v>0.0</v>
      </c>
      <c r="N686" s="2">
        <v>25238.0</v>
      </c>
      <c r="O686" s="2">
        <v>1262.0</v>
      </c>
      <c r="P686" s="2" t="s">
        <v>1574</v>
      </c>
      <c r="Q686" s="2" t="s">
        <v>1568</v>
      </c>
      <c r="R686" s="2" t="s">
        <v>1569</v>
      </c>
      <c r="S686" s="2" t="s">
        <v>1570</v>
      </c>
      <c r="W686" s="2" t="s">
        <v>1571</v>
      </c>
    </row>
    <row r="687">
      <c r="A687" s="4">
        <v>45550.64513888889</v>
      </c>
      <c r="B687" s="5">
        <v>2706115.0</v>
      </c>
      <c r="C687" s="2" t="s">
        <v>1575</v>
      </c>
      <c r="D687" s="2" t="s">
        <v>1565</v>
      </c>
      <c r="E687" s="2">
        <v>10007.0</v>
      </c>
      <c r="F687" s="2" t="s">
        <v>1596</v>
      </c>
      <c r="I687" s="7">
        <v>1.0</v>
      </c>
      <c r="J687" s="6">
        <v>33810.0</v>
      </c>
      <c r="K687" s="2">
        <v>0.0</v>
      </c>
      <c r="L687" s="2">
        <v>33810.0</v>
      </c>
      <c r="M687" s="2">
        <v>0.0</v>
      </c>
      <c r="N687" s="2">
        <v>33810.0</v>
      </c>
      <c r="O687" s="2">
        <v>1690.0</v>
      </c>
      <c r="P687" s="2" t="s">
        <v>1574</v>
      </c>
      <c r="Q687" s="2" t="s">
        <v>1568</v>
      </c>
      <c r="R687" s="2" t="s">
        <v>1569</v>
      </c>
      <c r="S687" s="2" t="s">
        <v>1570</v>
      </c>
      <c r="W687" s="2" t="s">
        <v>1571</v>
      </c>
    </row>
    <row r="688">
      <c r="A688" s="4">
        <v>45550.6375</v>
      </c>
      <c r="B688" s="5">
        <v>2705749.0</v>
      </c>
      <c r="C688" s="2" t="s">
        <v>1575</v>
      </c>
      <c r="D688" s="2" t="s">
        <v>1580</v>
      </c>
      <c r="E688" s="2">
        <v>10105.0</v>
      </c>
      <c r="F688" s="2" t="s">
        <v>1611</v>
      </c>
      <c r="I688" s="7">
        <v>3.0</v>
      </c>
      <c r="J688" s="6">
        <v>114285.0</v>
      </c>
      <c r="K688" s="2">
        <v>0.0</v>
      </c>
      <c r="L688" s="2">
        <v>114285.0</v>
      </c>
      <c r="M688" s="2">
        <v>0.0</v>
      </c>
      <c r="N688" s="2">
        <v>114285.0</v>
      </c>
      <c r="O688" s="2">
        <v>5714.0</v>
      </c>
      <c r="P688" s="2" t="s">
        <v>1574</v>
      </c>
      <c r="Q688" s="2" t="s">
        <v>1568</v>
      </c>
      <c r="R688" s="2" t="s">
        <v>1569</v>
      </c>
      <c r="S688" s="2" t="s">
        <v>1570</v>
      </c>
      <c r="W688" s="2" t="s">
        <v>1571</v>
      </c>
    </row>
    <row r="689">
      <c r="A689" s="4">
        <v>45550.6375</v>
      </c>
      <c r="B689" s="5">
        <v>2705749.0</v>
      </c>
      <c r="C689" s="2" t="s">
        <v>1575</v>
      </c>
      <c r="D689" s="2" t="s">
        <v>1578</v>
      </c>
      <c r="E689" s="2">
        <v>10014.0</v>
      </c>
      <c r="F689" s="2" t="s">
        <v>1609</v>
      </c>
      <c r="I689" s="7">
        <v>1.0</v>
      </c>
      <c r="J689" s="6">
        <v>25238.0</v>
      </c>
      <c r="K689" s="2">
        <v>0.0</v>
      </c>
      <c r="L689" s="2">
        <v>25238.0</v>
      </c>
      <c r="M689" s="2">
        <v>0.0</v>
      </c>
      <c r="N689" s="2">
        <v>25238.0</v>
      </c>
      <c r="O689" s="2">
        <v>1262.0</v>
      </c>
      <c r="P689" s="2" t="s">
        <v>1574</v>
      </c>
      <c r="Q689" s="2" t="s">
        <v>1568</v>
      </c>
      <c r="R689" s="2" t="s">
        <v>1569</v>
      </c>
      <c r="S689" s="2" t="s">
        <v>1570</v>
      </c>
      <c r="W689" s="2" t="s">
        <v>1571</v>
      </c>
    </row>
    <row r="690">
      <c r="A690" s="4">
        <v>45550.6375</v>
      </c>
      <c r="B690" s="5">
        <v>2705749.0</v>
      </c>
      <c r="C690" s="2" t="s">
        <v>1575</v>
      </c>
      <c r="D690" s="2" t="s">
        <v>1572</v>
      </c>
      <c r="E690" s="2">
        <v>10119.0</v>
      </c>
      <c r="F690" s="2" t="s">
        <v>1582</v>
      </c>
      <c r="I690" s="7">
        <v>1.0</v>
      </c>
      <c r="J690" s="6">
        <v>7143.0</v>
      </c>
      <c r="K690" s="2">
        <v>0.0</v>
      </c>
      <c r="L690" s="2">
        <v>7143.0</v>
      </c>
      <c r="M690" s="2">
        <v>0.0</v>
      </c>
      <c r="N690" s="2">
        <v>7143.0</v>
      </c>
      <c r="O690" s="2">
        <v>357.0</v>
      </c>
      <c r="P690" s="2" t="s">
        <v>1574</v>
      </c>
      <c r="Q690" s="2" t="s">
        <v>1568</v>
      </c>
      <c r="R690" s="2" t="s">
        <v>1569</v>
      </c>
      <c r="S690" s="2" t="s">
        <v>1570</v>
      </c>
      <c r="W690" s="2" t="s">
        <v>1571</v>
      </c>
    </row>
    <row r="691">
      <c r="A691" s="4">
        <v>45550.6375</v>
      </c>
      <c r="B691" s="5">
        <v>2705749.0</v>
      </c>
      <c r="C691" s="2" t="s">
        <v>1575</v>
      </c>
      <c r="D691" s="2" t="s">
        <v>1572</v>
      </c>
      <c r="E691" s="2">
        <v>10118.0</v>
      </c>
      <c r="F691" s="2" t="s">
        <v>1604</v>
      </c>
      <c r="I691" s="7">
        <v>1.0</v>
      </c>
      <c r="J691" s="6">
        <v>7143.0</v>
      </c>
      <c r="K691" s="2">
        <v>0.0</v>
      </c>
      <c r="L691" s="2">
        <v>7143.0</v>
      </c>
      <c r="M691" s="2">
        <v>0.0</v>
      </c>
      <c r="N691" s="2">
        <v>7143.0</v>
      </c>
      <c r="O691" s="2">
        <v>357.0</v>
      </c>
      <c r="P691" s="2" t="s">
        <v>1574</v>
      </c>
      <c r="Q691" s="2" t="s">
        <v>1568</v>
      </c>
      <c r="R691" s="2" t="s">
        <v>1569</v>
      </c>
      <c r="S691" s="2" t="s">
        <v>1570</v>
      </c>
      <c r="W691" s="2" t="s">
        <v>1571</v>
      </c>
    </row>
    <row r="692">
      <c r="A692" s="4">
        <v>45550.63055555556</v>
      </c>
      <c r="B692" s="5">
        <v>2705384.0</v>
      </c>
      <c r="C692" s="2" t="s">
        <v>1575</v>
      </c>
      <c r="D692" s="2" t="s">
        <v>1572</v>
      </c>
      <c r="E692" s="2">
        <v>10013.0</v>
      </c>
      <c r="F692" s="2" t="s">
        <v>1591</v>
      </c>
      <c r="I692" s="7">
        <v>1.0</v>
      </c>
      <c r="J692" s="6">
        <v>23333.0</v>
      </c>
      <c r="K692" s="2">
        <v>0.0</v>
      </c>
      <c r="L692" s="2">
        <v>23333.0</v>
      </c>
      <c r="M692" s="2">
        <v>0.0</v>
      </c>
      <c r="N692" s="2">
        <v>23333.0</v>
      </c>
      <c r="O692" s="2">
        <v>1167.0</v>
      </c>
      <c r="P692" s="2" t="s">
        <v>1574</v>
      </c>
      <c r="Q692" s="2" t="s">
        <v>1568</v>
      </c>
      <c r="R692" s="2" t="s">
        <v>1569</v>
      </c>
      <c r="S692" s="2" t="s">
        <v>1570</v>
      </c>
      <c r="W692" s="2" t="s">
        <v>1571</v>
      </c>
    </row>
    <row r="693">
      <c r="A693" s="4">
        <v>45550.63055555556</v>
      </c>
      <c r="B693" s="5">
        <v>2705384.0</v>
      </c>
      <c r="C693" s="2" t="s">
        <v>1575</v>
      </c>
      <c r="D693" s="2" t="s">
        <v>1572</v>
      </c>
      <c r="E693" s="2">
        <v>10122.0</v>
      </c>
      <c r="F693" s="2" t="s">
        <v>1577</v>
      </c>
      <c r="I693" s="7">
        <v>1.0</v>
      </c>
      <c r="J693" s="6">
        <v>21905.0</v>
      </c>
      <c r="K693" s="2">
        <v>0.0</v>
      </c>
      <c r="L693" s="2">
        <v>21905.0</v>
      </c>
      <c r="M693" s="2">
        <v>0.0</v>
      </c>
      <c r="N693" s="2">
        <v>21905.0</v>
      </c>
      <c r="O693" s="2">
        <v>1095.0</v>
      </c>
      <c r="P693" s="2" t="s">
        <v>1574</v>
      </c>
      <c r="Q693" s="2" t="s">
        <v>1568</v>
      </c>
      <c r="R693" s="2" t="s">
        <v>1569</v>
      </c>
      <c r="S693" s="2" t="s">
        <v>1570</v>
      </c>
      <c r="W693" s="2" t="s">
        <v>1571</v>
      </c>
    </row>
    <row r="694">
      <c r="A694" s="4">
        <v>45550.63055555556</v>
      </c>
      <c r="B694" s="5">
        <v>2705384.0</v>
      </c>
      <c r="C694" s="2" t="s">
        <v>1575</v>
      </c>
      <c r="D694" s="2" t="s">
        <v>1565</v>
      </c>
      <c r="E694" s="2">
        <v>10055.0</v>
      </c>
      <c r="F694" s="2" t="s">
        <v>1597</v>
      </c>
      <c r="I694" s="7">
        <v>1.0</v>
      </c>
      <c r="J694" s="6">
        <v>34762.0</v>
      </c>
      <c r="K694" s="2">
        <v>0.0</v>
      </c>
      <c r="L694" s="2">
        <v>34762.0</v>
      </c>
      <c r="M694" s="2">
        <v>0.0</v>
      </c>
      <c r="N694" s="2">
        <v>34762.0</v>
      </c>
      <c r="O694" s="2">
        <v>1738.0</v>
      </c>
      <c r="P694" s="2" t="s">
        <v>1574</v>
      </c>
      <c r="Q694" s="2" t="s">
        <v>1568</v>
      </c>
      <c r="R694" s="2" t="s">
        <v>1569</v>
      </c>
      <c r="S694" s="2" t="s">
        <v>1570</v>
      </c>
      <c r="W694" s="2" t="s">
        <v>1571</v>
      </c>
    </row>
    <row r="695">
      <c r="A695" s="4">
        <v>45550.614583333336</v>
      </c>
      <c r="B695" s="5">
        <v>2705019.0</v>
      </c>
      <c r="C695" s="2" t="s">
        <v>1575</v>
      </c>
      <c r="D695" s="2" t="s">
        <v>1565</v>
      </c>
      <c r="E695" s="2">
        <v>10002.0</v>
      </c>
      <c r="F695" s="2" t="s">
        <v>1576</v>
      </c>
      <c r="I695" s="7">
        <v>1.0</v>
      </c>
      <c r="J695" s="6">
        <v>18571.0</v>
      </c>
      <c r="K695" s="2">
        <v>0.0</v>
      </c>
      <c r="L695" s="2">
        <v>18571.0</v>
      </c>
      <c r="M695" s="2">
        <v>0.0</v>
      </c>
      <c r="N695" s="2">
        <v>18571.0</v>
      </c>
      <c r="O695" s="2">
        <v>929.0</v>
      </c>
      <c r="P695" s="2" t="s">
        <v>1567</v>
      </c>
      <c r="Q695" s="2" t="s">
        <v>1568</v>
      </c>
      <c r="R695" s="2" t="s">
        <v>1569</v>
      </c>
      <c r="S695" s="2" t="s">
        <v>1570</v>
      </c>
      <c r="W695" s="2" t="s">
        <v>1571</v>
      </c>
    </row>
    <row r="696">
      <c r="A696" s="4">
        <v>45550.614583333336</v>
      </c>
      <c r="B696" s="5">
        <v>2705019.0</v>
      </c>
      <c r="C696" s="2" t="s">
        <v>1575</v>
      </c>
      <c r="D696" s="2" t="s">
        <v>1572</v>
      </c>
      <c r="E696" s="2">
        <v>10026.0</v>
      </c>
      <c r="F696" s="2" t="s">
        <v>1583</v>
      </c>
      <c r="I696" s="7">
        <v>2.0</v>
      </c>
      <c r="J696" s="6">
        <v>43810.0</v>
      </c>
      <c r="K696" s="2">
        <v>0.0</v>
      </c>
      <c r="L696" s="2">
        <v>43810.0</v>
      </c>
      <c r="M696" s="2">
        <v>0.0</v>
      </c>
      <c r="N696" s="2">
        <v>43810.0</v>
      </c>
      <c r="O696" s="2">
        <v>2190.0</v>
      </c>
      <c r="P696" s="2" t="s">
        <v>1567</v>
      </c>
      <c r="Q696" s="2" t="s">
        <v>1568</v>
      </c>
      <c r="R696" s="2" t="s">
        <v>1569</v>
      </c>
      <c r="S696" s="2" t="s">
        <v>1570</v>
      </c>
      <c r="W696" s="2" t="s">
        <v>1571</v>
      </c>
    </row>
    <row r="697">
      <c r="A697" s="4">
        <v>45550.55069444444</v>
      </c>
      <c r="B697" s="5">
        <v>2704654.0</v>
      </c>
      <c r="C697" s="2" t="s">
        <v>1575</v>
      </c>
      <c r="D697" s="2" t="s">
        <v>1572</v>
      </c>
      <c r="E697" s="2">
        <v>10121.0</v>
      </c>
      <c r="F697" s="2" t="s">
        <v>1617</v>
      </c>
      <c r="I697" s="7">
        <v>1.0</v>
      </c>
      <c r="J697" s="6">
        <v>19524.0</v>
      </c>
      <c r="K697" s="2">
        <v>0.0</v>
      </c>
      <c r="L697" s="2">
        <v>19524.0</v>
      </c>
      <c r="M697" s="2">
        <v>0.0</v>
      </c>
      <c r="N697" s="2">
        <v>19524.0</v>
      </c>
      <c r="O697" s="2">
        <v>976.0</v>
      </c>
      <c r="P697" s="2" t="s">
        <v>1574</v>
      </c>
      <c r="Q697" s="2" t="s">
        <v>1568</v>
      </c>
      <c r="R697" s="2" t="s">
        <v>1569</v>
      </c>
      <c r="S697" s="2" t="s">
        <v>1570</v>
      </c>
      <c r="W697" s="2" t="s">
        <v>1571</v>
      </c>
    </row>
    <row r="698">
      <c r="A698" s="4">
        <v>45550.55069444444</v>
      </c>
      <c r="B698" s="5">
        <v>2704654.0</v>
      </c>
      <c r="C698" s="2" t="s">
        <v>1575</v>
      </c>
      <c r="D698" s="2" t="s">
        <v>1572</v>
      </c>
      <c r="E698" s="2">
        <v>10106.0</v>
      </c>
      <c r="F698" s="2" t="s">
        <v>1598</v>
      </c>
      <c r="I698" s="7">
        <v>1.0</v>
      </c>
      <c r="J698" s="6">
        <v>26667.0</v>
      </c>
      <c r="K698" s="2">
        <v>0.0</v>
      </c>
      <c r="L698" s="2">
        <v>26667.0</v>
      </c>
      <c r="M698" s="2">
        <v>0.0</v>
      </c>
      <c r="N698" s="2">
        <v>26667.0</v>
      </c>
      <c r="O698" s="2">
        <v>1334.0</v>
      </c>
      <c r="P698" s="2" t="s">
        <v>1574</v>
      </c>
      <c r="Q698" s="2" t="s">
        <v>1568</v>
      </c>
      <c r="R698" s="2" t="s">
        <v>1569</v>
      </c>
      <c r="S698" s="2" t="s">
        <v>1570</v>
      </c>
      <c r="W698" s="2" t="s">
        <v>1571</v>
      </c>
    </row>
    <row r="699">
      <c r="A699" s="4">
        <v>45550.55069444444</v>
      </c>
      <c r="B699" s="5">
        <v>2704654.0</v>
      </c>
      <c r="C699" s="2" t="s">
        <v>1575</v>
      </c>
      <c r="D699" s="2" t="s">
        <v>1572</v>
      </c>
      <c r="E699" s="2">
        <v>10112.0</v>
      </c>
      <c r="F699" s="2" t="s">
        <v>1573</v>
      </c>
      <c r="I699" s="7">
        <v>1.0</v>
      </c>
      <c r="J699" s="6">
        <v>6667.0</v>
      </c>
      <c r="K699" s="2">
        <v>0.0</v>
      </c>
      <c r="L699" s="2">
        <v>6667.0</v>
      </c>
      <c r="M699" s="2">
        <v>0.0</v>
      </c>
      <c r="N699" s="2">
        <v>6667.0</v>
      </c>
      <c r="O699" s="2">
        <v>333.0</v>
      </c>
      <c r="P699" s="2" t="s">
        <v>1574</v>
      </c>
      <c r="Q699" s="2" t="s">
        <v>1568</v>
      </c>
      <c r="R699" s="2" t="s">
        <v>1569</v>
      </c>
      <c r="S699" s="2" t="s">
        <v>1570</v>
      </c>
      <c r="W699" s="2" t="s">
        <v>1571</v>
      </c>
    </row>
    <row r="700">
      <c r="A700" s="4">
        <v>45550.55069444444</v>
      </c>
      <c r="B700" s="5">
        <v>2704654.0</v>
      </c>
      <c r="C700" s="2" t="s">
        <v>1575</v>
      </c>
      <c r="D700" s="2" t="s">
        <v>1578</v>
      </c>
      <c r="E700" s="2">
        <v>10015.0</v>
      </c>
      <c r="F700" s="2" t="s">
        <v>1587</v>
      </c>
      <c r="I700" s="7">
        <v>1.0</v>
      </c>
      <c r="J700" s="6">
        <v>25238.0</v>
      </c>
      <c r="K700" s="2">
        <v>0.0</v>
      </c>
      <c r="L700" s="2">
        <v>25238.0</v>
      </c>
      <c r="M700" s="2">
        <v>0.0</v>
      </c>
      <c r="N700" s="2">
        <v>25238.0</v>
      </c>
      <c r="O700" s="2">
        <v>1262.0</v>
      </c>
      <c r="P700" s="2" t="s">
        <v>1574</v>
      </c>
      <c r="Q700" s="2" t="s">
        <v>1568</v>
      </c>
      <c r="R700" s="2" t="s">
        <v>1569</v>
      </c>
      <c r="S700" s="2" t="s">
        <v>1570</v>
      </c>
      <c r="W700" s="2" t="s">
        <v>1571</v>
      </c>
    </row>
    <row r="701">
      <c r="A701" s="4">
        <v>45550.55069444444</v>
      </c>
      <c r="B701" s="5">
        <v>2704654.0</v>
      </c>
      <c r="C701" s="2" t="s">
        <v>1575</v>
      </c>
      <c r="D701" s="2" t="s">
        <v>1578</v>
      </c>
      <c r="E701" s="2">
        <v>10009.0</v>
      </c>
      <c r="F701" s="2" t="s">
        <v>1586</v>
      </c>
      <c r="I701" s="7">
        <v>1.0</v>
      </c>
      <c r="J701" s="6">
        <v>26667.0</v>
      </c>
      <c r="K701" s="2">
        <v>0.0</v>
      </c>
      <c r="L701" s="2">
        <v>26667.0</v>
      </c>
      <c r="M701" s="2">
        <v>0.0</v>
      </c>
      <c r="N701" s="2">
        <v>26667.0</v>
      </c>
      <c r="O701" s="2">
        <v>1333.0</v>
      </c>
      <c r="P701" s="2" t="s">
        <v>1574</v>
      </c>
      <c r="Q701" s="2" t="s">
        <v>1568</v>
      </c>
      <c r="R701" s="2" t="s">
        <v>1569</v>
      </c>
      <c r="S701" s="2" t="s">
        <v>1570</v>
      </c>
      <c r="W701" s="2" t="s">
        <v>1571</v>
      </c>
    </row>
    <row r="702">
      <c r="A702" s="4">
        <v>45550.518055555556</v>
      </c>
      <c r="B702" s="5">
        <v>2704288.0</v>
      </c>
      <c r="C702" s="2" t="s">
        <v>1575</v>
      </c>
      <c r="D702" s="2" t="s">
        <v>1572</v>
      </c>
      <c r="E702" s="2">
        <v>10016.0</v>
      </c>
      <c r="F702" s="2" t="s">
        <v>1626</v>
      </c>
      <c r="I702" s="7">
        <v>1.0</v>
      </c>
      <c r="J702" s="6">
        <v>70000.0</v>
      </c>
      <c r="K702" s="2">
        <v>0.0</v>
      </c>
      <c r="L702" s="2">
        <v>70000.0</v>
      </c>
      <c r="M702" s="2">
        <v>70000.0</v>
      </c>
      <c r="N702" s="2">
        <v>0.0</v>
      </c>
      <c r="O702" s="2">
        <v>0.0</v>
      </c>
      <c r="P702" s="2" t="s">
        <v>1574</v>
      </c>
      <c r="Q702" s="2" t="s">
        <v>1568</v>
      </c>
      <c r="R702" s="2" t="s">
        <v>1569</v>
      </c>
      <c r="S702" s="2" t="s">
        <v>1570</v>
      </c>
      <c r="W702" s="2" t="s">
        <v>1571</v>
      </c>
    </row>
    <row r="703">
      <c r="A703" s="4">
        <v>45550.510416666664</v>
      </c>
      <c r="B703" s="5">
        <v>2703923.0</v>
      </c>
      <c r="C703" s="2" t="s">
        <v>1575</v>
      </c>
      <c r="D703" s="2" t="s">
        <v>1565</v>
      </c>
      <c r="E703" s="2">
        <v>10002.0</v>
      </c>
      <c r="F703" s="2" t="s">
        <v>1576</v>
      </c>
      <c r="I703" s="7">
        <v>1.0</v>
      </c>
      <c r="J703" s="6">
        <v>18571.0</v>
      </c>
      <c r="K703" s="2">
        <v>0.0</v>
      </c>
      <c r="L703" s="2">
        <v>18571.0</v>
      </c>
      <c r="M703" s="2">
        <v>0.0</v>
      </c>
      <c r="N703" s="2">
        <v>18571.0</v>
      </c>
      <c r="O703" s="2">
        <v>929.0</v>
      </c>
      <c r="P703" s="2" t="s">
        <v>1574</v>
      </c>
      <c r="Q703" s="2" t="s">
        <v>1568</v>
      </c>
      <c r="R703" s="2" t="s">
        <v>1569</v>
      </c>
      <c r="S703" s="2" t="s">
        <v>1570</v>
      </c>
      <c r="W703" s="2" t="s">
        <v>1571</v>
      </c>
    </row>
    <row r="704">
      <c r="A704" s="4">
        <v>45550.504166666666</v>
      </c>
      <c r="B704" s="5">
        <v>2703558.0</v>
      </c>
      <c r="C704" s="2" t="s">
        <v>1575</v>
      </c>
      <c r="D704" s="2" t="s">
        <v>1565</v>
      </c>
      <c r="E704" s="2">
        <v>10002.0</v>
      </c>
      <c r="F704" s="2" t="s">
        <v>1576</v>
      </c>
      <c r="I704" s="7">
        <v>1.0</v>
      </c>
      <c r="J704" s="6">
        <v>18571.0</v>
      </c>
      <c r="K704" s="2">
        <v>0.0</v>
      </c>
      <c r="L704" s="2">
        <v>18571.0</v>
      </c>
      <c r="M704" s="2">
        <v>0.0</v>
      </c>
      <c r="N704" s="2">
        <v>18571.0</v>
      </c>
      <c r="O704" s="2">
        <v>929.0</v>
      </c>
      <c r="P704" s="2" t="s">
        <v>1574</v>
      </c>
      <c r="Q704" s="2" t="s">
        <v>1568</v>
      </c>
      <c r="R704" s="2" t="s">
        <v>1569</v>
      </c>
      <c r="S704" s="2" t="s">
        <v>1570</v>
      </c>
      <c r="W704" s="2" t="s">
        <v>1571</v>
      </c>
    </row>
    <row r="705">
      <c r="A705" s="4">
        <v>45550.504166666666</v>
      </c>
      <c r="B705" s="5">
        <v>2703558.0</v>
      </c>
      <c r="C705" s="2" t="s">
        <v>1575</v>
      </c>
      <c r="D705" s="2" t="s">
        <v>1565</v>
      </c>
      <c r="E705" s="2">
        <v>10005.0</v>
      </c>
      <c r="F705" s="2" t="s">
        <v>1595</v>
      </c>
      <c r="I705" s="7">
        <v>1.0</v>
      </c>
      <c r="J705" s="6">
        <v>19524.0</v>
      </c>
      <c r="K705" s="2">
        <v>0.0</v>
      </c>
      <c r="L705" s="2">
        <v>19524.0</v>
      </c>
      <c r="M705" s="2">
        <v>0.0</v>
      </c>
      <c r="N705" s="2">
        <v>19524.0</v>
      </c>
      <c r="O705" s="2">
        <v>976.0</v>
      </c>
      <c r="P705" s="2" t="s">
        <v>1574</v>
      </c>
      <c r="Q705" s="2" t="s">
        <v>1568</v>
      </c>
      <c r="R705" s="2" t="s">
        <v>1569</v>
      </c>
      <c r="S705" s="2" t="s">
        <v>1570</v>
      </c>
      <c r="W705" s="2" t="s">
        <v>1571</v>
      </c>
    </row>
    <row r="706">
      <c r="A706" s="4">
        <v>45550.504166666666</v>
      </c>
      <c r="B706" s="5">
        <v>2703558.0</v>
      </c>
      <c r="C706" s="2" t="s">
        <v>1575</v>
      </c>
      <c r="D706" s="2" t="s">
        <v>1572</v>
      </c>
      <c r="E706" s="2">
        <v>10128.0</v>
      </c>
      <c r="F706" s="2" t="s">
        <v>1588</v>
      </c>
      <c r="I706" s="7">
        <v>1.0</v>
      </c>
      <c r="J706" s="6">
        <v>23333.0</v>
      </c>
      <c r="K706" s="2">
        <v>0.0</v>
      </c>
      <c r="L706" s="2">
        <v>23333.0</v>
      </c>
      <c r="M706" s="2">
        <v>0.0</v>
      </c>
      <c r="N706" s="2">
        <v>23333.0</v>
      </c>
      <c r="O706" s="2">
        <v>1166.0</v>
      </c>
      <c r="P706" s="2" t="s">
        <v>1574</v>
      </c>
      <c r="Q706" s="2" t="s">
        <v>1568</v>
      </c>
      <c r="R706" s="2" t="s">
        <v>1569</v>
      </c>
      <c r="S706" s="2" t="s">
        <v>1570</v>
      </c>
      <c r="W706" s="2" t="s">
        <v>1571</v>
      </c>
    </row>
    <row r="707">
      <c r="A707" s="4">
        <v>45550.504166666666</v>
      </c>
      <c r="B707" s="5">
        <v>2703558.0</v>
      </c>
      <c r="C707" s="2" t="s">
        <v>1575</v>
      </c>
      <c r="D707" s="2" t="s">
        <v>1572</v>
      </c>
      <c r="E707" s="2">
        <v>10058.0</v>
      </c>
      <c r="F707" s="2" t="s">
        <v>1618</v>
      </c>
      <c r="I707" s="7">
        <v>1.0</v>
      </c>
      <c r="J707" s="6">
        <v>19524.0</v>
      </c>
      <c r="K707" s="2">
        <v>0.0</v>
      </c>
      <c r="L707" s="2">
        <v>19524.0</v>
      </c>
      <c r="M707" s="2">
        <v>0.0</v>
      </c>
      <c r="N707" s="2">
        <v>19524.0</v>
      </c>
      <c r="O707" s="2">
        <v>977.0</v>
      </c>
      <c r="P707" s="2" t="s">
        <v>1574</v>
      </c>
      <c r="Q707" s="2" t="s">
        <v>1568</v>
      </c>
      <c r="R707" s="2" t="s">
        <v>1569</v>
      </c>
      <c r="S707" s="2" t="s">
        <v>1570</v>
      </c>
      <c r="W707" s="2" t="s">
        <v>1571</v>
      </c>
    </row>
    <row r="708">
      <c r="A708" s="4">
        <v>45550.49513888889</v>
      </c>
      <c r="B708" s="5">
        <v>2703193.0</v>
      </c>
      <c r="C708" s="2" t="s">
        <v>1575</v>
      </c>
      <c r="D708" s="2" t="s">
        <v>1572</v>
      </c>
      <c r="E708" s="2">
        <v>10106.0</v>
      </c>
      <c r="F708" s="2" t="s">
        <v>1598</v>
      </c>
      <c r="I708" s="7">
        <v>1.0</v>
      </c>
      <c r="J708" s="6">
        <v>26667.0</v>
      </c>
      <c r="K708" s="2">
        <v>0.0</v>
      </c>
      <c r="L708" s="2">
        <v>26667.0</v>
      </c>
      <c r="M708" s="2">
        <v>0.0</v>
      </c>
      <c r="N708" s="2">
        <v>26667.0</v>
      </c>
      <c r="O708" s="2">
        <v>1333.0</v>
      </c>
      <c r="P708" s="2" t="s">
        <v>1574</v>
      </c>
      <c r="Q708" s="2" t="s">
        <v>1568</v>
      </c>
      <c r="R708" s="2" t="s">
        <v>1569</v>
      </c>
      <c r="S708" s="2" t="s">
        <v>1570</v>
      </c>
      <c r="W708" s="2" t="s">
        <v>1571</v>
      </c>
    </row>
    <row r="709">
      <c r="A709" s="4">
        <v>45550.49513888889</v>
      </c>
      <c r="B709" s="5">
        <v>2703193.0</v>
      </c>
      <c r="C709" s="2" t="s">
        <v>1575</v>
      </c>
      <c r="D709" s="2" t="s">
        <v>1565</v>
      </c>
      <c r="E709" s="2">
        <v>10007.0</v>
      </c>
      <c r="F709" s="2" t="s">
        <v>1596</v>
      </c>
      <c r="I709" s="7">
        <v>1.0</v>
      </c>
      <c r="J709" s="6">
        <v>33810.0</v>
      </c>
      <c r="K709" s="2">
        <v>0.0</v>
      </c>
      <c r="L709" s="2">
        <v>33810.0</v>
      </c>
      <c r="M709" s="2">
        <v>0.0</v>
      </c>
      <c r="N709" s="2">
        <v>33810.0</v>
      </c>
      <c r="O709" s="2">
        <v>1691.0</v>
      </c>
      <c r="P709" s="2" t="s">
        <v>1574</v>
      </c>
      <c r="Q709" s="2" t="s">
        <v>1568</v>
      </c>
      <c r="R709" s="2" t="s">
        <v>1569</v>
      </c>
      <c r="S709" s="2" t="s">
        <v>1570</v>
      </c>
      <c r="W709" s="2" t="s">
        <v>1571</v>
      </c>
    </row>
    <row r="710">
      <c r="A710" s="4">
        <v>45550.47638888889</v>
      </c>
      <c r="B710" s="5">
        <v>2702828.0</v>
      </c>
      <c r="C710" s="2" t="s">
        <v>1575</v>
      </c>
      <c r="D710" s="2" t="s">
        <v>1572</v>
      </c>
      <c r="E710" s="2">
        <v>10121.0</v>
      </c>
      <c r="F710" s="2" t="s">
        <v>1617</v>
      </c>
      <c r="I710" s="7">
        <v>1.0</v>
      </c>
      <c r="J710" s="6">
        <v>19524.0</v>
      </c>
      <c r="K710" s="2">
        <v>0.0</v>
      </c>
      <c r="L710" s="2">
        <v>19524.0</v>
      </c>
      <c r="M710" s="2">
        <v>0.0</v>
      </c>
      <c r="N710" s="2">
        <v>19524.0</v>
      </c>
      <c r="O710" s="2">
        <v>976.0</v>
      </c>
      <c r="P710" s="2" t="s">
        <v>1574</v>
      </c>
      <c r="Q710" s="2" t="s">
        <v>1568</v>
      </c>
      <c r="R710" s="2" t="s">
        <v>1569</v>
      </c>
      <c r="S710" s="2" t="s">
        <v>1570</v>
      </c>
      <c r="W710" s="2" t="s">
        <v>1571</v>
      </c>
    </row>
    <row r="711">
      <c r="A711" s="4">
        <v>45550.47638888889</v>
      </c>
      <c r="B711" s="5">
        <v>2702828.0</v>
      </c>
      <c r="C711" s="2" t="s">
        <v>1575</v>
      </c>
      <c r="D711" s="2" t="s">
        <v>1572</v>
      </c>
      <c r="E711" s="2">
        <v>10128.0</v>
      </c>
      <c r="F711" s="2" t="s">
        <v>1588</v>
      </c>
      <c r="I711" s="7">
        <v>1.0</v>
      </c>
      <c r="J711" s="6">
        <v>23333.0</v>
      </c>
      <c r="K711" s="2">
        <v>0.0</v>
      </c>
      <c r="L711" s="2">
        <v>23333.0</v>
      </c>
      <c r="M711" s="2">
        <v>0.0</v>
      </c>
      <c r="N711" s="2">
        <v>23333.0</v>
      </c>
      <c r="O711" s="2">
        <v>1167.0</v>
      </c>
      <c r="P711" s="2" t="s">
        <v>1574</v>
      </c>
      <c r="Q711" s="2" t="s">
        <v>1568</v>
      </c>
      <c r="R711" s="2" t="s">
        <v>1569</v>
      </c>
      <c r="S711" s="2" t="s">
        <v>1570</v>
      </c>
      <c r="W711" s="2" t="s">
        <v>1571</v>
      </c>
    </row>
    <row r="712">
      <c r="A712" s="4">
        <v>45550.47638888889</v>
      </c>
      <c r="B712" s="5">
        <v>2702828.0</v>
      </c>
      <c r="C712" s="2" t="s">
        <v>1575</v>
      </c>
      <c r="D712" s="2" t="s">
        <v>1565</v>
      </c>
      <c r="E712" s="2">
        <v>10000.0</v>
      </c>
      <c r="F712" s="2" t="s">
        <v>1566</v>
      </c>
      <c r="I712" s="7">
        <v>1.0</v>
      </c>
      <c r="J712" s="6">
        <v>29524.0</v>
      </c>
      <c r="K712" s="2">
        <v>0.0</v>
      </c>
      <c r="L712" s="2">
        <v>29524.0</v>
      </c>
      <c r="M712" s="2">
        <v>0.0</v>
      </c>
      <c r="N712" s="2">
        <v>29524.0</v>
      </c>
      <c r="O712" s="2">
        <v>1476.0</v>
      </c>
      <c r="P712" s="2" t="s">
        <v>1574</v>
      </c>
      <c r="Q712" s="2" t="s">
        <v>1568</v>
      </c>
      <c r="R712" s="2" t="s">
        <v>1569</v>
      </c>
      <c r="S712" s="2" t="s">
        <v>1570</v>
      </c>
      <c r="W712" s="2" t="s">
        <v>1571</v>
      </c>
    </row>
    <row r="713">
      <c r="A713" s="4">
        <v>45550.45416666667</v>
      </c>
      <c r="B713" s="5">
        <v>2702463.0</v>
      </c>
      <c r="C713" s="2" t="s">
        <v>1575</v>
      </c>
      <c r="D713" s="2" t="s">
        <v>1580</v>
      </c>
      <c r="E713" s="2">
        <v>10012.0</v>
      </c>
      <c r="F713" s="2" t="s">
        <v>1602</v>
      </c>
      <c r="I713" s="7">
        <v>1.0</v>
      </c>
      <c r="J713" s="6">
        <v>29524.0</v>
      </c>
      <c r="K713" s="2">
        <v>0.0</v>
      </c>
      <c r="L713" s="2">
        <v>29524.0</v>
      </c>
      <c r="M713" s="2">
        <v>0.0</v>
      </c>
      <c r="N713" s="2">
        <v>29524.0</v>
      </c>
      <c r="O713" s="2">
        <v>1476.0</v>
      </c>
      <c r="P713" s="2" t="s">
        <v>1574</v>
      </c>
      <c r="Q713" s="2" t="s">
        <v>1568</v>
      </c>
      <c r="R713" s="2" t="s">
        <v>1569</v>
      </c>
      <c r="S713" s="2" t="s">
        <v>1570</v>
      </c>
      <c r="W713" s="2" t="s">
        <v>1571</v>
      </c>
    </row>
    <row r="714">
      <c r="A714" s="4">
        <v>45550.45416666667</v>
      </c>
      <c r="B714" s="5">
        <v>2702463.0</v>
      </c>
      <c r="C714" s="2" t="s">
        <v>1575</v>
      </c>
      <c r="D714" s="2" t="s">
        <v>1578</v>
      </c>
      <c r="E714" s="2">
        <v>10051.0</v>
      </c>
      <c r="F714" s="2" t="s">
        <v>1579</v>
      </c>
      <c r="I714" s="7">
        <v>1.0</v>
      </c>
      <c r="J714" s="6">
        <v>25238.0</v>
      </c>
      <c r="K714" s="2">
        <v>0.0</v>
      </c>
      <c r="L714" s="2">
        <v>25238.0</v>
      </c>
      <c r="M714" s="2">
        <v>0.0</v>
      </c>
      <c r="N714" s="2">
        <v>25238.0</v>
      </c>
      <c r="O714" s="2">
        <v>1262.0</v>
      </c>
      <c r="P714" s="2" t="s">
        <v>1574</v>
      </c>
      <c r="Q714" s="2" t="s">
        <v>1568</v>
      </c>
      <c r="R714" s="2" t="s">
        <v>1569</v>
      </c>
      <c r="S714" s="2" t="s">
        <v>1570</v>
      </c>
      <c r="W714" s="2" t="s">
        <v>1571</v>
      </c>
    </row>
    <row r="715">
      <c r="A715" s="4">
        <v>45550.45416666667</v>
      </c>
      <c r="B715" s="5">
        <v>2702463.0</v>
      </c>
      <c r="C715" s="2" t="s">
        <v>1575</v>
      </c>
      <c r="D715" s="2" t="s">
        <v>1565</v>
      </c>
      <c r="E715" s="2">
        <v>10005.0</v>
      </c>
      <c r="F715" s="2" t="s">
        <v>1595</v>
      </c>
      <c r="I715" s="7">
        <v>1.0</v>
      </c>
      <c r="J715" s="6">
        <v>19524.0</v>
      </c>
      <c r="K715" s="2">
        <v>0.0</v>
      </c>
      <c r="L715" s="2">
        <v>19524.0</v>
      </c>
      <c r="M715" s="2">
        <v>0.0</v>
      </c>
      <c r="N715" s="2">
        <v>19524.0</v>
      </c>
      <c r="O715" s="2">
        <v>976.0</v>
      </c>
      <c r="P715" s="2" t="s">
        <v>1574</v>
      </c>
      <c r="Q715" s="2" t="s">
        <v>1568</v>
      </c>
      <c r="R715" s="2" t="s">
        <v>1569</v>
      </c>
      <c r="S715" s="2" t="s">
        <v>1570</v>
      </c>
      <c r="W715" s="2" t="s">
        <v>1571</v>
      </c>
    </row>
    <row r="716">
      <c r="A716" s="4">
        <v>45550.45347222222</v>
      </c>
      <c r="B716" s="5">
        <v>2702098.0</v>
      </c>
      <c r="C716" s="2" t="s">
        <v>1575</v>
      </c>
      <c r="D716" s="2" t="s">
        <v>1572</v>
      </c>
      <c r="E716" s="2">
        <v>10070.0</v>
      </c>
      <c r="F716" s="2" t="s">
        <v>1593</v>
      </c>
      <c r="I716" s="7">
        <v>1.0</v>
      </c>
      <c r="J716" s="6">
        <v>24762.0</v>
      </c>
      <c r="K716" s="2">
        <v>0.0</v>
      </c>
      <c r="L716" s="2">
        <v>24762.0</v>
      </c>
      <c r="M716" s="2">
        <v>0.0</v>
      </c>
      <c r="N716" s="2">
        <v>24762.0</v>
      </c>
      <c r="O716" s="2">
        <v>1238.0</v>
      </c>
      <c r="P716" s="2" t="s">
        <v>1574</v>
      </c>
      <c r="Q716" s="2" t="s">
        <v>1568</v>
      </c>
      <c r="R716" s="2" t="s">
        <v>1569</v>
      </c>
      <c r="S716" s="2" t="s">
        <v>1570</v>
      </c>
      <c r="W716" s="2" t="s">
        <v>1571</v>
      </c>
    </row>
    <row r="717">
      <c r="A717" s="4">
        <v>45550.45347222222</v>
      </c>
      <c r="B717" s="5">
        <v>2702098.0</v>
      </c>
      <c r="C717" s="2" t="s">
        <v>1575</v>
      </c>
      <c r="D717" s="2" t="s">
        <v>1578</v>
      </c>
      <c r="E717" s="2">
        <v>10004.0</v>
      </c>
      <c r="F717" s="2" t="s">
        <v>1607</v>
      </c>
      <c r="I717" s="7">
        <v>1.0</v>
      </c>
      <c r="J717" s="6">
        <v>25238.0</v>
      </c>
      <c r="K717" s="2">
        <v>0.0</v>
      </c>
      <c r="L717" s="2">
        <v>25238.0</v>
      </c>
      <c r="M717" s="2">
        <v>0.0</v>
      </c>
      <c r="N717" s="2">
        <v>25238.0</v>
      </c>
      <c r="O717" s="2">
        <v>1262.0</v>
      </c>
      <c r="P717" s="2" t="s">
        <v>1574</v>
      </c>
      <c r="Q717" s="2" t="s">
        <v>1568</v>
      </c>
      <c r="R717" s="2" t="s">
        <v>1569</v>
      </c>
      <c r="S717" s="2" t="s">
        <v>1570</v>
      </c>
      <c r="W717" s="2" t="s">
        <v>1571</v>
      </c>
    </row>
    <row r="718">
      <c r="A718" s="4">
        <v>45550.43958333333</v>
      </c>
      <c r="B718" s="5">
        <v>2701733.0</v>
      </c>
      <c r="C718" s="2" t="s">
        <v>1575</v>
      </c>
      <c r="D718" s="2" t="s">
        <v>1572</v>
      </c>
      <c r="E718" s="2">
        <v>10013.0</v>
      </c>
      <c r="F718" s="2" t="s">
        <v>1591</v>
      </c>
      <c r="I718" s="7">
        <v>1.0</v>
      </c>
      <c r="J718" s="6">
        <v>23333.0</v>
      </c>
      <c r="K718" s="2">
        <v>0.0</v>
      </c>
      <c r="L718" s="2">
        <v>23333.0</v>
      </c>
      <c r="M718" s="2">
        <v>0.0</v>
      </c>
      <c r="N718" s="2">
        <v>23333.0</v>
      </c>
      <c r="O718" s="2">
        <v>1167.0</v>
      </c>
      <c r="P718" s="2" t="s">
        <v>1574</v>
      </c>
      <c r="Q718" s="2" t="s">
        <v>1568</v>
      </c>
      <c r="R718" s="2" t="s">
        <v>1569</v>
      </c>
      <c r="S718" s="2" t="s">
        <v>1570</v>
      </c>
      <c r="W718" s="2" t="s">
        <v>1571</v>
      </c>
    </row>
    <row r="719">
      <c r="A719" s="4">
        <v>45550.43958333333</v>
      </c>
      <c r="B719" s="5">
        <v>2701733.0</v>
      </c>
      <c r="C719" s="2" t="s">
        <v>1575</v>
      </c>
      <c r="D719" s="2" t="s">
        <v>1578</v>
      </c>
      <c r="E719" s="2">
        <v>10014.0</v>
      </c>
      <c r="F719" s="2" t="s">
        <v>1609</v>
      </c>
      <c r="I719" s="7">
        <v>1.0</v>
      </c>
      <c r="J719" s="6">
        <v>25238.0</v>
      </c>
      <c r="K719" s="2">
        <v>0.0</v>
      </c>
      <c r="L719" s="2">
        <v>25238.0</v>
      </c>
      <c r="M719" s="2">
        <v>0.0</v>
      </c>
      <c r="N719" s="2">
        <v>25238.0</v>
      </c>
      <c r="O719" s="2">
        <v>1262.0</v>
      </c>
      <c r="P719" s="2" t="s">
        <v>1574</v>
      </c>
      <c r="Q719" s="2" t="s">
        <v>1568</v>
      </c>
      <c r="R719" s="2" t="s">
        <v>1569</v>
      </c>
      <c r="S719" s="2" t="s">
        <v>1570</v>
      </c>
      <c r="W719" s="2" t="s">
        <v>1571</v>
      </c>
    </row>
    <row r="720">
      <c r="A720" s="4">
        <v>45550.43958333333</v>
      </c>
      <c r="B720" s="5">
        <v>2701733.0</v>
      </c>
      <c r="C720" s="2" t="s">
        <v>1575</v>
      </c>
      <c r="D720" s="2" t="s">
        <v>1572</v>
      </c>
      <c r="E720" s="2">
        <v>10068.0</v>
      </c>
      <c r="F720" s="2" t="s">
        <v>1627</v>
      </c>
      <c r="I720" s="7">
        <v>1.0</v>
      </c>
      <c r="J720" s="6">
        <v>24762.0</v>
      </c>
      <c r="K720" s="2">
        <v>0.0</v>
      </c>
      <c r="L720" s="2">
        <v>24762.0</v>
      </c>
      <c r="M720" s="2">
        <v>0.0</v>
      </c>
      <c r="N720" s="2">
        <v>24762.0</v>
      </c>
      <c r="O720" s="2">
        <v>1238.0</v>
      </c>
      <c r="P720" s="2" t="s">
        <v>1574</v>
      </c>
      <c r="Q720" s="2" t="s">
        <v>1568</v>
      </c>
      <c r="R720" s="2" t="s">
        <v>1569</v>
      </c>
      <c r="S720" s="2" t="s">
        <v>1570</v>
      </c>
      <c r="W720" s="2" t="s">
        <v>1571</v>
      </c>
    </row>
    <row r="721">
      <c r="A721" s="4">
        <v>45550.39375</v>
      </c>
      <c r="B721" s="5">
        <v>2701367.0</v>
      </c>
      <c r="C721" s="2" t="s">
        <v>1575</v>
      </c>
      <c r="D721" s="2" t="s">
        <v>1565</v>
      </c>
      <c r="E721" s="2">
        <v>10007.0</v>
      </c>
      <c r="F721" s="2" t="s">
        <v>1596</v>
      </c>
      <c r="I721" s="7">
        <v>1.0</v>
      </c>
      <c r="J721" s="6">
        <v>33810.0</v>
      </c>
      <c r="K721" s="2">
        <v>0.0</v>
      </c>
      <c r="L721" s="2">
        <v>33810.0</v>
      </c>
      <c r="M721" s="2">
        <v>0.0</v>
      </c>
      <c r="N721" s="2">
        <v>33810.0</v>
      </c>
      <c r="O721" s="2">
        <v>1691.0</v>
      </c>
      <c r="P721" s="2" t="s">
        <v>1574</v>
      </c>
      <c r="Q721" s="2" t="s">
        <v>1568</v>
      </c>
      <c r="R721" s="2" t="s">
        <v>1569</v>
      </c>
      <c r="S721" s="2" t="s">
        <v>1570</v>
      </c>
      <c r="W721" s="2" t="s">
        <v>1571</v>
      </c>
    </row>
    <row r="722">
      <c r="A722" s="4">
        <v>45550.39375</v>
      </c>
      <c r="B722" s="5">
        <v>2701367.0</v>
      </c>
      <c r="C722" s="2" t="s">
        <v>1575</v>
      </c>
      <c r="D722" s="2" t="s">
        <v>1572</v>
      </c>
      <c r="E722" s="2">
        <v>10128.0</v>
      </c>
      <c r="F722" s="2" t="s">
        <v>1588</v>
      </c>
      <c r="I722" s="7">
        <v>1.0</v>
      </c>
      <c r="J722" s="6">
        <v>23333.0</v>
      </c>
      <c r="K722" s="2">
        <v>0.0</v>
      </c>
      <c r="L722" s="2">
        <v>23333.0</v>
      </c>
      <c r="M722" s="2">
        <v>0.0</v>
      </c>
      <c r="N722" s="2">
        <v>23333.0</v>
      </c>
      <c r="O722" s="2">
        <v>1166.0</v>
      </c>
      <c r="P722" s="2" t="s">
        <v>1574</v>
      </c>
      <c r="Q722" s="2" t="s">
        <v>1568</v>
      </c>
      <c r="R722" s="2" t="s">
        <v>1569</v>
      </c>
      <c r="S722" s="2" t="s">
        <v>1570</v>
      </c>
      <c r="W722" s="2" t="s">
        <v>1571</v>
      </c>
    </row>
    <row r="723">
      <c r="A723" s="4">
        <v>45550.39375</v>
      </c>
      <c r="B723" s="5">
        <v>2701367.0</v>
      </c>
      <c r="C723" s="2" t="s">
        <v>1575</v>
      </c>
      <c r="D723" s="2" t="s">
        <v>1578</v>
      </c>
      <c r="E723" s="2">
        <v>10015.0</v>
      </c>
      <c r="F723" s="2" t="s">
        <v>1587</v>
      </c>
      <c r="I723" s="7">
        <v>1.0</v>
      </c>
      <c r="J723" s="6">
        <v>25238.0</v>
      </c>
      <c r="K723" s="2">
        <v>0.0</v>
      </c>
      <c r="L723" s="2">
        <v>25238.0</v>
      </c>
      <c r="M723" s="2">
        <v>0.0</v>
      </c>
      <c r="N723" s="2">
        <v>25238.0</v>
      </c>
      <c r="O723" s="2">
        <v>1262.0</v>
      </c>
      <c r="P723" s="2" t="s">
        <v>1574</v>
      </c>
      <c r="Q723" s="2" t="s">
        <v>1568</v>
      </c>
      <c r="R723" s="2" t="s">
        <v>1569</v>
      </c>
      <c r="S723" s="2" t="s">
        <v>1570</v>
      </c>
      <c r="W723" s="2" t="s">
        <v>1571</v>
      </c>
    </row>
    <row r="724">
      <c r="A724" s="4">
        <v>45550.39027777778</v>
      </c>
      <c r="B724" s="5">
        <v>2701002.0</v>
      </c>
      <c r="C724" s="2" t="s">
        <v>1575</v>
      </c>
      <c r="D724" s="2" t="s">
        <v>1565</v>
      </c>
      <c r="E724" s="2">
        <v>10002.0</v>
      </c>
      <c r="F724" s="2" t="s">
        <v>1576</v>
      </c>
      <c r="I724" s="7">
        <v>1.0</v>
      </c>
      <c r="J724" s="6">
        <v>18571.0</v>
      </c>
      <c r="K724" s="2">
        <v>0.0</v>
      </c>
      <c r="L724" s="2">
        <v>18571.0</v>
      </c>
      <c r="M724" s="2">
        <v>0.0</v>
      </c>
      <c r="N724" s="2">
        <v>18571.0</v>
      </c>
      <c r="O724" s="2">
        <v>929.0</v>
      </c>
      <c r="P724" s="2" t="s">
        <v>1574</v>
      </c>
      <c r="Q724" s="2" t="s">
        <v>1568</v>
      </c>
      <c r="R724" s="2" t="s">
        <v>1569</v>
      </c>
      <c r="S724" s="2" t="s">
        <v>1570</v>
      </c>
      <c r="W724" s="2" t="s">
        <v>1571</v>
      </c>
    </row>
    <row r="725">
      <c r="A725" s="4">
        <v>45550.39027777778</v>
      </c>
      <c r="B725" s="5">
        <v>2701002.0</v>
      </c>
      <c r="C725" s="2" t="s">
        <v>1575</v>
      </c>
      <c r="D725" s="2" t="s">
        <v>1572</v>
      </c>
      <c r="E725" s="2">
        <v>10125.0</v>
      </c>
      <c r="F725" s="2" t="s">
        <v>1601</v>
      </c>
      <c r="I725" s="7">
        <v>1.0</v>
      </c>
      <c r="J725" s="6">
        <v>20476.0</v>
      </c>
      <c r="K725" s="2">
        <v>0.0</v>
      </c>
      <c r="L725" s="2">
        <v>20476.0</v>
      </c>
      <c r="M725" s="2">
        <v>0.0</v>
      </c>
      <c r="N725" s="2">
        <v>20476.0</v>
      </c>
      <c r="O725" s="2">
        <v>1023.0</v>
      </c>
      <c r="P725" s="2" t="s">
        <v>1574</v>
      </c>
      <c r="Q725" s="2" t="s">
        <v>1568</v>
      </c>
      <c r="R725" s="2" t="s">
        <v>1569</v>
      </c>
      <c r="S725" s="2" t="s">
        <v>1570</v>
      </c>
      <c r="W725" s="2" t="s">
        <v>1571</v>
      </c>
    </row>
    <row r="726">
      <c r="A726" s="4">
        <v>45550.38888888889</v>
      </c>
      <c r="B726" s="5">
        <v>2700637.0</v>
      </c>
      <c r="C726" s="2" t="s">
        <v>1575</v>
      </c>
      <c r="D726" s="2" t="s">
        <v>1565</v>
      </c>
      <c r="E726" s="2">
        <v>10033.0</v>
      </c>
      <c r="F726" s="2" t="s">
        <v>1615</v>
      </c>
      <c r="I726" s="7">
        <v>1.0</v>
      </c>
      <c r="J726" s="6">
        <v>21905.0</v>
      </c>
      <c r="K726" s="2">
        <v>0.0</v>
      </c>
      <c r="L726" s="2">
        <v>21905.0</v>
      </c>
      <c r="M726" s="2">
        <v>0.0</v>
      </c>
      <c r="N726" s="2">
        <v>21905.0</v>
      </c>
      <c r="O726" s="2">
        <v>1095.0</v>
      </c>
      <c r="P726" s="2" t="s">
        <v>1574</v>
      </c>
      <c r="Q726" s="2" t="s">
        <v>1568</v>
      </c>
      <c r="R726" s="2" t="s">
        <v>1569</v>
      </c>
      <c r="S726" s="2" t="s">
        <v>1570</v>
      </c>
      <c r="W726" s="2" t="s">
        <v>1571</v>
      </c>
    </row>
    <row r="727">
      <c r="A727" s="4">
        <v>45550.38888888889</v>
      </c>
      <c r="B727" s="5">
        <v>2700637.0</v>
      </c>
      <c r="C727" s="2" t="s">
        <v>1575</v>
      </c>
      <c r="D727" s="2" t="s">
        <v>1572</v>
      </c>
      <c r="E727" s="2">
        <v>10127.0</v>
      </c>
      <c r="F727" s="2" t="s">
        <v>1592</v>
      </c>
      <c r="I727" s="7">
        <v>1.0</v>
      </c>
      <c r="J727" s="6">
        <v>18571.0</v>
      </c>
      <c r="K727" s="2">
        <v>0.0</v>
      </c>
      <c r="L727" s="2">
        <v>18571.0</v>
      </c>
      <c r="M727" s="2">
        <v>0.0</v>
      </c>
      <c r="N727" s="2">
        <v>18571.0</v>
      </c>
      <c r="O727" s="2">
        <v>929.0</v>
      </c>
      <c r="P727" s="2" t="s">
        <v>1574</v>
      </c>
      <c r="Q727" s="2" t="s">
        <v>1568</v>
      </c>
      <c r="R727" s="2" t="s">
        <v>1569</v>
      </c>
      <c r="S727" s="2" t="s">
        <v>1570</v>
      </c>
      <c r="W727" s="2" t="s">
        <v>1571</v>
      </c>
    </row>
    <row r="728">
      <c r="A728" s="4">
        <v>45549.856944444444</v>
      </c>
      <c r="B728" s="5">
        <v>2700272.0</v>
      </c>
      <c r="C728" s="2" t="s">
        <v>1575</v>
      </c>
      <c r="D728" s="2" t="s">
        <v>1578</v>
      </c>
      <c r="E728" s="2">
        <v>10015.0</v>
      </c>
      <c r="F728" s="2" t="s">
        <v>1587</v>
      </c>
      <c r="I728" s="7">
        <v>1.0</v>
      </c>
      <c r="J728" s="6">
        <v>25238.0</v>
      </c>
      <c r="K728" s="2">
        <v>0.0</v>
      </c>
      <c r="L728" s="2">
        <v>25238.0</v>
      </c>
      <c r="M728" s="2">
        <v>0.0</v>
      </c>
      <c r="N728" s="2">
        <v>25238.0</v>
      </c>
      <c r="O728" s="2">
        <v>1262.0</v>
      </c>
      <c r="P728" s="2" t="s">
        <v>1574</v>
      </c>
      <c r="Q728" s="2" t="s">
        <v>1568</v>
      </c>
      <c r="R728" s="2" t="s">
        <v>1569</v>
      </c>
      <c r="S728" s="2" t="s">
        <v>1570</v>
      </c>
      <c r="W728" s="2" t="s">
        <v>1571</v>
      </c>
    </row>
    <row r="729">
      <c r="A729" s="4">
        <v>45549.856944444444</v>
      </c>
      <c r="B729" s="5">
        <v>2700272.0</v>
      </c>
      <c r="C729" s="2" t="s">
        <v>1575</v>
      </c>
      <c r="D729" s="2" t="s">
        <v>1578</v>
      </c>
      <c r="E729" s="2">
        <v>10014.0</v>
      </c>
      <c r="F729" s="2" t="s">
        <v>1609</v>
      </c>
      <c r="I729" s="7">
        <v>1.0</v>
      </c>
      <c r="J729" s="6">
        <v>25238.0</v>
      </c>
      <c r="K729" s="2">
        <v>0.0</v>
      </c>
      <c r="L729" s="2">
        <v>25238.0</v>
      </c>
      <c r="M729" s="2">
        <v>0.0</v>
      </c>
      <c r="N729" s="2">
        <v>25238.0</v>
      </c>
      <c r="O729" s="2">
        <v>1262.0</v>
      </c>
      <c r="P729" s="2" t="s">
        <v>1574</v>
      </c>
      <c r="Q729" s="2" t="s">
        <v>1568</v>
      </c>
      <c r="R729" s="2" t="s">
        <v>1569</v>
      </c>
      <c r="S729" s="2" t="s">
        <v>1570</v>
      </c>
      <c r="W729" s="2" t="s">
        <v>1571</v>
      </c>
    </row>
    <row r="730">
      <c r="A730" s="4">
        <v>45549.85208333333</v>
      </c>
      <c r="B730" s="5">
        <v>2699906.0</v>
      </c>
      <c r="C730" s="2" t="s">
        <v>1575</v>
      </c>
      <c r="D730" s="2" t="s">
        <v>1572</v>
      </c>
      <c r="E730" s="2">
        <v>10128.0</v>
      </c>
      <c r="F730" s="2" t="s">
        <v>1588</v>
      </c>
      <c r="I730" s="7">
        <v>1.0</v>
      </c>
      <c r="J730" s="6">
        <v>23333.0</v>
      </c>
      <c r="K730" s="2">
        <v>0.0</v>
      </c>
      <c r="L730" s="2">
        <v>23333.0</v>
      </c>
      <c r="M730" s="2">
        <v>0.0</v>
      </c>
      <c r="N730" s="2">
        <v>23333.0</v>
      </c>
      <c r="O730" s="2">
        <v>1167.0</v>
      </c>
      <c r="P730" s="2" t="s">
        <v>1574</v>
      </c>
      <c r="Q730" s="2" t="s">
        <v>1568</v>
      </c>
      <c r="R730" s="2" t="s">
        <v>1569</v>
      </c>
      <c r="S730" s="2" t="s">
        <v>1570</v>
      </c>
      <c r="W730" s="2" t="s">
        <v>1571</v>
      </c>
    </row>
    <row r="731">
      <c r="A731" s="4">
        <v>45549.85208333333</v>
      </c>
      <c r="B731" s="5">
        <v>2699906.0</v>
      </c>
      <c r="C731" s="2" t="s">
        <v>1575</v>
      </c>
      <c r="D731" s="2" t="s">
        <v>1578</v>
      </c>
      <c r="E731" s="2">
        <v>10011.0</v>
      </c>
      <c r="F731" s="2" t="s">
        <v>1605</v>
      </c>
      <c r="I731" s="7">
        <v>1.0</v>
      </c>
      <c r="J731" s="6">
        <v>25238.0</v>
      </c>
      <c r="K731" s="2">
        <v>0.0</v>
      </c>
      <c r="L731" s="2">
        <v>25238.0</v>
      </c>
      <c r="M731" s="2">
        <v>0.0</v>
      </c>
      <c r="N731" s="2">
        <v>25238.0</v>
      </c>
      <c r="O731" s="2">
        <v>1262.0</v>
      </c>
      <c r="P731" s="2" t="s">
        <v>1574</v>
      </c>
      <c r="Q731" s="2" t="s">
        <v>1568</v>
      </c>
      <c r="R731" s="2" t="s">
        <v>1569</v>
      </c>
      <c r="S731" s="2" t="s">
        <v>1570</v>
      </c>
      <c r="W731" s="2" t="s">
        <v>1571</v>
      </c>
    </row>
    <row r="732">
      <c r="A732" s="4">
        <v>45549.85208333333</v>
      </c>
      <c r="B732" s="5">
        <v>2699906.0</v>
      </c>
      <c r="C732" s="2" t="s">
        <v>1575</v>
      </c>
      <c r="D732" s="2" t="s">
        <v>1572</v>
      </c>
      <c r="E732" s="2">
        <v>10107.0</v>
      </c>
      <c r="F732" s="2" t="s">
        <v>1584</v>
      </c>
      <c r="I732" s="7">
        <v>1.0</v>
      </c>
      <c r="J732" s="6">
        <v>26667.0</v>
      </c>
      <c r="K732" s="2">
        <v>0.0</v>
      </c>
      <c r="L732" s="2">
        <v>26667.0</v>
      </c>
      <c r="M732" s="2">
        <v>0.0</v>
      </c>
      <c r="N732" s="2">
        <v>26667.0</v>
      </c>
      <c r="O732" s="2">
        <v>1333.0</v>
      </c>
      <c r="P732" s="2" t="s">
        <v>1574</v>
      </c>
      <c r="Q732" s="2" t="s">
        <v>1568</v>
      </c>
      <c r="R732" s="2" t="s">
        <v>1569</v>
      </c>
      <c r="S732" s="2" t="s">
        <v>1570</v>
      </c>
      <c r="W732" s="2" t="s">
        <v>1571</v>
      </c>
    </row>
    <row r="733">
      <c r="A733" s="4">
        <v>45549.80486111111</v>
      </c>
      <c r="B733" s="5">
        <v>2699541.0</v>
      </c>
      <c r="C733" s="2" t="s">
        <v>1575</v>
      </c>
      <c r="D733" s="2" t="s">
        <v>1565</v>
      </c>
      <c r="E733" s="2">
        <v>10054.0</v>
      </c>
      <c r="F733" s="2" t="s">
        <v>1610</v>
      </c>
      <c r="I733" s="7">
        <v>1.0</v>
      </c>
      <c r="J733" s="6">
        <v>25238.0</v>
      </c>
      <c r="K733" s="2">
        <v>0.0</v>
      </c>
      <c r="L733" s="2">
        <v>25238.0</v>
      </c>
      <c r="M733" s="2">
        <v>0.0</v>
      </c>
      <c r="N733" s="2">
        <v>25238.0</v>
      </c>
      <c r="O733" s="2">
        <v>1262.0</v>
      </c>
      <c r="P733" s="2" t="s">
        <v>1574</v>
      </c>
      <c r="Q733" s="2" t="s">
        <v>1568</v>
      </c>
      <c r="R733" s="2" t="s">
        <v>1569</v>
      </c>
      <c r="S733" s="2" t="s">
        <v>1570</v>
      </c>
      <c r="W733" s="2" t="s">
        <v>1571</v>
      </c>
    </row>
    <row r="734">
      <c r="A734" s="4">
        <v>45549.78888888889</v>
      </c>
      <c r="B734" s="5">
        <v>2699176.0</v>
      </c>
      <c r="C734" s="2" t="s">
        <v>1575</v>
      </c>
      <c r="D734" s="2" t="s">
        <v>1572</v>
      </c>
      <c r="E734" s="2">
        <v>10112.0</v>
      </c>
      <c r="F734" s="2" t="s">
        <v>1573</v>
      </c>
      <c r="I734" s="7">
        <v>1.0</v>
      </c>
      <c r="J734" s="6">
        <v>6667.0</v>
      </c>
      <c r="K734" s="2">
        <v>0.0</v>
      </c>
      <c r="L734" s="2">
        <v>6667.0</v>
      </c>
      <c r="M734" s="2">
        <v>0.0</v>
      </c>
      <c r="N734" s="2">
        <v>6667.0</v>
      </c>
      <c r="O734" s="2">
        <v>333.0</v>
      </c>
      <c r="P734" s="2" t="s">
        <v>1574</v>
      </c>
      <c r="Q734" s="2" t="s">
        <v>1568</v>
      </c>
      <c r="R734" s="2" t="s">
        <v>1569</v>
      </c>
      <c r="S734" s="2" t="s">
        <v>1570</v>
      </c>
      <c r="W734" s="2" t="s">
        <v>1571</v>
      </c>
    </row>
    <row r="735">
      <c r="A735" s="4">
        <v>45549.76597222222</v>
      </c>
      <c r="B735" s="5">
        <v>2698811.0</v>
      </c>
      <c r="C735" s="2" t="s">
        <v>1575</v>
      </c>
      <c r="D735" s="2" t="s">
        <v>1578</v>
      </c>
      <c r="E735" s="2">
        <v>10010.0</v>
      </c>
      <c r="F735" s="2" t="s">
        <v>1606</v>
      </c>
      <c r="I735" s="7">
        <v>1.0</v>
      </c>
      <c r="J735" s="6">
        <v>25238.0</v>
      </c>
      <c r="K735" s="2">
        <v>0.0</v>
      </c>
      <c r="L735" s="2">
        <v>25238.0</v>
      </c>
      <c r="M735" s="2">
        <v>0.0</v>
      </c>
      <c r="N735" s="2">
        <v>25238.0</v>
      </c>
      <c r="O735" s="2">
        <v>1262.0</v>
      </c>
      <c r="P735" s="2" t="s">
        <v>1574</v>
      </c>
      <c r="Q735" s="2" t="s">
        <v>1568</v>
      </c>
      <c r="R735" s="2" t="s">
        <v>1569</v>
      </c>
      <c r="S735" s="2" t="s">
        <v>1570</v>
      </c>
      <c r="W735" s="2" t="s">
        <v>1571</v>
      </c>
    </row>
    <row r="736">
      <c r="A736" s="4">
        <v>45549.76597222222</v>
      </c>
      <c r="B736" s="5">
        <v>2698811.0</v>
      </c>
      <c r="C736" s="2" t="s">
        <v>1575</v>
      </c>
      <c r="D736" s="2" t="s">
        <v>1565</v>
      </c>
      <c r="E736" s="2">
        <v>10000.0</v>
      </c>
      <c r="F736" s="2" t="s">
        <v>1566</v>
      </c>
      <c r="I736" s="7">
        <v>1.0</v>
      </c>
      <c r="J736" s="6">
        <v>29524.0</v>
      </c>
      <c r="K736" s="2">
        <v>0.0</v>
      </c>
      <c r="L736" s="2">
        <v>29524.0</v>
      </c>
      <c r="M736" s="2">
        <v>0.0</v>
      </c>
      <c r="N736" s="2">
        <v>29524.0</v>
      </c>
      <c r="O736" s="2">
        <v>1476.0</v>
      </c>
      <c r="P736" s="2" t="s">
        <v>1574</v>
      </c>
      <c r="Q736" s="2" t="s">
        <v>1568</v>
      </c>
      <c r="R736" s="2" t="s">
        <v>1569</v>
      </c>
      <c r="S736" s="2" t="s">
        <v>1570</v>
      </c>
      <c r="W736" s="2" t="s">
        <v>1571</v>
      </c>
    </row>
    <row r="737">
      <c r="A737" s="4">
        <v>45549.76597222222</v>
      </c>
      <c r="B737" s="5">
        <v>2698811.0</v>
      </c>
      <c r="C737" s="2" t="s">
        <v>1575</v>
      </c>
      <c r="D737" s="2" t="s">
        <v>1572</v>
      </c>
      <c r="E737" s="2">
        <v>10128.0</v>
      </c>
      <c r="F737" s="2" t="s">
        <v>1588</v>
      </c>
      <c r="I737" s="7">
        <v>1.0</v>
      </c>
      <c r="J737" s="6">
        <v>23333.0</v>
      </c>
      <c r="K737" s="2">
        <v>0.0</v>
      </c>
      <c r="L737" s="2">
        <v>23333.0</v>
      </c>
      <c r="M737" s="2">
        <v>0.0</v>
      </c>
      <c r="N737" s="2">
        <v>23333.0</v>
      </c>
      <c r="O737" s="2">
        <v>1167.0</v>
      </c>
      <c r="P737" s="2" t="s">
        <v>1574</v>
      </c>
      <c r="Q737" s="2" t="s">
        <v>1568</v>
      </c>
      <c r="R737" s="2" t="s">
        <v>1569</v>
      </c>
      <c r="S737" s="2" t="s">
        <v>1570</v>
      </c>
      <c r="W737" s="2" t="s">
        <v>1571</v>
      </c>
    </row>
    <row r="738">
      <c r="A738" s="4">
        <v>45549.76597222222</v>
      </c>
      <c r="B738" s="5">
        <v>2698811.0</v>
      </c>
      <c r="C738" s="2" t="s">
        <v>1575</v>
      </c>
      <c r="D738" s="2" t="s">
        <v>1572</v>
      </c>
      <c r="E738" s="2">
        <v>10119.0</v>
      </c>
      <c r="F738" s="2" t="s">
        <v>1582</v>
      </c>
      <c r="I738" s="7">
        <v>1.0</v>
      </c>
      <c r="J738" s="6">
        <v>7143.0</v>
      </c>
      <c r="K738" s="2">
        <v>0.0</v>
      </c>
      <c r="L738" s="2">
        <v>7143.0</v>
      </c>
      <c r="M738" s="2">
        <v>0.0</v>
      </c>
      <c r="N738" s="2">
        <v>7143.0</v>
      </c>
      <c r="O738" s="2">
        <v>357.0</v>
      </c>
      <c r="P738" s="2" t="s">
        <v>1574</v>
      </c>
      <c r="Q738" s="2" t="s">
        <v>1568</v>
      </c>
      <c r="R738" s="2" t="s">
        <v>1569</v>
      </c>
      <c r="S738" s="2" t="s">
        <v>1570</v>
      </c>
      <c r="W738" s="2" t="s">
        <v>1571</v>
      </c>
    </row>
    <row r="739">
      <c r="A739" s="4">
        <v>45549.75</v>
      </c>
      <c r="B739" s="5">
        <v>2698445.0</v>
      </c>
      <c r="C739" s="2" t="s">
        <v>1575</v>
      </c>
      <c r="D739" s="2" t="s">
        <v>1572</v>
      </c>
      <c r="E739" s="2">
        <v>10128.0</v>
      </c>
      <c r="F739" s="2" t="s">
        <v>1588</v>
      </c>
      <c r="I739" s="7">
        <v>1.0</v>
      </c>
      <c r="J739" s="6">
        <v>23333.0</v>
      </c>
      <c r="K739" s="2">
        <v>0.0</v>
      </c>
      <c r="L739" s="2">
        <v>23333.0</v>
      </c>
      <c r="M739" s="2">
        <v>0.0</v>
      </c>
      <c r="N739" s="2">
        <v>23333.0</v>
      </c>
      <c r="O739" s="2">
        <v>1167.0</v>
      </c>
      <c r="P739" s="2" t="s">
        <v>1574</v>
      </c>
      <c r="Q739" s="2" t="s">
        <v>1568</v>
      </c>
      <c r="R739" s="2" t="s">
        <v>1569</v>
      </c>
      <c r="S739" s="2" t="s">
        <v>1570</v>
      </c>
      <c r="W739" s="2" t="s">
        <v>1571</v>
      </c>
    </row>
    <row r="740">
      <c r="A740" s="4">
        <v>45549.75</v>
      </c>
      <c r="B740" s="5">
        <v>2698445.0</v>
      </c>
      <c r="C740" s="2" t="s">
        <v>1575</v>
      </c>
      <c r="D740" s="2" t="s">
        <v>1578</v>
      </c>
      <c r="E740" s="2">
        <v>10009.0</v>
      </c>
      <c r="F740" s="2" t="s">
        <v>1586</v>
      </c>
      <c r="I740" s="7">
        <v>1.0</v>
      </c>
      <c r="J740" s="6">
        <v>26667.0</v>
      </c>
      <c r="K740" s="2">
        <v>0.0</v>
      </c>
      <c r="L740" s="2">
        <v>26667.0</v>
      </c>
      <c r="M740" s="2">
        <v>0.0</v>
      </c>
      <c r="N740" s="2">
        <v>26667.0</v>
      </c>
      <c r="O740" s="2">
        <v>1333.0</v>
      </c>
      <c r="P740" s="2" t="s">
        <v>1574</v>
      </c>
      <c r="Q740" s="2" t="s">
        <v>1568</v>
      </c>
      <c r="R740" s="2" t="s">
        <v>1569</v>
      </c>
      <c r="S740" s="2" t="s">
        <v>1570</v>
      </c>
      <c r="W740" s="2" t="s">
        <v>1571</v>
      </c>
    </row>
    <row r="741">
      <c r="A741" s="4">
        <v>45549.75</v>
      </c>
      <c r="B741" s="5">
        <v>2698445.0</v>
      </c>
      <c r="C741" s="2" t="s">
        <v>1575</v>
      </c>
      <c r="D741" s="2" t="s">
        <v>1572</v>
      </c>
      <c r="E741" s="2">
        <v>10056.0</v>
      </c>
      <c r="F741" s="2" t="s">
        <v>1585</v>
      </c>
      <c r="I741" s="7">
        <v>1.0</v>
      </c>
      <c r="J741" s="6">
        <v>19524.0</v>
      </c>
      <c r="K741" s="2">
        <v>0.0</v>
      </c>
      <c r="L741" s="2">
        <v>19524.0</v>
      </c>
      <c r="M741" s="2">
        <v>0.0</v>
      </c>
      <c r="N741" s="2">
        <v>19524.0</v>
      </c>
      <c r="O741" s="2">
        <v>976.0</v>
      </c>
      <c r="P741" s="2" t="s">
        <v>1574</v>
      </c>
      <c r="Q741" s="2" t="s">
        <v>1568</v>
      </c>
      <c r="R741" s="2" t="s">
        <v>1569</v>
      </c>
      <c r="S741" s="2" t="s">
        <v>1570</v>
      </c>
      <c r="W741" s="2" t="s">
        <v>1571</v>
      </c>
    </row>
    <row r="742">
      <c r="A742" s="4">
        <v>45549.74166666667</v>
      </c>
      <c r="B742" s="5">
        <v>2698080.0</v>
      </c>
      <c r="C742" s="2" t="s">
        <v>1575</v>
      </c>
      <c r="D742" s="2" t="s">
        <v>1578</v>
      </c>
      <c r="E742" s="2">
        <v>10014.0</v>
      </c>
      <c r="F742" s="2" t="s">
        <v>1609</v>
      </c>
      <c r="I742" s="7">
        <v>1.0</v>
      </c>
      <c r="J742" s="6">
        <v>25238.0</v>
      </c>
      <c r="K742" s="2">
        <v>0.0</v>
      </c>
      <c r="L742" s="2">
        <v>25238.0</v>
      </c>
      <c r="M742" s="2">
        <v>0.0</v>
      </c>
      <c r="N742" s="2">
        <v>25238.0</v>
      </c>
      <c r="O742" s="2">
        <v>1262.0</v>
      </c>
      <c r="P742" s="2" t="s">
        <v>1574</v>
      </c>
      <c r="Q742" s="2" t="s">
        <v>1568</v>
      </c>
      <c r="R742" s="2" t="s">
        <v>1569</v>
      </c>
      <c r="S742" s="2" t="s">
        <v>1570</v>
      </c>
      <c r="W742" s="2" t="s">
        <v>1571</v>
      </c>
    </row>
    <row r="743">
      <c r="A743" s="4">
        <v>45549.71527777778</v>
      </c>
      <c r="B743" s="5">
        <v>2697715.0</v>
      </c>
      <c r="C743" s="2" t="s">
        <v>1575</v>
      </c>
      <c r="D743" s="2" t="s">
        <v>1578</v>
      </c>
      <c r="E743" s="2">
        <v>10010.0</v>
      </c>
      <c r="F743" s="2" t="s">
        <v>1606</v>
      </c>
      <c r="I743" s="7">
        <v>1.0</v>
      </c>
      <c r="J743" s="6">
        <v>25238.0</v>
      </c>
      <c r="K743" s="2">
        <v>0.0</v>
      </c>
      <c r="L743" s="2">
        <v>25238.0</v>
      </c>
      <c r="M743" s="2">
        <v>0.0</v>
      </c>
      <c r="N743" s="2">
        <v>25238.0</v>
      </c>
      <c r="O743" s="2">
        <v>1262.0</v>
      </c>
      <c r="P743" s="2" t="s">
        <v>1574</v>
      </c>
      <c r="Q743" s="2" t="s">
        <v>1568</v>
      </c>
      <c r="R743" s="2" t="s">
        <v>1569</v>
      </c>
      <c r="S743" s="2" t="s">
        <v>1570</v>
      </c>
      <c r="W743" s="2" t="s">
        <v>1571</v>
      </c>
    </row>
    <row r="744">
      <c r="A744" s="4">
        <v>45549.71527777778</v>
      </c>
      <c r="B744" s="5">
        <v>2697715.0</v>
      </c>
      <c r="C744" s="2" t="s">
        <v>1575</v>
      </c>
      <c r="D744" s="2" t="s">
        <v>1578</v>
      </c>
      <c r="E744" s="2">
        <v>10051.0</v>
      </c>
      <c r="F744" s="2" t="s">
        <v>1579</v>
      </c>
      <c r="I744" s="7">
        <v>1.0</v>
      </c>
      <c r="J744" s="6">
        <v>25238.0</v>
      </c>
      <c r="K744" s="2">
        <v>0.0</v>
      </c>
      <c r="L744" s="2">
        <v>25238.0</v>
      </c>
      <c r="M744" s="2">
        <v>0.0</v>
      </c>
      <c r="N744" s="2">
        <v>25238.0</v>
      </c>
      <c r="O744" s="2">
        <v>1262.0</v>
      </c>
      <c r="P744" s="2" t="s">
        <v>1574</v>
      </c>
      <c r="Q744" s="2" t="s">
        <v>1568</v>
      </c>
      <c r="R744" s="2" t="s">
        <v>1569</v>
      </c>
      <c r="S744" s="2" t="s">
        <v>1570</v>
      </c>
      <c r="W744" s="2" t="s">
        <v>1571</v>
      </c>
    </row>
    <row r="745">
      <c r="A745" s="4">
        <v>45549.69652777778</v>
      </c>
      <c r="B745" s="5">
        <v>2697350.0</v>
      </c>
      <c r="C745" s="2" t="s">
        <v>1575</v>
      </c>
      <c r="D745" s="2" t="s">
        <v>1578</v>
      </c>
      <c r="E745" s="2">
        <v>10009.0</v>
      </c>
      <c r="F745" s="2" t="s">
        <v>1586</v>
      </c>
      <c r="I745" s="7">
        <v>1.0</v>
      </c>
      <c r="J745" s="6">
        <v>26667.0</v>
      </c>
      <c r="K745" s="2">
        <v>0.0</v>
      </c>
      <c r="L745" s="2">
        <v>26667.0</v>
      </c>
      <c r="M745" s="2">
        <v>0.0</v>
      </c>
      <c r="N745" s="2">
        <v>26667.0</v>
      </c>
      <c r="O745" s="2">
        <v>1333.0</v>
      </c>
      <c r="P745" s="2" t="s">
        <v>1574</v>
      </c>
      <c r="Q745" s="2" t="s">
        <v>1568</v>
      </c>
      <c r="R745" s="2" t="s">
        <v>1569</v>
      </c>
      <c r="S745" s="2" t="s">
        <v>1570</v>
      </c>
      <c r="W745" s="2" t="s">
        <v>1571</v>
      </c>
    </row>
    <row r="746">
      <c r="A746" s="4">
        <v>45549.691666666666</v>
      </c>
      <c r="B746" s="5">
        <v>2696984.0</v>
      </c>
      <c r="C746" s="2" t="s">
        <v>1575</v>
      </c>
      <c r="D746" s="2" t="s">
        <v>1572</v>
      </c>
      <c r="E746" s="2">
        <v>10128.0</v>
      </c>
      <c r="F746" s="2" t="s">
        <v>1588</v>
      </c>
      <c r="I746" s="7">
        <v>1.0</v>
      </c>
      <c r="J746" s="6">
        <v>23333.0</v>
      </c>
      <c r="K746" s="2">
        <v>0.0</v>
      </c>
      <c r="L746" s="2">
        <v>23333.0</v>
      </c>
      <c r="M746" s="2">
        <v>0.0</v>
      </c>
      <c r="N746" s="2">
        <v>23333.0</v>
      </c>
      <c r="O746" s="2">
        <v>1167.0</v>
      </c>
      <c r="P746" s="2" t="s">
        <v>1574</v>
      </c>
      <c r="Q746" s="2" t="s">
        <v>1568</v>
      </c>
      <c r="R746" s="2" t="s">
        <v>1569</v>
      </c>
      <c r="S746" s="2" t="s">
        <v>1570</v>
      </c>
      <c r="W746" s="2" t="s">
        <v>1571</v>
      </c>
    </row>
    <row r="747">
      <c r="A747" s="4">
        <v>45549.691666666666</v>
      </c>
      <c r="B747" s="5">
        <v>2696984.0</v>
      </c>
      <c r="C747" s="2" t="s">
        <v>1575</v>
      </c>
      <c r="D747" s="2" t="s">
        <v>1578</v>
      </c>
      <c r="E747" s="2">
        <v>10051.0</v>
      </c>
      <c r="F747" s="2" t="s">
        <v>1579</v>
      </c>
      <c r="I747" s="7">
        <v>1.0</v>
      </c>
      <c r="J747" s="6">
        <v>25238.0</v>
      </c>
      <c r="K747" s="2">
        <v>0.0</v>
      </c>
      <c r="L747" s="2">
        <v>25238.0</v>
      </c>
      <c r="M747" s="2">
        <v>0.0</v>
      </c>
      <c r="N747" s="2">
        <v>25238.0</v>
      </c>
      <c r="O747" s="2">
        <v>1262.0</v>
      </c>
      <c r="P747" s="2" t="s">
        <v>1574</v>
      </c>
      <c r="Q747" s="2" t="s">
        <v>1568</v>
      </c>
      <c r="R747" s="2" t="s">
        <v>1569</v>
      </c>
      <c r="S747" s="2" t="s">
        <v>1570</v>
      </c>
      <c r="W747" s="2" t="s">
        <v>1571</v>
      </c>
    </row>
    <row r="748">
      <c r="A748" s="4">
        <v>45549.69097222222</v>
      </c>
      <c r="B748" s="5">
        <v>2696619.0</v>
      </c>
      <c r="C748" s="2" t="s">
        <v>1575</v>
      </c>
      <c r="D748" s="2" t="s">
        <v>1565</v>
      </c>
      <c r="E748" s="2">
        <v>10002.0</v>
      </c>
      <c r="F748" s="2" t="s">
        <v>1576</v>
      </c>
      <c r="I748" s="7">
        <v>1.0</v>
      </c>
      <c r="J748" s="6">
        <v>18571.0</v>
      </c>
      <c r="K748" s="2">
        <v>0.0</v>
      </c>
      <c r="L748" s="2">
        <v>18571.0</v>
      </c>
      <c r="M748" s="2">
        <v>0.0</v>
      </c>
      <c r="N748" s="2">
        <v>18571.0</v>
      </c>
      <c r="O748" s="2">
        <v>929.0</v>
      </c>
      <c r="P748" s="2" t="s">
        <v>1574</v>
      </c>
      <c r="Q748" s="2" t="s">
        <v>1568</v>
      </c>
      <c r="R748" s="2" t="s">
        <v>1569</v>
      </c>
      <c r="S748" s="2" t="s">
        <v>1570</v>
      </c>
      <c r="W748" s="2" t="s">
        <v>1571</v>
      </c>
    </row>
    <row r="749">
      <c r="A749" s="4">
        <v>45549.69097222222</v>
      </c>
      <c r="B749" s="5">
        <v>2696619.0</v>
      </c>
      <c r="C749" s="2" t="s">
        <v>1575</v>
      </c>
      <c r="D749" s="2" t="s">
        <v>1572</v>
      </c>
      <c r="E749" s="2">
        <v>10128.0</v>
      </c>
      <c r="F749" s="2" t="s">
        <v>1588</v>
      </c>
      <c r="I749" s="7">
        <v>1.0</v>
      </c>
      <c r="J749" s="6">
        <v>23333.0</v>
      </c>
      <c r="K749" s="2">
        <v>0.0</v>
      </c>
      <c r="L749" s="2">
        <v>23333.0</v>
      </c>
      <c r="M749" s="2">
        <v>0.0</v>
      </c>
      <c r="N749" s="2">
        <v>23333.0</v>
      </c>
      <c r="O749" s="2">
        <v>1166.0</v>
      </c>
      <c r="P749" s="2" t="s">
        <v>1574</v>
      </c>
      <c r="Q749" s="2" t="s">
        <v>1568</v>
      </c>
      <c r="R749" s="2" t="s">
        <v>1569</v>
      </c>
      <c r="S749" s="2" t="s">
        <v>1570</v>
      </c>
      <c r="W749" s="2" t="s">
        <v>1571</v>
      </c>
    </row>
    <row r="750">
      <c r="A750" s="4">
        <v>45549.69097222222</v>
      </c>
      <c r="B750" s="5">
        <v>2696619.0</v>
      </c>
      <c r="C750" s="2" t="s">
        <v>1575</v>
      </c>
      <c r="D750" s="2" t="s">
        <v>1572</v>
      </c>
      <c r="E750" s="2">
        <v>10121.0</v>
      </c>
      <c r="F750" s="2" t="s">
        <v>1617</v>
      </c>
      <c r="I750" s="7">
        <v>1.0</v>
      </c>
      <c r="J750" s="6">
        <v>19524.0</v>
      </c>
      <c r="K750" s="2">
        <v>0.0</v>
      </c>
      <c r="L750" s="2">
        <v>19524.0</v>
      </c>
      <c r="M750" s="2">
        <v>0.0</v>
      </c>
      <c r="N750" s="2">
        <v>19524.0</v>
      </c>
      <c r="O750" s="2">
        <v>976.0</v>
      </c>
      <c r="P750" s="2" t="s">
        <v>1574</v>
      </c>
      <c r="Q750" s="2" t="s">
        <v>1568</v>
      </c>
      <c r="R750" s="2" t="s">
        <v>1569</v>
      </c>
      <c r="S750" s="2" t="s">
        <v>1570</v>
      </c>
      <c r="W750" s="2" t="s">
        <v>1571</v>
      </c>
    </row>
    <row r="751">
      <c r="A751" s="4">
        <v>45549.68958333333</v>
      </c>
      <c r="B751" s="5">
        <v>2696254.0</v>
      </c>
      <c r="C751" s="2" t="s">
        <v>1575</v>
      </c>
      <c r="D751" s="2" t="s">
        <v>1565</v>
      </c>
      <c r="E751" s="2">
        <v>10033.0</v>
      </c>
      <c r="F751" s="2" t="s">
        <v>1615</v>
      </c>
      <c r="I751" s="7">
        <v>1.0</v>
      </c>
      <c r="J751" s="6">
        <v>21905.0</v>
      </c>
      <c r="K751" s="2">
        <v>0.0</v>
      </c>
      <c r="L751" s="2">
        <v>21905.0</v>
      </c>
      <c r="M751" s="2">
        <v>0.0</v>
      </c>
      <c r="N751" s="2">
        <v>21905.0</v>
      </c>
      <c r="O751" s="2">
        <v>1095.0</v>
      </c>
      <c r="P751" s="2" t="s">
        <v>1574</v>
      </c>
      <c r="Q751" s="2" t="s">
        <v>1568</v>
      </c>
      <c r="R751" s="2" t="s">
        <v>1569</v>
      </c>
      <c r="S751" s="2" t="s">
        <v>1570</v>
      </c>
      <c r="W751" s="2" t="s">
        <v>1571</v>
      </c>
    </row>
    <row r="752">
      <c r="A752" s="4">
        <v>45549.68958333333</v>
      </c>
      <c r="B752" s="5">
        <v>2696254.0</v>
      </c>
      <c r="C752" s="2" t="s">
        <v>1575</v>
      </c>
      <c r="D752" s="2" t="s">
        <v>1565</v>
      </c>
      <c r="E752" s="2">
        <v>10002.0</v>
      </c>
      <c r="F752" s="2" t="s">
        <v>1576</v>
      </c>
      <c r="I752" s="7">
        <v>1.0</v>
      </c>
      <c r="J752" s="6">
        <v>18571.0</v>
      </c>
      <c r="K752" s="2">
        <v>0.0</v>
      </c>
      <c r="L752" s="2">
        <v>18571.0</v>
      </c>
      <c r="M752" s="2">
        <v>0.0</v>
      </c>
      <c r="N752" s="2">
        <v>18571.0</v>
      </c>
      <c r="O752" s="2">
        <v>929.0</v>
      </c>
      <c r="P752" s="2" t="s">
        <v>1574</v>
      </c>
      <c r="Q752" s="2" t="s">
        <v>1568</v>
      </c>
      <c r="R752" s="2" t="s">
        <v>1569</v>
      </c>
      <c r="S752" s="2" t="s">
        <v>1570</v>
      </c>
      <c r="W752" s="2" t="s">
        <v>1571</v>
      </c>
    </row>
    <row r="753">
      <c r="A753" s="4">
        <v>45549.68958333333</v>
      </c>
      <c r="B753" s="5">
        <v>2696254.0</v>
      </c>
      <c r="C753" s="2" t="s">
        <v>1575</v>
      </c>
      <c r="D753" s="2" t="s">
        <v>1572</v>
      </c>
      <c r="E753" s="2">
        <v>10123.0</v>
      </c>
      <c r="F753" s="2" t="s">
        <v>1599</v>
      </c>
      <c r="I753" s="7">
        <v>1.0</v>
      </c>
      <c r="J753" s="6">
        <v>21905.0</v>
      </c>
      <c r="K753" s="2">
        <v>0.0</v>
      </c>
      <c r="L753" s="2">
        <v>21905.0</v>
      </c>
      <c r="M753" s="2">
        <v>0.0</v>
      </c>
      <c r="N753" s="2">
        <v>21905.0</v>
      </c>
      <c r="O753" s="2">
        <v>1095.0</v>
      </c>
      <c r="P753" s="2" t="s">
        <v>1574</v>
      </c>
      <c r="Q753" s="2" t="s">
        <v>1568</v>
      </c>
      <c r="R753" s="2" t="s">
        <v>1569</v>
      </c>
      <c r="S753" s="2" t="s">
        <v>1570</v>
      </c>
      <c r="W753" s="2" t="s">
        <v>1571</v>
      </c>
    </row>
    <row r="754">
      <c r="A754" s="4">
        <v>45549.68958333333</v>
      </c>
      <c r="B754" s="5">
        <v>2696254.0</v>
      </c>
      <c r="C754" s="2" t="s">
        <v>1575</v>
      </c>
      <c r="D754" s="2" t="s">
        <v>1578</v>
      </c>
      <c r="E754" s="2">
        <v>10015.0</v>
      </c>
      <c r="F754" s="2" t="s">
        <v>1587</v>
      </c>
      <c r="I754" s="7">
        <v>1.0</v>
      </c>
      <c r="J754" s="6">
        <v>25238.0</v>
      </c>
      <c r="K754" s="2">
        <v>0.0</v>
      </c>
      <c r="L754" s="2">
        <v>25238.0</v>
      </c>
      <c r="M754" s="2">
        <v>0.0</v>
      </c>
      <c r="N754" s="2">
        <v>25238.0</v>
      </c>
      <c r="O754" s="2">
        <v>1262.0</v>
      </c>
      <c r="P754" s="2" t="s">
        <v>1574</v>
      </c>
      <c r="Q754" s="2" t="s">
        <v>1568</v>
      </c>
      <c r="R754" s="2" t="s">
        <v>1569</v>
      </c>
      <c r="S754" s="2" t="s">
        <v>1570</v>
      </c>
      <c r="W754" s="2" t="s">
        <v>1571</v>
      </c>
    </row>
    <row r="755">
      <c r="A755" s="4">
        <v>45549.68958333333</v>
      </c>
      <c r="B755" s="5">
        <v>2696254.0</v>
      </c>
      <c r="C755" s="2" t="s">
        <v>1575</v>
      </c>
      <c r="D755" s="2" t="s">
        <v>1572</v>
      </c>
      <c r="E755" s="2">
        <v>10057.0</v>
      </c>
      <c r="F755" s="2" t="s">
        <v>1608</v>
      </c>
      <c r="I755" s="7">
        <v>1.0</v>
      </c>
      <c r="J755" s="6">
        <v>19524.0</v>
      </c>
      <c r="K755" s="2">
        <v>0.0</v>
      </c>
      <c r="L755" s="2">
        <v>19524.0</v>
      </c>
      <c r="M755" s="2">
        <v>0.0</v>
      </c>
      <c r="N755" s="2">
        <v>19524.0</v>
      </c>
      <c r="O755" s="2">
        <v>976.0</v>
      </c>
      <c r="P755" s="2" t="s">
        <v>1574</v>
      </c>
      <c r="Q755" s="2" t="s">
        <v>1568</v>
      </c>
      <c r="R755" s="2" t="s">
        <v>1569</v>
      </c>
      <c r="S755" s="2" t="s">
        <v>1570</v>
      </c>
      <c r="W755" s="2" t="s">
        <v>1571</v>
      </c>
    </row>
    <row r="756">
      <c r="A756" s="4">
        <v>45549.6875</v>
      </c>
      <c r="B756" s="5">
        <v>2695889.0</v>
      </c>
      <c r="C756" s="2" t="s">
        <v>1575</v>
      </c>
      <c r="D756" s="2" t="s">
        <v>1565</v>
      </c>
      <c r="E756" s="2">
        <v>10000.0</v>
      </c>
      <c r="F756" s="2" t="s">
        <v>1566</v>
      </c>
      <c r="I756" s="7">
        <v>1.0</v>
      </c>
      <c r="J756" s="6">
        <v>29524.0</v>
      </c>
      <c r="K756" s="2">
        <v>0.0</v>
      </c>
      <c r="L756" s="2">
        <v>29524.0</v>
      </c>
      <c r="M756" s="2">
        <v>0.0</v>
      </c>
      <c r="N756" s="2">
        <v>29524.0</v>
      </c>
      <c r="O756" s="2">
        <v>1476.0</v>
      </c>
      <c r="P756" s="2" t="s">
        <v>1574</v>
      </c>
      <c r="Q756" s="2" t="s">
        <v>1568</v>
      </c>
      <c r="R756" s="2" t="s">
        <v>1569</v>
      </c>
      <c r="S756" s="2" t="s">
        <v>1570</v>
      </c>
      <c r="W756" s="2" t="s">
        <v>1571</v>
      </c>
    </row>
    <row r="757">
      <c r="A757" s="4">
        <v>45549.6875</v>
      </c>
      <c r="B757" s="5">
        <v>2695889.0</v>
      </c>
      <c r="C757" s="2" t="s">
        <v>1575</v>
      </c>
      <c r="D757" s="2" t="s">
        <v>1565</v>
      </c>
      <c r="E757" s="2">
        <v>10007.0</v>
      </c>
      <c r="F757" s="2" t="s">
        <v>1596</v>
      </c>
      <c r="I757" s="7">
        <v>1.0</v>
      </c>
      <c r="J757" s="6">
        <v>33810.0</v>
      </c>
      <c r="K757" s="2">
        <v>0.0</v>
      </c>
      <c r="L757" s="2">
        <v>33810.0</v>
      </c>
      <c r="M757" s="2">
        <v>0.0</v>
      </c>
      <c r="N757" s="2">
        <v>33810.0</v>
      </c>
      <c r="O757" s="2">
        <v>1691.0</v>
      </c>
      <c r="P757" s="2" t="s">
        <v>1574</v>
      </c>
      <c r="Q757" s="2" t="s">
        <v>1568</v>
      </c>
      <c r="R757" s="2" t="s">
        <v>1569</v>
      </c>
      <c r="S757" s="2" t="s">
        <v>1570</v>
      </c>
      <c r="W757" s="2" t="s">
        <v>1571</v>
      </c>
    </row>
    <row r="758">
      <c r="A758" s="4">
        <v>45549.6875</v>
      </c>
      <c r="B758" s="5">
        <v>2695889.0</v>
      </c>
      <c r="C758" s="2" t="s">
        <v>1575</v>
      </c>
      <c r="D758" s="2" t="s">
        <v>1578</v>
      </c>
      <c r="E758" s="2">
        <v>10010.0</v>
      </c>
      <c r="F758" s="2" t="s">
        <v>1606</v>
      </c>
      <c r="I758" s="7">
        <v>1.0</v>
      </c>
      <c r="J758" s="6">
        <v>25238.0</v>
      </c>
      <c r="K758" s="2">
        <v>0.0</v>
      </c>
      <c r="L758" s="2">
        <v>25238.0</v>
      </c>
      <c r="M758" s="2">
        <v>0.0</v>
      </c>
      <c r="N758" s="2">
        <v>25238.0</v>
      </c>
      <c r="O758" s="2">
        <v>1262.0</v>
      </c>
      <c r="P758" s="2" t="s">
        <v>1574</v>
      </c>
      <c r="Q758" s="2" t="s">
        <v>1568</v>
      </c>
      <c r="R758" s="2" t="s">
        <v>1569</v>
      </c>
      <c r="S758" s="2" t="s">
        <v>1570</v>
      </c>
      <c r="W758" s="2" t="s">
        <v>1571</v>
      </c>
    </row>
    <row r="759">
      <c r="A759" s="4">
        <v>45549.6875</v>
      </c>
      <c r="B759" s="5">
        <v>2695889.0</v>
      </c>
      <c r="C759" s="2" t="s">
        <v>1575</v>
      </c>
      <c r="D759" s="2" t="s">
        <v>1578</v>
      </c>
      <c r="E759" s="2">
        <v>10004.0</v>
      </c>
      <c r="F759" s="2" t="s">
        <v>1607</v>
      </c>
      <c r="I759" s="7">
        <v>1.0</v>
      </c>
      <c r="J759" s="6">
        <v>25238.0</v>
      </c>
      <c r="K759" s="2">
        <v>0.0</v>
      </c>
      <c r="L759" s="2">
        <v>25238.0</v>
      </c>
      <c r="M759" s="2">
        <v>0.0</v>
      </c>
      <c r="N759" s="2">
        <v>25238.0</v>
      </c>
      <c r="O759" s="2">
        <v>1262.0</v>
      </c>
      <c r="P759" s="2" t="s">
        <v>1574</v>
      </c>
      <c r="Q759" s="2" t="s">
        <v>1568</v>
      </c>
      <c r="R759" s="2" t="s">
        <v>1569</v>
      </c>
      <c r="S759" s="2" t="s">
        <v>1570</v>
      </c>
      <c r="W759" s="2" t="s">
        <v>1571</v>
      </c>
    </row>
    <row r="760">
      <c r="A760" s="4">
        <v>45549.6875</v>
      </c>
      <c r="B760" s="5">
        <v>2695889.0</v>
      </c>
      <c r="C760" s="2" t="s">
        <v>1575</v>
      </c>
      <c r="D760" s="2" t="s">
        <v>1565</v>
      </c>
      <c r="E760" s="2">
        <v>10005.0</v>
      </c>
      <c r="F760" s="2" t="s">
        <v>1595</v>
      </c>
      <c r="I760" s="7">
        <v>1.0</v>
      </c>
      <c r="J760" s="6">
        <v>19524.0</v>
      </c>
      <c r="K760" s="2">
        <v>0.0</v>
      </c>
      <c r="L760" s="2">
        <v>19524.0</v>
      </c>
      <c r="M760" s="2">
        <v>0.0</v>
      </c>
      <c r="N760" s="2">
        <v>19524.0</v>
      </c>
      <c r="O760" s="2">
        <v>976.0</v>
      </c>
      <c r="P760" s="2" t="s">
        <v>1574</v>
      </c>
      <c r="Q760" s="2" t="s">
        <v>1568</v>
      </c>
      <c r="R760" s="2" t="s">
        <v>1569</v>
      </c>
      <c r="S760" s="2" t="s">
        <v>1570</v>
      </c>
      <c r="W760" s="2" t="s">
        <v>1571</v>
      </c>
    </row>
    <row r="761">
      <c r="A761" s="4">
        <v>45549.6875</v>
      </c>
      <c r="B761" s="5">
        <v>2695889.0</v>
      </c>
      <c r="C761" s="2" t="s">
        <v>1575</v>
      </c>
      <c r="D761" s="2" t="s">
        <v>1572</v>
      </c>
      <c r="E761" s="2">
        <v>10069.0</v>
      </c>
      <c r="F761" s="2" t="s">
        <v>1620</v>
      </c>
      <c r="I761" s="7">
        <v>1.0</v>
      </c>
      <c r="J761" s="6">
        <v>24762.0</v>
      </c>
      <c r="K761" s="2">
        <v>0.0</v>
      </c>
      <c r="L761" s="2">
        <v>24762.0</v>
      </c>
      <c r="M761" s="2">
        <v>0.0</v>
      </c>
      <c r="N761" s="2">
        <v>24762.0</v>
      </c>
      <c r="O761" s="2">
        <v>1238.0</v>
      </c>
      <c r="P761" s="2" t="s">
        <v>1574</v>
      </c>
      <c r="Q761" s="2" t="s">
        <v>1568</v>
      </c>
      <c r="R761" s="2" t="s">
        <v>1569</v>
      </c>
      <c r="S761" s="2" t="s">
        <v>1570</v>
      </c>
      <c r="W761" s="2" t="s">
        <v>1571</v>
      </c>
    </row>
    <row r="762">
      <c r="A762" s="4">
        <v>45549.6875</v>
      </c>
      <c r="B762" s="5">
        <v>2695889.0</v>
      </c>
      <c r="C762" s="2" t="s">
        <v>1575</v>
      </c>
      <c r="D762" s="2" t="s">
        <v>1565</v>
      </c>
      <c r="E762" s="2">
        <v>10007.0</v>
      </c>
      <c r="F762" s="2" t="s">
        <v>1596</v>
      </c>
      <c r="I762" s="7">
        <v>1.0</v>
      </c>
      <c r="J762" s="6">
        <v>33810.0</v>
      </c>
      <c r="K762" s="2">
        <v>0.0</v>
      </c>
      <c r="L762" s="2">
        <v>33810.0</v>
      </c>
      <c r="M762" s="2">
        <v>0.0</v>
      </c>
      <c r="N762" s="2">
        <v>33810.0</v>
      </c>
      <c r="O762" s="2">
        <v>1690.0</v>
      </c>
      <c r="P762" s="2" t="s">
        <v>1574</v>
      </c>
      <c r="Q762" s="2" t="s">
        <v>1568</v>
      </c>
      <c r="R762" s="2" t="s">
        <v>1569</v>
      </c>
      <c r="S762" s="2" t="s">
        <v>1570</v>
      </c>
      <c r="W762" s="2" t="s">
        <v>1571</v>
      </c>
    </row>
    <row r="763">
      <c r="A763" s="4">
        <v>45549.6875</v>
      </c>
      <c r="B763" s="5">
        <v>2695889.0</v>
      </c>
      <c r="C763" s="2" t="s">
        <v>1575</v>
      </c>
      <c r="D763" s="2" t="s">
        <v>1565</v>
      </c>
      <c r="E763" s="2">
        <v>10055.0</v>
      </c>
      <c r="F763" s="2" t="s">
        <v>1597</v>
      </c>
      <c r="I763" s="7">
        <v>1.0</v>
      </c>
      <c r="J763" s="6">
        <v>34762.0</v>
      </c>
      <c r="K763" s="2">
        <v>0.0</v>
      </c>
      <c r="L763" s="2">
        <v>34762.0</v>
      </c>
      <c r="M763" s="2">
        <v>0.0</v>
      </c>
      <c r="N763" s="2">
        <v>34762.0</v>
      </c>
      <c r="O763" s="2">
        <v>1738.0</v>
      </c>
      <c r="P763" s="2" t="s">
        <v>1574</v>
      </c>
      <c r="Q763" s="2" t="s">
        <v>1568</v>
      </c>
      <c r="R763" s="2" t="s">
        <v>1569</v>
      </c>
      <c r="S763" s="2" t="s">
        <v>1570</v>
      </c>
      <c r="W763" s="2" t="s">
        <v>1571</v>
      </c>
    </row>
    <row r="764">
      <c r="A764" s="4">
        <v>45549.6875</v>
      </c>
      <c r="B764" s="5">
        <v>2695889.0</v>
      </c>
      <c r="C764" s="2" t="s">
        <v>1575</v>
      </c>
      <c r="D764" s="2" t="s">
        <v>1565</v>
      </c>
      <c r="E764" s="2">
        <v>10007.0</v>
      </c>
      <c r="F764" s="2" t="s">
        <v>1596</v>
      </c>
      <c r="I764" s="7">
        <v>1.0</v>
      </c>
      <c r="J764" s="6">
        <v>33810.0</v>
      </c>
      <c r="K764" s="2">
        <v>0.0</v>
      </c>
      <c r="L764" s="2">
        <v>33810.0</v>
      </c>
      <c r="M764" s="2">
        <v>0.0</v>
      </c>
      <c r="N764" s="2">
        <v>33810.0</v>
      </c>
      <c r="O764" s="2">
        <v>1691.0</v>
      </c>
      <c r="P764" s="2" t="s">
        <v>1574</v>
      </c>
      <c r="Q764" s="2" t="s">
        <v>1568</v>
      </c>
      <c r="R764" s="2" t="s">
        <v>1569</v>
      </c>
      <c r="S764" s="2" t="s">
        <v>1570</v>
      </c>
      <c r="W764" s="2" t="s">
        <v>1571</v>
      </c>
    </row>
    <row r="765">
      <c r="A765" s="4">
        <v>45549.6875</v>
      </c>
      <c r="B765" s="5">
        <v>2695889.0</v>
      </c>
      <c r="C765" s="2" t="s">
        <v>1575</v>
      </c>
      <c r="D765" s="2" t="s">
        <v>1565</v>
      </c>
      <c r="E765" s="2">
        <v>10000.0</v>
      </c>
      <c r="F765" s="2" t="s">
        <v>1566</v>
      </c>
      <c r="I765" s="7">
        <v>2.0</v>
      </c>
      <c r="J765" s="6">
        <v>59048.0</v>
      </c>
      <c r="K765" s="2">
        <v>0.0</v>
      </c>
      <c r="L765" s="2">
        <v>59048.0</v>
      </c>
      <c r="M765" s="2">
        <v>0.0</v>
      </c>
      <c r="N765" s="2">
        <v>59048.0</v>
      </c>
      <c r="O765" s="2">
        <v>2952.0</v>
      </c>
      <c r="P765" s="2" t="s">
        <v>1574</v>
      </c>
      <c r="Q765" s="2" t="s">
        <v>1568</v>
      </c>
      <c r="R765" s="2" t="s">
        <v>1569</v>
      </c>
      <c r="S765" s="2" t="s">
        <v>1570</v>
      </c>
      <c r="W765" s="2" t="s">
        <v>1571</v>
      </c>
    </row>
    <row r="766">
      <c r="A766" s="4">
        <v>45549.6875</v>
      </c>
      <c r="B766" s="5">
        <v>2695889.0</v>
      </c>
      <c r="C766" s="2" t="s">
        <v>1575</v>
      </c>
      <c r="D766" s="2" t="s">
        <v>1578</v>
      </c>
      <c r="E766" s="2">
        <v>10011.0</v>
      </c>
      <c r="F766" s="2" t="s">
        <v>1605</v>
      </c>
      <c r="I766" s="7">
        <v>1.0</v>
      </c>
      <c r="J766" s="6">
        <v>25238.0</v>
      </c>
      <c r="K766" s="2">
        <v>0.0</v>
      </c>
      <c r="L766" s="2">
        <v>25238.0</v>
      </c>
      <c r="M766" s="2">
        <v>0.0</v>
      </c>
      <c r="N766" s="2">
        <v>25238.0</v>
      </c>
      <c r="O766" s="2">
        <v>1262.0</v>
      </c>
      <c r="P766" s="2" t="s">
        <v>1574</v>
      </c>
      <c r="Q766" s="2" t="s">
        <v>1568</v>
      </c>
      <c r="R766" s="2" t="s">
        <v>1569</v>
      </c>
      <c r="S766" s="2" t="s">
        <v>1570</v>
      </c>
      <c r="W766" s="2" t="s">
        <v>1571</v>
      </c>
    </row>
    <row r="767">
      <c r="A767" s="4">
        <v>45549.67361111111</v>
      </c>
      <c r="B767" s="5">
        <v>2695523.0</v>
      </c>
      <c r="C767" s="2" t="s">
        <v>1575</v>
      </c>
      <c r="D767" s="2" t="s">
        <v>1580</v>
      </c>
      <c r="E767" s="2">
        <v>10105.0</v>
      </c>
      <c r="F767" s="2" t="s">
        <v>1611</v>
      </c>
      <c r="I767" s="7">
        <v>1.0</v>
      </c>
      <c r="J767" s="6">
        <v>38095.0</v>
      </c>
      <c r="K767" s="2">
        <v>0.0</v>
      </c>
      <c r="L767" s="2">
        <v>38095.0</v>
      </c>
      <c r="M767" s="2">
        <v>0.0</v>
      </c>
      <c r="N767" s="2">
        <v>38095.0</v>
      </c>
      <c r="O767" s="2">
        <v>1905.0</v>
      </c>
      <c r="P767" s="2" t="s">
        <v>1574</v>
      </c>
      <c r="Q767" s="2" t="s">
        <v>1568</v>
      </c>
      <c r="R767" s="2" t="s">
        <v>1569</v>
      </c>
      <c r="S767" s="2" t="s">
        <v>1570</v>
      </c>
      <c r="W767" s="2" t="s">
        <v>1571</v>
      </c>
    </row>
    <row r="768">
      <c r="A768" s="4">
        <v>45549.67361111111</v>
      </c>
      <c r="B768" s="5">
        <v>2695523.0</v>
      </c>
      <c r="C768" s="2" t="s">
        <v>1575</v>
      </c>
      <c r="D768" s="2" t="s">
        <v>1572</v>
      </c>
      <c r="E768" s="2">
        <v>10119.0</v>
      </c>
      <c r="F768" s="2" t="s">
        <v>1582</v>
      </c>
      <c r="I768" s="7">
        <v>1.0</v>
      </c>
      <c r="J768" s="6">
        <v>7143.0</v>
      </c>
      <c r="K768" s="2">
        <v>0.0</v>
      </c>
      <c r="L768" s="2">
        <v>7143.0</v>
      </c>
      <c r="M768" s="2">
        <v>0.0</v>
      </c>
      <c r="N768" s="2">
        <v>7143.0</v>
      </c>
      <c r="O768" s="2">
        <v>357.0</v>
      </c>
      <c r="P768" s="2" t="s">
        <v>1574</v>
      </c>
      <c r="Q768" s="2" t="s">
        <v>1568</v>
      </c>
      <c r="R768" s="2" t="s">
        <v>1569</v>
      </c>
      <c r="S768" s="2" t="s">
        <v>1570</v>
      </c>
      <c r="W768" s="2" t="s">
        <v>1571</v>
      </c>
    </row>
    <row r="769">
      <c r="A769" s="4">
        <v>45549.65555555555</v>
      </c>
      <c r="B769" s="5">
        <v>2695158.0</v>
      </c>
      <c r="C769" s="2" t="s">
        <v>1575</v>
      </c>
      <c r="D769" s="2" t="s">
        <v>1565</v>
      </c>
      <c r="E769" s="2">
        <v>10002.0</v>
      </c>
      <c r="F769" s="2" t="s">
        <v>1576</v>
      </c>
      <c r="I769" s="7">
        <v>1.0</v>
      </c>
      <c r="J769" s="6">
        <v>18571.0</v>
      </c>
      <c r="K769" s="2">
        <v>0.0</v>
      </c>
      <c r="L769" s="2">
        <v>18571.0</v>
      </c>
      <c r="M769" s="2">
        <v>0.0</v>
      </c>
      <c r="N769" s="2">
        <v>18571.0</v>
      </c>
      <c r="O769" s="2">
        <v>929.0</v>
      </c>
      <c r="P769" s="2" t="s">
        <v>1574</v>
      </c>
      <c r="Q769" s="2" t="s">
        <v>1568</v>
      </c>
      <c r="R769" s="2" t="s">
        <v>1569</v>
      </c>
      <c r="S769" s="2" t="s">
        <v>1570</v>
      </c>
      <c r="W769" s="2" t="s">
        <v>1571</v>
      </c>
    </row>
    <row r="770">
      <c r="A770" s="4">
        <v>45549.654861111114</v>
      </c>
      <c r="B770" s="5">
        <v>2694793.0</v>
      </c>
      <c r="C770" s="2" t="s">
        <v>1575</v>
      </c>
      <c r="D770" s="2" t="s">
        <v>1580</v>
      </c>
      <c r="E770" s="2">
        <v>10104.0</v>
      </c>
      <c r="F770" s="2" t="s">
        <v>1581</v>
      </c>
      <c r="I770" s="7">
        <v>1.0</v>
      </c>
      <c r="J770" s="6">
        <v>34762.0</v>
      </c>
      <c r="K770" s="2">
        <v>0.0</v>
      </c>
      <c r="L770" s="2">
        <v>34762.0</v>
      </c>
      <c r="M770" s="2">
        <v>0.0</v>
      </c>
      <c r="N770" s="2">
        <v>34762.0</v>
      </c>
      <c r="O770" s="2">
        <v>1738.0</v>
      </c>
      <c r="P770" s="2" t="s">
        <v>1574</v>
      </c>
      <c r="Q770" s="2" t="s">
        <v>1568</v>
      </c>
      <c r="R770" s="2" t="s">
        <v>1569</v>
      </c>
      <c r="S770" s="2" t="s">
        <v>1570</v>
      </c>
      <c r="W770" s="2" t="s">
        <v>1571</v>
      </c>
    </row>
    <row r="771">
      <c r="A771" s="4">
        <v>45549.654861111114</v>
      </c>
      <c r="B771" s="5">
        <v>2694793.0</v>
      </c>
      <c r="C771" s="2" t="s">
        <v>1575</v>
      </c>
      <c r="D771" s="2" t="s">
        <v>1580</v>
      </c>
      <c r="E771" s="2">
        <v>10006.0</v>
      </c>
      <c r="F771" s="2" t="s">
        <v>1628</v>
      </c>
      <c r="I771" s="7">
        <v>1.0</v>
      </c>
      <c r="J771" s="6">
        <v>7000.0</v>
      </c>
      <c r="K771" s="2">
        <v>0.0</v>
      </c>
      <c r="L771" s="2">
        <v>7000.0</v>
      </c>
      <c r="M771" s="2">
        <v>0.0</v>
      </c>
      <c r="N771" s="2">
        <v>7000.0</v>
      </c>
      <c r="O771" s="2">
        <v>350.0</v>
      </c>
      <c r="P771" s="2" t="s">
        <v>1574</v>
      </c>
      <c r="Q771" s="2" t="s">
        <v>1568</v>
      </c>
      <c r="R771" s="2" t="s">
        <v>1569</v>
      </c>
      <c r="S771" s="2" t="s">
        <v>1570</v>
      </c>
      <c r="W771" s="2" t="s">
        <v>1571</v>
      </c>
    </row>
    <row r="772">
      <c r="A772" s="4">
        <v>45549.63958333333</v>
      </c>
      <c r="B772" s="5">
        <v>2694428.0</v>
      </c>
      <c r="C772" s="2" t="s">
        <v>1575</v>
      </c>
      <c r="D772" s="2" t="s">
        <v>1580</v>
      </c>
      <c r="E772" s="2">
        <v>10053.0</v>
      </c>
      <c r="F772" s="2" t="s">
        <v>1612</v>
      </c>
      <c r="I772" s="7">
        <v>1.0</v>
      </c>
      <c r="J772" s="6">
        <v>25238.0</v>
      </c>
      <c r="K772" s="2">
        <v>0.0</v>
      </c>
      <c r="L772" s="2">
        <v>25238.0</v>
      </c>
      <c r="M772" s="2">
        <v>0.0</v>
      </c>
      <c r="N772" s="2">
        <v>25238.0</v>
      </c>
      <c r="O772" s="2">
        <v>1262.0</v>
      </c>
      <c r="P772" s="2" t="s">
        <v>1574</v>
      </c>
      <c r="Q772" s="2" t="s">
        <v>1568</v>
      </c>
      <c r="R772" s="2" t="s">
        <v>1569</v>
      </c>
      <c r="S772" s="2" t="s">
        <v>1570</v>
      </c>
      <c r="W772" s="2" t="s">
        <v>1571</v>
      </c>
    </row>
    <row r="773">
      <c r="A773" s="4">
        <v>45549.63958333333</v>
      </c>
      <c r="B773" s="5">
        <v>2694428.0</v>
      </c>
      <c r="C773" s="2" t="s">
        <v>1575</v>
      </c>
      <c r="D773" s="2" t="s">
        <v>1580</v>
      </c>
      <c r="E773" s="2">
        <v>10012.0</v>
      </c>
      <c r="F773" s="2" t="s">
        <v>1602</v>
      </c>
      <c r="I773" s="7">
        <v>2.0</v>
      </c>
      <c r="J773" s="6">
        <v>59048.0</v>
      </c>
      <c r="K773" s="2">
        <v>0.0</v>
      </c>
      <c r="L773" s="2">
        <v>59048.0</v>
      </c>
      <c r="M773" s="2">
        <v>0.0</v>
      </c>
      <c r="N773" s="2">
        <v>59048.0</v>
      </c>
      <c r="O773" s="2">
        <v>2952.0</v>
      </c>
      <c r="P773" s="2" t="s">
        <v>1574</v>
      </c>
      <c r="Q773" s="2" t="s">
        <v>1568</v>
      </c>
      <c r="R773" s="2" t="s">
        <v>1569</v>
      </c>
      <c r="S773" s="2" t="s">
        <v>1570</v>
      </c>
      <c r="W773" s="2" t="s">
        <v>1571</v>
      </c>
    </row>
    <row r="774">
      <c r="A774" s="4">
        <v>45549.63958333333</v>
      </c>
      <c r="B774" s="5">
        <v>2694428.0</v>
      </c>
      <c r="C774" s="2" t="s">
        <v>1575</v>
      </c>
      <c r="D774" s="2" t="s">
        <v>1580</v>
      </c>
      <c r="E774" s="2">
        <v>10105.0</v>
      </c>
      <c r="F774" s="2" t="s">
        <v>1611</v>
      </c>
      <c r="I774" s="7">
        <v>1.0</v>
      </c>
      <c r="J774" s="6">
        <v>38095.0</v>
      </c>
      <c r="K774" s="2">
        <v>0.0</v>
      </c>
      <c r="L774" s="2">
        <v>38095.0</v>
      </c>
      <c r="M774" s="2">
        <v>0.0</v>
      </c>
      <c r="N774" s="2">
        <v>38095.0</v>
      </c>
      <c r="O774" s="2">
        <v>1905.0</v>
      </c>
      <c r="P774" s="2" t="s">
        <v>1574</v>
      </c>
      <c r="Q774" s="2" t="s">
        <v>1568</v>
      </c>
      <c r="R774" s="2" t="s">
        <v>1569</v>
      </c>
      <c r="S774" s="2" t="s">
        <v>1570</v>
      </c>
      <c r="W774" s="2" t="s">
        <v>1571</v>
      </c>
    </row>
    <row r="775">
      <c r="A775" s="4">
        <v>45549.63958333333</v>
      </c>
      <c r="B775" s="5">
        <v>2694428.0</v>
      </c>
      <c r="C775" s="2" t="s">
        <v>1575</v>
      </c>
      <c r="D775" s="2" t="s">
        <v>1572</v>
      </c>
      <c r="E775" s="2">
        <v>10128.0</v>
      </c>
      <c r="F775" s="2" t="s">
        <v>1588</v>
      </c>
      <c r="I775" s="7">
        <v>1.0</v>
      </c>
      <c r="J775" s="6">
        <v>23333.0</v>
      </c>
      <c r="K775" s="2">
        <v>0.0</v>
      </c>
      <c r="L775" s="2">
        <v>23333.0</v>
      </c>
      <c r="M775" s="2">
        <v>0.0</v>
      </c>
      <c r="N775" s="2">
        <v>23333.0</v>
      </c>
      <c r="O775" s="2">
        <v>1167.0</v>
      </c>
      <c r="P775" s="2" t="s">
        <v>1574</v>
      </c>
      <c r="Q775" s="2" t="s">
        <v>1568</v>
      </c>
      <c r="R775" s="2" t="s">
        <v>1569</v>
      </c>
      <c r="S775" s="2" t="s">
        <v>1570</v>
      </c>
      <c r="W775" s="2" t="s">
        <v>1571</v>
      </c>
    </row>
    <row r="776">
      <c r="A776" s="4">
        <v>45549.63958333333</v>
      </c>
      <c r="B776" s="5">
        <v>2694428.0</v>
      </c>
      <c r="C776" s="2" t="s">
        <v>1575</v>
      </c>
      <c r="D776" s="2" t="s">
        <v>1572</v>
      </c>
      <c r="E776" s="2">
        <v>10112.0</v>
      </c>
      <c r="F776" s="2" t="s">
        <v>1573</v>
      </c>
      <c r="I776" s="7">
        <v>2.0</v>
      </c>
      <c r="J776" s="6">
        <v>13334.0</v>
      </c>
      <c r="K776" s="2">
        <v>0.0</v>
      </c>
      <c r="L776" s="2">
        <v>13334.0</v>
      </c>
      <c r="M776" s="2">
        <v>0.0</v>
      </c>
      <c r="N776" s="2">
        <v>13334.0</v>
      </c>
      <c r="O776" s="2">
        <v>666.0</v>
      </c>
      <c r="P776" s="2" t="s">
        <v>1574</v>
      </c>
      <c r="Q776" s="2" t="s">
        <v>1568</v>
      </c>
      <c r="R776" s="2" t="s">
        <v>1569</v>
      </c>
      <c r="S776" s="2" t="s">
        <v>1570</v>
      </c>
      <c r="W776" s="2" t="s">
        <v>1571</v>
      </c>
    </row>
    <row r="777">
      <c r="A777" s="4">
        <v>45549.63958333333</v>
      </c>
      <c r="B777" s="5">
        <v>2694428.0</v>
      </c>
      <c r="C777" s="2" t="s">
        <v>1575</v>
      </c>
      <c r="D777" s="2" t="s">
        <v>1578</v>
      </c>
      <c r="E777" s="2">
        <v>10051.0</v>
      </c>
      <c r="F777" s="2" t="s">
        <v>1579</v>
      </c>
      <c r="I777" s="7">
        <v>1.0</v>
      </c>
      <c r="J777" s="6">
        <v>25238.0</v>
      </c>
      <c r="K777" s="2">
        <v>0.0</v>
      </c>
      <c r="L777" s="2">
        <v>25238.0</v>
      </c>
      <c r="M777" s="2">
        <v>0.0</v>
      </c>
      <c r="N777" s="2">
        <v>25238.0</v>
      </c>
      <c r="O777" s="2">
        <v>1262.0</v>
      </c>
      <c r="P777" s="2" t="s">
        <v>1574</v>
      </c>
      <c r="Q777" s="2" t="s">
        <v>1568</v>
      </c>
      <c r="R777" s="2" t="s">
        <v>1569</v>
      </c>
      <c r="S777" s="2" t="s">
        <v>1570</v>
      </c>
      <c r="W777" s="2" t="s">
        <v>1571</v>
      </c>
    </row>
    <row r="778">
      <c r="A778" s="4">
        <v>45549.63680555556</v>
      </c>
      <c r="B778" s="5">
        <v>2694062.0</v>
      </c>
      <c r="C778" s="2" t="s">
        <v>1575</v>
      </c>
      <c r="D778" s="2" t="s">
        <v>1565</v>
      </c>
      <c r="E778" s="2">
        <v>10002.0</v>
      </c>
      <c r="F778" s="2" t="s">
        <v>1576</v>
      </c>
      <c r="I778" s="7">
        <v>1.0</v>
      </c>
      <c r="J778" s="6">
        <v>18571.0</v>
      </c>
      <c r="K778" s="2">
        <v>0.0</v>
      </c>
      <c r="L778" s="2">
        <v>18571.0</v>
      </c>
      <c r="M778" s="2">
        <v>0.0</v>
      </c>
      <c r="N778" s="2">
        <v>18571.0</v>
      </c>
      <c r="O778" s="2">
        <v>929.0</v>
      </c>
      <c r="P778" s="2" t="s">
        <v>1567</v>
      </c>
      <c r="Q778" s="2" t="s">
        <v>1568</v>
      </c>
      <c r="R778" s="2" t="s">
        <v>1569</v>
      </c>
      <c r="S778" s="2" t="s">
        <v>1570</v>
      </c>
      <c r="W778" s="2" t="s">
        <v>1571</v>
      </c>
    </row>
    <row r="779">
      <c r="A779" s="4">
        <v>45549.60625</v>
      </c>
      <c r="B779" s="5">
        <v>2693697.0</v>
      </c>
      <c r="C779" s="2" t="s">
        <v>1575</v>
      </c>
      <c r="D779" s="2" t="s">
        <v>1578</v>
      </c>
      <c r="E779" s="2">
        <v>10011.0</v>
      </c>
      <c r="F779" s="2" t="s">
        <v>1605</v>
      </c>
      <c r="I779" s="7">
        <v>1.0</v>
      </c>
      <c r="J779" s="6">
        <v>25238.0</v>
      </c>
      <c r="K779" s="2">
        <v>0.0</v>
      </c>
      <c r="L779" s="2">
        <v>25238.0</v>
      </c>
      <c r="M779" s="2">
        <v>0.0</v>
      </c>
      <c r="N779" s="2">
        <v>25238.0</v>
      </c>
      <c r="O779" s="2">
        <v>1262.0</v>
      </c>
      <c r="P779" s="2" t="s">
        <v>1574</v>
      </c>
      <c r="Q779" s="2" t="s">
        <v>1568</v>
      </c>
      <c r="R779" s="2" t="s">
        <v>1569</v>
      </c>
      <c r="S779" s="2" t="s">
        <v>1570</v>
      </c>
      <c r="W779" s="2" t="s">
        <v>1571</v>
      </c>
    </row>
    <row r="780">
      <c r="A780" s="4">
        <v>45549.60138888889</v>
      </c>
      <c r="B780" s="5">
        <v>2693332.0</v>
      </c>
      <c r="C780" s="2" t="s">
        <v>1575</v>
      </c>
      <c r="D780" s="2" t="s">
        <v>1565</v>
      </c>
      <c r="E780" s="2">
        <v>10007.0</v>
      </c>
      <c r="F780" s="2" t="s">
        <v>1596</v>
      </c>
      <c r="I780" s="7">
        <v>1.0</v>
      </c>
      <c r="J780" s="6">
        <v>33810.0</v>
      </c>
      <c r="K780" s="2">
        <v>0.0</v>
      </c>
      <c r="L780" s="2">
        <v>33810.0</v>
      </c>
      <c r="M780" s="2">
        <v>0.0</v>
      </c>
      <c r="N780" s="2">
        <v>33810.0</v>
      </c>
      <c r="O780" s="2">
        <v>1691.0</v>
      </c>
      <c r="P780" s="2" t="s">
        <v>1574</v>
      </c>
      <c r="Q780" s="2" t="s">
        <v>1568</v>
      </c>
      <c r="R780" s="2" t="s">
        <v>1569</v>
      </c>
      <c r="S780" s="2" t="s">
        <v>1570</v>
      </c>
      <c r="W780" s="2" t="s">
        <v>1571</v>
      </c>
    </row>
    <row r="781">
      <c r="A781" s="4">
        <v>45549.60138888889</v>
      </c>
      <c r="B781" s="5">
        <v>2693332.0</v>
      </c>
      <c r="C781" s="2" t="s">
        <v>1575</v>
      </c>
      <c r="D781" s="2" t="s">
        <v>1572</v>
      </c>
      <c r="E781" s="2">
        <v>10128.0</v>
      </c>
      <c r="F781" s="2" t="s">
        <v>1588</v>
      </c>
      <c r="I781" s="7">
        <v>1.0</v>
      </c>
      <c r="J781" s="6">
        <v>23333.0</v>
      </c>
      <c r="K781" s="2">
        <v>0.0</v>
      </c>
      <c r="L781" s="2">
        <v>23333.0</v>
      </c>
      <c r="M781" s="2">
        <v>0.0</v>
      </c>
      <c r="N781" s="2">
        <v>23333.0</v>
      </c>
      <c r="O781" s="2">
        <v>1166.0</v>
      </c>
      <c r="P781" s="2" t="s">
        <v>1574</v>
      </c>
      <c r="Q781" s="2" t="s">
        <v>1568</v>
      </c>
      <c r="R781" s="2" t="s">
        <v>1569</v>
      </c>
      <c r="S781" s="2" t="s">
        <v>1570</v>
      </c>
      <c r="W781" s="2" t="s">
        <v>1571</v>
      </c>
    </row>
    <row r="782">
      <c r="A782" s="4">
        <v>45549.60138888889</v>
      </c>
      <c r="B782" s="5">
        <v>2693332.0</v>
      </c>
      <c r="C782" s="2" t="s">
        <v>1575</v>
      </c>
      <c r="D782" s="2" t="s">
        <v>1572</v>
      </c>
      <c r="E782" s="2">
        <v>10121.0</v>
      </c>
      <c r="F782" s="2" t="s">
        <v>1617</v>
      </c>
      <c r="I782" s="7">
        <v>1.0</v>
      </c>
      <c r="J782" s="6">
        <v>19524.0</v>
      </c>
      <c r="K782" s="2">
        <v>0.0</v>
      </c>
      <c r="L782" s="2">
        <v>19524.0</v>
      </c>
      <c r="M782" s="2">
        <v>0.0</v>
      </c>
      <c r="N782" s="2">
        <v>19524.0</v>
      </c>
      <c r="O782" s="2">
        <v>976.0</v>
      </c>
      <c r="P782" s="2" t="s">
        <v>1574</v>
      </c>
      <c r="Q782" s="2" t="s">
        <v>1568</v>
      </c>
      <c r="R782" s="2" t="s">
        <v>1569</v>
      </c>
      <c r="S782" s="2" t="s">
        <v>1570</v>
      </c>
      <c r="W782" s="2" t="s">
        <v>1571</v>
      </c>
    </row>
    <row r="783">
      <c r="A783" s="4">
        <v>45549.60138888889</v>
      </c>
      <c r="B783" s="5">
        <v>2693332.0</v>
      </c>
      <c r="C783" s="2" t="s">
        <v>1575</v>
      </c>
      <c r="D783" s="2" t="s">
        <v>1578</v>
      </c>
      <c r="E783" s="2">
        <v>10051.0</v>
      </c>
      <c r="F783" s="2" t="s">
        <v>1579</v>
      </c>
      <c r="I783" s="7">
        <v>1.0</v>
      </c>
      <c r="J783" s="6">
        <v>25238.0</v>
      </c>
      <c r="K783" s="2">
        <v>0.0</v>
      </c>
      <c r="L783" s="2">
        <v>25238.0</v>
      </c>
      <c r="M783" s="2">
        <v>0.0</v>
      </c>
      <c r="N783" s="2">
        <v>25238.0</v>
      </c>
      <c r="O783" s="2">
        <v>1262.0</v>
      </c>
      <c r="P783" s="2" t="s">
        <v>1574</v>
      </c>
      <c r="Q783" s="2" t="s">
        <v>1568</v>
      </c>
      <c r="R783" s="2" t="s">
        <v>1569</v>
      </c>
      <c r="S783" s="2" t="s">
        <v>1570</v>
      </c>
      <c r="W783" s="2" t="s">
        <v>1571</v>
      </c>
    </row>
    <row r="784">
      <c r="A784" s="4">
        <v>45549.58611111111</v>
      </c>
      <c r="B784" s="5">
        <v>2692967.0</v>
      </c>
      <c r="C784" s="2" t="s">
        <v>1575</v>
      </c>
      <c r="D784" s="2" t="s">
        <v>1565</v>
      </c>
      <c r="E784" s="2">
        <v>10005.0</v>
      </c>
      <c r="F784" s="2" t="s">
        <v>1595</v>
      </c>
      <c r="I784" s="7">
        <v>1.0</v>
      </c>
      <c r="J784" s="6">
        <v>19524.0</v>
      </c>
      <c r="K784" s="2">
        <v>0.0</v>
      </c>
      <c r="L784" s="2">
        <v>19524.0</v>
      </c>
      <c r="M784" s="2">
        <v>0.0</v>
      </c>
      <c r="N784" s="2">
        <v>19524.0</v>
      </c>
      <c r="O784" s="2">
        <v>976.0</v>
      </c>
      <c r="P784" s="2" t="s">
        <v>1574</v>
      </c>
      <c r="Q784" s="2" t="s">
        <v>1568</v>
      </c>
      <c r="R784" s="2" t="s">
        <v>1569</v>
      </c>
      <c r="S784" s="2" t="s">
        <v>1570</v>
      </c>
      <c r="W784" s="2" t="s">
        <v>1571</v>
      </c>
    </row>
    <row r="785">
      <c r="A785" s="4">
        <v>45549.57708333333</v>
      </c>
      <c r="B785" s="5">
        <v>2692601.0</v>
      </c>
      <c r="C785" s="2" t="s">
        <v>1575</v>
      </c>
      <c r="D785" s="2" t="s">
        <v>1565</v>
      </c>
      <c r="E785" s="2">
        <v>10002.0</v>
      </c>
      <c r="F785" s="2" t="s">
        <v>1576</v>
      </c>
      <c r="I785" s="7">
        <v>1.0</v>
      </c>
      <c r="J785" s="6">
        <v>18571.0</v>
      </c>
      <c r="K785" s="2">
        <v>0.0</v>
      </c>
      <c r="L785" s="2">
        <v>18571.0</v>
      </c>
      <c r="M785" s="2">
        <v>0.0</v>
      </c>
      <c r="N785" s="2">
        <v>18571.0</v>
      </c>
      <c r="O785" s="2">
        <v>929.0</v>
      </c>
      <c r="P785" s="2" t="s">
        <v>1574</v>
      </c>
      <c r="Q785" s="2" t="s">
        <v>1568</v>
      </c>
      <c r="R785" s="2" t="s">
        <v>1569</v>
      </c>
      <c r="S785" s="2" t="s">
        <v>1570</v>
      </c>
      <c r="W785" s="2" t="s">
        <v>1571</v>
      </c>
    </row>
    <row r="786">
      <c r="A786" s="4">
        <v>45549.57638888889</v>
      </c>
      <c r="B786" s="5">
        <v>2692236.0</v>
      </c>
      <c r="C786" s="2" t="s">
        <v>1575</v>
      </c>
      <c r="D786" s="2" t="s">
        <v>1572</v>
      </c>
      <c r="E786" s="2">
        <v>10112.0</v>
      </c>
      <c r="F786" s="2" t="s">
        <v>1573</v>
      </c>
      <c r="I786" s="7">
        <v>1.0</v>
      </c>
      <c r="J786" s="6">
        <v>6667.0</v>
      </c>
      <c r="K786" s="2">
        <v>0.0</v>
      </c>
      <c r="L786" s="2">
        <v>6667.0</v>
      </c>
      <c r="M786" s="2">
        <v>0.0</v>
      </c>
      <c r="N786" s="2">
        <v>6667.0</v>
      </c>
      <c r="O786" s="2">
        <v>333.0</v>
      </c>
      <c r="P786" s="2" t="s">
        <v>1574</v>
      </c>
      <c r="Q786" s="2" t="s">
        <v>1568</v>
      </c>
      <c r="R786" s="2" t="s">
        <v>1569</v>
      </c>
      <c r="S786" s="2" t="s">
        <v>1570</v>
      </c>
      <c r="W786" s="2" t="s">
        <v>1571</v>
      </c>
    </row>
    <row r="787">
      <c r="A787" s="4">
        <v>45549.57638888889</v>
      </c>
      <c r="B787" s="5">
        <v>2692236.0</v>
      </c>
      <c r="C787" s="2" t="s">
        <v>1575</v>
      </c>
      <c r="D787" s="2" t="s">
        <v>1565</v>
      </c>
      <c r="E787" s="2">
        <v>10002.0</v>
      </c>
      <c r="F787" s="2" t="s">
        <v>1576</v>
      </c>
      <c r="I787" s="7">
        <v>1.0</v>
      </c>
      <c r="J787" s="6">
        <v>18571.0</v>
      </c>
      <c r="K787" s="2">
        <v>0.0</v>
      </c>
      <c r="L787" s="2">
        <v>18571.0</v>
      </c>
      <c r="M787" s="2">
        <v>0.0</v>
      </c>
      <c r="N787" s="2">
        <v>18571.0</v>
      </c>
      <c r="O787" s="2">
        <v>929.0</v>
      </c>
      <c r="P787" s="2" t="s">
        <v>1574</v>
      </c>
      <c r="Q787" s="2" t="s">
        <v>1568</v>
      </c>
      <c r="R787" s="2" t="s">
        <v>1569</v>
      </c>
      <c r="S787" s="2" t="s">
        <v>1570</v>
      </c>
      <c r="W787" s="2" t="s">
        <v>1571</v>
      </c>
    </row>
    <row r="788">
      <c r="A788" s="4">
        <v>45549.56597222222</v>
      </c>
      <c r="B788" s="5">
        <v>2691871.0</v>
      </c>
      <c r="C788" s="2" t="s">
        <v>1575</v>
      </c>
      <c r="D788" s="2" t="s">
        <v>1580</v>
      </c>
      <c r="E788" s="2">
        <v>10105.0</v>
      </c>
      <c r="F788" s="2" t="s">
        <v>1611</v>
      </c>
      <c r="I788" s="7">
        <v>1.0</v>
      </c>
      <c r="J788" s="6">
        <v>38095.0</v>
      </c>
      <c r="K788" s="2">
        <v>0.0</v>
      </c>
      <c r="L788" s="2">
        <v>38095.0</v>
      </c>
      <c r="M788" s="2">
        <v>0.0</v>
      </c>
      <c r="N788" s="2">
        <v>38095.0</v>
      </c>
      <c r="O788" s="2">
        <v>1905.0</v>
      </c>
      <c r="P788" s="2" t="s">
        <v>1574</v>
      </c>
      <c r="Q788" s="2" t="s">
        <v>1568</v>
      </c>
      <c r="R788" s="2" t="s">
        <v>1569</v>
      </c>
      <c r="S788" s="2" t="s">
        <v>1570</v>
      </c>
      <c r="W788" s="2" t="s">
        <v>1571</v>
      </c>
    </row>
    <row r="789">
      <c r="A789" s="4">
        <v>45549.56597222222</v>
      </c>
      <c r="B789" s="5">
        <v>2691871.0</v>
      </c>
      <c r="C789" s="2" t="s">
        <v>1575</v>
      </c>
      <c r="D789" s="2" t="s">
        <v>1580</v>
      </c>
      <c r="E789" s="2">
        <v>10012.0</v>
      </c>
      <c r="F789" s="2" t="s">
        <v>1602</v>
      </c>
      <c r="I789" s="7">
        <v>1.0</v>
      </c>
      <c r="J789" s="6">
        <v>29524.0</v>
      </c>
      <c r="K789" s="2">
        <v>0.0</v>
      </c>
      <c r="L789" s="2">
        <v>29524.0</v>
      </c>
      <c r="M789" s="2">
        <v>0.0</v>
      </c>
      <c r="N789" s="2">
        <v>29524.0</v>
      </c>
      <c r="O789" s="2">
        <v>1476.0</v>
      </c>
      <c r="P789" s="2" t="s">
        <v>1574</v>
      </c>
      <c r="Q789" s="2" t="s">
        <v>1568</v>
      </c>
      <c r="R789" s="2" t="s">
        <v>1569</v>
      </c>
      <c r="S789" s="2" t="s">
        <v>1570</v>
      </c>
      <c r="W789" s="2" t="s">
        <v>1571</v>
      </c>
    </row>
    <row r="790">
      <c r="A790" s="4">
        <v>45549.56597222222</v>
      </c>
      <c r="B790" s="5">
        <v>2691871.0</v>
      </c>
      <c r="C790" s="2" t="s">
        <v>1575</v>
      </c>
      <c r="D790" s="2" t="s">
        <v>1572</v>
      </c>
      <c r="E790" s="2">
        <v>10128.0</v>
      </c>
      <c r="F790" s="2" t="s">
        <v>1588</v>
      </c>
      <c r="I790" s="7">
        <v>1.0</v>
      </c>
      <c r="J790" s="6">
        <v>23333.0</v>
      </c>
      <c r="K790" s="2">
        <v>0.0</v>
      </c>
      <c r="L790" s="2">
        <v>23333.0</v>
      </c>
      <c r="M790" s="2">
        <v>0.0</v>
      </c>
      <c r="N790" s="2">
        <v>23333.0</v>
      </c>
      <c r="O790" s="2">
        <v>1167.0</v>
      </c>
      <c r="P790" s="2" t="s">
        <v>1574</v>
      </c>
      <c r="Q790" s="2" t="s">
        <v>1568</v>
      </c>
      <c r="R790" s="2" t="s">
        <v>1569</v>
      </c>
      <c r="S790" s="2" t="s">
        <v>1570</v>
      </c>
      <c r="W790" s="2" t="s">
        <v>1571</v>
      </c>
    </row>
    <row r="791">
      <c r="A791" s="4">
        <v>45549.56180555555</v>
      </c>
      <c r="B791" s="5">
        <v>2691506.0</v>
      </c>
      <c r="C791" s="2" t="s">
        <v>1575</v>
      </c>
      <c r="D791" s="2" t="s">
        <v>1565</v>
      </c>
      <c r="E791" s="2">
        <v>10002.0</v>
      </c>
      <c r="F791" s="2" t="s">
        <v>1576</v>
      </c>
      <c r="I791" s="7">
        <v>1.0</v>
      </c>
      <c r="J791" s="6">
        <v>18571.0</v>
      </c>
      <c r="K791" s="2">
        <v>0.0</v>
      </c>
      <c r="L791" s="2">
        <v>18571.0</v>
      </c>
      <c r="M791" s="2">
        <v>0.0</v>
      </c>
      <c r="N791" s="2">
        <v>18571.0</v>
      </c>
      <c r="O791" s="2">
        <v>929.0</v>
      </c>
      <c r="P791" s="2" t="s">
        <v>1574</v>
      </c>
      <c r="Q791" s="2" t="s">
        <v>1568</v>
      </c>
      <c r="R791" s="2" t="s">
        <v>1569</v>
      </c>
      <c r="S791" s="2" t="s">
        <v>1570</v>
      </c>
      <c r="W791" s="2" t="s">
        <v>1571</v>
      </c>
    </row>
    <row r="792">
      <c r="A792" s="4">
        <v>45549.56180555555</v>
      </c>
      <c r="B792" s="5">
        <v>2691140.0</v>
      </c>
      <c r="C792" s="2" t="s">
        <v>1575</v>
      </c>
      <c r="D792" s="2" t="s">
        <v>1565</v>
      </c>
      <c r="E792" s="2">
        <v>10055.0</v>
      </c>
      <c r="F792" s="2" t="s">
        <v>1597</v>
      </c>
      <c r="I792" s="7">
        <v>1.0</v>
      </c>
      <c r="J792" s="6">
        <v>34762.0</v>
      </c>
      <c r="K792" s="2">
        <v>0.0</v>
      </c>
      <c r="L792" s="2">
        <v>34762.0</v>
      </c>
      <c r="M792" s="2">
        <v>0.0</v>
      </c>
      <c r="N792" s="2">
        <v>34762.0</v>
      </c>
      <c r="O792" s="2">
        <v>1738.0</v>
      </c>
      <c r="P792" s="2" t="s">
        <v>1574</v>
      </c>
      <c r="Q792" s="2" t="s">
        <v>1568</v>
      </c>
      <c r="R792" s="2" t="s">
        <v>1569</v>
      </c>
      <c r="S792" s="2" t="s">
        <v>1570</v>
      </c>
      <c r="W792" s="2" t="s">
        <v>1571</v>
      </c>
    </row>
    <row r="793">
      <c r="A793" s="4">
        <v>45549.549305555556</v>
      </c>
      <c r="B793" s="5">
        <v>2690775.0</v>
      </c>
      <c r="C793" s="2" t="s">
        <v>1575</v>
      </c>
      <c r="D793" s="2" t="s">
        <v>1565</v>
      </c>
      <c r="E793" s="2">
        <v>10002.0</v>
      </c>
      <c r="F793" s="2" t="s">
        <v>1576</v>
      </c>
      <c r="I793" s="7">
        <v>1.0</v>
      </c>
      <c r="J793" s="6">
        <v>18571.0</v>
      </c>
      <c r="K793" s="2">
        <v>0.0</v>
      </c>
      <c r="L793" s="2">
        <v>18571.0</v>
      </c>
      <c r="M793" s="2">
        <v>0.0</v>
      </c>
      <c r="N793" s="2">
        <v>18571.0</v>
      </c>
      <c r="O793" s="2">
        <v>929.0</v>
      </c>
      <c r="P793" s="2" t="s">
        <v>1574</v>
      </c>
      <c r="Q793" s="2" t="s">
        <v>1568</v>
      </c>
      <c r="R793" s="2" t="s">
        <v>1569</v>
      </c>
      <c r="S793" s="2" t="s">
        <v>1570</v>
      </c>
      <c r="W793" s="2" t="s">
        <v>1571</v>
      </c>
    </row>
    <row r="794">
      <c r="A794" s="4">
        <v>45549.549305555556</v>
      </c>
      <c r="B794" s="5">
        <v>2690775.0</v>
      </c>
      <c r="C794" s="2" t="s">
        <v>1575</v>
      </c>
      <c r="D794" s="2" t="s">
        <v>1572</v>
      </c>
      <c r="E794" s="2">
        <v>10128.0</v>
      </c>
      <c r="F794" s="2" t="s">
        <v>1588</v>
      </c>
      <c r="I794" s="7">
        <v>1.0</v>
      </c>
      <c r="J794" s="6">
        <v>23333.0</v>
      </c>
      <c r="K794" s="2">
        <v>0.0</v>
      </c>
      <c r="L794" s="2">
        <v>23333.0</v>
      </c>
      <c r="M794" s="2">
        <v>0.0</v>
      </c>
      <c r="N794" s="2">
        <v>23333.0</v>
      </c>
      <c r="O794" s="2">
        <v>1166.0</v>
      </c>
      <c r="P794" s="2" t="s">
        <v>1574</v>
      </c>
      <c r="Q794" s="2" t="s">
        <v>1568</v>
      </c>
      <c r="R794" s="2" t="s">
        <v>1569</v>
      </c>
      <c r="S794" s="2" t="s">
        <v>1570</v>
      </c>
      <c r="W794" s="2" t="s">
        <v>1571</v>
      </c>
    </row>
    <row r="795">
      <c r="A795" s="4">
        <v>45549.549305555556</v>
      </c>
      <c r="B795" s="5">
        <v>2690775.0</v>
      </c>
      <c r="C795" s="2" t="s">
        <v>1575</v>
      </c>
      <c r="D795" s="2" t="s">
        <v>1580</v>
      </c>
      <c r="E795" s="2">
        <v>10105.0</v>
      </c>
      <c r="F795" s="2" t="s">
        <v>1611</v>
      </c>
      <c r="I795" s="7">
        <v>1.0</v>
      </c>
      <c r="J795" s="6">
        <v>38095.0</v>
      </c>
      <c r="K795" s="2">
        <v>0.0</v>
      </c>
      <c r="L795" s="2">
        <v>38095.0</v>
      </c>
      <c r="M795" s="2">
        <v>0.0</v>
      </c>
      <c r="N795" s="2">
        <v>38095.0</v>
      </c>
      <c r="O795" s="2">
        <v>1905.0</v>
      </c>
      <c r="P795" s="2" t="s">
        <v>1574</v>
      </c>
      <c r="Q795" s="2" t="s">
        <v>1568</v>
      </c>
      <c r="R795" s="2" t="s">
        <v>1569</v>
      </c>
      <c r="S795" s="2" t="s">
        <v>1570</v>
      </c>
      <c r="W795" s="2" t="s">
        <v>1571</v>
      </c>
    </row>
    <row r="796">
      <c r="A796" s="4">
        <v>45549.54236111111</v>
      </c>
      <c r="B796" s="5">
        <v>2690410.0</v>
      </c>
      <c r="C796" s="2" t="s">
        <v>1575</v>
      </c>
      <c r="D796" s="2" t="s">
        <v>1580</v>
      </c>
      <c r="E796" s="2">
        <v>10012.0</v>
      </c>
      <c r="F796" s="2" t="s">
        <v>1602</v>
      </c>
      <c r="I796" s="7">
        <v>1.0</v>
      </c>
      <c r="J796" s="6">
        <v>29524.0</v>
      </c>
      <c r="K796" s="2">
        <v>0.0</v>
      </c>
      <c r="L796" s="2">
        <v>29524.0</v>
      </c>
      <c r="M796" s="2">
        <v>0.0</v>
      </c>
      <c r="N796" s="2">
        <v>29524.0</v>
      </c>
      <c r="O796" s="2">
        <v>1476.0</v>
      </c>
      <c r="P796" s="2" t="s">
        <v>1574</v>
      </c>
      <c r="Q796" s="2" t="s">
        <v>1568</v>
      </c>
      <c r="R796" s="2" t="s">
        <v>1569</v>
      </c>
      <c r="S796" s="2" t="s">
        <v>1570</v>
      </c>
      <c r="W796" s="2" t="s">
        <v>1571</v>
      </c>
    </row>
    <row r="797">
      <c r="A797" s="4">
        <v>45549.54236111111</v>
      </c>
      <c r="B797" s="5">
        <v>2690410.0</v>
      </c>
      <c r="C797" s="2" t="s">
        <v>1575</v>
      </c>
      <c r="D797" s="2" t="s">
        <v>1578</v>
      </c>
      <c r="E797" s="2">
        <v>10004.0</v>
      </c>
      <c r="F797" s="2" t="s">
        <v>1607</v>
      </c>
      <c r="I797" s="7">
        <v>1.0</v>
      </c>
      <c r="J797" s="6">
        <v>25238.0</v>
      </c>
      <c r="K797" s="2">
        <v>0.0</v>
      </c>
      <c r="L797" s="2">
        <v>25238.0</v>
      </c>
      <c r="M797" s="2">
        <v>0.0</v>
      </c>
      <c r="N797" s="2">
        <v>25238.0</v>
      </c>
      <c r="O797" s="2">
        <v>1262.0</v>
      </c>
      <c r="P797" s="2" t="s">
        <v>1574</v>
      </c>
      <c r="Q797" s="2" t="s">
        <v>1568</v>
      </c>
      <c r="R797" s="2" t="s">
        <v>1569</v>
      </c>
      <c r="S797" s="2" t="s">
        <v>1570</v>
      </c>
      <c r="W797" s="2" t="s">
        <v>1571</v>
      </c>
    </row>
    <row r="798">
      <c r="A798" s="4">
        <v>45549.532638888886</v>
      </c>
      <c r="B798" s="5">
        <v>2690045.0</v>
      </c>
      <c r="C798" s="2" t="s">
        <v>1575</v>
      </c>
      <c r="D798" s="2" t="s">
        <v>1580</v>
      </c>
      <c r="E798" s="2">
        <v>10012.0</v>
      </c>
      <c r="F798" s="2" t="s">
        <v>1602</v>
      </c>
      <c r="I798" s="7">
        <v>1.0</v>
      </c>
      <c r="J798" s="6">
        <v>29524.0</v>
      </c>
      <c r="K798" s="2">
        <v>0.0</v>
      </c>
      <c r="L798" s="2">
        <v>29524.0</v>
      </c>
      <c r="M798" s="2">
        <v>0.0</v>
      </c>
      <c r="N798" s="2">
        <v>29524.0</v>
      </c>
      <c r="O798" s="2">
        <v>1476.0</v>
      </c>
      <c r="P798" s="2" t="s">
        <v>1574</v>
      </c>
      <c r="Q798" s="2" t="s">
        <v>1568</v>
      </c>
      <c r="R798" s="2" t="s">
        <v>1569</v>
      </c>
      <c r="S798" s="2" t="s">
        <v>1570</v>
      </c>
      <c r="W798" s="2" t="s">
        <v>1571</v>
      </c>
    </row>
    <row r="799">
      <c r="A799" s="4">
        <v>45549.532638888886</v>
      </c>
      <c r="B799" s="5">
        <v>2690045.0</v>
      </c>
      <c r="C799" s="2" t="s">
        <v>1575</v>
      </c>
      <c r="D799" s="2" t="s">
        <v>1578</v>
      </c>
      <c r="E799" s="2">
        <v>10014.0</v>
      </c>
      <c r="F799" s="2" t="s">
        <v>1609</v>
      </c>
      <c r="I799" s="7">
        <v>1.0</v>
      </c>
      <c r="J799" s="6">
        <v>25238.0</v>
      </c>
      <c r="K799" s="2">
        <v>0.0</v>
      </c>
      <c r="L799" s="2">
        <v>25238.0</v>
      </c>
      <c r="M799" s="2">
        <v>0.0</v>
      </c>
      <c r="N799" s="2">
        <v>25238.0</v>
      </c>
      <c r="O799" s="2">
        <v>1262.0</v>
      </c>
      <c r="P799" s="2" t="s">
        <v>1574</v>
      </c>
      <c r="Q799" s="2" t="s">
        <v>1568</v>
      </c>
      <c r="R799" s="2" t="s">
        <v>1569</v>
      </c>
      <c r="S799" s="2" t="s">
        <v>1570</v>
      </c>
      <c r="W799" s="2" t="s">
        <v>1571</v>
      </c>
    </row>
    <row r="800">
      <c r="A800" s="4">
        <v>45549.532638888886</v>
      </c>
      <c r="B800" s="5">
        <v>2690045.0</v>
      </c>
      <c r="C800" s="2" t="s">
        <v>1575</v>
      </c>
      <c r="D800" s="2" t="s">
        <v>1572</v>
      </c>
      <c r="E800" s="2">
        <v>10122.0</v>
      </c>
      <c r="F800" s="2" t="s">
        <v>1577</v>
      </c>
      <c r="I800" s="7">
        <v>1.0</v>
      </c>
      <c r="J800" s="6">
        <v>21905.0</v>
      </c>
      <c r="K800" s="2">
        <v>0.0</v>
      </c>
      <c r="L800" s="2">
        <v>21905.0</v>
      </c>
      <c r="M800" s="2">
        <v>0.0</v>
      </c>
      <c r="N800" s="2">
        <v>21905.0</v>
      </c>
      <c r="O800" s="2">
        <v>1095.0</v>
      </c>
      <c r="P800" s="2" t="s">
        <v>1574</v>
      </c>
      <c r="Q800" s="2" t="s">
        <v>1568</v>
      </c>
      <c r="R800" s="2" t="s">
        <v>1569</v>
      </c>
      <c r="S800" s="2" t="s">
        <v>1570</v>
      </c>
      <c r="W800" s="2" t="s">
        <v>1571</v>
      </c>
    </row>
    <row r="801">
      <c r="A801" s="4">
        <v>45549.532638888886</v>
      </c>
      <c r="B801" s="5">
        <v>2690045.0</v>
      </c>
      <c r="C801" s="2" t="s">
        <v>1575</v>
      </c>
      <c r="D801" s="2" t="s">
        <v>1572</v>
      </c>
      <c r="E801" s="2">
        <v>10116.0</v>
      </c>
      <c r="F801" s="2" t="s">
        <v>1619</v>
      </c>
      <c r="I801" s="7">
        <v>1.0</v>
      </c>
      <c r="J801" s="6">
        <v>14286.0</v>
      </c>
      <c r="K801" s="2">
        <v>0.0</v>
      </c>
      <c r="L801" s="2">
        <v>14286.0</v>
      </c>
      <c r="M801" s="2">
        <v>0.0</v>
      </c>
      <c r="N801" s="2">
        <v>14286.0</v>
      </c>
      <c r="O801" s="2">
        <v>715.0</v>
      </c>
      <c r="P801" s="2" t="s">
        <v>1574</v>
      </c>
      <c r="Q801" s="2" t="s">
        <v>1568</v>
      </c>
      <c r="R801" s="2" t="s">
        <v>1569</v>
      </c>
      <c r="S801" s="2" t="s">
        <v>1570</v>
      </c>
      <c r="W801" s="2" t="s">
        <v>1571</v>
      </c>
    </row>
    <row r="802">
      <c r="A802" s="4">
        <v>45549.5125</v>
      </c>
      <c r="B802" s="5">
        <v>2689679.0</v>
      </c>
      <c r="C802" s="2" t="s">
        <v>1575</v>
      </c>
      <c r="D802" s="2" t="s">
        <v>1565</v>
      </c>
      <c r="E802" s="2">
        <v>10002.0</v>
      </c>
      <c r="F802" s="2" t="s">
        <v>1576</v>
      </c>
      <c r="I802" s="7">
        <v>1.0</v>
      </c>
      <c r="J802" s="6">
        <v>18571.0</v>
      </c>
      <c r="K802" s="2">
        <v>0.0</v>
      </c>
      <c r="L802" s="2">
        <v>18571.0</v>
      </c>
      <c r="M802" s="2">
        <v>0.0</v>
      </c>
      <c r="N802" s="2">
        <v>18571.0</v>
      </c>
      <c r="O802" s="2">
        <v>929.0</v>
      </c>
      <c r="P802" s="2" t="s">
        <v>1574</v>
      </c>
      <c r="Q802" s="2" t="s">
        <v>1568</v>
      </c>
      <c r="R802" s="2" t="s">
        <v>1569</v>
      </c>
      <c r="S802" s="2" t="s">
        <v>1570</v>
      </c>
      <c r="W802" s="2" t="s">
        <v>1571</v>
      </c>
    </row>
    <row r="803">
      <c r="A803" s="4">
        <v>45549.5125</v>
      </c>
      <c r="B803" s="5">
        <v>2689679.0</v>
      </c>
      <c r="C803" s="2" t="s">
        <v>1575</v>
      </c>
      <c r="D803" s="2" t="s">
        <v>1565</v>
      </c>
      <c r="E803" s="2">
        <v>10000.0</v>
      </c>
      <c r="F803" s="2" t="s">
        <v>1566</v>
      </c>
      <c r="I803" s="7">
        <v>1.0</v>
      </c>
      <c r="J803" s="6">
        <v>29524.0</v>
      </c>
      <c r="K803" s="2">
        <v>0.0</v>
      </c>
      <c r="L803" s="2">
        <v>29524.0</v>
      </c>
      <c r="M803" s="2">
        <v>0.0</v>
      </c>
      <c r="N803" s="2">
        <v>29524.0</v>
      </c>
      <c r="O803" s="2">
        <v>1476.0</v>
      </c>
      <c r="P803" s="2" t="s">
        <v>1574</v>
      </c>
      <c r="Q803" s="2" t="s">
        <v>1568</v>
      </c>
      <c r="R803" s="2" t="s">
        <v>1569</v>
      </c>
      <c r="S803" s="2" t="s">
        <v>1570</v>
      </c>
      <c r="W803" s="2" t="s">
        <v>1571</v>
      </c>
    </row>
    <row r="804">
      <c r="A804" s="4">
        <v>45549.50763888889</v>
      </c>
      <c r="B804" s="5">
        <v>2689314.0</v>
      </c>
      <c r="C804" s="2" t="s">
        <v>1575</v>
      </c>
      <c r="D804" s="2" t="s">
        <v>1565</v>
      </c>
      <c r="E804" s="2">
        <v>10002.0</v>
      </c>
      <c r="F804" s="2" t="s">
        <v>1576</v>
      </c>
      <c r="I804" s="7">
        <v>1.0</v>
      </c>
      <c r="J804" s="6">
        <v>18571.0</v>
      </c>
      <c r="K804" s="2">
        <v>0.0</v>
      </c>
      <c r="L804" s="2">
        <v>18571.0</v>
      </c>
      <c r="M804" s="2">
        <v>0.0</v>
      </c>
      <c r="N804" s="2">
        <v>18571.0</v>
      </c>
      <c r="O804" s="2">
        <v>929.0</v>
      </c>
      <c r="P804" s="2" t="s">
        <v>1574</v>
      </c>
      <c r="Q804" s="2" t="s">
        <v>1568</v>
      </c>
      <c r="R804" s="2" t="s">
        <v>1569</v>
      </c>
      <c r="S804" s="2" t="s">
        <v>1570</v>
      </c>
      <c r="W804" s="2" t="s">
        <v>1571</v>
      </c>
    </row>
    <row r="805">
      <c r="A805" s="4">
        <v>45549.50763888889</v>
      </c>
      <c r="B805" s="5">
        <v>2689314.0</v>
      </c>
      <c r="C805" s="2" t="s">
        <v>1575</v>
      </c>
      <c r="D805" s="2" t="s">
        <v>1572</v>
      </c>
      <c r="E805" s="2">
        <v>10121.0</v>
      </c>
      <c r="F805" s="2" t="s">
        <v>1617</v>
      </c>
      <c r="I805" s="7">
        <v>1.0</v>
      </c>
      <c r="J805" s="6">
        <v>19524.0</v>
      </c>
      <c r="K805" s="2">
        <v>0.0</v>
      </c>
      <c r="L805" s="2">
        <v>19524.0</v>
      </c>
      <c r="M805" s="2">
        <v>0.0</v>
      </c>
      <c r="N805" s="2">
        <v>19524.0</v>
      </c>
      <c r="O805" s="2">
        <v>976.0</v>
      </c>
      <c r="P805" s="2" t="s">
        <v>1574</v>
      </c>
      <c r="Q805" s="2" t="s">
        <v>1568</v>
      </c>
      <c r="R805" s="2" t="s">
        <v>1569</v>
      </c>
      <c r="S805" s="2" t="s">
        <v>1570</v>
      </c>
      <c r="W805" s="2" t="s">
        <v>1571</v>
      </c>
    </row>
    <row r="806">
      <c r="A806" s="4">
        <v>45549.48402777778</v>
      </c>
      <c r="B806" s="5">
        <v>2688949.0</v>
      </c>
      <c r="C806" s="2" t="s">
        <v>1575</v>
      </c>
      <c r="D806" s="2" t="s">
        <v>1565</v>
      </c>
      <c r="E806" s="2">
        <v>10034.0</v>
      </c>
      <c r="F806" s="2" t="s">
        <v>1616</v>
      </c>
      <c r="I806" s="7">
        <v>1.0</v>
      </c>
      <c r="J806" s="6">
        <v>21905.0</v>
      </c>
      <c r="K806" s="2">
        <v>0.0</v>
      </c>
      <c r="L806" s="2">
        <v>21905.0</v>
      </c>
      <c r="M806" s="2">
        <v>0.0</v>
      </c>
      <c r="N806" s="2">
        <v>21905.0</v>
      </c>
      <c r="O806" s="2">
        <v>1095.0</v>
      </c>
      <c r="P806" s="2" t="s">
        <v>1574</v>
      </c>
      <c r="Q806" s="2" t="s">
        <v>1568</v>
      </c>
      <c r="R806" s="2" t="s">
        <v>1569</v>
      </c>
      <c r="S806" s="2" t="s">
        <v>1570</v>
      </c>
      <c r="W806" s="2" t="s">
        <v>1571</v>
      </c>
    </row>
    <row r="807">
      <c r="A807" s="4">
        <v>45549.48402777778</v>
      </c>
      <c r="B807" s="5">
        <v>2688949.0</v>
      </c>
      <c r="C807" s="2" t="s">
        <v>1575</v>
      </c>
      <c r="D807" s="2" t="s">
        <v>1572</v>
      </c>
      <c r="E807" s="2">
        <v>10128.0</v>
      </c>
      <c r="F807" s="2" t="s">
        <v>1588</v>
      </c>
      <c r="I807" s="7">
        <v>1.0</v>
      </c>
      <c r="J807" s="6">
        <v>23333.0</v>
      </c>
      <c r="K807" s="2">
        <v>0.0</v>
      </c>
      <c r="L807" s="2">
        <v>23333.0</v>
      </c>
      <c r="M807" s="2">
        <v>0.0</v>
      </c>
      <c r="N807" s="2">
        <v>23333.0</v>
      </c>
      <c r="O807" s="2">
        <v>1167.0</v>
      </c>
      <c r="P807" s="2" t="s">
        <v>1574</v>
      </c>
      <c r="Q807" s="2" t="s">
        <v>1568</v>
      </c>
      <c r="R807" s="2" t="s">
        <v>1569</v>
      </c>
      <c r="S807" s="2" t="s">
        <v>1570</v>
      </c>
      <c r="W807" s="2" t="s">
        <v>1571</v>
      </c>
    </row>
    <row r="808">
      <c r="A808" s="4">
        <v>45549.48402777778</v>
      </c>
      <c r="B808" s="5">
        <v>2688949.0</v>
      </c>
      <c r="C808" s="2" t="s">
        <v>1575</v>
      </c>
      <c r="D808" s="2" t="s">
        <v>1572</v>
      </c>
      <c r="E808" s="2">
        <v>10117.0</v>
      </c>
      <c r="F808" s="2" t="s">
        <v>1589</v>
      </c>
      <c r="I808" s="7">
        <v>1.0</v>
      </c>
      <c r="J808" s="6">
        <v>14286.0</v>
      </c>
      <c r="K808" s="2">
        <v>0.0</v>
      </c>
      <c r="L808" s="2">
        <v>14286.0</v>
      </c>
      <c r="M808" s="2">
        <v>0.0</v>
      </c>
      <c r="N808" s="2">
        <v>14286.0</v>
      </c>
      <c r="O808" s="2">
        <v>714.0</v>
      </c>
      <c r="P808" s="2" t="s">
        <v>1574</v>
      </c>
      <c r="Q808" s="2" t="s">
        <v>1568</v>
      </c>
      <c r="R808" s="2" t="s">
        <v>1569</v>
      </c>
      <c r="S808" s="2" t="s">
        <v>1570</v>
      </c>
      <c r="W808" s="2" t="s">
        <v>1571</v>
      </c>
    </row>
    <row r="809">
      <c r="A809" s="4">
        <v>45549.47361111111</v>
      </c>
      <c r="B809" s="5">
        <v>2688584.0</v>
      </c>
      <c r="C809" s="2" t="s">
        <v>1575</v>
      </c>
      <c r="D809" s="2" t="s">
        <v>1565</v>
      </c>
      <c r="E809" s="2">
        <v>10055.0</v>
      </c>
      <c r="F809" s="2" t="s">
        <v>1597</v>
      </c>
      <c r="I809" s="7">
        <v>1.0</v>
      </c>
      <c r="J809" s="6">
        <v>34762.0</v>
      </c>
      <c r="K809" s="2">
        <v>0.0</v>
      </c>
      <c r="L809" s="2">
        <v>34762.0</v>
      </c>
      <c r="M809" s="2">
        <v>0.0</v>
      </c>
      <c r="N809" s="2">
        <v>34762.0</v>
      </c>
      <c r="O809" s="2">
        <v>1738.0</v>
      </c>
      <c r="P809" s="2" t="s">
        <v>1574</v>
      </c>
      <c r="Q809" s="2" t="s">
        <v>1568</v>
      </c>
      <c r="R809" s="2" t="s">
        <v>1569</v>
      </c>
      <c r="S809" s="2" t="s">
        <v>1570</v>
      </c>
      <c r="W809" s="2" t="s">
        <v>1571</v>
      </c>
    </row>
    <row r="810">
      <c r="A810" s="4">
        <v>45549.47361111111</v>
      </c>
      <c r="B810" s="5">
        <v>2688584.0</v>
      </c>
      <c r="C810" s="2" t="s">
        <v>1575</v>
      </c>
      <c r="D810" s="2" t="s">
        <v>1565</v>
      </c>
      <c r="E810" s="2">
        <v>10005.0</v>
      </c>
      <c r="F810" s="2" t="s">
        <v>1595</v>
      </c>
      <c r="I810" s="7">
        <v>1.0</v>
      </c>
      <c r="J810" s="6">
        <v>19524.0</v>
      </c>
      <c r="K810" s="2">
        <v>0.0</v>
      </c>
      <c r="L810" s="2">
        <v>19524.0</v>
      </c>
      <c r="M810" s="2">
        <v>0.0</v>
      </c>
      <c r="N810" s="2">
        <v>19524.0</v>
      </c>
      <c r="O810" s="2">
        <v>976.0</v>
      </c>
      <c r="P810" s="2" t="s">
        <v>1574</v>
      </c>
      <c r="Q810" s="2" t="s">
        <v>1568</v>
      </c>
      <c r="R810" s="2" t="s">
        <v>1569</v>
      </c>
      <c r="S810" s="2" t="s">
        <v>1570</v>
      </c>
      <c r="W810" s="2" t="s">
        <v>1571</v>
      </c>
    </row>
    <row r="811">
      <c r="A811" s="4">
        <v>45549.47361111111</v>
      </c>
      <c r="B811" s="5">
        <v>2688584.0</v>
      </c>
      <c r="C811" s="2" t="s">
        <v>1575</v>
      </c>
      <c r="D811" s="2" t="s">
        <v>1565</v>
      </c>
      <c r="E811" s="2">
        <v>10000.0</v>
      </c>
      <c r="F811" s="2" t="s">
        <v>1566</v>
      </c>
      <c r="I811" s="7">
        <v>1.0</v>
      </c>
      <c r="J811" s="6">
        <v>29524.0</v>
      </c>
      <c r="K811" s="2">
        <v>0.0</v>
      </c>
      <c r="L811" s="2">
        <v>29524.0</v>
      </c>
      <c r="M811" s="2">
        <v>0.0</v>
      </c>
      <c r="N811" s="2">
        <v>29524.0</v>
      </c>
      <c r="O811" s="2">
        <v>1477.0</v>
      </c>
      <c r="P811" s="2" t="s">
        <v>1574</v>
      </c>
      <c r="Q811" s="2" t="s">
        <v>1568</v>
      </c>
      <c r="R811" s="2" t="s">
        <v>1569</v>
      </c>
      <c r="S811" s="2" t="s">
        <v>1570</v>
      </c>
      <c r="W811" s="2" t="s">
        <v>1571</v>
      </c>
    </row>
    <row r="812">
      <c r="A812" s="4">
        <v>45549.47361111111</v>
      </c>
      <c r="B812" s="5">
        <v>2688584.0</v>
      </c>
      <c r="C812" s="2" t="s">
        <v>1575</v>
      </c>
      <c r="D812" s="2" t="s">
        <v>1565</v>
      </c>
      <c r="E812" s="2">
        <v>10007.0</v>
      </c>
      <c r="F812" s="2" t="s">
        <v>1596</v>
      </c>
      <c r="I812" s="7">
        <v>1.0</v>
      </c>
      <c r="J812" s="6">
        <v>33810.0</v>
      </c>
      <c r="K812" s="2">
        <v>0.0</v>
      </c>
      <c r="L812" s="2">
        <v>33810.0</v>
      </c>
      <c r="M812" s="2">
        <v>0.0</v>
      </c>
      <c r="N812" s="2">
        <v>33810.0</v>
      </c>
      <c r="O812" s="2">
        <v>1690.0</v>
      </c>
      <c r="P812" s="2" t="s">
        <v>1574</v>
      </c>
      <c r="Q812" s="2" t="s">
        <v>1568</v>
      </c>
      <c r="R812" s="2" t="s">
        <v>1569</v>
      </c>
      <c r="S812" s="2" t="s">
        <v>1570</v>
      </c>
      <c r="W812" s="2" t="s">
        <v>1571</v>
      </c>
    </row>
    <row r="813">
      <c r="A813" s="4">
        <v>45549.47361111111</v>
      </c>
      <c r="B813" s="5">
        <v>2688584.0</v>
      </c>
      <c r="C813" s="2" t="s">
        <v>1575</v>
      </c>
      <c r="D813" s="2" t="s">
        <v>1565</v>
      </c>
      <c r="E813" s="2">
        <v>10033.0</v>
      </c>
      <c r="F813" s="2" t="s">
        <v>1615</v>
      </c>
      <c r="I813" s="7">
        <v>1.0</v>
      </c>
      <c r="J813" s="6">
        <v>21905.0</v>
      </c>
      <c r="K813" s="2">
        <v>0.0</v>
      </c>
      <c r="L813" s="2">
        <v>21905.0</v>
      </c>
      <c r="M813" s="2">
        <v>0.0</v>
      </c>
      <c r="N813" s="2">
        <v>21905.0</v>
      </c>
      <c r="O813" s="2">
        <v>1095.0</v>
      </c>
      <c r="P813" s="2" t="s">
        <v>1574</v>
      </c>
      <c r="Q813" s="2" t="s">
        <v>1568</v>
      </c>
      <c r="R813" s="2" t="s">
        <v>1569</v>
      </c>
      <c r="S813" s="2" t="s">
        <v>1570</v>
      </c>
      <c r="W813" s="2" t="s">
        <v>1571</v>
      </c>
    </row>
    <row r="814">
      <c r="A814" s="4">
        <v>45549.470138888886</v>
      </c>
      <c r="B814" s="5">
        <v>2688218.0</v>
      </c>
      <c r="C814" s="2" t="s">
        <v>1575</v>
      </c>
      <c r="D814" s="2" t="s">
        <v>1565</v>
      </c>
      <c r="E814" s="2">
        <v>10002.0</v>
      </c>
      <c r="F814" s="2" t="s">
        <v>1576</v>
      </c>
      <c r="I814" s="7">
        <v>1.0</v>
      </c>
      <c r="J814" s="6">
        <v>18571.0</v>
      </c>
      <c r="K814" s="2">
        <v>0.0</v>
      </c>
      <c r="L814" s="2">
        <v>18571.0</v>
      </c>
      <c r="M814" s="2">
        <v>0.0</v>
      </c>
      <c r="N814" s="2">
        <v>18571.0</v>
      </c>
      <c r="O814" s="2">
        <v>929.0</v>
      </c>
      <c r="P814" s="2" t="s">
        <v>1574</v>
      </c>
      <c r="Q814" s="2" t="s">
        <v>1568</v>
      </c>
      <c r="R814" s="2" t="s">
        <v>1569</v>
      </c>
      <c r="S814" s="2" t="s">
        <v>1570</v>
      </c>
      <c r="W814" s="2" t="s">
        <v>1571</v>
      </c>
    </row>
    <row r="815">
      <c r="A815" s="4">
        <v>45549.46111111111</v>
      </c>
      <c r="B815" s="5">
        <v>2687853.0</v>
      </c>
      <c r="C815" s="2" t="s">
        <v>1575</v>
      </c>
      <c r="D815" s="2" t="s">
        <v>1572</v>
      </c>
      <c r="E815" s="2">
        <v>10123.0</v>
      </c>
      <c r="F815" s="2" t="s">
        <v>1599</v>
      </c>
      <c r="I815" s="7">
        <v>3.0</v>
      </c>
      <c r="J815" s="6">
        <v>65715.0</v>
      </c>
      <c r="K815" s="2">
        <v>0.0</v>
      </c>
      <c r="L815" s="2">
        <v>65715.0</v>
      </c>
      <c r="M815" s="2">
        <v>0.0</v>
      </c>
      <c r="N815" s="2">
        <v>65715.0</v>
      </c>
      <c r="O815" s="2">
        <v>3286.0</v>
      </c>
      <c r="P815" s="2" t="s">
        <v>1574</v>
      </c>
      <c r="Q815" s="2" t="s">
        <v>1568</v>
      </c>
      <c r="R815" s="2" t="s">
        <v>1569</v>
      </c>
      <c r="S815" s="2" t="s">
        <v>1570</v>
      </c>
      <c r="W815" s="2" t="s">
        <v>1571</v>
      </c>
    </row>
    <row r="816">
      <c r="A816" s="4">
        <v>45549.45</v>
      </c>
      <c r="B816" s="5">
        <v>2687488.0</v>
      </c>
      <c r="C816" s="2" t="s">
        <v>1575</v>
      </c>
      <c r="D816" s="2" t="s">
        <v>1572</v>
      </c>
      <c r="E816" s="2">
        <v>10056.0</v>
      </c>
      <c r="F816" s="2" t="s">
        <v>1585</v>
      </c>
      <c r="I816" s="7">
        <v>1.0</v>
      </c>
      <c r="J816" s="6">
        <v>19524.0</v>
      </c>
      <c r="K816" s="2">
        <v>0.0</v>
      </c>
      <c r="L816" s="2">
        <v>19524.0</v>
      </c>
      <c r="M816" s="2">
        <v>0.0</v>
      </c>
      <c r="N816" s="2">
        <v>19524.0</v>
      </c>
      <c r="O816" s="2">
        <v>976.0</v>
      </c>
      <c r="P816" s="2" t="s">
        <v>1574</v>
      </c>
      <c r="Q816" s="2" t="s">
        <v>1568</v>
      </c>
      <c r="R816" s="2" t="s">
        <v>1569</v>
      </c>
      <c r="S816" s="2" t="s">
        <v>1570</v>
      </c>
      <c r="W816" s="2" t="s">
        <v>1571</v>
      </c>
    </row>
    <row r="817">
      <c r="A817" s="4">
        <v>45549.45</v>
      </c>
      <c r="B817" s="5">
        <v>2687488.0</v>
      </c>
      <c r="C817" s="2" t="s">
        <v>1575</v>
      </c>
      <c r="D817" s="2" t="s">
        <v>1572</v>
      </c>
      <c r="E817" s="2">
        <v>10122.0</v>
      </c>
      <c r="F817" s="2" t="s">
        <v>1577</v>
      </c>
      <c r="I817" s="7">
        <v>1.0</v>
      </c>
      <c r="J817" s="6">
        <v>21905.0</v>
      </c>
      <c r="K817" s="2">
        <v>0.0</v>
      </c>
      <c r="L817" s="2">
        <v>21905.0</v>
      </c>
      <c r="M817" s="2">
        <v>0.0</v>
      </c>
      <c r="N817" s="2">
        <v>21905.0</v>
      </c>
      <c r="O817" s="2">
        <v>1095.0</v>
      </c>
      <c r="P817" s="2" t="s">
        <v>1574</v>
      </c>
      <c r="Q817" s="2" t="s">
        <v>1568</v>
      </c>
      <c r="R817" s="2" t="s">
        <v>1569</v>
      </c>
      <c r="S817" s="2" t="s">
        <v>1570</v>
      </c>
      <c r="W817" s="2" t="s">
        <v>1571</v>
      </c>
    </row>
    <row r="818">
      <c r="A818" s="4">
        <v>45549.45</v>
      </c>
      <c r="B818" s="5">
        <v>2687488.0</v>
      </c>
      <c r="C818" s="2" t="s">
        <v>1575</v>
      </c>
      <c r="D818" s="2" t="s">
        <v>1565</v>
      </c>
      <c r="E818" s="2">
        <v>10000.0</v>
      </c>
      <c r="F818" s="2" t="s">
        <v>1566</v>
      </c>
      <c r="I818" s="7">
        <v>1.0</v>
      </c>
      <c r="J818" s="6">
        <v>29524.0</v>
      </c>
      <c r="K818" s="2">
        <v>0.0</v>
      </c>
      <c r="L818" s="2">
        <v>29524.0</v>
      </c>
      <c r="M818" s="2">
        <v>0.0</v>
      </c>
      <c r="N818" s="2">
        <v>29524.0</v>
      </c>
      <c r="O818" s="2">
        <v>1477.0</v>
      </c>
      <c r="P818" s="2" t="s">
        <v>1574</v>
      </c>
      <c r="Q818" s="2" t="s">
        <v>1568</v>
      </c>
      <c r="R818" s="2" t="s">
        <v>1569</v>
      </c>
      <c r="S818" s="2" t="s">
        <v>1570</v>
      </c>
      <c r="W818" s="2" t="s">
        <v>1571</v>
      </c>
    </row>
    <row r="819">
      <c r="A819" s="4">
        <v>45549.45</v>
      </c>
      <c r="B819" s="5">
        <v>2687488.0</v>
      </c>
      <c r="C819" s="2" t="s">
        <v>1575</v>
      </c>
      <c r="D819" s="2" t="s">
        <v>1565</v>
      </c>
      <c r="E819" s="2">
        <v>10007.0</v>
      </c>
      <c r="F819" s="2" t="s">
        <v>1596</v>
      </c>
      <c r="I819" s="7">
        <v>1.0</v>
      </c>
      <c r="J819" s="6">
        <v>33810.0</v>
      </c>
      <c r="K819" s="2">
        <v>0.0</v>
      </c>
      <c r="L819" s="2">
        <v>33810.0</v>
      </c>
      <c r="M819" s="2">
        <v>0.0</v>
      </c>
      <c r="N819" s="2">
        <v>33810.0</v>
      </c>
      <c r="O819" s="2">
        <v>1690.0</v>
      </c>
      <c r="P819" s="2" t="s">
        <v>1574</v>
      </c>
      <c r="Q819" s="2" t="s">
        <v>1568</v>
      </c>
      <c r="R819" s="2" t="s">
        <v>1569</v>
      </c>
      <c r="S819" s="2" t="s">
        <v>1570</v>
      </c>
      <c r="W819" s="2" t="s">
        <v>1571</v>
      </c>
    </row>
    <row r="820">
      <c r="A820" s="4">
        <v>45549.45</v>
      </c>
      <c r="B820" s="5">
        <v>2687488.0</v>
      </c>
      <c r="C820" s="2" t="s">
        <v>1575</v>
      </c>
      <c r="D820" s="2" t="s">
        <v>1565</v>
      </c>
      <c r="E820" s="2">
        <v>10055.0</v>
      </c>
      <c r="F820" s="2" t="s">
        <v>1597</v>
      </c>
      <c r="I820" s="7">
        <v>1.0</v>
      </c>
      <c r="J820" s="6">
        <v>34762.0</v>
      </c>
      <c r="K820" s="2">
        <v>0.0</v>
      </c>
      <c r="L820" s="2">
        <v>34762.0</v>
      </c>
      <c r="M820" s="2">
        <v>0.0</v>
      </c>
      <c r="N820" s="2">
        <v>34762.0</v>
      </c>
      <c r="O820" s="2">
        <v>1738.0</v>
      </c>
      <c r="P820" s="2" t="s">
        <v>1574</v>
      </c>
      <c r="Q820" s="2" t="s">
        <v>1568</v>
      </c>
      <c r="R820" s="2" t="s">
        <v>1569</v>
      </c>
      <c r="S820" s="2" t="s">
        <v>1570</v>
      </c>
      <c r="W820" s="2" t="s">
        <v>1571</v>
      </c>
    </row>
    <row r="821">
      <c r="A821" s="4">
        <v>45549.44583333333</v>
      </c>
      <c r="B821" s="5">
        <v>2687123.0</v>
      </c>
      <c r="C821" s="2" t="s">
        <v>1575</v>
      </c>
      <c r="D821" s="2" t="s">
        <v>1565</v>
      </c>
      <c r="E821" s="2">
        <v>10002.0</v>
      </c>
      <c r="F821" s="2" t="s">
        <v>1576</v>
      </c>
      <c r="I821" s="7">
        <v>1.0</v>
      </c>
      <c r="J821" s="6">
        <v>18571.0</v>
      </c>
      <c r="K821" s="2">
        <v>0.0</v>
      </c>
      <c r="L821" s="2">
        <v>18571.0</v>
      </c>
      <c r="M821" s="2">
        <v>0.0</v>
      </c>
      <c r="N821" s="2">
        <v>18571.0</v>
      </c>
      <c r="O821" s="2">
        <v>929.0</v>
      </c>
      <c r="P821" s="2" t="s">
        <v>1574</v>
      </c>
      <c r="Q821" s="2" t="s">
        <v>1568</v>
      </c>
      <c r="R821" s="2" t="s">
        <v>1569</v>
      </c>
      <c r="S821" s="2" t="s">
        <v>1570</v>
      </c>
      <c r="W821" s="2" t="s">
        <v>1571</v>
      </c>
    </row>
    <row r="822">
      <c r="A822" s="4">
        <v>45548.88055555556</v>
      </c>
      <c r="B822" s="5">
        <v>2686757.0</v>
      </c>
      <c r="C822" s="2" t="s">
        <v>1575</v>
      </c>
      <c r="D822" s="2" t="s">
        <v>1572</v>
      </c>
      <c r="E822" s="2">
        <v>10106.0</v>
      </c>
      <c r="F822" s="2" t="s">
        <v>1598</v>
      </c>
      <c r="I822" s="7">
        <v>1.0</v>
      </c>
      <c r="J822" s="6">
        <v>26667.0</v>
      </c>
      <c r="K822" s="2">
        <v>0.0</v>
      </c>
      <c r="L822" s="2">
        <v>26667.0</v>
      </c>
      <c r="M822" s="2">
        <v>0.0</v>
      </c>
      <c r="N822" s="2">
        <v>26667.0</v>
      </c>
      <c r="O822" s="2">
        <v>1333.0</v>
      </c>
      <c r="P822" s="2" t="s">
        <v>1574</v>
      </c>
      <c r="Q822" s="2" t="s">
        <v>1568</v>
      </c>
      <c r="R822" s="2" t="s">
        <v>1569</v>
      </c>
      <c r="S822" s="2" t="s">
        <v>1570</v>
      </c>
      <c r="W822" s="2" t="s">
        <v>1571</v>
      </c>
    </row>
    <row r="823">
      <c r="A823" s="4">
        <v>45548.88055555556</v>
      </c>
      <c r="B823" s="5">
        <v>2686757.0</v>
      </c>
      <c r="C823" s="2" t="s">
        <v>1575</v>
      </c>
      <c r="D823" s="2" t="s">
        <v>1572</v>
      </c>
      <c r="E823" s="2">
        <v>10026.0</v>
      </c>
      <c r="F823" s="2" t="s">
        <v>1583</v>
      </c>
      <c r="I823" s="7">
        <v>1.0</v>
      </c>
      <c r="J823" s="6">
        <v>21905.0</v>
      </c>
      <c r="K823" s="2">
        <v>0.0</v>
      </c>
      <c r="L823" s="2">
        <v>21905.0</v>
      </c>
      <c r="M823" s="2">
        <v>0.0</v>
      </c>
      <c r="N823" s="2">
        <v>21905.0</v>
      </c>
      <c r="O823" s="2">
        <v>1096.0</v>
      </c>
      <c r="P823" s="2" t="s">
        <v>1574</v>
      </c>
      <c r="Q823" s="2" t="s">
        <v>1568</v>
      </c>
      <c r="R823" s="2" t="s">
        <v>1569</v>
      </c>
      <c r="S823" s="2" t="s">
        <v>1570</v>
      </c>
      <c r="W823" s="2" t="s">
        <v>1571</v>
      </c>
    </row>
    <row r="824">
      <c r="A824" s="4">
        <v>45548.88055555556</v>
      </c>
      <c r="B824" s="5">
        <v>2686757.0</v>
      </c>
      <c r="C824" s="2" t="s">
        <v>1575</v>
      </c>
      <c r="D824" s="2" t="s">
        <v>1580</v>
      </c>
      <c r="E824" s="2">
        <v>10003.0</v>
      </c>
      <c r="F824" s="2" t="s">
        <v>1603</v>
      </c>
      <c r="I824" s="7">
        <v>2.0</v>
      </c>
      <c r="J824" s="6">
        <v>59048.0</v>
      </c>
      <c r="K824" s="2">
        <v>0.0</v>
      </c>
      <c r="L824" s="2">
        <v>59048.0</v>
      </c>
      <c r="M824" s="2">
        <v>0.0</v>
      </c>
      <c r="N824" s="2">
        <v>59048.0</v>
      </c>
      <c r="O824" s="2">
        <v>2952.0</v>
      </c>
      <c r="P824" s="2" t="s">
        <v>1574</v>
      </c>
      <c r="Q824" s="2" t="s">
        <v>1568</v>
      </c>
      <c r="R824" s="2" t="s">
        <v>1569</v>
      </c>
      <c r="S824" s="2" t="s">
        <v>1570</v>
      </c>
      <c r="W824" s="2" t="s">
        <v>1571</v>
      </c>
    </row>
    <row r="825">
      <c r="A825" s="4">
        <v>45548.88055555556</v>
      </c>
      <c r="B825" s="5">
        <v>2686757.0</v>
      </c>
      <c r="C825" s="2" t="s">
        <v>1575</v>
      </c>
      <c r="D825" s="2" t="s">
        <v>1578</v>
      </c>
      <c r="E825" s="2">
        <v>10004.0</v>
      </c>
      <c r="F825" s="2" t="s">
        <v>1607</v>
      </c>
      <c r="I825" s="7">
        <v>1.0</v>
      </c>
      <c r="J825" s="6">
        <v>25238.0</v>
      </c>
      <c r="K825" s="2">
        <v>0.0</v>
      </c>
      <c r="L825" s="2">
        <v>25238.0</v>
      </c>
      <c r="M825" s="2">
        <v>0.0</v>
      </c>
      <c r="N825" s="2">
        <v>25238.0</v>
      </c>
      <c r="O825" s="2">
        <v>1262.0</v>
      </c>
      <c r="P825" s="2" t="s">
        <v>1574</v>
      </c>
      <c r="Q825" s="2" t="s">
        <v>1568</v>
      </c>
      <c r="R825" s="2" t="s">
        <v>1569</v>
      </c>
      <c r="S825" s="2" t="s">
        <v>1570</v>
      </c>
      <c r="W825" s="2" t="s">
        <v>1571</v>
      </c>
    </row>
    <row r="826">
      <c r="A826" s="4">
        <v>45548.88055555556</v>
      </c>
      <c r="B826" s="5">
        <v>2686757.0</v>
      </c>
      <c r="C826" s="2" t="s">
        <v>1575</v>
      </c>
      <c r="D826" s="2" t="s">
        <v>1572</v>
      </c>
      <c r="E826" s="2">
        <v>10117.0</v>
      </c>
      <c r="F826" s="2" t="s">
        <v>1589</v>
      </c>
      <c r="I826" s="7">
        <v>1.0</v>
      </c>
      <c r="J826" s="6">
        <v>14286.0</v>
      </c>
      <c r="K826" s="2">
        <v>0.0</v>
      </c>
      <c r="L826" s="2">
        <v>14286.0</v>
      </c>
      <c r="M826" s="2">
        <v>0.0</v>
      </c>
      <c r="N826" s="2">
        <v>14286.0</v>
      </c>
      <c r="O826" s="2">
        <v>714.0</v>
      </c>
      <c r="P826" s="2" t="s">
        <v>1574</v>
      </c>
      <c r="Q826" s="2" t="s">
        <v>1568</v>
      </c>
      <c r="R826" s="2" t="s">
        <v>1569</v>
      </c>
      <c r="S826" s="2" t="s">
        <v>1570</v>
      </c>
      <c r="W826" s="2" t="s">
        <v>1571</v>
      </c>
    </row>
    <row r="827">
      <c r="A827" s="4">
        <v>45548.88055555556</v>
      </c>
      <c r="B827" s="5">
        <v>2686757.0</v>
      </c>
      <c r="C827" s="2" t="s">
        <v>1575</v>
      </c>
      <c r="D827" s="2" t="s">
        <v>1572</v>
      </c>
      <c r="E827" s="2">
        <v>10106.0</v>
      </c>
      <c r="F827" s="2" t="s">
        <v>1598</v>
      </c>
      <c r="I827" s="7">
        <v>1.0</v>
      </c>
      <c r="J827" s="6">
        <v>26667.0</v>
      </c>
      <c r="K827" s="2">
        <v>0.0</v>
      </c>
      <c r="L827" s="2">
        <v>26667.0</v>
      </c>
      <c r="M827" s="2">
        <v>0.0</v>
      </c>
      <c r="N827" s="2">
        <v>26667.0</v>
      </c>
      <c r="O827" s="2">
        <v>1334.0</v>
      </c>
      <c r="P827" s="2" t="s">
        <v>1574</v>
      </c>
      <c r="Q827" s="2" t="s">
        <v>1568</v>
      </c>
      <c r="R827" s="2" t="s">
        <v>1569</v>
      </c>
      <c r="S827" s="2" t="s">
        <v>1570</v>
      </c>
      <c r="W827" s="2" t="s">
        <v>1571</v>
      </c>
    </row>
    <row r="828">
      <c r="A828" s="4">
        <v>45548.87986111111</v>
      </c>
      <c r="B828" s="5">
        <v>2686392.0</v>
      </c>
      <c r="C828" s="2" t="s">
        <v>1564</v>
      </c>
      <c r="D828" s="2" t="s">
        <v>1572</v>
      </c>
      <c r="E828" s="2">
        <v>10106.0</v>
      </c>
      <c r="F828" s="2" t="s">
        <v>1598</v>
      </c>
      <c r="I828" s="7">
        <v>-1.0</v>
      </c>
      <c r="J828" s="6">
        <v>-26667.0</v>
      </c>
      <c r="K828" s="2">
        <v>0.0</v>
      </c>
      <c r="L828" s="2">
        <v>-26667.0</v>
      </c>
      <c r="M828" s="2">
        <v>0.0</v>
      </c>
      <c r="N828" s="2">
        <v>-26667.0</v>
      </c>
      <c r="O828" s="2">
        <v>-1333.0</v>
      </c>
      <c r="P828" s="2" t="s">
        <v>1574</v>
      </c>
      <c r="Q828" s="2" t="s">
        <v>1568</v>
      </c>
      <c r="R828" s="2" t="s">
        <v>1569</v>
      </c>
      <c r="S828" s="2" t="s">
        <v>1570</v>
      </c>
      <c r="W828" s="2" t="s">
        <v>1571</v>
      </c>
    </row>
    <row r="829">
      <c r="A829" s="4">
        <v>45548.87986111111</v>
      </c>
      <c r="B829" s="5">
        <v>2686392.0</v>
      </c>
      <c r="C829" s="2" t="s">
        <v>1564</v>
      </c>
      <c r="D829" s="2" t="s">
        <v>1572</v>
      </c>
      <c r="E829" s="2">
        <v>10026.0</v>
      </c>
      <c r="F829" s="2" t="s">
        <v>1583</v>
      </c>
      <c r="I829" s="7">
        <v>-1.0</v>
      </c>
      <c r="J829" s="6">
        <v>-21905.0</v>
      </c>
      <c r="K829" s="2">
        <v>0.0</v>
      </c>
      <c r="L829" s="2">
        <v>-21905.0</v>
      </c>
      <c r="M829" s="2">
        <v>0.0</v>
      </c>
      <c r="N829" s="2">
        <v>-21905.0</v>
      </c>
      <c r="O829" s="2">
        <v>-1096.0</v>
      </c>
      <c r="P829" s="2" t="s">
        <v>1574</v>
      </c>
      <c r="Q829" s="2" t="s">
        <v>1568</v>
      </c>
      <c r="R829" s="2" t="s">
        <v>1569</v>
      </c>
      <c r="S829" s="2" t="s">
        <v>1570</v>
      </c>
      <c r="W829" s="2" t="s">
        <v>1571</v>
      </c>
    </row>
    <row r="830">
      <c r="A830" s="4">
        <v>45548.87986111111</v>
      </c>
      <c r="B830" s="5">
        <v>2686392.0</v>
      </c>
      <c r="C830" s="2" t="s">
        <v>1564</v>
      </c>
      <c r="D830" s="2" t="s">
        <v>1580</v>
      </c>
      <c r="E830" s="2">
        <v>10003.0</v>
      </c>
      <c r="F830" s="2" t="s">
        <v>1603</v>
      </c>
      <c r="I830" s="7">
        <v>-2.0</v>
      </c>
      <c r="J830" s="6">
        <v>-59048.0</v>
      </c>
      <c r="K830" s="2">
        <v>0.0</v>
      </c>
      <c r="L830" s="2">
        <v>-59048.0</v>
      </c>
      <c r="M830" s="2">
        <v>0.0</v>
      </c>
      <c r="N830" s="2">
        <v>-59048.0</v>
      </c>
      <c r="O830" s="2">
        <v>-2952.0</v>
      </c>
      <c r="P830" s="2" t="s">
        <v>1574</v>
      </c>
      <c r="Q830" s="2" t="s">
        <v>1568</v>
      </c>
      <c r="R830" s="2" t="s">
        <v>1569</v>
      </c>
      <c r="S830" s="2" t="s">
        <v>1570</v>
      </c>
      <c r="W830" s="2" t="s">
        <v>1571</v>
      </c>
    </row>
    <row r="831">
      <c r="A831" s="4">
        <v>45548.87986111111</v>
      </c>
      <c r="B831" s="5">
        <v>2686392.0</v>
      </c>
      <c r="C831" s="2" t="s">
        <v>1564</v>
      </c>
      <c r="D831" s="2" t="s">
        <v>1578</v>
      </c>
      <c r="E831" s="2">
        <v>10004.0</v>
      </c>
      <c r="F831" s="2" t="s">
        <v>1607</v>
      </c>
      <c r="I831" s="7">
        <v>-1.0</v>
      </c>
      <c r="J831" s="6">
        <v>-25238.0</v>
      </c>
      <c r="K831" s="2">
        <v>0.0</v>
      </c>
      <c r="L831" s="2">
        <v>-25238.0</v>
      </c>
      <c r="M831" s="2">
        <v>0.0</v>
      </c>
      <c r="N831" s="2">
        <v>-25238.0</v>
      </c>
      <c r="O831" s="2">
        <v>-1262.0</v>
      </c>
      <c r="P831" s="2" t="s">
        <v>1574</v>
      </c>
      <c r="Q831" s="2" t="s">
        <v>1568</v>
      </c>
      <c r="R831" s="2" t="s">
        <v>1569</v>
      </c>
      <c r="S831" s="2" t="s">
        <v>1570</v>
      </c>
      <c r="W831" s="2" t="s">
        <v>1571</v>
      </c>
    </row>
    <row r="832">
      <c r="A832" s="4">
        <v>45548.87986111111</v>
      </c>
      <c r="B832" s="5">
        <v>2686392.0</v>
      </c>
      <c r="C832" s="2" t="s">
        <v>1564</v>
      </c>
      <c r="D832" s="2" t="s">
        <v>1572</v>
      </c>
      <c r="E832" s="2">
        <v>10117.0</v>
      </c>
      <c r="F832" s="2" t="s">
        <v>1589</v>
      </c>
      <c r="I832" s="7">
        <v>-1.0</v>
      </c>
      <c r="J832" s="6">
        <v>-14286.0</v>
      </c>
      <c r="K832" s="2">
        <v>0.0</v>
      </c>
      <c r="L832" s="2">
        <v>-14286.0</v>
      </c>
      <c r="M832" s="2">
        <v>0.0</v>
      </c>
      <c r="N832" s="2">
        <v>-14286.0</v>
      </c>
      <c r="O832" s="2">
        <v>-714.0</v>
      </c>
      <c r="P832" s="2" t="s">
        <v>1574</v>
      </c>
      <c r="Q832" s="2" t="s">
        <v>1568</v>
      </c>
      <c r="R832" s="2" t="s">
        <v>1569</v>
      </c>
      <c r="S832" s="2" t="s">
        <v>1570</v>
      </c>
      <c r="W832" s="2" t="s">
        <v>1571</v>
      </c>
    </row>
    <row r="833">
      <c r="A833" s="4">
        <v>45548.87986111111</v>
      </c>
      <c r="B833" s="5">
        <v>2686392.0</v>
      </c>
      <c r="C833" s="2" t="s">
        <v>1564</v>
      </c>
      <c r="D833" s="2" t="s">
        <v>1572</v>
      </c>
      <c r="E833" s="2">
        <v>10107.0</v>
      </c>
      <c r="F833" s="2" t="s">
        <v>1584</v>
      </c>
      <c r="I833" s="7">
        <v>-1.0</v>
      </c>
      <c r="J833" s="6">
        <v>-26667.0</v>
      </c>
      <c r="K833" s="2">
        <v>0.0</v>
      </c>
      <c r="L833" s="2">
        <v>-26667.0</v>
      </c>
      <c r="M833" s="2">
        <v>0.0</v>
      </c>
      <c r="N833" s="2">
        <v>-26667.0</v>
      </c>
      <c r="O833" s="2">
        <v>-1334.0</v>
      </c>
      <c r="P833" s="2" t="s">
        <v>1574</v>
      </c>
      <c r="Q833" s="2" t="s">
        <v>1568</v>
      </c>
      <c r="R833" s="2" t="s">
        <v>1569</v>
      </c>
      <c r="S833" s="2" t="s">
        <v>1570</v>
      </c>
      <c r="W833" s="2" t="s">
        <v>1571</v>
      </c>
    </row>
    <row r="834">
      <c r="A834" s="4">
        <v>45548.82013888889</v>
      </c>
      <c r="B834" s="5">
        <v>2686027.0</v>
      </c>
      <c r="C834" s="2" t="s">
        <v>1575</v>
      </c>
      <c r="D834" s="2" t="s">
        <v>1565</v>
      </c>
      <c r="E834" s="2">
        <v>10005.0</v>
      </c>
      <c r="F834" s="2" t="s">
        <v>1595</v>
      </c>
      <c r="I834" s="7">
        <v>1.0</v>
      </c>
      <c r="J834" s="6">
        <v>19524.0</v>
      </c>
      <c r="K834" s="2">
        <v>0.0</v>
      </c>
      <c r="L834" s="2">
        <v>19524.0</v>
      </c>
      <c r="M834" s="2">
        <v>0.0</v>
      </c>
      <c r="N834" s="2">
        <v>19524.0</v>
      </c>
      <c r="O834" s="2">
        <v>976.0</v>
      </c>
      <c r="P834" s="2" t="s">
        <v>1574</v>
      </c>
      <c r="Q834" s="2" t="s">
        <v>1568</v>
      </c>
      <c r="R834" s="2" t="s">
        <v>1569</v>
      </c>
      <c r="S834" s="2" t="s">
        <v>1570</v>
      </c>
      <c r="W834" s="2" t="s">
        <v>1571</v>
      </c>
    </row>
    <row r="835">
      <c r="A835" s="4">
        <v>45548.82013888889</v>
      </c>
      <c r="B835" s="5">
        <v>2686027.0</v>
      </c>
      <c r="C835" s="2" t="s">
        <v>1575</v>
      </c>
      <c r="D835" s="2" t="s">
        <v>1572</v>
      </c>
      <c r="E835" s="2">
        <v>10125.0</v>
      </c>
      <c r="F835" s="2" t="s">
        <v>1601</v>
      </c>
      <c r="I835" s="7">
        <v>1.0</v>
      </c>
      <c r="J835" s="6">
        <v>20476.0</v>
      </c>
      <c r="K835" s="2">
        <v>0.0</v>
      </c>
      <c r="L835" s="2">
        <v>20476.0</v>
      </c>
      <c r="M835" s="2">
        <v>0.0</v>
      </c>
      <c r="N835" s="2">
        <v>20476.0</v>
      </c>
      <c r="O835" s="2">
        <v>1024.0</v>
      </c>
      <c r="P835" s="2" t="s">
        <v>1574</v>
      </c>
      <c r="Q835" s="2" t="s">
        <v>1568</v>
      </c>
      <c r="R835" s="2" t="s">
        <v>1569</v>
      </c>
      <c r="S835" s="2" t="s">
        <v>1570</v>
      </c>
      <c r="W835" s="2" t="s">
        <v>1571</v>
      </c>
    </row>
    <row r="836">
      <c r="A836" s="4">
        <v>45548.802777777775</v>
      </c>
      <c r="B836" s="5">
        <v>2685662.0</v>
      </c>
      <c r="C836" s="2" t="s">
        <v>1575</v>
      </c>
      <c r="D836" s="2" t="s">
        <v>1565</v>
      </c>
      <c r="E836" s="2">
        <v>10055.0</v>
      </c>
      <c r="F836" s="2" t="s">
        <v>1597</v>
      </c>
      <c r="I836" s="7">
        <v>1.0</v>
      </c>
      <c r="J836" s="6">
        <v>34762.0</v>
      </c>
      <c r="K836" s="2">
        <v>0.0</v>
      </c>
      <c r="L836" s="2">
        <v>34762.0</v>
      </c>
      <c r="M836" s="2">
        <v>0.0</v>
      </c>
      <c r="N836" s="2">
        <v>34762.0</v>
      </c>
      <c r="O836" s="2">
        <v>1738.0</v>
      </c>
      <c r="P836" s="2" t="s">
        <v>1574</v>
      </c>
      <c r="Q836" s="2" t="s">
        <v>1568</v>
      </c>
      <c r="R836" s="2" t="s">
        <v>1569</v>
      </c>
      <c r="S836" s="2" t="s">
        <v>1570</v>
      </c>
      <c r="W836" s="2" t="s">
        <v>1571</v>
      </c>
    </row>
    <row r="837">
      <c r="A837" s="4">
        <v>45548.802777777775</v>
      </c>
      <c r="B837" s="5">
        <v>2685662.0</v>
      </c>
      <c r="C837" s="2" t="s">
        <v>1575</v>
      </c>
      <c r="D837" s="2" t="s">
        <v>1565</v>
      </c>
      <c r="E837" s="2">
        <v>10000.0</v>
      </c>
      <c r="F837" s="2" t="s">
        <v>1566</v>
      </c>
      <c r="I837" s="7">
        <v>1.0</v>
      </c>
      <c r="J837" s="6">
        <v>29524.0</v>
      </c>
      <c r="K837" s="2">
        <v>0.0</v>
      </c>
      <c r="L837" s="2">
        <v>29524.0</v>
      </c>
      <c r="M837" s="2">
        <v>0.0</v>
      </c>
      <c r="N837" s="2">
        <v>29524.0</v>
      </c>
      <c r="O837" s="2">
        <v>1476.0</v>
      </c>
      <c r="P837" s="2" t="s">
        <v>1574</v>
      </c>
      <c r="Q837" s="2" t="s">
        <v>1568</v>
      </c>
      <c r="R837" s="2" t="s">
        <v>1569</v>
      </c>
      <c r="S837" s="2" t="s">
        <v>1570</v>
      </c>
      <c r="W837" s="2" t="s">
        <v>1571</v>
      </c>
    </row>
    <row r="838">
      <c r="A838" s="4">
        <v>45548.802083333336</v>
      </c>
      <c r="B838" s="5">
        <v>2685296.0</v>
      </c>
      <c r="C838" s="2" t="s">
        <v>1575</v>
      </c>
      <c r="D838" s="2" t="s">
        <v>1565</v>
      </c>
      <c r="E838" s="2">
        <v>10000.0</v>
      </c>
      <c r="F838" s="2" t="s">
        <v>1566</v>
      </c>
      <c r="I838" s="7">
        <v>1.0</v>
      </c>
      <c r="J838" s="6">
        <v>29524.0</v>
      </c>
      <c r="K838" s="2">
        <v>0.0</v>
      </c>
      <c r="L838" s="2">
        <v>29524.0</v>
      </c>
      <c r="M838" s="2">
        <v>0.0</v>
      </c>
      <c r="N838" s="2">
        <v>29524.0</v>
      </c>
      <c r="O838" s="2">
        <v>1476.0</v>
      </c>
      <c r="P838" s="2" t="s">
        <v>1574</v>
      </c>
      <c r="Q838" s="2" t="s">
        <v>1568</v>
      </c>
      <c r="R838" s="2" t="s">
        <v>1569</v>
      </c>
      <c r="S838" s="2" t="s">
        <v>1570</v>
      </c>
      <c r="W838" s="2" t="s">
        <v>1571</v>
      </c>
    </row>
    <row r="839">
      <c r="A839" s="4">
        <v>45548.78680555556</v>
      </c>
      <c r="B839" s="5">
        <v>2684931.0</v>
      </c>
      <c r="C839" s="2" t="s">
        <v>1575</v>
      </c>
      <c r="D839" s="2" t="s">
        <v>1572</v>
      </c>
      <c r="E839" s="2">
        <v>10122.0</v>
      </c>
      <c r="F839" s="2" t="s">
        <v>1577</v>
      </c>
      <c r="I839" s="7">
        <v>2.0</v>
      </c>
      <c r="J839" s="6">
        <v>43810.0</v>
      </c>
      <c r="K839" s="2">
        <v>0.0</v>
      </c>
      <c r="L839" s="2">
        <v>43810.0</v>
      </c>
      <c r="M839" s="2">
        <v>0.0</v>
      </c>
      <c r="N839" s="2">
        <v>43810.0</v>
      </c>
      <c r="O839" s="2">
        <v>2191.0</v>
      </c>
      <c r="P839" s="2" t="s">
        <v>1574</v>
      </c>
      <c r="Q839" s="2" t="s">
        <v>1568</v>
      </c>
      <c r="R839" s="2" t="s">
        <v>1569</v>
      </c>
      <c r="S839" s="2" t="s">
        <v>1570</v>
      </c>
      <c r="W839" s="2" t="s">
        <v>1571</v>
      </c>
    </row>
    <row r="840">
      <c r="A840" s="4">
        <v>45548.78680555556</v>
      </c>
      <c r="B840" s="5">
        <v>2684931.0</v>
      </c>
      <c r="C840" s="2" t="s">
        <v>1575</v>
      </c>
      <c r="D840" s="2" t="s">
        <v>1565</v>
      </c>
      <c r="E840" s="2">
        <v>10034.0</v>
      </c>
      <c r="F840" s="2" t="s">
        <v>1616</v>
      </c>
      <c r="I840" s="7">
        <v>1.0</v>
      </c>
      <c r="J840" s="6">
        <v>21905.0</v>
      </c>
      <c r="K840" s="2">
        <v>0.0</v>
      </c>
      <c r="L840" s="2">
        <v>21905.0</v>
      </c>
      <c r="M840" s="2">
        <v>0.0</v>
      </c>
      <c r="N840" s="2">
        <v>21905.0</v>
      </c>
      <c r="O840" s="2">
        <v>1095.0</v>
      </c>
      <c r="P840" s="2" t="s">
        <v>1574</v>
      </c>
      <c r="Q840" s="2" t="s">
        <v>1568</v>
      </c>
      <c r="R840" s="2" t="s">
        <v>1569</v>
      </c>
      <c r="S840" s="2" t="s">
        <v>1570</v>
      </c>
      <c r="W840" s="2" t="s">
        <v>1571</v>
      </c>
    </row>
    <row r="841">
      <c r="A841" s="4">
        <v>45548.78680555556</v>
      </c>
      <c r="B841" s="5">
        <v>2684566.0</v>
      </c>
      <c r="C841" s="2" t="s">
        <v>1564</v>
      </c>
      <c r="D841" s="2" t="s">
        <v>1565</v>
      </c>
      <c r="E841" s="2">
        <v>10005.0</v>
      </c>
      <c r="F841" s="2" t="s">
        <v>1595</v>
      </c>
      <c r="I841" s="7">
        <v>-1.0</v>
      </c>
      <c r="J841" s="6">
        <v>-19524.0</v>
      </c>
      <c r="K841" s="2">
        <v>0.0</v>
      </c>
      <c r="L841" s="2">
        <v>-19524.0</v>
      </c>
      <c r="M841" s="2">
        <v>0.0</v>
      </c>
      <c r="N841" s="2">
        <v>-19524.0</v>
      </c>
      <c r="O841" s="2">
        <v>-976.0</v>
      </c>
      <c r="P841" s="2" t="s">
        <v>1574</v>
      </c>
      <c r="Q841" s="2" t="s">
        <v>1568</v>
      </c>
      <c r="R841" s="2" t="s">
        <v>1569</v>
      </c>
      <c r="S841" s="2" t="s">
        <v>1570</v>
      </c>
      <c r="W841" s="2" t="s">
        <v>1571</v>
      </c>
    </row>
    <row r="842">
      <c r="A842" s="4">
        <v>45548.78680555556</v>
      </c>
      <c r="B842" s="5">
        <v>2684566.0</v>
      </c>
      <c r="C842" s="2" t="s">
        <v>1564</v>
      </c>
      <c r="D842" s="2" t="s">
        <v>1572</v>
      </c>
      <c r="E842" s="2">
        <v>10122.0</v>
      </c>
      <c r="F842" s="2" t="s">
        <v>1577</v>
      </c>
      <c r="I842" s="7">
        <v>-2.0</v>
      </c>
      <c r="J842" s="6">
        <v>-43810.0</v>
      </c>
      <c r="K842" s="2">
        <v>0.0</v>
      </c>
      <c r="L842" s="2">
        <v>-43810.0</v>
      </c>
      <c r="M842" s="2">
        <v>0.0</v>
      </c>
      <c r="N842" s="2">
        <v>-43810.0</v>
      </c>
      <c r="O842" s="2">
        <v>-2191.0</v>
      </c>
      <c r="P842" s="2" t="s">
        <v>1574</v>
      </c>
      <c r="Q842" s="2" t="s">
        <v>1568</v>
      </c>
      <c r="R842" s="2" t="s">
        <v>1569</v>
      </c>
      <c r="S842" s="2" t="s">
        <v>1570</v>
      </c>
      <c r="W842" s="2" t="s">
        <v>1571</v>
      </c>
    </row>
    <row r="843">
      <c r="A843" s="4">
        <v>45548.78402777778</v>
      </c>
      <c r="B843" s="5">
        <v>2684201.0</v>
      </c>
      <c r="C843" s="2" t="s">
        <v>1575</v>
      </c>
      <c r="D843" s="2" t="s">
        <v>1572</v>
      </c>
      <c r="E843" s="2">
        <v>10106.0</v>
      </c>
      <c r="F843" s="2" t="s">
        <v>1598</v>
      </c>
      <c r="I843" s="7">
        <v>1.0</v>
      </c>
      <c r="J843" s="6">
        <v>26667.0</v>
      </c>
      <c r="K843" s="2">
        <v>0.0</v>
      </c>
      <c r="L843" s="2">
        <v>26667.0</v>
      </c>
      <c r="M843" s="2">
        <v>0.0</v>
      </c>
      <c r="N843" s="2">
        <v>26667.0</v>
      </c>
      <c r="O843" s="2">
        <v>1333.0</v>
      </c>
      <c r="P843" s="2" t="s">
        <v>1574</v>
      </c>
      <c r="Q843" s="2" t="s">
        <v>1568</v>
      </c>
      <c r="R843" s="2" t="s">
        <v>1569</v>
      </c>
      <c r="S843" s="2" t="s">
        <v>1570</v>
      </c>
      <c r="W843" s="2" t="s">
        <v>1571</v>
      </c>
    </row>
    <row r="844">
      <c r="A844" s="4">
        <v>45548.78402777778</v>
      </c>
      <c r="B844" s="5">
        <v>2684201.0</v>
      </c>
      <c r="C844" s="2" t="s">
        <v>1575</v>
      </c>
      <c r="D844" s="2" t="s">
        <v>1572</v>
      </c>
      <c r="E844" s="2">
        <v>10026.0</v>
      </c>
      <c r="F844" s="2" t="s">
        <v>1583</v>
      </c>
      <c r="I844" s="7">
        <v>1.0</v>
      </c>
      <c r="J844" s="6">
        <v>21905.0</v>
      </c>
      <c r="K844" s="2">
        <v>0.0</v>
      </c>
      <c r="L844" s="2">
        <v>21905.0</v>
      </c>
      <c r="M844" s="2">
        <v>0.0</v>
      </c>
      <c r="N844" s="2">
        <v>21905.0</v>
      </c>
      <c r="O844" s="2">
        <v>1096.0</v>
      </c>
      <c r="P844" s="2" t="s">
        <v>1574</v>
      </c>
      <c r="Q844" s="2" t="s">
        <v>1568</v>
      </c>
      <c r="R844" s="2" t="s">
        <v>1569</v>
      </c>
      <c r="S844" s="2" t="s">
        <v>1570</v>
      </c>
      <c r="W844" s="2" t="s">
        <v>1571</v>
      </c>
    </row>
    <row r="845">
      <c r="A845" s="4">
        <v>45548.78402777778</v>
      </c>
      <c r="B845" s="5">
        <v>2684201.0</v>
      </c>
      <c r="C845" s="2" t="s">
        <v>1575</v>
      </c>
      <c r="D845" s="2" t="s">
        <v>1580</v>
      </c>
      <c r="E845" s="2">
        <v>10003.0</v>
      </c>
      <c r="F845" s="2" t="s">
        <v>1603</v>
      </c>
      <c r="I845" s="7">
        <v>2.0</v>
      </c>
      <c r="J845" s="6">
        <v>59048.0</v>
      </c>
      <c r="K845" s="2">
        <v>0.0</v>
      </c>
      <c r="L845" s="2">
        <v>59048.0</v>
      </c>
      <c r="M845" s="2">
        <v>0.0</v>
      </c>
      <c r="N845" s="2">
        <v>59048.0</v>
      </c>
      <c r="O845" s="2">
        <v>2952.0</v>
      </c>
      <c r="P845" s="2" t="s">
        <v>1574</v>
      </c>
      <c r="Q845" s="2" t="s">
        <v>1568</v>
      </c>
      <c r="R845" s="2" t="s">
        <v>1569</v>
      </c>
      <c r="S845" s="2" t="s">
        <v>1570</v>
      </c>
      <c r="W845" s="2" t="s">
        <v>1571</v>
      </c>
    </row>
    <row r="846">
      <c r="A846" s="4">
        <v>45548.78402777778</v>
      </c>
      <c r="B846" s="5">
        <v>2684201.0</v>
      </c>
      <c r="C846" s="2" t="s">
        <v>1575</v>
      </c>
      <c r="D846" s="2" t="s">
        <v>1578</v>
      </c>
      <c r="E846" s="2">
        <v>10004.0</v>
      </c>
      <c r="F846" s="2" t="s">
        <v>1607</v>
      </c>
      <c r="I846" s="7">
        <v>1.0</v>
      </c>
      <c r="J846" s="6">
        <v>25238.0</v>
      </c>
      <c r="K846" s="2">
        <v>0.0</v>
      </c>
      <c r="L846" s="2">
        <v>25238.0</v>
      </c>
      <c r="M846" s="2">
        <v>0.0</v>
      </c>
      <c r="N846" s="2">
        <v>25238.0</v>
      </c>
      <c r="O846" s="2">
        <v>1262.0</v>
      </c>
      <c r="P846" s="2" t="s">
        <v>1574</v>
      </c>
      <c r="Q846" s="2" t="s">
        <v>1568</v>
      </c>
      <c r="R846" s="2" t="s">
        <v>1569</v>
      </c>
      <c r="S846" s="2" t="s">
        <v>1570</v>
      </c>
      <c r="W846" s="2" t="s">
        <v>1571</v>
      </c>
    </row>
    <row r="847">
      <c r="A847" s="4">
        <v>45548.78402777778</v>
      </c>
      <c r="B847" s="5">
        <v>2684201.0</v>
      </c>
      <c r="C847" s="2" t="s">
        <v>1575</v>
      </c>
      <c r="D847" s="2" t="s">
        <v>1572</v>
      </c>
      <c r="E847" s="2">
        <v>10117.0</v>
      </c>
      <c r="F847" s="2" t="s">
        <v>1589</v>
      </c>
      <c r="I847" s="7">
        <v>1.0</v>
      </c>
      <c r="J847" s="6">
        <v>14286.0</v>
      </c>
      <c r="K847" s="2">
        <v>0.0</v>
      </c>
      <c r="L847" s="2">
        <v>14286.0</v>
      </c>
      <c r="M847" s="2">
        <v>0.0</v>
      </c>
      <c r="N847" s="2">
        <v>14286.0</v>
      </c>
      <c r="O847" s="2">
        <v>714.0</v>
      </c>
      <c r="P847" s="2" t="s">
        <v>1574</v>
      </c>
      <c r="Q847" s="2" t="s">
        <v>1568</v>
      </c>
      <c r="R847" s="2" t="s">
        <v>1569</v>
      </c>
      <c r="S847" s="2" t="s">
        <v>1570</v>
      </c>
      <c r="W847" s="2" t="s">
        <v>1571</v>
      </c>
    </row>
    <row r="848">
      <c r="A848" s="4">
        <v>45548.78402777778</v>
      </c>
      <c r="B848" s="5">
        <v>2684201.0</v>
      </c>
      <c r="C848" s="2" t="s">
        <v>1575</v>
      </c>
      <c r="D848" s="2" t="s">
        <v>1572</v>
      </c>
      <c r="E848" s="2">
        <v>10107.0</v>
      </c>
      <c r="F848" s="2" t="s">
        <v>1584</v>
      </c>
      <c r="I848" s="7">
        <v>1.0</v>
      </c>
      <c r="J848" s="6">
        <v>26667.0</v>
      </c>
      <c r="K848" s="2">
        <v>0.0</v>
      </c>
      <c r="L848" s="2">
        <v>26667.0</v>
      </c>
      <c r="M848" s="2">
        <v>0.0</v>
      </c>
      <c r="N848" s="2">
        <v>26667.0</v>
      </c>
      <c r="O848" s="2">
        <v>1334.0</v>
      </c>
      <c r="P848" s="2" t="s">
        <v>1574</v>
      </c>
      <c r="Q848" s="2" t="s">
        <v>1568</v>
      </c>
      <c r="R848" s="2" t="s">
        <v>1569</v>
      </c>
      <c r="S848" s="2" t="s">
        <v>1570</v>
      </c>
      <c r="W848" s="2" t="s">
        <v>1571</v>
      </c>
    </row>
    <row r="849">
      <c r="A849" s="4">
        <v>45548.77916666667</v>
      </c>
      <c r="B849" s="5">
        <v>2683835.0</v>
      </c>
      <c r="C849" s="2" t="s">
        <v>1575</v>
      </c>
      <c r="D849" s="2" t="s">
        <v>1565</v>
      </c>
      <c r="E849" s="2">
        <v>10005.0</v>
      </c>
      <c r="F849" s="2" t="s">
        <v>1595</v>
      </c>
      <c r="I849" s="7">
        <v>1.0</v>
      </c>
      <c r="J849" s="6">
        <v>19524.0</v>
      </c>
      <c r="K849" s="2">
        <v>0.0</v>
      </c>
      <c r="L849" s="2">
        <v>19524.0</v>
      </c>
      <c r="M849" s="2">
        <v>0.0</v>
      </c>
      <c r="N849" s="2">
        <v>19524.0</v>
      </c>
      <c r="O849" s="2">
        <v>976.0</v>
      </c>
      <c r="P849" s="2" t="s">
        <v>1574</v>
      </c>
      <c r="Q849" s="2" t="s">
        <v>1568</v>
      </c>
      <c r="R849" s="2" t="s">
        <v>1569</v>
      </c>
      <c r="S849" s="2" t="s">
        <v>1570</v>
      </c>
      <c r="W849" s="2" t="s">
        <v>1571</v>
      </c>
    </row>
    <row r="850">
      <c r="A850" s="4">
        <v>45548.77916666667</v>
      </c>
      <c r="B850" s="5">
        <v>2683835.0</v>
      </c>
      <c r="C850" s="2" t="s">
        <v>1575</v>
      </c>
      <c r="D850" s="2" t="s">
        <v>1572</v>
      </c>
      <c r="E850" s="2">
        <v>10122.0</v>
      </c>
      <c r="F850" s="2" t="s">
        <v>1577</v>
      </c>
      <c r="I850" s="7">
        <v>2.0</v>
      </c>
      <c r="J850" s="6">
        <v>43810.0</v>
      </c>
      <c r="K850" s="2">
        <v>0.0</v>
      </c>
      <c r="L850" s="2">
        <v>43810.0</v>
      </c>
      <c r="M850" s="2">
        <v>0.0</v>
      </c>
      <c r="N850" s="2">
        <v>43810.0</v>
      </c>
      <c r="O850" s="2">
        <v>2191.0</v>
      </c>
      <c r="P850" s="2" t="s">
        <v>1574</v>
      </c>
      <c r="Q850" s="2" t="s">
        <v>1568</v>
      </c>
      <c r="R850" s="2" t="s">
        <v>1569</v>
      </c>
      <c r="S850" s="2" t="s">
        <v>1570</v>
      </c>
      <c r="W850" s="2" t="s">
        <v>1571</v>
      </c>
    </row>
    <row r="851">
      <c r="A851" s="4">
        <v>45548.77916666667</v>
      </c>
      <c r="B851" s="5">
        <v>2683470.0</v>
      </c>
      <c r="C851" s="2" t="s">
        <v>1564</v>
      </c>
      <c r="D851" s="2" t="s">
        <v>1565</v>
      </c>
      <c r="E851" s="2">
        <v>10034.0</v>
      </c>
      <c r="F851" s="2" t="s">
        <v>1616</v>
      </c>
      <c r="I851" s="7">
        <v>-1.0</v>
      </c>
      <c r="J851" s="6">
        <v>-21905.0</v>
      </c>
      <c r="K851" s="2">
        <v>0.0</v>
      </c>
      <c r="L851" s="2">
        <v>-21905.0</v>
      </c>
      <c r="M851" s="2">
        <v>0.0</v>
      </c>
      <c r="N851" s="2">
        <v>-21905.0</v>
      </c>
      <c r="O851" s="2">
        <v>-1095.0</v>
      </c>
      <c r="P851" s="2" t="s">
        <v>1574</v>
      </c>
      <c r="Q851" s="2" t="s">
        <v>1568</v>
      </c>
      <c r="R851" s="2" t="s">
        <v>1569</v>
      </c>
      <c r="S851" s="2" t="s">
        <v>1570</v>
      </c>
      <c r="W851" s="2" t="s">
        <v>1571</v>
      </c>
    </row>
    <row r="852">
      <c r="A852" s="4">
        <v>45548.77847222222</v>
      </c>
      <c r="B852" s="5">
        <v>2683105.0</v>
      </c>
      <c r="C852" s="2" t="s">
        <v>1575</v>
      </c>
      <c r="D852" s="2" t="s">
        <v>1572</v>
      </c>
      <c r="E852" s="2">
        <v>10122.0</v>
      </c>
      <c r="F852" s="2" t="s">
        <v>1577</v>
      </c>
      <c r="I852" s="7">
        <v>2.0</v>
      </c>
      <c r="J852" s="6">
        <v>43810.0</v>
      </c>
      <c r="K852" s="2">
        <v>0.0</v>
      </c>
      <c r="L852" s="2">
        <v>43810.0</v>
      </c>
      <c r="M852" s="2">
        <v>0.0</v>
      </c>
      <c r="N852" s="2">
        <v>43810.0</v>
      </c>
      <c r="O852" s="2">
        <v>2191.0</v>
      </c>
      <c r="P852" s="2" t="s">
        <v>1574</v>
      </c>
      <c r="Q852" s="2" t="s">
        <v>1568</v>
      </c>
      <c r="R852" s="2" t="s">
        <v>1569</v>
      </c>
      <c r="S852" s="2" t="s">
        <v>1570</v>
      </c>
      <c r="W852" s="2" t="s">
        <v>1571</v>
      </c>
    </row>
    <row r="853">
      <c r="A853" s="4">
        <v>45548.77847222222</v>
      </c>
      <c r="B853" s="5">
        <v>2683105.0</v>
      </c>
      <c r="C853" s="2" t="s">
        <v>1575</v>
      </c>
      <c r="D853" s="2" t="s">
        <v>1565</v>
      </c>
      <c r="E853" s="2">
        <v>10034.0</v>
      </c>
      <c r="F853" s="2" t="s">
        <v>1616</v>
      </c>
      <c r="I853" s="7">
        <v>1.0</v>
      </c>
      <c r="J853" s="6">
        <v>21905.0</v>
      </c>
      <c r="K853" s="2">
        <v>0.0</v>
      </c>
      <c r="L853" s="2">
        <v>21905.0</v>
      </c>
      <c r="M853" s="2">
        <v>0.0</v>
      </c>
      <c r="N853" s="2">
        <v>21905.0</v>
      </c>
      <c r="O853" s="2">
        <v>1095.0</v>
      </c>
      <c r="P853" s="2" t="s">
        <v>1574</v>
      </c>
      <c r="Q853" s="2" t="s">
        <v>1568</v>
      </c>
      <c r="R853" s="2" t="s">
        <v>1569</v>
      </c>
      <c r="S853" s="2" t="s">
        <v>1570</v>
      </c>
      <c r="W853" s="2" t="s">
        <v>1571</v>
      </c>
    </row>
    <row r="854">
      <c r="A854" s="4">
        <v>45548.775</v>
      </c>
      <c r="B854" s="5">
        <v>2682740.0</v>
      </c>
      <c r="C854" s="2" t="s">
        <v>1575</v>
      </c>
      <c r="D854" s="2" t="s">
        <v>1565</v>
      </c>
      <c r="E854" s="2">
        <v>10005.0</v>
      </c>
      <c r="F854" s="2" t="s">
        <v>1595</v>
      </c>
      <c r="I854" s="7">
        <v>1.0</v>
      </c>
      <c r="J854" s="6">
        <v>19524.0</v>
      </c>
      <c r="K854" s="2">
        <v>0.0</v>
      </c>
      <c r="L854" s="2">
        <v>19524.0</v>
      </c>
      <c r="M854" s="2">
        <v>0.0</v>
      </c>
      <c r="N854" s="2">
        <v>19524.0</v>
      </c>
      <c r="O854" s="2">
        <v>976.0</v>
      </c>
      <c r="P854" s="2" t="s">
        <v>1574</v>
      </c>
      <c r="Q854" s="2" t="s">
        <v>1568</v>
      </c>
      <c r="R854" s="2" t="s">
        <v>1569</v>
      </c>
      <c r="S854" s="2" t="s">
        <v>1570</v>
      </c>
      <c r="W854" s="2" t="s">
        <v>1571</v>
      </c>
    </row>
    <row r="855">
      <c r="A855" s="4">
        <v>45548.75902777778</v>
      </c>
      <c r="B855" s="5">
        <v>2682374.0</v>
      </c>
      <c r="C855" s="2" t="s">
        <v>1575</v>
      </c>
      <c r="D855" s="2" t="s">
        <v>1565</v>
      </c>
      <c r="E855" s="2">
        <v>10000.0</v>
      </c>
      <c r="F855" s="2" t="s">
        <v>1566</v>
      </c>
      <c r="I855" s="7">
        <v>1.0</v>
      </c>
      <c r="J855" s="6">
        <v>29524.0</v>
      </c>
      <c r="K855" s="2">
        <v>0.0</v>
      </c>
      <c r="L855" s="2">
        <v>29524.0</v>
      </c>
      <c r="M855" s="2">
        <v>0.0</v>
      </c>
      <c r="N855" s="2">
        <v>29524.0</v>
      </c>
      <c r="O855" s="2">
        <v>1476.0</v>
      </c>
      <c r="P855" s="2" t="s">
        <v>1574</v>
      </c>
      <c r="Q855" s="2" t="s">
        <v>1568</v>
      </c>
      <c r="R855" s="2" t="s">
        <v>1569</v>
      </c>
      <c r="S855" s="2" t="s">
        <v>1570</v>
      </c>
      <c r="W855" s="2" t="s">
        <v>1571</v>
      </c>
    </row>
    <row r="856">
      <c r="A856" s="4">
        <v>45548.722916666666</v>
      </c>
      <c r="B856" s="5">
        <v>2682009.0</v>
      </c>
      <c r="C856" s="2" t="s">
        <v>1575</v>
      </c>
      <c r="D856" s="2" t="s">
        <v>1565</v>
      </c>
      <c r="E856" s="2">
        <v>10000.0</v>
      </c>
      <c r="F856" s="2" t="s">
        <v>1566</v>
      </c>
      <c r="I856" s="7">
        <v>1.0</v>
      </c>
      <c r="J856" s="6">
        <v>29524.0</v>
      </c>
      <c r="K856" s="2">
        <v>0.0</v>
      </c>
      <c r="L856" s="2">
        <v>29524.0</v>
      </c>
      <c r="M856" s="2">
        <v>0.0</v>
      </c>
      <c r="N856" s="2">
        <v>29524.0</v>
      </c>
      <c r="O856" s="2">
        <v>1476.0</v>
      </c>
      <c r="P856" s="2" t="s">
        <v>1574</v>
      </c>
      <c r="Q856" s="2" t="s">
        <v>1568</v>
      </c>
      <c r="R856" s="2" t="s">
        <v>1569</v>
      </c>
      <c r="S856" s="2" t="s">
        <v>1570</v>
      </c>
      <c r="W856" s="2" t="s">
        <v>1571</v>
      </c>
    </row>
    <row r="857">
      <c r="A857" s="4">
        <v>45548.71527777778</v>
      </c>
      <c r="B857" s="5">
        <v>2681644.0</v>
      </c>
      <c r="C857" s="2" t="s">
        <v>1575</v>
      </c>
      <c r="D857" s="2" t="s">
        <v>1565</v>
      </c>
      <c r="E857" s="2">
        <v>10033.0</v>
      </c>
      <c r="F857" s="2" t="s">
        <v>1615</v>
      </c>
      <c r="I857" s="7">
        <v>1.0</v>
      </c>
      <c r="J857" s="6">
        <v>21905.0</v>
      </c>
      <c r="K857" s="2">
        <v>0.0</v>
      </c>
      <c r="L857" s="2">
        <v>21905.0</v>
      </c>
      <c r="M857" s="2">
        <v>0.0</v>
      </c>
      <c r="N857" s="2">
        <v>21905.0</v>
      </c>
      <c r="O857" s="2">
        <v>1095.0</v>
      </c>
      <c r="P857" s="2" t="s">
        <v>1574</v>
      </c>
      <c r="Q857" s="2" t="s">
        <v>1568</v>
      </c>
      <c r="R857" s="2" t="s">
        <v>1569</v>
      </c>
      <c r="S857" s="2" t="s">
        <v>1570</v>
      </c>
      <c r="W857" s="2" t="s">
        <v>1571</v>
      </c>
    </row>
    <row r="858">
      <c r="A858" s="4">
        <v>45548.71527777778</v>
      </c>
      <c r="B858" s="5">
        <v>2681644.0</v>
      </c>
      <c r="C858" s="2" t="s">
        <v>1575</v>
      </c>
      <c r="D858" s="2" t="s">
        <v>1565</v>
      </c>
      <c r="E858" s="2">
        <v>10002.0</v>
      </c>
      <c r="F858" s="2" t="s">
        <v>1576</v>
      </c>
      <c r="I858" s="7">
        <v>1.0</v>
      </c>
      <c r="J858" s="6">
        <v>18571.0</v>
      </c>
      <c r="K858" s="2">
        <v>0.0</v>
      </c>
      <c r="L858" s="2">
        <v>18571.0</v>
      </c>
      <c r="M858" s="2">
        <v>0.0</v>
      </c>
      <c r="N858" s="2">
        <v>18571.0</v>
      </c>
      <c r="O858" s="2">
        <v>929.0</v>
      </c>
      <c r="P858" s="2" t="s">
        <v>1574</v>
      </c>
      <c r="Q858" s="2" t="s">
        <v>1568</v>
      </c>
      <c r="R858" s="2" t="s">
        <v>1569</v>
      </c>
      <c r="S858" s="2" t="s">
        <v>1570</v>
      </c>
      <c r="W858" s="2" t="s">
        <v>1571</v>
      </c>
    </row>
    <row r="859">
      <c r="A859" s="4">
        <v>45548.71527777778</v>
      </c>
      <c r="B859" s="5">
        <v>2681644.0</v>
      </c>
      <c r="C859" s="2" t="s">
        <v>1575</v>
      </c>
      <c r="D859" s="2" t="s">
        <v>1572</v>
      </c>
      <c r="E859" s="2">
        <v>10128.0</v>
      </c>
      <c r="F859" s="2" t="s">
        <v>1588</v>
      </c>
      <c r="I859" s="7">
        <v>1.0</v>
      </c>
      <c r="J859" s="6">
        <v>23333.0</v>
      </c>
      <c r="K859" s="2">
        <v>0.0</v>
      </c>
      <c r="L859" s="2">
        <v>23333.0</v>
      </c>
      <c r="M859" s="2">
        <v>0.0</v>
      </c>
      <c r="N859" s="2">
        <v>23333.0</v>
      </c>
      <c r="O859" s="2">
        <v>1166.0</v>
      </c>
      <c r="P859" s="2" t="s">
        <v>1574</v>
      </c>
      <c r="Q859" s="2" t="s">
        <v>1568</v>
      </c>
      <c r="R859" s="2" t="s">
        <v>1569</v>
      </c>
      <c r="S859" s="2" t="s">
        <v>1570</v>
      </c>
      <c r="W859" s="2" t="s">
        <v>1571</v>
      </c>
    </row>
    <row r="860">
      <c r="A860" s="4">
        <v>45548.71527777778</v>
      </c>
      <c r="B860" s="5">
        <v>2681644.0</v>
      </c>
      <c r="C860" s="2" t="s">
        <v>1575</v>
      </c>
      <c r="D860" s="2" t="s">
        <v>1572</v>
      </c>
      <c r="E860" s="2">
        <v>10120.0</v>
      </c>
      <c r="F860" s="2" t="s">
        <v>1590</v>
      </c>
      <c r="I860" s="7">
        <v>1.0</v>
      </c>
      <c r="J860" s="6">
        <v>19524.0</v>
      </c>
      <c r="K860" s="2">
        <v>0.0</v>
      </c>
      <c r="L860" s="2">
        <v>19524.0</v>
      </c>
      <c r="M860" s="2">
        <v>0.0</v>
      </c>
      <c r="N860" s="2">
        <v>19524.0</v>
      </c>
      <c r="O860" s="2">
        <v>977.0</v>
      </c>
      <c r="P860" s="2" t="s">
        <v>1574</v>
      </c>
      <c r="Q860" s="2" t="s">
        <v>1568</v>
      </c>
      <c r="R860" s="2" t="s">
        <v>1569</v>
      </c>
      <c r="S860" s="2" t="s">
        <v>1570</v>
      </c>
      <c r="W860" s="2" t="s">
        <v>1571</v>
      </c>
    </row>
    <row r="861">
      <c r="A861" s="4">
        <v>45548.70416666667</v>
      </c>
      <c r="B861" s="5">
        <v>2681279.0</v>
      </c>
      <c r="C861" s="2" t="s">
        <v>1575</v>
      </c>
      <c r="D861" s="2" t="s">
        <v>1565</v>
      </c>
      <c r="E861" s="2">
        <v>10002.0</v>
      </c>
      <c r="F861" s="2" t="s">
        <v>1576</v>
      </c>
      <c r="I861" s="7">
        <v>1.0</v>
      </c>
      <c r="J861" s="6">
        <v>18571.0</v>
      </c>
      <c r="K861" s="2">
        <v>0.0</v>
      </c>
      <c r="L861" s="2">
        <v>18571.0</v>
      </c>
      <c r="M861" s="2">
        <v>0.0</v>
      </c>
      <c r="N861" s="2">
        <v>18571.0</v>
      </c>
      <c r="O861" s="2">
        <v>929.0</v>
      </c>
      <c r="P861" s="2" t="s">
        <v>1574</v>
      </c>
      <c r="Q861" s="2" t="s">
        <v>1568</v>
      </c>
      <c r="R861" s="2" t="s">
        <v>1569</v>
      </c>
      <c r="S861" s="2" t="s">
        <v>1570</v>
      </c>
      <c r="W861" s="2" t="s">
        <v>1571</v>
      </c>
    </row>
    <row r="862">
      <c r="A862" s="4">
        <v>45548.67638888889</v>
      </c>
      <c r="B862" s="5">
        <v>2680913.0</v>
      </c>
      <c r="C862" s="2" t="s">
        <v>1575</v>
      </c>
      <c r="D862" s="2" t="s">
        <v>1565</v>
      </c>
      <c r="E862" s="2">
        <v>10002.0</v>
      </c>
      <c r="F862" s="2" t="s">
        <v>1576</v>
      </c>
      <c r="I862" s="7">
        <v>1.0</v>
      </c>
      <c r="J862" s="6">
        <v>18571.0</v>
      </c>
      <c r="K862" s="2">
        <v>0.0</v>
      </c>
      <c r="L862" s="2">
        <v>18571.0</v>
      </c>
      <c r="M862" s="2">
        <v>0.0</v>
      </c>
      <c r="N862" s="2">
        <v>18571.0</v>
      </c>
      <c r="O862" s="2">
        <v>929.0</v>
      </c>
      <c r="P862" s="2" t="s">
        <v>1574</v>
      </c>
      <c r="Q862" s="2" t="s">
        <v>1568</v>
      </c>
      <c r="R862" s="2" t="s">
        <v>1569</v>
      </c>
      <c r="S862" s="2" t="s">
        <v>1570</v>
      </c>
      <c r="W862" s="2" t="s">
        <v>1571</v>
      </c>
    </row>
    <row r="863">
      <c r="A863" s="4">
        <v>45548.67638888889</v>
      </c>
      <c r="B863" s="5">
        <v>2680913.0</v>
      </c>
      <c r="C863" s="2" t="s">
        <v>1575</v>
      </c>
      <c r="D863" s="2" t="s">
        <v>1565</v>
      </c>
      <c r="E863" s="2">
        <v>10005.0</v>
      </c>
      <c r="F863" s="2" t="s">
        <v>1595</v>
      </c>
      <c r="I863" s="7">
        <v>1.0</v>
      </c>
      <c r="J863" s="6">
        <v>19524.0</v>
      </c>
      <c r="K863" s="2">
        <v>0.0</v>
      </c>
      <c r="L863" s="2">
        <v>19524.0</v>
      </c>
      <c r="M863" s="2">
        <v>0.0</v>
      </c>
      <c r="N863" s="2">
        <v>19524.0</v>
      </c>
      <c r="O863" s="2">
        <v>976.0</v>
      </c>
      <c r="P863" s="2" t="s">
        <v>1574</v>
      </c>
      <c r="Q863" s="2" t="s">
        <v>1568</v>
      </c>
      <c r="R863" s="2" t="s">
        <v>1569</v>
      </c>
      <c r="S863" s="2" t="s">
        <v>1570</v>
      </c>
      <c r="W863" s="2" t="s">
        <v>1571</v>
      </c>
    </row>
    <row r="864">
      <c r="A864" s="4">
        <v>45548.67638888889</v>
      </c>
      <c r="B864" s="5">
        <v>2680913.0</v>
      </c>
      <c r="C864" s="2" t="s">
        <v>1575</v>
      </c>
      <c r="D864" s="2" t="s">
        <v>1580</v>
      </c>
      <c r="E864" s="2">
        <v>10053.0</v>
      </c>
      <c r="F864" s="2" t="s">
        <v>1612</v>
      </c>
      <c r="I864" s="7">
        <v>1.0</v>
      </c>
      <c r="J864" s="6">
        <v>25238.0</v>
      </c>
      <c r="K864" s="2">
        <v>0.0</v>
      </c>
      <c r="L864" s="2">
        <v>25238.0</v>
      </c>
      <c r="M864" s="2">
        <v>0.0</v>
      </c>
      <c r="N864" s="2">
        <v>25238.0</v>
      </c>
      <c r="O864" s="2">
        <v>1262.0</v>
      </c>
      <c r="P864" s="2" t="s">
        <v>1574</v>
      </c>
      <c r="Q864" s="2" t="s">
        <v>1568</v>
      </c>
      <c r="R864" s="2" t="s">
        <v>1569</v>
      </c>
      <c r="S864" s="2" t="s">
        <v>1570</v>
      </c>
      <c r="W864" s="2" t="s">
        <v>1571</v>
      </c>
    </row>
    <row r="865">
      <c r="A865" s="4">
        <v>45548.67638888889</v>
      </c>
      <c r="B865" s="5">
        <v>2680913.0</v>
      </c>
      <c r="C865" s="2" t="s">
        <v>1575</v>
      </c>
      <c r="D865" s="2" t="s">
        <v>1580</v>
      </c>
      <c r="E865" s="2">
        <v>10104.0</v>
      </c>
      <c r="F865" s="2" t="s">
        <v>1581</v>
      </c>
      <c r="I865" s="7">
        <v>1.0</v>
      </c>
      <c r="J865" s="6">
        <v>34762.0</v>
      </c>
      <c r="K865" s="2">
        <v>0.0</v>
      </c>
      <c r="L865" s="2">
        <v>34762.0</v>
      </c>
      <c r="M865" s="2">
        <v>0.0</v>
      </c>
      <c r="N865" s="2">
        <v>34762.0</v>
      </c>
      <c r="O865" s="2">
        <v>1738.0</v>
      </c>
      <c r="P865" s="2" t="s">
        <v>1574</v>
      </c>
      <c r="Q865" s="2" t="s">
        <v>1568</v>
      </c>
      <c r="R865" s="2" t="s">
        <v>1569</v>
      </c>
      <c r="S865" s="2" t="s">
        <v>1570</v>
      </c>
      <c r="W865" s="2" t="s">
        <v>1571</v>
      </c>
    </row>
    <row r="866">
      <c r="A866" s="4">
        <v>45548.67638888889</v>
      </c>
      <c r="B866" s="5">
        <v>2680913.0</v>
      </c>
      <c r="C866" s="2" t="s">
        <v>1575</v>
      </c>
      <c r="D866" s="2" t="s">
        <v>1578</v>
      </c>
      <c r="E866" s="2">
        <v>10014.0</v>
      </c>
      <c r="F866" s="2" t="s">
        <v>1609</v>
      </c>
      <c r="I866" s="7">
        <v>1.0</v>
      </c>
      <c r="J866" s="6">
        <v>25238.0</v>
      </c>
      <c r="K866" s="2">
        <v>0.0</v>
      </c>
      <c r="L866" s="2">
        <v>25238.0</v>
      </c>
      <c r="M866" s="2">
        <v>0.0</v>
      </c>
      <c r="N866" s="2">
        <v>25238.0</v>
      </c>
      <c r="O866" s="2">
        <v>1262.0</v>
      </c>
      <c r="P866" s="2" t="s">
        <v>1574</v>
      </c>
      <c r="Q866" s="2" t="s">
        <v>1568</v>
      </c>
      <c r="R866" s="2" t="s">
        <v>1569</v>
      </c>
      <c r="S866" s="2" t="s">
        <v>1570</v>
      </c>
      <c r="W866" s="2" t="s">
        <v>1571</v>
      </c>
    </row>
    <row r="867">
      <c r="A867" s="4">
        <v>45548.65625</v>
      </c>
      <c r="B867" s="5">
        <v>2680548.0</v>
      </c>
      <c r="C867" s="2" t="s">
        <v>1575</v>
      </c>
      <c r="D867" s="2" t="s">
        <v>1565</v>
      </c>
      <c r="E867" s="2">
        <v>10000.0</v>
      </c>
      <c r="F867" s="2" t="s">
        <v>1566</v>
      </c>
      <c r="I867" s="7">
        <v>1.0</v>
      </c>
      <c r="J867" s="6">
        <v>29524.0</v>
      </c>
      <c r="K867" s="2">
        <v>0.0</v>
      </c>
      <c r="L867" s="2">
        <v>29524.0</v>
      </c>
      <c r="M867" s="2">
        <v>0.0</v>
      </c>
      <c r="N867" s="2">
        <v>29524.0</v>
      </c>
      <c r="O867" s="2">
        <v>1476.0</v>
      </c>
      <c r="P867" s="2" t="s">
        <v>1574</v>
      </c>
      <c r="Q867" s="2" t="s">
        <v>1568</v>
      </c>
      <c r="R867" s="2" t="s">
        <v>1569</v>
      </c>
      <c r="S867" s="2" t="s">
        <v>1570</v>
      </c>
      <c r="W867" s="2" t="s">
        <v>1571</v>
      </c>
    </row>
    <row r="868">
      <c r="A868" s="4">
        <v>45548.65625</v>
      </c>
      <c r="B868" s="5">
        <v>2680548.0</v>
      </c>
      <c r="C868" s="2" t="s">
        <v>1575</v>
      </c>
      <c r="D868" s="2" t="s">
        <v>1572</v>
      </c>
      <c r="E868" s="2">
        <v>10119.0</v>
      </c>
      <c r="F868" s="2" t="s">
        <v>1582</v>
      </c>
      <c r="I868" s="7">
        <v>1.0</v>
      </c>
      <c r="J868" s="6">
        <v>7143.0</v>
      </c>
      <c r="K868" s="2">
        <v>0.0</v>
      </c>
      <c r="L868" s="2">
        <v>7143.0</v>
      </c>
      <c r="M868" s="2">
        <v>0.0</v>
      </c>
      <c r="N868" s="2">
        <v>7143.0</v>
      </c>
      <c r="O868" s="2">
        <v>357.0</v>
      </c>
      <c r="P868" s="2" t="s">
        <v>1574</v>
      </c>
      <c r="Q868" s="2" t="s">
        <v>1568</v>
      </c>
      <c r="R868" s="2" t="s">
        <v>1569</v>
      </c>
      <c r="S868" s="2" t="s">
        <v>1570</v>
      </c>
      <c r="W868" s="2" t="s">
        <v>1571</v>
      </c>
    </row>
    <row r="869">
      <c r="A869" s="4">
        <v>45548.65625</v>
      </c>
      <c r="B869" s="5">
        <v>2680548.0</v>
      </c>
      <c r="C869" s="2" t="s">
        <v>1575</v>
      </c>
      <c r="D869" s="2" t="s">
        <v>1572</v>
      </c>
      <c r="E869" s="2">
        <v>10107.0</v>
      </c>
      <c r="F869" s="2" t="s">
        <v>1584</v>
      </c>
      <c r="I869" s="7">
        <v>1.0</v>
      </c>
      <c r="J869" s="6">
        <v>26667.0</v>
      </c>
      <c r="K869" s="2">
        <v>0.0</v>
      </c>
      <c r="L869" s="2">
        <v>26667.0</v>
      </c>
      <c r="M869" s="2">
        <v>0.0</v>
      </c>
      <c r="N869" s="2">
        <v>26667.0</v>
      </c>
      <c r="O869" s="2">
        <v>1334.0</v>
      </c>
      <c r="P869" s="2" t="s">
        <v>1574</v>
      </c>
      <c r="Q869" s="2" t="s">
        <v>1568</v>
      </c>
      <c r="R869" s="2" t="s">
        <v>1569</v>
      </c>
      <c r="S869" s="2" t="s">
        <v>1570</v>
      </c>
      <c r="W869" s="2" t="s">
        <v>1571</v>
      </c>
    </row>
    <row r="870">
      <c r="A870" s="4">
        <v>45548.65625</v>
      </c>
      <c r="B870" s="5">
        <v>2680548.0</v>
      </c>
      <c r="C870" s="2" t="s">
        <v>1575</v>
      </c>
      <c r="D870" s="2" t="s">
        <v>1578</v>
      </c>
      <c r="E870" s="2">
        <v>10014.0</v>
      </c>
      <c r="F870" s="2" t="s">
        <v>1609</v>
      </c>
      <c r="I870" s="7">
        <v>1.0</v>
      </c>
      <c r="J870" s="6">
        <v>25238.0</v>
      </c>
      <c r="K870" s="2">
        <v>0.0</v>
      </c>
      <c r="L870" s="2">
        <v>25238.0</v>
      </c>
      <c r="M870" s="2">
        <v>0.0</v>
      </c>
      <c r="N870" s="2">
        <v>25238.0</v>
      </c>
      <c r="O870" s="2">
        <v>1262.0</v>
      </c>
      <c r="P870" s="2" t="s">
        <v>1574</v>
      </c>
      <c r="Q870" s="2" t="s">
        <v>1568</v>
      </c>
      <c r="R870" s="2" t="s">
        <v>1569</v>
      </c>
      <c r="S870" s="2" t="s">
        <v>1570</v>
      </c>
      <c r="W870" s="2" t="s">
        <v>1571</v>
      </c>
    </row>
    <row r="871">
      <c r="A871" s="4">
        <v>45548.615277777775</v>
      </c>
      <c r="B871" s="5">
        <v>2680183.0</v>
      </c>
      <c r="C871" s="2" t="s">
        <v>1575</v>
      </c>
      <c r="D871" s="2" t="s">
        <v>1565</v>
      </c>
      <c r="E871" s="2">
        <v>10005.0</v>
      </c>
      <c r="F871" s="2" t="s">
        <v>1595</v>
      </c>
      <c r="I871" s="7">
        <v>1.0</v>
      </c>
      <c r="J871" s="6">
        <v>19524.0</v>
      </c>
      <c r="K871" s="2">
        <v>0.0</v>
      </c>
      <c r="L871" s="2">
        <v>19524.0</v>
      </c>
      <c r="M871" s="2">
        <v>0.0</v>
      </c>
      <c r="N871" s="2">
        <v>19524.0</v>
      </c>
      <c r="O871" s="2">
        <v>976.0</v>
      </c>
      <c r="P871" s="2" t="s">
        <v>1574</v>
      </c>
      <c r="Q871" s="2" t="s">
        <v>1568</v>
      </c>
      <c r="R871" s="2" t="s">
        <v>1569</v>
      </c>
      <c r="S871" s="2" t="s">
        <v>1570</v>
      </c>
      <c r="W871" s="2" t="s">
        <v>1571</v>
      </c>
    </row>
    <row r="872">
      <c r="A872" s="4">
        <v>45548.615277777775</v>
      </c>
      <c r="B872" s="5">
        <v>2680183.0</v>
      </c>
      <c r="C872" s="2" t="s">
        <v>1575</v>
      </c>
      <c r="D872" s="2" t="s">
        <v>1565</v>
      </c>
      <c r="E872" s="2">
        <v>10002.0</v>
      </c>
      <c r="F872" s="2" t="s">
        <v>1576</v>
      </c>
      <c r="I872" s="7">
        <v>1.0</v>
      </c>
      <c r="J872" s="6">
        <v>18571.0</v>
      </c>
      <c r="K872" s="2">
        <v>0.0</v>
      </c>
      <c r="L872" s="2">
        <v>18571.0</v>
      </c>
      <c r="M872" s="2">
        <v>0.0</v>
      </c>
      <c r="N872" s="2">
        <v>18571.0</v>
      </c>
      <c r="O872" s="2">
        <v>929.0</v>
      </c>
      <c r="P872" s="2" t="s">
        <v>1574</v>
      </c>
      <c r="Q872" s="2" t="s">
        <v>1568</v>
      </c>
      <c r="R872" s="2" t="s">
        <v>1569</v>
      </c>
      <c r="S872" s="2" t="s">
        <v>1570</v>
      </c>
      <c r="W872" s="2" t="s">
        <v>1571</v>
      </c>
    </row>
    <row r="873">
      <c r="A873" s="4">
        <v>45548.59027777778</v>
      </c>
      <c r="B873" s="5">
        <v>2679818.0</v>
      </c>
      <c r="C873" s="2" t="s">
        <v>1575</v>
      </c>
      <c r="D873" s="2" t="s">
        <v>1572</v>
      </c>
      <c r="E873" s="2">
        <v>10128.0</v>
      </c>
      <c r="F873" s="2" t="s">
        <v>1588</v>
      </c>
      <c r="I873" s="7">
        <v>1.0</v>
      </c>
      <c r="J873" s="6">
        <v>23333.0</v>
      </c>
      <c r="K873" s="2">
        <v>0.0</v>
      </c>
      <c r="L873" s="2">
        <v>23333.0</v>
      </c>
      <c r="M873" s="2">
        <v>0.0</v>
      </c>
      <c r="N873" s="2">
        <v>23333.0</v>
      </c>
      <c r="O873" s="2">
        <v>1167.0</v>
      </c>
      <c r="P873" s="2" t="s">
        <v>1574</v>
      </c>
      <c r="Q873" s="2" t="s">
        <v>1568</v>
      </c>
      <c r="R873" s="2" t="s">
        <v>1569</v>
      </c>
      <c r="S873" s="2" t="s">
        <v>1570</v>
      </c>
      <c r="W873" s="2" t="s">
        <v>1571</v>
      </c>
    </row>
    <row r="874">
      <c r="A874" s="4">
        <v>45548.59027777778</v>
      </c>
      <c r="B874" s="5">
        <v>2679818.0</v>
      </c>
      <c r="C874" s="2" t="s">
        <v>1575</v>
      </c>
      <c r="D874" s="2" t="s">
        <v>1565</v>
      </c>
      <c r="E874" s="2">
        <v>10002.0</v>
      </c>
      <c r="F874" s="2" t="s">
        <v>1576</v>
      </c>
      <c r="I874" s="7">
        <v>1.0</v>
      </c>
      <c r="J874" s="6">
        <v>18571.0</v>
      </c>
      <c r="K874" s="2">
        <v>0.0</v>
      </c>
      <c r="L874" s="2">
        <v>18571.0</v>
      </c>
      <c r="M874" s="2">
        <v>0.0</v>
      </c>
      <c r="N874" s="2">
        <v>18571.0</v>
      </c>
      <c r="O874" s="2">
        <v>928.0</v>
      </c>
      <c r="P874" s="2" t="s">
        <v>1574</v>
      </c>
      <c r="Q874" s="2" t="s">
        <v>1568</v>
      </c>
      <c r="R874" s="2" t="s">
        <v>1569</v>
      </c>
      <c r="S874" s="2" t="s">
        <v>1570</v>
      </c>
      <c r="W874" s="2" t="s">
        <v>1571</v>
      </c>
    </row>
    <row r="875">
      <c r="A875" s="4">
        <v>45548.58819444444</v>
      </c>
      <c r="B875" s="5">
        <v>2679452.0</v>
      </c>
      <c r="C875" s="2" t="s">
        <v>1575</v>
      </c>
      <c r="D875" s="2" t="s">
        <v>1629</v>
      </c>
      <c r="E875" s="2">
        <v>10023.0</v>
      </c>
      <c r="F875" s="2" t="s">
        <v>1630</v>
      </c>
      <c r="I875" s="7">
        <v>3.0</v>
      </c>
      <c r="J875" s="6">
        <v>0.0</v>
      </c>
      <c r="K875" s="2">
        <v>0.0</v>
      </c>
      <c r="L875" s="2">
        <v>0.0</v>
      </c>
      <c r="M875" s="2">
        <v>0.0</v>
      </c>
      <c r="N875" s="2">
        <v>0.0</v>
      </c>
      <c r="O875" s="2">
        <v>0.0</v>
      </c>
      <c r="P875" s="2" t="s">
        <v>1574</v>
      </c>
      <c r="Q875" s="2" t="s">
        <v>1568</v>
      </c>
      <c r="R875" s="2" t="s">
        <v>1569</v>
      </c>
      <c r="S875" s="2" t="s">
        <v>1570</v>
      </c>
      <c r="W875" s="2" t="s">
        <v>1571</v>
      </c>
    </row>
    <row r="876">
      <c r="A876" s="4">
        <v>45548.58819444444</v>
      </c>
      <c r="B876" s="5">
        <v>2679452.0</v>
      </c>
      <c r="C876" s="2" t="s">
        <v>1575</v>
      </c>
      <c r="D876" s="2" t="s">
        <v>1629</v>
      </c>
      <c r="E876" s="2">
        <v>10021.0</v>
      </c>
      <c r="F876" s="2" t="s">
        <v>1631</v>
      </c>
      <c r="I876" s="7">
        <v>2.0</v>
      </c>
      <c r="J876" s="6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 t="s">
        <v>1574</v>
      </c>
      <c r="Q876" s="2" t="s">
        <v>1568</v>
      </c>
      <c r="R876" s="2" t="s">
        <v>1569</v>
      </c>
      <c r="S876" s="2" t="s">
        <v>1570</v>
      </c>
      <c r="W876" s="2" t="s">
        <v>1571</v>
      </c>
    </row>
    <row r="877">
      <c r="A877" s="4">
        <v>45548.58819444444</v>
      </c>
      <c r="B877" s="5">
        <v>2679452.0</v>
      </c>
      <c r="C877" s="2" t="s">
        <v>1575</v>
      </c>
      <c r="D877" s="2" t="s">
        <v>1629</v>
      </c>
      <c r="E877" s="2">
        <v>10022.0</v>
      </c>
      <c r="F877" s="2" t="s">
        <v>1632</v>
      </c>
      <c r="I877" s="7">
        <v>1.0</v>
      </c>
      <c r="J877" s="6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 t="s">
        <v>1574</v>
      </c>
      <c r="Q877" s="2" t="s">
        <v>1568</v>
      </c>
      <c r="R877" s="2" t="s">
        <v>1569</v>
      </c>
      <c r="S877" s="2" t="s">
        <v>1570</v>
      </c>
      <c r="W877" s="2" t="s">
        <v>1571</v>
      </c>
    </row>
    <row r="878">
      <c r="A878" s="4">
        <v>45548.57638888889</v>
      </c>
      <c r="B878" s="5">
        <v>2679087.0</v>
      </c>
      <c r="C878" s="2" t="s">
        <v>1575</v>
      </c>
      <c r="D878" s="2" t="s">
        <v>1578</v>
      </c>
      <c r="E878" s="2">
        <v>10011.0</v>
      </c>
      <c r="F878" s="2" t="s">
        <v>1605</v>
      </c>
      <c r="I878" s="7">
        <v>1.0</v>
      </c>
      <c r="J878" s="6">
        <v>25238.0</v>
      </c>
      <c r="K878" s="2">
        <v>0.0</v>
      </c>
      <c r="L878" s="2">
        <v>25238.0</v>
      </c>
      <c r="M878" s="2">
        <v>0.0</v>
      </c>
      <c r="N878" s="2">
        <v>25238.0</v>
      </c>
      <c r="O878" s="2">
        <v>1262.0</v>
      </c>
      <c r="P878" s="2" t="s">
        <v>1574</v>
      </c>
      <c r="Q878" s="2" t="s">
        <v>1568</v>
      </c>
      <c r="R878" s="2" t="s">
        <v>1569</v>
      </c>
      <c r="S878" s="2" t="s">
        <v>1570</v>
      </c>
      <c r="W878" s="2" t="s">
        <v>1571</v>
      </c>
    </row>
    <row r="879">
      <c r="A879" s="4">
        <v>45548.57638888889</v>
      </c>
      <c r="B879" s="5">
        <v>2679087.0</v>
      </c>
      <c r="C879" s="2" t="s">
        <v>1575</v>
      </c>
      <c r="D879" s="2" t="s">
        <v>1572</v>
      </c>
      <c r="E879" s="2">
        <v>10128.0</v>
      </c>
      <c r="F879" s="2" t="s">
        <v>1588</v>
      </c>
      <c r="I879" s="7">
        <v>1.0</v>
      </c>
      <c r="J879" s="6">
        <v>23333.0</v>
      </c>
      <c r="K879" s="2">
        <v>0.0</v>
      </c>
      <c r="L879" s="2">
        <v>23333.0</v>
      </c>
      <c r="M879" s="2">
        <v>0.0</v>
      </c>
      <c r="N879" s="2">
        <v>23333.0</v>
      </c>
      <c r="O879" s="2">
        <v>1167.0</v>
      </c>
      <c r="P879" s="2" t="s">
        <v>1574</v>
      </c>
      <c r="Q879" s="2" t="s">
        <v>1568</v>
      </c>
      <c r="R879" s="2" t="s">
        <v>1569</v>
      </c>
      <c r="S879" s="2" t="s">
        <v>1570</v>
      </c>
      <c r="W879" s="2" t="s">
        <v>1571</v>
      </c>
    </row>
    <row r="880">
      <c r="A880" s="4">
        <v>45548.57638888889</v>
      </c>
      <c r="B880" s="5">
        <v>2679087.0</v>
      </c>
      <c r="C880" s="2" t="s">
        <v>1575</v>
      </c>
      <c r="D880" s="2" t="s">
        <v>1565</v>
      </c>
      <c r="E880" s="2">
        <v>10007.0</v>
      </c>
      <c r="F880" s="2" t="s">
        <v>1596</v>
      </c>
      <c r="I880" s="7">
        <v>2.0</v>
      </c>
      <c r="J880" s="6">
        <v>67620.0</v>
      </c>
      <c r="K880" s="2">
        <v>0.0</v>
      </c>
      <c r="L880" s="2">
        <v>67620.0</v>
      </c>
      <c r="M880" s="2">
        <v>0.0</v>
      </c>
      <c r="N880" s="2">
        <v>67620.0</v>
      </c>
      <c r="O880" s="2">
        <v>3381.0</v>
      </c>
      <c r="P880" s="2" t="s">
        <v>1574</v>
      </c>
      <c r="Q880" s="2" t="s">
        <v>1568</v>
      </c>
      <c r="R880" s="2" t="s">
        <v>1569</v>
      </c>
      <c r="S880" s="2" t="s">
        <v>1570</v>
      </c>
      <c r="W880" s="2" t="s">
        <v>1571</v>
      </c>
    </row>
    <row r="881">
      <c r="A881" s="4">
        <v>45547.87708333333</v>
      </c>
      <c r="B881" s="5">
        <v>2678722.0</v>
      </c>
      <c r="C881" s="2" t="s">
        <v>1575</v>
      </c>
      <c r="D881" s="2" t="s">
        <v>1565</v>
      </c>
      <c r="E881" s="2">
        <v>10005.0</v>
      </c>
      <c r="F881" s="2" t="s">
        <v>1595</v>
      </c>
      <c r="I881" s="7">
        <v>2.0</v>
      </c>
      <c r="J881" s="6">
        <v>39048.0</v>
      </c>
      <c r="K881" s="2">
        <v>0.0</v>
      </c>
      <c r="L881" s="2">
        <v>39048.0</v>
      </c>
      <c r="M881" s="2">
        <v>0.0</v>
      </c>
      <c r="N881" s="2">
        <v>39048.0</v>
      </c>
      <c r="O881" s="2">
        <v>1952.0</v>
      </c>
      <c r="P881" s="2" t="s">
        <v>1574</v>
      </c>
      <c r="Q881" s="2" t="s">
        <v>1568</v>
      </c>
      <c r="R881" s="2" t="s">
        <v>1569</v>
      </c>
      <c r="S881" s="2" t="s">
        <v>1570</v>
      </c>
      <c r="W881" s="2" t="s">
        <v>1571</v>
      </c>
    </row>
    <row r="882">
      <c r="A882" s="4">
        <v>45547.87152777778</v>
      </c>
      <c r="B882" s="5">
        <v>2678357.0</v>
      </c>
      <c r="C882" s="2" t="s">
        <v>1575</v>
      </c>
      <c r="D882" s="2" t="s">
        <v>1565</v>
      </c>
      <c r="E882" s="2">
        <v>10005.0</v>
      </c>
      <c r="F882" s="2" t="s">
        <v>1595</v>
      </c>
      <c r="I882" s="7">
        <v>1.0</v>
      </c>
      <c r="J882" s="6">
        <v>19524.0</v>
      </c>
      <c r="K882" s="2">
        <v>0.0</v>
      </c>
      <c r="L882" s="2">
        <v>19524.0</v>
      </c>
      <c r="M882" s="2">
        <v>0.0</v>
      </c>
      <c r="N882" s="2">
        <v>19524.0</v>
      </c>
      <c r="O882" s="2">
        <v>976.0</v>
      </c>
      <c r="P882" s="2" t="s">
        <v>1574</v>
      </c>
      <c r="Q882" s="2" t="s">
        <v>1568</v>
      </c>
      <c r="R882" s="2" t="s">
        <v>1569</v>
      </c>
      <c r="S882" s="2" t="s">
        <v>1570</v>
      </c>
      <c r="W882" s="2" t="s">
        <v>1571</v>
      </c>
    </row>
    <row r="883">
      <c r="A883" s="4">
        <v>45547.82708333333</v>
      </c>
      <c r="B883" s="5">
        <v>2677991.0</v>
      </c>
      <c r="C883" s="2" t="s">
        <v>1575</v>
      </c>
      <c r="D883" s="2" t="s">
        <v>1572</v>
      </c>
      <c r="E883" s="2">
        <v>10119.0</v>
      </c>
      <c r="F883" s="2" t="s">
        <v>1582</v>
      </c>
      <c r="I883" s="7">
        <v>1.0</v>
      </c>
      <c r="J883" s="6">
        <v>7143.0</v>
      </c>
      <c r="K883" s="2">
        <v>0.0</v>
      </c>
      <c r="L883" s="2">
        <v>7143.0</v>
      </c>
      <c r="M883" s="2">
        <v>0.0</v>
      </c>
      <c r="N883" s="2">
        <v>7143.0</v>
      </c>
      <c r="O883" s="2">
        <v>357.0</v>
      </c>
      <c r="P883" s="2" t="s">
        <v>1574</v>
      </c>
      <c r="Q883" s="2" t="s">
        <v>1568</v>
      </c>
      <c r="R883" s="2" t="s">
        <v>1569</v>
      </c>
      <c r="S883" s="2" t="s">
        <v>1570</v>
      </c>
      <c r="W883" s="2" t="s">
        <v>1571</v>
      </c>
    </row>
    <row r="884">
      <c r="A884" s="4">
        <v>45547.82708333333</v>
      </c>
      <c r="B884" s="5">
        <v>2677991.0</v>
      </c>
      <c r="C884" s="2" t="s">
        <v>1575</v>
      </c>
      <c r="D884" s="2" t="s">
        <v>1565</v>
      </c>
      <c r="E884" s="2">
        <v>10000.0</v>
      </c>
      <c r="F884" s="2" t="s">
        <v>1566</v>
      </c>
      <c r="I884" s="7">
        <v>1.0</v>
      </c>
      <c r="J884" s="6">
        <v>29524.0</v>
      </c>
      <c r="K884" s="2">
        <v>0.0</v>
      </c>
      <c r="L884" s="2">
        <v>29524.0</v>
      </c>
      <c r="M884" s="2">
        <v>0.0</v>
      </c>
      <c r="N884" s="2">
        <v>29524.0</v>
      </c>
      <c r="O884" s="2">
        <v>1476.0</v>
      </c>
      <c r="P884" s="2" t="s">
        <v>1574</v>
      </c>
      <c r="Q884" s="2" t="s">
        <v>1568</v>
      </c>
      <c r="R884" s="2" t="s">
        <v>1569</v>
      </c>
      <c r="S884" s="2" t="s">
        <v>1570</v>
      </c>
      <c r="W884" s="2" t="s">
        <v>1571</v>
      </c>
    </row>
    <row r="885">
      <c r="A885" s="4">
        <v>45547.82708333333</v>
      </c>
      <c r="B885" s="5">
        <v>2677991.0</v>
      </c>
      <c r="C885" s="2" t="s">
        <v>1575</v>
      </c>
      <c r="D885" s="2" t="s">
        <v>1572</v>
      </c>
      <c r="E885" s="2">
        <v>10058.0</v>
      </c>
      <c r="F885" s="2" t="s">
        <v>1618</v>
      </c>
      <c r="I885" s="7">
        <v>1.0</v>
      </c>
      <c r="J885" s="6">
        <v>19524.0</v>
      </c>
      <c r="K885" s="2">
        <v>0.0</v>
      </c>
      <c r="L885" s="2">
        <v>19524.0</v>
      </c>
      <c r="M885" s="2">
        <v>0.0</v>
      </c>
      <c r="N885" s="2">
        <v>19524.0</v>
      </c>
      <c r="O885" s="2">
        <v>977.0</v>
      </c>
      <c r="P885" s="2" t="s">
        <v>1574</v>
      </c>
      <c r="Q885" s="2" t="s">
        <v>1568</v>
      </c>
      <c r="R885" s="2" t="s">
        <v>1569</v>
      </c>
      <c r="S885" s="2" t="s">
        <v>1570</v>
      </c>
      <c r="W885" s="2" t="s">
        <v>1571</v>
      </c>
    </row>
    <row r="886">
      <c r="A886" s="4">
        <v>45547.82708333333</v>
      </c>
      <c r="B886" s="5">
        <v>2677991.0</v>
      </c>
      <c r="C886" s="2" t="s">
        <v>1575</v>
      </c>
      <c r="D886" s="2" t="s">
        <v>1578</v>
      </c>
      <c r="E886" s="2">
        <v>10015.0</v>
      </c>
      <c r="F886" s="2" t="s">
        <v>1587</v>
      </c>
      <c r="I886" s="7">
        <v>1.0</v>
      </c>
      <c r="J886" s="6">
        <v>25238.0</v>
      </c>
      <c r="K886" s="2">
        <v>0.0</v>
      </c>
      <c r="L886" s="2">
        <v>25238.0</v>
      </c>
      <c r="M886" s="2">
        <v>0.0</v>
      </c>
      <c r="N886" s="2">
        <v>25238.0</v>
      </c>
      <c r="O886" s="2">
        <v>1261.0</v>
      </c>
      <c r="P886" s="2" t="s">
        <v>1574</v>
      </c>
      <c r="Q886" s="2" t="s">
        <v>1568</v>
      </c>
      <c r="R886" s="2" t="s">
        <v>1569</v>
      </c>
      <c r="S886" s="2" t="s">
        <v>1570</v>
      </c>
      <c r="W886" s="2" t="s">
        <v>1571</v>
      </c>
    </row>
    <row r="887">
      <c r="A887" s="4">
        <v>45547.82708333333</v>
      </c>
      <c r="B887" s="5">
        <v>2677991.0</v>
      </c>
      <c r="C887" s="2" t="s">
        <v>1575</v>
      </c>
      <c r="D887" s="2" t="s">
        <v>1572</v>
      </c>
      <c r="E887" s="2">
        <v>10112.0</v>
      </c>
      <c r="F887" s="2" t="s">
        <v>1573</v>
      </c>
      <c r="I887" s="7">
        <v>2.0</v>
      </c>
      <c r="J887" s="6">
        <v>13334.0</v>
      </c>
      <c r="K887" s="2">
        <v>0.0</v>
      </c>
      <c r="L887" s="2">
        <v>13334.0</v>
      </c>
      <c r="M887" s="2">
        <v>0.0</v>
      </c>
      <c r="N887" s="2">
        <v>13334.0</v>
      </c>
      <c r="O887" s="2">
        <v>667.0</v>
      </c>
      <c r="P887" s="2" t="s">
        <v>1574</v>
      </c>
      <c r="Q887" s="2" t="s">
        <v>1568</v>
      </c>
      <c r="R887" s="2" t="s">
        <v>1569</v>
      </c>
      <c r="S887" s="2" t="s">
        <v>1570</v>
      </c>
      <c r="W887" s="2" t="s">
        <v>1571</v>
      </c>
    </row>
    <row r="888">
      <c r="A888" s="4">
        <v>45547.77222222222</v>
      </c>
      <c r="B888" s="5">
        <v>2677626.0</v>
      </c>
      <c r="C888" s="2" t="s">
        <v>1575</v>
      </c>
      <c r="D888" s="2" t="s">
        <v>1565</v>
      </c>
      <c r="E888" s="2">
        <v>10055.0</v>
      </c>
      <c r="F888" s="2" t="s">
        <v>1597</v>
      </c>
      <c r="I888" s="7">
        <v>2.0</v>
      </c>
      <c r="J888" s="6">
        <v>69524.0</v>
      </c>
      <c r="K888" s="2">
        <v>0.0</v>
      </c>
      <c r="L888" s="2">
        <v>69524.0</v>
      </c>
      <c r="M888" s="2">
        <v>0.0</v>
      </c>
      <c r="N888" s="2">
        <v>69524.0</v>
      </c>
      <c r="O888" s="2">
        <v>3476.0</v>
      </c>
      <c r="P888" s="2" t="s">
        <v>1574</v>
      </c>
      <c r="Q888" s="2" t="s">
        <v>1568</v>
      </c>
      <c r="R888" s="2" t="s">
        <v>1569</v>
      </c>
      <c r="S888" s="2" t="s">
        <v>1570</v>
      </c>
      <c r="W888" s="2" t="s">
        <v>1571</v>
      </c>
    </row>
    <row r="889">
      <c r="A889" s="4">
        <v>45547.72986111111</v>
      </c>
      <c r="B889" s="5">
        <v>2677261.0</v>
      </c>
      <c r="C889" s="2" t="s">
        <v>1575</v>
      </c>
      <c r="D889" s="2" t="s">
        <v>1572</v>
      </c>
      <c r="E889" s="2">
        <v>10128.0</v>
      </c>
      <c r="F889" s="2" t="s">
        <v>1588</v>
      </c>
      <c r="I889" s="7">
        <v>1.0</v>
      </c>
      <c r="J889" s="6">
        <v>23333.0</v>
      </c>
      <c r="K889" s="2">
        <v>0.0</v>
      </c>
      <c r="L889" s="2">
        <v>23333.0</v>
      </c>
      <c r="M889" s="2">
        <v>0.0</v>
      </c>
      <c r="N889" s="2">
        <v>23333.0</v>
      </c>
      <c r="O889" s="2">
        <v>1167.0</v>
      </c>
      <c r="P889" s="2" t="s">
        <v>1574</v>
      </c>
      <c r="Q889" s="2" t="s">
        <v>1568</v>
      </c>
      <c r="R889" s="2" t="s">
        <v>1569</v>
      </c>
      <c r="S889" s="2" t="s">
        <v>1570</v>
      </c>
      <c r="W889" s="2" t="s">
        <v>1571</v>
      </c>
    </row>
    <row r="890">
      <c r="A890" s="4">
        <v>45547.72986111111</v>
      </c>
      <c r="B890" s="5">
        <v>2677261.0</v>
      </c>
      <c r="C890" s="2" t="s">
        <v>1575</v>
      </c>
      <c r="D890" s="2" t="s">
        <v>1565</v>
      </c>
      <c r="E890" s="2">
        <v>10034.0</v>
      </c>
      <c r="F890" s="2" t="s">
        <v>1616</v>
      </c>
      <c r="I890" s="7">
        <v>1.0</v>
      </c>
      <c r="J890" s="6">
        <v>21905.0</v>
      </c>
      <c r="K890" s="2">
        <v>0.0</v>
      </c>
      <c r="L890" s="2">
        <v>21905.0</v>
      </c>
      <c r="M890" s="2">
        <v>0.0</v>
      </c>
      <c r="N890" s="2">
        <v>21905.0</v>
      </c>
      <c r="O890" s="2">
        <v>1095.0</v>
      </c>
      <c r="P890" s="2" t="s">
        <v>1574</v>
      </c>
      <c r="Q890" s="2" t="s">
        <v>1568</v>
      </c>
      <c r="R890" s="2" t="s">
        <v>1569</v>
      </c>
      <c r="S890" s="2" t="s">
        <v>1570</v>
      </c>
      <c r="W890" s="2" t="s">
        <v>1571</v>
      </c>
    </row>
    <row r="891">
      <c r="A891" s="4">
        <v>45547.725</v>
      </c>
      <c r="B891" s="5">
        <v>2676896.0</v>
      </c>
      <c r="C891" s="2" t="s">
        <v>1575</v>
      </c>
      <c r="D891" s="2" t="s">
        <v>1565</v>
      </c>
      <c r="E891" s="2">
        <v>10002.0</v>
      </c>
      <c r="F891" s="2" t="s">
        <v>1576</v>
      </c>
      <c r="I891" s="7">
        <v>1.0</v>
      </c>
      <c r="J891" s="6">
        <v>18571.0</v>
      </c>
      <c r="K891" s="2">
        <v>0.0</v>
      </c>
      <c r="L891" s="2">
        <v>18571.0</v>
      </c>
      <c r="M891" s="2">
        <v>0.0</v>
      </c>
      <c r="N891" s="2">
        <v>18571.0</v>
      </c>
      <c r="O891" s="2">
        <v>929.0</v>
      </c>
      <c r="P891" s="2" t="s">
        <v>1574</v>
      </c>
      <c r="Q891" s="2" t="s">
        <v>1568</v>
      </c>
      <c r="R891" s="2" t="s">
        <v>1569</v>
      </c>
      <c r="S891" s="2" t="s">
        <v>1570</v>
      </c>
      <c r="W891" s="2" t="s">
        <v>1571</v>
      </c>
    </row>
    <row r="892">
      <c r="A892" s="4">
        <v>45547.725</v>
      </c>
      <c r="B892" s="5">
        <v>2676896.0</v>
      </c>
      <c r="C892" s="2" t="s">
        <v>1575</v>
      </c>
      <c r="D892" s="2" t="s">
        <v>1565</v>
      </c>
      <c r="E892" s="2">
        <v>10005.0</v>
      </c>
      <c r="F892" s="2" t="s">
        <v>1595</v>
      </c>
      <c r="I892" s="7">
        <v>1.0</v>
      </c>
      <c r="J892" s="6">
        <v>19524.0</v>
      </c>
      <c r="K892" s="2">
        <v>0.0</v>
      </c>
      <c r="L892" s="2">
        <v>19524.0</v>
      </c>
      <c r="M892" s="2">
        <v>0.0</v>
      </c>
      <c r="N892" s="2">
        <v>19524.0</v>
      </c>
      <c r="O892" s="2">
        <v>976.0</v>
      </c>
      <c r="P892" s="2" t="s">
        <v>1574</v>
      </c>
      <c r="Q892" s="2" t="s">
        <v>1568</v>
      </c>
      <c r="R892" s="2" t="s">
        <v>1569</v>
      </c>
      <c r="S892" s="2" t="s">
        <v>1570</v>
      </c>
      <c r="W892" s="2" t="s">
        <v>1571</v>
      </c>
    </row>
    <row r="893">
      <c r="A893" s="4">
        <v>45547.725</v>
      </c>
      <c r="B893" s="5">
        <v>2676896.0</v>
      </c>
      <c r="C893" s="2" t="s">
        <v>1575</v>
      </c>
      <c r="D893" s="2" t="s">
        <v>1578</v>
      </c>
      <c r="E893" s="2">
        <v>10004.0</v>
      </c>
      <c r="F893" s="2" t="s">
        <v>1607</v>
      </c>
      <c r="I893" s="7">
        <v>1.0</v>
      </c>
      <c r="J893" s="6">
        <v>25238.0</v>
      </c>
      <c r="K893" s="2">
        <v>0.0</v>
      </c>
      <c r="L893" s="2">
        <v>25238.0</v>
      </c>
      <c r="M893" s="2">
        <v>0.0</v>
      </c>
      <c r="N893" s="2">
        <v>25238.0</v>
      </c>
      <c r="O893" s="2">
        <v>1262.0</v>
      </c>
      <c r="P893" s="2" t="s">
        <v>1574</v>
      </c>
      <c r="Q893" s="2" t="s">
        <v>1568</v>
      </c>
      <c r="R893" s="2" t="s">
        <v>1569</v>
      </c>
      <c r="S893" s="2" t="s">
        <v>1570</v>
      </c>
      <c r="W893" s="2" t="s">
        <v>1571</v>
      </c>
    </row>
    <row r="894">
      <c r="A894" s="4">
        <v>45547.72152777778</v>
      </c>
      <c r="B894" s="5">
        <v>2676530.0</v>
      </c>
      <c r="C894" s="2" t="s">
        <v>1575</v>
      </c>
      <c r="D894" s="2" t="s">
        <v>1565</v>
      </c>
      <c r="E894" s="2">
        <v>10000.0</v>
      </c>
      <c r="F894" s="2" t="s">
        <v>1566</v>
      </c>
      <c r="I894" s="7">
        <v>1.0</v>
      </c>
      <c r="J894" s="6">
        <v>29524.0</v>
      </c>
      <c r="K894" s="2">
        <v>0.0</v>
      </c>
      <c r="L894" s="2">
        <v>29524.0</v>
      </c>
      <c r="M894" s="2">
        <v>0.0</v>
      </c>
      <c r="N894" s="2">
        <v>29524.0</v>
      </c>
      <c r="O894" s="2">
        <v>1476.0</v>
      </c>
      <c r="P894" s="2" t="s">
        <v>1574</v>
      </c>
      <c r="Q894" s="2" t="s">
        <v>1568</v>
      </c>
      <c r="R894" s="2" t="s">
        <v>1569</v>
      </c>
      <c r="S894" s="2" t="s">
        <v>1570</v>
      </c>
      <c r="W894" s="2" t="s">
        <v>1571</v>
      </c>
    </row>
    <row r="895">
      <c r="A895" s="4">
        <v>45547.72152777778</v>
      </c>
      <c r="B895" s="5">
        <v>2676530.0</v>
      </c>
      <c r="C895" s="2" t="s">
        <v>1575</v>
      </c>
      <c r="D895" s="2" t="s">
        <v>1565</v>
      </c>
      <c r="E895" s="2">
        <v>10007.0</v>
      </c>
      <c r="F895" s="2" t="s">
        <v>1596</v>
      </c>
      <c r="I895" s="7">
        <v>1.0</v>
      </c>
      <c r="J895" s="6">
        <v>33810.0</v>
      </c>
      <c r="K895" s="2">
        <v>0.0</v>
      </c>
      <c r="L895" s="2">
        <v>33810.0</v>
      </c>
      <c r="M895" s="2">
        <v>0.0</v>
      </c>
      <c r="N895" s="2">
        <v>33810.0</v>
      </c>
      <c r="O895" s="2">
        <v>1691.0</v>
      </c>
      <c r="P895" s="2" t="s">
        <v>1574</v>
      </c>
      <c r="Q895" s="2" t="s">
        <v>1568</v>
      </c>
      <c r="R895" s="2" t="s">
        <v>1569</v>
      </c>
      <c r="S895" s="2" t="s">
        <v>1570</v>
      </c>
      <c r="W895" s="2" t="s">
        <v>1571</v>
      </c>
    </row>
    <row r="896">
      <c r="A896" s="4">
        <v>45547.71875</v>
      </c>
      <c r="B896" s="5">
        <v>2676165.0</v>
      </c>
      <c r="C896" s="2" t="s">
        <v>1575</v>
      </c>
      <c r="D896" s="2" t="s">
        <v>1565</v>
      </c>
      <c r="E896" s="2">
        <v>10000.0</v>
      </c>
      <c r="F896" s="2" t="s">
        <v>1566</v>
      </c>
      <c r="I896" s="7">
        <v>1.0</v>
      </c>
      <c r="J896" s="6">
        <v>29524.0</v>
      </c>
      <c r="K896" s="2">
        <v>0.0</v>
      </c>
      <c r="L896" s="2">
        <v>29524.0</v>
      </c>
      <c r="M896" s="2">
        <v>0.0</v>
      </c>
      <c r="N896" s="2">
        <v>29524.0</v>
      </c>
      <c r="O896" s="2">
        <v>1476.0</v>
      </c>
      <c r="P896" s="2" t="s">
        <v>1574</v>
      </c>
      <c r="Q896" s="2" t="s">
        <v>1568</v>
      </c>
      <c r="R896" s="2" t="s">
        <v>1569</v>
      </c>
      <c r="S896" s="2" t="s">
        <v>1570</v>
      </c>
      <c r="W896" s="2" t="s">
        <v>1571</v>
      </c>
    </row>
    <row r="897">
      <c r="A897" s="4">
        <v>45547.691666666666</v>
      </c>
      <c r="B897" s="5">
        <v>2675800.0</v>
      </c>
      <c r="C897" s="2" t="s">
        <v>1575</v>
      </c>
      <c r="D897" s="2" t="s">
        <v>1572</v>
      </c>
      <c r="E897" s="2">
        <v>10128.0</v>
      </c>
      <c r="F897" s="2" t="s">
        <v>1588</v>
      </c>
      <c r="I897" s="7">
        <v>1.0</v>
      </c>
      <c r="J897" s="6">
        <v>23333.0</v>
      </c>
      <c r="K897" s="2">
        <v>0.0</v>
      </c>
      <c r="L897" s="2">
        <v>23333.0</v>
      </c>
      <c r="M897" s="2">
        <v>0.0</v>
      </c>
      <c r="N897" s="2">
        <v>23333.0</v>
      </c>
      <c r="O897" s="2">
        <v>1167.0</v>
      </c>
      <c r="P897" s="2" t="s">
        <v>1574</v>
      </c>
      <c r="Q897" s="2" t="s">
        <v>1568</v>
      </c>
      <c r="R897" s="2" t="s">
        <v>1569</v>
      </c>
      <c r="S897" s="2" t="s">
        <v>1570</v>
      </c>
      <c r="W897" s="2" t="s">
        <v>1571</v>
      </c>
    </row>
    <row r="898">
      <c r="A898" s="4">
        <v>45547.691666666666</v>
      </c>
      <c r="B898" s="5">
        <v>2675800.0</v>
      </c>
      <c r="C898" s="2" t="s">
        <v>1575</v>
      </c>
      <c r="D898" s="2" t="s">
        <v>1565</v>
      </c>
      <c r="E898" s="2">
        <v>10002.0</v>
      </c>
      <c r="F898" s="2" t="s">
        <v>1576</v>
      </c>
      <c r="I898" s="7">
        <v>1.0</v>
      </c>
      <c r="J898" s="6">
        <v>18571.0</v>
      </c>
      <c r="K898" s="2">
        <v>0.0</v>
      </c>
      <c r="L898" s="2">
        <v>18571.0</v>
      </c>
      <c r="M898" s="2">
        <v>0.0</v>
      </c>
      <c r="N898" s="2">
        <v>18571.0</v>
      </c>
      <c r="O898" s="2">
        <v>928.0</v>
      </c>
      <c r="P898" s="2" t="s">
        <v>1574</v>
      </c>
      <c r="Q898" s="2" t="s">
        <v>1568</v>
      </c>
      <c r="R898" s="2" t="s">
        <v>1569</v>
      </c>
      <c r="S898" s="2" t="s">
        <v>1570</v>
      </c>
      <c r="W898" s="2" t="s">
        <v>1571</v>
      </c>
    </row>
    <row r="899">
      <c r="A899" s="4">
        <v>45547.68680555555</v>
      </c>
      <c r="B899" s="5">
        <v>2675435.0</v>
      </c>
      <c r="C899" s="2" t="s">
        <v>1575</v>
      </c>
      <c r="D899" s="2" t="s">
        <v>1572</v>
      </c>
      <c r="E899" s="2">
        <v>10123.0</v>
      </c>
      <c r="F899" s="2" t="s">
        <v>1599</v>
      </c>
      <c r="I899" s="7">
        <v>1.0</v>
      </c>
      <c r="J899" s="6">
        <v>21905.0</v>
      </c>
      <c r="K899" s="2">
        <v>0.0</v>
      </c>
      <c r="L899" s="2">
        <v>21905.0</v>
      </c>
      <c r="M899" s="2">
        <v>0.0</v>
      </c>
      <c r="N899" s="2">
        <v>21905.0</v>
      </c>
      <c r="O899" s="2">
        <v>1095.0</v>
      </c>
      <c r="P899" s="2" t="s">
        <v>1574</v>
      </c>
      <c r="Q899" s="2" t="s">
        <v>1568</v>
      </c>
      <c r="R899" s="2" t="s">
        <v>1569</v>
      </c>
      <c r="S899" s="2" t="s">
        <v>1570</v>
      </c>
      <c r="W899" s="2" t="s">
        <v>1571</v>
      </c>
    </row>
    <row r="900">
      <c r="A900" s="4">
        <v>45547.68680555555</v>
      </c>
      <c r="B900" s="5">
        <v>2675435.0</v>
      </c>
      <c r="C900" s="2" t="s">
        <v>1575</v>
      </c>
      <c r="D900" s="2" t="s">
        <v>1578</v>
      </c>
      <c r="E900" s="2">
        <v>10014.0</v>
      </c>
      <c r="F900" s="2" t="s">
        <v>1609</v>
      </c>
      <c r="I900" s="7">
        <v>1.0</v>
      </c>
      <c r="J900" s="6">
        <v>25238.0</v>
      </c>
      <c r="K900" s="2">
        <v>0.0</v>
      </c>
      <c r="L900" s="2">
        <v>25238.0</v>
      </c>
      <c r="M900" s="2">
        <v>0.0</v>
      </c>
      <c r="N900" s="2">
        <v>25238.0</v>
      </c>
      <c r="O900" s="2">
        <v>1262.0</v>
      </c>
      <c r="P900" s="2" t="s">
        <v>1574</v>
      </c>
      <c r="Q900" s="2" t="s">
        <v>1568</v>
      </c>
      <c r="R900" s="2" t="s">
        <v>1569</v>
      </c>
      <c r="S900" s="2" t="s">
        <v>1570</v>
      </c>
      <c r="W900" s="2" t="s">
        <v>1571</v>
      </c>
    </row>
    <row r="901">
      <c r="A901" s="4">
        <v>45547.68680555555</v>
      </c>
      <c r="B901" s="5">
        <v>2675435.0</v>
      </c>
      <c r="C901" s="2" t="s">
        <v>1575</v>
      </c>
      <c r="D901" s="2" t="s">
        <v>1565</v>
      </c>
      <c r="E901" s="2">
        <v>10000.0</v>
      </c>
      <c r="F901" s="2" t="s">
        <v>1566</v>
      </c>
      <c r="I901" s="7">
        <v>1.0</v>
      </c>
      <c r="J901" s="6">
        <v>29524.0</v>
      </c>
      <c r="K901" s="2">
        <v>0.0</v>
      </c>
      <c r="L901" s="2">
        <v>29524.0</v>
      </c>
      <c r="M901" s="2">
        <v>0.0</v>
      </c>
      <c r="N901" s="2">
        <v>29524.0</v>
      </c>
      <c r="O901" s="2">
        <v>1476.0</v>
      </c>
      <c r="P901" s="2" t="s">
        <v>1574</v>
      </c>
      <c r="Q901" s="2" t="s">
        <v>1568</v>
      </c>
      <c r="R901" s="2" t="s">
        <v>1569</v>
      </c>
      <c r="S901" s="2" t="s">
        <v>1570</v>
      </c>
      <c r="W901" s="2" t="s">
        <v>1571</v>
      </c>
    </row>
    <row r="902">
      <c r="A902" s="4">
        <v>45547.64513888889</v>
      </c>
      <c r="B902" s="5">
        <v>2675069.0</v>
      </c>
      <c r="C902" s="2" t="s">
        <v>1575</v>
      </c>
      <c r="D902" s="2" t="s">
        <v>1565</v>
      </c>
      <c r="E902" s="2">
        <v>10000.0</v>
      </c>
      <c r="F902" s="2" t="s">
        <v>1566</v>
      </c>
      <c r="I902" s="7">
        <v>1.0</v>
      </c>
      <c r="J902" s="6">
        <v>29524.0</v>
      </c>
      <c r="K902" s="2">
        <v>0.0</v>
      </c>
      <c r="L902" s="2">
        <v>29524.0</v>
      </c>
      <c r="M902" s="2">
        <v>0.0</v>
      </c>
      <c r="N902" s="2">
        <v>29524.0</v>
      </c>
      <c r="O902" s="2">
        <v>1476.0</v>
      </c>
      <c r="P902" s="2" t="s">
        <v>1574</v>
      </c>
      <c r="Q902" s="2" t="s">
        <v>1568</v>
      </c>
      <c r="R902" s="2" t="s">
        <v>1569</v>
      </c>
      <c r="S902" s="2" t="s">
        <v>1570</v>
      </c>
      <c r="W902" s="2" t="s">
        <v>1571</v>
      </c>
    </row>
    <row r="903">
      <c r="A903" s="4">
        <v>45547.64513888889</v>
      </c>
      <c r="B903" s="5">
        <v>2675069.0</v>
      </c>
      <c r="C903" s="2" t="s">
        <v>1575</v>
      </c>
      <c r="D903" s="2" t="s">
        <v>1572</v>
      </c>
      <c r="E903" s="2">
        <v>10128.0</v>
      </c>
      <c r="F903" s="2" t="s">
        <v>1588</v>
      </c>
      <c r="I903" s="7">
        <v>1.0</v>
      </c>
      <c r="J903" s="6">
        <v>23333.0</v>
      </c>
      <c r="K903" s="2">
        <v>0.0</v>
      </c>
      <c r="L903" s="2">
        <v>23333.0</v>
      </c>
      <c r="M903" s="2">
        <v>0.0</v>
      </c>
      <c r="N903" s="2">
        <v>23333.0</v>
      </c>
      <c r="O903" s="2">
        <v>1167.0</v>
      </c>
      <c r="P903" s="2" t="s">
        <v>1574</v>
      </c>
      <c r="Q903" s="2" t="s">
        <v>1568</v>
      </c>
      <c r="R903" s="2" t="s">
        <v>1569</v>
      </c>
      <c r="S903" s="2" t="s">
        <v>1570</v>
      </c>
      <c r="W903" s="2" t="s">
        <v>1571</v>
      </c>
    </row>
    <row r="904">
      <c r="A904" s="4">
        <v>45547.64513888889</v>
      </c>
      <c r="B904" s="5">
        <v>2675069.0</v>
      </c>
      <c r="C904" s="2" t="s">
        <v>1575</v>
      </c>
      <c r="D904" s="2" t="s">
        <v>1572</v>
      </c>
      <c r="E904" s="2">
        <v>10057.0</v>
      </c>
      <c r="F904" s="2" t="s">
        <v>1608</v>
      </c>
      <c r="I904" s="7">
        <v>1.0</v>
      </c>
      <c r="J904" s="6">
        <v>19524.0</v>
      </c>
      <c r="K904" s="2">
        <v>0.0</v>
      </c>
      <c r="L904" s="2">
        <v>19524.0</v>
      </c>
      <c r="M904" s="2">
        <v>0.0</v>
      </c>
      <c r="N904" s="2">
        <v>19524.0</v>
      </c>
      <c r="O904" s="2">
        <v>976.0</v>
      </c>
      <c r="P904" s="2" t="s">
        <v>1574</v>
      </c>
      <c r="Q904" s="2" t="s">
        <v>1568</v>
      </c>
      <c r="R904" s="2" t="s">
        <v>1569</v>
      </c>
      <c r="S904" s="2" t="s">
        <v>1570</v>
      </c>
      <c r="W904" s="2" t="s">
        <v>1571</v>
      </c>
    </row>
    <row r="905">
      <c r="A905" s="4">
        <v>45547.60763888889</v>
      </c>
      <c r="B905" s="5">
        <v>2674704.0</v>
      </c>
      <c r="C905" s="2" t="s">
        <v>1575</v>
      </c>
      <c r="D905" s="2" t="s">
        <v>1572</v>
      </c>
      <c r="E905" s="2">
        <v>10121.0</v>
      </c>
      <c r="F905" s="2" t="s">
        <v>1617</v>
      </c>
      <c r="I905" s="7">
        <v>1.0</v>
      </c>
      <c r="J905" s="6">
        <v>19524.0</v>
      </c>
      <c r="K905" s="2">
        <v>0.0</v>
      </c>
      <c r="L905" s="2">
        <v>19524.0</v>
      </c>
      <c r="M905" s="2">
        <v>0.0</v>
      </c>
      <c r="N905" s="2">
        <v>19524.0</v>
      </c>
      <c r="O905" s="2">
        <v>976.0</v>
      </c>
      <c r="P905" s="2" t="s">
        <v>1574</v>
      </c>
      <c r="Q905" s="2" t="s">
        <v>1568</v>
      </c>
      <c r="R905" s="2" t="s">
        <v>1569</v>
      </c>
      <c r="S905" s="2" t="s">
        <v>1570</v>
      </c>
      <c r="W905" s="2" t="s">
        <v>1571</v>
      </c>
    </row>
    <row r="906">
      <c r="A906" s="4">
        <v>45547.60763888889</v>
      </c>
      <c r="B906" s="5">
        <v>2674704.0</v>
      </c>
      <c r="C906" s="2" t="s">
        <v>1575</v>
      </c>
      <c r="D906" s="2" t="s">
        <v>1565</v>
      </c>
      <c r="E906" s="2">
        <v>10034.0</v>
      </c>
      <c r="F906" s="2" t="s">
        <v>1616</v>
      </c>
      <c r="I906" s="7">
        <v>1.0</v>
      </c>
      <c r="J906" s="6">
        <v>21905.0</v>
      </c>
      <c r="K906" s="2">
        <v>0.0</v>
      </c>
      <c r="L906" s="2">
        <v>21905.0</v>
      </c>
      <c r="M906" s="2">
        <v>0.0</v>
      </c>
      <c r="N906" s="2">
        <v>21905.0</v>
      </c>
      <c r="O906" s="2">
        <v>1095.0</v>
      </c>
      <c r="P906" s="2" t="s">
        <v>1574</v>
      </c>
      <c r="Q906" s="2" t="s">
        <v>1568</v>
      </c>
      <c r="R906" s="2" t="s">
        <v>1569</v>
      </c>
      <c r="S906" s="2" t="s">
        <v>1570</v>
      </c>
      <c r="W906" s="2" t="s">
        <v>1571</v>
      </c>
    </row>
    <row r="907">
      <c r="A907" s="4">
        <v>45547.60763888889</v>
      </c>
      <c r="B907" s="5">
        <v>2674704.0</v>
      </c>
      <c r="C907" s="2" t="s">
        <v>1575</v>
      </c>
      <c r="D907" s="2" t="s">
        <v>1580</v>
      </c>
      <c r="E907" s="2">
        <v>10104.0</v>
      </c>
      <c r="F907" s="2" t="s">
        <v>1581</v>
      </c>
      <c r="I907" s="7">
        <v>1.0</v>
      </c>
      <c r="J907" s="6">
        <v>34762.0</v>
      </c>
      <c r="K907" s="2">
        <v>0.0</v>
      </c>
      <c r="L907" s="2">
        <v>34762.0</v>
      </c>
      <c r="M907" s="2">
        <v>0.0</v>
      </c>
      <c r="N907" s="2">
        <v>34762.0</v>
      </c>
      <c r="O907" s="2">
        <v>1739.0</v>
      </c>
      <c r="P907" s="2" t="s">
        <v>1574</v>
      </c>
      <c r="Q907" s="2" t="s">
        <v>1568</v>
      </c>
      <c r="R907" s="2" t="s">
        <v>1569</v>
      </c>
      <c r="S907" s="2" t="s">
        <v>1570</v>
      </c>
      <c r="W907" s="2" t="s">
        <v>1571</v>
      </c>
    </row>
    <row r="908">
      <c r="A908" s="4">
        <v>45547.60625</v>
      </c>
      <c r="B908" s="5">
        <v>2674339.0</v>
      </c>
      <c r="C908" s="2" t="s">
        <v>1564</v>
      </c>
      <c r="D908" s="2" t="s">
        <v>1572</v>
      </c>
      <c r="E908" s="2">
        <v>10112.0</v>
      </c>
      <c r="F908" s="2" t="s">
        <v>1573</v>
      </c>
      <c r="I908" s="7">
        <v>-2.0</v>
      </c>
      <c r="J908" s="6">
        <v>-13334.0</v>
      </c>
      <c r="K908" s="2">
        <v>0.0</v>
      </c>
      <c r="L908" s="2">
        <v>-13334.0</v>
      </c>
      <c r="M908" s="2">
        <v>0.0</v>
      </c>
      <c r="N908" s="2">
        <v>-13334.0</v>
      </c>
      <c r="O908" s="2">
        <v>-667.0</v>
      </c>
      <c r="P908" s="2" t="s">
        <v>1574</v>
      </c>
      <c r="Q908" s="2" t="s">
        <v>1568</v>
      </c>
      <c r="R908" s="2" t="s">
        <v>1569</v>
      </c>
      <c r="S908" s="2" t="s">
        <v>1570</v>
      </c>
      <c r="W908" s="2" t="s">
        <v>1571</v>
      </c>
    </row>
    <row r="909">
      <c r="A909" s="4">
        <v>45547.60625</v>
      </c>
      <c r="B909" s="5">
        <v>2674339.0</v>
      </c>
      <c r="C909" s="2" t="s">
        <v>1564</v>
      </c>
      <c r="D909" s="2" t="s">
        <v>1572</v>
      </c>
      <c r="E909" s="2">
        <v>10117.0</v>
      </c>
      <c r="F909" s="2" t="s">
        <v>1589</v>
      </c>
      <c r="I909" s="7">
        <v>-1.0</v>
      </c>
      <c r="J909" s="6">
        <v>-14286.0</v>
      </c>
      <c r="K909" s="2">
        <v>0.0</v>
      </c>
      <c r="L909" s="2">
        <v>-14286.0</v>
      </c>
      <c r="M909" s="2">
        <v>0.0</v>
      </c>
      <c r="N909" s="2">
        <v>-14286.0</v>
      </c>
      <c r="O909" s="2">
        <v>-714.0</v>
      </c>
      <c r="P909" s="2" t="s">
        <v>1574</v>
      </c>
      <c r="Q909" s="2" t="s">
        <v>1568</v>
      </c>
      <c r="R909" s="2" t="s">
        <v>1569</v>
      </c>
      <c r="S909" s="2" t="s">
        <v>1570</v>
      </c>
      <c r="W909" s="2" t="s">
        <v>1571</v>
      </c>
    </row>
    <row r="910">
      <c r="A910" s="4">
        <v>45547.60625</v>
      </c>
      <c r="B910" s="5">
        <v>2674339.0</v>
      </c>
      <c r="C910" s="2" t="s">
        <v>1564</v>
      </c>
      <c r="D910" s="2" t="s">
        <v>1572</v>
      </c>
      <c r="E910" s="2">
        <v>10128.0</v>
      </c>
      <c r="F910" s="2" t="s">
        <v>1588</v>
      </c>
      <c r="I910" s="7">
        <v>-1.0</v>
      </c>
      <c r="J910" s="6">
        <v>-23333.0</v>
      </c>
      <c r="K910" s="2">
        <v>0.0</v>
      </c>
      <c r="L910" s="2">
        <v>-23333.0</v>
      </c>
      <c r="M910" s="2">
        <v>0.0</v>
      </c>
      <c r="N910" s="2">
        <v>-23333.0</v>
      </c>
      <c r="O910" s="2">
        <v>-1167.0</v>
      </c>
      <c r="P910" s="2" t="s">
        <v>1574</v>
      </c>
      <c r="Q910" s="2" t="s">
        <v>1568</v>
      </c>
      <c r="R910" s="2" t="s">
        <v>1569</v>
      </c>
      <c r="S910" s="2" t="s">
        <v>1570</v>
      </c>
      <c r="W910" s="2" t="s">
        <v>1571</v>
      </c>
    </row>
    <row r="911">
      <c r="A911" s="4">
        <v>45547.60625</v>
      </c>
      <c r="B911" s="5">
        <v>2673974.0</v>
      </c>
      <c r="C911" s="2" t="s">
        <v>1575</v>
      </c>
      <c r="D911" s="2" t="s">
        <v>1572</v>
      </c>
      <c r="E911" s="2">
        <v>10128.0</v>
      </c>
      <c r="F911" s="2" t="s">
        <v>1588</v>
      </c>
      <c r="I911" s="7">
        <v>1.0</v>
      </c>
      <c r="J911" s="6">
        <v>23333.0</v>
      </c>
      <c r="K911" s="2">
        <v>0.0</v>
      </c>
      <c r="L911" s="2">
        <v>23333.0</v>
      </c>
      <c r="M911" s="2">
        <v>0.0</v>
      </c>
      <c r="N911" s="2">
        <v>23333.0</v>
      </c>
      <c r="O911" s="2">
        <v>1167.0</v>
      </c>
      <c r="P911" s="2" t="s">
        <v>1574</v>
      </c>
      <c r="Q911" s="2" t="s">
        <v>1568</v>
      </c>
      <c r="R911" s="2" t="s">
        <v>1569</v>
      </c>
      <c r="S911" s="2" t="s">
        <v>1570</v>
      </c>
      <c r="W911" s="2" t="s">
        <v>1571</v>
      </c>
    </row>
    <row r="912">
      <c r="A912" s="4">
        <v>45547.60625</v>
      </c>
      <c r="B912" s="5">
        <v>2673974.0</v>
      </c>
      <c r="C912" s="2" t="s">
        <v>1575</v>
      </c>
      <c r="D912" s="2" t="s">
        <v>1572</v>
      </c>
      <c r="E912" s="2">
        <v>10117.0</v>
      </c>
      <c r="F912" s="2" t="s">
        <v>1589</v>
      </c>
      <c r="I912" s="7">
        <v>1.0</v>
      </c>
      <c r="J912" s="6">
        <v>14286.0</v>
      </c>
      <c r="K912" s="2">
        <v>0.0</v>
      </c>
      <c r="L912" s="2">
        <v>14286.0</v>
      </c>
      <c r="M912" s="2">
        <v>0.0</v>
      </c>
      <c r="N912" s="2">
        <v>14286.0</v>
      </c>
      <c r="O912" s="2">
        <v>714.0</v>
      </c>
      <c r="P912" s="2" t="s">
        <v>1574</v>
      </c>
      <c r="Q912" s="2" t="s">
        <v>1568</v>
      </c>
      <c r="R912" s="2" t="s">
        <v>1569</v>
      </c>
      <c r="S912" s="2" t="s">
        <v>1570</v>
      </c>
      <c r="W912" s="2" t="s">
        <v>1571</v>
      </c>
    </row>
    <row r="913">
      <c r="A913" s="4">
        <v>45547.60625</v>
      </c>
      <c r="B913" s="5">
        <v>2673974.0</v>
      </c>
      <c r="C913" s="2" t="s">
        <v>1575</v>
      </c>
      <c r="D913" s="2" t="s">
        <v>1572</v>
      </c>
      <c r="E913" s="2">
        <v>10112.0</v>
      </c>
      <c r="F913" s="2" t="s">
        <v>1573</v>
      </c>
      <c r="I913" s="7">
        <v>2.0</v>
      </c>
      <c r="J913" s="6">
        <v>13334.0</v>
      </c>
      <c r="K913" s="2">
        <v>0.0</v>
      </c>
      <c r="L913" s="2">
        <v>13334.0</v>
      </c>
      <c r="M913" s="2">
        <v>0.0</v>
      </c>
      <c r="N913" s="2">
        <v>13334.0</v>
      </c>
      <c r="O913" s="2">
        <v>667.0</v>
      </c>
      <c r="P913" s="2" t="s">
        <v>1574</v>
      </c>
      <c r="Q913" s="2" t="s">
        <v>1568</v>
      </c>
      <c r="R913" s="2" t="s">
        <v>1569</v>
      </c>
      <c r="S913" s="2" t="s">
        <v>1570</v>
      </c>
      <c r="W913" s="2" t="s">
        <v>1571</v>
      </c>
    </row>
    <row r="914">
      <c r="A914" s="4">
        <v>45547.60555555556</v>
      </c>
      <c r="B914" s="5">
        <v>2673608.0</v>
      </c>
      <c r="C914" s="2" t="s">
        <v>1575</v>
      </c>
      <c r="D914" s="2" t="s">
        <v>1572</v>
      </c>
      <c r="E914" s="2">
        <v>10112.0</v>
      </c>
      <c r="F914" s="2" t="s">
        <v>1573</v>
      </c>
      <c r="I914" s="7">
        <v>2.0</v>
      </c>
      <c r="J914" s="6">
        <v>13334.0</v>
      </c>
      <c r="K914" s="2">
        <v>0.0</v>
      </c>
      <c r="L914" s="2">
        <v>13334.0</v>
      </c>
      <c r="M914" s="2">
        <v>0.0</v>
      </c>
      <c r="N914" s="2">
        <v>13334.0</v>
      </c>
      <c r="O914" s="2">
        <v>667.0</v>
      </c>
      <c r="P914" s="2" t="s">
        <v>1574</v>
      </c>
      <c r="Q914" s="2" t="s">
        <v>1568</v>
      </c>
      <c r="R914" s="2" t="s">
        <v>1569</v>
      </c>
      <c r="S914" s="2" t="s">
        <v>1570</v>
      </c>
      <c r="W914" s="2" t="s">
        <v>1571</v>
      </c>
    </row>
    <row r="915">
      <c r="A915" s="4">
        <v>45547.60555555556</v>
      </c>
      <c r="B915" s="5">
        <v>2673608.0</v>
      </c>
      <c r="C915" s="2" t="s">
        <v>1575</v>
      </c>
      <c r="D915" s="2" t="s">
        <v>1572</v>
      </c>
      <c r="E915" s="2">
        <v>10117.0</v>
      </c>
      <c r="F915" s="2" t="s">
        <v>1589</v>
      </c>
      <c r="I915" s="7">
        <v>1.0</v>
      </c>
      <c r="J915" s="6">
        <v>14286.0</v>
      </c>
      <c r="K915" s="2">
        <v>0.0</v>
      </c>
      <c r="L915" s="2">
        <v>14286.0</v>
      </c>
      <c r="M915" s="2">
        <v>0.0</v>
      </c>
      <c r="N915" s="2">
        <v>14286.0</v>
      </c>
      <c r="O915" s="2">
        <v>714.0</v>
      </c>
      <c r="P915" s="2" t="s">
        <v>1574</v>
      </c>
      <c r="Q915" s="2" t="s">
        <v>1568</v>
      </c>
      <c r="R915" s="2" t="s">
        <v>1569</v>
      </c>
      <c r="S915" s="2" t="s">
        <v>1570</v>
      </c>
      <c r="W915" s="2" t="s">
        <v>1571</v>
      </c>
    </row>
    <row r="916">
      <c r="A916" s="4">
        <v>45547.60555555556</v>
      </c>
      <c r="B916" s="5">
        <v>2673608.0</v>
      </c>
      <c r="C916" s="2" t="s">
        <v>1575</v>
      </c>
      <c r="D916" s="2" t="s">
        <v>1572</v>
      </c>
      <c r="E916" s="2">
        <v>10128.0</v>
      </c>
      <c r="F916" s="2" t="s">
        <v>1588</v>
      </c>
      <c r="I916" s="7">
        <v>1.0</v>
      </c>
      <c r="J916" s="6">
        <v>23333.0</v>
      </c>
      <c r="K916" s="2">
        <v>0.0</v>
      </c>
      <c r="L916" s="2">
        <v>23333.0</v>
      </c>
      <c r="M916" s="2">
        <v>0.0</v>
      </c>
      <c r="N916" s="2">
        <v>23333.0</v>
      </c>
      <c r="O916" s="2">
        <v>1167.0</v>
      </c>
      <c r="P916" s="2" t="s">
        <v>1574</v>
      </c>
      <c r="Q916" s="2" t="s">
        <v>1568</v>
      </c>
      <c r="R916" s="2" t="s">
        <v>1569</v>
      </c>
      <c r="S916" s="2" t="s">
        <v>1570</v>
      </c>
      <c r="W916" s="2" t="s">
        <v>1571</v>
      </c>
    </row>
    <row r="917">
      <c r="A917" s="4">
        <v>45547.55972222222</v>
      </c>
      <c r="B917" s="5">
        <v>2673243.0</v>
      </c>
      <c r="C917" s="2" t="s">
        <v>1575</v>
      </c>
      <c r="D917" s="2" t="s">
        <v>1578</v>
      </c>
      <c r="E917" s="2">
        <v>10009.0</v>
      </c>
      <c r="F917" s="2" t="s">
        <v>1586</v>
      </c>
      <c r="I917" s="7">
        <v>1.0</v>
      </c>
      <c r="J917" s="6">
        <v>26667.0</v>
      </c>
      <c r="K917" s="2">
        <v>0.0</v>
      </c>
      <c r="L917" s="2">
        <v>26667.0</v>
      </c>
      <c r="M917" s="2">
        <v>0.0</v>
      </c>
      <c r="N917" s="2">
        <v>26667.0</v>
      </c>
      <c r="O917" s="2">
        <v>1333.0</v>
      </c>
      <c r="P917" s="2" t="s">
        <v>1574</v>
      </c>
      <c r="Q917" s="2" t="s">
        <v>1568</v>
      </c>
      <c r="R917" s="2" t="s">
        <v>1569</v>
      </c>
      <c r="S917" s="2" t="s">
        <v>1570</v>
      </c>
      <c r="W917" s="2" t="s">
        <v>1571</v>
      </c>
    </row>
    <row r="918">
      <c r="A918" s="4">
        <v>45547.55972222222</v>
      </c>
      <c r="B918" s="5">
        <v>2673243.0</v>
      </c>
      <c r="C918" s="2" t="s">
        <v>1575</v>
      </c>
      <c r="D918" s="2" t="s">
        <v>1572</v>
      </c>
      <c r="E918" s="2">
        <v>10106.0</v>
      </c>
      <c r="F918" s="2" t="s">
        <v>1598</v>
      </c>
      <c r="I918" s="7">
        <v>1.0</v>
      </c>
      <c r="J918" s="6">
        <v>26667.0</v>
      </c>
      <c r="K918" s="2">
        <v>0.0</v>
      </c>
      <c r="L918" s="2">
        <v>26667.0</v>
      </c>
      <c r="M918" s="2">
        <v>0.0</v>
      </c>
      <c r="N918" s="2">
        <v>26667.0</v>
      </c>
      <c r="O918" s="2">
        <v>1334.0</v>
      </c>
      <c r="P918" s="2" t="s">
        <v>1574</v>
      </c>
      <c r="Q918" s="2" t="s">
        <v>1568</v>
      </c>
      <c r="R918" s="2" t="s">
        <v>1569</v>
      </c>
      <c r="S918" s="2" t="s">
        <v>1570</v>
      </c>
      <c r="W918" s="2" t="s">
        <v>1571</v>
      </c>
    </row>
    <row r="919">
      <c r="A919" s="4">
        <v>45547.552083333336</v>
      </c>
      <c r="B919" s="5">
        <v>2672878.0</v>
      </c>
      <c r="C919" s="2" t="s">
        <v>1575</v>
      </c>
      <c r="D919" s="2" t="s">
        <v>1565</v>
      </c>
      <c r="E919" s="2">
        <v>10033.0</v>
      </c>
      <c r="F919" s="2" t="s">
        <v>1615</v>
      </c>
      <c r="I919" s="7">
        <v>1.0</v>
      </c>
      <c r="J919" s="6">
        <v>21905.0</v>
      </c>
      <c r="K919" s="2">
        <v>0.0</v>
      </c>
      <c r="L919" s="2">
        <v>21905.0</v>
      </c>
      <c r="M919" s="2">
        <v>0.0</v>
      </c>
      <c r="N919" s="2">
        <v>21905.0</v>
      </c>
      <c r="O919" s="2">
        <v>1095.0</v>
      </c>
      <c r="P919" s="2" t="s">
        <v>1574</v>
      </c>
      <c r="Q919" s="2" t="s">
        <v>1568</v>
      </c>
      <c r="R919" s="2" t="s">
        <v>1569</v>
      </c>
      <c r="S919" s="2" t="s">
        <v>1570</v>
      </c>
      <c r="W919" s="2" t="s">
        <v>1571</v>
      </c>
    </row>
    <row r="920">
      <c r="A920" s="4">
        <v>45547.552083333336</v>
      </c>
      <c r="B920" s="5">
        <v>2672878.0</v>
      </c>
      <c r="C920" s="2" t="s">
        <v>1575</v>
      </c>
      <c r="D920" s="2" t="s">
        <v>1565</v>
      </c>
      <c r="E920" s="2">
        <v>10039.0</v>
      </c>
      <c r="F920" s="2" t="s">
        <v>1622</v>
      </c>
      <c r="I920" s="7">
        <v>1.0</v>
      </c>
      <c r="J920" s="6">
        <v>21905.0</v>
      </c>
      <c r="K920" s="2">
        <v>0.0</v>
      </c>
      <c r="L920" s="2">
        <v>21905.0</v>
      </c>
      <c r="M920" s="2">
        <v>0.0</v>
      </c>
      <c r="N920" s="2">
        <v>21905.0</v>
      </c>
      <c r="O920" s="2">
        <v>1096.0</v>
      </c>
      <c r="P920" s="2" t="s">
        <v>1574</v>
      </c>
      <c r="Q920" s="2" t="s">
        <v>1568</v>
      </c>
      <c r="R920" s="2" t="s">
        <v>1569</v>
      </c>
      <c r="S920" s="2" t="s">
        <v>1570</v>
      </c>
      <c r="W920" s="2" t="s">
        <v>1571</v>
      </c>
    </row>
    <row r="921">
      <c r="A921" s="4">
        <v>45547.552083333336</v>
      </c>
      <c r="B921" s="5">
        <v>2672878.0</v>
      </c>
      <c r="C921" s="2" t="s">
        <v>1575</v>
      </c>
      <c r="D921" s="2" t="s">
        <v>1572</v>
      </c>
      <c r="E921" s="2">
        <v>10128.0</v>
      </c>
      <c r="F921" s="2" t="s">
        <v>1588</v>
      </c>
      <c r="I921" s="7">
        <v>2.0</v>
      </c>
      <c r="J921" s="6">
        <v>46666.0</v>
      </c>
      <c r="K921" s="2">
        <v>0.0</v>
      </c>
      <c r="L921" s="2">
        <v>46666.0</v>
      </c>
      <c r="M921" s="2">
        <v>0.0</v>
      </c>
      <c r="N921" s="2">
        <v>46666.0</v>
      </c>
      <c r="O921" s="2">
        <v>2333.0</v>
      </c>
      <c r="P921" s="2" t="s">
        <v>1574</v>
      </c>
      <c r="Q921" s="2" t="s">
        <v>1568</v>
      </c>
      <c r="R921" s="2" t="s">
        <v>1569</v>
      </c>
      <c r="S921" s="2" t="s">
        <v>1570</v>
      </c>
      <c r="W921" s="2" t="s">
        <v>1571</v>
      </c>
    </row>
    <row r="922">
      <c r="A922" s="4">
        <v>45547.54236111111</v>
      </c>
      <c r="B922" s="5">
        <v>2672513.0</v>
      </c>
      <c r="C922" s="2" t="s">
        <v>1575</v>
      </c>
      <c r="D922" s="2" t="s">
        <v>1565</v>
      </c>
      <c r="E922" s="2">
        <v>10007.0</v>
      </c>
      <c r="F922" s="2" t="s">
        <v>1596</v>
      </c>
      <c r="I922" s="7">
        <v>1.0</v>
      </c>
      <c r="J922" s="6">
        <v>33810.0</v>
      </c>
      <c r="K922" s="2">
        <v>0.0</v>
      </c>
      <c r="L922" s="2">
        <v>33810.0</v>
      </c>
      <c r="M922" s="2">
        <v>0.0</v>
      </c>
      <c r="N922" s="2">
        <v>33810.0</v>
      </c>
      <c r="O922" s="2">
        <v>1691.0</v>
      </c>
      <c r="P922" s="2" t="s">
        <v>1574</v>
      </c>
      <c r="Q922" s="2" t="s">
        <v>1568</v>
      </c>
      <c r="R922" s="2" t="s">
        <v>1569</v>
      </c>
      <c r="S922" s="2" t="s">
        <v>1570</v>
      </c>
      <c r="W922" s="2" t="s">
        <v>1571</v>
      </c>
    </row>
    <row r="923">
      <c r="A923" s="4">
        <v>45547.53958333333</v>
      </c>
      <c r="B923" s="5">
        <v>2672147.0</v>
      </c>
      <c r="C923" s="2" t="s">
        <v>1575</v>
      </c>
      <c r="D923" s="2" t="s">
        <v>1565</v>
      </c>
      <c r="E923" s="2">
        <v>10005.0</v>
      </c>
      <c r="F923" s="2" t="s">
        <v>1595</v>
      </c>
      <c r="I923" s="7">
        <v>1.0</v>
      </c>
      <c r="J923" s="6">
        <v>19524.0</v>
      </c>
      <c r="K923" s="2">
        <v>0.0</v>
      </c>
      <c r="L923" s="2">
        <v>19524.0</v>
      </c>
      <c r="M923" s="2">
        <v>0.0</v>
      </c>
      <c r="N923" s="2">
        <v>19524.0</v>
      </c>
      <c r="O923" s="2">
        <v>976.0</v>
      </c>
      <c r="P923" s="2" t="s">
        <v>1574</v>
      </c>
      <c r="Q923" s="2" t="s">
        <v>1568</v>
      </c>
      <c r="R923" s="2" t="s">
        <v>1569</v>
      </c>
      <c r="S923" s="2" t="s">
        <v>1570</v>
      </c>
      <c r="W923" s="2" t="s">
        <v>1571</v>
      </c>
    </row>
    <row r="924">
      <c r="A924" s="4">
        <v>45547.53958333333</v>
      </c>
      <c r="B924" s="5">
        <v>2672147.0</v>
      </c>
      <c r="C924" s="2" t="s">
        <v>1575</v>
      </c>
      <c r="D924" s="2" t="s">
        <v>1572</v>
      </c>
      <c r="E924" s="2">
        <v>10128.0</v>
      </c>
      <c r="F924" s="2" t="s">
        <v>1588</v>
      </c>
      <c r="I924" s="7">
        <v>1.0</v>
      </c>
      <c r="J924" s="6">
        <v>23333.0</v>
      </c>
      <c r="K924" s="2">
        <v>0.0</v>
      </c>
      <c r="L924" s="2">
        <v>23333.0</v>
      </c>
      <c r="M924" s="2">
        <v>0.0</v>
      </c>
      <c r="N924" s="2">
        <v>23333.0</v>
      </c>
      <c r="O924" s="2">
        <v>1167.0</v>
      </c>
      <c r="P924" s="2" t="s">
        <v>1574</v>
      </c>
      <c r="Q924" s="2" t="s">
        <v>1568</v>
      </c>
      <c r="R924" s="2" t="s">
        <v>1569</v>
      </c>
      <c r="S924" s="2" t="s">
        <v>1570</v>
      </c>
      <c r="W924" s="2" t="s">
        <v>1571</v>
      </c>
    </row>
    <row r="925">
      <c r="A925" s="4">
        <v>45547.52291666667</v>
      </c>
      <c r="B925" s="5">
        <v>2671782.0</v>
      </c>
      <c r="C925" s="2" t="s">
        <v>1575</v>
      </c>
      <c r="D925" s="2" t="s">
        <v>1565</v>
      </c>
      <c r="E925" s="2">
        <v>10000.0</v>
      </c>
      <c r="F925" s="2" t="s">
        <v>1566</v>
      </c>
      <c r="I925" s="7">
        <v>1.0</v>
      </c>
      <c r="J925" s="6">
        <v>29524.0</v>
      </c>
      <c r="K925" s="2">
        <v>0.0</v>
      </c>
      <c r="L925" s="2">
        <v>29524.0</v>
      </c>
      <c r="M925" s="2">
        <v>0.0</v>
      </c>
      <c r="N925" s="2">
        <v>29524.0</v>
      </c>
      <c r="O925" s="2">
        <v>1476.0</v>
      </c>
      <c r="P925" s="2" t="s">
        <v>1574</v>
      </c>
      <c r="Q925" s="2" t="s">
        <v>1568</v>
      </c>
      <c r="R925" s="2" t="s">
        <v>1569</v>
      </c>
      <c r="S925" s="2" t="s">
        <v>1570</v>
      </c>
      <c r="W925" s="2" t="s">
        <v>1571</v>
      </c>
    </row>
    <row r="926">
      <c r="A926" s="4">
        <v>45547.52291666667</v>
      </c>
      <c r="B926" s="5">
        <v>2671782.0</v>
      </c>
      <c r="C926" s="2" t="s">
        <v>1575</v>
      </c>
      <c r="D926" s="2" t="s">
        <v>1565</v>
      </c>
      <c r="E926" s="2">
        <v>10002.0</v>
      </c>
      <c r="F926" s="2" t="s">
        <v>1576</v>
      </c>
      <c r="I926" s="7">
        <v>1.0</v>
      </c>
      <c r="J926" s="6">
        <v>18571.0</v>
      </c>
      <c r="K926" s="2">
        <v>0.0</v>
      </c>
      <c r="L926" s="2">
        <v>18571.0</v>
      </c>
      <c r="M926" s="2">
        <v>0.0</v>
      </c>
      <c r="N926" s="2">
        <v>18571.0</v>
      </c>
      <c r="O926" s="2">
        <v>929.0</v>
      </c>
      <c r="P926" s="2" t="s">
        <v>1574</v>
      </c>
      <c r="Q926" s="2" t="s">
        <v>1568</v>
      </c>
      <c r="R926" s="2" t="s">
        <v>1569</v>
      </c>
      <c r="S926" s="2" t="s">
        <v>1570</v>
      </c>
      <c r="W926" s="2" t="s">
        <v>1571</v>
      </c>
    </row>
    <row r="927">
      <c r="A927" s="4">
        <v>45547.52291666667</v>
      </c>
      <c r="B927" s="5">
        <v>2671782.0</v>
      </c>
      <c r="C927" s="2" t="s">
        <v>1575</v>
      </c>
      <c r="D927" s="2" t="s">
        <v>1572</v>
      </c>
      <c r="E927" s="2">
        <v>10128.0</v>
      </c>
      <c r="F927" s="2" t="s">
        <v>1588</v>
      </c>
      <c r="I927" s="7">
        <v>1.0</v>
      </c>
      <c r="J927" s="6">
        <v>23333.0</v>
      </c>
      <c r="K927" s="2">
        <v>0.0</v>
      </c>
      <c r="L927" s="2">
        <v>23333.0</v>
      </c>
      <c r="M927" s="2">
        <v>0.0</v>
      </c>
      <c r="N927" s="2">
        <v>23333.0</v>
      </c>
      <c r="O927" s="2">
        <v>1166.0</v>
      </c>
      <c r="P927" s="2" t="s">
        <v>1574</v>
      </c>
      <c r="Q927" s="2" t="s">
        <v>1568</v>
      </c>
      <c r="R927" s="2" t="s">
        <v>1569</v>
      </c>
      <c r="S927" s="2" t="s">
        <v>1570</v>
      </c>
      <c r="W927" s="2" t="s">
        <v>1571</v>
      </c>
    </row>
    <row r="928">
      <c r="A928" s="4">
        <v>45547.49791666667</v>
      </c>
      <c r="B928" s="5">
        <v>2671417.0</v>
      </c>
      <c r="C928" s="2" t="s">
        <v>1575</v>
      </c>
      <c r="D928" s="2" t="s">
        <v>1565</v>
      </c>
      <c r="E928" s="2">
        <v>10000.0</v>
      </c>
      <c r="F928" s="2" t="s">
        <v>1566</v>
      </c>
      <c r="I928" s="7">
        <v>1.0</v>
      </c>
      <c r="J928" s="6">
        <v>29524.0</v>
      </c>
      <c r="K928" s="2">
        <v>0.0</v>
      </c>
      <c r="L928" s="2">
        <v>29524.0</v>
      </c>
      <c r="M928" s="2">
        <v>0.0</v>
      </c>
      <c r="N928" s="2">
        <v>29524.0</v>
      </c>
      <c r="O928" s="2">
        <v>1476.0</v>
      </c>
      <c r="P928" s="2" t="s">
        <v>1574</v>
      </c>
      <c r="Q928" s="2" t="s">
        <v>1568</v>
      </c>
      <c r="R928" s="2" t="s">
        <v>1569</v>
      </c>
      <c r="S928" s="2" t="s">
        <v>1570</v>
      </c>
      <c r="W928" s="2" t="s">
        <v>1571</v>
      </c>
    </row>
    <row r="929">
      <c r="A929" s="4">
        <v>45547.49791666667</v>
      </c>
      <c r="B929" s="5">
        <v>2671417.0</v>
      </c>
      <c r="C929" s="2" t="s">
        <v>1575</v>
      </c>
      <c r="D929" s="2" t="s">
        <v>1578</v>
      </c>
      <c r="E929" s="2">
        <v>10009.0</v>
      </c>
      <c r="F929" s="2" t="s">
        <v>1586</v>
      </c>
      <c r="I929" s="7">
        <v>1.0</v>
      </c>
      <c r="J929" s="6">
        <v>26667.0</v>
      </c>
      <c r="K929" s="2">
        <v>0.0</v>
      </c>
      <c r="L929" s="2">
        <v>26667.0</v>
      </c>
      <c r="M929" s="2">
        <v>0.0</v>
      </c>
      <c r="N929" s="2">
        <v>26667.0</v>
      </c>
      <c r="O929" s="2">
        <v>1334.0</v>
      </c>
      <c r="P929" s="2" t="s">
        <v>1574</v>
      </c>
      <c r="Q929" s="2" t="s">
        <v>1568</v>
      </c>
      <c r="R929" s="2" t="s">
        <v>1569</v>
      </c>
      <c r="S929" s="2" t="s">
        <v>1570</v>
      </c>
      <c r="W929" s="2" t="s">
        <v>1571</v>
      </c>
    </row>
    <row r="930">
      <c r="A930" s="4">
        <v>45547.49791666667</v>
      </c>
      <c r="B930" s="5">
        <v>2671417.0</v>
      </c>
      <c r="C930" s="2" t="s">
        <v>1575</v>
      </c>
      <c r="D930" s="2" t="s">
        <v>1572</v>
      </c>
      <c r="E930" s="2">
        <v>10128.0</v>
      </c>
      <c r="F930" s="2" t="s">
        <v>1588</v>
      </c>
      <c r="I930" s="7">
        <v>2.0</v>
      </c>
      <c r="J930" s="6">
        <v>46666.0</v>
      </c>
      <c r="K930" s="2">
        <v>0.0</v>
      </c>
      <c r="L930" s="2">
        <v>46666.0</v>
      </c>
      <c r="M930" s="2">
        <v>0.0</v>
      </c>
      <c r="N930" s="2">
        <v>46666.0</v>
      </c>
      <c r="O930" s="2">
        <v>2333.0</v>
      </c>
      <c r="P930" s="2" t="s">
        <v>1574</v>
      </c>
      <c r="Q930" s="2" t="s">
        <v>1568</v>
      </c>
      <c r="R930" s="2" t="s">
        <v>1569</v>
      </c>
      <c r="S930" s="2" t="s">
        <v>1570</v>
      </c>
      <c r="W930" s="2" t="s">
        <v>1571</v>
      </c>
    </row>
    <row r="931">
      <c r="A931" s="4">
        <v>45547.49791666667</v>
      </c>
      <c r="B931" s="5">
        <v>2671417.0</v>
      </c>
      <c r="C931" s="2" t="s">
        <v>1575</v>
      </c>
      <c r="D931" s="2" t="s">
        <v>1565</v>
      </c>
      <c r="E931" s="2">
        <v>10002.0</v>
      </c>
      <c r="F931" s="2" t="s">
        <v>1576</v>
      </c>
      <c r="I931" s="7">
        <v>1.0</v>
      </c>
      <c r="J931" s="6">
        <v>18571.0</v>
      </c>
      <c r="K931" s="2">
        <v>0.0</v>
      </c>
      <c r="L931" s="2">
        <v>18571.0</v>
      </c>
      <c r="M931" s="2">
        <v>0.0</v>
      </c>
      <c r="N931" s="2">
        <v>18571.0</v>
      </c>
      <c r="O931" s="2">
        <v>928.0</v>
      </c>
      <c r="P931" s="2" t="s">
        <v>1574</v>
      </c>
      <c r="Q931" s="2" t="s">
        <v>1568</v>
      </c>
      <c r="R931" s="2" t="s">
        <v>1569</v>
      </c>
      <c r="S931" s="2" t="s">
        <v>1570</v>
      </c>
      <c r="W931" s="2" t="s">
        <v>1571</v>
      </c>
    </row>
    <row r="932">
      <c r="A932" s="4">
        <v>45547.46875</v>
      </c>
      <c r="B932" s="5">
        <v>2671052.0</v>
      </c>
      <c r="C932" s="2" t="s">
        <v>1575</v>
      </c>
      <c r="D932" s="2" t="s">
        <v>1565</v>
      </c>
      <c r="E932" s="2">
        <v>10002.0</v>
      </c>
      <c r="F932" s="2" t="s">
        <v>1576</v>
      </c>
      <c r="I932" s="7">
        <v>1.0</v>
      </c>
      <c r="J932" s="6">
        <v>18571.0</v>
      </c>
      <c r="K932" s="2">
        <v>0.0</v>
      </c>
      <c r="L932" s="2">
        <v>18571.0</v>
      </c>
      <c r="M932" s="2">
        <v>0.0</v>
      </c>
      <c r="N932" s="2">
        <v>18571.0</v>
      </c>
      <c r="O932" s="2">
        <v>929.0</v>
      </c>
      <c r="P932" s="2" t="s">
        <v>1574</v>
      </c>
      <c r="Q932" s="2" t="s">
        <v>1568</v>
      </c>
      <c r="R932" s="2" t="s">
        <v>1569</v>
      </c>
      <c r="S932" s="2" t="s">
        <v>1570</v>
      </c>
      <c r="W932" s="2" t="s">
        <v>1571</v>
      </c>
    </row>
    <row r="933">
      <c r="A933" s="4">
        <v>45547.46875</v>
      </c>
      <c r="B933" s="5">
        <v>2671052.0</v>
      </c>
      <c r="C933" s="2" t="s">
        <v>1575</v>
      </c>
      <c r="D933" s="2" t="s">
        <v>1565</v>
      </c>
      <c r="E933" s="2">
        <v>10005.0</v>
      </c>
      <c r="F933" s="2" t="s">
        <v>1595</v>
      </c>
      <c r="I933" s="7">
        <v>1.0</v>
      </c>
      <c r="J933" s="6">
        <v>19524.0</v>
      </c>
      <c r="K933" s="2">
        <v>0.0</v>
      </c>
      <c r="L933" s="2">
        <v>19524.0</v>
      </c>
      <c r="M933" s="2">
        <v>0.0</v>
      </c>
      <c r="N933" s="2">
        <v>19524.0</v>
      </c>
      <c r="O933" s="2">
        <v>976.0</v>
      </c>
      <c r="P933" s="2" t="s">
        <v>1574</v>
      </c>
      <c r="Q933" s="2" t="s">
        <v>1568</v>
      </c>
      <c r="R933" s="2" t="s">
        <v>1569</v>
      </c>
      <c r="S933" s="2" t="s">
        <v>1570</v>
      </c>
      <c r="W933" s="2" t="s">
        <v>1571</v>
      </c>
    </row>
    <row r="934">
      <c r="A934" s="4">
        <v>45547.46875</v>
      </c>
      <c r="B934" s="5">
        <v>2671052.0</v>
      </c>
      <c r="C934" s="2" t="s">
        <v>1575</v>
      </c>
      <c r="D934" s="2" t="s">
        <v>1578</v>
      </c>
      <c r="E934" s="2">
        <v>10051.0</v>
      </c>
      <c r="F934" s="2" t="s">
        <v>1579</v>
      </c>
      <c r="I934" s="7">
        <v>1.0</v>
      </c>
      <c r="J934" s="6">
        <v>25238.0</v>
      </c>
      <c r="K934" s="2">
        <v>0.0</v>
      </c>
      <c r="L934" s="2">
        <v>25238.0</v>
      </c>
      <c r="M934" s="2">
        <v>0.0</v>
      </c>
      <c r="N934" s="2">
        <v>25238.0</v>
      </c>
      <c r="O934" s="2">
        <v>1262.0</v>
      </c>
      <c r="P934" s="2" t="s">
        <v>1574</v>
      </c>
      <c r="Q934" s="2" t="s">
        <v>1568</v>
      </c>
      <c r="R934" s="2" t="s">
        <v>1569</v>
      </c>
      <c r="S934" s="2" t="s">
        <v>1570</v>
      </c>
      <c r="W934" s="2" t="s">
        <v>1571</v>
      </c>
    </row>
    <row r="935">
      <c r="A935" s="4">
        <v>45547.46319444444</v>
      </c>
      <c r="B935" s="5">
        <v>2670686.0</v>
      </c>
      <c r="C935" s="2" t="s">
        <v>1575</v>
      </c>
      <c r="D935" s="2" t="s">
        <v>1565</v>
      </c>
      <c r="E935" s="2">
        <v>10007.0</v>
      </c>
      <c r="F935" s="2" t="s">
        <v>1596</v>
      </c>
      <c r="I935" s="7">
        <v>1.0</v>
      </c>
      <c r="J935" s="6">
        <v>33810.0</v>
      </c>
      <c r="K935" s="2">
        <v>0.0</v>
      </c>
      <c r="L935" s="2">
        <v>33810.0</v>
      </c>
      <c r="M935" s="2">
        <v>0.0</v>
      </c>
      <c r="N935" s="2">
        <v>33810.0</v>
      </c>
      <c r="O935" s="2">
        <v>1691.0</v>
      </c>
      <c r="P935" s="2" t="s">
        <v>1574</v>
      </c>
      <c r="Q935" s="2" t="s">
        <v>1568</v>
      </c>
      <c r="R935" s="2" t="s">
        <v>1569</v>
      </c>
      <c r="S935" s="2" t="s">
        <v>1570</v>
      </c>
      <c r="W935" s="2" t="s">
        <v>1571</v>
      </c>
    </row>
    <row r="936">
      <c r="A936" s="4">
        <v>45547.46319444444</v>
      </c>
      <c r="B936" s="5">
        <v>2670686.0</v>
      </c>
      <c r="C936" s="2" t="s">
        <v>1575</v>
      </c>
      <c r="D936" s="2" t="s">
        <v>1572</v>
      </c>
      <c r="E936" s="2">
        <v>10128.0</v>
      </c>
      <c r="F936" s="2" t="s">
        <v>1588</v>
      </c>
      <c r="I936" s="7">
        <v>2.0</v>
      </c>
      <c r="J936" s="6">
        <v>46666.0</v>
      </c>
      <c r="K936" s="2">
        <v>0.0</v>
      </c>
      <c r="L936" s="2">
        <v>46666.0</v>
      </c>
      <c r="M936" s="2">
        <v>0.0</v>
      </c>
      <c r="N936" s="2">
        <v>46666.0</v>
      </c>
      <c r="O936" s="2">
        <v>2333.0</v>
      </c>
      <c r="P936" s="2" t="s">
        <v>1574</v>
      </c>
      <c r="Q936" s="2" t="s">
        <v>1568</v>
      </c>
      <c r="R936" s="2" t="s">
        <v>1569</v>
      </c>
      <c r="S936" s="2" t="s">
        <v>1570</v>
      </c>
      <c r="W936" s="2" t="s">
        <v>1571</v>
      </c>
    </row>
    <row r="937">
      <c r="A937" s="4">
        <v>45547.46319444444</v>
      </c>
      <c r="B937" s="5">
        <v>2670686.0</v>
      </c>
      <c r="C937" s="2" t="s">
        <v>1575</v>
      </c>
      <c r="D937" s="2" t="s">
        <v>1580</v>
      </c>
      <c r="E937" s="2">
        <v>10012.0</v>
      </c>
      <c r="F937" s="2" t="s">
        <v>1602</v>
      </c>
      <c r="I937" s="7">
        <v>1.0</v>
      </c>
      <c r="J937" s="6">
        <v>29524.0</v>
      </c>
      <c r="K937" s="2">
        <v>0.0</v>
      </c>
      <c r="L937" s="2">
        <v>29524.0</v>
      </c>
      <c r="M937" s="2">
        <v>0.0</v>
      </c>
      <c r="N937" s="2">
        <v>29524.0</v>
      </c>
      <c r="O937" s="2">
        <v>1476.0</v>
      </c>
      <c r="P937" s="2" t="s">
        <v>1574</v>
      </c>
      <c r="Q937" s="2" t="s">
        <v>1568</v>
      </c>
      <c r="R937" s="2" t="s">
        <v>1569</v>
      </c>
      <c r="S937" s="2" t="s">
        <v>1570</v>
      </c>
      <c r="W937" s="2" t="s">
        <v>1571</v>
      </c>
    </row>
    <row r="938">
      <c r="A938" s="4">
        <v>45547.410416666666</v>
      </c>
      <c r="B938" s="5">
        <v>2670321.0</v>
      </c>
      <c r="C938" s="2" t="s">
        <v>1575</v>
      </c>
      <c r="D938" s="2" t="s">
        <v>1565</v>
      </c>
      <c r="E938" s="2">
        <v>10005.0</v>
      </c>
      <c r="F938" s="2" t="s">
        <v>1595</v>
      </c>
      <c r="I938" s="7">
        <v>1.0</v>
      </c>
      <c r="J938" s="6">
        <v>19524.0</v>
      </c>
      <c r="K938" s="2">
        <v>0.0</v>
      </c>
      <c r="L938" s="2">
        <v>19524.0</v>
      </c>
      <c r="M938" s="2">
        <v>0.0</v>
      </c>
      <c r="N938" s="2">
        <v>19524.0</v>
      </c>
      <c r="O938" s="2">
        <v>976.0</v>
      </c>
      <c r="P938" s="2" t="s">
        <v>1574</v>
      </c>
      <c r="Q938" s="2" t="s">
        <v>1568</v>
      </c>
      <c r="R938" s="2" t="s">
        <v>1569</v>
      </c>
      <c r="S938" s="2" t="s">
        <v>1570</v>
      </c>
      <c r="W938" s="2" t="s">
        <v>1571</v>
      </c>
    </row>
    <row r="939">
      <c r="A939" s="4">
        <v>45547.410416666666</v>
      </c>
      <c r="B939" s="5">
        <v>2670321.0</v>
      </c>
      <c r="C939" s="2" t="s">
        <v>1575</v>
      </c>
      <c r="D939" s="2" t="s">
        <v>1565</v>
      </c>
      <c r="E939" s="2">
        <v>10033.0</v>
      </c>
      <c r="F939" s="2" t="s">
        <v>1615</v>
      </c>
      <c r="I939" s="7">
        <v>1.0</v>
      </c>
      <c r="J939" s="6">
        <v>21905.0</v>
      </c>
      <c r="K939" s="2">
        <v>0.0</v>
      </c>
      <c r="L939" s="2">
        <v>21905.0</v>
      </c>
      <c r="M939" s="2">
        <v>0.0</v>
      </c>
      <c r="N939" s="2">
        <v>21905.0</v>
      </c>
      <c r="O939" s="2">
        <v>1095.0</v>
      </c>
      <c r="P939" s="2" t="s">
        <v>1574</v>
      </c>
      <c r="Q939" s="2" t="s">
        <v>1568</v>
      </c>
      <c r="R939" s="2" t="s">
        <v>1569</v>
      </c>
      <c r="S939" s="2" t="s">
        <v>1570</v>
      </c>
      <c r="W939" s="2" t="s">
        <v>1571</v>
      </c>
    </row>
    <row r="940">
      <c r="A940" s="4">
        <v>45547.410416666666</v>
      </c>
      <c r="B940" s="5">
        <v>2670321.0</v>
      </c>
      <c r="C940" s="2" t="s">
        <v>1575</v>
      </c>
      <c r="D940" s="2" t="s">
        <v>1572</v>
      </c>
      <c r="E940" s="2">
        <v>10106.0</v>
      </c>
      <c r="F940" s="2" t="s">
        <v>1598</v>
      </c>
      <c r="I940" s="7">
        <v>1.0</v>
      </c>
      <c r="J940" s="6">
        <v>26667.0</v>
      </c>
      <c r="K940" s="2">
        <v>0.0</v>
      </c>
      <c r="L940" s="2">
        <v>26667.0</v>
      </c>
      <c r="M940" s="2">
        <v>0.0</v>
      </c>
      <c r="N940" s="2">
        <v>26667.0</v>
      </c>
      <c r="O940" s="2">
        <v>1334.0</v>
      </c>
      <c r="P940" s="2" t="s">
        <v>1574</v>
      </c>
      <c r="Q940" s="2" t="s">
        <v>1568</v>
      </c>
      <c r="R940" s="2" t="s">
        <v>1569</v>
      </c>
      <c r="S940" s="2" t="s">
        <v>1570</v>
      </c>
      <c r="W940" s="2" t="s">
        <v>1571</v>
      </c>
    </row>
    <row r="941">
      <c r="A941" s="4">
        <v>45547.410416666666</v>
      </c>
      <c r="B941" s="5">
        <v>2670321.0</v>
      </c>
      <c r="C941" s="2" t="s">
        <v>1575</v>
      </c>
      <c r="D941" s="2" t="s">
        <v>1572</v>
      </c>
      <c r="E941" s="2">
        <v>10122.0</v>
      </c>
      <c r="F941" s="2" t="s">
        <v>1577</v>
      </c>
      <c r="I941" s="7">
        <v>2.0</v>
      </c>
      <c r="J941" s="6">
        <v>43810.0</v>
      </c>
      <c r="K941" s="2">
        <v>0.0</v>
      </c>
      <c r="L941" s="2">
        <v>43810.0</v>
      </c>
      <c r="M941" s="2">
        <v>0.0</v>
      </c>
      <c r="N941" s="2">
        <v>43810.0</v>
      </c>
      <c r="O941" s="2">
        <v>2190.0</v>
      </c>
      <c r="P941" s="2" t="s">
        <v>1574</v>
      </c>
      <c r="Q941" s="2" t="s">
        <v>1568</v>
      </c>
      <c r="R941" s="2" t="s">
        <v>1569</v>
      </c>
      <c r="S941" s="2" t="s">
        <v>1570</v>
      </c>
      <c r="W941" s="2" t="s">
        <v>1571</v>
      </c>
    </row>
    <row r="942">
      <c r="A942" s="4">
        <v>45547.410416666666</v>
      </c>
      <c r="B942" s="5">
        <v>2670321.0</v>
      </c>
      <c r="C942" s="2" t="s">
        <v>1575</v>
      </c>
      <c r="D942" s="2" t="s">
        <v>1578</v>
      </c>
      <c r="E942" s="2">
        <v>10051.0</v>
      </c>
      <c r="F942" s="2" t="s">
        <v>1579</v>
      </c>
      <c r="I942" s="7">
        <v>1.0</v>
      </c>
      <c r="J942" s="6">
        <v>25238.0</v>
      </c>
      <c r="K942" s="2">
        <v>0.0</v>
      </c>
      <c r="L942" s="2">
        <v>25238.0</v>
      </c>
      <c r="M942" s="2">
        <v>0.0</v>
      </c>
      <c r="N942" s="2">
        <v>25238.0</v>
      </c>
      <c r="O942" s="2">
        <v>1262.0</v>
      </c>
      <c r="P942" s="2" t="s">
        <v>1574</v>
      </c>
      <c r="Q942" s="2" t="s">
        <v>1568</v>
      </c>
      <c r="R942" s="2" t="s">
        <v>1569</v>
      </c>
      <c r="S942" s="2" t="s">
        <v>1570</v>
      </c>
      <c r="W942" s="2" t="s">
        <v>1571</v>
      </c>
    </row>
    <row r="943">
      <c r="A943" s="4">
        <v>45547.410416666666</v>
      </c>
      <c r="B943" s="5">
        <v>2670321.0</v>
      </c>
      <c r="C943" s="2" t="s">
        <v>1575</v>
      </c>
      <c r="D943" s="2" t="s">
        <v>1578</v>
      </c>
      <c r="E943" s="2">
        <v>10014.0</v>
      </c>
      <c r="F943" s="2" t="s">
        <v>1609</v>
      </c>
      <c r="I943" s="7">
        <v>1.0</v>
      </c>
      <c r="J943" s="6">
        <v>25238.0</v>
      </c>
      <c r="K943" s="2">
        <v>0.0</v>
      </c>
      <c r="L943" s="2">
        <v>25238.0</v>
      </c>
      <c r="M943" s="2">
        <v>0.0</v>
      </c>
      <c r="N943" s="2">
        <v>25238.0</v>
      </c>
      <c r="O943" s="2">
        <v>1262.0</v>
      </c>
      <c r="P943" s="2" t="s">
        <v>1574</v>
      </c>
      <c r="Q943" s="2" t="s">
        <v>1568</v>
      </c>
      <c r="R943" s="2" t="s">
        <v>1569</v>
      </c>
      <c r="S943" s="2" t="s">
        <v>1570</v>
      </c>
      <c r="W943" s="2" t="s">
        <v>1571</v>
      </c>
    </row>
    <row r="944">
      <c r="A944" s="4">
        <v>45547.40972222222</v>
      </c>
      <c r="B944" s="5">
        <v>2669956.0</v>
      </c>
      <c r="C944" s="2" t="s">
        <v>1575</v>
      </c>
      <c r="D944" s="2" t="s">
        <v>1565</v>
      </c>
      <c r="E944" s="2">
        <v>10007.0</v>
      </c>
      <c r="F944" s="2" t="s">
        <v>1596</v>
      </c>
      <c r="I944" s="7">
        <v>1.0</v>
      </c>
      <c r="J944" s="6">
        <v>33810.0</v>
      </c>
      <c r="K944" s="2">
        <v>0.0</v>
      </c>
      <c r="L944" s="2">
        <v>33810.0</v>
      </c>
      <c r="M944" s="2">
        <v>0.0</v>
      </c>
      <c r="N944" s="2">
        <v>33810.0</v>
      </c>
      <c r="O944" s="2">
        <v>1691.0</v>
      </c>
      <c r="P944" s="2" t="s">
        <v>1574</v>
      </c>
      <c r="Q944" s="2" t="s">
        <v>1568</v>
      </c>
      <c r="R944" s="2" t="s">
        <v>1569</v>
      </c>
      <c r="S944" s="2" t="s">
        <v>1570</v>
      </c>
      <c r="W944" s="2" t="s">
        <v>1571</v>
      </c>
    </row>
    <row r="945">
      <c r="A945" s="4">
        <v>45547.40972222222</v>
      </c>
      <c r="B945" s="5">
        <v>2669956.0</v>
      </c>
      <c r="C945" s="2" t="s">
        <v>1575</v>
      </c>
      <c r="D945" s="2" t="s">
        <v>1572</v>
      </c>
      <c r="E945" s="2">
        <v>10127.0</v>
      </c>
      <c r="F945" s="2" t="s">
        <v>1592</v>
      </c>
      <c r="I945" s="7">
        <v>1.0</v>
      </c>
      <c r="J945" s="6">
        <v>18571.0</v>
      </c>
      <c r="K945" s="2">
        <v>0.0</v>
      </c>
      <c r="L945" s="2">
        <v>18571.0</v>
      </c>
      <c r="M945" s="2">
        <v>0.0</v>
      </c>
      <c r="N945" s="2">
        <v>18571.0</v>
      </c>
      <c r="O945" s="2">
        <v>928.0</v>
      </c>
      <c r="P945" s="2" t="s">
        <v>1574</v>
      </c>
      <c r="Q945" s="2" t="s">
        <v>1568</v>
      </c>
      <c r="R945" s="2" t="s">
        <v>1569</v>
      </c>
      <c r="S945" s="2" t="s">
        <v>1570</v>
      </c>
      <c r="W945" s="2" t="s">
        <v>1571</v>
      </c>
    </row>
    <row r="946">
      <c r="A946" s="4">
        <v>45547.40972222222</v>
      </c>
      <c r="B946" s="5">
        <v>2669956.0</v>
      </c>
      <c r="C946" s="2" t="s">
        <v>1575</v>
      </c>
      <c r="D946" s="2" t="s">
        <v>1572</v>
      </c>
      <c r="E946" s="2">
        <v>10118.0</v>
      </c>
      <c r="F946" s="2" t="s">
        <v>1604</v>
      </c>
      <c r="I946" s="7">
        <v>1.0</v>
      </c>
      <c r="J946" s="6">
        <v>7143.0</v>
      </c>
      <c r="K946" s="2">
        <v>0.0</v>
      </c>
      <c r="L946" s="2">
        <v>7143.0</v>
      </c>
      <c r="M946" s="2">
        <v>0.0</v>
      </c>
      <c r="N946" s="2">
        <v>7143.0</v>
      </c>
      <c r="O946" s="2">
        <v>357.0</v>
      </c>
      <c r="P946" s="2" t="s">
        <v>1574</v>
      </c>
      <c r="Q946" s="2" t="s">
        <v>1568</v>
      </c>
      <c r="R946" s="2" t="s">
        <v>1569</v>
      </c>
      <c r="S946" s="2" t="s">
        <v>1570</v>
      </c>
      <c r="W946" s="2" t="s">
        <v>1571</v>
      </c>
    </row>
    <row r="947">
      <c r="A947" s="4">
        <v>45547.40972222222</v>
      </c>
      <c r="B947" s="5">
        <v>2669956.0</v>
      </c>
      <c r="C947" s="2" t="s">
        <v>1575</v>
      </c>
      <c r="D947" s="2" t="s">
        <v>1578</v>
      </c>
      <c r="E947" s="2">
        <v>10014.0</v>
      </c>
      <c r="F947" s="2" t="s">
        <v>1609</v>
      </c>
      <c r="I947" s="7">
        <v>1.0</v>
      </c>
      <c r="J947" s="6">
        <v>25238.0</v>
      </c>
      <c r="K947" s="2">
        <v>0.0</v>
      </c>
      <c r="L947" s="2">
        <v>25238.0</v>
      </c>
      <c r="M947" s="2">
        <v>0.0</v>
      </c>
      <c r="N947" s="2">
        <v>25238.0</v>
      </c>
      <c r="O947" s="2">
        <v>1262.0</v>
      </c>
      <c r="P947" s="2" t="s">
        <v>1574</v>
      </c>
      <c r="Q947" s="2" t="s">
        <v>1568</v>
      </c>
      <c r="R947" s="2" t="s">
        <v>1569</v>
      </c>
      <c r="S947" s="2" t="s">
        <v>1570</v>
      </c>
      <c r="W947" s="2" t="s">
        <v>1571</v>
      </c>
    </row>
    <row r="948">
      <c r="A948" s="4">
        <v>45547.40972222222</v>
      </c>
      <c r="B948" s="5">
        <v>2669956.0</v>
      </c>
      <c r="C948" s="2" t="s">
        <v>1575</v>
      </c>
      <c r="D948" s="2" t="s">
        <v>1565</v>
      </c>
      <c r="E948" s="2">
        <v>10005.0</v>
      </c>
      <c r="F948" s="2" t="s">
        <v>1595</v>
      </c>
      <c r="I948" s="7">
        <v>1.0</v>
      </c>
      <c r="J948" s="6">
        <v>19524.0</v>
      </c>
      <c r="K948" s="2">
        <v>0.0</v>
      </c>
      <c r="L948" s="2">
        <v>19524.0</v>
      </c>
      <c r="M948" s="2">
        <v>0.0</v>
      </c>
      <c r="N948" s="2">
        <v>19524.0</v>
      </c>
      <c r="O948" s="2">
        <v>976.0</v>
      </c>
      <c r="P948" s="2" t="s">
        <v>1574</v>
      </c>
      <c r="Q948" s="2" t="s">
        <v>1568</v>
      </c>
      <c r="R948" s="2" t="s">
        <v>1569</v>
      </c>
      <c r="S948" s="2" t="s">
        <v>1570</v>
      </c>
      <c r="W948" s="2" t="s">
        <v>1571</v>
      </c>
    </row>
    <row r="949">
      <c r="A949" s="4">
        <v>45546.82152777778</v>
      </c>
      <c r="B949" s="5">
        <v>2669591.0</v>
      </c>
      <c r="C949" s="2" t="s">
        <v>1575</v>
      </c>
      <c r="D949" s="2" t="s">
        <v>1572</v>
      </c>
      <c r="E949" s="2">
        <v>10128.0</v>
      </c>
      <c r="F949" s="2" t="s">
        <v>1588</v>
      </c>
      <c r="I949" s="7">
        <v>1.0</v>
      </c>
      <c r="J949" s="6">
        <v>23333.0</v>
      </c>
      <c r="K949" s="2">
        <v>0.0</v>
      </c>
      <c r="L949" s="2">
        <v>23333.0</v>
      </c>
      <c r="M949" s="2">
        <v>0.0</v>
      </c>
      <c r="N949" s="2">
        <v>23333.0</v>
      </c>
      <c r="O949" s="2">
        <v>1167.0</v>
      </c>
      <c r="P949" s="2" t="s">
        <v>1574</v>
      </c>
      <c r="Q949" s="2" t="s">
        <v>1568</v>
      </c>
      <c r="R949" s="2" t="s">
        <v>1569</v>
      </c>
      <c r="S949" s="2" t="s">
        <v>1570</v>
      </c>
      <c r="W949" s="2" t="s">
        <v>1571</v>
      </c>
    </row>
    <row r="950">
      <c r="A950" s="4">
        <v>45546.82152777778</v>
      </c>
      <c r="B950" s="5">
        <v>2669591.0</v>
      </c>
      <c r="C950" s="2" t="s">
        <v>1575</v>
      </c>
      <c r="D950" s="2" t="s">
        <v>1578</v>
      </c>
      <c r="E950" s="2">
        <v>10015.0</v>
      </c>
      <c r="F950" s="2" t="s">
        <v>1587</v>
      </c>
      <c r="I950" s="7">
        <v>1.0</v>
      </c>
      <c r="J950" s="6">
        <v>25238.0</v>
      </c>
      <c r="K950" s="2">
        <v>0.0</v>
      </c>
      <c r="L950" s="2">
        <v>25238.0</v>
      </c>
      <c r="M950" s="2">
        <v>0.0</v>
      </c>
      <c r="N950" s="2">
        <v>25238.0</v>
      </c>
      <c r="O950" s="2">
        <v>1262.0</v>
      </c>
      <c r="P950" s="2" t="s">
        <v>1574</v>
      </c>
      <c r="Q950" s="2" t="s">
        <v>1568</v>
      </c>
      <c r="R950" s="2" t="s">
        <v>1569</v>
      </c>
      <c r="S950" s="2" t="s">
        <v>1570</v>
      </c>
      <c r="W950" s="2" t="s">
        <v>1571</v>
      </c>
    </row>
    <row r="951">
      <c r="A951" s="4">
        <v>45546.82013888889</v>
      </c>
      <c r="B951" s="5">
        <v>2669225.0</v>
      </c>
      <c r="C951" s="2" t="s">
        <v>1575</v>
      </c>
      <c r="D951" s="2" t="s">
        <v>1565</v>
      </c>
      <c r="E951" s="2">
        <v>10005.0</v>
      </c>
      <c r="F951" s="2" t="s">
        <v>1595</v>
      </c>
      <c r="I951" s="7">
        <v>1.0</v>
      </c>
      <c r="J951" s="6">
        <v>19524.0</v>
      </c>
      <c r="K951" s="2">
        <v>0.0</v>
      </c>
      <c r="L951" s="2">
        <v>19524.0</v>
      </c>
      <c r="M951" s="2">
        <v>0.0</v>
      </c>
      <c r="N951" s="2">
        <v>19524.0</v>
      </c>
      <c r="O951" s="2">
        <v>976.0</v>
      </c>
      <c r="P951" s="2" t="s">
        <v>1574</v>
      </c>
      <c r="Q951" s="2" t="s">
        <v>1568</v>
      </c>
      <c r="R951" s="2" t="s">
        <v>1569</v>
      </c>
      <c r="S951" s="2" t="s">
        <v>1570</v>
      </c>
      <c r="W951" s="2" t="s">
        <v>1571</v>
      </c>
    </row>
    <row r="952">
      <c r="A952" s="4">
        <v>45546.794444444444</v>
      </c>
      <c r="B952" s="5">
        <v>2668860.0</v>
      </c>
      <c r="C952" s="2" t="s">
        <v>1575</v>
      </c>
      <c r="D952" s="2" t="s">
        <v>1572</v>
      </c>
      <c r="E952" s="2">
        <v>10107.0</v>
      </c>
      <c r="F952" s="2" t="s">
        <v>1584</v>
      </c>
      <c r="I952" s="7">
        <v>1.0</v>
      </c>
      <c r="J952" s="6">
        <v>26667.0</v>
      </c>
      <c r="K952" s="2">
        <v>0.0</v>
      </c>
      <c r="L952" s="2">
        <v>26667.0</v>
      </c>
      <c r="M952" s="2">
        <v>0.0</v>
      </c>
      <c r="N952" s="2">
        <v>26667.0</v>
      </c>
      <c r="O952" s="2">
        <v>1333.0</v>
      </c>
      <c r="P952" s="2" t="s">
        <v>1574</v>
      </c>
      <c r="Q952" s="2" t="s">
        <v>1568</v>
      </c>
      <c r="R952" s="2" t="s">
        <v>1569</v>
      </c>
      <c r="S952" s="2" t="s">
        <v>1570</v>
      </c>
      <c r="W952" s="2" t="s">
        <v>1571</v>
      </c>
    </row>
    <row r="953">
      <c r="A953" s="4">
        <v>45546.794444444444</v>
      </c>
      <c r="B953" s="5">
        <v>2668860.0</v>
      </c>
      <c r="C953" s="2" t="s">
        <v>1575</v>
      </c>
      <c r="D953" s="2" t="s">
        <v>1572</v>
      </c>
      <c r="E953" s="2">
        <v>10069.0</v>
      </c>
      <c r="F953" s="2" t="s">
        <v>1620</v>
      </c>
      <c r="I953" s="7">
        <v>1.0</v>
      </c>
      <c r="J953" s="6">
        <v>24762.0</v>
      </c>
      <c r="K953" s="2">
        <v>0.0</v>
      </c>
      <c r="L953" s="2">
        <v>24762.0</v>
      </c>
      <c r="M953" s="2">
        <v>0.0</v>
      </c>
      <c r="N953" s="2">
        <v>24762.0</v>
      </c>
      <c r="O953" s="2">
        <v>1238.0</v>
      </c>
      <c r="P953" s="2" t="s">
        <v>1574</v>
      </c>
      <c r="Q953" s="2" t="s">
        <v>1568</v>
      </c>
      <c r="R953" s="2" t="s">
        <v>1569</v>
      </c>
      <c r="S953" s="2" t="s">
        <v>1570</v>
      </c>
      <c r="W953" s="2" t="s">
        <v>1571</v>
      </c>
    </row>
    <row r="954">
      <c r="A954" s="4">
        <v>45546.76944444444</v>
      </c>
      <c r="B954" s="5">
        <v>2668495.0</v>
      </c>
      <c r="C954" s="2" t="s">
        <v>1575</v>
      </c>
      <c r="D954" s="2" t="s">
        <v>1565</v>
      </c>
      <c r="E954" s="2">
        <v>10000.0</v>
      </c>
      <c r="F954" s="2" t="s">
        <v>1566</v>
      </c>
      <c r="I954" s="7">
        <v>1.0</v>
      </c>
      <c r="J954" s="6">
        <v>29524.0</v>
      </c>
      <c r="K954" s="2">
        <v>0.0</v>
      </c>
      <c r="L954" s="2">
        <v>29524.0</v>
      </c>
      <c r="M954" s="2">
        <v>0.0</v>
      </c>
      <c r="N954" s="2">
        <v>29524.0</v>
      </c>
      <c r="O954" s="2">
        <v>1476.0</v>
      </c>
      <c r="P954" s="2" t="s">
        <v>1574</v>
      </c>
      <c r="Q954" s="2" t="s">
        <v>1568</v>
      </c>
      <c r="R954" s="2" t="s">
        <v>1569</v>
      </c>
      <c r="S954" s="2" t="s">
        <v>1570</v>
      </c>
      <c r="W954" s="2" t="s">
        <v>1571</v>
      </c>
    </row>
    <row r="955">
      <c r="A955" s="4">
        <v>45546.76944444444</v>
      </c>
      <c r="B955" s="5">
        <v>2668495.0</v>
      </c>
      <c r="C955" s="2" t="s">
        <v>1575</v>
      </c>
      <c r="D955" s="2" t="s">
        <v>1565</v>
      </c>
      <c r="E955" s="2">
        <v>10007.0</v>
      </c>
      <c r="F955" s="2" t="s">
        <v>1596</v>
      </c>
      <c r="I955" s="7">
        <v>1.0</v>
      </c>
      <c r="J955" s="6">
        <v>33810.0</v>
      </c>
      <c r="K955" s="2">
        <v>0.0</v>
      </c>
      <c r="L955" s="2">
        <v>33810.0</v>
      </c>
      <c r="M955" s="2">
        <v>0.0</v>
      </c>
      <c r="N955" s="2">
        <v>33810.0</v>
      </c>
      <c r="O955" s="2">
        <v>1691.0</v>
      </c>
      <c r="P955" s="2" t="s">
        <v>1574</v>
      </c>
      <c r="Q955" s="2" t="s">
        <v>1568</v>
      </c>
      <c r="R955" s="2" t="s">
        <v>1569</v>
      </c>
      <c r="S955" s="2" t="s">
        <v>1570</v>
      </c>
      <c r="W955" s="2" t="s">
        <v>1571</v>
      </c>
    </row>
    <row r="956">
      <c r="A956" s="4">
        <v>45546.73888888889</v>
      </c>
      <c r="B956" s="5">
        <v>2668130.0</v>
      </c>
      <c r="C956" s="2" t="s">
        <v>1575</v>
      </c>
      <c r="D956" s="2" t="s">
        <v>1572</v>
      </c>
      <c r="E956" s="2">
        <v>10125.0</v>
      </c>
      <c r="F956" s="2" t="s">
        <v>1601</v>
      </c>
      <c r="I956" s="7">
        <v>1.0</v>
      </c>
      <c r="J956" s="6">
        <v>20476.0</v>
      </c>
      <c r="K956" s="2">
        <v>0.0</v>
      </c>
      <c r="L956" s="2">
        <v>20476.0</v>
      </c>
      <c r="M956" s="2">
        <v>0.0</v>
      </c>
      <c r="N956" s="2">
        <v>20476.0</v>
      </c>
      <c r="O956" s="2">
        <v>1024.0</v>
      </c>
      <c r="P956" s="2" t="s">
        <v>1574</v>
      </c>
      <c r="Q956" s="2" t="s">
        <v>1568</v>
      </c>
      <c r="R956" s="2" t="s">
        <v>1569</v>
      </c>
      <c r="S956" s="2" t="s">
        <v>1570</v>
      </c>
      <c r="W956" s="2" t="s">
        <v>1571</v>
      </c>
    </row>
    <row r="957">
      <c r="A957" s="4">
        <v>45546.73888888889</v>
      </c>
      <c r="B957" s="5">
        <v>2668130.0</v>
      </c>
      <c r="C957" s="2" t="s">
        <v>1575</v>
      </c>
      <c r="D957" s="2" t="s">
        <v>1572</v>
      </c>
      <c r="E957" s="2">
        <v>10056.0</v>
      </c>
      <c r="F957" s="2" t="s">
        <v>1585</v>
      </c>
      <c r="I957" s="7">
        <v>1.0</v>
      </c>
      <c r="J957" s="6">
        <v>19524.0</v>
      </c>
      <c r="K957" s="2">
        <v>0.0</v>
      </c>
      <c r="L957" s="2">
        <v>19524.0</v>
      </c>
      <c r="M957" s="2">
        <v>0.0</v>
      </c>
      <c r="N957" s="2">
        <v>19524.0</v>
      </c>
      <c r="O957" s="2">
        <v>976.0</v>
      </c>
      <c r="P957" s="2" t="s">
        <v>1574</v>
      </c>
      <c r="Q957" s="2" t="s">
        <v>1568</v>
      </c>
      <c r="R957" s="2" t="s">
        <v>1569</v>
      </c>
      <c r="S957" s="2" t="s">
        <v>1570</v>
      </c>
      <c r="W957" s="2" t="s">
        <v>1571</v>
      </c>
    </row>
    <row r="958">
      <c r="A958" s="4">
        <v>45546.73888888889</v>
      </c>
      <c r="B958" s="5">
        <v>2668130.0</v>
      </c>
      <c r="C958" s="2" t="s">
        <v>1575</v>
      </c>
      <c r="D958" s="2" t="s">
        <v>1572</v>
      </c>
      <c r="E958" s="2">
        <v>10070.0</v>
      </c>
      <c r="F958" s="2" t="s">
        <v>1593</v>
      </c>
      <c r="I958" s="7">
        <v>1.0</v>
      </c>
      <c r="J958" s="6">
        <v>24762.0</v>
      </c>
      <c r="K958" s="2">
        <v>0.0</v>
      </c>
      <c r="L958" s="2">
        <v>24762.0</v>
      </c>
      <c r="M958" s="2">
        <v>0.0</v>
      </c>
      <c r="N958" s="2">
        <v>24762.0</v>
      </c>
      <c r="O958" s="2">
        <v>1238.0</v>
      </c>
      <c r="P958" s="2" t="s">
        <v>1574</v>
      </c>
      <c r="Q958" s="2" t="s">
        <v>1568</v>
      </c>
      <c r="R958" s="2" t="s">
        <v>1569</v>
      </c>
      <c r="S958" s="2" t="s">
        <v>1570</v>
      </c>
      <c r="W958" s="2" t="s">
        <v>1571</v>
      </c>
    </row>
    <row r="959">
      <c r="A959" s="4">
        <v>45546.73888888889</v>
      </c>
      <c r="B959" s="5">
        <v>2668130.0</v>
      </c>
      <c r="C959" s="2" t="s">
        <v>1575</v>
      </c>
      <c r="D959" s="2" t="s">
        <v>1565</v>
      </c>
      <c r="E959" s="2">
        <v>10000.0</v>
      </c>
      <c r="F959" s="2" t="s">
        <v>1566</v>
      </c>
      <c r="I959" s="7">
        <v>1.0</v>
      </c>
      <c r="J959" s="6">
        <v>29524.0</v>
      </c>
      <c r="K959" s="2">
        <v>0.0</v>
      </c>
      <c r="L959" s="2">
        <v>29524.0</v>
      </c>
      <c r="M959" s="2">
        <v>0.0</v>
      </c>
      <c r="N959" s="2">
        <v>29524.0</v>
      </c>
      <c r="O959" s="2">
        <v>1476.0</v>
      </c>
      <c r="P959" s="2" t="s">
        <v>1574</v>
      </c>
      <c r="Q959" s="2" t="s">
        <v>1568</v>
      </c>
      <c r="R959" s="2" t="s">
        <v>1569</v>
      </c>
      <c r="S959" s="2" t="s">
        <v>1570</v>
      </c>
      <c r="W959" s="2" t="s">
        <v>1571</v>
      </c>
    </row>
    <row r="960">
      <c r="A960" s="4">
        <v>45546.7375</v>
      </c>
      <c r="B960" s="5">
        <v>2667764.0</v>
      </c>
      <c r="C960" s="2" t="s">
        <v>1575</v>
      </c>
      <c r="D960" s="2" t="s">
        <v>1578</v>
      </c>
      <c r="E960" s="2">
        <v>10009.0</v>
      </c>
      <c r="F960" s="2" t="s">
        <v>1586</v>
      </c>
      <c r="I960" s="7">
        <v>1.0</v>
      </c>
      <c r="J960" s="6">
        <v>26667.0</v>
      </c>
      <c r="K960" s="2">
        <v>0.0</v>
      </c>
      <c r="L960" s="2">
        <v>26667.0</v>
      </c>
      <c r="M960" s="2">
        <v>0.0</v>
      </c>
      <c r="N960" s="2">
        <v>26667.0</v>
      </c>
      <c r="O960" s="2">
        <v>1333.0</v>
      </c>
      <c r="P960" s="2" t="s">
        <v>1574</v>
      </c>
      <c r="Q960" s="2" t="s">
        <v>1568</v>
      </c>
      <c r="R960" s="2" t="s">
        <v>1569</v>
      </c>
      <c r="S960" s="2" t="s">
        <v>1570</v>
      </c>
      <c r="W960" s="2" t="s">
        <v>1571</v>
      </c>
    </row>
    <row r="961">
      <c r="A961" s="4">
        <v>45546.7375</v>
      </c>
      <c r="B961" s="5">
        <v>2667764.0</v>
      </c>
      <c r="C961" s="2" t="s">
        <v>1575</v>
      </c>
      <c r="D961" s="2" t="s">
        <v>1565</v>
      </c>
      <c r="E961" s="2">
        <v>10033.0</v>
      </c>
      <c r="F961" s="2" t="s">
        <v>1615</v>
      </c>
      <c r="I961" s="7">
        <v>1.0</v>
      </c>
      <c r="J961" s="6">
        <v>21905.0</v>
      </c>
      <c r="K961" s="2">
        <v>0.0</v>
      </c>
      <c r="L961" s="2">
        <v>21905.0</v>
      </c>
      <c r="M961" s="2">
        <v>0.0</v>
      </c>
      <c r="N961" s="2">
        <v>21905.0</v>
      </c>
      <c r="O961" s="2">
        <v>1096.0</v>
      </c>
      <c r="P961" s="2" t="s">
        <v>1574</v>
      </c>
      <c r="Q961" s="2" t="s">
        <v>1568</v>
      </c>
      <c r="R961" s="2" t="s">
        <v>1569</v>
      </c>
      <c r="S961" s="2" t="s">
        <v>1570</v>
      </c>
      <c r="W961" s="2" t="s">
        <v>1571</v>
      </c>
    </row>
    <row r="962">
      <c r="A962" s="4">
        <v>45546.7375</v>
      </c>
      <c r="B962" s="5">
        <v>2667764.0</v>
      </c>
      <c r="C962" s="2" t="s">
        <v>1575</v>
      </c>
      <c r="D962" s="2" t="s">
        <v>1572</v>
      </c>
      <c r="E962" s="2">
        <v>10119.0</v>
      </c>
      <c r="F962" s="2" t="s">
        <v>1582</v>
      </c>
      <c r="I962" s="7">
        <v>2.0</v>
      </c>
      <c r="J962" s="6">
        <v>14286.0</v>
      </c>
      <c r="K962" s="2">
        <v>0.0</v>
      </c>
      <c r="L962" s="2">
        <v>14286.0</v>
      </c>
      <c r="M962" s="2">
        <v>0.0</v>
      </c>
      <c r="N962" s="2">
        <v>14286.0</v>
      </c>
      <c r="O962" s="2">
        <v>714.0</v>
      </c>
      <c r="P962" s="2" t="s">
        <v>1574</v>
      </c>
      <c r="Q962" s="2" t="s">
        <v>1568</v>
      </c>
      <c r="R962" s="2" t="s">
        <v>1569</v>
      </c>
      <c r="S962" s="2" t="s">
        <v>1570</v>
      </c>
      <c r="W962" s="2" t="s">
        <v>1571</v>
      </c>
    </row>
    <row r="963">
      <c r="A963" s="4">
        <v>45546.72708333333</v>
      </c>
      <c r="B963" s="5">
        <v>2667399.0</v>
      </c>
      <c r="C963" s="2" t="s">
        <v>1575</v>
      </c>
      <c r="D963" s="2" t="s">
        <v>1565</v>
      </c>
      <c r="E963" s="2">
        <v>10033.0</v>
      </c>
      <c r="F963" s="2" t="s">
        <v>1615</v>
      </c>
      <c r="I963" s="7">
        <v>1.0</v>
      </c>
      <c r="J963" s="6">
        <v>21905.0</v>
      </c>
      <c r="K963" s="2">
        <v>0.0</v>
      </c>
      <c r="L963" s="2">
        <v>21905.0</v>
      </c>
      <c r="M963" s="2">
        <v>0.0</v>
      </c>
      <c r="N963" s="2">
        <v>21905.0</v>
      </c>
      <c r="O963" s="2">
        <v>1095.0</v>
      </c>
      <c r="P963" s="2" t="s">
        <v>1574</v>
      </c>
      <c r="Q963" s="2" t="s">
        <v>1568</v>
      </c>
      <c r="R963" s="2" t="s">
        <v>1569</v>
      </c>
      <c r="S963" s="2" t="s">
        <v>1570</v>
      </c>
      <c r="W963" s="2" t="s">
        <v>1571</v>
      </c>
    </row>
    <row r="964">
      <c r="A964" s="4">
        <v>45546.72708333333</v>
      </c>
      <c r="B964" s="5">
        <v>2667399.0</v>
      </c>
      <c r="C964" s="2" t="s">
        <v>1575</v>
      </c>
      <c r="D964" s="2" t="s">
        <v>1572</v>
      </c>
      <c r="E964" s="2">
        <v>10122.0</v>
      </c>
      <c r="F964" s="2" t="s">
        <v>1577</v>
      </c>
      <c r="I964" s="7">
        <v>1.0</v>
      </c>
      <c r="J964" s="6">
        <v>21905.0</v>
      </c>
      <c r="K964" s="2">
        <v>0.0</v>
      </c>
      <c r="L964" s="2">
        <v>21905.0</v>
      </c>
      <c r="M964" s="2">
        <v>0.0</v>
      </c>
      <c r="N964" s="2">
        <v>21905.0</v>
      </c>
      <c r="O964" s="2">
        <v>1096.0</v>
      </c>
      <c r="P964" s="2" t="s">
        <v>1574</v>
      </c>
      <c r="Q964" s="2" t="s">
        <v>1568</v>
      </c>
      <c r="R964" s="2" t="s">
        <v>1569</v>
      </c>
      <c r="S964" s="2" t="s">
        <v>1570</v>
      </c>
      <c r="W964" s="2" t="s">
        <v>1571</v>
      </c>
    </row>
    <row r="965">
      <c r="A965" s="4">
        <v>45546.72638888889</v>
      </c>
      <c r="B965" s="5">
        <v>2667034.0</v>
      </c>
      <c r="C965" s="2" t="s">
        <v>1575</v>
      </c>
      <c r="D965" s="2" t="s">
        <v>1572</v>
      </c>
      <c r="E965" s="2">
        <v>10128.0</v>
      </c>
      <c r="F965" s="2" t="s">
        <v>1588</v>
      </c>
      <c r="I965" s="7">
        <v>2.0</v>
      </c>
      <c r="J965" s="6">
        <v>46666.0</v>
      </c>
      <c r="K965" s="2">
        <v>0.0</v>
      </c>
      <c r="L965" s="2">
        <v>46666.0</v>
      </c>
      <c r="M965" s="2">
        <v>0.0</v>
      </c>
      <c r="N965" s="2">
        <v>46666.0</v>
      </c>
      <c r="O965" s="2">
        <v>2333.0</v>
      </c>
      <c r="P965" s="2" t="s">
        <v>1574</v>
      </c>
      <c r="Q965" s="2" t="s">
        <v>1568</v>
      </c>
      <c r="R965" s="2" t="s">
        <v>1569</v>
      </c>
      <c r="S965" s="2" t="s">
        <v>1570</v>
      </c>
      <c r="W965" s="2" t="s">
        <v>1571</v>
      </c>
    </row>
    <row r="966">
      <c r="A966" s="4">
        <v>45546.72638888889</v>
      </c>
      <c r="B966" s="5">
        <v>2667034.0</v>
      </c>
      <c r="C966" s="2" t="s">
        <v>1575</v>
      </c>
      <c r="D966" s="2" t="s">
        <v>1565</v>
      </c>
      <c r="E966" s="2">
        <v>10005.0</v>
      </c>
      <c r="F966" s="2" t="s">
        <v>1595</v>
      </c>
      <c r="I966" s="7">
        <v>1.0</v>
      </c>
      <c r="J966" s="6">
        <v>19524.0</v>
      </c>
      <c r="K966" s="2">
        <v>0.0</v>
      </c>
      <c r="L966" s="2">
        <v>19524.0</v>
      </c>
      <c r="M966" s="2">
        <v>0.0</v>
      </c>
      <c r="N966" s="2">
        <v>19524.0</v>
      </c>
      <c r="O966" s="2">
        <v>977.0</v>
      </c>
      <c r="P966" s="2" t="s">
        <v>1574</v>
      </c>
      <c r="Q966" s="2" t="s">
        <v>1568</v>
      </c>
      <c r="R966" s="2" t="s">
        <v>1569</v>
      </c>
      <c r="S966" s="2" t="s">
        <v>1570</v>
      </c>
      <c r="W966" s="2" t="s">
        <v>1571</v>
      </c>
    </row>
    <row r="967">
      <c r="A967" s="4">
        <v>45546.71944444445</v>
      </c>
      <c r="B967" s="5">
        <v>2666669.0</v>
      </c>
      <c r="C967" s="2" t="s">
        <v>1575</v>
      </c>
      <c r="D967" s="2" t="s">
        <v>1565</v>
      </c>
      <c r="E967" s="2">
        <v>10002.0</v>
      </c>
      <c r="F967" s="2" t="s">
        <v>1576</v>
      </c>
      <c r="I967" s="7">
        <v>1.0</v>
      </c>
      <c r="J967" s="6">
        <v>18571.0</v>
      </c>
      <c r="K967" s="2">
        <v>0.0</v>
      </c>
      <c r="L967" s="2">
        <v>18571.0</v>
      </c>
      <c r="M967" s="2">
        <v>0.0</v>
      </c>
      <c r="N967" s="2">
        <v>18571.0</v>
      </c>
      <c r="O967" s="2">
        <v>929.0</v>
      </c>
      <c r="P967" s="2" t="s">
        <v>1574</v>
      </c>
      <c r="Q967" s="2" t="s">
        <v>1568</v>
      </c>
      <c r="R967" s="2" t="s">
        <v>1569</v>
      </c>
      <c r="S967" s="2" t="s">
        <v>1570</v>
      </c>
      <c r="W967" s="2" t="s">
        <v>1571</v>
      </c>
    </row>
    <row r="968">
      <c r="A968" s="4">
        <v>45546.71944444445</v>
      </c>
      <c r="B968" s="5">
        <v>2666669.0</v>
      </c>
      <c r="C968" s="2" t="s">
        <v>1575</v>
      </c>
      <c r="D968" s="2" t="s">
        <v>1565</v>
      </c>
      <c r="E968" s="2">
        <v>10005.0</v>
      </c>
      <c r="F968" s="2" t="s">
        <v>1595</v>
      </c>
      <c r="I968" s="7">
        <v>1.0</v>
      </c>
      <c r="J968" s="6">
        <v>19524.0</v>
      </c>
      <c r="K968" s="2">
        <v>0.0</v>
      </c>
      <c r="L968" s="2">
        <v>19524.0</v>
      </c>
      <c r="M968" s="2">
        <v>0.0</v>
      </c>
      <c r="N968" s="2">
        <v>19524.0</v>
      </c>
      <c r="O968" s="2">
        <v>976.0</v>
      </c>
      <c r="P968" s="2" t="s">
        <v>1574</v>
      </c>
      <c r="Q968" s="2" t="s">
        <v>1568</v>
      </c>
      <c r="R968" s="2" t="s">
        <v>1569</v>
      </c>
      <c r="S968" s="2" t="s">
        <v>1570</v>
      </c>
      <c r="W968" s="2" t="s">
        <v>1571</v>
      </c>
    </row>
    <row r="969">
      <c r="A969" s="4">
        <v>45546.71944444445</v>
      </c>
      <c r="B969" s="5">
        <v>2666303.0</v>
      </c>
      <c r="C969" s="2" t="s">
        <v>1564</v>
      </c>
      <c r="D969" s="2" t="s">
        <v>1565</v>
      </c>
      <c r="E969" s="2">
        <v>10005.0</v>
      </c>
      <c r="F969" s="2" t="s">
        <v>1595</v>
      </c>
      <c r="I969" s="7">
        <v>-1.0</v>
      </c>
      <c r="J969" s="6">
        <v>-19524.0</v>
      </c>
      <c r="K969" s="2">
        <v>0.0</v>
      </c>
      <c r="L969" s="2">
        <v>-19524.0</v>
      </c>
      <c r="M969" s="2">
        <v>0.0</v>
      </c>
      <c r="N969" s="2">
        <v>-19524.0</v>
      </c>
      <c r="O969" s="2">
        <v>-976.0</v>
      </c>
      <c r="P969" s="2" t="s">
        <v>1574</v>
      </c>
      <c r="Q969" s="2" t="s">
        <v>1568</v>
      </c>
      <c r="R969" s="2" t="s">
        <v>1569</v>
      </c>
      <c r="S969" s="2" t="s">
        <v>1570</v>
      </c>
      <c r="W969" s="2" t="s">
        <v>1571</v>
      </c>
    </row>
    <row r="970">
      <c r="A970" s="4">
        <v>45546.71944444445</v>
      </c>
      <c r="B970" s="5">
        <v>2666303.0</v>
      </c>
      <c r="C970" s="2" t="s">
        <v>1564</v>
      </c>
      <c r="D970" s="2" t="s">
        <v>1565</v>
      </c>
      <c r="E970" s="2">
        <v>10002.0</v>
      </c>
      <c r="F970" s="2" t="s">
        <v>1576</v>
      </c>
      <c r="I970" s="7">
        <v>-1.0</v>
      </c>
      <c r="J970" s="6">
        <v>-18571.0</v>
      </c>
      <c r="K970" s="2">
        <v>0.0</v>
      </c>
      <c r="L970" s="2">
        <v>-18571.0</v>
      </c>
      <c r="M970" s="2">
        <v>0.0</v>
      </c>
      <c r="N970" s="2">
        <v>-18571.0</v>
      </c>
      <c r="O970" s="2">
        <v>-929.0</v>
      </c>
      <c r="P970" s="2" t="s">
        <v>1574</v>
      </c>
      <c r="Q970" s="2" t="s">
        <v>1568</v>
      </c>
      <c r="R970" s="2" t="s">
        <v>1569</v>
      </c>
      <c r="S970" s="2" t="s">
        <v>1570</v>
      </c>
      <c r="W970" s="2" t="s">
        <v>1571</v>
      </c>
    </row>
    <row r="971">
      <c r="A971" s="4">
        <v>45546.717361111114</v>
      </c>
      <c r="B971" s="5">
        <v>2665938.0</v>
      </c>
      <c r="C971" s="2" t="s">
        <v>1575</v>
      </c>
      <c r="D971" s="2" t="s">
        <v>1565</v>
      </c>
      <c r="E971" s="2">
        <v>10005.0</v>
      </c>
      <c r="F971" s="2" t="s">
        <v>1595</v>
      </c>
      <c r="I971" s="7">
        <v>1.0</v>
      </c>
      <c r="J971" s="6">
        <v>19524.0</v>
      </c>
      <c r="K971" s="2">
        <v>0.0</v>
      </c>
      <c r="L971" s="2">
        <v>19524.0</v>
      </c>
      <c r="M971" s="2">
        <v>0.0</v>
      </c>
      <c r="N971" s="2">
        <v>19524.0</v>
      </c>
      <c r="O971" s="2">
        <v>976.0</v>
      </c>
      <c r="P971" s="2" t="s">
        <v>1574</v>
      </c>
      <c r="Q971" s="2" t="s">
        <v>1568</v>
      </c>
      <c r="R971" s="2" t="s">
        <v>1569</v>
      </c>
      <c r="S971" s="2" t="s">
        <v>1570</v>
      </c>
      <c r="W971" s="2" t="s">
        <v>1571</v>
      </c>
    </row>
    <row r="972">
      <c r="A972" s="4">
        <v>45546.717361111114</v>
      </c>
      <c r="B972" s="5">
        <v>2665938.0</v>
      </c>
      <c r="C972" s="2" t="s">
        <v>1575</v>
      </c>
      <c r="D972" s="2" t="s">
        <v>1565</v>
      </c>
      <c r="E972" s="2">
        <v>10002.0</v>
      </c>
      <c r="F972" s="2" t="s">
        <v>1576</v>
      </c>
      <c r="I972" s="7">
        <v>1.0</v>
      </c>
      <c r="J972" s="6">
        <v>18571.0</v>
      </c>
      <c r="K972" s="2">
        <v>0.0</v>
      </c>
      <c r="L972" s="2">
        <v>18571.0</v>
      </c>
      <c r="M972" s="2">
        <v>0.0</v>
      </c>
      <c r="N972" s="2">
        <v>18571.0</v>
      </c>
      <c r="O972" s="2">
        <v>929.0</v>
      </c>
      <c r="P972" s="2" t="s">
        <v>1574</v>
      </c>
      <c r="Q972" s="2" t="s">
        <v>1568</v>
      </c>
      <c r="R972" s="2" t="s">
        <v>1569</v>
      </c>
      <c r="S972" s="2" t="s">
        <v>1570</v>
      </c>
      <c r="W972" s="2" t="s">
        <v>1571</v>
      </c>
    </row>
    <row r="973">
      <c r="A973" s="4">
        <v>45546.71527777778</v>
      </c>
      <c r="B973" s="5">
        <v>2665573.0</v>
      </c>
      <c r="C973" s="2" t="s">
        <v>1575</v>
      </c>
      <c r="D973" s="2" t="s">
        <v>1565</v>
      </c>
      <c r="E973" s="2">
        <v>10002.0</v>
      </c>
      <c r="F973" s="2" t="s">
        <v>1576</v>
      </c>
      <c r="I973" s="7">
        <v>1.0</v>
      </c>
      <c r="J973" s="6">
        <v>18571.0</v>
      </c>
      <c r="K973" s="2">
        <v>0.0</v>
      </c>
      <c r="L973" s="2">
        <v>18571.0</v>
      </c>
      <c r="M973" s="2">
        <v>0.0</v>
      </c>
      <c r="N973" s="2">
        <v>18571.0</v>
      </c>
      <c r="O973" s="2">
        <v>929.0</v>
      </c>
      <c r="P973" s="2" t="s">
        <v>1574</v>
      </c>
      <c r="Q973" s="2" t="s">
        <v>1568</v>
      </c>
      <c r="R973" s="2" t="s">
        <v>1569</v>
      </c>
      <c r="S973" s="2" t="s">
        <v>1570</v>
      </c>
      <c r="W973" s="2" t="s">
        <v>1571</v>
      </c>
    </row>
    <row r="974">
      <c r="A974" s="4">
        <v>45546.71527777778</v>
      </c>
      <c r="B974" s="5">
        <v>2665573.0</v>
      </c>
      <c r="C974" s="2" t="s">
        <v>1575</v>
      </c>
      <c r="D974" s="2" t="s">
        <v>1565</v>
      </c>
      <c r="E974" s="2">
        <v>10005.0</v>
      </c>
      <c r="F974" s="2" t="s">
        <v>1595</v>
      </c>
      <c r="I974" s="7">
        <v>1.0</v>
      </c>
      <c r="J974" s="6">
        <v>19524.0</v>
      </c>
      <c r="K974" s="2">
        <v>0.0</v>
      </c>
      <c r="L974" s="2">
        <v>19524.0</v>
      </c>
      <c r="M974" s="2">
        <v>0.0</v>
      </c>
      <c r="N974" s="2">
        <v>19524.0</v>
      </c>
      <c r="O974" s="2">
        <v>976.0</v>
      </c>
      <c r="P974" s="2" t="s">
        <v>1574</v>
      </c>
      <c r="Q974" s="2" t="s">
        <v>1568</v>
      </c>
      <c r="R974" s="2" t="s">
        <v>1569</v>
      </c>
      <c r="S974" s="2" t="s">
        <v>1570</v>
      </c>
      <c r="W974" s="2" t="s">
        <v>1571</v>
      </c>
    </row>
    <row r="975">
      <c r="A975" s="4">
        <v>45546.680555555555</v>
      </c>
      <c r="B975" s="5">
        <v>2665208.0</v>
      </c>
      <c r="C975" s="2" t="s">
        <v>1575</v>
      </c>
      <c r="D975" s="2" t="s">
        <v>1572</v>
      </c>
      <c r="E975" s="2">
        <v>10128.0</v>
      </c>
      <c r="F975" s="2" t="s">
        <v>1588</v>
      </c>
      <c r="I975" s="7">
        <v>1.0</v>
      </c>
      <c r="J975" s="6">
        <v>23333.0</v>
      </c>
      <c r="K975" s="2">
        <v>0.0</v>
      </c>
      <c r="L975" s="2">
        <v>23333.0</v>
      </c>
      <c r="M975" s="2">
        <v>0.0</v>
      </c>
      <c r="N975" s="2">
        <v>23333.0</v>
      </c>
      <c r="O975" s="2">
        <v>1167.0</v>
      </c>
      <c r="P975" s="2" t="s">
        <v>1574</v>
      </c>
      <c r="Q975" s="2" t="s">
        <v>1568</v>
      </c>
      <c r="R975" s="2" t="s">
        <v>1569</v>
      </c>
      <c r="S975" s="2" t="s">
        <v>1570</v>
      </c>
      <c r="W975" s="2" t="s">
        <v>1571</v>
      </c>
    </row>
    <row r="976">
      <c r="A976" s="4">
        <v>45546.643055555556</v>
      </c>
      <c r="B976" s="5">
        <v>2664842.0</v>
      </c>
      <c r="C976" s="2" t="s">
        <v>1575</v>
      </c>
      <c r="D976" s="2" t="s">
        <v>1565</v>
      </c>
      <c r="E976" s="2">
        <v>10007.0</v>
      </c>
      <c r="F976" s="2" t="s">
        <v>1596</v>
      </c>
      <c r="I976" s="7">
        <v>1.0</v>
      </c>
      <c r="J976" s="6">
        <v>33810.0</v>
      </c>
      <c r="K976" s="2">
        <v>0.0</v>
      </c>
      <c r="L976" s="2">
        <v>33810.0</v>
      </c>
      <c r="M976" s="2">
        <v>0.0</v>
      </c>
      <c r="N976" s="2">
        <v>33810.0</v>
      </c>
      <c r="O976" s="2">
        <v>1691.0</v>
      </c>
      <c r="P976" s="2" t="s">
        <v>1574</v>
      </c>
      <c r="Q976" s="2" t="s">
        <v>1568</v>
      </c>
      <c r="R976" s="2" t="s">
        <v>1569</v>
      </c>
      <c r="S976" s="2" t="s">
        <v>1570</v>
      </c>
      <c r="W976" s="2" t="s">
        <v>1571</v>
      </c>
    </row>
    <row r="977">
      <c r="A977" s="4">
        <v>45546.643055555556</v>
      </c>
      <c r="B977" s="5">
        <v>2664842.0</v>
      </c>
      <c r="C977" s="2" t="s">
        <v>1575</v>
      </c>
      <c r="D977" s="2" t="s">
        <v>1565</v>
      </c>
      <c r="E977" s="2">
        <v>10055.0</v>
      </c>
      <c r="F977" s="2" t="s">
        <v>1597</v>
      </c>
      <c r="I977" s="7">
        <v>1.0</v>
      </c>
      <c r="J977" s="6">
        <v>34762.0</v>
      </c>
      <c r="K977" s="2">
        <v>0.0</v>
      </c>
      <c r="L977" s="2">
        <v>34762.0</v>
      </c>
      <c r="M977" s="2">
        <v>0.0</v>
      </c>
      <c r="N977" s="2">
        <v>34762.0</v>
      </c>
      <c r="O977" s="2">
        <v>1738.0</v>
      </c>
      <c r="P977" s="2" t="s">
        <v>1574</v>
      </c>
      <c r="Q977" s="2" t="s">
        <v>1568</v>
      </c>
      <c r="R977" s="2" t="s">
        <v>1569</v>
      </c>
      <c r="S977" s="2" t="s">
        <v>1570</v>
      </c>
      <c r="W977" s="2" t="s">
        <v>1571</v>
      </c>
    </row>
    <row r="978">
      <c r="A978" s="4">
        <v>45546.540972222225</v>
      </c>
      <c r="B978" s="5">
        <v>2664477.0</v>
      </c>
      <c r="C978" s="2" t="s">
        <v>1575</v>
      </c>
      <c r="D978" s="2" t="s">
        <v>1565</v>
      </c>
      <c r="E978" s="2">
        <v>10007.0</v>
      </c>
      <c r="F978" s="2" t="s">
        <v>1596</v>
      </c>
      <c r="I978" s="7">
        <v>1.0</v>
      </c>
      <c r="J978" s="6">
        <v>33810.0</v>
      </c>
      <c r="K978" s="2">
        <v>0.0</v>
      </c>
      <c r="L978" s="2">
        <v>33810.0</v>
      </c>
      <c r="M978" s="2">
        <v>0.0</v>
      </c>
      <c r="N978" s="2">
        <v>33810.0</v>
      </c>
      <c r="O978" s="2">
        <v>1691.0</v>
      </c>
      <c r="P978" s="2" t="s">
        <v>1574</v>
      </c>
      <c r="Q978" s="2" t="s">
        <v>1568</v>
      </c>
      <c r="R978" s="2" t="s">
        <v>1569</v>
      </c>
      <c r="S978" s="2" t="s">
        <v>1570</v>
      </c>
      <c r="W978" s="2" t="s">
        <v>1571</v>
      </c>
    </row>
    <row r="979">
      <c r="A979" s="4">
        <v>45546.459027777775</v>
      </c>
      <c r="B979" s="5">
        <v>2664112.0</v>
      </c>
      <c r="C979" s="2" t="s">
        <v>1575</v>
      </c>
      <c r="D979" s="2" t="s">
        <v>1565</v>
      </c>
      <c r="E979" s="2">
        <v>10002.0</v>
      </c>
      <c r="F979" s="2" t="s">
        <v>1576</v>
      </c>
      <c r="I979" s="7">
        <v>1.0</v>
      </c>
      <c r="J979" s="6">
        <v>18571.0</v>
      </c>
      <c r="K979" s="2">
        <v>0.0</v>
      </c>
      <c r="L979" s="2">
        <v>18571.0</v>
      </c>
      <c r="M979" s="2">
        <v>0.0</v>
      </c>
      <c r="N979" s="2">
        <v>18571.0</v>
      </c>
      <c r="O979" s="2">
        <v>929.0</v>
      </c>
      <c r="P979" s="2" t="s">
        <v>1574</v>
      </c>
      <c r="Q979" s="2" t="s">
        <v>1568</v>
      </c>
      <c r="R979" s="2" t="s">
        <v>1569</v>
      </c>
      <c r="S979" s="2" t="s">
        <v>1570</v>
      </c>
      <c r="W979" s="2" t="s">
        <v>1571</v>
      </c>
    </row>
    <row r="980">
      <c r="A980" s="4">
        <v>45545.83472222222</v>
      </c>
      <c r="B980" s="5">
        <v>2663747.0</v>
      </c>
      <c r="C980" s="2" t="s">
        <v>1575</v>
      </c>
      <c r="D980" s="2" t="s">
        <v>1572</v>
      </c>
      <c r="E980" s="2">
        <v>10122.0</v>
      </c>
      <c r="F980" s="2" t="s">
        <v>1577</v>
      </c>
      <c r="I980" s="7">
        <v>1.0</v>
      </c>
      <c r="J980" s="6">
        <v>21905.0</v>
      </c>
      <c r="K980" s="2">
        <v>0.0</v>
      </c>
      <c r="L980" s="2">
        <v>21905.0</v>
      </c>
      <c r="M980" s="2">
        <v>0.0</v>
      </c>
      <c r="N980" s="2">
        <v>21905.0</v>
      </c>
      <c r="O980" s="2">
        <v>1095.0</v>
      </c>
      <c r="P980" s="2" t="s">
        <v>1574</v>
      </c>
      <c r="Q980" s="2" t="s">
        <v>1568</v>
      </c>
      <c r="R980" s="2" t="s">
        <v>1569</v>
      </c>
      <c r="S980" s="2" t="s">
        <v>1570</v>
      </c>
      <c r="W980" s="2" t="s">
        <v>1571</v>
      </c>
    </row>
    <row r="981">
      <c r="A981" s="4">
        <v>45545.80625</v>
      </c>
      <c r="B981" s="5">
        <v>2663381.0</v>
      </c>
      <c r="C981" s="2" t="s">
        <v>1575</v>
      </c>
      <c r="D981" s="2" t="s">
        <v>1578</v>
      </c>
      <c r="E981" s="2">
        <v>10011.0</v>
      </c>
      <c r="F981" s="2" t="s">
        <v>1605</v>
      </c>
      <c r="I981" s="7">
        <v>1.0</v>
      </c>
      <c r="J981" s="6">
        <v>25238.0</v>
      </c>
      <c r="K981" s="2">
        <v>0.0</v>
      </c>
      <c r="L981" s="2">
        <v>25238.0</v>
      </c>
      <c r="M981" s="2">
        <v>0.0</v>
      </c>
      <c r="N981" s="2">
        <v>25238.0</v>
      </c>
      <c r="O981" s="2">
        <v>1262.0</v>
      </c>
      <c r="P981" s="2" t="s">
        <v>1574</v>
      </c>
      <c r="Q981" s="2" t="s">
        <v>1568</v>
      </c>
      <c r="R981" s="2" t="s">
        <v>1569</v>
      </c>
      <c r="S981" s="2" t="s">
        <v>1570</v>
      </c>
      <c r="W981" s="2" t="s">
        <v>1571</v>
      </c>
    </row>
    <row r="982">
      <c r="A982" s="4">
        <v>45545.80625</v>
      </c>
      <c r="B982" s="5">
        <v>2663381.0</v>
      </c>
      <c r="C982" s="2" t="s">
        <v>1575</v>
      </c>
      <c r="D982" s="2" t="s">
        <v>1578</v>
      </c>
      <c r="E982" s="2">
        <v>10014.0</v>
      </c>
      <c r="F982" s="2" t="s">
        <v>1609</v>
      </c>
      <c r="I982" s="7">
        <v>1.0</v>
      </c>
      <c r="J982" s="6">
        <v>25238.0</v>
      </c>
      <c r="K982" s="2">
        <v>0.0</v>
      </c>
      <c r="L982" s="2">
        <v>25238.0</v>
      </c>
      <c r="M982" s="2">
        <v>0.0</v>
      </c>
      <c r="N982" s="2">
        <v>25238.0</v>
      </c>
      <c r="O982" s="2">
        <v>1262.0</v>
      </c>
      <c r="P982" s="2" t="s">
        <v>1574</v>
      </c>
      <c r="Q982" s="2" t="s">
        <v>1568</v>
      </c>
      <c r="R982" s="2" t="s">
        <v>1569</v>
      </c>
      <c r="S982" s="2" t="s">
        <v>1570</v>
      </c>
      <c r="W982" s="2" t="s">
        <v>1571</v>
      </c>
    </row>
    <row r="983">
      <c r="A983" s="4">
        <v>45545.80625</v>
      </c>
      <c r="B983" s="5">
        <v>2663381.0</v>
      </c>
      <c r="C983" s="2" t="s">
        <v>1575</v>
      </c>
      <c r="D983" s="2" t="s">
        <v>1578</v>
      </c>
      <c r="E983" s="2">
        <v>10009.0</v>
      </c>
      <c r="F983" s="2" t="s">
        <v>1586</v>
      </c>
      <c r="I983" s="7">
        <v>1.0</v>
      </c>
      <c r="J983" s="6">
        <v>26667.0</v>
      </c>
      <c r="K983" s="2">
        <v>0.0</v>
      </c>
      <c r="L983" s="2">
        <v>26667.0</v>
      </c>
      <c r="M983" s="2">
        <v>0.0</v>
      </c>
      <c r="N983" s="2">
        <v>26667.0</v>
      </c>
      <c r="O983" s="2">
        <v>1333.0</v>
      </c>
      <c r="P983" s="2" t="s">
        <v>1574</v>
      </c>
      <c r="Q983" s="2" t="s">
        <v>1568</v>
      </c>
      <c r="R983" s="2" t="s">
        <v>1569</v>
      </c>
      <c r="S983" s="2" t="s">
        <v>1570</v>
      </c>
      <c r="W983" s="2" t="s">
        <v>1571</v>
      </c>
    </row>
    <row r="984">
      <c r="A984" s="4">
        <v>45545.73888888889</v>
      </c>
      <c r="B984" s="5">
        <v>2663016.0</v>
      </c>
      <c r="C984" s="2" t="s">
        <v>1575</v>
      </c>
      <c r="D984" s="2" t="s">
        <v>1578</v>
      </c>
      <c r="E984" s="2">
        <v>10004.0</v>
      </c>
      <c r="F984" s="2" t="s">
        <v>1607</v>
      </c>
      <c r="I984" s="7">
        <v>1.0</v>
      </c>
      <c r="J984" s="6">
        <v>25238.0</v>
      </c>
      <c r="K984" s="2">
        <v>0.0</v>
      </c>
      <c r="L984" s="2">
        <v>25238.0</v>
      </c>
      <c r="M984" s="2">
        <v>0.0</v>
      </c>
      <c r="N984" s="2">
        <v>25238.0</v>
      </c>
      <c r="O984" s="2">
        <v>1262.0</v>
      </c>
      <c r="P984" s="2" t="s">
        <v>1574</v>
      </c>
      <c r="Q984" s="2" t="s">
        <v>1568</v>
      </c>
      <c r="R984" s="2" t="s">
        <v>1569</v>
      </c>
      <c r="S984" s="2" t="s">
        <v>1570</v>
      </c>
      <c r="W984" s="2" t="s">
        <v>1571</v>
      </c>
    </row>
    <row r="985">
      <c r="A985" s="4">
        <v>45545.73888888889</v>
      </c>
      <c r="B985" s="5">
        <v>2663016.0</v>
      </c>
      <c r="C985" s="2" t="s">
        <v>1575</v>
      </c>
      <c r="D985" s="2" t="s">
        <v>1572</v>
      </c>
      <c r="E985" s="2">
        <v>10122.0</v>
      </c>
      <c r="F985" s="2" t="s">
        <v>1577</v>
      </c>
      <c r="I985" s="7">
        <v>2.0</v>
      </c>
      <c r="J985" s="6">
        <v>43810.0</v>
      </c>
      <c r="K985" s="2">
        <v>0.0</v>
      </c>
      <c r="L985" s="2">
        <v>43810.0</v>
      </c>
      <c r="M985" s="2">
        <v>0.0</v>
      </c>
      <c r="N985" s="2">
        <v>43810.0</v>
      </c>
      <c r="O985" s="2">
        <v>2190.0</v>
      </c>
      <c r="P985" s="2" t="s">
        <v>1574</v>
      </c>
      <c r="Q985" s="2" t="s">
        <v>1568</v>
      </c>
      <c r="R985" s="2" t="s">
        <v>1569</v>
      </c>
      <c r="S985" s="2" t="s">
        <v>1570</v>
      </c>
      <c r="W985" s="2" t="s">
        <v>1571</v>
      </c>
    </row>
    <row r="986">
      <c r="A986" s="4">
        <v>45545.73888888889</v>
      </c>
      <c r="B986" s="5">
        <v>2663016.0</v>
      </c>
      <c r="C986" s="2" t="s">
        <v>1575</v>
      </c>
      <c r="D986" s="2" t="s">
        <v>1578</v>
      </c>
      <c r="E986" s="2">
        <v>10015.0</v>
      </c>
      <c r="F986" s="2" t="s">
        <v>1587</v>
      </c>
      <c r="I986" s="7">
        <v>1.0</v>
      </c>
      <c r="J986" s="6">
        <v>25238.0</v>
      </c>
      <c r="K986" s="2">
        <v>0.0</v>
      </c>
      <c r="L986" s="2">
        <v>25238.0</v>
      </c>
      <c r="M986" s="2">
        <v>0.0</v>
      </c>
      <c r="N986" s="2">
        <v>25238.0</v>
      </c>
      <c r="O986" s="2">
        <v>1262.0</v>
      </c>
      <c r="P986" s="2" t="s">
        <v>1574</v>
      </c>
      <c r="Q986" s="2" t="s">
        <v>1568</v>
      </c>
      <c r="R986" s="2" t="s">
        <v>1569</v>
      </c>
      <c r="S986" s="2" t="s">
        <v>1570</v>
      </c>
      <c r="W986" s="2" t="s">
        <v>1571</v>
      </c>
    </row>
    <row r="987">
      <c r="A987" s="4">
        <v>45545.73888888889</v>
      </c>
      <c r="B987" s="5">
        <v>2663016.0</v>
      </c>
      <c r="C987" s="2" t="s">
        <v>1575</v>
      </c>
      <c r="D987" s="2" t="s">
        <v>1572</v>
      </c>
      <c r="E987" s="2">
        <v>10107.0</v>
      </c>
      <c r="F987" s="2" t="s">
        <v>1584</v>
      </c>
      <c r="I987" s="7">
        <v>1.0</v>
      </c>
      <c r="J987" s="6">
        <v>26667.0</v>
      </c>
      <c r="K987" s="2">
        <v>0.0</v>
      </c>
      <c r="L987" s="2">
        <v>26667.0</v>
      </c>
      <c r="M987" s="2">
        <v>0.0</v>
      </c>
      <c r="N987" s="2">
        <v>26667.0</v>
      </c>
      <c r="O987" s="2">
        <v>1334.0</v>
      </c>
      <c r="P987" s="2" t="s">
        <v>1574</v>
      </c>
      <c r="Q987" s="2" t="s">
        <v>1568</v>
      </c>
      <c r="R987" s="2" t="s">
        <v>1569</v>
      </c>
      <c r="S987" s="2" t="s">
        <v>1570</v>
      </c>
      <c r="W987" s="2" t="s">
        <v>1571</v>
      </c>
    </row>
    <row r="988">
      <c r="A988" s="4">
        <v>45545.73055555556</v>
      </c>
      <c r="B988" s="5">
        <v>2662651.0</v>
      </c>
      <c r="C988" s="2" t="s">
        <v>1575</v>
      </c>
      <c r="D988" s="2" t="s">
        <v>1572</v>
      </c>
      <c r="E988" s="2">
        <v>10122.0</v>
      </c>
      <c r="F988" s="2" t="s">
        <v>1577</v>
      </c>
      <c r="I988" s="7">
        <v>1.0</v>
      </c>
      <c r="J988" s="6">
        <v>21905.0</v>
      </c>
      <c r="K988" s="2">
        <v>0.0</v>
      </c>
      <c r="L988" s="2">
        <v>21905.0</v>
      </c>
      <c r="M988" s="2">
        <v>0.0</v>
      </c>
      <c r="N988" s="2">
        <v>21905.0</v>
      </c>
      <c r="O988" s="2">
        <v>1095.0</v>
      </c>
      <c r="P988" s="2" t="s">
        <v>1574</v>
      </c>
      <c r="Q988" s="2" t="s">
        <v>1568</v>
      </c>
      <c r="R988" s="2" t="s">
        <v>1569</v>
      </c>
      <c r="S988" s="2" t="s">
        <v>1570</v>
      </c>
      <c r="W988" s="2" t="s">
        <v>1571</v>
      </c>
    </row>
    <row r="989">
      <c r="A989" s="4">
        <v>45545.73055555556</v>
      </c>
      <c r="B989" s="5">
        <v>2662651.0</v>
      </c>
      <c r="C989" s="2" t="s">
        <v>1575</v>
      </c>
      <c r="D989" s="2" t="s">
        <v>1578</v>
      </c>
      <c r="E989" s="2">
        <v>10011.0</v>
      </c>
      <c r="F989" s="2" t="s">
        <v>1605</v>
      </c>
      <c r="I989" s="7">
        <v>1.0</v>
      </c>
      <c r="J989" s="6">
        <v>25238.0</v>
      </c>
      <c r="K989" s="2">
        <v>0.0</v>
      </c>
      <c r="L989" s="2">
        <v>25238.0</v>
      </c>
      <c r="M989" s="2">
        <v>0.0</v>
      </c>
      <c r="N989" s="2">
        <v>25238.0</v>
      </c>
      <c r="O989" s="2">
        <v>1262.0</v>
      </c>
      <c r="P989" s="2" t="s">
        <v>1574</v>
      </c>
      <c r="Q989" s="2" t="s">
        <v>1568</v>
      </c>
      <c r="R989" s="2" t="s">
        <v>1569</v>
      </c>
      <c r="S989" s="2" t="s">
        <v>1570</v>
      </c>
      <c r="W989" s="2" t="s">
        <v>1571</v>
      </c>
    </row>
    <row r="990">
      <c r="A990" s="4">
        <v>45545.729166666664</v>
      </c>
      <c r="B990" s="5">
        <v>2662286.0</v>
      </c>
      <c r="C990" s="2" t="s">
        <v>1575</v>
      </c>
      <c r="D990" s="2" t="s">
        <v>1572</v>
      </c>
      <c r="E990" s="2">
        <v>10106.0</v>
      </c>
      <c r="F990" s="2" t="s">
        <v>1598</v>
      </c>
      <c r="I990" s="7">
        <v>1.0</v>
      </c>
      <c r="J990" s="6">
        <v>26667.0</v>
      </c>
      <c r="K990" s="2">
        <v>0.0</v>
      </c>
      <c r="L990" s="2">
        <v>26667.0</v>
      </c>
      <c r="M990" s="2">
        <v>0.0</v>
      </c>
      <c r="N990" s="2">
        <v>26667.0</v>
      </c>
      <c r="O990" s="2">
        <v>1333.0</v>
      </c>
      <c r="P990" s="2" t="s">
        <v>1574</v>
      </c>
      <c r="Q990" s="2" t="s">
        <v>1568</v>
      </c>
      <c r="R990" s="2" t="s">
        <v>1569</v>
      </c>
      <c r="S990" s="2" t="s">
        <v>1570</v>
      </c>
      <c r="W990" s="2" t="s">
        <v>1571</v>
      </c>
    </row>
    <row r="991">
      <c r="A991" s="4">
        <v>45545.69930555556</v>
      </c>
      <c r="B991" s="5">
        <v>2661920.0</v>
      </c>
      <c r="C991" s="2" t="s">
        <v>1575</v>
      </c>
      <c r="D991" s="2" t="s">
        <v>1565</v>
      </c>
      <c r="E991" s="2">
        <v>10000.0</v>
      </c>
      <c r="F991" s="2" t="s">
        <v>1566</v>
      </c>
      <c r="I991" s="7">
        <v>1.0</v>
      </c>
      <c r="J991" s="6">
        <v>29524.0</v>
      </c>
      <c r="K991" s="2">
        <v>0.0</v>
      </c>
      <c r="L991" s="2">
        <v>29524.0</v>
      </c>
      <c r="M991" s="2">
        <v>0.0</v>
      </c>
      <c r="N991" s="2">
        <v>29524.0</v>
      </c>
      <c r="O991" s="2">
        <v>1476.0</v>
      </c>
      <c r="P991" s="2" t="s">
        <v>1574</v>
      </c>
      <c r="Q991" s="2" t="s">
        <v>1568</v>
      </c>
      <c r="R991" s="2" t="s">
        <v>1569</v>
      </c>
      <c r="S991" s="2" t="s">
        <v>1570</v>
      </c>
      <c r="W991" s="2" t="s">
        <v>1571</v>
      </c>
    </row>
    <row r="992">
      <c r="A992" s="4">
        <v>45545.69930555556</v>
      </c>
      <c r="B992" s="5">
        <v>2661920.0</v>
      </c>
      <c r="C992" s="2" t="s">
        <v>1575</v>
      </c>
      <c r="D992" s="2" t="s">
        <v>1572</v>
      </c>
      <c r="E992" s="2">
        <v>10106.0</v>
      </c>
      <c r="F992" s="2" t="s">
        <v>1598</v>
      </c>
      <c r="I992" s="7">
        <v>2.0</v>
      </c>
      <c r="J992" s="6">
        <v>53334.0</v>
      </c>
      <c r="K992" s="2">
        <v>0.0</v>
      </c>
      <c r="L992" s="2">
        <v>53334.0</v>
      </c>
      <c r="M992" s="2">
        <v>0.0</v>
      </c>
      <c r="N992" s="2">
        <v>53334.0</v>
      </c>
      <c r="O992" s="2">
        <v>2667.0</v>
      </c>
      <c r="P992" s="2" t="s">
        <v>1574</v>
      </c>
      <c r="Q992" s="2" t="s">
        <v>1568</v>
      </c>
      <c r="R992" s="2" t="s">
        <v>1569</v>
      </c>
      <c r="S992" s="2" t="s">
        <v>1570</v>
      </c>
      <c r="W992" s="2" t="s">
        <v>1571</v>
      </c>
    </row>
    <row r="993">
      <c r="A993" s="4">
        <v>45545.69930555556</v>
      </c>
      <c r="B993" s="5">
        <v>2661920.0</v>
      </c>
      <c r="C993" s="2" t="s">
        <v>1575</v>
      </c>
      <c r="D993" s="2" t="s">
        <v>1578</v>
      </c>
      <c r="E993" s="2">
        <v>10015.0</v>
      </c>
      <c r="F993" s="2" t="s">
        <v>1587</v>
      </c>
      <c r="I993" s="7">
        <v>1.0</v>
      </c>
      <c r="J993" s="6">
        <v>25238.0</v>
      </c>
      <c r="K993" s="2">
        <v>0.0</v>
      </c>
      <c r="L993" s="2">
        <v>25238.0</v>
      </c>
      <c r="M993" s="2">
        <v>0.0</v>
      </c>
      <c r="N993" s="2">
        <v>25238.0</v>
      </c>
      <c r="O993" s="2">
        <v>1262.0</v>
      </c>
      <c r="P993" s="2" t="s">
        <v>1574</v>
      </c>
      <c r="Q993" s="2" t="s">
        <v>1568</v>
      </c>
      <c r="R993" s="2" t="s">
        <v>1569</v>
      </c>
      <c r="S993" s="2" t="s">
        <v>1570</v>
      </c>
      <c r="W993" s="2" t="s">
        <v>1571</v>
      </c>
    </row>
    <row r="994">
      <c r="A994" s="4">
        <v>45545.59652777778</v>
      </c>
      <c r="B994" s="5">
        <v>2661555.0</v>
      </c>
      <c r="C994" s="2" t="s">
        <v>1575</v>
      </c>
      <c r="D994" s="2" t="s">
        <v>1565</v>
      </c>
      <c r="E994" s="2">
        <v>10007.0</v>
      </c>
      <c r="F994" s="2" t="s">
        <v>1596</v>
      </c>
      <c r="I994" s="7">
        <v>1.0</v>
      </c>
      <c r="J994" s="6">
        <v>33810.0</v>
      </c>
      <c r="K994" s="2">
        <v>0.0</v>
      </c>
      <c r="L994" s="2">
        <v>33810.0</v>
      </c>
      <c r="M994" s="2">
        <v>0.0</v>
      </c>
      <c r="N994" s="2">
        <v>33810.0</v>
      </c>
      <c r="O994" s="2">
        <v>1691.0</v>
      </c>
      <c r="P994" s="2" t="s">
        <v>1574</v>
      </c>
      <c r="Q994" s="2" t="s">
        <v>1568</v>
      </c>
      <c r="R994" s="2" t="s">
        <v>1569</v>
      </c>
      <c r="S994" s="2" t="s">
        <v>1570</v>
      </c>
      <c r="W994" s="2" t="s">
        <v>1571</v>
      </c>
    </row>
    <row r="995">
      <c r="A995" s="4">
        <v>45545.59652777778</v>
      </c>
      <c r="B995" s="5">
        <v>2661555.0</v>
      </c>
      <c r="C995" s="2" t="s">
        <v>1575</v>
      </c>
      <c r="D995" s="2" t="s">
        <v>1572</v>
      </c>
      <c r="E995" s="2">
        <v>10125.0</v>
      </c>
      <c r="F995" s="2" t="s">
        <v>1601</v>
      </c>
      <c r="I995" s="7">
        <v>1.0</v>
      </c>
      <c r="J995" s="6">
        <v>20476.0</v>
      </c>
      <c r="K995" s="2">
        <v>0.0</v>
      </c>
      <c r="L995" s="2">
        <v>20476.0</v>
      </c>
      <c r="M995" s="2">
        <v>0.0</v>
      </c>
      <c r="N995" s="2">
        <v>20476.0</v>
      </c>
      <c r="O995" s="2">
        <v>1023.0</v>
      </c>
      <c r="P995" s="2" t="s">
        <v>1574</v>
      </c>
      <c r="Q995" s="2" t="s">
        <v>1568</v>
      </c>
      <c r="R995" s="2" t="s">
        <v>1569</v>
      </c>
      <c r="S995" s="2" t="s">
        <v>1570</v>
      </c>
      <c r="W995" s="2" t="s">
        <v>1571</v>
      </c>
    </row>
    <row r="996">
      <c r="A996" s="4">
        <v>45545.59652777778</v>
      </c>
      <c r="B996" s="5">
        <v>2661555.0</v>
      </c>
      <c r="C996" s="2" t="s">
        <v>1575</v>
      </c>
      <c r="D996" s="2" t="s">
        <v>1572</v>
      </c>
      <c r="E996" s="2">
        <v>10063.0</v>
      </c>
      <c r="F996" s="2" t="s">
        <v>1594</v>
      </c>
      <c r="I996" s="7">
        <v>2.0</v>
      </c>
      <c r="J996" s="6">
        <v>49524.0</v>
      </c>
      <c r="K996" s="2">
        <v>0.0</v>
      </c>
      <c r="L996" s="2">
        <v>49524.0</v>
      </c>
      <c r="M996" s="2">
        <v>0.0</v>
      </c>
      <c r="N996" s="2">
        <v>49524.0</v>
      </c>
      <c r="O996" s="2">
        <v>2477.0</v>
      </c>
      <c r="P996" s="2" t="s">
        <v>1574</v>
      </c>
      <c r="Q996" s="2" t="s">
        <v>1568</v>
      </c>
      <c r="R996" s="2" t="s">
        <v>1569</v>
      </c>
      <c r="S996" s="2" t="s">
        <v>1570</v>
      </c>
      <c r="W996" s="2" t="s">
        <v>1571</v>
      </c>
    </row>
    <row r="997">
      <c r="A997" s="4">
        <v>45545.59652777778</v>
      </c>
      <c r="B997" s="5">
        <v>2661555.0</v>
      </c>
      <c r="C997" s="2" t="s">
        <v>1575</v>
      </c>
      <c r="D997" s="2" t="s">
        <v>1572</v>
      </c>
      <c r="E997" s="2">
        <v>10119.0</v>
      </c>
      <c r="F997" s="2" t="s">
        <v>1582</v>
      </c>
      <c r="I997" s="7">
        <v>1.0</v>
      </c>
      <c r="J997" s="6">
        <v>7143.0</v>
      </c>
      <c r="K997" s="2">
        <v>0.0</v>
      </c>
      <c r="L997" s="2">
        <v>7143.0</v>
      </c>
      <c r="M997" s="2">
        <v>0.0</v>
      </c>
      <c r="N997" s="2">
        <v>7143.0</v>
      </c>
      <c r="O997" s="2">
        <v>357.0</v>
      </c>
      <c r="P997" s="2" t="s">
        <v>1574</v>
      </c>
      <c r="Q997" s="2" t="s">
        <v>1568</v>
      </c>
      <c r="R997" s="2" t="s">
        <v>1569</v>
      </c>
      <c r="S997" s="2" t="s">
        <v>1570</v>
      </c>
      <c r="W997" s="2" t="s">
        <v>1571</v>
      </c>
    </row>
    <row r="998">
      <c r="A998" s="4">
        <v>45545.59652777778</v>
      </c>
      <c r="B998" s="5">
        <v>2661555.0</v>
      </c>
      <c r="C998" s="2" t="s">
        <v>1575</v>
      </c>
      <c r="D998" s="2" t="s">
        <v>1572</v>
      </c>
      <c r="E998" s="2">
        <v>10067.0</v>
      </c>
      <c r="F998" s="2" t="s">
        <v>1621</v>
      </c>
      <c r="I998" s="7">
        <v>1.0</v>
      </c>
      <c r="J998" s="6">
        <v>24762.0</v>
      </c>
      <c r="K998" s="2">
        <v>0.0</v>
      </c>
      <c r="L998" s="2">
        <v>24762.0</v>
      </c>
      <c r="M998" s="2">
        <v>0.0</v>
      </c>
      <c r="N998" s="2">
        <v>24762.0</v>
      </c>
      <c r="O998" s="2">
        <v>1238.0</v>
      </c>
      <c r="P998" s="2" t="s">
        <v>1574</v>
      </c>
      <c r="Q998" s="2" t="s">
        <v>1568</v>
      </c>
      <c r="R998" s="2" t="s">
        <v>1569</v>
      </c>
      <c r="S998" s="2" t="s">
        <v>1570</v>
      </c>
      <c r="W998" s="2" t="s">
        <v>1571</v>
      </c>
    </row>
    <row r="999">
      <c r="A999" s="4">
        <v>45545.59652777778</v>
      </c>
      <c r="B999" s="5">
        <v>2661555.0</v>
      </c>
      <c r="C999" s="2" t="s">
        <v>1575</v>
      </c>
      <c r="D999" s="2" t="s">
        <v>1578</v>
      </c>
      <c r="E999" s="2">
        <v>10009.0</v>
      </c>
      <c r="F999" s="2" t="s">
        <v>1586</v>
      </c>
      <c r="I999" s="7">
        <v>1.0</v>
      </c>
      <c r="J999" s="6">
        <v>26667.0</v>
      </c>
      <c r="K999" s="2">
        <v>0.0</v>
      </c>
      <c r="L999" s="2">
        <v>26667.0</v>
      </c>
      <c r="M999" s="2">
        <v>0.0</v>
      </c>
      <c r="N999" s="2">
        <v>26667.0</v>
      </c>
      <c r="O999" s="2">
        <v>1333.0</v>
      </c>
      <c r="P999" s="2" t="s">
        <v>1574</v>
      </c>
      <c r="Q999" s="2" t="s">
        <v>1568</v>
      </c>
      <c r="R999" s="2" t="s">
        <v>1569</v>
      </c>
      <c r="S999" s="2" t="s">
        <v>1570</v>
      </c>
      <c r="W999" s="2" t="s">
        <v>1571</v>
      </c>
    </row>
    <row r="1000">
      <c r="A1000" s="4">
        <v>45545.59652777778</v>
      </c>
      <c r="B1000" s="5">
        <v>2661555.0</v>
      </c>
      <c r="C1000" s="2" t="s">
        <v>1575</v>
      </c>
      <c r="D1000" s="2" t="s">
        <v>1572</v>
      </c>
      <c r="E1000" s="2">
        <v>10107.0</v>
      </c>
      <c r="F1000" s="2" t="s">
        <v>1584</v>
      </c>
      <c r="I1000" s="7">
        <v>1.0</v>
      </c>
      <c r="J1000" s="6">
        <v>26667.0</v>
      </c>
      <c r="K1000" s="2">
        <v>0.0</v>
      </c>
      <c r="L1000" s="2">
        <v>26667.0</v>
      </c>
      <c r="M1000" s="2">
        <v>0.0</v>
      </c>
      <c r="N1000" s="2">
        <v>26667.0</v>
      </c>
      <c r="O1000" s="2">
        <v>1333.0</v>
      </c>
      <c r="P1000" s="2" t="s">
        <v>1574</v>
      </c>
      <c r="Q1000" s="2" t="s">
        <v>1568</v>
      </c>
      <c r="R1000" s="2" t="s">
        <v>1569</v>
      </c>
      <c r="S1000" s="2" t="s">
        <v>1570</v>
      </c>
      <c r="W1000" s="2" t="s">
        <v>1571</v>
      </c>
    </row>
    <row r="1001">
      <c r="A1001" s="4">
        <v>45545.59652777778</v>
      </c>
      <c r="B1001" s="5">
        <v>2661555.0</v>
      </c>
      <c r="C1001" s="2" t="s">
        <v>1575</v>
      </c>
      <c r="D1001" s="2" t="s">
        <v>1578</v>
      </c>
      <c r="E1001" s="2">
        <v>10015.0</v>
      </c>
      <c r="F1001" s="2" t="s">
        <v>1587</v>
      </c>
      <c r="I1001" s="7">
        <v>1.0</v>
      </c>
      <c r="J1001" s="6">
        <v>25238.0</v>
      </c>
      <c r="K1001" s="2">
        <v>0.0</v>
      </c>
      <c r="L1001" s="2">
        <v>25238.0</v>
      </c>
      <c r="M1001" s="2">
        <v>0.0</v>
      </c>
      <c r="N1001" s="2">
        <v>25238.0</v>
      </c>
      <c r="O1001" s="2">
        <v>1262.0</v>
      </c>
      <c r="P1001" s="2" t="s">
        <v>1574</v>
      </c>
      <c r="Q1001" s="2" t="s">
        <v>1568</v>
      </c>
      <c r="R1001" s="2" t="s">
        <v>1569</v>
      </c>
      <c r="S1001" s="2" t="s">
        <v>1570</v>
      </c>
      <c r="W1001" s="2" t="s">
        <v>1571</v>
      </c>
    </row>
    <row r="1002">
      <c r="A1002" s="4">
        <v>45545.59652777778</v>
      </c>
      <c r="B1002" s="5">
        <v>2661555.0</v>
      </c>
      <c r="C1002" s="2" t="s">
        <v>1575</v>
      </c>
      <c r="D1002" s="2" t="s">
        <v>1565</v>
      </c>
      <c r="E1002" s="2">
        <v>10000.0</v>
      </c>
      <c r="F1002" s="2" t="s">
        <v>1566</v>
      </c>
      <c r="I1002" s="7">
        <v>1.0</v>
      </c>
      <c r="J1002" s="6">
        <v>29524.0</v>
      </c>
      <c r="K1002" s="2">
        <v>0.0</v>
      </c>
      <c r="L1002" s="2">
        <v>29524.0</v>
      </c>
      <c r="M1002" s="2">
        <v>0.0</v>
      </c>
      <c r="N1002" s="2">
        <v>29524.0</v>
      </c>
      <c r="O1002" s="2">
        <v>1477.0</v>
      </c>
      <c r="P1002" s="2" t="s">
        <v>1574</v>
      </c>
      <c r="Q1002" s="2" t="s">
        <v>1568</v>
      </c>
      <c r="R1002" s="2" t="s">
        <v>1569</v>
      </c>
      <c r="S1002" s="2" t="s">
        <v>1570</v>
      </c>
      <c r="W1002" s="2" t="s">
        <v>1571</v>
      </c>
    </row>
    <row r="1003">
      <c r="A1003" s="4">
        <v>45545.53125</v>
      </c>
      <c r="B1003" s="5">
        <v>2661190.0</v>
      </c>
      <c r="C1003" s="2" t="s">
        <v>1575</v>
      </c>
      <c r="D1003" s="2" t="s">
        <v>1578</v>
      </c>
      <c r="E1003" s="2">
        <v>10004.0</v>
      </c>
      <c r="F1003" s="2" t="s">
        <v>1607</v>
      </c>
      <c r="I1003" s="7">
        <v>1.0</v>
      </c>
      <c r="J1003" s="6">
        <v>25238.0</v>
      </c>
      <c r="K1003" s="2">
        <v>0.0</v>
      </c>
      <c r="L1003" s="2">
        <v>25238.0</v>
      </c>
      <c r="M1003" s="2">
        <v>0.0</v>
      </c>
      <c r="N1003" s="2">
        <v>25238.0</v>
      </c>
      <c r="O1003" s="2">
        <v>1262.0</v>
      </c>
      <c r="P1003" s="2" t="s">
        <v>1574</v>
      </c>
      <c r="Q1003" s="2" t="s">
        <v>1568</v>
      </c>
      <c r="R1003" s="2" t="s">
        <v>1569</v>
      </c>
      <c r="S1003" s="2" t="s">
        <v>1570</v>
      </c>
      <c r="W1003" s="2" t="s">
        <v>1571</v>
      </c>
    </row>
    <row r="1004">
      <c r="A1004" s="4">
        <v>45545.53125</v>
      </c>
      <c r="B1004" s="5">
        <v>2661190.0</v>
      </c>
      <c r="C1004" s="2" t="s">
        <v>1575</v>
      </c>
      <c r="D1004" s="2" t="s">
        <v>1578</v>
      </c>
      <c r="E1004" s="2">
        <v>10014.0</v>
      </c>
      <c r="F1004" s="2" t="s">
        <v>1609</v>
      </c>
      <c r="I1004" s="7">
        <v>1.0</v>
      </c>
      <c r="J1004" s="6">
        <v>25238.0</v>
      </c>
      <c r="K1004" s="2">
        <v>0.0</v>
      </c>
      <c r="L1004" s="2">
        <v>25238.0</v>
      </c>
      <c r="M1004" s="2">
        <v>0.0</v>
      </c>
      <c r="N1004" s="2">
        <v>25238.0</v>
      </c>
      <c r="O1004" s="2">
        <v>1262.0</v>
      </c>
      <c r="P1004" s="2" t="s">
        <v>1574</v>
      </c>
      <c r="Q1004" s="2" t="s">
        <v>1568</v>
      </c>
      <c r="R1004" s="2" t="s">
        <v>1569</v>
      </c>
      <c r="S1004" s="2" t="s">
        <v>1570</v>
      </c>
      <c r="W1004" s="2" t="s">
        <v>1571</v>
      </c>
    </row>
    <row r="1005">
      <c r="A1005" s="4">
        <v>45545.52291666667</v>
      </c>
      <c r="B1005" s="5">
        <v>2660825.0</v>
      </c>
      <c r="C1005" s="2" t="s">
        <v>1575</v>
      </c>
      <c r="D1005" s="2" t="s">
        <v>1565</v>
      </c>
      <c r="E1005" s="2">
        <v>10007.0</v>
      </c>
      <c r="F1005" s="2" t="s">
        <v>1596</v>
      </c>
      <c r="I1005" s="7">
        <v>1.0</v>
      </c>
      <c r="J1005" s="6">
        <v>33810.0</v>
      </c>
      <c r="K1005" s="2">
        <v>0.0</v>
      </c>
      <c r="L1005" s="2">
        <v>33810.0</v>
      </c>
      <c r="M1005" s="2">
        <v>0.0</v>
      </c>
      <c r="N1005" s="2">
        <v>33810.0</v>
      </c>
      <c r="O1005" s="2">
        <v>1691.0</v>
      </c>
      <c r="P1005" s="2" t="s">
        <v>1567</v>
      </c>
      <c r="Q1005" s="2" t="s">
        <v>1568</v>
      </c>
      <c r="R1005" s="2" t="s">
        <v>1569</v>
      </c>
      <c r="S1005" s="2" t="s">
        <v>1570</v>
      </c>
      <c r="W1005" s="2" t="s">
        <v>1571</v>
      </c>
    </row>
    <row r="1006">
      <c r="A1006" s="4">
        <v>45545.402083333334</v>
      </c>
      <c r="B1006" s="5">
        <v>2660459.0</v>
      </c>
      <c r="C1006" s="2" t="s">
        <v>1575</v>
      </c>
      <c r="D1006" s="2" t="s">
        <v>1565</v>
      </c>
      <c r="E1006" s="2">
        <v>10007.0</v>
      </c>
      <c r="F1006" s="2" t="s">
        <v>1596</v>
      </c>
      <c r="I1006" s="7">
        <v>2.0</v>
      </c>
      <c r="J1006" s="6">
        <v>67620.0</v>
      </c>
      <c r="K1006" s="2">
        <v>0.0</v>
      </c>
      <c r="L1006" s="2">
        <v>67620.0</v>
      </c>
      <c r="M1006" s="2">
        <v>0.0</v>
      </c>
      <c r="N1006" s="2">
        <v>67620.0</v>
      </c>
      <c r="O1006" s="2">
        <v>3381.0</v>
      </c>
      <c r="P1006" s="2" t="s">
        <v>1567</v>
      </c>
      <c r="Q1006" s="2" t="s">
        <v>1568</v>
      </c>
      <c r="R1006" s="2" t="s">
        <v>1569</v>
      </c>
      <c r="S1006" s="2" t="s">
        <v>1570</v>
      </c>
      <c r="W1006" s="2" t="s">
        <v>1571</v>
      </c>
    </row>
    <row r="1007">
      <c r="A1007" s="4">
        <v>45545.402083333334</v>
      </c>
      <c r="B1007" s="5">
        <v>2660459.0</v>
      </c>
      <c r="C1007" s="2" t="s">
        <v>1575</v>
      </c>
      <c r="D1007" s="2" t="s">
        <v>1565</v>
      </c>
      <c r="E1007" s="2">
        <v>10055.0</v>
      </c>
      <c r="F1007" s="2" t="s">
        <v>1597</v>
      </c>
      <c r="I1007" s="7">
        <v>1.0</v>
      </c>
      <c r="J1007" s="6">
        <v>34762.0</v>
      </c>
      <c r="K1007" s="2">
        <v>0.0</v>
      </c>
      <c r="L1007" s="2">
        <v>34762.0</v>
      </c>
      <c r="M1007" s="2">
        <v>0.0</v>
      </c>
      <c r="N1007" s="2">
        <v>34762.0</v>
      </c>
      <c r="O1007" s="2">
        <v>1738.0</v>
      </c>
      <c r="P1007" s="2" t="s">
        <v>1567</v>
      </c>
      <c r="Q1007" s="2" t="s">
        <v>1568</v>
      </c>
      <c r="R1007" s="2" t="s">
        <v>1569</v>
      </c>
      <c r="S1007" s="2" t="s">
        <v>1570</v>
      </c>
      <c r="W1007" s="2" t="s">
        <v>1571</v>
      </c>
    </row>
    <row r="1008">
      <c r="A1008" s="4">
        <v>45545.402083333334</v>
      </c>
      <c r="B1008" s="5">
        <v>2660459.0</v>
      </c>
      <c r="C1008" s="2" t="s">
        <v>1575</v>
      </c>
      <c r="D1008" s="2" t="s">
        <v>1565</v>
      </c>
      <c r="E1008" s="2">
        <v>10005.0</v>
      </c>
      <c r="F1008" s="2" t="s">
        <v>1595</v>
      </c>
      <c r="I1008" s="7">
        <v>1.0</v>
      </c>
      <c r="J1008" s="6">
        <v>19524.0</v>
      </c>
      <c r="K1008" s="2">
        <v>0.0</v>
      </c>
      <c r="L1008" s="2">
        <v>19524.0</v>
      </c>
      <c r="M1008" s="2">
        <v>0.0</v>
      </c>
      <c r="N1008" s="2">
        <v>19524.0</v>
      </c>
      <c r="O1008" s="2">
        <v>976.0</v>
      </c>
      <c r="P1008" s="2" t="s">
        <v>1567</v>
      </c>
      <c r="Q1008" s="2" t="s">
        <v>1568</v>
      </c>
      <c r="R1008" s="2" t="s">
        <v>1569</v>
      </c>
      <c r="S1008" s="2" t="s">
        <v>1570</v>
      </c>
      <c r="W1008" s="2" t="s">
        <v>1571</v>
      </c>
    </row>
    <row r="1009">
      <c r="A1009" s="4">
        <v>45543.84375</v>
      </c>
      <c r="B1009" s="5">
        <v>2660094.0</v>
      </c>
      <c r="C1009" s="2" t="s">
        <v>1575</v>
      </c>
      <c r="D1009" s="2" t="s">
        <v>1572</v>
      </c>
      <c r="E1009" s="2">
        <v>10123.0</v>
      </c>
      <c r="F1009" s="2" t="s">
        <v>1599</v>
      </c>
      <c r="I1009" s="7">
        <v>1.0</v>
      </c>
      <c r="J1009" s="6">
        <v>21905.0</v>
      </c>
      <c r="K1009" s="2">
        <v>0.0</v>
      </c>
      <c r="L1009" s="2">
        <v>21905.0</v>
      </c>
      <c r="M1009" s="2">
        <v>0.0</v>
      </c>
      <c r="N1009" s="2">
        <v>21905.0</v>
      </c>
      <c r="O1009" s="2">
        <v>1095.0</v>
      </c>
      <c r="P1009" s="2" t="s">
        <v>1574</v>
      </c>
      <c r="Q1009" s="2" t="s">
        <v>1568</v>
      </c>
      <c r="R1009" s="2" t="s">
        <v>1569</v>
      </c>
      <c r="S1009" s="2" t="s">
        <v>1570</v>
      </c>
      <c r="W1009" s="2" t="s">
        <v>1571</v>
      </c>
    </row>
    <row r="1010">
      <c r="A1010" s="4">
        <v>45543.84375</v>
      </c>
      <c r="B1010" s="5">
        <v>2660094.0</v>
      </c>
      <c r="C1010" s="2" t="s">
        <v>1575</v>
      </c>
      <c r="D1010" s="2" t="s">
        <v>1578</v>
      </c>
      <c r="E1010" s="2">
        <v>10010.0</v>
      </c>
      <c r="F1010" s="2" t="s">
        <v>1606</v>
      </c>
      <c r="I1010" s="7">
        <v>1.0</v>
      </c>
      <c r="J1010" s="6">
        <v>25238.0</v>
      </c>
      <c r="K1010" s="2">
        <v>0.0</v>
      </c>
      <c r="L1010" s="2">
        <v>25238.0</v>
      </c>
      <c r="M1010" s="2">
        <v>0.0</v>
      </c>
      <c r="N1010" s="2">
        <v>25238.0</v>
      </c>
      <c r="O1010" s="2">
        <v>1262.0</v>
      </c>
      <c r="P1010" s="2" t="s">
        <v>1574</v>
      </c>
      <c r="Q1010" s="2" t="s">
        <v>1568</v>
      </c>
      <c r="R1010" s="2" t="s">
        <v>1569</v>
      </c>
      <c r="S1010" s="2" t="s">
        <v>1570</v>
      </c>
      <c r="W1010" s="2" t="s">
        <v>1571</v>
      </c>
    </row>
    <row r="1011">
      <c r="A1011" s="4">
        <v>45543.81180555555</v>
      </c>
      <c r="B1011" s="5">
        <v>2659729.0</v>
      </c>
      <c r="C1011" s="2" t="s">
        <v>1575</v>
      </c>
      <c r="D1011" s="2" t="s">
        <v>1572</v>
      </c>
      <c r="E1011" s="2">
        <v>10013.0</v>
      </c>
      <c r="F1011" s="2" t="s">
        <v>1591</v>
      </c>
      <c r="I1011" s="7">
        <v>1.0</v>
      </c>
      <c r="J1011" s="6">
        <v>23333.0</v>
      </c>
      <c r="K1011" s="2">
        <v>0.0</v>
      </c>
      <c r="L1011" s="2">
        <v>23333.0</v>
      </c>
      <c r="M1011" s="2">
        <v>0.0</v>
      </c>
      <c r="N1011" s="2">
        <v>23333.0</v>
      </c>
      <c r="O1011" s="2">
        <v>1167.0</v>
      </c>
      <c r="P1011" s="2" t="s">
        <v>1574</v>
      </c>
      <c r="Q1011" s="2" t="s">
        <v>1568</v>
      </c>
      <c r="R1011" s="2" t="s">
        <v>1569</v>
      </c>
      <c r="S1011" s="2" t="s">
        <v>1570</v>
      </c>
      <c r="W1011" s="2" t="s">
        <v>1571</v>
      </c>
    </row>
    <row r="1012">
      <c r="A1012" s="4">
        <v>45543.79305555556</v>
      </c>
      <c r="B1012" s="5">
        <v>2659364.0</v>
      </c>
      <c r="C1012" s="2" t="s">
        <v>1575</v>
      </c>
      <c r="D1012" s="2" t="s">
        <v>1565</v>
      </c>
      <c r="E1012" s="2">
        <v>10000.0</v>
      </c>
      <c r="F1012" s="2" t="s">
        <v>1566</v>
      </c>
      <c r="I1012" s="7">
        <v>1.0</v>
      </c>
      <c r="J1012" s="6">
        <v>29524.0</v>
      </c>
      <c r="K1012" s="2">
        <v>0.0</v>
      </c>
      <c r="L1012" s="2">
        <v>29524.0</v>
      </c>
      <c r="M1012" s="2">
        <v>0.0</v>
      </c>
      <c r="N1012" s="2">
        <v>29524.0</v>
      </c>
      <c r="O1012" s="2">
        <v>1476.0</v>
      </c>
      <c r="P1012" s="2" t="s">
        <v>1574</v>
      </c>
      <c r="Q1012" s="2" t="s">
        <v>1568</v>
      </c>
      <c r="R1012" s="2" t="s">
        <v>1569</v>
      </c>
      <c r="S1012" s="2" t="s">
        <v>1570</v>
      </c>
      <c r="W1012" s="2" t="s">
        <v>1571</v>
      </c>
    </row>
    <row r="1013">
      <c r="A1013" s="4">
        <v>45543.79305555556</v>
      </c>
      <c r="B1013" s="5">
        <v>2659364.0</v>
      </c>
      <c r="C1013" s="2" t="s">
        <v>1575</v>
      </c>
      <c r="D1013" s="2" t="s">
        <v>1565</v>
      </c>
      <c r="E1013" s="2">
        <v>10002.0</v>
      </c>
      <c r="F1013" s="2" t="s">
        <v>1576</v>
      </c>
      <c r="I1013" s="7">
        <v>1.0</v>
      </c>
      <c r="J1013" s="6">
        <v>18571.0</v>
      </c>
      <c r="K1013" s="2">
        <v>0.0</v>
      </c>
      <c r="L1013" s="2">
        <v>18571.0</v>
      </c>
      <c r="M1013" s="2">
        <v>0.0</v>
      </c>
      <c r="N1013" s="2">
        <v>18571.0</v>
      </c>
      <c r="O1013" s="2">
        <v>929.0</v>
      </c>
      <c r="P1013" s="2" t="s">
        <v>1574</v>
      </c>
      <c r="Q1013" s="2" t="s">
        <v>1568</v>
      </c>
      <c r="R1013" s="2" t="s">
        <v>1569</v>
      </c>
      <c r="S1013" s="2" t="s">
        <v>1570</v>
      </c>
      <c r="W1013" s="2" t="s">
        <v>1571</v>
      </c>
    </row>
    <row r="1014">
      <c r="A1014" s="4">
        <v>45543.782638888886</v>
      </c>
      <c r="B1014" s="5">
        <v>2658998.0</v>
      </c>
      <c r="C1014" s="2" t="s">
        <v>1575</v>
      </c>
      <c r="D1014" s="2" t="s">
        <v>1565</v>
      </c>
      <c r="E1014" s="2">
        <v>10000.0</v>
      </c>
      <c r="F1014" s="2" t="s">
        <v>1566</v>
      </c>
      <c r="I1014" s="7">
        <v>2.0</v>
      </c>
      <c r="J1014" s="6">
        <v>59048.0</v>
      </c>
      <c r="K1014" s="2">
        <v>0.0</v>
      </c>
      <c r="L1014" s="2">
        <v>59048.0</v>
      </c>
      <c r="M1014" s="2">
        <v>0.0</v>
      </c>
      <c r="N1014" s="2">
        <v>59048.0</v>
      </c>
      <c r="O1014" s="2">
        <v>2952.0</v>
      </c>
      <c r="P1014" s="2" t="s">
        <v>1574</v>
      </c>
      <c r="Q1014" s="2" t="s">
        <v>1568</v>
      </c>
      <c r="R1014" s="2" t="s">
        <v>1569</v>
      </c>
      <c r="S1014" s="2" t="s">
        <v>1570</v>
      </c>
      <c r="W1014" s="2" t="s">
        <v>1571</v>
      </c>
    </row>
    <row r="1015">
      <c r="A1015" s="4">
        <v>45543.782638888886</v>
      </c>
      <c r="B1015" s="5">
        <v>2658633.0</v>
      </c>
      <c r="C1015" s="2" t="s">
        <v>1564</v>
      </c>
      <c r="D1015" s="2" t="s">
        <v>1565</v>
      </c>
      <c r="E1015" s="2">
        <v>10000.0</v>
      </c>
      <c r="F1015" s="2" t="s">
        <v>1566</v>
      </c>
      <c r="I1015" s="7">
        <v>-2.0</v>
      </c>
      <c r="J1015" s="6">
        <v>-59048.0</v>
      </c>
      <c r="K1015" s="2">
        <v>0.0</v>
      </c>
      <c r="L1015" s="2">
        <v>-59048.0</v>
      </c>
      <c r="M1015" s="2">
        <v>0.0</v>
      </c>
      <c r="N1015" s="2">
        <v>-59048.0</v>
      </c>
      <c r="O1015" s="2">
        <v>-2952.0</v>
      </c>
      <c r="P1015" s="2" t="s">
        <v>1574</v>
      </c>
      <c r="Q1015" s="2" t="s">
        <v>1568</v>
      </c>
      <c r="R1015" s="2" t="s">
        <v>1569</v>
      </c>
      <c r="S1015" s="2" t="s">
        <v>1570</v>
      </c>
      <c r="W1015" s="2" t="s">
        <v>1571</v>
      </c>
    </row>
    <row r="1016">
      <c r="A1016" s="4">
        <v>45543.78055555555</v>
      </c>
      <c r="B1016" s="5">
        <v>2658268.0</v>
      </c>
      <c r="C1016" s="2" t="s">
        <v>1575</v>
      </c>
      <c r="D1016" s="2" t="s">
        <v>1565</v>
      </c>
      <c r="E1016" s="2">
        <v>10000.0</v>
      </c>
      <c r="F1016" s="2" t="s">
        <v>1566</v>
      </c>
      <c r="I1016" s="7">
        <v>2.0</v>
      </c>
      <c r="J1016" s="6">
        <v>59048.0</v>
      </c>
      <c r="K1016" s="2">
        <v>0.0</v>
      </c>
      <c r="L1016" s="2">
        <v>59048.0</v>
      </c>
      <c r="M1016" s="2">
        <v>0.0</v>
      </c>
      <c r="N1016" s="2">
        <v>59048.0</v>
      </c>
      <c r="O1016" s="2">
        <v>2952.0</v>
      </c>
      <c r="P1016" s="2" t="s">
        <v>1574</v>
      </c>
      <c r="Q1016" s="2" t="s">
        <v>1568</v>
      </c>
      <c r="R1016" s="2" t="s">
        <v>1569</v>
      </c>
      <c r="S1016" s="2" t="s">
        <v>1570</v>
      </c>
      <c r="W1016" s="2" t="s">
        <v>1571</v>
      </c>
    </row>
    <row r="1017">
      <c r="A1017" s="4">
        <v>45543.74097222222</v>
      </c>
      <c r="B1017" s="5">
        <v>2657903.0</v>
      </c>
      <c r="C1017" s="2" t="s">
        <v>1575</v>
      </c>
      <c r="D1017" s="2" t="s">
        <v>1578</v>
      </c>
      <c r="E1017" s="2">
        <v>10010.0</v>
      </c>
      <c r="F1017" s="2" t="s">
        <v>1606</v>
      </c>
      <c r="I1017" s="7">
        <v>1.0</v>
      </c>
      <c r="J1017" s="6">
        <v>25238.0</v>
      </c>
      <c r="K1017" s="2">
        <v>0.0</v>
      </c>
      <c r="L1017" s="2">
        <v>25238.0</v>
      </c>
      <c r="M1017" s="2">
        <v>0.0</v>
      </c>
      <c r="N1017" s="2">
        <v>25238.0</v>
      </c>
      <c r="O1017" s="2">
        <v>1262.0</v>
      </c>
      <c r="P1017" s="2" t="s">
        <v>1574</v>
      </c>
      <c r="Q1017" s="2" t="s">
        <v>1568</v>
      </c>
      <c r="R1017" s="2" t="s">
        <v>1569</v>
      </c>
      <c r="S1017" s="2" t="s">
        <v>1570</v>
      </c>
      <c r="W1017" s="2" t="s">
        <v>1571</v>
      </c>
    </row>
    <row r="1018">
      <c r="A1018" s="4">
        <v>45543.74097222222</v>
      </c>
      <c r="B1018" s="5">
        <v>2657903.0</v>
      </c>
      <c r="C1018" s="2" t="s">
        <v>1575</v>
      </c>
      <c r="D1018" s="2" t="s">
        <v>1578</v>
      </c>
      <c r="E1018" s="2">
        <v>10051.0</v>
      </c>
      <c r="F1018" s="2" t="s">
        <v>1579</v>
      </c>
      <c r="I1018" s="7">
        <v>1.0</v>
      </c>
      <c r="J1018" s="6">
        <v>25238.0</v>
      </c>
      <c r="K1018" s="2">
        <v>0.0</v>
      </c>
      <c r="L1018" s="2">
        <v>25238.0</v>
      </c>
      <c r="M1018" s="2">
        <v>0.0</v>
      </c>
      <c r="N1018" s="2">
        <v>25238.0</v>
      </c>
      <c r="O1018" s="2">
        <v>1262.0</v>
      </c>
      <c r="P1018" s="2" t="s">
        <v>1574</v>
      </c>
      <c r="Q1018" s="2" t="s">
        <v>1568</v>
      </c>
      <c r="R1018" s="2" t="s">
        <v>1569</v>
      </c>
      <c r="S1018" s="2" t="s">
        <v>1570</v>
      </c>
      <c r="W1018" s="2" t="s">
        <v>1571</v>
      </c>
    </row>
    <row r="1019">
      <c r="A1019" s="4">
        <v>45543.73888888889</v>
      </c>
      <c r="B1019" s="5">
        <v>2657537.0</v>
      </c>
      <c r="C1019" s="2" t="s">
        <v>1575</v>
      </c>
      <c r="D1019" s="2" t="s">
        <v>1578</v>
      </c>
      <c r="E1019" s="2">
        <v>10004.0</v>
      </c>
      <c r="F1019" s="2" t="s">
        <v>1607</v>
      </c>
      <c r="I1019" s="7">
        <v>1.0</v>
      </c>
      <c r="J1019" s="6">
        <v>25238.0</v>
      </c>
      <c r="K1019" s="2">
        <v>0.0</v>
      </c>
      <c r="L1019" s="2">
        <v>25238.0</v>
      </c>
      <c r="M1019" s="2">
        <v>0.0</v>
      </c>
      <c r="N1019" s="2">
        <v>25238.0</v>
      </c>
      <c r="O1019" s="2">
        <v>1262.0</v>
      </c>
      <c r="P1019" s="2" t="s">
        <v>1574</v>
      </c>
      <c r="Q1019" s="2" t="s">
        <v>1568</v>
      </c>
      <c r="R1019" s="2" t="s">
        <v>1569</v>
      </c>
      <c r="S1019" s="2" t="s">
        <v>1570</v>
      </c>
      <c r="W1019" s="2" t="s">
        <v>1571</v>
      </c>
    </row>
    <row r="1020">
      <c r="A1020" s="4">
        <v>45543.731944444444</v>
      </c>
      <c r="B1020" s="5">
        <v>2657172.0</v>
      </c>
      <c r="C1020" s="2" t="s">
        <v>1575</v>
      </c>
      <c r="D1020" s="2" t="s">
        <v>1580</v>
      </c>
      <c r="E1020" s="2">
        <v>10003.0</v>
      </c>
      <c r="F1020" s="2" t="s">
        <v>1603</v>
      </c>
      <c r="I1020" s="7">
        <v>1.0</v>
      </c>
      <c r="J1020" s="6">
        <v>29524.0</v>
      </c>
      <c r="K1020" s="2">
        <v>0.0</v>
      </c>
      <c r="L1020" s="2">
        <v>29524.0</v>
      </c>
      <c r="M1020" s="2">
        <v>0.0</v>
      </c>
      <c r="N1020" s="2">
        <v>29524.0</v>
      </c>
      <c r="O1020" s="2">
        <v>1476.0</v>
      </c>
      <c r="P1020" s="2" t="s">
        <v>1574</v>
      </c>
      <c r="Q1020" s="2" t="s">
        <v>1568</v>
      </c>
      <c r="R1020" s="2" t="s">
        <v>1569</v>
      </c>
      <c r="S1020" s="2" t="s">
        <v>1570</v>
      </c>
      <c r="W1020" s="2" t="s">
        <v>1571</v>
      </c>
    </row>
    <row r="1021">
      <c r="A1021" s="4">
        <v>45543.728472222225</v>
      </c>
      <c r="B1021" s="5">
        <v>2656807.0</v>
      </c>
      <c r="C1021" s="2" t="s">
        <v>1575</v>
      </c>
      <c r="D1021" s="2" t="s">
        <v>1578</v>
      </c>
      <c r="E1021" s="2">
        <v>10051.0</v>
      </c>
      <c r="F1021" s="2" t="s">
        <v>1579</v>
      </c>
      <c r="I1021" s="7">
        <v>1.0</v>
      </c>
      <c r="J1021" s="6">
        <v>25238.0</v>
      </c>
      <c r="K1021" s="2">
        <v>0.0</v>
      </c>
      <c r="L1021" s="2">
        <v>25238.0</v>
      </c>
      <c r="M1021" s="2">
        <v>0.0</v>
      </c>
      <c r="N1021" s="2">
        <v>25238.0</v>
      </c>
      <c r="O1021" s="2">
        <v>1262.0</v>
      </c>
      <c r="P1021" s="2" t="s">
        <v>1574</v>
      </c>
      <c r="Q1021" s="2" t="s">
        <v>1568</v>
      </c>
      <c r="R1021" s="2" t="s">
        <v>1569</v>
      </c>
      <c r="S1021" s="2" t="s">
        <v>1570</v>
      </c>
      <c r="W1021" s="2" t="s">
        <v>1571</v>
      </c>
    </row>
    <row r="1022">
      <c r="A1022" s="4">
        <v>45543.725</v>
      </c>
      <c r="B1022" s="5">
        <v>2656442.0</v>
      </c>
      <c r="C1022" s="2" t="s">
        <v>1575</v>
      </c>
      <c r="D1022" s="2" t="s">
        <v>1572</v>
      </c>
      <c r="E1022" s="2">
        <v>10128.0</v>
      </c>
      <c r="F1022" s="2" t="s">
        <v>1588</v>
      </c>
      <c r="I1022" s="7">
        <v>1.0</v>
      </c>
      <c r="J1022" s="6">
        <v>23333.0</v>
      </c>
      <c r="K1022" s="2">
        <v>0.0</v>
      </c>
      <c r="L1022" s="2">
        <v>23333.0</v>
      </c>
      <c r="M1022" s="2">
        <v>0.0</v>
      </c>
      <c r="N1022" s="2">
        <v>23333.0</v>
      </c>
      <c r="O1022" s="2">
        <v>1167.0</v>
      </c>
      <c r="P1022" s="2" t="s">
        <v>1574</v>
      </c>
      <c r="Q1022" s="2" t="s">
        <v>1568</v>
      </c>
      <c r="R1022" s="2" t="s">
        <v>1569</v>
      </c>
      <c r="S1022" s="2" t="s">
        <v>1570</v>
      </c>
      <c r="W1022" s="2" t="s">
        <v>1571</v>
      </c>
    </row>
    <row r="1023">
      <c r="A1023" s="4">
        <v>45543.725</v>
      </c>
      <c r="B1023" s="5">
        <v>2656442.0</v>
      </c>
      <c r="C1023" s="2" t="s">
        <v>1575</v>
      </c>
      <c r="D1023" s="2" t="s">
        <v>1572</v>
      </c>
      <c r="E1023" s="2">
        <v>10106.0</v>
      </c>
      <c r="F1023" s="2" t="s">
        <v>1598</v>
      </c>
      <c r="I1023" s="7">
        <v>1.0</v>
      </c>
      <c r="J1023" s="6">
        <v>26667.0</v>
      </c>
      <c r="K1023" s="2">
        <v>0.0</v>
      </c>
      <c r="L1023" s="2">
        <v>26667.0</v>
      </c>
      <c r="M1023" s="2">
        <v>0.0</v>
      </c>
      <c r="N1023" s="2">
        <v>26667.0</v>
      </c>
      <c r="O1023" s="2">
        <v>1333.0</v>
      </c>
      <c r="P1023" s="2" t="s">
        <v>1574</v>
      </c>
      <c r="Q1023" s="2" t="s">
        <v>1568</v>
      </c>
      <c r="R1023" s="2" t="s">
        <v>1569</v>
      </c>
      <c r="S1023" s="2" t="s">
        <v>1570</v>
      </c>
      <c r="W1023" s="2" t="s">
        <v>1571</v>
      </c>
    </row>
    <row r="1024">
      <c r="A1024" s="4">
        <v>45543.725</v>
      </c>
      <c r="B1024" s="5">
        <v>2656442.0</v>
      </c>
      <c r="C1024" s="2" t="s">
        <v>1575</v>
      </c>
      <c r="D1024" s="2" t="s">
        <v>1578</v>
      </c>
      <c r="E1024" s="2">
        <v>10014.0</v>
      </c>
      <c r="F1024" s="2" t="s">
        <v>1609</v>
      </c>
      <c r="I1024" s="7">
        <v>1.0</v>
      </c>
      <c r="J1024" s="6">
        <v>25238.0</v>
      </c>
      <c r="K1024" s="2">
        <v>0.0</v>
      </c>
      <c r="L1024" s="2">
        <v>25238.0</v>
      </c>
      <c r="M1024" s="2">
        <v>0.0</v>
      </c>
      <c r="N1024" s="2">
        <v>25238.0</v>
      </c>
      <c r="O1024" s="2">
        <v>1262.0</v>
      </c>
      <c r="P1024" s="2" t="s">
        <v>1574</v>
      </c>
      <c r="Q1024" s="2" t="s">
        <v>1568</v>
      </c>
      <c r="R1024" s="2" t="s">
        <v>1569</v>
      </c>
      <c r="S1024" s="2" t="s">
        <v>1570</v>
      </c>
      <c r="W1024" s="2" t="s">
        <v>1571</v>
      </c>
    </row>
    <row r="1025">
      <c r="A1025" s="4">
        <v>45543.722916666666</v>
      </c>
      <c r="B1025" s="5">
        <v>2656076.0</v>
      </c>
      <c r="C1025" s="2" t="s">
        <v>1575</v>
      </c>
      <c r="D1025" s="2" t="s">
        <v>1565</v>
      </c>
      <c r="E1025" s="2">
        <v>10025.0</v>
      </c>
      <c r="F1025" s="2" t="s">
        <v>1623</v>
      </c>
      <c r="I1025" s="7">
        <v>1.0</v>
      </c>
      <c r="J1025" s="6">
        <v>24762.0</v>
      </c>
      <c r="K1025" s="2">
        <v>0.0</v>
      </c>
      <c r="L1025" s="2">
        <v>24762.0</v>
      </c>
      <c r="M1025" s="2">
        <v>0.0</v>
      </c>
      <c r="N1025" s="2">
        <v>24762.0</v>
      </c>
      <c r="O1025" s="2">
        <v>1238.0</v>
      </c>
      <c r="P1025" s="2" t="s">
        <v>1574</v>
      </c>
      <c r="Q1025" s="2" t="s">
        <v>1568</v>
      </c>
      <c r="R1025" s="2" t="s">
        <v>1569</v>
      </c>
      <c r="S1025" s="2" t="s">
        <v>1570</v>
      </c>
      <c r="W1025" s="2" t="s">
        <v>1571</v>
      </c>
    </row>
    <row r="1026">
      <c r="A1026" s="4">
        <v>45543.72222222222</v>
      </c>
      <c r="B1026" s="5">
        <v>2655711.0</v>
      </c>
      <c r="C1026" s="2" t="s">
        <v>1575</v>
      </c>
      <c r="D1026" s="2" t="s">
        <v>1578</v>
      </c>
      <c r="E1026" s="2">
        <v>10004.0</v>
      </c>
      <c r="F1026" s="2" t="s">
        <v>1607</v>
      </c>
      <c r="I1026" s="7">
        <v>1.0</v>
      </c>
      <c r="J1026" s="6">
        <v>25238.0</v>
      </c>
      <c r="K1026" s="2">
        <v>0.0</v>
      </c>
      <c r="L1026" s="2">
        <v>25238.0</v>
      </c>
      <c r="M1026" s="2">
        <v>0.0</v>
      </c>
      <c r="N1026" s="2">
        <v>25238.0</v>
      </c>
      <c r="O1026" s="2">
        <v>1262.0</v>
      </c>
      <c r="P1026" s="2" t="s">
        <v>1574</v>
      </c>
      <c r="Q1026" s="2" t="s">
        <v>1568</v>
      </c>
      <c r="R1026" s="2" t="s">
        <v>1569</v>
      </c>
      <c r="S1026" s="2" t="s">
        <v>1570</v>
      </c>
      <c r="W1026" s="2" t="s">
        <v>1571</v>
      </c>
    </row>
    <row r="1027">
      <c r="A1027" s="4">
        <v>45543.72222222222</v>
      </c>
      <c r="B1027" s="5">
        <v>2655711.0</v>
      </c>
      <c r="C1027" s="2" t="s">
        <v>1575</v>
      </c>
      <c r="D1027" s="2" t="s">
        <v>1580</v>
      </c>
      <c r="E1027" s="2">
        <v>10003.0</v>
      </c>
      <c r="F1027" s="2" t="s">
        <v>1603</v>
      </c>
      <c r="I1027" s="7">
        <v>1.0</v>
      </c>
      <c r="J1027" s="6">
        <v>29524.0</v>
      </c>
      <c r="K1027" s="2">
        <v>0.0</v>
      </c>
      <c r="L1027" s="2">
        <v>29524.0</v>
      </c>
      <c r="M1027" s="2">
        <v>0.0</v>
      </c>
      <c r="N1027" s="2">
        <v>29524.0</v>
      </c>
      <c r="O1027" s="2">
        <v>1476.0</v>
      </c>
      <c r="P1027" s="2" t="s">
        <v>1574</v>
      </c>
      <c r="Q1027" s="2" t="s">
        <v>1568</v>
      </c>
      <c r="R1027" s="2" t="s">
        <v>1569</v>
      </c>
      <c r="S1027" s="2" t="s">
        <v>1570</v>
      </c>
      <c r="W1027" s="2" t="s">
        <v>1571</v>
      </c>
    </row>
    <row r="1028">
      <c r="A1028" s="4">
        <v>45543.72222222222</v>
      </c>
      <c r="B1028" s="5">
        <v>2655711.0</v>
      </c>
      <c r="C1028" s="2" t="s">
        <v>1575</v>
      </c>
      <c r="D1028" s="2" t="s">
        <v>1572</v>
      </c>
      <c r="E1028" s="2">
        <v>10117.0</v>
      </c>
      <c r="F1028" s="2" t="s">
        <v>1589</v>
      </c>
      <c r="I1028" s="7">
        <v>1.0</v>
      </c>
      <c r="J1028" s="6">
        <v>14286.0</v>
      </c>
      <c r="K1028" s="2">
        <v>0.0</v>
      </c>
      <c r="L1028" s="2">
        <v>14286.0</v>
      </c>
      <c r="M1028" s="2">
        <v>0.0</v>
      </c>
      <c r="N1028" s="2">
        <v>14286.0</v>
      </c>
      <c r="O1028" s="2">
        <v>714.0</v>
      </c>
      <c r="P1028" s="2" t="s">
        <v>1574</v>
      </c>
      <c r="Q1028" s="2" t="s">
        <v>1568</v>
      </c>
      <c r="R1028" s="2" t="s">
        <v>1569</v>
      </c>
      <c r="S1028" s="2" t="s">
        <v>1570</v>
      </c>
      <c r="W1028" s="2" t="s">
        <v>1571</v>
      </c>
    </row>
    <row r="1029">
      <c r="A1029" s="4">
        <v>45543.72222222222</v>
      </c>
      <c r="B1029" s="5">
        <v>2655711.0</v>
      </c>
      <c r="C1029" s="2" t="s">
        <v>1575</v>
      </c>
      <c r="D1029" s="2" t="s">
        <v>1578</v>
      </c>
      <c r="E1029" s="2">
        <v>10051.0</v>
      </c>
      <c r="F1029" s="2" t="s">
        <v>1579</v>
      </c>
      <c r="I1029" s="7">
        <v>1.0</v>
      </c>
      <c r="J1029" s="6">
        <v>25238.0</v>
      </c>
      <c r="K1029" s="2">
        <v>0.0</v>
      </c>
      <c r="L1029" s="2">
        <v>25238.0</v>
      </c>
      <c r="M1029" s="2">
        <v>0.0</v>
      </c>
      <c r="N1029" s="2">
        <v>25238.0</v>
      </c>
      <c r="O1029" s="2">
        <v>1262.0</v>
      </c>
      <c r="P1029" s="2" t="s">
        <v>1574</v>
      </c>
      <c r="Q1029" s="2" t="s">
        <v>1568</v>
      </c>
      <c r="R1029" s="2" t="s">
        <v>1569</v>
      </c>
      <c r="S1029" s="2" t="s">
        <v>1570</v>
      </c>
      <c r="W1029" s="2" t="s">
        <v>1571</v>
      </c>
    </row>
    <row r="1030">
      <c r="A1030" s="4">
        <v>45543.72222222222</v>
      </c>
      <c r="B1030" s="5">
        <v>2655711.0</v>
      </c>
      <c r="C1030" s="2" t="s">
        <v>1575</v>
      </c>
      <c r="D1030" s="2" t="s">
        <v>1572</v>
      </c>
      <c r="E1030" s="2">
        <v>10125.0</v>
      </c>
      <c r="F1030" s="2" t="s">
        <v>1601</v>
      </c>
      <c r="I1030" s="7">
        <v>1.0</v>
      </c>
      <c r="J1030" s="6">
        <v>20476.0</v>
      </c>
      <c r="K1030" s="2">
        <v>0.0</v>
      </c>
      <c r="L1030" s="2">
        <v>20476.0</v>
      </c>
      <c r="M1030" s="2">
        <v>0.0</v>
      </c>
      <c r="N1030" s="2">
        <v>20476.0</v>
      </c>
      <c r="O1030" s="2">
        <v>1024.0</v>
      </c>
      <c r="P1030" s="2" t="s">
        <v>1574</v>
      </c>
      <c r="Q1030" s="2" t="s">
        <v>1568</v>
      </c>
      <c r="R1030" s="2" t="s">
        <v>1569</v>
      </c>
      <c r="S1030" s="2" t="s">
        <v>1570</v>
      </c>
      <c r="W1030" s="2" t="s">
        <v>1571</v>
      </c>
    </row>
    <row r="1031">
      <c r="A1031" s="4">
        <v>45543.72152777778</v>
      </c>
      <c r="B1031" s="5">
        <v>2655346.0</v>
      </c>
      <c r="C1031" s="2" t="s">
        <v>1575</v>
      </c>
      <c r="D1031" s="2" t="s">
        <v>1580</v>
      </c>
      <c r="E1031" s="2">
        <v>10053.0</v>
      </c>
      <c r="F1031" s="2" t="s">
        <v>1612</v>
      </c>
      <c r="I1031" s="7">
        <v>1.0</v>
      </c>
      <c r="J1031" s="6">
        <v>25238.0</v>
      </c>
      <c r="K1031" s="2">
        <v>0.0</v>
      </c>
      <c r="L1031" s="2">
        <v>25238.0</v>
      </c>
      <c r="M1031" s="2">
        <v>0.0</v>
      </c>
      <c r="N1031" s="2">
        <v>25238.0</v>
      </c>
      <c r="O1031" s="2">
        <v>1262.0</v>
      </c>
      <c r="P1031" s="2" t="s">
        <v>1574</v>
      </c>
      <c r="Q1031" s="2" t="s">
        <v>1568</v>
      </c>
      <c r="R1031" s="2" t="s">
        <v>1569</v>
      </c>
      <c r="S1031" s="2" t="s">
        <v>1570</v>
      </c>
      <c r="W1031" s="2" t="s">
        <v>1571</v>
      </c>
    </row>
    <row r="1032">
      <c r="A1032" s="4">
        <v>45543.71666666667</v>
      </c>
      <c r="B1032" s="5">
        <v>2654981.0</v>
      </c>
      <c r="C1032" s="2" t="s">
        <v>1564</v>
      </c>
      <c r="D1032" s="2" t="s">
        <v>1565</v>
      </c>
      <c r="E1032" s="2">
        <v>10000.0</v>
      </c>
      <c r="F1032" s="2" t="s">
        <v>1566</v>
      </c>
      <c r="I1032" s="7">
        <v>-1.0</v>
      </c>
      <c r="J1032" s="6">
        <v>-29524.0</v>
      </c>
      <c r="K1032" s="2">
        <v>0.0</v>
      </c>
      <c r="L1032" s="2">
        <v>-29524.0</v>
      </c>
      <c r="M1032" s="2">
        <v>0.0</v>
      </c>
      <c r="N1032" s="2">
        <v>-29524.0</v>
      </c>
      <c r="O1032" s="2">
        <v>-1476.0</v>
      </c>
      <c r="P1032" s="2" t="s">
        <v>1574</v>
      </c>
      <c r="Q1032" s="2" t="s">
        <v>1568</v>
      </c>
      <c r="R1032" s="2" t="s">
        <v>1569</v>
      </c>
      <c r="S1032" s="2" t="s">
        <v>1570</v>
      </c>
      <c r="W1032" s="2" t="s">
        <v>1571</v>
      </c>
    </row>
    <row r="1033">
      <c r="A1033" s="4">
        <v>45543.71666666667</v>
      </c>
      <c r="B1033" s="5">
        <v>2654981.0</v>
      </c>
      <c r="C1033" s="2" t="s">
        <v>1564</v>
      </c>
      <c r="D1033" s="2" t="s">
        <v>1565</v>
      </c>
      <c r="E1033" s="2">
        <v>10002.0</v>
      </c>
      <c r="F1033" s="2" t="s">
        <v>1576</v>
      </c>
      <c r="I1033" s="7">
        <v>-1.0</v>
      </c>
      <c r="J1033" s="6">
        <v>-18571.0</v>
      </c>
      <c r="K1033" s="2">
        <v>0.0</v>
      </c>
      <c r="L1033" s="2">
        <v>-18571.0</v>
      </c>
      <c r="M1033" s="2">
        <v>0.0</v>
      </c>
      <c r="N1033" s="2">
        <v>-18571.0</v>
      </c>
      <c r="O1033" s="2">
        <v>-929.0</v>
      </c>
      <c r="P1033" s="2" t="s">
        <v>1574</v>
      </c>
      <c r="Q1033" s="2" t="s">
        <v>1568</v>
      </c>
      <c r="R1033" s="2" t="s">
        <v>1569</v>
      </c>
      <c r="S1033" s="2" t="s">
        <v>1570</v>
      </c>
      <c r="W1033" s="2" t="s">
        <v>1571</v>
      </c>
    </row>
    <row r="1034">
      <c r="A1034" s="4">
        <v>45543.71597222222</v>
      </c>
      <c r="B1034" s="5">
        <v>2654615.0</v>
      </c>
      <c r="C1034" s="2" t="s">
        <v>1575</v>
      </c>
      <c r="D1034" s="2" t="s">
        <v>1572</v>
      </c>
      <c r="E1034" s="2">
        <v>10128.0</v>
      </c>
      <c r="F1034" s="2" t="s">
        <v>1588</v>
      </c>
      <c r="I1034" s="7">
        <v>1.0</v>
      </c>
      <c r="J1034" s="6">
        <v>23333.0</v>
      </c>
      <c r="K1034" s="2">
        <v>0.0</v>
      </c>
      <c r="L1034" s="2">
        <v>23333.0</v>
      </c>
      <c r="M1034" s="2">
        <v>0.0</v>
      </c>
      <c r="N1034" s="2">
        <v>23333.0</v>
      </c>
      <c r="O1034" s="2">
        <v>1167.0</v>
      </c>
      <c r="P1034" s="2" t="s">
        <v>1574</v>
      </c>
      <c r="Q1034" s="2" t="s">
        <v>1568</v>
      </c>
      <c r="R1034" s="2" t="s">
        <v>1569</v>
      </c>
      <c r="S1034" s="2" t="s">
        <v>1570</v>
      </c>
      <c r="W1034" s="2" t="s">
        <v>1571</v>
      </c>
    </row>
    <row r="1035">
      <c r="A1035" s="4">
        <v>45543.71597222222</v>
      </c>
      <c r="B1035" s="5">
        <v>2654615.0</v>
      </c>
      <c r="C1035" s="2" t="s">
        <v>1575</v>
      </c>
      <c r="D1035" s="2" t="s">
        <v>1565</v>
      </c>
      <c r="E1035" s="2">
        <v>10033.0</v>
      </c>
      <c r="F1035" s="2" t="s">
        <v>1615</v>
      </c>
      <c r="I1035" s="7">
        <v>1.0</v>
      </c>
      <c r="J1035" s="6">
        <v>21905.0</v>
      </c>
      <c r="K1035" s="2">
        <v>0.0</v>
      </c>
      <c r="L1035" s="2">
        <v>21905.0</v>
      </c>
      <c r="M1035" s="2">
        <v>0.0</v>
      </c>
      <c r="N1035" s="2">
        <v>21905.0</v>
      </c>
      <c r="O1035" s="2">
        <v>1095.0</v>
      </c>
      <c r="P1035" s="2" t="s">
        <v>1574</v>
      </c>
      <c r="Q1035" s="2" t="s">
        <v>1568</v>
      </c>
      <c r="R1035" s="2" t="s">
        <v>1569</v>
      </c>
      <c r="S1035" s="2" t="s">
        <v>1570</v>
      </c>
      <c r="W1035" s="2" t="s">
        <v>1571</v>
      </c>
    </row>
    <row r="1036">
      <c r="A1036" s="4">
        <v>45543.71597222222</v>
      </c>
      <c r="B1036" s="5">
        <v>2654615.0</v>
      </c>
      <c r="C1036" s="2" t="s">
        <v>1575</v>
      </c>
      <c r="D1036" s="2" t="s">
        <v>1578</v>
      </c>
      <c r="E1036" s="2">
        <v>10011.0</v>
      </c>
      <c r="F1036" s="2" t="s">
        <v>1605</v>
      </c>
      <c r="I1036" s="7">
        <v>1.0</v>
      </c>
      <c r="J1036" s="6">
        <v>25238.0</v>
      </c>
      <c r="K1036" s="2">
        <v>0.0</v>
      </c>
      <c r="L1036" s="2">
        <v>25238.0</v>
      </c>
      <c r="M1036" s="2">
        <v>0.0</v>
      </c>
      <c r="N1036" s="2">
        <v>25238.0</v>
      </c>
      <c r="O1036" s="2">
        <v>1262.0</v>
      </c>
      <c r="P1036" s="2" t="s">
        <v>1574</v>
      </c>
      <c r="Q1036" s="2" t="s">
        <v>1568</v>
      </c>
      <c r="R1036" s="2" t="s">
        <v>1569</v>
      </c>
      <c r="S1036" s="2" t="s">
        <v>1570</v>
      </c>
      <c r="W1036" s="2" t="s">
        <v>1571</v>
      </c>
    </row>
    <row r="1037">
      <c r="A1037" s="4">
        <v>45543.71319444444</v>
      </c>
      <c r="B1037" s="5">
        <v>2654250.0</v>
      </c>
      <c r="C1037" s="2" t="s">
        <v>1575</v>
      </c>
      <c r="D1037" s="2" t="s">
        <v>1565</v>
      </c>
      <c r="E1037" s="2">
        <v>10034.0</v>
      </c>
      <c r="F1037" s="2" t="s">
        <v>1616</v>
      </c>
      <c r="I1037" s="7">
        <v>3.0</v>
      </c>
      <c r="J1037" s="6">
        <v>65715.0</v>
      </c>
      <c r="K1037" s="2">
        <v>0.0</v>
      </c>
      <c r="L1037" s="2">
        <v>65715.0</v>
      </c>
      <c r="M1037" s="2">
        <v>0.0</v>
      </c>
      <c r="N1037" s="2">
        <v>65715.0</v>
      </c>
      <c r="O1037" s="2">
        <v>3286.0</v>
      </c>
      <c r="P1037" s="2" t="s">
        <v>1574</v>
      </c>
      <c r="Q1037" s="2" t="s">
        <v>1568</v>
      </c>
      <c r="R1037" s="2" t="s">
        <v>1569</v>
      </c>
      <c r="S1037" s="2" t="s">
        <v>1570</v>
      </c>
      <c r="W1037" s="2" t="s">
        <v>1571</v>
      </c>
    </row>
    <row r="1038">
      <c r="A1038" s="4">
        <v>45543.711805555555</v>
      </c>
      <c r="B1038" s="5">
        <v>2653885.0</v>
      </c>
      <c r="C1038" s="2" t="s">
        <v>1575</v>
      </c>
      <c r="D1038" s="2" t="s">
        <v>1565</v>
      </c>
      <c r="E1038" s="2">
        <v>10000.0</v>
      </c>
      <c r="F1038" s="2" t="s">
        <v>1566</v>
      </c>
      <c r="I1038" s="7">
        <v>1.0</v>
      </c>
      <c r="J1038" s="6">
        <v>29524.0</v>
      </c>
      <c r="K1038" s="2">
        <v>0.0</v>
      </c>
      <c r="L1038" s="2">
        <v>29524.0</v>
      </c>
      <c r="M1038" s="2">
        <v>0.0</v>
      </c>
      <c r="N1038" s="2">
        <v>29524.0</v>
      </c>
      <c r="O1038" s="2">
        <v>1476.0</v>
      </c>
      <c r="P1038" s="2" t="s">
        <v>1574</v>
      </c>
      <c r="Q1038" s="2" t="s">
        <v>1568</v>
      </c>
      <c r="R1038" s="2" t="s">
        <v>1569</v>
      </c>
      <c r="S1038" s="2" t="s">
        <v>1570</v>
      </c>
      <c r="W1038" s="2" t="s">
        <v>1571</v>
      </c>
    </row>
    <row r="1039">
      <c r="A1039" s="4">
        <v>45543.711805555555</v>
      </c>
      <c r="B1039" s="5">
        <v>2653885.0</v>
      </c>
      <c r="C1039" s="2" t="s">
        <v>1575</v>
      </c>
      <c r="D1039" s="2" t="s">
        <v>1565</v>
      </c>
      <c r="E1039" s="2">
        <v>10002.0</v>
      </c>
      <c r="F1039" s="2" t="s">
        <v>1576</v>
      </c>
      <c r="I1039" s="7">
        <v>1.0</v>
      </c>
      <c r="J1039" s="6">
        <v>18571.0</v>
      </c>
      <c r="K1039" s="2">
        <v>0.0</v>
      </c>
      <c r="L1039" s="2">
        <v>18571.0</v>
      </c>
      <c r="M1039" s="2">
        <v>0.0</v>
      </c>
      <c r="N1039" s="2">
        <v>18571.0</v>
      </c>
      <c r="O1039" s="2">
        <v>929.0</v>
      </c>
      <c r="P1039" s="2" t="s">
        <v>1574</v>
      </c>
      <c r="Q1039" s="2" t="s">
        <v>1568</v>
      </c>
      <c r="R1039" s="2" t="s">
        <v>1569</v>
      </c>
      <c r="S1039" s="2" t="s">
        <v>1570</v>
      </c>
      <c r="W1039" s="2" t="s">
        <v>1571</v>
      </c>
    </row>
    <row r="1040">
      <c r="A1040" s="4">
        <v>45543.705555555556</v>
      </c>
      <c r="B1040" s="5">
        <v>2653520.0</v>
      </c>
      <c r="C1040" s="2" t="s">
        <v>1575</v>
      </c>
      <c r="D1040" s="2" t="s">
        <v>1572</v>
      </c>
      <c r="E1040" s="2">
        <v>10126.0</v>
      </c>
      <c r="F1040" s="2" t="s">
        <v>1600</v>
      </c>
      <c r="I1040" s="7">
        <v>1.0</v>
      </c>
      <c r="J1040" s="6">
        <v>23810.0</v>
      </c>
      <c r="K1040" s="2">
        <v>0.0</v>
      </c>
      <c r="L1040" s="2">
        <v>23810.0</v>
      </c>
      <c r="M1040" s="2">
        <v>0.0</v>
      </c>
      <c r="N1040" s="2">
        <v>23810.0</v>
      </c>
      <c r="O1040" s="2">
        <v>1191.0</v>
      </c>
      <c r="P1040" s="2" t="s">
        <v>1574</v>
      </c>
      <c r="Q1040" s="2" t="s">
        <v>1568</v>
      </c>
      <c r="R1040" s="2" t="s">
        <v>1569</v>
      </c>
      <c r="S1040" s="2" t="s">
        <v>1570</v>
      </c>
      <c r="W1040" s="2" t="s">
        <v>1571</v>
      </c>
    </row>
    <row r="1041">
      <c r="A1041" s="4">
        <v>45543.705555555556</v>
      </c>
      <c r="B1041" s="5">
        <v>2653520.0</v>
      </c>
      <c r="C1041" s="2" t="s">
        <v>1575</v>
      </c>
      <c r="D1041" s="2" t="s">
        <v>1578</v>
      </c>
      <c r="E1041" s="2">
        <v>10004.0</v>
      </c>
      <c r="F1041" s="2" t="s">
        <v>1607</v>
      </c>
      <c r="I1041" s="7">
        <v>1.0</v>
      </c>
      <c r="J1041" s="6">
        <v>25238.0</v>
      </c>
      <c r="K1041" s="2">
        <v>0.0</v>
      </c>
      <c r="L1041" s="2">
        <v>25238.0</v>
      </c>
      <c r="M1041" s="2">
        <v>0.0</v>
      </c>
      <c r="N1041" s="2">
        <v>25238.0</v>
      </c>
      <c r="O1041" s="2">
        <v>1261.0</v>
      </c>
      <c r="P1041" s="2" t="s">
        <v>1574</v>
      </c>
      <c r="Q1041" s="2" t="s">
        <v>1568</v>
      </c>
      <c r="R1041" s="2" t="s">
        <v>1569</v>
      </c>
      <c r="S1041" s="2" t="s">
        <v>1570</v>
      </c>
      <c r="W1041" s="2" t="s">
        <v>1571</v>
      </c>
    </row>
    <row r="1042">
      <c r="A1042" s="4">
        <v>45543.68680555555</v>
      </c>
      <c r="B1042" s="5">
        <v>2653154.0</v>
      </c>
      <c r="C1042" s="2" t="s">
        <v>1575</v>
      </c>
      <c r="D1042" s="2" t="s">
        <v>1565</v>
      </c>
      <c r="E1042" s="2">
        <v>10000.0</v>
      </c>
      <c r="F1042" s="2" t="s">
        <v>1566</v>
      </c>
      <c r="I1042" s="7">
        <v>1.0</v>
      </c>
      <c r="J1042" s="6">
        <v>29524.0</v>
      </c>
      <c r="K1042" s="2">
        <v>0.0</v>
      </c>
      <c r="L1042" s="2">
        <v>29524.0</v>
      </c>
      <c r="M1042" s="2">
        <v>0.0</v>
      </c>
      <c r="N1042" s="2">
        <v>29524.0</v>
      </c>
      <c r="O1042" s="2">
        <v>1476.0</v>
      </c>
      <c r="P1042" s="2" t="s">
        <v>1574</v>
      </c>
      <c r="Q1042" s="2" t="s">
        <v>1568</v>
      </c>
      <c r="R1042" s="2" t="s">
        <v>1569</v>
      </c>
      <c r="S1042" s="2" t="s">
        <v>1570</v>
      </c>
      <c r="W1042" s="2" t="s">
        <v>1571</v>
      </c>
    </row>
    <row r="1043">
      <c r="A1043" s="4">
        <v>45543.68680555555</v>
      </c>
      <c r="B1043" s="5">
        <v>2653154.0</v>
      </c>
      <c r="C1043" s="2" t="s">
        <v>1575</v>
      </c>
      <c r="D1043" s="2" t="s">
        <v>1572</v>
      </c>
      <c r="E1043" s="2">
        <v>10128.0</v>
      </c>
      <c r="F1043" s="2" t="s">
        <v>1588</v>
      </c>
      <c r="I1043" s="7">
        <v>1.0</v>
      </c>
      <c r="J1043" s="6">
        <v>23333.0</v>
      </c>
      <c r="K1043" s="2">
        <v>0.0</v>
      </c>
      <c r="L1043" s="2">
        <v>23333.0</v>
      </c>
      <c r="M1043" s="2">
        <v>0.0</v>
      </c>
      <c r="N1043" s="2">
        <v>23333.0</v>
      </c>
      <c r="O1043" s="2">
        <v>1167.0</v>
      </c>
      <c r="P1043" s="2" t="s">
        <v>1574</v>
      </c>
      <c r="Q1043" s="2" t="s">
        <v>1568</v>
      </c>
      <c r="R1043" s="2" t="s">
        <v>1569</v>
      </c>
      <c r="S1043" s="2" t="s">
        <v>1570</v>
      </c>
      <c r="W1043" s="2" t="s">
        <v>1571</v>
      </c>
    </row>
    <row r="1044">
      <c r="A1044" s="4">
        <v>45543.686111111114</v>
      </c>
      <c r="B1044" s="5">
        <v>2652789.0</v>
      </c>
      <c r="C1044" s="2" t="s">
        <v>1575</v>
      </c>
      <c r="D1044" s="2" t="s">
        <v>1572</v>
      </c>
      <c r="E1044" s="2">
        <v>10128.0</v>
      </c>
      <c r="F1044" s="2" t="s">
        <v>1588</v>
      </c>
      <c r="I1044" s="7">
        <v>1.0</v>
      </c>
      <c r="J1044" s="6">
        <v>23333.0</v>
      </c>
      <c r="K1044" s="2">
        <v>0.0</v>
      </c>
      <c r="L1044" s="2">
        <v>23333.0</v>
      </c>
      <c r="M1044" s="2">
        <v>0.0</v>
      </c>
      <c r="N1044" s="2">
        <v>23333.0</v>
      </c>
      <c r="O1044" s="2">
        <v>1167.0</v>
      </c>
      <c r="P1044" s="2" t="s">
        <v>1574</v>
      </c>
      <c r="Q1044" s="2" t="s">
        <v>1568</v>
      </c>
      <c r="R1044" s="2" t="s">
        <v>1569</v>
      </c>
      <c r="S1044" s="2" t="s">
        <v>1570</v>
      </c>
      <c r="W1044" s="2" t="s">
        <v>1571</v>
      </c>
    </row>
    <row r="1045">
      <c r="A1045" s="4">
        <v>45543.686111111114</v>
      </c>
      <c r="B1045" s="5">
        <v>2652789.0</v>
      </c>
      <c r="C1045" s="2" t="s">
        <v>1575</v>
      </c>
      <c r="D1045" s="2" t="s">
        <v>1565</v>
      </c>
      <c r="E1045" s="2">
        <v>10002.0</v>
      </c>
      <c r="F1045" s="2" t="s">
        <v>1576</v>
      </c>
      <c r="I1045" s="7">
        <v>1.0</v>
      </c>
      <c r="J1045" s="6">
        <v>18571.0</v>
      </c>
      <c r="K1045" s="2">
        <v>0.0</v>
      </c>
      <c r="L1045" s="2">
        <v>18571.0</v>
      </c>
      <c r="M1045" s="2">
        <v>0.0</v>
      </c>
      <c r="N1045" s="2">
        <v>18571.0</v>
      </c>
      <c r="O1045" s="2">
        <v>928.0</v>
      </c>
      <c r="P1045" s="2" t="s">
        <v>1574</v>
      </c>
      <c r="Q1045" s="2" t="s">
        <v>1568</v>
      </c>
      <c r="R1045" s="2" t="s">
        <v>1569</v>
      </c>
      <c r="S1045" s="2" t="s">
        <v>1570</v>
      </c>
      <c r="W1045" s="2" t="s">
        <v>1571</v>
      </c>
    </row>
    <row r="1046">
      <c r="A1046" s="4">
        <v>45543.683333333334</v>
      </c>
      <c r="B1046" s="5">
        <v>2652424.0</v>
      </c>
      <c r="C1046" s="2" t="s">
        <v>1575</v>
      </c>
      <c r="D1046" s="2" t="s">
        <v>1572</v>
      </c>
      <c r="E1046" s="2">
        <v>10026.0</v>
      </c>
      <c r="F1046" s="2" t="s">
        <v>1583</v>
      </c>
      <c r="I1046" s="7">
        <v>1.0</v>
      </c>
      <c r="J1046" s="6">
        <v>21905.0</v>
      </c>
      <c r="K1046" s="2">
        <v>0.0</v>
      </c>
      <c r="L1046" s="2">
        <v>21905.0</v>
      </c>
      <c r="M1046" s="2">
        <v>0.0</v>
      </c>
      <c r="N1046" s="2">
        <v>21905.0</v>
      </c>
      <c r="O1046" s="2">
        <v>1095.0</v>
      </c>
      <c r="P1046" s="2" t="s">
        <v>1574</v>
      </c>
      <c r="Q1046" s="2" t="s">
        <v>1568</v>
      </c>
      <c r="R1046" s="2" t="s">
        <v>1569</v>
      </c>
      <c r="S1046" s="2" t="s">
        <v>1570</v>
      </c>
      <c r="W1046" s="2" t="s">
        <v>1571</v>
      </c>
    </row>
    <row r="1047">
      <c r="A1047" s="4">
        <v>45543.683333333334</v>
      </c>
      <c r="B1047" s="5">
        <v>2652424.0</v>
      </c>
      <c r="C1047" s="2" t="s">
        <v>1575</v>
      </c>
      <c r="D1047" s="2" t="s">
        <v>1572</v>
      </c>
      <c r="E1047" s="2">
        <v>10070.0</v>
      </c>
      <c r="F1047" s="2" t="s">
        <v>1593</v>
      </c>
      <c r="I1047" s="7">
        <v>1.0</v>
      </c>
      <c r="J1047" s="6">
        <v>24762.0</v>
      </c>
      <c r="K1047" s="2">
        <v>0.0</v>
      </c>
      <c r="L1047" s="2">
        <v>24762.0</v>
      </c>
      <c r="M1047" s="2">
        <v>0.0</v>
      </c>
      <c r="N1047" s="2">
        <v>24762.0</v>
      </c>
      <c r="O1047" s="2">
        <v>1238.0</v>
      </c>
      <c r="P1047" s="2" t="s">
        <v>1574</v>
      </c>
      <c r="Q1047" s="2" t="s">
        <v>1568</v>
      </c>
      <c r="R1047" s="2" t="s">
        <v>1569</v>
      </c>
      <c r="S1047" s="2" t="s">
        <v>1570</v>
      </c>
      <c r="W1047" s="2" t="s">
        <v>1571</v>
      </c>
    </row>
    <row r="1048">
      <c r="A1048" s="4">
        <v>45543.683333333334</v>
      </c>
      <c r="B1048" s="5">
        <v>2652424.0</v>
      </c>
      <c r="C1048" s="2" t="s">
        <v>1575</v>
      </c>
      <c r="D1048" s="2" t="s">
        <v>1578</v>
      </c>
      <c r="E1048" s="2">
        <v>10004.0</v>
      </c>
      <c r="F1048" s="2" t="s">
        <v>1607</v>
      </c>
      <c r="I1048" s="7">
        <v>1.0</v>
      </c>
      <c r="J1048" s="6">
        <v>25238.0</v>
      </c>
      <c r="K1048" s="2">
        <v>0.0</v>
      </c>
      <c r="L1048" s="2">
        <v>25238.0</v>
      </c>
      <c r="M1048" s="2">
        <v>0.0</v>
      </c>
      <c r="N1048" s="2">
        <v>25238.0</v>
      </c>
      <c r="O1048" s="2">
        <v>1262.0</v>
      </c>
      <c r="P1048" s="2" t="s">
        <v>1574</v>
      </c>
      <c r="Q1048" s="2" t="s">
        <v>1568</v>
      </c>
      <c r="R1048" s="2" t="s">
        <v>1569</v>
      </c>
      <c r="S1048" s="2" t="s">
        <v>1570</v>
      </c>
      <c r="W1048" s="2" t="s">
        <v>1571</v>
      </c>
    </row>
    <row r="1049">
      <c r="A1049" s="4">
        <v>45543.683333333334</v>
      </c>
      <c r="B1049" s="5">
        <v>2652424.0</v>
      </c>
      <c r="C1049" s="2" t="s">
        <v>1575</v>
      </c>
      <c r="D1049" s="2" t="s">
        <v>1578</v>
      </c>
      <c r="E1049" s="2">
        <v>10014.0</v>
      </c>
      <c r="F1049" s="2" t="s">
        <v>1609</v>
      </c>
      <c r="I1049" s="7">
        <v>1.0</v>
      </c>
      <c r="J1049" s="6">
        <v>25238.0</v>
      </c>
      <c r="K1049" s="2">
        <v>0.0</v>
      </c>
      <c r="L1049" s="2">
        <v>25238.0</v>
      </c>
      <c r="M1049" s="2">
        <v>0.0</v>
      </c>
      <c r="N1049" s="2">
        <v>25238.0</v>
      </c>
      <c r="O1049" s="2">
        <v>1262.0</v>
      </c>
      <c r="P1049" s="2" t="s">
        <v>1574</v>
      </c>
      <c r="Q1049" s="2" t="s">
        <v>1568</v>
      </c>
      <c r="R1049" s="2" t="s">
        <v>1569</v>
      </c>
      <c r="S1049" s="2" t="s">
        <v>1570</v>
      </c>
      <c r="W1049" s="2" t="s">
        <v>1571</v>
      </c>
    </row>
    <row r="1050">
      <c r="A1050" s="4">
        <v>45543.683333333334</v>
      </c>
      <c r="B1050" s="5">
        <v>2652424.0</v>
      </c>
      <c r="C1050" s="2" t="s">
        <v>1575</v>
      </c>
      <c r="D1050" s="2" t="s">
        <v>1578</v>
      </c>
      <c r="E1050" s="2">
        <v>10010.0</v>
      </c>
      <c r="F1050" s="2" t="s">
        <v>1606</v>
      </c>
      <c r="I1050" s="7">
        <v>1.0</v>
      </c>
      <c r="J1050" s="6">
        <v>25238.0</v>
      </c>
      <c r="K1050" s="2">
        <v>0.0</v>
      </c>
      <c r="L1050" s="2">
        <v>25238.0</v>
      </c>
      <c r="M1050" s="2">
        <v>0.0</v>
      </c>
      <c r="N1050" s="2">
        <v>25238.0</v>
      </c>
      <c r="O1050" s="2">
        <v>1262.0</v>
      </c>
      <c r="P1050" s="2" t="s">
        <v>1574</v>
      </c>
      <c r="Q1050" s="2" t="s">
        <v>1568</v>
      </c>
      <c r="R1050" s="2" t="s">
        <v>1569</v>
      </c>
      <c r="S1050" s="2" t="s">
        <v>1570</v>
      </c>
      <c r="W1050" s="2" t="s">
        <v>1571</v>
      </c>
    </row>
    <row r="1051">
      <c r="A1051" s="4">
        <v>45543.683333333334</v>
      </c>
      <c r="B1051" s="5">
        <v>2652424.0</v>
      </c>
      <c r="C1051" s="2" t="s">
        <v>1575</v>
      </c>
      <c r="D1051" s="2" t="s">
        <v>1572</v>
      </c>
      <c r="E1051" s="2">
        <v>10106.0</v>
      </c>
      <c r="F1051" s="2" t="s">
        <v>1598</v>
      </c>
      <c r="I1051" s="7">
        <v>1.0</v>
      </c>
      <c r="J1051" s="6">
        <v>26667.0</v>
      </c>
      <c r="K1051" s="2">
        <v>0.0</v>
      </c>
      <c r="L1051" s="2">
        <v>26667.0</v>
      </c>
      <c r="M1051" s="2">
        <v>0.0</v>
      </c>
      <c r="N1051" s="2">
        <v>26667.0</v>
      </c>
      <c r="O1051" s="2">
        <v>1333.0</v>
      </c>
      <c r="P1051" s="2" t="s">
        <v>1574</v>
      </c>
      <c r="Q1051" s="2" t="s">
        <v>1568</v>
      </c>
      <c r="R1051" s="2" t="s">
        <v>1569</v>
      </c>
      <c r="S1051" s="2" t="s">
        <v>1570</v>
      </c>
      <c r="W1051" s="2" t="s">
        <v>1571</v>
      </c>
    </row>
    <row r="1052">
      <c r="A1052" s="4">
        <v>45543.683333333334</v>
      </c>
      <c r="B1052" s="5">
        <v>2652424.0</v>
      </c>
      <c r="C1052" s="2" t="s">
        <v>1575</v>
      </c>
      <c r="D1052" s="2" t="s">
        <v>1572</v>
      </c>
      <c r="E1052" s="2">
        <v>10128.0</v>
      </c>
      <c r="F1052" s="2" t="s">
        <v>1588</v>
      </c>
      <c r="I1052" s="7">
        <v>1.0</v>
      </c>
      <c r="J1052" s="6">
        <v>23333.0</v>
      </c>
      <c r="K1052" s="2">
        <v>0.0</v>
      </c>
      <c r="L1052" s="2">
        <v>23333.0</v>
      </c>
      <c r="M1052" s="2">
        <v>0.0</v>
      </c>
      <c r="N1052" s="2">
        <v>23333.0</v>
      </c>
      <c r="O1052" s="2">
        <v>1167.0</v>
      </c>
      <c r="P1052" s="2" t="s">
        <v>1574</v>
      </c>
      <c r="Q1052" s="2" t="s">
        <v>1568</v>
      </c>
      <c r="R1052" s="2" t="s">
        <v>1569</v>
      </c>
      <c r="S1052" s="2" t="s">
        <v>1570</v>
      </c>
      <c r="W1052" s="2" t="s">
        <v>1571</v>
      </c>
    </row>
    <row r="1053">
      <c r="A1053" s="4">
        <v>45543.683333333334</v>
      </c>
      <c r="B1053" s="5">
        <v>2652424.0</v>
      </c>
      <c r="C1053" s="2" t="s">
        <v>1575</v>
      </c>
      <c r="D1053" s="2" t="s">
        <v>1565</v>
      </c>
      <c r="E1053" s="2">
        <v>10002.0</v>
      </c>
      <c r="F1053" s="2" t="s">
        <v>1576</v>
      </c>
      <c r="I1053" s="7">
        <v>1.0</v>
      </c>
      <c r="J1053" s="6">
        <v>18571.0</v>
      </c>
      <c r="K1053" s="2">
        <v>0.0</v>
      </c>
      <c r="L1053" s="2">
        <v>18571.0</v>
      </c>
      <c r="M1053" s="2">
        <v>0.0</v>
      </c>
      <c r="N1053" s="2">
        <v>18571.0</v>
      </c>
      <c r="O1053" s="2">
        <v>929.0</v>
      </c>
      <c r="P1053" s="2" t="s">
        <v>1574</v>
      </c>
      <c r="Q1053" s="2" t="s">
        <v>1568</v>
      </c>
      <c r="R1053" s="2" t="s">
        <v>1569</v>
      </c>
      <c r="S1053" s="2" t="s">
        <v>1570</v>
      </c>
      <c r="W1053" s="2" t="s">
        <v>1571</v>
      </c>
    </row>
    <row r="1054">
      <c r="A1054" s="4">
        <v>45543.64722222222</v>
      </c>
      <c r="B1054" s="5">
        <v>2652059.0</v>
      </c>
      <c r="C1054" s="2" t="s">
        <v>1575</v>
      </c>
      <c r="D1054" s="2" t="s">
        <v>1572</v>
      </c>
      <c r="E1054" s="2">
        <v>10026.0</v>
      </c>
      <c r="F1054" s="2" t="s">
        <v>1583</v>
      </c>
      <c r="I1054" s="7">
        <v>1.0</v>
      </c>
      <c r="J1054" s="6">
        <v>21905.0</v>
      </c>
      <c r="K1054" s="2">
        <v>0.0</v>
      </c>
      <c r="L1054" s="2">
        <v>21905.0</v>
      </c>
      <c r="M1054" s="2">
        <v>0.0</v>
      </c>
      <c r="N1054" s="2">
        <v>21905.0</v>
      </c>
      <c r="O1054" s="2">
        <v>1095.0</v>
      </c>
      <c r="P1054" s="2" t="s">
        <v>1574</v>
      </c>
      <c r="Q1054" s="2" t="s">
        <v>1568</v>
      </c>
      <c r="R1054" s="2" t="s">
        <v>1569</v>
      </c>
      <c r="S1054" s="2" t="s">
        <v>1570</v>
      </c>
      <c r="W1054" s="2" t="s">
        <v>1571</v>
      </c>
    </row>
    <row r="1055">
      <c r="A1055" s="4">
        <v>45543.64722222222</v>
      </c>
      <c r="B1055" s="5">
        <v>2652059.0</v>
      </c>
      <c r="C1055" s="2" t="s">
        <v>1575</v>
      </c>
      <c r="D1055" s="2" t="s">
        <v>1578</v>
      </c>
      <c r="E1055" s="2">
        <v>10011.0</v>
      </c>
      <c r="F1055" s="2" t="s">
        <v>1605</v>
      </c>
      <c r="I1055" s="7">
        <v>1.0</v>
      </c>
      <c r="J1055" s="6">
        <v>25238.0</v>
      </c>
      <c r="K1055" s="2">
        <v>0.0</v>
      </c>
      <c r="L1055" s="2">
        <v>25238.0</v>
      </c>
      <c r="M1055" s="2">
        <v>0.0</v>
      </c>
      <c r="N1055" s="2">
        <v>25238.0</v>
      </c>
      <c r="O1055" s="2">
        <v>1262.0</v>
      </c>
      <c r="P1055" s="2" t="s">
        <v>1574</v>
      </c>
      <c r="Q1055" s="2" t="s">
        <v>1568</v>
      </c>
      <c r="R1055" s="2" t="s">
        <v>1569</v>
      </c>
      <c r="S1055" s="2" t="s">
        <v>1570</v>
      </c>
      <c r="W1055" s="2" t="s">
        <v>1571</v>
      </c>
    </row>
    <row r="1056">
      <c r="A1056" s="4">
        <v>45543.64722222222</v>
      </c>
      <c r="B1056" s="5">
        <v>2652059.0</v>
      </c>
      <c r="C1056" s="2" t="s">
        <v>1575</v>
      </c>
      <c r="D1056" s="2" t="s">
        <v>1572</v>
      </c>
      <c r="E1056" s="2">
        <v>10070.0</v>
      </c>
      <c r="F1056" s="2" t="s">
        <v>1593</v>
      </c>
      <c r="I1056" s="7">
        <v>1.0</v>
      </c>
      <c r="J1056" s="6">
        <v>24762.0</v>
      </c>
      <c r="K1056" s="2">
        <v>0.0</v>
      </c>
      <c r="L1056" s="2">
        <v>24762.0</v>
      </c>
      <c r="M1056" s="2">
        <v>0.0</v>
      </c>
      <c r="N1056" s="2">
        <v>24762.0</v>
      </c>
      <c r="O1056" s="2">
        <v>1238.0</v>
      </c>
      <c r="P1056" s="2" t="s">
        <v>1574</v>
      </c>
      <c r="Q1056" s="2" t="s">
        <v>1568</v>
      </c>
      <c r="R1056" s="2" t="s">
        <v>1569</v>
      </c>
      <c r="S1056" s="2" t="s">
        <v>1570</v>
      </c>
      <c r="W1056" s="2" t="s">
        <v>1571</v>
      </c>
    </row>
    <row r="1057">
      <c r="A1057" s="4">
        <v>45543.638194444444</v>
      </c>
      <c r="B1057" s="5">
        <v>2651693.0</v>
      </c>
      <c r="C1057" s="2" t="s">
        <v>1575</v>
      </c>
      <c r="D1057" s="2" t="s">
        <v>1565</v>
      </c>
      <c r="E1057" s="2">
        <v>10000.0</v>
      </c>
      <c r="F1057" s="2" t="s">
        <v>1566</v>
      </c>
      <c r="I1057" s="7">
        <v>1.0</v>
      </c>
      <c r="J1057" s="6">
        <v>29524.0</v>
      </c>
      <c r="K1057" s="2">
        <v>0.0</v>
      </c>
      <c r="L1057" s="2">
        <v>29524.0</v>
      </c>
      <c r="M1057" s="2">
        <v>0.0</v>
      </c>
      <c r="N1057" s="2">
        <v>29524.0</v>
      </c>
      <c r="O1057" s="2">
        <v>1476.0</v>
      </c>
      <c r="P1057" s="2" t="s">
        <v>1574</v>
      </c>
      <c r="Q1057" s="2" t="s">
        <v>1568</v>
      </c>
      <c r="R1057" s="2" t="s">
        <v>1569</v>
      </c>
      <c r="S1057" s="2" t="s">
        <v>1570</v>
      </c>
      <c r="W1057" s="2" t="s">
        <v>1571</v>
      </c>
    </row>
    <row r="1058">
      <c r="A1058" s="4">
        <v>45543.638194444444</v>
      </c>
      <c r="B1058" s="5">
        <v>2651693.0</v>
      </c>
      <c r="C1058" s="2" t="s">
        <v>1575</v>
      </c>
      <c r="D1058" s="2" t="s">
        <v>1572</v>
      </c>
      <c r="E1058" s="2">
        <v>10128.0</v>
      </c>
      <c r="F1058" s="2" t="s">
        <v>1588</v>
      </c>
      <c r="I1058" s="7">
        <v>3.0</v>
      </c>
      <c r="J1058" s="6">
        <v>69999.0</v>
      </c>
      <c r="K1058" s="2">
        <v>0.0</v>
      </c>
      <c r="L1058" s="2">
        <v>69999.0</v>
      </c>
      <c r="M1058" s="2">
        <v>0.0</v>
      </c>
      <c r="N1058" s="2">
        <v>69999.0</v>
      </c>
      <c r="O1058" s="2">
        <v>3500.0</v>
      </c>
      <c r="P1058" s="2" t="s">
        <v>1574</v>
      </c>
      <c r="Q1058" s="2" t="s">
        <v>1568</v>
      </c>
      <c r="R1058" s="2" t="s">
        <v>1569</v>
      </c>
      <c r="S1058" s="2" t="s">
        <v>1570</v>
      </c>
      <c r="W1058" s="2" t="s">
        <v>1571</v>
      </c>
    </row>
    <row r="1059">
      <c r="A1059" s="4">
        <v>45543.638194444444</v>
      </c>
      <c r="B1059" s="5">
        <v>2651693.0</v>
      </c>
      <c r="C1059" s="2" t="s">
        <v>1575</v>
      </c>
      <c r="D1059" s="2" t="s">
        <v>1578</v>
      </c>
      <c r="E1059" s="2">
        <v>10010.0</v>
      </c>
      <c r="F1059" s="2" t="s">
        <v>1606</v>
      </c>
      <c r="I1059" s="7">
        <v>1.0</v>
      </c>
      <c r="J1059" s="6">
        <v>25238.0</v>
      </c>
      <c r="K1059" s="2">
        <v>0.0</v>
      </c>
      <c r="L1059" s="2">
        <v>25238.0</v>
      </c>
      <c r="M1059" s="2">
        <v>0.0</v>
      </c>
      <c r="N1059" s="2">
        <v>25238.0</v>
      </c>
      <c r="O1059" s="2">
        <v>1262.0</v>
      </c>
      <c r="P1059" s="2" t="s">
        <v>1574</v>
      </c>
      <c r="Q1059" s="2" t="s">
        <v>1568</v>
      </c>
      <c r="R1059" s="2" t="s">
        <v>1569</v>
      </c>
      <c r="S1059" s="2" t="s">
        <v>1570</v>
      </c>
      <c r="W1059" s="2" t="s">
        <v>1571</v>
      </c>
    </row>
    <row r="1060">
      <c r="A1060" s="4">
        <v>45543.638194444444</v>
      </c>
      <c r="B1060" s="5">
        <v>2651693.0</v>
      </c>
      <c r="C1060" s="2" t="s">
        <v>1575</v>
      </c>
      <c r="D1060" s="2" t="s">
        <v>1578</v>
      </c>
      <c r="E1060" s="2">
        <v>10004.0</v>
      </c>
      <c r="F1060" s="2" t="s">
        <v>1607</v>
      </c>
      <c r="I1060" s="7">
        <v>1.0</v>
      </c>
      <c r="J1060" s="6">
        <v>25238.0</v>
      </c>
      <c r="K1060" s="2">
        <v>0.0</v>
      </c>
      <c r="L1060" s="2">
        <v>25238.0</v>
      </c>
      <c r="M1060" s="2">
        <v>0.0</v>
      </c>
      <c r="N1060" s="2">
        <v>25238.0</v>
      </c>
      <c r="O1060" s="2">
        <v>1262.0</v>
      </c>
      <c r="P1060" s="2" t="s">
        <v>1574</v>
      </c>
      <c r="Q1060" s="2" t="s">
        <v>1568</v>
      </c>
      <c r="R1060" s="2" t="s">
        <v>1569</v>
      </c>
      <c r="S1060" s="2" t="s">
        <v>1570</v>
      </c>
      <c r="W1060" s="2" t="s">
        <v>1571</v>
      </c>
    </row>
    <row r="1061">
      <c r="A1061" s="4">
        <v>45543.59861111111</v>
      </c>
      <c r="B1061" s="5">
        <v>2651328.0</v>
      </c>
      <c r="C1061" s="2" t="s">
        <v>1575</v>
      </c>
      <c r="D1061" s="2" t="s">
        <v>1572</v>
      </c>
      <c r="E1061" s="2">
        <v>10128.0</v>
      </c>
      <c r="F1061" s="2" t="s">
        <v>1588</v>
      </c>
      <c r="I1061" s="7">
        <v>1.0</v>
      </c>
      <c r="J1061" s="6">
        <v>23333.0</v>
      </c>
      <c r="K1061" s="2">
        <v>0.0</v>
      </c>
      <c r="L1061" s="2">
        <v>23333.0</v>
      </c>
      <c r="M1061" s="2">
        <v>0.0</v>
      </c>
      <c r="N1061" s="2">
        <v>23333.0</v>
      </c>
      <c r="O1061" s="2">
        <v>1167.0</v>
      </c>
      <c r="P1061" s="2" t="s">
        <v>1574</v>
      </c>
      <c r="Q1061" s="2" t="s">
        <v>1568</v>
      </c>
      <c r="R1061" s="2" t="s">
        <v>1569</v>
      </c>
      <c r="S1061" s="2" t="s">
        <v>1570</v>
      </c>
      <c r="W1061" s="2" t="s">
        <v>1571</v>
      </c>
    </row>
    <row r="1062">
      <c r="A1062" s="4">
        <v>45543.59861111111</v>
      </c>
      <c r="B1062" s="5">
        <v>2651328.0</v>
      </c>
      <c r="C1062" s="2" t="s">
        <v>1575</v>
      </c>
      <c r="D1062" s="2" t="s">
        <v>1565</v>
      </c>
      <c r="E1062" s="2">
        <v>10002.0</v>
      </c>
      <c r="F1062" s="2" t="s">
        <v>1576</v>
      </c>
      <c r="I1062" s="7">
        <v>1.0</v>
      </c>
      <c r="J1062" s="6">
        <v>18571.0</v>
      </c>
      <c r="K1062" s="2">
        <v>0.0</v>
      </c>
      <c r="L1062" s="2">
        <v>18571.0</v>
      </c>
      <c r="M1062" s="2">
        <v>0.0</v>
      </c>
      <c r="N1062" s="2">
        <v>18571.0</v>
      </c>
      <c r="O1062" s="2">
        <v>928.0</v>
      </c>
      <c r="P1062" s="2" t="s">
        <v>1574</v>
      </c>
      <c r="Q1062" s="2" t="s">
        <v>1568</v>
      </c>
      <c r="R1062" s="2" t="s">
        <v>1569</v>
      </c>
      <c r="S1062" s="2" t="s">
        <v>1570</v>
      </c>
      <c r="W1062" s="2" t="s">
        <v>1571</v>
      </c>
    </row>
    <row r="1063">
      <c r="A1063" s="4">
        <v>45543.59861111111</v>
      </c>
      <c r="B1063" s="5">
        <v>2650963.0</v>
      </c>
      <c r="C1063" s="2" t="s">
        <v>1564</v>
      </c>
      <c r="D1063" s="2" t="s">
        <v>1565</v>
      </c>
      <c r="E1063" s="2">
        <v>10002.0</v>
      </c>
      <c r="F1063" s="2" t="s">
        <v>1576</v>
      </c>
      <c r="I1063" s="7">
        <v>-1.0</v>
      </c>
      <c r="J1063" s="6">
        <v>-18571.0</v>
      </c>
      <c r="K1063" s="2">
        <v>0.0</v>
      </c>
      <c r="L1063" s="2">
        <v>-18571.0</v>
      </c>
      <c r="M1063" s="2">
        <v>0.0</v>
      </c>
      <c r="N1063" s="2">
        <v>-18571.0</v>
      </c>
      <c r="O1063" s="2">
        <v>-929.0</v>
      </c>
      <c r="P1063" s="2" t="s">
        <v>1574</v>
      </c>
      <c r="Q1063" s="2" t="s">
        <v>1568</v>
      </c>
      <c r="R1063" s="2" t="s">
        <v>1569</v>
      </c>
      <c r="S1063" s="2" t="s">
        <v>1570</v>
      </c>
      <c r="W1063" s="2" t="s">
        <v>1571</v>
      </c>
    </row>
    <row r="1064">
      <c r="A1064" s="4">
        <v>45543.59861111111</v>
      </c>
      <c r="B1064" s="5">
        <v>2650963.0</v>
      </c>
      <c r="C1064" s="2" t="s">
        <v>1564</v>
      </c>
      <c r="D1064" s="2" t="s">
        <v>1572</v>
      </c>
      <c r="E1064" s="2">
        <v>10128.0</v>
      </c>
      <c r="F1064" s="2" t="s">
        <v>1588</v>
      </c>
      <c r="I1064" s="7">
        <v>-1.0</v>
      </c>
      <c r="J1064" s="6">
        <v>-23333.0</v>
      </c>
      <c r="K1064" s="2">
        <v>0.0</v>
      </c>
      <c r="L1064" s="2">
        <v>-23333.0</v>
      </c>
      <c r="M1064" s="2">
        <v>0.0</v>
      </c>
      <c r="N1064" s="2">
        <v>-23333.0</v>
      </c>
      <c r="O1064" s="2">
        <v>-1166.0</v>
      </c>
      <c r="P1064" s="2" t="s">
        <v>1574</v>
      </c>
      <c r="Q1064" s="2" t="s">
        <v>1568</v>
      </c>
      <c r="R1064" s="2" t="s">
        <v>1569</v>
      </c>
      <c r="S1064" s="2" t="s">
        <v>1570</v>
      </c>
      <c r="W1064" s="2" t="s">
        <v>1571</v>
      </c>
    </row>
    <row r="1065">
      <c r="A1065" s="4">
        <v>45543.597916666666</v>
      </c>
      <c r="B1065" s="5">
        <v>2650598.0</v>
      </c>
      <c r="C1065" s="2" t="s">
        <v>1575</v>
      </c>
      <c r="D1065" s="2" t="s">
        <v>1565</v>
      </c>
      <c r="E1065" s="2">
        <v>10002.0</v>
      </c>
      <c r="F1065" s="2" t="s">
        <v>1576</v>
      </c>
      <c r="I1065" s="7">
        <v>1.0</v>
      </c>
      <c r="J1065" s="6">
        <v>18571.0</v>
      </c>
      <c r="K1065" s="2">
        <v>0.0</v>
      </c>
      <c r="L1065" s="2">
        <v>18571.0</v>
      </c>
      <c r="M1065" s="2">
        <v>0.0</v>
      </c>
      <c r="N1065" s="2">
        <v>18571.0</v>
      </c>
      <c r="O1065" s="2">
        <v>929.0</v>
      </c>
      <c r="P1065" s="2" t="s">
        <v>1574</v>
      </c>
      <c r="Q1065" s="2" t="s">
        <v>1568</v>
      </c>
      <c r="R1065" s="2" t="s">
        <v>1569</v>
      </c>
      <c r="S1065" s="2" t="s">
        <v>1570</v>
      </c>
      <c r="W1065" s="2" t="s">
        <v>1571</v>
      </c>
    </row>
    <row r="1066">
      <c r="A1066" s="4">
        <v>45543.597916666666</v>
      </c>
      <c r="B1066" s="5">
        <v>2650598.0</v>
      </c>
      <c r="C1066" s="2" t="s">
        <v>1575</v>
      </c>
      <c r="D1066" s="2" t="s">
        <v>1572</v>
      </c>
      <c r="E1066" s="2">
        <v>10128.0</v>
      </c>
      <c r="F1066" s="2" t="s">
        <v>1588</v>
      </c>
      <c r="I1066" s="7">
        <v>1.0</v>
      </c>
      <c r="J1066" s="6">
        <v>23333.0</v>
      </c>
      <c r="K1066" s="2">
        <v>0.0</v>
      </c>
      <c r="L1066" s="2">
        <v>23333.0</v>
      </c>
      <c r="M1066" s="2">
        <v>0.0</v>
      </c>
      <c r="N1066" s="2">
        <v>23333.0</v>
      </c>
      <c r="O1066" s="2">
        <v>1166.0</v>
      </c>
      <c r="P1066" s="2" t="s">
        <v>1574</v>
      </c>
      <c r="Q1066" s="2" t="s">
        <v>1568</v>
      </c>
      <c r="R1066" s="2" t="s">
        <v>1569</v>
      </c>
      <c r="S1066" s="2" t="s">
        <v>1570</v>
      </c>
      <c r="W1066" s="2" t="s">
        <v>1571</v>
      </c>
    </row>
    <row r="1067">
      <c r="A1067" s="4">
        <v>45543.584027777775</v>
      </c>
      <c r="B1067" s="5">
        <v>2650232.0</v>
      </c>
      <c r="C1067" s="2" t="s">
        <v>1575</v>
      </c>
      <c r="D1067" s="2" t="s">
        <v>1580</v>
      </c>
      <c r="E1067" s="2">
        <v>10003.0</v>
      </c>
      <c r="F1067" s="2" t="s">
        <v>1603</v>
      </c>
      <c r="I1067" s="7">
        <v>1.0</v>
      </c>
      <c r="J1067" s="6">
        <v>29524.0</v>
      </c>
      <c r="K1067" s="2">
        <v>0.0</v>
      </c>
      <c r="L1067" s="2">
        <v>29524.0</v>
      </c>
      <c r="M1067" s="2">
        <v>0.0</v>
      </c>
      <c r="N1067" s="2">
        <v>29524.0</v>
      </c>
      <c r="O1067" s="2">
        <v>1476.0</v>
      </c>
      <c r="P1067" s="2" t="s">
        <v>1574</v>
      </c>
      <c r="Q1067" s="2" t="s">
        <v>1568</v>
      </c>
      <c r="R1067" s="2" t="s">
        <v>1569</v>
      </c>
      <c r="S1067" s="2" t="s">
        <v>1570</v>
      </c>
      <c r="W1067" s="2" t="s">
        <v>1571</v>
      </c>
    </row>
    <row r="1068">
      <c r="A1068" s="4">
        <v>45543.584027777775</v>
      </c>
      <c r="B1068" s="5">
        <v>2650232.0</v>
      </c>
      <c r="C1068" s="2" t="s">
        <v>1575</v>
      </c>
      <c r="D1068" s="2" t="s">
        <v>1572</v>
      </c>
      <c r="E1068" s="2">
        <v>10107.0</v>
      </c>
      <c r="F1068" s="2" t="s">
        <v>1584</v>
      </c>
      <c r="I1068" s="7">
        <v>1.0</v>
      </c>
      <c r="J1068" s="6">
        <v>26667.0</v>
      </c>
      <c r="K1068" s="2">
        <v>0.0</v>
      </c>
      <c r="L1068" s="2">
        <v>26667.0</v>
      </c>
      <c r="M1068" s="2">
        <v>0.0</v>
      </c>
      <c r="N1068" s="2">
        <v>26667.0</v>
      </c>
      <c r="O1068" s="2">
        <v>1334.0</v>
      </c>
      <c r="P1068" s="2" t="s">
        <v>1574</v>
      </c>
      <c r="Q1068" s="2" t="s">
        <v>1568</v>
      </c>
      <c r="R1068" s="2" t="s">
        <v>1569</v>
      </c>
      <c r="S1068" s="2" t="s">
        <v>1570</v>
      </c>
      <c r="W1068" s="2" t="s">
        <v>1571</v>
      </c>
    </row>
    <row r="1069">
      <c r="A1069" s="4">
        <v>45543.584027777775</v>
      </c>
      <c r="B1069" s="5">
        <v>2650232.0</v>
      </c>
      <c r="C1069" s="2" t="s">
        <v>1575</v>
      </c>
      <c r="D1069" s="2" t="s">
        <v>1565</v>
      </c>
      <c r="E1069" s="2">
        <v>10005.0</v>
      </c>
      <c r="F1069" s="2" t="s">
        <v>1595</v>
      </c>
      <c r="I1069" s="7">
        <v>1.0</v>
      </c>
      <c r="J1069" s="6">
        <v>19524.0</v>
      </c>
      <c r="K1069" s="2">
        <v>0.0</v>
      </c>
      <c r="L1069" s="2">
        <v>19524.0</v>
      </c>
      <c r="M1069" s="2">
        <v>0.0</v>
      </c>
      <c r="N1069" s="2">
        <v>19524.0</v>
      </c>
      <c r="O1069" s="2">
        <v>976.0</v>
      </c>
      <c r="P1069" s="2" t="s">
        <v>1574</v>
      </c>
      <c r="Q1069" s="2" t="s">
        <v>1568</v>
      </c>
      <c r="R1069" s="2" t="s">
        <v>1569</v>
      </c>
      <c r="S1069" s="2" t="s">
        <v>1570</v>
      </c>
      <c r="W1069" s="2" t="s">
        <v>1571</v>
      </c>
    </row>
    <row r="1070">
      <c r="A1070" s="4">
        <v>45543.584027777775</v>
      </c>
      <c r="B1070" s="5">
        <v>2650232.0</v>
      </c>
      <c r="C1070" s="2" t="s">
        <v>1575</v>
      </c>
      <c r="D1070" s="2" t="s">
        <v>1572</v>
      </c>
      <c r="E1070" s="2">
        <v>10106.0</v>
      </c>
      <c r="F1070" s="2" t="s">
        <v>1598</v>
      </c>
      <c r="I1070" s="7">
        <v>1.0</v>
      </c>
      <c r="J1070" s="6">
        <v>26667.0</v>
      </c>
      <c r="K1070" s="2">
        <v>0.0</v>
      </c>
      <c r="L1070" s="2">
        <v>26667.0</v>
      </c>
      <c r="M1070" s="2">
        <v>0.0</v>
      </c>
      <c r="N1070" s="2">
        <v>26667.0</v>
      </c>
      <c r="O1070" s="2">
        <v>1333.0</v>
      </c>
      <c r="P1070" s="2" t="s">
        <v>1574</v>
      </c>
      <c r="Q1070" s="2" t="s">
        <v>1568</v>
      </c>
      <c r="R1070" s="2" t="s">
        <v>1569</v>
      </c>
      <c r="S1070" s="2" t="s">
        <v>1570</v>
      </c>
      <c r="W1070" s="2" t="s">
        <v>1571</v>
      </c>
    </row>
    <row r="1071">
      <c r="A1071" s="4">
        <v>45543.57916666667</v>
      </c>
      <c r="B1071" s="5">
        <v>2649867.0</v>
      </c>
      <c r="C1071" s="2" t="s">
        <v>1575</v>
      </c>
      <c r="D1071" s="2" t="s">
        <v>1572</v>
      </c>
      <c r="E1071" s="2">
        <v>10128.0</v>
      </c>
      <c r="F1071" s="2" t="s">
        <v>1588</v>
      </c>
      <c r="I1071" s="7">
        <v>1.0</v>
      </c>
      <c r="J1071" s="6">
        <v>23333.0</v>
      </c>
      <c r="K1071" s="2">
        <v>0.0</v>
      </c>
      <c r="L1071" s="2">
        <v>23333.0</v>
      </c>
      <c r="M1071" s="2">
        <v>0.0</v>
      </c>
      <c r="N1071" s="2">
        <v>23333.0</v>
      </c>
      <c r="O1071" s="2">
        <v>1167.0</v>
      </c>
      <c r="P1071" s="2" t="s">
        <v>1574</v>
      </c>
      <c r="Q1071" s="2" t="s">
        <v>1568</v>
      </c>
      <c r="R1071" s="2" t="s">
        <v>1569</v>
      </c>
      <c r="S1071" s="2" t="s">
        <v>1570</v>
      </c>
      <c r="W1071" s="2" t="s">
        <v>1571</v>
      </c>
    </row>
    <row r="1072">
      <c r="A1072" s="4">
        <v>45543.57916666667</v>
      </c>
      <c r="B1072" s="5">
        <v>2649867.0</v>
      </c>
      <c r="C1072" s="2" t="s">
        <v>1575</v>
      </c>
      <c r="D1072" s="2" t="s">
        <v>1565</v>
      </c>
      <c r="E1072" s="2">
        <v>10007.0</v>
      </c>
      <c r="F1072" s="2" t="s">
        <v>1596</v>
      </c>
      <c r="I1072" s="7">
        <v>1.0</v>
      </c>
      <c r="J1072" s="6">
        <v>33810.0</v>
      </c>
      <c r="K1072" s="2">
        <v>0.0</v>
      </c>
      <c r="L1072" s="2">
        <v>33810.0</v>
      </c>
      <c r="M1072" s="2">
        <v>0.0</v>
      </c>
      <c r="N1072" s="2">
        <v>33810.0</v>
      </c>
      <c r="O1072" s="2">
        <v>1690.0</v>
      </c>
      <c r="P1072" s="2" t="s">
        <v>1574</v>
      </c>
      <c r="Q1072" s="2" t="s">
        <v>1568</v>
      </c>
      <c r="R1072" s="2" t="s">
        <v>1569</v>
      </c>
      <c r="S1072" s="2" t="s">
        <v>1570</v>
      </c>
      <c r="W1072" s="2" t="s">
        <v>1571</v>
      </c>
    </row>
    <row r="1073">
      <c r="A1073" s="4">
        <v>45543.56875</v>
      </c>
      <c r="B1073" s="5">
        <v>2649502.0</v>
      </c>
      <c r="C1073" s="2" t="s">
        <v>1575</v>
      </c>
      <c r="D1073" s="2" t="s">
        <v>1572</v>
      </c>
      <c r="E1073" s="2">
        <v>10107.0</v>
      </c>
      <c r="F1073" s="2" t="s">
        <v>1584</v>
      </c>
      <c r="I1073" s="7">
        <v>1.0</v>
      </c>
      <c r="J1073" s="6">
        <v>26667.0</v>
      </c>
      <c r="K1073" s="2">
        <v>0.0</v>
      </c>
      <c r="L1073" s="2">
        <v>26667.0</v>
      </c>
      <c r="M1073" s="2">
        <v>0.0</v>
      </c>
      <c r="N1073" s="2">
        <v>26667.0</v>
      </c>
      <c r="O1073" s="2">
        <v>1333.0</v>
      </c>
      <c r="P1073" s="2" t="s">
        <v>1574</v>
      </c>
      <c r="Q1073" s="2" t="s">
        <v>1568</v>
      </c>
      <c r="R1073" s="2" t="s">
        <v>1569</v>
      </c>
      <c r="S1073" s="2" t="s">
        <v>1570</v>
      </c>
      <c r="W1073" s="2" t="s">
        <v>1571</v>
      </c>
    </row>
    <row r="1074">
      <c r="A1074" s="4">
        <v>45543.563888888886</v>
      </c>
      <c r="B1074" s="5">
        <v>2649137.0</v>
      </c>
      <c r="C1074" s="2" t="s">
        <v>1575</v>
      </c>
      <c r="D1074" s="2" t="s">
        <v>1572</v>
      </c>
      <c r="E1074" s="2">
        <v>10119.0</v>
      </c>
      <c r="F1074" s="2" t="s">
        <v>1582</v>
      </c>
      <c r="I1074" s="7">
        <v>2.0</v>
      </c>
      <c r="J1074" s="6">
        <v>14286.0</v>
      </c>
      <c r="K1074" s="2">
        <v>0.0</v>
      </c>
      <c r="L1074" s="2">
        <v>14286.0</v>
      </c>
      <c r="M1074" s="2">
        <v>0.0</v>
      </c>
      <c r="N1074" s="2">
        <v>14286.0</v>
      </c>
      <c r="O1074" s="2">
        <v>714.0</v>
      </c>
      <c r="P1074" s="2" t="s">
        <v>1574</v>
      </c>
      <c r="Q1074" s="2" t="s">
        <v>1568</v>
      </c>
      <c r="R1074" s="2" t="s">
        <v>1569</v>
      </c>
      <c r="S1074" s="2" t="s">
        <v>1570</v>
      </c>
      <c r="W1074" s="2" t="s">
        <v>1571</v>
      </c>
    </row>
    <row r="1075">
      <c r="A1075" s="4">
        <v>45543.563888888886</v>
      </c>
      <c r="B1075" s="5">
        <v>2649137.0</v>
      </c>
      <c r="C1075" s="2" t="s">
        <v>1575</v>
      </c>
      <c r="D1075" s="2" t="s">
        <v>1572</v>
      </c>
      <c r="E1075" s="2">
        <v>10117.0</v>
      </c>
      <c r="F1075" s="2" t="s">
        <v>1589</v>
      </c>
      <c r="I1075" s="7">
        <v>1.0</v>
      </c>
      <c r="J1075" s="6">
        <v>14286.0</v>
      </c>
      <c r="K1075" s="2">
        <v>0.0</v>
      </c>
      <c r="L1075" s="2">
        <v>14286.0</v>
      </c>
      <c r="M1075" s="2">
        <v>0.0</v>
      </c>
      <c r="N1075" s="2">
        <v>14286.0</v>
      </c>
      <c r="O1075" s="2">
        <v>715.0</v>
      </c>
      <c r="P1075" s="2" t="s">
        <v>1574</v>
      </c>
      <c r="Q1075" s="2" t="s">
        <v>1568</v>
      </c>
      <c r="R1075" s="2" t="s">
        <v>1569</v>
      </c>
      <c r="S1075" s="2" t="s">
        <v>1570</v>
      </c>
      <c r="W1075" s="2" t="s">
        <v>1571</v>
      </c>
    </row>
    <row r="1076">
      <c r="A1076" s="4">
        <v>45543.563888888886</v>
      </c>
      <c r="B1076" s="5">
        <v>2649137.0</v>
      </c>
      <c r="C1076" s="2" t="s">
        <v>1575</v>
      </c>
      <c r="D1076" s="2" t="s">
        <v>1572</v>
      </c>
      <c r="E1076" s="2">
        <v>10112.0</v>
      </c>
      <c r="F1076" s="2" t="s">
        <v>1573</v>
      </c>
      <c r="I1076" s="7">
        <v>1.0</v>
      </c>
      <c r="J1076" s="6">
        <v>6667.0</v>
      </c>
      <c r="K1076" s="2">
        <v>0.0</v>
      </c>
      <c r="L1076" s="2">
        <v>6667.0</v>
      </c>
      <c r="M1076" s="2">
        <v>0.0</v>
      </c>
      <c r="N1076" s="2">
        <v>6667.0</v>
      </c>
      <c r="O1076" s="2">
        <v>333.0</v>
      </c>
      <c r="P1076" s="2" t="s">
        <v>1574</v>
      </c>
      <c r="Q1076" s="2" t="s">
        <v>1568</v>
      </c>
      <c r="R1076" s="2" t="s">
        <v>1569</v>
      </c>
      <c r="S1076" s="2" t="s">
        <v>1570</v>
      </c>
      <c r="W1076" s="2" t="s">
        <v>1571</v>
      </c>
    </row>
    <row r="1077">
      <c r="A1077" s="4">
        <v>45543.555555555555</v>
      </c>
      <c r="B1077" s="5">
        <v>2648771.0</v>
      </c>
      <c r="C1077" s="2" t="s">
        <v>1575</v>
      </c>
      <c r="D1077" s="2" t="s">
        <v>1565</v>
      </c>
      <c r="E1077" s="2">
        <v>10007.0</v>
      </c>
      <c r="F1077" s="2" t="s">
        <v>1596</v>
      </c>
      <c r="I1077" s="7">
        <v>1.0</v>
      </c>
      <c r="J1077" s="6">
        <v>33810.0</v>
      </c>
      <c r="K1077" s="2">
        <v>0.0</v>
      </c>
      <c r="L1077" s="2">
        <v>33810.0</v>
      </c>
      <c r="M1077" s="2">
        <v>0.0</v>
      </c>
      <c r="N1077" s="2">
        <v>33810.0</v>
      </c>
      <c r="O1077" s="2">
        <v>1691.0</v>
      </c>
      <c r="P1077" s="2" t="s">
        <v>1574</v>
      </c>
      <c r="Q1077" s="2" t="s">
        <v>1568</v>
      </c>
      <c r="R1077" s="2" t="s">
        <v>1569</v>
      </c>
      <c r="S1077" s="2" t="s">
        <v>1570</v>
      </c>
      <c r="W1077" s="2" t="s">
        <v>1571</v>
      </c>
    </row>
    <row r="1078">
      <c r="A1078" s="4">
        <v>45543.555555555555</v>
      </c>
      <c r="B1078" s="5">
        <v>2648771.0</v>
      </c>
      <c r="C1078" s="2" t="s">
        <v>1575</v>
      </c>
      <c r="D1078" s="2" t="s">
        <v>1565</v>
      </c>
      <c r="E1078" s="2">
        <v>10055.0</v>
      </c>
      <c r="F1078" s="2" t="s">
        <v>1597</v>
      </c>
      <c r="I1078" s="7">
        <v>1.0</v>
      </c>
      <c r="J1078" s="6">
        <v>34762.0</v>
      </c>
      <c r="K1078" s="2">
        <v>0.0</v>
      </c>
      <c r="L1078" s="2">
        <v>34762.0</v>
      </c>
      <c r="M1078" s="2">
        <v>0.0</v>
      </c>
      <c r="N1078" s="2">
        <v>34762.0</v>
      </c>
      <c r="O1078" s="2">
        <v>1738.0</v>
      </c>
      <c r="P1078" s="2" t="s">
        <v>1574</v>
      </c>
      <c r="Q1078" s="2" t="s">
        <v>1568</v>
      </c>
      <c r="R1078" s="2" t="s">
        <v>1569</v>
      </c>
      <c r="S1078" s="2" t="s">
        <v>1570</v>
      </c>
      <c r="W1078" s="2" t="s">
        <v>1571</v>
      </c>
    </row>
    <row r="1079">
      <c r="A1079" s="4">
        <v>45543.555555555555</v>
      </c>
      <c r="B1079" s="5">
        <v>2648771.0</v>
      </c>
      <c r="C1079" s="2" t="s">
        <v>1575</v>
      </c>
      <c r="D1079" s="2" t="s">
        <v>1565</v>
      </c>
      <c r="E1079" s="2">
        <v>10005.0</v>
      </c>
      <c r="F1079" s="2" t="s">
        <v>1595</v>
      </c>
      <c r="I1079" s="7">
        <v>1.0</v>
      </c>
      <c r="J1079" s="6">
        <v>19524.0</v>
      </c>
      <c r="K1079" s="2">
        <v>0.0</v>
      </c>
      <c r="L1079" s="2">
        <v>19524.0</v>
      </c>
      <c r="M1079" s="2">
        <v>0.0</v>
      </c>
      <c r="N1079" s="2">
        <v>19524.0</v>
      </c>
      <c r="O1079" s="2">
        <v>976.0</v>
      </c>
      <c r="P1079" s="2" t="s">
        <v>1574</v>
      </c>
      <c r="Q1079" s="2" t="s">
        <v>1568</v>
      </c>
      <c r="R1079" s="2" t="s">
        <v>1569</v>
      </c>
      <c r="S1079" s="2" t="s">
        <v>1570</v>
      </c>
      <c r="W1079" s="2" t="s">
        <v>1571</v>
      </c>
    </row>
    <row r="1080">
      <c r="A1080" s="4">
        <v>45543.55416666667</v>
      </c>
      <c r="B1080" s="5">
        <v>2648406.0</v>
      </c>
      <c r="C1080" s="2" t="s">
        <v>1575</v>
      </c>
      <c r="D1080" s="2" t="s">
        <v>1565</v>
      </c>
      <c r="E1080" s="2">
        <v>10055.0</v>
      </c>
      <c r="F1080" s="2" t="s">
        <v>1597</v>
      </c>
      <c r="I1080" s="7">
        <v>1.0</v>
      </c>
      <c r="J1080" s="6">
        <v>34762.0</v>
      </c>
      <c r="K1080" s="2">
        <v>0.0</v>
      </c>
      <c r="L1080" s="2">
        <v>34762.0</v>
      </c>
      <c r="M1080" s="2">
        <v>0.0</v>
      </c>
      <c r="N1080" s="2">
        <v>34762.0</v>
      </c>
      <c r="O1080" s="2">
        <v>1738.0</v>
      </c>
      <c r="P1080" s="2" t="s">
        <v>1574</v>
      </c>
      <c r="Q1080" s="2" t="s">
        <v>1568</v>
      </c>
      <c r="R1080" s="2" t="s">
        <v>1569</v>
      </c>
      <c r="S1080" s="2" t="s">
        <v>1570</v>
      </c>
      <c r="W1080" s="2" t="s">
        <v>1571</v>
      </c>
    </row>
    <row r="1081">
      <c r="A1081" s="4">
        <v>45543.55416666667</v>
      </c>
      <c r="B1081" s="5">
        <v>2648406.0</v>
      </c>
      <c r="C1081" s="2" t="s">
        <v>1575</v>
      </c>
      <c r="D1081" s="2" t="s">
        <v>1565</v>
      </c>
      <c r="E1081" s="2">
        <v>10007.0</v>
      </c>
      <c r="F1081" s="2" t="s">
        <v>1596</v>
      </c>
      <c r="I1081" s="7">
        <v>1.0</v>
      </c>
      <c r="J1081" s="6">
        <v>33810.0</v>
      </c>
      <c r="K1081" s="2">
        <v>0.0</v>
      </c>
      <c r="L1081" s="2">
        <v>33810.0</v>
      </c>
      <c r="M1081" s="2">
        <v>0.0</v>
      </c>
      <c r="N1081" s="2">
        <v>33810.0</v>
      </c>
      <c r="O1081" s="2">
        <v>1691.0</v>
      </c>
      <c r="P1081" s="2" t="s">
        <v>1574</v>
      </c>
      <c r="Q1081" s="2" t="s">
        <v>1568</v>
      </c>
      <c r="R1081" s="2" t="s">
        <v>1569</v>
      </c>
      <c r="S1081" s="2" t="s">
        <v>1570</v>
      </c>
      <c r="W1081" s="2" t="s">
        <v>1571</v>
      </c>
    </row>
    <row r="1082">
      <c r="A1082" s="4">
        <v>45543.55416666667</v>
      </c>
      <c r="B1082" s="5">
        <v>2648406.0</v>
      </c>
      <c r="C1082" s="2" t="s">
        <v>1575</v>
      </c>
      <c r="D1082" s="2" t="s">
        <v>1565</v>
      </c>
      <c r="E1082" s="2">
        <v>10000.0</v>
      </c>
      <c r="F1082" s="2" t="s">
        <v>1566</v>
      </c>
      <c r="I1082" s="7">
        <v>1.0</v>
      </c>
      <c r="J1082" s="6">
        <v>29524.0</v>
      </c>
      <c r="K1082" s="2">
        <v>0.0</v>
      </c>
      <c r="L1082" s="2">
        <v>29524.0</v>
      </c>
      <c r="M1082" s="2">
        <v>0.0</v>
      </c>
      <c r="N1082" s="2">
        <v>29524.0</v>
      </c>
      <c r="O1082" s="2">
        <v>1476.0</v>
      </c>
      <c r="P1082" s="2" t="s">
        <v>1574</v>
      </c>
      <c r="Q1082" s="2" t="s">
        <v>1568</v>
      </c>
      <c r="R1082" s="2" t="s">
        <v>1569</v>
      </c>
      <c r="S1082" s="2" t="s">
        <v>1570</v>
      </c>
      <c r="W1082" s="2" t="s">
        <v>1571</v>
      </c>
    </row>
    <row r="1083">
      <c r="A1083" s="4">
        <v>45543.55416666667</v>
      </c>
      <c r="B1083" s="5">
        <v>2648406.0</v>
      </c>
      <c r="C1083" s="2" t="s">
        <v>1575</v>
      </c>
      <c r="D1083" s="2" t="s">
        <v>1565</v>
      </c>
      <c r="E1083" s="2">
        <v>10055.0</v>
      </c>
      <c r="F1083" s="2" t="s">
        <v>1597</v>
      </c>
      <c r="I1083" s="7">
        <v>1.0</v>
      </c>
      <c r="J1083" s="6">
        <v>34762.0</v>
      </c>
      <c r="K1083" s="2">
        <v>0.0</v>
      </c>
      <c r="L1083" s="2">
        <v>34762.0</v>
      </c>
      <c r="M1083" s="2">
        <v>0.0</v>
      </c>
      <c r="N1083" s="2">
        <v>34762.0</v>
      </c>
      <c r="O1083" s="2">
        <v>1738.0</v>
      </c>
      <c r="P1083" s="2" t="s">
        <v>1574</v>
      </c>
      <c r="Q1083" s="2" t="s">
        <v>1568</v>
      </c>
      <c r="R1083" s="2" t="s">
        <v>1569</v>
      </c>
      <c r="S1083" s="2" t="s">
        <v>1570</v>
      </c>
      <c r="W1083" s="2" t="s">
        <v>1571</v>
      </c>
    </row>
    <row r="1084">
      <c r="A1084" s="4">
        <v>45543.51666666667</v>
      </c>
      <c r="B1084" s="5">
        <v>2648041.0</v>
      </c>
      <c r="C1084" s="2" t="s">
        <v>1575</v>
      </c>
      <c r="D1084" s="2" t="s">
        <v>1565</v>
      </c>
      <c r="E1084" s="2">
        <v>10055.0</v>
      </c>
      <c r="F1084" s="2" t="s">
        <v>1597</v>
      </c>
      <c r="I1084" s="7">
        <v>1.0</v>
      </c>
      <c r="J1084" s="6">
        <v>34762.0</v>
      </c>
      <c r="K1084" s="2">
        <v>0.0</v>
      </c>
      <c r="L1084" s="2">
        <v>34762.0</v>
      </c>
      <c r="M1084" s="2">
        <v>0.0</v>
      </c>
      <c r="N1084" s="2">
        <v>34762.0</v>
      </c>
      <c r="O1084" s="2">
        <v>1738.0</v>
      </c>
      <c r="P1084" s="2" t="s">
        <v>1574</v>
      </c>
      <c r="Q1084" s="2" t="s">
        <v>1568</v>
      </c>
      <c r="R1084" s="2" t="s">
        <v>1569</v>
      </c>
      <c r="S1084" s="2" t="s">
        <v>1570</v>
      </c>
      <c r="W1084" s="2" t="s">
        <v>1571</v>
      </c>
    </row>
    <row r="1085">
      <c r="A1085" s="4">
        <v>45543.51458333333</v>
      </c>
      <c r="B1085" s="5">
        <v>2647676.0</v>
      </c>
      <c r="C1085" s="2" t="s">
        <v>1575</v>
      </c>
      <c r="D1085" s="2" t="s">
        <v>1580</v>
      </c>
      <c r="E1085" s="2">
        <v>10003.0</v>
      </c>
      <c r="F1085" s="2" t="s">
        <v>1603</v>
      </c>
      <c r="I1085" s="7">
        <v>1.0</v>
      </c>
      <c r="J1085" s="6">
        <v>29524.0</v>
      </c>
      <c r="K1085" s="2">
        <v>0.0</v>
      </c>
      <c r="L1085" s="2">
        <v>29524.0</v>
      </c>
      <c r="M1085" s="2">
        <v>0.0</v>
      </c>
      <c r="N1085" s="2">
        <v>29524.0</v>
      </c>
      <c r="O1085" s="2">
        <v>1476.0</v>
      </c>
      <c r="P1085" s="2" t="s">
        <v>1574</v>
      </c>
      <c r="Q1085" s="2" t="s">
        <v>1568</v>
      </c>
      <c r="R1085" s="2" t="s">
        <v>1569</v>
      </c>
      <c r="S1085" s="2" t="s">
        <v>1570</v>
      </c>
      <c r="W1085" s="2" t="s">
        <v>1571</v>
      </c>
    </row>
    <row r="1086">
      <c r="A1086" s="4">
        <v>45543.51458333333</v>
      </c>
      <c r="B1086" s="5">
        <v>2647676.0</v>
      </c>
      <c r="C1086" s="2" t="s">
        <v>1575</v>
      </c>
      <c r="D1086" s="2" t="s">
        <v>1578</v>
      </c>
      <c r="E1086" s="2">
        <v>10004.0</v>
      </c>
      <c r="F1086" s="2" t="s">
        <v>1607</v>
      </c>
      <c r="I1086" s="7">
        <v>1.0</v>
      </c>
      <c r="J1086" s="6">
        <v>25238.0</v>
      </c>
      <c r="K1086" s="2">
        <v>0.0</v>
      </c>
      <c r="L1086" s="2">
        <v>25238.0</v>
      </c>
      <c r="M1086" s="2">
        <v>0.0</v>
      </c>
      <c r="N1086" s="2">
        <v>25238.0</v>
      </c>
      <c r="O1086" s="2">
        <v>1262.0</v>
      </c>
      <c r="P1086" s="2" t="s">
        <v>1574</v>
      </c>
      <c r="Q1086" s="2" t="s">
        <v>1568</v>
      </c>
      <c r="R1086" s="2" t="s">
        <v>1569</v>
      </c>
      <c r="S1086" s="2" t="s">
        <v>1570</v>
      </c>
      <c r="W1086" s="2" t="s">
        <v>1571</v>
      </c>
    </row>
    <row r="1087">
      <c r="A1087" s="4">
        <v>45543.51458333333</v>
      </c>
      <c r="B1087" s="5">
        <v>2647676.0</v>
      </c>
      <c r="C1087" s="2" t="s">
        <v>1575</v>
      </c>
      <c r="D1087" s="2" t="s">
        <v>1580</v>
      </c>
      <c r="E1087" s="2">
        <v>10104.0</v>
      </c>
      <c r="F1087" s="2" t="s">
        <v>1581</v>
      </c>
      <c r="I1087" s="7">
        <v>1.0</v>
      </c>
      <c r="J1087" s="6">
        <v>34762.0</v>
      </c>
      <c r="K1087" s="2">
        <v>0.0</v>
      </c>
      <c r="L1087" s="2">
        <v>34762.0</v>
      </c>
      <c r="M1087" s="2">
        <v>0.0</v>
      </c>
      <c r="N1087" s="2">
        <v>34762.0</v>
      </c>
      <c r="O1087" s="2">
        <v>1738.0</v>
      </c>
      <c r="P1087" s="2" t="s">
        <v>1574</v>
      </c>
      <c r="Q1087" s="2" t="s">
        <v>1568</v>
      </c>
      <c r="R1087" s="2" t="s">
        <v>1569</v>
      </c>
      <c r="S1087" s="2" t="s">
        <v>1570</v>
      </c>
      <c r="W1087" s="2" t="s">
        <v>1571</v>
      </c>
    </row>
    <row r="1088">
      <c r="A1088" s="4">
        <v>45543.51458333333</v>
      </c>
      <c r="B1088" s="5">
        <v>2647676.0</v>
      </c>
      <c r="C1088" s="2" t="s">
        <v>1575</v>
      </c>
      <c r="D1088" s="2" t="s">
        <v>1572</v>
      </c>
      <c r="E1088" s="2">
        <v>10125.0</v>
      </c>
      <c r="F1088" s="2" t="s">
        <v>1601</v>
      </c>
      <c r="I1088" s="7">
        <v>1.0</v>
      </c>
      <c r="J1088" s="6">
        <v>20476.0</v>
      </c>
      <c r="K1088" s="2">
        <v>0.0</v>
      </c>
      <c r="L1088" s="2">
        <v>20476.0</v>
      </c>
      <c r="M1088" s="2">
        <v>0.0</v>
      </c>
      <c r="N1088" s="2">
        <v>20476.0</v>
      </c>
      <c r="O1088" s="2">
        <v>1024.0</v>
      </c>
      <c r="P1088" s="2" t="s">
        <v>1574</v>
      </c>
      <c r="Q1088" s="2" t="s">
        <v>1568</v>
      </c>
      <c r="R1088" s="2" t="s">
        <v>1569</v>
      </c>
      <c r="S1088" s="2" t="s">
        <v>1570</v>
      </c>
      <c r="W1088" s="2" t="s">
        <v>1571</v>
      </c>
    </row>
    <row r="1089">
      <c r="A1089" s="4">
        <v>45543.45347222222</v>
      </c>
      <c r="B1089" s="5">
        <v>2647310.0</v>
      </c>
      <c r="C1089" s="2" t="s">
        <v>1575</v>
      </c>
      <c r="D1089" s="2" t="s">
        <v>1565</v>
      </c>
      <c r="E1089" s="2">
        <v>10007.0</v>
      </c>
      <c r="F1089" s="2" t="s">
        <v>1596</v>
      </c>
      <c r="I1089" s="7">
        <v>1.0</v>
      </c>
      <c r="J1089" s="6">
        <v>33810.0</v>
      </c>
      <c r="K1089" s="2">
        <v>0.0</v>
      </c>
      <c r="L1089" s="2">
        <v>33810.0</v>
      </c>
      <c r="M1089" s="2">
        <v>0.0</v>
      </c>
      <c r="N1089" s="2">
        <v>33810.0</v>
      </c>
      <c r="O1089" s="2">
        <v>1691.0</v>
      </c>
      <c r="P1089" s="2" t="s">
        <v>1567</v>
      </c>
      <c r="Q1089" s="2" t="s">
        <v>1568</v>
      </c>
      <c r="R1089" s="2" t="s">
        <v>1569</v>
      </c>
      <c r="S1089" s="2" t="s">
        <v>1570</v>
      </c>
      <c r="W1089" s="2" t="s">
        <v>1571</v>
      </c>
    </row>
    <row r="1090">
      <c r="A1090" s="4">
        <v>45543.427083333336</v>
      </c>
      <c r="B1090" s="5">
        <v>2646945.0</v>
      </c>
      <c r="C1090" s="2" t="s">
        <v>1575</v>
      </c>
      <c r="D1090" s="2" t="s">
        <v>1565</v>
      </c>
      <c r="E1090" s="2">
        <v>10000.0</v>
      </c>
      <c r="F1090" s="2" t="s">
        <v>1566</v>
      </c>
      <c r="I1090" s="7">
        <v>1.0</v>
      </c>
      <c r="J1090" s="6">
        <v>29524.0</v>
      </c>
      <c r="K1090" s="2">
        <v>0.0</v>
      </c>
      <c r="L1090" s="2">
        <v>29524.0</v>
      </c>
      <c r="M1090" s="2">
        <v>0.0</v>
      </c>
      <c r="N1090" s="2">
        <v>29524.0</v>
      </c>
      <c r="O1090" s="2">
        <v>1476.0</v>
      </c>
      <c r="P1090" s="2" t="s">
        <v>1574</v>
      </c>
      <c r="Q1090" s="2" t="s">
        <v>1568</v>
      </c>
      <c r="R1090" s="2" t="s">
        <v>1569</v>
      </c>
      <c r="S1090" s="2" t="s">
        <v>1570</v>
      </c>
      <c r="W1090" s="2" t="s">
        <v>1571</v>
      </c>
    </row>
    <row r="1091">
      <c r="A1091" s="4">
        <v>45543.424305555556</v>
      </c>
      <c r="B1091" s="5">
        <v>2646580.0</v>
      </c>
      <c r="C1091" s="2" t="s">
        <v>1575</v>
      </c>
      <c r="D1091" s="2" t="s">
        <v>1565</v>
      </c>
      <c r="E1091" s="2">
        <v>10007.0</v>
      </c>
      <c r="F1091" s="2" t="s">
        <v>1596</v>
      </c>
      <c r="I1091" s="7">
        <v>2.0</v>
      </c>
      <c r="J1091" s="6">
        <v>67620.0</v>
      </c>
      <c r="K1091" s="2">
        <v>0.0</v>
      </c>
      <c r="L1091" s="2">
        <v>67620.0</v>
      </c>
      <c r="M1091" s="2">
        <v>0.0</v>
      </c>
      <c r="N1091" s="2">
        <v>67620.0</v>
      </c>
      <c r="O1091" s="2">
        <v>3381.0</v>
      </c>
      <c r="P1091" s="2" t="s">
        <v>1574</v>
      </c>
      <c r="Q1091" s="2" t="s">
        <v>1568</v>
      </c>
      <c r="R1091" s="2" t="s">
        <v>1569</v>
      </c>
      <c r="S1091" s="2" t="s">
        <v>1570</v>
      </c>
      <c r="W1091" s="2" t="s">
        <v>1571</v>
      </c>
    </row>
    <row r="1092">
      <c r="A1092" s="4">
        <v>45543.424305555556</v>
      </c>
      <c r="B1092" s="5">
        <v>2646580.0</v>
      </c>
      <c r="C1092" s="2" t="s">
        <v>1575</v>
      </c>
      <c r="D1092" s="2" t="s">
        <v>1565</v>
      </c>
      <c r="E1092" s="2">
        <v>10005.0</v>
      </c>
      <c r="F1092" s="2" t="s">
        <v>1595</v>
      </c>
      <c r="I1092" s="7">
        <v>1.0</v>
      </c>
      <c r="J1092" s="6">
        <v>19524.0</v>
      </c>
      <c r="K1092" s="2">
        <v>0.0</v>
      </c>
      <c r="L1092" s="2">
        <v>19524.0</v>
      </c>
      <c r="M1092" s="2">
        <v>0.0</v>
      </c>
      <c r="N1092" s="2">
        <v>19524.0</v>
      </c>
      <c r="O1092" s="2">
        <v>976.0</v>
      </c>
      <c r="P1092" s="2" t="s">
        <v>1574</v>
      </c>
      <c r="Q1092" s="2" t="s">
        <v>1568</v>
      </c>
      <c r="R1092" s="2" t="s">
        <v>1569</v>
      </c>
      <c r="S1092" s="2" t="s">
        <v>1570</v>
      </c>
      <c r="W1092" s="2" t="s">
        <v>1571</v>
      </c>
    </row>
    <row r="1093">
      <c r="A1093" s="4">
        <v>45543.424305555556</v>
      </c>
      <c r="B1093" s="5">
        <v>2646580.0</v>
      </c>
      <c r="C1093" s="2" t="s">
        <v>1575</v>
      </c>
      <c r="D1093" s="2" t="s">
        <v>1572</v>
      </c>
      <c r="E1093" s="2">
        <v>10128.0</v>
      </c>
      <c r="F1093" s="2" t="s">
        <v>1588</v>
      </c>
      <c r="I1093" s="7">
        <v>1.0</v>
      </c>
      <c r="J1093" s="6">
        <v>23333.0</v>
      </c>
      <c r="K1093" s="2">
        <v>0.0</v>
      </c>
      <c r="L1093" s="2">
        <v>23333.0</v>
      </c>
      <c r="M1093" s="2">
        <v>0.0</v>
      </c>
      <c r="N1093" s="2">
        <v>23333.0</v>
      </c>
      <c r="O1093" s="2">
        <v>1167.0</v>
      </c>
      <c r="P1093" s="2" t="s">
        <v>1574</v>
      </c>
      <c r="Q1093" s="2" t="s">
        <v>1568</v>
      </c>
      <c r="R1093" s="2" t="s">
        <v>1569</v>
      </c>
      <c r="S1093" s="2" t="s">
        <v>1570</v>
      </c>
      <c r="W1093" s="2" t="s">
        <v>1571</v>
      </c>
    </row>
    <row r="1094">
      <c r="A1094" s="4">
        <v>45543.424305555556</v>
      </c>
      <c r="B1094" s="5">
        <v>2646580.0</v>
      </c>
      <c r="C1094" s="2" t="s">
        <v>1575</v>
      </c>
      <c r="D1094" s="2" t="s">
        <v>1572</v>
      </c>
      <c r="E1094" s="2">
        <v>10122.0</v>
      </c>
      <c r="F1094" s="2" t="s">
        <v>1577</v>
      </c>
      <c r="I1094" s="7">
        <v>1.0</v>
      </c>
      <c r="J1094" s="6">
        <v>21905.0</v>
      </c>
      <c r="K1094" s="2">
        <v>0.0</v>
      </c>
      <c r="L1094" s="2">
        <v>21905.0</v>
      </c>
      <c r="M1094" s="2">
        <v>0.0</v>
      </c>
      <c r="N1094" s="2">
        <v>21905.0</v>
      </c>
      <c r="O1094" s="2">
        <v>1095.0</v>
      </c>
      <c r="P1094" s="2" t="s">
        <v>1574</v>
      </c>
      <c r="Q1094" s="2" t="s">
        <v>1568</v>
      </c>
      <c r="R1094" s="2" t="s">
        <v>1569</v>
      </c>
      <c r="S1094" s="2" t="s">
        <v>1570</v>
      </c>
      <c r="W1094" s="2" t="s">
        <v>1571</v>
      </c>
    </row>
    <row r="1095">
      <c r="A1095" s="4">
        <v>45543.424305555556</v>
      </c>
      <c r="B1095" s="5">
        <v>2646580.0</v>
      </c>
      <c r="C1095" s="2" t="s">
        <v>1575</v>
      </c>
      <c r="D1095" s="2" t="s">
        <v>1572</v>
      </c>
      <c r="E1095" s="2">
        <v>10128.0</v>
      </c>
      <c r="F1095" s="2" t="s">
        <v>1588</v>
      </c>
      <c r="I1095" s="7">
        <v>1.0</v>
      </c>
      <c r="J1095" s="6">
        <v>23333.0</v>
      </c>
      <c r="K1095" s="2">
        <v>0.0</v>
      </c>
      <c r="L1095" s="2">
        <v>23333.0</v>
      </c>
      <c r="M1095" s="2">
        <v>0.0</v>
      </c>
      <c r="N1095" s="2">
        <v>23333.0</v>
      </c>
      <c r="O1095" s="2">
        <v>1167.0</v>
      </c>
      <c r="P1095" s="2" t="s">
        <v>1574</v>
      </c>
      <c r="Q1095" s="2" t="s">
        <v>1568</v>
      </c>
      <c r="R1095" s="2" t="s">
        <v>1569</v>
      </c>
      <c r="S1095" s="2" t="s">
        <v>1570</v>
      </c>
      <c r="W1095" s="2" t="s">
        <v>1571</v>
      </c>
    </row>
    <row r="1096">
      <c r="A1096" s="4">
        <v>45543.424305555556</v>
      </c>
      <c r="B1096" s="5">
        <v>2646580.0</v>
      </c>
      <c r="C1096" s="2" t="s">
        <v>1575</v>
      </c>
      <c r="D1096" s="2" t="s">
        <v>1572</v>
      </c>
      <c r="E1096" s="2">
        <v>10106.0</v>
      </c>
      <c r="F1096" s="2" t="s">
        <v>1598</v>
      </c>
      <c r="I1096" s="7">
        <v>1.0</v>
      </c>
      <c r="J1096" s="6">
        <v>26667.0</v>
      </c>
      <c r="K1096" s="2">
        <v>0.0</v>
      </c>
      <c r="L1096" s="2">
        <v>26667.0</v>
      </c>
      <c r="M1096" s="2">
        <v>0.0</v>
      </c>
      <c r="N1096" s="2">
        <v>26667.0</v>
      </c>
      <c r="O1096" s="2">
        <v>1333.0</v>
      </c>
      <c r="P1096" s="2" t="s">
        <v>1574</v>
      </c>
      <c r="Q1096" s="2" t="s">
        <v>1568</v>
      </c>
      <c r="R1096" s="2" t="s">
        <v>1569</v>
      </c>
      <c r="S1096" s="2" t="s">
        <v>1570</v>
      </c>
      <c r="W1096" s="2" t="s">
        <v>1571</v>
      </c>
    </row>
    <row r="1097">
      <c r="A1097" s="4">
        <v>45543.424305555556</v>
      </c>
      <c r="B1097" s="5">
        <v>2646580.0</v>
      </c>
      <c r="C1097" s="2" t="s">
        <v>1575</v>
      </c>
      <c r="D1097" s="2" t="s">
        <v>1572</v>
      </c>
      <c r="E1097" s="2">
        <v>10112.0</v>
      </c>
      <c r="F1097" s="2" t="s">
        <v>1573</v>
      </c>
      <c r="I1097" s="7">
        <v>1.0</v>
      </c>
      <c r="J1097" s="6">
        <v>6667.0</v>
      </c>
      <c r="K1097" s="2">
        <v>0.0</v>
      </c>
      <c r="L1097" s="2">
        <v>6667.0</v>
      </c>
      <c r="M1097" s="2">
        <v>0.0</v>
      </c>
      <c r="N1097" s="2">
        <v>6667.0</v>
      </c>
      <c r="O1097" s="2">
        <v>333.0</v>
      </c>
      <c r="P1097" s="2" t="s">
        <v>1574</v>
      </c>
      <c r="Q1097" s="2" t="s">
        <v>1568</v>
      </c>
      <c r="R1097" s="2" t="s">
        <v>1569</v>
      </c>
      <c r="S1097" s="2" t="s">
        <v>1570</v>
      </c>
      <c r="W1097" s="2" t="s">
        <v>1571</v>
      </c>
    </row>
    <row r="1098">
      <c r="A1098" s="4">
        <v>45543.424305555556</v>
      </c>
      <c r="B1098" s="5">
        <v>2646580.0</v>
      </c>
      <c r="C1098" s="2" t="s">
        <v>1575</v>
      </c>
      <c r="D1098" s="2" t="s">
        <v>1578</v>
      </c>
      <c r="E1098" s="2">
        <v>10011.0</v>
      </c>
      <c r="F1098" s="2" t="s">
        <v>1605</v>
      </c>
      <c r="I1098" s="7">
        <v>1.0</v>
      </c>
      <c r="J1098" s="6">
        <v>25238.0</v>
      </c>
      <c r="K1098" s="2">
        <v>0.0</v>
      </c>
      <c r="L1098" s="2">
        <v>25238.0</v>
      </c>
      <c r="M1098" s="2">
        <v>0.0</v>
      </c>
      <c r="N1098" s="2">
        <v>25238.0</v>
      </c>
      <c r="O1098" s="2">
        <v>1262.0</v>
      </c>
      <c r="P1098" s="2" t="s">
        <v>1574</v>
      </c>
      <c r="Q1098" s="2" t="s">
        <v>1568</v>
      </c>
      <c r="R1098" s="2" t="s">
        <v>1569</v>
      </c>
      <c r="S1098" s="2" t="s">
        <v>1570</v>
      </c>
      <c r="W1098" s="2" t="s">
        <v>1571</v>
      </c>
    </row>
    <row r="1099">
      <c r="A1099" s="4">
        <v>45543.424305555556</v>
      </c>
      <c r="B1099" s="5">
        <v>2646580.0</v>
      </c>
      <c r="C1099" s="2" t="s">
        <v>1575</v>
      </c>
      <c r="D1099" s="2" t="s">
        <v>1572</v>
      </c>
      <c r="E1099" s="2">
        <v>10122.0</v>
      </c>
      <c r="F1099" s="2" t="s">
        <v>1577</v>
      </c>
      <c r="I1099" s="7">
        <v>1.0</v>
      </c>
      <c r="J1099" s="6">
        <v>21905.0</v>
      </c>
      <c r="K1099" s="2">
        <v>0.0</v>
      </c>
      <c r="L1099" s="2">
        <v>21905.0</v>
      </c>
      <c r="M1099" s="2">
        <v>0.0</v>
      </c>
      <c r="N1099" s="2">
        <v>21905.0</v>
      </c>
      <c r="O1099" s="2">
        <v>1096.0</v>
      </c>
      <c r="P1099" s="2" t="s">
        <v>1574</v>
      </c>
      <c r="Q1099" s="2" t="s">
        <v>1568</v>
      </c>
      <c r="R1099" s="2" t="s">
        <v>1569</v>
      </c>
      <c r="S1099" s="2" t="s">
        <v>1570</v>
      </c>
      <c r="W1099" s="2" t="s">
        <v>1571</v>
      </c>
    </row>
    <row r="1100">
      <c r="A1100" s="4">
        <v>45543.424305555556</v>
      </c>
      <c r="B1100" s="5">
        <v>2646580.0</v>
      </c>
      <c r="C1100" s="2" t="s">
        <v>1575</v>
      </c>
      <c r="D1100" s="2" t="s">
        <v>1572</v>
      </c>
      <c r="E1100" s="2">
        <v>10067.0</v>
      </c>
      <c r="F1100" s="2" t="s">
        <v>1621</v>
      </c>
      <c r="I1100" s="7">
        <v>1.0</v>
      </c>
      <c r="J1100" s="6">
        <v>24762.0</v>
      </c>
      <c r="K1100" s="2">
        <v>0.0</v>
      </c>
      <c r="L1100" s="2">
        <v>24762.0</v>
      </c>
      <c r="M1100" s="2">
        <v>0.0</v>
      </c>
      <c r="N1100" s="2">
        <v>24762.0</v>
      </c>
      <c r="O1100" s="2">
        <v>1238.0</v>
      </c>
      <c r="P1100" s="2" t="s">
        <v>1574</v>
      </c>
      <c r="Q1100" s="2" t="s">
        <v>1568</v>
      </c>
      <c r="R1100" s="2" t="s">
        <v>1569</v>
      </c>
      <c r="S1100" s="2" t="s">
        <v>1570</v>
      </c>
      <c r="W1100" s="2" t="s">
        <v>1571</v>
      </c>
    </row>
    <row r="1101">
      <c r="A1101" s="4">
        <v>45543.424305555556</v>
      </c>
      <c r="B1101" s="5">
        <v>2646580.0</v>
      </c>
      <c r="C1101" s="2" t="s">
        <v>1575</v>
      </c>
      <c r="D1101" s="2" t="s">
        <v>1565</v>
      </c>
      <c r="E1101" s="2">
        <v>10002.0</v>
      </c>
      <c r="F1101" s="2" t="s">
        <v>1576</v>
      </c>
      <c r="I1101" s="7">
        <v>1.0</v>
      </c>
      <c r="J1101" s="6">
        <v>18571.0</v>
      </c>
      <c r="K1101" s="2">
        <v>0.0</v>
      </c>
      <c r="L1101" s="2">
        <v>18571.0</v>
      </c>
      <c r="M1101" s="2">
        <v>0.0</v>
      </c>
      <c r="N1101" s="2">
        <v>18571.0</v>
      </c>
      <c r="O1101" s="2">
        <v>928.0</v>
      </c>
      <c r="P1101" s="2" t="s">
        <v>1574</v>
      </c>
      <c r="Q1101" s="2" t="s">
        <v>1568</v>
      </c>
      <c r="R1101" s="2" t="s">
        <v>1569</v>
      </c>
      <c r="S1101" s="2" t="s">
        <v>1570</v>
      </c>
      <c r="W1101" s="2" t="s">
        <v>1571</v>
      </c>
    </row>
    <row r="1102">
      <c r="A1102" s="4">
        <v>45543.41180555556</v>
      </c>
      <c r="B1102" s="5">
        <v>2646215.0</v>
      </c>
      <c r="C1102" s="2" t="s">
        <v>1575</v>
      </c>
      <c r="D1102" s="2" t="s">
        <v>1565</v>
      </c>
      <c r="E1102" s="2">
        <v>10007.0</v>
      </c>
      <c r="F1102" s="2" t="s">
        <v>1596</v>
      </c>
      <c r="I1102" s="7">
        <v>1.0</v>
      </c>
      <c r="J1102" s="6">
        <v>33810.0</v>
      </c>
      <c r="K1102" s="2">
        <v>0.0</v>
      </c>
      <c r="L1102" s="2">
        <v>33810.0</v>
      </c>
      <c r="M1102" s="2">
        <v>0.0</v>
      </c>
      <c r="N1102" s="2">
        <v>33810.0</v>
      </c>
      <c r="O1102" s="2">
        <v>1691.0</v>
      </c>
      <c r="P1102" s="2" t="s">
        <v>1574</v>
      </c>
      <c r="Q1102" s="2" t="s">
        <v>1568</v>
      </c>
      <c r="R1102" s="2" t="s">
        <v>1569</v>
      </c>
      <c r="S1102" s="2" t="s">
        <v>1570</v>
      </c>
      <c r="W1102" s="2" t="s">
        <v>1571</v>
      </c>
    </row>
    <row r="1103">
      <c r="A1103" s="4">
        <v>45543.41180555556</v>
      </c>
      <c r="B1103" s="5">
        <v>2646215.0</v>
      </c>
      <c r="C1103" s="2" t="s">
        <v>1575</v>
      </c>
      <c r="D1103" s="2" t="s">
        <v>1572</v>
      </c>
      <c r="E1103" s="2">
        <v>10120.0</v>
      </c>
      <c r="F1103" s="2" t="s">
        <v>1590</v>
      </c>
      <c r="I1103" s="7">
        <v>1.0</v>
      </c>
      <c r="J1103" s="6">
        <v>19524.0</v>
      </c>
      <c r="K1103" s="2">
        <v>0.0</v>
      </c>
      <c r="L1103" s="2">
        <v>19524.0</v>
      </c>
      <c r="M1103" s="2">
        <v>0.0</v>
      </c>
      <c r="N1103" s="2">
        <v>19524.0</v>
      </c>
      <c r="O1103" s="2">
        <v>976.0</v>
      </c>
      <c r="P1103" s="2" t="s">
        <v>1574</v>
      </c>
      <c r="Q1103" s="2" t="s">
        <v>1568</v>
      </c>
      <c r="R1103" s="2" t="s">
        <v>1569</v>
      </c>
      <c r="S1103" s="2" t="s">
        <v>1570</v>
      </c>
      <c r="W1103" s="2" t="s">
        <v>1571</v>
      </c>
    </row>
    <row r="1104">
      <c r="A1104" s="4">
        <v>45543.41180555556</v>
      </c>
      <c r="B1104" s="5">
        <v>2646215.0</v>
      </c>
      <c r="C1104" s="2" t="s">
        <v>1575</v>
      </c>
      <c r="D1104" s="2" t="s">
        <v>1572</v>
      </c>
      <c r="E1104" s="2">
        <v>10121.0</v>
      </c>
      <c r="F1104" s="2" t="s">
        <v>1617</v>
      </c>
      <c r="I1104" s="7">
        <v>1.0</v>
      </c>
      <c r="J1104" s="6">
        <v>19524.0</v>
      </c>
      <c r="K1104" s="2">
        <v>0.0</v>
      </c>
      <c r="L1104" s="2">
        <v>19524.0</v>
      </c>
      <c r="M1104" s="2">
        <v>0.0</v>
      </c>
      <c r="N1104" s="2">
        <v>19524.0</v>
      </c>
      <c r="O1104" s="2">
        <v>976.0</v>
      </c>
      <c r="P1104" s="2" t="s">
        <v>1574</v>
      </c>
      <c r="Q1104" s="2" t="s">
        <v>1568</v>
      </c>
      <c r="R1104" s="2" t="s">
        <v>1569</v>
      </c>
      <c r="S1104" s="2" t="s">
        <v>1570</v>
      </c>
      <c r="W1104" s="2" t="s">
        <v>1571</v>
      </c>
    </row>
    <row r="1105">
      <c r="A1105" s="4">
        <v>45543.40694444445</v>
      </c>
      <c r="B1105" s="5">
        <v>2645849.0</v>
      </c>
      <c r="C1105" s="2" t="s">
        <v>1575</v>
      </c>
      <c r="D1105" s="2" t="s">
        <v>1565</v>
      </c>
      <c r="E1105" s="2">
        <v>10002.0</v>
      </c>
      <c r="F1105" s="2" t="s">
        <v>1576</v>
      </c>
      <c r="I1105" s="7">
        <v>1.0</v>
      </c>
      <c r="J1105" s="6">
        <v>18571.0</v>
      </c>
      <c r="K1105" s="2">
        <v>0.0</v>
      </c>
      <c r="L1105" s="2">
        <v>18571.0</v>
      </c>
      <c r="M1105" s="2">
        <v>0.0</v>
      </c>
      <c r="N1105" s="2">
        <v>18571.0</v>
      </c>
      <c r="O1105" s="2">
        <v>929.0</v>
      </c>
      <c r="P1105" s="2" t="s">
        <v>1574</v>
      </c>
      <c r="Q1105" s="2" t="s">
        <v>1568</v>
      </c>
      <c r="R1105" s="2" t="s">
        <v>1569</v>
      </c>
      <c r="S1105" s="2" t="s">
        <v>1570</v>
      </c>
      <c r="W1105" s="2" t="s">
        <v>1571</v>
      </c>
    </row>
    <row r="1106">
      <c r="A1106" s="4">
        <v>45543.40694444445</v>
      </c>
      <c r="B1106" s="5">
        <v>2645849.0</v>
      </c>
      <c r="C1106" s="2" t="s">
        <v>1575</v>
      </c>
      <c r="D1106" s="2" t="s">
        <v>1565</v>
      </c>
      <c r="E1106" s="2">
        <v>10005.0</v>
      </c>
      <c r="F1106" s="2" t="s">
        <v>1595</v>
      </c>
      <c r="I1106" s="7">
        <v>1.0</v>
      </c>
      <c r="J1106" s="6">
        <v>19524.0</v>
      </c>
      <c r="K1106" s="2">
        <v>0.0</v>
      </c>
      <c r="L1106" s="2">
        <v>19524.0</v>
      </c>
      <c r="M1106" s="2">
        <v>0.0</v>
      </c>
      <c r="N1106" s="2">
        <v>19524.0</v>
      </c>
      <c r="O1106" s="2">
        <v>976.0</v>
      </c>
      <c r="P1106" s="2" t="s">
        <v>1574</v>
      </c>
      <c r="Q1106" s="2" t="s">
        <v>1568</v>
      </c>
      <c r="R1106" s="2" t="s">
        <v>1569</v>
      </c>
      <c r="S1106" s="2" t="s">
        <v>1570</v>
      </c>
      <c r="W1106" s="2" t="s">
        <v>1571</v>
      </c>
    </row>
    <row r="1107">
      <c r="A1107" s="4">
        <v>45543.40694444445</v>
      </c>
      <c r="B1107" s="5">
        <v>2645849.0</v>
      </c>
      <c r="C1107" s="2" t="s">
        <v>1575</v>
      </c>
      <c r="D1107" s="2" t="s">
        <v>1578</v>
      </c>
      <c r="E1107" s="2">
        <v>10014.0</v>
      </c>
      <c r="F1107" s="2" t="s">
        <v>1609</v>
      </c>
      <c r="I1107" s="7">
        <v>1.0</v>
      </c>
      <c r="J1107" s="6">
        <v>25238.0</v>
      </c>
      <c r="K1107" s="2">
        <v>0.0</v>
      </c>
      <c r="L1107" s="2">
        <v>25238.0</v>
      </c>
      <c r="M1107" s="2">
        <v>0.0</v>
      </c>
      <c r="N1107" s="2">
        <v>25238.0</v>
      </c>
      <c r="O1107" s="2">
        <v>1262.0</v>
      </c>
      <c r="P1107" s="2" t="s">
        <v>1574</v>
      </c>
      <c r="Q1107" s="2" t="s">
        <v>1568</v>
      </c>
      <c r="R1107" s="2" t="s">
        <v>1569</v>
      </c>
      <c r="S1107" s="2" t="s">
        <v>1570</v>
      </c>
      <c r="W1107" s="2" t="s">
        <v>1571</v>
      </c>
    </row>
    <row r="1108">
      <c r="A1108" s="4">
        <v>45543.40694444445</v>
      </c>
      <c r="B1108" s="5">
        <v>2645849.0</v>
      </c>
      <c r="C1108" s="2" t="s">
        <v>1575</v>
      </c>
      <c r="D1108" s="2" t="s">
        <v>1572</v>
      </c>
      <c r="E1108" s="2">
        <v>10128.0</v>
      </c>
      <c r="F1108" s="2" t="s">
        <v>1588</v>
      </c>
      <c r="I1108" s="7">
        <v>2.0</v>
      </c>
      <c r="J1108" s="6">
        <v>46666.0</v>
      </c>
      <c r="K1108" s="2">
        <v>0.0</v>
      </c>
      <c r="L1108" s="2">
        <v>46666.0</v>
      </c>
      <c r="M1108" s="2">
        <v>0.0</v>
      </c>
      <c r="N1108" s="2">
        <v>46666.0</v>
      </c>
      <c r="O1108" s="2">
        <v>2333.0</v>
      </c>
      <c r="P1108" s="2" t="s">
        <v>1574</v>
      </c>
      <c r="Q1108" s="2" t="s">
        <v>1568</v>
      </c>
      <c r="R1108" s="2" t="s">
        <v>1569</v>
      </c>
      <c r="S1108" s="2" t="s">
        <v>1570</v>
      </c>
      <c r="W1108" s="2" t="s">
        <v>1571</v>
      </c>
    </row>
    <row r="1109">
      <c r="A1109" s="4">
        <v>45543.40694444445</v>
      </c>
      <c r="B1109" s="5">
        <v>2645849.0</v>
      </c>
      <c r="C1109" s="2" t="s">
        <v>1575</v>
      </c>
      <c r="D1109" s="2" t="s">
        <v>1572</v>
      </c>
      <c r="E1109" s="2">
        <v>10013.0</v>
      </c>
      <c r="F1109" s="2" t="s">
        <v>1591</v>
      </c>
      <c r="I1109" s="7">
        <v>1.0</v>
      </c>
      <c r="J1109" s="6">
        <v>23333.0</v>
      </c>
      <c r="K1109" s="2">
        <v>0.0</v>
      </c>
      <c r="L1109" s="2">
        <v>23333.0</v>
      </c>
      <c r="M1109" s="2">
        <v>0.0</v>
      </c>
      <c r="N1109" s="2">
        <v>23333.0</v>
      </c>
      <c r="O1109" s="2">
        <v>1167.0</v>
      </c>
      <c r="P1109" s="2" t="s">
        <v>1574</v>
      </c>
      <c r="Q1109" s="2" t="s">
        <v>1568</v>
      </c>
      <c r="R1109" s="2" t="s">
        <v>1569</v>
      </c>
      <c r="S1109" s="2" t="s">
        <v>1570</v>
      </c>
      <c r="W1109" s="2" t="s">
        <v>1571</v>
      </c>
    </row>
    <row r="1110">
      <c r="A1110" s="4">
        <v>45543.40694444445</v>
      </c>
      <c r="B1110" s="5">
        <v>2645849.0</v>
      </c>
      <c r="C1110" s="2" t="s">
        <v>1575</v>
      </c>
      <c r="D1110" s="2" t="s">
        <v>1572</v>
      </c>
      <c r="E1110" s="2">
        <v>10106.0</v>
      </c>
      <c r="F1110" s="2" t="s">
        <v>1598</v>
      </c>
      <c r="I1110" s="7">
        <v>1.0</v>
      </c>
      <c r="J1110" s="6">
        <v>26667.0</v>
      </c>
      <c r="K1110" s="2">
        <v>0.0</v>
      </c>
      <c r="L1110" s="2">
        <v>26667.0</v>
      </c>
      <c r="M1110" s="2">
        <v>0.0</v>
      </c>
      <c r="N1110" s="2">
        <v>26667.0</v>
      </c>
      <c r="O1110" s="2">
        <v>1333.0</v>
      </c>
      <c r="P1110" s="2" t="s">
        <v>1574</v>
      </c>
      <c r="Q1110" s="2" t="s">
        <v>1568</v>
      </c>
      <c r="R1110" s="2" t="s">
        <v>1569</v>
      </c>
      <c r="S1110" s="2" t="s">
        <v>1570</v>
      </c>
      <c r="W1110" s="2" t="s">
        <v>1571</v>
      </c>
    </row>
    <row r="1111">
      <c r="A1111" s="4">
        <v>45543.40694444445</v>
      </c>
      <c r="B1111" s="5">
        <v>2645849.0</v>
      </c>
      <c r="C1111" s="2" t="s">
        <v>1575</v>
      </c>
      <c r="D1111" s="2" t="s">
        <v>1572</v>
      </c>
      <c r="E1111" s="2">
        <v>10056.0</v>
      </c>
      <c r="F1111" s="2" t="s">
        <v>1585</v>
      </c>
      <c r="I1111" s="7">
        <v>1.0</v>
      </c>
      <c r="J1111" s="6">
        <v>19524.0</v>
      </c>
      <c r="K1111" s="2">
        <v>0.0</v>
      </c>
      <c r="L1111" s="2">
        <v>19524.0</v>
      </c>
      <c r="M1111" s="2">
        <v>0.0</v>
      </c>
      <c r="N1111" s="2">
        <v>19524.0</v>
      </c>
      <c r="O1111" s="2">
        <v>976.0</v>
      </c>
      <c r="P1111" s="2" t="s">
        <v>1574</v>
      </c>
      <c r="Q1111" s="2" t="s">
        <v>1568</v>
      </c>
      <c r="R1111" s="2" t="s">
        <v>1569</v>
      </c>
      <c r="S1111" s="2" t="s">
        <v>1570</v>
      </c>
      <c r="W1111" s="2" t="s">
        <v>1571</v>
      </c>
    </row>
    <row r="1112">
      <c r="A1112" s="4">
        <v>45543.40694444445</v>
      </c>
      <c r="B1112" s="5">
        <v>2645849.0</v>
      </c>
      <c r="C1112" s="2" t="s">
        <v>1575</v>
      </c>
      <c r="D1112" s="2" t="s">
        <v>1578</v>
      </c>
      <c r="E1112" s="2">
        <v>10051.0</v>
      </c>
      <c r="F1112" s="2" t="s">
        <v>1579</v>
      </c>
      <c r="I1112" s="7">
        <v>1.0</v>
      </c>
      <c r="J1112" s="6">
        <v>25238.0</v>
      </c>
      <c r="K1112" s="2">
        <v>0.0</v>
      </c>
      <c r="L1112" s="2">
        <v>25238.0</v>
      </c>
      <c r="M1112" s="2">
        <v>0.0</v>
      </c>
      <c r="N1112" s="2">
        <v>25238.0</v>
      </c>
      <c r="O1112" s="2">
        <v>1262.0</v>
      </c>
      <c r="P1112" s="2" t="s">
        <v>1574</v>
      </c>
      <c r="Q1112" s="2" t="s">
        <v>1568</v>
      </c>
      <c r="R1112" s="2" t="s">
        <v>1569</v>
      </c>
      <c r="S1112" s="2" t="s">
        <v>1570</v>
      </c>
      <c r="W1112" s="2" t="s">
        <v>1571</v>
      </c>
    </row>
    <row r="1113">
      <c r="A1113" s="4">
        <v>45543.384722222225</v>
      </c>
      <c r="B1113" s="5">
        <v>2645484.0</v>
      </c>
      <c r="C1113" s="2" t="s">
        <v>1575</v>
      </c>
      <c r="D1113" s="2" t="s">
        <v>1565</v>
      </c>
      <c r="E1113" s="2">
        <v>10005.0</v>
      </c>
      <c r="F1113" s="2" t="s">
        <v>1595</v>
      </c>
      <c r="I1113" s="7">
        <v>1.0</v>
      </c>
      <c r="J1113" s="6">
        <v>19524.0</v>
      </c>
      <c r="K1113" s="2">
        <v>0.0</v>
      </c>
      <c r="L1113" s="2">
        <v>19524.0</v>
      </c>
      <c r="M1113" s="2">
        <v>0.0</v>
      </c>
      <c r="N1113" s="2">
        <v>19524.0</v>
      </c>
      <c r="O1113" s="2">
        <v>976.0</v>
      </c>
      <c r="P1113" s="2" t="s">
        <v>1574</v>
      </c>
      <c r="Q1113" s="2" t="s">
        <v>1568</v>
      </c>
      <c r="R1113" s="2" t="s">
        <v>1569</v>
      </c>
      <c r="S1113" s="2" t="s">
        <v>1570</v>
      </c>
      <c r="W1113" s="2" t="s">
        <v>1571</v>
      </c>
    </row>
    <row r="1114">
      <c r="A1114" s="4">
        <v>45543.384722222225</v>
      </c>
      <c r="B1114" s="5">
        <v>2645484.0</v>
      </c>
      <c r="C1114" s="2" t="s">
        <v>1575</v>
      </c>
      <c r="D1114" s="2" t="s">
        <v>1565</v>
      </c>
      <c r="E1114" s="2">
        <v>10007.0</v>
      </c>
      <c r="F1114" s="2" t="s">
        <v>1596</v>
      </c>
      <c r="I1114" s="7">
        <v>1.0</v>
      </c>
      <c r="J1114" s="6">
        <v>33810.0</v>
      </c>
      <c r="K1114" s="2">
        <v>0.0</v>
      </c>
      <c r="L1114" s="2">
        <v>33810.0</v>
      </c>
      <c r="M1114" s="2">
        <v>0.0</v>
      </c>
      <c r="N1114" s="2">
        <v>33810.0</v>
      </c>
      <c r="O1114" s="2">
        <v>1691.0</v>
      </c>
      <c r="P1114" s="2" t="s">
        <v>1574</v>
      </c>
      <c r="Q1114" s="2" t="s">
        <v>1568</v>
      </c>
      <c r="R1114" s="2" t="s">
        <v>1569</v>
      </c>
      <c r="S1114" s="2" t="s">
        <v>1570</v>
      </c>
      <c r="W1114" s="2" t="s">
        <v>1571</v>
      </c>
    </row>
    <row r="1115">
      <c r="A1115" s="4">
        <v>45543.384722222225</v>
      </c>
      <c r="B1115" s="5">
        <v>2645484.0</v>
      </c>
      <c r="C1115" s="2" t="s">
        <v>1575</v>
      </c>
      <c r="D1115" s="2" t="s">
        <v>1572</v>
      </c>
      <c r="E1115" s="2">
        <v>10026.0</v>
      </c>
      <c r="F1115" s="2" t="s">
        <v>1583</v>
      </c>
      <c r="I1115" s="7">
        <v>1.0</v>
      </c>
      <c r="J1115" s="6">
        <v>21905.0</v>
      </c>
      <c r="K1115" s="2">
        <v>0.0</v>
      </c>
      <c r="L1115" s="2">
        <v>21905.0</v>
      </c>
      <c r="M1115" s="2">
        <v>0.0</v>
      </c>
      <c r="N1115" s="2">
        <v>21905.0</v>
      </c>
      <c r="O1115" s="2">
        <v>1095.0</v>
      </c>
      <c r="P1115" s="2" t="s">
        <v>1574</v>
      </c>
      <c r="Q1115" s="2" t="s">
        <v>1568</v>
      </c>
      <c r="R1115" s="2" t="s">
        <v>1569</v>
      </c>
      <c r="S1115" s="2" t="s">
        <v>1570</v>
      </c>
      <c r="W1115" s="2" t="s">
        <v>1571</v>
      </c>
    </row>
    <row r="1116">
      <c r="A1116" s="4">
        <v>45543.384722222225</v>
      </c>
      <c r="B1116" s="5">
        <v>2645484.0</v>
      </c>
      <c r="C1116" s="2" t="s">
        <v>1575</v>
      </c>
      <c r="D1116" s="2" t="s">
        <v>1578</v>
      </c>
      <c r="E1116" s="2">
        <v>10015.0</v>
      </c>
      <c r="F1116" s="2" t="s">
        <v>1587</v>
      </c>
      <c r="I1116" s="7">
        <v>1.0</v>
      </c>
      <c r="J1116" s="6">
        <v>25238.0</v>
      </c>
      <c r="K1116" s="2">
        <v>0.0</v>
      </c>
      <c r="L1116" s="2">
        <v>25238.0</v>
      </c>
      <c r="M1116" s="2">
        <v>0.0</v>
      </c>
      <c r="N1116" s="2">
        <v>25238.0</v>
      </c>
      <c r="O1116" s="2">
        <v>1262.0</v>
      </c>
      <c r="P1116" s="2" t="s">
        <v>1574</v>
      </c>
      <c r="Q1116" s="2" t="s">
        <v>1568</v>
      </c>
      <c r="R1116" s="2" t="s">
        <v>1569</v>
      </c>
      <c r="S1116" s="2" t="s">
        <v>1570</v>
      </c>
      <c r="W1116" s="2" t="s">
        <v>1571</v>
      </c>
    </row>
    <row r="1117">
      <c r="A1117" s="4">
        <v>45543.384722222225</v>
      </c>
      <c r="B1117" s="5">
        <v>2645484.0</v>
      </c>
      <c r="C1117" s="2" t="s">
        <v>1575</v>
      </c>
      <c r="D1117" s="2" t="s">
        <v>1572</v>
      </c>
      <c r="E1117" s="2">
        <v>10121.0</v>
      </c>
      <c r="F1117" s="2" t="s">
        <v>1617</v>
      </c>
      <c r="I1117" s="7">
        <v>1.0</v>
      </c>
      <c r="J1117" s="6">
        <v>19524.0</v>
      </c>
      <c r="K1117" s="2">
        <v>0.0</v>
      </c>
      <c r="L1117" s="2">
        <v>19524.0</v>
      </c>
      <c r="M1117" s="2">
        <v>0.0</v>
      </c>
      <c r="N1117" s="2">
        <v>19524.0</v>
      </c>
      <c r="O1117" s="2">
        <v>976.0</v>
      </c>
      <c r="P1117" s="2" t="s">
        <v>1574</v>
      </c>
      <c r="Q1117" s="2" t="s">
        <v>1568</v>
      </c>
      <c r="R1117" s="2" t="s">
        <v>1569</v>
      </c>
      <c r="S1117" s="2" t="s">
        <v>1570</v>
      </c>
      <c r="W1117" s="2" t="s">
        <v>1571</v>
      </c>
    </row>
    <row r="1118">
      <c r="A1118" s="4">
        <v>45543.35833333333</v>
      </c>
      <c r="B1118" s="5">
        <v>2645119.0</v>
      </c>
      <c r="C1118" s="2" t="s">
        <v>1575</v>
      </c>
      <c r="D1118" s="2" t="s">
        <v>1565</v>
      </c>
      <c r="E1118" s="2">
        <v>10002.0</v>
      </c>
      <c r="F1118" s="2" t="s">
        <v>1576</v>
      </c>
      <c r="I1118" s="7">
        <v>1.0</v>
      </c>
      <c r="J1118" s="6">
        <v>18571.0</v>
      </c>
      <c r="K1118" s="2">
        <v>0.0</v>
      </c>
      <c r="L1118" s="2">
        <v>18571.0</v>
      </c>
      <c r="M1118" s="2">
        <v>0.0</v>
      </c>
      <c r="N1118" s="2">
        <v>18571.0</v>
      </c>
      <c r="O1118" s="2">
        <v>929.0</v>
      </c>
      <c r="P1118" s="2" t="s">
        <v>1574</v>
      </c>
      <c r="Q1118" s="2" t="s">
        <v>1568</v>
      </c>
      <c r="R1118" s="2" t="s">
        <v>1569</v>
      </c>
      <c r="S1118" s="2" t="s">
        <v>1570</v>
      </c>
      <c r="W1118" s="2" t="s">
        <v>1571</v>
      </c>
    </row>
    <row r="1119">
      <c r="A1119" s="4">
        <v>45543.35833333333</v>
      </c>
      <c r="B1119" s="5">
        <v>2645119.0</v>
      </c>
      <c r="C1119" s="2" t="s">
        <v>1575</v>
      </c>
      <c r="D1119" s="2" t="s">
        <v>1565</v>
      </c>
      <c r="E1119" s="2">
        <v>10005.0</v>
      </c>
      <c r="F1119" s="2" t="s">
        <v>1595</v>
      </c>
      <c r="I1119" s="7">
        <v>1.0</v>
      </c>
      <c r="J1119" s="6">
        <v>19524.0</v>
      </c>
      <c r="K1119" s="2">
        <v>0.0</v>
      </c>
      <c r="L1119" s="2">
        <v>19524.0</v>
      </c>
      <c r="M1119" s="2">
        <v>0.0</v>
      </c>
      <c r="N1119" s="2">
        <v>19524.0</v>
      </c>
      <c r="O1119" s="2">
        <v>976.0</v>
      </c>
      <c r="P1119" s="2" t="s">
        <v>1574</v>
      </c>
      <c r="Q1119" s="2" t="s">
        <v>1568</v>
      </c>
      <c r="R1119" s="2" t="s">
        <v>1569</v>
      </c>
      <c r="S1119" s="2" t="s">
        <v>1570</v>
      </c>
      <c r="W1119" s="2" t="s">
        <v>1571</v>
      </c>
    </row>
    <row r="1120">
      <c r="A1120" s="4">
        <v>45543.3125</v>
      </c>
      <c r="B1120" s="5">
        <v>2644754.0</v>
      </c>
      <c r="C1120" s="2" t="s">
        <v>1575</v>
      </c>
      <c r="D1120" s="2" t="s">
        <v>1565</v>
      </c>
      <c r="E1120" s="2">
        <v>10002.0</v>
      </c>
      <c r="F1120" s="2" t="s">
        <v>1576</v>
      </c>
      <c r="I1120" s="7">
        <v>1.0</v>
      </c>
      <c r="J1120" s="6">
        <v>18571.0</v>
      </c>
      <c r="K1120" s="2">
        <v>0.0</v>
      </c>
      <c r="L1120" s="2">
        <v>18571.0</v>
      </c>
      <c r="M1120" s="2">
        <v>0.0</v>
      </c>
      <c r="N1120" s="2">
        <v>18571.0</v>
      </c>
      <c r="O1120" s="2">
        <v>929.0</v>
      </c>
      <c r="P1120" s="2" t="s">
        <v>1574</v>
      </c>
      <c r="Q1120" s="2" t="s">
        <v>1568</v>
      </c>
      <c r="R1120" s="2" t="s">
        <v>1569</v>
      </c>
      <c r="S1120" s="2" t="s">
        <v>1570</v>
      </c>
      <c r="W1120" s="2" t="s">
        <v>1571</v>
      </c>
    </row>
    <row r="1121">
      <c r="A1121" s="4">
        <v>45543.3125</v>
      </c>
      <c r="B1121" s="5">
        <v>2644754.0</v>
      </c>
      <c r="C1121" s="2" t="s">
        <v>1575</v>
      </c>
      <c r="D1121" s="2" t="s">
        <v>1565</v>
      </c>
      <c r="E1121" s="2">
        <v>10000.0</v>
      </c>
      <c r="F1121" s="2" t="s">
        <v>1566</v>
      </c>
      <c r="I1121" s="7">
        <v>1.0</v>
      </c>
      <c r="J1121" s="6">
        <v>29524.0</v>
      </c>
      <c r="K1121" s="2">
        <v>0.0</v>
      </c>
      <c r="L1121" s="2">
        <v>29524.0</v>
      </c>
      <c r="M1121" s="2">
        <v>0.0</v>
      </c>
      <c r="N1121" s="2">
        <v>29524.0</v>
      </c>
      <c r="O1121" s="2">
        <v>1476.0</v>
      </c>
      <c r="P1121" s="2" t="s">
        <v>1574</v>
      </c>
      <c r="Q1121" s="2" t="s">
        <v>1568</v>
      </c>
      <c r="R1121" s="2" t="s">
        <v>1569</v>
      </c>
      <c r="S1121" s="2" t="s">
        <v>1570</v>
      </c>
      <c r="W1121" s="2" t="s">
        <v>1571</v>
      </c>
    </row>
    <row r="1122">
      <c r="A1122" s="4">
        <v>45542.881944444445</v>
      </c>
      <c r="B1122" s="5">
        <v>2644388.0</v>
      </c>
      <c r="C1122" s="2" t="s">
        <v>1575</v>
      </c>
      <c r="D1122" s="2" t="s">
        <v>1572</v>
      </c>
      <c r="E1122" s="2">
        <v>10013.0</v>
      </c>
      <c r="F1122" s="2" t="s">
        <v>1591</v>
      </c>
      <c r="I1122" s="7">
        <v>1.0</v>
      </c>
      <c r="J1122" s="6">
        <v>23333.0</v>
      </c>
      <c r="K1122" s="2">
        <v>0.0</v>
      </c>
      <c r="L1122" s="2">
        <v>23333.0</v>
      </c>
      <c r="M1122" s="2">
        <v>0.0</v>
      </c>
      <c r="N1122" s="2">
        <v>23333.0</v>
      </c>
      <c r="O1122" s="2">
        <v>1167.0</v>
      </c>
      <c r="P1122" s="2" t="s">
        <v>1574</v>
      </c>
      <c r="Q1122" s="2" t="s">
        <v>1568</v>
      </c>
      <c r="R1122" s="2" t="s">
        <v>1569</v>
      </c>
      <c r="S1122" s="2" t="s">
        <v>1570</v>
      </c>
      <c r="W1122" s="2" t="s">
        <v>1571</v>
      </c>
    </row>
    <row r="1123">
      <c r="A1123" s="4">
        <v>45542.88125</v>
      </c>
      <c r="B1123" s="5">
        <v>2644023.0</v>
      </c>
      <c r="C1123" s="2" t="s">
        <v>1575</v>
      </c>
      <c r="D1123" s="2" t="s">
        <v>1578</v>
      </c>
      <c r="E1123" s="2">
        <v>10051.0</v>
      </c>
      <c r="F1123" s="2" t="s">
        <v>1579</v>
      </c>
      <c r="I1123" s="7">
        <v>1.0</v>
      </c>
      <c r="J1123" s="6">
        <v>25238.0</v>
      </c>
      <c r="K1123" s="2">
        <v>0.0</v>
      </c>
      <c r="L1123" s="2">
        <v>25238.0</v>
      </c>
      <c r="M1123" s="2">
        <v>0.0</v>
      </c>
      <c r="N1123" s="2">
        <v>25238.0</v>
      </c>
      <c r="O1123" s="2">
        <v>1262.0</v>
      </c>
      <c r="P1123" s="2" t="s">
        <v>1574</v>
      </c>
      <c r="Q1123" s="2" t="s">
        <v>1568</v>
      </c>
      <c r="R1123" s="2" t="s">
        <v>1569</v>
      </c>
      <c r="S1123" s="2" t="s">
        <v>1570</v>
      </c>
      <c r="W1123" s="2" t="s">
        <v>1571</v>
      </c>
    </row>
    <row r="1124">
      <c r="A1124" s="4">
        <v>45542.88125</v>
      </c>
      <c r="B1124" s="5">
        <v>2644023.0</v>
      </c>
      <c r="C1124" s="2" t="s">
        <v>1575</v>
      </c>
      <c r="D1124" s="2" t="s">
        <v>1565</v>
      </c>
      <c r="E1124" s="2">
        <v>10002.0</v>
      </c>
      <c r="F1124" s="2" t="s">
        <v>1576</v>
      </c>
      <c r="I1124" s="7">
        <v>1.0</v>
      </c>
      <c r="J1124" s="6">
        <v>18571.0</v>
      </c>
      <c r="K1124" s="2">
        <v>0.0</v>
      </c>
      <c r="L1124" s="2">
        <v>18571.0</v>
      </c>
      <c r="M1124" s="2">
        <v>0.0</v>
      </c>
      <c r="N1124" s="2">
        <v>18571.0</v>
      </c>
      <c r="O1124" s="2">
        <v>928.0</v>
      </c>
      <c r="P1124" s="2" t="s">
        <v>1574</v>
      </c>
      <c r="Q1124" s="2" t="s">
        <v>1568</v>
      </c>
      <c r="R1124" s="2" t="s">
        <v>1569</v>
      </c>
      <c r="S1124" s="2" t="s">
        <v>1570</v>
      </c>
      <c r="W1124" s="2" t="s">
        <v>1571</v>
      </c>
    </row>
    <row r="1125">
      <c r="A1125" s="4">
        <v>45542.88125</v>
      </c>
      <c r="B1125" s="5">
        <v>2644023.0</v>
      </c>
      <c r="C1125" s="2" t="s">
        <v>1575</v>
      </c>
      <c r="D1125" s="2" t="s">
        <v>1572</v>
      </c>
      <c r="E1125" s="2">
        <v>10122.0</v>
      </c>
      <c r="F1125" s="2" t="s">
        <v>1577</v>
      </c>
      <c r="I1125" s="7">
        <v>1.0</v>
      </c>
      <c r="J1125" s="6">
        <v>21905.0</v>
      </c>
      <c r="K1125" s="2">
        <v>0.0</v>
      </c>
      <c r="L1125" s="2">
        <v>21905.0</v>
      </c>
      <c r="M1125" s="2">
        <v>0.0</v>
      </c>
      <c r="N1125" s="2">
        <v>21905.0</v>
      </c>
      <c r="O1125" s="2">
        <v>1096.0</v>
      </c>
      <c r="P1125" s="2" t="s">
        <v>1574</v>
      </c>
      <c r="Q1125" s="2" t="s">
        <v>1568</v>
      </c>
      <c r="R1125" s="2" t="s">
        <v>1569</v>
      </c>
      <c r="S1125" s="2" t="s">
        <v>1570</v>
      </c>
      <c r="W1125" s="2" t="s">
        <v>1571</v>
      </c>
    </row>
    <row r="1126">
      <c r="A1126" s="4">
        <v>45542.875</v>
      </c>
      <c r="B1126" s="5">
        <v>2643658.0</v>
      </c>
      <c r="C1126" s="2" t="s">
        <v>1575</v>
      </c>
      <c r="D1126" s="2" t="s">
        <v>1572</v>
      </c>
      <c r="E1126" s="2">
        <v>10057.0</v>
      </c>
      <c r="F1126" s="2" t="s">
        <v>1608</v>
      </c>
      <c r="I1126" s="7">
        <v>1.0</v>
      </c>
      <c r="J1126" s="6">
        <v>19524.0</v>
      </c>
      <c r="K1126" s="2">
        <v>0.0</v>
      </c>
      <c r="L1126" s="2">
        <v>19524.0</v>
      </c>
      <c r="M1126" s="2">
        <v>0.0</v>
      </c>
      <c r="N1126" s="2">
        <v>19524.0</v>
      </c>
      <c r="O1126" s="2">
        <v>976.0</v>
      </c>
      <c r="P1126" s="2" t="s">
        <v>1574</v>
      </c>
      <c r="Q1126" s="2" t="s">
        <v>1568</v>
      </c>
      <c r="R1126" s="2" t="s">
        <v>1569</v>
      </c>
      <c r="S1126" s="2" t="s">
        <v>1570</v>
      </c>
      <c r="W1126" s="2" t="s">
        <v>1571</v>
      </c>
    </row>
    <row r="1127">
      <c r="A1127" s="4">
        <v>45542.87152777778</v>
      </c>
      <c r="B1127" s="5">
        <v>2643293.0</v>
      </c>
      <c r="C1127" s="2" t="s">
        <v>1575</v>
      </c>
      <c r="D1127" s="2" t="s">
        <v>1578</v>
      </c>
      <c r="E1127" s="2">
        <v>10051.0</v>
      </c>
      <c r="F1127" s="2" t="s">
        <v>1579</v>
      </c>
      <c r="I1127" s="7">
        <v>1.0</v>
      </c>
      <c r="J1127" s="6">
        <v>25238.0</v>
      </c>
      <c r="K1127" s="2">
        <v>0.0</v>
      </c>
      <c r="L1127" s="2">
        <v>25238.0</v>
      </c>
      <c r="M1127" s="2">
        <v>0.0</v>
      </c>
      <c r="N1127" s="2">
        <v>25238.0</v>
      </c>
      <c r="O1127" s="2">
        <v>1262.0</v>
      </c>
      <c r="P1127" s="2" t="s">
        <v>1574</v>
      </c>
      <c r="Q1127" s="2" t="s">
        <v>1568</v>
      </c>
      <c r="R1127" s="2" t="s">
        <v>1569</v>
      </c>
      <c r="S1127" s="2" t="s">
        <v>1570</v>
      </c>
      <c r="W1127" s="2" t="s">
        <v>1571</v>
      </c>
    </row>
    <row r="1128">
      <c r="A1128" s="4">
        <v>45542.87152777778</v>
      </c>
      <c r="B1128" s="5">
        <v>2643293.0</v>
      </c>
      <c r="C1128" s="2" t="s">
        <v>1575</v>
      </c>
      <c r="D1128" s="2" t="s">
        <v>1565</v>
      </c>
      <c r="E1128" s="2">
        <v>10054.0</v>
      </c>
      <c r="F1128" s="2" t="s">
        <v>1610</v>
      </c>
      <c r="I1128" s="7">
        <v>1.0</v>
      </c>
      <c r="J1128" s="6">
        <v>25238.0</v>
      </c>
      <c r="K1128" s="2">
        <v>0.0</v>
      </c>
      <c r="L1128" s="2">
        <v>25238.0</v>
      </c>
      <c r="M1128" s="2">
        <v>0.0</v>
      </c>
      <c r="N1128" s="2">
        <v>25238.0</v>
      </c>
      <c r="O1128" s="2">
        <v>1262.0</v>
      </c>
      <c r="P1128" s="2" t="s">
        <v>1574</v>
      </c>
      <c r="Q1128" s="2" t="s">
        <v>1568</v>
      </c>
      <c r="R1128" s="2" t="s">
        <v>1569</v>
      </c>
      <c r="S1128" s="2" t="s">
        <v>1570</v>
      </c>
      <c r="W1128" s="2" t="s">
        <v>1571</v>
      </c>
    </row>
    <row r="1129">
      <c r="A1129" s="4">
        <v>45542.84652777778</v>
      </c>
      <c r="B1129" s="5">
        <v>2642927.0</v>
      </c>
      <c r="C1129" s="2" t="s">
        <v>1575</v>
      </c>
      <c r="D1129" s="2" t="s">
        <v>1565</v>
      </c>
      <c r="E1129" s="2">
        <v>10007.0</v>
      </c>
      <c r="F1129" s="2" t="s">
        <v>1596</v>
      </c>
      <c r="I1129" s="7">
        <v>1.0</v>
      </c>
      <c r="J1129" s="6">
        <v>33810.0</v>
      </c>
      <c r="K1129" s="2">
        <v>0.0</v>
      </c>
      <c r="L1129" s="2">
        <v>33810.0</v>
      </c>
      <c r="M1129" s="2">
        <v>0.0</v>
      </c>
      <c r="N1129" s="2">
        <v>33810.0</v>
      </c>
      <c r="O1129" s="2">
        <v>1691.0</v>
      </c>
      <c r="P1129" s="2" t="s">
        <v>1574</v>
      </c>
      <c r="Q1129" s="2" t="s">
        <v>1568</v>
      </c>
      <c r="R1129" s="2" t="s">
        <v>1569</v>
      </c>
      <c r="S1129" s="2" t="s">
        <v>1570</v>
      </c>
      <c r="W1129" s="2" t="s">
        <v>1571</v>
      </c>
    </row>
    <row r="1130">
      <c r="A1130" s="4">
        <v>45542.82708333333</v>
      </c>
      <c r="B1130" s="5">
        <v>2642562.0</v>
      </c>
      <c r="C1130" s="2" t="s">
        <v>1575</v>
      </c>
      <c r="D1130" s="2" t="s">
        <v>1572</v>
      </c>
      <c r="E1130" s="2">
        <v>10063.0</v>
      </c>
      <c r="F1130" s="2" t="s">
        <v>1594</v>
      </c>
      <c r="I1130" s="7">
        <v>1.0</v>
      </c>
      <c r="J1130" s="6">
        <v>24762.0</v>
      </c>
      <c r="K1130" s="2">
        <v>0.0</v>
      </c>
      <c r="L1130" s="2">
        <v>24762.0</v>
      </c>
      <c r="M1130" s="2">
        <v>0.0</v>
      </c>
      <c r="N1130" s="2">
        <v>24762.0</v>
      </c>
      <c r="O1130" s="2">
        <v>1238.0</v>
      </c>
      <c r="P1130" s="2" t="s">
        <v>1574</v>
      </c>
      <c r="Q1130" s="2" t="s">
        <v>1568</v>
      </c>
      <c r="R1130" s="2" t="s">
        <v>1569</v>
      </c>
      <c r="S1130" s="2" t="s">
        <v>1570</v>
      </c>
      <c r="W1130" s="2" t="s">
        <v>1571</v>
      </c>
    </row>
    <row r="1131">
      <c r="A1131" s="4">
        <v>45542.82708333333</v>
      </c>
      <c r="B1131" s="5">
        <v>2642562.0</v>
      </c>
      <c r="C1131" s="2" t="s">
        <v>1575</v>
      </c>
      <c r="D1131" s="2" t="s">
        <v>1572</v>
      </c>
      <c r="E1131" s="2">
        <v>10057.0</v>
      </c>
      <c r="F1131" s="2" t="s">
        <v>1608</v>
      </c>
      <c r="I1131" s="7">
        <v>1.0</v>
      </c>
      <c r="J1131" s="6">
        <v>19524.0</v>
      </c>
      <c r="K1131" s="2">
        <v>0.0</v>
      </c>
      <c r="L1131" s="2">
        <v>19524.0</v>
      </c>
      <c r="M1131" s="2">
        <v>0.0</v>
      </c>
      <c r="N1131" s="2">
        <v>19524.0</v>
      </c>
      <c r="O1131" s="2">
        <v>976.0</v>
      </c>
      <c r="P1131" s="2" t="s">
        <v>1574</v>
      </c>
      <c r="Q1131" s="2" t="s">
        <v>1568</v>
      </c>
      <c r="R1131" s="2" t="s">
        <v>1569</v>
      </c>
      <c r="S1131" s="2" t="s">
        <v>1570</v>
      </c>
      <c r="W1131" s="2" t="s">
        <v>1571</v>
      </c>
    </row>
    <row r="1132">
      <c r="A1132" s="4">
        <v>45542.82708333333</v>
      </c>
      <c r="B1132" s="5">
        <v>2642562.0</v>
      </c>
      <c r="C1132" s="2" t="s">
        <v>1575</v>
      </c>
      <c r="D1132" s="2" t="s">
        <v>1580</v>
      </c>
      <c r="E1132" s="2">
        <v>10003.0</v>
      </c>
      <c r="F1132" s="2" t="s">
        <v>1603</v>
      </c>
      <c r="I1132" s="7">
        <v>1.0</v>
      </c>
      <c r="J1132" s="6">
        <v>29524.0</v>
      </c>
      <c r="K1132" s="2">
        <v>0.0</v>
      </c>
      <c r="L1132" s="2">
        <v>29524.0</v>
      </c>
      <c r="M1132" s="2">
        <v>0.0</v>
      </c>
      <c r="N1132" s="2">
        <v>29524.0</v>
      </c>
      <c r="O1132" s="2">
        <v>1477.0</v>
      </c>
      <c r="P1132" s="2" t="s">
        <v>1574</v>
      </c>
      <c r="Q1132" s="2" t="s">
        <v>1568</v>
      </c>
      <c r="R1132" s="2" t="s">
        <v>1569</v>
      </c>
      <c r="S1132" s="2" t="s">
        <v>1570</v>
      </c>
      <c r="W1132" s="2" t="s">
        <v>1571</v>
      </c>
    </row>
    <row r="1133">
      <c r="A1133" s="4">
        <v>45542.82708333333</v>
      </c>
      <c r="B1133" s="5">
        <v>2642562.0</v>
      </c>
      <c r="C1133" s="2" t="s">
        <v>1575</v>
      </c>
      <c r="D1133" s="2" t="s">
        <v>1578</v>
      </c>
      <c r="E1133" s="2">
        <v>10014.0</v>
      </c>
      <c r="F1133" s="2" t="s">
        <v>1609</v>
      </c>
      <c r="I1133" s="7">
        <v>1.0</v>
      </c>
      <c r="J1133" s="6">
        <v>25238.0</v>
      </c>
      <c r="K1133" s="2">
        <v>0.0</v>
      </c>
      <c r="L1133" s="2">
        <v>25238.0</v>
      </c>
      <c r="M1133" s="2">
        <v>0.0</v>
      </c>
      <c r="N1133" s="2">
        <v>25238.0</v>
      </c>
      <c r="O1133" s="2">
        <v>1261.0</v>
      </c>
      <c r="P1133" s="2" t="s">
        <v>1574</v>
      </c>
      <c r="Q1133" s="2" t="s">
        <v>1568</v>
      </c>
      <c r="R1133" s="2" t="s">
        <v>1569</v>
      </c>
      <c r="S1133" s="2" t="s">
        <v>1570</v>
      </c>
      <c r="W1133" s="2" t="s">
        <v>1571</v>
      </c>
    </row>
    <row r="1134">
      <c r="A1134" s="4">
        <v>45542.82152777778</v>
      </c>
      <c r="B1134" s="5">
        <v>2642197.0</v>
      </c>
      <c r="C1134" s="2" t="s">
        <v>1564</v>
      </c>
      <c r="D1134" s="2" t="s">
        <v>1565</v>
      </c>
      <c r="E1134" s="2">
        <v>10002.0</v>
      </c>
      <c r="F1134" s="2" t="s">
        <v>1576</v>
      </c>
      <c r="I1134" s="7">
        <v>-1.0</v>
      </c>
      <c r="J1134" s="6">
        <v>-18571.0</v>
      </c>
      <c r="K1134" s="2">
        <v>0.0</v>
      </c>
      <c r="L1134" s="2">
        <v>-18571.0</v>
      </c>
      <c r="M1134" s="2">
        <v>0.0</v>
      </c>
      <c r="N1134" s="2">
        <v>-18571.0</v>
      </c>
      <c r="O1134" s="2">
        <v>-929.0</v>
      </c>
      <c r="P1134" s="2" t="s">
        <v>1574</v>
      </c>
      <c r="Q1134" s="2" t="s">
        <v>1568</v>
      </c>
      <c r="R1134" s="2" t="s">
        <v>1569</v>
      </c>
      <c r="S1134" s="2" t="s">
        <v>1570</v>
      </c>
      <c r="W1134" s="2" t="s">
        <v>1571</v>
      </c>
    </row>
    <row r="1135">
      <c r="A1135" s="4">
        <v>45542.82152777778</v>
      </c>
      <c r="B1135" s="5">
        <v>2642197.0</v>
      </c>
      <c r="C1135" s="2" t="s">
        <v>1564</v>
      </c>
      <c r="D1135" s="2" t="s">
        <v>1572</v>
      </c>
      <c r="E1135" s="2">
        <v>10122.0</v>
      </c>
      <c r="F1135" s="2" t="s">
        <v>1577</v>
      </c>
      <c r="I1135" s="7">
        <v>-1.0</v>
      </c>
      <c r="J1135" s="6">
        <v>-21905.0</v>
      </c>
      <c r="K1135" s="2">
        <v>0.0</v>
      </c>
      <c r="L1135" s="2">
        <v>-21905.0</v>
      </c>
      <c r="M1135" s="2">
        <v>0.0</v>
      </c>
      <c r="N1135" s="2">
        <v>-21905.0</v>
      </c>
      <c r="O1135" s="2">
        <v>-1095.0</v>
      </c>
      <c r="P1135" s="2" t="s">
        <v>1574</v>
      </c>
      <c r="Q1135" s="2" t="s">
        <v>1568</v>
      </c>
      <c r="R1135" s="2" t="s">
        <v>1569</v>
      </c>
      <c r="S1135" s="2" t="s">
        <v>1570</v>
      </c>
      <c r="W1135" s="2" t="s">
        <v>1571</v>
      </c>
    </row>
    <row r="1136">
      <c r="A1136" s="4">
        <v>45542.82152777778</v>
      </c>
      <c r="B1136" s="5">
        <v>2642197.0</v>
      </c>
      <c r="C1136" s="2" t="s">
        <v>1564</v>
      </c>
      <c r="D1136" s="2" t="s">
        <v>1578</v>
      </c>
      <c r="E1136" s="2">
        <v>10051.0</v>
      </c>
      <c r="F1136" s="2" t="s">
        <v>1579</v>
      </c>
      <c r="I1136" s="7">
        <v>-1.0</v>
      </c>
      <c r="J1136" s="6">
        <v>-25238.0</v>
      </c>
      <c r="K1136" s="2">
        <v>0.0</v>
      </c>
      <c r="L1136" s="2">
        <v>-25238.0</v>
      </c>
      <c r="M1136" s="2">
        <v>0.0</v>
      </c>
      <c r="N1136" s="2">
        <v>-25238.0</v>
      </c>
      <c r="O1136" s="2">
        <v>-1262.0</v>
      </c>
      <c r="P1136" s="2" t="s">
        <v>1574</v>
      </c>
      <c r="Q1136" s="2" t="s">
        <v>1568</v>
      </c>
      <c r="R1136" s="2" t="s">
        <v>1569</v>
      </c>
      <c r="S1136" s="2" t="s">
        <v>1570</v>
      </c>
      <c r="W1136" s="2" t="s">
        <v>1571</v>
      </c>
    </row>
    <row r="1137">
      <c r="A1137" s="4">
        <v>45542.82013888889</v>
      </c>
      <c r="B1137" s="5">
        <v>2641832.0</v>
      </c>
      <c r="C1137" s="2" t="s">
        <v>1575</v>
      </c>
      <c r="D1137" s="2" t="s">
        <v>1565</v>
      </c>
      <c r="E1137" s="2">
        <v>10002.0</v>
      </c>
      <c r="F1137" s="2" t="s">
        <v>1576</v>
      </c>
      <c r="I1137" s="7">
        <v>1.0</v>
      </c>
      <c r="J1137" s="6">
        <v>18571.0</v>
      </c>
      <c r="K1137" s="2">
        <v>0.0</v>
      </c>
      <c r="L1137" s="2">
        <v>18571.0</v>
      </c>
      <c r="M1137" s="2">
        <v>0.0</v>
      </c>
      <c r="N1137" s="2">
        <v>18571.0</v>
      </c>
      <c r="O1137" s="2">
        <v>929.0</v>
      </c>
      <c r="P1137" s="2" t="s">
        <v>1574</v>
      </c>
      <c r="Q1137" s="2" t="s">
        <v>1568</v>
      </c>
      <c r="R1137" s="2" t="s">
        <v>1569</v>
      </c>
      <c r="S1137" s="2" t="s">
        <v>1570</v>
      </c>
      <c r="W1137" s="2" t="s">
        <v>1571</v>
      </c>
    </row>
    <row r="1138">
      <c r="A1138" s="4">
        <v>45542.82013888889</v>
      </c>
      <c r="B1138" s="5">
        <v>2641832.0</v>
      </c>
      <c r="C1138" s="2" t="s">
        <v>1575</v>
      </c>
      <c r="D1138" s="2" t="s">
        <v>1572</v>
      </c>
      <c r="E1138" s="2">
        <v>10122.0</v>
      </c>
      <c r="F1138" s="2" t="s">
        <v>1577</v>
      </c>
      <c r="I1138" s="7">
        <v>1.0</v>
      </c>
      <c r="J1138" s="6">
        <v>21905.0</v>
      </c>
      <c r="K1138" s="2">
        <v>0.0</v>
      </c>
      <c r="L1138" s="2">
        <v>21905.0</v>
      </c>
      <c r="M1138" s="2">
        <v>0.0</v>
      </c>
      <c r="N1138" s="2">
        <v>21905.0</v>
      </c>
      <c r="O1138" s="2">
        <v>1095.0</v>
      </c>
      <c r="P1138" s="2" t="s">
        <v>1574</v>
      </c>
      <c r="Q1138" s="2" t="s">
        <v>1568</v>
      </c>
      <c r="R1138" s="2" t="s">
        <v>1569</v>
      </c>
      <c r="S1138" s="2" t="s">
        <v>1570</v>
      </c>
      <c r="W1138" s="2" t="s">
        <v>1571</v>
      </c>
    </row>
    <row r="1139">
      <c r="A1139" s="4">
        <v>45542.82013888889</v>
      </c>
      <c r="B1139" s="5">
        <v>2641832.0</v>
      </c>
      <c r="C1139" s="2" t="s">
        <v>1575</v>
      </c>
      <c r="D1139" s="2" t="s">
        <v>1578</v>
      </c>
      <c r="E1139" s="2">
        <v>10051.0</v>
      </c>
      <c r="F1139" s="2" t="s">
        <v>1579</v>
      </c>
      <c r="I1139" s="7">
        <v>1.0</v>
      </c>
      <c r="J1139" s="6">
        <v>25238.0</v>
      </c>
      <c r="K1139" s="2">
        <v>0.0</v>
      </c>
      <c r="L1139" s="2">
        <v>25238.0</v>
      </c>
      <c r="M1139" s="2">
        <v>0.0</v>
      </c>
      <c r="N1139" s="2">
        <v>25238.0</v>
      </c>
      <c r="O1139" s="2">
        <v>1262.0</v>
      </c>
      <c r="P1139" s="2" t="s">
        <v>1574</v>
      </c>
      <c r="Q1139" s="2" t="s">
        <v>1568</v>
      </c>
      <c r="R1139" s="2" t="s">
        <v>1569</v>
      </c>
      <c r="S1139" s="2" t="s">
        <v>1570</v>
      </c>
      <c r="W1139" s="2" t="s">
        <v>1571</v>
      </c>
    </row>
    <row r="1140">
      <c r="A1140" s="4">
        <v>45542.81458333333</v>
      </c>
      <c r="B1140" s="5">
        <v>2641466.0</v>
      </c>
      <c r="C1140" s="2" t="s">
        <v>1575</v>
      </c>
      <c r="D1140" s="2" t="s">
        <v>1578</v>
      </c>
      <c r="E1140" s="2">
        <v>10010.0</v>
      </c>
      <c r="F1140" s="2" t="s">
        <v>1606</v>
      </c>
      <c r="I1140" s="7">
        <v>1.0</v>
      </c>
      <c r="J1140" s="6">
        <v>25238.0</v>
      </c>
      <c r="K1140" s="2">
        <v>0.0</v>
      </c>
      <c r="L1140" s="2">
        <v>25238.0</v>
      </c>
      <c r="M1140" s="2">
        <v>0.0</v>
      </c>
      <c r="N1140" s="2">
        <v>25238.0</v>
      </c>
      <c r="O1140" s="2">
        <v>1262.0</v>
      </c>
      <c r="P1140" s="2" t="s">
        <v>1574</v>
      </c>
      <c r="Q1140" s="2" t="s">
        <v>1568</v>
      </c>
      <c r="R1140" s="2" t="s">
        <v>1569</v>
      </c>
      <c r="S1140" s="2" t="s">
        <v>1570</v>
      </c>
      <c r="W1140" s="2" t="s">
        <v>1571</v>
      </c>
    </row>
    <row r="1141">
      <c r="A1141" s="4">
        <v>45542.8125</v>
      </c>
      <c r="B1141" s="5">
        <v>2641101.0</v>
      </c>
      <c r="C1141" s="2" t="s">
        <v>1575</v>
      </c>
      <c r="D1141" s="2" t="s">
        <v>1578</v>
      </c>
      <c r="E1141" s="2">
        <v>10004.0</v>
      </c>
      <c r="F1141" s="2" t="s">
        <v>1607</v>
      </c>
      <c r="I1141" s="7">
        <v>1.0</v>
      </c>
      <c r="J1141" s="6">
        <v>25238.0</v>
      </c>
      <c r="K1141" s="2">
        <v>0.0</v>
      </c>
      <c r="L1141" s="2">
        <v>25238.0</v>
      </c>
      <c r="M1141" s="2">
        <v>0.0</v>
      </c>
      <c r="N1141" s="2">
        <v>25238.0</v>
      </c>
      <c r="O1141" s="2">
        <v>1262.0</v>
      </c>
      <c r="P1141" s="2" t="s">
        <v>1574</v>
      </c>
      <c r="Q1141" s="2" t="s">
        <v>1568</v>
      </c>
      <c r="R1141" s="2" t="s">
        <v>1569</v>
      </c>
      <c r="S1141" s="2" t="s">
        <v>1570</v>
      </c>
      <c r="W1141" s="2" t="s">
        <v>1571</v>
      </c>
    </row>
    <row r="1142">
      <c r="A1142" s="4">
        <v>45542.805555555555</v>
      </c>
      <c r="B1142" s="5">
        <v>2640736.0</v>
      </c>
      <c r="C1142" s="2" t="s">
        <v>1575</v>
      </c>
      <c r="D1142" s="2" t="s">
        <v>1578</v>
      </c>
      <c r="E1142" s="2">
        <v>10014.0</v>
      </c>
      <c r="F1142" s="2" t="s">
        <v>1609</v>
      </c>
      <c r="I1142" s="7">
        <v>1.0</v>
      </c>
      <c r="J1142" s="6">
        <v>25238.0</v>
      </c>
      <c r="K1142" s="2">
        <v>0.0</v>
      </c>
      <c r="L1142" s="2">
        <v>25238.0</v>
      </c>
      <c r="M1142" s="2">
        <v>0.0</v>
      </c>
      <c r="N1142" s="2">
        <v>25238.0</v>
      </c>
      <c r="O1142" s="2">
        <v>1262.0</v>
      </c>
      <c r="P1142" s="2" t="s">
        <v>1574</v>
      </c>
      <c r="Q1142" s="2" t="s">
        <v>1568</v>
      </c>
      <c r="R1142" s="2" t="s">
        <v>1569</v>
      </c>
      <c r="S1142" s="2" t="s">
        <v>1570</v>
      </c>
      <c r="W1142" s="2" t="s">
        <v>1571</v>
      </c>
    </row>
    <row r="1143">
      <c r="A1143" s="4">
        <v>45542.805555555555</v>
      </c>
      <c r="B1143" s="5">
        <v>2640371.0</v>
      </c>
      <c r="C1143" s="2" t="s">
        <v>1575</v>
      </c>
      <c r="D1143" s="2" t="s">
        <v>1580</v>
      </c>
      <c r="E1143" s="2">
        <v>10104.0</v>
      </c>
      <c r="F1143" s="2" t="s">
        <v>1581</v>
      </c>
      <c r="I1143" s="7">
        <v>2.0</v>
      </c>
      <c r="J1143" s="6">
        <v>69524.0</v>
      </c>
      <c r="K1143" s="2">
        <v>0.0</v>
      </c>
      <c r="L1143" s="2">
        <v>69524.0</v>
      </c>
      <c r="M1143" s="2">
        <v>0.0</v>
      </c>
      <c r="N1143" s="2">
        <v>69524.0</v>
      </c>
      <c r="O1143" s="2">
        <v>3476.0</v>
      </c>
      <c r="P1143" s="2" t="s">
        <v>1574</v>
      </c>
      <c r="Q1143" s="2" t="s">
        <v>1568</v>
      </c>
      <c r="R1143" s="2" t="s">
        <v>1569</v>
      </c>
      <c r="S1143" s="2" t="s">
        <v>1570</v>
      </c>
      <c r="W1143" s="2" t="s">
        <v>1571</v>
      </c>
    </row>
    <row r="1144">
      <c r="A1144" s="4">
        <v>45542.805555555555</v>
      </c>
      <c r="B1144" s="5">
        <v>2640371.0</v>
      </c>
      <c r="C1144" s="2" t="s">
        <v>1575</v>
      </c>
      <c r="D1144" s="2" t="s">
        <v>1580</v>
      </c>
      <c r="E1144" s="2">
        <v>10012.0</v>
      </c>
      <c r="F1144" s="2" t="s">
        <v>1602</v>
      </c>
      <c r="I1144" s="7">
        <v>1.0</v>
      </c>
      <c r="J1144" s="6">
        <v>29524.0</v>
      </c>
      <c r="K1144" s="2">
        <v>0.0</v>
      </c>
      <c r="L1144" s="2">
        <v>29524.0</v>
      </c>
      <c r="M1144" s="2">
        <v>0.0</v>
      </c>
      <c r="N1144" s="2">
        <v>29524.0</v>
      </c>
      <c r="O1144" s="2">
        <v>1476.0</v>
      </c>
      <c r="P1144" s="2" t="s">
        <v>1574</v>
      </c>
      <c r="Q1144" s="2" t="s">
        <v>1568</v>
      </c>
      <c r="R1144" s="2" t="s">
        <v>1569</v>
      </c>
      <c r="S1144" s="2" t="s">
        <v>1570</v>
      </c>
      <c r="W1144" s="2" t="s">
        <v>1571</v>
      </c>
    </row>
    <row r="1145">
      <c r="A1145" s="4">
        <v>45542.805555555555</v>
      </c>
      <c r="B1145" s="5">
        <v>2640371.0</v>
      </c>
      <c r="C1145" s="2" t="s">
        <v>1575</v>
      </c>
      <c r="D1145" s="2" t="s">
        <v>1572</v>
      </c>
      <c r="E1145" s="2">
        <v>10120.0</v>
      </c>
      <c r="F1145" s="2" t="s">
        <v>1590</v>
      </c>
      <c r="I1145" s="7">
        <v>2.0</v>
      </c>
      <c r="J1145" s="6">
        <v>39048.0</v>
      </c>
      <c r="K1145" s="2">
        <v>0.0</v>
      </c>
      <c r="L1145" s="2">
        <v>39048.0</v>
      </c>
      <c r="M1145" s="2">
        <v>0.0</v>
      </c>
      <c r="N1145" s="2">
        <v>39048.0</v>
      </c>
      <c r="O1145" s="2">
        <v>1953.0</v>
      </c>
      <c r="P1145" s="2" t="s">
        <v>1574</v>
      </c>
      <c r="Q1145" s="2" t="s">
        <v>1568</v>
      </c>
      <c r="R1145" s="2" t="s">
        <v>1569</v>
      </c>
      <c r="S1145" s="2" t="s">
        <v>1570</v>
      </c>
      <c r="W1145" s="2" t="s">
        <v>1571</v>
      </c>
    </row>
    <row r="1146">
      <c r="A1146" s="4">
        <v>45542.805555555555</v>
      </c>
      <c r="B1146" s="5">
        <v>2640371.0</v>
      </c>
      <c r="C1146" s="2" t="s">
        <v>1575</v>
      </c>
      <c r="D1146" s="2" t="s">
        <v>1578</v>
      </c>
      <c r="E1146" s="2">
        <v>10009.0</v>
      </c>
      <c r="F1146" s="2" t="s">
        <v>1586</v>
      </c>
      <c r="I1146" s="7">
        <v>1.0</v>
      </c>
      <c r="J1146" s="6">
        <v>26667.0</v>
      </c>
      <c r="K1146" s="2">
        <v>0.0</v>
      </c>
      <c r="L1146" s="2">
        <v>26667.0</v>
      </c>
      <c r="M1146" s="2">
        <v>0.0</v>
      </c>
      <c r="N1146" s="2">
        <v>26667.0</v>
      </c>
      <c r="O1146" s="2">
        <v>1333.0</v>
      </c>
      <c r="P1146" s="2" t="s">
        <v>1574</v>
      </c>
      <c r="Q1146" s="2" t="s">
        <v>1568</v>
      </c>
      <c r="R1146" s="2" t="s">
        <v>1569</v>
      </c>
      <c r="S1146" s="2" t="s">
        <v>1570</v>
      </c>
      <c r="W1146" s="2" t="s">
        <v>1571</v>
      </c>
    </row>
    <row r="1147">
      <c r="A1147" s="4">
        <v>45542.805555555555</v>
      </c>
      <c r="B1147" s="5">
        <v>2640371.0</v>
      </c>
      <c r="C1147" s="2" t="s">
        <v>1575</v>
      </c>
      <c r="D1147" s="2" t="s">
        <v>1572</v>
      </c>
      <c r="E1147" s="2">
        <v>10118.0</v>
      </c>
      <c r="F1147" s="2" t="s">
        <v>1604</v>
      </c>
      <c r="I1147" s="7">
        <v>1.0</v>
      </c>
      <c r="J1147" s="6">
        <v>7143.0</v>
      </c>
      <c r="K1147" s="2">
        <v>0.0</v>
      </c>
      <c r="L1147" s="2">
        <v>7143.0</v>
      </c>
      <c r="M1147" s="2">
        <v>0.0</v>
      </c>
      <c r="N1147" s="2">
        <v>7143.0</v>
      </c>
      <c r="O1147" s="2">
        <v>357.0</v>
      </c>
      <c r="P1147" s="2" t="s">
        <v>1574</v>
      </c>
      <c r="Q1147" s="2" t="s">
        <v>1568</v>
      </c>
      <c r="R1147" s="2" t="s">
        <v>1569</v>
      </c>
      <c r="S1147" s="2" t="s">
        <v>1570</v>
      </c>
      <c r="W1147" s="2" t="s">
        <v>1571</v>
      </c>
    </row>
    <row r="1148">
      <c r="A1148" s="4">
        <v>45542.80069444444</v>
      </c>
      <c r="B1148" s="5">
        <v>2640005.0</v>
      </c>
      <c r="C1148" s="2" t="s">
        <v>1575</v>
      </c>
      <c r="D1148" s="2" t="s">
        <v>1572</v>
      </c>
      <c r="E1148" s="2">
        <v>10106.0</v>
      </c>
      <c r="F1148" s="2" t="s">
        <v>1598</v>
      </c>
      <c r="I1148" s="7">
        <v>1.0</v>
      </c>
      <c r="J1148" s="6">
        <v>26667.0</v>
      </c>
      <c r="K1148" s="2">
        <v>0.0</v>
      </c>
      <c r="L1148" s="2">
        <v>26667.0</v>
      </c>
      <c r="M1148" s="2">
        <v>0.0</v>
      </c>
      <c r="N1148" s="2">
        <v>26667.0</v>
      </c>
      <c r="O1148" s="2">
        <v>1333.0</v>
      </c>
      <c r="P1148" s="2" t="s">
        <v>1574</v>
      </c>
      <c r="Q1148" s="2" t="s">
        <v>1568</v>
      </c>
      <c r="R1148" s="2" t="s">
        <v>1569</v>
      </c>
      <c r="S1148" s="2" t="s">
        <v>1570</v>
      </c>
      <c r="W1148" s="2" t="s">
        <v>1571</v>
      </c>
    </row>
    <row r="1149">
      <c r="A1149" s="4">
        <v>45542.79652777778</v>
      </c>
      <c r="B1149" s="5">
        <v>2639640.0</v>
      </c>
      <c r="C1149" s="2" t="s">
        <v>1575</v>
      </c>
      <c r="D1149" s="2" t="s">
        <v>1580</v>
      </c>
      <c r="E1149" s="2">
        <v>10105.0</v>
      </c>
      <c r="F1149" s="2" t="s">
        <v>1611</v>
      </c>
      <c r="I1149" s="7">
        <v>1.0</v>
      </c>
      <c r="J1149" s="6">
        <v>38095.0</v>
      </c>
      <c r="K1149" s="2">
        <v>0.0</v>
      </c>
      <c r="L1149" s="2">
        <v>38095.0</v>
      </c>
      <c r="M1149" s="2">
        <v>0.0</v>
      </c>
      <c r="N1149" s="2">
        <v>38095.0</v>
      </c>
      <c r="O1149" s="2">
        <v>1905.0</v>
      </c>
      <c r="P1149" s="2" t="s">
        <v>1574</v>
      </c>
      <c r="Q1149" s="2" t="s">
        <v>1568</v>
      </c>
      <c r="R1149" s="2" t="s">
        <v>1569</v>
      </c>
      <c r="S1149" s="2" t="s">
        <v>1570</v>
      </c>
      <c r="W1149" s="2" t="s">
        <v>1571</v>
      </c>
    </row>
    <row r="1150">
      <c r="A1150" s="4">
        <v>45542.79652777778</v>
      </c>
      <c r="B1150" s="5">
        <v>2639640.0</v>
      </c>
      <c r="C1150" s="2" t="s">
        <v>1575</v>
      </c>
      <c r="D1150" s="2" t="s">
        <v>1580</v>
      </c>
      <c r="E1150" s="2">
        <v>10104.0</v>
      </c>
      <c r="F1150" s="2" t="s">
        <v>1581</v>
      </c>
      <c r="I1150" s="7">
        <v>1.0</v>
      </c>
      <c r="J1150" s="6">
        <v>34762.0</v>
      </c>
      <c r="K1150" s="2">
        <v>0.0</v>
      </c>
      <c r="L1150" s="2">
        <v>34762.0</v>
      </c>
      <c r="M1150" s="2">
        <v>0.0</v>
      </c>
      <c r="N1150" s="2">
        <v>34762.0</v>
      </c>
      <c r="O1150" s="2">
        <v>1738.0</v>
      </c>
      <c r="P1150" s="2" t="s">
        <v>1574</v>
      </c>
      <c r="Q1150" s="2" t="s">
        <v>1568</v>
      </c>
      <c r="R1150" s="2" t="s">
        <v>1569</v>
      </c>
      <c r="S1150" s="2" t="s">
        <v>1570</v>
      </c>
      <c r="W1150" s="2" t="s">
        <v>1571</v>
      </c>
    </row>
    <row r="1151">
      <c r="A1151" s="4">
        <v>45542.79513888889</v>
      </c>
      <c r="B1151" s="5">
        <v>2639275.0</v>
      </c>
      <c r="C1151" s="2" t="s">
        <v>1575</v>
      </c>
      <c r="D1151" s="2" t="s">
        <v>1565</v>
      </c>
      <c r="E1151" s="2">
        <v>10005.0</v>
      </c>
      <c r="F1151" s="2" t="s">
        <v>1595</v>
      </c>
      <c r="I1151" s="7">
        <v>1.0</v>
      </c>
      <c r="J1151" s="6">
        <v>19524.0</v>
      </c>
      <c r="K1151" s="2">
        <v>0.0</v>
      </c>
      <c r="L1151" s="2">
        <v>19524.0</v>
      </c>
      <c r="M1151" s="2">
        <v>0.0</v>
      </c>
      <c r="N1151" s="2">
        <v>19524.0</v>
      </c>
      <c r="O1151" s="2">
        <v>976.0</v>
      </c>
      <c r="P1151" s="2" t="s">
        <v>1574</v>
      </c>
      <c r="Q1151" s="2" t="s">
        <v>1568</v>
      </c>
      <c r="R1151" s="2" t="s">
        <v>1569</v>
      </c>
      <c r="S1151" s="2" t="s">
        <v>1570</v>
      </c>
      <c r="W1151" s="2" t="s">
        <v>1571</v>
      </c>
    </row>
    <row r="1152">
      <c r="A1152" s="4">
        <v>45542.79513888889</v>
      </c>
      <c r="B1152" s="5">
        <v>2639275.0</v>
      </c>
      <c r="C1152" s="2" t="s">
        <v>1575</v>
      </c>
      <c r="D1152" s="2" t="s">
        <v>1565</v>
      </c>
      <c r="E1152" s="2">
        <v>10002.0</v>
      </c>
      <c r="F1152" s="2" t="s">
        <v>1576</v>
      </c>
      <c r="I1152" s="7">
        <v>1.0</v>
      </c>
      <c r="J1152" s="6">
        <v>18571.0</v>
      </c>
      <c r="K1152" s="2">
        <v>0.0</v>
      </c>
      <c r="L1152" s="2">
        <v>18571.0</v>
      </c>
      <c r="M1152" s="2">
        <v>0.0</v>
      </c>
      <c r="N1152" s="2">
        <v>18571.0</v>
      </c>
      <c r="O1152" s="2">
        <v>929.0</v>
      </c>
      <c r="P1152" s="2" t="s">
        <v>1574</v>
      </c>
      <c r="Q1152" s="2" t="s">
        <v>1568</v>
      </c>
      <c r="R1152" s="2" t="s">
        <v>1569</v>
      </c>
      <c r="S1152" s="2" t="s">
        <v>1570</v>
      </c>
      <c r="W1152" s="2" t="s">
        <v>1571</v>
      </c>
    </row>
    <row r="1153">
      <c r="A1153" s="4">
        <v>45542.785416666666</v>
      </c>
      <c r="B1153" s="5">
        <v>2638910.0</v>
      </c>
      <c r="C1153" s="2" t="s">
        <v>1575</v>
      </c>
      <c r="D1153" s="2" t="s">
        <v>1572</v>
      </c>
      <c r="E1153" s="2">
        <v>10128.0</v>
      </c>
      <c r="F1153" s="2" t="s">
        <v>1588</v>
      </c>
      <c r="I1153" s="7">
        <v>1.0</v>
      </c>
      <c r="J1153" s="6">
        <v>23333.0</v>
      </c>
      <c r="K1153" s="2">
        <v>0.0</v>
      </c>
      <c r="L1153" s="2">
        <v>23333.0</v>
      </c>
      <c r="M1153" s="2">
        <v>0.0</v>
      </c>
      <c r="N1153" s="2">
        <v>23333.0</v>
      </c>
      <c r="O1153" s="2">
        <v>1167.0</v>
      </c>
      <c r="P1153" s="2" t="s">
        <v>1574</v>
      </c>
      <c r="Q1153" s="2" t="s">
        <v>1568</v>
      </c>
      <c r="R1153" s="2" t="s">
        <v>1569</v>
      </c>
      <c r="S1153" s="2" t="s">
        <v>1570</v>
      </c>
      <c r="W1153" s="2" t="s">
        <v>1571</v>
      </c>
    </row>
    <row r="1154">
      <c r="A1154" s="4">
        <v>45542.785416666666</v>
      </c>
      <c r="B1154" s="5">
        <v>2638910.0</v>
      </c>
      <c r="C1154" s="2" t="s">
        <v>1575</v>
      </c>
      <c r="D1154" s="2" t="s">
        <v>1578</v>
      </c>
      <c r="E1154" s="2">
        <v>10014.0</v>
      </c>
      <c r="F1154" s="2" t="s">
        <v>1609</v>
      </c>
      <c r="I1154" s="7">
        <v>1.0</v>
      </c>
      <c r="J1154" s="6">
        <v>25238.0</v>
      </c>
      <c r="K1154" s="2">
        <v>0.0</v>
      </c>
      <c r="L1154" s="2">
        <v>25238.0</v>
      </c>
      <c r="M1154" s="2">
        <v>0.0</v>
      </c>
      <c r="N1154" s="2">
        <v>25238.0</v>
      </c>
      <c r="O1154" s="2">
        <v>1262.0</v>
      </c>
      <c r="P1154" s="2" t="s">
        <v>1574</v>
      </c>
      <c r="Q1154" s="2" t="s">
        <v>1568</v>
      </c>
      <c r="R1154" s="2" t="s">
        <v>1569</v>
      </c>
      <c r="S1154" s="2" t="s">
        <v>1570</v>
      </c>
      <c r="W1154" s="2" t="s">
        <v>1571</v>
      </c>
    </row>
    <row r="1155">
      <c r="A1155" s="4">
        <v>45542.785416666666</v>
      </c>
      <c r="B1155" s="5">
        <v>2638910.0</v>
      </c>
      <c r="C1155" s="2" t="s">
        <v>1575</v>
      </c>
      <c r="D1155" s="2" t="s">
        <v>1565</v>
      </c>
      <c r="E1155" s="2">
        <v>10002.0</v>
      </c>
      <c r="F1155" s="2" t="s">
        <v>1576</v>
      </c>
      <c r="I1155" s="7">
        <v>1.0</v>
      </c>
      <c r="J1155" s="6">
        <v>18571.0</v>
      </c>
      <c r="K1155" s="2">
        <v>0.0</v>
      </c>
      <c r="L1155" s="2">
        <v>18571.0</v>
      </c>
      <c r="M1155" s="2">
        <v>0.0</v>
      </c>
      <c r="N1155" s="2">
        <v>18571.0</v>
      </c>
      <c r="O1155" s="2">
        <v>928.0</v>
      </c>
      <c r="P1155" s="2" t="s">
        <v>1574</v>
      </c>
      <c r="Q1155" s="2" t="s">
        <v>1568</v>
      </c>
      <c r="R1155" s="2" t="s">
        <v>1569</v>
      </c>
      <c r="S1155" s="2" t="s">
        <v>1570</v>
      </c>
      <c r="W1155" s="2" t="s">
        <v>1571</v>
      </c>
    </row>
    <row r="1156">
      <c r="A1156" s="4">
        <v>45542.78055555555</v>
      </c>
      <c r="B1156" s="5">
        <v>2638544.0</v>
      </c>
      <c r="C1156" s="2" t="s">
        <v>1575</v>
      </c>
      <c r="D1156" s="2" t="s">
        <v>1572</v>
      </c>
      <c r="E1156" s="2">
        <v>10026.0</v>
      </c>
      <c r="F1156" s="2" t="s">
        <v>1583</v>
      </c>
      <c r="I1156" s="7">
        <v>1.0</v>
      </c>
      <c r="J1156" s="6">
        <v>21905.0</v>
      </c>
      <c r="K1156" s="2">
        <v>0.0</v>
      </c>
      <c r="L1156" s="2">
        <v>21905.0</v>
      </c>
      <c r="M1156" s="2">
        <v>0.0</v>
      </c>
      <c r="N1156" s="2">
        <v>21905.0</v>
      </c>
      <c r="O1156" s="2">
        <v>1095.0</v>
      </c>
      <c r="P1156" s="2" t="s">
        <v>1574</v>
      </c>
      <c r="Q1156" s="2" t="s">
        <v>1568</v>
      </c>
      <c r="R1156" s="2" t="s">
        <v>1569</v>
      </c>
      <c r="S1156" s="2" t="s">
        <v>1570</v>
      </c>
      <c r="W1156" s="2" t="s">
        <v>1571</v>
      </c>
    </row>
    <row r="1157">
      <c r="A1157" s="4">
        <v>45542.78055555555</v>
      </c>
      <c r="B1157" s="5">
        <v>2638544.0</v>
      </c>
      <c r="C1157" s="2" t="s">
        <v>1575</v>
      </c>
      <c r="D1157" s="2" t="s">
        <v>1572</v>
      </c>
      <c r="E1157" s="2">
        <v>10128.0</v>
      </c>
      <c r="F1157" s="2" t="s">
        <v>1588</v>
      </c>
      <c r="I1157" s="7">
        <v>1.0</v>
      </c>
      <c r="J1157" s="6">
        <v>23333.0</v>
      </c>
      <c r="K1157" s="2">
        <v>0.0</v>
      </c>
      <c r="L1157" s="2">
        <v>23333.0</v>
      </c>
      <c r="M1157" s="2">
        <v>0.0</v>
      </c>
      <c r="N1157" s="2">
        <v>23333.0</v>
      </c>
      <c r="O1157" s="2">
        <v>1167.0</v>
      </c>
      <c r="P1157" s="2" t="s">
        <v>1574</v>
      </c>
      <c r="Q1157" s="2" t="s">
        <v>1568</v>
      </c>
      <c r="R1157" s="2" t="s">
        <v>1569</v>
      </c>
      <c r="S1157" s="2" t="s">
        <v>1570</v>
      </c>
      <c r="W1157" s="2" t="s">
        <v>1571</v>
      </c>
    </row>
    <row r="1158">
      <c r="A1158" s="4">
        <v>45542.78055555555</v>
      </c>
      <c r="B1158" s="5">
        <v>2638544.0</v>
      </c>
      <c r="C1158" s="2" t="s">
        <v>1575</v>
      </c>
      <c r="D1158" s="2" t="s">
        <v>1578</v>
      </c>
      <c r="E1158" s="2">
        <v>10004.0</v>
      </c>
      <c r="F1158" s="2" t="s">
        <v>1607</v>
      </c>
      <c r="I1158" s="7">
        <v>1.0</v>
      </c>
      <c r="J1158" s="6">
        <v>25238.0</v>
      </c>
      <c r="K1158" s="2">
        <v>0.0</v>
      </c>
      <c r="L1158" s="2">
        <v>25238.0</v>
      </c>
      <c r="M1158" s="2">
        <v>0.0</v>
      </c>
      <c r="N1158" s="2">
        <v>25238.0</v>
      </c>
      <c r="O1158" s="2">
        <v>1262.0</v>
      </c>
      <c r="P1158" s="2" t="s">
        <v>1574</v>
      </c>
      <c r="Q1158" s="2" t="s">
        <v>1568</v>
      </c>
      <c r="R1158" s="2" t="s">
        <v>1569</v>
      </c>
      <c r="S1158" s="2" t="s">
        <v>1570</v>
      </c>
      <c r="W1158" s="2" t="s">
        <v>1571</v>
      </c>
    </row>
    <row r="1159">
      <c r="A1159" s="4">
        <v>45542.763194444444</v>
      </c>
      <c r="B1159" s="5">
        <v>2638179.0</v>
      </c>
      <c r="C1159" s="2" t="s">
        <v>1575</v>
      </c>
      <c r="D1159" s="2" t="s">
        <v>1565</v>
      </c>
      <c r="E1159" s="2">
        <v>10055.0</v>
      </c>
      <c r="F1159" s="2" t="s">
        <v>1597</v>
      </c>
      <c r="I1159" s="7">
        <v>1.0</v>
      </c>
      <c r="J1159" s="6">
        <v>34762.0</v>
      </c>
      <c r="K1159" s="2">
        <v>0.0</v>
      </c>
      <c r="L1159" s="2">
        <v>34762.0</v>
      </c>
      <c r="M1159" s="2">
        <v>0.0</v>
      </c>
      <c r="N1159" s="2">
        <v>34762.0</v>
      </c>
      <c r="O1159" s="2">
        <v>1738.0</v>
      </c>
      <c r="P1159" s="2" t="s">
        <v>1574</v>
      </c>
      <c r="Q1159" s="2" t="s">
        <v>1568</v>
      </c>
      <c r="R1159" s="2" t="s">
        <v>1569</v>
      </c>
      <c r="S1159" s="2" t="s">
        <v>1570</v>
      </c>
      <c r="W1159" s="2" t="s">
        <v>1571</v>
      </c>
    </row>
    <row r="1160">
      <c r="A1160" s="4">
        <v>45542.763194444444</v>
      </c>
      <c r="B1160" s="5">
        <v>2638179.0</v>
      </c>
      <c r="C1160" s="2" t="s">
        <v>1575</v>
      </c>
      <c r="D1160" s="2" t="s">
        <v>1565</v>
      </c>
      <c r="E1160" s="2">
        <v>10007.0</v>
      </c>
      <c r="F1160" s="2" t="s">
        <v>1596</v>
      </c>
      <c r="I1160" s="7">
        <v>1.0</v>
      </c>
      <c r="J1160" s="6">
        <v>33810.0</v>
      </c>
      <c r="K1160" s="2">
        <v>0.0</v>
      </c>
      <c r="L1160" s="2">
        <v>33810.0</v>
      </c>
      <c r="M1160" s="2">
        <v>0.0</v>
      </c>
      <c r="N1160" s="2">
        <v>33810.0</v>
      </c>
      <c r="O1160" s="2">
        <v>1691.0</v>
      </c>
      <c r="P1160" s="2" t="s">
        <v>1574</v>
      </c>
      <c r="Q1160" s="2" t="s">
        <v>1568</v>
      </c>
      <c r="R1160" s="2" t="s">
        <v>1569</v>
      </c>
      <c r="S1160" s="2" t="s">
        <v>1570</v>
      </c>
      <c r="W1160" s="2" t="s">
        <v>1571</v>
      </c>
    </row>
    <row r="1161">
      <c r="A1161" s="4">
        <v>45542.760416666664</v>
      </c>
      <c r="B1161" s="5">
        <v>2637814.0</v>
      </c>
      <c r="C1161" s="2" t="s">
        <v>1575</v>
      </c>
      <c r="D1161" s="2" t="s">
        <v>1565</v>
      </c>
      <c r="E1161" s="2">
        <v>10005.0</v>
      </c>
      <c r="F1161" s="2" t="s">
        <v>1595</v>
      </c>
      <c r="I1161" s="7">
        <v>1.0</v>
      </c>
      <c r="J1161" s="6">
        <v>19524.0</v>
      </c>
      <c r="K1161" s="2">
        <v>0.0</v>
      </c>
      <c r="L1161" s="2">
        <v>19524.0</v>
      </c>
      <c r="M1161" s="2">
        <v>0.0</v>
      </c>
      <c r="N1161" s="2">
        <v>19524.0</v>
      </c>
      <c r="O1161" s="2">
        <v>976.0</v>
      </c>
      <c r="P1161" s="2" t="s">
        <v>1574</v>
      </c>
      <c r="Q1161" s="2" t="s">
        <v>1568</v>
      </c>
      <c r="R1161" s="2" t="s">
        <v>1569</v>
      </c>
      <c r="S1161" s="2" t="s">
        <v>1570</v>
      </c>
      <c r="W1161" s="2" t="s">
        <v>1571</v>
      </c>
    </row>
    <row r="1162">
      <c r="A1162" s="4">
        <v>45542.75902777778</v>
      </c>
      <c r="B1162" s="5">
        <v>2637449.0</v>
      </c>
      <c r="C1162" s="2" t="s">
        <v>1575</v>
      </c>
      <c r="D1162" s="2" t="s">
        <v>1572</v>
      </c>
      <c r="E1162" s="2">
        <v>10125.0</v>
      </c>
      <c r="F1162" s="2" t="s">
        <v>1601</v>
      </c>
      <c r="I1162" s="7">
        <v>1.0</v>
      </c>
      <c r="J1162" s="6">
        <v>20476.0</v>
      </c>
      <c r="K1162" s="2">
        <v>0.0</v>
      </c>
      <c r="L1162" s="2">
        <v>20476.0</v>
      </c>
      <c r="M1162" s="2">
        <v>0.0</v>
      </c>
      <c r="N1162" s="2">
        <v>20476.0</v>
      </c>
      <c r="O1162" s="2">
        <v>1024.0</v>
      </c>
      <c r="P1162" s="2" t="s">
        <v>1574</v>
      </c>
      <c r="Q1162" s="2" t="s">
        <v>1568</v>
      </c>
      <c r="R1162" s="2" t="s">
        <v>1569</v>
      </c>
      <c r="S1162" s="2" t="s">
        <v>1570</v>
      </c>
      <c r="W1162" s="2" t="s">
        <v>1571</v>
      </c>
    </row>
    <row r="1163">
      <c r="A1163" s="4">
        <v>45542.736805555556</v>
      </c>
      <c r="B1163" s="5">
        <v>2637083.0</v>
      </c>
      <c r="C1163" s="2" t="s">
        <v>1575</v>
      </c>
      <c r="D1163" s="2" t="s">
        <v>1572</v>
      </c>
      <c r="E1163" s="2">
        <v>10112.0</v>
      </c>
      <c r="F1163" s="2" t="s">
        <v>1573</v>
      </c>
      <c r="I1163" s="7">
        <v>1.0</v>
      </c>
      <c r="J1163" s="6">
        <v>6667.0</v>
      </c>
      <c r="K1163" s="2">
        <v>0.0</v>
      </c>
      <c r="L1163" s="2">
        <v>6667.0</v>
      </c>
      <c r="M1163" s="2">
        <v>0.0</v>
      </c>
      <c r="N1163" s="2">
        <v>6667.0</v>
      </c>
      <c r="O1163" s="2">
        <v>333.0</v>
      </c>
      <c r="P1163" s="2" t="s">
        <v>1574</v>
      </c>
      <c r="Q1163" s="2" t="s">
        <v>1568</v>
      </c>
      <c r="R1163" s="2" t="s">
        <v>1569</v>
      </c>
      <c r="S1163" s="2" t="s">
        <v>1570</v>
      </c>
      <c r="W1163" s="2" t="s">
        <v>1571</v>
      </c>
    </row>
    <row r="1164">
      <c r="A1164" s="4">
        <v>45542.736805555556</v>
      </c>
      <c r="B1164" s="5">
        <v>2637083.0</v>
      </c>
      <c r="C1164" s="2" t="s">
        <v>1575</v>
      </c>
      <c r="D1164" s="2" t="s">
        <v>1572</v>
      </c>
      <c r="E1164" s="2">
        <v>10026.0</v>
      </c>
      <c r="F1164" s="2" t="s">
        <v>1583</v>
      </c>
      <c r="I1164" s="7">
        <v>2.0</v>
      </c>
      <c r="J1164" s="6">
        <v>43810.0</v>
      </c>
      <c r="K1164" s="2">
        <v>0.0</v>
      </c>
      <c r="L1164" s="2">
        <v>43810.0</v>
      </c>
      <c r="M1164" s="2">
        <v>0.0</v>
      </c>
      <c r="N1164" s="2">
        <v>43810.0</v>
      </c>
      <c r="O1164" s="2">
        <v>2191.0</v>
      </c>
      <c r="P1164" s="2" t="s">
        <v>1574</v>
      </c>
      <c r="Q1164" s="2" t="s">
        <v>1568</v>
      </c>
      <c r="R1164" s="2" t="s">
        <v>1569</v>
      </c>
      <c r="S1164" s="2" t="s">
        <v>1570</v>
      </c>
      <c r="W1164" s="2" t="s">
        <v>1571</v>
      </c>
    </row>
    <row r="1165">
      <c r="A1165" s="4">
        <v>45542.736805555556</v>
      </c>
      <c r="B1165" s="5">
        <v>2637083.0</v>
      </c>
      <c r="C1165" s="2" t="s">
        <v>1575</v>
      </c>
      <c r="D1165" s="2" t="s">
        <v>1565</v>
      </c>
      <c r="E1165" s="2">
        <v>10002.0</v>
      </c>
      <c r="F1165" s="2" t="s">
        <v>1576</v>
      </c>
      <c r="I1165" s="7">
        <v>1.0</v>
      </c>
      <c r="J1165" s="6">
        <v>18571.0</v>
      </c>
      <c r="K1165" s="2">
        <v>0.0</v>
      </c>
      <c r="L1165" s="2">
        <v>18571.0</v>
      </c>
      <c r="M1165" s="2">
        <v>0.0</v>
      </c>
      <c r="N1165" s="2">
        <v>18571.0</v>
      </c>
      <c r="O1165" s="2">
        <v>928.0</v>
      </c>
      <c r="P1165" s="2" t="s">
        <v>1574</v>
      </c>
      <c r="Q1165" s="2" t="s">
        <v>1568</v>
      </c>
      <c r="R1165" s="2" t="s">
        <v>1569</v>
      </c>
      <c r="S1165" s="2" t="s">
        <v>1570</v>
      </c>
      <c r="W1165" s="2" t="s">
        <v>1571</v>
      </c>
    </row>
    <row r="1166">
      <c r="A1166" s="4">
        <v>45542.736805555556</v>
      </c>
      <c r="B1166" s="5">
        <v>2637083.0</v>
      </c>
      <c r="C1166" s="2" t="s">
        <v>1575</v>
      </c>
      <c r="D1166" s="2" t="s">
        <v>1565</v>
      </c>
      <c r="E1166" s="2">
        <v>10005.0</v>
      </c>
      <c r="F1166" s="2" t="s">
        <v>1595</v>
      </c>
      <c r="I1166" s="7">
        <v>1.0</v>
      </c>
      <c r="J1166" s="6">
        <v>19524.0</v>
      </c>
      <c r="K1166" s="2">
        <v>0.0</v>
      </c>
      <c r="L1166" s="2">
        <v>19524.0</v>
      </c>
      <c r="M1166" s="2">
        <v>0.0</v>
      </c>
      <c r="N1166" s="2">
        <v>19524.0</v>
      </c>
      <c r="O1166" s="2">
        <v>977.0</v>
      </c>
      <c r="P1166" s="2" t="s">
        <v>1574</v>
      </c>
      <c r="Q1166" s="2" t="s">
        <v>1568</v>
      </c>
      <c r="R1166" s="2" t="s">
        <v>1569</v>
      </c>
      <c r="S1166" s="2" t="s">
        <v>1570</v>
      </c>
      <c r="W1166" s="2" t="s">
        <v>1571</v>
      </c>
    </row>
    <row r="1167">
      <c r="A1167" s="4">
        <v>45542.720138888886</v>
      </c>
      <c r="B1167" s="5">
        <v>2636718.0</v>
      </c>
      <c r="C1167" s="2" t="s">
        <v>1575</v>
      </c>
      <c r="D1167" s="2" t="s">
        <v>1565</v>
      </c>
      <c r="E1167" s="2">
        <v>10054.0</v>
      </c>
      <c r="F1167" s="2" t="s">
        <v>1610</v>
      </c>
      <c r="I1167" s="7">
        <v>1.0</v>
      </c>
      <c r="J1167" s="6">
        <v>25238.0</v>
      </c>
      <c r="K1167" s="2">
        <v>0.0</v>
      </c>
      <c r="L1167" s="2">
        <v>25238.0</v>
      </c>
      <c r="M1167" s="2">
        <v>0.0</v>
      </c>
      <c r="N1167" s="2">
        <v>25238.0</v>
      </c>
      <c r="O1167" s="2">
        <v>1262.0</v>
      </c>
      <c r="P1167" s="2" t="s">
        <v>1574</v>
      </c>
      <c r="Q1167" s="2" t="s">
        <v>1568</v>
      </c>
      <c r="R1167" s="2" t="s">
        <v>1569</v>
      </c>
      <c r="S1167" s="2" t="s">
        <v>1570</v>
      </c>
      <c r="W1167" s="2" t="s">
        <v>1571</v>
      </c>
    </row>
    <row r="1168">
      <c r="A1168" s="4">
        <v>45542.720138888886</v>
      </c>
      <c r="B1168" s="5">
        <v>2636718.0</v>
      </c>
      <c r="C1168" s="2" t="s">
        <v>1575</v>
      </c>
      <c r="D1168" s="2" t="s">
        <v>1565</v>
      </c>
      <c r="E1168" s="2">
        <v>10002.0</v>
      </c>
      <c r="F1168" s="2" t="s">
        <v>1576</v>
      </c>
      <c r="I1168" s="7">
        <v>1.0</v>
      </c>
      <c r="J1168" s="6">
        <v>18571.0</v>
      </c>
      <c r="K1168" s="2">
        <v>0.0</v>
      </c>
      <c r="L1168" s="2">
        <v>18571.0</v>
      </c>
      <c r="M1168" s="2">
        <v>0.0</v>
      </c>
      <c r="N1168" s="2">
        <v>18571.0</v>
      </c>
      <c r="O1168" s="2">
        <v>928.0</v>
      </c>
      <c r="P1168" s="2" t="s">
        <v>1574</v>
      </c>
      <c r="Q1168" s="2" t="s">
        <v>1568</v>
      </c>
      <c r="R1168" s="2" t="s">
        <v>1569</v>
      </c>
      <c r="S1168" s="2" t="s">
        <v>1570</v>
      </c>
      <c r="W1168" s="2" t="s">
        <v>1571</v>
      </c>
    </row>
    <row r="1169">
      <c r="A1169" s="4">
        <v>45542.720138888886</v>
      </c>
      <c r="B1169" s="5">
        <v>2636718.0</v>
      </c>
      <c r="C1169" s="2" t="s">
        <v>1575</v>
      </c>
      <c r="D1169" s="2" t="s">
        <v>1565</v>
      </c>
      <c r="E1169" s="2">
        <v>10005.0</v>
      </c>
      <c r="F1169" s="2" t="s">
        <v>1595</v>
      </c>
      <c r="I1169" s="7">
        <v>1.0</v>
      </c>
      <c r="J1169" s="6">
        <v>19524.0</v>
      </c>
      <c r="K1169" s="2">
        <v>0.0</v>
      </c>
      <c r="L1169" s="2">
        <v>19524.0</v>
      </c>
      <c r="M1169" s="2">
        <v>0.0</v>
      </c>
      <c r="N1169" s="2">
        <v>19524.0</v>
      </c>
      <c r="O1169" s="2">
        <v>977.0</v>
      </c>
      <c r="P1169" s="2" t="s">
        <v>1574</v>
      </c>
      <c r="Q1169" s="2" t="s">
        <v>1568</v>
      </c>
      <c r="R1169" s="2" t="s">
        <v>1569</v>
      </c>
      <c r="S1169" s="2" t="s">
        <v>1570</v>
      </c>
      <c r="W1169" s="2" t="s">
        <v>1571</v>
      </c>
    </row>
    <row r="1170">
      <c r="A1170" s="4">
        <v>45542.720138888886</v>
      </c>
      <c r="B1170" s="5">
        <v>2636718.0</v>
      </c>
      <c r="C1170" s="2" t="s">
        <v>1575</v>
      </c>
      <c r="D1170" s="2" t="s">
        <v>1565</v>
      </c>
      <c r="E1170" s="2">
        <v>10000.0</v>
      </c>
      <c r="F1170" s="2" t="s">
        <v>1566</v>
      </c>
      <c r="I1170" s="7">
        <v>1.0</v>
      </c>
      <c r="J1170" s="6">
        <v>29524.0</v>
      </c>
      <c r="K1170" s="2">
        <v>0.0</v>
      </c>
      <c r="L1170" s="2">
        <v>29524.0</v>
      </c>
      <c r="M1170" s="2">
        <v>0.0</v>
      </c>
      <c r="N1170" s="2">
        <v>29524.0</v>
      </c>
      <c r="O1170" s="2">
        <v>1476.0</v>
      </c>
      <c r="P1170" s="2" t="s">
        <v>1574</v>
      </c>
      <c r="Q1170" s="2" t="s">
        <v>1568</v>
      </c>
      <c r="R1170" s="2" t="s">
        <v>1569</v>
      </c>
      <c r="S1170" s="2" t="s">
        <v>1570</v>
      </c>
      <c r="W1170" s="2" t="s">
        <v>1571</v>
      </c>
    </row>
    <row r="1171">
      <c r="A1171" s="4">
        <v>45542.70416666667</v>
      </c>
      <c r="B1171" s="5">
        <v>2636353.0</v>
      </c>
      <c r="C1171" s="2" t="s">
        <v>1575</v>
      </c>
      <c r="D1171" s="2" t="s">
        <v>1572</v>
      </c>
      <c r="E1171" s="2">
        <v>10118.0</v>
      </c>
      <c r="F1171" s="2" t="s">
        <v>1604</v>
      </c>
      <c r="I1171" s="7">
        <v>1.0</v>
      </c>
      <c r="J1171" s="6">
        <v>7143.0</v>
      </c>
      <c r="K1171" s="2">
        <v>0.0</v>
      </c>
      <c r="L1171" s="2">
        <v>7143.0</v>
      </c>
      <c r="M1171" s="2">
        <v>0.0</v>
      </c>
      <c r="N1171" s="2">
        <v>7143.0</v>
      </c>
      <c r="O1171" s="2">
        <v>357.0</v>
      </c>
      <c r="P1171" s="2" t="s">
        <v>1574</v>
      </c>
      <c r="Q1171" s="2" t="s">
        <v>1568</v>
      </c>
      <c r="R1171" s="2" t="s">
        <v>1569</v>
      </c>
      <c r="S1171" s="2" t="s">
        <v>1570</v>
      </c>
      <c r="W1171" s="2" t="s">
        <v>1571</v>
      </c>
    </row>
    <row r="1172">
      <c r="A1172" s="4">
        <v>45542.70416666667</v>
      </c>
      <c r="B1172" s="5">
        <v>2636353.0</v>
      </c>
      <c r="C1172" s="2" t="s">
        <v>1575</v>
      </c>
      <c r="D1172" s="2" t="s">
        <v>1565</v>
      </c>
      <c r="E1172" s="2">
        <v>10002.0</v>
      </c>
      <c r="F1172" s="2" t="s">
        <v>1576</v>
      </c>
      <c r="I1172" s="7">
        <v>1.0</v>
      </c>
      <c r="J1172" s="6">
        <v>18571.0</v>
      </c>
      <c r="K1172" s="2">
        <v>0.0</v>
      </c>
      <c r="L1172" s="2">
        <v>18571.0</v>
      </c>
      <c r="M1172" s="2">
        <v>0.0</v>
      </c>
      <c r="N1172" s="2">
        <v>18571.0</v>
      </c>
      <c r="O1172" s="2">
        <v>929.0</v>
      </c>
      <c r="P1172" s="2" t="s">
        <v>1574</v>
      </c>
      <c r="Q1172" s="2" t="s">
        <v>1568</v>
      </c>
      <c r="R1172" s="2" t="s">
        <v>1569</v>
      </c>
      <c r="S1172" s="2" t="s">
        <v>1570</v>
      </c>
      <c r="W1172" s="2" t="s">
        <v>1571</v>
      </c>
    </row>
    <row r="1173">
      <c r="A1173" s="4">
        <v>45542.70416666667</v>
      </c>
      <c r="B1173" s="5">
        <v>2636353.0</v>
      </c>
      <c r="C1173" s="2" t="s">
        <v>1575</v>
      </c>
      <c r="D1173" s="2" t="s">
        <v>1578</v>
      </c>
      <c r="E1173" s="2">
        <v>10014.0</v>
      </c>
      <c r="F1173" s="2" t="s">
        <v>1609</v>
      </c>
      <c r="I1173" s="7">
        <v>1.0</v>
      </c>
      <c r="J1173" s="6">
        <v>25238.0</v>
      </c>
      <c r="K1173" s="2">
        <v>0.0</v>
      </c>
      <c r="L1173" s="2">
        <v>25238.0</v>
      </c>
      <c r="M1173" s="2">
        <v>0.0</v>
      </c>
      <c r="N1173" s="2">
        <v>25238.0</v>
      </c>
      <c r="O1173" s="2">
        <v>1262.0</v>
      </c>
      <c r="P1173" s="2" t="s">
        <v>1574</v>
      </c>
      <c r="Q1173" s="2" t="s">
        <v>1568</v>
      </c>
      <c r="R1173" s="2" t="s">
        <v>1569</v>
      </c>
      <c r="S1173" s="2" t="s">
        <v>1570</v>
      </c>
      <c r="W1173" s="2" t="s">
        <v>1571</v>
      </c>
    </row>
    <row r="1174">
      <c r="A1174" s="4">
        <v>45542.70416666667</v>
      </c>
      <c r="B1174" s="5">
        <v>2636353.0</v>
      </c>
      <c r="C1174" s="2" t="s">
        <v>1575</v>
      </c>
      <c r="D1174" s="2" t="s">
        <v>1572</v>
      </c>
      <c r="E1174" s="2">
        <v>10107.0</v>
      </c>
      <c r="F1174" s="2" t="s">
        <v>1584</v>
      </c>
      <c r="I1174" s="7">
        <v>1.0</v>
      </c>
      <c r="J1174" s="6">
        <v>26667.0</v>
      </c>
      <c r="K1174" s="2">
        <v>0.0</v>
      </c>
      <c r="L1174" s="2">
        <v>26667.0</v>
      </c>
      <c r="M1174" s="2">
        <v>0.0</v>
      </c>
      <c r="N1174" s="2">
        <v>26667.0</v>
      </c>
      <c r="O1174" s="2">
        <v>1333.0</v>
      </c>
      <c r="P1174" s="2" t="s">
        <v>1574</v>
      </c>
      <c r="Q1174" s="2" t="s">
        <v>1568</v>
      </c>
      <c r="R1174" s="2" t="s">
        <v>1569</v>
      </c>
      <c r="S1174" s="2" t="s">
        <v>1570</v>
      </c>
      <c r="W1174" s="2" t="s">
        <v>1571</v>
      </c>
    </row>
    <row r="1175">
      <c r="A1175" s="4">
        <v>45542.68958333333</v>
      </c>
      <c r="B1175" s="5">
        <v>2635988.0</v>
      </c>
      <c r="C1175" s="2" t="s">
        <v>1575</v>
      </c>
      <c r="D1175" s="2" t="s">
        <v>1578</v>
      </c>
      <c r="E1175" s="2">
        <v>10051.0</v>
      </c>
      <c r="F1175" s="2" t="s">
        <v>1579</v>
      </c>
      <c r="I1175" s="7">
        <v>1.0</v>
      </c>
      <c r="J1175" s="6">
        <v>25238.0</v>
      </c>
      <c r="K1175" s="2">
        <v>0.0</v>
      </c>
      <c r="L1175" s="2">
        <v>25238.0</v>
      </c>
      <c r="M1175" s="2">
        <v>0.0</v>
      </c>
      <c r="N1175" s="2">
        <v>25238.0</v>
      </c>
      <c r="O1175" s="2">
        <v>1262.0</v>
      </c>
      <c r="P1175" s="2" t="s">
        <v>1574</v>
      </c>
      <c r="Q1175" s="2" t="s">
        <v>1568</v>
      </c>
      <c r="R1175" s="2" t="s">
        <v>1569</v>
      </c>
      <c r="S1175" s="2" t="s">
        <v>1570</v>
      </c>
      <c r="W1175" s="2" t="s">
        <v>1571</v>
      </c>
    </row>
    <row r="1176">
      <c r="A1176" s="4">
        <v>45542.686111111114</v>
      </c>
      <c r="B1176" s="5">
        <v>2635622.0</v>
      </c>
      <c r="C1176" s="2" t="s">
        <v>1575</v>
      </c>
      <c r="D1176" s="2" t="s">
        <v>1572</v>
      </c>
      <c r="E1176" s="2">
        <v>10128.0</v>
      </c>
      <c r="F1176" s="2" t="s">
        <v>1588</v>
      </c>
      <c r="I1176" s="7">
        <v>1.0</v>
      </c>
      <c r="J1176" s="6">
        <v>23333.0</v>
      </c>
      <c r="K1176" s="2">
        <v>0.0</v>
      </c>
      <c r="L1176" s="2">
        <v>23333.0</v>
      </c>
      <c r="M1176" s="2">
        <v>0.0</v>
      </c>
      <c r="N1176" s="2">
        <v>23333.0</v>
      </c>
      <c r="O1176" s="2">
        <v>1167.0</v>
      </c>
      <c r="P1176" s="2" t="s">
        <v>1574</v>
      </c>
      <c r="Q1176" s="2" t="s">
        <v>1568</v>
      </c>
      <c r="R1176" s="2" t="s">
        <v>1569</v>
      </c>
      <c r="S1176" s="2" t="s">
        <v>1570</v>
      </c>
      <c r="W1176" s="2" t="s">
        <v>1571</v>
      </c>
    </row>
    <row r="1177">
      <c r="A1177" s="4">
        <v>45542.686111111114</v>
      </c>
      <c r="B1177" s="5">
        <v>2635622.0</v>
      </c>
      <c r="C1177" s="2" t="s">
        <v>1575</v>
      </c>
      <c r="D1177" s="2" t="s">
        <v>1580</v>
      </c>
      <c r="E1177" s="2">
        <v>10012.0</v>
      </c>
      <c r="F1177" s="2" t="s">
        <v>1602</v>
      </c>
      <c r="I1177" s="7">
        <v>1.0</v>
      </c>
      <c r="J1177" s="6">
        <v>29524.0</v>
      </c>
      <c r="K1177" s="2">
        <v>0.0</v>
      </c>
      <c r="L1177" s="2">
        <v>29524.0</v>
      </c>
      <c r="M1177" s="2">
        <v>0.0</v>
      </c>
      <c r="N1177" s="2">
        <v>29524.0</v>
      </c>
      <c r="O1177" s="2">
        <v>1476.0</v>
      </c>
      <c r="P1177" s="2" t="s">
        <v>1574</v>
      </c>
      <c r="Q1177" s="2" t="s">
        <v>1568</v>
      </c>
      <c r="R1177" s="2" t="s">
        <v>1569</v>
      </c>
      <c r="S1177" s="2" t="s">
        <v>1570</v>
      </c>
      <c r="W1177" s="2" t="s">
        <v>1571</v>
      </c>
    </row>
    <row r="1178">
      <c r="A1178" s="4">
        <v>45542.686111111114</v>
      </c>
      <c r="B1178" s="5">
        <v>2635622.0</v>
      </c>
      <c r="C1178" s="2" t="s">
        <v>1575</v>
      </c>
      <c r="D1178" s="2" t="s">
        <v>1565</v>
      </c>
      <c r="E1178" s="2">
        <v>10002.0</v>
      </c>
      <c r="F1178" s="2" t="s">
        <v>1576</v>
      </c>
      <c r="I1178" s="7">
        <v>1.0</v>
      </c>
      <c r="J1178" s="6">
        <v>18571.0</v>
      </c>
      <c r="K1178" s="2">
        <v>0.0</v>
      </c>
      <c r="L1178" s="2">
        <v>18571.0</v>
      </c>
      <c r="M1178" s="2">
        <v>0.0</v>
      </c>
      <c r="N1178" s="2">
        <v>18571.0</v>
      </c>
      <c r="O1178" s="2">
        <v>928.0</v>
      </c>
      <c r="P1178" s="2" t="s">
        <v>1574</v>
      </c>
      <c r="Q1178" s="2" t="s">
        <v>1568</v>
      </c>
      <c r="R1178" s="2" t="s">
        <v>1569</v>
      </c>
      <c r="S1178" s="2" t="s">
        <v>1570</v>
      </c>
      <c r="W1178" s="2" t="s">
        <v>1571</v>
      </c>
    </row>
    <row r="1179">
      <c r="A1179" s="4">
        <v>45542.686111111114</v>
      </c>
      <c r="B1179" s="5">
        <v>2635622.0</v>
      </c>
      <c r="C1179" s="2" t="s">
        <v>1575</v>
      </c>
      <c r="D1179" s="2" t="s">
        <v>1565</v>
      </c>
      <c r="E1179" s="2">
        <v>10054.0</v>
      </c>
      <c r="F1179" s="2" t="s">
        <v>1610</v>
      </c>
      <c r="I1179" s="7">
        <v>1.0</v>
      </c>
      <c r="J1179" s="6">
        <v>25238.0</v>
      </c>
      <c r="K1179" s="2">
        <v>0.0</v>
      </c>
      <c r="L1179" s="2">
        <v>25238.0</v>
      </c>
      <c r="M1179" s="2">
        <v>0.0</v>
      </c>
      <c r="N1179" s="2">
        <v>25238.0</v>
      </c>
      <c r="O1179" s="2">
        <v>1262.0</v>
      </c>
      <c r="P1179" s="2" t="s">
        <v>1574</v>
      </c>
      <c r="Q1179" s="2" t="s">
        <v>1568</v>
      </c>
      <c r="R1179" s="2" t="s">
        <v>1569</v>
      </c>
      <c r="S1179" s="2" t="s">
        <v>1570</v>
      </c>
      <c r="W1179" s="2" t="s">
        <v>1571</v>
      </c>
    </row>
    <row r="1180">
      <c r="A1180" s="4">
        <v>45542.686111111114</v>
      </c>
      <c r="B1180" s="5">
        <v>2635622.0</v>
      </c>
      <c r="C1180" s="2" t="s">
        <v>1575</v>
      </c>
      <c r="D1180" s="2" t="s">
        <v>1572</v>
      </c>
      <c r="E1180" s="2">
        <v>10128.0</v>
      </c>
      <c r="F1180" s="2" t="s">
        <v>1588</v>
      </c>
      <c r="I1180" s="7">
        <v>1.0</v>
      </c>
      <c r="J1180" s="6">
        <v>23333.0</v>
      </c>
      <c r="K1180" s="2">
        <v>0.0</v>
      </c>
      <c r="L1180" s="2">
        <v>23333.0</v>
      </c>
      <c r="M1180" s="2">
        <v>0.0</v>
      </c>
      <c r="N1180" s="2">
        <v>23333.0</v>
      </c>
      <c r="O1180" s="2">
        <v>1167.0</v>
      </c>
      <c r="P1180" s="2" t="s">
        <v>1574</v>
      </c>
      <c r="Q1180" s="2" t="s">
        <v>1568</v>
      </c>
      <c r="R1180" s="2" t="s">
        <v>1569</v>
      </c>
      <c r="S1180" s="2" t="s">
        <v>1570</v>
      </c>
      <c r="W1180" s="2" t="s">
        <v>1571</v>
      </c>
    </row>
    <row r="1181">
      <c r="A1181" s="4">
        <v>45542.68472222222</v>
      </c>
      <c r="B1181" s="5">
        <v>2635257.0</v>
      </c>
      <c r="C1181" s="2" t="s">
        <v>1575</v>
      </c>
      <c r="D1181" s="2" t="s">
        <v>1565</v>
      </c>
      <c r="E1181" s="2">
        <v>10054.0</v>
      </c>
      <c r="F1181" s="2" t="s">
        <v>1610</v>
      </c>
      <c r="I1181" s="7">
        <v>1.0</v>
      </c>
      <c r="J1181" s="6">
        <v>25238.0</v>
      </c>
      <c r="K1181" s="2">
        <v>0.0</v>
      </c>
      <c r="L1181" s="2">
        <v>25238.0</v>
      </c>
      <c r="M1181" s="2">
        <v>0.0</v>
      </c>
      <c r="N1181" s="2">
        <v>25238.0</v>
      </c>
      <c r="O1181" s="2">
        <v>1262.0</v>
      </c>
      <c r="P1181" s="2" t="s">
        <v>1574</v>
      </c>
      <c r="Q1181" s="2" t="s">
        <v>1568</v>
      </c>
      <c r="R1181" s="2" t="s">
        <v>1569</v>
      </c>
      <c r="S1181" s="2" t="s">
        <v>1570</v>
      </c>
      <c r="W1181" s="2" t="s">
        <v>1571</v>
      </c>
    </row>
    <row r="1182">
      <c r="A1182" s="4">
        <v>45542.68402777778</v>
      </c>
      <c r="B1182" s="5">
        <v>2634892.0</v>
      </c>
      <c r="C1182" s="2" t="s">
        <v>1575</v>
      </c>
      <c r="D1182" s="2" t="s">
        <v>1572</v>
      </c>
      <c r="E1182" s="2">
        <v>10070.0</v>
      </c>
      <c r="F1182" s="2" t="s">
        <v>1593</v>
      </c>
      <c r="I1182" s="7">
        <v>1.0</v>
      </c>
      <c r="J1182" s="6">
        <v>24762.0</v>
      </c>
      <c r="K1182" s="2">
        <v>0.0</v>
      </c>
      <c r="L1182" s="2">
        <v>24762.0</v>
      </c>
      <c r="M1182" s="2">
        <v>0.0</v>
      </c>
      <c r="N1182" s="2">
        <v>24762.0</v>
      </c>
      <c r="O1182" s="2">
        <v>1238.0</v>
      </c>
      <c r="P1182" s="2" t="s">
        <v>1574</v>
      </c>
      <c r="Q1182" s="2" t="s">
        <v>1568</v>
      </c>
      <c r="R1182" s="2" t="s">
        <v>1569</v>
      </c>
      <c r="S1182" s="2" t="s">
        <v>1570</v>
      </c>
      <c r="W1182" s="2" t="s">
        <v>1571</v>
      </c>
    </row>
    <row r="1183">
      <c r="A1183" s="4">
        <v>45542.67569444444</v>
      </c>
      <c r="B1183" s="5">
        <v>2634527.0</v>
      </c>
      <c r="C1183" s="2" t="s">
        <v>1575</v>
      </c>
      <c r="D1183" s="2" t="s">
        <v>1572</v>
      </c>
      <c r="E1183" s="2">
        <v>10125.0</v>
      </c>
      <c r="F1183" s="2" t="s">
        <v>1601</v>
      </c>
      <c r="I1183" s="7">
        <v>1.0</v>
      </c>
      <c r="J1183" s="6">
        <v>20476.0</v>
      </c>
      <c r="K1183" s="2">
        <v>0.0</v>
      </c>
      <c r="L1183" s="2">
        <v>20476.0</v>
      </c>
      <c r="M1183" s="2">
        <v>0.0</v>
      </c>
      <c r="N1183" s="2">
        <v>20476.0</v>
      </c>
      <c r="O1183" s="2">
        <v>1024.0</v>
      </c>
      <c r="P1183" s="2" t="s">
        <v>1574</v>
      </c>
      <c r="Q1183" s="2" t="s">
        <v>1568</v>
      </c>
      <c r="R1183" s="2" t="s">
        <v>1569</v>
      </c>
      <c r="S1183" s="2" t="s">
        <v>1570</v>
      </c>
      <c r="W1183" s="2" t="s">
        <v>1571</v>
      </c>
    </row>
    <row r="1184">
      <c r="A1184" s="4">
        <v>45542.67569444444</v>
      </c>
      <c r="B1184" s="5">
        <v>2634527.0</v>
      </c>
      <c r="C1184" s="2" t="s">
        <v>1575</v>
      </c>
      <c r="D1184" s="2" t="s">
        <v>1572</v>
      </c>
      <c r="E1184" s="2">
        <v>10121.0</v>
      </c>
      <c r="F1184" s="2" t="s">
        <v>1617</v>
      </c>
      <c r="I1184" s="7">
        <v>1.0</v>
      </c>
      <c r="J1184" s="6">
        <v>19524.0</v>
      </c>
      <c r="K1184" s="2">
        <v>0.0</v>
      </c>
      <c r="L1184" s="2">
        <v>19524.0</v>
      </c>
      <c r="M1184" s="2">
        <v>0.0</v>
      </c>
      <c r="N1184" s="2">
        <v>19524.0</v>
      </c>
      <c r="O1184" s="2">
        <v>976.0</v>
      </c>
      <c r="P1184" s="2" t="s">
        <v>1574</v>
      </c>
      <c r="Q1184" s="2" t="s">
        <v>1568</v>
      </c>
      <c r="R1184" s="2" t="s">
        <v>1569</v>
      </c>
      <c r="S1184" s="2" t="s">
        <v>1570</v>
      </c>
      <c r="W1184" s="2" t="s">
        <v>1571</v>
      </c>
    </row>
    <row r="1185">
      <c r="A1185" s="4">
        <v>45542.67569444444</v>
      </c>
      <c r="B1185" s="5">
        <v>2634527.0</v>
      </c>
      <c r="C1185" s="2" t="s">
        <v>1575</v>
      </c>
      <c r="D1185" s="2" t="s">
        <v>1580</v>
      </c>
      <c r="E1185" s="2">
        <v>10012.0</v>
      </c>
      <c r="F1185" s="2" t="s">
        <v>1602</v>
      </c>
      <c r="I1185" s="7">
        <v>1.0</v>
      </c>
      <c r="J1185" s="6">
        <v>29524.0</v>
      </c>
      <c r="K1185" s="2">
        <v>0.0</v>
      </c>
      <c r="L1185" s="2">
        <v>29524.0</v>
      </c>
      <c r="M1185" s="2">
        <v>0.0</v>
      </c>
      <c r="N1185" s="2">
        <v>29524.0</v>
      </c>
      <c r="O1185" s="2">
        <v>1476.0</v>
      </c>
      <c r="P1185" s="2" t="s">
        <v>1574</v>
      </c>
      <c r="Q1185" s="2" t="s">
        <v>1568</v>
      </c>
      <c r="R1185" s="2" t="s">
        <v>1569</v>
      </c>
      <c r="S1185" s="2" t="s">
        <v>1570</v>
      </c>
      <c r="W1185" s="2" t="s">
        <v>1571</v>
      </c>
    </row>
    <row r="1186">
      <c r="A1186" s="4">
        <v>45542.67361111111</v>
      </c>
      <c r="B1186" s="5">
        <v>2634161.0</v>
      </c>
      <c r="C1186" s="2" t="s">
        <v>1575</v>
      </c>
      <c r="D1186" s="2" t="s">
        <v>1565</v>
      </c>
      <c r="E1186" s="2">
        <v>10034.0</v>
      </c>
      <c r="F1186" s="2" t="s">
        <v>1616</v>
      </c>
      <c r="I1186" s="7">
        <v>1.0</v>
      </c>
      <c r="J1186" s="6">
        <v>21905.0</v>
      </c>
      <c r="K1186" s="2">
        <v>0.0</v>
      </c>
      <c r="L1186" s="2">
        <v>21905.0</v>
      </c>
      <c r="M1186" s="2">
        <v>0.0</v>
      </c>
      <c r="N1186" s="2">
        <v>21905.0</v>
      </c>
      <c r="O1186" s="2">
        <v>1095.0</v>
      </c>
      <c r="P1186" s="2" t="s">
        <v>1574</v>
      </c>
      <c r="Q1186" s="2" t="s">
        <v>1568</v>
      </c>
      <c r="R1186" s="2" t="s">
        <v>1569</v>
      </c>
      <c r="S1186" s="2" t="s">
        <v>1570</v>
      </c>
      <c r="W1186" s="2" t="s">
        <v>1571</v>
      </c>
    </row>
    <row r="1187">
      <c r="A1187" s="4">
        <v>45542.67361111111</v>
      </c>
      <c r="B1187" s="5">
        <v>2634161.0</v>
      </c>
      <c r="C1187" s="2" t="s">
        <v>1575</v>
      </c>
      <c r="D1187" s="2" t="s">
        <v>1565</v>
      </c>
      <c r="E1187" s="2">
        <v>10002.0</v>
      </c>
      <c r="F1187" s="2" t="s">
        <v>1576</v>
      </c>
      <c r="I1187" s="7">
        <v>1.0</v>
      </c>
      <c r="J1187" s="6">
        <v>18571.0</v>
      </c>
      <c r="K1187" s="2">
        <v>0.0</v>
      </c>
      <c r="L1187" s="2">
        <v>18571.0</v>
      </c>
      <c r="M1187" s="2">
        <v>0.0</v>
      </c>
      <c r="N1187" s="2">
        <v>18571.0</v>
      </c>
      <c r="O1187" s="2">
        <v>929.0</v>
      </c>
      <c r="P1187" s="2" t="s">
        <v>1574</v>
      </c>
      <c r="Q1187" s="2" t="s">
        <v>1568</v>
      </c>
      <c r="R1187" s="2" t="s">
        <v>1569</v>
      </c>
      <c r="S1187" s="2" t="s">
        <v>1570</v>
      </c>
      <c r="W1187" s="2" t="s">
        <v>1571</v>
      </c>
    </row>
    <row r="1188">
      <c r="A1188" s="4">
        <v>45542.67222222222</v>
      </c>
      <c r="B1188" s="5">
        <v>2633796.0</v>
      </c>
      <c r="C1188" s="2" t="s">
        <v>1575</v>
      </c>
      <c r="D1188" s="2" t="s">
        <v>1565</v>
      </c>
      <c r="E1188" s="2">
        <v>10007.0</v>
      </c>
      <c r="F1188" s="2" t="s">
        <v>1596</v>
      </c>
      <c r="I1188" s="7">
        <v>1.0</v>
      </c>
      <c r="J1188" s="6">
        <v>33810.0</v>
      </c>
      <c r="K1188" s="2">
        <v>0.0</v>
      </c>
      <c r="L1188" s="2">
        <v>33810.0</v>
      </c>
      <c r="M1188" s="2">
        <v>0.0</v>
      </c>
      <c r="N1188" s="2">
        <v>33810.0</v>
      </c>
      <c r="O1188" s="2">
        <v>1691.0</v>
      </c>
      <c r="P1188" s="2" t="s">
        <v>1574</v>
      </c>
      <c r="Q1188" s="2" t="s">
        <v>1568</v>
      </c>
      <c r="R1188" s="2" t="s">
        <v>1569</v>
      </c>
      <c r="S1188" s="2" t="s">
        <v>1570</v>
      </c>
      <c r="W1188" s="2" t="s">
        <v>1571</v>
      </c>
    </row>
    <row r="1189">
      <c r="A1189" s="4">
        <v>45542.6625</v>
      </c>
      <c r="B1189" s="5">
        <v>2633431.0</v>
      </c>
      <c r="C1189" s="2" t="s">
        <v>1575</v>
      </c>
      <c r="D1189" s="2" t="s">
        <v>1565</v>
      </c>
      <c r="E1189" s="2">
        <v>10000.0</v>
      </c>
      <c r="F1189" s="2" t="s">
        <v>1566</v>
      </c>
      <c r="I1189" s="7">
        <v>1.0</v>
      </c>
      <c r="J1189" s="6">
        <v>29524.0</v>
      </c>
      <c r="K1189" s="2">
        <v>0.0</v>
      </c>
      <c r="L1189" s="2">
        <v>29524.0</v>
      </c>
      <c r="M1189" s="2">
        <v>0.0</v>
      </c>
      <c r="N1189" s="2">
        <v>29524.0</v>
      </c>
      <c r="O1189" s="2">
        <v>1476.0</v>
      </c>
      <c r="P1189" s="2" t="s">
        <v>1574</v>
      </c>
      <c r="Q1189" s="2" t="s">
        <v>1568</v>
      </c>
      <c r="R1189" s="2" t="s">
        <v>1569</v>
      </c>
      <c r="S1189" s="2" t="s">
        <v>1570</v>
      </c>
      <c r="W1189" s="2" t="s">
        <v>1571</v>
      </c>
    </row>
    <row r="1190">
      <c r="A1190" s="4">
        <v>45542.6625</v>
      </c>
      <c r="B1190" s="5">
        <v>2633431.0</v>
      </c>
      <c r="C1190" s="2" t="s">
        <v>1575</v>
      </c>
      <c r="D1190" s="2" t="s">
        <v>1565</v>
      </c>
      <c r="E1190" s="2">
        <v>10002.0</v>
      </c>
      <c r="F1190" s="2" t="s">
        <v>1576</v>
      </c>
      <c r="I1190" s="7">
        <v>1.0</v>
      </c>
      <c r="J1190" s="6">
        <v>18571.0</v>
      </c>
      <c r="K1190" s="2">
        <v>0.0</v>
      </c>
      <c r="L1190" s="2">
        <v>18571.0</v>
      </c>
      <c r="M1190" s="2">
        <v>0.0</v>
      </c>
      <c r="N1190" s="2">
        <v>18571.0</v>
      </c>
      <c r="O1190" s="2">
        <v>929.0</v>
      </c>
      <c r="P1190" s="2" t="s">
        <v>1574</v>
      </c>
      <c r="Q1190" s="2" t="s">
        <v>1568</v>
      </c>
      <c r="R1190" s="2" t="s">
        <v>1569</v>
      </c>
      <c r="S1190" s="2" t="s">
        <v>1570</v>
      </c>
      <c r="W1190" s="2" t="s">
        <v>1571</v>
      </c>
    </row>
    <row r="1191">
      <c r="A1191" s="4">
        <v>45542.6625</v>
      </c>
      <c r="B1191" s="5">
        <v>2633431.0</v>
      </c>
      <c r="C1191" s="2" t="s">
        <v>1575</v>
      </c>
      <c r="D1191" s="2" t="s">
        <v>1565</v>
      </c>
      <c r="E1191" s="2">
        <v>10000.0</v>
      </c>
      <c r="F1191" s="2" t="s">
        <v>1566</v>
      </c>
      <c r="I1191" s="7">
        <v>1.0</v>
      </c>
      <c r="J1191" s="6">
        <v>29524.0</v>
      </c>
      <c r="K1191" s="2">
        <v>0.0</v>
      </c>
      <c r="L1191" s="2">
        <v>29524.0</v>
      </c>
      <c r="M1191" s="2">
        <v>0.0</v>
      </c>
      <c r="N1191" s="2">
        <v>29524.0</v>
      </c>
      <c r="O1191" s="2">
        <v>1476.0</v>
      </c>
      <c r="P1191" s="2" t="s">
        <v>1574</v>
      </c>
      <c r="Q1191" s="2" t="s">
        <v>1568</v>
      </c>
      <c r="R1191" s="2" t="s">
        <v>1569</v>
      </c>
      <c r="S1191" s="2" t="s">
        <v>1570</v>
      </c>
      <c r="W1191" s="2" t="s">
        <v>1571</v>
      </c>
    </row>
    <row r="1192">
      <c r="A1192" s="4">
        <v>45542.6625</v>
      </c>
      <c r="B1192" s="5">
        <v>2633431.0</v>
      </c>
      <c r="C1192" s="2" t="s">
        <v>1575</v>
      </c>
      <c r="D1192" s="2" t="s">
        <v>1565</v>
      </c>
      <c r="E1192" s="2">
        <v>10005.0</v>
      </c>
      <c r="F1192" s="2" t="s">
        <v>1595</v>
      </c>
      <c r="I1192" s="7">
        <v>1.0</v>
      </c>
      <c r="J1192" s="6">
        <v>19524.0</v>
      </c>
      <c r="K1192" s="2">
        <v>0.0</v>
      </c>
      <c r="L1192" s="2">
        <v>19524.0</v>
      </c>
      <c r="M1192" s="2">
        <v>0.0</v>
      </c>
      <c r="N1192" s="2">
        <v>19524.0</v>
      </c>
      <c r="O1192" s="2">
        <v>976.0</v>
      </c>
      <c r="P1192" s="2" t="s">
        <v>1574</v>
      </c>
      <c r="Q1192" s="2" t="s">
        <v>1568</v>
      </c>
      <c r="R1192" s="2" t="s">
        <v>1569</v>
      </c>
      <c r="S1192" s="2" t="s">
        <v>1570</v>
      </c>
      <c r="W1192" s="2" t="s">
        <v>1571</v>
      </c>
    </row>
    <row r="1193">
      <c r="A1193" s="4">
        <v>45542.66180555556</v>
      </c>
      <c r="B1193" s="5">
        <v>2633066.0</v>
      </c>
      <c r="C1193" s="2" t="s">
        <v>1575</v>
      </c>
      <c r="D1193" s="2" t="s">
        <v>1565</v>
      </c>
      <c r="E1193" s="2">
        <v>10000.0</v>
      </c>
      <c r="F1193" s="2" t="s">
        <v>1566</v>
      </c>
      <c r="I1193" s="7">
        <v>1.0</v>
      </c>
      <c r="J1193" s="6">
        <v>29524.0</v>
      </c>
      <c r="K1193" s="2">
        <v>0.0</v>
      </c>
      <c r="L1193" s="2">
        <v>29524.0</v>
      </c>
      <c r="M1193" s="2">
        <v>0.0</v>
      </c>
      <c r="N1193" s="2">
        <v>29524.0</v>
      </c>
      <c r="O1193" s="2">
        <v>1476.0</v>
      </c>
      <c r="P1193" s="2" t="s">
        <v>1574</v>
      </c>
      <c r="Q1193" s="2" t="s">
        <v>1568</v>
      </c>
      <c r="R1193" s="2" t="s">
        <v>1569</v>
      </c>
      <c r="S1193" s="2" t="s">
        <v>1570</v>
      </c>
      <c r="W1193" s="2" t="s">
        <v>1571</v>
      </c>
    </row>
    <row r="1194">
      <c r="A1194" s="4">
        <v>45542.66180555556</v>
      </c>
      <c r="B1194" s="5">
        <v>2633066.0</v>
      </c>
      <c r="C1194" s="2" t="s">
        <v>1575</v>
      </c>
      <c r="D1194" s="2" t="s">
        <v>1572</v>
      </c>
      <c r="E1194" s="2">
        <v>10128.0</v>
      </c>
      <c r="F1194" s="2" t="s">
        <v>1588</v>
      </c>
      <c r="I1194" s="7">
        <v>1.0</v>
      </c>
      <c r="J1194" s="6">
        <v>23333.0</v>
      </c>
      <c r="K1194" s="2">
        <v>0.0</v>
      </c>
      <c r="L1194" s="2">
        <v>23333.0</v>
      </c>
      <c r="M1194" s="2">
        <v>0.0</v>
      </c>
      <c r="N1194" s="2">
        <v>23333.0</v>
      </c>
      <c r="O1194" s="2">
        <v>1167.0</v>
      </c>
      <c r="P1194" s="2" t="s">
        <v>1574</v>
      </c>
      <c r="Q1194" s="2" t="s">
        <v>1568</v>
      </c>
      <c r="R1194" s="2" t="s">
        <v>1569</v>
      </c>
      <c r="S1194" s="2" t="s">
        <v>1570</v>
      </c>
      <c r="W1194" s="2" t="s">
        <v>1571</v>
      </c>
    </row>
    <row r="1195">
      <c r="A1195" s="4">
        <v>45542.66180555556</v>
      </c>
      <c r="B1195" s="5">
        <v>2633066.0</v>
      </c>
      <c r="C1195" s="2" t="s">
        <v>1575</v>
      </c>
      <c r="D1195" s="2" t="s">
        <v>1572</v>
      </c>
      <c r="E1195" s="2">
        <v>10026.0</v>
      </c>
      <c r="F1195" s="2" t="s">
        <v>1583</v>
      </c>
      <c r="I1195" s="7">
        <v>1.0</v>
      </c>
      <c r="J1195" s="6">
        <v>21905.0</v>
      </c>
      <c r="K1195" s="2">
        <v>0.0</v>
      </c>
      <c r="L1195" s="2">
        <v>21905.0</v>
      </c>
      <c r="M1195" s="2">
        <v>0.0</v>
      </c>
      <c r="N1195" s="2">
        <v>21905.0</v>
      </c>
      <c r="O1195" s="2">
        <v>1095.0</v>
      </c>
      <c r="P1195" s="2" t="s">
        <v>1574</v>
      </c>
      <c r="Q1195" s="2" t="s">
        <v>1568</v>
      </c>
      <c r="R1195" s="2" t="s">
        <v>1569</v>
      </c>
      <c r="S1195" s="2" t="s">
        <v>1570</v>
      </c>
      <c r="W1195" s="2" t="s">
        <v>1571</v>
      </c>
    </row>
    <row r="1196">
      <c r="A1196" s="4">
        <v>45542.65069444444</v>
      </c>
      <c r="B1196" s="5">
        <v>2632700.0</v>
      </c>
      <c r="C1196" s="2" t="s">
        <v>1575</v>
      </c>
      <c r="D1196" s="2" t="s">
        <v>1565</v>
      </c>
      <c r="E1196" s="2">
        <v>10002.0</v>
      </c>
      <c r="F1196" s="2" t="s">
        <v>1576</v>
      </c>
      <c r="I1196" s="7">
        <v>1.0</v>
      </c>
      <c r="J1196" s="6">
        <v>18571.0</v>
      </c>
      <c r="K1196" s="2">
        <v>0.0</v>
      </c>
      <c r="L1196" s="2">
        <v>18571.0</v>
      </c>
      <c r="M1196" s="2">
        <v>0.0</v>
      </c>
      <c r="N1196" s="2">
        <v>18571.0</v>
      </c>
      <c r="O1196" s="2">
        <v>929.0</v>
      </c>
      <c r="P1196" s="2" t="s">
        <v>1574</v>
      </c>
      <c r="Q1196" s="2" t="s">
        <v>1568</v>
      </c>
      <c r="R1196" s="2" t="s">
        <v>1569</v>
      </c>
      <c r="S1196" s="2" t="s">
        <v>1570</v>
      </c>
      <c r="W1196" s="2" t="s">
        <v>1571</v>
      </c>
    </row>
    <row r="1197">
      <c r="A1197" s="4">
        <v>45542.65069444444</v>
      </c>
      <c r="B1197" s="5">
        <v>2632700.0</v>
      </c>
      <c r="C1197" s="2" t="s">
        <v>1575</v>
      </c>
      <c r="D1197" s="2" t="s">
        <v>1565</v>
      </c>
      <c r="E1197" s="2">
        <v>10005.0</v>
      </c>
      <c r="F1197" s="2" t="s">
        <v>1595</v>
      </c>
      <c r="I1197" s="7">
        <v>1.0</v>
      </c>
      <c r="J1197" s="6">
        <v>19524.0</v>
      </c>
      <c r="K1197" s="2">
        <v>0.0</v>
      </c>
      <c r="L1197" s="2">
        <v>19524.0</v>
      </c>
      <c r="M1197" s="2">
        <v>0.0</v>
      </c>
      <c r="N1197" s="2">
        <v>19524.0</v>
      </c>
      <c r="O1197" s="2">
        <v>976.0</v>
      </c>
      <c r="P1197" s="2" t="s">
        <v>1574</v>
      </c>
      <c r="Q1197" s="2" t="s">
        <v>1568</v>
      </c>
      <c r="R1197" s="2" t="s">
        <v>1569</v>
      </c>
      <c r="S1197" s="2" t="s">
        <v>1570</v>
      </c>
      <c r="W1197" s="2" t="s">
        <v>1571</v>
      </c>
    </row>
    <row r="1198">
      <c r="A1198" s="4">
        <v>45542.63611111111</v>
      </c>
      <c r="B1198" s="5">
        <v>2632335.0</v>
      </c>
      <c r="C1198" s="2" t="s">
        <v>1575</v>
      </c>
      <c r="D1198" s="2" t="s">
        <v>1565</v>
      </c>
      <c r="E1198" s="2">
        <v>10002.0</v>
      </c>
      <c r="F1198" s="2" t="s">
        <v>1576</v>
      </c>
      <c r="I1198" s="7">
        <v>1.0</v>
      </c>
      <c r="J1198" s="6">
        <v>18571.0</v>
      </c>
      <c r="K1198" s="2">
        <v>0.0</v>
      </c>
      <c r="L1198" s="2">
        <v>18571.0</v>
      </c>
      <c r="M1198" s="2">
        <v>0.0</v>
      </c>
      <c r="N1198" s="2">
        <v>18571.0</v>
      </c>
      <c r="O1198" s="2">
        <v>929.0</v>
      </c>
      <c r="P1198" s="2" t="s">
        <v>1574</v>
      </c>
      <c r="Q1198" s="2" t="s">
        <v>1568</v>
      </c>
      <c r="R1198" s="2" t="s">
        <v>1569</v>
      </c>
      <c r="S1198" s="2" t="s">
        <v>1570</v>
      </c>
      <c r="W1198" s="2" t="s">
        <v>1571</v>
      </c>
    </row>
    <row r="1199">
      <c r="A1199" s="4">
        <v>45542.63125</v>
      </c>
      <c r="B1199" s="5">
        <v>2631970.0</v>
      </c>
      <c r="C1199" s="2" t="s">
        <v>1575</v>
      </c>
      <c r="D1199" s="2" t="s">
        <v>1565</v>
      </c>
      <c r="E1199" s="2">
        <v>10054.0</v>
      </c>
      <c r="F1199" s="2" t="s">
        <v>1610</v>
      </c>
      <c r="I1199" s="7">
        <v>1.0</v>
      </c>
      <c r="J1199" s="6">
        <v>25238.0</v>
      </c>
      <c r="K1199" s="2">
        <v>0.0</v>
      </c>
      <c r="L1199" s="2">
        <v>25238.0</v>
      </c>
      <c r="M1199" s="2">
        <v>0.0</v>
      </c>
      <c r="N1199" s="2">
        <v>25238.0</v>
      </c>
      <c r="O1199" s="2">
        <v>1262.0</v>
      </c>
      <c r="P1199" s="2" t="s">
        <v>1574</v>
      </c>
      <c r="Q1199" s="2" t="s">
        <v>1568</v>
      </c>
      <c r="R1199" s="2" t="s">
        <v>1569</v>
      </c>
      <c r="S1199" s="2" t="s">
        <v>1570</v>
      </c>
      <c r="W1199" s="2" t="s">
        <v>1571</v>
      </c>
    </row>
    <row r="1200">
      <c r="A1200" s="4">
        <v>45542.63125</v>
      </c>
      <c r="B1200" s="5">
        <v>2631970.0</v>
      </c>
      <c r="C1200" s="2" t="s">
        <v>1575</v>
      </c>
      <c r="D1200" s="2" t="s">
        <v>1578</v>
      </c>
      <c r="E1200" s="2">
        <v>10015.0</v>
      </c>
      <c r="F1200" s="2" t="s">
        <v>1587</v>
      </c>
      <c r="I1200" s="7">
        <v>1.0</v>
      </c>
      <c r="J1200" s="6">
        <v>25238.0</v>
      </c>
      <c r="K1200" s="2">
        <v>0.0</v>
      </c>
      <c r="L1200" s="2">
        <v>25238.0</v>
      </c>
      <c r="M1200" s="2">
        <v>0.0</v>
      </c>
      <c r="N1200" s="2">
        <v>25238.0</v>
      </c>
      <c r="O1200" s="2">
        <v>1262.0</v>
      </c>
      <c r="P1200" s="2" t="s">
        <v>1574</v>
      </c>
      <c r="Q1200" s="2" t="s">
        <v>1568</v>
      </c>
      <c r="R1200" s="2" t="s">
        <v>1569</v>
      </c>
      <c r="S1200" s="2" t="s">
        <v>1570</v>
      </c>
      <c r="W1200" s="2" t="s">
        <v>1571</v>
      </c>
    </row>
    <row r="1201">
      <c r="A1201" s="4">
        <v>45542.63125</v>
      </c>
      <c r="B1201" s="5">
        <v>2631970.0</v>
      </c>
      <c r="C1201" s="2" t="s">
        <v>1575</v>
      </c>
      <c r="D1201" s="2" t="s">
        <v>1572</v>
      </c>
      <c r="E1201" s="2">
        <v>10112.0</v>
      </c>
      <c r="F1201" s="2" t="s">
        <v>1573</v>
      </c>
      <c r="I1201" s="7">
        <v>1.0</v>
      </c>
      <c r="J1201" s="6">
        <v>6667.0</v>
      </c>
      <c r="K1201" s="2">
        <v>0.0</v>
      </c>
      <c r="L1201" s="2">
        <v>6667.0</v>
      </c>
      <c r="M1201" s="2">
        <v>0.0</v>
      </c>
      <c r="N1201" s="2">
        <v>6667.0</v>
      </c>
      <c r="O1201" s="2">
        <v>333.0</v>
      </c>
      <c r="P1201" s="2" t="s">
        <v>1574</v>
      </c>
      <c r="Q1201" s="2" t="s">
        <v>1568</v>
      </c>
      <c r="R1201" s="2" t="s">
        <v>1569</v>
      </c>
      <c r="S1201" s="2" t="s">
        <v>1570</v>
      </c>
      <c r="W1201" s="2" t="s">
        <v>1571</v>
      </c>
    </row>
    <row r="1202">
      <c r="A1202" s="4">
        <v>45542.62986111111</v>
      </c>
      <c r="B1202" s="5">
        <v>2631605.0</v>
      </c>
      <c r="C1202" s="2" t="s">
        <v>1575</v>
      </c>
      <c r="D1202" s="2" t="s">
        <v>1572</v>
      </c>
      <c r="E1202" s="2">
        <v>10128.0</v>
      </c>
      <c r="F1202" s="2" t="s">
        <v>1588</v>
      </c>
      <c r="I1202" s="7">
        <v>2.0</v>
      </c>
      <c r="J1202" s="6">
        <v>46666.0</v>
      </c>
      <c r="K1202" s="2">
        <v>0.0</v>
      </c>
      <c r="L1202" s="2">
        <v>46666.0</v>
      </c>
      <c r="M1202" s="2">
        <v>0.0</v>
      </c>
      <c r="N1202" s="2">
        <v>46666.0</v>
      </c>
      <c r="O1202" s="2">
        <v>2333.0</v>
      </c>
      <c r="P1202" s="2" t="s">
        <v>1574</v>
      </c>
      <c r="Q1202" s="2" t="s">
        <v>1568</v>
      </c>
      <c r="R1202" s="2" t="s">
        <v>1569</v>
      </c>
      <c r="S1202" s="2" t="s">
        <v>1570</v>
      </c>
      <c r="W1202" s="2" t="s">
        <v>1571</v>
      </c>
    </row>
    <row r="1203">
      <c r="A1203" s="4">
        <v>45542.62986111111</v>
      </c>
      <c r="B1203" s="5">
        <v>2631605.0</v>
      </c>
      <c r="C1203" s="2" t="s">
        <v>1575</v>
      </c>
      <c r="D1203" s="2" t="s">
        <v>1572</v>
      </c>
      <c r="E1203" s="2">
        <v>10067.0</v>
      </c>
      <c r="F1203" s="2" t="s">
        <v>1621</v>
      </c>
      <c r="I1203" s="7">
        <v>1.0</v>
      </c>
      <c r="J1203" s="6">
        <v>24762.0</v>
      </c>
      <c r="K1203" s="2">
        <v>0.0</v>
      </c>
      <c r="L1203" s="2">
        <v>24762.0</v>
      </c>
      <c r="M1203" s="2">
        <v>0.0</v>
      </c>
      <c r="N1203" s="2">
        <v>24762.0</v>
      </c>
      <c r="O1203" s="2">
        <v>1238.0</v>
      </c>
      <c r="P1203" s="2" t="s">
        <v>1574</v>
      </c>
      <c r="Q1203" s="2" t="s">
        <v>1568</v>
      </c>
      <c r="R1203" s="2" t="s">
        <v>1569</v>
      </c>
      <c r="S1203" s="2" t="s">
        <v>1570</v>
      </c>
      <c r="W1203" s="2" t="s">
        <v>1571</v>
      </c>
    </row>
    <row r="1204">
      <c r="A1204" s="4">
        <v>45542.62986111111</v>
      </c>
      <c r="B1204" s="5">
        <v>2631605.0</v>
      </c>
      <c r="C1204" s="2" t="s">
        <v>1575</v>
      </c>
      <c r="D1204" s="2" t="s">
        <v>1565</v>
      </c>
      <c r="E1204" s="2">
        <v>10007.0</v>
      </c>
      <c r="F1204" s="2" t="s">
        <v>1596</v>
      </c>
      <c r="I1204" s="7">
        <v>1.0</v>
      </c>
      <c r="J1204" s="6">
        <v>33810.0</v>
      </c>
      <c r="K1204" s="2">
        <v>0.0</v>
      </c>
      <c r="L1204" s="2">
        <v>33810.0</v>
      </c>
      <c r="M1204" s="2">
        <v>0.0</v>
      </c>
      <c r="N1204" s="2">
        <v>33810.0</v>
      </c>
      <c r="O1204" s="2">
        <v>1691.0</v>
      </c>
      <c r="P1204" s="2" t="s">
        <v>1574</v>
      </c>
      <c r="Q1204" s="2" t="s">
        <v>1568</v>
      </c>
      <c r="R1204" s="2" t="s">
        <v>1569</v>
      </c>
      <c r="S1204" s="2" t="s">
        <v>1570</v>
      </c>
      <c r="W1204" s="2" t="s">
        <v>1571</v>
      </c>
    </row>
    <row r="1205">
      <c r="A1205" s="4">
        <v>45542.62986111111</v>
      </c>
      <c r="B1205" s="5">
        <v>2631605.0</v>
      </c>
      <c r="C1205" s="2" t="s">
        <v>1575</v>
      </c>
      <c r="D1205" s="2" t="s">
        <v>1565</v>
      </c>
      <c r="E1205" s="2">
        <v>10033.0</v>
      </c>
      <c r="F1205" s="2" t="s">
        <v>1615</v>
      </c>
      <c r="I1205" s="7">
        <v>1.0</v>
      </c>
      <c r="J1205" s="6">
        <v>21905.0</v>
      </c>
      <c r="K1205" s="2">
        <v>0.0</v>
      </c>
      <c r="L1205" s="2">
        <v>21905.0</v>
      </c>
      <c r="M1205" s="2">
        <v>0.0</v>
      </c>
      <c r="N1205" s="2">
        <v>21905.0</v>
      </c>
      <c r="O1205" s="2">
        <v>1095.0</v>
      </c>
      <c r="P1205" s="2" t="s">
        <v>1574</v>
      </c>
      <c r="Q1205" s="2" t="s">
        <v>1568</v>
      </c>
      <c r="R1205" s="2" t="s">
        <v>1569</v>
      </c>
      <c r="S1205" s="2" t="s">
        <v>1570</v>
      </c>
      <c r="W1205" s="2" t="s">
        <v>1571</v>
      </c>
    </row>
    <row r="1206">
      <c r="A1206" s="4">
        <v>45542.55069444444</v>
      </c>
      <c r="B1206" s="5">
        <v>2631239.0</v>
      </c>
      <c r="C1206" s="2" t="s">
        <v>1575</v>
      </c>
      <c r="D1206" s="2" t="s">
        <v>1572</v>
      </c>
      <c r="E1206" s="2">
        <v>10112.0</v>
      </c>
      <c r="F1206" s="2" t="s">
        <v>1573</v>
      </c>
      <c r="I1206" s="7">
        <v>1.0</v>
      </c>
      <c r="J1206" s="6">
        <v>6667.0</v>
      </c>
      <c r="K1206" s="2">
        <v>0.0</v>
      </c>
      <c r="L1206" s="2">
        <v>6667.0</v>
      </c>
      <c r="M1206" s="2">
        <v>0.0</v>
      </c>
      <c r="N1206" s="2">
        <v>6667.0</v>
      </c>
      <c r="O1206" s="2">
        <v>333.0</v>
      </c>
      <c r="P1206" s="2" t="s">
        <v>1574</v>
      </c>
      <c r="Q1206" s="2" t="s">
        <v>1568</v>
      </c>
      <c r="R1206" s="2" t="s">
        <v>1569</v>
      </c>
      <c r="S1206" s="2" t="s">
        <v>1570</v>
      </c>
      <c r="W1206" s="2" t="s">
        <v>1571</v>
      </c>
    </row>
    <row r="1207">
      <c r="A1207" s="4">
        <v>45542.55069444444</v>
      </c>
      <c r="B1207" s="5">
        <v>2631239.0</v>
      </c>
      <c r="C1207" s="2" t="s">
        <v>1575</v>
      </c>
      <c r="D1207" s="2" t="s">
        <v>1578</v>
      </c>
      <c r="E1207" s="2">
        <v>10014.0</v>
      </c>
      <c r="F1207" s="2" t="s">
        <v>1609</v>
      </c>
      <c r="I1207" s="7">
        <v>1.0</v>
      </c>
      <c r="J1207" s="6">
        <v>25238.0</v>
      </c>
      <c r="K1207" s="2">
        <v>0.0</v>
      </c>
      <c r="L1207" s="2">
        <v>25238.0</v>
      </c>
      <c r="M1207" s="2">
        <v>0.0</v>
      </c>
      <c r="N1207" s="2">
        <v>25238.0</v>
      </c>
      <c r="O1207" s="2">
        <v>1262.0</v>
      </c>
      <c r="P1207" s="2" t="s">
        <v>1574</v>
      </c>
      <c r="Q1207" s="2" t="s">
        <v>1568</v>
      </c>
      <c r="R1207" s="2" t="s">
        <v>1569</v>
      </c>
      <c r="S1207" s="2" t="s">
        <v>1570</v>
      </c>
      <c r="W1207" s="2" t="s">
        <v>1571</v>
      </c>
    </row>
    <row r="1208">
      <c r="A1208" s="4">
        <v>45542.53888888889</v>
      </c>
      <c r="B1208" s="5">
        <v>2630874.0</v>
      </c>
      <c r="C1208" s="2" t="s">
        <v>1575</v>
      </c>
      <c r="D1208" s="2" t="s">
        <v>1572</v>
      </c>
      <c r="E1208" s="2">
        <v>10107.0</v>
      </c>
      <c r="F1208" s="2" t="s">
        <v>1584</v>
      </c>
      <c r="I1208" s="7">
        <v>2.0</v>
      </c>
      <c r="J1208" s="6">
        <v>53334.0</v>
      </c>
      <c r="K1208" s="2">
        <v>0.0</v>
      </c>
      <c r="L1208" s="2">
        <v>53334.0</v>
      </c>
      <c r="M1208" s="2">
        <v>0.0</v>
      </c>
      <c r="N1208" s="2">
        <v>53334.0</v>
      </c>
      <c r="O1208" s="2">
        <v>2667.0</v>
      </c>
      <c r="P1208" s="2" t="s">
        <v>1574</v>
      </c>
      <c r="Q1208" s="2" t="s">
        <v>1568</v>
      </c>
      <c r="R1208" s="2" t="s">
        <v>1569</v>
      </c>
      <c r="S1208" s="2" t="s">
        <v>1570</v>
      </c>
      <c r="W1208" s="2" t="s">
        <v>1571</v>
      </c>
    </row>
    <row r="1209">
      <c r="A1209" s="4">
        <v>45542.53888888889</v>
      </c>
      <c r="B1209" s="5">
        <v>2630874.0</v>
      </c>
      <c r="C1209" s="2" t="s">
        <v>1575</v>
      </c>
      <c r="D1209" s="2" t="s">
        <v>1578</v>
      </c>
      <c r="E1209" s="2">
        <v>10009.0</v>
      </c>
      <c r="F1209" s="2" t="s">
        <v>1586</v>
      </c>
      <c r="I1209" s="7">
        <v>1.0</v>
      </c>
      <c r="J1209" s="6">
        <v>26667.0</v>
      </c>
      <c r="K1209" s="2">
        <v>0.0</v>
      </c>
      <c r="L1209" s="2">
        <v>26667.0</v>
      </c>
      <c r="M1209" s="2">
        <v>0.0</v>
      </c>
      <c r="N1209" s="2">
        <v>26667.0</v>
      </c>
      <c r="O1209" s="2">
        <v>1333.0</v>
      </c>
      <c r="P1209" s="2" t="s">
        <v>1574</v>
      </c>
      <c r="Q1209" s="2" t="s">
        <v>1568</v>
      </c>
      <c r="R1209" s="2" t="s">
        <v>1569</v>
      </c>
      <c r="S1209" s="2" t="s">
        <v>1570</v>
      </c>
      <c r="W1209" s="2" t="s">
        <v>1571</v>
      </c>
    </row>
    <row r="1210">
      <c r="A1210" s="4">
        <v>45542.407638888886</v>
      </c>
      <c r="B1210" s="5">
        <v>2630509.0</v>
      </c>
      <c r="C1210" s="2" t="s">
        <v>1575</v>
      </c>
      <c r="D1210" s="2" t="s">
        <v>1572</v>
      </c>
      <c r="E1210" s="2">
        <v>10128.0</v>
      </c>
      <c r="F1210" s="2" t="s">
        <v>1588</v>
      </c>
      <c r="I1210" s="7">
        <v>2.0</v>
      </c>
      <c r="J1210" s="6">
        <v>46666.0</v>
      </c>
      <c r="K1210" s="2">
        <v>0.0</v>
      </c>
      <c r="L1210" s="2">
        <v>46666.0</v>
      </c>
      <c r="M1210" s="2">
        <v>0.0</v>
      </c>
      <c r="N1210" s="2">
        <v>46666.0</v>
      </c>
      <c r="O1210" s="2">
        <v>2333.0</v>
      </c>
      <c r="P1210" s="2" t="s">
        <v>1574</v>
      </c>
      <c r="Q1210" s="2" t="s">
        <v>1568</v>
      </c>
      <c r="R1210" s="2" t="s">
        <v>1569</v>
      </c>
      <c r="S1210" s="2" t="s">
        <v>1570</v>
      </c>
      <c r="W1210" s="2" t="s">
        <v>1571</v>
      </c>
    </row>
    <row r="1211">
      <c r="A1211" s="4">
        <v>45542.407638888886</v>
      </c>
      <c r="B1211" s="5">
        <v>2630509.0</v>
      </c>
      <c r="C1211" s="2" t="s">
        <v>1575</v>
      </c>
      <c r="D1211" s="2" t="s">
        <v>1565</v>
      </c>
      <c r="E1211" s="2">
        <v>10033.0</v>
      </c>
      <c r="F1211" s="2" t="s">
        <v>1615</v>
      </c>
      <c r="I1211" s="7">
        <v>1.0</v>
      </c>
      <c r="J1211" s="6">
        <v>21905.0</v>
      </c>
      <c r="K1211" s="2">
        <v>0.0</v>
      </c>
      <c r="L1211" s="2">
        <v>21905.0</v>
      </c>
      <c r="M1211" s="2">
        <v>0.0</v>
      </c>
      <c r="N1211" s="2">
        <v>21905.0</v>
      </c>
      <c r="O1211" s="2">
        <v>1096.0</v>
      </c>
      <c r="P1211" s="2" t="s">
        <v>1574</v>
      </c>
      <c r="Q1211" s="2" t="s">
        <v>1568</v>
      </c>
      <c r="R1211" s="2" t="s">
        <v>1569</v>
      </c>
      <c r="S1211" s="2" t="s">
        <v>1570</v>
      </c>
      <c r="W1211" s="2" t="s">
        <v>1571</v>
      </c>
    </row>
    <row r="1212">
      <c r="A1212" s="4">
        <v>45542.407638888886</v>
      </c>
      <c r="B1212" s="5">
        <v>2630509.0</v>
      </c>
      <c r="C1212" s="2" t="s">
        <v>1575</v>
      </c>
      <c r="D1212" s="2" t="s">
        <v>1578</v>
      </c>
      <c r="E1212" s="2">
        <v>10051.0</v>
      </c>
      <c r="F1212" s="2" t="s">
        <v>1579</v>
      </c>
      <c r="I1212" s="7">
        <v>1.0</v>
      </c>
      <c r="J1212" s="6">
        <v>25238.0</v>
      </c>
      <c r="K1212" s="2">
        <v>0.0</v>
      </c>
      <c r="L1212" s="2">
        <v>25238.0</v>
      </c>
      <c r="M1212" s="2">
        <v>0.0</v>
      </c>
      <c r="N1212" s="2">
        <v>25238.0</v>
      </c>
      <c r="O1212" s="2">
        <v>1261.0</v>
      </c>
      <c r="P1212" s="2" t="s">
        <v>1574</v>
      </c>
      <c r="Q1212" s="2" t="s">
        <v>1568</v>
      </c>
      <c r="R1212" s="2" t="s">
        <v>1569</v>
      </c>
      <c r="S1212" s="2" t="s">
        <v>1570</v>
      </c>
      <c r="W1212" s="2" t="s">
        <v>1571</v>
      </c>
    </row>
    <row r="1213">
      <c r="A1213" s="4">
        <v>45542.407638888886</v>
      </c>
      <c r="B1213" s="5">
        <v>2630509.0</v>
      </c>
      <c r="C1213" s="2" t="s">
        <v>1575</v>
      </c>
      <c r="D1213" s="2" t="s">
        <v>1565</v>
      </c>
      <c r="E1213" s="2">
        <v>10002.0</v>
      </c>
      <c r="F1213" s="2" t="s">
        <v>1576</v>
      </c>
      <c r="I1213" s="7">
        <v>1.0</v>
      </c>
      <c r="J1213" s="6">
        <v>18571.0</v>
      </c>
      <c r="K1213" s="2">
        <v>0.0</v>
      </c>
      <c r="L1213" s="2">
        <v>18571.0</v>
      </c>
      <c r="M1213" s="2">
        <v>0.0</v>
      </c>
      <c r="N1213" s="2">
        <v>18571.0</v>
      </c>
      <c r="O1213" s="2">
        <v>929.0</v>
      </c>
      <c r="P1213" s="2" t="s">
        <v>1574</v>
      </c>
      <c r="Q1213" s="2" t="s">
        <v>1568</v>
      </c>
      <c r="R1213" s="2" t="s">
        <v>1569</v>
      </c>
      <c r="S1213" s="2" t="s">
        <v>1570</v>
      </c>
      <c r="W1213" s="2" t="s">
        <v>1571</v>
      </c>
    </row>
    <row r="1214">
      <c r="A1214" s="4">
        <v>45541.8</v>
      </c>
      <c r="B1214" s="5">
        <v>2630144.0</v>
      </c>
      <c r="C1214" s="2" t="s">
        <v>1575</v>
      </c>
      <c r="D1214" s="2" t="s">
        <v>1572</v>
      </c>
      <c r="E1214" s="2">
        <v>10112.0</v>
      </c>
      <c r="F1214" s="2" t="s">
        <v>1573</v>
      </c>
      <c r="I1214" s="7">
        <v>1.0</v>
      </c>
      <c r="J1214" s="6">
        <v>6667.0</v>
      </c>
      <c r="K1214" s="2">
        <v>0.0</v>
      </c>
      <c r="L1214" s="2">
        <v>6667.0</v>
      </c>
      <c r="M1214" s="2">
        <v>0.0</v>
      </c>
      <c r="N1214" s="2">
        <v>6667.0</v>
      </c>
      <c r="O1214" s="2">
        <v>333.0</v>
      </c>
      <c r="P1214" s="2" t="s">
        <v>1574</v>
      </c>
      <c r="Q1214" s="2" t="s">
        <v>1568</v>
      </c>
      <c r="R1214" s="2" t="s">
        <v>1569</v>
      </c>
      <c r="S1214" s="2" t="s">
        <v>1570</v>
      </c>
      <c r="W1214" s="2" t="s">
        <v>1571</v>
      </c>
    </row>
    <row r="1215">
      <c r="A1215" s="4">
        <v>45541.74930555555</v>
      </c>
      <c r="B1215" s="5">
        <v>2629779.0</v>
      </c>
      <c r="C1215" s="2" t="s">
        <v>1575</v>
      </c>
      <c r="D1215" s="2" t="s">
        <v>1578</v>
      </c>
      <c r="E1215" s="2">
        <v>10011.0</v>
      </c>
      <c r="F1215" s="2" t="s">
        <v>1605</v>
      </c>
      <c r="I1215" s="7">
        <v>1.0</v>
      </c>
      <c r="J1215" s="6">
        <v>25238.0</v>
      </c>
      <c r="K1215" s="2">
        <v>0.0</v>
      </c>
      <c r="L1215" s="2">
        <v>25238.0</v>
      </c>
      <c r="M1215" s="2">
        <v>0.0</v>
      </c>
      <c r="N1215" s="2">
        <v>25238.0</v>
      </c>
      <c r="O1215" s="2">
        <v>1262.0</v>
      </c>
      <c r="P1215" s="2" t="s">
        <v>1574</v>
      </c>
      <c r="Q1215" s="2" t="s">
        <v>1568</v>
      </c>
      <c r="R1215" s="2" t="s">
        <v>1569</v>
      </c>
      <c r="S1215" s="2" t="s">
        <v>1570</v>
      </c>
      <c r="W1215" s="2" t="s">
        <v>1571</v>
      </c>
    </row>
    <row r="1216">
      <c r="A1216" s="4">
        <v>45541.74930555555</v>
      </c>
      <c r="B1216" s="5">
        <v>2629779.0</v>
      </c>
      <c r="C1216" s="2" t="s">
        <v>1575</v>
      </c>
      <c r="D1216" s="2" t="s">
        <v>1565</v>
      </c>
      <c r="E1216" s="2">
        <v>10002.0</v>
      </c>
      <c r="F1216" s="2" t="s">
        <v>1576</v>
      </c>
      <c r="I1216" s="7">
        <v>1.0</v>
      </c>
      <c r="J1216" s="6">
        <v>18571.0</v>
      </c>
      <c r="K1216" s="2">
        <v>0.0</v>
      </c>
      <c r="L1216" s="2">
        <v>18571.0</v>
      </c>
      <c r="M1216" s="2">
        <v>0.0</v>
      </c>
      <c r="N1216" s="2">
        <v>18571.0</v>
      </c>
      <c r="O1216" s="2">
        <v>928.0</v>
      </c>
      <c r="P1216" s="2" t="s">
        <v>1574</v>
      </c>
      <c r="Q1216" s="2" t="s">
        <v>1568</v>
      </c>
      <c r="R1216" s="2" t="s">
        <v>1569</v>
      </c>
      <c r="S1216" s="2" t="s">
        <v>1570</v>
      </c>
      <c r="W1216" s="2" t="s">
        <v>1571</v>
      </c>
    </row>
    <row r="1217">
      <c r="A1217" s="4">
        <v>45541.71319444444</v>
      </c>
      <c r="B1217" s="5">
        <v>2629414.0</v>
      </c>
      <c r="C1217" s="2" t="s">
        <v>1575</v>
      </c>
      <c r="D1217" s="2" t="s">
        <v>1565</v>
      </c>
      <c r="E1217" s="2">
        <v>10007.0</v>
      </c>
      <c r="F1217" s="2" t="s">
        <v>1596</v>
      </c>
      <c r="I1217" s="7">
        <v>1.0</v>
      </c>
      <c r="J1217" s="6">
        <v>33810.0</v>
      </c>
      <c r="K1217" s="2">
        <v>0.0</v>
      </c>
      <c r="L1217" s="2">
        <v>33810.0</v>
      </c>
      <c r="M1217" s="2">
        <v>0.0</v>
      </c>
      <c r="N1217" s="2">
        <v>33810.0</v>
      </c>
      <c r="O1217" s="2">
        <v>1691.0</v>
      </c>
      <c r="P1217" s="2" t="s">
        <v>1574</v>
      </c>
      <c r="Q1217" s="2" t="s">
        <v>1568</v>
      </c>
      <c r="R1217" s="2" t="s">
        <v>1569</v>
      </c>
      <c r="S1217" s="2" t="s">
        <v>1570</v>
      </c>
      <c r="W1217" s="2" t="s">
        <v>1571</v>
      </c>
    </row>
    <row r="1218">
      <c r="A1218" s="4">
        <v>45541.71319444444</v>
      </c>
      <c r="B1218" s="5">
        <v>2629414.0</v>
      </c>
      <c r="C1218" s="2" t="s">
        <v>1575</v>
      </c>
      <c r="D1218" s="2" t="s">
        <v>1565</v>
      </c>
      <c r="E1218" s="2">
        <v>10055.0</v>
      </c>
      <c r="F1218" s="2" t="s">
        <v>1597</v>
      </c>
      <c r="I1218" s="7">
        <v>1.0</v>
      </c>
      <c r="J1218" s="6">
        <v>34762.0</v>
      </c>
      <c r="K1218" s="2">
        <v>0.0</v>
      </c>
      <c r="L1218" s="2">
        <v>34762.0</v>
      </c>
      <c r="M1218" s="2">
        <v>0.0</v>
      </c>
      <c r="N1218" s="2">
        <v>34762.0</v>
      </c>
      <c r="O1218" s="2">
        <v>1738.0</v>
      </c>
      <c r="P1218" s="2" t="s">
        <v>1574</v>
      </c>
      <c r="Q1218" s="2" t="s">
        <v>1568</v>
      </c>
      <c r="R1218" s="2" t="s">
        <v>1569</v>
      </c>
      <c r="S1218" s="2" t="s">
        <v>1570</v>
      </c>
      <c r="W1218" s="2" t="s">
        <v>1571</v>
      </c>
    </row>
    <row r="1219">
      <c r="A1219" s="4">
        <v>45541.68263888889</v>
      </c>
      <c r="B1219" s="5">
        <v>2629049.0</v>
      </c>
      <c r="C1219" s="2" t="s">
        <v>1575</v>
      </c>
      <c r="D1219" s="2" t="s">
        <v>1572</v>
      </c>
      <c r="E1219" s="2">
        <v>10128.0</v>
      </c>
      <c r="F1219" s="2" t="s">
        <v>1588</v>
      </c>
      <c r="I1219" s="7">
        <v>1.0</v>
      </c>
      <c r="J1219" s="6">
        <v>23333.0</v>
      </c>
      <c r="K1219" s="2">
        <v>0.0</v>
      </c>
      <c r="L1219" s="2">
        <v>23333.0</v>
      </c>
      <c r="M1219" s="2">
        <v>0.0</v>
      </c>
      <c r="N1219" s="2">
        <v>23333.0</v>
      </c>
      <c r="O1219" s="2">
        <v>1167.0</v>
      </c>
      <c r="P1219" s="2" t="s">
        <v>1574</v>
      </c>
      <c r="Q1219" s="2" t="s">
        <v>1568</v>
      </c>
      <c r="R1219" s="2" t="s">
        <v>1569</v>
      </c>
      <c r="S1219" s="2" t="s">
        <v>1570</v>
      </c>
      <c r="W1219" s="2" t="s">
        <v>1571</v>
      </c>
    </row>
    <row r="1220">
      <c r="A1220" s="4">
        <v>45541.680555555555</v>
      </c>
      <c r="B1220" s="5">
        <v>2628684.0</v>
      </c>
      <c r="C1220" s="2" t="s">
        <v>1575</v>
      </c>
      <c r="D1220" s="2" t="s">
        <v>1565</v>
      </c>
      <c r="E1220" s="2">
        <v>10002.0</v>
      </c>
      <c r="F1220" s="2" t="s">
        <v>1576</v>
      </c>
      <c r="I1220" s="7">
        <v>1.0</v>
      </c>
      <c r="J1220" s="6">
        <v>18571.0</v>
      </c>
      <c r="K1220" s="2">
        <v>0.0</v>
      </c>
      <c r="L1220" s="2">
        <v>18571.0</v>
      </c>
      <c r="M1220" s="2">
        <v>0.0</v>
      </c>
      <c r="N1220" s="2">
        <v>18571.0</v>
      </c>
      <c r="O1220" s="2">
        <v>929.0</v>
      </c>
      <c r="P1220" s="2" t="s">
        <v>1574</v>
      </c>
      <c r="Q1220" s="2" t="s">
        <v>1568</v>
      </c>
      <c r="R1220" s="2" t="s">
        <v>1569</v>
      </c>
      <c r="S1220" s="2" t="s">
        <v>1570</v>
      </c>
      <c r="W1220" s="2" t="s">
        <v>1571</v>
      </c>
    </row>
    <row r="1221">
      <c r="A1221" s="4">
        <v>45541.680555555555</v>
      </c>
      <c r="B1221" s="5">
        <v>2628684.0</v>
      </c>
      <c r="C1221" s="2" t="s">
        <v>1575</v>
      </c>
      <c r="D1221" s="2" t="s">
        <v>1572</v>
      </c>
      <c r="E1221" s="2">
        <v>10065.0</v>
      </c>
      <c r="F1221" s="2" t="s">
        <v>1633</v>
      </c>
      <c r="I1221" s="7">
        <v>1.0</v>
      </c>
      <c r="J1221" s="6">
        <v>23810.0</v>
      </c>
      <c r="K1221" s="2">
        <v>0.0</v>
      </c>
      <c r="L1221" s="2">
        <v>23810.0</v>
      </c>
      <c r="M1221" s="2">
        <v>0.0</v>
      </c>
      <c r="N1221" s="2">
        <v>23810.0</v>
      </c>
      <c r="O1221" s="2">
        <v>1190.0</v>
      </c>
      <c r="P1221" s="2" t="s">
        <v>1574</v>
      </c>
      <c r="Q1221" s="2" t="s">
        <v>1568</v>
      </c>
      <c r="R1221" s="2" t="s">
        <v>1569</v>
      </c>
      <c r="S1221" s="2" t="s">
        <v>1570</v>
      </c>
      <c r="W1221" s="2" t="s">
        <v>1571</v>
      </c>
    </row>
    <row r="1222">
      <c r="A1222" s="4">
        <v>45541.680555555555</v>
      </c>
      <c r="B1222" s="5">
        <v>2628684.0</v>
      </c>
      <c r="C1222" s="2" t="s">
        <v>1575</v>
      </c>
      <c r="D1222" s="2" t="s">
        <v>1578</v>
      </c>
      <c r="E1222" s="2">
        <v>10014.0</v>
      </c>
      <c r="F1222" s="2" t="s">
        <v>1609</v>
      </c>
      <c r="I1222" s="7">
        <v>1.0</v>
      </c>
      <c r="J1222" s="6">
        <v>25238.0</v>
      </c>
      <c r="K1222" s="2">
        <v>0.0</v>
      </c>
      <c r="L1222" s="2">
        <v>25238.0</v>
      </c>
      <c r="M1222" s="2">
        <v>0.0</v>
      </c>
      <c r="N1222" s="2">
        <v>25238.0</v>
      </c>
      <c r="O1222" s="2">
        <v>1262.0</v>
      </c>
      <c r="P1222" s="2" t="s">
        <v>1574</v>
      </c>
      <c r="Q1222" s="2" t="s">
        <v>1568</v>
      </c>
      <c r="R1222" s="2" t="s">
        <v>1569</v>
      </c>
      <c r="S1222" s="2" t="s">
        <v>1570</v>
      </c>
      <c r="W1222" s="2" t="s">
        <v>1571</v>
      </c>
    </row>
    <row r="1223">
      <c r="A1223" s="4">
        <v>45541.67847222222</v>
      </c>
      <c r="B1223" s="5">
        <v>2628318.0</v>
      </c>
      <c r="C1223" s="2" t="s">
        <v>1575</v>
      </c>
      <c r="D1223" s="2" t="s">
        <v>1565</v>
      </c>
      <c r="E1223" s="2">
        <v>10054.0</v>
      </c>
      <c r="F1223" s="2" t="s">
        <v>1610</v>
      </c>
      <c r="I1223" s="7">
        <v>1.0</v>
      </c>
      <c r="J1223" s="6">
        <v>25238.0</v>
      </c>
      <c r="K1223" s="2">
        <v>0.0</v>
      </c>
      <c r="L1223" s="2">
        <v>25238.0</v>
      </c>
      <c r="M1223" s="2">
        <v>0.0</v>
      </c>
      <c r="N1223" s="2">
        <v>25238.0</v>
      </c>
      <c r="O1223" s="2">
        <v>1262.0</v>
      </c>
      <c r="P1223" s="2" t="s">
        <v>1574</v>
      </c>
      <c r="Q1223" s="2" t="s">
        <v>1568</v>
      </c>
      <c r="R1223" s="2" t="s">
        <v>1569</v>
      </c>
      <c r="S1223" s="2" t="s">
        <v>1570</v>
      </c>
      <c r="W1223" s="2" t="s">
        <v>1571</v>
      </c>
    </row>
    <row r="1224">
      <c r="A1224" s="4">
        <v>45541.67847222222</v>
      </c>
      <c r="B1224" s="5">
        <v>2628318.0</v>
      </c>
      <c r="C1224" s="2" t="s">
        <v>1575</v>
      </c>
      <c r="D1224" s="2" t="s">
        <v>1565</v>
      </c>
      <c r="E1224" s="2">
        <v>10042.0</v>
      </c>
      <c r="F1224" s="2" t="s">
        <v>1634</v>
      </c>
      <c r="I1224" s="7">
        <v>1.0</v>
      </c>
      <c r="J1224" s="6">
        <v>9524.0</v>
      </c>
      <c r="K1224" s="2">
        <v>0.0</v>
      </c>
      <c r="L1224" s="2">
        <v>9524.0</v>
      </c>
      <c r="M1224" s="2">
        <v>0.0</v>
      </c>
      <c r="N1224" s="2">
        <v>9524.0</v>
      </c>
      <c r="O1224" s="2">
        <v>476.0</v>
      </c>
      <c r="P1224" s="2" t="s">
        <v>1574</v>
      </c>
      <c r="Q1224" s="2" t="s">
        <v>1568</v>
      </c>
      <c r="R1224" s="2" t="s">
        <v>1569</v>
      </c>
      <c r="S1224" s="2" t="s">
        <v>1570</v>
      </c>
      <c r="W1224" s="2" t="s">
        <v>1571</v>
      </c>
    </row>
    <row r="1225">
      <c r="A1225" s="4">
        <v>45541.67847222222</v>
      </c>
      <c r="B1225" s="5">
        <v>2628318.0</v>
      </c>
      <c r="C1225" s="2" t="s">
        <v>1575</v>
      </c>
      <c r="D1225" s="2" t="s">
        <v>1572</v>
      </c>
      <c r="E1225" s="2">
        <v>10112.0</v>
      </c>
      <c r="F1225" s="2" t="s">
        <v>1573</v>
      </c>
      <c r="I1225" s="7">
        <v>1.0</v>
      </c>
      <c r="J1225" s="6">
        <v>6667.0</v>
      </c>
      <c r="K1225" s="2">
        <v>0.0</v>
      </c>
      <c r="L1225" s="2">
        <v>6667.0</v>
      </c>
      <c r="M1225" s="2">
        <v>0.0</v>
      </c>
      <c r="N1225" s="2">
        <v>6667.0</v>
      </c>
      <c r="O1225" s="2">
        <v>333.0</v>
      </c>
      <c r="P1225" s="2" t="s">
        <v>1574</v>
      </c>
      <c r="Q1225" s="2" t="s">
        <v>1568</v>
      </c>
      <c r="R1225" s="2" t="s">
        <v>1569</v>
      </c>
      <c r="S1225" s="2" t="s">
        <v>1570</v>
      </c>
      <c r="W1225" s="2" t="s">
        <v>1571</v>
      </c>
    </row>
    <row r="1226">
      <c r="A1226" s="4">
        <v>45541.67847222222</v>
      </c>
      <c r="B1226" s="5">
        <v>2628318.0</v>
      </c>
      <c r="C1226" s="2" t="s">
        <v>1575</v>
      </c>
      <c r="D1226" s="2" t="s">
        <v>1572</v>
      </c>
      <c r="E1226" s="2">
        <v>10117.0</v>
      </c>
      <c r="F1226" s="2" t="s">
        <v>1589</v>
      </c>
      <c r="I1226" s="7">
        <v>1.0</v>
      </c>
      <c r="J1226" s="6">
        <v>14286.0</v>
      </c>
      <c r="K1226" s="2">
        <v>0.0</v>
      </c>
      <c r="L1226" s="2">
        <v>14286.0</v>
      </c>
      <c r="M1226" s="2">
        <v>0.0</v>
      </c>
      <c r="N1226" s="2">
        <v>14286.0</v>
      </c>
      <c r="O1226" s="2">
        <v>715.0</v>
      </c>
      <c r="P1226" s="2" t="s">
        <v>1574</v>
      </c>
      <c r="Q1226" s="2" t="s">
        <v>1568</v>
      </c>
      <c r="R1226" s="2" t="s">
        <v>1569</v>
      </c>
      <c r="S1226" s="2" t="s">
        <v>1570</v>
      </c>
      <c r="W1226" s="2" t="s">
        <v>1571</v>
      </c>
    </row>
    <row r="1227">
      <c r="A1227" s="4">
        <v>45541.67847222222</v>
      </c>
      <c r="B1227" s="5">
        <v>2628318.0</v>
      </c>
      <c r="C1227" s="2" t="s">
        <v>1575</v>
      </c>
      <c r="D1227" s="2" t="s">
        <v>1572</v>
      </c>
      <c r="E1227" s="2">
        <v>10128.0</v>
      </c>
      <c r="F1227" s="2" t="s">
        <v>1588</v>
      </c>
      <c r="I1227" s="7">
        <v>1.0</v>
      </c>
      <c r="J1227" s="6">
        <v>23333.0</v>
      </c>
      <c r="K1227" s="2">
        <v>0.0</v>
      </c>
      <c r="L1227" s="2">
        <v>23333.0</v>
      </c>
      <c r="M1227" s="2">
        <v>0.0</v>
      </c>
      <c r="N1227" s="2">
        <v>23333.0</v>
      </c>
      <c r="O1227" s="2">
        <v>1166.0</v>
      </c>
      <c r="P1227" s="2" t="s">
        <v>1574</v>
      </c>
      <c r="Q1227" s="2" t="s">
        <v>1568</v>
      </c>
      <c r="R1227" s="2" t="s">
        <v>1569</v>
      </c>
      <c r="S1227" s="2" t="s">
        <v>1570</v>
      </c>
      <c r="W1227" s="2" t="s">
        <v>1571</v>
      </c>
    </row>
    <row r="1228">
      <c r="A1228" s="4">
        <v>45541.66805555556</v>
      </c>
      <c r="B1228" s="5">
        <v>2627953.0</v>
      </c>
      <c r="C1228" s="2" t="s">
        <v>1575</v>
      </c>
      <c r="D1228" s="2" t="s">
        <v>1572</v>
      </c>
      <c r="E1228" s="2">
        <v>10128.0</v>
      </c>
      <c r="F1228" s="2" t="s">
        <v>1588</v>
      </c>
      <c r="I1228" s="7">
        <v>2.0</v>
      </c>
      <c r="J1228" s="6">
        <v>46666.0</v>
      </c>
      <c r="K1228" s="2">
        <v>0.0</v>
      </c>
      <c r="L1228" s="2">
        <v>46666.0</v>
      </c>
      <c r="M1228" s="2">
        <v>0.0</v>
      </c>
      <c r="N1228" s="2">
        <v>46666.0</v>
      </c>
      <c r="O1228" s="2">
        <v>2333.0</v>
      </c>
      <c r="P1228" s="2" t="s">
        <v>1574</v>
      </c>
      <c r="Q1228" s="2" t="s">
        <v>1568</v>
      </c>
      <c r="R1228" s="2" t="s">
        <v>1569</v>
      </c>
      <c r="S1228" s="2" t="s">
        <v>1570</v>
      </c>
      <c r="W1228" s="2" t="s">
        <v>1571</v>
      </c>
    </row>
    <row r="1229">
      <c r="A1229" s="4">
        <v>45541.66805555556</v>
      </c>
      <c r="B1229" s="5">
        <v>2627953.0</v>
      </c>
      <c r="C1229" s="2" t="s">
        <v>1575</v>
      </c>
      <c r="D1229" s="2" t="s">
        <v>1565</v>
      </c>
      <c r="E1229" s="2">
        <v>10007.0</v>
      </c>
      <c r="F1229" s="2" t="s">
        <v>1596</v>
      </c>
      <c r="I1229" s="7">
        <v>1.0</v>
      </c>
      <c r="J1229" s="6">
        <v>33810.0</v>
      </c>
      <c r="K1229" s="2">
        <v>0.0</v>
      </c>
      <c r="L1229" s="2">
        <v>33810.0</v>
      </c>
      <c r="M1229" s="2">
        <v>0.0</v>
      </c>
      <c r="N1229" s="2">
        <v>33810.0</v>
      </c>
      <c r="O1229" s="2">
        <v>1691.0</v>
      </c>
      <c r="P1229" s="2" t="s">
        <v>1574</v>
      </c>
      <c r="Q1229" s="2" t="s">
        <v>1568</v>
      </c>
      <c r="R1229" s="2" t="s">
        <v>1569</v>
      </c>
      <c r="S1229" s="2" t="s">
        <v>1570</v>
      </c>
      <c r="W1229" s="2" t="s">
        <v>1571</v>
      </c>
    </row>
    <row r="1230">
      <c r="A1230" s="4">
        <v>45541.66805555556</v>
      </c>
      <c r="B1230" s="5">
        <v>2627953.0</v>
      </c>
      <c r="C1230" s="2" t="s">
        <v>1575</v>
      </c>
      <c r="D1230" s="2" t="s">
        <v>1565</v>
      </c>
      <c r="E1230" s="2">
        <v>10002.0</v>
      </c>
      <c r="F1230" s="2" t="s">
        <v>1576</v>
      </c>
      <c r="I1230" s="7">
        <v>1.0</v>
      </c>
      <c r="J1230" s="6">
        <v>18571.0</v>
      </c>
      <c r="K1230" s="2">
        <v>0.0</v>
      </c>
      <c r="L1230" s="2">
        <v>18571.0</v>
      </c>
      <c r="M1230" s="2">
        <v>0.0</v>
      </c>
      <c r="N1230" s="2">
        <v>18571.0</v>
      </c>
      <c r="O1230" s="2">
        <v>928.0</v>
      </c>
      <c r="P1230" s="2" t="s">
        <v>1574</v>
      </c>
      <c r="Q1230" s="2" t="s">
        <v>1568</v>
      </c>
      <c r="R1230" s="2" t="s">
        <v>1569</v>
      </c>
      <c r="S1230" s="2" t="s">
        <v>1570</v>
      </c>
      <c r="W1230" s="2" t="s">
        <v>1571</v>
      </c>
    </row>
    <row r="1231">
      <c r="A1231" s="4">
        <v>45541.66805555556</v>
      </c>
      <c r="B1231" s="5">
        <v>2627953.0</v>
      </c>
      <c r="C1231" s="2" t="s">
        <v>1575</v>
      </c>
      <c r="D1231" s="2" t="s">
        <v>1580</v>
      </c>
      <c r="E1231" s="2">
        <v>10012.0</v>
      </c>
      <c r="F1231" s="2" t="s">
        <v>1602</v>
      </c>
      <c r="I1231" s="7">
        <v>1.0</v>
      </c>
      <c r="J1231" s="6">
        <v>29524.0</v>
      </c>
      <c r="K1231" s="2">
        <v>0.0</v>
      </c>
      <c r="L1231" s="2">
        <v>29524.0</v>
      </c>
      <c r="M1231" s="2">
        <v>0.0</v>
      </c>
      <c r="N1231" s="2">
        <v>29524.0</v>
      </c>
      <c r="O1231" s="2">
        <v>1477.0</v>
      </c>
      <c r="P1231" s="2" t="s">
        <v>1574</v>
      </c>
      <c r="Q1231" s="2" t="s">
        <v>1568</v>
      </c>
      <c r="R1231" s="2" t="s">
        <v>1569</v>
      </c>
      <c r="S1231" s="2" t="s">
        <v>1570</v>
      </c>
      <c r="W1231" s="2" t="s">
        <v>1571</v>
      </c>
    </row>
    <row r="1232">
      <c r="A1232" s="4">
        <v>45541.66805555556</v>
      </c>
      <c r="B1232" s="5">
        <v>2627953.0</v>
      </c>
      <c r="C1232" s="2" t="s">
        <v>1575</v>
      </c>
      <c r="D1232" s="2" t="s">
        <v>1578</v>
      </c>
      <c r="E1232" s="2">
        <v>10051.0</v>
      </c>
      <c r="F1232" s="2" t="s">
        <v>1579</v>
      </c>
      <c r="I1232" s="7">
        <v>1.0</v>
      </c>
      <c r="J1232" s="6">
        <v>25238.0</v>
      </c>
      <c r="K1232" s="2">
        <v>0.0</v>
      </c>
      <c r="L1232" s="2">
        <v>25238.0</v>
      </c>
      <c r="M1232" s="2">
        <v>0.0</v>
      </c>
      <c r="N1232" s="2">
        <v>25238.0</v>
      </c>
      <c r="O1232" s="2">
        <v>1261.0</v>
      </c>
      <c r="P1232" s="2" t="s">
        <v>1574</v>
      </c>
      <c r="Q1232" s="2" t="s">
        <v>1568</v>
      </c>
      <c r="R1232" s="2" t="s">
        <v>1569</v>
      </c>
      <c r="S1232" s="2" t="s">
        <v>1570</v>
      </c>
      <c r="W1232" s="2" t="s">
        <v>1571</v>
      </c>
    </row>
    <row r="1233">
      <c r="A1233" s="4">
        <v>45541.652083333334</v>
      </c>
      <c r="B1233" s="5">
        <v>2627588.0</v>
      </c>
      <c r="C1233" s="2" t="s">
        <v>1575</v>
      </c>
      <c r="D1233" s="2" t="s">
        <v>1572</v>
      </c>
      <c r="E1233" s="2">
        <v>10026.0</v>
      </c>
      <c r="F1233" s="2" t="s">
        <v>1583</v>
      </c>
      <c r="I1233" s="7">
        <v>1.0</v>
      </c>
      <c r="J1233" s="6">
        <v>21905.0</v>
      </c>
      <c r="K1233" s="2">
        <v>0.0</v>
      </c>
      <c r="L1233" s="2">
        <v>21905.0</v>
      </c>
      <c r="M1233" s="2">
        <v>0.0</v>
      </c>
      <c r="N1233" s="2">
        <v>21905.0</v>
      </c>
      <c r="O1233" s="2">
        <v>1095.0</v>
      </c>
      <c r="P1233" s="2" t="s">
        <v>1574</v>
      </c>
      <c r="Q1233" s="2" t="s">
        <v>1568</v>
      </c>
      <c r="R1233" s="2" t="s">
        <v>1569</v>
      </c>
      <c r="S1233" s="2" t="s">
        <v>1570</v>
      </c>
      <c r="W1233" s="2" t="s">
        <v>1571</v>
      </c>
    </row>
    <row r="1234">
      <c r="A1234" s="4">
        <v>45541.652083333334</v>
      </c>
      <c r="B1234" s="5">
        <v>2627588.0</v>
      </c>
      <c r="C1234" s="2" t="s">
        <v>1575</v>
      </c>
      <c r="D1234" s="2" t="s">
        <v>1572</v>
      </c>
      <c r="E1234" s="2">
        <v>10128.0</v>
      </c>
      <c r="F1234" s="2" t="s">
        <v>1588</v>
      </c>
      <c r="I1234" s="7">
        <v>1.0</v>
      </c>
      <c r="J1234" s="6">
        <v>23333.0</v>
      </c>
      <c r="K1234" s="2">
        <v>0.0</v>
      </c>
      <c r="L1234" s="2">
        <v>23333.0</v>
      </c>
      <c r="M1234" s="2">
        <v>0.0</v>
      </c>
      <c r="N1234" s="2">
        <v>23333.0</v>
      </c>
      <c r="O1234" s="2">
        <v>1167.0</v>
      </c>
      <c r="P1234" s="2" t="s">
        <v>1574</v>
      </c>
      <c r="Q1234" s="2" t="s">
        <v>1568</v>
      </c>
      <c r="R1234" s="2" t="s">
        <v>1569</v>
      </c>
      <c r="S1234" s="2" t="s">
        <v>1570</v>
      </c>
      <c r="W1234" s="2" t="s">
        <v>1571</v>
      </c>
    </row>
    <row r="1235">
      <c r="A1235" s="4">
        <v>45541.652083333334</v>
      </c>
      <c r="B1235" s="5">
        <v>2627588.0</v>
      </c>
      <c r="C1235" s="2" t="s">
        <v>1575</v>
      </c>
      <c r="D1235" s="2" t="s">
        <v>1578</v>
      </c>
      <c r="E1235" s="2">
        <v>10010.0</v>
      </c>
      <c r="F1235" s="2" t="s">
        <v>1606</v>
      </c>
      <c r="I1235" s="7">
        <v>1.0</v>
      </c>
      <c r="J1235" s="6">
        <v>25238.0</v>
      </c>
      <c r="K1235" s="2">
        <v>0.0</v>
      </c>
      <c r="L1235" s="2">
        <v>25238.0</v>
      </c>
      <c r="M1235" s="2">
        <v>0.0</v>
      </c>
      <c r="N1235" s="2">
        <v>25238.0</v>
      </c>
      <c r="O1235" s="2">
        <v>1262.0</v>
      </c>
      <c r="P1235" s="2" t="s">
        <v>1574</v>
      </c>
      <c r="Q1235" s="2" t="s">
        <v>1568</v>
      </c>
      <c r="R1235" s="2" t="s">
        <v>1569</v>
      </c>
      <c r="S1235" s="2" t="s">
        <v>1570</v>
      </c>
      <c r="W1235" s="2" t="s">
        <v>1571</v>
      </c>
    </row>
    <row r="1236">
      <c r="A1236" s="4">
        <v>45541.63402777778</v>
      </c>
      <c r="B1236" s="5">
        <v>2627223.0</v>
      </c>
      <c r="C1236" s="2" t="s">
        <v>1575</v>
      </c>
      <c r="D1236" s="2" t="s">
        <v>1572</v>
      </c>
      <c r="E1236" s="2">
        <v>10128.0</v>
      </c>
      <c r="F1236" s="2" t="s">
        <v>1588</v>
      </c>
      <c r="I1236" s="7">
        <v>1.0</v>
      </c>
      <c r="J1236" s="6">
        <v>23333.0</v>
      </c>
      <c r="K1236" s="2">
        <v>0.0</v>
      </c>
      <c r="L1236" s="2">
        <v>23333.0</v>
      </c>
      <c r="M1236" s="2">
        <v>0.0</v>
      </c>
      <c r="N1236" s="2">
        <v>23333.0</v>
      </c>
      <c r="O1236" s="2">
        <v>1167.0</v>
      </c>
      <c r="P1236" s="2" t="s">
        <v>1574</v>
      </c>
      <c r="Q1236" s="2" t="s">
        <v>1568</v>
      </c>
      <c r="R1236" s="2" t="s">
        <v>1569</v>
      </c>
      <c r="S1236" s="2" t="s">
        <v>1570</v>
      </c>
      <c r="W1236" s="2" t="s">
        <v>1571</v>
      </c>
    </row>
    <row r="1237">
      <c r="A1237" s="4">
        <v>45541.60208333333</v>
      </c>
      <c r="B1237" s="5">
        <v>2626857.0</v>
      </c>
      <c r="C1237" s="2" t="s">
        <v>1575</v>
      </c>
      <c r="D1237" s="2" t="s">
        <v>1572</v>
      </c>
      <c r="E1237" s="2">
        <v>10128.0</v>
      </c>
      <c r="F1237" s="2" t="s">
        <v>1588</v>
      </c>
      <c r="I1237" s="7">
        <v>1.0</v>
      </c>
      <c r="J1237" s="6">
        <v>23333.0</v>
      </c>
      <c r="K1237" s="2">
        <v>0.0</v>
      </c>
      <c r="L1237" s="2">
        <v>23333.0</v>
      </c>
      <c r="M1237" s="2">
        <v>0.0</v>
      </c>
      <c r="N1237" s="2">
        <v>23333.0</v>
      </c>
      <c r="O1237" s="2">
        <v>1167.0</v>
      </c>
      <c r="P1237" s="2" t="s">
        <v>1574</v>
      </c>
      <c r="Q1237" s="2" t="s">
        <v>1568</v>
      </c>
      <c r="R1237" s="2" t="s">
        <v>1569</v>
      </c>
      <c r="S1237" s="2" t="s">
        <v>1570</v>
      </c>
      <c r="W1237" s="2" t="s">
        <v>1571</v>
      </c>
    </row>
    <row r="1238">
      <c r="A1238" s="4">
        <v>45541.56180555555</v>
      </c>
      <c r="B1238" s="5">
        <v>2626492.0</v>
      </c>
      <c r="C1238" s="2" t="s">
        <v>1575</v>
      </c>
      <c r="D1238" s="2" t="s">
        <v>1572</v>
      </c>
      <c r="E1238" s="2">
        <v>10058.0</v>
      </c>
      <c r="F1238" s="2" t="s">
        <v>1618</v>
      </c>
      <c r="I1238" s="7">
        <v>1.0</v>
      </c>
      <c r="J1238" s="6">
        <v>19524.0</v>
      </c>
      <c r="K1238" s="2">
        <v>0.0</v>
      </c>
      <c r="L1238" s="2">
        <v>19524.0</v>
      </c>
      <c r="M1238" s="2">
        <v>0.0</v>
      </c>
      <c r="N1238" s="2">
        <v>19524.0</v>
      </c>
      <c r="O1238" s="2">
        <v>976.0</v>
      </c>
      <c r="P1238" s="2" t="s">
        <v>1574</v>
      </c>
      <c r="Q1238" s="2" t="s">
        <v>1568</v>
      </c>
      <c r="R1238" s="2" t="s">
        <v>1569</v>
      </c>
      <c r="S1238" s="2" t="s">
        <v>1570</v>
      </c>
      <c r="W1238" s="2" t="s">
        <v>1571</v>
      </c>
    </row>
    <row r="1239">
      <c r="A1239" s="4">
        <v>45541.53680555556</v>
      </c>
      <c r="B1239" s="5">
        <v>2626127.0</v>
      </c>
      <c r="C1239" s="2" t="s">
        <v>1575</v>
      </c>
      <c r="D1239" s="2" t="s">
        <v>1565</v>
      </c>
      <c r="E1239" s="2">
        <v>10000.0</v>
      </c>
      <c r="F1239" s="2" t="s">
        <v>1566</v>
      </c>
      <c r="I1239" s="7">
        <v>1.0</v>
      </c>
      <c r="J1239" s="6">
        <v>29524.0</v>
      </c>
      <c r="K1239" s="2">
        <v>0.0</v>
      </c>
      <c r="L1239" s="2">
        <v>29524.0</v>
      </c>
      <c r="M1239" s="2">
        <v>0.0</v>
      </c>
      <c r="N1239" s="2">
        <v>29524.0</v>
      </c>
      <c r="O1239" s="2">
        <v>1476.0</v>
      </c>
      <c r="P1239" s="2" t="s">
        <v>1574</v>
      </c>
      <c r="Q1239" s="2" t="s">
        <v>1568</v>
      </c>
      <c r="R1239" s="2" t="s">
        <v>1569</v>
      </c>
      <c r="S1239" s="2" t="s">
        <v>1570</v>
      </c>
      <c r="W1239" s="2" t="s">
        <v>1571</v>
      </c>
    </row>
    <row r="1240">
      <c r="A1240" s="4">
        <v>45541.53680555556</v>
      </c>
      <c r="B1240" s="5">
        <v>2626127.0</v>
      </c>
      <c r="C1240" s="2" t="s">
        <v>1575</v>
      </c>
      <c r="D1240" s="2" t="s">
        <v>1572</v>
      </c>
      <c r="E1240" s="2">
        <v>10013.0</v>
      </c>
      <c r="F1240" s="2" t="s">
        <v>1591</v>
      </c>
      <c r="I1240" s="7">
        <v>1.0</v>
      </c>
      <c r="J1240" s="6">
        <v>23333.0</v>
      </c>
      <c r="K1240" s="2">
        <v>0.0</v>
      </c>
      <c r="L1240" s="2">
        <v>23333.0</v>
      </c>
      <c r="M1240" s="2">
        <v>0.0</v>
      </c>
      <c r="N1240" s="2">
        <v>23333.0</v>
      </c>
      <c r="O1240" s="2">
        <v>1167.0</v>
      </c>
      <c r="P1240" s="2" t="s">
        <v>1574</v>
      </c>
      <c r="Q1240" s="2" t="s">
        <v>1568</v>
      </c>
      <c r="R1240" s="2" t="s">
        <v>1569</v>
      </c>
      <c r="S1240" s="2" t="s">
        <v>1570</v>
      </c>
      <c r="W1240" s="2" t="s">
        <v>1571</v>
      </c>
    </row>
    <row r="1241">
      <c r="A1241" s="4">
        <v>45541.53680555556</v>
      </c>
      <c r="B1241" s="5">
        <v>2626127.0</v>
      </c>
      <c r="C1241" s="2" t="s">
        <v>1575</v>
      </c>
      <c r="D1241" s="2" t="s">
        <v>1572</v>
      </c>
      <c r="E1241" s="2">
        <v>10128.0</v>
      </c>
      <c r="F1241" s="2" t="s">
        <v>1588</v>
      </c>
      <c r="I1241" s="7">
        <v>1.0</v>
      </c>
      <c r="J1241" s="6">
        <v>23333.0</v>
      </c>
      <c r="K1241" s="2">
        <v>0.0</v>
      </c>
      <c r="L1241" s="2">
        <v>23333.0</v>
      </c>
      <c r="M1241" s="2">
        <v>0.0</v>
      </c>
      <c r="N1241" s="2">
        <v>23333.0</v>
      </c>
      <c r="O1241" s="2">
        <v>1167.0</v>
      </c>
      <c r="P1241" s="2" t="s">
        <v>1574</v>
      </c>
      <c r="Q1241" s="2" t="s">
        <v>1568</v>
      </c>
      <c r="R1241" s="2" t="s">
        <v>1569</v>
      </c>
      <c r="S1241" s="2" t="s">
        <v>1570</v>
      </c>
      <c r="W1241" s="2" t="s">
        <v>1571</v>
      </c>
    </row>
    <row r="1242">
      <c r="A1242" s="4">
        <v>45541.47361111111</v>
      </c>
      <c r="B1242" s="5">
        <v>2625762.0</v>
      </c>
      <c r="C1242" s="2" t="s">
        <v>1575</v>
      </c>
      <c r="D1242" s="2" t="s">
        <v>1565</v>
      </c>
      <c r="E1242" s="2">
        <v>10042.0</v>
      </c>
      <c r="F1242" s="2" t="s">
        <v>1634</v>
      </c>
      <c r="I1242" s="7">
        <v>1.0</v>
      </c>
      <c r="J1242" s="6">
        <v>9524.0</v>
      </c>
      <c r="K1242" s="2">
        <v>0.0</v>
      </c>
      <c r="L1242" s="2">
        <v>9524.0</v>
      </c>
      <c r="M1242" s="2">
        <v>0.0</v>
      </c>
      <c r="N1242" s="2">
        <v>9524.0</v>
      </c>
      <c r="O1242" s="2">
        <v>476.0</v>
      </c>
      <c r="P1242" s="2" t="s">
        <v>1574</v>
      </c>
      <c r="Q1242" s="2" t="s">
        <v>1568</v>
      </c>
      <c r="R1242" s="2" t="s">
        <v>1569</v>
      </c>
      <c r="S1242" s="2" t="s">
        <v>1570</v>
      </c>
      <c r="W1242" s="2" t="s">
        <v>1571</v>
      </c>
    </row>
    <row r="1243">
      <c r="A1243" s="4">
        <v>45541.47361111111</v>
      </c>
      <c r="B1243" s="5">
        <v>2625762.0</v>
      </c>
      <c r="C1243" s="2" t="s">
        <v>1575</v>
      </c>
      <c r="D1243" s="2" t="s">
        <v>1572</v>
      </c>
      <c r="E1243" s="2">
        <v>10117.0</v>
      </c>
      <c r="F1243" s="2" t="s">
        <v>1589</v>
      </c>
      <c r="I1243" s="7">
        <v>1.0</v>
      </c>
      <c r="J1243" s="6">
        <v>14286.0</v>
      </c>
      <c r="K1243" s="2">
        <v>0.0</v>
      </c>
      <c r="L1243" s="2">
        <v>14286.0</v>
      </c>
      <c r="M1243" s="2">
        <v>0.0</v>
      </c>
      <c r="N1243" s="2">
        <v>14286.0</v>
      </c>
      <c r="O1243" s="2">
        <v>715.0</v>
      </c>
      <c r="P1243" s="2" t="s">
        <v>1574</v>
      </c>
      <c r="Q1243" s="2" t="s">
        <v>1568</v>
      </c>
      <c r="R1243" s="2" t="s">
        <v>1569</v>
      </c>
      <c r="S1243" s="2" t="s">
        <v>1570</v>
      </c>
      <c r="W1243" s="2" t="s">
        <v>1571</v>
      </c>
    </row>
    <row r="1244">
      <c r="A1244" s="4">
        <v>45541.444444444445</v>
      </c>
      <c r="B1244" s="5">
        <v>2625396.0</v>
      </c>
      <c r="C1244" s="2" t="s">
        <v>1575</v>
      </c>
      <c r="D1244" s="2" t="s">
        <v>1629</v>
      </c>
      <c r="E1244" s="2">
        <v>10023.0</v>
      </c>
      <c r="F1244" s="2" t="s">
        <v>1630</v>
      </c>
      <c r="I1244" s="7">
        <v>1.0</v>
      </c>
      <c r="J1244" s="6">
        <v>0.0</v>
      </c>
      <c r="K1244" s="2">
        <v>0.0</v>
      </c>
      <c r="L1244" s="2">
        <v>0.0</v>
      </c>
      <c r="M1244" s="2">
        <v>0.0</v>
      </c>
      <c r="N1244" s="2">
        <v>0.0</v>
      </c>
      <c r="O1244" s="2">
        <v>0.0</v>
      </c>
      <c r="P1244" s="2" t="s">
        <v>1574</v>
      </c>
      <c r="Q1244" s="2" t="s">
        <v>1568</v>
      </c>
      <c r="R1244" s="2" t="s">
        <v>1569</v>
      </c>
      <c r="S1244" s="2" t="s">
        <v>1570</v>
      </c>
      <c r="W1244" s="2" t="s">
        <v>1571</v>
      </c>
    </row>
    <row r="1245">
      <c r="A1245" s="4">
        <v>45541.444444444445</v>
      </c>
      <c r="B1245" s="5">
        <v>2625396.0</v>
      </c>
      <c r="C1245" s="2" t="s">
        <v>1575</v>
      </c>
      <c r="D1245" s="2" t="s">
        <v>1629</v>
      </c>
      <c r="E1245" s="2">
        <v>10021.0</v>
      </c>
      <c r="F1245" s="2" t="s">
        <v>1631</v>
      </c>
      <c r="I1245" s="7">
        <v>1.0</v>
      </c>
      <c r="J1245" s="6">
        <v>0.0</v>
      </c>
      <c r="K1245" s="2">
        <v>0.0</v>
      </c>
      <c r="L1245" s="2">
        <v>0.0</v>
      </c>
      <c r="M1245" s="2">
        <v>0.0</v>
      </c>
      <c r="N1245" s="2">
        <v>0.0</v>
      </c>
      <c r="O1245" s="2">
        <v>0.0</v>
      </c>
      <c r="P1245" s="2" t="s">
        <v>1574</v>
      </c>
      <c r="Q1245" s="2" t="s">
        <v>1568</v>
      </c>
      <c r="R1245" s="2" t="s">
        <v>1569</v>
      </c>
      <c r="S1245" s="2" t="s">
        <v>1570</v>
      </c>
      <c r="W1245" s="2" t="s">
        <v>1571</v>
      </c>
    </row>
    <row r="1246">
      <c r="A1246" s="4">
        <v>45541.444444444445</v>
      </c>
      <c r="B1246" s="5">
        <v>2625396.0</v>
      </c>
      <c r="C1246" s="2" t="s">
        <v>1575</v>
      </c>
      <c r="D1246" s="2" t="s">
        <v>1629</v>
      </c>
      <c r="E1246" s="2">
        <v>10023.0</v>
      </c>
      <c r="F1246" s="2" t="s">
        <v>1630</v>
      </c>
      <c r="I1246" s="7">
        <v>2.0</v>
      </c>
      <c r="J1246" s="6">
        <v>0.0</v>
      </c>
      <c r="K1246" s="2">
        <v>0.0</v>
      </c>
      <c r="L1246" s="2">
        <v>0.0</v>
      </c>
      <c r="M1246" s="2">
        <v>0.0</v>
      </c>
      <c r="N1246" s="2">
        <v>0.0</v>
      </c>
      <c r="O1246" s="2">
        <v>0.0</v>
      </c>
      <c r="P1246" s="2" t="s">
        <v>1574</v>
      </c>
      <c r="Q1246" s="2" t="s">
        <v>1568</v>
      </c>
      <c r="R1246" s="2" t="s">
        <v>1569</v>
      </c>
      <c r="S1246" s="2" t="s">
        <v>1570</v>
      </c>
      <c r="W1246" s="2" t="s">
        <v>1571</v>
      </c>
    </row>
    <row r="1247">
      <c r="A1247" s="4">
        <v>45541.444444444445</v>
      </c>
      <c r="B1247" s="5">
        <v>2625396.0</v>
      </c>
      <c r="C1247" s="2" t="s">
        <v>1575</v>
      </c>
      <c r="D1247" s="2" t="s">
        <v>1629</v>
      </c>
      <c r="E1247" s="2">
        <v>10021.0</v>
      </c>
      <c r="F1247" s="2" t="s">
        <v>1631</v>
      </c>
      <c r="I1247" s="7">
        <v>2.0</v>
      </c>
      <c r="J1247" s="6">
        <v>0.0</v>
      </c>
      <c r="K1247" s="2">
        <v>0.0</v>
      </c>
      <c r="L1247" s="2">
        <v>0.0</v>
      </c>
      <c r="M1247" s="2">
        <v>0.0</v>
      </c>
      <c r="N1247" s="2">
        <v>0.0</v>
      </c>
      <c r="O1247" s="2">
        <v>0.0</v>
      </c>
      <c r="P1247" s="2" t="s">
        <v>1574</v>
      </c>
      <c r="Q1247" s="2" t="s">
        <v>1568</v>
      </c>
      <c r="R1247" s="2" t="s">
        <v>1569</v>
      </c>
      <c r="S1247" s="2" t="s">
        <v>1570</v>
      </c>
      <c r="W1247" s="2" t="s">
        <v>1571</v>
      </c>
    </row>
    <row r="1248">
      <c r="A1248" s="4">
        <v>45541.44305555556</v>
      </c>
      <c r="B1248" s="5">
        <v>2625031.0</v>
      </c>
      <c r="C1248" s="2" t="s">
        <v>1575</v>
      </c>
      <c r="D1248" s="2" t="s">
        <v>1572</v>
      </c>
      <c r="E1248" s="2">
        <v>10112.0</v>
      </c>
      <c r="F1248" s="2" t="s">
        <v>1573</v>
      </c>
      <c r="I1248" s="7">
        <v>1.0</v>
      </c>
      <c r="J1248" s="6">
        <v>6667.0</v>
      </c>
      <c r="K1248" s="2">
        <v>0.0</v>
      </c>
      <c r="L1248" s="2">
        <v>6667.0</v>
      </c>
      <c r="M1248" s="2">
        <v>0.0</v>
      </c>
      <c r="N1248" s="2">
        <v>6667.0</v>
      </c>
      <c r="O1248" s="2">
        <v>333.0</v>
      </c>
      <c r="P1248" s="2" t="s">
        <v>1574</v>
      </c>
      <c r="Q1248" s="2" t="s">
        <v>1568</v>
      </c>
      <c r="R1248" s="2" t="s">
        <v>1569</v>
      </c>
      <c r="S1248" s="2" t="s">
        <v>1570</v>
      </c>
      <c r="W1248" s="2" t="s">
        <v>1571</v>
      </c>
    </row>
    <row r="1249">
      <c r="A1249" s="4">
        <v>45541.44305555556</v>
      </c>
      <c r="B1249" s="5">
        <v>2625031.0</v>
      </c>
      <c r="C1249" s="2" t="s">
        <v>1575</v>
      </c>
      <c r="D1249" s="2" t="s">
        <v>1565</v>
      </c>
      <c r="E1249" s="2">
        <v>10002.0</v>
      </c>
      <c r="F1249" s="2" t="s">
        <v>1576</v>
      </c>
      <c r="I1249" s="7">
        <v>1.0</v>
      </c>
      <c r="J1249" s="6">
        <v>18571.0</v>
      </c>
      <c r="K1249" s="2">
        <v>0.0</v>
      </c>
      <c r="L1249" s="2">
        <v>18571.0</v>
      </c>
      <c r="M1249" s="2">
        <v>0.0</v>
      </c>
      <c r="N1249" s="2">
        <v>18571.0</v>
      </c>
      <c r="O1249" s="2">
        <v>929.0</v>
      </c>
      <c r="P1249" s="2" t="s">
        <v>1574</v>
      </c>
      <c r="Q1249" s="2" t="s">
        <v>1568</v>
      </c>
      <c r="R1249" s="2" t="s">
        <v>1569</v>
      </c>
      <c r="S1249" s="2" t="s">
        <v>1570</v>
      </c>
      <c r="W1249" s="2" t="s">
        <v>1571</v>
      </c>
    </row>
    <row r="1250">
      <c r="A1250" s="4">
        <v>45541.44305555556</v>
      </c>
      <c r="B1250" s="5">
        <v>2625031.0</v>
      </c>
      <c r="C1250" s="2" t="s">
        <v>1575</v>
      </c>
      <c r="D1250" s="2" t="s">
        <v>1565</v>
      </c>
      <c r="E1250" s="2">
        <v>10005.0</v>
      </c>
      <c r="F1250" s="2" t="s">
        <v>1595</v>
      </c>
      <c r="I1250" s="7">
        <v>1.0</v>
      </c>
      <c r="J1250" s="6">
        <v>19524.0</v>
      </c>
      <c r="K1250" s="2">
        <v>0.0</v>
      </c>
      <c r="L1250" s="2">
        <v>19524.0</v>
      </c>
      <c r="M1250" s="2">
        <v>0.0</v>
      </c>
      <c r="N1250" s="2">
        <v>19524.0</v>
      </c>
      <c r="O1250" s="2">
        <v>976.0</v>
      </c>
      <c r="P1250" s="2" t="s">
        <v>1574</v>
      </c>
      <c r="Q1250" s="2" t="s">
        <v>1568</v>
      </c>
      <c r="R1250" s="2" t="s">
        <v>1569</v>
      </c>
      <c r="S1250" s="2" t="s">
        <v>1570</v>
      </c>
      <c r="W1250" s="2" t="s">
        <v>1571</v>
      </c>
    </row>
    <row r="1251">
      <c r="A1251" s="4">
        <v>45541.38888888889</v>
      </c>
      <c r="B1251" s="5">
        <v>2624666.0</v>
      </c>
      <c r="C1251" s="2" t="s">
        <v>1575</v>
      </c>
      <c r="D1251" s="2" t="s">
        <v>1572</v>
      </c>
      <c r="E1251" s="2">
        <v>10058.0</v>
      </c>
      <c r="F1251" s="2" t="s">
        <v>1618</v>
      </c>
      <c r="I1251" s="7">
        <v>1.0</v>
      </c>
      <c r="J1251" s="6">
        <v>19524.0</v>
      </c>
      <c r="K1251" s="2">
        <v>0.0</v>
      </c>
      <c r="L1251" s="2">
        <v>19524.0</v>
      </c>
      <c r="M1251" s="2">
        <v>0.0</v>
      </c>
      <c r="N1251" s="2">
        <v>19524.0</v>
      </c>
      <c r="O1251" s="2">
        <v>976.0</v>
      </c>
      <c r="P1251" s="2" t="s">
        <v>1574</v>
      </c>
      <c r="Q1251" s="2" t="s">
        <v>1568</v>
      </c>
      <c r="R1251" s="2" t="s">
        <v>1569</v>
      </c>
      <c r="S1251" s="2" t="s">
        <v>1570</v>
      </c>
      <c r="W1251" s="2" t="s">
        <v>1571</v>
      </c>
    </row>
    <row r="1252">
      <c r="A1252" s="4">
        <v>45541.379166666666</v>
      </c>
      <c r="B1252" s="5">
        <v>2624301.0</v>
      </c>
      <c r="C1252" s="2" t="s">
        <v>1575</v>
      </c>
      <c r="D1252" s="2" t="s">
        <v>1565</v>
      </c>
      <c r="E1252" s="2">
        <v>10005.0</v>
      </c>
      <c r="F1252" s="2" t="s">
        <v>1595</v>
      </c>
      <c r="I1252" s="7">
        <v>1.0</v>
      </c>
      <c r="J1252" s="6">
        <v>19524.0</v>
      </c>
      <c r="K1252" s="2">
        <v>0.0</v>
      </c>
      <c r="L1252" s="2">
        <v>19524.0</v>
      </c>
      <c r="M1252" s="2">
        <v>0.0</v>
      </c>
      <c r="N1252" s="2">
        <v>19524.0</v>
      </c>
      <c r="O1252" s="2">
        <v>976.0</v>
      </c>
      <c r="P1252" s="2" t="s">
        <v>1574</v>
      </c>
      <c r="Q1252" s="2" t="s">
        <v>1568</v>
      </c>
      <c r="R1252" s="2" t="s">
        <v>1569</v>
      </c>
      <c r="S1252" s="2" t="s">
        <v>1570</v>
      </c>
      <c r="W1252" s="2" t="s">
        <v>1571</v>
      </c>
    </row>
    <row r="1253">
      <c r="A1253" s="4">
        <v>45540.87986111111</v>
      </c>
      <c r="B1253" s="5">
        <v>2623935.0</v>
      </c>
      <c r="C1253" s="2" t="s">
        <v>1575</v>
      </c>
      <c r="D1253" s="2" t="s">
        <v>1578</v>
      </c>
      <c r="E1253" s="2">
        <v>10015.0</v>
      </c>
      <c r="F1253" s="2" t="s">
        <v>1587</v>
      </c>
      <c r="I1253" s="7">
        <v>1.0</v>
      </c>
      <c r="J1253" s="6">
        <v>25238.0</v>
      </c>
      <c r="K1253" s="2">
        <v>0.0</v>
      </c>
      <c r="L1253" s="2">
        <v>25238.0</v>
      </c>
      <c r="M1253" s="2">
        <v>0.0</v>
      </c>
      <c r="N1253" s="2">
        <v>25238.0</v>
      </c>
      <c r="O1253" s="2">
        <v>1262.0</v>
      </c>
      <c r="P1253" s="2" t="s">
        <v>1574</v>
      </c>
      <c r="Q1253" s="2" t="s">
        <v>1568</v>
      </c>
      <c r="R1253" s="2" t="s">
        <v>1569</v>
      </c>
      <c r="S1253" s="2" t="s">
        <v>1570</v>
      </c>
      <c r="W1253" s="2" t="s">
        <v>1571</v>
      </c>
    </row>
    <row r="1254">
      <c r="A1254" s="4">
        <v>45540.87986111111</v>
      </c>
      <c r="B1254" s="5">
        <v>2623935.0</v>
      </c>
      <c r="C1254" s="2" t="s">
        <v>1575</v>
      </c>
      <c r="D1254" s="2" t="s">
        <v>1578</v>
      </c>
      <c r="E1254" s="2">
        <v>10014.0</v>
      </c>
      <c r="F1254" s="2" t="s">
        <v>1609</v>
      </c>
      <c r="I1254" s="7">
        <v>1.0</v>
      </c>
      <c r="J1254" s="6">
        <v>25238.0</v>
      </c>
      <c r="K1254" s="2">
        <v>0.0</v>
      </c>
      <c r="L1254" s="2">
        <v>25238.0</v>
      </c>
      <c r="M1254" s="2">
        <v>0.0</v>
      </c>
      <c r="N1254" s="2">
        <v>25238.0</v>
      </c>
      <c r="O1254" s="2">
        <v>1262.0</v>
      </c>
      <c r="P1254" s="2" t="s">
        <v>1574</v>
      </c>
      <c r="Q1254" s="2" t="s">
        <v>1568</v>
      </c>
      <c r="R1254" s="2" t="s">
        <v>1569</v>
      </c>
      <c r="S1254" s="2" t="s">
        <v>1570</v>
      </c>
      <c r="W1254" s="2" t="s">
        <v>1571</v>
      </c>
    </row>
    <row r="1255">
      <c r="A1255" s="4">
        <v>45540.87986111111</v>
      </c>
      <c r="B1255" s="5">
        <v>2623935.0</v>
      </c>
      <c r="C1255" s="2" t="s">
        <v>1575</v>
      </c>
      <c r="D1255" s="2" t="s">
        <v>1578</v>
      </c>
      <c r="E1255" s="2">
        <v>10010.0</v>
      </c>
      <c r="F1255" s="2" t="s">
        <v>1606</v>
      </c>
      <c r="I1255" s="7">
        <v>1.0</v>
      </c>
      <c r="J1255" s="6">
        <v>25238.0</v>
      </c>
      <c r="K1255" s="2">
        <v>0.0</v>
      </c>
      <c r="L1255" s="2">
        <v>25238.0</v>
      </c>
      <c r="M1255" s="2">
        <v>0.0</v>
      </c>
      <c r="N1255" s="2">
        <v>25238.0</v>
      </c>
      <c r="O1255" s="2">
        <v>1262.0</v>
      </c>
      <c r="P1255" s="2" t="s">
        <v>1574</v>
      </c>
      <c r="Q1255" s="2" t="s">
        <v>1568</v>
      </c>
      <c r="R1255" s="2" t="s">
        <v>1569</v>
      </c>
      <c r="S1255" s="2" t="s">
        <v>1570</v>
      </c>
      <c r="W1255" s="2" t="s">
        <v>1571</v>
      </c>
    </row>
    <row r="1256">
      <c r="A1256" s="4">
        <v>45540.87986111111</v>
      </c>
      <c r="B1256" s="5">
        <v>2623935.0</v>
      </c>
      <c r="C1256" s="2" t="s">
        <v>1575</v>
      </c>
      <c r="D1256" s="2" t="s">
        <v>1580</v>
      </c>
      <c r="E1256" s="2">
        <v>10003.0</v>
      </c>
      <c r="F1256" s="2" t="s">
        <v>1603</v>
      </c>
      <c r="I1256" s="7">
        <v>1.0</v>
      </c>
      <c r="J1256" s="6">
        <v>29524.0</v>
      </c>
      <c r="K1256" s="2">
        <v>0.0</v>
      </c>
      <c r="L1256" s="2">
        <v>29524.0</v>
      </c>
      <c r="M1256" s="2">
        <v>0.0</v>
      </c>
      <c r="N1256" s="2">
        <v>29524.0</v>
      </c>
      <c r="O1256" s="2">
        <v>1476.0</v>
      </c>
      <c r="P1256" s="2" t="s">
        <v>1574</v>
      </c>
      <c r="Q1256" s="2" t="s">
        <v>1568</v>
      </c>
      <c r="R1256" s="2" t="s">
        <v>1569</v>
      </c>
      <c r="S1256" s="2" t="s">
        <v>1570</v>
      </c>
      <c r="W1256" s="2" t="s">
        <v>1571</v>
      </c>
    </row>
    <row r="1257">
      <c r="A1257" s="4">
        <v>45540.87986111111</v>
      </c>
      <c r="B1257" s="5">
        <v>2623935.0</v>
      </c>
      <c r="C1257" s="2" t="s">
        <v>1575</v>
      </c>
      <c r="D1257" s="2" t="s">
        <v>1580</v>
      </c>
      <c r="E1257" s="2">
        <v>10003.0</v>
      </c>
      <c r="F1257" s="2" t="s">
        <v>1603</v>
      </c>
      <c r="I1257" s="7">
        <v>1.0</v>
      </c>
      <c r="J1257" s="6">
        <v>29524.0</v>
      </c>
      <c r="K1257" s="2">
        <v>0.0</v>
      </c>
      <c r="L1257" s="2">
        <v>29524.0</v>
      </c>
      <c r="M1257" s="2">
        <v>0.0</v>
      </c>
      <c r="N1257" s="2">
        <v>29524.0</v>
      </c>
      <c r="O1257" s="2">
        <v>1476.0</v>
      </c>
      <c r="P1257" s="2" t="s">
        <v>1574</v>
      </c>
      <c r="Q1257" s="2" t="s">
        <v>1568</v>
      </c>
      <c r="R1257" s="2" t="s">
        <v>1569</v>
      </c>
      <c r="S1257" s="2" t="s">
        <v>1570</v>
      </c>
      <c r="W1257" s="2" t="s">
        <v>1571</v>
      </c>
    </row>
    <row r="1258">
      <c r="A1258" s="4">
        <v>45540.875</v>
      </c>
      <c r="B1258" s="5">
        <v>2623570.0</v>
      </c>
      <c r="C1258" s="2" t="s">
        <v>1575</v>
      </c>
      <c r="D1258" s="2" t="s">
        <v>1578</v>
      </c>
      <c r="E1258" s="2">
        <v>10051.0</v>
      </c>
      <c r="F1258" s="2" t="s">
        <v>1579</v>
      </c>
      <c r="I1258" s="7">
        <v>1.0</v>
      </c>
      <c r="J1258" s="6">
        <v>25238.0</v>
      </c>
      <c r="K1258" s="2">
        <v>0.0</v>
      </c>
      <c r="L1258" s="2">
        <v>25238.0</v>
      </c>
      <c r="M1258" s="2">
        <v>0.0</v>
      </c>
      <c r="N1258" s="2">
        <v>25238.0</v>
      </c>
      <c r="O1258" s="2">
        <v>1262.0</v>
      </c>
      <c r="P1258" s="2" t="s">
        <v>1574</v>
      </c>
      <c r="Q1258" s="2" t="s">
        <v>1568</v>
      </c>
      <c r="R1258" s="2" t="s">
        <v>1569</v>
      </c>
      <c r="S1258" s="2" t="s">
        <v>1570</v>
      </c>
      <c r="W1258" s="2" t="s">
        <v>1571</v>
      </c>
    </row>
    <row r="1259">
      <c r="A1259" s="4">
        <v>45540.875</v>
      </c>
      <c r="B1259" s="5">
        <v>2623570.0</v>
      </c>
      <c r="C1259" s="2" t="s">
        <v>1575</v>
      </c>
      <c r="D1259" s="2" t="s">
        <v>1565</v>
      </c>
      <c r="E1259" s="2">
        <v>10002.0</v>
      </c>
      <c r="F1259" s="2" t="s">
        <v>1576</v>
      </c>
      <c r="I1259" s="7">
        <v>1.0</v>
      </c>
      <c r="J1259" s="6">
        <v>18571.0</v>
      </c>
      <c r="K1259" s="2">
        <v>0.0</v>
      </c>
      <c r="L1259" s="2">
        <v>18571.0</v>
      </c>
      <c r="M1259" s="2">
        <v>0.0</v>
      </c>
      <c r="N1259" s="2">
        <v>18571.0</v>
      </c>
      <c r="O1259" s="2">
        <v>928.0</v>
      </c>
      <c r="P1259" s="2" t="s">
        <v>1574</v>
      </c>
      <c r="Q1259" s="2" t="s">
        <v>1568</v>
      </c>
      <c r="R1259" s="2" t="s">
        <v>1569</v>
      </c>
      <c r="S1259" s="2" t="s">
        <v>1570</v>
      </c>
      <c r="W1259" s="2" t="s">
        <v>1571</v>
      </c>
    </row>
    <row r="1260">
      <c r="A1260" s="4">
        <v>45540.82430555556</v>
      </c>
      <c r="B1260" s="5">
        <v>2623205.0</v>
      </c>
      <c r="C1260" s="2" t="s">
        <v>1575</v>
      </c>
      <c r="D1260" s="2" t="s">
        <v>1565</v>
      </c>
      <c r="E1260" s="2">
        <v>10002.0</v>
      </c>
      <c r="F1260" s="2" t="s">
        <v>1576</v>
      </c>
      <c r="I1260" s="7">
        <v>1.0</v>
      </c>
      <c r="J1260" s="6">
        <v>18571.0</v>
      </c>
      <c r="K1260" s="2">
        <v>0.0</v>
      </c>
      <c r="L1260" s="2">
        <v>18571.0</v>
      </c>
      <c r="M1260" s="2">
        <v>0.0</v>
      </c>
      <c r="N1260" s="2">
        <v>18571.0</v>
      </c>
      <c r="O1260" s="2">
        <v>929.0</v>
      </c>
      <c r="P1260" s="2" t="s">
        <v>1574</v>
      </c>
      <c r="Q1260" s="2" t="s">
        <v>1568</v>
      </c>
      <c r="R1260" s="2" t="s">
        <v>1569</v>
      </c>
      <c r="S1260" s="2" t="s">
        <v>1570</v>
      </c>
      <c r="W1260" s="2" t="s">
        <v>1571</v>
      </c>
    </row>
    <row r="1261">
      <c r="A1261" s="4">
        <v>45540.82152777778</v>
      </c>
      <c r="B1261" s="5">
        <v>2622840.0</v>
      </c>
      <c r="C1261" s="2" t="s">
        <v>1575</v>
      </c>
      <c r="D1261" s="2" t="s">
        <v>1572</v>
      </c>
      <c r="E1261" s="2">
        <v>10122.0</v>
      </c>
      <c r="F1261" s="2" t="s">
        <v>1577</v>
      </c>
      <c r="I1261" s="7">
        <v>1.0</v>
      </c>
      <c r="J1261" s="6">
        <v>21905.0</v>
      </c>
      <c r="K1261" s="2">
        <v>0.0</v>
      </c>
      <c r="L1261" s="2">
        <v>21905.0</v>
      </c>
      <c r="M1261" s="2">
        <v>0.0</v>
      </c>
      <c r="N1261" s="2">
        <v>21905.0</v>
      </c>
      <c r="O1261" s="2">
        <v>1095.0</v>
      </c>
      <c r="P1261" s="2" t="s">
        <v>1574</v>
      </c>
      <c r="Q1261" s="2" t="s">
        <v>1568</v>
      </c>
      <c r="R1261" s="2" t="s">
        <v>1569</v>
      </c>
      <c r="S1261" s="2" t="s">
        <v>1570</v>
      </c>
      <c r="W1261" s="2" t="s">
        <v>1571</v>
      </c>
    </row>
    <row r="1262">
      <c r="A1262" s="4">
        <v>45540.82152777778</v>
      </c>
      <c r="B1262" s="5">
        <v>2622840.0</v>
      </c>
      <c r="C1262" s="2" t="s">
        <v>1575</v>
      </c>
      <c r="D1262" s="2" t="s">
        <v>1580</v>
      </c>
      <c r="E1262" s="2">
        <v>10003.0</v>
      </c>
      <c r="F1262" s="2" t="s">
        <v>1603</v>
      </c>
      <c r="I1262" s="7">
        <v>1.0</v>
      </c>
      <c r="J1262" s="6">
        <v>29524.0</v>
      </c>
      <c r="K1262" s="2">
        <v>0.0</v>
      </c>
      <c r="L1262" s="2">
        <v>29524.0</v>
      </c>
      <c r="M1262" s="2">
        <v>0.0</v>
      </c>
      <c r="N1262" s="2">
        <v>29524.0</v>
      </c>
      <c r="O1262" s="2">
        <v>1476.0</v>
      </c>
      <c r="P1262" s="2" t="s">
        <v>1574</v>
      </c>
      <c r="Q1262" s="2" t="s">
        <v>1568</v>
      </c>
      <c r="R1262" s="2" t="s">
        <v>1569</v>
      </c>
      <c r="S1262" s="2" t="s">
        <v>1570</v>
      </c>
      <c r="W1262" s="2" t="s">
        <v>1571</v>
      </c>
    </row>
    <row r="1263">
      <c r="A1263" s="4">
        <v>45540.82152777778</v>
      </c>
      <c r="B1263" s="5">
        <v>2622840.0</v>
      </c>
      <c r="C1263" s="2" t="s">
        <v>1575</v>
      </c>
      <c r="D1263" s="2" t="s">
        <v>1578</v>
      </c>
      <c r="E1263" s="2">
        <v>10051.0</v>
      </c>
      <c r="F1263" s="2" t="s">
        <v>1579</v>
      </c>
      <c r="I1263" s="7">
        <v>1.0</v>
      </c>
      <c r="J1263" s="6">
        <v>25238.0</v>
      </c>
      <c r="K1263" s="2">
        <v>0.0</v>
      </c>
      <c r="L1263" s="2">
        <v>25238.0</v>
      </c>
      <c r="M1263" s="2">
        <v>0.0</v>
      </c>
      <c r="N1263" s="2">
        <v>25238.0</v>
      </c>
      <c r="O1263" s="2">
        <v>1262.0</v>
      </c>
      <c r="P1263" s="2" t="s">
        <v>1574</v>
      </c>
      <c r="Q1263" s="2" t="s">
        <v>1568</v>
      </c>
      <c r="R1263" s="2" t="s">
        <v>1569</v>
      </c>
      <c r="S1263" s="2" t="s">
        <v>1570</v>
      </c>
      <c r="W1263" s="2" t="s">
        <v>1571</v>
      </c>
    </row>
    <row r="1264">
      <c r="A1264" s="4">
        <v>45540.82152777778</v>
      </c>
      <c r="B1264" s="5">
        <v>2622840.0</v>
      </c>
      <c r="C1264" s="2" t="s">
        <v>1575</v>
      </c>
      <c r="D1264" s="2" t="s">
        <v>1572</v>
      </c>
      <c r="E1264" s="2">
        <v>10112.0</v>
      </c>
      <c r="F1264" s="2" t="s">
        <v>1573</v>
      </c>
      <c r="I1264" s="7">
        <v>1.0</v>
      </c>
      <c r="J1264" s="6">
        <v>6667.0</v>
      </c>
      <c r="K1264" s="2">
        <v>0.0</v>
      </c>
      <c r="L1264" s="2">
        <v>6667.0</v>
      </c>
      <c r="M1264" s="2">
        <v>0.0</v>
      </c>
      <c r="N1264" s="2">
        <v>6667.0</v>
      </c>
      <c r="O1264" s="2">
        <v>334.0</v>
      </c>
      <c r="P1264" s="2" t="s">
        <v>1574</v>
      </c>
      <c r="Q1264" s="2" t="s">
        <v>1568</v>
      </c>
      <c r="R1264" s="2" t="s">
        <v>1569</v>
      </c>
      <c r="S1264" s="2" t="s">
        <v>1570</v>
      </c>
      <c r="W1264" s="2" t="s">
        <v>1571</v>
      </c>
    </row>
    <row r="1265">
      <c r="A1265" s="4">
        <v>45540.82152777778</v>
      </c>
      <c r="B1265" s="5">
        <v>2622840.0</v>
      </c>
      <c r="C1265" s="2" t="s">
        <v>1575</v>
      </c>
      <c r="D1265" s="2" t="s">
        <v>1565</v>
      </c>
      <c r="E1265" s="2">
        <v>10002.0</v>
      </c>
      <c r="F1265" s="2" t="s">
        <v>1576</v>
      </c>
      <c r="I1265" s="7">
        <v>1.0</v>
      </c>
      <c r="J1265" s="6">
        <v>18571.0</v>
      </c>
      <c r="K1265" s="2">
        <v>0.0</v>
      </c>
      <c r="L1265" s="2">
        <v>18571.0</v>
      </c>
      <c r="M1265" s="2">
        <v>0.0</v>
      </c>
      <c r="N1265" s="2">
        <v>18571.0</v>
      </c>
      <c r="O1265" s="2">
        <v>928.0</v>
      </c>
      <c r="P1265" s="2" t="s">
        <v>1574</v>
      </c>
      <c r="Q1265" s="2" t="s">
        <v>1568</v>
      </c>
      <c r="R1265" s="2" t="s">
        <v>1569</v>
      </c>
      <c r="S1265" s="2" t="s">
        <v>1570</v>
      </c>
      <c r="W1265" s="2" t="s">
        <v>1571</v>
      </c>
    </row>
    <row r="1266">
      <c r="A1266" s="4">
        <v>45540.81041666667</v>
      </c>
      <c r="B1266" s="5">
        <v>2622474.0</v>
      </c>
      <c r="C1266" s="2" t="s">
        <v>1575</v>
      </c>
      <c r="D1266" s="2" t="s">
        <v>1565</v>
      </c>
      <c r="E1266" s="2">
        <v>10000.0</v>
      </c>
      <c r="F1266" s="2" t="s">
        <v>1566</v>
      </c>
      <c r="I1266" s="7">
        <v>1.0</v>
      </c>
      <c r="J1266" s="6">
        <v>29524.0</v>
      </c>
      <c r="K1266" s="2">
        <v>0.0</v>
      </c>
      <c r="L1266" s="2">
        <v>29524.0</v>
      </c>
      <c r="M1266" s="2">
        <v>0.0</v>
      </c>
      <c r="N1266" s="2">
        <v>29524.0</v>
      </c>
      <c r="O1266" s="2">
        <v>1476.0</v>
      </c>
      <c r="P1266" s="2" t="s">
        <v>1574</v>
      </c>
      <c r="Q1266" s="2" t="s">
        <v>1568</v>
      </c>
      <c r="R1266" s="2" t="s">
        <v>1569</v>
      </c>
      <c r="S1266" s="2" t="s">
        <v>1570</v>
      </c>
      <c r="W1266" s="2" t="s">
        <v>1571</v>
      </c>
    </row>
    <row r="1267">
      <c r="A1267" s="4">
        <v>45540.81041666667</v>
      </c>
      <c r="B1267" s="5">
        <v>2622474.0</v>
      </c>
      <c r="C1267" s="2" t="s">
        <v>1575</v>
      </c>
      <c r="D1267" s="2" t="s">
        <v>1572</v>
      </c>
      <c r="E1267" s="2">
        <v>10112.0</v>
      </c>
      <c r="F1267" s="2" t="s">
        <v>1573</v>
      </c>
      <c r="I1267" s="7">
        <v>1.0</v>
      </c>
      <c r="J1267" s="6">
        <v>6667.0</v>
      </c>
      <c r="K1267" s="2">
        <v>0.0</v>
      </c>
      <c r="L1267" s="2">
        <v>6667.0</v>
      </c>
      <c r="M1267" s="2">
        <v>0.0</v>
      </c>
      <c r="N1267" s="2">
        <v>6667.0</v>
      </c>
      <c r="O1267" s="2">
        <v>334.0</v>
      </c>
      <c r="P1267" s="2" t="s">
        <v>1574</v>
      </c>
      <c r="Q1267" s="2" t="s">
        <v>1568</v>
      </c>
      <c r="R1267" s="2" t="s">
        <v>1569</v>
      </c>
      <c r="S1267" s="2" t="s">
        <v>1570</v>
      </c>
      <c r="W1267" s="2" t="s">
        <v>1571</v>
      </c>
    </row>
    <row r="1268">
      <c r="A1268" s="4">
        <v>45540.80972222222</v>
      </c>
      <c r="B1268" s="5">
        <v>2622109.0</v>
      </c>
      <c r="C1268" s="2" t="s">
        <v>1575</v>
      </c>
      <c r="D1268" s="2" t="s">
        <v>1565</v>
      </c>
      <c r="E1268" s="2">
        <v>10005.0</v>
      </c>
      <c r="F1268" s="2" t="s">
        <v>1595</v>
      </c>
      <c r="I1268" s="7">
        <v>1.0</v>
      </c>
      <c r="J1268" s="6">
        <v>19524.0</v>
      </c>
      <c r="K1268" s="2">
        <v>0.0</v>
      </c>
      <c r="L1268" s="2">
        <v>19524.0</v>
      </c>
      <c r="M1268" s="2">
        <v>0.0</v>
      </c>
      <c r="N1268" s="2">
        <v>19524.0</v>
      </c>
      <c r="O1268" s="2">
        <v>976.0</v>
      </c>
      <c r="P1268" s="2" t="s">
        <v>1574</v>
      </c>
      <c r="Q1268" s="2" t="s">
        <v>1568</v>
      </c>
      <c r="R1268" s="2" t="s">
        <v>1569</v>
      </c>
      <c r="S1268" s="2" t="s">
        <v>1570</v>
      </c>
      <c r="W1268" s="2" t="s">
        <v>1571</v>
      </c>
    </row>
    <row r="1269">
      <c r="A1269" s="4">
        <v>45540.80902777778</v>
      </c>
      <c r="B1269" s="5">
        <v>2621744.0</v>
      </c>
      <c r="C1269" s="2" t="s">
        <v>1575</v>
      </c>
      <c r="D1269" s="2" t="s">
        <v>1565</v>
      </c>
      <c r="E1269" s="2">
        <v>10042.0</v>
      </c>
      <c r="F1269" s="2" t="s">
        <v>1634</v>
      </c>
      <c r="I1269" s="7">
        <v>1.0</v>
      </c>
      <c r="J1269" s="6">
        <v>9524.0</v>
      </c>
      <c r="K1269" s="2">
        <v>0.0</v>
      </c>
      <c r="L1269" s="2">
        <v>9524.0</v>
      </c>
      <c r="M1269" s="2">
        <v>0.0</v>
      </c>
      <c r="N1269" s="2">
        <v>9524.0</v>
      </c>
      <c r="O1269" s="2">
        <v>476.0</v>
      </c>
      <c r="P1269" s="2" t="s">
        <v>1574</v>
      </c>
      <c r="Q1269" s="2" t="s">
        <v>1568</v>
      </c>
      <c r="R1269" s="2" t="s">
        <v>1569</v>
      </c>
      <c r="S1269" s="2" t="s">
        <v>1570</v>
      </c>
      <c r="W1269" s="2" t="s">
        <v>1571</v>
      </c>
    </row>
    <row r="1270">
      <c r="A1270" s="4">
        <v>45540.80486111111</v>
      </c>
      <c r="B1270" s="5">
        <v>2621379.0</v>
      </c>
      <c r="C1270" s="2" t="s">
        <v>1575</v>
      </c>
      <c r="D1270" s="2" t="s">
        <v>1578</v>
      </c>
      <c r="E1270" s="2">
        <v>10010.0</v>
      </c>
      <c r="F1270" s="2" t="s">
        <v>1606</v>
      </c>
      <c r="I1270" s="7">
        <v>1.0</v>
      </c>
      <c r="J1270" s="6">
        <v>25238.0</v>
      </c>
      <c r="K1270" s="2">
        <v>0.0</v>
      </c>
      <c r="L1270" s="2">
        <v>25238.0</v>
      </c>
      <c r="M1270" s="2">
        <v>0.0</v>
      </c>
      <c r="N1270" s="2">
        <v>25238.0</v>
      </c>
      <c r="O1270" s="2">
        <v>1262.0</v>
      </c>
      <c r="P1270" s="2" t="s">
        <v>1574</v>
      </c>
      <c r="Q1270" s="2" t="s">
        <v>1568</v>
      </c>
      <c r="R1270" s="2" t="s">
        <v>1569</v>
      </c>
      <c r="S1270" s="2" t="s">
        <v>1570</v>
      </c>
      <c r="W1270" s="2" t="s">
        <v>1571</v>
      </c>
    </row>
    <row r="1271">
      <c r="A1271" s="4">
        <v>45540.80486111111</v>
      </c>
      <c r="B1271" s="5">
        <v>2621379.0</v>
      </c>
      <c r="C1271" s="2" t="s">
        <v>1575</v>
      </c>
      <c r="D1271" s="2" t="s">
        <v>1578</v>
      </c>
      <c r="E1271" s="2">
        <v>10051.0</v>
      </c>
      <c r="F1271" s="2" t="s">
        <v>1579</v>
      </c>
      <c r="I1271" s="7">
        <v>1.0</v>
      </c>
      <c r="J1271" s="6">
        <v>25238.0</v>
      </c>
      <c r="K1271" s="2">
        <v>0.0</v>
      </c>
      <c r="L1271" s="2">
        <v>25238.0</v>
      </c>
      <c r="M1271" s="2">
        <v>0.0</v>
      </c>
      <c r="N1271" s="2">
        <v>25238.0</v>
      </c>
      <c r="O1271" s="2">
        <v>1262.0</v>
      </c>
      <c r="P1271" s="2" t="s">
        <v>1574</v>
      </c>
      <c r="Q1271" s="2" t="s">
        <v>1568</v>
      </c>
      <c r="R1271" s="2" t="s">
        <v>1569</v>
      </c>
      <c r="S1271" s="2" t="s">
        <v>1570</v>
      </c>
      <c r="W1271" s="2" t="s">
        <v>1571</v>
      </c>
    </row>
    <row r="1272">
      <c r="A1272" s="4">
        <v>45540.80486111111</v>
      </c>
      <c r="B1272" s="5">
        <v>2621013.0</v>
      </c>
      <c r="C1272" s="2" t="s">
        <v>1564</v>
      </c>
      <c r="D1272" s="2" t="s">
        <v>1578</v>
      </c>
      <c r="E1272" s="2">
        <v>10051.0</v>
      </c>
      <c r="F1272" s="2" t="s">
        <v>1579</v>
      </c>
      <c r="I1272" s="7">
        <v>-1.0</v>
      </c>
      <c r="J1272" s="6">
        <v>-25238.0</v>
      </c>
      <c r="K1272" s="2">
        <v>0.0</v>
      </c>
      <c r="L1272" s="2">
        <v>-25238.0</v>
      </c>
      <c r="M1272" s="2">
        <v>0.0</v>
      </c>
      <c r="N1272" s="2">
        <v>-25238.0</v>
      </c>
      <c r="O1272" s="2">
        <v>-1262.0</v>
      </c>
      <c r="P1272" s="2" t="s">
        <v>1574</v>
      </c>
      <c r="Q1272" s="2" t="s">
        <v>1568</v>
      </c>
      <c r="R1272" s="2" t="s">
        <v>1569</v>
      </c>
      <c r="S1272" s="2" t="s">
        <v>1570</v>
      </c>
      <c r="W1272" s="2" t="s">
        <v>1571</v>
      </c>
    </row>
    <row r="1273">
      <c r="A1273" s="4">
        <v>45540.80486111111</v>
      </c>
      <c r="B1273" s="5">
        <v>2621013.0</v>
      </c>
      <c r="C1273" s="2" t="s">
        <v>1564</v>
      </c>
      <c r="D1273" s="2" t="s">
        <v>1578</v>
      </c>
      <c r="E1273" s="2">
        <v>10010.0</v>
      </c>
      <c r="F1273" s="2" t="s">
        <v>1606</v>
      </c>
      <c r="I1273" s="7">
        <v>-1.0</v>
      </c>
      <c r="J1273" s="6">
        <v>-25238.0</v>
      </c>
      <c r="K1273" s="2">
        <v>0.0</v>
      </c>
      <c r="L1273" s="2">
        <v>-25238.0</v>
      </c>
      <c r="M1273" s="2">
        <v>0.0</v>
      </c>
      <c r="N1273" s="2">
        <v>-25238.0</v>
      </c>
      <c r="O1273" s="2">
        <v>-1262.0</v>
      </c>
      <c r="P1273" s="2" t="s">
        <v>1574</v>
      </c>
      <c r="Q1273" s="2" t="s">
        <v>1568</v>
      </c>
      <c r="R1273" s="2" t="s">
        <v>1569</v>
      </c>
      <c r="S1273" s="2" t="s">
        <v>1570</v>
      </c>
      <c r="W1273" s="2" t="s">
        <v>1571</v>
      </c>
    </row>
    <row r="1274">
      <c r="A1274" s="4">
        <v>45540.80416666667</v>
      </c>
      <c r="B1274" s="5">
        <v>2620648.0</v>
      </c>
      <c r="C1274" s="2" t="s">
        <v>1575</v>
      </c>
      <c r="D1274" s="2" t="s">
        <v>1578</v>
      </c>
      <c r="E1274" s="2">
        <v>10051.0</v>
      </c>
      <c r="F1274" s="2" t="s">
        <v>1579</v>
      </c>
      <c r="I1274" s="7">
        <v>1.0</v>
      </c>
      <c r="J1274" s="6">
        <v>25238.0</v>
      </c>
      <c r="K1274" s="2">
        <v>0.0</v>
      </c>
      <c r="L1274" s="2">
        <v>25238.0</v>
      </c>
      <c r="M1274" s="2">
        <v>0.0</v>
      </c>
      <c r="N1274" s="2">
        <v>25238.0</v>
      </c>
      <c r="O1274" s="2">
        <v>1262.0</v>
      </c>
      <c r="P1274" s="2" t="s">
        <v>1574</v>
      </c>
      <c r="Q1274" s="2" t="s">
        <v>1568</v>
      </c>
      <c r="R1274" s="2" t="s">
        <v>1569</v>
      </c>
      <c r="S1274" s="2" t="s">
        <v>1570</v>
      </c>
      <c r="W1274" s="2" t="s">
        <v>1571</v>
      </c>
    </row>
    <row r="1275">
      <c r="A1275" s="4">
        <v>45540.80416666667</v>
      </c>
      <c r="B1275" s="5">
        <v>2620648.0</v>
      </c>
      <c r="C1275" s="2" t="s">
        <v>1575</v>
      </c>
      <c r="D1275" s="2" t="s">
        <v>1578</v>
      </c>
      <c r="E1275" s="2">
        <v>10010.0</v>
      </c>
      <c r="F1275" s="2" t="s">
        <v>1606</v>
      </c>
      <c r="I1275" s="7">
        <v>1.0</v>
      </c>
      <c r="J1275" s="6">
        <v>25238.0</v>
      </c>
      <c r="K1275" s="2">
        <v>0.0</v>
      </c>
      <c r="L1275" s="2">
        <v>25238.0</v>
      </c>
      <c r="M1275" s="2">
        <v>0.0</v>
      </c>
      <c r="N1275" s="2">
        <v>25238.0</v>
      </c>
      <c r="O1275" s="2">
        <v>1262.0</v>
      </c>
      <c r="P1275" s="2" t="s">
        <v>1574</v>
      </c>
      <c r="Q1275" s="2" t="s">
        <v>1568</v>
      </c>
      <c r="R1275" s="2" t="s">
        <v>1569</v>
      </c>
      <c r="S1275" s="2" t="s">
        <v>1570</v>
      </c>
      <c r="W1275" s="2" t="s">
        <v>1571</v>
      </c>
    </row>
    <row r="1276">
      <c r="A1276" s="4">
        <v>45540.79236111111</v>
      </c>
      <c r="B1276" s="5">
        <v>2620283.0</v>
      </c>
      <c r="C1276" s="2" t="s">
        <v>1575</v>
      </c>
      <c r="D1276" s="2" t="s">
        <v>1565</v>
      </c>
      <c r="E1276" s="2">
        <v>10007.0</v>
      </c>
      <c r="F1276" s="2" t="s">
        <v>1596</v>
      </c>
      <c r="I1276" s="7">
        <v>1.0</v>
      </c>
      <c r="J1276" s="6">
        <v>33810.0</v>
      </c>
      <c r="K1276" s="2">
        <v>0.0</v>
      </c>
      <c r="L1276" s="2">
        <v>33810.0</v>
      </c>
      <c r="M1276" s="2">
        <v>0.0</v>
      </c>
      <c r="N1276" s="2">
        <v>33810.0</v>
      </c>
      <c r="O1276" s="2">
        <v>1691.0</v>
      </c>
      <c r="P1276" s="2" t="s">
        <v>1574</v>
      </c>
      <c r="Q1276" s="2" t="s">
        <v>1568</v>
      </c>
      <c r="R1276" s="2" t="s">
        <v>1569</v>
      </c>
      <c r="S1276" s="2" t="s">
        <v>1570</v>
      </c>
      <c r="W1276" s="2" t="s">
        <v>1571</v>
      </c>
    </row>
    <row r="1277">
      <c r="A1277" s="4">
        <v>45540.79236111111</v>
      </c>
      <c r="B1277" s="5">
        <v>2620283.0</v>
      </c>
      <c r="C1277" s="2" t="s">
        <v>1575</v>
      </c>
      <c r="D1277" s="2" t="s">
        <v>1572</v>
      </c>
      <c r="E1277" s="2">
        <v>10128.0</v>
      </c>
      <c r="F1277" s="2" t="s">
        <v>1588</v>
      </c>
      <c r="I1277" s="7">
        <v>1.0</v>
      </c>
      <c r="J1277" s="6">
        <v>23333.0</v>
      </c>
      <c r="K1277" s="2">
        <v>0.0</v>
      </c>
      <c r="L1277" s="2">
        <v>23333.0</v>
      </c>
      <c r="M1277" s="2">
        <v>0.0</v>
      </c>
      <c r="N1277" s="2">
        <v>23333.0</v>
      </c>
      <c r="O1277" s="2">
        <v>1166.0</v>
      </c>
      <c r="P1277" s="2" t="s">
        <v>1574</v>
      </c>
      <c r="Q1277" s="2" t="s">
        <v>1568</v>
      </c>
      <c r="R1277" s="2" t="s">
        <v>1569</v>
      </c>
      <c r="S1277" s="2" t="s">
        <v>1570</v>
      </c>
      <c r="W1277" s="2" t="s">
        <v>1571</v>
      </c>
    </row>
    <row r="1278">
      <c r="A1278" s="4">
        <v>45540.79236111111</v>
      </c>
      <c r="B1278" s="5">
        <v>2620283.0</v>
      </c>
      <c r="C1278" s="2" t="s">
        <v>1575</v>
      </c>
      <c r="D1278" s="2" t="s">
        <v>1578</v>
      </c>
      <c r="E1278" s="2">
        <v>10051.0</v>
      </c>
      <c r="F1278" s="2" t="s">
        <v>1579</v>
      </c>
      <c r="I1278" s="7">
        <v>1.0</v>
      </c>
      <c r="J1278" s="6">
        <v>25238.0</v>
      </c>
      <c r="K1278" s="2">
        <v>0.0</v>
      </c>
      <c r="L1278" s="2">
        <v>25238.0</v>
      </c>
      <c r="M1278" s="2">
        <v>0.0</v>
      </c>
      <c r="N1278" s="2">
        <v>25238.0</v>
      </c>
      <c r="O1278" s="2">
        <v>1262.0</v>
      </c>
      <c r="P1278" s="2" t="s">
        <v>1574</v>
      </c>
      <c r="Q1278" s="2" t="s">
        <v>1568</v>
      </c>
      <c r="R1278" s="2" t="s">
        <v>1569</v>
      </c>
      <c r="S1278" s="2" t="s">
        <v>1570</v>
      </c>
      <c r="W1278" s="2" t="s">
        <v>1571</v>
      </c>
    </row>
    <row r="1279">
      <c r="A1279" s="4">
        <v>45540.79236111111</v>
      </c>
      <c r="B1279" s="5">
        <v>2620283.0</v>
      </c>
      <c r="C1279" s="2" t="s">
        <v>1575</v>
      </c>
      <c r="D1279" s="2" t="s">
        <v>1572</v>
      </c>
      <c r="E1279" s="2">
        <v>10026.0</v>
      </c>
      <c r="F1279" s="2" t="s">
        <v>1583</v>
      </c>
      <c r="I1279" s="7">
        <v>1.0</v>
      </c>
      <c r="J1279" s="6">
        <v>21905.0</v>
      </c>
      <c r="K1279" s="2">
        <v>0.0</v>
      </c>
      <c r="L1279" s="2">
        <v>21905.0</v>
      </c>
      <c r="M1279" s="2">
        <v>0.0</v>
      </c>
      <c r="N1279" s="2">
        <v>21905.0</v>
      </c>
      <c r="O1279" s="2">
        <v>1095.0</v>
      </c>
      <c r="P1279" s="2" t="s">
        <v>1574</v>
      </c>
      <c r="Q1279" s="2" t="s">
        <v>1568</v>
      </c>
      <c r="R1279" s="2" t="s">
        <v>1569</v>
      </c>
      <c r="S1279" s="2" t="s">
        <v>1570</v>
      </c>
      <c r="W1279" s="2" t="s">
        <v>1571</v>
      </c>
    </row>
    <row r="1280">
      <c r="A1280" s="4">
        <v>45540.78333333333</v>
      </c>
      <c r="B1280" s="5">
        <v>2619918.0</v>
      </c>
      <c r="C1280" s="2" t="s">
        <v>1575</v>
      </c>
      <c r="D1280" s="2" t="s">
        <v>1572</v>
      </c>
      <c r="E1280" s="2">
        <v>10026.0</v>
      </c>
      <c r="F1280" s="2" t="s">
        <v>1583</v>
      </c>
      <c r="I1280" s="7">
        <v>1.0</v>
      </c>
      <c r="J1280" s="6">
        <v>21905.0</v>
      </c>
      <c r="K1280" s="2">
        <v>0.0</v>
      </c>
      <c r="L1280" s="2">
        <v>21905.0</v>
      </c>
      <c r="M1280" s="2">
        <v>0.0</v>
      </c>
      <c r="N1280" s="2">
        <v>21905.0</v>
      </c>
      <c r="O1280" s="2">
        <v>1095.0</v>
      </c>
      <c r="P1280" s="2" t="s">
        <v>1574</v>
      </c>
      <c r="Q1280" s="2" t="s">
        <v>1568</v>
      </c>
      <c r="R1280" s="2" t="s">
        <v>1569</v>
      </c>
      <c r="S1280" s="2" t="s">
        <v>1570</v>
      </c>
      <c r="W1280" s="2" t="s">
        <v>1571</v>
      </c>
    </row>
    <row r="1281">
      <c r="A1281" s="4">
        <v>45540.78333333333</v>
      </c>
      <c r="B1281" s="5">
        <v>2619918.0</v>
      </c>
      <c r="C1281" s="2" t="s">
        <v>1575</v>
      </c>
      <c r="D1281" s="2" t="s">
        <v>1578</v>
      </c>
      <c r="E1281" s="2">
        <v>10051.0</v>
      </c>
      <c r="F1281" s="2" t="s">
        <v>1579</v>
      </c>
      <c r="I1281" s="7">
        <v>1.0</v>
      </c>
      <c r="J1281" s="6">
        <v>25238.0</v>
      </c>
      <c r="K1281" s="2">
        <v>0.0</v>
      </c>
      <c r="L1281" s="2">
        <v>25238.0</v>
      </c>
      <c r="M1281" s="2">
        <v>0.0</v>
      </c>
      <c r="N1281" s="2">
        <v>25238.0</v>
      </c>
      <c r="O1281" s="2">
        <v>1262.0</v>
      </c>
      <c r="P1281" s="2" t="s">
        <v>1574</v>
      </c>
      <c r="Q1281" s="2" t="s">
        <v>1568</v>
      </c>
      <c r="R1281" s="2" t="s">
        <v>1569</v>
      </c>
      <c r="S1281" s="2" t="s">
        <v>1570</v>
      </c>
      <c r="W1281" s="2" t="s">
        <v>1571</v>
      </c>
    </row>
    <row r="1282">
      <c r="A1282" s="4">
        <v>45540.78333333333</v>
      </c>
      <c r="B1282" s="5">
        <v>2619918.0</v>
      </c>
      <c r="C1282" s="2" t="s">
        <v>1575</v>
      </c>
      <c r="D1282" s="2" t="s">
        <v>1572</v>
      </c>
      <c r="E1282" s="2">
        <v>10128.0</v>
      </c>
      <c r="F1282" s="2" t="s">
        <v>1588</v>
      </c>
      <c r="I1282" s="7">
        <v>1.0</v>
      </c>
      <c r="J1282" s="6">
        <v>23333.0</v>
      </c>
      <c r="K1282" s="2">
        <v>0.0</v>
      </c>
      <c r="L1282" s="2">
        <v>23333.0</v>
      </c>
      <c r="M1282" s="2">
        <v>0.0</v>
      </c>
      <c r="N1282" s="2">
        <v>23333.0</v>
      </c>
      <c r="O1282" s="2">
        <v>1167.0</v>
      </c>
      <c r="P1282" s="2" t="s">
        <v>1574</v>
      </c>
      <c r="Q1282" s="2" t="s">
        <v>1568</v>
      </c>
      <c r="R1282" s="2" t="s">
        <v>1569</v>
      </c>
      <c r="S1282" s="2" t="s">
        <v>1570</v>
      </c>
      <c r="W1282" s="2" t="s">
        <v>1571</v>
      </c>
    </row>
    <row r="1283">
      <c r="A1283" s="4">
        <v>45540.77847222222</v>
      </c>
      <c r="B1283" s="5">
        <v>2619552.0</v>
      </c>
      <c r="C1283" s="2" t="s">
        <v>1564</v>
      </c>
      <c r="D1283" s="2" t="s">
        <v>1565</v>
      </c>
      <c r="E1283" s="2">
        <v>10002.0</v>
      </c>
      <c r="F1283" s="2" t="s">
        <v>1576</v>
      </c>
      <c r="I1283" s="7">
        <v>-1.0</v>
      </c>
      <c r="J1283" s="6">
        <v>-18571.0</v>
      </c>
      <c r="K1283" s="2">
        <v>0.0</v>
      </c>
      <c r="L1283" s="2">
        <v>-18571.0</v>
      </c>
      <c r="M1283" s="2">
        <v>0.0</v>
      </c>
      <c r="N1283" s="2">
        <v>-18571.0</v>
      </c>
      <c r="O1283" s="2">
        <v>-929.0</v>
      </c>
      <c r="P1283" s="2" t="s">
        <v>1574</v>
      </c>
      <c r="Q1283" s="2" t="s">
        <v>1568</v>
      </c>
      <c r="R1283" s="2" t="s">
        <v>1569</v>
      </c>
      <c r="S1283" s="2" t="s">
        <v>1570</v>
      </c>
      <c r="W1283" s="2" t="s">
        <v>1571</v>
      </c>
    </row>
    <row r="1284">
      <c r="A1284" s="4">
        <v>45540.77847222222</v>
      </c>
      <c r="B1284" s="5">
        <v>2619552.0</v>
      </c>
      <c r="C1284" s="2" t="s">
        <v>1564</v>
      </c>
      <c r="D1284" s="2" t="s">
        <v>1565</v>
      </c>
      <c r="E1284" s="2">
        <v>10042.0</v>
      </c>
      <c r="F1284" s="2" t="s">
        <v>1634</v>
      </c>
      <c r="I1284" s="7">
        <v>-1.0</v>
      </c>
      <c r="J1284" s="6">
        <v>-9524.0</v>
      </c>
      <c r="K1284" s="2">
        <v>0.0</v>
      </c>
      <c r="L1284" s="2">
        <v>-9524.0</v>
      </c>
      <c r="M1284" s="2">
        <v>0.0</v>
      </c>
      <c r="N1284" s="2">
        <v>-9524.0</v>
      </c>
      <c r="O1284" s="2">
        <v>-476.0</v>
      </c>
      <c r="P1284" s="2" t="s">
        <v>1574</v>
      </c>
      <c r="Q1284" s="2" t="s">
        <v>1568</v>
      </c>
      <c r="R1284" s="2" t="s">
        <v>1569</v>
      </c>
      <c r="S1284" s="2" t="s">
        <v>1570</v>
      </c>
      <c r="W1284" s="2" t="s">
        <v>1571</v>
      </c>
    </row>
    <row r="1285">
      <c r="A1285" s="4">
        <v>45540.77847222222</v>
      </c>
      <c r="B1285" s="5">
        <v>2619187.0</v>
      </c>
      <c r="C1285" s="2" t="s">
        <v>1575</v>
      </c>
      <c r="D1285" s="2" t="s">
        <v>1565</v>
      </c>
      <c r="E1285" s="2">
        <v>10002.0</v>
      </c>
      <c r="F1285" s="2" t="s">
        <v>1576</v>
      </c>
      <c r="I1285" s="7">
        <v>1.0</v>
      </c>
      <c r="J1285" s="6">
        <v>18571.0</v>
      </c>
      <c r="K1285" s="2">
        <v>0.0</v>
      </c>
      <c r="L1285" s="2">
        <v>18571.0</v>
      </c>
      <c r="M1285" s="2">
        <v>0.0</v>
      </c>
      <c r="N1285" s="2">
        <v>18571.0</v>
      </c>
      <c r="O1285" s="2">
        <v>929.0</v>
      </c>
      <c r="P1285" s="2" t="s">
        <v>1574</v>
      </c>
      <c r="Q1285" s="2" t="s">
        <v>1568</v>
      </c>
      <c r="R1285" s="2" t="s">
        <v>1569</v>
      </c>
      <c r="S1285" s="2" t="s">
        <v>1570</v>
      </c>
      <c r="W1285" s="2" t="s">
        <v>1571</v>
      </c>
    </row>
    <row r="1286">
      <c r="A1286" s="4">
        <v>45540.77847222222</v>
      </c>
      <c r="B1286" s="5">
        <v>2619187.0</v>
      </c>
      <c r="C1286" s="2" t="s">
        <v>1575</v>
      </c>
      <c r="D1286" s="2" t="s">
        <v>1565</v>
      </c>
      <c r="E1286" s="2">
        <v>10042.0</v>
      </c>
      <c r="F1286" s="2" t="s">
        <v>1634</v>
      </c>
      <c r="I1286" s="7">
        <v>1.0</v>
      </c>
      <c r="J1286" s="6">
        <v>9524.0</v>
      </c>
      <c r="K1286" s="2">
        <v>0.0</v>
      </c>
      <c r="L1286" s="2">
        <v>9524.0</v>
      </c>
      <c r="M1286" s="2">
        <v>0.0</v>
      </c>
      <c r="N1286" s="2">
        <v>9524.0</v>
      </c>
      <c r="O1286" s="2">
        <v>476.0</v>
      </c>
      <c r="P1286" s="2" t="s">
        <v>1574</v>
      </c>
      <c r="Q1286" s="2" t="s">
        <v>1568</v>
      </c>
      <c r="R1286" s="2" t="s">
        <v>1569</v>
      </c>
      <c r="S1286" s="2" t="s">
        <v>1570</v>
      </c>
      <c r="W1286" s="2" t="s">
        <v>1571</v>
      </c>
    </row>
    <row r="1287">
      <c r="A1287" s="4">
        <v>45540.77777777778</v>
      </c>
      <c r="B1287" s="5">
        <v>2618822.0</v>
      </c>
      <c r="C1287" s="2" t="s">
        <v>1575</v>
      </c>
      <c r="D1287" s="2" t="s">
        <v>1565</v>
      </c>
      <c r="E1287" s="2">
        <v>10042.0</v>
      </c>
      <c r="F1287" s="2" t="s">
        <v>1634</v>
      </c>
      <c r="I1287" s="7">
        <v>1.0</v>
      </c>
      <c r="J1287" s="6">
        <v>9524.0</v>
      </c>
      <c r="K1287" s="2">
        <v>0.0</v>
      </c>
      <c r="L1287" s="2">
        <v>9524.0</v>
      </c>
      <c r="M1287" s="2">
        <v>0.0</v>
      </c>
      <c r="N1287" s="2">
        <v>9524.0</v>
      </c>
      <c r="O1287" s="2">
        <v>476.0</v>
      </c>
      <c r="P1287" s="2" t="s">
        <v>1574</v>
      </c>
      <c r="Q1287" s="2" t="s">
        <v>1568</v>
      </c>
      <c r="R1287" s="2" t="s">
        <v>1569</v>
      </c>
      <c r="S1287" s="2" t="s">
        <v>1570</v>
      </c>
      <c r="W1287" s="2" t="s">
        <v>1571</v>
      </c>
    </row>
    <row r="1288">
      <c r="A1288" s="4">
        <v>45540.77777777778</v>
      </c>
      <c r="B1288" s="5">
        <v>2618822.0</v>
      </c>
      <c r="C1288" s="2" t="s">
        <v>1575</v>
      </c>
      <c r="D1288" s="2" t="s">
        <v>1565</v>
      </c>
      <c r="E1288" s="2">
        <v>10002.0</v>
      </c>
      <c r="F1288" s="2" t="s">
        <v>1576</v>
      </c>
      <c r="I1288" s="7">
        <v>1.0</v>
      </c>
      <c r="J1288" s="6">
        <v>18571.0</v>
      </c>
      <c r="K1288" s="2">
        <v>0.0</v>
      </c>
      <c r="L1288" s="2">
        <v>18571.0</v>
      </c>
      <c r="M1288" s="2">
        <v>0.0</v>
      </c>
      <c r="N1288" s="2">
        <v>18571.0</v>
      </c>
      <c r="O1288" s="2">
        <v>929.0</v>
      </c>
      <c r="P1288" s="2" t="s">
        <v>1574</v>
      </c>
      <c r="Q1288" s="2" t="s">
        <v>1568</v>
      </c>
      <c r="R1288" s="2" t="s">
        <v>1569</v>
      </c>
      <c r="S1288" s="2" t="s">
        <v>1570</v>
      </c>
      <c r="W1288" s="2" t="s">
        <v>1571</v>
      </c>
    </row>
    <row r="1289">
      <c r="A1289" s="4">
        <v>45540.69930555556</v>
      </c>
      <c r="B1289" s="5">
        <v>2618457.0</v>
      </c>
      <c r="C1289" s="2" t="s">
        <v>1575</v>
      </c>
      <c r="D1289" s="2" t="s">
        <v>1565</v>
      </c>
      <c r="E1289" s="2">
        <v>10055.0</v>
      </c>
      <c r="F1289" s="2" t="s">
        <v>1597</v>
      </c>
      <c r="I1289" s="7">
        <v>1.0</v>
      </c>
      <c r="J1289" s="6">
        <v>34762.0</v>
      </c>
      <c r="K1289" s="2">
        <v>0.0</v>
      </c>
      <c r="L1289" s="2">
        <v>34762.0</v>
      </c>
      <c r="M1289" s="2">
        <v>0.0</v>
      </c>
      <c r="N1289" s="2">
        <v>34762.0</v>
      </c>
      <c r="O1289" s="2">
        <v>1738.0</v>
      </c>
      <c r="P1289" s="2" t="s">
        <v>1574</v>
      </c>
      <c r="Q1289" s="2" t="s">
        <v>1568</v>
      </c>
      <c r="R1289" s="2" t="s">
        <v>1569</v>
      </c>
      <c r="S1289" s="2" t="s">
        <v>1570</v>
      </c>
      <c r="W1289" s="2" t="s">
        <v>1571</v>
      </c>
    </row>
    <row r="1290">
      <c r="A1290" s="4">
        <v>45540.67847222222</v>
      </c>
      <c r="B1290" s="5">
        <v>2618091.0</v>
      </c>
      <c r="C1290" s="2" t="s">
        <v>1575</v>
      </c>
      <c r="D1290" s="2" t="s">
        <v>1565</v>
      </c>
      <c r="E1290" s="2">
        <v>10000.0</v>
      </c>
      <c r="F1290" s="2" t="s">
        <v>1566</v>
      </c>
      <c r="I1290" s="7">
        <v>1.0</v>
      </c>
      <c r="J1290" s="6">
        <v>29524.0</v>
      </c>
      <c r="K1290" s="2">
        <v>0.0</v>
      </c>
      <c r="L1290" s="2">
        <v>29524.0</v>
      </c>
      <c r="M1290" s="2">
        <v>0.0</v>
      </c>
      <c r="N1290" s="2">
        <v>29524.0</v>
      </c>
      <c r="O1290" s="2">
        <v>1476.0</v>
      </c>
      <c r="P1290" s="2" t="s">
        <v>1574</v>
      </c>
      <c r="Q1290" s="2" t="s">
        <v>1568</v>
      </c>
      <c r="R1290" s="2" t="s">
        <v>1569</v>
      </c>
      <c r="S1290" s="2" t="s">
        <v>1570</v>
      </c>
      <c r="W1290" s="2" t="s">
        <v>1571</v>
      </c>
    </row>
    <row r="1291">
      <c r="A1291" s="4">
        <v>45540.67847222222</v>
      </c>
      <c r="B1291" s="5">
        <v>2617726.0</v>
      </c>
      <c r="C1291" s="2" t="s">
        <v>1575</v>
      </c>
      <c r="D1291" s="2" t="s">
        <v>1565</v>
      </c>
      <c r="E1291" s="2">
        <v>10000.0</v>
      </c>
      <c r="F1291" s="2" t="s">
        <v>1566</v>
      </c>
      <c r="I1291" s="7">
        <v>1.0</v>
      </c>
      <c r="J1291" s="6">
        <v>29524.0</v>
      </c>
      <c r="K1291" s="2">
        <v>0.0</v>
      </c>
      <c r="L1291" s="2">
        <v>29524.0</v>
      </c>
      <c r="M1291" s="2">
        <v>0.0</v>
      </c>
      <c r="N1291" s="2">
        <v>29524.0</v>
      </c>
      <c r="O1291" s="2">
        <v>1476.0</v>
      </c>
      <c r="P1291" s="2" t="s">
        <v>1574</v>
      </c>
      <c r="Q1291" s="2" t="s">
        <v>1568</v>
      </c>
      <c r="R1291" s="2" t="s">
        <v>1569</v>
      </c>
      <c r="S1291" s="2" t="s">
        <v>1570</v>
      </c>
      <c r="W1291" s="2" t="s">
        <v>1571</v>
      </c>
    </row>
    <row r="1292">
      <c r="A1292" s="4">
        <v>45540.67847222222</v>
      </c>
      <c r="B1292" s="5">
        <v>2617726.0</v>
      </c>
      <c r="C1292" s="2" t="s">
        <v>1575</v>
      </c>
      <c r="D1292" s="2" t="s">
        <v>1565</v>
      </c>
      <c r="E1292" s="2">
        <v>10007.0</v>
      </c>
      <c r="F1292" s="2" t="s">
        <v>1596</v>
      </c>
      <c r="I1292" s="7">
        <v>1.0</v>
      </c>
      <c r="J1292" s="6">
        <v>33810.0</v>
      </c>
      <c r="K1292" s="2">
        <v>0.0</v>
      </c>
      <c r="L1292" s="2">
        <v>33810.0</v>
      </c>
      <c r="M1292" s="2">
        <v>0.0</v>
      </c>
      <c r="N1292" s="2">
        <v>33810.0</v>
      </c>
      <c r="O1292" s="2">
        <v>1691.0</v>
      </c>
      <c r="P1292" s="2" t="s">
        <v>1574</v>
      </c>
      <c r="Q1292" s="2" t="s">
        <v>1568</v>
      </c>
      <c r="R1292" s="2" t="s">
        <v>1569</v>
      </c>
      <c r="S1292" s="2" t="s">
        <v>1570</v>
      </c>
      <c r="W1292" s="2" t="s">
        <v>1571</v>
      </c>
    </row>
    <row r="1293">
      <c r="A1293" s="4">
        <v>45540.649305555555</v>
      </c>
      <c r="B1293" s="5">
        <v>2617361.0</v>
      </c>
      <c r="C1293" s="2" t="s">
        <v>1575</v>
      </c>
      <c r="D1293" s="2" t="s">
        <v>1565</v>
      </c>
      <c r="E1293" s="2">
        <v>10002.0</v>
      </c>
      <c r="F1293" s="2" t="s">
        <v>1576</v>
      </c>
      <c r="I1293" s="7">
        <v>1.0</v>
      </c>
      <c r="J1293" s="6">
        <v>18571.0</v>
      </c>
      <c r="K1293" s="2">
        <v>0.0</v>
      </c>
      <c r="L1293" s="2">
        <v>18571.0</v>
      </c>
      <c r="M1293" s="2">
        <v>0.0</v>
      </c>
      <c r="N1293" s="2">
        <v>18571.0</v>
      </c>
      <c r="O1293" s="2">
        <v>929.0</v>
      </c>
      <c r="P1293" s="2" t="s">
        <v>1574</v>
      </c>
      <c r="Q1293" s="2" t="s">
        <v>1568</v>
      </c>
      <c r="R1293" s="2" t="s">
        <v>1569</v>
      </c>
      <c r="S1293" s="2" t="s">
        <v>1570</v>
      </c>
      <c r="W1293" s="2" t="s">
        <v>1571</v>
      </c>
    </row>
    <row r="1294">
      <c r="A1294" s="4">
        <v>45540.64722222222</v>
      </c>
      <c r="B1294" s="5">
        <v>2616996.0</v>
      </c>
      <c r="C1294" s="2" t="s">
        <v>1575</v>
      </c>
      <c r="D1294" s="2" t="s">
        <v>1565</v>
      </c>
      <c r="E1294" s="2">
        <v>10000.0</v>
      </c>
      <c r="F1294" s="2" t="s">
        <v>1566</v>
      </c>
      <c r="I1294" s="7">
        <v>1.0</v>
      </c>
      <c r="J1294" s="6">
        <v>29524.0</v>
      </c>
      <c r="K1294" s="2">
        <v>0.0</v>
      </c>
      <c r="L1294" s="2">
        <v>29524.0</v>
      </c>
      <c r="M1294" s="2">
        <v>0.0</v>
      </c>
      <c r="N1294" s="2">
        <v>29524.0</v>
      </c>
      <c r="O1294" s="2">
        <v>1476.0</v>
      </c>
      <c r="P1294" s="2" t="s">
        <v>1574</v>
      </c>
      <c r="Q1294" s="2" t="s">
        <v>1568</v>
      </c>
      <c r="R1294" s="2" t="s">
        <v>1569</v>
      </c>
      <c r="S1294" s="2" t="s">
        <v>1570</v>
      </c>
      <c r="W1294" s="2" t="s">
        <v>1571</v>
      </c>
    </row>
    <row r="1295">
      <c r="A1295" s="4">
        <v>45540.64722222222</v>
      </c>
      <c r="B1295" s="5">
        <v>2616996.0</v>
      </c>
      <c r="C1295" s="2" t="s">
        <v>1575</v>
      </c>
      <c r="D1295" s="2" t="s">
        <v>1565</v>
      </c>
      <c r="E1295" s="2">
        <v>10007.0</v>
      </c>
      <c r="F1295" s="2" t="s">
        <v>1596</v>
      </c>
      <c r="I1295" s="7">
        <v>2.0</v>
      </c>
      <c r="J1295" s="6">
        <v>67620.0</v>
      </c>
      <c r="K1295" s="2">
        <v>0.0</v>
      </c>
      <c r="L1295" s="2">
        <v>67620.0</v>
      </c>
      <c r="M1295" s="2">
        <v>0.0</v>
      </c>
      <c r="N1295" s="2">
        <v>67620.0</v>
      </c>
      <c r="O1295" s="2">
        <v>3381.0</v>
      </c>
      <c r="P1295" s="2" t="s">
        <v>1574</v>
      </c>
      <c r="Q1295" s="2" t="s">
        <v>1568</v>
      </c>
      <c r="R1295" s="2" t="s">
        <v>1569</v>
      </c>
      <c r="S1295" s="2" t="s">
        <v>1570</v>
      </c>
      <c r="W1295" s="2" t="s">
        <v>1571</v>
      </c>
    </row>
    <row r="1296">
      <c r="A1296" s="4">
        <v>45540.64722222222</v>
      </c>
      <c r="B1296" s="5">
        <v>2616996.0</v>
      </c>
      <c r="C1296" s="2" t="s">
        <v>1575</v>
      </c>
      <c r="D1296" s="2" t="s">
        <v>1565</v>
      </c>
      <c r="E1296" s="2">
        <v>10043.0</v>
      </c>
      <c r="F1296" s="2" t="s">
        <v>1635</v>
      </c>
      <c r="I1296" s="7">
        <v>1.0</v>
      </c>
      <c r="J1296" s="6">
        <v>9524.0</v>
      </c>
      <c r="K1296" s="2">
        <v>0.0</v>
      </c>
      <c r="L1296" s="2">
        <v>9524.0</v>
      </c>
      <c r="M1296" s="2">
        <v>0.0</v>
      </c>
      <c r="N1296" s="2">
        <v>9524.0</v>
      </c>
      <c r="O1296" s="2">
        <v>476.0</v>
      </c>
      <c r="P1296" s="2" t="s">
        <v>1574</v>
      </c>
      <c r="Q1296" s="2" t="s">
        <v>1568</v>
      </c>
      <c r="R1296" s="2" t="s">
        <v>1569</v>
      </c>
      <c r="S1296" s="2" t="s">
        <v>1570</v>
      </c>
      <c r="W1296" s="2" t="s">
        <v>1571</v>
      </c>
    </row>
    <row r="1297">
      <c r="A1297" s="4">
        <v>45540.626388888886</v>
      </c>
      <c r="B1297" s="5">
        <v>2616630.0</v>
      </c>
      <c r="C1297" s="2" t="s">
        <v>1575</v>
      </c>
      <c r="D1297" s="2" t="s">
        <v>1565</v>
      </c>
      <c r="E1297" s="2">
        <v>10042.0</v>
      </c>
      <c r="F1297" s="2" t="s">
        <v>1634</v>
      </c>
      <c r="I1297" s="7">
        <v>1.0</v>
      </c>
      <c r="J1297" s="6">
        <v>9524.0</v>
      </c>
      <c r="K1297" s="2">
        <v>0.0</v>
      </c>
      <c r="L1297" s="2">
        <v>9524.0</v>
      </c>
      <c r="M1297" s="2">
        <v>0.0</v>
      </c>
      <c r="N1297" s="2">
        <v>9524.0</v>
      </c>
      <c r="O1297" s="2">
        <v>476.0</v>
      </c>
      <c r="P1297" s="2" t="s">
        <v>1574</v>
      </c>
      <c r="Q1297" s="2" t="s">
        <v>1568</v>
      </c>
      <c r="R1297" s="2" t="s">
        <v>1569</v>
      </c>
      <c r="S1297" s="2" t="s">
        <v>1570</v>
      </c>
      <c r="W1297" s="2" t="s">
        <v>1571</v>
      </c>
    </row>
    <row r="1298">
      <c r="A1298" s="4">
        <v>45540.623611111114</v>
      </c>
      <c r="B1298" s="5">
        <v>2616265.0</v>
      </c>
      <c r="C1298" s="2" t="s">
        <v>1575</v>
      </c>
      <c r="D1298" s="2" t="s">
        <v>1572</v>
      </c>
      <c r="E1298" s="2">
        <v>10063.0</v>
      </c>
      <c r="F1298" s="2" t="s">
        <v>1594</v>
      </c>
      <c r="I1298" s="7">
        <v>1.0</v>
      </c>
      <c r="J1298" s="6">
        <v>24762.0</v>
      </c>
      <c r="K1298" s="2">
        <v>0.0</v>
      </c>
      <c r="L1298" s="2">
        <v>24762.0</v>
      </c>
      <c r="M1298" s="2">
        <v>0.0</v>
      </c>
      <c r="N1298" s="2">
        <v>24762.0</v>
      </c>
      <c r="O1298" s="2">
        <v>1238.0</v>
      </c>
      <c r="P1298" s="2" t="s">
        <v>1574</v>
      </c>
      <c r="Q1298" s="2" t="s">
        <v>1568</v>
      </c>
      <c r="R1298" s="2" t="s">
        <v>1569</v>
      </c>
      <c r="S1298" s="2" t="s">
        <v>1570</v>
      </c>
      <c r="W1298" s="2" t="s">
        <v>1571</v>
      </c>
    </row>
    <row r="1299">
      <c r="A1299" s="4">
        <v>45540.623611111114</v>
      </c>
      <c r="B1299" s="5">
        <v>2616265.0</v>
      </c>
      <c r="C1299" s="2" t="s">
        <v>1575</v>
      </c>
      <c r="D1299" s="2" t="s">
        <v>1565</v>
      </c>
      <c r="E1299" s="2">
        <v>10042.0</v>
      </c>
      <c r="F1299" s="2" t="s">
        <v>1634</v>
      </c>
      <c r="I1299" s="7">
        <v>1.0</v>
      </c>
      <c r="J1299" s="6">
        <v>9524.0</v>
      </c>
      <c r="K1299" s="2">
        <v>0.0</v>
      </c>
      <c r="L1299" s="2">
        <v>9524.0</v>
      </c>
      <c r="M1299" s="2">
        <v>0.0</v>
      </c>
      <c r="N1299" s="2">
        <v>9524.0</v>
      </c>
      <c r="O1299" s="2">
        <v>476.0</v>
      </c>
      <c r="P1299" s="2" t="s">
        <v>1574</v>
      </c>
      <c r="Q1299" s="2" t="s">
        <v>1568</v>
      </c>
      <c r="R1299" s="2" t="s">
        <v>1569</v>
      </c>
      <c r="S1299" s="2" t="s">
        <v>1570</v>
      </c>
      <c r="W1299" s="2" t="s">
        <v>1571</v>
      </c>
    </row>
    <row r="1300">
      <c r="A1300" s="4">
        <v>45540.61875</v>
      </c>
      <c r="B1300" s="5">
        <v>2615900.0</v>
      </c>
      <c r="C1300" s="2" t="s">
        <v>1575</v>
      </c>
      <c r="D1300" s="2" t="s">
        <v>1580</v>
      </c>
      <c r="E1300" s="2">
        <v>10053.0</v>
      </c>
      <c r="F1300" s="2" t="s">
        <v>1612</v>
      </c>
      <c r="I1300" s="7">
        <v>1.0</v>
      </c>
      <c r="J1300" s="6">
        <v>25238.0</v>
      </c>
      <c r="K1300" s="2">
        <v>0.0</v>
      </c>
      <c r="L1300" s="2">
        <v>25238.0</v>
      </c>
      <c r="M1300" s="2">
        <v>0.0</v>
      </c>
      <c r="N1300" s="2">
        <v>25238.0</v>
      </c>
      <c r="O1300" s="2">
        <v>1262.0</v>
      </c>
      <c r="P1300" s="2" t="s">
        <v>1574</v>
      </c>
      <c r="Q1300" s="2" t="s">
        <v>1568</v>
      </c>
      <c r="R1300" s="2" t="s">
        <v>1569</v>
      </c>
      <c r="S1300" s="2" t="s">
        <v>1570</v>
      </c>
      <c r="W1300" s="2" t="s">
        <v>1571</v>
      </c>
    </row>
    <row r="1301">
      <c r="A1301" s="4">
        <v>45540.61875</v>
      </c>
      <c r="B1301" s="5">
        <v>2615900.0</v>
      </c>
      <c r="C1301" s="2" t="s">
        <v>1575</v>
      </c>
      <c r="D1301" s="2" t="s">
        <v>1565</v>
      </c>
      <c r="E1301" s="2">
        <v>10002.0</v>
      </c>
      <c r="F1301" s="2" t="s">
        <v>1576</v>
      </c>
      <c r="I1301" s="7">
        <v>1.0</v>
      </c>
      <c r="J1301" s="6">
        <v>18571.0</v>
      </c>
      <c r="K1301" s="2">
        <v>0.0</v>
      </c>
      <c r="L1301" s="2">
        <v>18571.0</v>
      </c>
      <c r="M1301" s="2">
        <v>0.0</v>
      </c>
      <c r="N1301" s="2">
        <v>18571.0</v>
      </c>
      <c r="O1301" s="2">
        <v>928.0</v>
      </c>
      <c r="P1301" s="2" t="s">
        <v>1574</v>
      </c>
      <c r="Q1301" s="2" t="s">
        <v>1568</v>
      </c>
      <c r="R1301" s="2" t="s">
        <v>1569</v>
      </c>
      <c r="S1301" s="2" t="s">
        <v>1570</v>
      </c>
      <c r="W1301" s="2" t="s">
        <v>1571</v>
      </c>
    </row>
    <row r="1302">
      <c r="A1302" s="4">
        <v>45540.575694444444</v>
      </c>
      <c r="B1302" s="5">
        <v>2615535.0</v>
      </c>
      <c r="C1302" s="2" t="s">
        <v>1575</v>
      </c>
      <c r="D1302" s="2" t="s">
        <v>1565</v>
      </c>
      <c r="E1302" s="2">
        <v>10007.0</v>
      </c>
      <c r="F1302" s="2" t="s">
        <v>1596</v>
      </c>
      <c r="I1302" s="7">
        <v>1.0</v>
      </c>
      <c r="J1302" s="6">
        <v>33810.0</v>
      </c>
      <c r="K1302" s="2">
        <v>0.0</v>
      </c>
      <c r="L1302" s="2">
        <v>33810.0</v>
      </c>
      <c r="M1302" s="2">
        <v>0.0</v>
      </c>
      <c r="N1302" s="2">
        <v>33810.0</v>
      </c>
      <c r="O1302" s="2">
        <v>1691.0</v>
      </c>
      <c r="P1302" s="2" t="s">
        <v>1574</v>
      </c>
      <c r="Q1302" s="2" t="s">
        <v>1568</v>
      </c>
      <c r="R1302" s="2" t="s">
        <v>1569</v>
      </c>
      <c r="S1302" s="2" t="s">
        <v>1570</v>
      </c>
      <c r="W1302" s="2" t="s">
        <v>1571</v>
      </c>
    </row>
    <row r="1303">
      <c r="A1303" s="4">
        <v>45540.575694444444</v>
      </c>
      <c r="B1303" s="5">
        <v>2615535.0</v>
      </c>
      <c r="C1303" s="2" t="s">
        <v>1575</v>
      </c>
      <c r="D1303" s="2" t="s">
        <v>1565</v>
      </c>
      <c r="E1303" s="2">
        <v>10042.0</v>
      </c>
      <c r="F1303" s="2" t="s">
        <v>1634</v>
      </c>
      <c r="I1303" s="7">
        <v>2.0</v>
      </c>
      <c r="J1303" s="6">
        <v>19048.0</v>
      </c>
      <c r="K1303" s="2">
        <v>0.0</v>
      </c>
      <c r="L1303" s="2">
        <v>19048.0</v>
      </c>
      <c r="M1303" s="2">
        <v>0.0</v>
      </c>
      <c r="N1303" s="2">
        <v>19048.0</v>
      </c>
      <c r="O1303" s="2">
        <v>952.0</v>
      </c>
      <c r="P1303" s="2" t="s">
        <v>1574</v>
      </c>
      <c r="Q1303" s="2" t="s">
        <v>1568</v>
      </c>
      <c r="R1303" s="2" t="s">
        <v>1569</v>
      </c>
      <c r="S1303" s="2" t="s">
        <v>1570</v>
      </c>
      <c r="W1303" s="2" t="s">
        <v>1571</v>
      </c>
    </row>
    <row r="1304">
      <c r="A1304" s="4">
        <v>45540.575694444444</v>
      </c>
      <c r="B1304" s="5">
        <v>2615535.0</v>
      </c>
      <c r="C1304" s="2" t="s">
        <v>1575</v>
      </c>
      <c r="D1304" s="2" t="s">
        <v>1565</v>
      </c>
      <c r="E1304" s="2">
        <v>10043.0</v>
      </c>
      <c r="F1304" s="2" t="s">
        <v>1635</v>
      </c>
      <c r="I1304" s="7">
        <v>1.0</v>
      </c>
      <c r="J1304" s="6">
        <v>9524.0</v>
      </c>
      <c r="K1304" s="2">
        <v>0.0</v>
      </c>
      <c r="L1304" s="2">
        <v>9524.0</v>
      </c>
      <c r="M1304" s="2">
        <v>0.0</v>
      </c>
      <c r="N1304" s="2">
        <v>9524.0</v>
      </c>
      <c r="O1304" s="2">
        <v>476.0</v>
      </c>
      <c r="P1304" s="2" t="s">
        <v>1574</v>
      </c>
      <c r="Q1304" s="2" t="s">
        <v>1568</v>
      </c>
      <c r="R1304" s="2" t="s">
        <v>1569</v>
      </c>
      <c r="S1304" s="2" t="s">
        <v>1570</v>
      </c>
      <c r="W1304" s="2" t="s">
        <v>1571</v>
      </c>
    </row>
    <row r="1305">
      <c r="A1305" s="4">
        <v>45540.54722222222</v>
      </c>
      <c r="B1305" s="5">
        <v>2615169.0</v>
      </c>
      <c r="C1305" s="2" t="s">
        <v>1575</v>
      </c>
      <c r="D1305" s="2" t="s">
        <v>1580</v>
      </c>
      <c r="E1305" s="2">
        <v>10003.0</v>
      </c>
      <c r="F1305" s="2" t="s">
        <v>1603</v>
      </c>
      <c r="I1305" s="7">
        <v>3.0</v>
      </c>
      <c r="J1305" s="6">
        <v>88572.0</v>
      </c>
      <c r="K1305" s="2">
        <v>0.0</v>
      </c>
      <c r="L1305" s="2">
        <v>88572.0</v>
      </c>
      <c r="M1305" s="2">
        <v>0.0</v>
      </c>
      <c r="N1305" s="2">
        <v>88572.0</v>
      </c>
      <c r="O1305" s="2">
        <v>4429.0</v>
      </c>
      <c r="P1305" s="2" t="s">
        <v>1574</v>
      </c>
      <c r="Q1305" s="2" t="s">
        <v>1568</v>
      </c>
      <c r="R1305" s="2" t="s">
        <v>1569</v>
      </c>
      <c r="S1305" s="2" t="s">
        <v>1570</v>
      </c>
      <c r="W1305" s="2" t="s">
        <v>1571</v>
      </c>
    </row>
    <row r="1306">
      <c r="A1306" s="4">
        <v>45540.50208333333</v>
      </c>
      <c r="B1306" s="5">
        <v>2614804.0</v>
      </c>
      <c r="C1306" s="2" t="s">
        <v>1575</v>
      </c>
      <c r="D1306" s="2" t="s">
        <v>1572</v>
      </c>
      <c r="E1306" s="2">
        <v>10026.0</v>
      </c>
      <c r="F1306" s="2" t="s">
        <v>1583</v>
      </c>
      <c r="I1306" s="7">
        <v>1.0</v>
      </c>
      <c r="J1306" s="6">
        <v>21905.0</v>
      </c>
      <c r="K1306" s="2">
        <v>0.0</v>
      </c>
      <c r="L1306" s="2">
        <v>21905.0</v>
      </c>
      <c r="M1306" s="2">
        <v>0.0</v>
      </c>
      <c r="N1306" s="2">
        <v>21905.0</v>
      </c>
      <c r="O1306" s="2">
        <v>1095.0</v>
      </c>
      <c r="P1306" s="2" t="s">
        <v>1574</v>
      </c>
      <c r="Q1306" s="2" t="s">
        <v>1568</v>
      </c>
      <c r="R1306" s="2" t="s">
        <v>1569</v>
      </c>
      <c r="S1306" s="2" t="s">
        <v>1570</v>
      </c>
      <c r="W1306" s="2" t="s">
        <v>1571</v>
      </c>
    </row>
    <row r="1307">
      <c r="A1307" s="4">
        <v>45540.50208333333</v>
      </c>
      <c r="B1307" s="5">
        <v>2614804.0</v>
      </c>
      <c r="C1307" s="2" t="s">
        <v>1575</v>
      </c>
      <c r="D1307" s="2" t="s">
        <v>1580</v>
      </c>
      <c r="E1307" s="2">
        <v>10053.0</v>
      </c>
      <c r="F1307" s="2" t="s">
        <v>1612</v>
      </c>
      <c r="I1307" s="7">
        <v>1.0</v>
      </c>
      <c r="J1307" s="6">
        <v>25238.0</v>
      </c>
      <c r="K1307" s="2">
        <v>0.0</v>
      </c>
      <c r="L1307" s="2">
        <v>25238.0</v>
      </c>
      <c r="M1307" s="2">
        <v>0.0</v>
      </c>
      <c r="N1307" s="2">
        <v>25238.0</v>
      </c>
      <c r="O1307" s="2">
        <v>1262.0</v>
      </c>
      <c r="P1307" s="2" t="s">
        <v>1574</v>
      </c>
      <c r="Q1307" s="2" t="s">
        <v>1568</v>
      </c>
      <c r="R1307" s="2" t="s">
        <v>1569</v>
      </c>
      <c r="S1307" s="2" t="s">
        <v>1570</v>
      </c>
      <c r="W1307" s="2" t="s">
        <v>1571</v>
      </c>
    </row>
    <row r="1308">
      <c r="A1308" s="4">
        <v>45539.76111111111</v>
      </c>
      <c r="B1308" s="5">
        <v>2614439.0</v>
      </c>
      <c r="C1308" s="2" t="s">
        <v>1575</v>
      </c>
      <c r="D1308" s="2" t="s">
        <v>1565</v>
      </c>
      <c r="E1308" s="2">
        <v>10054.0</v>
      </c>
      <c r="F1308" s="2" t="s">
        <v>1610</v>
      </c>
      <c r="I1308" s="7">
        <v>1.0</v>
      </c>
      <c r="J1308" s="6">
        <v>25238.0</v>
      </c>
      <c r="K1308" s="2">
        <v>0.0</v>
      </c>
      <c r="L1308" s="2">
        <v>25238.0</v>
      </c>
      <c r="M1308" s="2">
        <v>0.0</v>
      </c>
      <c r="N1308" s="2">
        <v>25238.0</v>
      </c>
      <c r="O1308" s="2">
        <v>1262.0</v>
      </c>
      <c r="P1308" s="2" t="s">
        <v>1574</v>
      </c>
      <c r="Q1308" s="2" t="s">
        <v>1568</v>
      </c>
      <c r="R1308" s="2" t="s">
        <v>1569</v>
      </c>
      <c r="S1308" s="2" t="s">
        <v>1570</v>
      </c>
      <c r="W1308" s="2" t="s">
        <v>1571</v>
      </c>
    </row>
    <row r="1309">
      <c r="A1309" s="4">
        <v>45539.73819444444</v>
      </c>
      <c r="B1309" s="5">
        <v>2614074.0</v>
      </c>
      <c r="C1309" s="2" t="s">
        <v>1575</v>
      </c>
      <c r="D1309" s="2" t="s">
        <v>1580</v>
      </c>
      <c r="E1309" s="2">
        <v>10003.0</v>
      </c>
      <c r="F1309" s="2" t="s">
        <v>1603</v>
      </c>
      <c r="I1309" s="7">
        <v>1.0</v>
      </c>
      <c r="J1309" s="6">
        <v>29524.0</v>
      </c>
      <c r="K1309" s="2">
        <v>0.0</v>
      </c>
      <c r="L1309" s="2">
        <v>29524.0</v>
      </c>
      <c r="M1309" s="2">
        <v>0.0</v>
      </c>
      <c r="N1309" s="2">
        <v>29524.0</v>
      </c>
      <c r="O1309" s="2">
        <v>1476.0</v>
      </c>
      <c r="P1309" s="2" t="s">
        <v>1574</v>
      </c>
      <c r="Q1309" s="2" t="s">
        <v>1568</v>
      </c>
      <c r="R1309" s="2" t="s">
        <v>1569</v>
      </c>
      <c r="S1309" s="2" t="s">
        <v>1570</v>
      </c>
      <c r="W1309" s="2" t="s">
        <v>1571</v>
      </c>
    </row>
    <row r="1310">
      <c r="A1310" s="4">
        <v>45539.73819444444</v>
      </c>
      <c r="B1310" s="5">
        <v>2613708.0</v>
      </c>
      <c r="C1310" s="2" t="s">
        <v>1575</v>
      </c>
      <c r="D1310" s="2" t="s">
        <v>1565</v>
      </c>
      <c r="E1310" s="2">
        <v>10005.0</v>
      </c>
      <c r="F1310" s="2" t="s">
        <v>1595</v>
      </c>
      <c r="I1310" s="7">
        <v>1.0</v>
      </c>
      <c r="J1310" s="6">
        <v>19524.0</v>
      </c>
      <c r="K1310" s="2">
        <v>0.0</v>
      </c>
      <c r="L1310" s="2">
        <v>19524.0</v>
      </c>
      <c r="M1310" s="2">
        <v>0.0</v>
      </c>
      <c r="N1310" s="2">
        <v>19524.0</v>
      </c>
      <c r="O1310" s="2">
        <v>976.0</v>
      </c>
      <c r="P1310" s="2" t="s">
        <v>1574</v>
      </c>
      <c r="Q1310" s="2" t="s">
        <v>1568</v>
      </c>
      <c r="R1310" s="2" t="s">
        <v>1569</v>
      </c>
      <c r="S1310" s="2" t="s">
        <v>1570</v>
      </c>
      <c r="W1310" s="2" t="s">
        <v>1571</v>
      </c>
    </row>
    <row r="1311">
      <c r="A1311" s="4">
        <v>45539.73611111111</v>
      </c>
      <c r="B1311" s="5">
        <v>2613343.0</v>
      </c>
      <c r="C1311" s="2" t="s">
        <v>1575</v>
      </c>
      <c r="D1311" s="2" t="s">
        <v>1580</v>
      </c>
      <c r="E1311" s="2">
        <v>10003.0</v>
      </c>
      <c r="F1311" s="2" t="s">
        <v>1603</v>
      </c>
      <c r="I1311" s="7">
        <v>1.0</v>
      </c>
      <c r="J1311" s="6">
        <v>29524.0</v>
      </c>
      <c r="K1311" s="2">
        <v>0.0</v>
      </c>
      <c r="L1311" s="2">
        <v>29524.0</v>
      </c>
      <c r="M1311" s="2">
        <v>0.0</v>
      </c>
      <c r="N1311" s="2">
        <v>29524.0</v>
      </c>
      <c r="O1311" s="2">
        <v>1476.0</v>
      </c>
      <c r="P1311" s="2" t="s">
        <v>1574</v>
      </c>
      <c r="Q1311" s="2" t="s">
        <v>1568</v>
      </c>
      <c r="R1311" s="2" t="s">
        <v>1569</v>
      </c>
      <c r="S1311" s="2" t="s">
        <v>1570</v>
      </c>
      <c r="W1311" s="2" t="s">
        <v>1571</v>
      </c>
    </row>
    <row r="1312">
      <c r="A1312" s="4">
        <v>45539.73611111111</v>
      </c>
      <c r="B1312" s="5">
        <v>2613343.0</v>
      </c>
      <c r="C1312" s="2" t="s">
        <v>1575</v>
      </c>
      <c r="D1312" s="2" t="s">
        <v>1578</v>
      </c>
      <c r="E1312" s="2">
        <v>10015.0</v>
      </c>
      <c r="F1312" s="2" t="s">
        <v>1587</v>
      </c>
      <c r="I1312" s="7">
        <v>1.0</v>
      </c>
      <c r="J1312" s="6">
        <v>25238.0</v>
      </c>
      <c r="K1312" s="2">
        <v>0.0</v>
      </c>
      <c r="L1312" s="2">
        <v>25238.0</v>
      </c>
      <c r="M1312" s="2">
        <v>0.0</v>
      </c>
      <c r="N1312" s="2">
        <v>25238.0</v>
      </c>
      <c r="O1312" s="2">
        <v>1262.0</v>
      </c>
      <c r="P1312" s="2" t="s">
        <v>1574</v>
      </c>
      <c r="Q1312" s="2" t="s">
        <v>1568</v>
      </c>
      <c r="R1312" s="2" t="s">
        <v>1569</v>
      </c>
      <c r="S1312" s="2" t="s">
        <v>1570</v>
      </c>
      <c r="W1312" s="2" t="s">
        <v>1571</v>
      </c>
    </row>
    <row r="1313">
      <c r="A1313" s="4">
        <v>45539.71666666667</v>
      </c>
      <c r="B1313" s="5">
        <v>2612978.0</v>
      </c>
      <c r="C1313" s="2" t="s">
        <v>1575</v>
      </c>
      <c r="D1313" s="2" t="s">
        <v>1565</v>
      </c>
      <c r="E1313" s="2">
        <v>10007.0</v>
      </c>
      <c r="F1313" s="2" t="s">
        <v>1596</v>
      </c>
      <c r="I1313" s="7">
        <v>3.0</v>
      </c>
      <c r="J1313" s="6">
        <v>101430.0</v>
      </c>
      <c r="K1313" s="2">
        <v>0.0</v>
      </c>
      <c r="L1313" s="2">
        <v>101430.0</v>
      </c>
      <c r="M1313" s="2">
        <v>0.0</v>
      </c>
      <c r="N1313" s="2">
        <v>101430.0</v>
      </c>
      <c r="O1313" s="2">
        <v>5072.0</v>
      </c>
      <c r="P1313" s="2" t="s">
        <v>1574</v>
      </c>
      <c r="Q1313" s="2" t="s">
        <v>1568</v>
      </c>
      <c r="R1313" s="2" t="s">
        <v>1569</v>
      </c>
      <c r="S1313" s="2" t="s">
        <v>1570</v>
      </c>
      <c r="W1313" s="2" t="s">
        <v>1571</v>
      </c>
    </row>
    <row r="1314">
      <c r="A1314" s="4">
        <v>45539.71666666667</v>
      </c>
      <c r="B1314" s="5">
        <v>2612978.0</v>
      </c>
      <c r="C1314" s="2" t="s">
        <v>1575</v>
      </c>
      <c r="D1314" s="2" t="s">
        <v>1565</v>
      </c>
      <c r="E1314" s="2">
        <v>10002.0</v>
      </c>
      <c r="F1314" s="2" t="s">
        <v>1576</v>
      </c>
      <c r="I1314" s="7">
        <v>1.0</v>
      </c>
      <c r="J1314" s="6">
        <v>18571.0</v>
      </c>
      <c r="K1314" s="2">
        <v>0.0</v>
      </c>
      <c r="L1314" s="2">
        <v>18571.0</v>
      </c>
      <c r="M1314" s="2">
        <v>0.0</v>
      </c>
      <c r="N1314" s="2">
        <v>18571.0</v>
      </c>
      <c r="O1314" s="2">
        <v>928.0</v>
      </c>
      <c r="P1314" s="2" t="s">
        <v>1574</v>
      </c>
      <c r="Q1314" s="2" t="s">
        <v>1568</v>
      </c>
      <c r="R1314" s="2" t="s">
        <v>1569</v>
      </c>
      <c r="S1314" s="2" t="s">
        <v>1570</v>
      </c>
      <c r="W1314" s="2" t="s">
        <v>1571</v>
      </c>
    </row>
    <row r="1315">
      <c r="A1315" s="4">
        <v>45539.71666666667</v>
      </c>
      <c r="B1315" s="5">
        <v>2612978.0</v>
      </c>
      <c r="C1315" s="2" t="s">
        <v>1575</v>
      </c>
      <c r="D1315" s="2" t="s">
        <v>1565</v>
      </c>
      <c r="E1315" s="2">
        <v>10055.0</v>
      </c>
      <c r="F1315" s="2" t="s">
        <v>1597</v>
      </c>
      <c r="I1315" s="7">
        <v>2.0</v>
      </c>
      <c r="J1315" s="6">
        <v>69524.0</v>
      </c>
      <c r="K1315" s="2">
        <v>0.0</v>
      </c>
      <c r="L1315" s="2">
        <v>69524.0</v>
      </c>
      <c r="M1315" s="2">
        <v>0.0</v>
      </c>
      <c r="N1315" s="2">
        <v>69524.0</v>
      </c>
      <c r="O1315" s="2">
        <v>3476.0</v>
      </c>
      <c r="P1315" s="2" t="s">
        <v>1574</v>
      </c>
      <c r="Q1315" s="2" t="s">
        <v>1568</v>
      </c>
      <c r="R1315" s="2" t="s">
        <v>1569</v>
      </c>
      <c r="S1315" s="2" t="s">
        <v>1570</v>
      </c>
      <c r="W1315" s="2" t="s">
        <v>1571</v>
      </c>
    </row>
    <row r="1316">
      <c r="A1316" s="4">
        <v>45539.71666666667</v>
      </c>
      <c r="B1316" s="5">
        <v>2612978.0</v>
      </c>
      <c r="C1316" s="2" t="s">
        <v>1575</v>
      </c>
      <c r="D1316" s="2" t="s">
        <v>1565</v>
      </c>
      <c r="E1316" s="2">
        <v>10005.0</v>
      </c>
      <c r="F1316" s="2" t="s">
        <v>1595</v>
      </c>
      <c r="I1316" s="7">
        <v>1.0</v>
      </c>
      <c r="J1316" s="6">
        <v>19524.0</v>
      </c>
      <c r="K1316" s="2">
        <v>0.0</v>
      </c>
      <c r="L1316" s="2">
        <v>19524.0</v>
      </c>
      <c r="M1316" s="2">
        <v>0.0</v>
      </c>
      <c r="N1316" s="2">
        <v>19524.0</v>
      </c>
      <c r="O1316" s="2">
        <v>976.0</v>
      </c>
      <c r="P1316" s="2" t="s">
        <v>1574</v>
      </c>
      <c r="Q1316" s="2" t="s">
        <v>1568</v>
      </c>
      <c r="R1316" s="2" t="s">
        <v>1569</v>
      </c>
      <c r="S1316" s="2" t="s">
        <v>1570</v>
      </c>
      <c r="W1316" s="2" t="s">
        <v>1571</v>
      </c>
    </row>
    <row r="1317">
      <c r="A1317" s="4">
        <v>45539.71666666667</v>
      </c>
      <c r="B1317" s="5">
        <v>2612978.0</v>
      </c>
      <c r="C1317" s="2" t="s">
        <v>1575</v>
      </c>
      <c r="D1317" s="2" t="s">
        <v>1565</v>
      </c>
      <c r="E1317" s="2">
        <v>10000.0</v>
      </c>
      <c r="F1317" s="2" t="s">
        <v>1566</v>
      </c>
      <c r="I1317" s="7">
        <v>2.0</v>
      </c>
      <c r="J1317" s="6">
        <v>59048.0</v>
      </c>
      <c r="K1317" s="2">
        <v>0.0</v>
      </c>
      <c r="L1317" s="2">
        <v>59048.0</v>
      </c>
      <c r="M1317" s="2">
        <v>0.0</v>
      </c>
      <c r="N1317" s="2">
        <v>59048.0</v>
      </c>
      <c r="O1317" s="2">
        <v>2953.0</v>
      </c>
      <c r="P1317" s="2" t="s">
        <v>1574</v>
      </c>
      <c r="Q1317" s="2" t="s">
        <v>1568</v>
      </c>
      <c r="R1317" s="2" t="s">
        <v>1569</v>
      </c>
      <c r="S1317" s="2" t="s">
        <v>1570</v>
      </c>
      <c r="W1317" s="2" t="s">
        <v>1571</v>
      </c>
    </row>
    <row r="1318">
      <c r="A1318" s="4">
        <v>45539.71319444444</v>
      </c>
      <c r="B1318" s="5">
        <v>2612613.0</v>
      </c>
      <c r="C1318" s="2" t="s">
        <v>1575</v>
      </c>
      <c r="D1318" s="2" t="s">
        <v>1572</v>
      </c>
      <c r="E1318" s="2">
        <v>10128.0</v>
      </c>
      <c r="F1318" s="2" t="s">
        <v>1588</v>
      </c>
      <c r="I1318" s="7">
        <v>1.0</v>
      </c>
      <c r="J1318" s="6">
        <v>23333.0</v>
      </c>
      <c r="K1318" s="2">
        <v>0.0</v>
      </c>
      <c r="L1318" s="2">
        <v>23333.0</v>
      </c>
      <c r="M1318" s="2">
        <v>0.0</v>
      </c>
      <c r="N1318" s="2">
        <v>23333.0</v>
      </c>
      <c r="O1318" s="2">
        <v>1167.0</v>
      </c>
      <c r="P1318" s="2" t="s">
        <v>1574</v>
      </c>
      <c r="Q1318" s="2" t="s">
        <v>1568</v>
      </c>
      <c r="R1318" s="2" t="s">
        <v>1569</v>
      </c>
      <c r="S1318" s="2" t="s">
        <v>1570</v>
      </c>
      <c r="W1318" s="2" t="s">
        <v>1571</v>
      </c>
    </row>
    <row r="1319">
      <c r="A1319" s="4">
        <v>45539.71319444444</v>
      </c>
      <c r="B1319" s="5">
        <v>2612613.0</v>
      </c>
      <c r="C1319" s="2" t="s">
        <v>1575</v>
      </c>
      <c r="D1319" s="2" t="s">
        <v>1578</v>
      </c>
      <c r="E1319" s="2">
        <v>10004.0</v>
      </c>
      <c r="F1319" s="2" t="s">
        <v>1607</v>
      </c>
      <c r="I1319" s="7">
        <v>1.0</v>
      </c>
      <c r="J1319" s="6">
        <v>25238.0</v>
      </c>
      <c r="K1319" s="2">
        <v>0.0</v>
      </c>
      <c r="L1319" s="2">
        <v>25238.0</v>
      </c>
      <c r="M1319" s="2">
        <v>0.0</v>
      </c>
      <c r="N1319" s="2">
        <v>25238.0</v>
      </c>
      <c r="O1319" s="2">
        <v>1262.0</v>
      </c>
      <c r="P1319" s="2" t="s">
        <v>1574</v>
      </c>
      <c r="Q1319" s="2" t="s">
        <v>1568</v>
      </c>
      <c r="R1319" s="2" t="s">
        <v>1569</v>
      </c>
      <c r="S1319" s="2" t="s">
        <v>1570</v>
      </c>
      <c r="W1319" s="2" t="s">
        <v>1571</v>
      </c>
    </row>
    <row r="1320">
      <c r="A1320" s="4">
        <v>45539.69861111111</v>
      </c>
      <c r="B1320" s="5">
        <v>2612247.0</v>
      </c>
      <c r="C1320" s="2" t="s">
        <v>1575</v>
      </c>
      <c r="D1320" s="2" t="s">
        <v>1565</v>
      </c>
      <c r="E1320" s="2">
        <v>10005.0</v>
      </c>
      <c r="F1320" s="2" t="s">
        <v>1595</v>
      </c>
      <c r="I1320" s="7">
        <v>1.0</v>
      </c>
      <c r="J1320" s="6">
        <v>19524.0</v>
      </c>
      <c r="K1320" s="2">
        <v>0.0</v>
      </c>
      <c r="L1320" s="2">
        <v>19524.0</v>
      </c>
      <c r="M1320" s="2">
        <v>0.0</v>
      </c>
      <c r="N1320" s="2">
        <v>19524.0</v>
      </c>
      <c r="O1320" s="2">
        <v>976.0</v>
      </c>
      <c r="P1320" s="2" t="s">
        <v>1574</v>
      </c>
      <c r="Q1320" s="2" t="s">
        <v>1568</v>
      </c>
      <c r="R1320" s="2" t="s">
        <v>1569</v>
      </c>
      <c r="S1320" s="2" t="s">
        <v>1570</v>
      </c>
      <c r="W1320" s="2" t="s">
        <v>1571</v>
      </c>
    </row>
    <row r="1321">
      <c r="A1321" s="4">
        <v>45539.666666666664</v>
      </c>
      <c r="B1321" s="5">
        <v>2611882.0</v>
      </c>
      <c r="C1321" s="2" t="s">
        <v>1575</v>
      </c>
      <c r="D1321" s="2" t="s">
        <v>1565</v>
      </c>
      <c r="E1321" s="2">
        <v>10007.0</v>
      </c>
      <c r="F1321" s="2" t="s">
        <v>1596</v>
      </c>
      <c r="I1321" s="7">
        <v>1.0</v>
      </c>
      <c r="J1321" s="6">
        <v>33810.0</v>
      </c>
      <c r="K1321" s="2">
        <v>0.0</v>
      </c>
      <c r="L1321" s="2">
        <v>33810.0</v>
      </c>
      <c r="M1321" s="2">
        <v>0.0</v>
      </c>
      <c r="N1321" s="2">
        <v>33810.0</v>
      </c>
      <c r="O1321" s="2">
        <v>1691.0</v>
      </c>
      <c r="P1321" s="2" t="s">
        <v>1574</v>
      </c>
      <c r="Q1321" s="2" t="s">
        <v>1568</v>
      </c>
      <c r="R1321" s="2" t="s">
        <v>1569</v>
      </c>
      <c r="S1321" s="2" t="s">
        <v>1570</v>
      </c>
      <c r="W1321" s="2" t="s">
        <v>1571</v>
      </c>
    </row>
    <row r="1322">
      <c r="A1322" s="4">
        <v>45539.65694444445</v>
      </c>
      <c r="B1322" s="5">
        <v>2611517.0</v>
      </c>
      <c r="C1322" s="2" t="s">
        <v>1575</v>
      </c>
      <c r="D1322" s="2" t="s">
        <v>1572</v>
      </c>
      <c r="E1322" s="2">
        <v>10107.0</v>
      </c>
      <c r="F1322" s="2" t="s">
        <v>1584</v>
      </c>
      <c r="I1322" s="7">
        <v>1.0</v>
      </c>
      <c r="J1322" s="6">
        <v>26667.0</v>
      </c>
      <c r="K1322" s="2">
        <v>0.0</v>
      </c>
      <c r="L1322" s="2">
        <v>26667.0</v>
      </c>
      <c r="M1322" s="2">
        <v>0.0</v>
      </c>
      <c r="N1322" s="2">
        <v>26667.0</v>
      </c>
      <c r="O1322" s="2">
        <v>1333.0</v>
      </c>
      <c r="P1322" s="2" t="s">
        <v>1574</v>
      </c>
      <c r="Q1322" s="2" t="s">
        <v>1568</v>
      </c>
      <c r="R1322" s="2" t="s">
        <v>1569</v>
      </c>
      <c r="S1322" s="2" t="s">
        <v>1570</v>
      </c>
      <c r="W1322" s="2" t="s">
        <v>1571</v>
      </c>
    </row>
    <row r="1323">
      <c r="A1323" s="4">
        <v>45539.65694444445</v>
      </c>
      <c r="B1323" s="5">
        <v>2611517.0</v>
      </c>
      <c r="C1323" s="2" t="s">
        <v>1575</v>
      </c>
      <c r="D1323" s="2" t="s">
        <v>1572</v>
      </c>
      <c r="E1323" s="2">
        <v>10128.0</v>
      </c>
      <c r="F1323" s="2" t="s">
        <v>1588</v>
      </c>
      <c r="I1323" s="7">
        <v>1.0</v>
      </c>
      <c r="J1323" s="6">
        <v>23333.0</v>
      </c>
      <c r="K1323" s="2">
        <v>0.0</v>
      </c>
      <c r="L1323" s="2">
        <v>23333.0</v>
      </c>
      <c r="M1323" s="2">
        <v>0.0</v>
      </c>
      <c r="N1323" s="2">
        <v>23333.0</v>
      </c>
      <c r="O1323" s="2">
        <v>1167.0</v>
      </c>
      <c r="P1323" s="2" t="s">
        <v>1574</v>
      </c>
      <c r="Q1323" s="2" t="s">
        <v>1568</v>
      </c>
      <c r="R1323" s="2" t="s">
        <v>1569</v>
      </c>
      <c r="S1323" s="2" t="s">
        <v>1570</v>
      </c>
      <c r="W1323" s="2" t="s">
        <v>1571</v>
      </c>
    </row>
    <row r="1324">
      <c r="A1324" s="4">
        <v>45539.65555555555</v>
      </c>
      <c r="B1324" s="5">
        <v>2611152.0</v>
      </c>
      <c r="C1324" s="2" t="s">
        <v>1575</v>
      </c>
      <c r="D1324" s="2" t="s">
        <v>1572</v>
      </c>
      <c r="E1324" s="2">
        <v>10119.0</v>
      </c>
      <c r="F1324" s="2" t="s">
        <v>1582</v>
      </c>
      <c r="I1324" s="7">
        <v>1.0</v>
      </c>
      <c r="J1324" s="6">
        <v>7143.0</v>
      </c>
      <c r="K1324" s="2">
        <v>0.0</v>
      </c>
      <c r="L1324" s="2">
        <v>7143.0</v>
      </c>
      <c r="M1324" s="2">
        <v>0.0</v>
      </c>
      <c r="N1324" s="2">
        <v>7143.0</v>
      </c>
      <c r="O1324" s="2">
        <v>357.0</v>
      </c>
      <c r="P1324" s="2" t="s">
        <v>1574</v>
      </c>
      <c r="Q1324" s="2" t="s">
        <v>1568</v>
      </c>
      <c r="R1324" s="2" t="s">
        <v>1569</v>
      </c>
      <c r="S1324" s="2" t="s">
        <v>1570</v>
      </c>
      <c r="W1324" s="2" t="s">
        <v>1571</v>
      </c>
    </row>
    <row r="1325">
      <c r="A1325" s="4">
        <v>45539.65555555555</v>
      </c>
      <c r="B1325" s="5">
        <v>2611152.0</v>
      </c>
      <c r="C1325" s="2" t="s">
        <v>1575</v>
      </c>
      <c r="D1325" s="2" t="s">
        <v>1572</v>
      </c>
      <c r="E1325" s="2">
        <v>10125.0</v>
      </c>
      <c r="F1325" s="2" t="s">
        <v>1601</v>
      </c>
      <c r="I1325" s="7">
        <v>1.0</v>
      </c>
      <c r="J1325" s="6">
        <v>20476.0</v>
      </c>
      <c r="K1325" s="2">
        <v>0.0</v>
      </c>
      <c r="L1325" s="2">
        <v>20476.0</v>
      </c>
      <c r="M1325" s="2">
        <v>0.0</v>
      </c>
      <c r="N1325" s="2">
        <v>20476.0</v>
      </c>
      <c r="O1325" s="2">
        <v>1024.0</v>
      </c>
      <c r="P1325" s="2" t="s">
        <v>1574</v>
      </c>
      <c r="Q1325" s="2" t="s">
        <v>1568</v>
      </c>
      <c r="R1325" s="2" t="s">
        <v>1569</v>
      </c>
      <c r="S1325" s="2" t="s">
        <v>1570</v>
      </c>
      <c r="W1325" s="2" t="s">
        <v>1571</v>
      </c>
    </row>
    <row r="1326">
      <c r="A1326" s="4">
        <v>45539.65555555555</v>
      </c>
      <c r="B1326" s="5">
        <v>2611152.0</v>
      </c>
      <c r="C1326" s="2" t="s">
        <v>1575</v>
      </c>
      <c r="D1326" s="2" t="s">
        <v>1565</v>
      </c>
      <c r="E1326" s="2">
        <v>10033.0</v>
      </c>
      <c r="F1326" s="2" t="s">
        <v>1615</v>
      </c>
      <c r="I1326" s="7">
        <v>1.0</v>
      </c>
      <c r="J1326" s="6">
        <v>21905.0</v>
      </c>
      <c r="K1326" s="2">
        <v>0.0</v>
      </c>
      <c r="L1326" s="2">
        <v>21905.0</v>
      </c>
      <c r="M1326" s="2">
        <v>0.0</v>
      </c>
      <c r="N1326" s="2">
        <v>21905.0</v>
      </c>
      <c r="O1326" s="2">
        <v>1095.0</v>
      </c>
      <c r="P1326" s="2" t="s">
        <v>1574</v>
      </c>
      <c r="Q1326" s="2" t="s">
        <v>1568</v>
      </c>
      <c r="R1326" s="2" t="s">
        <v>1569</v>
      </c>
      <c r="S1326" s="2" t="s">
        <v>1570</v>
      </c>
      <c r="W1326" s="2" t="s">
        <v>1571</v>
      </c>
    </row>
    <row r="1327">
      <c r="A1327" s="4">
        <v>45539.63888888889</v>
      </c>
      <c r="B1327" s="5">
        <v>2610786.0</v>
      </c>
      <c r="C1327" s="2" t="s">
        <v>1575</v>
      </c>
      <c r="D1327" s="2" t="s">
        <v>1565</v>
      </c>
      <c r="E1327" s="2">
        <v>10043.0</v>
      </c>
      <c r="F1327" s="2" t="s">
        <v>1635</v>
      </c>
      <c r="I1327" s="7">
        <v>2.0</v>
      </c>
      <c r="J1327" s="6">
        <v>19048.0</v>
      </c>
      <c r="K1327" s="2">
        <v>0.0</v>
      </c>
      <c r="L1327" s="2">
        <v>19048.0</v>
      </c>
      <c r="M1327" s="2">
        <v>0.0</v>
      </c>
      <c r="N1327" s="2">
        <v>19048.0</v>
      </c>
      <c r="O1327" s="2">
        <v>952.0</v>
      </c>
      <c r="P1327" s="2" t="s">
        <v>1574</v>
      </c>
      <c r="Q1327" s="2" t="s">
        <v>1568</v>
      </c>
      <c r="R1327" s="2" t="s">
        <v>1569</v>
      </c>
      <c r="S1327" s="2" t="s">
        <v>1570</v>
      </c>
      <c r="W1327" s="2" t="s">
        <v>1571</v>
      </c>
    </row>
    <row r="1328">
      <c r="A1328" s="4">
        <v>45539.629166666666</v>
      </c>
      <c r="B1328" s="5">
        <v>2610421.0</v>
      </c>
      <c r="C1328" s="2" t="s">
        <v>1575</v>
      </c>
      <c r="D1328" s="2" t="s">
        <v>1565</v>
      </c>
      <c r="E1328" s="2">
        <v>10007.0</v>
      </c>
      <c r="F1328" s="2" t="s">
        <v>1596</v>
      </c>
      <c r="I1328" s="7">
        <v>1.0</v>
      </c>
      <c r="J1328" s="6">
        <v>33810.0</v>
      </c>
      <c r="K1328" s="2">
        <v>0.0</v>
      </c>
      <c r="L1328" s="2">
        <v>33810.0</v>
      </c>
      <c r="M1328" s="2">
        <v>0.0</v>
      </c>
      <c r="N1328" s="2">
        <v>33810.0</v>
      </c>
      <c r="O1328" s="2">
        <v>1691.0</v>
      </c>
      <c r="P1328" s="2" t="s">
        <v>1574</v>
      </c>
      <c r="Q1328" s="2" t="s">
        <v>1568</v>
      </c>
      <c r="R1328" s="2" t="s">
        <v>1569</v>
      </c>
      <c r="S1328" s="2" t="s">
        <v>1570</v>
      </c>
      <c r="W1328" s="2" t="s">
        <v>1571</v>
      </c>
    </row>
    <row r="1329">
      <c r="A1329" s="4">
        <v>45539.629166666666</v>
      </c>
      <c r="B1329" s="5">
        <v>2610421.0</v>
      </c>
      <c r="C1329" s="2" t="s">
        <v>1575</v>
      </c>
      <c r="D1329" s="2" t="s">
        <v>1565</v>
      </c>
      <c r="E1329" s="2">
        <v>10002.0</v>
      </c>
      <c r="F1329" s="2" t="s">
        <v>1576</v>
      </c>
      <c r="I1329" s="7">
        <v>1.0</v>
      </c>
      <c r="J1329" s="6">
        <v>18571.0</v>
      </c>
      <c r="K1329" s="2">
        <v>0.0</v>
      </c>
      <c r="L1329" s="2">
        <v>18571.0</v>
      </c>
      <c r="M1329" s="2">
        <v>0.0</v>
      </c>
      <c r="N1329" s="2">
        <v>18571.0</v>
      </c>
      <c r="O1329" s="2">
        <v>928.0</v>
      </c>
      <c r="P1329" s="2" t="s">
        <v>1574</v>
      </c>
      <c r="Q1329" s="2" t="s">
        <v>1568</v>
      </c>
      <c r="R1329" s="2" t="s">
        <v>1569</v>
      </c>
      <c r="S1329" s="2" t="s">
        <v>1570</v>
      </c>
      <c r="W1329" s="2" t="s">
        <v>1571</v>
      </c>
    </row>
    <row r="1330">
      <c r="A1330" s="4">
        <v>45539.629166666666</v>
      </c>
      <c r="B1330" s="5">
        <v>2610421.0</v>
      </c>
      <c r="C1330" s="2" t="s">
        <v>1575</v>
      </c>
      <c r="D1330" s="2" t="s">
        <v>1565</v>
      </c>
      <c r="E1330" s="2">
        <v>10055.0</v>
      </c>
      <c r="F1330" s="2" t="s">
        <v>1597</v>
      </c>
      <c r="I1330" s="7">
        <v>1.0</v>
      </c>
      <c r="J1330" s="6">
        <v>34762.0</v>
      </c>
      <c r="K1330" s="2">
        <v>0.0</v>
      </c>
      <c r="L1330" s="2">
        <v>34762.0</v>
      </c>
      <c r="M1330" s="2">
        <v>0.0</v>
      </c>
      <c r="N1330" s="2">
        <v>34762.0</v>
      </c>
      <c r="O1330" s="2">
        <v>1738.0</v>
      </c>
      <c r="P1330" s="2" t="s">
        <v>1574</v>
      </c>
      <c r="Q1330" s="2" t="s">
        <v>1568</v>
      </c>
      <c r="R1330" s="2" t="s">
        <v>1569</v>
      </c>
      <c r="S1330" s="2" t="s">
        <v>1570</v>
      </c>
      <c r="W1330" s="2" t="s">
        <v>1571</v>
      </c>
    </row>
    <row r="1331">
      <c r="A1331" s="4">
        <v>45539.60833333333</v>
      </c>
      <c r="B1331" s="5">
        <v>2610056.0</v>
      </c>
      <c r="C1331" s="2" t="s">
        <v>1575</v>
      </c>
      <c r="D1331" s="2" t="s">
        <v>1565</v>
      </c>
      <c r="E1331" s="2">
        <v>10005.0</v>
      </c>
      <c r="F1331" s="2" t="s">
        <v>1595</v>
      </c>
      <c r="I1331" s="7">
        <v>1.0</v>
      </c>
      <c r="J1331" s="6">
        <v>19524.0</v>
      </c>
      <c r="K1331" s="2">
        <v>0.0</v>
      </c>
      <c r="L1331" s="2">
        <v>19524.0</v>
      </c>
      <c r="M1331" s="2">
        <v>0.0</v>
      </c>
      <c r="N1331" s="2">
        <v>19524.0</v>
      </c>
      <c r="O1331" s="2">
        <v>976.0</v>
      </c>
      <c r="P1331" s="2" t="s">
        <v>1574</v>
      </c>
      <c r="Q1331" s="2" t="s">
        <v>1568</v>
      </c>
      <c r="R1331" s="2" t="s">
        <v>1569</v>
      </c>
      <c r="S1331" s="2" t="s">
        <v>1570</v>
      </c>
      <c r="W1331" s="2" t="s">
        <v>1571</v>
      </c>
    </row>
    <row r="1332">
      <c r="A1332" s="4">
        <v>45539.60833333333</v>
      </c>
      <c r="B1332" s="5">
        <v>2610056.0</v>
      </c>
      <c r="C1332" s="2" t="s">
        <v>1575</v>
      </c>
      <c r="D1332" s="2" t="s">
        <v>1565</v>
      </c>
      <c r="E1332" s="2">
        <v>10002.0</v>
      </c>
      <c r="F1332" s="2" t="s">
        <v>1576</v>
      </c>
      <c r="I1332" s="7">
        <v>1.0</v>
      </c>
      <c r="J1332" s="6">
        <v>18571.0</v>
      </c>
      <c r="K1332" s="2">
        <v>0.0</v>
      </c>
      <c r="L1332" s="2">
        <v>18571.0</v>
      </c>
      <c r="M1332" s="2">
        <v>0.0</v>
      </c>
      <c r="N1332" s="2">
        <v>18571.0</v>
      </c>
      <c r="O1332" s="2">
        <v>929.0</v>
      </c>
      <c r="P1332" s="2" t="s">
        <v>1574</v>
      </c>
      <c r="Q1332" s="2" t="s">
        <v>1568</v>
      </c>
      <c r="R1332" s="2" t="s">
        <v>1569</v>
      </c>
      <c r="S1332" s="2" t="s">
        <v>1570</v>
      </c>
      <c r="W1332" s="2" t="s">
        <v>1571</v>
      </c>
    </row>
    <row r="1333">
      <c r="A1333" s="4">
        <v>45539.60833333333</v>
      </c>
      <c r="B1333" s="5">
        <v>2610056.0</v>
      </c>
      <c r="C1333" s="2" t="s">
        <v>1575</v>
      </c>
      <c r="D1333" s="2" t="s">
        <v>1572</v>
      </c>
      <c r="E1333" s="2">
        <v>10128.0</v>
      </c>
      <c r="F1333" s="2" t="s">
        <v>1588</v>
      </c>
      <c r="I1333" s="7">
        <v>1.0</v>
      </c>
      <c r="J1333" s="6">
        <v>23333.0</v>
      </c>
      <c r="K1333" s="2">
        <v>0.0</v>
      </c>
      <c r="L1333" s="2">
        <v>23333.0</v>
      </c>
      <c r="M1333" s="2">
        <v>0.0</v>
      </c>
      <c r="N1333" s="2">
        <v>23333.0</v>
      </c>
      <c r="O1333" s="2">
        <v>1166.0</v>
      </c>
      <c r="P1333" s="2" t="s">
        <v>1574</v>
      </c>
      <c r="Q1333" s="2" t="s">
        <v>1568</v>
      </c>
      <c r="R1333" s="2" t="s">
        <v>1569</v>
      </c>
      <c r="S1333" s="2" t="s">
        <v>1570</v>
      </c>
      <c r="W1333" s="2" t="s">
        <v>1571</v>
      </c>
    </row>
    <row r="1334">
      <c r="A1334" s="4">
        <v>45539.60833333333</v>
      </c>
      <c r="B1334" s="5">
        <v>2610056.0</v>
      </c>
      <c r="C1334" s="2" t="s">
        <v>1575</v>
      </c>
      <c r="D1334" s="2" t="s">
        <v>1572</v>
      </c>
      <c r="E1334" s="2">
        <v>10107.0</v>
      </c>
      <c r="F1334" s="2" t="s">
        <v>1584</v>
      </c>
      <c r="I1334" s="7">
        <v>1.0</v>
      </c>
      <c r="J1334" s="6">
        <v>26667.0</v>
      </c>
      <c r="K1334" s="2">
        <v>0.0</v>
      </c>
      <c r="L1334" s="2">
        <v>26667.0</v>
      </c>
      <c r="M1334" s="2">
        <v>0.0</v>
      </c>
      <c r="N1334" s="2">
        <v>26667.0</v>
      </c>
      <c r="O1334" s="2">
        <v>1334.0</v>
      </c>
      <c r="P1334" s="2" t="s">
        <v>1574</v>
      </c>
      <c r="Q1334" s="2" t="s">
        <v>1568</v>
      </c>
      <c r="R1334" s="2" t="s">
        <v>1569</v>
      </c>
      <c r="S1334" s="2" t="s">
        <v>1570</v>
      </c>
      <c r="W1334" s="2" t="s">
        <v>1571</v>
      </c>
    </row>
    <row r="1335">
      <c r="A1335" s="4">
        <v>45539.59722222222</v>
      </c>
      <c r="B1335" s="5">
        <v>2609691.0</v>
      </c>
      <c r="C1335" s="2" t="s">
        <v>1575</v>
      </c>
      <c r="D1335" s="2" t="s">
        <v>1578</v>
      </c>
      <c r="E1335" s="2">
        <v>10004.0</v>
      </c>
      <c r="F1335" s="2" t="s">
        <v>1607</v>
      </c>
      <c r="I1335" s="7">
        <v>1.0</v>
      </c>
      <c r="J1335" s="6">
        <v>25238.0</v>
      </c>
      <c r="K1335" s="2">
        <v>0.0</v>
      </c>
      <c r="L1335" s="2">
        <v>25238.0</v>
      </c>
      <c r="M1335" s="2">
        <v>0.0</v>
      </c>
      <c r="N1335" s="2">
        <v>25238.0</v>
      </c>
      <c r="O1335" s="2">
        <v>1262.0</v>
      </c>
      <c r="P1335" s="2" t="s">
        <v>1574</v>
      </c>
      <c r="Q1335" s="2" t="s">
        <v>1568</v>
      </c>
      <c r="R1335" s="2" t="s">
        <v>1569</v>
      </c>
      <c r="S1335" s="2" t="s">
        <v>1570</v>
      </c>
      <c r="W1335" s="2" t="s">
        <v>1571</v>
      </c>
    </row>
    <row r="1336">
      <c r="A1336" s="4">
        <v>45539.59722222222</v>
      </c>
      <c r="B1336" s="5">
        <v>2609691.0</v>
      </c>
      <c r="C1336" s="2" t="s">
        <v>1575</v>
      </c>
      <c r="D1336" s="2" t="s">
        <v>1565</v>
      </c>
      <c r="E1336" s="2">
        <v>10007.0</v>
      </c>
      <c r="F1336" s="2" t="s">
        <v>1596</v>
      </c>
      <c r="I1336" s="7">
        <v>1.0</v>
      </c>
      <c r="J1336" s="6">
        <v>33810.0</v>
      </c>
      <c r="K1336" s="2">
        <v>0.0</v>
      </c>
      <c r="L1336" s="2">
        <v>33810.0</v>
      </c>
      <c r="M1336" s="2">
        <v>0.0</v>
      </c>
      <c r="N1336" s="2">
        <v>33810.0</v>
      </c>
      <c r="O1336" s="2">
        <v>1690.0</v>
      </c>
      <c r="P1336" s="2" t="s">
        <v>1574</v>
      </c>
      <c r="Q1336" s="2" t="s">
        <v>1568</v>
      </c>
      <c r="R1336" s="2" t="s">
        <v>1569</v>
      </c>
      <c r="S1336" s="2" t="s">
        <v>1570</v>
      </c>
      <c r="W1336" s="2" t="s">
        <v>1571</v>
      </c>
    </row>
    <row r="1337">
      <c r="A1337" s="4">
        <v>45539.569444444445</v>
      </c>
      <c r="B1337" s="5">
        <v>2609325.0</v>
      </c>
      <c r="C1337" s="2" t="s">
        <v>1575</v>
      </c>
      <c r="D1337" s="2" t="s">
        <v>1572</v>
      </c>
      <c r="E1337" s="2">
        <v>10107.0</v>
      </c>
      <c r="F1337" s="2" t="s">
        <v>1584</v>
      </c>
      <c r="I1337" s="7">
        <v>1.0</v>
      </c>
      <c r="J1337" s="6">
        <v>26667.0</v>
      </c>
      <c r="K1337" s="2">
        <v>0.0</v>
      </c>
      <c r="L1337" s="2">
        <v>26667.0</v>
      </c>
      <c r="M1337" s="2">
        <v>0.0</v>
      </c>
      <c r="N1337" s="2">
        <v>26667.0</v>
      </c>
      <c r="O1337" s="2">
        <v>1333.0</v>
      </c>
      <c r="P1337" s="2" t="s">
        <v>1574</v>
      </c>
      <c r="Q1337" s="2" t="s">
        <v>1568</v>
      </c>
      <c r="R1337" s="2" t="s">
        <v>1569</v>
      </c>
      <c r="S1337" s="2" t="s">
        <v>1570</v>
      </c>
      <c r="W1337" s="2" t="s">
        <v>1571</v>
      </c>
    </row>
    <row r="1338">
      <c r="A1338" s="4">
        <v>45539.56805555556</v>
      </c>
      <c r="B1338" s="5">
        <v>2608960.0</v>
      </c>
      <c r="C1338" s="2" t="s">
        <v>1575</v>
      </c>
      <c r="D1338" s="2" t="s">
        <v>1565</v>
      </c>
      <c r="E1338" s="2">
        <v>10000.0</v>
      </c>
      <c r="F1338" s="2" t="s">
        <v>1566</v>
      </c>
      <c r="I1338" s="7">
        <v>1.0</v>
      </c>
      <c r="J1338" s="6">
        <v>29524.0</v>
      </c>
      <c r="K1338" s="2">
        <v>0.0</v>
      </c>
      <c r="L1338" s="2">
        <v>29524.0</v>
      </c>
      <c r="M1338" s="2">
        <v>0.0</v>
      </c>
      <c r="N1338" s="2">
        <v>29524.0</v>
      </c>
      <c r="O1338" s="2">
        <v>1476.0</v>
      </c>
      <c r="P1338" s="2" t="s">
        <v>1574</v>
      </c>
      <c r="Q1338" s="2" t="s">
        <v>1568</v>
      </c>
      <c r="R1338" s="2" t="s">
        <v>1569</v>
      </c>
      <c r="S1338" s="2" t="s">
        <v>1570</v>
      </c>
      <c r="W1338" s="2" t="s">
        <v>1571</v>
      </c>
    </row>
    <row r="1339">
      <c r="A1339" s="4">
        <v>45539.56805555556</v>
      </c>
      <c r="B1339" s="5">
        <v>2608960.0</v>
      </c>
      <c r="C1339" s="2" t="s">
        <v>1575</v>
      </c>
      <c r="D1339" s="2" t="s">
        <v>1572</v>
      </c>
      <c r="E1339" s="2">
        <v>10117.0</v>
      </c>
      <c r="F1339" s="2" t="s">
        <v>1589</v>
      </c>
      <c r="I1339" s="7">
        <v>1.0</v>
      </c>
      <c r="J1339" s="6">
        <v>14286.0</v>
      </c>
      <c r="K1339" s="2">
        <v>0.0</v>
      </c>
      <c r="L1339" s="2">
        <v>14286.0</v>
      </c>
      <c r="M1339" s="2">
        <v>0.0</v>
      </c>
      <c r="N1339" s="2">
        <v>14286.0</v>
      </c>
      <c r="O1339" s="2">
        <v>715.0</v>
      </c>
      <c r="P1339" s="2" t="s">
        <v>1574</v>
      </c>
      <c r="Q1339" s="2" t="s">
        <v>1568</v>
      </c>
      <c r="R1339" s="2" t="s">
        <v>1569</v>
      </c>
      <c r="S1339" s="2" t="s">
        <v>1570</v>
      </c>
      <c r="W1339" s="2" t="s">
        <v>1571</v>
      </c>
    </row>
    <row r="1340">
      <c r="A1340" s="4">
        <v>45539.56805555556</v>
      </c>
      <c r="B1340" s="5">
        <v>2608960.0</v>
      </c>
      <c r="C1340" s="2" t="s">
        <v>1575</v>
      </c>
      <c r="D1340" s="2" t="s">
        <v>1565</v>
      </c>
      <c r="E1340" s="2">
        <v>10002.0</v>
      </c>
      <c r="F1340" s="2" t="s">
        <v>1576</v>
      </c>
      <c r="I1340" s="7">
        <v>1.0</v>
      </c>
      <c r="J1340" s="6">
        <v>18571.0</v>
      </c>
      <c r="K1340" s="2">
        <v>0.0</v>
      </c>
      <c r="L1340" s="2">
        <v>18571.0</v>
      </c>
      <c r="M1340" s="2">
        <v>0.0</v>
      </c>
      <c r="N1340" s="2">
        <v>18571.0</v>
      </c>
      <c r="O1340" s="2">
        <v>928.0</v>
      </c>
      <c r="P1340" s="2" t="s">
        <v>1574</v>
      </c>
      <c r="Q1340" s="2" t="s">
        <v>1568</v>
      </c>
      <c r="R1340" s="2" t="s">
        <v>1569</v>
      </c>
      <c r="S1340" s="2" t="s">
        <v>1570</v>
      </c>
      <c r="W1340" s="2" t="s">
        <v>1571</v>
      </c>
    </row>
    <row r="1341">
      <c r="A1341" s="4">
        <v>45539.41388888889</v>
      </c>
      <c r="B1341" s="5">
        <v>2608595.0</v>
      </c>
      <c r="C1341" s="2" t="s">
        <v>1575</v>
      </c>
      <c r="D1341" s="2" t="s">
        <v>1565</v>
      </c>
      <c r="E1341" s="2">
        <v>10002.0</v>
      </c>
      <c r="F1341" s="2" t="s">
        <v>1576</v>
      </c>
      <c r="I1341" s="7">
        <v>1.0</v>
      </c>
      <c r="J1341" s="6">
        <v>18571.0</v>
      </c>
      <c r="K1341" s="2">
        <v>0.0</v>
      </c>
      <c r="L1341" s="2">
        <v>18571.0</v>
      </c>
      <c r="M1341" s="2">
        <v>0.0</v>
      </c>
      <c r="N1341" s="2">
        <v>18571.0</v>
      </c>
      <c r="O1341" s="2">
        <v>929.0</v>
      </c>
      <c r="P1341" s="2" t="s">
        <v>1574</v>
      </c>
      <c r="Q1341" s="2" t="s">
        <v>1568</v>
      </c>
      <c r="R1341" s="2" t="s">
        <v>1569</v>
      </c>
      <c r="S1341" s="2" t="s">
        <v>1570</v>
      </c>
      <c r="W1341" s="2" t="s">
        <v>1571</v>
      </c>
    </row>
    <row r="1342">
      <c r="A1342" s="4">
        <v>45539.41388888889</v>
      </c>
      <c r="B1342" s="5">
        <v>2608595.0</v>
      </c>
      <c r="C1342" s="2" t="s">
        <v>1575</v>
      </c>
      <c r="D1342" s="2" t="s">
        <v>1565</v>
      </c>
      <c r="E1342" s="2">
        <v>10043.0</v>
      </c>
      <c r="F1342" s="2" t="s">
        <v>1635</v>
      </c>
      <c r="I1342" s="7">
        <v>1.0</v>
      </c>
      <c r="J1342" s="6">
        <v>9524.0</v>
      </c>
      <c r="K1342" s="2">
        <v>0.0</v>
      </c>
      <c r="L1342" s="2">
        <v>9524.0</v>
      </c>
      <c r="M1342" s="2">
        <v>0.0</v>
      </c>
      <c r="N1342" s="2">
        <v>9524.0</v>
      </c>
      <c r="O1342" s="2">
        <v>476.0</v>
      </c>
      <c r="P1342" s="2" t="s">
        <v>1574</v>
      </c>
      <c r="Q1342" s="2" t="s">
        <v>1568</v>
      </c>
      <c r="R1342" s="2" t="s">
        <v>1569</v>
      </c>
      <c r="S1342" s="2" t="s">
        <v>1570</v>
      </c>
      <c r="W1342" s="2" t="s">
        <v>1571</v>
      </c>
    </row>
    <row r="1343">
      <c r="A1343" s="4">
        <v>45539.40277777778</v>
      </c>
      <c r="B1343" s="5">
        <v>2608230.0</v>
      </c>
      <c r="C1343" s="2" t="s">
        <v>1575</v>
      </c>
      <c r="D1343" s="2" t="s">
        <v>1572</v>
      </c>
      <c r="E1343" s="2">
        <v>10112.0</v>
      </c>
      <c r="F1343" s="2" t="s">
        <v>1573</v>
      </c>
      <c r="I1343" s="7">
        <v>1.0</v>
      </c>
      <c r="J1343" s="6">
        <v>6667.0</v>
      </c>
      <c r="K1343" s="2">
        <v>0.0</v>
      </c>
      <c r="L1343" s="2">
        <v>6667.0</v>
      </c>
      <c r="M1343" s="2">
        <v>0.0</v>
      </c>
      <c r="N1343" s="2">
        <v>6667.0</v>
      </c>
      <c r="O1343" s="2">
        <v>333.0</v>
      </c>
      <c r="P1343" s="2" t="s">
        <v>1574</v>
      </c>
      <c r="Q1343" s="2" t="s">
        <v>1568</v>
      </c>
      <c r="R1343" s="2" t="s">
        <v>1569</v>
      </c>
      <c r="S1343" s="2" t="s">
        <v>1570</v>
      </c>
      <c r="W1343" s="2" t="s">
        <v>1571</v>
      </c>
    </row>
    <row r="1344">
      <c r="A1344" s="4">
        <v>45539.396527777775</v>
      </c>
      <c r="B1344" s="5">
        <v>2607864.0</v>
      </c>
      <c r="C1344" s="2" t="s">
        <v>1575</v>
      </c>
      <c r="D1344" s="2" t="s">
        <v>1565</v>
      </c>
      <c r="E1344" s="2">
        <v>10002.0</v>
      </c>
      <c r="F1344" s="2" t="s">
        <v>1576</v>
      </c>
      <c r="I1344" s="7">
        <v>1.0</v>
      </c>
      <c r="J1344" s="6">
        <v>18571.0</v>
      </c>
      <c r="K1344" s="2">
        <v>0.0</v>
      </c>
      <c r="L1344" s="2">
        <v>18571.0</v>
      </c>
      <c r="M1344" s="2">
        <v>0.0</v>
      </c>
      <c r="N1344" s="2">
        <v>18571.0</v>
      </c>
      <c r="O1344" s="2">
        <v>929.0</v>
      </c>
      <c r="P1344" s="2" t="s">
        <v>1574</v>
      </c>
      <c r="Q1344" s="2" t="s">
        <v>1568</v>
      </c>
      <c r="R1344" s="2" t="s">
        <v>1569</v>
      </c>
      <c r="S1344" s="2" t="s">
        <v>1570</v>
      </c>
      <c r="W1344" s="2" t="s">
        <v>1571</v>
      </c>
    </row>
    <row r="1345">
      <c r="A1345" s="4">
        <v>45539.396527777775</v>
      </c>
      <c r="B1345" s="5">
        <v>2607864.0</v>
      </c>
      <c r="C1345" s="2" t="s">
        <v>1575</v>
      </c>
      <c r="D1345" s="2" t="s">
        <v>1572</v>
      </c>
      <c r="E1345" s="2">
        <v>10128.0</v>
      </c>
      <c r="F1345" s="2" t="s">
        <v>1588</v>
      </c>
      <c r="I1345" s="7">
        <v>1.0</v>
      </c>
      <c r="J1345" s="6">
        <v>23333.0</v>
      </c>
      <c r="K1345" s="2">
        <v>0.0</v>
      </c>
      <c r="L1345" s="2">
        <v>23333.0</v>
      </c>
      <c r="M1345" s="2">
        <v>0.0</v>
      </c>
      <c r="N1345" s="2">
        <v>23333.0</v>
      </c>
      <c r="O1345" s="2">
        <v>1166.0</v>
      </c>
      <c r="P1345" s="2" t="s">
        <v>1574</v>
      </c>
      <c r="Q1345" s="2" t="s">
        <v>1568</v>
      </c>
      <c r="R1345" s="2" t="s">
        <v>1569</v>
      </c>
      <c r="S1345" s="2" t="s">
        <v>1570</v>
      </c>
      <c r="W1345" s="2" t="s">
        <v>1571</v>
      </c>
    </row>
    <row r="1346">
      <c r="A1346" s="4">
        <v>45539.396527777775</v>
      </c>
      <c r="B1346" s="5">
        <v>2607864.0</v>
      </c>
      <c r="C1346" s="2" t="s">
        <v>1575</v>
      </c>
      <c r="D1346" s="2" t="s">
        <v>1572</v>
      </c>
      <c r="E1346" s="2">
        <v>10026.0</v>
      </c>
      <c r="F1346" s="2" t="s">
        <v>1583</v>
      </c>
      <c r="I1346" s="7">
        <v>1.0</v>
      </c>
      <c r="J1346" s="6">
        <v>21905.0</v>
      </c>
      <c r="K1346" s="2">
        <v>0.0</v>
      </c>
      <c r="L1346" s="2">
        <v>21905.0</v>
      </c>
      <c r="M1346" s="2">
        <v>0.0</v>
      </c>
      <c r="N1346" s="2">
        <v>21905.0</v>
      </c>
      <c r="O1346" s="2">
        <v>1095.0</v>
      </c>
      <c r="P1346" s="2" t="s">
        <v>1574</v>
      </c>
      <c r="Q1346" s="2" t="s">
        <v>1568</v>
      </c>
      <c r="R1346" s="2" t="s">
        <v>1569</v>
      </c>
      <c r="S1346" s="2" t="s">
        <v>1570</v>
      </c>
      <c r="W1346" s="2" t="s">
        <v>1571</v>
      </c>
    </row>
    <row r="1347">
      <c r="A1347" s="4">
        <v>45539.396527777775</v>
      </c>
      <c r="B1347" s="5">
        <v>2607864.0</v>
      </c>
      <c r="C1347" s="2" t="s">
        <v>1575</v>
      </c>
      <c r="D1347" s="2" t="s">
        <v>1578</v>
      </c>
      <c r="E1347" s="2">
        <v>10004.0</v>
      </c>
      <c r="F1347" s="2" t="s">
        <v>1607</v>
      </c>
      <c r="I1347" s="7">
        <v>1.0</v>
      </c>
      <c r="J1347" s="6">
        <v>25238.0</v>
      </c>
      <c r="K1347" s="2">
        <v>0.0</v>
      </c>
      <c r="L1347" s="2">
        <v>25238.0</v>
      </c>
      <c r="M1347" s="2">
        <v>0.0</v>
      </c>
      <c r="N1347" s="2">
        <v>25238.0</v>
      </c>
      <c r="O1347" s="2">
        <v>1262.0</v>
      </c>
      <c r="P1347" s="2" t="s">
        <v>1574</v>
      </c>
      <c r="Q1347" s="2" t="s">
        <v>1568</v>
      </c>
      <c r="R1347" s="2" t="s">
        <v>1569</v>
      </c>
      <c r="S1347" s="2" t="s">
        <v>1570</v>
      </c>
      <c r="W1347" s="2" t="s">
        <v>1571</v>
      </c>
    </row>
    <row r="1348">
      <c r="A1348" s="4">
        <v>45539.39375</v>
      </c>
      <c r="B1348" s="5">
        <v>2607499.0</v>
      </c>
      <c r="C1348" s="2" t="s">
        <v>1575</v>
      </c>
      <c r="D1348" s="2" t="s">
        <v>1572</v>
      </c>
      <c r="E1348" s="2">
        <v>10112.0</v>
      </c>
      <c r="F1348" s="2" t="s">
        <v>1573</v>
      </c>
      <c r="I1348" s="7">
        <v>1.0</v>
      </c>
      <c r="J1348" s="6">
        <v>6667.0</v>
      </c>
      <c r="K1348" s="2">
        <v>0.0</v>
      </c>
      <c r="L1348" s="2">
        <v>6667.0</v>
      </c>
      <c r="M1348" s="2">
        <v>0.0</v>
      </c>
      <c r="N1348" s="2">
        <v>6667.0</v>
      </c>
      <c r="O1348" s="2">
        <v>333.0</v>
      </c>
      <c r="P1348" s="2" t="s">
        <v>1574</v>
      </c>
      <c r="Q1348" s="2" t="s">
        <v>1568</v>
      </c>
      <c r="R1348" s="2" t="s">
        <v>1569</v>
      </c>
      <c r="S1348" s="2" t="s">
        <v>1570</v>
      </c>
      <c r="W1348" s="2" t="s">
        <v>1571</v>
      </c>
    </row>
    <row r="1349">
      <c r="A1349" s="4">
        <v>45539.39375</v>
      </c>
      <c r="B1349" s="5">
        <v>2607499.0</v>
      </c>
      <c r="C1349" s="2" t="s">
        <v>1575</v>
      </c>
      <c r="D1349" s="2" t="s">
        <v>1578</v>
      </c>
      <c r="E1349" s="2">
        <v>10011.0</v>
      </c>
      <c r="F1349" s="2" t="s">
        <v>1605</v>
      </c>
      <c r="I1349" s="7">
        <v>1.0</v>
      </c>
      <c r="J1349" s="6">
        <v>25238.0</v>
      </c>
      <c r="K1349" s="2">
        <v>0.0</v>
      </c>
      <c r="L1349" s="2">
        <v>25238.0</v>
      </c>
      <c r="M1349" s="2">
        <v>0.0</v>
      </c>
      <c r="N1349" s="2">
        <v>25238.0</v>
      </c>
      <c r="O1349" s="2">
        <v>1262.0</v>
      </c>
      <c r="P1349" s="2" t="s">
        <v>1574</v>
      </c>
      <c r="Q1349" s="2" t="s">
        <v>1568</v>
      </c>
      <c r="R1349" s="2" t="s">
        <v>1569</v>
      </c>
      <c r="S1349" s="2" t="s">
        <v>1570</v>
      </c>
      <c r="W1349" s="2" t="s">
        <v>1571</v>
      </c>
    </row>
    <row r="1350">
      <c r="A1350" s="4">
        <v>45538.87777777778</v>
      </c>
      <c r="B1350" s="5">
        <v>2607134.0</v>
      </c>
      <c r="C1350" s="2" t="s">
        <v>1575</v>
      </c>
      <c r="D1350" s="2" t="s">
        <v>1580</v>
      </c>
      <c r="E1350" s="2">
        <v>10012.0</v>
      </c>
      <c r="F1350" s="2" t="s">
        <v>1602</v>
      </c>
      <c r="I1350" s="7">
        <v>1.0</v>
      </c>
      <c r="J1350" s="6">
        <v>29524.0</v>
      </c>
      <c r="K1350" s="2">
        <v>0.0</v>
      </c>
      <c r="L1350" s="2">
        <v>29524.0</v>
      </c>
      <c r="M1350" s="2">
        <v>0.0</v>
      </c>
      <c r="N1350" s="2">
        <v>29524.0</v>
      </c>
      <c r="O1350" s="2">
        <v>1476.0</v>
      </c>
      <c r="P1350" s="2" t="s">
        <v>1574</v>
      </c>
      <c r="Q1350" s="2" t="s">
        <v>1568</v>
      </c>
      <c r="R1350" s="2" t="s">
        <v>1569</v>
      </c>
      <c r="S1350" s="2" t="s">
        <v>1570</v>
      </c>
      <c r="W1350" s="2" t="s">
        <v>1571</v>
      </c>
    </row>
    <row r="1351">
      <c r="A1351" s="4">
        <v>45538.87777777778</v>
      </c>
      <c r="B1351" s="5">
        <v>2607134.0</v>
      </c>
      <c r="C1351" s="2" t="s">
        <v>1575</v>
      </c>
      <c r="D1351" s="2" t="s">
        <v>1578</v>
      </c>
      <c r="E1351" s="2">
        <v>10014.0</v>
      </c>
      <c r="F1351" s="2" t="s">
        <v>1609</v>
      </c>
      <c r="I1351" s="7">
        <v>1.0</v>
      </c>
      <c r="J1351" s="6">
        <v>25238.0</v>
      </c>
      <c r="K1351" s="2">
        <v>0.0</v>
      </c>
      <c r="L1351" s="2">
        <v>25238.0</v>
      </c>
      <c r="M1351" s="2">
        <v>0.0</v>
      </c>
      <c r="N1351" s="2">
        <v>25238.0</v>
      </c>
      <c r="O1351" s="2">
        <v>1262.0</v>
      </c>
      <c r="P1351" s="2" t="s">
        <v>1574</v>
      </c>
      <c r="Q1351" s="2" t="s">
        <v>1568</v>
      </c>
      <c r="R1351" s="2" t="s">
        <v>1569</v>
      </c>
      <c r="S1351" s="2" t="s">
        <v>1570</v>
      </c>
      <c r="W1351" s="2" t="s">
        <v>1571</v>
      </c>
    </row>
    <row r="1352">
      <c r="A1352" s="4">
        <v>45538.86597222222</v>
      </c>
      <c r="B1352" s="5">
        <v>2606769.0</v>
      </c>
      <c r="C1352" s="2" t="s">
        <v>1575</v>
      </c>
      <c r="D1352" s="2" t="s">
        <v>1578</v>
      </c>
      <c r="E1352" s="2">
        <v>10004.0</v>
      </c>
      <c r="F1352" s="2" t="s">
        <v>1607</v>
      </c>
      <c r="I1352" s="7">
        <v>1.0</v>
      </c>
      <c r="J1352" s="6">
        <v>25238.0</v>
      </c>
      <c r="K1352" s="2">
        <v>0.0</v>
      </c>
      <c r="L1352" s="2">
        <v>25238.0</v>
      </c>
      <c r="M1352" s="2">
        <v>0.0</v>
      </c>
      <c r="N1352" s="2">
        <v>25238.0</v>
      </c>
      <c r="O1352" s="2">
        <v>1262.0</v>
      </c>
      <c r="P1352" s="2" t="s">
        <v>1574</v>
      </c>
      <c r="Q1352" s="2" t="s">
        <v>1568</v>
      </c>
      <c r="R1352" s="2" t="s">
        <v>1569</v>
      </c>
      <c r="S1352" s="2" t="s">
        <v>1570</v>
      </c>
      <c r="W1352" s="2" t="s">
        <v>1571</v>
      </c>
    </row>
    <row r="1353">
      <c r="A1353" s="4">
        <v>45538.86597222222</v>
      </c>
      <c r="B1353" s="5">
        <v>2606769.0</v>
      </c>
      <c r="C1353" s="2" t="s">
        <v>1575</v>
      </c>
      <c r="D1353" s="2" t="s">
        <v>1565</v>
      </c>
      <c r="E1353" s="2">
        <v>10033.0</v>
      </c>
      <c r="F1353" s="2" t="s">
        <v>1615</v>
      </c>
      <c r="I1353" s="7">
        <v>1.0</v>
      </c>
      <c r="J1353" s="6">
        <v>21905.0</v>
      </c>
      <c r="K1353" s="2">
        <v>0.0</v>
      </c>
      <c r="L1353" s="2">
        <v>21905.0</v>
      </c>
      <c r="M1353" s="2">
        <v>0.0</v>
      </c>
      <c r="N1353" s="2">
        <v>21905.0</v>
      </c>
      <c r="O1353" s="2">
        <v>1095.0</v>
      </c>
      <c r="P1353" s="2" t="s">
        <v>1574</v>
      </c>
      <c r="Q1353" s="2" t="s">
        <v>1568</v>
      </c>
      <c r="R1353" s="2" t="s">
        <v>1569</v>
      </c>
      <c r="S1353" s="2" t="s">
        <v>1570</v>
      </c>
      <c r="W1353" s="2" t="s">
        <v>1571</v>
      </c>
    </row>
    <row r="1354">
      <c r="A1354" s="4">
        <v>45538.86597222222</v>
      </c>
      <c r="B1354" s="5">
        <v>2606769.0</v>
      </c>
      <c r="C1354" s="2" t="s">
        <v>1575</v>
      </c>
      <c r="D1354" s="2" t="s">
        <v>1565</v>
      </c>
      <c r="E1354" s="2">
        <v>10007.0</v>
      </c>
      <c r="F1354" s="2" t="s">
        <v>1596</v>
      </c>
      <c r="I1354" s="7">
        <v>1.0</v>
      </c>
      <c r="J1354" s="6">
        <v>33810.0</v>
      </c>
      <c r="K1354" s="2">
        <v>0.0</v>
      </c>
      <c r="L1354" s="2">
        <v>33810.0</v>
      </c>
      <c r="M1354" s="2">
        <v>0.0</v>
      </c>
      <c r="N1354" s="2">
        <v>33810.0</v>
      </c>
      <c r="O1354" s="2">
        <v>1691.0</v>
      </c>
      <c r="P1354" s="2" t="s">
        <v>1574</v>
      </c>
      <c r="Q1354" s="2" t="s">
        <v>1568</v>
      </c>
      <c r="R1354" s="2" t="s">
        <v>1569</v>
      </c>
      <c r="S1354" s="2" t="s">
        <v>1570</v>
      </c>
      <c r="W1354" s="2" t="s">
        <v>1571</v>
      </c>
    </row>
    <row r="1355">
      <c r="A1355" s="4">
        <v>45538.86597222222</v>
      </c>
      <c r="B1355" s="5">
        <v>2606769.0</v>
      </c>
      <c r="C1355" s="2" t="s">
        <v>1575</v>
      </c>
      <c r="D1355" s="2" t="s">
        <v>1580</v>
      </c>
      <c r="E1355" s="2">
        <v>10012.0</v>
      </c>
      <c r="F1355" s="2" t="s">
        <v>1602</v>
      </c>
      <c r="I1355" s="7">
        <v>1.0</v>
      </c>
      <c r="J1355" s="6">
        <v>29524.0</v>
      </c>
      <c r="K1355" s="2">
        <v>0.0</v>
      </c>
      <c r="L1355" s="2">
        <v>29524.0</v>
      </c>
      <c r="M1355" s="2">
        <v>0.0</v>
      </c>
      <c r="N1355" s="2">
        <v>29524.0</v>
      </c>
      <c r="O1355" s="2">
        <v>1476.0</v>
      </c>
      <c r="P1355" s="2" t="s">
        <v>1574</v>
      </c>
      <c r="Q1355" s="2" t="s">
        <v>1568</v>
      </c>
      <c r="R1355" s="2" t="s">
        <v>1569</v>
      </c>
      <c r="S1355" s="2" t="s">
        <v>1570</v>
      </c>
      <c r="W1355" s="2" t="s">
        <v>1571</v>
      </c>
    </row>
    <row r="1356">
      <c r="A1356" s="4">
        <v>45538.86597222222</v>
      </c>
      <c r="B1356" s="5">
        <v>2606403.0</v>
      </c>
      <c r="C1356" s="2" t="s">
        <v>1564</v>
      </c>
      <c r="D1356" s="2" t="s">
        <v>1565</v>
      </c>
      <c r="E1356" s="2">
        <v>10033.0</v>
      </c>
      <c r="F1356" s="2" t="s">
        <v>1615</v>
      </c>
      <c r="I1356" s="7">
        <v>-1.0</v>
      </c>
      <c r="J1356" s="6">
        <v>-21905.0</v>
      </c>
      <c r="K1356" s="2">
        <v>0.0</v>
      </c>
      <c r="L1356" s="2">
        <v>-21905.0</v>
      </c>
      <c r="M1356" s="2">
        <v>0.0</v>
      </c>
      <c r="N1356" s="2">
        <v>-21905.0</v>
      </c>
      <c r="O1356" s="2">
        <v>-1095.0</v>
      </c>
      <c r="P1356" s="2" t="s">
        <v>1574</v>
      </c>
      <c r="Q1356" s="2" t="s">
        <v>1568</v>
      </c>
      <c r="R1356" s="2" t="s">
        <v>1569</v>
      </c>
      <c r="S1356" s="2" t="s">
        <v>1570</v>
      </c>
      <c r="V1356" s="2" t="s">
        <v>1636</v>
      </c>
      <c r="W1356" s="2" t="s">
        <v>1571</v>
      </c>
    </row>
    <row r="1357">
      <c r="A1357" s="4">
        <v>45538.86597222222</v>
      </c>
      <c r="B1357" s="5">
        <v>2606403.0</v>
      </c>
      <c r="C1357" s="2" t="s">
        <v>1564</v>
      </c>
      <c r="D1357" s="2" t="s">
        <v>1578</v>
      </c>
      <c r="E1357" s="2">
        <v>10004.0</v>
      </c>
      <c r="F1357" s="2" t="s">
        <v>1607</v>
      </c>
      <c r="I1357" s="7">
        <v>-1.0</v>
      </c>
      <c r="J1357" s="6">
        <v>-25238.0</v>
      </c>
      <c r="K1357" s="2">
        <v>0.0</v>
      </c>
      <c r="L1357" s="2">
        <v>-25238.0</v>
      </c>
      <c r="M1357" s="2">
        <v>0.0</v>
      </c>
      <c r="N1357" s="2">
        <v>-25238.0</v>
      </c>
      <c r="O1357" s="2">
        <v>-1262.0</v>
      </c>
      <c r="P1357" s="2" t="s">
        <v>1574</v>
      </c>
      <c r="Q1357" s="2" t="s">
        <v>1568</v>
      </c>
      <c r="R1357" s="2" t="s">
        <v>1569</v>
      </c>
      <c r="S1357" s="2" t="s">
        <v>1570</v>
      </c>
      <c r="W1357" s="2" t="s">
        <v>1571</v>
      </c>
    </row>
    <row r="1358">
      <c r="A1358" s="4">
        <v>45538.86597222222</v>
      </c>
      <c r="B1358" s="5">
        <v>2606403.0</v>
      </c>
      <c r="C1358" s="2" t="s">
        <v>1564</v>
      </c>
      <c r="D1358" s="2" t="s">
        <v>1580</v>
      </c>
      <c r="E1358" s="2">
        <v>10012.0</v>
      </c>
      <c r="F1358" s="2" t="s">
        <v>1602</v>
      </c>
      <c r="I1358" s="7">
        <v>-1.0</v>
      </c>
      <c r="J1358" s="6">
        <v>-29524.0</v>
      </c>
      <c r="K1358" s="2">
        <v>0.0</v>
      </c>
      <c r="L1358" s="2">
        <v>-29524.0</v>
      </c>
      <c r="M1358" s="2">
        <v>0.0</v>
      </c>
      <c r="N1358" s="2">
        <v>-29524.0</v>
      </c>
      <c r="O1358" s="2">
        <v>-1476.0</v>
      </c>
      <c r="P1358" s="2" t="s">
        <v>1574</v>
      </c>
      <c r="Q1358" s="2" t="s">
        <v>1568</v>
      </c>
      <c r="R1358" s="2" t="s">
        <v>1569</v>
      </c>
      <c r="S1358" s="2" t="s">
        <v>1570</v>
      </c>
      <c r="V1358" s="2" t="s">
        <v>1637</v>
      </c>
      <c r="W1358" s="2" t="s">
        <v>1571</v>
      </c>
    </row>
    <row r="1359">
      <c r="A1359" s="4">
        <v>45538.86597222222</v>
      </c>
      <c r="B1359" s="5">
        <v>2606403.0</v>
      </c>
      <c r="C1359" s="2" t="s">
        <v>1564</v>
      </c>
      <c r="D1359" s="2" t="s">
        <v>1565</v>
      </c>
      <c r="E1359" s="2">
        <v>10007.0</v>
      </c>
      <c r="F1359" s="2" t="s">
        <v>1596</v>
      </c>
      <c r="I1359" s="7">
        <v>-1.0</v>
      </c>
      <c r="J1359" s="6">
        <v>-33810.0</v>
      </c>
      <c r="K1359" s="2">
        <v>0.0</v>
      </c>
      <c r="L1359" s="2">
        <v>-33810.0</v>
      </c>
      <c r="M1359" s="2">
        <v>0.0</v>
      </c>
      <c r="N1359" s="2">
        <v>-33810.0</v>
      </c>
      <c r="O1359" s="2">
        <v>-1691.0</v>
      </c>
      <c r="P1359" s="2" t="s">
        <v>1574</v>
      </c>
      <c r="Q1359" s="2" t="s">
        <v>1568</v>
      </c>
      <c r="R1359" s="2" t="s">
        <v>1569</v>
      </c>
      <c r="S1359" s="2" t="s">
        <v>1570</v>
      </c>
      <c r="W1359" s="2" t="s">
        <v>1571</v>
      </c>
    </row>
    <row r="1360">
      <c r="A1360" s="4">
        <v>45538.865277777775</v>
      </c>
      <c r="B1360" s="5">
        <v>2606038.0</v>
      </c>
      <c r="C1360" s="2" t="s">
        <v>1575</v>
      </c>
      <c r="D1360" s="2" t="s">
        <v>1565</v>
      </c>
      <c r="E1360" s="2">
        <v>10000.0</v>
      </c>
      <c r="F1360" s="2" t="s">
        <v>1566</v>
      </c>
      <c r="I1360" s="7">
        <v>1.0</v>
      </c>
      <c r="J1360" s="6">
        <v>29524.0</v>
      </c>
      <c r="K1360" s="2">
        <v>0.0</v>
      </c>
      <c r="L1360" s="2">
        <v>29524.0</v>
      </c>
      <c r="M1360" s="2">
        <v>0.0</v>
      </c>
      <c r="N1360" s="2">
        <v>29524.0</v>
      </c>
      <c r="O1360" s="2">
        <v>1476.0</v>
      </c>
      <c r="P1360" s="2" t="s">
        <v>1574</v>
      </c>
      <c r="Q1360" s="2" t="s">
        <v>1568</v>
      </c>
      <c r="R1360" s="2" t="s">
        <v>1569</v>
      </c>
      <c r="S1360" s="2" t="s">
        <v>1570</v>
      </c>
      <c r="W1360" s="2" t="s">
        <v>1571</v>
      </c>
    </row>
    <row r="1361">
      <c r="A1361" s="4">
        <v>45538.865277777775</v>
      </c>
      <c r="B1361" s="5">
        <v>2606038.0</v>
      </c>
      <c r="C1361" s="2" t="s">
        <v>1575</v>
      </c>
      <c r="D1361" s="2" t="s">
        <v>1572</v>
      </c>
      <c r="E1361" s="2">
        <v>10128.0</v>
      </c>
      <c r="F1361" s="2" t="s">
        <v>1588</v>
      </c>
      <c r="I1361" s="7">
        <v>1.0</v>
      </c>
      <c r="J1361" s="6">
        <v>23333.0</v>
      </c>
      <c r="K1361" s="2">
        <v>0.0</v>
      </c>
      <c r="L1361" s="2">
        <v>23333.0</v>
      </c>
      <c r="M1361" s="2">
        <v>0.0</v>
      </c>
      <c r="N1361" s="2">
        <v>23333.0</v>
      </c>
      <c r="O1361" s="2">
        <v>1167.0</v>
      </c>
      <c r="P1361" s="2" t="s">
        <v>1574</v>
      </c>
      <c r="Q1361" s="2" t="s">
        <v>1568</v>
      </c>
      <c r="R1361" s="2" t="s">
        <v>1569</v>
      </c>
      <c r="S1361" s="2" t="s">
        <v>1570</v>
      </c>
      <c r="W1361" s="2" t="s">
        <v>1571</v>
      </c>
    </row>
    <row r="1362">
      <c r="A1362" s="4">
        <v>45538.865277777775</v>
      </c>
      <c r="B1362" s="5">
        <v>2606038.0</v>
      </c>
      <c r="C1362" s="2" t="s">
        <v>1575</v>
      </c>
      <c r="D1362" s="2" t="s">
        <v>1578</v>
      </c>
      <c r="E1362" s="2">
        <v>10009.0</v>
      </c>
      <c r="F1362" s="2" t="s">
        <v>1586</v>
      </c>
      <c r="I1362" s="7">
        <v>1.0</v>
      </c>
      <c r="J1362" s="6">
        <v>26667.0</v>
      </c>
      <c r="K1362" s="2">
        <v>0.0</v>
      </c>
      <c r="L1362" s="2">
        <v>26667.0</v>
      </c>
      <c r="M1362" s="2">
        <v>0.0</v>
      </c>
      <c r="N1362" s="2">
        <v>26667.0</v>
      </c>
      <c r="O1362" s="2">
        <v>1333.0</v>
      </c>
      <c r="P1362" s="2" t="s">
        <v>1574</v>
      </c>
      <c r="Q1362" s="2" t="s">
        <v>1568</v>
      </c>
      <c r="R1362" s="2" t="s">
        <v>1569</v>
      </c>
      <c r="S1362" s="2" t="s">
        <v>1570</v>
      </c>
      <c r="W1362" s="2" t="s">
        <v>1571</v>
      </c>
    </row>
    <row r="1363">
      <c r="A1363" s="4">
        <v>45538.865277777775</v>
      </c>
      <c r="B1363" s="5">
        <v>2605673.0</v>
      </c>
      <c r="C1363" s="2" t="s">
        <v>1564</v>
      </c>
      <c r="D1363" s="2" t="s">
        <v>1572</v>
      </c>
      <c r="E1363" s="2">
        <v>10128.0</v>
      </c>
      <c r="F1363" s="2" t="s">
        <v>1588</v>
      </c>
      <c r="I1363" s="7">
        <v>-1.0</v>
      </c>
      <c r="J1363" s="6">
        <v>-23333.0</v>
      </c>
      <c r="K1363" s="2">
        <v>0.0</v>
      </c>
      <c r="L1363" s="2">
        <v>-23333.0</v>
      </c>
      <c r="M1363" s="2">
        <v>0.0</v>
      </c>
      <c r="N1363" s="2">
        <v>-23333.0</v>
      </c>
      <c r="O1363" s="2">
        <v>-1167.0</v>
      </c>
      <c r="P1363" s="2" t="s">
        <v>1574</v>
      </c>
      <c r="Q1363" s="2" t="s">
        <v>1568</v>
      </c>
      <c r="R1363" s="2" t="s">
        <v>1569</v>
      </c>
      <c r="S1363" s="2" t="s">
        <v>1570</v>
      </c>
      <c r="W1363" s="2" t="s">
        <v>1571</v>
      </c>
    </row>
    <row r="1364">
      <c r="A1364" s="4">
        <v>45538.865277777775</v>
      </c>
      <c r="B1364" s="5">
        <v>2605673.0</v>
      </c>
      <c r="C1364" s="2" t="s">
        <v>1564</v>
      </c>
      <c r="D1364" s="2" t="s">
        <v>1578</v>
      </c>
      <c r="E1364" s="2">
        <v>10009.0</v>
      </c>
      <c r="F1364" s="2" t="s">
        <v>1586</v>
      </c>
      <c r="I1364" s="7">
        <v>-1.0</v>
      </c>
      <c r="J1364" s="6">
        <v>-26667.0</v>
      </c>
      <c r="K1364" s="2">
        <v>0.0</v>
      </c>
      <c r="L1364" s="2">
        <v>-26667.0</v>
      </c>
      <c r="M1364" s="2">
        <v>0.0</v>
      </c>
      <c r="N1364" s="2">
        <v>-26667.0</v>
      </c>
      <c r="O1364" s="2">
        <v>-1333.0</v>
      </c>
      <c r="P1364" s="2" t="s">
        <v>1574</v>
      </c>
      <c r="Q1364" s="2" t="s">
        <v>1568</v>
      </c>
      <c r="R1364" s="2" t="s">
        <v>1569</v>
      </c>
      <c r="S1364" s="2" t="s">
        <v>1570</v>
      </c>
      <c r="W1364" s="2" t="s">
        <v>1571</v>
      </c>
    </row>
    <row r="1365">
      <c r="A1365" s="4">
        <v>45538.865277777775</v>
      </c>
      <c r="B1365" s="5">
        <v>2605673.0</v>
      </c>
      <c r="C1365" s="2" t="s">
        <v>1564</v>
      </c>
      <c r="D1365" s="2" t="s">
        <v>1565</v>
      </c>
      <c r="E1365" s="2">
        <v>10000.0</v>
      </c>
      <c r="F1365" s="2" t="s">
        <v>1566</v>
      </c>
      <c r="I1365" s="7">
        <v>-1.0</v>
      </c>
      <c r="J1365" s="6">
        <v>-29524.0</v>
      </c>
      <c r="K1365" s="2">
        <v>0.0</v>
      </c>
      <c r="L1365" s="2">
        <v>-29524.0</v>
      </c>
      <c r="M1365" s="2">
        <v>0.0</v>
      </c>
      <c r="N1365" s="2">
        <v>-29524.0</v>
      </c>
      <c r="O1365" s="2">
        <v>-1476.0</v>
      </c>
      <c r="P1365" s="2" t="s">
        <v>1574</v>
      </c>
      <c r="Q1365" s="2" t="s">
        <v>1568</v>
      </c>
      <c r="R1365" s="2" t="s">
        <v>1569</v>
      </c>
      <c r="S1365" s="2" t="s">
        <v>1570</v>
      </c>
      <c r="W1365" s="2" t="s">
        <v>1571</v>
      </c>
    </row>
    <row r="1366">
      <c r="A1366" s="4">
        <v>45538.84027777778</v>
      </c>
      <c r="B1366" s="5">
        <v>2605308.0</v>
      </c>
      <c r="C1366" s="2" t="s">
        <v>1575</v>
      </c>
      <c r="D1366" s="2" t="s">
        <v>1565</v>
      </c>
      <c r="E1366" s="2">
        <v>10007.0</v>
      </c>
      <c r="F1366" s="2" t="s">
        <v>1596</v>
      </c>
      <c r="I1366" s="7">
        <v>1.0</v>
      </c>
      <c r="J1366" s="6">
        <v>33810.0</v>
      </c>
      <c r="K1366" s="2">
        <v>0.0</v>
      </c>
      <c r="L1366" s="2">
        <v>33810.0</v>
      </c>
      <c r="M1366" s="2">
        <v>0.0</v>
      </c>
      <c r="N1366" s="2">
        <v>33810.0</v>
      </c>
      <c r="O1366" s="2">
        <v>1691.0</v>
      </c>
      <c r="P1366" s="2" t="s">
        <v>1567</v>
      </c>
      <c r="Q1366" s="2" t="s">
        <v>1568</v>
      </c>
      <c r="R1366" s="2" t="s">
        <v>1569</v>
      </c>
      <c r="S1366" s="2" t="s">
        <v>1570</v>
      </c>
      <c r="W1366" s="2" t="s">
        <v>1571</v>
      </c>
    </row>
    <row r="1367">
      <c r="A1367" s="4">
        <v>45538.84027777778</v>
      </c>
      <c r="B1367" s="5">
        <v>2605308.0</v>
      </c>
      <c r="C1367" s="2" t="s">
        <v>1575</v>
      </c>
      <c r="D1367" s="2" t="s">
        <v>1565</v>
      </c>
      <c r="E1367" s="2">
        <v>10002.0</v>
      </c>
      <c r="F1367" s="2" t="s">
        <v>1576</v>
      </c>
      <c r="I1367" s="7">
        <v>1.0</v>
      </c>
      <c r="J1367" s="6">
        <v>18571.0</v>
      </c>
      <c r="K1367" s="2">
        <v>0.0</v>
      </c>
      <c r="L1367" s="2">
        <v>18571.0</v>
      </c>
      <c r="M1367" s="2">
        <v>0.0</v>
      </c>
      <c r="N1367" s="2">
        <v>18571.0</v>
      </c>
      <c r="O1367" s="2">
        <v>928.0</v>
      </c>
      <c r="P1367" s="2" t="s">
        <v>1567</v>
      </c>
      <c r="Q1367" s="2" t="s">
        <v>1568</v>
      </c>
      <c r="R1367" s="2" t="s">
        <v>1569</v>
      </c>
      <c r="S1367" s="2" t="s">
        <v>1570</v>
      </c>
      <c r="W1367" s="2" t="s">
        <v>1571</v>
      </c>
    </row>
    <row r="1368">
      <c r="A1368" s="4">
        <v>45538.84027777778</v>
      </c>
      <c r="B1368" s="5">
        <v>2605308.0</v>
      </c>
      <c r="C1368" s="2" t="s">
        <v>1575</v>
      </c>
      <c r="D1368" s="2" t="s">
        <v>1572</v>
      </c>
      <c r="E1368" s="2">
        <v>10107.0</v>
      </c>
      <c r="F1368" s="2" t="s">
        <v>1584</v>
      </c>
      <c r="I1368" s="7">
        <v>1.0</v>
      </c>
      <c r="J1368" s="6">
        <v>26667.0</v>
      </c>
      <c r="K1368" s="2">
        <v>0.0</v>
      </c>
      <c r="L1368" s="2">
        <v>26667.0</v>
      </c>
      <c r="M1368" s="2">
        <v>0.0</v>
      </c>
      <c r="N1368" s="2">
        <v>26667.0</v>
      </c>
      <c r="O1368" s="2">
        <v>1333.0</v>
      </c>
      <c r="P1368" s="2" t="s">
        <v>1567</v>
      </c>
      <c r="Q1368" s="2" t="s">
        <v>1568</v>
      </c>
      <c r="R1368" s="2" t="s">
        <v>1569</v>
      </c>
      <c r="S1368" s="2" t="s">
        <v>1570</v>
      </c>
      <c r="W1368" s="2" t="s">
        <v>1571</v>
      </c>
    </row>
    <row r="1369">
      <c r="A1369" s="4">
        <v>45538.836805555555</v>
      </c>
      <c r="B1369" s="5">
        <v>2604942.0</v>
      </c>
      <c r="C1369" s="2" t="s">
        <v>1575</v>
      </c>
      <c r="D1369" s="2" t="s">
        <v>1565</v>
      </c>
      <c r="E1369" s="2">
        <v>10007.0</v>
      </c>
      <c r="F1369" s="2" t="s">
        <v>1596</v>
      </c>
      <c r="I1369" s="7">
        <v>1.0</v>
      </c>
      <c r="J1369" s="6">
        <v>33810.0</v>
      </c>
      <c r="K1369" s="2">
        <v>0.0</v>
      </c>
      <c r="L1369" s="2">
        <v>33810.0</v>
      </c>
      <c r="M1369" s="2">
        <v>0.0</v>
      </c>
      <c r="N1369" s="2">
        <v>33810.0</v>
      </c>
      <c r="O1369" s="2">
        <v>1691.0</v>
      </c>
      <c r="P1369" s="2" t="s">
        <v>1574</v>
      </c>
      <c r="Q1369" s="2" t="s">
        <v>1568</v>
      </c>
      <c r="R1369" s="2" t="s">
        <v>1569</v>
      </c>
      <c r="S1369" s="2" t="s">
        <v>1570</v>
      </c>
      <c r="W1369" s="2" t="s">
        <v>1571</v>
      </c>
    </row>
    <row r="1370">
      <c r="A1370" s="4">
        <v>45538.83194444444</v>
      </c>
      <c r="B1370" s="5">
        <v>2604577.0</v>
      </c>
      <c r="C1370" s="2" t="s">
        <v>1575</v>
      </c>
      <c r="D1370" s="2" t="s">
        <v>1572</v>
      </c>
      <c r="E1370" s="2">
        <v>10128.0</v>
      </c>
      <c r="F1370" s="2" t="s">
        <v>1588</v>
      </c>
      <c r="I1370" s="7">
        <v>1.0</v>
      </c>
      <c r="J1370" s="6">
        <v>23333.0</v>
      </c>
      <c r="K1370" s="2">
        <v>0.0</v>
      </c>
      <c r="L1370" s="2">
        <v>23333.0</v>
      </c>
      <c r="M1370" s="2">
        <v>0.0</v>
      </c>
      <c r="N1370" s="2">
        <v>23333.0</v>
      </c>
      <c r="O1370" s="2">
        <v>1167.0</v>
      </c>
      <c r="P1370" s="2" t="s">
        <v>1574</v>
      </c>
      <c r="Q1370" s="2" t="s">
        <v>1568</v>
      </c>
      <c r="R1370" s="2" t="s">
        <v>1569</v>
      </c>
      <c r="S1370" s="2" t="s">
        <v>1570</v>
      </c>
      <c r="W1370" s="2" t="s">
        <v>1571</v>
      </c>
    </row>
    <row r="1371">
      <c r="A1371" s="4">
        <v>45538.83194444444</v>
      </c>
      <c r="B1371" s="5">
        <v>2604577.0</v>
      </c>
      <c r="C1371" s="2" t="s">
        <v>1575</v>
      </c>
      <c r="D1371" s="2" t="s">
        <v>1578</v>
      </c>
      <c r="E1371" s="2">
        <v>10009.0</v>
      </c>
      <c r="F1371" s="2" t="s">
        <v>1586</v>
      </c>
      <c r="I1371" s="7">
        <v>1.0</v>
      </c>
      <c r="J1371" s="6">
        <v>26667.0</v>
      </c>
      <c r="K1371" s="2">
        <v>0.0</v>
      </c>
      <c r="L1371" s="2">
        <v>26667.0</v>
      </c>
      <c r="M1371" s="2">
        <v>0.0</v>
      </c>
      <c r="N1371" s="2">
        <v>26667.0</v>
      </c>
      <c r="O1371" s="2">
        <v>1333.0</v>
      </c>
      <c r="P1371" s="2" t="s">
        <v>1574</v>
      </c>
      <c r="Q1371" s="2" t="s">
        <v>1568</v>
      </c>
      <c r="R1371" s="2" t="s">
        <v>1569</v>
      </c>
      <c r="S1371" s="2" t="s">
        <v>1570</v>
      </c>
      <c r="W1371" s="2" t="s">
        <v>1571</v>
      </c>
    </row>
    <row r="1372">
      <c r="A1372" s="4">
        <v>45538.83194444444</v>
      </c>
      <c r="B1372" s="5">
        <v>2604577.0</v>
      </c>
      <c r="C1372" s="2" t="s">
        <v>1575</v>
      </c>
      <c r="D1372" s="2" t="s">
        <v>1565</v>
      </c>
      <c r="E1372" s="2">
        <v>10000.0</v>
      </c>
      <c r="F1372" s="2" t="s">
        <v>1566</v>
      </c>
      <c r="I1372" s="7">
        <v>1.0</v>
      </c>
      <c r="J1372" s="6">
        <v>29524.0</v>
      </c>
      <c r="K1372" s="2">
        <v>0.0</v>
      </c>
      <c r="L1372" s="2">
        <v>29524.0</v>
      </c>
      <c r="M1372" s="2">
        <v>0.0</v>
      </c>
      <c r="N1372" s="2">
        <v>29524.0</v>
      </c>
      <c r="O1372" s="2">
        <v>1476.0</v>
      </c>
      <c r="P1372" s="2" t="s">
        <v>1574</v>
      </c>
      <c r="Q1372" s="2" t="s">
        <v>1568</v>
      </c>
      <c r="R1372" s="2" t="s">
        <v>1569</v>
      </c>
      <c r="S1372" s="2" t="s">
        <v>1570</v>
      </c>
      <c r="W1372" s="2" t="s">
        <v>1571</v>
      </c>
    </row>
    <row r="1373">
      <c r="A1373" s="4">
        <v>45538.82986111111</v>
      </c>
      <c r="B1373" s="5">
        <v>2604212.0</v>
      </c>
      <c r="C1373" s="2" t="s">
        <v>1575</v>
      </c>
      <c r="D1373" s="2" t="s">
        <v>1565</v>
      </c>
      <c r="E1373" s="2">
        <v>10033.0</v>
      </c>
      <c r="F1373" s="2" t="s">
        <v>1615</v>
      </c>
      <c r="I1373" s="7">
        <v>1.0</v>
      </c>
      <c r="J1373" s="6">
        <v>21905.0</v>
      </c>
      <c r="K1373" s="2">
        <v>0.0</v>
      </c>
      <c r="L1373" s="2">
        <v>21905.0</v>
      </c>
      <c r="M1373" s="2">
        <v>0.0</v>
      </c>
      <c r="N1373" s="2">
        <v>21905.0</v>
      </c>
      <c r="O1373" s="2">
        <v>1095.0</v>
      </c>
      <c r="P1373" s="2" t="s">
        <v>1574</v>
      </c>
      <c r="Q1373" s="2" t="s">
        <v>1568</v>
      </c>
      <c r="R1373" s="2" t="s">
        <v>1569</v>
      </c>
      <c r="S1373" s="2" t="s">
        <v>1570</v>
      </c>
      <c r="V1373" s="2" t="s">
        <v>1636</v>
      </c>
      <c r="W1373" s="2" t="s">
        <v>1571</v>
      </c>
    </row>
    <row r="1374">
      <c r="A1374" s="4">
        <v>45538.82986111111</v>
      </c>
      <c r="B1374" s="5">
        <v>2604212.0</v>
      </c>
      <c r="C1374" s="2" t="s">
        <v>1575</v>
      </c>
      <c r="D1374" s="2" t="s">
        <v>1578</v>
      </c>
      <c r="E1374" s="2">
        <v>10004.0</v>
      </c>
      <c r="F1374" s="2" t="s">
        <v>1607</v>
      </c>
      <c r="I1374" s="7">
        <v>1.0</v>
      </c>
      <c r="J1374" s="6">
        <v>25238.0</v>
      </c>
      <c r="K1374" s="2">
        <v>0.0</v>
      </c>
      <c r="L1374" s="2">
        <v>25238.0</v>
      </c>
      <c r="M1374" s="2">
        <v>0.0</v>
      </c>
      <c r="N1374" s="2">
        <v>25238.0</v>
      </c>
      <c r="O1374" s="2">
        <v>1262.0</v>
      </c>
      <c r="P1374" s="2" t="s">
        <v>1574</v>
      </c>
      <c r="Q1374" s="2" t="s">
        <v>1568</v>
      </c>
      <c r="R1374" s="2" t="s">
        <v>1569</v>
      </c>
      <c r="S1374" s="2" t="s">
        <v>1570</v>
      </c>
      <c r="W1374" s="2" t="s">
        <v>1571</v>
      </c>
    </row>
    <row r="1375">
      <c r="A1375" s="4">
        <v>45538.82986111111</v>
      </c>
      <c r="B1375" s="5">
        <v>2604212.0</v>
      </c>
      <c r="C1375" s="2" t="s">
        <v>1575</v>
      </c>
      <c r="D1375" s="2" t="s">
        <v>1580</v>
      </c>
      <c r="E1375" s="2">
        <v>10012.0</v>
      </c>
      <c r="F1375" s="2" t="s">
        <v>1602</v>
      </c>
      <c r="I1375" s="7">
        <v>1.0</v>
      </c>
      <c r="J1375" s="6">
        <v>29524.0</v>
      </c>
      <c r="K1375" s="2">
        <v>0.0</v>
      </c>
      <c r="L1375" s="2">
        <v>29524.0</v>
      </c>
      <c r="M1375" s="2">
        <v>0.0</v>
      </c>
      <c r="N1375" s="2">
        <v>29524.0</v>
      </c>
      <c r="O1375" s="2">
        <v>1476.0</v>
      </c>
      <c r="P1375" s="2" t="s">
        <v>1574</v>
      </c>
      <c r="Q1375" s="2" t="s">
        <v>1568</v>
      </c>
      <c r="R1375" s="2" t="s">
        <v>1569</v>
      </c>
      <c r="S1375" s="2" t="s">
        <v>1570</v>
      </c>
      <c r="V1375" s="2" t="s">
        <v>1637</v>
      </c>
      <c r="W1375" s="2" t="s">
        <v>1571</v>
      </c>
    </row>
    <row r="1376">
      <c r="A1376" s="4">
        <v>45538.82986111111</v>
      </c>
      <c r="B1376" s="5">
        <v>2604212.0</v>
      </c>
      <c r="C1376" s="2" t="s">
        <v>1575</v>
      </c>
      <c r="D1376" s="2" t="s">
        <v>1565</v>
      </c>
      <c r="E1376" s="2">
        <v>10007.0</v>
      </c>
      <c r="F1376" s="2" t="s">
        <v>1596</v>
      </c>
      <c r="I1376" s="7">
        <v>1.0</v>
      </c>
      <c r="J1376" s="6">
        <v>33810.0</v>
      </c>
      <c r="K1376" s="2">
        <v>0.0</v>
      </c>
      <c r="L1376" s="2">
        <v>33810.0</v>
      </c>
      <c r="M1376" s="2">
        <v>0.0</v>
      </c>
      <c r="N1376" s="2">
        <v>33810.0</v>
      </c>
      <c r="O1376" s="2">
        <v>1691.0</v>
      </c>
      <c r="P1376" s="2" t="s">
        <v>1574</v>
      </c>
      <c r="Q1376" s="2" t="s">
        <v>1568</v>
      </c>
      <c r="R1376" s="2" t="s">
        <v>1569</v>
      </c>
      <c r="S1376" s="2" t="s">
        <v>1570</v>
      </c>
      <c r="W1376" s="2" t="s">
        <v>1571</v>
      </c>
    </row>
    <row r="1377">
      <c r="A1377" s="4">
        <v>45538.81875</v>
      </c>
      <c r="B1377" s="5">
        <v>2603847.0</v>
      </c>
      <c r="C1377" s="2" t="s">
        <v>1575</v>
      </c>
      <c r="D1377" s="2" t="s">
        <v>1578</v>
      </c>
      <c r="E1377" s="2">
        <v>10004.0</v>
      </c>
      <c r="F1377" s="2" t="s">
        <v>1607</v>
      </c>
      <c r="I1377" s="7">
        <v>1.0</v>
      </c>
      <c r="J1377" s="6">
        <v>25238.0</v>
      </c>
      <c r="K1377" s="2">
        <v>0.0</v>
      </c>
      <c r="L1377" s="2">
        <v>25238.0</v>
      </c>
      <c r="M1377" s="2">
        <v>0.0</v>
      </c>
      <c r="N1377" s="2">
        <v>25238.0</v>
      </c>
      <c r="O1377" s="2">
        <v>1262.0</v>
      </c>
      <c r="P1377" s="2" t="s">
        <v>1574</v>
      </c>
      <c r="Q1377" s="2" t="s">
        <v>1568</v>
      </c>
      <c r="R1377" s="2" t="s">
        <v>1569</v>
      </c>
      <c r="S1377" s="2" t="s">
        <v>1570</v>
      </c>
      <c r="W1377" s="2" t="s">
        <v>1571</v>
      </c>
    </row>
    <row r="1378">
      <c r="A1378" s="4">
        <v>45538.81875</v>
      </c>
      <c r="B1378" s="5">
        <v>2603847.0</v>
      </c>
      <c r="C1378" s="2" t="s">
        <v>1575</v>
      </c>
      <c r="D1378" s="2" t="s">
        <v>1572</v>
      </c>
      <c r="E1378" s="2">
        <v>10112.0</v>
      </c>
      <c r="F1378" s="2" t="s">
        <v>1573</v>
      </c>
      <c r="I1378" s="7">
        <v>1.0</v>
      </c>
      <c r="J1378" s="6">
        <v>6667.0</v>
      </c>
      <c r="K1378" s="2">
        <v>0.0</v>
      </c>
      <c r="L1378" s="2">
        <v>6667.0</v>
      </c>
      <c r="M1378" s="2">
        <v>0.0</v>
      </c>
      <c r="N1378" s="2">
        <v>6667.0</v>
      </c>
      <c r="O1378" s="2">
        <v>333.0</v>
      </c>
      <c r="P1378" s="2" t="s">
        <v>1574</v>
      </c>
      <c r="Q1378" s="2" t="s">
        <v>1568</v>
      </c>
      <c r="R1378" s="2" t="s">
        <v>1569</v>
      </c>
      <c r="S1378" s="2" t="s">
        <v>1570</v>
      </c>
      <c r="W1378" s="2" t="s">
        <v>1571</v>
      </c>
    </row>
    <row r="1379">
      <c r="A1379" s="4">
        <v>45538.81875</v>
      </c>
      <c r="B1379" s="5">
        <v>2603847.0</v>
      </c>
      <c r="C1379" s="2" t="s">
        <v>1575</v>
      </c>
      <c r="D1379" s="2" t="s">
        <v>1578</v>
      </c>
      <c r="E1379" s="2">
        <v>10015.0</v>
      </c>
      <c r="F1379" s="2" t="s">
        <v>1587</v>
      </c>
      <c r="I1379" s="7">
        <v>1.0</v>
      </c>
      <c r="J1379" s="6">
        <v>25238.0</v>
      </c>
      <c r="K1379" s="2">
        <v>0.0</v>
      </c>
      <c r="L1379" s="2">
        <v>25238.0</v>
      </c>
      <c r="M1379" s="2">
        <v>0.0</v>
      </c>
      <c r="N1379" s="2">
        <v>25238.0</v>
      </c>
      <c r="O1379" s="2">
        <v>1262.0</v>
      </c>
      <c r="P1379" s="2" t="s">
        <v>1574</v>
      </c>
      <c r="Q1379" s="2" t="s">
        <v>1568</v>
      </c>
      <c r="R1379" s="2" t="s">
        <v>1569</v>
      </c>
      <c r="S1379" s="2" t="s">
        <v>1570</v>
      </c>
      <c r="W1379" s="2" t="s">
        <v>1571</v>
      </c>
    </row>
    <row r="1380">
      <c r="A1380" s="4">
        <v>45538.81875</v>
      </c>
      <c r="B1380" s="5">
        <v>2603847.0</v>
      </c>
      <c r="C1380" s="2" t="s">
        <v>1575</v>
      </c>
      <c r="D1380" s="2" t="s">
        <v>1578</v>
      </c>
      <c r="E1380" s="2">
        <v>10051.0</v>
      </c>
      <c r="F1380" s="2" t="s">
        <v>1579</v>
      </c>
      <c r="I1380" s="7">
        <v>1.0</v>
      </c>
      <c r="J1380" s="6">
        <v>25238.0</v>
      </c>
      <c r="K1380" s="2">
        <v>0.0</v>
      </c>
      <c r="L1380" s="2">
        <v>25238.0</v>
      </c>
      <c r="M1380" s="2">
        <v>0.0</v>
      </c>
      <c r="N1380" s="2">
        <v>25238.0</v>
      </c>
      <c r="O1380" s="2">
        <v>1262.0</v>
      </c>
      <c r="P1380" s="2" t="s">
        <v>1574</v>
      </c>
      <c r="Q1380" s="2" t="s">
        <v>1568</v>
      </c>
      <c r="R1380" s="2" t="s">
        <v>1569</v>
      </c>
      <c r="S1380" s="2" t="s">
        <v>1570</v>
      </c>
      <c r="W1380" s="2" t="s">
        <v>1571</v>
      </c>
    </row>
    <row r="1381">
      <c r="A1381" s="4">
        <v>45538.81805555556</v>
      </c>
      <c r="B1381" s="5">
        <v>2603481.0</v>
      </c>
      <c r="C1381" s="2" t="s">
        <v>1575</v>
      </c>
      <c r="D1381" s="2" t="s">
        <v>1565</v>
      </c>
      <c r="E1381" s="2">
        <v>10002.0</v>
      </c>
      <c r="F1381" s="2" t="s">
        <v>1576</v>
      </c>
      <c r="I1381" s="7">
        <v>1.0</v>
      </c>
      <c r="J1381" s="6">
        <v>18571.0</v>
      </c>
      <c r="K1381" s="2">
        <v>0.0</v>
      </c>
      <c r="L1381" s="2">
        <v>18571.0</v>
      </c>
      <c r="M1381" s="2">
        <v>0.0</v>
      </c>
      <c r="N1381" s="2">
        <v>18571.0</v>
      </c>
      <c r="O1381" s="2">
        <v>929.0</v>
      </c>
      <c r="P1381" s="2" t="s">
        <v>1574</v>
      </c>
      <c r="Q1381" s="2" t="s">
        <v>1568</v>
      </c>
      <c r="R1381" s="2" t="s">
        <v>1569</v>
      </c>
      <c r="S1381" s="2" t="s">
        <v>1570</v>
      </c>
      <c r="W1381" s="2" t="s">
        <v>1571</v>
      </c>
    </row>
    <row r="1382">
      <c r="A1382" s="4">
        <v>45538.81805555556</v>
      </c>
      <c r="B1382" s="5">
        <v>2603481.0</v>
      </c>
      <c r="C1382" s="2" t="s">
        <v>1575</v>
      </c>
      <c r="D1382" s="2" t="s">
        <v>1565</v>
      </c>
      <c r="E1382" s="2">
        <v>10005.0</v>
      </c>
      <c r="F1382" s="2" t="s">
        <v>1595</v>
      </c>
      <c r="I1382" s="7">
        <v>1.0</v>
      </c>
      <c r="J1382" s="6">
        <v>19524.0</v>
      </c>
      <c r="K1382" s="2">
        <v>0.0</v>
      </c>
      <c r="L1382" s="2">
        <v>19524.0</v>
      </c>
      <c r="M1382" s="2">
        <v>0.0</v>
      </c>
      <c r="N1382" s="2">
        <v>19524.0</v>
      </c>
      <c r="O1382" s="2">
        <v>976.0</v>
      </c>
      <c r="P1382" s="2" t="s">
        <v>1574</v>
      </c>
      <c r="Q1382" s="2" t="s">
        <v>1568</v>
      </c>
      <c r="R1382" s="2" t="s">
        <v>1569</v>
      </c>
      <c r="S1382" s="2" t="s">
        <v>1570</v>
      </c>
      <c r="W1382" s="2" t="s">
        <v>1571</v>
      </c>
    </row>
    <row r="1383">
      <c r="A1383" s="4">
        <v>45538.805555555555</v>
      </c>
      <c r="B1383" s="5">
        <v>2603116.0</v>
      </c>
      <c r="C1383" s="2" t="s">
        <v>1575</v>
      </c>
      <c r="D1383" s="2" t="s">
        <v>1565</v>
      </c>
      <c r="E1383" s="2">
        <v>10034.0</v>
      </c>
      <c r="F1383" s="2" t="s">
        <v>1616</v>
      </c>
      <c r="I1383" s="7">
        <v>1.0</v>
      </c>
      <c r="J1383" s="6">
        <v>21905.0</v>
      </c>
      <c r="K1383" s="2">
        <v>0.0</v>
      </c>
      <c r="L1383" s="2">
        <v>21905.0</v>
      </c>
      <c r="M1383" s="2">
        <v>0.0</v>
      </c>
      <c r="N1383" s="2">
        <v>21905.0</v>
      </c>
      <c r="O1383" s="2">
        <v>1095.0</v>
      </c>
      <c r="P1383" s="2" t="s">
        <v>1574</v>
      </c>
      <c r="Q1383" s="2" t="s">
        <v>1568</v>
      </c>
      <c r="R1383" s="2" t="s">
        <v>1569</v>
      </c>
      <c r="S1383" s="2" t="s">
        <v>1570</v>
      </c>
      <c r="W1383" s="2" t="s">
        <v>1571</v>
      </c>
    </row>
    <row r="1384">
      <c r="A1384" s="4">
        <v>45538.805555555555</v>
      </c>
      <c r="B1384" s="5">
        <v>2603116.0</v>
      </c>
      <c r="C1384" s="2" t="s">
        <v>1575</v>
      </c>
      <c r="D1384" s="2" t="s">
        <v>1572</v>
      </c>
      <c r="E1384" s="2">
        <v>10122.0</v>
      </c>
      <c r="F1384" s="2" t="s">
        <v>1577</v>
      </c>
      <c r="I1384" s="7">
        <v>1.0</v>
      </c>
      <c r="J1384" s="6">
        <v>21905.0</v>
      </c>
      <c r="K1384" s="2">
        <v>0.0</v>
      </c>
      <c r="L1384" s="2">
        <v>21905.0</v>
      </c>
      <c r="M1384" s="2">
        <v>0.0</v>
      </c>
      <c r="N1384" s="2">
        <v>21905.0</v>
      </c>
      <c r="O1384" s="2">
        <v>1096.0</v>
      </c>
      <c r="P1384" s="2" t="s">
        <v>1574</v>
      </c>
      <c r="Q1384" s="2" t="s">
        <v>1568</v>
      </c>
      <c r="R1384" s="2" t="s">
        <v>1569</v>
      </c>
      <c r="S1384" s="2" t="s">
        <v>1570</v>
      </c>
      <c r="W1384" s="2" t="s">
        <v>1571</v>
      </c>
    </row>
    <row r="1385">
      <c r="A1385" s="4">
        <v>45538.805555555555</v>
      </c>
      <c r="B1385" s="5">
        <v>2603116.0</v>
      </c>
      <c r="C1385" s="2" t="s">
        <v>1575</v>
      </c>
      <c r="D1385" s="2" t="s">
        <v>1578</v>
      </c>
      <c r="E1385" s="2">
        <v>10014.0</v>
      </c>
      <c r="F1385" s="2" t="s">
        <v>1609</v>
      </c>
      <c r="I1385" s="7">
        <v>1.0</v>
      </c>
      <c r="J1385" s="6">
        <v>25238.0</v>
      </c>
      <c r="K1385" s="2">
        <v>0.0</v>
      </c>
      <c r="L1385" s="2">
        <v>25238.0</v>
      </c>
      <c r="M1385" s="2">
        <v>0.0</v>
      </c>
      <c r="N1385" s="2">
        <v>25238.0</v>
      </c>
      <c r="O1385" s="2">
        <v>1261.0</v>
      </c>
      <c r="P1385" s="2" t="s">
        <v>1574</v>
      </c>
      <c r="Q1385" s="2" t="s">
        <v>1568</v>
      </c>
      <c r="R1385" s="2" t="s">
        <v>1569</v>
      </c>
      <c r="S1385" s="2" t="s">
        <v>1570</v>
      </c>
      <c r="W1385" s="2" t="s">
        <v>1571</v>
      </c>
    </row>
    <row r="1386">
      <c r="A1386" s="4">
        <v>45538.805555555555</v>
      </c>
      <c r="B1386" s="5">
        <v>2603116.0</v>
      </c>
      <c r="C1386" s="2" t="s">
        <v>1575</v>
      </c>
      <c r="D1386" s="2" t="s">
        <v>1572</v>
      </c>
      <c r="E1386" s="2">
        <v>10112.0</v>
      </c>
      <c r="F1386" s="2" t="s">
        <v>1573</v>
      </c>
      <c r="I1386" s="7">
        <v>1.0</v>
      </c>
      <c r="J1386" s="6">
        <v>6667.0</v>
      </c>
      <c r="K1386" s="2">
        <v>0.0</v>
      </c>
      <c r="L1386" s="2">
        <v>6667.0</v>
      </c>
      <c r="M1386" s="2">
        <v>0.0</v>
      </c>
      <c r="N1386" s="2">
        <v>6667.0</v>
      </c>
      <c r="O1386" s="2">
        <v>334.0</v>
      </c>
      <c r="P1386" s="2" t="s">
        <v>1574</v>
      </c>
      <c r="Q1386" s="2" t="s">
        <v>1568</v>
      </c>
      <c r="R1386" s="2" t="s">
        <v>1569</v>
      </c>
      <c r="S1386" s="2" t="s">
        <v>1570</v>
      </c>
      <c r="W1386" s="2" t="s">
        <v>1571</v>
      </c>
    </row>
    <row r="1387">
      <c r="A1387" s="4">
        <v>45538.80416666667</v>
      </c>
      <c r="B1387" s="5">
        <v>2602751.0</v>
      </c>
      <c r="C1387" s="2" t="s">
        <v>1575</v>
      </c>
      <c r="D1387" s="2" t="s">
        <v>1572</v>
      </c>
      <c r="E1387" s="2">
        <v>10128.0</v>
      </c>
      <c r="F1387" s="2" t="s">
        <v>1588</v>
      </c>
      <c r="I1387" s="7">
        <v>1.0</v>
      </c>
      <c r="J1387" s="6">
        <v>23333.0</v>
      </c>
      <c r="K1387" s="2">
        <v>0.0</v>
      </c>
      <c r="L1387" s="2">
        <v>23333.0</v>
      </c>
      <c r="M1387" s="2">
        <v>0.0</v>
      </c>
      <c r="N1387" s="2">
        <v>23333.0</v>
      </c>
      <c r="O1387" s="2">
        <v>1167.0</v>
      </c>
      <c r="P1387" s="2" t="s">
        <v>1574</v>
      </c>
      <c r="Q1387" s="2" t="s">
        <v>1568</v>
      </c>
      <c r="R1387" s="2" t="s">
        <v>1569</v>
      </c>
      <c r="S1387" s="2" t="s">
        <v>1570</v>
      </c>
      <c r="W1387" s="2" t="s">
        <v>1571</v>
      </c>
    </row>
    <row r="1388">
      <c r="A1388" s="4">
        <v>45538.80416666667</v>
      </c>
      <c r="B1388" s="5">
        <v>2602751.0</v>
      </c>
      <c r="C1388" s="2" t="s">
        <v>1575</v>
      </c>
      <c r="D1388" s="2" t="s">
        <v>1565</v>
      </c>
      <c r="E1388" s="2">
        <v>10002.0</v>
      </c>
      <c r="F1388" s="2" t="s">
        <v>1576</v>
      </c>
      <c r="I1388" s="7">
        <v>1.0</v>
      </c>
      <c r="J1388" s="6">
        <v>18571.0</v>
      </c>
      <c r="K1388" s="2">
        <v>0.0</v>
      </c>
      <c r="L1388" s="2">
        <v>18571.0</v>
      </c>
      <c r="M1388" s="2">
        <v>0.0</v>
      </c>
      <c r="N1388" s="2">
        <v>18571.0</v>
      </c>
      <c r="O1388" s="2">
        <v>928.0</v>
      </c>
      <c r="P1388" s="2" t="s">
        <v>1574</v>
      </c>
      <c r="Q1388" s="2" t="s">
        <v>1568</v>
      </c>
      <c r="R1388" s="2" t="s">
        <v>1569</v>
      </c>
      <c r="S1388" s="2" t="s">
        <v>1570</v>
      </c>
      <c r="W1388" s="2" t="s">
        <v>1571</v>
      </c>
    </row>
    <row r="1389">
      <c r="A1389" s="4">
        <v>45538.80416666667</v>
      </c>
      <c r="B1389" s="5">
        <v>2602751.0</v>
      </c>
      <c r="C1389" s="2" t="s">
        <v>1575</v>
      </c>
      <c r="D1389" s="2" t="s">
        <v>1565</v>
      </c>
      <c r="E1389" s="2">
        <v>10005.0</v>
      </c>
      <c r="F1389" s="2" t="s">
        <v>1595</v>
      </c>
      <c r="I1389" s="7">
        <v>1.0</v>
      </c>
      <c r="J1389" s="6">
        <v>19524.0</v>
      </c>
      <c r="K1389" s="2">
        <v>0.0</v>
      </c>
      <c r="L1389" s="2">
        <v>19524.0</v>
      </c>
      <c r="M1389" s="2">
        <v>0.0</v>
      </c>
      <c r="N1389" s="2">
        <v>19524.0</v>
      </c>
      <c r="O1389" s="2">
        <v>976.0</v>
      </c>
      <c r="P1389" s="2" t="s">
        <v>1574</v>
      </c>
      <c r="Q1389" s="2" t="s">
        <v>1568</v>
      </c>
      <c r="R1389" s="2" t="s">
        <v>1569</v>
      </c>
      <c r="S1389" s="2" t="s">
        <v>1570</v>
      </c>
      <c r="W1389" s="2" t="s">
        <v>1571</v>
      </c>
    </row>
    <row r="1390">
      <c r="A1390" s="4">
        <v>45538.80416666667</v>
      </c>
      <c r="B1390" s="5">
        <v>2602751.0</v>
      </c>
      <c r="C1390" s="2" t="s">
        <v>1575</v>
      </c>
      <c r="D1390" s="2" t="s">
        <v>1565</v>
      </c>
      <c r="E1390" s="2">
        <v>10043.0</v>
      </c>
      <c r="F1390" s="2" t="s">
        <v>1635</v>
      </c>
      <c r="I1390" s="7">
        <v>1.0</v>
      </c>
      <c r="J1390" s="6">
        <v>9524.0</v>
      </c>
      <c r="K1390" s="2">
        <v>0.0</v>
      </c>
      <c r="L1390" s="2">
        <v>9524.0</v>
      </c>
      <c r="M1390" s="2">
        <v>0.0</v>
      </c>
      <c r="N1390" s="2">
        <v>9524.0</v>
      </c>
      <c r="O1390" s="2">
        <v>477.0</v>
      </c>
      <c r="P1390" s="2" t="s">
        <v>1574</v>
      </c>
      <c r="Q1390" s="2" t="s">
        <v>1568</v>
      </c>
      <c r="R1390" s="2" t="s">
        <v>1569</v>
      </c>
      <c r="S1390" s="2" t="s">
        <v>1570</v>
      </c>
      <c r="W1390" s="2" t="s">
        <v>1571</v>
      </c>
    </row>
    <row r="1391">
      <c r="A1391" s="4">
        <v>45538.79722222222</v>
      </c>
      <c r="B1391" s="5">
        <v>2602386.0</v>
      </c>
      <c r="C1391" s="2" t="s">
        <v>1575</v>
      </c>
      <c r="D1391" s="2" t="s">
        <v>1565</v>
      </c>
      <c r="E1391" s="2">
        <v>10000.0</v>
      </c>
      <c r="F1391" s="2" t="s">
        <v>1566</v>
      </c>
      <c r="I1391" s="7">
        <v>1.0</v>
      </c>
      <c r="J1391" s="6">
        <v>29524.0</v>
      </c>
      <c r="K1391" s="2">
        <v>0.0</v>
      </c>
      <c r="L1391" s="2">
        <v>29524.0</v>
      </c>
      <c r="M1391" s="2">
        <v>0.0</v>
      </c>
      <c r="N1391" s="2">
        <v>29524.0</v>
      </c>
      <c r="O1391" s="2">
        <v>1476.0</v>
      </c>
      <c r="P1391" s="2" t="s">
        <v>1574</v>
      </c>
      <c r="Q1391" s="2" t="s">
        <v>1568</v>
      </c>
      <c r="R1391" s="2" t="s">
        <v>1569</v>
      </c>
      <c r="S1391" s="2" t="s">
        <v>1570</v>
      </c>
      <c r="W1391" s="2" t="s">
        <v>1571</v>
      </c>
    </row>
    <row r="1392">
      <c r="A1392" s="4">
        <v>45538.79583333333</v>
      </c>
      <c r="B1392" s="5">
        <v>2602020.0</v>
      </c>
      <c r="C1392" s="2" t="s">
        <v>1575</v>
      </c>
      <c r="D1392" s="2" t="s">
        <v>1578</v>
      </c>
      <c r="E1392" s="2">
        <v>10004.0</v>
      </c>
      <c r="F1392" s="2" t="s">
        <v>1607</v>
      </c>
      <c r="I1392" s="7">
        <v>1.0</v>
      </c>
      <c r="J1392" s="6">
        <v>25238.0</v>
      </c>
      <c r="K1392" s="2">
        <v>0.0</v>
      </c>
      <c r="L1392" s="2">
        <v>25238.0</v>
      </c>
      <c r="M1392" s="2">
        <v>0.0</v>
      </c>
      <c r="N1392" s="2">
        <v>25238.0</v>
      </c>
      <c r="O1392" s="2">
        <v>1262.0</v>
      </c>
      <c r="P1392" s="2" t="s">
        <v>1574</v>
      </c>
      <c r="Q1392" s="2" t="s">
        <v>1568</v>
      </c>
      <c r="R1392" s="2" t="s">
        <v>1569</v>
      </c>
      <c r="S1392" s="2" t="s">
        <v>1570</v>
      </c>
      <c r="W1392" s="2" t="s">
        <v>1571</v>
      </c>
    </row>
    <row r="1393">
      <c r="A1393" s="4">
        <v>45538.79583333333</v>
      </c>
      <c r="B1393" s="5">
        <v>2602020.0</v>
      </c>
      <c r="C1393" s="2" t="s">
        <v>1575</v>
      </c>
      <c r="D1393" s="2" t="s">
        <v>1572</v>
      </c>
      <c r="E1393" s="2">
        <v>10128.0</v>
      </c>
      <c r="F1393" s="2" t="s">
        <v>1588</v>
      </c>
      <c r="I1393" s="7">
        <v>1.0</v>
      </c>
      <c r="J1393" s="6">
        <v>23333.0</v>
      </c>
      <c r="K1393" s="2">
        <v>0.0</v>
      </c>
      <c r="L1393" s="2">
        <v>23333.0</v>
      </c>
      <c r="M1393" s="2">
        <v>0.0</v>
      </c>
      <c r="N1393" s="2">
        <v>23333.0</v>
      </c>
      <c r="O1393" s="2">
        <v>1167.0</v>
      </c>
      <c r="P1393" s="2" t="s">
        <v>1574</v>
      </c>
      <c r="Q1393" s="2" t="s">
        <v>1568</v>
      </c>
      <c r="R1393" s="2" t="s">
        <v>1569</v>
      </c>
      <c r="S1393" s="2" t="s">
        <v>1570</v>
      </c>
      <c r="W1393" s="2" t="s">
        <v>1571</v>
      </c>
    </row>
    <row r="1394">
      <c r="A1394" s="4">
        <v>45538.79583333333</v>
      </c>
      <c r="B1394" s="5">
        <v>2602020.0</v>
      </c>
      <c r="C1394" s="2" t="s">
        <v>1575</v>
      </c>
      <c r="D1394" s="2" t="s">
        <v>1572</v>
      </c>
      <c r="E1394" s="2">
        <v>10067.0</v>
      </c>
      <c r="F1394" s="2" t="s">
        <v>1621</v>
      </c>
      <c r="I1394" s="7">
        <v>1.0</v>
      </c>
      <c r="J1394" s="6">
        <v>24762.0</v>
      </c>
      <c r="K1394" s="2">
        <v>0.0</v>
      </c>
      <c r="L1394" s="2">
        <v>24762.0</v>
      </c>
      <c r="M1394" s="2">
        <v>0.0</v>
      </c>
      <c r="N1394" s="2">
        <v>24762.0</v>
      </c>
      <c r="O1394" s="2">
        <v>1238.0</v>
      </c>
      <c r="P1394" s="2" t="s">
        <v>1574</v>
      </c>
      <c r="Q1394" s="2" t="s">
        <v>1568</v>
      </c>
      <c r="R1394" s="2" t="s">
        <v>1569</v>
      </c>
      <c r="S1394" s="2" t="s">
        <v>1570</v>
      </c>
      <c r="W1394" s="2" t="s">
        <v>1571</v>
      </c>
    </row>
    <row r="1395">
      <c r="A1395" s="4">
        <v>45538.79583333333</v>
      </c>
      <c r="B1395" s="5">
        <v>2602020.0</v>
      </c>
      <c r="C1395" s="2" t="s">
        <v>1575</v>
      </c>
      <c r="D1395" s="2" t="s">
        <v>1572</v>
      </c>
      <c r="E1395" s="2">
        <v>10107.0</v>
      </c>
      <c r="F1395" s="2" t="s">
        <v>1584</v>
      </c>
      <c r="I1395" s="7">
        <v>1.0</v>
      </c>
      <c r="J1395" s="6">
        <v>26667.0</v>
      </c>
      <c r="K1395" s="2">
        <v>0.0</v>
      </c>
      <c r="L1395" s="2">
        <v>26667.0</v>
      </c>
      <c r="M1395" s="2">
        <v>0.0</v>
      </c>
      <c r="N1395" s="2">
        <v>26667.0</v>
      </c>
      <c r="O1395" s="2">
        <v>1333.0</v>
      </c>
      <c r="P1395" s="2" t="s">
        <v>1574</v>
      </c>
      <c r="Q1395" s="2" t="s">
        <v>1568</v>
      </c>
      <c r="R1395" s="2" t="s">
        <v>1569</v>
      </c>
      <c r="S1395" s="2" t="s">
        <v>1570</v>
      </c>
      <c r="W1395" s="2" t="s">
        <v>1571</v>
      </c>
    </row>
    <row r="1396">
      <c r="A1396" s="4">
        <v>45538.79583333333</v>
      </c>
      <c r="B1396" s="5">
        <v>2602020.0</v>
      </c>
      <c r="C1396" s="2" t="s">
        <v>1575</v>
      </c>
      <c r="D1396" s="2" t="s">
        <v>1580</v>
      </c>
      <c r="E1396" s="2">
        <v>10012.0</v>
      </c>
      <c r="F1396" s="2" t="s">
        <v>1602</v>
      </c>
      <c r="I1396" s="7">
        <v>1.0</v>
      </c>
      <c r="J1396" s="6">
        <v>29524.0</v>
      </c>
      <c r="K1396" s="2">
        <v>0.0</v>
      </c>
      <c r="L1396" s="2">
        <v>29524.0</v>
      </c>
      <c r="M1396" s="2">
        <v>0.0</v>
      </c>
      <c r="N1396" s="2">
        <v>29524.0</v>
      </c>
      <c r="O1396" s="2">
        <v>1476.0</v>
      </c>
      <c r="P1396" s="2" t="s">
        <v>1574</v>
      </c>
      <c r="Q1396" s="2" t="s">
        <v>1568</v>
      </c>
      <c r="R1396" s="2" t="s">
        <v>1569</v>
      </c>
      <c r="S1396" s="2" t="s">
        <v>1570</v>
      </c>
      <c r="W1396" s="2" t="s">
        <v>1571</v>
      </c>
    </row>
    <row r="1397">
      <c r="A1397" s="4">
        <v>45538.79305555556</v>
      </c>
      <c r="B1397" s="5">
        <v>2601655.0</v>
      </c>
      <c r="C1397" s="2" t="s">
        <v>1575</v>
      </c>
      <c r="D1397" s="2" t="s">
        <v>1565</v>
      </c>
      <c r="E1397" s="2">
        <v>10054.0</v>
      </c>
      <c r="F1397" s="2" t="s">
        <v>1610</v>
      </c>
      <c r="I1397" s="7">
        <v>1.0</v>
      </c>
      <c r="J1397" s="6">
        <v>25238.0</v>
      </c>
      <c r="K1397" s="2">
        <v>0.0</v>
      </c>
      <c r="L1397" s="2">
        <v>25238.0</v>
      </c>
      <c r="M1397" s="2">
        <v>0.0</v>
      </c>
      <c r="N1397" s="2">
        <v>25238.0</v>
      </c>
      <c r="O1397" s="2">
        <v>1262.0</v>
      </c>
      <c r="P1397" s="2" t="s">
        <v>1574</v>
      </c>
      <c r="Q1397" s="2" t="s">
        <v>1568</v>
      </c>
      <c r="R1397" s="2" t="s">
        <v>1569</v>
      </c>
      <c r="S1397" s="2" t="s">
        <v>1570</v>
      </c>
      <c r="W1397" s="2" t="s">
        <v>1571</v>
      </c>
    </row>
    <row r="1398">
      <c r="A1398" s="4">
        <v>45538.79305555556</v>
      </c>
      <c r="B1398" s="5">
        <v>2601655.0</v>
      </c>
      <c r="C1398" s="2" t="s">
        <v>1575</v>
      </c>
      <c r="D1398" s="2" t="s">
        <v>1578</v>
      </c>
      <c r="E1398" s="2">
        <v>10014.0</v>
      </c>
      <c r="F1398" s="2" t="s">
        <v>1609</v>
      </c>
      <c r="I1398" s="7">
        <v>1.0</v>
      </c>
      <c r="J1398" s="6">
        <v>25238.0</v>
      </c>
      <c r="K1398" s="2">
        <v>0.0</v>
      </c>
      <c r="L1398" s="2">
        <v>25238.0</v>
      </c>
      <c r="M1398" s="2">
        <v>0.0</v>
      </c>
      <c r="N1398" s="2">
        <v>25238.0</v>
      </c>
      <c r="O1398" s="2">
        <v>1262.0</v>
      </c>
      <c r="P1398" s="2" t="s">
        <v>1574</v>
      </c>
      <c r="Q1398" s="2" t="s">
        <v>1568</v>
      </c>
      <c r="R1398" s="2" t="s">
        <v>1569</v>
      </c>
      <c r="S1398" s="2" t="s">
        <v>1570</v>
      </c>
      <c r="W1398" s="2" t="s">
        <v>1571</v>
      </c>
    </row>
    <row r="1399">
      <c r="A1399" s="4">
        <v>45538.79305555556</v>
      </c>
      <c r="B1399" s="5">
        <v>2601655.0</v>
      </c>
      <c r="C1399" s="2" t="s">
        <v>1575</v>
      </c>
      <c r="D1399" s="2" t="s">
        <v>1578</v>
      </c>
      <c r="E1399" s="2">
        <v>10004.0</v>
      </c>
      <c r="F1399" s="2" t="s">
        <v>1607</v>
      </c>
      <c r="I1399" s="7">
        <v>1.0</v>
      </c>
      <c r="J1399" s="6">
        <v>25238.0</v>
      </c>
      <c r="K1399" s="2">
        <v>0.0</v>
      </c>
      <c r="L1399" s="2">
        <v>25238.0</v>
      </c>
      <c r="M1399" s="2">
        <v>0.0</v>
      </c>
      <c r="N1399" s="2">
        <v>25238.0</v>
      </c>
      <c r="O1399" s="2">
        <v>1262.0</v>
      </c>
      <c r="P1399" s="2" t="s">
        <v>1574</v>
      </c>
      <c r="Q1399" s="2" t="s">
        <v>1568</v>
      </c>
      <c r="R1399" s="2" t="s">
        <v>1569</v>
      </c>
      <c r="S1399" s="2" t="s">
        <v>1570</v>
      </c>
      <c r="W1399" s="2" t="s">
        <v>1571</v>
      </c>
    </row>
    <row r="1400">
      <c r="A1400" s="4">
        <v>45538.79305555556</v>
      </c>
      <c r="B1400" s="5">
        <v>2601655.0</v>
      </c>
      <c r="C1400" s="2" t="s">
        <v>1575</v>
      </c>
      <c r="D1400" s="2" t="s">
        <v>1572</v>
      </c>
      <c r="E1400" s="2">
        <v>10107.0</v>
      </c>
      <c r="F1400" s="2" t="s">
        <v>1584</v>
      </c>
      <c r="I1400" s="7">
        <v>1.0</v>
      </c>
      <c r="J1400" s="6">
        <v>26667.0</v>
      </c>
      <c r="K1400" s="2">
        <v>0.0</v>
      </c>
      <c r="L1400" s="2">
        <v>26667.0</v>
      </c>
      <c r="M1400" s="2">
        <v>0.0</v>
      </c>
      <c r="N1400" s="2">
        <v>26667.0</v>
      </c>
      <c r="O1400" s="2">
        <v>1333.0</v>
      </c>
      <c r="P1400" s="2" t="s">
        <v>1574</v>
      </c>
      <c r="Q1400" s="2" t="s">
        <v>1568</v>
      </c>
      <c r="R1400" s="2" t="s">
        <v>1569</v>
      </c>
      <c r="S1400" s="2" t="s">
        <v>1570</v>
      </c>
      <c r="W1400" s="2" t="s">
        <v>1571</v>
      </c>
    </row>
    <row r="1401">
      <c r="A1401" s="4">
        <v>45538.79305555556</v>
      </c>
      <c r="B1401" s="5">
        <v>2601655.0</v>
      </c>
      <c r="C1401" s="2" t="s">
        <v>1575</v>
      </c>
      <c r="D1401" s="2" t="s">
        <v>1572</v>
      </c>
      <c r="E1401" s="2">
        <v>10106.0</v>
      </c>
      <c r="F1401" s="2" t="s">
        <v>1598</v>
      </c>
      <c r="I1401" s="7">
        <v>1.0</v>
      </c>
      <c r="J1401" s="6">
        <v>26667.0</v>
      </c>
      <c r="K1401" s="2">
        <v>0.0</v>
      </c>
      <c r="L1401" s="2">
        <v>26667.0</v>
      </c>
      <c r="M1401" s="2">
        <v>0.0</v>
      </c>
      <c r="N1401" s="2">
        <v>26667.0</v>
      </c>
      <c r="O1401" s="2">
        <v>1333.0</v>
      </c>
      <c r="P1401" s="2" t="s">
        <v>1574</v>
      </c>
      <c r="Q1401" s="2" t="s">
        <v>1568</v>
      </c>
      <c r="R1401" s="2" t="s">
        <v>1569</v>
      </c>
      <c r="S1401" s="2" t="s">
        <v>1570</v>
      </c>
      <c r="W1401" s="2" t="s">
        <v>1571</v>
      </c>
    </row>
    <row r="1402">
      <c r="A1402" s="4">
        <v>45538.79305555556</v>
      </c>
      <c r="B1402" s="5">
        <v>2601655.0</v>
      </c>
      <c r="C1402" s="2" t="s">
        <v>1575</v>
      </c>
      <c r="D1402" s="2" t="s">
        <v>1572</v>
      </c>
      <c r="E1402" s="2">
        <v>10128.0</v>
      </c>
      <c r="F1402" s="2" t="s">
        <v>1588</v>
      </c>
      <c r="I1402" s="7">
        <v>1.0</v>
      </c>
      <c r="J1402" s="6">
        <v>23333.0</v>
      </c>
      <c r="K1402" s="2">
        <v>0.0</v>
      </c>
      <c r="L1402" s="2">
        <v>23333.0</v>
      </c>
      <c r="M1402" s="2">
        <v>0.0</v>
      </c>
      <c r="N1402" s="2">
        <v>23333.0</v>
      </c>
      <c r="O1402" s="2">
        <v>1167.0</v>
      </c>
      <c r="P1402" s="2" t="s">
        <v>1574</v>
      </c>
      <c r="Q1402" s="2" t="s">
        <v>1568</v>
      </c>
      <c r="R1402" s="2" t="s">
        <v>1569</v>
      </c>
      <c r="S1402" s="2" t="s">
        <v>1570</v>
      </c>
      <c r="W1402" s="2" t="s">
        <v>1571</v>
      </c>
    </row>
    <row r="1403">
      <c r="A1403" s="4">
        <v>45538.69375</v>
      </c>
      <c r="B1403" s="5">
        <v>2601290.0</v>
      </c>
      <c r="C1403" s="2" t="s">
        <v>1575</v>
      </c>
      <c r="D1403" s="2" t="s">
        <v>1572</v>
      </c>
      <c r="E1403" s="2">
        <v>10121.0</v>
      </c>
      <c r="F1403" s="2" t="s">
        <v>1617</v>
      </c>
      <c r="I1403" s="7">
        <v>1.0</v>
      </c>
      <c r="J1403" s="6">
        <v>19524.0</v>
      </c>
      <c r="K1403" s="2">
        <v>0.0</v>
      </c>
      <c r="L1403" s="2">
        <v>19524.0</v>
      </c>
      <c r="M1403" s="2">
        <v>0.0</v>
      </c>
      <c r="N1403" s="2">
        <v>19524.0</v>
      </c>
      <c r="O1403" s="2">
        <v>976.0</v>
      </c>
      <c r="P1403" s="2" t="s">
        <v>1574</v>
      </c>
      <c r="Q1403" s="2" t="s">
        <v>1568</v>
      </c>
      <c r="R1403" s="2" t="s">
        <v>1569</v>
      </c>
      <c r="S1403" s="2" t="s">
        <v>1570</v>
      </c>
      <c r="W1403" s="2" t="s">
        <v>1571</v>
      </c>
    </row>
    <row r="1404">
      <c r="A1404" s="4">
        <v>45538.657638888886</v>
      </c>
      <c r="B1404" s="5">
        <v>2600925.0</v>
      </c>
      <c r="C1404" s="2" t="s">
        <v>1575</v>
      </c>
      <c r="D1404" s="2" t="s">
        <v>1565</v>
      </c>
      <c r="E1404" s="2">
        <v>10002.0</v>
      </c>
      <c r="F1404" s="2" t="s">
        <v>1576</v>
      </c>
      <c r="I1404" s="7">
        <v>1.0</v>
      </c>
      <c r="J1404" s="6">
        <v>18571.0</v>
      </c>
      <c r="K1404" s="2">
        <v>0.0</v>
      </c>
      <c r="L1404" s="2">
        <v>18571.0</v>
      </c>
      <c r="M1404" s="2">
        <v>0.0</v>
      </c>
      <c r="N1404" s="2">
        <v>18571.0</v>
      </c>
      <c r="O1404" s="2">
        <v>929.0</v>
      </c>
      <c r="P1404" s="2" t="s">
        <v>1574</v>
      </c>
      <c r="Q1404" s="2" t="s">
        <v>1568</v>
      </c>
      <c r="R1404" s="2" t="s">
        <v>1569</v>
      </c>
      <c r="S1404" s="2" t="s">
        <v>1570</v>
      </c>
      <c r="W1404" s="2" t="s">
        <v>1571</v>
      </c>
    </row>
    <row r="1405">
      <c r="A1405" s="4">
        <v>45538.65694444445</v>
      </c>
      <c r="B1405" s="5">
        <v>2600559.0</v>
      </c>
      <c r="C1405" s="2" t="s">
        <v>1575</v>
      </c>
      <c r="D1405" s="2" t="s">
        <v>1565</v>
      </c>
      <c r="E1405" s="2">
        <v>10007.0</v>
      </c>
      <c r="F1405" s="2" t="s">
        <v>1596</v>
      </c>
      <c r="I1405" s="7">
        <v>1.0</v>
      </c>
      <c r="J1405" s="6">
        <v>33810.0</v>
      </c>
      <c r="K1405" s="2">
        <v>0.0</v>
      </c>
      <c r="L1405" s="2">
        <v>33810.0</v>
      </c>
      <c r="M1405" s="2">
        <v>0.0</v>
      </c>
      <c r="N1405" s="2">
        <v>33810.0</v>
      </c>
      <c r="O1405" s="2">
        <v>1691.0</v>
      </c>
      <c r="P1405" s="2" t="s">
        <v>1574</v>
      </c>
      <c r="Q1405" s="2" t="s">
        <v>1568</v>
      </c>
      <c r="R1405" s="2" t="s">
        <v>1569</v>
      </c>
      <c r="S1405" s="2" t="s">
        <v>1570</v>
      </c>
      <c r="W1405" s="2" t="s">
        <v>1571</v>
      </c>
    </row>
    <row r="1406">
      <c r="A1406" s="4">
        <v>45538.65694444445</v>
      </c>
      <c r="B1406" s="5">
        <v>2600559.0</v>
      </c>
      <c r="C1406" s="2" t="s">
        <v>1575</v>
      </c>
      <c r="D1406" s="2" t="s">
        <v>1572</v>
      </c>
      <c r="E1406" s="2">
        <v>10128.0</v>
      </c>
      <c r="F1406" s="2" t="s">
        <v>1588</v>
      </c>
      <c r="I1406" s="7">
        <v>1.0</v>
      </c>
      <c r="J1406" s="6">
        <v>23333.0</v>
      </c>
      <c r="K1406" s="2">
        <v>0.0</v>
      </c>
      <c r="L1406" s="2">
        <v>23333.0</v>
      </c>
      <c r="M1406" s="2">
        <v>0.0</v>
      </c>
      <c r="N1406" s="2">
        <v>23333.0</v>
      </c>
      <c r="O1406" s="2">
        <v>1166.0</v>
      </c>
      <c r="P1406" s="2" t="s">
        <v>1574</v>
      </c>
      <c r="Q1406" s="2" t="s">
        <v>1568</v>
      </c>
      <c r="R1406" s="2" t="s">
        <v>1569</v>
      </c>
      <c r="S1406" s="2" t="s">
        <v>1570</v>
      </c>
      <c r="W1406" s="2" t="s">
        <v>1571</v>
      </c>
    </row>
    <row r="1407">
      <c r="A1407" s="4">
        <v>45538.60902777778</v>
      </c>
      <c r="B1407" s="5">
        <v>2600194.0</v>
      </c>
      <c r="C1407" s="2" t="s">
        <v>1575</v>
      </c>
      <c r="D1407" s="2" t="s">
        <v>1565</v>
      </c>
      <c r="E1407" s="2">
        <v>10002.0</v>
      </c>
      <c r="F1407" s="2" t="s">
        <v>1576</v>
      </c>
      <c r="I1407" s="7">
        <v>1.0</v>
      </c>
      <c r="J1407" s="6">
        <v>18571.0</v>
      </c>
      <c r="K1407" s="2">
        <v>0.0</v>
      </c>
      <c r="L1407" s="2">
        <v>18571.0</v>
      </c>
      <c r="M1407" s="2">
        <v>0.0</v>
      </c>
      <c r="N1407" s="2">
        <v>18571.0</v>
      </c>
      <c r="O1407" s="2">
        <v>929.0</v>
      </c>
      <c r="P1407" s="2" t="s">
        <v>1574</v>
      </c>
      <c r="Q1407" s="2" t="s">
        <v>1568</v>
      </c>
      <c r="R1407" s="2" t="s">
        <v>1569</v>
      </c>
      <c r="S1407" s="2" t="s">
        <v>1570</v>
      </c>
      <c r="W1407" s="2" t="s">
        <v>1571</v>
      </c>
    </row>
    <row r="1408">
      <c r="A1408" s="4">
        <v>45538.59305555555</v>
      </c>
      <c r="B1408" s="5">
        <v>2599829.0</v>
      </c>
      <c r="C1408" s="2" t="s">
        <v>1575</v>
      </c>
      <c r="D1408" s="2" t="s">
        <v>1572</v>
      </c>
      <c r="E1408" s="2">
        <v>10128.0</v>
      </c>
      <c r="F1408" s="2" t="s">
        <v>1588</v>
      </c>
      <c r="I1408" s="7">
        <v>1.0</v>
      </c>
      <c r="J1408" s="6">
        <v>23333.0</v>
      </c>
      <c r="K1408" s="2">
        <v>0.0</v>
      </c>
      <c r="L1408" s="2">
        <v>23333.0</v>
      </c>
      <c r="M1408" s="2">
        <v>0.0</v>
      </c>
      <c r="N1408" s="2">
        <v>23333.0</v>
      </c>
      <c r="O1408" s="2">
        <v>1167.0</v>
      </c>
      <c r="P1408" s="2" t="s">
        <v>1574</v>
      </c>
      <c r="Q1408" s="2" t="s">
        <v>1568</v>
      </c>
      <c r="R1408" s="2" t="s">
        <v>1569</v>
      </c>
      <c r="S1408" s="2" t="s">
        <v>1570</v>
      </c>
      <c r="W1408" s="2" t="s">
        <v>1571</v>
      </c>
    </row>
    <row r="1409">
      <c r="A1409" s="4">
        <v>45538.58472222222</v>
      </c>
      <c r="B1409" s="5">
        <v>2599464.0</v>
      </c>
      <c r="C1409" s="2" t="s">
        <v>1575</v>
      </c>
      <c r="D1409" s="2" t="s">
        <v>1578</v>
      </c>
      <c r="E1409" s="2">
        <v>10014.0</v>
      </c>
      <c r="F1409" s="2" t="s">
        <v>1609</v>
      </c>
      <c r="I1409" s="7">
        <v>1.0</v>
      </c>
      <c r="J1409" s="6">
        <v>25238.0</v>
      </c>
      <c r="K1409" s="2">
        <v>0.0</v>
      </c>
      <c r="L1409" s="2">
        <v>25238.0</v>
      </c>
      <c r="M1409" s="2">
        <v>0.0</v>
      </c>
      <c r="N1409" s="2">
        <v>25238.0</v>
      </c>
      <c r="O1409" s="2">
        <v>1262.0</v>
      </c>
      <c r="P1409" s="2" t="s">
        <v>1574</v>
      </c>
      <c r="Q1409" s="2" t="s">
        <v>1568</v>
      </c>
      <c r="R1409" s="2" t="s">
        <v>1569</v>
      </c>
      <c r="S1409" s="2" t="s">
        <v>1570</v>
      </c>
      <c r="W1409" s="2" t="s">
        <v>1571</v>
      </c>
    </row>
    <row r="1410">
      <c r="A1410" s="4">
        <v>45538.57013888889</v>
      </c>
      <c r="B1410" s="5">
        <v>2599098.0</v>
      </c>
      <c r="C1410" s="2" t="s">
        <v>1575</v>
      </c>
      <c r="D1410" s="2" t="s">
        <v>1565</v>
      </c>
      <c r="E1410" s="2">
        <v>10034.0</v>
      </c>
      <c r="F1410" s="2" t="s">
        <v>1616</v>
      </c>
      <c r="I1410" s="7">
        <v>1.0</v>
      </c>
      <c r="J1410" s="6">
        <v>21905.0</v>
      </c>
      <c r="K1410" s="2">
        <v>0.0</v>
      </c>
      <c r="L1410" s="2">
        <v>21905.0</v>
      </c>
      <c r="M1410" s="2">
        <v>0.0</v>
      </c>
      <c r="N1410" s="2">
        <v>21905.0</v>
      </c>
      <c r="O1410" s="2">
        <v>1095.0</v>
      </c>
      <c r="P1410" s="2" t="s">
        <v>1574</v>
      </c>
      <c r="Q1410" s="2" t="s">
        <v>1568</v>
      </c>
      <c r="R1410" s="2" t="s">
        <v>1569</v>
      </c>
      <c r="S1410" s="2" t="s">
        <v>1570</v>
      </c>
      <c r="W1410" s="2" t="s">
        <v>1571</v>
      </c>
    </row>
    <row r="1411">
      <c r="A1411" s="4">
        <v>45538.57013888889</v>
      </c>
      <c r="B1411" s="5">
        <v>2599098.0</v>
      </c>
      <c r="C1411" s="2" t="s">
        <v>1575</v>
      </c>
      <c r="D1411" s="2" t="s">
        <v>1572</v>
      </c>
      <c r="E1411" s="2">
        <v>10125.0</v>
      </c>
      <c r="F1411" s="2" t="s">
        <v>1601</v>
      </c>
      <c r="I1411" s="7">
        <v>1.0</v>
      </c>
      <c r="J1411" s="6">
        <v>20476.0</v>
      </c>
      <c r="K1411" s="2">
        <v>0.0</v>
      </c>
      <c r="L1411" s="2">
        <v>20476.0</v>
      </c>
      <c r="M1411" s="2">
        <v>0.0</v>
      </c>
      <c r="N1411" s="2">
        <v>20476.0</v>
      </c>
      <c r="O1411" s="2">
        <v>1024.0</v>
      </c>
      <c r="P1411" s="2" t="s">
        <v>1574</v>
      </c>
      <c r="Q1411" s="2" t="s">
        <v>1568</v>
      </c>
      <c r="R1411" s="2" t="s">
        <v>1569</v>
      </c>
      <c r="S1411" s="2" t="s">
        <v>1570</v>
      </c>
      <c r="W1411" s="2" t="s">
        <v>1571</v>
      </c>
    </row>
    <row r="1412">
      <c r="A1412" s="4">
        <v>45538.54652777778</v>
      </c>
      <c r="B1412" s="5">
        <v>2598733.0</v>
      </c>
      <c r="C1412" s="2" t="s">
        <v>1575</v>
      </c>
      <c r="D1412" s="2" t="s">
        <v>1572</v>
      </c>
      <c r="E1412" s="2">
        <v>10128.0</v>
      </c>
      <c r="F1412" s="2" t="s">
        <v>1588</v>
      </c>
      <c r="I1412" s="7">
        <v>1.0</v>
      </c>
      <c r="J1412" s="6">
        <v>23333.0</v>
      </c>
      <c r="K1412" s="2">
        <v>0.0</v>
      </c>
      <c r="L1412" s="2">
        <v>23333.0</v>
      </c>
      <c r="M1412" s="2">
        <v>0.0</v>
      </c>
      <c r="N1412" s="2">
        <v>23333.0</v>
      </c>
      <c r="O1412" s="2">
        <v>1167.0</v>
      </c>
      <c r="P1412" s="2" t="s">
        <v>1574</v>
      </c>
      <c r="Q1412" s="2" t="s">
        <v>1568</v>
      </c>
      <c r="R1412" s="2" t="s">
        <v>1569</v>
      </c>
      <c r="S1412" s="2" t="s">
        <v>1570</v>
      </c>
      <c r="W1412" s="2" t="s">
        <v>1571</v>
      </c>
    </row>
    <row r="1413">
      <c r="A1413" s="4">
        <v>45538.54583333333</v>
      </c>
      <c r="B1413" s="5">
        <v>2598368.0</v>
      </c>
      <c r="C1413" s="2" t="s">
        <v>1575</v>
      </c>
      <c r="D1413" s="2" t="s">
        <v>1572</v>
      </c>
      <c r="E1413" s="2">
        <v>10128.0</v>
      </c>
      <c r="F1413" s="2" t="s">
        <v>1588</v>
      </c>
      <c r="I1413" s="7">
        <v>1.0</v>
      </c>
      <c r="J1413" s="6">
        <v>23333.0</v>
      </c>
      <c r="K1413" s="2">
        <v>0.0</v>
      </c>
      <c r="L1413" s="2">
        <v>23333.0</v>
      </c>
      <c r="M1413" s="2">
        <v>0.0</v>
      </c>
      <c r="N1413" s="2">
        <v>23333.0</v>
      </c>
      <c r="O1413" s="2">
        <v>1167.0</v>
      </c>
      <c r="P1413" s="2" t="s">
        <v>1574</v>
      </c>
      <c r="Q1413" s="2" t="s">
        <v>1568</v>
      </c>
      <c r="R1413" s="2" t="s">
        <v>1569</v>
      </c>
      <c r="S1413" s="2" t="s">
        <v>1570</v>
      </c>
      <c r="W1413" s="2" t="s">
        <v>1571</v>
      </c>
    </row>
    <row r="1414">
      <c r="A1414" s="4">
        <v>45538.54583333333</v>
      </c>
      <c r="B1414" s="5">
        <v>2598368.0</v>
      </c>
      <c r="C1414" s="2" t="s">
        <v>1575</v>
      </c>
      <c r="D1414" s="2" t="s">
        <v>1572</v>
      </c>
      <c r="E1414" s="2">
        <v>10057.0</v>
      </c>
      <c r="F1414" s="2" t="s">
        <v>1608</v>
      </c>
      <c r="I1414" s="7">
        <v>1.0</v>
      </c>
      <c r="J1414" s="6">
        <v>19524.0</v>
      </c>
      <c r="K1414" s="2">
        <v>0.0</v>
      </c>
      <c r="L1414" s="2">
        <v>19524.0</v>
      </c>
      <c r="M1414" s="2">
        <v>0.0</v>
      </c>
      <c r="N1414" s="2">
        <v>19524.0</v>
      </c>
      <c r="O1414" s="2">
        <v>976.0</v>
      </c>
      <c r="P1414" s="2" t="s">
        <v>1574</v>
      </c>
      <c r="Q1414" s="2" t="s">
        <v>1568</v>
      </c>
      <c r="R1414" s="2" t="s">
        <v>1569</v>
      </c>
      <c r="S1414" s="2" t="s">
        <v>1570</v>
      </c>
      <c r="W1414" s="2" t="s">
        <v>1571</v>
      </c>
    </row>
    <row r="1415">
      <c r="A1415" s="4">
        <v>45538.54583333333</v>
      </c>
      <c r="B1415" s="5">
        <v>2598368.0</v>
      </c>
      <c r="C1415" s="2" t="s">
        <v>1575</v>
      </c>
      <c r="D1415" s="2" t="s">
        <v>1578</v>
      </c>
      <c r="E1415" s="2">
        <v>10015.0</v>
      </c>
      <c r="F1415" s="2" t="s">
        <v>1587</v>
      </c>
      <c r="I1415" s="7">
        <v>1.0</v>
      </c>
      <c r="J1415" s="6">
        <v>25238.0</v>
      </c>
      <c r="K1415" s="2">
        <v>0.0</v>
      </c>
      <c r="L1415" s="2">
        <v>25238.0</v>
      </c>
      <c r="M1415" s="2">
        <v>0.0</v>
      </c>
      <c r="N1415" s="2">
        <v>25238.0</v>
      </c>
      <c r="O1415" s="2">
        <v>1262.0</v>
      </c>
      <c r="P1415" s="2" t="s">
        <v>1574</v>
      </c>
      <c r="Q1415" s="2" t="s">
        <v>1568</v>
      </c>
      <c r="R1415" s="2" t="s">
        <v>1569</v>
      </c>
      <c r="S1415" s="2" t="s">
        <v>1570</v>
      </c>
      <c r="W1415" s="2" t="s">
        <v>1571</v>
      </c>
    </row>
    <row r="1416">
      <c r="A1416" s="4">
        <v>45538.54583333333</v>
      </c>
      <c r="B1416" s="5">
        <v>2598368.0</v>
      </c>
      <c r="C1416" s="2" t="s">
        <v>1575</v>
      </c>
      <c r="D1416" s="2" t="s">
        <v>1580</v>
      </c>
      <c r="E1416" s="2">
        <v>10003.0</v>
      </c>
      <c r="F1416" s="2" t="s">
        <v>1603</v>
      </c>
      <c r="I1416" s="7">
        <v>1.0</v>
      </c>
      <c r="J1416" s="6">
        <v>29524.0</v>
      </c>
      <c r="K1416" s="2">
        <v>0.0</v>
      </c>
      <c r="L1416" s="2">
        <v>29524.0</v>
      </c>
      <c r="M1416" s="2">
        <v>0.0</v>
      </c>
      <c r="N1416" s="2">
        <v>29524.0</v>
      </c>
      <c r="O1416" s="2">
        <v>1476.0</v>
      </c>
      <c r="P1416" s="2" t="s">
        <v>1574</v>
      </c>
      <c r="Q1416" s="2" t="s">
        <v>1568</v>
      </c>
      <c r="R1416" s="2" t="s">
        <v>1569</v>
      </c>
      <c r="S1416" s="2" t="s">
        <v>1570</v>
      </c>
      <c r="W1416" s="2" t="s">
        <v>1571</v>
      </c>
    </row>
    <row r="1417">
      <c r="A1417" s="4">
        <v>45538.52291666667</v>
      </c>
      <c r="B1417" s="5">
        <v>2598003.0</v>
      </c>
      <c r="C1417" s="2" t="s">
        <v>1575</v>
      </c>
      <c r="D1417" s="2" t="s">
        <v>1578</v>
      </c>
      <c r="E1417" s="2">
        <v>10051.0</v>
      </c>
      <c r="F1417" s="2" t="s">
        <v>1579</v>
      </c>
      <c r="I1417" s="7">
        <v>1.0</v>
      </c>
      <c r="J1417" s="6">
        <v>25238.0</v>
      </c>
      <c r="K1417" s="2">
        <v>0.0</v>
      </c>
      <c r="L1417" s="2">
        <v>25238.0</v>
      </c>
      <c r="M1417" s="2">
        <v>0.0</v>
      </c>
      <c r="N1417" s="2">
        <v>25238.0</v>
      </c>
      <c r="O1417" s="2">
        <v>1262.0</v>
      </c>
      <c r="P1417" s="2" t="s">
        <v>1574</v>
      </c>
      <c r="Q1417" s="2" t="s">
        <v>1568</v>
      </c>
      <c r="R1417" s="2" t="s">
        <v>1569</v>
      </c>
      <c r="S1417" s="2" t="s">
        <v>1570</v>
      </c>
      <c r="W1417" s="2" t="s">
        <v>1571</v>
      </c>
    </row>
    <row r="1418">
      <c r="A1418" s="4">
        <v>45538.52291666667</v>
      </c>
      <c r="B1418" s="5">
        <v>2598003.0</v>
      </c>
      <c r="C1418" s="2" t="s">
        <v>1575</v>
      </c>
      <c r="D1418" s="2" t="s">
        <v>1572</v>
      </c>
      <c r="E1418" s="2">
        <v>10112.0</v>
      </c>
      <c r="F1418" s="2" t="s">
        <v>1573</v>
      </c>
      <c r="I1418" s="7">
        <v>1.0</v>
      </c>
      <c r="J1418" s="6">
        <v>6667.0</v>
      </c>
      <c r="K1418" s="2">
        <v>0.0</v>
      </c>
      <c r="L1418" s="2">
        <v>6667.0</v>
      </c>
      <c r="M1418" s="2">
        <v>0.0</v>
      </c>
      <c r="N1418" s="2">
        <v>6667.0</v>
      </c>
      <c r="O1418" s="2">
        <v>333.0</v>
      </c>
      <c r="P1418" s="2" t="s">
        <v>1574</v>
      </c>
      <c r="Q1418" s="2" t="s">
        <v>1568</v>
      </c>
      <c r="R1418" s="2" t="s">
        <v>1569</v>
      </c>
      <c r="S1418" s="2" t="s">
        <v>1570</v>
      </c>
      <c r="W1418" s="2" t="s">
        <v>1571</v>
      </c>
    </row>
    <row r="1419">
      <c r="A1419" s="4">
        <v>45538.50486111111</v>
      </c>
      <c r="B1419" s="5">
        <v>2597637.0</v>
      </c>
      <c r="C1419" s="2" t="s">
        <v>1575</v>
      </c>
      <c r="D1419" s="2" t="s">
        <v>1572</v>
      </c>
      <c r="E1419" s="2">
        <v>10112.0</v>
      </c>
      <c r="F1419" s="2" t="s">
        <v>1573</v>
      </c>
      <c r="I1419" s="7">
        <v>1.0</v>
      </c>
      <c r="J1419" s="6">
        <v>6667.0</v>
      </c>
      <c r="K1419" s="2">
        <v>0.0</v>
      </c>
      <c r="L1419" s="2">
        <v>6667.0</v>
      </c>
      <c r="M1419" s="2">
        <v>0.0</v>
      </c>
      <c r="N1419" s="2">
        <v>6667.0</v>
      </c>
      <c r="O1419" s="2">
        <v>333.0</v>
      </c>
      <c r="P1419" s="2" t="s">
        <v>1574</v>
      </c>
      <c r="Q1419" s="2" t="s">
        <v>1568</v>
      </c>
      <c r="R1419" s="2" t="s">
        <v>1569</v>
      </c>
      <c r="S1419" s="2" t="s">
        <v>1570</v>
      </c>
      <c r="W1419" s="2" t="s">
        <v>1571</v>
      </c>
    </row>
    <row r="1420">
      <c r="A1420" s="4">
        <v>45538.50486111111</v>
      </c>
      <c r="B1420" s="5">
        <v>2597637.0</v>
      </c>
      <c r="C1420" s="2" t="s">
        <v>1575</v>
      </c>
      <c r="D1420" s="2" t="s">
        <v>1580</v>
      </c>
      <c r="E1420" s="2">
        <v>10012.0</v>
      </c>
      <c r="F1420" s="2" t="s">
        <v>1602</v>
      </c>
      <c r="I1420" s="7">
        <v>1.0</v>
      </c>
      <c r="J1420" s="6">
        <v>29524.0</v>
      </c>
      <c r="K1420" s="2">
        <v>0.0</v>
      </c>
      <c r="L1420" s="2">
        <v>29524.0</v>
      </c>
      <c r="M1420" s="2">
        <v>0.0</v>
      </c>
      <c r="N1420" s="2">
        <v>29524.0</v>
      </c>
      <c r="O1420" s="2">
        <v>1477.0</v>
      </c>
      <c r="P1420" s="2" t="s">
        <v>1574</v>
      </c>
      <c r="Q1420" s="2" t="s">
        <v>1568</v>
      </c>
      <c r="R1420" s="2" t="s">
        <v>1569</v>
      </c>
      <c r="S1420" s="2" t="s">
        <v>1570</v>
      </c>
      <c r="W1420" s="2" t="s">
        <v>1571</v>
      </c>
    </row>
    <row r="1421">
      <c r="A1421" s="4">
        <v>45538.46666666667</v>
      </c>
      <c r="B1421" s="5">
        <v>2597272.0</v>
      </c>
      <c r="C1421" s="2" t="s">
        <v>1575</v>
      </c>
      <c r="D1421" s="2" t="s">
        <v>1565</v>
      </c>
      <c r="E1421" s="2">
        <v>10002.0</v>
      </c>
      <c r="F1421" s="2" t="s">
        <v>1576</v>
      </c>
      <c r="I1421" s="7">
        <v>1.0</v>
      </c>
      <c r="J1421" s="6">
        <v>18571.0</v>
      </c>
      <c r="K1421" s="2">
        <v>0.0</v>
      </c>
      <c r="L1421" s="2">
        <v>18571.0</v>
      </c>
      <c r="M1421" s="2">
        <v>0.0</v>
      </c>
      <c r="N1421" s="2">
        <v>18571.0</v>
      </c>
      <c r="O1421" s="2">
        <v>929.0</v>
      </c>
      <c r="P1421" s="2" t="s">
        <v>1574</v>
      </c>
      <c r="Q1421" s="2" t="s">
        <v>1568</v>
      </c>
      <c r="R1421" s="2" t="s">
        <v>1569</v>
      </c>
      <c r="S1421" s="2" t="s">
        <v>1570</v>
      </c>
      <c r="W1421" s="2" t="s">
        <v>1571</v>
      </c>
    </row>
    <row r="1422">
      <c r="A1422" s="4">
        <v>45538.46666666667</v>
      </c>
      <c r="B1422" s="5">
        <v>2597272.0</v>
      </c>
      <c r="C1422" s="2" t="s">
        <v>1575</v>
      </c>
      <c r="D1422" s="2" t="s">
        <v>1572</v>
      </c>
      <c r="E1422" s="2">
        <v>10118.0</v>
      </c>
      <c r="F1422" s="2" t="s">
        <v>1604</v>
      </c>
      <c r="I1422" s="7">
        <v>1.0</v>
      </c>
      <c r="J1422" s="6">
        <v>7143.0</v>
      </c>
      <c r="K1422" s="2">
        <v>0.0</v>
      </c>
      <c r="L1422" s="2">
        <v>7143.0</v>
      </c>
      <c r="M1422" s="2">
        <v>0.0</v>
      </c>
      <c r="N1422" s="2">
        <v>7143.0</v>
      </c>
      <c r="O1422" s="2">
        <v>357.0</v>
      </c>
      <c r="P1422" s="2" t="s">
        <v>1574</v>
      </c>
      <c r="Q1422" s="2" t="s">
        <v>1568</v>
      </c>
      <c r="R1422" s="2" t="s">
        <v>1569</v>
      </c>
      <c r="S1422" s="2" t="s">
        <v>1570</v>
      </c>
      <c r="W1422" s="2" t="s">
        <v>1571</v>
      </c>
    </row>
    <row r="1423">
      <c r="A1423" s="4">
        <v>45538.46666666667</v>
      </c>
      <c r="B1423" s="5">
        <v>2597272.0</v>
      </c>
      <c r="C1423" s="2" t="s">
        <v>1575</v>
      </c>
      <c r="D1423" s="2" t="s">
        <v>1565</v>
      </c>
      <c r="E1423" s="2">
        <v>10007.0</v>
      </c>
      <c r="F1423" s="2" t="s">
        <v>1596</v>
      </c>
      <c r="I1423" s="7">
        <v>1.0</v>
      </c>
      <c r="J1423" s="6">
        <v>33810.0</v>
      </c>
      <c r="K1423" s="2">
        <v>0.0</v>
      </c>
      <c r="L1423" s="2">
        <v>33810.0</v>
      </c>
      <c r="M1423" s="2">
        <v>0.0</v>
      </c>
      <c r="N1423" s="2">
        <v>33810.0</v>
      </c>
      <c r="O1423" s="2">
        <v>1690.0</v>
      </c>
      <c r="P1423" s="2" t="s">
        <v>1574</v>
      </c>
      <c r="Q1423" s="2" t="s">
        <v>1568</v>
      </c>
      <c r="R1423" s="2" t="s">
        <v>1569</v>
      </c>
      <c r="S1423" s="2" t="s">
        <v>1570</v>
      </c>
      <c r="W1423" s="2" t="s">
        <v>1571</v>
      </c>
    </row>
    <row r="1424">
      <c r="A1424" s="4">
        <v>45538.46666666667</v>
      </c>
      <c r="B1424" s="5">
        <v>2597272.0</v>
      </c>
      <c r="C1424" s="2" t="s">
        <v>1575</v>
      </c>
      <c r="D1424" s="2" t="s">
        <v>1565</v>
      </c>
      <c r="E1424" s="2">
        <v>10055.0</v>
      </c>
      <c r="F1424" s="2" t="s">
        <v>1597</v>
      </c>
      <c r="I1424" s="7">
        <v>1.0</v>
      </c>
      <c r="J1424" s="6">
        <v>34762.0</v>
      </c>
      <c r="K1424" s="2">
        <v>0.0</v>
      </c>
      <c r="L1424" s="2">
        <v>34762.0</v>
      </c>
      <c r="M1424" s="2">
        <v>0.0</v>
      </c>
      <c r="N1424" s="2">
        <v>34762.0</v>
      </c>
      <c r="O1424" s="2">
        <v>1738.0</v>
      </c>
      <c r="P1424" s="2" t="s">
        <v>1574</v>
      </c>
      <c r="Q1424" s="2" t="s">
        <v>1568</v>
      </c>
      <c r="R1424" s="2" t="s">
        <v>1569</v>
      </c>
      <c r="S1424" s="2" t="s">
        <v>1570</v>
      </c>
      <c r="W1424" s="2" t="s">
        <v>1571</v>
      </c>
    </row>
    <row r="1425">
      <c r="A1425" s="4">
        <v>45538.46666666667</v>
      </c>
      <c r="B1425" s="5">
        <v>2597272.0</v>
      </c>
      <c r="C1425" s="2" t="s">
        <v>1575</v>
      </c>
      <c r="D1425" s="2" t="s">
        <v>1565</v>
      </c>
      <c r="E1425" s="2">
        <v>10043.0</v>
      </c>
      <c r="F1425" s="2" t="s">
        <v>1635</v>
      </c>
      <c r="I1425" s="7">
        <v>1.0</v>
      </c>
      <c r="J1425" s="6">
        <v>9524.0</v>
      </c>
      <c r="K1425" s="2">
        <v>0.0</v>
      </c>
      <c r="L1425" s="2">
        <v>9524.0</v>
      </c>
      <c r="M1425" s="2">
        <v>0.0</v>
      </c>
      <c r="N1425" s="2">
        <v>9524.0</v>
      </c>
      <c r="O1425" s="2">
        <v>477.0</v>
      </c>
      <c r="P1425" s="2" t="s">
        <v>1574</v>
      </c>
      <c r="Q1425" s="2" t="s">
        <v>1568</v>
      </c>
      <c r="R1425" s="2" t="s">
        <v>1569</v>
      </c>
      <c r="S1425" s="2" t="s">
        <v>1570</v>
      </c>
      <c r="W1425" s="2" t="s">
        <v>1571</v>
      </c>
    </row>
    <row r="1426">
      <c r="A1426" s="4">
        <v>45538.447222222225</v>
      </c>
      <c r="B1426" s="5">
        <v>2596907.0</v>
      </c>
      <c r="C1426" s="2" t="s">
        <v>1575</v>
      </c>
      <c r="D1426" s="2" t="s">
        <v>1572</v>
      </c>
      <c r="E1426" s="2">
        <v>10056.0</v>
      </c>
      <c r="F1426" s="2" t="s">
        <v>1585</v>
      </c>
      <c r="I1426" s="7">
        <v>1.0</v>
      </c>
      <c r="J1426" s="6">
        <v>19524.0</v>
      </c>
      <c r="K1426" s="2">
        <v>0.0</v>
      </c>
      <c r="L1426" s="2">
        <v>19524.0</v>
      </c>
      <c r="M1426" s="2">
        <v>0.0</v>
      </c>
      <c r="N1426" s="2">
        <v>19524.0</v>
      </c>
      <c r="O1426" s="2">
        <v>976.0</v>
      </c>
      <c r="P1426" s="2" t="s">
        <v>1574</v>
      </c>
      <c r="Q1426" s="2" t="s">
        <v>1568</v>
      </c>
      <c r="R1426" s="2" t="s">
        <v>1569</v>
      </c>
      <c r="S1426" s="2" t="s">
        <v>1570</v>
      </c>
      <c r="W1426" s="2" t="s">
        <v>1571</v>
      </c>
    </row>
    <row r="1427">
      <c r="A1427" s="4">
        <v>45538.447222222225</v>
      </c>
      <c r="B1427" s="5">
        <v>2596907.0</v>
      </c>
      <c r="C1427" s="2" t="s">
        <v>1575</v>
      </c>
      <c r="D1427" s="2" t="s">
        <v>1572</v>
      </c>
      <c r="E1427" s="2">
        <v>10057.0</v>
      </c>
      <c r="F1427" s="2" t="s">
        <v>1608</v>
      </c>
      <c r="I1427" s="7">
        <v>1.0</v>
      </c>
      <c r="J1427" s="6">
        <v>19524.0</v>
      </c>
      <c r="K1427" s="2">
        <v>0.0</v>
      </c>
      <c r="L1427" s="2">
        <v>19524.0</v>
      </c>
      <c r="M1427" s="2">
        <v>0.0</v>
      </c>
      <c r="N1427" s="2">
        <v>19524.0</v>
      </c>
      <c r="O1427" s="2">
        <v>976.0</v>
      </c>
      <c r="P1427" s="2" t="s">
        <v>1574</v>
      </c>
      <c r="Q1427" s="2" t="s">
        <v>1568</v>
      </c>
      <c r="R1427" s="2" t="s">
        <v>1569</v>
      </c>
      <c r="S1427" s="2" t="s">
        <v>1570</v>
      </c>
      <c r="W1427" s="2" t="s">
        <v>1571</v>
      </c>
    </row>
    <row r="1428">
      <c r="A1428" s="4">
        <v>45538.447222222225</v>
      </c>
      <c r="B1428" s="5">
        <v>2596907.0</v>
      </c>
      <c r="C1428" s="2" t="s">
        <v>1575</v>
      </c>
      <c r="D1428" s="2" t="s">
        <v>1565</v>
      </c>
      <c r="E1428" s="2">
        <v>10043.0</v>
      </c>
      <c r="F1428" s="2" t="s">
        <v>1635</v>
      </c>
      <c r="I1428" s="7">
        <v>1.0</v>
      </c>
      <c r="J1428" s="6">
        <v>9524.0</v>
      </c>
      <c r="K1428" s="2">
        <v>0.0</v>
      </c>
      <c r="L1428" s="2">
        <v>9524.0</v>
      </c>
      <c r="M1428" s="2">
        <v>0.0</v>
      </c>
      <c r="N1428" s="2">
        <v>9524.0</v>
      </c>
      <c r="O1428" s="2">
        <v>477.0</v>
      </c>
      <c r="P1428" s="2" t="s">
        <v>1574</v>
      </c>
      <c r="Q1428" s="2" t="s">
        <v>1568</v>
      </c>
      <c r="R1428" s="2" t="s">
        <v>1569</v>
      </c>
      <c r="S1428" s="2" t="s">
        <v>1570</v>
      </c>
      <c r="W1428" s="2" t="s">
        <v>1571</v>
      </c>
    </row>
    <row r="1429">
      <c r="A1429" s="4">
        <v>45538.447222222225</v>
      </c>
      <c r="B1429" s="5">
        <v>2596907.0</v>
      </c>
      <c r="C1429" s="2" t="s">
        <v>1575</v>
      </c>
      <c r="D1429" s="2" t="s">
        <v>1572</v>
      </c>
      <c r="E1429" s="2">
        <v>10106.0</v>
      </c>
      <c r="F1429" s="2" t="s">
        <v>1598</v>
      </c>
      <c r="I1429" s="7">
        <v>1.0</v>
      </c>
      <c r="J1429" s="6">
        <v>26667.0</v>
      </c>
      <c r="K1429" s="2">
        <v>0.0</v>
      </c>
      <c r="L1429" s="2">
        <v>26667.0</v>
      </c>
      <c r="M1429" s="2">
        <v>0.0</v>
      </c>
      <c r="N1429" s="2">
        <v>26667.0</v>
      </c>
      <c r="O1429" s="2">
        <v>1333.0</v>
      </c>
      <c r="P1429" s="2" t="s">
        <v>1574</v>
      </c>
      <c r="Q1429" s="2" t="s">
        <v>1568</v>
      </c>
      <c r="R1429" s="2" t="s">
        <v>1569</v>
      </c>
      <c r="S1429" s="2" t="s">
        <v>1570</v>
      </c>
      <c r="W1429" s="2" t="s">
        <v>1571</v>
      </c>
    </row>
    <row r="1430">
      <c r="A1430" s="4">
        <v>45538.447222222225</v>
      </c>
      <c r="B1430" s="5">
        <v>2596907.0</v>
      </c>
      <c r="C1430" s="2" t="s">
        <v>1575</v>
      </c>
      <c r="D1430" s="2" t="s">
        <v>1565</v>
      </c>
      <c r="E1430" s="2">
        <v>10007.0</v>
      </c>
      <c r="F1430" s="2" t="s">
        <v>1596</v>
      </c>
      <c r="I1430" s="7">
        <v>1.0</v>
      </c>
      <c r="J1430" s="6">
        <v>33810.0</v>
      </c>
      <c r="K1430" s="2">
        <v>0.0</v>
      </c>
      <c r="L1430" s="2">
        <v>33810.0</v>
      </c>
      <c r="M1430" s="2">
        <v>0.0</v>
      </c>
      <c r="N1430" s="2">
        <v>33810.0</v>
      </c>
      <c r="O1430" s="2">
        <v>1690.0</v>
      </c>
      <c r="P1430" s="2" t="s">
        <v>1574</v>
      </c>
      <c r="Q1430" s="2" t="s">
        <v>1568</v>
      </c>
      <c r="R1430" s="2" t="s">
        <v>1569</v>
      </c>
      <c r="S1430" s="2" t="s">
        <v>1570</v>
      </c>
      <c r="W1430" s="2" t="s">
        <v>1571</v>
      </c>
    </row>
    <row r="1431">
      <c r="A1431" s="4">
        <v>45536.86597222222</v>
      </c>
      <c r="B1431" s="5">
        <v>2596542.0</v>
      </c>
      <c r="C1431" s="2" t="s">
        <v>1575</v>
      </c>
      <c r="D1431" s="2" t="s">
        <v>1572</v>
      </c>
      <c r="E1431" s="2">
        <v>10107.0</v>
      </c>
      <c r="F1431" s="2" t="s">
        <v>1584</v>
      </c>
      <c r="I1431" s="7">
        <v>1.0</v>
      </c>
      <c r="J1431" s="6">
        <v>26667.0</v>
      </c>
      <c r="K1431" s="2">
        <v>0.0</v>
      </c>
      <c r="L1431" s="2">
        <v>26667.0</v>
      </c>
      <c r="M1431" s="2">
        <v>0.0</v>
      </c>
      <c r="N1431" s="2">
        <v>26667.0</v>
      </c>
      <c r="O1431" s="2">
        <v>1333.0</v>
      </c>
      <c r="P1431" s="2" t="s">
        <v>1574</v>
      </c>
      <c r="Q1431" s="2" t="s">
        <v>1568</v>
      </c>
      <c r="R1431" s="2" t="s">
        <v>1569</v>
      </c>
      <c r="S1431" s="2" t="s">
        <v>1570</v>
      </c>
      <c r="W1431" s="2" t="s">
        <v>1571</v>
      </c>
    </row>
    <row r="1432">
      <c r="A1432" s="4">
        <v>45536.86597222222</v>
      </c>
      <c r="B1432" s="5">
        <v>2596542.0</v>
      </c>
      <c r="C1432" s="2" t="s">
        <v>1575</v>
      </c>
      <c r="D1432" s="2" t="s">
        <v>1572</v>
      </c>
      <c r="E1432" s="2">
        <v>10120.0</v>
      </c>
      <c r="F1432" s="2" t="s">
        <v>1590</v>
      </c>
      <c r="I1432" s="7">
        <v>1.0</v>
      </c>
      <c r="J1432" s="6">
        <v>19524.0</v>
      </c>
      <c r="K1432" s="2">
        <v>0.0</v>
      </c>
      <c r="L1432" s="2">
        <v>19524.0</v>
      </c>
      <c r="M1432" s="2">
        <v>0.0</v>
      </c>
      <c r="N1432" s="2">
        <v>19524.0</v>
      </c>
      <c r="O1432" s="2">
        <v>977.0</v>
      </c>
      <c r="P1432" s="2" t="s">
        <v>1574</v>
      </c>
      <c r="Q1432" s="2" t="s">
        <v>1568</v>
      </c>
      <c r="R1432" s="2" t="s">
        <v>1569</v>
      </c>
      <c r="S1432" s="2" t="s">
        <v>1570</v>
      </c>
      <c r="W1432" s="2" t="s">
        <v>1571</v>
      </c>
    </row>
    <row r="1433">
      <c r="A1433" s="4">
        <v>45536.86597222222</v>
      </c>
      <c r="B1433" s="5">
        <v>2596542.0</v>
      </c>
      <c r="C1433" s="2" t="s">
        <v>1575</v>
      </c>
      <c r="D1433" s="2" t="s">
        <v>1572</v>
      </c>
      <c r="E1433" s="2">
        <v>10119.0</v>
      </c>
      <c r="F1433" s="2" t="s">
        <v>1582</v>
      </c>
      <c r="I1433" s="7">
        <v>2.0</v>
      </c>
      <c r="J1433" s="6">
        <v>14286.0</v>
      </c>
      <c r="K1433" s="2">
        <v>0.0</v>
      </c>
      <c r="L1433" s="2">
        <v>14286.0</v>
      </c>
      <c r="M1433" s="2">
        <v>0.0</v>
      </c>
      <c r="N1433" s="2">
        <v>14286.0</v>
      </c>
      <c r="O1433" s="2">
        <v>714.0</v>
      </c>
      <c r="P1433" s="2" t="s">
        <v>1574</v>
      </c>
      <c r="Q1433" s="2" t="s">
        <v>1568</v>
      </c>
      <c r="R1433" s="2" t="s">
        <v>1569</v>
      </c>
      <c r="S1433" s="2" t="s">
        <v>1570</v>
      </c>
      <c r="W1433" s="2" t="s">
        <v>1571</v>
      </c>
    </row>
    <row r="1434">
      <c r="A1434" s="4">
        <v>45536.86597222222</v>
      </c>
      <c r="B1434" s="5">
        <v>2596542.0</v>
      </c>
      <c r="C1434" s="2" t="s">
        <v>1575</v>
      </c>
      <c r="D1434" s="2" t="s">
        <v>1580</v>
      </c>
      <c r="E1434" s="2">
        <v>10003.0</v>
      </c>
      <c r="F1434" s="2" t="s">
        <v>1603</v>
      </c>
      <c r="I1434" s="7">
        <v>2.0</v>
      </c>
      <c r="J1434" s="6">
        <v>59048.0</v>
      </c>
      <c r="K1434" s="2">
        <v>0.0</v>
      </c>
      <c r="L1434" s="2">
        <v>59048.0</v>
      </c>
      <c r="M1434" s="2">
        <v>0.0</v>
      </c>
      <c r="N1434" s="2">
        <v>59048.0</v>
      </c>
      <c r="O1434" s="2">
        <v>2952.0</v>
      </c>
      <c r="P1434" s="2" t="s">
        <v>1574</v>
      </c>
      <c r="Q1434" s="2" t="s">
        <v>1568</v>
      </c>
      <c r="R1434" s="2" t="s">
        <v>1569</v>
      </c>
      <c r="S1434" s="2" t="s">
        <v>1570</v>
      </c>
      <c r="W1434" s="2" t="s">
        <v>1571</v>
      </c>
    </row>
    <row r="1435">
      <c r="A1435" s="4">
        <v>45536.86597222222</v>
      </c>
      <c r="B1435" s="5">
        <v>2596542.0</v>
      </c>
      <c r="C1435" s="2" t="s">
        <v>1575</v>
      </c>
      <c r="D1435" s="2" t="s">
        <v>1572</v>
      </c>
      <c r="E1435" s="2">
        <v>10106.0</v>
      </c>
      <c r="F1435" s="2" t="s">
        <v>1598</v>
      </c>
      <c r="I1435" s="7">
        <v>2.0</v>
      </c>
      <c r="J1435" s="6">
        <v>53334.0</v>
      </c>
      <c r="K1435" s="2">
        <v>0.0</v>
      </c>
      <c r="L1435" s="2">
        <v>53334.0</v>
      </c>
      <c r="M1435" s="2">
        <v>0.0</v>
      </c>
      <c r="N1435" s="2">
        <v>53334.0</v>
      </c>
      <c r="O1435" s="2">
        <v>2667.0</v>
      </c>
      <c r="P1435" s="2" t="s">
        <v>1574</v>
      </c>
      <c r="Q1435" s="2" t="s">
        <v>1568</v>
      </c>
      <c r="R1435" s="2" t="s">
        <v>1569</v>
      </c>
      <c r="S1435" s="2" t="s">
        <v>1570</v>
      </c>
      <c r="W1435" s="2" t="s">
        <v>1571</v>
      </c>
    </row>
    <row r="1436">
      <c r="A1436" s="4">
        <v>45536.86597222222</v>
      </c>
      <c r="B1436" s="5">
        <v>2596542.0</v>
      </c>
      <c r="C1436" s="2" t="s">
        <v>1575</v>
      </c>
      <c r="D1436" s="2" t="s">
        <v>1578</v>
      </c>
      <c r="E1436" s="2">
        <v>10015.0</v>
      </c>
      <c r="F1436" s="2" t="s">
        <v>1587</v>
      </c>
      <c r="I1436" s="7">
        <v>1.0</v>
      </c>
      <c r="J1436" s="6">
        <v>25238.0</v>
      </c>
      <c r="K1436" s="2">
        <v>0.0</v>
      </c>
      <c r="L1436" s="2">
        <v>25238.0</v>
      </c>
      <c r="M1436" s="2">
        <v>0.0</v>
      </c>
      <c r="N1436" s="2">
        <v>25238.0</v>
      </c>
      <c r="O1436" s="2">
        <v>1262.0</v>
      </c>
      <c r="P1436" s="2" t="s">
        <v>1574</v>
      </c>
      <c r="Q1436" s="2" t="s">
        <v>1568</v>
      </c>
      <c r="R1436" s="2" t="s">
        <v>1569</v>
      </c>
      <c r="S1436" s="2" t="s">
        <v>1570</v>
      </c>
      <c r="W1436" s="2" t="s">
        <v>1571</v>
      </c>
    </row>
    <row r="1437">
      <c r="A1437" s="4">
        <v>45536.86597222222</v>
      </c>
      <c r="B1437" s="5">
        <v>2596542.0</v>
      </c>
      <c r="C1437" s="2" t="s">
        <v>1575</v>
      </c>
      <c r="D1437" s="2" t="s">
        <v>1565</v>
      </c>
      <c r="E1437" s="2">
        <v>10005.0</v>
      </c>
      <c r="F1437" s="2" t="s">
        <v>1595</v>
      </c>
      <c r="I1437" s="7">
        <v>1.0</v>
      </c>
      <c r="J1437" s="6">
        <v>19524.0</v>
      </c>
      <c r="K1437" s="2">
        <v>0.0</v>
      </c>
      <c r="L1437" s="2">
        <v>19524.0</v>
      </c>
      <c r="M1437" s="2">
        <v>0.0</v>
      </c>
      <c r="N1437" s="2">
        <v>19524.0</v>
      </c>
      <c r="O1437" s="2">
        <v>976.0</v>
      </c>
      <c r="P1437" s="2" t="s">
        <v>1574</v>
      </c>
      <c r="Q1437" s="2" t="s">
        <v>1568</v>
      </c>
      <c r="R1437" s="2" t="s">
        <v>1569</v>
      </c>
      <c r="S1437" s="2" t="s">
        <v>1570</v>
      </c>
      <c r="W1437" s="2" t="s">
        <v>1571</v>
      </c>
    </row>
    <row r="1438">
      <c r="A1438" s="4">
        <v>45536.86597222222</v>
      </c>
      <c r="B1438" s="5">
        <v>2596542.0</v>
      </c>
      <c r="C1438" s="2" t="s">
        <v>1575</v>
      </c>
      <c r="D1438" s="2" t="s">
        <v>1572</v>
      </c>
      <c r="E1438" s="2">
        <v>10121.0</v>
      </c>
      <c r="F1438" s="2" t="s">
        <v>1617</v>
      </c>
      <c r="I1438" s="7">
        <v>1.0</v>
      </c>
      <c r="J1438" s="6">
        <v>19524.0</v>
      </c>
      <c r="K1438" s="2">
        <v>0.0</v>
      </c>
      <c r="L1438" s="2">
        <v>19524.0</v>
      </c>
      <c r="M1438" s="2">
        <v>0.0</v>
      </c>
      <c r="N1438" s="2">
        <v>19524.0</v>
      </c>
      <c r="O1438" s="2">
        <v>976.0</v>
      </c>
      <c r="P1438" s="2" t="s">
        <v>1574</v>
      </c>
      <c r="Q1438" s="2" t="s">
        <v>1568</v>
      </c>
      <c r="R1438" s="2" t="s">
        <v>1569</v>
      </c>
      <c r="S1438" s="2" t="s">
        <v>1570</v>
      </c>
      <c r="W1438" s="2" t="s">
        <v>1571</v>
      </c>
    </row>
    <row r="1439">
      <c r="A1439" s="4">
        <v>45536.86111111111</v>
      </c>
      <c r="B1439" s="5">
        <v>2596176.0</v>
      </c>
      <c r="C1439" s="2" t="s">
        <v>1575</v>
      </c>
      <c r="D1439" s="2" t="s">
        <v>1565</v>
      </c>
      <c r="E1439" s="2">
        <v>10000.0</v>
      </c>
      <c r="F1439" s="2" t="s">
        <v>1566</v>
      </c>
      <c r="I1439" s="7">
        <v>1.0</v>
      </c>
      <c r="J1439" s="6">
        <v>29524.0</v>
      </c>
      <c r="K1439" s="2">
        <v>0.0</v>
      </c>
      <c r="L1439" s="2">
        <v>29524.0</v>
      </c>
      <c r="M1439" s="2">
        <v>0.0</v>
      </c>
      <c r="N1439" s="2">
        <v>29524.0</v>
      </c>
      <c r="O1439" s="2">
        <v>1476.0</v>
      </c>
      <c r="P1439" s="2" t="s">
        <v>1574</v>
      </c>
      <c r="Q1439" s="2" t="s">
        <v>1568</v>
      </c>
      <c r="R1439" s="2" t="s">
        <v>1569</v>
      </c>
      <c r="S1439" s="2" t="s">
        <v>1570</v>
      </c>
      <c r="W1439" s="2" t="s">
        <v>1571</v>
      </c>
    </row>
    <row r="1440">
      <c r="A1440" s="4">
        <v>45536.86111111111</v>
      </c>
      <c r="B1440" s="5">
        <v>2596176.0</v>
      </c>
      <c r="C1440" s="2" t="s">
        <v>1575</v>
      </c>
      <c r="D1440" s="2" t="s">
        <v>1565</v>
      </c>
      <c r="E1440" s="2">
        <v>10002.0</v>
      </c>
      <c r="F1440" s="2" t="s">
        <v>1576</v>
      </c>
      <c r="I1440" s="7">
        <v>1.0</v>
      </c>
      <c r="J1440" s="6">
        <v>18571.0</v>
      </c>
      <c r="K1440" s="2">
        <v>0.0</v>
      </c>
      <c r="L1440" s="2">
        <v>18571.0</v>
      </c>
      <c r="M1440" s="2">
        <v>0.0</v>
      </c>
      <c r="N1440" s="2">
        <v>18571.0</v>
      </c>
      <c r="O1440" s="2">
        <v>929.0</v>
      </c>
      <c r="P1440" s="2" t="s">
        <v>1574</v>
      </c>
      <c r="Q1440" s="2" t="s">
        <v>1568</v>
      </c>
      <c r="R1440" s="2" t="s">
        <v>1569</v>
      </c>
      <c r="S1440" s="2" t="s">
        <v>1570</v>
      </c>
      <c r="W1440" s="2" t="s">
        <v>1571</v>
      </c>
    </row>
    <row r="1441">
      <c r="A1441" s="4">
        <v>45536.86111111111</v>
      </c>
      <c r="B1441" s="5">
        <v>2596176.0</v>
      </c>
      <c r="C1441" s="2" t="s">
        <v>1575</v>
      </c>
      <c r="D1441" s="2" t="s">
        <v>1572</v>
      </c>
      <c r="E1441" s="2">
        <v>10125.0</v>
      </c>
      <c r="F1441" s="2" t="s">
        <v>1601</v>
      </c>
      <c r="I1441" s="7">
        <v>1.0</v>
      </c>
      <c r="J1441" s="6">
        <v>20476.0</v>
      </c>
      <c r="K1441" s="2">
        <v>0.0</v>
      </c>
      <c r="L1441" s="2">
        <v>20476.0</v>
      </c>
      <c r="M1441" s="2">
        <v>0.0</v>
      </c>
      <c r="N1441" s="2">
        <v>20476.0</v>
      </c>
      <c r="O1441" s="2">
        <v>1024.0</v>
      </c>
      <c r="P1441" s="2" t="s">
        <v>1574</v>
      </c>
      <c r="Q1441" s="2" t="s">
        <v>1568</v>
      </c>
      <c r="R1441" s="2" t="s">
        <v>1569</v>
      </c>
      <c r="S1441" s="2" t="s">
        <v>1570</v>
      </c>
      <c r="W1441" s="2" t="s">
        <v>1571</v>
      </c>
    </row>
    <row r="1442">
      <c r="A1442" s="4">
        <v>45536.86111111111</v>
      </c>
      <c r="B1442" s="5">
        <v>2596176.0</v>
      </c>
      <c r="C1442" s="2" t="s">
        <v>1575</v>
      </c>
      <c r="D1442" s="2" t="s">
        <v>1572</v>
      </c>
      <c r="E1442" s="2">
        <v>10117.0</v>
      </c>
      <c r="F1442" s="2" t="s">
        <v>1589</v>
      </c>
      <c r="I1442" s="7">
        <v>1.0</v>
      </c>
      <c r="J1442" s="6">
        <v>14286.0</v>
      </c>
      <c r="K1442" s="2">
        <v>0.0</v>
      </c>
      <c r="L1442" s="2">
        <v>14286.0</v>
      </c>
      <c r="M1442" s="2">
        <v>0.0</v>
      </c>
      <c r="N1442" s="2">
        <v>14286.0</v>
      </c>
      <c r="O1442" s="2">
        <v>714.0</v>
      </c>
      <c r="P1442" s="2" t="s">
        <v>1574</v>
      </c>
      <c r="Q1442" s="2" t="s">
        <v>1568</v>
      </c>
      <c r="R1442" s="2" t="s">
        <v>1569</v>
      </c>
      <c r="S1442" s="2" t="s">
        <v>1570</v>
      </c>
      <c r="W1442" s="2" t="s">
        <v>1571</v>
      </c>
    </row>
    <row r="1443">
      <c r="A1443" s="4">
        <v>45536.82847222222</v>
      </c>
      <c r="B1443" s="5">
        <v>2595811.0</v>
      </c>
      <c r="C1443" s="2" t="s">
        <v>1575</v>
      </c>
      <c r="D1443" s="2" t="s">
        <v>1565</v>
      </c>
      <c r="E1443" s="2">
        <v>10000.0</v>
      </c>
      <c r="F1443" s="2" t="s">
        <v>1566</v>
      </c>
      <c r="I1443" s="7">
        <v>1.0</v>
      </c>
      <c r="J1443" s="6">
        <v>29524.0</v>
      </c>
      <c r="K1443" s="2">
        <v>0.0</v>
      </c>
      <c r="L1443" s="2">
        <v>29524.0</v>
      </c>
      <c r="M1443" s="2">
        <v>0.0</v>
      </c>
      <c r="N1443" s="2">
        <v>29524.0</v>
      </c>
      <c r="O1443" s="2">
        <v>1476.0</v>
      </c>
      <c r="P1443" s="2" t="s">
        <v>1574</v>
      </c>
      <c r="Q1443" s="2" t="s">
        <v>1568</v>
      </c>
      <c r="R1443" s="2" t="s">
        <v>1569</v>
      </c>
      <c r="S1443" s="2" t="s">
        <v>1570</v>
      </c>
      <c r="W1443" s="2" t="s">
        <v>1571</v>
      </c>
    </row>
    <row r="1444">
      <c r="A1444" s="4">
        <v>45536.82847222222</v>
      </c>
      <c r="B1444" s="5">
        <v>2595811.0</v>
      </c>
      <c r="C1444" s="2" t="s">
        <v>1575</v>
      </c>
      <c r="D1444" s="2" t="s">
        <v>1572</v>
      </c>
      <c r="E1444" s="2">
        <v>10128.0</v>
      </c>
      <c r="F1444" s="2" t="s">
        <v>1588</v>
      </c>
      <c r="I1444" s="7">
        <v>1.0</v>
      </c>
      <c r="J1444" s="6">
        <v>23333.0</v>
      </c>
      <c r="K1444" s="2">
        <v>0.0</v>
      </c>
      <c r="L1444" s="2">
        <v>23333.0</v>
      </c>
      <c r="M1444" s="2">
        <v>0.0</v>
      </c>
      <c r="N1444" s="2">
        <v>23333.0</v>
      </c>
      <c r="O1444" s="2">
        <v>1167.0</v>
      </c>
      <c r="P1444" s="2" t="s">
        <v>1574</v>
      </c>
      <c r="Q1444" s="2" t="s">
        <v>1568</v>
      </c>
      <c r="R1444" s="2" t="s">
        <v>1569</v>
      </c>
      <c r="S1444" s="2" t="s">
        <v>1570</v>
      </c>
      <c r="W1444" s="2" t="s">
        <v>1571</v>
      </c>
    </row>
    <row r="1445">
      <c r="A1445" s="4">
        <v>45536.79722222222</v>
      </c>
      <c r="B1445" s="5">
        <v>2595446.0</v>
      </c>
      <c r="C1445" s="2" t="s">
        <v>1575</v>
      </c>
      <c r="D1445" s="2" t="s">
        <v>1578</v>
      </c>
      <c r="E1445" s="2">
        <v>10004.0</v>
      </c>
      <c r="F1445" s="2" t="s">
        <v>1607</v>
      </c>
      <c r="I1445" s="7">
        <v>1.0</v>
      </c>
      <c r="J1445" s="6">
        <v>25238.0</v>
      </c>
      <c r="K1445" s="2">
        <v>0.0</v>
      </c>
      <c r="L1445" s="2">
        <v>25238.0</v>
      </c>
      <c r="M1445" s="2">
        <v>0.0</v>
      </c>
      <c r="N1445" s="2">
        <v>25238.0</v>
      </c>
      <c r="O1445" s="2">
        <v>1262.0</v>
      </c>
      <c r="P1445" s="2" t="s">
        <v>1574</v>
      </c>
      <c r="Q1445" s="2" t="s">
        <v>1568</v>
      </c>
      <c r="R1445" s="2" t="s">
        <v>1569</v>
      </c>
      <c r="S1445" s="2" t="s">
        <v>1570</v>
      </c>
      <c r="W1445" s="2" t="s">
        <v>1571</v>
      </c>
    </row>
    <row r="1446">
      <c r="A1446" s="4">
        <v>45536.78958333333</v>
      </c>
      <c r="B1446" s="5">
        <v>2595081.0</v>
      </c>
      <c r="C1446" s="2" t="s">
        <v>1575</v>
      </c>
      <c r="D1446" s="2" t="s">
        <v>1572</v>
      </c>
      <c r="E1446" s="2">
        <v>10128.0</v>
      </c>
      <c r="F1446" s="2" t="s">
        <v>1588</v>
      </c>
      <c r="I1446" s="7">
        <v>1.0</v>
      </c>
      <c r="J1446" s="6">
        <v>23333.0</v>
      </c>
      <c r="K1446" s="2">
        <v>0.0</v>
      </c>
      <c r="L1446" s="2">
        <v>23333.0</v>
      </c>
      <c r="M1446" s="2">
        <v>0.0</v>
      </c>
      <c r="N1446" s="2">
        <v>23333.0</v>
      </c>
      <c r="O1446" s="2">
        <v>1167.0</v>
      </c>
      <c r="P1446" s="2" t="s">
        <v>1574</v>
      </c>
      <c r="Q1446" s="2" t="s">
        <v>1568</v>
      </c>
      <c r="R1446" s="2" t="s">
        <v>1569</v>
      </c>
      <c r="S1446" s="2" t="s">
        <v>1570</v>
      </c>
      <c r="W1446" s="2" t="s">
        <v>1571</v>
      </c>
    </row>
    <row r="1447">
      <c r="A1447" s="4">
        <v>45536.77777777778</v>
      </c>
      <c r="B1447" s="5">
        <v>2594715.0</v>
      </c>
      <c r="C1447" s="2" t="s">
        <v>1575</v>
      </c>
      <c r="D1447" s="2" t="s">
        <v>1572</v>
      </c>
      <c r="E1447" s="2">
        <v>10127.0</v>
      </c>
      <c r="F1447" s="2" t="s">
        <v>1592</v>
      </c>
      <c r="I1447" s="7">
        <v>1.0</v>
      </c>
      <c r="J1447" s="6">
        <v>18571.0</v>
      </c>
      <c r="K1447" s="2">
        <v>0.0</v>
      </c>
      <c r="L1447" s="2">
        <v>18571.0</v>
      </c>
      <c r="M1447" s="2">
        <v>0.0</v>
      </c>
      <c r="N1447" s="2">
        <v>18571.0</v>
      </c>
      <c r="O1447" s="2">
        <v>929.0</v>
      </c>
      <c r="P1447" s="2" t="s">
        <v>1574</v>
      </c>
      <c r="Q1447" s="2" t="s">
        <v>1568</v>
      </c>
      <c r="R1447" s="2" t="s">
        <v>1569</v>
      </c>
      <c r="S1447" s="2" t="s">
        <v>1570</v>
      </c>
      <c r="W1447" s="2" t="s">
        <v>1571</v>
      </c>
    </row>
    <row r="1448">
      <c r="A1448" s="4">
        <v>45536.77569444444</v>
      </c>
      <c r="B1448" s="5">
        <v>2594350.0</v>
      </c>
      <c r="C1448" s="2" t="s">
        <v>1575</v>
      </c>
      <c r="D1448" s="2" t="s">
        <v>1572</v>
      </c>
      <c r="E1448" s="2">
        <v>10013.0</v>
      </c>
      <c r="F1448" s="2" t="s">
        <v>1591</v>
      </c>
      <c r="I1448" s="7">
        <v>1.0</v>
      </c>
      <c r="J1448" s="6">
        <v>23333.0</v>
      </c>
      <c r="K1448" s="2">
        <v>0.0</v>
      </c>
      <c r="L1448" s="2">
        <v>23333.0</v>
      </c>
      <c r="M1448" s="2">
        <v>0.0</v>
      </c>
      <c r="N1448" s="2">
        <v>23333.0</v>
      </c>
      <c r="O1448" s="2">
        <v>1167.0</v>
      </c>
      <c r="P1448" s="2" t="s">
        <v>1574</v>
      </c>
      <c r="Q1448" s="2" t="s">
        <v>1568</v>
      </c>
      <c r="R1448" s="2" t="s">
        <v>1569</v>
      </c>
      <c r="S1448" s="2" t="s">
        <v>1570</v>
      </c>
      <c r="W1448" s="2" t="s">
        <v>1571</v>
      </c>
    </row>
    <row r="1449">
      <c r="A1449" s="4">
        <v>45536.77569444444</v>
      </c>
      <c r="B1449" s="5">
        <v>2594350.0</v>
      </c>
      <c r="C1449" s="2" t="s">
        <v>1575</v>
      </c>
      <c r="D1449" s="2" t="s">
        <v>1578</v>
      </c>
      <c r="E1449" s="2">
        <v>10014.0</v>
      </c>
      <c r="F1449" s="2" t="s">
        <v>1609</v>
      </c>
      <c r="I1449" s="7">
        <v>1.0</v>
      </c>
      <c r="J1449" s="6">
        <v>25238.0</v>
      </c>
      <c r="K1449" s="2">
        <v>0.0</v>
      </c>
      <c r="L1449" s="2">
        <v>25238.0</v>
      </c>
      <c r="M1449" s="2">
        <v>0.0</v>
      </c>
      <c r="N1449" s="2">
        <v>25238.0</v>
      </c>
      <c r="O1449" s="2">
        <v>1262.0</v>
      </c>
      <c r="P1449" s="2" t="s">
        <v>1574</v>
      </c>
      <c r="Q1449" s="2" t="s">
        <v>1568</v>
      </c>
      <c r="R1449" s="2" t="s">
        <v>1569</v>
      </c>
      <c r="S1449" s="2" t="s">
        <v>1570</v>
      </c>
      <c r="W1449" s="2" t="s">
        <v>1571</v>
      </c>
    </row>
    <row r="1450">
      <c r="A1450" s="4">
        <v>45536.74722222222</v>
      </c>
      <c r="B1450" s="5">
        <v>2593985.0</v>
      </c>
      <c r="C1450" s="2" t="s">
        <v>1575</v>
      </c>
      <c r="D1450" s="2" t="s">
        <v>1565</v>
      </c>
      <c r="E1450" s="2">
        <v>10005.0</v>
      </c>
      <c r="F1450" s="2" t="s">
        <v>1595</v>
      </c>
      <c r="I1450" s="7">
        <v>1.0</v>
      </c>
      <c r="J1450" s="6">
        <v>19524.0</v>
      </c>
      <c r="K1450" s="2">
        <v>0.0</v>
      </c>
      <c r="L1450" s="2">
        <v>19524.0</v>
      </c>
      <c r="M1450" s="2">
        <v>0.0</v>
      </c>
      <c r="N1450" s="2">
        <v>19524.0</v>
      </c>
      <c r="O1450" s="2">
        <v>976.0</v>
      </c>
      <c r="P1450" s="2" t="s">
        <v>1574</v>
      </c>
      <c r="Q1450" s="2" t="s">
        <v>1568</v>
      </c>
      <c r="R1450" s="2" t="s">
        <v>1569</v>
      </c>
      <c r="S1450" s="2" t="s">
        <v>1570</v>
      </c>
      <c r="W1450" s="2" t="s">
        <v>1571</v>
      </c>
    </row>
    <row r="1451">
      <c r="A1451" s="4">
        <v>45536.74722222222</v>
      </c>
      <c r="B1451" s="5">
        <v>2593985.0</v>
      </c>
      <c r="C1451" s="2" t="s">
        <v>1575</v>
      </c>
      <c r="D1451" s="2" t="s">
        <v>1565</v>
      </c>
      <c r="E1451" s="2">
        <v>10002.0</v>
      </c>
      <c r="F1451" s="2" t="s">
        <v>1576</v>
      </c>
      <c r="I1451" s="7">
        <v>1.0</v>
      </c>
      <c r="J1451" s="6">
        <v>18571.0</v>
      </c>
      <c r="K1451" s="2">
        <v>0.0</v>
      </c>
      <c r="L1451" s="2">
        <v>18571.0</v>
      </c>
      <c r="M1451" s="2">
        <v>0.0</v>
      </c>
      <c r="N1451" s="2">
        <v>18571.0</v>
      </c>
      <c r="O1451" s="2">
        <v>929.0</v>
      </c>
      <c r="P1451" s="2" t="s">
        <v>1574</v>
      </c>
      <c r="Q1451" s="2" t="s">
        <v>1568</v>
      </c>
      <c r="R1451" s="2" t="s">
        <v>1569</v>
      </c>
      <c r="S1451" s="2" t="s">
        <v>1570</v>
      </c>
      <c r="W1451" s="2" t="s">
        <v>1571</v>
      </c>
    </row>
    <row r="1452">
      <c r="A1452" s="4">
        <v>45536.73263888889</v>
      </c>
      <c r="B1452" s="5">
        <v>2593620.0</v>
      </c>
      <c r="C1452" s="2" t="s">
        <v>1575</v>
      </c>
      <c r="D1452" s="2" t="s">
        <v>1578</v>
      </c>
      <c r="E1452" s="2">
        <v>10004.0</v>
      </c>
      <c r="F1452" s="2" t="s">
        <v>1607</v>
      </c>
      <c r="I1452" s="7">
        <v>2.0</v>
      </c>
      <c r="J1452" s="6">
        <v>50476.0</v>
      </c>
      <c r="K1452" s="2">
        <v>0.0</v>
      </c>
      <c r="L1452" s="2">
        <v>50476.0</v>
      </c>
      <c r="M1452" s="2">
        <v>0.0</v>
      </c>
      <c r="N1452" s="2">
        <v>50476.0</v>
      </c>
      <c r="O1452" s="2">
        <v>2524.0</v>
      </c>
      <c r="P1452" s="2" t="s">
        <v>1574</v>
      </c>
      <c r="Q1452" s="2" t="s">
        <v>1568</v>
      </c>
      <c r="R1452" s="2" t="s">
        <v>1569</v>
      </c>
      <c r="S1452" s="2" t="s">
        <v>1570</v>
      </c>
      <c r="W1452" s="2" t="s">
        <v>1571</v>
      </c>
    </row>
    <row r="1453">
      <c r="A1453" s="4">
        <v>45536.73263888889</v>
      </c>
      <c r="B1453" s="5">
        <v>2593620.0</v>
      </c>
      <c r="C1453" s="2" t="s">
        <v>1575</v>
      </c>
      <c r="D1453" s="2" t="s">
        <v>1578</v>
      </c>
      <c r="E1453" s="2">
        <v>10014.0</v>
      </c>
      <c r="F1453" s="2" t="s">
        <v>1609</v>
      </c>
      <c r="I1453" s="7">
        <v>2.0</v>
      </c>
      <c r="J1453" s="6">
        <v>50476.0</v>
      </c>
      <c r="K1453" s="2">
        <v>0.0</v>
      </c>
      <c r="L1453" s="2">
        <v>50476.0</v>
      </c>
      <c r="M1453" s="2">
        <v>0.0</v>
      </c>
      <c r="N1453" s="2">
        <v>50476.0</v>
      </c>
      <c r="O1453" s="2">
        <v>2524.0</v>
      </c>
      <c r="P1453" s="2" t="s">
        <v>1574</v>
      </c>
      <c r="Q1453" s="2" t="s">
        <v>1568</v>
      </c>
      <c r="R1453" s="2" t="s">
        <v>1569</v>
      </c>
      <c r="S1453" s="2" t="s">
        <v>1570</v>
      </c>
      <c r="W1453" s="2" t="s">
        <v>1571</v>
      </c>
    </row>
    <row r="1454">
      <c r="A1454" s="4">
        <v>45536.73263888889</v>
      </c>
      <c r="B1454" s="5">
        <v>2593620.0</v>
      </c>
      <c r="C1454" s="2" t="s">
        <v>1575</v>
      </c>
      <c r="D1454" s="2" t="s">
        <v>1578</v>
      </c>
      <c r="E1454" s="2">
        <v>10010.0</v>
      </c>
      <c r="F1454" s="2" t="s">
        <v>1606</v>
      </c>
      <c r="I1454" s="7">
        <v>1.0</v>
      </c>
      <c r="J1454" s="6">
        <v>25238.0</v>
      </c>
      <c r="K1454" s="2">
        <v>0.0</v>
      </c>
      <c r="L1454" s="2">
        <v>25238.0</v>
      </c>
      <c r="M1454" s="2">
        <v>0.0</v>
      </c>
      <c r="N1454" s="2">
        <v>25238.0</v>
      </c>
      <c r="O1454" s="2">
        <v>1262.0</v>
      </c>
      <c r="P1454" s="2" t="s">
        <v>1574</v>
      </c>
      <c r="Q1454" s="2" t="s">
        <v>1568</v>
      </c>
      <c r="R1454" s="2" t="s">
        <v>1569</v>
      </c>
      <c r="S1454" s="2" t="s">
        <v>1570</v>
      </c>
      <c r="W1454" s="2" t="s">
        <v>1571</v>
      </c>
    </row>
    <row r="1455">
      <c r="A1455" s="4">
        <v>45536.69027777778</v>
      </c>
      <c r="B1455" s="5">
        <v>2593255.0</v>
      </c>
      <c r="C1455" s="2" t="s">
        <v>1575</v>
      </c>
      <c r="D1455" s="2" t="s">
        <v>1572</v>
      </c>
      <c r="E1455" s="2">
        <v>10128.0</v>
      </c>
      <c r="F1455" s="2" t="s">
        <v>1588</v>
      </c>
      <c r="I1455" s="7">
        <v>1.0</v>
      </c>
      <c r="J1455" s="6">
        <v>23333.0</v>
      </c>
      <c r="K1455" s="2">
        <v>0.0</v>
      </c>
      <c r="L1455" s="2">
        <v>23333.0</v>
      </c>
      <c r="M1455" s="2">
        <v>0.0</v>
      </c>
      <c r="N1455" s="2">
        <v>23333.0</v>
      </c>
      <c r="O1455" s="2">
        <v>1167.0</v>
      </c>
      <c r="P1455" s="2" t="s">
        <v>1574</v>
      </c>
      <c r="Q1455" s="2" t="s">
        <v>1568</v>
      </c>
      <c r="R1455" s="2" t="s">
        <v>1569</v>
      </c>
      <c r="S1455" s="2" t="s">
        <v>1570</v>
      </c>
      <c r="W1455" s="2" t="s">
        <v>1571</v>
      </c>
    </row>
    <row r="1456">
      <c r="A1456" s="4">
        <v>45536.69027777778</v>
      </c>
      <c r="B1456" s="5">
        <v>2593255.0</v>
      </c>
      <c r="C1456" s="2" t="s">
        <v>1575</v>
      </c>
      <c r="D1456" s="2" t="s">
        <v>1572</v>
      </c>
      <c r="E1456" s="2">
        <v>10063.0</v>
      </c>
      <c r="F1456" s="2" t="s">
        <v>1594</v>
      </c>
      <c r="I1456" s="7">
        <v>1.0</v>
      </c>
      <c r="J1456" s="6">
        <v>24762.0</v>
      </c>
      <c r="K1456" s="2">
        <v>0.0</v>
      </c>
      <c r="L1456" s="2">
        <v>24762.0</v>
      </c>
      <c r="M1456" s="2">
        <v>0.0</v>
      </c>
      <c r="N1456" s="2">
        <v>24762.0</v>
      </c>
      <c r="O1456" s="2">
        <v>1238.0</v>
      </c>
      <c r="P1456" s="2" t="s">
        <v>1574</v>
      </c>
      <c r="Q1456" s="2" t="s">
        <v>1568</v>
      </c>
      <c r="R1456" s="2" t="s">
        <v>1569</v>
      </c>
      <c r="S1456" s="2" t="s">
        <v>1570</v>
      </c>
      <c r="W1456" s="2" t="s">
        <v>1571</v>
      </c>
    </row>
    <row r="1457">
      <c r="A1457" s="4">
        <v>45536.677083333336</v>
      </c>
      <c r="B1457" s="5">
        <v>2592890.0</v>
      </c>
      <c r="C1457" s="2" t="s">
        <v>1575</v>
      </c>
      <c r="D1457" s="2" t="s">
        <v>1572</v>
      </c>
      <c r="E1457" s="2">
        <v>10128.0</v>
      </c>
      <c r="F1457" s="2" t="s">
        <v>1588</v>
      </c>
      <c r="I1457" s="7">
        <v>1.0</v>
      </c>
      <c r="J1457" s="6">
        <v>23333.0</v>
      </c>
      <c r="K1457" s="2">
        <v>0.0</v>
      </c>
      <c r="L1457" s="2">
        <v>23333.0</v>
      </c>
      <c r="M1457" s="2">
        <v>0.0</v>
      </c>
      <c r="N1457" s="2">
        <v>23333.0</v>
      </c>
      <c r="O1457" s="2">
        <v>1167.0</v>
      </c>
      <c r="P1457" s="2" t="s">
        <v>1574</v>
      </c>
      <c r="Q1457" s="2" t="s">
        <v>1568</v>
      </c>
      <c r="R1457" s="2" t="s">
        <v>1569</v>
      </c>
      <c r="S1457" s="2" t="s">
        <v>1570</v>
      </c>
      <c r="W1457" s="2" t="s">
        <v>1571</v>
      </c>
    </row>
    <row r="1458">
      <c r="A1458" s="4">
        <v>45536.66458333333</v>
      </c>
      <c r="B1458" s="5">
        <v>2592525.0</v>
      </c>
      <c r="C1458" s="2" t="s">
        <v>1575</v>
      </c>
      <c r="D1458" s="2" t="s">
        <v>1565</v>
      </c>
      <c r="E1458" s="2">
        <v>10002.0</v>
      </c>
      <c r="F1458" s="2" t="s">
        <v>1576</v>
      </c>
      <c r="I1458" s="7">
        <v>1.0</v>
      </c>
      <c r="J1458" s="6">
        <v>18571.0</v>
      </c>
      <c r="K1458" s="2">
        <v>0.0</v>
      </c>
      <c r="L1458" s="2">
        <v>18571.0</v>
      </c>
      <c r="M1458" s="2">
        <v>0.0</v>
      </c>
      <c r="N1458" s="2">
        <v>18571.0</v>
      </c>
      <c r="O1458" s="2">
        <v>929.0</v>
      </c>
      <c r="P1458" s="2" t="s">
        <v>1574</v>
      </c>
      <c r="Q1458" s="2" t="s">
        <v>1568</v>
      </c>
      <c r="R1458" s="2" t="s">
        <v>1569</v>
      </c>
      <c r="S1458" s="2" t="s">
        <v>1570</v>
      </c>
      <c r="W1458" s="2" t="s">
        <v>1571</v>
      </c>
    </row>
    <row r="1459">
      <c r="A1459" s="4">
        <v>45536.66458333333</v>
      </c>
      <c r="B1459" s="5">
        <v>2592525.0</v>
      </c>
      <c r="C1459" s="2" t="s">
        <v>1575</v>
      </c>
      <c r="D1459" s="2" t="s">
        <v>1572</v>
      </c>
      <c r="E1459" s="2">
        <v>10118.0</v>
      </c>
      <c r="F1459" s="2" t="s">
        <v>1604</v>
      </c>
      <c r="I1459" s="7">
        <v>1.0</v>
      </c>
      <c r="J1459" s="6">
        <v>7143.0</v>
      </c>
      <c r="K1459" s="2">
        <v>0.0</v>
      </c>
      <c r="L1459" s="2">
        <v>7143.0</v>
      </c>
      <c r="M1459" s="2">
        <v>0.0</v>
      </c>
      <c r="N1459" s="2">
        <v>7143.0</v>
      </c>
      <c r="O1459" s="2">
        <v>357.0</v>
      </c>
      <c r="P1459" s="2" t="s">
        <v>1574</v>
      </c>
      <c r="Q1459" s="2" t="s">
        <v>1568</v>
      </c>
      <c r="R1459" s="2" t="s">
        <v>1569</v>
      </c>
      <c r="S1459" s="2" t="s">
        <v>1570</v>
      </c>
      <c r="W1459" s="2" t="s">
        <v>1571</v>
      </c>
    </row>
    <row r="1460">
      <c r="A1460" s="4">
        <v>45536.66111111111</v>
      </c>
      <c r="B1460" s="5">
        <v>2592160.0</v>
      </c>
      <c r="C1460" s="2" t="s">
        <v>1575</v>
      </c>
      <c r="D1460" s="2" t="s">
        <v>1572</v>
      </c>
      <c r="E1460" s="2">
        <v>10128.0</v>
      </c>
      <c r="F1460" s="2" t="s">
        <v>1588</v>
      </c>
      <c r="I1460" s="7">
        <v>1.0</v>
      </c>
      <c r="J1460" s="6">
        <v>23333.0</v>
      </c>
      <c r="K1460" s="2">
        <v>0.0</v>
      </c>
      <c r="L1460" s="2">
        <v>23333.0</v>
      </c>
      <c r="M1460" s="2">
        <v>0.0</v>
      </c>
      <c r="N1460" s="2">
        <v>23333.0</v>
      </c>
      <c r="O1460" s="2">
        <v>1167.0</v>
      </c>
      <c r="P1460" s="2" t="s">
        <v>1574</v>
      </c>
      <c r="Q1460" s="2" t="s">
        <v>1568</v>
      </c>
      <c r="R1460" s="2" t="s">
        <v>1569</v>
      </c>
      <c r="S1460" s="2" t="s">
        <v>1570</v>
      </c>
      <c r="W1460" s="2" t="s">
        <v>1571</v>
      </c>
    </row>
    <row r="1461">
      <c r="A1461" s="4">
        <v>45536.66111111111</v>
      </c>
      <c r="B1461" s="5">
        <v>2592160.0</v>
      </c>
      <c r="C1461" s="2" t="s">
        <v>1575</v>
      </c>
      <c r="D1461" s="2" t="s">
        <v>1580</v>
      </c>
      <c r="E1461" s="2">
        <v>10104.0</v>
      </c>
      <c r="F1461" s="2" t="s">
        <v>1581</v>
      </c>
      <c r="I1461" s="7">
        <v>1.0</v>
      </c>
      <c r="J1461" s="6">
        <v>34762.0</v>
      </c>
      <c r="K1461" s="2">
        <v>0.0</v>
      </c>
      <c r="L1461" s="2">
        <v>34762.0</v>
      </c>
      <c r="M1461" s="2">
        <v>0.0</v>
      </c>
      <c r="N1461" s="2">
        <v>34762.0</v>
      </c>
      <c r="O1461" s="2">
        <v>1738.0</v>
      </c>
      <c r="P1461" s="2" t="s">
        <v>1574</v>
      </c>
      <c r="Q1461" s="2" t="s">
        <v>1568</v>
      </c>
      <c r="R1461" s="2" t="s">
        <v>1569</v>
      </c>
      <c r="S1461" s="2" t="s">
        <v>1570</v>
      </c>
      <c r="W1461" s="2" t="s">
        <v>1571</v>
      </c>
    </row>
    <row r="1462">
      <c r="A1462" s="4">
        <v>45536.66111111111</v>
      </c>
      <c r="B1462" s="5">
        <v>2592160.0</v>
      </c>
      <c r="C1462" s="2" t="s">
        <v>1575</v>
      </c>
      <c r="D1462" s="2" t="s">
        <v>1565</v>
      </c>
      <c r="E1462" s="2">
        <v>10002.0</v>
      </c>
      <c r="F1462" s="2" t="s">
        <v>1576</v>
      </c>
      <c r="I1462" s="7">
        <v>1.0</v>
      </c>
      <c r="J1462" s="6">
        <v>18571.0</v>
      </c>
      <c r="K1462" s="2">
        <v>0.0</v>
      </c>
      <c r="L1462" s="2">
        <v>18571.0</v>
      </c>
      <c r="M1462" s="2">
        <v>0.0</v>
      </c>
      <c r="N1462" s="2">
        <v>18571.0</v>
      </c>
      <c r="O1462" s="2">
        <v>928.0</v>
      </c>
      <c r="P1462" s="2" t="s">
        <v>1574</v>
      </c>
      <c r="Q1462" s="2" t="s">
        <v>1568</v>
      </c>
      <c r="R1462" s="2" t="s">
        <v>1569</v>
      </c>
      <c r="S1462" s="2" t="s">
        <v>1570</v>
      </c>
      <c r="W1462" s="2" t="s">
        <v>1571</v>
      </c>
    </row>
    <row r="1463">
      <c r="A1463" s="4">
        <v>45536.66111111111</v>
      </c>
      <c r="B1463" s="5">
        <v>2592160.0</v>
      </c>
      <c r="C1463" s="2" t="s">
        <v>1575</v>
      </c>
      <c r="D1463" s="2" t="s">
        <v>1578</v>
      </c>
      <c r="E1463" s="2">
        <v>10004.0</v>
      </c>
      <c r="F1463" s="2" t="s">
        <v>1607</v>
      </c>
      <c r="I1463" s="7">
        <v>1.0</v>
      </c>
      <c r="J1463" s="6">
        <v>25238.0</v>
      </c>
      <c r="K1463" s="2">
        <v>0.0</v>
      </c>
      <c r="L1463" s="2">
        <v>25238.0</v>
      </c>
      <c r="M1463" s="2">
        <v>0.0</v>
      </c>
      <c r="N1463" s="2">
        <v>25238.0</v>
      </c>
      <c r="O1463" s="2">
        <v>1262.0</v>
      </c>
      <c r="P1463" s="2" t="s">
        <v>1574</v>
      </c>
      <c r="Q1463" s="2" t="s">
        <v>1568</v>
      </c>
      <c r="R1463" s="2" t="s">
        <v>1569</v>
      </c>
      <c r="S1463" s="2" t="s">
        <v>1570</v>
      </c>
      <c r="W1463" s="2" t="s">
        <v>1571</v>
      </c>
    </row>
    <row r="1464">
      <c r="A1464" s="4">
        <v>45536.65347222222</v>
      </c>
      <c r="B1464" s="5">
        <v>2591794.0</v>
      </c>
      <c r="C1464" s="2" t="s">
        <v>1575</v>
      </c>
      <c r="D1464" s="2" t="s">
        <v>1572</v>
      </c>
      <c r="E1464" s="2">
        <v>10121.0</v>
      </c>
      <c r="F1464" s="2" t="s">
        <v>1617</v>
      </c>
      <c r="I1464" s="7">
        <v>1.0</v>
      </c>
      <c r="J1464" s="6">
        <v>19524.0</v>
      </c>
      <c r="K1464" s="2">
        <v>0.0</v>
      </c>
      <c r="L1464" s="2">
        <v>19524.0</v>
      </c>
      <c r="M1464" s="2">
        <v>0.0</v>
      </c>
      <c r="N1464" s="2">
        <v>19524.0</v>
      </c>
      <c r="O1464" s="2">
        <v>976.0</v>
      </c>
      <c r="P1464" s="2" t="s">
        <v>1574</v>
      </c>
      <c r="Q1464" s="2" t="s">
        <v>1568</v>
      </c>
      <c r="R1464" s="2" t="s">
        <v>1569</v>
      </c>
      <c r="S1464" s="2" t="s">
        <v>1570</v>
      </c>
      <c r="W1464" s="2" t="s">
        <v>1571</v>
      </c>
    </row>
    <row r="1465">
      <c r="A1465" s="4">
        <v>45536.643055555556</v>
      </c>
      <c r="B1465" s="5">
        <v>2591429.0</v>
      </c>
      <c r="C1465" s="2" t="s">
        <v>1575</v>
      </c>
      <c r="D1465" s="2" t="s">
        <v>1572</v>
      </c>
      <c r="E1465" s="2">
        <v>10128.0</v>
      </c>
      <c r="F1465" s="2" t="s">
        <v>1588</v>
      </c>
      <c r="I1465" s="7">
        <v>1.0</v>
      </c>
      <c r="J1465" s="6">
        <v>23333.0</v>
      </c>
      <c r="K1465" s="2">
        <v>0.0</v>
      </c>
      <c r="L1465" s="2">
        <v>23333.0</v>
      </c>
      <c r="M1465" s="2">
        <v>0.0</v>
      </c>
      <c r="N1465" s="2">
        <v>23333.0</v>
      </c>
      <c r="O1465" s="2">
        <v>1167.0</v>
      </c>
      <c r="P1465" s="2" t="s">
        <v>1574</v>
      </c>
      <c r="Q1465" s="2" t="s">
        <v>1568</v>
      </c>
      <c r="R1465" s="2" t="s">
        <v>1569</v>
      </c>
      <c r="S1465" s="2" t="s">
        <v>1570</v>
      </c>
      <c r="W1465" s="2" t="s">
        <v>1571</v>
      </c>
    </row>
    <row r="1466">
      <c r="A1466" s="4">
        <v>45536.643055555556</v>
      </c>
      <c r="B1466" s="5">
        <v>2591429.0</v>
      </c>
      <c r="C1466" s="2" t="s">
        <v>1575</v>
      </c>
      <c r="D1466" s="2" t="s">
        <v>1565</v>
      </c>
      <c r="E1466" s="2">
        <v>10007.0</v>
      </c>
      <c r="F1466" s="2" t="s">
        <v>1596</v>
      </c>
      <c r="I1466" s="7">
        <v>1.0</v>
      </c>
      <c r="J1466" s="6">
        <v>33810.0</v>
      </c>
      <c r="K1466" s="2">
        <v>0.0</v>
      </c>
      <c r="L1466" s="2">
        <v>33810.0</v>
      </c>
      <c r="M1466" s="2">
        <v>0.0</v>
      </c>
      <c r="N1466" s="2">
        <v>33810.0</v>
      </c>
      <c r="O1466" s="2">
        <v>1690.0</v>
      </c>
      <c r="P1466" s="2" t="s">
        <v>1574</v>
      </c>
      <c r="Q1466" s="2" t="s">
        <v>1568</v>
      </c>
      <c r="R1466" s="2" t="s">
        <v>1569</v>
      </c>
      <c r="S1466" s="2" t="s">
        <v>1570</v>
      </c>
      <c r="W1466" s="2" t="s">
        <v>1571</v>
      </c>
    </row>
    <row r="1467">
      <c r="A1467" s="4">
        <v>45536.64236111111</v>
      </c>
      <c r="B1467" s="5">
        <v>2591064.0</v>
      </c>
      <c r="C1467" s="2" t="s">
        <v>1575</v>
      </c>
      <c r="D1467" s="2" t="s">
        <v>1580</v>
      </c>
      <c r="E1467" s="2">
        <v>10104.0</v>
      </c>
      <c r="F1467" s="2" t="s">
        <v>1581</v>
      </c>
      <c r="I1467" s="7">
        <v>2.0</v>
      </c>
      <c r="J1467" s="6">
        <v>69524.0</v>
      </c>
      <c r="K1467" s="2">
        <v>0.0</v>
      </c>
      <c r="L1467" s="2">
        <v>69524.0</v>
      </c>
      <c r="M1467" s="2">
        <v>0.0</v>
      </c>
      <c r="N1467" s="2">
        <v>69524.0</v>
      </c>
      <c r="O1467" s="2">
        <v>3476.0</v>
      </c>
      <c r="P1467" s="2" t="s">
        <v>1574</v>
      </c>
      <c r="Q1467" s="2" t="s">
        <v>1568</v>
      </c>
      <c r="R1467" s="2" t="s">
        <v>1569</v>
      </c>
      <c r="S1467" s="2" t="s">
        <v>1570</v>
      </c>
      <c r="W1467" s="2" t="s">
        <v>1571</v>
      </c>
    </row>
    <row r="1468">
      <c r="A1468" s="4">
        <v>45536.64236111111</v>
      </c>
      <c r="B1468" s="5">
        <v>2591064.0</v>
      </c>
      <c r="C1468" s="2" t="s">
        <v>1575</v>
      </c>
      <c r="D1468" s="2" t="s">
        <v>1572</v>
      </c>
      <c r="E1468" s="2">
        <v>10107.0</v>
      </c>
      <c r="F1468" s="2" t="s">
        <v>1584</v>
      </c>
      <c r="I1468" s="7">
        <v>1.0</v>
      </c>
      <c r="J1468" s="6">
        <v>26667.0</v>
      </c>
      <c r="K1468" s="2">
        <v>0.0</v>
      </c>
      <c r="L1468" s="2">
        <v>26667.0</v>
      </c>
      <c r="M1468" s="2">
        <v>0.0</v>
      </c>
      <c r="N1468" s="2">
        <v>26667.0</v>
      </c>
      <c r="O1468" s="2">
        <v>1334.0</v>
      </c>
      <c r="P1468" s="2" t="s">
        <v>1574</v>
      </c>
      <c r="Q1468" s="2" t="s">
        <v>1568</v>
      </c>
      <c r="R1468" s="2" t="s">
        <v>1569</v>
      </c>
      <c r="S1468" s="2" t="s">
        <v>1570</v>
      </c>
      <c r="W1468" s="2" t="s">
        <v>1571</v>
      </c>
    </row>
    <row r="1469">
      <c r="A1469" s="4">
        <v>45536.64236111111</v>
      </c>
      <c r="B1469" s="5">
        <v>2591064.0</v>
      </c>
      <c r="C1469" s="2" t="s">
        <v>1575</v>
      </c>
      <c r="D1469" s="2" t="s">
        <v>1572</v>
      </c>
      <c r="E1469" s="2">
        <v>10106.0</v>
      </c>
      <c r="F1469" s="2" t="s">
        <v>1598</v>
      </c>
      <c r="I1469" s="7">
        <v>1.0</v>
      </c>
      <c r="J1469" s="6">
        <v>26667.0</v>
      </c>
      <c r="K1469" s="2">
        <v>0.0</v>
      </c>
      <c r="L1469" s="2">
        <v>26667.0</v>
      </c>
      <c r="M1469" s="2">
        <v>0.0</v>
      </c>
      <c r="N1469" s="2">
        <v>26667.0</v>
      </c>
      <c r="O1469" s="2">
        <v>1333.0</v>
      </c>
      <c r="P1469" s="2" t="s">
        <v>1574</v>
      </c>
      <c r="Q1469" s="2" t="s">
        <v>1568</v>
      </c>
      <c r="R1469" s="2" t="s">
        <v>1569</v>
      </c>
      <c r="S1469" s="2" t="s">
        <v>1570</v>
      </c>
      <c r="W1469" s="2" t="s">
        <v>1571</v>
      </c>
    </row>
    <row r="1470">
      <c r="A1470" s="4">
        <v>45536.629166666666</v>
      </c>
      <c r="B1470" s="5">
        <v>2590699.0</v>
      </c>
      <c r="C1470" s="2" t="s">
        <v>1575</v>
      </c>
      <c r="D1470" s="2" t="s">
        <v>1578</v>
      </c>
      <c r="E1470" s="2">
        <v>10004.0</v>
      </c>
      <c r="F1470" s="2" t="s">
        <v>1607</v>
      </c>
      <c r="I1470" s="7">
        <v>1.0</v>
      </c>
      <c r="J1470" s="6">
        <v>25238.0</v>
      </c>
      <c r="K1470" s="2">
        <v>0.0</v>
      </c>
      <c r="L1470" s="2">
        <v>25238.0</v>
      </c>
      <c r="M1470" s="2">
        <v>0.0</v>
      </c>
      <c r="N1470" s="2">
        <v>25238.0</v>
      </c>
      <c r="O1470" s="2">
        <v>1262.0</v>
      </c>
      <c r="P1470" s="2" t="s">
        <v>1574</v>
      </c>
      <c r="Q1470" s="2" t="s">
        <v>1568</v>
      </c>
      <c r="R1470" s="2" t="s">
        <v>1569</v>
      </c>
      <c r="S1470" s="2" t="s">
        <v>1570</v>
      </c>
      <c r="W1470" s="2" t="s">
        <v>1571</v>
      </c>
    </row>
    <row r="1471">
      <c r="A1471" s="4">
        <v>45536.62847222222</v>
      </c>
      <c r="B1471" s="5">
        <v>2590333.0</v>
      </c>
      <c r="C1471" s="2" t="s">
        <v>1564</v>
      </c>
      <c r="D1471" s="2" t="s">
        <v>1578</v>
      </c>
      <c r="E1471" s="2">
        <v>10011.0</v>
      </c>
      <c r="F1471" s="2" t="s">
        <v>1605</v>
      </c>
      <c r="I1471" s="7">
        <v>-1.0</v>
      </c>
      <c r="J1471" s="6">
        <v>-25238.0</v>
      </c>
      <c r="K1471" s="2">
        <v>0.0</v>
      </c>
      <c r="L1471" s="2">
        <v>-25238.0</v>
      </c>
      <c r="M1471" s="2">
        <v>0.0</v>
      </c>
      <c r="N1471" s="2">
        <v>-25238.0</v>
      </c>
      <c r="O1471" s="2">
        <v>-1262.0</v>
      </c>
      <c r="P1471" s="2" t="s">
        <v>1574</v>
      </c>
      <c r="Q1471" s="2" t="s">
        <v>1568</v>
      </c>
      <c r="R1471" s="2" t="s">
        <v>1569</v>
      </c>
      <c r="S1471" s="2" t="s">
        <v>1570</v>
      </c>
      <c r="W1471" s="2" t="s">
        <v>1571</v>
      </c>
    </row>
    <row r="1472">
      <c r="A1472" s="4">
        <v>45536.62013888889</v>
      </c>
      <c r="B1472" s="5">
        <v>2589968.0</v>
      </c>
      <c r="C1472" s="2" t="s">
        <v>1575</v>
      </c>
      <c r="D1472" s="2" t="s">
        <v>1565</v>
      </c>
      <c r="E1472" s="2">
        <v>10002.0</v>
      </c>
      <c r="F1472" s="2" t="s">
        <v>1576</v>
      </c>
      <c r="I1472" s="7">
        <v>1.0</v>
      </c>
      <c r="J1472" s="6">
        <v>18571.0</v>
      </c>
      <c r="K1472" s="2">
        <v>0.0</v>
      </c>
      <c r="L1472" s="2">
        <v>18571.0</v>
      </c>
      <c r="M1472" s="2">
        <v>0.0</v>
      </c>
      <c r="N1472" s="2">
        <v>18571.0</v>
      </c>
      <c r="O1472" s="2">
        <v>929.0</v>
      </c>
      <c r="P1472" s="2" t="s">
        <v>1574</v>
      </c>
      <c r="Q1472" s="2" t="s">
        <v>1568</v>
      </c>
      <c r="R1472" s="2" t="s">
        <v>1569</v>
      </c>
      <c r="S1472" s="2" t="s">
        <v>1570</v>
      </c>
      <c r="W1472" s="2" t="s">
        <v>1571</v>
      </c>
    </row>
    <row r="1473">
      <c r="A1473" s="4">
        <v>45536.62013888889</v>
      </c>
      <c r="B1473" s="5">
        <v>2589968.0</v>
      </c>
      <c r="C1473" s="2" t="s">
        <v>1575</v>
      </c>
      <c r="D1473" s="2" t="s">
        <v>1565</v>
      </c>
      <c r="E1473" s="2">
        <v>10000.0</v>
      </c>
      <c r="F1473" s="2" t="s">
        <v>1566</v>
      </c>
      <c r="I1473" s="7">
        <v>1.0</v>
      </c>
      <c r="J1473" s="6">
        <v>29524.0</v>
      </c>
      <c r="K1473" s="2">
        <v>0.0</v>
      </c>
      <c r="L1473" s="2">
        <v>29524.0</v>
      </c>
      <c r="M1473" s="2">
        <v>0.0</v>
      </c>
      <c r="N1473" s="2">
        <v>29524.0</v>
      </c>
      <c r="O1473" s="2">
        <v>1476.0</v>
      </c>
      <c r="P1473" s="2" t="s">
        <v>1574</v>
      </c>
      <c r="Q1473" s="2" t="s">
        <v>1568</v>
      </c>
      <c r="R1473" s="2" t="s">
        <v>1569</v>
      </c>
      <c r="S1473" s="2" t="s">
        <v>1570</v>
      </c>
      <c r="W1473" s="2" t="s">
        <v>1571</v>
      </c>
    </row>
    <row r="1474">
      <c r="A1474" s="4">
        <v>45536.61319444444</v>
      </c>
      <c r="B1474" s="5">
        <v>2589603.0</v>
      </c>
      <c r="C1474" s="2" t="s">
        <v>1575</v>
      </c>
      <c r="D1474" s="2" t="s">
        <v>1572</v>
      </c>
      <c r="E1474" s="2">
        <v>10125.0</v>
      </c>
      <c r="F1474" s="2" t="s">
        <v>1601</v>
      </c>
      <c r="I1474" s="7">
        <v>1.0</v>
      </c>
      <c r="J1474" s="6">
        <v>20476.0</v>
      </c>
      <c r="K1474" s="2">
        <v>0.0</v>
      </c>
      <c r="L1474" s="2">
        <v>20476.0</v>
      </c>
      <c r="M1474" s="2">
        <v>0.0</v>
      </c>
      <c r="N1474" s="2">
        <v>20476.0</v>
      </c>
      <c r="O1474" s="2">
        <v>1024.0</v>
      </c>
      <c r="P1474" s="2" t="s">
        <v>1574</v>
      </c>
      <c r="Q1474" s="2" t="s">
        <v>1568</v>
      </c>
      <c r="R1474" s="2" t="s">
        <v>1569</v>
      </c>
      <c r="S1474" s="2" t="s">
        <v>1570</v>
      </c>
      <c r="W1474" s="2" t="s">
        <v>1571</v>
      </c>
    </row>
    <row r="1475">
      <c r="A1475" s="4">
        <v>45536.61111111111</v>
      </c>
      <c r="B1475" s="5">
        <v>2589238.0</v>
      </c>
      <c r="C1475" s="2" t="s">
        <v>1575</v>
      </c>
      <c r="D1475" s="2" t="s">
        <v>1572</v>
      </c>
      <c r="E1475" s="2">
        <v>10128.0</v>
      </c>
      <c r="F1475" s="2" t="s">
        <v>1588</v>
      </c>
      <c r="I1475" s="7">
        <v>1.0</v>
      </c>
      <c r="J1475" s="6">
        <v>23333.0</v>
      </c>
      <c r="K1475" s="2">
        <v>0.0</v>
      </c>
      <c r="L1475" s="2">
        <v>23333.0</v>
      </c>
      <c r="M1475" s="2">
        <v>0.0</v>
      </c>
      <c r="N1475" s="2">
        <v>23333.0</v>
      </c>
      <c r="O1475" s="2">
        <v>1167.0</v>
      </c>
      <c r="P1475" s="2" t="s">
        <v>1574</v>
      </c>
      <c r="Q1475" s="2" t="s">
        <v>1568</v>
      </c>
      <c r="R1475" s="2" t="s">
        <v>1569</v>
      </c>
      <c r="S1475" s="2" t="s">
        <v>1570</v>
      </c>
      <c r="W1475" s="2" t="s">
        <v>1571</v>
      </c>
    </row>
    <row r="1476">
      <c r="A1476" s="4">
        <v>45536.61111111111</v>
      </c>
      <c r="B1476" s="5">
        <v>2589238.0</v>
      </c>
      <c r="C1476" s="2" t="s">
        <v>1575</v>
      </c>
      <c r="D1476" s="2" t="s">
        <v>1578</v>
      </c>
      <c r="E1476" s="2">
        <v>10011.0</v>
      </c>
      <c r="F1476" s="2" t="s">
        <v>1605</v>
      </c>
      <c r="I1476" s="7">
        <v>1.0</v>
      </c>
      <c r="J1476" s="6">
        <v>25238.0</v>
      </c>
      <c r="K1476" s="2">
        <v>0.0</v>
      </c>
      <c r="L1476" s="2">
        <v>25238.0</v>
      </c>
      <c r="M1476" s="2">
        <v>0.0</v>
      </c>
      <c r="N1476" s="2">
        <v>25238.0</v>
      </c>
      <c r="O1476" s="2">
        <v>1262.0</v>
      </c>
      <c r="P1476" s="2" t="s">
        <v>1574</v>
      </c>
      <c r="Q1476" s="2" t="s">
        <v>1568</v>
      </c>
      <c r="R1476" s="2" t="s">
        <v>1569</v>
      </c>
      <c r="S1476" s="2" t="s">
        <v>1570</v>
      </c>
      <c r="W1476" s="2" t="s">
        <v>1571</v>
      </c>
    </row>
    <row r="1477">
      <c r="A1477" s="4">
        <v>45536.60486111111</v>
      </c>
      <c r="B1477" s="5">
        <v>2588872.0</v>
      </c>
      <c r="C1477" s="2" t="s">
        <v>1575</v>
      </c>
      <c r="D1477" s="2" t="s">
        <v>1565</v>
      </c>
      <c r="E1477" s="2">
        <v>10034.0</v>
      </c>
      <c r="F1477" s="2" t="s">
        <v>1616</v>
      </c>
      <c r="I1477" s="7">
        <v>1.0</v>
      </c>
      <c r="J1477" s="6">
        <v>21905.0</v>
      </c>
      <c r="K1477" s="2">
        <v>0.0</v>
      </c>
      <c r="L1477" s="2">
        <v>21905.0</v>
      </c>
      <c r="M1477" s="2">
        <v>0.0</v>
      </c>
      <c r="N1477" s="2">
        <v>21905.0</v>
      </c>
      <c r="O1477" s="2">
        <v>1095.0</v>
      </c>
      <c r="P1477" s="2" t="s">
        <v>1574</v>
      </c>
      <c r="Q1477" s="2" t="s">
        <v>1568</v>
      </c>
      <c r="R1477" s="2" t="s">
        <v>1569</v>
      </c>
      <c r="S1477" s="2" t="s">
        <v>1570</v>
      </c>
      <c r="W1477" s="2" t="s">
        <v>1571</v>
      </c>
    </row>
    <row r="1478">
      <c r="A1478" s="4">
        <v>45536.60486111111</v>
      </c>
      <c r="B1478" s="5">
        <v>2588872.0</v>
      </c>
      <c r="C1478" s="2" t="s">
        <v>1575</v>
      </c>
      <c r="D1478" s="2" t="s">
        <v>1572</v>
      </c>
      <c r="E1478" s="2">
        <v>10026.0</v>
      </c>
      <c r="F1478" s="2" t="s">
        <v>1583</v>
      </c>
      <c r="I1478" s="7">
        <v>1.0</v>
      </c>
      <c r="J1478" s="6">
        <v>21905.0</v>
      </c>
      <c r="K1478" s="2">
        <v>0.0</v>
      </c>
      <c r="L1478" s="2">
        <v>21905.0</v>
      </c>
      <c r="M1478" s="2">
        <v>0.0</v>
      </c>
      <c r="N1478" s="2">
        <v>21905.0</v>
      </c>
      <c r="O1478" s="2">
        <v>1096.0</v>
      </c>
      <c r="P1478" s="2" t="s">
        <v>1574</v>
      </c>
      <c r="Q1478" s="2" t="s">
        <v>1568</v>
      </c>
      <c r="R1478" s="2" t="s">
        <v>1569</v>
      </c>
      <c r="S1478" s="2" t="s">
        <v>1570</v>
      </c>
      <c r="W1478" s="2" t="s">
        <v>1571</v>
      </c>
    </row>
    <row r="1479">
      <c r="A1479" s="4">
        <v>45536.60486111111</v>
      </c>
      <c r="B1479" s="5">
        <v>2588872.0</v>
      </c>
      <c r="C1479" s="2" t="s">
        <v>1575</v>
      </c>
      <c r="D1479" s="2" t="s">
        <v>1572</v>
      </c>
      <c r="E1479" s="2">
        <v>10128.0</v>
      </c>
      <c r="F1479" s="2" t="s">
        <v>1588</v>
      </c>
      <c r="I1479" s="7">
        <v>1.0</v>
      </c>
      <c r="J1479" s="6">
        <v>23333.0</v>
      </c>
      <c r="K1479" s="2">
        <v>0.0</v>
      </c>
      <c r="L1479" s="2">
        <v>23333.0</v>
      </c>
      <c r="M1479" s="2">
        <v>0.0</v>
      </c>
      <c r="N1479" s="2">
        <v>23333.0</v>
      </c>
      <c r="O1479" s="2">
        <v>1166.0</v>
      </c>
      <c r="P1479" s="2" t="s">
        <v>1574</v>
      </c>
      <c r="Q1479" s="2" t="s">
        <v>1568</v>
      </c>
      <c r="R1479" s="2" t="s">
        <v>1569</v>
      </c>
      <c r="S1479" s="2" t="s">
        <v>1570</v>
      </c>
      <c r="W1479" s="2" t="s">
        <v>1571</v>
      </c>
    </row>
    <row r="1480">
      <c r="A1480" s="4">
        <v>45536.60138888889</v>
      </c>
      <c r="B1480" s="5">
        <v>2588507.0</v>
      </c>
      <c r="C1480" s="2" t="s">
        <v>1575</v>
      </c>
      <c r="D1480" s="2" t="s">
        <v>1565</v>
      </c>
      <c r="E1480" s="2">
        <v>10039.0</v>
      </c>
      <c r="F1480" s="2" t="s">
        <v>1622</v>
      </c>
      <c r="I1480" s="7">
        <v>1.0</v>
      </c>
      <c r="J1480" s="6">
        <v>21905.0</v>
      </c>
      <c r="K1480" s="2">
        <v>0.0</v>
      </c>
      <c r="L1480" s="2">
        <v>21905.0</v>
      </c>
      <c r="M1480" s="2">
        <v>0.0</v>
      </c>
      <c r="N1480" s="2">
        <v>21905.0</v>
      </c>
      <c r="O1480" s="2">
        <v>1095.0</v>
      </c>
      <c r="P1480" s="2" t="s">
        <v>1574</v>
      </c>
      <c r="Q1480" s="2" t="s">
        <v>1568</v>
      </c>
      <c r="R1480" s="2" t="s">
        <v>1569</v>
      </c>
      <c r="S1480" s="2" t="s">
        <v>1570</v>
      </c>
      <c r="W1480" s="2" t="s">
        <v>1571</v>
      </c>
    </row>
    <row r="1481">
      <c r="A1481" s="4">
        <v>45536.60138888889</v>
      </c>
      <c r="B1481" s="5">
        <v>2588507.0</v>
      </c>
      <c r="C1481" s="2" t="s">
        <v>1575</v>
      </c>
      <c r="D1481" s="2" t="s">
        <v>1565</v>
      </c>
      <c r="E1481" s="2">
        <v>10000.0</v>
      </c>
      <c r="F1481" s="2" t="s">
        <v>1566</v>
      </c>
      <c r="I1481" s="7">
        <v>1.0</v>
      </c>
      <c r="J1481" s="6">
        <v>29524.0</v>
      </c>
      <c r="K1481" s="2">
        <v>0.0</v>
      </c>
      <c r="L1481" s="2">
        <v>29524.0</v>
      </c>
      <c r="M1481" s="2">
        <v>0.0</v>
      </c>
      <c r="N1481" s="2">
        <v>29524.0</v>
      </c>
      <c r="O1481" s="2">
        <v>1476.0</v>
      </c>
      <c r="P1481" s="2" t="s">
        <v>1574</v>
      </c>
      <c r="Q1481" s="2" t="s">
        <v>1568</v>
      </c>
      <c r="R1481" s="2" t="s">
        <v>1569</v>
      </c>
      <c r="S1481" s="2" t="s">
        <v>1570</v>
      </c>
      <c r="W1481" s="2" t="s">
        <v>1571</v>
      </c>
    </row>
    <row r="1482">
      <c r="A1482" s="4">
        <v>45536.60138888889</v>
      </c>
      <c r="B1482" s="5">
        <v>2588507.0</v>
      </c>
      <c r="C1482" s="2" t="s">
        <v>1575</v>
      </c>
      <c r="D1482" s="2" t="s">
        <v>1572</v>
      </c>
      <c r="E1482" s="2">
        <v>10106.0</v>
      </c>
      <c r="F1482" s="2" t="s">
        <v>1598</v>
      </c>
      <c r="I1482" s="7">
        <v>1.0</v>
      </c>
      <c r="J1482" s="6">
        <v>26667.0</v>
      </c>
      <c r="K1482" s="2">
        <v>0.0</v>
      </c>
      <c r="L1482" s="2">
        <v>26667.0</v>
      </c>
      <c r="M1482" s="2">
        <v>0.0</v>
      </c>
      <c r="N1482" s="2">
        <v>26667.0</v>
      </c>
      <c r="O1482" s="2">
        <v>1334.0</v>
      </c>
      <c r="P1482" s="2" t="s">
        <v>1574</v>
      </c>
      <c r="Q1482" s="2" t="s">
        <v>1568</v>
      </c>
      <c r="R1482" s="2" t="s">
        <v>1569</v>
      </c>
      <c r="S1482" s="2" t="s">
        <v>1570</v>
      </c>
      <c r="W1482" s="2" t="s">
        <v>1571</v>
      </c>
    </row>
    <row r="1483">
      <c r="A1483" s="4">
        <v>45536.60138888889</v>
      </c>
      <c r="B1483" s="5">
        <v>2588507.0</v>
      </c>
      <c r="C1483" s="2" t="s">
        <v>1575</v>
      </c>
      <c r="D1483" s="2" t="s">
        <v>1572</v>
      </c>
      <c r="E1483" s="2">
        <v>10069.0</v>
      </c>
      <c r="F1483" s="2" t="s">
        <v>1620</v>
      </c>
      <c r="I1483" s="7">
        <v>1.0</v>
      </c>
      <c r="J1483" s="6">
        <v>24762.0</v>
      </c>
      <c r="K1483" s="2">
        <v>0.0</v>
      </c>
      <c r="L1483" s="2">
        <v>24762.0</v>
      </c>
      <c r="M1483" s="2">
        <v>0.0</v>
      </c>
      <c r="N1483" s="2">
        <v>24762.0</v>
      </c>
      <c r="O1483" s="2">
        <v>1238.0</v>
      </c>
      <c r="P1483" s="2" t="s">
        <v>1574</v>
      </c>
      <c r="Q1483" s="2" t="s">
        <v>1568</v>
      </c>
      <c r="R1483" s="2" t="s">
        <v>1569</v>
      </c>
      <c r="S1483" s="2" t="s">
        <v>1570</v>
      </c>
      <c r="W1483" s="2" t="s">
        <v>1571</v>
      </c>
    </row>
    <row r="1484">
      <c r="A1484" s="4">
        <v>45536.58819444444</v>
      </c>
      <c r="B1484" s="5">
        <v>2588142.0</v>
      </c>
      <c r="C1484" s="2" t="s">
        <v>1575</v>
      </c>
      <c r="D1484" s="2" t="s">
        <v>1565</v>
      </c>
      <c r="E1484" s="2">
        <v>10002.0</v>
      </c>
      <c r="F1484" s="2" t="s">
        <v>1576</v>
      </c>
      <c r="I1484" s="7">
        <v>1.0</v>
      </c>
      <c r="J1484" s="6">
        <v>18571.0</v>
      </c>
      <c r="K1484" s="2">
        <v>0.0</v>
      </c>
      <c r="L1484" s="2">
        <v>18571.0</v>
      </c>
      <c r="M1484" s="2">
        <v>0.0</v>
      </c>
      <c r="N1484" s="2">
        <v>18571.0</v>
      </c>
      <c r="O1484" s="2">
        <v>929.0</v>
      </c>
      <c r="P1484" s="2" t="s">
        <v>1574</v>
      </c>
      <c r="Q1484" s="2" t="s">
        <v>1568</v>
      </c>
      <c r="R1484" s="2" t="s">
        <v>1569</v>
      </c>
      <c r="S1484" s="2" t="s">
        <v>1570</v>
      </c>
      <c r="W1484" s="2" t="s">
        <v>1571</v>
      </c>
    </row>
    <row r="1485">
      <c r="A1485" s="4">
        <v>45536.58819444444</v>
      </c>
      <c r="B1485" s="5">
        <v>2588142.0</v>
      </c>
      <c r="C1485" s="2" t="s">
        <v>1575</v>
      </c>
      <c r="D1485" s="2" t="s">
        <v>1578</v>
      </c>
      <c r="E1485" s="2">
        <v>10009.0</v>
      </c>
      <c r="F1485" s="2" t="s">
        <v>1586</v>
      </c>
      <c r="I1485" s="7">
        <v>1.0</v>
      </c>
      <c r="J1485" s="6">
        <v>26667.0</v>
      </c>
      <c r="K1485" s="2">
        <v>0.0</v>
      </c>
      <c r="L1485" s="2">
        <v>26667.0</v>
      </c>
      <c r="M1485" s="2">
        <v>0.0</v>
      </c>
      <c r="N1485" s="2">
        <v>26667.0</v>
      </c>
      <c r="O1485" s="2">
        <v>1333.0</v>
      </c>
      <c r="P1485" s="2" t="s">
        <v>1574</v>
      </c>
      <c r="Q1485" s="2" t="s">
        <v>1568</v>
      </c>
      <c r="R1485" s="2" t="s">
        <v>1569</v>
      </c>
      <c r="S1485" s="2" t="s">
        <v>1570</v>
      </c>
      <c r="W1485" s="2" t="s">
        <v>1571</v>
      </c>
    </row>
    <row r="1486">
      <c r="A1486" s="4">
        <v>45536.58819444444</v>
      </c>
      <c r="B1486" s="5">
        <v>2588142.0</v>
      </c>
      <c r="C1486" s="2" t="s">
        <v>1575</v>
      </c>
      <c r="D1486" s="2" t="s">
        <v>1572</v>
      </c>
      <c r="E1486" s="2">
        <v>10067.0</v>
      </c>
      <c r="F1486" s="2" t="s">
        <v>1621</v>
      </c>
      <c r="I1486" s="7">
        <v>1.0</v>
      </c>
      <c r="J1486" s="6">
        <v>24762.0</v>
      </c>
      <c r="K1486" s="2">
        <v>0.0</v>
      </c>
      <c r="L1486" s="2">
        <v>24762.0</v>
      </c>
      <c r="M1486" s="2">
        <v>0.0</v>
      </c>
      <c r="N1486" s="2">
        <v>24762.0</v>
      </c>
      <c r="O1486" s="2">
        <v>1238.0</v>
      </c>
      <c r="P1486" s="2" t="s">
        <v>1574</v>
      </c>
      <c r="Q1486" s="2" t="s">
        <v>1568</v>
      </c>
      <c r="R1486" s="2" t="s">
        <v>1569</v>
      </c>
      <c r="S1486" s="2" t="s">
        <v>1570</v>
      </c>
      <c r="W1486" s="2" t="s">
        <v>1571</v>
      </c>
    </row>
    <row r="1487">
      <c r="A1487" s="4">
        <v>45536.58819444444</v>
      </c>
      <c r="B1487" s="5">
        <v>2588142.0</v>
      </c>
      <c r="C1487" s="2" t="s">
        <v>1575</v>
      </c>
      <c r="D1487" s="2" t="s">
        <v>1572</v>
      </c>
      <c r="E1487" s="2">
        <v>10026.0</v>
      </c>
      <c r="F1487" s="2" t="s">
        <v>1583</v>
      </c>
      <c r="I1487" s="7">
        <v>1.0</v>
      </c>
      <c r="J1487" s="6">
        <v>21905.0</v>
      </c>
      <c r="K1487" s="2">
        <v>0.0</v>
      </c>
      <c r="L1487" s="2">
        <v>21905.0</v>
      </c>
      <c r="M1487" s="2">
        <v>0.0</v>
      </c>
      <c r="N1487" s="2">
        <v>21905.0</v>
      </c>
      <c r="O1487" s="2">
        <v>1095.0</v>
      </c>
      <c r="P1487" s="2" t="s">
        <v>1574</v>
      </c>
      <c r="Q1487" s="2" t="s">
        <v>1568</v>
      </c>
      <c r="R1487" s="2" t="s">
        <v>1569</v>
      </c>
      <c r="S1487" s="2" t="s">
        <v>1570</v>
      </c>
      <c r="W1487" s="2" t="s">
        <v>1571</v>
      </c>
    </row>
    <row r="1488">
      <c r="A1488" s="4">
        <v>45536.58819444444</v>
      </c>
      <c r="B1488" s="5">
        <v>2588142.0</v>
      </c>
      <c r="C1488" s="2" t="s">
        <v>1575</v>
      </c>
      <c r="D1488" s="2" t="s">
        <v>1578</v>
      </c>
      <c r="E1488" s="2">
        <v>10011.0</v>
      </c>
      <c r="F1488" s="2" t="s">
        <v>1605</v>
      </c>
      <c r="I1488" s="7">
        <v>1.0</v>
      </c>
      <c r="J1488" s="6">
        <v>25238.0</v>
      </c>
      <c r="K1488" s="2">
        <v>0.0</v>
      </c>
      <c r="L1488" s="2">
        <v>25238.0</v>
      </c>
      <c r="M1488" s="2">
        <v>0.0</v>
      </c>
      <c r="N1488" s="2">
        <v>25238.0</v>
      </c>
      <c r="O1488" s="2">
        <v>1262.0</v>
      </c>
      <c r="P1488" s="2" t="s">
        <v>1574</v>
      </c>
      <c r="Q1488" s="2" t="s">
        <v>1568</v>
      </c>
      <c r="R1488" s="2" t="s">
        <v>1569</v>
      </c>
      <c r="S1488" s="2" t="s">
        <v>1570</v>
      </c>
      <c r="W1488" s="2" t="s">
        <v>1571</v>
      </c>
    </row>
    <row r="1489">
      <c r="A1489" s="4">
        <v>45536.58819444444</v>
      </c>
      <c r="B1489" s="5">
        <v>2588142.0</v>
      </c>
      <c r="C1489" s="2" t="s">
        <v>1575</v>
      </c>
      <c r="D1489" s="2" t="s">
        <v>1572</v>
      </c>
      <c r="E1489" s="2">
        <v>10128.0</v>
      </c>
      <c r="F1489" s="2" t="s">
        <v>1588</v>
      </c>
      <c r="I1489" s="7">
        <v>1.0</v>
      </c>
      <c r="J1489" s="6">
        <v>23333.0</v>
      </c>
      <c r="K1489" s="2">
        <v>0.0</v>
      </c>
      <c r="L1489" s="2">
        <v>23333.0</v>
      </c>
      <c r="M1489" s="2">
        <v>0.0</v>
      </c>
      <c r="N1489" s="2">
        <v>23333.0</v>
      </c>
      <c r="O1489" s="2">
        <v>1167.0</v>
      </c>
      <c r="P1489" s="2" t="s">
        <v>1574</v>
      </c>
      <c r="Q1489" s="2" t="s">
        <v>1568</v>
      </c>
      <c r="R1489" s="2" t="s">
        <v>1569</v>
      </c>
      <c r="S1489" s="2" t="s">
        <v>1570</v>
      </c>
      <c r="W1489" s="2" t="s">
        <v>1571</v>
      </c>
    </row>
    <row r="1490">
      <c r="A1490" s="4">
        <v>45536.58819444444</v>
      </c>
      <c r="B1490" s="5">
        <v>2588142.0</v>
      </c>
      <c r="C1490" s="2" t="s">
        <v>1575</v>
      </c>
      <c r="D1490" s="2" t="s">
        <v>1572</v>
      </c>
      <c r="E1490" s="2">
        <v>10122.0</v>
      </c>
      <c r="F1490" s="2" t="s">
        <v>1577</v>
      </c>
      <c r="I1490" s="7">
        <v>1.0</v>
      </c>
      <c r="J1490" s="6">
        <v>21905.0</v>
      </c>
      <c r="K1490" s="2">
        <v>0.0</v>
      </c>
      <c r="L1490" s="2">
        <v>21905.0</v>
      </c>
      <c r="M1490" s="2">
        <v>0.0</v>
      </c>
      <c r="N1490" s="2">
        <v>21905.0</v>
      </c>
      <c r="O1490" s="2">
        <v>1095.0</v>
      </c>
      <c r="P1490" s="2" t="s">
        <v>1574</v>
      </c>
      <c r="Q1490" s="2" t="s">
        <v>1568</v>
      </c>
      <c r="R1490" s="2" t="s">
        <v>1569</v>
      </c>
      <c r="S1490" s="2" t="s">
        <v>1570</v>
      </c>
      <c r="W1490" s="2" t="s">
        <v>1571</v>
      </c>
    </row>
    <row r="1491">
      <c r="A1491" s="4">
        <v>45536.57847222222</v>
      </c>
      <c r="B1491" s="5">
        <v>2587777.0</v>
      </c>
      <c r="C1491" s="2" t="s">
        <v>1575</v>
      </c>
      <c r="D1491" s="2" t="s">
        <v>1565</v>
      </c>
      <c r="E1491" s="2">
        <v>10002.0</v>
      </c>
      <c r="F1491" s="2" t="s">
        <v>1576</v>
      </c>
      <c r="I1491" s="7">
        <v>1.0</v>
      </c>
      <c r="J1491" s="6">
        <v>18571.0</v>
      </c>
      <c r="K1491" s="2">
        <v>0.0</v>
      </c>
      <c r="L1491" s="2">
        <v>18571.0</v>
      </c>
      <c r="M1491" s="2">
        <v>0.0</v>
      </c>
      <c r="N1491" s="2">
        <v>18571.0</v>
      </c>
      <c r="O1491" s="2">
        <v>929.0</v>
      </c>
      <c r="P1491" s="2" t="s">
        <v>1574</v>
      </c>
      <c r="Q1491" s="2" t="s">
        <v>1568</v>
      </c>
      <c r="R1491" s="2" t="s">
        <v>1569</v>
      </c>
      <c r="S1491" s="2" t="s">
        <v>1570</v>
      </c>
      <c r="W1491" s="2" t="s">
        <v>1571</v>
      </c>
    </row>
    <row r="1492">
      <c r="A1492" s="4">
        <v>45536.561111111114</v>
      </c>
      <c r="B1492" s="5">
        <v>2587411.0</v>
      </c>
      <c r="C1492" s="2" t="s">
        <v>1575</v>
      </c>
      <c r="D1492" s="2" t="s">
        <v>1565</v>
      </c>
      <c r="E1492" s="2">
        <v>10000.0</v>
      </c>
      <c r="F1492" s="2" t="s">
        <v>1566</v>
      </c>
      <c r="I1492" s="7">
        <v>1.0</v>
      </c>
      <c r="J1492" s="6">
        <v>29524.0</v>
      </c>
      <c r="K1492" s="2">
        <v>0.0</v>
      </c>
      <c r="L1492" s="2">
        <v>29524.0</v>
      </c>
      <c r="M1492" s="2">
        <v>0.0</v>
      </c>
      <c r="N1492" s="2">
        <v>29524.0</v>
      </c>
      <c r="O1492" s="2">
        <v>1476.0</v>
      </c>
      <c r="P1492" s="2" t="s">
        <v>1574</v>
      </c>
      <c r="Q1492" s="2" t="s">
        <v>1568</v>
      </c>
      <c r="R1492" s="2" t="s">
        <v>1569</v>
      </c>
      <c r="S1492" s="2" t="s">
        <v>1570</v>
      </c>
      <c r="W1492" s="2" t="s">
        <v>1571</v>
      </c>
    </row>
    <row r="1493">
      <c r="A1493" s="4">
        <v>45536.561111111114</v>
      </c>
      <c r="B1493" s="5">
        <v>2587411.0</v>
      </c>
      <c r="C1493" s="2" t="s">
        <v>1575</v>
      </c>
      <c r="D1493" s="2" t="s">
        <v>1565</v>
      </c>
      <c r="E1493" s="2">
        <v>10002.0</v>
      </c>
      <c r="F1493" s="2" t="s">
        <v>1576</v>
      </c>
      <c r="I1493" s="7">
        <v>1.0</v>
      </c>
      <c r="J1493" s="6">
        <v>18571.0</v>
      </c>
      <c r="K1493" s="2">
        <v>0.0</v>
      </c>
      <c r="L1493" s="2">
        <v>18571.0</v>
      </c>
      <c r="M1493" s="2">
        <v>0.0</v>
      </c>
      <c r="N1493" s="2">
        <v>18571.0</v>
      </c>
      <c r="O1493" s="2">
        <v>929.0</v>
      </c>
      <c r="P1493" s="2" t="s">
        <v>1574</v>
      </c>
      <c r="Q1493" s="2" t="s">
        <v>1568</v>
      </c>
      <c r="R1493" s="2" t="s">
        <v>1569</v>
      </c>
      <c r="S1493" s="2" t="s">
        <v>1570</v>
      </c>
      <c r="W1493" s="2" t="s">
        <v>1571</v>
      </c>
    </row>
    <row r="1494">
      <c r="A1494" s="4">
        <v>45536.561111111114</v>
      </c>
      <c r="B1494" s="5">
        <v>2587411.0</v>
      </c>
      <c r="C1494" s="2" t="s">
        <v>1575</v>
      </c>
      <c r="D1494" s="2" t="s">
        <v>1565</v>
      </c>
      <c r="E1494" s="2">
        <v>10005.0</v>
      </c>
      <c r="F1494" s="2" t="s">
        <v>1595</v>
      </c>
      <c r="I1494" s="7">
        <v>1.0</v>
      </c>
      <c r="J1494" s="6">
        <v>19524.0</v>
      </c>
      <c r="K1494" s="2">
        <v>0.0</v>
      </c>
      <c r="L1494" s="2">
        <v>19524.0</v>
      </c>
      <c r="M1494" s="2">
        <v>0.0</v>
      </c>
      <c r="N1494" s="2">
        <v>19524.0</v>
      </c>
      <c r="O1494" s="2">
        <v>976.0</v>
      </c>
      <c r="P1494" s="2" t="s">
        <v>1574</v>
      </c>
      <c r="Q1494" s="2" t="s">
        <v>1568</v>
      </c>
      <c r="R1494" s="2" t="s">
        <v>1569</v>
      </c>
      <c r="S1494" s="2" t="s">
        <v>1570</v>
      </c>
      <c r="W1494" s="2" t="s">
        <v>1571</v>
      </c>
    </row>
    <row r="1495">
      <c r="A1495" s="4">
        <v>45536.561111111114</v>
      </c>
      <c r="B1495" s="5">
        <v>2587411.0</v>
      </c>
      <c r="C1495" s="2" t="s">
        <v>1575</v>
      </c>
      <c r="D1495" s="2" t="s">
        <v>1572</v>
      </c>
      <c r="E1495" s="2">
        <v>10126.0</v>
      </c>
      <c r="F1495" s="2" t="s">
        <v>1600</v>
      </c>
      <c r="I1495" s="7">
        <v>1.0</v>
      </c>
      <c r="J1495" s="6">
        <v>23810.0</v>
      </c>
      <c r="K1495" s="2">
        <v>0.0</v>
      </c>
      <c r="L1495" s="2">
        <v>23810.0</v>
      </c>
      <c r="M1495" s="2">
        <v>0.0</v>
      </c>
      <c r="N1495" s="2">
        <v>23810.0</v>
      </c>
      <c r="O1495" s="2">
        <v>1190.0</v>
      </c>
      <c r="P1495" s="2" t="s">
        <v>1574</v>
      </c>
      <c r="Q1495" s="2" t="s">
        <v>1568</v>
      </c>
      <c r="R1495" s="2" t="s">
        <v>1569</v>
      </c>
      <c r="S1495" s="2" t="s">
        <v>1570</v>
      </c>
      <c r="W1495" s="2" t="s">
        <v>1571</v>
      </c>
    </row>
    <row r="1496">
      <c r="A1496" s="4">
        <v>45536.561111111114</v>
      </c>
      <c r="B1496" s="5">
        <v>2587411.0</v>
      </c>
      <c r="C1496" s="2" t="s">
        <v>1575</v>
      </c>
      <c r="D1496" s="2" t="s">
        <v>1565</v>
      </c>
      <c r="E1496" s="2">
        <v>10033.0</v>
      </c>
      <c r="F1496" s="2" t="s">
        <v>1615</v>
      </c>
      <c r="I1496" s="7">
        <v>1.0</v>
      </c>
      <c r="J1496" s="6">
        <v>21905.0</v>
      </c>
      <c r="K1496" s="2">
        <v>0.0</v>
      </c>
      <c r="L1496" s="2">
        <v>21905.0</v>
      </c>
      <c r="M1496" s="2">
        <v>0.0</v>
      </c>
      <c r="N1496" s="2">
        <v>21905.0</v>
      </c>
      <c r="O1496" s="2">
        <v>1096.0</v>
      </c>
      <c r="P1496" s="2" t="s">
        <v>1574</v>
      </c>
      <c r="Q1496" s="2" t="s">
        <v>1568</v>
      </c>
      <c r="R1496" s="2" t="s">
        <v>1569</v>
      </c>
      <c r="S1496" s="2" t="s">
        <v>1570</v>
      </c>
      <c r="W1496" s="2" t="s">
        <v>1571</v>
      </c>
    </row>
    <row r="1497">
      <c r="A1497" s="4">
        <v>45536.561111111114</v>
      </c>
      <c r="B1497" s="5">
        <v>2587411.0</v>
      </c>
      <c r="C1497" s="2" t="s">
        <v>1575</v>
      </c>
      <c r="D1497" s="2" t="s">
        <v>1572</v>
      </c>
      <c r="E1497" s="2">
        <v>10107.0</v>
      </c>
      <c r="F1497" s="2" t="s">
        <v>1584</v>
      </c>
      <c r="I1497" s="7">
        <v>1.0</v>
      </c>
      <c r="J1497" s="6">
        <v>26667.0</v>
      </c>
      <c r="K1497" s="2">
        <v>0.0</v>
      </c>
      <c r="L1497" s="2">
        <v>26667.0</v>
      </c>
      <c r="M1497" s="2">
        <v>0.0</v>
      </c>
      <c r="N1497" s="2">
        <v>26667.0</v>
      </c>
      <c r="O1497" s="2">
        <v>1333.0</v>
      </c>
      <c r="P1497" s="2" t="s">
        <v>1574</v>
      </c>
      <c r="Q1497" s="2" t="s">
        <v>1568</v>
      </c>
      <c r="R1497" s="2" t="s">
        <v>1569</v>
      </c>
      <c r="S1497" s="2" t="s">
        <v>1570</v>
      </c>
      <c r="W1497" s="2" t="s">
        <v>1571</v>
      </c>
    </row>
    <row r="1498">
      <c r="A1498" s="4">
        <v>45536.561111111114</v>
      </c>
      <c r="B1498" s="5">
        <v>2587411.0</v>
      </c>
      <c r="C1498" s="2" t="s">
        <v>1575</v>
      </c>
      <c r="D1498" s="2" t="s">
        <v>1572</v>
      </c>
      <c r="E1498" s="2">
        <v>10063.0</v>
      </c>
      <c r="F1498" s="2" t="s">
        <v>1594</v>
      </c>
      <c r="I1498" s="7">
        <v>1.0</v>
      </c>
      <c r="J1498" s="6">
        <v>24762.0</v>
      </c>
      <c r="K1498" s="2">
        <v>0.0</v>
      </c>
      <c r="L1498" s="2">
        <v>24762.0</v>
      </c>
      <c r="M1498" s="2">
        <v>0.0</v>
      </c>
      <c r="N1498" s="2">
        <v>24762.0</v>
      </c>
      <c r="O1498" s="2">
        <v>1238.0</v>
      </c>
      <c r="P1498" s="2" t="s">
        <v>1574</v>
      </c>
      <c r="Q1498" s="2" t="s">
        <v>1568</v>
      </c>
      <c r="R1498" s="2" t="s">
        <v>1569</v>
      </c>
      <c r="S1498" s="2" t="s">
        <v>1570</v>
      </c>
      <c r="W1498" s="2" t="s">
        <v>1571</v>
      </c>
    </row>
    <row r="1499">
      <c r="A1499" s="4">
        <v>45536.561111111114</v>
      </c>
      <c r="B1499" s="5">
        <v>2587411.0</v>
      </c>
      <c r="C1499" s="2" t="s">
        <v>1575</v>
      </c>
      <c r="D1499" s="2" t="s">
        <v>1572</v>
      </c>
      <c r="E1499" s="2">
        <v>10058.0</v>
      </c>
      <c r="F1499" s="2" t="s">
        <v>1618</v>
      </c>
      <c r="I1499" s="7">
        <v>1.0</v>
      </c>
      <c r="J1499" s="6">
        <v>19524.0</v>
      </c>
      <c r="K1499" s="2">
        <v>0.0</v>
      </c>
      <c r="L1499" s="2">
        <v>19524.0</v>
      </c>
      <c r="M1499" s="2">
        <v>0.0</v>
      </c>
      <c r="N1499" s="2">
        <v>19524.0</v>
      </c>
      <c r="O1499" s="2">
        <v>976.0</v>
      </c>
      <c r="P1499" s="2" t="s">
        <v>1574</v>
      </c>
      <c r="Q1499" s="2" t="s">
        <v>1568</v>
      </c>
      <c r="R1499" s="2" t="s">
        <v>1569</v>
      </c>
      <c r="S1499" s="2" t="s">
        <v>1570</v>
      </c>
      <c r="W1499" s="2" t="s">
        <v>1571</v>
      </c>
    </row>
    <row r="1500">
      <c r="A1500" s="4">
        <v>45536.55972222222</v>
      </c>
      <c r="B1500" s="5">
        <v>2587046.0</v>
      </c>
      <c r="C1500" s="2" t="s">
        <v>1575</v>
      </c>
      <c r="D1500" s="2" t="s">
        <v>1572</v>
      </c>
      <c r="E1500" s="2">
        <v>10128.0</v>
      </c>
      <c r="F1500" s="2" t="s">
        <v>1588</v>
      </c>
      <c r="I1500" s="7">
        <v>1.0</v>
      </c>
      <c r="J1500" s="6">
        <v>23333.0</v>
      </c>
      <c r="K1500" s="2">
        <v>0.0</v>
      </c>
      <c r="L1500" s="2">
        <v>23333.0</v>
      </c>
      <c r="M1500" s="2">
        <v>0.0</v>
      </c>
      <c r="N1500" s="2">
        <v>23333.0</v>
      </c>
      <c r="O1500" s="2">
        <v>1167.0</v>
      </c>
      <c r="P1500" s="2" t="s">
        <v>1574</v>
      </c>
      <c r="Q1500" s="2" t="s">
        <v>1568</v>
      </c>
      <c r="R1500" s="2" t="s">
        <v>1569</v>
      </c>
      <c r="S1500" s="2" t="s">
        <v>1570</v>
      </c>
      <c r="W1500" s="2" t="s">
        <v>1571</v>
      </c>
    </row>
    <row r="1501">
      <c r="A1501" s="4">
        <v>45536.55972222222</v>
      </c>
      <c r="B1501" s="5">
        <v>2587046.0</v>
      </c>
      <c r="C1501" s="2" t="s">
        <v>1575</v>
      </c>
      <c r="D1501" s="2" t="s">
        <v>1572</v>
      </c>
      <c r="E1501" s="2">
        <v>10106.0</v>
      </c>
      <c r="F1501" s="2" t="s">
        <v>1598</v>
      </c>
      <c r="I1501" s="7">
        <v>1.0</v>
      </c>
      <c r="J1501" s="6">
        <v>26667.0</v>
      </c>
      <c r="K1501" s="2">
        <v>0.0</v>
      </c>
      <c r="L1501" s="2">
        <v>26667.0</v>
      </c>
      <c r="M1501" s="2">
        <v>0.0</v>
      </c>
      <c r="N1501" s="2">
        <v>26667.0</v>
      </c>
      <c r="O1501" s="2">
        <v>1333.0</v>
      </c>
      <c r="P1501" s="2" t="s">
        <v>1574</v>
      </c>
      <c r="Q1501" s="2" t="s">
        <v>1568</v>
      </c>
      <c r="R1501" s="2" t="s">
        <v>1569</v>
      </c>
      <c r="S1501" s="2" t="s">
        <v>1570</v>
      </c>
      <c r="W1501" s="2" t="s">
        <v>1571</v>
      </c>
    </row>
    <row r="1502">
      <c r="A1502" s="4">
        <v>45536.55972222222</v>
      </c>
      <c r="B1502" s="5">
        <v>2587046.0</v>
      </c>
      <c r="C1502" s="2" t="s">
        <v>1575</v>
      </c>
      <c r="D1502" s="2" t="s">
        <v>1565</v>
      </c>
      <c r="E1502" s="2">
        <v>10002.0</v>
      </c>
      <c r="F1502" s="2" t="s">
        <v>1576</v>
      </c>
      <c r="I1502" s="7">
        <v>1.0</v>
      </c>
      <c r="J1502" s="6">
        <v>18571.0</v>
      </c>
      <c r="K1502" s="2">
        <v>0.0</v>
      </c>
      <c r="L1502" s="2">
        <v>18571.0</v>
      </c>
      <c r="M1502" s="2">
        <v>0.0</v>
      </c>
      <c r="N1502" s="2">
        <v>18571.0</v>
      </c>
      <c r="O1502" s="2">
        <v>929.0</v>
      </c>
      <c r="P1502" s="2" t="s">
        <v>1574</v>
      </c>
      <c r="Q1502" s="2" t="s">
        <v>1568</v>
      </c>
      <c r="R1502" s="2" t="s">
        <v>1569</v>
      </c>
      <c r="S1502" s="2" t="s">
        <v>1570</v>
      </c>
      <c r="W1502" s="2" t="s">
        <v>1571</v>
      </c>
    </row>
    <row r="1503">
      <c r="A1503" s="4">
        <v>45536.54652777778</v>
      </c>
      <c r="B1503" s="5">
        <v>2586681.0</v>
      </c>
      <c r="C1503" s="2" t="s">
        <v>1575</v>
      </c>
      <c r="D1503" s="2" t="s">
        <v>1572</v>
      </c>
      <c r="E1503" s="2">
        <v>10107.0</v>
      </c>
      <c r="F1503" s="2" t="s">
        <v>1584</v>
      </c>
      <c r="I1503" s="7">
        <v>1.0</v>
      </c>
      <c r="J1503" s="6">
        <v>26667.0</v>
      </c>
      <c r="K1503" s="2">
        <v>0.0</v>
      </c>
      <c r="L1503" s="2">
        <v>26667.0</v>
      </c>
      <c r="M1503" s="2">
        <v>0.0</v>
      </c>
      <c r="N1503" s="2">
        <v>26667.0</v>
      </c>
      <c r="O1503" s="2">
        <v>1333.0</v>
      </c>
      <c r="P1503" s="2" t="s">
        <v>1574</v>
      </c>
      <c r="Q1503" s="2" t="s">
        <v>1568</v>
      </c>
      <c r="R1503" s="2" t="s">
        <v>1569</v>
      </c>
      <c r="S1503" s="2" t="s">
        <v>1570</v>
      </c>
      <c r="W1503" s="2" t="s">
        <v>1571</v>
      </c>
    </row>
    <row r="1504">
      <c r="A1504" s="4">
        <v>45536.54583333333</v>
      </c>
      <c r="B1504" s="5">
        <v>2586316.0</v>
      </c>
      <c r="C1504" s="2" t="s">
        <v>1575</v>
      </c>
      <c r="D1504" s="2" t="s">
        <v>1580</v>
      </c>
      <c r="E1504" s="2">
        <v>10012.0</v>
      </c>
      <c r="F1504" s="2" t="s">
        <v>1602</v>
      </c>
      <c r="I1504" s="7">
        <v>1.0</v>
      </c>
      <c r="J1504" s="6">
        <v>29524.0</v>
      </c>
      <c r="K1504" s="2">
        <v>0.0</v>
      </c>
      <c r="L1504" s="2">
        <v>29524.0</v>
      </c>
      <c r="M1504" s="2">
        <v>0.0</v>
      </c>
      <c r="N1504" s="2">
        <v>29524.0</v>
      </c>
      <c r="O1504" s="2">
        <v>1476.0</v>
      </c>
      <c r="P1504" s="2" t="s">
        <v>1574</v>
      </c>
      <c r="Q1504" s="2" t="s">
        <v>1568</v>
      </c>
      <c r="R1504" s="2" t="s">
        <v>1569</v>
      </c>
      <c r="S1504" s="2" t="s">
        <v>1570</v>
      </c>
      <c r="W1504" s="2" t="s">
        <v>1571</v>
      </c>
    </row>
    <row r="1505">
      <c r="A1505" s="4">
        <v>45536.54583333333</v>
      </c>
      <c r="B1505" s="5">
        <v>2586316.0</v>
      </c>
      <c r="C1505" s="2" t="s">
        <v>1575</v>
      </c>
      <c r="D1505" s="2" t="s">
        <v>1572</v>
      </c>
      <c r="E1505" s="2">
        <v>10106.0</v>
      </c>
      <c r="F1505" s="2" t="s">
        <v>1598</v>
      </c>
      <c r="I1505" s="7">
        <v>1.0</v>
      </c>
      <c r="J1505" s="6">
        <v>26667.0</v>
      </c>
      <c r="K1505" s="2">
        <v>0.0</v>
      </c>
      <c r="L1505" s="2">
        <v>26667.0</v>
      </c>
      <c r="M1505" s="2">
        <v>0.0</v>
      </c>
      <c r="N1505" s="2">
        <v>26667.0</v>
      </c>
      <c r="O1505" s="2">
        <v>1334.0</v>
      </c>
      <c r="P1505" s="2" t="s">
        <v>1574</v>
      </c>
      <c r="Q1505" s="2" t="s">
        <v>1568</v>
      </c>
      <c r="R1505" s="2" t="s">
        <v>1569</v>
      </c>
      <c r="S1505" s="2" t="s">
        <v>1570</v>
      </c>
      <c r="W1505" s="2" t="s">
        <v>1571</v>
      </c>
    </row>
    <row r="1506">
      <c r="A1506" s="4">
        <v>45536.544444444444</v>
      </c>
      <c r="B1506" s="5">
        <v>2585950.0</v>
      </c>
      <c r="C1506" s="2" t="s">
        <v>1575</v>
      </c>
      <c r="D1506" s="2" t="s">
        <v>1565</v>
      </c>
      <c r="E1506" s="2">
        <v>10002.0</v>
      </c>
      <c r="F1506" s="2" t="s">
        <v>1576</v>
      </c>
      <c r="I1506" s="7">
        <v>1.0</v>
      </c>
      <c r="J1506" s="6">
        <v>18571.0</v>
      </c>
      <c r="K1506" s="2">
        <v>0.0</v>
      </c>
      <c r="L1506" s="2">
        <v>18571.0</v>
      </c>
      <c r="M1506" s="2">
        <v>0.0</v>
      </c>
      <c r="N1506" s="2">
        <v>18571.0</v>
      </c>
      <c r="O1506" s="2">
        <v>929.0</v>
      </c>
      <c r="P1506" s="2" t="s">
        <v>1574</v>
      </c>
      <c r="Q1506" s="2" t="s">
        <v>1568</v>
      </c>
      <c r="R1506" s="2" t="s">
        <v>1569</v>
      </c>
      <c r="S1506" s="2" t="s">
        <v>1570</v>
      </c>
      <c r="W1506" s="2" t="s">
        <v>1571</v>
      </c>
    </row>
    <row r="1507">
      <c r="A1507" s="4">
        <v>45536.544444444444</v>
      </c>
      <c r="B1507" s="5">
        <v>2585950.0</v>
      </c>
      <c r="C1507" s="2" t="s">
        <v>1575</v>
      </c>
      <c r="D1507" s="2" t="s">
        <v>1565</v>
      </c>
      <c r="E1507" s="2">
        <v>10005.0</v>
      </c>
      <c r="F1507" s="2" t="s">
        <v>1595</v>
      </c>
      <c r="I1507" s="7">
        <v>1.0</v>
      </c>
      <c r="J1507" s="6">
        <v>19524.0</v>
      </c>
      <c r="K1507" s="2">
        <v>0.0</v>
      </c>
      <c r="L1507" s="2">
        <v>19524.0</v>
      </c>
      <c r="M1507" s="2">
        <v>0.0</v>
      </c>
      <c r="N1507" s="2">
        <v>19524.0</v>
      </c>
      <c r="O1507" s="2">
        <v>976.0</v>
      </c>
      <c r="P1507" s="2" t="s">
        <v>1574</v>
      </c>
      <c r="Q1507" s="2" t="s">
        <v>1568</v>
      </c>
      <c r="R1507" s="2" t="s">
        <v>1569</v>
      </c>
      <c r="S1507" s="2" t="s">
        <v>1570</v>
      </c>
      <c r="W1507" s="2" t="s">
        <v>1571</v>
      </c>
    </row>
    <row r="1508">
      <c r="A1508" s="4">
        <v>45536.544444444444</v>
      </c>
      <c r="B1508" s="5">
        <v>2585950.0</v>
      </c>
      <c r="C1508" s="2" t="s">
        <v>1575</v>
      </c>
      <c r="D1508" s="2" t="s">
        <v>1572</v>
      </c>
      <c r="E1508" s="2">
        <v>10026.0</v>
      </c>
      <c r="F1508" s="2" t="s">
        <v>1583</v>
      </c>
      <c r="I1508" s="7">
        <v>1.0</v>
      </c>
      <c r="J1508" s="6">
        <v>21905.0</v>
      </c>
      <c r="K1508" s="2">
        <v>0.0</v>
      </c>
      <c r="L1508" s="2">
        <v>21905.0</v>
      </c>
      <c r="M1508" s="2">
        <v>0.0</v>
      </c>
      <c r="N1508" s="2">
        <v>21905.0</v>
      </c>
      <c r="O1508" s="2">
        <v>1095.0</v>
      </c>
      <c r="P1508" s="2" t="s">
        <v>1574</v>
      </c>
      <c r="Q1508" s="2" t="s">
        <v>1568</v>
      </c>
      <c r="R1508" s="2" t="s">
        <v>1569</v>
      </c>
      <c r="S1508" s="2" t="s">
        <v>1570</v>
      </c>
      <c r="W1508" s="2" t="s">
        <v>1571</v>
      </c>
    </row>
    <row r="1509">
      <c r="A1509" s="4">
        <v>45536.544444444444</v>
      </c>
      <c r="B1509" s="5">
        <v>2585950.0</v>
      </c>
      <c r="C1509" s="2" t="s">
        <v>1575</v>
      </c>
      <c r="D1509" s="2" t="s">
        <v>1572</v>
      </c>
      <c r="E1509" s="2">
        <v>10128.0</v>
      </c>
      <c r="F1509" s="2" t="s">
        <v>1588</v>
      </c>
      <c r="I1509" s="7">
        <v>1.0</v>
      </c>
      <c r="J1509" s="6">
        <v>23333.0</v>
      </c>
      <c r="K1509" s="2">
        <v>0.0</v>
      </c>
      <c r="L1509" s="2">
        <v>23333.0</v>
      </c>
      <c r="M1509" s="2">
        <v>0.0</v>
      </c>
      <c r="N1509" s="2">
        <v>23333.0</v>
      </c>
      <c r="O1509" s="2">
        <v>1167.0</v>
      </c>
      <c r="P1509" s="2" t="s">
        <v>1574</v>
      </c>
      <c r="Q1509" s="2" t="s">
        <v>1568</v>
      </c>
      <c r="R1509" s="2" t="s">
        <v>1569</v>
      </c>
      <c r="S1509" s="2" t="s">
        <v>1570</v>
      </c>
      <c r="W1509" s="2" t="s">
        <v>1571</v>
      </c>
    </row>
    <row r="1510">
      <c r="A1510" s="4">
        <v>45536.518055555556</v>
      </c>
      <c r="B1510" s="5">
        <v>2585585.0</v>
      </c>
      <c r="C1510" s="2" t="s">
        <v>1575</v>
      </c>
      <c r="D1510" s="2" t="s">
        <v>1565</v>
      </c>
      <c r="E1510" s="2">
        <v>10054.0</v>
      </c>
      <c r="F1510" s="2" t="s">
        <v>1610</v>
      </c>
      <c r="I1510" s="7">
        <v>1.0</v>
      </c>
      <c r="J1510" s="6">
        <v>25238.0</v>
      </c>
      <c r="K1510" s="2">
        <v>0.0</v>
      </c>
      <c r="L1510" s="2">
        <v>25238.0</v>
      </c>
      <c r="M1510" s="2">
        <v>0.0</v>
      </c>
      <c r="N1510" s="2">
        <v>25238.0</v>
      </c>
      <c r="O1510" s="2">
        <v>1262.0</v>
      </c>
      <c r="P1510" s="2" t="s">
        <v>1574</v>
      </c>
      <c r="Q1510" s="2" t="s">
        <v>1568</v>
      </c>
      <c r="R1510" s="2" t="s">
        <v>1569</v>
      </c>
      <c r="S1510" s="2" t="s">
        <v>1570</v>
      </c>
      <c r="W1510" s="2" t="s">
        <v>1571</v>
      </c>
    </row>
    <row r="1511">
      <c r="A1511" s="4">
        <v>45536.518055555556</v>
      </c>
      <c r="B1511" s="5">
        <v>2585585.0</v>
      </c>
      <c r="C1511" s="2" t="s">
        <v>1575</v>
      </c>
      <c r="D1511" s="2" t="s">
        <v>1578</v>
      </c>
      <c r="E1511" s="2">
        <v>10015.0</v>
      </c>
      <c r="F1511" s="2" t="s">
        <v>1587</v>
      </c>
      <c r="I1511" s="7">
        <v>1.0</v>
      </c>
      <c r="J1511" s="6">
        <v>25238.0</v>
      </c>
      <c r="K1511" s="2">
        <v>0.0</v>
      </c>
      <c r="L1511" s="2">
        <v>25238.0</v>
      </c>
      <c r="M1511" s="2">
        <v>0.0</v>
      </c>
      <c r="N1511" s="2">
        <v>25238.0</v>
      </c>
      <c r="O1511" s="2">
        <v>1262.0</v>
      </c>
      <c r="P1511" s="2" t="s">
        <v>1574</v>
      </c>
      <c r="Q1511" s="2" t="s">
        <v>1568</v>
      </c>
      <c r="R1511" s="2" t="s">
        <v>1569</v>
      </c>
      <c r="S1511" s="2" t="s">
        <v>1570</v>
      </c>
      <c r="W1511" s="2" t="s">
        <v>1571</v>
      </c>
    </row>
    <row r="1512">
      <c r="A1512" s="4">
        <v>45536.518055555556</v>
      </c>
      <c r="B1512" s="5">
        <v>2585220.0</v>
      </c>
      <c r="C1512" s="2" t="s">
        <v>1575</v>
      </c>
      <c r="D1512" s="2" t="s">
        <v>1565</v>
      </c>
      <c r="E1512" s="2">
        <v>10007.0</v>
      </c>
      <c r="F1512" s="2" t="s">
        <v>1596</v>
      </c>
      <c r="I1512" s="7">
        <v>1.0</v>
      </c>
      <c r="J1512" s="6">
        <v>33810.0</v>
      </c>
      <c r="K1512" s="2">
        <v>0.0</v>
      </c>
      <c r="L1512" s="2">
        <v>33810.0</v>
      </c>
      <c r="M1512" s="2">
        <v>0.0</v>
      </c>
      <c r="N1512" s="2">
        <v>33810.0</v>
      </c>
      <c r="O1512" s="2">
        <v>1691.0</v>
      </c>
      <c r="P1512" s="2" t="s">
        <v>1567</v>
      </c>
      <c r="Q1512" s="2" t="s">
        <v>1568</v>
      </c>
      <c r="R1512" s="2" t="s">
        <v>1569</v>
      </c>
      <c r="S1512" s="2" t="s">
        <v>1570</v>
      </c>
      <c r="W1512" s="2" t="s">
        <v>1571</v>
      </c>
    </row>
    <row r="1513">
      <c r="A1513" s="4">
        <v>45536.518055555556</v>
      </c>
      <c r="B1513" s="5">
        <v>2585220.0</v>
      </c>
      <c r="C1513" s="2" t="s">
        <v>1575</v>
      </c>
      <c r="D1513" s="2" t="s">
        <v>1565</v>
      </c>
      <c r="E1513" s="2">
        <v>10055.0</v>
      </c>
      <c r="F1513" s="2" t="s">
        <v>1597</v>
      </c>
      <c r="I1513" s="7">
        <v>1.0</v>
      </c>
      <c r="J1513" s="6">
        <v>34762.0</v>
      </c>
      <c r="K1513" s="2">
        <v>0.0</v>
      </c>
      <c r="L1513" s="2">
        <v>34762.0</v>
      </c>
      <c r="M1513" s="2">
        <v>0.0</v>
      </c>
      <c r="N1513" s="2">
        <v>34762.0</v>
      </c>
      <c r="O1513" s="2">
        <v>1738.0</v>
      </c>
      <c r="P1513" s="2" t="s">
        <v>1567</v>
      </c>
      <c r="Q1513" s="2" t="s">
        <v>1568</v>
      </c>
      <c r="R1513" s="2" t="s">
        <v>1569</v>
      </c>
      <c r="S1513" s="2" t="s">
        <v>1570</v>
      </c>
      <c r="W1513" s="2" t="s">
        <v>1571</v>
      </c>
    </row>
    <row r="1514">
      <c r="A1514" s="4">
        <v>45536.518055555556</v>
      </c>
      <c r="B1514" s="5">
        <v>2585220.0</v>
      </c>
      <c r="C1514" s="2" t="s">
        <v>1575</v>
      </c>
      <c r="D1514" s="2" t="s">
        <v>1565</v>
      </c>
      <c r="E1514" s="2">
        <v>10005.0</v>
      </c>
      <c r="F1514" s="2" t="s">
        <v>1595</v>
      </c>
      <c r="I1514" s="7">
        <v>1.0</v>
      </c>
      <c r="J1514" s="6">
        <v>19524.0</v>
      </c>
      <c r="K1514" s="2">
        <v>0.0</v>
      </c>
      <c r="L1514" s="2">
        <v>19524.0</v>
      </c>
      <c r="M1514" s="2">
        <v>0.0</v>
      </c>
      <c r="N1514" s="2">
        <v>19524.0</v>
      </c>
      <c r="O1514" s="2">
        <v>976.0</v>
      </c>
      <c r="P1514" s="2" t="s">
        <v>1567</v>
      </c>
      <c r="Q1514" s="2" t="s">
        <v>1568</v>
      </c>
      <c r="R1514" s="2" t="s">
        <v>1569</v>
      </c>
      <c r="S1514" s="2" t="s">
        <v>1570</v>
      </c>
      <c r="W1514" s="2" t="s">
        <v>1571</v>
      </c>
    </row>
    <row r="1515">
      <c r="A1515" s="4">
        <v>45536.49236111111</v>
      </c>
      <c r="B1515" s="5">
        <v>2584855.0</v>
      </c>
      <c r="C1515" s="2" t="s">
        <v>1575</v>
      </c>
      <c r="D1515" s="2" t="s">
        <v>1572</v>
      </c>
      <c r="E1515" s="2">
        <v>10128.0</v>
      </c>
      <c r="F1515" s="2" t="s">
        <v>1588</v>
      </c>
      <c r="I1515" s="7">
        <v>1.0</v>
      </c>
      <c r="J1515" s="6">
        <v>23333.0</v>
      </c>
      <c r="K1515" s="2">
        <v>0.0</v>
      </c>
      <c r="L1515" s="2">
        <v>23333.0</v>
      </c>
      <c r="M1515" s="2">
        <v>0.0</v>
      </c>
      <c r="N1515" s="2">
        <v>23333.0</v>
      </c>
      <c r="O1515" s="2">
        <v>1167.0</v>
      </c>
      <c r="P1515" s="2" t="s">
        <v>1574</v>
      </c>
      <c r="Q1515" s="2" t="s">
        <v>1568</v>
      </c>
      <c r="R1515" s="2" t="s">
        <v>1569</v>
      </c>
      <c r="S1515" s="2" t="s">
        <v>1570</v>
      </c>
      <c r="W1515" s="2" t="s">
        <v>1571</v>
      </c>
    </row>
    <row r="1516">
      <c r="A1516" s="4">
        <v>45536.49236111111</v>
      </c>
      <c r="B1516" s="5">
        <v>2584855.0</v>
      </c>
      <c r="C1516" s="2" t="s">
        <v>1575</v>
      </c>
      <c r="D1516" s="2" t="s">
        <v>1580</v>
      </c>
      <c r="E1516" s="2">
        <v>10012.0</v>
      </c>
      <c r="F1516" s="2" t="s">
        <v>1602</v>
      </c>
      <c r="I1516" s="7">
        <v>1.0</v>
      </c>
      <c r="J1516" s="6">
        <v>29524.0</v>
      </c>
      <c r="K1516" s="2">
        <v>0.0</v>
      </c>
      <c r="L1516" s="2">
        <v>29524.0</v>
      </c>
      <c r="M1516" s="2">
        <v>0.0</v>
      </c>
      <c r="N1516" s="2">
        <v>29524.0</v>
      </c>
      <c r="O1516" s="2">
        <v>1476.0</v>
      </c>
      <c r="P1516" s="2" t="s">
        <v>1574</v>
      </c>
      <c r="Q1516" s="2" t="s">
        <v>1568</v>
      </c>
      <c r="R1516" s="2" t="s">
        <v>1569</v>
      </c>
      <c r="S1516" s="2" t="s">
        <v>1570</v>
      </c>
      <c r="W1516" s="2" t="s">
        <v>1571</v>
      </c>
    </row>
    <row r="1517">
      <c r="A1517" s="4">
        <v>45536.48611111111</v>
      </c>
      <c r="B1517" s="5">
        <v>2584489.0</v>
      </c>
      <c r="C1517" s="2" t="s">
        <v>1575</v>
      </c>
      <c r="D1517" s="2" t="s">
        <v>1565</v>
      </c>
      <c r="E1517" s="2">
        <v>10002.0</v>
      </c>
      <c r="F1517" s="2" t="s">
        <v>1576</v>
      </c>
      <c r="I1517" s="7">
        <v>1.0</v>
      </c>
      <c r="J1517" s="6">
        <v>18571.0</v>
      </c>
      <c r="K1517" s="2">
        <v>0.0</v>
      </c>
      <c r="L1517" s="2">
        <v>18571.0</v>
      </c>
      <c r="M1517" s="2">
        <v>0.0</v>
      </c>
      <c r="N1517" s="2">
        <v>18571.0</v>
      </c>
      <c r="O1517" s="2">
        <v>929.0</v>
      </c>
      <c r="P1517" s="2" t="s">
        <v>1574</v>
      </c>
      <c r="Q1517" s="2" t="s">
        <v>1568</v>
      </c>
      <c r="R1517" s="2" t="s">
        <v>1569</v>
      </c>
      <c r="S1517" s="2" t="s">
        <v>1570</v>
      </c>
      <c r="W1517" s="2" t="s">
        <v>1571</v>
      </c>
    </row>
    <row r="1518">
      <c r="A1518" s="4">
        <v>45536.48611111111</v>
      </c>
      <c r="B1518" s="5">
        <v>2584489.0</v>
      </c>
      <c r="C1518" s="2" t="s">
        <v>1575</v>
      </c>
      <c r="D1518" s="2" t="s">
        <v>1565</v>
      </c>
      <c r="E1518" s="2">
        <v>10042.0</v>
      </c>
      <c r="F1518" s="2" t="s">
        <v>1634</v>
      </c>
      <c r="I1518" s="7">
        <v>1.0</v>
      </c>
      <c r="J1518" s="6">
        <v>9524.0</v>
      </c>
      <c r="K1518" s="2">
        <v>0.0</v>
      </c>
      <c r="L1518" s="2">
        <v>9524.0</v>
      </c>
      <c r="M1518" s="2">
        <v>0.0</v>
      </c>
      <c r="N1518" s="2">
        <v>9524.0</v>
      </c>
      <c r="O1518" s="2">
        <v>476.0</v>
      </c>
      <c r="P1518" s="2" t="s">
        <v>1574</v>
      </c>
      <c r="Q1518" s="2" t="s">
        <v>1568</v>
      </c>
      <c r="R1518" s="2" t="s">
        <v>1569</v>
      </c>
      <c r="S1518" s="2" t="s">
        <v>1570</v>
      </c>
      <c r="W1518" s="2" t="s">
        <v>1571</v>
      </c>
    </row>
    <row r="1519">
      <c r="A1519" s="4">
        <v>45536.48611111111</v>
      </c>
      <c r="B1519" s="5">
        <v>2584489.0</v>
      </c>
      <c r="C1519" s="2" t="s">
        <v>1575</v>
      </c>
      <c r="D1519" s="2" t="s">
        <v>1572</v>
      </c>
      <c r="E1519" s="2">
        <v>10106.0</v>
      </c>
      <c r="F1519" s="2" t="s">
        <v>1598</v>
      </c>
      <c r="I1519" s="7">
        <v>1.0</v>
      </c>
      <c r="J1519" s="6">
        <v>26667.0</v>
      </c>
      <c r="K1519" s="2">
        <v>0.0</v>
      </c>
      <c r="L1519" s="2">
        <v>26667.0</v>
      </c>
      <c r="M1519" s="2">
        <v>0.0</v>
      </c>
      <c r="N1519" s="2">
        <v>26667.0</v>
      </c>
      <c r="O1519" s="2">
        <v>1333.0</v>
      </c>
      <c r="P1519" s="2" t="s">
        <v>1574</v>
      </c>
      <c r="Q1519" s="2" t="s">
        <v>1568</v>
      </c>
      <c r="R1519" s="2" t="s">
        <v>1569</v>
      </c>
      <c r="S1519" s="2" t="s">
        <v>1570</v>
      </c>
      <c r="W1519" s="2" t="s">
        <v>1571</v>
      </c>
    </row>
    <row r="1520">
      <c r="A1520" s="4">
        <v>45536.48611111111</v>
      </c>
      <c r="B1520" s="5">
        <v>2584489.0</v>
      </c>
      <c r="C1520" s="2" t="s">
        <v>1575</v>
      </c>
      <c r="D1520" s="2" t="s">
        <v>1572</v>
      </c>
      <c r="E1520" s="2">
        <v>10118.0</v>
      </c>
      <c r="F1520" s="2" t="s">
        <v>1604</v>
      </c>
      <c r="I1520" s="7">
        <v>1.0</v>
      </c>
      <c r="J1520" s="6">
        <v>7143.0</v>
      </c>
      <c r="K1520" s="2">
        <v>0.0</v>
      </c>
      <c r="L1520" s="2">
        <v>7143.0</v>
      </c>
      <c r="M1520" s="2">
        <v>0.0</v>
      </c>
      <c r="N1520" s="2">
        <v>7143.0</v>
      </c>
      <c r="O1520" s="2">
        <v>357.0</v>
      </c>
      <c r="P1520" s="2" t="s">
        <v>1574</v>
      </c>
      <c r="Q1520" s="2" t="s">
        <v>1568</v>
      </c>
      <c r="R1520" s="2" t="s">
        <v>1569</v>
      </c>
      <c r="S1520" s="2" t="s">
        <v>1570</v>
      </c>
      <c r="W1520" s="2" t="s">
        <v>1571</v>
      </c>
    </row>
    <row r="1521">
      <c r="A1521" s="4">
        <v>45536.48611111111</v>
      </c>
      <c r="B1521" s="5">
        <v>2584489.0</v>
      </c>
      <c r="C1521" s="2" t="s">
        <v>1575</v>
      </c>
      <c r="D1521" s="2" t="s">
        <v>1580</v>
      </c>
      <c r="E1521" s="2">
        <v>10003.0</v>
      </c>
      <c r="F1521" s="2" t="s">
        <v>1603</v>
      </c>
      <c r="I1521" s="7">
        <v>1.0</v>
      </c>
      <c r="J1521" s="6">
        <v>29524.0</v>
      </c>
      <c r="K1521" s="2">
        <v>0.0</v>
      </c>
      <c r="L1521" s="2">
        <v>29524.0</v>
      </c>
      <c r="M1521" s="2">
        <v>0.0</v>
      </c>
      <c r="N1521" s="2">
        <v>29524.0</v>
      </c>
      <c r="O1521" s="2">
        <v>1476.0</v>
      </c>
      <c r="P1521" s="2" t="s">
        <v>1574</v>
      </c>
      <c r="Q1521" s="2" t="s">
        <v>1568</v>
      </c>
      <c r="R1521" s="2" t="s">
        <v>1569</v>
      </c>
      <c r="S1521" s="2" t="s">
        <v>1570</v>
      </c>
      <c r="W1521" s="2" t="s">
        <v>1571</v>
      </c>
    </row>
    <row r="1522">
      <c r="A1522" s="4">
        <v>45536.48125</v>
      </c>
      <c r="B1522" s="5">
        <v>2584124.0</v>
      </c>
      <c r="C1522" s="2" t="s">
        <v>1575</v>
      </c>
      <c r="D1522" s="2" t="s">
        <v>1565</v>
      </c>
      <c r="E1522" s="2">
        <v>10007.0</v>
      </c>
      <c r="F1522" s="2" t="s">
        <v>1596</v>
      </c>
      <c r="I1522" s="7">
        <v>1.0</v>
      </c>
      <c r="J1522" s="6">
        <v>33810.0</v>
      </c>
      <c r="K1522" s="2">
        <v>0.0</v>
      </c>
      <c r="L1522" s="2">
        <v>33810.0</v>
      </c>
      <c r="M1522" s="2">
        <v>0.0</v>
      </c>
      <c r="N1522" s="2">
        <v>33810.0</v>
      </c>
      <c r="O1522" s="2">
        <v>1691.0</v>
      </c>
      <c r="P1522" s="2" t="s">
        <v>1574</v>
      </c>
      <c r="Q1522" s="2" t="s">
        <v>1568</v>
      </c>
      <c r="R1522" s="2" t="s">
        <v>1569</v>
      </c>
      <c r="S1522" s="2" t="s">
        <v>1570</v>
      </c>
      <c r="W1522" s="2" t="s">
        <v>1571</v>
      </c>
    </row>
    <row r="1523">
      <c r="A1523" s="4">
        <v>45536.48125</v>
      </c>
      <c r="B1523" s="5">
        <v>2584124.0</v>
      </c>
      <c r="C1523" s="2" t="s">
        <v>1575</v>
      </c>
      <c r="D1523" s="2" t="s">
        <v>1565</v>
      </c>
      <c r="E1523" s="2">
        <v>10054.0</v>
      </c>
      <c r="F1523" s="2" t="s">
        <v>1610</v>
      </c>
      <c r="I1523" s="7">
        <v>1.0</v>
      </c>
      <c r="J1523" s="6">
        <v>25238.0</v>
      </c>
      <c r="K1523" s="2">
        <v>0.0</v>
      </c>
      <c r="L1523" s="2">
        <v>25238.0</v>
      </c>
      <c r="M1523" s="2">
        <v>0.0</v>
      </c>
      <c r="N1523" s="2">
        <v>25238.0</v>
      </c>
      <c r="O1523" s="2">
        <v>1261.0</v>
      </c>
      <c r="P1523" s="2" t="s">
        <v>1574</v>
      </c>
      <c r="Q1523" s="2" t="s">
        <v>1568</v>
      </c>
      <c r="R1523" s="2" t="s">
        <v>1569</v>
      </c>
      <c r="S1523" s="2" t="s">
        <v>1570</v>
      </c>
      <c r="W1523" s="2" t="s">
        <v>1571</v>
      </c>
    </row>
    <row r="1524">
      <c r="A1524" s="4">
        <v>45536.48125</v>
      </c>
      <c r="B1524" s="5">
        <v>2584124.0</v>
      </c>
      <c r="C1524" s="2" t="s">
        <v>1575</v>
      </c>
      <c r="D1524" s="2" t="s">
        <v>1572</v>
      </c>
      <c r="E1524" s="2">
        <v>10026.0</v>
      </c>
      <c r="F1524" s="2" t="s">
        <v>1583</v>
      </c>
      <c r="I1524" s="7">
        <v>1.0</v>
      </c>
      <c r="J1524" s="6">
        <v>21905.0</v>
      </c>
      <c r="K1524" s="2">
        <v>0.0</v>
      </c>
      <c r="L1524" s="2">
        <v>21905.0</v>
      </c>
      <c r="M1524" s="2">
        <v>0.0</v>
      </c>
      <c r="N1524" s="2">
        <v>21905.0</v>
      </c>
      <c r="O1524" s="2">
        <v>1096.0</v>
      </c>
      <c r="P1524" s="2" t="s">
        <v>1574</v>
      </c>
      <c r="Q1524" s="2" t="s">
        <v>1568</v>
      </c>
      <c r="R1524" s="2" t="s">
        <v>1569</v>
      </c>
      <c r="S1524" s="2" t="s">
        <v>1570</v>
      </c>
      <c r="W1524" s="2" t="s">
        <v>1571</v>
      </c>
    </row>
    <row r="1525">
      <c r="A1525" s="4">
        <v>45536.48125</v>
      </c>
      <c r="B1525" s="5">
        <v>2584124.0</v>
      </c>
      <c r="C1525" s="2" t="s">
        <v>1575</v>
      </c>
      <c r="D1525" s="2" t="s">
        <v>1572</v>
      </c>
      <c r="E1525" s="2">
        <v>10128.0</v>
      </c>
      <c r="F1525" s="2" t="s">
        <v>1588</v>
      </c>
      <c r="I1525" s="7">
        <v>1.0</v>
      </c>
      <c r="J1525" s="6">
        <v>23333.0</v>
      </c>
      <c r="K1525" s="2">
        <v>0.0</v>
      </c>
      <c r="L1525" s="2">
        <v>23333.0</v>
      </c>
      <c r="M1525" s="2">
        <v>0.0</v>
      </c>
      <c r="N1525" s="2">
        <v>23333.0</v>
      </c>
      <c r="O1525" s="2">
        <v>1166.0</v>
      </c>
      <c r="P1525" s="2" t="s">
        <v>1574</v>
      </c>
      <c r="Q1525" s="2" t="s">
        <v>1568</v>
      </c>
      <c r="R1525" s="2" t="s">
        <v>1569</v>
      </c>
      <c r="S1525" s="2" t="s">
        <v>1570</v>
      </c>
      <c r="W1525" s="2" t="s">
        <v>1571</v>
      </c>
    </row>
    <row r="1526">
      <c r="A1526" s="4">
        <v>45536.438888888886</v>
      </c>
      <c r="B1526" s="5">
        <v>2583759.0</v>
      </c>
      <c r="C1526" s="2" t="s">
        <v>1575</v>
      </c>
      <c r="D1526" s="2" t="s">
        <v>1565</v>
      </c>
      <c r="E1526" s="2">
        <v>10007.0</v>
      </c>
      <c r="F1526" s="2" t="s">
        <v>1596</v>
      </c>
      <c r="I1526" s="7">
        <v>1.0</v>
      </c>
      <c r="J1526" s="6">
        <v>33810.0</v>
      </c>
      <c r="K1526" s="2">
        <v>0.0</v>
      </c>
      <c r="L1526" s="2">
        <v>33810.0</v>
      </c>
      <c r="M1526" s="2">
        <v>0.0</v>
      </c>
      <c r="N1526" s="2">
        <v>33810.0</v>
      </c>
      <c r="O1526" s="2">
        <v>1691.0</v>
      </c>
      <c r="P1526" s="2" t="s">
        <v>1574</v>
      </c>
      <c r="Q1526" s="2" t="s">
        <v>1568</v>
      </c>
      <c r="R1526" s="2" t="s">
        <v>1569</v>
      </c>
      <c r="S1526" s="2" t="s">
        <v>1570</v>
      </c>
      <c r="W1526" s="2" t="s">
        <v>1571</v>
      </c>
    </row>
    <row r="1527">
      <c r="A1527" s="4">
        <v>45536.419444444444</v>
      </c>
      <c r="B1527" s="5">
        <v>2583394.0</v>
      </c>
      <c r="C1527" s="2" t="s">
        <v>1575</v>
      </c>
      <c r="D1527" s="2" t="s">
        <v>1565</v>
      </c>
      <c r="E1527" s="2">
        <v>10042.0</v>
      </c>
      <c r="F1527" s="2" t="s">
        <v>1634</v>
      </c>
      <c r="I1527" s="7">
        <v>1.0</v>
      </c>
      <c r="J1527" s="6">
        <v>9524.0</v>
      </c>
      <c r="K1527" s="2">
        <v>0.0</v>
      </c>
      <c r="L1527" s="2">
        <v>9524.0</v>
      </c>
      <c r="M1527" s="2">
        <v>0.0</v>
      </c>
      <c r="N1527" s="2">
        <v>9524.0</v>
      </c>
      <c r="O1527" s="2">
        <v>476.0</v>
      </c>
      <c r="P1527" s="2" t="s">
        <v>1567</v>
      </c>
      <c r="Q1527" s="2" t="s">
        <v>1568</v>
      </c>
      <c r="R1527" s="2" t="s">
        <v>1569</v>
      </c>
      <c r="S1527" s="2" t="s">
        <v>1570</v>
      </c>
      <c r="W1527" s="2" t="s">
        <v>1571</v>
      </c>
    </row>
    <row r="1528">
      <c r="A1528" s="4">
        <v>45536.419444444444</v>
      </c>
      <c r="B1528" s="5">
        <v>2583394.0</v>
      </c>
      <c r="C1528" s="2" t="s">
        <v>1575</v>
      </c>
      <c r="D1528" s="2" t="s">
        <v>1565</v>
      </c>
      <c r="E1528" s="2">
        <v>10002.0</v>
      </c>
      <c r="F1528" s="2" t="s">
        <v>1576</v>
      </c>
      <c r="I1528" s="7">
        <v>1.0</v>
      </c>
      <c r="J1528" s="6">
        <v>18571.0</v>
      </c>
      <c r="K1528" s="2">
        <v>0.0</v>
      </c>
      <c r="L1528" s="2">
        <v>18571.0</v>
      </c>
      <c r="M1528" s="2">
        <v>0.0</v>
      </c>
      <c r="N1528" s="2">
        <v>18571.0</v>
      </c>
      <c r="O1528" s="2">
        <v>929.0</v>
      </c>
      <c r="P1528" s="2" t="s">
        <v>1567</v>
      </c>
      <c r="Q1528" s="2" t="s">
        <v>1568</v>
      </c>
      <c r="R1528" s="2" t="s">
        <v>1569</v>
      </c>
      <c r="S1528" s="2" t="s">
        <v>1570</v>
      </c>
      <c r="W1528" s="2" t="s">
        <v>1571</v>
      </c>
    </row>
    <row r="1529">
      <c r="A1529" s="4">
        <v>45536.402083333334</v>
      </c>
      <c r="B1529" s="5">
        <v>2583028.0</v>
      </c>
      <c r="C1529" s="2" t="s">
        <v>1575</v>
      </c>
      <c r="D1529" s="2" t="s">
        <v>1572</v>
      </c>
      <c r="E1529" s="2">
        <v>10065.0</v>
      </c>
      <c r="F1529" s="2" t="s">
        <v>1633</v>
      </c>
      <c r="I1529" s="7">
        <v>1.0</v>
      </c>
      <c r="J1529" s="6">
        <v>23810.0</v>
      </c>
      <c r="K1529" s="2">
        <v>0.0</v>
      </c>
      <c r="L1529" s="2">
        <v>23810.0</v>
      </c>
      <c r="M1529" s="2">
        <v>0.0</v>
      </c>
      <c r="N1529" s="2">
        <v>23810.0</v>
      </c>
      <c r="O1529" s="2">
        <v>1191.0</v>
      </c>
      <c r="P1529" s="2" t="s">
        <v>1574</v>
      </c>
      <c r="Q1529" s="2" t="s">
        <v>1568</v>
      </c>
      <c r="R1529" s="2" t="s">
        <v>1569</v>
      </c>
      <c r="S1529" s="2" t="s">
        <v>1570</v>
      </c>
      <c r="W1529" s="2" t="s">
        <v>1571</v>
      </c>
    </row>
    <row r="1530">
      <c r="A1530" s="4">
        <v>45536.402083333334</v>
      </c>
      <c r="B1530" s="5">
        <v>2583028.0</v>
      </c>
      <c r="C1530" s="2" t="s">
        <v>1575</v>
      </c>
      <c r="D1530" s="2" t="s">
        <v>1565</v>
      </c>
      <c r="E1530" s="2">
        <v>10033.0</v>
      </c>
      <c r="F1530" s="2" t="s">
        <v>1615</v>
      </c>
      <c r="I1530" s="7">
        <v>1.0</v>
      </c>
      <c r="J1530" s="6">
        <v>21905.0</v>
      </c>
      <c r="K1530" s="2">
        <v>0.0</v>
      </c>
      <c r="L1530" s="2">
        <v>21905.0</v>
      </c>
      <c r="M1530" s="2">
        <v>0.0</v>
      </c>
      <c r="N1530" s="2">
        <v>21905.0</v>
      </c>
      <c r="O1530" s="2">
        <v>1095.0</v>
      </c>
      <c r="P1530" s="2" t="s">
        <v>1574</v>
      </c>
      <c r="Q1530" s="2" t="s">
        <v>1568</v>
      </c>
      <c r="R1530" s="2" t="s">
        <v>1569</v>
      </c>
      <c r="S1530" s="2" t="s">
        <v>1570</v>
      </c>
      <c r="W1530" s="2" t="s">
        <v>1571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9" max="10" width="30.88"/>
  </cols>
  <sheetData>
    <row r="1">
      <c r="A1" s="2" t="str">
        <f t="array" ref="A1:A1530">Data!A:A</f>
        <v>Date</v>
      </c>
      <c r="B1" s="1" t="s">
        <v>1638</v>
      </c>
      <c r="D1" s="1" t="s">
        <v>1639</v>
      </c>
      <c r="E1" s="1" t="s">
        <v>1640</v>
      </c>
      <c r="F1" s="1" t="s">
        <v>1641</v>
      </c>
      <c r="G1" s="1" t="s">
        <v>1642</v>
      </c>
      <c r="H1" s="1" t="s">
        <v>1643</v>
      </c>
      <c r="I1" s="2" t="str">
        <f t="array" ref="I1:I1530">Data!F:F</f>
        <v>Item</v>
      </c>
      <c r="J1" s="1" t="s">
        <v>1644</v>
      </c>
      <c r="K1" s="8" t="s">
        <v>1549</v>
      </c>
      <c r="L1" s="1" t="s">
        <v>1645</v>
      </c>
      <c r="M1" s="1" t="s">
        <v>1541</v>
      </c>
      <c r="N1" s="1" t="s">
        <v>1</v>
      </c>
      <c r="O1" s="1" t="s">
        <v>1646</v>
      </c>
    </row>
    <row r="2">
      <c r="A2" s="4">
        <v>45564.850694444445</v>
      </c>
      <c r="B2" s="9">
        <f>IFERROR(__xludf.DUMMYFUNCTION("SPLIT(A2,"" "")"),45564.0)</f>
        <v>45564</v>
      </c>
      <c r="C2" s="10">
        <f>IFERROR(__xludf.DUMMYFUNCTION("""COMPUTED_VALUE"""),0.8506944444444444)</f>
        <v>0.8506944444</v>
      </c>
      <c r="D2" s="2">
        <f t="shared" ref="D2:D1530" si="1">HOUR(C2)</f>
        <v>20</v>
      </c>
      <c r="E2" s="2">
        <f>IFERROR(__xludf.DUMMYFUNCTION("SPLIT(B2,""/"")"),29.0)</f>
        <v>29</v>
      </c>
      <c r="F2" s="2">
        <f>IFERROR(__xludf.DUMMYFUNCTION("""COMPUTED_VALUE"""),9.0)</f>
        <v>9</v>
      </c>
      <c r="G2" s="2">
        <f>IFERROR(__xludf.DUMMYFUNCTION("""COMPUTED_VALUE"""),2024.0)</f>
        <v>2024</v>
      </c>
      <c r="H2" s="2" t="str">
        <f t="shared" ref="H2:H1530" si="2">TEXTJOIN("/",1,G2,F2,E2)</f>
        <v>2024/9/29</v>
      </c>
      <c r="I2" s="2" t="s">
        <v>1566</v>
      </c>
      <c r="J2" s="2" t="str">
        <f t="shared" ref="J2:J1530" si="3">IFERROR(ifs(I2="Roti cranberry 2 pcs","Roti Cranberry",I2="Roti Gandum Cokelat 2 pcs","Roti Gandum Cokelat"),I2)</f>
        <v>Roti Bawang Saus Keju</v>
      </c>
      <c r="K2" s="7">
        <f>if(RIGHT(I2,5)="2 pcs",2,Data!I2)</f>
        <v>-1</v>
      </c>
      <c r="L2" s="2" t="str">
        <f t="shared" ref="L2:L1530" si="4">TEXT(B2,"dddd")</f>
        <v>Sunday</v>
      </c>
      <c r="M2" s="2" t="str">
        <f t="shared" ref="M2:M1530" si="5">TEXT(H2,"d")</f>
        <v>29</v>
      </c>
      <c r="N2" s="2">
        <f>VLOOKUP(L2,'Data Info'!$A$1:$B$8,2,0)</f>
        <v>7</v>
      </c>
      <c r="O2" s="2" t="str">
        <f>VLOOKUP(L2,'Data Info'!$A$1:$C$8,3,0)</f>
        <v>Weekend</v>
      </c>
    </row>
    <row r="3">
      <c r="A3" s="4">
        <v>45564.85</v>
      </c>
      <c r="B3" s="9">
        <f>IFERROR(__xludf.DUMMYFUNCTION("SPLIT(A3,"" "")"),45564.0)</f>
        <v>45564</v>
      </c>
      <c r="C3" s="10">
        <f>IFERROR(__xludf.DUMMYFUNCTION("""COMPUTED_VALUE"""),0.85)</f>
        <v>0.85</v>
      </c>
      <c r="D3" s="2">
        <f t="shared" si="1"/>
        <v>20</v>
      </c>
      <c r="E3" s="2">
        <f>IFERROR(__xludf.DUMMYFUNCTION("SPLIT(B3,""/"")"),29.0)</f>
        <v>29</v>
      </c>
      <c r="F3" s="2">
        <f>IFERROR(__xludf.DUMMYFUNCTION("""COMPUTED_VALUE"""),9.0)</f>
        <v>9</v>
      </c>
      <c r="G3" s="2">
        <f>IFERROR(__xludf.DUMMYFUNCTION("""COMPUTED_VALUE"""),2024.0)</f>
        <v>2024</v>
      </c>
      <c r="H3" s="2" t="str">
        <f t="shared" si="2"/>
        <v>2024/9/29</v>
      </c>
      <c r="I3" s="2" t="s">
        <v>1573</v>
      </c>
      <c r="J3" s="2" t="str">
        <f t="shared" si="3"/>
        <v>Air mineral</v>
      </c>
      <c r="K3" s="7">
        <f>if(RIGHT(I3,5)="2 pcs",2,Data!I3)</f>
        <v>-2</v>
      </c>
      <c r="L3" s="2" t="str">
        <f t="shared" si="4"/>
        <v>Sunday</v>
      </c>
      <c r="M3" s="2" t="str">
        <f t="shared" si="5"/>
        <v>29</v>
      </c>
      <c r="N3" s="2">
        <f>VLOOKUP(L3,'Data Info'!$A$1:$B$8,2,0)</f>
        <v>7</v>
      </c>
      <c r="O3" s="2" t="str">
        <f>VLOOKUP(L3,'Data Info'!$A$1:$C$8,3,0)</f>
        <v>Weekend</v>
      </c>
    </row>
    <row r="4">
      <c r="A4" s="4">
        <v>45564.84444444445</v>
      </c>
      <c r="B4" s="9">
        <f>IFERROR(__xludf.DUMMYFUNCTION("SPLIT(A4,"" "")"),45564.0)</f>
        <v>45564</v>
      </c>
      <c r="C4" s="10">
        <f>IFERROR(__xludf.DUMMYFUNCTION("""COMPUTED_VALUE"""),0.8444444444444444)</f>
        <v>0.8444444444</v>
      </c>
      <c r="D4" s="2">
        <f t="shared" si="1"/>
        <v>20</v>
      </c>
      <c r="E4" s="2">
        <f>IFERROR(__xludf.DUMMYFUNCTION("SPLIT(B4,""/"")"),29.0)</f>
        <v>29</v>
      </c>
      <c r="F4" s="2">
        <f>IFERROR(__xludf.DUMMYFUNCTION("""COMPUTED_VALUE"""),9.0)</f>
        <v>9</v>
      </c>
      <c r="G4" s="2">
        <f>IFERROR(__xludf.DUMMYFUNCTION("""COMPUTED_VALUE"""),2024.0)</f>
        <v>2024</v>
      </c>
      <c r="H4" s="2" t="str">
        <f t="shared" si="2"/>
        <v>2024/9/29</v>
      </c>
      <c r="I4" s="2" t="s">
        <v>1576</v>
      </c>
      <c r="J4" s="2" t="str">
        <f t="shared" si="3"/>
        <v>Roti Cranberry</v>
      </c>
      <c r="K4" s="7">
        <f>if(RIGHT(I4,5)="2 pcs",2,Data!I4)</f>
        <v>1</v>
      </c>
      <c r="L4" s="2" t="str">
        <f t="shared" si="4"/>
        <v>Sunday</v>
      </c>
      <c r="M4" s="2" t="str">
        <f t="shared" si="5"/>
        <v>29</v>
      </c>
      <c r="N4" s="2">
        <f>VLOOKUP(L4,'Data Info'!$A$1:$B$8,2,0)</f>
        <v>7</v>
      </c>
      <c r="O4" s="2" t="str">
        <f>VLOOKUP(L4,'Data Info'!$A$1:$C$8,3,0)</f>
        <v>Weekend</v>
      </c>
    </row>
    <row r="5">
      <c r="A5" s="4">
        <v>45564.77777777778</v>
      </c>
      <c r="B5" s="9">
        <f>IFERROR(__xludf.DUMMYFUNCTION("SPLIT(A5,"" "")"),45564.0)</f>
        <v>45564</v>
      </c>
      <c r="C5" s="10">
        <f>IFERROR(__xludf.DUMMYFUNCTION("""COMPUTED_VALUE"""),0.7777777777777778)</f>
        <v>0.7777777778</v>
      </c>
      <c r="D5" s="2">
        <f t="shared" si="1"/>
        <v>18</v>
      </c>
      <c r="E5" s="2">
        <f>IFERROR(__xludf.DUMMYFUNCTION("SPLIT(B5,""/"")"),29.0)</f>
        <v>29</v>
      </c>
      <c r="F5" s="2">
        <f>IFERROR(__xludf.DUMMYFUNCTION("""COMPUTED_VALUE"""),9.0)</f>
        <v>9</v>
      </c>
      <c r="G5" s="2">
        <f>IFERROR(__xludf.DUMMYFUNCTION("""COMPUTED_VALUE"""),2024.0)</f>
        <v>2024</v>
      </c>
      <c r="H5" s="2" t="str">
        <f t="shared" si="2"/>
        <v>2024/9/29</v>
      </c>
      <c r="I5" s="2" t="s">
        <v>1577</v>
      </c>
      <c r="J5" s="2" t="str">
        <f t="shared" si="3"/>
        <v>Rempah Madu Panas</v>
      </c>
      <c r="K5" s="7">
        <f>if(RIGHT(I5,5)="2 pcs",2,Data!I5)</f>
        <v>2</v>
      </c>
      <c r="L5" s="2" t="str">
        <f t="shared" si="4"/>
        <v>Sunday</v>
      </c>
      <c r="M5" s="2" t="str">
        <f t="shared" si="5"/>
        <v>29</v>
      </c>
      <c r="N5" s="2">
        <f>VLOOKUP(L5,'Data Info'!$A$1:$B$8,2,0)</f>
        <v>7</v>
      </c>
      <c r="O5" s="2" t="str">
        <f>VLOOKUP(L5,'Data Info'!$A$1:$C$8,3,0)</f>
        <v>Weekend</v>
      </c>
    </row>
    <row r="6">
      <c r="A6" s="4">
        <v>45564.77777777778</v>
      </c>
      <c r="B6" s="9">
        <f>IFERROR(__xludf.DUMMYFUNCTION("SPLIT(A6,"" "")"),45564.0)</f>
        <v>45564</v>
      </c>
      <c r="C6" s="10">
        <f>IFERROR(__xludf.DUMMYFUNCTION("""COMPUTED_VALUE"""),0.7777777777777778)</f>
        <v>0.7777777778</v>
      </c>
      <c r="D6" s="2">
        <f t="shared" si="1"/>
        <v>18</v>
      </c>
      <c r="E6" s="2">
        <f>IFERROR(__xludf.DUMMYFUNCTION("SPLIT(B6,""/"")"),29.0)</f>
        <v>29</v>
      </c>
      <c r="F6" s="2">
        <f>IFERROR(__xludf.DUMMYFUNCTION("""COMPUTED_VALUE"""),9.0)</f>
        <v>9</v>
      </c>
      <c r="G6" s="2">
        <f>IFERROR(__xludf.DUMMYFUNCTION("""COMPUTED_VALUE"""),2024.0)</f>
        <v>2024</v>
      </c>
      <c r="H6" s="2" t="str">
        <f t="shared" si="2"/>
        <v>2024/9/29</v>
      </c>
      <c r="I6" s="2" t="s">
        <v>1579</v>
      </c>
      <c r="J6" s="2" t="str">
        <f t="shared" si="3"/>
        <v>Tahu baso</v>
      </c>
      <c r="K6" s="7">
        <f>if(RIGHT(I6,5)="2 pcs",2,Data!I6)</f>
        <v>1</v>
      </c>
      <c r="L6" s="2" t="str">
        <f t="shared" si="4"/>
        <v>Sunday</v>
      </c>
      <c r="M6" s="2" t="str">
        <f t="shared" si="5"/>
        <v>29</v>
      </c>
      <c r="N6" s="2">
        <f>VLOOKUP(L6,'Data Info'!$A$1:$B$8,2,0)</f>
        <v>7</v>
      </c>
      <c r="O6" s="2" t="str">
        <f>VLOOKUP(L6,'Data Info'!$A$1:$C$8,3,0)</f>
        <v>Weekend</v>
      </c>
    </row>
    <row r="7">
      <c r="A7" s="4">
        <v>45564.77777777778</v>
      </c>
      <c r="B7" s="9">
        <f>IFERROR(__xludf.DUMMYFUNCTION("SPLIT(A7,"" "")"),45564.0)</f>
        <v>45564</v>
      </c>
      <c r="C7" s="10">
        <f>IFERROR(__xludf.DUMMYFUNCTION("""COMPUTED_VALUE"""),0.7777777777777778)</f>
        <v>0.7777777778</v>
      </c>
      <c r="D7" s="2">
        <f t="shared" si="1"/>
        <v>18</v>
      </c>
      <c r="E7" s="2">
        <f>IFERROR(__xludf.DUMMYFUNCTION("SPLIT(B7,""/"")"),29.0)</f>
        <v>29</v>
      </c>
      <c r="F7" s="2">
        <f>IFERROR(__xludf.DUMMYFUNCTION("""COMPUTED_VALUE"""),9.0)</f>
        <v>9</v>
      </c>
      <c r="G7" s="2">
        <f>IFERROR(__xludf.DUMMYFUNCTION("""COMPUTED_VALUE"""),2024.0)</f>
        <v>2024</v>
      </c>
      <c r="H7" s="2" t="str">
        <f t="shared" si="2"/>
        <v>2024/9/29</v>
      </c>
      <c r="I7" s="2" t="s">
        <v>1577</v>
      </c>
      <c r="J7" s="2" t="str">
        <f t="shared" si="3"/>
        <v>Rempah Madu Panas</v>
      </c>
      <c r="K7" s="7">
        <f>if(RIGHT(I7,5)="2 pcs",2,Data!I7)</f>
        <v>-1</v>
      </c>
      <c r="L7" s="2" t="str">
        <f t="shared" si="4"/>
        <v>Sunday</v>
      </c>
      <c r="M7" s="2" t="str">
        <f t="shared" si="5"/>
        <v>29</v>
      </c>
      <c r="N7" s="2">
        <f>VLOOKUP(L7,'Data Info'!$A$1:$B$8,2,0)</f>
        <v>7</v>
      </c>
      <c r="O7" s="2" t="str">
        <f>VLOOKUP(L7,'Data Info'!$A$1:$C$8,3,0)</f>
        <v>Weekend</v>
      </c>
    </row>
    <row r="8">
      <c r="A8" s="4">
        <v>45564.77777777778</v>
      </c>
      <c r="B8" s="9">
        <f>IFERROR(__xludf.DUMMYFUNCTION("SPLIT(A8,"" "")"),45564.0)</f>
        <v>45564</v>
      </c>
      <c r="C8" s="10">
        <f>IFERROR(__xludf.DUMMYFUNCTION("""COMPUTED_VALUE"""),0.7777777777777778)</f>
        <v>0.7777777778</v>
      </c>
      <c r="D8" s="2">
        <f t="shared" si="1"/>
        <v>18</v>
      </c>
      <c r="E8" s="2">
        <f>IFERROR(__xludf.DUMMYFUNCTION("SPLIT(B8,""/"")"),29.0)</f>
        <v>29</v>
      </c>
      <c r="F8" s="2">
        <f>IFERROR(__xludf.DUMMYFUNCTION("""COMPUTED_VALUE"""),9.0)</f>
        <v>9</v>
      </c>
      <c r="G8" s="2">
        <f>IFERROR(__xludf.DUMMYFUNCTION("""COMPUTED_VALUE"""),2024.0)</f>
        <v>2024</v>
      </c>
      <c r="H8" s="2" t="str">
        <f t="shared" si="2"/>
        <v>2024/9/29</v>
      </c>
      <c r="I8" s="2" t="s">
        <v>1579</v>
      </c>
      <c r="J8" s="2" t="str">
        <f t="shared" si="3"/>
        <v>Tahu baso</v>
      </c>
      <c r="K8" s="7">
        <f>if(RIGHT(I8,5)="2 pcs",2,Data!I8)</f>
        <v>-2</v>
      </c>
      <c r="L8" s="2" t="str">
        <f t="shared" si="4"/>
        <v>Sunday</v>
      </c>
      <c r="M8" s="2" t="str">
        <f t="shared" si="5"/>
        <v>29</v>
      </c>
      <c r="N8" s="2">
        <f>VLOOKUP(L8,'Data Info'!$A$1:$B$8,2,0)</f>
        <v>7</v>
      </c>
      <c r="O8" s="2" t="str">
        <f>VLOOKUP(L8,'Data Info'!$A$1:$C$8,3,0)</f>
        <v>Weekend</v>
      </c>
    </row>
    <row r="9">
      <c r="A9" s="4">
        <v>45564.77777777778</v>
      </c>
      <c r="B9" s="9">
        <f>IFERROR(__xludf.DUMMYFUNCTION("SPLIT(A9,"" "")"),45564.0)</f>
        <v>45564</v>
      </c>
      <c r="C9" s="10">
        <f>IFERROR(__xludf.DUMMYFUNCTION("""COMPUTED_VALUE"""),0.7777777777777778)</f>
        <v>0.7777777778</v>
      </c>
      <c r="D9" s="2">
        <f t="shared" si="1"/>
        <v>18</v>
      </c>
      <c r="E9" s="2">
        <f>IFERROR(__xludf.DUMMYFUNCTION("SPLIT(B9,""/"")"),29.0)</f>
        <v>29</v>
      </c>
      <c r="F9" s="2">
        <f>IFERROR(__xludf.DUMMYFUNCTION("""COMPUTED_VALUE"""),9.0)</f>
        <v>9</v>
      </c>
      <c r="G9" s="2">
        <f>IFERROR(__xludf.DUMMYFUNCTION("""COMPUTED_VALUE"""),2024.0)</f>
        <v>2024</v>
      </c>
      <c r="H9" s="2" t="str">
        <f t="shared" si="2"/>
        <v>2024/9/29</v>
      </c>
      <c r="I9" s="2" t="s">
        <v>1577</v>
      </c>
      <c r="J9" s="2" t="str">
        <f t="shared" si="3"/>
        <v>Rempah Madu Panas</v>
      </c>
      <c r="K9" s="7">
        <f>if(RIGHT(I9,5)="2 pcs",2,Data!I9)</f>
        <v>-1</v>
      </c>
      <c r="L9" s="2" t="str">
        <f t="shared" si="4"/>
        <v>Sunday</v>
      </c>
      <c r="M9" s="2" t="str">
        <f t="shared" si="5"/>
        <v>29</v>
      </c>
      <c r="N9" s="2">
        <f>VLOOKUP(L9,'Data Info'!$A$1:$B$8,2,0)</f>
        <v>7</v>
      </c>
      <c r="O9" s="2" t="str">
        <f>VLOOKUP(L9,'Data Info'!$A$1:$C$8,3,0)</f>
        <v>Weekend</v>
      </c>
    </row>
    <row r="10">
      <c r="A10" s="4">
        <v>45564.775</v>
      </c>
      <c r="B10" s="9">
        <f>IFERROR(__xludf.DUMMYFUNCTION("SPLIT(A10,"" "")"),45564.0)</f>
        <v>45564</v>
      </c>
      <c r="C10" s="10">
        <f>IFERROR(__xludf.DUMMYFUNCTION("""COMPUTED_VALUE"""),0.775)</f>
        <v>0.775</v>
      </c>
      <c r="D10" s="2">
        <f t="shared" si="1"/>
        <v>18</v>
      </c>
      <c r="E10" s="2">
        <f>IFERROR(__xludf.DUMMYFUNCTION("SPLIT(B10,""/"")"),29.0)</f>
        <v>29</v>
      </c>
      <c r="F10" s="2">
        <f>IFERROR(__xludf.DUMMYFUNCTION("""COMPUTED_VALUE"""),9.0)</f>
        <v>9</v>
      </c>
      <c r="G10" s="2">
        <f>IFERROR(__xludf.DUMMYFUNCTION("""COMPUTED_VALUE"""),2024.0)</f>
        <v>2024</v>
      </c>
      <c r="H10" s="2" t="str">
        <f t="shared" si="2"/>
        <v>2024/9/29</v>
      </c>
      <c r="I10" s="2" t="s">
        <v>1577</v>
      </c>
      <c r="J10" s="2" t="str">
        <f t="shared" si="3"/>
        <v>Rempah Madu Panas</v>
      </c>
      <c r="K10" s="7">
        <f>if(RIGHT(I10,5)="2 pcs",2,Data!I10)</f>
        <v>1</v>
      </c>
      <c r="L10" s="2" t="str">
        <f t="shared" si="4"/>
        <v>Sunday</v>
      </c>
      <c r="M10" s="2" t="str">
        <f t="shared" si="5"/>
        <v>29</v>
      </c>
      <c r="N10" s="2">
        <f>VLOOKUP(L10,'Data Info'!$A$1:$B$8,2,0)</f>
        <v>7</v>
      </c>
      <c r="O10" s="2" t="str">
        <f>VLOOKUP(L10,'Data Info'!$A$1:$C$8,3,0)</f>
        <v>Weekend</v>
      </c>
    </row>
    <row r="11">
      <c r="A11" s="4">
        <v>45564.775</v>
      </c>
      <c r="B11" s="9">
        <f>IFERROR(__xludf.DUMMYFUNCTION("SPLIT(A11,"" "")"),45564.0)</f>
        <v>45564</v>
      </c>
      <c r="C11" s="10">
        <f>IFERROR(__xludf.DUMMYFUNCTION("""COMPUTED_VALUE"""),0.775)</f>
        <v>0.775</v>
      </c>
      <c r="D11" s="2">
        <f t="shared" si="1"/>
        <v>18</v>
      </c>
      <c r="E11" s="2">
        <f>IFERROR(__xludf.DUMMYFUNCTION("SPLIT(B11,""/"")"),29.0)</f>
        <v>29</v>
      </c>
      <c r="F11" s="2">
        <f>IFERROR(__xludf.DUMMYFUNCTION("""COMPUTED_VALUE"""),9.0)</f>
        <v>9</v>
      </c>
      <c r="G11" s="2">
        <f>IFERROR(__xludf.DUMMYFUNCTION("""COMPUTED_VALUE"""),2024.0)</f>
        <v>2024</v>
      </c>
      <c r="H11" s="2" t="str">
        <f t="shared" si="2"/>
        <v>2024/9/29</v>
      </c>
      <c r="I11" s="2" t="s">
        <v>1579</v>
      </c>
      <c r="J11" s="2" t="str">
        <f t="shared" si="3"/>
        <v>Tahu baso</v>
      </c>
      <c r="K11" s="7">
        <f>if(RIGHT(I11,5)="2 pcs",2,Data!I11)</f>
        <v>2</v>
      </c>
      <c r="L11" s="2" t="str">
        <f t="shared" si="4"/>
        <v>Sunday</v>
      </c>
      <c r="M11" s="2" t="str">
        <f t="shared" si="5"/>
        <v>29</v>
      </c>
      <c r="N11" s="2">
        <f>VLOOKUP(L11,'Data Info'!$A$1:$B$8,2,0)</f>
        <v>7</v>
      </c>
      <c r="O11" s="2" t="str">
        <f>VLOOKUP(L11,'Data Info'!$A$1:$C$8,3,0)</f>
        <v>Weekend</v>
      </c>
    </row>
    <row r="12">
      <c r="A12" s="4">
        <v>45564.775</v>
      </c>
      <c r="B12" s="9">
        <f>IFERROR(__xludf.DUMMYFUNCTION("SPLIT(A12,"" "")"),45564.0)</f>
        <v>45564</v>
      </c>
      <c r="C12" s="10">
        <f>IFERROR(__xludf.DUMMYFUNCTION("""COMPUTED_VALUE"""),0.775)</f>
        <v>0.775</v>
      </c>
      <c r="D12" s="2">
        <f t="shared" si="1"/>
        <v>18</v>
      </c>
      <c r="E12" s="2">
        <f>IFERROR(__xludf.DUMMYFUNCTION("SPLIT(B12,""/"")"),29.0)</f>
        <v>29</v>
      </c>
      <c r="F12" s="2">
        <f>IFERROR(__xludf.DUMMYFUNCTION("""COMPUTED_VALUE"""),9.0)</f>
        <v>9</v>
      </c>
      <c r="G12" s="2">
        <f>IFERROR(__xludf.DUMMYFUNCTION("""COMPUTED_VALUE"""),2024.0)</f>
        <v>2024</v>
      </c>
      <c r="H12" s="2" t="str">
        <f t="shared" si="2"/>
        <v>2024/9/29</v>
      </c>
      <c r="I12" s="2" t="s">
        <v>1577</v>
      </c>
      <c r="J12" s="2" t="str">
        <f t="shared" si="3"/>
        <v>Rempah Madu Panas</v>
      </c>
      <c r="K12" s="7">
        <f>if(RIGHT(I12,5)="2 pcs",2,Data!I12)</f>
        <v>1</v>
      </c>
      <c r="L12" s="2" t="str">
        <f t="shared" si="4"/>
        <v>Sunday</v>
      </c>
      <c r="M12" s="2" t="str">
        <f t="shared" si="5"/>
        <v>29</v>
      </c>
      <c r="N12" s="2">
        <f>VLOOKUP(L12,'Data Info'!$A$1:$B$8,2,0)</f>
        <v>7</v>
      </c>
      <c r="O12" s="2" t="str">
        <f>VLOOKUP(L12,'Data Info'!$A$1:$C$8,3,0)</f>
        <v>Weekend</v>
      </c>
    </row>
    <row r="13">
      <c r="A13" s="4">
        <v>45564.77222222222</v>
      </c>
      <c r="B13" s="9">
        <f>IFERROR(__xludf.DUMMYFUNCTION("SPLIT(A13,"" "")"),45564.0)</f>
        <v>45564</v>
      </c>
      <c r="C13" s="10">
        <f>IFERROR(__xludf.DUMMYFUNCTION("""COMPUTED_VALUE"""),0.7722222222222223)</f>
        <v>0.7722222222</v>
      </c>
      <c r="D13" s="2">
        <f t="shared" si="1"/>
        <v>18</v>
      </c>
      <c r="E13" s="2">
        <f>IFERROR(__xludf.DUMMYFUNCTION("SPLIT(B13,""/"")"),29.0)</f>
        <v>29</v>
      </c>
      <c r="F13" s="2">
        <f>IFERROR(__xludf.DUMMYFUNCTION("""COMPUTED_VALUE"""),9.0)</f>
        <v>9</v>
      </c>
      <c r="G13" s="2">
        <f>IFERROR(__xludf.DUMMYFUNCTION("""COMPUTED_VALUE"""),2024.0)</f>
        <v>2024</v>
      </c>
      <c r="H13" s="2" t="str">
        <f t="shared" si="2"/>
        <v>2024/9/29</v>
      </c>
      <c r="I13" s="2" t="s">
        <v>1581</v>
      </c>
      <c r="J13" s="2" t="str">
        <f t="shared" si="3"/>
        <v>Chicken Claypot Rice</v>
      </c>
      <c r="K13" s="7">
        <f>if(RIGHT(I13,5)="2 pcs",2,Data!I13)</f>
        <v>1</v>
      </c>
      <c r="L13" s="2" t="str">
        <f t="shared" si="4"/>
        <v>Sunday</v>
      </c>
      <c r="M13" s="2" t="str">
        <f t="shared" si="5"/>
        <v>29</v>
      </c>
      <c r="N13" s="2">
        <f>VLOOKUP(L13,'Data Info'!$A$1:$B$8,2,0)</f>
        <v>7</v>
      </c>
      <c r="O13" s="2" t="str">
        <f>VLOOKUP(L13,'Data Info'!$A$1:$C$8,3,0)</f>
        <v>Weekend</v>
      </c>
    </row>
    <row r="14">
      <c r="A14" s="4">
        <v>45564.77222222222</v>
      </c>
      <c r="B14" s="9">
        <f>IFERROR(__xludf.DUMMYFUNCTION("SPLIT(A14,"" "")"),45564.0)</f>
        <v>45564</v>
      </c>
      <c r="C14" s="10">
        <f>IFERROR(__xludf.DUMMYFUNCTION("""COMPUTED_VALUE"""),0.7722222222222223)</f>
        <v>0.7722222222</v>
      </c>
      <c r="D14" s="2">
        <f t="shared" si="1"/>
        <v>18</v>
      </c>
      <c r="E14" s="2">
        <f>IFERROR(__xludf.DUMMYFUNCTION("SPLIT(B14,""/"")"),29.0)</f>
        <v>29</v>
      </c>
      <c r="F14" s="2">
        <f>IFERROR(__xludf.DUMMYFUNCTION("""COMPUTED_VALUE"""),9.0)</f>
        <v>9</v>
      </c>
      <c r="G14" s="2">
        <f>IFERROR(__xludf.DUMMYFUNCTION("""COMPUTED_VALUE"""),2024.0)</f>
        <v>2024</v>
      </c>
      <c r="H14" s="2" t="str">
        <f t="shared" si="2"/>
        <v>2024/9/29</v>
      </c>
      <c r="I14" s="2" t="s">
        <v>1582</v>
      </c>
      <c r="J14" s="2" t="str">
        <f t="shared" si="3"/>
        <v>Teh Tawar Dingin</v>
      </c>
      <c r="K14" s="7">
        <f>if(RIGHT(I14,5)="2 pcs",2,Data!I14)</f>
        <v>1</v>
      </c>
      <c r="L14" s="2" t="str">
        <f t="shared" si="4"/>
        <v>Sunday</v>
      </c>
      <c r="M14" s="2" t="str">
        <f t="shared" si="5"/>
        <v>29</v>
      </c>
      <c r="N14" s="2">
        <f>VLOOKUP(L14,'Data Info'!$A$1:$B$8,2,0)</f>
        <v>7</v>
      </c>
      <c r="O14" s="2" t="str">
        <f>VLOOKUP(L14,'Data Info'!$A$1:$C$8,3,0)</f>
        <v>Weekend</v>
      </c>
    </row>
    <row r="15">
      <c r="A15" s="4">
        <v>45564.76111111111</v>
      </c>
      <c r="B15" s="9">
        <f>IFERROR(__xludf.DUMMYFUNCTION("SPLIT(A15,"" "")"),45564.0)</f>
        <v>45564</v>
      </c>
      <c r="C15" s="10">
        <f>IFERROR(__xludf.DUMMYFUNCTION("""COMPUTED_VALUE"""),0.7611111111111111)</f>
        <v>0.7611111111</v>
      </c>
      <c r="D15" s="2">
        <f t="shared" si="1"/>
        <v>18</v>
      </c>
      <c r="E15" s="2">
        <f>IFERROR(__xludf.DUMMYFUNCTION("SPLIT(B15,""/"")"),29.0)</f>
        <v>29</v>
      </c>
      <c r="F15" s="2">
        <f>IFERROR(__xludf.DUMMYFUNCTION("""COMPUTED_VALUE"""),9.0)</f>
        <v>9</v>
      </c>
      <c r="G15" s="2">
        <f>IFERROR(__xludf.DUMMYFUNCTION("""COMPUTED_VALUE"""),2024.0)</f>
        <v>2024</v>
      </c>
      <c r="H15" s="2" t="str">
        <f t="shared" si="2"/>
        <v>2024/9/29</v>
      </c>
      <c r="I15" s="2" t="s">
        <v>1583</v>
      </c>
      <c r="J15" s="2" t="str">
        <f t="shared" si="3"/>
        <v>Es Kopi Lemon</v>
      </c>
      <c r="K15" s="7">
        <f>if(RIGHT(I15,5)="2 pcs",2,Data!I15)</f>
        <v>1</v>
      </c>
      <c r="L15" s="2" t="str">
        <f t="shared" si="4"/>
        <v>Sunday</v>
      </c>
      <c r="M15" s="2" t="str">
        <f t="shared" si="5"/>
        <v>29</v>
      </c>
      <c r="N15" s="2">
        <f>VLOOKUP(L15,'Data Info'!$A$1:$B$8,2,0)</f>
        <v>7</v>
      </c>
      <c r="O15" s="2" t="str">
        <f>VLOOKUP(L15,'Data Info'!$A$1:$C$8,3,0)</f>
        <v>Weekend</v>
      </c>
    </row>
    <row r="16">
      <c r="A16" s="4">
        <v>45564.76111111111</v>
      </c>
      <c r="B16" s="9">
        <f>IFERROR(__xludf.DUMMYFUNCTION("SPLIT(A16,"" "")"),45564.0)</f>
        <v>45564</v>
      </c>
      <c r="C16" s="10">
        <f>IFERROR(__xludf.DUMMYFUNCTION("""COMPUTED_VALUE"""),0.7611111111111111)</f>
        <v>0.7611111111</v>
      </c>
      <c r="D16" s="2">
        <f t="shared" si="1"/>
        <v>18</v>
      </c>
      <c r="E16" s="2">
        <f>IFERROR(__xludf.DUMMYFUNCTION("SPLIT(B16,""/"")"),29.0)</f>
        <v>29</v>
      </c>
      <c r="F16" s="2">
        <f>IFERROR(__xludf.DUMMYFUNCTION("""COMPUTED_VALUE"""),9.0)</f>
        <v>9</v>
      </c>
      <c r="G16" s="2">
        <f>IFERROR(__xludf.DUMMYFUNCTION("""COMPUTED_VALUE"""),2024.0)</f>
        <v>2024</v>
      </c>
      <c r="H16" s="2" t="str">
        <f t="shared" si="2"/>
        <v>2024/9/29</v>
      </c>
      <c r="I16" s="2" t="s">
        <v>1584</v>
      </c>
      <c r="J16" s="2" t="str">
        <f t="shared" si="3"/>
        <v>Korean Mango Fresh Milk</v>
      </c>
      <c r="K16" s="7">
        <f>if(RIGHT(I16,5)="2 pcs",2,Data!I16)</f>
        <v>1</v>
      </c>
      <c r="L16" s="2" t="str">
        <f t="shared" si="4"/>
        <v>Sunday</v>
      </c>
      <c r="M16" s="2" t="str">
        <f t="shared" si="5"/>
        <v>29</v>
      </c>
      <c r="N16" s="2">
        <f>VLOOKUP(L16,'Data Info'!$A$1:$B$8,2,0)</f>
        <v>7</v>
      </c>
      <c r="O16" s="2" t="str">
        <f>VLOOKUP(L16,'Data Info'!$A$1:$C$8,3,0)</f>
        <v>Weekend</v>
      </c>
    </row>
    <row r="17">
      <c r="A17" s="4">
        <v>45564.75833333333</v>
      </c>
      <c r="B17" s="9">
        <f>IFERROR(__xludf.DUMMYFUNCTION("SPLIT(A17,"" "")"),45564.0)</f>
        <v>45564</v>
      </c>
      <c r="C17" s="10">
        <f>IFERROR(__xludf.DUMMYFUNCTION("""COMPUTED_VALUE"""),0.7583333333333333)</f>
        <v>0.7583333333</v>
      </c>
      <c r="D17" s="2">
        <f t="shared" si="1"/>
        <v>18</v>
      </c>
      <c r="E17" s="2">
        <f>IFERROR(__xludf.DUMMYFUNCTION("SPLIT(B17,""/"")"),29.0)</f>
        <v>29</v>
      </c>
      <c r="F17" s="2">
        <f>IFERROR(__xludf.DUMMYFUNCTION("""COMPUTED_VALUE"""),9.0)</f>
        <v>9</v>
      </c>
      <c r="G17" s="2">
        <f>IFERROR(__xludf.DUMMYFUNCTION("""COMPUTED_VALUE"""),2024.0)</f>
        <v>2024</v>
      </c>
      <c r="H17" s="2" t="str">
        <f t="shared" si="2"/>
        <v>2024/9/29</v>
      </c>
      <c r="I17" s="2" t="s">
        <v>1585</v>
      </c>
      <c r="J17" s="2" t="str">
        <f t="shared" si="3"/>
        <v>Susu murni moca</v>
      </c>
      <c r="K17" s="7">
        <f>if(RIGHT(I17,5)="2 pcs",2,Data!I17)</f>
        <v>1</v>
      </c>
      <c r="L17" s="2" t="str">
        <f t="shared" si="4"/>
        <v>Sunday</v>
      </c>
      <c r="M17" s="2" t="str">
        <f t="shared" si="5"/>
        <v>29</v>
      </c>
      <c r="N17" s="2">
        <f>VLOOKUP(L17,'Data Info'!$A$1:$B$8,2,0)</f>
        <v>7</v>
      </c>
      <c r="O17" s="2" t="str">
        <f>VLOOKUP(L17,'Data Info'!$A$1:$C$8,3,0)</f>
        <v>Weekend</v>
      </c>
    </row>
    <row r="18">
      <c r="A18" s="4">
        <v>45564.74930555555</v>
      </c>
      <c r="B18" s="9">
        <f>IFERROR(__xludf.DUMMYFUNCTION("SPLIT(A18,"" "")"),45564.0)</f>
        <v>45564</v>
      </c>
      <c r="C18" s="10">
        <f>IFERROR(__xludf.DUMMYFUNCTION("""COMPUTED_VALUE"""),0.7493055555555556)</f>
        <v>0.7493055556</v>
      </c>
      <c r="D18" s="2">
        <f t="shared" si="1"/>
        <v>17</v>
      </c>
      <c r="E18" s="2">
        <f>IFERROR(__xludf.DUMMYFUNCTION("SPLIT(B18,""/"")"),29.0)</f>
        <v>29</v>
      </c>
      <c r="F18" s="2">
        <f>IFERROR(__xludf.DUMMYFUNCTION("""COMPUTED_VALUE"""),9.0)</f>
        <v>9</v>
      </c>
      <c r="G18" s="2">
        <f>IFERROR(__xludf.DUMMYFUNCTION("""COMPUTED_VALUE"""),2024.0)</f>
        <v>2024</v>
      </c>
      <c r="H18" s="2" t="str">
        <f t="shared" si="2"/>
        <v>2024/9/29</v>
      </c>
      <c r="I18" s="2" t="s">
        <v>1586</v>
      </c>
      <c r="J18" s="2" t="str">
        <f t="shared" si="3"/>
        <v>Jamur Enoki Krispi</v>
      </c>
      <c r="K18" s="7">
        <f>if(RIGHT(I18,5)="2 pcs",2,Data!I18)</f>
        <v>1</v>
      </c>
      <c r="L18" s="2" t="str">
        <f t="shared" si="4"/>
        <v>Sunday</v>
      </c>
      <c r="M18" s="2" t="str">
        <f t="shared" si="5"/>
        <v>29</v>
      </c>
      <c r="N18" s="2">
        <f>VLOOKUP(L18,'Data Info'!$A$1:$B$8,2,0)</f>
        <v>7</v>
      </c>
      <c r="O18" s="2" t="str">
        <f>VLOOKUP(L18,'Data Info'!$A$1:$C$8,3,0)</f>
        <v>Weekend</v>
      </c>
    </row>
    <row r="19">
      <c r="A19" s="4">
        <v>45564.74513888889</v>
      </c>
      <c r="B19" s="9">
        <f>IFERROR(__xludf.DUMMYFUNCTION("SPLIT(A19,"" "")"),45564.0)</f>
        <v>45564</v>
      </c>
      <c r="C19" s="10">
        <f>IFERROR(__xludf.DUMMYFUNCTION("""COMPUTED_VALUE"""),0.7451388888888889)</f>
        <v>0.7451388889</v>
      </c>
      <c r="D19" s="2">
        <f t="shared" si="1"/>
        <v>17</v>
      </c>
      <c r="E19" s="2">
        <f>IFERROR(__xludf.DUMMYFUNCTION("SPLIT(B19,""/"")"),29.0)</f>
        <v>29</v>
      </c>
      <c r="F19" s="2">
        <f>IFERROR(__xludf.DUMMYFUNCTION("""COMPUTED_VALUE"""),9.0)</f>
        <v>9</v>
      </c>
      <c r="G19" s="2">
        <f>IFERROR(__xludf.DUMMYFUNCTION("""COMPUTED_VALUE"""),2024.0)</f>
        <v>2024</v>
      </c>
      <c r="H19" s="2" t="str">
        <f t="shared" si="2"/>
        <v>2024/9/29</v>
      </c>
      <c r="I19" s="2" t="s">
        <v>1581</v>
      </c>
      <c r="J19" s="2" t="str">
        <f t="shared" si="3"/>
        <v>Chicken Claypot Rice</v>
      </c>
      <c r="K19" s="7">
        <f>if(RIGHT(I19,5)="2 pcs",2,Data!I19)</f>
        <v>1</v>
      </c>
      <c r="L19" s="2" t="str">
        <f t="shared" si="4"/>
        <v>Sunday</v>
      </c>
      <c r="M19" s="2" t="str">
        <f t="shared" si="5"/>
        <v>29</v>
      </c>
      <c r="N19" s="2">
        <f>VLOOKUP(L19,'Data Info'!$A$1:$B$8,2,0)</f>
        <v>7</v>
      </c>
      <c r="O19" s="2" t="str">
        <f>VLOOKUP(L19,'Data Info'!$A$1:$C$8,3,0)</f>
        <v>Weekend</v>
      </c>
    </row>
    <row r="20">
      <c r="A20" s="4">
        <v>45564.73888888889</v>
      </c>
      <c r="B20" s="9">
        <f>IFERROR(__xludf.DUMMYFUNCTION("SPLIT(A20,"" "")"),45564.0)</f>
        <v>45564</v>
      </c>
      <c r="C20" s="10">
        <f>IFERROR(__xludf.DUMMYFUNCTION("""COMPUTED_VALUE"""),0.7388888888888889)</f>
        <v>0.7388888889</v>
      </c>
      <c r="D20" s="2">
        <f t="shared" si="1"/>
        <v>17</v>
      </c>
      <c r="E20" s="2">
        <f>IFERROR(__xludf.DUMMYFUNCTION("SPLIT(B20,""/"")"),29.0)</f>
        <v>29</v>
      </c>
      <c r="F20" s="2">
        <f>IFERROR(__xludf.DUMMYFUNCTION("""COMPUTED_VALUE"""),9.0)</f>
        <v>9</v>
      </c>
      <c r="G20" s="2">
        <f>IFERROR(__xludf.DUMMYFUNCTION("""COMPUTED_VALUE"""),2024.0)</f>
        <v>2024</v>
      </c>
      <c r="H20" s="2" t="str">
        <f t="shared" si="2"/>
        <v>2024/9/29</v>
      </c>
      <c r="I20" s="2" t="s">
        <v>1587</v>
      </c>
      <c r="J20" s="2" t="str">
        <f t="shared" si="3"/>
        <v>Tahu Lada Garam</v>
      </c>
      <c r="K20" s="7">
        <f>if(RIGHT(I20,5)="2 pcs",2,Data!I20)</f>
        <v>1</v>
      </c>
      <c r="L20" s="2" t="str">
        <f t="shared" si="4"/>
        <v>Sunday</v>
      </c>
      <c r="M20" s="2" t="str">
        <f t="shared" si="5"/>
        <v>29</v>
      </c>
      <c r="N20" s="2">
        <f>VLOOKUP(L20,'Data Info'!$A$1:$B$8,2,0)</f>
        <v>7</v>
      </c>
      <c r="O20" s="2" t="str">
        <f>VLOOKUP(L20,'Data Info'!$A$1:$C$8,3,0)</f>
        <v>Weekend</v>
      </c>
    </row>
    <row r="21">
      <c r="A21" s="4">
        <v>45564.73611111111</v>
      </c>
      <c r="B21" s="9">
        <f>IFERROR(__xludf.DUMMYFUNCTION("SPLIT(A21,"" "")"),45564.0)</f>
        <v>45564</v>
      </c>
      <c r="C21" s="10">
        <f>IFERROR(__xludf.DUMMYFUNCTION("""COMPUTED_VALUE"""),0.7361111111111112)</f>
        <v>0.7361111111</v>
      </c>
      <c r="D21" s="2">
        <f t="shared" si="1"/>
        <v>17</v>
      </c>
      <c r="E21" s="2">
        <f>IFERROR(__xludf.DUMMYFUNCTION("SPLIT(B21,""/"")"),29.0)</f>
        <v>29</v>
      </c>
      <c r="F21" s="2">
        <f>IFERROR(__xludf.DUMMYFUNCTION("""COMPUTED_VALUE"""),9.0)</f>
        <v>9</v>
      </c>
      <c r="G21" s="2">
        <f>IFERROR(__xludf.DUMMYFUNCTION("""COMPUTED_VALUE"""),2024.0)</f>
        <v>2024</v>
      </c>
      <c r="H21" s="2" t="str">
        <f t="shared" si="2"/>
        <v>2024/9/29</v>
      </c>
      <c r="I21" s="2" t="s">
        <v>1588</v>
      </c>
      <c r="J21" s="2" t="str">
        <f t="shared" si="3"/>
        <v>Es Kopi Susu</v>
      </c>
      <c r="K21" s="7">
        <f>if(RIGHT(I21,5)="2 pcs",2,Data!I21)</f>
        <v>1</v>
      </c>
      <c r="L21" s="2" t="str">
        <f t="shared" si="4"/>
        <v>Sunday</v>
      </c>
      <c r="M21" s="2" t="str">
        <f t="shared" si="5"/>
        <v>29</v>
      </c>
      <c r="N21" s="2">
        <f>VLOOKUP(L21,'Data Info'!$A$1:$B$8,2,0)</f>
        <v>7</v>
      </c>
      <c r="O21" s="2" t="str">
        <f>VLOOKUP(L21,'Data Info'!$A$1:$C$8,3,0)</f>
        <v>Weekend</v>
      </c>
    </row>
    <row r="22">
      <c r="A22" s="4">
        <v>45564.73611111111</v>
      </c>
      <c r="B22" s="9">
        <f>IFERROR(__xludf.DUMMYFUNCTION("SPLIT(A22,"" "")"),45564.0)</f>
        <v>45564</v>
      </c>
      <c r="C22" s="10">
        <f>IFERROR(__xludf.DUMMYFUNCTION("""COMPUTED_VALUE"""),0.7361111111111112)</f>
        <v>0.7361111111</v>
      </c>
      <c r="D22" s="2">
        <f t="shared" si="1"/>
        <v>17</v>
      </c>
      <c r="E22" s="2">
        <f>IFERROR(__xludf.DUMMYFUNCTION("SPLIT(B22,""/"")"),29.0)</f>
        <v>29</v>
      </c>
      <c r="F22" s="2">
        <f>IFERROR(__xludf.DUMMYFUNCTION("""COMPUTED_VALUE"""),9.0)</f>
        <v>9</v>
      </c>
      <c r="G22" s="2">
        <f>IFERROR(__xludf.DUMMYFUNCTION("""COMPUTED_VALUE"""),2024.0)</f>
        <v>2024</v>
      </c>
      <c r="H22" s="2" t="str">
        <f t="shared" si="2"/>
        <v>2024/9/29</v>
      </c>
      <c r="I22" s="2" t="s">
        <v>1566</v>
      </c>
      <c r="J22" s="2" t="str">
        <f t="shared" si="3"/>
        <v>Roti Bawang Saus Keju</v>
      </c>
      <c r="K22" s="7">
        <f>if(RIGHT(I22,5)="2 pcs",2,Data!I22)</f>
        <v>1</v>
      </c>
      <c r="L22" s="2" t="str">
        <f t="shared" si="4"/>
        <v>Sunday</v>
      </c>
      <c r="M22" s="2" t="str">
        <f t="shared" si="5"/>
        <v>29</v>
      </c>
      <c r="N22" s="2">
        <f>VLOOKUP(L22,'Data Info'!$A$1:$B$8,2,0)</f>
        <v>7</v>
      </c>
      <c r="O22" s="2" t="str">
        <f>VLOOKUP(L22,'Data Info'!$A$1:$C$8,3,0)</f>
        <v>Weekend</v>
      </c>
    </row>
    <row r="23">
      <c r="A23" s="4">
        <v>45564.73611111111</v>
      </c>
      <c r="B23" s="9">
        <f>IFERROR(__xludf.DUMMYFUNCTION("SPLIT(A23,"" "")"),45564.0)</f>
        <v>45564</v>
      </c>
      <c r="C23" s="10">
        <f>IFERROR(__xludf.DUMMYFUNCTION("""COMPUTED_VALUE"""),0.7361111111111112)</f>
        <v>0.7361111111</v>
      </c>
      <c r="D23" s="2">
        <f t="shared" si="1"/>
        <v>17</v>
      </c>
      <c r="E23" s="2">
        <f>IFERROR(__xludf.DUMMYFUNCTION("SPLIT(B23,""/"")"),29.0)</f>
        <v>29</v>
      </c>
      <c r="F23" s="2">
        <f>IFERROR(__xludf.DUMMYFUNCTION("""COMPUTED_VALUE"""),9.0)</f>
        <v>9</v>
      </c>
      <c r="G23" s="2">
        <f>IFERROR(__xludf.DUMMYFUNCTION("""COMPUTED_VALUE"""),2024.0)</f>
        <v>2024</v>
      </c>
      <c r="H23" s="2" t="str">
        <f t="shared" si="2"/>
        <v>2024/9/29</v>
      </c>
      <c r="I23" s="2" t="s">
        <v>1589</v>
      </c>
      <c r="J23" s="2" t="str">
        <f t="shared" si="3"/>
        <v>Teh Manis Dingin</v>
      </c>
      <c r="K23" s="7">
        <f>if(RIGHT(I23,5)="2 pcs",2,Data!I23)</f>
        <v>1</v>
      </c>
      <c r="L23" s="2" t="str">
        <f t="shared" si="4"/>
        <v>Sunday</v>
      </c>
      <c r="M23" s="2" t="str">
        <f t="shared" si="5"/>
        <v>29</v>
      </c>
      <c r="N23" s="2">
        <f>VLOOKUP(L23,'Data Info'!$A$1:$B$8,2,0)</f>
        <v>7</v>
      </c>
      <c r="O23" s="2" t="str">
        <f>VLOOKUP(L23,'Data Info'!$A$1:$C$8,3,0)</f>
        <v>Weekend</v>
      </c>
    </row>
    <row r="24">
      <c r="A24" s="4">
        <v>45564.731944444444</v>
      </c>
      <c r="B24" s="9">
        <f>IFERROR(__xludf.DUMMYFUNCTION("SPLIT(A24,"" "")"),45564.0)</f>
        <v>45564</v>
      </c>
      <c r="C24" s="10">
        <f>IFERROR(__xludf.DUMMYFUNCTION("""COMPUTED_VALUE"""),0.7319444444444444)</f>
        <v>0.7319444444</v>
      </c>
      <c r="D24" s="2">
        <f t="shared" si="1"/>
        <v>17</v>
      </c>
      <c r="E24" s="2">
        <f>IFERROR(__xludf.DUMMYFUNCTION("SPLIT(B24,""/"")"),29.0)</f>
        <v>29</v>
      </c>
      <c r="F24" s="2">
        <f>IFERROR(__xludf.DUMMYFUNCTION("""COMPUTED_VALUE"""),9.0)</f>
        <v>9</v>
      </c>
      <c r="G24" s="2">
        <f>IFERROR(__xludf.DUMMYFUNCTION("""COMPUTED_VALUE"""),2024.0)</f>
        <v>2024</v>
      </c>
      <c r="H24" s="2" t="str">
        <f t="shared" si="2"/>
        <v>2024/9/29</v>
      </c>
      <c r="I24" s="2" t="s">
        <v>1566</v>
      </c>
      <c r="J24" s="2" t="str">
        <f t="shared" si="3"/>
        <v>Roti Bawang Saus Keju</v>
      </c>
      <c r="K24" s="7">
        <f>if(RIGHT(I24,5)="2 pcs",2,Data!I24)</f>
        <v>1</v>
      </c>
      <c r="L24" s="2" t="str">
        <f t="shared" si="4"/>
        <v>Sunday</v>
      </c>
      <c r="M24" s="2" t="str">
        <f t="shared" si="5"/>
        <v>29</v>
      </c>
      <c r="N24" s="2">
        <f>VLOOKUP(L24,'Data Info'!$A$1:$B$8,2,0)</f>
        <v>7</v>
      </c>
      <c r="O24" s="2" t="str">
        <f>VLOOKUP(L24,'Data Info'!$A$1:$C$8,3,0)</f>
        <v>Weekend</v>
      </c>
    </row>
    <row r="25">
      <c r="A25" s="4">
        <v>45564.731944444444</v>
      </c>
      <c r="B25" s="9">
        <f>IFERROR(__xludf.DUMMYFUNCTION("SPLIT(A25,"" "")"),45564.0)</f>
        <v>45564</v>
      </c>
      <c r="C25" s="10">
        <f>IFERROR(__xludf.DUMMYFUNCTION("""COMPUTED_VALUE"""),0.7319444444444444)</f>
        <v>0.7319444444</v>
      </c>
      <c r="D25" s="2">
        <f t="shared" si="1"/>
        <v>17</v>
      </c>
      <c r="E25" s="2">
        <f>IFERROR(__xludf.DUMMYFUNCTION("SPLIT(B25,""/"")"),29.0)</f>
        <v>29</v>
      </c>
      <c r="F25" s="2">
        <f>IFERROR(__xludf.DUMMYFUNCTION("""COMPUTED_VALUE"""),9.0)</f>
        <v>9</v>
      </c>
      <c r="G25" s="2">
        <f>IFERROR(__xludf.DUMMYFUNCTION("""COMPUTED_VALUE"""),2024.0)</f>
        <v>2024</v>
      </c>
      <c r="H25" s="2" t="str">
        <f t="shared" si="2"/>
        <v>2024/9/29</v>
      </c>
      <c r="I25" s="2" t="s">
        <v>1590</v>
      </c>
      <c r="J25" s="2" t="str">
        <f t="shared" si="3"/>
        <v>Lemon Tea Panas</v>
      </c>
      <c r="K25" s="7">
        <f>if(RIGHT(I25,5)="2 pcs",2,Data!I25)</f>
        <v>1</v>
      </c>
      <c r="L25" s="2" t="str">
        <f t="shared" si="4"/>
        <v>Sunday</v>
      </c>
      <c r="M25" s="2" t="str">
        <f t="shared" si="5"/>
        <v>29</v>
      </c>
      <c r="N25" s="2">
        <f>VLOOKUP(L25,'Data Info'!$A$1:$B$8,2,0)</f>
        <v>7</v>
      </c>
      <c r="O25" s="2" t="str">
        <f>VLOOKUP(L25,'Data Info'!$A$1:$C$8,3,0)</f>
        <v>Weekend</v>
      </c>
    </row>
    <row r="26">
      <c r="A26" s="4">
        <v>45564.731944444444</v>
      </c>
      <c r="B26" s="9">
        <f>IFERROR(__xludf.DUMMYFUNCTION("SPLIT(A26,"" "")"),45564.0)</f>
        <v>45564</v>
      </c>
      <c r="C26" s="10">
        <f>IFERROR(__xludf.DUMMYFUNCTION("""COMPUTED_VALUE"""),0.7319444444444444)</f>
        <v>0.7319444444</v>
      </c>
      <c r="D26" s="2">
        <f t="shared" si="1"/>
        <v>17</v>
      </c>
      <c r="E26" s="2">
        <f>IFERROR(__xludf.DUMMYFUNCTION("SPLIT(B26,""/"")"),29.0)</f>
        <v>29</v>
      </c>
      <c r="F26" s="2">
        <f>IFERROR(__xludf.DUMMYFUNCTION("""COMPUTED_VALUE"""),9.0)</f>
        <v>9</v>
      </c>
      <c r="G26" s="2">
        <f>IFERROR(__xludf.DUMMYFUNCTION("""COMPUTED_VALUE"""),2024.0)</f>
        <v>2024</v>
      </c>
      <c r="H26" s="2" t="str">
        <f t="shared" si="2"/>
        <v>2024/9/29</v>
      </c>
      <c r="I26" s="2" t="s">
        <v>1577</v>
      </c>
      <c r="J26" s="2" t="str">
        <f t="shared" si="3"/>
        <v>Rempah Madu Panas</v>
      </c>
      <c r="K26" s="7">
        <f>if(RIGHT(I26,5)="2 pcs",2,Data!I26)</f>
        <v>1</v>
      </c>
      <c r="L26" s="2" t="str">
        <f t="shared" si="4"/>
        <v>Sunday</v>
      </c>
      <c r="M26" s="2" t="str">
        <f t="shared" si="5"/>
        <v>29</v>
      </c>
      <c r="N26" s="2">
        <f>VLOOKUP(L26,'Data Info'!$A$1:$B$8,2,0)</f>
        <v>7</v>
      </c>
      <c r="O26" s="2" t="str">
        <f>VLOOKUP(L26,'Data Info'!$A$1:$C$8,3,0)</f>
        <v>Weekend</v>
      </c>
    </row>
    <row r="27">
      <c r="A27" s="4">
        <v>45564.729166666664</v>
      </c>
      <c r="B27" s="9">
        <f>IFERROR(__xludf.DUMMYFUNCTION("SPLIT(A27,"" "")"),45564.0)</f>
        <v>45564</v>
      </c>
      <c r="C27" s="10">
        <f>IFERROR(__xludf.DUMMYFUNCTION("""COMPUTED_VALUE"""),0.7291666666666666)</f>
        <v>0.7291666667</v>
      </c>
      <c r="D27" s="2">
        <f t="shared" si="1"/>
        <v>17</v>
      </c>
      <c r="E27" s="2">
        <f>IFERROR(__xludf.DUMMYFUNCTION("SPLIT(B27,""/"")"),29.0)</f>
        <v>29</v>
      </c>
      <c r="F27" s="2">
        <f>IFERROR(__xludf.DUMMYFUNCTION("""COMPUTED_VALUE"""),9.0)</f>
        <v>9</v>
      </c>
      <c r="G27" s="2">
        <f>IFERROR(__xludf.DUMMYFUNCTION("""COMPUTED_VALUE"""),2024.0)</f>
        <v>2024</v>
      </c>
      <c r="H27" s="2" t="str">
        <f t="shared" si="2"/>
        <v>2024/9/29</v>
      </c>
      <c r="I27" s="2" t="s">
        <v>1588</v>
      </c>
      <c r="J27" s="2" t="str">
        <f t="shared" si="3"/>
        <v>Es Kopi Susu</v>
      </c>
      <c r="K27" s="7">
        <f>if(RIGHT(I27,5)="2 pcs",2,Data!I27)</f>
        <v>1</v>
      </c>
      <c r="L27" s="2" t="str">
        <f t="shared" si="4"/>
        <v>Sunday</v>
      </c>
      <c r="M27" s="2" t="str">
        <f t="shared" si="5"/>
        <v>29</v>
      </c>
      <c r="N27" s="2">
        <f>VLOOKUP(L27,'Data Info'!$A$1:$B$8,2,0)</f>
        <v>7</v>
      </c>
      <c r="O27" s="2" t="str">
        <f>VLOOKUP(L27,'Data Info'!$A$1:$C$8,3,0)</f>
        <v>Weekend</v>
      </c>
    </row>
    <row r="28">
      <c r="A28" s="4">
        <v>45564.729166666664</v>
      </c>
      <c r="B28" s="9">
        <f>IFERROR(__xludf.DUMMYFUNCTION("SPLIT(A28,"" "")"),45564.0)</f>
        <v>45564</v>
      </c>
      <c r="C28" s="10">
        <f>IFERROR(__xludf.DUMMYFUNCTION("""COMPUTED_VALUE"""),0.7291666666666666)</f>
        <v>0.7291666667</v>
      </c>
      <c r="D28" s="2">
        <f t="shared" si="1"/>
        <v>17</v>
      </c>
      <c r="E28" s="2">
        <f>IFERROR(__xludf.DUMMYFUNCTION("SPLIT(B28,""/"")"),29.0)</f>
        <v>29</v>
      </c>
      <c r="F28" s="2">
        <f>IFERROR(__xludf.DUMMYFUNCTION("""COMPUTED_VALUE"""),9.0)</f>
        <v>9</v>
      </c>
      <c r="G28" s="2">
        <f>IFERROR(__xludf.DUMMYFUNCTION("""COMPUTED_VALUE"""),2024.0)</f>
        <v>2024</v>
      </c>
      <c r="H28" s="2" t="str">
        <f t="shared" si="2"/>
        <v>2024/9/29</v>
      </c>
      <c r="I28" s="2" t="s">
        <v>1576</v>
      </c>
      <c r="J28" s="2" t="str">
        <f t="shared" si="3"/>
        <v>Roti Cranberry</v>
      </c>
      <c r="K28" s="7">
        <f>if(RIGHT(I28,5)="2 pcs",2,Data!I28)</f>
        <v>1</v>
      </c>
      <c r="L28" s="2" t="str">
        <f t="shared" si="4"/>
        <v>Sunday</v>
      </c>
      <c r="M28" s="2" t="str">
        <f t="shared" si="5"/>
        <v>29</v>
      </c>
      <c r="N28" s="2">
        <f>VLOOKUP(L28,'Data Info'!$A$1:$B$8,2,0)</f>
        <v>7</v>
      </c>
      <c r="O28" s="2" t="str">
        <f>VLOOKUP(L28,'Data Info'!$A$1:$C$8,3,0)</f>
        <v>Weekend</v>
      </c>
    </row>
    <row r="29">
      <c r="A29" s="4">
        <v>45564.71875</v>
      </c>
      <c r="B29" s="9">
        <f>IFERROR(__xludf.DUMMYFUNCTION("SPLIT(A29,"" "")"),45564.0)</f>
        <v>45564</v>
      </c>
      <c r="C29" s="10">
        <f>IFERROR(__xludf.DUMMYFUNCTION("""COMPUTED_VALUE"""),0.71875)</f>
        <v>0.71875</v>
      </c>
      <c r="D29" s="2">
        <f t="shared" si="1"/>
        <v>17</v>
      </c>
      <c r="E29" s="2">
        <f>IFERROR(__xludf.DUMMYFUNCTION("SPLIT(B29,""/"")"),29.0)</f>
        <v>29</v>
      </c>
      <c r="F29" s="2">
        <f>IFERROR(__xludf.DUMMYFUNCTION("""COMPUTED_VALUE"""),9.0)</f>
        <v>9</v>
      </c>
      <c r="G29" s="2">
        <f>IFERROR(__xludf.DUMMYFUNCTION("""COMPUTED_VALUE"""),2024.0)</f>
        <v>2024</v>
      </c>
      <c r="H29" s="2" t="str">
        <f t="shared" si="2"/>
        <v>2024/9/29</v>
      </c>
      <c r="I29" s="2" t="s">
        <v>1566</v>
      </c>
      <c r="J29" s="2" t="str">
        <f t="shared" si="3"/>
        <v>Roti Bawang Saus Keju</v>
      </c>
      <c r="K29" s="7">
        <f>if(RIGHT(I29,5)="2 pcs",2,Data!I29)</f>
        <v>1</v>
      </c>
      <c r="L29" s="2" t="str">
        <f t="shared" si="4"/>
        <v>Sunday</v>
      </c>
      <c r="M29" s="2" t="str">
        <f t="shared" si="5"/>
        <v>29</v>
      </c>
      <c r="N29" s="2">
        <f>VLOOKUP(L29,'Data Info'!$A$1:$B$8,2,0)</f>
        <v>7</v>
      </c>
      <c r="O29" s="2" t="str">
        <f>VLOOKUP(L29,'Data Info'!$A$1:$C$8,3,0)</f>
        <v>Weekend</v>
      </c>
    </row>
    <row r="30">
      <c r="A30" s="4">
        <v>45564.71875</v>
      </c>
      <c r="B30" s="9">
        <f>IFERROR(__xludf.DUMMYFUNCTION("SPLIT(A30,"" "")"),45564.0)</f>
        <v>45564</v>
      </c>
      <c r="C30" s="10">
        <f>IFERROR(__xludf.DUMMYFUNCTION("""COMPUTED_VALUE"""),0.71875)</f>
        <v>0.71875</v>
      </c>
      <c r="D30" s="2">
        <f t="shared" si="1"/>
        <v>17</v>
      </c>
      <c r="E30" s="2">
        <f>IFERROR(__xludf.DUMMYFUNCTION("SPLIT(B30,""/"")"),29.0)</f>
        <v>29</v>
      </c>
      <c r="F30" s="2">
        <f>IFERROR(__xludf.DUMMYFUNCTION("""COMPUTED_VALUE"""),9.0)</f>
        <v>9</v>
      </c>
      <c r="G30" s="2">
        <f>IFERROR(__xludf.DUMMYFUNCTION("""COMPUTED_VALUE"""),2024.0)</f>
        <v>2024</v>
      </c>
      <c r="H30" s="2" t="str">
        <f t="shared" si="2"/>
        <v>2024/9/29</v>
      </c>
      <c r="I30" s="2" t="s">
        <v>1591</v>
      </c>
      <c r="J30" s="2" t="str">
        <f t="shared" si="3"/>
        <v>Kopi cur</v>
      </c>
      <c r="K30" s="7">
        <f>if(RIGHT(I30,5)="2 pcs",2,Data!I30)</f>
        <v>1</v>
      </c>
      <c r="L30" s="2" t="str">
        <f t="shared" si="4"/>
        <v>Sunday</v>
      </c>
      <c r="M30" s="2" t="str">
        <f t="shared" si="5"/>
        <v>29</v>
      </c>
      <c r="N30" s="2">
        <f>VLOOKUP(L30,'Data Info'!$A$1:$B$8,2,0)</f>
        <v>7</v>
      </c>
      <c r="O30" s="2" t="str">
        <f>VLOOKUP(L30,'Data Info'!$A$1:$C$8,3,0)</f>
        <v>Weekend</v>
      </c>
    </row>
    <row r="31">
      <c r="A31" s="4">
        <v>45564.71875</v>
      </c>
      <c r="B31" s="9">
        <f>IFERROR(__xludf.DUMMYFUNCTION("SPLIT(A31,"" "")"),45564.0)</f>
        <v>45564</v>
      </c>
      <c r="C31" s="10">
        <f>IFERROR(__xludf.DUMMYFUNCTION("""COMPUTED_VALUE"""),0.71875)</f>
        <v>0.71875</v>
      </c>
      <c r="D31" s="2">
        <f t="shared" si="1"/>
        <v>17</v>
      </c>
      <c r="E31" s="2">
        <f>IFERROR(__xludf.DUMMYFUNCTION("SPLIT(B31,""/"")"),29.0)</f>
        <v>29</v>
      </c>
      <c r="F31" s="2">
        <f>IFERROR(__xludf.DUMMYFUNCTION("""COMPUTED_VALUE"""),9.0)</f>
        <v>9</v>
      </c>
      <c r="G31" s="2">
        <f>IFERROR(__xludf.DUMMYFUNCTION("""COMPUTED_VALUE"""),2024.0)</f>
        <v>2024</v>
      </c>
      <c r="H31" s="2" t="str">
        <f t="shared" si="2"/>
        <v>2024/9/29</v>
      </c>
      <c r="I31" s="2" t="s">
        <v>1592</v>
      </c>
      <c r="J31" s="2" t="str">
        <f t="shared" si="3"/>
        <v>Kopi Tubruk Panas</v>
      </c>
      <c r="K31" s="7">
        <f>if(RIGHT(I31,5)="2 pcs",2,Data!I31)</f>
        <v>1</v>
      </c>
      <c r="L31" s="2" t="str">
        <f t="shared" si="4"/>
        <v>Sunday</v>
      </c>
      <c r="M31" s="2" t="str">
        <f t="shared" si="5"/>
        <v>29</v>
      </c>
      <c r="N31" s="2">
        <f>VLOOKUP(L31,'Data Info'!$A$1:$B$8,2,0)</f>
        <v>7</v>
      </c>
      <c r="O31" s="2" t="str">
        <f>VLOOKUP(L31,'Data Info'!$A$1:$C$8,3,0)</f>
        <v>Weekend</v>
      </c>
    </row>
    <row r="32">
      <c r="A32" s="4">
        <v>45564.71875</v>
      </c>
      <c r="B32" s="9">
        <f>IFERROR(__xludf.DUMMYFUNCTION("SPLIT(A32,"" "")"),45564.0)</f>
        <v>45564</v>
      </c>
      <c r="C32" s="10">
        <f>IFERROR(__xludf.DUMMYFUNCTION("""COMPUTED_VALUE"""),0.71875)</f>
        <v>0.71875</v>
      </c>
      <c r="D32" s="2">
        <f t="shared" si="1"/>
        <v>17</v>
      </c>
      <c r="E32" s="2">
        <f>IFERROR(__xludf.DUMMYFUNCTION("SPLIT(B32,""/"")"),29.0)</f>
        <v>29</v>
      </c>
      <c r="F32" s="2">
        <f>IFERROR(__xludf.DUMMYFUNCTION("""COMPUTED_VALUE"""),9.0)</f>
        <v>9</v>
      </c>
      <c r="G32" s="2">
        <f>IFERROR(__xludf.DUMMYFUNCTION("""COMPUTED_VALUE"""),2024.0)</f>
        <v>2024</v>
      </c>
      <c r="H32" s="2" t="str">
        <f t="shared" si="2"/>
        <v>2024/9/29</v>
      </c>
      <c r="I32" s="2" t="s">
        <v>1593</v>
      </c>
      <c r="J32" s="2" t="str">
        <f t="shared" si="3"/>
        <v>Wedang laut</v>
      </c>
      <c r="K32" s="7">
        <f>if(RIGHT(I32,5)="2 pcs",2,Data!I32)</f>
        <v>1</v>
      </c>
      <c r="L32" s="2" t="str">
        <f t="shared" si="4"/>
        <v>Sunday</v>
      </c>
      <c r="M32" s="2" t="str">
        <f t="shared" si="5"/>
        <v>29</v>
      </c>
      <c r="N32" s="2">
        <f>VLOOKUP(L32,'Data Info'!$A$1:$B$8,2,0)</f>
        <v>7</v>
      </c>
      <c r="O32" s="2" t="str">
        <f>VLOOKUP(L32,'Data Info'!$A$1:$C$8,3,0)</f>
        <v>Weekend</v>
      </c>
    </row>
    <row r="33">
      <c r="A33" s="4">
        <v>45564.717361111114</v>
      </c>
      <c r="B33" s="9">
        <f>IFERROR(__xludf.DUMMYFUNCTION("SPLIT(A33,"" "")"),45564.0)</f>
        <v>45564</v>
      </c>
      <c r="C33" s="10">
        <f>IFERROR(__xludf.DUMMYFUNCTION("""COMPUTED_VALUE"""),0.7173611111111111)</f>
        <v>0.7173611111</v>
      </c>
      <c r="D33" s="2">
        <f t="shared" si="1"/>
        <v>17</v>
      </c>
      <c r="E33" s="2">
        <f>IFERROR(__xludf.DUMMYFUNCTION("SPLIT(B33,""/"")"),29.0)</f>
        <v>29</v>
      </c>
      <c r="F33" s="2">
        <f>IFERROR(__xludf.DUMMYFUNCTION("""COMPUTED_VALUE"""),9.0)</f>
        <v>9</v>
      </c>
      <c r="G33" s="2">
        <f>IFERROR(__xludf.DUMMYFUNCTION("""COMPUTED_VALUE"""),2024.0)</f>
        <v>2024</v>
      </c>
      <c r="H33" s="2" t="str">
        <f t="shared" si="2"/>
        <v>2024/9/29</v>
      </c>
      <c r="I33" s="2" t="s">
        <v>1588</v>
      </c>
      <c r="J33" s="2" t="str">
        <f t="shared" si="3"/>
        <v>Es Kopi Susu</v>
      </c>
      <c r="K33" s="7">
        <f>if(RIGHT(I33,5)="2 pcs",2,Data!I33)</f>
        <v>1</v>
      </c>
      <c r="L33" s="2" t="str">
        <f t="shared" si="4"/>
        <v>Sunday</v>
      </c>
      <c r="M33" s="2" t="str">
        <f t="shared" si="5"/>
        <v>29</v>
      </c>
      <c r="N33" s="2">
        <f>VLOOKUP(L33,'Data Info'!$A$1:$B$8,2,0)</f>
        <v>7</v>
      </c>
      <c r="O33" s="2" t="str">
        <f>VLOOKUP(L33,'Data Info'!$A$1:$C$8,3,0)</f>
        <v>Weekend</v>
      </c>
    </row>
    <row r="34">
      <c r="A34" s="4">
        <v>45564.70694444444</v>
      </c>
      <c r="B34" s="9">
        <f>IFERROR(__xludf.DUMMYFUNCTION("SPLIT(A34,"" "")"),45564.0)</f>
        <v>45564</v>
      </c>
      <c r="C34" s="10">
        <f>IFERROR(__xludf.DUMMYFUNCTION("""COMPUTED_VALUE"""),0.7069444444444445)</f>
        <v>0.7069444444</v>
      </c>
      <c r="D34" s="2">
        <f t="shared" si="1"/>
        <v>16</v>
      </c>
      <c r="E34" s="2">
        <f>IFERROR(__xludf.DUMMYFUNCTION("SPLIT(B34,""/"")"),29.0)</f>
        <v>29</v>
      </c>
      <c r="F34" s="2">
        <f>IFERROR(__xludf.DUMMYFUNCTION("""COMPUTED_VALUE"""),9.0)</f>
        <v>9</v>
      </c>
      <c r="G34" s="2">
        <f>IFERROR(__xludf.DUMMYFUNCTION("""COMPUTED_VALUE"""),2024.0)</f>
        <v>2024</v>
      </c>
      <c r="H34" s="2" t="str">
        <f t="shared" si="2"/>
        <v>2024/9/29</v>
      </c>
      <c r="I34" s="2" t="s">
        <v>1588</v>
      </c>
      <c r="J34" s="2" t="str">
        <f t="shared" si="3"/>
        <v>Es Kopi Susu</v>
      </c>
      <c r="K34" s="7">
        <f>if(RIGHT(I34,5)="2 pcs",2,Data!I34)</f>
        <v>2</v>
      </c>
      <c r="L34" s="2" t="str">
        <f t="shared" si="4"/>
        <v>Sunday</v>
      </c>
      <c r="M34" s="2" t="str">
        <f t="shared" si="5"/>
        <v>29</v>
      </c>
      <c r="N34" s="2">
        <f>VLOOKUP(L34,'Data Info'!$A$1:$B$8,2,0)</f>
        <v>7</v>
      </c>
      <c r="O34" s="2" t="str">
        <f>VLOOKUP(L34,'Data Info'!$A$1:$C$8,3,0)</f>
        <v>Weekend</v>
      </c>
    </row>
    <row r="35">
      <c r="A35" s="4">
        <v>45564.69930555556</v>
      </c>
      <c r="B35" s="9">
        <f>IFERROR(__xludf.DUMMYFUNCTION("SPLIT(A35,"" "")"),45564.0)</f>
        <v>45564</v>
      </c>
      <c r="C35" s="10">
        <f>IFERROR(__xludf.DUMMYFUNCTION("""COMPUTED_VALUE"""),0.6993055555555555)</f>
        <v>0.6993055556</v>
      </c>
      <c r="D35" s="2">
        <f t="shared" si="1"/>
        <v>16</v>
      </c>
      <c r="E35" s="2">
        <f>IFERROR(__xludf.DUMMYFUNCTION("SPLIT(B35,""/"")"),29.0)</f>
        <v>29</v>
      </c>
      <c r="F35" s="2">
        <f>IFERROR(__xludf.DUMMYFUNCTION("""COMPUTED_VALUE"""),9.0)</f>
        <v>9</v>
      </c>
      <c r="G35" s="2">
        <f>IFERROR(__xludf.DUMMYFUNCTION("""COMPUTED_VALUE"""),2024.0)</f>
        <v>2024</v>
      </c>
      <c r="H35" s="2" t="str">
        <f t="shared" si="2"/>
        <v>2024/9/29</v>
      </c>
      <c r="I35" s="2" t="s">
        <v>1594</v>
      </c>
      <c r="J35" s="2" t="str">
        <f t="shared" si="3"/>
        <v>Wedang Bulan</v>
      </c>
      <c r="K35" s="7">
        <f>if(RIGHT(I35,5)="2 pcs",2,Data!I35)</f>
        <v>1</v>
      </c>
      <c r="L35" s="2" t="str">
        <f t="shared" si="4"/>
        <v>Sunday</v>
      </c>
      <c r="M35" s="2" t="str">
        <f t="shared" si="5"/>
        <v>29</v>
      </c>
      <c r="N35" s="2">
        <f>VLOOKUP(L35,'Data Info'!$A$1:$B$8,2,0)</f>
        <v>7</v>
      </c>
      <c r="O35" s="2" t="str">
        <f>VLOOKUP(L35,'Data Info'!$A$1:$C$8,3,0)</f>
        <v>Weekend</v>
      </c>
    </row>
    <row r="36">
      <c r="A36" s="4">
        <v>45564.69930555556</v>
      </c>
      <c r="B36" s="9">
        <f>IFERROR(__xludf.DUMMYFUNCTION("SPLIT(A36,"" "")"),45564.0)</f>
        <v>45564</v>
      </c>
      <c r="C36" s="10">
        <f>IFERROR(__xludf.DUMMYFUNCTION("""COMPUTED_VALUE"""),0.6993055555555555)</f>
        <v>0.6993055556</v>
      </c>
      <c r="D36" s="2">
        <f t="shared" si="1"/>
        <v>16</v>
      </c>
      <c r="E36" s="2">
        <f>IFERROR(__xludf.DUMMYFUNCTION("SPLIT(B36,""/"")"),29.0)</f>
        <v>29</v>
      </c>
      <c r="F36" s="2">
        <f>IFERROR(__xludf.DUMMYFUNCTION("""COMPUTED_VALUE"""),9.0)</f>
        <v>9</v>
      </c>
      <c r="G36" s="2">
        <f>IFERROR(__xludf.DUMMYFUNCTION("""COMPUTED_VALUE"""),2024.0)</f>
        <v>2024</v>
      </c>
      <c r="H36" s="2" t="str">
        <f t="shared" si="2"/>
        <v>2024/9/29</v>
      </c>
      <c r="I36" s="2" t="s">
        <v>1584</v>
      </c>
      <c r="J36" s="2" t="str">
        <f t="shared" si="3"/>
        <v>Korean Mango Fresh Milk</v>
      </c>
      <c r="K36" s="7">
        <f>if(RIGHT(I36,5)="2 pcs",2,Data!I36)</f>
        <v>1</v>
      </c>
      <c r="L36" s="2" t="str">
        <f t="shared" si="4"/>
        <v>Sunday</v>
      </c>
      <c r="M36" s="2" t="str">
        <f t="shared" si="5"/>
        <v>29</v>
      </c>
      <c r="N36" s="2">
        <f>VLOOKUP(L36,'Data Info'!$A$1:$B$8,2,0)</f>
        <v>7</v>
      </c>
      <c r="O36" s="2" t="str">
        <f>VLOOKUP(L36,'Data Info'!$A$1:$C$8,3,0)</f>
        <v>Weekend</v>
      </c>
    </row>
    <row r="37">
      <c r="A37" s="4">
        <v>45564.69930555556</v>
      </c>
      <c r="B37" s="9">
        <f>IFERROR(__xludf.DUMMYFUNCTION("SPLIT(A37,"" "")"),45564.0)</f>
        <v>45564</v>
      </c>
      <c r="C37" s="10">
        <f>IFERROR(__xludf.DUMMYFUNCTION("""COMPUTED_VALUE"""),0.6993055555555555)</f>
        <v>0.6993055556</v>
      </c>
      <c r="D37" s="2">
        <f t="shared" si="1"/>
        <v>16</v>
      </c>
      <c r="E37" s="2">
        <f>IFERROR(__xludf.DUMMYFUNCTION("SPLIT(B37,""/"")"),29.0)</f>
        <v>29</v>
      </c>
      <c r="F37" s="2">
        <f>IFERROR(__xludf.DUMMYFUNCTION("""COMPUTED_VALUE"""),9.0)</f>
        <v>9</v>
      </c>
      <c r="G37" s="2">
        <f>IFERROR(__xludf.DUMMYFUNCTION("""COMPUTED_VALUE"""),2024.0)</f>
        <v>2024</v>
      </c>
      <c r="H37" s="2" t="str">
        <f t="shared" si="2"/>
        <v>2024/9/29</v>
      </c>
      <c r="I37" s="2" t="s">
        <v>1595</v>
      </c>
      <c r="J37" s="2" t="str">
        <f t="shared" si="3"/>
        <v>Roti Gandum Cokelat</v>
      </c>
      <c r="K37" s="7">
        <f>if(RIGHT(I37,5)="2 pcs",2,Data!I37)</f>
        <v>1</v>
      </c>
      <c r="L37" s="2" t="str">
        <f t="shared" si="4"/>
        <v>Sunday</v>
      </c>
      <c r="M37" s="2" t="str">
        <f t="shared" si="5"/>
        <v>29</v>
      </c>
      <c r="N37" s="2">
        <f>VLOOKUP(L37,'Data Info'!$A$1:$B$8,2,0)</f>
        <v>7</v>
      </c>
      <c r="O37" s="2" t="str">
        <f>VLOOKUP(L37,'Data Info'!$A$1:$C$8,3,0)</f>
        <v>Weekend</v>
      </c>
    </row>
    <row r="38">
      <c r="A38" s="4">
        <v>45564.69930555556</v>
      </c>
      <c r="B38" s="9">
        <f>IFERROR(__xludf.DUMMYFUNCTION("SPLIT(A38,"" "")"),45564.0)</f>
        <v>45564</v>
      </c>
      <c r="C38" s="10">
        <f>IFERROR(__xludf.DUMMYFUNCTION("""COMPUTED_VALUE"""),0.6993055555555555)</f>
        <v>0.6993055556</v>
      </c>
      <c r="D38" s="2">
        <f t="shared" si="1"/>
        <v>16</v>
      </c>
      <c r="E38" s="2">
        <f>IFERROR(__xludf.DUMMYFUNCTION("SPLIT(B38,""/"")"),29.0)</f>
        <v>29</v>
      </c>
      <c r="F38" s="2">
        <f>IFERROR(__xludf.DUMMYFUNCTION("""COMPUTED_VALUE"""),9.0)</f>
        <v>9</v>
      </c>
      <c r="G38" s="2">
        <f>IFERROR(__xludf.DUMMYFUNCTION("""COMPUTED_VALUE"""),2024.0)</f>
        <v>2024</v>
      </c>
      <c r="H38" s="2" t="str">
        <f t="shared" si="2"/>
        <v>2024/9/29</v>
      </c>
      <c r="I38" s="2" t="s">
        <v>1576</v>
      </c>
      <c r="J38" s="2" t="str">
        <f t="shared" si="3"/>
        <v>Roti Cranberry</v>
      </c>
      <c r="K38" s="7">
        <f>if(RIGHT(I38,5)="2 pcs",2,Data!I38)</f>
        <v>1</v>
      </c>
      <c r="L38" s="2" t="str">
        <f t="shared" si="4"/>
        <v>Sunday</v>
      </c>
      <c r="M38" s="2" t="str">
        <f t="shared" si="5"/>
        <v>29</v>
      </c>
      <c r="N38" s="2">
        <f>VLOOKUP(L38,'Data Info'!$A$1:$B$8,2,0)</f>
        <v>7</v>
      </c>
      <c r="O38" s="2" t="str">
        <f>VLOOKUP(L38,'Data Info'!$A$1:$C$8,3,0)</f>
        <v>Weekend</v>
      </c>
    </row>
    <row r="39">
      <c r="A39" s="4">
        <v>45564.64375</v>
      </c>
      <c r="B39" s="9">
        <f>IFERROR(__xludf.DUMMYFUNCTION("SPLIT(A39,"" "")"),45564.0)</f>
        <v>45564</v>
      </c>
      <c r="C39" s="10">
        <f>IFERROR(__xludf.DUMMYFUNCTION("""COMPUTED_VALUE"""),0.64375)</f>
        <v>0.64375</v>
      </c>
      <c r="D39" s="2">
        <f t="shared" si="1"/>
        <v>15</v>
      </c>
      <c r="E39" s="2">
        <f>IFERROR(__xludf.DUMMYFUNCTION("SPLIT(B39,""/"")"),29.0)</f>
        <v>29</v>
      </c>
      <c r="F39" s="2">
        <f>IFERROR(__xludf.DUMMYFUNCTION("""COMPUTED_VALUE"""),9.0)</f>
        <v>9</v>
      </c>
      <c r="G39" s="2">
        <f>IFERROR(__xludf.DUMMYFUNCTION("""COMPUTED_VALUE"""),2024.0)</f>
        <v>2024</v>
      </c>
      <c r="H39" s="2" t="str">
        <f t="shared" si="2"/>
        <v>2024/9/29</v>
      </c>
      <c r="I39" s="2" t="s">
        <v>1596</v>
      </c>
      <c r="J39" s="2" t="str">
        <f t="shared" si="3"/>
        <v>Roti Cranberry</v>
      </c>
      <c r="K39" s="7">
        <f>if(RIGHT(I39,5)="2 pcs",2,Data!I39)</f>
        <v>2</v>
      </c>
      <c r="L39" s="2" t="str">
        <f t="shared" si="4"/>
        <v>Sunday</v>
      </c>
      <c r="M39" s="2" t="str">
        <f t="shared" si="5"/>
        <v>29</v>
      </c>
      <c r="N39" s="2">
        <f>VLOOKUP(L39,'Data Info'!$A$1:$B$8,2,0)</f>
        <v>7</v>
      </c>
      <c r="O39" s="2" t="str">
        <f>VLOOKUP(L39,'Data Info'!$A$1:$C$8,3,0)</f>
        <v>Weekend</v>
      </c>
    </row>
    <row r="40">
      <c r="A40" s="4">
        <v>45564.64375</v>
      </c>
      <c r="B40" s="9">
        <f>IFERROR(__xludf.DUMMYFUNCTION("SPLIT(A40,"" "")"),45564.0)</f>
        <v>45564</v>
      </c>
      <c r="C40" s="10">
        <f>IFERROR(__xludf.DUMMYFUNCTION("""COMPUTED_VALUE"""),0.64375)</f>
        <v>0.64375</v>
      </c>
      <c r="D40" s="2">
        <f t="shared" si="1"/>
        <v>15</v>
      </c>
      <c r="E40" s="2">
        <f>IFERROR(__xludf.DUMMYFUNCTION("SPLIT(B40,""/"")"),29.0)</f>
        <v>29</v>
      </c>
      <c r="F40" s="2">
        <f>IFERROR(__xludf.DUMMYFUNCTION("""COMPUTED_VALUE"""),9.0)</f>
        <v>9</v>
      </c>
      <c r="G40" s="2">
        <f>IFERROR(__xludf.DUMMYFUNCTION("""COMPUTED_VALUE"""),2024.0)</f>
        <v>2024</v>
      </c>
      <c r="H40" s="2" t="str">
        <f t="shared" si="2"/>
        <v>2024/9/29</v>
      </c>
      <c r="I40" s="2" t="s">
        <v>1597</v>
      </c>
      <c r="J40" s="2" t="str">
        <f t="shared" si="3"/>
        <v>Roti Gandum Cokelat</v>
      </c>
      <c r="K40" s="7">
        <f>if(RIGHT(I40,5)="2 pcs",2,Data!I40)</f>
        <v>2</v>
      </c>
      <c r="L40" s="2" t="str">
        <f t="shared" si="4"/>
        <v>Sunday</v>
      </c>
      <c r="M40" s="2" t="str">
        <f t="shared" si="5"/>
        <v>29</v>
      </c>
      <c r="N40" s="2">
        <f>VLOOKUP(L40,'Data Info'!$A$1:$B$8,2,0)</f>
        <v>7</v>
      </c>
      <c r="O40" s="2" t="str">
        <f>VLOOKUP(L40,'Data Info'!$A$1:$C$8,3,0)</f>
        <v>Weekend</v>
      </c>
    </row>
    <row r="41">
      <c r="A41" s="4">
        <v>45564.64375</v>
      </c>
      <c r="B41" s="9">
        <f>IFERROR(__xludf.DUMMYFUNCTION("SPLIT(A41,"" "")"),45564.0)</f>
        <v>45564</v>
      </c>
      <c r="C41" s="10">
        <f>IFERROR(__xludf.DUMMYFUNCTION("""COMPUTED_VALUE"""),0.64375)</f>
        <v>0.64375</v>
      </c>
      <c r="D41" s="2">
        <f t="shared" si="1"/>
        <v>15</v>
      </c>
      <c r="E41" s="2">
        <f>IFERROR(__xludf.DUMMYFUNCTION("SPLIT(B41,""/"")"),29.0)</f>
        <v>29</v>
      </c>
      <c r="F41" s="2">
        <f>IFERROR(__xludf.DUMMYFUNCTION("""COMPUTED_VALUE"""),9.0)</f>
        <v>9</v>
      </c>
      <c r="G41" s="2">
        <f>IFERROR(__xludf.DUMMYFUNCTION("""COMPUTED_VALUE"""),2024.0)</f>
        <v>2024</v>
      </c>
      <c r="H41" s="2" t="str">
        <f t="shared" si="2"/>
        <v>2024/9/29</v>
      </c>
      <c r="I41" s="2" t="s">
        <v>1584</v>
      </c>
      <c r="J41" s="2" t="str">
        <f t="shared" si="3"/>
        <v>Korean Mango Fresh Milk</v>
      </c>
      <c r="K41" s="7">
        <f>if(RIGHT(I41,5)="2 pcs",2,Data!I41)</f>
        <v>-1</v>
      </c>
      <c r="L41" s="2" t="str">
        <f t="shared" si="4"/>
        <v>Sunday</v>
      </c>
      <c r="M41" s="2" t="str">
        <f t="shared" si="5"/>
        <v>29</v>
      </c>
      <c r="N41" s="2">
        <f>VLOOKUP(L41,'Data Info'!$A$1:$B$8,2,0)</f>
        <v>7</v>
      </c>
      <c r="O41" s="2" t="str">
        <f>VLOOKUP(L41,'Data Info'!$A$1:$C$8,3,0)</f>
        <v>Weekend</v>
      </c>
    </row>
    <row r="42">
      <c r="A42" s="4">
        <v>45564.64375</v>
      </c>
      <c r="B42" s="9">
        <f>IFERROR(__xludf.DUMMYFUNCTION("SPLIT(A42,"" "")"),45564.0)</f>
        <v>45564</v>
      </c>
      <c r="C42" s="10">
        <f>IFERROR(__xludf.DUMMYFUNCTION("""COMPUTED_VALUE"""),0.64375)</f>
        <v>0.64375</v>
      </c>
      <c r="D42" s="2">
        <f t="shared" si="1"/>
        <v>15</v>
      </c>
      <c r="E42" s="2">
        <f>IFERROR(__xludf.DUMMYFUNCTION("SPLIT(B42,""/"")"),29.0)</f>
        <v>29</v>
      </c>
      <c r="F42" s="2">
        <f>IFERROR(__xludf.DUMMYFUNCTION("""COMPUTED_VALUE"""),9.0)</f>
        <v>9</v>
      </c>
      <c r="G42" s="2">
        <f>IFERROR(__xludf.DUMMYFUNCTION("""COMPUTED_VALUE"""),2024.0)</f>
        <v>2024</v>
      </c>
      <c r="H42" s="2" t="str">
        <f t="shared" si="2"/>
        <v>2024/9/29</v>
      </c>
      <c r="I42" s="2" t="s">
        <v>1598</v>
      </c>
      <c r="J42" s="2" t="str">
        <f t="shared" si="3"/>
        <v>Korean Strawberry Fresh Milk</v>
      </c>
      <c r="K42" s="7">
        <f>if(RIGHT(I42,5)="2 pcs",2,Data!I42)</f>
        <v>-1</v>
      </c>
      <c r="L42" s="2" t="str">
        <f t="shared" si="4"/>
        <v>Sunday</v>
      </c>
      <c r="M42" s="2" t="str">
        <f t="shared" si="5"/>
        <v>29</v>
      </c>
      <c r="N42" s="2">
        <f>VLOOKUP(L42,'Data Info'!$A$1:$B$8,2,0)</f>
        <v>7</v>
      </c>
      <c r="O42" s="2" t="str">
        <f>VLOOKUP(L42,'Data Info'!$A$1:$C$8,3,0)</f>
        <v>Weekend</v>
      </c>
    </row>
    <row r="43">
      <c r="A43" s="4">
        <v>45564.643055555556</v>
      </c>
      <c r="B43" s="9">
        <f>IFERROR(__xludf.DUMMYFUNCTION("SPLIT(A43,"" "")"),45564.0)</f>
        <v>45564</v>
      </c>
      <c r="C43" s="10">
        <f>IFERROR(__xludf.DUMMYFUNCTION("""COMPUTED_VALUE"""),0.6430555555555556)</f>
        <v>0.6430555556</v>
      </c>
      <c r="D43" s="2">
        <f t="shared" si="1"/>
        <v>15</v>
      </c>
      <c r="E43" s="2">
        <f>IFERROR(__xludf.DUMMYFUNCTION("SPLIT(B43,""/"")"),29.0)</f>
        <v>29</v>
      </c>
      <c r="F43" s="2">
        <f>IFERROR(__xludf.DUMMYFUNCTION("""COMPUTED_VALUE"""),9.0)</f>
        <v>9</v>
      </c>
      <c r="G43" s="2">
        <f>IFERROR(__xludf.DUMMYFUNCTION("""COMPUTED_VALUE"""),2024.0)</f>
        <v>2024</v>
      </c>
      <c r="H43" s="2" t="str">
        <f t="shared" si="2"/>
        <v>2024/9/29</v>
      </c>
      <c r="I43" s="2" t="s">
        <v>1598</v>
      </c>
      <c r="J43" s="2" t="str">
        <f t="shared" si="3"/>
        <v>Korean Strawberry Fresh Milk</v>
      </c>
      <c r="K43" s="7">
        <f>if(RIGHT(I43,5)="2 pcs",2,Data!I43)</f>
        <v>1</v>
      </c>
      <c r="L43" s="2" t="str">
        <f t="shared" si="4"/>
        <v>Sunday</v>
      </c>
      <c r="M43" s="2" t="str">
        <f t="shared" si="5"/>
        <v>29</v>
      </c>
      <c r="N43" s="2">
        <f>VLOOKUP(L43,'Data Info'!$A$1:$B$8,2,0)</f>
        <v>7</v>
      </c>
      <c r="O43" s="2" t="str">
        <f>VLOOKUP(L43,'Data Info'!$A$1:$C$8,3,0)</f>
        <v>Weekend</v>
      </c>
    </row>
    <row r="44">
      <c r="A44" s="4">
        <v>45564.643055555556</v>
      </c>
      <c r="B44" s="9">
        <f>IFERROR(__xludf.DUMMYFUNCTION("SPLIT(A44,"" "")"),45564.0)</f>
        <v>45564</v>
      </c>
      <c r="C44" s="10">
        <f>IFERROR(__xludf.DUMMYFUNCTION("""COMPUTED_VALUE"""),0.6430555555555556)</f>
        <v>0.6430555556</v>
      </c>
      <c r="D44" s="2">
        <f t="shared" si="1"/>
        <v>15</v>
      </c>
      <c r="E44" s="2">
        <f>IFERROR(__xludf.DUMMYFUNCTION("SPLIT(B44,""/"")"),29.0)</f>
        <v>29</v>
      </c>
      <c r="F44" s="2">
        <f>IFERROR(__xludf.DUMMYFUNCTION("""COMPUTED_VALUE"""),9.0)</f>
        <v>9</v>
      </c>
      <c r="G44" s="2">
        <f>IFERROR(__xludf.DUMMYFUNCTION("""COMPUTED_VALUE"""),2024.0)</f>
        <v>2024</v>
      </c>
      <c r="H44" s="2" t="str">
        <f t="shared" si="2"/>
        <v>2024/9/29</v>
      </c>
      <c r="I44" s="2" t="s">
        <v>1584</v>
      </c>
      <c r="J44" s="2" t="str">
        <f t="shared" si="3"/>
        <v>Korean Mango Fresh Milk</v>
      </c>
      <c r="K44" s="7">
        <f>if(RIGHT(I44,5)="2 pcs",2,Data!I44)</f>
        <v>1</v>
      </c>
      <c r="L44" s="2" t="str">
        <f t="shared" si="4"/>
        <v>Sunday</v>
      </c>
      <c r="M44" s="2" t="str">
        <f t="shared" si="5"/>
        <v>29</v>
      </c>
      <c r="N44" s="2">
        <f>VLOOKUP(L44,'Data Info'!$A$1:$B$8,2,0)</f>
        <v>7</v>
      </c>
      <c r="O44" s="2" t="str">
        <f>VLOOKUP(L44,'Data Info'!$A$1:$C$8,3,0)</f>
        <v>Weekend</v>
      </c>
    </row>
    <row r="45">
      <c r="A45" s="4">
        <v>45564.643055555556</v>
      </c>
      <c r="B45" s="9">
        <f>IFERROR(__xludf.DUMMYFUNCTION("SPLIT(A45,"" "")"),45564.0)</f>
        <v>45564</v>
      </c>
      <c r="C45" s="10">
        <f>IFERROR(__xludf.DUMMYFUNCTION("""COMPUTED_VALUE"""),0.6430555555555556)</f>
        <v>0.6430555556</v>
      </c>
      <c r="D45" s="2">
        <f t="shared" si="1"/>
        <v>15</v>
      </c>
      <c r="E45" s="2">
        <f>IFERROR(__xludf.DUMMYFUNCTION("SPLIT(B45,""/"")"),29.0)</f>
        <v>29</v>
      </c>
      <c r="F45" s="2">
        <f>IFERROR(__xludf.DUMMYFUNCTION("""COMPUTED_VALUE"""),9.0)</f>
        <v>9</v>
      </c>
      <c r="G45" s="2">
        <f>IFERROR(__xludf.DUMMYFUNCTION("""COMPUTED_VALUE"""),2024.0)</f>
        <v>2024</v>
      </c>
      <c r="H45" s="2" t="str">
        <f t="shared" si="2"/>
        <v>2024/9/29</v>
      </c>
      <c r="I45" s="2" t="s">
        <v>1596</v>
      </c>
      <c r="J45" s="2" t="str">
        <f t="shared" si="3"/>
        <v>Roti Cranberry</v>
      </c>
      <c r="K45" s="7">
        <f>if(RIGHT(I45,5)="2 pcs",2,Data!I45)</f>
        <v>2</v>
      </c>
      <c r="L45" s="2" t="str">
        <f t="shared" si="4"/>
        <v>Sunday</v>
      </c>
      <c r="M45" s="2" t="str">
        <f t="shared" si="5"/>
        <v>29</v>
      </c>
      <c r="N45" s="2">
        <f>VLOOKUP(L45,'Data Info'!$A$1:$B$8,2,0)</f>
        <v>7</v>
      </c>
      <c r="O45" s="2" t="str">
        <f>VLOOKUP(L45,'Data Info'!$A$1:$C$8,3,0)</f>
        <v>Weekend</v>
      </c>
    </row>
    <row r="46">
      <c r="A46" s="4">
        <v>45564.643055555556</v>
      </c>
      <c r="B46" s="9">
        <f>IFERROR(__xludf.DUMMYFUNCTION("SPLIT(A46,"" "")"),45564.0)</f>
        <v>45564</v>
      </c>
      <c r="C46" s="10">
        <f>IFERROR(__xludf.DUMMYFUNCTION("""COMPUTED_VALUE"""),0.6430555555555556)</f>
        <v>0.6430555556</v>
      </c>
      <c r="D46" s="2">
        <f t="shared" si="1"/>
        <v>15</v>
      </c>
      <c r="E46" s="2">
        <f>IFERROR(__xludf.DUMMYFUNCTION("SPLIT(B46,""/"")"),29.0)</f>
        <v>29</v>
      </c>
      <c r="F46" s="2">
        <f>IFERROR(__xludf.DUMMYFUNCTION("""COMPUTED_VALUE"""),9.0)</f>
        <v>9</v>
      </c>
      <c r="G46" s="2">
        <f>IFERROR(__xludf.DUMMYFUNCTION("""COMPUTED_VALUE"""),2024.0)</f>
        <v>2024</v>
      </c>
      <c r="H46" s="2" t="str">
        <f t="shared" si="2"/>
        <v>2024/9/29</v>
      </c>
      <c r="I46" s="2" t="s">
        <v>1597</v>
      </c>
      <c r="J46" s="2" t="str">
        <f t="shared" si="3"/>
        <v>Roti Gandum Cokelat</v>
      </c>
      <c r="K46" s="7">
        <f>if(RIGHT(I46,5)="2 pcs",2,Data!I46)</f>
        <v>2</v>
      </c>
      <c r="L46" s="2" t="str">
        <f t="shared" si="4"/>
        <v>Sunday</v>
      </c>
      <c r="M46" s="2" t="str">
        <f t="shared" si="5"/>
        <v>29</v>
      </c>
      <c r="N46" s="2">
        <f>VLOOKUP(L46,'Data Info'!$A$1:$B$8,2,0)</f>
        <v>7</v>
      </c>
      <c r="O46" s="2" t="str">
        <f>VLOOKUP(L46,'Data Info'!$A$1:$C$8,3,0)</f>
        <v>Weekend</v>
      </c>
    </row>
    <row r="47">
      <c r="A47" s="4">
        <v>45564.64097222222</v>
      </c>
      <c r="B47" s="9">
        <f>IFERROR(__xludf.DUMMYFUNCTION("SPLIT(A47,"" "")"),45564.0)</f>
        <v>45564</v>
      </c>
      <c r="C47" s="10">
        <f>IFERROR(__xludf.DUMMYFUNCTION("""COMPUTED_VALUE"""),0.6409722222222223)</f>
        <v>0.6409722222</v>
      </c>
      <c r="D47" s="2">
        <f t="shared" si="1"/>
        <v>15</v>
      </c>
      <c r="E47" s="2">
        <f>IFERROR(__xludf.DUMMYFUNCTION("SPLIT(B47,""/"")"),29.0)</f>
        <v>29</v>
      </c>
      <c r="F47" s="2">
        <f>IFERROR(__xludf.DUMMYFUNCTION("""COMPUTED_VALUE"""),9.0)</f>
        <v>9</v>
      </c>
      <c r="G47" s="2">
        <f>IFERROR(__xludf.DUMMYFUNCTION("""COMPUTED_VALUE"""),2024.0)</f>
        <v>2024</v>
      </c>
      <c r="H47" s="2" t="str">
        <f t="shared" si="2"/>
        <v>2024/9/29</v>
      </c>
      <c r="I47" s="2" t="s">
        <v>1596</v>
      </c>
      <c r="J47" s="2" t="str">
        <f t="shared" si="3"/>
        <v>Roti Cranberry</v>
      </c>
      <c r="K47" s="7">
        <f>if(RIGHT(I47,5)="2 pcs",2,Data!I47)</f>
        <v>2</v>
      </c>
      <c r="L47" s="2" t="str">
        <f t="shared" si="4"/>
        <v>Sunday</v>
      </c>
      <c r="M47" s="2" t="str">
        <f t="shared" si="5"/>
        <v>29</v>
      </c>
      <c r="N47" s="2">
        <f>VLOOKUP(L47,'Data Info'!$A$1:$B$8,2,0)</f>
        <v>7</v>
      </c>
      <c r="O47" s="2" t="str">
        <f>VLOOKUP(L47,'Data Info'!$A$1:$C$8,3,0)</f>
        <v>Weekend</v>
      </c>
    </row>
    <row r="48">
      <c r="A48" s="4">
        <v>45564.64097222222</v>
      </c>
      <c r="B48" s="9">
        <f>IFERROR(__xludf.DUMMYFUNCTION("SPLIT(A48,"" "")"),45564.0)</f>
        <v>45564</v>
      </c>
      <c r="C48" s="10">
        <f>IFERROR(__xludf.DUMMYFUNCTION("""COMPUTED_VALUE"""),0.6409722222222223)</f>
        <v>0.6409722222</v>
      </c>
      <c r="D48" s="2">
        <f t="shared" si="1"/>
        <v>15</v>
      </c>
      <c r="E48" s="2">
        <f>IFERROR(__xludf.DUMMYFUNCTION("SPLIT(B48,""/"")"),29.0)</f>
        <v>29</v>
      </c>
      <c r="F48" s="2">
        <f>IFERROR(__xludf.DUMMYFUNCTION("""COMPUTED_VALUE"""),9.0)</f>
        <v>9</v>
      </c>
      <c r="G48" s="2">
        <f>IFERROR(__xludf.DUMMYFUNCTION("""COMPUTED_VALUE"""),2024.0)</f>
        <v>2024</v>
      </c>
      <c r="H48" s="2" t="str">
        <f t="shared" si="2"/>
        <v>2024/9/29</v>
      </c>
      <c r="I48" s="2" t="s">
        <v>1597</v>
      </c>
      <c r="J48" s="2" t="str">
        <f t="shared" si="3"/>
        <v>Roti Gandum Cokelat</v>
      </c>
      <c r="K48" s="7">
        <f>if(RIGHT(I48,5)="2 pcs",2,Data!I48)</f>
        <v>2</v>
      </c>
      <c r="L48" s="2" t="str">
        <f t="shared" si="4"/>
        <v>Sunday</v>
      </c>
      <c r="M48" s="2" t="str">
        <f t="shared" si="5"/>
        <v>29</v>
      </c>
      <c r="N48" s="2">
        <f>VLOOKUP(L48,'Data Info'!$A$1:$B$8,2,0)</f>
        <v>7</v>
      </c>
      <c r="O48" s="2" t="str">
        <f>VLOOKUP(L48,'Data Info'!$A$1:$C$8,3,0)</f>
        <v>Weekend</v>
      </c>
    </row>
    <row r="49">
      <c r="A49" s="4">
        <v>45564.64097222222</v>
      </c>
      <c r="B49" s="9">
        <f>IFERROR(__xludf.DUMMYFUNCTION("SPLIT(A49,"" "")"),45564.0)</f>
        <v>45564</v>
      </c>
      <c r="C49" s="10">
        <f>IFERROR(__xludf.DUMMYFUNCTION("""COMPUTED_VALUE"""),0.6409722222222223)</f>
        <v>0.6409722222</v>
      </c>
      <c r="D49" s="2">
        <f t="shared" si="1"/>
        <v>15</v>
      </c>
      <c r="E49" s="2">
        <f>IFERROR(__xludf.DUMMYFUNCTION("SPLIT(B49,""/"")"),29.0)</f>
        <v>29</v>
      </c>
      <c r="F49" s="2">
        <f>IFERROR(__xludf.DUMMYFUNCTION("""COMPUTED_VALUE"""),9.0)</f>
        <v>9</v>
      </c>
      <c r="G49" s="2">
        <f>IFERROR(__xludf.DUMMYFUNCTION("""COMPUTED_VALUE"""),2024.0)</f>
        <v>2024</v>
      </c>
      <c r="H49" s="2" t="str">
        <f t="shared" si="2"/>
        <v>2024/9/29</v>
      </c>
      <c r="I49" s="2" t="s">
        <v>1584</v>
      </c>
      <c r="J49" s="2" t="str">
        <f t="shared" si="3"/>
        <v>Korean Mango Fresh Milk</v>
      </c>
      <c r="K49" s="7">
        <f>if(RIGHT(I49,5)="2 pcs",2,Data!I49)</f>
        <v>1</v>
      </c>
      <c r="L49" s="2" t="str">
        <f t="shared" si="4"/>
        <v>Sunday</v>
      </c>
      <c r="M49" s="2" t="str">
        <f t="shared" si="5"/>
        <v>29</v>
      </c>
      <c r="N49" s="2">
        <f>VLOOKUP(L49,'Data Info'!$A$1:$B$8,2,0)</f>
        <v>7</v>
      </c>
      <c r="O49" s="2" t="str">
        <f>VLOOKUP(L49,'Data Info'!$A$1:$C$8,3,0)</f>
        <v>Weekend</v>
      </c>
    </row>
    <row r="50">
      <c r="A50" s="4">
        <v>45564.64097222222</v>
      </c>
      <c r="B50" s="9">
        <f>IFERROR(__xludf.DUMMYFUNCTION("SPLIT(A50,"" "")"),45564.0)</f>
        <v>45564</v>
      </c>
      <c r="C50" s="10">
        <f>IFERROR(__xludf.DUMMYFUNCTION("""COMPUTED_VALUE"""),0.6409722222222223)</f>
        <v>0.6409722222</v>
      </c>
      <c r="D50" s="2">
        <f t="shared" si="1"/>
        <v>15</v>
      </c>
      <c r="E50" s="2">
        <f>IFERROR(__xludf.DUMMYFUNCTION("SPLIT(B50,""/"")"),29.0)</f>
        <v>29</v>
      </c>
      <c r="F50" s="2">
        <f>IFERROR(__xludf.DUMMYFUNCTION("""COMPUTED_VALUE"""),9.0)</f>
        <v>9</v>
      </c>
      <c r="G50" s="2">
        <f>IFERROR(__xludf.DUMMYFUNCTION("""COMPUTED_VALUE"""),2024.0)</f>
        <v>2024</v>
      </c>
      <c r="H50" s="2" t="str">
        <f t="shared" si="2"/>
        <v>2024/9/29</v>
      </c>
      <c r="I50" s="2" t="s">
        <v>1598</v>
      </c>
      <c r="J50" s="2" t="str">
        <f t="shared" si="3"/>
        <v>Korean Strawberry Fresh Milk</v>
      </c>
      <c r="K50" s="7">
        <f>if(RIGHT(I50,5)="2 pcs",2,Data!I50)</f>
        <v>1</v>
      </c>
      <c r="L50" s="2" t="str">
        <f t="shared" si="4"/>
        <v>Sunday</v>
      </c>
      <c r="M50" s="2" t="str">
        <f t="shared" si="5"/>
        <v>29</v>
      </c>
      <c r="N50" s="2">
        <f>VLOOKUP(L50,'Data Info'!$A$1:$B$8,2,0)</f>
        <v>7</v>
      </c>
      <c r="O50" s="2" t="str">
        <f>VLOOKUP(L50,'Data Info'!$A$1:$C$8,3,0)</f>
        <v>Weekend</v>
      </c>
    </row>
    <row r="51">
      <c r="A51" s="4">
        <v>45564.60763888889</v>
      </c>
      <c r="B51" s="9">
        <f>IFERROR(__xludf.DUMMYFUNCTION("SPLIT(A51,"" "")"),45564.0)</f>
        <v>45564</v>
      </c>
      <c r="C51" s="10">
        <f>IFERROR(__xludf.DUMMYFUNCTION("""COMPUTED_VALUE"""),0.6076388888888888)</f>
        <v>0.6076388889</v>
      </c>
      <c r="D51" s="2">
        <f t="shared" si="1"/>
        <v>14</v>
      </c>
      <c r="E51" s="2">
        <f>IFERROR(__xludf.DUMMYFUNCTION("SPLIT(B51,""/"")"),29.0)</f>
        <v>29</v>
      </c>
      <c r="F51" s="2">
        <f>IFERROR(__xludf.DUMMYFUNCTION("""COMPUTED_VALUE"""),9.0)</f>
        <v>9</v>
      </c>
      <c r="G51" s="2">
        <f>IFERROR(__xludf.DUMMYFUNCTION("""COMPUTED_VALUE"""),2024.0)</f>
        <v>2024</v>
      </c>
      <c r="H51" s="2" t="str">
        <f t="shared" si="2"/>
        <v>2024/9/29</v>
      </c>
      <c r="I51" s="2" t="s">
        <v>1596</v>
      </c>
      <c r="J51" s="2" t="str">
        <f t="shared" si="3"/>
        <v>Roti Cranberry</v>
      </c>
      <c r="K51" s="7">
        <f>if(RIGHT(I51,5)="2 pcs",2,Data!I51)</f>
        <v>2</v>
      </c>
      <c r="L51" s="2" t="str">
        <f t="shared" si="4"/>
        <v>Sunday</v>
      </c>
      <c r="M51" s="2" t="str">
        <f t="shared" si="5"/>
        <v>29</v>
      </c>
      <c r="N51" s="2">
        <f>VLOOKUP(L51,'Data Info'!$A$1:$B$8,2,0)</f>
        <v>7</v>
      </c>
      <c r="O51" s="2" t="str">
        <f>VLOOKUP(L51,'Data Info'!$A$1:$C$8,3,0)</f>
        <v>Weekend</v>
      </c>
    </row>
    <row r="52">
      <c r="A52" s="4">
        <v>45564.60763888889</v>
      </c>
      <c r="B52" s="9">
        <f>IFERROR(__xludf.DUMMYFUNCTION("SPLIT(A52,"" "")"),45564.0)</f>
        <v>45564</v>
      </c>
      <c r="C52" s="10">
        <f>IFERROR(__xludf.DUMMYFUNCTION("""COMPUTED_VALUE"""),0.6076388888888888)</f>
        <v>0.6076388889</v>
      </c>
      <c r="D52" s="2">
        <f t="shared" si="1"/>
        <v>14</v>
      </c>
      <c r="E52" s="2">
        <f>IFERROR(__xludf.DUMMYFUNCTION("SPLIT(B52,""/"")"),29.0)</f>
        <v>29</v>
      </c>
      <c r="F52" s="2">
        <f>IFERROR(__xludf.DUMMYFUNCTION("""COMPUTED_VALUE"""),9.0)</f>
        <v>9</v>
      </c>
      <c r="G52" s="2">
        <f>IFERROR(__xludf.DUMMYFUNCTION("""COMPUTED_VALUE"""),2024.0)</f>
        <v>2024</v>
      </c>
      <c r="H52" s="2" t="str">
        <f t="shared" si="2"/>
        <v>2024/9/29</v>
      </c>
      <c r="I52" s="2" t="s">
        <v>1595</v>
      </c>
      <c r="J52" s="2" t="str">
        <f t="shared" si="3"/>
        <v>Roti Gandum Cokelat</v>
      </c>
      <c r="K52" s="7">
        <f>if(RIGHT(I52,5)="2 pcs",2,Data!I52)</f>
        <v>-1</v>
      </c>
      <c r="L52" s="2" t="str">
        <f t="shared" si="4"/>
        <v>Sunday</v>
      </c>
      <c r="M52" s="2" t="str">
        <f t="shared" si="5"/>
        <v>29</v>
      </c>
      <c r="N52" s="2">
        <f>VLOOKUP(L52,'Data Info'!$A$1:$B$8,2,0)</f>
        <v>7</v>
      </c>
      <c r="O52" s="2" t="str">
        <f>VLOOKUP(L52,'Data Info'!$A$1:$C$8,3,0)</f>
        <v>Weekend</v>
      </c>
    </row>
    <row r="53">
      <c r="A53" s="4">
        <v>45564.60763888889</v>
      </c>
      <c r="B53" s="9">
        <f>IFERROR(__xludf.DUMMYFUNCTION("SPLIT(A53,"" "")"),45564.0)</f>
        <v>45564</v>
      </c>
      <c r="C53" s="10">
        <f>IFERROR(__xludf.DUMMYFUNCTION("""COMPUTED_VALUE"""),0.6076388888888888)</f>
        <v>0.6076388889</v>
      </c>
      <c r="D53" s="2">
        <f t="shared" si="1"/>
        <v>14</v>
      </c>
      <c r="E53" s="2">
        <f>IFERROR(__xludf.DUMMYFUNCTION("SPLIT(B53,""/"")"),29.0)</f>
        <v>29</v>
      </c>
      <c r="F53" s="2">
        <f>IFERROR(__xludf.DUMMYFUNCTION("""COMPUTED_VALUE"""),9.0)</f>
        <v>9</v>
      </c>
      <c r="G53" s="2">
        <f>IFERROR(__xludf.DUMMYFUNCTION("""COMPUTED_VALUE"""),2024.0)</f>
        <v>2024</v>
      </c>
      <c r="H53" s="2" t="str">
        <f t="shared" si="2"/>
        <v>2024/9/29</v>
      </c>
      <c r="I53" s="2" t="s">
        <v>1591</v>
      </c>
      <c r="J53" s="2" t="str">
        <f t="shared" si="3"/>
        <v>Kopi cur</v>
      </c>
      <c r="K53" s="7">
        <f>if(RIGHT(I53,5)="2 pcs",2,Data!I53)</f>
        <v>-1</v>
      </c>
      <c r="L53" s="2" t="str">
        <f t="shared" si="4"/>
        <v>Sunday</v>
      </c>
      <c r="M53" s="2" t="str">
        <f t="shared" si="5"/>
        <v>29</v>
      </c>
      <c r="N53" s="2">
        <f>VLOOKUP(L53,'Data Info'!$A$1:$B$8,2,0)</f>
        <v>7</v>
      </c>
      <c r="O53" s="2" t="str">
        <f>VLOOKUP(L53,'Data Info'!$A$1:$C$8,3,0)</f>
        <v>Weekend</v>
      </c>
    </row>
    <row r="54">
      <c r="A54" s="4">
        <v>45564.592361111114</v>
      </c>
      <c r="B54" s="9">
        <f>IFERROR(__xludf.DUMMYFUNCTION("SPLIT(A54,"" "")"),45564.0)</f>
        <v>45564</v>
      </c>
      <c r="C54" s="10">
        <f>IFERROR(__xludf.DUMMYFUNCTION("""COMPUTED_VALUE"""),0.5923611111111111)</f>
        <v>0.5923611111</v>
      </c>
      <c r="D54" s="2">
        <f t="shared" si="1"/>
        <v>14</v>
      </c>
      <c r="E54" s="2">
        <f>IFERROR(__xludf.DUMMYFUNCTION("SPLIT(B54,""/"")"),29.0)</f>
        <v>29</v>
      </c>
      <c r="F54" s="2">
        <f>IFERROR(__xludf.DUMMYFUNCTION("""COMPUTED_VALUE"""),9.0)</f>
        <v>9</v>
      </c>
      <c r="G54" s="2">
        <f>IFERROR(__xludf.DUMMYFUNCTION("""COMPUTED_VALUE"""),2024.0)</f>
        <v>2024</v>
      </c>
      <c r="H54" s="2" t="str">
        <f t="shared" si="2"/>
        <v>2024/9/29</v>
      </c>
      <c r="I54" s="2" t="s">
        <v>1597</v>
      </c>
      <c r="J54" s="2" t="str">
        <f t="shared" si="3"/>
        <v>Roti Gandum Cokelat</v>
      </c>
      <c r="K54" s="7">
        <f>if(RIGHT(I54,5)="2 pcs",2,Data!I54)</f>
        <v>2</v>
      </c>
      <c r="L54" s="2" t="str">
        <f t="shared" si="4"/>
        <v>Sunday</v>
      </c>
      <c r="M54" s="2" t="str">
        <f t="shared" si="5"/>
        <v>29</v>
      </c>
      <c r="N54" s="2">
        <f>VLOOKUP(L54,'Data Info'!$A$1:$B$8,2,0)</f>
        <v>7</v>
      </c>
      <c r="O54" s="2" t="str">
        <f>VLOOKUP(L54,'Data Info'!$A$1:$C$8,3,0)</f>
        <v>Weekend</v>
      </c>
    </row>
    <row r="55">
      <c r="A55" s="4">
        <v>45564.592361111114</v>
      </c>
      <c r="B55" s="9">
        <f>IFERROR(__xludf.DUMMYFUNCTION("SPLIT(A55,"" "")"),45564.0)</f>
        <v>45564</v>
      </c>
      <c r="C55" s="10">
        <f>IFERROR(__xludf.DUMMYFUNCTION("""COMPUTED_VALUE"""),0.5923611111111111)</f>
        <v>0.5923611111</v>
      </c>
      <c r="D55" s="2">
        <f t="shared" si="1"/>
        <v>14</v>
      </c>
      <c r="E55" s="2">
        <f>IFERROR(__xludf.DUMMYFUNCTION("SPLIT(B55,""/"")"),29.0)</f>
        <v>29</v>
      </c>
      <c r="F55" s="2">
        <f>IFERROR(__xludf.DUMMYFUNCTION("""COMPUTED_VALUE"""),9.0)</f>
        <v>9</v>
      </c>
      <c r="G55" s="2">
        <f>IFERROR(__xludf.DUMMYFUNCTION("""COMPUTED_VALUE"""),2024.0)</f>
        <v>2024</v>
      </c>
      <c r="H55" s="2" t="str">
        <f t="shared" si="2"/>
        <v>2024/9/29</v>
      </c>
      <c r="I55" s="2" t="s">
        <v>1586</v>
      </c>
      <c r="J55" s="2" t="str">
        <f t="shared" si="3"/>
        <v>Jamur Enoki Krispi</v>
      </c>
      <c r="K55" s="7">
        <f>if(RIGHT(I55,5)="2 pcs",2,Data!I55)</f>
        <v>1</v>
      </c>
      <c r="L55" s="2" t="str">
        <f t="shared" si="4"/>
        <v>Sunday</v>
      </c>
      <c r="M55" s="2" t="str">
        <f t="shared" si="5"/>
        <v>29</v>
      </c>
      <c r="N55" s="2">
        <f>VLOOKUP(L55,'Data Info'!$A$1:$B$8,2,0)</f>
        <v>7</v>
      </c>
      <c r="O55" s="2" t="str">
        <f>VLOOKUP(L55,'Data Info'!$A$1:$C$8,3,0)</f>
        <v>Weekend</v>
      </c>
    </row>
    <row r="56">
      <c r="A56" s="4">
        <v>45564.592361111114</v>
      </c>
      <c r="B56" s="9">
        <f>IFERROR(__xludf.DUMMYFUNCTION("SPLIT(A56,"" "")"),45564.0)</f>
        <v>45564</v>
      </c>
      <c r="C56" s="10">
        <f>IFERROR(__xludf.DUMMYFUNCTION("""COMPUTED_VALUE"""),0.5923611111111111)</f>
        <v>0.5923611111</v>
      </c>
      <c r="D56" s="2">
        <f t="shared" si="1"/>
        <v>14</v>
      </c>
      <c r="E56" s="2">
        <f>IFERROR(__xludf.DUMMYFUNCTION("SPLIT(B56,""/"")"),29.0)</f>
        <v>29</v>
      </c>
      <c r="F56" s="2">
        <f>IFERROR(__xludf.DUMMYFUNCTION("""COMPUTED_VALUE"""),9.0)</f>
        <v>9</v>
      </c>
      <c r="G56" s="2">
        <f>IFERROR(__xludf.DUMMYFUNCTION("""COMPUTED_VALUE"""),2024.0)</f>
        <v>2024</v>
      </c>
      <c r="H56" s="2" t="str">
        <f t="shared" si="2"/>
        <v>2024/9/29</v>
      </c>
      <c r="I56" s="2" t="s">
        <v>1589</v>
      </c>
      <c r="J56" s="2" t="str">
        <f t="shared" si="3"/>
        <v>Teh Manis Dingin</v>
      </c>
      <c r="K56" s="7">
        <f>if(RIGHT(I56,5)="2 pcs",2,Data!I56)</f>
        <v>1</v>
      </c>
      <c r="L56" s="2" t="str">
        <f t="shared" si="4"/>
        <v>Sunday</v>
      </c>
      <c r="M56" s="2" t="str">
        <f t="shared" si="5"/>
        <v>29</v>
      </c>
      <c r="N56" s="2">
        <f>VLOOKUP(L56,'Data Info'!$A$1:$B$8,2,0)</f>
        <v>7</v>
      </c>
      <c r="O56" s="2" t="str">
        <f>VLOOKUP(L56,'Data Info'!$A$1:$C$8,3,0)</f>
        <v>Weekend</v>
      </c>
    </row>
    <row r="57">
      <c r="A57" s="4">
        <v>45564.592361111114</v>
      </c>
      <c r="B57" s="9">
        <f>IFERROR(__xludf.DUMMYFUNCTION("SPLIT(A57,"" "")"),45564.0)</f>
        <v>45564</v>
      </c>
      <c r="C57" s="10">
        <f>IFERROR(__xludf.DUMMYFUNCTION("""COMPUTED_VALUE"""),0.5923611111111111)</f>
        <v>0.5923611111</v>
      </c>
      <c r="D57" s="2">
        <f t="shared" si="1"/>
        <v>14</v>
      </c>
      <c r="E57" s="2">
        <f>IFERROR(__xludf.DUMMYFUNCTION("SPLIT(B57,""/"")"),29.0)</f>
        <v>29</v>
      </c>
      <c r="F57" s="2">
        <f>IFERROR(__xludf.DUMMYFUNCTION("""COMPUTED_VALUE"""),9.0)</f>
        <v>9</v>
      </c>
      <c r="G57" s="2">
        <f>IFERROR(__xludf.DUMMYFUNCTION("""COMPUTED_VALUE"""),2024.0)</f>
        <v>2024</v>
      </c>
      <c r="H57" s="2" t="str">
        <f t="shared" si="2"/>
        <v>2024/9/29</v>
      </c>
      <c r="I57" s="2" t="s">
        <v>1599</v>
      </c>
      <c r="J57" s="2" t="str">
        <f t="shared" si="3"/>
        <v>Rempah Madu Dingin</v>
      </c>
      <c r="K57" s="7">
        <f>if(RIGHT(I57,5)="2 pcs",2,Data!I57)</f>
        <v>1</v>
      </c>
      <c r="L57" s="2" t="str">
        <f t="shared" si="4"/>
        <v>Sunday</v>
      </c>
      <c r="M57" s="2" t="str">
        <f t="shared" si="5"/>
        <v>29</v>
      </c>
      <c r="N57" s="2">
        <f>VLOOKUP(L57,'Data Info'!$A$1:$B$8,2,0)</f>
        <v>7</v>
      </c>
      <c r="O57" s="2" t="str">
        <f>VLOOKUP(L57,'Data Info'!$A$1:$C$8,3,0)</f>
        <v>Weekend</v>
      </c>
    </row>
    <row r="58">
      <c r="A58" s="4">
        <v>45564.592361111114</v>
      </c>
      <c r="B58" s="9">
        <f>IFERROR(__xludf.DUMMYFUNCTION("SPLIT(A58,"" "")"),45564.0)</f>
        <v>45564</v>
      </c>
      <c r="C58" s="10">
        <f>IFERROR(__xludf.DUMMYFUNCTION("""COMPUTED_VALUE"""),0.5923611111111111)</f>
        <v>0.5923611111</v>
      </c>
      <c r="D58" s="2">
        <f t="shared" si="1"/>
        <v>14</v>
      </c>
      <c r="E58" s="2">
        <f>IFERROR(__xludf.DUMMYFUNCTION("SPLIT(B58,""/"")"),29.0)</f>
        <v>29</v>
      </c>
      <c r="F58" s="2">
        <f>IFERROR(__xludf.DUMMYFUNCTION("""COMPUTED_VALUE"""),9.0)</f>
        <v>9</v>
      </c>
      <c r="G58" s="2">
        <f>IFERROR(__xludf.DUMMYFUNCTION("""COMPUTED_VALUE"""),2024.0)</f>
        <v>2024</v>
      </c>
      <c r="H58" s="2" t="str">
        <f t="shared" si="2"/>
        <v>2024/9/29</v>
      </c>
      <c r="I58" s="2" t="s">
        <v>1600</v>
      </c>
      <c r="J58" s="2" t="str">
        <f t="shared" si="3"/>
        <v>Chamomile Lemongrass Hot Artisan Tea</v>
      </c>
      <c r="K58" s="7">
        <f>if(RIGHT(I58,5)="2 pcs",2,Data!I58)</f>
        <v>1</v>
      </c>
      <c r="L58" s="2" t="str">
        <f t="shared" si="4"/>
        <v>Sunday</v>
      </c>
      <c r="M58" s="2" t="str">
        <f t="shared" si="5"/>
        <v>29</v>
      </c>
      <c r="N58" s="2">
        <f>VLOOKUP(L58,'Data Info'!$A$1:$B$8,2,0)</f>
        <v>7</v>
      </c>
      <c r="O58" s="2" t="str">
        <f>VLOOKUP(L58,'Data Info'!$A$1:$C$8,3,0)</f>
        <v>Weekend</v>
      </c>
    </row>
    <row r="59">
      <c r="A59" s="4">
        <v>45564.59027777778</v>
      </c>
      <c r="B59" s="9">
        <f>IFERROR(__xludf.DUMMYFUNCTION("SPLIT(A59,"" "")"),45564.0)</f>
        <v>45564</v>
      </c>
      <c r="C59" s="10">
        <f>IFERROR(__xludf.DUMMYFUNCTION("""COMPUTED_VALUE"""),0.5902777777777778)</f>
        <v>0.5902777778</v>
      </c>
      <c r="D59" s="2">
        <f t="shared" si="1"/>
        <v>14</v>
      </c>
      <c r="E59" s="2">
        <f>IFERROR(__xludf.DUMMYFUNCTION("SPLIT(B59,""/"")"),29.0)</f>
        <v>29</v>
      </c>
      <c r="F59" s="2">
        <f>IFERROR(__xludf.DUMMYFUNCTION("""COMPUTED_VALUE"""),9.0)</f>
        <v>9</v>
      </c>
      <c r="G59" s="2">
        <f>IFERROR(__xludf.DUMMYFUNCTION("""COMPUTED_VALUE"""),2024.0)</f>
        <v>2024</v>
      </c>
      <c r="H59" s="2" t="str">
        <f t="shared" si="2"/>
        <v>2024/9/29</v>
      </c>
      <c r="I59" s="2" t="s">
        <v>1601</v>
      </c>
      <c r="J59" s="2" t="str">
        <f t="shared" si="3"/>
        <v>Gula Asam Dingin</v>
      </c>
      <c r="K59" s="7">
        <f>if(RIGHT(I59,5)="2 pcs",2,Data!I59)</f>
        <v>-1</v>
      </c>
      <c r="L59" s="2" t="str">
        <f t="shared" si="4"/>
        <v>Sunday</v>
      </c>
      <c r="M59" s="2" t="str">
        <f t="shared" si="5"/>
        <v>29</v>
      </c>
      <c r="N59" s="2">
        <f>VLOOKUP(L59,'Data Info'!$A$1:$B$8,2,0)</f>
        <v>7</v>
      </c>
      <c r="O59" s="2" t="str">
        <f>VLOOKUP(L59,'Data Info'!$A$1:$C$8,3,0)</f>
        <v>Weekend</v>
      </c>
    </row>
    <row r="60">
      <c r="A60" s="4">
        <v>45564.59027777778</v>
      </c>
      <c r="B60" s="9">
        <f>IFERROR(__xludf.DUMMYFUNCTION("SPLIT(A60,"" "")"),45564.0)</f>
        <v>45564</v>
      </c>
      <c r="C60" s="10">
        <f>IFERROR(__xludf.DUMMYFUNCTION("""COMPUTED_VALUE"""),0.5902777777777778)</f>
        <v>0.5902777778</v>
      </c>
      <c r="D60" s="2">
        <f t="shared" si="1"/>
        <v>14</v>
      </c>
      <c r="E60" s="2">
        <f>IFERROR(__xludf.DUMMYFUNCTION("SPLIT(B60,""/"")"),29.0)</f>
        <v>29</v>
      </c>
      <c r="F60" s="2">
        <f>IFERROR(__xludf.DUMMYFUNCTION("""COMPUTED_VALUE"""),9.0)</f>
        <v>9</v>
      </c>
      <c r="G60" s="2">
        <f>IFERROR(__xludf.DUMMYFUNCTION("""COMPUTED_VALUE"""),2024.0)</f>
        <v>2024</v>
      </c>
      <c r="H60" s="2" t="str">
        <f t="shared" si="2"/>
        <v>2024/9/29</v>
      </c>
      <c r="I60" s="2" t="s">
        <v>1588</v>
      </c>
      <c r="J60" s="2" t="str">
        <f t="shared" si="3"/>
        <v>Es Kopi Susu</v>
      </c>
      <c r="K60" s="7">
        <f>if(RIGHT(I60,5)="2 pcs",2,Data!I60)</f>
        <v>-1</v>
      </c>
      <c r="L60" s="2" t="str">
        <f t="shared" si="4"/>
        <v>Sunday</v>
      </c>
      <c r="M60" s="2" t="str">
        <f t="shared" si="5"/>
        <v>29</v>
      </c>
      <c r="N60" s="2">
        <f>VLOOKUP(L60,'Data Info'!$A$1:$B$8,2,0)</f>
        <v>7</v>
      </c>
      <c r="O60" s="2" t="str">
        <f>VLOOKUP(L60,'Data Info'!$A$1:$C$8,3,0)</f>
        <v>Weekend</v>
      </c>
    </row>
    <row r="61">
      <c r="A61" s="4">
        <v>45564.59027777778</v>
      </c>
      <c r="B61" s="9">
        <f>IFERROR(__xludf.DUMMYFUNCTION("SPLIT(A61,"" "")"),45564.0)</f>
        <v>45564</v>
      </c>
      <c r="C61" s="10">
        <f>IFERROR(__xludf.DUMMYFUNCTION("""COMPUTED_VALUE"""),0.5902777777777778)</f>
        <v>0.5902777778</v>
      </c>
      <c r="D61" s="2">
        <f t="shared" si="1"/>
        <v>14</v>
      </c>
      <c r="E61" s="2">
        <f>IFERROR(__xludf.DUMMYFUNCTION("SPLIT(B61,""/"")"),29.0)</f>
        <v>29</v>
      </c>
      <c r="F61" s="2">
        <f>IFERROR(__xludf.DUMMYFUNCTION("""COMPUTED_VALUE"""),9.0)</f>
        <v>9</v>
      </c>
      <c r="G61" s="2">
        <f>IFERROR(__xludf.DUMMYFUNCTION("""COMPUTED_VALUE"""),2024.0)</f>
        <v>2024</v>
      </c>
      <c r="H61" s="2" t="str">
        <f t="shared" si="2"/>
        <v>2024/9/29</v>
      </c>
      <c r="I61" s="2" t="s">
        <v>1597</v>
      </c>
      <c r="J61" s="2" t="str">
        <f t="shared" si="3"/>
        <v>Roti Gandum Cokelat</v>
      </c>
      <c r="K61" s="7">
        <f>if(RIGHT(I61,5)="2 pcs",2,Data!I61)</f>
        <v>2</v>
      </c>
      <c r="L61" s="2" t="str">
        <f t="shared" si="4"/>
        <v>Sunday</v>
      </c>
      <c r="M61" s="2" t="str">
        <f t="shared" si="5"/>
        <v>29</v>
      </c>
      <c r="N61" s="2">
        <f>VLOOKUP(L61,'Data Info'!$A$1:$B$8,2,0)</f>
        <v>7</v>
      </c>
      <c r="O61" s="2" t="str">
        <f>VLOOKUP(L61,'Data Info'!$A$1:$C$8,3,0)</f>
        <v>Weekend</v>
      </c>
    </row>
    <row r="62">
      <c r="A62" s="4">
        <v>45564.58819444444</v>
      </c>
      <c r="B62" s="9">
        <f>IFERROR(__xludf.DUMMYFUNCTION("SPLIT(A62,"" "")"),45564.0)</f>
        <v>45564</v>
      </c>
      <c r="C62" s="10">
        <f>IFERROR(__xludf.DUMMYFUNCTION("""COMPUTED_VALUE"""),0.5881944444444445)</f>
        <v>0.5881944444</v>
      </c>
      <c r="D62" s="2">
        <f t="shared" si="1"/>
        <v>14</v>
      </c>
      <c r="E62" s="2">
        <f>IFERROR(__xludf.DUMMYFUNCTION("SPLIT(B62,""/"")"),29.0)</f>
        <v>29</v>
      </c>
      <c r="F62" s="2">
        <f>IFERROR(__xludf.DUMMYFUNCTION("""COMPUTED_VALUE"""),9.0)</f>
        <v>9</v>
      </c>
      <c r="G62" s="2">
        <f>IFERROR(__xludf.DUMMYFUNCTION("""COMPUTED_VALUE"""),2024.0)</f>
        <v>2024</v>
      </c>
      <c r="H62" s="2" t="str">
        <f t="shared" si="2"/>
        <v>2024/9/29</v>
      </c>
      <c r="I62" s="2" t="s">
        <v>1576</v>
      </c>
      <c r="J62" s="2" t="str">
        <f t="shared" si="3"/>
        <v>Roti Cranberry</v>
      </c>
      <c r="K62" s="7">
        <f>if(RIGHT(I62,5)="2 pcs",2,Data!I62)</f>
        <v>1</v>
      </c>
      <c r="L62" s="2" t="str">
        <f t="shared" si="4"/>
        <v>Sunday</v>
      </c>
      <c r="M62" s="2" t="str">
        <f t="shared" si="5"/>
        <v>29</v>
      </c>
      <c r="N62" s="2">
        <f>VLOOKUP(L62,'Data Info'!$A$1:$B$8,2,0)</f>
        <v>7</v>
      </c>
      <c r="O62" s="2" t="str">
        <f>VLOOKUP(L62,'Data Info'!$A$1:$C$8,3,0)</f>
        <v>Weekend</v>
      </c>
    </row>
    <row r="63">
      <c r="A63" s="4">
        <v>45564.58819444444</v>
      </c>
      <c r="B63" s="9">
        <f>IFERROR(__xludf.DUMMYFUNCTION("SPLIT(A63,"" "")"),45564.0)</f>
        <v>45564</v>
      </c>
      <c r="C63" s="10">
        <f>IFERROR(__xludf.DUMMYFUNCTION("""COMPUTED_VALUE"""),0.5881944444444445)</f>
        <v>0.5881944444</v>
      </c>
      <c r="D63" s="2">
        <f t="shared" si="1"/>
        <v>14</v>
      </c>
      <c r="E63" s="2">
        <f>IFERROR(__xludf.DUMMYFUNCTION("SPLIT(B63,""/"")"),29.0)</f>
        <v>29</v>
      </c>
      <c r="F63" s="2">
        <f>IFERROR(__xludf.DUMMYFUNCTION("""COMPUTED_VALUE"""),9.0)</f>
        <v>9</v>
      </c>
      <c r="G63" s="2">
        <f>IFERROR(__xludf.DUMMYFUNCTION("""COMPUTED_VALUE"""),2024.0)</f>
        <v>2024</v>
      </c>
      <c r="H63" s="2" t="str">
        <f t="shared" si="2"/>
        <v>2024/9/29</v>
      </c>
      <c r="I63" s="2" t="s">
        <v>1595</v>
      </c>
      <c r="J63" s="2" t="str">
        <f t="shared" si="3"/>
        <v>Roti Gandum Cokelat</v>
      </c>
      <c r="K63" s="7">
        <f>if(RIGHT(I63,5)="2 pcs",2,Data!I63)</f>
        <v>1</v>
      </c>
      <c r="L63" s="2" t="str">
        <f t="shared" si="4"/>
        <v>Sunday</v>
      </c>
      <c r="M63" s="2" t="str">
        <f t="shared" si="5"/>
        <v>29</v>
      </c>
      <c r="N63" s="2">
        <f>VLOOKUP(L63,'Data Info'!$A$1:$B$8,2,0)</f>
        <v>7</v>
      </c>
      <c r="O63" s="2" t="str">
        <f>VLOOKUP(L63,'Data Info'!$A$1:$C$8,3,0)</f>
        <v>Weekend</v>
      </c>
    </row>
    <row r="64">
      <c r="A64" s="4">
        <v>45564.58819444444</v>
      </c>
      <c r="B64" s="9">
        <f>IFERROR(__xludf.DUMMYFUNCTION("SPLIT(A64,"" "")"),45564.0)</f>
        <v>45564</v>
      </c>
      <c r="C64" s="10">
        <f>IFERROR(__xludf.DUMMYFUNCTION("""COMPUTED_VALUE"""),0.5881944444444445)</f>
        <v>0.5881944444</v>
      </c>
      <c r="D64" s="2">
        <f t="shared" si="1"/>
        <v>14</v>
      </c>
      <c r="E64" s="2">
        <f>IFERROR(__xludf.DUMMYFUNCTION("SPLIT(B64,""/"")"),29.0)</f>
        <v>29</v>
      </c>
      <c r="F64" s="2">
        <f>IFERROR(__xludf.DUMMYFUNCTION("""COMPUTED_VALUE"""),9.0)</f>
        <v>9</v>
      </c>
      <c r="G64" s="2">
        <f>IFERROR(__xludf.DUMMYFUNCTION("""COMPUTED_VALUE"""),2024.0)</f>
        <v>2024</v>
      </c>
      <c r="H64" s="2" t="str">
        <f t="shared" si="2"/>
        <v>2024/9/29</v>
      </c>
      <c r="I64" s="2" t="s">
        <v>1588</v>
      </c>
      <c r="J64" s="2" t="str">
        <f t="shared" si="3"/>
        <v>Es Kopi Susu</v>
      </c>
      <c r="K64" s="7">
        <f>if(RIGHT(I64,5)="2 pcs",2,Data!I64)</f>
        <v>1</v>
      </c>
      <c r="L64" s="2" t="str">
        <f t="shared" si="4"/>
        <v>Sunday</v>
      </c>
      <c r="M64" s="2" t="str">
        <f t="shared" si="5"/>
        <v>29</v>
      </c>
      <c r="N64" s="2">
        <f>VLOOKUP(L64,'Data Info'!$A$1:$B$8,2,0)</f>
        <v>7</v>
      </c>
      <c r="O64" s="2" t="str">
        <f>VLOOKUP(L64,'Data Info'!$A$1:$C$8,3,0)</f>
        <v>Weekend</v>
      </c>
    </row>
    <row r="65">
      <c r="A65" s="4">
        <v>45564.58819444444</v>
      </c>
      <c r="B65" s="9">
        <f>IFERROR(__xludf.DUMMYFUNCTION("SPLIT(A65,"" "")"),45564.0)</f>
        <v>45564</v>
      </c>
      <c r="C65" s="10">
        <f>IFERROR(__xludf.DUMMYFUNCTION("""COMPUTED_VALUE"""),0.5881944444444445)</f>
        <v>0.5881944444</v>
      </c>
      <c r="D65" s="2">
        <f t="shared" si="1"/>
        <v>14</v>
      </c>
      <c r="E65" s="2">
        <f>IFERROR(__xludf.DUMMYFUNCTION("SPLIT(B65,""/"")"),29.0)</f>
        <v>29</v>
      </c>
      <c r="F65" s="2">
        <f>IFERROR(__xludf.DUMMYFUNCTION("""COMPUTED_VALUE"""),9.0)</f>
        <v>9</v>
      </c>
      <c r="G65" s="2">
        <f>IFERROR(__xludf.DUMMYFUNCTION("""COMPUTED_VALUE"""),2024.0)</f>
        <v>2024</v>
      </c>
      <c r="H65" s="2" t="str">
        <f t="shared" si="2"/>
        <v>2024/9/29</v>
      </c>
      <c r="I65" s="2" t="s">
        <v>1601</v>
      </c>
      <c r="J65" s="2" t="str">
        <f t="shared" si="3"/>
        <v>Gula Asam Dingin</v>
      </c>
      <c r="K65" s="7">
        <f>if(RIGHT(I65,5)="2 pcs",2,Data!I65)</f>
        <v>1</v>
      </c>
      <c r="L65" s="2" t="str">
        <f t="shared" si="4"/>
        <v>Sunday</v>
      </c>
      <c r="M65" s="2" t="str">
        <f t="shared" si="5"/>
        <v>29</v>
      </c>
      <c r="N65" s="2">
        <f>VLOOKUP(L65,'Data Info'!$A$1:$B$8,2,0)</f>
        <v>7</v>
      </c>
      <c r="O65" s="2" t="str">
        <f>VLOOKUP(L65,'Data Info'!$A$1:$C$8,3,0)</f>
        <v>Weekend</v>
      </c>
    </row>
    <row r="66">
      <c r="A66" s="4">
        <v>45564.58611111111</v>
      </c>
      <c r="B66" s="9">
        <f>IFERROR(__xludf.DUMMYFUNCTION("SPLIT(A66,"" "")"),45564.0)</f>
        <v>45564</v>
      </c>
      <c r="C66" s="10">
        <f>IFERROR(__xludf.DUMMYFUNCTION("""COMPUTED_VALUE"""),0.5861111111111111)</f>
        <v>0.5861111111</v>
      </c>
      <c r="D66" s="2">
        <f t="shared" si="1"/>
        <v>14</v>
      </c>
      <c r="E66" s="2">
        <f>IFERROR(__xludf.DUMMYFUNCTION("SPLIT(B66,""/"")"),29.0)</f>
        <v>29</v>
      </c>
      <c r="F66" s="2">
        <f>IFERROR(__xludf.DUMMYFUNCTION("""COMPUTED_VALUE"""),9.0)</f>
        <v>9</v>
      </c>
      <c r="G66" s="2">
        <f>IFERROR(__xludf.DUMMYFUNCTION("""COMPUTED_VALUE"""),2024.0)</f>
        <v>2024</v>
      </c>
      <c r="H66" s="2" t="str">
        <f t="shared" si="2"/>
        <v>2024/9/29</v>
      </c>
      <c r="I66" s="2" t="s">
        <v>1601</v>
      </c>
      <c r="J66" s="2" t="str">
        <f t="shared" si="3"/>
        <v>Gula Asam Dingin</v>
      </c>
      <c r="K66" s="7">
        <f>if(RIGHT(I66,5)="2 pcs",2,Data!I66)</f>
        <v>1</v>
      </c>
      <c r="L66" s="2" t="str">
        <f t="shared" si="4"/>
        <v>Sunday</v>
      </c>
      <c r="M66" s="2" t="str">
        <f t="shared" si="5"/>
        <v>29</v>
      </c>
      <c r="N66" s="2">
        <f>VLOOKUP(L66,'Data Info'!$A$1:$B$8,2,0)</f>
        <v>7</v>
      </c>
      <c r="O66" s="2" t="str">
        <f>VLOOKUP(L66,'Data Info'!$A$1:$C$8,3,0)</f>
        <v>Weekend</v>
      </c>
    </row>
    <row r="67">
      <c r="A67" s="4">
        <v>45564.58611111111</v>
      </c>
      <c r="B67" s="9">
        <f>IFERROR(__xludf.DUMMYFUNCTION("SPLIT(A67,"" "")"),45564.0)</f>
        <v>45564</v>
      </c>
      <c r="C67" s="10">
        <f>IFERROR(__xludf.DUMMYFUNCTION("""COMPUTED_VALUE"""),0.5861111111111111)</f>
        <v>0.5861111111</v>
      </c>
      <c r="D67" s="2">
        <f t="shared" si="1"/>
        <v>14</v>
      </c>
      <c r="E67" s="2">
        <f>IFERROR(__xludf.DUMMYFUNCTION("SPLIT(B67,""/"")"),29.0)</f>
        <v>29</v>
      </c>
      <c r="F67" s="2">
        <f>IFERROR(__xludf.DUMMYFUNCTION("""COMPUTED_VALUE"""),9.0)</f>
        <v>9</v>
      </c>
      <c r="G67" s="2">
        <f>IFERROR(__xludf.DUMMYFUNCTION("""COMPUTED_VALUE"""),2024.0)</f>
        <v>2024</v>
      </c>
      <c r="H67" s="2" t="str">
        <f t="shared" si="2"/>
        <v>2024/9/29</v>
      </c>
      <c r="I67" s="2" t="s">
        <v>1588</v>
      </c>
      <c r="J67" s="2" t="str">
        <f t="shared" si="3"/>
        <v>Es Kopi Susu</v>
      </c>
      <c r="K67" s="7">
        <f>if(RIGHT(I67,5)="2 pcs",2,Data!I67)</f>
        <v>1</v>
      </c>
      <c r="L67" s="2" t="str">
        <f t="shared" si="4"/>
        <v>Sunday</v>
      </c>
      <c r="M67" s="2" t="str">
        <f t="shared" si="5"/>
        <v>29</v>
      </c>
      <c r="N67" s="2">
        <f>VLOOKUP(L67,'Data Info'!$A$1:$B$8,2,0)</f>
        <v>7</v>
      </c>
      <c r="O67" s="2" t="str">
        <f>VLOOKUP(L67,'Data Info'!$A$1:$C$8,3,0)</f>
        <v>Weekend</v>
      </c>
    </row>
    <row r="68">
      <c r="A68" s="4">
        <v>45564.58611111111</v>
      </c>
      <c r="B68" s="9">
        <f>IFERROR(__xludf.DUMMYFUNCTION("SPLIT(A68,"" "")"),45564.0)</f>
        <v>45564</v>
      </c>
      <c r="C68" s="10">
        <f>IFERROR(__xludf.DUMMYFUNCTION("""COMPUTED_VALUE"""),0.5861111111111111)</f>
        <v>0.5861111111</v>
      </c>
      <c r="D68" s="2">
        <f t="shared" si="1"/>
        <v>14</v>
      </c>
      <c r="E68" s="2">
        <f>IFERROR(__xludf.DUMMYFUNCTION("SPLIT(B68,""/"")"),29.0)</f>
        <v>29</v>
      </c>
      <c r="F68" s="2">
        <f>IFERROR(__xludf.DUMMYFUNCTION("""COMPUTED_VALUE"""),9.0)</f>
        <v>9</v>
      </c>
      <c r="G68" s="2">
        <f>IFERROR(__xludf.DUMMYFUNCTION("""COMPUTED_VALUE"""),2024.0)</f>
        <v>2024</v>
      </c>
      <c r="H68" s="2" t="str">
        <f t="shared" si="2"/>
        <v>2024/9/29</v>
      </c>
      <c r="I68" s="2" t="s">
        <v>1597</v>
      </c>
      <c r="J68" s="2" t="str">
        <f t="shared" si="3"/>
        <v>Roti Gandum Cokelat</v>
      </c>
      <c r="K68" s="7">
        <f>if(RIGHT(I68,5)="2 pcs",2,Data!I68)</f>
        <v>2</v>
      </c>
      <c r="L68" s="2" t="str">
        <f t="shared" si="4"/>
        <v>Sunday</v>
      </c>
      <c r="M68" s="2" t="str">
        <f t="shared" si="5"/>
        <v>29</v>
      </c>
      <c r="N68" s="2">
        <f>VLOOKUP(L68,'Data Info'!$A$1:$B$8,2,0)</f>
        <v>7</v>
      </c>
      <c r="O68" s="2" t="str">
        <f>VLOOKUP(L68,'Data Info'!$A$1:$C$8,3,0)</f>
        <v>Weekend</v>
      </c>
    </row>
    <row r="69">
      <c r="A69" s="4">
        <v>45564.57916666667</v>
      </c>
      <c r="B69" s="9">
        <f>IFERROR(__xludf.DUMMYFUNCTION("SPLIT(A69,"" "")"),45564.0)</f>
        <v>45564</v>
      </c>
      <c r="C69" s="10">
        <f>IFERROR(__xludf.DUMMYFUNCTION("""COMPUTED_VALUE"""),0.5791666666666667)</f>
        <v>0.5791666667</v>
      </c>
      <c r="D69" s="2">
        <f t="shared" si="1"/>
        <v>13</v>
      </c>
      <c r="E69" s="2">
        <f>IFERROR(__xludf.DUMMYFUNCTION("SPLIT(B69,""/"")"),29.0)</f>
        <v>29</v>
      </c>
      <c r="F69" s="2">
        <f>IFERROR(__xludf.DUMMYFUNCTION("""COMPUTED_VALUE"""),9.0)</f>
        <v>9</v>
      </c>
      <c r="G69" s="2">
        <f>IFERROR(__xludf.DUMMYFUNCTION("""COMPUTED_VALUE"""),2024.0)</f>
        <v>2024</v>
      </c>
      <c r="H69" s="2" t="str">
        <f t="shared" si="2"/>
        <v>2024/9/29</v>
      </c>
      <c r="I69" s="2" t="s">
        <v>1595</v>
      </c>
      <c r="J69" s="2" t="str">
        <f t="shared" si="3"/>
        <v>Roti Gandum Cokelat</v>
      </c>
      <c r="K69" s="7">
        <f>if(RIGHT(I69,5)="2 pcs",2,Data!I69)</f>
        <v>1</v>
      </c>
      <c r="L69" s="2" t="str">
        <f t="shared" si="4"/>
        <v>Sunday</v>
      </c>
      <c r="M69" s="2" t="str">
        <f t="shared" si="5"/>
        <v>29</v>
      </c>
      <c r="N69" s="2">
        <f>VLOOKUP(L69,'Data Info'!$A$1:$B$8,2,0)</f>
        <v>7</v>
      </c>
      <c r="O69" s="2" t="str">
        <f>VLOOKUP(L69,'Data Info'!$A$1:$C$8,3,0)</f>
        <v>Weekend</v>
      </c>
    </row>
    <row r="70">
      <c r="A70" s="4">
        <v>45564.57916666667</v>
      </c>
      <c r="B70" s="9">
        <f>IFERROR(__xludf.DUMMYFUNCTION("SPLIT(A70,"" "")"),45564.0)</f>
        <v>45564</v>
      </c>
      <c r="C70" s="10">
        <f>IFERROR(__xludf.DUMMYFUNCTION("""COMPUTED_VALUE"""),0.5791666666666667)</f>
        <v>0.5791666667</v>
      </c>
      <c r="D70" s="2">
        <f t="shared" si="1"/>
        <v>13</v>
      </c>
      <c r="E70" s="2">
        <f>IFERROR(__xludf.DUMMYFUNCTION("SPLIT(B70,""/"")"),29.0)</f>
        <v>29</v>
      </c>
      <c r="F70" s="2">
        <f>IFERROR(__xludf.DUMMYFUNCTION("""COMPUTED_VALUE"""),9.0)</f>
        <v>9</v>
      </c>
      <c r="G70" s="2">
        <f>IFERROR(__xludf.DUMMYFUNCTION("""COMPUTED_VALUE"""),2024.0)</f>
        <v>2024</v>
      </c>
      <c r="H70" s="2" t="str">
        <f t="shared" si="2"/>
        <v>2024/9/29</v>
      </c>
      <c r="I70" s="2" t="s">
        <v>1588</v>
      </c>
      <c r="J70" s="2" t="str">
        <f t="shared" si="3"/>
        <v>Es Kopi Susu</v>
      </c>
      <c r="K70" s="7">
        <f>if(RIGHT(I70,5)="2 pcs",2,Data!I70)</f>
        <v>1</v>
      </c>
      <c r="L70" s="2" t="str">
        <f t="shared" si="4"/>
        <v>Sunday</v>
      </c>
      <c r="M70" s="2" t="str">
        <f t="shared" si="5"/>
        <v>29</v>
      </c>
      <c r="N70" s="2">
        <f>VLOOKUP(L70,'Data Info'!$A$1:$B$8,2,0)</f>
        <v>7</v>
      </c>
      <c r="O70" s="2" t="str">
        <f>VLOOKUP(L70,'Data Info'!$A$1:$C$8,3,0)</f>
        <v>Weekend</v>
      </c>
    </row>
    <row r="71">
      <c r="A71" s="4">
        <v>45564.57916666667</v>
      </c>
      <c r="B71" s="9">
        <f>IFERROR(__xludf.DUMMYFUNCTION("SPLIT(A71,"" "")"),45564.0)</f>
        <v>45564</v>
      </c>
      <c r="C71" s="10">
        <f>IFERROR(__xludf.DUMMYFUNCTION("""COMPUTED_VALUE"""),0.5791666666666667)</f>
        <v>0.5791666667</v>
      </c>
      <c r="D71" s="2">
        <f t="shared" si="1"/>
        <v>13</v>
      </c>
      <c r="E71" s="2">
        <f>IFERROR(__xludf.DUMMYFUNCTION("SPLIT(B71,""/"")"),29.0)</f>
        <v>29</v>
      </c>
      <c r="F71" s="2">
        <f>IFERROR(__xludf.DUMMYFUNCTION("""COMPUTED_VALUE"""),9.0)</f>
        <v>9</v>
      </c>
      <c r="G71" s="2">
        <f>IFERROR(__xludf.DUMMYFUNCTION("""COMPUTED_VALUE"""),2024.0)</f>
        <v>2024</v>
      </c>
      <c r="H71" s="2" t="str">
        <f t="shared" si="2"/>
        <v>2024/9/29</v>
      </c>
      <c r="I71" s="2" t="s">
        <v>1596</v>
      </c>
      <c r="J71" s="2" t="str">
        <f t="shared" si="3"/>
        <v>Roti Cranberry</v>
      </c>
      <c r="K71" s="7">
        <f>if(RIGHT(I71,5)="2 pcs",2,Data!I71)</f>
        <v>2</v>
      </c>
      <c r="L71" s="2" t="str">
        <f t="shared" si="4"/>
        <v>Sunday</v>
      </c>
      <c r="M71" s="2" t="str">
        <f t="shared" si="5"/>
        <v>29</v>
      </c>
      <c r="N71" s="2">
        <f>VLOOKUP(L71,'Data Info'!$A$1:$B$8,2,0)</f>
        <v>7</v>
      </c>
      <c r="O71" s="2" t="str">
        <f>VLOOKUP(L71,'Data Info'!$A$1:$C$8,3,0)</f>
        <v>Weekend</v>
      </c>
    </row>
    <row r="72">
      <c r="A72" s="4">
        <v>45564.53611111111</v>
      </c>
      <c r="B72" s="9">
        <f>IFERROR(__xludf.DUMMYFUNCTION("SPLIT(A72,"" "")"),45564.0)</f>
        <v>45564</v>
      </c>
      <c r="C72" s="10">
        <f>IFERROR(__xludf.DUMMYFUNCTION("""COMPUTED_VALUE"""),0.5361111111111111)</f>
        <v>0.5361111111</v>
      </c>
      <c r="D72" s="2">
        <f t="shared" si="1"/>
        <v>12</v>
      </c>
      <c r="E72" s="2">
        <f>IFERROR(__xludf.DUMMYFUNCTION("SPLIT(B72,""/"")"),29.0)</f>
        <v>29</v>
      </c>
      <c r="F72" s="2">
        <f>IFERROR(__xludf.DUMMYFUNCTION("""COMPUTED_VALUE"""),9.0)</f>
        <v>9</v>
      </c>
      <c r="G72" s="2">
        <f>IFERROR(__xludf.DUMMYFUNCTION("""COMPUTED_VALUE"""),2024.0)</f>
        <v>2024</v>
      </c>
      <c r="H72" s="2" t="str">
        <f t="shared" si="2"/>
        <v>2024/9/29</v>
      </c>
      <c r="I72" s="2" t="s">
        <v>1576</v>
      </c>
      <c r="J72" s="2" t="str">
        <f t="shared" si="3"/>
        <v>Roti Cranberry</v>
      </c>
      <c r="K72" s="7">
        <f>if(RIGHT(I72,5)="2 pcs",2,Data!I72)</f>
        <v>1</v>
      </c>
      <c r="L72" s="2" t="str">
        <f t="shared" si="4"/>
        <v>Sunday</v>
      </c>
      <c r="M72" s="2" t="str">
        <f t="shared" si="5"/>
        <v>29</v>
      </c>
      <c r="N72" s="2">
        <f>VLOOKUP(L72,'Data Info'!$A$1:$B$8,2,0)</f>
        <v>7</v>
      </c>
      <c r="O72" s="2" t="str">
        <f>VLOOKUP(L72,'Data Info'!$A$1:$C$8,3,0)</f>
        <v>Weekend</v>
      </c>
    </row>
    <row r="73">
      <c r="A73" s="4">
        <v>45564.53611111111</v>
      </c>
      <c r="B73" s="9">
        <f>IFERROR(__xludf.DUMMYFUNCTION("SPLIT(A73,"" "")"),45564.0)</f>
        <v>45564</v>
      </c>
      <c r="C73" s="10">
        <f>IFERROR(__xludf.DUMMYFUNCTION("""COMPUTED_VALUE"""),0.5361111111111111)</f>
        <v>0.5361111111</v>
      </c>
      <c r="D73" s="2">
        <f t="shared" si="1"/>
        <v>12</v>
      </c>
      <c r="E73" s="2">
        <f>IFERROR(__xludf.DUMMYFUNCTION("SPLIT(B73,""/"")"),29.0)</f>
        <v>29</v>
      </c>
      <c r="F73" s="2">
        <f>IFERROR(__xludf.DUMMYFUNCTION("""COMPUTED_VALUE"""),9.0)</f>
        <v>9</v>
      </c>
      <c r="G73" s="2">
        <f>IFERROR(__xludf.DUMMYFUNCTION("""COMPUTED_VALUE"""),2024.0)</f>
        <v>2024</v>
      </c>
      <c r="H73" s="2" t="str">
        <f t="shared" si="2"/>
        <v>2024/9/29</v>
      </c>
      <c r="I73" s="2" t="s">
        <v>1602</v>
      </c>
      <c r="J73" s="2" t="str">
        <f t="shared" si="3"/>
        <v>Mie joglo</v>
      </c>
      <c r="K73" s="7">
        <f>if(RIGHT(I73,5)="2 pcs",2,Data!I73)</f>
        <v>1</v>
      </c>
      <c r="L73" s="2" t="str">
        <f t="shared" si="4"/>
        <v>Sunday</v>
      </c>
      <c r="M73" s="2" t="str">
        <f t="shared" si="5"/>
        <v>29</v>
      </c>
      <c r="N73" s="2">
        <f>VLOOKUP(L73,'Data Info'!$A$1:$B$8,2,0)</f>
        <v>7</v>
      </c>
      <c r="O73" s="2" t="str">
        <f>VLOOKUP(L73,'Data Info'!$A$1:$C$8,3,0)</f>
        <v>Weekend</v>
      </c>
    </row>
    <row r="74">
      <c r="A74" s="4">
        <v>45564.53611111111</v>
      </c>
      <c r="B74" s="9">
        <f>IFERROR(__xludf.DUMMYFUNCTION("SPLIT(A74,"" "")"),45564.0)</f>
        <v>45564</v>
      </c>
      <c r="C74" s="10">
        <f>IFERROR(__xludf.DUMMYFUNCTION("""COMPUTED_VALUE"""),0.5361111111111111)</f>
        <v>0.5361111111</v>
      </c>
      <c r="D74" s="2">
        <f t="shared" si="1"/>
        <v>12</v>
      </c>
      <c r="E74" s="2">
        <f>IFERROR(__xludf.DUMMYFUNCTION("SPLIT(B74,""/"")"),29.0)</f>
        <v>29</v>
      </c>
      <c r="F74" s="2">
        <f>IFERROR(__xludf.DUMMYFUNCTION("""COMPUTED_VALUE"""),9.0)</f>
        <v>9</v>
      </c>
      <c r="G74" s="2">
        <f>IFERROR(__xludf.DUMMYFUNCTION("""COMPUTED_VALUE"""),2024.0)</f>
        <v>2024</v>
      </c>
      <c r="H74" s="2" t="str">
        <f t="shared" si="2"/>
        <v>2024/9/29</v>
      </c>
      <c r="I74" s="2" t="s">
        <v>1593</v>
      </c>
      <c r="J74" s="2" t="str">
        <f t="shared" si="3"/>
        <v>Wedang laut</v>
      </c>
      <c r="K74" s="7">
        <f>if(RIGHT(I74,5)="2 pcs",2,Data!I74)</f>
        <v>1</v>
      </c>
      <c r="L74" s="2" t="str">
        <f t="shared" si="4"/>
        <v>Sunday</v>
      </c>
      <c r="M74" s="2" t="str">
        <f t="shared" si="5"/>
        <v>29</v>
      </c>
      <c r="N74" s="2">
        <f>VLOOKUP(L74,'Data Info'!$A$1:$B$8,2,0)</f>
        <v>7</v>
      </c>
      <c r="O74" s="2" t="str">
        <f>VLOOKUP(L74,'Data Info'!$A$1:$C$8,3,0)</f>
        <v>Weekend</v>
      </c>
    </row>
    <row r="75">
      <c r="A75" s="4">
        <v>45564.53611111111</v>
      </c>
      <c r="B75" s="9">
        <f>IFERROR(__xludf.DUMMYFUNCTION("SPLIT(A75,"" "")"),45564.0)</f>
        <v>45564</v>
      </c>
      <c r="C75" s="10">
        <f>IFERROR(__xludf.DUMMYFUNCTION("""COMPUTED_VALUE"""),0.5361111111111111)</f>
        <v>0.5361111111</v>
      </c>
      <c r="D75" s="2">
        <f t="shared" si="1"/>
        <v>12</v>
      </c>
      <c r="E75" s="2">
        <f>IFERROR(__xludf.DUMMYFUNCTION("SPLIT(B75,""/"")"),29.0)</f>
        <v>29</v>
      </c>
      <c r="F75" s="2">
        <f>IFERROR(__xludf.DUMMYFUNCTION("""COMPUTED_VALUE"""),9.0)</f>
        <v>9</v>
      </c>
      <c r="G75" s="2">
        <f>IFERROR(__xludf.DUMMYFUNCTION("""COMPUTED_VALUE"""),2024.0)</f>
        <v>2024</v>
      </c>
      <c r="H75" s="2" t="str">
        <f t="shared" si="2"/>
        <v>2024/9/29</v>
      </c>
      <c r="I75" s="2" t="s">
        <v>1603</v>
      </c>
      <c r="J75" s="2" t="str">
        <f t="shared" si="3"/>
        <v>Nasi Goreng Temu</v>
      </c>
      <c r="K75" s="7">
        <f>if(RIGHT(I75,5)="2 pcs",2,Data!I75)</f>
        <v>1</v>
      </c>
      <c r="L75" s="2" t="str">
        <f t="shared" si="4"/>
        <v>Sunday</v>
      </c>
      <c r="M75" s="2" t="str">
        <f t="shared" si="5"/>
        <v>29</v>
      </c>
      <c r="N75" s="2">
        <f>VLOOKUP(L75,'Data Info'!$A$1:$B$8,2,0)</f>
        <v>7</v>
      </c>
      <c r="O75" s="2" t="str">
        <f>VLOOKUP(L75,'Data Info'!$A$1:$C$8,3,0)</f>
        <v>Weekend</v>
      </c>
    </row>
    <row r="76">
      <c r="A76" s="4">
        <v>45564.53611111111</v>
      </c>
      <c r="B76" s="9">
        <f>IFERROR(__xludf.DUMMYFUNCTION("SPLIT(A76,"" "")"),45564.0)</f>
        <v>45564</v>
      </c>
      <c r="C76" s="10">
        <f>IFERROR(__xludf.DUMMYFUNCTION("""COMPUTED_VALUE"""),0.5361111111111111)</f>
        <v>0.5361111111</v>
      </c>
      <c r="D76" s="2">
        <f t="shared" si="1"/>
        <v>12</v>
      </c>
      <c r="E76" s="2">
        <f>IFERROR(__xludf.DUMMYFUNCTION("SPLIT(B76,""/"")"),29.0)</f>
        <v>29</v>
      </c>
      <c r="F76" s="2">
        <f>IFERROR(__xludf.DUMMYFUNCTION("""COMPUTED_VALUE"""),9.0)</f>
        <v>9</v>
      </c>
      <c r="G76" s="2">
        <f>IFERROR(__xludf.DUMMYFUNCTION("""COMPUTED_VALUE"""),2024.0)</f>
        <v>2024</v>
      </c>
      <c r="H76" s="2" t="str">
        <f t="shared" si="2"/>
        <v>2024/9/29</v>
      </c>
      <c r="I76" s="2" t="s">
        <v>1604</v>
      </c>
      <c r="J76" s="2" t="str">
        <f t="shared" si="3"/>
        <v>Teh Tawar Panas</v>
      </c>
      <c r="K76" s="7">
        <f>if(RIGHT(I76,5)="2 pcs",2,Data!I76)</f>
        <v>1</v>
      </c>
      <c r="L76" s="2" t="str">
        <f t="shared" si="4"/>
        <v>Sunday</v>
      </c>
      <c r="M76" s="2" t="str">
        <f t="shared" si="5"/>
        <v>29</v>
      </c>
      <c r="N76" s="2">
        <f>VLOOKUP(L76,'Data Info'!$A$1:$B$8,2,0)</f>
        <v>7</v>
      </c>
      <c r="O76" s="2" t="str">
        <f>VLOOKUP(L76,'Data Info'!$A$1:$C$8,3,0)</f>
        <v>Weekend</v>
      </c>
    </row>
    <row r="77">
      <c r="A77" s="4">
        <v>45564.532638888886</v>
      </c>
      <c r="B77" s="9">
        <f>IFERROR(__xludf.DUMMYFUNCTION("SPLIT(A77,"" "")"),45564.0)</f>
        <v>45564</v>
      </c>
      <c r="C77" s="10">
        <f>IFERROR(__xludf.DUMMYFUNCTION("""COMPUTED_VALUE"""),0.5326388888888889)</f>
        <v>0.5326388889</v>
      </c>
      <c r="D77" s="2">
        <f t="shared" si="1"/>
        <v>12</v>
      </c>
      <c r="E77" s="2">
        <f>IFERROR(__xludf.DUMMYFUNCTION("SPLIT(B77,""/"")"),29.0)</f>
        <v>29</v>
      </c>
      <c r="F77" s="2">
        <f>IFERROR(__xludf.DUMMYFUNCTION("""COMPUTED_VALUE"""),9.0)</f>
        <v>9</v>
      </c>
      <c r="G77" s="2">
        <f>IFERROR(__xludf.DUMMYFUNCTION("""COMPUTED_VALUE"""),2024.0)</f>
        <v>2024</v>
      </c>
      <c r="H77" s="2" t="str">
        <f t="shared" si="2"/>
        <v>2024/9/29</v>
      </c>
      <c r="I77" s="2" t="s">
        <v>1576</v>
      </c>
      <c r="J77" s="2" t="str">
        <f t="shared" si="3"/>
        <v>Roti Cranberry</v>
      </c>
      <c r="K77" s="7">
        <f>if(RIGHT(I77,5)="2 pcs",2,Data!I77)</f>
        <v>1</v>
      </c>
      <c r="L77" s="2" t="str">
        <f t="shared" si="4"/>
        <v>Sunday</v>
      </c>
      <c r="M77" s="2" t="str">
        <f t="shared" si="5"/>
        <v>29</v>
      </c>
      <c r="N77" s="2">
        <f>VLOOKUP(L77,'Data Info'!$A$1:$B$8,2,0)</f>
        <v>7</v>
      </c>
      <c r="O77" s="2" t="str">
        <f>VLOOKUP(L77,'Data Info'!$A$1:$C$8,3,0)</f>
        <v>Weekend</v>
      </c>
    </row>
    <row r="78">
      <c r="A78" s="4">
        <v>45564.532638888886</v>
      </c>
      <c r="B78" s="9">
        <f>IFERROR(__xludf.DUMMYFUNCTION("SPLIT(A78,"" "")"),45564.0)</f>
        <v>45564</v>
      </c>
      <c r="C78" s="10">
        <f>IFERROR(__xludf.DUMMYFUNCTION("""COMPUTED_VALUE"""),0.5326388888888889)</f>
        <v>0.5326388889</v>
      </c>
      <c r="D78" s="2">
        <f t="shared" si="1"/>
        <v>12</v>
      </c>
      <c r="E78" s="2">
        <f>IFERROR(__xludf.DUMMYFUNCTION("SPLIT(B78,""/"")"),29.0)</f>
        <v>29</v>
      </c>
      <c r="F78" s="2">
        <f>IFERROR(__xludf.DUMMYFUNCTION("""COMPUTED_VALUE"""),9.0)</f>
        <v>9</v>
      </c>
      <c r="G78" s="2">
        <f>IFERROR(__xludf.DUMMYFUNCTION("""COMPUTED_VALUE"""),2024.0)</f>
        <v>2024</v>
      </c>
      <c r="H78" s="2" t="str">
        <f t="shared" si="2"/>
        <v>2024/9/29</v>
      </c>
      <c r="I78" s="2" t="s">
        <v>1595</v>
      </c>
      <c r="J78" s="2" t="str">
        <f t="shared" si="3"/>
        <v>Roti Gandum Cokelat</v>
      </c>
      <c r="K78" s="7">
        <f>if(RIGHT(I78,5)="2 pcs",2,Data!I78)</f>
        <v>1</v>
      </c>
      <c r="L78" s="2" t="str">
        <f t="shared" si="4"/>
        <v>Sunday</v>
      </c>
      <c r="M78" s="2" t="str">
        <f t="shared" si="5"/>
        <v>29</v>
      </c>
      <c r="N78" s="2">
        <f>VLOOKUP(L78,'Data Info'!$A$1:$B$8,2,0)</f>
        <v>7</v>
      </c>
      <c r="O78" s="2" t="str">
        <f>VLOOKUP(L78,'Data Info'!$A$1:$C$8,3,0)</f>
        <v>Weekend</v>
      </c>
    </row>
    <row r="79">
      <c r="A79" s="4">
        <v>45564.532638888886</v>
      </c>
      <c r="B79" s="9">
        <f>IFERROR(__xludf.DUMMYFUNCTION("SPLIT(A79,"" "")"),45564.0)</f>
        <v>45564</v>
      </c>
      <c r="C79" s="10">
        <f>IFERROR(__xludf.DUMMYFUNCTION("""COMPUTED_VALUE"""),0.5326388888888889)</f>
        <v>0.5326388889</v>
      </c>
      <c r="D79" s="2">
        <f t="shared" si="1"/>
        <v>12</v>
      </c>
      <c r="E79" s="2">
        <f>IFERROR(__xludf.DUMMYFUNCTION("SPLIT(B79,""/"")"),29.0)</f>
        <v>29</v>
      </c>
      <c r="F79" s="2">
        <f>IFERROR(__xludf.DUMMYFUNCTION("""COMPUTED_VALUE"""),9.0)</f>
        <v>9</v>
      </c>
      <c r="G79" s="2">
        <f>IFERROR(__xludf.DUMMYFUNCTION("""COMPUTED_VALUE"""),2024.0)</f>
        <v>2024</v>
      </c>
      <c r="H79" s="2" t="str">
        <f t="shared" si="2"/>
        <v>2024/9/29</v>
      </c>
      <c r="I79" s="2" t="s">
        <v>1588</v>
      </c>
      <c r="J79" s="2" t="str">
        <f t="shared" si="3"/>
        <v>Es Kopi Susu</v>
      </c>
      <c r="K79" s="7">
        <f>if(RIGHT(I79,5)="2 pcs",2,Data!I79)</f>
        <v>1</v>
      </c>
      <c r="L79" s="2" t="str">
        <f t="shared" si="4"/>
        <v>Sunday</v>
      </c>
      <c r="M79" s="2" t="str">
        <f t="shared" si="5"/>
        <v>29</v>
      </c>
      <c r="N79" s="2">
        <f>VLOOKUP(L79,'Data Info'!$A$1:$B$8,2,0)</f>
        <v>7</v>
      </c>
      <c r="O79" s="2" t="str">
        <f>VLOOKUP(L79,'Data Info'!$A$1:$C$8,3,0)</f>
        <v>Weekend</v>
      </c>
    </row>
    <row r="80">
      <c r="A80" s="4">
        <v>45564.532638888886</v>
      </c>
      <c r="B80" s="9">
        <f>IFERROR(__xludf.DUMMYFUNCTION("SPLIT(A80,"" "")"),45564.0)</f>
        <v>45564</v>
      </c>
      <c r="C80" s="10">
        <f>IFERROR(__xludf.DUMMYFUNCTION("""COMPUTED_VALUE"""),0.5326388888888889)</f>
        <v>0.5326388889</v>
      </c>
      <c r="D80" s="2">
        <f t="shared" si="1"/>
        <v>12</v>
      </c>
      <c r="E80" s="2">
        <f>IFERROR(__xludf.DUMMYFUNCTION("SPLIT(B80,""/"")"),29.0)</f>
        <v>29</v>
      </c>
      <c r="F80" s="2">
        <f>IFERROR(__xludf.DUMMYFUNCTION("""COMPUTED_VALUE"""),9.0)</f>
        <v>9</v>
      </c>
      <c r="G80" s="2">
        <f>IFERROR(__xludf.DUMMYFUNCTION("""COMPUTED_VALUE"""),2024.0)</f>
        <v>2024</v>
      </c>
      <c r="H80" s="2" t="str">
        <f t="shared" si="2"/>
        <v>2024/9/29</v>
      </c>
      <c r="I80" s="2" t="s">
        <v>1590</v>
      </c>
      <c r="J80" s="2" t="str">
        <f t="shared" si="3"/>
        <v>Lemon Tea Panas</v>
      </c>
      <c r="K80" s="7">
        <f>if(RIGHT(I80,5)="2 pcs",2,Data!I80)</f>
        <v>1</v>
      </c>
      <c r="L80" s="2" t="str">
        <f t="shared" si="4"/>
        <v>Sunday</v>
      </c>
      <c r="M80" s="2" t="str">
        <f t="shared" si="5"/>
        <v>29</v>
      </c>
      <c r="N80" s="2">
        <f>VLOOKUP(L80,'Data Info'!$A$1:$B$8,2,0)</f>
        <v>7</v>
      </c>
      <c r="O80" s="2" t="str">
        <f>VLOOKUP(L80,'Data Info'!$A$1:$C$8,3,0)</f>
        <v>Weekend</v>
      </c>
    </row>
    <row r="81">
      <c r="A81" s="4">
        <v>45564.52291666667</v>
      </c>
      <c r="B81" s="9">
        <f>IFERROR(__xludf.DUMMYFUNCTION("SPLIT(A81,"" "")"),45564.0)</f>
        <v>45564</v>
      </c>
      <c r="C81" s="10">
        <f>IFERROR(__xludf.DUMMYFUNCTION("""COMPUTED_VALUE"""),0.5229166666666667)</f>
        <v>0.5229166667</v>
      </c>
      <c r="D81" s="2">
        <f t="shared" si="1"/>
        <v>12</v>
      </c>
      <c r="E81" s="2">
        <f>IFERROR(__xludf.DUMMYFUNCTION("SPLIT(B81,""/"")"),29.0)</f>
        <v>29</v>
      </c>
      <c r="F81" s="2">
        <f>IFERROR(__xludf.DUMMYFUNCTION("""COMPUTED_VALUE"""),9.0)</f>
        <v>9</v>
      </c>
      <c r="G81" s="2">
        <f>IFERROR(__xludf.DUMMYFUNCTION("""COMPUTED_VALUE"""),2024.0)</f>
        <v>2024</v>
      </c>
      <c r="H81" s="2" t="str">
        <f t="shared" si="2"/>
        <v>2024/9/29</v>
      </c>
      <c r="I81" s="2" t="s">
        <v>1573</v>
      </c>
      <c r="J81" s="2" t="str">
        <f t="shared" si="3"/>
        <v>Air mineral</v>
      </c>
      <c r="K81" s="7">
        <f>if(RIGHT(I81,5)="2 pcs",2,Data!I81)</f>
        <v>2</v>
      </c>
      <c r="L81" s="2" t="str">
        <f t="shared" si="4"/>
        <v>Sunday</v>
      </c>
      <c r="M81" s="2" t="str">
        <f t="shared" si="5"/>
        <v>29</v>
      </c>
      <c r="N81" s="2">
        <f>VLOOKUP(L81,'Data Info'!$A$1:$B$8,2,0)</f>
        <v>7</v>
      </c>
      <c r="O81" s="2" t="str">
        <f>VLOOKUP(L81,'Data Info'!$A$1:$C$8,3,0)</f>
        <v>Weekend</v>
      </c>
    </row>
    <row r="82">
      <c r="A82" s="4">
        <v>45564.506944444445</v>
      </c>
      <c r="B82" s="9">
        <f>IFERROR(__xludf.DUMMYFUNCTION("SPLIT(A82,"" "")"),45564.0)</f>
        <v>45564</v>
      </c>
      <c r="C82" s="10">
        <f>IFERROR(__xludf.DUMMYFUNCTION("""COMPUTED_VALUE"""),0.5069444444444444)</f>
        <v>0.5069444444</v>
      </c>
      <c r="D82" s="2">
        <f t="shared" si="1"/>
        <v>12</v>
      </c>
      <c r="E82" s="2">
        <f>IFERROR(__xludf.DUMMYFUNCTION("SPLIT(B82,""/"")"),29.0)</f>
        <v>29</v>
      </c>
      <c r="F82" s="2">
        <f>IFERROR(__xludf.DUMMYFUNCTION("""COMPUTED_VALUE"""),9.0)</f>
        <v>9</v>
      </c>
      <c r="G82" s="2">
        <f>IFERROR(__xludf.DUMMYFUNCTION("""COMPUTED_VALUE"""),2024.0)</f>
        <v>2024</v>
      </c>
      <c r="H82" s="2" t="str">
        <f t="shared" si="2"/>
        <v>2024/9/29</v>
      </c>
      <c r="I82" s="2" t="s">
        <v>1605</v>
      </c>
      <c r="J82" s="2" t="str">
        <f t="shared" si="3"/>
        <v>Kentang Goreng</v>
      </c>
      <c r="K82" s="7">
        <f>if(RIGHT(I82,5)="2 pcs",2,Data!I82)</f>
        <v>1</v>
      </c>
      <c r="L82" s="2" t="str">
        <f t="shared" si="4"/>
        <v>Sunday</v>
      </c>
      <c r="M82" s="2" t="str">
        <f t="shared" si="5"/>
        <v>29</v>
      </c>
      <c r="N82" s="2">
        <f>VLOOKUP(L82,'Data Info'!$A$1:$B$8,2,0)</f>
        <v>7</v>
      </c>
      <c r="O82" s="2" t="str">
        <f>VLOOKUP(L82,'Data Info'!$A$1:$C$8,3,0)</f>
        <v>Weekend</v>
      </c>
    </row>
    <row r="83">
      <c r="A83" s="4">
        <v>45564.506944444445</v>
      </c>
      <c r="B83" s="9">
        <f>IFERROR(__xludf.DUMMYFUNCTION("SPLIT(A83,"" "")"),45564.0)</f>
        <v>45564</v>
      </c>
      <c r="C83" s="10">
        <f>IFERROR(__xludf.DUMMYFUNCTION("""COMPUTED_VALUE"""),0.5069444444444444)</f>
        <v>0.5069444444</v>
      </c>
      <c r="D83" s="2">
        <f t="shared" si="1"/>
        <v>12</v>
      </c>
      <c r="E83" s="2">
        <f>IFERROR(__xludf.DUMMYFUNCTION("SPLIT(B83,""/"")"),29.0)</f>
        <v>29</v>
      </c>
      <c r="F83" s="2">
        <f>IFERROR(__xludf.DUMMYFUNCTION("""COMPUTED_VALUE"""),9.0)</f>
        <v>9</v>
      </c>
      <c r="G83" s="2">
        <f>IFERROR(__xludf.DUMMYFUNCTION("""COMPUTED_VALUE"""),2024.0)</f>
        <v>2024</v>
      </c>
      <c r="H83" s="2" t="str">
        <f t="shared" si="2"/>
        <v>2024/9/29</v>
      </c>
      <c r="I83" s="2" t="s">
        <v>1606</v>
      </c>
      <c r="J83" s="2" t="str">
        <f t="shared" si="3"/>
        <v>Pisang Goreng</v>
      </c>
      <c r="K83" s="7">
        <f>if(RIGHT(I83,5)="2 pcs",2,Data!I83)</f>
        <v>1</v>
      </c>
      <c r="L83" s="2" t="str">
        <f t="shared" si="4"/>
        <v>Sunday</v>
      </c>
      <c r="M83" s="2" t="str">
        <f t="shared" si="5"/>
        <v>29</v>
      </c>
      <c r="N83" s="2">
        <f>VLOOKUP(L83,'Data Info'!$A$1:$B$8,2,0)</f>
        <v>7</v>
      </c>
      <c r="O83" s="2" t="str">
        <f>VLOOKUP(L83,'Data Info'!$A$1:$C$8,3,0)</f>
        <v>Weekend</v>
      </c>
    </row>
    <row r="84">
      <c r="A84" s="4">
        <v>45564.5</v>
      </c>
      <c r="B84" s="9">
        <f>IFERROR(__xludf.DUMMYFUNCTION("SPLIT(A84,"" "")"),45564.0)</f>
        <v>45564</v>
      </c>
      <c r="C84" s="10">
        <f>IFERROR(__xludf.DUMMYFUNCTION("""COMPUTED_VALUE"""),0.5)</f>
        <v>0.5</v>
      </c>
      <c r="D84" s="2">
        <f t="shared" si="1"/>
        <v>12</v>
      </c>
      <c r="E84" s="2">
        <f>IFERROR(__xludf.DUMMYFUNCTION("SPLIT(B84,""/"")"),29.0)</f>
        <v>29</v>
      </c>
      <c r="F84" s="2">
        <f>IFERROR(__xludf.DUMMYFUNCTION("""COMPUTED_VALUE"""),9.0)</f>
        <v>9</v>
      </c>
      <c r="G84" s="2">
        <f>IFERROR(__xludf.DUMMYFUNCTION("""COMPUTED_VALUE"""),2024.0)</f>
        <v>2024</v>
      </c>
      <c r="H84" s="2" t="str">
        <f t="shared" si="2"/>
        <v>2024/9/29</v>
      </c>
      <c r="I84" s="2" t="s">
        <v>1566</v>
      </c>
      <c r="J84" s="2" t="str">
        <f t="shared" si="3"/>
        <v>Roti Bawang Saus Keju</v>
      </c>
      <c r="K84" s="7">
        <f>if(RIGHT(I84,5)="2 pcs",2,Data!I84)</f>
        <v>1</v>
      </c>
      <c r="L84" s="2" t="str">
        <f t="shared" si="4"/>
        <v>Sunday</v>
      </c>
      <c r="M84" s="2" t="str">
        <f t="shared" si="5"/>
        <v>29</v>
      </c>
      <c r="N84" s="2">
        <f>VLOOKUP(L84,'Data Info'!$A$1:$B$8,2,0)</f>
        <v>7</v>
      </c>
      <c r="O84" s="2" t="str">
        <f>VLOOKUP(L84,'Data Info'!$A$1:$C$8,3,0)</f>
        <v>Weekend</v>
      </c>
    </row>
    <row r="85">
      <c r="A85" s="4">
        <v>45564.49930555555</v>
      </c>
      <c r="B85" s="9">
        <f>IFERROR(__xludf.DUMMYFUNCTION("SPLIT(A85,"" "")"),45564.0)</f>
        <v>45564</v>
      </c>
      <c r="C85" s="10">
        <f>IFERROR(__xludf.DUMMYFUNCTION("""COMPUTED_VALUE"""),0.49930555555555556)</f>
        <v>0.4993055556</v>
      </c>
      <c r="D85" s="2">
        <f t="shared" si="1"/>
        <v>11</v>
      </c>
      <c r="E85" s="2">
        <f>IFERROR(__xludf.DUMMYFUNCTION("SPLIT(B85,""/"")"),29.0)</f>
        <v>29</v>
      </c>
      <c r="F85" s="2">
        <f>IFERROR(__xludf.DUMMYFUNCTION("""COMPUTED_VALUE"""),9.0)</f>
        <v>9</v>
      </c>
      <c r="G85" s="2">
        <f>IFERROR(__xludf.DUMMYFUNCTION("""COMPUTED_VALUE"""),2024.0)</f>
        <v>2024</v>
      </c>
      <c r="H85" s="2" t="str">
        <f t="shared" si="2"/>
        <v>2024/9/29</v>
      </c>
      <c r="I85" s="2" t="s">
        <v>1566</v>
      </c>
      <c r="J85" s="2" t="str">
        <f t="shared" si="3"/>
        <v>Roti Bawang Saus Keju</v>
      </c>
      <c r="K85" s="7">
        <f>if(RIGHT(I85,5)="2 pcs",2,Data!I85)</f>
        <v>1</v>
      </c>
      <c r="L85" s="2" t="str">
        <f t="shared" si="4"/>
        <v>Sunday</v>
      </c>
      <c r="M85" s="2" t="str">
        <f t="shared" si="5"/>
        <v>29</v>
      </c>
      <c r="N85" s="2">
        <f>VLOOKUP(L85,'Data Info'!$A$1:$B$8,2,0)</f>
        <v>7</v>
      </c>
      <c r="O85" s="2" t="str">
        <f>VLOOKUP(L85,'Data Info'!$A$1:$C$8,3,0)</f>
        <v>Weekend</v>
      </c>
    </row>
    <row r="86">
      <c r="A86" s="4">
        <v>45564.498611111114</v>
      </c>
      <c r="B86" s="9">
        <f>IFERROR(__xludf.DUMMYFUNCTION("SPLIT(A86,"" "")"),45564.0)</f>
        <v>45564</v>
      </c>
      <c r="C86" s="10">
        <f>IFERROR(__xludf.DUMMYFUNCTION("""COMPUTED_VALUE"""),0.4986111111111111)</f>
        <v>0.4986111111</v>
      </c>
      <c r="D86" s="2">
        <f t="shared" si="1"/>
        <v>11</v>
      </c>
      <c r="E86" s="2">
        <f>IFERROR(__xludf.DUMMYFUNCTION("SPLIT(B86,""/"")"),29.0)</f>
        <v>29</v>
      </c>
      <c r="F86" s="2">
        <f>IFERROR(__xludf.DUMMYFUNCTION("""COMPUTED_VALUE"""),9.0)</f>
        <v>9</v>
      </c>
      <c r="G86" s="2">
        <f>IFERROR(__xludf.DUMMYFUNCTION("""COMPUTED_VALUE"""),2024.0)</f>
        <v>2024</v>
      </c>
      <c r="H86" s="2" t="str">
        <f t="shared" si="2"/>
        <v>2024/9/29</v>
      </c>
      <c r="I86" s="2" t="s">
        <v>1588</v>
      </c>
      <c r="J86" s="2" t="str">
        <f t="shared" si="3"/>
        <v>Es Kopi Susu</v>
      </c>
      <c r="K86" s="7">
        <f>if(RIGHT(I86,5)="2 pcs",2,Data!I86)</f>
        <v>1</v>
      </c>
      <c r="L86" s="2" t="str">
        <f t="shared" si="4"/>
        <v>Sunday</v>
      </c>
      <c r="M86" s="2" t="str">
        <f t="shared" si="5"/>
        <v>29</v>
      </c>
      <c r="N86" s="2">
        <f>VLOOKUP(L86,'Data Info'!$A$1:$B$8,2,0)</f>
        <v>7</v>
      </c>
      <c r="O86" s="2" t="str">
        <f>VLOOKUP(L86,'Data Info'!$A$1:$C$8,3,0)</f>
        <v>Weekend</v>
      </c>
    </row>
    <row r="87">
      <c r="A87" s="4">
        <v>45564.498611111114</v>
      </c>
      <c r="B87" s="9">
        <f>IFERROR(__xludf.DUMMYFUNCTION("SPLIT(A87,"" "")"),45564.0)</f>
        <v>45564</v>
      </c>
      <c r="C87" s="10">
        <f>IFERROR(__xludf.DUMMYFUNCTION("""COMPUTED_VALUE"""),0.4986111111111111)</f>
        <v>0.4986111111</v>
      </c>
      <c r="D87" s="2">
        <f t="shared" si="1"/>
        <v>11</v>
      </c>
      <c r="E87" s="2">
        <f>IFERROR(__xludf.DUMMYFUNCTION("SPLIT(B87,""/"")"),29.0)</f>
        <v>29</v>
      </c>
      <c r="F87" s="2">
        <f>IFERROR(__xludf.DUMMYFUNCTION("""COMPUTED_VALUE"""),9.0)</f>
        <v>9</v>
      </c>
      <c r="G87" s="2">
        <f>IFERROR(__xludf.DUMMYFUNCTION("""COMPUTED_VALUE"""),2024.0)</f>
        <v>2024</v>
      </c>
      <c r="H87" s="2" t="str">
        <f t="shared" si="2"/>
        <v>2024/9/29</v>
      </c>
      <c r="I87" s="2" t="s">
        <v>1591</v>
      </c>
      <c r="J87" s="2" t="str">
        <f t="shared" si="3"/>
        <v>Kopi cur</v>
      </c>
      <c r="K87" s="7">
        <f>if(RIGHT(I87,5)="2 pcs",2,Data!I87)</f>
        <v>1</v>
      </c>
      <c r="L87" s="2" t="str">
        <f t="shared" si="4"/>
        <v>Sunday</v>
      </c>
      <c r="M87" s="2" t="str">
        <f t="shared" si="5"/>
        <v>29</v>
      </c>
      <c r="N87" s="2">
        <f>VLOOKUP(L87,'Data Info'!$A$1:$B$8,2,0)</f>
        <v>7</v>
      </c>
      <c r="O87" s="2" t="str">
        <f>VLOOKUP(L87,'Data Info'!$A$1:$C$8,3,0)</f>
        <v>Weekend</v>
      </c>
    </row>
    <row r="88">
      <c r="A88" s="4">
        <v>45564.498611111114</v>
      </c>
      <c r="B88" s="9">
        <f>IFERROR(__xludf.DUMMYFUNCTION("SPLIT(A88,"" "")"),45564.0)</f>
        <v>45564</v>
      </c>
      <c r="C88" s="10">
        <f>IFERROR(__xludf.DUMMYFUNCTION("""COMPUTED_VALUE"""),0.4986111111111111)</f>
        <v>0.4986111111</v>
      </c>
      <c r="D88" s="2">
        <f t="shared" si="1"/>
        <v>11</v>
      </c>
      <c r="E88" s="2">
        <f>IFERROR(__xludf.DUMMYFUNCTION("SPLIT(B88,""/"")"),29.0)</f>
        <v>29</v>
      </c>
      <c r="F88" s="2">
        <f>IFERROR(__xludf.DUMMYFUNCTION("""COMPUTED_VALUE"""),9.0)</f>
        <v>9</v>
      </c>
      <c r="G88" s="2">
        <f>IFERROR(__xludf.DUMMYFUNCTION("""COMPUTED_VALUE"""),2024.0)</f>
        <v>2024</v>
      </c>
      <c r="H88" s="2" t="str">
        <f t="shared" si="2"/>
        <v>2024/9/29</v>
      </c>
      <c r="I88" s="2" t="s">
        <v>1596</v>
      </c>
      <c r="J88" s="2" t="str">
        <f t="shared" si="3"/>
        <v>Roti Cranberry</v>
      </c>
      <c r="K88" s="7">
        <f>if(RIGHT(I88,5)="2 pcs",2,Data!I88)</f>
        <v>2</v>
      </c>
      <c r="L88" s="2" t="str">
        <f t="shared" si="4"/>
        <v>Sunday</v>
      </c>
      <c r="M88" s="2" t="str">
        <f t="shared" si="5"/>
        <v>29</v>
      </c>
      <c r="N88" s="2">
        <f>VLOOKUP(L88,'Data Info'!$A$1:$B$8,2,0)</f>
        <v>7</v>
      </c>
      <c r="O88" s="2" t="str">
        <f>VLOOKUP(L88,'Data Info'!$A$1:$C$8,3,0)</f>
        <v>Weekend</v>
      </c>
    </row>
    <row r="89">
      <c r="A89" s="4">
        <v>45564.498611111114</v>
      </c>
      <c r="B89" s="9">
        <f>IFERROR(__xludf.DUMMYFUNCTION("SPLIT(A89,"" "")"),45564.0)</f>
        <v>45564</v>
      </c>
      <c r="C89" s="10">
        <f>IFERROR(__xludf.DUMMYFUNCTION("""COMPUTED_VALUE"""),0.4986111111111111)</f>
        <v>0.4986111111</v>
      </c>
      <c r="D89" s="2">
        <f t="shared" si="1"/>
        <v>11</v>
      </c>
      <c r="E89" s="2">
        <f>IFERROR(__xludf.DUMMYFUNCTION("SPLIT(B89,""/"")"),29.0)</f>
        <v>29</v>
      </c>
      <c r="F89" s="2">
        <f>IFERROR(__xludf.DUMMYFUNCTION("""COMPUTED_VALUE"""),9.0)</f>
        <v>9</v>
      </c>
      <c r="G89" s="2">
        <f>IFERROR(__xludf.DUMMYFUNCTION("""COMPUTED_VALUE"""),2024.0)</f>
        <v>2024</v>
      </c>
      <c r="H89" s="2" t="str">
        <f t="shared" si="2"/>
        <v>2024/9/29</v>
      </c>
      <c r="I89" s="2" t="s">
        <v>1577</v>
      </c>
      <c r="J89" s="2" t="str">
        <f t="shared" si="3"/>
        <v>Rempah Madu Panas</v>
      </c>
      <c r="K89" s="7">
        <f>if(RIGHT(I89,5)="2 pcs",2,Data!I89)</f>
        <v>1</v>
      </c>
      <c r="L89" s="2" t="str">
        <f t="shared" si="4"/>
        <v>Sunday</v>
      </c>
      <c r="M89" s="2" t="str">
        <f t="shared" si="5"/>
        <v>29</v>
      </c>
      <c r="N89" s="2">
        <f>VLOOKUP(L89,'Data Info'!$A$1:$B$8,2,0)</f>
        <v>7</v>
      </c>
      <c r="O89" s="2" t="str">
        <f>VLOOKUP(L89,'Data Info'!$A$1:$C$8,3,0)</f>
        <v>Weekend</v>
      </c>
    </row>
    <row r="90">
      <c r="A90" s="4">
        <v>45564.49791666667</v>
      </c>
      <c r="B90" s="9">
        <f>IFERROR(__xludf.DUMMYFUNCTION("SPLIT(A90,"" "")"),45564.0)</f>
        <v>45564</v>
      </c>
      <c r="C90" s="10">
        <f>IFERROR(__xludf.DUMMYFUNCTION("""COMPUTED_VALUE"""),0.4979166666666667)</f>
        <v>0.4979166667</v>
      </c>
      <c r="D90" s="2">
        <f t="shared" si="1"/>
        <v>11</v>
      </c>
      <c r="E90" s="2">
        <f>IFERROR(__xludf.DUMMYFUNCTION("SPLIT(B90,""/"")"),29.0)</f>
        <v>29</v>
      </c>
      <c r="F90" s="2">
        <f>IFERROR(__xludf.DUMMYFUNCTION("""COMPUTED_VALUE"""),9.0)</f>
        <v>9</v>
      </c>
      <c r="G90" s="2">
        <f>IFERROR(__xludf.DUMMYFUNCTION("""COMPUTED_VALUE"""),2024.0)</f>
        <v>2024</v>
      </c>
      <c r="H90" s="2" t="str">
        <f t="shared" si="2"/>
        <v>2024/9/29</v>
      </c>
      <c r="I90" s="2" t="s">
        <v>1577</v>
      </c>
      <c r="J90" s="2" t="str">
        <f t="shared" si="3"/>
        <v>Rempah Madu Panas</v>
      </c>
      <c r="K90" s="7">
        <f>if(RIGHT(I90,5)="2 pcs",2,Data!I90)</f>
        <v>1</v>
      </c>
      <c r="L90" s="2" t="str">
        <f t="shared" si="4"/>
        <v>Sunday</v>
      </c>
      <c r="M90" s="2" t="str">
        <f t="shared" si="5"/>
        <v>29</v>
      </c>
      <c r="N90" s="2">
        <f>VLOOKUP(L90,'Data Info'!$A$1:$B$8,2,0)</f>
        <v>7</v>
      </c>
      <c r="O90" s="2" t="str">
        <f>VLOOKUP(L90,'Data Info'!$A$1:$C$8,3,0)</f>
        <v>Weekend</v>
      </c>
    </row>
    <row r="91">
      <c r="A91" s="4">
        <v>45564.49791666667</v>
      </c>
      <c r="B91" s="9">
        <f>IFERROR(__xludf.DUMMYFUNCTION("SPLIT(A91,"" "")"),45564.0)</f>
        <v>45564</v>
      </c>
      <c r="C91" s="10">
        <f>IFERROR(__xludf.DUMMYFUNCTION("""COMPUTED_VALUE"""),0.4979166666666667)</f>
        <v>0.4979166667</v>
      </c>
      <c r="D91" s="2">
        <f t="shared" si="1"/>
        <v>11</v>
      </c>
      <c r="E91" s="2">
        <f>IFERROR(__xludf.DUMMYFUNCTION("SPLIT(B91,""/"")"),29.0)</f>
        <v>29</v>
      </c>
      <c r="F91" s="2">
        <f>IFERROR(__xludf.DUMMYFUNCTION("""COMPUTED_VALUE"""),9.0)</f>
        <v>9</v>
      </c>
      <c r="G91" s="2">
        <f>IFERROR(__xludf.DUMMYFUNCTION("""COMPUTED_VALUE"""),2024.0)</f>
        <v>2024</v>
      </c>
      <c r="H91" s="2" t="str">
        <f t="shared" si="2"/>
        <v>2024/9/29</v>
      </c>
      <c r="I91" s="2" t="s">
        <v>1588</v>
      </c>
      <c r="J91" s="2" t="str">
        <f t="shared" si="3"/>
        <v>Es Kopi Susu</v>
      </c>
      <c r="K91" s="7">
        <f>if(RIGHT(I91,5)="2 pcs",2,Data!I91)</f>
        <v>1</v>
      </c>
      <c r="L91" s="2" t="str">
        <f t="shared" si="4"/>
        <v>Sunday</v>
      </c>
      <c r="M91" s="2" t="str">
        <f t="shared" si="5"/>
        <v>29</v>
      </c>
      <c r="N91" s="2">
        <f>VLOOKUP(L91,'Data Info'!$A$1:$B$8,2,0)</f>
        <v>7</v>
      </c>
      <c r="O91" s="2" t="str">
        <f>VLOOKUP(L91,'Data Info'!$A$1:$C$8,3,0)</f>
        <v>Weekend</v>
      </c>
    </row>
    <row r="92">
      <c r="A92" s="4">
        <v>45564.49791666667</v>
      </c>
      <c r="B92" s="9">
        <f>IFERROR(__xludf.DUMMYFUNCTION("SPLIT(A92,"" "")"),45564.0)</f>
        <v>45564</v>
      </c>
      <c r="C92" s="10">
        <f>IFERROR(__xludf.DUMMYFUNCTION("""COMPUTED_VALUE"""),0.4979166666666667)</f>
        <v>0.4979166667</v>
      </c>
      <c r="D92" s="2">
        <f t="shared" si="1"/>
        <v>11</v>
      </c>
      <c r="E92" s="2">
        <f>IFERROR(__xludf.DUMMYFUNCTION("SPLIT(B92,""/"")"),29.0)</f>
        <v>29</v>
      </c>
      <c r="F92" s="2">
        <f>IFERROR(__xludf.DUMMYFUNCTION("""COMPUTED_VALUE"""),9.0)</f>
        <v>9</v>
      </c>
      <c r="G92" s="2">
        <f>IFERROR(__xludf.DUMMYFUNCTION("""COMPUTED_VALUE"""),2024.0)</f>
        <v>2024</v>
      </c>
      <c r="H92" s="2" t="str">
        <f t="shared" si="2"/>
        <v>2024/9/29</v>
      </c>
      <c r="I92" s="2" t="s">
        <v>1591</v>
      </c>
      <c r="J92" s="2" t="str">
        <f t="shared" si="3"/>
        <v>Kopi cur</v>
      </c>
      <c r="K92" s="7">
        <f>if(RIGHT(I92,5)="2 pcs",2,Data!I92)</f>
        <v>1</v>
      </c>
      <c r="L92" s="2" t="str">
        <f t="shared" si="4"/>
        <v>Sunday</v>
      </c>
      <c r="M92" s="2" t="str">
        <f t="shared" si="5"/>
        <v>29</v>
      </c>
      <c r="N92" s="2">
        <f>VLOOKUP(L92,'Data Info'!$A$1:$B$8,2,0)</f>
        <v>7</v>
      </c>
      <c r="O92" s="2" t="str">
        <f>VLOOKUP(L92,'Data Info'!$A$1:$C$8,3,0)</f>
        <v>Weekend</v>
      </c>
    </row>
    <row r="93">
      <c r="A93" s="4">
        <v>45564.49097222222</v>
      </c>
      <c r="B93" s="9">
        <f>IFERROR(__xludf.DUMMYFUNCTION("SPLIT(A93,"" "")"),45564.0)</f>
        <v>45564</v>
      </c>
      <c r="C93" s="10">
        <f>IFERROR(__xludf.DUMMYFUNCTION("""COMPUTED_VALUE"""),0.4909722222222222)</f>
        <v>0.4909722222</v>
      </c>
      <c r="D93" s="2">
        <f t="shared" si="1"/>
        <v>11</v>
      </c>
      <c r="E93" s="2">
        <f>IFERROR(__xludf.DUMMYFUNCTION("SPLIT(B93,""/"")"),29.0)</f>
        <v>29</v>
      </c>
      <c r="F93" s="2">
        <f>IFERROR(__xludf.DUMMYFUNCTION("""COMPUTED_VALUE"""),9.0)</f>
        <v>9</v>
      </c>
      <c r="G93" s="2">
        <f>IFERROR(__xludf.DUMMYFUNCTION("""COMPUTED_VALUE"""),2024.0)</f>
        <v>2024</v>
      </c>
      <c r="H93" s="2" t="str">
        <f t="shared" si="2"/>
        <v>2024/9/29</v>
      </c>
      <c r="I93" s="2" t="s">
        <v>1591</v>
      </c>
      <c r="J93" s="2" t="str">
        <f t="shared" si="3"/>
        <v>Kopi cur</v>
      </c>
      <c r="K93" s="7">
        <f>if(RIGHT(I93,5)="2 pcs",2,Data!I93)</f>
        <v>1</v>
      </c>
      <c r="L93" s="2" t="str">
        <f t="shared" si="4"/>
        <v>Sunday</v>
      </c>
      <c r="M93" s="2" t="str">
        <f t="shared" si="5"/>
        <v>29</v>
      </c>
      <c r="N93" s="2">
        <f>VLOOKUP(L93,'Data Info'!$A$1:$B$8,2,0)</f>
        <v>7</v>
      </c>
      <c r="O93" s="2" t="str">
        <f>VLOOKUP(L93,'Data Info'!$A$1:$C$8,3,0)</f>
        <v>Weekend</v>
      </c>
    </row>
    <row r="94">
      <c r="A94" s="4">
        <v>45564.49097222222</v>
      </c>
      <c r="B94" s="9">
        <f>IFERROR(__xludf.DUMMYFUNCTION("SPLIT(A94,"" "")"),45564.0)</f>
        <v>45564</v>
      </c>
      <c r="C94" s="10">
        <f>IFERROR(__xludf.DUMMYFUNCTION("""COMPUTED_VALUE"""),0.4909722222222222)</f>
        <v>0.4909722222</v>
      </c>
      <c r="D94" s="2">
        <f t="shared" si="1"/>
        <v>11</v>
      </c>
      <c r="E94" s="2">
        <f>IFERROR(__xludf.DUMMYFUNCTION("SPLIT(B94,""/"")"),29.0)</f>
        <v>29</v>
      </c>
      <c r="F94" s="2">
        <f>IFERROR(__xludf.DUMMYFUNCTION("""COMPUTED_VALUE"""),9.0)</f>
        <v>9</v>
      </c>
      <c r="G94" s="2">
        <f>IFERROR(__xludf.DUMMYFUNCTION("""COMPUTED_VALUE"""),2024.0)</f>
        <v>2024</v>
      </c>
      <c r="H94" s="2" t="str">
        <f t="shared" si="2"/>
        <v>2024/9/29</v>
      </c>
      <c r="I94" s="2" t="s">
        <v>1596</v>
      </c>
      <c r="J94" s="2" t="str">
        <f t="shared" si="3"/>
        <v>Roti Cranberry</v>
      </c>
      <c r="K94" s="7">
        <f>if(RIGHT(I94,5)="2 pcs",2,Data!I94)</f>
        <v>2</v>
      </c>
      <c r="L94" s="2" t="str">
        <f t="shared" si="4"/>
        <v>Sunday</v>
      </c>
      <c r="M94" s="2" t="str">
        <f t="shared" si="5"/>
        <v>29</v>
      </c>
      <c r="N94" s="2">
        <f>VLOOKUP(L94,'Data Info'!$A$1:$B$8,2,0)</f>
        <v>7</v>
      </c>
      <c r="O94" s="2" t="str">
        <f>VLOOKUP(L94,'Data Info'!$A$1:$C$8,3,0)</f>
        <v>Weekend</v>
      </c>
    </row>
    <row r="95">
      <c r="A95" s="4">
        <v>45564.49097222222</v>
      </c>
      <c r="B95" s="9">
        <f>IFERROR(__xludf.DUMMYFUNCTION("SPLIT(A95,"" "")"),45564.0)</f>
        <v>45564</v>
      </c>
      <c r="C95" s="10">
        <f>IFERROR(__xludf.DUMMYFUNCTION("""COMPUTED_VALUE"""),0.4909722222222222)</f>
        <v>0.4909722222</v>
      </c>
      <c r="D95" s="2">
        <f t="shared" si="1"/>
        <v>11</v>
      </c>
      <c r="E95" s="2">
        <f>IFERROR(__xludf.DUMMYFUNCTION("SPLIT(B95,""/"")"),29.0)</f>
        <v>29</v>
      </c>
      <c r="F95" s="2">
        <f>IFERROR(__xludf.DUMMYFUNCTION("""COMPUTED_VALUE"""),9.0)</f>
        <v>9</v>
      </c>
      <c r="G95" s="2">
        <f>IFERROR(__xludf.DUMMYFUNCTION("""COMPUTED_VALUE"""),2024.0)</f>
        <v>2024</v>
      </c>
      <c r="H95" s="2" t="str">
        <f t="shared" si="2"/>
        <v>2024/9/29</v>
      </c>
      <c r="I95" s="2" t="s">
        <v>1595</v>
      </c>
      <c r="J95" s="2" t="str">
        <f t="shared" si="3"/>
        <v>Roti Gandum Cokelat</v>
      </c>
      <c r="K95" s="7">
        <f>if(RIGHT(I95,5)="2 pcs",2,Data!I95)</f>
        <v>1</v>
      </c>
      <c r="L95" s="2" t="str">
        <f t="shared" si="4"/>
        <v>Sunday</v>
      </c>
      <c r="M95" s="2" t="str">
        <f t="shared" si="5"/>
        <v>29</v>
      </c>
      <c r="N95" s="2">
        <f>VLOOKUP(L95,'Data Info'!$A$1:$B$8,2,0)</f>
        <v>7</v>
      </c>
      <c r="O95" s="2" t="str">
        <f>VLOOKUP(L95,'Data Info'!$A$1:$C$8,3,0)</f>
        <v>Weekend</v>
      </c>
    </row>
    <row r="96">
      <c r="A96" s="4">
        <v>45564.49097222222</v>
      </c>
      <c r="B96" s="9">
        <f>IFERROR(__xludf.DUMMYFUNCTION("SPLIT(A96,"" "")"),45564.0)</f>
        <v>45564</v>
      </c>
      <c r="C96" s="10">
        <f>IFERROR(__xludf.DUMMYFUNCTION("""COMPUTED_VALUE"""),0.4909722222222222)</f>
        <v>0.4909722222</v>
      </c>
      <c r="D96" s="2">
        <f t="shared" si="1"/>
        <v>11</v>
      </c>
      <c r="E96" s="2">
        <f>IFERROR(__xludf.DUMMYFUNCTION("SPLIT(B96,""/"")"),29.0)</f>
        <v>29</v>
      </c>
      <c r="F96" s="2">
        <f>IFERROR(__xludf.DUMMYFUNCTION("""COMPUTED_VALUE"""),9.0)</f>
        <v>9</v>
      </c>
      <c r="G96" s="2">
        <f>IFERROR(__xludf.DUMMYFUNCTION("""COMPUTED_VALUE"""),2024.0)</f>
        <v>2024</v>
      </c>
      <c r="H96" s="2" t="str">
        <f t="shared" si="2"/>
        <v>2024/9/29</v>
      </c>
      <c r="I96" s="2" t="s">
        <v>1607</v>
      </c>
      <c r="J96" s="2" t="str">
        <f t="shared" si="3"/>
        <v>Tahu walik</v>
      </c>
      <c r="K96" s="7">
        <f>if(RIGHT(I96,5)="2 pcs",2,Data!I96)</f>
        <v>1</v>
      </c>
      <c r="L96" s="2" t="str">
        <f t="shared" si="4"/>
        <v>Sunday</v>
      </c>
      <c r="M96" s="2" t="str">
        <f t="shared" si="5"/>
        <v>29</v>
      </c>
      <c r="N96" s="2">
        <f>VLOOKUP(L96,'Data Info'!$A$1:$B$8,2,0)</f>
        <v>7</v>
      </c>
      <c r="O96" s="2" t="str">
        <f>VLOOKUP(L96,'Data Info'!$A$1:$C$8,3,0)</f>
        <v>Weekend</v>
      </c>
    </row>
    <row r="97">
      <c r="A97" s="4">
        <v>45564.489583333336</v>
      </c>
      <c r="B97" s="9">
        <f>IFERROR(__xludf.DUMMYFUNCTION("SPLIT(A97,"" "")"),45564.0)</f>
        <v>45564</v>
      </c>
      <c r="C97" s="10">
        <f>IFERROR(__xludf.DUMMYFUNCTION("""COMPUTED_VALUE"""),0.4895833333333333)</f>
        <v>0.4895833333</v>
      </c>
      <c r="D97" s="2">
        <f t="shared" si="1"/>
        <v>11</v>
      </c>
      <c r="E97" s="2">
        <f>IFERROR(__xludf.DUMMYFUNCTION("SPLIT(B97,""/"")"),29.0)</f>
        <v>29</v>
      </c>
      <c r="F97" s="2">
        <f>IFERROR(__xludf.DUMMYFUNCTION("""COMPUTED_VALUE"""),9.0)</f>
        <v>9</v>
      </c>
      <c r="G97" s="2">
        <f>IFERROR(__xludf.DUMMYFUNCTION("""COMPUTED_VALUE"""),2024.0)</f>
        <v>2024</v>
      </c>
      <c r="H97" s="2" t="str">
        <f t="shared" si="2"/>
        <v>2024/9/29</v>
      </c>
      <c r="I97" s="2" t="s">
        <v>1596</v>
      </c>
      <c r="J97" s="2" t="str">
        <f t="shared" si="3"/>
        <v>Roti Cranberry</v>
      </c>
      <c r="K97" s="7">
        <f>if(RIGHT(I97,5)="2 pcs",2,Data!I97)</f>
        <v>2</v>
      </c>
      <c r="L97" s="2" t="str">
        <f t="shared" si="4"/>
        <v>Sunday</v>
      </c>
      <c r="M97" s="2" t="str">
        <f t="shared" si="5"/>
        <v>29</v>
      </c>
      <c r="N97" s="2">
        <f>VLOOKUP(L97,'Data Info'!$A$1:$B$8,2,0)</f>
        <v>7</v>
      </c>
      <c r="O97" s="2" t="str">
        <f>VLOOKUP(L97,'Data Info'!$A$1:$C$8,3,0)</f>
        <v>Weekend</v>
      </c>
    </row>
    <row r="98">
      <c r="A98" s="4">
        <v>45564.489583333336</v>
      </c>
      <c r="B98" s="9">
        <f>IFERROR(__xludf.DUMMYFUNCTION("SPLIT(A98,"" "")"),45564.0)</f>
        <v>45564</v>
      </c>
      <c r="C98" s="10">
        <f>IFERROR(__xludf.DUMMYFUNCTION("""COMPUTED_VALUE"""),0.4895833333333333)</f>
        <v>0.4895833333</v>
      </c>
      <c r="D98" s="2">
        <f t="shared" si="1"/>
        <v>11</v>
      </c>
      <c r="E98" s="2">
        <f>IFERROR(__xludf.DUMMYFUNCTION("SPLIT(B98,""/"")"),29.0)</f>
        <v>29</v>
      </c>
      <c r="F98" s="2">
        <f>IFERROR(__xludf.DUMMYFUNCTION("""COMPUTED_VALUE"""),9.0)</f>
        <v>9</v>
      </c>
      <c r="G98" s="2">
        <f>IFERROR(__xludf.DUMMYFUNCTION("""COMPUTED_VALUE"""),2024.0)</f>
        <v>2024</v>
      </c>
      <c r="H98" s="2" t="str">
        <f t="shared" si="2"/>
        <v>2024/9/29</v>
      </c>
      <c r="I98" s="2" t="s">
        <v>1595</v>
      </c>
      <c r="J98" s="2" t="str">
        <f t="shared" si="3"/>
        <v>Roti Gandum Cokelat</v>
      </c>
      <c r="K98" s="7">
        <f>if(RIGHT(I98,5)="2 pcs",2,Data!I98)</f>
        <v>1</v>
      </c>
      <c r="L98" s="2" t="str">
        <f t="shared" si="4"/>
        <v>Sunday</v>
      </c>
      <c r="M98" s="2" t="str">
        <f t="shared" si="5"/>
        <v>29</v>
      </c>
      <c r="N98" s="2">
        <f>VLOOKUP(L98,'Data Info'!$A$1:$B$8,2,0)</f>
        <v>7</v>
      </c>
      <c r="O98" s="2" t="str">
        <f>VLOOKUP(L98,'Data Info'!$A$1:$C$8,3,0)</f>
        <v>Weekend</v>
      </c>
    </row>
    <row r="99">
      <c r="A99" s="4">
        <v>45564.489583333336</v>
      </c>
      <c r="B99" s="9">
        <f>IFERROR(__xludf.DUMMYFUNCTION("SPLIT(A99,"" "")"),45564.0)</f>
        <v>45564</v>
      </c>
      <c r="C99" s="10">
        <f>IFERROR(__xludf.DUMMYFUNCTION("""COMPUTED_VALUE"""),0.4895833333333333)</f>
        <v>0.4895833333</v>
      </c>
      <c r="D99" s="2">
        <f t="shared" si="1"/>
        <v>11</v>
      </c>
      <c r="E99" s="2">
        <f>IFERROR(__xludf.DUMMYFUNCTION("SPLIT(B99,""/"")"),29.0)</f>
        <v>29</v>
      </c>
      <c r="F99" s="2">
        <f>IFERROR(__xludf.DUMMYFUNCTION("""COMPUTED_VALUE"""),9.0)</f>
        <v>9</v>
      </c>
      <c r="G99" s="2">
        <f>IFERROR(__xludf.DUMMYFUNCTION("""COMPUTED_VALUE"""),2024.0)</f>
        <v>2024</v>
      </c>
      <c r="H99" s="2" t="str">
        <f t="shared" si="2"/>
        <v>2024/9/29</v>
      </c>
      <c r="I99" s="2" t="s">
        <v>1591</v>
      </c>
      <c r="J99" s="2" t="str">
        <f t="shared" si="3"/>
        <v>Kopi cur</v>
      </c>
      <c r="K99" s="7">
        <f>if(RIGHT(I99,5)="2 pcs",2,Data!I99)</f>
        <v>1</v>
      </c>
      <c r="L99" s="2" t="str">
        <f t="shared" si="4"/>
        <v>Sunday</v>
      </c>
      <c r="M99" s="2" t="str">
        <f t="shared" si="5"/>
        <v>29</v>
      </c>
      <c r="N99" s="2">
        <f>VLOOKUP(L99,'Data Info'!$A$1:$B$8,2,0)</f>
        <v>7</v>
      </c>
      <c r="O99" s="2" t="str">
        <f>VLOOKUP(L99,'Data Info'!$A$1:$C$8,3,0)</f>
        <v>Weekend</v>
      </c>
    </row>
    <row r="100">
      <c r="A100" s="4">
        <v>45564.45486111111</v>
      </c>
      <c r="B100" s="9">
        <f>IFERROR(__xludf.DUMMYFUNCTION("SPLIT(A100,"" "")"),45564.0)</f>
        <v>45564</v>
      </c>
      <c r="C100" s="10">
        <f>IFERROR(__xludf.DUMMYFUNCTION("""COMPUTED_VALUE"""),0.4548611111111111)</f>
        <v>0.4548611111</v>
      </c>
      <c r="D100" s="2">
        <f t="shared" si="1"/>
        <v>10</v>
      </c>
      <c r="E100" s="2">
        <f>IFERROR(__xludf.DUMMYFUNCTION("SPLIT(B100,""/"")"),29.0)</f>
        <v>29</v>
      </c>
      <c r="F100" s="2">
        <f>IFERROR(__xludf.DUMMYFUNCTION("""COMPUTED_VALUE"""),9.0)</f>
        <v>9</v>
      </c>
      <c r="G100" s="2">
        <f>IFERROR(__xludf.DUMMYFUNCTION("""COMPUTED_VALUE"""),2024.0)</f>
        <v>2024</v>
      </c>
      <c r="H100" s="2" t="str">
        <f t="shared" si="2"/>
        <v>2024/9/29</v>
      </c>
      <c r="I100" s="2" t="s">
        <v>1583</v>
      </c>
      <c r="J100" s="2" t="str">
        <f t="shared" si="3"/>
        <v>Es Kopi Lemon</v>
      </c>
      <c r="K100" s="7">
        <f>if(RIGHT(I100,5)="2 pcs",2,Data!I100)</f>
        <v>1</v>
      </c>
      <c r="L100" s="2" t="str">
        <f t="shared" si="4"/>
        <v>Sunday</v>
      </c>
      <c r="M100" s="2" t="str">
        <f t="shared" si="5"/>
        <v>29</v>
      </c>
      <c r="N100" s="2">
        <f>VLOOKUP(L100,'Data Info'!$A$1:$B$8,2,0)</f>
        <v>7</v>
      </c>
      <c r="O100" s="2" t="str">
        <f>VLOOKUP(L100,'Data Info'!$A$1:$C$8,3,0)</f>
        <v>Weekend</v>
      </c>
    </row>
    <row r="101">
      <c r="A101" s="4">
        <v>45564.45486111111</v>
      </c>
      <c r="B101" s="9">
        <f>IFERROR(__xludf.DUMMYFUNCTION("SPLIT(A101,"" "")"),45564.0)</f>
        <v>45564</v>
      </c>
      <c r="C101" s="10">
        <f>IFERROR(__xludf.DUMMYFUNCTION("""COMPUTED_VALUE"""),0.4548611111111111)</f>
        <v>0.4548611111</v>
      </c>
      <c r="D101" s="2">
        <f t="shared" si="1"/>
        <v>10</v>
      </c>
      <c r="E101" s="2">
        <f>IFERROR(__xludf.DUMMYFUNCTION("SPLIT(B101,""/"")"),29.0)</f>
        <v>29</v>
      </c>
      <c r="F101" s="2">
        <f>IFERROR(__xludf.DUMMYFUNCTION("""COMPUTED_VALUE"""),9.0)</f>
        <v>9</v>
      </c>
      <c r="G101" s="2">
        <f>IFERROR(__xludf.DUMMYFUNCTION("""COMPUTED_VALUE"""),2024.0)</f>
        <v>2024</v>
      </c>
      <c r="H101" s="2" t="str">
        <f t="shared" si="2"/>
        <v>2024/9/29</v>
      </c>
      <c r="I101" s="2" t="s">
        <v>1584</v>
      </c>
      <c r="J101" s="2" t="str">
        <f t="shared" si="3"/>
        <v>Korean Mango Fresh Milk</v>
      </c>
      <c r="K101" s="7">
        <f>if(RIGHT(I101,5)="2 pcs",2,Data!I101)</f>
        <v>1</v>
      </c>
      <c r="L101" s="2" t="str">
        <f t="shared" si="4"/>
        <v>Sunday</v>
      </c>
      <c r="M101" s="2" t="str">
        <f t="shared" si="5"/>
        <v>29</v>
      </c>
      <c r="N101" s="2">
        <f>VLOOKUP(L101,'Data Info'!$A$1:$B$8,2,0)</f>
        <v>7</v>
      </c>
      <c r="O101" s="2" t="str">
        <f>VLOOKUP(L101,'Data Info'!$A$1:$C$8,3,0)</f>
        <v>Weekend</v>
      </c>
    </row>
    <row r="102">
      <c r="A102" s="4">
        <v>45564.45486111111</v>
      </c>
      <c r="B102" s="9">
        <f>IFERROR(__xludf.DUMMYFUNCTION("SPLIT(A102,"" "")"),45564.0)</f>
        <v>45564</v>
      </c>
      <c r="C102" s="10">
        <f>IFERROR(__xludf.DUMMYFUNCTION("""COMPUTED_VALUE"""),0.4548611111111111)</f>
        <v>0.4548611111</v>
      </c>
      <c r="D102" s="2">
        <f t="shared" si="1"/>
        <v>10</v>
      </c>
      <c r="E102" s="2">
        <f>IFERROR(__xludf.DUMMYFUNCTION("SPLIT(B102,""/"")"),29.0)</f>
        <v>29</v>
      </c>
      <c r="F102" s="2">
        <f>IFERROR(__xludf.DUMMYFUNCTION("""COMPUTED_VALUE"""),9.0)</f>
        <v>9</v>
      </c>
      <c r="G102" s="2">
        <f>IFERROR(__xludf.DUMMYFUNCTION("""COMPUTED_VALUE"""),2024.0)</f>
        <v>2024</v>
      </c>
      <c r="H102" s="2" t="str">
        <f t="shared" si="2"/>
        <v>2024/9/29</v>
      </c>
      <c r="I102" s="2" t="s">
        <v>1579</v>
      </c>
      <c r="J102" s="2" t="str">
        <f t="shared" si="3"/>
        <v>Tahu baso</v>
      </c>
      <c r="K102" s="7">
        <f>if(RIGHT(I102,5)="2 pcs",2,Data!I102)</f>
        <v>1</v>
      </c>
      <c r="L102" s="2" t="str">
        <f t="shared" si="4"/>
        <v>Sunday</v>
      </c>
      <c r="M102" s="2" t="str">
        <f t="shared" si="5"/>
        <v>29</v>
      </c>
      <c r="N102" s="2">
        <f>VLOOKUP(L102,'Data Info'!$A$1:$B$8,2,0)</f>
        <v>7</v>
      </c>
      <c r="O102" s="2" t="str">
        <f>VLOOKUP(L102,'Data Info'!$A$1:$C$8,3,0)</f>
        <v>Weekend</v>
      </c>
    </row>
    <row r="103">
      <c r="A103" s="4">
        <v>45564.45486111111</v>
      </c>
      <c r="B103" s="9">
        <f>IFERROR(__xludf.DUMMYFUNCTION("SPLIT(A103,"" "")"),45564.0)</f>
        <v>45564</v>
      </c>
      <c r="C103" s="10">
        <f>IFERROR(__xludf.DUMMYFUNCTION("""COMPUTED_VALUE"""),0.4548611111111111)</f>
        <v>0.4548611111</v>
      </c>
      <c r="D103" s="2">
        <f t="shared" si="1"/>
        <v>10</v>
      </c>
      <c r="E103" s="2">
        <f>IFERROR(__xludf.DUMMYFUNCTION("SPLIT(B103,""/"")"),29.0)</f>
        <v>29</v>
      </c>
      <c r="F103" s="2">
        <f>IFERROR(__xludf.DUMMYFUNCTION("""COMPUTED_VALUE"""),9.0)</f>
        <v>9</v>
      </c>
      <c r="G103" s="2">
        <f>IFERROR(__xludf.DUMMYFUNCTION("""COMPUTED_VALUE"""),2024.0)</f>
        <v>2024</v>
      </c>
      <c r="H103" s="2" t="str">
        <f t="shared" si="2"/>
        <v>2024/9/29</v>
      </c>
      <c r="I103" s="2" t="s">
        <v>1606</v>
      </c>
      <c r="J103" s="2" t="str">
        <f t="shared" si="3"/>
        <v>Pisang Goreng</v>
      </c>
      <c r="K103" s="7">
        <f>if(RIGHT(I103,5)="2 pcs",2,Data!I103)</f>
        <v>1</v>
      </c>
      <c r="L103" s="2" t="str">
        <f t="shared" si="4"/>
        <v>Sunday</v>
      </c>
      <c r="M103" s="2" t="str">
        <f t="shared" si="5"/>
        <v>29</v>
      </c>
      <c r="N103" s="2">
        <f>VLOOKUP(L103,'Data Info'!$A$1:$B$8,2,0)</f>
        <v>7</v>
      </c>
      <c r="O103" s="2" t="str">
        <f>VLOOKUP(L103,'Data Info'!$A$1:$C$8,3,0)</f>
        <v>Weekend</v>
      </c>
    </row>
    <row r="104">
      <c r="A104" s="4">
        <v>45564.45486111111</v>
      </c>
      <c r="B104" s="9">
        <f>IFERROR(__xludf.DUMMYFUNCTION("SPLIT(A104,"" "")"),45564.0)</f>
        <v>45564</v>
      </c>
      <c r="C104" s="10">
        <f>IFERROR(__xludf.DUMMYFUNCTION("""COMPUTED_VALUE"""),0.4548611111111111)</f>
        <v>0.4548611111</v>
      </c>
      <c r="D104" s="2">
        <f t="shared" si="1"/>
        <v>10</v>
      </c>
      <c r="E104" s="2">
        <f>IFERROR(__xludf.DUMMYFUNCTION("SPLIT(B104,""/"")"),29.0)</f>
        <v>29</v>
      </c>
      <c r="F104" s="2">
        <f>IFERROR(__xludf.DUMMYFUNCTION("""COMPUTED_VALUE"""),9.0)</f>
        <v>9</v>
      </c>
      <c r="G104" s="2">
        <f>IFERROR(__xludf.DUMMYFUNCTION("""COMPUTED_VALUE"""),2024.0)</f>
        <v>2024</v>
      </c>
      <c r="H104" s="2" t="str">
        <f t="shared" si="2"/>
        <v>2024/9/29</v>
      </c>
      <c r="I104" s="2" t="s">
        <v>1608</v>
      </c>
      <c r="J104" s="2" t="str">
        <f t="shared" si="3"/>
        <v>Susu murni strawberry</v>
      </c>
      <c r="K104" s="7">
        <f>if(RIGHT(I104,5)="2 pcs",2,Data!I104)</f>
        <v>1</v>
      </c>
      <c r="L104" s="2" t="str">
        <f t="shared" si="4"/>
        <v>Sunday</v>
      </c>
      <c r="M104" s="2" t="str">
        <f t="shared" si="5"/>
        <v>29</v>
      </c>
      <c r="N104" s="2">
        <f>VLOOKUP(L104,'Data Info'!$A$1:$B$8,2,0)</f>
        <v>7</v>
      </c>
      <c r="O104" s="2" t="str">
        <f>VLOOKUP(L104,'Data Info'!$A$1:$C$8,3,0)</f>
        <v>Weekend</v>
      </c>
    </row>
    <row r="105">
      <c r="A105" s="4">
        <v>45564.45486111111</v>
      </c>
      <c r="B105" s="9">
        <f>IFERROR(__xludf.DUMMYFUNCTION("SPLIT(A105,"" "")"),45564.0)</f>
        <v>45564</v>
      </c>
      <c r="C105" s="10">
        <f>IFERROR(__xludf.DUMMYFUNCTION("""COMPUTED_VALUE"""),0.4548611111111111)</f>
        <v>0.4548611111</v>
      </c>
      <c r="D105" s="2">
        <f t="shared" si="1"/>
        <v>10</v>
      </c>
      <c r="E105" s="2">
        <f>IFERROR(__xludf.DUMMYFUNCTION("SPLIT(B105,""/"")"),29.0)</f>
        <v>29</v>
      </c>
      <c r="F105" s="2">
        <f>IFERROR(__xludf.DUMMYFUNCTION("""COMPUTED_VALUE"""),9.0)</f>
        <v>9</v>
      </c>
      <c r="G105" s="2">
        <f>IFERROR(__xludf.DUMMYFUNCTION("""COMPUTED_VALUE"""),2024.0)</f>
        <v>2024</v>
      </c>
      <c r="H105" s="2" t="str">
        <f t="shared" si="2"/>
        <v>2024/9/29</v>
      </c>
      <c r="I105" s="2" t="s">
        <v>1601</v>
      </c>
      <c r="J105" s="2" t="str">
        <f t="shared" si="3"/>
        <v>Gula Asam Dingin</v>
      </c>
      <c r="K105" s="7">
        <f>if(RIGHT(I105,5)="2 pcs",2,Data!I105)</f>
        <v>1</v>
      </c>
      <c r="L105" s="2" t="str">
        <f t="shared" si="4"/>
        <v>Sunday</v>
      </c>
      <c r="M105" s="2" t="str">
        <f t="shared" si="5"/>
        <v>29</v>
      </c>
      <c r="N105" s="2">
        <f>VLOOKUP(L105,'Data Info'!$A$1:$B$8,2,0)</f>
        <v>7</v>
      </c>
      <c r="O105" s="2" t="str">
        <f>VLOOKUP(L105,'Data Info'!$A$1:$C$8,3,0)</f>
        <v>Weekend</v>
      </c>
    </row>
    <row r="106">
      <c r="A106" s="4">
        <v>45564.45486111111</v>
      </c>
      <c r="B106" s="9">
        <f>IFERROR(__xludf.DUMMYFUNCTION("SPLIT(A106,"" "")"),45564.0)</f>
        <v>45564</v>
      </c>
      <c r="C106" s="10">
        <f>IFERROR(__xludf.DUMMYFUNCTION("""COMPUTED_VALUE"""),0.4548611111111111)</f>
        <v>0.4548611111</v>
      </c>
      <c r="D106" s="2">
        <f t="shared" si="1"/>
        <v>10</v>
      </c>
      <c r="E106" s="2">
        <f>IFERROR(__xludf.DUMMYFUNCTION("SPLIT(B106,""/"")"),29.0)</f>
        <v>29</v>
      </c>
      <c r="F106" s="2">
        <f>IFERROR(__xludf.DUMMYFUNCTION("""COMPUTED_VALUE"""),9.0)</f>
        <v>9</v>
      </c>
      <c r="G106" s="2">
        <f>IFERROR(__xludf.DUMMYFUNCTION("""COMPUTED_VALUE"""),2024.0)</f>
        <v>2024</v>
      </c>
      <c r="H106" s="2" t="str">
        <f t="shared" si="2"/>
        <v>2024/9/29</v>
      </c>
      <c r="I106" s="2" t="s">
        <v>1596</v>
      </c>
      <c r="J106" s="2" t="str">
        <f t="shared" si="3"/>
        <v>Roti Cranberry</v>
      </c>
      <c r="K106" s="7">
        <f>if(RIGHT(I106,5)="2 pcs",2,Data!I106)</f>
        <v>2</v>
      </c>
      <c r="L106" s="2" t="str">
        <f t="shared" si="4"/>
        <v>Sunday</v>
      </c>
      <c r="M106" s="2" t="str">
        <f t="shared" si="5"/>
        <v>29</v>
      </c>
      <c r="N106" s="2">
        <f>VLOOKUP(L106,'Data Info'!$A$1:$B$8,2,0)</f>
        <v>7</v>
      </c>
      <c r="O106" s="2" t="str">
        <f>VLOOKUP(L106,'Data Info'!$A$1:$C$8,3,0)</f>
        <v>Weekend</v>
      </c>
    </row>
    <row r="107">
      <c r="A107" s="4">
        <v>45564.41180555556</v>
      </c>
      <c r="B107" s="9">
        <f>IFERROR(__xludf.DUMMYFUNCTION("SPLIT(A107,"" "")"),45564.0)</f>
        <v>45564</v>
      </c>
      <c r="C107" s="10">
        <f>IFERROR(__xludf.DUMMYFUNCTION("""COMPUTED_VALUE"""),0.41180555555555554)</f>
        <v>0.4118055556</v>
      </c>
      <c r="D107" s="2">
        <f t="shared" si="1"/>
        <v>9</v>
      </c>
      <c r="E107" s="2">
        <f>IFERROR(__xludf.DUMMYFUNCTION("SPLIT(B107,""/"")"),29.0)</f>
        <v>29</v>
      </c>
      <c r="F107" s="2">
        <f>IFERROR(__xludf.DUMMYFUNCTION("""COMPUTED_VALUE"""),9.0)</f>
        <v>9</v>
      </c>
      <c r="G107" s="2">
        <f>IFERROR(__xludf.DUMMYFUNCTION("""COMPUTED_VALUE"""),2024.0)</f>
        <v>2024</v>
      </c>
      <c r="H107" s="2" t="str">
        <f t="shared" si="2"/>
        <v>2024/9/29</v>
      </c>
      <c r="I107" s="2" t="s">
        <v>1583</v>
      </c>
      <c r="J107" s="2" t="str">
        <f t="shared" si="3"/>
        <v>Es Kopi Lemon</v>
      </c>
      <c r="K107" s="7">
        <f>if(RIGHT(I107,5)="2 pcs",2,Data!I107)</f>
        <v>1</v>
      </c>
      <c r="L107" s="2" t="str">
        <f t="shared" si="4"/>
        <v>Sunday</v>
      </c>
      <c r="M107" s="2" t="str">
        <f t="shared" si="5"/>
        <v>29</v>
      </c>
      <c r="N107" s="2">
        <f>VLOOKUP(L107,'Data Info'!$A$1:$B$8,2,0)</f>
        <v>7</v>
      </c>
      <c r="O107" s="2" t="str">
        <f>VLOOKUP(L107,'Data Info'!$A$1:$C$8,3,0)</f>
        <v>Weekend</v>
      </c>
    </row>
    <row r="108">
      <c r="A108" s="4">
        <v>45564.41180555556</v>
      </c>
      <c r="B108" s="9">
        <f>IFERROR(__xludf.DUMMYFUNCTION("SPLIT(A108,"" "")"),45564.0)</f>
        <v>45564</v>
      </c>
      <c r="C108" s="10">
        <f>IFERROR(__xludf.DUMMYFUNCTION("""COMPUTED_VALUE"""),0.41180555555555554)</f>
        <v>0.4118055556</v>
      </c>
      <c r="D108" s="2">
        <f t="shared" si="1"/>
        <v>9</v>
      </c>
      <c r="E108" s="2">
        <f>IFERROR(__xludf.DUMMYFUNCTION("SPLIT(B108,""/"")"),29.0)</f>
        <v>29</v>
      </c>
      <c r="F108" s="2">
        <f>IFERROR(__xludf.DUMMYFUNCTION("""COMPUTED_VALUE"""),9.0)</f>
        <v>9</v>
      </c>
      <c r="G108" s="2">
        <f>IFERROR(__xludf.DUMMYFUNCTION("""COMPUTED_VALUE"""),2024.0)</f>
        <v>2024</v>
      </c>
      <c r="H108" s="2" t="str">
        <f t="shared" si="2"/>
        <v>2024/9/29</v>
      </c>
      <c r="I108" s="2" t="s">
        <v>1601</v>
      </c>
      <c r="J108" s="2" t="str">
        <f t="shared" si="3"/>
        <v>Gula Asam Dingin</v>
      </c>
      <c r="K108" s="7">
        <f>if(RIGHT(I108,5)="2 pcs",2,Data!I108)</f>
        <v>1</v>
      </c>
      <c r="L108" s="2" t="str">
        <f t="shared" si="4"/>
        <v>Sunday</v>
      </c>
      <c r="M108" s="2" t="str">
        <f t="shared" si="5"/>
        <v>29</v>
      </c>
      <c r="N108" s="2">
        <f>VLOOKUP(L108,'Data Info'!$A$1:$B$8,2,0)</f>
        <v>7</v>
      </c>
      <c r="O108" s="2" t="str">
        <f>VLOOKUP(L108,'Data Info'!$A$1:$C$8,3,0)</f>
        <v>Weekend</v>
      </c>
    </row>
    <row r="109">
      <c r="A109" s="4">
        <v>45564.41180555556</v>
      </c>
      <c r="B109" s="9">
        <f>IFERROR(__xludf.DUMMYFUNCTION("SPLIT(A109,"" "")"),45564.0)</f>
        <v>45564</v>
      </c>
      <c r="C109" s="10">
        <f>IFERROR(__xludf.DUMMYFUNCTION("""COMPUTED_VALUE"""),0.41180555555555554)</f>
        <v>0.4118055556</v>
      </c>
      <c r="D109" s="2">
        <f t="shared" si="1"/>
        <v>9</v>
      </c>
      <c r="E109" s="2">
        <f>IFERROR(__xludf.DUMMYFUNCTION("SPLIT(B109,""/"")"),29.0)</f>
        <v>29</v>
      </c>
      <c r="F109" s="2">
        <f>IFERROR(__xludf.DUMMYFUNCTION("""COMPUTED_VALUE"""),9.0)</f>
        <v>9</v>
      </c>
      <c r="G109" s="2">
        <f>IFERROR(__xludf.DUMMYFUNCTION("""COMPUTED_VALUE"""),2024.0)</f>
        <v>2024</v>
      </c>
      <c r="H109" s="2" t="str">
        <f t="shared" si="2"/>
        <v>2024/9/29</v>
      </c>
      <c r="I109" s="2" t="s">
        <v>1588</v>
      </c>
      <c r="J109" s="2" t="str">
        <f t="shared" si="3"/>
        <v>Es Kopi Susu</v>
      </c>
      <c r="K109" s="7">
        <f>if(RIGHT(I109,5)="2 pcs",2,Data!I109)</f>
        <v>1</v>
      </c>
      <c r="L109" s="2" t="str">
        <f t="shared" si="4"/>
        <v>Sunday</v>
      </c>
      <c r="M109" s="2" t="str">
        <f t="shared" si="5"/>
        <v>29</v>
      </c>
      <c r="N109" s="2">
        <f>VLOOKUP(L109,'Data Info'!$A$1:$B$8,2,0)</f>
        <v>7</v>
      </c>
      <c r="O109" s="2" t="str">
        <f>VLOOKUP(L109,'Data Info'!$A$1:$C$8,3,0)</f>
        <v>Weekend</v>
      </c>
    </row>
    <row r="110">
      <c r="A110" s="4">
        <v>45564.41180555556</v>
      </c>
      <c r="B110" s="9">
        <f>IFERROR(__xludf.DUMMYFUNCTION("SPLIT(A110,"" "")"),45564.0)</f>
        <v>45564</v>
      </c>
      <c r="C110" s="10">
        <f>IFERROR(__xludf.DUMMYFUNCTION("""COMPUTED_VALUE"""),0.41180555555555554)</f>
        <v>0.4118055556</v>
      </c>
      <c r="D110" s="2">
        <f t="shared" si="1"/>
        <v>9</v>
      </c>
      <c r="E110" s="2">
        <f>IFERROR(__xludf.DUMMYFUNCTION("SPLIT(B110,""/"")"),29.0)</f>
        <v>29</v>
      </c>
      <c r="F110" s="2">
        <f>IFERROR(__xludf.DUMMYFUNCTION("""COMPUTED_VALUE"""),9.0)</f>
        <v>9</v>
      </c>
      <c r="G110" s="2">
        <f>IFERROR(__xludf.DUMMYFUNCTION("""COMPUTED_VALUE"""),2024.0)</f>
        <v>2024</v>
      </c>
      <c r="H110" s="2" t="str">
        <f t="shared" si="2"/>
        <v>2024/9/29</v>
      </c>
      <c r="I110" s="2" t="s">
        <v>1609</v>
      </c>
      <c r="J110" s="2" t="str">
        <f t="shared" si="3"/>
        <v>Tempe Mendoan</v>
      </c>
      <c r="K110" s="7">
        <f>if(RIGHT(I110,5)="2 pcs",2,Data!I110)</f>
        <v>1</v>
      </c>
      <c r="L110" s="2" t="str">
        <f t="shared" si="4"/>
        <v>Sunday</v>
      </c>
      <c r="M110" s="2" t="str">
        <f t="shared" si="5"/>
        <v>29</v>
      </c>
      <c r="N110" s="2">
        <f>VLOOKUP(L110,'Data Info'!$A$1:$B$8,2,0)</f>
        <v>7</v>
      </c>
      <c r="O110" s="2" t="str">
        <f>VLOOKUP(L110,'Data Info'!$A$1:$C$8,3,0)</f>
        <v>Weekend</v>
      </c>
    </row>
    <row r="111">
      <c r="A111" s="4">
        <v>45564.41180555556</v>
      </c>
      <c r="B111" s="9">
        <f>IFERROR(__xludf.DUMMYFUNCTION("SPLIT(A111,"" "")"),45564.0)</f>
        <v>45564</v>
      </c>
      <c r="C111" s="10">
        <f>IFERROR(__xludf.DUMMYFUNCTION("""COMPUTED_VALUE"""),0.41180555555555554)</f>
        <v>0.4118055556</v>
      </c>
      <c r="D111" s="2">
        <f t="shared" si="1"/>
        <v>9</v>
      </c>
      <c r="E111" s="2">
        <f>IFERROR(__xludf.DUMMYFUNCTION("SPLIT(B111,""/"")"),29.0)</f>
        <v>29</v>
      </c>
      <c r="F111" s="2">
        <f>IFERROR(__xludf.DUMMYFUNCTION("""COMPUTED_VALUE"""),9.0)</f>
        <v>9</v>
      </c>
      <c r="G111" s="2">
        <f>IFERROR(__xludf.DUMMYFUNCTION("""COMPUTED_VALUE"""),2024.0)</f>
        <v>2024</v>
      </c>
      <c r="H111" s="2" t="str">
        <f t="shared" si="2"/>
        <v>2024/9/29</v>
      </c>
      <c r="I111" s="2" t="s">
        <v>1596</v>
      </c>
      <c r="J111" s="2" t="str">
        <f t="shared" si="3"/>
        <v>Roti Cranberry</v>
      </c>
      <c r="K111" s="7">
        <f>if(RIGHT(I111,5)="2 pcs",2,Data!I111)</f>
        <v>2</v>
      </c>
      <c r="L111" s="2" t="str">
        <f t="shared" si="4"/>
        <v>Sunday</v>
      </c>
      <c r="M111" s="2" t="str">
        <f t="shared" si="5"/>
        <v>29</v>
      </c>
      <c r="N111" s="2">
        <f>VLOOKUP(L111,'Data Info'!$A$1:$B$8,2,0)</f>
        <v>7</v>
      </c>
      <c r="O111" s="2" t="str">
        <f>VLOOKUP(L111,'Data Info'!$A$1:$C$8,3,0)</f>
        <v>Weekend</v>
      </c>
    </row>
    <row r="112">
      <c r="A112" s="4">
        <v>45564.39513888889</v>
      </c>
      <c r="B112" s="9">
        <f>IFERROR(__xludf.DUMMYFUNCTION("SPLIT(A112,"" "")"),45564.0)</f>
        <v>45564</v>
      </c>
      <c r="C112" s="10">
        <f>IFERROR(__xludf.DUMMYFUNCTION("""COMPUTED_VALUE"""),0.3951388888888889)</f>
        <v>0.3951388889</v>
      </c>
      <c r="D112" s="2">
        <f t="shared" si="1"/>
        <v>9</v>
      </c>
      <c r="E112" s="2">
        <f>IFERROR(__xludf.DUMMYFUNCTION("SPLIT(B112,""/"")"),29.0)</f>
        <v>29</v>
      </c>
      <c r="F112" s="2">
        <f>IFERROR(__xludf.DUMMYFUNCTION("""COMPUTED_VALUE"""),9.0)</f>
        <v>9</v>
      </c>
      <c r="G112" s="2">
        <f>IFERROR(__xludf.DUMMYFUNCTION("""COMPUTED_VALUE"""),2024.0)</f>
        <v>2024</v>
      </c>
      <c r="H112" s="2" t="str">
        <f t="shared" si="2"/>
        <v>2024/9/29</v>
      </c>
      <c r="I112" s="2" t="s">
        <v>1566</v>
      </c>
      <c r="J112" s="2" t="str">
        <f t="shared" si="3"/>
        <v>Roti Bawang Saus Keju</v>
      </c>
      <c r="K112" s="7">
        <f>if(RIGHT(I112,5)="2 pcs",2,Data!I112)</f>
        <v>1</v>
      </c>
      <c r="L112" s="2" t="str">
        <f t="shared" si="4"/>
        <v>Sunday</v>
      </c>
      <c r="M112" s="2" t="str">
        <f t="shared" si="5"/>
        <v>29</v>
      </c>
      <c r="N112" s="2">
        <f>VLOOKUP(L112,'Data Info'!$A$1:$B$8,2,0)</f>
        <v>7</v>
      </c>
      <c r="O112" s="2" t="str">
        <f>VLOOKUP(L112,'Data Info'!$A$1:$C$8,3,0)</f>
        <v>Weekend</v>
      </c>
    </row>
    <row r="113">
      <c r="A113" s="4">
        <v>45564.36597222222</v>
      </c>
      <c r="B113" s="9">
        <f>IFERROR(__xludf.DUMMYFUNCTION("SPLIT(A113,"" "")"),45564.0)</f>
        <v>45564</v>
      </c>
      <c r="C113" s="10">
        <f>IFERROR(__xludf.DUMMYFUNCTION("""COMPUTED_VALUE"""),0.3659722222222222)</f>
        <v>0.3659722222</v>
      </c>
      <c r="D113" s="2">
        <f t="shared" si="1"/>
        <v>8</v>
      </c>
      <c r="E113" s="2">
        <f>IFERROR(__xludf.DUMMYFUNCTION("SPLIT(B113,""/"")"),29.0)</f>
        <v>29</v>
      </c>
      <c r="F113" s="2">
        <f>IFERROR(__xludf.DUMMYFUNCTION("""COMPUTED_VALUE"""),9.0)</f>
        <v>9</v>
      </c>
      <c r="G113" s="2">
        <f>IFERROR(__xludf.DUMMYFUNCTION("""COMPUTED_VALUE"""),2024.0)</f>
        <v>2024</v>
      </c>
      <c r="H113" s="2" t="str">
        <f t="shared" si="2"/>
        <v>2024/9/29</v>
      </c>
      <c r="I113" s="2" t="s">
        <v>1595</v>
      </c>
      <c r="J113" s="2" t="str">
        <f t="shared" si="3"/>
        <v>Roti Gandum Cokelat</v>
      </c>
      <c r="K113" s="7">
        <f>if(RIGHT(I113,5)="2 pcs",2,Data!I113)</f>
        <v>-1</v>
      </c>
      <c r="L113" s="2" t="str">
        <f t="shared" si="4"/>
        <v>Sunday</v>
      </c>
      <c r="M113" s="2" t="str">
        <f t="shared" si="5"/>
        <v>29</v>
      </c>
      <c r="N113" s="2">
        <f>VLOOKUP(L113,'Data Info'!$A$1:$B$8,2,0)</f>
        <v>7</v>
      </c>
      <c r="O113" s="2" t="str">
        <f>VLOOKUP(L113,'Data Info'!$A$1:$C$8,3,0)</f>
        <v>Weekend</v>
      </c>
    </row>
    <row r="114">
      <c r="A114" s="4">
        <v>45564.36597222222</v>
      </c>
      <c r="B114" s="9">
        <f>IFERROR(__xludf.DUMMYFUNCTION("SPLIT(A114,"" "")"),45564.0)</f>
        <v>45564</v>
      </c>
      <c r="C114" s="10">
        <f>IFERROR(__xludf.DUMMYFUNCTION("""COMPUTED_VALUE"""),0.3659722222222222)</f>
        <v>0.3659722222</v>
      </c>
      <c r="D114" s="2">
        <f t="shared" si="1"/>
        <v>8</v>
      </c>
      <c r="E114" s="2">
        <f>IFERROR(__xludf.DUMMYFUNCTION("SPLIT(B114,""/"")"),29.0)</f>
        <v>29</v>
      </c>
      <c r="F114" s="2">
        <f>IFERROR(__xludf.DUMMYFUNCTION("""COMPUTED_VALUE"""),9.0)</f>
        <v>9</v>
      </c>
      <c r="G114" s="2">
        <f>IFERROR(__xludf.DUMMYFUNCTION("""COMPUTED_VALUE"""),2024.0)</f>
        <v>2024</v>
      </c>
      <c r="H114" s="2" t="str">
        <f t="shared" si="2"/>
        <v>2024/9/29</v>
      </c>
      <c r="I114" s="2" t="s">
        <v>1596</v>
      </c>
      <c r="J114" s="2" t="str">
        <f t="shared" si="3"/>
        <v>Roti Cranberry</v>
      </c>
      <c r="K114" s="7">
        <f>if(RIGHT(I114,5)="2 pcs",2,Data!I114)</f>
        <v>2</v>
      </c>
      <c r="L114" s="2" t="str">
        <f t="shared" si="4"/>
        <v>Sunday</v>
      </c>
      <c r="M114" s="2" t="str">
        <f t="shared" si="5"/>
        <v>29</v>
      </c>
      <c r="N114" s="2">
        <f>VLOOKUP(L114,'Data Info'!$A$1:$B$8,2,0)</f>
        <v>7</v>
      </c>
      <c r="O114" s="2" t="str">
        <f>VLOOKUP(L114,'Data Info'!$A$1:$C$8,3,0)</f>
        <v>Weekend</v>
      </c>
    </row>
    <row r="115">
      <c r="A115" s="4">
        <v>45564.365277777775</v>
      </c>
      <c r="B115" s="9">
        <f>IFERROR(__xludf.DUMMYFUNCTION("SPLIT(A115,"" "")"),45564.0)</f>
        <v>45564</v>
      </c>
      <c r="C115" s="10">
        <f>IFERROR(__xludf.DUMMYFUNCTION("""COMPUTED_VALUE"""),0.36527777777777776)</f>
        <v>0.3652777778</v>
      </c>
      <c r="D115" s="2">
        <f t="shared" si="1"/>
        <v>8</v>
      </c>
      <c r="E115" s="2">
        <f>IFERROR(__xludf.DUMMYFUNCTION("SPLIT(B115,""/"")"),29.0)</f>
        <v>29</v>
      </c>
      <c r="F115" s="2">
        <f>IFERROR(__xludf.DUMMYFUNCTION("""COMPUTED_VALUE"""),9.0)</f>
        <v>9</v>
      </c>
      <c r="G115" s="2">
        <f>IFERROR(__xludf.DUMMYFUNCTION("""COMPUTED_VALUE"""),2024.0)</f>
        <v>2024</v>
      </c>
      <c r="H115" s="2" t="str">
        <f t="shared" si="2"/>
        <v>2024/9/29</v>
      </c>
      <c r="I115" s="2" t="s">
        <v>1595</v>
      </c>
      <c r="J115" s="2" t="str">
        <f t="shared" si="3"/>
        <v>Roti Gandum Cokelat</v>
      </c>
      <c r="K115" s="7">
        <f>if(RIGHT(I115,5)="2 pcs",2,Data!I115)</f>
        <v>1</v>
      </c>
      <c r="L115" s="2" t="str">
        <f t="shared" si="4"/>
        <v>Sunday</v>
      </c>
      <c r="M115" s="2" t="str">
        <f t="shared" si="5"/>
        <v>29</v>
      </c>
      <c r="N115" s="2">
        <f>VLOOKUP(L115,'Data Info'!$A$1:$B$8,2,0)</f>
        <v>7</v>
      </c>
      <c r="O115" s="2" t="str">
        <f>VLOOKUP(L115,'Data Info'!$A$1:$C$8,3,0)</f>
        <v>Weekend</v>
      </c>
    </row>
    <row r="116">
      <c r="A116" s="4">
        <v>45564.365277777775</v>
      </c>
      <c r="B116" s="9">
        <f>IFERROR(__xludf.DUMMYFUNCTION("SPLIT(A116,"" "")"),45564.0)</f>
        <v>45564</v>
      </c>
      <c r="C116" s="10">
        <f>IFERROR(__xludf.DUMMYFUNCTION("""COMPUTED_VALUE"""),0.36527777777777776)</f>
        <v>0.3652777778</v>
      </c>
      <c r="D116" s="2">
        <f t="shared" si="1"/>
        <v>8</v>
      </c>
      <c r="E116" s="2">
        <f>IFERROR(__xludf.DUMMYFUNCTION("SPLIT(B116,""/"")"),29.0)</f>
        <v>29</v>
      </c>
      <c r="F116" s="2">
        <f>IFERROR(__xludf.DUMMYFUNCTION("""COMPUTED_VALUE"""),9.0)</f>
        <v>9</v>
      </c>
      <c r="G116" s="2">
        <f>IFERROR(__xludf.DUMMYFUNCTION("""COMPUTED_VALUE"""),2024.0)</f>
        <v>2024</v>
      </c>
      <c r="H116" s="2" t="str">
        <f t="shared" si="2"/>
        <v>2024/9/29</v>
      </c>
      <c r="I116" s="2" t="s">
        <v>1596</v>
      </c>
      <c r="J116" s="2" t="str">
        <f t="shared" si="3"/>
        <v>Roti Cranberry</v>
      </c>
      <c r="K116" s="7">
        <f>if(RIGHT(I116,5)="2 pcs",2,Data!I116)</f>
        <v>2</v>
      </c>
      <c r="L116" s="2" t="str">
        <f t="shared" si="4"/>
        <v>Sunday</v>
      </c>
      <c r="M116" s="2" t="str">
        <f t="shared" si="5"/>
        <v>29</v>
      </c>
      <c r="N116" s="2">
        <f>VLOOKUP(L116,'Data Info'!$A$1:$B$8,2,0)</f>
        <v>7</v>
      </c>
      <c r="O116" s="2" t="str">
        <f>VLOOKUP(L116,'Data Info'!$A$1:$C$8,3,0)</f>
        <v>Weekend</v>
      </c>
    </row>
    <row r="117">
      <c r="A117" s="4">
        <v>45563.875</v>
      </c>
      <c r="B117" s="9">
        <f>IFERROR(__xludf.DUMMYFUNCTION("SPLIT(A117,"" "")"),45563.0)</f>
        <v>45563</v>
      </c>
      <c r="C117" s="10">
        <f>IFERROR(__xludf.DUMMYFUNCTION("""COMPUTED_VALUE"""),0.875)</f>
        <v>0.875</v>
      </c>
      <c r="D117" s="2">
        <f t="shared" si="1"/>
        <v>21</v>
      </c>
      <c r="E117" s="2">
        <f>IFERROR(__xludf.DUMMYFUNCTION("SPLIT(B117,""/"")"),28.0)</f>
        <v>28</v>
      </c>
      <c r="F117" s="2">
        <f>IFERROR(__xludf.DUMMYFUNCTION("""COMPUTED_VALUE"""),9.0)</f>
        <v>9</v>
      </c>
      <c r="G117" s="2">
        <f>IFERROR(__xludf.DUMMYFUNCTION("""COMPUTED_VALUE"""),2024.0)</f>
        <v>2024</v>
      </c>
      <c r="H117" s="2" t="str">
        <f t="shared" si="2"/>
        <v>2024/9/28</v>
      </c>
      <c r="I117" s="2" t="s">
        <v>1607</v>
      </c>
      <c r="J117" s="2" t="str">
        <f t="shared" si="3"/>
        <v>Tahu walik</v>
      </c>
      <c r="K117" s="7">
        <f>if(RIGHT(I117,5)="2 pcs",2,Data!I117)</f>
        <v>1</v>
      </c>
      <c r="L117" s="2" t="str">
        <f t="shared" si="4"/>
        <v>Saturday</v>
      </c>
      <c r="M117" s="2" t="str">
        <f t="shared" si="5"/>
        <v>28</v>
      </c>
      <c r="N117" s="2">
        <f>VLOOKUP(L117,'Data Info'!$A$1:$B$8,2,0)</f>
        <v>6</v>
      </c>
      <c r="O117" s="2" t="str">
        <f>VLOOKUP(L117,'Data Info'!$A$1:$C$8,3,0)</f>
        <v>Weekend</v>
      </c>
    </row>
    <row r="118">
      <c r="A118" s="4">
        <v>45563.81805555556</v>
      </c>
      <c r="B118" s="9">
        <f>IFERROR(__xludf.DUMMYFUNCTION("SPLIT(A118,"" "")"),45563.0)</f>
        <v>45563</v>
      </c>
      <c r="C118" s="10">
        <f>IFERROR(__xludf.DUMMYFUNCTION("""COMPUTED_VALUE"""),0.8180555555555555)</f>
        <v>0.8180555556</v>
      </c>
      <c r="D118" s="2">
        <f t="shared" si="1"/>
        <v>19</v>
      </c>
      <c r="E118" s="2">
        <f>IFERROR(__xludf.DUMMYFUNCTION("SPLIT(B118,""/"")"),28.0)</f>
        <v>28</v>
      </c>
      <c r="F118" s="2">
        <f>IFERROR(__xludf.DUMMYFUNCTION("""COMPUTED_VALUE"""),9.0)</f>
        <v>9</v>
      </c>
      <c r="G118" s="2">
        <f>IFERROR(__xludf.DUMMYFUNCTION("""COMPUTED_VALUE"""),2024.0)</f>
        <v>2024</v>
      </c>
      <c r="H118" s="2" t="str">
        <f t="shared" si="2"/>
        <v>2024/9/28</v>
      </c>
      <c r="I118" s="2" t="s">
        <v>1591</v>
      </c>
      <c r="J118" s="2" t="str">
        <f t="shared" si="3"/>
        <v>Kopi cur</v>
      </c>
      <c r="K118" s="7">
        <f>if(RIGHT(I118,5)="2 pcs",2,Data!I118)</f>
        <v>1</v>
      </c>
      <c r="L118" s="2" t="str">
        <f t="shared" si="4"/>
        <v>Saturday</v>
      </c>
      <c r="M118" s="2" t="str">
        <f t="shared" si="5"/>
        <v>28</v>
      </c>
      <c r="N118" s="2">
        <f>VLOOKUP(L118,'Data Info'!$A$1:$B$8,2,0)</f>
        <v>6</v>
      </c>
      <c r="O118" s="2" t="str">
        <f>VLOOKUP(L118,'Data Info'!$A$1:$C$8,3,0)</f>
        <v>Weekend</v>
      </c>
    </row>
    <row r="119">
      <c r="A119" s="4">
        <v>45563.81805555556</v>
      </c>
      <c r="B119" s="9">
        <f>IFERROR(__xludf.DUMMYFUNCTION("SPLIT(A119,"" "")"),45563.0)</f>
        <v>45563</v>
      </c>
      <c r="C119" s="10">
        <f>IFERROR(__xludf.DUMMYFUNCTION("""COMPUTED_VALUE"""),0.8180555555555555)</f>
        <v>0.8180555556</v>
      </c>
      <c r="D119" s="2">
        <f t="shared" si="1"/>
        <v>19</v>
      </c>
      <c r="E119" s="2">
        <f>IFERROR(__xludf.DUMMYFUNCTION("SPLIT(B119,""/"")"),28.0)</f>
        <v>28</v>
      </c>
      <c r="F119" s="2">
        <f>IFERROR(__xludf.DUMMYFUNCTION("""COMPUTED_VALUE"""),9.0)</f>
        <v>9</v>
      </c>
      <c r="G119" s="2">
        <f>IFERROR(__xludf.DUMMYFUNCTION("""COMPUTED_VALUE"""),2024.0)</f>
        <v>2024</v>
      </c>
      <c r="H119" s="2" t="str">
        <f t="shared" si="2"/>
        <v>2024/9/28</v>
      </c>
      <c r="I119" s="2" t="s">
        <v>1593</v>
      </c>
      <c r="J119" s="2" t="str">
        <f t="shared" si="3"/>
        <v>Wedang laut</v>
      </c>
      <c r="K119" s="7">
        <f>if(RIGHT(I119,5)="2 pcs",2,Data!I119)</f>
        <v>1</v>
      </c>
      <c r="L119" s="2" t="str">
        <f t="shared" si="4"/>
        <v>Saturday</v>
      </c>
      <c r="M119" s="2" t="str">
        <f t="shared" si="5"/>
        <v>28</v>
      </c>
      <c r="N119" s="2">
        <f>VLOOKUP(L119,'Data Info'!$A$1:$B$8,2,0)</f>
        <v>6</v>
      </c>
      <c r="O119" s="2" t="str">
        <f>VLOOKUP(L119,'Data Info'!$A$1:$C$8,3,0)</f>
        <v>Weekend</v>
      </c>
    </row>
    <row r="120">
      <c r="A120" s="4">
        <v>45563.81805555556</v>
      </c>
      <c r="B120" s="9">
        <f>IFERROR(__xludf.DUMMYFUNCTION("SPLIT(A120,"" "")"),45563.0)</f>
        <v>45563</v>
      </c>
      <c r="C120" s="10">
        <f>IFERROR(__xludf.DUMMYFUNCTION("""COMPUTED_VALUE"""),0.8180555555555555)</f>
        <v>0.8180555556</v>
      </c>
      <c r="D120" s="2">
        <f t="shared" si="1"/>
        <v>19</v>
      </c>
      <c r="E120" s="2">
        <f>IFERROR(__xludf.DUMMYFUNCTION("SPLIT(B120,""/"")"),28.0)</f>
        <v>28</v>
      </c>
      <c r="F120" s="2">
        <f>IFERROR(__xludf.DUMMYFUNCTION("""COMPUTED_VALUE"""),9.0)</f>
        <v>9</v>
      </c>
      <c r="G120" s="2">
        <f>IFERROR(__xludf.DUMMYFUNCTION("""COMPUTED_VALUE"""),2024.0)</f>
        <v>2024</v>
      </c>
      <c r="H120" s="2" t="str">
        <f t="shared" si="2"/>
        <v>2024/9/28</v>
      </c>
      <c r="I120" s="2" t="s">
        <v>1566</v>
      </c>
      <c r="J120" s="2" t="str">
        <f t="shared" si="3"/>
        <v>Roti Bawang Saus Keju</v>
      </c>
      <c r="K120" s="7">
        <f>if(RIGHT(I120,5)="2 pcs",2,Data!I120)</f>
        <v>1</v>
      </c>
      <c r="L120" s="2" t="str">
        <f t="shared" si="4"/>
        <v>Saturday</v>
      </c>
      <c r="M120" s="2" t="str">
        <f t="shared" si="5"/>
        <v>28</v>
      </c>
      <c r="N120" s="2">
        <f>VLOOKUP(L120,'Data Info'!$A$1:$B$8,2,0)</f>
        <v>6</v>
      </c>
      <c r="O120" s="2" t="str">
        <f>VLOOKUP(L120,'Data Info'!$A$1:$C$8,3,0)</f>
        <v>Weekend</v>
      </c>
    </row>
    <row r="121">
      <c r="A121" s="4">
        <v>45563.81180555555</v>
      </c>
      <c r="B121" s="9">
        <f>IFERROR(__xludf.DUMMYFUNCTION("SPLIT(A121,"" "")"),45563.0)</f>
        <v>45563</v>
      </c>
      <c r="C121" s="10">
        <f>IFERROR(__xludf.DUMMYFUNCTION("""COMPUTED_VALUE"""),0.8118055555555556)</f>
        <v>0.8118055556</v>
      </c>
      <c r="D121" s="2">
        <f t="shared" si="1"/>
        <v>19</v>
      </c>
      <c r="E121" s="2">
        <f>IFERROR(__xludf.DUMMYFUNCTION("SPLIT(B121,""/"")"),28.0)</f>
        <v>28</v>
      </c>
      <c r="F121" s="2">
        <f>IFERROR(__xludf.DUMMYFUNCTION("""COMPUTED_VALUE"""),9.0)</f>
        <v>9</v>
      </c>
      <c r="G121" s="2">
        <f>IFERROR(__xludf.DUMMYFUNCTION("""COMPUTED_VALUE"""),2024.0)</f>
        <v>2024</v>
      </c>
      <c r="H121" s="2" t="str">
        <f t="shared" si="2"/>
        <v>2024/9/28</v>
      </c>
      <c r="I121" s="2" t="s">
        <v>1610</v>
      </c>
      <c r="J121" s="2" t="str">
        <f t="shared" si="3"/>
        <v>Roti toast eskrim</v>
      </c>
      <c r="K121" s="7">
        <f>if(RIGHT(I121,5)="2 pcs",2,Data!I121)</f>
        <v>1</v>
      </c>
      <c r="L121" s="2" t="str">
        <f t="shared" si="4"/>
        <v>Saturday</v>
      </c>
      <c r="M121" s="2" t="str">
        <f t="shared" si="5"/>
        <v>28</v>
      </c>
      <c r="N121" s="2">
        <f>VLOOKUP(L121,'Data Info'!$A$1:$B$8,2,0)</f>
        <v>6</v>
      </c>
      <c r="O121" s="2" t="str">
        <f>VLOOKUP(L121,'Data Info'!$A$1:$C$8,3,0)</f>
        <v>Weekend</v>
      </c>
    </row>
    <row r="122">
      <c r="A122" s="4">
        <v>45563.81180555555</v>
      </c>
      <c r="B122" s="9">
        <f>IFERROR(__xludf.DUMMYFUNCTION("SPLIT(A122,"" "")"),45563.0)</f>
        <v>45563</v>
      </c>
      <c r="C122" s="10">
        <f>IFERROR(__xludf.DUMMYFUNCTION("""COMPUTED_VALUE"""),0.8118055555555556)</f>
        <v>0.8118055556</v>
      </c>
      <c r="D122" s="2">
        <f t="shared" si="1"/>
        <v>19</v>
      </c>
      <c r="E122" s="2">
        <f>IFERROR(__xludf.DUMMYFUNCTION("SPLIT(B122,""/"")"),28.0)</f>
        <v>28</v>
      </c>
      <c r="F122" s="2">
        <f>IFERROR(__xludf.DUMMYFUNCTION("""COMPUTED_VALUE"""),9.0)</f>
        <v>9</v>
      </c>
      <c r="G122" s="2">
        <f>IFERROR(__xludf.DUMMYFUNCTION("""COMPUTED_VALUE"""),2024.0)</f>
        <v>2024</v>
      </c>
      <c r="H122" s="2" t="str">
        <f t="shared" si="2"/>
        <v>2024/9/28</v>
      </c>
      <c r="I122" s="2" t="s">
        <v>1579</v>
      </c>
      <c r="J122" s="2" t="str">
        <f t="shared" si="3"/>
        <v>Tahu baso</v>
      </c>
      <c r="K122" s="7">
        <f>if(RIGHT(I122,5)="2 pcs",2,Data!I122)</f>
        <v>1</v>
      </c>
      <c r="L122" s="2" t="str">
        <f t="shared" si="4"/>
        <v>Saturday</v>
      </c>
      <c r="M122" s="2" t="str">
        <f t="shared" si="5"/>
        <v>28</v>
      </c>
      <c r="N122" s="2">
        <f>VLOOKUP(L122,'Data Info'!$A$1:$B$8,2,0)</f>
        <v>6</v>
      </c>
      <c r="O122" s="2" t="str">
        <f>VLOOKUP(L122,'Data Info'!$A$1:$C$8,3,0)</f>
        <v>Weekend</v>
      </c>
    </row>
    <row r="123">
      <c r="A123" s="4">
        <v>45563.78611111111</v>
      </c>
      <c r="B123" s="9">
        <f>IFERROR(__xludf.DUMMYFUNCTION("SPLIT(A123,"" "")"),45563.0)</f>
        <v>45563</v>
      </c>
      <c r="C123" s="10">
        <f>IFERROR(__xludf.DUMMYFUNCTION("""COMPUTED_VALUE"""),0.7861111111111111)</f>
        <v>0.7861111111</v>
      </c>
      <c r="D123" s="2">
        <f t="shared" si="1"/>
        <v>18</v>
      </c>
      <c r="E123" s="2">
        <f>IFERROR(__xludf.DUMMYFUNCTION("SPLIT(B123,""/"")"),28.0)</f>
        <v>28</v>
      </c>
      <c r="F123" s="2">
        <f>IFERROR(__xludf.DUMMYFUNCTION("""COMPUTED_VALUE"""),9.0)</f>
        <v>9</v>
      </c>
      <c r="G123" s="2">
        <f>IFERROR(__xludf.DUMMYFUNCTION("""COMPUTED_VALUE"""),2024.0)</f>
        <v>2024</v>
      </c>
      <c r="H123" s="2" t="str">
        <f t="shared" si="2"/>
        <v>2024/9/28</v>
      </c>
      <c r="I123" s="2" t="s">
        <v>1598</v>
      </c>
      <c r="J123" s="2" t="str">
        <f t="shared" si="3"/>
        <v>Korean Strawberry Fresh Milk</v>
      </c>
      <c r="K123" s="7">
        <f>if(RIGHT(I123,5)="2 pcs",2,Data!I123)</f>
        <v>1</v>
      </c>
      <c r="L123" s="2" t="str">
        <f t="shared" si="4"/>
        <v>Saturday</v>
      </c>
      <c r="M123" s="2" t="str">
        <f t="shared" si="5"/>
        <v>28</v>
      </c>
      <c r="N123" s="2">
        <f>VLOOKUP(L123,'Data Info'!$A$1:$B$8,2,0)</f>
        <v>6</v>
      </c>
      <c r="O123" s="2" t="str">
        <f>VLOOKUP(L123,'Data Info'!$A$1:$C$8,3,0)</f>
        <v>Weekend</v>
      </c>
    </row>
    <row r="124">
      <c r="A124" s="4">
        <v>45563.78611111111</v>
      </c>
      <c r="B124" s="9">
        <f>IFERROR(__xludf.DUMMYFUNCTION("SPLIT(A124,"" "")"),45563.0)</f>
        <v>45563</v>
      </c>
      <c r="C124" s="10">
        <f>IFERROR(__xludf.DUMMYFUNCTION("""COMPUTED_VALUE"""),0.7861111111111111)</f>
        <v>0.7861111111</v>
      </c>
      <c r="D124" s="2">
        <f t="shared" si="1"/>
        <v>18</v>
      </c>
      <c r="E124" s="2">
        <f>IFERROR(__xludf.DUMMYFUNCTION("SPLIT(B124,""/"")"),28.0)</f>
        <v>28</v>
      </c>
      <c r="F124" s="2">
        <f>IFERROR(__xludf.DUMMYFUNCTION("""COMPUTED_VALUE"""),9.0)</f>
        <v>9</v>
      </c>
      <c r="G124" s="2">
        <f>IFERROR(__xludf.DUMMYFUNCTION("""COMPUTED_VALUE"""),2024.0)</f>
        <v>2024</v>
      </c>
      <c r="H124" s="2" t="str">
        <f t="shared" si="2"/>
        <v>2024/9/28</v>
      </c>
      <c r="I124" s="2" t="s">
        <v>1581</v>
      </c>
      <c r="J124" s="2" t="str">
        <f t="shared" si="3"/>
        <v>Chicken Claypot Rice</v>
      </c>
      <c r="K124" s="7">
        <f>if(RIGHT(I124,5)="2 pcs",2,Data!I124)</f>
        <v>1</v>
      </c>
      <c r="L124" s="2" t="str">
        <f t="shared" si="4"/>
        <v>Saturday</v>
      </c>
      <c r="M124" s="2" t="str">
        <f t="shared" si="5"/>
        <v>28</v>
      </c>
      <c r="N124" s="2">
        <f>VLOOKUP(L124,'Data Info'!$A$1:$B$8,2,0)</f>
        <v>6</v>
      </c>
      <c r="O124" s="2" t="str">
        <f>VLOOKUP(L124,'Data Info'!$A$1:$C$8,3,0)</f>
        <v>Weekend</v>
      </c>
    </row>
    <row r="125">
      <c r="A125" s="4">
        <v>45563.78611111111</v>
      </c>
      <c r="B125" s="9">
        <f>IFERROR(__xludf.DUMMYFUNCTION("SPLIT(A125,"" "")"),45563.0)</f>
        <v>45563</v>
      </c>
      <c r="C125" s="10">
        <f>IFERROR(__xludf.DUMMYFUNCTION("""COMPUTED_VALUE"""),0.7861111111111111)</f>
        <v>0.7861111111</v>
      </c>
      <c r="D125" s="2">
        <f t="shared" si="1"/>
        <v>18</v>
      </c>
      <c r="E125" s="2">
        <f>IFERROR(__xludf.DUMMYFUNCTION("SPLIT(B125,""/"")"),28.0)</f>
        <v>28</v>
      </c>
      <c r="F125" s="2">
        <f>IFERROR(__xludf.DUMMYFUNCTION("""COMPUTED_VALUE"""),9.0)</f>
        <v>9</v>
      </c>
      <c r="G125" s="2">
        <f>IFERROR(__xludf.DUMMYFUNCTION("""COMPUTED_VALUE"""),2024.0)</f>
        <v>2024</v>
      </c>
      <c r="H125" s="2" t="str">
        <f t="shared" si="2"/>
        <v>2024/9/28</v>
      </c>
      <c r="I125" s="2" t="s">
        <v>1611</v>
      </c>
      <c r="J125" s="2" t="str">
        <f t="shared" si="3"/>
        <v>Beef Claypot Rice</v>
      </c>
      <c r="K125" s="7">
        <f>if(RIGHT(I125,5)="2 pcs",2,Data!I125)</f>
        <v>1</v>
      </c>
      <c r="L125" s="2" t="str">
        <f t="shared" si="4"/>
        <v>Saturday</v>
      </c>
      <c r="M125" s="2" t="str">
        <f t="shared" si="5"/>
        <v>28</v>
      </c>
      <c r="N125" s="2">
        <f>VLOOKUP(L125,'Data Info'!$A$1:$B$8,2,0)</f>
        <v>6</v>
      </c>
      <c r="O125" s="2" t="str">
        <f>VLOOKUP(L125,'Data Info'!$A$1:$C$8,3,0)</f>
        <v>Weekend</v>
      </c>
    </row>
    <row r="126">
      <c r="A126" s="4">
        <v>45563.78611111111</v>
      </c>
      <c r="B126" s="9">
        <f>IFERROR(__xludf.DUMMYFUNCTION("SPLIT(A126,"" "")"),45563.0)</f>
        <v>45563</v>
      </c>
      <c r="C126" s="10">
        <f>IFERROR(__xludf.DUMMYFUNCTION("""COMPUTED_VALUE"""),0.7861111111111111)</f>
        <v>0.7861111111</v>
      </c>
      <c r="D126" s="2">
        <f t="shared" si="1"/>
        <v>18</v>
      </c>
      <c r="E126" s="2">
        <f>IFERROR(__xludf.DUMMYFUNCTION("SPLIT(B126,""/"")"),28.0)</f>
        <v>28</v>
      </c>
      <c r="F126" s="2">
        <f>IFERROR(__xludf.DUMMYFUNCTION("""COMPUTED_VALUE"""),9.0)</f>
        <v>9</v>
      </c>
      <c r="G126" s="2">
        <f>IFERROR(__xludf.DUMMYFUNCTION("""COMPUTED_VALUE"""),2024.0)</f>
        <v>2024</v>
      </c>
      <c r="H126" s="2" t="str">
        <f t="shared" si="2"/>
        <v>2024/9/28</v>
      </c>
      <c r="I126" s="2" t="s">
        <v>1609</v>
      </c>
      <c r="J126" s="2" t="str">
        <f t="shared" si="3"/>
        <v>Tempe Mendoan</v>
      </c>
      <c r="K126" s="7">
        <f>if(RIGHT(I126,5)="2 pcs",2,Data!I126)</f>
        <v>1</v>
      </c>
      <c r="L126" s="2" t="str">
        <f t="shared" si="4"/>
        <v>Saturday</v>
      </c>
      <c r="M126" s="2" t="str">
        <f t="shared" si="5"/>
        <v>28</v>
      </c>
      <c r="N126" s="2">
        <f>VLOOKUP(L126,'Data Info'!$A$1:$B$8,2,0)</f>
        <v>6</v>
      </c>
      <c r="O126" s="2" t="str">
        <f>VLOOKUP(L126,'Data Info'!$A$1:$C$8,3,0)</f>
        <v>Weekend</v>
      </c>
    </row>
    <row r="127">
      <c r="A127" s="4">
        <v>45563.78611111111</v>
      </c>
      <c r="B127" s="9">
        <f>IFERROR(__xludf.DUMMYFUNCTION("SPLIT(A127,"" "")"),45563.0)</f>
        <v>45563</v>
      </c>
      <c r="C127" s="10">
        <f>IFERROR(__xludf.DUMMYFUNCTION("""COMPUTED_VALUE"""),0.7861111111111111)</f>
        <v>0.7861111111</v>
      </c>
      <c r="D127" s="2">
        <f t="shared" si="1"/>
        <v>18</v>
      </c>
      <c r="E127" s="2">
        <f>IFERROR(__xludf.DUMMYFUNCTION("SPLIT(B127,""/"")"),28.0)</f>
        <v>28</v>
      </c>
      <c r="F127" s="2">
        <f>IFERROR(__xludf.DUMMYFUNCTION("""COMPUTED_VALUE"""),9.0)</f>
        <v>9</v>
      </c>
      <c r="G127" s="2">
        <f>IFERROR(__xludf.DUMMYFUNCTION("""COMPUTED_VALUE"""),2024.0)</f>
        <v>2024</v>
      </c>
      <c r="H127" s="2" t="str">
        <f t="shared" si="2"/>
        <v>2024/9/28</v>
      </c>
      <c r="I127" s="2" t="s">
        <v>1603</v>
      </c>
      <c r="J127" s="2" t="str">
        <f t="shared" si="3"/>
        <v>Nasi Goreng Temu</v>
      </c>
      <c r="K127" s="7">
        <f>if(RIGHT(I127,5)="2 pcs",2,Data!I127)</f>
        <v>1</v>
      </c>
      <c r="L127" s="2" t="str">
        <f t="shared" si="4"/>
        <v>Saturday</v>
      </c>
      <c r="M127" s="2" t="str">
        <f t="shared" si="5"/>
        <v>28</v>
      </c>
      <c r="N127" s="2">
        <f>VLOOKUP(L127,'Data Info'!$A$1:$B$8,2,0)</f>
        <v>6</v>
      </c>
      <c r="O127" s="2" t="str">
        <f>VLOOKUP(L127,'Data Info'!$A$1:$C$8,3,0)</f>
        <v>Weekend</v>
      </c>
    </row>
    <row r="128">
      <c r="A128" s="4">
        <v>45563.77847222222</v>
      </c>
      <c r="B128" s="9">
        <f>IFERROR(__xludf.DUMMYFUNCTION("SPLIT(A128,"" "")"),45563.0)</f>
        <v>45563</v>
      </c>
      <c r="C128" s="10">
        <f>IFERROR(__xludf.DUMMYFUNCTION("""COMPUTED_VALUE"""),0.7784722222222222)</f>
        <v>0.7784722222</v>
      </c>
      <c r="D128" s="2">
        <f t="shared" si="1"/>
        <v>18</v>
      </c>
      <c r="E128" s="2">
        <f>IFERROR(__xludf.DUMMYFUNCTION("SPLIT(B128,""/"")"),28.0)</f>
        <v>28</v>
      </c>
      <c r="F128" s="2">
        <f>IFERROR(__xludf.DUMMYFUNCTION("""COMPUTED_VALUE"""),9.0)</f>
        <v>9</v>
      </c>
      <c r="G128" s="2">
        <f>IFERROR(__xludf.DUMMYFUNCTION("""COMPUTED_VALUE"""),2024.0)</f>
        <v>2024</v>
      </c>
      <c r="H128" s="2" t="str">
        <f t="shared" si="2"/>
        <v>2024/9/28</v>
      </c>
      <c r="I128" s="2" t="s">
        <v>1604</v>
      </c>
      <c r="J128" s="2" t="str">
        <f t="shared" si="3"/>
        <v>Teh Tawar Panas</v>
      </c>
      <c r="K128" s="7">
        <f>if(RIGHT(I128,5)="2 pcs",2,Data!I128)</f>
        <v>1</v>
      </c>
      <c r="L128" s="2" t="str">
        <f t="shared" si="4"/>
        <v>Saturday</v>
      </c>
      <c r="M128" s="2" t="str">
        <f t="shared" si="5"/>
        <v>28</v>
      </c>
      <c r="N128" s="2">
        <f>VLOOKUP(L128,'Data Info'!$A$1:$B$8,2,0)</f>
        <v>6</v>
      </c>
      <c r="O128" s="2" t="str">
        <f>VLOOKUP(L128,'Data Info'!$A$1:$C$8,3,0)</f>
        <v>Weekend</v>
      </c>
    </row>
    <row r="129">
      <c r="A129" s="4">
        <v>45563.77013888889</v>
      </c>
      <c r="B129" s="9">
        <f>IFERROR(__xludf.DUMMYFUNCTION("SPLIT(A129,"" "")"),45563.0)</f>
        <v>45563</v>
      </c>
      <c r="C129" s="10">
        <f>IFERROR(__xludf.DUMMYFUNCTION("""COMPUTED_VALUE"""),0.7701388888888889)</f>
        <v>0.7701388889</v>
      </c>
      <c r="D129" s="2">
        <f t="shared" si="1"/>
        <v>18</v>
      </c>
      <c r="E129" s="2">
        <f>IFERROR(__xludf.DUMMYFUNCTION("SPLIT(B129,""/"")"),28.0)</f>
        <v>28</v>
      </c>
      <c r="F129" s="2">
        <f>IFERROR(__xludf.DUMMYFUNCTION("""COMPUTED_VALUE"""),9.0)</f>
        <v>9</v>
      </c>
      <c r="G129" s="2">
        <f>IFERROR(__xludf.DUMMYFUNCTION("""COMPUTED_VALUE"""),2024.0)</f>
        <v>2024</v>
      </c>
      <c r="H129" s="2" t="str">
        <f t="shared" si="2"/>
        <v>2024/9/28</v>
      </c>
      <c r="I129" s="2" t="s">
        <v>1603</v>
      </c>
      <c r="J129" s="2" t="str">
        <f t="shared" si="3"/>
        <v>Nasi Goreng Temu</v>
      </c>
      <c r="K129" s="7">
        <f>if(RIGHT(I129,5)="2 pcs",2,Data!I129)</f>
        <v>1</v>
      </c>
      <c r="L129" s="2" t="str">
        <f t="shared" si="4"/>
        <v>Saturday</v>
      </c>
      <c r="M129" s="2" t="str">
        <f t="shared" si="5"/>
        <v>28</v>
      </c>
      <c r="N129" s="2">
        <f>VLOOKUP(L129,'Data Info'!$A$1:$B$8,2,0)</f>
        <v>6</v>
      </c>
      <c r="O129" s="2" t="str">
        <f>VLOOKUP(L129,'Data Info'!$A$1:$C$8,3,0)</f>
        <v>Weekend</v>
      </c>
    </row>
    <row r="130">
      <c r="A130" s="4">
        <v>45563.77013888889</v>
      </c>
      <c r="B130" s="9">
        <f>IFERROR(__xludf.DUMMYFUNCTION("SPLIT(A130,"" "")"),45563.0)</f>
        <v>45563</v>
      </c>
      <c r="C130" s="10">
        <f>IFERROR(__xludf.DUMMYFUNCTION("""COMPUTED_VALUE"""),0.7701388888888889)</f>
        <v>0.7701388889</v>
      </c>
      <c r="D130" s="2">
        <f t="shared" si="1"/>
        <v>18</v>
      </c>
      <c r="E130" s="2">
        <f>IFERROR(__xludf.DUMMYFUNCTION("SPLIT(B130,""/"")"),28.0)</f>
        <v>28</v>
      </c>
      <c r="F130" s="2">
        <f>IFERROR(__xludf.DUMMYFUNCTION("""COMPUTED_VALUE"""),9.0)</f>
        <v>9</v>
      </c>
      <c r="G130" s="2">
        <f>IFERROR(__xludf.DUMMYFUNCTION("""COMPUTED_VALUE"""),2024.0)</f>
        <v>2024</v>
      </c>
      <c r="H130" s="2" t="str">
        <f t="shared" si="2"/>
        <v>2024/9/28</v>
      </c>
      <c r="I130" s="2" t="s">
        <v>1588</v>
      </c>
      <c r="J130" s="2" t="str">
        <f t="shared" si="3"/>
        <v>Es Kopi Susu</v>
      </c>
      <c r="K130" s="7">
        <f>if(RIGHT(I130,5)="2 pcs",2,Data!I130)</f>
        <v>1</v>
      </c>
      <c r="L130" s="2" t="str">
        <f t="shared" si="4"/>
        <v>Saturday</v>
      </c>
      <c r="M130" s="2" t="str">
        <f t="shared" si="5"/>
        <v>28</v>
      </c>
      <c r="N130" s="2">
        <f>VLOOKUP(L130,'Data Info'!$A$1:$B$8,2,0)</f>
        <v>6</v>
      </c>
      <c r="O130" s="2" t="str">
        <f>VLOOKUP(L130,'Data Info'!$A$1:$C$8,3,0)</f>
        <v>Weekend</v>
      </c>
    </row>
    <row r="131">
      <c r="A131" s="4">
        <v>45563.72152777778</v>
      </c>
      <c r="B131" s="9">
        <f>IFERROR(__xludf.DUMMYFUNCTION("SPLIT(A131,"" "")"),45563.0)</f>
        <v>45563</v>
      </c>
      <c r="C131" s="10">
        <f>IFERROR(__xludf.DUMMYFUNCTION("""COMPUTED_VALUE"""),0.7215277777777778)</f>
        <v>0.7215277778</v>
      </c>
      <c r="D131" s="2">
        <f t="shared" si="1"/>
        <v>17</v>
      </c>
      <c r="E131" s="2">
        <f>IFERROR(__xludf.DUMMYFUNCTION("SPLIT(B131,""/"")"),28.0)</f>
        <v>28</v>
      </c>
      <c r="F131" s="2">
        <f>IFERROR(__xludf.DUMMYFUNCTION("""COMPUTED_VALUE"""),9.0)</f>
        <v>9</v>
      </c>
      <c r="G131" s="2">
        <f>IFERROR(__xludf.DUMMYFUNCTION("""COMPUTED_VALUE"""),2024.0)</f>
        <v>2024</v>
      </c>
      <c r="H131" s="2" t="str">
        <f t="shared" si="2"/>
        <v>2024/9/28</v>
      </c>
      <c r="I131" s="2" t="s">
        <v>1588</v>
      </c>
      <c r="J131" s="2" t="str">
        <f t="shared" si="3"/>
        <v>Es Kopi Susu</v>
      </c>
      <c r="K131" s="7">
        <f>if(RIGHT(I131,5)="2 pcs",2,Data!I131)</f>
        <v>1</v>
      </c>
      <c r="L131" s="2" t="str">
        <f t="shared" si="4"/>
        <v>Saturday</v>
      </c>
      <c r="M131" s="2" t="str">
        <f t="shared" si="5"/>
        <v>28</v>
      </c>
      <c r="N131" s="2">
        <f>VLOOKUP(L131,'Data Info'!$A$1:$B$8,2,0)</f>
        <v>6</v>
      </c>
      <c r="O131" s="2" t="str">
        <f>VLOOKUP(L131,'Data Info'!$A$1:$C$8,3,0)</f>
        <v>Weekend</v>
      </c>
    </row>
    <row r="132">
      <c r="A132" s="4">
        <v>45563.72152777778</v>
      </c>
      <c r="B132" s="9">
        <f>IFERROR(__xludf.DUMMYFUNCTION("SPLIT(A132,"" "")"),45563.0)</f>
        <v>45563</v>
      </c>
      <c r="C132" s="10">
        <f>IFERROR(__xludf.DUMMYFUNCTION("""COMPUTED_VALUE"""),0.7215277777777778)</f>
        <v>0.7215277778</v>
      </c>
      <c r="D132" s="2">
        <f t="shared" si="1"/>
        <v>17</v>
      </c>
      <c r="E132" s="2">
        <f>IFERROR(__xludf.DUMMYFUNCTION("SPLIT(B132,""/"")"),28.0)</f>
        <v>28</v>
      </c>
      <c r="F132" s="2">
        <f>IFERROR(__xludf.DUMMYFUNCTION("""COMPUTED_VALUE"""),9.0)</f>
        <v>9</v>
      </c>
      <c r="G132" s="2">
        <f>IFERROR(__xludf.DUMMYFUNCTION("""COMPUTED_VALUE"""),2024.0)</f>
        <v>2024</v>
      </c>
      <c r="H132" s="2" t="str">
        <f t="shared" si="2"/>
        <v>2024/9/28</v>
      </c>
      <c r="I132" s="2" t="s">
        <v>1612</v>
      </c>
      <c r="J132" s="2" t="str">
        <f t="shared" si="3"/>
        <v>Nasi telor</v>
      </c>
      <c r="K132" s="7">
        <f>if(RIGHT(I132,5)="2 pcs",2,Data!I132)</f>
        <v>1</v>
      </c>
      <c r="L132" s="2" t="str">
        <f t="shared" si="4"/>
        <v>Saturday</v>
      </c>
      <c r="M132" s="2" t="str">
        <f t="shared" si="5"/>
        <v>28</v>
      </c>
      <c r="N132" s="2">
        <f>VLOOKUP(L132,'Data Info'!$A$1:$B$8,2,0)</f>
        <v>6</v>
      </c>
      <c r="O132" s="2" t="str">
        <f>VLOOKUP(L132,'Data Info'!$A$1:$C$8,3,0)</f>
        <v>Weekend</v>
      </c>
    </row>
    <row r="133">
      <c r="A133" s="4">
        <v>45563.72083333333</v>
      </c>
      <c r="B133" s="9">
        <f>IFERROR(__xludf.DUMMYFUNCTION("SPLIT(A133,"" "")"),45563.0)</f>
        <v>45563</v>
      </c>
      <c r="C133" s="10">
        <f>IFERROR(__xludf.DUMMYFUNCTION("""COMPUTED_VALUE"""),0.7208333333333333)</f>
        <v>0.7208333333</v>
      </c>
      <c r="D133" s="2">
        <f t="shared" si="1"/>
        <v>17</v>
      </c>
      <c r="E133" s="2">
        <f>IFERROR(__xludf.DUMMYFUNCTION("SPLIT(B133,""/"")"),28.0)</f>
        <v>28</v>
      </c>
      <c r="F133" s="2">
        <f>IFERROR(__xludf.DUMMYFUNCTION("""COMPUTED_VALUE"""),9.0)</f>
        <v>9</v>
      </c>
      <c r="G133" s="2">
        <f>IFERROR(__xludf.DUMMYFUNCTION("""COMPUTED_VALUE"""),2024.0)</f>
        <v>2024</v>
      </c>
      <c r="H133" s="2" t="str">
        <f t="shared" si="2"/>
        <v>2024/9/28</v>
      </c>
      <c r="I133" s="2" t="s">
        <v>1588</v>
      </c>
      <c r="J133" s="2" t="str">
        <f t="shared" si="3"/>
        <v>Es Kopi Susu</v>
      </c>
      <c r="K133" s="7">
        <f>if(RIGHT(I133,5)="2 pcs",2,Data!I133)</f>
        <v>-1</v>
      </c>
      <c r="L133" s="2" t="str">
        <f t="shared" si="4"/>
        <v>Saturday</v>
      </c>
      <c r="M133" s="2" t="str">
        <f t="shared" si="5"/>
        <v>28</v>
      </c>
      <c r="N133" s="2">
        <f>VLOOKUP(L133,'Data Info'!$A$1:$B$8,2,0)</f>
        <v>6</v>
      </c>
      <c r="O133" s="2" t="str">
        <f>VLOOKUP(L133,'Data Info'!$A$1:$C$8,3,0)</f>
        <v>Weekend</v>
      </c>
    </row>
    <row r="134">
      <c r="A134" s="4">
        <v>45563.72083333333</v>
      </c>
      <c r="B134" s="9">
        <f>IFERROR(__xludf.DUMMYFUNCTION("SPLIT(A134,"" "")"),45563.0)</f>
        <v>45563</v>
      </c>
      <c r="C134" s="10">
        <f>IFERROR(__xludf.DUMMYFUNCTION("""COMPUTED_VALUE"""),0.7208333333333333)</f>
        <v>0.7208333333</v>
      </c>
      <c r="D134" s="2">
        <f t="shared" si="1"/>
        <v>17</v>
      </c>
      <c r="E134" s="2">
        <f>IFERROR(__xludf.DUMMYFUNCTION("SPLIT(B134,""/"")"),28.0)</f>
        <v>28</v>
      </c>
      <c r="F134" s="2">
        <f>IFERROR(__xludf.DUMMYFUNCTION("""COMPUTED_VALUE"""),9.0)</f>
        <v>9</v>
      </c>
      <c r="G134" s="2">
        <f>IFERROR(__xludf.DUMMYFUNCTION("""COMPUTED_VALUE"""),2024.0)</f>
        <v>2024</v>
      </c>
      <c r="H134" s="2" t="str">
        <f t="shared" si="2"/>
        <v>2024/9/28</v>
      </c>
      <c r="I134" s="2" t="s">
        <v>1612</v>
      </c>
      <c r="J134" s="2" t="str">
        <f t="shared" si="3"/>
        <v>Nasi telor</v>
      </c>
      <c r="K134" s="7">
        <f>if(RIGHT(I134,5)="2 pcs",2,Data!I134)</f>
        <v>-1</v>
      </c>
      <c r="L134" s="2" t="str">
        <f t="shared" si="4"/>
        <v>Saturday</v>
      </c>
      <c r="M134" s="2" t="str">
        <f t="shared" si="5"/>
        <v>28</v>
      </c>
      <c r="N134" s="2">
        <f>VLOOKUP(L134,'Data Info'!$A$1:$B$8,2,0)</f>
        <v>6</v>
      </c>
      <c r="O134" s="2" t="str">
        <f>VLOOKUP(L134,'Data Info'!$A$1:$C$8,3,0)</f>
        <v>Weekend</v>
      </c>
    </row>
    <row r="135">
      <c r="A135" s="4">
        <v>45563.70763888889</v>
      </c>
      <c r="B135" s="9">
        <f>IFERROR(__xludf.DUMMYFUNCTION("SPLIT(A135,"" "")"),45563.0)</f>
        <v>45563</v>
      </c>
      <c r="C135" s="10">
        <f>IFERROR(__xludf.DUMMYFUNCTION("""COMPUTED_VALUE"""),0.7076388888888889)</f>
        <v>0.7076388889</v>
      </c>
      <c r="D135" s="2">
        <f t="shared" si="1"/>
        <v>16</v>
      </c>
      <c r="E135" s="2">
        <f>IFERROR(__xludf.DUMMYFUNCTION("SPLIT(B135,""/"")"),28.0)</f>
        <v>28</v>
      </c>
      <c r="F135" s="2">
        <f>IFERROR(__xludf.DUMMYFUNCTION("""COMPUTED_VALUE"""),9.0)</f>
        <v>9</v>
      </c>
      <c r="G135" s="2">
        <f>IFERROR(__xludf.DUMMYFUNCTION("""COMPUTED_VALUE"""),2024.0)</f>
        <v>2024</v>
      </c>
      <c r="H135" s="2" t="str">
        <f t="shared" si="2"/>
        <v>2024/9/28</v>
      </c>
      <c r="I135" s="2" t="s">
        <v>1577</v>
      </c>
      <c r="J135" s="2" t="str">
        <f t="shared" si="3"/>
        <v>Rempah Madu Panas</v>
      </c>
      <c r="K135" s="7">
        <f>if(RIGHT(I135,5)="2 pcs",2,Data!I135)</f>
        <v>1</v>
      </c>
      <c r="L135" s="2" t="str">
        <f t="shared" si="4"/>
        <v>Saturday</v>
      </c>
      <c r="M135" s="2" t="str">
        <f t="shared" si="5"/>
        <v>28</v>
      </c>
      <c r="N135" s="2">
        <f>VLOOKUP(L135,'Data Info'!$A$1:$B$8,2,0)</f>
        <v>6</v>
      </c>
      <c r="O135" s="2" t="str">
        <f>VLOOKUP(L135,'Data Info'!$A$1:$C$8,3,0)</f>
        <v>Weekend</v>
      </c>
    </row>
    <row r="136">
      <c r="A136" s="4">
        <v>45563.70763888889</v>
      </c>
      <c r="B136" s="9">
        <f>IFERROR(__xludf.DUMMYFUNCTION("SPLIT(A136,"" "")"),45563.0)</f>
        <v>45563</v>
      </c>
      <c r="C136" s="10">
        <f>IFERROR(__xludf.DUMMYFUNCTION("""COMPUTED_VALUE"""),0.7076388888888889)</f>
        <v>0.7076388889</v>
      </c>
      <c r="D136" s="2">
        <f t="shared" si="1"/>
        <v>16</v>
      </c>
      <c r="E136" s="2">
        <f>IFERROR(__xludf.DUMMYFUNCTION("SPLIT(B136,""/"")"),28.0)</f>
        <v>28</v>
      </c>
      <c r="F136" s="2">
        <f>IFERROR(__xludf.DUMMYFUNCTION("""COMPUTED_VALUE"""),9.0)</f>
        <v>9</v>
      </c>
      <c r="G136" s="2">
        <f>IFERROR(__xludf.DUMMYFUNCTION("""COMPUTED_VALUE"""),2024.0)</f>
        <v>2024</v>
      </c>
      <c r="H136" s="2" t="str">
        <f t="shared" si="2"/>
        <v>2024/9/28</v>
      </c>
      <c r="I136" s="2" t="s">
        <v>1601</v>
      </c>
      <c r="J136" s="2" t="str">
        <f t="shared" si="3"/>
        <v>Gula Asam Dingin</v>
      </c>
      <c r="K136" s="7">
        <f>if(RIGHT(I136,5)="2 pcs",2,Data!I136)</f>
        <v>1</v>
      </c>
      <c r="L136" s="2" t="str">
        <f t="shared" si="4"/>
        <v>Saturday</v>
      </c>
      <c r="M136" s="2" t="str">
        <f t="shared" si="5"/>
        <v>28</v>
      </c>
      <c r="N136" s="2">
        <f>VLOOKUP(L136,'Data Info'!$A$1:$B$8,2,0)</f>
        <v>6</v>
      </c>
      <c r="O136" s="2" t="str">
        <f>VLOOKUP(L136,'Data Info'!$A$1:$C$8,3,0)</f>
        <v>Weekend</v>
      </c>
    </row>
    <row r="137">
      <c r="A137" s="4">
        <v>45563.68680555555</v>
      </c>
      <c r="B137" s="9">
        <f>IFERROR(__xludf.DUMMYFUNCTION("SPLIT(A137,"" "")"),45563.0)</f>
        <v>45563</v>
      </c>
      <c r="C137" s="10">
        <f>IFERROR(__xludf.DUMMYFUNCTION("""COMPUTED_VALUE"""),0.6868055555555556)</f>
        <v>0.6868055556</v>
      </c>
      <c r="D137" s="2">
        <f t="shared" si="1"/>
        <v>16</v>
      </c>
      <c r="E137" s="2">
        <f>IFERROR(__xludf.DUMMYFUNCTION("SPLIT(B137,""/"")"),28.0)</f>
        <v>28</v>
      </c>
      <c r="F137" s="2">
        <f>IFERROR(__xludf.DUMMYFUNCTION("""COMPUTED_VALUE"""),9.0)</f>
        <v>9</v>
      </c>
      <c r="G137" s="2">
        <f>IFERROR(__xludf.DUMMYFUNCTION("""COMPUTED_VALUE"""),2024.0)</f>
        <v>2024</v>
      </c>
      <c r="H137" s="2" t="str">
        <f t="shared" si="2"/>
        <v>2024/9/28</v>
      </c>
      <c r="I137" s="2" t="s">
        <v>1608</v>
      </c>
      <c r="J137" s="2" t="str">
        <f t="shared" si="3"/>
        <v>Susu murni strawberry</v>
      </c>
      <c r="K137" s="7">
        <f>if(RIGHT(I137,5)="2 pcs",2,Data!I137)</f>
        <v>1</v>
      </c>
      <c r="L137" s="2" t="str">
        <f t="shared" si="4"/>
        <v>Saturday</v>
      </c>
      <c r="M137" s="2" t="str">
        <f t="shared" si="5"/>
        <v>28</v>
      </c>
      <c r="N137" s="2">
        <f>VLOOKUP(L137,'Data Info'!$A$1:$B$8,2,0)</f>
        <v>6</v>
      </c>
      <c r="O137" s="2" t="str">
        <f>VLOOKUP(L137,'Data Info'!$A$1:$C$8,3,0)</f>
        <v>Weekend</v>
      </c>
    </row>
    <row r="138">
      <c r="A138" s="4">
        <v>45563.68680555555</v>
      </c>
      <c r="B138" s="9">
        <f>IFERROR(__xludf.DUMMYFUNCTION("SPLIT(A138,"" "")"),45563.0)</f>
        <v>45563</v>
      </c>
      <c r="C138" s="10">
        <f>IFERROR(__xludf.DUMMYFUNCTION("""COMPUTED_VALUE"""),0.6868055555555556)</f>
        <v>0.6868055556</v>
      </c>
      <c r="D138" s="2">
        <f t="shared" si="1"/>
        <v>16</v>
      </c>
      <c r="E138" s="2">
        <f>IFERROR(__xludf.DUMMYFUNCTION("SPLIT(B138,""/"")"),28.0)</f>
        <v>28</v>
      </c>
      <c r="F138" s="2">
        <f>IFERROR(__xludf.DUMMYFUNCTION("""COMPUTED_VALUE"""),9.0)</f>
        <v>9</v>
      </c>
      <c r="G138" s="2">
        <f>IFERROR(__xludf.DUMMYFUNCTION("""COMPUTED_VALUE"""),2024.0)</f>
        <v>2024</v>
      </c>
      <c r="H138" s="2" t="str">
        <f t="shared" si="2"/>
        <v>2024/9/28</v>
      </c>
      <c r="I138" s="2" t="s">
        <v>1613</v>
      </c>
      <c r="J138" s="2" t="str">
        <f t="shared" si="3"/>
        <v>Roti panggang alpukat</v>
      </c>
      <c r="K138" s="7">
        <f>if(RIGHT(I138,5)="2 pcs",2,Data!I138)</f>
        <v>1</v>
      </c>
      <c r="L138" s="2" t="str">
        <f t="shared" si="4"/>
        <v>Saturday</v>
      </c>
      <c r="M138" s="2" t="str">
        <f t="shared" si="5"/>
        <v>28</v>
      </c>
      <c r="N138" s="2">
        <f>VLOOKUP(L138,'Data Info'!$A$1:$B$8,2,0)</f>
        <v>6</v>
      </c>
      <c r="O138" s="2" t="str">
        <f>VLOOKUP(L138,'Data Info'!$A$1:$C$8,3,0)</f>
        <v>Weekend</v>
      </c>
    </row>
    <row r="139">
      <c r="A139" s="4">
        <v>45563.67152777778</v>
      </c>
      <c r="B139" s="9">
        <f>IFERROR(__xludf.DUMMYFUNCTION("SPLIT(A139,"" "")"),45563.0)</f>
        <v>45563</v>
      </c>
      <c r="C139" s="10">
        <f>IFERROR(__xludf.DUMMYFUNCTION("""COMPUTED_VALUE"""),0.6715277777777777)</f>
        <v>0.6715277778</v>
      </c>
      <c r="D139" s="2">
        <f t="shared" si="1"/>
        <v>16</v>
      </c>
      <c r="E139" s="2">
        <f>IFERROR(__xludf.DUMMYFUNCTION("SPLIT(B139,""/"")"),28.0)</f>
        <v>28</v>
      </c>
      <c r="F139" s="2">
        <f>IFERROR(__xludf.DUMMYFUNCTION("""COMPUTED_VALUE"""),9.0)</f>
        <v>9</v>
      </c>
      <c r="G139" s="2">
        <f>IFERROR(__xludf.DUMMYFUNCTION("""COMPUTED_VALUE"""),2024.0)</f>
        <v>2024</v>
      </c>
      <c r="H139" s="2" t="str">
        <f t="shared" si="2"/>
        <v>2024/9/28</v>
      </c>
      <c r="I139" s="2" t="s">
        <v>1566</v>
      </c>
      <c r="J139" s="2" t="str">
        <f t="shared" si="3"/>
        <v>Roti Bawang Saus Keju</v>
      </c>
      <c r="K139" s="7">
        <f>if(RIGHT(I139,5)="2 pcs",2,Data!I139)</f>
        <v>2</v>
      </c>
      <c r="L139" s="2" t="str">
        <f t="shared" si="4"/>
        <v>Saturday</v>
      </c>
      <c r="M139" s="2" t="str">
        <f t="shared" si="5"/>
        <v>28</v>
      </c>
      <c r="N139" s="2">
        <f>VLOOKUP(L139,'Data Info'!$A$1:$B$8,2,0)</f>
        <v>6</v>
      </c>
      <c r="O139" s="2" t="str">
        <f>VLOOKUP(L139,'Data Info'!$A$1:$C$8,3,0)</f>
        <v>Weekend</v>
      </c>
    </row>
    <row r="140">
      <c r="A140" s="4">
        <v>45563.652083333334</v>
      </c>
      <c r="B140" s="9">
        <f>IFERROR(__xludf.DUMMYFUNCTION("SPLIT(A140,"" "")"),45563.0)</f>
        <v>45563</v>
      </c>
      <c r="C140" s="10">
        <f>IFERROR(__xludf.DUMMYFUNCTION("""COMPUTED_VALUE"""),0.6520833333333333)</f>
        <v>0.6520833333</v>
      </c>
      <c r="D140" s="2">
        <f t="shared" si="1"/>
        <v>15</v>
      </c>
      <c r="E140" s="2">
        <f>IFERROR(__xludf.DUMMYFUNCTION("SPLIT(B140,""/"")"),28.0)</f>
        <v>28</v>
      </c>
      <c r="F140" s="2">
        <f>IFERROR(__xludf.DUMMYFUNCTION("""COMPUTED_VALUE"""),9.0)</f>
        <v>9</v>
      </c>
      <c r="G140" s="2">
        <f>IFERROR(__xludf.DUMMYFUNCTION("""COMPUTED_VALUE"""),2024.0)</f>
        <v>2024</v>
      </c>
      <c r="H140" s="2" t="str">
        <f t="shared" si="2"/>
        <v>2024/9/28</v>
      </c>
      <c r="I140" s="2" t="s">
        <v>1603</v>
      </c>
      <c r="J140" s="2" t="str">
        <f t="shared" si="3"/>
        <v>Nasi Goreng Temu</v>
      </c>
      <c r="K140" s="7">
        <f>if(RIGHT(I140,5)="2 pcs",2,Data!I140)</f>
        <v>1</v>
      </c>
      <c r="L140" s="2" t="str">
        <f t="shared" si="4"/>
        <v>Saturday</v>
      </c>
      <c r="M140" s="2" t="str">
        <f t="shared" si="5"/>
        <v>28</v>
      </c>
      <c r="N140" s="2">
        <f>VLOOKUP(L140,'Data Info'!$A$1:$B$8,2,0)</f>
        <v>6</v>
      </c>
      <c r="O140" s="2" t="str">
        <f>VLOOKUP(L140,'Data Info'!$A$1:$C$8,3,0)</f>
        <v>Weekend</v>
      </c>
    </row>
    <row r="141">
      <c r="A141" s="4">
        <v>45563.652083333334</v>
      </c>
      <c r="B141" s="9">
        <f>IFERROR(__xludf.DUMMYFUNCTION("SPLIT(A141,"" "")"),45563.0)</f>
        <v>45563</v>
      </c>
      <c r="C141" s="10">
        <f>IFERROR(__xludf.DUMMYFUNCTION("""COMPUTED_VALUE"""),0.6520833333333333)</f>
        <v>0.6520833333</v>
      </c>
      <c r="D141" s="2">
        <f t="shared" si="1"/>
        <v>15</v>
      </c>
      <c r="E141" s="2">
        <f>IFERROR(__xludf.DUMMYFUNCTION("SPLIT(B141,""/"")"),28.0)</f>
        <v>28</v>
      </c>
      <c r="F141" s="2">
        <f>IFERROR(__xludf.DUMMYFUNCTION("""COMPUTED_VALUE"""),9.0)</f>
        <v>9</v>
      </c>
      <c r="G141" s="2">
        <f>IFERROR(__xludf.DUMMYFUNCTION("""COMPUTED_VALUE"""),2024.0)</f>
        <v>2024</v>
      </c>
      <c r="H141" s="2" t="str">
        <f t="shared" si="2"/>
        <v>2024/9/28</v>
      </c>
      <c r="I141" s="2" t="s">
        <v>1573</v>
      </c>
      <c r="J141" s="2" t="str">
        <f t="shared" si="3"/>
        <v>Air mineral</v>
      </c>
      <c r="K141" s="7">
        <f>if(RIGHT(I141,5)="2 pcs",2,Data!I141)</f>
        <v>1</v>
      </c>
      <c r="L141" s="2" t="str">
        <f t="shared" si="4"/>
        <v>Saturday</v>
      </c>
      <c r="M141" s="2" t="str">
        <f t="shared" si="5"/>
        <v>28</v>
      </c>
      <c r="N141" s="2">
        <f>VLOOKUP(L141,'Data Info'!$A$1:$B$8,2,0)</f>
        <v>6</v>
      </c>
      <c r="O141" s="2" t="str">
        <f>VLOOKUP(L141,'Data Info'!$A$1:$C$8,3,0)</f>
        <v>Weekend</v>
      </c>
    </row>
    <row r="142">
      <c r="A142" s="4">
        <v>45563.64513888889</v>
      </c>
      <c r="B142" s="9">
        <f>IFERROR(__xludf.DUMMYFUNCTION("SPLIT(A142,"" "")"),45563.0)</f>
        <v>45563</v>
      </c>
      <c r="C142" s="10">
        <f>IFERROR(__xludf.DUMMYFUNCTION("""COMPUTED_VALUE"""),0.6451388888888889)</f>
        <v>0.6451388889</v>
      </c>
      <c r="D142" s="2">
        <f t="shared" si="1"/>
        <v>15</v>
      </c>
      <c r="E142" s="2">
        <f>IFERROR(__xludf.DUMMYFUNCTION("SPLIT(B142,""/"")"),28.0)</f>
        <v>28</v>
      </c>
      <c r="F142" s="2">
        <f>IFERROR(__xludf.DUMMYFUNCTION("""COMPUTED_VALUE"""),9.0)</f>
        <v>9</v>
      </c>
      <c r="G142" s="2">
        <f>IFERROR(__xludf.DUMMYFUNCTION("""COMPUTED_VALUE"""),2024.0)</f>
        <v>2024</v>
      </c>
      <c r="H142" s="2" t="str">
        <f t="shared" si="2"/>
        <v>2024/9/28</v>
      </c>
      <c r="I142" s="2" t="s">
        <v>1576</v>
      </c>
      <c r="J142" s="2" t="str">
        <f t="shared" si="3"/>
        <v>Roti Cranberry</v>
      </c>
      <c r="K142" s="7">
        <f>if(RIGHT(I142,5)="2 pcs",2,Data!I142)</f>
        <v>1</v>
      </c>
      <c r="L142" s="2" t="str">
        <f t="shared" si="4"/>
        <v>Saturday</v>
      </c>
      <c r="M142" s="2" t="str">
        <f t="shared" si="5"/>
        <v>28</v>
      </c>
      <c r="N142" s="2">
        <f>VLOOKUP(L142,'Data Info'!$A$1:$B$8,2,0)</f>
        <v>6</v>
      </c>
      <c r="O142" s="2" t="str">
        <f>VLOOKUP(L142,'Data Info'!$A$1:$C$8,3,0)</f>
        <v>Weekend</v>
      </c>
    </row>
    <row r="143">
      <c r="A143" s="4">
        <v>45563.64513888889</v>
      </c>
      <c r="B143" s="9">
        <f>IFERROR(__xludf.DUMMYFUNCTION("SPLIT(A143,"" "")"),45563.0)</f>
        <v>45563</v>
      </c>
      <c r="C143" s="10">
        <f>IFERROR(__xludf.DUMMYFUNCTION("""COMPUTED_VALUE"""),0.6451388888888889)</f>
        <v>0.6451388889</v>
      </c>
      <c r="D143" s="2">
        <f t="shared" si="1"/>
        <v>15</v>
      </c>
      <c r="E143" s="2">
        <f>IFERROR(__xludf.DUMMYFUNCTION("SPLIT(B143,""/"")"),28.0)</f>
        <v>28</v>
      </c>
      <c r="F143" s="2">
        <f>IFERROR(__xludf.DUMMYFUNCTION("""COMPUTED_VALUE"""),9.0)</f>
        <v>9</v>
      </c>
      <c r="G143" s="2">
        <f>IFERROR(__xludf.DUMMYFUNCTION("""COMPUTED_VALUE"""),2024.0)</f>
        <v>2024</v>
      </c>
      <c r="H143" s="2" t="str">
        <f t="shared" si="2"/>
        <v>2024/9/28</v>
      </c>
      <c r="I143" s="2" t="s">
        <v>1588</v>
      </c>
      <c r="J143" s="2" t="str">
        <f t="shared" si="3"/>
        <v>Es Kopi Susu</v>
      </c>
      <c r="K143" s="7">
        <f>if(RIGHT(I143,5)="2 pcs",2,Data!I143)</f>
        <v>1</v>
      </c>
      <c r="L143" s="2" t="str">
        <f t="shared" si="4"/>
        <v>Saturday</v>
      </c>
      <c r="M143" s="2" t="str">
        <f t="shared" si="5"/>
        <v>28</v>
      </c>
      <c r="N143" s="2">
        <f>VLOOKUP(L143,'Data Info'!$A$1:$B$8,2,0)</f>
        <v>6</v>
      </c>
      <c r="O143" s="2" t="str">
        <f>VLOOKUP(L143,'Data Info'!$A$1:$C$8,3,0)</f>
        <v>Weekend</v>
      </c>
    </row>
    <row r="144">
      <c r="A144" s="4">
        <v>45563.64513888889</v>
      </c>
      <c r="B144" s="9">
        <f>IFERROR(__xludf.DUMMYFUNCTION("SPLIT(A144,"" "")"),45563.0)</f>
        <v>45563</v>
      </c>
      <c r="C144" s="10">
        <f>IFERROR(__xludf.DUMMYFUNCTION("""COMPUTED_VALUE"""),0.6451388888888889)</f>
        <v>0.6451388889</v>
      </c>
      <c r="D144" s="2">
        <f t="shared" si="1"/>
        <v>15</v>
      </c>
      <c r="E144" s="2">
        <f>IFERROR(__xludf.DUMMYFUNCTION("SPLIT(B144,""/"")"),28.0)</f>
        <v>28</v>
      </c>
      <c r="F144" s="2">
        <f>IFERROR(__xludf.DUMMYFUNCTION("""COMPUTED_VALUE"""),9.0)</f>
        <v>9</v>
      </c>
      <c r="G144" s="2">
        <f>IFERROR(__xludf.DUMMYFUNCTION("""COMPUTED_VALUE"""),2024.0)</f>
        <v>2024</v>
      </c>
      <c r="H144" s="2" t="str">
        <f t="shared" si="2"/>
        <v>2024/9/28</v>
      </c>
      <c r="I144" s="2" t="s">
        <v>1573</v>
      </c>
      <c r="J144" s="2" t="str">
        <f t="shared" si="3"/>
        <v>Air mineral</v>
      </c>
      <c r="K144" s="7">
        <f>if(RIGHT(I144,5)="2 pcs",2,Data!I144)</f>
        <v>2</v>
      </c>
      <c r="L144" s="2" t="str">
        <f t="shared" si="4"/>
        <v>Saturday</v>
      </c>
      <c r="M144" s="2" t="str">
        <f t="shared" si="5"/>
        <v>28</v>
      </c>
      <c r="N144" s="2">
        <f>VLOOKUP(L144,'Data Info'!$A$1:$B$8,2,0)</f>
        <v>6</v>
      </c>
      <c r="O144" s="2" t="str">
        <f>VLOOKUP(L144,'Data Info'!$A$1:$C$8,3,0)</f>
        <v>Weekend</v>
      </c>
    </row>
    <row r="145">
      <c r="A145" s="4">
        <v>45563.64444444444</v>
      </c>
      <c r="B145" s="9">
        <f>IFERROR(__xludf.DUMMYFUNCTION("SPLIT(A145,"" "")"),45563.0)</f>
        <v>45563</v>
      </c>
      <c r="C145" s="10">
        <f>IFERROR(__xludf.DUMMYFUNCTION("""COMPUTED_VALUE"""),0.6444444444444445)</f>
        <v>0.6444444444</v>
      </c>
      <c r="D145" s="2">
        <f t="shared" si="1"/>
        <v>15</v>
      </c>
      <c r="E145" s="2">
        <f>IFERROR(__xludf.DUMMYFUNCTION("SPLIT(B145,""/"")"),28.0)</f>
        <v>28</v>
      </c>
      <c r="F145" s="2">
        <f>IFERROR(__xludf.DUMMYFUNCTION("""COMPUTED_VALUE"""),9.0)</f>
        <v>9</v>
      </c>
      <c r="G145" s="2">
        <f>IFERROR(__xludf.DUMMYFUNCTION("""COMPUTED_VALUE"""),2024.0)</f>
        <v>2024</v>
      </c>
      <c r="H145" s="2" t="str">
        <f t="shared" si="2"/>
        <v>2024/9/28</v>
      </c>
      <c r="I145" s="2" t="s">
        <v>1583</v>
      </c>
      <c r="J145" s="2" t="str">
        <f t="shared" si="3"/>
        <v>Es Kopi Lemon</v>
      </c>
      <c r="K145" s="7">
        <f>if(RIGHT(I145,5)="2 pcs",2,Data!I145)</f>
        <v>1</v>
      </c>
      <c r="L145" s="2" t="str">
        <f t="shared" si="4"/>
        <v>Saturday</v>
      </c>
      <c r="M145" s="2" t="str">
        <f t="shared" si="5"/>
        <v>28</v>
      </c>
      <c r="N145" s="2">
        <f>VLOOKUP(L145,'Data Info'!$A$1:$B$8,2,0)</f>
        <v>6</v>
      </c>
      <c r="O145" s="2" t="str">
        <f>VLOOKUP(L145,'Data Info'!$A$1:$C$8,3,0)</f>
        <v>Weekend</v>
      </c>
    </row>
    <row r="146">
      <c r="A146" s="4">
        <v>45563.64444444444</v>
      </c>
      <c r="B146" s="9">
        <f>IFERROR(__xludf.DUMMYFUNCTION("SPLIT(A146,"" "")"),45563.0)</f>
        <v>45563</v>
      </c>
      <c r="C146" s="10">
        <f>IFERROR(__xludf.DUMMYFUNCTION("""COMPUTED_VALUE"""),0.6444444444444445)</f>
        <v>0.6444444444</v>
      </c>
      <c r="D146" s="2">
        <f t="shared" si="1"/>
        <v>15</v>
      </c>
      <c r="E146" s="2">
        <f>IFERROR(__xludf.DUMMYFUNCTION("SPLIT(B146,""/"")"),28.0)</f>
        <v>28</v>
      </c>
      <c r="F146" s="2">
        <f>IFERROR(__xludf.DUMMYFUNCTION("""COMPUTED_VALUE"""),9.0)</f>
        <v>9</v>
      </c>
      <c r="G146" s="2">
        <f>IFERROR(__xludf.DUMMYFUNCTION("""COMPUTED_VALUE"""),2024.0)</f>
        <v>2024</v>
      </c>
      <c r="H146" s="2" t="str">
        <f t="shared" si="2"/>
        <v>2024/9/28</v>
      </c>
      <c r="I146" s="2" t="s">
        <v>1591</v>
      </c>
      <c r="J146" s="2" t="str">
        <f t="shared" si="3"/>
        <v>Kopi cur</v>
      </c>
      <c r="K146" s="7">
        <f>if(RIGHT(I146,5)="2 pcs",2,Data!I146)</f>
        <v>1</v>
      </c>
      <c r="L146" s="2" t="str">
        <f t="shared" si="4"/>
        <v>Saturday</v>
      </c>
      <c r="M146" s="2" t="str">
        <f t="shared" si="5"/>
        <v>28</v>
      </c>
      <c r="N146" s="2">
        <f>VLOOKUP(L146,'Data Info'!$A$1:$B$8,2,0)</f>
        <v>6</v>
      </c>
      <c r="O146" s="2" t="str">
        <f>VLOOKUP(L146,'Data Info'!$A$1:$C$8,3,0)</f>
        <v>Weekend</v>
      </c>
    </row>
    <row r="147">
      <c r="A147" s="4">
        <v>45563.64444444444</v>
      </c>
      <c r="B147" s="9">
        <f>IFERROR(__xludf.DUMMYFUNCTION("SPLIT(A147,"" "")"),45563.0)</f>
        <v>45563</v>
      </c>
      <c r="C147" s="10">
        <f>IFERROR(__xludf.DUMMYFUNCTION("""COMPUTED_VALUE"""),0.6444444444444445)</f>
        <v>0.6444444444</v>
      </c>
      <c r="D147" s="2">
        <f t="shared" si="1"/>
        <v>15</v>
      </c>
      <c r="E147" s="2">
        <f>IFERROR(__xludf.DUMMYFUNCTION("SPLIT(B147,""/"")"),28.0)</f>
        <v>28</v>
      </c>
      <c r="F147" s="2">
        <f>IFERROR(__xludf.DUMMYFUNCTION("""COMPUTED_VALUE"""),9.0)</f>
        <v>9</v>
      </c>
      <c r="G147" s="2">
        <f>IFERROR(__xludf.DUMMYFUNCTION("""COMPUTED_VALUE"""),2024.0)</f>
        <v>2024</v>
      </c>
      <c r="H147" s="2" t="str">
        <f t="shared" si="2"/>
        <v>2024/9/28</v>
      </c>
      <c r="I147" s="2" t="s">
        <v>1576</v>
      </c>
      <c r="J147" s="2" t="str">
        <f t="shared" si="3"/>
        <v>Roti Cranberry</v>
      </c>
      <c r="K147" s="7">
        <f>if(RIGHT(I147,5)="2 pcs",2,Data!I147)</f>
        <v>1</v>
      </c>
      <c r="L147" s="2" t="str">
        <f t="shared" si="4"/>
        <v>Saturday</v>
      </c>
      <c r="M147" s="2" t="str">
        <f t="shared" si="5"/>
        <v>28</v>
      </c>
      <c r="N147" s="2">
        <f>VLOOKUP(L147,'Data Info'!$A$1:$B$8,2,0)</f>
        <v>6</v>
      </c>
      <c r="O147" s="2" t="str">
        <f>VLOOKUP(L147,'Data Info'!$A$1:$C$8,3,0)</f>
        <v>Weekend</v>
      </c>
    </row>
    <row r="148">
      <c r="A148" s="4">
        <v>45563.64236111111</v>
      </c>
      <c r="B148" s="9">
        <f>IFERROR(__xludf.DUMMYFUNCTION("SPLIT(A148,"" "")"),45563.0)</f>
        <v>45563</v>
      </c>
      <c r="C148" s="10">
        <f>IFERROR(__xludf.DUMMYFUNCTION("""COMPUTED_VALUE"""),0.6423611111111112)</f>
        <v>0.6423611111</v>
      </c>
      <c r="D148" s="2">
        <f t="shared" si="1"/>
        <v>15</v>
      </c>
      <c r="E148" s="2">
        <f>IFERROR(__xludf.DUMMYFUNCTION("SPLIT(B148,""/"")"),28.0)</f>
        <v>28</v>
      </c>
      <c r="F148" s="2">
        <f>IFERROR(__xludf.DUMMYFUNCTION("""COMPUTED_VALUE"""),9.0)</f>
        <v>9</v>
      </c>
      <c r="G148" s="2">
        <f>IFERROR(__xludf.DUMMYFUNCTION("""COMPUTED_VALUE"""),2024.0)</f>
        <v>2024</v>
      </c>
      <c r="H148" s="2" t="str">
        <f t="shared" si="2"/>
        <v>2024/9/28</v>
      </c>
      <c r="I148" s="2" t="s">
        <v>1610</v>
      </c>
      <c r="J148" s="2" t="str">
        <f t="shared" si="3"/>
        <v>Roti toast eskrim</v>
      </c>
      <c r="K148" s="7">
        <f>if(RIGHT(I148,5)="2 pcs",2,Data!I148)</f>
        <v>1</v>
      </c>
      <c r="L148" s="2" t="str">
        <f t="shared" si="4"/>
        <v>Saturday</v>
      </c>
      <c r="M148" s="2" t="str">
        <f t="shared" si="5"/>
        <v>28</v>
      </c>
      <c r="N148" s="2">
        <f>VLOOKUP(L148,'Data Info'!$A$1:$B$8,2,0)</f>
        <v>6</v>
      </c>
      <c r="O148" s="2" t="str">
        <f>VLOOKUP(L148,'Data Info'!$A$1:$C$8,3,0)</f>
        <v>Weekend</v>
      </c>
    </row>
    <row r="149">
      <c r="A149" s="4">
        <v>45563.64236111111</v>
      </c>
      <c r="B149" s="9">
        <f>IFERROR(__xludf.DUMMYFUNCTION("SPLIT(A149,"" "")"),45563.0)</f>
        <v>45563</v>
      </c>
      <c r="C149" s="10">
        <f>IFERROR(__xludf.DUMMYFUNCTION("""COMPUTED_VALUE"""),0.6423611111111112)</f>
        <v>0.6423611111</v>
      </c>
      <c r="D149" s="2">
        <f t="shared" si="1"/>
        <v>15</v>
      </c>
      <c r="E149" s="2">
        <f>IFERROR(__xludf.DUMMYFUNCTION("SPLIT(B149,""/"")"),28.0)</f>
        <v>28</v>
      </c>
      <c r="F149" s="2">
        <f>IFERROR(__xludf.DUMMYFUNCTION("""COMPUTED_VALUE"""),9.0)</f>
        <v>9</v>
      </c>
      <c r="G149" s="2">
        <f>IFERROR(__xludf.DUMMYFUNCTION("""COMPUTED_VALUE"""),2024.0)</f>
        <v>2024</v>
      </c>
      <c r="H149" s="2" t="str">
        <f t="shared" si="2"/>
        <v>2024/9/28</v>
      </c>
      <c r="I149" s="2" t="s">
        <v>1591</v>
      </c>
      <c r="J149" s="2" t="str">
        <f t="shared" si="3"/>
        <v>Kopi cur</v>
      </c>
      <c r="K149" s="7">
        <f>if(RIGHT(I149,5)="2 pcs",2,Data!I149)</f>
        <v>1</v>
      </c>
      <c r="L149" s="2" t="str">
        <f t="shared" si="4"/>
        <v>Saturday</v>
      </c>
      <c r="M149" s="2" t="str">
        <f t="shared" si="5"/>
        <v>28</v>
      </c>
      <c r="N149" s="2">
        <f>VLOOKUP(L149,'Data Info'!$A$1:$B$8,2,0)</f>
        <v>6</v>
      </c>
      <c r="O149" s="2" t="str">
        <f>VLOOKUP(L149,'Data Info'!$A$1:$C$8,3,0)</f>
        <v>Weekend</v>
      </c>
    </row>
    <row r="150">
      <c r="A150" s="4">
        <v>45563.64236111111</v>
      </c>
      <c r="B150" s="9">
        <f>IFERROR(__xludf.DUMMYFUNCTION("SPLIT(A150,"" "")"),45563.0)</f>
        <v>45563</v>
      </c>
      <c r="C150" s="10">
        <f>IFERROR(__xludf.DUMMYFUNCTION("""COMPUTED_VALUE"""),0.6423611111111112)</f>
        <v>0.6423611111</v>
      </c>
      <c r="D150" s="2">
        <f t="shared" si="1"/>
        <v>15</v>
      </c>
      <c r="E150" s="2">
        <f>IFERROR(__xludf.DUMMYFUNCTION("SPLIT(B150,""/"")"),28.0)</f>
        <v>28</v>
      </c>
      <c r="F150" s="2">
        <f>IFERROR(__xludf.DUMMYFUNCTION("""COMPUTED_VALUE"""),9.0)</f>
        <v>9</v>
      </c>
      <c r="G150" s="2">
        <f>IFERROR(__xludf.DUMMYFUNCTION("""COMPUTED_VALUE"""),2024.0)</f>
        <v>2024</v>
      </c>
      <c r="H150" s="2" t="str">
        <f t="shared" si="2"/>
        <v>2024/9/28</v>
      </c>
      <c r="I150" s="2" t="s">
        <v>1599</v>
      </c>
      <c r="J150" s="2" t="str">
        <f t="shared" si="3"/>
        <v>Rempah Madu Dingin</v>
      </c>
      <c r="K150" s="7">
        <f>if(RIGHT(I150,5)="2 pcs",2,Data!I150)</f>
        <v>1</v>
      </c>
      <c r="L150" s="2" t="str">
        <f t="shared" si="4"/>
        <v>Saturday</v>
      </c>
      <c r="M150" s="2" t="str">
        <f t="shared" si="5"/>
        <v>28</v>
      </c>
      <c r="N150" s="2">
        <f>VLOOKUP(L150,'Data Info'!$A$1:$B$8,2,0)</f>
        <v>6</v>
      </c>
      <c r="O150" s="2" t="str">
        <f>VLOOKUP(L150,'Data Info'!$A$1:$C$8,3,0)</f>
        <v>Weekend</v>
      </c>
    </row>
    <row r="151">
      <c r="A151" s="4">
        <v>45563.62986111111</v>
      </c>
      <c r="B151" s="9">
        <f>IFERROR(__xludf.DUMMYFUNCTION("SPLIT(A151,"" "")"),45563.0)</f>
        <v>45563</v>
      </c>
      <c r="C151" s="10">
        <f>IFERROR(__xludf.DUMMYFUNCTION("""COMPUTED_VALUE"""),0.6298611111111111)</f>
        <v>0.6298611111</v>
      </c>
      <c r="D151" s="2">
        <f t="shared" si="1"/>
        <v>15</v>
      </c>
      <c r="E151" s="2">
        <f>IFERROR(__xludf.DUMMYFUNCTION("SPLIT(B151,""/"")"),28.0)</f>
        <v>28</v>
      </c>
      <c r="F151" s="2">
        <f>IFERROR(__xludf.DUMMYFUNCTION("""COMPUTED_VALUE"""),9.0)</f>
        <v>9</v>
      </c>
      <c r="G151" s="2">
        <f>IFERROR(__xludf.DUMMYFUNCTION("""COMPUTED_VALUE"""),2024.0)</f>
        <v>2024</v>
      </c>
      <c r="H151" s="2" t="str">
        <f t="shared" si="2"/>
        <v>2024/9/28</v>
      </c>
      <c r="I151" s="2" t="s">
        <v>1596</v>
      </c>
      <c r="J151" s="2" t="str">
        <f t="shared" si="3"/>
        <v>Roti Cranberry</v>
      </c>
      <c r="K151" s="7">
        <f>if(RIGHT(I151,5)="2 pcs",2,Data!I151)</f>
        <v>2</v>
      </c>
      <c r="L151" s="2" t="str">
        <f t="shared" si="4"/>
        <v>Saturday</v>
      </c>
      <c r="M151" s="2" t="str">
        <f t="shared" si="5"/>
        <v>28</v>
      </c>
      <c r="N151" s="2">
        <f>VLOOKUP(L151,'Data Info'!$A$1:$B$8,2,0)</f>
        <v>6</v>
      </c>
      <c r="O151" s="2" t="str">
        <f>VLOOKUP(L151,'Data Info'!$A$1:$C$8,3,0)</f>
        <v>Weekend</v>
      </c>
    </row>
    <row r="152">
      <c r="A152" s="4">
        <v>45563.62986111111</v>
      </c>
      <c r="B152" s="9">
        <f>IFERROR(__xludf.DUMMYFUNCTION("SPLIT(A152,"" "")"),45563.0)</f>
        <v>45563</v>
      </c>
      <c r="C152" s="10">
        <f>IFERROR(__xludf.DUMMYFUNCTION("""COMPUTED_VALUE"""),0.6298611111111111)</f>
        <v>0.6298611111</v>
      </c>
      <c r="D152" s="2">
        <f t="shared" si="1"/>
        <v>15</v>
      </c>
      <c r="E152" s="2">
        <f>IFERROR(__xludf.DUMMYFUNCTION("SPLIT(B152,""/"")"),28.0)</f>
        <v>28</v>
      </c>
      <c r="F152" s="2">
        <f>IFERROR(__xludf.DUMMYFUNCTION("""COMPUTED_VALUE"""),9.0)</f>
        <v>9</v>
      </c>
      <c r="G152" s="2">
        <f>IFERROR(__xludf.DUMMYFUNCTION("""COMPUTED_VALUE"""),2024.0)</f>
        <v>2024</v>
      </c>
      <c r="H152" s="2" t="str">
        <f t="shared" si="2"/>
        <v>2024/9/28</v>
      </c>
      <c r="I152" s="2" t="s">
        <v>1597</v>
      </c>
      <c r="J152" s="2" t="str">
        <f t="shared" si="3"/>
        <v>Roti Gandum Cokelat</v>
      </c>
      <c r="K152" s="7">
        <f>if(RIGHT(I152,5)="2 pcs",2,Data!I152)</f>
        <v>2</v>
      </c>
      <c r="L152" s="2" t="str">
        <f t="shared" si="4"/>
        <v>Saturday</v>
      </c>
      <c r="M152" s="2" t="str">
        <f t="shared" si="5"/>
        <v>28</v>
      </c>
      <c r="N152" s="2">
        <f>VLOOKUP(L152,'Data Info'!$A$1:$B$8,2,0)</f>
        <v>6</v>
      </c>
      <c r="O152" s="2" t="str">
        <f>VLOOKUP(L152,'Data Info'!$A$1:$C$8,3,0)</f>
        <v>Weekend</v>
      </c>
    </row>
    <row r="153">
      <c r="A153" s="4">
        <v>45563.62777777778</v>
      </c>
      <c r="B153" s="9">
        <f>IFERROR(__xludf.DUMMYFUNCTION("SPLIT(A153,"" "")"),45563.0)</f>
        <v>45563</v>
      </c>
      <c r="C153" s="10">
        <f>IFERROR(__xludf.DUMMYFUNCTION("""COMPUTED_VALUE"""),0.6277777777777778)</f>
        <v>0.6277777778</v>
      </c>
      <c r="D153" s="2">
        <f t="shared" si="1"/>
        <v>15</v>
      </c>
      <c r="E153" s="2">
        <f>IFERROR(__xludf.DUMMYFUNCTION("SPLIT(B153,""/"")"),28.0)</f>
        <v>28</v>
      </c>
      <c r="F153" s="2">
        <f>IFERROR(__xludf.DUMMYFUNCTION("""COMPUTED_VALUE"""),9.0)</f>
        <v>9</v>
      </c>
      <c r="G153" s="2">
        <f>IFERROR(__xludf.DUMMYFUNCTION("""COMPUTED_VALUE"""),2024.0)</f>
        <v>2024</v>
      </c>
      <c r="H153" s="2" t="str">
        <f t="shared" si="2"/>
        <v>2024/9/28</v>
      </c>
      <c r="I153" s="2" t="s">
        <v>1597</v>
      </c>
      <c r="J153" s="2" t="str">
        <f t="shared" si="3"/>
        <v>Roti Gandum Cokelat</v>
      </c>
      <c r="K153" s="7">
        <f>if(RIGHT(I153,5)="2 pcs",2,Data!I153)</f>
        <v>2</v>
      </c>
      <c r="L153" s="2" t="str">
        <f t="shared" si="4"/>
        <v>Saturday</v>
      </c>
      <c r="M153" s="2" t="str">
        <f t="shared" si="5"/>
        <v>28</v>
      </c>
      <c r="N153" s="2">
        <f>VLOOKUP(L153,'Data Info'!$A$1:$B$8,2,0)</f>
        <v>6</v>
      </c>
      <c r="O153" s="2" t="str">
        <f>VLOOKUP(L153,'Data Info'!$A$1:$C$8,3,0)</f>
        <v>Weekend</v>
      </c>
    </row>
    <row r="154">
      <c r="A154" s="4">
        <v>45563.626388888886</v>
      </c>
      <c r="B154" s="9">
        <f>IFERROR(__xludf.DUMMYFUNCTION("SPLIT(A154,"" "")"),45563.0)</f>
        <v>45563</v>
      </c>
      <c r="C154" s="10">
        <f>IFERROR(__xludf.DUMMYFUNCTION("""COMPUTED_VALUE"""),0.6263888888888889)</f>
        <v>0.6263888889</v>
      </c>
      <c r="D154" s="2">
        <f t="shared" si="1"/>
        <v>15</v>
      </c>
      <c r="E154" s="2">
        <f>IFERROR(__xludf.DUMMYFUNCTION("SPLIT(B154,""/"")"),28.0)</f>
        <v>28</v>
      </c>
      <c r="F154" s="2">
        <f>IFERROR(__xludf.DUMMYFUNCTION("""COMPUTED_VALUE"""),9.0)</f>
        <v>9</v>
      </c>
      <c r="G154" s="2">
        <f>IFERROR(__xludf.DUMMYFUNCTION("""COMPUTED_VALUE"""),2024.0)</f>
        <v>2024</v>
      </c>
      <c r="H154" s="2" t="str">
        <f t="shared" si="2"/>
        <v>2024/9/28</v>
      </c>
      <c r="I154" s="2" t="s">
        <v>1576</v>
      </c>
      <c r="J154" s="2" t="str">
        <f t="shared" si="3"/>
        <v>Roti Cranberry</v>
      </c>
      <c r="K154" s="7">
        <f>if(RIGHT(I154,5)="2 pcs",2,Data!I154)</f>
        <v>1</v>
      </c>
      <c r="L154" s="2" t="str">
        <f t="shared" si="4"/>
        <v>Saturday</v>
      </c>
      <c r="M154" s="2" t="str">
        <f t="shared" si="5"/>
        <v>28</v>
      </c>
      <c r="N154" s="2">
        <f>VLOOKUP(L154,'Data Info'!$A$1:$B$8,2,0)</f>
        <v>6</v>
      </c>
      <c r="O154" s="2" t="str">
        <f>VLOOKUP(L154,'Data Info'!$A$1:$C$8,3,0)</f>
        <v>Weekend</v>
      </c>
    </row>
    <row r="155">
      <c r="A155" s="4">
        <v>45563.626388888886</v>
      </c>
      <c r="B155" s="9">
        <f>IFERROR(__xludf.DUMMYFUNCTION("SPLIT(A155,"" "")"),45563.0)</f>
        <v>45563</v>
      </c>
      <c r="C155" s="10">
        <f>IFERROR(__xludf.DUMMYFUNCTION("""COMPUTED_VALUE"""),0.6263888888888889)</f>
        <v>0.6263888889</v>
      </c>
      <c r="D155" s="2">
        <f t="shared" si="1"/>
        <v>15</v>
      </c>
      <c r="E155" s="2">
        <f>IFERROR(__xludf.DUMMYFUNCTION("SPLIT(B155,""/"")"),28.0)</f>
        <v>28</v>
      </c>
      <c r="F155" s="2">
        <f>IFERROR(__xludf.DUMMYFUNCTION("""COMPUTED_VALUE"""),9.0)</f>
        <v>9</v>
      </c>
      <c r="G155" s="2">
        <f>IFERROR(__xludf.DUMMYFUNCTION("""COMPUTED_VALUE"""),2024.0)</f>
        <v>2024</v>
      </c>
      <c r="H155" s="2" t="str">
        <f t="shared" si="2"/>
        <v>2024/9/28</v>
      </c>
      <c r="I155" s="2" t="s">
        <v>1595</v>
      </c>
      <c r="J155" s="2" t="str">
        <f t="shared" si="3"/>
        <v>Roti Gandum Cokelat</v>
      </c>
      <c r="K155" s="7">
        <f>if(RIGHT(I155,5)="2 pcs",2,Data!I155)</f>
        <v>1</v>
      </c>
      <c r="L155" s="2" t="str">
        <f t="shared" si="4"/>
        <v>Saturday</v>
      </c>
      <c r="M155" s="2" t="str">
        <f t="shared" si="5"/>
        <v>28</v>
      </c>
      <c r="N155" s="2">
        <f>VLOOKUP(L155,'Data Info'!$A$1:$B$8,2,0)</f>
        <v>6</v>
      </c>
      <c r="O155" s="2" t="str">
        <f>VLOOKUP(L155,'Data Info'!$A$1:$C$8,3,0)</f>
        <v>Weekend</v>
      </c>
    </row>
    <row r="156">
      <c r="A156" s="4">
        <v>45563.59722222222</v>
      </c>
      <c r="B156" s="9">
        <f>IFERROR(__xludf.DUMMYFUNCTION("SPLIT(A156,"" "")"),45563.0)</f>
        <v>45563</v>
      </c>
      <c r="C156" s="10">
        <f>IFERROR(__xludf.DUMMYFUNCTION("""COMPUTED_VALUE"""),0.5972222222222222)</f>
        <v>0.5972222222</v>
      </c>
      <c r="D156" s="2">
        <f t="shared" si="1"/>
        <v>14</v>
      </c>
      <c r="E156" s="2">
        <f>IFERROR(__xludf.DUMMYFUNCTION("SPLIT(B156,""/"")"),28.0)</f>
        <v>28</v>
      </c>
      <c r="F156" s="2">
        <f>IFERROR(__xludf.DUMMYFUNCTION("""COMPUTED_VALUE"""),9.0)</f>
        <v>9</v>
      </c>
      <c r="G156" s="2">
        <f>IFERROR(__xludf.DUMMYFUNCTION("""COMPUTED_VALUE"""),2024.0)</f>
        <v>2024</v>
      </c>
      <c r="H156" s="2" t="str">
        <f t="shared" si="2"/>
        <v>2024/9/28</v>
      </c>
      <c r="I156" s="2" t="s">
        <v>1596</v>
      </c>
      <c r="J156" s="2" t="str">
        <f t="shared" si="3"/>
        <v>Roti Cranberry</v>
      </c>
      <c r="K156" s="7">
        <f>if(RIGHT(I156,5)="2 pcs",2,Data!I156)</f>
        <v>2</v>
      </c>
      <c r="L156" s="2" t="str">
        <f t="shared" si="4"/>
        <v>Saturday</v>
      </c>
      <c r="M156" s="2" t="str">
        <f t="shared" si="5"/>
        <v>28</v>
      </c>
      <c r="N156" s="2">
        <f>VLOOKUP(L156,'Data Info'!$A$1:$B$8,2,0)</f>
        <v>6</v>
      </c>
      <c r="O156" s="2" t="str">
        <f>VLOOKUP(L156,'Data Info'!$A$1:$C$8,3,0)</f>
        <v>Weekend</v>
      </c>
    </row>
    <row r="157">
      <c r="A157" s="4">
        <v>45563.59722222222</v>
      </c>
      <c r="B157" s="9">
        <f>IFERROR(__xludf.DUMMYFUNCTION("SPLIT(A157,"" "")"),45563.0)</f>
        <v>45563</v>
      </c>
      <c r="C157" s="10">
        <f>IFERROR(__xludf.DUMMYFUNCTION("""COMPUTED_VALUE"""),0.5972222222222222)</f>
        <v>0.5972222222</v>
      </c>
      <c r="D157" s="2">
        <f t="shared" si="1"/>
        <v>14</v>
      </c>
      <c r="E157" s="2">
        <f>IFERROR(__xludf.DUMMYFUNCTION("SPLIT(B157,""/"")"),28.0)</f>
        <v>28</v>
      </c>
      <c r="F157" s="2">
        <f>IFERROR(__xludf.DUMMYFUNCTION("""COMPUTED_VALUE"""),9.0)</f>
        <v>9</v>
      </c>
      <c r="G157" s="2">
        <f>IFERROR(__xludf.DUMMYFUNCTION("""COMPUTED_VALUE"""),2024.0)</f>
        <v>2024</v>
      </c>
      <c r="H157" s="2" t="str">
        <f t="shared" si="2"/>
        <v>2024/9/28</v>
      </c>
      <c r="I157" s="2" t="s">
        <v>1600</v>
      </c>
      <c r="J157" s="2" t="str">
        <f t="shared" si="3"/>
        <v>Chamomile Lemongrass Hot Artisan Tea</v>
      </c>
      <c r="K157" s="7">
        <f>if(RIGHT(I157,5)="2 pcs",2,Data!I157)</f>
        <v>1</v>
      </c>
      <c r="L157" s="2" t="str">
        <f t="shared" si="4"/>
        <v>Saturday</v>
      </c>
      <c r="M157" s="2" t="str">
        <f t="shared" si="5"/>
        <v>28</v>
      </c>
      <c r="N157" s="2">
        <f>VLOOKUP(L157,'Data Info'!$A$1:$B$8,2,0)</f>
        <v>6</v>
      </c>
      <c r="O157" s="2" t="str">
        <f>VLOOKUP(L157,'Data Info'!$A$1:$C$8,3,0)</f>
        <v>Weekend</v>
      </c>
    </row>
    <row r="158">
      <c r="A158" s="4">
        <v>45563.59722222222</v>
      </c>
      <c r="B158" s="9">
        <f>IFERROR(__xludf.DUMMYFUNCTION("SPLIT(A158,"" "")"),45563.0)</f>
        <v>45563</v>
      </c>
      <c r="C158" s="10">
        <f>IFERROR(__xludf.DUMMYFUNCTION("""COMPUTED_VALUE"""),0.5972222222222222)</f>
        <v>0.5972222222</v>
      </c>
      <c r="D158" s="2">
        <f t="shared" si="1"/>
        <v>14</v>
      </c>
      <c r="E158" s="2">
        <f>IFERROR(__xludf.DUMMYFUNCTION("SPLIT(B158,""/"")"),28.0)</f>
        <v>28</v>
      </c>
      <c r="F158" s="2">
        <f>IFERROR(__xludf.DUMMYFUNCTION("""COMPUTED_VALUE"""),9.0)</f>
        <v>9</v>
      </c>
      <c r="G158" s="2">
        <f>IFERROR(__xludf.DUMMYFUNCTION("""COMPUTED_VALUE"""),2024.0)</f>
        <v>2024</v>
      </c>
      <c r="H158" s="2" t="str">
        <f t="shared" si="2"/>
        <v>2024/9/28</v>
      </c>
      <c r="I158" s="2" t="s">
        <v>1591</v>
      </c>
      <c r="J158" s="2" t="str">
        <f t="shared" si="3"/>
        <v>Kopi cur</v>
      </c>
      <c r="K158" s="7">
        <f>if(RIGHT(I158,5)="2 pcs",2,Data!I158)</f>
        <v>1</v>
      </c>
      <c r="L158" s="2" t="str">
        <f t="shared" si="4"/>
        <v>Saturday</v>
      </c>
      <c r="M158" s="2" t="str">
        <f t="shared" si="5"/>
        <v>28</v>
      </c>
      <c r="N158" s="2">
        <f>VLOOKUP(L158,'Data Info'!$A$1:$B$8,2,0)</f>
        <v>6</v>
      </c>
      <c r="O158" s="2" t="str">
        <f>VLOOKUP(L158,'Data Info'!$A$1:$C$8,3,0)</f>
        <v>Weekend</v>
      </c>
    </row>
    <row r="159">
      <c r="A159" s="4">
        <v>45563.57083333333</v>
      </c>
      <c r="B159" s="9">
        <f>IFERROR(__xludf.DUMMYFUNCTION("SPLIT(A159,"" "")"),45563.0)</f>
        <v>45563</v>
      </c>
      <c r="C159" s="10">
        <f>IFERROR(__xludf.DUMMYFUNCTION("""COMPUTED_VALUE"""),0.5708333333333333)</f>
        <v>0.5708333333</v>
      </c>
      <c r="D159" s="2">
        <f t="shared" si="1"/>
        <v>13</v>
      </c>
      <c r="E159" s="2">
        <f>IFERROR(__xludf.DUMMYFUNCTION("SPLIT(B159,""/"")"),28.0)</f>
        <v>28</v>
      </c>
      <c r="F159" s="2">
        <f>IFERROR(__xludf.DUMMYFUNCTION("""COMPUTED_VALUE"""),9.0)</f>
        <v>9</v>
      </c>
      <c r="G159" s="2">
        <f>IFERROR(__xludf.DUMMYFUNCTION("""COMPUTED_VALUE"""),2024.0)</f>
        <v>2024</v>
      </c>
      <c r="H159" s="2" t="str">
        <f t="shared" si="2"/>
        <v>2024/9/28</v>
      </c>
      <c r="I159" s="2" t="s">
        <v>1597</v>
      </c>
      <c r="J159" s="2" t="str">
        <f t="shared" si="3"/>
        <v>Roti Gandum Cokelat</v>
      </c>
      <c r="K159" s="7">
        <f>if(RIGHT(I159,5)="2 pcs",2,Data!I159)</f>
        <v>2</v>
      </c>
      <c r="L159" s="2" t="str">
        <f t="shared" si="4"/>
        <v>Saturday</v>
      </c>
      <c r="M159" s="2" t="str">
        <f t="shared" si="5"/>
        <v>28</v>
      </c>
      <c r="N159" s="2">
        <f>VLOOKUP(L159,'Data Info'!$A$1:$B$8,2,0)</f>
        <v>6</v>
      </c>
      <c r="O159" s="2" t="str">
        <f>VLOOKUP(L159,'Data Info'!$A$1:$C$8,3,0)</f>
        <v>Weekend</v>
      </c>
    </row>
    <row r="160">
      <c r="A160" s="4">
        <v>45563.57083333333</v>
      </c>
      <c r="B160" s="9">
        <f>IFERROR(__xludf.DUMMYFUNCTION("SPLIT(A160,"" "")"),45563.0)</f>
        <v>45563</v>
      </c>
      <c r="C160" s="10">
        <f>IFERROR(__xludf.DUMMYFUNCTION("""COMPUTED_VALUE"""),0.5708333333333333)</f>
        <v>0.5708333333</v>
      </c>
      <c r="D160" s="2">
        <f t="shared" si="1"/>
        <v>13</v>
      </c>
      <c r="E160" s="2">
        <f>IFERROR(__xludf.DUMMYFUNCTION("SPLIT(B160,""/"")"),28.0)</f>
        <v>28</v>
      </c>
      <c r="F160" s="2">
        <f>IFERROR(__xludf.DUMMYFUNCTION("""COMPUTED_VALUE"""),9.0)</f>
        <v>9</v>
      </c>
      <c r="G160" s="2">
        <f>IFERROR(__xludf.DUMMYFUNCTION("""COMPUTED_VALUE"""),2024.0)</f>
        <v>2024</v>
      </c>
      <c r="H160" s="2" t="str">
        <f t="shared" si="2"/>
        <v>2024/9/28</v>
      </c>
      <c r="I160" s="2" t="s">
        <v>1566</v>
      </c>
      <c r="J160" s="2" t="str">
        <f t="shared" si="3"/>
        <v>Roti Bawang Saus Keju</v>
      </c>
      <c r="K160" s="7">
        <f>if(RIGHT(I160,5)="2 pcs",2,Data!I160)</f>
        <v>1</v>
      </c>
      <c r="L160" s="2" t="str">
        <f t="shared" si="4"/>
        <v>Saturday</v>
      </c>
      <c r="M160" s="2" t="str">
        <f t="shared" si="5"/>
        <v>28</v>
      </c>
      <c r="N160" s="2">
        <f>VLOOKUP(L160,'Data Info'!$A$1:$B$8,2,0)</f>
        <v>6</v>
      </c>
      <c r="O160" s="2" t="str">
        <f>VLOOKUP(L160,'Data Info'!$A$1:$C$8,3,0)</f>
        <v>Weekend</v>
      </c>
    </row>
    <row r="161">
      <c r="A161" s="4">
        <v>45563.57083333333</v>
      </c>
      <c r="B161" s="9">
        <f>IFERROR(__xludf.DUMMYFUNCTION("SPLIT(A161,"" "")"),45563.0)</f>
        <v>45563</v>
      </c>
      <c r="C161" s="10">
        <f>IFERROR(__xludf.DUMMYFUNCTION("""COMPUTED_VALUE"""),0.5708333333333333)</f>
        <v>0.5708333333</v>
      </c>
      <c r="D161" s="2">
        <f t="shared" si="1"/>
        <v>13</v>
      </c>
      <c r="E161" s="2">
        <f>IFERROR(__xludf.DUMMYFUNCTION("SPLIT(B161,""/"")"),28.0)</f>
        <v>28</v>
      </c>
      <c r="F161" s="2">
        <f>IFERROR(__xludf.DUMMYFUNCTION("""COMPUTED_VALUE"""),9.0)</f>
        <v>9</v>
      </c>
      <c r="G161" s="2">
        <f>IFERROR(__xludf.DUMMYFUNCTION("""COMPUTED_VALUE"""),2024.0)</f>
        <v>2024</v>
      </c>
      <c r="H161" s="2" t="str">
        <f t="shared" si="2"/>
        <v>2024/9/28</v>
      </c>
      <c r="I161" s="2" t="s">
        <v>1596</v>
      </c>
      <c r="J161" s="2" t="str">
        <f t="shared" si="3"/>
        <v>Roti Cranberry</v>
      </c>
      <c r="K161" s="7">
        <f>if(RIGHT(I161,5)="2 pcs",2,Data!I161)</f>
        <v>2</v>
      </c>
      <c r="L161" s="2" t="str">
        <f t="shared" si="4"/>
        <v>Saturday</v>
      </c>
      <c r="M161" s="2" t="str">
        <f t="shared" si="5"/>
        <v>28</v>
      </c>
      <c r="N161" s="2">
        <f>VLOOKUP(L161,'Data Info'!$A$1:$B$8,2,0)</f>
        <v>6</v>
      </c>
      <c r="O161" s="2" t="str">
        <f>VLOOKUP(L161,'Data Info'!$A$1:$C$8,3,0)</f>
        <v>Weekend</v>
      </c>
    </row>
    <row r="162">
      <c r="A162" s="4">
        <v>45563.5625</v>
      </c>
      <c r="B162" s="9">
        <f>IFERROR(__xludf.DUMMYFUNCTION("SPLIT(A162,"" "")"),45563.0)</f>
        <v>45563</v>
      </c>
      <c r="C162" s="10">
        <f>IFERROR(__xludf.DUMMYFUNCTION("""COMPUTED_VALUE"""),0.5625)</f>
        <v>0.5625</v>
      </c>
      <c r="D162" s="2">
        <f t="shared" si="1"/>
        <v>13</v>
      </c>
      <c r="E162" s="2">
        <f>IFERROR(__xludf.DUMMYFUNCTION("SPLIT(B162,""/"")"),28.0)</f>
        <v>28</v>
      </c>
      <c r="F162" s="2">
        <f>IFERROR(__xludf.DUMMYFUNCTION("""COMPUTED_VALUE"""),9.0)</f>
        <v>9</v>
      </c>
      <c r="G162" s="2">
        <f>IFERROR(__xludf.DUMMYFUNCTION("""COMPUTED_VALUE"""),2024.0)</f>
        <v>2024</v>
      </c>
      <c r="H162" s="2" t="str">
        <f t="shared" si="2"/>
        <v>2024/9/28</v>
      </c>
      <c r="I162" s="2" t="s">
        <v>1592</v>
      </c>
      <c r="J162" s="2" t="str">
        <f t="shared" si="3"/>
        <v>Kopi Tubruk Panas</v>
      </c>
      <c r="K162" s="7">
        <f>if(RIGHT(I162,5)="2 pcs",2,Data!I162)</f>
        <v>1</v>
      </c>
      <c r="L162" s="2" t="str">
        <f t="shared" si="4"/>
        <v>Saturday</v>
      </c>
      <c r="M162" s="2" t="str">
        <f t="shared" si="5"/>
        <v>28</v>
      </c>
      <c r="N162" s="2">
        <f>VLOOKUP(L162,'Data Info'!$A$1:$B$8,2,0)</f>
        <v>6</v>
      </c>
      <c r="O162" s="2" t="str">
        <f>VLOOKUP(L162,'Data Info'!$A$1:$C$8,3,0)</f>
        <v>Weekend</v>
      </c>
    </row>
    <row r="163">
      <c r="A163" s="4">
        <v>45563.5625</v>
      </c>
      <c r="B163" s="9">
        <f>IFERROR(__xludf.DUMMYFUNCTION("SPLIT(A163,"" "")"),45563.0)</f>
        <v>45563</v>
      </c>
      <c r="C163" s="10">
        <f>IFERROR(__xludf.DUMMYFUNCTION("""COMPUTED_VALUE"""),0.5625)</f>
        <v>0.5625</v>
      </c>
      <c r="D163" s="2">
        <f t="shared" si="1"/>
        <v>13</v>
      </c>
      <c r="E163" s="2">
        <f>IFERROR(__xludf.DUMMYFUNCTION("SPLIT(B163,""/"")"),28.0)</f>
        <v>28</v>
      </c>
      <c r="F163" s="2">
        <f>IFERROR(__xludf.DUMMYFUNCTION("""COMPUTED_VALUE"""),9.0)</f>
        <v>9</v>
      </c>
      <c r="G163" s="2">
        <f>IFERROR(__xludf.DUMMYFUNCTION("""COMPUTED_VALUE"""),2024.0)</f>
        <v>2024</v>
      </c>
      <c r="H163" s="2" t="str">
        <f t="shared" si="2"/>
        <v>2024/9/28</v>
      </c>
      <c r="I163" s="2" t="s">
        <v>1573</v>
      </c>
      <c r="J163" s="2" t="str">
        <f t="shared" si="3"/>
        <v>Air mineral</v>
      </c>
      <c r="K163" s="7">
        <f>if(RIGHT(I163,5)="2 pcs",2,Data!I163)</f>
        <v>1</v>
      </c>
      <c r="L163" s="2" t="str">
        <f t="shared" si="4"/>
        <v>Saturday</v>
      </c>
      <c r="M163" s="2" t="str">
        <f t="shared" si="5"/>
        <v>28</v>
      </c>
      <c r="N163" s="2">
        <f>VLOOKUP(L163,'Data Info'!$A$1:$B$8,2,0)</f>
        <v>6</v>
      </c>
      <c r="O163" s="2" t="str">
        <f>VLOOKUP(L163,'Data Info'!$A$1:$C$8,3,0)</f>
        <v>Weekend</v>
      </c>
    </row>
    <row r="164">
      <c r="A164" s="4">
        <v>45563.55486111111</v>
      </c>
      <c r="B164" s="9">
        <f>IFERROR(__xludf.DUMMYFUNCTION("SPLIT(A164,"" "")"),45563.0)</f>
        <v>45563</v>
      </c>
      <c r="C164" s="10">
        <f>IFERROR(__xludf.DUMMYFUNCTION("""COMPUTED_VALUE"""),0.5548611111111111)</f>
        <v>0.5548611111</v>
      </c>
      <c r="D164" s="2">
        <f t="shared" si="1"/>
        <v>13</v>
      </c>
      <c r="E164" s="2">
        <f>IFERROR(__xludf.DUMMYFUNCTION("SPLIT(B164,""/"")"),28.0)</f>
        <v>28</v>
      </c>
      <c r="F164" s="2">
        <f>IFERROR(__xludf.DUMMYFUNCTION("""COMPUTED_VALUE"""),9.0)</f>
        <v>9</v>
      </c>
      <c r="G164" s="2">
        <f>IFERROR(__xludf.DUMMYFUNCTION("""COMPUTED_VALUE"""),2024.0)</f>
        <v>2024</v>
      </c>
      <c r="H164" s="2" t="str">
        <f t="shared" si="2"/>
        <v>2024/9/28</v>
      </c>
      <c r="I164" s="2" t="s">
        <v>1599</v>
      </c>
      <c r="J164" s="2" t="str">
        <f t="shared" si="3"/>
        <v>Rempah Madu Dingin</v>
      </c>
      <c r="K164" s="7">
        <f>if(RIGHT(I164,5)="2 pcs",2,Data!I164)</f>
        <v>1</v>
      </c>
      <c r="L164" s="2" t="str">
        <f t="shared" si="4"/>
        <v>Saturday</v>
      </c>
      <c r="M164" s="2" t="str">
        <f t="shared" si="5"/>
        <v>28</v>
      </c>
      <c r="N164" s="2">
        <f>VLOOKUP(L164,'Data Info'!$A$1:$B$8,2,0)</f>
        <v>6</v>
      </c>
      <c r="O164" s="2" t="str">
        <f>VLOOKUP(L164,'Data Info'!$A$1:$C$8,3,0)</f>
        <v>Weekend</v>
      </c>
    </row>
    <row r="165">
      <c r="A165" s="4">
        <v>45563.55486111111</v>
      </c>
      <c r="B165" s="9">
        <f>IFERROR(__xludf.DUMMYFUNCTION("SPLIT(A165,"" "")"),45563.0)</f>
        <v>45563</v>
      </c>
      <c r="C165" s="10">
        <f>IFERROR(__xludf.DUMMYFUNCTION("""COMPUTED_VALUE"""),0.5548611111111111)</f>
        <v>0.5548611111</v>
      </c>
      <c r="D165" s="2">
        <f t="shared" si="1"/>
        <v>13</v>
      </c>
      <c r="E165" s="2">
        <f>IFERROR(__xludf.DUMMYFUNCTION("SPLIT(B165,""/"")"),28.0)</f>
        <v>28</v>
      </c>
      <c r="F165" s="2">
        <f>IFERROR(__xludf.DUMMYFUNCTION("""COMPUTED_VALUE"""),9.0)</f>
        <v>9</v>
      </c>
      <c r="G165" s="2">
        <f>IFERROR(__xludf.DUMMYFUNCTION("""COMPUTED_VALUE"""),2024.0)</f>
        <v>2024</v>
      </c>
      <c r="H165" s="2" t="str">
        <f t="shared" si="2"/>
        <v>2024/9/28</v>
      </c>
      <c r="I165" s="2" t="s">
        <v>1583</v>
      </c>
      <c r="J165" s="2" t="str">
        <f t="shared" si="3"/>
        <v>Es Kopi Lemon</v>
      </c>
      <c r="K165" s="7">
        <f>if(RIGHT(I165,5)="2 pcs",2,Data!I165)</f>
        <v>1</v>
      </c>
      <c r="L165" s="2" t="str">
        <f t="shared" si="4"/>
        <v>Saturday</v>
      </c>
      <c r="M165" s="2" t="str">
        <f t="shared" si="5"/>
        <v>28</v>
      </c>
      <c r="N165" s="2">
        <f>VLOOKUP(L165,'Data Info'!$A$1:$B$8,2,0)</f>
        <v>6</v>
      </c>
      <c r="O165" s="2" t="str">
        <f>VLOOKUP(L165,'Data Info'!$A$1:$C$8,3,0)</f>
        <v>Weekend</v>
      </c>
    </row>
    <row r="166">
      <c r="A166" s="4">
        <v>45563.55486111111</v>
      </c>
      <c r="B166" s="9">
        <f>IFERROR(__xludf.DUMMYFUNCTION("SPLIT(A166,"" "")"),45563.0)</f>
        <v>45563</v>
      </c>
      <c r="C166" s="10">
        <f>IFERROR(__xludf.DUMMYFUNCTION("""COMPUTED_VALUE"""),0.5548611111111111)</f>
        <v>0.5548611111</v>
      </c>
      <c r="D166" s="2">
        <f t="shared" si="1"/>
        <v>13</v>
      </c>
      <c r="E166" s="2">
        <f>IFERROR(__xludf.DUMMYFUNCTION("SPLIT(B166,""/"")"),28.0)</f>
        <v>28</v>
      </c>
      <c r="F166" s="2">
        <f>IFERROR(__xludf.DUMMYFUNCTION("""COMPUTED_VALUE"""),9.0)</f>
        <v>9</v>
      </c>
      <c r="G166" s="2">
        <f>IFERROR(__xludf.DUMMYFUNCTION("""COMPUTED_VALUE"""),2024.0)</f>
        <v>2024</v>
      </c>
      <c r="H166" s="2" t="str">
        <f t="shared" si="2"/>
        <v>2024/9/28</v>
      </c>
      <c r="I166" s="2" t="s">
        <v>1576</v>
      </c>
      <c r="J166" s="2" t="str">
        <f t="shared" si="3"/>
        <v>Roti Cranberry</v>
      </c>
      <c r="K166" s="7">
        <f>if(RIGHT(I166,5)="2 pcs",2,Data!I166)</f>
        <v>1</v>
      </c>
      <c r="L166" s="2" t="str">
        <f t="shared" si="4"/>
        <v>Saturday</v>
      </c>
      <c r="M166" s="2" t="str">
        <f t="shared" si="5"/>
        <v>28</v>
      </c>
      <c r="N166" s="2">
        <f>VLOOKUP(L166,'Data Info'!$A$1:$B$8,2,0)</f>
        <v>6</v>
      </c>
      <c r="O166" s="2" t="str">
        <f>VLOOKUP(L166,'Data Info'!$A$1:$C$8,3,0)</f>
        <v>Weekend</v>
      </c>
    </row>
    <row r="167">
      <c r="A167" s="4">
        <v>45563.55486111111</v>
      </c>
      <c r="B167" s="9">
        <f>IFERROR(__xludf.DUMMYFUNCTION("SPLIT(A167,"" "")"),45563.0)</f>
        <v>45563</v>
      </c>
      <c r="C167" s="10">
        <f>IFERROR(__xludf.DUMMYFUNCTION("""COMPUTED_VALUE"""),0.5548611111111111)</f>
        <v>0.5548611111</v>
      </c>
      <c r="D167" s="2">
        <f t="shared" si="1"/>
        <v>13</v>
      </c>
      <c r="E167" s="2">
        <f>IFERROR(__xludf.DUMMYFUNCTION("SPLIT(B167,""/"")"),28.0)</f>
        <v>28</v>
      </c>
      <c r="F167" s="2">
        <f>IFERROR(__xludf.DUMMYFUNCTION("""COMPUTED_VALUE"""),9.0)</f>
        <v>9</v>
      </c>
      <c r="G167" s="2">
        <f>IFERROR(__xludf.DUMMYFUNCTION("""COMPUTED_VALUE"""),2024.0)</f>
        <v>2024</v>
      </c>
      <c r="H167" s="2" t="str">
        <f t="shared" si="2"/>
        <v>2024/9/28</v>
      </c>
      <c r="I167" s="2" t="s">
        <v>1595</v>
      </c>
      <c r="J167" s="2" t="str">
        <f t="shared" si="3"/>
        <v>Roti Gandum Cokelat</v>
      </c>
      <c r="K167" s="7">
        <f>if(RIGHT(I167,5)="2 pcs",2,Data!I167)</f>
        <v>1</v>
      </c>
      <c r="L167" s="2" t="str">
        <f t="shared" si="4"/>
        <v>Saturday</v>
      </c>
      <c r="M167" s="2" t="str">
        <f t="shared" si="5"/>
        <v>28</v>
      </c>
      <c r="N167" s="2">
        <f>VLOOKUP(L167,'Data Info'!$A$1:$B$8,2,0)</f>
        <v>6</v>
      </c>
      <c r="O167" s="2" t="str">
        <f>VLOOKUP(L167,'Data Info'!$A$1:$C$8,3,0)</f>
        <v>Weekend</v>
      </c>
    </row>
    <row r="168">
      <c r="A168" s="4">
        <v>45563.52638888889</v>
      </c>
      <c r="B168" s="9">
        <f>IFERROR(__xludf.DUMMYFUNCTION("SPLIT(A168,"" "")"),45563.0)</f>
        <v>45563</v>
      </c>
      <c r="C168" s="10">
        <f>IFERROR(__xludf.DUMMYFUNCTION("""COMPUTED_VALUE"""),0.5263888888888889)</f>
        <v>0.5263888889</v>
      </c>
      <c r="D168" s="2">
        <f t="shared" si="1"/>
        <v>12</v>
      </c>
      <c r="E168" s="2">
        <f>IFERROR(__xludf.DUMMYFUNCTION("SPLIT(B168,""/"")"),28.0)</f>
        <v>28</v>
      </c>
      <c r="F168" s="2">
        <f>IFERROR(__xludf.DUMMYFUNCTION("""COMPUTED_VALUE"""),9.0)</f>
        <v>9</v>
      </c>
      <c r="G168" s="2">
        <f>IFERROR(__xludf.DUMMYFUNCTION("""COMPUTED_VALUE"""),2024.0)</f>
        <v>2024</v>
      </c>
      <c r="H168" s="2" t="str">
        <f t="shared" si="2"/>
        <v>2024/9/28</v>
      </c>
      <c r="I168" s="2" t="s">
        <v>1596</v>
      </c>
      <c r="J168" s="2" t="str">
        <f t="shared" si="3"/>
        <v>Roti Cranberry</v>
      </c>
      <c r="K168" s="7">
        <f>if(RIGHT(I168,5)="2 pcs",2,Data!I168)</f>
        <v>2</v>
      </c>
      <c r="L168" s="2" t="str">
        <f t="shared" si="4"/>
        <v>Saturday</v>
      </c>
      <c r="M168" s="2" t="str">
        <f t="shared" si="5"/>
        <v>28</v>
      </c>
      <c r="N168" s="2">
        <f>VLOOKUP(L168,'Data Info'!$A$1:$B$8,2,0)</f>
        <v>6</v>
      </c>
      <c r="O168" s="2" t="str">
        <f>VLOOKUP(L168,'Data Info'!$A$1:$C$8,3,0)</f>
        <v>Weekend</v>
      </c>
    </row>
    <row r="169">
      <c r="A169" s="4">
        <v>45563.52638888889</v>
      </c>
      <c r="B169" s="9">
        <f>IFERROR(__xludf.DUMMYFUNCTION("SPLIT(A169,"" "")"),45563.0)</f>
        <v>45563</v>
      </c>
      <c r="C169" s="10">
        <f>IFERROR(__xludf.DUMMYFUNCTION("""COMPUTED_VALUE"""),0.5263888888888889)</f>
        <v>0.5263888889</v>
      </c>
      <c r="D169" s="2">
        <f t="shared" si="1"/>
        <v>12</v>
      </c>
      <c r="E169" s="2">
        <f>IFERROR(__xludf.DUMMYFUNCTION("SPLIT(B169,""/"")"),28.0)</f>
        <v>28</v>
      </c>
      <c r="F169" s="2">
        <f>IFERROR(__xludf.DUMMYFUNCTION("""COMPUTED_VALUE"""),9.0)</f>
        <v>9</v>
      </c>
      <c r="G169" s="2">
        <f>IFERROR(__xludf.DUMMYFUNCTION("""COMPUTED_VALUE"""),2024.0)</f>
        <v>2024</v>
      </c>
      <c r="H169" s="2" t="str">
        <f t="shared" si="2"/>
        <v>2024/9/28</v>
      </c>
      <c r="I169" s="2" t="s">
        <v>1597</v>
      </c>
      <c r="J169" s="2" t="str">
        <f t="shared" si="3"/>
        <v>Roti Gandum Cokelat</v>
      </c>
      <c r="K169" s="7">
        <f>if(RIGHT(I169,5)="2 pcs",2,Data!I169)</f>
        <v>2</v>
      </c>
      <c r="L169" s="2" t="str">
        <f t="shared" si="4"/>
        <v>Saturday</v>
      </c>
      <c r="M169" s="2" t="str">
        <f t="shared" si="5"/>
        <v>28</v>
      </c>
      <c r="N169" s="2">
        <f>VLOOKUP(L169,'Data Info'!$A$1:$B$8,2,0)</f>
        <v>6</v>
      </c>
      <c r="O169" s="2" t="str">
        <f>VLOOKUP(L169,'Data Info'!$A$1:$C$8,3,0)</f>
        <v>Weekend</v>
      </c>
    </row>
    <row r="170">
      <c r="A170" s="4">
        <v>45563.52638888889</v>
      </c>
      <c r="B170" s="9">
        <f>IFERROR(__xludf.DUMMYFUNCTION("SPLIT(A170,"" "")"),45563.0)</f>
        <v>45563</v>
      </c>
      <c r="C170" s="10">
        <f>IFERROR(__xludf.DUMMYFUNCTION("""COMPUTED_VALUE"""),0.5263888888888889)</f>
        <v>0.5263888889</v>
      </c>
      <c r="D170" s="2">
        <f t="shared" si="1"/>
        <v>12</v>
      </c>
      <c r="E170" s="2">
        <f>IFERROR(__xludf.DUMMYFUNCTION("SPLIT(B170,""/"")"),28.0)</f>
        <v>28</v>
      </c>
      <c r="F170" s="2">
        <f>IFERROR(__xludf.DUMMYFUNCTION("""COMPUTED_VALUE"""),9.0)</f>
        <v>9</v>
      </c>
      <c r="G170" s="2">
        <f>IFERROR(__xludf.DUMMYFUNCTION("""COMPUTED_VALUE"""),2024.0)</f>
        <v>2024</v>
      </c>
      <c r="H170" s="2" t="str">
        <f t="shared" si="2"/>
        <v>2024/9/28</v>
      </c>
      <c r="I170" s="2" t="s">
        <v>1566</v>
      </c>
      <c r="J170" s="2" t="str">
        <f t="shared" si="3"/>
        <v>Roti Bawang Saus Keju</v>
      </c>
      <c r="K170" s="7">
        <f>if(RIGHT(I170,5)="2 pcs",2,Data!I170)</f>
        <v>1</v>
      </c>
      <c r="L170" s="2" t="str">
        <f t="shared" si="4"/>
        <v>Saturday</v>
      </c>
      <c r="M170" s="2" t="str">
        <f t="shared" si="5"/>
        <v>28</v>
      </c>
      <c r="N170" s="2">
        <f>VLOOKUP(L170,'Data Info'!$A$1:$B$8,2,0)</f>
        <v>6</v>
      </c>
      <c r="O170" s="2" t="str">
        <f>VLOOKUP(L170,'Data Info'!$A$1:$C$8,3,0)</f>
        <v>Weekend</v>
      </c>
    </row>
    <row r="171">
      <c r="A171" s="4">
        <v>45563.52638888889</v>
      </c>
      <c r="B171" s="9">
        <f>IFERROR(__xludf.DUMMYFUNCTION("SPLIT(A171,"" "")"),45563.0)</f>
        <v>45563</v>
      </c>
      <c r="C171" s="10">
        <f>IFERROR(__xludf.DUMMYFUNCTION("""COMPUTED_VALUE"""),0.5263888888888889)</f>
        <v>0.5263888889</v>
      </c>
      <c r="D171" s="2">
        <f t="shared" si="1"/>
        <v>12</v>
      </c>
      <c r="E171" s="2">
        <f>IFERROR(__xludf.DUMMYFUNCTION("SPLIT(B171,""/"")"),28.0)</f>
        <v>28</v>
      </c>
      <c r="F171" s="2">
        <f>IFERROR(__xludf.DUMMYFUNCTION("""COMPUTED_VALUE"""),9.0)</f>
        <v>9</v>
      </c>
      <c r="G171" s="2">
        <f>IFERROR(__xludf.DUMMYFUNCTION("""COMPUTED_VALUE"""),2024.0)</f>
        <v>2024</v>
      </c>
      <c r="H171" s="2" t="str">
        <f t="shared" si="2"/>
        <v>2024/9/28</v>
      </c>
      <c r="I171" s="2" t="s">
        <v>1596</v>
      </c>
      <c r="J171" s="2" t="str">
        <f t="shared" si="3"/>
        <v>Roti Cranberry</v>
      </c>
      <c r="K171" s="7">
        <f>if(RIGHT(I171,5)="2 pcs",2,Data!I171)</f>
        <v>2</v>
      </c>
      <c r="L171" s="2" t="str">
        <f t="shared" si="4"/>
        <v>Saturday</v>
      </c>
      <c r="M171" s="2" t="str">
        <f t="shared" si="5"/>
        <v>28</v>
      </c>
      <c r="N171" s="2">
        <f>VLOOKUP(L171,'Data Info'!$A$1:$B$8,2,0)</f>
        <v>6</v>
      </c>
      <c r="O171" s="2" t="str">
        <f>VLOOKUP(L171,'Data Info'!$A$1:$C$8,3,0)</f>
        <v>Weekend</v>
      </c>
    </row>
    <row r="172">
      <c r="A172" s="4">
        <v>45563.50902777778</v>
      </c>
      <c r="B172" s="9">
        <f>IFERROR(__xludf.DUMMYFUNCTION("SPLIT(A172,"" "")"),45563.0)</f>
        <v>45563</v>
      </c>
      <c r="C172" s="10">
        <f>IFERROR(__xludf.DUMMYFUNCTION("""COMPUTED_VALUE"""),0.5090277777777777)</f>
        <v>0.5090277778</v>
      </c>
      <c r="D172" s="2">
        <f t="shared" si="1"/>
        <v>12</v>
      </c>
      <c r="E172" s="2">
        <f>IFERROR(__xludf.DUMMYFUNCTION("SPLIT(B172,""/"")"),28.0)</f>
        <v>28</v>
      </c>
      <c r="F172" s="2">
        <f>IFERROR(__xludf.DUMMYFUNCTION("""COMPUTED_VALUE"""),9.0)</f>
        <v>9</v>
      </c>
      <c r="G172" s="2">
        <f>IFERROR(__xludf.DUMMYFUNCTION("""COMPUTED_VALUE"""),2024.0)</f>
        <v>2024</v>
      </c>
      <c r="H172" s="2" t="str">
        <f t="shared" si="2"/>
        <v>2024/9/28</v>
      </c>
      <c r="I172" s="2" t="s">
        <v>1594</v>
      </c>
      <c r="J172" s="2" t="str">
        <f t="shared" si="3"/>
        <v>Wedang Bulan</v>
      </c>
      <c r="K172" s="7">
        <f>if(RIGHT(I172,5)="2 pcs",2,Data!I172)</f>
        <v>1</v>
      </c>
      <c r="L172" s="2" t="str">
        <f t="shared" si="4"/>
        <v>Saturday</v>
      </c>
      <c r="M172" s="2" t="str">
        <f t="shared" si="5"/>
        <v>28</v>
      </c>
      <c r="N172" s="2">
        <f>VLOOKUP(L172,'Data Info'!$A$1:$B$8,2,0)</f>
        <v>6</v>
      </c>
      <c r="O172" s="2" t="str">
        <f>VLOOKUP(L172,'Data Info'!$A$1:$C$8,3,0)</f>
        <v>Weekend</v>
      </c>
    </row>
    <row r="173">
      <c r="A173" s="4">
        <v>45563.50902777778</v>
      </c>
      <c r="B173" s="9">
        <f>IFERROR(__xludf.DUMMYFUNCTION("SPLIT(A173,"" "")"),45563.0)</f>
        <v>45563</v>
      </c>
      <c r="C173" s="10">
        <f>IFERROR(__xludf.DUMMYFUNCTION("""COMPUTED_VALUE"""),0.5090277777777777)</f>
        <v>0.5090277778</v>
      </c>
      <c r="D173" s="2">
        <f t="shared" si="1"/>
        <v>12</v>
      </c>
      <c r="E173" s="2">
        <f>IFERROR(__xludf.DUMMYFUNCTION("SPLIT(B173,""/"")"),28.0)</f>
        <v>28</v>
      </c>
      <c r="F173" s="2">
        <f>IFERROR(__xludf.DUMMYFUNCTION("""COMPUTED_VALUE"""),9.0)</f>
        <v>9</v>
      </c>
      <c r="G173" s="2">
        <f>IFERROR(__xludf.DUMMYFUNCTION("""COMPUTED_VALUE"""),2024.0)</f>
        <v>2024</v>
      </c>
      <c r="H173" s="2" t="str">
        <f t="shared" si="2"/>
        <v>2024/9/28</v>
      </c>
      <c r="I173" s="2" t="s">
        <v>1593</v>
      </c>
      <c r="J173" s="2" t="str">
        <f t="shared" si="3"/>
        <v>Wedang laut</v>
      </c>
      <c r="K173" s="7">
        <f>if(RIGHT(I173,5)="2 pcs",2,Data!I173)</f>
        <v>1</v>
      </c>
      <c r="L173" s="2" t="str">
        <f t="shared" si="4"/>
        <v>Saturday</v>
      </c>
      <c r="M173" s="2" t="str">
        <f t="shared" si="5"/>
        <v>28</v>
      </c>
      <c r="N173" s="2">
        <f>VLOOKUP(L173,'Data Info'!$A$1:$B$8,2,0)</f>
        <v>6</v>
      </c>
      <c r="O173" s="2" t="str">
        <f>VLOOKUP(L173,'Data Info'!$A$1:$C$8,3,0)</f>
        <v>Weekend</v>
      </c>
    </row>
    <row r="174">
      <c r="A174" s="4">
        <v>45563.50902777778</v>
      </c>
      <c r="B174" s="9">
        <f>IFERROR(__xludf.DUMMYFUNCTION("SPLIT(A174,"" "")"),45563.0)</f>
        <v>45563</v>
      </c>
      <c r="C174" s="10">
        <f>IFERROR(__xludf.DUMMYFUNCTION("""COMPUTED_VALUE"""),0.5090277777777777)</f>
        <v>0.5090277778</v>
      </c>
      <c r="D174" s="2">
        <f t="shared" si="1"/>
        <v>12</v>
      </c>
      <c r="E174" s="2">
        <f>IFERROR(__xludf.DUMMYFUNCTION("SPLIT(B174,""/"")"),28.0)</f>
        <v>28</v>
      </c>
      <c r="F174" s="2">
        <f>IFERROR(__xludf.DUMMYFUNCTION("""COMPUTED_VALUE"""),9.0)</f>
        <v>9</v>
      </c>
      <c r="G174" s="2">
        <f>IFERROR(__xludf.DUMMYFUNCTION("""COMPUTED_VALUE"""),2024.0)</f>
        <v>2024</v>
      </c>
      <c r="H174" s="2" t="str">
        <f t="shared" si="2"/>
        <v>2024/9/28</v>
      </c>
      <c r="I174" s="2" t="s">
        <v>1576</v>
      </c>
      <c r="J174" s="2" t="str">
        <f t="shared" si="3"/>
        <v>Roti Cranberry</v>
      </c>
      <c r="K174" s="7">
        <f>if(RIGHT(I174,5)="2 pcs",2,Data!I174)</f>
        <v>1</v>
      </c>
      <c r="L174" s="2" t="str">
        <f t="shared" si="4"/>
        <v>Saturday</v>
      </c>
      <c r="M174" s="2" t="str">
        <f t="shared" si="5"/>
        <v>28</v>
      </c>
      <c r="N174" s="2">
        <f>VLOOKUP(L174,'Data Info'!$A$1:$B$8,2,0)</f>
        <v>6</v>
      </c>
      <c r="O174" s="2" t="str">
        <f>VLOOKUP(L174,'Data Info'!$A$1:$C$8,3,0)</f>
        <v>Weekend</v>
      </c>
    </row>
    <row r="175">
      <c r="A175" s="4">
        <v>45563.489583333336</v>
      </c>
      <c r="B175" s="9">
        <f>IFERROR(__xludf.DUMMYFUNCTION("SPLIT(A175,"" "")"),45563.0)</f>
        <v>45563</v>
      </c>
      <c r="C175" s="10">
        <f>IFERROR(__xludf.DUMMYFUNCTION("""COMPUTED_VALUE"""),0.4895833333333333)</f>
        <v>0.4895833333</v>
      </c>
      <c r="D175" s="2">
        <f t="shared" si="1"/>
        <v>11</v>
      </c>
      <c r="E175" s="2">
        <f>IFERROR(__xludf.DUMMYFUNCTION("SPLIT(B175,""/"")"),28.0)</f>
        <v>28</v>
      </c>
      <c r="F175" s="2">
        <f>IFERROR(__xludf.DUMMYFUNCTION("""COMPUTED_VALUE"""),9.0)</f>
        <v>9</v>
      </c>
      <c r="G175" s="2">
        <f>IFERROR(__xludf.DUMMYFUNCTION("""COMPUTED_VALUE"""),2024.0)</f>
        <v>2024</v>
      </c>
      <c r="H175" s="2" t="str">
        <f t="shared" si="2"/>
        <v>2024/9/28</v>
      </c>
      <c r="I175" s="2" t="s">
        <v>1588</v>
      </c>
      <c r="J175" s="2" t="str">
        <f t="shared" si="3"/>
        <v>Es Kopi Susu</v>
      </c>
      <c r="K175" s="7">
        <f>if(RIGHT(I175,5)="2 pcs",2,Data!I175)</f>
        <v>1</v>
      </c>
      <c r="L175" s="2" t="str">
        <f t="shared" si="4"/>
        <v>Saturday</v>
      </c>
      <c r="M175" s="2" t="str">
        <f t="shared" si="5"/>
        <v>28</v>
      </c>
      <c r="N175" s="2">
        <f>VLOOKUP(L175,'Data Info'!$A$1:$B$8,2,0)</f>
        <v>6</v>
      </c>
      <c r="O175" s="2" t="str">
        <f>VLOOKUP(L175,'Data Info'!$A$1:$C$8,3,0)</f>
        <v>Weekend</v>
      </c>
    </row>
    <row r="176">
      <c r="A176" s="4">
        <v>45563.489583333336</v>
      </c>
      <c r="B176" s="9">
        <f>IFERROR(__xludf.DUMMYFUNCTION("SPLIT(A176,"" "")"),45563.0)</f>
        <v>45563</v>
      </c>
      <c r="C176" s="10">
        <f>IFERROR(__xludf.DUMMYFUNCTION("""COMPUTED_VALUE"""),0.4895833333333333)</f>
        <v>0.4895833333</v>
      </c>
      <c r="D176" s="2">
        <f t="shared" si="1"/>
        <v>11</v>
      </c>
      <c r="E176" s="2">
        <f>IFERROR(__xludf.DUMMYFUNCTION("SPLIT(B176,""/"")"),28.0)</f>
        <v>28</v>
      </c>
      <c r="F176" s="2">
        <f>IFERROR(__xludf.DUMMYFUNCTION("""COMPUTED_VALUE"""),9.0)</f>
        <v>9</v>
      </c>
      <c r="G176" s="2">
        <f>IFERROR(__xludf.DUMMYFUNCTION("""COMPUTED_VALUE"""),2024.0)</f>
        <v>2024</v>
      </c>
      <c r="H176" s="2" t="str">
        <f t="shared" si="2"/>
        <v>2024/9/28</v>
      </c>
      <c r="I176" s="2" t="s">
        <v>1612</v>
      </c>
      <c r="J176" s="2" t="str">
        <f t="shared" si="3"/>
        <v>Nasi telor</v>
      </c>
      <c r="K176" s="7">
        <f>if(RIGHT(I176,5)="2 pcs",2,Data!I176)</f>
        <v>1</v>
      </c>
      <c r="L176" s="2" t="str">
        <f t="shared" si="4"/>
        <v>Saturday</v>
      </c>
      <c r="M176" s="2" t="str">
        <f t="shared" si="5"/>
        <v>28</v>
      </c>
      <c r="N176" s="2">
        <f>VLOOKUP(L176,'Data Info'!$A$1:$B$8,2,0)</f>
        <v>6</v>
      </c>
      <c r="O176" s="2" t="str">
        <f>VLOOKUP(L176,'Data Info'!$A$1:$C$8,3,0)</f>
        <v>Weekend</v>
      </c>
    </row>
    <row r="177">
      <c r="A177" s="4">
        <v>45563.48888888889</v>
      </c>
      <c r="B177" s="9">
        <f>IFERROR(__xludf.DUMMYFUNCTION("SPLIT(A177,"" "")"),45563.0)</f>
        <v>45563</v>
      </c>
      <c r="C177" s="10">
        <f>IFERROR(__xludf.DUMMYFUNCTION("""COMPUTED_VALUE"""),0.4888888888888889)</f>
        <v>0.4888888889</v>
      </c>
      <c r="D177" s="2">
        <f t="shared" si="1"/>
        <v>11</v>
      </c>
      <c r="E177" s="2">
        <f>IFERROR(__xludf.DUMMYFUNCTION("SPLIT(B177,""/"")"),28.0)</f>
        <v>28</v>
      </c>
      <c r="F177" s="2">
        <f>IFERROR(__xludf.DUMMYFUNCTION("""COMPUTED_VALUE"""),9.0)</f>
        <v>9</v>
      </c>
      <c r="G177" s="2">
        <f>IFERROR(__xludf.DUMMYFUNCTION("""COMPUTED_VALUE"""),2024.0)</f>
        <v>2024</v>
      </c>
      <c r="H177" s="2" t="str">
        <f t="shared" si="2"/>
        <v>2024/9/28</v>
      </c>
      <c r="I177" s="2" t="s">
        <v>1588</v>
      </c>
      <c r="J177" s="2" t="str">
        <f t="shared" si="3"/>
        <v>Es Kopi Susu</v>
      </c>
      <c r="K177" s="7">
        <f>if(RIGHT(I177,5)="2 pcs",2,Data!I177)</f>
        <v>1</v>
      </c>
      <c r="L177" s="2" t="str">
        <f t="shared" si="4"/>
        <v>Saturday</v>
      </c>
      <c r="M177" s="2" t="str">
        <f t="shared" si="5"/>
        <v>28</v>
      </c>
      <c r="N177" s="2">
        <f>VLOOKUP(L177,'Data Info'!$A$1:$B$8,2,0)</f>
        <v>6</v>
      </c>
      <c r="O177" s="2" t="str">
        <f>VLOOKUP(L177,'Data Info'!$A$1:$C$8,3,0)</f>
        <v>Weekend</v>
      </c>
    </row>
    <row r="178">
      <c r="A178" s="4">
        <v>45563.48888888889</v>
      </c>
      <c r="B178" s="9">
        <f>IFERROR(__xludf.DUMMYFUNCTION("SPLIT(A178,"" "")"),45563.0)</f>
        <v>45563</v>
      </c>
      <c r="C178" s="10">
        <f>IFERROR(__xludf.DUMMYFUNCTION("""COMPUTED_VALUE"""),0.4888888888888889)</f>
        <v>0.4888888889</v>
      </c>
      <c r="D178" s="2">
        <f t="shared" si="1"/>
        <v>11</v>
      </c>
      <c r="E178" s="2">
        <f>IFERROR(__xludf.DUMMYFUNCTION("SPLIT(B178,""/"")"),28.0)</f>
        <v>28</v>
      </c>
      <c r="F178" s="2">
        <f>IFERROR(__xludf.DUMMYFUNCTION("""COMPUTED_VALUE"""),9.0)</f>
        <v>9</v>
      </c>
      <c r="G178" s="2">
        <f>IFERROR(__xludf.DUMMYFUNCTION("""COMPUTED_VALUE"""),2024.0)</f>
        <v>2024</v>
      </c>
      <c r="H178" s="2" t="str">
        <f t="shared" si="2"/>
        <v>2024/9/28</v>
      </c>
      <c r="I178" s="2" t="s">
        <v>1612</v>
      </c>
      <c r="J178" s="2" t="str">
        <f t="shared" si="3"/>
        <v>Nasi telor</v>
      </c>
      <c r="K178" s="7">
        <f>if(RIGHT(I178,5)="2 pcs",2,Data!I178)</f>
        <v>1</v>
      </c>
      <c r="L178" s="2" t="str">
        <f t="shared" si="4"/>
        <v>Saturday</v>
      </c>
      <c r="M178" s="2" t="str">
        <f t="shared" si="5"/>
        <v>28</v>
      </c>
      <c r="N178" s="2">
        <f>VLOOKUP(L178,'Data Info'!$A$1:$B$8,2,0)</f>
        <v>6</v>
      </c>
      <c r="O178" s="2" t="str">
        <f>VLOOKUP(L178,'Data Info'!$A$1:$C$8,3,0)</f>
        <v>Weekend</v>
      </c>
    </row>
    <row r="179">
      <c r="A179" s="4">
        <v>45563.479166666664</v>
      </c>
      <c r="B179" s="9">
        <f>IFERROR(__xludf.DUMMYFUNCTION("SPLIT(A179,"" "")"),45563.0)</f>
        <v>45563</v>
      </c>
      <c r="C179" s="10">
        <f>IFERROR(__xludf.DUMMYFUNCTION("""COMPUTED_VALUE"""),0.4791666666666667)</f>
        <v>0.4791666667</v>
      </c>
      <c r="D179" s="2">
        <f t="shared" si="1"/>
        <v>11</v>
      </c>
      <c r="E179" s="2">
        <f>IFERROR(__xludf.DUMMYFUNCTION("SPLIT(B179,""/"")"),28.0)</f>
        <v>28</v>
      </c>
      <c r="F179" s="2">
        <f>IFERROR(__xludf.DUMMYFUNCTION("""COMPUTED_VALUE"""),9.0)</f>
        <v>9</v>
      </c>
      <c r="G179" s="2">
        <f>IFERROR(__xludf.DUMMYFUNCTION("""COMPUTED_VALUE"""),2024.0)</f>
        <v>2024</v>
      </c>
      <c r="H179" s="2" t="str">
        <f t="shared" si="2"/>
        <v>2024/9/28</v>
      </c>
      <c r="I179" s="2" t="s">
        <v>1614</v>
      </c>
      <c r="J179" s="2" t="str">
        <f t="shared" si="3"/>
        <v>Kopi Susu Panas</v>
      </c>
      <c r="K179" s="7">
        <f>if(RIGHT(I179,5)="2 pcs",2,Data!I179)</f>
        <v>1</v>
      </c>
      <c r="L179" s="2" t="str">
        <f t="shared" si="4"/>
        <v>Saturday</v>
      </c>
      <c r="M179" s="2" t="str">
        <f t="shared" si="5"/>
        <v>28</v>
      </c>
      <c r="N179" s="2">
        <f>VLOOKUP(L179,'Data Info'!$A$1:$B$8,2,0)</f>
        <v>6</v>
      </c>
      <c r="O179" s="2" t="str">
        <f>VLOOKUP(L179,'Data Info'!$A$1:$C$8,3,0)</f>
        <v>Weekend</v>
      </c>
    </row>
    <row r="180">
      <c r="A180" s="4">
        <v>45563.479166666664</v>
      </c>
      <c r="B180" s="9">
        <f>IFERROR(__xludf.DUMMYFUNCTION("SPLIT(A180,"" "")"),45563.0)</f>
        <v>45563</v>
      </c>
      <c r="C180" s="10">
        <f>IFERROR(__xludf.DUMMYFUNCTION("""COMPUTED_VALUE"""),0.4791666666666667)</f>
        <v>0.4791666667</v>
      </c>
      <c r="D180" s="2">
        <f t="shared" si="1"/>
        <v>11</v>
      </c>
      <c r="E180" s="2">
        <f>IFERROR(__xludf.DUMMYFUNCTION("SPLIT(B180,""/"")"),28.0)</f>
        <v>28</v>
      </c>
      <c r="F180" s="2">
        <f>IFERROR(__xludf.DUMMYFUNCTION("""COMPUTED_VALUE"""),9.0)</f>
        <v>9</v>
      </c>
      <c r="G180" s="2">
        <f>IFERROR(__xludf.DUMMYFUNCTION("""COMPUTED_VALUE"""),2024.0)</f>
        <v>2024</v>
      </c>
      <c r="H180" s="2" t="str">
        <f t="shared" si="2"/>
        <v>2024/9/28</v>
      </c>
      <c r="I180" s="2" t="s">
        <v>1582</v>
      </c>
      <c r="J180" s="2" t="str">
        <f t="shared" si="3"/>
        <v>Teh Tawar Dingin</v>
      </c>
      <c r="K180" s="7">
        <f>if(RIGHT(I180,5)="2 pcs",2,Data!I180)</f>
        <v>1</v>
      </c>
      <c r="L180" s="2" t="str">
        <f t="shared" si="4"/>
        <v>Saturday</v>
      </c>
      <c r="M180" s="2" t="str">
        <f t="shared" si="5"/>
        <v>28</v>
      </c>
      <c r="N180" s="2">
        <f>VLOOKUP(L180,'Data Info'!$A$1:$B$8,2,0)</f>
        <v>6</v>
      </c>
      <c r="O180" s="2" t="str">
        <f>VLOOKUP(L180,'Data Info'!$A$1:$C$8,3,0)</f>
        <v>Weekend</v>
      </c>
    </row>
    <row r="181">
      <c r="A181" s="4">
        <v>45563.479166666664</v>
      </c>
      <c r="B181" s="9">
        <f>IFERROR(__xludf.DUMMYFUNCTION("SPLIT(A181,"" "")"),45563.0)</f>
        <v>45563</v>
      </c>
      <c r="C181" s="10">
        <f>IFERROR(__xludf.DUMMYFUNCTION("""COMPUTED_VALUE"""),0.4791666666666667)</f>
        <v>0.4791666667</v>
      </c>
      <c r="D181" s="2">
        <f t="shared" si="1"/>
        <v>11</v>
      </c>
      <c r="E181" s="2">
        <f>IFERROR(__xludf.DUMMYFUNCTION("SPLIT(B181,""/"")"),28.0)</f>
        <v>28</v>
      </c>
      <c r="F181" s="2">
        <f>IFERROR(__xludf.DUMMYFUNCTION("""COMPUTED_VALUE"""),9.0)</f>
        <v>9</v>
      </c>
      <c r="G181" s="2">
        <f>IFERROR(__xludf.DUMMYFUNCTION("""COMPUTED_VALUE"""),2024.0)</f>
        <v>2024</v>
      </c>
      <c r="H181" s="2" t="str">
        <f t="shared" si="2"/>
        <v>2024/9/28</v>
      </c>
      <c r="I181" s="2" t="s">
        <v>1576</v>
      </c>
      <c r="J181" s="2" t="str">
        <f t="shared" si="3"/>
        <v>Roti Cranberry</v>
      </c>
      <c r="K181" s="7">
        <f>if(RIGHT(I181,5)="2 pcs",2,Data!I181)</f>
        <v>1</v>
      </c>
      <c r="L181" s="2" t="str">
        <f t="shared" si="4"/>
        <v>Saturday</v>
      </c>
      <c r="M181" s="2" t="str">
        <f t="shared" si="5"/>
        <v>28</v>
      </c>
      <c r="N181" s="2">
        <f>VLOOKUP(L181,'Data Info'!$A$1:$B$8,2,0)</f>
        <v>6</v>
      </c>
      <c r="O181" s="2" t="str">
        <f>VLOOKUP(L181,'Data Info'!$A$1:$C$8,3,0)</f>
        <v>Weekend</v>
      </c>
    </row>
    <row r="182">
      <c r="A182" s="4">
        <v>45563.479166666664</v>
      </c>
      <c r="B182" s="9">
        <f>IFERROR(__xludf.DUMMYFUNCTION("SPLIT(A182,"" "")"),45563.0)</f>
        <v>45563</v>
      </c>
      <c r="C182" s="10">
        <f>IFERROR(__xludf.DUMMYFUNCTION("""COMPUTED_VALUE"""),0.4791666666666667)</f>
        <v>0.4791666667</v>
      </c>
      <c r="D182" s="2">
        <f t="shared" si="1"/>
        <v>11</v>
      </c>
      <c r="E182" s="2">
        <f>IFERROR(__xludf.DUMMYFUNCTION("SPLIT(B182,""/"")"),28.0)</f>
        <v>28</v>
      </c>
      <c r="F182" s="2">
        <f>IFERROR(__xludf.DUMMYFUNCTION("""COMPUTED_VALUE"""),9.0)</f>
        <v>9</v>
      </c>
      <c r="G182" s="2">
        <f>IFERROR(__xludf.DUMMYFUNCTION("""COMPUTED_VALUE"""),2024.0)</f>
        <v>2024</v>
      </c>
      <c r="H182" s="2" t="str">
        <f t="shared" si="2"/>
        <v>2024/9/28</v>
      </c>
      <c r="I182" s="2" t="s">
        <v>1601</v>
      </c>
      <c r="J182" s="2" t="str">
        <f t="shared" si="3"/>
        <v>Gula Asam Dingin</v>
      </c>
      <c r="K182" s="7">
        <f>if(RIGHT(I182,5)="2 pcs",2,Data!I182)</f>
        <v>1</v>
      </c>
      <c r="L182" s="2" t="str">
        <f t="shared" si="4"/>
        <v>Saturday</v>
      </c>
      <c r="M182" s="2" t="str">
        <f t="shared" si="5"/>
        <v>28</v>
      </c>
      <c r="N182" s="2">
        <f>VLOOKUP(L182,'Data Info'!$A$1:$B$8,2,0)</f>
        <v>6</v>
      </c>
      <c r="O182" s="2" t="str">
        <f>VLOOKUP(L182,'Data Info'!$A$1:$C$8,3,0)</f>
        <v>Weekend</v>
      </c>
    </row>
    <row r="183">
      <c r="A183" s="4">
        <v>45563.44513888889</v>
      </c>
      <c r="B183" s="9">
        <f>IFERROR(__xludf.DUMMYFUNCTION("SPLIT(A183,"" "")"),45563.0)</f>
        <v>45563</v>
      </c>
      <c r="C183" s="10">
        <f>IFERROR(__xludf.DUMMYFUNCTION("""COMPUTED_VALUE"""),0.44513888888888886)</f>
        <v>0.4451388889</v>
      </c>
      <c r="D183" s="2">
        <f t="shared" si="1"/>
        <v>10</v>
      </c>
      <c r="E183" s="2">
        <f>IFERROR(__xludf.DUMMYFUNCTION("SPLIT(B183,""/"")"),28.0)</f>
        <v>28</v>
      </c>
      <c r="F183" s="2">
        <f>IFERROR(__xludf.DUMMYFUNCTION("""COMPUTED_VALUE"""),9.0)</f>
        <v>9</v>
      </c>
      <c r="G183" s="2">
        <f>IFERROR(__xludf.DUMMYFUNCTION("""COMPUTED_VALUE"""),2024.0)</f>
        <v>2024</v>
      </c>
      <c r="H183" s="2" t="str">
        <f t="shared" si="2"/>
        <v>2024/9/28</v>
      </c>
      <c r="I183" s="2" t="s">
        <v>1596</v>
      </c>
      <c r="J183" s="2" t="str">
        <f t="shared" si="3"/>
        <v>Roti Cranberry</v>
      </c>
      <c r="K183" s="7">
        <f>if(RIGHT(I183,5)="2 pcs",2,Data!I183)</f>
        <v>2</v>
      </c>
      <c r="L183" s="2" t="str">
        <f t="shared" si="4"/>
        <v>Saturday</v>
      </c>
      <c r="M183" s="2" t="str">
        <f t="shared" si="5"/>
        <v>28</v>
      </c>
      <c r="N183" s="2">
        <f>VLOOKUP(L183,'Data Info'!$A$1:$B$8,2,0)</f>
        <v>6</v>
      </c>
      <c r="O183" s="2" t="str">
        <f>VLOOKUP(L183,'Data Info'!$A$1:$C$8,3,0)</f>
        <v>Weekend</v>
      </c>
    </row>
    <row r="184">
      <c r="A184" s="4">
        <v>45563.444444444445</v>
      </c>
      <c r="B184" s="9">
        <f>IFERROR(__xludf.DUMMYFUNCTION("SPLIT(A184,"" "")"),45563.0)</f>
        <v>45563</v>
      </c>
      <c r="C184" s="10">
        <f>IFERROR(__xludf.DUMMYFUNCTION("""COMPUTED_VALUE"""),0.4444444444444444)</f>
        <v>0.4444444444</v>
      </c>
      <c r="D184" s="2">
        <f t="shared" si="1"/>
        <v>10</v>
      </c>
      <c r="E184" s="2">
        <f>IFERROR(__xludf.DUMMYFUNCTION("SPLIT(B184,""/"")"),28.0)</f>
        <v>28</v>
      </c>
      <c r="F184" s="2">
        <f>IFERROR(__xludf.DUMMYFUNCTION("""COMPUTED_VALUE"""),9.0)</f>
        <v>9</v>
      </c>
      <c r="G184" s="2">
        <f>IFERROR(__xludf.DUMMYFUNCTION("""COMPUTED_VALUE"""),2024.0)</f>
        <v>2024</v>
      </c>
      <c r="H184" s="2" t="str">
        <f t="shared" si="2"/>
        <v>2024/9/28</v>
      </c>
      <c r="I184" s="2" t="s">
        <v>1596</v>
      </c>
      <c r="J184" s="2" t="str">
        <f t="shared" si="3"/>
        <v>Roti Cranberry</v>
      </c>
      <c r="K184" s="7">
        <f>if(RIGHT(I184,5)="2 pcs",2,Data!I184)</f>
        <v>2</v>
      </c>
      <c r="L184" s="2" t="str">
        <f t="shared" si="4"/>
        <v>Saturday</v>
      </c>
      <c r="M184" s="2" t="str">
        <f t="shared" si="5"/>
        <v>28</v>
      </c>
      <c r="N184" s="2">
        <f>VLOOKUP(L184,'Data Info'!$A$1:$B$8,2,0)</f>
        <v>6</v>
      </c>
      <c r="O184" s="2" t="str">
        <f>VLOOKUP(L184,'Data Info'!$A$1:$C$8,3,0)</f>
        <v>Weekend</v>
      </c>
    </row>
    <row r="185">
      <c r="A185" s="4">
        <v>45563.444444444445</v>
      </c>
      <c r="B185" s="9">
        <f>IFERROR(__xludf.DUMMYFUNCTION("SPLIT(A185,"" "")"),45563.0)</f>
        <v>45563</v>
      </c>
      <c r="C185" s="10">
        <f>IFERROR(__xludf.DUMMYFUNCTION("""COMPUTED_VALUE"""),0.4444444444444444)</f>
        <v>0.4444444444</v>
      </c>
      <c r="D185" s="2">
        <f t="shared" si="1"/>
        <v>10</v>
      </c>
      <c r="E185" s="2">
        <f>IFERROR(__xludf.DUMMYFUNCTION("SPLIT(B185,""/"")"),28.0)</f>
        <v>28</v>
      </c>
      <c r="F185" s="2">
        <f>IFERROR(__xludf.DUMMYFUNCTION("""COMPUTED_VALUE"""),9.0)</f>
        <v>9</v>
      </c>
      <c r="G185" s="2">
        <f>IFERROR(__xludf.DUMMYFUNCTION("""COMPUTED_VALUE"""),2024.0)</f>
        <v>2024</v>
      </c>
      <c r="H185" s="2" t="str">
        <f t="shared" si="2"/>
        <v>2024/9/28</v>
      </c>
      <c r="I185" s="2" t="s">
        <v>1566</v>
      </c>
      <c r="J185" s="2" t="str">
        <f t="shared" si="3"/>
        <v>Roti Bawang Saus Keju</v>
      </c>
      <c r="K185" s="7">
        <f>if(RIGHT(I185,5)="2 pcs",2,Data!I185)</f>
        <v>1</v>
      </c>
      <c r="L185" s="2" t="str">
        <f t="shared" si="4"/>
        <v>Saturday</v>
      </c>
      <c r="M185" s="2" t="str">
        <f t="shared" si="5"/>
        <v>28</v>
      </c>
      <c r="N185" s="2">
        <f>VLOOKUP(L185,'Data Info'!$A$1:$B$8,2,0)</f>
        <v>6</v>
      </c>
      <c r="O185" s="2" t="str">
        <f>VLOOKUP(L185,'Data Info'!$A$1:$C$8,3,0)</f>
        <v>Weekend</v>
      </c>
    </row>
    <row r="186">
      <c r="A186" s="4">
        <v>45563.444444444445</v>
      </c>
      <c r="B186" s="9">
        <f>IFERROR(__xludf.DUMMYFUNCTION("SPLIT(A186,"" "")"),45563.0)</f>
        <v>45563</v>
      </c>
      <c r="C186" s="10">
        <f>IFERROR(__xludf.DUMMYFUNCTION("""COMPUTED_VALUE"""),0.4444444444444444)</f>
        <v>0.4444444444</v>
      </c>
      <c r="D186" s="2">
        <f t="shared" si="1"/>
        <v>10</v>
      </c>
      <c r="E186" s="2">
        <f>IFERROR(__xludf.DUMMYFUNCTION("SPLIT(B186,""/"")"),28.0)</f>
        <v>28</v>
      </c>
      <c r="F186" s="2">
        <f>IFERROR(__xludf.DUMMYFUNCTION("""COMPUTED_VALUE"""),9.0)</f>
        <v>9</v>
      </c>
      <c r="G186" s="2">
        <f>IFERROR(__xludf.DUMMYFUNCTION("""COMPUTED_VALUE"""),2024.0)</f>
        <v>2024</v>
      </c>
      <c r="H186" s="2" t="str">
        <f t="shared" si="2"/>
        <v>2024/9/28</v>
      </c>
      <c r="I186" s="2" t="s">
        <v>1597</v>
      </c>
      <c r="J186" s="2" t="str">
        <f t="shared" si="3"/>
        <v>Roti Gandum Cokelat</v>
      </c>
      <c r="K186" s="7">
        <f>if(RIGHT(I186,5)="2 pcs",2,Data!I186)</f>
        <v>2</v>
      </c>
      <c r="L186" s="2" t="str">
        <f t="shared" si="4"/>
        <v>Saturday</v>
      </c>
      <c r="M186" s="2" t="str">
        <f t="shared" si="5"/>
        <v>28</v>
      </c>
      <c r="N186" s="2">
        <f>VLOOKUP(L186,'Data Info'!$A$1:$B$8,2,0)</f>
        <v>6</v>
      </c>
      <c r="O186" s="2" t="str">
        <f>VLOOKUP(L186,'Data Info'!$A$1:$C$8,3,0)</f>
        <v>Weekend</v>
      </c>
    </row>
    <row r="187">
      <c r="A187" s="4">
        <v>45563.44305555556</v>
      </c>
      <c r="B187" s="9">
        <f>IFERROR(__xludf.DUMMYFUNCTION("SPLIT(A187,"" "")"),45563.0)</f>
        <v>45563</v>
      </c>
      <c r="C187" s="10">
        <f>IFERROR(__xludf.DUMMYFUNCTION("""COMPUTED_VALUE"""),0.44305555555555554)</f>
        <v>0.4430555556</v>
      </c>
      <c r="D187" s="2">
        <f t="shared" si="1"/>
        <v>10</v>
      </c>
      <c r="E187" s="2">
        <f>IFERROR(__xludf.DUMMYFUNCTION("SPLIT(B187,""/"")"),28.0)</f>
        <v>28</v>
      </c>
      <c r="F187" s="2">
        <f>IFERROR(__xludf.DUMMYFUNCTION("""COMPUTED_VALUE"""),9.0)</f>
        <v>9</v>
      </c>
      <c r="G187" s="2">
        <f>IFERROR(__xludf.DUMMYFUNCTION("""COMPUTED_VALUE"""),2024.0)</f>
        <v>2024</v>
      </c>
      <c r="H187" s="2" t="str">
        <f t="shared" si="2"/>
        <v>2024/9/28</v>
      </c>
      <c r="I187" s="2" t="s">
        <v>1566</v>
      </c>
      <c r="J187" s="2" t="str">
        <f t="shared" si="3"/>
        <v>Roti Bawang Saus Keju</v>
      </c>
      <c r="K187" s="7">
        <f>if(RIGHT(I187,5)="2 pcs",2,Data!I187)</f>
        <v>1</v>
      </c>
      <c r="L187" s="2" t="str">
        <f t="shared" si="4"/>
        <v>Saturday</v>
      </c>
      <c r="M187" s="2" t="str">
        <f t="shared" si="5"/>
        <v>28</v>
      </c>
      <c r="N187" s="2">
        <f>VLOOKUP(L187,'Data Info'!$A$1:$B$8,2,0)</f>
        <v>6</v>
      </c>
      <c r="O187" s="2" t="str">
        <f>VLOOKUP(L187,'Data Info'!$A$1:$C$8,3,0)</f>
        <v>Weekend</v>
      </c>
    </row>
    <row r="188">
      <c r="A188" s="4">
        <v>45563.44305555556</v>
      </c>
      <c r="B188" s="9">
        <f>IFERROR(__xludf.DUMMYFUNCTION("SPLIT(A188,"" "")"),45563.0)</f>
        <v>45563</v>
      </c>
      <c r="C188" s="10">
        <f>IFERROR(__xludf.DUMMYFUNCTION("""COMPUTED_VALUE"""),0.44305555555555554)</f>
        <v>0.4430555556</v>
      </c>
      <c r="D188" s="2">
        <f t="shared" si="1"/>
        <v>10</v>
      </c>
      <c r="E188" s="2">
        <f>IFERROR(__xludf.DUMMYFUNCTION("SPLIT(B188,""/"")"),28.0)</f>
        <v>28</v>
      </c>
      <c r="F188" s="2">
        <f>IFERROR(__xludf.DUMMYFUNCTION("""COMPUTED_VALUE"""),9.0)</f>
        <v>9</v>
      </c>
      <c r="G188" s="2">
        <f>IFERROR(__xludf.DUMMYFUNCTION("""COMPUTED_VALUE"""),2024.0)</f>
        <v>2024</v>
      </c>
      <c r="H188" s="2" t="str">
        <f t="shared" si="2"/>
        <v>2024/9/28</v>
      </c>
      <c r="I188" s="2" t="s">
        <v>1579</v>
      </c>
      <c r="J188" s="2" t="str">
        <f t="shared" si="3"/>
        <v>Tahu baso</v>
      </c>
      <c r="K188" s="7">
        <f>if(RIGHT(I188,5)="2 pcs",2,Data!I188)</f>
        <v>1</v>
      </c>
      <c r="L188" s="2" t="str">
        <f t="shared" si="4"/>
        <v>Saturday</v>
      </c>
      <c r="M188" s="2" t="str">
        <f t="shared" si="5"/>
        <v>28</v>
      </c>
      <c r="N188" s="2">
        <f>VLOOKUP(L188,'Data Info'!$A$1:$B$8,2,0)</f>
        <v>6</v>
      </c>
      <c r="O188" s="2" t="str">
        <f>VLOOKUP(L188,'Data Info'!$A$1:$C$8,3,0)</f>
        <v>Weekend</v>
      </c>
    </row>
    <row r="189">
      <c r="A189" s="4">
        <v>45563.44305555556</v>
      </c>
      <c r="B189" s="9">
        <f>IFERROR(__xludf.DUMMYFUNCTION("SPLIT(A189,"" "")"),45563.0)</f>
        <v>45563</v>
      </c>
      <c r="C189" s="10">
        <f>IFERROR(__xludf.DUMMYFUNCTION("""COMPUTED_VALUE"""),0.44305555555555554)</f>
        <v>0.4430555556</v>
      </c>
      <c r="D189" s="2">
        <f t="shared" si="1"/>
        <v>10</v>
      </c>
      <c r="E189" s="2">
        <f>IFERROR(__xludf.DUMMYFUNCTION("SPLIT(B189,""/"")"),28.0)</f>
        <v>28</v>
      </c>
      <c r="F189" s="2">
        <f>IFERROR(__xludf.DUMMYFUNCTION("""COMPUTED_VALUE"""),9.0)</f>
        <v>9</v>
      </c>
      <c r="G189" s="2">
        <f>IFERROR(__xludf.DUMMYFUNCTION("""COMPUTED_VALUE"""),2024.0)</f>
        <v>2024</v>
      </c>
      <c r="H189" s="2" t="str">
        <f t="shared" si="2"/>
        <v>2024/9/28</v>
      </c>
      <c r="I189" s="2" t="s">
        <v>1588</v>
      </c>
      <c r="J189" s="2" t="str">
        <f t="shared" si="3"/>
        <v>Es Kopi Susu</v>
      </c>
      <c r="K189" s="7">
        <f>if(RIGHT(I189,5)="2 pcs",2,Data!I189)</f>
        <v>1</v>
      </c>
      <c r="L189" s="2" t="str">
        <f t="shared" si="4"/>
        <v>Saturday</v>
      </c>
      <c r="M189" s="2" t="str">
        <f t="shared" si="5"/>
        <v>28</v>
      </c>
      <c r="N189" s="2">
        <f>VLOOKUP(L189,'Data Info'!$A$1:$B$8,2,0)</f>
        <v>6</v>
      </c>
      <c r="O189" s="2" t="str">
        <f>VLOOKUP(L189,'Data Info'!$A$1:$C$8,3,0)</f>
        <v>Weekend</v>
      </c>
    </row>
    <row r="190">
      <c r="A190" s="4">
        <v>45563.44305555556</v>
      </c>
      <c r="B190" s="9">
        <f>IFERROR(__xludf.DUMMYFUNCTION("SPLIT(A190,"" "")"),45563.0)</f>
        <v>45563</v>
      </c>
      <c r="C190" s="10">
        <f>IFERROR(__xludf.DUMMYFUNCTION("""COMPUTED_VALUE"""),0.44305555555555554)</f>
        <v>0.4430555556</v>
      </c>
      <c r="D190" s="2">
        <f t="shared" si="1"/>
        <v>10</v>
      </c>
      <c r="E190" s="2">
        <f>IFERROR(__xludf.DUMMYFUNCTION("SPLIT(B190,""/"")"),28.0)</f>
        <v>28</v>
      </c>
      <c r="F190" s="2">
        <f>IFERROR(__xludf.DUMMYFUNCTION("""COMPUTED_VALUE"""),9.0)</f>
        <v>9</v>
      </c>
      <c r="G190" s="2">
        <f>IFERROR(__xludf.DUMMYFUNCTION("""COMPUTED_VALUE"""),2024.0)</f>
        <v>2024</v>
      </c>
      <c r="H190" s="2" t="str">
        <f t="shared" si="2"/>
        <v>2024/9/28</v>
      </c>
      <c r="I190" s="2" t="s">
        <v>1591</v>
      </c>
      <c r="J190" s="2" t="str">
        <f t="shared" si="3"/>
        <v>Kopi cur</v>
      </c>
      <c r="K190" s="7">
        <f>if(RIGHT(I190,5)="2 pcs",2,Data!I190)</f>
        <v>1</v>
      </c>
      <c r="L190" s="2" t="str">
        <f t="shared" si="4"/>
        <v>Saturday</v>
      </c>
      <c r="M190" s="2" t="str">
        <f t="shared" si="5"/>
        <v>28</v>
      </c>
      <c r="N190" s="2">
        <f>VLOOKUP(L190,'Data Info'!$A$1:$B$8,2,0)</f>
        <v>6</v>
      </c>
      <c r="O190" s="2" t="str">
        <f>VLOOKUP(L190,'Data Info'!$A$1:$C$8,3,0)</f>
        <v>Weekend</v>
      </c>
    </row>
    <row r="191">
      <c r="A191" s="4">
        <v>45563.44305555556</v>
      </c>
      <c r="B191" s="9">
        <f>IFERROR(__xludf.DUMMYFUNCTION("SPLIT(A191,"" "")"),45563.0)</f>
        <v>45563</v>
      </c>
      <c r="C191" s="10">
        <f>IFERROR(__xludf.DUMMYFUNCTION("""COMPUTED_VALUE"""),0.44305555555555554)</f>
        <v>0.4430555556</v>
      </c>
      <c r="D191" s="2">
        <f t="shared" si="1"/>
        <v>10</v>
      </c>
      <c r="E191" s="2">
        <f>IFERROR(__xludf.DUMMYFUNCTION("SPLIT(B191,""/"")"),28.0)</f>
        <v>28</v>
      </c>
      <c r="F191" s="2">
        <f>IFERROR(__xludf.DUMMYFUNCTION("""COMPUTED_VALUE"""),9.0)</f>
        <v>9</v>
      </c>
      <c r="G191" s="2">
        <f>IFERROR(__xludf.DUMMYFUNCTION("""COMPUTED_VALUE"""),2024.0)</f>
        <v>2024</v>
      </c>
      <c r="H191" s="2" t="str">
        <f t="shared" si="2"/>
        <v>2024/9/28</v>
      </c>
      <c r="I191" s="2" t="s">
        <v>1615</v>
      </c>
      <c r="J191" s="2" t="str">
        <f t="shared" si="3"/>
        <v>Roti panggang sarikaya</v>
      </c>
      <c r="K191" s="7">
        <f>if(RIGHT(I191,5)="2 pcs",2,Data!I191)</f>
        <v>1</v>
      </c>
      <c r="L191" s="2" t="str">
        <f t="shared" si="4"/>
        <v>Saturday</v>
      </c>
      <c r="M191" s="2" t="str">
        <f t="shared" si="5"/>
        <v>28</v>
      </c>
      <c r="N191" s="2">
        <f>VLOOKUP(L191,'Data Info'!$A$1:$B$8,2,0)</f>
        <v>6</v>
      </c>
      <c r="O191" s="2" t="str">
        <f>VLOOKUP(L191,'Data Info'!$A$1:$C$8,3,0)</f>
        <v>Weekend</v>
      </c>
    </row>
    <row r="192">
      <c r="A192" s="4">
        <v>45563.44305555556</v>
      </c>
      <c r="B192" s="9">
        <f>IFERROR(__xludf.DUMMYFUNCTION("SPLIT(A192,"" "")"),45563.0)</f>
        <v>45563</v>
      </c>
      <c r="C192" s="10">
        <f>IFERROR(__xludf.DUMMYFUNCTION("""COMPUTED_VALUE"""),0.44305555555555554)</f>
        <v>0.4430555556</v>
      </c>
      <c r="D192" s="2">
        <f t="shared" si="1"/>
        <v>10</v>
      </c>
      <c r="E192" s="2">
        <f>IFERROR(__xludf.DUMMYFUNCTION("SPLIT(B192,""/"")"),28.0)</f>
        <v>28</v>
      </c>
      <c r="F192" s="2">
        <f>IFERROR(__xludf.DUMMYFUNCTION("""COMPUTED_VALUE"""),9.0)</f>
        <v>9</v>
      </c>
      <c r="G192" s="2">
        <f>IFERROR(__xludf.DUMMYFUNCTION("""COMPUTED_VALUE"""),2024.0)</f>
        <v>2024</v>
      </c>
      <c r="H192" s="2" t="str">
        <f t="shared" si="2"/>
        <v>2024/9/28</v>
      </c>
      <c r="I192" s="2" t="s">
        <v>1616</v>
      </c>
      <c r="J192" s="2" t="str">
        <f t="shared" si="3"/>
        <v>Roti panggang coklat</v>
      </c>
      <c r="K192" s="7">
        <f>if(RIGHT(I192,5)="2 pcs",2,Data!I192)</f>
        <v>1</v>
      </c>
      <c r="L192" s="2" t="str">
        <f t="shared" si="4"/>
        <v>Saturday</v>
      </c>
      <c r="M192" s="2" t="str">
        <f t="shared" si="5"/>
        <v>28</v>
      </c>
      <c r="N192" s="2">
        <f>VLOOKUP(L192,'Data Info'!$A$1:$B$8,2,0)</f>
        <v>6</v>
      </c>
      <c r="O192" s="2" t="str">
        <f>VLOOKUP(L192,'Data Info'!$A$1:$C$8,3,0)</f>
        <v>Weekend</v>
      </c>
    </row>
    <row r="193">
      <c r="A193" s="4">
        <v>45563.44305555556</v>
      </c>
      <c r="B193" s="9">
        <f>IFERROR(__xludf.DUMMYFUNCTION("SPLIT(A193,"" "")"),45563.0)</f>
        <v>45563</v>
      </c>
      <c r="C193" s="10">
        <f>IFERROR(__xludf.DUMMYFUNCTION("""COMPUTED_VALUE"""),0.44305555555555554)</f>
        <v>0.4430555556</v>
      </c>
      <c r="D193" s="2">
        <f t="shared" si="1"/>
        <v>10</v>
      </c>
      <c r="E193" s="2">
        <f>IFERROR(__xludf.DUMMYFUNCTION("SPLIT(B193,""/"")"),28.0)</f>
        <v>28</v>
      </c>
      <c r="F193" s="2">
        <f>IFERROR(__xludf.DUMMYFUNCTION("""COMPUTED_VALUE"""),9.0)</f>
        <v>9</v>
      </c>
      <c r="G193" s="2">
        <f>IFERROR(__xludf.DUMMYFUNCTION("""COMPUTED_VALUE"""),2024.0)</f>
        <v>2024</v>
      </c>
      <c r="H193" s="2" t="str">
        <f t="shared" si="2"/>
        <v>2024/9/28</v>
      </c>
      <c r="I193" s="2" t="s">
        <v>1584</v>
      </c>
      <c r="J193" s="2" t="str">
        <f t="shared" si="3"/>
        <v>Korean Mango Fresh Milk</v>
      </c>
      <c r="K193" s="7">
        <f>if(RIGHT(I193,5)="2 pcs",2,Data!I193)</f>
        <v>1</v>
      </c>
      <c r="L193" s="2" t="str">
        <f t="shared" si="4"/>
        <v>Saturday</v>
      </c>
      <c r="M193" s="2" t="str">
        <f t="shared" si="5"/>
        <v>28</v>
      </c>
      <c r="N193" s="2">
        <f>VLOOKUP(L193,'Data Info'!$A$1:$B$8,2,0)</f>
        <v>6</v>
      </c>
      <c r="O193" s="2" t="str">
        <f>VLOOKUP(L193,'Data Info'!$A$1:$C$8,3,0)</f>
        <v>Weekend</v>
      </c>
    </row>
    <row r="194">
      <c r="A194" s="4">
        <v>45563.44305555556</v>
      </c>
      <c r="B194" s="9">
        <f>IFERROR(__xludf.DUMMYFUNCTION("SPLIT(A194,"" "")"),45563.0)</f>
        <v>45563</v>
      </c>
      <c r="C194" s="10">
        <f>IFERROR(__xludf.DUMMYFUNCTION("""COMPUTED_VALUE"""),0.44305555555555554)</f>
        <v>0.4430555556</v>
      </c>
      <c r="D194" s="2">
        <f t="shared" si="1"/>
        <v>10</v>
      </c>
      <c r="E194" s="2">
        <f>IFERROR(__xludf.DUMMYFUNCTION("SPLIT(B194,""/"")"),28.0)</f>
        <v>28</v>
      </c>
      <c r="F194" s="2">
        <f>IFERROR(__xludf.DUMMYFUNCTION("""COMPUTED_VALUE"""),9.0)</f>
        <v>9</v>
      </c>
      <c r="G194" s="2">
        <f>IFERROR(__xludf.DUMMYFUNCTION("""COMPUTED_VALUE"""),2024.0)</f>
        <v>2024</v>
      </c>
      <c r="H194" s="2" t="str">
        <f t="shared" si="2"/>
        <v>2024/9/28</v>
      </c>
      <c r="I194" s="2" t="s">
        <v>1598</v>
      </c>
      <c r="J194" s="2" t="str">
        <f t="shared" si="3"/>
        <v>Korean Strawberry Fresh Milk</v>
      </c>
      <c r="K194" s="7">
        <f>if(RIGHT(I194,5)="2 pcs",2,Data!I194)</f>
        <v>1</v>
      </c>
      <c r="L194" s="2" t="str">
        <f t="shared" si="4"/>
        <v>Saturday</v>
      </c>
      <c r="M194" s="2" t="str">
        <f t="shared" si="5"/>
        <v>28</v>
      </c>
      <c r="N194" s="2">
        <f>VLOOKUP(L194,'Data Info'!$A$1:$B$8,2,0)</f>
        <v>6</v>
      </c>
      <c r="O194" s="2" t="str">
        <f>VLOOKUP(L194,'Data Info'!$A$1:$C$8,3,0)</f>
        <v>Weekend</v>
      </c>
    </row>
    <row r="195">
      <c r="A195" s="4">
        <v>45563.44305555556</v>
      </c>
      <c r="B195" s="9">
        <f>IFERROR(__xludf.DUMMYFUNCTION("SPLIT(A195,"" "")"),45563.0)</f>
        <v>45563</v>
      </c>
      <c r="C195" s="10">
        <f>IFERROR(__xludf.DUMMYFUNCTION("""COMPUTED_VALUE"""),0.44305555555555554)</f>
        <v>0.4430555556</v>
      </c>
      <c r="D195" s="2">
        <f t="shared" si="1"/>
        <v>10</v>
      </c>
      <c r="E195" s="2">
        <f>IFERROR(__xludf.DUMMYFUNCTION("SPLIT(B195,""/"")"),28.0)</f>
        <v>28</v>
      </c>
      <c r="F195" s="2">
        <f>IFERROR(__xludf.DUMMYFUNCTION("""COMPUTED_VALUE"""),9.0)</f>
        <v>9</v>
      </c>
      <c r="G195" s="2">
        <f>IFERROR(__xludf.DUMMYFUNCTION("""COMPUTED_VALUE"""),2024.0)</f>
        <v>2024</v>
      </c>
      <c r="H195" s="2" t="str">
        <f t="shared" si="2"/>
        <v>2024/9/28</v>
      </c>
      <c r="I195" s="2" t="s">
        <v>1597</v>
      </c>
      <c r="J195" s="2" t="str">
        <f t="shared" si="3"/>
        <v>Roti Gandum Cokelat</v>
      </c>
      <c r="K195" s="7">
        <f>if(RIGHT(I195,5)="2 pcs",2,Data!I195)</f>
        <v>2</v>
      </c>
      <c r="L195" s="2" t="str">
        <f t="shared" si="4"/>
        <v>Saturday</v>
      </c>
      <c r="M195" s="2" t="str">
        <f t="shared" si="5"/>
        <v>28</v>
      </c>
      <c r="N195" s="2">
        <f>VLOOKUP(L195,'Data Info'!$A$1:$B$8,2,0)</f>
        <v>6</v>
      </c>
      <c r="O195" s="2" t="str">
        <f>VLOOKUP(L195,'Data Info'!$A$1:$C$8,3,0)</f>
        <v>Weekend</v>
      </c>
    </row>
    <row r="196">
      <c r="A196" s="4">
        <v>45563.44305555556</v>
      </c>
      <c r="B196" s="9">
        <f>IFERROR(__xludf.DUMMYFUNCTION("SPLIT(A196,"" "")"),45563.0)</f>
        <v>45563</v>
      </c>
      <c r="C196" s="10">
        <f>IFERROR(__xludf.DUMMYFUNCTION("""COMPUTED_VALUE"""),0.44305555555555554)</f>
        <v>0.4430555556</v>
      </c>
      <c r="D196" s="2">
        <f t="shared" si="1"/>
        <v>10</v>
      </c>
      <c r="E196" s="2">
        <f>IFERROR(__xludf.DUMMYFUNCTION("SPLIT(B196,""/"")"),28.0)</f>
        <v>28</v>
      </c>
      <c r="F196" s="2">
        <f>IFERROR(__xludf.DUMMYFUNCTION("""COMPUTED_VALUE"""),9.0)</f>
        <v>9</v>
      </c>
      <c r="G196" s="2">
        <f>IFERROR(__xludf.DUMMYFUNCTION("""COMPUTED_VALUE"""),2024.0)</f>
        <v>2024</v>
      </c>
      <c r="H196" s="2" t="str">
        <f t="shared" si="2"/>
        <v>2024/9/28</v>
      </c>
      <c r="I196" s="2" t="s">
        <v>1588</v>
      </c>
      <c r="J196" s="2" t="str">
        <f t="shared" si="3"/>
        <v>Es Kopi Susu</v>
      </c>
      <c r="K196" s="7">
        <f>if(RIGHT(I196,5)="2 pcs",2,Data!I196)</f>
        <v>1</v>
      </c>
      <c r="L196" s="2" t="str">
        <f t="shared" si="4"/>
        <v>Saturday</v>
      </c>
      <c r="M196" s="2" t="str">
        <f t="shared" si="5"/>
        <v>28</v>
      </c>
      <c r="N196" s="2">
        <f>VLOOKUP(L196,'Data Info'!$A$1:$B$8,2,0)</f>
        <v>6</v>
      </c>
      <c r="O196" s="2" t="str">
        <f>VLOOKUP(L196,'Data Info'!$A$1:$C$8,3,0)</f>
        <v>Weekend</v>
      </c>
    </row>
    <row r="197">
      <c r="A197" s="4">
        <v>45563.44305555556</v>
      </c>
      <c r="B197" s="9">
        <f>IFERROR(__xludf.DUMMYFUNCTION("SPLIT(A197,"" "")"),45563.0)</f>
        <v>45563</v>
      </c>
      <c r="C197" s="10">
        <f>IFERROR(__xludf.DUMMYFUNCTION("""COMPUTED_VALUE"""),0.44305555555555554)</f>
        <v>0.4430555556</v>
      </c>
      <c r="D197" s="2">
        <f t="shared" si="1"/>
        <v>10</v>
      </c>
      <c r="E197" s="2">
        <f>IFERROR(__xludf.DUMMYFUNCTION("SPLIT(B197,""/"")"),28.0)</f>
        <v>28</v>
      </c>
      <c r="F197" s="2">
        <f>IFERROR(__xludf.DUMMYFUNCTION("""COMPUTED_VALUE"""),9.0)</f>
        <v>9</v>
      </c>
      <c r="G197" s="2">
        <f>IFERROR(__xludf.DUMMYFUNCTION("""COMPUTED_VALUE"""),2024.0)</f>
        <v>2024</v>
      </c>
      <c r="H197" s="2" t="str">
        <f t="shared" si="2"/>
        <v>2024/9/28</v>
      </c>
      <c r="I197" s="2" t="s">
        <v>1598</v>
      </c>
      <c r="J197" s="2" t="str">
        <f t="shared" si="3"/>
        <v>Korean Strawberry Fresh Milk</v>
      </c>
      <c r="K197" s="7">
        <f>if(RIGHT(I197,5)="2 pcs",2,Data!I197)</f>
        <v>1</v>
      </c>
      <c r="L197" s="2" t="str">
        <f t="shared" si="4"/>
        <v>Saturday</v>
      </c>
      <c r="M197" s="2" t="str">
        <f t="shared" si="5"/>
        <v>28</v>
      </c>
      <c r="N197" s="2">
        <f>VLOOKUP(L197,'Data Info'!$A$1:$B$8,2,0)</f>
        <v>6</v>
      </c>
      <c r="O197" s="2" t="str">
        <f>VLOOKUP(L197,'Data Info'!$A$1:$C$8,3,0)</f>
        <v>Weekend</v>
      </c>
    </row>
    <row r="198">
      <c r="A198" s="4">
        <v>45563.41736111111</v>
      </c>
      <c r="B198" s="9">
        <f>IFERROR(__xludf.DUMMYFUNCTION("SPLIT(A198,"" "")"),45563.0)</f>
        <v>45563</v>
      </c>
      <c r="C198" s="10">
        <f>IFERROR(__xludf.DUMMYFUNCTION("""COMPUTED_VALUE"""),0.4173611111111111)</f>
        <v>0.4173611111</v>
      </c>
      <c r="D198" s="2">
        <f t="shared" si="1"/>
        <v>10</v>
      </c>
      <c r="E198" s="2">
        <f>IFERROR(__xludf.DUMMYFUNCTION("SPLIT(B198,""/"")"),28.0)</f>
        <v>28</v>
      </c>
      <c r="F198" s="2">
        <f>IFERROR(__xludf.DUMMYFUNCTION("""COMPUTED_VALUE"""),9.0)</f>
        <v>9</v>
      </c>
      <c r="G198" s="2">
        <f>IFERROR(__xludf.DUMMYFUNCTION("""COMPUTED_VALUE"""),2024.0)</f>
        <v>2024</v>
      </c>
      <c r="H198" s="2" t="str">
        <f t="shared" si="2"/>
        <v>2024/9/28</v>
      </c>
      <c r="I198" s="2" t="s">
        <v>1584</v>
      </c>
      <c r="J198" s="2" t="str">
        <f t="shared" si="3"/>
        <v>Korean Mango Fresh Milk</v>
      </c>
      <c r="K198" s="7">
        <f>if(RIGHT(I198,5)="2 pcs",2,Data!I198)</f>
        <v>1</v>
      </c>
      <c r="L198" s="2" t="str">
        <f t="shared" si="4"/>
        <v>Saturday</v>
      </c>
      <c r="M198" s="2" t="str">
        <f t="shared" si="5"/>
        <v>28</v>
      </c>
      <c r="N198" s="2">
        <f>VLOOKUP(L198,'Data Info'!$A$1:$B$8,2,0)</f>
        <v>6</v>
      </c>
      <c r="O198" s="2" t="str">
        <f>VLOOKUP(L198,'Data Info'!$A$1:$C$8,3,0)</f>
        <v>Weekend</v>
      </c>
    </row>
    <row r="199">
      <c r="A199" s="4">
        <v>45563.41736111111</v>
      </c>
      <c r="B199" s="9">
        <f>IFERROR(__xludf.DUMMYFUNCTION("SPLIT(A199,"" "")"),45563.0)</f>
        <v>45563</v>
      </c>
      <c r="C199" s="10">
        <f>IFERROR(__xludf.DUMMYFUNCTION("""COMPUTED_VALUE"""),0.4173611111111111)</f>
        <v>0.4173611111</v>
      </c>
      <c r="D199" s="2">
        <f t="shared" si="1"/>
        <v>10</v>
      </c>
      <c r="E199" s="2">
        <f>IFERROR(__xludf.DUMMYFUNCTION("SPLIT(B199,""/"")"),28.0)</f>
        <v>28</v>
      </c>
      <c r="F199" s="2">
        <f>IFERROR(__xludf.DUMMYFUNCTION("""COMPUTED_VALUE"""),9.0)</f>
        <v>9</v>
      </c>
      <c r="G199" s="2">
        <f>IFERROR(__xludf.DUMMYFUNCTION("""COMPUTED_VALUE"""),2024.0)</f>
        <v>2024</v>
      </c>
      <c r="H199" s="2" t="str">
        <f t="shared" si="2"/>
        <v>2024/9/28</v>
      </c>
      <c r="I199" s="2" t="s">
        <v>1598</v>
      </c>
      <c r="J199" s="2" t="str">
        <f t="shared" si="3"/>
        <v>Korean Strawberry Fresh Milk</v>
      </c>
      <c r="K199" s="7">
        <f>if(RIGHT(I199,5)="2 pcs",2,Data!I199)</f>
        <v>1</v>
      </c>
      <c r="L199" s="2" t="str">
        <f t="shared" si="4"/>
        <v>Saturday</v>
      </c>
      <c r="M199" s="2" t="str">
        <f t="shared" si="5"/>
        <v>28</v>
      </c>
      <c r="N199" s="2">
        <f>VLOOKUP(L199,'Data Info'!$A$1:$B$8,2,0)</f>
        <v>6</v>
      </c>
      <c r="O199" s="2" t="str">
        <f>VLOOKUP(L199,'Data Info'!$A$1:$C$8,3,0)</f>
        <v>Weekend</v>
      </c>
    </row>
    <row r="200">
      <c r="A200" s="4">
        <v>45563.40625</v>
      </c>
      <c r="B200" s="9">
        <f>IFERROR(__xludf.DUMMYFUNCTION("SPLIT(A200,"" "")"),45563.0)</f>
        <v>45563</v>
      </c>
      <c r="C200" s="10">
        <f>IFERROR(__xludf.DUMMYFUNCTION("""COMPUTED_VALUE"""),0.40625)</f>
        <v>0.40625</v>
      </c>
      <c r="D200" s="2">
        <f t="shared" si="1"/>
        <v>9</v>
      </c>
      <c r="E200" s="2">
        <f>IFERROR(__xludf.DUMMYFUNCTION("SPLIT(B200,""/"")"),28.0)</f>
        <v>28</v>
      </c>
      <c r="F200" s="2">
        <f>IFERROR(__xludf.DUMMYFUNCTION("""COMPUTED_VALUE"""),9.0)</f>
        <v>9</v>
      </c>
      <c r="G200" s="2">
        <f>IFERROR(__xludf.DUMMYFUNCTION("""COMPUTED_VALUE"""),2024.0)</f>
        <v>2024</v>
      </c>
      <c r="H200" s="2" t="str">
        <f t="shared" si="2"/>
        <v>2024/9/28</v>
      </c>
      <c r="I200" s="2" t="s">
        <v>1596</v>
      </c>
      <c r="J200" s="2" t="str">
        <f t="shared" si="3"/>
        <v>Roti Cranberry</v>
      </c>
      <c r="K200" s="7">
        <f>if(RIGHT(I200,5)="2 pcs",2,Data!I200)</f>
        <v>2</v>
      </c>
      <c r="L200" s="2" t="str">
        <f t="shared" si="4"/>
        <v>Saturday</v>
      </c>
      <c r="M200" s="2" t="str">
        <f t="shared" si="5"/>
        <v>28</v>
      </c>
      <c r="N200" s="2">
        <f>VLOOKUP(L200,'Data Info'!$A$1:$B$8,2,0)</f>
        <v>6</v>
      </c>
      <c r="O200" s="2" t="str">
        <f>VLOOKUP(L200,'Data Info'!$A$1:$C$8,3,0)</f>
        <v>Weekend</v>
      </c>
    </row>
    <row r="201">
      <c r="A201" s="4">
        <v>45563.40625</v>
      </c>
      <c r="B201" s="9">
        <f>IFERROR(__xludf.DUMMYFUNCTION("SPLIT(A201,"" "")"),45563.0)</f>
        <v>45563</v>
      </c>
      <c r="C201" s="10">
        <f>IFERROR(__xludf.DUMMYFUNCTION("""COMPUTED_VALUE"""),0.40625)</f>
        <v>0.40625</v>
      </c>
      <c r="D201" s="2">
        <f t="shared" si="1"/>
        <v>9</v>
      </c>
      <c r="E201" s="2">
        <f>IFERROR(__xludf.DUMMYFUNCTION("SPLIT(B201,""/"")"),28.0)</f>
        <v>28</v>
      </c>
      <c r="F201" s="2">
        <f>IFERROR(__xludf.DUMMYFUNCTION("""COMPUTED_VALUE"""),9.0)</f>
        <v>9</v>
      </c>
      <c r="G201" s="2">
        <f>IFERROR(__xludf.DUMMYFUNCTION("""COMPUTED_VALUE"""),2024.0)</f>
        <v>2024</v>
      </c>
      <c r="H201" s="2" t="str">
        <f t="shared" si="2"/>
        <v>2024/9/28</v>
      </c>
      <c r="I201" s="2" t="s">
        <v>1582</v>
      </c>
      <c r="J201" s="2" t="str">
        <f t="shared" si="3"/>
        <v>Teh Tawar Dingin</v>
      </c>
      <c r="K201" s="7">
        <f>if(RIGHT(I201,5)="2 pcs",2,Data!I201)</f>
        <v>1</v>
      </c>
      <c r="L201" s="2" t="str">
        <f t="shared" si="4"/>
        <v>Saturday</v>
      </c>
      <c r="M201" s="2" t="str">
        <f t="shared" si="5"/>
        <v>28</v>
      </c>
      <c r="N201" s="2">
        <f>VLOOKUP(L201,'Data Info'!$A$1:$B$8,2,0)</f>
        <v>6</v>
      </c>
      <c r="O201" s="2" t="str">
        <f>VLOOKUP(L201,'Data Info'!$A$1:$C$8,3,0)</f>
        <v>Weekend</v>
      </c>
    </row>
    <row r="202">
      <c r="A202" s="4">
        <v>45563.40625</v>
      </c>
      <c r="B202" s="9">
        <f>IFERROR(__xludf.DUMMYFUNCTION("SPLIT(A202,"" "")"),45563.0)</f>
        <v>45563</v>
      </c>
      <c r="C202" s="10">
        <f>IFERROR(__xludf.DUMMYFUNCTION("""COMPUTED_VALUE"""),0.40625)</f>
        <v>0.40625</v>
      </c>
      <c r="D202" s="2">
        <f t="shared" si="1"/>
        <v>9</v>
      </c>
      <c r="E202" s="2">
        <f>IFERROR(__xludf.DUMMYFUNCTION("SPLIT(B202,""/"")"),28.0)</f>
        <v>28</v>
      </c>
      <c r="F202" s="2">
        <f>IFERROR(__xludf.DUMMYFUNCTION("""COMPUTED_VALUE"""),9.0)</f>
        <v>9</v>
      </c>
      <c r="G202" s="2">
        <f>IFERROR(__xludf.DUMMYFUNCTION("""COMPUTED_VALUE"""),2024.0)</f>
        <v>2024</v>
      </c>
      <c r="H202" s="2" t="str">
        <f t="shared" si="2"/>
        <v>2024/9/28</v>
      </c>
      <c r="I202" s="2" t="s">
        <v>1585</v>
      </c>
      <c r="J202" s="2" t="str">
        <f t="shared" si="3"/>
        <v>Susu murni moca</v>
      </c>
      <c r="K202" s="7">
        <f>if(RIGHT(I202,5)="2 pcs",2,Data!I202)</f>
        <v>1</v>
      </c>
      <c r="L202" s="2" t="str">
        <f t="shared" si="4"/>
        <v>Saturday</v>
      </c>
      <c r="M202" s="2" t="str">
        <f t="shared" si="5"/>
        <v>28</v>
      </c>
      <c r="N202" s="2">
        <f>VLOOKUP(L202,'Data Info'!$A$1:$B$8,2,0)</f>
        <v>6</v>
      </c>
      <c r="O202" s="2" t="str">
        <f>VLOOKUP(L202,'Data Info'!$A$1:$C$8,3,0)</f>
        <v>Weekend</v>
      </c>
    </row>
    <row r="203">
      <c r="A203" s="4">
        <v>45563.3875</v>
      </c>
      <c r="B203" s="9">
        <f>IFERROR(__xludf.DUMMYFUNCTION("SPLIT(A203,"" "")"),45563.0)</f>
        <v>45563</v>
      </c>
      <c r="C203" s="10">
        <f>IFERROR(__xludf.DUMMYFUNCTION("""COMPUTED_VALUE"""),0.3875)</f>
        <v>0.3875</v>
      </c>
      <c r="D203" s="2">
        <f t="shared" si="1"/>
        <v>9</v>
      </c>
      <c r="E203" s="2">
        <f>IFERROR(__xludf.DUMMYFUNCTION("SPLIT(B203,""/"")"),28.0)</f>
        <v>28</v>
      </c>
      <c r="F203" s="2">
        <f>IFERROR(__xludf.DUMMYFUNCTION("""COMPUTED_VALUE"""),9.0)</f>
        <v>9</v>
      </c>
      <c r="G203" s="2">
        <f>IFERROR(__xludf.DUMMYFUNCTION("""COMPUTED_VALUE"""),2024.0)</f>
        <v>2024</v>
      </c>
      <c r="H203" s="2" t="str">
        <f t="shared" si="2"/>
        <v>2024/9/28</v>
      </c>
      <c r="I203" s="2" t="s">
        <v>1584</v>
      </c>
      <c r="J203" s="2" t="str">
        <f t="shared" si="3"/>
        <v>Korean Mango Fresh Milk</v>
      </c>
      <c r="K203" s="7">
        <f>if(RIGHT(I203,5)="2 pcs",2,Data!I203)</f>
        <v>1</v>
      </c>
      <c r="L203" s="2" t="str">
        <f t="shared" si="4"/>
        <v>Saturday</v>
      </c>
      <c r="M203" s="2" t="str">
        <f t="shared" si="5"/>
        <v>28</v>
      </c>
      <c r="N203" s="2">
        <f>VLOOKUP(L203,'Data Info'!$A$1:$B$8,2,0)</f>
        <v>6</v>
      </c>
      <c r="O203" s="2" t="str">
        <f>VLOOKUP(L203,'Data Info'!$A$1:$C$8,3,0)</f>
        <v>Weekend</v>
      </c>
    </row>
    <row r="204">
      <c r="A204" s="4">
        <v>45563.3875</v>
      </c>
      <c r="B204" s="9">
        <f>IFERROR(__xludf.DUMMYFUNCTION("SPLIT(A204,"" "")"),45563.0)</f>
        <v>45563</v>
      </c>
      <c r="C204" s="10">
        <f>IFERROR(__xludf.DUMMYFUNCTION("""COMPUTED_VALUE"""),0.3875)</f>
        <v>0.3875</v>
      </c>
      <c r="D204" s="2">
        <f t="shared" si="1"/>
        <v>9</v>
      </c>
      <c r="E204" s="2">
        <f>IFERROR(__xludf.DUMMYFUNCTION("SPLIT(B204,""/"")"),28.0)</f>
        <v>28</v>
      </c>
      <c r="F204" s="2">
        <f>IFERROR(__xludf.DUMMYFUNCTION("""COMPUTED_VALUE"""),9.0)</f>
        <v>9</v>
      </c>
      <c r="G204" s="2">
        <f>IFERROR(__xludf.DUMMYFUNCTION("""COMPUTED_VALUE"""),2024.0)</f>
        <v>2024</v>
      </c>
      <c r="H204" s="2" t="str">
        <f t="shared" si="2"/>
        <v>2024/9/28</v>
      </c>
      <c r="I204" s="2" t="s">
        <v>1617</v>
      </c>
      <c r="J204" s="2" t="str">
        <f t="shared" si="3"/>
        <v>Lemon Tea Dingin</v>
      </c>
      <c r="K204" s="7">
        <f>if(RIGHT(I204,5)="2 pcs",2,Data!I204)</f>
        <v>1</v>
      </c>
      <c r="L204" s="2" t="str">
        <f t="shared" si="4"/>
        <v>Saturday</v>
      </c>
      <c r="M204" s="2" t="str">
        <f t="shared" si="5"/>
        <v>28</v>
      </c>
      <c r="N204" s="2">
        <f>VLOOKUP(L204,'Data Info'!$A$1:$B$8,2,0)</f>
        <v>6</v>
      </c>
      <c r="O204" s="2" t="str">
        <f>VLOOKUP(L204,'Data Info'!$A$1:$C$8,3,0)</f>
        <v>Weekend</v>
      </c>
    </row>
    <row r="205">
      <c r="A205" s="4">
        <v>45562.87847222222</v>
      </c>
      <c r="B205" s="9">
        <f>IFERROR(__xludf.DUMMYFUNCTION("SPLIT(A205,"" "")"),45562.0)</f>
        <v>45562</v>
      </c>
      <c r="C205" s="10">
        <f>IFERROR(__xludf.DUMMYFUNCTION("""COMPUTED_VALUE"""),0.8784722222222222)</f>
        <v>0.8784722222</v>
      </c>
      <c r="D205" s="2">
        <f t="shared" si="1"/>
        <v>21</v>
      </c>
      <c r="E205" s="2">
        <f>IFERROR(__xludf.DUMMYFUNCTION("SPLIT(B205,""/"")"),27.0)</f>
        <v>27</v>
      </c>
      <c r="F205" s="2">
        <f>IFERROR(__xludf.DUMMYFUNCTION("""COMPUTED_VALUE"""),9.0)</f>
        <v>9</v>
      </c>
      <c r="G205" s="2">
        <f>IFERROR(__xludf.DUMMYFUNCTION("""COMPUTED_VALUE"""),2024.0)</f>
        <v>2024</v>
      </c>
      <c r="H205" s="2" t="str">
        <f t="shared" si="2"/>
        <v>2024/9/27</v>
      </c>
      <c r="I205" s="2" t="s">
        <v>1577</v>
      </c>
      <c r="J205" s="2" t="str">
        <f t="shared" si="3"/>
        <v>Rempah Madu Panas</v>
      </c>
      <c r="K205" s="7">
        <f>if(RIGHT(I205,5)="2 pcs",2,Data!I205)</f>
        <v>1</v>
      </c>
      <c r="L205" s="2" t="str">
        <f t="shared" si="4"/>
        <v>Friday</v>
      </c>
      <c r="M205" s="2" t="str">
        <f t="shared" si="5"/>
        <v>27</v>
      </c>
      <c r="N205" s="2">
        <f>VLOOKUP(L205,'Data Info'!$A$1:$B$8,2,0)</f>
        <v>5</v>
      </c>
      <c r="O205" s="2" t="str">
        <f>VLOOKUP(L205,'Data Info'!$A$1:$C$8,3,0)</f>
        <v>Weekday</v>
      </c>
    </row>
    <row r="206">
      <c r="A206" s="4">
        <v>45562.87847222222</v>
      </c>
      <c r="B206" s="9">
        <f>IFERROR(__xludf.DUMMYFUNCTION("SPLIT(A206,"" "")"),45562.0)</f>
        <v>45562</v>
      </c>
      <c r="C206" s="10">
        <f>IFERROR(__xludf.DUMMYFUNCTION("""COMPUTED_VALUE"""),0.8784722222222222)</f>
        <v>0.8784722222</v>
      </c>
      <c r="D206" s="2">
        <f t="shared" si="1"/>
        <v>21</v>
      </c>
      <c r="E206" s="2">
        <f>IFERROR(__xludf.DUMMYFUNCTION("SPLIT(B206,""/"")"),27.0)</f>
        <v>27</v>
      </c>
      <c r="F206" s="2">
        <f>IFERROR(__xludf.DUMMYFUNCTION("""COMPUTED_VALUE"""),9.0)</f>
        <v>9</v>
      </c>
      <c r="G206" s="2">
        <f>IFERROR(__xludf.DUMMYFUNCTION("""COMPUTED_VALUE"""),2024.0)</f>
        <v>2024</v>
      </c>
      <c r="H206" s="2" t="str">
        <f t="shared" si="2"/>
        <v>2024/9/27</v>
      </c>
      <c r="I206" s="2" t="s">
        <v>1618</v>
      </c>
      <c r="J206" s="2" t="str">
        <f t="shared" si="3"/>
        <v>Susu murni ori</v>
      </c>
      <c r="K206" s="7">
        <f>if(RIGHT(I206,5)="2 pcs",2,Data!I206)</f>
        <v>1</v>
      </c>
      <c r="L206" s="2" t="str">
        <f t="shared" si="4"/>
        <v>Friday</v>
      </c>
      <c r="M206" s="2" t="str">
        <f t="shared" si="5"/>
        <v>27</v>
      </c>
      <c r="N206" s="2">
        <f>VLOOKUP(L206,'Data Info'!$A$1:$B$8,2,0)</f>
        <v>5</v>
      </c>
      <c r="O206" s="2" t="str">
        <f>VLOOKUP(L206,'Data Info'!$A$1:$C$8,3,0)</f>
        <v>Weekday</v>
      </c>
    </row>
    <row r="207">
      <c r="A207" s="4">
        <v>45562.87847222222</v>
      </c>
      <c r="B207" s="9">
        <f>IFERROR(__xludf.DUMMYFUNCTION("SPLIT(A207,"" "")"),45562.0)</f>
        <v>45562</v>
      </c>
      <c r="C207" s="10">
        <f>IFERROR(__xludf.DUMMYFUNCTION("""COMPUTED_VALUE"""),0.8784722222222222)</f>
        <v>0.8784722222</v>
      </c>
      <c r="D207" s="2">
        <f t="shared" si="1"/>
        <v>21</v>
      </c>
      <c r="E207" s="2">
        <f>IFERROR(__xludf.DUMMYFUNCTION("SPLIT(B207,""/"")"),27.0)</f>
        <v>27</v>
      </c>
      <c r="F207" s="2">
        <f>IFERROR(__xludf.DUMMYFUNCTION("""COMPUTED_VALUE"""),9.0)</f>
        <v>9</v>
      </c>
      <c r="G207" s="2">
        <f>IFERROR(__xludf.DUMMYFUNCTION("""COMPUTED_VALUE"""),2024.0)</f>
        <v>2024</v>
      </c>
      <c r="H207" s="2" t="str">
        <f t="shared" si="2"/>
        <v>2024/9/27</v>
      </c>
      <c r="I207" s="2" t="s">
        <v>1615</v>
      </c>
      <c r="J207" s="2" t="str">
        <f t="shared" si="3"/>
        <v>Roti panggang sarikaya</v>
      </c>
      <c r="K207" s="7">
        <f>if(RIGHT(I207,5)="2 pcs",2,Data!I207)</f>
        <v>1</v>
      </c>
      <c r="L207" s="2" t="str">
        <f t="shared" si="4"/>
        <v>Friday</v>
      </c>
      <c r="M207" s="2" t="str">
        <f t="shared" si="5"/>
        <v>27</v>
      </c>
      <c r="N207" s="2">
        <f>VLOOKUP(L207,'Data Info'!$A$1:$B$8,2,0)</f>
        <v>5</v>
      </c>
      <c r="O207" s="2" t="str">
        <f>VLOOKUP(L207,'Data Info'!$A$1:$C$8,3,0)</f>
        <v>Weekday</v>
      </c>
    </row>
    <row r="208">
      <c r="A208" s="4">
        <v>45562.87847222222</v>
      </c>
      <c r="B208" s="9">
        <f>IFERROR(__xludf.DUMMYFUNCTION("SPLIT(A208,"" "")"),45562.0)</f>
        <v>45562</v>
      </c>
      <c r="C208" s="10">
        <f>IFERROR(__xludf.DUMMYFUNCTION("""COMPUTED_VALUE"""),0.8784722222222222)</f>
        <v>0.8784722222</v>
      </c>
      <c r="D208" s="2">
        <f t="shared" si="1"/>
        <v>21</v>
      </c>
      <c r="E208" s="2">
        <f>IFERROR(__xludf.DUMMYFUNCTION("SPLIT(B208,""/"")"),27.0)</f>
        <v>27</v>
      </c>
      <c r="F208" s="2">
        <f>IFERROR(__xludf.DUMMYFUNCTION("""COMPUTED_VALUE"""),9.0)</f>
        <v>9</v>
      </c>
      <c r="G208" s="2">
        <f>IFERROR(__xludf.DUMMYFUNCTION("""COMPUTED_VALUE"""),2024.0)</f>
        <v>2024</v>
      </c>
      <c r="H208" s="2" t="str">
        <f t="shared" si="2"/>
        <v>2024/9/27</v>
      </c>
      <c r="I208" s="2" t="s">
        <v>1579</v>
      </c>
      <c r="J208" s="2" t="str">
        <f t="shared" si="3"/>
        <v>Tahu baso</v>
      </c>
      <c r="K208" s="7">
        <f>if(RIGHT(I208,5)="2 pcs",2,Data!I208)</f>
        <v>1</v>
      </c>
      <c r="L208" s="2" t="str">
        <f t="shared" si="4"/>
        <v>Friday</v>
      </c>
      <c r="M208" s="2" t="str">
        <f t="shared" si="5"/>
        <v>27</v>
      </c>
      <c r="N208" s="2">
        <f>VLOOKUP(L208,'Data Info'!$A$1:$B$8,2,0)</f>
        <v>5</v>
      </c>
      <c r="O208" s="2" t="str">
        <f>VLOOKUP(L208,'Data Info'!$A$1:$C$8,3,0)</f>
        <v>Weekday</v>
      </c>
    </row>
    <row r="209">
      <c r="A209" s="4">
        <v>45562.87847222222</v>
      </c>
      <c r="B209" s="9">
        <f>IFERROR(__xludf.DUMMYFUNCTION("SPLIT(A209,"" "")"),45562.0)</f>
        <v>45562</v>
      </c>
      <c r="C209" s="10">
        <f>IFERROR(__xludf.DUMMYFUNCTION("""COMPUTED_VALUE"""),0.8784722222222222)</f>
        <v>0.8784722222</v>
      </c>
      <c r="D209" s="2">
        <f t="shared" si="1"/>
        <v>21</v>
      </c>
      <c r="E209" s="2">
        <f>IFERROR(__xludf.DUMMYFUNCTION("SPLIT(B209,""/"")"),27.0)</f>
        <v>27</v>
      </c>
      <c r="F209" s="2">
        <f>IFERROR(__xludf.DUMMYFUNCTION("""COMPUTED_VALUE"""),9.0)</f>
        <v>9</v>
      </c>
      <c r="G209" s="2">
        <f>IFERROR(__xludf.DUMMYFUNCTION("""COMPUTED_VALUE"""),2024.0)</f>
        <v>2024</v>
      </c>
      <c r="H209" s="2" t="str">
        <f t="shared" si="2"/>
        <v>2024/9/27</v>
      </c>
      <c r="I209" s="2" t="s">
        <v>1576</v>
      </c>
      <c r="J209" s="2" t="str">
        <f t="shared" si="3"/>
        <v>Roti Cranberry</v>
      </c>
      <c r="K209" s="7">
        <f>if(RIGHT(I209,5)="2 pcs",2,Data!I209)</f>
        <v>1</v>
      </c>
      <c r="L209" s="2" t="str">
        <f t="shared" si="4"/>
        <v>Friday</v>
      </c>
      <c r="M209" s="2" t="str">
        <f t="shared" si="5"/>
        <v>27</v>
      </c>
      <c r="N209" s="2">
        <f>VLOOKUP(L209,'Data Info'!$A$1:$B$8,2,0)</f>
        <v>5</v>
      </c>
      <c r="O209" s="2" t="str">
        <f>VLOOKUP(L209,'Data Info'!$A$1:$C$8,3,0)</f>
        <v>Weekday</v>
      </c>
    </row>
    <row r="210">
      <c r="A210" s="4">
        <v>45562.87847222222</v>
      </c>
      <c r="B210" s="9">
        <f>IFERROR(__xludf.DUMMYFUNCTION("SPLIT(A210,"" "")"),45562.0)</f>
        <v>45562</v>
      </c>
      <c r="C210" s="10">
        <f>IFERROR(__xludf.DUMMYFUNCTION("""COMPUTED_VALUE"""),0.8784722222222222)</f>
        <v>0.8784722222</v>
      </c>
      <c r="D210" s="2">
        <f t="shared" si="1"/>
        <v>21</v>
      </c>
      <c r="E210" s="2">
        <f>IFERROR(__xludf.DUMMYFUNCTION("SPLIT(B210,""/"")"),27.0)</f>
        <v>27</v>
      </c>
      <c r="F210" s="2">
        <f>IFERROR(__xludf.DUMMYFUNCTION("""COMPUTED_VALUE"""),9.0)</f>
        <v>9</v>
      </c>
      <c r="G210" s="2">
        <f>IFERROR(__xludf.DUMMYFUNCTION("""COMPUTED_VALUE"""),2024.0)</f>
        <v>2024</v>
      </c>
      <c r="H210" s="2" t="str">
        <f t="shared" si="2"/>
        <v>2024/9/27</v>
      </c>
      <c r="I210" s="2" t="s">
        <v>1582</v>
      </c>
      <c r="J210" s="2" t="str">
        <f t="shared" si="3"/>
        <v>Teh Tawar Dingin</v>
      </c>
      <c r="K210" s="7">
        <f>if(RIGHT(I210,5)="2 pcs",2,Data!I210)</f>
        <v>1</v>
      </c>
      <c r="L210" s="2" t="str">
        <f t="shared" si="4"/>
        <v>Friday</v>
      </c>
      <c r="M210" s="2" t="str">
        <f t="shared" si="5"/>
        <v>27</v>
      </c>
      <c r="N210" s="2">
        <f>VLOOKUP(L210,'Data Info'!$A$1:$B$8,2,0)</f>
        <v>5</v>
      </c>
      <c r="O210" s="2" t="str">
        <f>VLOOKUP(L210,'Data Info'!$A$1:$C$8,3,0)</f>
        <v>Weekday</v>
      </c>
    </row>
    <row r="211">
      <c r="A211" s="4">
        <v>45562.87847222222</v>
      </c>
      <c r="B211" s="9">
        <f>IFERROR(__xludf.DUMMYFUNCTION("SPLIT(A211,"" "")"),45562.0)</f>
        <v>45562</v>
      </c>
      <c r="C211" s="10">
        <f>IFERROR(__xludf.DUMMYFUNCTION("""COMPUTED_VALUE"""),0.8784722222222222)</f>
        <v>0.8784722222</v>
      </c>
      <c r="D211" s="2">
        <f t="shared" si="1"/>
        <v>21</v>
      </c>
      <c r="E211" s="2">
        <f>IFERROR(__xludf.DUMMYFUNCTION("SPLIT(B211,""/"")"),27.0)</f>
        <v>27</v>
      </c>
      <c r="F211" s="2">
        <f>IFERROR(__xludf.DUMMYFUNCTION("""COMPUTED_VALUE"""),9.0)</f>
        <v>9</v>
      </c>
      <c r="G211" s="2">
        <f>IFERROR(__xludf.DUMMYFUNCTION("""COMPUTED_VALUE"""),2024.0)</f>
        <v>2024</v>
      </c>
      <c r="H211" s="2" t="str">
        <f t="shared" si="2"/>
        <v>2024/9/27</v>
      </c>
      <c r="I211" s="2" t="s">
        <v>1609</v>
      </c>
      <c r="J211" s="2" t="str">
        <f t="shared" si="3"/>
        <v>Tempe Mendoan</v>
      </c>
      <c r="K211" s="7">
        <f>if(RIGHT(I211,5)="2 pcs",2,Data!I211)</f>
        <v>1</v>
      </c>
      <c r="L211" s="2" t="str">
        <f t="shared" si="4"/>
        <v>Friday</v>
      </c>
      <c r="M211" s="2" t="str">
        <f t="shared" si="5"/>
        <v>27</v>
      </c>
      <c r="N211" s="2">
        <f>VLOOKUP(L211,'Data Info'!$A$1:$B$8,2,0)</f>
        <v>5</v>
      </c>
      <c r="O211" s="2" t="str">
        <f>VLOOKUP(L211,'Data Info'!$A$1:$C$8,3,0)</f>
        <v>Weekday</v>
      </c>
    </row>
    <row r="212">
      <c r="A212" s="4">
        <v>45562.87847222222</v>
      </c>
      <c r="B212" s="9">
        <f>IFERROR(__xludf.DUMMYFUNCTION("SPLIT(A212,"" "")"),45562.0)</f>
        <v>45562</v>
      </c>
      <c r="C212" s="10">
        <f>IFERROR(__xludf.DUMMYFUNCTION("""COMPUTED_VALUE"""),0.8784722222222222)</f>
        <v>0.8784722222</v>
      </c>
      <c r="D212" s="2">
        <f t="shared" si="1"/>
        <v>21</v>
      </c>
      <c r="E212" s="2">
        <f>IFERROR(__xludf.DUMMYFUNCTION("SPLIT(B212,""/"")"),27.0)</f>
        <v>27</v>
      </c>
      <c r="F212" s="2">
        <f>IFERROR(__xludf.DUMMYFUNCTION("""COMPUTED_VALUE"""),9.0)</f>
        <v>9</v>
      </c>
      <c r="G212" s="2">
        <f>IFERROR(__xludf.DUMMYFUNCTION("""COMPUTED_VALUE"""),2024.0)</f>
        <v>2024</v>
      </c>
      <c r="H212" s="2" t="str">
        <f t="shared" si="2"/>
        <v>2024/9/27</v>
      </c>
      <c r="I212" s="2" t="s">
        <v>1582</v>
      </c>
      <c r="J212" s="2" t="str">
        <f t="shared" si="3"/>
        <v>Teh Tawar Dingin</v>
      </c>
      <c r="K212" s="7">
        <f>if(RIGHT(I212,5)="2 pcs",2,Data!I212)</f>
        <v>1</v>
      </c>
      <c r="L212" s="2" t="str">
        <f t="shared" si="4"/>
        <v>Friday</v>
      </c>
      <c r="M212" s="2" t="str">
        <f t="shared" si="5"/>
        <v>27</v>
      </c>
      <c r="N212" s="2">
        <f>VLOOKUP(L212,'Data Info'!$A$1:$B$8,2,0)</f>
        <v>5</v>
      </c>
      <c r="O212" s="2" t="str">
        <f>VLOOKUP(L212,'Data Info'!$A$1:$C$8,3,0)</f>
        <v>Weekday</v>
      </c>
    </row>
    <row r="213">
      <c r="A213" s="4">
        <v>45562.87777777778</v>
      </c>
      <c r="B213" s="9">
        <f>IFERROR(__xludf.DUMMYFUNCTION("SPLIT(A213,"" "")"),45562.0)</f>
        <v>45562</v>
      </c>
      <c r="C213" s="10">
        <f>IFERROR(__xludf.DUMMYFUNCTION("""COMPUTED_VALUE"""),0.8777777777777778)</f>
        <v>0.8777777778</v>
      </c>
      <c r="D213" s="2">
        <f t="shared" si="1"/>
        <v>21</v>
      </c>
      <c r="E213" s="2">
        <f>IFERROR(__xludf.DUMMYFUNCTION("SPLIT(B213,""/"")"),27.0)</f>
        <v>27</v>
      </c>
      <c r="F213" s="2">
        <f>IFERROR(__xludf.DUMMYFUNCTION("""COMPUTED_VALUE"""),9.0)</f>
        <v>9</v>
      </c>
      <c r="G213" s="2">
        <f>IFERROR(__xludf.DUMMYFUNCTION("""COMPUTED_VALUE"""),2024.0)</f>
        <v>2024</v>
      </c>
      <c r="H213" s="2" t="str">
        <f t="shared" si="2"/>
        <v>2024/9/27</v>
      </c>
      <c r="I213" s="2" t="s">
        <v>1589</v>
      </c>
      <c r="J213" s="2" t="str">
        <f t="shared" si="3"/>
        <v>Teh Manis Dingin</v>
      </c>
      <c r="K213" s="7">
        <f>if(RIGHT(I213,5)="2 pcs",2,Data!I213)</f>
        <v>1</v>
      </c>
      <c r="L213" s="2" t="str">
        <f t="shared" si="4"/>
        <v>Friday</v>
      </c>
      <c r="M213" s="2" t="str">
        <f t="shared" si="5"/>
        <v>27</v>
      </c>
      <c r="N213" s="2">
        <f>VLOOKUP(L213,'Data Info'!$A$1:$B$8,2,0)</f>
        <v>5</v>
      </c>
      <c r="O213" s="2" t="str">
        <f>VLOOKUP(L213,'Data Info'!$A$1:$C$8,3,0)</f>
        <v>Weekday</v>
      </c>
    </row>
    <row r="214">
      <c r="A214" s="4">
        <v>45562.87777777778</v>
      </c>
      <c r="B214" s="9">
        <f>IFERROR(__xludf.DUMMYFUNCTION("SPLIT(A214,"" "")"),45562.0)</f>
        <v>45562</v>
      </c>
      <c r="C214" s="10">
        <f>IFERROR(__xludf.DUMMYFUNCTION("""COMPUTED_VALUE"""),0.8777777777777778)</f>
        <v>0.8777777778</v>
      </c>
      <c r="D214" s="2">
        <f t="shared" si="1"/>
        <v>21</v>
      </c>
      <c r="E214" s="2">
        <f>IFERROR(__xludf.DUMMYFUNCTION("SPLIT(B214,""/"")"),27.0)</f>
        <v>27</v>
      </c>
      <c r="F214" s="2">
        <f>IFERROR(__xludf.DUMMYFUNCTION("""COMPUTED_VALUE"""),9.0)</f>
        <v>9</v>
      </c>
      <c r="G214" s="2">
        <f>IFERROR(__xludf.DUMMYFUNCTION("""COMPUTED_VALUE"""),2024.0)</f>
        <v>2024</v>
      </c>
      <c r="H214" s="2" t="str">
        <f t="shared" si="2"/>
        <v>2024/9/27</v>
      </c>
      <c r="I214" s="2" t="s">
        <v>1619</v>
      </c>
      <c r="J214" s="2" t="str">
        <f t="shared" si="3"/>
        <v>Teh Manis Panas</v>
      </c>
      <c r="K214" s="7">
        <f>if(RIGHT(I214,5)="2 pcs",2,Data!I214)</f>
        <v>1</v>
      </c>
      <c r="L214" s="2" t="str">
        <f t="shared" si="4"/>
        <v>Friday</v>
      </c>
      <c r="M214" s="2" t="str">
        <f t="shared" si="5"/>
        <v>27</v>
      </c>
      <c r="N214" s="2">
        <f>VLOOKUP(L214,'Data Info'!$A$1:$B$8,2,0)</f>
        <v>5</v>
      </c>
      <c r="O214" s="2" t="str">
        <f>VLOOKUP(L214,'Data Info'!$A$1:$C$8,3,0)</f>
        <v>Weekday</v>
      </c>
    </row>
    <row r="215">
      <c r="A215" s="4">
        <v>45562.87777777778</v>
      </c>
      <c r="B215" s="9">
        <f>IFERROR(__xludf.DUMMYFUNCTION("SPLIT(A215,"" "")"),45562.0)</f>
        <v>45562</v>
      </c>
      <c r="C215" s="10">
        <f>IFERROR(__xludf.DUMMYFUNCTION("""COMPUTED_VALUE"""),0.8777777777777778)</f>
        <v>0.8777777778</v>
      </c>
      <c r="D215" s="2">
        <f t="shared" si="1"/>
        <v>21</v>
      </c>
      <c r="E215" s="2">
        <f>IFERROR(__xludf.DUMMYFUNCTION("SPLIT(B215,""/"")"),27.0)</f>
        <v>27</v>
      </c>
      <c r="F215" s="2">
        <f>IFERROR(__xludf.DUMMYFUNCTION("""COMPUTED_VALUE"""),9.0)</f>
        <v>9</v>
      </c>
      <c r="G215" s="2">
        <f>IFERROR(__xludf.DUMMYFUNCTION("""COMPUTED_VALUE"""),2024.0)</f>
        <v>2024</v>
      </c>
      <c r="H215" s="2" t="str">
        <f t="shared" si="2"/>
        <v>2024/9/27</v>
      </c>
      <c r="I215" s="2" t="s">
        <v>1605</v>
      </c>
      <c r="J215" s="2" t="str">
        <f t="shared" si="3"/>
        <v>Kentang Goreng</v>
      </c>
      <c r="K215" s="7">
        <f>if(RIGHT(I215,5)="2 pcs",2,Data!I215)</f>
        <v>1</v>
      </c>
      <c r="L215" s="2" t="str">
        <f t="shared" si="4"/>
        <v>Friday</v>
      </c>
      <c r="M215" s="2" t="str">
        <f t="shared" si="5"/>
        <v>27</v>
      </c>
      <c r="N215" s="2">
        <f>VLOOKUP(L215,'Data Info'!$A$1:$B$8,2,0)</f>
        <v>5</v>
      </c>
      <c r="O215" s="2" t="str">
        <f>VLOOKUP(L215,'Data Info'!$A$1:$C$8,3,0)</f>
        <v>Weekday</v>
      </c>
    </row>
    <row r="216">
      <c r="A216" s="4">
        <v>45562.80347222222</v>
      </c>
      <c r="B216" s="9">
        <f>IFERROR(__xludf.DUMMYFUNCTION("SPLIT(A216,"" "")"),45562.0)</f>
        <v>45562</v>
      </c>
      <c r="C216" s="10">
        <f>IFERROR(__xludf.DUMMYFUNCTION("""COMPUTED_VALUE"""),0.8034722222222223)</f>
        <v>0.8034722222</v>
      </c>
      <c r="D216" s="2">
        <f t="shared" si="1"/>
        <v>19</v>
      </c>
      <c r="E216" s="2">
        <f>IFERROR(__xludf.DUMMYFUNCTION("SPLIT(B216,""/"")"),27.0)</f>
        <v>27</v>
      </c>
      <c r="F216" s="2">
        <f>IFERROR(__xludf.DUMMYFUNCTION("""COMPUTED_VALUE"""),9.0)</f>
        <v>9</v>
      </c>
      <c r="G216" s="2">
        <f>IFERROR(__xludf.DUMMYFUNCTION("""COMPUTED_VALUE"""),2024.0)</f>
        <v>2024</v>
      </c>
      <c r="H216" s="2" t="str">
        <f t="shared" si="2"/>
        <v>2024/9/27</v>
      </c>
      <c r="I216" s="2" t="s">
        <v>1618</v>
      </c>
      <c r="J216" s="2" t="str">
        <f t="shared" si="3"/>
        <v>Susu murni ori</v>
      </c>
      <c r="K216" s="7">
        <f>if(RIGHT(I216,5)="2 pcs",2,Data!I216)</f>
        <v>1</v>
      </c>
      <c r="L216" s="2" t="str">
        <f t="shared" si="4"/>
        <v>Friday</v>
      </c>
      <c r="M216" s="2" t="str">
        <f t="shared" si="5"/>
        <v>27</v>
      </c>
      <c r="N216" s="2">
        <f>VLOOKUP(L216,'Data Info'!$A$1:$B$8,2,0)</f>
        <v>5</v>
      </c>
      <c r="O216" s="2" t="str">
        <f>VLOOKUP(L216,'Data Info'!$A$1:$C$8,3,0)</f>
        <v>Weekday</v>
      </c>
    </row>
    <row r="217">
      <c r="A217" s="4">
        <v>45562.80347222222</v>
      </c>
      <c r="B217" s="9">
        <f>IFERROR(__xludf.DUMMYFUNCTION("SPLIT(A217,"" "")"),45562.0)</f>
        <v>45562</v>
      </c>
      <c r="C217" s="10">
        <f>IFERROR(__xludf.DUMMYFUNCTION("""COMPUTED_VALUE"""),0.8034722222222223)</f>
        <v>0.8034722222</v>
      </c>
      <c r="D217" s="2">
        <f t="shared" si="1"/>
        <v>19</v>
      </c>
      <c r="E217" s="2">
        <f>IFERROR(__xludf.DUMMYFUNCTION("SPLIT(B217,""/"")"),27.0)</f>
        <v>27</v>
      </c>
      <c r="F217" s="2">
        <f>IFERROR(__xludf.DUMMYFUNCTION("""COMPUTED_VALUE"""),9.0)</f>
        <v>9</v>
      </c>
      <c r="G217" s="2">
        <f>IFERROR(__xludf.DUMMYFUNCTION("""COMPUTED_VALUE"""),2024.0)</f>
        <v>2024</v>
      </c>
      <c r="H217" s="2" t="str">
        <f t="shared" si="2"/>
        <v>2024/9/27</v>
      </c>
      <c r="I217" s="2" t="s">
        <v>1582</v>
      </c>
      <c r="J217" s="2" t="str">
        <f t="shared" si="3"/>
        <v>Teh Tawar Dingin</v>
      </c>
      <c r="K217" s="7">
        <f>if(RIGHT(I217,5)="2 pcs",2,Data!I217)</f>
        <v>1</v>
      </c>
      <c r="L217" s="2" t="str">
        <f t="shared" si="4"/>
        <v>Friday</v>
      </c>
      <c r="M217" s="2" t="str">
        <f t="shared" si="5"/>
        <v>27</v>
      </c>
      <c r="N217" s="2">
        <f>VLOOKUP(L217,'Data Info'!$A$1:$B$8,2,0)</f>
        <v>5</v>
      </c>
      <c r="O217" s="2" t="str">
        <f>VLOOKUP(L217,'Data Info'!$A$1:$C$8,3,0)</f>
        <v>Weekday</v>
      </c>
    </row>
    <row r="218">
      <c r="A218" s="4">
        <v>45562.80347222222</v>
      </c>
      <c r="B218" s="9">
        <f>IFERROR(__xludf.DUMMYFUNCTION("SPLIT(A218,"" "")"),45562.0)</f>
        <v>45562</v>
      </c>
      <c r="C218" s="10">
        <f>IFERROR(__xludf.DUMMYFUNCTION("""COMPUTED_VALUE"""),0.8034722222222223)</f>
        <v>0.8034722222</v>
      </c>
      <c r="D218" s="2">
        <f t="shared" si="1"/>
        <v>19</v>
      </c>
      <c r="E218" s="2">
        <f>IFERROR(__xludf.DUMMYFUNCTION("SPLIT(B218,""/"")"),27.0)</f>
        <v>27</v>
      </c>
      <c r="F218" s="2">
        <f>IFERROR(__xludf.DUMMYFUNCTION("""COMPUTED_VALUE"""),9.0)</f>
        <v>9</v>
      </c>
      <c r="G218" s="2">
        <f>IFERROR(__xludf.DUMMYFUNCTION("""COMPUTED_VALUE"""),2024.0)</f>
        <v>2024</v>
      </c>
      <c r="H218" s="2" t="str">
        <f t="shared" si="2"/>
        <v>2024/9/27</v>
      </c>
      <c r="I218" s="2" t="s">
        <v>1595</v>
      </c>
      <c r="J218" s="2" t="str">
        <f t="shared" si="3"/>
        <v>Roti Gandum Cokelat</v>
      </c>
      <c r="K218" s="7">
        <f>if(RIGHT(I218,5)="2 pcs",2,Data!I218)</f>
        <v>1</v>
      </c>
      <c r="L218" s="2" t="str">
        <f t="shared" si="4"/>
        <v>Friday</v>
      </c>
      <c r="M218" s="2" t="str">
        <f t="shared" si="5"/>
        <v>27</v>
      </c>
      <c r="N218" s="2">
        <f>VLOOKUP(L218,'Data Info'!$A$1:$B$8,2,0)</f>
        <v>5</v>
      </c>
      <c r="O218" s="2" t="str">
        <f>VLOOKUP(L218,'Data Info'!$A$1:$C$8,3,0)</f>
        <v>Weekday</v>
      </c>
    </row>
    <row r="219">
      <c r="A219" s="4">
        <v>45562.80347222222</v>
      </c>
      <c r="B219" s="9">
        <f>IFERROR(__xludf.DUMMYFUNCTION("SPLIT(A219,"" "")"),45562.0)</f>
        <v>45562</v>
      </c>
      <c r="C219" s="10">
        <f>IFERROR(__xludf.DUMMYFUNCTION("""COMPUTED_VALUE"""),0.8034722222222223)</f>
        <v>0.8034722222</v>
      </c>
      <c r="D219" s="2">
        <f t="shared" si="1"/>
        <v>19</v>
      </c>
      <c r="E219" s="2">
        <f>IFERROR(__xludf.DUMMYFUNCTION("SPLIT(B219,""/"")"),27.0)</f>
        <v>27</v>
      </c>
      <c r="F219" s="2">
        <f>IFERROR(__xludf.DUMMYFUNCTION("""COMPUTED_VALUE"""),9.0)</f>
        <v>9</v>
      </c>
      <c r="G219" s="2">
        <f>IFERROR(__xludf.DUMMYFUNCTION("""COMPUTED_VALUE"""),2024.0)</f>
        <v>2024</v>
      </c>
      <c r="H219" s="2" t="str">
        <f t="shared" si="2"/>
        <v>2024/9/27</v>
      </c>
      <c r="I219" s="2" t="s">
        <v>1573</v>
      </c>
      <c r="J219" s="2" t="str">
        <f t="shared" si="3"/>
        <v>Air mineral</v>
      </c>
      <c r="K219" s="7">
        <f>if(RIGHT(I219,5)="2 pcs",2,Data!I219)</f>
        <v>1</v>
      </c>
      <c r="L219" s="2" t="str">
        <f t="shared" si="4"/>
        <v>Friday</v>
      </c>
      <c r="M219" s="2" t="str">
        <f t="shared" si="5"/>
        <v>27</v>
      </c>
      <c r="N219" s="2">
        <f>VLOOKUP(L219,'Data Info'!$A$1:$B$8,2,0)</f>
        <v>5</v>
      </c>
      <c r="O219" s="2" t="str">
        <f>VLOOKUP(L219,'Data Info'!$A$1:$C$8,3,0)</f>
        <v>Weekday</v>
      </c>
    </row>
    <row r="220">
      <c r="A220" s="4">
        <v>45562.8</v>
      </c>
      <c r="B220" s="9">
        <f>IFERROR(__xludf.DUMMYFUNCTION("SPLIT(A220,"" "")"),45562.0)</f>
        <v>45562</v>
      </c>
      <c r="C220" s="10">
        <f>IFERROR(__xludf.DUMMYFUNCTION("""COMPUTED_VALUE"""),0.8)</f>
        <v>0.8</v>
      </c>
      <c r="D220" s="2">
        <f t="shared" si="1"/>
        <v>19</v>
      </c>
      <c r="E220" s="2">
        <f>IFERROR(__xludf.DUMMYFUNCTION("SPLIT(B220,""/"")"),27.0)</f>
        <v>27</v>
      </c>
      <c r="F220" s="2">
        <f>IFERROR(__xludf.DUMMYFUNCTION("""COMPUTED_VALUE"""),9.0)</f>
        <v>9</v>
      </c>
      <c r="G220" s="2">
        <f>IFERROR(__xludf.DUMMYFUNCTION("""COMPUTED_VALUE"""),2024.0)</f>
        <v>2024</v>
      </c>
      <c r="H220" s="2" t="str">
        <f t="shared" si="2"/>
        <v>2024/9/27</v>
      </c>
      <c r="I220" s="2" t="s">
        <v>1591</v>
      </c>
      <c r="J220" s="2" t="str">
        <f t="shared" si="3"/>
        <v>Kopi cur</v>
      </c>
      <c r="K220" s="7">
        <f>if(RIGHT(I220,5)="2 pcs",2,Data!I220)</f>
        <v>1</v>
      </c>
      <c r="L220" s="2" t="str">
        <f t="shared" si="4"/>
        <v>Friday</v>
      </c>
      <c r="M220" s="2" t="str">
        <f t="shared" si="5"/>
        <v>27</v>
      </c>
      <c r="N220" s="2">
        <f>VLOOKUP(L220,'Data Info'!$A$1:$B$8,2,0)</f>
        <v>5</v>
      </c>
      <c r="O220" s="2" t="str">
        <f>VLOOKUP(L220,'Data Info'!$A$1:$C$8,3,0)</f>
        <v>Weekday</v>
      </c>
    </row>
    <row r="221">
      <c r="A221" s="4">
        <v>45562.79791666667</v>
      </c>
      <c r="B221" s="9">
        <f>IFERROR(__xludf.DUMMYFUNCTION("SPLIT(A221,"" "")"),45562.0)</f>
        <v>45562</v>
      </c>
      <c r="C221" s="10">
        <f>IFERROR(__xludf.DUMMYFUNCTION("""COMPUTED_VALUE"""),0.7979166666666667)</f>
        <v>0.7979166667</v>
      </c>
      <c r="D221" s="2">
        <f t="shared" si="1"/>
        <v>19</v>
      </c>
      <c r="E221" s="2">
        <f>IFERROR(__xludf.DUMMYFUNCTION("SPLIT(B221,""/"")"),27.0)</f>
        <v>27</v>
      </c>
      <c r="F221" s="2">
        <f>IFERROR(__xludf.DUMMYFUNCTION("""COMPUTED_VALUE"""),9.0)</f>
        <v>9</v>
      </c>
      <c r="G221" s="2">
        <f>IFERROR(__xludf.DUMMYFUNCTION("""COMPUTED_VALUE"""),2024.0)</f>
        <v>2024</v>
      </c>
      <c r="H221" s="2" t="str">
        <f t="shared" si="2"/>
        <v>2024/9/27</v>
      </c>
      <c r="I221" s="2" t="s">
        <v>1573</v>
      </c>
      <c r="J221" s="2" t="str">
        <f t="shared" si="3"/>
        <v>Air mineral</v>
      </c>
      <c r="K221" s="7">
        <f>if(RIGHT(I221,5)="2 pcs",2,Data!I221)</f>
        <v>1</v>
      </c>
      <c r="L221" s="2" t="str">
        <f t="shared" si="4"/>
        <v>Friday</v>
      </c>
      <c r="M221" s="2" t="str">
        <f t="shared" si="5"/>
        <v>27</v>
      </c>
      <c r="N221" s="2">
        <f>VLOOKUP(L221,'Data Info'!$A$1:$B$8,2,0)</f>
        <v>5</v>
      </c>
      <c r="O221" s="2" t="str">
        <f>VLOOKUP(L221,'Data Info'!$A$1:$C$8,3,0)</f>
        <v>Weekday</v>
      </c>
    </row>
    <row r="222">
      <c r="A222" s="4">
        <v>45562.688888888886</v>
      </c>
      <c r="B222" s="9">
        <f>IFERROR(__xludf.DUMMYFUNCTION("SPLIT(A222,"" "")"),45562.0)</f>
        <v>45562</v>
      </c>
      <c r="C222" s="10">
        <f>IFERROR(__xludf.DUMMYFUNCTION("""COMPUTED_VALUE"""),0.6888888888888889)</f>
        <v>0.6888888889</v>
      </c>
      <c r="D222" s="2">
        <f t="shared" si="1"/>
        <v>16</v>
      </c>
      <c r="E222" s="2">
        <f>IFERROR(__xludf.DUMMYFUNCTION("SPLIT(B222,""/"")"),27.0)</f>
        <v>27</v>
      </c>
      <c r="F222" s="2">
        <f>IFERROR(__xludf.DUMMYFUNCTION("""COMPUTED_VALUE"""),9.0)</f>
        <v>9</v>
      </c>
      <c r="G222" s="2">
        <f>IFERROR(__xludf.DUMMYFUNCTION("""COMPUTED_VALUE"""),2024.0)</f>
        <v>2024</v>
      </c>
      <c r="H222" s="2" t="str">
        <f t="shared" si="2"/>
        <v>2024/9/27</v>
      </c>
      <c r="I222" s="2" t="s">
        <v>1584</v>
      </c>
      <c r="J222" s="2" t="str">
        <f t="shared" si="3"/>
        <v>Korean Mango Fresh Milk</v>
      </c>
      <c r="K222" s="7">
        <f>if(RIGHT(I222,5)="2 pcs",2,Data!I222)</f>
        <v>1</v>
      </c>
      <c r="L222" s="2" t="str">
        <f t="shared" si="4"/>
        <v>Friday</v>
      </c>
      <c r="M222" s="2" t="str">
        <f t="shared" si="5"/>
        <v>27</v>
      </c>
      <c r="N222" s="2">
        <f>VLOOKUP(L222,'Data Info'!$A$1:$B$8,2,0)</f>
        <v>5</v>
      </c>
      <c r="O222" s="2" t="str">
        <f>VLOOKUP(L222,'Data Info'!$A$1:$C$8,3,0)</f>
        <v>Weekday</v>
      </c>
    </row>
    <row r="223">
      <c r="A223" s="4">
        <v>45562.688888888886</v>
      </c>
      <c r="B223" s="9">
        <f>IFERROR(__xludf.DUMMYFUNCTION("SPLIT(A223,"" "")"),45562.0)</f>
        <v>45562</v>
      </c>
      <c r="C223" s="10">
        <f>IFERROR(__xludf.DUMMYFUNCTION("""COMPUTED_VALUE"""),0.6888888888888889)</f>
        <v>0.6888888889</v>
      </c>
      <c r="D223" s="2">
        <f t="shared" si="1"/>
        <v>16</v>
      </c>
      <c r="E223" s="2">
        <f>IFERROR(__xludf.DUMMYFUNCTION("SPLIT(B223,""/"")"),27.0)</f>
        <v>27</v>
      </c>
      <c r="F223" s="2">
        <f>IFERROR(__xludf.DUMMYFUNCTION("""COMPUTED_VALUE"""),9.0)</f>
        <v>9</v>
      </c>
      <c r="G223" s="2">
        <f>IFERROR(__xludf.DUMMYFUNCTION("""COMPUTED_VALUE"""),2024.0)</f>
        <v>2024</v>
      </c>
      <c r="H223" s="2" t="str">
        <f t="shared" si="2"/>
        <v>2024/9/27</v>
      </c>
      <c r="I223" s="2" t="s">
        <v>1595</v>
      </c>
      <c r="J223" s="2" t="str">
        <f t="shared" si="3"/>
        <v>Roti Gandum Cokelat</v>
      </c>
      <c r="K223" s="7">
        <f>if(RIGHT(I223,5)="2 pcs",2,Data!I223)</f>
        <v>1</v>
      </c>
      <c r="L223" s="2" t="str">
        <f t="shared" si="4"/>
        <v>Friday</v>
      </c>
      <c r="M223" s="2" t="str">
        <f t="shared" si="5"/>
        <v>27</v>
      </c>
      <c r="N223" s="2">
        <f>VLOOKUP(L223,'Data Info'!$A$1:$B$8,2,0)</f>
        <v>5</v>
      </c>
      <c r="O223" s="2" t="str">
        <f>VLOOKUP(L223,'Data Info'!$A$1:$C$8,3,0)</f>
        <v>Weekday</v>
      </c>
    </row>
    <row r="224">
      <c r="A224" s="4">
        <v>45562.688888888886</v>
      </c>
      <c r="B224" s="9">
        <f>IFERROR(__xludf.DUMMYFUNCTION("SPLIT(A224,"" "")"),45562.0)</f>
        <v>45562</v>
      </c>
      <c r="C224" s="10">
        <f>IFERROR(__xludf.DUMMYFUNCTION("""COMPUTED_VALUE"""),0.6888888888888889)</f>
        <v>0.6888888889</v>
      </c>
      <c r="D224" s="2">
        <f t="shared" si="1"/>
        <v>16</v>
      </c>
      <c r="E224" s="2">
        <f>IFERROR(__xludf.DUMMYFUNCTION("SPLIT(B224,""/"")"),27.0)</f>
        <v>27</v>
      </c>
      <c r="F224" s="2">
        <f>IFERROR(__xludf.DUMMYFUNCTION("""COMPUTED_VALUE"""),9.0)</f>
        <v>9</v>
      </c>
      <c r="G224" s="2">
        <f>IFERROR(__xludf.DUMMYFUNCTION("""COMPUTED_VALUE"""),2024.0)</f>
        <v>2024</v>
      </c>
      <c r="H224" s="2" t="str">
        <f t="shared" si="2"/>
        <v>2024/9/27</v>
      </c>
      <c r="I224" s="2" t="s">
        <v>1594</v>
      </c>
      <c r="J224" s="2" t="str">
        <f t="shared" si="3"/>
        <v>Wedang Bulan</v>
      </c>
      <c r="K224" s="7">
        <f>if(RIGHT(I224,5)="2 pcs",2,Data!I224)</f>
        <v>1</v>
      </c>
      <c r="L224" s="2" t="str">
        <f t="shared" si="4"/>
        <v>Friday</v>
      </c>
      <c r="M224" s="2" t="str">
        <f t="shared" si="5"/>
        <v>27</v>
      </c>
      <c r="N224" s="2">
        <f>VLOOKUP(L224,'Data Info'!$A$1:$B$8,2,0)</f>
        <v>5</v>
      </c>
      <c r="O224" s="2" t="str">
        <f>VLOOKUP(L224,'Data Info'!$A$1:$C$8,3,0)</f>
        <v>Weekday</v>
      </c>
    </row>
    <row r="225">
      <c r="A225" s="4">
        <v>45562.688888888886</v>
      </c>
      <c r="B225" s="9">
        <f>IFERROR(__xludf.DUMMYFUNCTION("SPLIT(A225,"" "")"),45562.0)</f>
        <v>45562</v>
      </c>
      <c r="C225" s="10">
        <f>IFERROR(__xludf.DUMMYFUNCTION("""COMPUTED_VALUE"""),0.6888888888888889)</f>
        <v>0.6888888889</v>
      </c>
      <c r="D225" s="2">
        <f t="shared" si="1"/>
        <v>16</v>
      </c>
      <c r="E225" s="2">
        <f>IFERROR(__xludf.DUMMYFUNCTION("SPLIT(B225,""/"")"),27.0)</f>
        <v>27</v>
      </c>
      <c r="F225" s="2">
        <f>IFERROR(__xludf.DUMMYFUNCTION("""COMPUTED_VALUE"""),9.0)</f>
        <v>9</v>
      </c>
      <c r="G225" s="2">
        <f>IFERROR(__xludf.DUMMYFUNCTION("""COMPUTED_VALUE"""),2024.0)</f>
        <v>2024</v>
      </c>
      <c r="H225" s="2" t="str">
        <f t="shared" si="2"/>
        <v>2024/9/27</v>
      </c>
      <c r="I225" s="2" t="s">
        <v>1576</v>
      </c>
      <c r="J225" s="2" t="str">
        <f t="shared" si="3"/>
        <v>Roti Cranberry</v>
      </c>
      <c r="K225" s="7">
        <f>if(RIGHT(I225,5)="2 pcs",2,Data!I225)</f>
        <v>1</v>
      </c>
      <c r="L225" s="2" t="str">
        <f t="shared" si="4"/>
        <v>Friday</v>
      </c>
      <c r="M225" s="2" t="str">
        <f t="shared" si="5"/>
        <v>27</v>
      </c>
      <c r="N225" s="2">
        <f>VLOOKUP(L225,'Data Info'!$A$1:$B$8,2,0)</f>
        <v>5</v>
      </c>
      <c r="O225" s="2" t="str">
        <f>VLOOKUP(L225,'Data Info'!$A$1:$C$8,3,0)</f>
        <v>Weekday</v>
      </c>
    </row>
    <row r="226">
      <c r="A226" s="4">
        <v>45562.688888888886</v>
      </c>
      <c r="B226" s="9">
        <f>IFERROR(__xludf.DUMMYFUNCTION("SPLIT(A226,"" "")"),45562.0)</f>
        <v>45562</v>
      </c>
      <c r="C226" s="10">
        <f>IFERROR(__xludf.DUMMYFUNCTION("""COMPUTED_VALUE"""),0.6888888888888889)</f>
        <v>0.6888888889</v>
      </c>
      <c r="D226" s="2">
        <f t="shared" si="1"/>
        <v>16</v>
      </c>
      <c r="E226" s="2">
        <f>IFERROR(__xludf.DUMMYFUNCTION("SPLIT(B226,""/"")"),27.0)</f>
        <v>27</v>
      </c>
      <c r="F226" s="2">
        <f>IFERROR(__xludf.DUMMYFUNCTION("""COMPUTED_VALUE"""),9.0)</f>
        <v>9</v>
      </c>
      <c r="G226" s="2">
        <f>IFERROR(__xludf.DUMMYFUNCTION("""COMPUTED_VALUE"""),2024.0)</f>
        <v>2024</v>
      </c>
      <c r="H226" s="2" t="str">
        <f t="shared" si="2"/>
        <v>2024/9/27</v>
      </c>
      <c r="I226" s="2" t="s">
        <v>1588</v>
      </c>
      <c r="J226" s="2" t="str">
        <f t="shared" si="3"/>
        <v>Es Kopi Susu</v>
      </c>
      <c r="K226" s="7">
        <f>if(RIGHT(I226,5)="2 pcs",2,Data!I226)</f>
        <v>1</v>
      </c>
      <c r="L226" s="2" t="str">
        <f t="shared" si="4"/>
        <v>Friday</v>
      </c>
      <c r="M226" s="2" t="str">
        <f t="shared" si="5"/>
        <v>27</v>
      </c>
      <c r="N226" s="2">
        <f>VLOOKUP(L226,'Data Info'!$A$1:$B$8,2,0)</f>
        <v>5</v>
      </c>
      <c r="O226" s="2" t="str">
        <f>VLOOKUP(L226,'Data Info'!$A$1:$C$8,3,0)</f>
        <v>Weekday</v>
      </c>
    </row>
    <row r="227">
      <c r="A227" s="4">
        <v>45562.675</v>
      </c>
      <c r="B227" s="9">
        <f>IFERROR(__xludf.DUMMYFUNCTION("SPLIT(A227,"" "")"),45562.0)</f>
        <v>45562</v>
      </c>
      <c r="C227" s="10">
        <f>IFERROR(__xludf.DUMMYFUNCTION("""COMPUTED_VALUE"""),0.675)</f>
        <v>0.675</v>
      </c>
      <c r="D227" s="2">
        <f t="shared" si="1"/>
        <v>16</v>
      </c>
      <c r="E227" s="2">
        <f>IFERROR(__xludf.DUMMYFUNCTION("SPLIT(B227,""/"")"),27.0)</f>
        <v>27</v>
      </c>
      <c r="F227" s="2">
        <f>IFERROR(__xludf.DUMMYFUNCTION("""COMPUTED_VALUE"""),9.0)</f>
        <v>9</v>
      </c>
      <c r="G227" s="2">
        <f>IFERROR(__xludf.DUMMYFUNCTION("""COMPUTED_VALUE"""),2024.0)</f>
        <v>2024</v>
      </c>
      <c r="H227" s="2" t="str">
        <f t="shared" si="2"/>
        <v>2024/9/27</v>
      </c>
      <c r="I227" s="2" t="s">
        <v>1615</v>
      </c>
      <c r="J227" s="2" t="str">
        <f t="shared" si="3"/>
        <v>Roti panggang sarikaya</v>
      </c>
      <c r="K227" s="7">
        <f>if(RIGHT(I227,5)="2 pcs",2,Data!I227)</f>
        <v>1</v>
      </c>
      <c r="L227" s="2" t="str">
        <f t="shared" si="4"/>
        <v>Friday</v>
      </c>
      <c r="M227" s="2" t="str">
        <f t="shared" si="5"/>
        <v>27</v>
      </c>
      <c r="N227" s="2">
        <f>VLOOKUP(L227,'Data Info'!$A$1:$B$8,2,0)</f>
        <v>5</v>
      </c>
      <c r="O227" s="2" t="str">
        <f>VLOOKUP(L227,'Data Info'!$A$1:$C$8,3,0)</f>
        <v>Weekday</v>
      </c>
    </row>
    <row r="228">
      <c r="A228" s="4">
        <v>45562.675</v>
      </c>
      <c r="B228" s="9">
        <f>IFERROR(__xludf.DUMMYFUNCTION("SPLIT(A228,"" "")"),45562.0)</f>
        <v>45562</v>
      </c>
      <c r="C228" s="10">
        <f>IFERROR(__xludf.DUMMYFUNCTION("""COMPUTED_VALUE"""),0.675)</f>
        <v>0.675</v>
      </c>
      <c r="D228" s="2">
        <f t="shared" si="1"/>
        <v>16</v>
      </c>
      <c r="E228" s="2">
        <f>IFERROR(__xludf.DUMMYFUNCTION("SPLIT(B228,""/"")"),27.0)</f>
        <v>27</v>
      </c>
      <c r="F228" s="2">
        <f>IFERROR(__xludf.DUMMYFUNCTION("""COMPUTED_VALUE"""),9.0)</f>
        <v>9</v>
      </c>
      <c r="G228" s="2">
        <f>IFERROR(__xludf.DUMMYFUNCTION("""COMPUTED_VALUE"""),2024.0)</f>
        <v>2024</v>
      </c>
      <c r="H228" s="2" t="str">
        <f t="shared" si="2"/>
        <v>2024/9/27</v>
      </c>
      <c r="I228" s="2" t="s">
        <v>1609</v>
      </c>
      <c r="J228" s="2" t="str">
        <f t="shared" si="3"/>
        <v>Tempe Mendoan</v>
      </c>
      <c r="K228" s="7">
        <f>if(RIGHT(I228,5)="2 pcs",2,Data!I228)</f>
        <v>1</v>
      </c>
      <c r="L228" s="2" t="str">
        <f t="shared" si="4"/>
        <v>Friday</v>
      </c>
      <c r="M228" s="2" t="str">
        <f t="shared" si="5"/>
        <v>27</v>
      </c>
      <c r="N228" s="2">
        <f>VLOOKUP(L228,'Data Info'!$A$1:$B$8,2,0)</f>
        <v>5</v>
      </c>
      <c r="O228" s="2" t="str">
        <f>VLOOKUP(L228,'Data Info'!$A$1:$C$8,3,0)</f>
        <v>Weekday</v>
      </c>
    </row>
    <row r="229">
      <c r="A229" s="4">
        <v>45562.65</v>
      </c>
      <c r="B229" s="9">
        <f>IFERROR(__xludf.DUMMYFUNCTION("SPLIT(A229,"" "")"),45562.0)</f>
        <v>45562</v>
      </c>
      <c r="C229" s="10">
        <f>IFERROR(__xludf.DUMMYFUNCTION("""COMPUTED_VALUE"""),0.65)</f>
        <v>0.65</v>
      </c>
      <c r="D229" s="2">
        <f t="shared" si="1"/>
        <v>15</v>
      </c>
      <c r="E229" s="2">
        <f>IFERROR(__xludf.DUMMYFUNCTION("SPLIT(B229,""/"")"),27.0)</f>
        <v>27</v>
      </c>
      <c r="F229" s="2">
        <f>IFERROR(__xludf.DUMMYFUNCTION("""COMPUTED_VALUE"""),9.0)</f>
        <v>9</v>
      </c>
      <c r="G229" s="2">
        <f>IFERROR(__xludf.DUMMYFUNCTION("""COMPUTED_VALUE"""),2024.0)</f>
        <v>2024</v>
      </c>
      <c r="H229" s="2" t="str">
        <f t="shared" si="2"/>
        <v>2024/9/27</v>
      </c>
      <c r="I229" s="2" t="s">
        <v>1602</v>
      </c>
      <c r="J229" s="2" t="str">
        <f t="shared" si="3"/>
        <v>Mie joglo</v>
      </c>
      <c r="K229" s="7">
        <f>if(RIGHT(I229,5)="2 pcs",2,Data!I229)</f>
        <v>1</v>
      </c>
      <c r="L229" s="2" t="str">
        <f t="shared" si="4"/>
        <v>Friday</v>
      </c>
      <c r="M229" s="2" t="str">
        <f t="shared" si="5"/>
        <v>27</v>
      </c>
      <c r="N229" s="2">
        <f>VLOOKUP(L229,'Data Info'!$A$1:$B$8,2,0)</f>
        <v>5</v>
      </c>
      <c r="O229" s="2" t="str">
        <f>VLOOKUP(L229,'Data Info'!$A$1:$C$8,3,0)</f>
        <v>Weekday</v>
      </c>
    </row>
    <row r="230">
      <c r="A230" s="4">
        <v>45562.65</v>
      </c>
      <c r="B230" s="9">
        <f>IFERROR(__xludf.DUMMYFUNCTION("SPLIT(A230,"" "")"),45562.0)</f>
        <v>45562</v>
      </c>
      <c r="C230" s="10">
        <f>IFERROR(__xludf.DUMMYFUNCTION("""COMPUTED_VALUE"""),0.65)</f>
        <v>0.65</v>
      </c>
      <c r="D230" s="2">
        <f t="shared" si="1"/>
        <v>15</v>
      </c>
      <c r="E230" s="2">
        <f>IFERROR(__xludf.DUMMYFUNCTION("SPLIT(B230,""/"")"),27.0)</f>
        <v>27</v>
      </c>
      <c r="F230" s="2">
        <f>IFERROR(__xludf.DUMMYFUNCTION("""COMPUTED_VALUE"""),9.0)</f>
        <v>9</v>
      </c>
      <c r="G230" s="2">
        <f>IFERROR(__xludf.DUMMYFUNCTION("""COMPUTED_VALUE"""),2024.0)</f>
        <v>2024</v>
      </c>
      <c r="H230" s="2" t="str">
        <f t="shared" si="2"/>
        <v>2024/9/27</v>
      </c>
      <c r="I230" s="2" t="s">
        <v>1618</v>
      </c>
      <c r="J230" s="2" t="str">
        <f t="shared" si="3"/>
        <v>Susu murni ori</v>
      </c>
      <c r="K230" s="7">
        <f>if(RIGHT(I230,5)="2 pcs",2,Data!I230)</f>
        <v>1</v>
      </c>
      <c r="L230" s="2" t="str">
        <f t="shared" si="4"/>
        <v>Friday</v>
      </c>
      <c r="M230" s="2" t="str">
        <f t="shared" si="5"/>
        <v>27</v>
      </c>
      <c r="N230" s="2">
        <f>VLOOKUP(L230,'Data Info'!$A$1:$B$8,2,0)</f>
        <v>5</v>
      </c>
      <c r="O230" s="2" t="str">
        <f>VLOOKUP(L230,'Data Info'!$A$1:$C$8,3,0)</f>
        <v>Weekday</v>
      </c>
    </row>
    <row r="231">
      <c r="A231" s="4">
        <v>45562.65</v>
      </c>
      <c r="B231" s="9">
        <f>IFERROR(__xludf.DUMMYFUNCTION("SPLIT(A231,"" "")"),45562.0)</f>
        <v>45562</v>
      </c>
      <c r="C231" s="10">
        <f>IFERROR(__xludf.DUMMYFUNCTION("""COMPUTED_VALUE"""),0.65)</f>
        <v>0.65</v>
      </c>
      <c r="D231" s="2">
        <f t="shared" si="1"/>
        <v>15</v>
      </c>
      <c r="E231" s="2">
        <f>IFERROR(__xludf.DUMMYFUNCTION("SPLIT(B231,""/"")"),27.0)</f>
        <v>27</v>
      </c>
      <c r="F231" s="2">
        <f>IFERROR(__xludf.DUMMYFUNCTION("""COMPUTED_VALUE"""),9.0)</f>
        <v>9</v>
      </c>
      <c r="G231" s="2">
        <f>IFERROR(__xludf.DUMMYFUNCTION("""COMPUTED_VALUE"""),2024.0)</f>
        <v>2024</v>
      </c>
      <c r="H231" s="2" t="str">
        <f t="shared" si="2"/>
        <v>2024/9/27</v>
      </c>
      <c r="I231" s="2" t="s">
        <v>1588</v>
      </c>
      <c r="J231" s="2" t="str">
        <f t="shared" si="3"/>
        <v>Es Kopi Susu</v>
      </c>
      <c r="K231" s="7">
        <f>if(RIGHT(I231,5)="2 pcs",2,Data!I231)</f>
        <v>1</v>
      </c>
      <c r="L231" s="2" t="str">
        <f t="shared" si="4"/>
        <v>Friday</v>
      </c>
      <c r="M231" s="2" t="str">
        <f t="shared" si="5"/>
        <v>27</v>
      </c>
      <c r="N231" s="2">
        <f>VLOOKUP(L231,'Data Info'!$A$1:$B$8,2,0)</f>
        <v>5</v>
      </c>
      <c r="O231" s="2" t="str">
        <f>VLOOKUP(L231,'Data Info'!$A$1:$C$8,3,0)</f>
        <v>Weekday</v>
      </c>
    </row>
    <row r="232">
      <c r="A232" s="4">
        <v>45562.65</v>
      </c>
      <c r="B232" s="9">
        <f>IFERROR(__xludf.DUMMYFUNCTION("SPLIT(A232,"" "")"),45562.0)</f>
        <v>45562</v>
      </c>
      <c r="C232" s="10">
        <f>IFERROR(__xludf.DUMMYFUNCTION("""COMPUTED_VALUE"""),0.65)</f>
        <v>0.65</v>
      </c>
      <c r="D232" s="2">
        <f t="shared" si="1"/>
        <v>15</v>
      </c>
      <c r="E232" s="2">
        <f>IFERROR(__xludf.DUMMYFUNCTION("SPLIT(B232,""/"")"),27.0)</f>
        <v>27</v>
      </c>
      <c r="F232" s="2">
        <f>IFERROR(__xludf.DUMMYFUNCTION("""COMPUTED_VALUE"""),9.0)</f>
        <v>9</v>
      </c>
      <c r="G232" s="2">
        <f>IFERROR(__xludf.DUMMYFUNCTION("""COMPUTED_VALUE"""),2024.0)</f>
        <v>2024</v>
      </c>
      <c r="H232" s="2" t="str">
        <f t="shared" si="2"/>
        <v>2024/9/27</v>
      </c>
      <c r="I232" s="2" t="s">
        <v>1603</v>
      </c>
      <c r="J232" s="2" t="str">
        <f t="shared" si="3"/>
        <v>Nasi Goreng Temu</v>
      </c>
      <c r="K232" s="7">
        <f>if(RIGHT(I232,5)="2 pcs",2,Data!I232)</f>
        <v>1</v>
      </c>
      <c r="L232" s="2" t="str">
        <f t="shared" si="4"/>
        <v>Friday</v>
      </c>
      <c r="M232" s="2" t="str">
        <f t="shared" si="5"/>
        <v>27</v>
      </c>
      <c r="N232" s="2">
        <f>VLOOKUP(L232,'Data Info'!$A$1:$B$8,2,0)</f>
        <v>5</v>
      </c>
      <c r="O232" s="2" t="str">
        <f>VLOOKUP(L232,'Data Info'!$A$1:$C$8,3,0)</f>
        <v>Weekday</v>
      </c>
    </row>
    <row r="233">
      <c r="A233" s="4">
        <v>45562.614583333336</v>
      </c>
      <c r="B233" s="9">
        <f>IFERROR(__xludf.DUMMYFUNCTION("SPLIT(A233,"" "")"),45562.0)</f>
        <v>45562</v>
      </c>
      <c r="C233" s="10">
        <f>IFERROR(__xludf.DUMMYFUNCTION("""COMPUTED_VALUE"""),0.6145833333333334)</f>
        <v>0.6145833333</v>
      </c>
      <c r="D233" s="2">
        <f t="shared" si="1"/>
        <v>14</v>
      </c>
      <c r="E233" s="2">
        <f>IFERROR(__xludf.DUMMYFUNCTION("SPLIT(B233,""/"")"),27.0)</f>
        <v>27</v>
      </c>
      <c r="F233" s="2">
        <f>IFERROR(__xludf.DUMMYFUNCTION("""COMPUTED_VALUE"""),9.0)</f>
        <v>9</v>
      </c>
      <c r="G233" s="2">
        <f>IFERROR(__xludf.DUMMYFUNCTION("""COMPUTED_VALUE"""),2024.0)</f>
        <v>2024</v>
      </c>
      <c r="H233" s="2" t="str">
        <f t="shared" si="2"/>
        <v>2024/9/27</v>
      </c>
      <c r="I233" s="2" t="s">
        <v>1606</v>
      </c>
      <c r="J233" s="2" t="str">
        <f t="shared" si="3"/>
        <v>Pisang Goreng</v>
      </c>
      <c r="K233" s="7">
        <f>if(RIGHT(I233,5)="2 pcs",2,Data!I233)</f>
        <v>1</v>
      </c>
      <c r="L233" s="2" t="str">
        <f t="shared" si="4"/>
        <v>Friday</v>
      </c>
      <c r="M233" s="2" t="str">
        <f t="shared" si="5"/>
        <v>27</v>
      </c>
      <c r="N233" s="2">
        <f>VLOOKUP(L233,'Data Info'!$A$1:$B$8,2,0)</f>
        <v>5</v>
      </c>
      <c r="O233" s="2" t="str">
        <f>VLOOKUP(L233,'Data Info'!$A$1:$C$8,3,0)</f>
        <v>Weekday</v>
      </c>
    </row>
    <row r="234">
      <c r="A234" s="4">
        <v>45562.61319444444</v>
      </c>
      <c r="B234" s="9">
        <f>IFERROR(__xludf.DUMMYFUNCTION("SPLIT(A234,"" "")"),45562.0)</f>
        <v>45562</v>
      </c>
      <c r="C234" s="10">
        <f>IFERROR(__xludf.DUMMYFUNCTION("""COMPUTED_VALUE"""),0.6131944444444445)</f>
        <v>0.6131944444</v>
      </c>
      <c r="D234" s="2">
        <f t="shared" si="1"/>
        <v>14</v>
      </c>
      <c r="E234" s="2">
        <f>IFERROR(__xludf.DUMMYFUNCTION("SPLIT(B234,""/"")"),27.0)</f>
        <v>27</v>
      </c>
      <c r="F234" s="2">
        <f>IFERROR(__xludf.DUMMYFUNCTION("""COMPUTED_VALUE"""),9.0)</f>
        <v>9</v>
      </c>
      <c r="G234" s="2">
        <f>IFERROR(__xludf.DUMMYFUNCTION("""COMPUTED_VALUE"""),2024.0)</f>
        <v>2024</v>
      </c>
      <c r="H234" s="2" t="str">
        <f t="shared" si="2"/>
        <v>2024/9/27</v>
      </c>
      <c r="I234" s="2" t="s">
        <v>1596</v>
      </c>
      <c r="J234" s="2" t="str">
        <f t="shared" si="3"/>
        <v>Roti Cranberry</v>
      </c>
      <c r="K234" s="7">
        <f>if(RIGHT(I234,5)="2 pcs",2,Data!I234)</f>
        <v>2</v>
      </c>
      <c r="L234" s="2" t="str">
        <f t="shared" si="4"/>
        <v>Friday</v>
      </c>
      <c r="M234" s="2" t="str">
        <f t="shared" si="5"/>
        <v>27</v>
      </c>
      <c r="N234" s="2">
        <f>VLOOKUP(L234,'Data Info'!$A$1:$B$8,2,0)</f>
        <v>5</v>
      </c>
      <c r="O234" s="2" t="str">
        <f>VLOOKUP(L234,'Data Info'!$A$1:$C$8,3,0)</f>
        <v>Weekday</v>
      </c>
    </row>
    <row r="235">
      <c r="A235" s="4">
        <v>45562.59097222222</v>
      </c>
      <c r="B235" s="9">
        <f>IFERROR(__xludf.DUMMYFUNCTION("SPLIT(A235,"" "")"),45562.0)</f>
        <v>45562</v>
      </c>
      <c r="C235" s="10">
        <f>IFERROR(__xludf.DUMMYFUNCTION("""COMPUTED_VALUE"""),0.5909722222222222)</f>
        <v>0.5909722222</v>
      </c>
      <c r="D235" s="2">
        <f t="shared" si="1"/>
        <v>14</v>
      </c>
      <c r="E235" s="2">
        <f>IFERROR(__xludf.DUMMYFUNCTION("SPLIT(B235,""/"")"),27.0)</f>
        <v>27</v>
      </c>
      <c r="F235" s="2">
        <f>IFERROR(__xludf.DUMMYFUNCTION("""COMPUTED_VALUE"""),9.0)</f>
        <v>9</v>
      </c>
      <c r="G235" s="2">
        <f>IFERROR(__xludf.DUMMYFUNCTION("""COMPUTED_VALUE"""),2024.0)</f>
        <v>2024</v>
      </c>
      <c r="H235" s="2" t="str">
        <f t="shared" si="2"/>
        <v>2024/9/27</v>
      </c>
      <c r="I235" s="2" t="s">
        <v>1596</v>
      </c>
      <c r="J235" s="2" t="str">
        <f t="shared" si="3"/>
        <v>Roti Cranberry</v>
      </c>
      <c r="K235" s="7">
        <f>if(RIGHT(I235,5)="2 pcs",2,Data!I235)</f>
        <v>2</v>
      </c>
      <c r="L235" s="2" t="str">
        <f t="shared" si="4"/>
        <v>Friday</v>
      </c>
      <c r="M235" s="2" t="str">
        <f t="shared" si="5"/>
        <v>27</v>
      </c>
      <c r="N235" s="2">
        <f>VLOOKUP(L235,'Data Info'!$A$1:$B$8,2,0)</f>
        <v>5</v>
      </c>
      <c r="O235" s="2" t="str">
        <f>VLOOKUP(L235,'Data Info'!$A$1:$C$8,3,0)</f>
        <v>Weekday</v>
      </c>
    </row>
    <row r="236">
      <c r="A236" s="4">
        <v>45562.59097222222</v>
      </c>
      <c r="B236" s="9">
        <f>IFERROR(__xludf.DUMMYFUNCTION("SPLIT(A236,"" "")"),45562.0)</f>
        <v>45562</v>
      </c>
      <c r="C236" s="10">
        <f>IFERROR(__xludf.DUMMYFUNCTION("""COMPUTED_VALUE"""),0.5909722222222222)</f>
        <v>0.5909722222</v>
      </c>
      <c r="D236" s="2">
        <f t="shared" si="1"/>
        <v>14</v>
      </c>
      <c r="E236" s="2">
        <f>IFERROR(__xludf.DUMMYFUNCTION("SPLIT(B236,""/"")"),27.0)</f>
        <v>27</v>
      </c>
      <c r="F236" s="2">
        <f>IFERROR(__xludf.DUMMYFUNCTION("""COMPUTED_VALUE"""),9.0)</f>
        <v>9</v>
      </c>
      <c r="G236" s="2">
        <f>IFERROR(__xludf.DUMMYFUNCTION("""COMPUTED_VALUE"""),2024.0)</f>
        <v>2024</v>
      </c>
      <c r="H236" s="2" t="str">
        <f t="shared" si="2"/>
        <v>2024/9/27</v>
      </c>
      <c r="I236" s="2" t="s">
        <v>1613</v>
      </c>
      <c r="J236" s="2" t="str">
        <f t="shared" si="3"/>
        <v>Roti panggang alpukat</v>
      </c>
      <c r="K236" s="7">
        <f>if(RIGHT(I236,5)="2 pcs",2,Data!I236)</f>
        <v>1</v>
      </c>
      <c r="L236" s="2" t="str">
        <f t="shared" si="4"/>
        <v>Friday</v>
      </c>
      <c r="M236" s="2" t="str">
        <f t="shared" si="5"/>
        <v>27</v>
      </c>
      <c r="N236" s="2">
        <f>VLOOKUP(L236,'Data Info'!$A$1:$B$8,2,0)</f>
        <v>5</v>
      </c>
      <c r="O236" s="2" t="str">
        <f>VLOOKUP(L236,'Data Info'!$A$1:$C$8,3,0)</f>
        <v>Weekday</v>
      </c>
    </row>
    <row r="237">
      <c r="A237" s="4">
        <v>45562.59097222222</v>
      </c>
      <c r="B237" s="9">
        <f>IFERROR(__xludf.DUMMYFUNCTION("SPLIT(A237,"" "")"),45562.0)</f>
        <v>45562</v>
      </c>
      <c r="C237" s="10">
        <f>IFERROR(__xludf.DUMMYFUNCTION("""COMPUTED_VALUE"""),0.5909722222222222)</f>
        <v>0.5909722222</v>
      </c>
      <c r="D237" s="2">
        <f t="shared" si="1"/>
        <v>14</v>
      </c>
      <c r="E237" s="2">
        <f>IFERROR(__xludf.DUMMYFUNCTION("SPLIT(B237,""/"")"),27.0)</f>
        <v>27</v>
      </c>
      <c r="F237" s="2">
        <f>IFERROR(__xludf.DUMMYFUNCTION("""COMPUTED_VALUE"""),9.0)</f>
        <v>9</v>
      </c>
      <c r="G237" s="2">
        <f>IFERROR(__xludf.DUMMYFUNCTION("""COMPUTED_VALUE"""),2024.0)</f>
        <v>2024</v>
      </c>
      <c r="H237" s="2" t="str">
        <f t="shared" si="2"/>
        <v>2024/9/27</v>
      </c>
      <c r="I237" s="2" t="s">
        <v>1588</v>
      </c>
      <c r="J237" s="2" t="str">
        <f t="shared" si="3"/>
        <v>Es Kopi Susu</v>
      </c>
      <c r="K237" s="7">
        <f>if(RIGHT(I237,5)="2 pcs",2,Data!I237)</f>
        <v>1</v>
      </c>
      <c r="L237" s="2" t="str">
        <f t="shared" si="4"/>
        <v>Friday</v>
      </c>
      <c r="M237" s="2" t="str">
        <f t="shared" si="5"/>
        <v>27</v>
      </c>
      <c r="N237" s="2">
        <f>VLOOKUP(L237,'Data Info'!$A$1:$B$8,2,0)</f>
        <v>5</v>
      </c>
      <c r="O237" s="2" t="str">
        <f>VLOOKUP(L237,'Data Info'!$A$1:$C$8,3,0)</f>
        <v>Weekday</v>
      </c>
    </row>
    <row r="238">
      <c r="A238" s="4">
        <v>45562.51458333333</v>
      </c>
      <c r="B238" s="9">
        <f>IFERROR(__xludf.DUMMYFUNCTION("SPLIT(A238,"" "")"),45562.0)</f>
        <v>45562</v>
      </c>
      <c r="C238" s="10">
        <f>IFERROR(__xludf.DUMMYFUNCTION("""COMPUTED_VALUE"""),0.5145833333333333)</f>
        <v>0.5145833333</v>
      </c>
      <c r="D238" s="2">
        <f t="shared" si="1"/>
        <v>12</v>
      </c>
      <c r="E238" s="2">
        <f>IFERROR(__xludf.DUMMYFUNCTION("SPLIT(B238,""/"")"),27.0)</f>
        <v>27</v>
      </c>
      <c r="F238" s="2">
        <f>IFERROR(__xludf.DUMMYFUNCTION("""COMPUTED_VALUE"""),9.0)</f>
        <v>9</v>
      </c>
      <c r="G238" s="2">
        <f>IFERROR(__xludf.DUMMYFUNCTION("""COMPUTED_VALUE"""),2024.0)</f>
        <v>2024</v>
      </c>
      <c r="H238" s="2" t="str">
        <f t="shared" si="2"/>
        <v>2024/9/27</v>
      </c>
      <c r="I238" s="2" t="s">
        <v>1611</v>
      </c>
      <c r="J238" s="2" t="str">
        <f t="shared" si="3"/>
        <v>Beef Claypot Rice</v>
      </c>
      <c r="K238" s="7">
        <f>if(RIGHT(I238,5)="2 pcs",2,Data!I238)</f>
        <v>1</v>
      </c>
      <c r="L238" s="2" t="str">
        <f t="shared" si="4"/>
        <v>Friday</v>
      </c>
      <c r="M238" s="2" t="str">
        <f t="shared" si="5"/>
        <v>27</v>
      </c>
      <c r="N238" s="2">
        <f>VLOOKUP(L238,'Data Info'!$A$1:$B$8,2,0)</f>
        <v>5</v>
      </c>
      <c r="O238" s="2" t="str">
        <f>VLOOKUP(L238,'Data Info'!$A$1:$C$8,3,0)</f>
        <v>Weekday</v>
      </c>
    </row>
    <row r="239">
      <c r="A239" s="4">
        <v>45562.51458333333</v>
      </c>
      <c r="B239" s="9">
        <f>IFERROR(__xludf.DUMMYFUNCTION("SPLIT(A239,"" "")"),45562.0)</f>
        <v>45562</v>
      </c>
      <c r="C239" s="10">
        <f>IFERROR(__xludf.DUMMYFUNCTION("""COMPUTED_VALUE"""),0.5145833333333333)</f>
        <v>0.5145833333</v>
      </c>
      <c r="D239" s="2">
        <f t="shared" si="1"/>
        <v>12</v>
      </c>
      <c r="E239" s="2">
        <f>IFERROR(__xludf.DUMMYFUNCTION("SPLIT(B239,""/"")"),27.0)</f>
        <v>27</v>
      </c>
      <c r="F239" s="2">
        <f>IFERROR(__xludf.DUMMYFUNCTION("""COMPUTED_VALUE"""),9.0)</f>
        <v>9</v>
      </c>
      <c r="G239" s="2">
        <f>IFERROR(__xludf.DUMMYFUNCTION("""COMPUTED_VALUE"""),2024.0)</f>
        <v>2024</v>
      </c>
      <c r="H239" s="2" t="str">
        <f t="shared" si="2"/>
        <v>2024/9/27</v>
      </c>
      <c r="I239" s="2" t="s">
        <v>1573</v>
      </c>
      <c r="J239" s="2" t="str">
        <f t="shared" si="3"/>
        <v>Air mineral</v>
      </c>
      <c r="K239" s="7">
        <f>if(RIGHT(I239,5)="2 pcs",2,Data!I239)</f>
        <v>1</v>
      </c>
      <c r="L239" s="2" t="str">
        <f t="shared" si="4"/>
        <v>Friday</v>
      </c>
      <c r="M239" s="2" t="str">
        <f t="shared" si="5"/>
        <v>27</v>
      </c>
      <c r="N239" s="2">
        <f>VLOOKUP(L239,'Data Info'!$A$1:$B$8,2,0)</f>
        <v>5</v>
      </c>
      <c r="O239" s="2" t="str">
        <f>VLOOKUP(L239,'Data Info'!$A$1:$C$8,3,0)</f>
        <v>Weekday</v>
      </c>
    </row>
    <row r="240">
      <c r="A240" s="4">
        <v>45562.50625</v>
      </c>
      <c r="B240" s="9">
        <f>IFERROR(__xludf.DUMMYFUNCTION("SPLIT(A240,"" "")"),45562.0)</f>
        <v>45562</v>
      </c>
      <c r="C240" s="10">
        <f>IFERROR(__xludf.DUMMYFUNCTION("""COMPUTED_VALUE"""),0.50625)</f>
        <v>0.50625</v>
      </c>
      <c r="D240" s="2">
        <f t="shared" si="1"/>
        <v>12</v>
      </c>
      <c r="E240" s="2">
        <f>IFERROR(__xludf.DUMMYFUNCTION("SPLIT(B240,""/"")"),27.0)</f>
        <v>27</v>
      </c>
      <c r="F240" s="2">
        <f>IFERROR(__xludf.DUMMYFUNCTION("""COMPUTED_VALUE"""),9.0)</f>
        <v>9</v>
      </c>
      <c r="G240" s="2">
        <f>IFERROR(__xludf.DUMMYFUNCTION("""COMPUTED_VALUE"""),2024.0)</f>
        <v>2024</v>
      </c>
      <c r="H240" s="2" t="str">
        <f t="shared" si="2"/>
        <v>2024/9/27</v>
      </c>
      <c r="I240" s="2" t="s">
        <v>1597</v>
      </c>
      <c r="J240" s="2" t="str">
        <f t="shared" si="3"/>
        <v>Roti Gandum Cokelat</v>
      </c>
      <c r="K240" s="7">
        <f>if(RIGHT(I240,5)="2 pcs",2,Data!I240)</f>
        <v>2</v>
      </c>
      <c r="L240" s="2" t="str">
        <f t="shared" si="4"/>
        <v>Friday</v>
      </c>
      <c r="M240" s="2" t="str">
        <f t="shared" si="5"/>
        <v>27</v>
      </c>
      <c r="N240" s="2">
        <f>VLOOKUP(L240,'Data Info'!$A$1:$B$8,2,0)</f>
        <v>5</v>
      </c>
      <c r="O240" s="2" t="str">
        <f>VLOOKUP(L240,'Data Info'!$A$1:$C$8,3,0)</f>
        <v>Weekday</v>
      </c>
    </row>
    <row r="241">
      <c r="A241" s="4">
        <v>45562.493055555555</v>
      </c>
      <c r="B241" s="9">
        <f>IFERROR(__xludf.DUMMYFUNCTION("SPLIT(A241,"" "")"),45562.0)</f>
        <v>45562</v>
      </c>
      <c r="C241" s="10">
        <f>IFERROR(__xludf.DUMMYFUNCTION("""COMPUTED_VALUE"""),0.4930555555555556)</f>
        <v>0.4930555556</v>
      </c>
      <c r="D241" s="2">
        <f t="shared" si="1"/>
        <v>11</v>
      </c>
      <c r="E241" s="2">
        <f>IFERROR(__xludf.DUMMYFUNCTION("SPLIT(B241,""/"")"),27.0)</f>
        <v>27</v>
      </c>
      <c r="F241" s="2">
        <f>IFERROR(__xludf.DUMMYFUNCTION("""COMPUTED_VALUE"""),9.0)</f>
        <v>9</v>
      </c>
      <c r="G241" s="2">
        <f>IFERROR(__xludf.DUMMYFUNCTION("""COMPUTED_VALUE"""),2024.0)</f>
        <v>2024</v>
      </c>
      <c r="H241" s="2" t="str">
        <f t="shared" si="2"/>
        <v>2024/9/27</v>
      </c>
      <c r="I241" s="2" t="s">
        <v>1576</v>
      </c>
      <c r="J241" s="2" t="str">
        <f t="shared" si="3"/>
        <v>Roti Cranberry</v>
      </c>
      <c r="K241" s="7">
        <f>if(RIGHT(I241,5)="2 pcs",2,Data!I241)</f>
        <v>1</v>
      </c>
      <c r="L241" s="2" t="str">
        <f t="shared" si="4"/>
        <v>Friday</v>
      </c>
      <c r="M241" s="2" t="str">
        <f t="shared" si="5"/>
        <v>27</v>
      </c>
      <c r="N241" s="2">
        <f>VLOOKUP(L241,'Data Info'!$A$1:$B$8,2,0)</f>
        <v>5</v>
      </c>
      <c r="O241" s="2" t="str">
        <f>VLOOKUP(L241,'Data Info'!$A$1:$C$8,3,0)</f>
        <v>Weekday</v>
      </c>
    </row>
    <row r="242">
      <c r="A242" s="4">
        <v>45562.493055555555</v>
      </c>
      <c r="B242" s="9">
        <f>IFERROR(__xludf.DUMMYFUNCTION("SPLIT(A242,"" "")"),45562.0)</f>
        <v>45562</v>
      </c>
      <c r="C242" s="10">
        <f>IFERROR(__xludf.DUMMYFUNCTION("""COMPUTED_VALUE"""),0.4930555555555556)</f>
        <v>0.4930555556</v>
      </c>
      <c r="D242" s="2">
        <f t="shared" si="1"/>
        <v>11</v>
      </c>
      <c r="E242" s="2">
        <f>IFERROR(__xludf.DUMMYFUNCTION("SPLIT(B242,""/"")"),27.0)</f>
        <v>27</v>
      </c>
      <c r="F242" s="2">
        <f>IFERROR(__xludf.DUMMYFUNCTION("""COMPUTED_VALUE"""),9.0)</f>
        <v>9</v>
      </c>
      <c r="G242" s="2">
        <f>IFERROR(__xludf.DUMMYFUNCTION("""COMPUTED_VALUE"""),2024.0)</f>
        <v>2024</v>
      </c>
      <c r="H242" s="2" t="str">
        <f t="shared" si="2"/>
        <v>2024/9/27</v>
      </c>
      <c r="I242" s="2" t="s">
        <v>1579</v>
      </c>
      <c r="J242" s="2" t="str">
        <f t="shared" si="3"/>
        <v>Tahu baso</v>
      </c>
      <c r="K242" s="7">
        <f>if(RIGHT(I242,5)="2 pcs",2,Data!I242)</f>
        <v>1</v>
      </c>
      <c r="L242" s="2" t="str">
        <f t="shared" si="4"/>
        <v>Friday</v>
      </c>
      <c r="M242" s="2" t="str">
        <f t="shared" si="5"/>
        <v>27</v>
      </c>
      <c r="N242" s="2">
        <f>VLOOKUP(L242,'Data Info'!$A$1:$B$8,2,0)</f>
        <v>5</v>
      </c>
      <c r="O242" s="2" t="str">
        <f>VLOOKUP(L242,'Data Info'!$A$1:$C$8,3,0)</f>
        <v>Weekday</v>
      </c>
    </row>
    <row r="243">
      <c r="A243" s="4">
        <v>45562.493055555555</v>
      </c>
      <c r="B243" s="9">
        <f>IFERROR(__xludf.DUMMYFUNCTION("SPLIT(A243,"" "")"),45562.0)</f>
        <v>45562</v>
      </c>
      <c r="C243" s="10">
        <f>IFERROR(__xludf.DUMMYFUNCTION("""COMPUTED_VALUE"""),0.4930555555555556)</f>
        <v>0.4930555556</v>
      </c>
      <c r="D243" s="2">
        <f t="shared" si="1"/>
        <v>11</v>
      </c>
      <c r="E243" s="2">
        <f>IFERROR(__xludf.DUMMYFUNCTION("SPLIT(B243,""/"")"),27.0)</f>
        <v>27</v>
      </c>
      <c r="F243" s="2">
        <f>IFERROR(__xludf.DUMMYFUNCTION("""COMPUTED_VALUE"""),9.0)</f>
        <v>9</v>
      </c>
      <c r="G243" s="2">
        <f>IFERROR(__xludf.DUMMYFUNCTION("""COMPUTED_VALUE"""),2024.0)</f>
        <v>2024</v>
      </c>
      <c r="H243" s="2" t="str">
        <f t="shared" si="2"/>
        <v>2024/9/27</v>
      </c>
      <c r="I243" s="2" t="s">
        <v>1601</v>
      </c>
      <c r="J243" s="2" t="str">
        <f t="shared" si="3"/>
        <v>Gula Asam Dingin</v>
      </c>
      <c r="K243" s="7">
        <f>if(RIGHT(I243,5)="2 pcs",2,Data!I243)</f>
        <v>1</v>
      </c>
      <c r="L243" s="2" t="str">
        <f t="shared" si="4"/>
        <v>Friday</v>
      </c>
      <c r="M243" s="2" t="str">
        <f t="shared" si="5"/>
        <v>27</v>
      </c>
      <c r="N243" s="2">
        <f>VLOOKUP(L243,'Data Info'!$A$1:$B$8,2,0)</f>
        <v>5</v>
      </c>
      <c r="O243" s="2" t="str">
        <f>VLOOKUP(L243,'Data Info'!$A$1:$C$8,3,0)</f>
        <v>Weekday</v>
      </c>
    </row>
    <row r="244">
      <c r="A244" s="4">
        <v>45562.493055555555</v>
      </c>
      <c r="B244" s="9">
        <f>IFERROR(__xludf.DUMMYFUNCTION("SPLIT(A244,"" "")"),45562.0)</f>
        <v>45562</v>
      </c>
      <c r="C244" s="10">
        <f>IFERROR(__xludf.DUMMYFUNCTION("""COMPUTED_VALUE"""),0.4930555555555556)</f>
        <v>0.4930555556</v>
      </c>
      <c r="D244" s="2">
        <f t="shared" si="1"/>
        <v>11</v>
      </c>
      <c r="E244" s="2">
        <f>IFERROR(__xludf.DUMMYFUNCTION("SPLIT(B244,""/"")"),27.0)</f>
        <v>27</v>
      </c>
      <c r="F244" s="2">
        <f>IFERROR(__xludf.DUMMYFUNCTION("""COMPUTED_VALUE"""),9.0)</f>
        <v>9</v>
      </c>
      <c r="G244" s="2">
        <f>IFERROR(__xludf.DUMMYFUNCTION("""COMPUTED_VALUE"""),2024.0)</f>
        <v>2024</v>
      </c>
      <c r="H244" s="2" t="str">
        <f t="shared" si="2"/>
        <v>2024/9/27</v>
      </c>
      <c r="I244" s="2" t="s">
        <v>1592</v>
      </c>
      <c r="J244" s="2" t="str">
        <f t="shared" si="3"/>
        <v>Kopi Tubruk Panas</v>
      </c>
      <c r="K244" s="7">
        <f>if(RIGHT(I244,5)="2 pcs",2,Data!I244)</f>
        <v>1</v>
      </c>
      <c r="L244" s="2" t="str">
        <f t="shared" si="4"/>
        <v>Friday</v>
      </c>
      <c r="M244" s="2" t="str">
        <f t="shared" si="5"/>
        <v>27</v>
      </c>
      <c r="N244" s="2">
        <f>VLOOKUP(L244,'Data Info'!$A$1:$B$8,2,0)</f>
        <v>5</v>
      </c>
      <c r="O244" s="2" t="str">
        <f>VLOOKUP(L244,'Data Info'!$A$1:$C$8,3,0)</f>
        <v>Weekday</v>
      </c>
    </row>
    <row r="245">
      <c r="A245" s="4">
        <v>45562.493055555555</v>
      </c>
      <c r="B245" s="9">
        <f>IFERROR(__xludf.DUMMYFUNCTION("SPLIT(A245,"" "")"),45562.0)</f>
        <v>45562</v>
      </c>
      <c r="C245" s="10">
        <f>IFERROR(__xludf.DUMMYFUNCTION("""COMPUTED_VALUE"""),0.4930555555555556)</f>
        <v>0.4930555556</v>
      </c>
      <c r="D245" s="2">
        <f t="shared" si="1"/>
        <v>11</v>
      </c>
      <c r="E245" s="2">
        <f>IFERROR(__xludf.DUMMYFUNCTION("SPLIT(B245,""/"")"),27.0)</f>
        <v>27</v>
      </c>
      <c r="F245" s="2">
        <f>IFERROR(__xludf.DUMMYFUNCTION("""COMPUTED_VALUE"""),9.0)</f>
        <v>9</v>
      </c>
      <c r="G245" s="2">
        <f>IFERROR(__xludf.DUMMYFUNCTION("""COMPUTED_VALUE"""),2024.0)</f>
        <v>2024</v>
      </c>
      <c r="H245" s="2" t="str">
        <f t="shared" si="2"/>
        <v>2024/9/27</v>
      </c>
      <c r="I245" s="2" t="s">
        <v>1606</v>
      </c>
      <c r="J245" s="2" t="str">
        <f t="shared" si="3"/>
        <v>Pisang Goreng</v>
      </c>
      <c r="K245" s="7">
        <f>if(RIGHT(I245,5)="2 pcs",2,Data!I245)</f>
        <v>1</v>
      </c>
      <c r="L245" s="2" t="str">
        <f t="shared" si="4"/>
        <v>Friday</v>
      </c>
      <c r="M245" s="2" t="str">
        <f t="shared" si="5"/>
        <v>27</v>
      </c>
      <c r="N245" s="2">
        <f>VLOOKUP(L245,'Data Info'!$A$1:$B$8,2,0)</f>
        <v>5</v>
      </c>
      <c r="O245" s="2" t="str">
        <f>VLOOKUP(L245,'Data Info'!$A$1:$C$8,3,0)</f>
        <v>Weekday</v>
      </c>
    </row>
    <row r="246">
      <c r="A246" s="4">
        <v>45561.85902777778</v>
      </c>
      <c r="B246" s="9">
        <f>IFERROR(__xludf.DUMMYFUNCTION("SPLIT(A246,"" "")"),45561.0)</f>
        <v>45561</v>
      </c>
      <c r="C246" s="10">
        <f>IFERROR(__xludf.DUMMYFUNCTION("""COMPUTED_VALUE"""),0.8590277777777777)</f>
        <v>0.8590277778</v>
      </c>
      <c r="D246" s="2">
        <f t="shared" si="1"/>
        <v>20</v>
      </c>
      <c r="E246" s="2">
        <f>IFERROR(__xludf.DUMMYFUNCTION("SPLIT(B246,""/"")"),26.0)</f>
        <v>26</v>
      </c>
      <c r="F246" s="2">
        <f>IFERROR(__xludf.DUMMYFUNCTION("""COMPUTED_VALUE"""),9.0)</f>
        <v>9</v>
      </c>
      <c r="G246" s="2">
        <f>IFERROR(__xludf.DUMMYFUNCTION("""COMPUTED_VALUE"""),2024.0)</f>
        <v>2024</v>
      </c>
      <c r="H246" s="2" t="str">
        <f t="shared" si="2"/>
        <v>2024/9/26</v>
      </c>
      <c r="I246" s="2" t="s">
        <v>1596</v>
      </c>
      <c r="J246" s="2" t="str">
        <f t="shared" si="3"/>
        <v>Roti Cranberry</v>
      </c>
      <c r="K246" s="7">
        <f>if(RIGHT(I246,5)="2 pcs",2,Data!I246)</f>
        <v>2</v>
      </c>
      <c r="L246" s="2" t="str">
        <f t="shared" si="4"/>
        <v>Thursday</v>
      </c>
      <c r="M246" s="2" t="str">
        <f t="shared" si="5"/>
        <v>26</v>
      </c>
      <c r="N246" s="2">
        <f>VLOOKUP(L246,'Data Info'!$A$1:$B$8,2,0)</f>
        <v>4</v>
      </c>
      <c r="O246" s="2" t="str">
        <f>VLOOKUP(L246,'Data Info'!$A$1:$C$8,3,0)</f>
        <v>Weekday</v>
      </c>
    </row>
    <row r="247">
      <c r="A247" s="4">
        <v>45561.777083333334</v>
      </c>
      <c r="B247" s="9">
        <f>IFERROR(__xludf.DUMMYFUNCTION("SPLIT(A247,"" "")"),45561.0)</f>
        <v>45561</v>
      </c>
      <c r="C247" s="10">
        <f>IFERROR(__xludf.DUMMYFUNCTION("""COMPUTED_VALUE"""),0.7770833333333333)</f>
        <v>0.7770833333</v>
      </c>
      <c r="D247" s="2">
        <f t="shared" si="1"/>
        <v>18</v>
      </c>
      <c r="E247" s="2">
        <f>IFERROR(__xludf.DUMMYFUNCTION("SPLIT(B247,""/"")"),26.0)</f>
        <v>26</v>
      </c>
      <c r="F247" s="2">
        <f>IFERROR(__xludf.DUMMYFUNCTION("""COMPUTED_VALUE"""),9.0)</f>
        <v>9</v>
      </c>
      <c r="G247" s="2">
        <f>IFERROR(__xludf.DUMMYFUNCTION("""COMPUTED_VALUE"""),2024.0)</f>
        <v>2024</v>
      </c>
      <c r="H247" s="2" t="str">
        <f t="shared" si="2"/>
        <v>2024/9/26</v>
      </c>
      <c r="I247" s="2" t="s">
        <v>1581</v>
      </c>
      <c r="J247" s="2" t="str">
        <f t="shared" si="3"/>
        <v>Chicken Claypot Rice</v>
      </c>
      <c r="K247" s="7">
        <f>if(RIGHT(I247,5)="2 pcs",2,Data!I247)</f>
        <v>1</v>
      </c>
      <c r="L247" s="2" t="str">
        <f t="shared" si="4"/>
        <v>Thursday</v>
      </c>
      <c r="M247" s="2" t="str">
        <f t="shared" si="5"/>
        <v>26</v>
      </c>
      <c r="N247" s="2">
        <f>VLOOKUP(L247,'Data Info'!$A$1:$B$8,2,0)</f>
        <v>4</v>
      </c>
      <c r="O247" s="2" t="str">
        <f>VLOOKUP(L247,'Data Info'!$A$1:$C$8,3,0)</f>
        <v>Weekday</v>
      </c>
    </row>
    <row r="248">
      <c r="A248" s="4">
        <v>45561.777083333334</v>
      </c>
      <c r="B248" s="9">
        <f>IFERROR(__xludf.DUMMYFUNCTION("SPLIT(A248,"" "")"),45561.0)</f>
        <v>45561</v>
      </c>
      <c r="C248" s="10">
        <f>IFERROR(__xludf.DUMMYFUNCTION("""COMPUTED_VALUE"""),0.7770833333333333)</f>
        <v>0.7770833333</v>
      </c>
      <c r="D248" s="2">
        <f t="shared" si="1"/>
        <v>18</v>
      </c>
      <c r="E248" s="2">
        <f>IFERROR(__xludf.DUMMYFUNCTION("SPLIT(B248,""/"")"),26.0)</f>
        <v>26</v>
      </c>
      <c r="F248" s="2">
        <f>IFERROR(__xludf.DUMMYFUNCTION("""COMPUTED_VALUE"""),9.0)</f>
        <v>9</v>
      </c>
      <c r="G248" s="2">
        <f>IFERROR(__xludf.DUMMYFUNCTION("""COMPUTED_VALUE"""),2024.0)</f>
        <v>2024</v>
      </c>
      <c r="H248" s="2" t="str">
        <f t="shared" si="2"/>
        <v>2024/9/26</v>
      </c>
      <c r="I248" s="2" t="s">
        <v>1602</v>
      </c>
      <c r="J248" s="2" t="str">
        <f t="shared" si="3"/>
        <v>Mie joglo</v>
      </c>
      <c r="K248" s="7">
        <f>if(RIGHT(I248,5)="2 pcs",2,Data!I248)</f>
        <v>1</v>
      </c>
      <c r="L248" s="2" t="str">
        <f t="shared" si="4"/>
        <v>Thursday</v>
      </c>
      <c r="M248" s="2" t="str">
        <f t="shared" si="5"/>
        <v>26</v>
      </c>
      <c r="N248" s="2">
        <f>VLOOKUP(L248,'Data Info'!$A$1:$B$8,2,0)</f>
        <v>4</v>
      </c>
      <c r="O248" s="2" t="str">
        <f>VLOOKUP(L248,'Data Info'!$A$1:$C$8,3,0)</f>
        <v>Weekday</v>
      </c>
    </row>
    <row r="249">
      <c r="A249" s="4">
        <v>45561.777083333334</v>
      </c>
      <c r="B249" s="9">
        <f>IFERROR(__xludf.DUMMYFUNCTION("SPLIT(A249,"" "")"),45561.0)</f>
        <v>45561</v>
      </c>
      <c r="C249" s="10">
        <f>IFERROR(__xludf.DUMMYFUNCTION("""COMPUTED_VALUE"""),0.7770833333333333)</f>
        <v>0.7770833333</v>
      </c>
      <c r="D249" s="2">
        <f t="shared" si="1"/>
        <v>18</v>
      </c>
      <c r="E249" s="2">
        <f>IFERROR(__xludf.DUMMYFUNCTION("SPLIT(B249,""/"")"),26.0)</f>
        <v>26</v>
      </c>
      <c r="F249" s="2">
        <f>IFERROR(__xludf.DUMMYFUNCTION("""COMPUTED_VALUE"""),9.0)</f>
        <v>9</v>
      </c>
      <c r="G249" s="2">
        <f>IFERROR(__xludf.DUMMYFUNCTION("""COMPUTED_VALUE"""),2024.0)</f>
        <v>2024</v>
      </c>
      <c r="H249" s="2" t="str">
        <f t="shared" si="2"/>
        <v>2024/9/26</v>
      </c>
      <c r="I249" s="2" t="s">
        <v>1576</v>
      </c>
      <c r="J249" s="2" t="str">
        <f t="shared" si="3"/>
        <v>Roti Cranberry</v>
      </c>
      <c r="K249" s="7">
        <f>if(RIGHT(I249,5)="2 pcs",2,Data!I249)</f>
        <v>1</v>
      </c>
      <c r="L249" s="2" t="str">
        <f t="shared" si="4"/>
        <v>Thursday</v>
      </c>
      <c r="M249" s="2" t="str">
        <f t="shared" si="5"/>
        <v>26</v>
      </c>
      <c r="N249" s="2">
        <f>VLOOKUP(L249,'Data Info'!$A$1:$B$8,2,0)</f>
        <v>4</v>
      </c>
      <c r="O249" s="2" t="str">
        <f>VLOOKUP(L249,'Data Info'!$A$1:$C$8,3,0)</f>
        <v>Weekday</v>
      </c>
    </row>
    <row r="250">
      <c r="A250" s="4">
        <v>45561.777083333334</v>
      </c>
      <c r="B250" s="9">
        <f>IFERROR(__xludf.DUMMYFUNCTION("SPLIT(A250,"" "")"),45561.0)</f>
        <v>45561</v>
      </c>
      <c r="C250" s="10">
        <f>IFERROR(__xludf.DUMMYFUNCTION("""COMPUTED_VALUE"""),0.7770833333333333)</f>
        <v>0.7770833333</v>
      </c>
      <c r="D250" s="2">
        <f t="shared" si="1"/>
        <v>18</v>
      </c>
      <c r="E250" s="2">
        <f>IFERROR(__xludf.DUMMYFUNCTION("SPLIT(B250,""/"")"),26.0)</f>
        <v>26</v>
      </c>
      <c r="F250" s="2">
        <f>IFERROR(__xludf.DUMMYFUNCTION("""COMPUTED_VALUE"""),9.0)</f>
        <v>9</v>
      </c>
      <c r="G250" s="2">
        <f>IFERROR(__xludf.DUMMYFUNCTION("""COMPUTED_VALUE"""),2024.0)</f>
        <v>2024</v>
      </c>
      <c r="H250" s="2" t="str">
        <f t="shared" si="2"/>
        <v>2024/9/26</v>
      </c>
      <c r="I250" s="2" t="s">
        <v>1577</v>
      </c>
      <c r="J250" s="2" t="str">
        <f t="shared" si="3"/>
        <v>Rempah Madu Panas</v>
      </c>
      <c r="K250" s="7">
        <f>if(RIGHT(I250,5)="2 pcs",2,Data!I250)</f>
        <v>1</v>
      </c>
      <c r="L250" s="2" t="str">
        <f t="shared" si="4"/>
        <v>Thursday</v>
      </c>
      <c r="M250" s="2" t="str">
        <f t="shared" si="5"/>
        <v>26</v>
      </c>
      <c r="N250" s="2">
        <f>VLOOKUP(L250,'Data Info'!$A$1:$B$8,2,0)</f>
        <v>4</v>
      </c>
      <c r="O250" s="2" t="str">
        <f>VLOOKUP(L250,'Data Info'!$A$1:$C$8,3,0)</f>
        <v>Weekday</v>
      </c>
    </row>
    <row r="251">
      <c r="A251" s="4">
        <v>45561.777083333334</v>
      </c>
      <c r="B251" s="9">
        <f>IFERROR(__xludf.DUMMYFUNCTION("SPLIT(A251,"" "")"),45561.0)</f>
        <v>45561</v>
      </c>
      <c r="C251" s="10">
        <f>IFERROR(__xludf.DUMMYFUNCTION("""COMPUTED_VALUE"""),0.7770833333333333)</f>
        <v>0.7770833333</v>
      </c>
      <c r="D251" s="2">
        <f t="shared" si="1"/>
        <v>18</v>
      </c>
      <c r="E251" s="2">
        <f>IFERROR(__xludf.DUMMYFUNCTION("SPLIT(B251,""/"")"),26.0)</f>
        <v>26</v>
      </c>
      <c r="F251" s="2">
        <f>IFERROR(__xludf.DUMMYFUNCTION("""COMPUTED_VALUE"""),9.0)</f>
        <v>9</v>
      </c>
      <c r="G251" s="2">
        <f>IFERROR(__xludf.DUMMYFUNCTION("""COMPUTED_VALUE"""),2024.0)</f>
        <v>2024</v>
      </c>
      <c r="H251" s="2" t="str">
        <f t="shared" si="2"/>
        <v>2024/9/26</v>
      </c>
      <c r="I251" s="2" t="s">
        <v>1620</v>
      </c>
      <c r="J251" s="2" t="str">
        <f t="shared" si="3"/>
        <v>Wedang hujan</v>
      </c>
      <c r="K251" s="7">
        <f>if(RIGHT(I251,5)="2 pcs",2,Data!I251)</f>
        <v>1</v>
      </c>
      <c r="L251" s="2" t="str">
        <f t="shared" si="4"/>
        <v>Thursday</v>
      </c>
      <c r="M251" s="2" t="str">
        <f t="shared" si="5"/>
        <v>26</v>
      </c>
      <c r="N251" s="2">
        <f>VLOOKUP(L251,'Data Info'!$A$1:$B$8,2,0)</f>
        <v>4</v>
      </c>
      <c r="O251" s="2" t="str">
        <f>VLOOKUP(L251,'Data Info'!$A$1:$C$8,3,0)</f>
        <v>Weekday</v>
      </c>
    </row>
    <row r="252">
      <c r="A252" s="4">
        <v>45561.7375</v>
      </c>
      <c r="B252" s="9">
        <f>IFERROR(__xludf.DUMMYFUNCTION("SPLIT(A252,"" "")"),45561.0)</f>
        <v>45561</v>
      </c>
      <c r="C252" s="10">
        <f>IFERROR(__xludf.DUMMYFUNCTION("""COMPUTED_VALUE"""),0.7375)</f>
        <v>0.7375</v>
      </c>
      <c r="D252" s="2">
        <f t="shared" si="1"/>
        <v>17</v>
      </c>
      <c r="E252" s="2">
        <f>IFERROR(__xludf.DUMMYFUNCTION("SPLIT(B252,""/"")"),26.0)</f>
        <v>26</v>
      </c>
      <c r="F252" s="2">
        <f>IFERROR(__xludf.DUMMYFUNCTION("""COMPUTED_VALUE"""),9.0)</f>
        <v>9</v>
      </c>
      <c r="G252" s="2">
        <f>IFERROR(__xludf.DUMMYFUNCTION("""COMPUTED_VALUE"""),2024.0)</f>
        <v>2024</v>
      </c>
      <c r="H252" s="2" t="str">
        <f t="shared" si="2"/>
        <v>2024/9/26</v>
      </c>
      <c r="I252" s="2" t="s">
        <v>1592</v>
      </c>
      <c r="J252" s="2" t="str">
        <f t="shared" si="3"/>
        <v>Kopi Tubruk Panas</v>
      </c>
      <c r="K252" s="7">
        <f>if(RIGHT(I252,5)="2 pcs",2,Data!I252)</f>
        <v>1</v>
      </c>
      <c r="L252" s="2" t="str">
        <f t="shared" si="4"/>
        <v>Thursday</v>
      </c>
      <c r="M252" s="2" t="str">
        <f t="shared" si="5"/>
        <v>26</v>
      </c>
      <c r="N252" s="2">
        <f>VLOOKUP(L252,'Data Info'!$A$1:$B$8,2,0)</f>
        <v>4</v>
      </c>
      <c r="O252" s="2" t="str">
        <f>VLOOKUP(L252,'Data Info'!$A$1:$C$8,3,0)</f>
        <v>Weekday</v>
      </c>
    </row>
    <row r="253">
      <c r="A253" s="4">
        <v>45561.720138888886</v>
      </c>
      <c r="B253" s="9">
        <f>IFERROR(__xludf.DUMMYFUNCTION("SPLIT(A253,"" "")"),45561.0)</f>
        <v>45561</v>
      </c>
      <c r="C253" s="10">
        <f>IFERROR(__xludf.DUMMYFUNCTION("""COMPUTED_VALUE"""),0.7201388888888889)</f>
        <v>0.7201388889</v>
      </c>
      <c r="D253" s="2">
        <f t="shared" si="1"/>
        <v>17</v>
      </c>
      <c r="E253" s="2">
        <f>IFERROR(__xludf.DUMMYFUNCTION("SPLIT(B253,""/"")"),26.0)</f>
        <v>26</v>
      </c>
      <c r="F253" s="2">
        <f>IFERROR(__xludf.DUMMYFUNCTION("""COMPUTED_VALUE"""),9.0)</f>
        <v>9</v>
      </c>
      <c r="G253" s="2">
        <f>IFERROR(__xludf.DUMMYFUNCTION("""COMPUTED_VALUE"""),2024.0)</f>
        <v>2024</v>
      </c>
      <c r="H253" s="2" t="str">
        <f t="shared" si="2"/>
        <v>2024/9/26</v>
      </c>
      <c r="I253" s="2" t="s">
        <v>1576</v>
      </c>
      <c r="J253" s="2" t="str">
        <f t="shared" si="3"/>
        <v>Roti Cranberry</v>
      </c>
      <c r="K253" s="7">
        <f>if(RIGHT(I253,5)="2 pcs",2,Data!I253)</f>
        <v>1</v>
      </c>
      <c r="L253" s="2" t="str">
        <f t="shared" si="4"/>
        <v>Thursday</v>
      </c>
      <c r="M253" s="2" t="str">
        <f t="shared" si="5"/>
        <v>26</v>
      </c>
      <c r="N253" s="2">
        <f>VLOOKUP(L253,'Data Info'!$A$1:$B$8,2,0)</f>
        <v>4</v>
      </c>
      <c r="O253" s="2" t="str">
        <f>VLOOKUP(L253,'Data Info'!$A$1:$C$8,3,0)</f>
        <v>Weekday</v>
      </c>
    </row>
    <row r="254">
      <c r="A254" s="4">
        <v>45561.720138888886</v>
      </c>
      <c r="B254" s="9">
        <f>IFERROR(__xludf.DUMMYFUNCTION("SPLIT(A254,"" "")"),45561.0)</f>
        <v>45561</v>
      </c>
      <c r="C254" s="10">
        <f>IFERROR(__xludf.DUMMYFUNCTION("""COMPUTED_VALUE"""),0.7201388888888889)</f>
        <v>0.7201388889</v>
      </c>
      <c r="D254" s="2">
        <f t="shared" si="1"/>
        <v>17</v>
      </c>
      <c r="E254" s="2">
        <f>IFERROR(__xludf.DUMMYFUNCTION("SPLIT(B254,""/"")"),26.0)</f>
        <v>26</v>
      </c>
      <c r="F254" s="2">
        <f>IFERROR(__xludf.DUMMYFUNCTION("""COMPUTED_VALUE"""),9.0)</f>
        <v>9</v>
      </c>
      <c r="G254" s="2">
        <f>IFERROR(__xludf.DUMMYFUNCTION("""COMPUTED_VALUE"""),2024.0)</f>
        <v>2024</v>
      </c>
      <c r="H254" s="2" t="str">
        <f t="shared" si="2"/>
        <v>2024/9/26</v>
      </c>
      <c r="I254" s="2" t="s">
        <v>1576</v>
      </c>
      <c r="J254" s="2" t="str">
        <f t="shared" si="3"/>
        <v>Roti Cranberry</v>
      </c>
      <c r="K254" s="7">
        <f>if(RIGHT(I254,5)="2 pcs",2,Data!I254)</f>
        <v>-1</v>
      </c>
      <c r="L254" s="2" t="str">
        <f t="shared" si="4"/>
        <v>Thursday</v>
      </c>
      <c r="M254" s="2" t="str">
        <f t="shared" si="5"/>
        <v>26</v>
      </c>
      <c r="N254" s="2">
        <f>VLOOKUP(L254,'Data Info'!$A$1:$B$8,2,0)</f>
        <v>4</v>
      </c>
      <c r="O254" s="2" t="str">
        <f>VLOOKUP(L254,'Data Info'!$A$1:$C$8,3,0)</f>
        <v>Weekday</v>
      </c>
    </row>
    <row r="255">
      <c r="A255" s="4">
        <v>45561.717361111114</v>
      </c>
      <c r="B255" s="9">
        <f>IFERROR(__xludf.DUMMYFUNCTION("SPLIT(A255,"" "")"),45561.0)</f>
        <v>45561</v>
      </c>
      <c r="C255" s="10">
        <f>IFERROR(__xludf.DUMMYFUNCTION("""COMPUTED_VALUE"""),0.7173611111111111)</f>
        <v>0.7173611111</v>
      </c>
      <c r="D255" s="2">
        <f t="shared" si="1"/>
        <v>17</v>
      </c>
      <c r="E255" s="2">
        <f>IFERROR(__xludf.DUMMYFUNCTION("SPLIT(B255,""/"")"),26.0)</f>
        <v>26</v>
      </c>
      <c r="F255" s="2">
        <f>IFERROR(__xludf.DUMMYFUNCTION("""COMPUTED_VALUE"""),9.0)</f>
        <v>9</v>
      </c>
      <c r="G255" s="2">
        <f>IFERROR(__xludf.DUMMYFUNCTION("""COMPUTED_VALUE"""),2024.0)</f>
        <v>2024</v>
      </c>
      <c r="H255" s="2" t="str">
        <f t="shared" si="2"/>
        <v>2024/9/26</v>
      </c>
      <c r="I255" s="2" t="s">
        <v>1576</v>
      </c>
      <c r="J255" s="2" t="str">
        <f t="shared" si="3"/>
        <v>Roti Cranberry</v>
      </c>
      <c r="K255" s="7">
        <f>if(RIGHT(I255,5)="2 pcs",2,Data!I255)</f>
        <v>1</v>
      </c>
      <c r="L255" s="2" t="str">
        <f t="shared" si="4"/>
        <v>Thursday</v>
      </c>
      <c r="M255" s="2" t="str">
        <f t="shared" si="5"/>
        <v>26</v>
      </c>
      <c r="N255" s="2">
        <f>VLOOKUP(L255,'Data Info'!$A$1:$B$8,2,0)</f>
        <v>4</v>
      </c>
      <c r="O255" s="2" t="str">
        <f>VLOOKUP(L255,'Data Info'!$A$1:$C$8,3,0)</f>
        <v>Weekday</v>
      </c>
    </row>
    <row r="256">
      <c r="A256" s="4">
        <v>45561.70972222222</v>
      </c>
      <c r="B256" s="9">
        <f>IFERROR(__xludf.DUMMYFUNCTION("SPLIT(A256,"" "")"),45561.0)</f>
        <v>45561</v>
      </c>
      <c r="C256" s="10">
        <f>IFERROR(__xludf.DUMMYFUNCTION("""COMPUTED_VALUE"""),0.7097222222222223)</f>
        <v>0.7097222222</v>
      </c>
      <c r="D256" s="2">
        <f t="shared" si="1"/>
        <v>17</v>
      </c>
      <c r="E256" s="2">
        <f>IFERROR(__xludf.DUMMYFUNCTION("SPLIT(B256,""/"")"),26.0)</f>
        <v>26</v>
      </c>
      <c r="F256" s="2">
        <f>IFERROR(__xludf.DUMMYFUNCTION("""COMPUTED_VALUE"""),9.0)</f>
        <v>9</v>
      </c>
      <c r="G256" s="2">
        <f>IFERROR(__xludf.DUMMYFUNCTION("""COMPUTED_VALUE"""),2024.0)</f>
        <v>2024</v>
      </c>
      <c r="H256" s="2" t="str">
        <f t="shared" si="2"/>
        <v>2024/9/26</v>
      </c>
      <c r="I256" s="2" t="s">
        <v>1576</v>
      </c>
      <c r="J256" s="2" t="str">
        <f t="shared" si="3"/>
        <v>Roti Cranberry</v>
      </c>
      <c r="K256" s="7">
        <f>if(RIGHT(I256,5)="2 pcs",2,Data!I256)</f>
        <v>1</v>
      </c>
      <c r="L256" s="2" t="str">
        <f t="shared" si="4"/>
        <v>Thursday</v>
      </c>
      <c r="M256" s="2" t="str">
        <f t="shared" si="5"/>
        <v>26</v>
      </c>
      <c r="N256" s="2">
        <f>VLOOKUP(L256,'Data Info'!$A$1:$B$8,2,0)</f>
        <v>4</v>
      </c>
      <c r="O256" s="2" t="str">
        <f>VLOOKUP(L256,'Data Info'!$A$1:$C$8,3,0)</f>
        <v>Weekday</v>
      </c>
    </row>
    <row r="257">
      <c r="A257" s="4">
        <v>45561.70972222222</v>
      </c>
      <c r="B257" s="9">
        <f>IFERROR(__xludf.DUMMYFUNCTION("SPLIT(A257,"" "")"),45561.0)</f>
        <v>45561</v>
      </c>
      <c r="C257" s="10">
        <f>IFERROR(__xludf.DUMMYFUNCTION("""COMPUTED_VALUE"""),0.7097222222222223)</f>
        <v>0.7097222222</v>
      </c>
      <c r="D257" s="2">
        <f t="shared" si="1"/>
        <v>17</v>
      </c>
      <c r="E257" s="2">
        <f>IFERROR(__xludf.DUMMYFUNCTION("SPLIT(B257,""/"")"),26.0)</f>
        <v>26</v>
      </c>
      <c r="F257" s="2">
        <f>IFERROR(__xludf.DUMMYFUNCTION("""COMPUTED_VALUE"""),9.0)</f>
        <v>9</v>
      </c>
      <c r="G257" s="2">
        <f>IFERROR(__xludf.DUMMYFUNCTION("""COMPUTED_VALUE"""),2024.0)</f>
        <v>2024</v>
      </c>
      <c r="H257" s="2" t="str">
        <f t="shared" si="2"/>
        <v>2024/9/26</v>
      </c>
      <c r="I257" s="2" t="s">
        <v>1588</v>
      </c>
      <c r="J257" s="2" t="str">
        <f t="shared" si="3"/>
        <v>Es Kopi Susu</v>
      </c>
      <c r="K257" s="7">
        <f>if(RIGHT(I257,5)="2 pcs",2,Data!I257)</f>
        <v>2</v>
      </c>
      <c r="L257" s="2" t="str">
        <f t="shared" si="4"/>
        <v>Thursday</v>
      </c>
      <c r="M257" s="2" t="str">
        <f t="shared" si="5"/>
        <v>26</v>
      </c>
      <c r="N257" s="2">
        <f>VLOOKUP(L257,'Data Info'!$A$1:$B$8,2,0)</f>
        <v>4</v>
      </c>
      <c r="O257" s="2" t="str">
        <f>VLOOKUP(L257,'Data Info'!$A$1:$C$8,3,0)</f>
        <v>Weekday</v>
      </c>
    </row>
    <row r="258">
      <c r="A258" s="4">
        <v>45561.654861111114</v>
      </c>
      <c r="B258" s="9">
        <f>IFERROR(__xludf.DUMMYFUNCTION("SPLIT(A258,"" "")"),45561.0)</f>
        <v>45561</v>
      </c>
      <c r="C258" s="10">
        <f>IFERROR(__xludf.DUMMYFUNCTION("""COMPUTED_VALUE"""),0.6548611111111111)</f>
        <v>0.6548611111</v>
      </c>
      <c r="D258" s="2">
        <f t="shared" si="1"/>
        <v>15</v>
      </c>
      <c r="E258" s="2">
        <f>IFERROR(__xludf.DUMMYFUNCTION("SPLIT(B258,""/"")"),26.0)</f>
        <v>26</v>
      </c>
      <c r="F258" s="2">
        <f>IFERROR(__xludf.DUMMYFUNCTION("""COMPUTED_VALUE"""),9.0)</f>
        <v>9</v>
      </c>
      <c r="G258" s="2">
        <f>IFERROR(__xludf.DUMMYFUNCTION("""COMPUTED_VALUE"""),2024.0)</f>
        <v>2024</v>
      </c>
      <c r="H258" s="2" t="str">
        <f t="shared" si="2"/>
        <v>2024/9/26</v>
      </c>
      <c r="I258" s="2" t="s">
        <v>1595</v>
      </c>
      <c r="J258" s="2" t="str">
        <f t="shared" si="3"/>
        <v>Roti Gandum Cokelat</v>
      </c>
      <c r="K258" s="7">
        <f>if(RIGHT(I258,5)="2 pcs",2,Data!I258)</f>
        <v>1</v>
      </c>
      <c r="L258" s="2" t="str">
        <f t="shared" si="4"/>
        <v>Thursday</v>
      </c>
      <c r="M258" s="2" t="str">
        <f t="shared" si="5"/>
        <v>26</v>
      </c>
      <c r="N258" s="2">
        <f>VLOOKUP(L258,'Data Info'!$A$1:$B$8,2,0)</f>
        <v>4</v>
      </c>
      <c r="O258" s="2" t="str">
        <f>VLOOKUP(L258,'Data Info'!$A$1:$C$8,3,0)</f>
        <v>Weekday</v>
      </c>
    </row>
    <row r="259">
      <c r="A259" s="4">
        <v>45561.654861111114</v>
      </c>
      <c r="B259" s="9">
        <f>IFERROR(__xludf.DUMMYFUNCTION("SPLIT(A259,"" "")"),45561.0)</f>
        <v>45561</v>
      </c>
      <c r="C259" s="10">
        <f>IFERROR(__xludf.DUMMYFUNCTION("""COMPUTED_VALUE"""),0.6548611111111111)</f>
        <v>0.6548611111</v>
      </c>
      <c r="D259" s="2">
        <f t="shared" si="1"/>
        <v>15</v>
      </c>
      <c r="E259" s="2">
        <f>IFERROR(__xludf.DUMMYFUNCTION("SPLIT(B259,""/"")"),26.0)</f>
        <v>26</v>
      </c>
      <c r="F259" s="2">
        <f>IFERROR(__xludf.DUMMYFUNCTION("""COMPUTED_VALUE"""),9.0)</f>
        <v>9</v>
      </c>
      <c r="G259" s="2">
        <f>IFERROR(__xludf.DUMMYFUNCTION("""COMPUTED_VALUE"""),2024.0)</f>
        <v>2024</v>
      </c>
      <c r="H259" s="2" t="str">
        <f t="shared" si="2"/>
        <v>2024/9/26</v>
      </c>
      <c r="I259" s="2" t="s">
        <v>1577</v>
      </c>
      <c r="J259" s="2" t="str">
        <f t="shared" si="3"/>
        <v>Rempah Madu Panas</v>
      </c>
      <c r="K259" s="7">
        <f>if(RIGHT(I259,5)="2 pcs",2,Data!I259)</f>
        <v>1</v>
      </c>
      <c r="L259" s="2" t="str">
        <f t="shared" si="4"/>
        <v>Thursday</v>
      </c>
      <c r="M259" s="2" t="str">
        <f t="shared" si="5"/>
        <v>26</v>
      </c>
      <c r="N259" s="2">
        <f>VLOOKUP(L259,'Data Info'!$A$1:$B$8,2,0)</f>
        <v>4</v>
      </c>
      <c r="O259" s="2" t="str">
        <f>VLOOKUP(L259,'Data Info'!$A$1:$C$8,3,0)</f>
        <v>Weekday</v>
      </c>
    </row>
    <row r="260">
      <c r="A260" s="4">
        <v>45561.53125</v>
      </c>
      <c r="B260" s="9">
        <f>IFERROR(__xludf.DUMMYFUNCTION("SPLIT(A260,"" "")"),45561.0)</f>
        <v>45561</v>
      </c>
      <c r="C260" s="10">
        <f>IFERROR(__xludf.DUMMYFUNCTION("""COMPUTED_VALUE"""),0.53125)</f>
        <v>0.53125</v>
      </c>
      <c r="D260" s="2">
        <f t="shared" si="1"/>
        <v>12</v>
      </c>
      <c r="E260" s="2">
        <f>IFERROR(__xludf.DUMMYFUNCTION("SPLIT(B260,""/"")"),26.0)</f>
        <v>26</v>
      </c>
      <c r="F260" s="2">
        <f>IFERROR(__xludf.DUMMYFUNCTION("""COMPUTED_VALUE"""),9.0)</f>
        <v>9</v>
      </c>
      <c r="G260" s="2">
        <f>IFERROR(__xludf.DUMMYFUNCTION("""COMPUTED_VALUE"""),2024.0)</f>
        <v>2024</v>
      </c>
      <c r="H260" s="2" t="str">
        <f t="shared" si="2"/>
        <v>2024/9/26</v>
      </c>
      <c r="I260" s="2" t="s">
        <v>1603</v>
      </c>
      <c r="J260" s="2" t="str">
        <f t="shared" si="3"/>
        <v>Nasi Goreng Temu</v>
      </c>
      <c r="K260" s="7">
        <f>if(RIGHT(I260,5)="2 pcs",2,Data!I260)</f>
        <v>2</v>
      </c>
      <c r="L260" s="2" t="str">
        <f t="shared" si="4"/>
        <v>Thursday</v>
      </c>
      <c r="M260" s="2" t="str">
        <f t="shared" si="5"/>
        <v>26</v>
      </c>
      <c r="N260" s="2">
        <f>VLOOKUP(L260,'Data Info'!$A$1:$B$8,2,0)</f>
        <v>4</v>
      </c>
      <c r="O260" s="2" t="str">
        <f>VLOOKUP(L260,'Data Info'!$A$1:$C$8,3,0)</f>
        <v>Weekday</v>
      </c>
    </row>
    <row r="261">
      <c r="A261" s="4">
        <v>45561.53125</v>
      </c>
      <c r="B261" s="9">
        <f>IFERROR(__xludf.DUMMYFUNCTION("SPLIT(A261,"" "")"),45561.0)</f>
        <v>45561</v>
      </c>
      <c r="C261" s="10">
        <f>IFERROR(__xludf.DUMMYFUNCTION("""COMPUTED_VALUE"""),0.53125)</f>
        <v>0.53125</v>
      </c>
      <c r="D261" s="2">
        <f t="shared" si="1"/>
        <v>12</v>
      </c>
      <c r="E261" s="2">
        <f>IFERROR(__xludf.DUMMYFUNCTION("SPLIT(B261,""/"")"),26.0)</f>
        <v>26</v>
      </c>
      <c r="F261" s="2">
        <f>IFERROR(__xludf.DUMMYFUNCTION("""COMPUTED_VALUE"""),9.0)</f>
        <v>9</v>
      </c>
      <c r="G261" s="2">
        <f>IFERROR(__xludf.DUMMYFUNCTION("""COMPUTED_VALUE"""),2024.0)</f>
        <v>2024</v>
      </c>
      <c r="H261" s="2" t="str">
        <f t="shared" si="2"/>
        <v>2024/9/26</v>
      </c>
      <c r="I261" s="2" t="s">
        <v>1602</v>
      </c>
      <c r="J261" s="2" t="str">
        <f t="shared" si="3"/>
        <v>Mie joglo</v>
      </c>
      <c r="K261" s="7">
        <f>if(RIGHT(I261,5)="2 pcs",2,Data!I261)</f>
        <v>1</v>
      </c>
      <c r="L261" s="2" t="str">
        <f t="shared" si="4"/>
        <v>Thursday</v>
      </c>
      <c r="M261" s="2" t="str">
        <f t="shared" si="5"/>
        <v>26</v>
      </c>
      <c r="N261" s="2">
        <f>VLOOKUP(L261,'Data Info'!$A$1:$B$8,2,0)</f>
        <v>4</v>
      </c>
      <c r="O261" s="2" t="str">
        <f>VLOOKUP(L261,'Data Info'!$A$1:$C$8,3,0)</f>
        <v>Weekday</v>
      </c>
    </row>
    <row r="262">
      <c r="A262" s="4">
        <v>45561.50902777778</v>
      </c>
      <c r="B262" s="9">
        <f>IFERROR(__xludf.DUMMYFUNCTION("SPLIT(A262,"" "")"),45561.0)</f>
        <v>45561</v>
      </c>
      <c r="C262" s="10">
        <f>IFERROR(__xludf.DUMMYFUNCTION("""COMPUTED_VALUE"""),0.5090277777777777)</f>
        <v>0.5090277778</v>
      </c>
      <c r="D262" s="2">
        <f t="shared" si="1"/>
        <v>12</v>
      </c>
      <c r="E262" s="2">
        <f>IFERROR(__xludf.DUMMYFUNCTION("SPLIT(B262,""/"")"),26.0)</f>
        <v>26</v>
      </c>
      <c r="F262" s="2">
        <f>IFERROR(__xludf.DUMMYFUNCTION("""COMPUTED_VALUE"""),9.0)</f>
        <v>9</v>
      </c>
      <c r="G262" s="2">
        <f>IFERROR(__xludf.DUMMYFUNCTION("""COMPUTED_VALUE"""),2024.0)</f>
        <v>2024</v>
      </c>
      <c r="H262" s="2" t="str">
        <f t="shared" si="2"/>
        <v>2024/9/26</v>
      </c>
      <c r="I262" s="2" t="s">
        <v>1566</v>
      </c>
      <c r="J262" s="2" t="str">
        <f t="shared" si="3"/>
        <v>Roti Bawang Saus Keju</v>
      </c>
      <c r="K262" s="7">
        <f>if(RIGHT(I262,5)="2 pcs",2,Data!I262)</f>
        <v>1</v>
      </c>
      <c r="L262" s="2" t="str">
        <f t="shared" si="4"/>
        <v>Thursday</v>
      </c>
      <c r="M262" s="2" t="str">
        <f t="shared" si="5"/>
        <v>26</v>
      </c>
      <c r="N262" s="2">
        <f>VLOOKUP(L262,'Data Info'!$A$1:$B$8,2,0)</f>
        <v>4</v>
      </c>
      <c r="O262" s="2" t="str">
        <f>VLOOKUP(L262,'Data Info'!$A$1:$C$8,3,0)</f>
        <v>Weekday</v>
      </c>
    </row>
    <row r="263">
      <c r="A263" s="4">
        <v>45561.50902777778</v>
      </c>
      <c r="B263" s="9">
        <f>IFERROR(__xludf.DUMMYFUNCTION("SPLIT(A263,"" "")"),45561.0)</f>
        <v>45561</v>
      </c>
      <c r="C263" s="10">
        <f>IFERROR(__xludf.DUMMYFUNCTION("""COMPUTED_VALUE"""),0.5090277777777777)</f>
        <v>0.5090277778</v>
      </c>
      <c r="D263" s="2">
        <f t="shared" si="1"/>
        <v>12</v>
      </c>
      <c r="E263" s="2">
        <f>IFERROR(__xludf.DUMMYFUNCTION("SPLIT(B263,""/"")"),26.0)</f>
        <v>26</v>
      </c>
      <c r="F263" s="2">
        <f>IFERROR(__xludf.DUMMYFUNCTION("""COMPUTED_VALUE"""),9.0)</f>
        <v>9</v>
      </c>
      <c r="G263" s="2">
        <f>IFERROR(__xludf.DUMMYFUNCTION("""COMPUTED_VALUE"""),2024.0)</f>
        <v>2024</v>
      </c>
      <c r="H263" s="2" t="str">
        <f t="shared" si="2"/>
        <v>2024/9/26</v>
      </c>
      <c r="I263" s="2" t="s">
        <v>1595</v>
      </c>
      <c r="J263" s="2" t="str">
        <f t="shared" si="3"/>
        <v>Roti Gandum Cokelat</v>
      </c>
      <c r="K263" s="7">
        <f>if(RIGHT(I263,5)="2 pcs",2,Data!I263)</f>
        <v>1</v>
      </c>
      <c r="L263" s="2" t="str">
        <f t="shared" si="4"/>
        <v>Thursday</v>
      </c>
      <c r="M263" s="2" t="str">
        <f t="shared" si="5"/>
        <v>26</v>
      </c>
      <c r="N263" s="2">
        <f>VLOOKUP(L263,'Data Info'!$A$1:$B$8,2,0)</f>
        <v>4</v>
      </c>
      <c r="O263" s="2" t="str">
        <f>VLOOKUP(L263,'Data Info'!$A$1:$C$8,3,0)</f>
        <v>Weekday</v>
      </c>
    </row>
    <row r="264">
      <c r="A264" s="4">
        <v>45561.50902777778</v>
      </c>
      <c r="B264" s="9">
        <f>IFERROR(__xludf.DUMMYFUNCTION("SPLIT(A264,"" "")"),45561.0)</f>
        <v>45561</v>
      </c>
      <c r="C264" s="10">
        <f>IFERROR(__xludf.DUMMYFUNCTION("""COMPUTED_VALUE"""),0.5090277777777777)</f>
        <v>0.5090277778</v>
      </c>
      <c r="D264" s="2">
        <f t="shared" si="1"/>
        <v>12</v>
      </c>
      <c r="E264" s="2">
        <f>IFERROR(__xludf.DUMMYFUNCTION("SPLIT(B264,""/"")"),26.0)</f>
        <v>26</v>
      </c>
      <c r="F264" s="2">
        <f>IFERROR(__xludf.DUMMYFUNCTION("""COMPUTED_VALUE"""),9.0)</f>
        <v>9</v>
      </c>
      <c r="G264" s="2">
        <f>IFERROR(__xludf.DUMMYFUNCTION("""COMPUTED_VALUE"""),2024.0)</f>
        <v>2024</v>
      </c>
      <c r="H264" s="2" t="str">
        <f t="shared" si="2"/>
        <v>2024/9/26</v>
      </c>
      <c r="I264" s="2" t="s">
        <v>1588</v>
      </c>
      <c r="J264" s="2" t="str">
        <f t="shared" si="3"/>
        <v>Es Kopi Susu</v>
      </c>
      <c r="K264" s="7">
        <f>if(RIGHT(I264,5)="2 pcs",2,Data!I264)</f>
        <v>1</v>
      </c>
      <c r="L264" s="2" t="str">
        <f t="shared" si="4"/>
        <v>Thursday</v>
      </c>
      <c r="M264" s="2" t="str">
        <f t="shared" si="5"/>
        <v>26</v>
      </c>
      <c r="N264" s="2">
        <f>VLOOKUP(L264,'Data Info'!$A$1:$B$8,2,0)</f>
        <v>4</v>
      </c>
      <c r="O264" s="2" t="str">
        <f>VLOOKUP(L264,'Data Info'!$A$1:$C$8,3,0)</f>
        <v>Weekday</v>
      </c>
    </row>
    <row r="265">
      <c r="A265" s="4">
        <v>45561.50833333333</v>
      </c>
      <c r="B265" s="9">
        <f>IFERROR(__xludf.DUMMYFUNCTION("SPLIT(A265,"" "")"),45561.0)</f>
        <v>45561</v>
      </c>
      <c r="C265" s="10">
        <f>IFERROR(__xludf.DUMMYFUNCTION("""COMPUTED_VALUE"""),0.5083333333333333)</f>
        <v>0.5083333333</v>
      </c>
      <c r="D265" s="2">
        <f t="shared" si="1"/>
        <v>12</v>
      </c>
      <c r="E265" s="2">
        <f>IFERROR(__xludf.DUMMYFUNCTION("SPLIT(B265,""/"")"),26.0)</f>
        <v>26</v>
      </c>
      <c r="F265" s="2">
        <f>IFERROR(__xludf.DUMMYFUNCTION("""COMPUTED_VALUE"""),9.0)</f>
        <v>9</v>
      </c>
      <c r="G265" s="2">
        <f>IFERROR(__xludf.DUMMYFUNCTION("""COMPUTED_VALUE"""),2024.0)</f>
        <v>2024</v>
      </c>
      <c r="H265" s="2" t="str">
        <f t="shared" si="2"/>
        <v>2024/9/26</v>
      </c>
      <c r="I265" s="2" t="s">
        <v>1582</v>
      </c>
      <c r="J265" s="2" t="str">
        <f t="shared" si="3"/>
        <v>Teh Tawar Dingin</v>
      </c>
      <c r="K265" s="7">
        <f>if(RIGHT(I265,5)="2 pcs",2,Data!I265)</f>
        <v>1</v>
      </c>
      <c r="L265" s="2" t="str">
        <f t="shared" si="4"/>
        <v>Thursday</v>
      </c>
      <c r="M265" s="2" t="str">
        <f t="shared" si="5"/>
        <v>26</v>
      </c>
      <c r="N265" s="2">
        <f>VLOOKUP(L265,'Data Info'!$A$1:$B$8,2,0)</f>
        <v>4</v>
      </c>
      <c r="O265" s="2" t="str">
        <f>VLOOKUP(L265,'Data Info'!$A$1:$C$8,3,0)</f>
        <v>Weekday</v>
      </c>
    </row>
    <row r="266">
      <c r="A266" s="4">
        <v>45561.425</v>
      </c>
      <c r="B266" s="9">
        <f>IFERROR(__xludf.DUMMYFUNCTION("SPLIT(A266,"" "")"),45561.0)</f>
        <v>45561</v>
      </c>
      <c r="C266" s="10">
        <f>IFERROR(__xludf.DUMMYFUNCTION("""COMPUTED_VALUE"""),0.425)</f>
        <v>0.425</v>
      </c>
      <c r="D266" s="2">
        <f t="shared" si="1"/>
        <v>10</v>
      </c>
      <c r="E266" s="2">
        <f>IFERROR(__xludf.DUMMYFUNCTION("SPLIT(B266,""/"")"),26.0)</f>
        <v>26</v>
      </c>
      <c r="F266" s="2">
        <f>IFERROR(__xludf.DUMMYFUNCTION("""COMPUTED_VALUE"""),9.0)</f>
        <v>9</v>
      </c>
      <c r="G266" s="2">
        <f>IFERROR(__xludf.DUMMYFUNCTION("""COMPUTED_VALUE"""),2024.0)</f>
        <v>2024</v>
      </c>
      <c r="H266" s="2" t="str">
        <f t="shared" si="2"/>
        <v>2024/9/26</v>
      </c>
      <c r="I266" s="2" t="s">
        <v>1566</v>
      </c>
      <c r="J266" s="2" t="str">
        <f t="shared" si="3"/>
        <v>Roti Bawang Saus Keju</v>
      </c>
      <c r="K266" s="7">
        <f>if(RIGHT(I266,5)="2 pcs",2,Data!I266)</f>
        <v>1</v>
      </c>
      <c r="L266" s="2" t="str">
        <f t="shared" si="4"/>
        <v>Thursday</v>
      </c>
      <c r="M266" s="2" t="str">
        <f t="shared" si="5"/>
        <v>26</v>
      </c>
      <c r="N266" s="2">
        <f>VLOOKUP(L266,'Data Info'!$A$1:$B$8,2,0)</f>
        <v>4</v>
      </c>
      <c r="O266" s="2" t="str">
        <f>VLOOKUP(L266,'Data Info'!$A$1:$C$8,3,0)</f>
        <v>Weekday</v>
      </c>
    </row>
    <row r="267">
      <c r="A267" s="4">
        <v>45561.425</v>
      </c>
      <c r="B267" s="9">
        <f>IFERROR(__xludf.DUMMYFUNCTION("SPLIT(A267,"" "")"),45561.0)</f>
        <v>45561</v>
      </c>
      <c r="C267" s="10">
        <f>IFERROR(__xludf.DUMMYFUNCTION("""COMPUTED_VALUE"""),0.425)</f>
        <v>0.425</v>
      </c>
      <c r="D267" s="2">
        <f t="shared" si="1"/>
        <v>10</v>
      </c>
      <c r="E267" s="2">
        <f>IFERROR(__xludf.DUMMYFUNCTION("SPLIT(B267,""/"")"),26.0)</f>
        <v>26</v>
      </c>
      <c r="F267" s="2">
        <f>IFERROR(__xludf.DUMMYFUNCTION("""COMPUTED_VALUE"""),9.0)</f>
        <v>9</v>
      </c>
      <c r="G267" s="2">
        <f>IFERROR(__xludf.DUMMYFUNCTION("""COMPUTED_VALUE"""),2024.0)</f>
        <v>2024</v>
      </c>
      <c r="H267" s="2" t="str">
        <f t="shared" si="2"/>
        <v>2024/9/26</v>
      </c>
      <c r="I267" s="2" t="s">
        <v>1595</v>
      </c>
      <c r="J267" s="2" t="str">
        <f t="shared" si="3"/>
        <v>Roti Gandum Cokelat</v>
      </c>
      <c r="K267" s="7">
        <f>if(RIGHT(I267,5)="2 pcs",2,Data!I267)</f>
        <v>1</v>
      </c>
      <c r="L267" s="2" t="str">
        <f t="shared" si="4"/>
        <v>Thursday</v>
      </c>
      <c r="M267" s="2" t="str">
        <f t="shared" si="5"/>
        <v>26</v>
      </c>
      <c r="N267" s="2">
        <f>VLOOKUP(L267,'Data Info'!$A$1:$B$8,2,0)</f>
        <v>4</v>
      </c>
      <c r="O267" s="2" t="str">
        <f>VLOOKUP(L267,'Data Info'!$A$1:$C$8,3,0)</f>
        <v>Weekday</v>
      </c>
    </row>
    <row r="268">
      <c r="A268" s="4">
        <v>45561.425</v>
      </c>
      <c r="B268" s="9">
        <f>IFERROR(__xludf.DUMMYFUNCTION("SPLIT(A268,"" "")"),45561.0)</f>
        <v>45561</v>
      </c>
      <c r="C268" s="10">
        <f>IFERROR(__xludf.DUMMYFUNCTION("""COMPUTED_VALUE"""),0.425)</f>
        <v>0.425</v>
      </c>
      <c r="D268" s="2">
        <f t="shared" si="1"/>
        <v>10</v>
      </c>
      <c r="E268" s="2">
        <f>IFERROR(__xludf.DUMMYFUNCTION("SPLIT(B268,""/"")"),26.0)</f>
        <v>26</v>
      </c>
      <c r="F268" s="2">
        <f>IFERROR(__xludf.DUMMYFUNCTION("""COMPUTED_VALUE"""),9.0)</f>
        <v>9</v>
      </c>
      <c r="G268" s="2">
        <f>IFERROR(__xludf.DUMMYFUNCTION("""COMPUTED_VALUE"""),2024.0)</f>
        <v>2024</v>
      </c>
      <c r="H268" s="2" t="str">
        <f t="shared" si="2"/>
        <v>2024/9/26</v>
      </c>
      <c r="I268" s="2" t="s">
        <v>1576</v>
      </c>
      <c r="J268" s="2" t="str">
        <f t="shared" si="3"/>
        <v>Roti Cranberry</v>
      </c>
      <c r="K268" s="7">
        <f>if(RIGHT(I268,5)="2 pcs",2,Data!I268)</f>
        <v>1</v>
      </c>
      <c r="L268" s="2" t="str">
        <f t="shared" si="4"/>
        <v>Thursday</v>
      </c>
      <c r="M268" s="2" t="str">
        <f t="shared" si="5"/>
        <v>26</v>
      </c>
      <c r="N268" s="2">
        <f>VLOOKUP(L268,'Data Info'!$A$1:$B$8,2,0)</f>
        <v>4</v>
      </c>
      <c r="O268" s="2" t="str">
        <f>VLOOKUP(L268,'Data Info'!$A$1:$C$8,3,0)</f>
        <v>Weekday</v>
      </c>
    </row>
    <row r="269">
      <c r="A269" s="4">
        <v>45561.425</v>
      </c>
      <c r="B269" s="9">
        <f>IFERROR(__xludf.DUMMYFUNCTION("SPLIT(A269,"" "")"),45561.0)</f>
        <v>45561</v>
      </c>
      <c r="C269" s="10">
        <f>IFERROR(__xludf.DUMMYFUNCTION("""COMPUTED_VALUE"""),0.425)</f>
        <v>0.425</v>
      </c>
      <c r="D269" s="2">
        <f t="shared" si="1"/>
        <v>10</v>
      </c>
      <c r="E269" s="2">
        <f>IFERROR(__xludf.DUMMYFUNCTION("SPLIT(B269,""/"")"),26.0)</f>
        <v>26</v>
      </c>
      <c r="F269" s="2">
        <f>IFERROR(__xludf.DUMMYFUNCTION("""COMPUTED_VALUE"""),9.0)</f>
        <v>9</v>
      </c>
      <c r="G269" s="2">
        <f>IFERROR(__xludf.DUMMYFUNCTION("""COMPUTED_VALUE"""),2024.0)</f>
        <v>2024</v>
      </c>
      <c r="H269" s="2" t="str">
        <f t="shared" si="2"/>
        <v>2024/9/26</v>
      </c>
      <c r="I269" s="2" t="s">
        <v>1588</v>
      </c>
      <c r="J269" s="2" t="str">
        <f t="shared" si="3"/>
        <v>Es Kopi Susu</v>
      </c>
      <c r="K269" s="7">
        <f>if(RIGHT(I269,5)="2 pcs",2,Data!I269)</f>
        <v>2</v>
      </c>
      <c r="L269" s="2" t="str">
        <f t="shared" si="4"/>
        <v>Thursday</v>
      </c>
      <c r="M269" s="2" t="str">
        <f t="shared" si="5"/>
        <v>26</v>
      </c>
      <c r="N269" s="2">
        <f>VLOOKUP(L269,'Data Info'!$A$1:$B$8,2,0)</f>
        <v>4</v>
      </c>
      <c r="O269" s="2" t="str">
        <f>VLOOKUP(L269,'Data Info'!$A$1:$C$8,3,0)</f>
        <v>Weekday</v>
      </c>
    </row>
    <row r="270">
      <c r="A270" s="4">
        <v>45561.425</v>
      </c>
      <c r="B270" s="9">
        <f>IFERROR(__xludf.DUMMYFUNCTION("SPLIT(A270,"" "")"),45561.0)</f>
        <v>45561</v>
      </c>
      <c r="C270" s="10">
        <f>IFERROR(__xludf.DUMMYFUNCTION("""COMPUTED_VALUE"""),0.425)</f>
        <v>0.425</v>
      </c>
      <c r="D270" s="2">
        <f t="shared" si="1"/>
        <v>10</v>
      </c>
      <c r="E270" s="2">
        <f>IFERROR(__xludf.DUMMYFUNCTION("SPLIT(B270,""/"")"),26.0)</f>
        <v>26</v>
      </c>
      <c r="F270" s="2">
        <f>IFERROR(__xludf.DUMMYFUNCTION("""COMPUTED_VALUE"""),9.0)</f>
        <v>9</v>
      </c>
      <c r="G270" s="2">
        <f>IFERROR(__xludf.DUMMYFUNCTION("""COMPUTED_VALUE"""),2024.0)</f>
        <v>2024</v>
      </c>
      <c r="H270" s="2" t="str">
        <f t="shared" si="2"/>
        <v>2024/9/26</v>
      </c>
      <c r="I270" s="2" t="s">
        <v>1598</v>
      </c>
      <c r="J270" s="2" t="str">
        <f t="shared" si="3"/>
        <v>Korean Strawberry Fresh Milk</v>
      </c>
      <c r="K270" s="7">
        <f>if(RIGHT(I270,5)="2 pcs",2,Data!I270)</f>
        <v>1</v>
      </c>
      <c r="L270" s="2" t="str">
        <f t="shared" si="4"/>
        <v>Thursday</v>
      </c>
      <c r="M270" s="2" t="str">
        <f t="shared" si="5"/>
        <v>26</v>
      </c>
      <c r="N270" s="2">
        <f>VLOOKUP(L270,'Data Info'!$A$1:$B$8,2,0)</f>
        <v>4</v>
      </c>
      <c r="O270" s="2" t="str">
        <f>VLOOKUP(L270,'Data Info'!$A$1:$C$8,3,0)</f>
        <v>Weekday</v>
      </c>
    </row>
    <row r="271">
      <c r="A271" s="4">
        <v>45561.425</v>
      </c>
      <c r="B271" s="9">
        <f>IFERROR(__xludf.DUMMYFUNCTION("SPLIT(A271,"" "")"),45561.0)</f>
        <v>45561</v>
      </c>
      <c r="C271" s="10">
        <f>IFERROR(__xludf.DUMMYFUNCTION("""COMPUTED_VALUE"""),0.425)</f>
        <v>0.425</v>
      </c>
      <c r="D271" s="2">
        <f t="shared" si="1"/>
        <v>10</v>
      </c>
      <c r="E271" s="2">
        <f>IFERROR(__xludf.DUMMYFUNCTION("SPLIT(B271,""/"")"),26.0)</f>
        <v>26</v>
      </c>
      <c r="F271" s="2">
        <f>IFERROR(__xludf.DUMMYFUNCTION("""COMPUTED_VALUE"""),9.0)</f>
        <v>9</v>
      </c>
      <c r="G271" s="2">
        <f>IFERROR(__xludf.DUMMYFUNCTION("""COMPUTED_VALUE"""),2024.0)</f>
        <v>2024</v>
      </c>
      <c r="H271" s="2" t="str">
        <f t="shared" si="2"/>
        <v>2024/9/26</v>
      </c>
      <c r="I271" s="2" t="s">
        <v>1620</v>
      </c>
      <c r="J271" s="2" t="str">
        <f t="shared" si="3"/>
        <v>Wedang hujan</v>
      </c>
      <c r="K271" s="7">
        <f>if(RIGHT(I271,5)="2 pcs",2,Data!I271)</f>
        <v>1</v>
      </c>
      <c r="L271" s="2" t="str">
        <f t="shared" si="4"/>
        <v>Thursday</v>
      </c>
      <c r="M271" s="2" t="str">
        <f t="shared" si="5"/>
        <v>26</v>
      </c>
      <c r="N271" s="2">
        <f>VLOOKUP(L271,'Data Info'!$A$1:$B$8,2,0)</f>
        <v>4</v>
      </c>
      <c r="O271" s="2" t="str">
        <f>VLOOKUP(L271,'Data Info'!$A$1:$C$8,3,0)</f>
        <v>Weekday</v>
      </c>
    </row>
    <row r="272">
      <c r="A272" s="4">
        <v>45561.40833333333</v>
      </c>
      <c r="B272" s="9">
        <f>IFERROR(__xludf.DUMMYFUNCTION("SPLIT(A272,"" "")"),45561.0)</f>
        <v>45561</v>
      </c>
      <c r="C272" s="10">
        <f>IFERROR(__xludf.DUMMYFUNCTION("""COMPUTED_VALUE"""),0.4083333333333333)</f>
        <v>0.4083333333</v>
      </c>
      <c r="D272" s="2">
        <f t="shared" si="1"/>
        <v>9</v>
      </c>
      <c r="E272" s="2">
        <f>IFERROR(__xludf.DUMMYFUNCTION("SPLIT(B272,""/"")"),26.0)</f>
        <v>26</v>
      </c>
      <c r="F272" s="2">
        <f>IFERROR(__xludf.DUMMYFUNCTION("""COMPUTED_VALUE"""),9.0)</f>
        <v>9</v>
      </c>
      <c r="G272" s="2">
        <f>IFERROR(__xludf.DUMMYFUNCTION("""COMPUTED_VALUE"""),2024.0)</f>
        <v>2024</v>
      </c>
      <c r="H272" s="2" t="str">
        <f t="shared" si="2"/>
        <v>2024/9/26</v>
      </c>
      <c r="I272" s="2" t="s">
        <v>1595</v>
      </c>
      <c r="J272" s="2" t="str">
        <f t="shared" si="3"/>
        <v>Roti Gandum Cokelat</v>
      </c>
      <c r="K272" s="7">
        <f>if(RIGHT(I272,5)="2 pcs",2,Data!I272)</f>
        <v>1</v>
      </c>
      <c r="L272" s="2" t="str">
        <f t="shared" si="4"/>
        <v>Thursday</v>
      </c>
      <c r="M272" s="2" t="str">
        <f t="shared" si="5"/>
        <v>26</v>
      </c>
      <c r="N272" s="2">
        <f>VLOOKUP(L272,'Data Info'!$A$1:$B$8,2,0)</f>
        <v>4</v>
      </c>
      <c r="O272" s="2" t="str">
        <f>VLOOKUP(L272,'Data Info'!$A$1:$C$8,3,0)</f>
        <v>Weekday</v>
      </c>
    </row>
    <row r="273">
      <c r="A273" s="4">
        <v>45561.40833333333</v>
      </c>
      <c r="B273" s="9">
        <f>IFERROR(__xludf.DUMMYFUNCTION("SPLIT(A273,"" "")"),45561.0)</f>
        <v>45561</v>
      </c>
      <c r="C273" s="10">
        <f>IFERROR(__xludf.DUMMYFUNCTION("""COMPUTED_VALUE"""),0.4083333333333333)</f>
        <v>0.4083333333</v>
      </c>
      <c r="D273" s="2">
        <f t="shared" si="1"/>
        <v>9</v>
      </c>
      <c r="E273" s="2">
        <f>IFERROR(__xludf.DUMMYFUNCTION("SPLIT(B273,""/"")"),26.0)</f>
        <v>26</v>
      </c>
      <c r="F273" s="2">
        <f>IFERROR(__xludf.DUMMYFUNCTION("""COMPUTED_VALUE"""),9.0)</f>
        <v>9</v>
      </c>
      <c r="G273" s="2">
        <f>IFERROR(__xludf.DUMMYFUNCTION("""COMPUTED_VALUE"""),2024.0)</f>
        <v>2024</v>
      </c>
      <c r="H273" s="2" t="str">
        <f t="shared" si="2"/>
        <v>2024/9/26</v>
      </c>
      <c r="I273" s="2" t="s">
        <v>1576</v>
      </c>
      <c r="J273" s="2" t="str">
        <f t="shared" si="3"/>
        <v>Roti Cranberry</v>
      </c>
      <c r="K273" s="7">
        <f>if(RIGHT(I273,5)="2 pcs",2,Data!I273)</f>
        <v>1</v>
      </c>
      <c r="L273" s="2" t="str">
        <f t="shared" si="4"/>
        <v>Thursday</v>
      </c>
      <c r="M273" s="2" t="str">
        <f t="shared" si="5"/>
        <v>26</v>
      </c>
      <c r="N273" s="2">
        <f>VLOOKUP(L273,'Data Info'!$A$1:$B$8,2,0)</f>
        <v>4</v>
      </c>
      <c r="O273" s="2" t="str">
        <f>VLOOKUP(L273,'Data Info'!$A$1:$C$8,3,0)</f>
        <v>Weekday</v>
      </c>
    </row>
    <row r="274">
      <c r="A274" s="4">
        <v>45561.40625</v>
      </c>
      <c r="B274" s="9">
        <f>IFERROR(__xludf.DUMMYFUNCTION("SPLIT(A274,"" "")"),45561.0)</f>
        <v>45561</v>
      </c>
      <c r="C274" s="10">
        <f>IFERROR(__xludf.DUMMYFUNCTION("""COMPUTED_VALUE"""),0.40625)</f>
        <v>0.40625</v>
      </c>
      <c r="D274" s="2">
        <f t="shared" si="1"/>
        <v>9</v>
      </c>
      <c r="E274" s="2">
        <f>IFERROR(__xludf.DUMMYFUNCTION("SPLIT(B274,""/"")"),26.0)</f>
        <v>26</v>
      </c>
      <c r="F274" s="2">
        <f>IFERROR(__xludf.DUMMYFUNCTION("""COMPUTED_VALUE"""),9.0)</f>
        <v>9</v>
      </c>
      <c r="G274" s="2">
        <f>IFERROR(__xludf.DUMMYFUNCTION("""COMPUTED_VALUE"""),2024.0)</f>
        <v>2024</v>
      </c>
      <c r="H274" s="2" t="str">
        <f t="shared" si="2"/>
        <v>2024/9/26</v>
      </c>
      <c r="I274" s="2" t="s">
        <v>1621</v>
      </c>
      <c r="J274" s="2" t="str">
        <f t="shared" si="3"/>
        <v>Wedang angin</v>
      </c>
      <c r="K274" s="7">
        <f>if(RIGHT(I274,5)="2 pcs",2,Data!I274)</f>
        <v>1</v>
      </c>
      <c r="L274" s="2" t="str">
        <f t="shared" si="4"/>
        <v>Thursday</v>
      </c>
      <c r="M274" s="2" t="str">
        <f t="shared" si="5"/>
        <v>26</v>
      </c>
      <c r="N274" s="2">
        <f>VLOOKUP(L274,'Data Info'!$A$1:$B$8,2,0)</f>
        <v>4</v>
      </c>
      <c r="O274" s="2" t="str">
        <f>VLOOKUP(L274,'Data Info'!$A$1:$C$8,3,0)</f>
        <v>Weekday</v>
      </c>
    </row>
    <row r="275">
      <c r="A275" s="4">
        <v>45561.40625</v>
      </c>
      <c r="B275" s="9">
        <f>IFERROR(__xludf.DUMMYFUNCTION("SPLIT(A275,"" "")"),45561.0)</f>
        <v>45561</v>
      </c>
      <c r="C275" s="10">
        <f>IFERROR(__xludf.DUMMYFUNCTION("""COMPUTED_VALUE"""),0.40625)</f>
        <v>0.40625</v>
      </c>
      <c r="D275" s="2">
        <f t="shared" si="1"/>
        <v>9</v>
      </c>
      <c r="E275" s="2">
        <f>IFERROR(__xludf.DUMMYFUNCTION("SPLIT(B275,""/"")"),26.0)</f>
        <v>26</v>
      </c>
      <c r="F275" s="2">
        <f>IFERROR(__xludf.DUMMYFUNCTION("""COMPUTED_VALUE"""),9.0)</f>
        <v>9</v>
      </c>
      <c r="G275" s="2">
        <f>IFERROR(__xludf.DUMMYFUNCTION("""COMPUTED_VALUE"""),2024.0)</f>
        <v>2024</v>
      </c>
      <c r="H275" s="2" t="str">
        <f t="shared" si="2"/>
        <v>2024/9/26</v>
      </c>
      <c r="I275" s="2" t="s">
        <v>1588</v>
      </c>
      <c r="J275" s="2" t="str">
        <f t="shared" si="3"/>
        <v>Es Kopi Susu</v>
      </c>
      <c r="K275" s="7">
        <f>if(RIGHT(I275,5)="2 pcs",2,Data!I275)</f>
        <v>1</v>
      </c>
      <c r="L275" s="2" t="str">
        <f t="shared" si="4"/>
        <v>Thursday</v>
      </c>
      <c r="M275" s="2" t="str">
        <f t="shared" si="5"/>
        <v>26</v>
      </c>
      <c r="N275" s="2">
        <f>VLOOKUP(L275,'Data Info'!$A$1:$B$8,2,0)</f>
        <v>4</v>
      </c>
      <c r="O275" s="2" t="str">
        <f>VLOOKUP(L275,'Data Info'!$A$1:$C$8,3,0)</f>
        <v>Weekday</v>
      </c>
    </row>
    <row r="276">
      <c r="A276" s="4">
        <v>45561.40625</v>
      </c>
      <c r="B276" s="9">
        <f>IFERROR(__xludf.DUMMYFUNCTION("SPLIT(A276,"" "")"),45561.0)</f>
        <v>45561</v>
      </c>
      <c r="C276" s="10">
        <f>IFERROR(__xludf.DUMMYFUNCTION("""COMPUTED_VALUE"""),0.40625)</f>
        <v>0.40625</v>
      </c>
      <c r="D276" s="2">
        <f t="shared" si="1"/>
        <v>9</v>
      </c>
      <c r="E276" s="2">
        <f>IFERROR(__xludf.DUMMYFUNCTION("SPLIT(B276,""/"")"),26.0)</f>
        <v>26</v>
      </c>
      <c r="F276" s="2">
        <f>IFERROR(__xludf.DUMMYFUNCTION("""COMPUTED_VALUE"""),9.0)</f>
        <v>9</v>
      </c>
      <c r="G276" s="2">
        <f>IFERROR(__xludf.DUMMYFUNCTION("""COMPUTED_VALUE"""),2024.0)</f>
        <v>2024</v>
      </c>
      <c r="H276" s="2" t="str">
        <f t="shared" si="2"/>
        <v>2024/9/26</v>
      </c>
      <c r="I276" s="2" t="s">
        <v>1596</v>
      </c>
      <c r="J276" s="2" t="str">
        <f t="shared" si="3"/>
        <v>Roti Cranberry</v>
      </c>
      <c r="K276" s="7">
        <f>if(RIGHT(I276,5)="2 pcs",2,Data!I276)</f>
        <v>2</v>
      </c>
      <c r="L276" s="2" t="str">
        <f t="shared" si="4"/>
        <v>Thursday</v>
      </c>
      <c r="M276" s="2" t="str">
        <f t="shared" si="5"/>
        <v>26</v>
      </c>
      <c r="N276" s="2">
        <f>VLOOKUP(L276,'Data Info'!$A$1:$B$8,2,0)</f>
        <v>4</v>
      </c>
      <c r="O276" s="2" t="str">
        <f>VLOOKUP(L276,'Data Info'!$A$1:$C$8,3,0)</f>
        <v>Weekday</v>
      </c>
    </row>
    <row r="277">
      <c r="A277" s="4">
        <v>45560.88055555556</v>
      </c>
      <c r="B277" s="9">
        <f>IFERROR(__xludf.DUMMYFUNCTION("SPLIT(A277,"" "")"),45560.0)</f>
        <v>45560</v>
      </c>
      <c r="C277" s="10">
        <f>IFERROR(__xludf.DUMMYFUNCTION("""COMPUTED_VALUE"""),0.8805555555555555)</f>
        <v>0.8805555556</v>
      </c>
      <c r="D277" s="2">
        <f t="shared" si="1"/>
        <v>21</v>
      </c>
      <c r="E277" s="2">
        <f>IFERROR(__xludf.DUMMYFUNCTION("SPLIT(B277,""/"")"),25.0)</f>
        <v>25</v>
      </c>
      <c r="F277" s="2">
        <f>IFERROR(__xludf.DUMMYFUNCTION("""COMPUTED_VALUE"""),9.0)</f>
        <v>9</v>
      </c>
      <c r="G277" s="2">
        <f>IFERROR(__xludf.DUMMYFUNCTION("""COMPUTED_VALUE"""),2024.0)</f>
        <v>2024</v>
      </c>
      <c r="H277" s="2" t="str">
        <f t="shared" si="2"/>
        <v>2024/9/25</v>
      </c>
      <c r="I277" s="2" t="s">
        <v>1576</v>
      </c>
      <c r="J277" s="2" t="str">
        <f t="shared" si="3"/>
        <v>Roti Cranberry</v>
      </c>
      <c r="K277" s="7">
        <f>if(RIGHT(I277,5)="2 pcs",2,Data!I277)</f>
        <v>1</v>
      </c>
      <c r="L277" s="2" t="str">
        <f t="shared" si="4"/>
        <v>Wednesday</v>
      </c>
      <c r="M277" s="2" t="str">
        <f t="shared" si="5"/>
        <v>25</v>
      </c>
      <c r="N277" s="2">
        <f>VLOOKUP(L277,'Data Info'!$A$1:$B$8,2,0)</f>
        <v>3</v>
      </c>
      <c r="O277" s="2" t="str">
        <f>VLOOKUP(L277,'Data Info'!$A$1:$C$8,3,0)</f>
        <v>Weekday</v>
      </c>
    </row>
    <row r="278">
      <c r="A278" s="4">
        <v>45560.81736111111</v>
      </c>
      <c r="B278" s="9">
        <f>IFERROR(__xludf.DUMMYFUNCTION("SPLIT(A278,"" "")"),45560.0)</f>
        <v>45560</v>
      </c>
      <c r="C278" s="10">
        <f>IFERROR(__xludf.DUMMYFUNCTION("""COMPUTED_VALUE"""),0.8173611111111111)</f>
        <v>0.8173611111</v>
      </c>
      <c r="D278" s="2">
        <f t="shared" si="1"/>
        <v>19</v>
      </c>
      <c r="E278" s="2">
        <f>IFERROR(__xludf.DUMMYFUNCTION("SPLIT(B278,""/"")"),25.0)</f>
        <v>25</v>
      </c>
      <c r="F278" s="2">
        <f>IFERROR(__xludf.DUMMYFUNCTION("""COMPUTED_VALUE"""),9.0)</f>
        <v>9</v>
      </c>
      <c r="G278" s="2">
        <f>IFERROR(__xludf.DUMMYFUNCTION("""COMPUTED_VALUE"""),2024.0)</f>
        <v>2024</v>
      </c>
      <c r="H278" s="2" t="str">
        <f t="shared" si="2"/>
        <v>2024/9/25</v>
      </c>
      <c r="I278" s="2" t="s">
        <v>1577</v>
      </c>
      <c r="J278" s="2" t="str">
        <f t="shared" si="3"/>
        <v>Rempah Madu Panas</v>
      </c>
      <c r="K278" s="7">
        <f>if(RIGHT(I278,5)="2 pcs",2,Data!I278)</f>
        <v>1</v>
      </c>
      <c r="L278" s="2" t="str">
        <f t="shared" si="4"/>
        <v>Wednesday</v>
      </c>
      <c r="M278" s="2" t="str">
        <f t="shared" si="5"/>
        <v>25</v>
      </c>
      <c r="N278" s="2">
        <f>VLOOKUP(L278,'Data Info'!$A$1:$B$8,2,0)</f>
        <v>3</v>
      </c>
      <c r="O278" s="2" t="str">
        <f>VLOOKUP(L278,'Data Info'!$A$1:$C$8,3,0)</f>
        <v>Weekday</v>
      </c>
    </row>
    <row r="279">
      <c r="A279" s="4">
        <v>45560.81736111111</v>
      </c>
      <c r="B279" s="9">
        <f>IFERROR(__xludf.DUMMYFUNCTION("SPLIT(A279,"" "")"),45560.0)</f>
        <v>45560</v>
      </c>
      <c r="C279" s="10">
        <f>IFERROR(__xludf.DUMMYFUNCTION("""COMPUTED_VALUE"""),0.8173611111111111)</f>
        <v>0.8173611111</v>
      </c>
      <c r="D279" s="2">
        <f t="shared" si="1"/>
        <v>19</v>
      </c>
      <c r="E279" s="2">
        <f>IFERROR(__xludf.DUMMYFUNCTION("SPLIT(B279,""/"")"),25.0)</f>
        <v>25</v>
      </c>
      <c r="F279" s="2">
        <f>IFERROR(__xludf.DUMMYFUNCTION("""COMPUTED_VALUE"""),9.0)</f>
        <v>9</v>
      </c>
      <c r="G279" s="2">
        <f>IFERROR(__xludf.DUMMYFUNCTION("""COMPUTED_VALUE"""),2024.0)</f>
        <v>2024</v>
      </c>
      <c r="H279" s="2" t="str">
        <f t="shared" si="2"/>
        <v>2024/9/25</v>
      </c>
      <c r="I279" s="2" t="s">
        <v>1593</v>
      </c>
      <c r="J279" s="2" t="str">
        <f t="shared" si="3"/>
        <v>Wedang laut</v>
      </c>
      <c r="K279" s="7">
        <f>if(RIGHT(I279,5)="2 pcs",2,Data!I279)</f>
        <v>1</v>
      </c>
      <c r="L279" s="2" t="str">
        <f t="shared" si="4"/>
        <v>Wednesday</v>
      </c>
      <c r="M279" s="2" t="str">
        <f t="shared" si="5"/>
        <v>25</v>
      </c>
      <c r="N279" s="2">
        <f>VLOOKUP(L279,'Data Info'!$A$1:$B$8,2,0)</f>
        <v>3</v>
      </c>
      <c r="O279" s="2" t="str">
        <f>VLOOKUP(L279,'Data Info'!$A$1:$C$8,3,0)</f>
        <v>Weekday</v>
      </c>
    </row>
    <row r="280">
      <c r="A280" s="4">
        <v>45560.78194444445</v>
      </c>
      <c r="B280" s="9">
        <f>IFERROR(__xludf.DUMMYFUNCTION("SPLIT(A280,"" "")"),45560.0)</f>
        <v>45560</v>
      </c>
      <c r="C280" s="10">
        <f>IFERROR(__xludf.DUMMYFUNCTION("""COMPUTED_VALUE"""),0.7819444444444444)</f>
        <v>0.7819444444</v>
      </c>
      <c r="D280" s="2">
        <f t="shared" si="1"/>
        <v>18</v>
      </c>
      <c r="E280" s="2">
        <f>IFERROR(__xludf.DUMMYFUNCTION("SPLIT(B280,""/"")"),25.0)</f>
        <v>25</v>
      </c>
      <c r="F280" s="2">
        <f>IFERROR(__xludf.DUMMYFUNCTION("""COMPUTED_VALUE"""),9.0)</f>
        <v>9</v>
      </c>
      <c r="G280" s="2">
        <f>IFERROR(__xludf.DUMMYFUNCTION("""COMPUTED_VALUE"""),2024.0)</f>
        <v>2024</v>
      </c>
      <c r="H280" s="2" t="str">
        <f t="shared" si="2"/>
        <v>2024/9/25</v>
      </c>
      <c r="I280" s="2" t="s">
        <v>1566</v>
      </c>
      <c r="J280" s="2" t="str">
        <f t="shared" si="3"/>
        <v>Roti Bawang Saus Keju</v>
      </c>
      <c r="K280" s="7">
        <f>if(RIGHT(I280,5)="2 pcs",2,Data!I280)</f>
        <v>1</v>
      </c>
      <c r="L280" s="2" t="str">
        <f t="shared" si="4"/>
        <v>Wednesday</v>
      </c>
      <c r="M280" s="2" t="str">
        <f t="shared" si="5"/>
        <v>25</v>
      </c>
      <c r="N280" s="2">
        <f>VLOOKUP(L280,'Data Info'!$A$1:$B$8,2,0)</f>
        <v>3</v>
      </c>
      <c r="O280" s="2" t="str">
        <f>VLOOKUP(L280,'Data Info'!$A$1:$C$8,3,0)</f>
        <v>Weekday</v>
      </c>
    </row>
    <row r="281">
      <c r="A281" s="4">
        <v>45560.78194444445</v>
      </c>
      <c r="B281" s="9">
        <f>IFERROR(__xludf.DUMMYFUNCTION("SPLIT(A281,"" "")"),45560.0)</f>
        <v>45560</v>
      </c>
      <c r="C281" s="10">
        <f>IFERROR(__xludf.DUMMYFUNCTION("""COMPUTED_VALUE"""),0.7819444444444444)</f>
        <v>0.7819444444</v>
      </c>
      <c r="D281" s="2">
        <f t="shared" si="1"/>
        <v>18</v>
      </c>
      <c r="E281" s="2">
        <f>IFERROR(__xludf.DUMMYFUNCTION("SPLIT(B281,""/"")"),25.0)</f>
        <v>25</v>
      </c>
      <c r="F281" s="2">
        <f>IFERROR(__xludf.DUMMYFUNCTION("""COMPUTED_VALUE"""),9.0)</f>
        <v>9</v>
      </c>
      <c r="G281" s="2">
        <f>IFERROR(__xludf.DUMMYFUNCTION("""COMPUTED_VALUE"""),2024.0)</f>
        <v>2024</v>
      </c>
      <c r="H281" s="2" t="str">
        <f t="shared" si="2"/>
        <v>2024/9/25</v>
      </c>
      <c r="I281" s="2" t="s">
        <v>1589</v>
      </c>
      <c r="J281" s="2" t="str">
        <f t="shared" si="3"/>
        <v>Teh Manis Dingin</v>
      </c>
      <c r="K281" s="7">
        <f>if(RIGHT(I281,5)="2 pcs",2,Data!I281)</f>
        <v>1</v>
      </c>
      <c r="L281" s="2" t="str">
        <f t="shared" si="4"/>
        <v>Wednesday</v>
      </c>
      <c r="M281" s="2" t="str">
        <f t="shared" si="5"/>
        <v>25</v>
      </c>
      <c r="N281" s="2">
        <f>VLOOKUP(L281,'Data Info'!$A$1:$B$8,2,0)</f>
        <v>3</v>
      </c>
      <c r="O281" s="2" t="str">
        <f>VLOOKUP(L281,'Data Info'!$A$1:$C$8,3,0)</f>
        <v>Weekday</v>
      </c>
    </row>
    <row r="282">
      <c r="A282" s="4">
        <v>45560.78194444445</v>
      </c>
      <c r="B282" s="9">
        <f>IFERROR(__xludf.DUMMYFUNCTION("SPLIT(A282,"" "")"),45560.0)</f>
        <v>45560</v>
      </c>
      <c r="C282" s="10">
        <f>IFERROR(__xludf.DUMMYFUNCTION("""COMPUTED_VALUE"""),0.7819444444444444)</f>
        <v>0.7819444444</v>
      </c>
      <c r="D282" s="2">
        <f t="shared" si="1"/>
        <v>18</v>
      </c>
      <c r="E282" s="2">
        <f>IFERROR(__xludf.DUMMYFUNCTION("SPLIT(B282,""/"")"),25.0)</f>
        <v>25</v>
      </c>
      <c r="F282" s="2">
        <f>IFERROR(__xludf.DUMMYFUNCTION("""COMPUTED_VALUE"""),9.0)</f>
        <v>9</v>
      </c>
      <c r="G282" s="2">
        <f>IFERROR(__xludf.DUMMYFUNCTION("""COMPUTED_VALUE"""),2024.0)</f>
        <v>2024</v>
      </c>
      <c r="H282" s="2" t="str">
        <f t="shared" si="2"/>
        <v>2024/9/25</v>
      </c>
      <c r="I282" s="2" t="s">
        <v>1604</v>
      </c>
      <c r="J282" s="2" t="str">
        <f t="shared" si="3"/>
        <v>Teh Tawar Panas</v>
      </c>
      <c r="K282" s="7">
        <f>if(RIGHT(I282,5)="2 pcs",2,Data!I282)</f>
        <v>1</v>
      </c>
      <c r="L282" s="2" t="str">
        <f t="shared" si="4"/>
        <v>Wednesday</v>
      </c>
      <c r="M282" s="2" t="str">
        <f t="shared" si="5"/>
        <v>25</v>
      </c>
      <c r="N282" s="2">
        <f>VLOOKUP(L282,'Data Info'!$A$1:$B$8,2,0)</f>
        <v>3</v>
      </c>
      <c r="O282" s="2" t="str">
        <f>VLOOKUP(L282,'Data Info'!$A$1:$C$8,3,0)</f>
        <v>Weekday</v>
      </c>
    </row>
    <row r="283">
      <c r="A283" s="4">
        <v>45560.78194444445</v>
      </c>
      <c r="B283" s="9">
        <f>IFERROR(__xludf.DUMMYFUNCTION("SPLIT(A283,"" "")"),45560.0)</f>
        <v>45560</v>
      </c>
      <c r="C283" s="10">
        <f>IFERROR(__xludf.DUMMYFUNCTION("""COMPUTED_VALUE"""),0.7819444444444444)</f>
        <v>0.7819444444</v>
      </c>
      <c r="D283" s="2">
        <f t="shared" si="1"/>
        <v>18</v>
      </c>
      <c r="E283" s="2">
        <f>IFERROR(__xludf.DUMMYFUNCTION("SPLIT(B283,""/"")"),25.0)</f>
        <v>25</v>
      </c>
      <c r="F283" s="2">
        <f>IFERROR(__xludf.DUMMYFUNCTION("""COMPUTED_VALUE"""),9.0)</f>
        <v>9</v>
      </c>
      <c r="G283" s="2">
        <f>IFERROR(__xludf.DUMMYFUNCTION("""COMPUTED_VALUE"""),2024.0)</f>
        <v>2024</v>
      </c>
      <c r="H283" s="2" t="str">
        <f t="shared" si="2"/>
        <v>2024/9/25</v>
      </c>
      <c r="I283" s="2" t="s">
        <v>1590</v>
      </c>
      <c r="J283" s="2" t="str">
        <f t="shared" si="3"/>
        <v>Lemon Tea Panas</v>
      </c>
      <c r="K283" s="7">
        <f>if(RIGHT(I283,5)="2 pcs",2,Data!I283)</f>
        <v>2</v>
      </c>
      <c r="L283" s="2" t="str">
        <f t="shared" si="4"/>
        <v>Wednesday</v>
      </c>
      <c r="M283" s="2" t="str">
        <f t="shared" si="5"/>
        <v>25</v>
      </c>
      <c r="N283" s="2">
        <f>VLOOKUP(L283,'Data Info'!$A$1:$B$8,2,0)</f>
        <v>3</v>
      </c>
      <c r="O283" s="2" t="str">
        <f>VLOOKUP(L283,'Data Info'!$A$1:$C$8,3,0)</f>
        <v>Weekday</v>
      </c>
    </row>
    <row r="284">
      <c r="A284" s="4">
        <v>45560.78194444445</v>
      </c>
      <c r="B284" s="9">
        <f>IFERROR(__xludf.DUMMYFUNCTION("SPLIT(A284,"" "")"),45560.0)</f>
        <v>45560</v>
      </c>
      <c r="C284" s="10">
        <f>IFERROR(__xludf.DUMMYFUNCTION("""COMPUTED_VALUE"""),0.7819444444444444)</f>
        <v>0.7819444444</v>
      </c>
      <c r="D284" s="2">
        <f t="shared" si="1"/>
        <v>18</v>
      </c>
      <c r="E284" s="2">
        <f>IFERROR(__xludf.DUMMYFUNCTION("SPLIT(B284,""/"")"),25.0)</f>
        <v>25</v>
      </c>
      <c r="F284" s="2">
        <f>IFERROR(__xludf.DUMMYFUNCTION("""COMPUTED_VALUE"""),9.0)</f>
        <v>9</v>
      </c>
      <c r="G284" s="2">
        <f>IFERROR(__xludf.DUMMYFUNCTION("""COMPUTED_VALUE"""),2024.0)</f>
        <v>2024</v>
      </c>
      <c r="H284" s="2" t="str">
        <f t="shared" si="2"/>
        <v>2024/9/25</v>
      </c>
      <c r="I284" s="2" t="s">
        <v>1577</v>
      </c>
      <c r="J284" s="2" t="str">
        <f t="shared" si="3"/>
        <v>Rempah Madu Panas</v>
      </c>
      <c r="K284" s="7">
        <f>if(RIGHT(I284,5)="2 pcs",2,Data!I284)</f>
        <v>1</v>
      </c>
      <c r="L284" s="2" t="str">
        <f t="shared" si="4"/>
        <v>Wednesday</v>
      </c>
      <c r="M284" s="2" t="str">
        <f t="shared" si="5"/>
        <v>25</v>
      </c>
      <c r="N284" s="2">
        <f>VLOOKUP(L284,'Data Info'!$A$1:$B$8,2,0)</f>
        <v>3</v>
      </c>
      <c r="O284" s="2" t="str">
        <f>VLOOKUP(L284,'Data Info'!$A$1:$C$8,3,0)</f>
        <v>Weekday</v>
      </c>
    </row>
    <row r="285">
      <c r="A285" s="4">
        <v>45560.78194444445</v>
      </c>
      <c r="B285" s="9">
        <f>IFERROR(__xludf.DUMMYFUNCTION("SPLIT(A285,"" "")"),45560.0)</f>
        <v>45560</v>
      </c>
      <c r="C285" s="10">
        <f>IFERROR(__xludf.DUMMYFUNCTION("""COMPUTED_VALUE"""),0.7819444444444444)</f>
        <v>0.7819444444</v>
      </c>
      <c r="D285" s="2">
        <f t="shared" si="1"/>
        <v>18</v>
      </c>
      <c r="E285" s="2">
        <f>IFERROR(__xludf.DUMMYFUNCTION("SPLIT(B285,""/"")"),25.0)</f>
        <v>25</v>
      </c>
      <c r="F285" s="2">
        <f>IFERROR(__xludf.DUMMYFUNCTION("""COMPUTED_VALUE"""),9.0)</f>
        <v>9</v>
      </c>
      <c r="G285" s="2">
        <f>IFERROR(__xludf.DUMMYFUNCTION("""COMPUTED_VALUE"""),2024.0)</f>
        <v>2024</v>
      </c>
      <c r="H285" s="2" t="str">
        <f t="shared" si="2"/>
        <v>2024/9/25</v>
      </c>
      <c r="I285" s="2" t="s">
        <v>1606</v>
      </c>
      <c r="J285" s="2" t="str">
        <f t="shared" si="3"/>
        <v>Pisang Goreng</v>
      </c>
      <c r="K285" s="7">
        <f>if(RIGHT(I285,5)="2 pcs",2,Data!I285)</f>
        <v>1</v>
      </c>
      <c r="L285" s="2" t="str">
        <f t="shared" si="4"/>
        <v>Wednesday</v>
      </c>
      <c r="M285" s="2" t="str">
        <f t="shared" si="5"/>
        <v>25</v>
      </c>
      <c r="N285" s="2">
        <f>VLOOKUP(L285,'Data Info'!$A$1:$B$8,2,0)</f>
        <v>3</v>
      </c>
      <c r="O285" s="2" t="str">
        <f>VLOOKUP(L285,'Data Info'!$A$1:$C$8,3,0)</f>
        <v>Weekday</v>
      </c>
    </row>
    <row r="286">
      <c r="A286" s="4">
        <v>45560.78194444445</v>
      </c>
      <c r="B286" s="9">
        <f>IFERROR(__xludf.DUMMYFUNCTION("SPLIT(A286,"" "")"),45560.0)</f>
        <v>45560</v>
      </c>
      <c r="C286" s="10">
        <f>IFERROR(__xludf.DUMMYFUNCTION("""COMPUTED_VALUE"""),0.7819444444444444)</f>
        <v>0.7819444444</v>
      </c>
      <c r="D286" s="2">
        <f t="shared" si="1"/>
        <v>18</v>
      </c>
      <c r="E286" s="2">
        <f>IFERROR(__xludf.DUMMYFUNCTION("SPLIT(B286,""/"")"),25.0)</f>
        <v>25</v>
      </c>
      <c r="F286" s="2">
        <f>IFERROR(__xludf.DUMMYFUNCTION("""COMPUTED_VALUE"""),9.0)</f>
        <v>9</v>
      </c>
      <c r="G286" s="2">
        <f>IFERROR(__xludf.DUMMYFUNCTION("""COMPUTED_VALUE"""),2024.0)</f>
        <v>2024</v>
      </c>
      <c r="H286" s="2" t="str">
        <f t="shared" si="2"/>
        <v>2024/9/25</v>
      </c>
      <c r="I286" s="2" t="s">
        <v>1607</v>
      </c>
      <c r="J286" s="2" t="str">
        <f t="shared" si="3"/>
        <v>Tahu walik</v>
      </c>
      <c r="K286" s="7">
        <f>if(RIGHT(I286,5)="2 pcs",2,Data!I286)</f>
        <v>1</v>
      </c>
      <c r="L286" s="2" t="str">
        <f t="shared" si="4"/>
        <v>Wednesday</v>
      </c>
      <c r="M286" s="2" t="str">
        <f t="shared" si="5"/>
        <v>25</v>
      </c>
      <c r="N286" s="2">
        <f>VLOOKUP(L286,'Data Info'!$A$1:$B$8,2,0)</f>
        <v>3</v>
      </c>
      <c r="O286" s="2" t="str">
        <f>VLOOKUP(L286,'Data Info'!$A$1:$C$8,3,0)</f>
        <v>Weekday</v>
      </c>
    </row>
    <row r="287">
      <c r="A287" s="4">
        <v>45560.78194444445</v>
      </c>
      <c r="B287" s="9">
        <f>IFERROR(__xludf.DUMMYFUNCTION("SPLIT(A287,"" "")"),45560.0)</f>
        <v>45560</v>
      </c>
      <c r="C287" s="10">
        <f>IFERROR(__xludf.DUMMYFUNCTION("""COMPUTED_VALUE"""),0.7819444444444444)</f>
        <v>0.7819444444</v>
      </c>
      <c r="D287" s="2">
        <f t="shared" si="1"/>
        <v>18</v>
      </c>
      <c r="E287" s="2">
        <f>IFERROR(__xludf.DUMMYFUNCTION("SPLIT(B287,""/"")"),25.0)</f>
        <v>25</v>
      </c>
      <c r="F287" s="2">
        <f>IFERROR(__xludf.DUMMYFUNCTION("""COMPUTED_VALUE"""),9.0)</f>
        <v>9</v>
      </c>
      <c r="G287" s="2">
        <f>IFERROR(__xludf.DUMMYFUNCTION("""COMPUTED_VALUE"""),2024.0)</f>
        <v>2024</v>
      </c>
      <c r="H287" s="2" t="str">
        <f t="shared" si="2"/>
        <v>2024/9/25</v>
      </c>
      <c r="I287" s="2" t="s">
        <v>1573</v>
      </c>
      <c r="J287" s="2" t="str">
        <f t="shared" si="3"/>
        <v>Air mineral</v>
      </c>
      <c r="K287" s="7">
        <f>if(RIGHT(I287,5)="2 pcs",2,Data!I287)</f>
        <v>1</v>
      </c>
      <c r="L287" s="2" t="str">
        <f t="shared" si="4"/>
        <v>Wednesday</v>
      </c>
      <c r="M287" s="2" t="str">
        <f t="shared" si="5"/>
        <v>25</v>
      </c>
      <c r="N287" s="2">
        <f>VLOOKUP(L287,'Data Info'!$A$1:$B$8,2,0)</f>
        <v>3</v>
      </c>
      <c r="O287" s="2" t="str">
        <f>VLOOKUP(L287,'Data Info'!$A$1:$C$8,3,0)</f>
        <v>Weekday</v>
      </c>
    </row>
    <row r="288">
      <c r="A288" s="4">
        <v>45560.78194444445</v>
      </c>
      <c r="B288" s="9">
        <f>IFERROR(__xludf.DUMMYFUNCTION("SPLIT(A288,"" "")"),45560.0)</f>
        <v>45560</v>
      </c>
      <c r="C288" s="10">
        <f>IFERROR(__xludf.DUMMYFUNCTION("""COMPUTED_VALUE"""),0.7819444444444444)</f>
        <v>0.7819444444</v>
      </c>
      <c r="D288" s="2">
        <f t="shared" si="1"/>
        <v>18</v>
      </c>
      <c r="E288" s="2">
        <f>IFERROR(__xludf.DUMMYFUNCTION("SPLIT(B288,""/"")"),25.0)</f>
        <v>25</v>
      </c>
      <c r="F288" s="2">
        <f>IFERROR(__xludf.DUMMYFUNCTION("""COMPUTED_VALUE"""),9.0)</f>
        <v>9</v>
      </c>
      <c r="G288" s="2">
        <f>IFERROR(__xludf.DUMMYFUNCTION("""COMPUTED_VALUE"""),2024.0)</f>
        <v>2024</v>
      </c>
      <c r="H288" s="2" t="str">
        <f t="shared" si="2"/>
        <v>2024/9/25</v>
      </c>
      <c r="I288" s="2" t="s">
        <v>1609</v>
      </c>
      <c r="J288" s="2" t="str">
        <f t="shared" si="3"/>
        <v>Tempe Mendoan</v>
      </c>
      <c r="K288" s="7">
        <f>if(RIGHT(I288,5)="2 pcs",2,Data!I288)</f>
        <v>1</v>
      </c>
      <c r="L288" s="2" t="str">
        <f t="shared" si="4"/>
        <v>Wednesday</v>
      </c>
      <c r="M288" s="2" t="str">
        <f t="shared" si="5"/>
        <v>25</v>
      </c>
      <c r="N288" s="2">
        <f>VLOOKUP(L288,'Data Info'!$A$1:$B$8,2,0)</f>
        <v>3</v>
      </c>
      <c r="O288" s="2" t="str">
        <f>VLOOKUP(L288,'Data Info'!$A$1:$C$8,3,0)</f>
        <v>Weekday</v>
      </c>
    </row>
    <row r="289">
      <c r="A289" s="4">
        <v>45560.78194444445</v>
      </c>
      <c r="B289" s="9">
        <f>IFERROR(__xludf.DUMMYFUNCTION("SPLIT(A289,"" "")"),45560.0)</f>
        <v>45560</v>
      </c>
      <c r="C289" s="10">
        <f>IFERROR(__xludf.DUMMYFUNCTION("""COMPUTED_VALUE"""),0.7819444444444444)</f>
        <v>0.7819444444</v>
      </c>
      <c r="D289" s="2">
        <f t="shared" si="1"/>
        <v>18</v>
      </c>
      <c r="E289" s="2">
        <f>IFERROR(__xludf.DUMMYFUNCTION("SPLIT(B289,""/"")"),25.0)</f>
        <v>25</v>
      </c>
      <c r="F289" s="2">
        <f>IFERROR(__xludf.DUMMYFUNCTION("""COMPUTED_VALUE"""),9.0)</f>
        <v>9</v>
      </c>
      <c r="G289" s="2">
        <f>IFERROR(__xludf.DUMMYFUNCTION("""COMPUTED_VALUE"""),2024.0)</f>
        <v>2024</v>
      </c>
      <c r="H289" s="2" t="str">
        <f t="shared" si="2"/>
        <v>2024/9/25</v>
      </c>
      <c r="I289" s="2" t="s">
        <v>1622</v>
      </c>
      <c r="J289" s="2" t="str">
        <f t="shared" si="3"/>
        <v>Roti panggang strawberry</v>
      </c>
      <c r="K289" s="7">
        <f>if(RIGHT(I289,5)="2 pcs",2,Data!I289)</f>
        <v>1</v>
      </c>
      <c r="L289" s="2" t="str">
        <f t="shared" si="4"/>
        <v>Wednesday</v>
      </c>
      <c r="M289" s="2" t="str">
        <f t="shared" si="5"/>
        <v>25</v>
      </c>
      <c r="N289" s="2">
        <f>VLOOKUP(L289,'Data Info'!$A$1:$B$8,2,0)</f>
        <v>3</v>
      </c>
      <c r="O289" s="2" t="str">
        <f>VLOOKUP(L289,'Data Info'!$A$1:$C$8,3,0)</f>
        <v>Weekday</v>
      </c>
    </row>
    <row r="290">
      <c r="A290" s="4">
        <v>45559.865277777775</v>
      </c>
      <c r="B290" s="9">
        <f>IFERROR(__xludf.DUMMYFUNCTION("SPLIT(A290,"" "")"),45559.0)</f>
        <v>45559</v>
      </c>
      <c r="C290" s="10">
        <f>IFERROR(__xludf.DUMMYFUNCTION("""COMPUTED_VALUE"""),0.8652777777777778)</f>
        <v>0.8652777778</v>
      </c>
      <c r="D290" s="2">
        <f t="shared" si="1"/>
        <v>20</v>
      </c>
      <c r="E290" s="2">
        <f>IFERROR(__xludf.DUMMYFUNCTION("SPLIT(B290,""/"")"),24.0)</f>
        <v>24</v>
      </c>
      <c r="F290" s="2">
        <f>IFERROR(__xludf.DUMMYFUNCTION("""COMPUTED_VALUE"""),9.0)</f>
        <v>9</v>
      </c>
      <c r="G290" s="2">
        <f>IFERROR(__xludf.DUMMYFUNCTION("""COMPUTED_VALUE"""),2024.0)</f>
        <v>2024</v>
      </c>
      <c r="H290" s="2" t="str">
        <f t="shared" si="2"/>
        <v>2024/9/24</v>
      </c>
      <c r="I290" s="2" t="s">
        <v>1616</v>
      </c>
      <c r="J290" s="2" t="str">
        <f t="shared" si="3"/>
        <v>Roti panggang coklat</v>
      </c>
      <c r="K290" s="7">
        <f>if(RIGHT(I290,5)="2 pcs",2,Data!I290)</f>
        <v>1</v>
      </c>
      <c r="L290" s="2" t="str">
        <f t="shared" si="4"/>
        <v>Tuesday</v>
      </c>
      <c r="M290" s="2" t="str">
        <f t="shared" si="5"/>
        <v>24</v>
      </c>
      <c r="N290" s="2">
        <f>VLOOKUP(L290,'Data Info'!$A$1:$B$8,2,0)</f>
        <v>2</v>
      </c>
      <c r="O290" s="2" t="str">
        <f>VLOOKUP(L290,'Data Info'!$A$1:$C$8,3,0)</f>
        <v>Weekday</v>
      </c>
    </row>
    <row r="291">
      <c r="A291" s="4">
        <v>45559.85763888889</v>
      </c>
      <c r="B291" s="9">
        <f>IFERROR(__xludf.DUMMYFUNCTION("SPLIT(A291,"" "")"),45559.0)</f>
        <v>45559</v>
      </c>
      <c r="C291" s="10">
        <f>IFERROR(__xludf.DUMMYFUNCTION("""COMPUTED_VALUE"""),0.8576388888888888)</f>
        <v>0.8576388889</v>
      </c>
      <c r="D291" s="2">
        <f t="shared" si="1"/>
        <v>20</v>
      </c>
      <c r="E291" s="2">
        <f>IFERROR(__xludf.DUMMYFUNCTION("SPLIT(B291,""/"")"),24.0)</f>
        <v>24</v>
      </c>
      <c r="F291" s="2">
        <f>IFERROR(__xludf.DUMMYFUNCTION("""COMPUTED_VALUE"""),9.0)</f>
        <v>9</v>
      </c>
      <c r="G291" s="2">
        <f>IFERROR(__xludf.DUMMYFUNCTION("""COMPUTED_VALUE"""),2024.0)</f>
        <v>2024</v>
      </c>
      <c r="H291" s="2" t="str">
        <f t="shared" si="2"/>
        <v>2024/9/24</v>
      </c>
      <c r="I291" s="2" t="s">
        <v>1615</v>
      </c>
      <c r="J291" s="2" t="str">
        <f t="shared" si="3"/>
        <v>Roti panggang sarikaya</v>
      </c>
      <c r="K291" s="7">
        <f>if(RIGHT(I291,5)="2 pcs",2,Data!I291)</f>
        <v>1</v>
      </c>
      <c r="L291" s="2" t="str">
        <f t="shared" si="4"/>
        <v>Tuesday</v>
      </c>
      <c r="M291" s="2" t="str">
        <f t="shared" si="5"/>
        <v>24</v>
      </c>
      <c r="N291" s="2">
        <f>VLOOKUP(L291,'Data Info'!$A$1:$B$8,2,0)</f>
        <v>2</v>
      </c>
      <c r="O291" s="2" t="str">
        <f>VLOOKUP(L291,'Data Info'!$A$1:$C$8,3,0)</f>
        <v>Weekday</v>
      </c>
    </row>
    <row r="292">
      <c r="A292" s="4">
        <v>45559.85138888889</v>
      </c>
      <c r="B292" s="9">
        <f>IFERROR(__xludf.DUMMYFUNCTION("SPLIT(A292,"" "")"),45559.0)</f>
        <v>45559</v>
      </c>
      <c r="C292" s="10">
        <f>IFERROR(__xludf.DUMMYFUNCTION("""COMPUTED_VALUE"""),0.8513888888888889)</f>
        <v>0.8513888889</v>
      </c>
      <c r="D292" s="2">
        <f t="shared" si="1"/>
        <v>20</v>
      </c>
      <c r="E292" s="2">
        <f>IFERROR(__xludf.DUMMYFUNCTION("SPLIT(B292,""/"")"),24.0)</f>
        <v>24</v>
      </c>
      <c r="F292" s="2">
        <f>IFERROR(__xludf.DUMMYFUNCTION("""COMPUTED_VALUE"""),9.0)</f>
        <v>9</v>
      </c>
      <c r="G292" s="2">
        <f>IFERROR(__xludf.DUMMYFUNCTION("""COMPUTED_VALUE"""),2024.0)</f>
        <v>2024</v>
      </c>
      <c r="H292" s="2" t="str">
        <f t="shared" si="2"/>
        <v>2024/9/24</v>
      </c>
      <c r="I292" s="2" t="s">
        <v>1596</v>
      </c>
      <c r="J292" s="2" t="str">
        <f t="shared" si="3"/>
        <v>Roti Cranberry</v>
      </c>
      <c r="K292" s="7">
        <f>if(RIGHT(I292,5)="2 pcs",2,Data!I292)</f>
        <v>2</v>
      </c>
      <c r="L292" s="2" t="str">
        <f t="shared" si="4"/>
        <v>Tuesday</v>
      </c>
      <c r="M292" s="2" t="str">
        <f t="shared" si="5"/>
        <v>24</v>
      </c>
      <c r="N292" s="2">
        <f>VLOOKUP(L292,'Data Info'!$A$1:$B$8,2,0)</f>
        <v>2</v>
      </c>
      <c r="O292" s="2" t="str">
        <f>VLOOKUP(L292,'Data Info'!$A$1:$C$8,3,0)</f>
        <v>Weekday</v>
      </c>
    </row>
    <row r="293">
      <c r="A293" s="4">
        <v>45559.82361111111</v>
      </c>
      <c r="B293" s="9">
        <f>IFERROR(__xludf.DUMMYFUNCTION("SPLIT(A293,"" "")"),45559.0)</f>
        <v>45559</v>
      </c>
      <c r="C293" s="10">
        <f>IFERROR(__xludf.DUMMYFUNCTION("""COMPUTED_VALUE"""),0.8236111111111111)</f>
        <v>0.8236111111</v>
      </c>
      <c r="D293" s="2">
        <f t="shared" si="1"/>
        <v>19</v>
      </c>
      <c r="E293" s="2">
        <f>IFERROR(__xludf.DUMMYFUNCTION("SPLIT(B293,""/"")"),24.0)</f>
        <v>24</v>
      </c>
      <c r="F293" s="2">
        <f>IFERROR(__xludf.DUMMYFUNCTION("""COMPUTED_VALUE"""),9.0)</f>
        <v>9</v>
      </c>
      <c r="G293" s="2">
        <f>IFERROR(__xludf.DUMMYFUNCTION("""COMPUTED_VALUE"""),2024.0)</f>
        <v>2024</v>
      </c>
      <c r="H293" s="2" t="str">
        <f t="shared" si="2"/>
        <v>2024/9/24</v>
      </c>
      <c r="I293" s="2" t="s">
        <v>1601</v>
      </c>
      <c r="J293" s="2" t="str">
        <f t="shared" si="3"/>
        <v>Gula Asam Dingin</v>
      </c>
      <c r="K293" s="7">
        <f>if(RIGHT(I293,5)="2 pcs",2,Data!I293)</f>
        <v>1</v>
      </c>
      <c r="L293" s="2" t="str">
        <f t="shared" si="4"/>
        <v>Tuesday</v>
      </c>
      <c r="M293" s="2" t="str">
        <f t="shared" si="5"/>
        <v>24</v>
      </c>
      <c r="N293" s="2">
        <f>VLOOKUP(L293,'Data Info'!$A$1:$B$8,2,0)</f>
        <v>2</v>
      </c>
      <c r="O293" s="2" t="str">
        <f>VLOOKUP(L293,'Data Info'!$A$1:$C$8,3,0)</f>
        <v>Weekday</v>
      </c>
    </row>
    <row r="294">
      <c r="A294" s="4">
        <v>45559.82361111111</v>
      </c>
      <c r="B294" s="9">
        <f>IFERROR(__xludf.DUMMYFUNCTION("SPLIT(A294,"" "")"),45559.0)</f>
        <v>45559</v>
      </c>
      <c r="C294" s="10">
        <f>IFERROR(__xludf.DUMMYFUNCTION("""COMPUTED_VALUE"""),0.8236111111111111)</f>
        <v>0.8236111111</v>
      </c>
      <c r="D294" s="2">
        <f t="shared" si="1"/>
        <v>19</v>
      </c>
      <c r="E294" s="2">
        <f>IFERROR(__xludf.DUMMYFUNCTION("SPLIT(B294,""/"")"),24.0)</f>
        <v>24</v>
      </c>
      <c r="F294" s="2">
        <f>IFERROR(__xludf.DUMMYFUNCTION("""COMPUTED_VALUE"""),9.0)</f>
        <v>9</v>
      </c>
      <c r="G294" s="2">
        <f>IFERROR(__xludf.DUMMYFUNCTION("""COMPUTED_VALUE"""),2024.0)</f>
        <v>2024</v>
      </c>
      <c r="H294" s="2" t="str">
        <f t="shared" si="2"/>
        <v>2024/9/24</v>
      </c>
      <c r="I294" s="2" t="s">
        <v>1577</v>
      </c>
      <c r="J294" s="2" t="str">
        <f t="shared" si="3"/>
        <v>Rempah Madu Panas</v>
      </c>
      <c r="K294" s="7">
        <f>if(RIGHT(I294,5)="2 pcs",2,Data!I294)</f>
        <v>1</v>
      </c>
      <c r="L294" s="2" t="str">
        <f t="shared" si="4"/>
        <v>Tuesday</v>
      </c>
      <c r="M294" s="2" t="str">
        <f t="shared" si="5"/>
        <v>24</v>
      </c>
      <c r="N294" s="2">
        <f>VLOOKUP(L294,'Data Info'!$A$1:$B$8,2,0)</f>
        <v>2</v>
      </c>
      <c r="O294" s="2" t="str">
        <f>VLOOKUP(L294,'Data Info'!$A$1:$C$8,3,0)</f>
        <v>Weekday</v>
      </c>
    </row>
    <row r="295">
      <c r="A295" s="4">
        <v>45559.82361111111</v>
      </c>
      <c r="B295" s="9">
        <f>IFERROR(__xludf.DUMMYFUNCTION("SPLIT(A295,"" "")"),45559.0)</f>
        <v>45559</v>
      </c>
      <c r="C295" s="10">
        <f>IFERROR(__xludf.DUMMYFUNCTION("""COMPUTED_VALUE"""),0.8236111111111111)</f>
        <v>0.8236111111</v>
      </c>
      <c r="D295" s="2">
        <f t="shared" si="1"/>
        <v>19</v>
      </c>
      <c r="E295" s="2">
        <f>IFERROR(__xludf.DUMMYFUNCTION("SPLIT(B295,""/"")"),24.0)</f>
        <v>24</v>
      </c>
      <c r="F295" s="2">
        <f>IFERROR(__xludf.DUMMYFUNCTION("""COMPUTED_VALUE"""),9.0)</f>
        <v>9</v>
      </c>
      <c r="G295" s="2">
        <f>IFERROR(__xludf.DUMMYFUNCTION("""COMPUTED_VALUE"""),2024.0)</f>
        <v>2024</v>
      </c>
      <c r="H295" s="2" t="str">
        <f t="shared" si="2"/>
        <v>2024/9/24</v>
      </c>
      <c r="I295" s="2" t="s">
        <v>1623</v>
      </c>
      <c r="J295" s="2" t="str">
        <f t="shared" si="3"/>
        <v>Roti Tawar Susu</v>
      </c>
      <c r="K295" s="7">
        <f>if(RIGHT(I295,5)="2 pcs",2,Data!I295)</f>
        <v>1</v>
      </c>
      <c r="L295" s="2" t="str">
        <f t="shared" si="4"/>
        <v>Tuesday</v>
      </c>
      <c r="M295" s="2" t="str">
        <f t="shared" si="5"/>
        <v>24</v>
      </c>
      <c r="N295" s="2">
        <f>VLOOKUP(L295,'Data Info'!$A$1:$B$8,2,0)</f>
        <v>2</v>
      </c>
      <c r="O295" s="2" t="str">
        <f>VLOOKUP(L295,'Data Info'!$A$1:$C$8,3,0)</f>
        <v>Weekday</v>
      </c>
    </row>
    <row r="296">
      <c r="A296" s="4">
        <v>45559.82361111111</v>
      </c>
      <c r="B296" s="9">
        <f>IFERROR(__xludf.DUMMYFUNCTION("SPLIT(A296,"" "")"),45559.0)</f>
        <v>45559</v>
      </c>
      <c r="C296" s="10">
        <f>IFERROR(__xludf.DUMMYFUNCTION("""COMPUTED_VALUE"""),0.8236111111111111)</f>
        <v>0.8236111111</v>
      </c>
      <c r="D296" s="2">
        <f t="shared" si="1"/>
        <v>19</v>
      </c>
      <c r="E296" s="2">
        <f>IFERROR(__xludf.DUMMYFUNCTION("SPLIT(B296,""/"")"),24.0)</f>
        <v>24</v>
      </c>
      <c r="F296" s="2">
        <f>IFERROR(__xludf.DUMMYFUNCTION("""COMPUTED_VALUE"""),9.0)</f>
        <v>9</v>
      </c>
      <c r="G296" s="2">
        <f>IFERROR(__xludf.DUMMYFUNCTION("""COMPUTED_VALUE"""),2024.0)</f>
        <v>2024</v>
      </c>
      <c r="H296" s="2" t="str">
        <f t="shared" si="2"/>
        <v>2024/9/24</v>
      </c>
      <c r="I296" s="2" t="s">
        <v>1607</v>
      </c>
      <c r="J296" s="2" t="str">
        <f t="shared" si="3"/>
        <v>Tahu walik</v>
      </c>
      <c r="K296" s="7">
        <f>if(RIGHT(I296,5)="2 pcs",2,Data!I296)</f>
        <v>1</v>
      </c>
      <c r="L296" s="2" t="str">
        <f t="shared" si="4"/>
        <v>Tuesday</v>
      </c>
      <c r="M296" s="2" t="str">
        <f t="shared" si="5"/>
        <v>24</v>
      </c>
      <c r="N296" s="2">
        <f>VLOOKUP(L296,'Data Info'!$A$1:$B$8,2,0)</f>
        <v>2</v>
      </c>
      <c r="O296" s="2" t="str">
        <f>VLOOKUP(L296,'Data Info'!$A$1:$C$8,3,0)</f>
        <v>Weekday</v>
      </c>
    </row>
    <row r="297">
      <c r="A297" s="4">
        <v>45559.80069444444</v>
      </c>
      <c r="B297" s="9">
        <f>IFERROR(__xludf.DUMMYFUNCTION("SPLIT(A297,"" "")"),45559.0)</f>
        <v>45559</v>
      </c>
      <c r="C297" s="10">
        <f>IFERROR(__xludf.DUMMYFUNCTION("""COMPUTED_VALUE"""),0.8006944444444445)</f>
        <v>0.8006944444</v>
      </c>
      <c r="D297" s="2">
        <f t="shared" si="1"/>
        <v>19</v>
      </c>
      <c r="E297" s="2">
        <f>IFERROR(__xludf.DUMMYFUNCTION("SPLIT(B297,""/"")"),24.0)</f>
        <v>24</v>
      </c>
      <c r="F297" s="2">
        <f>IFERROR(__xludf.DUMMYFUNCTION("""COMPUTED_VALUE"""),9.0)</f>
        <v>9</v>
      </c>
      <c r="G297" s="2">
        <f>IFERROR(__xludf.DUMMYFUNCTION("""COMPUTED_VALUE"""),2024.0)</f>
        <v>2024</v>
      </c>
      <c r="H297" s="2" t="str">
        <f t="shared" si="2"/>
        <v>2024/9/24</v>
      </c>
      <c r="I297" s="2" t="s">
        <v>1583</v>
      </c>
      <c r="J297" s="2" t="str">
        <f t="shared" si="3"/>
        <v>Es Kopi Lemon</v>
      </c>
      <c r="K297" s="7">
        <f>if(RIGHT(I297,5)="2 pcs",2,Data!I297)</f>
        <v>1</v>
      </c>
      <c r="L297" s="2" t="str">
        <f t="shared" si="4"/>
        <v>Tuesday</v>
      </c>
      <c r="M297" s="2" t="str">
        <f t="shared" si="5"/>
        <v>24</v>
      </c>
      <c r="N297" s="2">
        <f>VLOOKUP(L297,'Data Info'!$A$1:$B$8,2,0)</f>
        <v>2</v>
      </c>
      <c r="O297" s="2" t="str">
        <f>VLOOKUP(L297,'Data Info'!$A$1:$C$8,3,0)</f>
        <v>Weekday</v>
      </c>
    </row>
    <row r="298">
      <c r="A298" s="4">
        <v>45559.80069444444</v>
      </c>
      <c r="B298" s="9">
        <f>IFERROR(__xludf.DUMMYFUNCTION("SPLIT(A298,"" "")"),45559.0)</f>
        <v>45559</v>
      </c>
      <c r="C298" s="10">
        <f>IFERROR(__xludf.DUMMYFUNCTION("""COMPUTED_VALUE"""),0.8006944444444445)</f>
        <v>0.8006944444</v>
      </c>
      <c r="D298" s="2">
        <f t="shared" si="1"/>
        <v>19</v>
      </c>
      <c r="E298" s="2">
        <f>IFERROR(__xludf.DUMMYFUNCTION("SPLIT(B298,""/"")"),24.0)</f>
        <v>24</v>
      </c>
      <c r="F298" s="2">
        <f>IFERROR(__xludf.DUMMYFUNCTION("""COMPUTED_VALUE"""),9.0)</f>
        <v>9</v>
      </c>
      <c r="G298" s="2">
        <f>IFERROR(__xludf.DUMMYFUNCTION("""COMPUTED_VALUE"""),2024.0)</f>
        <v>2024</v>
      </c>
      <c r="H298" s="2" t="str">
        <f t="shared" si="2"/>
        <v>2024/9/24</v>
      </c>
      <c r="I298" s="2" t="s">
        <v>1608</v>
      </c>
      <c r="J298" s="2" t="str">
        <f t="shared" si="3"/>
        <v>Susu murni strawberry</v>
      </c>
      <c r="K298" s="7">
        <f>if(RIGHT(I298,5)="2 pcs",2,Data!I298)</f>
        <v>1</v>
      </c>
      <c r="L298" s="2" t="str">
        <f t="shared" si="4"/>
        <v>Tuesday</v>
      </c>
      <c r="M298" s="2" t="str">
        <f t="shared" si="5"/>
        <v>24</v>
      </c>
      <c r="N298" s="2">
        <f>VLOOKUP(L298,'Data Info'!$A$1:$B$8,2,0)</f>
        <v>2</v>
      </c>
      <c r="O298" s="2" t="str">
        <f>VLOOKUP(L298,'Data Info'!$A$1:$C$8,3,0)</f>
        <v>Weekday</v>
      </c>
    </row>
    <row r="299">
      <c r="A299" s="4">
        <v>45559.799305555556</v>
      </c>
      <c r="B299" s="9">
        <f>IFERROR(__xludf.DUMMYFUNCTION("SPLIT(A299,"" "")"),45559.0)</f>
        <v>45559</v>
      </c>
      <c r="C299" s="10">
        <f>IFERROR(__xludf.DUMMYFUNCTION("""COMPUTED_VALUE"""),0.7993055555555556)</f>
        <v>0.7993055556</v>
      </c>
      <c r="D299" s="2">
        <f t="shared" si="1"/>
        <v>19</v>
      </c>
      <c r="E299" s="2">
        <f>IFERROR(__xludf.DUMMYFUNCTION("SPLIT(B299,""/"")"),24.0)</f>
        <v>24</v>
      </c>
      <c r="F299" s="2">
        <f>IFERROR(__xludf.DUMMYFUNCTION("""COMPUTED_VALUE"""),9.0)</f>
        <v>9</v>
      </c>
      <c r="G299" s="2">
        <f>IFERROR(__xludf.DUMMYFUNCTION("""COMPUTED_VALUE"""),2024.0)</f>
        <v>2024</v>
      </c>
      <c r="H299" s="2" t="str">
        <f t="shared" si="2"/>
        <v>2024/9/24</v>
      </c>
      <c r="I299" s="2" t="s">
        <v>1583</v>
      </c>
      <c r="J299" s="2" t="str">
        <f t="shared" si="3"/>
        <v>Es Kopi Lemon</v>
      </c>
      <c r="K299" s="7">
        <f>if(RIGHT(I299,5)="2 pcs",2,Data!I299)</f>
        <v>-1</v>
      </c>
      <c r="L299" s="2" t="str">
        <f t="shared" si="4"/>
        <v>Tuesday</v>
      </c>
      <c r="M299" s="2" t="str">
        <f t="shared" si="5"/>
        <v>24</v>
      </c>
      <c r="N299" s="2">
        <f>VLOOKUP(L299,'Data Info'!$A$1:$B$8,2,0)</f>
        <v>2</v>
      </c>
      <c r="O299" s="2" t="str">
        <f>VLOOKUP(L299,'Data Info'!$A$1:$C$8,3,0)</f>
        <v>Weekday</v>
      </c>
    </row>
    <row r="300">
      <c r="A300" s="4">
        <v>45559.799305555556</v>
      </c>
      <c r="B300" s="9">
        <f>IFERROR(__xludf.DUMMYFUNCTION("SPLIT(A300,"" "")"),45559.0)</f>
        <v>45559</v>
      </c>
      <c r="C300" s="10">
        <f>IFERROR(__xludf.DUMMYFUNCTION("""COMPUTED_VALUE"""),0.7993055555555556)</f>
        <v>0.7993055556</v>
      </c>
      <c r="D300" s="2">
        <f t="shared" si="1"/>
        <v>19</v>
      </c>
      <c r="E300" s="2">
        <f>IFERROR(__xludf.DUMMYFUNCTION("SPLIT(B300,""/"")"),24.0)</f>
        <v>24</v>
      </c>
      <c r="F300" s="2">
        <f>IFERROR(__xludf.DUMMYFUNCTION("""COMPUTED_VALUE"""),9.0)</f>
        <v>9</v>
      </c>
      <c r="G300" s="2">
        <f>IFERROR(__xludf.DUMMYFUNCTION("""COMPUTED_VALUE"""),2024.0)</f>
        <v>2024</v>
      </c>
      <c r="H300" s="2" t="str">
        <f t="shared" si="2"/>
        <v>2024/9/24</v>
      </c>
      <c r="I300" s="2" t="s">
        <v>1608</v>
      </c>
      <c r="J300" s="2" t="str">
        <f t="shared" si="3"/>
        <v>Susu murni strawberry</v>
      </c>
      <c r="K300" s="7">
        <f>if(RIGHT(I300,5)="2 pcs",2,Data!I300)</f>
        <v>-1</v>
      </c>
      <c r="L300" s="2" t="str">
        <f t="shared" si="4"/>
        <v>Tuesday</v>
      </c>
      <c r="M300" s="2" t="str">
        <f t="shared" si="5"/>
        <v>24</v>
      </c>
      <c r="N300" s="2">
        <f>VLOOKUP(L300,'Data Info'!$A$1:$B$8,2,0)</f>
        <v>2</v>
      </c>
      <c r="O300" s="2" t="str">
        <f>VLOOKUP(L300,'Data Info'!$A$1:$C$8,3,0)</f>
        <v>Weekday</v>
      </c>
    </row>
    <row r="301">
      <c r="A301" s="4">
        <v>45559.79861111111</v>
      </c>
      <c r="B301" s="9">
        <f>IFERROR(__xludf.DUMMYFUNCTION("SPLIT(A301,"" "")"),45559.0)</f>
        <v>45559</v>
      </c>
      <c r="C301" s="10">
        <f>IFERROR(__xludf.DUMMYFUNCTION("""COMPUTED_VALUE"""),0.7986111111111112)</f>
        <v>0.7986111111</v>
      </c>
      <c r="D301" s="2">
        <f t="shared" si="1"/>
        <v>19</v>
      </c>
      <c r="E301" s="2">
        <f>IFERROR(__xludf.DUMMYFUNCTION("SPLIT(B301,""/"")"),24.0)</f>
        <v>24</v>
      </c>
      <c r="F301" s="2">
        <f>IFERROR(__xludf.DUMMYFUNCTION("""COMPUTED_VALUE"""),9.0)</f>
        <v>9</v>
      </c>
      <c r="G301" s="2">
        <f>IFERROR(__xludf.DUMMYFUNCTION("""COMPUTED_VALUE"""),2024.0)</f>
        <v>2024</v>
      </c>
      <c r="H301" s="2" t="str">
        <f t="shared" si="2"/>
        <v>2024/9/24</v>
      </c>
      <c r="I301" s="2" t="s">
        <v>1583</v>
      </c>
      <c r="J301" s="2" t="str">
        <f t="shared" si="3"/>
        <v>Es Kopi Lemon</v>
      </c>
      <c r="K301" s="7">
        <f>if(RIGHT(I301,5)="2 pcs",2,Data!I301)</f>
        <v>1</v>
      </c>
      <c r="L301" s="2" t="str">
        <f t="shared" si="4"/>
        <v>Tuesday</v>
      </c>
      <c r="M301" s="2" t="str">
        <f t="shared" si="5"/>
        <v>24</v>
      </c>
      <c r="N301" s="2">
        <f>VLOOKUP(L301,'Data Info'!$A$1:$B$8,2,0)</f>
        <v>2</v>
      </c>
      <c r="O301" s="2" t="str">
        <f>VLOOKUP(L301,'Data Info'!$A$1:$C$8,3,0)</f>
        <v>Weekday</v>
      </c>
    </row>
    <row r="302">
      <c r="A302" s="4">
        <v>45559.79861111111</v>
      </c>
      <c r="B302" s="9">
        <f>IFERROR(__xludf.DUMMYFUNCTION("SPLIT(A302,"" "")"),45559.0)</f>
        <v>45559</v>
      </c>
      <c r="C302" s="10">
        <f>IFERROR(__xludf.DUMMYFUNCTION("""COMPUTED_VALUE"""),0.7986111111111112)</f>
        <v>0.7986111111</v>
      </c>
      <c r="D302" s="2">
        <f t="shared" si="1"/>
        <v>19</v>
      </c>
      <c r="E302" s="2">
        <f>IFERROR(__xludf.DUMMYFUNCTION("SPLIT(B302,""/"")"),24.0)</f>
        <v>24</v>
      </c>
      <c r="F302" s="2">
        <f>IFERROR(__xludf.DUMMYFUNCTION("""COMPUTED_VALUE"""),9.0)</f>
        <v>9</v>
      </c>
      <c r="G302" s="2">
        <f>IFERROR(__xludf.DUMMYFUNCTION("""COMPUTED_VALUE"""),2024.0)</f>
        <v>2024</v>
      </c>
      <c r="H302" s="2" t="str">
        <f t="shared" si="2"/>
        <v>2024/9/24</v>
      </c>
      <c r="I302" s="2" t="s">
        <v>1608</v>
      </c>
      <c r="J302" s="2" t="str">
        <f t="shared" si="3"/>
        <v>Susu murni strawberry</v>
      </c>
      <c r="K302" s="7">
        <f>if(RIGHT(I302,5)="2 pcs",2,Data!I302)</f>
        <v>1</v>
      </c>
      <c r="L302" s="2" t="str">
        <f t="shared" si="4"/>
        <v>Tuesday</v>
      </c>
      <c r="M302" s="2" t="str">
        <f t="shared" si="5"/>
        <v>24</v>
      </c>
      <c r="N302" s="2">
        <f>VLOOKUP(L302,'Data Info'!$A$1:$B$8,2,0)</f>
        <v>2</v>
      </c>
      <c r="O302" s="2" t="str">
        <f>VLOOKUP(L302,'Data Info'!$A$1:$C$8,3,0)</f>
        <v>Weekday</v>
      </c>
    </row>
    <row r="303">
      <c r="A303" s="4">
        <v>45559.736805555556</v>
      </c>
      <c r="B303" s="9">
        <f>IFERROR(__xludf.DUMMYFUNCTION("SPLIT(A303,"" "")"),45559.0)</f>
        <v>45559</v>
      </c>
      <c r="C303" s="10">
        <f>IFERROR(__xludf.DUMMYFUNCTION("""COMPUTED_VALUE"""),0.7368055555555556)</f>
        <v>0.7368055556</v>
      </c>
      <c r="D303" s="2">
        <f t="shared" si="1"/>
        <v>17</v>
      </c>
      <c r="E303" s="2">
        <f>IFERROR(__xludf.DUMMYFUNCTION("SPLIT(B303,""/"")"),24.0)</f>
        <v>24</v>
      </c>
      <c r="F303" s="2">
        <f>IFERROR(__xludf.DUMMYFUNCTION("""COMPUTED_VALUE"""),9.0)</f>
        <v>9</v>
      </c>
      <c r="G303" s="2">
        <f>IFERROR(__xludf.DUMMYFUNCTION("""COMPUTED_VALUE"""),2024.0)</f>
        <v>2024</v>
      </c>
      <c r="H303" s="2" t="str">
        <f t="shared" si="2"/>
        <v>2024/9/24</v>
      </c>
      <c r="I303" s="2" t="s">
        <v>1595</v>
      </c>
      <c r="J303" s="2" t="str">
        <f t="shared" si="3"/>
        <v>Roti Gandum Cokelat</v>
      </c>
      <c r="K303" s="7">
        <f>if(RIGHT(I303,5)="2 pcs",2,Data!I303)</f>
        <v>1</v>
      </c>
      <c r="L303" s="2" t="str">
        <f t="shared" si="4"/>
        <v>Tuesday</v>
      </c>
      <c r="M303" s="2" t="str">
        <f t="shared" si="5"/>
        <v>24</v>
      </c>
      <c r="N303" s="2">
        <f>VLOOKUP(L303,'Data Info'!$A$1:$B$8,2,0)</f>
        <v>2</v>
      </c>
      <c r="O303" s="2" t="str">
        <f>VLOOKUP(L303,'Data Info'!$A$1:$C$8,3,0)</f>
        <v>Weekday</v>
      </c>
    </row>
    <row r="304">
      <c r="A304" s="4">
        <v>45559.736805555556</v>
      </c>
      <c r="B304" s="9">
        <f>IFERROR(__xludf.DUMMYFUNCTION("SPLIT(A304,"" "")"),45559.0)</f>
        <v>45559</v>
      </c>
      <c r="C304" s="10">
        <f>IFERROR(__xludf.DUMMYFUNCTION("""COMPUTED_VALUE"""),0.7368055555555556)</f>
        <v>0.7368055556</v>
      </c>
      <c r="D304" s="2">
        <f t="shared" si="1"/>
        <v>17</v>
      </c>
      <c r="E304" s="2">
        <f>IFERROR(__xludf.DUMMYFUNCTION("SPLIT(B304,""/"")"),24.0)</f>
        <v>24</v>
      </c>
      <c r="F304" s="2">
        <f>IFERROR(__xludf.DUMMYFUNCTION("""COMPUTED_VALUE"""),9.0)</f>
        <v>9</v>
      </c>
      <c r="G304" s="2">
        <f>IFERROR(__xludf.DUMMYFUNCTION("""COMPUTED_VALUE"""),2024.0)</f>
        <v>2024</v>
      </c>
      <c r="H304" s="2" t="str">
        <f t="shared" si="2"/>
        <v>2024/9/24</v>
      </c>
      <c r="I304" s="2" t="s">
        <v>1607</v>
      </c>
      <c r="J304" s="2" t="str">
        <f t="shared" si="3"/>
        <v>Tahu walik</v>
      </c>
      <c r="K304" s="7">
        <f>if(RIGHT(I304,5)="2 pcs",2,Data!I304)</f>
        <v>1</v>
      </c>
      <c r="L304" s="2" t="str">
        <f t="shared" si="4"/>
        <v>Tuesday</v>
      </c>
      <c r="M304" s="2" t="str">
        <f t="shared" si="5"/>
        <v>24</v>
      </c>
      <c r="N304" s="2">
        <f>VLOOKUP(L304,'Data Info'!$A$1:$B$8,2,0)</f>
        <v>2</v>
      </c>
      <c r="O304" s="2" t="str">
        <f>VLOOKUP(L304,'Data Info'!$A$1:$C$8,3,0)</f>
        <v>Weekday</v>
      </c>
    </row>
    <row r="305">
      <c r="A305" s="4">
        <v>45559.71875</v>
      </c>
      <c r="B305" s="9">
        <f>IFERROR(__xludf.DUMMYFUNCTION("SPLIT(A305,"" "")"),45559.0)</f>
        <v>45559</v>
      </c>
      <c r="C305" s="10">
        <f>IFERROR(__xludf.DUMMYFUNCTION("""COMPUTED_VALUE"""),0.71875)</f>
        <v>0.71875</v>
      </c>
      <c r="D305" s="2">
        <f t="shared" si="1"/>
        <v>17</v>
      </c>
      <c r="E305" s="2">
        <f>IFERROR(__xludf.DUMMYFUNCTION("SPLIT(B305,""/"")"),24.0)</f>
        <v>24</v>
      </c>
      <c r="F305" s="2">
        <f>IFERROR(__xludf.DUMMYFUNCTION("""COMPUTED_VALUE"""),9.0)</f>
        <v>9</v>
      </c>
      <c r="G305" s="2">
        <f>IFERROR(__xludf.DUMMYFUNCTION("""COMPUTED_VALUE"""),2024.0)</f>
        <v>2024</v>
      </c>
      <c r="H305" s="2" t="str">
        <f t="shared" si="2"/>
        <v>2024/9/24</v>
      </c>
      <c r="I305" s="2" t="s">
        <v>1576</v>
      </c>
      <c r="J305" s="2" t="str">
        <f t="shared" si="3"/>
        <v>Roti Cranberry</v>
      </c>
      <c r="K305" s="7">
        <f>if(RIGHT(I305,5)="2 pcs",2,Data!I305)</f>
        <v>1</v>
      </c>
      <c r="L305" s="2" t="str">
        <f t="shared" si="4"/>
        <v>Tuesday</v>
      </c>
      <c r="M305" s="2" t="str">
        <f t="shared" si="5"/>
        <v>24</v>
      </c>
      <c r="N305" s="2">
        <f>VLOOKUP(L305,'Data Info'!$A$1:$B$8,2,0)</f>
        <v>2</v>
      </c>
      <c r="O305" s="2" t="str">
        <f>VLOOKUP(L305,'Data Info'!$A$1:$C$8,3,0)</f>
        <v>Weekday</v>
      </c>
    </row>
    <row r="306">
      <c r="A306" s="4">
        <v>45559.71875</v>
      </c>
      <c r="B306" s="9">
        <f>IFERROR(__xludf.DUMMYFUNCTION("SPLIT(A306,"" "")"),45559.0)</f>
        <v>45559</v>
      </c>
      <c r="C306" s="10">
        <f>IFERROR(__xludf.DUMMYFUNCTION("""COMPUTED_VALUE"""),0.71875)</f>
        <v>0.71875</v>
      </c>
      <c r="D306" s="2">
        <f t="shared" si="1"/>
        <v>17</v>
      </c>
      <c r="E306" s="2">
        <f>IFERROR(__xludf.DUMMYFUNCTION("SPLIT(B306,""/"")"),24.0)</f>
        <v>24</v>
      </c>
      <c r="F306" s="2">
        <f>IFERROR(__xludf.DUMMYFUNCTION("""COMPUTED_VALUE"""),9.0)</f>
        <v>9</v>
      </c>
      <c r="G306" s="2">
        <f>IFERROR(__xludf.DUMMYFUNCTION("""COMPUTED_VALUE"""),2024.0)</f>
        <v>2024</v>
      </c>
      <c r="H306" s="2" t="str">
        <f t="shared" si="2"/>
        <v>2024/9/24</v>
      </c>
      <c r="I306" s="2" t="s">
        <v>1595</v>
      </c>
      <c r="J306" s="2" t="str">
        <f t="shared" si="3"/>
        <v>Roti Gandum Cokelat</v>
      </c>
      <c r="K306" s="7">
        <f>if(RIGHT(I306,5)="2 pcs",2,Data!I306)</f>
        <v>1</v>
      </c>
      <c r="L306" s="2" t="str">
        <f t="shared" si="4"/>
        <v>Tuesday</v>
      </c>
      <c r="M306" s="2" t="str">
        <f t="shared" si="5"/>
        <v>24</v>
      </c>
      <c r="N306" s="2">
        <f>VLOOKUP(L306,'Data Info'!$A$1:$B$8,2,0)</f>
        <v>2</v>
      </c>
      <c r="O306" s="2" t="str">
        <f>VLOOKUP(L306,'Data Info'!$A$1:$C$8,3,0)</f>
        <v>Weekday</v>
      </c>
    </row>
    <row r="307">
      <c r="A307" s="4">
        <v>45559.70625</v>
      </c>
      <c r="B307" s="9">
        <f>IFERROR(__xludf.DUMMYFUNCTION("SPLIT(A307,"" "")"),45559.0)</f>
        <v>45559</v>
      </c>
      <c r="C307" s="10">
        <f>IFERROR(__xludf.DUMMYFUNCTION("""COMPUTED_VALUE"""),0.70625)</f>
        <v>0.70625</v>
      </c>
      <c r="D307" s="2">
        <f t="shared" si="1"/>
        <v>16</v>
      </c>
      <c r="E307" s="2">
        <f>IFERROR(__xludf.DUMMYFUNCTION("SPLIT(B307,""/"")"),24.0)</f>
        <v>24</v>
      </c>
      <c r="F307" s="2">
        <f>IFERROR(__xludf.DUMMYFUNCTION("""COMPUTED_VALUE"""),9.0)</f>
        <v>9</v>
      </c>
      <c r="G307" s="2">
        <f>IFERROR(__xludf.DUMMYFUNCTION("""COMPUTED_VALUE"""),2024.0)</f>
        <v>2024</v>
      </c>
      <c r="H307" s="2" t="str">
        <f t="shared" si="2"/>
        <v>2024/9/24</v>
      </c>
      <c r="I307" s="2" t="s">
        <v>1581</v>
      </c>
      <c r="J307" s="2" t="str">
        <f t="shared" si="3"/>
        <v>Chicken Claypot Rice</v>
      </c>
      <c r="K307" s="7">
        <f>if(RIGHT(I307,5)="2 pcs",2,Data!I307)</f>
        <v>1</v>
      </c>
      <c r="L307" s="2" t="str">
        <f t="shared" si="4"/>
        <v>Tuesday</v>
      </c>
      <c r="M307" s="2" t="str">
        <f t="shared" si="5"/>
        <v>24</v>
      </c>
      <c r="N307" s="2">
        <f>VLOOKUP(L307,'Data Info'!$A$1:$B$8,2,0)</f>
        <v>2</v>
      </c>
      <c r="O307" s="2" t="str">
        <f>VLOOKUP(L307,'Data Info'!$A$1:$C$8,3,0)</f>
        <v>Weekday</v>
      </c>
    </row>
    <row r="308">
      <c r="A308" s="4">
        <v>45559.70625</v>
      </c>
      <c r="B308" s="9">
        <f>IFERROR(__xludf.DUMMYFUNCTION("SPLIT(A308,"" "")"),45559.0)</f>
        <v>45559</v>
      </c>
      <c r="C308" s="10">
        <f>IFERROR(__xludf.DUMMYFUNCTION("""COMPUTED_VALUE"""),0.70625)</f>
        <v>0.70625</v>
      </c>
      <c r="D308" s="2">
        <f t="shared" si="1"/>
        <v>16</v>
      </c>
      <c r="E308" s="2">
        <f>IFERROR(__xludf.DUMMYFUNCTION("SPLIT(B308,""/"")"),24.0)</f>
        <v>24</v>
      </c>
      <c r="F308" s="2">
        <f>IFERROR(__xludf.DUMMYFUNCTION("""COMPUTED_VALUE"""),9.0)</f>
        <v>9</v>
      </c>
      <c r="G308" s="2">
        <f>IFERROR(__xludf.DUMMYFUNCTION("""COMPUTED_VALUE"""),2024.0)</f>
        <v>2024</v>
      </c>
      <c r="H308" s="2" t="str">
        <f t="shared" si="2"/>
        <v>2024/9/24</v>
      </c>
      <c r="I308" s="2" t="s">
        <v>1576</v>
      </c>
      <c r="J308" s="2" t="str">
        <f t="shared" si="3"/>
        <v>Roti Cranberry</v>
      </c>
      <c r="K308" s="7">
        <f>if(RIGHT(I308,5)="2 pcs",2,Data!I308)</f>
        <v>1</v>
      </c>
      <c r="L308" s="2" t="str">
        <f t="shared" si="4"/>
        <v>Tuesday</v>
      </c>
      <c r="M308" s="2" t="str">
        <f t="shared" si="5"/>
        <v>24</v>
      </c>
      <c r="N308" s="2">
        <f>VLOOKUP(L308,'Data Info'!$A$1:$B$8,2,0)</f>
        <v>2</v>
      </c>
      <c r="O308" s="2" t="str">
        <f>VLOOKUP(L308,'Data Info'!$A$1:$C$8,3,0)</f>
        <v>Weekday</v>
      </c>
    </row>
    <row r="309">
      <c r="A309" s="4">
        <v>45559.70625</v>
      </c>
      <c r="B309" s="9">
        <f>IFERROR(__xludf.DUMMYFUNCTION("SPLIT(A309,"" "")"),45559.0)</f>
        <v>45559</v>
      </c>
      <c r="C309" s="10">
        <f>IFERROR(__xludf.DUMMYFUNCTION("""COMPUTED_VALUE"""),0.70625)</f>
        <v>0.70625</v>
      </c>
      <c r="D309" s="2">
        <f t="shared" si="1"/>
        <v>16</v>
      </c>
      <c r="E309" s="2">
        <f>IFERROR(__xludf.DUMMYFUNCTION("SPLIT(B309,""/"")"),24.0)</f>
        <v>24</v>
      </c>
      <c r="F309" s="2">
        <f>IFERROR(__xludf.DUMMYFUNCTION("""COMPUTED_VALUE"""),9.0)</f>
        <v>9</v>
      </c>
      <c r="G309" s="2">
        <f>IFERROR(__xludf.DUMMYFUNCTION("""COMPUTED_VALUE"""),2024.0)</f>
        <v>2024</v>
      </c>
      <c r="H309" s="2" t="str">
        <f t="shared" si="2"/>
        <v>2024/9/24</v>
      </c>
      <c r="I309" s="2" t="s">
        <v>1608</v>
      </c>
      <c r="J309" s="2" t="str">
        <f t="shared" si="3"/>
        <v>Susu murni strawberry</v>
      </c>
      <c r="K309" s="7">
        <f>if(RIGHT(I309,5)="2 pcs",2,Data!I309)</f>
        <v>1</v>
      </c>
      <c r="L309" s="2" t="str">
        <f t="shared" si="4"/>
        <v>Tuesday</v>
      </c>
      <c r="M309" s="2" t="str">
        <f t="shared" si="5"/>
        <v>24</v>
      </c>
      <c r="N309" s="2">
        <f>VLOOKUP(L309,'Data Info'!$A$1:$B$8,2,0)</f>
        <v>2</v>
      </c>
      <c r="O309" s="2" t="str">
        <f>VLOOKUP(L309,'Data Info'!$A$1:$C$8,3,0)</f>
        <v>Weekday</v>
      </c>
    </row>
    <row r="310">
      <c r="A310" s="4">
        <v>45559.70625</v>
      </c>
      <c r="B310" s="9">
        <f>IFERROR(__xludf.DUMMYFUNCTION("SPLIT(A310,"" "")"),45559.0)</f>
        <v>45559</v>
      </c>
      <c r="C310" s="10">
        <f>IFERROR(__xludf.DUMMYFUNCTION("""COMPUTED_VALUE"""),0.70625)</f>
        <v>0.70625</v>
      </c>
      <c r="D310" s="2">
        <f t="shared" si="1"/>
        <v>16</v>
      </c>
      <c r="E310" s="2">
        <f>IFERROR(__xludf.DUMMYFUNCTION("SPLIT(B310,""/"")"),24.0)</f>
        <v>24</v>
      </c>
      <c r="F310" s="2">
        <f>IFERROR(__xludf.DUMMYFUNCTION("""COMPUTED_VALUE"""),9.0)</f>
        <v>9</v>
      </c>
      <c r="G310" s="2">
        <f>IFERROR(__xludf.DUMMYFUNCTION("""COMPUTED_VALUE"""),2024.0)</f>
        <v>2024</v>
      </c>
      <c r="H310" s="2" t="str">
        <f t="shared" si="2"/>
        <v>2024/9/24</v>
      </c>
      <c r="I310" s="2" t="s">
        <v>1619</v>
      </c>
      <c r="J310" s="2" t="str">
        <f t="shared" si="3"/>
        <v>Teh Manis Panas</v>
      </c>
      <c r="K310" s="7">
        <f>if(RIGHT(I310,5)="2 pcs",2,Data!I310)</f>
        <v>1</v>
      </c>
      <c r="L310" s="2" t="str">
        <f t="shared" si="4"/>
        <v>Tuesday</v>
      </c>
      <c r="M310" s="2" t="str">
        <f t="shared" si="5"/>
        <v>24</v>
      </c>
      <c r="N310" s="2">
        <f>VLOOKUP(L310,'Data Info'!$A$1:$B$8,2,0)</f>
        <v>2</v>
      </c>
      <c r="O310" s="2" t="str">
        <f>VLOOKUP(L310,'Data Info'!$A$1:$C$8,3,0)</f>
        <v>Weekday</v>
      </c>
    </row>
    <row r="311">
      <c r="A311" s="4">
        <v>45559.70347222222</v>
      </c>
      <c r="B311" s="9">
        <f>IFERROR(__xludf.DUMMYFUNCTION("SPLIT(A311,"" "")"),45559.0)</f>
        <v>45559</v>
      </c>
      <c r="C311" s="10">
        <f>IFERROR(__xludf.DUMMYFUNCTION("""COMPUTED_VALUE"""),0.7034722222222223)</f>
        <v>0.7034722222</v>
      </c>
      <c r="D311" s="2">
        <f t="shared" si="1"/>
        <v>16</v>
      </c>
      <c r="E311" s="2">
        <f>IFERROR(__xludf.DUMMYFUNCTION("SPLIT(B311,""/"")"),24.0)</f>
        <v>24</v>
      </c>
      <c r="F311" s="2">
        <f>IFERROR(__xludf.DUMMYFUNCTION("""COMPUTED_VALUE"""),9.0)</f>
        <v>9</v>
      </c>
      <c r="G311" s="2">
        <f>IFERROR(__xludf.DUMMYFUNCTION("""COMPUTED_VALUE"""),2024.0)</f>
        <v>2024</v>
      </c>
      <c r="H311" s="2" t="str">
        <f t="shared" si="2"/>
        <v>2024/9/24</v>
      </c>
      <c r="I311" s="2" t="s">
        <v>1596</v>
      </c>
      <c r="J311" s="2" t="str">
        <f t="shared" si="3"/>
        <v>Roti Cranberry</v>
      </c>
      <c r="K311" s="7">
        <f>if(RIGHT(I311,5)="2 pcs",2,Data!I311)</f>
        <v>2</v>
      </c>
      <c r="L311" s="2" t="str">
        <f t="shared" si="4"/>
        <v>Tuesday</v>
      </c>
      <c r="M311" s="2" t="str">
        <f t="shared" si="5"/>
        <v>24</v>
      </c>
      <c r="N311" s="2">
        <f>VLOOKUP(L311,'Data Info'!$A$1:$B$8,2,0)</f>
        <v>2</v>
      </c>
      <c r="O311" s="2" t="str">
        <f>VLOOKUP(L311,'Data Info'!$A$1:$C$8,3,0)</f>
        <v>Weekday</v>
      </c>
    </row>
    <row r="312">
      <c r="A312" s="4">
        <v>45559.70347222222</v>
      </c>
      <c r="B312" s="9">
        <f>IFERROR(__xludf.DUMMYFUNCTION("SPLIT(A312,"" "")"),45559.0)</f>
        <v>45559</v>
      </c>
      <c r="C312" s="10">
        <f>IFERROR(__xludf.DUMMYFUNCTION("""COMPUTED_VALUE"""),0.7034722222222223)</f>
        <v>0.7034722222</v>
      </c>
      <c r="D312" s="2">
        <f t="shared" si="1"/>
        <v>16</v>
      </c>
      <c r="E312" s="2">
        <f>IFERROR(__xludf.DUMMYFUNCTION("SPLIT(B312,""/"")"),24.0)</f>
        <v>24</v>
      </c>
      <c r="F312" s="2">
        <f>IFERROR(__xludf.DUMMYFUNCTION("""COMPUTED_VALUE"""),9.0)</f>
        <v>9</v>
      </c>
      <c r="G312" s="2">
        <f>IFERROR(__xludf.DUMMYFUNCTION("""COMPUTED_VALUE"""),2024.0)</f>
        <v>2024</v>
      </c>
      <c r="H312" s="2" t="str">
        <f t="shared" si="2"/>
        <v>2024/9/24</v>
      </c>
      <c r="I312" s="2" t="s">
        <v>1576</v>
      </c>
      <c r="J312" s="2" t="str">
        <f t="shared" si="3"/>
        <v>Roti Cranberry</v>
      </c>
      <c r="K312" s="7">
        <f>if(RIGHT(I312,5)="2 pcs",2,Data!I312)</f>
        <v>1</v>
      </c>
      <c r="L312" s="2" t="str">
        <f t="shared" si="4"/>
        <v>Tuesday</v>
      </c>
      <c r="M312" s="2" t="str">
        <f t="shared" si="5"/>
        <v>24</v>
      </c>
      <c r="N312" s="2">
        <f>VLOOKUP(L312,'Data Info'!$A$1:$B$8,2,0)</f>
        <v>2</v>
      </c>
      <c r="O312" s="2" t="str">
        <f>VLOOKUP(L312,'Data Info'!$A$1:$C$8,3,0)</f>
        <v>Weekday</v>
      </c>
    </row>
    <row r="313">
      <c r="A313" s="4">
        <v>45559.70347222222</v>
      </c>
      <c r="B313" s="9">
        <f>IFERROR(__xludf.DUMMYFUNCTION("SPLIT(A313,"" "")"),45559.0)</f>
        <v>45559</v>
      </c>
      <c r="C313" s="10">
        <f>IFERROR(__xludf.DUMMYFUNCTION("""COMPUTED_VALUE"""),0.7034722222222223)</f>
        <v>0.7034722222</v>
      </c>
      <c r="D313" s="2">
        <f t="shared" si="1"/>
        <v>16</v>
      </c>
      <c r="E313" s="2">
        <f>IFERROR(__xludf.DUMMYFUNCTION("SPLIT(B313,""/"")"),24.0)</f>
        <v>24</v>
      </c>
      <c r="F313" s="2">
        <f>IFERROR(__xludf.DUMMYFUNCTION("""COMPUTED_VALUE"""),9.0)</f>
        <v>9</v>
      </c>
      <c r="G313" s="2">
        <f>IFERROR(__xludf.DUMMYFUNCTION("""COMPUTED_VALUE"""),2024.0)</f>
        <v>2024</v>
      </c>
      <c r="H313" s="2" t="str">
        <f t="shared" si="2"/>
        <v>2024/9/24</v>
      </c>
      <c r="I313" s="2" t="s">
        <v>1597</v>
      </c>
      <c r="J313" s="2" t="str">
        <f t="shared" si="3"/>
        <v>Roti Gandum Cokelat</v>
      </c>
      <c r="K313" s="7">
        <f>if(RIGHT(I313,5)="2 pcs",2,Data!I313)</f>
        <v>2</v>
      </c>
      <c r="L313" s="2" t="str">
        <f t="shared" si="4"/>
        <v>Tuesday</v>
      </c>
      <c r="M313" s="2" t="str">
        <f t="shared" si="5"/>
        <v>24</v>
      </c>
      <c r="N313" s="2">
        <f>VLOOKUP(L313,'Data Info'!$A$1:$B$8,2,0)</f>
        <v>2</v>
      </c>
      <c r="O313" s="2" t="str">
        <f>VLOOKUP(L313,'Data Info'!$A$1:$C$8,3,0)</f>
        <v>Weekday</v>
      </c>
    </row>
    <row r="314">
      <c r="A314" s="4">
        <v>45559.70347222222</v>
      </c>
      <c r="B314" s="9">
        <f>IFERROR(__xludf.DUMMYFUNCTION("SPLIT(A314,"" "")"),45559.0)</f>
        <v>45559</v>
      </c>
      <c r="C314" s="10">
        <f>IFERROR(__xludf.DUMMYFUNCTION("""COMPUTED_VALUE"""),0.7034722222222223)</f>
        <v>0.7034722222</v>
      </c>
      <c r="D314" s="2">
        <f t="shared" si="1"/>
        <v>16</v>
      </c>
      <c r="E314" s="2">
        <f>IFERROR(__xludf.DUMMYFUNCTION("SPLIT(B314,""/"")"),24.0)</f>
        <v>24</v>
      </c>
      <c r="F314" s="2">
        <f>IFERROR(__xludf.DUMMYFUNCTION("""COMPUTED_VALUE"""),9.0)</f>
        <v>9</v>
      </c>
      <c r="G314" s="2">
        <f>IFERROR(__xludf.DUMMYFUNCTION("""COMPUTED_VALUE"""),2024.0)</f>
        <v>2024</v>
      </c>
      <c r="H314" s="2" t="str">
        <f t="shared" si="2"/>
        <v>2024/9/24</v>
      </c>
      <c r="I314" s="2" t="s">
        <v>1595</v>
      </c>
      <c r="J314" s="2" t="str">
        <f t="shared" si="3"/>
        <v>Roti Gandum Cokelat</v>
      </c>
      <c r="K314" s="7">
        <f>if(RIGHT(I314,5)="2 pcs",2,Data!I314)</f>
        <v>1</v>
      </c>
      <c r="L314" s="2" t="str">
        <f t="shared" si="4"/>
        <v>Tuesday</v>
      </c>
      <c r="M314" s="2" t="str">
        <f t="shared" si="5"/>
        <v>24</v>
      </c>
      <c r="N314" s="2">
        <f>VLOOKUP(L314,'Data Info'!$A$1:$B$8,2,0)</f>
        <v>2</v>
      </c>
      <c r="O314" s="2" t="str">
        <f>VLOOKUP(L314,'Data Info'!$A$1:$C$8,3,0)</f>
        <v>Weekday</v>
      </c>
    </row>
    <row r="315">
      <c r="A315" s="4">
        <v>45559.62013888889</v>
      </c>
      <c r="B315" s="9">
        <f>IFERROR(__xludf.DUMMYFUNCTION("SPLIT(A315,"" "")"),45559.0)</f>
        <v>45559</v>
      </c>
      <c r="C315" s="10">
        <f>IFERROR(__xludf.DUMMYFUNCTION("""COMPUTED_VALUE"""),0.6201388888888889)</f>
        <v>0.6201388889</v>
      </c>
      <c r="D315" s="2">
        <f t="shared" si="1"/>
        <v>14</v>
      </c>
      <c r="E315" s="2">
        <f>IFERROR(__xludf.DUMMYFUNCTION("SPLIT(B315,""/"")"),24.0)</f>
        <v>24</v>
      </c>
      <c r="F315" s="2">
        <f>IFERROR(__xludf.DUMMYFUNCTION("""COMPUTED_VALUE"""),9.0)</f>
        <v>9</v>
      </c>
      <c r="G315" s="2">
        <f>IFERROR(__xludf.DUMMYFUNCTION("""COMPUTED_VALUE"""),2024.0)</f>
        <v>2024</v>
      </c>
      <c r="H315" s="2" t="str">
        <f t="shared" si="2"/>
        <v>2024/9/24</v>
      </c>
      <c r="I315" s="2" t="s">
        <v>1588</v>
      </c>
      <c r="J315" s="2" t="str">
        <f t="shared" si="3"/>
        <v>Es Kopi Susu</v>
      </c>
      <c r="K315" s="7">
        <f>if(RIGHT(I315,5)="2 pcs",2,Data!I315)</f>
        <v>1</v>
      </c>
      <c r="L315" s="2" t="str">
        <f t="shared" si="4"/>
        <v>Tuesday</v>
      </c>
      <c r="M315" s="2" t="str">
        <f t="shared" si="5"/>
        <v>24</v>
      </c>
      <c r="N315" s="2">
        <f>VLOOKUP(L315,'Data Info'!$A$1:$B$8,2,0)</f>
        <v>2</v>
      </c>
      <c r="O315" s="2" t="str">
        <f>VLOOKUP(L315,'Data Info'!$A$1:$C$8,3,0)</f>
        <v>Weekday</v>
      </c>
    </row>
    <row r="316">
      <c r="A316" s="4">
        <v>45559.62013888889</v>
      </c>
      <c r="B316" s="9">
        <f>IFERROR(__xludf.DUMMYFUNCTION("SPLIT(A316,"" "")"),45559.0)</f>
        <v>45559</v>
      </c>
      <c r="C316" s="10">
        <f>IFERROR(__xludf.DUMMYFUNCTION("""COMPUTED_VALUE"""),0.6201388888888889)</f>
        <v>0.6201388889</v>
      </c>
      <c r="D316" s="2">
        <f t="shared" si="1"/>
        <v>14</v>
      </c>
      <c r="E316" s="2">
        <f>IFERROR(__xludf.DUMMYFUNCTION("SPLIT(B316,""/"")"),24.0)</f>
        <v>24</v>
      </c>
      <c r="F316" s="2">
        <f>IFERROR(__xludf.DUMMYFUNCTION("""COMPUTED_VALUE"""),9.0)</f>
        <v>9</v>
      </c>
      <c r="G316" s="2">
        <f>IFERROR(__xludf.DUMMYFUNCTION("""COMPUTED_VALUE"""),2024.0)</f>
        <v>2024</v>
      </c>
      <c r="H316" s="2" t="str">
        <f t="shared" si="2"/>
        <v>2024/9/24</v>
      </c>
      <c r="I316" s="2" t="s">
        <v>1595</v>
      </c>
      <c r="J316" s="2" t="str">
        <f t="shared" si="3"/>
        <v>Roti Gandum Cokelat</v>
      </c>
      <c r="K316" s="7">
        <f>if(RIGHT(I316,5)="2 pcs",2,Data!I316)</f>
        <v>1</v>
      </c>
      <c r="L316" s="2" t="str">
        <f t="shared" si="4"/>
        <v>Tuesday</v>
      </c>
      <c r="M316" s="2" t="str">
        <f t="shared" si="5"/>
        <v>24</v>
      </c>
      <c r="N316" s="2">
        <f>VLOOKUP(L316,'Data Info'!$A$1:$B$8,2,0)</f>
        <v>2</v>
      </c>
      <c r="O316" s="2" t="str">
        <f>VLOOKUP(L316,'Data Info'!$A$1:$C$8,3,0)</f>
        <v>Weekday</v>
      </c>
    </row>
    <row r="317">
      <c r="A317" s="4">
        <v>45559.60625</v>
      </c>
      <c r="B317" s="9">
        <f>IFERROR(__xludf.DUMMYFUNCTION("SPLIT(A317,"" "")"),45559.0)</f>
        <v>45559</v>
      </c>
      <c r="C317" s="10">
        <f>IFERROR(__xludf.DUMMYFUNCTION("""COMPUTED_VALUE"""),0.60625)</f>
        <v>0.60625</v>
      </c>
      <c r="D317" s="2">
        <f t="shared" si="1"/>
        <v>14</v>
      </c>
      <c r="E317" s="2">
        <f>IFERROR(__xludf.DUMMYFUNCTION("SPLIT(B317,""/"")"),24.0)</f>
        <v>24</v>
      </c>
      <c r="F317" s="2">
        <f>IFERROR(__xludf.DUMMYFUNCTION("""COMPUTED_VALUE"""),9.0)</f>
        <v>9</v>
      </c>
      <c r="G317" s="2">
        <f>IFERROR(__xludf.DUMMYFUNCTION("""COMPUTED_VALUE"""),2024.0)</f>
        <v>2024</v>
      </c>
      <c r="H317" s="2" t="str">
        <f t="shared" si="2"/>
        <v>2024/9/24</v>
      </c>
      <c r="I317" s="2" t="s">
        <v>1576</v>
      </c>
      <c r="J317" s="2" t="str">
        <f t="shared" si="3"/>
        <v>Roti Cranberry</v>
      </c>
      <c r="K317" s="7">
        <f>if(RIGHT(I317,5)="2 pcs",2,Data!I317)</f>
        <v>1</v>
      </c>
      <c r="L317" s="2" t="str">
        <f t="shared" si="4"/>
        <v>Tuesday</v>
      </c>
      <c r="M317" s="2" t="str">
        <f t="shared" si="5"/>
        <v>24</v>
      </c>
      <c r="N317" s="2">
        <f>VLOOKUP(L317,'Data Info'!$A$1:$B$8,2,0)</f>
        <v>2</v>
      </c>
      <c r="O317" s="2" t="str">
        <f>VLOOKUP(L317,'Data Info'!$A$1:$C$8,3,0)</f>
        <v>Weekday</v>
      </c>
    </row>
    <row r="318">
      <c r="A318" s="4">
        <v>45559.59305555555</v>
      </c>
      <c r="B318" s="9">
        <f>IFERROR(__xludf.DUMMYFUNCTION("SPLIT(A318,"" "")"),45559.0)</f>
        <v>45559</v>
      </c>
      <c r="C318" s="10">
        <f>IFERROR(__xludf.DUMMYFUNCTION("""COMPUTED_VALUE"""),0.5930555555555556)</f>
        <v>0.5930555556</v>
      </c>
      <c r="D318" s="2">
        <f t="shared" si="1"/>
        <v>14</v>
      </c>
      <c r="E318" s="2">
        <f>IFERROR(__xludf.DUMMYFUNCTION("SPLIT(B318,""/"")"),24.0)</f>
        <v>24</v>
      </c>
      <c r="F318" s="2">
        <f>IFERROR(__xludf.DUMMYFUNCTION("""COMPUTED_VALUE"""),9.0)</f>
        <v>9</v>
      </c>
      <c r="G318" s="2">
        <f>IFERROR(__xludf.DUMMYFUNCTION("""COMPUTED_VALUE"""),2024.0)</f>
        <v>2024</v>
      </c>
      <c r="H318" s="2" t="str">
        <f t="shared" si="2"/>
        <v>2024/9/24</v>
      </c>
      <c r="I318" s="2" t="s">
        <v>1596</v>
      </c>
      <c r="J318" s="2" t="str">
        <f t="shared" si="3"/>
        <v>Roti Cranberry</v>
      </c>
      <c r="K318" s="7">
        <f>if(RIGHT(I318,5)="2 pcs",2,Data!I318)</f>
        <v>2</v>
      </c>
      <c r="L318" s="2" t="str">
        <f t="shared" si="4"/>
        <v>Tuesday</v>
      </c>
      <c r="M318" s="2" t="str">
        <f t="shared" si="5"/>
        <v>24</v>
      </c>
      <c r="N318" s="2">
        <f>VLOOKUP(L318,'Data Info'!$A$1:$B$8,2,0)</f>
        <v>2</v>
      </c>
      <c r="O318" s="2" t="str">
        <f>VLOOKUP(L318,'Data Info'!$A$1:$C$8,3,0)</f>
        <v>Weekday</v>
      </c>
    </row>
    <row r="319">
      <c r="A319" s="4">
        <v>45559.59305555555</v>
      </c>
      <c r="B319" s="9">
        <f>IFERROR(__xludf.DUMMYFUNCTION("SPLIT(A319,"" "")"),45559.0)</f>
        <v>45559</v>
      </c>
      <c r="C319" s="10">
        <f>IFERROR(__xludf.DUMMYFUNCTION("""COMPUTED_VALUE"""),0.5930555555555556)</f>
        <v>0.5930555556</v>
      </c>
      <c r="D319" s="2">
        <f t="shared" si="1"/>
        <v>14</v>
      </c>
      <c r="E319" s="2">
        <f>IFERROR(__xludf.DUMMYFUNCTION("SPLIT(B319,""/"")"),24.0)</f>
        <v>24</v>
      </c>
      <c r="F319" s="2">
        <f>IFERROR(__xludf.DUMMYFUNCTION("""COMPUTED_VALUE"""),9.0)</f>
        <v>9</v>
      </c>
      <c r="G319" s="2">
        <f>IFERROR(__xludf.DUMMYFUNCTION("""COMPUTED_VALUE"""),2024.0)</f>
        <v>2024</v>
      </c>
      <c r="H319" s="2" t="str">
        <f t="shared" si="2"/>
        <v>2024/9/24</v>
      </c>
      <c r="I319" s="2" t="s">
        <v>1595</v>
      </c>
      <c r="J319" s="2" t="str">
        <f t="shared" si="3"/>
        <v>Roti Gandum Cokelat</v>
      </c>
      <c r="K319" s="7">
        <f>if(RIGHT(I319,5)="2 pcs",2,Data!I319)</f>
        <v>1</v>
      </c>
      <c r="L319" s="2" t="str">
        <f t="shared" si="4"/>
        <v>Tuesday</v>
      </c>
      <c r="M319" s="2" t="str">
        <f t="shared" si="5"/>
        <v>24</v>
      </c>
      <c r="N319" s="2">
        <f>VLOOKUP(L319,'Data Info'!$A$1:$B$8,2,0)</f>
        <v>2</v>
      </c>
      <c r="O319" s="2" t="str">
        <f>VLOOKUP(L319,'Data Info'!$A$1:$C$8,3,0)</f>
        <v>Weekday</v>
      </c>
    </row>
    <row r="320">
      <c r="A320" s="4">
        <v>45559.45138888889</v>
      </c>
      <c r="B320" s="9">
        <f>IFERROR(__xludf.DUMMYFUNCTION("SPLIT(A320,"" "")"),45559.0)</f>
        <v>45559</v>
      </c>
      <c r="C320" s="10">
        <f>IFERROR(__xludf.DUMMYFUNCTION("""COMPUTED_VALUE"""),0.4513888888888889)</f>
        <v>0.4513888889</v>
      </c>
      <c r="D320" s="2">
        <f t="shared" si="1"/>
        <v>10</v>
      </c>
      <c r="E320" s="2">
        <f>IFERROR(__xludf.DUMMYFUNCTION("SPLIT(B320,""/"")"),24.0)</f>
        <v>24</v>
      </c>
      <c r="F320" s="2">
        <f>IFERROR(__xludf.DUMMYFUNCTION("""COMPUTED_VALUE"""),9.0)</f>
        <v>9</v>
      </c>
      <c r="G320" s="2">
        <f>IFERROR(__xludf.DUMMYFUNCTION("""COMPUTED_VALUE"""),2024.0)</f>
        <v>2024</v>
      </c>
      <c r="H320" s="2" t="str">
        <f t="shared" si="2"/>
        <v>2024/9/24</v>
      </c>
      <c r="I320" s="2" t="s">
        <v>1588</v>
      </c>
      <c r="J320" s="2" t="str">
        <f t="shared" si="3"/>
        <v>Es Kopi Susu</v>
      </c>
      <c r="K320" s="7">
        <f>if(RIGHT(I320,5)="2 pcs",2,Data!I320)</f>
        <v>1</v>
      </c>
      <c r="L320" s="2" t="str">
        <f t="shared" si="4"/>
        <v>Tuesday</v>
      </c>
      <c r="M320" s="2" t="str">
        <f t="shared" si="5"/>
        <v>24</v>
      </c>
      <c r="N320" s="2">
        <f>VLOOKUP(L320,'Data Info'!$A$1:$B$8,2,0)</f>
        <v>2</v>
      </c>
      <c r="O320" s="2" t="str">
        <f>VLOOKUP(L320,'Data Info'!$A$1:$C$8,3,0)</f>
        <v>Weekday</v>
      </c>
    </row>
    <row r="321">
      <c r="A321" s="4">
        <v>45559.45138888889</v>
      </c>
      <c r="B321" s="9">
        <f>IFERROR(__xludf.DUMMYFUNCTION("SPLIT(A321,"" "")"),45559.0)</f>
        <v>45559</v>
      </c>
      <c r="C321" s="10">
        <f>IFERROR(__xludf.DUMMYFUNCTION("""COMPUTED_VALUE"""),0.4513888888888889)</f>
        <v>0.4513888889</v>
      </c>
      <c r="D321" s="2">
        <f t="shared" si="1"/>
        <v>10</v>
      </c>
      <c r="E321" s="2">
        <f>IFERROR(__xludf.DUMMYFUNCTION("SPLIT(B321,""/"")"),24.0)</f>
        <v>24</v>
      </c>
      <c r="F321" s="2">
        <f>IFERROR(__xludf.DUMMYFUNCTION("""COMPUTED_VALUE"""),9.0)</f>
        <v>9</v>
      </c>
      <c r="G321" s="2">
        <f>IFERROR(__xludf.DUMMYFUNCTION("""COMPUTED_VALUE"""),2024.0)</f>
        <v>2024</v>
      </c>
      <c r="H321" s="2" t="str">
        <f t="shared" si="2"/>
        <v>2024/9/24</v>
      </c>
      <c r="I321" s="2" t="s">
        <v>1620</v>
      </c>
      <c r="J321" s="2" t="str">
        <f t="shared" si="3"/>
        <v>Wedang hujan</v>
      </c>
      <c r="K321" s="7">
        <f>if(RIGHT(I321,5)="2 pcs",2,Data!I321)</f>
        <v>1</v>
      </c>
      <c r="L321" s="2" t="str">
        <f t="shared" si="4"/>
        <v>Tuesday</v>
      </c>
      <c r="M321" s="2" t="str">
        <f t="shared" si="5"/>
        <v>24</v>
      </c>
      <c r="N321" s="2">
        <f>VLOOKUP(L321,'Data Info'!$A$1:$B$8,2,0)</f>
        <v>2</v>
      </c>
      <c r="O321" s="2" t="str">
        <f>VLOOKUP(L321,'Data Info'!$A$1:$C$8,3,0)</f>
        <v>Weekday</v>
      </c>
    </row>
    <row r="322">
      <c r="A322" s="4">
        <v>45559.45138888889</v>
      </c>
      <c r="B322" s="9">
        <f>IFERROR(__xludf.DUMMYFUNCTION("SPLIT(A322,"" "")"),45559.0)</f>
        <v>45559</v>
      </c>
      <c r="C322" s="10">
        <f>IFERROR(__xludf.DUMMYFUNCTION("""COMPUTED_VALUE"""),0.4513888888888889)</f>
        <v>0.4513888889</v>
      </c>
      <c r="D322" s="2">
        <f t="shared" si="1"/>
        <v>10</v>
      </c>
      <c r="E322" s="2">
        <f>IFERROR(__xludf.DUMMYFUNCTION("SPLIT(B322,""/"")"),24.0)</f>
        <v>24</v>
      </c>
      <c r="F322" s="2">
        <f>IFERROR(__xludf.DUMMYFUNCTION("""COMPUTED_VALUE"""),9.0)</f>
        <v>9</v>
      </c>
      <c r="G322" s="2">
        <f>IFERROR(__xludf.DUMMYFUNCTION("""COMPUTED_VALUE"""),2024.0)</f>
        <v>2024</v>
      </c>
      <c r="H322" s="2" t="str">
        <f t="shared" si="2"/>
        <v>2024/9/24</v>
      </c>
      <c r="I322" s="2" t="s">
        <v>1597</v>
      </c>
      <c r="J322" s="2" t="str">
        <f t="shared" si="3"/>
        <v>Roti Gandum Cokelat</v>
      </c>
      <c r="K322" s="7">
        <f>if(RIGHT(I322,5)="2 pcs",2,Data!I322)</f>
        <v>2</v>
      </c>
      <c r="L322" s="2" t="str">
        <f t="shared" si="4"/>
        <v>Tuesday</v>
      </c>
      <c r="M322" s="2" t="str">
        <f t="shared" si="5"/>
        <v>24</v>
      </c>
      <c r="N322" s="2">
        <f>VLOOKUP(L322,'Data Info'!$A$1:$B$8,2,0)</f>
        <v>2</v>
      </c>
      <c r="O322" s="2" t="str">
        <f>VLOOKUP(L322,'Data Info'!$A$1:$C$8,3,0)</f>
        <v>Weekday</v>
      </c>
    </row>
    <row r="323">
      <c r="A323" s="4">
        <v>45559.450694444444</v>
      </c>
      <c r="B323" s="9">
        <f>IFERROR(__xludf.DUMMYFUNCTION("SPLIT(A323,"" "")"),45559.0)</f>
        <v>45559</v>
      </c>
      <c r="C323" s="10">
        <f>IFERROR(__xludf.DUMMYFUNCTION("""COMPUTED_VALUE"""),0.45069444444444445)</f>
        <v>0.4506944444</v>
      </c>
      <c r="D323" s="2">
        <f t="shared" si="1"/>
        <v>10</v>
      </c>
      <c r="E323" s="2">
        <f>IFERROR(__xludf.DUMMYFUNCTION("SPLIT(B323,""/"")"),24.0)</f>
        <v>24</v>
      </c>
      <c r="F323" s="2">
        <f>IFERROR(__xludf.DUMMYFUNCTION("""COMPUTED_VALUE"""),9.0)</f>
        <v>9</v>
      </c>
      <c r="G323" s="2">
        <f>IFERROR(__xludf.DUMMYFUNCTION("""COMPUTED_VALUE"""),2024.0)</f>
        <v>2024</v>
      </c>
      <c r="H323" s="2" t="str">
        <f t="shared" si="2"/>
        <v>2024/9/24</v>
      </c>
      <c r="I323" s="2" t="s">
        <v>1595</v>
      </c>
      <c r="J323" s="2" t="str">
        <f t="shared" si="3"/>
        <v>Roti Gandum Cokelat</v>
      </c>
      <c r="K323" s="7">
        <f>if(RIGHT(I323,5)="2 pcs",2,Data!I323)</f>
        <v>1</v>
      </c>
      <c r="L323" s="2" t="str">
        <f t="shared" si="4"/>
        <v>Tuesday</v>
      </c>
      <c r="M323" s="2" t="str">
        <f t="shared" si="5"/>
        <v>24</v>
      </c>
      <c r="N323" s="2">
        <f>VLOOKUP(L323,'Data Info'!$A$1:$B$8,2,0)</f>
        <v>2</v>
      </c>
      <c r="O323" s="2" t="str">
        <f>VLOOKUP(L323,'Data Info'!$A$1:$C$8,3,0)</f>
        <v>Weekday</v>
      </c>
    </row>
    <row r="324">
      <c r="A324" s="4">
        <v>45557.87777777778</v>
      </c>
      <c r="B324" s="9">
        <f>IFERROR(__xludf.DUMMYFUNCTION("SPLIT(A324,"" "")"),45557.0)</f>
        <v>45557</v>
      </c>
      <c r="C324" s="10">
        <f>IFERROR(__xludf.DUMMYFUNCTION("""COMPUTED_VALUE"""),0.8777777777777778)</f>
        <v>0.8777777778</v>
      </c>
      <c r="D324" s="2">
        <f t="shared" si="1"/>
        <v>21</v>
      </c>
      <c r="E324" s="2">
        <f>IFERROR(__xludf.DUMMYFUNCTION("SPLIT(B324,""/"")"),22.0)</f>
        <v>22</v>
      </c>
      <c r="F324" s="2">
        <f>IFERROR(__xludf.DUMMYFUNCTION("""COMPUTED_VALUE"""),9.0)</f>
        <v>9</v>
      </c>
      <c r="G324" s="2">
        <f>IFERROR(__xludf.DUMMYFUNCTION("""COMPUTED_VALUE"""),2024.0)</f>
        <v>2024</v>
      </c>
      <c r="H324" s="2" t="str">
        <f t="shared" si="2"/>
        <v>2024/9/22</v>
      </c>
      <c r="I324" s="2" t="s">
        <v>1595</v>
      </c>
      <c r="J324" s="2" t="str">
        <f t="shared" si="3"/>
        <v>Roti Gandum Cokelat</v>
      </c>
      <c r="K324" s="7">
        <f>if(RIGHT(I324,5)="2 pcs",2,Data!I324)</f>
        <v>1</v>
      </c>
      <c r="L324" s="2" t="str">
        <f t="shared" si="4"/>
        <v>Sunday</v>
      </c>
      <c r="M324" s="2" t="str">
        <f t="shared" si="5"/>
        <v>22</v>
      </c>
      <c r="N324" s="2">
        <f>VLOOKUP(L324,'Data Info'!$A$1:$B$8,2,0)</f>
        <v>7</v>
      </c>
      <c r="O324" s="2" t="str">
        <f>VLOOKUP(L324,'Data Info'!$A$1:$C$8,3,0)</f>
        <v>Weekend</v>
      </c>
    </row>
    <row r="325">
      <c r="A325" s="4">
        <v>45557.876388888886</v>
      </c>
      <c r="B325" s="9">
        <f>IFERROR(__xludf.DUMMYFUNCTION("SPLIT(A325,"" "")"),45557.0)</f>
        <v>45557</v>
      </c>
      <c r="C325" s="10">
        <f>IFERROR(__xludf.DUMMYFUNCTION("""COMPUTED_VALUE"""),0.8763888888888889)</f>
        <v>0.8763888889</v>
      </c>
      <c r="D325" s="2">
        <f t="shared" si="1"/>
        <v>21</v>
      </c>
      <c r="E325" s="2">
        <f>IFERROR(__xludf.DUMMYFUNCTION("SPLIT(B325,""/"")"),22.0)</f>
        <v>22</v>
      </c>
      <c r="F325" s="2">
        <f>IFERROR(__xludf.DUMMYFUNCTION("""COMPUTED_VALUE"""),9.0)</f>
        <v>9</v>
      </c>
      <c r="G325" s="2">
        <f>IFERROR(__xludf.DUMMYFUNCTION("""COMPUTED_VALUE"""),2024.0)</f>
        <v>2024</v>
      </c>
      <c r="H325" s="2" t="str">
        <f t="shared" si="2"/>
        <v>2024/9/22</v>
      </c>
      <c r="I325" s="2" t="s">
        <v>1588</v>
      </c>
      <c r="J325" s="2" t="str">
        <f t="shared" si="3"/>
        <v>Es Kopi Susu</v>
      </c>
      <c r="K325" s="7">
        <f>if(RIGHT(I325,5)="2 pcs",2,Data!I325)</f>
        <v>1</v>
      </c>
      <c r="L325" s="2" t="str">
        <f t="shared" si="4"/>
        <v>Sunday</v>
      </c>
      <c r="M325" s="2" t="str">
        <f t="shared" si="5"/>
        <v>22</v>
      </c>
      <c r="N325" s="2">
        <f>VLOOKUP(L325,'Data Info'!$A$1:$B$8,2,0)</f>
        <v>7</v>
      </c>
      <c r="O325" s="2" t="str">
        <f>VLOOKUP(L325,'Data Info'!$A$1:$C$8,3,0)</f>
        <v>Weekend</v>
      </c>
    </row>
    <row r="326">
      <c r="A326" s="4">
        <v>45557.876388888886</v>
      </c>
      <c r="B326" s="9">
        <f>IFERROR(__xludf.DUMMYFUNCTION("SPLIT(A326,"" "")"),45557.0)</f>
        <v>45557</v>
      </c>
      <c r="C326" s="10">
        <f>IFERROR(__xludf.DUMMYFUNCTION("""COMPUTED_VALUE"""),0.8763888888888889)</f>
        <v>0.8763888889</v>
      </c>
      <c r="D326" s="2">
        <f t="shared" si="1"/>
        <v>21</v>
      </c>
      <c r="E326" s="2">
        <f>IFERROR(__xludf.DUMMYFUNCTION("SPLIT(B326,""/"")"),22.0)</f>
        <v>22</v>
      </c>
      <c r="F326" s="2">
        <f>IFERROR(__xludf.DUMMYFUNCTION("""COMPUTED_VALUE"""),9.0)</f>
        <v>9</v>
      </c>
      <c r="G326" s="2">
        <f>IFERROR(__xludf.DUMMYFUNCTION("""COMPUTED_VALUE"""),2024.0)</f>
        <v>2024</v>
      </c>
      <c r="H326" s="2" t="str">
        <f t="shared" si="2"/>
        <v>2024/9/22</v>
      </c>
      <c r="I326" s="2" t="s">
        <v>1573</v>
      </c>
      <c r="J326" s="2" t="str">
        <f t="shared" si="3"/>
        <v>Air mineral</v>
      </c>
      <c r="K326" s="7">
        <f>if(RIGHT(I326,5)="2 pcs",2,Data!I326)</f>
        <v>1</v>
      </c>
      <c r="L326" s="2" t="str">
        <f t="shared" si="4"/>
        <v>Sunday</v>
      </c>
      <c r="M326" s="2" t="str">
        <f t="shared" si="5"/>
        <v>22</v>
      </c>
      <c r="N326" s="2">
        <f>VLOOKUP(L326,'Data Info'!$A$1:$B$8,2,0)</f>
        <v>7</v>
      </c>
      <c r="O326" s="2" t="str">
        <f>VLOOKUP(L326,'Data Info'!$A$1:$C$8,3,0)</f>
        <v>Weekend</v>
      </c>
    </row>
    <row r="327">
      <c r="A327" s="4">
        <v>45557.876388888886</v>
      </c>
      <c r="B327" s="9">
        <f>IFERROR(__xludf.DUMMYFUNCTION("SPLIT(A327,"" "")"),45557.0)</f>
        <v>45557</v>
      </c>
      <c r="C327" s="10">
        <f>IFERROR(__xludf.DUMMYFUNCTION("""COMPUTED_VALUE"""),0.8763888888888889)</f>
        <v>0.8763888889</v>
      </c>
      <c r="D327" s="2">
        <f t="shared" si="1"/>
        <v>21</v>
      </c>
      <c r="E327" s="2">
        <f>IFERROR(__xludf.DUMMYFUNCTION("SPLIT(B327,""/"")"),22.0)</f>
        <v>22</v>
      </c>
      <c r="F327" s="2">
        <f>IFERROR(__xludf.DUMMYFUNCTION("""COMPUTED_VALUE"""),9.0)</f>
        <v>9</v>
      </c>
      <c r="G327" s="2">
        <f>IFERROR(__xludf.DUMMYFUNCTION("""COMPUTED_VALUE"""),2024.0)</f>
        <v>2024</v>
      </c>
      <c r="H327" s="2" t="str">
        <f t="shared" si="2"/>
        <v>2024/9/22</v>
      </c>
      <c r="I327" s="2" t="s">
        <v>1588</v>
      </c>
      <c r="J327" s="2" t="str">
        <f t="shared" si="3"/>
        <v>Es Kopi Susu</v>
      </c>
      <c r="K327" s="7">
        <f>if(RIGHT(I327,5)="2 pcs",2,Data!I327)</f>
        <v>1</v>
      </c>
      <c r="L327" s="2" t="str">
        <f t="shared" si="4"/>
        <v>Sunday</v>
      </c>
      <c r="M327" s="2" t="str">
        <f t="shared" si="5"/>
        <v>22</v>
      </c>
      <c r="N327" s="2">
        <f>VLOOKUP(L327,'Data Info'!$A$1:$B$8,2,0)</f>
        <v>7</v>
      </c>
      <c r="O327" s="2" t="str">
        <f>VLOOKUP(L327,'Data Info'!$A$1:$C$8,3,0)</f>
        <v>Weekend</v>
      </c>
    </row>
    <row r="328">
      <c r="A328" s="4">
        <v>45557.876388888886</v>
      </c>
      <c r="B328" s="9">
        <f>IFERROR(__xludf.DUMMYFUNCTION("SPLIT(A328,"" "")"),45557.0)</f>
        <v>45557</v>
      </c>
      <c r="C328" s="10">
        <f>IFERROR(__xludf.DUMMYFUNCTION("""COMPUTED_VALUE"""),0.8763888888888889)</f>
        <v>0.8763888889</v>
      </c>
      <c r="D328" s="2">
        <f t="shared" si="1"/>
        <v>21</v>
      </c>
      <c r="E328" s="2">
        <f>IFERROR(__xludf.DUMMYFUNCTION("SPLIT(B328,""/"")"),22.0)</f>
        <v>22</v>
      </c>
      <c r="F328" s="2">
        <f>IFERROR(__xludf.DUMMYFUNCTION("""COMPUTED_VALUE"""),9.0)</f>
        <v>9</v>
      </c>
      <c r="G328" s="2">
        <f>IFERROR(__xludf.DUMMYFUNCTION("""COMPUTED_VALUE"""),2024.0)</f>
        <v>2024</v>
      </c>
      <c r="H328" s="2" t="str">
        <f t="shared" si="2"/>
        <v>2024/9/22</v>
      </c>
      <c r="I328" s="2" t="s">
        <v>1595</v>
      </c>
      <c r="J328" s="2" t="str">
        <f t="shared" si="3"/>
        <v>Roti Gandum Cokelat</v>
      </c>
      <c r="K328" s="7">
        <f>if(RIGHT(I328,5)="2 pcs",2,Data!I328)</f>
        <v>1</v>
      </c>
      <c r="L328" s="2" t="str">
        <f t="shared" si="4"/>
        <v>Sunday</v>
      </c>
      <c r="M328" s="2" t="str">
        <f t="shared" si="5"/>
        <v>22</v>
      </c>
      <c r="N328" s="2">
        <f>VLOOKUP(L328,'Data Info'!$A$1:$B$8,2,0)</f>
        <v>7</v>
      </c>
      <c r="O328" s="2" t="str">
        <f>VLOOKUP(L328,'Data Info'!$A$1:$C$8,3,0)</f>
        <v>Weekend</v>
      </c>
    </row>
    <row r="329">
      <c r="A329" s="4">
        <v>45557.84930555556</v>
      </c>
      <c r="B329" s="9">
        <f>IFERROR(__xludf.DUMMYFUNCTION("SPLIT(A329,"" "")"),45557.0)</f>
        <v>45557</v>
      </c>
      <c r="C329" s="10">
        <f>IFERROR(__xludf.DUMMYFUNCTION("""COMPUTED_VALUE"""),0.8493055555555555)</f>
        <v>0.8493055556</v>
      </c>
      <c r="D329" s="2">
        <f t="shared" si="1"/>
        <v>20</v>
      </c>
      <c r="E329" s="2">
        <f>IFERROR(__xludf.DUMMYFUNCTION("SPLIT(B329,""/"")"),22.0)</f>
        <v>22</v>
      </c>
      <c r="F329" s="2">
        <f>IFERROR(__xludf.DUMMYFUNCTION("""COMPUTED_VALUE"""),9.0)</f>
        <v>9</v>
      </c>
      <c r="G329" s="2">
        <f>IFERROR(__xludf.DUMMYFUNCTION("""COMPUTED_VALUE"""),2024.0)</f>
        <v>2024</v>
      </c>
      <c r="H329" s="2" t="str">
        <f t="shared" si="2"/>
        <v>2024/9/22</v>
      </c>
      <c r="I329" s="2" t="s">
        <v>1576</v>
      </c>
      <c r="J329" s="2" t="str">
        <f t="shared" si="3"/>
        <v>Roti Cranberry</v>
      </c>
      <c r="K329" s="7">
        <f>if(RIGHT(I329,5)="2 pcs",2,Data!I329)</f>
        <v>1</v>
      </c>
      <c r="L329" s="2" t="str">
        <f t="shared" si="4"/>
        <v>Sunday</v>
      </c>
      <c r="M329" s="2" t="str">
        <f t="shared" si="5"/>
        <v>22</v>
      </c>
      <c r="N329" s="2">
        <f>VLOOKUP(L329,'Data Info'!$A$1:$B$8,2,0)</f>
        <v>7</v>
      </c>
      <c r="O329" s="2" t="str">
        <f>VLOOKUP(L329,'Data Info'!$A$1:$C$8,3,0)</f>
        <v>Weekend</v>
      </c>
    </row>
    <row r="330">
      <c r="A330" s="4">
        <v>45557.84930555556</v>
      </c>
      <c r="B330" s="9">
        <f>IFERROR(__xludf.DUMMYFUNCTION("SPLIT(A330,"" "")"),45557.0)</f>
        <v>45557</v>
      </c>
      <c r="C330" s="10">
        <f>IFERROR(__xludf.DUMMYFUNCTION("""COMPUTED_VALUE"""),0.8493055555555555)</f>
        <v>0.8493055556</v>
      </c>
      <c r="D330" s="2">
        <f t="shared" si="1"/>
        <v>20</v>
      </c>
      <c r="E330" s="2">
        <f>IFERROR(__xludf.DUMMYFUNCTION("SPLIT(B330,""/"")"),22.0)</f>
        <v>22</v>
      </c>
      <c r="F330" s="2">
        <f>IFERROR(__xludf.DUMMYFUNCTION("""COMPUTED_VALUE"""),9.0)</f>
        <v>9</v>
      </c>
      <c r="G330" s="2">
        <f>IFERROR(__xludf.DUMMYFUNCTION("""COMPUTED_VALUE"""),2024.0)</f>
        <v>2024</v>
      </c>
      <c r="H330" s="2" t="str">
        <f t="shared" si="2"/>
        <v>2024/9/22</v>
      </c>
      <c r="I330" s="2" t="s">
        <v>1595</v>
      </c>
      <c r="J330" s="2" t="str">
        <f t="shared" si="3"/>
        <v>Roti Gandum Cokelat</v>
      </c>
      <c r="K330" s="7">
        <f>if(RIGHT(I330,5)="2 pcs",2,Data!I330)</f>
        <v>1</v>
      </c>
      <c r="L330" s="2" t="str">
        <f t="shared" si="4"/>
        <v>Sunday</v>
      </c>
      <c r="M330" s="2" t="str">
        <f t="shared" si="5"/>
        <v>22</v>
      </c>
      <c r="N330" s="2">
        <f>VLOOKUP(L330,'Data Info'!$A$1:$B$8,2,0)</f>
        <v>7</v>
      </c>
      <c r="O330" s="2" t="str">
        <f>VLOOKUP(L330,'Data Info'!$A$1:$C$8,3,0)</f>
        <v>Weekend</v>
      </c>
    </row>
    <row r="331">
      <c r="A331" s="4">
        <v>45557.811111111114</v>
      </c>
      <c r="B331" s="9">
        <f>IFERROR(__xludf.DUMMYFUNCTION("SPLIT(A331,"" "")"),45557.0)</f>
        <v>45557</v>
      </c>
      <c r="C331" s="10">
        <f>IFERROR(__xludf.DUMMYFUNCTION("""COMPUTED_VALUE"""),0.8111111111111111)</f>
        <v>0.8111111111</v>
      </c>
      <c r="D331" s="2">
        <f t="shared" si="1"/>
        <v>19</v>
      </c>
      <c r="E331" s="2">
        <f>IFERROR(__xludf.DUMMYFUNCTION("SPLIT(B331,""/"")"),22.0)</f>
        <v>22</v>
      </c>
      <c r="F331" s="2">
        <f>IFERROR(__xludf.DUMMYFUNCTION("""COMPUTED_VALUE"""),9.0)</f>
        <v>9</v>
      </c>
      <c r="G331" s="2">
        <f>IFERROR(__xludf.DUMMYFUNCTION("""COMPUTED_VALUE"""),2024.0)</f>
        <v>2024</v>
      </c>
      <c r="H331" s="2" t="str">
        <f t="shared" si="2"/>
        <v>2024/9/22</v>
      </c>
      <c r="I331" s="2" t="s">
        <v>1583</v>
      </c>
      <c r="J331" s="2" t="str">
        <f t="shared" si="3"/>
        <v>Es Kopi Lemon</v>
      </c>
      <c r="K331" s="7">
        <f>if(RIGHT(I331,5)="2 pcs",2,Data!I331)</f>
        <v>1</v>
      </c>
      <c r="L331" s="2" t="str">
        <f t="shared" si="4"/>
        <v>Sunday</v>
      </c>
      <c r="M331" s="2" t="str">
        <f t="shared" si="5"/>
        <v>22</v>
      </c>
      <c r="N331" s="2">
        <f>VLOOKUP(L331,'Data Info'!$A$1:$B$8,2,0)</f>
        <v>7</v>
      </c>
      <c r="O331" s="2" t="str">
        <f>VLOOKUP(L331,'Data Info'!$A$1:$C$8,3,0)</f>
        <v>Weekend</v>
      </c>
    </row>
    <row r="332">
      <c r="A332" s="4">
        <v>45557.811111111114</v>
      </c>
      <c r="B332" s="9">
        <f>IFERROR(__xludf.DUMMYFUNCTION("SPLIT(A332,"" "")"),45557.0)</f>
        <v>45557</v>
      </c>
      <c r="C332" s="10">
        <f>IFERROR(__xludf.DUMMYFUNCTION("""COMPUTED_VALUE"""),0.8111111111111111)</f>
        <v>0.8111111111</v>
      </c>
      <c r="D332" s="2">
        <f t="shared" si="1"/>
        <v>19</v>
      </c>
      <c r="E332" s="2">
        <f>IFERROR(__xludf.DUMMYFUNCTION("SPLIT(B332,""/"")"),22.0)</f>
        <v>22</v>
      </c>
      <c r="F332" s="2">
        <f>IFERROR(__xludf.DUMMYFUNCTION("""COMPUTED_VALUE"""),9.0)</f>
        <v>9</v>
      </c>
      <c r="G332" s="2">
        <f>IFERROR(__xludf.DUMMYFUNCTION("""COMPUTED_VALUE"""),2024.0)</f>
        <v>2024</v>
      </c>
      <c r="H332" s="2" t="str">
        <f t="shared" si="2"/>
        <v>2024/9/22</v>
      </c>
      <c r="I332" s="2" t="s">
        <v>1573</v>
      </c>
      <c r="J332" s="2" t="str">
        <f t="shared" si="3"/>
        <v>Air mineral</v>
      </c>
      <c r="K332" s="7">
        <f>if(RIGHT(I332,5)="2 pcs",2,Data!I332)</f>
        <v>1</v>
      </c>
      <c r="L332" s="2" t="str">
        <f t="shared" si="4"/>
        <v>Sunday</v>
      </c>
      <c r="M332" s="2" t="str">
        <f t="shared" si="5"/>
        <v>22</v>
      </c>
      <c r="N332" s="2">
        <f>VLOOKUP(L332,'Data Info'!$A$1:$B$8,2,0)</f>
        <v>7</v>
      </c>
      <c r="O332" s="2" t="str">
        <f>VLOOKUP(L332,'Data Info'!$A$1:$C$8,3,0)</f>
        <v>Weekend</v>
      </c>
    </row>
    <row r="333">
      <c r="A333" s="4">
        <v>45557.811111111114</v>
      </c>
      <c r="B333" s="9">
        <f>IFERROR(__xludf.DUMMYFUNCTION("SPLIT(A333,"" "")"),45557.0)</f>
        <v>45557</v>
      </c>
      <c r="C333" s="10">
        <f>IFERROR(__xludf.DUMMYFUNCTION("""COMPUTED_VALUE"""),0.8111111111111111)</f>
        <v>0.8111111111</v>
      </c>
      <c r="D333" s="2">
        <f t="shared" si="1"/>
        <v>19</v>
      </c>
      <c r="E333" s="2">
        <f>IFERROR(__xludf.DUMMYFUNCTION("SPLIT(B333,""/"")"),22.0)</f>
        <v>22</v>
      </c>
      <c r="F333" s="2">
        <f>IFERROR(__xludf.DUMMYFUNCTION("""COMPUTED_VALUE"""),9.0)</f>
        <v>9</v>
      </c>
      <c r="G333" s="2">
        <f>IFERROR(__xludf.DUMMYFUNCTION("""COMPUTED_VALUE"""),2024.0)</f>
        <v>2024</v>
      </c>
      <c r="H333" s="2" t="str">
        <f t="shared" si="2"/>
        <v>2024/9/22</v>
      </c>
      <c r="I333" s="2" t="s">
        <v>1592</v>
      </c>
      <c r="J333" s="2" t="str">
        <f t="shared" si="3"/>
        <v>Kopi Tubruk Panas</v>
      </c>
      <c r="K333" s="7">
        <f>if(RIGHT(I333,5)="2 pcs",2,Data!I333)</f>
        <v>1</v>
      </c>
      <c r="L333" s="2" t="str">
        <f t="shared" si="4"/>
        <v>Sunday</v>
      </c>
      <c r="M333" s="2" t="str">
        <f t="shared" si="5"/>
        <v>22</v>
      </c>
      <c r="N333" s="2">
        <f>VLOOKUP(L333,'Data Info'!$A$1:$B$8,2,0)</f>
        <v>7</v>
      </c>
      <c r="O333" s="2" t="str">
        <f>VLOOKUP(L333,'Data Info'!$A$1:$C$8,3,0)</f>
        <v>Weekend</v>
      </c>
    </row>
    <row r="334">
      <c r="A334" s="4">
        <v>45557.779861111114</v>
      </c>
      <c r="B334" s="9">
        <f>IFERROR(__xludf.DUMMYFUNCTION("SPLIT(A334,"" "")"),45557.0)</f>
        <v>45557</v>
      </c>
      <c r="C334" s="10">
        <f>IFERROR(__xludf.DUMMYFUNCTION("""COMPUTED_VALUE"""),0.7798611111111111)</f>
        <v>0.7798611111</v>
      </c>
      <c r="D334" s="2">
        <f t="shared" si="1"/>
        <v>18</v>
      </c>
      <c r="E334" s="2">
        <f>IFERROR(__xludf.DUMMYFUNCTION("SPLIT(B334,""/"")"),22.0)</f>
        <v>22</v>
      </c>
      <c r="F334" s="2">
        <f>IFERROR(__xludf.DUMMYFUNCTION("""COMPUTED_VALUE"""),9.0)</f>
        <v>9</v>
      </c>
      <c r="G334" s="2">
        <f>IFERROR(__xludf.DUMMYFUNCTION("""COMPUTED_VALUE"""),2024.0)</f>
        <v>2024</v>
      </c>
      <c r="H334" s="2" t="str">
        <f t="shared" si="2"/>
        <v>2024/9/22</v>
      </c>
      <c r="I334" s="2" t="s">
        <v>1576</v>
      </c>
      <c r="J334" s="2" t="str">
        <f t="shared" si="3"/>
        <v>Roti Cranberry</v>
      </c>
      <c r="K334" s="7">
        <f>if(RIGHT(I334,5)="2 pcs",2,Data!I334)</f>
        <v>1</v>
      </c>
      <c r="L334" s="2" t="str">
        <f t="shared" si="4"/>
        <v>Sunday</v>
      </c>
      <c r="M334" s="2" t="str">
        <f t="shared" si="5"/>
        <v>22</v>
      </c>
      <c r="N334" s="2">
        <f>VLOOKUP(L334,'Data Info'!$A$1:$B$8,2,0)</f>
        <v>7</v>
      </c>
      <c r="O334" s="2" t="str">
        <f>VLOOKUP(L334,'Data Info'!$A$1:$C$8,3,0)</f>
        <v>Weekend</v>
      </c>
    </row>
    <row r="335">
      <c r="A335" s="4">
        <v>45557.70416666667</v>
      </c>
      <c r="B335" s="9">
        <f>IFERROR(__xludf.DUMMYFUNCTION("SPLIT(A335,"" "")"),45557.0)</f>
        <v>45557</v>
      </c>
      <c r="C335" s="10">
        <f>IFERROR(__xludf.DUMMYFUNCTION("""COMPUTED_VALUE"""),0.7041666666666667)</f>
        <v>0.7041666667</v>
      </c>
      <c r="D335" s="2">
        <f t="shared" si="1"/>
        <v>16</v>
      </c>
      <c r="E335" s="2">
        <f>IFERROR(__xludf.DUMMYFUNCTION("SPLIT(B335,""/"")"),22.0)</f>
        <v>22</v>
      </c>
      <c r="F335" s="2">
        <f>IFERROR(__xludf.DUMMYFUNCTION("""COMPUTED_VALUE"""),9.0)</f>
        <v>9</v>
      </c>
      <c r="G335" s="2">
        <f>IFERROR(__xludf.DUMMYFUNCTION("""COMPUTED_VALUE"""),2024.0)</f>
        <v>2024</v>
      </c>
      <c r="H335" s="2" t="str">
        <f t="shared" si="2"/>
        <v>2024/9/22</v>
      </c>
      <c r="I335" s="2" t="s">
        <v>1588</v>
      </c>
      <c r="J335" s="2" t="str">
        <f t="shared" si="3"/>
        <v>Es Kopi Susu</v>
      </c>
      <c r="K335" s="7">
        <f>if(RIGHT(I335,5)="2 pcs",2,Data!I335)</f>
        <v>2</v>
      </c>
      <c r="L335" s="2" t="str">
        <f t="shared" si="4"/>
        <v>Sunday</v>
      </c>
      <c r="M335" s="2" t="str">
        <f t="shared" si="5"/>
        <v>22</v>
      </c>
      <c r="N335" s="2">
        <f>VLOOKUP(L335,'Data Info'!$A$1:$B$8,2,0)</f>
        <v>7</v>
      </c>
      <c r="O335" s="2" t="str">
        <f>VLOOKUP(L335,'Data Info'!$A$1:$C$8,3,0)</f>
        <v>Weekend</v>
      </c>
    </row>
    <row r="336">
      <c r="A336" s="4">
        <v>45557.63680555556</v>
      </c>
      <c r="B336" s="9">
        <f>IFERROR(__xludf.DUMMYFUNCTION("SPLIT(A336,"" "")"),45557.0)</f>
        <v>45557</v>
      </c>
      <c r="C336" s="10">
        <f>IFERROR(__xludf.DUMMYFUNCTION("""COMPUTED_VALUE"""),0.6368055555555555)</f>
        <v>0.6368055556</v>
      </c>
      <c r="D336" s="2">
        <f t="shared" si="1"/>
        <v>15</v>
      </c>
      <c r="E336" s="2">
        <f>IFERROR(__xludf.DUMMYFUNCTION("SPLIT(B336,""/"")"),22.0)</f>
        <v>22</v>
      </c>
      <c r="F336" s="2">
        <f>IFERROR(__xludf.DUMMYFUNCTION("""COMPUTED_VALUE"""),9.0)</f>
        <v>9</v>
      </c>
      <c r="G336" s="2">
        <f>IFERROR(__xludf.DUMMYFUNCTION("""COMPUTED_VALUE"""),2024.0)</f>
        <v>2024</v>
      </c>
      <c r="H336" s="2" t="str">
        <f t="shared" si="2"/>
        <v>2024/9/22</v>
      </c>
      <c r="I336" s="2" t="s">
        <v>1596</v>
      </c>
      <c r="J336" s="2" t="str">
        <f t="shared" si="3"/>
        <v>Roti Cranberry</v>
      </c>
      <c r="K336" s="7">
        <f>if(RIGHT(I336,5)="2 pcs",2,Data!I336)</f>
        <v>2</v>
      </c>
      <c r="L336" s="2" t="str">
        <f t="shared" si="4"/>
        <v>Sunday</v>
      </c>
      <c r="M336" s="2" t="str">
        <f t="shared" si="5"/>
        <v>22</v>
      </c>
      <c r="N336" s="2">
        <f>VLOOKUP(L336,'Data Info'!$A$1:$B$8,2,0)</f>
        <v>7</v>
      </c>
      <c r="O336" s="2" t="str">
        <f>VLOOKUP(L336,'Data Info'!$A$1:$C$8,3,0)</f>
        <v>Weekend</v>
      </c>
    </row>
    <row r="337">
      <c r="A337" s="4">
        <v>45557.63680555556</v>
      </c>
      <c r="B337" s="9">
        <f>IFERROR(__xludf.DUMMYFUNCTION("SPLIT(A337,"" "")"),45557.0)</f>
        <v>45557</v>
      </c>
      <c r="C337" s="10">
        <f>IFERROR(__xludf.DUMMYFUNCTION("""COMPUTED_VALUE"""),0.6368055555555555)</f>
        <v>0.6368055556</v>
      </c>
      <c r="D337" s="2">
        <f t="shared" si="1"/>
        <v>15</v>
      </c>
      <c r="E337" s="2">
        <f>IFERROR(__xludf.DUMMYFUNCTION("SPLIT(B337,""/"")"),22.0)</f>
        <v>22</v>
      </c>
      <c r="F337" s="2">
        <f>IFERROR(__xludf.DUMMYFUNCTION("""COMPUTED_VALUE"""),9.0)</f>
        <v>9</v>
      </c>
      <c r="G337" s="2">
        <f>IFERROR(__xludf.DUMMYFUNCTION("""COMPUTED_VALUE"""),2024.0)</f>
        <v>2024</v>
      </c>
      <c r="H337" s="2" t="str">
        <f t="shared" si="2"/>
        <v>2024/9/22</v>
      </c>
      <c r="I337" s="2" t="s">
        <v>1597</v>
      </c>
      <c r="J337" s="2" t="str">
        <f t="shared" si="3"/>
        <v>Roti Gandum Cokelat</v>
      </c>
      <c r="K337" s="7">
        <f>if(RIGHT(I337,5)="2 pcs",2,Data!I337)</f>
        <v>2</v>
      </c>
      <c r="L337" s="2" t="str">
        <f t="shared" si="4"/>
        <v>Sunday</v>
      </c>
      <c r="M337" s="2" t="str">
        <f t="shared" si="5"/>
        <v>22</v>
      </c>
      <c r="N337" s="2">
        <f>VLOOKUP(L337,'Data Info'!$A$1:$B$8,2,0)</f>
        <v>7</v>
      </c>
      <c r="O337" s="2" t="str">
        <f>VLOOKUP(L337,'Data Info'!$A$1:$C$8,3,0)</f>
        <v>Weekend</v>
      </c>
    </row>
    <row r="338">
      <c r="A338" s="4">
        <v>45557.61875</v>
      </c>
      <c r="B338" s="9">
        <f>IFERROR(__xludf.DUMMYFUNCTION("SPLIT(A338,"" "")"),45557.0)</f>
        <v>45557</v>
      </c>
      <c r="C338" s="10">
        <f>IFERROR(__xludf.DUMMYFUNCTION("""COMPUTED_VALUE"""),0.61875)</f>
        <v>0.61875</v>
      </c>
      <c r="D338" s="2">
        <f t="shared" si="1"/>
        <v>14</v>
      </c>
      <c r="E338" s="2">
        <f>IFERROR(__xludf.DUMMYFUNCTION("SPLIT(B338,""/"")"),22.0)</f>
        <v>22</v>
      </c>
      <c r="F338" s="2">
        <f>IFERROR(__xludf.DUMMYFUNCTION("""COMPUTED_VALUE"""),9.0)</f>
        <v>9</v>
      </c>
      <c r="G338" s="2">
        <f>IFERROR(__xludf.DUMMYFUNCTION("""COMPUTED_VALUE"""),2024.0)</f>
        <v>2024</v>
      </c>
      <c r="H338" s="2" t="str">
        <f t="shared" si="2"/>
        <v>2024/9/22</v>
      </c>
      <c r="I338" s="2" t="s">
        <v>1596</v>
      </c>
      <c r="J338" s="2" t="str">
        <f t="shared" si="3"/>
        <v>Roti Cranberry</v>
      </c>
      <c r="K338" s="7">
        <f>if(RIGHT(I338,5)="2 pcs",2,Data!I338)</f>
        <v>2</v>
      </c>
      <c r="L338" s="2" t="str">
        <f t="shared" si="4"/>
        <v>Sunday</v>
      </c>
      <c r="M338" s="2" t="str">
        <f t="shared" si="5"/>
        <v>22</v>
      </c>
      <c r="N338" s="2">
        <f>VLOOKUP(L338,'Data Info'!$A$1:$B$8,2,0)</f>
        <v>7</v>
      </c>
      <c r="O338" s="2" t="str">
        <f>VLOOKUP(L338,'Data Info'!$A$1:$C$8,3,0)</f>
        <v>Weekend</v>
      </c>
    </row>
    <row r="339">
      <c r="A339" s="4">
        <v>45557.61875</v>
      </c>
      <c r="B339" s="9">
        <f>IFERROR(__xludf.DUMMYFUNCTION("SPLIT(A339,"" "")"),45557.0)</f>
        <v>45557</v>
      </c>
      <c r="C339" s="10">
        <f>IFERROR(__xludf.DUMMYFUNCTION("""COMPUTED_VALUE"""),0.61875)</f>
        <v>0.61875</v>
      </c>
      <c r="D339" s="2">
        <f t="shared" si="1"/>
        <v>14</v>
      </c>
      <c r="E339" s="2">
        <f>IFERROR(__xludf.DUMMYFUNCTION("SPLIT(B339,""/"")"),22.0)</f>
        <v>22</v>
      </c>
      <c r="F339" s="2">
        <f>IFERROR(__xludf.DUMMYFUNCTION("""COMPUTED_VALUE"""),9.0)</f>
        <v>9</v>
      </c>
      <c r="G339" s="2">
        <f>IFERROR(__xludf.DUMMYFUNCTION("""COMPUTED_VALUE"""),2024.0)</f>
        <v>2024</v>
      </c>
      <c r="H339" s="2" t="str">
        <f t="shared" si="2"/>
        <v>2024/9/22</v>
      </c>
      <c r="I339" s="2" t="s">
        <v>1595</v>
      </c>
      <c r="J339" s="2" t="str">
        <f t="shared" si="3"/>
        <v>Roti Gandum Cokelat</v>
      </c>
      <c r="K339" s="7">
        <f>if(RIGHT(I339,5)="2 pcs",2,Data!I339)</f>
        <v>1</v>
      </c>
      <c r="L339" s="2" t="str">
        <f t="shared" si="4"/>
        <v>Sunday</v>
      </c>
      <c r="M339" s="2" t="str">
        <f t="shared" si="5"/>
        <v>22</v>
      </c>
      <c r="N339" s="2">
        <f>VLOOKUP(L339,'Data Info'!$A$1:$B$8,2,0)</f>
        <v>7</v>
      </c>
      <c r="O339" s="2" t="str">
        <f>VLOOKUP(L339,'Data Info'!$A$1:$C$8,3,0)</f>
        <v>Weekend</v>
      </c>
    </row>
    <row r="340">
      <c r="A340" s="4">
        <v>45557.61666666667</v>
      </c>
      <c r="B340" s="9">
        <f>IFERROR(__xludf.DUMMYFUNCTION("SPLIT(A340,"" "")"),45557.0)</f>
        <v>45557</v>
      </c>
      <c r="C340" s="10">
        <f>IFERROR(__xludf.DUMMYFUNCTION("""COMPUTED_VALUE"""),0.6166666666666667)</f>
        <v>0.6166666667</v>
      </c>
      <c r="D340" s="2">
        <f t="shared" si="1"/>
        <v>14</v>
      </c>
      <c r="E340" s="2">
        <f>IFERROR(__xludf.DUMMYFUNCTION("SPLIT(B340,""/"")"),22.0)</f>
        <v>22</v>
      </c>
      <c r="F340" s="2">
        <f>IFERROR(__xludf.DUMMYFUNCTION("""COMPUTED_VALUE"""),9.0)</f>
        <v>9</v>
      </c>
      <c r="G340" s="2">
        <f>IFERROR(__xludf.DUMMYFUNCTION("""COMPUTED_VALUE"""),2024.0)</f>
        <v>2024</v>
      </c>
      <c r="H340" s="2" t="str">
        <f t="shared" si="2"/>
        <v>2024/9/22</v>
      </c>
      <c r="I340" s="2" t="s">
        <v>1603</v>
      </c>
      <c r="J340" s="2" t="str">
        <f t="shared" si="3"/>
        <v>Nasi Goreng Temu</v>
      </c>
      <c r="K340" s="7">
        <f>if(RIGHT(I340,5)="2 pcs",2,Data!I340)</f>
        <v>1</v>
      </c>
      <c r="L340" s="2" t="str">
        <f t="shared" si="4"/>
        <v>Sunday</v>
      </c>
      <c r="M340" s="2" t="str">
        <f t="shared" si="5"/>
        <v>22</v>
      </c>
      <c r="N340" s="2">
        <f>VLOOKUP(L340,'Data Info'!$A$1:$B$8,2,0)</f>
        <v>7</v>
      </c>
      <c r="O340" s="2" t="str">
        <f>VLOOKUP(L340,'Data Info'!$A$1:$C$8,3,0)</f>
        <v>Weekend</v>
      </c>
    </row>
    <row r="341">
      <c r="A341" s="4">
        <v>45557.61666666667</v>
      </c>
      <c r="B341" s="9">
        <f>IFERROR(__xludf.DUMMYFUNCTION("SPLIT(A341,"" "")"),45557.0)</f>
        <v>45557</v>
      </c>
      <c r="C341" s="10">
        <f>IFERROR(__xludf.DUMMYFUNCTION("""COMPUTED_VALUE"""),0.6166666666666667)</f>
        <v>0.6166666667</v>
      </c>
      <c r="D341" s="2">
        <f t="shared" si="1"/>
        <v>14</v>
      </c>
      <c r="E341" s="2">
        <f>IFERROR(__xludf.DUMMYFUNCTION("SPLIT(B341,""/"")"),22.0)</f>
        <v>22</v>
      </c>
      <c r="F341" s="2">
        <f>IFERROR(__xludf.DUMMYFUNCTION("""COMPUTED_VALUE"""),9.0)</f>
        <v>9</v>
      </c>
      <c r="G341" s="2">
        <f>IFERROR(__xludf.DUMMYFUNCTION("""COMPUTED_VALUE"""),2024.0)</f>
        <v>2024</v>
      </c>
      <c r="H341" s="2" t="str">
        <f t="shared" si="2"/>
        <v>2024/9/22</v>
      </c>
      <c r="I341" s="2" t="s">
        <v>1617</v>
      </c>
      <c r="J341" s="2" t="str">
        <f t="shared" si="3"/>
        <v>Lemon Tea Dingin</v>
      </c>
      <c r="K341" s="7">
        <f>if(RIGHT(I341,5)="2 pcs",2,Data!I341)</f>
        <v>1</v>
      </c>
      <c r="L341" s="2" t="str">
        <f t="shared" si="4"/>
        <v>Sunday</v>
      </c>
      <c r="M341" s="2" t="str">
        <f t="shared" si="5"/>
        <v>22</v>
      </c>
      <c r="N341" s="2">
        <f>VLOOKUP(L341,'Data Info'!$A$1:$B$8,2,0)</f>
        <v>7</v>
      </c>
      <c r="O341" s="2" t="str">
        <f>VLOOKUP(L341,'Data Info'!$A$1:$C$8,3,0)</f>
        <v>Weekend</v>
      </c>
    </row>
    <row r="342">
      <c r="A342" s="4">
        <v>45557.61666666667</v>
      </c>
      <c r="B342" s="9">
        <f>IFERROR(__xludf.DUMMYFUNCTION("SPLIT(A342,"" "")"),45557.0)</f>
        <v>45557</v>
      </c>
      <c r="C342" s="10">
        <f>IFERROR(__xludf.DUMMYFUNCTION("""COMPUTED_VALUE"""),0.6166666666666667)</f>
        <v>0.6166666667</v>
      </c>
      <c r="D342" s="2">
        <f t="shared" si="1"/>
        <v>14</v>
      </c>
      <c r="E342" s="2">
        <f>IFERROR(__xludf.DUMMYFUNCTION("SPLIT(B342,""/"")"),22.0)</f>
        <v>22</v>
      </c>
      <c r="F342" s="2">
        <f>IFERROR(__xludf.DUMMYFUNCTION("""COMPUTED_VALUE"""),9.0)</f>
        <v>9</v>
      </c>
      <c r="G342" s="2">
        <f>IFERROR(__xludf.DUMMYFUNCTION("""COMPUTED_VALUE"""),2024.0)</f>
        <v>2024</v>
      </c>
      <c r="H342" s="2" t="str">
        <f t="shared" si="2"/>
        <v>2024/9/22</v>
      </c>
      <c r="I342" s="2" t="s">
        <v>1588</v>
      </c>
      <c r="J342" s="2" t="str">
        <f t="shared" si="3"/>
        <v>Es Kopi Susu</v>
      </c>
      <c r="K342" s="7">
        <f>if(RIGHT(I342,5)="2 pcs",2,Data!I342)</f>
        <v>1</v>
      </c>
      <c r="L342" s="2" t="str">
        <f t="shared" si="4"/>
        <v>Sunday</v>
      </c>
      <c r="M342" s="2" t="str">
        <f t="shared" si="5"/>
        <v>22</v>
      </c>
      <c r="N342" s="2">
        <f>VLOOKUP(L342,'Data Info'!$A$1:$B$8,2,0)</f>
        <v>7</v>
      </c>
      <c r="O342" s="2" t="str">
        <f>VLOOKUP(L342,'Data Info'!$A$1:$C$8,3,0)</f>
        <v>Weekend</v>
      </c>
    </row>
    <row r="343">
      <c r="A343" s="4">
        <v>45557.61666666667</v>
      </c>
      <c r="B343" s="9">
        <f>IFERROR(__xludf.DUMMYFUNCTION("SPLIT(A343,"" "")"),45557.0)</f>
        <v>45557</v>
      </c>
      <c r="C343" s="10">
        <f>IFERROR(__xludf.DUMMYFUNCTION("""COMPUTED_VALUE"""),0.6166666666666667)</f>
        <v>0.6166666667</v>
      </c>
      <c r="D343" s="2">
        <f t="shared" si="1"/>
        <v>14</v>
      </c>
      <c r="E343" s="2">
        <f>IFERROR(__xludf.DUMMYFUNCTION("SPLIT(B343,""/"")"),22.0)</f>
        <v>22</v>
      </c>
      <c r="F343" s="2">
        <f>IFERROR(__xludf.DUMMYFUNCTION("""COMPUTED_VALUE"""),9.0)</f>
        <v>9</v>
      </c>
      <c r="G343" s="2">
        <f>IFERROR(__xludf.DUMMYFUNCTION("""COMPUTED_VALUE"""),2024.0)</f>
        <v>2024</v>
      </c>
      <c r="H343" s="2" t="str">
        <f t="shared" si="2"/>
        <v>2024/9/22</v>
      </c>
      <c r="I343" s="2" t="s">
        <v>1566</v>
      </c>
      <c r="J343" s="2" t="str">
        <f t="shared" si="3"/>
        <v>Roti Bawang Saus Keju</v>
      </c>
      <c r="K343" s="7">
        <f>if(RIGHT(I343,5)="2 pcs",2,Data!I343)</f>
        <v>1</v>
      </c>
      <c r="L343" s="2" t="str">
        <f t="shared" si="4"/>
        <v>Sunday</v>
      </c>
      <c r="M343" s="2" t="str">
        <f t="shared" si="5"/>
        <v>22</v>
      </c>
      <c r="N343" s="2">
        <f>VLOOKUP(L343,'Data Info'!$A$1:$B$8,2,0)</f>
        <v>7</v>
      </c>
      <c r="O343" s="2" t="str">
        <f>VLOOKUP(L343,'Data Info'!$A$1:$C$8,3,0)</f>
        <v>Weekend</v>
      </c>
    </row>
    <row r="344">
      <c r="A344" s="4">
        <v>45557.575694444444</v>
      </c>
      <c r="B344" s="9">
        <f>IFERROR(__xludf.DUMMYFUNCTION("SPLIT(A344,"" "")"),45557.0)</f>
        <v>45557</v>
      </c>
      <c r="C344" s="10">
        <f>IFERROR(__xludf.DUMMYFUNCTION("""COMPUTED_VALUE"""),0.5756944444444444)</f>
        <v>0.5756944444</v>
      </c>
      <c r="D344" s="2">
        <f t="shared" si="1"/>
        <v>13</v>
      </c>
      <c r="E344" s="2">
        <f>IFERROR(__xludf.DUMMYFUNCTION("SPLIT(B344,""/"")"),22.0)</f>
        <v>22</v>
      </c>
      <c r="F344" s="2">
        <f>IFERROR(__xludf.DUMMYFUNCTION("""COMPUTED_VALUE"""),9.0)</f>
        <v>9</v>
      </c>
      <c r="G344" s="2">
        <f>IFERROR(__xludf.DUMMYFUNCTION("""COMPUTED_VALUE"""),2024.0)</f>
        <v>2024</v>
      </c>
      <c r="H344" s="2" t="str">
        <f t="shared" si="2"/>
        <v>2024/9/22</v>
      </c>
      <c r="I344" s="2" t="s">
        <v>1596</v>
      </c>
      <c r="J344" s="2" t="str">
        <f t="shared" si="3"/>
        <v>Roti Cranberry</v>
      </c>
      <c r="K344" s="7">
        <f>if(RIGHT(I344,5)="2 pcs",2,Data!I344)</f>
        <v>2</v>
      </c>
      <c r="L344" s="2" t="str">
        <f t="shared" si="4"/>
        <v>Sunday</v>
      </c>
      <c r="M344" s="2" t="str">
        <f t="shared" si="5"/>
        <v>22</v>
      </c>
      <c r="N344" s="2">
        <f>VLOOKUP(L344,'Data Info'!$A$1:$B$8,2,0)</f>
        <v>7</v>
      </c>
      <c r="O344" s="2" t="str">
        <f>VLOOKUP(L344,'Data Info'!$A$1:$C$8,3,0)</f>
        <v>Weekend</v>
      </c>
    </row>
    <row r="345">
      <c r="A345" s="4">
        <v>45557.575694444444</v>
      </c>
      <c r="B345" s="9">
        <f>IFERROR(__xludf.DUMMYFUNCTION("SPLIT(A345,"" "")"),45557.0)</f>
        <v>45557</v>
      </c>
      <c r="C345" s="10">
        <f>IFERROR(__xludf.DUMMYFUNCTION("""COMPUTED_VALUE"""),0.5756944444444444)</f>
        <v>0.5756944444</v>
      </c>
      <c r="D345" s="2">
        <f t="shared" si="1"/>
        <v>13</v>
      </c>
      <c r="E345" s="2">
        <f>IFERROR(__xludf.DUMMYFUNCTION("SPLIT(B345,""/"")"),22.0)</f>
        <v>22</v>
      </c>
      <c r="F345" s="2">
        <f>IFERROR(__xludf.DUMMYFUNCTION("""COMPUTED_VALUE"""),9.0)</f>
        <v>9</v>
      </c>
      <c r="G345" s="2">
        <f>IFERROR(__xludf.DUMMYFUNCTION("""COMPUTED_VALUE"""),2024.0)</f>
        <v>2024</v>
      </c>
      <c r="H345" s="2" t="str">
        <f t="shared" si="2"/>
        <v>2024/9/22</v>
      </c>
      <c r="I345" s="2" t="s">
        <v>1601</v>
      </c>
      <c r="J345" s="2" t="str">
        <f t="shared" si="3"/>
        <v>Gula Asam Dingin</v>
      </c>
      <c r="K345" s="7">
        <f>if(RIGHT(I345,5)="2 pcs",2,Data!I345)</f>
        <v>1</v>
      </c>
      <c r="L345" s="2" t="str">
        <f t="shared" si="4"/>
        <v>Sunday</v>
      </c>
      <c r="M345" s="2" t="str">
        <f t="shared" si="5"/>
        <v>22</v>
      </c>
      <c r="N345" s="2">
        <f>VLOOKUP(L345,'Data Info'!$A$1:$B$8,2,0)</f>
        <v>7</v>
      </c>
      <c r="O345" s="2" t="str">
        <f>VLOOKUP(L345,'Data Info'!$A$1:$C$8,3,0)</f>
        <v>Weekend</v>
      </c>
    </row>
    <row r="346">
      <c r="A346" s="4">
        <v>45557.575694444444</v>
      </c>
      <c r="B346" s="9">
        <f>IFERROR(__xludf.DUMMYFUNCTION("SPLIT(A346,"" "")"),45557.0)</f>
        <v>45557</v>
      </c>
      <c r="C346" s="10">
        <f>IFERROR(__xludf.DUMMYFUNCTION("""COMPUTED_VALUE"""),0.5756944444444444)</f>
        <v>0.5756944444</v>
      </c>
      <c r="D346" s="2">
        <f t="shared" si="1"/>
        <v>13</v>
      </c>
      <c r="E346" s="2">
        <f>IFERROR(__xludf.DUMMYFUNCTION("SPLIT(B346,""/"")"),22.0)</f>
        <v>22</v>
      </c>
      <c r="F346" s="2">
        <f>IFERROR(__xludf.DUMMYFUNCTION("""COMPUTED_VALUE"""),9.0)</f>
        <v>9</v>
      </c>
      <c r="G346" s="2">
        <f>IFERROR(__xludf.DUMMYFUNCTION("""COMPUTED_VALUE"""),2024.0)</f>
        <v>2024</v>
      </c>
      <c r="H346" s="2" t="str">
        <f t="shared" si="2"/>
        <v>2024/9/22</v>
      </c>
      <c r="I346" s="2" t="s">
        <v>1617</v>
      </c>
      <c r="J346" s="2" t="str">
        <f t="shared" si="3"/>
        <v>Lemon Tea Dingin</v>
      </c>
      <c r="K346" s="7">
        <f>if(RIGHT(I346,5)="2 pcs",2,Data!I346)</f>
        <v>1</v>
      </c>
      <c r="L346" s="2" t="str">
        <f t="shared" si="4"/>
        <v>Sunday</v>
      </c>
      <c r="M346" s="2" t="str">
        <f t="shared" si="5"/>
        <v>22</v>
      </c>
      <c r="N346" s="2">
        <f>VLOOKUP(L346,'Data Info'!$A$1:$B$8,2,0)</f>
        <v>7</v>
      </c>
      <c r="O346" s="2" t="str">
        <f>VLOOKUP(L346,'Data Info'!$A$1:$C$8,3,0)</f>
        <v>Weekend</v>
      </c>
    </row>
    <row r="347">
      <c r="A347" s="4">
        <v>45557.575694444444</v>
      </c>
      <c r="B347" s="9">
        <f>IFERROR(__xludf.DUMMYFUNCTION("SPLIT(A347,"" "")"),45557.0)</f>
        <v>45557</v>
      </c>
      <c r="C347" s="10">
        <f>IFERROR(__xludf.DUMMYFUNCTION("""COMPUTED_VALUE"""),0.5756944444444444)</f>
        <v>0.5756944444</v>
      </c>
      <c r="D347" s="2">
        <f t="shared" si="1"/>
        <v>13</v>
      </c>
      <c r="E347" s="2">
        <f>IFERROR(__xludf.DUMMYFUNCTION("SPLIT(B347,""/"")"),22.0)</f>
        <v>22</v>
      </c>
      <c r="F347" s="2">
        <f>IFERROR(__xludf.DUMMYFUNCTION("""COMPUTED_VALUE"""),9.0)</f>
        <v>9</v>
      </c>
      <c r="G347" s="2">
        <f>IFERROR(__xludf.DUMMYFUNCTION("""COMPUTED_VALUE"""),2024.0)</f>
        <v>2024</v>
      </c>
      <c r="H347" s="2" t="str">
        <f t="shared" si="2"/>
        <v>2024/9/22</v>
      </c>
      <c r="I347" s="2" t="s">
        <v>1598</v>
      </c>
      <c r="J347" s="2" t="str">
        <f t="shared" si="3"/>
        <v>Korean Strawberry Fresh Milk</v>
      </c>
      <c r="K347" s="7">
        <f>if(RIGHT(I347,5)="2 pcs",2,Data!I347)</f>
        <v>1</v>
      </c>
      <c r="L347" s="2" t="str">
        <f t="shared" si="4"/>
        <v>Sunday</v>
      </c>
      <c r="M347" s="2" t="str">
        <f t="shared" si="5"/>
        <v>22</v>
      </c>
      <c r="N347" s="2">
        <f>VLOOKUP(L347,'Data Info'!$A$1:$B$8,2,0)</f>
        <v>7</v>
      </c>
      <c r="O347" s="2" t="str">
        <f>VLOOKUP(L347,'Data Info'!$A$1:$C$8,3,0)</f>
        <v>Weekend</v>
      </c>
    </row>
    <row r="348">
      <c r="A348" s="4">
        <v>45557.575694444444</v>
      </c>
      <c r="B348" s="9">
        <f>IFERROR(__xludf.DUMMYFUNCTION("SPLIT(A348,"" "")"),45557.0)</f>
        <v>45557</v>
      </c>
      <c r="C348" s="10">
        <f>IFERROR(__xludf.DUMMYFUNCTION("""COMPUTED_VALUE"""),0.5756944444444444)</f>
        <v>0.5756944444</v>
      </c>
      <c r="D348" s="2">
        <f t="shared" si="1"/>
        <v>13</v>
      </c>
      <c r="E348" s="2">
        <f>IFERROR(__xludf.DUMMYFUNCTION("SPLIT(B348,""/"")"),22.0)</f>
        <v>22</v>
      </c>
      <c r="F348" s="2">
        <f>IFERROR(__xludf.DUMMYFUNCTION("""COMPUTED_VALUE"""),9.0)</f>
        <v>9</v>
      </c>
      <c r="G348" s="2">
        <f>IFERROR(__xludf.DUMMYFUNCTION("""COMPUTED_VALUE"""),2024.0)</f>
        <v>2024</v>
      </c>
      <c r="H348" s="2" t="str">
        <f t="shared" si="2"/>
        <v>2024/9/22</v>
      </c>
      <c r="I348" s="2" t="s">
        <v>1587</v>
      </c>
      <c r="J348" s="2" t="str">
        <f t="shared" si="3"/>
        <v>Tahu Lada Garam</v>
      </c>
      <c r="K348" s="7">
        <f>if(RIGHT(I348,5)="2 pcs",2,Data!I348)</f>
        <v>1</v>
      </c>
      <c r="L348" s="2" t="str">
        <f t="shared" si="4"/>
        <v>Sunday</v>
      </c>
      <c r="M348" s="2" t="str">
        <f t="shared" si="5"/>
        <v>22</v>
      </c>
      <c r="N348" s="2">
        <f>VLOOKUP(L348,'Data Info'!$A$1:$B$8,2,0)</f>
        <v>7</v>
      </c>
      <c r="O348" s="2" t="str">
        <f>VLOOKUP(L348,'Data Info'!$A$1:$C$8,3,0)</f>
        <v>Weekend</v>
      </c>
    </row>
    <row r="349">
      <c r="A349" s="4">
        <v>45557.575694444444</v>
      </c>
      <c r="B349" s="9">
        <f>IFERROR(__xludf.DUMMYFUNCTION("SPLIT(A349,"" "")"),45557.0)</f>
        <v>45557</v>
      </c>
      <c r="C349" s="10">
        <f>IFERROR(__xludf.DUMMYFUNCTION("""COMPUTED_VALUE"""),0.5756944444444444)</f>
        <v>0.5756944444</v>
      </c>
      <c r="D349" s="2">
        <f t="shared" si="1"/>
        <v>13</v>
      </c>
      <c r="E349" s="2">
        <f>IFERROR(__xludf.DUMMYFUNCTION("SPLIT(B349,""/"")"),22.0)</f>
        <v>22</v>
      </c>
      <c r="F349" s="2">
        <f>IFERROR(__xludf.DUMMYFUNCTION("""COMPUTED_VALUE"""),9.0)</f>
        <v>9</v>
      </c>
      <c r="G349" s="2">
        <f>IFERROR(__xludf.DUMMYFUNCTION("""COMPUTED_VALUE"""),2024.0)</f>
        <v>2024</v>
      </c>
      <c r="H349" s="2" t="str">
        <f t="shared" si="2"/>
        <v>2024/9/22</v>
      </c>
      <c r="I349" s="2" t="s">
        <v>1609</v>
      </c>
      <c r="J349" s="2" t="str">
        <f t="shared" si="3"/>
        <v>Tempe Mendoan</v>
      </c>
      <c r="K349" s="7">
        <f>if(RIGHT(I349,5)="2 pcs",2,Data!I349)</f>
        <v>1</v>
      </c>
      <c r="L349" s="2" t="str">
        <f t="shared" si="4"/>
        <v>Sunday</v>
      </c>
      <c r="M349" s="2" t="str">
        <f t="shared" si="5"/>
        <v>22</v>
      </c>
      <c r="N349" s="2">
        <f>VLOOKUP(L349,'Data Info'!$A$1:$B$8,2,0)</f>
        <v>7</v>
      </c>
      <c r="O349" s="2" t="str">
        <f>VLOOKUP(L349,'Data Info'!$A$1:$C$8,3,0)</f>
        <v>Weekend</v>
      </c>
    </row>
    <row r="350">
      <c r="A350" s="4">
        <v>45557.572222222225</v>
      </c>
      <c r="B350" s="9">
        <f>IFERROR(__xludf.DUMMYFUNCTION("SPLIT(A350,"" "")"),45557.0)</f>
        <v>45557</v>
      </c>
      <c r="C350" s="10">
        <f>IFERROR(__xludf.DUMMYFUNCTION("""COMPUTED_VALUE"""),0.5722222222222222)</f>
        <v>0.5722222222</v>
      </c>
      <c r="D350" s="2">
        <f t="shared" si="1"/>
        <v>13</v>
      </c>
      <c r="E350" s="2">
        <f>IFERROR(__xludf.DUMMYFUNCTION("SPLIT(B350,""/"")"),22.0)</f>
        <v>22</v>
      </c>
      <c r="F350" s="2">
        <f>IFERROR(__xludf.DUMMYFUNCTION("""COMPUTED_VALUE"""),9.0)</f>
        <v>9</v>
      </c>
      <c r="G350" s="2">
        <f>IFERROR(__xludf.DUMMYFUNCTION("""COMPUTED_VALUE"""),2024.0)</f>
        <v>2024</v>
      </c>
      <c r="H350" s="2" t="str">
        <f t="shared" si="2"/>
        <v>2024/9/22</v>
      </c>
      <c r="I350" s="2" t="s">
        <v>1597</v>
      </c>
      <c r="J350" s="2" t="str">
        <f t="shared" si="3"/>
        <v>Roti Gandum Cokelat</v>
      </c>
      <c r="K350" s="7">
        <f>if(RIGHT(I350,5)="2 pcs",2,Data!I350)</f>
        <v>2</v>
      </c>
      <c r="L350" s="2" t="str">
        <f t="shared" si="4"/>
        <v>Sunday</v>
      </c>
      <c r="M350" s="2" t="str">
        <f t="shared" si="5"/>
        <v>22</v>
      </c>
      <c r="N350" s="2">
        <f>VLOOKUP(L350,'Data Info'!$A$1:$B$8,2,0)</f>
        <v>7</v>
      </c>
      <c r="O350" s="2" t="str">
        <f>VLOOKUP(L350,'Data Info'!$A$1:$C$8,3,0)</f>
        <v>Weekend</v>
      </c>
    </row>
    <row r="351">
      <c r="A351" s="4">
        <v>45557.572222222225</v>
      </c>
      <c r="B351" s="9">
        <f>IFERROR(__xludf.DUMMYFUNCTION("SPLIT(A351,"" "")"),45557.0)</f>
        <v>45557</v>
      </c>
      <c r="C351" s="10">
        <f>IFERROR(__xludf.DUMMYFUNCTION("""COMPUTED_VALUE"""),0.5722222222222222)</f>
        <v>0.5722222222</v>
      </c>
      <c r="D351" s="2">
        <f t="shared" si="1"/>
        <v>13</v>
      </c>
      <c r="E351" s="2">
        <f>IFERROR(__xludf.DUMMYFUNCTION("SPLIT(B351,""/"")"),22.0)</f>
        <v>22</v>
      </c>
      <c r="F351" s="2">
        <f>IFERROR(__xludf.DUMMYFUNCTION("""COMPUTED_VALUE"""),9.0)</f>
        <v>9</v>
      </c>
      <c r="G351" s="2">
        <f>IFERROR(__xludf.DUMMYFUNCTION("""COMPUTED_VALUE"""),2024.0)</f>
        <v>2024</v>
      </c>
      <c r="H351" s="2" t="str">
        <f t="shared" si="2"/>
        <v>2024/9/22</v>
      </c>
      <c r="I351" s="2" t="s">
        <v>1596</v>
      </c>
      <c r="J351" s="2" t="str">
        <f t="shared" si="3"/>
        <v>Roti Cranberry</v>
      </c>
      <c r="K351" s="7">
        <f>if(RIGHT(I351,5)="2 pcs",2,Data!I351)</f>
        <v>2</v>
      </c>
      <c r="L351" s="2" t="str">
        <f t="shared" si="4"/>
        <v>Sunday</v>
      </c>
      <c r="M351" s="2" t="str">
        <f t="shared" si="5"/>
        <v>22</v>
      </c>
      <c r="N351" s="2">
        <f>VLOOKUP(L351,'Data Info'!$A$1:$B$8,2,0)</f>
        <v>7</v>
      </c>
      <c r="O351" s="2" t="str">
        <f>VLOOKUP(L351,'Data Info'!$A$1:$C$8,3,0)</f>
        <v>Weekend</v>
      </c>
    </row>
    <row r="352">
      <c r="A352" s="4">
        <v>45557.572222222225</v>
      </c>
      <c r="B352" s="9">
        <f>IFERROR(__xludf.DUMMYFUNCTION("SPLIT(A352,"" "")"),45557.0)</f>
        <v>45557</v>
      </c>
      <c r="C352" s="10">
        <f>IFERROR(__xludf.DUMMYFUNCTION("""COMPUTED_VALUE"""),0.5722222222222222)</f>
        <v>0.5722222222</v>
      </c>
      <c r="D352" s="2">
        <f t="shared" si="1"/>
        <v>13</v>
      </c>
      <c r="E352" s="2">
        <f>IFERROR(__xludf.DUMMYFUNCTION("SPLIT(B352,""/"")"),22.0)</f>
        <v>22</v>
      </c>
      <c r="F352" s="2">
        <f>IFERROR(__xludf.DUMMYFUNCTION("""COMPUTED_VALUE"""),9.0)</f>
        <v>9</v>
      </c>
      <c r="G352" s="2">
        <f>IFERROR(__xludf.DUMMYFUNCTION("""COMPUTED_VALUE"""),2024.0)</f>
        <v>2024</v>
      </c>
      <c r="H352" s="2" t="str">
        <f t="shared" si="2"/>
        <v>2024/9/22</v>
      </c>
      <c r="I352" s="2" t="s">
        <v>1595</v>
      </c>
      <c r="J352" s="2" t="str">
        <f t="shared" si="3"/>
        <v>Roti Gandum Cokelat</v>
      </c>
      <c r="K352" s="7">
        <f>if(RIGHT(I352,5)="2 pcs",2,Data!I352)</f>
        <v>1</v>
      </c>
      <c r="L352" s="2" t="str">
        <f t="shared" si="4"/>
        <v>Sunday</v>
      </c>
      <c r="M352" s="2" t="str">
        <f t="shared" si="5"/>
        <v>22</v>
      </c>
      <c r="N352" s="2">
        <f>VLOOKUP(L352,'Data Info'!$A$1:$B$8,2,0)</f>
        <v>7</v>
      </c>
      <c r="O352" s="2" t="str">
        <f>VLOOKUP(L352,'Data Info'!$A$1:$C$8,3,0)</f>
        <v>Weekend</v>
      </c>
    </row>
    <row r="353">
      <c r="A353" s="4">
        <v>45557.561111111114</v>
      </c>
      <c r="B353" s="9">
        <f>IFERROR(__xludf.DUMMYFUNCTION("SPLIT(A353,"" "")"),45557.0)</f>
        <v>45557</v>
      </c>
      <c r="C353" s="10">
        <f>IFERROR(__xludf.DUMMYFUNCTION("""COMPUTED_VALUE"""),0.5611111111111111)</f>
        <v>0.5611111111</v>
      </c>
      <c r="D353" s="2">
        <f t="shared" si="1"/>
        <v>13</v>
      </c>
      <c r="E353" s="2">
        <f>IFERROR(__xludf.DUMMYFUNCTION("SPLIT(B353,""/"")"),22.0)</f>
        <v>22</v>
      </c>
      <c r="F353" s="2">
        <f>IFERROR(__xludf.DUMMYFUNCTION("""COMPUTED_VALUE"""),9.0)</f>
        <v>9</v>
      </c>
      <c r="G353" s="2">
        <f>IFERROR(__xludf.DUMMYFUNCTION("""COMPUTED_VALUE"""),2024.0)</f>
        <v>2024</v>
      </c>
      <c r="H353" s="2" t="str">
        <f t="shared" si="2"/>
        <v>2024/9/22</v>
      </c>
      <c r="I353" s="2" t="s">
        <v>1591</v>
      </c>
      <c r="J353" s="2" t="str">
        <f t="shared" si="3"/>
        <v>Kopi cur</v>
      </c>
      <c r="K353" s="7">
        <f>if(RIGHT(I353,5)="2 pcs",2,Data!I353)</f>
        <v>1</v>
      </c>
      <c r="L353" s="2" t="str">
        <f t="shared" si="4"/>
        <v>Sunday</v>
      </c>
      <c r="M353" s="2" t="str">
        <f t="shared" si="5"/>
        <v>22</v>
      </c>
      <c r="N353" s="2">
        <f>VLOOKUP(L353,'Data Info'!$A$1:$B$8,2,0)</f>
        <v>7</v>
      </c>
      <c r="O353" s="2" t="str">
        <f>VLOOKUP(L353,'Data Info'!$A$1:$C$8,3,0)</f>
        <v>Weekend</v>
      </c>
    </row>
    <row r="354">
      <c r="A354" s="4">
        <v>45557.561111111114</v>
      </c>
      <c r="B354" s="9">
        <f>IFERROR(__xludf.DUMMYFUNCTION("SPLIT(A354,"" "")"),45557.0)</f>
        <v>45557</v>
      </c>
      <c r="C354" s="10">
        <f>IFERROR(__xludf.DUMMYFUNCTION("""COMPUTED_VALUE"""),0.5611111111111111)</f>
        <v>0.5611111111</v>
      </c>
      <c r="D354" s="2">
        <f t="shared" si="1"/>
        <v>13</v>
      </c>
      <c r="E354" s="2">
        <f>IFERROR(__xludf.DUMMYFUNCTION("SPLIT(B354,""/"")"),22.0)</f>
        <v>22</v>
      </c>
      <c r="F354" s="2">
        <f>IFERROR(__xludf.DUMMYFUNCTION("""COMPUTED_VALUE"""),9.0)</f>
        <v>9</v>
      </c>
      <c r="G354" s="2">
        <f>IFERROR(__xludf.DUMMYFUNCTION("""COMPUTED_VALUE"""),2024.0)</f>
        <v>2024</v>
      </c>
      <c r="H354" s="2" t="str">
        <f t="shared" si="2"/>
        <v>2024/9/22</v>
      </c>
      <c r="I354" s="2" t="s">
        <v>1595</v>
      </c>
      <c r="J354" s="2" t="str">
        <f t="shared" si="3"/>
        <v>Roti Gandum Cokelat</v>
      </c>
      <c r="K354" s="7">
        <f>if(RIGHT(I354,5)="2 pcs",2,Data!I354)</f>
        <v>1</v>
      </c>
      <c r="L354" s="2" t="str">
        <f t="shared" si="4"/>
        <v>Sunday</v>
      </c>
      <c r="M354" s="2" t="str">
        <f t="shared" si="5"/>
        <v>22</v>
      </c>
      <c r="N354" s="2">
        <f>VLOOKUP(L354,'Data Info'!$A$1:$B$8,2,0)</f>
        <v>7</v>
      </c>
      <c r="O354" s="2" t="str">
        <f>VLOOKUP(L354,'Data Info'!$A$1:$C$8,3,0)</f>
        <v>Weekend</v>
      </c>
    </row>
    <row r="355">
      <c r="A355" s="4">
        <v>45557.561111111114</v>
      </c>
      <c r="B355" s="9">
        <f>IFERROR(__xludf.DUMMYFUNCTION("SPLIT(A355,"" "")"),45557.0)</f>
        <v>45557</v>
      </c>
      <c r="C355" s="10">
        <f>IFERROR(__xludf.DUMMYFUNCTION("""COMPUTED_VALUE"""),0.5611111111111111)</f>
        <v>0.5611111111</v>
      </c>
      <c r="D355" s="2">
        <f t="shared" si="1"/>
        <v>13</v>
      </c>
      <c r="E355" s="2">
        <f>IFERROR(__xludf.DUMMYFUNCTION("SPLIT(B355,""/"")"),22.0)</f>
        <v>22</v>
      </c>
      <c r="F355" s="2">
        <f>IFERROR(__xludf.DUMMYFUNCTION("""COMPUTED_VALUE"""),9.0)</f>
        <v>9</v>
      </c>
      <c r="G355" s="2">
        <f>IFERROR(__xludf.DUMMYFUNCTION("""COMPUTED_VALUE"""),2024.0)</f>
        <v>2024</v>
      </c>
      <c r="H355" s="2" t="str">
        <f t="shared" si="2"/>
        <v>2024/9/22</v>
      </c>
      <c r="I355" s="2" t="s">
        <v>1576</v>
      </c>
      <c r="J355" s="2" t="str">
        <f t="shared" si="3"/>
        <v>Roti Cranberry</v>
      </c>
      <c r="K355" s="7">
        <f>if(RIGHT(I355,5)="2 pcs",2,Data!I355)</f>
        <v>1</v>
      </c>
      <c r="L355" s="2" t="str">
        <f t="shared" si="4"/>
        <v>Sunday</v>
      </c>
      <c r="M355" s="2" t="str">
        <f t="shared" si="5"/>
        <v>22</v>
      </c>
      <c r="N355" s="2">
        <f>VLOOKUP(L355,'Data Info'!$A$1:$B$8,2,0)</f>
        <v>7</v>
      </c>
      <c r="O355" s="2" t="str">
        <f>VLOOKUP(L355,'Data Info'!$A$1:$C$8,3,0)</f>
        <v>Weekend</v>
      </c>
    </row>
    <row r="356">
      <c r="A356" s="4">
        <v>45557.561111111114</v>
      </c>
      <c r="B356" s="9">
        <f>IFERROR(__xludf.DUMMYFUNCTION("SPLIT(A356,"" "")"),45557.0)</f>
        <v>45557</v>
      </c>
      <c r="C356" s="10">
        <f>IFERROR(__xludf.DUMMYFUNCTION("""COMPUTED_VALUE"""),0.5611111111111111)</f>
        <v>0.5611111111</v>
      </c>
      <c r="D356" s="2">
        <f t="shared" si="1"/>
        <v>13</v>
      </c>
      <c r="E356" s="2">
        <f>IFERROR(__xludf.DUMMYFUNCTION("SPLIT(B356,""/"")"),22.0)</f>
        <v>22</v>
      </c>
      <c r="F356" s="2">
        <f>IFERROR(__xludf.DUMMYFUNCTION("""COMPUTED_VALUE"""),9.0)</f>
        <v>9</v>
      </c>
      <c r="G356" s="2">
        <f>IFERROR(__xludf.DUMMYFUNCTION("""COMPUTED_VALUE"""),2024.0)</f>
        <v>2024</v>
      </c>
      <c r="H356" s="2" t="str">
        <f t="shared" si="2"/>
        <v>2024/9/22</v>
      </c>
      <c r="I356" s="2" t="s">
        <v>1608</v>
      </c>
      <c r="J356" s="2" t="str">
        <f t="shared" si="3"/>
        <v>Susu murni strawberry</v>
      </c>
      <c r="K356" s="7">
        <f>if(RIGHT(I356,5)="2 pcs",2,Data!I356)</f>
        <v>1</v>
      </c>
      <c r="L356" s="2" t="str">
        <f t="shared" si="4"/>
        <v>Sunday</v>
      </c>
      <c r="M356" s="2" t="str">
        <f t="shared" si="5"/>
        <v>22</v>
      </c>
      <c r="N356" s="2">
        <f>VLOOKUP(L356,'Data Info'!$A$1:$B$8,2,0)</f>
        <v>7</v>
      </c>
      <c r="O356" s="2" t="str">
        <f>VLOOKUP(L356,'Data Info'!$A$1:$C$8,3,0)</f>
        <v>Weekend</v>
      </c>
    </row>
    <row r="357">
      <c r="A357" s="4">
        <v>45557.54791666667</v>
      </c>
      <c r="B357" s="9">
        <f>IFERROR(__xludf.DUMMYFUNCTION("SPLIT(A357,"" "")"),45557.0)</f>
        <v>45557</v>
      </c>
      <c r="C357" s="10">
        <f>IFERROR(__xludf.DUMMYFUNCTION("""COMPUTED_VALUE"""),0.5479166666666667)</f>
        <v>0.5479166667</v>
      </c>
      <c r="D357" s="2">
        <f t="shared" si="1"/>
        <v>13</v>
      </c>
      <c r="E357" s="2">
        <f>IFERROR(__xludf.DUMMYFUNCTION("SPLIT(B357,""/"")"),22.0)</f>
        <v>22</v>
      </c>
      <c r="F357" s="2">
        <f>IFERROR(__xludf.DUMMYFUNCTION("""COMPUTED_VALUE"""),9.0)</f>
        <v>9</v>
      </c>
      <c r="G357" s="2">
        <f>IFERROR(__xludf.DUMMYFUNCTION("""COMPUTED_VALUE"""),2024.0)</f>
        <v>2024</v>
      </c>
      <c r="H357" s="2" t="str">
        <f t="shared" si="2"/>
        <v>2024/9/22</v>
      </c>
      <c r="I357" s="2" t="s">
        <v>1596</v>
      </c>
      <c r="J357" s="2" t="str">
        <f t="shared" si="3"/>
        <v>Roti Cranberry</v>
      </c>
      <c r="K357" s="7">
        <f>if(RIGHT(I357,5)="2 pcs",2,Data!I357)</f>
        <v>2</v>
      </c>
      <c r="L357" s="2" t="str">
        <f t="shared" si="4"/>
        <v>Sunday</v>
      </c>
      <c r="M357" s="2" t="str">
        <f t="shared" si="5"/>
        <v>22</v>
      </c>
      <c r="N357" s="2">
        <f>VLOOKUP(L357,'Data Info'!$A$1:$B$8,2,0)</f>
        <v>7</v>
      </c>
      <c r="O357" s="2" t="str">
        <f>VLOOKUP(L357,'Data Info'!$A$1:$C$8,3,0)</f>
        <v>Weekend</v>
      </c>
    </row>
    <row r="358">
      <c r="A358" s="4">
        <v>45557.54791666667</v>
      </c>
      <c r="B358" s="9">
        <f>IFERROR(__xludf.DUMMYFUNCTION("SPLIT(A358,"" "")"),45557.0)</f>
        <v>45557</v>
      </c>
      <c r="C358" s="10">
        <f>IFERROR(__xludf.DUMMYFUNCTION("""COMPUTED_VALUE"""),0.5479166666666667)</f>
        <v>0.5479166667</v>
      </c>
      <c r="D358" s="2">
        <f t="shared" si="1"/>
        <v>13</v>
      </c>
      <c r="E358" s="2">
        <f>IFERROR(__xludf.DUMMYFUNCTION("SPLIT(B358,""/"")"),22.0)</f>
        <v>22</v>
      </c>
      <c r="F358" s="2">
        <f>IFERROR(__xludf.DUMMYFUNCTION("""COMPUTED_VALUE"""),9.0)</f>
        <v>9</v>
      </c>
      <c r="G358" s="2">
        <f>IFERROR(__xludf.DUMMYFUNCTION("""COMPUTED_VALUE"""),2024.0)</f>
        <v>2024</v>
      </c>
      <c r="H358" s="2" t="str">
        <f t="shared" si="2"/>
        <v>2024/9/22</v>
      </c>
      <c r="I358" s="2" t="s">
        <v>1597</v>
      </c>
      <c r="J358" s="2" t="str">
        <f t="shared" si="3"/>
        <v>Roti Gandum Cokelat</v>
      </c>
      <c r="K358" s="7">
        <f>if(RIGHT(I358,5)="2 pcs",2,Data!I358)</f>
        <v>2</v>
      </c>
      <c r="L358" s="2" t="str">
        <f t="shared" si="4"/>
        <v>Sunday</v>
      </c>
      <c r="M358" s="2" t="str">
        <f t="shared" si="5"/>
        <v>22</v>
      </c>
      <c r="N358" s="2">
        <f>VLOOKUP(L358,'Data Info'!$A$1:$B$8,2,0)</f>
        <v>7</v>
      </c>
      <c r="O358" s="2" t="str">
        <f>VLOOKUP(L358,'Data Info'!$A$1:$C$8,3,0)</f>
        <v>Weekend</v>
      </c>
    </row>
    <row r="359">
      <c r="A359" s="4">
        <v>45557.54791666667</v>
      </c>
      <c r="B359" s="9">
        <f>IFERROR(__xludf.DUMMYFUNCTION("SPLIT(A359,"" "")"),45557.0)</f>
        <v>45557</v>
      </c>
      <c r="C359" s="10">
        <f>IFERROR(__xludf.DUMMYFUNCTION("""COMPUTED_VALUE"""),0.5479166666666667)</f>
        <v>0.5479166667</v>
      </c>
      <c r="D359" s="2">
        <f t="shared" si="1"/>
        <v>13</v>
      </c>
      <c r="E359" s="2">
        <f>IFERROR(__xludf.DUMMYFUNCTION("SPLIT(B359,""/"")"),22.0)</f>
        <v>22</v>
      </c>
      <c r="F359" s="2">
        <f>IFERROR(__xludf.DUMMYFUNCTION("""COMPUTED_VALUE"""),9.0)</f>
        <v>9</v>
      </c>
      <c r="G359" s="2">
        <f>IFERROR(__xludf.DUMMYFUNCTION("""COMPUTED_VALUE"""),2024.0)</f>
        <v>2024</v>
      </c>
      <c r="H359" s="2" t="str">
        <f t="shared" si="2"/>
        <v>2024/9/22</v>
      </c>
      <c r="I359" s="2" t="s">
        <v>1566</v>
      </c>
      <c r="J359" s="2" t="str">
        <f t="shared" si="3"/>
        <v>Roti Bawang Saus Keju</v>
      </c>
      <c r="K359" s="7">
        <f>if(RIGHT(I359,5)="2 pcs",2,Data!I359)</f>
        <v>1</v>
      </c>
      <c r="L359" s="2" t="str">
        <f t="shared" si="4"/>
        <v>Sunday</v>
      </c>
      <c r="M359" s="2" t="str">
        <f t="shared" si="5"/>
        <v>22</v>
      </c>
      <c r="N359" s="2">
        <f>VLOOKUP(L359,'Data Info'!$A$1:$B$8,2,0)</f>
        <v>7</v>
      </c>
      <c r="O359" s="2" t="str">
        <f>VLOOKUP(L359,'Data Info'!$A$1:$C$8,3,0)</f>
        <v>Weekend</v>
      </c>
    </row>
    <row r="360">
      <c r="A360" s="4">
        <v>45557.54791666667</v>
      </c>
      <c r="B360" s="9">
        <f>IFERROR(__xludf.DUMMYFUNCTION("SPLIT(A360,"" "")"),45557.0)</f>
        <v>45557</v>
      </c>
      <c r="C360" s="10">
        <f>IFERROR(__xludf.DUMMYFUNCTION("""COMPUTED_VALUE"""),0.5479166666666667)</f>
        <v>0.5479166667</v>
      </c>
      <c r="D360" s="2">
        <f t="shared" si="1"/>
        <v>13</v>
      </c>
      <c r="E360" s="2">
        <f>IFERROR(__xludf.DUMMYFUNCTION("SPLIT(B360,""/"")"),22.0)</f>
        <v>22</v>
      </c>
      <c r="F360" s="2">
        <f>IFERROR(__xludf.DUMMYFUNCTION("""COMPUTED_VALUE"""),9.0)</f>
        <v>9</v>
      </c>
      <c r="G360" s="2">
        <f>IFERROR(__xludf.DUMMYFUNCTION("""COMPUTED_VALUE"""),2024.0)</f>
        <v>2024</v>
      </c>
      <c r="H360" s="2" t="str">
        <f t="shared" si="2"/>
        <v>2024/9/22</v>
      </c>
      <c r="I360" s="2" t="s">
        <v>1588</v>
      </c>
      <c r="J360" s="2" t="str">
        <f t="shared" si="3"/>
        <v>Es Kopi Susu</v>
      </c>
      <c r="K360" s="7">
        <f>if(RIGHT(I360,5)="2 pcs",2,Data!I360)</f>
        <v>2</v>
      </c>
      <c r="L360" s="2" t="str">
        <f t="shared" si="4"/>
        <v>Sunday</v>
      </c>
      <c r="M360" s="2" t="str">
        <f t="shared" si="5"/>
        <v>22</v>
      </c>
      <c r="N360" s="2">
        <f>VLOOKUP(L360,'Data Info'!$A$1:$B$8,2,0)</f>
        <v>7</v>
      </c>
      <c r="O360" s="2" t="str">
        <f>VLOOKUP(L360,'Data Info'!$A$1:$C$8,3,0)</f>
        <v>Weekend</v>
      </c>
    </row>
    <row r="361">
      <c r="A361" s="4">
        <v>45557.54791666667</v>
      </c>
      <c r="B361" s="9">
        <f>IFERROR(__xludf.DUMMYFUNCTION("SPLIT(A361,"" "")"),45557.0)</f>
        <v>45557</v>
      </c>
      <c r="C361" s="10">
        <f>IFERROR(__xludf.DUMMYFUNCTION("""COMPUTED_VALUE"""),0.5479166666666667)</f>
        <v>0.5479166667</v>
      </c>
      <c r="D361" s="2">
        <f t="shared" si="1"/>
        <v>13</v>
      </c>
      <c r="E361" s="2">
        <f>IFERROR(__xludf.DUMMYFUNCTION("SPLIT(B361,""/"")"),22.0)</f>
        <v>22</v>
      </c>
      <c r="F361" s="2">
        <f>IFERROR(__xludf.DUMMYFUNCTION("""COMPUTED_VALUE"""),9.0)</f>
        <v>9</v>
      </c>
      <c r="G361" s="2">
        <f>IFERROR(__xludf.DUMMYFUNCTION("""COMPUTED_VALUE"""),2024.0)</f>
        <v>2024</v>
      </c>
      <c r="H361" s="2" t="str">
        <f t="shared" si="2"/>
        <v>2024/9/22</v>
      </c>
      <c r="I361" s="2" t="s">
        <v>1584</v>
      </c>
      <c r="J361" s="2" t="str">
        <f t="shared" si="3"/>
        <v>Korean Mango Fresh Milk</v>
      </c>
      <c r="K361" s="7">
        <f>if(RIGHT(I361,5)="2 pcs",2,Data!I361)</f>
        <v>1</v>
      </c>
      <c r="L361" s="2" t="str">
        <f t="shared" si="4"/>
        <v>Sunday</v>
      </c>
      <c r="M361" s="2" t="str">
        <f t="shared" si="5"/>
        <v>22</v>
      </c>
      <c r="N361" s="2">
        <f>VLOOKUP(L361,'Data Info'!$A$1:$B$8,2,0)</f>
        <v>7</v>
      </c>
      <c r="O361" s="2" t="str">
        <f>VLOOKUP(L361,'Data Info'!$A$1:$C$8,3,0)</f>
        <v>Weekend</v>
      </c>
    </row>
    <row r="362">
      <c r="A362" s="4">
        <v>45557.54375</v>
      </c>
      <c r="B362" s="9">
        <f>IFERROR(__xludf.DUMMYFUNCTION("SPLIT(A362,"" "")"),45557.0)</f>
        <v>45557</v>
      </c>
      <c r="C362" s="10">
        <f>IFERROR(__xludf.DUMMYFUNCTION("""COMPUTED_VALUE"""),0.54375)</f>
        <v>0.54375</v>
      </c>
      <c r="D362" s="2">
        <f t="shared" si="1"/>
        <v>13</v>
      </c>
      <c r="E362" s="2">
        <f>IFERROR(__xludf.DUMMYFUNCTION("SPLIT(B362,""/"")"),22.0)</f>
        <v>22</v>
      </c>
      <c r="F362" s="2">
        <f>IFERROR(__xludf.DUMMYFUNCTION("""COMPUTED_VALUE"""),9.0)</f>
        <v>9</v>
      </c>
      <c r="G362" s="2">
        <f>IFERROR(__xludf.DUMMYFUNCTION("""COMPUTED_VALUE"""),2024.0)</f>
        <v>2024</v>
      </c>
      <c r="H362" s="2" t="str">
        <f t="shared" si="2"/>
        <v>2024/9/22</v>
      </c>
      <c r="I362" s="2" t="s">
        <v>1566</v>
      </c>
      <c r="J362" s="2" t="str">
        <f t="shared" si="3"/>
        <v>Roti Bawang Saus Keju</v>
      </c>
      <c r="K362" s="7">
        <f>if(RIGHT(I362,5)="2 pcs",2,Data!I362)</f>
        <v>1</v>
      </c>
      <c r="L362" s="2" t="str">
        <f t="shared" si="4"/>
        <v>Sunday</v>
      </c>
      <c r="M362" s="2" t="str">
        <f t="shared" si="5"/>
        <v>22</v>
      </c>
      <c r="N362" s="2">
        <f>VLOOKUP(L362,'Data Info'!$A$1:$B$8,2,0)</f>
        <v>7</v>
      </c>
      <c r="O362" s="2" t="str">
        <f>VLOOKUP(L362,'Data Info'!$A$1:$C$8,3,0)</f>
        <v>Weekend</v>
      </c>
    </row>
    <row r="363">
      <c r="A363" s="4">
        <v>45557.54375</v>
      </c>
      <c r="B363" s="9">
        <f>IFERROR(__xludf.DUMMYFUNCTION("SPLIT(A363,"" "")"),45557.0)</f>
        <v>45557</v>
      </c>
      <c r="C363" s="10">
        <f>IFERROR(__xludf.DUMMYFUNCTION("""COMPUTED_VALUE"""),0.54375)</f>
        <v>0.54375</v>
      </c>
      <c r="D363" s="2">
        <f t="shared" si="1"/>
        <v>13</v>
      </c>
      <c r="E363" s="2">
        <f>IFERROR(__xludf.DUMMYFUNCTION("SPLIT(B363,""/"")"),22.0)</f>
        <v>22</v>
      </c>
      <c r="F363" s="2">
        <f>IFERROR(__xludf.DUMMYFUNCTION("""COMPUTED_VALUE"""),9.0)</f>
        <v>9</v>
      </c>
      <c r="G363" s="2">
        <f>IFERROR(__xludf.DUMMYFUNCTION("""COMPUTED_VALUE"""),2024.0)</f>
        <v>2024</v>
      </c>
      <c r="H363" s="2" t="str">
        <f t="shared" si="2"/>
        <v>2024/9/22</v>
      </c>
      <c r="I363" s="2" t="s">
        <v>1597</v>
      </c>
      <c r="J363" s="2" t="str">
        <f t="shared" si="3"/>
        <v>Roti Gandum Cokelat</v>
      </c>
      <c r="K363" s="7">
        <f>if(RIGHT(I363,5)="2 pcs",2,Data!I363)</f>
        <v>2</v>
      </c>
      <c r="L363" s="2" t="str">
        <f t="shared" si="4"/>
        <v>Sunday</v>
      </c>
      <c r="M363" s="2" t="str">
        <f t="shared" si="5"/>
        <v>22</v>
      </c>
      <c r="N363" s="2">
        <f>VLOOKUP(L363,'Data Info'!$A$1:$B$8,2,0)</f>
        <v>7</v>
      </c>
      <c r="O363" s="2" t="str">
        <f>VLOOKUP(L363,'Data Info'!$A$1:$C$8,3,0)</f>
        <v>Weekend</v>
      </c>
    </row>
    <row r="364">
      <c r="A364" s="4">
        <v>45557.49722222222</v>
      </c>
      <c r="B364" s="9">
        <f>IFERROR(__xludf.DUMMYFUNCTION("SPLIT(A364,"" "")"),45557.0)</f>
        <v>45557</v>
      </c>
      <c r="C364" s="10">
        <f>IFERROR(__xludf.DUMMYFUNCTION("""COMPUTED_VALUE"""),0.49722222222222223)</f>
        <v>0.4972222222</v>
      </c>
      <c r="D364" s="2">
        <f t="shared" si="1"/>
        <v>11</v>
      </c>
      <c r="E364" s="2">
        <f>IFERROR(__xludf.DUMMYFUNCTION("SPLIT(B364,""/"")"),22.0)</f>
        <v>22</v>
      </c>
      <c r="F364" s="2">
        <f>IFERROR(__xludf.DUMMYFUNCTION("""COMPUTED_VALUE"""),9.0)</f>
        <v>9</v>
      </c>
      <c r="G364" s="2">
        <f>IFERROR(__xludf.DUMMYFUNCTION("""COMPUTED_VALUE"""),2024.0)</f>
        <v>2024</v>
      </c>
      <c r="H364" s="2" t="str">
        <f t="shared" si="2"/>
        <v>2024/9/22</v>
      </c>
      <c r="I364" s="2" t="s">
        <v>1596</v>
      </c>
      <c r="J364" s="2" t="str">
        <f t="shared" si="3"/>
        <v>Roti Cranberry</v>
      </c>
      <c r="K364" s="7">
        <f>if(RIGHT(I364,5)="2 pcs",2,Data!I364)</f>
        <v>2</v>
      </c>
      <c r="L364" s="2" t="str">
        <f t="shared" si="4"/>
        <v>Sunday</v>
      </c>
      <c r="M364" s="2" t="str">
        <f t="shared" si="5"/>
        <v>22</v>
      </c>
      <c r="N364" s="2">
        <f>VLOOKUP(L364,'Data Info'!$A$1:$B$8,2,0)</f>
        <v>7</v>
      </c>
      <c r="O364" s="2" t="str">
        <f>VLOOKUP(L364,'Data Info'!$A$1:$C$8,3,0)</f>
        <v>Weekend</v>
      </c>
    </row>
    <row r="365">
      <c r="A365" s="4">
        <v>45557.46597222222</v>
      </c>
      <c r="B365" s="9">
        <f>IFERROR(__xludf.DUMMYFUNCTION("SPLIT(A365,"" "")"),45557.0)</f>
        <v>45557</v>
      </c>
      <c r="C365" s="10">
        <f>IFERROR(__xludf.DUMMYFUNCTION("""COMPUTED_VALUE"""),0.46597222222222223)</f>
        <v>0.4659722222</v>
      </c>
      <c r="D365" s="2">
        <f t="shared" si="1"/>
        <v>11</v>
      </c>
      <c r="E365" s="2">
        <f>IFERROR(__xludf.DUMMYFUNCTION("SPLIT(B365,""/"")"),22.0)</f>
        <v>22</v>
      </c>
      <c r="F365" s="2">
        <f>IFERROR(__xludf.DUMMYFUNCTION("""COMPUTED_VALUE"""),9.0)</f>
        <v>9</v>
      </c>
      <c r="G365" s="2">
        <f>IFERROR(__xludf.DUMMYFUNCTION("""COMPUTED_VALUE"""),2024.0)</f>
        <v>2024</v>
      </c>
      <c r="H365" s="2" t="str">
        <f t="shared" si="2"/>
        <v>2024/9/22</v>
      </c>
      <c r="I365" s="2" t="s">
        <v>1588</v>
      </c>
      <c r="J365" s="2" t="str">
        <f t="shared" si="3"/>
        <v>Es Kopi Susu</v>
      </c>
      <c r="K365" s="7">
        <f>if(RIGHT(I365,5)="2 pcs",2,Data!I365)</f>
        <v>1</v>
      </c>
      <c r="L365" s="2" t="str">
        <f t="shared" si="4"/>
        <v>Sunday</v>
      </c>
      <c r="M365" s="2" t="str">
        <f t="shared" si="5"/>
        <v>22</v>
      </c>
      <c r="N365" s="2">
        <f>VLOOKUP(L365,'Data Info'!$A$1:$B$8,2,0)</f>
        <v>7</v>
      </c>
      <c r="O365" s="2" t="str">
        <f>VLOOKUP(L365,'Data Info'!$A$1:$C$8,3,0)</f>
        <v>Weekend</v>
      </c>
    </row>
    <row r="366">
      <c r="A366" s="4">
        <v>45557.46597222222</v>
      </c>
      <c r="B366" s="9">
        <f>IFERROR(__xludf.DUMMYFUNCTION("SPLIT(A366,"" "")"),45557.0)</f>
        <v>45557</v>
      </c>
      <c r="C366" s="10">
        <f>IFERROR(__xludf.DUMMYFUNCTION("""COMPUTED_VALUE"""),0.46597222222222223)</f>
        <v>0.4659722222</v>
      </c>
      <c r="D366" s="2">
        <f t="shared" si="1"/>
        <v>11</v>
      </c>
      <c r="E366" s="2">
        <f>IFERROR(__xludf.DUMMYFUNCTION("SPLIT(B366,""/"")"),22.0)</f>
        <v>22</v>
      </c>
      <c r="F366" s="2">
        <f>IFERROR(__xludf.DUMMYFUNCTION("""COMPUTED_VALUE"""),9.0)</f>
        <v>9</v>
      </c>
      <c r="G366" s="2">
        <f>IFERROR(__xludf.DUMMYFUNCTION("""COMPUTED_VALUE"""),2024.0)</f>
        <v>2024</v>
      </c>
      <c r="H366" s="2" t="str">
        <f t="shared" si="2"/>
        <v>2024/9/22</v>
      </c>
      <c r="I366" s="2" t="s">
        <v>1584</v>
      </c>
      <c r="J366" s="2" t="str">
        <f t="shared" si="3"/>
        <v>Korean Mango Fresh Milk</v>
      </c>
      <c r="K366" s="7">
        <f>if(RIGHT(I366,5)="2 pcs",2,Data!I366)</f>
        <v>1</v>
      </c>
      <c r="L366" s="2" t="str">
        <f t="shared" si="4"/>
        <v>Sunday</v>
      </c>
      <c r="M366" s="2" t="str">
        <f t="shared" si="5"/>
        <v>22</v>
      </c>
      <c r="N366" s="2">
        <f>VLOOKUP(L366,'Data Info'!$A$1:$B$8,2,0)</f>
        <v>7</v>
      </c>
      <c r="O366" s="2" t="str">
        <f>VLOOKUP(L366,'Data Info'!$A$1:$C$8,3,0)</f>
        <v>Weekend</v>
      </c>
    </row>
    <row r="367">
      <c r="A367" s="4">
        <v>45557.46597222222</v>
      </c>
      <c r="B367" s="9">
        <f>IFERROR(__xludf.DUMMYFUNCTION("SPLIT(A367,"" "")"),45557.0)</f>
        <v>45557</v>
      </c>
      <c r="C367" s="10">
        <f>IFERROR(__xludf.DUMMYFUNCTION("""COMPUTED_VALUE"""),0.46597222222222223)</f>
        <v>0.4659722222</v>
      </c>
      <c r="D367" s="2">
        <f t="shared" si="1"/>
        <v>11</v>
      </c>
      <c r="E367" s="2">
        <f>IFERROR(__xludf.DUMMYFUNCTION("SPLIT(B367,""/"")"),22.0)</f>
        <v>22</v>
      </c>
      <c r="F367" s="2">
        <f>IFERROR(__xludf.DUMMYFUNCTION("""COMPUTED_VALUE"""),9.0)</f>
        <v>9</v>
      </c>
      <c r="G367" s="2">
        <f>IFERROR(__xludf.DUMMYFUNCTION("""COMPUTED_VALUE"""),2024.0)</f>
        <v>2024</v>
      </c>
      <c r="H367" s="2" t="str">
        <f t="shared" si="2"/>
        <v>2024/9/22</v>
      </c>
      <c r="I367" s="2" t="s">
        <v>1607</v>
      </c>
      <c r="J367" s="2" t="str">
        <f t="shared" si="3"/>
        <v>Tahu walik</v>
      </c>
      <c r="K367" s="7">
        <f>if(RIGHT(I367,5)="2 pcs",2,Data!I367)</f>
        <v>1</v>
      </c>
      <c r="L367" s="2" t="str">
        <f t="shared" si="4"/>
        <v>Sunday</v>
      </c>
      <c r="M367" s="2" t="str">
        <f t="shared" si="5"/>
        <v>22</v>
      </c>
      <c r="N367" s="2">
        <f>VLOOKUP(L367,'Data Info'!$A$1:$B$8,2,0)</f>
        <v>7</v>
      </c>
      <c r="O367" s="2" t="str">
        <f>VLOOKUP(L367,'Data Info'!$A$1:$C$8,3,0)</f>
        <v>Weekend</v>
      </c>
    </row>
    <row r="368">
      <c r="A368" s="4">
        <v>45557.46319444444</v>
      </c>
      <c r="B368" s="9">
        <f>IFERROR(__xludf.DUMMYFUNCTION("SPLIT(A368,"" "")"),45557.0)</f>
        <v>45557</v>
      </c>
      <c r="C368" s="10">
        <f>IFERROR(__xludf.DUMMYFUNCTION("""COMPUTED_VALUE"""),0.46319444444444446)</f>
        <v>0.4631944444</v>
      </c>
      <c r="D368" s="2">
        <f t="shared" si="1"/>
        <v>11</v>
      </c>
      <c r="E368" s="2">
        <f>IFERROR(__xludf.DUMMYFUNCTION("SPLIT(B368,""/"")"),22.0)</f>
        <v>22</v>
      </c>
      <c r="F368" s="2">
        <f>IFERROR(__xludf.DUMMYFUNCTION("""COMPUTED_VALUE"""),9.0)</f>
        <v>9</v>
      </c>
      <c r="G368" s="2">
        <f>IFERROR(__xludf.DUMMYFUNCTION("""COMPUTED_VALUE"""),2024.0)</f>
        <v>2024</v>
      </c>
      <c r="H368" s="2" t="str">
        <f t="shared" si="2"/>
        <v>2024/9/22</v>
      </c>
      <c r="I368" s="2" t="s">
        <v>1618</v>
      </c>
      <c r="J368" s="2" t="str">
        <f t="shared" si="3"/>
        <v>Susu murni ori</v>
      </c>
      <c r="K368" s="7">
        <f>if(RIGHT(I368,5)="2 pcs",2,Data!I368)</f>
        <v>1</v>
      </c>
      <c r="L368" s="2" t="str">
        <f t="shared" si="4"/>
        <v>Sunday</v>
      </c>
      <c r="M368" s="2" t="str">
        <f t="shared" si="5"/>
        <v>22</v>
      </c>
      <c r="N368" s="2">
        <f>VLOOKUP(L368,'Data Info'!$A$1:$B$8,2,0)</f>
        <v>7</v>
      </c>
      <c r="O368" s="2" t="str">
        <f>VLOOKUP(L368,'Data Info'!$A$1:$C$8,3,0)</f>
        <v>Weekend</v>
      </c>
    </row>
    <row r="369">
      <c r="A369" s="4">
        <v>45557.46319444444</v>
      </c>
      <c r="B369" s="9">
        <f>IFERROR(__xludf.DUMMYFUNCTION("SPLIT(A369,"" "")"),45557.0)</f>
        <v>45557</v>
      </c>
      <c r="C369" s="10">
        <f>IFERROR(__xludf.DUMMYFUNCTION("""COMPUTED_VALUE"""),0.46319444444444446)</f>
        <v>0.4631944444</v>
      </c>
      <c r="D369" s="2">
        <f t="shared" si="1"/>
        <v>11</v>
      </c>
      <c r="E369" s="2">
        <f>IFERROR(__xludf.DUMMYFUNCTION("SPLIT(B369,""/"")"),22.0)</f>
        <v>22</v>
      </c>
      <c r="F369" s="2">
        <f>IFERROR(__xludf.DUMMYFUNCTION("""COMPUTED_VALUE"""),9.0)</f>
        <v>9</v>
      </c>
      <c r="G369" s="2">
        <f>IFERROR(__xludf.DUMMYFUNCTION("""COMPUTED_VALUE"""),2024.0)</f>
        <v>2024</v>
      </c>
      <c r="H369" s="2" t="str">
        <f t="shared" si="2"/>
        <v>2024/9/22</v>
      </c>
      <c r="I369" s="2" t="s">
        <v>1598</v>
      </c>
      <c r="J369" s="2" t="str">
        <f t="shared" si="3"/>
        <v>Korean Strawberry Fresh Milk</v>
      </c>
      <c r="K369" s="7">
        <f>if(RIGHT(I369,5)="2 pcs",2,Data!I369)</f>
        <v>1</v>
      </c>
      <c r="L369" s="2" t="str">
        <f t="shared" si="4"/>
        <v>Sunday</v>
      </c>
      <c r="M369" s="2" t="str">
        <f t="shared" si="5"/>
        <v>22</v>
      </c>
      <c r="N369" s="2">
        <f>VLOOKUP(L369,'Data Info'!$A$1:$B$8,2,0)</f>
        <v>7</v>
      </c>
      <c r="O369" s="2" t="str">
        <f>VLOOKUP(L369,'Data Info'!$A$1:$C$8,3,0)</f>
        <v>Weekend</v>
      </c>
    </row>
    <row r="370">
      <c r="A370" s="4">
        <v>45557.46319444444</v>
      </c>
      <c r="B370" s="9">
        <f>IFERROR(__xludf.DUMMYFUNCTION("SPLIT(A370,"" "")"),45557.0)</f>
        <v>45557</v>
      </c>
      <c r="C370" s="10">
        <f>IFERROR(__xludf.DUMMYFUNCTION("""COMPUTED_VALUE"""),0.46319444444444446)</f>
        <v>0.4631944444</v>
      </c>
      <c r="D370" s="2">
        <f t="shared" si="1"/>
        <v>11</v>
      </c>
      <c r="E370" s="2">
        <f>IFERROR(__xludf.DUMMYFUNCTION("SPLIT(B370,""/"")"),22.0)</f>
        <v>22</v>
      </c>
      <c r="F370" s="2">
        <f>IFERROR(__xludf.DUMMYFUNCTION("""COMPUTED_VALUE"""),9.0)</f>
        <v>9</v>
      </c>
      <c r="G370" s="2">
        <f>IFERROR(__xludf.DUMMYFUNCTION("""COMPUTED_VALUE"""),2024.0)</f>
        <v>2024</v>
      </c>
      <c r="H370" s="2" t="str">
        <f t="shared" si="2"/>
        <v>2024/9/22</v>
      </c>
      <c r="I370" s="2" t="s">
        <v>1566</v>
      </c>
      <c r="J370" s="2" t="str">
        <f t="shared" si="3"/>
        <v>Roti Bawang Saus Keju</v>
      </c>
      <c r="K370" s="7">
        <f>if(RIGHT(I370,5)="2 pcs",2,Data!I370)</f>
        <v>1</v>
      </c>
      <c r="L370" s="2" t="str">
        <f t="shared" si="4"/>
        <v>Sunday</v>
      </c>
      <c r="M370" s="2" t="str">
        <f t="shared" si="5"/>
        <v>22</v>
      </c>
      <c r="N370" s="2">
        <f>VLOOKUP(L370,'Data Info'!$A$1:$B$8,2,0)</f>
        <v>7</v>
      </c>
      <c r="O370" s="2" t="str">
        <f>VLOOKUP(L370,'Data Info'!$A$1:$C$8,3,0)</f>
        <v>Weekend</v>
      </c>
    </row>
    <row r="371">
      <c r="A371" s="4">
        <v>45557.46319444444</v>
      </c>
      <c r="B371" s="9">
        <f>IFERROR(__xludf.DUMMYFUNCTION("SPLIT(A371,"" "")"),45557.0)</f>
        <v>45557</v>
      </c>
      <c r="C371" s="10">
        <f>IFERROR(__xludf.DUMMYFUNCTION("""COMPUTED_VALUE"""),0.46319444444444446)</f>
        <v>0.4631944444</v>
      </c>
      <c r="D371" s="2">
        <f t="shared" si="1"/>
        <v>11</v>
      </c>
      <c r="E371" s="2">
        <f>IFERROR(__xludf.DUMMYFUNCTION("SPLIT(B371,""/"")"),22.0)</f>
        <v>22</v>
      </c>
      <c r="F371" s="2">
        <f>IFERROR(__xludf.DUMMYFUNCTION("""COMPUTED_VALUE"""),9.0)</f>
        <v>9</v>
      </c>
      <c r="G371" s="2">
        <f>IFERROR(__xludf.DUMMYFUNCTION("""COMPUTED_VALUE"""),2024.0)</f>
        <v>2024</v>
      </c>
      <c r="H371" s="2" t="str">
        <f t="shared" si="2"/>
        <v>2024/9/22</v>
      </c>
      <c r="I371" s="2" t="s">
        <v>1579</v>
      </c>
      <c r="J371" s="2" t="str">
        <f t="shared" si="3"/>
        <v>Tahu baso</v>
      </c>
      <c r="K371" s="7">
        <f>if(RIGHT(I371,5)="2 pcs",2,Data!I371)</f>
        <v>1</v>
      </c>
      <c r="L371" s="2" t="str">
        <f t="shared" si="4"/>
        <v>Sunday</v>
      </c>
      <c r="M371" s="2" t="str">
        <f t="shared" si="5"/>
        <v>22</v>
      </c>
      <c r="N371" s="2">
        <f>VLOOKUP(L371,'Data Info'!$A$1:$B$8,2,0)</f>
        <v>7</v>
      </c>
      <c r="O371" s="2" t="str">
        <f>VLOOKUP(L371,'Data Info'!$A$1:$C$8,3,0)</f>
        <v>Weekend</v>
      </c>
    </row>
    <row r="372">
      <c r="A372" s="4">
        <v>45557.46319444444</v>
      </c>
      <c r="B372" s="9">
        <f>IFERROR(__xludf.DUMMYFUNCTION("SPLIT(A372,"" "")"),45557.0)</f>
        <v>45557</v>
      </c>
      <c r="C372" s="10">
        <f>IFERROR(__xludf.DUMMYFUNCTION("""COMPUTED_VALUE"""),0.46319444444444446)</f>
        <v>0.4631944444</v>
      </c>
      <c r="D372" s="2">
        <f t="shared" si="1"/>
        <v>11</v>
      </c>
      <c r="E372" s="2">
        <f>IFERROR(__xludf.DUMMYFUNCTION("SPLIT(B372,""/"")"),22.0)</f>
        <v>22</v>
      </c>
      <c r="F372" s="2">
        <f>IFERROR(__xludf.DUMMYFUNCTION("""COMPUTED_VALUE"""),9.0)</f>
        <v>9</v>
      </c>
      <c r="G372" s="2">
        <f>IFERROR(__xludf.DUMMYFUNCTION("""COMPUTED_VALUE"""),2024.0)</f>
        <v>2024</v>
      </c>
      <c r="H372" s="2" t="str">
        <f t="shared" si="2"/>
        <v>2024/9/22</v>
      </c>
      <c r="I372" s="2" t="s">
        <v>1611</v>
      </c>
      <c r="J372" s="2" t="str">
        <f t="shared" si="3"/>
        <v>Beef Claypot Rice</v>
      </c>
      <c r="K372" s="7">
        <f>if(RIGHT(I372,5)="2 pcs",2,Data!I372)</f>
        <v>1</v>
      </c>
      <c r="L372" s="2" t="str">
        <f t="shared" si="4"/>
        <v>Sunday</v>
      </c>
      <c r="M372" s="2" t="str">
        <f t="shared" si="5"/>
        <v>22</v>
      </c>
      <c r="N372" s="2">
        <f>VLOOKUP(L372,'Data Info'!$A$1:$B$8,2,0)</f>
        <v>7</v>
      </c>
      <c r="O372" s="2" t="str">
        <f>VLOOKUP(L372,'Data Info'!$A$1:$C$8,3,0)</f>
        <v>Weekend</v>
      </c>
    </row>
    <row r="373">
      <c r="A373" s="4">
        <v>45557.43680555555</v>
      </c>
      <c r="B373" s="9">
        <f>IFERROR(__xludf.DUMMYFUNCTION("SPLIT(A373,"" "")"),45557.0)</f>
        <v>45557</v>
      </c>
      <c r="C373" s="10">
        <f>IFERROR(__xludf.DUMMYFUNCTION("""COMPUTED_VALUE"""),0.43680555555555556)</f>
        <v>0.4368055556</v>
      </c>
      <c r="D373" s="2">
        <f t="shared" si="1"/>
        <v>10</v>
      </c>
      <c r="E373" s="2">
        <f>IFERROR(__xludf.DUMMYFUNCTION("SPLIT(B373,""/"")"),22.0)</f>
        <v>22</v>
      </c>
      <c r="F373" s="2">
        <f>IFERROR(__xludf.DUMMYFUNCTION("""COMPUTED_VALUE"""),9.0)</f>
        <v>9</v>
      </c>
      <c r="G373" s="2">
        <f>IFERROR(__xludf.DUMMYFUNCTION("""COMPUTED_VALUE"""),2024.0)</f>
        <v>2024</v>
      </c>
      <c r="H373" s="2" t="str">
        <f t="shared" si="2"/>
        <v>2024/9/22</v>
      </c>
      <c r="I373" s="2" t="s">
        <v>1596</v>
      </c>
      <c r="J373" s="2" t="str">
        <f t="shared" si="3"/>
        <v>Roti Cranberry</v>
      </c>
      <c r="K373" s="7">
        <f>if(RIGHT(I373,5)="2 pcs",2,Data!I373)</f>
        <v>2</v>
      </c>
      <c r="L373" s="2" t="str">
        <f t="shared" si="4"/>
        <v>Sunday</v>
      </c>
      <c r="M373" s="2" t="str">
        <f t="shared" si="5"/>
        <v>22</v>
      </c>
      <c r="N373" s="2">
        <f>VLOOKUP(L373,'Data Info'!$A$1:$B$8,2,0)</f>
        <v>7</v>
      </c>
      <c r="O373" s="2" t="str">
        <f>VLOOKUP(L373,'Data Info'!$A$1:$C$8,3,0)</f>
        <v>Weekend</v>
      </c>
    </row>
    <row r="374">
      <c r="A374" s="4">
        <v>45557.43680555555</v>
      </c>
      <c r="B374" s="9">
        <f>IFERROR(__xludf.DUMMYFUNCTION("SPLIT(A374,"" "")"),45557.0)</f>
        <v>45557</v>
      </c>
      <c r="C374" s="10">
        <f>IFERROR(__xludf.DUMMYFUNCTION("""COMPUTED_VALUE"""),0.43680555555555556)</f>
        <v>0.4368055556</v>
      </c>
      <c r="D374" s="2">
        <f t="shared" si="1"/>
        <v>10</v>
      </c>
      <c r="E374" s="2">
        <f>IFERROR(__xludf.DUMMYFUNCTION("SPLIT(B374,""/"")"),22.0)</f>
        <v>22</v>
      </c>
      <c r="F374" s="2">
        <f>IFERROR(__xludf.DUMMYFUNCTION("""COMPUTED_VALUE"""),9.0)</f>
        <v>9</v>
      </c>
      <c r="G374" s="2">
        <f>IFERROR(__xludf.DUMMYFUNCTION("""COMPUTED_VALUE"""),2024.0)</f>
        <v>2024</v>
      </c>
      <c r="H374" s="2" t="str">
        <f t="shared" si="2"/>
        <v>2024/9/22</v>
      </c>
      <c r="I374" s="2" t="s">
        <v>1576</v>
      </c>
      <c r="J374" s="2" t="str">
        <f t="shared" si="3"/>
        <v>Roti Cranberry</v>
      </c>
      <c r="K374" s="7">
        <f>if(RIGHT(I374,5)="2 pcs",2,Data!I374)</f>
        <v>1</v>
      </c>
      <c r="L374" s="2" t="str">
        <f t="shared" si="4"/>
        <v>Sunday</v>
      </c>
      <c r="M374" s="2" t="str">
        <f t="shared" si="5"/>
        <v>22</v>
      </c>
      <c r="N374" s="2">
        <f>VLOOKUP(L374,'Data Info'!$A$1:$B$8,2,0)</f>
        <v>7</v>
      </c>
      <c r="O374" s="2" t="str">
        <f>VLOOKUP(L374,'Data Info'!$A$1:$C$8,3,0)</f>
        <v>Weekend</v>
      </c>
    </row>
    <row r="375">
      <c r="A375" s="4">
        <v>45557.43680555555</v>
      </c>
      <c r="B375" s="9">
        <f>IFERROR(__xludf.DUMMYFUNCTION("SPLIT(A375,"" "")"),45557.0)</f>
        <v>45557</v>
      </c>
      <c r="C375" s="10">
        <f>IFERROR(__xludf.DUMMYFUNCTION("""COMPUTED_VALUE"""),0.43680555555555556)</f>
        <v>0.4368055556</v>
      </c>
      <c r="D375" s="2">
        <f t="shared" si="1"/>
        <v>10</v>
      </c>
      <c r="E375" s="2">
        <f>IFERROR(__xludf.DUMMYFUNCTION("SPLIT(B375,""/"")"),22.0)</f>
        <v>22</v>
      </c>
      <c r="F375" s="2">
        <f>IFERROR(__xludf.DUMMYFUNCTION("""COMPUTED_VALUE"""),9.0)</f>
        <v>9</v>
      </c>
      <c r="G375" s="2">
        <f>IFERROR(__xludf.DUMMYFUNCTION("""COMPUTED_VALUE"""),2024.0)</f>
        <v>2024</v>
      </c>
      <c r="H375" s="2" t="str">
        <f t="shared" si="2"/>
        <v>2024/9/22</v>
      </c>
      <c r="I375" s="2" t="s">
        <v>1598</v>
      </c>
      <c r="J375" s="2" t="str">
        <f t="shared" si="3"/>
        <v>Korean Strawberry Fresh Milk</v>
      </c>
      <c r="K375" s="7">
        <f>if(RIGHT(I375,5)="2 pcs",2,Data!I375)</f>
        <v>1</v>
      </c>
      <c r="L375" s="2" t="str">
        <f t="shared" si="4"/>
        <v>Sunday</v>
      </c>
      <c r="M375" s="2" t="str">
        <f t="shared" si="5"/>
        <v>22</v>
      </c>
      <c r="N375" s="2">
        <f>VLOOKUP(L375,'Data Info'!$A$1:$B$8,2,0)</f>
        <v>7</v>
      </c>
      <c r="O375" s="2" t="str">
        <f>VLOOKUP(L375,'Data Info'!$A$1:$C$8,3,0)</f>
        <v>Weekend</v>
      </c>
    </row>
    <row r="376">
      <c r="A376" s="4">
        <v>45557.43680555555</v>
      </c>
      <c r="B376" s="9">
        <f>IFERROR(__xludf.DUMMYFUNCTION("SPLIT(A376,"" "")"),45557.0)</f>
        <v>45557</v>
      </c>
      <c r="C376" s="10">
        <f>IFERROR(__xludf.DUMMYFUNCTION("""COMPUTED_VALUE"""),0.43680555555555556)</f>
        <v>0.4368055556</v>
      </c>
      <c r="D376" s="2">
        <f t="shared" si="1"/>
        <v>10</v>
      </c>
      <c r="E376" s="2">
        <f>IFERROR(__xludf.DUMMYFUNCTION("SPLIT(B376,""/"")"),22.0)</f>
        <v>22</v>
      </c>
      <c r="F376" s="2">
        <f>IFERROR(__xludf.DUMMYFUNCTION("""COMPUTED_VALUE"""),9.0)</f>
        <v>9</v>
      </c>
      <c r="G376" s="2">
        <f>IFERROR(__xludf.DUMMYFUNCTION("""COMPUTED_VALUE"""),2024.0)</f>
        <v>2024</v>
      </c>
      <c r="H376" s="2" t="str">
        <f t="shared" si="2"/>
        <v>2024/9/22</v>
      </c>
      <c r="I376" s="2" t="s">
        <v>1584</v>
      </c>
      <c r="J376" s="2" t="str">
        <f t="shared" si="3"/>
        <v>Korean Mango Fresh Milk</v>
      </c>
      <c r="K376" s="7">
        <f>if(RIGHT(I376,5)="2 pcs",2,Data!I376)</f>
        <v>1</v>
      </c>
      <c r="L376" s="2" t="str">
        <f t="shared" si="4"/>
        <v>Sunday</v>
      </c>
      <c r="M376" s="2" t="str">
        <f t="shared" si="5"/>
        <v>22</v>
      </c>
      <c r="N376" s="2">
        <f>VLOOKUP(L376,'Data Info'!$A$1:$B$8,2,0)</f>
        <v>7</v>
      </c>
      <c r="O376" s="2" t="str">
        <f>VLOOKUP(L376,'Data Info'!$A$1:$C$8,3,0)</f>
        <v>Weekend</v>
      </c>
    </row>
    <row r="377">
      <c r="A377" s="4">
        <v>45557.43680555555</v>
      </c>
      <c r="B377" s="9">
        <f>IFERROR(__xludf.DUMMYFUNCTION("SPLIT(A377,"" "")"),45557.0)</f>
        <v>45557</v>
      </c>
      <c r="C377" s="10">
        <f>IFERROR(__xludf.DUMMYFUNCTION("""COMPUTED_VALUE"""),0.43680555555555556)</f>
        <v>0.4368055556</v>
      </c>
      <c r="D377" s="2">
        <f t="shared" si="1"/>
        <v>10</v>
      </c>
      <c r="E377" s="2">
        <f>IFERROR(__xludf.DUMMYFUNCTION("SPLIT(B377,""/"")"),22.0)</f>
        <v>22</v>
      </c>
      <c r="F377" s="2">
        <f>IFERROR(__xludf.DUMMYFUNCTION("""COMPUTED_VALUE"""),9.0)</f>
        <v>9</v>
      </c>
      <c r="G377" s="2">
        <f>IFERROR(__xludf.DUMMYFUNCTION("""COMPUTED_VALUE"""),2024.0)</f>
        <v>2024</v>
      </c>
      <c r="H377" s="2" t="str">
        <f t="shared" si="2"/>
        <v>2024/9/22</v>
      </c>
      <c r="I377" s="2" t="s">
        <v>1588</v>
      </c>
      <c r="J377" s="2" t="str">
        <f t="shared" si="3"/>
        <v>Es Kopi Susu</v>
      </c>
      <c r="K377" s="7">
        <f>if(RIGHT(I377,5)="2 pcs",2,Data!I377)</f>
        <v>2</v>
      </c>
      <c r="L377" s="2" t="str">
        <f t="shared" si="4"/>
        <v>Sunday</v>
      </c>
      <c r="M377" s="2" t="str">
        <f t="shared" si="5"/>
        <v>22</v>
      </c>
      <c r="N377" s="2">
        <f>VLOOKUP(L377,'Data Info'!$A$1:$B$8,2,0)</f>
        <v>7</v>
      </c>
      <c r="O377" s="2" t="str">
        <f>VLOOKUP(L377,'Data Info'!$A$1:$C$8,3,0)</f>
        <v>Weekend</v>
      </c>
    </row>
    <row r="378">
      <c r="A378" s="4">
        <v>45557.43680555555</v>
      </c>
      <c r="B378" s="9">
        <f>IFERROR(__xludf.DUMMYFUNCTION("SPLIT(A378,"" "")"),45557.0)</f>
        <v>45557</v>
      </c>
      <c r="C378" s="10">
        <f>IFERROR(__xludf.DUMMYFUNCTION("""COMPUTED_VALUE"""),0.43680555555555556)</f>
        <v>0.4368055556</v>
      </c>
      <c r="D378" s="2">
        <f t="shared" si="1"/>
        <v>10</v>
      </c>
      <c r="E378" s="2">
        <f>IFERROR(__xludf.DUMMYFUNCTION("SPLIT(B378,""/"")"),22.0)</f>
        <v>22</v>
      </c>
      <c r="F378" s="2">
        <f>IFERROR(__xludf.DUMMYFUNCTION("""COMPUTED_VALUE"""),9.0)</f>
        <v>9</v>
      </c>
      <c r="G378" s="2">
        <f>IFERROR(__xludf.DUMMYFUNCTION("""COMPUTED_VALUE"""),2024.0)</f>
        <v>2024</v>
      </c>
      <c r="H378" s="2" t="str">
        <f t="shared" si="2"/>
        <v>2024/9/22</v>
      </c>
      <c r="I378" s="2" t="s">
        <v>1620</v>
      </c>
      <c r="J378" s="2" t="str">
        <f t="shared" si="3"/>
        <v>Wedang hujan</v>
      </c>
      <c r="K378" s="7">
        <f>if(RIGHT(I378,5)="2 pcs",2,Data!I378)</f>
        <v>1</v>
      </c>
      <c r="L378" s="2" t="str">
        <f t="shared" si="4"/>
        <v>Sunday</v>
      </c>
      <c r="M378" s="2" t="str">
        <f t="shared" si="5"/>
        <v>22</v>
      </c>
      <c r="N378" s="2">
        <f>VLOOKUP(L378,'Data Info'!$A$1:$B$8,2,0)</f>
        <v>7</v>
      </c>
      <c r="O378" s="2" t="str">
        <f>VLOOKUP(L378,'Data Info'!$A$1:$C$8,3,0)</f>
        <v>Weekend</v>
      </c>
    </row>
    <row r="379">
      <c r="A379" s="4">
        <v>45556.84861111111</v>
      </c>
      <c r="B379" s="9">
        <f>IFERROR(__xludf.DUMMYFUNCTION("SPLIT(A379,"" "")"),45556.0)</f>
        <v>45556</v>
      </c>
      <c r="C379" s="10">
        <f>IFERROR(__xludf.DUMMYFUNCTION("""COMPUTED_VALUE"""),0.8486111111111111)</f>
        <v>0.8486111111</v>
      </c>
      <c r="D379" s="2">
        <f t="shared" si="1"/>
        <v>20</v>
      </c>
      <c r="E379" s="2">
        <f>IFERROR(__xludf.DUMMYFUNCTION("SPLIT(B379,""/"")"),21.0)</f>
        <v>21</v>
      </c>
      <c r="F379" s="2">
        <f>IFERROR(__xludf.DUMMYFUNCTION("""COMPUTED_VALUE"""),9.0)</f>
        <v>9</v>
      </c>
      <c r="G379" s="2">
        <f>IFERROR(__xludf.DUMMYFUNCTION("""COMPUTED_VALUE"""),2024.0)</f>
        <v>2024</v>
      </c>
      <c r="H379" s="2" t="str">
        <f t="shared" si="2"/>
        <v>2024/9/21</v>
      </c>
      <c r="I379" s="2" t="s">
        <v>1588</v>
      </c>
      <c r="J379" s="2" t="str">
        <f t="shared" si="3"/>
        <v>Es Kopi Susu</v>
      </c>
      <c r="K379" s="7">
        <f>if(RIGHT(I379,5)="2 pcs",2,Data!I379)</f>
        <v>1</v>
      </c>
      <c r="L379" s="2" t="str">
        <f t="shared" si="4"/>
        <v>Saturday</v>
      </c>
      <c r="M379" s="2" t="str">
        <f t="shared" si="5"/>
        <v>21</v>
      </c>
      <c r="N379" s="2">
        <f>VLOOKUP(L379,'Data Info'!$A$1:$B$8,2,0)</f>
        <v>6</v>
      </c>
      <c r="O379" s="2" t="str">
        <f>VLOOKUP(L379,'Data Info'!$A$1:$C$8,3,0)</f>
        <v>Weekend</v>
      </c>
    </row>
    <row r="380">
      <c r="A380" s="4">
        <v>45556.84305555555</v>
      </c>
      <c r="B380" s="9">
        <f>IFERROR(__xludf.DUMMYFUNCTION("SPLIT(A380,"" "")"),45556.0)</f>
        <v>45556</v>
      </c>
      <c r="C380" s="10">
        <f>IFERROR(__xludf.DUMMYFUNCTION("""COMPUTED_VALUE"""),0.8430555555555556)</f>
        <v>0.8430555556</v>
      </c>
      <c r="D380" s="2">
        <f t="shared" si="1"/>
        <v>20</v>
      </c>
      <c r="E380" s="2">
        <f>IFERROR(__xludf.DUMMYFUNCTION("SPLIT(B380,""/"")"),21.0)</f>
        <v>21</v>
      </c>
      <c r="F380" s="2">
        <f>IFERROR(__xludf.DUMMYFUNCTION("""COMPUTED_VALUE"""),9.0)</f>
        <v>9</v>
      </c>
      <c r="G380" s="2">
        <f>IFERROR(__xludf.DUMMYFUNCTION("""COMPUTED_VALUE"""),2024.0)</f>
        <v>2024</v>
      </c>
      <c r="H380" s="2" t="str">
        <f t="shared" si="2"/>
        <v>2024/9/21</v>
      </c>
      <c r="I380" s="2" t="s">
        <v>1599</v>
      </c>
      <c r="J380" s="2" t="str">
        <f t="shared" si="3"/>
        <v>Rempah Madu Dingin</v>
      </c>
      <c r="K380" s="7">
        <f>if(RIGHT(I380,5)="2 pcs",2,Data!I380)</f>
        <v>1</v>
      </c>
      <c r="L380" s="2" t="str">
        <f t="shared" si="4"/>
        <v>Saturday</v>
      </c>
      <c r="M380" s="2" t="str">
        <f t="shared" si="5"/>
        <v>21</v>
      </c>
      <c r="N380" s="2">
        <f>VLOOKUP(L380,'Data Info'!$A$1:$B$8,2,0)</f>
        <v>6</v>
      </c>
      <c r="O380" s="2" t="str">
        <f>VLOOKUP(L380,'Data Info'!$A$1:$C$8,3,0)</f>
        <v>Weekend</v>
      </c>
    </row>
    <row r="381">
      <c r="A381" s="4">
        <v>45556.83888888889</v>
      </c>
      <c r="B381" s="9">
        <f>IFERROR(__xludf.DUMMYFUNCTION("SPLIT(A381,"" "")"),45556.0)</f>
        <v>45556</v>
      </c>
      <c r="C381" s="10">
        <f>IFERROR(__xludf.DUMMYFUNCTION("""COMPUTED_VALUE"""),0.8388888888888889)</f>
        <v>0.8388888889</v>
      </c>
      <c r="D381" s="2">
        <f t="shared" si="1"/>
        <v>20</v>
      </c>
      <c r="E381" s="2">
        <f>IFERROR(__xludf.DUMMYFUNCTION("SPLIT(B381,""/"")"),21.0)</f>
        <v>21</v>
      </c>
      <c r="F381" s="2">
        <f>IFERROR(__xludf.DUMMYFUNCTION("""COMPUTED_VALUE"""),9.0)</f>
        <v>9</v>
      </c>
      <c r="G381" s="2">
        <f>IFERROR(__xludf.DUMMYFUNCTION("""COMPUTED_VALUE"""),2024.0)</f>
        <v>2024</v>
      </c>
      <c r="H381" s="2" t="str">
        <f t="shared" si="2"/>
        <v>2024/9/21</v>
      </c>
      <c r="I381" s="2" t="s">
        <v>1588</v>
      </c>
      <c r="J381" s="2" t="str">
        <f t="shared" si="3"/>
        <v>Es Kopi Susu</v>
      </c>
      <c r="K381" s="7">
        <f>if(RIGHT(I381,5)="2 pcs",2,Data!I381)</f>
        <v>2</v>
      </c>
      <c r="L381" s="2" t="str">
        <f t="shared" si="4"/>
        <v>Saturday</v>
      </c>
      <c r="M381" s="2" t="str">
        <f t="shared" si="5"/>
        <v>21</v>
      </c>
      <c r="N381" s="2">
        <f>VLOOKUP(L381,'Data Info'!$A$1:$B$8,2,0)</f>
        <v>6</v>
      </c>
      <c r="O381" s="2" t="str">
        <f>VLOOKUP(L381,'Data Info'!$A$1:$C$8,3,0)</f>
        <v>Weekend</v>
      </c>
    </row>
    <row r="382">
      <c r="A382" s="4">
        <v>45556.83819444444</v>
      </c>
      <c r="B382" s="9">
        <f>IFERROR(__xludf.DUMMYFUNCTION("SPLIT(A382,"" "")"),45556.0)</f>
        <v>45556</v>
      </c>
      <c r="C382" s="10">
        <f>IFERROR(__xludf.DUMMYFUNCTION("""COMPUTED_VALUE"""),0.8381944444444445)</f>
        <v>0.8381944444</v>
      </c>
      <c r="D382" s="2">
        <f t="shared" si="1"/>
        <v>20</v>
      </c>
      <c r="E382" s="2">
        <f>IFERROR(__xludf.DUMMYFUNCTION("SPLIT(B382,""/"")"),21.0)</f>
        <v>21</v>
      </c>
      <c r="F382" s="2">
        <f>IFERROR(__xludf.DUMMYFUNCTION("""COMPUTED_VALUE"""),9.0)</f>
        <v>9</v>
      </c>
      <c r="G382" s="2">
        <f>IFERROR(__xludf.DUMMYFUNCTION("""COMPUTED_VALUE"""),2024.0)</f>
        <v>2024</v>
      </c>
      <c r="H382" s="2" t="str">
        <f t="shared" si="2"/>
        <v>2024/9/21</v>
      </c>
      <c r="I382" s="2" t="s">
        <v>1588</v>
      </c>
      <c r="J382" s="2" t="str">
        <f t="shared" si="3"/>
        <v>Es Kopi Susu</v>
      </c>
      <c r="K382" s="7">
        <f>if(RIGHT(I382,5)="2 pcs",2,Data!I382)</f>
        <v>-2</v>
      </c>
      <c r="L382" s="2" t="str">
        <f t="shared" si="4"/>
        <v>Saturday</v>
      </c>
      <c r="M382" s="2" t="str">
        <f t="shared" si="5"/>
        <v>21</v>
      </c>
      <c r="N382" s="2">
        <f>VLOOKUP(L382,'Data Info'!$A$1:$B$8,2,0)</f>
        <v>6</v>
      </c>
      <c r="O382" s="2" t="str">
        <f>VLOOKUP(L382,'Data Info'!$A$1:$C$8,3,0)</f>
        <v>Weekend</v>
      </c>
    </row>
    <row r="383">
      <c r="A383" s="4">
        <v>45556.83819444444</v>
      </c>
      <c r="B383" s="9">
        <f>IFERROR(__xludf.DUMMYFUNCTION("SPLIT(A383,"" "")"),45556.0)</f>
        <v>45556</v>
      </c>
      <c r="C383" s="10">
        <f>IFERROR(__xludf.DUMMYFUNCTION("""COMPUTED_VALUE"""),0.8381944444444445)</f>
        <v>0.8381944444</v>
      </c>
      <c r="D383" s="2">
        <f t="shared" si="1"/>
        <v>20</v>
      </c>
      <c r="E383" s="2">
        <f>IFERROR(__xludf.DUMMYFUNCTION("SPLIT(B383,""/"")"),21.0)</f>
        <v>21</v>
      </c>
      <c r="F383" s="2">
        <f>IFERROR(__xludf.DUMMYFUNCTION("""COMPUTED_VALUE"""),9.0)</f>
        <v>9</v>
      </c>
      <c r="G383" s="2">
        <f>IFERROR(__xludf.DUMMYFUNCTION("""COMPUTED_VALUE"""),2024.0)</f>
        <v>2024</v>
      </c>
      <c r="H383" s="2" t="str">
        <f t="shared" si="2"/>
        <v>2024/9/21</v>
      </c>
      <c r="I383" s="2" t="s">
        <v>1588</v>
      </c>
      <c r="J383" s="2" t="str">
        <f t="shared" si="3"/>
        <v>Es Kopi Susu</v>
      </c>
      <c r="K383" s="7">
        <f>if(RIGHT(I383,5)="2 pcs",2,Data!I383)</f>
        <v>2</v>
      </c>
      <c r="L383" s="2" t="str">
        <f t="shared" si="4"/>
        <v>Saturday</v>
      </c>
      <c r="M383" s="2" t="str">
        <f t="shared" si="5"/>
        <v>21</v>
      </c>
      <c r="N383" s="2">
        <f>VLOOKUP(L383,'Data Info'!$A$1:$B$8,2,0)</f>
        <v>6</v>
      </c>
      <c r="O383" s="2" t="str">
        <f>VLOOKUP(L383,'Data Info'!$A$1:$C$8,3,0)</f>
        <v>Weekend</v>
      </c>
    </row>
    <row r="384">
      <c r="A384" s="4">
        <v>45556.83263888889</v>
      </c>
      <c r="B384" s="9">
        <f>IFERROR(__xludf.DUMMYFUNCTION("SPLIT(A384,"" "")"),45556.0)</f>
        <v>45556</v>
      </c>
      <c r="C384" s="10">
        <f>IFERROR(__xludf.DUMMYFUNCTION("""COMPUTED_VALUE"""),0.8326388888888889)</f>
        <v>0.8326388889</v>
      </c>
      <c r="D384" s="2">
        <f t="shared" si="1"/>
        <v>19</v>
      </c>
      <c r="E384" s="2">
        <f>IFERROR(__xludf.DUMMYFUNCTION("SPLIT(B384,""/"")"),21.0)</f>
        <v>21</v>
      </c>
      <c r="F384" s="2">
        <f>IFERROR(__xludf.DUMMYFUNCTION("""COMPUTED_VALUE"""),9.0)</f>
        <v>9</v>
      </c>
      <c r="G384" s="2">
        <f>IFERROR(__xludf.DUMMYFUNCTION("""COMPUTED_VALUE"""),2024.0)</f>
        <v>2024</v>
      </c>
      <c r="H384" s="2" t="str">
        <f t="shared" si="2"/>
        <v>2024/9/21</v>
      </c>
      <c r="I384" s="2" t="s">
        <v>1588</v>
      </c>
      <c r="J384" s="2" t="str">
        <f t="shared" si="3"/>
        <v>Es Kopi Susu</v>
      </c>
      <c r="K384" s="7">
        <f>if(RIGHT(I384,5)="2 pcs",2,Data!I384)</f>
        <v>1</v>
      </c>
      <c r="L384" s="2" t="str">
        <f t="shared" si="4"/>
        <v>Saturday</v>
      </c>
      <c r="M384" s="2" t="str">
        <f t="shared" si="5"/>
        <v>21</v>
      </c>
      <c r="N384" s="2">
        <f>VLOOKUP(L384,'Data Info'!$A$1:$B$8,2,0)</f>
        <v>6</v>
      </c>
      <c r="O384" s="2" t="str">
        <f>VLOOKUP(L384,'Data Info'!$A$1:$C$8,3,0)</f>
        <v>Weekend</v>
      </c>
    </row>
    <row r="385">
      <c r="A385" s="4">
        <v>45556.83263888889</v>
      </c>
      <c r="B385" s="9">
        <f>IFERROR(__xludf.DUMMYFUNCTION("SPLIT(A385,"" "")"),45556.0)</f>
        <v>45556</v>
      </c>
      <c r="C385" s="10">
        <f>IFERROR(__xludf.DUMMYFUNCTION("""COMPUTED_VALUE"""),0.8326388888888889)</f>
        <v>0.8326388889</v>
      </c>
      <c r="D385" s="2">
        <f t="shared" si="1"/>
        <v>19</v>
      </c>
      <c r="E385" s="2">
        <f>IFERROR(__xludf.DUMMYFUNCTION("SPLIT(B385,""/"")"),21.0)</f>
        <v>21</v>
      </c>
      <c r="F385" s="2">
        <f>IFERROR(__xludf.DUMMYFUNCTION("""COMPUTED_VALUE"""),9.0)</f>
        <v>9</v>
      </c>
      <c r="G385" s="2">
        <f>IFERROR(__xludf.DUMMYFUNCTION("""COMPUTED_VALUE"""),2024.0)</f>
        <v>2024</v>
      </c>
      <c r="H385" s="2" t="str">
        <f t="shared" si="2"/>
        <v>2024/9/21</v>
      </c>
      <c r="I385" s="2" t="s">
        <v>1584</v>
      </c>
      <c r="J385" s="2" t="str">
        <f t="shared" si="3"/>
        <v>Korean Mango Fresh Milk</v>
      </c>
      <c r="K385" s="7">
        <f>if(RIGHT(I385,5)="2 pcs",2,Data!I385)</f>
        <v>1</v>
      </c>
      <c r="L385" s="2" t="str">
        <f t="shared" si="4"/>
        <v>Saturday</v>
      </c>
      <c r="M385" s="2" t="str">
        <f t="shared" si="5"/>
        <v>21</v>
      </c>
      <c r="N385" s="2">
        <f>VLOOKUP(L385,'Data Info'!$A$1:$B$8,2,0)</f>
        <v>6</v>
      </c>
      <c r="O385" s="2" t="str">
        <f>VLOOKUP(L385,'Data Info'!$A$1:$C$8,3,0)</f>
        <v>Weekend</v>
      </c>
    </row>
    <row r="386">
      <c r="A386" s="4">
        <v>45556.82708333333</v>
      </c>
      <c r="B386" s="9">
        <f>IFERROR(__xludf.DUMMYFUNCTION("SPLIT(A386,"" "")"),45556.0)</f>
        <v>45556</v>
      </c>
      <c r="C386" s="10">
        <f>IFERROR(__xludf.DUMMYFUNCTION("""COMPUTED_VALUE"""),0.8270833333333333)</f>
        <v>0.8270833333</v>
      </c>
      <c r="D386" s="2">
        <f t="shared" si="1"/>
        <v>19</v>
      </c>
      <c r="E386" s="2">
        <f>IFERROR(__xludf.DUMMYFUNCTION("SPLIT(B386,""/"")"),21.0)</f>
        <v>21</v>
      </c>
      <c r="F386" s="2">
        <f>IFERROR(__xludf.DUMMYFUNCTION("""COMPUTED_VALUE"""),9.0)</f>
        <v>9</v>
      </c>
      <c r="G386" s="2">
        <f>IFERROR(__xludf.DUMMYFUNCTION("""COMPUTED_VALUE"""),2024.0)</f>
        <v>2024</v>
      </c>
      <c r="H386" s="2" t="str">
        <f t="shared" si="2"/>
        <v>2024/9/21</v>
      </c>
      <c r="I386" s="2" t="s">
        <v>1595</v>
      </c>
      <c r="J386" s="2" t="str">
        <f t="shared" si="3"/>
        <v>Roti Gandum Cokelat</v>
      </c>
      <c r="K386" s="7">
        <f>if(RIGHT(I386,5)="2 pcs",2,Data!I386)</f>
        <v>1</v>
      </c>
      <c r="L386" s="2" t="str">
        <f t="shared" si="4"/>
        <v>Saturday</v>
      </c>
      <c r="M386" s="2" t="str">
        <f t="shared" si="5"/>
        <v>21</v>
      </c>
      <c r="N386" s="2">
        <f>VLOOKUP(L386,'Data Info'!$A$1:$B$8,2,0)</f>
        <v>6</v>
      </c>
      <c r="O386" s="2" t="str">
        <f>VLOOKUP(L386,'Data Info'!$A$1:$C$8,3,0)</f>
        <v>Weekend</v>
      </c>
    </row>
    <row r="387">
      <c r="A387" s="4">
        <v>45556.82708333333</v>
      </c>
      <c r="B387" s="9">
        <f>IFERROR(__xludf.DUMMYFUNCTION("SPLIT(A387,"" "")"),45556.0)</f>
        <v>45556</v>
      </c>
      <c r="C387" s="10">
        <f>IFERROR(__xludf.DUMMYFUNCTION("""COMPUTED_VALUE"""),0.8270833333333333)</f>
        <v>0.8270833333</v>
      </c>
      <c r="D387" s="2">
        <f t="shared" si="1"/>
        <v>19</v>
      </c>
      <c r="E387" s="2">
        <f>IFERROR(__xludf.DUMMYFUNCTION("SPLIT(B387,""/"")"),21.0)</f>
        <v>21</v>
      </c>
      <c r="F387" s="2">
        <f>IFERROR(__xludf.DUMMYFUNCTION("""COMPUTED_VALUE"""),9.0)</f>
        <v>9</v>
      </c>
      <c r="G387" s="2">
        <f>IFERROR(__xludf.DUMMYFUNCTION("""COMPUTED_VALUE"""),2024.0)</f>
        <v>2024</v>
      </c>
      <c r="H387" s="2" t="str">
        <f t="shared" si="2"/>
        <v>2024/9/21</v>
      </c>
      <c r="I387" s="2" t="s">
        <v>1588</v>
      </c>
      <c r="J387" s="2" t="str">
        <f t="shared" si="3"/>
        <v>Es Kopi Susu</v>
      </c>
      <c r="K387" s="7">
        <f>if(RIGHT(I387,5)="2 pcs",2,Data!I387)</f>
        <v>1</v>
      </c>
      <c r="L387" s="2" t="str">
        <f t="shared" si="4"/>
        <v>Saturday</v>
      </c>
      <c r="M387" s="2" t="str">
        <f t="shared" si="5"/>
        <v>21</v>
      </c>
      <c r="N387" s="2">
        <f>VLOOKUP(L387,'Data Info'!$A$1:$B$8,2,0)</f>
        <v>6</v>
      </c>
      <c r="O387" s="2" t="str">
        <f>VLOOKUP(L387,'Data Info'!$A$1:$C$8,3,0)</f>
        <v>Weekend</v>
      </c>
    </row>
    <row r="388">
      <c r="A388" s="4">
        <v>45556.802777777775</v>
      </c>
      <c r="B388" s="9">
        <f>IFERROR(__xludf.DUMMYFUNCTION("SPLIT(A388,"" "")"),45556.0)</f>
        <v>45556</v>
      </c>
      <c r="C388" s="10">
        <f>IFERROR(__xludf.DUMMYFUNCTION("""COMPUTED_VALUE"""),0.8027777777777778)</f>
        <v>0.8027777778</v>
      </c>
      <c r="D388" s="2">
        <f t="shared" si="1"/>
        <v>19</v>
      </c>
      <c r="E388" s="2">
        <f>IFERROR(__xludf.DUMMYFUNCTION("SPLIT(B388,""/"")"),21.0)</f>
        <v>21</v>
      </c>
      <c r="F388" s="2">
        <f>IFERROR(__xludf.DUMMYFUNCTION("""COMPUTED_VALUE"""),9.0)</f>
        <v>9</v>
      </c>
      <c r="G388" s="2">
        <f>IFERROR(__xludf.DUMMYFUNCTION("""COMPUTED_VALUE"""),2024.0)</f>
        <v>2024</v>
      </c>
      <c r="H388" s="2" t="str">
        <f t="shared" si="2"/>
        <v>2024/9/21</v>
      </c>
      <c r="I388" s="2" t="s">
        <v>1615</v>
      </c>
      <c r="J388" s="2" t="str">
        <f t="shared" si="3"/>
        <v>Roti panggang sarikaya</v>
      </c>
      <c r="K388" s="7">
        <f>if(RIGHT(I388,5)="2 pcs",2,Data!I388)</f>
        <v>1</v>
      </c>
      <c r="L388" s="2" t="str">
        <f t="shared" si="4"/>
        <v>Saturday</v>
      </c>
      <c r="M388" s="2" t="str">
        <f t="shared" si="5"/>
        <v>21</v>
      </c>
      <c r="N388" s="2">
        <f>VLOOKUP(L388,'Data Info'!$A$1:$B$8,2,0)</f>
        <v>6</v>
      </c>
      <c r="O388" s="2" t="str">
        <f>VLOOKUP(L388,'Data Info'!$A$1:$C$8,3,0)</f>
        <v>Weekend</v>
      </c>
    </row>
    <row r="389">
      <c r="A389" s="4">
        <v>45556.802083333336</v>
      </c>
      <c r="B389" s="9">
        <f>IFERROR(__xludf.DUMMYFUNCTION("SPLIT(A389,"" "")"),45556.0)</f>
        <v>45556</v>
      </c>
      <c r="C389" s="10">
        <f>IFERROR(__xludf.DUMMYFUNCTION("""COMPUTED_VALUE"""),0.8020833333333334)</f>
        <v>0.8020833333</v>
      </c>
      <c r="D389" s="2">
        <f t="shared" si="1"/>
        <v>19</v>
      </c>
      <c r="E389" s="2">
        <f>IFERROR(__xludf.DUMMYFUNCTION("SPLIT(B389,""/"")"),21.0)</f>
        <v>21</v>
      </c>
      <c r="F389" s="2">
        <f>IFERROR(__xludf.DUMMYFUNCTION("""COMPUTED_VALUE"""),9.0)</f>
        <v>9</v>
      </c>
      <c r="G389" s="2">
        <f>IFERROR(__xludf.DUMMYFUNCTION("""COMPUTED_VALUE"""),2024.0)</f>
        <v>2024</v>
      </c>
      <c r="H389" s="2" t="str">
        <f t="shared" si="2"/>
        <v>2024/9/21</v>
      </c>
      <c r="I389" s="2" t="s">
        <v>1566</v>
      </c>
      <c r="J389" s="2" t="str">
        <f t="shared" si="3"/>
        <v>Roti Bawang Saus Keju</v>
      </c>
      <c r="K389" s="7">
        <f>if(RIGHT(I389,5)="2 pcs",2,Data!I389)</f>
        <v>1</v>
      </c>
      <c r="L389" s="2" t="str">
        <f t="shared" si="4"/>
        <v>Saturday</v>
      </c>
      <c r="M389" s="2" t="str">
        <f t="shared" si="5"/>
        <v>21</v>
      </c>
      <c r="N389" s="2">
        <f>VLOOKUP(L389,'Data Info'!$A$1:$B$8,2,0)</f>
        <v>6</v>
      </c>
      <c r="O389" s="2" t="str">
        <f>VLOOKUP(L389,'Data Info'!$A$1:$C$8,3,0)</f>
        <v>Weekend</v>
      </c>
    </row>
    <row r="390">
      <c r="A390" s="4">
        <v>45556.799305555556</v>
      </c>
      <c r="B390" s="9">
        <f>IFERROR(__xludf.DUMMYFUNCTION("SPLIT(A390,"" "")"),45556.0)</f>
        <v>45556</v>
      </c>
      <c r="C390" s="10">
        <f>IFERROR(__xludf.DUMMYFUNCTION("""COMPUTED_VALUE"""),0.7993055555555556)</f>
        <v>0.7993055556</v>
      </c>
      <c r="D390" s="2">
        <f t="shared" si="1"/>
        <v>19</v>
      </c>
      <c r="E390" s="2">
        <f>IFERROR(__xludf.DUMMYFUNCTION("SPLIT(B390,""/"")"),21.0)</f>
        <v>21</v>
      </c>
      <c r="F390" s="2">
        <f>IFERROR(__xludf.DUMMYFUNCTION("""COMPUTED_VALUE"""),9.0)</f>
        <v>9</v>
      </c>
      <c r="G390" s="2">
        <f>IFERROR(__xludf.DUMMYFUNCTION("""COMPUTED_VALUE"""),2024.0)</f>
        <v>2024</v>
      </c>
      <c r="H390" s="2" t="str">
        <f t="shared" si="2"/>
        <v>2024/9/21</v>
      </c>
      <c r="I390" s="2" t="s">
        <v>1573</v>
      </c>
      <c r="J390" s="2" t="str">
        <f t="shared" si="3"/>
        <v>Air mineral</v>
      </c>
      <c r="K390" s="7">
        <f>if(RIGHT(I390,5)="2 pcs",2,Data!I390)</f>
        <v>1</v>
      </c>
      <c r="L390" s="2" t="str">
        <f t="shared" si="4"/>
        <v>Saturday</v>
      </c>
      <c r="M390" s="2" t="str">
        <f t="shared" si="5"/>
        <v>21</v>
      </c>
      <c r="N390" s="2">
        <f>VLOOKUP(L390,'Data Info'!$A$1:$B$8,2,0)</f>
        <v>6</v>
      </c>
      <c r="O390" s="2" t="str">
        <f>VLOOKUP(L390,'Data Info'!$A$1:$C$8,3,0)</f>
        <v>Weekend</v>
      </c>
    </row>
    <row r="391">
      <c r="A391" s="4">
        <v>45556.76527777778</v>
      </c>
      <c r="B391" s="9">
        <f>IFERROR(__xludf.DUMMYFUNCTION("SPLIT(A391,"" "")"),45556.0)</f>
        <v>45556</v>
      </c>
      <c r="C391" s="10">
        <f>IFERROR(__xludf.DUMMYFUNCTION("""COMPUTED_VALUE"""),0.7652777777777777)</f>
        <v>0.7652777778</v>
      </c>
      <c r="D391" s="2">
        <f t="shared" si="1"/>
        <v>18</v>
      </c>
      <c r="E391" s="2">
        <f>IFERROR(__xludf.DUMMYFUNCTION("SPLIT(B391,""/"")"),21.0)</f>
        <v>21</v>
      </c>
      <c r="F391" s="2">
        <f>IFERROR(__xludf.DUMMYFUNCTION("""COMPUTED_VALUE"""),9.0)</f>
        <v>9</v>
      </c>
      <c r="G391" s="2">
        <f>IFERROR(__xludf.DUMMYFUNCTION("""COMPUTED_VALUE"""),2024.0)</f>
        <v>2024</v>
      </c>
      <c r="H391" s="2" t="str">
        <f t="shared" si="2"/>
        <v>2024/9/21</v>
      </c>
      <c r="I391" s="2" t="s">
        <v>1577</v>
      </c>
      <c r="J391" s="2" t="str">
        <f t="shared" si="3"/>
        <v>Rempah Madu Panas</v>
      </c>
      <c r="K391" s="7">
        <f>if(RIGHT(I391,5)="2 pcs",2,Data!I391)</f>
        <v>1</v>
      </c>
      <c r="L391" s="2" t="str">
        <f t="shared" si="4"/>
        <v>Saturday</v>
      </c>
      <c r="M391" s="2" t="str">
        <f t="shared" si="5"/>
        <v>21</v>
      </c>
      <c r="N391" s="2">
        <f>VLOOKUP(L391,'Data Info'!$A$1:$B$8,2,0)</f>
        <v>6</v>
      </c>
      <c r="O391" s="2" t="str">
        <f>VLOOKUP(L391,'Data Info'!$A$1:$C$8,3,0)</f>
        <v>Weekend</v>
      </c>
    </row>
    <row r="392">
      <c r="A392" s="4">
        <v>45556.76527777778</v>
      </c>
      <c r="B392" s="9">
        <f>IFERROR(__xludf.DUMMYFUNCTION("SPLIT(A392,"" "")"),45556.0)</f>
        <v>45556</v>
      </c>
      <c r="C392" s="10">
        <f>IFERROR(__xludf.DUMMYFUNCTION("""COMPUTED_VALUE"""),0.7652777777777777)</f>
        <v>0.7652777778</v>
      </c>
      <c r="D392" s="2">
        <f t="shared" si="1"/>
        <v>18</v>
      </c>
      <c r="E392" s="2">
        <f>IFERROR(__xludf.DUMMYFUNCTION("SPLIT(B392,""/"")"),21.0)</f>
        <v>21</v>
      </c>
      <c r="F392" s="2">
        <f>IFERROR(__xludf.DUMMYFUNCTION("""COMPUTED_VALUE"""),9.0)</f>
        <v>9</v>
      </c>
      <c r="G392" s="2">
        <f>IFERROR(__xludf.DUMMYFUNCTION("""COMPUTED_VALUE"""),2024.0)</f>
        <v>2024</v>
      </c>
      <c r="H392" s="2" t="str">
        <f t="shared" si="2"/>
        <v>2024/9/21</v>
      </c>
      <c r="I392" s="2" t="s">
        <v>1597</v>
      </c>
      <c r="J392" s="2" t="str">
        <f t="shared" si="3"/>
        <v>Roti Gandum Cokelat</v>
      </c>
      <c r="K392" s="7">
        <f>if(RIGHT(I392,5)="2 pcs",2,Data!I392)</f>
        <v>2</v>
      </c>
      <c r="L392" s="2" t="str">
        <f t="shared" si="4"/>
        <v>Saturday</v>
      </c>
      <c r="M392" s="2" t="str">
        <f t="shared" si="5"/>
        <v>21</v>
      </c>
      <c r="N392" s="2">
        <f>VLOOKUP(L392,'Data Info'!$A$1:$B$8,2,0)</f>
        <v>6</v>
      </c>
      <c r="O392" s="2" t="str">
        <f>VLOOKUP(L392,'Data Info'!$A$1:$C$8,3,0)</f>
        <v>Weekend</v>
      </c>
    </row>
    <row r="393">
      <c r="A393" s="4">
        <v>45556.739583333336</v>
      </c>
      <c r="B393" s="9">
        <f>IFERROR(__xludf.DUMMYFUNCTION("SPLIT(A393,"" "")"),45556.0)</f>
        <v>45556</v>
      </c>
      <c r="C393" s="10">
        <f>IFERROR(__xludf.DUMMYFUNCTION("""COMPUTED_VALUE"""),0.7395833333333334)</f>
        <v>0.7395833333</v>
      </c>
      <c r="D393" s="2">
        <f t="shared" si="1"/>
        <v>17</v>
      </c>
      <c r="E393" s="2">
        <f>IFERROR(__xludf.DUMMYFUNCTION("SPLIT(B393,""/"")"),21.0)</f>
        <v>21</v>
      </c>
      <c r="F393" s="2">
        <f>IFERROR(__xludf.DUMMYFUNCTION("""COMPUTED_VALUE"""),9.0)</f>
        <v>9</v>
      </c>
      <c r="G393" s="2">
        <f>IFERROR(__xludf.DUMMYFUNCTION("""COMPUTED_VALUE"""),2024.0)</f>
        <v>2024</v>
      </c>
      <c r="H393" s="2" t="str">
        <f t="shared" si="2"/>
        <v>2024/9/21</v>
      </c>
      <c r="I393" s="2" t="s">
        <v>1602</v>
      </c>
      <c r="J393" s="2" t="str">
        <f t="shared" si="3"/>
        <v>Mie joglo</v>
      </c>
      <c r="K393" s="7">
        <f>if(RIGHT(I393,5)="2 pcs",2,Data!I393)</f>
        <v>1</v>
      </c>
      <c r="L393" s="2" t="str">
        <f t="shared" si="4"/>
        <v>Saturday</v>
      </c>
      <c r="M393" s="2" t="str">
        <f t="shared" si="5"/>
        <v>21</v>
      </c>
      <c r="N393" s="2">
        <f>VLOOKUP(L393,'Data Info'!$A$1:$B$8,2,0)</f>
        <v>6</v>
      </c>
      <c r="O393" s="2" t="str">
        <f>VLOOKUP(L393,'Data Info'!$A$1:$C$8,3,0)</f>
        <v>Weekend</v>
      </c>
    </row>
    <row r="394">
      <c r="A394" s="4">
        <v>45556.739583333336</v>
      </c>
      <c r="B394" s="9">
        <f>IFERROR(__xludf.DUMMYFUNCTION("SPLIT(A394,"" "")"),45556.0)</f>
        <v>45556</v>
      </c>
      <c r="C394" s="10">
        <f>IFERROR(__xludf.DUMMYFUNCTION("""COMPUTED_VALUE"""),0.7395833333333334)</f>
        <v>0.7395833333</v>
      </c>
      <c r="D394" s="2">
        <f t="shared" si="1"/>
        <v>17</v>
      </c>
      <c r="E394" s="2">
        <f>IFERROR(__xludf.DUMMYFUNCTION("SPLIT(B394,""/"")"),21.0)</f>
        <v>21</v>
      </c>
      <c r="F394" s="2">
        <f>IFERROR(__xludf.DUMMYFUNCTION("""COMPUTED_VALUE"""),9.0)</f>
        <v>9</v>
      </c>
      <c r="G394" s="2">
        <f>IFERROR(__xludf.DUMMYFUNCTION("""COMPUTED_VALUE"""),2024.0)</f>
        <v>2024</v>
      </c>
      <c r="H394" s="2" t="str">
        <f t="shared" si="2"/>
        <v>2024/9/21</v>
      </c>
      <c r="I394" s="2" t="s">
        <v>1576</v>
      </c>
      <c r="J394" s="2" t="str">
        <f t="shared" si="3"/>
        <v>Roti Cranberry</v>
      </c>
      <c r="K394" s="7">
        <f>if(RIGHT(I394,5)="2 pcs",2,Data!I394)</f>
        <v>1</v>
      </c>
      <c r="L394" s="2" t="str">
        <f t="shared" si="4"/>
        <v>Saturday</v>
      </c>
      <c r="M394" s="2" t="str">
        <f t="shared" si="5"/>
        <v>21</v>
      </c>
      <c r="N394" s="2">
        <f>VLOOKUP(L394,'Data Info'!$A$1:$B$8,2,0)</f>
        <v>6</v>
      </c>
      <c r="O394" s="2" t="str">
        <f>VLOOKUP(L394,'Data Info'!$A$1:$C$8,3,0)</f>
        <v>Weekend</v>
      </c>
    </row>
    <row r="395">
      <c r="A395" s="4">
        <v>45556.739583333336</v>
      </c>
      <c r="B395" s="9">
        <f>IFERROR(__xludf.DUMMYFUNCTION("SPLIT(A395,"" "")"),45556.0)</f>
        <v>45556</v>
      </c>
      <c r="C395" s="10">
        <f>IFERROR(__xludf.DUMMYFUNCTION("""COMPUTED_VALUE"""),0.7395833333333334)</f>
        <v>0.7395833333</v>
      </c>
      <c r="D395" s="2">
        <f t="shared" si="1"/>
        <v>17</v>
      </c>
      <c r="E395" s="2">
        <f>IFERROR(__xludf.DUMMYFUNCTION("SPLIT(B395,""/"")"),21.0)</f>
        <v>21</v>
      </c>
      <c r="F395" s="2">
        <f>IFERROR(__xludf.DUMMYFUNCTION("""COMPUTED_VALUE"""),9.0)</f>
        <v>9</v>
      </c>
      <c r="G395" s="2">
        <f>IFERROR(__xludf.DUMMYFUNCTION("""COMPUTED_VALUE"""),2024.0)</f>
        <v>2024</v>
      </c>
      <c r="H395" s="2" t="str">
        <f t="shared" si="2"/>
        <v>2024/9/21</v>
      </c>
      <c r="I395" s="2" t="s">
        <v>1595</v>
      </c>
      <c r="J395" s="2" t="str">
        <f t="shared" si="3"/>
        <v>Roti Gandum Cokelat</v>
      </c>
      <c r="K395" s="7">
        <f>if(RIGHT(I395,5)="2 pcs",2,Data!I395)</f>
        <v>1</v>
      </c>
      <c r="L395" s="2" t="str">
        <f t="shared" si="4"/>
        <v>Saturday</v>
      </c>
      <c r="M395" s="2" t="str">
        <f t="shared" si="5"/>
        <v>21</v>
      </c>
      <c r="N395" s="2">
        <f>VLOOKUP(L395,'Data Info'!$A$1:$B$8,2,0)</f>
        <v>6</v>
      </c>
      <c r="O395" s="2" t="str">
        <f>VLOOKUP(L395,'Data Info'!$A$1:$C$8,3,0)</f>
        <v>Weekend</v>
      </c>
    </row>
    <row r="396">
      <c r="A396" s="4">
        <v>45556.739583333336</v>
      </c>
      <c r="B396" s="9">
        <f>IFERROR(__xludf.DUMMYFUNCTION("SPLIT(A396,"" "")"),45556.0)</f>
        <v>45556</v>
      </c>
      <c r="C396" s="10">
        <f>IFERROR(__xludf.DUMMYFUNCTION("""COMPUTED_VALUE"""),0.7395833333333334)</f>
        <v>0.7395833333</v>
      </c>
      <c r="D396" s="2">
        <f t="shared" si="1"/>
        <v>17</v>
      </c>
      <c r="E396" s="2">
        <f>IFERROR(__xludf.DUMMYFUNCTION("SPLIT(B396,""/"")"),21.0)</f>
        <v>21</v>
      </c>
      <c r="F396" s="2">
        <f>IFERROR(__xludf.DUMMYFUNCTION("""COMPUTED_VALUE"""),9.0)</f>
        <v>9</v>
      </c>
      <c r="G396" s="2">
        <f>IFERROR(__xludf.DUMMYFUNCTION("""COMPUTED_VALUE"""),2024.0)</f>
        <v>2024</v>
      </c>
      <c r="H396" s="2" t="str">
        <f t="shared" si="2"/>
        <v>2024/9/21</v>
      </c>
      <c r="I396" s="2" t="s">
        <v>1604</v>
      </c>
      <c r="J396" s="2" t="str">
        <f t="shared" si="3"/>
        <v>Teh Tawar Panas</v>
      </c>
      <c r="K396" s="7">
        <f>if(RIGHT(I396,5)="2 pcs",2,Data!I396)</f>
        <v>1</v>
      </c>
      <c r="L396" s="2" t="str">
        <f t="shared" si="4"/>
        <v>Saturday</v>
      </c>
      <c r="M396" s="2" t="str">
        <f t="shared" si="5"/>
        <v>21</v>
      </c>
      <c r="N396" s="2">
        <f>VLOOKUP(L396,'Data Info'!$A$1:$B$8,2,0)</f>
        <v>6</v>
      </c>
      <c r="O396" s="2" t="str">
        <f>VLOOKUP(L396,'Data Info'!$A$1:$C$8,3,0)</f>
        <v>Weekend</v>
      </c>
    </row>
    <row r="397">
      <c r="A397" s="4">
        <v>45556.739583333336</v>
      </c>
      <c r="B397" s="9">
        <f>IFERROR(__xludf.DUMMYFUNCTION("SPLIT(A397,"" "")"),45556.0)</f>
        <v>45556</v>
      </c>
      <c r="C397" s="10">
        <f>IFERROR(__xludf.DUMMYFUNCTION("""COMPUTED_VALUE"""),0.7395833333333334)</f>
        <v>0.7395833333</v>
      </c>
      <c r="D397" s="2">
        <f t="shared" si="1"/>
        <v>17</v>
      </c>
      <c r="E397" s="2">
        <f>IFERROR(__xludf.DUMMYFUNCTION("SPLIT(B397,""/"")"),21.0)</f>
        <v>21</v>
      </c>
      <c r="F397" s="2">
        <f>IFERROR(__xludf.DUMMYFUNCTION("""COMPUTED_VALUE"""),9.0)</f>
        <v>9</v>
      </c>
      <c r="G397" s="2">
        <f>IFERROR(__xludf.DUMMYFUNCTION("""COMPUTED_VALUE"""),2024.0)</f>
        <v>2024</v>
      </c>
      <c r="H397" s="2" t="str">
        <f t="shared" si="2"/>
        <v>2024/9/21</v>
      </c>
      <c r="I397" s="2" t="s">
        <v>1577</v>
      </c>
      <c r="J397" s="2" t="str">
        <f t="shared" si="3"/>
        <v>Rempah Madu Panas</v>
      </c>
      <c r="K397" s="7">
        <f>if(RIGHT(I397,5)="2 pcs",2,Data!I397)</f>
        <v>1</v>
      </c>
      <c r="L397" s="2" t="str">
        <f t="shared" si="4"/>
        <v>Saturday</v>
      </c>
      <c r="M397" s="2" t="str">
        <f t="shared" si="5"/>
        <v>21</v>
      </c>
      <c r="N397" s="2">
        <f>VLOOKUP(L397,'Data Info'!$A$1:$B$8,2,0)</f>
        <v>6</v>
      </c>
      <c r="O397" s="2" t="str">
        <f>VLOOKUP(L397,'Data Info'!$A$1:$C$8,3,0)</f>
        <v>Weekend</v>
      </c>
    </row>
    <row r="398">
      <c r="A398" s="4">
        <v>45556.72638888889</v>
      </c>
      <c r="B398" s="9">
        <f>IFERROR(__xludf.DUMMYFUNCTION("SPLIT(A398,"" "")"),45556.0)</f>
        <v>45556</v>
      </c>
      <c r="C398" s="10">
        <f>IFERROR(__xludf.DUMMYFUNCTION("""COMPUTED_VALUE"""),0.7263888888888889)</f>
        <v>0.7263888889</v>
      </c>
      <c r="D398" s="2">
        <f t="shared" si="1"/>
        <v>17</v>
      </c>
      <c r="E398" s="2">
        <f>IFERROR(__xludf.DUMMYFUNCTION("SPLIT(B398,""/"")"),21.0)</f>
        <v>21</v>
      </c>
      <c r="F398" s="2">
        <f>IFERROR(__xludf.DUMMYFUNCTION("""COMPUTED_VALUE"""),9.0)</f>
        <v>9</v>
      </c>
      <c r="G398" s="2">
        <f>IFERROR(__xludf.DUMMYFUNCTION("""COMPUTED_VALUE"""),2024.0)</f>
        <v>2024</v>
      </c>
      <c r="H398" s="2" t="str">
        <f t="shared" si="2"/>
        <v>2024/9/21</v>
      </c>
      <c r="I398" s="2" t="s">
        <v>1583</v>
      </c>
      <c r="J398" s="2" t="str">
        <f t="shared" si="3"/>
        <v>Es Kopi Lemon</v>
      </c>
      <c r="K398" s="7">
        <f>if(RIGHT(I398,5)="2 pcs",2,Data!I398)</f>
        <v>1</v>
      </c>
      <c r="L398" s="2" t="str">
        <f t="shared" si="4"/>
        <v>Saturday</v>
      </c>
      <c r="M398" s="2" t="str">
        <f t="shared" si="5"/>
        <v>21</v>
      </c>
      <c r="N398" s="2">
        <f>VLOOKUP(L398,'Data Info'!$A$1:$B$8,2,0)</f>
        <v>6</v>
      </c>
      <c r="O398" s="2" t="str">
        <f>VLOOKUP(L398,'Data Info'!$A$1:$C$8,3,0)</f>
        <v>Weekend</v>
      </c>
    </row>
    <row r="399">
      <c r="A399" s="4">
        <v>45556.72638888889</v>
      </c>
      <c r="B399" s="9">
        <f>IFERROR(__xludf.DUMMYFUNCTION("SPLIT(A399,"" "")"),45556.0)</f>
        <v>45556</v>
      </c>
      <c r="C399" s="10">
        <f>IFERROR(__xludf.DUMMYFUNCTION("""COMPUTED_VALUE"""),0.7263888888888889)</f>
        <v>0.7263888889</v>
      </c>
      <c r="D399" s="2">
        <f t="shared" si="1"/>
        <v>17</v>
      </c>
      <c r="E399" s="2">
        <f>IFERROR(__xludf.DUMMYFUNCTION("SPLIT(B399,""/"")"),21.0)</f>
        <v>21</v>
      </c>
      <c r="F399" s="2">
        <f>IFERROR(__xludf.DUMMYFUNCTION("""COMPUTED_VALUE"""),9.0)</f>
        <v>9</v>
      </c>
      <c r="G399" s="2">
        <f>IFERROR(__xludf.DUMMYFUNCTION("""COMPUTED_VALUE"""),2024.0)</f>
        <v>2024</v>
      </c>
      <c r="H399" s="2" t="str">
        <f t="shared" si="2"/>
        <v>2024/9/21</v>
      </c>
      <c r="I399" s="2" t="s">
        <v>1615</v>
      </c>
      <c r="J399" s="2" t="str">
        <f t="shared" si="3"/>
        <v>Roti panggang sarikaya</v>
      </c>
      <c r="K399" s="7">
        <f>if(RIGHT(I399,5)="2 pcs",2,Data!I399)</f>
        <v>1</v>
      </c>
      <c r="L399" s="2" t="str">
        <f t="shared" si="4"/>
        <v>Saturday</v>
      </c>
      <c r="M399" s="2" t="str">
        <f t="shared" si="5"/>
        <v>21</v>
      </c>
      <c r="N399" s="2">
        <f>VLOOKUP(L399,'Data Info'!$A$1:$B$8,2,0)</f>
        <v>6</v>
      </c>
      <c r="O399" s="2" t="str">
        <f>VLOOKUP(L399,'Data Info'!$A$1:$C$8,3,0)</f>
        <v>Weekend</v>
      </c>
    </row>
    <row r="400">
      <c r="A400" s="4">
        <v>45556.72638888889</v>
      </c>
      <c r="B400" s="9">
        <f>IFERROR(__xludf.DUMMYFUNCTION("SPLIT(A400,"" "")"),45556.0)</f>
        <v>45556</v>
      </c>
      <c r="C400" s="10">
        <f>IFERROR(__xludf.DUMMYFUNCTION("""COMPUTED_VALUE"""),0.7263888888888889)</f>
        <v>0.7263888889</v>
      </c>
      <c r="D400" s="2">
        <f t="shared" si="1"/>
        <v>17</v>
      </c>
      <c r="E400" s="2">
        <f>IFERROR(__xludf.DUMMYFUNCTION("SPLIT(B400,""/"")"),21.0)</f>
        <v>21</v>
      </c>
      <c r="F400" s="2">
        <f>IFERROR(__xludf.DUMMYFUNCTION("""COMPUTED_VALUE"""),9.0)</f>
        <v>9</v>
      </c>
      <c r="G400" s="2">
        <f>IFERROR(__xludf.DUMMYFUNCTION("""COMPUTED_VALUE"""),2024.0)</f>
        <v>2024</v>
      </c>
      <c r="H400" s="2" t="str">
        <f t="shared" si="2"/>
        <v>2024/9/21</v>
      </c>
      <c r="I400" s="2" t="s">
        <v>1588</v>
      </c>
      <c r="J400" s="2" t="str">
        <f t="shared" si="3"/>
        <v>Es Kopi Susu</v>
      </c>
      <c r="K400" s="7">
        <f>if(RIGHT(I400,5)="2 pcs",2,Data!I400)</f>
        <v>1</v>
      </c>
      <c r="L400" s="2" t="str">
        <f t="shared" si="4"/>
        <v>Saturday</v>
      </c>
      <c r="M400" s="2" t="str">
        <f t="shared" si="5"/>
        <v>21</v>
      </c>
      <c r="N400" s="2">
        <f>VLOOKUP(L400,'Data Info'!$A$1:$B$8,2,0)</f>
        <v>6</v>
      </c>
      <c r="O400" s="2" t="str">
        <f>VLOOKUP(L400,'Data Info'!$A$1:$C$8,3,0)</f>
        <v>Weekend</v>
      </c>
    </row>
    <row r="401">
      <c r="A401" s="4">
        <v>45556.71944444445</v>
      </c>
      <c r="B401" s="9">
        <f>IFERROR(__xludf.DUMMYFUNCTION("SPLIT(A401,"" "")"),45556.0)</f>
        <v>45556</v>
      </c>
      <c r="C401" s="10">
        <f>IFERROR(__xludf.DUMMYFUNCTION("""COMPUTED_VALUE"""),0.7194444444444444)</f>
        <v>0.7194444444</v>
      </c>
      <c r="D401" s="2">
        <f t="shared" si="1"/>
        <v>17</v>
      </c>
      <c r="E401" s="2">
        <f>IFERROR(__xludf.DUMMYFUNCTION("SPLIT(B401,""/"")"),21.0)</f>
        <v>21</v>
      </c>
      <c r="F401" s="2">
        <f>IFERROR(__xludf.DUMMYFUNCTION("""COMPUTED_VALUE"""),9.0)</f>
        <v>9</v>
      </c>
      <c r="G401" s="2">
        <f>IFERROR(__xludf.DUMMYFUNCTION("""COMPUTED_VALUE"""),2024.0)</f>
        <v>2024</v>
      </c>
      <c r="H401" s="2" t="str">
        <f t="shared" si="2"/>
        <v>2024/9/21</v>
      </c>
      <c r="I401" s="2" t="s">
        <v>1610</v>
      </c>
      <c r="J401" s="2" t="str">
        <f t="shared" si="3"/>
        <v>Roti toast eskrim</v>
      </c>
      <c r="K401" s="7">
        <f>if(RIGHT(I401,5)="2 pcs",2,Data!I401)</f>
        <v>1</v>
      </c>
      <c r="L401" s="2" t="str">
        <f t="shared" si="4"/>
        <v>Saturday</v>
      </c>
      <c r="M401" s="2" t="str">
        <f t="shared" si="5"/>
        <v>21</v>
      </c>
      <c r="N401" s="2">
        <f>VLOOKUP(L401,'Data Info'!$A$1:$B$8,2,0)</f>
        <v>6</v>
      </c>
      <c r="O401" s="2" t="str">
        <f>VLOOKUP(L401,'Data Info'!$A$1:$C$8,3,0)</f>
        <v>Weekend</v>
      </c>
    </row>
    <row r="402">
      <c r="A402" s="4">
        <v>45556.71944444445</v>
      </c>
      <c r="B402" s="9">
        <f>IFERROR(__xludf.DUMMYFUNCTION("SPLIT(A402,"" "")"),45556.0)</f>
        <v>45556</v>
      </c>
      <c r="C402" s="10">
        <f>IFERROR(__xludf.DUMMYFUNCTION("""COMPUTED_VALUE"""),0.7194444444444444)</f>
        <v>0.7194444444</v>
      </c>
      <c r="D402" s="2">
        <f t="shared" si="1"/>
        <v>17</v>
      </c>
      <c r="E402" s="2">
        <f>IFERROR(__xludf.DUMMYFUNCTION("SPLIT(B402,""/"")"),21.0)</f>
        <v>21</v>
      </c>
      <c r="F402" s="2">
        <f>IFERROR(__xludf.DUMMYFUNCTION("""COMPUTED_VALUE"""),9.0)</f>
        <v>9</v>
      </c>
      <c r="G402" s="2">
        <f>IFERROR(__xludf.DUMMYFUNCTION("""COMPUTED_VALUE"""),2024.0)</f>
        <v>2024</v>
      </c>
      <c r="H402" s="2" t="str">
        <f t="shared" si="2"/>
        <v>2024/9/21</v>
      </c>
      <c r="I402" s="2" t="s">
        <v>1609</v>
      </c>
      <c r="J402" s="2" t="str">
        <f t="shared" si="3"/>
        <v>Tempe Mendoan</v>
      </c>
      <c r="K402" s="7">
        <f>if(RIGHT(I402,5)="2 pcs",2,Data!I402)</f>
        <v>1</v>
      </c>
      <c r="L402" s="2" t="str">
        <f t="shared" si="4"/>
        <v>Saturday</v>
      </c>
      <c r="M402" s="2" t="str">
        <f t="shared" si="5"/>
        <v>21</v>
      </c>
      <c r="N402" s="2">
        <f>VLOOKUP(L402,'Data Info'!$A$1:$B$8,2,0)</f>
        <v>6</v>
      </c>
      <c r="O402" s="2" t="str">
        <f>VLOOKUP(L402,'Data Info'!$A$1:$C$8,3,0)</f>
        <v>Weekend</v>
      </c>
    </row>
    <row r="403">
      <c r="A403" s="4">
        <v>45556.71944444445</v>
      </c>
      <c r="B403" s="9">
        <f>IFERROR(__xludf.DUMMYFUNCTION("SPLIT(A403,"" "")"),45556.0)</f>
        <v>45556</v>
      </c>
      <c r="C403" s="10">
        <f>IFERROR(__xludf.DUMMYFUNCTION("""COMPUTED_VALUE"""),0.7194444444444444)</f>
        <v>0.7194444444</v>
      </c>
      <c r="D403" s="2">
        <f t="shared" si="1"/>
        <v>17</v>
      </c>
      <c r="E403" s="2">
        <f>IFERROR(__xludf.DUMMYFUNCTION("SPLIT(B403,""/"")"),21.0)</f>
        <v>21</v>
      </c>
      <c r="F403" s="2">
        <f>IFERROR(__xludf.DUMMYFUNCTION("""COMPUTED_VALUE"""),9.0)</f>
        <v>9</v>
      </c>
      <c r="G403" s="2">
        <f>IFERROR(__xludf.DUMMYFUNCTION("""COMPUTED_VALUE"""),2024.0)</f>
        <v>2024</v>
      </c>
      <c r="H403" s="2" t="str">
        <f t="shared" si="2"/>
        <v>2024/9/21</v>
      </c>
      <c r="I403" s="2" t="s">
        <v>1582</v>
      </c>
      <c r="J403" s="2" t="str">
        <f t="shared" si="3"/>
        <v>Teh Tawar Dingin</v>
      </c>
      <c r="K403" s="7">
        <f>if(RIGHT(I403,5)="2 pcs",2,Data!I403)</f>
        <v>1</v>
      </c>
      <c r="L403" s="2" t="str">
        <f t="shared" si="4"/>
        <v>Saturday</v>
      </c>
      <c r="M403" s="2" t="str">
        <f t="shared" si="5"/>
        <v>21</v>
      </c>
      <c r="N403" s="2">
        <f>VLOOKUP(L403,'Data Info'!$A$1:$B$8,2,0)</f>
        <v>6</v>
      </c>
      <c r="O403" s="2" t="str">
        <f>VLOOKUP(L403,'Data Info'!$A$1:$C$8,3,0)</f>
        <v>Weekend</v>
      </c>
    </row>
    <row r="404">
      <c r="A404" s="4">
        <v>45556.71319444444</v>
      </c>
      <c r="B404" s="9">
        <f>IFERROR(__xludf.DUMMYFUNCTION("SPLIT(A404,"" "")"),45556.0)</f>
        <v>45556</v>
      </c>
      <c r="C404" s="10">
        <f>IFERROR(__xludf.DUMMYFUNCTION("""COMPUTED_VALUE"""),0.7131944444444445)</f>
        <v>0.7131944444</v>
      </c>
      <c r="D404" s="2">
        <f t="shared" si="1"/>
        <v>17</v>
      </c>
      <c r="E404" s="2">
        <f>IFERROR(__xludf.DUMMYFUNCTION("SPLIT(B404,""/"")"),21.0)</f>
        <v>21</v>
      </c>
      <c r="F404" s="2">
        <f>IFERROR(__xludf.DUMMYFUNCTION("""COMPUTED_VALUE"""),9.0)</f>
        <v>9</v>
      </c>
      <c r="G404" s="2">
        <f>IFERROR(__xludf.DUMMYFUNCTION("""COMPUTED_VALUE"""),2024.0)</f>
        <v>2024</v>
      </c>
      <c r="H404" s="2" t="str">
        <f t="shared" si="2"/>
        <v>2024/9/21</v>
      </c>
      <c r="I404" s="2" t="s">
        <v>1596</v>
      </c>
      <c r="J404" s="2" t="str">
        <f t="shared" si="3"/>
        <v>Roti Cranberry</v>
      </c>
      <c r="K404" s="7">
        <f>if(RIGHT(I404,5)="2 pcs",2,Data!I404)</f>
        <v>2</v>
      </c>
      <c r="L404" s="2" t="str">
        <f t="shared" si="4"/>
        <v>Saturday</v>
      </c>
      <c r="M404" s="2" t="str">
        <f t="shared" si="5"/>
        <v>21</v>
      </c>
      <c r="N404" s="2">
        <f>VLOOKUP(L404,'Data Info'!$A$1:$B$8,2,0)</f>
        <v>6</v>
      </c>
      <c r="O404" s="2" t="str">
        <f>VLOOKUP(L404,'Data Info'!$A$1:$C$8,3,0)</f>
        <v>Weekend</v>
      </c>
    </row>
    <row r="405">
      <c r="A405" s="4">
        <v>45556.691666666666</v>
      </c>
      <c r="B405" s="9">
        <f>IFERROR(__xludf.DUMMYFUNCTION("SPLIT(A405,"" "")"),45556.0)</f>
        <v>45556</v>
      </c>
      <c r="C405" s="10">
        <f>IFERROR(__xludf.DUMMYFUNCTION("""COMPUTED_VALUE"""),0.6916666666666667)</f>
        <v>0.6916666667</v>
      </c>
      <c r="D405" s="2">
        <f t="shared" si="1"/>
        <v>16</v>
      </c>
      <c r="E405" s="2">
        <f>IFERROR(__xludf.DUMMYFUNCTION("SPLIT(B405,""/"")"),21.0)</f>
        <v>21</v>
      </c>
      <c r="F405" s="2">
        <f>IFERROR(__xludf.DUMMYFUNCTION("""COMPUTED_VALUE"""),9.0)</f>
        <v>9</v>
      </c>
      <c r="G405" s="2">
        <f>IFERROR(__xludf.DUMMYFUNCTION("""COMPUTED_VALUE"""),2024.0)</f>
        <v>2024</v>
      </c>
      <c r="H405" s="2" t="str">
        <f t="shared" si="2"/>
        <v>2024/9/21</v>
      </c>
      <c r="I405" s="2" t="s">
        <v>1587</v>
      </c>
      <c r="J405" s="2" t="str">
        <f t="shared" si="3"/>
        <v>Tahu Lada Garam</v>
      </c>
      <c r="K405" s="7">
        <f>if(RIGHT(I405,5)="2 pcs",2,Data!I405)</f>
        <v>1</v>
      </c>
      <c r="L405" s="2" t="str">
        <f t="shared" si="4"/>
        <v>Saturday</v>
      </c>
      <c r="M405" s="2" t="str">
        <f t="shared" si="5"/>
        <v>21</v>
      </c>
      <c r="N405" s="2">
        <f>VLOOKUP(L405,'Data Info'!$A$1:$B$8,2,0)</f>
        <v>6</v>
      </c>
      <c r="O405" s="2" t="str">
        <f>VLOOKUP(L405,'Data Info'!$A$1:$C$8,3,0)</f>
        <v>Weekend</v>
      </c>
    </row>
    <row r="406">
      <c r="A406" s="4">
        <v>45556.691666666666</v>
      </c>
      <c r="B406" s="9">
        <f>IFERROR(__xludf.DUMMYFUNCTION("SPLIT(A406,"" "")"),45556.0)</f>
        <v>45556</v>
      </c>
      <c r="C406" s="10">
        <f>IFERROR(__xludf.DUMMYFUNCTION("""COMPUTED_VALUE"""),0.6916666666666667)</f>
        <v>0.6916666667</v>
      </c>
      <c r="D406" s="2">
        <f t="shared" si="1"/>
        <v>16</v>
      </c>
      <c r="E406" s="2">
        <f>IFERROR(__xludf.DUMMYFUNCTION("SPLIT(B406,""/"")"),21.0)</f>
        <v>21</v>
      </c>
      <c r="F406" s="2">
        <f>IFERROR(__xludf.DUMMYFUNCTION("""COMPUTED_VALUE"""),9.0)</f>
        <v>9</v>
      </c>
      <c r="G406" s="2">
        <f>IFERROR(__xludf.DUMMYFUNCTION("""COMPUTED_VALUE"""),2024.0)</f>
        <v>2024</v>
      </c>
      <c r="H406" s="2" t="str">
        <f t="shared" si="2"/>
        <v>2024/9/21</v>
      </c>
      <c r="I406" s="2" t="s">
        <v>1588</v>
      </c>
      <c r="J406" s="2" t="str">
        <f t="shared" si="3"/>
        <v>Es Kopi Susu</v>
      </c>
      <c r="K406" s="7">
        <f>if(RIGHT(I406,5)="2 pcs",2,Data!I406)</f>
        <v>1</v>
      </c>
      <c r="L406" s="2" t="str">
        <f t="shared" si="4"/>
        <v>Saturday</v>
      </c>
      <c r="M406" s="2" t="str">
        <f t="shared" si="5"/>
        <v>21</v>
      </c>
      <c r="N406" s="2">
        <f>VLOOKUP(L406,'Data Info'!$A$1:$B$8,2,0)</f>
        <v>6</v>
      </c>
      <c r="O406" s="2" t="str">
        <f>VLOOKUP(L406,'Data Info'!$A$1:$C$8,3,0)</f>
        <v>Weekend</v>
      </c>
    </row>
    <row r="407">
      <c r="A407" s="4">
        <v>45556.691666666666</v>
      </c>
      <c r="B407" s="9">
        <f>IFERROR(__xludf.DUMMYFUNCTION("SPLIT(A407,"" "")"),45556.0)</f>
        <v>45556</v>
      </c>
      <c r="C407" s="10">
        <f>IFERROR(__xludf.DUMMYFUNCTION("""COMPUTED_VALUE"""),0.6916666666666667)</f>
        <v>0.6916666667</v>
      </c>
      <c r="D407" s="2">
        <f t="shared" si="1"/>
        <v>16</v>
      </c>
      <c r="E407" s="2">
        <f>IFERROR(__xludf.DUMMYFUNCTION("SPLIT(B407,""/"")"),21.0)</f>
        <v>21</v>
      </c>
      <c r="F407" s="2">
        <f>IFERROR(__xludf.DUMMYFUNCTION("""COMPUTED_VALUE"""),9.0)</f>
        <v>9</v>
      </c>
      <c r="G407" s="2">
        <f>IFERROR(__xludf.DUMMYFUNCTION("""COMPUTED_VALUE"""),2024.0)</f>
        <v>2024</v>
      </c>
      <c r="H407" s="2" t="str">
        <f t="shared" si="2"/>
        <v>2024/9/21</v>
      </c>
      <c r="I407" s="2" t="s">
        <v>1599</v>
      </c>
      <c r="J407" s="2" t="str">
        <f t="shared" si="3"/>
        <v>Rempah Madu Dingin</v>
      </c>
      <c r="K407" s="7">
        <f>if(RIGHT(I407,5)="2 pcs",2,Data!I407)</f>
        <v>1</v>
      </c>
      <c r="L407" s="2" t="str">
        <f t="shared" si="4"/>
        <v>Saturday</v>
      </c>
      <c r="M407" s="2" t="str">
        <f t="shared" si="5"/>
        <v>21</v>
      </c>
      <c r="N407" s="2">
        <f>VLOOKUP(L407,'Data Info'!$A$1:$B$8,2,0)</f>
        <v>6</v>
      </c>
      <c r="O407" s="2" t="str">
        <f>VLOOKUP(L407,'Data Info'!$A$1:$C$8,3,0)</f>
        <v>Weekend</v>
      </c>
    </row>
    <row r="408">
      <c r="A408" s="4">
        <v>45556.691666666666</v>
      </c>
      <c r="B408" s="9">
        <f>IFERROR(__xludf.DUMMYFUNCTION("SPLIT(A408,"" "")"),45556.0)</f>
        <v>45556</v>
      </c>
      <c r="C408" s="10">
        <f>IFERROR(__xludf.DUMMYFUNCTION("""COMPUTED_VALUE"""),0.6916666666666667)</f>
        <v>0.6916666667</v>
      </c>
      <c r="D408" s="2">
        <f t="shared" si="1"/>
        <v>16</v>
      </c>
      <c r="E408" s="2">
        <f>IFERROR(__xludf.DUMMYFUNCTION("SPLIT(B408,""/"")"),21.0)</f>
        <v>21</v>
      </c>
      <c r="F408" s="2">
        <f>IFERROR(__xludf.DUMMYFUNCTION("""COMPUTED_VALUE"""),9.0)</f>
        <v>9</v>
      </c>
      <c r="G408" s="2">
        <f>IFERROR(__xludf.DUMMYFUNCTION("""COMPUTED_VALUE"""),2024.0)</f>
        <v>2024</v>
      </c>
      <c r="H408" s="2" t="str">
        <f t="shared" si="2"/>
        <v>2024/9/21</v>
      </c>
      <c r="I408" s="2" t="s">
        <v>1576</v>
      </c>
      <c r="J408" s="2" t="str">
        <f t="shared" si="3"/>
        <v>Roti Cranberry</v>
      </c>
      <c r="K408" s="7">
        <f>if(RIGHT(I408,5)="2 pcs",2,Data!I408)</f>
        <v>1</v>
      </c>
      <c r="L408" s="2" t="str">
        <f t="shared" si="4"/>
        <v>Saturday</v>
      </c>
      <c r="M408" s="2" t="str">
        <f t="shared" si="5"/>
        <v>21</v>
      </c>
      <c r="N408" s="2">
        <f>VLOOKUP(L408,'Data Info'!$A$1:$B$8,2,0)</f>
        <v>6</v>
      </c>
      <c r="O408" s="2" t="str">
        <f>VLOOKUP(L408,'Data Info'!$A$1:$C$8,3,0)</f>
        <v>Weekend</v>
      </c>
    </row>
    <row r="409">
      <c r="A409" s="4">
        <v>45556.691666666666</v>
      </c>
      <c r="B409" s="9">
        <f>IFERROR(__xludf.DUMMYFUNCTION("SPLIT(A409,"" "")"),45556.0)</f>
        <v>45556</v>
      </c>
      <c r="C409" s="10">
        <f>IFERROR(__xludf.DUMMYFUNCTION("""COMPUTED_VALUE"""),0.6916666666666667)</f>
        <v>0.6916666667</v>
      </c>
      <c r="D409" s="2">
        <f t="shared" si="1"/>
        <v>16</v>
      </c>
      <c r="E409" s="2">
        <f>IFERROR(__xludf.DUMMYFUNCTION("SPLIT(B409,""/"")"),21.0)</f>
        <v>21</v>
      </c>
      <c r="F409" s="2">
        <f>IFERROR(__xludf.DUMMYFUNCTION("""COMPUTED_VALUE"""),9.0)</f>
        <v>9</v>
      </c>
      <c r="G409" s="2">
        <f>IFERROR(__xludf.DUMMYFUNCTION("""COMPUTED_VALUE"""),2024.0)</f>
        <v>2024</v>
      </c>
      <c r="H409" s="2" t="str">
        <f t="shared" si="2"/>
        <v>2024/9/21</v>
      </c>
      <c r="I409" s="2" t="s">
        <v>1595</v>
      </c>
      <c r="J409" s="2" t="str">
        <f t="shared" si="3"/>
        <v>Roti Gandum Cokelat</v>
      </c>
      <c r="K409" s="7">
        <f>if(RIGHT(I409,5)="2 pcs",2,Data!I409)</f>
        <v>1</v>
      </c>
      <c r="L409" s="2" t="str">
        <f t="shared" si="4"/>
        <v>Saturday</v>
      </c>
      <c r="M409" s="2" t="str">
        <f t="shared" si="5"/>
        <v>21</v>
      </c>
      <c r="N409" s="2">
        <f>VLOOKUP(L409,'Data Info'!$A$1:$B$8,2,0)</f>
        <v>6</v>
      </c>
      <c r="O409" s="2" t="str">
        <f>VLOOKUP(L409,'Data Info'!$A$1:$C$8,3,0)</f>
        <v>Weekend</v>
      </c>
    </row>
    <row r="410">
      <c r="A410" s="4">
        <v>45556.68402777778</v>
      </c>
      <c r="B410" s="9">
        <f>IFERROR(__xludf.DUMMYFUNCTION("SPLIT(A410,"" "")"),45556.0)</f>
        <v>45556</v>
      </c>
      <c r="C410" s="10">
        <f>IFERROR(__xludf.DUMMYFUNCTION("""COMPUTED_VALUE"""),0.6840277777777778)</f>
        <v>0.6840277778</v>
      </c>
      <c r="D410" s="2">
        <f t="shared" si="1"/>
        <v>16</v>
      </c>
      <c r="E410" s="2">
        <f>IFERROR(__xludf.DUMMYFUNCTION("SPLIT(B410,""/"")"),21.0)</f>
        <v>21</v>
      </c>
      <c r="F410" s="2">
        <f>IFERROR(__xludf.DUMMYFUNCTION("""COMPUTED_VALUE"""),9.0)</f>
        <v>9</v>
      </c>
      <c r="G410" s="2">
        <f>IFERROR(__xludf.DUMMYFUNCTION("""COMPUTED_VALUE"""),2024.0)</f>
        <v>2024</v>
      </c>
      <c r="H410" s="2" t="str">
        <f t="shared" si="2"/>
        <v>2024/9/21</v>
      </c>
      <c r="I410" s="2" t="s">
        <v>1573</v>
      </c>
      <c r="J410" s="2" t="str">
        <f t="shared" si="3"/>
        <v>Air mineral</v>
      </c>
      <c r="K410" s="7">
        <f>if(RIGHT(I410,5)="2 pcs",2,Data!I410)</f>
        <v>2</v>
      </c>
      <c r="L410" s="2" t="str">
        <f t="shared" si="4"/>
        <v>Saturday</v>
      </c>
      <c r="M410" s="2" t="str">
        <f t="shared" si="5"/>
        <v>21</v>
      </c>
      <c r="N410" s="2">
        <f>VLOOKUP(L410,'Data Info'!$A$1:$B$8,2,0)</f>
        <v>6</v>
      </c>
      <c r="O410" s="2" t="str">
        <f>VLOOKUP(L410,'Data Info'!$A$1:$C$8,3,0)</f>
        <v>Weekend</v>
      </c>
    </row>
    <row r="411">
      <c r="A411" s="4">
        <v>45556.66875</v>
      </c>
      <c r="B411" s="9">
        <f>IFERROR(__xludf.DUMMYFUNCTION("SPLIT(A411,"" "")"),45556.0)</f>
        <v>45556</v>
      </c>
      <c r="C411" s="10">
        <f>IFERROR(__xludf.DUMMYFUNCTION("""COMPUTED_VALUE"""),0.66875)</f>
        <v>0.66875</v>
      </c>
      <c r="D411" s="2">
        <f t="shared" si="1"/>
        <v>16</v>
      </c>
      <c r="E411" s="2">
        <f>IFERROR(__xludf.DUMMYFUNCTION("SPLIT(B411,""/"")"),21.0)</f>
        <v>21</v>
      </c>
      <c r="F411" s="2">
        <f>IFERROR(__xludf.DUMMYFUNCTION("""COMPUTED_VALUE"""),9.0)</f>
        <v>9</v>
      </c>
      <c r="G411" s="2">
        <f>IFERROR(__xludf.DUMMYFUNCTION("""COMPUTED_VALUE"""),2024.0)</f>
        <v>2024</v>
      </c>
      <c r="H411" s="2" t="str">
        <f t="shared" si="2"/>
        <v>2024/9/21</v>
      </c>
      <c r="I411" s="2" t="s">
        <v>1596</v>
      </c>
      <c r="J411" s="2" t="str">
        <f t="shared" si="3"/>
        <v>Roti Cranberry</v>
      </c>
      <c r="K411" s="7">
        <f>if(RIGHT(I411,5)="2 pcs",2,Data!I411)</f>
        <v>2</v>
      </c>
      <c r="L411" s="2" t="str">
        <f t="shared" si="4"/>
        <v>Saturday</v>
      </c>
      <c r="M411" s="2" t="str">
        <f t="shared" si="5"/>
        <v>21</v>
      </c>
      <c r="N411" s="2">
        <f>VLOOKUP(L411,'Data Info'!$A$1:$B$8,2,0)</f>
        <v>6</v>
      </c>
      <c r="O411" s="2" t="str">
        <f>VLOOKUP(L411,'Data Info'!$A$1:$C$8,3,0)</f>
        <v>Weekend</v>
      </c>
    </row>
    <row r="412">
      <c r="A412" s="4">
        <v>45556.65</v>
      </c>
      <c r="B412" s="9">
        <f>IFERROR(__xludf.DUMMYFUNCTION("SPLIT(A412,"" "")"),45556.0)</f>
        <v>45556</v>
      </c>
      <c r="C412" s="10">
        <f>IFERROR(__xludf.DUMMYFUNCTION("""COMPUTED_VALUE"""),0.65)</f>
        <v>0.65</v>
      </c>
      <c r="D412" s="2">
        <f t="shared" si="1"/>
        <v>15</v>
      </c>
      <c r="E412" s="2">
        <f>IFERROR(__xludf.DUMMYFUNCTION("SPLIT(B412,""/"")"),21.0)</f>
        <v>21</v>
      </c>
      <c r="F412" s="2">
        <f>IFERROR(__xludf.DUMMYFUNCTION("""COMPUTED_VALUE"""),9.0)</f>
        <v>9</v>
      </c>
      <c r="G412" s="2">
        <f>IFERROR(__xludf.DUMMYFUNCTION("""COMPUTED_VALUE"""),2024.0)</f>
        <v>2024</v>
      </c>
      <c r="H412" s="2" t="str">
        <f t="shared" si="2"/>
        <v>2024/9/21</v>
      </c>
      <c r="I412" s="2" t="s">
        <v>1576</v>
      </c>
      <c r="J412" s="2" t="str">
        <f t="shared" si="3"/>
        <v>Roti Cranberry</v>
      </c>
      <c r="K412" s="7">
        <f>if(RIGHT(I412,5)="2 pcs",2,Data!I412)</f>
        <v>1</v>
      </c>
      <c r="L412" s="2" t="str">
        <f t="shared" si="4"/>
        <v>Saturday</v>
      </c>
      <c r="M412" s="2" t="str">
        <f t="shared" si="5"/>
        <v>21</v>
      </c>
      <c r="N412" s="2">
        <f>VLOOKUP(L412,'Data Info'!$A$1:$B$8,2,0)</f>
        <v>6</v>
      </c>
      <c r="O412" s="2" t="str">
        <f>VLOOKUP(L412,'Data Info'!$A$1:$C$8,3,0)</f>
        <v>Weekend</v>
      </c>
    </row>
    <row r="413">
      <c r="A413" s="4">
        <v>45556.65</v>
      </c>
      <c r="B413" s="9">
        <f>IFERROR(__xludf.DUMMYFUNCTION("SPLIT(A413,"" "")"),45556.0)</f>
        <v>45556</v>
      </c>
      <c r="C413" s="10">
        <f>IFERROR(__xludf.DUMMYFUNCTION("""COMPUTED_VALUE"""),0.65)</f>
        <v>0.65</v>
      </c>
      <c r="D413" s="2">
        <f t="shared" si="1"/>
        <v>15</v>
      </c>
      <c r="E413" s="2">
        <f>IFERROR(__xludf.DUMMYFUNCTION("SPLIT(B413,""/"")"),21.0)</f>
        <v>21</v>
      </c>
      <c r="F413" s="2">
        <f>IFERROR(__xludf.DUMMYFUNCTION("""COMPUTED_VALUE"""),9.0)</f>
        <v>9</v>
      </c>
      <c r="G413" s="2">
        <f>IFERROR(__xludf.DUMMYFUNCTION("""COMPUTED_VALUE"""),2024.0)</f>
        <v>2024</v>
      </c>
      <c r="H413" s="2" t="str">
        <f t="shared" si="2"/>
        <v>2024/9/21</v>
      </c>
      <c r="I413" s="2" t="s">
        <v>1615</v>
      </c>
      <c r="J413" s="2" t="str">
        <f t="shared" si="3"/>
        <v>Roti panggang sarikaya</v>
      </c>
      <c r="K413" s="7">
        <f>if(RIGHT(I413,5)="2 pcs",2,Data!I413)</f>
        <v>1</v>
      </c>
      <c r="L413" s="2" t="str">
        <f t="shared" si="4"/>
        <v>Saturday</v>
      </c>
      <c r="M413" s="2" t="str">
        <f t="shared" si="5"/>
        <v>21</v>
      </c>
      <c r="N413" s="2">
        <f>VLOOKUP(L413,'Data Info'!$A$1:$B$8,2,0)</f>
        <v>6</v>
      </c>
      <c r="O413" s="2" t="str">
        <f>VLOOKUP(L413,'Data Info'!$A$1:$C$8,3,0)</f>
        <v>Weekend</v>
      </c>
    </row>
    <row r="414">
      <c r="A414" s="4">
        <v>45556.65</v>
      </c>
      <c r="B414" s="9">
        <f>IFERROR(__xludf.DUMMYFUNCTION("SPLIT(A414,"" "")"),45556.0)</f>
        <v>45556</v>
      </c>
      <c r="C414" s="10">
        <f>IFERROR(__xludf.DUMMYFUNCTION("""COMPUTED_VALUE"""),0.65)</f>
        <v>0.65</v>
      </c>
      <c r="D414" s="2">
        <f t="shared" si="1"/>
        <v>15</v>
      </c>
      <c r="E414" s="2">
        <f>IFERROR(__xludf.DUMMYFUNCTION("SPLIT(B414,""/"")"),21.0)</f>
        <v>21</v>
      </c>
      <c r="F414" s="2">
        <f>IFERROR(__xludf.DUMMYFUNCTION("""COMPUTED_VALUE"""),9.0)</f>
        <v>9</v>
      </c>
      <c r="G414" s="2">
        <f>IFERROR(__xludf.DUMMYFUNCTION("""COMPUTED_VALUE"""),2024.0)</f>
        <v>2024</v>
      </c>
      <c r="H414" s="2" t="str">
        <f t="shared" si="2"/>
        <v>2024/9/21</v>
      </c>
      <c r="I414" s="2" t="s">
        <v>1593</v>
      </c>
      <c r="J414" s="2" t="str">
        <f t="shared" si="3"/>
        <v>Wedang laut</v>
      </c>
      <c r="K414" s="7">
        <f>if(RIGHT(I414,5)="2 pcs",2,Data!I414)</f>
        <v>1</v>
      </c>
      <c r="L414" s="2" t="str">
        <f t="shared" si="4"/>
        <v>Saturday</v>
      </c>
      <c r="M414" s="2" t="str">
        <f t="shared" si="5"/>
        <v>21</v>
      </c>
      <c r="N414" s="2">
        <f>VLOOKUP(L414,'Data Info'!$A$1:$B$8,2,0)</f>
        <v>6</v>
      </c>
      <c r="O414" s="2" t="str">
        <f>VLOOKUP(L414,'Data Info'!$A$1:$C$8,3,0)</f>
        <v>Weekend</v>
      </c>
    </row>
    <row r="415">
      <c r="A415" s="4">
        <v>45556.65</v>
      </c>
      <c r="B415" s="9">
        <f>IFERROR(__xludf.DUMMYFUNCTION("SPLIT(A415,"" "")"),45556.0)</f>
        <v>45556</v>
      </c>
      <c r="C415" s="10">
        <f>IFERROR(__xludf.DUMMYFUNCTION("""COMPUTED_VALUE"""),0.65)</f>
        <v>0.65</v>
      </c>
      <c r="D415" s="2">
        <f t="shared" si="1"/>
        <v>15</v>
      </c>
      <c r="E415" s="2">
        <f>IFERROR(__xludf.DUMMYFUNCTION("SPLIT(B415,""/"")"),21.0)</f>
        <v>21</v>
      </c>
      <c r="F415" s="2">
        <f>IFERROR(__xludf.DUMMYFUNCTION("""COMPUTED_VALUE"""),9.0)</f>
        <v>9</v>
      </c>
      <c r="G415" s="2">
        <f>IFERROR(__xludf.DUMMYFUNCTION("""COMPUTED_VALUE"""),2024.0)</f>
        <v>2024</v>
      </c>
      <c r="H415" s="2" t="str">
        <f t="shared" si="2"/>
        <v>2024/9/21</v>
      </c>
      <c r="I415" s="2" t="s">
        <v>1603</v>
      </c>
      <c r="J415" s="2" t="str">
        <f t="shared" si="3"/>
        <v>Nasi Goreng Temu</v>
      </c>
      <c r="K415" s="7">
        <f>if(RIGHT(I415,5)="2 pcs",2,Data!I415)</f>
        <v>1</v>
      </c>
      <c r="L415" s="2" t="str">
        <f t="shared" si="4"/>
        <v>Saturday</v>
      </c>
      <c r="M415" s="2" t="str">
        <f t="shared" si="5"/>
        <v>21</v>
      </c>
      <c r="N415" s="2">
        <f>VLOOKUP(L415,'Data Info'!$A$1:$B$8,2,0)</f>
        <v>6</v>
      </c>
      <c r="O415" s="2" t="str">
        <f>VLOOKUP(L415,'Data Info'!$A$1:$C$8,3,0)</f>
        <v>Weekend</v>
      </c>
    </row>
    <row r="416">
      <c r="A416" s="4">
        <v>45556.65</v>
      </c>
      <c r="B416" s="9">
        <f>IFERROR(__xludf.DUMMYFUNCTION("SPLIT(A416,"" "")"),45556.0)</f>
        <v>45556</v>
      </c>
      <c r="C416" s="10">
        <f>IFERROR(__xludf.DUMMYFUNCTION("""COMPUTED_VALUE"""),0.65)</f>
        <v>0.65</v>
      </c>
      <c r="D416" s="2">
        <f t="shared" si="1"/>
        <v>15</v>
      </c>
      <c r="E416" s="2">
        <f>IFERROR(__xludf.DUMMYFUNCTION("SPLIT(B416,""/"")"),21.0)</f>
        <v>21</v>
      </c>
      <c r="F416" s="2">
        <f>IFERROR(__xludf.DUMMYFUNCTION("""COMPUTED_VALUE"""),9.0)</f>
        <v>9</v>
      </c>
      <c r="G416" s="2">
        <f>IFERROR(__xludf.DUMMYFUNCTION("""COMPUTED_VALUE"""),2024.0)</f>
        <v>2024</v>
      </c>
      <c r="H416" s="2" t="str">
        <f t="shared" si="2"/>
        <v>2024/9/21</v>
      </c>
      <c r="I416" s="2" t="s">
        <v>1595</v>
      </c>
      <c r="J416" s="2" t="str">
        <f t="shared" si="3"/>
        <v>Roti Gandum Cokelat</v>
      </c>
      <c r="K416" s="7">
        <f>if(RIGHT(I416,5)="2 pcs",2,Data!I416)</f>
        <v>1</v>
      </c>
      <c r="L416" s="2" t="str">
        <f t="shared" si="4"/>
        <v>Saturday</v>
      </c>
      <c r="M416" s="2" t="str">
        <f t="shared" si="5"/>
        <v>21</v>
      </c>
      <c r="N416" s="2">
        <f>VLOOKUP(L416,'Data Info'!$A$1:$B$8,2,0)</f>
        <v>6</v>
      </c>
      <c r="O416" s="2" t="str">
        <f>VLOOKUP(L416,'Data Info'!$A$1:$C$8,3,0)</f>
        <v>Weekend</v>
      </c>
    </row>
    <row r="417">
      <c r="A417" s="4">
        <v>45556.63680555556</v>
      </c>
      <c r="B417" s="9">
        <f>IFERROR(__xludf.DUMMYFUNCTION("SPLIT(A417,"" "")"),45556.0)</f>
        <v>45556</v>
      </c>
      <c r="C417" s="10">
        <f>IFERROR(__xludf.DUMMYFUNCTION("""COMPUTED_VALUE"""),0.6368055555555555)</f>
        <v>0.6368055556</v>
      </c>
      <c r="D417" s="2">
        <f t="shared" si="1"/>
        <v>15</v>
      </c>
      <c r="E417" s="2">
        <f>IFERROR(__xludf.DUMMYFUNCTION("SPLIT(B417,""/"")"),21.0)</f>
        <v>21</v>
      </c>
      <c r="F417" s="2">
        <f>IFERROR(__xludf.DUMMYFUNCTION("""COMPUTED_VALUE"""),9.0)</f>
        <v>9</v>
      </c>
      <c r="G417" s="2">
        <f>IFERROR(__xludf.DUMMYFUNCTION("""COMPUTED_VALUE"""),2024.0)</f>
        <v>2024</v>
      </c>
      <c r="H417" s="2" t="str">
        <f t="shared" si="2"/>
        <v>2024/9/21</v>
      </c>
      <c r="I417" s="2" t="s">
        <v>1601</v>
      </c>
      <c r="J417" s="2" t="str">
        <f t="shared" si="3"/>
        <v>Gula Asam Dingin</v>
      </c>
      <c r="K417" s="7">
        <f>if(RIGHT(I417,5)="2 pcs",2,Data!I417)</f>
        <v>5</v>
      </c>
      <c r="L417" s="2" t="str">
        <f t="shared" si="4"/>
        <v>Saturday</v>
      </c>
      <c r="M417" s="2" t="str">
        <f t="shared" si="5"/>
        <v>21</v>
      </c>
      <c r="N417" s="2">
        <f>VLOOKUP(L417,'Data Info'!$A$1:$B$8,2,0)</f>
        <v>6</v>
      </c>
      <c r="O417" s="2" t="str">
        <f>VLOOKUP(L417,'Data Info'!$A$1:$C$8,3,0)</f>
        <v>Weekend</v>
      </c>
    </row>
    <row r="418">
      <c r="A418" s="4">
        <v>45556.63680555556</v>
      </c>
      <c r="B418" s="9">
        <f>IFERROR(__xludf.DUMMYFUNCTION("SPLIT(A418,"" "")"),45556.0)</f>
        <v>45556</v>
      </c>
      <c r="C418" s="10">
        <f>IFERROR(__xludf.DUMMYFUNCTION("""COMPUTED_VALUE"""),0.6368055555555555)</f>
        <v>0.6368055556</v>
      </c>
      <c r="D418" s="2">
        <f t="shared" si="1"/>
        <v>15</v>
      </c>
      <c r="E418" s="2">
        <f>IFERROR(__xludf.DUMMYFUNCTION("SPLIT(B418,""/"")"),21.0)</f>
        <v>21</v>
      </c>
      <c r="F418" s="2">
        <f>IFERROR(__xludf.DUMMYFUNCTION("""COMPUTED_VALUE"""),9.0)</f>
        <v>9</v>
      </c>
      <c r="G418" s="2">
        <f>IFERROR(__xludf.DUMMYFUNCTION("""COMPUTED_VALUE"""),2024.0)</f>
        <v>2024</v>
      </c>
      <c r="H418" s="2" t="str">
        <f t="shared" si="2"/>
        <v>2024/9/21</v>
      </c>
      <c r="I418" s="2" t="s">
        <v>1612</v>
      </c>
      <c r="J418" s="2" t="str">
        <f t="shared" si="3"/>
        <v>Nasi telor</v>
      </c>
      <c r="K418" s="7">
        <f>if(RIGHT(I418,5)="2 pcs",2,Data!I418)</f>
        <v>2</v>
      </c>
      <c r="L418" s="2" t="str">
        <f t="shared" si="4"/>
        <v>Saturday</v>
      </c>
      <c r="M418" s="2" t="str">
        <f t="shared" si="5"/>
        <v>21</v>
      </c>
      <c r="N418" s="2">
        <f>VLOOKUP(L418,'Data Info'!$A$1:$B$8,2,0)</f>
        <v>6</v>
      </c>
      <c r="O418" s="2" t="str">
        <f>VLOOKUP(L418,'Data Info'!$A$1:$C$8,3,0)</f>
        <v>Weekend</v>
      </c>
    </row>
    <row r="419">
      <c r="A419" s="4">
        <v>45556.63680555556</v>
      </c>
      <c r="B419" s="9">
        <f>IFERROR(__xludf.DUMMYFUNCTION("SPLIT(A419,"" "")"),45556.0)</f>
        <v>45556</v>
      </c>
      <c r="C419" s="10">
        <f>IFERROR(__xludf.DUMMYFUNCTION("""COMPUTED_VALUE"""),0.6368055555555555)</f>
        <v>0.6368055556</v>
      </c>
      <c r="D419" s="2">
        <f t="shared" si="1"/>
        <v>15</v>
      </c>
      <c r="E419" s="2">
        <f>IFERROR(__xludf.DUMMYFUNCTION("SPLIT(B419,""/"")"),21.0)</f>
        <v>21</v>
      </c>
      <c r="F419" s="2">
        <f>IFERROR(__xludf.DUMMYFUNCTION("""COMPUTED_VALUE"""),9.0)</f>
        <v>9</v>
      </c>
      <c r="G419" s="2">
        <f>IFERROR(__xludf.DUMMYFUNCTION("""COMPUTED_VALUE"""),2024.0)</f>
        <v>2024</v>
      </c>
      <c r="H419" s="2" t="str">
        <f t="shared" si="2"/>
        <v>2024/9/21</v>
      </c>
      <c r="I419" s="2" t="s">
        <v>1581</v>
      </c>
      <c r="J419" s="2" t="str">
        <f t="shared" si="3"/>
        <v>Chicken Claypot Rice</v>
      </c>
      <c r="K419" s="7">
        <f>if(RIGHT(I419,5)="2 pcs",2,Data!I419)</f>
        <v>1</v>
      </c>
      <c r="L419" s="2" t="str">
        <f t="shared" si="4"/>
        <v>Saturday</v>
      </c>
      <c r="M419" s="2" t="str">
        <f t="shared" si="5"/>
        <v>21</v>
      </c>
      <c r="N419" s="2">
        <f>VLOOKUP(L419,'Data Info'!$A$1:$B$8,2,0)</f>
        <v>6</v>
      </c>
      <c r="O419" s="2" t="str">
        <f>VLOOKUP(L419,'Data Info'!$A$1:$C$8,3,0)</f>
        <v>Weekend</v>
      </c>
    </row>
    <row r="420">
      <c r="A420" s="4">
        <v>45556.63680555556</v>
      </c>
      <c r="B420" s="9">
        <f>IFERROR(__xludf.DUMMYFUNCTION("SPLIT(A420,"" "")"),45556.0)</f>
        <v>45556</v>
      </c>
      <c r="C420" s="10">
        <f>IFERROR(__xludf.DUMMYFUNCTION("""COMPUTED_VALUE"""),0.6368055555555555)</f>
        <v>0.6368055556</v>
      </c>
      <c r="D420" s="2">
        <f t="shared" si="1"/>
        <v>15</v>
      </c>
      <c r="E420" s="2">
        <f>IFERROR(__xludf.DUMMYFUNCTION("SPLIT(B420,""/"")"),21.0)</f>
        <v>21</v>
      </c>
      <c r="F420" s="2">
        <f>IFERROR(__xludf.DUMMYFUNCTION("""COMPUTED_VALUE"""),9.0)</f>
        <v>9</v>
      </c>
      <c r="G420" s="2">
        <f>IFERROR(__xludf.DUMMYFUNCTION("""COMPUTED_VALUE"""),2024.0)</f>
        <v>2024</v>
      </c>
      <c r="H420" s="2" t="str">
        <f t="shared" si="2"/>
        <v>2024/9/21</v>
      </c>
      <c r="I420" s="2" t="s">
        <v>1615</v>
      </c>
      <c r="J420" s="2" t="str">
        <f t="shared" si="3"/>
        <v>Roti panggang sarikaya</v>
      </c>
      <c r="K420" s="7">
        <f>if(RIGHT(I420,5)="2 pcs",2,Data!I420)</f>
        <v>1</v>
      </c>
      <c r="L420" s="2" t="str">
        <f t="shared" si="4"/>
        <v>Saturday</v>
      </c>
      <c r="M420" s="2" t="str">
        <f t="shared" si="5"/>
        <v>21</v>
      </c>
      <c r="N420" s="2">
        <f>VLOOKUP(L420,'Data Info'!$A$1:$B$8,2,0)</f>
        <v>6</v>
      </c>
      <c r="O420" s="2" t="str">
        <f>VLOOKUP(L420,'Data Info'!$A$1:$C$8,3,0)</f>
        <v>Weekend</v>
      </c>
    </row>
    <row r="421">
      <c r="A421" s="4">
        <v>45556.63680555556</v>
      </c>
      <c r="B421" s="9">
        <f>IFERROR(__xludf.DUMMYFUNCTION("SPLIT(A421,"" "")"),45556.0)</f>
        <v>45556</v>
      </c>
      <c r="C421" s="10">
        <f>IFERROR(__xludf.DUMMYFUNCTION("""COMPUTED_VALUE"""),0.6368055555555555)</f>
        <v>0.6368055556</v>
      </c>
      <c r="D421" s="2">
        <f t="shared" si="1"/>
        <v>15</v>
      </c>
      <c r="E421" s="2">
        <f>IFERROR(__xludf.DUMMYFUNCTION("SPLIT(B421,""/"")"),21.0)</f>
        <v>21</v>
      </c>
      <c r="F421" s="2">
        <f>IFERROR(__xludf.DUMMYFUNCTION("""COMPUTED_VALUE"""),9.0)</f>
        <v>9</v>
      </c>
      <c r="G421" s="2">
        <f>IFERROR(__xludf.DUMMYFUNCTION("""COMPUTED_VALUE"""),2024.0)</f>
        <v>2024</v>
      </c>
      <c r="H421" s="2" t="str">
        <f t="shared" si="2"/>
        <v>2024/9/21</v>
      </c>
      <c r="I421" s="2" t="s">
        <v>1573</v>
      </c>
      <c r="J421" s="2" t="str">
        <f t="shared" si="3"/>
        <v>Air mineral</v>
      </c>
      <c r="K421" s="7">
        <f>if(RIGHT(I421,5)="2 pcs",2,Data!I421)</f>
        <v>1</v>
      </c>
      <c r="L421" s="2" t="str">
        <f t="shared" si="4"/>
        <v>Saturday</v>
      </c>
      <c r="M421" s="2" t="str">
        <f t="shared" si="5"/>
        <v>21</v>
      </c>
      <c r="N421" s="2">
        <f>VLOOKUP(L421,'Data Info'!$A$1:$B$8,2,0)</f>
        <v>6</v>
      </c>
      <c r="O421" s="2" t="str">
        <f>VLOOKUP(L421,'Data Info'!$A$1:$C$8,3,0)</f>
        <v>Weekend</v>
      </c>
    </row>
    <row r="422">
      <c r="A422" s="4">
        <v>45556.63680555556</v>
      </c>
      <c r="B422" s="9">
        <f>IFERROR(__xludf.DUMMYFUNCTION("SPLIT(A422,"" "")"),45556.0)</f>
        <v>45556</v>
      </c>
      <c r="C422" s="10">
        <f>IFERROR(__xludf.DUMMYFUNCTION("""COMPUTED_VALUE"""),0.6368055555555555)</f>
        <v>0.6368055556</v>
      </c>
      <c r="D422" s="2">
        <f t="shared" si="1"/>
        <v>15</v>
      </c>
      <c r="E422" s="2">
        <f>IFERROR(__xludf.DUMMYFUNCTION("SPLIT(B422,""/"")"),21.0)</f>
        <v>21</v>
      </c>
      <c r="F422" s="2">
        <f>IFERROR(__xludf.DUMMYFUNCTION("""COMPUTED_VALUE"""),9.0)</f>
        <v>9</v>
      </c>
      <c r="G422" s="2">
        <f>IFERROR(__xludf.DUMMYFUNCTION("""COMPUTED_VALUE"""),2024.0)</f>
        <v>2024</v>
      </c>
      <c r="H422" s="2" t="str">
        <f t="shared" si="2"/>
        <v>2024/9/21</v>
      </c>
      <c r="I422" s="2" t="s">
        <v>1596</v>
      </c>
      <c r="J422" s="2" t="str">
        <f t="shared" si="3"/>
        <v>Roti Cranberry</v>
      </c>
      <c r="K422" s="7">
        <f>if(RIGHT(I422,5)="2 pcs",2,Data!I422)</f>
        <v>2</v>
      </c>
      <c r="L422" s="2" t="str">
        <f t="shared" si="4"/>
        <v>Saturday</v>
      </c>
      <c r="M422" s="2" t="str">
        <f t="shared" si="5"/>
        <v>21</v>
      </c>
      <c r="N422" s="2">
        <f>VLOOKUP(L422,'Data Info'!$A$1:$B$8,2,0)</f>
        <v>6</v>
      </c>
      <c r="O422" s="2" t="str">
        <f>VLOOKUP(L422,'Data Info'!$A$1:$C$8,3,0)</f>
        <v>Weekend</v>
      </c>
    </row>
    <row r="423">
      <c r="A423" s="4">
        <v>45556.63680555556</v>
      </c>
      <c r="B423" s="9">
        <f>IFERROR(__xludf.DUMMYFUNCTION("SPLIT(A423,"" "")"),45556.0)</f>
        <v>45556</v>
      </c>
      <c r="C423" s="10">
        <f>IFERROR(__xludf.DUMMYFUNCTION("""COMPUTED_VALUE"""),0.6368055555555555)</f>
        <v>0.6368055556</v>
      </c>
      <c r="D423" s="2">
        <f t="shared" si="1"/>
        <v>15</v>
      </c>
      <c r="E423" s="2">
        <f>IFERROR(__xludf.DUMMYFUNCTION("SPLIT(B423,""/"")"),21.0)</f>
        <v>21</v>
      </c>
      <c r="F423" s="2">
        <f>IFERROR(__xludf.DUMMYFUNCTION("""COMPUTED_VALUE"""),9.0)</f>
        <v>9</v>
      </c>
      <c r="G423" s="2">
        <f>IFERROR(__xludf.DUMMYFUNCTION("""COMPUTED_VALUE"""),2024.0)</f>
        <v>2024</v>
      </c>
      <c r="H423" s="2" t="str">
        <f t="shared" si="2"/>
        <v>2024/9/21</v>
      </c>
      <c r="I423" s="2" t="s">
        <v>1584</v>
      </c>
      <c r="J423" s="2" t="str">
        <f t="shared" si="3"/>
        <v>Korean Mango Fresh Milk</v>
      </c>
      <c r="K423" s="7">
        <f>if(RIGHT(I423,5)="2 pcs",2,Data!I423)</f>
        <v>1</v>
      </c>
      <c r="L423" s="2" t="str">
        <f t="shared" si="4"/>
        <v>Saturday</v>
      </c>
      <c r="M423" s="2" t="str">
        <f t="shared" si="5"/>
        <v>21</v>
      </c>
      <c r="N423" s="2">
        <f>VLOOKUP(L423,'Data Info'!$A$1:$B$8,2,0)</f>
        <v>6</v>
      </c>
      <c r="O423" s="2" t="str">
        <f>VLOOKUP(L423,'Data Info'!$A$1:$C$8,3,0)</f>
        <v>Weekend</v>
      </c>
    </row>
    <row r="424">
      <c r="A424" s="4">
        <v>45556.63680555556</v>
      </c>
      <c r="B424" s="9">
        <f>IFERROR(__xludf.DUMMYFUNCTION("SPLIT(A424,"" "")"),45556.0)</f>
        <v>45556</v>
      </c>
      <c r="C424" s="10">
        <f>IFERROR(__xludf.DUMMYFUNCTION("""COMPUTED_VALUE"""),0.6368055555555555)</f>
        <v>0.6368055556</v>
      </c>
      <c r="D424" s="2">
        <f t="shared" si="1"/>
        <v>15</v>
      </c>
      <c r="E424" s="2">
        <f>IFERROR(__xludf.DUMMYFUNCTION("SPLIT(B424,""/"")"),21.0)</f>
        <v>21</v>
      </c>
      <c r="F424" s="2">
        <f>IFERROR(__xludf.DUMMYFUNCTION("""COMPUTED_VALUE"""),9.0)</f>
        <v>9</v>
      </c>
      <c r="G424" s="2">
        <f>IFERROR(__xludf.DUMMYFUNCTION("""COMPUTED_VALUE"""),2024.0)</f>
        <v>2024</v>
      </c>
      <c r="H424" s="2" t="str">
        <f t="shared" si="2"/>
        <v>2024/9/21</v>
      </c>
      <c r="I424" s="2" t="s">
        <v>1598</v>
      </c>
      <c r="J424" s="2" t="str">
        <f t="shared" si="3"/>
        <v>Korean Strawberry Fresh Milk</v>
      </c>
      <c r="K424" s="7">
        <f>if(RIGHT(I424,5)="2 pcs",2,Data!I424)</f>
        <v>1</v>
      </c>
      <c r="L424" s="2" t="str">
        <f t="shared" si="4"/>
        <v>Saturday</v>
      </c>
      <c r="M424" s="2" t="str">
        <f t="shared" si="5"/>
        <v>21</v>
      </c>
      <c r="N424" s="2">
        <f>VLOOKUP(L424,'Data Info'!$A$1:$B$8,2,0)</f>
        <v>6</v>
      </c>
      <c r="O424" s="2" t="str">
        <f>VLOOKUP(L424,'Data Info'!$A$1:$C$8,3,0)</f>
        <v>Weekend</v>
      </c>
    </row>
    <row r="425">
      <c r="A425" s="4">
        <v>45556.63680555556</v>
      </c>
      <c r="B425" s="9">
        <f>IFERROR(__xludf.DUMMYFUNCTION("SPLIT(A425,"" "")"),45556.0)</f>
        <v>45556</v>
      </c>
      <c r="C425" s="10">
        <f>IFERROR(__xludf.DUMMYFUNCTION("""COMPUTED_VALUE"""),0.6368055555555555)</f>
        <v>0.6368055556</v>
      </c>
      <c r="D425" s="2">
        <f t="shared" si="1"/>
        <v>15</v>
      </c>
      <c r="E425" s="2">
        <f>IFERROR(__xludf.DUMMYFUNCTION("SPLIT(B425,""/"")"),21.0)</f>
        <v>21</v>
      </c>
      <c r="F425" s="2">
        <f>IFERROR(__xludf.DUMMYFUNCTION("""COMPUTED_VALUE"""),9.0)</f>
        <v>9</v>
      </c>
      <c r="G425" s="2">
        <f>IFERROR(__xludf.DUMMYFUNCTION("""COMPUTED_VALUE"""),2024.0)</f>
        <v>2024</v>
      </c>
      <c r="H425" s="2" t="str">
        <f t="shared" si="2"/>
        <v>2024/9/21</v>
      </c>
      <c r="I425" s="2" t="s">
        <v>1581</v>
      </c>
      <c r="J425" s="2" t="str">
        <f t="shared" si="3"/>
        <v>Chicken Claypot Rice</v>
      </c>
      <c r="K425" s="7">
        <f>if(RIGHT(I425,5)="2 pcs",2,Data!I425)</f>
        <v>1</v>
      </c>
      <c r="L425" s="2" t="str">
        <f t="shared" si="4"/>
        <v>Saturday</v>
      </c>
      <c r="M425" s="2" t="str">
        <f t="shared" si="5"/>
        <v>21</v>
      </c>
      <c r="N425" s="2">
        <f>VLOOKUP(L425,'Data Info'!$A$1:$B$8,2,0)</f>
        <v>6</v>
      </c>
      <c r="O425" s="2" t="str">
        <f>VLOOKUP(L425,'Data Info'!$A$1:$C$8,3,0)</f>
        <v>Weekend</v>
      </c>
    </row>
    <row r="426">
      <c r="A426" s="4">
        <v>45556.63680555556</v>
      </c>
      <c r="B426" s="9">
        <f>IFERROR(__xludf.DUMMYFUNCTION("SPLIT(A426,"" "")"),45556.0)</f>
        <v>45556</v>
      </c>
      <c r="C426" s="10">
        <f>IFERROR(__xludf.DUMMYFUNCTION("""COMPUTED_VALUE"""),0.6368055555555555)</f>
        <v>0.6368055556</v>
      </c>
      <c r="D426" s="2">
        <f t="shared" si="1"/>
        <v>15</v>
      </c>
      <c r="E426" s="2">
        <f>IFERROR(__xludf.DUMMYFUNCTION("SPLIT(B426,""/"")"),21.0)</f>
        <v>21</v>
      </c>
      <c r="F426" s="2">
        <f>IFERROR(__xludf.DUMMYFUNCTION("""COMPUTED_VALUE"""),9.0)</f>
        <v>9</v>
      </c>
      <c r="G426" s="2">
        <f>IFERROR(__xludf.DUMMYFUNCTION("""COMPUTED_VALUE"""),2024.0)</f>
        <v>2024</v>
      </c>
      <c r="H426" s="2" t="str">
        <f t="shared" si="2"/>
        <v>2024/9/21</v>
      </c>
      <c r="I426" s="2" t="s">
        <v>1596</v>
      </c>
      <c r="J426" s="2" t="str">
        <f t="shared" si="3"/>
        <v>Roti Cranberry</v>
      </c>
      <c r="K426" s="7">
        <f>if(RIGHT(I426,5)="2 pcs",2,Data!I426)</f>
        <v>2</v>
      </c>
      <c r="L426" s="2" t="str">
        <f t="shared" si="4"/>
        <v>Saturday</v>
      </c>
      <c r="M426" s="2" t="str">
        <f t="shared" si="5"/>
        <v>21</v>
      </c>
      <c r="N426" s="2">
        <f>VLOOKUP(L426,'Data Info'!$A$1:$B$8,2,0)</f>
        <v>6</v>
      </c>
      <c r="O426" s="2" t="str">
        <f>VLOOKUP(L426,'Data Info'!$A$1:$C$8,3,0)</f>
        <v>Weekend</v>
      </c>
    </row>
    <row r="427">
      <c r="A427" s="4">
        <v>45556.63680555556</v>
      </c>
      <c r="B427" s="9">
        <f>IFERROR(__xludf.DUMMYFUNCTION("SPLIT(A427,"" "")"),45556.0)</f>
        <v>45556</v>
      </c>
      <c r="C427" s="10">
        <f>IFERROR(__xludf.DUMMYFUNCTION("""COMPUTED_VALUE"""),0.6368055555555555)</f>
        <v>0.6368055556</v>
      </c>
      <c r="D427" s="2">
        <f t="shared" si="1"/>
        <v>15</v>
      </c>
      <c r="E427" s="2">
        <f>IFERROR(__xludf.DUMMYFUNCTION("SPLIT(B427,""/"")"),21.0)</f>
        <v>21</v>
      </c>
      <c r="F427" s="2">
        <f>IFERROR(__xludf.DUMMYFUNCTION("""COMPUTED_VALUE"""),9.0)</f>
        <v>9</v>
      </c>
      <c r="G427" s="2">
        <f>IFERROR(__xludf.DUMMYFUNCTION("""COMPUTED_VALUE"""),2024.0)</f>
        <v>2024</v>
      </c>
      <c r="H427" s="2" t="str">
        <f t="shared" si="2"/>
        <v>2024/9/21</v>
      </c>
      <c r="I427" s="2" t="s">
        <v>1595</v>
      </c>
      <c r="J427" s="2" t="str">
        <f t="shared" si="3"/>
        <v>Roti Gandum Cokelat</v>
      </c>
      <c r="K427" s="7">
        <f>if(RIGHT(I427,5)="2 pcs",2,Data!I427)</f>
        <v>1</v>
      </c>
      <c r="L427" s="2" t="str">
        <f t="shared" si="4"/>
        <v>Saturday</v>
      </c>
      <c r="M427" s="2" t="str">
        <f t="shared" si="5"/>
        <v>21</v>
      </c>
      <c r="N427" s="2">
        <f>VLOOKUP(L427,'Data Info'!$A$1:$B$8,2,0)</f>
        <v>6</v>
      </c>
      <c r="O427" s="2" t="str">
        <f>VLOOKUP(L427,'Data Info'!$A$1:$C$8,3,0)</f>
        <v>Weekend</v>
      </c>
    </row>
    <row r="428">
      <c r="A428" s="4">
        <v>45556.63611111111</v>
      </c>
      <c r="B428" s="9">
        <f>IFERROR(__xludf.DUMMYFUNCTION("SPLIT(A428,"" "")"),45556.0)</f>
        <v>45556</v>
      </c>
      <c r="C428" s="10">
        <f>IFERROR(__xludf.DUMMYFUNCTION("""COMPUTED_VALUE"""),0.6361111111111111)</f>
        <v>0.6361111111</v>
      </c>
      <c r="D428" s="2">
        <f t="shared" si="1"/>
        <v>15</v>
      </c>
      <c r="E428" s="2">
        <f>IFERROR(__xludf.DUMMYFUNCTION("SPLIT(B428,""/"")"),21.0)</f>
        <v>21</v>
      </c>
      <c r="F428" s="2">
        <f>IFERROR(__xludf.DUMMYFUNCTION("""COMPUTED_VALUE"""),9.0)</f>
        <v>9</v>
      </c>
      <c r="G428" s="2">
        <f>IFERROR(__xludf.DUMMYFUNCTION("""COMPUTED_VALUE"""),2024.0)</f>
        <v>2024</v>
      </c>
      <c r="H428" s="2" t="str">
        <f t="shared" si="2"/>
        <v>2024/9/21</v>
      </c>
      <c r="I428" s="2" t="s">
        <v>1609</v>
      </c>
      <c r="J428" s="2" t="str">
        <f t="shared" si="3"/>
        <v>Tempe Mendoan</v>
      </c>
      <c r="K428" s="7">
        <f>if(RIGHT(I428,5)="2 pcs",2,Data!I428)</f>
        <v>1</v>
      </c>
      <c r="L428" s="2" t="str">
        <f t="shared" si="4"/>
        <v>Saturday</v>
      </c>
      <c r="M428" s="2" t="str">
        <f t="shared" si="5"/>
        <v>21</v>
      </c>
      <c r="N428" s="2">
        <f>VLOOKUP(L428,'Data Info'!$A$1:$B$8,2,0)</f>
        <v>6</v>
      </c>
      <c r="O428" s="2" t="str">
        <f>VLOOKUP(L428,'Data Info'!$A$1:$C$8,3,0)</f>
        <v>Weekend</v>
      </c>
    </row>
    <row r="429">
      <c r="A429" s="4">
        <v>45556.575</v>
      </c>
      <c r="B429" s="9">
        <f>IFERROR(__xludf.DUMMYFUNCTION("SPLIT(A429,"" "")"),45556.0)</f>
        <v>45556</v>
      </c>
      <c r="C429" s="10">
        <f>IFERROR(__xludf.DUMMYFUNCTION("""COMPUTED_VALUE"""),0.575)</f>
        <v>0.575</v>
      </c>
      <c r="D429" s="2">
        <f t="shared" si="1"/>
        <v>13</v>
      </c>
      <c r="E429" s="2">
        <f>IFERROR(__xludf.DUMMYFUNCTION("SPLIT(B429,""/"")"),21.0)</f>
        <v>21</v>
      </c>
      <c r="F429" s="2">
        <f>IFERROR(__xludf.DUMMYFUNCTION("""COMPUTED_VALUE"""),9.0)</f>
        <v>9</v>
      </c>
      <c r="G429" s="2">
        <f>IFERROR(__xludf.DUMMYFUNCTION("""COMPUTED_VALUE"""),2024.0)</f>
        <v>2024</v>
      </c>
      <c r="H429" s="2" t="str">
        <f t="shared" si="2"/>
        <v>2024/9/21</v>
      </c>
      <c r="I429" s="2" t="s">
        <v>1609</v>
      </c>
      <c r="J429" s="2" t="str">
        <f t="shared" si="3"/>
        <v>Tempe Mendoan</v>
      </c>
      <c r="K429" s="7">
        <f>if(RIGHT(I429,5)="2 pcs",2,Data!I429)</f>
        <v>1</v>
      </c>
      <c r="L429" s="2" t="str">
        <f t="shared" si="4"/>
        <v>Saturday</v>
      </c>
      <c r="M429" s="2" t="str">
        <f t="shared" si="5"/>
        <v>21</v>
      </c>
      <c r="N429" s="2">
        <f>VLOOKUP(L429,'Data Info'!$A$1:$B$8,2,0)</f>
        <v>6</v>
      </c>
      <c r="O429" s="2" t="str">
        <f>VLOOKUP(L429,'Data Info'!$A$1:$C$8,3,0)</f>
        <v>Weekend</v>
      </c>
    </row>
    <row r="430">
      <c r="A430" s="4">
        <v>45556.575</v>
      </c>
      <c r="B430" s="9">
        <f>IFERROR(__xludf.DUMMYFUNCTION("SPLIT(A430,"" "")"),45556.0)</f>
        <v>45556</v>
      </c>
      <c r="C430" s="10">
        <f>IFERROR(__xludf.DUMMYFUNCTION("""COMPUTED_VALUE"""),0.575)</f>
        <v>0.575</v>
      </c>
      <c r="D430" s="2">
        <f t="shared" si="1"/>
        <v>13</v>
      </c>
      <c r="E430" s="2">
        <f>IFERROR(__xludf.DUMMYFUNCTION("SPLIT(B430,""/"")"),21.0)</f>
        <v>21</v>
      </c>
      <c r="F430" s="2">
        <f>IFERROR(__xludf.DUMMYFUNCTION("""COMPUTED_VALUE"""),9.0)</f>
        <v>9</v>
      </c>
      <c r="G430" s="2">
        <f>IFERROR(__xludf.DUMMYFUNCTION("""COMPUTED_VALUE"""),2024.0)</f>
        <v>2024</v>
      </c>
      <c r="H430" s="2" t="str">
        <f t="shared" si="2"/>
        <v>2024/9/21</v>
      </c>
      <c r="I430" s="2" t="s">
        <v>1610</v>
      </c>
      <c r="J430" s="2" t="str">
        <f t="shared" si="3"/>
        <v>Roti toast eskrim</v>
      </c>
      <c r="K430" s="7">
        <f>if(RIGHT(I430,5)="2 pcs",2,Data!I430)</f>
        <v>2</v>
      </c>
      <c r="L430" s="2" t="str">
        <f t="shared" si="4"/>
        <v>Saturday</v>
      </c>
      <c r="M430" s="2" t="str">
        <f t="shared" si="5"/>
        <v>21</v>
      </c>
      <c r="N430" s="2">
        <f>VLOOKUP(L430,'Data Info'!$A$1:$B$8,2,0)</f>
        <v>6</v>
      </c>
      <c r="O430" s="2" t="str">
        <f>VLOOKUP(L430,'Data Info'!$A$1:$C$8,3,0)</f>
        <v>Weekend</v>
      </c>
    </row>
    <row r="431">
      <c r="A431" s="4">
        <v>45556.575</v>
      </c>
      <c r="B431" s="9">
        <f>IFERROR(__xludf.DUMMYFUNCTION("SPLIT(A431,"" "")"),45556.0)</f>
        <v>45556</v>
      </c>
      <c r="C431" s="10">
        <f>IFERROR(__xludf.DUMMYFUNCTION("""COMPUTED_VALUE"""),0.575)</f>
        <v>0.575</v>
      </c>
      <c r="D431" s="2">
        <f t="shared" si="1"/>
        <v>13</v>
      </c>
      <c r="E431" s="2">
        <f>IFERROR(__xludf.DUMMYFUNCTION("SPLIT(B431,""/"")"),21.0)</f>
        <v>21</v>
      </c>
      <c r="F431" s="2">
        <f>IFERROR(__xludf.DUMMYFUNCTION("""COMPUTED_VALUE"""),9.0)</f>
        <v>9</v>
      </c>
      <c r="G431" s="2">
        <f>IFERROR(__xludf.DUMMYFUNCTION("""COMPUTED_VALUE"""),2024.0)</f>
        <v>2024</v>
      </c>
      <c r="H431" s="2" t="str">
        <f t="shared" si="2"/>
        <v>2024/9/21</v>
      </c>
      <c r="I431" s="2" t="s">
        <v>1588</v>
      </c>
      <c r="J431" s="2" t="str">
        <f t="shared" si="3"/>
        <v>Es Kopi Susu</v>
      </c>
      <c r="K431" s="7">
        <f>if(RIGHT(I431,5)="2 pcs",2,Data!I431)</f>
        <v>1</v>
      </c>
      <c r="L431" s="2" t="str">
        <f t="shared" si="4"/>
        <v>Saturday</v>
      </c>
      <c r="M431" s="2" t="str">
        <f t="shared" si="5"/>
        <v>21</v>
      </c>
      <c r="N431" s="2">
        <f>VLOOKUP(L431,'Data Info'!$A$1:$B$8,2,0)</f>
        <v>6</v>
      </c>
      <c r="O431" s="2" t="str">
        <f>VLOOKUP(L431,'Data Info'!$A$1:$C$8,3,0)</f>
        <v>Weekend</v>
      </c>
    </row>
    <row r="432">
      <c r="A432" s="4">
        <v>45556.575</v>
      </c>
      <c r="B432" s="9">
        <f>IFERROR(__xludf.DUMMYFUNCTION("SPLIT(A432,"" "")"),45556.0)</f>
        <v>45556</v>
      </c>
      <c r="C432" s="10">
        <f>IFERROR(__xludf.DUMMYFUNCTION("""COMPUTED_VALUE"""),0.575)</f>
        <v>0.575</v>
      </c>
      <c r="D432" s="2">
        <f t="shared" si="1"/>
        <v>13</v>
      </c>
      <c r="E432" s="2">
        <f>IFERROR(__xludf.DUMMYFUNCTION("SPLIT(B432,""/"")"),21.0)</f>
        <v>21</v>
      </c>
      <c r="F432" s="2">
        <f>IFERROR(__xludf.DUMMYFUNCTION("""COMPUTED_VALUE"""),9.0)</f>
        <v>9</v>
      </c>
      <c r="G432" s="2">
        <f>IFERROR(__xludf.DUMMYFUNCTION("""COMPUTED_VALUE"""),2024.0)</f>
        <v>2024</v>
      </c>
      <c r="H432" s="2" t="str">
        <f t="shared" si="2"/>
        <v>2024/9/21</v>
      </c>
      <c r="I432" s="2" t="s">
        <v>1617</v>
      </c>
      <c r="J432" s="2" t="str">
        <f t="shared" si="3"/>
        <v>Lemon Tea Dingin</v>
      </c>
      <c r="K432" s="7">
        <f>if(RIGHT(I432,5)="2 pcs",2,Data!I432)</f>
        <v>1</v>
      </c>
      <c r="L432" s="2" t="str">
        <f t="shared" si="4"/>
        <v>Saturday</v>
      </c>
      <c r="M432" s="2" t="str">
        <f t="shared" si="5"/>
        <v>21</v>
      </c>
      <c r="N432" s="2">
        <f>VLOOKUP(L432,'Data Info'!$A$1:$B$8,2,0)</f>
        <v>6</v>
      </c>
      <c r="O432" s="2" t="str">
        <f>VLOOKUP(L432,'Data Info'!$A$1:$C$8,3,0)</f>
        <v>Weekend</v>
      </c>
    </row>
    <row r="433">
      <c r="A433" s="4">
        <v>45556.572222222225</v>
      </c>
      <c r="B433" s="9">
        <f>IFERROR(__xludf.DUMMYFUNCTION("SPLIT(A433,"" "")"),45556.0)</f>
        <v>45556</v>
      </c>
      <c r="C433" s="10">
        <f>IFERROR(__xludf.DUMMYFUNCTION("""COMPUTED_VALUE"""),0.5722222222222222)</f>
        <v>0.5722222222</v>
      </c>
      <c r="D433" s="2">
        <f t="shared" si="1"/>
        <v>13</v>
      </c>
      <c r="E433" s="2">
        <f>IFERROR(__xludf.DUMMYFUNCTION("SPLIT(B433,""/"")"),21.0)</f>
        <v>21</v>
      </c>
      <c r="F433" s="2">
        <f>IFERROR(__xludf.DUMMYFUNCTION("""COMPUTED_VALUE"""),9.0)</f>
        <v>9</v>
      </c>
      <c r="G433" s="2">
        <f>IFERROR(__xludf.DUMMYFUNCTION("""COMPUTED_VALUE"""),2024.0)</f>
        <v>2024</v>
      </c>
      <c r="H433" s="2" t="str">
        <f t="shared" si="2"/>
        <v>2024/9/21</v>
      </c>
      <c r="I433" s="2" t="s">
        <v>1606</v>
      </c>
      <c r="J433" s="2" t="str">
        <f t="shared" si="3"/>
        <v>Pisang Goreng</v>
      </c>
      <c r="K433" s="7">
        <f>if(RIGHT(I433,5)="2 pcs",2,Data!I433)</f>
        <v>2</v>
      </c>
      <c r="L433" s="2" t="str">
        <f t="shared" si="4"/>
        <v>Saturday</v>
      </c>
      <c r="M433" s="2" t="str">
        <f t="shared" si="5"/>
        <v>21</v>
      </c>
      <c r="N433" s="2">
        <f>VLOOKUP(L433,'Data Info'!$A$1:$B$8,2,0)</f>
        <v>6</v>
      </c>
      <c r="O433" s="2" t="str">
        <f>VLOOKUP(L433,'Data Info'!$A$1:$C$8,3,0)</f>
        <v>Weekend</v>
      </c>
    </row>
    <row r="434">
      <c r="A434" s="4">
        <v>45556.572222222225</v>
      </c>
      <c r="B434" s="9">
        <f>IFERROR(__xludf.DUMMYFUNCTION("SPLIT(A434,"" "")"),45556.0)</f>
        <v>45556</v>
      </c>
      <c r="C434" s="10">
        <f>IFERROR(__xludf.DUMMYFUNCTION("""COMPUTED_VALUE"""),0.5722222222222222)</f>
        <v>0.5722222222</v>
      </c>
      <c r="D434" s="2">
        <f t="shared" si="1"/>
        <v>13</v>
      </c>
      <c r="E434" s="2">
        <f>IFERROR(__xludf.DUMMYFUNCTION("SPLIT(B434,""/"")"),21.0)</f>
        <v>21</v>
      </c>
      <c r="F434" s="2">
        <f>IFERROR(__xludf.DUMMYFUNCTION("""COMPUTED_VALUE"""),9.0)</f>
        <v>9</v>
      </c>
      <c r="G434" s="2">
        <f>IFERROR(__xludf.DUMMYFUNCTION("""COMPUTED_VALUE"""),2024.0)</f>
        <v>2024</v>
      </c>
      <c r="H434" s="2" t="str">
        <f t="shared" si="2"/>
        <v>2024/9/21</v>
      </c>
      <c r="I434" s="2" t="s">
        <v>1587</v>
      </c>
      <c r="J434" s="2" t="str">
        <f t="shared" si="3"/>
        <v>Tahu Lada Garam</v>
      </c>
      <c r="K434" s="7">
        <f>if(RIGHT(I434,5)="2 pcs",2,Data!I434)</f>
        <v>2</v>
      </c>
      <c r="L434" s="2" t="str">
        <f t="shared" si="4"/>
        <v>Saturday</v>
      </c>
      <c r="M434" s="2" t="str">
        <f t="shared" si="5"/>
        <v>21</v>
      </c>
      <c r="N434" s="2">
        <f>VLOOKUP(L434,'Data Info'!$A$1:$B$8,2,0)</f>
        <v>6</v>
      </c>
      <c r="O434" s="2" t="str">
        <f>VLOOKUP(L434,'Data Info'!$A$1:$C$8,3,0)</f>
        <v>Weekend</v>
      </c>
    </row>
    <row r="435">
      <c r="A435" s="4">
        <v>45556.572222222225</v>
      </c>
      <c r="B435" s="9">
        <f>IFERROR(__xludf.DUMMYFUNCTION("SPLIT(A435,"" "")"),45556.0)</f>
        <v>45556</v>
      </c>
      <c r="C435" s="10">
        <f>IFERROR(__xludf.DUMMYFUNCTION("""COMPUTED_VALUE"""),0.5722222222222222)</f>
        <v>0.5722222222</v>
      </c>
      <c r="D435" s="2">
        <f t="shared" si="1"/>
        <v>13</v>
      </c>
      <c r="E435" s="2">
        <f>IFERROR(__xludf.DUMMYFUNCTION("SPLIT(B435,""/"")"),21.0)</f>
        <v>21</v>
      </c>
      <c r="F435" s="2">
        <f>IFERROR(__xludf.DUMMYFUNCTION("""COMPUTED_VALUE"""),9.0)</f>
        <v>9</v>
      </c>
      <c r="G435" s="2">
        <f>IFERROR(__xludf.DUMMYFUNCTION("""COMPUTED_VALUE"""),2024.0)</f>
        <v>2024</v>
      </c>
      <c r="H435" s="2" t="str">
        <f t="shared" si="2"/>
        <v>2024/9/21</v>
      </c>
      <c r="I435" s="2" t="s">
        <v>1588</v>
      </c>
      <c r="J435" s="2" t="str">
        <f t="shared" si="3"/>
        <v>Es Kopi Susu</v>
      </c>
      <c r="K435" s="7">
        <f>if(RIGHT(I435,5)="2 pcs",2,Data!I435)</f>
        <v>6</v>
      </c>
      <c r="L435" s="2" t="str">
        <f t="shared" si="4"/>
        <v>Saturday</v>
      </c>
      <c r="M435" s="2" t="str">
        <f t="shared" si="5"/>
        <v>21</v>
      </c>
      <c r="N435" s="2">
        <f>VLOOKUP(L435,'Data Info'!$A$1:$B$8,2,0)</f>
        <v>6</v>
      </c>
      <c r="O435" s="2" t="str">
        <f>VLOOKUP(L435,'Data Info'!$A$1:$C$8,3,0)</f>
        <v>Weekend</v>
      </c>
    </row>
    <row r="436">
      <c r="A436" s="4">
        <v>45556.572222222225</v>
      </c>
      <c r="B436" s="9">
        <f>IFERROR(__xludf.DUMMYFUNCTION("SPLIT(A436,"" "")"),45556.0)</f>
        <v>45556</v>
      </c>
      <c r="C436" s="10">
        <f>IFERROR(__xludf.DUMMYFUNCTION("""COMPUTED_VALUE"""),0.5722222222222222)</f>
        <v>0.5722222222</v>
      </c>
      <c r="D436" s="2">
        <f t="shared" si="1"/>
        <v>13</v>
      </c>
      <c r="E436" s="2">
        <f>IFERROR(__xludf.DUMMYFUNCTION("SPLIT(B436,""/"")"),21.0)</f>
        <v>21</v>
      </c>
      <c r="F436" s="2">
        <f>IFERROR(__xludf.DUMMYFUNCTION("""COMPUTED_VALUE"""),9.0)</f>
        <v>9</v>
      </c>
      <c r="G436" s="2">
        <f>IFERROR(__xludf.DUMMYFUNCTION("""COMPUTED_VALUE"""),2024.0)</f>
        <v>2024</v>
      </c>
      <c r="H436" s="2" t="str">
        <f t="shared" si="2"/>
        <v>2024/9/21</v>
      </c>
      <c r="I436" s="2" t="s">
        <v>1577</v>
      </c>
      <c r="J436" s="2" t="str">
        <f t="shared" si="3"/>
        <v>Rempah Madu Panas</v>
      </c>
      <c r="K436" s="7">
        <f>if(RIGHT(I436,5)="2 pcs",2,Data!I436)</f>
        <v>5</v>
      </c>
      <c r="L436" s="2" t="str">
        <f t="shared" si="4"/>
        <v>Saturday</v>
      </c>
      <c r="M436" s="2" t="str">
        <f t="shared" si="5"/>
        <v>21</v>
      </c>
      <c r="N436" s="2">
        <f>VLOOKUP(L436,'Data Info'!$A$1:$B$8,2,0)</f>
        <v>6</v>
      </c>
      <c r="O436" s="2" t="str">
        <f>VLOOKUP(L436,'Data Info'!$A$1:$C$8,3,0)</f>
        <v>Weekend</v>
      </c>
    </row>
    <row r="437">
      <c r="A437" s="4">
        <v>45556.572222222225</v>
      </c>
      <c r="B437" s="9">
        <f>IFERROR(__xludf.DUMMYFUNCTION("SPLIT(A437,"" "")"),45556.0)</f>
        <v>45556</v>
      </c>
      <c r="C437" s="10">
        <f>IFERROR(__xludf.DUMMYFUNCTION("""COMPUTED_VALUE"""),0.5722222222222222)</f>
        <v>0.5722222222</v>
      </c>
      <c r="D437" s="2">
        <f t="shared" si="1"/>
        <v>13</v>
      </c>
      <c r="E437" s="2">
        <f>IFERROR(__xludf.DUMMYFUNCTION("SPLIT(B437,""/"")"),21.0)</f>
        <v>21</v>
      </c>
      <c r="F437" s="2">
        <f>IFERROR(__xludf.DUMMYFUNCTION("""COMPUTED_VALUE"""),9.0)</f>
        <v>9</v>
      </c>
      <c r="G437" s="2">
        <f>IFERROR(__xludf.DUMMYFUNCTION("""COMPUTED_VALUE"""),2024.0)</f>
        <v>2024</v>
      </c>
      <c r="H437" s="2" t="str">
        <f t="shared" si="2"/>
        <v>2024/9/21</v>
      </c>
      <c r="I437" s="2" t="s">
        <v>1592</v>
      </c>
      <c r="J437" s="2" t="str">
        <f t="shared" si="3"/>
        <v>Kopi Tubruk Panas</v>
      </c>
      <c r="K437" s="7">
        <f>if(RIGHT(I437,5)="2 pcs",2,Data!I437)</f>
        <v>3</v>
      </c>
      <c r="L437" s="2" t="str">
        <f t="shared" si="4"/>
        <v>Saturday</v>
      </c>
      <c r="M437" s="2" t="str">
        <f t="shared" si="5"/>
        <v>21</v>
      </c>
      <c r="N437" s="2">
        <f>VLOOKUP(L437,'Data Info'!$A$1:$B$8,2,0)</f>
        <v>6</v>
      </c>
      <c r="O437" s="2" t="str">
        <f>VLOOKUP(L437,'Data Info'!$A$1:$C$8,3,0)</f>
        <v>Weekend</v>
      </c>
    </row>
    <row r="438">
      <c r="A438" s="4">
        <v>45556.572222222225</v>
      </c>
      <c r="B438" s="9">
        <f>IFERROR(__xludf.DUMMYFUNCTION("SPLIT(A438,"" "")"),45556.0)</f>
        <v>45556</v>
      </c>
      <c r="C438" s="10">
        <f>IFERROR(__xludf.DUMMYFUNCTION("""COMPUTED_VALUE"""),0.5722222222222222)</f>
        <v>0.5722222222</v>
      </c>
      <c r="D438" s="2">
        <f t="shared" si="1"/>
        <v>13</v>
      </c>
      <c r="E438" s="2">
        <f>IFERROR(__xludf.DUMMYFUNCTION("SPLIT(B438,""/"")"),21.0)</f>
        <v>21</v>
      </c>
      <c r="F438" s="2">
        <f>IFERROR(__xludf.DUMMYFUNCTION("""COMPUTED_VALUE"""),9.0)</f>
        <v>9</v>
      </c>
      <c r="G438" s="2">
        <f>IFERROR(__xludf.DUMMYFUNCTION("""COMPUTED_VALUE"""),2024.0)</f>
        <v>2024</v>
      </c>
      <c r="H438" s="2" t="str">
        <f t="shared" si="2"/>
        <v>2024/9/21</v>
      </c>
      <c r="I438" s="2" t="s">
        <v>1604</v>
      </c>
      <c r="J438" s="2" t="str">
        <f t="shared" si="3"/>
        <v>Teh Tawar Panas</v>
      </c>
      <c r="K438" s="7">
        <f>if(RIGHT(I438,5)="2 pcs",2,Data!I438)</f>
        <v>1</v>
      </c>
      <c r="L438" s="2" t="str">
        <f t="shared" si="4"/>
        <v>Saturday</v>
      </c>
      <c r="M438" s="2" t="str">
        <f t="shared" si="5"/>
        <v>21</v>
      </c>
      <c r="N438" s="2">
        <f>VLOOKUP(L438,'Data Info'!$A$1:$B$8,2,0)</f>
        <v>6</v>
      </c>
      <c r="O438" s="2" t="str">
        <f>VLOOKUP(L438,'Data Info'!$A$1:$C$8,3,0)</f>
        <v>Weekend</v>
      </c>
    </row>
    <row r="439">
      <c r="A439" s="4">
        <v>45556.572222222225</v>
      </c>
      <c r="B439" s="9">
        <f>IFERROR(__xludf.DUMMYFUNCTION("SPLIT(A439,"" "")"),45556.0)</f>
        <v>45556</v>
      </c>
      <c r="C439" s="10">
        <f>IFERROR(__xludf.DUMMYFUNCTION("""COMPUTED_VALUE"""),0.5722222222222222)</f>
        <v>0.5722222222</v>
      </c>
      <c r="D439" s="2">
        <f t="shared" si="1"/>
        <v>13</v>
      </c>
      <c r="E439" s="2">
        <f>IFERROR(__xludf.DUMMYFUNCTION("SPLIT(B439,""/"")"),21.0)</f>
        <v>21</v>
      </c>
      <c r="F439" s="2">
        <f>IFERROR(__xludf.DUMMYFUNCTION("""COMPUTED_VALUE"""),9.0)</f>
        <v>9</v>
      </c>
      <c r="G439" s="2">
        <f>IFERROR(__xludf.DUMMYFUNCTION("""COMPUTED_VALUE"""),2024.0)</f>
        <v>2024</v>
      </c>
      <c r="H439" s="2" t="str">
        <f t="shared" si="2"/>
        <v>2024/9/21</v>
      </c>
      <c r="I439" s="2" t="s">
        <v>1597</v>
      </c>
      <c r="J439" s="2" t="str">
        <f t="shared" si="3"/>
        <v>Roti Gandum Cokelat</v>
      </c>
      <c r="K439" s="7">
        <f>if(RIGHT(I439,5)="2 pcs",2,Data!I439)</f>
        <v>2</v>
      </c>
      <c r="L439" s="2" t="str">
        <f t="shared" si="4"/>
        <v>Saturday</v>
      </c>
      <c r="M439" s="2" t="str">
        <f t="shared" si="5"/>
        <v>21</v>
      </c>
      <c r="N439" s="2">
        <f>VLOOKUP(L439,'Data Info'!$A$1:$B$8,2,0)</f>
        <v>6</v>
      </c>
      <c r="O439" s="2" t="str">
        <f>VLOOKUP(L439,'Data Info'!$A$1:$C$8,3,0)</f>
        <v>Weekend</v>
      </c>
    </row>
    <row r="440">
      <c r="A440" s="4">
        <v>45556.572222222225</v>
      </c>
      <c r="B440" s="9">
        <f>IFERROR(__xludf.DUMMYFUNCTION("SPLIT(A440,"" "")"),45556.0)</f>
        <v>45556</v>
      </c>
      <c r="C440" s="10">
        <f>IFERROR(__xludf.DUMMYFUNCTION("""COMPUTED_VALUE"""),0.5722222222222222)</f>
        <v>0.5722222222</v>
      </c>
      <c r="D440" s="2">
        <f t="shared" si="1"/>
        <v>13</v>
      </c>
      <c r="E440" s="2">
        <f>IFERROR(__xludf.DUMMYFUNCTION("SPLIT(B440,""/"")"),21.0)</f>
        <v>21</v>
      </c>
      <c r="F440" s="2">
        <f>IFERROR(__xludf.DUMMYFUNCTION("""COMPUTED_VALUE"""),9.0)</f>
        <v>9</v>
      </c>
      <c r="G440" s="2">
        <f>IFERROR(__xludf.DUMMYFUNCTION("""COMPUTED_VALUE"""),2024.0)</f>
        <v>2024</v>
      </c>
      <c r="H440" s="2" t="str">
        <f t="shared" si="2"/>
        <v>2024/9/21</v>
      </c>
      <c r="I440" s="2" t="s">
        <v>1590</v>
      </c>
      <c r="J440" s="2" t="str">
        <f t="shared" si="3"/>
        <v>Lemon Tea Panas</v>
      </c>
      <c r="K440" s="7">
        <f>if(RIGHT(I440,5)="2 pcs",2,Data!I440)</f>
        <v>2</v>
      </c>
      <c r="L440" s="2" t="str">
        <f t="shared" si="4"/>
        <v>Saturday</v>
      </c>
      <c r="M440" s="2" t="str">
        <f t="shared" si="5"/>
        <v>21</v>
      </c>
      <c r="N440" s="2">
        <f>VLOOKUP(L440,'Data Info'!$A$1:$B$8,2,0)</f>
        <v>6</v>
      </c>
      <c r="O440" s="2" t="str">
        <f>VLOOKUP(L440,'Data Info'!$A$1:$C$8,3,0)</f>
        <v>Weekend</v>
      </c>
    </row>
    <row r="441">
      <c r="A441" s="4">
        <v>45556.572222222225</v>
      </c>
      <c r="B441" s="9">
        <f>IFERROR(__xludf.DUMMYFUNCTION("SPLIT(A441,"" "")"),45556.0)</f>
        <v>45556</v>
      </c>
      <c r="C441" s="10">
        <f>IFERROR(__xludf.DUMMYFUNCTION("""COMPUTED_VALUE"""),0.5722222222222222)</f>
        <v>0.5722222222</v>
      </c>
      <c r="D441" s="2">
        <f t="shared" si="1"/>
        <v>13</v>
      </c>
      <c r="E441" s="2">
        <f>IFERROR(__xludf.DUMMYFUNCTION("SPLIT(B441,""/"")"),21.0)</f>
        <v>21</v>
      </c>
      <c r="F441" s="2">
        <f>IFERROR(__xludf.DUMMYFUNCTION("""COMPUTED_VALUE"""),9.0)</f>
        <v>9</v>
      </c>
      <c r="G441" s="2">
        <f>IFERROR(__xludf.DUMMYFUNCTION("""COMPUTED_VALUE"""),2024.0)</f>
        <v>2024</v>
      </c>
      <c r="H441" s="2" t="str">
        <f t="shared" si="2"/>
        <v>2024/9/21</v>
      </c>
      <c r="I441" s="2" t="s">
        <v>1605</v>
      </c>
      <c r="J441" s="2" t="str">
        <f t="shared" si="3"/>
        <v>Kentang Goreng</v>
      </c>
      <c r="K441" s="7">
        <f>if(RIGHT(I441,5)="2 pcs",2,Data!I441)</f>
        <v>2</v>
      </c>
      <c r="L441" s="2" t="str">
        <f t="shared" si="4"/>
        <v>Saturday</v>
      </c>
      <c r="M441" s="2" t="str">
        <f t="shared" si="5"/>
        <v>21</v>
      </c>
      <c r="N441" s="2">
        <f>VLOOKUP(L441,'Data Info'!$A$1:$B$8,2,0)</f>
        <v>6</v>
      </c>
      <c r="O441" s="2" t="str">
        <f>VLOOKUP(L441,'Data Info'!$A$1:$C$8,3,0)</f>
        <v>Weekend</v>
      </c>
    </row>
    <row r="442">
      <c r="A442" s="4">
        <v>45556.50625</v>
      </c>
      <c r="B442" s="9">
        <f>IFERROR(__xludf.DUMMYFUNCTION("SPLIT(A442,"" "")"),45556.0)</f>
        <v>45556</v>
      </c>
      <c r="C442" s="10">
        <f>IFERROR(__xludf.DUMMYFUNCTION("""COMPUTED_VALUE"""),0.50625)</f>
        <v>0.50625</v>
      </c>
      <c r="D442" s="2">
        <f t="shared" si="1"/>
        <v>12</v>
      </c>
      <c r="E442" s="2">
        <f>IFERROR(__xludf.DUMMYFUNCTION("SPLIT(B442,""/"")"),21.0)</f>
        <v>21</v>
      </c>
      <c r="F442" s="2">
        <f>IFERROR(__xludf.DUMMYFUNCTION("""COMPUTED_VALUE"""),9.0)</f>
        <v>9</v>
      </c>
      <c r="G442" s="2">
        <f>IFERROR(__xludf.DUMMYFUNCTION("""COMPUTED_VALUE"""),2024.0)</f>
        <v>2024</v>
      </c>
      <c r="H442" s="2" t="str">
        <f t="shared" si="2"/>
        <v>2024/9/21</v>
      </c>
      <c r="I442" s="2" t="s">
        <v>1576</v>
      </c>
      <c r="J442" s="2" t="str">
        <f t="shared" si="3"/>
        <v>Roti Cranberry</v>
      </c>
      <c r="K442" s="7">
        <f>if(RIGHT(I442,5)="2 pcs",2,Data!I442)</f>
        <v>1</v>
      </c>
      <c r="L442" s="2" t="str">
        <f t="shared" si="4"/>
        <v>Saturday</v>
      </c>
      <c r="M442" s="2" t="str">
        <f t="shared" si="5"/>
        <v>21</v>
      </c>
      <c r="N442" s="2">
        <f>VLOOKUP(L442,'Data Info'!$A$1:$B$8,2,0)</f>
        <v>6</v>
      </c>
      <c r="O442" s="2" t="str">
        <f>VLOOKUP(L442,'Data Info'!$A$1:$C$8,3,0)</f>
        <v>Weekend</v>
      </c>
    </row>
    <row r="443">
      <c r="A443" s="4">
        <v>45556.50625</v>
      </c>
      <c r="B443" s="9">
        <f>IFERROR(__xludf.DUMMYFUNCTION("SPLIT(A443,"" "")"),45556.0)</f>
        <v>45556</v>
      </c>
      <c r="C443" s="10">
        <f>IFERROR(__xludf.DUMMYFUNCTION("""COMPUTED_VALUE"""),0.50625)</f>
        <v>0.50625</v>
      </c>
      <c r="D443" s="2">
        <f t="shared" si="1"/>
        <v>12</v>
      </c>
      <c r="E443" s="2">
        <f>IFERROR(__xludf.DUMMYFUNCTION("SPLIT(B443,""/"")"),21.0)</f>
        <v>21</v>
      </c>
      <c r="F443" s="2">
        <f>IFERROR(__xludf.DUMMYFUNCTION("""COMPUTED_VALUE"""),9.0)</f>
        <v>9</v>
      </c>
      <c r="G443" s="2">
        <f>IFERROR(__xludf.DUMMYFUNCTION("""COMPUTED_VALUE"""),2024.0)</f>
        <v>2024</v>
      </c>
      <c r="H443" s="2" t="str">
        <f t="shared" si="2"/>
        <v>2024/9/21</v>
      </c>
      <c r="I443" s="2" t="s">
        <v>1595</v>
      </c>
      <c r="J443" s="2" t="str">
        <f t="shared" si="3"/>
        <v>Roti Gandum Cokelat</v>
      </c>
      <c r="K443" s="7">
        <f>if(RIGHT(I443,5)="2 pcs",2,Data!I443)</f>
        <v>1</v>
      </c>
      <c r="L443" s="2" t="str">
        <f t="shared" si="4"/>
        <v>Saturday</v>
      </c>
      <c r="M443" s="2" t="str">
        <f t="shared" si="5"/>
        <v>21</v>
      </c>
      <c r="N443" s="2">
        <f>VLOOKUP(L443,'Data Info'!$A$1:$B$8,2,0)</f>
        <v>6</v>
      </c>
      <c r="O443" s="2" t="str">
        <f>VLOOKUP(L443,'Data Info'!$A$1:$C$8,3,0)</f>
        <v>Weekend</v>
      </c>
    </row>
    <row r="444">
      <c r="A444" s="4">
        <v>45556.50208333333</v>
      </c>
      <c r="B444" s="9">
        <f>IFERROR(__xludf.DUMMYFUNCTION("SPLIT(A444,"" "")"),45556.0)</f>
        <v>45556</v>
      </c>
      <c r="C444" s="10">
        <f>IFERROR(__xludf.DUMMYFUNCTION("""COMPUTED_VALUE"""),0.5020833333333333)</f>
        <v>0.5020833333</v>
      </c>
      <c r="D444" s="2">
        <f t="shared" si="1"/>
        <v>12</v>
      </c>
      <c r="E444" s="2">
        <f>IFERROR(__xludf.DUMMYFUNCTION("SPLIT(B444,""/"")"),21.0)</f>
        <v>21</v>
      </c>
      <c r="F444" s="2">
        <f>IFERROR(__xludf.DUMMYFUNCTION("""COMPUTED_VALUE"""),9.0)</f>
        <v>9</v>
      </c>
      <c r="G444" s="2">
        <f>IFERROR(__xludf.DUMMYFUNCTION("""COMPUTED_VALUE"""),2024.0)</f>
        <v>2024</v>
      </c>
      <c r="H444" s="2" t="str">
        <f t="shared" si="2"/>
        <v>2024/9/21</v>
      </c>
      <c r="I444" s="2" t="s">
        <v>1597</v>
      </c>
      <c r="J444" s="2" t="str">
        <f t="shared" si="3"/>
        <v>Roti Gandum Cokelat</v>
      </c>
      <c r="K444" s="7">
        <f>if(RIGHT(I444,5)="2 pcs",2,Data!I444)</f>
        <v>2</v>
      </c>
      <c r="L444" s="2" t="str">
        <f t="shared" si="4"/>
        <v>Saturday</v>
      </c>
      <c r="M444" s="2" t="str">
        <f t="shared" si="5"/>
        <v>21</v>
      </c>
      <c r="N444" s="2">
        <f>VLOOKUP(L444,'Data Info'!$A$1:$B$8,2,0)</f>
        <v>6</v>
      </c>
      <c r="O444" s="2" t="str">
        <f>VLOOKUP(L444,'Data Info'!$A$1:$C$8,3,0)</f>
        <v>Weekend</v>
      </c>
    </row>
    <row r="445">
      <c r="A445" s="4">
        <v>45556.490277777775</v>
      </c>
      <c r="B445" s="9">
        <f>IFERROR(__xludf.DUMMYFUNCTION("SPLIT(A445,"" "")"),45556.0)</f>
        <v>45556</v>
      </c>
      <c r="C445" s="10">
        <f>IFERROR(__xludf.DUMMYFUNCTION("""COMPUTED_VALUE"""),0.49027777777777776)</f>
        <v>0.4902777778</v>
      </c>
      <c r="D445" s="2">
        <f t="shared" si="1"/>
        <v>11</v>
      </c>
      <c r="E445" s="2">
        <f>IFERROR(__xludf.DUMMYFUNCTION("SPLIT(B445,""/"")"),21.0)</f>
        <v>21</v>
      </c>
      <c r="F445" s="2">
        <f>IFERROR(__xludf.DUMMYFUNCTION("""COMPUTED_VALUE"""),9.0)</f>
        <v>9</v>
      </c>
      <c r="G445" s="2">
        <f>IFERROR(__xludf.DUMMYFUNCTION("""COMPUTED_VALUE"""),2024.0)</f>
        <v>2024</v>
      </c>
      <c r="H445" s="2" t="str">
        <f t="shared" si="2"/>
        <v>2024/9/21</v>
      </c>
      <c r="I445" s="2" t="s">
        <v>1576</v>
      </c>
      <c r="J445" s="2" t="str">
        <f t="shared" si="3"/>
        <v>Roti Cranberry</v>
      </c>
      <c r="K445" s="7">
        <f>if(RIGHT(I445,5)="2 pcs",2,Data!I445)</f>
        <v>1</v>
      </c>
      <c r="L445" s="2" t="str">
        <f t="shared" si="4"/>
        <v>Saturday</v>
      </c>
      <c r="M445" s="2" t="str">
        <f t="shared" si="5"/>
        <v>21</v>
      </c>
      <c r="N445" s="2">
        <f>VLOOKUP(L445,'Data Info'!$A$1:$B$8,2,0)</f>
        <v>6</v>
      </c>
      <c r="O445" s="2" t="str">
        <f>VLOOKUP(L445,'Data Info'!$A$1:$C$8,3,0)</f>
        <v>Weekend</v>
      </c>
    </row>
    <row r="446">
      <c r="A446" s="4">
        <v>45556.490277777775</v>
      </c>
      <c r="B446" s="9">
        <f>IFERROR(__xludf.DUMMYFUNCTION("SPLIT(A446,"" "")"),45556.0)</f>
        <v>45556</v>
      </c>
      <c r="C446" s="10">
        <f>IFERROR(__xludf.DUMMYFUNCTION("""COMPUTED_VALUE"""),0.49027777777777776)</f>
        <v>0.4902777778</v>
      </c>
      <c r="D446" s="2">
        <f t="shared" si="1"/>
        <v>11</v>
      </c>
      <c r="E446" s="2">
        <f>IFERROR(__xludf.DUMMYFUNCTION("SPLIT(B446,""/"")"),21.0)</f>
        <v>21</v>
      </c>
      <c r="F446" s="2">
        <f>IFERROR(__xludf.DUMMYFUNCTION("""COMPUTED_VALUE"""),9.0)</f>
        <v>9</v>
      </c>
      <c r="G446" s="2">
        <f>IFERROR(__xludf.DUMMYFUNCTION("""COMPUTED_VALUE"""),2024.0)</f>
        <v>2024</v>
      </c>
      <c r="H446" s="2" t="str">
        <f t="shared" si="2"/>
        <v>2024/9/21</v>
      </c>
      <c r="I446" s="2" t="s">
        <v>1595</v>
      </c>
      <c r="J446" s="2" t="str">
        <f t="shared" si="3"/>
        <v>Roti Gandum Cokelat</v>
      </c>
      <c r="K446" s="7">
        <f>if(RIGHT(I446,5)="2 pcs",2,Data!I446)</f>
        <v>1</v>
      </c>
      <c r="L446" s="2" t="str">
        <f t="shared" si="4"/>
        <v>Saturday</v>
      </c>
      <c r="M446" s="2" t="str">
        <f t="shared" si="5"/>
        <v>21</v>
      </c>
      <c r="N446" s="2">
        <f>VLOOKUP(L446,'Data Info'!$A$1:$B$8,2,0)</f>
        <v>6</v>
      </c>
      <c r="O446" s="2" t="str">
        <f>VLOOKUP(L446,'Data Info'!$A$1:$C$8,3,0)</f>
        <v>Weekend</v>
      </c>
    </row>
    <row r="447">
      <c r="A447" s="4">
        <v>45556.48541666667</v>
      </c>
      <c r="B447" s="9">
        <f>IFERROR(__xludf.DUMMYFUNCTION("SPLIT(A447,"" "")"),45556.0)</f>
        <v>45556</v>
      </c>
      <c r="C447" s="10">
        <f>IFERROR(__xludf.DUMMYFUNCTION("""COMPUTED_VALUE"""),0.48541666666666666)</f>
        <v>0.4854166667</v>
      </c>
      <c r="D447" s="2">
        <f t="shared" si="1"/>
        <v>11</v>
      </c>
      <c r="E447" s="2">
        <f>IFERROR(__xludf.DUMMYFUNCTION("SPLIT(B447,""/"")"),21.0)</f>
        <v>21</v>
      </c>
      <c r="F447" s="2">
        <f>IFERROR(__xludf.DUMMYFUNCTION("""COMPUTED_VALUE"""),9.0)</f>
        <v>9</v>
      </c>
      <c r="G447" s="2">
        <f>IFERROR(__xludf.DUMMYFUNCTION("""COMPUTED_VALUE"""),2024.0)</f>
        <v>2024</v>
      </c>
      <c r="H447" s="2" t="str">
        <f t="shared" si="2"/>
        <v>2024/9/21</v>
      </c>
      <c r="I447" s="2" t="s">
        <v>1596</v>
      </c>
      <c r="J447" s="2" t="str">
        <f t="shared" si="3"/>
        <v>Roti Cranberry</v>
      </c>
      <c r="K447" s="7">
        <f>if(RIGHT(I447,5)="2 pcs",2,Data!I447)</f>
        <v>2</v>
      </c>
      <c r="L447" s="2" t="str">
        <f t="shared" si="4"/>
        <v>Saturday</v>
      </c>
      <c r="M447" s="2" t="str">
        <f t="shared" si="5"/>
        <v>21</v>
      </c>
      <c r="N447" s="2">
        <f>VLOOKUP(L447,'Data Info'!$A$1:$B$8,2,0)</f>
        <v>6</v>
      </c>
      <c r="O447" s="2" t="str">
        <f>VLOOKUP(L447,'Data Info'!$A$1:$C$8,3,0)</f>
        <v>Weekend</v>
      </c>
    </row>
    <row r="448">
      <c r="A448" s="4">
        <v>45556.475</v>
      </c>
      <c r="B448" s="9">
        <f>IFERROR(__xludf.DUMMYFUNCTION("SPLIT(A448,"" "")"),45556.0)</f>
        <v>45556</v>
      </c>
      <c r="C448" s="10">
        <f>IFERROR(__xludf.DUMMYFUNCTION("""COMPUTED_VALUE"""),0.475)</f>
        <v>0.475</v>
      </c>
      <c r="D448" s="2">
        <f t="shared" si="1"/>
        <v>11</v>
      </c>
      <c r="E448" s="2">
        <f>IFERROR(__xludf.DUMMYFUNCTION("SPLIT(B448,""/"")"),21.0)</f>
        <v>21</v>
      </c>
      <c r="F448" s="2">
        <f>IFERROR(__xludf.DUMMYFUNCTION("""COMPUTED_VALUE"""),9.0)</f>
        <v>9</v>
      </c>
      <c r="G448" s="2">
        <f>IFERROR(__xludf.DUMMYFUNCTION("""COMPUTED_VALUE"""),2024.0)</f>
        <v>2024</v>
      </c>
      <c r="H448" s="2" t="str">
        <f t="shared" si="2"/>
        <v>2024/9/21</v>
      </c>
      <c r="I448" s="2" t="s">
        <v>1603</v>
      </c>
      <c r="J448" s="2" t="str">
        <f t="shared" si="3"/>
        <v>Nasi Goreng Temu</v>
      </c>
      <c r="K448" s="7">
        <f>if(RIGHT(I448,5)="2 pcs",2,Data!I448)</f>
        <v>2</v>
      </c>
      <c r="L448" s="2" t="str">
        <f t="shared" si="4"/>
        <v>Saturday</v>
      </c>
      <c r="M448" s="2" t="str">
        <f t="shared" si="5"/>
        <v>21</v>
      </c>
      <c r="N448" s="2">
        <f>VLOOKUP(L448,'Data Info'!$A$1:$B$8,2,0)</f>
        <v>6</v>
      </c>
      <c r="O448" s="2" t="str">
        <f>VLOOKUP(L448,'Data Info'!$A$1:$C$8,3,0)</f>
        <v>Weekend</v>
      </c>
    </row>
    <row r="449">
      <c r="A449" s="4">
        <v>45556.475</v>
      </c>
      <c r="B449" s="9">
        <f>IFERROR(__xludf.DUMMYFUNCTION("SPLIT(A449,"" "")"),45556.0)</f>
        <v>45556</v>
      </c>
      <c r="C449" s="10">
        <f>IFERROR(__xludf.DUMMYFUNCTION("""COMPUTED_VALUE"""),0.475)</f>
        <v>0.475</v>
      </c>
      <c r="D449" s="2">
        <f t="shared" si="1"/>
        <v>11</v>
      </c>
      <c r="E449" s="2">
        <f>IFERROR(__xludf.DUMMYFUNCTION("SPLIT(B449,""/"")"),21.0)</f>
        <v>21</v>
      </c>
      <c r="F449" s="2">
        <f>IFERROR(__xludf.DUMMYFUNCTION("""COMPUTED_VALUE"""),9.0)</f>
        <v>9</v>
      </c>
      <c r="G449" s="2">
        <f>IFERROR(__xludf.DUMMYFUNCTION("""COMPUTED_VALUE"""),2024.0)</f>
        <v>2024</v>
      </c>
      <c r="H449" s="2" t="str">
        <f t="shared" si="2"/>
        <v>2024/9/21</v>
      </c>
      <c r="I449" s="2" t="s">
        <v>1609</v>
      </c>
      <c r="J449" s="2" t="str">
        <f t="shared" si="3"/>
        <v>Tempe Mendoan</v>
      </c>
      <c r="K449" s="7">
        <f>if(RIGHT(I449,5)="2 pcs",2,Data!I449)</f>
        <v>1</v>
      </c>
      <c r="L449" s="2" t="str">
        <f t="shared" si="4"/>
        <v>Saturday</v>
      </c>
      <c r="M449" s="2" t="str">
        <f t="shared" si="5"/>
        <v>21</v>
      </c>
      <c r="N449" s="2">
        <f>VLOOKUP(L449,'Data Info'!$A$1:$B$8,2,0)</f>
        <v>6</v>
      </c>
      <c r="O449" s="2" t="str">
        <f>VLOOKUP(L449,'Data Info'!$A$1:$C$8,3,0)</f>
        <v>Weekend</v>
      </c>
    </row>
    <row r="450">
      <c r="A450" s="4">
        <v>45556.46944444445</v>
      </c>
      <c r="B450" s="9">
        <f>IFERROR(__xludf.DUMMYFUNCTION("SPLIT(A450,"" "")"),45556.0)</f>
        <v>45556</v>
      </c>
      <c r="C450" s="10">
        <f>IFERROR(__xludf.DUMMYFUNCTION("""COMPUTED_VALUE"""),0.46944444444444444)</f>
        <v>0.4694444444</v>
      </c>
      <c r="D450" s="2">
        <f t="shared" si="1"/>
        <v>11</v>
      </c>
      <c r="E450" s="2">
        <f>IFERROR(__xludf.DUMMYFUNCTION("SPLIT(B450,""/"")"),21.0)</f>
        <v>21</v>
      </c>
      <c r="F450" s="2">
        <f>IFERROR(__xludf.DUMMYFUNCTION("""COMPUTED_VALUE"""),9.0)</f>
        <v>9</v>
      </c>
      <c r="G450" s="2">
        <f>IFERROR(__xludf.DUMMYFUNCTION("""COMPUTED_VALUE"""),2024.0)</f>
        <v>2024</v>
      </c>
      <c r="H450" s="2" t="str">
        <f t="shared" si="2"/>
        <v>2024/9/21</v>
      </c>
      <c r="I450" s="2" t="s">
        <v>1596</v>
      </c>
      <c r="J450" s="2" t="str">
        <f t="shared" si="3"/>
        <v>Roti Cranberry</v>
      </c>
      <c r="K450" s="7">
        <f>if(RIGHT(I450,5)="2 pcs",2,Data!I450)</f>
        <v>2</v>
      </c>
      <c r="L450" s="2" t="str">
        <f t="shared" si="4"/>
        <v>Saturday</v>
      </c>
      <c r="M450" s="2" t="str">
        <f t="shared" si="5"/>
        <v>21</v>
      </c>
      <c r="N450" s="2">
        <f>VLOOKUP(L450,'Data Info'!$A$1:$B$8,2,0)</f>
        <v>6</v>
      </c>
      <c r="O450" s="2" t="str">
        <f>VLOOKUP(L450,'Data Info'!$A$1:$C$8,3,0)</f>
        <v>Weekend</v>
      </c>
    </row>
    <row r="451">
      <c r="A451" s="4">
        <v>45556.46805555555</v>
      </c>
      <c r="B451" s="9">
        <f>IFERROR(__xludf.DUMMYFUNCTION("SPLIT(A451,"" "")"),45556.0)</f>
        <v>45556</v>
      </c>
      <c r="C451" s="10">
        <f>IFERROR(__xludf.DUMMYFUNCTION("""COMPUTED_VALUE"""),0.46805555555555556)</f>
        <v>0.4680555556</v>
      </c>
      <c r="D451" s="2">
        <f t="shared" si="1"/>
        <v>11</v>
      </c>
      <c r="E451" s="2">
        <f>IFERROR(__xludf.DUMMYFUNCTION("SPLIT(B451,""/"")"),21.0)</f>
        <v>21</v>
      </c>
      <c r="F451" s="2">
        <f>IFERROR(__xludf.DUMMYFUNCTION("""COMPUTED_VALUE"""),9.0)</f>
        <v>9</v>
      </c>
      <c r="G451" s="2">
        <f>IFERROR(__xludf.DUMMYFUNCTION("""COMPUTED_VALUE"""),2024.0)</f>
        <v>2024</v>
      </c>
      <c r="H451" s="2" t="str">
        <f t="shared" si="2"/>
        <v>2024/9/21</v>
      </c>
      <c r="I451" s="2" t="s">
        <v>1566</v>
      </c>
      <c r="J451" s="2" t="str">
        <f t="shared" si="3"/>
        <v>Roti Bawang Saus Keju</v>
      </c>
      <c r="K451" s="7">
        <f>if(RIGHT(I451,5)="2 pcs",2,Data!I451)</f>
        <v>1</v>
      </c>
      <c r="L451" s="2" t="str">
        <f t="shared" si="4"/>
        <v>Saturday</v>
      </c>
      <c r="M451" s="2" t="str">
        <f t="shared" si="5"/>
        <v>21</v>
      </c>
      <c r="N451" s="2">
        <f>VLOOKUP(L451,'Data Info'!$A$1:$B$8,2,0)</f>
        <v>6</v>
      </c>
      <c r="O451" s="2" t="str">
        <f>VLOOKUP(L451,'Data Info'!$A$1:$C$8,3,0)</f>
        <v>Weekend</v>
      </c>
    </row>
    <row r="452">
      <c r="A452" s="4">
        <v>45556.46805555555</v>
      </c>
      <c r="B452" s="9">
        <f>IFERROR(__xludf.DUMMYFUNCTION("SPLIT(A452,"" "")"),45556.0)</f>
        <v>45556</v>
      </c>
      <c r="C452" s="10">
        <f>IFERROR(__xludf.DUMMYFUNCTION("""COMPUTED_VALUE"""),0.46805555555555556)</f>
        <v>0.4680555556</v>
      </c>
      <c r="D452" s="2">
        <f t="shared" si="1"/>
        <v>11</v>
      </c>
      <c r="E452" s="2">
        <f>IFERROR(__xludf.DUMMYFUNCTION("SPLIT(B452,""/"")"),21.0)</f>
        <v>21</v>
      </c>
      <c r="F452" s="2">
        <f>IFERROR(__xludf.DUMMYFUNCTION("""COMPUTED_VALUE"""),9.0)</f>
        <v>9</v>
      </c>
      <c r="G452" s="2">
        <f>IFERROR(__xludf.DUMMYFUNCTION("""COMPUTED_VALUE"""),2024.0)</f>
        <v>2024</v>
      </c>
      <c r="H452" s="2" t="str">
        <f t="shared" si="2"/>
        <v>2024/9/21</v>
      </c>
      <c r="I452" s="2" t="s">
        <v>1576</v>
      </c>
      <c r="J452" s="2" t="str">
        <f t="shared" si="3"/>
        <v>Roti Cranberry</v>
      </c>
      <c r="K452" s="7">
        <f>if(RIGHT(I452,5)="2 pcs",2,Data!I452)</f>
        <v>1</v>
      </c>
      <c r="L452" s="2" t="str">
        <f t="shared" si="4"/>
        <v>Saturday</v>
      </c>
      <c r="M452" s="2" t="str">
        <f t="shared" si="5"/>
        <v>21</v>
      </c>
      <c r="N452" s="2">
        <f>VLOOKUP(L452,'Data Info'!$A$1:$B$8,2,0)</f>
        <v>6</v>
      </c>
      <c r="O452" s="2" t="str">
        <f>VLOOKUP(L452,'Data Info'!$A$1:$C$8,3,0)</f>
        <v>Weekend</v>
      </c>
    </row>
    <row r="453">
      <c r="A453" s="4">
        <v>45556.46666666667</v>
      </c>
      <c r="B453" s="9">
        <f>IFERROR(__xludf.DUMMYFUNCTION("SPLIT(A453,"" "")"),45556.0)</f>
        <v>45556</v>
      </c>
      <c r="C453" s="10">
        <f>IFERROR(__xludf.DUMMYFUNCTION("""COMPUTED_VALUE"""),0.4666666666666667)</f>
        <v>0.4666666667</v>
      </c>
      <c r="D453" s="2">
        <f t="shared" si="1"/>
        <v>11</v>
      </c>
      <c r="E453" s="2">
        <f>IFERROR(__xludf.DUMMYFUNCTION("SPLIT(B453,""/"")"),21.0)</f>
        <v>21</v>
      </c>
      <c r="F453" s="2">
        <f>IFERROR(__xludf.DUMMYFUNCTION("""COMPUTED_VALUE"""),9.0)</f>
        <v>9</v>
      </c>
      <c r="G453" s="2">
        <f>IFERROR(__xludf.DUMMYFUNCTION("""COMPUTED_VALUE"""),2024.0)</f>
        <v>2024</v>
      </c>
      <c r="H453" s="2" t="str">
        <f t="shared" si="2"/>
        <v>2024/9/21</v>
      </c>
      <c r="I453" s="2" t="s">
        <v>1621</v>
      </c>
      <c r="J453" s="2" t="str">
        <f t="shared" si="3"/>
        <v>Wedang angin</v>
      </c>
      <c r="K453" s="7">
        <f>if(RIGHT(I453,5)="2 pcs",2,Data!I453)</f>
        <v>3</v>
      </c>
      <c r="L453" s="2" t="str">
        <f t="shared" si="4"/>
        <v>Saturday</v>
      </c>
      <c r="M453" s="2" t="str">
        <f t="shared" si="5"/>
        <v>21</v>
      </c>
      <c r="N453" s="2">
        <f>VLOOKUP(L453,'Data Info'!$A$1:$B$8,2,0)</f>
        <v>6</v>
      </c>
      <c r="O453" s="2" t="str">
        <f>VLOOKUP(L453,'Data Info'!$A$1:$C$8,3,0)</f>
        <v>Weekend</v>
      </c>
    </row>
    <row r="454">
      <c r="A454" s="4">
        <v>45556.46666666667</v>
      </c>
      <c r="B454" s="9">
        <f>IFERROR(__xludf.DUMMYFUNCTION("SPLIT(A454,"" "")"),45556.0)</f>
        <v>45556</v>
      </c>
      <c r="C454" s="10">
        <f>IFERROR(__xludf.DUMMYFUNCTION("""COMPUTED_VALUE"""),0.4666666666666667)</f>
        <v>0.4666666667</v>
      </c>
      <c r="D454" s="2">
        <f t="shared" si="1"/>
        <v>11</v>
      </c>
      <c r="E454" s="2">
        <f>IFERROR(__xludf.DUMMYFUNCTION("SPLIT(B454,""/"")"),21.0)</f>
        <v>21</v>
      </c>
      <c r="F454" s="2">
        <f>IFERROR(__xludf.DUMMYFUNCTION("""COMPUTED_VALUE"""),9.0)</f>
        <v>9</v>
      </c>
      <c r="G454" s="2">
        <f>IFERROR(__xludf.DUMMYFUNCTION("""COMPUTED_VALUE"""),2024.0)</f>
        <v>2024</v>
      </c>
      <c r="H454" s="2" t="str">
        <f t="shared" si="2"/>
        <v>2024/9/21</v>
      </c>
      <c r="I454" s="2" t="s">
        <v>1606</v>
      </c>
      <c r="J454" s="2" t="str">
        <f t="shared" si="3"/>
        <v>Pisang Goreng</v>
      </c>
      <c r="K454" s="7">
        <f>if(RIGHT(I454,5)="2 pcs",2,Data!I454)</f>
        <v>1</v>
      </c>
      <c r="L454" s="2" t="str">
        <f t="shared" si="4"/>
        <v>Saturday</v>
      </c>
      <c r="M454" s="2" t="str">
        <f t="shared" si="5"/>
        <v>21</v>
      </c>
      <c r="N454" s="2">
        <f>VLOOKUP(L454,'Data Info'!$A$1:$B$8,2,0)</f>
        <v>6</v>
      </c>
      <c r="O454" s="2" t="str">
        <f>VLOOKUP(L454,'Data Info'!$A$1:$C$8,3,0)</f>
        <v>Weekend</v>
      </c>
    </row>
    <row r="455">
      <c r="A455" s="4">
        <v>45556.46666666667</v>
      </c>
      <c r="B455" s="9">
        <f>IFERROR(__xludf.DUMMYFUNCTION("SPLIT(A455,"" "")"),45556.0)</f>
        <v>45556</v>
      </c>
      <c r="C455" s="10">
        <f>IFERROR(__xludf.DUMMYFUNCTION("""COMPUTED_VALUE"""),0.4666666666666667)</f>
        <v>0.4666666667</v>
      </c>
      <c r="D455" s="2">
        <f t="shared" si="1"/>
        <v>11</v>
      </c>
      <c r="E455" s="2">
        <f>IFERROR(__xludf.DUMMYFUNCTION("SPLIT(B455,""/"")"),21.0)</f>
        <v>21</v>
      </c>
      <c r="F455" s="2">
        <f>IFERROR(__xludf.DUMMYFUNCTION("""COMPUTED_VALUE"""),9.0)</f>
        <v>9</v>
      </c>
      <c r="G455" s="2">
        <f>IFERROR(__xludf.DUMMYFUNCTION("""COMPUTED_VALUE"""),2024.0)</f>
        <v>2024</v>
      </c>
      <c r="H455" s="2" t="str">
        <f t="shared" si="2"/>
        <v>2024/9/21</v>
      </c>
      <c r="I455" s="2" t="s">
        <v>1591</v>
      </c>
      <c r="J455" s="2" t="str">
        <f t="shared" si="3"/>
        <v>Kopi cur</v>
      </c>
      <c r="K455" s="7">
        <f>if(RIGHT(I455,5)="2 pcs",2,Data!I455)</f>
        <v>1</v>
      </c>
      <c r="L455" s="2" t="str">
        <f t="shared" si="4"/>
        <v>Saturday</v>
      </c>
      <c r="M455" s="2" t="str">
        <f t="shared" si="5"/>
        <v>21</v>
      </c>
      <c r="N455" s="2">
        <f>VLOOKUP(L455,'Data Info'!$A$1:$B$8,2,0)</f>
        <v>6</v>
      </c>
      <c r="O455" s="2" t="str">
        <f>VLOOKUP(L455,'Data Info'!$A$1:$C$8,3,0)</f>
        <v>Weekend</v>
      </c>
    </row>
    <row r="456">
      <c r="A456" s="4">
        <v>45556.46666666667</v>
      </c>
      <c r="B456" s="9">
        <f>IFERROR(__xludf.DUMMYFUNCTION("SPLIT(A456,"" "")"),45556.0)</f>
        <v>45556</v>
      </c>
      <c r="C456" s="10">
        <f>IFERROR(__xludf.DUMMYFUNCTION("""COMPUTED_VALUE"""),0.4666666666666667)</f>
        <v>0.4666666667</v>
      </c>
      <c r="D456" s="2">
        <f t="shared" si="1"/>
        <v>11</v>
      </c>
      <c r="E456" s="2">
        <f>IFERROR(__xludf.DUMMYFUNCTION("SPLIT(B456,""/"")"),21.0)</f>
        <v>21</v>
      </c>
      <c r="F456" s="2">
        <f>IFERROR(__xludf.DUMMYFUNCTION("""COMPUTED_VALUE"""),9.0)</f>
        <v>9</v>
      </c>
      <c r="G456" s="2">
        <f>IFERROR(__xludf.DUMMYFUNCTION("""COMPUTED_VALUE"""),2024.0)</f>
        <v>2024</v>
      </c>
      <c r="H456" s="2" t="str">
        <f t="shared" si="2"/>
        <v>2024/9/21</v>
      </c>
      <c r="I456" s="2" t="s">
        <v>1584</v>
      </c>
      <c r="J456" s="2" t="str">
        <f t="shared" si="3"/>
        <v>Korean Mango Fresh Milk</v>
      </c>
      <c r="K456" s="7">
        <f>if(RIGHT(I456,5)="2 pcs",2,Data!I456)</f>
        <v>1</v>
      </c>
      <c r="L456" s="2" t="str">
        <f t="shared" si="4"/>
        <v>Saturday</v>
      </c>
      <c r="M456" s="2" t="str">
        <f t="shared" si="5"/>
        <v>21</v>
      </c>
      <c r="N456" s="2">
        <f>VLOOKUP(L456,'Data Info'!$A$1:$B$8,2,0)</f>
        <v>6</v>
      </c>
      <c r="O456" s="2" t="str">
        <f>VLOOKUP(L456,'Data Info'!$A$1:$C$8,3,0)</f>
        <v>Weekend</v>
      </c>
    </row>
    <row r="457">
      <c r="A457" s="4">
        <v>45556.46666666667</v>
      </c>
      <c r="B457" s="9">
        <f>IFERROR(__xludf.DUMMYFUNCTION("SPLIT(A457,"" "")"),45556.0)</f>
        <v>45556</v>
      </c>
      <c r="C457" s="10">
        <f>IFERROR(__xludf.DUMMYFUNCTION("""COMPUTED_VALUE"""),0.4666666666666667)</f>
        <v>0.4666666667</v>
      </c>
      <c r="D457" s="2">
        <f t="shared" si="1"/>
        <v>11</v>
      </c>
      <c r="E457" s="2">
        <f>IFERROR(__xludf.DUMMYFUNCTION("SPLIT(B457,""/"")"),21.0)</f>
        <v>21</v>
      </c>
      <c r="F457" s="2">
        <f>IFERROR(__xludf.DUMMYFUNCTION("""COMPUTED_VALUE"""),9.0)</f>
        <v>9</v>
      </c>
      <c r="G457" s="2">
        <f>IFERROR(__xludf.DUMMYFUNCTION("""COMPUTED_VALUE"""),2024.0)</f>
        <v>2024</v>
      </c>
      <c r="H457" s="2" t="str">
        <f t="shared" si="2"/>
        <v>2024/9/21</v>
      </c>
      <c r="I457" s="2" t="s">
        <v>1595</v>
      </c>
      <c r="J457" s="2" t="str">
        <f t="shared" si="3"/>
        <v>Roti Gandum Cokelat</v>
      </c>
      <c r="K457" s="7">
        <f>if(RIGHT(I457,5)="2 pcs",2,Data!I457)</f>
        <v>1</v>
      </c>
      <c r="L457" s="2" t="str">
        <f t="shared" si="4"/>
        <v>Saturday</v>
      </c>
      <c r="M457" s="2" t="str">
        <f t="shared" si="5"/>
        <v>21</v>
      </c>
      <c r="N457" s="2">
        <f>VLOOKUP(L457,'Data Info'!$A$1:$B$8,2,0)</f>
        <v>6</v>
      </c>
      <c r="O457" s="2" t="str">
        <f>VLOOKUP(L457,'Data Info'!$A$1:$C$8,3,0)</f>
        <v>Weekend</v>
      </c>
    </row>
    <row r="458">
      <c r="A458" s="4">
        <v>45556.46666666667</v>
      </c>
      <c r="B458" s="9">
        <f>IFERROR(__xludf.DUMMYFUNCTION("SPLIT(A458,"" "")"),45556.0)</f>
        <v>45556</v>
      </c>
      <c r="C458" s="10">
        <f>IFERROR(__xludf.DUMMYFUNCTION("""COMPUTED_VALUE"""),0.4666666666666667)</f>
        <v>0.4666666667</v>
      </c>
      <c r="D458" s="2">
        <f t="shared" si="1"/>
        <v>11</v>
      </c>
      <c r="E458" s="2">
        <f>IFERROR(__xludf.DUMMYFUNCTION("SPLIT(B458,""/"")"),21.0)</f>
        <v>21</v>
      </c>
      <c r="F458" s="2">
        <f>IFERROR(__xludf.DUMMYFUNCTION("""COMPUTED_VALUE"""),9.0)</f>
        <v>9</v>
      </c>
      <c r="G458" s="2">
        <f>IFERROR(__xludf.DUMMYFUNCTION("""COMPUTED_VALUE"""),2024.0)</f>
        <v>2024</v>
      </c>
      <c r="H458" s="2" t="str">
        <f t="shared" si="2"/>
        <v>2024/9/21</v>
      </c>
      <c r="I458" s="2" t="s">
        <v>1566</v>
      </c>
      <c r="J458" s="2" t="str">
        <f t="shared" si="3"/>
        <v>Roti Bawang Saus Keju</v>
      </c>
      <c r="K458" s="7">
        <f>if(RIGHT(I458,5)="2 pcs",2,Data!I458)</f>
        <v>2</v>
      </c>
      <c r="L458" s="2" t="str">
        <f t="shared" si="4"/>
        <v>Saturday</v>
      </c>
      <c r="M458" s="2" t="str">
        <f t="shared" si="5"/>
        <v>21</v>
      </c>
      <c r="N458" s="2">
        <f>VLOOKUP(L458,'Data Info'!$A$1:$B$8,2,0)</f>
        <v>6</v>
      </c>
      <c r="O458" s="2" t="str">
        <f>VLOOKUP(L458,'Data Info'!$A$1:$C$8,3,0)</f>
        <v>Weekend</v>
      </c>
    </row>
    <row r="459">
      <c r="A459" s="4">
        <v>45556.46666666667</v>
      </c>
      <c r="B459" s="9">
        <f>IFERROR(__xludf.DUMMYFUNCTION("SPLIT(A459,"" "")"),45556.0)</f>
        <v>45556</v>
      </c>
      <c r="C459" s="10">
        <f>IFERROR(__xludf.DUMMYFUNCTION("""COMPUTED_VALUE"""),0.4666666666666667)</f>
        <v>0.4666666667</v>
      </c>
      <c r="D459" s="2">
        <f t="shared" si="1"/>
        <v>11</v>
      </c>
      <c r="E459" s="2">
        <f>IFERROR(__xludf.DUMMYFUNCTION("SPLIT(B459,""/"")"),21.0)</f>
        <v>21</v>
      </c>
      <c r="F459" s="2">
        <f>IFERROR(__xludf.DUMMYFUNCTION("""COMPUTED_VALUE"""),9.0)</f>
        <v>9</v>
      </c>
      <c r="G459" s="2">
        <f>IFERROR(__xludf.DUMMYFUNCTION("""COMPUTED_VALUE"""),2024.0)</f>
        <v>2024</v>
      </c>
      <c r="H459" s="2" t="str">
        <f t="shared" si="2"/>
        <v>2024/9/21</v>
      </c>
      <c r="I459" s="2" t="s">
        <v>1576</v>
      </c>
      <c r="J459" s="2" t="str">
        <f t="shared" si="3"/>
        <v>Roti Cranberry</v>
      </c>
      <c r="K459" s="7">
        <f>if(RIGHT(I459,5)="2 pcs",2,Data!I459)</f>
        <v>1</v>
      </c>
      <c r="L459" s="2" t="str">
        <f t="shared" si="4"/>
        <v>Saturday</v>
      </c>
      <c r="M459" s="2" t="str">
        <f t="shared" si="5"/>
        <v>21</v>
      </c>
      <c r="N459" s="2">
        <f>VLOOKUP(L459,'Data Info'!$A$1:$B$8,2,0)</f>
        <v>6</v>
      </c>
      <c r="O459" s="2" t="str">
        <f>VLOOKUP(L459,'Data Info'!$A$1:$C$8,3,0)</f>
        <v>Weekend</v>
      </c>
    </row>
    <row r="460">
      <c r="A460" s="4">
        <v>45556.46666666667</v>
      </c>
      <c r="B460" s="9">
        <f>IFERROR(__xludf.DUMMYFUNCTION("SPLIT(A460,"" "")"),45556.0)</f>
        <v>45556</v>
      </c>
      <c r="C460" s="10">
        <f>IFERROR(__xludf.DUMMYFUNCTION("""COMPUTED_VALUE"""),0.4666666666666667)</f>
        <v>0.4666666667</v>
      </c>
      <c r="D460" s="2">
        <f t="shared" si="1"/>
        <v>11</v>
      </c>
      <c r="E460" s="2">
        <f>IFERROR(__xludf.DUMMYFUNCTION("SPLIT(B460,""/"")"),21.0)</f>
        <v>21</v>
      </c>
      <c r="F460" s="2">
        <f>IFERROR(__xludf.DUMMYFUNCTION("""COMPUTED_VALUE"""),9.0)</f>
        <v>9</v>
      </c>
      <c r="G460" s="2">
        <f>IFERROR(__xludf.DUMMYFUNCTION("""COMPUTED_VALUE"""),2024.0)</f>
        <v>2024</v>
      </c>
      <c r="H460" s="2" t="str">
        <f t="shared" si="2"/>
        <v>2024/9/21</v>
      </c>
      <c r="I460" s="2" t="s">
        <v>1618</v>
      </c>
      <c r="J460" s="2" t="str">
        <f t="shared" si="3"/>
        <v>Susu murni ori</v>
      </c>
      <c r="K460" s="7">
        <f>if(RIGHT(I460,5)="2 pcs",2,Data!I460)</f>
        <v>1</v>
      </c>
      <c r="L460" s="2" t="str">
        <f t="shared" si="4"/>
        <v>Saturday</v>
      </c>
      <c r="M460" s="2" t="str">
        <f t="shared" si="5"/>
        <v>21</v>
      </c>
      <c r="N460" s="2">
        <f>VLOOKUP(L460,'Data Info'!$A$1:$B$8,2,0)</f>
        <v>6</v>
      </c>
      <c r="O460" s="2" t="str">
        <f>VLOOKUP(L460,'Data Info'!$A$1:$C$8,3,0)</f>
        <v>Weekend</v>
      </c>
    </row>
    <row r="461">
      <c r="A461" s="4">
        <v>45556.46666666667</v>
      </c>
      <c r="B461" s="9">
        <f>IFERROR(__xludf.DUMMYFUNCTION("SPLIT(A461,"" "")"),45556.0)</f>
        <v>45556</v>
      </c>
      <c r="C461" s="10">
        <f>IFERROR(__xludf.DUMMYFUNCTION("""COMPUTED_VALUE"""),0.4666666666666667)</f>
        <v>0.4666666667</v>
      </c>
      <c r="D461" s="2">
        <f t="shared" si="1"/>
        <v>11</v>
      </c>
      <c r="E461" s="2">
        <f>IFERROR(__xludf.DUMMYFUNCTION("SPLIT(B461,""/"")"),21.0)</f>
        <v>21</v>
      </c>
      <c r="F461" s="2">
        <f>IFERROR(__xludf.DUMMYFUNCTION("""COMPUTED_VALUE"""),9.0)</f>
        <v>9</v>
      </c>
      <c r="G461" s="2">
        <f>IFERROR(__xludf.DUMMYFUNCTION("""COMPUTED_VALUE"""),2024.0)</f>
        <v>2024</v>
      </c>
      <c r="H461" s="2" t="str">
        <f t="shared" si="2"/>
        <v>2024/9/21</v>
      </c>
      <c r="I461" s="2" t="s">
        <v>1625</v>
      </c>
      <c r="J461" s="2" t="str">
        <f t="shared" si="3"/>
        <v>Wedang angin (pack)</v>
      </c>
      <c r="K461" s="7">
        <f>if(RIGHT(I461,5)="2 pcs",2,Data!I461)</f>
        <v>8</v>
      </c>
      <c r="L461" s="2" t="str">
        <f t="shared" si="4"/>
        <v>Saturday</v>
      </c>
      <c r="M461" s="2" t="str">
        <f t="shared" si="5"/>
        <v>21</v>
      </c>
      <c r="N461" s="2">
        <f>VLOOKUP(L461,'Data Info'!$A$1:$B$8,2,0)</f>
        <v>6</v>
      </c>
      <c r="O461" s="2" t="str">
        <f>VLOOKUP(L461,'Data Info'!$A$1:$C$8,3,0)</f>
        <v>Weekend</v>
      </c>
    </row>
    <row r="462">
      <c r="A462" s="4">
        <v>45556.45138888889</v>
      </c>
      <c r="B462" s="9">
        <f>IFERROR(__xludf.DUMMYFUNCTION("SPLIT(A462,"" "")"),45556.0)</f>
        <v>45556</v>
      </c>
      <c r="C462" s="10">
        <f>IFERROR(__xludf.DUMMYFUNCTION("""COMPUTED_VALUE"""),0.4513888888888889)</f>
        <v>0.4513888889</v>
      </c>
      <c r="D462" s="2">
        <f t="shared" si="1"/>
        <v>10</v>
      </c>
      <c r="E462" s="2">
        <f>IFERROR(__xludf.DUMMYFUNCTION("SPLIT(B462,""/"")"),21.0)</f>
        <v>21</v>
      </c>
      <c r="F462" s="2">
        <f>IFERROR(__xludf.DUMMYFUNCTION("""COMPUTED_VALUE"""),9.0)</f>
        <v>9</v>
      </c>
      <c r="G462" s="2">
        <f>IFERROR(__xludf.DUMMYFUNCTION("""COMPUTED_VALUE"""),2024.0)</f>
        <v>2024</v>
      </c>
      <c r="H462" s="2" t="str">
        <f t="shared" si="2"/>
        <v>2024/9/21</v>
      </c>
      <c r="I462" s="2" t="s">
        <v>1596</v>
      </c>
      <c r="J462" s="2" t="str">
        <f t="shared" si="3"/>
        <v>Roti Cranberry</v>
      </c>
      <c r="K462" s="7">
        <f>if(RIGHT(I462,5)="2 pcs",2,Data!I462)</f>
        <v>2</v>
      </c>
      <c r="L462" s="2" t="str">
        <f t="shared" si="4"/>
        <v>Saturday</v>
      </c>
      <c r="M462" s="2" t="str">
        <f t="shared" si="5"/>
        <v>21</v>
      </c>
      <c r="N462" s="2">
        <f>VLOOKUP(L462,'Data Info'!$A$1:$B$8,2,0)</f>
        <v>6</v>
      </c>
      <c r="O462" s="2" t="str">
        <f>VLOOKUP(L462,'Data Info'!$A$1:$C$8,3,0)</f>
        <v>Weekend</v>
      </c>
    </row>
    <row r="463">
      <c r="A463" s="4">
        <v>45556.45138888889</v>
      </c>
      <c r="B463" s="9">
        <f>IFERROR(__xludf.DUMMYFUNCTION("SPLIT(A463,"" "")"),45556.0)</f>
        <v>45556</v>
      </c>
      <c r="C463" s="10">
        <f>IFERROR(__xludf.DUMMYFUNCTION("""COMPUTED_VALUE"""),0.4513888888888889)</f>
        <v>0.4513888889</v>
      </c>
      <c r="D463" s="2">
        <f t="shared" si="1"/>
        <v>10</v>
      </c>
      <c r="E463" s="2">
        <f>IFERROR(__xludf.DUMMYFUNCTION("SPLIT(B463,""/"")"),21.0)</f>
        <v>21</v>
      </c>
      <c r="F463" s="2">
        <f>IFERROR(__xludf.DUMMYFUNCTION("""COMPUTED_VALUE"""),9.0)</f>
        <v>9</v>
      </c>
      <c r="G463" s="2">
        <f>IFERROR(__xludf.DUMMYFUNCTION("""COMPUTED_VALUE"""),2024.0)</f>
        <v>2024</v>
      </c>
      <c r="H463" s="2" t="str">
        <f t="shared" si="2"/>
        <v>2024/9/21</v>
      </c>
      <c r="I463" s="2" t="s">
        <v>1576</v>
      </c>
      <c r="J463" s="2" t="str">
        <f t="shared" si="3"/>
        <v>Roti Cranberry</v>
      </c>
      <c r="K463" s="7">
        <f>if(RIGHT(I463,5)="2 pcs",2,Data!I463)</f>
        <v>1</v>
      </c>
      <c r="L463" s="2" t="str">
        <f t="shared" si="4"/>
        <v>Saturday</v>
      </c>
      <c r="M463" s="2" t="str">
        <f t="shared" si="5"/>
        <v>21</v>
      </c>
      <c r="N463" s="2">
        <f>VLOOKUP(L463,'Data Info'!$A$1:$B$8,2,0)</f>
        <v>6</v>
      </c>
      <c r="O463" s="2" t="str">
        <f>VLOOKUP(L463,'Data Info'!$A$1:$C$8,3,0)</f>
        <v>Weekend</v>
      </c>
    </row>
    <row r="464">
      <c r="A464" s="4">
        <v>45556.45138888889</v>
      </c>
      <c r="B464" s="9">
        <f>IFERROR(__xludf.DUMMYFUNCTION("SPLIT(A464,"" "")"),45556.0)</f>
        <v>45556</v>
      </c>
      <c r="C464" s="10">
        <f>IFERROR(__xludf.DUMMYFUNCTION("""COMPUTED_VALUE"""),0.4513888888888889)</f>
        <v>0.4513888889</v>
      </c>
      <c r="D464" s="2">
        <f t="shared" si="1"/>
        <v>10</v>
      </c>
      <c r="E464" s="2">
        <f>IFERROR(__xludf.DUMMYFUNCTION("SPLIT(B464,""/"")"),21.0)</f>
        <v>21</v>
      </c>
      <c r="F464" s="2">
        <f>IFERROR(__xludf.DUMMYFUNCTION("""COMPUTED_VALUE"""),9.0)</f>
        <v>9</v>
      </c>
      <c r="G464" s="2">
        <f>IFERROR(__xludf.DUMMYFUNCTION("""COMPUTED_VALUE"""),2024.0)</f>
        <v>2024</v>
      </c>
      <c r="H464" s="2" t="str">
        <f t="shared" si="2"/>
        <v>2024/9/21</v>
      </c>
      <c r="I464" s="2" t="s">
        <v>1605</v>
      </c>
      <c r="J464" s="2" t="str">
        <f t="shared" si="3"/>
        <v>Kentang Goreng</v>
      </c>
      <c r="K464" s="7">
        <f>if(RIGHT(I464,5)="2 pcs",2,Data!I464)</f>
        <v>1</v>
      </c>
      <c r="L464" s="2" t="str">
        <f t="shared" si="4"/>
        <v>Saturday</v>
      </c>
      <c r="M464" s="2" t="str">
        <f t="shared" si="5"/>
        <v>21</v>
      </c>
      <c r="N464" s="2">
        <f>VLOOKUP(L464,'Data Info'!$A$1:$B$8,2,0)</f>
        <v>6</v>
      </c>
      <c r="O464" s="2" t="str">
        <f>VLOOKUP(L464,'Data Info'!$A$1:$C$8,3,0)</f>
        <v>Weekend</v>
      </c>
    </row>
    <row r="465">
      <c r="A465" s="4">
        <v>45556.45138888889</v>
      </c>
      <c r="B465" s="9">
        <f>IFERROR(__xludf.DUMMYFUNCTION("SPLIT(A465,"" "")"),45556.0)</f>
        <v>45556</v>
      </c>
      <c r="C465" s="10">
        <f>IFERROR(__xludf.DUMMYFUNCTION("""COMPUTED_VALUE"""),0.4513888888888889)</f>
        <v>0.4513888889</v>
      </c>
      <c r="D465" s="2">
        <f t="shared" si="1"/>
        <v>10</v>
      </c>
      <c r="E465" s="2">
        <f>IFERROR(__xludf.DUMMYFUNCTION("SPLIT(B465,""/"")"),21.0)</f>
        <v>21</v>
      </c>
      <c r="F465" s="2">
        <f>IFERROR(__xludf.DUMMYFUNCTION("""COMPUTED_VALUE"""),9.0)</f>
        <v>9</v>
      </c>
      <c r="G465" s="2">
        <f>IFERROR(__xludf.DUMMYFUNCTION("""COMPUTED_VALUE"""),2024.0)</f>
        <v>2024</v>
      </c>
      <c r="H465" s="2" t="str">
        <f t="shared" si="2"/>
        <v>2024/9/21</v>
      </c>
      <c r="I465" s="2" t="s">
        <v>1588</v>
      </c>
      <c r="J465" s="2" t="str">
        <f t="shared" si="3"/>
        <v>Es Kopi Susu</v>
      </c>
      <c r="K465" s="7">
        <f>if(RIGHT(I465,5)="2 pcs",2,Data!I465)</f>
        <v>1</v>
      </c>
      <c r="L465" s="2" t="str">
        <f t="shared" si="4"/>
        <v>Saturday</v>
      </c>
      <c r="M465" s="2" t="str">
        <f t="shared" si="5"/>
        <v>21</v>
      </c>
      <c r="N465" s="2">
        <f>VLOOKUP(L465,'Data Info'!$A$1:$B$8,2,0)</f>
        <v>6</v>
      </c>
      <c r="O465" s="2" t="str">
        <f>VLOOKUP(L465,'Data Info'!$A$1:$C$8,3,0)</f>
        <v>Weekend</v>
      </c>
    </row>
    <row r="466">
      <c r="A466" s="4">
        <v>45556.45138888889</v>
      </c>
      <c r="B466" s="9">
        <f>IFERROR(__xludf.DUMMYFUNCTION("SPLIT(A466,"" "")"),45556.0)</f>
        <v>45556</v>
      </c>
      <c r="C466" s="10">
        <f>IFERROR(__xludf.DUMMYFUNCTION("""COMPUTED_VALUE"""),0.4513888888888889)</f>
        <v>0.4513888889</v>
      </c>
      <c r="D466" s="2">
        <f t="shared" si="1"/>
        <v>10</v>
      </c>
      <c r="E466" s="2">
        <f>IFERROR(__xludf.DUMMYFUNCTION("SPLIT(B466,""/"")"),21.0)</f>
        <v>21</v>
      </c>
      <c r="F466" s="2">
        <f>IFERROR(__xludf.DUMMYFUNCTION("""COMPUTED_VALUE"""),9.0)</f>
        <v>9</v>
      </c>
      <c r="G466" s="2">
        <f>IFERROR(__xludf.DUMMYFUNCTION("""COMPUTED_VALUE"""),2024.0)</f>
        <v>2024</v>
      </c>
      <c r="H466" s="2" t="str">
        <f t="shared" si="2"/>
        <v>2024/9/21</v>
      </c>
      <c r="I466" s="2" t="s">
        <v>1594</v>
      </c>
      <c r="J466" s="2" t="str">
        <f t="shared" si="3"/>
        <v>Wedang Bulan</v>
      </c>
      <c r="K466" s="7">
        <f>if(RIGHT(I466,5)="2 pcs",2,Data!I466)</f>
        <v>1</v>
      </c>
      <c r="L466" s="2" t="str">
        <f t="shared" si="4"/>
        <v>Saturday</v>
      </c>
      <c r="M466" s="2" t="str">
        <f t="shared" si="5"/>
        <v>21</v>
      </c>
      <c r="N466" s="2">
        <f>VLOOKUP(L466,'Data Info'!$A$1:$B$8,2,0)</f>
        <v>6</v>
      </c>
      <c r="O466" s="2" t="str">
        <f>VLOOKUP(L466,'Data Info'!$A$1:$C$8,3,0)</f>
        <v>Weekend</v>
      </c>
    </row>
    <row r="467">
      <c r="A467" s="4">
        <v>45555.87569444445</v>
      </c>
      <c r="B467" s="9">
        <f>IFERROR(__xludf.DUMMYFUNCTION("SPLIT(A467,"" "")"),45555.0)</f>
        <v>45555</v>
      </c>
      <c r="C467" s="10">
        <f>IFERROR(__xludf.DUMMYFUNCTION("""COMPUTED_VALUE"""),0.8756944444444444)</f>
        <v>0.8756944444</v>
      </c>
      <c r="D467" s="2">
        <f t="shared" si="1"/>
        <v>21</v>
      </c>
      <c r="E467" s="2">
        <f>IFERROR(__xludf.DUMMYFUNCTION("SPLIT(B467,""/"")"),20.0)</f>
        <v>20</v>
      </c>
      <c r="F467" s="2">
        <f>IFERROR(__xludf.DUMMYFUNCTION("""COMPUTED_VALUE"""),9.0)</f>
        <v>9</v>
      </c>
      <c r="G467" s="2">
        <f>IFERROR(__xludf.DUMMYFUNCTION("""COMPUTED_VALUE"""),2024.0)</f>
        <v>2024</v>
      </c>
      <c r="H467" s="2" t="str">
        <f t="shared" si="2"/>
        <v>2024/9/20</v>
      </c>
      <c r="I467" s="2" t="s">
        <v>1597</v>
      </c>
      <c r="J467" s="2" t="str">
        <f t="shared" si="3"/>
        <v>Roti Gandum Cokelat</v>
      </c>
      <c r="K467" s="7">
        <f>if(RIGHT(I467,5)="2 pcs",2,Data!I467)</f>
        <v>2</v>
      </c>
      <c r="L467" s="2" t="str">
        <f t="shared" si="4"/>
        <v>Friday</v>
      </c>
      <c r="M467" s="2" t="str">
        <f t="shared" si="5"/>
        <v>20</v>
      </c>
      <c r="N467" s="2">
        <f>VLOOKUP(L467,'Data Info'!$A$1:$B$8,2,0)</f>
        <v>5</v>
      </c>
      <c r="O467" s="2" t="str">
        <f>VLOOKUP(L467,'Data Info'!$A$1:$C$8,3,0)</f>
        <v>Weekday</v>
      </c>
    </row>
    <row r="468">
      <c r="A468" s="4">
        <v>45555.87569444445</v>
      </c>
      <c r="B468" s="9">
        <f>IFERROR(__xludf.DUMMYFUNCTION("SPLIT(A468,"" "")"),45555.0)</f>
        <v>45555</v>
      </c>
      <c r="C468" s="10">
        <f>IFERROR(__xludf.DUMMYFUNCTION("""COMPUTED_VALUE"""),0.8756944444444444)</f>
        <v>0.8756944444</v>
      </c>
      <c r="D468" s="2">
        <f t="shared" si="1"/>
        <v>21</v>
      </c>
      <c r="E468" s="2">
        <f>IFERROR(__xludf.DUMMYFUNCTION("SPLIT(B468,""/"")"),20.0)</f>
        <v>20</v>
      </c>
      <c r="F468" s="2">
        <f>IFERROR(__xludf.DUMMYFUNCTION("""COMPUTED_VALUE"""),9.0)</f>
        <v>9</v>
      </c>
      <c r="G468" s="2">
        <f>IFERROR(__xludf.DUMMYFUNCTION("""COMPUTED_VALUE"""),2024.0)</f>
        <v>2024</v>
      </c>
      <c r="H468" s="2" t="str">
        <f t="shared" si="2"/>
        <v>2024/9/20</v>
      </c>
      <c r="I468" s="2" t="s">
        <v>1566</v>
      </c>
      <c r="J468" s="2" t="str">
        <f t="shared" si="3"/>
        <v>Roti Bawang Saus Keju</v>
      </c>
      <c r="K468" s="7">
        <f>if(RIGHT(I468,5)="2 pcs",2,Data!I468)</f>
        <v>2</v>
      </c>
      <c r="L468" s="2" t="str">
        <f t="shared" si="4"/>
        <v>Friday</v>
      </c>
      <c r="M468" s="2" t="str">
        <f t="shared" si="5"/>
        <v>20</v>
      </c>
      <c r="N468" s="2">
        <f>VLOOKUP(L468,'Data Info'!$A$1:$B$8,2,0)</f>
        <v>5</v>
      </c>
      <c r="O468" s="2" t="str">
        <f>VLOOKUP(L468,'Data Info'!$A$1:$C$8,3,0)</f>
        <v>Weekday</v>
      </c>
    </row>
    <row r="469">
      <c r="A469" s="4">
        <v>45555.76458333333</v>
      </c>
      <c r="B469" s="9">
        <f>IFERROR(__xludf.DUMMYFUNCTION("SPLIT(A469,"" "")"),45555.0)</f>
        <v>45555</v>
      </c>
      <c r="C469" s="10">
        <f>IFERROR(__xludf.DUMMYFUNCTION("""COMPUTED_VALUE"""),0.7645833333333333)</f>
        <v>0.7645833333</v>
      </c>
      <c r="D469" s="2">
        <f t="shared" si="1"/>
        <v>18</v>
      </c>
      <c r="E469" s="2">
        <f>IFERROR(__xludf.DUMMYFUNCTION("SPLIT(B469,""/"")"),20.0)</f>
        <v>20</v>
      </c>
      <c r="F469" s="2">
        <f>IFERROR(__xludf.DUMMYFUNCTION("""COMPUTED_VALUE"""),9.0)</f>
        <v>9</v>
      </c>
      <c r="G469" s="2">
        <f>IFERROR(__xludf.DUMMYFUNCTION("""COMPUTED_VALUE"""),2024.0)</f>
        <v>2024</v>
      </c>
      <c r="H469" s="2" t="str">
        <f t="shared" si="2"/>
        <v>2024/9/20</v>
      </c>
      <c r="I469" s="2" t="s">
        <v>1598</v>
      </c>
      <c r="J469" s="2" t="str">
        <f t="shared" si="3"/>
        <v>Korean Strawberry Fresh Milk</v>
      </c>
      <c r="K469" s="7">
        <f>if(RIGHT(I469,5)="2 pcs",2,Data!I469)</f>
        <v>1</v>
      </c>
      <c r="L469" s="2" t="str">
        <f t="shared" si="4"/>
        <v>Friday</v>
      </c>
      <c r="M469" s="2" t="str">
        <f t="shared" si="5"/>
        <v>20</v>
      </c>
      <c r="N469" s="2">
        <f>VLOOKUP(L469,'Data Info'!$A$1:$B$8,2,0)</f>
        <v>5</v>
      </c>
      <c r="O469" s="2" t="str">
        <f>VLOOKUP(L469,'Data Info'!$A$1:$C$8,3,0)</f>
        <v>Weekday</v>
      </c>
    </row>
    <row r="470">
      <c r="A470" s="4">
        <v>45555.76458333333</v>
      </c>
      <c r="B470" s="9">
        <f>IFERROR(__xludf.DUMMYFUNCTION("SPLIT(A470,"" "")"),45555.0)</f>
        <v>45555</v>
      </c>
      <c r="C470" s="10">
        <f>IFERROR(__xludf.DUMMYFUNCTION("""COMPUTED_VALUE"""),0.7645833333333333)</f>
        <v>0.7645833333</v>
      </c>
      <c r="D470" s="2">
        <f t="shared" si="1"/>
        <v>18</v>
      </c>
      <c r="E470" s="2">
        <f>IFERROR(__xludf.DUMMYFUNCTION("SPLIT(B470,""/"")"),20.0)</f>
        <v>20</v>
      </c>
      <c r="F470" s="2">
        <f>IFERROR(__xludf.DUMMYFUNCTION("""COMPUTED_VALUE"""),9.0)</f>
        <v>9</v>
      </c>
      <c r="G470" s="2">
        <f>IFERROR(__xludf.DUMMYFUNCTION("""COMPUTED_VALUE"""),2024.0)</f>
        <v>2024</v>
      </c>
      <c r="H470" s="2" t="str">
        <f t="shared" si="2"/>
        <v>2024/9/20</v>
      </c>
      <c r="I470" s="2" t="s">
        <v>1573</v>
      </c>
      <c r="J470" s="2" t="str">
        <f t="shared" si="3"/>
        <v>Air mineral</v>
      </c>
      <c r="K470" s="7">
        <f>if(RIGHT(I470,5)="2 pcs",2,Data!I470)</f>
        <v>1</v>
      </c>
      <c r="L470" s="2" t="str">
        <f t="shared" si="4"/>
        <v>Friday</v>
      </c>
      <c r="M470" s="2" t="str">
        <f t="shared" si="5"/>
        <v>20</v>
      </c>
      <c r="N470" s="2">
        <f>VLOOKUP(L470,'Data Info'!$A$1:$B$8,2,0)</f>
        <v>5</v>
      </c>
      <c r="O470" s="2" t="str">
        <f>VLOOKUP(L470,'Data Info'!$A$1:$C$8,3,0)</f>
        <v>Weekday</v>
      </c>
    </row>
    <row r="471">
      <c r="A471" s="4">
        <v>45555.76458333333</v>
      </c>
      <c r="B471" s="9">
        <f>IFERROR(__xludf.DUMMYFUNCTION("SPLIT(A471,"" "")"),45555.0)</f>
        <v>45555</v>
      </c>
      <c r="C471" s="10">
        <f>IFERROR(__xludf.DUMMYFUNCTION("""COMPUTED_VALUE"""),0.7645833333333333)</f>
        <v>0.7645833333</v>
      </c>
      <c r="D471" s="2">
        <f t="shared" si="1"/>
        <v>18</v>
      </c>
      <c r="E471" s="2">
        <f>IFERROR(__xludf.DUMMYFUNCTION("SPLIT(B471,""/"")"),20.0)</f>
        <v>20</v>
      </c>
      <c r="F471" s="2">
        <f>IFERROR(__xludf.DUMMYFUNCTION("""COMPUTED_VALUE"""),9.0)</f>
        <v>9</v>
      </c>
      <c r="G471" s="2">
        <f>IFERROR(__xludf.DUMMYFUNCTION("""COMPUTED_VALUE"""),2024.0)</f>
        <v>2024</v>
      </c>
      <c r="H471" s="2" t="str">
        <f t="shared" si="2"/>
        <v>2024/9/20</v>
      </c>
      <c r="I471" s="2" t="s">
        <v>1573</v>
      </c>
      <c r="J471" s="2" t="str">
        <f t="shared" si="3"/>
        <v>Air mineral</v>
      </c>
      <c r="K471" s="7">
        <f>if(RIGHT(I471,5)="2 pcs",2,Data!I471)</f>
        <v>1</v>
      </c>
      <c r="L471" s="2" t="str">
        <f t="shared" si="4"/>
        <v>Friday</v>
      </c>
      <c r="M471" s="2" t="str">
        <f t="shared" si="5"/>
        <v>20</v>
      </c>
      <c r="N471" s="2">
        <f>VLOOKUP(L471,'Data Info'!$A$1:$B$8,2,0)</f>
        <v>5</v>
      </c>
      <c r="O471" s="2" t="str">
        <f>VLOOKUP(L471,'Data Info'!$A$1:$C$8,3,0)</f>
        <v>Weekday</v>
      </c>
    </row>
    <row r="472">
      <c r="A472" s="4">
        <v>45555.76458333333</v>
      </c>
      <c r="B472" s="9">
        <f>IFERROR(__xludf.DUMMYFUNCTION("SPLIT(A472,"" "")"),45555.0)</f>
        <v>45555</v>
      </c>
      <c r="C472" s="10">
        <f>IFERROR(__xludf.DUMMYFUNCTION("""COMPUTED_VALUE"""),0.7645833333333333)</f>
        <v>0.7645833333</v>
      </c>
      <c r="D472" s="2">
        <f t="shared" si="1"/>
        <v>18</v>
      </c>
      <c r="E472" s="2">
        <f>IFERROR(__xludf.DUMMYFUNCTION("SPLIT(B472,""/"")"),20.0)</f>
        <v>20</v>
      </c>
      <c r="F472" s="2">
        <f>IFERROR(__xludf.DUMMYFUNCTION("""COMPUTED_VALUE"""),9.0)</f>
        <v>9</v>
      </c>
      <c r="G472" s="2">
        <f>IFERROR(__xludf.DUMMYFUNCTION("""COMPUTED_VALUE"""),2024.0)</f>
        <v>2024</v>
      </c>
      <c r="H472" s="2" t="str">
        <f t="shared" si="2"/>
        <v>2024/9/20</v>
      </c>
      <c r="I472" s="2" t="s">
        <v>1573</v>
      </c>
      <c r="J472" s="2" t="str">
        <f t="shared" si="3"/>
        <v>Air mineral</v>
      </c>
      <c r="K472" s="7">
        <f>if(RIGHT(I472,5)="2 pcs",2,Data!I472)</f>
        <v>1</v>
      </c>
      <c r="L472" s="2" t="str">
        <f t="shared" si="4"/>
        <v>Friday</v>
      </c>
      <c r="M472" s="2" t="str">
        <f t="shared" si="5"/>
        <v>20</v>
      </c>
      <c r="N472" s="2">
        <f>VLOOKUP(L472,'Data Info'!$A$1:$B$8,2,0)</f>
        <v>5</v>
      </c>
      <c r="O472" s="2" t="str">
        <f>VLOOKUP(L472,'Data Info'!$A$1:$C$8,3,0)</f>
        <v>Weekday</v>
      </c>
    </row>
    <row r="473">
      <c r="A473" s="4">
        <v>45555.76458333333</v>
      </c>
      <c r="B473" s="9">
        <f>IFERROR(__xludf.DUMMYFUNCTION("SPLIT(A473,"" "")"),45555.0)</f>
        <v>45555</v>
      </c>
      <c r="C473" s="10">
        <f>IFERROR(__xludf.DUMMYFUNCTION("""COMPUTED_VALUE"""),0.7645833333333333)</f>
        <v>0.7645833333</v>
      </c>
      <c r="D473" s="2">
        <f t="shared" si="1"/>
        <v>18</v>
      </c>
      <c r="E473" s="2">
        <f>IFERROR(__xludf.DUMMYFUNCTION("SPLIT(B473,""/"")"),20.0)</f>
        <v>20</v>
      </c>
      <c r="F473" s="2">
        <f>IFERROR(__xludf.DUMMYFUNCTION("""COMPUTED_VALUE"""),9.0)</f>
        <v>9</v>
      </c>
      <c r="G473" s="2">
        <f>IFERROR(__xludf.DUMMYFUNCTION("""COMPUTED_VALUE"""),2024.0)</f>
        <v>2024</v>
      </c>
      <c r="H473" s="2" t="str">
        <f t="shared" si="2"/>
        <v>2024/9/20</v>
      </c>
      <c r="I473" s="2" t="s">
        <v>1587</v>
      </c>
      <c r="J473" s="2" t="str">
        <f t="shared" si="3"/>
        <v>Tahu Lada Garam</v>
      </c>
      <c r="K473" s="7">
        <f>if(RIGHT(I473,5)="2 pcs",2,Data!I473)</f>
        <v>1</v>
      </c>
      <c r="L473" s="2" t="str">
        <f t="shared" si="4"/>
        <v>Friday</v>
      </c>
      <c r="M473" s="2" t="str">
        <f t="shared" si="5"/>
        <v>20</v>
      </c>
      <c r="N473" s="2">
        <f>VLOOKUP(L473,'Data Info'!$A$1:$B$8,2,0)</f>
        <v>5</v>
      </c>
      <c r="O473" s="2" t="str">
        <f>VLOOKUP(L473,'Data Info'!$A$1:$C$8,3,0)</f>
        <v>Weekday</v>
      </c>
    </row>
    <row r="474">
      <c r="A474" s="4">
        <v>45555.76458333333</v>
      </c>
      <c r="B474" s="9">
        <f>IFERROR(__xludf.DUMMYFUNCTION("SPLIT(A474,"" "")"),45555.0)</f>
        <v>45555</v>
      </c>
      <c r="C474" s="10">
        <f>IFERROR(__xludf.DUMMYFUNCTION("""COMPUTED_VALUE"""),0.7645833333333333)</f>
        <v>0.7645833333</v>
      </c>
      <c r="D474" s="2">
        <f t="shared" si="1"/>
        <v>18</v>
      </c>
      <c r="E474" s="2">
        <f>IFERROR(__xludf.DUMMYFUNCTION("SPLIT(B474,""/"")"),20.0)</f>
        <v>20</v>
      </c>
      <c r="F474" s="2">
        <f>IFERROR(__xludf.DUMMYFUNCTION("""COMPUTED_VALUE"""),9.0)</f>
        <v>9</v>
      </c>
      <c r="G474" s="2">
        <f>IFERROR(__xludf.DUMMYFUNCTION("""COMPUTED_VALUE"""),2024.0)</f>
        <v>2024</v>
      </c>
      <c r="H474" s="2" t="str">
        <f t="shared" si="2"/>
        <v>2024/9/20</v>
      </c>
      <c r="I474" s="2" t="s">
        <v>1573</v>
      </c>
      <c r="J474" s="2" t="str">
        <f t="shared" si="3"/>
        <v>Air mineral</v>
      </c>
      <c r="K474" s="7">
        <f>if(RIGHT(I474,5)="2 pcs",2,Data!I474)</f>
        <v>1</v>
      </c>
      <c r="L474" s="2" t="str">
        <f t="shared" si="4"/>
        <v>Friday</v>
      </c>
      <c r="M474" s="2" t="str">
        <f t="shared" si="5"/>
        <v>20</v>
      </c>
      <c r="N474" s="2">
        <f>VLOOKUP(L474,'Data Info'!$A$1:$B$8,2,0)</f>
        <v>5</v>
      </c>
      <c r="O474" s="2" t="str">
        <f>VLOOKUP(L474,'Data Info'!$A$1:$C$8,3,0)</f>
        <v>Weekday</v>
      </c>
    </row>
    <row r="475">
      <c r="A475" s="4">
        <v>45555.75277777778</v>
      </c>
      <c r="B475" s="9">
        <f>IFERROR(__xludf.DUMMYFUNCTION("SPLIT(A475,"" "")"),45555.0)</f>
        <v>45555</v>
      </c>
      <c r="C475" s="10">
        <f>IFERROR(__xludf.DUMMYFUNCTION("""COMPUTED_VALUE"""),0.7527777777777778)</f>
        <v>0.7527777778</v>
      </c>
      <c r="D475" s="2">
        <f t="shared" si="1"/>
        <v>18</v>
      </c>
      <c r="E475" s="2">
        <f>IFERROR(__xludf.DUMMYFUNCTION("SPLIT(B475,""/"")"),20.0)</f>
        <v>20</v>
      </c>
      <c r="F475" s="2">
        <f>IFERROR(__xludf.DUMMYFUNCTION("""COMPUTED_VALUE"""),9.0)</f>
        <v>9</v>
      </c>
      <c r="G475" s="2">
        <f>IFERROR(__xludf.DUMMYFUNCTION("""COMPUTED_VALUE"""),2024.0)</f>
        <v>2024</v>
      </c>
      <c r="H475" s="2" t="str">
        <f t="shared" si="2"/>
        <v>2024/9/20</v>
      </c>
      <c r="I475" s="2" t="s">
        <v>1576</v>
      </c>
      <c r="J475" s="2" t="str">
        <f t="shared" si="3"/>
        <v>Roti Cranberry</v>
      </c>
      <c r="K475" s="7">
        <f>if(RIGHT(I475,5)="2 pcs",2,Data!I475)</f>
        <v>1</v>
      </c>
      <c r="L475" s="2" t="str">
        <f t="shared" si="4"/>
        <v>Friday</v>
      </c>
      <c r="M475" s="2" t="str">
        <f t="shared" si="5"/>
        <v>20</v>
      </c>
      <c r="N475" s="2">
        <f>VLOOKUP(L475,'Data Info'!$A$1:$B$8,2,0)</f>
        <v>5</v>
      </c>
      <c r="O475" s="2" t="str">
        <f>VLOOKUP(L475,'Data Info'!$A$1:$C$8,3,0)</f>
        <v>Weekday</v>
      </c>
    </row>
    <row r="476">
      <c r="A476" s="4">
        <v>45555.75277777778</v>
      </c>
      <c r="B476" s="9">
        <f>IFERROR(__xludf.DUMMYFUNCTION("SPLIT(A476,"" "")"),45555.0)</f>
        <v>45555</v>
      </c>
      <c r="C476" s="10">
        <f>IFERROR(__xludf.DUMMYFUNCTION("""COMPUTED_VALUE"""),0.7527777777777778)</f>
        <v>0.7527777778</v>
      </c>
      <c r="D476" s="2">
        <f t="shared" si="1"/>
        <v>18</v>
      </c>
      <c r="E476" s="2">
        <f>IFERROR(__xludf.DUMMYFUNCTION("SPLIT(B476,""/"")"),20.0)</f>
        <v>20</v>
      </c>
      <c r="F476" s="2">
        <f>IFERROR(__xludf.DUMMYFUNCTION("""COMPUTED_VALUE"""),9.0)</f>
        <v>9</v>
      </c>
      <c r="G476" s="2">
        <f>IFERROR(__xludf.DUMMYFUNCTION("""COMPUTED_VALUE"""),2024.0)</f>
        <v>2024</v>
      </c>
      <c r="H476" s="2" t="str">
        <f t="shared" si="2"/>
        <v>2024/9/20</v>
      </c>
      <c r="I476" s="2" t="s">
        <v>1597</v>
      </c>
      <c r="J476" s="2" t="str">
        <f t="shared" si="3"/>
        <v>Roti Gandum Cokelat</v>
      </c>
      <c r="K476" s="7">
        <f>if(RIGHT(I476,5)="2 pcs",2,Data!I476)</f>
        <v>2</v>
      </c>
      <c r="L476" s="2" t="str">
        <f t="shared" si="4"/>
        <v>Friday</v>
      </c>
      <c r="M476" s="2" t="str">
        <f t="shared" si="5"/>
        <v>20</v>
      </c>
      <c r="N476" s="2">
        <f>VLOOKUP(L476,'Data Info'!$A$1:$B$8,2,0)</f>
        <v>5</v>
      </c>
      <c r="O476" s="2" t="str">
        <f>VLOOKUP(L476,'Data Info'!$A$1:$C$8,3,0)</f>
        <v>Weekday</v>
      </c>
    </row>
    <row r="477">
      <c r="A477" s="4">
        <v>45555.75277777778</v>
      </c>
      <c r="B477" s="9">
        <f>IFERROR(__xludf.DUMMYFUNCTION("SPLIT(A477,"" "")"),45555.0)</f>
        <v>45555</v>
      </c>
      <c r="C477" s="10">
        <f>IFERROR(__xludf.DUMMYFUNCTION("""COMPUTED_VALUE"""),0.7527777777777778)</f>
        <v>0.7527777778</v>
      </c>
      <c r="D477" s="2">
        <f t="shared" si="1"/>
        <v>18</v>
      </c>
      <c r="E477" s="2">
        <f>IFERROR(__xludf.DUMMYFUNCTION("SPLIT(B477,""/"")"),20.0)</f>
        <v>20</v>
      </c>
      <c r="F477" s="2">
        <f>IFERROR(__xludf.DUMMYFUNCTION("""COMPUTED_VALUE"""),9.0)</f>
        <v>9</v>
      </c>
      <c r="G477" s="2">
        <f>IFERROR(__xludf.DUMMYFUNCTION("""COMPUTED_VALUE"""),2024.0)</f>
        <v>2024</v>
      </c>
      <c r="H477" s="2" t="str">
        <f t="shared" si="2"/>
        <v>2024/9/20</v>
      </c>
      <c r="I477" s="2" t="s">
        <v>1595</v>
      </c>
      <c r="J477" s="2" t="str">
        <f t="shared" si="3"/>
        <v>Roti Gandum Cokelat</v>
      </c>
      <c r="K477" s="7">
        <f>if(RIGHT(I477,5)="2 pcs",2,Data!I477)</f>
        <v>1</v>
      </c>
      <c r="L477" s="2" t="str">
        <f t="shared" si="4"/>
        <v>Friday</v>
      </c>
      <c r="M477" s="2" t="str">
        <f t="shared" si="5"/>
        <v>20</v>
      </c>
      <c r="N477" s="2">
        <f>VLOOKUP(L477,'Data Info'!$A$1:$B$8,2,0)</f>
        <v>5</v>
      </c>
      <c r="O477" s="2" t="str">
        <f>VLOOKUP(L477,'Data Info'!$A$1:$C$8,3,0)</f>
        <v>Weekday</v>
      </c>
    </row>
    <row r="478">
      <c r="A478" s="4">
        <v>45555.623611111114</v>
      </c>
      <c r="B478" s="9">
        <f>IFERROR(__xludf.DUMMYFUNCTION("SPLIT(A478,"" "")"),45555.0)</f>
        <v>45555</v>
      </c>
      <c r="C478" s="10">
        <f>IFERROR(__xludf.DUMMYFUNCTION("""COMPUTED_VALUE"""),0.6236111111111111)</f>
        <v>0.6236111111</v>
      </c>
      <c r="D478" s="2">
        <f t="shared" si="1"/>
        <v>14</v>
      </c>
      <c r="E478" s="2">
        <f>IFERROR(__xludf.DUMMYFUNCTION("SPLIT(B478,""/"")"),20.0)</f>
        <v>20</v>
      </c>
      <c r="F478" s="2">
        <f>IFERROR(__xludf.DUMMYFUNCTION("""COMPUTED_VALUE"""),9.0)</f>
        <v>9</v>
      </c>
      <c r="G478" s="2">
        <f>IFERROR(__xludf.DUMMYFUNCTION("""COMPUTED_VALUE"""),2024.0)</f>
        <v>2024</v>
      </c>
      <c r="H478" s="2" t="str">
        <f t="shared" si="2"/>
        <v>2024/9/20</v>
      </c>
      <c r="I478" s="2" t="s">
        <v>1566</v>
      </c>
      <c r="J478" s="2" t="str">
        <f t="shared" si="3"/>
        <v>Roti Bawang Saus Keju</v>
      </c>
      <c r="K478" s="7">
        <f>if(RIGHT(I478,5)="2 pcs",2,Data!I478)</f>
        <v>1</v>
      </c>
      <c r="L478" s="2" t="str">
        <f t="shared" si="4"/>
        <v>Friday</v>
      </c>
      <c r="M478" s="2" t="str">
        <f t="shared" si="5"/>
        <v>20</v>
      </c>
      <c r="N478" s="2">
        <f>VLOOKUP(L478,'Data Info'!$A$1:$B$8,2,0)</f>
        <v>5</v>
      </c>
      <c r="O478" s="2" t="str">
        <f>VLOOKUP(L478,'Data Info'!$A$1:$C$8,3,0)</f>
        <v>Weekday</v>
      </c>
    </row>
    <row r="479">
      <c r="A479" s="4">
        <v>45555.623611111114</v>
      </c>
      <c r="B479" s="9">
        <f>IFERROR(__xludf.DUMMYFUNCTION("SPLIT(A479,"" "")"),45555.0)</f>
        <v>45555</v>
      </c>
      <c r="C479" s="10">
        <f>IFERROR(__xludf.DUMMYFUNCTION("""COMPUTED_VALUE"""),0.6236111111111111)</f>
        <v>0.6236111111</v>
      </c>
      <c r="D479" s="2">
        <f t="shared" si="1"/>
        <v>14</v>
      </c>
      <c r="E479" s="2">
        <f>IFERROR(__xludf.DUMMYFUNCTION("SPLIT(B479,""/"")"),20.0)</f>
        <v>20</v>
      </c>
      <c r="F479" s="2">
        <f>IFERROR(__xludf.DUMMYFUNCTION("""COMPUTED_VALUE"""),9.0)</f>
        <v>9</v>
      </c>
      <c r="G479" s="2">
        <f>IFERROR(__xludf.DUMMYFUNCTION("""COMPUTED_VALUE"""),2024.0)</f>
        <v>2024</v>
      </c>
      <c r="H479" s="2" t="str">
        <f t="shared" si="2"/>
        <v>2024/9/20</v>
      </c>
      <c r="I479" s="2" t="s">
        <v>1597</v>
      </c>
      <c r="J479" s="2" t="str">
        <f t="shared" si="3"/>
        <v>Roti Gandum Cokelat</v>
      </c>
      <c r="K479" s="7">
        <f>if(RIGHT(I479,5)="2 pcs",2,Data!I479)</f>
        <v>2</v>
      </c>
      <c r="L479" s="2" t="str">
        <f t="shared" si="4"/>
        <v>Friday</v>
      </c>
      <c r="M479" s="2" t="str">
        <f t="shared" si="5"/>
        <v>20</v>
      </c>
      <c r="N479" s="2">
        <f>VLOOKUP(L479,'Data Info'!$A$1:$B$8,2,0)</f>
        <v>5</v>
      </c>
      <c r="O479" s="2" t="str">
        <f>VLOOKUP(L479,'Data Info'!$A$1:$C$8,3,0)</f>
        <v>Weekday</v>
      </c>
    </row>
    <row r="480">
      <c r="A480" s="4">
        <v>45555.623611111114</v>
      </c>
      <c r="B480" s="9">
        <f>IFERROR(__xludf.DUMMYFUNCTION("SPLIT(A480,"" "")"),45555.0)</f>
        <v>45555</v>
      </c>
      <c r="C480" s="10">
        <f>IFERROR(__xludf.DUMMYFUNCTION("""COMPUTED_VALUE"""),0.6236111111111111)</f>
        <v>0.6236111111</v>
      </c>
      <c r="D480" s="2">
        <f t="shared" si="1"/>
        <v>14</v>
      </c>
      <c r="E480" s="2">
        <f>IFERROR(__xludf.DUMMYFUNCTION("SPLIT(B480,""/"")"),20.0)</f>
        <v>20</v>
      </c>
      <c r="F480" s="2">
        <f>IFERROR(__xludf.DUMMYFUNCTION("""COMPUTED_VALUE"""),9.0)</f>
        <v>9</v>
      </c>
      <c r="G480" s="2">
        <f>IFERROR(__xludf.DUMMYFUNCTION("""COMPUTED_VALUE"""),2024.0)</f>
        <v>2024</v>
      </c>
      <c r="H480" s="2" t="str">
        <f t="shared" si="2"/>
        <v>2024/9/20</v>
      </c>
      <c r="I480" s="2" t="s">
        <v>1588</v>
      </c>
      <c r="J480" s="2" t="str">
        <f t="shared" si="3"/>
        <v>Es Kopi Susu</v>
      </c>
      <c r="K480" s="7">
        <f>if(RIGHT(I480,5)="2 pcs",2,Data!I480)</f>
        <v>1</v>
      </c>
      <c r="L480" s="2" t="str">
        <f t="shared" si="4"/>
        <v>Friday</v>
      </c>
      <c r="M480" s="2" t="str">
        <f t="shared" si="5"/>
        <v>20</v>
      </c>
      <c r="N480" s="2">
        <f>VLOOKUP(L480,'Data Info'!$A$1:$B$8,2,0)</f>
        <v>5</v>
      </c>
      <c r="O480" s="2" t="str">
        <f>VLOOKUP(L480,'Data Info'!$A$1:$C$8,3,0)</f>
        <v>Weekday</v>
      </c>
    </row>
    <row r="481">
      <c r="A481" s="4">
        <v>45555.623611111114</v>
      </c>
      <c r="B481" s="9">
        <f>IFERROR(__xludf.DUMMYFUNCTION("SPLIT(A481,"" "")"),45555.0)</f>
        <v>45555</v>
      </c>
      <c r="C481" s="10">
        <f>IFERROR(__xludf.DUMMYFUNCTION("""COMPUTED_VALUE"""),0.6236111111111111)</f>
        <v>0.6236111111</v>
      </c>
      <c r="D481" s="2">
        <f t="shared" si="1"/>
        <v>14</v>
      </c>
      <c r="E481" s="2">
        <f>IFERROR(__xludf.DUMMYFUNCTION("SPLIT(B481,""/"")"),20.0)</f>
        <v>20</v>
      </c>
      <c r="F481" s="2">
        <f>IFERROR(__xludf.DUMMYFUNCTION("""COMPUTED_VALUE"""),9.0)</f>
        <v>9</v>
      </c>
      <c r="G481" s="2">
        <f>IFERROR(__xludf.DUMMYFUNCTION("""COMPUTED_VALUE"""),2024.0)</f>
        <v>2024</v>
      </c>
      <c r="H481" s="2" t="str">
        <f t="shared" si="2"/>
        <v>2024/9/20</v>
      </c>
      <c r="I481" s="2" t="s">
        <v>1609</v>
      </c>
      <c r="J481" s="2" t="str">
        <f t="shared" si="3"/>
        <v>Tempe Mendoan</v>
      </c>
      <c r="K481" s="7">
        <f>if(RIGHT(I481,5)="2 pcs",2,Data!I481)</f>
        <v>1</v>
      </c>
      <c r="L481" s="2" t="str">
        <f t="shared" si="4"/>
        <v>Friday</v>
      </c>
      <c r="M481" s="2" t="str">
        <f t="shared" si="5"/>
        <v>20</v>
      </c>
      <c r="N481" s="2">
        <f>VLOOKUP(L481,'Data Info'!$A$1:$B$8,2,0)</f>
        <v>5</v>
      </c>
      <c r="O481" s="2" t="str">
        <f>VLOOKUP(L481,'Data Info'!$A$1:$C$8,3,0)</f>
        <v>Weekday</v>
      </c>
    </row>
    <row r="482">
      <c r="A482" s="4">
        <v>45555.623611111114</v>
      </c>
      <c r="B482" s="9">
        <f>IFERROR(__xludf.DUMMYFUNCTION("SPLIT(A482,"" "")"),45555.0)</f>
        <v>45555</v>
      </c>
      <c r="C482" s="10">
        <f>IFERROR(__xludf.DUMMYFUNCTION("""COMPUTED_VALUE"""),0.6236111111111111)</f>
        <v>0.6236111111</v>
      </c>
      <c r="D482" s="2">
        <f t="shared" si="1"/>
        <v>14</v>
      </c>
      <c r="E482" s="2">
        <f>IFERROR(__xludf.DUMMYFUNCTION("SPLIT(B482,""/"")"),20.0)</f>
        <v>20</v>
      </c>
      <c r="F482" s="2">
        <f>IFERROR(__xludf.DUMMYFUNCTION("""COMPUTED_VALUE"""),9.0)</f>
        <v>9</v>
      </c>
      <c r="G482" s="2">
        <f>IFERROR(__xludf.DUMMYFUNCTION("""COMPUTED_VALUE"""),2024.0)</f>
        <v>2024</v>
      </c>
      <c r="H482" s="2" t="str">
        <f t="shared" si="2"/>
        <v>2024/9/20</v>
      </c>
      <c r="I482" s="2" t="s">
        <v>1596</v>
      </c>
      <c r="J482" s="2" t="str">
        <f t="shared" si="3"/>
        <v>Roti Cranberry</v>
      </c>
      <c r="K482" s="7">
        <f>if(RIGHT(I482,5)="2 pcs",2,Data!I482)</f>
        <v>2</v>
      </c>
      <c r="L482" s="2" t="str">
        <f t="shared" si="4"/>
        <v>Friday</v>
      </c>
      <c r="M482" s="2" t="str">
        <f t="shared" si="5"/>
        <v>20</v>
      </c>
      <c r="N482" s="2">
        <f>VLOOKUP(L482,'Data Info'!$A$1:$B$8,2,0)</f>
        <v>5</v>
      </c>
      <c r="O482" s="2" t="str">
        <f>VLOOKUP(L482,'Data Info'!$A$1:$C$8,3,0)</f>
        <v>Weekday</v>
      </c>
    </row>
    <row r="483">
      <c r="A483" s="4">
        <v>45555.623611111114</v>
      </c>
      <c r="B483" s="9">
        <f>IFERROR(__xludf.DUMMYFUNCTION("SPLIT(A483,"" "")"),45555.0)</f>
        <v>45555</v>
      </c>
      <c r="C483" s="10">
        <f>IFERROR(__xludf.DUMMYFUNCTION("""COMPUTED_VALUE"""),0.6236111111111111)</f>
        <v>0.6236111111</v>
      </c>
      <c r="D483" s="2">
        <f t="shared" si="1"/>
        <v>14</v>
      </c>
      <c r="E483" s="2">
        <f>IFERROR(__xludf.DUMMYFUNCTION("SPLIT(B483,""/"")"),20.0)</f>
        <v>20</v>
      </c>
      <c r="F483" s="2">
        <f>IFERROR(__xludf.DUMMYFUNCTION("""COMPUTED_VALUE"""),9.0)</f>
        <v>9</v>
      </c>
      <c r="G483" s="2">
        <f>IFERROR(__xludf.DUMMYFUNCTION("""COMPUTED_VALUE"""),2024.0)</f>
        <v>2024</v>
      </c>
      <c r="H483" s="2" t="str">
        <f t="shared" si="2"/>
        <v>2024/9/20</v>
      </c>
      <c r="I483" s="2" t="s">
        <v>1589</v>
      </c>
      <c r="J483" s="2" t="str">
        <f t="shared" si="3"/>
        <v>Teh Manis Dingin</v>
      </c>
      <c r="K483" s="7">
        <f>if(RIGHT(I483,5)="2 pcs",2,Data!I483)</f>
        <v>1</v>
      </c>
      <c r="L483" s="2" t="str">
        <f t="shared" si="4"/>
        <v>Friday</v>
      </c>
      <c r="M483" s="2" t="str">
        <f t="shared" si="5"/>
        <v>20</v>
      </c>
      <c r="N483" s="2">
        <f>VLOOKUP(L483,'Data Info'!$A$1:$B$8,2,0)</f>
        <v>5</v>
      </c>
      <c r="O483" s="2" t="str">
        <f>VLOOKUP(L483,'Data Info'!$A$1:$C$8,3,0)</f>
        <v>Weekday</v>
      </c>
    </row>
    <row r="484">
      <c r="A484" s="4">
        <v>45555.623611111114</v>
      </c>
      <c r="B484" s="9">
        <f>IFERROR(__xludf.DUMMYFUNCTION("SPLIT(A484,"" "")"),45555.0)</f>
        <v>45555</v>
      </c>
      <c r="C484" s="10">
        <f>IFERROR(__xludf.DUMMYFUNCTION("""COMPUTED_VALUE"""),0.6236111111111111)</f>
        <v>0.6236111111</v>
      </c>
      <c r="D484" s="2">
        <f t="shared" si="1"/>
        <v>14</v>
      </c>
      <c r="E484" s="2">
        <f>IFERROR(__xludf.DUMMYFUNCTION("SPLIT(B484,""/"")"),20.0)</f>
        <v>20</v>
      </c>
      <c r="F484" s="2">
        <f>IFERROR(__xludf.DUMMYFUNCTION("""COMPUTED_VALUE"""),9.0)</f>
        <v>9</v>
      </c>
      <c r="G484" s="2">
        <f>IFERROR(__xludf.DUMMYFUNCTION("""COMPUTED_VALUE"""),2024.0)</f>
        <v>2024</v>
      </c>
      <c r="H484" s="2" t="str">
        <f t="shared" si="2"/>
        <v>2024/9/20</v>
      </c>
      <c r="I484" s="2" t="s">
        <v>1603</v>
      </c>
      <c r="J484" s="2" t="str">
        <f t="shared" si="3"/>
        <v>Nasi Goreng Temu</v>
      </c>
      <c r="K484" s="7">
        <f>if(RIGHT(I484,5)="2 pcs",2,Data!I484)</f>
        <v>1</v>
      </c>
      <c r="L484" s="2" t="str">
        <f t="shared" si="4"/>
        <v>Friday</v>
      </c>
      <c r="M484" s="2" t="str">
        <f t="shared" si="5"/>
        <v>20</v>
      </c>
      <c r="N484" s="2">
        <f>VLOOKUP(L484,'Data Info'!$A$1:$B$8,2,0)</f>
        <v>5</v>
      </c>
      <c r="O484" s="2" t="str">
        <f>VLOOKUP(L484,'Data Info'!$A$1:$C$8,3,0)</f>
        <v>Weekday</v>
      </c>
    </row>
    <row r="485">
      <c r="A485" s="4">
        <v>45555.623611111114</v>
      </c>
      <c r="B485" s="9">
        <f>IFERROR(__xludf.DUMMYFUNCTION("SPLIT(A485,"" "")"),45555.0)</f>
        <v>45555</v>
      </c>
      <c r="C485" s="10">
        <f>IFERROR(__xludf.DUMMYFUNCTION("""COMPUTED_VALUE"""),0.6236111111111111)</f>
        <v>0.6236111111</v>
      </c>
      <c r="D485" s="2">
        <f t="shared" si="1"/>
        <v>14</v>
      </c>
      <c r="E485" s="2">
        <f>IFERROR(__xludf.DUMMYFUNCTION("SPLIT(B485,""/"")"),20.0)</f>
        <v>20</v>
      </c>
      <c r="F485" s="2">
        <f>IFERROR(__xludf.DUMMYFUNCTION("""COMPUTED_VALUE"""),9.0)</f>
        <v>9</v>
      </c>
      <c r="G485" s="2">
        <f>IFERROR(__xludf.DUMMYFUNCTION("""COMPUTED_VALUE"""),2024.0)</f>
        <v>2024</v>
      </c>
      <c r="H485" s="2" t="str">
        <f t="shared" si="2"/>
        <v>2024/9/20</v>
      </c>
      <c r="I485" s="2" t="s">
        <v>1573</v>
      </c>
      <c r="J485" s="2" t="str">
        <f t="shared" si="3"/>
        <v>Air mineral</v>
      </c>
      <c r="K485" s="7">
        <f>if(RIGHT(I485,5)="2 pcs",2,Data!I485)</f>
        <v>1</v>
      </c>
      <c r="L485" s="2" t="str">
        <f t="shared" si="4"/>
        <v>Friday</v>
      </c>
      <c r="M485" s="2" t="str">
        <f t="shared" si="5"/>
        <v>20</v>
      </c>
      <c r="N485" s="2">
        <f>VLOOKUP(L485,'Data Info'!$A$1:$B$8,2,0)</f>
        <v>5</v>
      </c>
      <c r="O485" s="2" t="str">
        <f>VLOOKUP(L485,'Data Info'!$A$1:$C$8,3,0)</f>
        <v>Weekday</v>
      </c>
    </row>
    <row r="486">
      <c r="A486" s="4">
        <v>45555.61736111111</v>
      </c>
      <c r="B486" s="9">
        <f>IFERROR(__xludf.DUMMYFUNCTION("SPLIT(A486,"" "")"),45555.0)</f>
        <v>45555</v>
      </c>
      <c r="C486" s="10">
        <f>IFERROR(__xludf.DUMMYFUNCTION("""COMPUTED_VALUE"""),0.6173611111111111)</f>
        <v>0.6173611111</v>
      </c>
      <c r="D486" s="2">
        <f t="shared" si="1"/>
        <v>14</v>
      </c>
      <c r="E486" s="2">
        <f>IFERROR(__xludf.DUMMYFUNCTION("SPLIT(B486,""/"")"),20.0)</f>
        <v>20</v>
      </c>
      <c r="F486" s="2">
        <f>IFERROR(__xludf.DUMMYFUNCTION("""COMPUTED_VALUE"""),9.0)</f>
        <v>9</v>
      </c>
      <c r="G486" s="2">
        <f>IFERROR(__xludf.DUMMYFUNCTION("""COMPUTED_VALUE"""),2024.0)</f>
        <v>2024</v>
      </c>
      <c r="H486" s="2" t="str">
        <f t="shared" si="2"/>
        <v>2024/9/20</v>
      </c>
      <c r="I486" s="2" t="s">
        <v>1573</v>
      </c>
      <c r="J486" s="2" t="str">
        <f t="shared" si="3"/>
        <v>Air mineral</v>
      </c>
      <c r="K486" s="7">
        <f>if(RIGHT(I486,5)="2 pcs",2,Data!I486)</f>
        <v>2</v>
      </c>
      <c r="L486" s="2" t="str">
        <f t="shared" si="4"/>
        <v>Friday</v>
      </c>
      <c r="M486" s="2" t="str">
        <f t="shared" si="5"/>
        <v>20</v>
      </c>
      <c r="N486" s="2">
        <f>VLOOKUP(L486,'Data Info'!$A$1:$B$8,2,0)</f>
        <v>5</v>
      </c>
      <c r="O486" s="2" t="str">
        <f>VLOOKUP(L486,'Data Info'!$A$1:$C$8,3,0)</f>
        <v>Weekday</v>
      </c>
    </row>
    <row r="487">
      <c r="A487" s="4">
        <v>45555.61736111111</v>
      </c>
      <c r="B487" s="9">
        <f>IFERROR(__xludf.DUMMYFUNCTION("SPLIT(A487,"" "")"),45555.0)</f>
        <v>45555</v>
      </c>
      <c r="C487" s="10">
        <f>IFERROR(__xludf.DUMMYFUNCTION("""COMPUTED_VALUE"""),0.6173611111111111)</f>
        <v>0.6173611111</v>
      </c>
      <c r="D487" s="2">
        <f t="shared" si="1"/>
        <v>14</v>
      </c>
      <c r="E487" s="2">
        <f>IFERROR(__xludf.DUMMYFUNCTION("SPLIT(B487,""/"")"),20.0)</f>
        <v>20</v>
      </c>
      <c r="F487" s="2">
        <f>IFERROR(__xludf.DUMMYFUNCTION("""COMPUTED_VALUE"""),9.0)</f>
        <v>9</v>
      </c>
      <c r="G487" s="2">
        <f>IFERROR(__xludf.DUMMYFUNCTION("""COMPUTED_VALUE"""),2024.0)</f>
        <v>2024</v>
      </c>
      <c r="H487" s="2" t="str">
        <f t="shared" si="2"/>
        <v>2024/9/20</v>
      </c>
      <c r="I487" s="2" t="s">
        <v>1609</v>
      </c>
      <c r="J487" s="2" t="str">
        <f t="shared" si="3"/>
        <v>Tempe Mendoan</v>
      </c>
      <c r="K487" s="7">
        <f>if(RIGHT(I487,5)="2 pcs",2,Data!I487)</f>
        <v>1</v>
      </c>
      <c r="L487" s="2" t="str">
        <f t="shared" si="4"/>
        <v>Friday</v>
      </c>
      <c r="M487" s="2" t="str">
        <f t="shared" si="5"/>
        <v>20</v>
      </c>
      <c r="N487" s="2">
        <f>VLOOKUP(L487,'Data Info'!$A$1:$B$8,2,0)</f>
        <v>5</v>
      </c>
      <c r="O487" s="2" t="str">
        <f>VLOOKUP(L487,'Data Info'!$A$1:$C$8,3,0)</f>
        <v>Weekday</v>
      </c>
    </row>
    <row r="488">
      <c r="A488" s="4">
        <v>45555.61736111111</v>
      </c>
      <c r="B488" s="9">
        <f>IFERROR(__xludf.DUMMYFUNCTION("SPLIT(A488,"" "")"),45555.0)</f>
        <v>45555</v>
      </c>
      <c r="C488" s="10">
        <f>IFERROR(__xludf.DUMMYFUNCTION("""COMPUTED_VALUE"""),0.6173611111111111)</f>
        <v>0.6173611111</v>
      </c>
      <c r="D488" s="2">
        <f t="shared" si="1"/>
        <v>14</v>
      </c>
      <c r="E488" s="2">
        <f>IFERROR(__xludf.DUMMYFUNCTION("SPLIT(B488,""/"")"),20.0)</f>
        <v>20</v>
      </c>
      <c r="F488" s="2">
        <f>IFERROR(__xludf.DUMMYFUNCTION("""COMPUTED_VALUE"""),9.0)</f>
        <v>9</v>
      </c>
      <c r="G488" s="2">
        <f>IFERROR(__xludf.DUMMYFUNCTION("""COMPUTED_VALUE"""),2024.0)</f>
        <v>2024</v>
      </c>
      <c r="H488" s="2" t="str">
        <f t="shared" si="2"/>
        <v>2024/9/20</v>
      </c>
      <c r="I488" s="2" t="s">
        <v>1587</v>
      </c>
      <c r="J488" s="2" t="str">
        <f t="shared" si="3"/>
        <v>Tahu Lada Garam</v>
      </c>
      <c r="K488" s="7">
        <f>if(RIGHT(I488,5)="2 pcs",2,Data!I488)</f>
        <v>1</v>
      </c>
      <c r="L488" s="2" t="str">
        <f t="shared" si="4"/>
        <v>Friday</v>
      </c>
      <c r="M488" s="2" t="str">
        <f t="shared" si="5"/>
        <v>20</v>
      </c>
      <c r="N488" s="2">
        <f>VLOOKUP(L488,'Data Info'!$A$1:$B$8,2,0)</f>
        <v>5</v>
      </c>
      <c r="O488" s="2" t="str">
        <f>VLOOKUP(L488,'Data Info'!$A$1:$C$8,3,0)</f>
        <v>Weekday</v>
      </c>
    </row>
    <row r="489">
      <c r="A489" s="4">
        <v>45555.61736111111</v>
      </c>
      <c r="B489" s="9">
        <f>IFERROR(__xludf.DUMMYFUNCTION("SPLIT(A489,"" "")"),45555.0)</f>
        <v>45555</v>
      </c>
      <c r="C489" s="10">
        <f>IFERROR(__xludf.DUMMYFUNCTION("""COMPUTED_VALUE"""),0.6173611111111111)</f>
        <v>0.6173611111</v>
      </c>
      <c r="D489" s="2">
        <f t="shared" si="1"/>
        <v>14</v>
      </c>
      <c r="E489" s="2">
        <f>IFERROR(__xludf.DUMMYFUNCTION("SPLIT(B489,""/"")"),20.0)</f>
        <v>20</v>
      </c>
      <c r="F489" s="2">
        <f>IFERROR(__xludf.DUMMYFUNCTION("""COMPUTED_VALUE"""),9.0)</f>
        <v>9</v>
      </c>
      <c r="G489" s="2">
        <f>IFERROR(__xludf.DUMMYFUNCTION("""COMPUTED_VALUE"""),2024.0)</f>
        <v>2024</v>
      </c>
      <c r="H489" s="2" t="str">
        <f t="shared" si="2"/>
        <v>2024/9/20</v>
      </c>
      <c r="I489" s="2" t="s">
        <v>1605</v>
      </c>
      <c r="J489" s="2" t="str">
        <f t="shared" si="3"/>
        <v>Kentang Goreng</v>
      </c>
      <c r="K489" s="7">
        <f>if(RIGHT(I489,5)="2 pcs",2,Data!I489)</f>
        <v>1</v>
      </c>
      <c r="L489" s="2" t="str">
        <f t="shared" si="4"/>
        <v>Friday</v>
      </c>
      <c r="M489" s="2" t="str">
        <f t="shared" si="5"/>
        <v>20</v>
      </c>
      <c r="N489" s="2">
        <f>VLOOKUP(L489,'Data Info'!$A$1:$B$8,2,0)</f>
        <v>5</v>
      </c>
      <c r="O489" s="2" t="str">
        <f>VLOOKUP(L489,'Data Info'!$A$1:$C$8,3,0)</f>
        <v>Weekday</v>
      </c>
    </row>
    <row r="490">
      <c r="A490" s="4">
        <v>45555.61736111111</v>
      </c>
      <c r="B490" s="9">
        <f>IFERROR(__xludf.DUMMYFUNCTION("SPLIT(A490,"" "")"),45555.0)</f>
        <v>45555</v>
      </c>
      <c r="C490" s="10">
        <f>IFERROR(__xludf.DUMMYFUNCTION("""COMPUTED_VALUE"""),0.6173611111111111)</f>
        <v>0.6173611111</v>
      </c>
      <c r="D490" s="2">
        <f t="shared" si="1"/>
        <v>14</v>
      </c>
      <c r="E490" s="2">
        <f>IFERROR(__xludf.DUMMYFUNCTION("SPLIT(B490,""/"")"),20.0)</f>
        <v>20</v>
      </c>
      <c r="F490" s="2">
        <f>IFERROR(__xludf.DUMMYFUNCTION("""COMPUTED_VALUE"""),9.0)</f>
        <v>9</v>
      </c>
      <c r="G490" s="2">
        <f>IFERROR(__xludf.DUMMYFUNCTION("""COMPUTED_VALUE"""),2024.0)</f>
        <v>2024</v>
      </c>
      <c r="H490" s="2" t="str">
        <f t="shared" si="2"/>
        <v>2024/9/20</v>
      </c>
      <c r="I490" s="2" t="s">
        <v>1597</v>
      </c>
      <c r="J490" s="2" t="str">
        <f t="shared" si="3"/>
        <v>Roti Gandum Cokelat</v>
      </c>
      <c r="K490" s="7">
        <f>if(RIGHT(I490,5)="2 pcs",2,Data!I490)</f>
        <v>2</v>
      </c>
      <c r="L490" s="2" t="str">
        <f t="shared" si="4"/>
        <v>Friday</v>
      </c>
      <c r="M490" s="2" t="str">
        <f t="shared" si="5"/>
        <v>20</v>
      </c>
      <c r="N490" s="2">
        <f>VLOOKUP(L490,'Data Info'!$A$1:$B$8,2,0)</f>
        <v>5</v>
      </c>
      <c r="O490" s="2" t="str">
        <f>VLOOKUP(L490,'Data Info'!$A$1:$C$8,3,0)</f>
        <v>Weekday</v>
      </c>
    </row>
    <row r="491">
      <c r="A491" s="4">
        <v>45555.61736111111</v>
      </c>
      <c r="B491" s="9">
        <f>IFERROR(__xludf.DUMMYFUNCTION("SPLIT(A491,"" "")"),45555.0)</f>
        <v>45555</v>
      </c>
      <c r="C491" s="10">
        <f>IFERROR(__xludf.DUMMYFUNCTION("""COMPUTED_VALUE"""),0.6173611111111111)</f>
        <v>0.6173611111</v>
      </c>
      <c r="D491" s="2">
        <f t="shared" si="1"/>
        <v>14</v>
      </c>
      <c r="E491" s="2">
        <f>IFERROR(__xludf.DUMMYFUNCTION("SPLIT(B491,""/"")"),20.0)</f>
        <v>20</v>
      </c>
      <c r="F491" s="2">
        <f>IFERROR(__xludf.DUMMYFUNCTION("""COMPUTED_VALUE"""),9.0)</f>
        <v>9</v>
      </c>
      <c r="G491" s="2">
        <f>IFERROR(__xludf.DUMMYFUNCTION("""COMPUTED_VALUE"""),2024.0)</f>
        <v>2024</v>
      </c>
      <c r="H491" s="2" t="str">
        <f t="shared" si="2"/>
        <v>2024/9/20</v>
      </c>
      <c r="I491" s="2" t="s">
        <v>1566</v>
      </c>
      <c r="J491" s="2" t="str">
        <f t="shared" si="3"/>
        <v>Roti Bawang Saus Keju</v>
      </c>
      <c r="K491" s="7">
        <f>if(RIGHT(I491,5)="2 pcs",2,Data!I491)</f>
        <v>1</v>
      </c>
      <c r="L491" s="2" t="str">
        <f t="shared" si="4"/>
        <v>Friday</v>
      </c>
      <c r="M491" s="2" t="str">
        <f t="shared" si="5"/>
        <v>20</v>
      </c>
      <c r="N491" s="2">
        <f>VLOOKUP(L491,'Data Info'!$A$1:$B$8,2,0)</f>
        <v>5</v>
      </c>
      <c r="O491" s="2" t="str">
        <f>VLOOKUP(L491,'Data Info'!$A$1:$C$8,3,0)</f>
        <v>Weekday</v>
      </c>
    </row>
    <row r="492">
      <c r="A492" s="4">
        <v>45555.61736111111</v>
      </c>
      <c r="B492" s="9">
        <f>IFERROR(__xludf.DUMMYFUNCTION("SPLIT(A492,"" "")"),45555.0)</f>
        <v>45555</v>
      </c>
      <c r="C492" s="10">
        <f>IFERROR(__xludf.DUMMYFUNCTION("""COMPUTED_VALUE"""),0.6173611111111111)</f>
        <v>0.6173611111</v>
      </c>
      <c r="D492" s="2">
        <f t="shared" si="1"/>
        <v>14</v>
      </c>
      <c r="E492" s="2">
        <f>IFERROR(__xludf.DUMMYFUNCTION("SPLIT(B492,""/"")"),20.0)</f>
        <v>20</v>
      </c>
      <c r="F492" s="2">
        <f>IFERROR(__xludf.DUMMYFUNCTION("""COMPUTED_VALUE"""),9.0)</f>
        <v>9</v>
      </c>
      <c r="G492" s="2">
        <f>IFERROR(__xludf.DUMMYFUNCTION("""COMPUTED_VALUE"""),2024.0)</f>
        <v>2024</v>
      </c>
      <c r="H492" s="2" t="str">
        <f t="shared" si="2"/>
        <v>2024/9/20</v>
      </c>
      <c r="I492" s="2" t="s">
        <v>1588</v>
      </c>
      <c r="J492" s="2" t="str">
        <f t="shared" si="3"/>
        <v>Es Kopi Susu</v>
      </c>
      <c r="K492" s="7">
        <f>if(RIGHT(I492,5)="2 pcs",2,Data!I492)</f>
        <v>4</v>
      </c>
      <c r="L492" s="2" t="str">
        <f t="shared" si="4"/>
        <v>Friday</v>
      </c>
      <c r="M492" s="2" t="str">
        <f t="shared" si="5"/>
        <v>20</v>
      </c>
      <c r="N492" s="2">
        <f>VLOOKUP(L492,'Data Info'!$A$1:$B$8,2,0)</f>
        <v>5</v>
      </c>
      <c r="O492" s="2" t="str">
        <f>VLOOKUP(L492,'Data Info'!$A$1:$C$8,3,0)</f>
        <v>Weekday</v>
      </c>
    </row>
    <row r="493">
      <c r="A493" s="4">
        <v>45555.61736111111</v>
      </c>
      <c r="B493" s="9">
        <f>IFERROR(__xludf.DUMMYFUNCTION("SPLIT(A493,"" "")"),45555.0)</f>
        <v>45555</v>
      </c>
      <c r="C493" s="10">
        <f>IFERROR(__xludf.DUMMYFUNCTION("""COMPUTED_VALUE"""),0.6173611111111111)</f>
        <v>0.6173611111</v>
      </c>
      <c r="D493" s="2">
        <f t="shared" si="1"/>
        <v>14</v>
      </c>
      <c r="E493" s="2">
        <f>IFERROR(__xludf.DUMMYFUNCTION("SPLIT(B493,""/"")"),20.0)</f>
        <v>20</v>
      </c>
      <c r="F493" s="2">
        <f>IFERROR(__xludf.DUMMYFUNCTION("""COMPUTED_VALUE"""),9.0)</f>
        <v>9</v>
      </c>
      <c r="G493" s="2">
        <f>IFERROR(__xludf.DUMMYFUNCTION("""COMPUTED_VALUE"""),2024.0)</f>
        <v>2024</v>
      </c>
      <c r="H493" s="2" t="str">
        <f t="shared" si="2"/>
        <v>2024/9/20</v>
      </c>
      <c r="I493" s="2" t="s">
        <v>1583</v>
      </c>
      <c r="J493" s="2" t="str">
        <f t="shared" si="3"/>
        <v>Es Kopi Lemon</v>
      </c>
      <c r="K493" s="7">
        <f>if(RIGHT(I493,5)="2 pcs",2,Data!I493)</f>
        <v>1</v>
      </c>
      <c r="L493" s="2" t="str">
        <f t="shared" si="4"/>
        <v>Friday</v>
      </c>
      <c r="M493" s="2" t="str">
        <f t="shared" si="5"/>
        <v>20</v>
      </c>
      <c r="N493" s="2">
        <f>VLOOKUP(L493,'Data Info'!$A$1:$B$8,2,0)</f>
        <v>5</v>
      </c>
      <c r="O493" s="2" t="str">
        <f>VLOOKUP(L493,'Data Info'!$A$1:$C$8,3,0)</f>
        <v>Weekday</v>
      </c>
    </row>
    <row r="494">
      <c r="A494" s="4">
        <v>45555.61736111111</v>
      </c>
      <c r="B494" s="9">
        <f>IFERROR(__xludf.DUMMYFUNCTION("SPLIT(A494,"" "")"),45555.0)</f>
        <v>45555</v>
      </c>
      <c r="C494" s="10">
        <f>IFERROR(__xludf.DUMMYFUNCTION("""COMPUTED_VALUE"""),0.6173611111111111)</f>
        <v>0.6173611111</v>
      </c>
      <c r="D494" s="2">
        <f t="shared" si="1"/>
        <v>14</v>
      </c>
      <c r="E494" s="2">
        <f>IFERROR(__xludf.DUMMYFUNCTION("SPLIT(B494,""/"")"),20.0)</f>
        <v>20</v>
      </c>
      <c r="F494" s="2">
        <f>IFERROR(__xludf.DUMMYFUNCTION("""COMPUTED_VALUE"""),9.0)</f>
        <v>9</v>
      </c>
      <c r="G494" s="2">
        <f>IFERROR(__xludf.DUMMYFUNCTION("""COMPUTED_VALUE"""),2024.0)</f>
        <v>2024</v>
      </c>
      <c r="H494" s="2" t="str">
        <f t="shared" si="2"/>
        <v>2024/9/20</v>
      </c>
      <c r="I494" s="2" t="s">
        <v>1596</v>
      </c>
      <c r="J494" s="2" t="str">
        <f t="shared" si="3"/>
        <v>Roti Cranberry</v>
      </c>
      <c r="K494" s="7">
        <f>if(RIGHT(I494,5)="2 pcs",2,Data!I494)</f>
        <v>2</v>
      </c>
      <c r="L494" s="2" t="str">
        <f t="shared" si="4"/>
        <v>Friday</v>
      </c>
      <c r="M494" s="2" t="str">
        <f t="shared" si="5"/>
        <v>20</v>
      </c>
      <c r="N494" s="2">
        <f>VLOOKUP(L494,'Data Info'!$A$1:$B$8,2,0)</f>
        <v>5</v>
      </c>
      <c r="O494" s="2" t="str">
        <f>VLOOKUP(L494,'Data Info'!$A$1:$C$8,3,0)</f>
        <v>Weekday</v>
      </c>
    </row>
    <row r="495">
      <c r="A495" s="4">
        <v>45555.61319444444</v>
      </c>
      <c r="B495" s="9">
        <f>IFERROR(__xludf.DUMMYFUNCTION("SPLIT(A495,"" "")"),45555.0)</f>
        <v>45555</v>
      </c>
      <c r="C495" s="10">
        <f>IFERROR(__xludf.DUMMYFUNCTION("""COMPUTED_VALUE"""),0.6131944444444445)</f>
        <v>0.6131944444</v>
      </c>
      <c r="D495" s="2">
        <f t="shared" si="1"/>
        <v>14</v>
      </c>
      <c r="E495" s="2">
        <f>IFERROR(__xludf.DUMMYFUNCTION("SPLIT(B495,""/"")"),20.0)</f>
        <v>20</v>
      </c>
      <c r="F495" s="2">
        <f>IFERROR(__xludf.DUMMYFUNCTION("""COMPUTED_VALUE"""),9.0)</f>
        <v>9</v>
      </c>
      <c r="G495" s="2">
        <f>IFERROR(__xludf.DUMMYFUNCTION("""COMPUTED_VALUE"""),2024.0)</f>
        <v>2024</v>
      </c>
      <c r="H495" s="2" t="str">
        <f t="shared" si="2"/>
        <v>2024/9/20</v>
      </c>
      <c r="I495" s="2" t="s">
        <v>1587</v>
      </c>
      <c r="J495" s="2" t="str">
        <f t="shared" si="3"/>
        <v>Tahu Lada Garam</v>
      </c>
      <c r="K495" s="7">
        <f>if(RIGHT(I495,5)="2 pcs",2,Data!I495)</f>
        <v>1</v>
      </c>
      <c r="L495" s="2" t="str">
        <f t="shared" si="4"/>
        <v>Friday</v>
      </c>
      <c r="M495" s="2" t="str">
        <f t="shared" si="5"/>
        <v>20</v>
      </c>
      <c r="N495" s="2">
        <f>VLOOKUP(L495,'Data Info'!$A$1:$B$8,2,0)</f>
        <v>5</v>
      </c>
      <c r="O495" s="2" t="str">
        <f>VLOOKUP(L495,'Data Info'!$A$1:$C$8,3,0)</f>
        <v>Weekday</v>
      </c>
    </row>
    <row r="496">
      <c r="A496" s="4">
        <v>45555.604166666664</v>
      </c>
      <c r="B496" s="9">
        <f>IFERROR(__xludf.DUMMYFUNCTION("SPLIT(A496,"" "")"),45555.0)</f>
        <v>45555</v>
      </c>
      <c r="C496" s="10">
        <f>IFERROR(__xludf.DUMMYFUNCTION("""COMPUTED_VALUE"""),0.6041666666666666)</f>
        <v>0.6041666667</v>
      </c>
      <c r="D496" s="2">
        <f t="shared" si="1"/>
        <v>14</v>
      </c>
      <c r="E496" s="2">
        <f>IFERROR(__xludf.DUMMYFUNCTION("SPLIT(B496,""/"")"),20.0)</f>
        <v>20</v>
      </c>
      <c r="F496" s="2">
        <f>IFERROR(__xludf.DUMMYFUNCTION("""COMPUTED_VALUE"""),9.0)</f>
        <v>9</v>
      </c>
      <c r="G496" s="2">
        <f>IFERROR(__xludf.DUMMYFUNCTION("""COMPUTED_VALUE"""),2024.0)</f>
        <v>2024</v>
      </c>
      <c r="H496" s="2" t="str">
        <f t="shared" si="2"/>
        <v>2024/9/20</v>
      </c>
      <c r="I496" s="2" t="s">
        <v>1573</v>
      </c>
      <c r="J496" s="2" t="str">
        <f t="shared" si="3"/>
        <v>Air mineral</v>
      </c>
      <c r="K496" s="7">
        <f>if(RIGHT(I496,5)="2 pcs",2,Data!I496)</f>
        <v>1</v>
      </c>
      <c r="L496" s="2" t="str">
        <f t="shared" si="4"/>
        <v>Friday</v>
      </c>
      <c r="M496" s="2" t="str">
        <f t="shared" si="5"/>
        <v>20</v>
      </c>
      <c r="N496" s="2">
        <f>VLOOKUP(L496,'Data Info'!$A$1:$B$8,2,0)</f>
        <v>5</v>
      </c>
      <c r="O496" s="2" t="str">
        <f>VLOOKUP(L496,'Data Info'!$A$1:$C$8,3,0)</f>
        <v>Weekday</v>
      </c>
    </row>
    <row r="497">
      <c r="A497" s="4">
        <v>45555.600694444445</v>
      </c>
      <c r="B497" s="9">
        <f>IFERROR(__xludf.DUMMYFUNCTION("SPLIT(A497,"" "")"),45555.0)</f>
        <v>45555</v>
      </c>
      <c r="C497" s="10">
        <f>IFERROR(__xludf.DUMMYFUNCTION("""COMPUTED_VALUE"""),0.6006944444444444)</f>
        <v>0.6006944444</v>
      </c>
      <c r="D497" s="2">
        <f t="shared" si="1"/>
        <v>14</v>
      </c>
      <c r="E497" s="2">
        <f>IFERROR(__xludf.DUMMYFUNCTION("SPLIT(B497,""/"")"),20.0)</f>
        <v>20</v>
      </c>
      <c r="F497" s="2">
        <f>IFERROR(__xludf.DUMMYFUNCTION("""COMPUTED_VALUE"""),9.0)</f>
        <v>9</v>
      </c>
      <c r="G497" s="2">
        <f>IFERROR(__xludf.DUMMYFUNCTION("""COMPUTED_VALUE"""),2024.0)</f>
        <v>2024</v>
      </c>
      <c r="H497" s="2" t="str">
        <f t="shared" si="2"/>
        <v>2024/9/20</v>
      </c>
      <c r="I497" s="2" t="s">
        <v>1596</v>
      </c>
      <c r="J497" s="2" t="str">
        <f t="shared" si="3"/>
        <v>Roti Cranberry</v>
      </c>
      <c r="K497" s="7">
        <f>if(RIGHT(I497,5)="2 pcs",2,Data!I497)</f>
        <v>2</v>
      </c>
      <c r="L497" s="2" t="str">
        <f t="shared" si="4"/>
        <v>Friday</v>
      </c>
      <c r="M497" s="2" t="str">
        <f t="shared" si="5"/>
        <v>20</v>
      </c>
      <c r="N497" s="2">
        <f>VLOOKUP(L497,'Data Info'!$A$1:$B$8,2,0)</f>
        <v>5</v>
      </c>
      <c r="O497" s="2" t="str">
        <f>VLOOKUP(L497,'Data Info'!$A$1:$C$8,3,0)</f>
        <v>Weekday</v>
      </c>
    </row>
    <row r="498">
      <c r="A498" s="4">
        <v>45555.589583333334</v>
      </c>
      <c r="B498" s="9">
        <f>IFERROR(__xludf.DUMMYFUNCTION("SPLIT(A498,"" "")"),45555.0)</f>
        <v>45555</v>
      </c>
      <c r="C498" s="10">
        <f>IFERROR(__xludf.DUMMYFUNCTION("""COMPUTED_VALUE"""),0.5895833333333333)</f>
        <v>0.5895833333</v>
      </c>
      <c r="D498" s="2">
        <f t="shared" si="1"/>
        <v>14</v>
      </c>
      <c r="E498" s="2">
        <f>IFERROR(__xludf.DUMMYFUNCTION("SPLIT(B498,""/"")"),20.0)</f>
        <v>20</v>
      </c>
      <c r="F498" s="2">
        <f>IFERROR(__xludf.DUMMYFUNCTION("""COMPUTED_VALUE"""),9.0)</f>
        <v>9</v>
      </c>
      <c r="G498" s="2">
        <f>IFERROR(__xludf.DUMMYFUNCTION("""COMPUTED_VALUE"""),2024.0)</f>
        <v>2024</v>
      </c>
      <c r="H498" s="2" t="str">
        <f t="shared" si="2"/>
        <v>2024/9/20</v>
      </c>
      <c r="I498" s="2" t="s">
        <v>1611</v>
      </c>
      <c r="J498" s="2" t="str">
        <f t="shared" si="3"/>
        <v>Beef Claypot Rice</v>
      </c>
      <c r="K498" s="7">
        <f>if(RIGHT(I498,5)="2 pcs",2,Data!I498)</f>
        <v>1</v>
      </c>
      <c r="L498" s="2" t="str">
        <f t="shared" si="4"/>
        <v>Friday</v>
      </c>
      <c r="M498" s="2" t="str">
        <f t="shared" si="5"/>
        <v>20</v>
      </c>
      <c r="N498" s="2">
        <f>VLOOKUP(L498,'Data Info'!$A$1:$B$8,2,0)</f>
        <v>5</v>
      </c>
      <c r="O498" s="2" t="str">
        <f>VLOOKUP(L498,'Data Info'!$A$1:$C$8,3,0)</f>
        <v>Weekday</v>
      </c>
    </row>
    <row r="499">
      <c r="A499" s="4">
        <v>45555.589583333334</v>
      </c>
      <c r="B499" s="9">
        <f>IFERROR(__xludf.DUMMYFUNCTION("SPLIT(A499,"" "")"),45555.0)</f>
        <v>45555</v>
      </c>
      <c r="C499" s="10">
        <f>IFERROR(__xludf.DUMMYFUNCTION("""COMPUTED_VALUE"""),0.5895833333333333)</f>
        <v>0.5895833333</v>
      </c>
      <c r="D499" s="2">
        <f t="shared" si="1"/>
        <v>14</v>
      </c>
      <c r="E499" s="2">
        <f>IFERROR(__xludf.DUMMYFUNCTION("SPLIT(B499,""/"")"),20.0)</f>
        <v>20</v>
      </c>
      <c r="F499" s="2">
        <f>IFERROR(__xludf.DUMMYFUNCTION("""COMPUTED_VALUE"""),9.0)</f>
        <v>9</v>
      </c>
      <c r="G499" s="2">
        <f>IFERROR(__xludf.DUMMYFUNCTION("""COMPUTED_VALUE"""),2024.0)</f>
        <v>2024</v>
      </c>
      <c r="H499" s="2" t="str">
        <f t="shared" si="2"/>
        <v>2024/9/20</v>
      </c>
      <c r="I499" s="2" t="s">
        <v>1603</v>
      </c>
      <c r="J499" s="2" t="str">
        <f t="shared" si="3"/>
        <v>Nasi Goreng Temu</v>
      </c>
      <c r="K499" s="7">
        <f>if(RIGHT(I499,5)="2 pcs",2,Data!I499)</f>
        <v>1</v>
      </c>
      <c r="L499" s="2" t="str">
        <f t="shared" si="4"/>
        <v>Friday</v>
      </c>
      <c r="M499" s="2" t="str">
        <f t="shared" si="5"/>
        <v>20</v>
      </c>
      <c r="N499" s="2">
        <f>VLOOKUP(L499,'Data Info'!$A$1:$B$8,2,0)</f>
        <v>5</v>
      </c>
      <c r="O499" s="2" t="str">
        <f>VLOOKUP(L499,'Data Info'!$A$1:$C$8,3,0)</f>
        <v>Weekday</v>
      </c>
    </row>
    <row r="500">
      <c r="A500" s="4">
        <v>45555.589583333334</v>
      </c>
      <c r="B500" s="9">
        <f>IFERROR(__xludf.DUMMYFUNCTION("SPLIT(A500,"" "")"),45555.0)</f>
        <v>45555</v>
      </c>
      <c r="C500" s="10">
        <f>IFERROR(__xludf.DUMMYFUNCTION("""COMPUTED_VALUE"""),0.5895833333333333)</f>
        <v>0.5895833333</v>
      </c>
      <c r="D500" s="2">
        <f t="shared" si="1"/>
        <v>14</v>
      </c>
      <c r="E500" s="2">
        <f>IFERROR(__xludf.DUMMYFUNCTION("SPLIT(B500,""/"")"),20.0)</f>
        <v>20</v>
      </c>
      <c r="F500" s="2">
        <f>IFERROR(__xludf.DUMMYFUNCTION("""COMPUTED_VALUE"""),9.0)</f>
        <v>9</v>
      </c>
      <c r="G500" s="2">
        <f>IFERROR(__xludf.DUMMYFUNCTION("""COMPUTED_VALUE"""),2024.0)</f>
        <v>2024</v>
      </c>
      <c r="H500" s="2" t="str">
        <f t="shared" si="2"/>
        <v>2024/9/20</v>
      </c>
      <c r="I500" s="2" t="s">
        <v>1604</v>
      </c>
      <c r="J500" s="2" t="str">
        <f t="shared" si="3"/>
        <v>Teh Tawar Panas</v>
      </c>
      <c r="K500" s="7">
        <f>if(RIGHT(I500,5)="2 pcs",2,Data!I500)</f>
        <v>1</v>
      </c>
      <c r="L500" s="2" t="str">
        <f t="shared" si="4"/>
        <v>Friday</v>
      </c>
      <c r="M500" s="2" t="str">
        <f t="shared" si="5"/>
        <v>20</v>
      </c>
      <c r="N500" s="2">
        <f>VLOOKUP(L500,'Data Info'!$A$1:$B$8,2,0)</f>
        <v>5</v>
      </c>
      <c r="O500" s="2" t="str">
        <f>VLOOKUP(L500,'Data Info'!$A$1:$C$8,3,0)</f>
        <v>Weekday</v>
      </c>
    </row>
    <row r="501">
      <c r="A501" s="4">
        <v>45555.589583333334</v>
      </c>
      <c r="B501" s="9">
        <f>IFERROR(__xludf.DUMMYFUNCTION("SPLIT(A501,"" "")"),45555.0)</f>
        <v>45555</v>
      </c>
      <c r="C501" s="10">
        <f>IFERROR(__xludf.DUMMYFUNCTION("""COMPUTED_VALUE"""),0.5895833333333333)</f>
        <v>0.5895833333</v>
      </c>
      <c r="D501" s="2">
        <f t="shared" si="1"/>
        <v>14</v>
      </c>
      <c r="E501" s="2">
        <f>IFERROR(__xludf.DUMMYFUNCTION("SPLIT(B501,""/"")"),20.0)</f>
        <v>20</v>
      </c>
      <c r="F501" s="2">
        <f>IFERROR(__xludf.DUMMYFUNCTION("""COMPUTED_VALUE"""),9.0)</f>
        <v>9</v>
      </c>
      <c r="G501" s="2">
        <f>IFERROR(__xludf.DUMMYFUNCTION("""COMPUTED_VALUE"""),2024.0)</f>
        <v>2024</v>
      </c>
      <c r="H501" s="2" t="str">
        <f t="shared" si="2"/>
        <v>2024/9/20</v>
      </c>
      <c r="I501" s="2" t="s">
        <v>1617</v>
      </c>
      <c r="J501" s="2" t="str">
        <f t="shared" si="3"/>
        <v>Lemon Tea Dingin</v>
      </c>
      <c r="K501" s="7">
        <f>if(RIGHT(I501,5)="2 pcs",2,Data!I501)</f>
        <v>1</v>
      </c>
      <c r="L501" s="2" t="str">
        <f t="shared" si="4"/>
        <v>Friday</v>
      </c>
      <c r="M501" s="2" t="str">
        <f t="shared" si="5"/>
        <v>20</v>
      </c>
      <c r="N501" s="2">
        <f>VLOOKUP(L501,'Data Info'!$A$1:$B$8,2,0)</f>
        <v>5</v>
      </c>
      <c r="O501" s="2" t="str">
        <f>VLOOKUP(L501,'Data Info'!$A$1:$C$8,3,0)</f>
        <v>Weekday</v>
      </c>
    </row>
    <row r="502">
      <c r="A502" s="4">
        <v>45555.589583333334</v>
      </c>
      <c r="B502" s="9">
        <f>IFERROR(__xludf.DUMMYFUNCTION("SPLIT(A502,"" "")"),45555.0)</f>
        <v>45555</v>
      </c>
      <c r="C502" s="10">
        <f>IFERROR(__xludf.DUMMYFUNCTION("""COMPUTED_VALUE"""),0.5895833333333333)</f>
        <v>0.5895833333</v>
      </c>
      <c r="D502" s="2">
        <f t="shared" si="1"/>
        <v>14</v>
      </c>
      <c r="E502" s="2">
        <f>IFERROR(__xludf.DUMMYFUNCTION("SPLIT(B502,""/"")"),20.0)</f>
        <v>20</v>
      </c>
      <c r="F502" s="2">
        <f>IFERROR(__xludf.DUMMYFUNCTION("""COMPUTED_VALUE"""),9.0)</f>
        <v>9</v>
      </c>
      <c r="G502" s="2">
        <f>IFERROR(__xludf.DUMMYFUNCTION("""COMPUTED_VALUE"""),2024.0)</f>
        <v>2024</v>
      </c>
      <c r="H502" s="2" t="str">
        <f t="shared" si="2"/>
        <v>2024/9/20</v>
      </c>
      <c r="I502" s="2" t="s">
        <v>1587</v>
      </c>
      <c r="J502" s="2" t="str">
        <f t="shared" si="3"/>
        <v>Tahu Lada Garam</v>
      </c>
      <c r="K502" s="7">
        <f>if(RIGHT(I502,5)="2 pcs",2,Data!I502)</f>
        <v>1</v>
      </c>
      <c r="L502" s="2" t="str">
        <f t="shared" si="4"/>
        <v>Friday</v>
      </c>
      <c r="M502" s="2" t="str">
        <f t="shared" si="5"/>
        <v>20</v>
      </c>
      <c r="N502" s="2">
        <f>VLOOKUP(L502,'Data Info'!$A$1:$B$8,2,0)</f>
        <v>5</v>
      </c>
      <c r="O502" s="2" t="str">
        <f>VLOOKUP(L502,'Data Info'!$A$1:$C$8,3,0)</f>
        <v>Weekday</v>
      </c>
    </row>
    <row r="503">
      <c r="A503" s="4">
        <v>45555.58819444444</v>
      </c>
      <c r="B503" s="9">
        <f>IFERROR(__xludf.DUMMYFUNCTION("SPLIT(A503,"" "")"),45555.0)</f>
        <v>45555</v>
      </c>
      <c r="C503" s="10">
        <f>IFERROR(__xludf.DUMMYFUNCTION("""COMPUTED_VALUE"""),0.5881944444444445)</f>
        <v>0.5881944444</v>
      </c>
      <c r="D503" s="2">
        <f t="shared" si="1"/>
        <v>14</v>
      </c>
      <c r="E503" s="2">
        <f>IFERROR(__xludf.DUMMYFUNCTION("SPLIT(B503,""/"")"),20.0)</f>
        <v>20</v>
      </c>
      <c r="F503" s="2">
        <f>IFERROR(__xludf.DUMMYFUNCTION("""COMPUTED_VALUE"""),9.0)</f>
        <v>9</v>
      </c>
      <c r="G503" s="2">
        <f>IFERROR(__xludf.DUMMYFUNCTION("""COMPUTED_VALUE"""),2024.0)</f>
        <v>2024</v>
      </c>
      <c r="H503" s="2" t="str">
        <f t="shared" si="2"/>
        <v>2024/9/20</v>
      </c>
      <c r="I503" s="2" t="s">
        <v>1588</v>
      </c>
      <c r="J503" s="2" t="str">
        <f t="shared" si="3"/>
        <v>Es Kopi Susu</v>
      </c>
      <c r="K503" s="7">
        <f>if(RIGHT(I503,5)="2 pcs",2,Data!I503)</f>
        <v>1</v>
      </c>
      <c r="L503" s="2" t="str">
        <f t="shared" si="4"/>
        <v>Friday</v>
      </c>
      <c r="M503" s="2" t="str">
        <f t="shared" si="5"/>
        <v>20</v>
      </c>
      <c r="N503" s="2">
        <f>VLOOKUP(L503,'Data Info'!$A$1:$B$8,2,0)</f>
        <v>5</v>
      </c>
      <c r="O503" s="2" t="str">
        <f>VLOOKUP(L503,'Data Info'!$A$1:$C$8,3,0)</f>
        <v>Weekday</v>
      </c>
    </row>
    <row r="504">
      <c r="A504" s="4">
        <v>45555.58819444444</v>
      </c>
      <c r="B504" s="9">
        <f>IFERROR(__xludf.DUMMYFUNCTION("SPLIT(A504,"" "")"),45555.0)</f>
        <v>45555</v>
      </c>
      <c r="C504" s="10">
        <f>IFERROR(__xludf.DUMMYFUNCTION("""COMPUTED_VALUE"""),0.5881944444444445)</f>
        <v>0.5881944444</v>
      </c>
      <c r="D504" s="2">
        <f t="shared" si="1"/>
        <v>14</v>
      </c>
      <c r="E504" s="2">
        <f>IFERROR(__xludf.DUMMYFUNCTION("SPLIT(B504,""/"")"),20.0)</f>
        <v>20</v>
      </c>
      <c r="F504" s="2">
        <f>IFERROR(__xludf.DUMMYFUNCTION("""COMPUTED_VALUE"""),9.0)</f>
        <v>9</v>
      </c>
      <c r="G504" s="2">
        <f>IFERROR(__xludf.DUMMYFUNCTION("""COMPUTED_VALUE"""),2024.0)</f>
        <v>2024</v>
      </c>
      <c r="H504" s="2" t="str">
        <f t="shared" si="2"/>
        <v>2024/9/20</v>
      </c>
      <c r="I504" s="2" t="s">
        <v>1606</v>
      </c>
      <c r="J504" s="2" t="str">
        <f t="shared" si="3"/>
        <v>Pisang Goreng</v>
      </c>
      <c r="K504" s="7">
        <f>if(RIGHT(I504,5)="2 pcs",2,Data!I504)</f>
        <v>1</v>
      </c>
      <c r="L504" s="2" t="str">
        <f t="shared" si="4"/>
        <v>Friday</v>
      </c>
      <c r="M504" s="2" t="str">
        <f t="shared" si="5"/>
        <v>20</v>
      </c>
      <c r="N504" s="2">
        <f>VLOOKUP(L504,'Data Info'!$A$1:$B$8,2,0)</f>
        <v>5</v>
      </c>
      <c r="O504" s="2" t="str">
        <f>VLOOKUP(L504,'Data Info'!$A$1:$C$8,3,0)</f>
        <v>Weekday</v>
      </c>
    </row>
    <row r="505">
      <c r="A505" s="4">
        <v>45555.53194444445</v>
      </c>
      <c r="B505" s="9">
        <f>IFERROR(__xludf.DUMMYFUNCTION("SPLIT(A505,"" "")"),45555.0)</f>
        <v>45555</v>
      </c>
      <c r="C505" s="10">
        <f>IFERROR(__xludf.DUMMYFUNCTION("""COMPUTED_VALUE"""),0.5319444444444444)</f>
        <v>0.5319444444</v>
      </c>
      <c r="D505" s="2">
        <f t="shared" si="1"/>
        <v>12</v>
      </c>
      <c r="E505" s="2">
        <f>IFERROR(__xludf.DUMMYFUNCTION("SPLIT(B505,""/"")"),20.0)</f>
        <v>20</v>
      </c>
      <c r="F505" s="2">
        <f>IFERROR(__xludf.DUMMYFUNCTION("""COMPUTED_VALUE"""),9.0)</f>
        <v>9</v>
      </c>
      <c r="G505" s="2">
        <f>IFERROR(__xludf.DUMMYFUNCTION("""COMPUTED_VALUE"""),2024.0)</f>
        <v>2024</v>
      </c>
      <c r="H505" s="2" t="str">
        <f t="shared" si="2"/>
        <v>2024/9/20</v>
      </c>
      <c r="I505" s="2" t="s">
        <v>1588</v>
      </c>
      <c r="J505" s="2" t="str">
        <f t="shared" si="3"/>
        <v>Es Kopi Susu</v>
      </c>
      <c r="K505" s="7">
        <f>if(RIGHT(I505,5)="2 pcs",2,Data!I505)</f>
        <v>1</v>
      </c>
      <c r="L505" s="2" t="str">
        <f t="shared" si="4"/>
        <v>Friday</v>
      </c>
      <c r="M505" s="2" t="str">
        <f t="shared" si="5"/>
        <v>20</v>
      </c>
      <c r="N505" s="2">
        <f>VLOOKUP(L505,'Data Info'!$A$1:$B$8,2,0)</f>
        <v>5</v>
      </c>
      <c r="O505" s="2" t="str">
        <f>VLOOKUP(L505,'Data Info'!$A$1:$C$8,3,0)</f>
        <v>Weekday</v>
      </c>
    </row>
    <row r="506">
      <c r="A506" s="4">
        <v>45555.52569444444</v>
      </c>
      <c r="B506" s="9">
        <f>IFERROR(__xludf.DUMMYFUNCTION("SPLIT(A506,"" "")"),45555.0)</f>
        <v>45555</v>
      </c>
      <c r="C506" s="10">
        <f>IFERROR(__xludf.DUMMYFUNCTION("""COMPUTED_VALUE"""),0.5256944444444445)</f>
        <v>0.5256944444</v>
      </c>
      <c r="D506" s="2">
        <f t="shared" si="1"/>
        <v>12</v>
      </c>
      <c r="E506" s="2">
        <f>IFERROR(__xludf.DUMMYFUNCTION("SPLIT(B506,""/"")"),20.0)</f>
        <v>20</v>
      </c>
      <c r="F506" s="2">
        <f>IFERROR(__xludf.DUMMYFUNCTION("""COMPUTED_VALUE"""),9.0)</f>
        <v>9</v>
      </c>
      <c r="G506" s="2">
        <f>IFERROR(__xludf.DUMMYFUNCTION("""COMPUTED_VALUE"""),2024.0)</f>
        <v>2024</v>
      </c>
      <c r="H506" s="2" t="str">
        <f t="shared" si="2"/>
        <v>2024/9/20</v>
      </c>
      <c r="I506" s="2" t="s">
        <v>1576</v>
      </c>
      <c r="J506" s="2" t="str">
        <f t="shared" si="3"/>
        <v>Roti Cranberry</v>
      </c>
      <c r="K506" s="7">
        <f>if(RIGHT(I506,5)="2 pcs",2,Data!I506)</f>
        <v>1</v>
      </c>
      <c r="L506" s="2" t="str">
        <f t="shared" si="4"/>
        <v>Friday</v>
      </c>
      <c r="M506" s="2" t="str">
        <f t="shared" si="5"/>
        <v>20</v>
      </c>
      <c r="N506" s="2">
        <f>VLOOKUP(L506,'Data Info'!$A$1:$B$8,2,0)</f>
        <v>5</v>
      </c>
      <c r="O506" s="2" t="str">
        <f>VLOOKUP(L506,'Data Info'!$A$1:$C$8,3,0)</f>
        <v>Weekday</v>
      </c>
    </row>
    <row r="507">
      <c r="A507" s="4">
        <v>45555.52569444444</v>
      </c>
      <c r="B507" s="9">
        <f>IFERROR(__xludf.DUMMYFUNCTION("SPLIT(A507,"" "")"),45555.0)</f>
        <v>45555</v>
      </c>
      <c r="C507" s="10">
        <f>IFERROR(__xludf.DUMMYFUNCTION("""COMPUTED_VALUE"""),0.5256944444444445)</f>
        <v>0.5256944444</v>
      </c>
      <c r="D507" s="2">
        <f t="shared" si="1"/>
        <v>12</v>
      </c>
      <c r="E507" s="2">
        <f>IFERROR(__xludf.DUMMYFUNCTION("SPLIT(B507,""/"")"),20.0)</f>
        <v>20</v>
      </c>
      <c r="F507" s="2">
        <f>IFERROR(__xludf.DUMMYFUNCTION("""COMPUTED_VALUE"""),9.0)</f>
        <v>9</v>
      </c>
      <c r="G507" s="2">
        <f>IFERROR(__xludf.DUMMYFUNCTION("""COMPUTED_VALUE"""),2024.0)</f>
        <v>2024</v>
      </c>
      <c r="H507" s="2" t="str">
        <f t="shared" si="2"/>
        <v>2024/9/20</v>
      </c>
      <c r="I507" s="2" t="s">
        <v>1595</v>
      </c>
      <c r="J507" s="2" t="str">
        <f t="shared" si="3"/>
        <v>Roti Gandum Cokelat</v>
      </c>
      <c r="K507" s="7">
        <f>if(RIGHT(I507,5)="2 pcs",2,Data!I507)</f>
        <v>1</v>
      </c>
      <c r="L507" s="2" t="str">
        <f t="shared" si="4"/>
        <v>Friday</v>
      </c>
      <c r="M507" s="2" t="str">
        <f t="shared" si="5"/>
        <v>20</v>
      </c>
      <c r="N507" s="2">
        <f>VLOOKUP(L507,'Data Info'!$A$1:$B$8,2,0)</f>
        <v>5</v>
      </c>
      <c r="O507" s="2" t="str">
        <f>VLOOKUP(L507,'Data Info'!$A$1:$C$8,3,0)</f>
        <v>Weekday</v>
      </c>
    </row>
    <row r="508">
      <c r="A508" s="4">
        <v>45555.524305555555</v>
      </c>
      <c r="B508" s="9">
        <f>IFERROR(__xludf.DUMMYFUNCTION("SPLIT(A508,"" "")"),45555.0)</f>
        <v>45555</v>
      </c>
      <c r="C508" s="10">
        <f>IFERROR(__xludf.DUMMYFUNCTION("""COMPUTED_VALUE"""),0.5243055555555556)</f>
        <v>0.5243055556</v>
      </c>
      <c r="D508" s="2">
        <f t="shared" si="1"/>
        <v>12</v>
      </c>
      <c r="E508" s="2">
        <f>IFERROR(__xludf.DUMMYFUNCTION("SPLIT(B508,""/"")"),20.0)</f>
        <v>20</v>
      </c>
      <c r="F508" s="2">
        <f>IFERROR(__xludf.DUMMYFUNCTION("""COMPUTED_VALUE"""),9.0)</f>
        <v>9</v>
      </c>
      <c r="G508" s="2">
        <f>IFERROR(__xludf.DUMMYFUNCTION("""COMPUTED_VALUE"""),2024.0)</f>
        <v>2024</v>
      </c>
      <c r="H508" s="2" t="str">
        <f t="shared" si="2"/>
        <v>2024/9/20</v>
      </c>
      <c r="I508" s="2" t="s">
        <v>1579</v>
      </c>
      <c r="J508" s="2" t="str">
        <f t="shared" si="3"/>
        <v>Tahu baso</v>
      </c>
      <c r="K508" s="7">
        <f>if(RIGHT(I508,5)="2 pcs",2,Data!I508)</f>
        <v>1</v>
      </c>
      <c r="L508" s="2" t="str">
        <f t="shared" si="4"/>
        <v>Friday</v>
      </c>
      <c r="M508" s="2" t="str">
        <f t="shared" si="5"/>
        <v>20</v>
      </c>
      <c r="N508" s="2">
        <f>VLOOKUP(L508,'Data Info'!$A$1:$B$8,2,0)</f>
        <v>5</v>
      </c>
      <c r="O508" s="2" t="str">
        <f>VLOOKUP(L508,'Data Info'!$A$1:$C$8,3,0)</f>
        <v>Weekday</v>
      </c>
    </row>
    <row r="509">
      <c r="A509" s="4">
        <v>45555.524305555555</v>
      </c>
      <c r="B509" s="9">
        <f>IFERROR(__xludf.DUMMYFUNCTION("SPLIT(A509,"" "")"),45555.0)</f>
        <v>45555</v>
      </c>
      <c r="C509" s="10">
        <f>IFERROR(__xludf.DUMMYFUNCTION("""COMPUTED_VALUE"""),0.5243055555555556)</f>
        <v>0.5243055556</v>
      </c>
      <c r="D509" s="2">
        <f t="shared" si="1"/>
        <v>12</v>
      </c>
      <c r="E509" s="2">
        <f>IFERROR(__xludf.DUMMYFUNCTION("SPLIT(B509,""/"")"),20.0)</f>
        <v>20</v>
      </c>
      <c r="F509" s="2">
        <f>IFERROR(__xludf.DUMMYFUNCTION("""COMPUTED_VALUE"""),9.0)</f>
        <v>9</v>
      </c>
      <c r="G509" s="2">
        <f>IFERROR(__xludf.DUMMYFUNCTION("""COMPUTED_VALUE"""),2024.0)</f>
        <v>2024</v>
      </c>
      <c r="H509" s="2" t="str">
        <f t="shared" si="2"/>
        <v>2024/9/20</v>
      </c>
      <c r="I509" s="2" t="s">
        <v>1577</v>
      </c>
      <c r="J509" s="2" t="str">
        <f t="shared" si="3"/>
        <v>Rempah Madu Panas</v>
      </c>
      <c r="K509" s="7">
        <f>if(RIGHT(I509,5)="2 pcs",2,Data!I509)</f>
        <v>1</v>
      </c>
      <c r="L509" s="2" t="str">
        <f t="shared" si="4"/>
        <v>Friday</v>
      </c>
      <c r="M509" s="2" t="str">
        <f t="shared" si="5"/>
        <v>20</v>
      </c>
      <c r="N509" s="2">
        <f>VLOOKUP(L509,'Data Info'!$A$1:$B$8,2,0)</f>
        <v>5</v>
      </c>
      <c r="O509" s="2" t="str">
        <f>VLOOKUP(L509,'Data Info'!$A$1:$C$8,3,0)</f>
        <v>Weekday</v>
      </c>
    </row>
    <row r="510">
      <c r="A510" s="4">
        <v>45555.50763888889</v>
      </c>
      <c r="B510" s="9">
        <f>IFERROR(__xludf.DUMMYFUNCTION("SPLIT(A510,"" "")"),45555.0)</f>
        <v>45555</v>
      </c>
      <c r="C510" s="10">
        <f>IFERROR(__xludf.DUMMYFUNCTION("""COMPUTED_VALUE"""),0.5076388888888889)</f>
        <v>0.5076388889</v>
      </c>
      <c r="D510" s="2">
        <f t="shared" si="1"/>
        <v>12</v>
      </c>
      <c r="E510" s="2">
        <f>IFERROR(__xludf.DUMMYFUNCTION("SPLIT(B510,""/"")"),20.0)</f>
        <v>20</v>
      </c>
      <c r="F510" s="2">
        <f>IFERROR(__xludf.DUMMYFUNCTION("""COMPUTED_VALUE"""),9.0)</f>
        <v>9</v>
      </c>
      <c r="G510" s="2">
        <f>IFERROR(__xludf.DUMMYFUNCTION("""COMPUTED_VALUE"""),2024.0)</f>
        <v>2024</v>
      </c>
      <c r="H510" s="2" t="str">
        <f t="shared" si="2"/>
        <v>2024/9/20</v>
      </c>
      <c r="I510" s="2" t="s">
        <v>1611</v>
      </c>
      <c r="J510" s="2" t="str">
        <f t="shared" si="3"/>
        <v>Beef Claypot Rice</v>
      </c>
      <c r="K510" s="7">
        <f>if(RIGHT(I510,5)="2 pcs",2,Data!I510)</f>
        <v>2</v>
      </c>
      <c r="L510" s="2" t="str">
        <f t="shared" si="4"/>
        <v>Friday</v>
      </c>
      <c r="M510" s="2" t="str">
        <f t="shared" si="5"/>
        <v>20</v>
      </c>
      <c r="N510" s="2">
        <f>VLOOKUP(L510,'Data Info'!$A$1:$B$8,2,0)</f>
        <v>5</v>
      </c>
      <c r="O510" s="2" t="str">
        <f>VLOOKUP(L510,'Data Info'!$A$1:$C$8,3,0)</f>
        <v>Weekday</v>
      </c>
    </row>
    <row r="511">
      <c r="A511" s="4">
        <v>45555.50763888889</v>
      </c>
      <c r="B511" s="9">
        <f>IFERROR(__xludf.DUMMYFUNCTION("SPLIT(A511,"" "")"),45555.0)</f>
        <v>45555</v>
      </c>
      <c r="C511" s="10">
        <f>IFERROR(__xludf.DUMMYFUNCTION("""COMPUTED_VALUE"""),0.5076388888888889)</f>
        <v>0.5076388889</v>
      </c>
      <c r="D511" s="2">
        <f t="shared" si="1"/>
        <v>12</v>
      </c>
      <c r="E511" s="2">
        <f>IFERROR(__xludf.DUMMYFUNCTION("SPLIT(B511,""/"")"),20.0)</f>
        <v>20</v>
      </c>
      <c r="F511" s="2">
        <f>IFERROR(__xludf.DUMMYFUNCTION("""COMPUTED_VALUE"""),9.0)</f>
        <v>9</v>
      </c>
      <c r="G511" s="2">
        <f>IFERROR(__xludf.DUMMYFUNCTION("""COMPUTED_VALUE"""),2024.0)</f>
        <v>2024</v>
      </c>
      <c r="H511" s="2" t="str">
        <f t="shared" si="2"/>
        <v>2024/9/20</v>
      </c>
      <c r="I511" s="2" t="s">
        <v>1601</v>
      </c>
      <c r="J511" s="2" t="str">
        <f t="shared" si="3"/>
        <v>Gula Asam Dingin</v>
      </c>
      <c r="K511" s="7">
        <f>if(RIGHT(I511,5)="2 pcs",2,Data!I511)</f>
        <v>1</v>
      </c>
      <c r="L511" s="2" t="str">
        <f t="shared" si="4"/>
        <v>Friday</v>
      </c>
      <c r="M511" s="2" t="str">
        <f t="shared" si="5"/>
        <v>20</v>
      </c>
      <c r="N511" s="2">
        <f>VLOOKUP(L511,'Data Info'!$A$1:$B$8,2,0)</f>
        <v>5</v>
      </c>
      <c r="O511" s="2" t="str">
        <f>VLOOKUP(L511,'Data Info'!$A$1:$C$8,3,0)</f>
        <v>Weekday</v>
      </c>
    </row>
    <row r="512">
      <c r="A512" s="4">
        <v>45555.50763888889</v>
      </c>
      <c r="B512" s="9">
        <f>IFERROR(__xludf.DUMMYFUNCTION("SPLIT(A512,"" "")"),45555.0)</f>
        <v>45555</v>
      </c>
      <c r="C512" s="10">
        <f>IFERROR(__xludf.DUMMYFUNCTION("""COMPUTED_VALUE"""),0.5076388888888889)</f>
        <v>0.5076388889</v>
      </c>
      <c r="D512" s="2">
        <f t="shared" si="1"/>
        <v>12</v>
      </c>
      <c r="E512" s="2">
        <f>IFERROR(__xludf.DUMMYFUNCTION("SPLIT(B512,""/"")"),20.0)</f>
        <v>20</v>
      </c>
      <c r="F512" s="2">
        <f>IFERROR(__xludf.DUMMYFUNCTION("""COMPUTED_VALUE"""),9.0)</f>
        <v>9</v>
      </c>
      <c r="G512" s="2">
        <f>IFERROR(__xludf.DUMMYFUNCTION("""COMPUTED_VALUE"""),2024.0)</f>
        <v>2024</v>
      </c>
      <c r="H512" s="2" t="str">
        <f t="shared" si="2"/>
        <v>2024/9/20</v>
      </c>
      <c r="I512" s="2" t="s">
        <v>1599</v>
      </c>
      <c r="J512" s="2" t="str">
        <f t="shared" si="3"/>
        <v>Rempah Madu Dingin</v>
      </c>
      <c r="K512" s="7">
        <f>if(RIGHT(I512,5)="2 pcs",2,Data!I512)</f>
        <v>1</v>
      </c>
      <c r="L512" s="2" t="str">
        <f t="shared" si="4"/>
        <v>Friday</v>
      </c>
      <c r="M512" s="2" t="str">
        <f t="shared" si="5"/>
        <v>20</v>
      </c>
      <c r="N512" s="2">
        <f>VLOOKUP(L512,'Data Info'!$A$1:$B$8,2,0)</f>
        <v>5</v>
      </c>
      <c r="O512" s="2" t="str">
        <f>VLOOKUP(L512,'Data Info'!$A$1:$C$8,3,0)</f>
        <v>Weekday</v>
      </c>
    </row>
    <row r="513">
      <c r="A513" s="4">
        <v>45555.42222222222</v>
      </c>
      <c r="B513" s="9">
        <f>IFERROR(__xludf.DUMMYFUNCTION("SPLIT(A513,"" "")"),45555.0)</f>
        <v>45555</v>
      </c>
      <c r="C513" s="10">
        <f>IFERROR(__xludf.DUMMYFUNCTION("""COMPUTED_VALUE"""),0.4222222222222222)</f>
        <v>0.4222222222</v>
      </c>
      <c r="D513" s="2">
        <f t="shared" si="1"/>
        <v>10</v>
      </c>
      <c r="E513" s="2">
        <f>IFERROR(__xludf.DUMMYFUNCTION("SPLIT(B513,""/"")"),20.0)</f>
        <v>20</v>
      </c>
      <c r="F513" s="2">
        <f>IFERROR(__xludf.DUMMYFUNCTION("""COMPUTED_VALUE"""),9.0)</f>
        <v>9</v>
      </c>
      <c r="G513" s="2">
        <f>IFERROR(__xludf.DUMMYFUNCTION("""COMPUTED_VALUE"""),2024.0)</f>
        <v>2024</v>
      </c>
      <c r="H513" s="2" t="str">
        <f t="shared" si="2"/>
        <v>2024/9/20</v>
      </c>
      <c r="I513" s="2" t="s">
        <v>1610</v>
      </c>
      <c r="J513" s="2" t="str">
        <f t="shared" si="3"/>
        <v>Roti toast eskrim</v>
      </c>
      <c r="K513" s="7">
        <f>if(RIGHT(I513,5)="2 pcs",2,Data!I513)</f>
        <v>1</v>
      </c>
      <c r="L513" s="2" t="str">
        <f t="shared" si="4"/>
        <v>Friday</v>
      </c>
      <c r="M513" s="2" t="str">
        <f t="shared" si="5"/>
        <v>20</v>
      </c>
      <c r="N513" s="2">
        <f>VLOOKUP(L513,'Data Info'!$A$1:$B$8,2,0)</f>
        <v>5</v>
      </c>
      <c r="O513" s="2" t="str">
        <f>VLOOKUP(L513,'Data Info'!$A$1:$C$8,3,0)</f>
        <v>Weekday</v>
      </c>
    </row>
    <row r="514">
      <c r="A514" s="4">
        <v>45555.42222222222</v>
      </c>
      <c r="B514" s="9">
        <f>IFERROR(__xludf.DUMMYFUNCTION("SPLIT(A514,"" "")"),45555.0)</f>
        <v>45555</v>
      </c>
      <c r="C514" s="10">
        <f>IFERROR(__xludf.DUMMYFUNCTION("""COMPUTED_VALUE"""),0.4222222222222222)</f>
        <v>0.4222222222</v>
      </c>
      <c r="D514" s="2">
        <f t="shared" si="1"/>
        <v>10</v>
      </c>
      <c r="E514" s="2">
        <f>IFERROR(__xludf.DUMMYFUNCTION("SPLIT(B514,""/"")"),20.0)</f>
        <v>20</v>
      </c>
      <c r="F514" s="2">
        <f>IFERROR(__xludf.DUMMYFUNCTION("""COMPUTED_VALUE"""),9.0)</f>
        <v>9</v>
      </c>
      <c r="G514" s="2">
        <f>IFERROR(__xludf.DUMMYFUNCTION("""COMPUTED_VALUE"""),2024.0)</f>
        <v>2024</v>
      </c>
      <c r="H514" s="2" t="str">
        <f t="shared" si="2"/>
        <v>2024/9/20</v>
      </c>
      <c r="I514" s="2" t="s">
        <v>1576</v>
      </c>
      <c r="J514" s="2" t="str">
        <f t="shared" si="3"/>
        <v>Roti Cranberry</v>
      </c>
      <c r="K514" s="7">
        <f>if(RIGHT(I514,5)="2 pcs",2,Data!I514)</f>
        <v>1</v>
      </c>
      <c r="L514" s="2" t="str">
        <f t="shared" si="4"/>
        <v>Friday</v>
      </c>
      <c r="M514" s="2" t="str">
        <f t="shared" si="5"/>
        <v>20</v>
      </c>
      <c r="N514" s="2">
        <f>VLOOKUP(L514,'Data Info'!$A$1:$B$8,2,0)</f>
        <v>5</v>
      </c>
      <c r="O514" s="2" t="str">
        <f>VLOOKUP(L514,'Data Info'!$A$1:$C$8,3,0)</f>
        <v>Weekday</v>
      </c>
    </row>
    <row r="515">
      <c r="A515" s="4">
        <v>45555.42222222222</v>
      </c>
      <c r="B515" s="9">
        <f>IFERROR(__xludf.DUMMYFUNCTION("SPLIT(A515,"" "")"),45555.0)</f>
        <v>45555</v>
      </c>
      <c r="C515" s="10">
        <f>IFERROR(__xludf.DUMMYFUNCTION("""COMPUTED_VALUE"""),0.4222222222222222)</f>
        <v>0.4222222222</v>
      </c>
      <c r="D515" s="2">
        <f t="shared" si="1"/>
        <v>10</v>
      </c>
      <c r="E515" s="2">
        <f>IFERROR(__xludf.DUMMYFUNCTION("SPLIT(B515,""/"")"),20.0)</f>
        <v>20</v>
      </c>
      <c r="F515" s="2">
        <f>IFERROR(__xludf.DUMMYFUNCTION("""COMPUTED_VALUE"""),9.0)</f>
        <v>9</v>
      </c>
      <c r="G515" s="2">
        <f>IFERROR(__xludf.DUMMYFUNCTION("""COMPUTED_VALUE"""),2024.0)</f>
        <v>2024</v>
      </c>
      <c r="H515" s="2" t="str">
        <f t="shared" si="2"/>
        <v>2024/9/20</v>
      </c>
      <c r="I515" s="2" t="s">
        <v>1588</v>
      </c>
      <c r="J515" s="2" t="str">
        <f t="shared" si="3"/>
        <v>Es Kopi Susu</v>
      </c>
      <c r="K515" s="7">
        <f>if(RIGHT(I515,5)="2 pcs",2,Data!I515)</f>
        <v>1</v>
      </c>
      <c r="L515" s="2" t="str">
        <f t="shared" si="4"/>
        <v>Friday</v>
      </c>
      <c r="M515" s="2" t="str">
        <f t="shared" si="5"/>
        <v>20</v>
      </c>
      <c r="N515" s="2">
        <f>VLOOKUP(L515,'Data Info'!$A$1:$B$8,2,0)</f>
        <v>5</v>
      </c>
      <c r="O515" s="2" t="str">
        <f>VLOOKUP(L515,'Data Info'!$A$1:$C$8,3,0)</f>
        <v>Weekday</v>
      </c>
    </row>
    <row r="516">
      <c r="A516" s="4">
        <v>45555.42222222222</v>
      </c>
      <c r="B516" s="9">
        <f>IFERROR(__xludf.DUMMYFUNCTION("SPLIT(A516,"" "")"),45555.0)</f>
        <v>45555</v>
      </c>
      <c r="C516" s="10">
        <f>IFERROR(__xludf.DUMMYFUNCTION("""COMPUTED_VALUE"""),0.4222222222222222)</f>
        <v>0.4222222222</v>
      </c>
      <c r="D516" s="2">
        <f t="shared" si="1"/>
        <v>10</v>
      </c>
      <c r="E516" s="2">
        <f>IFERROR(__xludf.DUMMYFUNCTION("SPLIT(B516,""/"")"),20.0)</f>
        <v>20</v>
      </c>
      <c r="F516" s="2">
        <f>IFERROR(__xludf.DUMMYFUNCTION("""COMPUTED_VALUE"""),9.0)</f>
        <v>9</v>
      </c>
      <c r="G516" s="2">
        <f>IFERROR(__xludf.DUMMYFUNCTION("""COMPUTED_VALUE"""),2024.0)</f>
        <v>2024</v>
      </c>
      <c r="H516" s="2" t="str">
        <f t="shared" si="2"/>
        <v>2024/9/20</v>
      </c>
      <c r="I516" s="2" t="s">
        <v>1592</v>
      </c>
      <c r="J516" s="2" t="str">
        <f t="shared" si="3"/>
        <v>Kopi Tubruk Panas</v>
      </c>
      <c r="K516" s="7">
        <f>if(RIGHT(I516,5)="2 pcs",2,Data!I516)</f>
        <v>1</v>
      </c>
      <c r="L516" s="2" t="str">
        <f t="shared" si="4"/>
        <v>Friday</v>
      </c>
      <c r="M516" s="2" t="str">
        <f t="shared" si="5"/>
        <v>20</v>
      </c>
      <c r="N516" s="2">
        <f>VLOOKUP(L516,'Data Info'!$A$1:$B$8,2,0)</f>
        <v>5</v>
      </c>
      <c r="O516" s="2" t="str">
        <f>VLOOKUP(L516,'Data Info'!$A$1:$C$8,3,0)</f>
        <v>Weekday</v>
      </c>
    </row>
    <row r="517">
      <c r="A517" s="4">
        <v>45555.41736111111</v>
      </c>
      <c r="B517" s="9">
        <f>IFERROR(__xludf.DUMMYFUNCTION("SPLIT(A517,"" "")"),45555.0)</f>
        <v>45555</v>
      </c>
      <c r="C517" s="10">
        <f>IFERROR(__xludf.DUMMYFUNCTION("""COMPUTED_VALUE"""),0.4173611111111111)</f>
        <v>0.4173611111</v>
      </c>
      <c r="D517" s="2">
        <f t="shared" si="1"/>
        <v>10</v>
      </c>
      <c r="E517" s="2">
        <f>IFERROR(__xludf.DUMMYFUNCTION("SPLIT(B517,""/"")"),20.0)</f>
        <v>20</v>
      </c>
      <c r="F517" s="2">
        <f>IFERROR(__xludf.DUMMYFUNCTION("""COMPUTED_VALUE"""),9.0)</f>
        <v>9</v>
      </c>
      <c r="G517" s="2">
        <f>IFERROR(__xludf.DUMMYFUNCTION("""COMPUTED_VALUE"""),2024.0)</f>
        <v>2024</v>
      </c>
      <c r="H517" s="2" t="str">
        <f t="shared" si="2"/>
        <v>2024/9/20</v>
      </c>
      <c r="I517" s="2" t="s">
        <v>1589</v>
      </c>
      <c r="J517" s="2" t="str">
        <f t="shared" si="3"/>
        <v>Teh Manis Dingin</v>
      </c>
      <c r="K517" s="7">
        <f>if(RIGHT(I517,5)="2 pcs",2,Data!I517)</f>
        <v>1</v>
      </c>
      <c r="L517" s="2" t="str">
        <f t="shared" si="4"/>
        <v>Friday</v>
      </c>
      <c r="M517" s="2" t="str">
        <f t="shared" si="5"/>
        <v>20</v>
      </c>
      <c r="N517" s="2">
        <f>VLOOKUP(L517,'Data Info'!$A$1:$B$8,2,0)</f>
        <v>5</v>
      </c>
      <c r="O517" s="2" t="str">
        <f>VLOOKUP(L517,'Data Info'!$A$1:$C$8,3,0)</f>
        <v>Weekday</v>
      </c>
    </row>
    <row r="518">
      <c r="A518" s="4">
        <v>45555.39722222222</v>
      </c>
      <c r="B518" s="9">
        <f>IFERROR(__xludf.DUMMYFUNCTION("SPLIT(A518,"" "")"),45555.0)</f>
        <v>45555</v>
      </c>
      <c r="C518" s="10">
        <f>IFERROR(__xludf.DUMMYFUNCTION("""COMPUTED_VALUE"""),0.3972222222222222)</f>
        <v>0.3972222222</v>
      </c>
      <c r="D518" s="2">
        <f t="shared" si="1"/>
        <v>9</v>
      </c>
      <c r="E518" s="2">
        <f>IFERROR(__xludf.DUMMYFUNCTION("SPLIT(B518,""/"")"),20.0)</f>
        <v>20</v>
      </c>
      <c r="F518" s="2">
        <f>IFERROR(__xludf.DUMMYFUNCTION("""COMPUTED_VALUE"""),9.0)</f>
        <v>9</v>
      </c>
      <c r="G518" s="2">
        <f>IFERROR(__xludf.DUMMYFUNCTION("""COMPUTED_VALUE"""),2024.0)</f>
        <v>2024</v>
      </c>
      <c r="H518" s="2" t="str">
        <f t="shared" si="2"/>
        <v>2024/9/20</v>
      </c>
      <c r="I518" s="2" t="s">
        <v>1615</v>
      </c>
      <c r="J518" s="2" t="str">
        <f t="shared" si="3"/>
        <v>Roti panggang sarikaya</v>
      </c>
      <c r="K518" s="7">
        <f>if(RIGHT(I518,5)="2 pcs",2,Data!I518)</f>
        <v>1</v>
      </c>
      <c r="L518" s="2" t="str">
        <f t="shared" si="4"/>
        <v>Friday</v>
      </c>
      <c r="M518" s="2" t="str">
        <f t="shared" si="5"/>
        <v>20</v>
      </c>
      <c r="N518" s="2">
        <f>VLOOKUP(L518,'Data Info'!$A$1:$B$8,2,0)</f>
        <v>5</v>
      </c>
      <c r="O518" s="2" t="str">
        <f>VLOOKUP(L518,'Data Info'!$A$1:$C$8,3,0)</f>
        <v>Weekday</v>
      </c>
    </row>
    <row r="519">
      <c r="A519" s="4">
        <v>45555.39722222222</v>
      </c>
      <c r="B519" s="9">
        <f>IFERROR(__xludf.DUMMYFUNCTION("SPLIT(A519,"" "")"),45555.0)</f>
        <v>45555</v>
      </c>
      <c r="C519" s="10">
        <f>IFERROR(__xludf.DUMMYFUNCTION("""COMPUTED_VALUE"""),0.3972222222222222)</f>
        <v>0.3972222222</v>
      </c>
      <c r="D519" s="2">
        <f t="shared" si="1"/>
        <v>9</v>
      </c>
      <c r="E519" s="2">
        <f>IFERROR(__xludf.DUMMYFUNCTION("SPLIT(B519,""/"")"),20.0)</f>
        <v>20</v>
      </c>
      <c r="F519" s="2">
        <f>IFERROR(__xludf.DUMMYFUNCTION("""COMPUTED_VALUE"""),9.0)</f>
        <v>9</v>
      </c>
      <c r="G519" s="2">
        <f>IFERROR(__xludf.DUMMYFUNCTION("""COMPUTED_VALUE"""),2024.0)</f>
        <v>2024</v>
      </c>
      <c r="H519" s="2" t="str">
        <f t="shared" si="2"/>
        <v>2024/9/20</v>
      </c>
      <c r="I519" s="2" t="s">
        <v>1614</v>
      </c>
      <c r="J519" s="2" t="str">
        <f t="shared" si="3"/>
        <v>Kopi Susu Panas</v>
      </c>
      <c r="K519" s="7">
        <f>if(RIGHT(I519,5)="2 pcs",2,Data!I519)</f>
        <v>1</v>
      </c>
      <c r="L519" s="2" t="str">
        <f t="shared" si="4"/>
        <v>Friday</v>
      </c>
      <c r="M519" s="2" t="str">
        <f t="shared" si="5"/>
        <v>20</v>
      </c>
      <c r="N519" s="2">
        <f>VLOOKUP(L519,'Data Info'!$A$1:$B$8,2,0)</f>
        <v>5</v>
      </c>
      <c r="O519" s="2" t="str">
        <f>VLOOKUP(L519,'Data Info'!$A$1:$C$8,3,0)</f>
        <v>Weekday</v>
      </c>
    </row>
    <row r="520">
      <c r="A520" s="4">
        <v>45554.87708333333</v>
      </c>
      <c r="B520" s="9">
        <f>IFERROR(__xludf.DUMMYFUNCTION("SPLIT(A520,"" "")"),45554.0)</f>
        <v>45554</v>
      </c>
      <c r="C520" s="10">
        <f>IFERROR(__xludf.DUMMYFUNCTION("""COMPUTED_VALUE"""),0.8770833333333333)</f>
        <v>0.8770833333</v>
      </c>
      <c r="D520" s="2">
        <f t="shared" si="1"/>
        <v>21</v>
      </c>
      <c r="E520" s="2">
        <f>IFERROR(__xludf.DUMMYFUNCTION("SPLIT(B520,""/"")"),19.0)</f>
        <v>19</v>
      </c>
      <c r="F520" s="2">
        <f>IFERROR(__xludf.DUMMYFUNCTION("""COMPUTED_VALUE"""),9.0)</f>
        <v>9</v>
      </c>
      <c r="G520" s="2">
        <f>IFERROR(__xludf.DUMMYFUNCTION("""COMPUTED_VALUE"""),2024.0)</f>
        <v>2024</v>
      </c>
      <c r="H520" s="2" t="str">
        <f t="shared" si="2"/>
        <v>2024/9/19</v>
      </c>
      <c r="I520" s="2" t="s">
        <v>1597</v>
      </c>
      <c r="J520" s="2" t="str">
        <f t="shared" si="3"/>
        <v>Roti Gandum Cokelat</v>
      </c>
      <c r="K520" s="7">
        <f>if(RIGHT(I520,5)="2 pcs",2,Data!I520)</f>
        <v>2</v>
      </c>
      <c r="L520" s="2" t="str">
        <f t="shared" si="4"/>
        <v>Thursday</v>
      </c>
      <c r="M520" s="2" t="str">
        <f t="shared" si="5"/>
        <v>19</v>
      </c>
      <c r="N520" s="2">
        <f>VLOOKUP(L520,'Data Info'!$A$1:$B$8,2,0)</f>
        <v>4</v>
      </c>
      <c r="O520" s="2" t="str">
        <f>VLOOKUP(L520,'Data Info'!$A$1:$C$8,3,0)</f>
        <v>Weekday</v>
      </c>
    </row>
    <row r="521">
      <c r="A521" s="4">
        <v>45554.87708333333</v>
      </c>
      <c r="B521" s="9">
        <f>IFERROR(__xludf.DUMMYFUNCTION("SPLIT(A521,"" "")"),45554.0)</f>
        <v>45554</v>
      </c>
      <c r="C521" s="10">
        <f>IFERROR(__xludf.DUMMYFUNCTION("""COMPUTED_VALUE"""),0.8770833333333333)</f>
        <v>0.8770833333</v>
      </c>
      <c r="D521" s="2">
        <f t="shared" si="1"/>
        <v>21</v>
      </c>
      <c r="E521" s="2">
        <f>IFERROR(__xludf.DUMMYFUNCTION("SPLIT(B521,""/"")"),19.0)</f>
        <v>19</v>
      </c>
      <c r="F521" s="2">
        <f>IFERROR(__xludf.DUMMYFUNCTION("""COMPUTED_VALUE"""),9.0)</f>
        <v>9</v>
      </c>
      <c r="G521" s="2">
        <f>IFERROR(__xludf.DUMMYFUNCTION("""COMPUTED_VALUE"""),2024.0)</f>
        <v>2024</v>
      </c>
      <c r="H521" s="2" t="str">
        <f t="shared" si="2"/>
        <v>2024/9/19</v>
      </c>
      <c r="I521" s="2" t="s">
        <v>1566</v>
      </c>
      <c r="J521" s="2" t="str">
        <f t="shared" si="3"/>
        <v>Roti Bawang Saus Keju</v>
      </c>
      <c r="K521" s="7">
        <f>if(RIGHT(I521,5)="2 pcs",2,Data!I521)</f>
        <v>1</v>
      </c>
      <c r="L521" s="2" t="str">
        <f t="shared" si="4"/>
        <v>Thursday</v>
      </c>
      <c r="M521" s="2" t="str">
        <f t="shared" si="5"/>
        <v>19</v>
      </c>
      <c r="N521" s="2">
        <f>VLOOKUP(L521,'Data Info'!$A$1:$B$8,2,0)</f>
        <v>4</v>
      </c>
      <c r="O521" s="2" t="str">
        <f>VLOOKUP(L521,'Data Info'!$A$1:$C$8,3,0)</f>
        <v>Weekday</v>
      </c>
    </row>
    <row r="522">
      <c r="A522" s="4">
        <v>45554.87708333333</v>
      </c>
      <c r="B522" s="9">
        <f>IFERROR(__xludf.DUMMYFUNCTION("SPLIT(A522,"" "")"),45554.0)</f>
        <v>45554</v>
      </c>
      <c r="C522" s="10">
        <f>IFERROR(__xludf.DUMMYFUNCTION("""COMPUTED_VALUE"""),0.8770833333333333)</f>
        <v>0.8770833333</v>
      </c>
      <c r="D522" s="2">
        <f t="shared" si="1"/>
        <v>21</v>
      </c>
      <c r="E522" s="2">
        <f>IFERROR(__xludf.DUMMYFUNCTION("SPLIT(B522,""/"")"),19.0)</f>
        <v>19</v>
      </c>
      <c r="F522" s="2">
        <f>IFERROR(__xludf.DUMMYFUNCTION("""COMPUTED_VALUE"""),9.0)</f>
        <v>9</v>
      </c>
      <c r="G522" s="2">
        <f>IFERROR(__xludf.DUMMYFUNCTION("""COMPUTED_VALUE"""),2024.0)</f>
        <v>2024</v>
      </c>
      <c r="H522" s="2" t="str">
        <f t="shared" si="2"/>
        <v>2024/9/19</v>
      </c>
      <c r="I522" s="2" t="s">
        <v>1608</v>
      </c>
      <c r="J522" s="2" t="str">
        <f t="shared" si="3"/>
        <v>Susu murni strawberry</v>
      </c>
      <c r="K522" s="7">
        <f>if(RIGHT(I522,5)="2 pcs",2,Data!I522)</f>
        <v>2</v>
      </c>
      <c r="L522" s="2" t="str">
        <f t="shared" si="4"/>
        <v>Thursday</v>
      </c>
      <c r="M522" s="2" t="str">
        <f t="shared" si="5"/>
        <v>19</v>
      </c>
      <c r="N522" s="2">
        <f>VLOOKUP(L522,'Data Info'!$A$1:$B$8,2,0)</f>
        <v>4</v>
      </c>
      <c r="O522" s="2" t="str">
        <f>VLOOKUP(L522,'Data Info'!$A$1:$C$8,3,0)</f>
        <v>Weekday</v>
      </c>
    </row>
    <row r="523">
      <c r="A523" s="4">
        <v>45554.87708333333</v>
      </c>
      <c r="B523" s="9">
        <f>IFERROR(__xludf.DUMMYFUNCTION("SPLIT(A523,"" "")"),45554.0)</f>
        <v>45554</v>
      </c>
      <c r="C523" s="10">
        <f>IFERROR(__xludf.DUMMYFUNCTION("""COMPUTED_VALUE"""),0.8770833333333333)</f>
        <v>0.8770833333</v>
      </c>
      <c r="D523" s="2">
        <f t="shared" si="1"/>
        <v>21</v>
      </c>
      <c r="E523" s="2">
        <f>IFERROR(__xludf.DUMMYFUNCTION("SPLIT(B523,""/"")"),19.0)</f>
        <v>19</v>
      </c>
      <c r="F523" s="2">
        <f>IFERROR(__xludf.DUMMYFUNCTION("""COMPUTED_VALUE"""),9.0)</f>
        <v>9</v>
      </c>
      <c r="G523" s="2">
        <f>IFERROR(__xludf.DUMMYFUNCTION("""COMPUTED_VALUE"""),2024.0)</f>
        <v>2024</v>
      </c>
      <c r="H523" s="2" t="str">
        <f t="shared" si="2"/>
        <v>2024/9/19</v>
      </c>
      <c r="I523" s="2" t="s">
        <v>1585</v>
      </c>
      <c r="J523" s="2" t="str">
        <f t="shared" si="3"/>
        <v>Susu murni moca</v>
      </c>
      <c r="K523" s="7">
        <f>if(RIGHT(I523,5)="2 pcs",2,Data!I523)</f>
        <v>1</v>
      </c>
      <c r="L523" s="2" t="str">
        <f t="shared" si="4"/>
        <v>Thursday</v>
      </c>
      <c r="M523" s="2" t="str">
        <f t="shared" si="5"/>
        <v>19</v>
      </c>
      <c r="N523" s="2">
        <f>VLOOKUP(L523,'Data Info'!$A$1:$B$8,2,0)</f>
        <v>4</v>
      </c>
      <c r="O523" s="2" t="str">
        <f>VLOOKUP(L523,'Data Info'!$A$1:$C$8,3,0)</f>
        <v>Weekday</v>
      </c>
    </row>
    <row r="524">
      <c r="A524" s="4">
        <v>45554.87708333333</v>
      </c>
      <c r="B524" s="9">
        <f>IFERROR(__xludf.DUMMYFUNCTION("SPLIT(A524,"" "")"),45554.0)</f>
        <v>45554</v>
      </c>
      <c r="C524" s="10">
        <f>IFERROR(__xludf.DUMMYFUNCTION("""COMPUTED_VALUE"""),0.8770833333333333)</f>
        <v>0.8770833333</v>
      </c>
      <c r="D524" s="2">
        <f t="shared" si="1"/>
        <v>21</v>
      </c>
      <c r="E524" s="2">
        <f>IFERROR(__xludf.DUMMYFUNCTION("SPLIT(B524,""/"")"),19.0)</f>
        <v>19</v>
      </c>
      <c r="F524" s="2">
        <f>IFERROR(__xludf.DUMMYFUNCTION("""COMPUTED_VALUE"""),9.0)</f>
        <v>9</v>
      </c>
      <c r="G524" s="2">
        <f>IFERROR(__xludf.DUMMYFUNCTION("""COMPUTED_VALUE"""),2024.0)</f>
        <v>2024</v>
      </c>
      <c r="H524" s="2" t="str">
        <f t="shared" si="2"/>
        <v>2024/9/19</v>
      </c>
      <c r="I524" s="2" t="s">
        <v>1576</v>
      </c>
      <c r="J524" s="2" t="str">
        <f t="shared" si="3"/>
        <v>Roti Cranberry</v>
      </c>
      <c r="K524" s="7">
        <f>if(RIGHT(I524,5)="2 pcs",2,Data!I524)</f>
        <v>1</v>
      </c>
      <c r="L524" s="2" t="str">
        <f t="shared" si="4"/>
        <v>Thursday</v>
      </c>
      <c r="M524" s="2" t="str">
        <f t="shared" si="5"/>
        <v>19</v>
      </c>
      <c r="N524" s="2">
        <f>VLOOKUP(L524,'Data Info'!$A$1:$B$8,2,0)</f>
        <v>4</v>
      </c>
      <c r="O524" s="2" t="str">
        <f>VLOOKUP(L524,'Data Info'!$A$1:$C$8,3,0)</f>
        <v>Weekday</v>
      </c>
    </row>
    <row r="525">
      <c r="A525" s="4">
        <v>45554.87708333333</v>
      </c>
      <c r="B525" s="9">
        <f>IFERROR(__xludf.DUMMYFUNCTION("SPLIT(A525,"" "")"),45554.0)</f>
        <v>45554</v>
      </c>
      <c r="C525" s="10">
        <f>IFERROR(__xludf.DUMMYFUNCTION("""COMPUTED_VALUE"""),0.8770833333333333)</f>
        <v>0.8770833333</v>
      </c>
      <c r="D525" s="2">
        <f t="shared" si="1"/>
        <v>21</v>
      </c>
      <c r="E525" s="2">
        <f>IFERROR(__xludf.DUMMYFUNCTION("SPLIT(B525,""/"")"),19.0)</f>
        <v>19</v>
      </c>
      <c r="F525" s="2">
        <f>IFERROR(__xludf.DUMMYFUNCTION("""COMPUTED_VALUE"""),9.0)</f>
        <v>9</v>
      </c>
      <c r="G525" s="2">
        <f>IFERROR(__xludf.DUMMYFUNCTION("""COMPUTED_VALUE"""),2024.0)</f>
        <v>2024</v>
      </c>
      <c r="H525" s="2" t="str">
        <f t="shared" si="2"/>
        <v>2024/9/19</v>
      </c>
      <c r="I525" s="2" t="s">
        <v>1597</v>
      </c>
      <c r="J525" s="2" t="str">
        <f t="shared" si="3"/>
        <v>Roti Gandum Cokelat</v>
      </c>
      <c r="K525" s="7">
        <f>if(RIGHT(I525,5)="2 pcs",2,Data!I525)</f>
        <v>2</v>
      </c>
      <c r="L525" s="2" t="str">
        <f t="shared" si="4"/>
        <v>Thursday</v>
      </c>
      <c r="M525" s="2" t="str">
        <f t="shared" si="5"/>
        <v>19</v>
      </c>
      <c r="N525" s="2">
        <f>VLOOKUP(L525,'Data Info'!$A$1:$B$8,2,0)</f>
        <v>4</v>
      </c>
      <c r="O525" s="2" t="str">
        <f>VLOOKUP(L525,'Data Info'!$A$1:$C$8,3,0)</f>
        <v>Weekday</v>
      </c>
    </row>
    <row r="526">
      <c r="A526" s="4">
        <v>45554.86944444444</v>
      </c>
      <c r="B526" s="9">
        <f>IFERROR(__xludf.DUMMYFUNCTION("SPLIT(A526,"" "")"),45554.0)</f>
        <v>45554</v>
      </c>
      <c r="C526" s="10">
        <f>IFERROR(__xludf.DUMMYFUNCTION("""COMPUTED_VALUE"""),0.8694444444444445)</f>
        <v>0.8694444444</v>
      </c>
      <c r="D526" s="2">
        <f t="shared" si="1"/>
        <v>20</v>
      </c>
      <c r="E526" s="2">
        <f>IFERROR(__xludf.DUMMYFUNCTION("SPLIT(B526,""/"")"),19.0)</f>
        <v>19</v>
      </c>
      <c r="F526" s="2">
        <f>IFERROR(__xludf.DUMMYFUNCTION("""COMPUTED_VALUE"""),9.0)</f>
        <v>9</v>
      </c>
      <c r="G526" s="2">
        <f>IFERROR(__xludf.DUMMYFUNCTION("""COMPUTED_VALUE"""),2024.0)</f>
        <v>2024</v>
      </c>
      <c r="H526" s="2" t="str">
        <f t="shared" si="2"/>
        <v>2024/9/19</v>
      </c>
      <c r="I526" s="2" t="s">
        <v>1596</v>
      </c>
      <c r="J526" s="2" t="str">
        <f t="shared" si="3"/>
        <v>Roti Cranberry</v>
      </c>
      <c r="K526" s="7">
        <f>if(RIGHT(I526,5)="2 pcs",2,Data!I526)</f>
        <v>2</v>
      </c>
      <c r="L526" s="2" t="str">
        <f t="shared" si="4"/>
        <v>Thursday</v>
      </c>
      <c r="M526" s="2" t="str">
        <f t="shared" si="5"/>
        <v>19</v>
      </c>
      <c r="N526" s="2">
        <f>VLOOKUP(L526,'Data Info'!$A$1:$B$8,2,0)</f>
        <v>4</v>
      </c>
      <c r="O526" s="2" t="str">
        <f>VLOOKUP(L526,'Data Info'!$A$1:$C$8,3,0)</f>
        <v>Weekday</v>
      </c>
    </row>
    <row r="527">
      <c r="A527" s="4">
        <v>45554.86944444444</v>
      </c>
      <c r="B527" s="9">
        <f>IFERROR(__xludf.DUMMYFUNCTION("SPLIT(A527,"" "")"),45554.0)</f>
        <v>45554</v>
      </c>
      <c r="C527" s="10">
        <f>IFERROR(__xludf.DUMMYFUNCTION("""COMPUTED_VALUE"""),0.8694444444444445)</f>
        <v>0.8694444444</v>
      </c>
      <c r="D527" s="2">
        <f t="shared" si="1"/>
        <v>20</v>
      </c>
      <c r="E527" s="2">
        <f>IFERROR(__xludf.DUMMYFUNCTION("SPLIT(B527,""/"")"),19.0)</f>
        <v>19</v>
      </c>
      <c r="F527" s="2">
        <f>IFERROR(__xludf.DUMMYFUNCTION("""COMPUTED_VALUE"""),9.0)</f>
        <v>9</v>
      </c>
      <c r="G527" s="2">
        <f>IFERROR(__xludf.DUMMYFUNCTION("""COMPUTED_VALUE"""),2024.0)</f>
        <v>2024</v>
      </c>
      <c r="H527" s="2" t="str">
        <f t="shared" si="2"/>
        <v>2024/9/19</v>
      </c>
      <c r="I527" s="2" t="s">
        <v>1595</v>
      </c>
      <c r="J527" s="2" t="str">
        <f t="shared" si="3"/>
        <v>Roti Gandum Cokelat</v>
      </c>
      <c r="K527" s="7">
        <f>if(RIGHT(I527,5)="2 pcs",2,Data!I527)</f>
        <v>1</v>
      </c>
      <c r="L527" s="2" t="str">
        <f t="shared" si="4"/>
        <v>Thursday</v>
      </c>
      <c r="M527" s="2" t="str">
        <f t="shared" si="5"/>
        <v>19</v>
      </c>
      <c r="N527" s="2">
        <f>VLOOKUP(L527,'Data Info'!$A$1:$B$8,2,0)</f>
        <v>4</v>
      </c>
      <c r="O527" s="2" t="str">
        <f>VLOOKUP(L527,'Data Info'!$A$1:$C$8,3,0)</f>
        <v>Weekday</v>
      </c>
    </row>
    <row r="528">
      <c r="A528" s="4">
        <v>45554.86944444444</v>
      </c>
      <c r="B528" s="9">
        <f>IFERROR(__xludf.DUMMYFUNCTION("SPLIT(A528,"" "")"),45554.0)</f>
        <v>45554</v>
      </c>
      <c r="C528" s="10">
        <f>IFERROR(__xludf.DUMMYFUNCTION("""COMPUTED_VALUE"""),0.8694444444444445)</f>
        <v>0.8694444444</v>
      </c>
      <c r="D528" s="2">
        <f t="shared" si="1"/>
        <v>20</v>
      </c>
      <c r="E528" s="2">
        <f>IFERROR(__xludf.DUMMYFUNCTION("SPLIT(B528,""/"")"),19.0)</f>
        <v>19</v>
      </c>
      <c r="F528" s="2">
        <f>IFERROR(__xludf.DUMMYFUNCTION("""COMPUTED_VALUE"""),9.0)</f>
        <v>9</v>
      </c>
      <c r="G528" s="2">
        <f>IFERROR(__xludf.DUMMYFUNCTION("""COMPUTED_VALUE"""),2024.0)</f>
        <v>2024</v>
      </c>
      <c r="H528" s="2" t="str">
        <f t="shared" si="2"/>
        <v>2024/9/19</v>
      </c>
      <c r="I528" s="2" t="s">
        <v>1566</v>
      </c>
      <c r="J528" s="2" t="str">
        <f t="shared" si="3"/>
        <v>Roti Bawang Saus Keju</v>
      </c>
      <c r="K528" s="7">
        <f>if(RIGHT(I528,5)="2 pcs",2,Data!I528)</f>
        <v>1</v>
      </c>
      <c r="L528" s="2" t="str">
        <f t="shared" si="4"/>
        <v>Thursday</v>
      </c>
      <c r="M528" s="2" t="str">
        <f t="shared" si="5"/>
        <v>19</v>
      </c>
      <c r="N528" s="2">
        <f>VLOOKUP(L528,'Data Info'!$A$1:$B$8,2,0)</f>
        <v>4</v>
      </c>
      <c r="O528" s="2" t="str">
        <f>VLOOKUP(L528,'Data Info'!$A$1:$C$8,3,0)</f>
        <v>Weekday</v>
      </c>
    </row>
    <row r="529">
      <c r="A529" s="4">
        <v>45554.86875</v>
      </c>
      <c r="B529" s="9">
        <f>IFERROR(__xludf.DUMMYFUNCTION("SPLIT(A529,"" "")"),45554.0)</f>
        <v>45554</v>
      </c>
      <c r="C529" s="10">
        <f>IFERROR(__xludf.DUMMYFUNCTION("""COMPUTED_VALUE"""),0.86875)</f>
        <v>0.86875</v>
      </c>
      <c r="D529" s="2">
        <f t="shared" si="1"/>
        <v>20</v>
      </c>
      <c r="E529" s="2">
        <f>IFERROR(__xludf.DUMMYFUNCTION("SPLIT(B529,""/"")"),19.0)</f>
        <v>19</v>
      </c>
      <c r="F529" s="2">
        <f>IFERROR(__xludf.DUMMYFUNCTION("""COMPUTED_VALUE"""),9.0)</f>
        <v>9</v>
      </c>
      <c r="G529" s="2">
        <f>IFERROR(__xludf.DUMMYFUNCTION("""COMPUTED_VALUE"""),2024.0)</f>
        <v>2024</v>
      </c>
      <c r="H529" s="2" t="str">
        <f t="shared" si="2"/>
        <v>2024/9/19</v>
      </c>
      <c r="I529" s="2" t="s">
        <v>1602</v>
      </c>
      <c r="J529" s="2" t="str">
        <f t="shared" si="3"/>
        <v>Mie joglo</v>
      </c>
      <c r="K529" s="7">
        <f>if(RIGHT(I529,5)="2 pcs",2,Data!I529)</f>
        <v>1</v>
      </c>
      <c r="L529" s="2" t="str">
        <f t="shared" si="4"/>
        <v>Thursday</v>
      </c>
      <c r="M529" s="2" t="str">
        <f t="shared" si="5"/>
        <v>19</v>
      </c>
      <c r="N529" s="2">
        <f>VLOOKUP(L529,'Data Info'!$A$1:$B$8,2,0)</f>
        <v>4</v>
      </c>
      <c r="O529" s="2" t="str">
        <f>VLOOKUP(L529,'Data Info'!$A$1:$C$8,3,0)</f>
        <v>Weekday</v>
      </c>
    </row>
    <row r="530">
      <c r="A530" s="4">
        <v>45554.790972222225</v>
      </c>
      <c r="B530" s="9">
        <f>IFERROR(__xludf.DUMMYFUNCTION("SPLIT(A530,"" "")"),45554.0)</f>
        <v>45554</v>
      </c>
      <c r="C530" s="10">
        <f>IFERROR(__xludf.DUMMYFUNCTION("""COMPUTED_VALUE"""),0.7909722222222222)</f>
        <v>0.7909722222</v>
      </c>
      <c r="D530" s="2">
        <f t="shared" si="1"/>
        <v>18</v>
      </c>
      <c r="E530" s="2">
        <f>IFERROR(__xludf.DUMMYFUNCTION("SPLIT(B530,""/"")"),19.0)</f>
        <v>19</v>
      </c>
      <c r="F530" s="2">
        <f>IFERROR(__xludf.DUMMYFUNCTION("""COMPUTED_VALUE"""),9.0)</f>
        <v>9</v>
      </c>
      <c r="G530" s="2">
        <f>IFERROR(__xludf.DUMMYFUNCTION("""COMPUTED_VALUE"""),2024.0)</f>
        <v>2024</v>
      </c>
      <c r="H530" s="2" t="str">
        <f t="shared" si="2"/>
        <v>2024/9/19</v>
      </c>
      <c r="I530" s="2" t="s">
        <v>1595</v>
      </c>
      <c r="J530" s="2" t="str">
        <f t="shared" si="3"/>
        <v>Roti Gandum Cokelat</v>
      </c>
      <c r="K530" s="7">
        <f>if(RIGHT(I530,5)="2 pcs",2,Data!I530)</f>
        <v>1</v>
      </c>
      <c r="L530" s="2" t="str">
        <f t="shared" si="4"/>
        <v>Thursday</v>
      </c>
      <c r="M530" s="2" t="str">
        <f t="shared" si="5"/>
        <v>19</v>
      </c>
      <c r="N530" s="2">
        <f>VLOOKUP(L530,'Data Info'!$A$1:$B$8,2,0)</f>
        <v>4</v>
      </c>
      <c r="O530" s="2" t="str">
        <f>VLOOKUP(L530,'Data Info'!$A$1:$C$8,3,0)</f>
        <v>Weekday</v>
      </c>
    </row>
    <row r="531">
      <c r="A531" s="4">
        <v>45554.790972222225</v>
      </c>
      <c r="B531" s="9">
        <f>IFERROR(__xludf.DUMMYFUNCTION("SPLIT(A531,"" "")"),45554.0)</f>
        <v>45554</v>
      </c>
      <c r="C531" s="10">
        <f>IFERROR(__xludf.DUMMYFUNCTION("""COMPUTED_VALUE"""),0.7909722222222222)</f>
        <v>0.7909722222</v>
      </c>
      <c r="D531" s="2">
        <f t="shared" si="1"/>
        <v>18</v>
      </c>
      <c r="E531" s="2">
        <f>IFERROR(__xludf.DUMMYFUNCTION("SPLIT(B531,""/"")"),19.0)</f>
        <v>19</v>
      </c>
      <c r="F531" s="2">
        <f>IFERROR(__xludf.DUMMYFUNCTION("""COMPUTED_VALUE"""),9.0)</f>
        <v>9</v>
      </c>
      <c r="G531" s="2">
        <f>IFERROR(__xludf.DUMMYFUNCTION("""COMPUTED_VALUE"""),2024.0)</f>
        <v>2024</v>
      </c>
      <c r="H531" s="2" t="str">
        <f t="shared" si="2"/>
        <v>2024/9/19</v>
      </c>
      <c r="I531" s="2" t="s">
        <v>1566</v>
      </c>
      <c r="J531" s="2" t="str">
        <f t="shared" si="3"/>
        <v>Roti Bawang Saus Keju</v>
      </c>
      <c r="K531" s="7">
        <f>if(RIGHT(I531,5)="2 pcs",2,Data!I531)</f>
        <v>1</v>
      </c>
      <c r="L531" s="2" t="str">
        <f t="shared" si="4"/>
        <v>Thursday</v>
      </c>
      <c r="M531" s="2" t="str">
        <f t="shared" si="5"/>
        <v>19</v>
      </c>
      <c r="N531" s="2">
        <f>VLOOKUP(L531,'Data Info'!$A$1:$B$8,2,0)</f>
        <v>4</v>
      </c>
      <c r="O531" s="2" t="str">
        <f>VLOOKUP(L531,'Data Info'!$A$1:$C$8,3,0)</f>
        <v>Weekday</v>
      </c>
    </row>
    <row r="532">
      <c r="A532" s="4">
        <v>45554.65</v>
      </c>
      <c r="B532" s="9">
        <f>IFERROR(__xludf.DUMMYFUNCTION("SPLIT(A532,"" "")"),45554.0)</f>
        <v>45554</v>
      </c>
      <c r="C532" s="10">
        <f>IFERROR(__xludf.DUMMYFUNCTION("""COMPUTED_VALUE"""),0.65)</f>
        <v>0.65</v>
      </c>
      <c r="D532" s="2">
        <f t="shared" si="1"/>
        <v>15</v>
      </c>
      <c r="E532" s="2">
        <f>IFERROR(__xludf.DUMMYFUNCTION("SPLIT(B532,""/"")"),19.0)</f>
        <v>19</v>
      </c>
      <c r="F532" s="2">
        <f>IFERROR(__xludf.DUMMYFUNCTION("""COMPUTED_VALUE"""),9.0)</f>
        <v>9</v>
      </c>
      <c r="G532" s="2">
        <f>IFERROR(__xludf.DUMMYFUNCTION("""COMPUTED_VALUE"""),2024.0)</f>
        <v>2024</v>
      </c>
      <c r="H532" s="2" t="str">
        <f t="shared" si="2"/>
        <v>2024/9/19</v>
      </c>
      <c r="I532" s="2" t="s">
        <v>1566</v>
      </c>
      <c r="J532" s="2" t="str">
        <f t="shared" si="3"/>
        <v>Roti Bawang Saus Keju</v>
      </c>
      <c r="K532" s="7">
        <f>if(RIGHT(I532,5)="2 pcs",2,Data!I532)</f>
        <v>1</v>
      </c>
      <c r="L532" s="2" t="str">
        <f t="shared" si="4"/>
        <v>Thursday</v>
      </c>
      <c r="M532" s="2" t="str">
        <f t="shared" si="5"/>
        <v>19</v>
      </c>
      <c r="N532" s="2">
        <f>VLOOKUP(L532,'Data Info'!$A$1:$B$8,2,0)</f>
        <v>4</v>
      </c>
      <c r="O532" s="2" t="str">
        <f>VLOOKUP(L532,'Data Info'!$A$1:$C$8,3,0)</f>
        <v>Weekday</v>
      </c>
    </row>
    <row r="533">
      <c r="A533" s="4">
        <v>45554.6125</v>
      </c>
      <c r="B533" s="9">
        <f>IFERROR(__xludf.DUMMYFUNCTION("SPLIT(A533,"" "")"),45554.0)</f>
        <v>45554</v>
      </c>
      <c r="C533" s="10">
        <f>IFERROR(__xludf.DUMMYFUNCTION("""COMPUTED_VALUE"""),0.6125)</f>
        <v>0.6125</v>
      </c>
      <c r="D533" s="2">
        <f t="shared" si="1"/>
        <v>14</v>
      </c>
      <c r="E533" s="2">
        <f>IFERROR(__xludf.DUMMYFUNCTION("SPLIT(B533,""/"")"),19.0)</f>
        <v>19</v>
      </c>
      <c r="F533" s="2">
        <f>IFERROR(__xludf.DUMMYFUNCTION("""COMPUTED_VALUE"""),9.0)</f>
        <v>9</v>
      </c>
      <c r="G533" s="2">
        <f>IFERROR(__xludf.DUMMYFUNCTION("""COMPUTED_VALUE"""),2024.0)</f>
        <v>2024</v>
      </c>
      <c r="H533" s="2" t="str">
        <f t="shared" si="2"/>
        <v>2024/9/19</v>
      </c>
      <c r="I533" s="2" t="s">
        <v>1576</v>
      </c>
      <c r="J533" s="2" t="str">
        <f t="shared" si="3"/>
        <v>Roti Cranberry</v>
      </c>
      <c r="K533" s="7">
        <f>if(RIGHT(I533,5)="2 pcs",2,Data!I533)</f>
        <v>1</v>
      </c>
      <c r="L533" s="2" t="str">
        <f t="shared" si="4"/>
        <v>Thursday</v>
      </c>
      <c r="M533" s="2" t="str">
        <f t="shared" si="5"/>
        <v>19</v>
      </c>
      <c r="N533" s="2">
        <f>VLOOKUP(L533,'Data Info'!$A$1:$B$8,2,0)</f>
        <v>4</v>
      </c>
      <c r="O533" s="2" t="str">
        <f>VLOOKUP(L533,'Data Info'!$A$1:$C$8,3,0)</f>
        <v>Weekday</v>
      </c>
    </row>
    <row r="534">
      <c r="A534" s="4">
        <v>45554.6125</v>
      </c>
      <c r="B534" s="9">
        <f>IFERROR(__xludf.DUMMYFUNCTION("SPLIT(A534,"" "")"),45554.0)</f>
        <v>45554</v>
      </c>
      <c r="C534" s="10">
        <f>IFERROR(__xludf.DUMMYFUNCTION("""COMPUTED_VALUE"""),0.6125)</f>
        <v>0.6125</v>
      </c>
      <c r="D534" s="2">
        <f t="shared" si="1"/>
        <v>14</v>
      </c>
      <c r="E534" s="2">
        <f>IFERROR(__xludf.DUMMYFUNCTION("SPLIT(B534,""/"")"),19.0)</f>
        <v>19</v>
      </c>
      <c r="F534" s="2">
        <f>IFERROR(__xludf.DUMMYFUNCTION("""COMPUTED_VALUE"""),9.0)</f>
        <v>9</v>
      </c>
      <c r="G534" s="2">
        <f>IFERROR(__xludf.DUMMYFUNCTION("""COMPUTED_VALUE"""),2024.0)</f>
        <v>2024</v>
      </c>
      <c r="H534" s="2" t="str">
        <f t="shared" si="2"/>
        <v>2024/9/19</v>
      </c>
      <c r="I534" s="2" t="s">
        <v>1595</v>
      </c>
      <c r="J534" s="2" t="str">
        <f t="shared" si="3"/>
        <v>Roti Gandum Cokelat</v>
      </c>
      <c r="K534" s="7">
        <f>if(RIGHT(I534,5)="2 pcs",2,Data!I534)</f>
        <v>1</v>
      </c>
      <c r="L534" s="2" t="str">
        <f t="shared" si="4"/>
        <v>Thursday</v>
      </c>
      <c r="M534" s="2" t="str">
        <f t="shared" si="5"/>
        <v>19</v>
      </c>
      <c r="N534" s="2">
        <f>VLOOKUP(L534,'Data Info'!$A$1:$B$8,2,0)</f>
        <v>4</v>
      </c>
      <c r="O534" s="2" t="str">
        <f>VLOOKUP(L534,'Data Info'!$A$1:$C$8,3,0)</f>
        <v>Weekday</v>
      </c>
    </row>
    <row r="535">
      <c r="A535" s="4">
        <v>45554.57361111111</v>
      </c>
      <c r="B535" s="9">
        <f>IFERROR(__xludf.DUMMYFUNCTION("SPLIT(A535,"" "")"),45554.0)</f>
        <v>45554</v>
      </c>
      <c r="C535" s="10">
        <f>IFERROR(__xludf.DUMMYFUNCTION("""COMPUTED_VALUE"""),0.5736111111111111)</f>
        <v>0.5736111111</v>
      </c>
      <c r="D535" s="2">
        <f t="shared" si="1"/>
        <v>13</v>
      </c>
      <c r="E535" s="2">
        <f>IFERROR(__xludf.DUMMYFUNCTION("SPLIT(B535,""/"")"),19.0)</f>
        <v>19</v>
      </c>
      <c r="F535" s="2">
        <f>IFERROR(__xludf.DUMMYFUNCTION("""COMPUTED_VALUE"""),9.0)</f>
        <v>9</v>
      </c>
      <c r="G535" s="2">
        <f>IFERROR(__xludf.DUMMYFUNCTION("""COMPUTED_VALUE"""),2024.0)</f>
        <v>2024</v>
      </c>
      <c r="H535" s="2" t="str">
        <f t="shared" si="2"/>
        <v>2024/9/19</v>
      </c>
      <c r="I535" s="2" t="s">
        <v>1566</v>
      </c>
      <c r="J535" s="2" t="str">
        <f t="shared" si="3"/>
        <v>Roti Bawang Saus Keju</v>
      </c>
      <c r="K535" s="7">
        <f>if(RIGHT(I535,5)="2 pcs",2,Data!I535)</f>
        <v>1</v>
      </c>
      <c r="L535" s="2" t="str">
        <f t="shared" si="4"/>
        <v>Thursday</v>
      </c>
      <c r="M535" s="2" t="str">
        <f t="shared" si="5"/>
        <v>19</v>
      </c>
      <c r="N535" s="2">
        <f>VLOOKUP(L535,'Data Info'!$A$1:$B$8,2,0)</f>
        <v>4</v>
      </c>
      <c r="O535" s="2" t="str">
        <f>VLOOKUP(L535,'Data Info'!$A$1:$C$8,3,0)</f>
        <v>Weekday</v>
      </c>
    </row>
    <row r="536">
      <c r="A536" s="4">
        <v>45554.57361111111</v>
      </c>
      <c r="B536" s="9">
        <f>IFERROR(__xludf.DUMMYFUNCTION("SPLIT(A536,"" "")"),45554.0)</f>
        <v>45554</v>
      </c>
      <c r="C536" s="10">
        <f>IFERROR(__xludf.DUMMYFUNCTION("""COMPUTED_VALUE"""),0.5736111111111111)</f>
        <v>0.5736111111</v>
      </c>
      <c r="D536" s="2">
        <f t="shared" si="1"/>
        <v>13</v>
      </c>
      <c r="E536" s="2">
        <f>IFERROR(__xludf.DUMMYFUNCTION("SPLIT(B536,""/"")"),19.0)</f>
        <v>19</v>
      </c>
      <c r="F536" s="2">
        <f>IFERROR(__xludf.DUMMYFUNCTION("""COMPUTED_VALUE"""),9.0)</f>
        <v>9</v>
      </c>
      <c r="G536" s="2">
        <f>IFERROR(__xludf.DUMMYFUNCTION("""COMPUTED_VALUE"""),2024.0)</f>
        <v>2024</v>
      </c>
      <c r="H536" s="2" t="str">
        <f t="shared" si="2"/>
        <v>2024/9/19</v>
      </c>
      <c r="I536" s="2" t="s">
        <v>1576</v>
      </c>
      <c r="J536" s="2" t="str">
        <f t="shared" si="3"/>
        <v>Roti Cranberry</v>
      </c>
      <c r="K536" s="7">
        <f>if(RIGHT(I536,5)="2 pcs",2,Data!I536)</f>
        <v>1</v>
      </c>
      <c r="L536" s="2" t="str">
        <f t="shared" si="4"/>
        <v>Thursday</v>
      </c>
      <c r="M536" s="2" t="str">
        <f t="shared" si="5"/>
        <v>19</v>
      </c>
      <c r="N536" s="2">
        <f>VLOOKUP(L536,'Data Info'!$A$1:$B$8,2,0)</f>
        <v>4</v>
      </c>
      <c r="O536" s="2" t="str">
        <f>VLOOKUP(L536,'Data Info'!$A$1:$C$8,3,0)</f>
        <v>Weekday</v>
      </c>
    </row>
    <row r="537">
      <c r="A537" s="4">
        <v>45554.57361111111</v>
      </c>
      <c r="B537" s="9">
        <f>IFERROR(__xludf.DUMMYFUNCTION("SPLIT(A537,"" "")"),45554.0)</f>
        <v>45554</v>
      </c>
      <c r="C537" s="10">
        <f>IFERROR(__xludf.DUMMYFUNCTION("""COMPUTED_VALUE"""),0.5736111111111111)</f>
        <v>0.5736111111</v>
      </c>
      <c r="D537" s="2">
        <f t="shared" si="1"/>
        <v>13</v>
      </c>
      <c r="E537" s="2">
        <f>IFERROR(__xludf.DUMMYFUNCTION("SPLIT(B537,""/"")"),19.0)</f>
        <v>19</v>
      </c>
      <c r="F537" s="2">
        <f>IFERROR(__xludf.DUMMYFUNCTION("""COMPUTED_VALUE"""),9.0)</f>
        <v>9</v>
      </c>
      <c r="G537" s="2">
        <f>IFERROR(__xludf.DUMMYFUNCTION("""COMPUTED_VALUE"""),2024.0)</f>
        <v>2024</v>
      </c>
      <c r="H537" s="2" t="str">
        <f t="shared" si="2"/>
        <v>2024/9/19</v>
      </c>
      <c r="I537" s="2" t="s">
        <v>1595</v>
      </c>
      <c r="J537" s="2" t="str">
        <f t="shared" si="3"/>
        <v>Roti Gandum Cokelat</v>
      </c>
      <c r="K537" s="7">
        <f>if(RIGHT(I537,5)="2 pcs",2,Data!I537)</f>
        <v>1</v>
      </c>
      <c r="L537" s="2" t="str">
        <f t="shared" si="4"/>
        <v>Thursday</v>
      </c>
      <c r="M537" s="2" t="str">
        <f t="shared" si="5"/>
        <v>19</v>
      </c>
      <c r="N537" s="2">
        <f>VLOOKUP(L537,'Data Info'!$A$1:$B$8,2,0)</f>
        <v>4</v>
      </c>
      <c r="O537" s="2" t="str">
        <f>VLOOKUP(L537,'Data Info'!$A$1:$C$8,3,0)</f>
        <v>Weekday</v>
      </c>
    </row>
    <row r="538">
      <c r="A538" s="4">
        <v>45554.56180555555</v>
      </c>
      <c r="B538" s="9">
        <f>IFERROR(__xludf.DUMMYFUNCTION("SPLIT(A538,"" "")"),45554.0)</f>
        <v>45554</v>
      </c>
      <c r="C538" s="10">
        <f>IFERROR(__xludf.DUMMYFUNCTION("""COMPUTED_VALUE"""),0.5618055555555556)</f>
        <v>0.5618055556</v>
      </c>
      <c r="D538" s="2">
        <f t="shared" si="1"/>
        <v>13</v>
      </c>
      <c r="E538" s="2">
        <f>IFERROR(__xludf.DUMMYFUNCTION("SPLIT(B538,""/"")"),19.0)</f>
        <v>19</v>
      </c>
      <c r="F538" s="2">
        <f>IFERROR(__xludf.DUMMYFUNCTION("""COMPUTED_VALUE"""),9.0)</f>
        <v>9</v>
      </c>
      <c r="G538" s="2">
        <f>IFERROR(__xludf.DUMMYFUNCTION("""COMPUTED_VALUE"""),2024.0)</f>
        <v>2024</v>
      </c>
      <c r="H538" s="2" t="str">
        <f t="shared" si="2"/>
        <v>2024/9/19</v>
      </c>
      <c r="I538" s="2" t="s">
        <v>1581</v>
      </c>
      <c r="J538" s="2" t="str">
        <f t="shared" si="3"/>
        <v>Chicken Claypot Rice</v>
      </c>
      <c r="K538" s="7">
        <f>if(RIGHT(I538,5)="2 pcs",2,Data!I538)</f>
        <v>1</v>
      </c>
      <c r="L538" s="2" t="str">
        <f t="shared" si="4"/>
        <v>Thursday</v>
      </c>
      <c r="M538" s="2" t="str">
        <f t="shared" si="5"/>
        <v>19</v>
      </c>
      <c r="N538" s="2">
        <f>VLOOKUP(L538,'Data Info'!$A$1:$B$8,2,0)</f>
        <v>4</v>
      </c>
      <c r="O538" s="2" t="str">
        <f>VLOOKUP(L538,'Data Info'!$A$1:$C$8,3,0)</f>
        <v>Weekday</v>
      </c>
    </row>
    <row r="539">
      <c r="A539" s="4">
        <v>45554.56180555555</v>
      </c>
      <c r="B539" s="9">
        <f>IFERROR(__xludf.DUMMYFUNCTION("SPLIT(A539,"" "")"),45554.0)</f>
        <v>45554</v>
      </c>
      <c r="C539" s="10">
        <f>IFERROR(__xludf.DUMMYFUNCTION("""COMPUTED_VALUE"""),0.5618055555555556)</f>
        <v>0.5618055556</v>
      </c>
      <c r="D539" s="2">
        <f t="shared" si="1"/>
        <v>13</v>
      </c>
      <c r="E539" s="2">
        <f>IFERROR(__xludf.DUMMYFUNCTION("SPLIT(B539,""/"")"),19.0)</f>
        <v>19</v>
      </c>
      <c r="F539" s="2">
        <f>IFERROR(__xludf.DUMMYFUNCTION("""COMPUTED_VALUE"""),9.0)</f>
        <v>9</v>
      </c>
      <c r="G539" s="2">
        <f>IFERROR(__xludf.DUMMYFUNCTION("""COMPUTED_VALUE"""),2024.0)</f>
        <v>2024</v>
      </c>
      <c r="H539" s="2" t="str">
        <f t="shared" si="2"/>
        <v>2024/9/19</v>
      </c>
      <c r="I539" s="2" t="s">
        <v>1598</v>
      </c>
      <c r="J539" s="2" t="str">
        <f t="shared" si="3"/>
        <v>Korean Strawberry Fresh Milk</v>
      </c>
      <c r="K539" s="7">
        <f>if(RIGHT(I539,5)="2 pcs",2,Data!I539)</f>
        <v>2</v>
      </c>
      <c r="L539" s="2" t="str">
        <f t="shared" si="4"/>
        <v>Thursday</v>
      </c>
      <c r="M539" s="2" t="str">
        <f t="shared" si="5"/>
        <v>19</v>
      </c>
      <c r="N539" s="2">
        <f>VLOOKUP(L539,'Data Info'!$A$1:$B$8,2,0)</f>
        <v>4</v>
      </c>
      <c r="O539" s="2" t="str">
        <f>VLOOKUP(L539,'Data Info'!$A$1:$C$8,3,0)</f>
        <v>Weekday</v>
      </c>
    </row>
    <row r="540">
      <c r="A540" s="4">
        <v>45554.56180555555</v>
      </c>
      <c r="B540" s="9">
        <f>IFERROR(__xludf.DUMMYFUNCTION("SPLIT(A540,"" "")"),45554.0)</f>
        <v>45554</v>
      </c>
      <c r="C540" s="10">
        <f>IFERROR(__xludf.DUMMYFUNCTION("""COMPUTED_VALUE"""),0.5618055555555556)</f>
        <v>0.5618055556</v>
      </c>
      <c r="D540" s="2">
        <f t="shared" si="1"/>
        <v>13</v>
      </c>
      <c r="E540" s="2">
        <f>IFERROR(__xludf.DUMMYFUNCTION("SPLIT(B540,""/"")"),19.0)</f>
        <v>19</v>
      </c>
      <c r="F540" s="2">
        <f>IFERROR(__xludf.DUMMYFUNCTION("""COMPUTED_VALUE"""),9.0)</f>
        <v>9</v>
      </c>
      <c r="G540" s="2">
        <f>IFERROR(__xludf.DUMMYFUNCTION("""COMPUTED_VALUE"""),2024.0)</f>
        <v>2024</v>
      </c>
      <c r="H540" s="2" t="str">
        <f t="shared" si="2"/>
        <v>2024/9/19</v>
      </c>
      <c r="I540" s="2" t="s">
        <v>1573</v>
      </c>
      <c r="J540" s="2" t="str">
        <f t="shared" si="3"/>
        <v>Air mineral</v>
      </c>
      <c r="K540" s="7">
        <f>if(RIGHT(I540,5)="2 pcs",2,Data!I540)</f>
        <v>2</v>
      </c>
      <c r="L540" s="2" t="str">
        <f t="shared" si="4"/>
        <v>Thursday</v>
      </c>
      <c r="M540" s="2" t="str">
        <f t="shared" si="5"/>
        <v>19</v>
      </c>
      <c r="N540" s="2">
        <f>VLOOKUP(L540,'Data Info'!$A$1:$B$8,2,0)</f>
        <v>4</v>
      </c>
      <c r="O540" s="2" t="str">
        <f>VLOOKUP(L540,'Data Info'!$A$1:$C$8,3,0)</f>
        <v>Weekday</v>
      </c>
    </row>
    <row r="541">
      <c r="A541" s="4">
        <v>45554.56180555555</v>
      </c>
      <c r="B541" s="9">
        <f>IFERROR(__xludf.DUMMYFUNCTION("SPLIT(A541,"" "")"),45554.0)</f>
        <v>45554</v>
      </c>
      <c r="C541" s="10">
        <f>IFERROR(__xludf.DUMMYFUNCTION("""COMPUTED_VALUE"""),0.5618055555555556)</f>
        <v>0.5618055556</v>
      </c>
      <c r="D541" s="2">
        <f t="shared" si="1"/>
        <v>13</v>
      </c>
      <c r="E541" s="2">
        <f>IFERROR(__xludf.DUMMYFUNCTION("SPLIT(B541,""/"")"),19.0)</f>
        <v>19</v>
      </c>
      <c r="F541" s="2">
        <f>IFERROR(__xludf.DUMMYFUNCTION("""COMPUTED_VALUE"""),9.0)</f>
        <v>9</v>
      </c>
      <c r="G541" s="2">
        <f>IFERROR(__xludf.DUMMYFUNCTION("""COMPUTED_VALUE"""),2024.0)</f>
        <v>2024</v>
      </c>
      <c r="H541" s="2" t="str">
        <f t="shared" si="2"/>
        <v>2024/9/19</v>
      </c>
      <c r="I541" s="2" t="s">
        <v>1611</v>
      </c>
      <c r="J541" s="2" t="str">
        <f t="shared" si="3"/>
        <v>Beef Claypot Rice</v>
      </c>
      <c r="K541" s="7">
        <f>if(RIGHT(I541,5)="2 pcs",2,Data!I541)</f>
        <v>2</v>
      </c>
      <c r="L541" s="2" t="str">
        <f t="shared" si="4"/>
        <v>Thursday</v>
      </c>
      <c r="M541" s="2" t="str">
        <f t="shared" si="5"/>
        <v>19</v>
      </c>
      <c r="N541" s="2">
        <f>VLOOKUP(L541,'Data Info'!$A$1:$B$8,2,0)</f>
        <v>4</v>
      </c>
      <c r="O541" s="2" t="str">
        <f>VLOOKUP(L541,'Data Info'!$A$1:$C$8,3,0)</f>
        <v>Weekday</v>
      </c>
    </row>
    <row r="542">
      <c r="A542" s="4">
        <v>45554.56180555555</v>
      </c>
      <c r="B542" s="9">
        <f>IFERROR(__xludf.DUMMYFUNCTION("SPLIT(A542,"" "")"),45554.0)</f>
        <v>45554</v>
      </c>
      <c r="C542" s="10">
        <f>IFERROR(__xludf.DUMMYFUNCTION("""COMPUTED_VALUE"""),0.5618055555555556)</f>
        <v>0.5618055556</v>
      </c>
      <c r="D542" s="2">
        <f t="shared" si="1"/>
        <v>13</v>
      </c>
      <c r="E542" s="2">
        <f>IFERROR(__xludf.DUMMYFUNCTION("SPLIT(B542,""/"")"),19.0)</f>
        <v>19</v>
      </c>
      <c r="F542" s="2">
        <f>IFERROR(__xludf.DUMMYFUNCTION("""COMPUTED_VALUE"""),9.0)</f>
        <v>9</v>
      </c>
      <c r="G542" s="2">
        <f>IFERROR(__xludf.DUMMYFUNCTION("""COMPUTED_VALUE"""),2024.0)</f>
        <v>2024</v>
      </c>
      <c r="H542" s="2" t="str">
        <f t="shared" si="2"/>
        <v>2024/9/19</v>
      </c>
      <c r="I542" s="2" t="s">
        <v>1603</v>
      </c>
      <c r="J542" s="2" t="str">
        <f t="shared" si="3"/>
        <v>Nasi Goreng Temu</v>
      </c>
      <c r="K542" s="7">
        <f>if(RIGHT(I542,5)="2 pcs",2,Data!I542)</f>
        <v>3</v>
      </c>
      <c r="L542" s="2" t="str">
        <f t="shared" si="4"/>
        <v>Thursday</v>
      </c>
      <c r="M542" s="2" t="str">
        <f t="shared" si="5"/>
        <v>19</v>
      </c>
      <c r="N542" s="2">
        <f>VLOOKUP(L542,'Data Info'!$A$1:$B$8,2,0)</f>
        <v>4</v>
      </c>
      <c r="O542" s="2" t="str">
        <f>VLOOKUP(L542,'Data Info'!$A$1:$C$8,3,0)</f>
        <v>Weekday</v>
      </c>
    </row>
    <row r="543">
      <c r="A543" s="4">
        <v>45554.56180555555</v>
      </c>
      <c r="B543" s="9">
        <f>IFERROR(__xludf.DUMMYFUNCTION("SPLIT(A543,"" "")"),45554.0)</f>
        <v>45554</v>
      </c>
      <c r="C543" s="10">
        <f>IFERROR(__xludf.DUMMYFUNCTION("""COMPUTED_VALUE"""),0.5618055555555556)</f>
        <v>0.5618055556</v>
      </c>
      <c r="D543" s="2">
        <f t="shared" si="1"/>
        <v>13</v>
      </c>
      <c r="E543" s="2">
        <f>IFERROR(__xludf.DUMMYFUNCTION("SPLIT(B543,""/"")"),19.0)</f>
        <v>19</v>
      </c>
      <c r="F543" s="2">
        <f>IFERROR(__xludf.DUMMYFUNCTION("""COMPUTED_VALUE"""),9.0)</f>
        <v>9</v>
      </c>
      <c r="G543" s="2">
        <f>IFERROR(__xludf.DUMMYFUNCTION("""COMPUTED_VALUE"""),2024.0)</f>
        <v>2024</v>
      </c>
      <c r="H543" s="2" t="str">
        <f t="shared" si="2"/>
        <v>2024/9/19</v>
      </c>
      <c r="I543" s="2" t="s">
        <v>1588</v>
      </c>
      <c r="J543" s="2" t="str">
        <f t="shared" si="3"/>
        <v>Es Kopi Susu</v>
      </c>
      <c r="K543" s="7">
        <f>if(RIGHT(I543,5)="2 pcs",2,Data!I543)</f>
        <v>5</v>
      </c>
      <c r="L543" s="2" t="str">
        <f t="shared" si="4"/>
        <v>Thursday</v>
      </c>
      <c r="M543" s="2" t="str">
        <f t="shared" si="5"/>
        <v>19</v>
      </c>
      <c r="N543" s="2">
        <f>VLOOKUP(L543,'Data Info'!$A$1:$B$8,2,0)</f>
        <v>4</v>
      </c>
      <c r="O543" s="2" t="str">
        <f>VLOOKUP(L543,'Data Info'!$A$1:$C$8,3,0)</f>
        <v>Weekday</v>
      </c>
    </row>
    <row r="544">
      <c r="A544" s="4">
        <v>45554.46805555555</v>
      </c>
      <c r="B544" s="9">
        <f>IFERROR(__xludf.DUMMYFUNCTION("SPLIT(A544,"" "")"),45554.0)</f>
        <v>45554</v>
      </c>
      <c r="C544" s="10">
        <f>IFERROR(__xludf.DUMMYFUNCTION("""COMPUTED_VALUE"""),0.46805555555555556)</f>
        <v>0.4680555556</v>
      </c>
      <c r="D544" s="2">
        <f t="shared" si="1"/>
        <v>11</v>
      </c>
      <c r="E544" s="2">
        <f>IFERROR(__xludf.DUMMYFUNCTION("SPLIT(B544,""/"")"),19.0)</f>
        <v>19</v>
      </c>
      <c r="F544" s="2">
        <f>IFERROR(__xludf.DUMMYFUNCTION("""COMPUTED_VALUE"""),9.0)</f>
        <v>9</v>
      </c>
      <c r="G544" s="2">
        <f>IFERROR(__xludf.DUMMYFUNCTION("""COMPUTED_VALUE"""),2024.0)</f>
        <v>2024</v>
      </c>
      <c r="H544" s="2" t="str">
        <f t="shared" si="2"/>
        <v>2024/9/19</v>
      </c>
      <c r="I544" s="2" t="s">
        <v>1603</v>
      </c>
      <c r="J544" s="2" t="str">
        <f t="shared" si="3"/>
        <v>Nasi Goreng Temu</v>
      </c>
      <c r="K544" s="7">
        <f>if(RIGHT(I544,5)="2 pcs",2,Data!I544)</f>
        <v>1</v>
      </c>
      <c r="L544" s="2" t="str">
        <f t="shared" si="4"/>
        <v>Thursday</v>
      </c>
      <c r="M544" s="2" t="str">
        <f t="shared" si="5"/>
        <v>19</v>
      </c>
      <c r="N544" s="2">
        <f>VLOOKUP(L544,'Data Info'!$A$1:$B$8,2,0)</f>
        <v>4</v>
      </c>
      <c r="O544" s="2" t="str">
        <f>VLOOKUP(L544,'Data Info'!$A$1:$C$8,3,0)</f>
        <v>Weekday</v>
      </c>
    </row>
    <row r="545">
      <c r="A545" s="4">
        <v>45554.46805555555</v>
      </c>
      <c r="B545" s="9">
        <f>IFERROR(__xludf.DUMMYFUNCTION("SPLIT(A545,"" "")"),45554.0)</f>
        <v>45554</v>
      </c>
      <c r="C545" s="10">
        <f>IFERROR(__xludf.DUMMYFUNCTION("""COMPUTED_VALUE"""),0.46805555555555556)</f>
        <v>0.4680555556</v>
      </c>
      <c r="D545" s="2">
        <f t="shared" si="1"/>
        <v>11</v>
      </c>
      <c r="E545" s="2">
        <f>IFERROR(__xludf.DUMMYFUNCTION("SPLIT(B545,""/"")"),19.0)</f>
        <v>19</v>
      </c>
      <c r="F545" s="2">
        <f>IFERROR(__xludf.DUMMYFUNCTION("""COMPUTED_VALUE"""),9.0)</f>
        <v>9</v>
      </c>
      <c r="G545" s="2">
        <f>IFERROR(__xludf.DUMMYFUNCTION("""COMPUTED_VALUE"""),2024.0)</f>
        <v>2024</v>
      </c>
      <c r="H545" s="2" t="str">
        <f t="shared" si="2"/>
        <v>2024/9/19</v>
      </c>
      <c r="I545" s="2" t="s">
        <v>1588</v>
      </c>
      <c r="J545" s="2" t="str">
        <f t="shared" si="3"/>
        <v>Es Kopi Susu</v>
      </c>
      <c r="K545" s="7">
        <f>if(RIGHT(I545,5)="2 pcs",2,Data!I545)</f>
        <v>1</v>
      </c>
      <c r="L545" s="2" t="str">
        <f t="shared" si="4"/>
        <v>Thursday</v>
      </c>
      <c r="M545" s="2" t="str">
        <f t="shared" si="5"/>
        <v>19</v>
      </c>
      <c r="N545" s="2">
        <f>VLOOKUP(L545,'Data Info'!$A$1:$B$8,2,0)</f>
        <v>4</v>
      </c>
      <c r="O545" s="2" t="str">
        <f>VLOOKUP(L545,'Data Info'!$A$1:$C$8,3,0)</f>
        <v>Weekday</v>
      </c>
    </row>
    <row r="546">
      <c r="A546" s="4">
        <v>45553.80763888889</v>
      </c>
      <c r="B546" s="9">
        <f>IFERROR(__xludf.DUMMYFUNCTION("SPLIT(A546,"" "")"),45553.0)</f>
        <v>45553</v>
      </c>
      <c r="C546" s="10">
        <f>IFERROR(__xludf.DUMMYFUNCTION("""COMPUTED_VALUE"""),0.8076388888888889)</f>
        <v>0.8076388889</v>
      </c>
      <c r="D546" s="2">
        <f t="shared" si="1"/>
        <v>19</v>
      </c>
      <c r="E546" s="2">
        <f>IFERROR(__xludf.DUMMYFUNCTION("SPLIT(B546,""/"")"),18.0)</f>
        <v>18</v>
      </c>
      <c r="F546" s="2">
        <f>IFERROR(__xludf.DUMMYFUNCTION("""COMPUTED_VALUE"""),9.0)</f>
        <v>9</v>
      </c>
      <c r="G546" s="2">
        <f>IFERROR(__xludf.DUMMYFUNCTION("""COMPUTED_VALUE"""),2024.0)</f>
        <v>2024</v>
      </c>
      <c r="H546" s="2" t="str">
        <f t="shared" si="2"/>
        <v>2024/9/18</v>
      </c>
      <c r="I546" s="2" t="s">
        <v>1582</v>
      </c>
      <c r="J546" s="2" t="str">
        <f t="shared" si="3"/>
        <v>Teh Tawar Dingin</v>
      </c>
      <c r="K546" s="7">
        <f>if(RIGHT(I546,5)="2 pcs",2,Data!I546)</f>
        <v>1</v>
      </c>
      <c r="L546" s="2" t="str">
        <f t="shared" si="4"/>
        <v>Wednesday</v>
      </c>
      <c r="M546" s="2" t="str">
        <f t="shared" si="5"/>
        <v>18</v>
      </c>
      <c r="N546" s="2">
        <f>VLOOKUP(L546,'Data Info'!$A$1:$B$8,2,0)</f>
        <v>3</v>
      </c>
      <c r="O546" s="2" t="str">
        <f>VLOOKUP(L546,'Data Info'!$A$1:$C$8,3,0)</f>
        <v>Weekday</v>
      </c>
    </row>
    <row r="547">
      <c r="A547" s="4">
        <v>45553.80763888889</v>
      </c>
      <c r="B547" s="9">
        <f>IFERROR(__xludf.DUMMYFUNCTION("SPLIT(A547,"" "")"),45553.0)</f>
        <v>45553</v>
      </c>
      <c r="C547" s="10">
        <f>IFERROR(__xludf.DUMMYFUNCTION("""COMPUTED_VALUE"""),0.8076388888888889)</f>
        <v>0.8076388889</v>
      </c>
      <c r="D547" s="2">
        <f t="shared" si="1"/>
        <v>19</v>
      </c>
      <c r="E547" s="2">
        <f>IFERROR(__xludf.DUMMYFUNCTION("SPLIT(B547,""/"")"),18.0)</f>
        <v>18</v>
      </c>
      <c r="F547" s="2">
        <f>IFERROR(__xludf.DUMMYFUNCTION("""COMPUTED_VALUE"""),9.0)</f>
        <v>9</v>
      </c>
      <c r="G547" s="2">
        <f>IFERROR(__xludf.DUMMYFUNCTION("""COMPUTED_VALUE"""),2024.0)</f>
        <v>2024</v>
      </c>
      <c r="H547" s="2" t="str">
        <f t="shared" si="2"/>
        <v>2024/9/18</v>
      </c>
      <c r="I547" s="2" t="s">
        <v>1618</v>
      </c>
      <c r="J547" s="2" t="str">
        <f t="shared" si="3"/>
        <v>Susu murni ori</v>
      </c>
      <c r="K547" s="7">
        <f>if(RIGHT(I547,5)="2 pcs",2,Data!I547)</f>
        <v>1</v>
      </c>
      <c r="L547" s="2" t="str">
        <f t="shared" si="4"/>
        <v>Wednesday</v>
      </c>
      <c r="M547" s="2" t="str">
        <f t="shared" si="5"/>
        <v>18</v>
      </c>
      <c r="N547" s="2">
        <f>VLOOKUP(L547,'Data Info'!$A$1:$B$8,2,0)</f>
        <v>3</v>
      </c>
      <c r="O547" s="2" t="str">
        <f>VLOOKUP(L547,'Data Info'!$A$1:$C$8,3,0)</f>
        <v>Weekday</v>
      </c>
    </row>
    <row r="548">
      <c r="A548" s="4">
        <v>45553.80763888889</v>
      </c>
      <c r="B548" s="9">
        <f>IFERROR(__xludf.DUMMYFUNCTION("SPLIT(A548,"" "")"),45553.0)</f>
        <v>45553</v>
      </c>
      <c r="C548" s="10">
        <f>IFERROR(__xludf.DUMMYFUNCTION("""COMPUTED_VALUE"""),0.8076388888888889)</f>
        <v>0.8076388889</v>
      </c>
      <c r="D548" s="2">
        <f t="shared" si="1"/>
        <v>19</v>
      </c>
      <c r="E548" s="2">
        <f>IFERROR(__xludf.DUMMYFUNCTION("SPLIT(B548,""/"")"),18.0)</f>
        <v>18</v>
      </c>
      <c r="F548" s="2">
        <f>IFERROR(__xludf.DUMMYFUNCTION("""COMPUTED_VALUE"""),9.0)</f>
        <v>9</v>
      </c>
      <c r="G548" s="2">
        <f>IFERROR(__xludf.DUMMYFUNCTION("""COMPUTED_VALUE"""),2024.0)</f>
        <v>2024</v>
      </c>
      <c r="H548" s="2" t="str">
        <f t="shared" si="2"/>
        <v>2024/9/18</v>
      </c>
      <c r="I548" s="2" t="s">
        <v>1587</v>
      </c>
      <c r="J548" s="2" t="str">
        <f t="shared" si="3"/>
        <v>Tahu Lada Garam</v>
      </c>
      <c r="K548" s="7">
        <f>if(RIGHT(I548,5)="2 pcs",2,Data!I548)</f>
        <v>1</v>
      </c>
      <c r="L548" s="2" t="str">
        <f t="shared" si="4"/>
        <v>Wednesday</v>
      </c>
      <c r="M548" s="2" t="str">
        <f t="shared" si="5"/>
        <v>18</v>
      </c>
      <c r="N548" s="2">
        <f>VLOOKUP(L548,'Data Info'!$A$1:$B$8,2,0)</f>
        <v>3</v>
      </c>
      <c r="O548" s="2" t="str">
        <f>VLOOKUP(L548,'Data Info'!$A$1:$C$8,3,0)</f>
        <v>Weekday</v>
      </c>
    </row>
    <row r="549">
      <c r="A549" s="4">
        <v>45553.72638888889</v>
      </c>
      <c r="B549" s="9">
        <f>IFERROR(__xludf.DUMMYFUNCTION("SPLIT(A549,"" "")"),45553.0)</f>
        <v>45553</v>
      </c>
      <c r="C549" s="10">
        <f>IFERROR(__xludf.DUMMYFUNCTION("""COMPUTED_VALUE"""),0.7263888888888889)</f>
        <v>0.7263888889</v>
      </c>
      <c r="D549" s="2">
        <f t="shared" si="1"/>
        <v>17</v>
      </c>
      <c r="E549" s="2">
        <f>IFERROR(__xludf.DUMMYFUNCTION("SPLIT(B549,""/"")"),18.0)</f>
        <v>18</v>
      </c>
      <c r="F549" s="2">
        <f>IFERROR(__xludf.DUMMYFUNCTION("""COMPUTED_VALUE"""),9.0)</f>
        <v>9</v>
      </c>
      <c r="G549" s="2">
        <f>IFERROR(__xludf.DUMMYFUNCTION("""COMPUTED_VALUE"""),2024.0)</f>
        <v>2024</v>
      </c>
      <c r="H549" s="2" t="str">
        <f t="shared" si="2"/>
        <v>2024/9/18</v>
      </c>
      <c r="I549" s="2" t="s">
        <v>1597</v>
      </c>
      <c r="J549" s="2" t="str">
        <f t="shared" si="3"/>
        <v>Roti Gandum Cokelat</v>
      </c>
      <c r="K549" s="7">
        <f>if(RIGHT(I549,5)="2 pcs",2,Data!I549)</f>
        <v>2</v>
      </c>
      <c r="L549" s="2" t="str">
        <f t="shared" si="4"/>
        <v>Wednesday</v>
      </c>
      <c r="M549" s="2" t="str">
        <f t="shared" si="5"/>
        <v>18</v>
      </c>
      <c r="N549" s="2">
        <f>VLOOKUP(L549,'Data Info'!$A$1:$B$8,2,0)</f>
        <v>3</v>
      </c>
      <c r="O549" s="2" t="str">
        <f>VLOOKUP(L549,'Data Info'!$A$1:$C$8,3,0)</f>
        <v>Weekday</v>
      </c>
    </row>
    <row r="550">
      <c r="A550" s="4">
        <v>45553.697916666664</v>
      </c>
      <c r="B550" s="9">
        <f>IFERROR(__xludf.DUMMYFUNCTION("SPLIT(A550,"" "")"),45553.0)</f>
        <v>45553</v>
      </c>
      <c r="C550" s="10">
        <f>IFERROR(__xludf.DUMMYFUNCTION("""COMPUTED_VALUE"""),0.6979166666666666)</f>
        <v>0.6979166667</v>
      </c>
      <c r="D550" s="2">
        <f t="shared" si="1"/>
        <v>16</v>
      </c>
      <c r="E550" s="2">
        <f>IFERROR(__xludf.DUMMYFUNCTION("SPLIT(B550,""/"")"),18.0)</f>
        <v>18</v>
      </c>
      <c r="F550" s="2">
        <f>IFERROR(__xludf.DUMMYFUNCTION("""COMPUTED_VALUE"""),9.0)</f>
        <v>9</v>
      </c>
      <c r="G550" s="2">
        <f>IFERROR(__xludf.DUMMYFUNCTION("""COMPUTED_VALUE"""),2024.0)</f>
        <v>2024</v>
      </c>
      <c r="H550" s="2" t="str">
        <f t="shared" si="2"/>
        <v>2024/9/18</v>
      </c>
      <c r="I550" s="2" t="s">
        <v>1576</v>
      </c>
      <c r="J550" s="2" t="str">
        <f t="shared" si="3"/>
        <v>Roti Cranberry</v>
      </c>
      <c r="K550" s="7">
        <f>if(RIGHT(I550,5)="2 pcs",2,Data!I550)</f>
        <v>1</v>
      </c>
      <c r="L550" s="2" t="str">
        <f t="shared" si="4"/>
        <v>Wednesday</v>
      </c>
      <c r="M550" s="2" t="str">
        <f t="shared" si="5"/>
        <v>18</v>
      </c>
      <c r="N550" s="2">
        <f>VLOOKUP(L550,'Data Info'!$A$1:$B$8,2,0)</f>
        <v>3</v>
      </c>
      <c r="O550" s="2" t="str">
        <f>VLOOKUP(L550,'Data Info'!$A$1:$C$8,3,0)</f>
        <v>Weekday</v>
      </c>
    </row>
    <row r="551">
      <c r="A551" s="4">
        <v>45553.697916666664</v>
      </c>
      <c r="B551" s="9">
        <f>IFERROR(__xludf.DUMMYFUNCTION("SPLIT(A551,"" "")"),45553.0)</f>
        <v>45553</v>
      </c>
      <c r="C551" s="10">
        <f>IFERROR(__xludf.DUMMYFUNCTION("""COMPUTED_VALUE"""),0.6979166666666666)</f>
        <v>0.6979166667</v>
      </c>
      <c r="D551" s="2">
        <f t="shared" si="1"/>
        <v>16</v>
      </c>
      <c r="E551" s="2">
        <f>IFERROR(__xludf.DUMMYFUNCTION("SPLIT(B551,""/"")"),18.0)</f>
        <v>18</v>
      </c>
      <c r="F551" s="2">
        <f>IFERROR(__xludf.DUMMYFUNCTION("""COMPUTED_VALUE"""),9.0)</f>
        <v>9</v>
      </c>
      <c r="G551" s="2">
        <f>IFERROR(__xludf.DUMMYFUNCTION("""COMPUTED_VALUE"""),2024.0)</f>
        <v>2024</v>
      </c>
      <c r="H551" s="2" t="str">
        <f t="shared" si="2"/>
        <v>2024/9/18</v>
      </c>
      <c r="I551" s="2" t="s">
        <v>1595</v>
      </c>
      <c r="J551" s="2" t="str">
        <f t="shared" si="3"/>
        <v>Roti Gandum Cokelat</v>
      </c>
      <c r="K551" s="7">
        <f>if(RIGHT(I551,5)="2 pcs",2,Data!I551)</f>
        <v>1</v>
      </c>
      <c r="L551" s="2" t="str">
        <f t="shared" si="4"/>
        <v>Wednesday</v>
      </c>
      <c r="M551" s="2" t="str">
        <f t="shared" si="5"/>
        <v>18</v>
      </c>
      <c r="N551" s="2">
        <f>VLOOKUP(L551,'Data Info'!$A$1:$B$8,2,0)</f>
        <v>3</v>
      </c>
      <c r="O551" s="2" t="str">
        <f>VLOOKUP(L551,'Data Info'!$A$1:$C$8,3,0)</f>
        <v>Weekday</v>
      </c>
    </row>
    <row r="552">
      <c r="A552" s="4">
        <v>45553.69097222222</v>
      </c>
      <c r="B552" s="9">
        <f>IFERROR(__xludf.DUMMYFUNCTION("SPLIT(A552,"" "")"),45553.0)</f>
        <v>45553</v>
      </c>
      <c r="C552" s="10">
        <f>IFERROR(__xludf.DUMMYFUNCTION("""COMPUTED_VALUE"""),0.6909722222222222)</f>
        <v>0.6909722222</v>
      </c>
      <c r="D552" s="2">
        <f t="shared" si="1"/>
        <v>16</v>
      </c>
      <c r="E552" s="2">
        <f>IFERROR(__xludf.DUMMYFUNCTION("SPLIT(B552,""/"")"),18.0)</f>
        <v>18</v>
      </c>
      <c r="F552" s="2">
        <f>IFERROR(__xludf.DUMMYFUNCTION("""COMPUTED_VALUE"""),9.0)</f>
        <v>9</v>
      </c>
      <c r="G552" s="2">
        <f>IFERROR(__xludf.DUMMYFUNCTION("""COMPUTED_VALUE"""),2024.0)</f>
        <v>2024</v>
      </c>
      <c r="H552" s="2" t="str">
        <f t="shared" si="2"/>
        <v>2024/9/18</v>
      </c>
      <c r="I552" s="2" t="s">
        <v>1566</v>
      </c>
      <c r="J552" s="2" t="str">
        <f t="shared" si="3"/>
        <v>Roti Bawang Saus Keju</v>
      </c>
      <c r="K552" s="7">
        <f>if(RIGHT(I552,5)="2 pcs",2,Data!I552)</f>
        <v>1</v>
      </c>
      <c r="L552" s="2" t="str">
        <f t="shared" si="4"/>
        <v>Wednesday</v>
      </c>
      <c r="M552" s="2" t="str">
        <f t="shared" si="5"/>
        <v>18</v>
      </c>
      <c r="N552" s="2">
        <f>VLOOKUP(L552,'Data Info'!$A$1:$B$8,2,0)</f>
        <v>3</v>
      </c>
      <c r="O552" s="2" t="str">
        <f>VLOOKUP(L552,'Data Info'!$A$1:$C$8,3,0)</f>
        <v>Weekday</v>
      </c>
    </row>
    <row r="553">
      <c r="A553" s="4">
        <v>45553.69097222222</v>
      </c>
      <c r="B553" s="9">
        <f>IFERROR(__xludf.DUMMYFUNCTION("SPLIT(A553,"" "")"),45553.0)</f>
        <v>45553</v>
      </c>
      <c r="C553" s="10">
        <f>IFERROR(__xludf.DUMMYFUNCTION("""COMPUTED_VALUE"""),0.6909722222222222)</f>
        <v>0.6909722222</v>
      </c>
      <c r="D553" s="2">
        <f t="shared" si="1"/>
        <v>16</v>
      </c>
      <c r="E553" s="2">
        <f>IFERROR(__xludf.DUMMYFUNCTION("SPLIT(B553,""/"")"),18.0)</f>
        <v>18</v>
      </c>
      <c r="F553" s="2">
        <f>IFERROR(__xludf.DUMMYFUNCTION("""COMPUTED_VALUE"""),9.0)</f>
        <v>9</v>
      </c>
      <c r="G553" s="2">
        <f>IFERROR(__xludf.DUMMYFUNCTION("""COMPUTED_VALUE"""),2024.0)</f>
        <v>2024</v>
      </c>
      <c r="H553" s="2" t="str">
        <f t="shared" si="2"/>
        <v>2024/9/18</v>
      </c>
      <c r="I553" s="2" t="s">
        <v>1616</v>
      </c>
      <c r="J553" s="2" t="str">
        <f t="shared" si="3"/>
        <v>Roti panggang coklat</v>
      </c>
      <c r="K553" s="7">
        <f>if(RIGHT(I553,5)="2 pcs",2,Data!I553)</f>
        <v>1</v>
      </c>
      <c r="L553" s="2" t="str">
        <f t="shared" si="4"/>
        <v>Wednesday</v>
      </c>
      <c r="M553" s="2" t="str">
        <f t="shared" si="5"/>
        <v>18</v>
      </c>
      <c r="N553" s="2">
        <f>VLOOKUP(L553,'Data Info'!$A$1:$B$8,2,0)</f>
        <v>3</v>
      </c>
      <c r="O553" s="2" t="str">
        <f>VLOOKUP(L553,'Data Info'!$A$1:$C$8,3,0)</f>
        <v>Weekday</v>
      </c>
    </row>
    <row r="554">
      <c r="A554" s="4">
        <v>45553.69097222222</v>
      </c>
      <c r="B554" s="9">
        <f>IFERROR(__xludf.DUMMYFUNCTION("SPLIT(A554,"" "")"),45553.0)</f>
        <v>45553</v>
      </c>
      <c r="C554" s="10">
        <f>IFERROR(__xludf.DUMMYFUNCTION("""COMPUTED_VALUE"""),0.6909722222222222)</f>
        <v>0.6909722222</v>
      </c>
      <c r="D554" s="2">
        <f t="shared" si="1"/>
        <v>16</v>
      </c>
      <c r="E554" s="2">
        <f>IFERROR(__xludf.DUMMYFUNCTION("SPLIT(B554,""/"")"),18.0)</f>
        <v>18</v>
      </c>
      <c r="F554" s="2">
        <f>IFERROR(__xludf.DUMMYFUNCTION("""COMPUTED_VALUE"""),9.0)</f>
        <v>9</v>
      </c>
      <c r="G554" s="2">
        <f>IFERROR(__xludf.DUMMYFUNCTION("""COMPUTED_VALUE"""),2024.0)</f>
        <v>2024</v>
      </c>
      <c r="H554" s="2" t="str">
        <f t="shared" si="2"/>
        <v>2024/9/18</v>
      </c>
      <c r="I554" s="2" t="s">
        <v>1579</v>
      </c>
      <c r="J554" s="2" t="str">
        <f t="shared" si="3"/>
        <v>Tahu baso</v>
      </c>
      <c r="K554" s="7">
        <f>if(RIGHT(I554,5)="2 pcs",2,Data!I554)</f>
        <v>1</v>
      </c>
      <c r="L554" s="2" t="str">
        <f t="shared" si="4"/>
        <v>Wednesday</v>
      </c>
      <c r="M554" s="2" t="str">
        <f t="shared" si="5"/>
        <v>18</v>
      </c>
      <c r="N554" s="2">
        <f>VLOOKUP(L554,'Data Info'!$A$1:$B$8,2,0)</f>
        <v>3</v>
      </c>
      <c r="O554" s="2" t="str">
        <f>VLOOKUP(L554,'Data Info'!$A$1:$C$8,3,0)</f>
        <v>Weekday</v>
      </c>
    </row>
    <row r="555">
      <c r="A555" s="4">
        <v>45553.69097222222</v>
      </c>
      <c r="B555" s="9">
        <f>IFERROR(__xludf.DUMMYFUNCTION("SPLIT(A555,"" "")"),45553.0)</f>
        <v>45553</v>
      </c>
      <c r="C555" s="10">
        <f>IFERROR(__xludf.DUMMYFUNCTION("""COMPUTED_VALUE"""),0.6909722222222222)</f>
        <v>0.6909722222</v>
      </c>
      <c r="D555" s="2">
        <f t="shared" si="1"/>
        <v>16</v>
      </c>
      <c r="E555" s="2">
        <f>IFERROR(__xludf.DUMMYFUNCTION("SPLIT(B555,""/"")"),18.0)</f>
        <v>18</v>
      </c>
      <c r="F555" s="2">
        <f>IFERROR(__xludf.DUMMYFUNCTION("""COMPUTED_VALUE"""),9.0)</f>
        <v>9</v>
      </c>
      <c r="G555" s="2">
        <f>IFERROR(__xludf.DUMMYFUNCTION("""COMPUTED_VALUE"""),2024.0)</f>
        <v>2024</v>
      </c>
      <c r="H555" s="2" t="str">
        <f t="shared" si="2"/>
        <v>2024/9/18</v>
      </c>
      <c r="I555" s="2" t="s">
        <v>1589</v>
      </c>
      <c r="J555" s="2" t="str">
        <f t="shared" si="3"/>
        <v>Teh Manis Dingin</v>
      </c>
      <c r="K555" s="7">
        <f>if(RIGHT(I555,5)="2 pcs",2,Data!I555)</f>
        <v>1</v>
      </c>
      <c r="L555" s="2" t="str">
        <f t="shared" si="4"/>
        <v>Wednesday</v>
      </c>
      <c r="M555" s="2" t="str">
        <f t="shared" si="5"/>
        <v>18</v>
      </c>
      <c r="N555" s="2">
        <f>VLOOKUP(L555,'Data Info'!$A$1:$B$8,2,0)</f>
        <v>3</v>
      </c>
      <c r="O555" s="2" t="str">
        <f>VLOOKUP(L555,'Data Info'!$A$1:$C$8,3,0)</f>
        <v>Weekday</v>
      </c>
    </row>
    <row r="556">
      <c r="A556" s="4">
        <v>45553.69097222222</v>
      </c>
      <c r="B556" s="9">
        <f>IFERROR(__xludf.DUMMYFUNCTION("SPLIT(A556,"" "")"),45553.0)</f>
        <v>45553</v>
      </c>
      <c r="C556" s="10">
        <f>IFERROR(__xludf.DUMMYFUNCTION("""COMPUTED_VALUE"""),0.6909722222222222)</f>
        <v>0.6909722222</v>
      </c>
      <c r="D556" s="2">
        <f t="shared" si="1"/>
        <v>16</v>
      </c>
      <c r="E556" s="2">
        <f>IFERROR(__xludf.DUMMYFUNCTION("SPLIT(B556,""/"")"),18.0)</f>
        <v>18</v>
      </c>
      <c r="F556" s="2">
        <f>IFERROR(__xludf.DUMMYFUNCTION("""COMPUTED_VALUE"""),9.0)</f>
        <v>9</v>
      </c>
      <c r="G556" s="2">
        <f>IFERROR(__xludf.DUMMYFUNCTION("""COMPUTED_VALUE"""),2024.0)</f>
        <v>2024</v>
      </c>
      <c r="H556" s="2" t="str">
        <f t="shared" si="2"/>
        <v>2024/9/18</v>
      </c>
      <c r="I556" s="2" t="s">
        <v>1588</v>
      </c>
      <c r="J556" s="2" t="str">
        <f t="shared" si="3"/>
        <v>Es Kopi Susu</v>
      </c>
      <c r="K556" s="7">
        <f>if(RIGHT(I556,5)="2 pcs",2,Data!I556)</f>
        <v>1</v>
      </c>
      <c r="L556" s="2" t="str">
        <f t="shared" si="4"/>
        <v>Wednesday</v>
      </c>
      <c r="M556" s="2" t="str">
        <f t="shared" si="5"/>
        <v>18</v>
      </c>
      <c r="N556" s="2">
        <f>VLOOKUP(L556,'Data Info'!$A$1:$B$8,2,0)</f>
        <v>3</v>
      </c>
      <c r="O556" s="2" t="str">
        <f>VLOOKUP(L556,'Data Info'!$A$1:$C$8,3,0)</f>
        <v>Weekday</v>
      </c>
    </row>
    <row r="557">
      <c r="A557" s="4">
        <v>45553.68819444445</v>
      </c>
      <c r="B557" s="9">
        <f>IFERROR(__xludf.DUMMYFUNCTION("SPLIT(A557,"" "")"),45553.0)</f>
        <v>45553</v>
      </c>
      <c r="C557" s="10">
        <f>IFERROR(__xludf.DUMMYFUNCTION("""COMPUTED_VALUE"""),0.6881944444444444)</f>
        <v>0.6881944444</v>
      </c>
      <c r="D557" s="2">
        <f t="shared" si="1"/>
        <v>16</v>
      </c>
      <c r="E557" s="2">
        <f>IFERROR(__xludf.DUMMYFUNCTION("SPLIT(B557,""/"")"),18.0)</f>
        <v>18</v>
      </c>
      <c r="F557" s="2">
        <f>IFERROR(__xludf.DUMMYFUNCTION("""COMPUTED_VALUE"""),9.0)</f>
        <v>9</v>
      </c>
      <c r="G557" s="2">
        <f>IFERROR(__xludf.DUMMYFUNCTION("""COMPUTED_VALUE"""),2024.0)</f>
        <v>2024</v>
      </c>
      <c r="H557" s="2" t="str">
        <f t="shared" si="2"/>
        <v>2024/9/18</v>
      </c>
      <c r="I557" s="2" t="s">
        <v>1596</v>
      </c>
      <c r="J557" s="2" t="str">
        <f t="shared" si="3"/>
        <v>Roti Cranberry</v>
      </c>
      <c r="K557" s="7">
        <f>if(RIGHT(I557,5)="2 pcs",2,Data!I557)</f>
        <v>2</v>
      </c>
      <c r="L557" s="2" t="str">
        <f t="shared" si="4"/>
        <v>Wednesday</v>
      </c>
      <c r="M557" s="2" t="str">
        <f t="shared" si="5"/>
        <v>18</v>
      </c>
      <c r="N557" s="2">
        <f>VLOOKUP(L557,'Data Info'!$A$1:$B$8,2,0)</f>
        <v>3</v>
      </c>
      <c r="O557" s="2" t="str">
        <f>VLOOKUP(L557,'Data Info'!$A$1:$C$8,3,0)</f>
        <v>Weekday</v>
      </c>
    </row>
    <row r="558">
      <c r="A558" s="4">
        <v>45553.68819444445</v>
      </c>
      <c r="B558" s="9">
        <f>IFERROR(__xludf.DUMMYFUNCTION("SPLIT(A558,"" "")"),45553.0)</f>
        <v>45553</v>
      </c>
      <c r="C558" s="10">
        <f>IFERROR(__xludf.DUMMYFUNCTION("""COMPUTED_VALUE"""),0.6881944444444444)</f>
        <v>0.6881944444</v>
      </c>
      <c r="D558" s="2">
        <f t="shared" si="1"/>
        <v>16</v>
      </c>
      <c r="E558" s="2">
        <f>IFERROR(__xludf.DUMMYFUNCTION("SPLIT(B558,""/"")"),18.0)</f>
        <v>18</v>
      </c>
      <c r="F558" s="2">
        <f>IFERROR(__xludf.DUMMYFUNCTION("""COMPUTED_VALUE"""),9.0)</f>
        <v>9</v>
      </c>
      <c r="G558" s="2">
        <f>IFERROR(__xludf.DUMMYFUNCTION("""COMPUTED_VALUE"""),2024.0)</f>
        <v>2024</v>
      </c>
      <c r="H558" s="2" t="str">
        <f t="shared" si="2"/>
        <v>2024/9/18</v>
      </c>
      <c r="I558" s="2" t="s">
        <v>1588</v>
      </c>
      <c r="J558" s="2" t="str">
        <f t="shared" si="3"/>
        <v>Es Kopi Susu</v>
      </c>
      <c r="K558" s="7">
        <f>if(RIGHT(I558,5)="2 pcs",2,Data!I558)</f>
        <v>1</v>
      </c>
      <c r="L558" s="2" t="str">
        <f t="shared" si="4"/>
        <v>Wednesday</v>
      </c>
      <c r="M558" s="2" t="str">
        <f t="shared" si="5"/>
        <v>18</v>
      </c>
      <c r="N558" s="2">
        <f>VLOOKUP(L558,'Data Info'!$A$1:$B$8,2,0)</f>
        <v>3</v>
      </c>
      <c r="O558" s="2" t="str">
        <f>VLOOKUP(L558,'Data Info'!$A$1:$C$8,3,0)</f>
        <v>Weekday</v>
      </c>
    </row>
    <row r="559">
      <c r="A559" s="4">
        <v>45553.68819444445</v>
      </c>
      <c r="B559" s="9">
        <f>IFERROR(__xludf.DUMMYFUNCTION("SPLIT(A559,"" "")"),45553.0)</f>
        <v>45553</v>
      </c>
      <c r="C559" s="10">
        <f>IFERROR(__xludf.DUMMYFUNCTION("""COMPUTED_VALUE"""),0.6881944444444444)</f>
        <v>0.6881944444</v>
      </c>
      <c r="D559" s="2">
        <f t="shared" si="1"/>
        <v>16</v>
      </c>
      <c r="E559" s="2">
        <f>IFERROR(__xludf.DUMMYFUNCTION("SPLIT(B559,""/"")"),18.0)</f>
        <v>18</v>
      </c>
      <c r="F559" s="2">
        <f>IFERROR(__xludf.DUMMYFUNCTION("""COMPUTED_VALUE"""),9.0)</f>
        <v>9</v>
      </c>
      <c r="G559" s="2">
        <f>IFERROR(__xludf.DUMMYFUNCTION("""COMPUTED_VALUE"""),2024.0)</f>
        <v>2024</v>
      </c>
      <c r="H559" s="2" t="str">
        <f t="shared" si="2"/>
        <v>2024/9/18</v>
      </c>
      <c r="I559" s="2" t="s">
        <v>1584</v>
      </c>
      <c r="J559" s="2" t="str">
        <f t="shared" si="3"/>
        <v>Korean Mango Fresh Milk</v>
      </c>
      <c r="K559" s="7">
        <f>if(RIGHT(I559,5)="2 pcs",2,Data!I559)</f>
        <v>1</v>
      </c>
      <c r="L559" s="2" t="str">
        <f t="shared" si="4"/>
        <v>Wednesday</v>
      </c>
      <c r="M559" s="2" t="str">
        <f t="shared" si="5"/>
        <v>18</v>
      </c>
      <c r="N559" s="2">
        <f>VLOOKUP(L559,'Data Info'!$A$1:$B$8,2,0)</f>
        <v>3</v>
      </c>
      <c r="O559" s="2" t="str">
        <f>VLOOKUP(L559,'Data Info'!$A$1:$C$8,3,0)</f>
        <v>Weekday</v>
      </c>
    </row>
    <row r="560">
      <c r="A560" s="4">
        <v>45553.675</v>
      </c>
      <c r="B560" s="9">
        <f>IFERROR(__xludf.DUMMYFUNCTION("SPLIT(A560,"" "")"),45553.0)</f>
        <v>45553</v>
      </c>
      <c r="C560" s="10">
        <f>IFERROR(__xludf.DUMMYFUNCTION("""COMPUTED_VALUE"""),0.675)</f>
        <v>0.675</v>
      </c>
      <c r="D560" s="2">
        <f t="shared" si="1"/>
        <v>16</v>
      </c>
      <c r="E560" s="2">
        <f>IFERROR(__xludf.DUMMYFUNCTION("SPLIT(B560,""/"")"),18.0)</f>
        <v>18</v>
      </c>
      <c r="F560" s="2">
        <f>IFERROR(__xludf.DUMMYFUNCTION("""COMPUTED_VALUE"""),9.0)</f>
        <v>9</v>
      </c>
      <c r="G560" s="2">
        <f>IFERROR(__xludf.DUMMYFUNCTION("""COMPUTED_VALUE"""),2024.0)</f>
        <v>2024</v>
      </c>
      <c r="H560" s="2" t="str">
        <f t="shared" si="2"/>
        <v>2024/9/18</v>
      </c>
      <c r="I560" s="2" t="s">
        <v>1566</v>
      </c>
      <c r="J560" s="2" t="str">
        <f t="shared" si="3"/>
        <v>Roti Bawang Saus Keju</v>
      </c>
      <c r="K560" s="7">
        <f>if(RIGHT(I560,5)="2 pcs",2,Data!I560)</f>
        <v>1</v>
      </c>
      <c r="L560" s="2" t="str">
        <f t="shared" si="4"/>
        <v>Wednesday</v>
      </c>
      <c r="M560" s="2" t="str">
        <f t="shared" si="5"/>
        <v>18</v>
      </c>
      <c r="N560" s="2">
        <f>VLOOKUP(L560,'Data Info'!$A$1:$B$8,2,0)</f>
        <v>3</v>
      </c>
      <c r="O560" s="2" t="str">
        <f>VLOOKUP(L560,'Data Info'!$A$1:$C$8,3,0)</f>
        <v>Weekday</v>
      </c>
    </row>
    <row r="561">
      <c r="A561" s="4">
        <v>45553.675</v>
      </c>
      <c r="B561" s="9">
        <f>IFERROR(__xludf.DUMMYFUNCTION("SPLIT(A561,"" "")"),45553.0)</f>
        <v>45553</v>
      </c>
      <c r="C561" s="10">
        <f>IFERROR(__xludf.DUMMYFUNCTION("""COMPUTED_VALUE"""),0.675)</f>
        <v>0.675</v>
      </c>
      <c r="D561" s="2">
        <f t="shared" si="1"/>
        <v>16</v>
      </c>
      <c r="E561" s="2">
        <f>IFERROR(__xludf.DUMMYFUNCTION("SPLIT(B561,""/"")"),18.0)</f>
        <v>18</v>
      </c>
      <c r="F561" s="2">
        <f>IFERROR(__xludf.DUMMYFUNCTION("""COMPUTED_VALUE"""),9.0)</f>
        <v>9</v>
      </c>
      <c r="G561" s="2">
        <f>IFERROR(__xludf.DUMMYFUNCTION("""COMPUTED_VALUE"""),2024.0)</f>
        <v>2024</v>
      </c>
      <c r="H561" s="2" t="str">
        <f t="shared" si="2"/>
        <v>2024/9/18</v>
      </c>
      <c r="I561" s="2" t="s">
        <v>1606</v>
      </c>
      <c r="J561" s="2" t="str">
        <f t="shared" si="3"/>
        <v>Pisang Goreng</v>
      </c>
      <c r="K561" s="7">
        <f>if(RIGHT(I561,5)="2 pcs",2,Data!I561)</f>
        <v>1</v>
      </c>
      <c r="L561" s="2" t="str">
        <f t="shared" si="4"/>
        <v>Wednesday</v>
      </c>
      <c r="M561" s="2" t="str">
        <f t="shared" si="5"/>
        <v>18</v>
      </c>
      <c r="N561" s="2">
        <f>VLOOKUP(L561,'Data Info'!$A$1:$B$8,2,0)</f>
        <v>3</v>
      </c>
      <c r="O561" s="2" t="str">
        <f>VLOOKUP(L561,'Data Info'!$A$1:$C$8,3,0)</f>
        <v>Weekday</v>
      </c>
    </row>
    <row r="562">
      <c r="A562" s="4">
        <v>45553.675</v>
      </c>
      <c r="B562" s="9">
        <f>IFERROR(__xludf.DUMMYFUNCTION("SPLIT(A562,"" "")"),45553.0)</f>
        <v>45553</v>
      </c>
      <c r="C562" s="10">
        <f>IFERROR(__xludf.DUMMYFUNCTION("""COMPUTED_VALUE"""),0.675)</f>
        <v>0.675</v>
      </c>
      <c r="D562" s="2">
        <f t="shared" si="1"/>
        <v>16</v>
      </c>
      <c r="E562" s="2">
        <f>IFERROR(__xludf.DUMMYFUNCTION("SPLIT(B562,""/"")"),18.0)</f>
        <v>18</v>
      </c>
      <c r="F562" s="2">
        <f>IFERROR(__xludf.DUMMYFUNCTION("""COMPUTED_VALUE"""),9.0)</f>
        <v>9</v>
      </c>
      <c r="G562" s="2">
        <f>IFERROR(__xludf.DUMMYFUNCTION("""COMPUTED_VALUE"""),2024.0)</f>
        <v>2024</v>
      </c>
      <c r="H562" s="2" t="str">
        <f t="shared" si="2"/>
        <v>2024/9/18</v>
      </c>
      <c r="I562" s="2" t="s">
        <v>1587</v>
      </c>
      <c r="J562" s="2" t="str">
        <f t="shared" si="3"/>
        <v>Tahu Lada Garam</v>
      </c>
      <c r="K562" s="7">
        <f>if(RIGHT(I562,5)="2 pcs",2,Data!I562)</f>
        <v>1</v>
      </c>
      <c r="L562" s="2" t="str">
        <f t="shared" si="4"/>
        <v>Wednesday</v>
      </c>
      <c r="M562" s="2" t="str">
        <f t="shared" si="5"/>
        <v>18</v>
      </c>
      <c r="N562" s="2">
        <f>VLOOKUP(L562,'Data Info'!$A$1:$B$8,2,0)</f>
        <v>3</v>
      </c>
      <c r="O562" s="2" t="str">
        <f>VLOOKUP(L562,'Data Info'!$A$1:$C$8,3,0)</f>
        <v>Weekday</v>
      </c>
    </row>
    <row r="563">
      <c r="A563" s="4">
        <v>45553.675</v>
      </c>
      <c r="B563" s="9">
        <f>IFERROR(__xludf.DUMMYFUNCTION("SPLIT(A563,"" "")"),45553.0)</f>
        <v>45553</v>
      </c>
      <c r="C563" s="10">
        <f>IFERROR(__xludf.DUMMYFUNCTION("""COMPUTED_VALUE"""),0.675)</f>
        <v>0.675</v>
      </c>
      <c r="D563" s="2">
        <f t="shared" si="1"/>
        <v>16</v>
      </c>
      <c r="E563" s="2">
        <f>IFERROR(__xludf.DUMMYFUNCTION("SPLIT(B563,""/"")"),18.0)</f>
        <v>18</v>
      </c>
      <c r="F563" s="2">
        <f>IFERROR(__xludf.DUMMYFUNCTION("""COMPUTED_VALUE"""),9.0)</f>
        <v>9</v>
      </c>
      <c r="G563" s="2">
        <f>IFERROR(__xludf.DUMMYFUNCTION("""COMPUTED_VALUE"""),2024.0)</f>
        <v>2024</v>
      </c>
      <c r="H563" s="2" t="str">
        <f t="shared" si="2"/>
        <v>2024/9/18</v>
      </c>
      <c r="I563" s="2" t="s">
        <v>1609</v>
      </c>
      <c r="J563" s="2" t="str">
        <f t="shared" si="3"/>
        <v>Tempe Mendoan</v>
      </c>
      <c r="K563" s="7">
        <f>if(RIGHT(I563,5)="2 pcs",2,Data!I563)</f>
        <v>1</v>
      </c>
      <c r="L563" s="2" t="str">
        <f t="shared" si="4"/>
        <v>Wednesday</v>
      </c>
      <c r="M563" s="2" t="str">
        <f t="shared" si="5"/>
        <v>18</v>
      </c>
      <c r="N563" s="2">
        <f>VLOOKUP(L563,'Data Info'!$A$1:$B$8,2,0)</f>
        <v>3</v>
      </c>
      <c r="O563" s="2" t="str">
        <f>VLOOKUP(L563,'Data Info'!$A$1:$C$8,3,0)</f>
        <v>Weekday</v>
      </c>
    </row>
    <row r="564">
      <c r="A564" s="4">
        <v>45553.67152777778</v>
      </c>
      <c r="B564" s="9">
        <f>IFERROR(__xludf.DUMMYFUNCTION("SPLIT(A564,"" "")"),45553.0)</f>
        <v>45553</v>
      </c>
      <c r="C564" s="10">
        <f>IFERROR(__xludf.DUMMYFUNCTION("""COMPUTED_VALUE"""),0.6715277777777777)</f>
        <v>0.6715277778</v>
      </c>
      <c r="D564" s="2">
        <f t="shared" si="1"/>
        <v>16</v>
      </c>
      <c r="E564" s="2">
        <f>IFERROR(__xludf.DUMMYFUNCTION("SPLIT(B564,""/"")"),18.0)</f>
        <v>18</v>
      </c>
      <c r="F564" s="2">
        <f>IFERROR(__xludf.DUMMYFUNCTION("""COMPUTED_VALUE"""),9.0)</f>
        <v>9</v>
      </c>
      <c r="G564" s="2">
        <f>IFERROR(__xludf.DUMMYFUNCTION("""COMPUTED_VALUE"""),2024.0)</f>
        <v>2024</v>
      </c>
      <c r="H564" s="2" t="str">
        <f t="shared" si="2"/>
        <v>2024/9/18</v>
      </c>
      <c r="I564" s="2" t="s">
        <v>1576</v>
      </c>
      <c r="J564" s="2" t="str">
        <f t="shared" si="3"/>
        <v>Roti Cranberry</v>
      </c>
      <c r="K564" s="7">
        <f>if(RIGHT(I564,5)="2 pcs",2,Data!I564)</f>
        <v>1</v>
      </c>
      <c r="L564" s="2" t="str">
        <f t="shared" si="4"/>
        <v>Wednesday</v>
      </c>
      <c r="M564" s="2" t="str">
        <f t="shared" si="5"/>
        <v>18</v>
      </c>
      <c r="N564" s="2">
        <f>VLOOKUP(L564,'Data Info'!$A$1:$B$8,2,0)</f>
        <v>3</v>
      </c>
      <c r="O564" s="2" t="str">
        <f>VLOOKUP(L564,'Data Info'!$A$1:$C$8,3,0)</f>
        <v>Weekday</v>
      </c>
    </row>
    <row r="565">
      <c r="A565" s="4">
        <v>45553.64027777778</v>
      </c>
      <c r="B565" s="9">
        <f>IFERROR(__xludf.DUMMYFUNCTION("SPLIT(A565,"" "")"),45553.0)</f>
        <v>45553</v>
      </c>
      <c r="C565" s="10">
        <f>IFERROR(__xludf.DUMMYFUNCTION("""COMPUTED_VALUE"""),0.6402777777777777)</f>
        <v>0.6402777778</v>
      </c>
      <c r="D565" s="2">
        <f t="shared" si="1"/>
        <v>15</v>
      </c>
      <c r="E565" s="2">
        <f>IFERROR(__xludf.DUMMYFUNCTION("SPLIT(B565,""/"")"),18.0)</f>
        <v>18</v>
      </c>
      <c r="F565" s="2">
        <f>IFERROR(__xludf.DUMMYFUNCTION("""COMPUTED_VALUE"""),9.0)</f>
        <v>9</v>
      </c>
      <c r="G565" s="2">
        <f>IFERROR(__xludf.DUMMYFUNCTION("""COMPUTED_VALUE"""),2024.0)</f>
        <v>2024</v>
      </c>
      <c r="H565" s="2" t="str">
        <f t="shared" si="2"/>
        <v>2024/9/18</v>
      </c>
      <c r="I565" s="2" t="s">
        <v>1588</v>
      </c>
      <c r="J565" s="2" t="str">
        <f t="shared" si="3"/>
        <v>Es Kopi Susu</v>
      </c>
      <c r="K565" s="7">
        <f>if(RIGHT(I565,5)="2 pcs",2,Data!I565)</f>
        <v>1</v>
      </c>
      <c r="L565" s="2" t="str">
        <f t="shared" si="4"/>
        <v>Wednesday</v>
      </c>
      <c r="M565" s="2" t="str">
        <f t="shared" si="5"/>
        <v>18</v>
      </c>
      <c r="N565" s="2">
        <f>VLOOKUP(L565,'Data Info'!$A$1:$B$8,2,0)</f>
        <v>3</v>
      </c>
      <c r="O565" s="2" t="str">
        <f>VLOOKUP(L565,'Data Info'!$A$1:$C$8,3,0)</f>
        <v>Weekday</v>
      </c>
    </row>
    <row r="566">
      <c r="A566" s="4">
        <v>45553.626388888886</v>
      </c>
      <c r="B566" s="9">
        <f>IFERROR(__xludf.DUMMYFUNCTION("SPLIT(A566,"" "")"),45553.0)</f>
        <v>45553</v>
      </c>
      <c r="C566" s="10">
        <f>IFERROR(__xludf.DUMMYFUNCTION("""COMPUTED_VALUE"""),0.6263888888888889)</f>
        <v>0.6263888889</v>
      </c>
      <c r="D566" s="2">
        <f t="shared" si="1"/>
        <v>15</v>
      </c>
      <c r="E566" s="2">
        <f>IFERROR(__xludf.DUMMYFUNCTION("SPLIT(B566,""/"")"),18.0)</f>
        <v>18</v>
      </c>
      <c r="F566" s="2">
        <f>IFERROR(__xludf.DUMMYFUNCTION("""COMPUTED_VALUE"""),9.0)</f>
        <v>9</v>
      </c>
      <c r="G566" s="2">
        <f>IFERROR(__xludf.DUMMYFUNCTION("""COMPUTED_VALUE"""),2024.0)</f>
        <v>2024</v>
      </c>
      <c r="H566" s="2" t="str">
        <f t="shared" si="2"/>
        <v>2024/9/18</v>
      </c>
      <c r="I566" s="2" t="s">
        <v>1576</v>
      </c>
      <c r="J566" s="2" t="str">
        <f t="shared" si="3"/>
        <v>Roti Cranberry</v>
      </c>
      <c r="K566" s="7">
        <f>if(RIGHT(I566,5)="2 pcs",2,Data!I566)</f>
        <v>1</v>
      </c>
      <c r="L566" s="2" t="str">
        <f t="shared" si="4"/>
        <v>Wednesday</v>
      </c>
      <c r="M566" s="2" t="str">
        <f t="shared" si="5"/>
        <v>18</v>
      </c>
      <c r="N566" s="2">
        <f>VLOOKUP(L566,'Data Info'!$A$1:$B$8,2,0)</f>
        <v>3</v>
      </c>
      <c r="O566" s="2" t="str">
        <f>VLOOKUP(L566,'Data Info'!$A$1:$C$8,3,0)</f>
        <v>Weekday</v>
      </c>
    </row>
    <row r="567">
      <c r="A567" s="4">
        <v>45553.626388888886</v>
      </c>
      <c r="B567" s="9">
        <f>IFERROR(__xludf.DUMMYFUNCTION("SPLIT(A567,"" "")"),45553.0)</f>
        <v>45553</v>
      </c>
      <c r="C567" s="10">
        <f>IFERROR(__xludf.DUMMYFUNCTION("""COMPUTED_VALUE"""),0.6263888888888889)</f>
        <v>0.6263888889</v>
      </c>
      <c r="D567" s="2">
        <f t="shared" si="1"/>
        <v>15</v>
      </c>
      <c r="E567" s="2">
        <f>IFERROR(__xludf.DUMMYFUNCTION("SPLIT(B567,""/"")"),18.0)</f>
        <v>18</v>
      </c>
      <c r="F567" s="2">
        <f>IFERROR(__xludf.DUMMYFUNCTION("""COMPUTED_VALUE"""),9.0)</f>
        <v>9</v>
      </c>
      <c r="G567" s="2">
        <f>IFERROR(__xludf.DUMMYFUNCTION("""COMPUTED_VALUE"""),2024.0)</f>
        <v>2024</v>
      </c>
      <c r="H567" s="2" t="str">
        <f t="shared" si="2"/>
        <v>2024/9/18</v>
      </c>
      <c r="I567" s="2" t="s">
        <v>1595</v>
      </c>
      <c r="J567" s="2" t="str">
        <f t="shared" si="3"/>
        <v>Roti Gandum Cokelat</v>
      </c>
      <c r="K567" s="7">
        <f>if(RIGHT(I567,5)="2 pcs",2,Data!I567)</f>
        <v>1</v>
      </c>
      <c r="L567" s="2" t="str">
        <f t="shared" si="4"/>
        <v>Wednesday</v>
      </c>
      <c r="M567" s="2" t="str">
        <f t="shared" si="5"/>
        <v>18</v>
      </c>
      <c r="N567" s="2">
        <f>VLOOKUP(L567,'Data Info'!$A$1:$B$8,2,0)</f>
        <v>3</v>
      </c>
      <c r="O567" s="2" t="str">
        <f>VLOOKUP(L567,'Data Info'!$A$1:$C$8,3,0)</f>
        <v>Weekday</v>
      </c>
    </row>
    <row r="568">
      <c r="A568" s="4">
        <v>45553.618055555555</v>
      </c>
      <c r="B568" s="9">
        <f>IFERROR(__xludf.DUMMYFUNCTION("SPLIT(A568,"" "")"),45553.0)</f>
        <v>45553</v>
      </c>
      <c r="C568" s="10">
        <f>IFERROR(__xludf.DUMMYFUNCTION("""COMPUTED_VALUE"""),0.6180555555555556)</f>
        <v>0.6180555556</v>
      </c>
      <c r="D568" s="2">
        <f t="shared" si="1"/>
        <v>14</v>
      </c>
      <c r="E568" s="2">
        <f>IFERROR(__xludf.DUMMYFUNCTION("SPLIT(B568,""/"")"),18.0)</f>
        <v>18</v>
      </c>
      <c r="F568" s="2">
        <f>IFERROR(__xludf.DUMMYFUNCTION("""COMPUTED_VALUE"""),9.0)</f>
        <v>9</v>
      </c>
      <c r="G568" s="2">
        <f>IFERROR(__xludf.DUMMYFUNCTION("""COMPUTED_VALUE"""),2024.0)</f>
        <v>2024</v>
      </c>
      <c r="H568" s="2" t="str">
        <f t="shared" si="2"/>
        <v>2024/9/18</v>
      </c>
      <c r="I568" s="2" t="s">
        <v>1621</v>
      </c>
      <c r="J568" s="2" t="str">
        <f t="shared" si="3"/>
        <v>Wedang angin</v>
      </c>
      <c r="K568" s="7">
        <f>if(RIGHT(I568,5)="2 pcs",2,Data!I568)</f>
        <v>1</v>
      </c>
      <c r="L568" s="2" t="str">
        <f t="shared" si="4"/>
        <v>Wednesday</v>
      </c>
      <c r="M568" s="2" t="str">
        <f t="shared" si="5"/>
        <v>18</v>
      </c>
      <c r="N568" s="2">
        <f>VLOOKUP(L568,'Data Info'!$A$1:$B$8,2,0)</f>
        <v>3</v>
      </c>
      <c r="O568" s="2" t="str">
        <f>VLOOKUP(L568,'Data Info'!$A$1:$C$8,3,0)</f>
        <v>Weekday</v>
      </c>
    </row>
    <row r="569">
      <c r="A569" s="4">
        <v>45553.603472222225</v>
      </c>
      <c r="B569" s="9">
        <f>IFERROR(__xludf.DUMMYFUNCTION("SPLIT(A569,"" "")"),45553.0)</f>
        <v>45553</v>
      </c>
      <c r="C569" s="10">
        <f>IFERROR(__xludf.DUMMYFUNCTION("""COMPUTED_VALUE"""),0.6034722222222222)</f>
        <v>0.6034722222</v>
      </c>
      <c r="D569" s="2">
        <f t="shared" si="1"/>
        <v>14</v>
      </c>
      <c r="E569" s="2">
        <f>IFERROR(__xludf.DUMMYFUNCTION("SPLIT(B569,""/"")"),18.0)</f>
        <v>18</v>
      </c>
      <c r="F569" s="2">
        <f>IFERROR(__xludf.DUMMYFUNCTION("""COMPUTED_VALUE"""),9.0)</f>
        <v>9</v>
      </c>
      <c r="G569" s="2">
        <f>IFERROR(__xludf.DUMMYFUNCTION("""COMPUTED_VALUE"""),2024.0)</f>
        <v>2024</v>
      </c>
      <c r="H569" s="2" t="str">
        <f t="shared" si="2"/>
        <v>2024/9/18</v>
      </c>
      <c r="I569" s="2" t="s">
        <v>1620</v>
      </c>
      <c r="J569" s="2" t="str">
        <f t="shared" si="3"/>
        <v>Wedang hujan</v>
      </c>
      <c r="K569" s="7">
        <f>if(RIGHT(I569,5)="2 pcs",2,Data!I569)</f>
        <v>1</v>
      </c>
      <c r="L569" s="2" t="str">
        <f t="shared" si="4"/>
        <v>Wednesday</v>
      </c>
      <c r="M569" s="2" t="str">
        <f t="shared" si="5"/>
        <v>18</v>
      </c>
      <c r="N569" s="2">
        <f>VLOOKUP(L569,'Data Info'!$A$1:$B$8,2,0)</f>
        <v>3</v>
      </c>
      <c r="O569" s="2" t="str">
        <f>VLOOKUP(L569,'Data Info'!$A$1:$C$8,3,0)</f>
        <v>Weekday</v>
      </c>
    </row>
    <row r="570">
      <c r="A570" s="4">
        <v>45553.603472222225</v>
      </c>
      <c r="B570" s="9">
        <f>IFERROR(__xludf.DUMMYFUNCTION("SPLIT(A570,"" "")"),45553.0)</f>
        <v>45553</v>
      </c>
      <c r="C570" s="10">
        <f>IFERROR(__xludf.DUMMYFUNCTION("""COMPUTED_VALUE"""),0.6034722222222222)</f>
        <v>0.6034722222</v>
      </c>
      <c r="D570" s="2">
        <f t="shared" si="1"/>
        <v>14</v>
      </c>
      <c r="E570" s="2">
        <f>IFERROR(__xludf.DUMMYFUNCTION("SPLIT(B570,""/"")"),18.0)</f>
        <v>18</v>
      </c>
      <c r="F570" s="2">
        <f>IFERROR(__xludf.DUMMYFUNCTION("""COMPUTED_VALUE"""),9.0)</f>
        <v>9</v>
      </c>
      <c r="G570" s="2">
        <f>IFERROR(__xludf.DUMMYFUNCTION("""COMPUTED_VALUE"""),2024.0)</f>
        <v>2024</v>
      </c>
      <c r="H570" s="2" t="str">
        <f t="shared" si="2"/>
        <v>2024/9/18</v>
      </c>
      <c r="I570" s="2" t="s">
        <v>1594</v>
      </c>
      <c r="J570" s="2" t="str">
        <f t="shared" si="3"/>
        <v>Wedang Bulan</v>
      </c>
      <c r="K570" s="7">
        <f>if(RIGHT(I570,5)="2 pcs",2,Data!I570)</f>
        <v>1</v>
      </c>
      <c r="L570" s="2" t="str">
        <f t="shared" si="4"/>
        <v>Wednesday</v>
      </c>
      <c r="M570" s="2" t="str">
        <f t="shared" si="5"/>
        <v>18</v>
      </c>
      <c r="N570" s="2">
        <f>VLOOKUP(L570,'Data Info'!$A$1:$B$8,2,0)</f>
        <v>3</v>
      </c>
      <c r="O570" s="2" t="str">
        <f>VLOOKUP(L570,'Data Info'!$A$1:$C$8,3,0)</f>
        <v>Weekday</v>
      </c>
    </row>
    <row r="571">
      <c r="A571" s="4">
        <v>45553.603472222225</v>
      </c>
      <c r="B571" s="9">
        <f>IFERROR(__xludf.DUMMYFUNCTION("SPLIT(A571,"" "")"),45553.0)</f>
        <v>45553</v>
      </c>
      <c r="C571" s="10">
        <f>IFERROR(__xludf.DUMMYFUNCTION("""COMPUTED_VALUE"""),0.6034722222222222)</f>
        <v>0.6034722222</v>
      </c>
      <c r="D571" s="2">
        <f t="shared" si="1"/>
        <v>14</v>
      </c>
      <c r="E571" s="2">
        <f>IFERROR(__xludf.DUMMYFUNCTION("SPLIT(B571,""/"")"),18.0)</f>
        <v>18</v>
      </c>
      <c r="F571" s="2">
        <f>IFERROR(__xludf.DUMMYFUNCTION("""COMPUTED_VALUE"""),9.0)</f>
        <v>9</v>
      </c>
      <c r="G571" s="2">
        <f>IFERROR(__xludf.DUMMYFUNCTION("""COMPUTED_VALUE"""),2024.0)</f>
        <v>2024</v>
      </c>
      <c r="H571" s="2" t="str">
        <f t="shared" si="2"/>
        <v>2024/9/18</v>
      </c>
      <c r="I571" s="2" t="s">
        <v>1566</v>
      </c>
      <c r="J571" s="2" t="str">
        <f t="shared" si="3"/>
        <v>Roti Bawang Saus Keju</v>
      </c>
      <c r="K571" s="7">
        <f>if(RIGHT(I571,5)="2 pcs",2,Data!I571)</f>
        <v>1</v>
      </c>
      <c r="L571" s="2" t="str">
        <f t="shared" si="4"/>
        <v>Wednesday</v>
      </c>
      <c r="M571" s="2" t="str">
        <f t="shared" si="5"/>
        <v>18</v>
      </c>
      <c r="N571" s="2">
        <f>VLOOKUP(L571,'Data Info'!$A$1:$B$8,2,0)</f>
        <v>3</v>
      </c>
      <c r="O571" s="2" t="str">
        <f>VLOOKUP(L571,'Data Info'!$A$1:$C$8,3,0)</f>
        <v>Weekday</v>
      </c>
    </row>
    <row r="572">
      <c r="A572" s="4">
        <v>45553.57708333333</v>
      </c>
      <c r="B572" s="9">
        <f>IFERROR(__xludf.DUMMYFUNCTION("SPLIT(A572,"" "")"),45553.0)</f>
        <v>45553</v>
      </c>
      <c r="C572" s="10">
        <f>IFERROR(__xludf.DUMMYFUNCTION("""COMPUTED_VALUE"""),0.5770833333333333)</f>
        <v>0.5770833333</v>
      </c>
      <c r="D572" s="2">
        <f t="shared" si="1"/>
        <v>13</v>
      </c>
      <c r="E572" s="2">
        <f>IFERROR(__xludf.DUMMYFUNCTION("SPLIT(B572,""/"")"),18.0)</f>
        <v>18</v>
      </c>
      <c r="F572" s="2">
        <f>IFERROR(__xludf.DUMMYFUNCTION("""COMPUTED_VALUE"""),9.0)</f>
        <v>9</v>
      </c>
      <c r="G572" s="2">
        <f>IFERROR(__xludf.DUMMYFUNCTION("""COMPUTED_VALUE"""),2024.0)</f>
        <v>2024</v>
      </c>
      <c r="H572" s="2" t="str">
        <f t="shared" si="2"/>
        <v>2024/9/18</v>
      </c>
      <c r="I572" s="2" t="s">
        <v>1579</v>
      </c>
      <c r="J572" s="2" t="str">
        <f t="shared" si="3"/>
        <v>Tahu baso</v>
      </c>
      <c r="K572" s="7">
        <f>if(RIGHT(I572,5)="2 pcs",2,Data!I572)</f>
        <v>1</v>
      </c>
      <c r="L572" s="2" t="str">
        <f t="shared" si="4"/>
        <v>Wednesday</v>
      </c>
      <c r="M572" s="2" t="str">
        <f t="shared" si="5"/>
        <v>18</v>
      </c>
      <c r="N572" s="2">
        <f>VLOOKUP(L572,'Data Info'!$A$1:$B$8,2,0)</f>
        <v>3</v>
      </c>
      <c r="O572" s="2" t="str">
        <f>VLOOKUP(L572,'Data Info'!$A$1:$C$8,3,0)</f>
        <v>Weekday</v>
      </c>
    </row>
    <row r="573">
      <c r="A573" s="4">
        <v>45553.57708333333</v>
      </c>
      <c r="B573" s="9">
        <f>IFERROR(__xludf.DUMMYFUNCTION("SPLIT(A573,"" "")"),45553.0)</f>
        <v>45553</v>
      </c>
      <c r="C573" s="10">
        <f>IFERROR(__xludf.DUMMYFUNCTION("""COMPUTED_VALUE"""),0.5770833333333333)</f>
        <v>0.5770833333</v>
      </c>
      <c r="D573" s="2">
        <f t="shared" si="1"/>
        <v>13</v>
      </c>
      <c r="E573" s="2">
        <f>IFERROR(__xludf.DUMMYFUNCTION("SPLIT(B573,""/"")"),18.0)</f>
        <v>18</v>
      </c>
      <c r="F573" s="2">
        <f>IFERROR(__xludf.DUMMYFUNCTION("""COMPUTED_VALUE"""),9.0)</f>
        <v>9</v>
      </c>
      <c r="G573" s="2">
        <f>IFERROR(__xludf.DUMMYFUNCTION("""COMPUTED_VALUE"""),2024.0)</f>
        <v>2024</v>
      </c>
      <c r="H573" s="2" t="str">
        <f t="shared" si="2"/>
        <v>2024/9/18</v>
      </c>
      <c r="I573" s="2" t="s">
        <v>1596</v>
      </c>
      <c r="J573" s="2" t="str">
        <f t="shared" si="3"/>
        <v>Roti Cranberry</v>
      </c>
      <c r="K573" s="7">
        <f>if(RIGHT(I573,5)="2 pcs",2,Data!I573)</f>
        <v>2</v>
      </c>
      <c r="L573" s="2" t="str">
        <f t="shared" si="4"/>
        <v>Wednesday</v>
      </c>
      <c r="M573" s="2" t="str">
        <f t="shared" si="5"/>
        <v>18</v>
      </c>
      <c r="N573" s="2">
        <f>VLOOKUP(L573,'Data Info'!$A$1:$B$8,2,0)</f>
        <v>3</v>
      </c>
      <c r="O573" s="2" t="str">
        <f>VLOOKUP(L573,'Data Info'!$A$1:$C$8,3,0)</f>
        <v>Weekday</v>
      </c>
    </row>
    <row r="574">
      <c r="A574" s="4">
        <v>45553.57638888889</v>
      </c>
      <c r="B574" s="9">
        <f>IFERROR(__xludf.DUMMYFUNCTION("SPLIT(A574,"" "")"),45553.0)</f>
        <v>45553</v>
      </c>
      <c r="C574" s="10">
        <f>IFERROR(__xludf.DUMMYFUNCTION("""COMPUTED_VALUE"""),0.5763888888888888)</f>
        <v>0.5763888889</v>
      </c>
      <c r="D574" s="2">
        <f t="shared" si="1"/>
        <v>13</v>
      </c>
      <c r="E574" s="2">
        <f>IFERROR(__xludf.DUMMYFUNCTION("SPLIT(B574,""/"")"),18.0)</f>
        <v>18</v>
      </c>
      <c r="F574" s="2">
        <f>IFERROR(__xludf.DUMMYFUNCTION("""COMPUTED_VALUE"""),9.0)</f>
        <v>9</v>
      </c>
      <c r="G574" s="2">
        <f>IFERROR(__xludf.DUMMYFUNCTION("""COMPUTED_VALUE"""),2024.0)</f>
        <v>2024</v>
      </c>
      <c r="H574" s="2" t="str">
        <f t="shared" si="2"/>
        <v>2024/9/18</v>
      </c>
      <c r="I574" s="2" t="s">
        <v>1596</v>
      </c>
      <c r="J574" s="2" t="str">
        <f t="shared" si="3"/>
        <v>Roti Cranberry</v>
      </c>
      <c r="K574" s="7">
        <f>if(RIGHT(I574,5)="2 pcs",2,Data!I574)</f>
        <v>2</v>
      </c>
      <c r="L574" s="2" t="str">
        <f t="shared" si="4"/>
        <v>Wednesday</v>
      </c>
      <c r="M574" s="2" t="str">
        <f t="shared" si="5"/>
        <v>18</v>
      </c>
      <c r="N574" s="2">
        <f>VLOOKUP(L574,'Data Info'!$A$1:$B$8,2,0)</f>
        <v>3</v>
      </c>
      <c r="O574" s="2" t="str">
        <f>VLOOKUP(L574,'Data Info'!$A$1:$C$8,3,0)</f>
        <v>Weekday</v>
      </c>
    </row>
    <row r="575">
      <c r="A575" s="4">
        <v>45553.57638888889</v>
      </c>
      <c r="B575" s="9">
        <f>IFERROR(__xludf.DUMMYFUNCTION("SPLIT(A575,"" "")"),45553.0)</f>
        <v>45553</v>
      </c>
      <c r="C575" s="10">
        <f>IFERROR(__xludf.DUMMYFUNCTION("""COMPUTED_VALUE"""),0.5763888888888888)</f>
        <v>0.5763888889</v>
      </c>
      <c r="D575" s="2">
        <f t="shared" si="1"/>
        <v>13</v>
      </c>
      <c r="E575" s="2">
        <f>IFERROR(__xludf.DUMMYFUNCTION("SPLIT(B575,""/"")"),18.0)</f>
        <v>18</v>
      </c>
      <c r="F575" s="2">
        <f>IFERROR(__xludf.DUMMYFUNCTION("""COMPUTED_VALUE"""),9.0)</f>
        <v>9</v>
      </c>
      <c r="G575" s="2">
        <f>IFERROR(__xludf.DUMMYFUNCTION("""COMPUTED_VALUE"""),2024.0)</f>
        <v>2024</v>
      </c>
      <c r="H575" s="2" t="str">
        <f t="shared" si="2"/>
        <v>2024/9/18</v>
      </c>
      <c r="I575" s="2" t="s">
        <v>1588</v>
      </c>
      <c r="J575" s="2" t="str">
        <f t="shared" si="3"/>
        <v>Es Kopi Susu</v>
      </c>
      <c r="K575" s="7">
        <f>if(RIGHT(I575,5)="2 pcs",2,Data!I575)</f>
        <v>1</v>
      </c>
      <c r="L575" s="2" t="str">
        <f t="shared" si="4"/>
        <v>Wednesday</v>
      </c>
      <c r="M575" s="2" t="str">
        <f t="shared" si="5"/>
        <v>18</v>
      </c>
      <c r="N575" s="2">
        <f>VLOOKUP(L575,'Data Info'!$A$1:$B$8,2,0)</f>
        <v>3</v>
      </c>
      <c r="O575" s="2" t="str">
        <f>VLOOKUP(L575,'Data Info'!$A$1:$C$8,3,0)</f>
        <v>Weekday</v>
      </c>
    </row>
    <row r="576">
      <c r="A576" s="4">
        <v>45553.561111111114</v>
      </c>
      <c r="B576" s="9">
        <f>IFERROR(__xludf.DUMMYFUNCTION("SPLIT(A576,"" "")"),45553.0)</f>
        <v>45553</v>
      </c>
      <c r="C576" s="10">
        <f>IFERROR(__xludf.DUMMYFUNCTION("""COMPUTED_VALUE"""),0.5611111111111111)</f>
        <v>0.5611111111</v>
      </c>
      <c r="D576" s="2">
        <f t="shared" si="1"/>
        <v>13</v>
      </c>
      <c r="E576" s="2">
        <f>IFERROR(__xludf.DUMMYFUNCTION("SPLIT(B576,""/"")"),18.0)</f>
        <v>18</v>
      </c>
      <c r="F576" s="2">
        <f>IFERROR(__xludf.DUMMYFUNCTION("""COMPUTED_VALUE"""),9.0)</f>
        <v>9</v>
      </c>
      <c r="G576" s="2">
        <f>IFERROR(__xludf.DUMMYFUNCTION("""COMPUTED_VALUE"""),2024.0)</f>
        <v>2024</v>
      </c>
      <c r="H576" s="2" t="str">
        <f t="shared" si="2"/>
        <v>2024/9/18</v>
      </c>
      <c r="I576" s="2" t="s">
        <v>1607</v>
      </c>
      <c r="J576" s="2" t="str">
        <f t="shared" si="3"/>
        <v>Tahu walik</v>
      </c>
      <c r="K576" s="7">
        <f>if(RIGHT(I576,5)="2 pcs",2,Data!I576)</f>
        <v>1</v>
      </c>
      <c r="L576" s="2" t="str">
        <f t="shared" si="4"/>
        <v>Wednesday</v>
      </c>
      <c r="M576" s="2" t="str">
        <f t="shared" si="5"/>
        <v>18</v>
      </c>
      <c r="N576" s="2">
        <f>VLOOKUP(L576,'Data Info'!$A$1:$B$8,2,0)</f>
        <v>3</v>
      </c>
      <c r="O576" s="2" t="str">
        <f>VLOOKUP(L576,'Data Info'!$A$1:$C$8,3,0)</f>
        <v>Weekday</v>
      </c>
    </row>
    <row r="577">
      <c r="A577" s="4">
        <v>45553.561111111114</v>
      </c>
      <c r="B577" s="9">
        <f>IFERROR(__xludf.DUMMYFUNCTION("SPLIT(A577,"" "")"),45553.0)</f>
        <v>45553</v>
      </c>
      <c r="C577" s="10">
        <f>IFERROR(__xludf.DUMMYFUNCTION("""COMPUTED_VALUE"""),0.5611111111111111)</f>
        <v>0.5611111111</v>
      </c>
      <c r="D577" s="2">
        <f t="shared" si="1"/>
        <v>13</v>
      </c>
      <c r="E577" s="2">
        <f>IFERROR(__xludf.DUMMYFUNCTION("SPLIT(B577,""/"")"),18.0)</f>
        <v>18</v>
      </c>
      <c r="F577" s="2">
        <f>IFERROR(__xludf.DUMMYFUNCTION("""COMPUTED_VALUE"""),9.0)</f>
        <v>9</v>
      </c>
      <c r="G577" s="2">
        <f>IFERROR(__xludf.DUMMYFUNCTION("""COMPUTED_VALUE"""),2024.0)</f>
        <v>2024</v>
      </c>
      <c r="H577" s="2" t="str">
        <f t="shared" si="2"/>
        <v>2024/9/18</v>
      </c>
      <c r="I577" s="2" t="s">
        <v>1573</v>
      </c>
      <c r="J577" s="2" t="str">
        <f t="shared" si="3"/>
        <v>Air mineral</v>
      </c>
      <c r="K577" s="7">
        <f>if(RIGHT(I577,5)="2 pcs",2,Data!I577)</f>
        <v>1</v>
      </c>
      <c r="L577" s="2" t="str">
        <f t="shared" si="4"/>
        <v>Wednesday</v>
      </c>
      <c r="M577" s="2" t="str">
        <f t="shared" si="5"/>
        <v>18</v>
      </c>
      <c r="N577" s="2">
        <f>VLOOKUP(L577,'Data Info'!$A$1:$B$8,2,0)</f>
        <v>3</v>
      </c>
      <c r="O577" s="2" t="str">
        <f>VLOOKUP(L577,'Data Info'!$A$1:$C$8,3,0)</f>
        <v>Weekday</v>
      </c>
    </row>
    <row r="578">
      <c r="A578" s="4">
        <v>45553.561111111114</v>
      </c>
      <c r="B578" s="9">
        <f>IFERROR(__xludf.DUMMYFUNCTION("SPLIT(A578,"" "")"),45553.0)</f>
        <v>45553</v>
      </c>
      <c r="C578" s="10">
        <f>IFERROR(__xludf.DUMMYFUNCTION("""COMPUTED_VALUE"""),0.5611111111111111)</f>
        <v>0.5611111111</v>
      </c>
      <c r="D578" s="2">
        <f t="shared" si="1"/>
        <v>13</v>
      </c>
      <c r="E578" s="2">
        <f>IFERROR(__xludf.DUMMYFUNCTION("SPLIT(B578,""/"")"),18.0)</f>
        <v>18</v>
      </c>
      <c r="F578" s="2">
        <f>IFERROR(__xludf.DUMMYFUNCTION("""COMPUTED_VALUE"""),9.0)</f>
        <v>9</v>
      </c>
      <c r="G578" s="2">
        <f>IFERROR(__xludf.DUMMYFUNCTION("""COMPUTED_VALUE"""),2024.0)</f>
        <v>2024</v>
      </c>
      <c r="H578" s="2" t="str">
        <f t="shared" si="2"/>
        <v>2024/9/18</v>
      </c>
      <c r="I578" s="2" t="s">
        <v>1601</v>
      </c>
      <c r="J578" s="2" t="str">
        <f t="shared" si="3"/>
        <v>Gula Asam Dingin</v>
      </c>
      <c r="K578" s="7">
        <f>if(RIGHT(I578,5)="2 pcs",2,Data!I578)</f>
        <v>1</v>
      </c>
      <c r="L578" s="2" t="str">
        <f t="shared" si="4"/>
        <v>Wednesday</v>
      </c>
      <c r="M578" s="2" t="str">
        <f t="shared" si="5"/>
        <v>18</v>
      </c>
      <c r="N578" s="2">
        <f>VLOOKUP(L578,'Data Info'!$A$1:$B$8,2,0)</f>
        <v>3</v>
      </c>
      <c r="O578" s="2" t="str">
        <f>VLOOKUP(L578,'Data Info'!$A$1:$C$8,3,0)</f>
        <v>Weekday</v>
      </c>
    </row>
    <row r="579">
      <c r="A579" s="4">
        <v>45553.561111111114</v>
      </c>
      <c r="B579" s="9">
        <f>IFERROR(__xludf.DUMMYFUNCTION("SPLIT(A579,"" "")"),45553.0)</f>
        <v>45553</v>
      </c>
      <c r="C579" s="10">
        <f>IFERROR(__xludf.DUMMYFUNCTION("""COMPUTED_VALUE"""),0.5611111111111111)</f>
        <v>0.5611111111</v>
      </c>
      <c r="D579" s="2">
        <f t="shared" si="1"/>
        <v>13</v>
      </c>
      <c r="E579" s="2">
        <f>IFERROR(__xludf.DUMMYFUNCTION("SPLIT(B579,""/"")"),18.0)</f>
        <v>18</v>
      </c>
      <c r="F579" s="2">
        <f>IFERROR(__xludf.DUMMYFUNCTION("""COMPUTED_VALUE"""),9.0)</f>
        <v>9</v>
      </c>
      <c r="G579" s="2">
        <f>IFERROR(__xludf.DUMMYFUNCTION("""COMPUTED_VALUE"""),2024.0)</f>
        <v>2024</v>
      </c>
      <c r="H579" s="2" t="str">
        <f t="shared" si="2"/>
        <v>2024/9/18</v>
      </c>
      <c r="I579" s="2" t="s">
        <v>1599</v>
      </c>
      <c r="J579" s="2" t="str">
        <f t="shared" si="3"/>
        <v>Rempah Madu Dingin</v>
      </c>
      <c r="K579" s="7">
        <f>if(RIGHT(I579,5)="2 pcs",2,Data!I579)</f>
        <v>1</v>
      </c>
      <c r="L579" s="2" t="str">
        <f t="shared" si="4"/>
        <v>Wednesday</v>
      </c>
      <c r="M579" s="2" t="str">
        <f t="shared" si="5"/>
        <v>18</v>
      </c>
      <c r="N579" s="2">
        <f>VLOOKUP(L579,'Data Info'!$A$1:$B$8,2,0)</f>
        <v>3</v>
      </c>
      <c r="O579" s="2" t="str">
        <f>VLOOKUP(L579,'Data Info'!$A$1:$C$8,3,0)</f>
        <v>Weekday</v>
      </c>
    </row>
    <row r="580">
      <c r="A580" s="4">
        <v>45553.561111111114</v>
      </c>
      <c r="B580" s="9">
        <f>IFERROR(__xludf.DUMMYFUNCTION("SPLIT(A580,"" "")"),45553.0)</f>
        <v>45553</v>
      </c>
      <c r="C580" s="10">
        <f>IFERROR(__xludf.DUMMYFUNCTION("""COMPUTED_VALUE"""),0.5611111111111111)</f>
        <v>0.5611111111</v>
      </c>
      <c r="D580" s="2">
        <f t="shared" si="1"/>
        <v>13</v>
      </c>
      <c r="E580" s="2">
        <f>IFERROR(__xludf.DUMMYFUNCTION("SPLIT(B580,""/"")"),18.0)</f>
        <v>18</v>
      </c>
      <c r="F580" s="2">
        <f>IFERROR(__xludf.DUMMYFUNCTION("""COMPUTED_VALUE"""),9.0)</f>
        <v>9</v>
      </c>
      <c r="G580" s="2">
        <f>IFERROR(__xludf.DUMMYFUNCTION("""COMPUTED_VALUE"""),2024.0)</f>
        <v>2024</v>
      </c>
      <c r="H580" s="2" t="str">
        <f t="shared" si="2"/>
        <v>2024/9/18</v>
      </c>
      <c r="I580" s="2" t="s">
        <v>1602</v>
      </c>
      <c r="J580" s="2" t="str">
        <f t="shared" si="3"/>
        <v>Mie joglo</v>
      </c>
      <c r="K580" s="7">
        <f>if(RIGHT(I580,5)="2 pcs",2,Data!I580)</f>
        <v>2</v>
      </c>
      <c r="L580" s="2" t="str">
        <f t="shared" si="4"/>
        <v>Wednesday</v>
      </c>
      <c r="M580" s="2" t="str">
        <f t="shared" si="5"/>
        <v>18</v>
      </c>
      <c r="N580" s="2">
        <f>VLOOKUP(L580,'Data Info'!$A$1:$B$8,2,0)</f>
        <v>3</v>
      </c>
      <c r="O580" s="2" t="str">
        <f>VLOOKUP(L580,'Data Info'!$A$1:$C$8,3,0)</f>
        <v>Weekday</v>
      </c>
    </row>
    <row r="581">
      <c r="A581" s="4">
        <v>45553.561111111114</v>
      </c>
      <c r="B581" s="9">
        <f>IFERROR(__xludf.DUMMYFUNCTION("SPLIT(A581,"" "")"),45553.0)</f>
        <v>45553</v>
      </c>
      <c r="C581" s="10">
        <f>IFERROR(__xludf.DUMMYFUNCTION("""COMPUTED_VALUE"""),0.5611111111111111)</f>
        <v>0.5611111111</v>
      </c>
      <c r="D581" s="2">
        <f t="shared" si="1"/>
        <v>13</v>
      </c>
      <c r="E581" s="2">
        <f>IFERROR(__xludf.DUMMYFUNCTION("SPLIT(B581,""/"")"),18.0)</f>
        <v>18</v>
      </c>
      <c r="F581" s="2">
        <f>IFERROR(__xludf.DUMMYFUNCTION("""COMPUTED_VALUE"""),9.0)</f>
        <v>9</v>
      </c>
      <c r="G581" s="2">
        <f>IFERROR(__xludf.DUMMYFUNCTION("""COMPUTED_VALUE"""),2024.0)</f>
        <v>2024</v>
      </c>
      <c r="H581" s="2" t="str">
        <f t="shared" si="2"/>
        <v>2024/9/18</v>
      </c>
      <c r="I581" s="2" t="s">
        <v>1609</v>
      </c>
      <c r="J581" s="2" t="str">
        <f t="shared" si="3"/>
        <v>Tempe Mendoan</v>
      </c>
      <c r="K581" s="7">
        <f>if(RIGHT(I581,5)="2 pcs",2,Data!I581)</f>
        <v>1</v>
      </c>
      <c r="L581" s="2" t="str">
        <f t="shared" si="4"/>
        <v>Wednesday</v>
      </c>
      <c r="M581" s="2" t="str">
        <f t="shared" si="5"/>
        <v>18</v>
      </c>
      <c r="N581" s="2">
        <f>VLOOKUP(L581,'Data Info'!$A$1:$B$8,2,0)</f>
        <v>3</v>
      </c>
      <c r="O581" s="2" t="str">
        <f>VLOOKUP(L581,'Data Info'!$A$1:$C$8,3,0)</f>
        <v>Weekday</v>
      </c>
    </row>
    <row r="582">
      <c r="A582" s="4">
        <v>45553.53680555556</v>
      </c>
      <c r="B582" s="9">
        <f>IFERROR(__xludf.DUMMYFUNCTION("SPLIT(A582,"" "")"),45553.0)</f>
        <v>45553</v>
      </c>
      <c r="C582" s="10">
        <f>IFERROR(__xludf.DUMMYFUNCTION("""COMPUTED_VALUE"""),0.5368055555555555)</f>
        <v>0.5368055556</v>
      </c>
      <c r="D582" s="2">
        <f t="shared" si="1"/>
        <v>12</v>
      </c>
      <c r="E582" s="2">
        <f>IFERROR(__xludf.DUMMYFUNCTION("SPLIT(B582,""/"")"),18.0)</f>
        <v>18</v>
      </c>
      <c r="F582" s="2">
        <f>IFERROR(__xludf.DUMMYFUNCTION("""COMPUTED_VALUE"""),9.0)</f>
        <v>9</v>
      </c>
      <c r="G582" s="2">
        <f>IFERROR(__xludf.DUMMYFUNCTION("""COMPUTED_VALUE"""),2024.0)</f>
        <v>2024</v>
      </c>
      <c r="H582" s="2" t="str">
        <f t="shared" si="2"/>
        <v>2024/9/18</v>
      </c>
      <c r="I582" s="2" t="s">
        <v>1596</v>
      </c>
      <c r="J582" s="2" t="str">
        <f t="shared" si="3"/>
        <v>Roti Cranberry</v>
      </c>
      <c r="K582" s="7">
        <f>if(RIGHT(I582,5)="2 pcs",2,Data!I582)</f>
        <v>2</v>
      </c>
      <c r="L582" s="2" t="str">
        <f t="shared" si="4"/>
        <v>Wednesday</v>
      </c>
      <c r="M582" s="2" t="str">
        <f t="shared" si="5"/>
        <v>18</v>
      </c>
      <c r="N582" s="2">
        <f>VLOOKUP(L582,'Data Info'!$A$1:$B$8,2,0)</f>
        <v>3</v>
      </c>
      <c r="O582" s="2" t="str">
        <f>VLOOKUP(L582,'Data Info'!$A$1:$C$8,3,0)</f>
        <v>Weekday</v>
      </c>
    </row>
    <row r="583">
      <c r="A583" s="4">
        <v>45553.51111111111</v>
      </c>
      <c r="B583" s="9">
        <f>IFERROR(__xludf.DUMMYFUNCTION("SPLIT(A583,"" "")"),45553.0)</f>
        <v>45553</v>
      </c>
      <c r="C583" s="10">
        <f>IFERROR(__xludf.DUMMYFUNCTION("""COMPUTED_VALUE"""),0.5111111111111111)</f>
        <v>0.5111111111</v>
      </c>
      <c r="D583" s="2">
        <f t="shared" si="1"/>
        <v>12</v>
      </c>
      <c r="E583" s="2">
        <f>IFERROR(__xludf.DUMMYFUNCTION("SPLIT(B583,""/"")"),18.0)</f>
        <v>18</v>
      </c>
      <c r="F583" s="2">
        <f>IFERROR(__xludf.DUMMYFUNCTION("""COMPUTED_VALUE"""),9.0)</f>
        <v>9</v>
      </c>
      <c r="G583" s="2">
        <f>IFERROR(__xludf.DUMMYFUNCTION("""COMPUTED_VALUE"""),2024.0)</f>
        <v>2024</v>
      </c>
      <c r="H583" s="2" t="str">
        <f t="shared" si="2"/>
        <v>2024/9/18</v>
      </c>
      <c r="I583" s="2" t="s">
        <v>1588</v>
      </c>
      <c r="J583" s="2" t="str">
        <f t="shared" si="3"/>
        <v>Es Kopi Susu</v>
      </c>
      <c r="K583" s="7">
        <f>if(RIGHT(I583,5)="2 pcs",2,Data!I583)</f>
        <v>1</v>
      </c>
      <c r="L583" s="2" t="str">
        <f t="shared" si="4"/>
        <v>Wednesday</v>
      </c>
      <c r="M583" s="2" t="str">
        <f t="shared" si="5"/>
        <v>18</v>
      </c>
      <c r="N583" s="2">
        <f>VLOOKUP(L583,'Data Info'!$A$1:$B$8,2,0)</f>
        <v>3</v>
      </c>
      <c r="O583" s="2" t="str">
        <f>VLOOKUP(L583,'Data Info'!$A$1:$C$8,3,0)</f>
        <v>Weekday</v>
      </c>
    </row>
    <row r="584">
      <c r="A584" s="4">
        <v>45553.51111111111</v>
      </c>
      <c r="B584" s="9">
        <f>IFERROR(__xludf.DUMMYFUNCTION("SPLIT(A584,"" "")"),45553.0)</f>
        <v>45553</v>
      </c>
      <c r="C584" s="10">
        <f>IFERROR(__xludf.DUMMYFUNCTION("""COMPUTED_VALUE"""),0.5111111111111111)</f>
        <v>0.5111111111</v>
      </c>
      <c r="D584" s="2">
        <f t="shared" si="1"/>
        <v>12</v>
      </c>
      <c r="E584" s="2">
        <f>IFERROR(__xludf.DUMMYFUNCTION("SPLIT(B584,""/"")"),18.0)</f>
        <v>18</v>
      </c>
      <c r="F584" s="2">
        <f>IFERROR(__xludf.DUMMYFUNCTION("""COMPUTED_VALUE"""),9.0)</f>
        <v>9</v>
      </c>
      <c r="G584" s="2">
        <f>IFERROR(__xludf.DUMMYFUNCTION("""COMPUTED_VALUE"""),2024.0)</f>
        <v>2024</v>
      </c>
      <c r="H584" s="2" t="str">
        <f t="shared" si="2"/>
        <v>2024/9/18</v>
      </c>
      <c r="I584" s="2" t="s">
        <v>1620</v>
      </c>
      <c r="J584" s="2" t="str">
        <f t="shared" si="3"/>
        <v>Wedang hujan</v>
      </c>
      <c r="K584" s="7">
        <f>if(RIGHT(I584,5)="2 pcs",2,Data!I584)</f>
        <v>1</v>
      </c>
      <c r="L584" s="2" t="str">
        <f t="shared" si="4"/>
        <v>Wednesday</v>
      </c>
      <c r="M584" s="2" t="str">
        <f t="shared" si="5"/>
        <v>18</v>
      </c>
      <c r="N584" s="2">
        <f>VLOOKUP(L584,'Data Info'!$A$1:$B$8,2,0)</f>
        <v>3</v>
      </c>
      <c r="O584" s="2" t="str">
        <f>VLOOKUP(L584,'Data Info'!$A$1:$C$8,3,0)</f>
        <v>Weekday</v>
      </c>
    </row>
    <row r="585">
      <c r="A585" s="4">
        <v>45553.51111111111</v>
      </c>
      <c r="B585" s="9">
        <f>IFERROR(__xludf.DUMMYFUNCTION("SPLIT(A585,"" "")"),45553.0)</f>
        <v>45553</v>
      </c>
      <c r="C585" s="10">
        <f>IFERROR(__xludf.DUMMYFUNCTION("""COMPUTED_VALUE"""),0.5111111111111111)</f>
        <v>0.5111111111</v>
      </c>
      <c r="D585" s="2">
        <f t="shared" si="1"/>
        <v>12</v>
      </c>
      <c r="E585" s="2">
        <f>IFERROR(__xludf.DUMMYFUNCTION("SPLIT(B585,""/"")"),18.0)</f>
        <v>18</v>
      </c>
      <c r="F585" s="2">
        <f>IFERROR(__xludf.DUMMYFUNCTION("""COMPUTED_VALUE"""),9.0)</f>
        <v>9</v>
      </c>
      <c r="G585" s="2">
        <f>IFERROR(__xludf.DUMMYFUNCTION("""COMPUTED_VALUE"""),2024.0)</f>
        <v>2024</v>
      </c>
      <c r="H585" s="2" t="str">
        <f t="shared" si="2"/>
        <v>2024/9/18</v>
      </c>
      <c r="I585" s="2" t="s">
        <v>1622</v>
      </c>
      <c r="J585" s="2" t="str">
        <f t="shared" si="3"/>
        <v>Roti panggang strawberry</v>
      </c>
      <c r="K585" s="7">
        <f>if(RIGHT(I585,5)="2 pcs",2,Data!I585)</f>
        <v>1</v>
      </c>
      <c r="L585" s="2" t="str">
        <f t="shared" si="4"/>
        <v>Wednesday</v>
      </c>
      <c r="M585" s="2" t="str">
        <f t="shared" si="5"/>
        <v>18</v>
      </c>
      <c r="N585" s="2">
        <f>VLOOKUP(L585,'Data Info'!$A$1:$B$8,2,0)</f>
        <v>3</v>
      </c>
      <c r="O585" s="2" t="str">
        <f>VLOOKUP(L585,'Data Info'!$A$1:$C$8,3,0)</f>
        <v>Weekday</v>
      </c>
    </row>
    <row r="586">
      <c r="A586" s="4">
        <v>45553.51111111111</v>
      </c>
      <c r="B586" s="9">
        <f>IFERROR(__xludf.DUMMYFUNCTION("SPLIT(A586,"" "")"),45553.0)</f>
        <v>45553</v>
      </c>
      <c r="C586" s="10">
        <f>IFERROR(__xludf.DUMMYFUNCTION("""COMPUTED_VALUE"""),0.5111111111111111)</f>
        <v>0.5111111111</v>
      </c>
      <c r="D586" s="2">
        <f t="shared" si="1"/>
        <v>12</v>
      </c>
      <c r="E586" s="2">
        <f>IFERROR(__xludf.DUMMYFUNCTION("SPLIT(B586,""/"")"),18.0)</f>
        <v>18</v>
      </c>
      <c r="F586" s="2">
        <f>IFERROR(__xludf.DUMMYFUNCTION("""COMPUTED_VALUE"""),9.0)</f>
        <v>9</v>
      </c>
      <c r="G586" s="2">
        <f>IFERROR(__xludf.DUMMYFUNCTION("""COMPUTED_VALUE"""),2024.0)</f>
        <v>2024</v>
      </c>
      <c r="H586" s="2" t="str">
        <f t="shared" si="2"/>
        <v>2024/9/18</v>
      </c>
      <c r="I586" s="2" t="s">
        <v>1576</v>
      </c>
      <c r="J586" s="2" t="str">
        <f t="shared" si="3"/>
        <v>Roti Cranberry</v>
      </c>
      <c r="K586" s="7">
        <f>if(RIGHT(I586,5)="2 pcs",2,Data!I586)</f>
        <v>1</v>
      </c>
      <c r="L586" s="2" t="str">
        <f t="shared" si="4"/>
        <v>Wednesday</v>
      </c>
      <c r="M586" s="2" t="str">
        <f t="shared" si="5"/>
        <v>18</v>
      </c>
      <c r="N586" s="2">
        <f>VLOOKUP(L586,'Data Info'!$A$1:$B$8,2,0)</f>
        <v>3</v>
      </c>
      <c r="O586" s="2" t="str">
        <f>VLOOKUP(L586,'Data Info'!$A$1:$C$8,3,0)</f>
        <v>Weekday</v>
      </c>
    </row>
    <row r="587">
      <c r="A587" s="4">
        <v>45553.49236111111</v>
      </c>
      <c r="B587" s="9">
        <f>IFERROR(__xludf.DUMMYFUNCTION("SPLIT(A587,"" "")"),45553.0)</f>
        <v>45553</v>
      </c>
      <c r="C587" s="10">
        <f>IFERROR(__xludf.DUMMYFUNCTION("""COMPUTED_VALUE"""),0.49236111111111114)</f>
        <v>0.4923611111</v>
      </c>
      <c r="D587" s="2">
        <f t="shared" si="1"/>
        <v>11</v>
      </c>
      <c r="E587" s="2">
        <f>IFERROR(__xludf.DUMMYFUNCTION("SPLIT(B587,""/"")"),18.0)</f>
        <v>18</v>
      </c>
      <c r="F587" s="2">
        <f>IFERROR(__xludf.DUMMYFUNCTION("""COMPUTED_VALUE"""),9.0)</f>
        <v>9</v>
      </c>
      <c r="G587" s="2">
        <f>IFERROR(__xludf.DUMMYFUNCTION("""COMPUTED_VALUE"""),2024.0)</f>
        <v>2024</v>
      </c>
      <c r="H587" s="2" t="str">
        <f t="shared" si="2"/>
        <v>2024/9/18</v>
      </c>
      <c r="I587" s="2" t="s">
        <v>1576</v>
      </c>
      <c r="J587" s="2" t="str">
        <f t="shared" si="3"/>
        <v>Roti Cranberry</v>
      </c>
      <c r="K587" s="7">
        <f>if(RIGHT(I587,5)="2 pcs",2,Data!I587)</f>
        <v>1</v>
      </c>
      <c r="L587" s="2" t="str">
        <f t="shared" si="4"/>
        <v>Wednesday</v>
      </c>
      <c r="M587" s="2" t="str">
        <f t="shared" si="5"/>
        <v>18</v>
      </c>
      <c r="N587" s="2">
        <f>VLOOKUP(L587,'Data Info'!$A$1:$B$8,2,0)</f>
        <v>3</v>
      </c>
      <c r="O587" s="2" t="str">
        <f>VLOOKUP(L587,'Data Info'!$A$1:$C$8,3,0)</f>
        <v>Weekday</v>
      </c>
    </row>
    <row r="588">
      <c r="A588" s="4">
        <v>45553.49236111111</v>
      </c>
      <c r="B588" s="9">
        <f>IFERROR(__xludf.DUMMYFUNCTION("SPLIT(A588,"" "")"),45553.0)</f>
        <v>45553</v>
      </c>
      <c r="C588" s="10">
        <f>IFERROR(__xludf.DUMMYFUNCTION("""COMPUTED_VALUE"""),0.49236111111111114)</f>
        <v>0.4923611111</v>
      </c>
      <c r="D588" s="2">
        <f t="shared" si="1"/>
        <v>11</v>
      </c>
      <c r="E588" s="2">
        <f>IFERROR(__xludf.DUMMYFUNCTION("SPLIT(B588,""/"")"),18.0)</f>
        <v>18</v>
      </c>
      <c r="F588" s="2">
        <f>IFERROR(__xludf.DUMMYFUNCTION("""COMPUTED_VALUE"""),9.0)</f>
        <v>9</v>
      </c>
      <c r="G588" s="2">
        <f>IFERROR(__xludf.DUMMYFUNCTION("""COMPUTED_VALUE"""),2024.0)</f>
        <v>2024</v>
      </c>
      <c r="H588" s="2" t="str">
        <f t="shared" si="2"/>
        <v>2024/9/18</v>
      </c>
      <c r="I588" s="2" t="s">
        <v>1595</v>
      </c>
      <c r="J588" s="2" t="str">
        <f t="shared" si="3"/>
        <v>Roti Gandum Cokelat</v>
      </c>
      <c r="K588" s="7">
        <f>if(RIGHT(I588,5)="2 pcs",2,Data!I588)</f>
        <v>1</v>
      </c>
      <c r="L588" s="2" t="str">
        <f t="shared" si="4"/>
        <v>Wednesday</v>
      </c>
      <c r="M588" s="2" t="str">
        <f t="shared" si="5"/>
        <v>18</v>
      </c>
      <c r="N588" s="2">
        <f>VLOOKUP(L588,'Data Info'!$A$1:$B$8,2,0)</f>
        <v>3</v>
      </c>
      <c r="O588" s="2" t="str">
        <f>VLOOKUP(L588,'Data Info'!$A$1:$C$8,3,0)</f>
        <v>Weekday</v>
      </c>
    </row>
    <row r="589">
      <c r="A589" s="4">
        <v>45553.45416666667</v>
      </c>
      <c r="B589" s="9">
        <f>IFERROR(__xludf.DUMMYFUNCTION("SPLIT(A589,"" "")"),45553.0)</f>
        <v>45553</v>
      </c>
      <c r="C589" s="10">
        <f>IFERROR(__xludf.DUMMYFUNCTION("""COMPUTED_VALUE"""),0.45416666666666666)</f>
        <v>0.4541666667</v>
      </c>
      <c r="D589" s="2">
        <f t="shared" si="1"/>
        <v>10</v>
      </c>
      <c r="E589" s="2">
        <f>IFERROR(__xludf.DUMMYFUNCTION("SPLIT(B589,""/"")"),18.0)</f>
        <v>18</v>
      </c>
      <c r="F589" s="2">
        <f>IFERROR(__xludf.DUMMYFUNCTION("""COMPUTED_VALUE"""),9.0)</f>
        <v>9</v>
      </c>
      <c r="G589" s="2">
        <f>IFERROR(__xludf.DUMMYFUNCTION("""COMPUTED_VALUE"""),2024.0)</f>
        <v>2024</v>
      </c>
      <c r="H589" s="2" t="str">
        <f t="shared" si="2"/>
        <v>2024/9/18</v>
      </c>
      <c r="I589" s="2" t="s">
        <v>1621</v>
      </c>
      <c r="J589" s="2" t="str">
        <f t="shared" si="3"/>
        <v>Wedang angin</v>
      </c>
      <c r="K589" s="7">
        <f>if(RIGHT(I589,5)="2 pcs",2,Data!I589)</f>
        <v>1</v>
      </c>
      <c r="L589" s="2" t="str">
        <f t="shared" si="4"/>
        <v>Wednesday</v>
      </c>
      <c r="M589" s="2" t="str">
        <f t="shared" si="5"/>
        <v>18</v>
      </c>
      <c r="N589" s="2">
        <f>VLOOKUP(L589,'Data Info'!$A$1:$B$8,2,0)</f>
        <v>3</v>
      </c>
      <c r="O589" s="2" t="str">
        <f>VLOOKUP(L589,'Data Info'!$A$1:$C$8,3,0)</f>
        <v>Weekday</v>
      </c>
    </row>
    <row r="590">
      <c r="A590" s="4">
        <v>45553.39375</v>
      </c>
      <c r="B590" s="9">
        <f>IFERROR(__xludf.DUMMYFUNCTION("SPLIT(A590,"" "")"),45553.0)</f>
        <v>45553</v>
      </c>
      <c r="C590" s="10">
        <f>IFERROR(__xludf.DUMMYFUNCTION("""COMPUTED_VALUE"""),0.39375)</f>
        <v>0.39375</v>
      </c>
      <c r="D590" s="2">
        <f t="shared" si="1"/>
        <v>9</v>
      </c>
      <c r="E590" s="2">
        <f>IFERROR(__xludf.DUMMYFUNCTION("SPLIT(B590,""/"")"),18.0)</f>
        <v>18</v>
      </c>
      <c r="F590" s="2">
        <f>IFERROR(__xludf.DUMMYFUNCTION("""COMPUTED_VALUE"""),9.0)</f>
        <v>9</v>
      </c>
      <c r="G590" s="2">
        <f>IFERROR(__xludf.DUMMYFUNCTION("""COMPUTED_VALUE"""),2024.0)</f>
        <v>2024</v>
      </c>
      <c r="H590" s="2" t="str">
        <f t="shared" si="2"/>
        <v>2024/9/18</v>
      </c>
      <c r="I590" s="2" t="s">
        <v>1598</v>
      </c>
      <c r="J590" s="2" t="str">
        <f t="shared" si="3"/>
        <v>Korean Strawberry Fresh Milk</v>
      </c>
      <c r="K590" s="7">
        <f>if(RIGHT(I590,5)="2 pcs",2,Data!I590)</f>
        <v>1</v>
      </c>
      <c r="L590" s="2" t="str">
        <f t="shared" si="4"/>
        <v>Wednesday</v>
      </c>
      <c r="M590" s="2" t="str">
        <f t="shared" si="5"/>
        <v>18</v>
      </c>
      <c r="N590" s="2">
        <f>VLOOKUP(L590,'Data Info'!$A$1:$B$8,2,0)</f>
        <v>3</v>
      </c>
      <c r="O590" s="2" t="str">
        <f>VLOOKUP(L590,'Data Info'!$A$1:$C$8,3,0)</f>
        <v>Weekday</v>
      </c>
    </row>
    <row r="591">
      <c r="A591" s="4">
        <v>45553.39375</v>
      </c>
      <c r="B591" s="9">
        <f>IFERROR(__xludf.DUMMYFUNCTION("SPLIT(A591,"" "")"),45553.0)</f>
        <v>45553</v>
      </c>
      <c r="C591" s="10">
        <f>IFERROR(__xludf.DUMMYFUNCTION("""COMPUTED_VALUE"""),0.39375)</f>
        <v>0.39375</v>
      </c>
      <c r="D591" s="2">
        <f t="shared" si="1"/>
        <v>9</v>
      </c>
      <c r="E591" s="2">
        <f>IFERROR(__xludf.DUMMYFUNCTION("SPLIT(B591,""/"")"),18.0)</f>
        <v>18</v>
      </c>
      <c r="F591" s="2">
        <f>IFERROR(__xludf.DUMMYFUNCTION("""COMPUTED_VALUE"""),9.0)</f>
        <v>9</v>
      </c>
      <c r="G591" s="2">
        <f>IFERROR(__xludf.DUMMYFUNCTION("""COMPUTED_VALUE"""),2024.0)</f>
        <v>2024</v>
      </c>
      <c r="H591" s="2" t="str">
        <f t="shared" si="2"/>
        <v>2024/9/18</v>
      </c>
      <c r="I591" s="2" t="s">
        <v>1616</v>
      </c>
      <c r="J591" s="2" t="str">
        <f t="shared" si="3"/>
        <v>Roti panggang coklat</v>
      </c>
      <c r="K591" s="7">
        <f>if(RIGHT(I591,5)="2 pcs",2,Data!I591)</f>
        <v>1</v>
      </c>
      <c r="L591" s="2" t="str">
        <f t="shared" si="4"/>
        <v>Wednesday</v>
      </c>
      <c r="M591" s="2" t="str">
        <f t="shared" si="5"/>
        <v>18</v>
      </c>
      <c r="N591" s="2">
        <f>VLOOKUP(L591,'Data Info'!$A$1:$B$8,2,0)</f>
        <v>3</v>
      </c>
      <c r="O591" s="2" t="str">
        <f>VLOOKUP(L591,'Data Info'!$A$1:$C$8,3,0)</f>
        <v>Weekday</v>
      </c>
    </row>
    <row r="592">
      <c r="A592" s="4">
        <v>45553.39166666667</v>
      </c>
      <c r="B592" s="9">
        <f>IFERROR(__xludf.DUMMYFUNCTION("SPLIT(A592,"" "")"),45553.0)</f>
        <v>45553</v>
      </c>
      <c r="C592" s="10">
        <f>IFERROR(__xludf.DUMMYFUNCTION("""COMPUTED_VALUE"""),0.39166666666666666)</f>
        <v>0.3916666667</v>
      </c>
      <c r="D592" s="2">
        <f t="shared" si="1"/>
        <v>9</v>
      </c>
      <c r="E592" s="2">
        <f>IFERROR(__xludf.DUMMYFUNCTION("SPLIT(B592,""/"")"),18.0)</f>
        <v>18</v>
      </c>
      <c r="F592" s="2">
        <f>IFERROR(__xludf.DUMMYFUNCTION("""COMPUTED_VALUE"""),9.0)</f>
        <v>9</v>
      </c>
      <c r="G592" s="2">
        <f>IFERROR(__xludf.DUMMYFUNCTION("""COMPUTED_VALUE"""),2024.0)</f>
        <v>2024</v>
      </c>
      <c r="H592" s="2" t="str">
        <f t="shared" si="2"/>
        <v>2024/9/18</v>
      </c>
      <c r="I592" s="2" t="s">
        <v>1597</v>
      </c>
      <c r="J592" s="2" t="str">
        <f t="shared" si="3"/>
        <v>Roti Gandum Cokelat</v>
      </c>
      <c r="K592" s="7">
        <f>if(RIGHT(I592,5)="2 pcs",2,Data!I592)</f>
        <v>2</v>
      </c>
      <c r="L592" s="2" t="str">
        <f t="shared" si="4"/>
        <v>Wednesday</v>
      </c>
      <c r="M592" s="2" t="str">
        <f t="shared" si="5"/>
        <v>18</v>
      </c>
      <c r="N592" s="2">
        <f>VLOOKUP(L592,'Data Info'!$A$1:$B$8,2,0)</f>
        <v>3</v>
      </c>
      <c r="O592" s="2" t="str">
        <f>VLOOKUP(L592,'Data Info'!$A$1:$C$8,3,0)</f>
        <v>Weekday</v>
      </c>
    </row>
    <row r="593">
      <c r="A593" s="4">
        <v>45552.82916666667</v>
      </c>
      <c r="B593" s="9">
        <f>IFERROR(__xludf.DUMMYFUNCTION("SPLIT(A593,"" "")"),45552.0)</f>
        <v>45552</v>
      </c>
      <c r="C593" s="10">
        <f>IFERROR(__xludf.DUMMYFUNCTION("""COMPUTED_VALUE"""),0.8291666666666667)</f>
        <v>0.8291666667</v>
      </c>
      <c r="D593" s="2">
        <f t="shared" si="1"/>
        <v>19</v>
      </c>
      <c r="E593" s="2">
        <f>IFERROR(__xludf.DUMMYFUNCTION("SPLIT(B593,""/"")"),17.0)</f>
        <v>17</v>
      </c>
      <c r="F593" s="2">
        <f>IFERROR(__xludf.DUMMYFUNCTION("""COMPUTED_VALUE"""),9.0)</f>
        <v>9</v>
      </c>
      <c r="G593" s="2">
        <f>IFERROR(__xludf.DUMMYFUNCTION("""COMPUTED_VALUE"""),2024.0)</f>
        <v>2024</v>
      </c>
      <c r="H593" s="2" t="str">
        <f t="shared" si="2"/>
        <v>2024/9/17</v>
      </c>
      <c r="I593" s="2" t="s">
        <v>1576</v>
      </c>
      <c r="J593" s="2" t="str">
        <f t="shared" si="3"/>
        <v>Roti Cranberry</v>
      </c>
      <c r="K593" s="7">
        <f>if(RIGHT(I593,5)="2 pcs",2,Data!I593)</f>
        <v>1</v>
      </c>
      <c r="L593" s="2" t="str">
        <f t="shared" si="4"/>
        <v>Tuesday</v>
      </c>
      <c r="M593" s="2" t="str">
        <f t="shared" si="5"/>
        <v>17</v>
      </c>
      <c r="N593" s="2">
        <f>VLOOKUP(L593,'Data Info'!$A$1:$B$8,2,0)</f>
        <v>2</v>
      </c>
      <c r="O593" s="2" t="str">
        <f>VLOOKUP(L593,'Data Info'!$A$1:$C$8,3,0)</f>
        <v>Weekday</v>
      </c>
    </row>
    <row r="594">
      <c r="A594" s="4">
        <v>45552.76666666667</v>
      </c>
      <c r="B594" s="9">
        <f>IFERROR(__xludf.DUMMYFUNCTION("SPLIT(A594,"" "")"),45552.0)</f>
        <v>45552</v>
      </c>
      <c r="C594" s="10">
        <f>IFERROR(__xludf.DUMMYFUNCTION("""COMPUTED_VALUE"""),0.7666666666666667)</f>
        <v>0.7666666667</v>
      </c>
      <c r="D594" s="2">
        <f t="shared" si="1"/>
        <v>18</v>
      </c>
      <c r="E594" s="2">
        <f>IFERROR(__xludf.DUMMYFUNCTION("SPLIT(B594,""/"")"),17.0)</f>
        <v>17</v>
      </c>
      <c r="F594" s="2">
        <f>IFERROR(__xludf.DUMMYFUNCTION("""COMPUTED_VALUE"""),9.0)</f>
        <v>9</v>
      </c>
      <c r="G594" s="2">
        <f>IFERROR(__xludf.DUMMYFUNCTION("""COMPUTED_VALUE"""),2024.0)</f>
        <v>2024</v>
      </c>
      <c r="H594" s="2" t="str">
        <f t="shared" si="2"/>
        <v>2024/9/17</v>
      </c>
      <c r="I594" s="2" t="s">
        <v>1573</v>
      </c>
      <c r="J594" s="2" t="str">
        <f t="shared" si="3"/>
        <v>Air mineral</v>
      </c>
      <c r="K594" s="7">
        <f>if(RIGHT(I594,5)="2 pcs",2,Data!I594)</f>
        <v>1</v>
      </c>
      <c r="L594" s="2" t="str">
        <f t="shared" si="4"/>
        <v>Tuesday</v>
      </c>
      <c r="M594" s="2" t="str">
        <f t="shared" si="5"/>
        <v>17</v>
      </c>
      <c r="N594" s="2">
        <f>VLOOKUP(L594,'Data Info'!$A$1:$B$8,2,0)</f>
        <v>2</v>
      </c>
      <c r="O594" s="2" t="str">
        <f>VLOOKUP(L594,'Data Info'!$A$1:$C$8,3,0)</f>
        <v>Weekday</v>
      </c>
    </row>
    <row r="595">
      <c r="A595" s="4">
        <v>45552.75902777778</v>
      </c>
      <c r="B595" s="9">
        <f>IFERROR(__xludf.DUMMYFUNCTION("SPLIT(A595,"" "")"),45552.0)</f>
        <v>45552</v>
      </c>
      <c r="C595" s="10">
        <f>IFERROR(__xludf.DUMMYFUNCTION("""COMPUTED_VALUE"""),0.7590277777777777)</f>
        <v>0.7590277778</v>
      </c>
      <c r="D595" s="2">
        <f t="shared" si="1"/>
        <v>18</v>
      </c>
      <c r="E595" s="2">
        <f>IFERROR(__xludf.DUMMYFUNCTION("SPLIT(B595,""/"")"),17.0)</f>
        <v>17</v>
      </c>
      <c r="F595" s="2">
        <f>IFERROR(__xludf.DUMMYFUNCTION("""COMPUTED_VALUE"""),9.0)</f>
        <v>9</v>
      </c>
      <c r="G595" s="2">
        <f>IFERROR(__xludf.DUMMYFUNCTION("""COMPUTED_VALUE"""),2024.0)</f>
        <v>2024</v>
      </c>
      <c r="H595" s="2" t="str">
        <f t="shared" si="2"/>
        <v>2024/9/17</v>
      </c>
      <c r="I595" s="2" t="s">
        <v>1566</v>
      </c>
      <c r="J595" s="2" t="str">
        <f t="shared" si="3"/>
        <v>Roti Bawang Saus Keju</v>
      </c>
      <c r="K595" s="7">
        <f>if(RIGHT(I595,5)="2 pcs",2,Data!I595)</f>
        <v>1</v>
      </c>
      <c r="L595" s="2" t="str">
        <f t="shared" si="4"/>
        <v>Tuesday</v>
      </c>
      <c r="M595" s="2" t="str">
        <f t="shared" si="5"/>
        <v>17</v>
      </c>
      <c r="N595" s="2">
        <f>VLOOKUP(L595,'Data Info'!$A$1:$B$8,2,0)</f>
        <v>2</v>
      </c>
      <c r="O595" s="2" t="str">
        <f>VLOOKUP(L595,'Data Info'!$A$1:$C$8,3,0)</f>
        <v>Weekday</v>
      </c>
    </row>
    <row r="596">
      <c r="A596" s="4">
        <v>45552.75902777778</v>
      </c>
      <c r="B596" s="9">
        <f>IFERROR(__xludf.DUMMYFUNCTION("SPLIT(A596,"" "")"),45552.0)</f>
        <v>45552</v>
      </c>
      <c r="C596" s="10">
        <f>IFERROR(__xludf.DUMMYFUNCTION("""COMPUTED_VALUE"""),0.7590277777777777)</f>
        <v>0.7590277778</v>
      </c>
      <c r="D596" s="2">
        <f t="shared" si="1"/>
        <v>18</v>
      </c>
      <c r="E596" s="2">
        <f>IFERROR(__xludf.DUMMYFUNCTION("SPLIT(B596,""/"")"),17.0)</f>
        <v>17</v>
      </c>
      <c r="F596" s="2">
        <f>IFERROR(__xludf.DUMMYFUNCTION("""COMPUTED_VALUE"""),9.0)</f>
        <v>9</v>
      </c>
      <c r="G596" s="2">
        <f>IFERROR(__xludf.DUMMYFUNCTION("""COMPUTED_VALUE"""),2024.0)</f>
        <v>2024</v>
      </c>
      <c r="H596" s="2" t="str">
        <f t="shared" si="2"/>
        <v>2024/9/17</v>
      </c>
      <c r="I596" s="2" t="s">
        <v>1620</v>
      </c>
      <c r="J596" s="2" t="str">
        <f t="shared" si="3"/>
        <v>Wedang hujan</v>
      </c>
      <c r="K596" s="7">
        <f>if(RIGHT(I596,5)="2 pcs",2,Data!I596)</f>
        <v>1</v>
      </c>
      <c r="L596" s="2" t="str">
        <f t="shared" si="4"/>
        <v>Tuesday</v>
      </c>
      <c r="M596" s="2" t="str">
        <f t="shared" si="5"/>
        <v>17</v>
      </c>
      <c r="N596" s="2">
        <f>VLOOKUP(L596,'Data Info'!$A$1:$B$8,2,0)</f>
        <v>2</v>
      </c>
      <c r="O596" s="2" t="str">
        <f>VLOOKUP(L596,'Data Info'!$A$1:$C$8,3,0)</f>
        <v>Weekday</v>
      </c>
    </row>
    <row r="597">
      <c r="A597" s="4">
        <v>45552.75902777778</v>
      </c>
      <c r="B597" s="9">
        <f>IFERROR(__xludf.DUMMYFUNCTION("SPLIT(A597,"" "")"),45552.0)</f>
        <v>45552</v>
      </c>
      <c r="C597" s="10">
        <f>IFERROR(__xludf.DUMMYFUNCTION("""COMPUTED_VALUE"""),0.7590277777777777)</f>
        <v>0.7590277778</v>
      </c>
      <c r="D597" s="2">
        <f t="shared" si="1"/>
        <v>18</v>
      </c>
      <c r="E597" s="2">
        <f>IFERROR(__xludf.DUMMYFUNCTION("SPLIT(B597,""/"")"),17.0)</f>
        <v>17</v>
      </c>
      <c r="F597" s="2">
        <f>IFERROR(__xludf.DUMMYFUNCTION("""COMPUTED_VALUE"""),9.0)</f>
        <v>9</v>
      </c>
      <c r="G597" s="2">
        <f>IFERROR(__xludf.DUMMYFUNCTION("""COMPUTED_VALUE"""),2024.0)</f>
        <v>2024</v>
      </c>
      <c r="H597" s="2" t="str">
        <f t="shared" si="2"/>
        <v>2024/9/17</v>
      </c>
      <c r="I597" s="2" t="s">
        <v>1594</v>
      </c>
      <c r="J597" s="2" t="str">
        <f t="shared" si="3"/>
        <v>Wedang Bulan</v>
      </c>
      <c r="K597" s="7">
        <f>if(RIGHT(I597,5)="2 pcs",2,Data!I597)</f>
        <v>1</v>
      </c>
      <c r="L597" s="2" t="str">
        <f t="shared" si="4"/>
        <v>Tuesday</v>
      </c>
      <c r="M597" s="2" t="str">
        <f t="shared" si="5"/>
        <v>17</v>
      </c>
      <c r="N597" s="2">
        <f>VLOOKUP(L597,'Data Info'!$A$1:$B$8,2,0)</f>
        <v>2</v>
      </c>
      <c r="O597" s="2" t="str">
        <f>VLOOKUP(L597,'Data Info'!$A$1:$C$8,3,0)</f>
        <v>Weekday</v>
      </c>
    </row>
    <row r="598">
      <c r="A598" s="4">
        <v>45552.75069444445</v>
      </c>
      <c r="B598" s="9">
        <f>IFERROR(__xludf.DUMMYFUNCTION("SPLIT(A598,"" "")"),45552.0)</f>
        <v>45552</v>
      </c>
      <c r="C598" s="10">
        <f>IFERROR(__xludf.DUMMYFUNCTION("""COMPUTED_VALUE"""),0.7506944444444444)</f>
        <v>0.7506944444</v>
      </c>
      <c r="D598" s="2">
        <f t="shared" si="1"/>
        <v>18</v>
      </c>
      <c r="E598" s="2">
        <f>IFERROR(__xludf.DUMMYFUNCTION("SPLIT(B598,""/"")"),17.0)</f>
        <v>17</v>
      </c>
      <c r="F598" s="2">
        <f>IFERROR(__xludf.DUMMYFUNCTION("""COMPUTED_VALUE"""),9.0)</f>
        <v>9</v>
      </c>
      <c r="G598" s="2">
        <f>IFERROR(__xludf.DUMMYFUNCTION("""COMPUTED_VALUE"""),2024.0)</f>
        <v>2024</v>
      </c>
      <c r="H598" s="2" t="str">
        <f t="shared" si="2"/>
        <v>2024/9/17</v>
      </c>
      <c r="I598" s="2" t="s">
        <v>1588</v>
      </c>
      <c r="J598" s="2" t="str">
        <f t="shared" si="3"/>
        <v>Es Kopi Susu</v>
      </c>
      <c r="K598" s="7">
        <f>if(RIGHT(I598,5)="2 pcs",2,Data!I598)</f>
        <v>1</v>
      </c>
      <c r="L598" s="2" t="str">
        <f t="shared" si="4"/>
        <v>Tuesday</v>
      </c>
      <c r="M598" s="2" t="str">
        <f t="shared" si="5"/>
        <v>17</v>
      </c>
      <c r="N598" s="2">
        <f>VLOOKUP(L598,'Data Info'!$A$1:$B$8,2,0)</f>
        <v>2</v>
      </c>
      <c r="O598" s="2" t="str">
        <f>VLOOKUP(L598,'Data Info'!$A$1:$C$8,3,0)</f>
        <v>Weekday</v>
      </c>
    </row>
    <row r="599">
      <c r="A599" s="4">
        <v>45552.75069444445</v>
      </c>
      <c r="B599" s="9">
        <f>IFERROR(__xludf.DUMMYFUNCTION("SPLIT(A599,"" "")"),45552.0)</f>
        <v>45552</v>
      </c>
      <c r="C599" s="10">
        <f>IFERROR(__xludf.DUMMYFUNCTION("""COMPUTED_VALUE"""),0.7506944444444444)</f>
        <v>0.7506944444</v>
      </c>
      <c r="D599" s="2">
        <f t="shared" si="1"/>
        <v>18</v>
      </c>
      <c r="E599" s="2">
        <f>IFERROR(__xludf.DUMMYFUNCTION("SPLIT(B599,""/"")"),17.0)</f>
        <v>17</v>
      </c>
      <c r="F599" s="2">
        <f>IFERROR(__xludf.DUMMYFUNCTION("""COMPUTED_VALUE"""),9.0)</f>
        <v>9</v>
      </c>
      <c r="G599" s="2">
        <f>IFERROR(__xludf.DUMMYFUNCTION("""COMPUTED_VALUE"""),2024.0)</f>
        <v>2024</v>
      </c>
      <c r="H599" s="2" t="str">
        <f t="shared" si="2"/>
        <v>2024/9/17</v>
      </c>
      <c r="I599" s="2" t="s">
        <v>1573</v>
      </c>
      <c r="J599" s="2" t="str">
        <f t="shared" si="3"/>
        <v>Air mineral</v>
      </c>
      <c r="K599" s="7">
        <f>if(RIGHT(I599,5)="2 pcs",2,Data!I599)</f>
        <v>1</v>
      </c>
      <c r="L599" s="2" t="str">
        <f t="shared" si="4"/>
        <v>Tuesday</v>
      </c>
      <c r="M599" s="2" t="str">
        <f t="shared" si="5"/>
        <v>17</v>
      </c>
      <c r="N599" s="2">
        <f>VLOOKUP(L599,'Data Info'!$A$1:$B$8,2,0)</f>
        <v>2</v>
      </c>
      <c r="O599" s="2" t="str">
        <f>VLOOKUP(L599,'Data Info'!$A$1:$C$8,3,0)</f>
        <v>Weekday</v>
      </c>
    </row>
    <row r="600">
      <c r="A600" s="4">
        <v>45552.72152777778</v>
      </c>
      <c r="B600" s="9">
        <f>IFERROR(__xludf.DUMMYFUNCTION("SPLIT(A600,"" "")"),45552.0)</f>
        <v>45552</v>
      </c>
      <c r="C600" s="10">
        <f>IFERROR(__xludf.DUMMYFUNCTION("""COMPUTED_VALUE"""),0.7215277777777778)</f>
        <v>0.7215277778</v>
      </c>
      <c r="D600" s="2">
        <f t="shared" si="1"/>
        <v>17</v>
      </c>
      <c r="E600" s="2">
        <f>IFERROR(__xludf.DUMMYFUNCTION("SPLIT(B600,""/"")"),17.0)</f>
        <v>17</v>
      </c>
      <c r="F600" s="2">
        <f>IFERROR(__xludf.DUMMYFUNCTION("""COMPUTED_VALUE"""),9.0)</f>
        <v>9</v>
      </c>
      <c r="G600" s="2">
        <f>IFERROR(__xludf.DUMMYFUNCTION("""COMPUTED_VALUE"""),2024.0)</f>
        <v>2024</v>
      </c>
      <c r="H600" s="2" t="str">
        <f t="shared" si="2"/>
        <v>2024/9/17</v>
      </c>
      <c r="I600" s="2" t="s">
        <v>1587</v>
      </c>
      <c r="J600" s="2" t="str">
        <f t="shared" si="3"/>
        <v>Tahu Lada Garam</v>
      </c>
      <c r="K600" s="7">
        <f>if(RIGHT(I600,5)="2 pcs",2,Data!I600)</f>
        <v>1</v>
      </c>
      <c r="L600" s="2" t="str">
        <f t="shared" si="4"/>
        <v>Tuesday</v>
      </c>
      <c r="M600" s="2" t="str">
        <f t="shared" si="5"/>
        <v>17</v>
      </c>
      <c r="N600" s="2">
        <f>VLOOKUP(L600,'Data Info'!$A$1:$B$8,2,0)</f>
        <v>2</v>
      </c>
      <c r="O600" s="2" t="str">
        <f>VLOOKUP(L600,'Data Info'!$A$1:$C$8,3,0)</f>
        <v>Weekday</v>
      </c>
    </row>
    <row r="601">
      <c r="A601" s="4">
        <v>45552.67986111111</v>
      </c>
      <c r="B601" s="9">
        <f>IFERROR(__xludf.DUMMYFUNCTION("SPLIT(A601,"" "")"),45552.0)</f>
        <v>45552</v>
      </c>
      <c r="C601" s="10">
        <f>IFERROR(__xludf.DUMMYFUNCTION("""COMPUTED_VALUE"""),0.6798611111111111)</f>
        <v>0.6798611111</v>
      </c>
      <c r="D601" s="2">
        <f t="shared" si="1"/>
        <v>16</v>
      </c>
      <c r="E601" s="2">
        <f>IFERROR(__xludf.DUMMYFUNCTION("SPLIT(B601,""/"")"),17.0)</f>
        <v>17</v>
      </c>
      <c r="F601" s="2">
        <f>IFERROR(__xludf.DUMMYFUNCTION("""COMPUTED_VALUE"""),9.0)</f>
        <v>9</v>
      </c>
      <c r="G601" s="2">
        <f>IFERROR(__xludf.DUMMYFUNCTION("""COMPUTED_VALUE"""),2024.0)</f>
        <v>2024</v>
      </c>
      <c r="H601" s="2" t="str">
        <f t="shared" si="2"/>
        <v>2024/9/17</v>
      </c>
      <c r="I601" s="2" t="s">
        <v>1588</v>
      </c>
      <c r="J601" s="2" t="str">
        <f t="shared" si="3"/>
        <v>Es Kopi Susu</v>
      </c>
      <c r="K601" s="7">
        <f>if(RIGHT(I601,5)="2 pcs",2,Data!I601)</f>
        <v>1</v>
      </c>
      <c r="L601" s="2" t="str">
        <f t="shared" si="4"/>
        <v>Tuesday</v>
      </c>
      <c r="M601" s="2" t="str">
        <f t="shared" si="5"/>
        <v>17</v>
      </c>
      <c r="N601" s="2">
        <f>VLOOKUP(L601,'Data Info'!$A$1:$B$8,2,0)</f>
        <v>2</v>
      </c>
      <c r="O601" s="2" t="str">
        <f>VLOOKUP(L601,'Data Info'!$A$1:$C$8,3,0)</f>
        <v>Weekday</v>
      </c>
    </row>
    <row r="602">
      <c r="A602" s="4">
        <v>45552.67986111111</v>
      </c>
      <c r="B602" s="9">
        <f>IFERROR(__xludf.DUMMYFUNCTION("SPLIT(A602,"" "")"),45552.0)</f>
        <v>45552</v>
      </c>
      <c r="C602" s="10">
        <f>IFERROR(__xludf.DUMMYFUNCTION("""COMPUTED_VALUE"""),0.6798611111111111)</f>
        <v>0.6798611111</v>
      </c>
      <c r="D602" s="2">
        <f t="shared" si="1"/>
        <v>16</v>
      </c>
      <c r="E602" s="2">
        <f>IFERROR(__xludf.DUMMYFUNCTION("SPLIT(B602,""/"")"),17.0)</f>
        <v>17</v>
      </c>
      <c r="F602" s="2">
        <f>IFERROR(__xludf.DUMMYFUNCTION("""COMPUTED_VALUE"""),9.0)</f>
        <v>9</v>
      </c>
      <c r="G602" s="2">
        <f>IFERROR(__xludf.DUMMYFUNCTION("""COMPUTED_VALUE"""),2024.0)</f>
        <v>2024</v>
      </c>
      <c r="H602" s="2" t="str">
        <f t="shared" si="2"/>
        <v>2024/9/17</v>
      </c>
      <c r="I602" s="2" t="s">
        <v>1566</v>
      </c>
      <c r="J602" s="2" t="str">
        <f t="shared" si="3"/>
        <v>Roti Bawang Saus Keju</v>
      </c>
      <c r="K602" s="7">
        <f>if(RIGHT(I602,5)="2 pcs",2,Data!I602)</f>
        <v>1</v>
      </c>
      <c r="L602" s="2" t="str">
        <f t="shared" si="4"/>
        <v>Tuesday</v>
      </c>
      <c r="M602" s="2" t="str">
        <f t="shared" si="5"/>
        <v>17</v>
      </c>
      <c r="N602" s="2">
        <f>VLOOKUP(L602,'Data Info'!$A$1:$B$8,2,0)</f>
        <v>2</v>
      </c>
      <c r="O602" s="2" t="str">
        <f>VLOOKUP(L602,'Data Info'!$A$1:$C$8,3,0)</f>
        <v>Weekday</v>
      </c>
    </row>
    <row r="603">
      <c r="A603" s="4">
        <v>45552.67222222222</v>
      </c>
      <c r="B603" s="9">
        <f>IFERROR(__xludf.DUMMYFUNCTION("SPLIT(A603,"" "")"),45552.0)</f>
        <v>45552</v>
      </c>
      <c r="C603" s="10">
        <f>IFERROR(__xludf.DUMMYFUNCTION("""COMPUTED_VALUE"""),0.6722222222222223)</f>
        <v>0.6722222222</v>
      </c>
      <c r="D603" s="2">
        <f t="shared" si="1"/>
        <v>16</v>
      </c>
      <c r="E603" s="2">
        <f>IFERROR(__xludf.DUMMYFUNCTION("SPLIT(B603,""/"")"),17.0)</f>
        <v>17</v>
      </c>
      <c r="F603" s="2">
        <f>IFERROR(__xludf.DUMMYFUNCTION("""COMPUTED_VALUE"""),9.0)</f>
        <v>9</v>
      </c>
      <c r="G603" s="2">
        <f>IFERROR(__xludf.DUMMYFUNCTION("""COMPUTED_VALUE"""),2024.0)</f>
        <v>2024</v>
      </c>
      <c r="H603" s="2" t="str">
        <f t="shared" si="2"/>
        <v>2024/9/17</v>
      </c>
      <c r="I603" s="2" t="s">
        <v>1620</v>
      </c>
      <c r="J603" s="2" t="str">
        <f t="shared" si="3"/>
        <v>Wedang hujan</v>
      </c>
      <c r="K603" s="7">
        <f>if(RIGHT(I603,5)="2 pcs",2,Data!I603)</f>
        <v>1</v>
      </c>
      <c r="L603" s="2" t="str">
        <f t="shared" si="4"/>
        <v>Tuesday</v>
      </c>
      <c r="M603" s="2" t="str">
        <f t="shared" si="5"/>
        <v>17</v>
      </c>
      <c r="N603" s="2">
        <f>VLOOKUP(L603,'Data Info'!$A$1:$B$8,2,0)</f>
        <v>2</v>
      </c>
      <c r="O603" s="2" t="str">
        <f>VLOOKUP(L603,'Data Info'!$A$1:$C$8,3,0)</f>
        <v>Weekday</v>
      </c>
    </row>
    <row r="604">
      <c r="A604" s="4">
        <v>45552.57916666667</v>
      </c>
      <c r="B604" s="9">
        <f>IFERROR(__xludf.DUMMYFUNCTION("SPLIT(A604,"" "")"),45552.0)</f>
        <v>45552</v>
      </c>
      <c r="C604" s="10">
        <f>IFERROR(__xludf.DUMMYFUNCTION("""COMPUTED_VALUE"""),0.5791666666666667)</f>
        <v>0.5791666667</v>
      </c>
      <c r="D604" s="2">
        <f t="shared" si="1"/>
        <v>13</v>
      </c>
      <c r="E604" s="2">
        <f>IFERROR(__xludf.DUMMYFUNCTION("SPLIT(B604,""/"")"),17.0)</f>
        <v>17</v>
      </c>
      <c r="F604" s="2">
        <f>IFERROR(__xludf.DUMMYFUNCTION("""COMPUTED_VALUE"""),9.0)</f>
        <v>9</v>
      </c>
      <c r="G604" s="2">
        <f>IFERROR(__xludf.DUMMYFUNCTION("""COMPUTED_VALUE"""),2024.0)</f>
        <v>2024</v>
      </c>
      <c r="H604" s="2" t="str">
        <f t="shared" si="2"/>
        <v>2024/9/17</v>
      </c>
      <c r="I604" s="2" t="s">
        <v>1566</v>
      </c>
      <c r="J604" s="2" t="str">
        <f t="shared" si="3"/>
        <v>Roti Bawang Saus Keju</v>
      </c>
      <c r="K604" s="7">
        <f>if(RIGHT(I604,5)="2 pcs",2,Data!I604)</f>
        <v>1</v>
      </c>
      <c r="L604" s="2" t="str">
        <f t="shared" si="4"/>
        <v>Tuesday</v>
      </c>
      <c r="M604" s="2" t="str">
        <f t="shared" si="5"/>
        <v>17</v>
      </c>
      <c r="N604" s="2">
        <f>VLOOKUP(L604,'Data Info'!$A$1:$B$8,2,0)</f>
        <v>2</v>
      </c>
      <c r="O604" s="2" t="str">
        <f>VLOOKUP(L604,'Data Info'!$A$1:$C$8,3,0)</f>
        <v>Weekday</v>
      </c>
    </row>
    <row r="605">
      <c r="A605" s="4">
        <v>45552.57916666667</v>
      </c>
      <c r="B605" s="9">
        <f>IFERROR(__xludf.DUMMYFUNCTION("SPLIT(A605,"" "")"),45552.0)</f>
        <v>45552</v>
      </c>
      <c r="C605" s="10">
        <f>IFERROR(__xludf.DUMMYFUNCTION("""COMPUTED_VALUE"""),0.5791666666666667)</f>
        <v>0.5791666667</v>
      </c>
      <c r="D605" s="2">
        <f t="shared" si="1"/>
        <v>13</v>
      </c>
      <c r="E605" s="2">
        <f>IFERROR(__xludf.DUMMYFUNCTION("SPLIT(B605,""/"")"),17.0)</f>
        <v>17</v>
      </c>
      <c r="F605" s="2">
        <f>IFERROR(__xludf.DUMMYFUNCTION("""COMPUTED_VALUE"""),9.0)</f>
        <v>9</v>
      </c>
      <c r="G605" s="2">
        <f>IFERROR(__xludf.DUMMYFUNCTION("""COMPUTED_VALUE"""),2024.0)</f>
        <v>2024</v>
      </c>
      <c r="H605" s="2" t="str">
        <f t="shared" si="2"/>
        <v>2024/9/17</v>
      </c>
      <c r="I605" s="2" t="s">
        <v>1573</v>
      </c>
      <c r="J605" s="2" t="str">
        <f t="shared" si="3"/>
        <v>Air mineral</v>
      </c>
      <c r="K605" s="7">
        <f>if(RIGHT(I605,5)="2 pcs",2,Data!I605)</f>
        <v>1</v>
      </c>
      <c r="L605" s="2" t="str">
        <f t="shared" si="4"/>
        <v>Tuesday</v>
      </c>
      <c r="M605" s="2" t="str">
        <f t="shared" si="5"/>
        <v>17</v>
      </c>
      <c r="N605" s="2">
        <f>VLOOKUP(L605,'Data Info'!$A$1:$B$8,2,0)</f>
        <v>2</v>
      </c>
      <c r="O605" s="2" t="str">
        <f>VLOOKUP(L605,'Data Info'!$A$1:$C$8,3,0)</f>
        <v>Weekday</v>
      </c>
    </row>
    <row r="606">
      <c r="A606" s="4">
        <v>45552.56736111111</v>
      </c>
      <c r="B606" s="9">
        <f>IFERROR(__xludf.DUMMYFUNCTION("SPLIT(A606,"" "")"),45552.0)</f>
        <v>45552</v>
      </c>
      <c r="C606" s="10">
        <f>IFERROR(__xludf.DUMMYFUNCTION("""COMPUTED_VALUE"""),0.5673611111111111)</f>
        <v>0.5673611111</v>
      </c>
      <c r="D606" s="2">
        <f t="shared" si="1"/>
        <v>13</v>
      </c>
      <c r="E606" s="2">
        <f>IFERROR(__xludf.DUMMYFUNCTION("SPLIT(B606,""/"")"),17.0)</f>
        <v>17</v>
      </c>
      <c r="F606" s="2">
        <f>IFERROR(__xludf.DUMMYFUNCTION("""COMPUTED_VALUE"""),9.0)</f>
        <v>9</v>
      </c>
      <c r="G606" s="2">
        <f>IFERROR(__xludf.DUMMYFUNCTION("""COMPUTED_VALUE"""),2024.0)</f>
        <v>2024</v>
      </c>
      <c r="H606" s="2" t="str">
        <f t="shared" si="2"/>
        <v>2024/9/17</v>
      </c>
      <c r="I606" s="2" t="s">
        <v>1607</v>
      </c>
      <c r="J606" s="2" t="str">
        <f t="shared" si="3"/>
        <v>Tahu walik</v>
      </c>
      <c r="K606" s="7">
        <f>if(RIGHT(I606,5)="2 pcs",2,Data!I606)</f>
        <v>1</v>
      </c>
      <c r="L606" s="2" t="str">
        <f t="shared" si="4"/>
        <v>Tuesday</v>
      </c>
      <c r="M606" s="2" t="str">
        <f t="shared" si="5"/>
        <v>17</v>
      </c>
      <c r="N606" s="2">
        <f>VLOOKUP(L606,'Data Info'!$A$1:$B$8,2,0)</f>
        <v>2</v>
      </c>
      <c r="O606" s="2" t="str">
        <f>VLOOKUP(L606,'Data Info'!$A$1:$C$8,3,0)</f>
        <v>Weekday</v>
      </c>
    </row>
    <row r="607">
      <c r="A607" s="4">
        <v>45552.56736111111</v>
      </c>
      <c r="B607" s="9">
        <f>IFERROR(__xludf.DUMMYFUNCTION("SPLIT(A607,"" "")"),45552.0)</f>
        <v>45552</v>
      </c>
      <c r="C607" s="10">
        <f>IFERROR(__xludf.DUMMYFUNCTION("""COMPUTED_VALUE"""),0.5673611111111111)</f>
        <v>0.5673611111</v>
      </c>
      <c r="D607" s="2">
        <f t="shared" si="1"/>
        <v>13</v>
      </c>
      <c r="E607" s="2">
        <f>IFERROR(__xludf.DUMMYFUNCTION("SPLIT(B607,""/"")"),17.0)</f>
        <v>17</v>
      </c>
      <c r="F607" s="2">
        <f>IFERROR(__xludf.DUMMYFUNCTION("""COMPUTED_VALUE"""),9.0)</f>
        <v>9</v>
      </c>
      <c r="G607" s="2">
        <f>IFERROR(__xludf.DUMMYFUNCTION("""COMPUTED_VALUE"""),2024.0)</f>
        <v>2024</v>
      </c>
      <c r="H607" s="2" t="str">
        <f t="shared" si="2"/>
        <v>2024/9/17</v>
      </c>
      <c r="I607" s="2" t="s">
        <v>1576</v>
      </c>
      <c r="J607" s="2" t="str">
        <f t="shared" si="3"/>
        <v>Roti Cranberry</v>
      </c>
      <c r="K607" s="7">
        <f>if(RIGHT(I607,5)="2 pcs",2,Data!I607)</f>
        <v>1</v>
      </c>
      <c r="L607" s="2" t="str">
        <f t="shared" si="4"/>
        <v>Tuesday</v>
      </c>
      <c r="M607" s="2" t="str">
        <f t="shared" si="5"/>
        <v>17</v>
      </c>
      <c r="N607" s="2">
        <f>VLOOKUP(L607,'Data Info'!$A$1:$B$8,2,0)</f>
        <v>2</v>
      </c>
      <c r="O607" s="2" t="str">
        <f>VLOOKUP(L607,'Data Info'!$A$1:$C$8,3,0)</f>
        <v>Weekday</v>
      </c>
    </row>
    <row r="608">
      <c r="A608" s="4">
        <v>45552.55694444444</v>
      </c>
      <c r="B608" s="9">
        <f>IFERROR(__xludf.DUMMYFUNCTION("SPLIT(A608,"" "")"),45552.0)</f>
        <v>45552</v>
      </c>
      <c r="C608" s="10">
        <f>IFERROR(__xludf.DUMMYFUNCTION("""COMPUTED_VALUE"""),0.5569444444444445)</f>
        <v>0.5569444444</v>
      </c>
      <c r="D608" s="2">
        <f t="shared" si="1"/>
        <v>13</v>
      </c>
      <c r="E608" s="2">
        <f>IFERROR(__xludf.DUMMYFUNCTION("SPLIT(B608,""/"")"),17.0)</f>
        <v>17</v>
      </c>
      <c r="F608" s="2">
        <f>IFERROR(__xludf.DUMMYFUNCTION("""COMPUTED_VALUE"""),9.0)</f>
        <v>9</v>
      </c>
      <c r="G608" s="2">
        <f>IFERROR(__xludf.DUMMYFUNCTION("""COMPUTED_VALUE"""),2024.0)</f>
        <v>2024</v>
      </c>
      <c r="H608" s="2" t="str">
        <f t="shared" si="2"/>
        <v>2024/9/17</v>
      </c>
      <c r="I608" s="2" t="s">
        <v>1596</v>
      </c>
      <c r="J608" s="2" t="str">
        <f t="shared" si="3"/>
        <v>Roti Cranberry</v>
      </c>
      <c r="K608" s="7">
        <f>if(RIGHT(I608,5)="2 pcs",2,Data!I608)</f>
        <v>2</v>
      </c>
      <c r="L608" s="2" t="str">
        <f t="shared" si="4"/>
        <v>Tuesday</v>
      </c>
      <c r="M608" s="2" t="str">
        <f t="shared" si="5"/>
        <v>17</v>
      </c>
      <c r="N608" s="2">
        <f>VLOOKUP(L608,'Data Info'!$A$1:$B$8,2,0)</f>
        <v>2</v>
      </c>
      <c r="O608" s="2" t="str">
        <f>VLOOKUP(L608,'Data Info'!$A$1:$C$8,3,0)</f>
        <v>Weekday</v>
      </c>
    </row>
    <row r="609">
      <c r="A609" s="4">
        <v>45552.55694444444</v>
      </c>
      <c r="B609" s="9">
        <f>IFERROR(__xludf.DUMMYFUNCTION("SPLIT(A609,"" "")"),45552.0)</f>
        <v>45552</v>
      </c>
      <c r="C609" s="10">
        <f>IFERROR(__xludf.DUMMYFUNCTION("""COMPUTED_VALUE"""),0.5569444444444445)</f>
        <v>0.5569444444</v>
      </c>
      <c r="D609" s="2">
        <f t="shared" si="1"/>
        <v>13</v>
      </c>
      <c r="E609" s="2">
        <f>IFERROR(__xludf.DUMMYFUNCTION("SPLIT(B609,""/"")"),17.0)</f>
        <v>17</v>
      </c>
      <c r="F609" s="2">
        <f>IFERROR(__xludf.DUMMYFUNCTION("""COMPUTED_VALUE"""),9.0)</f>
        <v>9</v>
      </c>
      <c r="G609" s="2">
        <f>IFERROR(__xludf.DUMMYFUNCTION("""COMPUTED_VALUE"""),2024.0)</f>
        <v>2024</v>
      </c>
      <c r="H609" s="2" t="str">
        <f t="shared" si="2"/>
        <v>2024/9/17</v>
      </c>
      <c r="I609" s="2" t="s">
        <v>1566</v>
      </c>
      <c r="J609" s="2" t="str">
        <f t="shared" si="3"/>
        <v>Roti Bawang Saus Keju</v>
      </c>
      <c r="K609" s="7">
        <f>if(RIGHT(I609,5)="2 pcs",2,Data!I609)</f>
        <v>1</v>
      </c>
      <c r="L609" s="2" t="str">
        <f t="shared" si="4"/>
        <v>Tuesday</v>
      </c>
      <c r="M609" s="2" t="str">
        <f t="shared" si="5"/>
        <v>17</v>
      </c>
      <c r="N609" s="2">
        <f>VLOOKUP(L609,'Data Info'!$A$1:$B$8,2,0)</f>
        <v>2</v>
      </c>
      <c r="O609" s="2" t="str">
        <f>VLOOKUP(L609,'Data Info'!$A$1:$C$8,3,0)</f>
        <v>Weekday</v>
      </c>
    </row>
    <row r="610">
      <c r="A610" s="4">
        <v>45552.55694444444</v>
      </c>
      <c r="B610" s="9">
        <f>IFERROR(__xludf.DUMMYFUNCTION("SPLIT(A610,"" "")"),45552.0)</f>
        <v>45552</v>
      </c>
      <c r="C610" s="10">
        <f>IFERROR(__xludf.DUMMYFUNCTION("""COMPUTED_VALUE"""),0.5569444444444445)</f>
        <v>0.5569444444</v>
      </c>
      <c r="D610" s="2">
        <f t="shared" si="1"/>
        <v>13</v>
      </c>
      <c r="E610" s="2">
        <f>IFERROR(__xludf.DUMMYFUNCTION("SPLIT(B610,""/"")"),17.0)</f>
        <v>17</v>
      </c>
      <c r="F610" s="2">
        <f>IFERROR(__xludf.DUMMYFUNCTION("""COMPUTED_VALUE"""),9.0)</f>
        <v>9</v>
      </c>
      <c r="G610" s="2">
        <f>IFERROR(__xludf.DUMMYFUNCTION("""COMPUTED_VALUE"""),2024.0)</f>
        <v>2024</v>
      </c>
      <c r="H610" s="2" t="str">
        <f t="shared" si="2"/>
        <v>2024/9/17</v>
      </c>
      <c r="I610" s="2" t="s">
        <v>1595</v>
      </c>
      <c r="J610" s="2" t="str">
        <f t="shared" si="3"/>
        <v>Roti Gandum Cokelat</v>
      </c>
      <c r="K610" s="7">
        <f>if(RIGHT(I610,5)="2 pcs",2,Data!I610)</f>
        <v>1</v>
      </c>
      <c r="L610" s="2" t="str">
        <f t="shared" si="4"/>
        <v>Tuesday</v>
      </c>
      <c r="M610" s="2" t="str">
        <f t="shared" si="5"/>
        <v>17</v>
      </c>
      <c r="N610" s="2">
        <f>VLOOKUP(L610,'Data Info'!$A$1:$B$8,2,0)</f>
        <v>2</v>
      </c>
      <c r="O610" s="2" t="str">
        <f>VLOOKUP(L610,'Data Info'!$A$1:$C$8,3,0)</f>
        <v>Weekday</v>
      </c>
    </row>
    <row r="611">
      <c r="A611" s="4">
        <v>45552.55</v>
      </c>
      <c r="B611" s="9">
        <f>IFERROR(__xludf.DUMMYFUNCTION("SPLIT(A611,"" "")"),45552.0)</f>
        <v>45552</v>
      </c>
      <c r="C611" s="10">
        <f>IFERROR(__xludf.DUMMYFUNCTION("""COMPUTED_VALUE"""),0.55)</f>
        <v>0.55</v>
      </c>
      <c r="D611" s="2">
        <f t="shared" si="1"/>
        <v>13</v>
      </c>
      <c r="E611" s="2">
        <f>IFERROR(__xludf.DUMMYFUNCTION("SPLIT(B611,""/"")"),17.0)</f>
        <v>17</v>
      </c>
      <c r="F611" s="2">
        <f>IFERROR(__xludf.DUMMYFUNCTION("""COMPUTED_VALUE"""),9.0)</f>
        <v>9</v>
      </c>
      <c r="G611" s="2">
        <f>IFERROR(__xludf.DUMMYFUNCTION("""COMPUTED_VALUE"""),2024.0)</f>
        <v>2024</v>
      </c>
      <c r="H611" s="2" t="str">
        <f t="shared" si="2"/>
        <v>2024/9/17</v>
      </c>
      <c r="I611" s="2" t="s">
        <v>1583</v>
      </c>
      <c r="J611" s="2" t="str">
        <f t="shared" si="3"/>
        <v>Es Kopi Lemon</v>
      </c>
      <c r="K611" s="7">
        <f>if(RIGHT(I611,5)="2 pcs",2,Data!I611)</f>
        <v>1</v>
      </c>
      <c r="L611" s="2" t="str">
        <f t="shared" si="4"/>
        <v>Tuesday</v>
      </c>
      <c r="M611" s="2" t="str">
        <f t="shared" si="5"/>
        <v>17</v>
      </c>
      <c r="N611" s="2">
        <f>VLOOKUP(L611,'Data Info'!$A$1:$B$8,2,0)</f>
        <v>2</v>
      </c>
      <c r="O611" s="2" t="str">
        <f>VLOOKUP(L611,'Data Info'!$A$1:$C$8,3,0)</f>
        <v>Weekday</v>
      </c>
    </row>
    <row r="612">
      <c r="A612" s="4">
        <v>45552.55</v>
      </c>
      <c r="B612" s="9">
        <f>IFERROR(__xludf.DUMMYFUNCTION("SPLIT(A612,"" "")"),45552.0)</f>
        <v>45552</v>
      </c>
      <c r="C612" s="10">
        <f>IFERROR(__xludf.DUMMYFUNCTION("""COMPUTED_VALUE"""),0.55)</f>
        <v>0.55</v>
      </c>
      <c r="D612" s="2">
        <f t="shared" si="1"/>
        <v>13</v>
      </c>
      <c r="E612" s="2">
        <f>IFERROR(__xludf.DUMMYFUNCTION("SPLIT(B612,""/"")"),17.0)</f>
        <v>17</v>
      </c>
      <c r="F612" s="2">
        <f>IFERROR(__xludf.DUMMYFUNCTION("""COMPUTED_VALUE"""),9.0)</f>
        <v>9</v>
      </c>
      <c r="G612" s="2">
        <f>IFERROR(__xludf.DUMMYFUNCTION("""COMPUTED_VALUE"""),2024.0)</f>
        <v>2024</v>
      </c>
      <c r="H612" s="2" t="str">
        <f t="shared" si="2"/>
        <v>2024/9/17</v>
      </c>
      <c r="I612" s="2" t="s">
        <v>1599</v>
      </c>
      <c r="J612" s="2" t="str">
        <f t="shared" si="3"/>
        <v>Rempah Madu Dingin</v>
      </c>
      <c r="K612" s="7">
        <f>if(RIGHT(I612,5)="2 pcs",2,Data!I612)</f>
        <v>1</v>
      </c>
      <c r="L612" s="2" t="str">
        <f t="shared" si="4"/>
        <v>Tuesday</v>
      </c>
      <c r="M612" s="2" t="str">
        <f t="shared" si="5"/>
        <v>17</v>
      </c>
      <c r="N612" s="2">
        <f>VLOOKUP(L612,'Data Info'!$A$1:$B$8,2,0)</f>
        <v>2</v>
      </c>
      <c r="O612" s="2" t="str">
        <f>VLOOKUP(L612,'Data Info'!$A$1:$C$8,3,0)</f>
        <v>Weekday</v>
      </c>
    </row>
    <row r="613">
      <c r="A613" s="4">
        <v>45552.55</v>
      </c>
      <c r="B613" s="9">
        <f>IFERROR(__xludf.DUMMYFUNCTION("SPLIT(A613,"" "")"),45552.0)</f>
        <v>45552</v>
      </c>
      <c r="C613" s="10">
        <f>IFERROR(__xludf.DUMMYFUNCTION("""COMPUTED_VALUE"""),0.55)</f>
        <v>0.55</v>
      </c>
      <c r="D613" s="2">
        <f t="shared" si="1"/>
        <v>13</v>
      </c>
      <c r="E613" s="2">
        <f>IFERROR(__xludf.DUMMYFUNCTION("SPLIT(B613,""/"")"),17.0)</f>
        <v>17</v>
      </c>
      <c r="F613" s="2">
        <f>IFERROR(__xludf.DUMMYFUNCTION("""COMPUTED_VALUE"""),9.0)</f>
        <v>9</v>
      </c>
      <c r="G613" s="2">
        <f>IFERROR(__xludf.DUMMYFUNCTION("""COMPUTED_VALUE"""),2024.0)</f>
        <v>2024</v>
      </c>
      <c r="H613" s="2" t="str">
        <f t="shared" si="2"/>
        <v>2024/9/17</v>
      </c>
      <c r="I613" s="2" t="s">
        <v>1607</v>
      </c>
      <c r="J613" s="2" t="str">
        <f t="shared" si="3"/>
        <v>Tahu walik</v>
      </c>
      <c r="K613" s="7">
        <f>if(RIGHT(I613,5)="2 pcs",2,Data!I613)</f>
        <v>1</v>
      </c>
      <c r="L613" s="2" t="str">
        <f t="shared" si="4"/>
        <v>Tuesday</v>
      </c>
      <c r="M613" s="2" t="str">
        <f t="shared" si="5"/>
        <v>17</v>
      </c>
      <c r="N613" s="2">
        <f>VLOOKUP(L613,'Data Info'!$A$1:$B$8,2,0)</f>
        <v>2</v>
      </c>
      <c r="O613" s="2" t="str">
        <f>VLOOKUP(L613,'Data Info'!$A$1:$C$8,3,0)</f>
        <v>Weekday</v>
      </c>
    </row>
    <row r="614">
      <c r="A614" s="4">
        <v>45552.55</v>
      </c>
      <c r="B614" s="9">
        <f>IFERROR(__xludf.DUMMYFUNCTION("SPLIT(A614,"" "")"),45552.0)</f>
        <v>45552</v>
      </c>
      <c r="C614" s="10">
        <f>IFERROR(__xludf.DUMMYFUNCTION("""COMPUTED_VALUE"""),0.55)</f>
        <v>0.55</v>
      </c>
      <c r="D614" s="2">
        <f t="shared" si="1"/>
        <v>13</v>
      </c>
      <c r="E614" s="2">
        <f>IFERROR(__xludf.DUMMYFUNCTION("SPLIT(B614,""/"")"),17.0)</f>
        <v>17</v>
      </c>
      <c r="F614" s="2">
        <f>IFERROR(__xludf.DUMMYFUNCTION("""COMPUTED_VALUE"""),9.0)</f>
        <v>9</v>
      </c>
      <c r="G614" s="2">
        <f>IFERROR(__xludf.DUMMYFUNCTION("""COMPUTED_VALUE"""),2024.0)</f>
        <v>2024</v>
      </c>
      <c r="H614" s="2" t="str">
        <f t="shared" si="2"/>
        <v>2024/9/17</v>
      </c>
      <c r="I614" s="2" t="s">
        <v>1566</v>
      </c>
      <c r="J614" s="2" t="str">
        <f t="shared" si="3"/>
        <v>Roti Bawang Saus Keju</v>
      </c>
      <c r="K614" s="7">
        <f>if(RIGHT(I614,5)="2 pcs",2,Data!I614)</f>
        <v>1</v>
      </c>
      <c r="L614" s="2" t="str">
        <f t="shared" si="4"/>
        <v>Tuesday</v>
      </c>
      <c r="M614" s="2" t="str">
        <f t="shared" si="5"/>
        <v>17</v>
      </c>
      <c r="N614" s="2">
        <f>VLOOKUP(L614,'Data Info'!$A$1:$B$8,2,0)</f>
        <v>2</v>
      </c>
      <c r="O614" s="2" t="str">
        <f>VLOOKUP(L614,'Data Info'!$A$1:$C$8,3,0)</f>
        <v>Weekday</v>
      </c>
    </row>
    <row r="615">
      <c r="A615" s="4">
        <v>45552.51666666667</v>
      </c>
      <c r="B615" s="9">
        <f>IFERROR(__xludf.DUMMYFUNCTION("SPLIT(A615,"" "")"),45552.0)</f>
        <v>45552</v>
      </c>
      <c r="C615" s="10">
        <f>IFERROR(__xludf.DUMMYFUNCTION("""COMPUTED_VALUE"""),0.5166666666666667)</f>
        <v>0.5166666667</v>
      </c>
      <c r="D615" s="2">
        <f t="shared" si="1"/>
        <v>12</v>
      </c>
      <c r="E615" s="2">
        <f>IFERROR(__xludf.DUMMYFUNCTION("SPLIT(B615,""/"")"),17.0)</f>
        <v>17</v>
      </c>
      <c r="F615" s="2">
        <f>IFERROR(__xludf.DUMMYFUNCTION("""COMPUTED_VALUE"""),9.0)</f>
        <v>9</v>
      </c>
      <c r="G615" s="2">
        <f>IFERROR(__xludf.DUMMYFUNCTION("""COMPUTED_VALUE"""),2024.0)</f>
        <v>2024</v>
      </c>
      <c r="H615" s="2" t="str">
        <f t="shared" si="2"/>
        <v>2024/9/17</v>
      </c>
      <c r="I615" s="2" t="s">
        <v>1566</v>
      </c>
      <c r="J615" s="2" t="str">
        <f t="shared" si="3"/>
        <v>Roti Bawang Saus Keju</v>
      </c>
      <c r="K615" s="7">
        <f>if(RIGHT(I615,5)="2 pcs",2,Data!I615)</f>
        <v>1</v>
      </c>
      <c r="L615" s="2" t="str">
        <f t="shared" si="4"/>
        <v>Tuesday</v>
      </c>
      <c r="M615" s="2" t="str">
        <f t="shared" si="5"/>
        <v>17</v>
      </c>
      <c r="N615" s="2">
        <f>VLOOKUP(L615,'Data Info'!$A$1:$B$8,2,0)</f>
        <v>2</v>
      </c>
      <c r="O615" s="2" t="str">
        <f>VLOOKUP(L615,'Data Info'!$A$1:$C$8,3,0)</f>
        <v>Weekday</v>
      </c>
    </row>
    <row r="616">
      <c r="A616" s="4">
        <v>45552.46875</v>
      </c>
      <c r="B616" s="9">
        <f>IFERROR(__xludf.DUMMYFUNCTION("SPLIT(A616,"" "")"),45552.0)</f>
        <v>45552</v>
      </c>
      <c r="C616" s="10">
        <f>IFERROR(__xludf.DUMMYFUNCTION("""COMPUTED_VALUE"""),0.46875)</f>
        <v>0.46875</v>
      </c>
      <c r="D616" s="2">
        <f t="shared" si="1"/>
        <v>11</v>
      </c>
      <c r="E616" s="2">
        <f>IFERROR(__xludf.DUMMYFUNCTION("SPLIT(B616,""/"")"),17.0)</f>
        <v>17</v>
      </c>
      <c r="F616" s="2">
        <f>IFERROR(__xludf.DUMMYFUNCTION("""COMPUTED_VALUE"""),9.0)</f>
        <v>9</v>
      </c>
      <c r="G616" s="2">
        <f>IFERROR(__xludf.DUMMYFUNCTION("""COMPUTED_VALUE"""),2024.0)</f>
        <v>2024</v>
      </c>
      <c r="H616" s="2" t="str">
        <f t="shared" si="2"/>
        <v>2024/9/17</v>
      </c>
      <c r="I616" s="2" t="s">
        <v>1595</v>
      </c>
      <c r="J616" s="2" t="str">
        <f t="shared" si="3"/>
        <v>Roti Gandum Cokelat</v>
      </c>
      <c r="K616" s="7">
        <f>if(RIGHT(I616,5)="2 pcs",2,Data!I616)</f>
        <v>1</v>
      </c>
      <c r="L616" s="2" t="str">
        <f t="shared" si="4"/>
        <v>Tuesday</v>
      </c>
      <c r="M616" s="2" t="str">
        <f t="shared" si="5"/>
        <v>17</v>
      </c>
      <c r="N616" s="2">
        <f>VLOOKUP(L616,'Data Info'!$A$1:$B$8,2,0)</f>
        <v>2</v>
      </c>
      <c r="O616" s="2" t="str">
        <f>VLOOKUP(L616,'Data Info'!$A$1:$C$8,3,0)</f>
        <v>Weekday</v>
      </c>
    </row>
    <row r="617">
      <c r="A617" s="4">
        <v>45552.46875</v>
      </c>
      <c r="B617" s="9">
        <f>IFERROR(__xludf.DUMMYFUNCTION("SPLIT(A617,"" "")"),45552.0)</f>
        <v>45552</v>
      </c>
      <c r="C617" s="10">
        <f>IFERROR(__xludf.DUMMYFUNCTION("""COMPUTED_VALUE"""),0.46875)</f>
        <v>0.46875</v>
      </c>
      <c r="D617" s="2">
        <f t="shared" si="1"/>
        <v>11</v>
      </c>
      <c r="E617" s="2">
        <f>IFERROR(__xludf.DUMMYFUNCTION("SPLIT(B617,""/"")"),17.0)</f>
        <v>17</v>
      </c>
      <c r="F617" s="2">
        <f>IFERROR(__xludf.DUMMYFUNCTION("""COMPUTED_VALUE"""),9.0)</f>
        <v>9</v>
      </c>
      <c r="G617" s="2">
        <f>IFERROR(__xludf.DUMMYFUNCTION("""COMPUTED_VALUE"""),2024.0)</f>
        <v>2024</v>
      </c>
      <c r="H617" s="2" t="str">
        <f t="shared" si="2"/>
        <v>2024/9/17</v>
      </c>
      <c r="I617" s="2" t="s">
        <v>1576</v>
      </c>
      <c r="J617" s="2" t="str">
        <f t="shared" si="3"/>
        <v>Roti Cranberry</v>
      </c>
      <c r="K617" s="7">
        <f>if(RIGHT(I617,5)="2 pcs",2,Data!I617)</f>
        <v>1</v>
      </c>
      <c r="L617" s="2" t="str">
        <f t="shared" si="4"/>
        <v>Tuesday</v>
      </c>
      <c r="M617" s="2" t="str">
        <f t="shared" si="5"/>
        <v>17</v>
      </c>
      <c r="N617" s="2">
        <f>VLOOKUP(L617,'Data Info'!$A$1:$B$8,2,0)</f>
        <v>2</v>
      </c>
      <c r="O617" s="2" t="str">
        <f>VLOOKUP(L617,'Data Info'!$A$1:$C$8,3,0)</f>
        <v>Weekday</v>
      </c>
    </row>
    <row r="618">
      <c r="A618" s="4">
        <v>45552.42013888889</v>
      </c>
      <c r="B618" s="9">
        <f>IFERROR(__xludf.DUMMYFUNCTION("SPLIT(A618,"" "")"),45552.0)</f>
        <v>45552</v>
      </c>
      <c r="C618" s="10">
        <f>IFERROR(__xludf.DUMMYFUNCTION("""COMPUTED_VALUE"""),0.4201388888888889)</f>
        <v>0.4201388889</v>
      </c>
      <c r="D618" s="2">
        <f t="shared" si="1"/>
        <v>10</v>
      </c>
      <c r="E618" s="2">
        <f>IFERROR(__xludf.DUMMYFUNCTION("SPLIT(B618,""/"")"),17.0)</f>
        <v>17</v>
      </c>
      <c r="F618" s="2">
        <f>IFERROR(__xludf.DUMMYFUNCTION("""COMPUTED_VALUE"""),9.0)</f>
        <v>9</v>
      </c>
      <c r="G618" s="2">
        <f>IFERROR(__xludf.DUMMYFUNCTION("""COMPUTED_VALUE"""),2024.0)</f>
        <v>2024</v>
      </c>
      <c r="H618" s="2" t="str">
        <f t="shared" si="2"/>
        <v>2024/9/17</v>
      </c>
      <c r="I618" s="2" t="s">
        <v>1566</v>
      </c>
      <c r="J618" s="2" t="str">
        <f t="shared" si="3"/>
        <v>Roti Bawang Saus Keju</v>
      </c>
      <c r="K618" s="7">
        <f>if(RIGHT(I618,5)="2 pcs",2,Data!I618)</f>
        <v>1</v>
      </c>
      <c r="L618" s="2" t="str">
        <f t="shared" si="4"/>
        <v>Tuesday</v>
      </c>
      <c r="M618" s="2" t="str">
        <f t="shared" si="5"/>
        <v>17</v>
      </c>
      <c r="N618" s="2">
        <f>VLOOKUP(L618,'Data Info'!$A$1:$B$8,2,0)</f>
        <v>2</v>
      </c>
      <c r="O618" s="2" t="str">
        <f>VLOOKUP(L618,'Data Info'!$A$1:$C$8,3,0)</f>
        <v>Weekday</v>
      </c>
    </row>
    <row r="619">
      <c r="A619" s="4">
        <v>45552.42013888889</v>
      </c>
      <c r="B619" s="9">
        <f>IFERROR(__xludf.DUMMYFUNCTION("SPLIT(A619,"" "")"),45552.0)</f>
        <v>45552</v>
      </c>
      <c r="C619" s="10">
        <f>IFERROR(__xludf.DUMMYFUNCTION("""COMPUTED_VALUE"""),0.4201388888888889)</f>
        <v>0.4201388889</v>
      </c>
      <c r="D619" s="2">
        <f t="shared" si="1"/>
        <v>10</v>
      </c>
      <c r="E619" s="2">
        <f>IFERROR(__xludf.DUMMYFUNCTION("SPLIT(B619,""/"")"),17.0)</f>
        <v>17</v>
      </c>
      <c r="F619" s="2">
        <f>IFERROR(__xludf.DUMMYFUNCTION("""COMPUTED_VALUE"""),9.0)</f>
        <v>9</v>
      </c>
      <c r="G619" s="2">
        <f>IFERROR(__xludf.DUMMYFUNCTION("""COMPUTED_VALUE"""),2024.0)</f>
        <v>2024</v>
      </c>
      <c r="H619" s="2" t="str">
        <f t="shared" si="2"/>
        <v>2024/9/17</v>
      </c>
      <c r="I619" s="2" t="s">
        <v>1593</v>
      </c>
      <c r="J619" s="2" t="str">
        <f t="shared" si="3"/>
        <v>Wedang laut</v>
      </c>
      <c r="K619" s="7">
        <f>if(RIGHT(I619,5)="2 pcs",2,Data!I619)</f>
        <v>1</v>
      </c>
      <c r="L619" s="2" t="str">
        <f t="shared" si="4"/>
        <v>Tuesday</v>
      </c>
      <c r="M619" s="2" t="str">
        <f t="shared" si="5"/>
        <v>17</v>
      </c>
      <c r="N619" s="2">
        <f>VLOOKUP(L619,'Data Info'!$A$1:$B$8,2,0)</f>
        <v>2</v>
      </c>
      <c r="O619" s="2" t="str">
        <f>VLOOKUP(L619,'Data Info'!$A$1:$C$8,3,0)</f>
        <v>Weekday</v>
      </c>
    </row>
    <row r="620">
      <c r="A620" s="4">
        <v>45552.402083333334</v>
      </c>
      <c r="B620" s="9">
        <f>IFERROR(__xludf.DUMMYFUNCTION("SPLIT(A620,"" "")"),45552.0)</f>
        <v>45552</v>
      </c>
      <c r="C620" s="10">
        <f>IFERROR(__xludf.DUMMYFUNCTION("""COMPUTED_VALUE"""),0.40208333333333335)</f>
        <v>0.4020833333</v>
      </c>
      <c r="D620" s="2">
        <f t="shared" si="1"/>
        <v>9</v>
      </c>
      <c r="E620" s="2">
        <f>IFERROR(__xludf.DUMMYFUNCTION("SPLIT(B620,""/"")"),17.0)</f>
        <v>17</v>
      </c>
      <c r="F620" s="2">
        <f>IFERROR(__xludf.DUMMYFUNCTION("""COMPUTED_VALUE"""),9.0)</f>
        <v>9</v>
      </c>
      <c r="G620" s="2">
        <f>IFERROR(__xludf.DUMMYFUNCTION("""COMPUTED_VALUE"""),2024.0)</f>
        <v>2024</v>
      </c>
      <c r="H620" s="2" t="str">
        <f t="shared" si="2"/>
        <v>2024/9/17</v>
      </c>
      <c r="I620" s="2" t="s">
        <v>1596</v>
      </c>
      <c r="J620" s="2" t="str">
        <f t="shared" si="3"/>
        <v>Roti Cranberry</v>
      </c>
      <c r="K620" s="7">
        <f>if(RIGHT(I620,5)="2 pcs",2,Data!I620)</f>
        <v>2</v>
      </c>
      <c r="L620" s="2" t="str">
        <f t="shared" si="4"/>
        <v>Tuesday</v>
      </c>
      <c r="M620" s="2" t="str">
        <f t="shared" si="5"/>
        <v>17</v>
      </c>
      <c r="N620" s="2">
        <f>VLOOKUP(L620,'Data Info'!$A$1:$B$8,2,0)</f>
        <v>2</v>
      </c>
      <c r="O620" s="2" t="str">
        <f>VLOOKUP(L620,'Data Info'!$A$1:$C$8,3,0)</f>
        <v>Weekday</v>
      </c>
    </row>
    <row r="621">
      <c r="A621" s="4">
        <v>45552.396527777775</v>
      </c>
      <c r="B621" s="9">
        <f>IFERROR(__xludf.DUMMYFUNCTION("SPLIT(A621,"" "")"),45552.0)</f>
        <v>45552</v>
      </c>
      <c r="C621" s="10">
        <f>IFERROR(__xludf.DUMMYFUNCTION("""COMPUTED_VALUE"""),0.39652777777777776)</f>
        <v>0.3965277778</v>
      </c>
      <c r="D621" s="2">
        <f t="shared" si="1"/>
        <v>9</v>
      </c>
      <c r="E621" s="2">
        <f>IFERROR(__xludf.DUMMYFUNCTION("SPLIT(B621,""/"")"),17.0)</f>
        <v>17</v>
      </c>
      <c r="F621" s="2">
        <f>IFERROR(__xludf.DUMMYFUNCTION("""COMPUTED_VALUE"""),9.0)</f>
        <v>9</v>
      </c>
      <c r="G621" s="2">
        <f>IFERROR(__xludf.DUMMYFUNCTION("""COMPUTED_VALUE"""),2024.0)</f>
        <v>2024</v>
      </c>
      <c r="H621" s="2" t="str">
        <f t="shared" si="2"/>
        <v>2024/9/17</v>
      </c>
      <c r="I621" s="2" t="s">
        <v>1588</v>
      </c>
      <c r="J621" s="2" t="str">
        <f t="shared" si="3"/>
        <v>Es Kopi Susu</v>
      </c>
      <c r="K621" s="7">
        <f>if(RIGHT(I621,5)="2 pcs",2,Data!I621)</f>
        <v>1</v>
      </c>
      <c r="L621" s="2" t="str">
        <f t="shared" si="4"/>
        <v>Tuesday</v>
      </c>
      <c r="M621" s="2" t="str">
        <f t="shared" si="5"/>
        <v>17</v>
      </c>
      <c r="N621" s="2">
        <f>VLOOKUP(L621,'Data Info'!$A$1:$B$8,2,0)</f>
        <v>2</v>
      </c>
      <c r="O621" s="2" t="str">
        <f>VLOOKUP(L621,'Data Info'!$A$1:$C$8,3,0)</f>
        <v>Weekday</v>
      </c>
    </row>
    <row r="622">
      <c r="A622" s="4">
        <v>45552.39097222222</v>
      </c>
      <c r="B622" s="9">
        <f>IFERROR(__xludf.DUMMYFUNCTION("SPLIT(A622,"" "")"),45552.0)</f>
        <v>45552</v>
      </c>
      <c r="C622" s="10">
        <f>IFERROR(__xludf.DUMMYFUNCTION("""COMPUTED_VALUE"""),0.3909722222222222)</f>
        <v>0.3909722222</v>
      </c>
      <c r="D622" s="2">
        <f t="shared" si="1"/>
        <v>9</v>
      </c>
      <c r="E622" s="2">
        <f>IFERROR(__xludf.DUMMYFUNCTION("SPLIT(B622,""/"")"),17.0)</f>
        <v>17</v>
      </c>
      <c r="F622" s="2">
        <f>IFERROR(__xludf.DUMMYFUNCTION("""COMPUTED_VALUE"""),9.0)</f>
        <v>9</v>
      </c>
      <c r="G622" s="2">
        <f>IFERROR(__xludf.DUMMYFUNCTION("""COMPUTED_VALUE"""),2024.0)</f>
        <v>2024</v>
      </c>
      <c r="H622" s="2" t="str">
        <f t="shared" si="2"/>
        <v>2024/9/17</v>
      </c>
      <c r="I622" s="2" t="s">
        <v>1576</v>
      </c>
      <c r="J622" s="2" t="str">
        <f t="shared" si="3"/>
        <v>Roti Cranberry</v>
      </c>
      <c r="K622" s="7">
        <f>if(RIGHT(I622,5)="2 pcs",2,Data!I622)</f>
        <v>1</v>
      </c>
      <c r="L622" s="2" t="str">
        <f t="shared" si="4"/>
        <v>Tuesday</v>
      </c>
      <c r="M622" s="2" t="str">
        <f t="shared" si="5"/>
        <v>17</v>
      </c>
      <c r="N622" s="2">
        <f>VLOOKUP(L622,'Data Info'!$A$1:$B$8,2,0)</f>
        <v>2</v>
      </c>
      <c r="O622" s="2" t="str">
        <f>VLOOKUP(L622,'Data Info'!$A$1:$C$8,3,0)</f>
        <v>Weekday</v>
      </c>
    </row>
    <row r="623">
      <c r="A623" s="4">
        <v>45552.39097222222</v>
      </c>
      <c r="B623" s="9">
        <f>IFERROR(__xludf.DUMMYFUNCTION("SPLIT(A623,"" "")"),45552.0)</f>
        <v>45552</v>
      </c>
      <c r="C623" s="10">
        <f>IFERROR(__xludf.DUMMYFUNCTION("""COMPUTED_VALUE"""),0.3909722222222222)</f>
        <v>0.3909722222</v>
      </c>
      <c r="D623" s="2">
        <f t="shared" si="1"/>
        <v>9</v>
      </c>
      <c r="E623" s="2">
        <f>IFERROR(__xludf.DUMMYFUNCTION("SPLIT(B623,""/"")"),17.0)</f>
        <v>17</v>
      </c>
      <c r="F623" s="2">
        <f>IFERROR(__xludf.DUMMYFUNCTION("""COMPUTED_VALUE"""),9.0)</f>
        <v>9</v>
      </c>
      <c r="G623" s="2">
        <f>IFERROR(__xludf.DUMMYFUNCTION("""COMPUTED_VALUE"""),2024.0)</f>
        <v>2024</v>
      </c>
      <c r="H623" s="2" t="str">
        <f t="shared" si="2"/>
        <v>2024/9/17</v>
      </c>
      <c r="I623" s="2" t="s">
        <v>1577</v>
      </c>
      <c r="J623" s="2" t="str">
        <f t="shared" si="3"/>
        <v>Rempah Madu Panas</v>
      </c>
      <c r="K623" s="7">
        <f>if(RIGHT(I623,5)="2 pcs",2,Data!I623)</f>
        <v>1</v>
      </c>
      <c r="L623" s="2" t="str">
        <f t="shared" si="4"/>
        <v>Tuesday</v>
      </c>
      <c r="M623" s="2" t="str">
        <f t="shared" si="5"/>
        <v>17</v>
      </c>
      <c r="N623" s="2">
        <f>VLOOKUP(L623,'Data Info'!$A$1:$B$8,2,0)</f>
        <v>2</v>
      </c>
      <c r="O623" s="2" t="str">
        <f>VLOOKUP(L623,'Data Info'!$A$1:$C$8,3,0)</f>
        <v>Weekday</v>
      </c>
    </row>
    <row r="624">
      <c r="A624" s="4">
        <v>45550.89722222222</v>
      </c>
      <c r="B624" s="9">
        <f>IFERROR(__xludf.DUMMYFUNCTION("SPLIT(A624,"" "")"),45550.0)</f>
        <v>45550</v>
      </c>
      <c r="C624" s="10">
        <f>IFERROR(__xludf.DUMMYFUNCTION("""COMPUTED_VALUE"""),0.8972222222222223)</f>
        <v>0.8972222222</v>
      </c>
      <c r="D624" s="2">
        <f t="shared" si="1"/>
        <v>21</v>
      </c>
      <c r="E624" s="2">
        <f>IFERROR(__xludf.DUMMYFUNCTION("SPLIT(B624,""/"")"),15.0)</f>
        <v>15</v>
      </c>
      <c r="F624" s="2">
        <f>IFERROR(__xludf.DUMMYFUNCTION("""COMPUTED_VALUE"""),9.0)</f>
        <v>9</v>
      </c>
      <c r="G624" s="2">
        <f>IFERROR(__xludf.DUMMYFUNCTION("""COMPUTED_VALUE"""),2024.0)</f>
        <v>2024</v>
      </c>
      <c r="H624" s="2" t="str">
        <f t="shared" si="2"/>
        <v>2024/9/15</v>
      </c>
      <c r="I624" s="2" t="s">
        <v>1593</v>
      </c>
      <c r="J624" s="2" t="str">
        <f t="shared" si="3"/>
        <v>Wedang laut</v>
      </c>
      <c r="K624" s="7">
        <f>if(RIGHT(I624,5)="2 pcs",2,Data!I624)</f>
        <v>1</v>
      </c>
      <c r="L624" s="2" t="str">
        <f t="shared" si="4"/>
        <v>Sunday</v>
      </c>
      <c r="M624" s="2" t="str">
        <f t="shared" si="5"/>
        <v>15</v>
      </c>
      <c r="N624" s="2">
        <f>VLOOKUP(L624,'Data Info'!$A$1:$B$8,2,0)</f>
        <v>7</v>
      </c>
      <c r="O624" s="2" t="str">
        <f>VLOOKUP(L624,'Data Info'!$A$1:$C$8,3,0)</f>
        <v>Weekend</v>
      </c>
    </row>
    <row r="625">
      <c r="A625" s="4">
        <v>45550.89722222222</v>
      </c>
      <c r="B625" s="9">
        <f>IFERROR(__xludf.DUMMYFUNCTION("SPLIT(A625,"" "")"),45550.0)</f>
        <v>45550</v>
      </c>
      <c r="C625" s="10">
        <f>IFERROR(__xludf.DUMMYFUNCTION("""COMPUTED_VALUE"""),0.8972222222222223)</f>
        <v>0.8972222222</v>
      </c>
      <c r="D625" s="2">
        <f t="shared" si="1"/>
        <v>21</v>
      </c>
      <c r="E625" s="2">
        <f>IFERROR(__xludf.DUMMYFUNCTION("SPLIT(B625,""/"")"),15.0)</f>
        <v>15</v>
      </c>
      <c r="F625" s="2">
        <f>IFERROR(__xludf.DUMMYFUNCTION("""COMPUTED_VALUE"""),9.0)</f>
        <v>9</v>
      </c>
      <c r="G625" s="2">
        <f>IFERROR(__xludf.DUMMYFUNCTION("""COMPUTED_VALUE"""),2024.0)</f>
        <v>2024</v>
      </c>
      <c r="H625" s="2" t="str">
        <f t="shared" si="2"/>
        <v>2024/9/15</v>
      </c>
      <c r="I625" s="2" t="s">
        <v>1588</v>
      </c>
      <c r="J625" s="2" t="str">
        <f t="shared" si="3"/>
        <v>Es Kopi Susu</v>
      </c>
      <c r="K625" s="7">
        <f>if(RIGHT(I625,5)="2 pcs",2,Data!I625)</f>
        <v>1</v>
      </c>
      <c r="L625" s="2" t="str">
        <f t="shared" si="4"/>
        <v>Sunday</v>
      </c>
      <c r="M625" s="2" t="str">
        <f t="shared" si="5"/>
        <v>15</v>
      </c>
      <c r="N625" s="2">
        <f>VLOOKUP(L625,'Data Info'!$A$1:$B$8,2,0)</f>
        <v>7</v>
      </c>
      <c r="O625" s="2" t="str">
        <f>VLOOKUP(L625,'Data Info'!$A$1:$C$8,3,0)</f>
        <v>Weekend</v>
      </c>
    </row>
    <row r="626">
      <c r="A626" s="4">
        <v>45550.89722222222</v>
      </c>
      <c r="B626" s="9">
        <f>IFERROR(__xludf.DUMMYFUNCTION("SPLIT(A626,"" "")"),45550.0)</f>
        <v>45550</v>
      </c>
      <c r="C626" s="10">
        <f>IFERROR(__xludf.DUMMYFUNCTION("""COMPUTED_VALUE"""),0.8972222222222223)</f>
        <v>0.8972222222</v>
      </c>
      <c r="D626" s="2">
        <f t="shared" si="1"/>
        <v>21</v>
      </c>
      <c r="E626" s="2">
        <f>IFERROR(__xludf.DUMMYFUNCTION("SPLIT(B626,""/"")"),15.0)</f>
        <v>15</v>
      </c>
      <c r="F626" s="2">
        <f>IFERROR(__xludf.DUMMYFUNCTION("""COMPUTED_VALUE"""),9.0)</f>
        <v>9</v>
      </c>
      <c r="G626" s="2">
        <f>IFERROR(__xludf.DUMMYFUNCTION("""COMPUTED_VALUE"""),2024.0)</f>
        <v>2024</v>
      </c>
      <c r="H626" s="2" t="str">
        <f t="shared" si="2"/>
        <v>2024/9/15</v>
      </c>
      <c r="I626" s="2" t="s">
        <v>1591</v>
      </c>
      <c r="J626" s="2" t="str">
        <f t="shared" si="3"/>
        <v>Kopi cur</v>
      </c>
      <c r="K626" s="7">
        <f>if(RIGHT(I626,5)="2 pcs",2,Data!I626)</f>
        <v>1</v>
      </c>
      <c r="L626" s="2" t="str">
        <f t="shared" si="4"/>
        <v>Sunday</v>
      </c>
      <c r="M626" s="2" t="str">
        <f t="shared" si="5"/>
        <v>15</v>
      </c>
      <c r="N626" s="2">
        <f>VLOOKUP(L626,'Data Info'!$A$1:$B$8,2,0)</f>
        <v>7</v>
      </c>
      <c r="O626" s="2" t="str">
        <f>VLOOKUP(L626,'Data Info'!$A$1:$C$8,3,0)</f>
        <v>Weekend</v>
      </c>
    </row>
    <row r="627">
      <c r="A627" s="4">
        <v>45550.89722222222</v>
      </c>
      <c r="B627" s="9">
        <f>IFERROR(__xludf.DUMMYFUNCTION("SPLIT(A627,"" "")"),45550.0)</f>
        <v>45550</v>
      </c>
      <c r="C627" s="10">
        <f>IFERROR(__xludf.DUMMYFUNCTION("""COMPUTED_VALUE"""),0.8972222222222223)</f>
        <v>0.8972222222</v>
      </c>
      <c r="D627" s="2">
        <f t="shared" si="1"/>
        <v>21</v>
      </c>
      <c r="E627" s="2">
        <f>IFERROR(__xludf.DUMMYFUNCTION("SPLIT(B627,""/"")"),15.0)</f>
        <v>15</v>
      </c>
      <c r="F627" s="2">
        <f>IFERROR(__xludf.DUMMYFUNCTION("""COMPUTED_VALUE"""),9.0)</f>
        <v>9</v>
      </c>
      <c r="G627" s="2">
        <f>IFERROR(__xludf.DUMMYFUNCTION("""COMPUTED_VALUE"""),2024.0)</f>
        <v>2024</v>
      </c>
      <c r="H627" s="2" t="str">
        <f t="shared" si="2"/>
        <v>2024/9/15</v>
      </c>
      <c r="I627" s="2" t="s">
        <v>1605</v>
      </c>
      <c r="J627" s="2" t="str">
        <f t="shared" si="3"/>
        <v>Kentang Goreng</v>
      </c>
      <c r="K627" s="7">
        <f>if(RIGHT(I627,5)="2 pcs",2,Data!I627)</f>
        <v>1</v>
      </c>
      <c r="L627" s="2" t="str">
        <f t="shared" si="4"/>
        <v>Sunday</v>
      </c>
      <c r="M627" s="2" t="str">
        <f t="shared" si="5"/>
        <v>15</v>
      </c>
      <c r="N627" s="2">
        <f>VLOOKUP(L627,'Data Info'!$A$1:$B$8,2,0)</f>
        <v>7</v>
      </c>
      <c r="O627" s="2" t="str">
        <f>VLOOKUP(L627,'Data Info'!$A$1:$C$8,3,0)</f>
        <v>Weekend</v>
      </c>
    </row>
    <row r="628">
      <c r="A628" s="4">
        <v>45550.896527777775</v>
      </c>
      <c r="B628" s="9">
        <f>IFERROR(__xludf.DUMMYFUNCTION("SPLIT(A628,"" "")"),45550.0)</f>
        <v>45550</v>
      </c>
      <c r="C628" s="10">
        <f>IFERROR(__xludf.DUMMYFUNCTION("""COMPUTED_VALUE"""),0.8965277777777778)</f>
        <v>0.8965277778</v>
      </c>
      <c r="D628" s="2">
        <f t="shared" si="1"/>
        <v>21</v>
      </c>
      <c r="E628" s="2">
        <f>IFERROR(__xludf.DUMMYFUNCTION("SPLIT(B628,""/"")"),15.0)</f>
        <v>15</v>
      </c>
      <c r="F628" s="2">
        <f>IFERROR(__xludf.DUMMYFUNCTION("""COMPUTED_VALUE"""),9.0)</f>
        <v>9</v>
      </c>
      <c r="G628" s="2">
        <f>IFERROR(__xludf.DUMMYFUNCTION("""COMPUTED_VALUE"""),2024.0)</f>
        <v>2024</v>
      </c>
      <c r="H628" s="2" t="str">
        <f t="shared" si="2"/>
        <v>2024/9/15</v>
      </c>
      <c r="I628" s="2" t="s">
        <v>1607</v>
      </c>
      <c r="J628" s="2" t="str">
        <f t="shared" si="3"/>
        <v>Tahu walik</v>
      </c>
      <c r="K628" s="7">
        <f>if(RIGHT(I628,5)="2 pcs",2,Data!I628)</f>
        <v>1</v>
      </c>
      <c r="L628" s="2" t="str">
        <f t="shared" si="4"/>
        <v>Sunday</v>
      </c>
      <c r="M628" s="2" t="str">
        <f t="shared" si="5"/>
        <v>15</v>
      </c>
      <c r="N628" s="2">
        <f>VLOOKUP(L628,'Data Info'!$A$1:$B$8,2,0)</f>
        <v>7</v>
      </c>
      <c r="O628" s="2" t="str">
        <f>VLOOKUP(L628,'Data Info'!$A$1:$C$8,3,0)</f>
        <v>Weekend</v>
      </c>
    </row>
    <row r="629">
      <c r="A629" s="4">
        <v>45550.873611111114</v>
      </c>
      <c r="B629" s="9">
        <f>IFERROR(__xludf.DUMMYFUNCTION("SPLIT(A629,"" "")"),45550.0)</f>
        <v>45550</v>
      </c>
      <c r="C629" s="10">
        <f>IFERROR(__xludf.DUMMYFUNCTION("""COMPUTED_VALUE"""),0.8736111111111111)</f>
        <v>0.8736111111</v>
      </c>
      <c r="D629" s="2">
        <f t="shared" si="1"/>
        <v>20</v>
      </c>
      <c r="E629" s="2">
        <f>IFERROR(__xludf.DUMMYFUNCTION("SPLIT(B629,""/"")"),15.0)</f>
        <v>15</v>
      </c>
      <c r="F629" s="2">
        <f>IFERROR(__xludf.DUMMYFUNCTION("""COMPUTED_VALUE"""),9.0)</f>
        <v>9</v>
      </c>
      <c r="G629" s="2">
        <f>IFERROR(__xludf.DUMMYFUNCTION("""COMPUTED_VALUE"""),2024.0)</f>
        <v>2024</v>
      </c>
      <c r="H629" s="2" t="str">
        <f t="shared" si="2"/>
        <v>2024/9/15</v>
      </c>
      <c r="I629" s="2" t="s">
        <v>1581</v>
      </c>
      <c r="J629" s="2" t="str">
        <f t="shared" si="3"/>
        <v>Chicken Claypot Rice</v>
      </c>
      <c r="K629" s="7">
        <f>if(RIGHT(I629,5)="2 pcs",2,Data!I629)</f>
        <v>1</v>
      </c>
      <c r="L629" s="2" t="str">
        <f t="shared" si="4"/>
        <v>Sunday</v>
      </c>
      <c r="M629" s="2" t="str">
        <f t="shared" si="5"/>
        <v>15</v>
      </c>
      <c r="N629" s="2">
        <f>VLOOKUP(L629,'Data Info'!$A$1:$B$8,2,0)</f>
        <v>7</v>
      </c>
      <c r="O629" s="2" t="str">
        <f>VLOOKUP(L629,'Data Info'!$A$1:$C$8,3,0)</f>
        <v>Weekend</v>
      </c>
    </row>
    <row r="630">
      <c r="A630" s="4">
        <v>45550.76597222222</v>
      </c>
      <c r="B630" s="9">
        <f>IFERROR(__xludf.DUMMYFUNCTION("SPLIT(A630,"" "")"),45550.0)</f>
        <v>45550</v>
      </c>
      <c r="C630" s="10">
        <f>IFERROR(__xludf.DUMMYFUNCTION("""COMPUTED_VALUE"""),0.7659722222222223)</f>
        <v>0.7659722222</v>
      </c>
      <c r="D630" s="2">
        <f t="shared" si="1"/>
        <v>18</v>
      </c>
      <c r="E630" s="2">
        <f>IFERROR(__xludf.DUMMYFUNCTION("SPLIT(B630,""/"")"),15.0)</f>
        <v>15</v>
      </c>
      <c r="F630" s="2">
        <f>IFERROR(__xludf.DUMMYFUNCTION("""COMPUTED_VALUE"""),9.0)</f>
        <v>9</v>
      </c>
      <c r="G630" s="2">
        <f>IFERROR(__xludf.DUMMYFUNCTION("""COMPUTED_VALUE"""),2024.0)</f>
        <v>2024</v>
      </c>
      <c r="H630" s="2" t="str">
        <f t="shared" si="2"/>
        <v>2024/9/15</v>
      </c>
      <c r="I630" s="2" t="s">
        <v>1590</v>
      </c>
      <c r="J630" s="2" t="str">
        <f t="shared" si="3"/>
        <v>Lemon Tea Panas</v>
      </c>
      <c r="K630" s="7">
        <f>if(RIGHT(I630,5)="2 pcs",2,Data!I630)</f>
        <v>1</v>
      </c>
      <c r="L630" s="2" t="str">
        <f t="shared" si="4"/>
        <v>Sunday</v>
      </c>
      <c r="M630" s="2" t="str">
        <f t="shared" si="5"/>
        <v>15</v>
      </c>
      <c r="N630" s="2">
        <f>VLOOKUP(L630,'Data Info'!$A$1:$B$8,2,0)</f>
        <v>7</v>
      </c>
      <c r="O630" s="2" t="str">
        <f>VLOOKUP(L630,'Data Info'!$A$1:$C$8,3,0)</f>
        <v>Weekend</v>
      </c>
    </row>
    <row r="631">
      <c r="A631" s="4">
        <v>45550.75833333333</v>
      </c>
      <c r="B631" s="9">
        <f>IFERROR(__xludf.DUMMYFUNCTION("SPLIT(A631,"" "")"),45550.0)</f>
        <v>45550</v>
      </c>
      <c r="C631" s="10">
        <f>IFERROR(__xludf.DUMMYFUNCTION("""COMPUTED_VALUE"""),0.7583333333333333)</f>
        <v>0.7583333333</v>
      </c>
      <c r="D631" s="2">
        <f t="shared" si="1"/>
        <v>18</v>
      </c>
      <c r="E631" s="2">
        <f>IFERROR(__xludf.DUMMYFUNCTION("SPLIT(B631,""/"")"),15.0)</f>
        <v>15</v>
      </c>
      <c r="F631" s="2">
        <f>IFERROR(__xludf.DUMMYFUNCTION("""COMPUTED_VALUE"""),9.0)</f>
        <v>9</v>
      </c>
      <c r="G631" s="2">
        <f>IFERROR(__xludf.DUMMYFUNCTION("""COMPUTED_VALUE"""),2024.0)</f>
        <v>2024</v>
      </c>
      <c r="H631" s="2" t="str">
        <f t="shared" si="2"/>
        <v>2024/9/15</v>
      </c>
      <c r="I631" s="2" t="s">
        <v>1595</v>
      </c>
      <c r="J631" s="2" t="str">
        <f t="shared" si="3"/>
        <v>Roti Gandum Cokelat</v>
      </c>
      <c r="K631" s="7">
        <f>if(RIGHT(I631,5)="2 pcs",2,Data!I631)</f>
        <v>1</v>
      </c>
      <c r="L631" s="2" t="str">
        <f t="shared" si="4"/>
        <v>Sunday</v>
      </c>
      <c r="M631" s="2" t="str">
        <f t="shared" si="5"/>
        <v>15</v>
      </c>
      <c r="N631" s="2">
        <f>VLOOKUP(L631,'Data Info'!$A$1:$B$8,2,0)</f>
        <v>7</v>
      </c>
      <c r="O631" s="2" t="str">
        <f>VLOOKUP(L631,'Data Info'!$A$1:$C$8,3,0)</f>
        <v>Weekend</v>
      </c>
    </row>
    <row r="632">
      <c r="A632" s="4">
        <v>45550.75763888889</v>
      </c>
      <c r="B632" s="9">
        <f>IFERROR(__xludf.DUMMYFUNCTION("SPLIT(A632,"" "")"),45550.0)</f>
        <v>45550</v>
      </c>
      <c r="C632" s="10">
        <f>IFERROR(__xludf.DUMMYFUNCTION("""COMPUTED_VALUE"""),0.7576388888888889)</f>
        <v>0.7576388889</v>
      </c>
      <c r="D632" s="2">
        <f t="shared" si="1"/>
        <v>18</v>
      </c>
      <c r="E632" s="2">
        <f>IFERROR(__xludf.DUMMYFUNCTION("SPLIT(B632,""/"")"),15.0)</f>
        <v>15</v>
      </c>
      <c r="F632" s="2">
        <f>IFERROR(__xludf.DUMMYFUNCTION("""COMPUTED_VALUE"""),9.0)</f>
        <v>9</v>
      </c>
      <c r="G632" s="2">
        <f>IFERROR(__xludf.DUMMYFUNCTION("""COMPUTED_VALUE"""),2024.0)</f>
        <v>2024</v>
      </c>
      <c r="H632" s="2" t="str">
        <f t="shared" si="2"/>
        <v>2024/9/15</v>
      </c>
      <c r="I632" s="2" t="s">
        <v>1602</v>
      </c>
      <c r="J632" s="2" t="str">
        <f t="shared" si="3"/>
        <v>Mie joglo</v>
      </c>
      <c r="K632" s="7">
        <f>if(RIGHT(I632,5)="2 pcs",2,Data!I632)</f>
        <v>1</v>
      </c>
      <c r="L632" s="2" t="str">
        <f t="shared" si="4"/>
        <v>Sunday</v>
      </c>
      <c r="M632" s="2" t="str">
        <f t="shared" si="5"/>
        <v>15</v>
      </c>
      <c r="N632" s="2">
        <f>VLOOKUP(L632,'Data Info'!$A$1:$B$8,2,0)</f>
        <v>7</v>
      </c>
      <c r="O632" s="2" t="str">
        <f>VLOOKUP(L632,'Data Info'!$A$1:$C$8,3,0)</f>
        <v>Weekend</v>
      </c>
    </row>
    <row r="633">
      <c r="A633" s="4">
        <v>45550.75763888889</v>
      </c>
      <c r="B633" s="9">
        <f>IFERROR(__xludf.DUMMYFUNCTION("SPLIT(A633,"" "")"),45550.0)</f>
        <v>45550</v>
      </c>
      <c r="C633" s="10">
        <f>IFERROR(__xludf.DUMMYFUNCTION("""COMPUTED_VALUE"""),0.7576388888888889)</f>
        <v>0.7576388889</v>
      </c>
      <c r="D633" s="2">
        <f t="shared" si="1"/>
        <v>18</v>
      </c>
      <c r="E633" s="2">
        <f>IFERROR(__xludf.DUMMYFUNCTION("SPLIT(B633,""/"")"),15.0)</f>
        <v>15</v>
      </c>
      <c r="F633" s="2">
        <f>IFERROR(__xludf.DUMMYFUNCTION("""COMPUTED_VALUE"""),9.0)</f>
        <v>9</v>
      </c>
      <c r="G633" s="2">
        <f>IFERROR(__xludf.DUMMYFUNCTION("""COMPUTED_VALUE"""),2024.0)</f>
        <v>2024</v>
      </c>
      <c r="H633" s="2" t="str">
        <f t="shared" si="2"/>
        <v>2024/9/15</v>
      </c>
      <c r="I633" s="2" t="s">
        <v>1595</v>
      </c>
      <c r="J633" s="2" t="str">
        <f t="shared" si="3"/>
        <v>Roti Gandum Cokelat</v>
      </c>
      <c r="K633" s="7">
        <f>if(RIGHT(I633,5)="2 pcs",2,Data!I633)</f>
        <v>1</v>
      </c>
      <c r="L633" s="2" t="str">
        <f t="shared" si="4"/>
        <v>Sunday</v>
      </c>
      <c r="M633" s="2" t="str">
        <f t="shared" si="5"/>
        <v>15</v>
      </c>
      <c r="N633" s="2">
        <f>VLOOKUP(L633,'Data Info'!$A$1:$B$8,2,0)</f>
        <v>7</v>
      </c>
      <c r="O633" s="2" t="str">
        <f>VLOOKUP(L633,'Data Info'!$A$1:$C$8,3,0)</f>
        <v>Weekend</v>
      </c>
    </row>
    <row r="634">
      <c r="A634" s="4">
        <v>45550.75763888889</v>
      </c>
      <c r="B634" s="9">
        <f>IFERROR(__xludf.DUMMYFUNCTION("SPLIT(A634,"" "")"),45550.0)</f>
        <v>45550</v>
      </c>
      <c r="C634" s="10">
        <f>IFERROR(__xludf.DUMMYFUNCTION("""COMPUTED_VALUE"""),0.7576388888888889)</f>
        <v>0.7576388889</v>
      </c>
      <c r="D634" s="2">
        <f t="shared" si="1"/>
        <v>18</v>
      </c>
      <c r="E634" s="2">
        <f>IFERROR(__xludf.DUMMYFUNCTION("SPLIT(B634,""/"")"),15.0)</f>
        <v>15</v>
      </c>
      <c r="F634" s="2">
        <f>IFERROR(__xludf.DUMMYFUNCTION("""COMPUTED_VALUE"""),9.0)</f>
        <v>9</v>
      </c>
      <c r="G634" s="2">
        <f>IFERROR(__xludf.DUMMYFUNCTION("""COMPUTED_VALUE"""),2024.0)</f>
        <v>2024</v>
      </c>
      <c r="H634" s="2" t="str">
        <f t="shared" si="2"/>
        <v>2024/9/15</v>
      </c>
      <c r="I634" s="2" t="s">
        <v>1579</v>
      </c>
      <c r="J634" s="2" t="str">
        <f t="shared" si="3"/>
        <v>Tahu baso</v>
      </c>
      <c r="K634" s="7">
        <f>if(RIGHT(I634,5)="2 pcs",2,Data!I634)</f>
        <v>1</v>
      </c>
      <c r="L634" s="2" t="str">
        <f t="shared" si="4"/>
        <v>Sunday</v>
      </c>
      <c r="M634" s="2" t="str">
        <f t="shared" si="5"/>
        <v>15</v>
      </c>
      <c r="N634" s="2">
        <f>VLOOKUP(L634,'Data Info'!$A$1:$B$8,2,0)</f>
        <v>7</v>
      </c>
      <c r="O634" s="2" t="str">
        <f>VLOOKUP(L634,'Data Info'!$A$1:$C$8,3,0)</f>
        <v>Weekend</v>
      </c>
    </row>
    <row r="635">
      <c r="A635" s="4">
        <v>45550.75763888889</v>
      </c>
      <c r="B635" s="9">
        <f>IFERROR(__xludf.DUMMYFUNCTION("SPLIT(A635,"" "")"),45550.0)</f>
        <v>45550</v>
      </c>
      <c r="C635" s="10">
        <f>IFERROR(__xludf.DUMMYFUNCTION("""COMPUTED_VALUE"""),0.7576388888888889)</f>
        <v>0.7576388889</v>
      </c>
      <c r="D635" s="2">
        <f t="shared" si="1"/>
        <v>18</v>
      </c>
      <c r="E635" s="2">
        <f>IFERROR(__xludf.DUMMYFUNCTION("SPLIT(B635,""/"")"),15.0)</f>
        <v>15</v>
      </c>
      <c r="F635" s="2">
        <f>IFERROR(__xludf.DUMMYFUNCTION("""COMPUTED_VALUE"""),9.0)</f>
        <v>9</v>
      </c>
      <c r="G635" s="2">
        <f>IFERROR(__xludf.DUMMYFUNCTION("""COMPUTED_VALUE"""),2024.0)</f>
        <v>2024</v>
      </c>
      <c r="H635" s="2" t="str">
        <f t="shared" si="2"/>
        <v>2024/9/15</v>
      </c>
      <c r="I635" s="2" t="s">
        <v>1602</v>
      </c>
      <c r="J635" s="2" t="str">
        <f t="shared" si="3"/>
        <v>Mie joglo</v>
      </c>
      <c r="K635" s="7">
        <f>if(RIGHT(I635,5)="2 pcs",2,Data!I635)</f>
        <v>-1</v>
      </c>
      <c r="L635" s="2" t="str">
        <f t="shared" si="4"/>
        <v>Sunday</v>
      </c>
      <c r="M635" s="2" t="str">
        <f t="shared" si="5"/>
        <v>15</v>
      </c>
      <c r="N635" s="2">
        <f>VLOOKUP(L635,'Data Info'!$A$1:$B$8,2,0)</f>
        <v>7</v>
      </c>
      <c r="O635" s="2" t="str">
        <f>VLOOKUP(L635,'Data Info'!$A$1:$C$8,3,0)</f>
        <v>Weekend</v>
      </c>
    </row>
    <row r="636">
      <c r="A636" s="4">
        <v>45550.75763888889</v>
      </c>
      <c r="B636" s="9">
        <f>IFERROR(__xludf.DUMMYFUNCTION("SPLIT(A636,"" "")"),45550.0)</f>
        <v>45550</v>
      </c>
      <c r="C636" s="10">
        <f>IFERROR(__xludf.DUMMYFUNCTION("""COMPUTED_VALUE"""),0.7576388888888889)</f>
        <v>0.7576388889</v>
      </c>
      <c r="D636" s="2">
        <f t="shared" si="1"/>
        <v>18</v>
      </c>
      <c r="E636" s="2">
        <f>IFERROR(__xludf.DUMMYFUNCTION("SPLIT(B636,""/"")"),15.0)</f>
        <v>15</v>
      </c>
      <c r="F636" s="2">
        <f>IFERROR(__xludf.DUMMYFUNCTION("""COMPUTED_VALUE"""),9.0)</f>
        <v>9</v>
      </c>
      <c r="G636" s="2">
        <f>IFERROR(__xludf.DUMMYFUNCTION("""COMPUTED_VALUE"""),2024.0)</f>
        <v>2024</v>
      </c>
      <c r="H636" s="2" t="str">
        <f t="shared" si="2"/>
        <v>2024/9/15</v>
      </c>
      <c r="I636" s="2" t="s">
        <v>1579</v>
      </c>
      <c r="J636" s="2" t="str">
        <f t="shared" si="3"/>
        <v>Tahu baso</v>
      </c>
      <c r="K636" s="7">
        <f>if(RIGHT(I636,5)="2 pcs",2,Data!I636)</f>
        <v>-1</v>
      </c>
      <c r="L636" s="2" t="str">
        <f t="shared" si="4"/>
        <v>Sunday</v>
      </c>
      <c r="M636" s="2" t="str">
        <f t="shared" si="5"/>
        <v>15</v>
      </c>
      <c r="N636" s="2">
        <f>VLOOKUP(L636,'Data Info'!$A$1:$B$8,2,0)</f>
        <v>7</v>
      </c>
      <c r="O636" s="2" t="str">
        <f>VLOOKUP(L636,'Data Info'!$A$1:$C$8,3,0)</f>
        <v>Weekend</v>
      </c>
    </row>
    <row r="637">
      <c r="A637" s="4">
        <v>45550.75763888889</v>
      </c>
      <c r="B637" s="9">
        <f>IFERROR(__xludf.DUMMYFUNCTION("SPLIT(A637,"" "")"),45550.0)</f>
        <v>45550</v>
      </c>
      <c r="C637" s="10">
        <f>IFERROR(__xludf.DUMMYFUNCTION("""COMPUTED_VALUE"""),0.7576388888888889)</f>
        <v>0.7576388889</v>
      </c>
      <c r="D637" s="2">
        <f t="shared" si="1"/>
        <v>18</v>
      </c>
      <c r="E637" s="2">
        <f>IFERROR(__xludf.DUMMYFUNCTION("SPLIT(B637,""/"")"),15.0)</f>
        <v>15</v>
      </c>
      <c r="F637" s="2">
        <f>IFERROR(__xludf.DUMMYFUNCTION("""COMPUTED_VALUE"""),9.0)</f>
        <v>9</v>
      </c>
      <c r="G637" s="2">
        <f>IFERROR(__xludf.DUMMYFUNCTION("""COMPUTED_VALUE"""),2024.0)</f>
        <v>2024</v>
      </c>
      <c r="H637" s="2" t="str">
        <f t="shared" si="2"/>
        <v>2024/9/15</v>
      </c>
      <c r="I637" s="2" t="s">
        <v>1595</v>
      </c>
      <c r="J637" s="2" t="str">
        <f t="shared" si="3"/>
        <v>Roti Gandum Cokelat</v>
      </c>
      <c r="K637" s="7">
        <f>if(RIGHT(I637,5)="2 pcs",2,Data!I637)</f>
        <v>-1</v>
      </c>
      <c r="L637" s="2" t="str">
        <f t="shared" si="4"/>
        <v>Sunday</v>
      </c>
      <c r="M637" s="2" t="str">
        <f t="shared" si="5"/>
        <v>15</v>
      </c>
      <c r="N637" s="2">
        <f>VLOOKUP(L637,'Data Info'!$A$1:$B$8,2,0)</f>
        <v>7</v>
      </c>
      <c r="O637" s="2" t="str">
        <f>VLOOKUP(L637,'Data Info'!$A$1:$C$8,3,0)</f>
        <v>Weekend</v>
      </c>
    </row>
    <row r="638">
      <c r="A638" s="4">
        <v>45550.74375</v>
      </c>
      <c r="B638" s="9">
        <f>IFERROR(__xludf.DUMMYFUNCTION("SPLIT(A638,"" "")"),45550.0)</f>
        <v>45550</v>
      </c>
      <c r="C638" s="10">
        <f>IFERROR(__xludf.DUMMYFUNCTION("""COMPUTED_VALUE"""),0.74375)</f>
        <v>0.74375</v>
      </c>
      <c r="D638" s="2">
        <f t="shared" si="1"/>
        <v>17</v>
      </c>
      <c r="E638" s="2">
        <f>IFERROR(__xludf.DUMMYFUNCTION("SPLIT(B638,""/"")"),15.0)</f>
        <v>15</v>
      </c>
      <c r="F638" s="2">
        <f>IFERROR(__xludf.DUMMYFUNCTION("""COMPUTED_VALUE"""),9.0)</f>
        <v>9</v>
      </c>
      <c r="G638" s="2">
        <f>IFERROR(__xludf.DUMMYFUNCTION("""COMPUTED_VALUE"""),2024.0)</f>
        <v>2024</v>
      </c>
      <c r="H638" s="2" t="str">
        <f t="shared" si="2"/>
        <v>2024/9/15</v>
      </c>
      <c r="I638" s="2" t="s">
        <v>1566</v>
      </c>
      <c r="J638" s="2" t="str">
        <f t="shared" si="3"/>
        <v>Roti Bawang Saus Keju</v>
      </c>
      <c r="K638" s="7">
        <f>if(RIGHT(I638,5)="2 pcs",2,Data!I638)</f>
        <v>1</v>
      </c>
      <c r="L638" s="2" t="str">
        <f t="shared" si="4"/>
        <v>Sunday</v>
      </c>
      <c r="M638" s="2" t="str">
        <f t="shared" si="5"/>
        <v>15</v>
      </c>
      <c r="N638" s="2">
        <f>VLOOKUP(L638,'Data Info'!$A$1:$B$8,2,0)</f>
        <v>7</v>
      </c>
      <c r="O638" s="2" t="str">
        <f>VLOOKUP(L638,'Data Info'!$A$1:$C$8,3,0)</f>
        <v>Weekend</v>
      </c>
    </row>
    <row r="639">
      <c r="A639" s="4">
        <v>45550.74375</v>
      </c>
      <c r="B639" s="9">
        <f>IFERROR(__xludf.DUMMYFUNCTION("SPLIT(A639,"" "")"),45550.0)</f>
        <v>45550</v>
      </c>
      <c r="C639" s="10">
        <f>IFERROR(__xludf.DUMMYFUNCTION("""COMPUTED_VALUE"""),0.74375)</f>
        <v>0.74375</v>
      </c>
      <c r="D639" s="2">
        <f t="shared" si="1"/>
        <v>17</v>
      </c>
      <c r="E639" s="2">
        <f>IFERROR(__xludf.DUMMYFUNCTION("SPLIT(B639,""/"")"),15.0)</f>
        <v>15</v>
      </c>
      <c r="F639" s="2">
        <f>IFERROR(__xludf.DUMMYFUNCTION("""COMPUTED_VALUE"""),9.0)</f>
        <v>9</v>
      </c>
      <c r="G639" s="2">
        <f>IFERROR(__xludf.DUMMYFUNCTION("""COMPUTED_VALUE"""),2024.0)</f>
        <v>2024</v>
      </c>
      <c r="H639" s="2" t="str">
        <f t="shared" si="2"/>
        <v>2024/9/15</v>
      </c>
      <c r="I639" s="2" t="s">
        <v>1597</v>
      </c>
      <c r="J639" s="2" t="str">
        <f t="shared" si="3"/>
        <v>Roti Gandum Cokelat</v>
      </c>
      <c r="K639" s="7">
        <f>if(RIGHT(I639,5)="2 pcs",2,Data!I639)</f>
        <v>2</v>
      </c>
      <c r="L639" s="2" t="str">
        <f t="shared" si="4"/>
        <v>Sunday</v>
      </c>
      <c r="M639" s="2" t="str">
        <f t="shared" si="5"/>
        <v>15</v>
      </c>
      <c r="N639" s="2">
        <f>VLOOKUP(L639,'Data Info'!$A$1:$B$8,2,0)</f>
        <v>7</v>
      </c>
      <c r="O639" s="2" t="str">
        <f>VLOOKUP(L639,'Data Info'!$A$1:$C$8,3,0)</f>
        <v>Weekend</v>
      </c>
    </row>
    <row r="640">
      <c r="A640" s="4">
        <v>45550.73333333333</v>
      </c>
      <c r="B640" s="9">
        <f>IFERROR(__xludf.DUMMYFUNCTION("SPLIT(A640,"" "")"),45550.0)</f>
        <v>45550</v>
      </c>
      <c r="C640" s="10">
        <f>IFERROR(__xludf.DUMMYFUNCTION("""COMPUTED_VALUE"""),0.7333333333333333)</f>
        <v>0.7333333333</v>
      </c>
      <c r="D640" s="2">
        <f t="shared" si="1"/>
        <v>17</v>
      </c>
      <c r="E640" s="2">
        <f>IFERROR(__xludf.DUMMYFUNCTION("SPLIT(B640,""/"")"),15.0)</f>
        <v>15</v>
      </c>
      <c r="F640" s="2">
        <f>IFERROR(__xludf.DUMMYFUNCTION("""COMPUTED_VALUE"""),9.0)</f>
        <v>9</v>
      </c>
      <c r="G640" s="2">
        <f>IFERROR(__xludf.DUMMYFUNCTION("""COMPUTED_VALUE"""),2024.0)</f>
        <v>2024</v>
      </c>
      <c r="H640" s="2" t="str">
        <f t="shared" si="2"/>
        <v>2024/9/15</v>
      </c>
      <c r="I640" s="2" t="s">
        <v>1590</v>
      </c>
      <c r="J640" s="2" t="str">
        <f t="shared" si="3"/>
        <v>Lemon Tea Panas</v>
      </c>
      <c r="K640" s="7">
        <f>if(RIGHT(I640,5)="2 pcs",2,Data!I640)</f>
        <v>1</v>
      </c>
      <c r="L640" s="2" t="str">
        <f t="shared" si="4"/>
        <v>Sunday</v>
      </c>
      <c r="M640" s="2" t="str">
        <f t="shared" si="5"/>
        <v>15</v>
      </c>
      <c r="N640" s="2">
        <f>VLOOKUP(L640,'Data Info'!$A$1:$B$8,2,0)</f>
        <v>7</v>
      </c>
      <c r="O640" s="2" t="str">
        <f>VLOOKUP(L640,'Data Info'!$A$1:$C$8,3,0)</f>
        <v>Weekend</v>
      </c>
    </row>
    <row r="641">
      <c r="A641" s="4">
        <v>45550.73055555556</v>
      </c>
      <c r="B641" s="9">
        <f>IFERROR(__xludf.DUMMYFUNCTION("SPLIT(A641,"" "")"),45550.0)</f>
        <v>45550</v>
      </c>
      <c r="C641" s="10">
        <f>IFERROR(__xludf.DUMMYFUNCTION("""COMPUTED_VALUE"""),0.7305555555555555)</f>
        <v>0.7305555556</v>
      </c>
      <c r="D641" s="2">
        <f t="shared" si="1"/>
        <v>17</v>
      </c>
      <c r="E641" s="2">
        <f>IFERROR(__xludf.DUMMYFUNCTION("SPLIT(B641,""/"")"),15.0)</f>
        <v>15</v>
      </c>
      <c r="F641" s="2">
        <f>IFERROR(__xludf.DUMMYFUNCTION("""COMPUTED_VALUE"""),9.0)</f>
        <v>9</v>
      </c>
      <c r="G641" s="2">
        <f>IFERROR(__xludf.DUMMYFUNCTION("""COMPUTED_VALUE"""),2024.0)</f>
        <v>2024</v>
      </c>
      <c r="H641" s="2" t="str">
        <f t="shared" si="2"/>
        <v>2024/9/15</v>
      </c>
      <c r="I641" s="2" t="s">
        <v>1576</v>
      </c>
      <c r="J641" s="2" t="str">
        <f t="shared" si="3"/>
        <v>Roti Cranberry</v>
      </c>
      <c r="K641" s="7">
        <f>if(RIGHT(I641,5)="2 pcs",2,Data!I641)</f>
        <v>1</v>
      </c>
      <c r="L641" s="2" t="str">
        <f t="shared" si="4"/>
        <v>Sunday</v>
      </c>
      <c r="M641" s="2" t="str">
        <f t="shared" si="5"/>
        <v>15</v>
      </c>
      <c r="N641" s="2">
        <f>VLOOKUP(L641,'Data Info'!$A$1:$B$8,2,0)</f>
        <v>7</v>
      </c>
      <c r="O641" s="2" t="str">
        <f>VLOOKUP(L641,'Data Info'!$A$1:$C$8,3,0)</f>
        <v>Weekend</v>
      </c>
    </row>
    <row r="642">
      <c r="A642" s="4">
        <v>45550.73055555556</v>
      </c>
      <c r="B642" s="9">
        <f>IFERROR(__xludf.DUMMYFUNCTION("SPLIT(A642,"" "")"),45550.0)</f>
        <v>45550</v>
      </c>
      <c r="C642" s="10">
        <f>IFERROR(__xludf.DUMMYFUNCTION("""COMPUTED_VALUE"""),0.7305555555555555)</f>
        <v>0.7305555556</v>
      </c>
      <c r="D642" s="2">
        <f t="shared" si="1"/>
        <v>17</v>
      </c>
      <c r="E642" s="2">
        <f>IFERROR(__xludf.DUMMYFUNCTION("SPLIT(B642,""/"")"),15.0)</f>
        <v>15</v>
      </c>
      <c r="F642" s="2">
        <f>IFERROR(__xludf.DUMMYFUNCTION("""COMPUTED_VALUE"""),9.0)</f>
        <v>9</v>
      </c>
      <c r="G642" s="2">
        <f>IFERROR(__xludf.DUMMYFUNCTION("""COMPUTED_VALUE"""),2024.0)</f>
        <v>2024</v>
      </c>
      <c r="H642" s="2" t="str">
        <f t="shared" si="2"/>
        <v>2024/9/15</v>
      </c>
      <c r="I642" s="2" t="s">
        <v>1588</v>
      </c>
      <c r="J642" s="2" t="str">
        <f t="shared" si="3"/>
        <v>Es Kopi Susu</v>
      </c>
      <c r="K642" s="7">
        <f>if(RIGHT(I642,5)="2 pcs",2,Data!I642)</f>
        <v>1</v>
      </c>
      <c r="L642" s="2" t="str">
        <f t="shared" si="4"/>
        <v>Sunday</v>
      </c>
      <c r="M642" s="2" t="str">
        <f t="shared" si="5"/>
        <v>15</v>
      </c>
      <c r="N642" s="2">
        <f>VLOOKUP(L642,'Data Info'!$A$1:$B$8,2,0)</f>
        <v>7</v>
      </c>
      <c r="O642" s="2" t="str">
        <f>VLOOKUP(L642,'Data Info'!$A$1:$C$8,3,0)</f>
        <v>Weekend</v>
      </c>
    </row>
    <row r="643">
      <c r="A643" s="4">
        <v>45550.73055555556</v>
      </c>
      <c r="B643" s="9">
        <f>IFERROR(__xludf.DUMMYFUNCTION("SPLIT(A643,"" "")"),45550.0)</f>
        <v>45550</v>
      </c>
      <c r="C643" s="10">
        <f>IFERROR(__xludf.DUMMYFUNCTION("""COMPUTED_VALUE"""),0.7305555555555555)</f>
        <v>0.7305555556</v>
      </c>
      <c r="D643" s="2">
        <f t="shared" si="1"/>
        <v>17</v>
      </c>
      <c r="E643" s="2">
        <f>IFERROR(__xludf.DUMMYFUNCTION("SPLIT(B643,""/"")"),15.0)</f>
        <v>15</v>
      </c>
      <c r="F643" s="2">
        <f>IFERROR(__xludf.DUMMYFUNCTION("""COMPUTED_VALUE"""),9.0)</f>
        <v>9</v>
      </c>
      <c r="G643" s="2">
        <f>IFERROR(__xludf.DUMMYFUNCTION("""COMPUTED_VALUE"""),2024.0)</f>
        <v>2024</v>
      </c>
      <c r="H643" s="2" t="str">
        <f t="shared" si="2"/>
        <v>2024/9/15</v>
      </c>
      <c r="I643" s="2" t="s">
        <v>1587</v>
      </c>
      <c r="J643" s="2" t="str">
        <f t="shared" si="3"/>
        <v>Tahu Lada Garam</v>
      </c>
      <c r="K643" s="7">
        <f>if(RIGHT(I643,5)="2 pcs",2,Data!I643)</f>
        <v>1</v>
      </c>
      <c r="L643" s="2" t="str">
        <f t="shared" si="4"/>
        <v>Sunday</v>
      </c>
      <c r="M643" s="2" t="str">
        <f t="shared" si="5"/>
        <v>15</v>
      </c>
      <c r="N643" s="2">
        <f>VLOOKUP(L643,'Data Info'!$A$1:$B$8,2,0)</f>
        <v>7</v>
      </c>
      <c r="O643" s="2" t="str">
        <f>VLOOKUP(L643,'Data Info'!$A$1:$C$8,3,0)</f>
        <v>Weekend</v>
      </c>
    </row>
    <row r="644">
      <c r="A644" s="4">
        <v>45550.73055555556</v>
      </c>
      <c r="B644" s="9">
        <f>IFERROR(__xludf.DUMMYFUNCTION("SPLIT(A644,"" "")"),45550.0)</f>
        <v>45550</v>
      </c>
      <c r="C644" s="10">
        <f>IFERROR(__xludf.DUMMYFUNCTION("""COMPUTED_VALUE"""),0.7305555555555555)</f>
        <v>0.7305555556</v>
      </c>
      <c r="D644" s="2">
        <f t="shared" si="1"/>
        <v>17</v>
      </c>
      <c r="E644" s="2">
        <f>IFERROR(__xludf.DUMMYFUNCTION("SPLIT(B644,""/"")"),15.0)</f>
        <v>15</v>
      </c>
      <c r="F644" s="2">
        <f>IFERROR(__xludf.DUMMYFUNCTION("""COMPUTED_VALUE"""),9.0)</f>
        <v>9</v>
      </c>
      <c r="G644" s="2">
        <f>IFERROR(__xludf.DUMMYFUNCTION("""COMPUTED_VALUE"""),2024.0)</f>
        <v>2024</v>
      </c>
      <c r="H644" s="2" t="str">
        <f t="shared" si="2"/>
        <v>2024/9/15</v>
      </c>
      <c r="I644" s="2" t="s">
        <v>1602</v>
      </c>
      <c r="J644" s="2" t="str">
        <f t="shared" si="3"/>
        <v>Mie joglo</v>
      </c>
      <c r="K644" s="7">
        <f>if(RIGHT(I644,5)="2 pcs",2,Data!I644)</f>
        <v>1</v>
      </c>
      <c r="L644" s="2" t="str">
        <f t="shared" si="4"/>
        <v>Sunday</v>
      </c>
      <c r="M644" s="2" t="str">
        <f t="shared" si="5"/>
        <v>15</v>
      </c>
      <c r="N644" s="2">
        <f>VLOOKUP(L644,'Data Info'!$A$1:$B$8,2,0)</f>
        <v>7</v>
      </c>
      <c r="O644" s="2" t="str">
        <f>VLOOKUP(L644,'Data Info'!$A$1:$C$8,3,0)</f>
        <v>Weekend</v>
      </c>
    </row>
    <row r="645">
      <c r="A645" s="4">
        <v>45550.73055555556</v>
      </c>
      <c r="B645" s="9">
        <f>IFERROR(__xludf.DUMMYFUNCTION("SPLIT(A645,"" "")"),45550.0)</f>
        <v>45550</v>
      </c>
      <c r="C645" s="10">
        <f>IFERROR(__xludf.DUMMYFUNCTION("""COMPUTED_VALUE"""),0.7305555555555555)</f>
        <v>0.7305555556</v>
      </c>
      <c r="D645" s="2">
        <f t="shared" si="1"/>
        <v>17</v>
      </c>
      <c r="E645" s="2">
        <f>IFERROR(__xludf.DUMMYFUNCTION("SPLIT(B645,""/"")"),15.0)</f>
        <v>15</v>
      </c>
      <c r="F645" s="2">
        <f>IFERROR(__xludf.DUMMYFUNCTION("""COMPUTED_VALUE"""),9.0)</f>
        <v>9</v>
      </c>
      <c r="G645" s="2">
        <f>IFERROR(__xludf.DUMMYFUNCTION("""COMPUTED_VALUE"""),2024.0)</f>
        <v>2024</v>
      </c>
      <c r="H645" s="2" t="str">
        <f t="shared" si="2"/>
        <v>2024/9/15</v>
      </c>
      <c r="I645" s="2" t="s">
        <v>1620</v>
      </c>
      <c r="J645" s="2" t="str">
        <f t="shared" si="3"/>
        <v>Wedang hujan</v>
      </c>
      <c r="K645" s="7">
        <f>if(RIGHT(I645,5)="2 pcs",2,Data!I645)</f>
        <v>1</v>
      </c>
      <c r="L645" s="2" t="str">
        <f t="shared" si="4"/>
        <v>Sunday</v>
      </c>
      <c r="M645" s="2" t="str">
        <f t="shared" si="5"/>
        <v>15</v>
      </c>
      <c r="N645" s="2">
        <f>VLOOKUP(L645,'Data Info'!$A$1:$B$8,2,0)</f>
        <v>7</v>
      </c>
      <c r="O645" s="2" t="str">
        <f>VLOOKUP(L645,'Data Info'!$A$1:$C$8,3,0)</f>
        <v>Weekend</v>
      </c>
    </row>
    <row r="646">
      <c r="A646" s="4">
        <v>45550.73055555556</v>
      </c>
      <c r="B646" s="9">
        <f>IFERROR(__xludf.DUMMYFUNCTION("SPLIT(A646,"" "")"),45550.0)</f>
        <v>45550</v>
      </c>
      <c r="C646" s="10">
        <f>IFERROR(__xludf.DUMMYFUNCTION("""COMPUTED_VALUE"""),0.7305555555555555)</f>
        <v>0.7305555556</v>
      </c>
      <c r="D646" s="2">
        <f t="shared" si="1"/>
        <v>17</v>
      </c>
      <c r="E646" s="2">
        <f>IFERROR(__xludf.DUMMYFUNCTION("SPLIT(B646,""/"")"),15.0)</f>
        <v>15</v>
      </c>
      <c r="F646" s="2">
        <f>IFERROR(__xludf.DUMMYFUNCTION("""COMPUTED_VALUE"""),9.0)</f>
        <v>9</v>
      </c>
      <c r="G646" s="2">
        <f>IFERROR(__xludf.DUMMYFUNCTION("""COMPUTED_VALUE"""),2024.0)</f>
        <v>2024</v>
      </c>
      <c r="H646" s="2" t="str">
        <f t="shared" si="2"/>
        <v>2024/9/15</v>
      </c>
      <c r="I646" s="2" t="s">
        <v>1594</v>
      </c>
      <c r="J646" s="2" t="str">
        <f t="shared" si="3"/>
        <v>Wedang Bulan</v>
      </c>
      <c r="K646" s="7">
        <f>if(RIGHT(I646,5)="2 pcs",2,Data!I646)</f>
        <v>1</v>
      </c>
      <c r="L646" s="2" t="str">
        <f t="shared" si="4"/>
        <v>Sunday</v>
      </c>
      <c r="M646" s="2" t="str">
        <f t="shared" si="5"/>
        <v>15</v>
      </c>
      <c r="N646" s="2">
        <f>VLOOKUP(L646,'Data Info'!$A$1:$B$8,2,0)</f>
        <v>7</v>
      </c>
      <c r="O646" s="2" t="str">
        <f>VLOOKUP(L646,'Data Info'!$A$1:$C$8,3,0)</f>
        <v>Weekend</v>
      </c>
    </row>
    <row r="647">
      <c r="A647" s="4">
        <v>45550.73055555556</v>
      </c>
      <c r="B647" s="9">
        <f>IFERROR(__xludf.DUMMYFUNCTION("SPLIT(A647,"" "")"),45550.0)</f>
        <v>45550</v>
      </c>
      <c r="C647" s="10">
        <f>IFERROR(__xludf.DUMMYFUNCTION("""COMPUTED_VALUE"""),0.7305555555555555)</f>
        <v>0.7305555556</v>
      </c>
      <c r="D647" s="2">
        <f t="shared" si="1"/>
        <v>17</v>
      </c>
      <c r="E647" s="2">
        <f>IFERROR(__xludf.DUMMYFUNCTION("SPLIT(B647,""/"")"),15.0)</f>
        <v>15</v>
      </c>
      <c r="F647" s="2">
        <f>IFERROR(__xludf.DUMMYFUNCTION("""COMPUTED_VALUE"""),9.0)</f>
        <v>9</v>
      </c>
      <c r="G647" s="2">
        <f>IFERROR(__xludf.DUMMYFUNCTION("""COMPUTED_VALUE"""),2024.0)</f>
        <v>2024</v>
      </c>
      <c r="H647" s="2" t="str">
        <f t="shared" si="2"/>
        <v>2024/9/15</v>
      </c>
      <c r="I647" s="2" t="s">
        <v>1573</v>
      </c>
      <c r="J647" s="2" t="str">
        <f t="shared" si="3"/>
        <v>Air mineral</v>
      </c>
      <c r="K647" s="7">
        <f>if(RIGHT(I647,5)="2 pcs",2,Data!I647)</f>
        <v>1</v>
      </c>
      <c r="L647" s="2" t="str">
        <f t="shared" si="4"/>
        <v>Sunday</v>
      </c>
      <c r="M647" s="2" t="str">
        <f t="shared" si="5"/>
        <v>15</v>
      </c>
      <c r="N647" s="2">
        <f>VLOOKUP(L647,'Data Info'!$A$1:$B$8,2,0)</f>
        <v>7</v>
      </c>
      <c r="O647" s="2" t="str">
        <f>VLOOKUP(L647,'Data Info'!$A$1:$C$8,3,0)</f>
        <v>Weekend</v>
      </c>
    </row>
    <row r="648">
      <c r="A648" s="4">
        <v>45550.725</v>
      </c>
      <c r="B648" s="9">
        <f>IFERROR(__xludf.DUMMYFUNCTION("SPLIT(A648,"" "")"),45550.0)</f>
        <v>45550</v>
      </c>
      <c r="C648" s="10">
        <f>IFERROR(__xludf.DUMMYFUNCTION("""COMPUTED_VALUE"""),0.725)</f>
        <v>0.725</v>
      </c>
      <c r="D648" s="2">
        <f t="shared" si="1"/>
        <v>17</v>
      </c>
      <c r="E648" s="2">
        <f>IFERROR(__xludf.DUMMYFUNCTION("SPLIT(B648,""/"")"),15.0)</f>
        <v>15</v>
      </c>
      <c r="F648" s="2">
        <f>IFERROR(__xludf.DUMMYFUNCTION("""COMPUTED_VALUE"""),9.0)</f>
        <v>9</v>
      </c>
      <c r="G648" s="2">
        <f>IFERROR(__xludf.DUMMYFUNCTION("""COMPUTED_VALUE"""),2024.0)</f>
        <v>2024</v>
      </c>
      <c r="H648" s="2" t="str">
        <f t="shared" si="2"/>
        <v>2024/9/15</v>
      </c>
      <c r="I648" s="2" t="s">
        <v>1576</v>
      </c>
      <c r="J648" s="2" t="str">
        <f t="shared" si="3"/>
        <v>Roti Cranberry</v>
      </c>
      <c r="K648" s="7">
        <f>if(RIGHT(I648,5)="2 pcs",2,Data!I648)</f>
        <v>1</v>
      </c>
      <c r="L648" s="2" t="str">
        <f t="shared" si="4"/>
        <v>Sunday</v>
      </c>
      <c r="M648" s="2" t="str">
        <f t="shared" si="5"/>
        <v>15</v>
      </c>
      <c r="N648" s="2">
        <f>VLOOKUP(L648,'Data Info'!$A$1:$B$8,2,0)</f>
        <v>7</v>
      </c>
      <c r="O648" s="2" t="str">
        <f>VLOOKUP(L648,'Data Info'!$A$1:$C$8,3,0)</f>
        <v>Weekend</v>
      </c>
    </row>
    <row r="649">
      <c r="A649" s="4">
        <v>45550.72152777778</v>
      </c>
      <c r="B649" s="9">
        <f>IFERROR(__xludf.DUMMYFUNCTION("SPLIT(A649,"" "")"),45550.0)</f>
        <v>45550</v>
      </c>
      <c r="C649" s="10">
        <f>IFERROR(__xludf.DUMMYFUNCTION("""COMPUTED_VALUE"""),0.7215277777777778)</f>
        <v>0.7215277778</v>
      </c>
      <c r="D649" s="2">
        <f t="shared" si="1"/>
        <v>17</v>
      </c>
      <c r="E649" s="2">
        <f>IFERROR(__xludf.DUMMYFUNCTION("SPLIT(B649,""/"")"),15.0)</f>
        <v>15</v>
      </c>
      <c r="F649" s="2">
        <f>IFERROR(__xludf.DUMMYFUNCTION("""COMPUTED_VALUE"""),9.0)</f>
        <v>9</v>
      </c>
      <c r="G649" s="2">
        <f>IFERROR(__xludf.DUMMYFUNCTION("""COMPUTED_VALUE"""),2024.0)</f>
        <v>2024</v>
      </c>
      <c r="H649" s="2" t="str">
        <f t="shared" si="2"/>
        <v>2024/9/15</v>
      </c>
      <c r="I649" s="2" t="s">
        <v>1566</v>
      </c>
      <c r="J649" s="2" t="str">
        <f t="shared" si="3"/>
        <v>Roti Bawang Saus Keju</v>
      </c>
      <c r="K649" s="7">
        <f>if(RIGHT(I649,5)="2 pcs",2,Data!I649)</f>
        <v>1</v>
      </c>
      <c r="L649" s="2" t="str">
        <f t="shared" si="4"/>
        <v>Sunday</v>
      </c>
      <c r="M649" s="2" t="str">
        <f t="shared" si="5"/>
        <v>15</v>
      </c>
      <c r="N649" s="2">
        <f>VLOOKUP(L649,'Data Info'!$A$1:$B$8,2,0)</f>
        <v>7</v>
      </c>
      <c r="O649" s="2" t="str">
        <f>VLOOKUP(L649,'Data Info'!$A$1:$C$8,3,0)</f>
        <v>Weekend</v>
      </c>
    </row>
    <row r="650">
      <c r="A650" s="4">
        <v>45550.72152777778</v>
      </c>
      <c r="B650" s="9">
        <f>IFERROR(__xludf.DUMMYFUNCTION("SPLIT(A650,"" "")"),45550.0)</f>
        <v>45550</v>
      </c>
      <c r="C650" s="10">
        <f>IFERROR(__xludf.DUMMYFUNCTION("""COMPUTED_VALUE"""),0.7215277777777778)</f>
        <v>0.7215277778</v>
      </c>
      <c r="D650" s="2">
        <f t="shared" si="1"/>
        <v>17</v>
      </c>
      <c r="E650" s="2">
        <f>IFERROR(__xludf.DUMMYFUNCTION("SPLIT(B650,""/"")"),15.0)</f>
        <v>15</v>
      </c>
      <c r="F650" s="2">
        <f>IFERROR(__xludf.DUMMYFUNCTION("""COMPUTED_VALUE"""),9.0)</f>
        <v>9</v>
      </c>
      <c r="G650" s="2">
        <f>IFERROR(__xludf.DUMMYFUNCTION("""COMPUTED_VALUE"""),2024.0)</f>
        <v>2024</v>
      </c>
      <c r="H650" s="2" t="str">
        <f t="shared" si="2"/>
        <v>2024/9/15</v>
      </c>
      <c r="I650" s="2" t="s">
        <v>1595</v>
      </c>
      <c r="J650" s="2" t="str">
        <f t="shared" si="3"/>
        <v>Roti Gandum Cokelat</v>
      </c>
      <c r="K650" s="7">
        <f>if(RIGHT(I650,5)="2 pcs",2,Data!I650)</f>
        <v>1</v>
      </c>
      <c r="L650" s="2" t="str">
        <f t="shared" si="4"/>
        <v>Sunday</v>
      </c>
      <c r="M650" s="2" t="str">
        <f t="shared" si="5"/>
        <v>15</v>
      </c>
      <c r="N650" s="2">
        <f>VLOOKUP(L650,'Data Info'!$A$1:$B$8,2,0)</f>
        <v>7</v>
      </c>
      <c r="O650" s="2" t="str">
        <f>VLOOKUP(L650,'Data Info'!$A$1:$C$8,3,0)</f>
        <v>Weekend</v>
      </c>
    </row>
    <row r="651">
      <c r="A651" s="4">
        <v>45550.71666666667</v>
      </c>
      <c r="B651" s="9">
        <f>IFERROR(__xludf.DUMMYFUNCTION("SPLIT(A651,"" "")"),45550.0)</f>
        <v>45550</v>
      </c>
      <c r="C651" s="10">
        <f>IFERROR(__xludf.DUMMYFUNCTION("""COMPUTED_VALUE"""),0.7166666666666667)</f>
        <v>0.7166666667</v>
      </c>
      <c r="D651" s="2">
        <f t="shared" si="1"/>
        <v>17</v>
      </c>
      <c r="E651" s="2">
        <f>IFERROR(__xludf.DUMMYFUNCTION("SPLIT(B651,""/"")"),15.0)</f>
        <v>15</v>
      </c>
      <c r="F651" s="2">
        <f>IFERROR(__xludf.DUMMYFUNCTION("""COMPUTED_VALUE"""),9.0)</f>
        <v>9</v>
      </c>
      <c r="G651" s="2">
        <f>IFERROR(__xludf.DUMMYFUNCTION("""COMPUTED_VALUE"""),2024.0)</f>
        <v>2024</v>
      </c>
      <c r="H651" s="2" t="str">
        <f t="shared" si="2"/>
        <v>2024/9/15</v>
      </c>
      <c r="I651" s="2" t="s">
        <v>1606</v>
      </c>
      <c r="J651" s="2" t="str">
        <f t="shared" si="3"/>
        <v>Pisang Goreng</v>
      </c>
      <c r="K651" s="7">
        <f>if(RIGHT(I651,5)="2 pcs",2,Data!I651)</f>
        <v>1</v>
      </c>
      <c r="L651" s="2" t="str">
        <f t="shared" si="4"/>
        <v>Sunday</v>
      </c>
      <c r="M651" s="2" t="str">
        <f t="shared" si="5"/>
        <v>15</v>
      </c>
      <c r="N651" s="2">
        <f>VLOOKUP(L651,'Data Info'!$A$1:$B$8,2,0)</f>
        <v>7</v>
      </c>
      <c r="O651" s="2" t="str">
        <f>VLOOKUP(L651,'Data Info'!$A$1:$C$8,3,0)</f>
        <v>Weekend</v>
      </c>
    </row>
    <row r="652">
      <c r="A652" s="4">
        <v>45550.71666666667</v>
      </c>
      <c r="B652" s="9">
        <f>IFERROR(__xludf.DUMMYFUNCTION("SPLIT(A652,"" "")"),45550.0)</f>
        <v>45550</v>
      </c>
      <c r="C652" s="10">
        <f>IFERROR(__xludf.DUMMYFUNCTION("""COMPUTED_VALUE"""),0.7166666666666667)</f>
        <v>0.7166666667</v>
      </c>
      <c r="D652" s="2">
        <f t="shared" si="1"/>
        <v>17</v>
      </c>
      <c r="E652" s="2">
        <f>IFERROR(__xludf.DUMMYFUNCTION("SPLIT(B652,""/"")"),15.0)</f>
        <v>15</v>
      </c>
      <c r="F652" s="2">
        <f>IFERROR(__xludf.DUMMYFUNCTION("""COMPUTED_VALUE"""),9.0)</f>
        <v>9</v>
      </c>
      <c r="G652" s="2">
        <f>IFERROR(__xludf.DUMMYFUNCTION("""COMPUTED_VALUE"""),2024.0)</f>
        <v>2024</v>
      </c>
      <c r="H652" s="2" t="str">
        <f t="shared" si="2"/>
        <v>2024/9/15</v>
      </c>
      <c r="I652" s="2" t="s">
        <v>1590</v>
      </c>
      <c r="J652" s="2" t="str">
        <f t="shared" si="3"/>
        <v>Lemon Tea Panas</v>
      </c>
      <c r="K652" s="7">
        <f>if(RIGHT(I652,5)="2 pcs",2,Data!I652)</f>
        <v>1</v>
      </c>
      <c r="L652" s="2" t="str">
        <f t="shared" si="4"/>
        <v>Sunday</v>
      </c>
      <c r="M652" s="2" t="str">
        <f t="shared" si="5"/>
        <v>15</v>
      </c>
      <c r="N652" s="2">
        <f>VLOOKUP(L652,'Data Info'!$A$1:$B$8,2,0)</f>
        <v>7</v>
      </c>
      <c r="O652" s="2" t="str">
        <f>VLOOKUP(L652,'Data Info'!$A$1:$C$8,3,0)</f>
        <v>Weekend</v>
      </c>
    </row>
    <row r="653">
      <c r="A653" s="4">
        <v>45550.71666666667</v>
      </c>
      <c r="B653" s="9">
        <f>IFERROR(__xludf.DUMMYFUNCTION("SPLIT(A653,"" "")"),45550.0)</f>
        <v>45550</v>
      </c>
      <c r="C653" s="10">
        <f>IFERROR(__xludf.DUMMYFUNCTION("""COMPUTED_VALUE"""),0.7166666666666667)</f>
        <v>0.7166666667</v>
      </c>
      <c r="D653" s="2">
        <f t="shared" si="1"/>
        <v>17</v>
      </c>
      <c r="E653" s="2">
        <f>IFERROR(__xludf.DUMMYFUNCTION("SPLIT(B653,""/"")"),15.0)</f>
        <v>15</v>
      </c>
      <c r="F653" s="2">
        <f>IFERROR(__xludf.DUMMYFUNCTION("""COMPUTED_VALUE"""),9.0)</f>
        <v>9</v>
      </c>
      <c r="G653" s="2">
        <f>IFERROR(__xludf.DUMMYFUNCTION("""COMPUTED_VALUE"""),2024.0)</f>
        <v>2024</v>
      </c>
      <c r="H653" s="2" t="str">
        <f t="shared" si="2"/>
        <v>2024/9/15</v>
      </c>
      <c r="I653" s="2" t="s">
        <v>1588</v>
      </c>
      <c r="J653" s="2" t="str">
        <f t="shared" si="3"/>
        <v>Es Kopi Susu</v>
      </c>
      <c r="K653" s="7">
        <f>if(RIGHT(I653,5)="2 pcs",2,Data!I653)</f>
        <v>1</v>
      </c>
      <c r="L653" s="2" t="str">
        <f t="shared" si="4"/>
        <v>Sunday</v>
      </c>
      <c r="M653" s="2" t="str">
        <f t="shared" si="5"/>
        <v>15</v>
      </c>
      <c r="N653" s="2">
        <f>VLOOKUP(L653,'Data Info'!$A$1:$B$8,2,0)</f>
        <v>7</v>
      </c>
      <c r="O653" s="2" t="str">
        <f>VLOOKUP(L653,'Data Info'!$A$1:$C$8,3,0)</f>
        <v>Weekend</v>
      </c>
    </row>
    <row r="654">
      <c r="A654" s="4">
        <v>45550.71666666667</v>
      </c>
      <c r="B654" s="9">
        <f>IFERROR(__xludf.DUMMYFUNCTION("SPLIT(A654,"" "")"),45550.0)</f>
        <v>45550</v>
      </c>
      <c r="C654" s="10">
        <f>IFERROR(__xludf.DUMMYFUNCTION("""COMPUTED_VALUE"""),0.7166666666666667)</f>
        <v>0.7166666667</v>
      </c>
      <c r="D654" s="2">
        <f t="shared" si="1"/>
        <v>17</v>
      </c>
      <c r="E654" s="2">
        <f>IFERROR(__xludf.DUMMYFUNCTION("SPLIT(B654,""/"")"),15.0)</f>
        <v>15</v>
      </c>
      <c r="F654" s="2">
        <f>IFERROR(__xludf.DUMMYFUNCTION("""COMPUTED_VALUE"""),9.0)</f>
        <v>9</v>
      </c>
      <c r="G654" s="2">
        <f>IFERROR(__xludf.DUMMYFUNCTION("""COMPUTED_VALUE"""),2024.0)</f>
        <v>2024</v>
      </c>
      <c r="H654" s="2" t="str">
        <f t="shared" si="2"/>
        <v>2024/9/15</v>
      </c>
      <c r="I654" s="2" t="s">
        <v>1576</v>
      </c>
      <c r="J654" s="2" t="str">
        <f t="shared" si="3"/>
        <v>Roti Cranberry</v>
      </c>
      <c r="K654" s="7">
        <f>if(RIGHT(I654,5)="2 pcs",2,Data!I654)</f>
        <v>1</v>
      </c>
      <c r="L654" s="2" t="str">
        <f t="shared" si="4"/>
        <v>Sunday</v>
      </c>
      <c r="M654" s="2" t="str">
        <f t="shared" si="5"/>
        <v>15</v>
      </c>
      <c r="N654" s="2">
        <f>VLOOKUP(L654,'Data Info'!$A$1:$B$8,2,0)</f>
        <v>7</v>
      </c>
      <c r="O654" s="2" t="str">
        <f>VLOOKUP(L654,'Data Info'!$A$1:$C$8,3,0)</f>
        <v>Weekend</v>
      </c>
    </row>
    <row r="655">
      <c r="A655" s="4">
        <v>45550.714583333334</v>
      </c>
      <c r="B655" s="9">
        <f>IFERROR(__xludf.DUMMYFUNCTION("SPLIT(A655,"" "")"),45550.0)</f>
        <v>45550</v>
      </c>
      <c r="C655" s="10">
        <f>IFERROR(__xludf.DUMMYFUNCTION("""COMPUTED_VALUE"""),0.7145833333333333)</f>
        <v>0.7145833333</v>
      </c>
      <c r="D655" s="2">
        <f t="shared" si="1"/>
        <v>17</v>
      </c>
      <c r="E655" s="2">
        <f>IFERROR(__xludf.DUMMYFUNCTION("SPLIT(B655,""/"")"),15.0)</f>
        <v>15</v>
      </c>
      <c r="F655" s="2">
        <f>IFERROR(__xludf.DUMMYFUNCTION("""COMPUTED_VALUE"""),9.0)</f>
        <v>9</v>
      </c>
      <c r="G655" s="2">
        <f>IFERROR(__xludf.DUMMYFUNCTION("""COMPUTED_VALUE"""),2024.0)</f>
        <v>2024</v>
      </c>
      <c r="H655" s="2" t="str">
        <f t="shared" si="2"/>
        <v>2024/9/15</v>
      </c>
      <c r="I655" s="2" t="s">
        <v>1603</v>
      </c>
      <c r="J655" s="2" t="str">
        <f t="shared" si="3"/>
        <v>Nasi Goreng Temu</v>
      </c>
      <c r="K655" s="7">
        <f>if(RIGHT(I655,5)="2 pcs",2,Data!I655)</f>
        <v>1</v>
      </c>
      <c r="L655" s="2" t="str">
        <f t="shared" si="4"/>
        <v>Sunday</v>
      </c>
      <c r="M655" s="2" t="str">
        <f t="shared" si="5"/>
        <v>15</v>
      </c>
      <c r="N655" s="2">
        <f>VLOOKUP(L655,'Data Info'!$A$1:$B$8,2,0)</f>
        <v>7</v>
      </c>
      <c r="O655" s="2" t="str">
        <f>VLOOKUP(L655,'Data Info'!$A$1:$C$8,3,0)</f>
        <v>Weekend</v>
      </c>
    </row>
    <row r="656">
      <c r="A656" s="4">
        <v>45550.714583333334</v>
      </c>
      <c r="B656" s="9">
        <f>IFERROR(__xludf.DUMMYFUNCTION("SPLIT(A656,"" "")"),45550.0)</f>
        <v>45550</v>
      </c>
      <c r="C656" s="10">
        <f>IFERROR(__xludf.DUMMYFUNCTION("""COMPUTED_VALUE"""),0.7145833333333333)</f>
        <v>0.7145833333</v>
      </c>
      <c r="D656" s="2">
        <f t="shared" si="1"/>
        <v>17</v>
      </c>
      <c r="E656" s="2">
        <f>IFERROR(__xludf.DUMMYFUNCTION("SPLIT(B656,""/"")"),15.0)</f>
        <v>15</v>
      </c>
      <c r="F656" s="2">
        <f>IFERROR(__xludf.DUMMYFUNCTION("""COMPUTED_VALUE"""),9.0)</f>
        <v>9</v>
      </c>
      <c r="G656" s="2">
        <f>IFERROR(__xludf.DUMMYFUNCTION("""COMPUTED_VALUE"""),2024.0)</f>
        <v>2024</v>
      </c>
      <c r="H656" s="2" t="str">
        <f t="shared" si="2"/>
        <v>2024/9/15</v>
      </c>
      <c r="I656" s="2" t="s">
        <v>1583</v>
      </c>
      <c r="J656" s="2" t="str">
        <f t="shared" si="3"/>
        <v>Es Kopi Lemon</v>
      </c>
      <c r="K656" s="7">
        <f>if(RIGHT(I656,5)="2 pcs",2,Data!I656)</f>
        <v>1</v>
      </c>
      <c r="L656" s="2" t="str">
        <f t="shared" si="4"/>
        <v>Sunday</v>
      </c>
      <c r="M656" s="2" t="str">
        <f t="shared" si="5"/>
        <v>15</v>
      </c>
      <c r="N656" s="2">
        <f>VLOOKUP(L656,'Data Info'!$A$1:$B$8,2,0)</f>
        <v>7</v>
      </c>
      <c r="O656" s="2" t="str">
        <f>VLOOKUP(L656,'Data Info'!$A$1:$C$8,3,0)</f>
        <v>Weekend</v>
      </c>
    </row>
    <row r="657">
      <c r="A657" s="4">
        <v>45550.714583333334</v>
      </c>
      <c r="B657" s="9">
        <f>IFERROR(__xludf.DUMMYFUNCTION("SPLIT(A657,"" "")"),45550.0)</f>
        <v>45550</v>
      </c>
      <c r="C657" s="10">
        <f>IFERROR(__xludf.DUMMYFUNCTION("""COMPUTED_VALUE"""),0.7145833333333333)</f>
        <v>0.7145833333</v>
      </c>
      <c r="D657" s="2">
        <f t="shared" si="1"/>
        <v>17</v>
      </c>
      <c r="E657" s="2">
        <f>IFERROR(__xludf.DUMMYFUNCTION("SPLIT(B657,""/"")"),15.0)</f>
        <v>15</v>
      </c>
      <c r="F657" s="2">
        <f>IFERROR(__xludf.DUMMYFUNCTION("""COMPUTED_VALUE"""),9.0)</f>
        <v>9</v>
      </c>
      <c r="G657" s="2">
        <f>IFERROR(__xludf.DUMMYFUNCTION("""COMPUTED_VALUE"""),2024.0)</f>
        <v>2024</v>
      </c>
      <c r="H657" s="2" t="str">
        <f t="shared" si="2"/>
        <v>2024/9/15</v>
      </c>
      <c r="I657" s="2" t="s">
        <v>1593</v>
      </c>
      <c r="J657" s="2" t="str">
        <f t="shared" si="3"/>
        <v>Wedang laut</v>
      </c>
      <c r="K657" s="7">
        <f>if(RIGHT(I657,5)="2 pcs",2,Data!I657)</f>
        <v>1</v>
      </c>
      <c r="L657" s="2" t="str">
        <f t="shared" si="4"/>
        <v>Sunday</v>
      </c>
      <c r="M657" s="2" t="str">
        <f t="shared" si="5"/>
        <v>15</v>
      </c>
      <c r="N657" s="2">
        <f>VLOOKUP(L657,'Data Info'!$A$1:$B$8,2,0)</f>
        <v>7</v>
      </c>
      <c r="O657" s="2" t="str">
        <f>VLOOKUP(L657,'Data Info'!$A$1:$C$8,3,0)</f>
        <v>Weekend</v>
      </c>
    </row>
    <row r="658">
      <c r="A658" s="4">
        <v>45550.711805555555</v>
      </c>
      <c r="B658" s="9">
        <f>IFERROR(__xludf.DUMMYFUNCTION("SPLIT(A658,"" "")"),45550.0)</f>
        <v>45550</v>
      </c>
      <c r="C658" s="10">
        <f>IFERROR(__xludf.DUMMYFUNCTION("""COMPUTED_VALUE"""),0.7118055555555556)</f>
        <v>0.7118055556</v>
      </c>
      <c r="D658" s="2">
        <f t="shared" si="1"/>
        <v>17</v>
      </c>
      <c r="E658" s="2">
        <f>IFERROR(__xludf.DUMMYFUNCTION("SPLIT(B658,""/"")"),15.0)</f>
        <v>15</v>
      </c>
      <c r="F658" s="2">
        <f>IFERROR(__xludf.DUMMYFUNCTION("""COMPUTED_VALUE"""),9.0)</f>
        <v>9</v>
      </c>
      <c r="G658" s="2">
        <f>IFERROR(__xludf.DUMMYFUNCTION("""COMPUTED_VALUE"""),2024.0)</f>
        <v>2024</v>
      </c>
      <c r="H658" s="2" t="str">
        <f t="shared" si="2"/>
        <v>2024/9/15</v>
      </c>
      <c r="I658" s="2" t="s">
        <v>1576</v>
      </c>
      <c r="J658" s="2" t="str">
        <f t="shared" si="3"/>
        <v>Roti Cranberry</v>
      </c>
      <c r="K658" s="7">
        <f>if(RIGHT(I658,5)="2 pcs",2,Data!I658)</f>
        <v>1</v>
      </c>
      <c r="L658" s="2" t="str">
        <f t="shared" si="4"/>
        <v>Sunday</v>
      </c>
      <c r="M658" s="2" t="str">
        <f t="shared" si="5"/>
        <v>15</v>
      </c>
      <c r="N658" s="2">
        <f>VLOOKUP(L658,'Data Info'!$A$1:$B$8,2,0)</f>
        <v>7</v>
      </c>
      <c r="O658" s="2" t="str">
        <f>VLOOKUP(L658,'Data Info'!$A$1:$C$8,3,0)</f>
        <v>Weekend</v>
      </c>
    </row>
    <row r="659">
      <c r="A659" s="4">
        <v>45550.711805555555</v>
      </c>
      <c r="B659" s="9">
        <f>IFERROR(__xludf.DUMMYFUNCTION("SPLIT(A659,"" "")"),45550.0)</f>
        <v>45550</v>
      </c>
      <c r="C659" s="10">
        <f>IFERROR(__xludf.DUMMYFUNCTION("""COMPUTED_VALUE"""),0.7118055555555556)</f>
        <v>0.7118055556</v>
      </c>
      <c r="D659" s="2">
        <f t="shared" si="1"/>
        <v>17</v>
      </c>
      <c r="E659" s="2">
        <f>IFERROR(__xludf.DUMMYFUNCTION("SPLIT(B659,""/"")"),15.0)</f>
        <v>15</v>
      </c>
      <c r="F659" s="2">
        <f>IFERROR(__xludf.DUMMYFUNCTION("""COMPUTED_VALUE"""),9.0)</f>
        <v>9</v>
      </c>
      <c r="G659" s="2">
        <f>IFERROR(__xludf.DUMMYFUNCTION("""COMPUTED_VALUE"""),2024.0)</f>
        <v>2024</v>
      </c>
      <c r="H659" s="2" t="str">
        <f t="shared" si="2"/>
        <v>2024/9/15</v>
      </c>
      <c r="I659" s="2" t="s">
        <v>1595</v>
      </c>
      <c r="J659" s="2" t="str">
        <f t="shared" si="3"/>
        <v>Roti Gandum Cokelat</v>
      </c>
      <c r="K659" s="7">
        <f>if(RIGHT(I659,5)="2 pcs",2,Data!I659)</f>
        <v>1</v>
      </c>
      <c r="L659" s="2" t="str">
        <f t="shared" si="4"/>
        <v>Sunday</v>
      </c>
      <c r="M659" s="2" t="str">
        <f t="shared" si="5"/>
        <v>15</v>
      </c>
      <c r="N659" s="2">
        <f>VLOOKUP(L659,'Data Info'!$A$1:$B$8,2,0)</f>
        <v>7</v>
      </c>
      <c r="O659" s="2" t="str">
        <f>VLOOKUP(L659,'Data Info'!$A$1:$C$8,3,0)</f>
        <v>Weekend</v>
      </c>
    </row>
    <row r="660">
      <c r="A660" s="4">
        <v>45550.70347222222</v>
      </c>
      <c r="B660" s="9">
        <f>IFERROR(__xludf.DUMMYFUNCTION("SPLIT(A660,"" "")"),45550.0)</f>
        <v>45550</v>
      </c>
      <c r="C660" s="10">
        <f>IFERROR(__xludf.DUMMYFUNCTION("""COMPUTED_VALUE"""),0.7034722222222223)</f>
        <v>0.7034722222</v>
      </c>
      <c r="D660" s="2">
        <f t="shared" si="1"/>
        <v>16</v>
      </c>
      <c r="E660" s="2">
        <f>IFERROR(__xludf.DUMMYFUNCTION("SPLIT(B660,""/"")"),15.0)</f>
        <v>15</v>
      </c>
      <c r="F660" s="2">
        <f>IFERROR(__xludf.DUMMYFUNCTION("""COMPUTED_VALUE"""),9.0)</f>
        <v>9</v>
      </c>
      <c r="G660" s="2">
        <f>IFERROR(__xludf.DUMMYFUNCTION("""COMPUTED_VALUE"""),2024.0)</f>
        <v>2024</v>
      </c>
      <c r="H660" s="2" t="str">
        <f t="shared" si="2"/>
        <v>2024/9/15</v>
      </c>
      <c r="I660" s="2" t="s">
        <v>1606</v>
      </c>
      <c r="J660" s="2" t="str">
        <f t="shared" si="3"/>
        <v>Pisang Goreng</v>
      </c>
      <c r="K660" s="7">
        <f>if(RIGHT(I660,5)="2 pcs",2,Data!I660)</f>
        <v>1</v>
      </c>
      <c r="L660" s="2" t="str">
        <f t="shared" si="4"/>
        <v>Sunday</v>
      </c>
      <c r="M660" s="2" t="str">
        <f t="shared" si="5"/>
        <v>15</v>
      </c>
      <c r="N660" s="2">
        <f>VLOOKUP(L660,'Data Info'!$A$1:$B$8,2,0)</f>
        <v>7</v>
      </c>
      <c r="O660" s="2" t="str">
        <f>VLOOKUP(L660,'Data Info'!$A$1:$C$8,3,0)</f>
        <v>Weekend</v>
      </c>
    </row>
    <row r="661">
      <c r="A661" s="4">
        <v>45550.70347222222</v>
      </c>
      <c r="B661" s="9">
        <f>IFERROR(__xludf.DUMMYFUNCTION("SPLIT(A661,"" "")"),45550.0)</f>
        <v>45550</v>
      </c>
      <c r="C661" s="10">
        <f>IFERROR(__xludf.DUMMYFUNCTION("""COMPUTED_VALUE"""),0.7034722222222223)</f>
        <v>0.7034722222</v>
      </c>
      <c r="D661" s="2">
        <f t="shared" si="1"/>
        <v>16</v>
      </c>
      <c r="E661" s="2">
        <f>IFERROR(__xludf.DUMMYFUNCTION("SPLIT(B661,""/"")"),15.0)</f>
        <v>15</v>
      </c>
      <c r="F661" s="2">
        <f>IFERROR(__xludf.DUMMYFUNCTION("""COMPUTED_VALUE"""),9.0)</f>
        <v>9</v>
      </c>
      <c r="G661" s="2">
        <f>IFERROR(__xludf.DUMMYFUNCTION("""COMPUTED_VALUE"""),2024.0)</f>
        <v>2024</v>
      </c>
      <c r="H661" s="2" t="str">
        <f t="shared" si="2"/>
        <v>2024/9/15</v>
      </c>
      <c r="I661" s="2" t="s">
        <v>1609</v>
      </c>
      <c r="J661" s="2" t="str">
        <f t="shared" si="3"/>
        <v>Tempe Mendoan</v>
      </c>
      <c r="K661" s="7">
        <f>if(RIGHT(I661,5)="2 pcs",2,Data!I661)</f>
        <v>1</v>
      </c>
      <c r="L661" s="2" t="str">
        <f t="shared" si="4"/>
        <v>Sunday</v>
      </c>
      <c r="M661" s="2" t="str">
        <f t="shared" si="5"/>
        <v>15</v>
      </c>
      <c r="N661" s="2">
        <f>VLOOKUP(L661,'Data Info'!$A$1:$B$8,2,0)</f>
        <v>7</v>
      </c>
      <c r="O661" s="2" t="str">
        <f>VLOOKUP(L661,'Data Info'!$A$1:$C$8,3,0)</f>
        <v>Weekend</v>
      </c>
    </row>
    <row r="662">
      <c r="A662" s="4">
        <v>45550.69375</v>
      </c>
      <c r="B662" s="9">
        <f>IFERROR(__xludf.DUMMYFUNCTION("SPLIT(A662,"" "")"),45550.0)</f>
        <v>45550</v>
      </c>
      <c r="C662" s="10">
        <f>IFERROR(__xludf.DUMMYFUNCTION("""COMPUTED_VALUE"""),0.69375)</f>
        <v>0.69375</v>
      </c>
      <c r="D662" s="2">
        <f t="shared" si="1"/>
        <v>16</v>
      </c>
      <c r="E662" s="2">
        <f>IFERROR(__xludf.DUMMYFUNCTION("SPLIT(B662,""/"")"),15.0)</f>
        <v>15</v>
      </c>
      <c r="F662" s="2">
        <f>IFERROR(__xludf.DUMMYFUNCTION("""COMPUTED_VALUE"""),9.0)</f>
        <v>9</v>
      </c>
      <c r="G662" s="2">
        <f>IFERROR(__xludf.DUMMYFUNCTION("""COMPUTED_VALUE"""),2024.0)</f>
        <v>2024</v>
      </c>
      <c r="H662" s="2" t="str">
        <f t="shared" si="2"/>
        <v>2024/9/15</v>
      </c>
      <c r="I662" s="2" t="s">
        <v>1576</v>
      </c>
      <c r="J662" s="2" t="str">
        <f t="shared" si="3"/>
        <v>Roti Cranberry</v>
      </c>
      <c r="K662" s="7">
        <f>if(RIGHT(I662,5)="2 pcs",2,Data!I662)</f>
        <v>1</v>
      </c>
      <c r="L662" s="2" t="str">
        <f t="shared" si="4"/>
        <v>Sunday</v>
      </c>
      <c r="M662" s="2" t="str">
        <f t="shared" si="5"/>
        <v>15</v>
      </c>
      <c r="N662" s="2">
        <f>VLOOKUP(L662,'Data Info'!$A$1:$B$8,2,0)</f>
        <v>7</v>
      </c>
      <c r="O662" s="2" t="str">
        <f>VLOOKUP(L662,'Data Info'!$A$1:$C$8,3,0)</f>
        <v>Weekend</v>
      </c>
    </row>
    <row r="663">
      <c r="A663" s="4">
        <v>45550.68958333333</v>
      </c>
      <c r="B663" s="9">
        <f>IFERROR(__xludf.DUMMYFUNCTION("SPLIT(A663,"" "")"),45550.0)</f>
        <v>45550</v>
      </c>
      <c r="C663" s="10">
        <f>IFERROR(__xludf.DUMMYFUNCTION("""COMPUTED_VALUE"""),0.6895833333333333)</f>
        <v>0.6895833333</v>
      </c>
      <c r="D663" s="2">
        <f t="shared" si="1"/>
        <v>16</v>
      </c>
      <c r="E663" s="2">
        <f>IFERROR(__xludf.DUMMYFUNCTION("SPLIT(B663,""/"")"),15.0)</f>
        <v>15</v>
      </c>
      <c r="F663" s="2">
        <f>IFERROR(__xludf.DUMMYFUNCTION("""COMPUTED_VALUE"""),9.0)</f>
        <v>9</v>
      </c>
      <c r="G663" s="2">
        <f>IFERROR(__xludf.DUMMYFUNCTION("""COMPUTED_VALUE"""),2024.0)</f>
        <v>2024</v>
      </c>
      <c r="H663" s="2" t="str">
        <f t="shared" si="2"/>
        <v>2024/9/15</v>
      </c>
      <c r="I663" s="2" t="s">
        <v>1595</v>
      </c>
      <c r="J663" s="2" t="str">
        <f t="shared" si="3"/>
        <v>Roti Gandum Cokelat</v>
      </c>
      <c r="K663" s="7">
        <f>if(RIGHT(I663,5)="2 pcs",2,Data!I663)</f>
        <v>1</v>
      </c>
      <c r="L663" s="2" t="str">
        <f t="shared" si="4"/>
        <v>Sunday</v>
      </c>
      <c r="M663" s="2" t="str">
        <f t="shared" si="5"/>
        <v>15</v>
      </c>
      <c r="N663" s="2">
        <f>VLOOKUP(L663,'Data Info'!$A$1:$B$8,2,0)</f>
        <v>7</v>
      </c>
      <c r="O663" s="2" t="str">
        <f>VLOOKUP(L663,'Data Info'!$A$1:$C$8,3,0)</f>
        <v>Weekend</v>
      </c>
    </row>
    <row r="664">
      <c r="A664" s="4">
        <v>45550.68958333333</v>
      </c>
      <c r="B664" s="9">
        <f>IFERROR(__xludf.DUMMYFUNCTION("SPLIT(A664,"" "")"),45550.0)</f>
        <v>45550</v>
      </c>
      <c r="C664" s="10">
        <f>IFERROR(__xludf.DUMMYFUNCTION("""COMPUTED_VALUE"""),0.6895833333333333)</f>
        <v>0.6895833333</v>
      </c>
      <c r="D664" s="2">
        <f t="shared" si="1"/>
        <v>16</v>
      </c>
      <c r="E664" s="2">
        <f>IFERROR(__xludf.DUMMYFUNCTION("SPLIT(B664,""/"")"),15.0)</f>
        <v>15</v>
      </c>
      <c r="F664" s="2">
        <f>IFERROR(__xludf.DUMMYFUNCTION("""COMPUTED_VALUE"""),9.0)</f>
        <v>9</v>
      </c>
      <c r="G664" s="2">
        <f>IFERROR(__xludf.DUMMYFUNCTION("""COMPUTED_VALUE"""),2024.0)</f>
        <v>2024</v>
      </c>
      <c r="H664" s="2" t="str">
        <f t="shared" si="2"/>
        <v>2024/9/15</v>
      </c>
      <c r="I664" s="2" t="s">
        <v>1596</v>
      </c>
      <c r="J664" s="2" t="str">
        <f t="shared" si="3"/>
        <v>Roti Cranberry</v>
      </c>
      <c r="K664" s="7">
        <f>if(RIGHT(I664,5)="2 pcs",2,Data!I664)</f>
        <v>2</v>
      </c>
      <c r="L664" s="2" t="str">
        <f t="shared" si="4"/>
        <v>Sunday</v>
      </c>
      <c r="M664" s="2" t="str">
        <f t="shared" si="5"/>
        <v>15</v>
      </c>
      <c r="N664" s="2">
        <f>VLOOKUP(L664,'Data Info'!$A$1:$B$8,2,0)</f>
        <v>7</v>
      </c>
      <c r="O664" s="2" t="str">
        <f>VLOOKUP(L664,'Data Info'!$A$1:$C$8,3,0)</f>
        <v>Weekend</v>
      </c>
    </row>
    <row r="665">
      <c r="A665" s="4">
        <v>45550.68958333333</v>
      </c>
      <c r="B665" s="9">
        <f>IFERROR(__xludf.DUMMYFUNCTION("SPLIT(A665,"" "")"),45550.0)</f>
        <v>45550</v>
      </c>
      <c r="C665" s="10">
        <f>IFERROR(__xludf.DUMMYFUNCTION("""COMPUTED_VALUE"""),0.6895833333333333)</f>
        <v>0.6895833333</v>
      </c>
      <c r="D665" s="2">
        <f t="shared" si="1"/>
        <v>16</v>
      </c>
      <c r="E665" s="2">
        <f>IFERROR(__xludf.DUMMYFUNCTION("SPLIT(B665,""/"")"),15.0)</f>
        <v>15</v>
      </c>
      <c r="F665" s="2">
        <f>IFERROR(__xludf.DUMMYFUNCTION("""COMPUTED_VALUE"""),9.0)</f>
        <v>9</v>
      </c>
      <c r="G665" s="2">
        <f>IFERROR(__xludf.DUMMYFUNCTION("""COMPUTED_VALUE"""),2024.0)</f>
        <v>2024</v>
      </c>
      <c r="H665" s="2" t="str">
        <f t="shared" si="2"/>
        <v>2024/9/15</v>
      </c>
      <c r="I665" s="2" t="s">
        <v>1566</v>
      </c>
      <c r="J665" s="2" t="str">
        <f t="shared" si="3"/>
        <v>Roti Bawang Saus Keju</v>
      </c>
      <c r="K665" s="7">
        <f>if(RIGHT(I665,5)="2 pcs",2,Data!I665)</f>
        <v>1</v>
      </c>
      <c r="L665" s="2" t="str">
        <f t="shared" si="4"/>
        <v>Sunday</v>
      </c>
      <c r="M665" s="2" t="str">
        <f t="shared" si="5"/>
        <v>15</v>
      </c>
      <c r="N665" s="2">
        <f>VLOOKUP(L665,'Data Info'!$A$1:$B$8,2,0)</f>
        <v>7</v>
      </c>
      <c r="O665" s="2" t="str">
        <f>VLOOKUP(L665,'Data Info'!$A$1:$C$8,3,0)</f>
        <v>Weekend</v>
      </c>
    </row>
    <row r="666">
      <c r="A666" s="4">
        <v>45550.68958333333</v>
      </c>
      <c r="B666" s="9">
        <f>IFERROR(__xludf.DUMMYFUNCTION("SPLIT(A666,"" "")"),45550.0)</f>
        <v>45550</v>
      </c>
      <c r="C666" s="10">
        <f>IFERROR(__xludf.DUMMYFUNCTION("""COMPUTED_VALUE"""),0.6895833333333333)</f>
        <v>0.6895833333</v>
      </c>
      <c r="D666" s="2">
        <f t="shared" si="1"/>
        <v>16</v>
      </c>
      <c r="E666" s="2">
        <f>IFERROR(__xludf.DUMMYFUNCTION("SPLIT(B666,""/"")"),15.0)</f>
        <v>15</v>
      </c>
      <c r="F666" s="2">
        <f>IFERROR(__xludf.DUMMYFUNCTION("""COMPUTED_VALUE"""),9.0)</f>
        <v>9</v>
      </c>
      <c r="G666" s="2">
        <f>IFERROR(__xludf.DUMMYFUNCTION("""COMPUTED_VALUE"""),2024.0)</f>
        <v>2024</v>
      </c>
      <c r="H666" s="2" t="str">
        <f t="shared" si="2"/>
        <v>2024/9/15</v>
      </c>
      <c r="I666" s="2" t="s">
        <v>1584</v>
      </c>
      <c r="J666" s="2" t="str">
        <f t="shared" si="3"/>
        <v>Korean Mango Fresh Milk</v>
      </c>
      <c r="K666" s="7">
        <f>if(RIGHT(I666,5)="2 pcs",2,Data!I666)</f>
        <v>1</v>
      </c>
      <c r="L666" s="2" t="str">
        <f t="shared" si="4"/>
        <v>Sunday</v>
      </c>
      <c r="M666" s="2" t="str">
        <f t="shared" si="5"/>
        <v>15</v>
      </c>
      <c r="N666" s="2">
        <f>VLOOKUP(L666,'Data Info'!$A$1:$B$8,2,0)</f>
        <v>7</v>
      </c>
      <c r="O666" s="2" t="str">
        <f>VLOOKUP(L666,'Data Info'!$A$1:$C$8,3,0)</f>
        <v>Weekend</v>
      </c>
    </row>
    <row r="667">
      <c r="A667" s="4">
        <v>45550.68958333333</v>
      </c>
      <c r="B667" s="9">
        <f>IFERROR(__xludf.DUMMYFUNCTION("SPLIT(A667,"" "")"),45550.0)</f>
        <v>45550</v>
      </c>
      <c r="C667" s="10">
        <f>IFERROR(__xludf.DUMMYFUNCTION("""COMPUTED_VALUE"""),0.6895833333333333)</f>
        <v>0.6895833333</v>
      </c>
      <c r="D667" s="2">
        <f t="shared" si="1"/>
        <v>16</v>
      </c>
      <c r="E667" s="2">
        <f>IFERROR(__xludf.DUMMYFUNCTION("SPLIT(B667,""/"")"),15.0)</f>
        <v>15</v>
      </c>
      <c r="F667" s="2">
        <f>IFERROR(__xludf.DUMMYFUNCTION("""COMPUTED_VALUE"""),9.0)</f>
        <v>9</v>
      </c>
      <c r="G667" s="2">
        <f>IFERROR(__xludf.DUMMYFUNCTION("""COMPUTED_VALUE"""),2024.0)</f>
        <v>2024</v>
      </c>
      <c r="H667" s="2" t="str">
        <f t="shared" si="2"/>
        <v>2024/9/15</v>
      </c>
      <c r="I667" s="2" t="s">
        <v>1588</v>
      </c>
      <c r="J667" s="2" t="str">
        <f t="shared" si="3"/>
        <v>Es Kopi Susu</v>
      </c>
      <c r="K667" s="7">
        <f>if(RIGHT(I667,5)="2 pcs",2,Data!I667)</f>
        <v>1</v>
      </c>
      <c r="L667" s="2" t="str">
        <f t="shared" si="4"/>
        <v>Sunday</v>
      </c>
      <c r="M667" s="2" t="str">
        <f t="shared" si="5"/>
        <v>15</v>
      </c>
      <c r="N667" s="2">
        <f>VLOOKUP(L667,'Data Info'!$A$1:$B$8,2,0)</f>
        <v>7</v>
      </c>
      <c r="O667" s="2" t="str">
        <f>VLOOKUP(L667,'Data Info'!$A$1:$C$8,3,0)</f>
        <v>Weekend</v>
      </c>
    </row>
    <row r="668">
      <c r="A668" s="4">
        <v>45550.68958333333</v>
      </c>
      <c r="B668" s="9">
        <f>IFERROR(__xludf.DUMMYFUNCTION("SPLIT(A668,"" "")"),45550.0)</f>
        <v>45550</v>
      </c>
      <c r="C668" s="10">
        <f>IFERROR(__xludf.DUMMYFUNCTION("""COMPUTED_VALUE"""),0.6895833333333333)</f>
        <v>0.6895833333</v>
      </c>
      <c r="D668" s="2">
        <f t="shared" si="1"/>
        <v>16</v>
      </c>
      <c r="E668" s="2">
        <f>IFERROR(__xludf.DUMMYFUNCTION("SPLIT(B668,""/"")"),15.0)</f>
        <v>15</v>
      </c>
      <c r="F668" s="2">
        <f>IFERROR(__xludf.DUMMYFUNCTION("""COMPUTED_VALUE"""),9.0)</f>
        <v>9</v>
      </c>
      <c r="G668" s="2">
        <f>IFERROR(__xludf.DUMMYFUNCTION("""COMPUTED_VALUE"""),2024.0)</f>
        <v>2024</v>
      </c>
      <c r="H668" s="2" t="str">
        <f t="shared" si="2"/>
        <v>2024/9/15</v>
      </c>
      <c r="I668" s="2" t="s">
        <v>1618</v>
      </c>
      <c r="J668" s="2" t="str">
        <f t="shared" si="3"/>
        <v>Susu murni ori</v>
      </c>
      <c r="K668" s="7">
        <f>if(RIGHT(I668,5)="2 pcs",2,Data!I668)</f>
        <v>1</v>
      </c>
      <c r="L668" s="2" t="str">
        <f t="shared" si="4"/>
        <v>Sunday</v>
      </c>
      <c r="M668" s="2" t="str">
        <f t="shared" si="5"/>
        <v>15</v>
      </c>
      <c r="N668" s="2">
        <f>VLOOKUP(L668,'Data Info'!$A$1:$B$8,2,0)</f>
        <v>7</v>
      </c>
      <c r="O668" s="2" t="str">
        <f>VLOOKUP(L668,'Data Info'!$A$1:$C$8,3,0)</f>
        <v>Weekend</v>
      </c>
    </row>
    <row r="669">
      <c r="A669" s="4">
        <v>45550.6875</v>
      </c>
      <c r="B669" s="9">
        <f>IFERROR(__xludf.DUMMYFUNCTION("SPLIT(A669,"" "")"),45550.0)</f>
        <v>45550</v>
      </c>
      <c r="C669" s="10">
        <f>IFERROR(__xludf.DUMMYFUNCTION("""COMPUTED_VALUE"""),0.6875)</f>
        <v>0.6875</v>
      </c>
      <c r="D669" s="2">
        <f t="shared" si="1"/>
        <v>16</v>
      </c>
      <c r="E669" s="2">
        <f>IFERROR(__xludf.DUMMYFUNCTION("SPLIT(B669,""/"")"),15.0)</f>
        <v>15</v>
      </c>
      <c r="F669" s="2">
        <f>IFERROR(__xludf.DUMMYFUNCTION("""COMPUTED_VALUE"""),9.0)</f>
        <v>9</v>
      </c>
      <c r="G669" s="2">
        <f>IFERROR(__xludf.DUMMYFUNCTION("""COMPUTED_VALUE"""),2024.0)</f>
        <v>2024</v>
      </c>
      <c r="H669" s="2" t="str">
        <f t="shared" si="2"/>
        <v>2024/9/15</v>
      </c>
      <c r="I669" s="2" t="s">
        <v>1596</v>
      </c>
      <c r="J669" s="2" t="str">
        <f t="shared" si="3"/>
        <v>Roti Cranberry</v>
      </c>
      <c r="K669" s="7">
        <f>if(RIGHT(I669,5)="2 pcs",2,Data!I669)</f>
        <v>2</v>
      </c>
      <c r="L669" s="2" t="str">
        <f t="shared" si="4"/>
        <v>Sunday</v>
      </c>
      <c r="M669" s="2" t="str">
        <f t="shared" si="5"/>
        <v>15</v>
      </c>
      <c r="N669" s="2">
        <f>VLOOKUP(L669,'Data Info'!$A$1:$B$8,2,0)</f>
        <v>7</v>
      </c>
      <c r="O669" s="2" t="str">
        <f>VLOOKUP(L669,'Data Info'!$A$1:$C$8,3,0)</f>
        <v>Weekend</v>
      </c>
    </row>
    <row r="670">
      <c r="A670" s="4">
        <v>45550.6875</v>
      </c>
      <c r="B670" s="9">
        <f>IFERROR(__xludf.DUMMYFUNCTION("SPLIT(A670,"" "")"),45550.0)</f>
        <v>45550</v>
      </c>
      <c r="C670" s="10">
        <f>IFERROR(__xludf.DUMMYFUNCTION("""COMPUTED_VALUE"""),0.6875)</f>
        <v>0.6875</v>
      </c>
      <c r="D670" s="2">
        <f t="shared" si="1"/>
        <v>16</v>
      </c>
      <c r="E670" s="2">
        <f>IFERROR(__xludf.DUMMYFUNCTION("SPLIT(B670,""/"")"),15.0)</f>
        <v>15</v>
      </c>
      <c r="F670" s="2">
        <f>IFERROR(__xludf.DUMMYFUNCTION("""COMPUTED_VALUE"""),9.0)</f>
        <v>9</v>
      </c>
      <c r="G670" s="2">
        <f>IFERROR(__xludf.DUMMYFUNCTION("""COMPUTED_VALUE"""),2024.0)</f>
        <v>2024</v>
      </c>
      <c r="H670" s="2" t="str">
        <f t="shared" si="2"/>
        <v>2024/9/15</v>
      </c>
      <c r="I670" s="2" t="s">
        <v>1597</v>
      </c>
      <c r="J670" s="2" t="str">
        <f t="shared" si="3"/>
        <v>Roti Gandum Cokelat</v>
      </c>
      <c r="K670" s="7">
        <f>if(RIGHT(I670,5)="2 pcs",2,Data!I670)</f>
        <v>2</v>
      </c>
      <c r="L670" s="2" t="str">
        <f t="shared" si="4"/>
        <v>Sunday</v>
      </c>
      <c r="M670" s="2" t="str">
        <f t="shared" si="5"/>
        <v>15</v>
      </c>
      <c r="N670" s="2">
        <f>VLOOKUP(L670,'Data Info'!$A$1:$B$8,2,0)</f>
        <v>7</v>
      </c>
      <c r="O670" s="2" t="str">
        <f>VLOOKUP(L670,'Data Info'!$A$1:$C$8,3,0)</f>
        <v>Weekend</v>
      </c>
    </row>
    <row r="671">
      <c r="A671" s="4">
        <v>45550.68125</v>
      </c>
      <c r="B671" s="9">
        <f>IFERROR(__xludf.DUMMYFUNCTION("SPLIT(A671,"" "")"),45550.0)</f>
        <v>45550</v>
      </c>
      <c r="C671" s="10">
        <f>IFERROR(__xludf.DUMMYFUNCTION("""COMPUTED_VALUE"""),0.68125)</f>
        <v>0.68125</v>
      </c>
      <c r="D671" s="2">
        <f t="shared" si="1"/>
        <v>16</v>
      </c>
      <c r="E671" s="2">
        <f>IFERROR(__xludf.DUMMYFUNCTION("SPLIT(B671,""/"")"),15.0)</f>
        <v>15</v>
      </c>
      <c r="F671" s="2">
        <f>IFERROR(__xludf.DUMMYFUNCTION("""COMPUTED_VALUE"""),9.0)</f>
        <v>9</v>
      </c>
      <c r="G671" s="2">
        <f>IFERROR(__xludf.DUMMYFUNCTION("""COMPUTED_VALUE"""),2024.0)</f>
        <v>2024</v>
      </c>
      <c r="H671" s="2" t="str">
        <f t="shared" si="2"/>
        <v>2024/9/15</v>
      </c>
      <c r="I671" s="2" t="s">
        <v>1603</v>
      </c>
      <c r="J671" s="2" t="str">
        <f t="shared" si="3"/>
        <v>Nasi Goreng Temu</v>
      </c>
      <c r="K671" s="7">
        <f>if(RIGHT(I671,5)="2 pcs",2,Data!I671)</f>
        <v>1</v>
      </c>
      <c r="L671" s="2" t="str">
        <f t="shared" si="4"/>
        <v>Sunday</v>
      </c>
      <c r="M671" s="2" t="str">
        <f t="shared" si="5"/>
        <v>15</v>
      </c>
      <c r="N671" s="2">
        <f>VLOOKUP(L671,'Data Info'!$A$1:$B$8,2,0)</f>
        <v>7</v>
      </c>
      <c r="O671" s="2" t="str">
        <f>VLOOKUP(L671,'Data Info'!$A$1:$C$8,3,0)</f>
        <v>Weekend</v>
      </c>
    </row>
    <row r="672">
      <c r="A672" s="4">
        <v>45550.68125</v>
      </c>
      <c r="B672" s="9">
        <f>IFERROR(__xludf.DUMMYFUNCTION("SPLIT(A672,"" "")"),45550.0)</f>
        <v>45550</v>
      </c>
      <c r="C672" s="10">
        <f>IFERROR(__xludf.DUMMYFUNCTION("""COMPUTED_VALUE"""),0.68125)</f>
        <v>0.68125</v>
      </c>
      <c r="D672" s="2">
        <f t="shared" si="1"/>
        <v>16</v>
      </c>
      <c r="E672" s="2">
        <f>IFERROR(__xludf.DUMMYFUNCTION("SPLIT(B672,""/"")"),15.0)</f>
        <v>15</v>
      </c>
      <c r="F672" s="2">
        <f>IFERROR(__xludf.DUMMYFUNCTION("""COMPUTED_VALUE"""),9.0)</f>
        <v>9</v>
      </c>
      <c r="G672" s="2">
        <f>IFERROR(__xludf.DUMMYFUNCTION("""COMPUTED_VALUE"""),2024.0)</f>
        <v>2024</v>
      </c>
      <c r="H672" s="2" t="str">
        <f t="shared" si="2"/>
        <v>2024/9/15</v>
      </c>
      <c r="I672" s="2" t="s">
        <v>1573</v>
      </c>
      <c r="J672" s="2" t="str">
        <f t="shared" si="3"/>
        <v>Air mineral</v>
      </c>
      <c r="K672" s="7">
        <f>if(RIGHT(I672,5)="2 pcs",2,Data!I672)</f>
        <v>1</v>
      </c>
      <c r="L672" s="2" t="str">
        <f t="shared" si="4"/>
        <v>Sunday</v>
      </c>
      <c r="M672" s="2" t="str">
        <f t="shared" si="5"/>
        <v>15</v>
      </c>
      <c r="N672" s="2">
        <f>VLOOKUP(L672,'Data Info'!$A$1:$B$8,2,0)</f>
        <v>7</v>
      </c>
      <c r="O672" s="2" t="str">
        <f>VLOOKUP(L672,'Data Info'!$A$1:$C$8,3,0)</f>
        <v>Weekend</v>
      </c>
    </row>
    <row r="673">
      <c r="A673" s="4">
        <v>45550.68125</v>
      </c>
      <c r="B673" s="9">
        <f>IFERROR(__xludf.DUMMYFUNCTION("SPLIT(A673,"" "")"),45550.0)</f>
        <v>45550</v>
      </c>
      <c r="C673" s="10">
        <f>IFERROR(__xludf.DUMMYFUNCTION("""COMPUTED_VALUE"""),0.68125)</f>
        <v>0.68125</v>
      </c>
      <c r="D673" s="2">
        <f t="shared" si="1"/>
        <v>16</v>
      </c>
      <c r="E673" s="2">
        <f>IFERROR(__xludf.DUMMYFUNCTION("SPLIT(B673,""/"")"),15.0)</f>
        <v>15</v>
      </c>
      <c r="F673" s="2">
        <f>IFERROR(__xludf.DUMMYFUNCTION("""COMPUTED_VALUE"""),9.0)</f>
        <v>9</v>
      </c>
      <c r="G673" s="2">
        <f>IFERROR(__xludf.DUMMYFUNCTION("""COMPUTED_VALUE"""),2024.0)</f>
        <v>2024</v>
      </c>
      <c r="H673" s="2" t="str">
        <f t="shared" si="2"/>
        <v>2024/9/15</v>
      </c>
      <c r="I673" s="2" t="s">
        <v>1576</v>
      </c>
      <c r="J673" s="2" t="str">
        <f t="shared" si="3"/>
        <v>Roti Cranberry</v>
      </c>
      <c r="K673" s="7">
        <f>if(RIGHT(I673,5)="2 pcs",2,Data!I673)</f>
        <v>1</v>
      </c>
      <c r="L673" s="2" t="str">
        <f t="shared" si="4"/>
        <v>Sunday</v>
      </c>
      <c r="M673" s="2" t="str">
        <f t="shared" si="5"/>
        <v>15</v>
      </c>
      <c r="N673" s="2">
        <f>VLOOKUP(L673,'Data Info'!$A$1:$B$8,2,0)</f>
        <v>7</v>
      </c>
      <c r="O673" s="2" t="str">
        <f>VLOOKUP(L673,'Data Info'!$A$1:$C$8,3,0)</f>
        <v>Weekend</v>
      </c>
    </row>
    <row r="674">
      <c r="A674" s="4">
        <v>45550.67916666667</v>
      </c>
      <c r="B674" s="9">
        <f>IFERROR(__xludf.DUMMYFUNCTION("SPLIT(A674,"" "")"),45550.0)</f>
        <v>45550</v>
      </c>
      <c r="C674" s="10">
        <f>IFERROR(__xludf.DUMMYFUNCTION("""COMPUTED_VALUE"""),0.6791666666666667)</f>
        <v>0.6791666667</v>
      </c>
      <c r="D674" s="2">
        <f t="shared" si="1"/>
        <v>16</v>
      </c>
      <c r="E674" s="2">
        <f>IFERROR(__xludf.DUMMYFUNCTION("SPLIT(B674,""/"")"),15.0)</f>
        <v>15</v>
      </c>
      <c r="F674" s="2">
        <f>IFERROR(__xludf.DUMMYFUNCTION("""COMPUTED_VALUE"""),9.0)</f>
        <v>9</v>
      </c>
      <c r="G674" s="2">
        <f>IFERROR(__xludf.DUMMYFUNCTION("""COMPUTED_VALUE"""),2024.0)</f>
        <v>2024</v>
      </c>
      <c r="H674" s="2" t="str">
        <f t="shared" si="2"/>
        <v>2024/9/15</v>
      </c>
      <c r="I674" s="2" t="s">
        <v>1606</v>
      </c>
      <c r="J674" s="2" t="str">
        <f t="shared" si="3"/>
        <v>Pisang Goreng</v>
      </c>
      <c r="K674" s="7">
        <f>if(RIGHT(I674,5)="2 pcs",2,Data!I674)</f>
        <v>1</v>
      </c>
      <c r="L674" s="2" t="str">
        <f t="shared" si="4"/>
        <v>Sunday</v>
      </c>
      <c r="M674" s="2" t="str">
        <f t="shared" si="5"/>
        <v>15</v>
      </c>
      <c r="N674" s="2">
        <f>VLOOKUP(L674,'Data Info'!$A$1:$B$8,2,0)</f>
        <v>7</v>
      </c>
      <c r="O674" s="2" t="str">
        <f>VLOOKUP(L674,'Data Info'!$A$1:$C$8,3,0)</f>
        <v>Weekend</v>
      </c>
    </row>
    <row r="675">
      <c r="A675" s="4">
        <v>45550.67916666667</v>
      </c>
      <c r="B675" s="9">
        <f>IFERROR(__xludf.DUMMYFUNCTION("SPLIT(A675,"" "")"),45550.0)</f>
        <v>45550</v>
      </c>
      <c r="C675" s="10">
        <f>IFERROR(__xludf.DUMMYFUNCTION("""COMPUTED_VALUE"""),0.6791666666666667)</f>
        <v>0.6791666667</v>
      </c>
      <c r="D675" s="2">
        <f t="shared" si="1"/>
        <v>16</v>
      </c>
      <c r="E675" s="2">
        <f>IFERROR(__xludf.DUMMYFUNCTION("SPLIT(B675,""/"")"),15.0)</f>
        <v>15</v>
      </c>
      <c r="F675" s="2">
        <f>IFERROR(__xludf.DUMMYFUNCTION("""COMPUTED_VALUE"""),9.0)</f>
        <v>9</v>
      </c>
      <c r="G675" s="2">
        <f>IFERROR(__xludf.DUMMYFUNCTION("""COMPUTED_VALUE"""),2024.0)</f>
        <v>2024</v>
      </c>
      <c r="H675" s="2" t="str">
        <f t="shared" si="2"/>
        <v>2024/9/15</v>
      </c>
      <c r="I675" s="2" t="s">
        <v>1607</v>
      </c>
      <c r="J675" s="2" t="str">
        <f t="shared" si="3"/>
        <v>Tahu walik</v>
      </c>
      <c r="K675" s="7">
        <f>if(RIGHT(I675,5)="2 pcs",2,Data!I675)</f>
        <v>1</v>
      </c>
      <c r="L675" s="2" t="str">
        <f t="shared" si="4"/>
        <v>Sunday</v>
      </c>
      <c r="M675" s="2" t="str">
        <f t="shared" si="5"/>
        <v>15</v>
      </c>
      <c r="N675" s="2">
        <f>VLOOKUP(L675,'Data Info'!$A$1:$B$8,2,0)</f>
        <v>7</v>
      </c>
      <c r="O675" s="2" t="str">
        <f>VLOOKUP(L675,'Data Info'!$A$1:$C$8,3,0)</f>
        <v>Weekend</v>
      </c>
    </row>
    <row r="676">
      <c r="A676" s="4">
        <v>45550.67916666667</v>
      </c>
      <c r="B676" s="9">
        <f>IFERROR(__xludf.DUMMYFUNCTION("SPLIT(A676,"" "")"),45550.0)</f>
        <v>45550</v>
      </c>
      <c r="C676" s="10">
        <f>IFERROR(__xludf.DUMMYFUNCTION("""COMPUTED_VALUE"""),0.6791666666666667)</f>
        <v>0.6791666667</v>
      </c>
      <c r="D676" s="2">
        <f t="shared" si="1"/>
        <v>16</v>
      </c>
      <c r="E676" s="2">
        <f>IFERROR(__xludf.DUMMYFUNCTION("SPLIT(B676,""/"")"),15.0)</f>
        <v>15</v>
      </c>
      <c r="F676" s="2">
        <f>IFERROR(__xludf.DUMMYFUNCTION("""COMPUTED_VALUE"""),9.0)</f>
        <v>9</v>
      </c>
      <c r="G676" s="2">
        <f>IFERROR(__xludf.DUMMYFUNCTION("""COMPUTED_VALUE"""),2024.0)</f>
        <v>2024</v>
      </c>
      <c r="H676" s="2" t="str">
        <f t="shared" si="2"/>
        <v>2024/9/15</v>
      </c>
      <c r="I676" s="2" t="s">
        <v>1609</v>
      </c>
      <c r="J676" s="2" t="str">
        <f t="shared" si="3"/>
        <v>Tempe Mendoan</v>
      </c>
      <c r="K676" s="7">
        <f>if(RIGHT(I676,5)="2 pcs",2,Data!I676)</f>
        <v>1</v>
      </c>
      <c r="L676" s="2" t="str">
        <f t="shared" si="4"/>
        <v>Sunday</v>
      </c>
      <c r="M676" s="2" t="str">
        <f t="shared" si="5"/>
        <v>15</v>
      </c>
      <c r="N676" s="2">
        <f>VLOOKUP(L676,'Data Info'!$A$1:$B$8,2,0)</f>
        <v>7</v>
      </c>
      <c r="O676" s="2" t="str">
        <f>VLOOKUP(L676,'Data Info'!$A$1:$C$8,3,0)</f>
        <v>Weekend</v>
      </c>
    </row>
    <row r="677">
      <c r="A677" s="4">
        <v>45550.67916666667</v>
      </c>
      <c r="B677" s="9">
        <f>IFERROR(__xludf.DUMMYFUNCTION("SPLIT(A677,"" "")"),45550.0)</f>
        <v>45550</v>
      </c>
      <c r="C677" s="10">
        <f>IFERROR(__xludf.DUMMYFUNCTION("""COMPUTED_VALUE"""),0.6791666666666667)</f>
        <v>0.6791666667</v>
      </c>
      <c r="D677" s="2">
        <f t="shared" si="1"/>
        <v>16</v>
      </c>
      <c r="E677" s="2">
        <f>IFERROR(__xludf.DUMMYFUNCTION("SPLIT(B677,""/"")"),15.0)</f>
        <v>15</v>
      </c>
      <c r="F677" s="2">
        <f>IFERROR(__xludf.DUMMYFUNCTION("""COMPUTED_VALUE"""),9.0)</f>
        <v>9</v>
      </c>
      <c r="G677" s="2">
        <f>IFERROR(__xludf.DUMMYFUNCTION("""COMPUTED_VALUE"""),2024.0)</f>
        <v>2024</v>
      </c>
      <c r="H677" s="2" t="str">
        <f t="shared" si="2"/>
        <v>2024/9/15</v>
      </c>
      <c r="I677" s="2" t="s">
        <v>1582</v>
      </c>
      <c r="J677" s="2" t="str">
        <f t="shared" si="3"/>
        <v>Teh Tawar Dingin</v>
      </c>
      <c r="K677" s="7">
        <f>if(RIGHT(I677,5)="2 pcs",2,Data!I677)</f>
        <v>1</v>
      </c>
      <c r="L677" s="2" t="str">
        <f t="shared" si="4"/>
        <v>Sunday</v>
      </c>
      <c r="M677" s="2" t="str">
        <f t="shared" si="5"/>
        <v>15</v>
      </c>
      <c r="N677" s="2">
        <f>VLOOKUP(L677,'Data Info'!$A$1:$B$8,2,0)</f>
        <v>7</v>
      </c>
      <c r="O677" s="2" t="str">
        <f>VLOOKUP(L677,'Data Info'!$A$1:$C$8,3,0)</f>
        <v>Weekend</v>
      </c>
    </row>
    <row r="678">
      <c r="A678" s="4">
        <v>45550.67916666667</v>
      </c>
      <c r="B678" s="9">
        <f>IFERROR(__xludf.DUMMYFUNCTION("SPLIT(A678,"" "")"),45550.0)</f>
        <v>45550</v>
      </c>
      <c r="C678" s="10">
        <f>IFERROR(__xludf.DUMMYFUNCTION("""COMPUTED_VALUE"""),0.6791666666666667)</f>
        <v>0.6791666667</v>
      </c>
      <c r="D678" s="2">
        <f t="shared" si="1"/>
        <v>16</v>
      </c>
      <c r="E678" s="2">
        <f>IFERROR(__xludf.DUMMYFUNCTION("SPLIT(B678,""/"")"),15.0)</f>
        <v>15</v>
      </c>
      <c r="F678" s="2">
        <f>IFERROR(__xludf.DUMMYFUNCTION("""COMPUTED_VALUE"""),9.0)</f>
        <v>9</v>
      </c>
      <c r="G678" s="2">
        <f>IFERROR(__xludf.DUMMYFUNCTION("""COMPUTED_VALUE"""),2024.0)</f>
        <v>2024</v>
      </c>
      <c r="H678" s="2" t="str">
        <f t="shared" si="2"/>
        <v>2024/9/15</v>
      </c>
      <c r="I678" s="2" t="s">
        <v>1585</v>
      </c>
      <c r="J678" s="2" t="str">
        <f t="shared" si="3"/>
        <v>Susu murni moca</v>
      </c>
      <c r="K678" s="7">
        <f>if(RIGHT(I678,5)="2 pcs",2,Data!I678)</f>
        <v>1</v>
      </c>
      <c r="L678" s="2" t="str">
        <f t="shared" si="4"/>
        <v>Sunday</v>
      </c>
      <c r="M678" s="2" t="str">
        <f t="shared" si="5"/>
        <v>15</v>
      </c>
      <c r="N678" s="2">
        <f>VLOOKUP(L678,'Data Info'!$A$1:$B$8,2,0)</f>
        <v>7</v>
      </c>
      <c r="O678" s="2" t="str">
        <f>VLOOKUP(L678,'Data Info'!$A$1:$C$8,3,0)</f>
        <v>Weekend</v>
      </c>
    </row>
    <row r="679">
      <c r="A679" s="4">
        <v>45550.67291666667</v>
      </c>
      <c r="B679" s="9">
        <f>IFERROR(__xludf.DUMMYFUNCTION("SPLIT(A679,"" "")"),45550.0)</f>
        <v>45550</v>
      </c>
      <c r="C679" s="10">
        <f>IFERROR(__xludf.DUMMYFUNCTION("""COMPUTED_VALUE"""),0.6729166666666667)</f>
        <v>0.6729166667</v>
      </c>
      <c r="D679" s="2">
        <f t="shared" si="1"/>
        <v>16</v>
      </c>
      <c r="E679" s="2">
        <f>IFERROR(__xludf.DUMMYFUNCTION("SPLIT(B679,""/"")"),15.0)</f>
        <v>15</v>
      </c>
      <c r="F679" s="2">
        <f>IFERROR(__xludf.DUMMYFUNCTION("""COMPUTED_VALUE"""),9.0)</f>
        <v>9</v>
      </c>
      <c r="G679" s="2">
        <f>IFERROR(__xludf.DUMMYFUNCTION("""COMPUTED_VALUE"""),2024.0)</f>
        <v>2024</v>
      </c>
      <c r="H679" s="2" t="str">
        <f t="shared" si="2"/>
        <v>2024/9/15</v>
      </c>
      <c r="I679" s="2" t="s">
        <v>1588</v>
      </c>
      <c r="J679" s="2" t="str">
        <f t="shared" si="3"/>
        <v>Es Kopi Susu</v>
      </c>
      <c r="K679" s="7">
        <f>if(RIGHT(I679,5)="2 pcs",2,Data!I679)</f>
        <v>2</v>
      </c>
      <c r="L679" s="2" t="str">
        <f t="shared" si="4"/>
        <v>Sunday</v>
      </c>
      <c r="M679" s="2" t="str">
        <f t="shared" si="5"/>
        <v>15</v>
      </c>
      <c r="N679" s="2">
        <f>VLOOKUP(L679,'Data Info'!$A$1:$B$8,2,0)</f>
        <v>7</v>
      </c>
      <c r="O679" s="2" t="str">
        <f>VLOOKUP(L679,'Data Info'!$A$1:$C$8,3,0)</f>
        <v>Weekend</v>
      </c>
    </row>
    <row r="680">
      <c r="A680" s="4">
        <v>45550.67291666667</v>
      </c>
      <c r="B680" s="9">
        <f>IFERROR(__xludf.DUMMYFUNCTION("SPLIT(A680,"" "")"),45550.0)</f>
        <v>45550</v>
      </c>
      <c r="C680" s="10">
        <f>IFERROR(__xludf.DUMMYFUNCTION("""COMPUTED_VALUE"""),0.6729166666666667)</f>
        <v>0.6729166667</v>
      </c>
      <c r="D680" s="2">
        <f t="shared" si="1"/>
        <v>16</v>
      </c>
      <c r="E680" s="2">
        <f>IFERROR(__xludf.DUMMYFUNCTION("SPLIT(B680,""/"")"),15.0)</f>
        <v>15</v>
      </c>
      <c r="F680" s="2">
        <f>IFERROR(__xludf.DUMMYFUNCTION("""COMPUTED_VALUE"""),9.0)</f>
        <v>9</v>
      </c>
      <c r="G680" s="2">
        <f>IFERROR(__xludf.DUMMYFUNCTION("""COMPUTED_VALUE"""),2024.0)</f>
        <v>2024</v>
      </c>
      <c r="H680" s="2" t="str">
        <f t="shared" si="2"/>
        <v>2024/9/15</v>
      </c>
      <c r="I680" s="2" t="s">
        <v>1576</v>
      </c>
      <c r="J680" s="2" t="str">
        <f t="shared" si="3"/>
        <v>Roti Cranberry</v>
      </c>
      <c r="K680" s="7">
        <f>if(RIGHT(I680,5)="2 pcs",2,Data!I680)</f>
        <v>1</v>
      </c>
      <c r="L680" s="2" t="str">
        <f t="shared" si="4"/>
        <v>Sunday</v>
      </c>
      <c r="M680" s="2" t="str">
        <f t="shared" si="5"/>
        <v>15</v>
      </c>
      <c r="N680" s="2">
        <f>VLOOKUP(L680,'Data Info'!$A$1:$B$8,2,0)</f>
        <v>7</v>
      </c>
      <c r="O680" s="2" t="str">
        <f>VLOOKUP(L680,'Data Info'!$A$1:$C$8,3,0)</f>
        <v>Weekend</v>
      </c>
    </row>
    <row r="681">
      <c r="A681" s="4">
        <v>45550.67291666667</v>
      </c>
      <c r="B681" s="9">
        <f>IFERROR(__xludf.DUMMYFUNCTION("SPLIT(A681,"" "")"),45550.0)</f>
        <v>45550</v>
      </c>
      <c r="C681" s="10">
        <f>IFERROR(__xludf.DUMMYFUNCTION("""COMPUTED_VALUE"""),0.6729166666666667)</f>
        <v>0.6729166667</v>
      </c>
      <c r="D681" s="2">
        <f t="shared" si="1"/>
        <v>16</v>
      </c>
      <c r="E681" s="2">
        <f>IFERROR(__xludf.DUMMYFUNCTION("SPLIT(B681,""/"")"),15.0)</f>
        <v>15</v>
      </c>
      <c r="F681" s="2">
        <f>IFERROR(__xludf.DUMMYFUNCTION("""COMPUTED_VALUE"""),9.0)</f>
        <v>9</v>
      </c>
      <c r="G681" s="2">
        <f>IFERROR(__xludf.DUMMYFUNCTION("""COMPUTED_VALUE"""),2024.0)</f>
        <v>2024</v>
      </c>
      <c r="H681" s="2" t="str">
        <f t="shared" si="2"/>
        <v>2024/9/15</v>
      </c>
      <c r="I681" s="2" t="s">
        <v>1566</v>
      </c>
      <c r="J681" s="2" t="str">
        <f t="shared" si="3"/>
        <v>Roti Bawang Saus Keju</v>
      </c>
      <c r="K681" s="7">
        <f>if(RIGHT(I681,5)="2 pcs",2,Data!I681)</f>
        <v>1</v>
      </c>
      <c r="L681" s="2" t="str">
        <f t="shared" si="4"/>
        <v>Sunday</v>
      </c>
      <c r="M681" s="2" t="str">
        <f t="shared" si="5"/>
        <v>15</v>
      </c>
      <c r="N681" s="2">
        <f>VLOOKUP(L681,'Data Info'!$A$1:$B$8,2,0)</f>
        <v>7</v>
      </c>
      <c r="O681" s="2" t="str">
        <f>VLOOKUP(L681,'Data Info'!$A$1:$C$8,3,0)</f>
        <v>Weekend</v>
      </c>
    </row>
    <row r="682">
      <c r="A682" s="4">
        <v>45550.66527777778</v>
      </c>
      <c r="B682" s="9">
        <f>IFERROR(__xludf.DUMMYFUNCTION("SPLIT(A682,"" "")"),45550.0)</f>
        <v>45550</v>
      </c>
      <c r="C682" s="10">
        <f>IFERROR(__xludf.DUMMYFUNCTION("""COMPUTED_VALUE"""),0.6652777777777777)</f>
        <v>0.6652777778</v>
      </c>
      <c r="D682" s="2">
        <f t="shared" si="1"/>
        <v>15</v>
      </c>
      <c r="E682" s="2">
        <f>IFERROR(__xludf.DUMMYFUNCTION("SPLIT(B682,""/"")"),15.0)</f>
        <v>15</v>
      </c>
      <c r="F682" s="2">
        <f>IFERROR(__xludf.DUMMYFUNCTION("""COMPUTED_VALUE"""),9.0)</f>
        <v>9</v>
      </c>
      <c r="G682" s="2">
        <f>IFERROR(__xludf.DUMMYFUNCTION("""COMPUTED_VALUE"""),2024.0)</f>
        <v>2024</v>
      </c>
      <c r="H682" s="2" t="str">
        <f t="shared" si="2"/>
        <v>2024/9/15</v>
      </c>
      <c r="I682" s="2" t="s">
        <v>1596</v>
      </c>
      <c r="J682" s="2" t="str">
        <f t="shared" si="3"/>
        <v>Roti Cranberry</v>
      </c>
      <c r="K682" s="7">
        <f>if(RIGHT(I682,5)="2 pcs",2,Data!I682)</f>
        <v>2</v>
      </c>
      <c r="L682" s="2" t="str">
        <f t="shared" si="4"/>
        <v>Sunday</v>
      </c>
      <c r="M682" s="2" t="str">
        <f t="shared" si="5"/>
        <v>15</v>
      </c>
      <c r="N682" s="2">
        <f>VLOOKUP(L682,'Data Info'!$A$1:$B$8,2,0)</f>
        <v>7</v>
      </c>
      <c r="O682" s="2" t="str">
        <f>VLOOKUP(L682,'Data Info'!$A$1:$C$8,3,0)</f>
        <v>Weekend</v>
      </c>
    </row>
    <row r="683">
      <c r="A683" s="4">
        <v>45550.65555555555</v>
      </c>
      <c r="B683" s="9">
        <f>IFERROR(__xludf.DUMMYFUNCTION("SPLIT(A683,"" "")"),45550.0)</f>
        <v>45550</v>
      </c>
      <c r="C683" s="10">
        <f>IFERROR(__xludf.DUMMYFUNCTION("""COMPUTED_VALUE"""),0.6555555555555556)</f>
        <v>0.6555555556</v>
      </c>
      <c r="D683" s="2">
        <f t="shared" si="1"/>
        <v>15</v>
      </c>
      <c r="E683" s="2">
        <f>IFERROR(__xludf.DUMMYFUNCTION("SPLIT(B683,""/"")"),15.0)</f>
        <v>15</v>
      </c>
      <c r="F683" s="2">
        <f>IFERROR(__xludf.DUMMYFUNCTION("""COMPUTED_VALUE"""),9.0)</f>
        <v>9</v>
      </c>
      <c r="G683" s="2">
        <f>IFERROR(__xludf.DUMMYFUNCTION("""COMPUTED_VALUE"""),2024.0)</f>
        <v>2024</v>
      </c>
      <c r="H683" s="2" t="str">
        <f t="shared" si="2"/>
        <v>2024/9/15</v>
      </c>
      <c r="I683" s="2" t="s">
        <v>1603</v>
      </c>
      <c r="J683" s="2" t="str">
        <f t="shared" si="3"/>
        <v>Nasi Goreng Temu</v>
      </c>
      <c r="K683" s="7">
        <f>if(RIGHT(I683,5)="2 pcs",2,Data!I683)</f>
        <v>1</v>
      </c>
      <c r="L683" s="2" t="str">
        <f t="shared" si="4"/>
        <v>Sunday</v>
      </c>
      <c r="M683" s="2" t="str">
        <f t="shared" si="5"/>
        <v>15</v>
      </c>
      <c r="N683" s="2">
        <f>VLOOKUP(L683,'Data Info'!$A$1:$B$8,2,0)</f>
        <v>7</v>
      </c>
      <c r="O683" s="2" t="str">
        <f>VLOOKUP(L683,'Data Info'!$A$1:$C$8,3,0)</f>
        <v>Weekend</v>
      </c>
    </row>
    <row r="684">
      <c r="A684" s="4">
        <v>45550.65555555555</v>
      </c>
      <c r="B684" s="9">
        <f>IFERROR(__xludf.DUMMYFUNCTION("SPLIT(A684,"" "")"),45550.0)</f>
        <v>45550</v>
      </c>
      <c r="C684" s="10">
        <f>IFERROR(__xludf.DUMMYFUNCTION("""COMPUTED_VALUE"""),0.6555555555555556)</f>
        <v>0.6555555556</v>
      </c>
      <c r="D684" s="2">
        <f t="shared" si="1"/>
        <v>15</v>
      </c>
      <c r="E684" s="2">
        <f>IFERROR(__xludf.DUMMYFUNCTION("SPLIT(B684,""/"")"),15.0)</f>
        <v>15</v>
      </c>
      <c r="F684" s="2">
        <f>IFERROR(__xludf.DUMMYFUNCTION("""COMPUTED_VALUE"""),9.0)</f>
        <v>9</v>
      </c>
      <c r="G684" s="2">
        <f>IFERROR(__xludf.DUMMYFUNCTION("""COMPUTED_VALUE"""),2024.0)</f>
        <v>2024</v>
      </c>
      <c r="H684" s="2" t="str">
        <f t="shared" si="2"/>
        <v>2024/9/15</v>
      </c>
      <c r="I684" s="2" t="s">
        <v>1573</v>
      </c>
      <c r="J684" s="2" t="str">
        <f t="shared" si="3"/>
        <v>Air mineral</v>
      </c>
      <c r="K684" s="7">
        <f>if(RIGHT(I684,5)="2 pcs",2,Data!I684)</f>
        <v>1</v>
      </c>
      <c r="L684" s="2" t="str">
        <f t="shared" si="4"/>
        <v>Sunday</v>
      </c>
      <c r="M684" s="2" t="str">
        <f t="shared" si="5"/>
        <v>15</v>
      </c>
      <c r="N684" s="2">
        <f>VLOOKUP(L684,'Data Info'!$A$1:$B$8,2,0)</f>
        <v>7</v>
      </c>
      <c r="O684" s="2" t="str">
        <f>VLOOKUP(L684,'Data Info'!$A$1:$C$8,3,0)</f>
        <v>Weekend</v>
      </c>
    </row>
    <row r="685">
      <c r="A685" s="4">
        <v>45550.64513888889</v>
      </c>
      <c r="B685" s="9">
        <f>IFERROR(__xludf.DUMMYFUNCTION("SPLIT(A685,"" "")"),45550.0)</f>
        <v>45550</v>
      </c>
      <c r="C685" s="10">
        <f>IFERROR(__xludf.DUMMYFUNCTION("""COMPUTED_VALUE"""),0.6451388888888889)</f>
        <v>0.6451388889</v>
      </c>
      <c r="D685" s="2">
        <f t="shared" si="1"/>
        <v>15</v>
      </c>
      <c r="E685" s="2">
        <f>IFERROR(__xludf.DUMMYFUNCTION("SPLIT(B685,""/"")"),15.0)</f>
        <v>15</v>
      </c>
      <c r="F685" s="2">
        <f>IFERROR(__xludf.DUMMYFUNCTION("""COMPUTED_VALUE"""),9.0)</f>
        <v>9</v>
      </c>
      <c r="G685" s="2">
        <f>IFERROR(__xludf.DUMMYFUNCTION("""COMPUTED_VALUE"""),2024.0)</f>
        <v>2024</v>
      </c>
      <c r="H685" s="2" t="str">
        <f t="shared" si="2"/>
        <v>2024/9/15</v>
      </c>
      <c r="I685" s="2" t="s">
        <v>1605</v>
      </c>
      <c r="J685" s="2" t="str">
        <f t="shared" si="3"/>
        <v>Kentang Goreng</v>
      </c>
      <c r="K685" s="7">
        <f>if(RIGHT(I685,5)="2 pcs",2,Data!I685)</f>
        <v>1</v>
      </c>
      <c r="L685" s="2" t="str">
        <f t="shared" si="4"/>
        <v>Sunday</v>
      </c>
      <c r="M685" s="2" t="str">
        <f t="shared" si="5"/>
        <v>15</v>
      </c>
      <c r="N685" s="2">
        <f>VLOOKUP(L685,'Data Info'!$A$1:$B$8,2,0)</f>
        <v>7</v>
      </c>
      <c r="O685" s="2" t="str">
        <f>VLOOKUP(L685,'Data Info'!$A$1:$C$8,3,0)</f>
        <v>Weekend</v>
      </c>
    </row>
    <row r="686">
      <c r="A686" s="4">
        <v>45550.64513888889</v>
      </c>
      <c r="B686" s="9">
        <f>IFERROR(__xludf.DUMMYFUNCTION("SPLIT(A686,"" "")"),45550.0)</f>
        <v>45550</v>
      </c>
      <c r="C686" s="10">
        <f>IFERROR(__xludf.DUMMYFUNCTION("""COMPUTED_VALUE"""),0.6451388888888889)</f>
        <v>0.6451388889</v>
      </c>
      <c r="D686" s="2">
        <f t="shared" si="1"/>
        <v>15</v>
      </c>
      <c r="E686" s="2">
        <f>IFERROR(__xludf.DUMMYFUNCTION("SPLIT(B686,""/"")"),15.0)</f>
        <v>15</v>
      </c>
      <c r="F686" s="2">
        <f>IFERROR(__xludf.DUMMYFUNCTION("""COMPUTED_VALUE"""),9.0)</f>
        <v>9</v>
      </c>
      <c r="G686" s="2">
        <f>IFERROR(__xludf.DUMMYFUNCTION("""COMPUTED_VALUE"""),2024.0)</f>
        <v>2024</v>
      </c>
      <c r="H686" s="2" t="str">
        <f t="shared" si="2"/>
        <v>2024/9/15</v>
      </c>
      <c r="I686" s="2" t="s">
        <v>1609</v>
      </c>
      <c r="J686" s="2" t="str">
        <f t="shared" si="3"/>
        <v>Tempe Mendoan</v>
      </c>
      <c r="K686" s="7">
        <f>if(RIGHT(I686,5)="2 pcs",2,Data!I686)</f>
        <v>1</v>
      </c>
      <c r="L686" s="2" t="str">
        <f t="shared" si="4"/>
        <v>Sunday</v>
      </c>
      <c r="M686" s="2" t="str">
        <f t="shared" si="5"/>
        <v>15</v>
      </c>
      <c r="N686" s="2">
        <f>VLOOKUP(L686,'Data Info'!$A$1:$B$8,2,0)</f>
        <v>7</v>
      </c>
      <c r="O686" s="2" t="str">
        <f>VLOOKUP(L686,'Data Info'!$A$1:$C$8,3,0)</f>
        <v>Weekend</v>
      </c>
    </row>
    <row r="687">
      <c r="A687" s="4">
        <v>45550.64513888889</v>
      </c>
      <c r="B687" s="9">
        <f>IFERROR(__xludf.DUMMYFUNCTION("SPLIT(A687,"" "")"),45550.0)</f>
        <v>45550</v>
      </c>
      <c r="C687" s="10">
        <f>IFERROR(__xludf.DUMMYFUNCTION("""COMPUTED_VALUE"""),0.6451388888888889)</f>
        <v>0.6451388889</v>
      </c>
      <c r="D687" s="2">
        <f t="shared" si="1"/>
        <v>15</v>
      </c>
      <c r="E687" s="2">
        <f>IFERROR(__xludf.DUMMYFUNCTION("SPLIT(B687,""/"")"),15.0)</f>
        <v>15</v>
      </c>
      <c r="F687" s="2">
        <f>IFERROR(__xludf.DUMMYFUNCTION("""COMPUTED_VALUE"""),9.0)</f>
        <v>9</v>
      </c>
      <c r="G687" s="2">
        <f>IFERROR(__xludf.DUMMYFUNCTION("""COMPUTED_VALUE"""),2024.0)</f>
        <v>2024</v>
      </c>
      <c r="H687" s="2" t="str">
        <f t="shared" si="2"/>
        <v>2024/9/15</v>
      </c>
      <c r="I687" s="2" t="s">
        <v>1596</v>
      </c>
      <c r="J687" s="2" t="str">
        <f t="shared" si="3"/>
        <v>Roti Cranberry</v>
      </c>
      <c r="K687" s="7">
        <f>if(RIGHT(I687,5)="2 pcs",2,Data!I687)</f>
        <v>2</v>
      </c>
      <c r="L687" s="2" t="str">
        <f t="shared" si="4"/>
        <v>Sunday</v>
      </c>
      <c r="M687" s="2" t="str">
        <f t="shared" si="5"/>
        <v>15</v>
      </c>
      <c r="N687" s="2">
        <f>VLOOKUP(L687,'Data Info'!$A$1:$B$8,2,0)</f>
        <v>7</v>
      </c>
      <c r="O687" s="2" t="str">
        <f>VLOOKUP(L687,'Data Info'!$A$1:$C$8,3,0)</f>
        <v>Weekend</v>
      </c>
    </row>
    <row r="688">
      <c r="A688" s="4">
        <v>45550.6375</v>
      </c>
      <c r="B688" s="9">
        <f>IFERROR(__xludf.DUMMYFUNCTION("SPLIT(A688,"" "")"),45550.0)</f>
        <v>45550</v>
      </c>
      <c r="C688" s="10">
        <f>IFERROR(__xludf.DUMMYFUNCTION("""COMPUTED_VALUE"""),0.6375)</f>
        <v>0.6375</v>
      </c>
      <c r="D688" s="2">
        <f t="shared" si="1"/>
        <v>15</v>
      </c>
      <c r="E688" s="2">
        <f>IFERROR(__xludf.DUMMYFUNCTION("SPLIT(B688,""/"")"),15.0)</f>
        <v>15</v>
      </c>
      <c r="F688" s="2">
        <f>IFERROR(__xludf.DUMMYFUNCTION("""COMPUTED_VALUE"""),9.0)</f>
        <v>9</v>
      </c>
      <c r="G688" s="2">
        <f>IFERROR(__xludf.DUMMYFUNCTION("""COMPUTED_VALUE"""),2024.0)</f>
        <v>2024</v>
      </c>
      <c r="H688" s="2" t="str">
        <f t="shared" si="2"/>
        <v>2024/9/15</v>
      </c>
      <c r="I688" s="2" t="s">
        <v>1611</v>
      </c>
      <c r="J688" s="2" t="str">
        <f t="shared" si="3"/>
        <v>Beef Claypot Rice</v>
      </c>
      <c r="K688" s="7">
        <f>if(RIGHT(I688,5)="2 pcs",2,Data!I688)</f>
        <v>3</v>
      </c>
      <c r="L688" s="2" t="str">
        <f t="shared" si="4"/>
        <v>Sunday</v>
      </c>
      <c r="M688" s="2" t="str">
        <f t="shared" si="5"/>
        <v>15</v>
      </c>
      <c r="N688" s="2">
        <f>VLOOKUP(L688,'Data Info'!$A$1:$B$8,2,0)</f>
        <v>7</v>
      </c>
      <c r="O688" s="2" t="str">
        <f>VLOOKUP(L688,'Data Info'!$A$1:$C$8,3,0)</f>
        <v>Weekend</v>
      </c>
    </row>
    <row r="689">
      <c r="A689" s="4">
        <v>45550.6375</v>
      </c>
      <c r="B689" s="9">
        <f>IFERROR(__xludf.DUMMYFUNCTION("SPLIT(A689,"" "")"),45550.0)</f>
        <v>45550</v>
      </c>
      <c r="C689" s="10">
        <f>IFERROR(__xludf.DUMMYFUNCTION("""COMPUTED_VALUE"""),0.6375)</f>
        <v>0.6375</v>
      </c>
      <c r="D689" s="2">
        <f t="shared" si="1"/>
        <v>15</v>
      </c>
      <c r="E689" s="2">
        <f>IFERROR(__xludf.DUMMYFUNCTION("SPLIT(B689,""/"")"),15.0)</f>
        <v>15</v>
      </c>
      <c r="F689" s="2">
        <f>IFERROR(__xludf.DUMMYFUNCTION("""COMPUTED_VALUE"""),9.0)</f>
        <v>9</v>
      </c>
      <c r="G689" s="2">
        <f>IFERROR(__xludf.DUMMYFUNCTION("""COMPUTED_VALUE"""),2024.0)</f>
        <v>2024</v>
      </c>
      <c r="H689" s="2" t="str">
        <f t="shared" si="2"/>
        <v>2024/9/15</v>
      </c>
      <c r="I689" s="2" t="s">
        <v>1609</v>
      </c>
      <c r="J689" s="2" t="str">
        <f t="shared" si="3"/>
        <v>Tempe Mendoan</v>
      </c>
      <c r="K689" s="7">
        <f>if(RIGHT(I689,5)="2 pcs",2,Data!I689)</f>
        <v>1</v>
      </c>
      <c r="L689" s="2" t="str">
        <f t="shared" si="4"/>
        <v>Sunday</v>
      </c>
      <c r="M689" s="2" t="str">
        <f t="shared" si="5"/>
        <v>15</v>
      </c>
      <c r="N689" s="2">
        <f>VLOOKUP(L689,'Data Info'!$A$1:$B$8,2,0)</f>
        <v>7</v>
      </c>
      <c r="O689" s="2" t="str">
        <f>VLOOKUP(L689,'Data Info'!$A$1:$C$8,3,0)</f>
        <v>Weekend</v>
      </c>
    </row>
    <row r="690">
      <c r="A690" s="4">
        <v>45550.6375</v>
      </c>
      <c r="B690" s="9">
        <f>IFERROR(__xludf.DUMMYFUNCTION("SPLIT(A690,"" "")"),45550.0)</f>
        <v>45550</v>
      </c>
      <c r="C690" s="10">
        <f>IFERROR(__xludf.DUMMYFUNCTION("""COMPUTED_VALUE"""),0.6375)</f>
        <v>0.6375</v>
      </c>
      <c r="D690" s="2">
        <f t="shared" si="1"/>
        <v>15</v>
      </c>
      <c r="E690" s="2">
        <f>IFERROR(__xludf.DUMMYFUNCTION("SPLIT(B690,""/"")"),15.0)</f>
        <v>15</v>
      </c>
      <c r="F690" s="2">
        <f>IFERROR(__xludf.DUMMYFUNCTION("""COMPUTED_VALUE"""),9.0)</f>
        <v>9</v>
      </c>
      <c r="G690" s="2">
        <f>IFERROR(__xludf.DUMMYFUNCTION("""COMPUTED_VALUE"""),2024.0)</f>
        <v>2024</v>
      </c>
      <c r="H690" s="2" t="str">
        <f t="shared" si="2"/>
        <v>2024/9/15</v>
      </c>
      <c r="I690" s="2" t="s">
        <v>1582</v>
      </c>
      <c r="J690" s="2" t="str">
        <f t="shared" si="3"/>
        <v>Teh Tawar Dingin</v>
      </c>
      <c r="K690" s="7">
        <f>if(RIGHT(I690,5)="2 pcs",2,Data!I690)</f>
        <v>1</v>
      </c>
      <c r="L690" s="2" t="str">
        <f t="shared" si="4"/>
        <v>Sunday</v>
      </c>
      <c r="M690" s="2" t="str">
        <f t="shared" si="5"/>
        <v>15</v>
      </c>
      <c r="N690" s="2">
        <f>VLOOKUP(L690,'Data Info'!$A$1:$B$8,2,0)</f>
        <v>7</v>
      </c>
      <c r="O690" s="2" t="str">
        <f>VLOOKUP(L690,'Data Info'!$A$1:$C$8,3,0)</f>
        <v>Weekend</v>
      </c>
    </row>
    <row r="691">
      <c r="A691" s="4">
        <v>45550.6375</v>
      </c>
      <c r="B691" s="9">
        <f>IFERROR(__xludf.DUMMYFUNCTION("SPLIT(A691,"" "")"),45550.0)</f>
        <v>45550</v>
      </c>
      <c r="C691" s="10">
        <f>IFERROR(__xludf.DUMMYFUNCTION("""COMPUTED_VALUE"""),0.6375)</f>
        <v>0.6375</v>
      </c>
      <c r="D691" s="2">
        <f t="shared" si="1"/>
        <v>15</v>
      </c>
      <c r="E691" s="2">
        <f>IFERROR(__xludf.DUMMYFUNCTION("SPLIT(B691,""/"")"),15.0)</f>
        <v>15</v>
      </c>
      <c r="F691" s="2">
        <f>IFERROR(__xludf.DUMMYFUNCTION("""COMPUTED_VALUE"""),9.0)</f>
        <v>9</v>
      </c>
      <c r="G691" s="2">
        <f>IFERROR(__xludf.DUMMYFUNCTION("""COMPUTED_VALUE"""),2024.0)</f>
        <v>2024</v>
      </c>
      <c r="H691" s="2" t="str">
        <f t="shared" si="2"/>
        <v>2024/9/15</v>
      </c>
      <c r="I691" s="2" t="s">
        <v>1604</v>
      </c>
      <c r="J691" s="2" t="str">
        <f t="shared" si="3"/>
        <v>Teh Tawar Panas</v>
      </c>
      <c r="K691" s="7">
        <f>if(RIGHT(I691,5)="2 pcs",2,Data!I691)</f>
        <v>1</v>
      </c>
      <c r="L691" s="2" t="str">
        <f t="shared" si="4"/>
        <v>Sunday</v>
      </c>
      <c r="M691" s="2" t="str">
        <f t="shared" si="5"/>
        <v>15</v>
      </c>
      <c r="N691" s="2">
        <f>VLOOKUP(L691,'Data Info'!$A$1:$B$8,2,0)</f>
        <v>7</v>
      </c>
      <c r="O691" s="2" t="str">
        <f>VLOOKUP(L691,'Data Info'!$A$1:$C$8,3,0)</f>
        <v>Weekend</v>
      </c>
    </row>
    <row r="692">
      <c r="A692" s="4">
        <v>45550.63055555556</v>
      </c>
      <c r="B692" s="9">
        <f>IFERROR(__xludf.DUMMYFUNCTION("SPLIT(A692,"" "")"),45550.0)</f>
        <v>45550</v>
      </c>
      <c r="C692" s="10">
        <f>IFERROR(__xludf.DUMMYFUNCTION("""COMPUTED_VALUE"""),0.6305555555555555)</f>
        <v>0.6305555556</v>
      </c>
      <c r="D692" s="2">
        <f t="shared" si="1"/>
        <v>15</v>
      </c>
      <c r="E692" s="2">
        <f>IFERROR(__xludf.DUMMYFUNCTION("SPLIT(B692,""/"")"),15.0)</f>
        <v>15</v>
      </c>
      <c r="F692" s="2">
        <f>IFERROR(__xludf.DUMMYFUNCTION("""COMPUTED_VALUE"""),9.0)</f>
        <v>9</v>
      </c>
      <c r="G692" s="2">
        <f>IFERROR(__xludf.DUMMYFUNCTION("""COMPUTED_VALUE"""),2024.0)</f>
        <v>2024</v>
      </c>
      <c r="H692" s="2" t="str">
        <f t="shared" si="2"/>
        <v>2024/9/15</v>
      </c>
      <c r="I692" s="2" t="s">
        <v>1591</v>
      </c>
      <c r="J692" s="2" t="str">
        <f t="shared" si="3"/>
        <v>Kopi cur</v>
      </c>
      <c r="K692" s="7">
        <f>if(RIGHT(I692,5)="2 pcs",2,Data!I692)</f>
        <v>1</v>
      </c>
      <c r="L692" s="2" t="str">
        <f t="shared" si="4"/>
        <v>Sunday</v>
      </c>
      <c r="M692" s="2" t="str">
        <f t="shared" si="5"/>
        <v>15</v>
      </c>
      <c r="N692" s="2">
        <f>VLOOKUP(L692,'Data Info'!$A$1:$B$8,2,0)</f>
        <v>7</v>
      </c>
      <c r="O692" s="2" t="str">
        <f>VLOOKUP(L692,'Data Info'!$A$1:$C$8,3,0)</f>
        <v>Weekend</v>
      </c>
    </row>
    <row r="693">
      <c r="A693" s="4">
        <v>45550.63055555556</v>
      </c>
      <c r="B693" s="9">
        <f>IFERROR(__xludf.DUMMYFUNCTION("SPLIT(A693,"" "")"),45550.0)</f>
        <v>45550</v>
      </c>
      <c r="C693" s="10">
        <f>IFERROR(__xludf.DUMMYFUNCTION("""COMPUTED_VALUE"""),0.6305555555555555)</f>
        <v>0.6305555556</v>
      </c>
      <c r="D693" s="2">
        <f t="shared" si="1"/>
        <v>15</v>
      </c>
      <c r="E693" s="2">
        <f>IFERROR(__xludf.DUMMYFUNCTION("SPLIT(B693,""/"")"),15.0)</f>
        <v>15</v>
      </c>
      <c r="F693" s="2">
        <f>IFERROR(__xludf.DUMMYFUNCTION("""COMPUTED_VALUE"""),9.0)</f>
        <v>9</v>
      </c>
      <c r="G693" s="2">
        <f>IFERROR(__xludf.DUMMYFUNCTION("""COMPUTED_VALUE"""),2024.0)</f>
        <v>2024</v>
      </c>
      <c r="H693" s="2" t="str">
        <f t="shared" si="2"/>
        <v>2024/9/15</v>
      </c>
      <c r="I693" s="2" t="s">
        <v>1577</v>
      </c>
      <c r="J693" s="2" t="str">
        <f t="shared" si="3"/>
        <v>Rempah Madu Panas</v>
      </c>
      <c r="K693" s="7">
        <f>if(RIGHT(I693,5)="2 pcs",2,Data!I693)</f>
        <v>1</v>
      </c>
      <c r="L693" s="2" t="str">
        <f t="shared" si="4"/>
        <v>Sunday</v>
      </c>
      <c r="M693" s="2" t="str">
        <f t="shared" si="5"/>
        <v>15</v>
      </c>
      <c r="N693" s="2">
        <f>VLOOKUP(L693,'Data Info'!$A$1:$B$8,2,0)</f>
        <v>7</v>
      </c>
      <c r="O693" s="2" t="str">
        <f>VLOOKUP(L693,'Data Info'!$A$1:$C$8,3,0)</f>
        <v>Weekend</v>
      </c>
    </row>
    <row r="694">
      <c r="A694" s="4">
        <v>45550.63055555556</v>
      </c>
      <c r="B694" s="9">
        <f>IFERROR(__xludf.DUMMYFUNCTION("SPLIT(A694,"" "")"),45550.0)</f>
        <v>45550</v>
      </c>
      <c r="C694" s="10">
        <f>IFERROR(__xludf.DUMMYFUNCTION("""COMPUTED_VALUE"""),0.6305555555555555)</f>
        <v>0.6305555556</v>
      </c>
      <c r="D694" s="2">
        <f t="shared" si="1"/>
        <v>15</v>
      </c>
      <c r="E694" s="2">
        <f>IFERROR(__xludf.DUMMYFUNCTION("SPLIT(B694,""/"")"),15.0)</f>
        <v>15</v>
      </c>
      <c r="F694" s="2">
        <f>IFERROR(__xludf.DUMMYFUNCTION("""COMPUTED_VALUE"""),9.0)</f>
        <v>9</v>
      </c>
      <c r="G694" s="2">
        <f>IFERROR(__xludf.DUMMYFUNCTION("""COMPUTED_VALUE"""),2024.0)</f>
        <v>2024</v>
      </c>
      <c r="H694" s="2" t="str">
        <f t="shared" si="2"/>
        <v>2024/9/15</v>
      </c>
      <c r="I694" s="2" t="s">
        <v>1597</v>
      </c>
      <c r="J694" s="2" t="str">
        <f t="shared" si="3"/>
        <v>Roti Gandum Cokelat</v>
      </c>
      <c r="K694" s="7">
        <f>if(RIGHT(I694,5)="2 pcs",2,Data!I694)</f>
        <v>2</v>
      </c>
      <c r="L694" s="2" t="str">
        <f t="shared" si="4"/>
        <v>Sunday</v>
      </c>
      <c r="M694" s="2" t="str">
        <f t="shared" si="5"/>
        <v>15</v>
      </c>
      <c r="N694" s="2">
        <f>VLOOKUP(L694,'Data Info'!$A$1:$B$8,2,0)</f>
        <v>7</v>
      </c>
      <c r="O694" s="2" t="str">
        <f>VLOOKUP(L694,'Data Info'!$A$1:$C$8,3,0)</f>
        <v>Weekend</v>
      </c>
    </row>
    <row r="695">
      <c r="A695" s="4">
        <v>45550.614583333336</v>
      </c>
      <c r="B695" s="9">
        <f>IFERROR(__xludf.DUMMYFUNCTION("SPLIT(A695,"" "")"),45550.0)</f>
        <v>45550</v>
      </c>
      <c r="C695" s="10">
        <f>IFERROR(__xludf.DUMMYFUNCTION("""COMPUTED_VALUE"""),0.6145833333333334)</f>
        <v>0.6145833333</v>
      </c>
      <c r="D695" s="2">
        <f t="shared" si="1"/>
        <v>14</v>
      </c>
      <c r="E695" s="2">
        <f>IFERROR(__xludf.DUMMYFUNCTION("SPLIT(B695,""/"")"),15.0)</f>
        <v>15</v>
      </c>
      <c r="F695" s="2">
        <f>IFERROR(__xludf.DUMMYFUNCTION("""COMPUTED_VALUE"""),9.0)</f>
        <v>9</v>
      </c>
      <c r="G695" s="2">
        <f>IFERROR(__xludf.DUMMYFUNCTION("""COMPUTED_VALUE"""),2024.0)</f>
        <v>2024</v>
      </c>
      <c r="H695" s="2" t="str">
        <f t="shared" si="2"/>
        <v>2024/9/15</v>
      </c>
      <c r="I695" s="2" t="s">
        <v>1576</v>
      </c>
      <c r="J695" s="2" t="str">
        <f t="shared" si="3"/>
        <v>Roti Cranberry</v>
      </c>
      <c r="K695" s="7">
        <f>if(RIGHT(I695,5)="2 pcs",2,Data!I695)</f>
        <v>1</v>
      </c>
      <c r="L695" s="2" t="str">
        <f t="shared" si="4"/>
        <v>Sunday</v>
      </c>
      <c r="M695" s="2" t="str">
        <f t="shared" si="5"/>
        <v>15</v>
      </c>
      <c r="N695" s="2">
        <f>VLOOKUP(L695,'Data Info'!$A$1:$B$8,2,0)</f>
        <v>7</v>
      </c>
      <c r="O695" s="2" t="str">
        <f>VLOOKUP(L695,'Data Info'!$A$1:$C$8,3,0)</f>
        <v>Weekend</v>
      </c>
    </row>
    <row r="696">
      <c r="A696" s="4">
        <v>45550.614583333336</v>
      </c>
      <c r="B696" s="9">
        <f>IFERROR(__xludf.DUMMYFUNCTION("SPLIT(A696,"" "")"),45550.0)</f>
        <v>45550</v>
      </c>
      <c r="C696" s="10">
        <f>IFERROR(__xludf.DUMMYFUNCTION("""COMPUTED_VALUE"""),0.6145833333333334)</f>
        <v>0.6145833333</v>
      </c>
      <c r="D696" s="2">
        <f t="shared" si="1"/>
        <v>14</v>
      </c>
      <c r="E696" s="2">
        <f>IFERROR(__xludf.DUMMYFUNCTION("SPLIT(B696,""/"")"),15.0)</f>
        <v>15</v>
      </c>
      <c r="F696" s="2">
        <f>IFERROR(__xludf.DUMMYFUNCTION("""COMPUTED_VALUE"""),9.0)</f>
        <v>9</v>
      </c>
      <c r="G696" s="2">
        <f>IFERROR(__xludf.DUMMYFUNCTION("""COMPUTED_VALUE"""),2024.0)</f>
        <v>2024</v>
      </c>
      <c r="H696" s="2" t="str">
        <f t="shared" si="2"/>
        <v>2024/9/15</v>
      </c>
      <c r="I696" s="2" t="s">
        <v>1583</v>
      </c>
      <c r="J696" s="2" t="str">
        <f t="shared" si="3"/>
        <v>Es Kopi Lemon</v>
      </c>
      <c r="K696" s="7">
        <f>if(RIGHT(I696,5)="2 pcs",2,Data!I696)</f>
        <v>2</v>
      </c>
      <c r="L696" s="2" t="str">
        <f t="shared" si="4"/>
        <v>Sunday</v>
      </c>
      <c r="M696" s="2" t="str">
        <f t="shared" si="5"/>
        <v>15</v>
      </c>
      <c r="N696" s="2">
        <f>VLOOKUP(L696,'Data Info'!$A$1:$B$8,2,0)</f>
        <v>7</v>
      </c>
      <c r="O696" s="2" t="str">
        <f>VLOOKUP(L696,'Data Info'!$A$1:$C$8,3,0)</f>
        <v>Weekend</v>
      </c>
    </row>
    <row r="697">
      <c r="A697" s="4">
        <v>45550.55069444444</v>
      </c>
      <c r="B697" s="9">
        <f>IFERROR(__xludf.DUMMYFUNCTION("SPLIT(A697,"" "")"),45550.0)</f>
        <v>45550</v>
      </c>
      <c r="C697" s="10">
        <f>IFERROR(__xludf.DUMMYFUNCTION("""COMPUTED_VALUE"""),0.5506944444444445)</f>
        <v>0.5506944444</v>
      </c>
      <c r="D697" s="2">
        <f t="shared" si="1"/>
        <v>13</v>
      </c>
      <c r="E697" s="2">
        <f>IFERROR(__xludf.DUMMYFUNCTION("SPLIT(B697,""/"")"),15.0)</f>
        <v>15</v>
      </c>
      <c r="F697" s="2">
        <f>IFERROR(__xludf.DUMMYFUNCTION("""COMPUTED_VALUE"""),9.0)</f>
        <v>9</v>
      </c>
      <c r="G697" s="2">
        <f>IFERROR(__xludf.DUMMYFUNCTION("""COMPUTED_VALUE"""),2024.0)</f>
        <v>2024</v>
      </c>
      <c r="H697" s="2" t="str">
        <f t="shared" si="2"/>
        <v>2024/9/15</v>
      </c>
      <c r="I697" s="2" t="s">
        <v>1617</v>
      </c>
      <c r="J697" s="2" t="str">
        <f t="shared" si="3"/>
        <v>Lemon Tea Dingin</v>
      </c>
      <c r="K697" s="7">
        <f>if(RIGHT(I697,5)="2 pcs",2,Data!I697)</f>
        <v>1</v>
      </c>
      <c r="L697" s="2" t="str">
        <f t="shared" si="4"/>
        <v>Sunday</v>
      </c>
      <c r="M697" s="2" t="str">
        <f t="shared" si="5"/>
        <v>15</v>
      </c>
      <c r="N697" s="2">
        <f>VLOOKUP(L697,'Data Info'!$A$1:$B$8,2,0)</f>
        <v>7</v>
      </c>
      <c r="O697" s="2" t="str">
        <f>VLOOKUP(L697,'Data Info'!$A$1:$C$8,3,0)</f>
        <v>Weekend</v>
      </c>
    </row>
    <row r="698">
      <c r="A698" s="4">
        <v>45550.55069444444</v>
      </c>
      <c r="B698" s="9">
        <f>IFERROR(__xludf.DUMMYFUNCTION("SPLIT(A698,"" "")"),45550.0)</f>
        <v>45550</v>
      </c>
      <c r="C698" s="10">
        <f>IFERROR(__xludf.DUMMYFUNCTION("""COMPUTED_VALUE"""),0.5506944444444445)</f>
        <v>0.5506944444</v>
      </c>
      <c r="D698" s="2">
        <f t="shared" si="1"/>
        <v>13</v>
      </c>
      <c r="E698" s="2">
        <f>IFERROR(__xludf.DUMMYFUNCTION("SPLIT(B698,""/"")"),15.0)</f>
        <v>15</v>
      </c>
      <c r="F698" s="2">
        <f>IFERROR(__xludf.DUMMYFUNCTION("""COMPUTED_VALUE"""),9.0)</f>
        <v>9</v>
      </c>
      <c r="G698" s="2">
        <f>IFERROR(__xludf.DUMMYFUNCTION("""COMPUTED_VALUE"""),2024.0)</f>
        <v>2024</v>
      </c>
      <c r="H698" s="2" t="str">
        <f t="shared" si="2"/>
        <v>2024/9/15</v>
      </c>
      <c r="I698" s="2" t="s">
        <v>1598</v>
      </c>
      <c r="J698" s="2" t="str">
        <f t="shared" si="3"/>
        <v>Korean Strawberry Fresh Milk</v>
      </c>
      <c r="K698" s="7">
        <f>if(RIGHT(I698,5)="2 pcs",2,Data!I698)</f>
        <v>1</v>
      </c>
      <c r="L698" s="2" t="str">
        <f t="shared" si="4"/>
        <v>Sunday</v>
      </c>
      <c r="M698" s="2" t="str">
        <f t="shared" si="5"/>
        <v>15</v>
      </c>
      <c r="N698" s="2">
        <f>VLOOKUP(L698,'Data Info'!$A$1:$B$8,2,0)</f>
        <v>7</v>
      </c>
      <c r="O698" s="2" t="str">
        <f>VLOOKUP(L698,'Data Info'!$A$1:$C$8,3,0)</f>
        <v>Weekend</v>
      </c>
    </row>
    <row r="699">
      <c r="A699" s="4">
        <v>45550.55069444444</v>
      </c>
      <c r="B699" s="9">
        <f>IFERROR(__xludf.DUMMYFUNCTION("SPLIT(A699,"" "")"),45550.0)</f>
        <v>45550</v>
      </c>
      <c r="C699" s="10">
        <f>IFERROR(__xludf.DUMMYFUNCTION("""COMPUTED_VALUE"""),0.5506944444444445)</f>
        <v>0.5506944444</v>
      </c>
      <c r="D699" s="2">
        <f t="shared" si="1"/>
        <v>13</v>
      </c>
      <c r="E699" s="2">
        <f>IFERROR(__xludf.DUMMYFUNCTION("SPLIT(B699,""/"")"),15.0)</f>
        <v>15</v>
      </c>
      <c r="F699" s="2">
        <f>IFERROR(__xludf.DUMMYFUNCTION("""COMPUTED_VALUE"""),9.0)</f>
        <v>9</v>
      </c>
      <c r="G699" s="2">
        <f>IFERROR(__xludf.DUMMYFUNCTION("""COMPUTED_VALUE"""),2024.0)</f>
        <v>2024</v>
      </c>
      <c r="H699" s="2" t="str">
        <f t="shared" si="2"/>
        <v>2024/9/15</v>
      </c>
      <c r="I699" s="2" t="s">
        <v>1573</v>
      </c>
      <c r="J699" s="2" t="str">
        <f t="shared" si="3"/>
        <v>Air mineral</v>
      </c>
      <c r="K699" s="7">
        <f>if(RIGHT(I699,5)="2 pcs",2,Data!I699)</f>
        <v>1</v>
      </c>
      <c r="L699" s="2" t="str">
        <f t="shared" si="4"/>
        <v>Sunday</v>
      </c>
      <c r="M699" s="2" t="str">
        <f t="shared" si="5"/>
        <v>15</v>
      </c>
      <c r="N699" s="2">
        <f>VLOOKUP(L699,'Data Info'!$A$1:$B$8,2,0)</f>
        <v>7</v>
      </c>
      <c r="O699" s="2" t="str">
        <f>VLOOKUP(L699,'Data Info'!$A$1:$C$8,3,0)</f>
        <v>Weekend</v>
      </c>
    </row>
    <row r="700">
      <c r="A700" s="4">
        <v>45550.55069444444</v>
      </c>
      <c r="B700" s="9">
        <f>IFERROR(__xludf.DUMMYFUNCTION("SPLIT(A700,"" "")"),45550.0)</f>
        <v>45550</v>
      </c>
      <c r="C700" s="10">
        <f>IFERROR(__xludf.DUMMYFUNCTION("""COMPUTED_VALUE"""),0.5506944444444445)</f>
        <v>0.5506944444</v>
      </c>
      <c r="D700" s="2">
        <f t="shared" si="1"/>
        <v>13</v>
      </c>
      <c r="E700" s="2">
        <f>IFERROR(__xludf.DUMMYFUNCTION("SPLIT(B700,""/"")"),15.0)</f>
        <v>15</v>
      </c>
      <c r="F700" s="2">
        <f>IFERROR(__xludf.DUMMYFUNCTION("""COMPUTED_VALUE"""),9.0)</f>
        <v>9</v>
      </c>
      <c r="G700" s="2">
        <f>IFERROR(__xludf.DUMMYFUNCTION("""COMPUTED_VALUE"""),2024.0)</f>
        <v>2024</v>
      </c>
      <c r="H700" s="2" t="str">
        <f t="shared" si="2"/>
        <v>2024/9/15</v>
      </c>
      <c r="I700" s="2" t="s">
        <v>1587</v>
      </c>
      <c r="J700" s="2" t="str">
        <f t="shared" si="3"/>
        <v>Tahu Lada Garam</v>
      </c>
      <c r="K700" s="7">
        <f>if(RIGHT(I700,5)="2 pcs",2,Data!I700)</f>
        <v>1</v>
      </c>
      <c r="L700" s="2" t="str">
        <f t="shared" si="4"/>
        <v>Sunday</v>
      </c>
      <c r="M700" s="2" t="str">
        <f t="shared" si="5"/>
        <v>15</v>
      </c>
      <c r="N700" s="2">
        <f>VLOOKUP(L700,'Data Info'!$A$1:$B$8,2,0)</f>
        <v>7</v>
      </c>
      <c r="O700" s="2" t="str">
        <f>VLOOKUP(L700,'Data Info'!$A$1:$C$8,3,0)</f>
        <v>Weekend</v>
      </c>
    </row>
    <row r="701">
      <c r="A701" s="4">
        <v>45550.55069444444</v>
      </c>
      <c r="B701" s="9">
        <f>IFERROR(__xludf.DUMMYFUNCTION("SPLIT(A701,"" "")"),45550.0)</f>
        <v>45550</v>
      </c>
      <c r="C701" s="10">
        <f>IFERROR(__xludf.DUMMYFUNCTION("""COMPUTED_VALUE"""),0.5506944444444445)</f>
        <v>0.5506944444</v>
      </c>
      <c r="D701" s="2">
        <f t="shared" si="1"/>
        <v>13</v>
      </c>
      <c r="E701" s="2">
        <f>IFERROR(__xludf.DUMMYFUNCTION("SPLIT(B701,""/"")"),15.0)</f>
        <v>15</v>
      </c>
      <c r="F701" s="2">
        <f>IFERROR(__xludf.DUMMYFUNCTION("""COMPUTED_VALUE"""),9.0)</f>
        <v>9</v>
      </c>
      <c r="G701" s="2">
        <f>IFERROR(__xludf.DUMMYFUNCTION("""COMPUTED_VALUE"""),2024.0)</f>
        <v>2024</v>
      </c>
      <c r="H701" s="2" t="str">
        <f t="shared" si="2"/>
        <v>2024/9/15</v>
      </c>
      <c r="I701" s="2" t="s">
        <v>1586</v>
      </c>
      <c r="J701" s="2" t="str">
        <f t="shared" si="3"/>
        <v>Jamur Enoki Krispi</v>
      </c>
      <c r="K701" s="7">
        <f>if(RIGHT(I701,5)="2 pcs",2,Data!I701)</f>
        <v>1</v>
      </c>
      <c r="L701" s="2" t="str">
        <f t="shared" si="4"/>
        <v>Sunday</v>
      </c>
      <c r="M701" s="2" t="str">
        <f t="shared" si="5"/>
        <v>15</v>
      </c>
      <c r="N701" s="2">
        <f>VLOOKUP(L701,'Data Info'!$A$1:$B$8,2,0)</f>
        <v>7</v>
      </c>
      <c r="O701" s="2" t="str">
        <f>VLOOKUP(L701,'Data Info'!$A$1:$C$8,3,0)</f>
        <v>Weekend</v>
      </c>
    </row>
    <row r="702">
      <c r="A702" s="4">
        <v>45550.518055555556</v>
      </c>
      <c r="B702" s="9">
        <f>IFERROR(__xludf.DUMMYFUNCTION("SPLIT(A702,"" "")"),45550.0)</f>
        <v>45550</v>
      </c>
      <c r="C702" s="10">
        <f>IFERROR(__xludf.DUMMYFUNCTION("""COMPUTED_VALUE"""),0.5180555555555556)</f>
        <v>0.5180555556</v>
      </c>
      <c r="D702" s="2">
        <f t="shared" si="1"/>
        <v>12</v>
      </c>
      <c r="E702" s="2">
        <f>IFERROR(__xludf.DUMMYFUNCTION("SPLIT(B702,""/"")"),15.0)</f>
        <v>15</v>
      </c>
      <c r="F702" s="2">
        <f>IFERROR(__xludf.DUMMYFUNCTION("""COMPUTED_VALUE"""),9.0)</f>
        <v>9</v>
      </c>
      <c r="G702" s="2">
        <f>IFERROR(__xludf.DUMMYFUNCTION("""COMPUTED_VALUE"""),2024.0)</f>
        <v>2024</v>
      </c>
      <c r="H702" s="2" t="str">
        <f t="shared" si="2"/>
        <v>2024/9/15</v>
      </c>
      <c r="I702" s="2" t="s">
        <v>1626</v>
      </c>
      <c r="J702" s="2" t="str">
        <f t="shared" si="3"/>
        <v>Kopi Arabica Bubuk 150gr</v>
      </c>
      <c r="K702" s="7">
        <f>if(RIGHT(I702,5)="2 pcs",2,Data!I702)</f>
        <v>1</v>
      </c>
      <c r="L702" s="2" t="str">
        <f t="shared" si="4"/>
        <v>Sunday</v>
      </c>
      <c r="M702" s="2" t="str">
        <f t="shared" si="5"/>
        <v>15</v>
      </c>
      <c r="N702" s="2">
        <f>VLOOKUP(L702,'Data Info'!$A$1:$B$8,2,0)</f>
        <v>7</v>
      </c>
      <c r="O702" s="2" t="str">
        <f>VLOOKUP(L702,'Data Info'!$A$1:$C$8,3,0)</f>
        <v>Weekend</v>
      </c>
    </row>
    <row r="703">
      <c r="A703" s="4">
        <v>45550.510416666664</v>
      </c>
      <c r="B703" s="9">
        <f>IFERROR(__xludf.DUMMYFUNCTION("SPLIT(A703,"" "")"),45550.0)</f>
        <v>45550</v>
      </c>
      <c r="C703" s="10">
        <f>IFERROR(__xludf.DUMMYFUNCTION("""COMPUTED_VALUE"""),0.5104166666666666)</f>
        <v>0.5104166667</v>
      </c>
      <c r="D703" s="2">
        <f t="shared" si="1"/>
        <v>12</v>
      </c>
      <c r="E703" s="2">
        <f>IFERROR(__xludf.DUMMYFUNCTION("SPLIT(B703,""/"")"),15.0)</f>
        <v>15</v>
      </c>
      <c r="F703" s="2">
        <f>IFERROR(__xludf.DUMMYFUNCTION("""COMPUTED_VALUE"""),9.0)</f>
        <v>9</v>
      </c>
      <c r="G703" s="2">
        <f>IFERROR(__xludf.DUMMYFUNCTION("""COMPUTED_VALUE"""),2024.0)</f>
        <v>2024</v>
      </c>
      <c r="H703" s="2" t="str">
        <f t="shared" si="2"/>
        <v>2024/9/15</v>
      </c>
      <c r="I703" s="2" t="s">
        <v>1576</v>
      </c>
      <c r="J703" s="2" t="str">
        <f t="shared" si="3"/>
        <v>Roti Cranberry</v>
      </c>
      <c r="K703" s="7">
        <f>if(RIGHT(I703,5)="2 pcs",2,Data!I703)</f>
        <v>1</v>
      </c>
      <c r="L703" s="2" t="str">
        <f t="shared" si="4"/>
        <v>Sunday</v>
      </c>
      <c r="M703" s="2" t="str">
        <f t="shared" si="5"/>
        <v>15</v>
      </c>
      <c r="N703" s="2">
        <f>VLOOKUP(L703,'Data Info'!$A$1:$B$8,2,0)</f>
        <v>7</v>
      </c>
      <c r="O703" s="2" t="str">
        <f>VLOOKUP(L703,'Data Info'!$A$1:$C$8,3,0)</f>
        <v>Weekend</v>
      </c>
    </row>
    <row r="704">
      <c r="A704" s="4">
        <v>45550.504166666666</v>
      </c>
      <c r="B704" s="9">
        <f>IFERROR(__xludf.DUMMYFUNCTION("SPLIT(A704,"" "")"),45550.0)</f>
        <v>45550</v>
      </c>
      <c r="C704" s="10">
        <f>IFERROR(__xludf.DUMMYFUNCTION("""COMPUTED_VALUE"""),0.5041666666666667)</f>
        <v>0.5041666667</v>
      </c>
      <c r="D704" s="2">
        <f t="shared" si="1"/>
        <v>12</v>
      </c>
      <c r="E704" s="2">
        <f>IFERROR(__xludf.DUMMYFUNCTION("SPLIT(B704,""/"")"),15.0)</f>
        <v>15</v>
      </c>
      <c r="F704" s="2">
        <f>IFERROR(__xludf.DUMMYFUNCTION("""COMPUTED_VALUE"""),9.0)</f>
        <v>9</v>
      </c>
      <c r="G704" s="2">
        <f>IFERROR(__xludf.DUMMYFUNCTION("""COMPUTED_VALUE"""),2024.0)</f>
        <v>2024</v>
      </c>
      <c r="H704" s="2" t="str">
        <f t="shared" si="2"/>
        <v>2024/9/15</v>
      </c>
      <c r="I704" s="2" t="s">
        <v>1576</v>
      </c>
      <c r="J704" s="2" t="str">
        <f t="shared" si="3"/>
        <v>Roti Cranberry</v>
      </c>
      <c r="K704" s="7">
        <f>if(RIGHT(I704,5)="2 pcs",2,Data!I704)</f>
        <v>1</v>
      </c>
      <c r="L704" s="2" t="str">
        <f t="shared" si="4"/>
        <v>Sunday</v>
      </c>
      <c r="M704" s="2" t="str">
        <f t="shared" si="5"/>
        <v>15</v>
      </c>
      <c r="N704" s="2">
        <f>VLOOKUP(L704,'Data Info'!$A$1:$B$8,2,0)</f>
        <v>7</v>
      </c>
      <c r="O704" s="2" t="str">
        <f>VLOOKUP(L704,'Data Info'!$A$1:$C$8,3,0)</f>
        <v>Weekend</v>
      </c>
    </row>
    <row r="705">
      <c r="A705" s="4">
        <v>45550.504166666666</v>
      </c>
      <c r="B705" s="9">
        <f>IFERROR(__xludf.DUMMYFUNCTION("SPLIT(A705,"" "")"),45550.0)</f>
        <v>45550</v>
      </c>
      <c r="C705" s="10">
        <f>IFERROR(__xludf.DUMMYFUNCTION("""COMPUTED_VALUE"""),0.5041666666666667)</f>
        <v>0.5041666667</v>
      </c>
      <c r="D705" s="2">
        <f t="shared" si="1"/>
        <v>12</v>
      </c>
      <c r="E705" s="2">
        <f>IFERROR(__xludf.DUMMYFUNCTION("SPLIT(B705,""/"")"),15.0)</f>
        <v>15</v>
      </c>
      <c r="F705" s="2">
        <f>IFERROR(__xludf.DUMMYFUNCTION("""COMPUTED_VALUE"""),9.0)</f>
        <v>9</v>
      </c>
      <c r="G705" s="2">
        <f>IFERROR(__xludf.DUMMYFUNCTION("""COMPUTED_VALUE"""),2024.0)</f>
        <v>2024</v>
      </c>
      <c r="H705" s="2" t="str">
        <f t="shared" si="2"/>
        <v>2024/9/15</v>
      </c>
      <c r="I705" s="2" t="s">
        <v>1595</v>
      </c>
      <c r="J705" s="2" t="str">
        <f t="shared" si="3"/>
        <v>Roti Gandum Cokelat</v>
      </c>
      <c r="K705" s="7">
        <f>if(RIGHT(I705,5)="2 pcs",2,Data!I705)</f>
        <v>1</v>
      </c>
      <c r="L705" s="2" t="str">
        <f t="shared" si="4"/>
        <v>Sunday</v>
      </c>
      <c r="M705" s="2" t="str">
        <f t="shared" si="5"/>
        <v>15</v>
      </c>
      <c r="N705" s="2">
        <f>VLOOKUP(L705,'Data Info'!$A$1:$B$8,2,0)</f>
        <v>7</v>
      </c>
      <c r="O705" s="2" t="str">
        <f>VLOOKUP(L705,'Data Info'!$A$1:$C$8,3,0)</f>
        <v>Weekend</v>
      </c>
    </row>
    <row r="706">
      <c r="A706" s="4">
        <v>45550.504166666666</v>
      </c>
      <c r="B706" s="9">
        <f>IFERROR(__xludf.DUMMYFUNCTION("SPLIT(A706,"" "")"),45550.0)</f>
        <v>45550</v>
      </c>
      <c r="C706" s="10">
        <f>IFERROR(__xludf.DUMMYFUNCTION("""COMPUTED_VALUE"""),0.5041666666666667)</f>
        <v>0.5041666667</v>
      </c>
      <c r="D706" s="2">
        <f t="shared" si="1"/>
        <v>12</v>
      </c>
      <c r="E706" s="2">
        <f>IFERROR(__xludf.DUMMYFUNCTION("SPLIT(B706,""/"")"),15.0)</f>
        <v>15</v>
      </c>
      <c r="F706" s="2">
        <f>IFERROR(__xludf.DUMMYFUNCTION("""COMPUTED_VALUE"""),9.0)</f>
        <v>9</v>
      </c>
      <c r="G706" s="2">
        <f>IFERROR(__xludf.DUMMYFUNCTION("""COMPUTED_VALUE"""),2024.0)</f>
        <v>2024</v>
      </c>
      <c r="H706" s="2" t="str">
        <f t="shared" si="2"/>
        <v>2024/9/15</v>
      </c>
      <c r="I706" s="2" t="s">
        <v>1588</v>
      </c>
      <c r="J706" s="2" t="str">
        <f t="shared" si="3"/>
        <v>Es Kopi Susu</v>
      </c>
      <c r="K706" s="7">
        <f>if(RIGHT(I706,5)="2 pcs",2,Data!I706)</f>
        <v>1</v>
      </c>
      <c r="L706" s="2" t="str">
        <f t="shared" si="4"/>
        <v>Sunday</v>
      </c>
      <c r="M706" s="2" t="str">
        <f t="shared" si="5"/>
        <v>15</v>
      </c>
      <c r="N706" s="2">
        <f>VLOOKUP(L706,'Data Info'!$A$1:$B$8,2,0)</f>
        <v>7</v>
      </c>
      <c r="O706" s="2" t="str">
        <f>VLOOKUP(L706,'Data Info'!$A$1:$C$8,3,0)</f>
        <v>Weekend</v>
      </c>
    </row>
    <row r="707">
      <c r="A707" s="4">
        <v>45550.504166666666</v>
      </c>
      <c r="B707" s="9">
        <f>IFERROR(__xludf.DUMMYFUNCTION("SPLIT(A707,"" "")"),45550.0)</f>
        <v>45550</v>
      </c>
      <c r="C707" s="10">
        <f>IFERROR(__xludf.DUMMYFUNCTION("""COMPUTED_VALUE"""),0.5041666666666667)</f>
        <v>0.5041666667</v>
      </c>
      <c r="D707" s="2">
        <f t="shared" si="1"/>
        <v>12</v>
      </c>
      <c r="E707" s="2">
        <f>IFERROR(__xludf.DUMMYFUNCTION("SPLIT(B707,""/"")"),15.0)</f>
        <v>15</v>
      </c>
      <c r="F707" s="2">
        <f>IFERROR(__xludf.DUMMYFUNCTION("""COMPUTED_VALUE"""),9.0)</f>
        <v>9</v>
      </c>
      <c r="G707" s="2">
        <f>IFERROR(__xludf.DUMMYFUNCTION("""COMPUTED_VALUE"""),2024.0)</f>
        <v>2024</v>
      </c>
      <c r="H707" s="2" t="str">
        <f t="shared" si="2"/>
        <v>2024/9/15</v>
      </c>
      <c r="I707" s="2" t="s">
        <v>1618</v>
      </c>
      <c r="J707" s="2" t="str">
        <f t="shared" si="3"/>
        <v>Susu murni ori</v>
      </c>
      <c r="K707" s="7">
        <f>if(RIGHT(I707,5)="2 pcs",2,Data!I707)</f>
        <v>1</v>
      </c>
      <c r="L707" s="2" t="str">
        <f t="shared" si="4"/>
        <v>Sunday</v>
      </c>
      <c r="M707" s="2" t="str">
        <f t="shared" si="5"/>
        <v>15</v>
      </c>
      <c r="N707" s="2">
        <f>VLOOKUP(L707,'Data Info'!$A$1:$B$8,2,0)</f>
        <v>7</v>
      </c>
      <c r="O707" s="2" t="str">
        <f>VLOOKUP(L707,'Data Info'!$A$1:$C$8,3,0)</f>
        <v>Weekend</v>
      </c>
    </row>
    <row r="708">
      <c r="A708" s="4">
        <v>45550.49513888889</v>
      </c>
      <c r="B708" s="9">
        <f>IFERROR(__xludf.DUMMYFUNCTION("SPLIT(A708,"" "")"),45550.0)</f>
        <v>45550</v>
      </c>
      <c r="C708" s="10">
        <f>IFERROR(__xludf.DUMMYFUNCTION("""COMPUTED_VALUE"""),0.4951388888888889)</f>
        <v>0.4951388889</v>
      </c>
      <c r="D708" s="2">
        <f t="shared" si="1"/>
        <v>11</v>
      </c>
      <c r="E708" s="2">
        <f>IFERROR(__xludf.DUMMYFUNCTION("SPLIT(B708,""/"")"),15.0)</f>
        <v>15</v>
      </c>
      <c r="F708" s="2">
        <f>IFERROR(__xludf.DUMMYFUNCTION("""COMPUTED_VALUE"""),9.0)</f>
        <v>9</v>
      </c>
      <c r="G708" s="2">
        <f>IFERROR(__xludf.DUMMYFUNCTION("""COMPUTED_VALUE"""),2024.0)</f>
        <v>2024</v>
      </c>
      <c r="H708" s="2" t="str">
        <f t="shared" si="2"/>
        <v>2024/9/15</v>
      </c>
      <c r="I708" s="2" t="s">
        <v>1598</v>
      </c>
      <c r="J708" s="2" t="str">
        <f t="shared" si="3"/>
        <v>Korean Strawberry Fresh Milk</v>
      </c>
      <c r="K708" s="7">
        <f>if(RIGHT(I708,5)="2 pcs",2,Data!I708)</f>
        <v>1</v>
      </c>
      <c r="L708" s="2" t="str">
        <f t="shared" si="4"/>
        <v>Sunday</v>
      </c>
      <c r="M708" s="2" t="str">
        <f t="shared" si="5"/>
        <v>15</v>
      </c>
      <c r="N708" s="2">
        <f>VLOOKUP(L708,'Data Info'!$A$1:$B$8,2,0)</f>
        <v>7</v>
      </c>
      <c r="O708" s="2" t="str">
        <f>VLOOKUP(L708,'Data Info'!$A$1:$C$8,3,0)</f>
        <v>Weekend</v>
      </c>
    </row>
    <row r="709">
      <c r="A709" s="4">
        <v>45550.49513888889</v>
      </c>
      <c r="B709" s="9">
        <f>IFERROR(__xludf.DUMMYFUNCTION("SPLIT(A709,"" "")"),45550.0)</f>
        <v>45550</v>
      </c>
      <c r="C709" s="10">
        <f>IFERROR(__xludf.DUMMYFUNCTION("""COMPUTED_VALUE"""),0.4951388888888889)</f>
        <v>0.4951388889</v>
      </c>
      <c r="D709" s="2">
        <f t="shared" si="1"/>
        <v>11</v>
      </c>
      <c r="E709" s="2">
        <f>IFERROR(__xludf.DUMMYFUNCTION("SPLIT(B709,""/"")"),15.0)</f>
        <v>15</v>
      </c>
      <c r="F709" s="2">
        <f>IFERROR(__xludf.DUMMYFUNCTION("""COMPUTED_VALUE"""),9.0)</f>
        <v>9</v>
      </c>
      <c r="G709" s="2">
        <f>IFERROR(__xludf.DUMMYFUNCTION("""COMPUTED_VALUE"""),2024.0)</f>
        <v>2024</v>
      </c>
      <c r="H709" s="2" t="str">
        <f t="shared" si="2"/>
        <v>2024/9/15</v>
      </c>
      <c r="I709" s="2" t="s">
        <v>1596</v>
      </c>
      <c r="J709" s="2" t="str">
        <f t="shared" si="3"/>
        <v>Roti Cranberry</v>
      </c>
      <c r="K709" s="7">
        <f>if(RIGHT(I709,5)="2 pcs",2,Data!I709)</f>
        <v>2</v>
      </c>
      <c r="L709" s="2" t="str">
        <f t="shared" si="4"/>
        <v>Sunday</v>
      </c>
      <c r="M709" s="2" t="str">
        <f t="shared" si="5"/>
        <v>15</v>
      </c>
      <c r="N709" s="2">
        <f>VLOOKUP(L709,'Data Info'!$A$1:$B$8,2,0)</f>
        <v>7</v>
      </c>
      <c r="O709" s="2" t="str">
        <f>VLOOKUP(L709,'Data Info'!$A$1:$C$8,3,0)</f>
        <v>Weekend</v>
      </c>
    </row>
    <row r="710">
      <c r="A710" s="4">
        <v>45550.47638888889</v>
      </c>
      <c r="B710" s="9">
        <f>IFERROR(__xludf.DUMMYFUNCTION("SPLIT(A710,"" "")"),45550.0)</f>
        <v>45550</v>
      </c>
      <c r="C710" s="10">
        <f>IFERROR(__xludf.DUMMYFUNCTION("""COMPUTED_VALUE"""),0.47638888888888886)</f>
        <v>0.4763888889</v>
      </c>
      <c r="D710" s="2">
        <f t="shared" si="1"/>
        <v>11</v>
      </c>
      <c r="E710" s="2">
        <f>IFERROR(__xludf.DUMMYFUNCTION("SPLIT(B710,""/"")"),15.0)</f>
        <v>15</v>
      </c>
      <c r="F710" s="2">
        <f>IFERROR(__xludf.DUMMYFUNCTION("""COMPUTED_VALUE"""),9.0)</f>
        <v>9</v>
      </c>
      <c r="G710" s="2">
        <f>IFERROR(__xludf.DUMMYFUNCTION("""COMPUTED_VALUE"""),2024.0)</f>
        <v>2024</v>
      </c>
      <c r="H710" s="2" t="str">
        <f t="shared" si="2"/>
        <v>2024/9/15</v>
      </c>
      <c r="I710" s="2" t="s">
        <v>1617</v>
      </c>
      <c r="J710" s="2" t="str">
        <f t="shared" si="3"/>
        <v>Lemon Tea Dingin</v>
      </c>
      <c r="K710" s="7">
        <f>if(RIGHT(I710,5)="2 pcs",2,Data!I710)</f>
        <v>1</v>
      </c>
      <c r="L710" s="2" t="str">
        <f t="shared" si="4"/>
        <v>Sunday</v>
      </c>
      <c r="M710" s="2" t="str">
        <f t="shared" si="5"/>
        <v>15</v>
      </c>
      <c r="N710" s="2">
        <f>VLOOKUP(L710,'Data Info'!$A$1:$B$8,2,0)</f>
        <v>7</v>
      </c>
      <c r="O710" s="2" t="str">
        <f>VLOOKUP(L710,'Data Info'!$A$1:$C$8,3,0)</f>
        <v>Weekend</v>
      </c>
    </row>
    <row r="711">
      <c r="A711" s="4">
        <v>45550.47638888889</v>
      </c>
      <c r="B711" s="9">
        <f>IFERROR(__xludf.DUMMYFUNCTION("SPLIT(A711,"" "")"),45550.0)</f>
        <v>45550</v>
      </c>
      <c r="C711" s="10">
        <f>IFERROR(__xludf.DUMMYFUNCTION("""COMPUTED_VALUE"""),0.47638888888888886)</f>
        <v>0.4763888889</v>
      </c>
      <c r="D711" s="2">
        <f t="shared" si="1"/>
        <v>11</v>
      </c>
      <c r="E711" s="2">
        <f>IFERROR(__xludf.DUMMYFUNCTION("SPLIT(B711,""/"")"),15.0)</f>
        <v>15</v>
      </c>
      <c r="F711" s="2">
        <f>IFERROR(__xludf.DUMMYFUNCTION("""COMPUTED_VALUE"""),9.0)</f>
        <v>9</v>
      </c>
      <c r="G711" s="2">
        <f>IFERROR(__xludf.DUMMYFUNCTION("""COMPUTED_VALUE"""),2024.0)</f>
        <v>2024</v>
      </c>
      <c r="H711" s="2" t="str">
        <f t="shared" si="2"/>
        <v>2024/9/15</v>
      </c>
      <c r="I711" s="2" t="s">
        <v>1588</v>
      </c>
      <c r="J711" s="2" t="str">
        <f t="shared" si="3"/>
        <v>Es Kopi Susu</v>
      </c>
      <c r="K711" s="7">
        <f>if(RIGHT(I711,5)="2 pcs",2,Data!I711)</f>
        <v>1</v>
      </c>
      <c r="L711" s="2" t="str">
        <f t="shared" si="4"/>
        <v>Sunday</v>
      </c>
      <c r="M711" s="2" t="str">
        <f t="shared" si="5"/>
        <v>15</v>
      </c>
      <c r="N711" s="2">
        <f>VLOOKUP(L711,'Data Info'!$A$1:$B$8,2,0)</f>
        <v>7</v>
      </c>
      <c r="O711" s="2" t="str">
        <f>VLOOKUP(L711,'Data Info'!$A$1:$C$8,3,0)</f>
        <v>Weekend</v>
      </c>
    </row>
    <row r="712">
      <c r="A712" s="4">
        <v>45550.47638888889</v>
      </c>
      <c r="B712" s="9">
        <f>IFERROR(__xludf.DUMMYFUNCTION("SPLIT(A712,"" "")"),45550.0)</f>
        <v>45550</v>
      </c>
      <c r="C712" s="10">
        <f>IFERROR(__xludf.DUMMYFUNCTION("""COMPUTED_VALUE"""),0.47638888888888886)</f>
        <v>0.4763888889</v>
      </c>
      <c r="D712" s="2">
        <f t="shared" si="1"/>
        <v>11</v>
      </c>
      <c r="E712" s="2">
        <f>IFERROR(__xludf.DUMMYFUNCTION("SPLIT(B712,""/"")"),15.0)</f>
        <v>15</v>
      </c>
      <c r="F712" s="2">
        <f>IFERROR(__xludf.DUMMYFUNCTION("""COMPUTED_VALUE"""),9.0)</f>
        <v>9</v>
      </c>
      <c r="G712" s="2">
        <f>IFERROR(__xludf.DUMMYFUNCTION("""COMPUTED_VALUE"""),2024.0)</f>
        <v>2024</v>
      </c>
      <c r="H712" s="2" t="str">
        <f t="shared" si="2"/>
        <v>2024/9/15</v>
      </c>
      <c r="I712" s="2" t="s">
        <v>1566</v>
      </c>
      <c r="J712" s="2" t="str">
        <f t="shared" si="3"/>
        <v>Roti Bawang Saus Keju</v>
      </c>
      <c r="K712" s="7">
        <f>if(RIGHT(I712,5)="2 pcs",2,Data!I712)</f>
        <v>1</v>
      </c>
      <c r="L712" s="2" t="str">
        <f t="shared" si="4"/>
        <v>Sunday</v>
      </c>
      <c r="M712" s="2" t="str">
        <f t="shared" si="5"/>
        <v>15</v>
      </c>
      <c r="N712" s="2">
        <f>VLOOKUP(L712,'Data Info'!$A$1:$B$8,2,0)</f>
        <v>7</v>
      </c>
      <c r="O712" s="2" t="str">
        <f>VLOOKUP(L712,'Data Info'!$A$1:$C$8,3,0)</f>
        <v>Weekend</v>
      </c>
    </row>
    <row r="713">
      <c r="A713" s="4">
        <v>45550.45416666667</v>
      </c>
      <c r="B713" s="9">
        <f>IFERROR(__xludf.DUMMYFUNCTION("SPLIT(A713,"" "")"),45550.0)</f>
        <v>45550</v>
      </c>
      <c r="C713" s="10">
        <f>IFERROR(__xludf.DUMMYFUNCTION("""COMPUTED_VALUE"""),0.45416666666666666)</f>
        <v>0.4541666667</v>
      </c>
      <c r="D713" s="2">
        <f t="shared" si="1"/>
        <v>10</v>
      </c>
      <c r="E713" s="2">
        <f>IFERROR(__xludf.DUMMYFUNCTION("SPLIT(B713,""/"")"),15.0)</f>
        <v>15</v>
      </c>
      <c r="F713" s="2">
        <f>IFERROR(__xludf.DUMMYFUNCTION("""COMPUTED_VALUE"""),9.0)</f>
        <v>9</v>
      </c>
      <c r="G713" s="2">
        <f>IFERROR(__xludf.DUMMYFUNCTION("""COMPUTED_VALUE"""),2024.0)</f>
        <v>2024</v>
      </c>
      <c r="H713" s="2" t="str">
        <f t="shared" si="2"/>
        <v>2024/9/15</v>
      </c>
      <c r="I713" s="2" t="s">
        <v>1602</v>
      </c>
      <c r="J713" s="2" t="str">
        <f t="shared" si="3"/>
        <v>Mie joglo</v>
      </c>
      <c r="K713" s="7">
        <f>if(RIGHT(I713,5)="2 pcs",2,Data!I713)</f>
        <v>1</v>
      </c>
      <c r="L713" s="2" t="str">
        <f t="shared" si="4"/>
        <v>Sunday</v>
      </c>
      <c r="M713" s="2" t="str">
        <f t="shared" si="5"/>
        <v>15</v>
      </c>
      <c r="N713" s="2">
        <f>VLOOKUP(L713,'Data Info'!$A$1:$B$8,2,0)</f>
        <v>7</v>
      </c>
      <c r="O713" s="2" t="str">
        <f>VLOOKUP(L713,'Data Info'!$A$1:$C$8,3,0)</f>
        <v>Weekend</v>
      </c>
    </row>
    <row r="714">
      <c r="A714" s="4">
        <v>45550.45416666667</v>
      </c>
      <c r="B714" s="9">
        <f>IFERROR(__xludf.DUMMYFUNCTION("SPLIT(A714,"" "")"),45550.0)</f>
        <v>45550</v>
      </c>
      <c r="C714" s="10">
        <f>IFERROR(__xludf.DUMMYFUNCTION("""COMPUTED_VALUE"""),0.45416666666666666)</f>
        <v>0.4541666667</v>
      </c>
      <c r="D714" s="2">
        <f t="shared" si="1"/>
        <v>10</v>
      </c>
      <c r="E714" s="2">
        <f>IFERROR(__xludf.DUMMYFUNCTION("SPLIT(B714,""/"")"),15.0)</f>
        <v>15</v>
      </c>
      <c r="F714" s="2">
        <f>IFERROR(__xludf.DUMMYFUNCTION("""COMPUTED_VALUE"""),9.0)</f>
        <v>9</v>
      </c>
      <c r="G714" s="2">
        <f>IFERROR(__xludf.DUMMYFUNCTION("""COMPUTED_VALUE"""),2024.0)</f>
        <v>2024</v>
      </c>
      <c r="H714" s="2" t="str">
        <f t="shared" si="2"/>
        <v>2024/9/15</v>
      </c>
      <c r="I714" s="2" t="s">
        <v>1579</v>
      </c>
      <c r="J714" s="2" t="str">
        <f t="shared" si="3"/>
        <v>Tahu baso</v>
      </c>
      <c r="K714" s="7">
        <f>if(RIGHT(I714,5)="2 pcs",2,Data!I714)</f>
        <v>1</v>
      </c>
      <c r="L714" s="2" t="str">
        <f t="shared" si="4"/>
        <v>Sunday</v>
      </c>
      <c r="M714" s="2" t="str">
        <f t="shared" si="5"/>
        <v>15</v>
      </c>
      <c r="N714" s="2">
        <f>VLOOKUP(L714,'Data Info'!$A$1:$B$8,2,0)</f>
        <v>7</v>
      </c>
      <c r="O714" s="2" t="str">
        <f>VLOOKUP(L714,'Data Info'!$A$1:$C$8,3,0)</f>
        <v>Weekend</v>
      </c>
    </row>
    <row r="715">
      <c r="A715" s="4">
        <v>45550.45416666667</v>
      </c>
      <c r="B715" s="9">
        <f>IFERROR(__xludf.DUMMYFUNCTION("SPLIT(A715,"" "")"),45550.0)</f>
        <v>45550</v>
      </c>
      <c r="C715" s="10">
        <f>IFERROR(__xludf.DUMMYFUNCTION("""COMPUTED_VALUE"""),0.45416666666666666)</f>
        <v>0.4541666667</v>
      </c>
      <c r="D715" s="2">
        <f t="shared" si="1"/>
        <v>10</v>
      </c>
      <c r="E715" s="2">
        <f>IFERROR(__xludf.DUMMYFUNCTION("SPLIT(B715,""/"")"),15.0)</f>
        <v>15</v>
      </c>
      <c r="F715" s="2">
        <f>IFERROR(__xludf.DUMMYFUNCTION("""COMPUTED_VALUE"""),9.0)</f>
        <v>9</v>
      </c>
      <c r="G715" s="2">
        <f>IFERROR(__xludf.DUMMYFUNCTION("""COMPUTED_VALUE"""),2024.0)</f>
        <v>2024</v>
      </c>
      <c r="H715" s="2" t="str">
        <f t="shared" si="2"/>
        <v>2024/9/15</v>
      </c>
      <c r="I715" s="2" t="s">
        <v>1595</v>
      </c>
      <c r="J715" s="2" t="str">
        <f t="shared" si="3"/>
        <v>Roti Gandum Cokelat</v>
      </c>
      <c r="K715" s="7">
        <f>if(RIGHT(I715,5)="2 pcs",2,Data!I715)</f>
        <v>1</v>
      </c>
      <c r="L715" s="2" t="str">
        <f t="shared" si="4"/>
        <v>Sunday</v>
      </c>
      <c r="M715" s="2" t="str">
        <f t="shared" si="5"/>
        <v>15</v>
      </c>
      <c r="N715" s="2">
        <f>VLOOKUP(L715,'Data Info'!$A$1:$B$8,2,0)</f>
        <v>7</v>
      </c>
      <c r="O715" s="2" t="str">
        <f>VLOOKUP(L715,'Data Info'!$A$1:$C$8,3,0)</f>
        <v>Weekend</v>
      </c>
    </row>
    <row r="716">
      <c r="A716" s="4">
        <v>45550.45347222222</v>
      </c>
      <c r="B716" s="9">
        <f>IFERROR(__xludf.DUMMYFUNCTION("SPLIT(A716,"" "")"),45550.0)</f>
        <v>45550</v>
      </c>
      <c r="C716" s="10">
        <f>IFERROR(__xludf.DUMMYFUNCTION("""COMPUTED_VALUE"""),0.4534722222222222)</f>
        <v>0.4534722222</v>
      </c>
      <c r="D716" s="2">
        <f t="shared" si="1"/>
        <v>10</v>
      </c>
      <c r="E716" s="2">
        <f>IFERROR(__xludf.DUMMYFUNCTION("SPLIT(B716,""/"")"),15.0)</f>
        <v>15</v>
      </c>
      <c r="F716" s="2">
        <f>IFERROR(__xludf.DUMMYFUNCTION("""COMPUTED_VALUE"""),9.0)</f>
        <v>9</v>
      </c>
      <c r="G716" s="2">
        <f>IFERROR(__xludf.DUMMYFUNCTION("""COMPUTED_VALUE"""),2024.0)</f>
        <v>2024</v>
      </c>
      <c r="H716" s="2" t="str">
        <f t="shared" si="2"/>
        <v>2024/9/15</v>
      </c>
      <c r="I716" s="2" t="s">
        <v>1593</v>
      </c>
      <c r="J716" s="2" t="str">
        <f t="shared" si="3"/>
        <v>Wedang laut</v>
      </c>
      <c r="K716" s="7">
        <f>if(RIGHT(I716,5)="2 pcs",2,Data!I716)</f>
        <v>1</v>
      </c>
      <c r="L716" s="2" t="str">
        <f t="shared" si="4"/>
        <v>Sunday</v>
      </c>
      <c r="M716" s="2" t="str">
        <f t="shared" si="5"/>
        <v>15</v>
      </c>
      <c r="N716" s="2">
        <f>VLOOKUP(L716,'Data Info'!$A$1:$B$8,2,0)</f>
        <v>7</v>
      </c>
      <c r="O716" s="2" t="str">
        <f>VLOOKUP(L716,'Data Info'!$A$1:$C$8,3,0)</f>
        <v>Weekend</v>
      </c>
    </row>
    <row r="717">
      <c r="A717" s="4">
        <v>45550.45347222222</v>
      </c>
      <c r="B717" s="9">
        <f>IFERROR(__xludf.DUMMYFUNCTION("SPLIT(A717,"" "")"),45550.0)</f>
        <v>45550</v>
      </c>
      <c r="C717" s="10">
        <f>IFERROR(__xludf.DUMMYFUNCTION("""COMPUTED_VALUE"""),0.4534722222222222)</f>
        <v>0.4534722222</v>
      </c>
      <c r="D717" s="2">
        <f t="shared" si="1"/>
        <v>10</v>
      </c>
      <c r="E717" s="2">
        <f>IFERROR(__xludf.DUMMYFUNCTION("SPLIT(B717,""/"")"),15.0)</f>
        <v>15</v>
      </c>
      <c r="F717" s="2">
        <f>IFERROR(__xludf.DUMMYFUNCTION("""COMPUTED_VALUE"""),9.0)</f>
        <v>9</v>
      </c>
      <c r="G717" s="2">
        <f>IFERROR(__xludf.DUMMYFUNCTION("""COMPUTED_VALUE"""),2024.0)</f>
        <v>2024</v>
      </c>
      <c r="H717" s="2" t="str">
        <f t="shared" si="2"/>
        <v>2024/9/15</v>
      </c>
      <c r="I717" s="2" t="s">
        <v>1607</v>
      </c>
      <c r="J717" s="2" t="str">
        <f t="shared" si="3"/>
        <v>Tahu walik</v>
      </c>
      <c r="K717" s="7">
        <f>if(RIGHT(I717,5)="2 pcs",2,Data!I717)</f>
        <v>1</v>
      </c>
      <c r="L717" s="2" t="str">
        <f t="shared" si="4"/>
        <v>Sunday</v>
      </c>
      <c r="M717" s="2" t="str">
        <f t="shared" si="5"/>
        <v>15</v>
      </c>
      <c r="N717" s="2">
        <f>VLOOKUP(L717,'Data Info'!$A$1:$B$8,2,0)</f>
        <v>7</v>
      </c>
      <c r="O717" s="2" t="str">
        <f>VLOOKUP(L717,'Data Info'!$A$1:$C$8,3,0)</f>
        <v>Weekend</v>
      </c>
    </row>
    <row r="718">
      <c r="A718" s="4">
        <v>45550.43958333333</v>
      </c>
      <c r="B718" s="9">
        <f>IFERROR(__xludf.DUMMYFUNCTION("SPLIT(A718,"" "")"),45550.0)</f>
        <v>45550</v>
      </c>
      <c r="C718" s="10">
        <f>IFERROR(__xludf.DUMMYFUNCTION("""COMPUTED_VALUE"""),0.4395833333333333)</f>
        <v>0.4395833333</v>
      </c>
      <c r="D718" s="2">
        <f t="shared" si="1"/>
        <v>10</v>
      </c>
      <c r="E718" s="2">
        <f>IFERROR(__xludf.DUMMYFUNCTION("SPLIT(B718,""/"")"),15.0)</f>
        <v>15</v>
      </c>
      <c r="F718" s="2">
        <f>IFERROR(__xludf.DUMMYFUNCTION("""COMPUTED_VALUE"""),9.0)</f>
        <v>9</v>
      </c>
      <c r="G718" s="2">
        <f>IFERROR(__xludf.DUMMYFUNCTION("""COMPUTED_VALUE"""),2024.0)</f>
        <v>2024</v>
      </c>
      <c r="H718" s="2" t="str">
        <f t="shared" si="2"/>
        <v>2024/9/15</v>
      </c>
      <c r="I718" s="2" t="s">
        <v>1591</v>
      </c>
      <c r="J718" s="2" t="str">
        <f t="shared" si="3"/>
        <v>Kopi cur</v>
      </c>
      <c r="K718" s="7">
        <f>if(RIGHT(I718,5)="2 pcs",2,Data!I718)</f>
        <v>1</v>
      </c>
      <c r="L718" s="2" t="str">
        <f t="shared" si="4"/>
        <v>Sunday</v>
      </c>
      <c r="M718" s="2" t="str">
        <f t="shared" si="5"/>
        <v>15</v>
      </c>
      <c r="N718" s="2">
        <f>VLOOKUP(L718,'Data Info'!$A$1:$B$8,2,0)</f>
        <v>7</v>
      </c>
      <c r="O718" s="2" t="str">
        <f>VLOOKUP(L718,'Data Info'!$A$1:$C$8,3,0)</f>
        <v>Weekend</v>
      </c>
    </row>
    <row r="719">
      <c r="A719" s="4">
        <v>45550.43958333333</v>
      </c>
      <c r="B719" s="9">
        <f>IFERROR(__xludf.DUMMYFUNCTION("SPLIT(A719,"" "")"),45550.0)</f>
        <v>45550</v>
      </c>
      <c r="C719" s="10">
        <f>IFERROR(__xludf.DUMMYFUNCTION("""COMPUTED_VALUE"""),0.4395833333333333)</f>
        <v>0.4395833333</v>
      </c>
      <c r="D719" s="2">
        <f t="shared" si="1"/>
        <v>10</v>
      </c>
      <c r="E719" s="2">
        <f>IFERROR(__xludf.DUMMYFUNCTION("SPLIT(B719,""/"")"),15.0)</f>
        <v>15</v>
      </c>
      <c r="F719" s="2">
        <f>IFERROR(__xludf.DUMMYFUNCTION("""COMPUTED_VALUE"""),9.0)</f>
        <v>9</v>
      </c>
      <c r="G719" s="2">
        <f>IFERROR(__xludf.DUMMYFUNCTION("""COMPUTED_VALUE"""),2024.0)</f>
        <v>2024</v>
      </c>
      <c r="H719" s="2" t="str">
        <f t="shared" si="2"/>
        <v>2024/9/15</v>
      </c>
      <c r="I719" s="2" t="s">
        <v>1609</v>
      </c>
      <c r="J719" s="2" t="str">
        <f t="shared" si="3"/>
        <v>Tempe Mendoan</v>
      </c>
      <c r="K719" s="7">
        <f>if(RIGHT(I719,5)="2 pcs",2,Data!I719)</f>
        <v>1</v>
      </c>
      <c r="L719" s="2" t="str">
        <f t="shared" si="4"/>
        <v>Sunday</v>
      </c>
      <c r="M719" s="2" t="str">
        <f t="shared" si="5"/>
        <v>15</v>
      </c>
      <c r="N719" s="2">
        <f>VLOOKUP(L719,'Data Info'!$A$1:$B$8,2,0)</f>
        <v>7</v>
      </c>
      <c r="O719" s="2" t="str">
        <f>VLOOKUP(L719,'Data Info'!$A$1:$C$8,3,0)</f>
        <v>Weekend</v>
      </c>
    </row>
    <row r="720">
      <c r="A720" s="4">
        <v>45550.43958333333</v>
      </c>
      <c r="B720" s="9">
        <f>IFERROR(__xludf.DUMMYFUNCTION("SPLIT(A720,"" "")"),45550.0)</f>
        <v>45550</v>
      </c>
      <c r="C720" s="10">
        <f>IFERROR(__xludf.DUMMYFUNCTION("""COMPUTED_VALUE"""),0.4395833333333333)</f>
        <v>0.4395833333</v>
      </c>
      <c r="D720" s="2">
        <f t="shared" si="1"/>
        <v>10</v>
      </c>
      <c r="E720" s="2">
        <f>IFERROR(__xludf.DUMMYFUNCTION("SPLIT(B720,""/"")"),15.0)</f>
        <v>15</v>
      </c>
      <c r="F720" s="2">
        <f>IFERROR(__xludf.DUMMYFUNCTION("""COMPUTED_VALUE"""),9.0)</f>
        <v>9</v>
      </c>
      <c r="G720" s="2">
        <f>IFERROR(__xludf.DUMMYFUNCTION("""COMPUTED_VALUE"""),2024.0)</f>
        <v>2024</v>
      </c>
      <c r="H720" s="2" t="str">
        <f t="shared" si="2"/>
        <v>2024/9/15</v>
      </c>
      <c r="I720" s="2" t="s">
        <v>1627</v>
      </c>
      <c r="J720" s="2" t="str">
        <f t="shared" si="3"/>
        <v>Wedang surya</v>
      </c>
      <c r="K720" s="7">
        <f>if(RIGHT(I720,5)="2 pcs",2,Data!I720)</f>
        <v>1</v>
      </c>
      <c r="L720" s="2" t="str">
        <f t="shared" si="4"/>
        <v>Sunday</v>
      </c>
      <c r="M720" s="2" t="str">
        <f t="shared" si="5"/>
        <v>15</v>
      </c>
      <c r="N720" s="2">
        <f>VLOOKUP(L720,'Data Info'!$A$1:$B$8,2,0)</f>
        <v>7</v>
      </c>
      <c r="O720" s="2" t="str">
        <f>VLOOKUP(L720,'Data Info'!$A$1:$C$8,3,0)</f>
        <v>Weekend</v>
      </c>
    </row>
    <row r="721">
      <c r="A721" s="4">
        <v>45550.39375</v>
      </c>
      <c r="B721" s="9">
        <f>IFERROR(__xludf.DUMMYFUNCTION("SPLIT(A721,"" "")"),45550.0)</f>
        <v>45550</v>
      </c>
      <c r="C721" s="10">
        <f>IFERROR(__xludf.DUMMYFUNCTION("""COMPUTED_VALUE"""),0.39375)</f>
        <v>0.39375</v>
      </c>
      <c r="D721" s="2">
        <f t="shared" si="1"/>
        <v>9</v>
      </c>
      <c r="E721" s="2">
        <f>IFERROR(__xludf.DUMMYFUNCTION("SPLIT(B721,""/"")"),15.0)</f>
        <v>15</v>
      </c>
      <c r="F721" s="2">
        <f>IFERROR(__xludf.DUMMYFUNCTION("""COMPUTED_VALUE"""),9.0)</f>
        <v>9</v>
      </c>
      <c r="G721" s="2">
        <f>IFERROR(__xludf.DUMMYFUNCTION("""COMPUTED_VALUE"""),2024.0)</f>
        <v>2024</v>
      </c>
      <c r="H721" s="2" t="str">
        <f t="shared" si="2"/>
        <v>2024/9/15</v>
      </c>
      <c r="I721" s="2" t="s">
        <v>1596</v>
      </c>
      <c r="J721" s="2" t="str">
        <f t="shared" si="3"/>
        <v>Roti Cranberry</v>
      </c>
      <c r="K721" s="7">
        <f>if(RIGHT(I721,5)="2 pcs",2,Data!I721)</f>
        <v>2</v>
      </c>
      <c r="L721" s="2" t="str">
        <f t="shared" si="4"/>
        <v>Sunday</v>
      </c>
      <c r="M721" s="2" t="str">
        <f t="shared" si="5"/>
        <v>15</v>
      </c>
      <c r="N721" s="2">
        <f>VLOOKUP(L721,'Data Info'!$A$1:$B$8,2,0)</f>
        <v>7</v>
      </c>
      <c r="O721" s="2" t="str">
        <f>VLOOKUP(L721,'Data Info'!$A$1:$C$8,3,0)</f>
        <v>Weekend</v>
      </c>
    </row>
    <row r="722">
      <c r="A722" s="4">
        <v>45550.39375</v>
      </c>
      <c r="B722" s="9">
        <f>IFERROR(__xludf.DUMMYFUNCTION("SPLIT(A722,"" "")"),45550.0)</f>
        <v>45550</v>
      </c>
      <c r="C722" s="10">
        <f>IFERROR(__xludf.DUMMYFUNCTION("""COMPUTED_VALUE"""),0.39375)</f>
        <v>0.39375</v>
      </c>
      <c r="D722" s="2">
        <f t="shared" si="1"/>
        <v>9</v>
      </c>
      <c r="E722" s="2">
        <f>IFERROR(__xludf.DUMMYFUNCTION("SPLIT(B722,""/"")"),15.0)</f>
        <v>15</v>
      </c>
      <c r="F722" s="2">
        <f>IFERROR(__xludf.DUMMYFUNCTION("""COMPUTED_VALUE"""),9.0)</f>
        <v>9</v>
      </c>
      <c r="G722" s="2">
        <f>IFERROR(__xludf.DUMMYFUNCTION("""COMPUTED_VALUE"""),2024.0)</f>
        <v>2024</v>
      </c>
      <c r="H722" s="2" t="str">
        <f t="shared" si="2"/>
        <v>2024/9/15</v>
      </c>
      <c r="I722" s="2" t="s">
        <v>1588</v>
      </c>
      <c r="J722" s="2" t="str">
        <f t="shared" si="3"/>
        <v>Es Kopi Susu</v>
      </c>
      <c r="K722" s="7">
        <f>if(RIGHT(I722,5)="2 pcs",2,Data!I722)</f>
        <v>1</v>
      </c>
      <c r="L722" s="2" t="str">
        <f t="shared" si="4"/>
        <v>Sunday</v>
      </c>
      <c r="M722" s="2" t="str">
        <f t="shared" si="5"/>
        <v>15</v>
      </c>
      <c r="N722" s="2">
        <f>VLOOKUP(L722,'Data Info'!$A$1:$B$8,2,0)</f>
        <v>7</v>
      </c>
      <c r="O722" s="2" t="str">
        <f>VLOOKUP(L722,'Data Info'!$A$1:$C$8,3,0)</f>
        <v>Weekend</v>
      </c>
    </row>
    <row r="723">
      <c r="A723" s="4">
        <v>45550.39375</v>
      </c>
      <c r="B723" s="9">
        <f>IFERROR(__xludf.DUMMYFUNCTION("SPLIT(A723,"" "")"),45550.0)</f>
        <v>45550</v>
      </c>
      <c r="C723" s="10">
        <f>IFERROR(__xludf.DUMMYFUNCTION("""COMPUTED_VALUE"""),0.39375)</f>
        <v>0.39375</v>
      </c>
      <c r="D723" s="2">
        <f t="shared" si="1"/>
        <v>9</v>
      </c>
      <c r="E723" s="2">
        <f>IFERROR(__xludf.DUMMYFUNCTION("SPLIT(B723,""/"")"),15.0)</f>
        <v>15</v>
      </c>
      <c r="F723" s="2">
        <f>IFERROR(__xludf.DUMMYFUNCTION("""COMPUTED_VALUE"""),9.0)</f>
        <v>9</v>
      </c>
      <c r="G723" s="2">
        <f>IFERROR(__xludf.DUMMYFUNCTION("""COMPUTED_VALUE"""),2024.0)</f>
        <v>2024</v>
      </c>
      <c r="H723" s="2" t="str">
        <f t="shared" si="2"/>
        <v>2024/9/15</v>
      </c>
      <c r="I723" s="2" t="s">
        <v>1587</v>
      </c>
      <c r="J723" s="2" t="str">
        <f t="shared" si="3"/>
        <v>Tahu Lada Garam</v>
      </c>
      <c r="K723" s="7">
        <f>if(RIGHT(I723,5)="2 pcs",2,Data!I723)</f>
        <v>1</v>
      </c>
      <c r="L723" s="2" t="str">
        <f t="shared" si="4"/>
        <v>Sunday</v>
      </c>
      <c r="M723" s="2" t="str">
        <f t="shared" si="5"/>
        <v>15</v>
      </c>
      <c r="N723" s="2">
        <f>VLOOKUP(L723,'Data Info'!$A$1:$B$8,2,0)</f>
        <v>7</v>
      </c>
      <c r="O723" s="2" t="str">
        <f>VLOOKUP(L723,'Data Info'!$A$1:$C$8,3,0)</f>
        <v>Weekend</v>
      </c>
    </row>
    <row r="724">
      <c r="A724" s="4">
        <v>45550.39027777778</v>
      </c>
      <c r="B724" s="9">
        <f>IFERROR(__xludf.DUMMYFUNCTION("SPLIT(A724,"" "")"),45550.0)</f>
        <v>45550</v>
      </c>
      <c r="C724" s="10">
        <f>IFERROR(__xludf.DUMMYFUNCTION("""COMPUTED_VALUE"""),0.3902777777777778)</f>
        <v>0.3902777778</v>
      </c>
      <c r="D724" s="2">
        <f t="shared" si="1"/>
        <v>9</v>
      </c>
      <c r="E724" s="2">
        <f>IFERROR(__xludf.DUMMYFUNCTION("SPLIT(B724,""/"")"),15.0)</f>
        <v>15</v>
      </c>
      <c r="F724" s="2">
        <f>IFERROR(__xludf.DUMMYFUNCTION("""COMPUTED_VALUE"""),9.0)</f>
        <v>9</v>
      </c>
      <c r="G724" s="2">
        <f>IFERROR(__xludf.DUMMYFUNCTION("""COMPUTED_VALUE"""),2024.0)</f>
        <v>2024</v>
      </c>
      <c r="H724" s="2" t="str">
        <f t="shared" si="2"/>
        <v>2024/9/15</v>
      </c>
      <c r="I724" s="2" t="s">
        <v>1576</v>
      </c>
      <c r="J724" s="2" t="str">
        <f t="shared" si="3"/>
        <v>Roti Cranberry</v>
      </c>
      <c r="K724" s="7">
        <f>if(RIGHT(I724,5)="2 pcs",2,Data!I724)</f>
        <v>1</v>
      </c>
      <c r="L724" s="2" t="str">
        <f t="shared" si="4"/>
        <v>Sunday</v>
      </c>
      <c r="M724" s="2" t="str">
        <f t="shared" si="5"/>
        <v>15</v>
      </c>
      <c r="N724" s="2">
        <f>VLOOKUP(L724,'Data Info'!$A$1:$B$8,2,0)</f>
        <v>7</v>
      </c>
      <c r="O724" s="2" t="str">
        <f>VLOOKUP(L724,'Data Info'!$A$1:$C$8,3,0)</f>
        <v>Weekend</v>
      </c>
    </row>
    <row r="725">
      <c r="A725" s="4">
        <v>45550.39027777778</v>
      </c>
      <c r="B725" s="9">
        <f>IFERROR(__xludf.DUMMYFUNCTION("SPLIT(A725,"" "")"),45550.0)</f>
        <v>45550</v>
      </c>
      <c r="C725" s="10">
        <f>IFERROR(__xludf.DUMMYFUNCTION("""COMPUTED_VALUE"""),0.3902777777777778)</f>
        <v>0.3902777778</v>
      </c>
      <c r="D725" s="2">
        <f t="shared" si="1"/>
        <v>9</v>
      </c>
      <c r="E725" s="2">
        <f>IFERROR(__xludf.DUMMYFUNCTION("SPLIT(B725,""/"")"),15.0)</f>
        <v>15</v>
      </c>
      <c r="F725" s="2">
        <f>IFERROR(__xludf.DUMMYFUNCTION("""COMPUTED_VALUE"""),9.0)</f>
        <v>9</v>
      </c>
      <c r="G725" s="2">
        <f>IFERROR(__xludf.DUMMYFUNCTION("""COMPUTED_VALUE"""),2024.0)</f>
        <v>2024</v>
      </c>
      <c r="H725" s="2" t="str">
        <f t="shared" si="2"/>
        <v>2024/9/15</v>
      </c>
      <c r="I725" s="2" t="s">
        <v>1601</v>
      </c>
      <c r="J725" s="2" t="str">
        <f t="shared" si="3"/>
        <v>Gula Asam Dingin</v>
      </c>
      <c r="K725" s="7">
        <f>if(RIGHT(I725,5)="2 pcs",2,Data!I725)</f>
        <v>1</v>
      </c>
      <c r="L725" s="2" t="str">
        <f t="shared" si="4"/>
        <v>Sunday</v>
      </c>
      <c r="M725" s="2" t="str">
        <f t="shared" si="5"/>
        <v>15</v>
      </c>
      <c r="N725" s="2">
        <f>VLOOKUP(L725,'Data Info'!$A$1:$B$8,2,0)</f>
        <v>7</v>
      </c>
      <c r="O725" s="2" t="str">
        <f>VLOOKUP(L725,'Data Info'!$A$1:$C$8,3,0)</f>
        <v>Weekend</v>
      </c>
    </row>
    <row r="726">
      <c r="A726" s="4">
        <v>45550.38888888889</v>
      </c>
      <c r="B726" s="9">
        <f>IFERROR(__xludf.DUMMYFUNCTION("SPLIT(A726,"" "")"),45550.0)</f>
        <v>45550</v>
      </c>
      <c r="C726" s="10">
        <f>IFERROR(__xludf.DUMMYFUNCTION("""COMPUTED_VALUE"""),0.3888888888888889)</f>
        <v>0.3888888889</v>
      </c>
      <c r="D726" s="2">
        <f t="shared" si="1"/>
        <v>9</v>
      </c>
      <c r="E726" s="2">
        <f>IFERROR(__xludf.DUMMYFUNCTION("SPLIT(B726,""/"")"),15.0)</f>
        <v>15</v>
      </c>
      <c r="F726" s="2">
        <f>IFERROR(__xludf.DUMMYFUNCTION("""COMPUTED_VALUE"""),9.0)</f>
        <v>9</v>
      </c>
      <c r="G726" s="2">
        <f>IFERROR(__xludf.DUMMYFUNCTION("""COMPUTED_VALUE"""),2024.0)</f>
        <v>2024</v>
      </c>
      <c r="H726" s="2" t="str">
        <f t="shared" si="2"/>
        <v>2024/9/15</v>
      </c>
      <c r="I726" s="2" t="s">
        <v>1615</v>
      </c>
      <c r="J726" s="2" t="str">
        <f t="shared" si="3"/>
        <v>Roti panggang sarikaya</v>
      </c>
      <c r="K726" s="7">
        <f>if(RIGHT(I726,5)="2 pcs",2,Data!I726)</f>
        <v>1</v>
      </c>
      <c r="L726" s="2" t="str">
        <f t="shared" si="4"/>
        <v>Sunday</v>
      </c>
      <c r="M726" s="2" t="str">
        <f t="shared" si="5"/>
        <v>15</v>
      </c>
      <c r="N726" s="2">
        <f>VLOOKUP(L726,'Data Info'!$A$1:$B$8,2,0)</f>
        <v>7</v>
      </c>
      <c r="O726" s="2" t="str">
        <f>VLOOKUP(L726,'Data Info'!$A$1:$C$8,3,0)</f>
        <v>Weekend</v>
      </c>
    </row>
    <row r="727">
      <c r="A727" s="4">
        <v>45550.38888888889</v>
      </c>
      <c r="B727" s="9">
        <f>IFERROR(__xludf.DUMMYFUNCTION("SPLIT(A727,"" "")"),45550.0)</f>
        <v>45550</v>
      </c>
      <c r="C727" s="10">
        <f>IFERROR(__xludf.DUMMYFUNCTION("""COMPUTED_VALUE"""),0.3888888888888889)</f>
        <v>0.3888888889</v>
      </c>
      <c r="D727" s="2">
        <f t="shared" si="1"/>
        <v>9</v>
      </c>
      <c r="E727" s="2">
        <f>IFERROR(__xludf.DUMMYFUNCTION("SPLIT(B727,""/"")"),15.0)</f>
        <v>15</v>
      </c>
      <c r="F727" s="2">
        <f>IFERROR(__xludf.DUMMYFUNCTION("""COMPUTED_VALUE"""),9.0)</f>
        <v>9</v>
      </c>
      <c r="G727" s="2">
        <f>IFERROR(__xludf.DUMMYFUNCTION("""COMPUTED_VALUE"""),2024.0)</f>
        <v>2024</v>
      </c>
      <c r="H727" s="2" t="str">
        <f t="shared" si="2"/>
        <v>2024/9/15</v>
      </c>
      <c r="I727" s="2" t="s">
        <v>1592</v>
      </c>
      <c r="J727" s="2" t="str">
        <f t="shared" si="3"/>
        <v>Kopi Tubruk Panas</v>
      </c>
      <c r="K727" s="7">
        <f>if(RIGHT(I727,5)="2 pcs",2,Data!I727)</f>
        <v>1</v>
      </c>
      <c r="L727" s="2" t="str">
        <f t="shared" si="4"/>
        <v>Sunday</v>
      </c>
      <c r="M727" s="2" t="str">
        <f t="shared" si="5"/>
        <v>15</v>
      </c>
      <c r="N727" s="2">
        <f>VLOOKUP(L727,'Data Info'!$A$1:$B$8,2,0)</f>
        <v>7</v>
      </c>
      <c r="O727" s="2" t="str">
        <f>VLOOKUP(L727,'Data Info'!$A$1:$C$8,3,0)</f>
        <v>Weekend</v>
      </c>
    </row>
    <row r="728">
      <c r="A728" s="4">
        <v>45549.856944444444</v>
      </c>
      <c r="B728" s="9">
        <f>IFERROR(__xludf.DUMMYFUNCTION("SPLIT(A728,"" "")"),45549.0)</f>
        <v>45549</v>
      </c>
      <c r="C728" s="10">
        <f>IFERROR(__xludf.DUMMYFUNCTION("""COMPUTED_VALUE"""),0.8569444444444444)</f>
        <v>0.8569444444</v>
      </c>
      <c r="D728" s="2">
        <f t="shared" si="1"/>
        <v>20</v>
      </c>
      <c r="E728" s="2">
        <f>IFERROR(__xludf.DUMMYFUNCTION("SPLIT(B728,""/"")"),14.0)</f>
        <v>14</v>
      </c>
      <c r="F728" s="2">
        <f>IFERROR(__xludf.DUMMYFUNCTION("""COMPUTED_VALUE"""),9.0)</f>
        <v>9</v>
      </c>
      <c r="G728" s="2">
        <f>IFERROR(__xludf.DUMMYFUNCTION("""COMPUTED_VALUE"""),2024.0)</f>
        <v>2024</v>
      </c>
      <c r="H728" s="2" t="str">
        <f t="shared" si="2"/>
        <v>2024/9/14</v>
      </c>
      <c r="I728" s="2" t="s">
        <v>1587</v>
      </c>
      <c r="J728" s="2" t="str">
        <f t="shared" si="3"/>
        <v>Tahu Lada Garam</v>
      </c>
      <c r="K728" s="7">
        <f>if(RIGHT(I728,5)="2 pcs",2,Data!I728)</f>
        <v>1</v>
      </c>
      <c r="L728" s="2" t="str">
        <f t="shared" si="4"/>
        <v>Saturday</v>
      </c>
      <c r="M728" s="2" t="str">
        <f t="shared" si="5"/>
        <v>14</v>
      </c>
      <c r="N728" s="2">
        <f>VLOOKUP(L728,'Data Info'!$A$1:$B$8,2,0)</f>
        <v>6</v>
      </c>
      <c r="O728" s="2" t="str">
        <f>VLOOKUP(L728,'Data Info'!$A$1:$C$8,3,0)</f>
        <v>Weekend</v>
      </c>
    </row>
    <row r="729">
      <c r="A729" s="4">
        <v>45549.856944444444</v>
      </c>
      <c r="B729" s="9">
        <f>IFERROR(__xludf.DUMMYFUNCTION("SPLIT(A729,"" "")"),45549.0)</f>
        <v>45549</v>
      </c>
      <c r="C729" s="10">
        <f>IFERROR(__xludf.DUMMYFUNCTION("""COMPUTED_VALUE"""),0.8569444444444444)</f>
        <v>0.8569444444</v>
      </c>
      <c r="D729" s="2">
        <f t="shared" si="1"/>
        <v>20</v>
      </c>
      <c r="E729" s="2">
        <f>IFERROR(__xludf.DUMMYFUNCTION("SPLIT(B729,""/"")"),14.0)</f>
        <v>14</v>
      </c>
      <c r="F729" s="2">
        <f>IFERROR(__xludf.DUMMYFUNCTION("""COMPUTED_VALUE"""),9.0)</f>
        <v>9</v>
      </c>
      <c r="G729" s="2">
        <f>IFERROR(__xludf.DUMMYFUNCTION("""COMPUTED_VALUE"""),2024.0)</f>
        <v>2024</v>
      </c>
      <c r="H729" s="2" t="str">
        <f t="shared" si="2"/>
        <v>2024/9/14</v>
      </c>
      <c r="I729" s="2" t="s">
        <v>1609</v>
      </c>
      <c r="J729" s="2" t="str">
        <f t="shared" si="3"/>
        <v>Tempe Mendoan</v>
      </c>
      <c r="K729" s="7">
        <f>if(RIGHT(I729,5)="2 pcs",2,Data!I729)</f>
        <v>1</v>
      </c>
      <c r="L729" s="2" t="str">
        <f t="shared" si="4"/>
        <v>Saturday</v>
      </c>
      <c r="M729" s="2" t="str">
        <f t="shared" si="5"/>
        <v>14</v>
      </c>
      <c r="N729" s="2">
        <f>VLOOKUP(L729,'Data Info'!$A$1:$B$8,2,0)</f>
        <v>6</v>
      </c>
      <c r="O729" s="2" t="str">
        <f>VLOOKUP(L729,'Data Info'!$A$1:$C$8,3,0)</f>
        <v>Weekend</v>
      </c>
    </row>
    <row r="730">
      <c r="A730" s="4">
        <v>45549.85208333333</v>
      </c>
      <c r="B730" s="9">
        <f>IFERROR(__xludf.DUMMYFUNCTION("SPLIT(A730,"" "")"),45549.0)</f>
        <v>45549</v>
      </c>
      <c r="C730" s="10">
        <f>IFERROR(__xludf.DUMMYFUNCTION("""COMPUTED_VALUE"""),0.8520833333333333)</f>
        <v>0.8520833333</v>
      </c>
      <c r="D730" s="2">
        <f t="shared" si="1"/>
        <v>20</v>
      </c>
      <c r="E730" s="2">
        <f>IFERROR(__xludf.DUMMYFUNCTION("SPLIT(B730,""/"")"),14.0)</f>
        <v>14</v>
      </c>
      <c r="F730" s="2">
        <f>IFERROR(__xludf.DUMMYFUNCTION("""COMPUTED_VALUE"""),9.0)</f>
        <v>9</v>
      </c>
      <c r="G730" s="2">
        <f>IFERROR(__xludf.DUMMYFUNCTION("""COMPUTED_VALUE"""),2024.0)</f>
        <v>2024</v>
      </c>
      <c r="H730" s="2" t="str">
        <f t="shared" si="2"/>
        <v>2024/9/14</v>
      </c>
      <c r="I730" s="2" t="s">
        <v>1588</v>
      </c>
      <c r="J730" s="2" t="str">
        <f t="shared" si="3"/>
        <v>Es Kopi Susu</v>
      </c>
      <c r="K730" s="7">
        <f>if(RIGHT(I730,5)="2 pcs",2,Data!I730)</f>
        <v>1</v>
      </c>
      <c r="L730" s="2" t="str">
        <f t="shared" si="4"/>
        <v>Saturday</v>
      </c>
      <c r="M730" s="2" t="str">
        <f t="shared" si="5"/>
        <v>14</v>
      </c>
      <c r="N730" s="2">
        <f>VLOOKUP(L730,'Data Info'!$A$1:$B$8,2,0)</f>
        <v>6</v>
      </c>
      <c r="O730" s="2" t="str">
        <f>VLOOKUP(L730,'Data Info'!$A$1:$C$8,3,0)</f>
        <v>Weekend</v>
      </c>
    </row>
    <row r="731">
      <c r="A731" s="4">
        <v>45549.85208333333</v>
      </c>
      <c r="B731" s="9">
        <f>IFERROR(__xludf.DUMMYFUNCTION("SPLIT(A731,"" "")"),45549.0)</f>
        <v>45549</v>
      </c>
      <c r="C731" s="10">
        <f>IFERROR(__xludf.DUMMYFUNCTION("""COMPUTED_VALUE"""),0.8520833333333333)</f>
        <v>0.8520833333</v>
      </c>
      <c r="D731" s="2">
        <f t="shared" si="1"/>
        <v>20</v>
      </c>
      <c r="E731" s="2">
        <f>IFERROR(__xludf.DUMMYFUNCTION("SPLIT(B731,""/"")"),14.0)</f>
        <v>14</v>
      </c>
      <c r="F731" s="2">
        <f>IFERROR(__xludf.DUMMYFUNCTION("""COMPUTED_VALUE"""),9.0)</f>
        <v>9</v>
      </c>
      <c r="G731" s="2">
        <f>IFERROR(__xludf.DUMMYFUNCTION("""COMPUTED_VALUE"""),2024.0)</f>
        <v>2024</v>
      </c>
      <c r="H731" s="2" t="str">
        <f t="shared" si="2"/>
        <v>2024/9/14</v>
      </c>
      <c r="I731" s="2" t="s">
        <v>1605</v>
      </c>
      <c r="J731" s="2" t="str">
        <f t="shared" si="3"/>
        <v>Kentang Goreng</v>
      </c>
      <c r="K731" s="7">
        <f>if(RIGHT(I731,5)="2 pcs",2,Data!I731)</f>
        <v>1</v>
      </c>
      <c r="L731" s="2" t="str">
        <f t="shared" si="4"/>
        <v>Saturday</v>
      </c>
      <c r="M731" s="2" t="str">
        <f t="shared" si="5"/>
        <v>14</v>
      </c>
      <c r="N731" s="2">
        <f>VLOOKUP(L731,'Data Info'!$A$1:$B$8,2,0)</f>
        <v>6</v>
      </c>
      <c r="O731" s="2" t="str">
        <f>VLOOKUP(L731,'Data Info'!$A$1:$C$8,3,0)</f>
        <v>Weekend</v>
      </c>
    </row>
    <row r="732">
      <c r="A732" s="4">
        <v>45549.85208333333</v>
      </c>
      <c r="B732" s="9">
        <f>IFERROR(__xludf.DUMMYFUNCTION("SPLIT(A732,"" "")"),45549.0)</f>
        <v>45549</v>
      </c>
      <c r="C732" s="10">
        <f>IFERROR(__xludf.DUMMYFUNCTION("""COMPUTED_VALUE"""),0.8520833333333333)</f>
        <v>0.8520833333</v>
      </c>
      <c r="D732" s="2">
        <f t="shared" si="1"/>
        <v>20</v>
      </c>
      <c r="E732" s="2">
        <f>IFERROR(__xludf.DUMMYFUNCTION("SPLIT(B732,""/"")"),14.0)</f>
        <v>14</v>
      </c>
      <c r="F732" s="2">
        <f>IFERROR(__xludf.DUMMYFUNCTION("""COMPUTED_VALUE"""),9.0)</f>
        <v>9</v>
      </c>
      <c r="G732" s="2">
        <f>IFERROR(__xludf.DUMMYFUNCTION("""COMPUTED_VALUE"""),2024.0)</f>
        <v>2024</v>
      </c>
      <c r="H732" s="2" t="str">
        <f t="shared" si="2"/>
        <v>2024/9/14</v>
      </c>
      <c r="I732" s="2" t="s">
        <v>1584</v>
      </c>
      <c r="J732" s="2" t="str">
        <f t="shared" si="3"/>
        <v>Korean Mango Fresh Milk</v>
      </c>
      <c r="K732" s="7">
        <f>if(RIGHT(I732,5)="2 pcs",2,Data!I732)</f>
        <v>1</v>
      </c>
      <c r="L732" s="2" t="str">
        <f t="shared" si="4"/>
        <v>Saturday</v>
      </c>
      <c r="M732" s="2" t="str">
        <f t="shared" si="5"/>
        <v>14</v>
      </c>
      <c r="N732" s="2">
        <f>VLOOKUP(L732,'Data Info'!$A$1:$B$8,2,0)</f>
        <v>6</v>
      </c>
      <c r="O732" s="2" t="str">
        <f>VLOOKUP(L732,'Data Info'!$A$1:$C$8,3,0)</f>
        <v>Weekend</v>
      </c>
    </row>
    <row r="733">
      <c r="A733" s="4">
        <v>45549.80486111111</v>
      </c>
      <c r="B733" s="9">
        <f>IFERROR(__xludf.DUMMYFUNCTION("SPLIT(A733,"" "")"),45549.0)</f>
        <v>45549</v>
      </c>
      <c r="C733" s="10">
        <f>IFERROR(__xludf.DUMMYFUNCTION("""COMPUTED_VALUE"""),0.8048611111111111)</f>
        <v>0.8048611111</v>
      </c>
      <c r="D733" s="2">
        <f t="shared" si="1"/>
        <v>19</v>
      </c>
      <c r="E733" s="2">
        <f>IFERROR(__xludf.DUMMYFUNCTION("SPLIT(B733,""/"")"),14.0)</f>
        <v>14</v>
      </c>
      <c r="F733" s="2">
        <f>IFERROR(__xludf.DUMMYFUNCTION("""COMPUTED_VALUE"""),9.0)</f>
        <v>9</v>
      </c>
      <c r="G733" s="2">
        <f>IFERROR(__xludf.DUMMYFUNCTION("""COMPUTED_VALUE"""),2024.0)</f>
        <v>2024</v>
      </c>
      <c r="H733" s="2" t="str">
        <f t="shared" si="2"/>
        <v>2024/9/14</v>
      </c>
      <c r="I733" s="2" t="s">
        <v>1610</v>
      </c>
      <c r="J733" s="2" t="str">
        <f t="shared" si="3"/>
        <v>Roti toast eskrim</v>
      </c>
      <c r="K733" s="7">
        <f>if(RIGHT(I733,5)="2 pcs",2,Data!I733)</f>
        <v>1</v>
      </c>
      <c r="L733" s="2" t="str">
        <f t="shared" si="4"/>
        <v>Saturday</v>
      </c>
      <c r="M733" s="2" t="str">
        <f t="shared" si="5"/>
        <v>14</v>
      </c>
      <c r="N733" s="2">
        <f>VLOOKUP(L733,'Data Info'!$A$1:$B$8,2,0)</f>
        <v>6</v>
      </c>
      <c r="O733" s="2" t="str">
        <f>VLOOKUP(L733,'Data Info'!$A$1:$C$8,3,0)</f>
        <v>Weekend</v>
      </c>
    </row>
    <row r="734">
      <c r="A734" s="4">
        <v>45549.78888888889</v>
      </c>
      <c r="B734" s="9">
        <f>IFERROR(__xludf.DUMMYFUNCTION("SPLIT(A734,"" "")"),45549.0)</f>
        <v>45549</v>
      </c>
      <c r="C734" s="10">
        <f>IFERROR(__xludf.DUMMYFUNCTION("""COMPUTED_VALUE"""),0.7888888888888889)</f>
        <v>0.7888888889</v>
      </c>
      <c r="D734" s="2">
        <f t="shared" si="1"/>
        <v>18</v>
      </c>
      <c r="E734" s="2">
        <f>IFERROR(__xludf.DUMMYFUNCTION("SPLIT(B734,""/"")"),14.0)</f>
        <v>14</v>
      </c>
      <c r="F734" s="2">
        <f>IFERROR(__xludf.DUMMYFUNCTION("""COMPUTED_VALUE"""),9.0)</f>
        <v>9</v>
      </c>
      <c r="G734" s="2">
        <f>IFERROR(__xludf.DUMMYFUNCTION("""COMPUTED_VALUE"""),2024.0)</f>
        <v>2024</v>
      </c>
      <c r="H734" s="2" t="str">
        <f t="shared" si="2"/>
        <v>2024/9/14</v>
      </c>
      <c r="I734" s="2" t="s">
        <v>1573</v>
      </c>
      <c r="J734" s="2" t="str">
        <f t="shared" si="3"/>
        <v>Air mineral</v>
      </c>
      <c r="K734" s="7">
        <f>if(RIGHT(I734,5)="2 pcs",2,Data!I734)</f>
        <v>1</v>
      </c>
      <c r="L734" s="2" t="str">
        <f t="shared" si="4"/>
        <v>Saturday</v>
      </c>
      <c r="M734" s="2" t="str">
        <f t="shared" si="5"/>
        <v>14</v>
      </c>
      <c r="N734" s="2">
        <f>VLOOKUP(L734,'Data Info'!$A$1:$B$8,2,0)</f>
        <v>6</v>
      </c>
      <c r="O734" s="2" t="str">
        <f>VLOOKUP(L734,'Data Info'!$A$1:$C$8,3,0)</f>
        <v>Weekend</v>
      </c>
    </row>
    <row r="735">
      <c r="A735" s="4">
        <v>45549.76597222222</v>
      </c>
      <c r="B735" s="9">
        <f>IFERROR(__xludf.DUMMYFUNCTION("SPLIT(A735,"" "")"),45549.0)</f>
        <v>45549</v>
      </c>
      <c r="C735" s="10">
        <f>IFERROR(__xludf.DUMMYFUNCTION("""COMPUTED_VALUE"""),0.7659722222222223)</f>
        <v>0.7659722222</v>
      </c>
      <c r="D735" s="2">
        <f t="shared" si="1"/>
        <v>18</v>
      </c>
      <c r="E735" s="2">
        <f>IFERROR(__xludf.DUMMYFUNCTION("SPLIT(B735,""/"")"),14.0)</f>
        <v>14</v>
      </c>
      <c r="F735" s="2">
        <f>IFERROR(__xludf.DUMMYFUNCTION("""COMPUTED_VALUE"""),9.0)</f>
        <v>9</v>
      </c>
      <c r="G735" s="2">
        <f>IFERROR(__xludf.DUMMYFUNCTION("""COMPUTED_VALUE"""),2024.0)</f>
        <v>2024</v>
      </c>
      <c r="H735" s="2" t="str">
        <f t="shared" si="2"/>
        <v>2024/9/14</v>
      </c>
      <c r="I735" s="2" t="s">
        <v>1606</v>
      </c>
      <c r="J735" s="2" t="str">
        <f t="shared" si="3"/>
        <v>Pisang Goreng</v>
      </c>
      <c r="K735" s="7">
        <f>if(RIGHT(I735,5)="2 pcs",2,Data!I735)</f>
        <v>1</v>
      </c>
      <c r="L735" s="2" t="str">
        <f t="shared" si="4"/>
        <v>Saturday</v>
      </c>
      <c r="M735" s="2" t="str">
        <f t="shared" si="5"/>
        <v>14</v>
      </c>
      <c r="N735" s="2">
        <f>VLOOKUP(L735,'Data Info'!$A$1:$B$8,2,0)</f>
        <v>6</v>
      </c>
      <c r="O735" s="2" t="str">
        <f>VLOOKUP(L735,'Data Info'!$A$1:$C$8,3,0)</f>
        <v>Weekend</v>
      </c>
    </row>
    <row r="736">
      <c r="A736" s="4">
        <v>45549.76597222222</v>
      </c>
      <c r="B736" s="9">
        <f>IFERROR(__xludf.DUMMYFUNCTION("SPLIT(A736,"" "")"),45549.0)</f>
        <v>45549</v>
      </c>
      <c r="C736" s="10">
        <f>IFERROR(__xludf.DUMMYFUNCTION("""COMPUTED_VALUE"""),0.7659722222222223)</f>
        <v>0.7659722222</v>
      </c>
      <c r="D736" s="2">
        <f t="shared" si="1"/>
        <v>18</v>
      </c>
      <c r="E736" s="2">
        <f>IFERROR(__xludf.DUMMYFUNCTION("SPLIT(B736,""/"")"),14.0)</f>
        <v>14</v>
      </c>
      <c r="F736" s="2">
        <f>IFERROR(__xludf.DUMMYFUNCTION("""COMPUTED_VALUE"""),9.0)</f>
        <v>9</v>
      </c>
      <c r="G736" s="2">
        <f>IFERROR(__xludf.DUMMYFUNCTION("""COMPUTED_VALUE"""),2024.0)</f>
        <v>2024</v>
      </c>
      <c r="H736" s="2" t="str">
        <f t="shared" si="2"/>
        <v>2024/9/14</v>
      </c>
      <c r="I736" s="2" t="s">
        <v>1566</v>
      </c>
      <c r="J736" s="2" t="str">
        <f t="shared" si="3"/>
        <v>Roti Bawang Saus Keju</v>
      </c>
      <c r="K736" s="7">
        <f>if(RIGHT(I736,5)="2 pcs",2,Data!I736)</f>
        <v>1</v>
      </c>
      <c r="L736" s="2" t="str">
        <f t="shared" si="4"/>
        <v>Saturday</v>
      </c>
      <c r="M736" s="2" t="str">
        <f t="shared" si="5"/>
        <v>14</v>
      </c>
      <c r="N736" s="2">
        <f>VLOOKUP(L736,'Data Info'!$A$1:$B$8,2,0)</f>
        <v>6</v>
      </c>
      <c r="O736" s="2" t="str">
        <f>VLOOKUP(L736,'Data Info'!$A$1:$C$8,3,0)</f>
        <v>Weekend</v>
      </c>
    </row>
    <row r="737">
      <c r="A737" s="4">
        <v>45549.76597222222</v>
      </c>
      <c r="B737" s="9">
        <f>IFERROR(__xludf.DUMMYFUNCTION("SPLIT(A737,"" "")"),45549.0)</f>
        <v>45549</v>
      </c>
      <c r="C737" s="10">
        <f>IFERROR(__xludf.DUMMYFUNCTION("""COMPUTED_VALUE"""),0.7659722222222223)</f>
        <v>0.7659722222</v>
      </c>
      <c r="D737" s="2">
        <f t="shared" si="1"/>
        <v>18</v>
      </c>
      <c r="E737" s="2">
        <f>IFERROR(__xludf.DUMMYFUNCTION("SPLIT(B737,""/"")"),14.0)</f>
        <v>14</v>
      </c>
      <c r="F737" s="2">
        <f>IFERROR(__xludf.DUMMYFUNCTION("""COMPUTED_VALUE"""),9.0)</f>
        <v>9</v>
      </c>
      <c r="G737" s="2">
        <f>IFERROR(__xludf.DUMMYFUNCTION("""COMPUTED_VALUE"""),2024.0)</f>
        <v>2024</v>
      </c>
      <c r="H737" s="2" t="str">
        <f t="shared" si="2"/>
        <v>2024/9/14</v>
      </c>
      <c r="I737" s="2" t="s">
        <v>1588</v>
      </c>
      <c r="J737" s="2" t="str">
        <f t="shared" si="3"/>
        <v>Es Kopi Susu</v>
      </c>
      <c r="K737" s="7">
        <f>if(RIGHT(I737,5)="2 pcs",2,Data!I737)</f>
        <v>1</v>
      </c>
      <c r="L737" s="2" t="str">
        <f t="shared" si="4"/>
        <v>Saturday</v>
      </c>
      <c r="M737" s="2" t="str">
        <f t="shared" si="5"/>
        <v>14</v>
      </c>
      <c r="N737" s="2">
        <f>VLOOKUP(L737,'Data Info'!$A$1:$B$8,2,0)</f>
        <v>6</v>
      </c>
      <c r="O737" s="2" t="str">
        <f>VLOOKUP(L737,'Data Info'!$A$1:$C$8,3,0)</f>
        <v>Weekend</v>
      </c>
    </row>
    <row r="738">
      <c r="A738" s="4">
        <v>45549.76597222222</v>
      </c>
      <c r="B738" s="9">
        <f>IFERROR(__xludf.DUMMYFUNCTION("SPLIT(A738,"" "")"),45549.0)</f>
        <v>45549</v>
      </c>
      <c r="C738" s="10">
        <f>IFERROR(__xludf.DUMMYFUNCTION("""COMPUTED_VALUE"""),0.7659722222222223)</f>
        <v>0.7659722222</v>
      </c>
      <c r="D738" s="2">
        <f t="shared" si="1"/>
        <v>18</v>
      </c>
      <c r="E738" s="2">
        <f>IFERROR(__xludf.DUMMYFUNCTION("SPLIT(B738,""/"")"),14.0)</f>
        <v>14</v>
      </c>
      <c r="F738" s="2">
        <f>IFERROR(__xludf.DUMMYFUNCTION("""COMPUTED_VALUE"""),9.0)</f>
        <v>9</v>
      </c>
      <c r="G738" s="2">
        <f>IFERROR(__xludf.DUMMYFUNCTION("""COMPUTED_VALUE"""),2024.0)</f>
        <v>2024</v>
      </c>
      <c r="H738" s="2" t="str">
        <f t="shared" si="2"/>
        <v>2024/9/14</v>
      </c>
      <c r="I738" s="2" t="s">
        <v>1582</v>
      </c>
      <c r="J738" s="2" t="str">
        <f t="shared" si="3"/>
        <v>Teh Tawar Dingin</v>
      </c>
      <c r="K738" s="7">
        <f>if(RIGHT(I738,5)="2 pcs",2,Data!I738)</f>
        <v>1</v>
      </c>
      <c r="L738" s="2" t="str">
        <f t="shared" si="4"/>
        <v>Saturday</v>
      </c>
      <c r="M738" s="2" t="str">
        <f t="shared" si="5"/>
        <v>14</v>
      </c>
      <c r="N738" s="2">
        <f>VLOOKUP(L738,'Data Info'!$A$1:$B$8,2,0)</f>
        <v>6</v>
      </c>
      <c r="O738" s="2" t="str">
        <f>VLOOKUP(L738,'Data Info'!$A$1:$C$8,3,0)</f>
        <v>Weekend</v>
      </c>
    </row>
    <row r="739">
      <c r="A739" s="4">
        <v>45549.75</v>
      </c>
      <c r="B739" s="9">
        <f>IFERROR(__xludf.DUMMYFUNCTION("SPLIT(A739,"" "")"),45549.0)</f>
        <v>45549</v>
      </c>
      <c r="C739" s="10">
        <f>IFERROR(__xludf.DUMMYFUNCTION("""COMPUTED_VALUE"""),0.75)</f>
        <v>0.75</v>
      </c>
      <c r="D739" s="2">
        <f t="shared" si="1"/>
        <v>18</v>
      </c>
      <c r="E739" s="2">
        <f>IFERROR(__xludf.DUMMYFUNCTION("SPLIT(B739,""/"")"),14.0)</f>
        <v>14</v>
      </c>
      <c r="F739" s="2">
        <f>IFERROR(__xludf.DUMMYFUNCTION("""COMPUTED_VALUE"""),9.0)</f>
        <v>9</v>
      </c>
      <c r="G739" s="2">
        <f>IFERROR(__xludf.DUMMYFUNCTION("""COMPUTED_VALUE"""),2024.0)</f>
        <v>2024</v>
      </c>
      <c r="H739" s="2" t="str">
        <f t="shared" si="2"/>
        <v>2024/9/14</v>
      </c>
      <c r="I739" s="2" t="s">
        <v>1588</v>
      </c>
      <c r="J739" s="2" t="str">
        <f t="shared" si="3"/>
        <v>Es Kopi Susu</v>
      </c>
      <c r="K739" s="7">
        <f>if(RIGHT(I739,5)="2 pcs",2,Data!I739)</f>
        <v>1</v>
      </c>
      <c r="L739" s="2" t="str">
        <f t="shared" si="4"/>
        <v>Saturday</v>
      </c>
      <c r="M739" s="2" t="str">
        <f t="shared" si="5"/>
        <v>14</v>
      </c>
      <c r="N739" s="2">
        <f>VLOOKUP(L739,'Data Info'!$A$1:$B$8,2,0)</f>
        <v>6</v>
      </c>
      <c r="O739" s="2" t="str">
        <f>VLOOKUP(L739,'Data Info'!$A$1:$C$8,3,0)</f>
        <v>Weekend</v>
      </c>
    </row>
    <row r="740">
      <c r="A740" s="4">
        <v>45549.75</v>
      </c>
      <c r="B740" s="9">
        <f>IFERROR(__xludf.DUMMYFUNCTION("SPLIT(A740,"" "")"),45549.0)</f>
        <v>45549</v>
      </c>
      <c r="C740" s="10">
        <f>IFERROR(__xludf.DUMMYFUNCTION("""COMPUTED_VALUE"""),0.75)</f>
        <v>0.75</v>
      </c>
      <c r="D740" s="2">
        <f t="shared" si="1"/>
        <v>18</v>
      </c>
      <c r="E740" s="2">
        <f>IFERROR(__xludf.DUMMYFUNCTION("SPLIT(B740,""/"")"),14.0)</f>
        <v>14</v>
      </c>
      <c r="F740" s="2">
        <f>IFERROR(__xludf.DUMMYFUNCTION("""COMPUTED_VALUE"""),9.0)</f>
        <v>9</v>
      </c>
      <c r="G740" s="2">
        <f>IFERROR(__xludf.DUMMYFUNCTION("""COMPUTED_VALUE"""),2024.0)</f>
        <v>2024</v>
      </c>
      <c r="H740" s="2" t="str">
        <f t="shared" si="2"/>
        <v>2024/9/14</v>
      </c>
      <c r="I740" s="2" t="s">
        <v>1586</v>
      </c>
      <c r="J740" s="2" t="str">
        <f t="shared" si="3"/>
        <v>Jamur Enoki Krispi</v>
      </c>
      <c r="K740" s="7">
        <f>if(RIGHT(I740,5)="2 pcs",2,Data!I740)</f>
        <v>1</v>
      </c>
      <c r="L740" s="2" t="str">
        <f t="shared" si="4"/>
        <v>Saturday</v>
      </c>
      <c r="M740" s="2" t="str">
        <f t="shared" si="5"/>
        <v>14</v>
      </c>
      <c r="N740" s="2">
        <f>VLOOKUP(L740,'Data Info'!$A$1:$B$8,2,0)</f>
        <v>6</v>
      </c>
      <c r="O740" s="2" t="str">
        <f>VLOOKUP(L740,'Data Info'!$A$1:$C$8,3,0)</f>
        <v>Weekend</v>
      </c>
    </row>
    <row r="741">
      <c r="A741" s="4">
        <v>45549.75</v>
      </c>
      <c r="B741" s="9">
        <f>IFERROR(__xludf.DUMMYFUNCTION("SPLIT(A741,"" "")"),45549.0)</f>
        <v>45549</v>
      </c>
      <c r="C741" s="10">
        <f>IFERROR(__xludf.DUMMYFUNCTION("""COMPUTED_VALUE"""),0.75)</f>
        <v>0.75</v>
      </c>
      <c r="D741" s="2">
        <f t="shared" si="1"/>
        <v>18</v>
      </c>
      <c r="E741" s="2">
        <f>IFERROR(__xludf.DUMMYFUNCTION("SPLIT(B741,""/"")"),14.0)</f>
        <v>14</v>
      </c>
      <c r="F741" s="2">
        <f>IFERROR(__xludf.DUMMYFUNCTION("""COMPUTED_VALUE"""),9.0)</f>
        <v>9</v>
      </c>
      <c r="G741" s="2">
        <f>IFERROR(__xludf.DUMMYFUNCTION("""COMPUTED_VALUE"""),2024.0)</f>
        <v>2024</v>
      </c>
      <c r="H741" s="2" t="str">
        <f t="shared" si="2"/>
        <v>2024/9/14</v>
      </c>
      <c r="I741" s="2" t="s">
        <v>1585</v>
      </c>
      <c r="J741" s="2" t="str">
        <f t="shared" si="3"/>
        <v>Susu murni moca</v>
      </c>
      <c r="K741" s="7">
        <f>if(RIGHT(I741,5)="2 pcs",2,Data!I741)</f>
        <v>1</v>
      </c>
      <c r="L741" s="2" t="str">
        <f t="shared" si="4"/>
        <v>Saturday</v>
      </c>
      <c r="M741" s="2" t="str">
        <f t="shared" si="5"/>
        <v>14</v>
      </c>
      <c r="N741" s="2">
        <f>VLOOKUP(L741,'Data Info'!$A$1:$B$8,2,0)</f>
        <v>6</v>
      </c>
      <c r="O741" s="2" t="str">
        <f>VLOOKUP(L741,'Data Info'!$A$1:$C$8,3,0)</f>
        <v>Weekend</v>
      </c>
    </row>
    <row r="742">
      <c r="A742" s="4">
        <v>45549.74166666667</v>
      </c>
      <c r="B742" s="9">
        <f>IFERROR(__xludf.DUMMYFUNCTION("SPLIT(A742,"" "")"),45549.0)</f>
        <v>45549</v>
      </c>
      <c r="C742" s="10">
        <f>IFERROR(__xludf.DUMMYFUNCTION("""COMPUTED_VALUE"""),0.7416666666666667)</f>
        <v>0.7416666667</v>
      </c>
      <c r="D742" s="2">
        <f t="shared" si="1"/>
        <v>17</v>
      </c>
      <c r="E742" s="2">
        <f>IFERROR(__xludf.DUMMYFUNCTION("SPLIT(B742,""/"")"),14.0)</f>
        <v>14</v>
      </c>
      <c r="F742" s="2">
        <f>IFERROR(__xludf.DUMMYFUNCTION("""COMPUTED_VALUE"""),9.0)</f>
        <v>9</v>
      </c>
      <c r="G742" s="2">
        <f>IFERROR(__xludf.DUMMYFUNCTION("""COMPUTED_VALUE"""),2024.0)</f>
        <v>2024</v>
      </c>
      <c r="H742" s="2" t="str">
        <f t="shared" si="2"/>
        <v>2024/9/14</v>
      </c>
      <c r="I742" s="2" t="s">
        <v>1609</v>
      </c>
      <c r="J742" s="2" t="str">
        <f t="shared" si="3"/>
        <v>Tempe Mendoan</v>
      </c>
      <c r="K742" s="7">
        <f>if(RIGHT(I742,5)="2 pcs",2,Data!I742)</f>
        <v>1</v>
      </c>
      <c r="L742" s="2" t="str">
        <f t="shared" si="4"/>
        <v>Saturday</v>
      </c>
      <c r="M742" s="2" t="str">
        <f t="shared" si="5"/>
        <v>14</v>
      </c>
      <c r="N742" s="2">
        <f>VLOOKUP(L742,'Data Info'!$A$1:$B$8,2,0)</f>
        <v>6</v>
      </c>
      <c r="O742" s="2" t="str">
        <f>VLOOKUP(L742,'Data Info'!$A$1:$C$8,3,0)</f>
        <v>Weekend</v>
      </c>
    </row>
    <row r="743">
      <c r="A743" s="4">
        <v>45549.71527777778</v>
      </c>
      <c r="B743" s="9">
        <f>IFERROR(__xludf.DUMMYFUNCTION("SPLIT(A743,"" "")"),45549.0)</f>
        <v>45549</v>
      </c>
      <c r="C743" s="10">
        <f>IFERROR(__xludf.DUMMYFUNCTION("""COMPUTED_VALUE"""),0.7152777777777778)</f>
        <v>0.7152777778</v>
      </c>
      <c r="D743" s="2">
        <f t="shared" si="1"/>
        <v>17</v>
      </c>
      <c r="E743" s="2">
        <f>IFERROR(__xludf.DUMMYFUNCTION("SPLIT(B743,""/"")"),14.0)</f>
        <v>14</v>
      </c>
      <c r="F743" s="2">
        <f>IFERROR(__xludf.DUMMYFUNCTION("""COMPUTED_VALUE"""),9.0)</f>
        <v>9</v>
      </c>
      <c r="G743" s="2">
        <f>IFERROR(__xludf.DUMMYFUNCTION("""COMPUTED_VALUE"""),2024.0)</f>
        <v>2024</v>
      </c>
      <c r="H743" s="2" t="str">
        <f t="shared" si="2"/>
        <v>2024/9/14</v>
      </c>
      <c r="I743" s="2" t="s">
        <v>1606</v>
      </c>
      <c r="J743" s="2" t="str">
        <f t="shared" si="3"/>
        <v>Pisang Goreng</v>
      </c>
      <c r="K743" s="7">
        <f>if(RIGHT(I743,5)="2 pcs",2,Data!I743)</f>
        <v>1</v>
      </c>
      <c r="L743" s="2" t="str">
        <f t="shared" si="4"/>
        <v>Saturday</v>
      </c>
      <c r="M743" s="2" t="str">
        <f t="shared" si="5"/>
        <v>14</v>
      </c>
      <c r="N743" s="2">
        <f>VLOOKUP(L743,'Data Info'!$A$1:$B$8,2,0)</f>
        <v>6</v>
      </c>
      <c r="O743" s="2" t="str">
        <f>VLOOKUP(L743,'Data Info'!$A$1:$C$8,3,0)</f>
        <v>Weekend</v>
      </c>
    </row>
    <row r="744">
      <c r="A744" s="4">
        <v>45549.71527777778</v>
      </c>
      <c r="B744" s="9">
        <f>IFERROR(__xludf.DUMMYFUNCTION("SPLIT(A744,"" "")"),45549.0)</f>
        <v>45549</v>
      </c>
      <c r="C744" s="10">
        <f>IFERROR(__xludf.DUMMYFUNCTION("""COMPUTED_VALUE"""),0.7152777777777778)</f>
        <v>0.7152777778</v>
      </c>
      <c r="D744" s="2">
        <f t="shared" si="1"/>
        <v>17</v>
      </c>
      <c r="E744" s="2">
        <f>IFERROR(__xludf.DUMMYFUNCTION("SPLIT(B744,""/"")"),14.0)</f>
        <v>14</v>
      </c>
      <c r="F744" s="2">
        <f>IFERROR(__xludf.DUMMYFUNCTION("""COMPUTED_VALUE"""),9.0)</f>
        <v>9</v>
      </c>
      <c r="G744" s="2">
        <f>IFERROR(__xludf.DUMMYFUNCTION("""COMPUTED_VALUE"""),2024.0)</f>
        <v>2024</v>
      </c>
      <c r="H744" s="2" t="str">
        <f t="shared" si="2"/>
        <v>2024/9/14</v>
      </c>
      <c r="I744" s="2" t="s">
        <v>1579</v>
      </c>
      <c r="J744" s="2" t="str">
        <f t="shared" si="3"/>
        <v>Tahu baso</v>
      </c>
      <c r="K744" s="7">
        <f>if(RIGHT(I744,5)="2 pcs",2,Data!I744)</f>
        <v>1</v>
      </c>
      <c r="L744" s="2" t="str">
        <f t="shared" si="4"/>
        <v>Saturday</v>
      </c>
      <c r="M744" s="2" t="str">
        <f t="shared" si="5"/>
        <v>14</v>
      </c>
      <c r="N744" s="2">
        <f>VLOOKUP(L744,'Data Info'!$A$1:$B$8,2,0)</f>
        <v>6</v>
      </c>
      <c r="O744" s="2" t="str">
        <f>VLOOKUP(L744,'Data Info'!$A$1:$C$8,3,0)</f>
        <v>Weekend</v>
      </c>
    </row>
    <row r="745">
      <c r="A745" s="4">
        <v>45549.69652777778</v>
      </c>
      <c r="B745" s="9">
        <f>IFERROR(__xludf.DUMMYFUNCTION("SPLIT(A745,"" "")"),45549.0)</f>
        <v>45549</v>
      </c>
      <c r="C745" s="10">
        <f>IFERROR(__xludf.DUMMYFUNCTION("""COMPUTED_VALUE"""),0.6965277777777777)</f>
        <v>0.6965277778</v>
      </c>
      <c r="D745" s="2">
        <f t="shared" si="1"/>
        <v>16</v>
      </c>
      <c r="E745" s="2">
        <f>IFERROR(__xludf.DUMMYFUNCTION("SPLIT(B745,""/"")"),14.0)</f>
        <v>14</v>
      </c>
      <c r="F745" s="2">
        <f>IFERROR(__xludf.DUMMYFUNCTION("""COMPUTED_VALUE"""),9.0)</f>
        <v>9</v>
      </c>
      <c r="G745" s="2">
        <f>IFERROR(__xludf.DUMMYFUNCTION("""COMPUTED_VALUE"""),2024.0)</f>
        <v>2024</v>
      </c>
      <c r="H745" s="2" t="str">
        <f t="shared" si="2"/>
        <v>2024/9/14</v>
      </c>
      <c r="I745" s="2" t="s">
        <v>1586</v>
      </c>
      <c r="J745" s="2" t="str">
        <f t="shared" si="3"/>
        <v>Jamur Enoki Krispi</v>
      </c>
      <c r="K745" s="7">
        <f>if(RIGHT(I745,5)="2 pcs",2,Data!I745)</f>
        <v>1</v>
      </c>
      <c r="L745" s="2" t="str">
        <f t="shared" si="4"/>
        <v>Saturday</v>
      </c>
      <c r="M745" s="2" t="str">
        <f t="shared" si="5"/>
        <v>14</v>
      </c>
      <c r="N745" s="2">
        <f>VLOOKUP(L745,'Data Info'!$A$1:$B$8,2,0)</f>
        <v>6</v>
      </c>
      <c r="O745" s="2" t="str">
        <f>VLOOKUP(L745,'Data Info'!$A$1:$C$8,3,0)</f>
        <v>Weekend</v>
      </c>
    </row>
    <row r="746">
      <c r="A746" s="4">
        <v>45549.691666666666</v>
      </c>
      <c r="B746" s="9">
        <f>IFERROR(__xludf.DUMMYFUNCTION("SPLIT(A746,"" "")"),45549.0)</f>
        <v>45549</v>
      </c>
      <c r="C746" s="10">
        <f>IFERROR(__xludf.DUMMYFUNCTION("""COMPUTED_VALUE"""),0.6916666666666667)</f>
        <v>0.6916666667</v>
      </c>
      <c r="D746" s="2">
        <f t="shared" si="1"/>
        <v>16</v>
      </c>
      <c r="E746" s="2">
        <f>IFERROR(__xludf.DUMMYFUNCTION("SPLIT(B746,""/"")"),14.0)</f>
        <v>14</v>
      </c>
      <c r="F746" s="2">
        <f>IFERROR(__xludf.DUMMYFUNCTION("""COMPUTED_VALUE"""),9.0)</f>
        <v>9</v>
      </c>
      <c r="G746" s="2">
        <f>IFERROR(__xludf.DUMMYFUNCTION("""COMPUTED_VALUE"""),2024.0)</f>
        <v>2024</v>
      </c>
      <c r="H746" s="2" t="str">
        <f t="shared" si="2"/>
        <v>2024/9/14</v>
      </c>
      <c r="I746" s="2" t="s">
        <v>1588</v>
      </c>
      <c r="J746" s="2" t="str">
        <f t="shared" si="3"/>
        <v>Es Kopi Susu</v>
      </c>
      <c r="K746" s="7">
        <f>if(RIGHT(I746,5)="2 pcs",2,Data!I746)</f>
        <v>1</v>
      </c>
      <c r="L746" s="2" t="str">
        <f t="shared" si="4"/>
        <v>Saturday</v>
      </c>
      <c r="M746" s="2" t="str">
        <f t="shared" si="5"/>
        <v>14</v>
      </c>
      <c r="N746" s="2">
        <f>VLOOKUP(L746,'Data Info'!$A$1:$B$8,2,0)</f>
        <v>6</v>
      </c>
      <c r="O746" s="2" t="str">
        <f>VLOOKUP(L746,'Data Info'!$A$1:$C$8,3,0)</f>
        <v>Weekend</v>
      </c>
    </row>
    <row r="747">
      <c r="A747" s="4">
        <v>45549.691666666666</v>
      </c>
      <c r="B747" s="9">
        <f>IFERROR(__xludf.DUMMYFUNCTION("SPLIT(A747,"" "")"),45549.0)</f>
        <v>45549</v>
      </c>
      <c r="C747" s="10">
        <f>IFERROR(__xludf.DUMMYFUNCTION("""COMPUTED_VALUE"""),0.6916666666666667)</f>
        <v>0.6916666667</v>
      </c>
      <c r="D747" s="2">
        <f t="shared" si="1"/>
        <v>16</v>
      </c>
      <c r="E747" s="2">
        <f>IFERROR(__xludf.DUMMYFUNCTION("SPLIT(B747,""/"")"),14.0)</f>
        <v>14</v>
      </c>
      <c r="F747" s="2">
        <f>IFERROR(__xludf.DUMMYFUNCTION("""COMPUTED_VALUE"""),9.0)</f>
        <v>9</v>
      </c>
      <c r="G747" s="2">
        <f>IFERROR(__xludf.DUMMYFUNCTION("""COMPUTED_VALUE"""),2024.0)</f>
        <v>2024</v>
      </c>
      <c r="H747" s="2" t="str">
        <f t="shared" si="2"/>
        <v>2024/9/14</v>
      </c>
      <c r="I747" s="2" t="s">
        <v>1579</v>
      </c>
      <c r="J747" s="2" t="str">
        <f t="shared" si="3"/>
        <v>Tahu baso</v>
      </c>
      <c r="K747" s="7">
        <f>if(RIGHT(I747,5)="2 pcs",2,Data!I747)</f>
        <v>1</v>
      </c>
      <c r="L747" s="2" t="str">
        <f t="shared" si="4"/>
        <v>Saturday</v>
      </c>
      <c r="M747" s="2" t="str">
        <f t="shared" si="5"/>
        <v>14</v>
      </c>
      <c r="N747" s="2">
        <f>VLOOKUP(L747,'Data Info'!$A$1:$B$8,2,0)</f>
        <v>6</v>
      </c>
      <c r="O747" s="2" t="str">
        <f>VLOOKUP(L747,'Data Info'!$A$1:$C$8,3,0)</f>
        <v>Weekend</v>
      </c>
    </row>
    <row r="748">
      <c r="A748" s="4">
        <v>45549.69097222222</v>
      </c>
      <c r="B748" s="9">
        <f>IFERROR(__xludf.DUMMYFUNCTION("SPLIT(A748,"" "")"),45549.0)</f>
        <v>45549</v>
      </c>
      <c r="C748" s="10">
        <f>IFERROR(__xludf.DUMMYFUNCTION("""COMPUTED_VALUE"""),0.6909722222222222)</f>
        <v>0.6909722222</v>
      </c>
      <c r="D748" s="2">
        <f t="shared" si="1"/>
        <v>16</v>
      </c>
      <c r="E748" s="2">
        <f>IFERROR(__xludf.DUMMYFUNCTION("SPLIT(B748,""/"")"),14.0)</f>
        <v>14</v>
      </c>
      <c r="F748" s="2">
        <f>IFERROR(__xludf.DUMMYFUNCTION("""COMPUTED_VALUE"""),9.0)</f>
        <v>9</v>
      </c>
      <c r="G748" s="2">
        <f>IFERROR(__xludf.DUMMYFUNCTION("""COMPUTED_VALUE"""),2024.0)</f>
        <v>2024</v>
      </c>
      <c r="H748" s="2" t="str">
        <f t="shared" si="2"/>
        <v>2024/9/14</v>
      </c>
      <c r="I748" s="2" t="s">
        <v>1576</v>
      </c>
      <c r="J748" s="2" t="str">
        <f t="shared" si="3"/>
        <v>Roti Cranberry</v>
      </c>
      <c r="K748" s="7">
        <f>if(RIGHT(I748,5)="2 pcs",2,Data!I748)</f>
        <v>1</v>
      </c>
      <c r="L748" s="2" t="str">
        <f t="shared" si="4"/>
        <v>Saturday</v>
      </c>
      <c r="M748" s="2" t="str">
        <f t="shared" si="5"/>
        <v>14</v>
      </c>
      <c r="N748" s="2">
        <f>VLOOKUP(L748,'Data Info'!$A$1:$B$8,2,0)</f>
        <v>6</v>
      </c>
      <c r="O748" s="2" t="str">
        <f>VLOOKUP(L748,'Data Info'!$A$1:$C$8,3,0)</f>
        <v>Weekend</v>
      </c>
    </row>
    <row r="749">
      <c r="A749" s="4">
        <v>45549.69097222222</v>
      </c>
      <c r="B749" s="9">
        <f>IFERROR(__xludf.DUMMYFUNCTION("SPLIT(A749,"" "")"),45549.0)</f>
        <v>45549</v>
      </c>
      <c r="C749" s="10">
        <f>IFERROR(__xludf.DUMMYFUNCTION("""COMPUTED_VALUE"""),0.6909722222222222)</f>
        <v>0.6909722222</v>
      </c>
      <c r="D749" s="2">
        <f t="shared" si="1"/>
        <v>16</v>
      </c>
      <c r="E749" s="2">
        <f>IFERROR(__xludf.DUMMYFUNCTION("SPLIT(B749,""/"")"),14.0)</f>
        <v>14</v>
      </c>
      <c r="F749" s="2">
        <f>IFERROR(__xludf.DUMMYFUNCTION("""COMPUTED_VALUE"""),9.0)</f>
        <v>9</v>
      </c>
      <c r="G749" s="2">
        <f>IFERROR(__xludf.DUMMYFUNCTION("""COMPUTED_VALUE"""),2024.0)</f>
        <v>2024</v>
      </c>
      <c r="H749" s="2" t="str">
        <f t="shared" si="2"/>
        <v>2024/9/14</v>
      </c>
      <c r="I749" s="2" t="s">
        <v>1588</v>
      </c>
      <c r="J749" s="2" t="str">
        <f t="shared" si="3"/>
        <v>Es Kopi Susu</v>
      </c>
      <c r="K749" s="7">
        <f>if(RIGHT(I749,5)="2 pcs",2,Data!I749)</f>
        <v>1</v>
      </c>
      <c r="L749" s="2" t="str">
        <f t="shared" si="4"/>
        <v>Saturday</v>
      </c>
      <c r="M749" s="2" t="str">
        <f t="shared" si="5"/>
        <v>14</v>
      </c>
      <c r="N749" s="2">
        <f>VLOOKUP(L749,'Data Info'!$A$1:$B$8,2,0)</f>
        <v>6</v>
      </c>
      <c r="O749" s="2" t="str">
        <f>VLOOKUP(L749,'Data Info'!$A$1:$C$8,3,0)</f>
        <v>Weekend</v>
      </c>
    </row>
    <row r="750">
      <c r="A750" s="4">
        <v>45549.69097222222</v>
      </c>
      <c r="B750" s="9">
        <f>IFERROR(__xludf.DUMMYFUNCTION("SPLIT(A750,"" "")"),45549.0)</f>
        <v>45549</v>
      </c>
      <c r="C750" s="10">
        <f>IFERROR(__xludf.DUMMYFUNCTION("""COMPUTED_VALUE"""),0.6909722222222222)</f>
        <v>0.6909722222</v>
      </c>
      <c r="D750" s="2">
        <f t="shared" si="1"/>
        <v>16</v>
      </c>
      <c r="E750" s="2">
        <f>IFERROR(__xludf.DUMMYFUNCTION("SPLIT(B750,""/"")"),14.0)</f>
        <v>14</v>
      </c>
      <c r="F750" s="2">
        <f>IFERROR(__xludf.DUMMYFUNCTION("""COMPUTED_VALUE"""),9.0)</f>
        <v>9</v>
      </c>
      <c r="G750" s="2">
        <f>IFERROR(__xludf.DUMMYFUNCTION("""COMPUTED_VALUE"""),2024.0)</f>
        <v>2024</v>
      </c>
      <c r="H750" s="2" t="str">
        <f t="shared" si="2"/>
        <v>2024/9/14</v>
      </c>
      <c r="I750" s="2" t="s">
        <v>1617</v>
      </c>
      <c r="J750" s="2" t="str">
        <f t="shared" si="3"/>
        <v>Lemon Tea Dingin</v>
      </c>
      <c r="K750" s="7">
        <f>if(RIGHT(I750,5)="2 pcs",2,Data!I750)</f>
        <v>1</v>
      </c>
      <c r="L750" s="2" t="str">
        <f t="shared" si="4"/>
        <v>Saturday</v>
      </c>
      <c r="M750" s="2" t="str">
        <f t="shared" si="5"/>
        <v>14</v>
      </c>
      <c r="N750" s="2">
        <f>VLOOKUP(L750,'Data Info'!$A$1:$B$8,2,0)</f>
        <v>6</v>
      </c>
      <c r="O750" s="2" t="str">
        <f>VLOOKUP(L750,'Data Info'!$A$1:$C$8,3,0)</f>
        <v>Weekend</v>
      </c>
    </row>
    <row r="751">
      <c r="A751" s="4">
        <v>45549.68958333333</v>
      </c>
      <c r="B751" s="9">
        <f>IFERROR(__xludf.DUMMYFUNCTION("SPLIT(A751,"" "")"),45549.0)</f>
        <v>45549</v>
      </c>
      <c r="C751" s="10">
        <f>IFERROR(__xludf.DUMMYFUNCTION("""COMPUTED_VALUE"""),0.6895833333333333)</f>
        <v>0.6895833333</v>
      </c>
      <c r="D751" s="2">
        <f t="shared" si="1"/>
        <v>16</v>
      </c>
      <c r="E751" s="2">
        <f>IFERROR(__xludf.DUMMYFUNCTION("SPLIT(B751,""/"")"),14.0)</f>
        <v>14</v>
      </c>
      <c r="F751" s="2">
        <f>IFERROR(__xludf.DUMMYFUNCTION("""COMPUTED_VALUE"""),9.0)</f>
        <v>9</v>
      </c>
      <c r="G751" s="2">
        <f>IFERROR(__xludf.DUMMYFUNCTION("""COMPUTED_VALUE"""),2024.0)</f>
        <v>2024</v>
      </c>
      <c r="H751" s="2" t="str">
        <f t="shared" si="2"/>
        <v>2024/9/14</v>
      </c>
      <c r="I751" s="2" t="s">
        <v>1615</v>
      </c>
      <c r="J751" s="2" t="str">
        <f t="shared" si="3"/>
        <v>Roti panggang sarikaya</v>
      </c>
      <c r="K751" s="7">
        <f>if(RIGHT(I751,5)="2 pcs",2,Data!I751)</f>
        <v>1</v>
      </c>
      <c r="L751" s="2" t="str">
        <f t="shared" si="4"/>
        <v>Saturday</v>
      </c>
      <c r="M751" s="2" t="str">
        <f t="shared" si="5"/>
        <v>14</v>
      </c>
      <c r="N751" s="2">
        <f>VLOOKUP(L751,'Data Info'!$A$1:$B$8,2,0)</f>
        <v>6</v>
      </c>
      <c r="O751" s="2" t="str">
        <f>VLOOKUP(L751,'Data Info'!$A$1:$C$8,3,0)</f>
        <v>Weekend</v>
      </c>
    </row>
    <row r="752">
      <c r="A752" s="4">
        <v>45549.68958333333</v>
      </c>
      <c r="B752" s="9">
        <f>IFERROR(__xludf.DUMMYFUNCTION("SPLIT(A752,"" "")"),45549.0)</f>
        <v>45549</v>
      </c>
      <c r="C752" s="10">
        <f>IFERROR(__xludf.DUMMYFUNCTION("""COMPUTED_VALUE"""),0.6895833333333333)</f>
        <v>0.6895833333</v>
      </c>
      <c r="D752" s="2">
        <f t="shared" si="1"/>
        <v>16</v>
      </c>
      <c r="E752" s="2">
        <f>IFERROR(__xludf.DUMMYFUNCTION("SPLIT(B752,""/"")"),14.0)</f>
        <v>14</v>
      </c>
      <c r="F752" s="2">
        <f>IFERROR(__xludf.DUMMYFUNCTION("""COMPUTED_VALUE"""),9.0)</f>
        <v>9</v>
      </c>
      <c r="G752" s="2">
        <f>IFERROR(__xludf.DUMMYFUNCTION("""COMPUTED_VALUE"""),2024.0)</f>
        <v>2024</v>
      </c>
      <c r="H752" s="2" t="str">
        <f t="shared" si="2"/>
        <v>2024/9/14</v>
      </c>
      <c r="I752" s="2" t="s">
        <v>1576</v>
      </c>
      <c r="J752" s="2" t="str">
        <f t="shared" si="3"/>
        <v>Roti Cranberry</v>
      </c>
      <c r="K752" s="7">
        <f>if(RIGHT(I752,5)="2 pcs",2,Data!I752)</f>
        <v>1</v>
      </c>
      <c r="L752" s="2" t="str">
        <f t="shared" si="4"/>
        <v>Saturday</v>
      </c>
      <c r="M752" s="2" t="str">
        <f t="shared" si="5"/>
        <v>14</v>
      </c>
      <c r="N752" s="2">
        <f>VLOOKUP(L752,'Data Info'!$A$1:$B$8,2,0)</f>
        <v>6</v>
      </c>
      <c r="O752" s="2" t="str">
        <f>VLOOKUP(L752,'Data Info'!$A$1:$C$8,3,0)</f>
        <v>Weekend</v>
      </c>
    </row>
    <row r="753">
      <c r="A753" s="4">
        <v>45549.68958333333</v>
      </c>
      <c r="B753" s="9">
        <f>IFERROR(__xludf.DUMMYFUNCTION("SPLIT(A753,"" "")"),45549.0)</f>
        <v>45549</v>
      </c>
      <c r="C753" s="10">
        <f>IFERROR(__xludf.DUMMYFUNCTION("""COMPUTED_VALUE"""),0.6895833333333333)</f>
        <v>0.6895833333</v>
      </c>
      <c r="D753" s="2">
        <f t="shared" si="1"/>
        <v>16</v>
      </c>
      <c r="E753" s="2">
        <f>IFERROR(__xludf.DUMMYFUNCTION("SPLIT(B753,""/"")"),14.0)</f>
        <v>14</v>
      </c>
      <c r="F753" s="2">
        <f>IFERROR(__xludf.DUMMYFUNCTION("""COMPUTED_VALUE"""),9.0)</f>
        <v>9</v>
      </c>
      <c r="G753" s="2">
        <f>IFERROR(__xludf.DUMMYFUNCTION("""COMPUTED_VALUE"""),2024.0)</f>
        <v>2024</v>
      </c>
      <c r="H753" s="2" t="str">
        <f t="shared" si="2"/>
        <v>2024/9/14</v>
      </c>
      <c r="I753" s="2" t="s">
        <v>1599</v>
      </c>
      <c r="J753" s="2" t="str">
        <f t="shared" si="3"/>
        <v>Rempah Madu Dingin</v>
      </c>
      <c r="K753" s="7">
        <f>if(RIGHT(I753,5)="2 pcs",2,Data!I753)</f>
        <v>1</v>
      </c>
      <c r="L753" s="2" t="str">
        <f t="shared" si="4"/>
        <v>Saturday</v>
      </c>
      <c r="M753" s="2" t="str">
        <f t="shared" si="5"/>
        <v>14</v>
      </c>
      <c r="N753" s="2">
        <f>VLOOKUP(L753,'Data Info'!$A$1:$B$8,2,0)</f>
        <v>6</v>
      </c>
      <c r="O753" s="2" t="str">
        <f>VLOOKUP(L753,'Data Info'!$A$1:$C$8,3,0)</f>
        <v>Weekend</v>
      </c>
    </row>
    <row r="754">
      <c r="A754" s="4">
        <v>45549.68958333333</v>
      </c>
      <c r="B754" s="9">
        <f>IFERROR(__xludf.DUMMYFUNCTION("SPLIT(A754,"" "")"),45549.0)</f>
        <v>45549</v>
      </c>
      <c r="C754" s="10">
        <f>IFERROR(__xludf.DUMMYFUNCTION("""COMPUTED_VALUE"""),0.6895833333333333)</f>
        <v>0.6895833333</v>
      </c>
      <c r="D754" s="2">
        <f t="shared" si="1"/>
        <v>16</v>
      </c>
      <c r="E754" s="2">
        <f>IFERROR(__xludf.DUMMYFUNCTION("SPLIT(B754,""/"")"),14.0)</f>
        <v>14</v>
      </c>
      <c r="F754" s="2">
        <f>IFERROR(__xludf.DUMMYFUNCTION("""COMPUTED_VALUE"""),9.0)</f>
        <v>9</v>
      </c>
      <c r="G754" s="2">
        <f>IFERROR(__xludf.DUMMYFUNCTION("""COMPUTED_VALUE"""),2024.0)</f>
        <v>2024</v>
      </c>
      <c r="H754" s="2" t="str">
        <f t="shared" si="2"/>
        <v>2024/9/14</v>
      </c>
      <c r="I754" s="2" t="s">
        <v>1587</v>
      </c>
      <c r="J754" s="2" t="str">
        <f t="shared" si="3"/>
        <v>Tahu Lada Garam</v>
      </c>
      <c r="K754" s="7">
        <f>if(RIGHT(I754,5)="2 pcs",2,Data!I754)</f>
        <v>1</v>
      </c>
      <c r="L754" s="2" t="str">
        <f t="shared" si="4"/>
        <v>Saturday</v>
      </c>
      <c r="M754" s="2" t="str">
        <f t="shared" si="5"/>
        <v>14</v>
      </c>
      <c r="N754" s="2">
        <f>VLOOKUP(L754,'Data Info'!$A$1:$B$8,2,0)</f>
        <v>6</v>
      </c>
      <c r="O754" s="2" t="str">
        <f>VLOOKUP(L754,'Data Info'!$A$1:$C$8,3,0)</f>
        <v>Weekend</v>
      </c>
    </row>
    <row r="755">
      <c r="A755" s="4">
        <v>45549.68958333333</v>
      </c>
      <c r="B755" s="9">
        <f>IFERROR(__xludf.DUMMYFUNCTION("SPLIT(A755,"" "")"),45549.0)</f>
        <v>45549</v>
      </c>
      <c r="C755" s="10">
        <f>IFERROR(__xludf.DUMMYFUNCTION("""COMPUTED_VALUE"""),0.6895833333333333)</f>
        <v>0.6895833333</v>
      </c>
      <c r="D755" s="2">
        <f t="shared" si="1"/>
        <v>16</v>
      </c>
      <c r="E755" s="2">
        <f>IFERROR(__xludf.DUMMYFUNCTION("SPLIT(B755,""/"")"),14.0)</f>
        <v>14</v>
      </c>
      <c r="F755" s="2">
        <f>IFERROR(__xludf.DUMMYFUNCTION("""COMPUTED_VALUE"""),9.0)</f>
        <v>9</v>
      </c>
      <c r="G755" s="2">
        <f>IFERROR(__xludf.DUMMYFUNCTION("""COMPUTED_VALUE"""),2024.0)</f>
        <v>2024</v>
      </c>
      <c r="H755" s="2" t="str">
        <f t="shared" si="2"/>
        <v>2024/9/14</v>
      </c>
      <c r="I755" s="2" t="s">
        <v>1608</v>
      </c>
      <c r="J755" s="2" t="str">
        <f t="shared" si="3"/>
        <v>Susu murni strawberry</v>
      </c>
      <c r="K755" s="7">
        <f>if(RIGHT(I755,5)="2 pcs",2,Data!I755)</f>
        <v>1</v>
      </c>
      <c r="L755" s="2" t="str">
        <f t="shared" si="4"/>
        <v>Saturday</v>
      </c>
      <c r="M755" s="2" t="str">
        <f t="shared" si="5"/>
        <v>14</v>
      </c>
      <c r="N755" s="2">
        <f>VLOOKUP(L755,'Data Info'!$A$1:$B$8,2,0)</f>
        <v>6</v>
      </c>
      <c r="O755" s="2" t="str">
        <f>VLOOKUP(L755,'Data Info'!$A$1:$C$8,3,0)</f>
        <v>Weekend</v>
      </c>
    </row>
    <row r="756">
      <c r="A756" s="4">
        <v>45549.6875</v>
      </c>
      <c r="B756" s="9">
        <f>IFERROR(__xludf.DUMMYFUNCTION("SPLIT(A756,"" "")"),45549.0)</f>
        <v>45549</v>
      </c>
      <c r="C756" s="10">
        <f>IFERROR(__xludf.DUMMYFUNCTION("""COMPUTED_VALUE"""),0.6875)</f>
        <v>0.6875</v>
      </c>
      <c r="D756" s="2">
        <f t="shared" si="1"/>
        <v>16</v>
      </c>
      <c r="E756" s="2">
        <f>IFERROR(__xludf.DUMMYFUNCTION("SPLIT(B756,""/"")"),14.0)</f>
        <v>14</v>
      </c>
      <c r="F756" s="2">
        <f>IFERROR(__xludf.DUMMYFUNCTION("""COMPUTED_VALUE"""),9.0)</f>
        <v>9</v>
      </c>
      <c r="G756" s="2">
        <f>IFERROR(__xludf.DUMMYFUNCTION("""COMPUTED_VALUE"""),2024.0)</f>
        <v>2024</v>
      </c>
      <c r="H756" s="2" t="str">
        <f t="shared" si="2"/>
        <v>2024/9/14</v>
      </c>
      <c r="I756" s="2" t="s">
        <v>1566</v>
      </c>
      <c r="J756" s="2" t="str">
        <f t="shared" si="3"/>
        <v>Roti Bawang Saus Keju</v>
      </c>
      <c r="K756" s="7">
        <f>if(RIGHT(I756,5)="2 pcs",2,Data!I756)</f>
        <v>1</v>
      </c>
      <c r="L756" s="2" t="str">
        <f t="shared" si="4"/>
        <v>Saturday</v>
      </c>
      <c r="M756" s="2" t="str">
        <f t="shared" si="5"/>
        <v>14</v>
      </c>
      <c r="N756" s="2">
        <f>VLOOKUP(L756,'Data Info'!$A$1:$B$8,2,0)</f>
        <v>6</v>
      </c>
      <c r="O756" s="2" t="str">
        <f>VLOOKUP(L756,'Data Info'!$A$1:$C$8,3,0)</f>
        <v>Weekend</v>
      </c>
    </row>
    <row r="757">
      <c r="A757" s="4">
        <v>45549.6875</v>
      </c>
      <c r="B757" s="9">
        <f>IFERROR(__xludf.DUMMYFUNCTION("SPLIT(A757,"" "")"),45549.0)</f>
        <v>45549</v>
      </c>
      <c r="C757" s="10">
        <f>IFERROR(__xludf.DUMMYFUNCTION("""COMPUTED_VALUE"""),0.6875)</f>
        <v>0.6875</v>
      </c>
      <c r="D757" s="2">
        <f t="shared" si="1"/>
        <v>16</v>
      </c>
      <c r="E757" s="2">
        <f>IFERROR(__xludf.DUMMYFUNCTION("SPLIT(B757,""/"")"),14.0)</f>
        <v>14</v>
      </c>
      <c r="F757" s="2">
        <f>IFERROR(__xludf.DUMMYFUNCTION("""COMPUTED_VALUE"""),9.0)</f>
        <v>9</v>
      </c>
      <c r="G757" s="2">
        <f>IFERROR(__xludf.DUMMYFUNCTION("""COMPUTED_VALUE"""),2024.0)</f>
        <v>2024</v>
      </c>
      <c r="H757" s="2" t="str">
        <f t="shared" si="2"/>
        <v>2024/9/14</v>
      </c>
      <c r="I757" s="2" t="s">
        <v>1596</v>
      </c>
      <c r="J757" s="2" t="str">
        <f t="shared" si="3"/>
        <v>Roti Cranberry</v>
      </c>
      <c r="K757" s="7">
        <f>if(RIGHT(I757,5)="2 pcs",2,Data!I757)</f>
        <v>2</v>
      </c>
      <c r="L757" s="2" t="str">
        <f t="shared" si="4"/>
        <v>Saturday</v>
      </c>
      <c r="M757" s="2" t="str">
        <f t="shared" si="5"/>
        <v>14</v>
      </c>
      <c r="N757" s="2">
        <f>VLOOKUP(L757,'Data Info'!$A$1:$B$8,2,0)</f>
        <v>6</v>
      </c>
      <c r="O757" s="2" t="str">
        <f>VLOOKUP(L757,'Data Info'!$A$1:$C$8,3,0)</f>
        <v>Weekend</v>
      </c>
    </row>
    <row r="758">
      <c r="A758" s="4">
        <v>45549.6875</v>
      </c>
      <c r="B758" s="9">
        <f>IFERROR(__xludf.DUMMYFUNCTION("SPLIT(A758,"" "")"),45549.0)</f>
        <v>45549</v>
      </c>
      <c r="C758" s="10">
        <f>IFERROR(__xludf.DUMMYFUNCTION("""COMPUTED_VALUE"""),0.6875)</f>
        <v>0.6875</v>
      </c>
      <c r="D758" s="2">
        <f t="shared" si="1"/>
        <v>16</v>
      </c>
      <c r="E758" s="2">
        <f>IFERROR(__xludf.DUMMYFUNCTION("SPLIT(B758,""/"")"),14.0)</f>
        <v>14</v>
      </c>
      <c r="F758" s="2">
        <f>IFERROR(__xludf.DUMMYFUNCTION("""COMPUTED_VALUE"""),9.0)</f>
        <v>9</v>
      </c>
      <c r="G758" s="2">
        <f>IFERROR(__xludf.DUMMYFUNCTION("""COMPUTED_VALUE"""),2024.0)</f>
        <v>2024</v>
      </c>
      <c r="H758" s="2" t="str">
        <f t="shared" si="2"/>
        <v>2024/9/14</v>
      </c>
      <c r="I758" s="2" t="s">
        <v>1606</v>
      </c>
      <c r="J758" s="2" t="str">
        <f t="shared" si="3"/>
        <v>Pisang Goreng</v>
      </c>
      <c r="K758" s="7">
        <f>if(RIGHT(I758,5)="2 pcs",2,Data!I758)</f>
        <v>1</v>
      </c>
      <c r="L758" s="2" t="str">
        <f t="shared" si="4"/>
        <v>Saturday</v>
      </c>
      <c r="M758" s="2" t="str">
        <f t="shared" si="5"/>
        <v>14</v>
      </c>
      <c r="N758" s="2">
        <f>VLOOKUP(L758,'Data Info'!$A$1:$B$8,2,0)</f>
        <v>6</v>
      </c>
      <c r="O758" s="2" t="str">
        <f>VLOOKUP(L758,'Data Info'!$A$1:$C$8,3,0)</f>
        <v>Weekend</v>
      </c>
    </row>
    <row r="759">
      <c r="A759" s="4">
        <v>45549.6875</v>
      </c>
      <c r="B759" s="9">
        <f>IFERROR(__xludf.DUMMYFUNCTION("SPLIT(A759,"" "")"),45549.0)</f>
        <v>45549</v>
      </c>
      <c r="C759" s="10">
        <f>IFERROR(__xludf.DUMMYFUNCTION("""COMPUTED_VALUE"""),0.6875)</f>
        <v>0.6875</v>
      </c>
      <c r="D759" s="2">
        <f t="shared" si="1"/>
        <v>16</v>
      </c>
      <c r="E759" s="2">
        <f>IFERROR(__xludf.DUMMYFUNCTION("SPLIT(B759,""/"")"),14.0)</f>
        <v>14</v>
      </c>
      <c r="F759" s="2">
        <f>IFERROR(__xludf.DUMMYFUNCTION("""COMPUTED_VALUE"""),9.0)</f>
        <v>9</v>
      </c>
      <c r="G759" s="2">
        <f>IFERROR(__xludf.DUMMYFUNCTION("""COMPUTED_VALUE"""),2024.0)</f>
        <v>2024</v>
      </c>
      <c r="H759" s="2" t="str">
        <f t="shared" si="2"/>
        <v>2024/9/14</v>
      </c>
      <c r="I759" s="2" t="s">
        <v>1607</v>
      </c>
      <c r="J759" s="2" t="str">
        <f t="shared" si="3"/>
        <v>Tahu walik</v>
      </c>
      <c r="K759" s="7">
        <f>if(RIGHT(I759,5)="2 pcs",2,Data!I759)</f>
        <v>1</v>
      </c>
      <c r="L759" s="2" t="str">
        <f t="shared" si="4"/>
        <v>Saturday</v>
      </c>
      <c r="M759" s="2" t="str">
        <f t="shared" si="5"/>
        <v>14</v>
      </c>
      <c r="N759" s="2">
        <f>VLOOKUP(L759,'Data Info'!$A$1:$B$8,2,0)</f>
        <v>6</v>
      </c>
      <c r="O759" s="2" t="str">
        <f>VLOOKUP(L759,'Data Info'!$A$1:$C$8,3,0)</f>
        <v>Weekend</v>
      </c>
    </row>
    <row r="760">
      <c r="A760" s="4">
        <v>45549.6875</v>
      </c>
      <c r="B760" s="9">
        <f>IFERROR(__xludf.DUMMYFUNCTION("SPLIT(A760,"" "")"),45549.0)</f>
        <v>45549</v>
      </c>
      <c r="C760" s="10">
        <f>IFERROR(__xludf.DUMMYFUNCTION("""COMPUTED_VALUE"""),0.6875)</f>
        <v>0.6875</v>
      </c>
      <c r="D760" s="2">
        <f t="shared" si="1"/>
        <v>16</v>
      </c>
      <c r="E760" s="2">
        <f>IFERROR(__xludf.DUMMYFUNCTION("SPLIT(B760,""/"")"),14.0)</f>
        <v>14</v>
      </c>
      <c r="F760" s="2">
        <f>IFERROR(__xludf.DUMMYFUNCTION("""COMPUTED_VALUE"""),9.0)</f>
        <v>9</v>
      </c>
      <c r="G760" s="2">
        <f>IFERROR(__xludf.DUMMYFUNCTION("""COMPUTED_VALUE"""),2024.0)</f>
        <v>2024</v>
      </c>
      <c r="H760" s="2" t="str">
        <f t="shared" si="2"/>
        <v>2024/9/14</v>
      </c>
      <c r="I760" s="2" t="s">
        <v>1595</v>
      </c>
      <c r="J760" s="2" t="str">
        <f t="shared" si="3"/>
        <v>Roti Gandum Cokelat</v>
      </c>
      <c r="K760" s="7">
        <f>if(RIGHT(I760,5)="2 pcs",2,Data!I760)</f>
        <v>1</v>
      </c>
      <c r="L760" s="2" t="str">
        <f t="shared" si="4"/>
        <v>Saturday</v>
      </c>
      <c r="M760" s="2" t="str">
        <f t="shared" si="5"/>
        <v>14</v>
      </c>
      <c r="N760" s="2">
        <f>VLOOKUP(L760,'Data Info'!$A$1:$B$8,2,0)</f>
        <v>6</v>
      </c>
      <c r="O760" s="2" t="str">
        <f>VLOOKUP(L760,'Data Info'!$A$1:$C$8,3,0)</f>
        <v>Weekend</v>
      </c>
    </row>
    <row r="761">
      <c r="A761" s="4">
        <v>45549.6875</v>
      </c>
      <c r="B761" s="9">
        <f>IFERROR(__xludf.DUMMYFUNCTION("SPLIT(A761,"" "")"),45549.0)</f>
        <v>45549</v>
      </c>
      <c r="C761" s="10">
        <f>IFERROR(__xludf.DUMMYFUNCTION("""COMPUTED_VALUE"""),0.6875)</f>
        <v>0.6875</v>
      </c>
      <c r="D761" s="2">
        <f t="shared" si="1"/>
        <v>16</v>
      </c>
      <c r="E761" s="2">
        <f>IFERROR(__xludf.DUMMYFUNCTION("SPLIT(B761,""/"")"),14.0)</f>
        <v>14</v>
      </c>
      <c r="F761" s="2">
        <f>IFERROR(__xludf.DUMMYFUNCTION("""COMPUTED_VALUE"""),9.0)</f>
        <v>9</v>
      </c>
      <c r="G761" s="2">
        <f>IFERROR(__xludf.DUMMYFUNCTION("""COMPUTED_VALUE"""),2024.0)</f>
        <v>2024</v>
      </c>
      <c r="H761" s="2" t="str">
        <f t="shared" si="2"/>
        <v>2024/9/14</v>
      </c>
      <c r="I761" s="2" t="s">
        <v>1620</v>
      </c>
      <c r="J761" s="2" t="str">
        <f t="shared" si="3"/>
        <v>Wedang hujan</v>
      </c>
      <c r="K761" s="7">
        <f>if(RIGHT(I761,5)="2 pcs",2,Data!I761)</f>
        <v>1</v>
      </c>
      <c r="L761" s="2" t="str">
        <f t="shared" si="4"/>
        <v>Saturday</v>
      </c>
      <c r="M761" s="2" t="str">
        <f t="shared" si="5"/>
        <v>14</v>
      </c>
      <c r="N761" s="2">
        <f>VLOOKUP(L761,'Data Info'!$A$1:$B$8,2,0)</f>
        <v>6</v>
      </c>
      <c r="O761" s="2" t="str">
        <f>VLOOKUP(L761,'Data Info'!$A$1:$C$8,3,0)</f>
        <v>Weekend</v>
      </c>
    </row>
    <row r="762">
      <c r="A762" s="4">
        <v>45549.6875</v>
      </c>
      <c r="B762" s="9">
        <f>IFERROR(__xludf.DUMMYFUNCTION("SPLIT(A762,"" "")"),45549.0)</f>
        <v>45549</v>
      </c>
      <c r="C762" s="10">
        <f>IFERROR(__xludf.DUMMYFUNCTION("""COMPUTED_VALUE"""),0.6875)</f>
        <v>0.6875</v>
      </c>
      <c r="D762" s="2">
        <f t="shared" si="1"/>
        <v>16</v>
      </c>
      <c r="E762" s="2">
        <f>IFERROR(__xludf.DUMMYFUNCTION("SPLIT(B762,""/"")"),14.0)</f>
        <v>14</v>
      </c>
      <c r="F762" s="2">
        <f>IFERROR(__xludf.DUMMYFUNCTION("""COMPUTED_VALUE"""),9.0)</f>
        <v>9</v>
      </c>
      <c r="G762" s="2">
        <f>IFERROR(__xludf.DUMMYFUNCTION("""COMPUTED_VALUE"""),2024.0)</f>
        <v>2024</v>
      </c>
      <c r="H762" s="2" t="str">
        <f t="shared" si="2"/>
        <v>2024/9/14</v>
      </c>
      <c r="I762" s="2" t="s">
        <v>1596</v>
      </c>
      <c r="J762" s="2" t="str">
        <f t="shared" si="3"/>
        <v>Roti Cranberry</v>
      </c>
      <c r="K762" s="7">
        <f>if(RIGHT(I762,5)="2 pcs",2,Data!I762)</f>
        <v>2</v>
      </c>
      <c r="L762" s="2" t="str">
        <f t="shared" si="4"/>
        <v>Saturday</v>
      </c>
      <c r="M762" s="2" t="str">
        <f t="shared" si="5"/>
        <v>14</v>
      </c>
      <c r="N762" s="2">
        <f>VLOOKUP(L762,'Data Info'!$A$1:$B$8,2,0)</f>
        <v>6</v>
      </c>
      <c r="O762" s="2" t="str">
        <f>VLOOKUP(L762,'Data Info'!$A$1:$C$8,3,0)</f>
        <v>Weekend</v>
      </c>
    </row>
    <row r="763">
      <c r="A763" s="4">
        <v>45549.6875</v>
      </c>
      <c r="B763" s="9">
        <f>IFERROR(__xludf.DUMMYFUNCTION("SPLIT(A763,"" "")"),45549.0)</f>
        <v>45549</v>
      </c>
      <c r="C763" s="10">
        <f>IFERROR(__xludf.DUMMYFUNCTION("""COMPUTED_VALUE"""),0.6875)</f>
        <v>0.6875</v>
      </c>
      <c r="D763" s="2">
        <f t="shared" si="1"/>
        <v>16</v>
      </c>
      <c r="E763" s="2">
        <f>IFERROR(__xludf.DUMMYFUNCTION("SPLIT(B763,""/"")"),14.0)</f>
        <v>14</v>
      </c>
      <c r="F763" s="2">
        <f>IFERROR(__xludf.DUMMYFUNCTION("""COMPUTED_VALUE"""),9.0)</f>
        <v>9</v>
      </c>
      <c r="G763" s="2">
        <f>IFERROR(__xludf.DUMMYFUNCTION("""COMPUTED_VALUE"""),2024.0)</f>
        <v>2024</v>
      </c>
      <c r="H763" s="2" t="str">
        <f t="shared" si="2"/>
        <v>2024/9/14</v>
      </c>
      <c r="I763" s="2" t="s">
        <v>1597</v>
      </c>
      <c r="J763" s="2" t="str">
        <f t="shared" si="3"/>
        <v>Roti Gandum Cokelat</v>
      </c>
      <c r="K763" s="7">
        <f>if(RIGHT(I763,5)="2 pcs",2,Data!I763)</f>
        <v>2</v>
      </c>
      <c r="L763" s="2" t="str">
        <f t="shared" si="4"/>
        <v>Saturday</v>
      </c>
      <c r="M763" s="2" t="str">
        <f t="shared" si="5"/>
        <v>14</v>
      </c>
      <c r="N763" s="2">
        <f>VLOOKUP(L763,'Data Info'!$A$1:$B$8,2,0)</f>
        <v>6</v>
      </c>
      <c r="O763" s="2" t="str">
        <f>VLOOKUP(L763,'Data Info'!$A$1:$C$8,3,0)</f>
        <v>Weekend</v>
      </c>
    </row>
    <row r="764">
      <c r="A764" s="4">
        <v>45549.6875</v>
      </c>
      <c r="B764" s="9">
        <f>IFERROR(__xludf.DUMMYFUNCTION("SPLIT(A764,"" "")"),45549.0)</f>
        <v>45549</v>
      </c>
      <c r="C764" s="10">
        <f>IFERROR(__xludf.DUMMYFUNCTION("""COMPUTED_VALUE"""),0.6875)</f>
        <v>0.6875</v>
      </c>
      <c r="D764" s="2">
        <f t="shared" si="1"/>
        <v>16</v>
      </c>
      <c r="E764" s="2">
        <f>IFERROR(__xludf.DUMMYFUNCTION("SPLIT(B764,""/"")"),14.0)</f>
        <v>14</v>
      </c>
      <c r="F764" s="2">
        <f>IFERROR(__xludf.DUMMYFUNCTION("""COMPUTED_VALUE"""),9.0)</f>
        <v>9</v>
      </c>
      <c r="G764" s="2">
        <f>IFERROR(__xludf.DUMMYFUNCTION("""COMPUTED_VALUE"""),2024.0)</f>
        <v>2024</v>
      </c>
      <c r="H764" s="2" t="str">
        <f t="shared" si="2"/>
        <v>2024/9/14</v>
      </c>
      <c r="I764" s="2" t="s">
        <v>1596</v>
      </c>
      <c r="J764" s="2" t="str">
        <f t="shared" si="3"/>
        <v>Roti Cranberry</v>
      </c>
      <c r="K764" s="7">
        <f>if(RIGHT(I764,5)="2 pcs",2,Data!I764)</f>
        <v>2</v>
      </c>
      <c r="L764" s="2" t="str">
        <f t="shared" si="4"/>
        <v>Saturday</v>
      </c>
      <c r="M764" s="2" t="str">
        <f t="shared" si="5"/>
        <v>14</v>
      </c>
      <c r="N764" s="2">
        <f>VLOOKUP(L764,'Data Info'!$A$1:$B$8,2,0)</f>
        <v>6</v>
      </c>
      <c r="O764" s="2" t="str">
        <f>VLOOKUP(L764,'Data Info'!$A$1:$C$8,3,0)</f>
        <v>Weekend</v>
      </c>
    </row>
    <row r="765">
      <c r="A765" s="4">
        <v>45549.6875</v>
      </c>
      <c r="B765" s="9">
        <f>IFERROR(__xludf.DUMMYFUNCTION("SPLIT(A765,"" "")"),45549.0)</f>
        <v>45549</v>
      </c>
      <c r="C765" s="10">
        <f>IFERROR(__xludf.DUMMYFUNCTION("""COMPUTED_VALUE"""),0.6875)</f>
        <v>0.6875</v>
      </c>
      <c r="D765" s="2">
        <f t="shared" si="1"/>
        <v>16</v>
      </c>
      <c r="E765" s="2">
        <f>IFERROR(__xludf.DUMMYFUNCTION("SPLIT(B765,""/"")"),14.0)</f>
        <v>14</v>
      </c>
      <c r="F765" s="2">
        <f>IFERROR(__xludf.DUMMYFUNCTION("""COMPUTED_VALUE"""),9.0)</f>
        <v>9</v>
      </c>
      <c r="G765" s="2">
        <f>IFERROR(__xludf.DUMMYFUNCTION("""COMPUTED_VALUE"""),2024.0)</f>
        <v>2024</v>
      </c>
      <c r="H765" s="2" t="str">
        <f t="shared" si="2"/>
        <v>2024/9/14</v>
      </c>
      <c r="I765" s="2" t="s">
        <v>1566</v>
      </c>
      <c r="J765" s="2" t="str">
        <f t="shared" si="3"/>
        <v>Roti Bawang Saus Keju</v>
      </c>
      <c r="K765" s="7">
        <f>if(RIGHT(I765,5)="2 pcs",2,Data!I765)</f>
        <v>2</v>
      </c>
      <c r="L765" s="2" t="str">
        <f t="shared" si="4"/>
        <v>Saturday</v>
      </c>
      <c r="M765" s="2" t="str">
        <f t="shared" si="5"/>
        <v>14</v>
      </c>
      <c r="N765" s="2">
        <f>VLOOKUP(L765,'Data Info'!$A$1:$B$8,2,0)</f>
        <v>6</v>
      </c>
      <c r="O765" s="2" t="str">
        <f>VLOOKUP(L765,'Data Info'!$A$1:$C$8,3,0)</f>
        <v>Weekend</v>
      </c>
    </row>
    <row r="766">
      <c r="A766" s="4">
        <v>45549.6875</v>
      </c>
      <c r="B766" s="9">
        <f>IFERROR(__xludf.DUMMYFUNCTION("SPLIT(A766,"" "")"),45549.0)</f>
        <v>45549</v>
      </c>
      <c r="C766" s="10">
        <f>IFERROR(__xludf.DUMMYFUNCTION("""COMPUTED_VALUE"""),0.6875)</f>
        <v>0.6875</v>
      </c>
      <c r="D766" s="2">
        <f t="shared" si="1"/>
        <v>16</v>
      </c>
      <c r="E766" s="2">
        <f>IFERROR(__xludf.DUMMYFUNCTION("SPLIT(B766,""/"")"),14.0)</f>
        <v>14</v>
      </c>
      <c r="F766" s="2">
        <f>IFERROR(__xludf.DUMMYFUNCTION("""COMPUTED_VALUE"""),9.0)</f>
        <v>9</v>
      </c>
      <c r="G766" s="2">
        <f>IFERROR(__xludf.DUMMYFUNCTION("""COMPUTED_VALUE"""),2024.0)</f>
        <v>2024</v>
      </c>
      <c r="H766" s="2" t="str">
        <f t="shared" si="2"/>
        <v>2024/9/14</v>
      </c>
      <c r="I766" s="2" t="s">
        <v>1605</v>
      </c>
      <c r="J766" s="2" t="str">
        <f t="shared" si="3"/>
        <v>Kentang Goreng</v>
      </c>
      <c r="K766" s="7">
        <f>if(RIGHT(I766,5)="2 pcs",2,Data!I766)</f>
        <v>1</v>
      </c>
      <c r="L766" s="2" t="str">
        <f t="shared" si="4"/>
        <v>Saturday</v>
      </c>
      <c r="M766" s="2" t="str">
        <f t="shared" si="5"/>
        <v>14</v>
      </c>
      <c r="N766" s="2">
        <f>VLOOKUP(L766,'Data Info'!$A$1:$B$8,2,0)</f>
        <v>6</v>
      </c>
      <c r="O766" s="2" t="str">
        <f>VLOOKUP(L766,'Data Info'!$A$1:$C$8,3,0)</f>
        <v>Weekend</v>
      </c>
    </row>
    <row r="767">
      <c r="A767" s="4">
        <v>45549.67361111111</v>
      </c>
      <c r="B767" s="9">
        <f>IFERROR(__xludf.DUMMYFUNCTION("SPLIT(A767,"" "")"),45549.0)</f>
        <v>45549</v>
      </c>
      <c r="C767" s="10">
        <f>IFERROR(__xludf.DUMMYFUNCTION("""COMPUTED_VALUE"""),0.6736111111111112)</f>
        <v>0.6736111111</v>
      </c>
      <c r="D767" s="2">
        <f t="shared" si="1"/>
        <v>16</v>
      </c>
      <c r="E767" s="2">
        <f>IFERROR(__xludf.DUMMYFUNCTION("SPLIT(B767,""/"")"),14.0)</f>
        <v>14</v>
      </c>
      <c r="F767" s="2">
        <f>IFERROR(__xludf.DUMMYFUNCTION("""COMPUTED_VALUE"""),9.0)</f>
        <v>9</v>
      </c>
      <c r="G767" s="2">
        <f>IFERROR(__xludf.DUMMYFUNCTION("""COMPUTED_VALUE"""),2024.0)</f>
        <v>2024</v>
      </c>
      <c r="H767" s="2" t="str">
        <f t="shared" si="2"/>
        <v>2024/9/14</v>
      </c>
      <c r="I767" s="2" t="s">
        <v>1611</v>
      </c>
      <c r="J767" s="2" t="str">
        <f t="shared" si="3"/>
        <v>Beef Claypot Rice</v>
      </c>
      <c r="K767" s="7">
        <f>if(RIGHT(I767,5)="2 pcs",2,Data!I767)</f>
        <v>1</v>
      </c>
      <c r="L767" s="2" t="str">
        <f t="shared" si="4"/>
        <v>Saturday</v>
      </c>
      <c r="M767" s="2" t="str">
        <f t="shared" si="5"/>
        <v>14</v>
      </c>
      <c r="N767" s="2">
        <f>VLOOKUP(L767,'Data Info'!$A$1:$B$8,2,0)</f>
        <v>6</v>
      </c>
      <c r="O767" s="2" t="str">
        <f>VLOOKUP(L767,'Data Info'!$A$1:$C$8,3,0)</f>
        <v>Weekend</v>
      </c>
    </row>
    <row r="768">
      <c r="A768" s="4">
        <v>45549.67361111111</v>
      </c>
      <c r="B768" s="9">
        <f>IFERROR(__xludf.DUMMYFUNCTION("SPLIT(A768,"" "")"),45549.0)</f>
        <v>45549</v>
      </c>
      <c r="C768" s="10">
        <f>IFERROR(__xludf.DUMMYFUNCTION("""COMPUTED_VALUE"""),0.6736111111111112)</f>
        <v>0.6736111111</v>
      </c>
      <c r="D768" s="2">
        <f t="shared" si="1"/>
        <v>16</v>
      </c>
      <c r="E768" s="2">
        <f>IFERROR(__xludf.DUMMYFUNCTION("SPLIT(B768,""/"")"),14.0)</f>
        <v>14</v>
      </c>
      <c r="F768" s="2">
        <f>IFERROR(__xludf.DUMMYFUNCTION("""COMPUTED_VALUE"""),9.0)</f>
        <v>9</v>
      </c>
      <c r="G768" s="2">
        <f>IFERROR(__xludf.DUMMYFUNCTION("""COMPUTED_VALUE"""),2024.0)</f>
        <v>2024</v>
      </c>
      <c r="H768" s="2" t="str">
        <f t="shared" si="2"/>
        <v>2024/9/14</v>
      </c>
      <c r="I768" s="2" t="s">
        <v>1582</v>
      </c>
      <c r="J768" s="2" t="str">
        <f t="shared" si="3"/>
        <v>Teh Tawar Dingin</v>
      </c>
      <c r="K768" s="7">
        <f>if(RIGHT(I768,5)="2 pcs",2,Data!I768)</f>
        <v>1</v>
      </c>
      <c r="L768" s="2" t="str">
        <f t="shared" si="4"/>
        <v>Saturday</v>
      </c>
      <c r="M768" s="2" t="str">
        <f t="shared" si="5"/>
        <v>14</v>
      </c>
      <c r="N768" s="2">
        <f>VLOOKUP(L768,'Data Info'!$A$1:$B$8,2,0)</f>
        <v>6</v>
      </c>
      <c r="O768" s="2" t="str">
        <f>VLOOKUP(L768,'Data Info'!$A$1:$C$8,3,0)</f>
        <v>Weekend</v>
      </c>
    </row>
    <row r="769">
      <c r="A769" s="4">
        <v>45549.65555555555</v>
      </c>
      <c r="B769" s="9">
        <f>IFERROR(__xludf.DUMMYFUNCTION("SPLIT(A769,"" "")"),45549.0)</f>
        <v>45549</v>
      </c>
      <c r="C769" s="10">
        <f>IFERROR(__xludf.DUMMYFUNCTION("""COMPUTED_VALUE"""),0.6555555555555556)</f>
        <v>0.6555555556</v>
      </c>
      <c r="D769" s="2">
        <f t="shared" si="1"/>
        <v>15</v>
      </c>
      <c r="E769" s="2">
        <f>IFERROR(__xludf.DUMMYFUNCTION("SPLIT(B769,""/"")"),14.0)</f>
        <v>14</v>
      </c>
      <c r="F769" s="2">
        <f>IFERROR(__xludf.DUMMYFUNCTION("""COMPUTED_VALUE"""),9.0)</f>
        <v>9</v>
      </c>
      <c r="G769" s="2">
        <f>IFERROR(__xludf.DUMMYFUNCTION("""COMPUTED_VALUE"""),2024.0)</f>
        <v>2024</v>
      </c>
      <c r="H769" s="2" t="str">
        <f t="shared" si="2"/>
        <v>2024/9/14</v>
      </c>
      <c r="I769" s="2" t="s">
        <v>1576</v>
      </c>
      <c r="J769" s="2" t="str">
        <f t="shared" si="3"/>
        <v>Roti Cranberry</v>
      </c>
      <c r="K769" s="7">
        <f>if(RIGHT(I769,5)="2 pcs",2,Data!I769)</f>
        <v>1</v>
      </c>
      <c r="L769" s="2" t="str">
        <f t="shared" si="4"/>
        <v>Saturday</v>
      </c>
      <c r="M769" s="2" t="str">
        <f t="shared" si="5"/>
        <v>14</v>
      </c>
      <c r="N769" s="2">
        <f>VLOOKUP(L769,'Data Info'!$A$1:$B$8,2,0)</f>
        <v>6</v>
      </c>
      <c r="O769" s="2" t="str">
        <f>VLOOKUP(L769,'Data Info'!$A$1:$C$8,3,0)</f>
        <v>Weekend</v>
      </c>
    </row>
    <row r="770">
      <c r="A770" s="4">
        <v>45549.654861111114</v>
      </c>
      <c r="B770" s="9">
        <f>IFERROR(__xludf.DUMMYFUNCTION("SPLIT(A770,"" "")"),45549.0)</f>
        <v>45549</v>
      </c>
      <c r="C770" s="10">
        <f>IFERROR(__xludf.DUMMYFUNCTION("""COMPUTED_VALUE"""),0.6548611111111111)</f>
        <v>0.6548611111</v>
      </c>
      <c r="D770" s="2">
        <f t="shared" si="1"/>
        <v>15</v>
      </c>
      <c r="E770" s="2">
        <f>IFERROR(__xludf.DUMMYFUNCTION("SPLIT(B770,""/"")"),14.0)</f>
        <v>14</v>
      </c>
      <c r="F770" s="2">
        <f>IFERROR(__xludf.DUMMYFUNCTION("""COMPUTED_VALUE"""),9.0)</f>
        <v>9</v>
      </c>
      <c r="G770" s="2">
        <f>IFERROR(__xludf.DUMMYFUNCTION("""COMPUTED_VALUE"""),2024.0)</f>
        <v>2024</v>
      </c>
      <c r="H770" s="2" t="str">
        <f t="shared" si="2"/>
        <v>2024/9/14</v>
      </c>
      <c r="I770" s="2" t="s">
        <v>1581</v>
      </c>
      <c r="J770" s="2" t="str">
        <f t="shared" si="3"/>
        <v>Chicken Claypot Rice</v>
      </c>
      <c r="K770" s="7">
        <f>if(RIGHT(I770,5)="2 pcs",2,Data!I770)</f>
        <v>1</v>
      </c>
      <c r="L770" s="2" t="str">
        <f t="shared" si="4"/>
        <v>Saturday</v>
      </c>
      <c r="M770" s="2" t="str">
        <f t="shared" si="5"/>
        <v>14</v>
      </c>
      <c r="N770" s="2">
        <f>VLOOKUP(L770,'Data Info'!$A$1:$B$8,2,0)</f>
        <v>6</v>
      </c>
      <c r="O770" s="2" t="str">
        <f>VLOOKUP(L770,'Data Info'!$A$1:$C$8,3,0)</f>
        <v>Weekend</v>
      </c>
    </row>
    <row r="771">
      <c r="A771" s="4">
        <v>45549.654861111114</v>
      </c>
      <c r="B771" s="9">
        <f>IFERROR(__xludf.DUMMYFUNCTION("SPLIT(A771,"" "")"),45549.0)</f>
        <v>45549</v>
      </c>
      <c r="C771" s="10">
        <f>IFERROR(__xludf.DUMMYFUNCTION("""COMPUTED_VALUE"""),0.6548611111111111)</f>
        <v>0.6548611111</v>
      </c>
      <c r="D771" s="2">
        <f t="shared" si="1"/>
        <v>15</v>
      </c>
      <c r="E771" s="2">
        <f>IFERROR(__xludf.DUMMYFUNCTION("SPLIT(B771,""/"")"),14.0)</f>
        <v>14</v>
      </c>
      <c r="F771" s="2">
        <f>IFERROR(__xludf.DUMMYFUNCTION("""COMPUTED_VALUE"""),9.0)</f>
        <v>9</v>
      </c>
      <c r="G771" s="2">
        <f>IFERROR(__xludf.DUMMYFUNCTION("""COMPUTED_VALUE"""),2024.0)</f>
        <v>2024</v>
      </c>
      <c r="H771" s="2" t="str">
        <f t="shared" si="2"/>
        <v>2024/9/14</v>
      </c>
      <c r="I771" s="2" t="s">
        <v>1628</v>
      </c>
      <c r="J771" s="2" t="str">
        <f t="shared" si="3"/>
        <v>Nasi</v>
      </c>
      <c r="K771" s="7">
        <f>if(RIGHT(I771,5)="2 pcs",2,Data!I771)</f>
        <v>1</v>
      </c>
      <c r="L771" s="2" t="str">
        <f t="shared" si="4"/>
        <v>Saturday</v>
      </c>
      <c r="M771" s="2" t="str">
        <f t="shared" si="5"/>
        <v>14</v>
      </c>
      <c r="N771" s="2">
        <f>VLOOKUP(L771,'Data Info'!$A$1:$B$8,2,0)</f>
        <v>6</v>
      </c>
      <c r="O771" s="2" t="str">
        <f>VLOOKUP(L771,'Data Info'!$A$1:$C$8,3,0)</f>
        <v>Weekend</v>
      </c>
    </row>
    <row r="772">
      <c r="A772" s="4">
        <v>45549.63958333333</v>
      </c>
      <c r="B772" s="9">
        <f>IFERROR(__xludf.DUMMYFUNCTION("SPLIT(A772,"" "")"),45549.0)</f>
        <v>45549</v>
      </c>
      <c r="C772" s="10">
        <f>IFERROR(__xludf.DUMMYFUNCTION("""COMPUTED_VALUE"""),0.6395833333333333)</f>
        <v>0.6395833333</v>
      </c>
      <c r="D772" s="2">
        <f t="shared" si="1"/>
        <v>15</v>
      </c>
      <c r="E772" s="2">
        <f>IFERROR(__xludf.DUMMYFUNCTION("SPLIT(B772,""/"")"),14.0)</f>
        <v>14</v>
      </c>
      <c r="F772" s="2">
        <f>IFERROR(__xludf.DUMMYFUNCTION("""COMPUTED_VALUE"""),9.0)</f>
        <v>9</v>
      </c>
      <c r="G772" s="2">
        <f>IFERROR(__xludf.DUMMYFUNCTION("""COMPUTED_VALUE"""),2024.0)</f>
        <v>2024</v>
      </c>
      <c r="H772" s="2" t="str">
        <f t="shared" si="2"/>
        <v>2024/9/14</v>
      </c>
      <c r="I772" s="2" t="s">
        <v>1612</v>
      </c>
      <c r="J772" s="2" t="str">
        <f t="shared" si="3"/>
        <v>Nasi telor</v>
      </c>
      <c r="K772" s="7">
        <f>if(RIGHT(I772,5)="2 pcs",2,Data!I772)</f>
        <v>1</v>
      </c>
      <c r="L772" s="2" t="str">
        <f t="shared" si="4"/>
        <v>Saturday</v>
      </c>
      <c r="M772" s="2" t="str">
        <f t="shared" si="5"/>
        <v>14</v>
      </c>
      <c r="N772" s="2">
        <f>VLOOKUP(L772,'Data Info'!$A$1:$B$8,2,0)</f>
        <v>6</v>
      </c>
      <c r="O772" s="2" t="str">
        <f>VLOOKUP(L772,'Data Info'!$A$1:$C$8,3,0)</f>
        <v>Weekend</v>
      </c>
    </row>
    <row r="773">
      <c r="A773" s="4">
        <v>45549.63958333333</v>
      </c>
      <c r="B773" s="9">
        <f>IFERROR(__xludf.DUMMYFUNCTION("SPLIT(A773,"" "")"),45549.0)</f>
        <v>45549</v>
      </c>
      <c r="C773" s="10">
        <f>IFERROR(__xludf.DUMMYFUNCTION("""COMPUTED_VALUE"""),0.6395833333333333)</f>
        <v>0.6395833333</v>
      </c>
      <c r="D773" s="2">
        <f t="shared" si="1"/>
        <v>15</v>
      </c>
      <c r="E773" s="2">
        <f>IFERROR(__xludf.DUMMYFUNCTION("SPLIT(B773,""/"")"),14.0)</f>
        <v>14</v>
      </c>
      <c r="F773" s="2">
        <f>IFERROR(__xludf.DUMMYFUNCTION("""COMPUTED_VALUE"""),9.0)</f>
        <v>9</v>
      </c>
      <c r="G773" s="2">
        <f>IFERROR(__xludf.DUMMYFUNCTION("""COMPUTED_VALUE"""),2024.0)</f>
        <v>2024</v>
      </c>
      <c r="H773" s="2" t="str">
        <f t="shared" si="2"/>
        <v>2024/9/14</v>
      </c>
      <c r="I773" s="2" t="s">
        <v>1602</v>
      </c>
      <c r="J773" s="2" t="str">
        <f t="shared" si="3"/>
        <v>Mie joglo</v>
      </c>
      <c r="K773" s="7">
        <f>if(RIGHT(I773,5)="2 pcs",2,Data!I773)</f>
        <v>2</v>
      </c>
      <c r="L773" s="2" t="str">
        <f t="shared" si="4"/>
        <v>Saturday</v>
      </c>
      <c r="M773" s="2" t="str">
        <f t="shared" si="5"/>
        <v>14</v>
      </c>
      <c r="N773" s="2">
        <f>VLOOKUP(L773,'Data Info'!$A$1:$B$8,2,0)</f>
        <v>6</v>
      </c>
      <c r="O773" s="2" t="str">
        <f>VLOOKUP(L773,'Data Info'!$A$1:$C$8,3,0)</f>
        <v>Weekend</v>
      </c>
    </row>
    <row r="774">
      <c r="A774" s="4">
        <v>45549.63958333333</v>
      </c>
      <c r="B774" s="9">
        <f>IFERROR(__xludf.DUMMYFUNCTION("SPLIT(A774,"" "")"),45549.0)</f>
        <v>45549</v>
      </c>
      <c r="C774" s="10">
        <f>IFERROR(__xludf.DUMMYFUNCTION("""COMPUTED_VALUE"""),0.6395833333333333)</f>
        <v>0.6395833333</v>
      </c>
      <c r="D774" s="2">
        <f t="shared" si="1"/>
        <v>15</v>
      </c>
      <c r="E774" s="2">
        <f>IFERROR(__xludf.DUMMYFUNCTION("SPLIT(B774,""/"")"),14.0)</f>
        <v>14</v>
      </c>
      <c r="F774" s="2">
        <f>IFERROR(__xludf.DUMMYFUNCTION("""COMPUTED_VALUE"""),9.0)</f>
        <v>9</v>
      </c>
      <c r="G774" s="2">
        <f>IFERROR(__xludf.DUMMYFUNCTION("""COMPUTED_VALUE"""),2024.0)</f>
        <v>2024</v>
      </c>
      <c r="H774" s="2" t="str">
        <f t="shared" si="2"/>
        <v>2024/9/14</v>
      </c>
      <c r="I774" s="2" t="s">
        <v>1611</v>
      </c>
      <c r="J774" s="2" t="str">
        <f t="shared" si="3"/>
        <v>Beef Claypot Rice</v>
      </c>
      <c r="K774" s="7">
        <f>if(RIGHT(I774,5)="2 pcs",2,Data!I774)</f>
        <v>1</v>
      </c>
      <c r="L774" s="2" t="str">
        <f t="shared" si="4"/>
        <v>Saturday</v>
      </c>
      <c r="M774" s="2" t="str">
        <f t="shared" si="5"/>
        <v>14</v>
      </c>
      <c r="N774" s="2">
        <f>VLOOKUP(L774,'Data Info'!$A$1:$B$8,2,0)</f>
        <v>6</v>
      </c>
      <c r="O774" s="2" t="str">
        <f>VLOOKUP(L774,'Data Info'!$A$1:$C$8,3,0)</f>
        <v>Weekend</v>
      </c>
    </row>
    <row r="775">
      <c r="A775" s="4">
        <v>45549.63958333333</v>
      </c>
      <c r="B775" s="9">
        <f>IFERROR(__xludf.DUMMYFUNCTION("SPLIT(A775,"" "")"),45549.0)</f>
        <v>45549</v>
      </c>
      <c r="C775" s="10">
        <f>IFERROR(__xludf.DUMMYFUNCTION("""COMPUTED_VALUE"""),0.6395833333333333)</f>
        <v>0.6395833333</v>
      </c>
      <c r="D775" s="2">
        <f t="shared" si="1"/>
        <v>15</v>
      </c>
      <c r="E775" s="2">
        <f>IFERROR(__xludf.DUMMYFUNCTION("SPLIT(B775,""/"")"),14.0)</f>
        <v>14</v>
      </c>
      <c r="F775" s="2">
        <f>IFERROR(__xludf.DUMMYFUNCTION("""COMPUTED_VALUE"""),9.0)</f>
        <v>9</v>
      </c>
      <c r="G775" s="2">
        <f>IFERROR(__xludf.DUMMYFUNCTION("""COMPUTED_VALUE"""),2024.0)</f>
        <v>2024</v>
      </c>
      <c r="H775" s="2" t="str">
        <f t="shared" si="2"/>
        <v>2024/9/14</v>
      </c>
      <c r="I775" s="2" t="s">
        <v>1588</v>
      </c>
      <c r="J775" s="2" t="str">
        <f t="shared" si="3"/>
        <v>Es Kopi Susu</v>
      </c>
      <c r="K775" s="7">
        <f>if(RIGHT(I775,5)="2 pcs",2,Data!I775)</f>
        <v>1</v>
      </c>
      <c r="L775" s="2" t="str">
        <f t="shared" si="4"/>
        <v>Saturday</v>
      </c>
      <c r="M775" s="2" t="str">
        <f t="shared" si="5"/>
        <v>14</v>
      </c>
      <c r="N775" s="2">
        <f>VLOOKUP(L775,'Data Info'!$A$1:$B$8,2,0)</f>
        <v>6</v>
      </c>
      <c r="O775" s="2" t="str">
        <f>VLOOKUP(L775,'Data Info'!$A$1:$C$8,3,0)</f>
        <v>Weekend</v>
      </c>
    </row>
    <row r="776">
      <c r="A776" s="4">
        <v>45549.63958333333</v>
      </c>
      <c r="B776" s="9">
        <f>IFERROR(__xludf.DUMMYFUNCTION("SPLIT(A776,"" "")"),45549.0)</f>
        <v>45549</v>
      </c>
      <c r="C776" s="10">
        <f>IFERROR(__xludf.DUMMYFUNCTION("""COMPUTED_VALUE"""),0.6395833333333333)</f>
        <v>0.6395833333</v>
      </c>
      <c r="D776" s="2">
        <f t="shared" si="1"/>
        <v>15</v>
      </c>
      <c r="E776" s="2">
        <f>IFERROR(__xludf.DUMMYFUNCTION("SPLIT(B776,""/"")"),14.0)</f>
        <v>14</v>
      </c>
      <c r="F776" s="2">
        <f>IFERROR(__xludf.DUMMYFUNCTION("""COMPUTED_VALUE"""),9.0)</f>
        <v>9</v>
      </c>
      <c r="G776" s="2">
        <f>IFERROR(__xludf.DUMMYFUNCTION("""COMPUTED_VALUE"""),2024.0)</f>
        <v>2024</v>
      </c>
      <c r="H776" s="2" t="str">
        <f t="shared" si="2"/>
        <v>2024/9/14</v>
      </c>
      <c r="I776" s="2" t="s">
        <v>1573</v>
      </c>
      <c r="J776" s="2" t="str">
        <f t="shared" si="3"/>
        <v>Air mineral</v>
      </c>
      <c r="K776" s="7">
        <f>if(RIGHT(I776,5)="2 pcs",2,Data!I776)</f>
        <v>2</v>
      </c>
      <c r="L776" s="2" t="str">
        <f t="shared" si="4"/>
        <v>Saturday</v>
      </c>
      <c r="M776" s="2" t="str">
        <f t="shared" si="5"/>
        <v>14</v>
      </c>
      <c r="N776" s="2">
        <f>VLOOKUP(L776,'Data Info'!$A$1:$B$8,2,0)</f>
        <v>6</v>
      </c>
      <c r="O776" s="2" t="str">
        <f>VLOOKUP(L776,'Data Info'!$A$1:$C$8,3,0)</f>
        <v>Weekend</v>
      </c>
    </row>
    <row r="777">
      <c r="A777" s="4">
        <v>45549.63958333333</v>
      </c>
      <c r="B777" s="9">
        <f>IFERROR(__xludf.DUMMYFUNCTION("SPLIT(A777,"" "")"),45549.0)</f>
        <v>45549</v>
      </c>
      <c r="C777" s="10">
        <f>IFERROR(__xludf.DUMMYFUNCTION("""COMPUTED_VALUE"""),0.6395833333333333)</f>
        <v>0.6395833333</v>
      </c>
      <c r="D777" s="2">
        <f t="shared" si="1"/>
        <v>15</v>
      </c>
      <c r="E777" s="2">
        <f>IFERROR(__xludf.DUMMYFUNCTION("SPLIT(B777,""/"")"),14.0)</f>
        <v>14</v>
      </c>
      <c r="F777" s="2">
        <f>IFERROR(__xludf.DUMMYFUNCTION("""COMPUTED_VALUE"""),9.0)</f>
        <v>9</v>
      </c>
      <c r="G777" s="2">
        <f>IFERROR(__xludf.DUMMYFUNCTION("""COMPUTED_VALUE"""),2024.0)</f>
        <v>2024</v>
      </c>
      <c r="H777" s="2" t="str">
        <f t="shared" si="2"/>
        <v>2024/9/14</v>
      </c>
      <c r="I777" s="2" t="s">
        <v>1579</v>
      </c>
      <c r="J777" s="2" t="str">
        <f t="shared" si="3"/>
        <v>Tahu baso</v>
      </c>
      <c r="K777" s="7">
        <f>if(RIGHT(I777,5)="2 pcs",2,Data!I777)</f>
        <v>1</v>
      </c>
      <c r="L777" s="2" t="str">
        <f t="shared" si="4"/>
        <v>Saturday</v>
      </c>
      <c r="M777" s="2" t="str">
        <f t="shared" si="5"/>
        <v>14</v>
      </c>
      <c r="N777" s="2">
        <f>VLOOKUP(L777,'Data Info'!$A$1:$B$8,2,0)</f>
        <v>6</v>
      </c>
      <c r="O777" s="2" t="str">
        <f>VLOOKUP(L777,'Data Info'!$A$1:$C$8,3,0)</f>
        <v>Weekend</v>
      </c>
    </row>
    <row r="778">
      <c r="A778" s="4">
        <v>45549.63680555556</v>
      </c>
      <c r="B778" s="9">
        <f>IFERROR(__xludf.DUMMYFUNCTION("SPLIT(A778,"" "")"),45549.0)</f>
        <v>45549</v>
      </c>
      <c r="C778" s="10">
        <f>IFERROR(__xludf.DUMMYFUNCTION("""COMPUTED_VALUE"""),0.6368055555555555)</f>
        <v>0.6368055556</v>
      </c>
      <c r="D778" s="2">
        <f t="shared" si="1"/>
        <v>15</v>
      </c>
      <c r="E778" s="2">
        <f>IFERROR(__xludf.DUMMYFUNCTION("SPLIT(B778,""/"")"),14.0)</f>
        <v>14</v>
      </c>
      <c r="F778" s="2">
        <f>IFERROR(__xludf.DUMMYFUNCTION("""COMPUTED_VALUE"""),9.0)</f>
        <v>9</v>
      </c>
      <c r="G778" s="2">
        <f>IFERROR(__xludf.DUMMYFUNCTION("""COMPUTED_VALUE"""),2024.0)</f>
        <v>2024</v>
      </c>
      <c r="H778" s="2" t="str">
        <f t="shared" si="2"/>
        <v>2024/9/14</v>
      </c>
      <c r="I778" s="2" t="s">
        <v>1576</v>
      </c>
      <c r="J778" s="2" t="str">
        <f t="shared" si="3"/>
        <v>Roti Cranberry</v>
      </c>
      <c r="K778" s="7">
        <f>if(RIGHT(I778,5)="2 pcs",2,Data!I778)</f>
        <v>1</v>
      </c>
      <c r="L778" s="2" t="str">
        <f t="shared" si="4"/>
        <v>Saturday</v>
      </c>
      <c r="M778" s="2" t="str">
        <f t="shared" si="5"/>
        <v>14</v>
      </c>
      <c r="N778" s="2">
        <f>VLOOKUP(L778,'Data Info'!$A$1:$B$8,2,0)</f>
        <v>6</v>
      </c>
      <c r="O778" s="2" t="str">
        <f>VLOOKUP(L778,'Data Info'!$A$1:$C$8,3,0)</f>
        <v>Weekend</v>
      </c>
    </row>
    <row r="779">
      <c r="A779" s="4">
        <v>45549.60625</v>
      </c>
      <c r="B779" s="9">
        <f>IFERROR(__xludf.DUMMYFUNCTION("SPLIT(A779,"" "")"),45549.0)</f>
        <v>45549</v>
      </c>
      <c r="C779" s="10">
        <f>IFERROR(__xludf.DUMMYFUNCTION("""COMPUTED_VALUE"""),0.60625)</f>
        <v>0.60625</v>
      </c>
      <c r="D779" s="2">
        <f t="shared" si="1"/>
        <v>14</v>
      </c>
      <c r="E779" s="2">
        <f>IFERROR(__xludf.DUMMYFUNCTION("SPLIT(B779,""/"")"),14.0)</f>
        <v>14</v>
      </c>
      <c r="F779" s="2">
        <f>IFERROR(__xludf.DUMMYFUNCTION("""COMPUTED_VALUE"""),9.0)</f>
        <v>9</v>
      </c>
      <c r="G779" s="2">
        <f>IFERROR(__xludf.DUMMYFUNCTION("""COMPUTED_VALUE"""),2024.0)</f>
        <v>2024</v>
      </c>
      <c r="H779" s="2" t="str">
        <f t="shared" si="2"/>
        <v>2024/9/14</v>
      </c>
      <c r="I779" s="2" t="s">
        <v>1605</v>
      </c>
      <c r="J779" s="2" t="str">
        <f t="shared" si="3"/>
        <v>Kentang Goreng</v>
      </c>
      <c r="K779" s="7">
        <f>if(RIGHT(I779,5)="2 pcs",2,Data!I779)</f>
        <v>1</v>
      </c>
      <c r="L779" s="2" t="str">
        <f t="shared" si="4"/>
        <v>Saturday</v>
      </c>
      <c r="M779" s="2" t="str">
        <f t="shared" si="5"/>
        <v>14</v>
      </c>
      <c r="N779" s="2">
        <f>VLOOKUP(L779,'Data Info'!$A$1:$B$8,2,0)</f>
        <v>6</v>
      </c>
      <c r="O779" s="2" t="str">
        <f>VLOOKUP(L779,'Data Info'!$A$1:$C$8,3,0)</f>
        <v>Weekend</v>
      </c>
    </row>
    <row r="780">
      <c r="A780" s="4">
        <v>45549.60138888889</v>
      </c>
      <c r="B780" s="9">
        <f>IFERROR(__xludf.DUMMYFUNCTION("SPLIT(A780,"" "")"),45549.0)</f>
        <v>45549</v>
      </c>
      <c r="C780" s="10">
        <f>IFERROR(__xludf.DUMMYFUNCTION("""COMPUTED_VALUE"""),0.6013888888888889)</f>
        <v>0.6013888889</v>
      </c>
      <c r="D780" s="2">
        <f t="shared" si="1"/>
        <v>14</v>
      </c>
      <c r="E780" s="2">
        <f>IFERROR(__xludf.DUMMYFUNCTION("SPLIT(B780,""/"")"),14.0)</f>
        <v>14</v>
      </c>
      <c r="F780" s="2">
        <f>IFERROR(__xludf.DUMMYFUNCTION("""COMPUTED_VALUE"""),9.0)</f>
        <v>9</v>
      </c>
      <c r="G780" s="2">
        <f>IFERROR(__xludf.DUMMYFUNCTION("""COMPUTED_VALUE"""),2024.0)</f>
        <v>2024</v>
      </c>
      <c r="H780" s="2" t="str">
        <f t="shared" si="2"/>
        <v>2024/9/14</v>
      </c>
      <c r="I780" s="2" t="s">
        <v>1596</v>
      </c>
      <c r="J780" s="2" t="str">
        <f t="shared" si="3"/>
        <v>Roti Cranberry</v>
      </c>
      <c r="K780" s="7">
        <f>if(RIGHT(I780,5)="2 pcs",2,Data!I780)</f>
        <v>2</v>
      </c>
      <c r="L780" s="2" t="str">
        <f t="shared" si="4"/>
        <v>Saturday</v>
      </c>
      <c r="M780" s="2" t="str">
        <f t="shared" si="5"/>
        <v>14</v>
      </c>
      <c r="N780" s="2">
        <f>VLOOKUP(L780,'Data Info'!$A$1:$B$8,2,0)</f>
        <v>6</v>
      </c>
      <c r="O780" s="2" t="str">
        <f>VLOOKUP(L780,'Data Info'!$A$1:$C$8,3,0)</f>
        <v>Weekend</v>
      </c>
    </row>
    <row r="781">
      <c r="A781" s="4">
        <v>45549.60138888889</v>
      </c>
      <c r="B781" s="9">
        <f>IFERROR(__xludf.DUMMYFUNCTION("SPLIT(A781,"" "")"),45549.0)</f>
        <v>45549</v>
      </c>
      <c r="C781" s="10">
        <f>IFERROR(__xludf.DUMMYFUNCTION("""COMPUTED_VALUE"""),0.6013888888888889)</f>
        <v>0.6013888889</v>
      </c>
      <c r="D781" s="2">
        <f t="shared" si="1"/>
        <v>14</v>
      </c>
      <c r="E781" s="2">
        <f>IFERROR(__xludf.DUMMYFUNCTION("SPLIT(B781,""/"")"),14.0)</f>
        <v>14</v>
      </c>
      <c r="F781" s="2">
        <f>IFERROR(__xludf.DUMMYFUNCTION("""COMPUTED_VALUE"""),9.0)</f>
        <v>9</v>
      </c>
      <c r="G781" s="2">
        <f>IFERROR(__xludf.DUMMYFUNCTION("""COMPUTED_VALUE"""),2024.0)</f>
        <v>2024</v>
      </c>
      <c r="H781" s="2" t="str">
        <f t="shared" si="2"/>
        <v>2024/9/14</v>
      </c>
      <c r="I781" s="2" t="s">
        <v>1588</v>
      </c>
      <c r="J781" s="2" t="str">
        <f t="shared" si="3"/>
        <v>Es Kopi Susu</v>
      </c>
      <c r="K781" s="7">
        <f>if(RIGHT(I781,5)="2 pcs",2,Data!I781)</f>
        <v>1</v>
      </c>
      <c r="L781" s="2" t="str">
        <f t="shared" si="4"/>
        <v>Saturday</v>
      </c>
      <c r="M781" s="2" t="str">
        <f t="shared" si="5"/>
        <v>14</v>
      </c>
      <c r="N781" s="2">
        <f>VLOOKUP(L781,'Data Info'!$A$1:$B$8,2,0)</f>
        <v>6</v>
      </c>
      <c r="O781" s="2" t="str">
        <f>VLOOKUP(L781,'Data Info'!$A$1:$C$8,3,0)</f>
        <v>Weekend</v>
      </c>
    </row>
    <row r="782">
      <c r="A782" s="4">
        <v>45549.60138888889</v>
      </c>
      <c r="B782" s="9">
        <f>IFERROR(__xludf.DUMMYFUNCTION("SPLIT(A782,"" "")"),45549.0)</f>
        <v>45549</v>
      </c>
      <c r="C782" s="10">
        <f>IFERROR(__xludf.DUMMYFUNCTION("""COMPUTED_VALUE"""),0.6013888888888889)</f>
        <v>0.6013888889</v>
      </c>
      <c r="D782" s="2">
        <f t="shared" si="1"/>
        <v>14</v>
      </c>
      <c r="E782" s="2">
        <f>IFERROR(__xludf.DUMMYFUNCTION("SPLIT(B782,""/"")"),14.0)</f>
        <v>14</v>
      </c>
      <c r="F782" s="2">
        <f>IFERROR(__xludf.DUMMYFUNCTION("""COMPUTED_VALUE"""),9.0)</f>
        <v>9</v>
      </c>
      <c r="G782" s="2">
        <f>IFERROR(__xludf.DUMMYFUNCTION("""COMPUTED_VALUE"""),2024.0)</f>
        <v>2024</v>
      </c>
      <c r="H782" s="2" t="str">
        <f t="shared" si="2"/>
        <v>2024/9/14</v>
      </c>
      <c r="I782" s="2" t="s">
        <v>1617</v>
      </c>
      <c r="J782" s="2" t="str">
        <f t="shared" si="3"/>
        <v>Lemon Tea Dingin</v>
      </c>
      <c r="K782" s="7">
        <f>if(RIGHT(I782,5)="2 pcs",2,Data!I782)</f>
        <v>1</v>
      </c>
      <c r="L782" s="2" t="str">
        <f t="shared" si="4"/>
        <v>Saturday</v>
      </c>
      <c r="M782" s="2" t="str">
        <f t="shared" si="5"/>
        <v>14</v>
      </c>
      <c r="N782" s="2">
        <f>VLOOKUP(L782,'Data Info'!$A$1:$B$8,2,0)</f>
        <v>6</v>
      </c>
      <c r="O782" s="2" t="str">
        <f>VLOOKUP(L782,'Data Info'!$A$1:$C$8,3,0)</f>
        <v>Weekend</v>
      </c>
    </row>
    <row r="783">
      <c r="A783" s="4">
        <v>45549.60138888889</v>
      </c>
      <c r="B783" s="9">
        <f>IFERROR(__xludf.DUMMYFUNCTION("SPLIT(A783,"" "")"),45549.0)</f>
        <v>45549</v>
      </c>
      <c r="C783" s="10">
        <f>IFERROR(__xludf.DUMMYFUNCTION("""COMPUTED_VALUE"""),0.6013888888888889)</f>
        <v>0.6013888889</v>
      </c>
      <c r="D783" s="2">
        <f t="shared" si="1"/>
        <v>14</v>
      </c>
      <c r="E783" s="2">
        <f>IFERROR(__xludf.DUMMYFUNCTION("SPLIT(B783,""/"")"),14.0)</f>
        <v>14</v>
      </c>
      <c r="F783" s="2">
        <f>IFERROR(__xludf.DUMMYFUNCTION("""COMPUTED_VALUE"""),9.0)</f>
        <v>9</v>
      </c>
      <c r="G783" s="2">
        <f>IFERROR(__xludf.DUMMYFUNCTION("""COMPUTED_VALUE"""),2024.0)</f>
        <v>2024</v>
      </c>
      <c r="H783" s="2" t="str">
        <f t="shared" si="2"/>
        <v>2024/9/14</v>
      </c>
      <c r="I783" s="2" t="s">
        <v>1579</v>
      </c>
      <c r="J783" s="2" t="str">
        <f t="shared" si="3"/>
        <v>Tahu baso</v>
      </c>
      <c r="K783" s="7">
        <f>if(RIGHT(I783,5)="2 pcs",2,Data!I783)</f>
        <v>1</v>
      </c>
      <c r="L783" s="2" t="str">
        <f t="shared" si="4"/>
        <v>Saturday</v>
      </c>
      <c r="M783" s="2" t="str">
        <f t="shared" si="5"/>
        <v>14</v>
      </c>
      <c r="N783" s="2">
        <f>VLOOKUP(L783,'Data Info'!$A$1:$B$8,2,0)</f>
        <v>6</v>
      </c>
      <c r="O783" s="2" t="str">
        <f>VLOOKUP(L783,'Data Info'!$A$1:$C$8,3,0)</f>
        <v>Weekend</v>
      </c>
    </row>
    <row r="784">
      <c r="A784" s="4">
        <v>45549.58611111111</v>
      </c>
      <c r="B784" s="9">
        <f>IFERROR(__xludf.DUMMYFUNCTION("SPLIT(A784,"" "")"),45549.0)</f>
        <v>45549</v>
      </c>
      <c r="C784" s="10">
        <f>IFERROR(__xludf.DUMMYFUNCTION("""COMPUTED_VALUE"""),0.5861111111111111)</f>
        <v>0.5861111111</v>
      </c>
      <c r="D784" s="2">
        <f t="shared" si="1"/>
        <v>14</v>
      </c>
      <c r="E784" s="2">
        <f>IFERROR(__xludf.DUMMYFUNCTION("SPLIT(B784,""/"")"),14.0)</f>
        <v>14</v>
      </c>
      <c r="F784" s="2">
        <f>IFERROR(__xludf.DUMMYFUNCTION("""COMPUTED_VALUE"""),9.0)</f>
        <v>9</v>
      </c>
      <c r="G784" s="2">
        <f>IFERROR(__xludf.DUMMYFUNCTION("""COMPUTED_VALUE"""),2024.0)</f>
        <v>2024</v>
      </c>
      <c r="H784" s="2" t="str">
        <f t="shared" si="2"/>
        <v>2024/9/14</v>
      </c>
      <c r="I784" s="2" t="s">
        <v>1595</v>
      </c>
      <c r="J784" s="2" t="str">
        <f t="shared" si="3"/>
        <v>Roti Gandum Cokelat</v>
      </c>
      <c r="K784" s="7">
        <f>if(RIGHT(I784,5)="2 pcs",2,Data!I784)</f>
        <v>1</v>
      </c>
      <c r="L784" s="2" t="str">
        <f t="shared" si="4"/>
        <v>Saturday</v>
      </c>
      <c r="M784" s="2" t="str">
        <f t="shared" si="5"/>
        <v>14</v>
      </c>
      <c r="N784" s="2">
        <f>VLOOKUP(L784,'Data Info'!$A$1:$B$8,2,0)</f>
        <v>6</v>
      </c>
      <c r="O784" s="2" t="str">
        <f>VLOOKUP(L784,'Data Info'!$A$1:$C$8,3,0)</f>
        <v>Weekend</v>
      </c>
    </row>
    <row r="785">
      <c r="A785" s="4">
        <v>45549.57708333333</v>
      </c>
      <c r="B785" s="9">
        <f>IFERROR(__xludf.DUMMYFUNCTION("SPLIT(A785,"" "")"),45549.0)</f>
        <v>45549</v>
      </c>
      <c r="C785" s="10">
        <f>IFERROR(__xludf.DUMMYFUNCTION("""COMPUTED_VALUE"""),0.5770833333333333)</f>
        <v>0.5770833333</v>
      </c>
      <c r="D785" s="2">
        <f t="shared" si="1"/>
        <v>13</v>
      </c>
      <c r="E785" s="2">
        <f>IFERROR(__xludf.DUMMYFUNCTION("SPLIT(B785,""/"")"),14.0)</f>
        <v>14</v>
      </c>
      <c r="F785" s="2">
        <f>IFERROR(__xludf.DUMMYFUNCTION("""COMPUTED_VALUE"""),9.0)</f>
        <v>9</v>
      </c>
      <c r="G785" s="2">
        <f>IFERROR(__xludf.DUMMYFUNCTION("""COMPUTED_VALUE"""),2024.0)</f>
        <v>2024</v>
      </c>
      <c r="H785" s="2" t="str">
        <f t="shared" si="2"/>
        <v>2024/9/14</v>
      </c>
      <c r="I785" s="2" t="s">
        <v>1576</v>
      </c>
      <c r="J785" s="2" t="str">
        <f t="shared" si="3"/>
        <v>Roti Cranberry</v>
      </c>
      <c r="K785" s="7">
        <f>if(RIGHT(I785,5)="2 pcs",2,Data!I785)</f>
        <v>1</v>
      </c>
      <c r="L785" s="2" t="str">
        <f t="shared" si="4"/>
        <v>Saturday</v>
      </c>
      <c r="M785" s="2" t="str">
        <f t="shared" si="5"/>
        <v>14</v>
      </c>
      <c r="N785" s="2">
        <f>VLOOKUP(L785,'Data Info'!$A$1:$B$8,2,0)</f>
        <v>6</v>
      </c>
      <c r="O785" s="2" t="str">
        <f>VLOOKUP(L785,'Data Info'!$A$1:$C$8,3,0)</f>
        <v>Weekend</v>
      </c>
    </row>
    <row r="786">
      <c r="A786" s="4">
        <v>45549.57638888889</v>
      </c>
      <c r="B786" s="9">
        <f>IFERROR(__xludf.DUMMYFUNCTION("SPLIT(A786,"" "")"),45549.0)</f>
        <v>45549</v>
      </c>
      <c r="C786" s="10">
        <f>IFERROR(__xludf.DUMMYFUNCTION("""COMPUTED_VALUE"""),0.5763888888888888)</f>
        <v>0.5763888889</v>
      </c>
      <c r="D786" s="2">
        <f t="shared" si="1"/>
        <v>13</v>
      </c>
      <c r="E786" s="2">
        <f>IFERROR(__xludf.DUMMYFUNCTION("SPLIT(B786,""/"")"),14.0)</f>
        <v>14</v>
      </c>
      <c r="F786" s="2">
        <f>IFERROR(__xludf.DUMMYFUNCTION("""COMPUTED_VALUE"""),9.0)</f>
        <v>9</v>
      </c>
      <c r="G786" s="2">
        <f>IFERROR(__xludf.DUMMYFUNCTION("""COMPUTED_VALUE"""),2024.0)</f>
        <v>2024</v>
      </c>
      <c r="H786" s="2" t="str">
        <f t="shared" si="2"/>
        <v>2024/9/14</v>
      </c>
      <c r="I786" s="2" t="s">
        <v>1573</v>
      </c>
      <c r="J786" s="2" t="str">
        <f t="shared" si="3"/>
        <v>Air mineral</v>
      </c>
      <c r="K786" s="7">
        <f>if(RIGHT(I786,5)="2 pcs",2,Data!I786)</f>
        <v>1</v>
      </c>
      <c r="L786" s="2" t="str">
        <f t="shared" si="4"/>
        <v>Saturday</v>
      </c>
      <c r="M786" s="2" t="str">
        <f t="shared" si="5"/>
        <v>14</v>
      </c>
      <c r="N786" s="2">
        <f>VLOOKUP(L786,'Data Info'!$A$1:$B$8,2,0)</f>
        <v>6</v>
      </c>
      <c r="O786" s="2" t="str">
        <f>VLOOKUP(L786,'Data Info'!$A$1:$C$8,3,0)</f>
        <v>Weekend</v>
      </c>
    </row>
    <row r="787">
      <c r="A787" s="4">
        <v>45549.57638888889</v>
      </c>
      <c r="B787" s="9">
        <f>IFERROR(__xludf.DUMMYFUNCTION("SPLIT(A787,"" "")"),45549.0)</f>
        <v>45549</v>
      </c>
      <c r="C787" s="10">
        <f>IFERROR(__xludf.DUMMYFUNCTION("""COMPUTED_VALUE"""),0.5763888888888888)</f>
        <v>0.5763888889</v>
      </c>
      <c r="D787" s="2">
        <f t="shared" si="1"/>
        <v>13</v>
      </c>
      <c r="E787" s="2">
        <f>IFERROR(__xludf.DUMMYFUNCTION("SPLIT(B787,""/"")"),14.0)</f>
        <v>14</v>
      </c>
      <c r="F787" s="2">
        <f>IFERROR(__xludf.DUMMYFUNCTION("""COMPUTED_VALUE"""),9.0)</f>
        <v>9</v>
      </c>
      <c r="G787" s="2">
        <f>IFERROR(__xludf.DUMMYFUNCTION("""COMPUTED_VALUE"""),2024.0)</f>
        <v>2024</v>
      </c>
      <c r="H787" s="2" t="str">
        <f t="shared" si="2"/>
        <v>2024/9/14</v>
      </c>
      <c r="I787" s="2" t="s">
        <v>1576</v>
      </c>
      <c r="J787" s="2" t="str">
        <f t="shared" si="3"/>
        <v>Roti Cranberry</v>
      </c>
      <c r="K787" s="7">
        <f>if(RIGHT(I787,5)="2 pcs",2,Data!I787)</f>
        <v>1</v>
      </c>
      <c r="L787" s="2" t="str">
        <f t="shared" si="4"/>
        <v>Saturday</v>
      </c>
      <c r="M787" s="2" t="str">
        <f t="shared" si="5"/>
        <v>14</v>
      </c>
      <c r="N787" s="2">
        <f>VLOOKUP(L787,'Data Info'!$A$1:$B$8,2,0)</f>
        <v>6</v>
      </c>
      <c r="O787" s="2" t="str">
        <f>VLOOKUP(L787,'Data Info'!$A$1:$C$8,3,0)</f>
        <v>Weekend</v>
      </c>
    </row>
    <row r="788">
      <c r="A788" s="4">
        <v>45549.56597222222</v>
      </c>
      <c r="B788" s="9">
        <f>IFERROR(__xludf.DUMMYFUNCTION("SPLIT(A788,"" "")"),45549.0)</f>
        <v>45549</v>
      </c>
      <c r="C788" s="10">
        <f>IFERROR(__xludf.DUMMYFUNCTION("""COMPUTED_VALUE"""),0.5659722222222222)</f>
        <v>0.5659722222</v>
      </c>
      <c r="D788" s="2">
        <f t="shared" si="1"/>
        <v>13</v>
      </c>
      <c r="E788" s="2">
        <f>IFERROR(__xludf.DUMMYFUNCTION("SPLIT(B788,""/"")"),14.0)</f>
        <v>14</v>
      </c>
      <c r="F788" s="2">
        <f>IFERROR(__xludf.DUMMYFUNCTION("""COMPUTED_VALUE"""),9.0)</f>
        <v>9</v>
      </c>
      <c r="G788" s="2">
        <f>IFERROR(__xludf.DUMMYFUNCTION("""COMPUTED_VALUE"""),2024.0)</f>
        <v>2024</v>
      </c>
      <c r="H788" s="2" t="str">
        <f t="shared" si="2"/>
        <v>2024/9/14</v>
      </c>
      <c r="I788" s="2" t="s">
        <v>1611</v>
      </c>
      <c r="J788" s="2" t="str">
        <f t="shared" si="3"/>
        <v>Beef Claypot Rice</v>
      </c>
      <c r="K788" s="7">
        <f>if(RIGHT(I788,5)="2 pcs",2,Data!I788)</f>
        <v>1</v>
      </c>
      <c r="L788" s="2" t="str">
        <f t="shared" si="4"/>
        <v>Saturday</v>
      </c>
      <c r="M788" s="2" t="str">
        <f t="shared" si="5"/>
        <v>14</v>
      </c>
      <c r="N788" s="2">
        <f>VLOOKUP(L788,'Data Info'!$A$1:$B$8,2,0)</f>
        <v>6</v>
      </c>
      <c r="O788" s="2" t="str">
        <f>VLOOKUP(L788,'Data Info'!$A$1:$C$8,3,0)</f>
        <v>Weekend</v>
      </c>
    </row>
    <row r="789">
      <c r="A789" s="4">
        <v>45549.56597222222</v>
      </c>
      <c r="B789" s="9">
        <f>IFERROR(__xludf.DUMMYFUNCTION("SPLIT(A789,"" "")"),45549.0)</f>
        <v>45549</v>
      </c>
      <c r="C789" s="10">
        <f>IFERROR(__xludf.DUMMYFUNCTION("""COMPUTED_VALUE"""),0.5659722222222222)</f>
        <v>0.5659722222</v>
      </c>
      <c r="D789" s="2">
        <f t="shared" si="1"/>
        <v>13</v>
      </c>
      <c r="E789" s="2">
        <f>IFERROR(__xludf.DUMMYFUNCTION("SPLIT(B789,""/"")"),14.0)</f>
        <v>14</v>
      </c>
      <c r="F789" s="2">
        <f>IFERROR(__xludf.DUMMYFUNCTION("""COMPUTED_VALUE"""),9.0)</f>
        <v>9</v>
      </c>
      <c r="G789" s="2">
        <f>IFERROR(__xludf.DUMMYFUNCTION("""COMPUTED_VALUE"""),2024.0)</f>
        <v>2024</v>
      </c>
      <c r="H789" s="2" t="str">
        <f t="shared" si="2"/>
        <v>2024/9/14</v>
      </c>
      <c r="I789" s="2" t="s">
        <v>1602</v>
      </c>
      <c r="J789" s="2" t="str">
        <f t="shared" si="3"/>
        <v>Mie joglo</v>
      </c>
      <c r="K789" s="7">
        <f>if(RIGHT(I789,5)="2 pcs",2,Data!I789)</f>
        <v>1</v>
      </c>
      <c r="L789" s="2" t="str">
        <f t="shared" si="4"/>
        <v>Saturday</v>
      </c>
      <c r="M789" s="2" t="str">
        <f t="shared" si="5"/>
        <v>14</v>
      </c>
      <c r="N789" s="2">
        <f>VLOOKUP(L789,'Data Info'!$A$1:$B$8,2,0)</f>
        <v>6</v>
      </c>
      <c r="O789" s="2" t="str">
        <f>VLOOKUP(L789,'Data Info'!$A$1:$C$8,3,0)</f>
        <v>Weekend</v>
      </c>
    </row>
    <row r="790">
      <c r="A790" s="4">
        <v>45549.56597222222</v>
      </c>
      <c r="B790" s="9">
        <f>IFERROR(__xludf.DUMMYFUNCTION("SPLIT(A790,"" "")"),45549.0)</f>
        <v>45549</v>
      </c>
      <c r="C790" s="10">
        <f>IFERROR(__xludf.DUMMYFUNCTION("""COMPUTED_VALUE"""),0.5659722222222222)</f>
        <v>0.5659722222</v>
      </c>
      <c r="D790" s="2">
        <f t="shared" si="1"/>
        <v>13</v>
      </c>
      <c r="E790" s="2">
        <f>IFERROR(__xludf.DUMMYFUNCTION("SPLIT(B790,""/"")"),14.0)</f>
        <v>14</v>
      </c>
      <c r="F790" s="2">
        <f>IFERROR(__xludf.DUMMYFUNCTION("""COMPUTED_VALUE"""),9.0)</f>
        <v>9</v>
      </c>
      <c r="G790" s="2">
        <f>IFERROR(__xludf.DUMMYFUNCTION("""COMPUTED_VALUE"""),2024.0)</f>
        <v>2024</v>
      </c>
      <c r="H790" s="2" t="str">
        <f t="shared" si="2"/>
        <v>2024/9/14</v>
      </c>
      <c r="I790" s="2" t="s">
        <v>1588</v>
      </c>
      <c r="J790" s="2" t="str">
        <f t="shared" si="3"/>
        <v>Es Kopi Susu</v>
      </c>
      <c r="K790" s="7">
        <f>if(RIGHT(I790,5)="2 pcs",2,Data!I790)</f>
        <v>1</v>
      </c>
      <c r="L790" s="2" t="str">
        <f t="shared" si="4"/>
        <v>Saturday</v>
      </c>
      <c r="M790" s="2" t="str">
        <f t="shared" si="5"/>
        <v>14</v>
      </c>
      <c r="N790" s="2">
        <f>VLOOKUP(L790,'Data Info'!$A$1:$B$8,2,0)</f>
        <v>6</v>
      </c>
      <c r="O790" s="2" t="str">
        <f>VLOOKUP(L790,'Data Info'!$A$1:$C$8,3,0)</f>
        <v>Weekend</v>
      </c>
    </row>
    <row r="791">
      <c r="A791" s="4">
        <v>45549.56180555555</v>
      </c>
      <c r="B791" s="9">
        <f>IFERROR(__xludf.DUMMYFUNCTION("SPLIT(A791,"" "")"),45549.0)</f>
        <v>45549</v>
      </c>
      <c r="C791" s="10">
        <f>IFERROR(__xludf.DUMMYFUNCTION("""COMPUTED_VALUE"""),0.5618055555555556)</f>
        <v>0.5618055556</v>
      </c>
      <c r="D791" s="2">
        <f t="shared" si="1"/>
        <v>13</v>
      </c>
      <c r="E791" s="2">
        <f>IFERROR(__xludf.DUMMYFUNCTION("SPLIT(B791,""/"")"),14.0)</f>
        <v>14</v>
      </c>
      <c r="F791" s="2">
        <f>IFERROR(__xludf.DUMMYFUNCTION("""COMPUTED_VALUE"""),9.0)</f>
        <v>9</v>
      </c>
      <c r="G791" s="2">
        <f>IFERROR(__xludf.DUMMYFUNCTION("""COMPUTED_VALUE"""),2024.0)</f>
        <v>2024</v>
      </c>
      <c r="H791" s="2" t="str">
        <f t="shared" si="2"/>
        <v>2024/9/14</v>
      </c>
      <c r="I791" s="2" t="s">
        <v>1576</v>
      </c>
      <c r="J791" s="2" t="str">
        <f t="shared" si="3"/>
        <v>Roti Cranberry</v>
      </c>
      <c r="K791" s="7">
        <f>if(RIGHT(I791,5)="2 pcs",2,Data!I791)</f>
        <v>1</v>
      </c>
      <c r="L791" s="2" t="str">
        <f t="shared" si="4"/>
        <v>Saturday</v>
      </c>
      <c r="M791" s="2" t="str">
        <f t="shared" si="5"/>
        <v>14</v>
      </c>
      <c r="N791" s="2">
        <f>VLOOKUP(L791,'Data Info'!$A$1:$B$8,2,0)</f>
        <v>6</v>
      </c>
      <c r="O791" s="2" t="str">
        <f>VLOOKUP(L791,'Data Info'!$A$1:$C$8,3,0)</f>
        <v>Weekend</v>
      </c>
    </row>
    <row r="792">
      <c r="A792" s="4">
        <v>45549.56180555555</v>
      </c>
      <c r="B792" s="9">
        <f>IFERROR(__xludf.DUMMYFUNCTION("SPLIT(A792,"" "")"),45549.0)</f>
        <v>45549</v>
      </c>
      <c r="C792" s="10">
        <f>IFERROR(__xludf.DUMMYFUNCTION("""COMPUTED_VALUE"""),0.5618055555555556)</f>
        <v>0.5618055556</v>
      </c>
      <c r="D792" s="2">
        <f t="shared" si="1"/>
        <v>13</v>
      </c>
      <c r="E792" s="2">
        <f>IFERROR(__xludf.DUMMYFUNCTION("SPLIT(B792,""/"")"),14.0)</f>
        <v>14</v>
      </c>
      <c r="F792" s="2">
        <f>IFERROR(__xludf.DUMMYFUNCTION("""COMPUTED_VALUE"""),9.0)</f>
        <v>9</v>
      </c>
      <c r="G792" s="2">
        <f>IFERROR(__xludf.DUMMYFUNCTION("""COMPUTED_VALUE"""),2024.0)</f>
        <v>2024</v>
      </c>
      <c r="H792" s="2" t="str">
        <f t="shared" si="2"/>
        <v>2024/9/14</v>
      </c>
      <c r="I792" s="2" t="s">
        <v>1597</v>
      </c>
      <c r="J792" s="2" t="str">
        <f t="shared" si="3"/>
        <v>Roti Gandum Cokelat</v>
      </c>
      <c r="K792" s="7">
        <f>if(RIGHT(I792,5)="2 pcs",2,Data!I792)</f>
        <v>2</v>
      </c>
      <c r="L792" s="2" t="str">
        <f t="shared" si="4"/>
        <v>Saturday</v>
      </c>
      <c r="M792" s="2" t="str">
        <f t="shared" si="5"/>
        <v>14</v>
      </c>
      <c r="N792" s="2">
        <f>VLOOKUP(L792,'Data Info'!$A$1:$B$8,2,0)</f>
        <v>6</v>
      </c>
      <c r="O792" s="2" t="str">
        <f>VLOOKUP(L792,'Data Info'!$A$1:$C$8,3,0)</f>
        <v>Weekend</v>
      </c>
    </row>
    <row r="793">
      <c r="A793" s="4">
        <v>45549.549305555556</v>
      </c>
      <c r="B793" s="9">
        <f>IFERROR(__xludf.DUMMYFUNCTION("SPLIT(A793,"" "")"),45549.0)</f>
        <v>45549</v>
      </c>
      <c r="C793" s="10">
        <f>IFERROR(__xludf.DUMMYFUNCTION("""COMPUTED_VALUE"""),0.5493055555555556)</f>
        <v>0.5493055556</v>
      </c>
      <c r="D793" s="2">
        <f t="shared" si="1"/>
        <v>13</v>
      </c>
      <c r="E793" s="2">
        <f>IFERROR(__xludf.DUMMYFUNCTION("SPLIT(B793,""/"")"),14.0)</f>
        <v>14</v>
      </c>
      <c r="F793" s="2">
        <f>IFERROR(__xludf.DUMMYFUNCTION("""COMPUTED_VALUE"""),9.0)</f>
        <v>9</v>
      </c>
      <c r="G793" s="2">
        <f>IFERROR(__xludf.DUMMYFUNCTION("""COMPUTED_VALUE"""),2024.0)</f>
        <v>2024</v>
      </c>
      <c r="H793" s="2" t="str">
        <f t="shared" si="2"/>
        <v>2024/9/14</v>
      </c>
      <c r="I793" s="2" t="s">
        <v>1576</v>
      </c>
      <c r="J793" s="2" t="str">
        <f t="shared" si="3"/>
        <v>Roti Cranberry</v>
      </c>
      <c r="K793" s="7">
        <f>if(RIGHT(I793,5)="2 pcs",2,Data!I793)</f>
        <v>1</v>
      </c>
      <c r="L793" s="2" t="str">
        <f t="shared" si="4"/>
        <v>Saturday</v>
      </c>
      <c r="M793" s="2" t="str">
        <f t="shared" si="5"/>
        <v>14</v>
      </c>
      <c r="N793" s="2">
        <f>VLOOKUP(L793,'Data Info'!$A$1:$B$8,2,0)</f>
        <v>6</v>
      </c>
      <c r="O793" s="2" t="str">
        <f>VLOOKUP(L793,'Data Info'!$A$1:$C$8,3,0)</f>
        <v>Weekend</v>
      </c>
    </row>
    <row r="794">
      <c r="A794" s="4">
        <v>45549.549305555556</v>
      </c>
      <c r="B794" s="9">
        <f>IFERROR(__xludf.DUMMYFUNCTION("SPLIT(A794,"" "")"),45549.0)</f>
        <v>45549</v>
      </c>
      <c r="C794" s="10">
        <f>IFERROR(__xludf.DUMMYFUNCTION("""COMPUTED_VALUE"""),0.5493055555555556)</f>
        <v>0.5493055556</v>
      </c>
      <c r="D794" s="2">
        <f t="shared" si="1"/>
        <v>13</v>
      </c>
      <c r="E794" s="2">
        <f>IFERROR(__xludf.DUMMYFUNCTION("SPLIT(B794,""/"")"),14.0)</f>
        <v>14</v>
      </c>
      <c r="F794" s="2">
        <f>IFERROR(__xludf.DUMMYFUNCTION("""COMPUTED_VALUE"""),9.0)</f>
        <v>9</v>
      </c>
      <c r="G794" s="2">
        <f>IFERROR(__xludf.DUMMYFUNCTION("""COMPUTED_VALUE"""),2024.0)</f>
        <v>2024</v>
      </c>
      <c r="H794" s="2" t="str">
        <f t="shared" si="2"/>
        <v>2024/9/14</v>
      </c>
      <c r="I794" s="2" t="s">
        <v>1588</v>
      </c>
      <c r="J794" s="2" t="str">
        <f t="shared" si="3"/>
        <v>Es Kopi Susu</v>
      </c>
      <c r="K794" s="7">
        <f>if(RIGHT(I794,5)="2 pcs",2,Data!I794)</f>
        <v>1</v>
      </c>
      <c r="L794" s="2" t="str">
        <f t="shared" si="4"/>
        <v>Saturday</v>
      </c>
      <c r="M794" s="2" t="str">
        <f t="shared" si="5"/>
        <v>14</v>
      </c>
      <c r="N794" s="2">
        <f>VLOOKUP(L794,'Data Info'!$A$1:$B$8,2,0)</f>
        <v>6</v>
      </c>
      <c r="O794" s="2" t="str">
        <f>VLOOKUP(L794,'Data Info'!$A$1:$C$8,3,0)</f>
        <v>Weekend</v>
      </c>
    </row>
    <row r="795">
      <c r="A795" s="4">
        <v>45549.549305555556</v>
      </c>
      <c r="B795" s="9">
        <f>IFERROR(__xludf.DUMMYFUNCTION("SPLIT(A795,"" "")"),45549.0)</f>
        <v>45549</v>
      </c>
      <c r="C795" s="10">
        <f>IFERROR(__xludf.DUMMYFUNCTION("""COMPUTED_VALUE"""),0.5493055555555556)</f>
        <v>0.5493055556</v>
      </c>
      <c r="D795" s="2">
        <f t="shared" si="1"/>
        <v>13</v>
      </c>
      <c r="E795" s="2">
        <f>IFERROR(__xludf.DUMMYFUNCTION("SPLIT(B795,""/"")"),14.0)</f>
        <v>14</v>
      </c>
      <c r="F795" s="2">
        <f>IFERROR(__xludf.DUMMYFUNCTION("""COMPUTED_VALUE"""),9.0)</f>
        <v>9</v>
      </c>
      <c r="G795" s="2">
        <f>IFERROR(__xludf.DUMMYFUNCTION("""COMPUTED_VALUE"""),2024.0)</f>
        <v>2024</v>
      </c>
      <c r="H795" s="2" t="str">
        <f t="shared" si="2"/>
        <v>2024/9/14</v>
      </c>
      <c r="I795" s="2" t="s">
        <v>1611</v>
      </c>
      <c r="J795" s="2" t="str">
        <f t="shared" si="3"/>
        <v>Beef Claypot Rice</v>
      </c>
      <c r="K795" s="7">
        <f>if(RIGHT(I795,5)="2 pcs",2,Data!I795)</f>
        <v>1</v>
      </c>
      <c r="L795" s="2" t="str">
        <f t="shared" si="4"/>
        <v>Saturday</v>
      </c>
      <c r="M795" s="2" t="str">
        <f t="shared" si="5"/>
        <v>14</v>
      </c>
      <c r="N795" s="2">
        <f>VLOOKUP(L795,'Data Info'!$A$1:$B$8,2,0)</f>
        <v>6</v>
      </c>
      <c r="O795" s="2" t="str">
        <f>VLOOKUP(L795,'Data Info'!$A$1:$C$8,3,0)</f>
        <v>Weekend</v>
      </c>
    </row>
    <row r="796">
      <c r="A796" s="4">
        <v>45549.54236111111</v>
      </c>
      <c r="B796" s="9">
        <f>IFERROR(__xludf.DUMMYFUNCTION("SPLIT(A796,"" "")"),45549.0)</f>
        <v>45549</v>
      </c>
      <c r="C796" s="10">
        <f>IFERROR(__xludf.DUMMYFUNCTION("""COMPUTED_VALUE"""),0.5423611111111111)</f>
        <v>0.5423611111</v>
      </c>
      <c r="D796" s="2">
        <f t="shared" si="1"/>
        <v>13</v>
      </c>
      <c r="E796" s="2">
        <f>IFERROR(__xludf.DUMMYFUNCTION("SPLIT(B796,""/"")"),14.0)</f>
        <v>14</v>
      </c>
      <c r="F796" s="2">
        <f>IFERROR(__xludf.DUMMYFUNCTION("""COMPUTED_VALUE"""),9.0)</f>
        <v>9</v>
      </c>
      <c r="G796" s="2">
        <f>IFERROR(__xludf.DUMMYFUNCTION("""COMPUTED_VALUE"""),2024.0)</f>
        <v>2024</v>
      </c>
      <c r="H796" s="2" t="str">
        <f t="shared" si="2"/>
        <v>2024/9/14</v>
      </c>
      <c r="I796" s="2" t="s">
        <v>1602</v>
      </c>
      <c r="J796" s="2" t="str">
        <f t="shared" si="3"/>
        <v>Mie joglo</v>
      </c>
      <c r="K796" s="7">
        <f>if(RIGHT(I796,5)="2 pcs",2,Data!I796)</f>
        <v>1</v>
      </c>
      <c r="L796" s="2" t="str">
        <f t="shared" si="4"/>
        <v>Saturday</v>
      </c>
      <c r="M796" s="2" t="str">
        <f t="shared" si="5"/>
        <v>14</v>
      </c>
      <c r="N796" s="2">
        <f>VLOOKUP(L796,'Data Info'!$A$1:$B$8,2,0)</f>
        <v>6</v>
      </c>
      <c r="O796" s="2" t="str">
        <f>VLOOKUP(L796,'Data Info'!$A$1:$C$8,3,0)</f>
        <v>Weekend</v>
      </c>
    </row>
    <row r="797">
      <c r="A797" s="4">
        <v>45549.54236111111</v>
      </c>
      <c r="B797" s="9">
        <f>IFERROR(__xludf.DUMMYFUNCTION("SPLIT(A797,"" "")"),45549.0)</f>
        <v>45549</v>
      </c>
      <c r="C797" s="10">
        <f>IFERROR(__xludf.DUMMYFUNCTION("""COMPUTED_VALUE"""),0.5423611111111111)</f>
        <v>0.5423611111</v>
      </c>
      <c r="D797" s="2">
        <f t="shared" si="1"/>
        <v>13</v>
      </c>
      <c r="E797" s="2">
        <f>IFERROR(__xludf.DUMMYFUNCTION("SPLIT(B797,""/"")"),14.0)</f>
        <v>14</v>
      </c>
      <c r="F797" s="2">
        <f>IFERROR(__xludf.DUMMYFUNCTION("""COMPUTED_VALUE"""),9.0)</f>
        <v>9</v>
      </c>
      <c r="G797" s="2">
        <f>IFERROR(__xludf.DUMMYFUNCTION("""COMPUTED_VALUE"""),2024.0)</f>
        <v>2024</v>
      </c>
      <c r="H797" s="2" t="str">
        <f t="shared" si="2"/>
        <v>2024/9/14</v>
      </c>
      <c r="I797" s="2" t="s">
        <v>1607</v>
      </c>
      <c r="J797" s="2" t="str">
        <f t="shared" si="3"/>
        <v>Tahu walik</v>
      </c>
      <c r="K797" s="7">
        <f>if(RIGHT(I797,5)="2 pcs",2,Data!I797)</f>
        <v>1</v>
      </c>
      <c r="L797" s="2" t="str">
        <f t="shared" si="4"/>
        <v>Saturday</v>
      </c>
      <c r="M797" s="2" t="str">
        <f t="shared" si="5"/>
        <v>14</v>
      </c>
      <c r="N797" s="2">
        <f>VLOOKUP(L797,'Data Info'!$A$1:$B$8,2,0)</f>
        <v>6</v>
      </c>
      <c r="O797" s="2" t="str">
        <f>VLOOKUP(L797,'Data Info'!$A$1:$C$8,3,0)</f>
        <v>Weekend</v>
      </c>
    </row>
    <row r="798">
      <c r="A798" s="4">
        <v>45549.532638888886</v>
      </c>
      <c r="B798" s="9">
        <f>IFERROR(__xludf.DUMMYFUNCTION("SPLIT(A798,"" "")"),45549.0)</f>
        <v>45549</v>
      </c>
      <c r="C798" s="10">
        <f>IFERROR(__xludf.DUMMYFUNCTION("""COMPUTED_VALUE"""),0.5326388888888889)</f>
        <v>0.5326388889</v>
      </c>
      <c r="D798" s="2">
        <f t="shared" si="1"/>
        <v>12</v>
      </c>
      <c r="E798" s="2">
        <f>IFERROR(__xludf.DUMMYFUNCTION("SPLIT(B798,""/"")"),14.0)</f>
        <v>14</v>
      </c>
      <c r="F798" s="2">
        <f>IFERROR(__xludf.DUMMYFUNCTION("""COMPUTED_VALUE"""),9.0)</f>
        <v>9</v>
      </c>
      <c r="G798" s="2">
        <f>IFERROR(__xludf.DUMMYFUNCTION("""COMPUTED_VALUE"""),2024.0)</f>
        <v>2024</v>
      </c>
      <c r="H798" s="2" t="str">
        <f t="shared" si="2"/>
        <v>2024/9/14</v>
      </c>
      <c r="I798" s="2" t="s">
        <v>1602</v>
      </c>
      <c r="J798" s="2" t="str">
        <f t="shared" si="3"/>
        <v>Mie joglo</v>
      </c>
      <c r="K798" s="7">
        <f>if(RIGHT(I798,5)="2 pcs",2,Data!I798)</f>
        <v>1</v>
      </c>
      <c r="L798" s="2" t="str">
        <f t="shared" si="4"/>
        <v>Saturday</v>
      </c>
      <c r="M798" s="2" t="str">
        <f t="shared" si="5"/>
        <v>14</v>
      </c>
      <c r="N798" s="2">
        <f>VLOOKUP(L798,'Data Info'!$A$1:$B$8,2,0)</f>
        <v>6</v>
      </c>
      <c r="O798" s="2" t="str">
        <f>VLOOKUP(L798,'Data Info'!$A$1:$C$8,3,0)</f>
        <v>Weekend</v>
      </c>
    </row>
    <row r="799">
      <c r="A799" s="4">
        <v>45549.532638888886</v>
      </c>
      <c r="B799" s="9">
        <f>IFERROR(__xludf.DUMMYFUNCTION("SPLIT(A799,"" "")"),45549.0)</f>
        <v>45549</v>
      </c>
      <c r="C799" s="10">
        <f>IFERROR(__xludf.DUMMYFUNCTION("""COMPUTED_VALUE"""),0.5326388888888889)</f>
        <v>0.5326388889</v>
      </c>
      <c r="D799" s="2">
        <f t="shared" si="1"/>
        <v>12</v>
      </c>
      <c r="E799" s="2">
        <f>IFERROR(__xludf.DUMMYFUNCTION("SPLIT(B799,""/"")"),14.0)</f>
        <v>14</v>
      </c>
      <c r="F799" s="2">
        <f>IFERROR(__xludf.DUMMYFUNCTION("""COMPUTED_VALUE"""),9.0)</f>
        <v>9</v>
      </c>
      <c r="G799" s="2">
        <f>IFERROR(__xludf.DUMMYFUNCTION("""COMPUTED_VALUE"""),2024.0)</f>
        <v>2024</v>
      </c>
      <c r="H799" s="2" t="str">
        <f t="shared" si="2"/>
        <v>2024/9/14</v>
      </c>
      <c r="I799" s="2" t="s">
        <v>1609</v>
      </c>
      <c r="J799" s="2" t="str">
        <f t="shared" si="3"/>
        <v>Tempe Mendoan</v>
      </c>
      <c r="K799" s="7">
        <f>if(RIGHT(I799,5)="2 pcs",2,Data!I799)</f>
        <v>1</v>
      </c>
      <c r="L799" s="2" t="str">
        <f t="shared" si="4"/>
        <v>Saturday</v>
      </c>
      <c r="M799" s="2" t="str">
        <f t="shared" si="5"/>
        <v>14</v>
      </c>
      <c r="N799" s="2">
        <f>VLOOKUP(L799,'Data Info'!$A$1:$B$8,2,0)</f>
        <v>6</v>
      </c>
      <c r="O799" s="2" t="str">
        <f>VLOOKUP(L799,'Data Info'!$A$1:$C$8,3,0)</f>
        <v>Weekend</v>
      </c>
    </row>
    <row r="800">
      <c r="A800" s="4">
        <v>45549.532638888886</v>
      </c>
      <c r="B800" s="9">
        <f>IFERROR(__xludf.DUMMYFUNCTION("SPLIT(A800,"" "")"),45549.0)</f>
        <v>45549</v>
      </c>
      <c r="C800" s="10">
        <f>IFERROR(__xludf.DUMMYFUNCTION("""COMPUTED_VALUE"""),0.5326388888888889)</f>
        <v>0.5326388889</v>
      </c>
      <c r="D800" s="2">
        <f t="shared" si="1"/>
        <v>12</v>
      </c>
      <c r="E800" s="2">
        <f>IFERROR(__xludf.DUMMYFUNCTION("SPLIT(B800,""/"")"),14.0)</f>
        <v>14</v>
      </c>
      <c r="F800" s="2">
        <f>IFERROR(__xludf.DUMMYFUNCTION("""COMPUTED_VALUE"""),9.0)</f>
        <v>9</v>
      </c>
      <c r="G800" s="2">
        <f>IFERROR(__xludf.DUMMYFUNCTION("""COMPUTED_VALUE"""),2024.0)</f>
        <v>2024</v>
      </c>
      <c r="H800" s="2" t="str">
        <f t="shared" si="2"/>
        <v>2024/9/14</v>
      </c>
      <c r="I800" s="2" t="s">
        <v>1577</v>
      </c>
      <c r="J800" s="2" t="str">
        <f t="shared" si="3"/>
        <v>Rempah Madu Panas</v>
      </c>
      <c r="K800" s="7">
        <f>if(RIGHT(I800,5)="2 pcs",2,Data!I800)</f>
        <v>1</v>
      </c>
      <c r="L800" s="2" t="str">
        <f t="shared" si="4"/>
        <v>Saturday</v>
      </c>
      <c r="M800" s="2" t="str">
        <f t="shared" si="5"/>
        <v>14</v>
      </c>
      <c r="N800" s="2">
        <f>VLOOKUP(L800,'Data Info'!$A$1:$B$8,2,0)</f>
        <v>6</v>
      </c>
      <c r="O800" s="2" t="str">
        <f>VLOOKUP(L800,'Data Info'!$A$1:$C$8,3,0)</f>
        <v>Weekend</v>
      </c>
    </row>
    <row r="801">
      <c r="A801" s="4">
        <v>45549.532638888886</v>
      </c>
      <c r="B801" s="9">
        <f>IFERROR(__xludf.DUMMYFUNCTION("SPLIT(A801,"" "")"),45549.0)</f>
        <v>45549</v>
      </c>
      <c r="C801" s="10">
        <f>IFERROR(__xludf.DUMMYFUNCTION("""COMPUTED_VALUE"""),0.5326388888888889)</f>
        <v>0.5326388889</v>
      </c>
      <c r="D801" s="2">
        <f t="shared" si="1"/>
        <v>12</v>
      </c>
      <c r="E801" s="2">
        <f>IFERROR(__xludf.DUMMYFUNCTION("SPLIT(B801,""/"")"),14.0)</f>
        <v>14</v>
      </c>
      <c r="F801" s="2">
        <f>IFERROR(__xludf.DUMMYFUNCTION("""COMPUTED_VALUE"""),9.0)</f>
        <v>9</v>
      </c>
      <c r="G801" s="2">
        <f>IFERROR(__xludf.DUMMYFUNCTION("""COMPUTED_VALUE"""),2024.0)</f>
        <v>2024</v>
      </c>
      <c r="H801" s="2" t="str">
        <f t="shared" si="2"/>
        <v>2024/9/14</v>
      </c>
      <c r="I801" s="2" t="s">
        <v>1619</v>
      </c>
      <c r="J801" s="2" t="str">
        <f t="shared" si="3"/>
        <v>Teh Manis Panas</v>
      </c>
      <c r="K801" s="7">
        <f>if(RIGHT(I801,5)="2 pcs",2,Data!I801)</f>
        <v>1</v>
      </c>
      <c r="L801" s="2" t="str">
        <f t="shared" si="4"/>
        <v>Saturday</v>
      </c>
      <c r="M801" s="2" t="str">
        <f t="shared" si="5"/>
        <v>14</v>
      </c>
      <c r="N801" s="2">
        <f>VLOOKUP(L801,'Data Info'!$A$1:$B$8,2,0)</f>
        <v>6</v>
      </c>
      <c r="O801" s="2" t="str">
        <f>VLOOKUP(L801,'Data Info'!$A$1:$C$8,3,0)</f>
        <v>Weekend</v>
      </c>
    </row>
    <row r="802">
      <c r="A802" s="4">
        <v>45549.5125</v>
      </c>
      <c r="B802" s="9">
        <f>IFERROR(__xludf.DUMMYFUNCTION("SPLIT(A802,"" "")"),45549.0)</f>
        <v>45549</v>
      </c>
      <c r="C802" s="10">
        <f>IFERROR(__xludf.DUMMYFUNCTION("""COMPUTED_VALUE"""),0.5125)</f>
        <v>0.5125</v>
      </c>
      <c r="D802" s="2">
        <f t="shared" si="1"/>
        <v>12</v>
      </c>
      <c r="E802" s="2">
        <f>IFERROR(__xludf.DUMMYFUNCTION("SPLIT(B802,""/"")"),14.0)</f>
        <v>14</v>
      </c>
      <c r="F802" s="2">
        <f>IFERROR(__xludf.DUMMYFUNCTION("""COMPUTED_VALUE"""),9.0)</f>
        <v>9</v>
      </c>
      <c r="G802" s="2">
        <f>IFERROR(__xludf.DUMMYFUNCTION("""COMPUTED_VALUE"""),2024.0)</f>
        <v>2024</v>
      </c>
      <c r="H802" s="2" t="str">
        <f t="shared" si="2"/>
        <v>2024/9/14</v>
      </c>
      <c r="I802" s="2" t="s">
        <v>1576</v>
      </c>
      <c r="J802" s="2" t="str">
        <f t="shared" si="3"/>
        <v>Roti Cranberry</v>
      </c>
      <c r="K802" s="7">
        <f>if(RIGHT(I802,5)="2 pcs",2,Data!I802)</f>
        <v>1</v>
      </c>
      <c r="L802" s="2" t="str">
        <f t="shared" si="4"/>
        <v>Saturday</v>
      </c>
      <c r="M802" s="2" t="str">
        <f t="shared" si="5"/>
        <v>14</v>
      </c>
      <c r="N802" s="2">
        <f>VLOOKUP(L802,'Data Info'!$A$1:$B$8,2,0)</f>
        <v>6</v>
      </c>
      <c r="O802" s="2" t="str">
        <f>VLOOKUP(L802,'Data Info'!$A$1:$C$8,3,0)</f>
        <v>Weekend</v>
      </c>
    </row>
    <row r="803">
      <c r="A803" s="4">
        <v>45549.5125</v>
      </c>
      <c r="B803" s="9">
        <f>IFERROR(__xludf.DUMMYFUNCTION("SPLIT(A803,"" "")"),45549.0)</f>
        <v>45549</v>
      </c>
      <c r="C803" s="10">
        <f>IFERROR(__xludf.DUMMYFUNCTION("""COMPUTED_VALUE"""),0.5125)</f>
        <v>0.5125</v>
      </c>
      <c r="D803" s="2">
        <f t="shared" si="1"/>
        <v>12</v>
      </c>
      <c r="E803" s="2">
        <f>IFERROR(__xludf.DUMMYFUNCTION("SPLIT(B803,""/"")"),14.0)</f>
        <v>14</v>
      </c>
      <c r="F803" s="2">
        <f>IFERROR(__xludf.DUMMYFUNCTION("""COMPUTED_VALUE"""),9.0)</f>
        <v>9</v>
      </c>
      <c r="G803" s="2">
        <f>IFERROR(__xludf.DUMMYFUNCTION("""COMPUTED_VALUE"""),2024.0)</f>
        <v>2024</v>
      </c>
      <c r="H803" s="2" t="str">
        <f t="shared" si="2"/>
        <v>2024/9/14</v>
      </c>
      <c r="I803" s="2" t="s">
        <v>1566</v>
      </c>
      <c r="J803" s="2" t="str">
        <f t="shared" si="3"/>
        <v>Roti Bawang Saus Keju</v>
      </c>
      <c r="K803" s="7">
        <f>if(RIGHT(I803,5)="2 pcs",2,Data!I803)</f>
        <v>1</v>
      </c>
      <c r="L803" s="2" t="str">
        <f t="shared" si="4"/>
        <v>Saturday</v>
      </c>
      <c r="M803" s="2" t="str">
        <f t="shared" si="5"/>
        <v>14</v>
      </c>
      <c r="N803" s="2">
        <f>VLOOKUP(L803,'Data Info'!$A$1:$B$8,2,0)</f>
        <v>6</v>
      </c>
      <c r="O803" s="2" t="str">
        <f>VLOOKUP(L803,'Data Info'!$A$1:$C$8,3,0)</f>
        <v>Weekend</v>
      </c>
    </row>
    <row r="804">
      <c r="A804" s="4">
        <v>45549.50763888889</v>
      </c>
      <c r="B804" s="9">
        <f>IFERROR(__xludf.DUMMYFUNCTION("SPLIT(A804,"" "")"),45549.0)</f>
        <v>45549</v>
      </c>
      <c r="C804" s="10">
        <f>IFERROR(__xludf.DUMMYFUNCTION("""COMPUTED_VALUE"""),0.5076388888888889)</f>
        <v>0.5076388889</v>
      </c>
      <c r="D804" s="2">
        <f t="shared" si="1"/>
        <v>12</v>
      </c>
      <c r="E804" s="2">
        <f>IFERROR(__xludf.DUMMYFUNCTION("SPLIT(B804,""/"")"),14.0)</f>
        <v>14</v>
      </c>
      <c r="F804" s="2">
        <f>IFERROR(__xludf.DUMMYFUNCTION("""COMPUTED_VALUE"""),9.0)</f>
        <v>9</v>
      </c>
      <c r="G804" s="2">
        <f>IFERROR(__xludf.DUMMYFUNCTION("""COMPUTED_VALUE"""),2024.0)</f>
        <v>2024</v>
      </c>
      <c r="H804" s="2" t="str">
        <f t="shared" si="2"/>
        <v>2024/9/14</v>
      </c>
      <c r="I804" s="2" t="s">
        <v>1576</v>
      </c>
      <c r="J804" s="2" t="str">
        <f t="shared" si="3"/>
        <v>Roti Cranberry</v>
      </c>
      <c r="K804" s="7">
        <f>if(RIGHT(I804,5)="2 pcs",2,Data!I804)</f>
        <v>1</v>
      </c>
      <c r="L804" s="2" t="str">
        <f t="shared" si="4"/>
        <v>Saturday</v>
      </c>
      <c r="M804" s="2" t="str">
        <f t="shared" si="5"/>
        <v>14</v>
      </c>
      <c r="N804" s="2">
        <f>VLOOKUP(L804,'Data Info'!$A$1:$B$8,2,0)</f>
        <v>6</v>
      </c>
      <c r="O804" s="2" t="str">
        <f>VLOOKUP(L804,'Data Info'!$A$1:$C$8,3,0)</f>
        <v>Weekend</v>
      </c>
    </row>
    <row r="805">
      <c r="A805" s="4">
        <v>45549.50763888889</v>
      </c>
      <c r="B805" s="9">
        <f>IFERROR(__xludf.DUMMYFUNCTION("SPLIT(A805,"" "")"),45549.0)</f>
        <v>45549</v>
      </c>
      <c r="C805" s="10">
        <f>IFERROR(__xludf.DUMMYFUNCTION("""COMPUTED_VALUE"""),0.5076388888888889)</f>
        <v>0.5076388889</v>
      </c>
      <c r="D805" s="2">
        <f t="shared" si="1"/>
        <v>12</v>
      </c>
      <c r="E805" s="2">
        <f>IFERROR(__xludf.DUMMYFUNCTION("SPLIT(B805,""/"")"),14.0)</f>
        <v>14</v>
      </c>
      <c r="F805" s="2">
        <f>IFERROR(__xludf.DUMMYFUNCTION("""COMPUTED_VALUE"""),9.0)</f>
        <v>9</v>
      </c>
      <c r="G805" s="2">
        <f>IFERROR(__xludf.DUMMYFUNCTION("""COMPUTED_VALUE"""),2024.0)</f>
        <v>2024</v>
      </c>
      <c r="H805" s="2" t="str">
        <f t="shared" si="2"/>
        <v>2024/9/14</v>
      </c>
      <c r="I805" s="2" t="s">
        <v>1617</v>
      </c>
      <c r="J805" s="2" t="str">
        <f t="shared" si="3"/>
        <v>Lemon Tea Dingin</v>
      </c>
      <c r="K805" s="7">
        <f>if(RIGHT(I805,5)="2 pcs",2,Data!I805)</f>
        <v>1</v>
      </c>
      <c r="L805" s="2" t="str">
        <f t="shared" si="4"/>
        <v>Saturday</v>
      </c>
      <c r="M805" s="2" t="str">
        <f t="shared" si="5"/>
        <v>14</v>
      </c>
      <c r="N805" s="2">
        <f>VLOOKUP(L805,'Data Info'!$A$1:$B$8,2,0)</f>
        <v>6</v>
      </c>
      <c r="O805" s="2" t="str">
        <f>VLOOKUP(L805,'Data Info'!$A$1:$C$8,3,0)</f>
        <v>Weekend</v>
      </c>
    </row>
    <row r="806">
      <c r="A806" s="4">
        <v>45549.48402777778</v>
      </c>
      <c r="B806" s="9">
        <f>IFERROR(__xludf.DUMMYFUNCTION("SPLIT(A806,"" "")"),45549.0)</f>
        <v>45549</v>
      </c>
      <c r="C806" s="10">
        <f>IFERROR(__xludf.DUMMYFUNCTION("""COMPUTED_VALUE"""),0.4840277777777778)</f>
        <v>0.4840277778</v>
      </c>
      <c r="D806" s="2">
        <f t="shared" si="1"/>
        <v>11</v>
      </c>
      <c r="E806" s="2">
        <f>IFERROR(__xludf.DUMMYFUNCTION("SPLIT(B806,""/"")"),14.0)</f>
        <v>14</v>
      </c>
      <c r="F806" s="2">
        <f>IFERROR(__xludf.DUMMYFUNCTION("""COMPUTED_VALUE"""),9.0)</f>
        <v>9</v>
      </c>
      <c r="G806" s="2">
        <f>IFERROR(__xludf.DUMMYFUNCTION("""COMPUTED_VALUE"""),2024.0)</f>
        <v>2024</v>
      </c>
      <c r="H806" s="2" t="str">
        <f t="shared" si="2"/>
        <v>2024/9/14</v>
      </c>
      <c r="I806" s="2" t="s">
        <v>1616</v>
      </c>
      <c r="J806" s="2" t="str">
        <f t="shared" si="3"/>
        <v>Roti panggang coklat</v>
      </c>
      <c r="K806" s="7">
        <f>if(RIGHT(I806,5)="2 pcs",2,Data!I806)</f>
        <v>1</v>
      </c>
      <c r="L806" s="2" t="str">
        <f t="shared" si="4"/>
        <v>Saturday</v>
      </c>
      <c r="M806" s="2" t="str">
        <f t="shared" si="5"/>
        <v>14</v>
      </c>
      <c r="N806" s="2">
        <f>VLOOKUP(L806,'Data Info'!$A$1:$B$8,2,0)</f>
        <v>6</v>
      </c>
      <c r="O806" s="2" t="str">
        <f>VLOOKUP(L806,'Data Info'!$A$1:$C$8,3,0)</f>
        <v>Weekend</v>
      </c>
    </row>
    <row r="807">
      <c r="A807" s="4">
        <v>45549.48402777778</v>
      </c>
      <c r="B807" s="9">
        <f>IFERROR(__xludf.DUMMYFUNCTION("SPLIT(A807,"" "")"),45549.0)</f>
        <v>45549</v>
      </c>
      <c r="C807" s="10">
        <f>IFERROR(__xludf.DUMMYFUNCTION("""COMPUTED_VALUE"""),0.4840277777777778)</f>
        <v>0.4840277778</v>
      </c>
      <c r="D807" s="2">
        <f t="shared" si="1"/>
        <v>11</v>
      </c>
      <c r="E807" s="2">
        <f>IFERROR(__xludf.DUMMYFUNCTION("SPLIT(B807,""/"")"),14.0)</f>
        <v>14</v>
      </c>
      <c r="F807" s="2">
        <f>IFERROR(__xludf.DUMMYFUNCTION("""COMPUTED_VALUE"""),9.0)</f>
        <v>9</v>
      </c>
      <c r="G807" s="2">
        <f>IFERROR(__xludf.DUMMYFUNCTION("""COMPUTED_VALUE"""),2024.0)</f>
        <v>2024</v>
      </c>
      <c r="H807" s="2" t="str">
        <f t="shared" si="2"/>
        <v>2024/9/14</v>
      </c>
      <c r="I807" s="2" t="s">
        <v>1588</v>
      </c>
      <c r="J807" s="2" t="str">
        <f t="shared" si="3"/>
        <v>Es Kopi Susu</v>
      </c>
      <c r="K807" s="7">
        <f>if(RIGHT(I807,5)="2 pcs",2,Data!I807)</f>
        <v>1</v>
      </c>
      <c r="L807" s="2" t="str">
        <f t="shared" si="4"/>
        <v>Saturday</v>
      </c>
      <c r="M807" s="2" t="str">
        <f t="shared" si="5"/>
        <v>14</v>
      </c>
      <c r="N807" s="2">
        <f>VLOOKUP(L807,'Data Info'!$A$1:$B$8,2,0)</f>
        <v>6</v>
      </c>
      <c r="O807" s="2" t="str">
        <f>VLOOKUP(L807,'Data Info'!$A$1:$C$8,3,0)</f>
        <v>Weekend</v>
      </c>
    </row>
    <row r="808">
      <c r="A808" s="4">
        <v>45549.48402777778</v>
      </c>
      <c r="B808" s="9">
        <f>IFERROR(__xludf.DUMMYFUNCTION("SPLIT(A808,"" "")"),45549.0)</f>
        <v>45549</v>
      </c>
      <c r="C808" s="10">
        <f>IFERROR(__xludf.DUMMYFUNCTION("""COMPUTED_VALUE"""),0.4840277777777778)</f>
        <v>0.4840277778</v>
      </c>
      <c r="D808" s="2">
        <f t="shared" si="1"/>
        <v>11</v>
      </c>
      <c r="E808" s="2">
        <f>IFERROR(__xludf.DUMMYFUNCTION("SPLIT(B808,""/"")"),14.0)</f>
        <v>14</v>
      </c>
      <c r="F808" s="2">
        <f>IFERROR(__xludf.DUMMYFUNCTION("""COMPUTED_VALUE"""),9.0)</f>
        <v>9</v>
      </c>
      <c r="G808" s="2">
        <f>IFERROR(__xludf.DUMMYFUNCTION("""COMPUTED_VALUE"""),2024.0)</f>
        <v>2024</v>
      </c>
      <c r="H808" s="2" t="str">
        <f t="shared" si="2"/>
        <v>2024/9/14</v>
      </c>
      <c r="I808" s="2" t="s">
        <v>1589</v>
      </c>
      <c r="J808" s="2" t="str">
        <f t="shared" si="3"/>
        <v>Teh Manis Dingin</v>
      </c>
      <c r="K808" s="7">
        <f>if(RIGHT(I808,5)="2 pcs",2,Data!I808)</f>
        <v>1</v>
      </c>
      <c r="L808" s="2" t="str">
        <f t="shared" si="4"/>
        <v>Saturday</v>
      </c>
      <c r="M808" s="2" t="str">
        <f t="shared" si="5"/>
        <v>14</v>
      </c>
      <c r="N808" s="2">
        <f>VLOOKUP(L808,'Data Info'!$A$1:$B$8,2,0)</f>
        <v>6</v>
      </c>
      <c r="O808" s="2" t="str">
        <f>VLOOKUP(L808,'Data Info'!$A$1:$C$8,3,0)</f>
        <v>Weekend</v>
      </c>
    </row>
    <row r="809">
      <c r="A809" s="4">
        <v>45549.47361111111</v>
      </c>
      <c r="B809" s="9">
        <f>IFERROR(__xludf.DUMMYFUNCTION("SPLIT(A809,"" "")"),45549.0)</f>
        <v>45549</v>
      </c>
      <c r="C809" s="10">
        <f>IFERROR(__xludf.DUMMYFUNCTION("""COMPUTED_VALUE"""),0.4736111111111111)</f>
        <v>0.4736111111</v>
      </c>
      <c r="D809" s="2">
        <f t="shared" si="1"/>
        <v>11</v>
      </c>
      <c r="E809" s="2">
        <f>IFERROR(__xludf.DUMMYFUNCTION("SPLIT(B809,""/"")"),14.0)</f>
        <v>14</v>
      </c>
      <c r="F809" s="2">
        <f>IFERROR(__xludf.DUMMYFUNCTION("""COMPUTED_VALUE"""),9.0)</f>
        <v>9</v>
      </c>
      <c r="G809" s="2">
        <f>IFERROR(__xludf.DUMMYFUNCTION("""COMPUTED_VALUE"""),2024.0)</f>
        <v>2024</v>
      </c>
      <c r="H809" s="2" t="str">
        <f t="shared" si="2"/>
        <v>2024/9/14</v>
      </c>
      <c r="I809" s="2" t="s">
        <v>1597</v>
      </c>
      <c r="J809" s="2" t="str">
        <f t="shared" si="3"/>
        <v>Roti Gandum Cokelat</v>
      </c>
      <c r="K809" s="7">
        <f>if(RIGHT(I809,5)="2 pcs",2,Data!I809)</f>
        <v>2</v>
      </c>
      <c r="L809" s="2" t="str">
        <f t="shared" si="4"/>
        <v>Saturday</v>
      </c>
      <c r="M809" s="2" t="str">
        <f t="shared" si="5"/>
        <v>14</v>
      </c>
      <c r="N809" s="2">
        <f>VLOOKUP(L809,'Data Info'!$A$1:$B$8,2,0)</f>
        <v>6</v>
      </c>
      <c r="O809" s="2" t="str">
        <f>VLOOKUP(L809,'Data Info'!$A$1:$C$8,3,0)</f>
        <v>Weekend</v>
      </c>
    </row>
    <row r="810">
      <c r="A810" s="4">
        <v>45549.47361111111</v>
      </c>
      <c r="B810" s="9">
        <f>IFERROR(__xludf.DUMMYFUNCTION("SPLIT(A810,"" "")"),45549.0)</f>
        <v>45549</v>
      </c>
      <c r="C810" s="10">
        <f>IFERROR(__xludf.DUMMYFUNCTION("""COMPUTED_VALUE"""),0.4736111111111111)</f>
        <v>0.4736111111</v>
      </c>
      <c r="D810" s="2">
        <f t="shared" si="1"/>
        <v>11</v>
      </c>
      <c r="E810" s="2">
        <f>IFERROR(__xludf.DUMMYFUNCTION("SPLIT(B810,""/"")"),14.0)</f>
        <v>14</v>
      </c>
      <c r="F810" s="2">
        <f>IFERROR(__xludf.DUMMYFUNCTION("""COMPUTED_VALUE"""),9.0)</f>
        <v>9</v>
      </c>
      <c r="G810" s="2">
        <f>IFERROR(__xludf.DUMMYFUNCTION("""COMPUTED_VALUE"""),2024.0)</f>
        <v>2024</v>
      </c>
      <c r="H810" s="2" t="str">
        <f t="shared" si="2"/>
        <v>2024/9/14</v>
      </c>
      <c r="I810" s="2" t="s">
        <v>1595</v>
      </c>
      <c r="J810" s="2" t="str">
        <f t="shared" si="3"/>
        <v>Roti Gandum Cokelat</v>
      </c>
      <c r="K810" s="7">
        <f>if(RIGHT(I810,5)="2 pcs",2,Data!I810)</f>
        <v>1</v>
      </c>
      <c r="L810" s="2" t="str">
        <f t="shared" si="4"/>
        <v>Saturday</v>
      </c>
      <c r="M810" s="2" t="str">
        <f t="shared" si="5"/>
        <v>14</v>
      </c>
      <c r="N810" s="2">
        <f>VLOOKUP(L810,'Data Info'!$A$1:$B$8,2,0)</f>
        <v>6</v>
      </c>
      <c r="O810" s="2" t="str">
        <f>VLOOKUP(L810,'Data Info'!$A$1:$C$8,3,0)</f>
        <v>Weekend</v>
      </c>
    </row>
    <row r="811">
      <c r="A811" s="4">
        <v>45549.47361111111</v>
      </c>
      <c r="B811" s="9">
        <f>IFERROR(__xludf.DUMMYFUNCTION("SPLIT(A811,"" "")"),45549.0)</f>
        <v>45549</v>
      </c>
      <c r="C811" s="10">
        <f>IFERROR(__xludf.DUMMYFUNCTION("""COMPUTED_VALUE"""),0.4736111111111111)</f>
        <v>0.4736111111</v>
      </c>
      <c r="D811" s="2">
        <f t="shared" si="1"/>
        <v>11</v>
      </c>
      <c r="E811" s="2">
        <f>IFERROR(__xludf.DUMMYFUNCTION("SPLIT(B811,""/"")"),14.0)</f>
        <v>14</v>
      </c>
      <c r="F811" s="2">
        <f>IFERROR(__xludf.DUMMYFUNCTION("""COMPUTED_VALUE"""),9.0)</f>
        <v>9</v>
      </c>
      <c r="G811" s="2">
        <f>IFERROR(__xludf.DUMMYFUNCTION("""COMPUTED_VALUE"""),2024.0)</f>
        <v>2024</v>
      </c>
      <c r="H811" s="2" t="str">
        <f t="shared" si="2"/>
        <v>2024/9/14</v>
      </c>
      <c r="I811" s="2" t="s">
        <v>1566</v>
      </c>
      <c r="J811" s="2" t="str">
        <f t="shared" si="3"/>
        <v>Roti Bawang Saus Keju</v>
      </c>
      <c r="K811" s="7">
        <f>if(RIGHT(I811,5)="2 pcs",2,Data!I811)</f>
        <v>1</v>
      </c>
      <c r="L811" s="2" t="str">
        <f t="shared" si="4"/>
        <v>Saturday</v>
      </c>
      <c r="M811" s="2" t="str">
        <f t="shared" si="5"/>
        <v>14</v>
      </c>
      <c r="N811" s="2">
        <f>VLOOKUP(L811,'Data Info'!$A$1:$B$8,2,0)</f>
        <v>6</v>
      </c>
      <c r="O811" s="2" t="str">
        <f>VLOOKUP(L811,'Data Info'!$A$1:$C$8,3,0)</f>
        <v>Weekend</v>
      </c>
    </row>
    <row r="812">
      <c r="A812" s="4">
        <v>45549.47361111111</v>
      </c>
      <c r="B812" s="9">
        <f>IFERROR(__xludf.DUMMYFUNCTION("SPLIT(A812,"" "")"),45549.0)</f>
        <v>45549</v>
      </c>
      <c r="C812" s="10">
        <f>IFERROR(__xludf.DUMMYFUNCTION("""COMPUTED_VALUE"""),0.4736111111111111)</f>
        <v>0.4736111111</v>
      </c>
      <c r="D812" s="2">
        <f t="shared" si="1"/>
        <v>11</v>
      </c>
      <c r="E812" s="2">
        <f>IFERROR(__xludf.DUMMYFUNCTION("SPLIT(B812,""/"")"),14.0)</f>
        <v>14</v>
      </c>
      <c r="F812" s="2">
        <f>IFERROR(__xludf.DUMMYFUNCTION("""COMPUTED_VALUE"""),9.0)</f>
        <v>9</v>
      </c>
      <c r="G812" s="2">
        <f>IFERROR(__xludf.DUMMYFUNCTION("""COMPUTED_VALUE"""),2024.0)</f>
        <v>2024</v>
      </c>
      <c r="H812" s="2" t="str">
        <f t="shared" si="2"/>
        <v>2024/9/14</v>
      </c>
      <c r="I812" s="2" t="s">
        <v>1596</v>
      </c>
      <c r="J812" s="2" t="str">
        <f t="shared" si="3"/>
        <v>Roti Cranberry</v>
      </c>
      <c r="K812" s="7">
        <f>if(RIGHT(I812,5)="2 pcs",2,Data!I812)</f>
        <v>2</v>
      </c>
      <c r="L812" s="2" t="str">
        <f t="shared" si="4"/>
        <v>Saturday</v>
      </c>
      <c r="M812" s="2" t="str">
        <f t="shared" si="5"/>
        <v>14</v>
      </c>
      <c r="N812" s="2">
        <f>VLOOKUP(L812,'Data Info'!$A$1:$B$8,2,0)</f>
        <v>6</v>
      </c>
      <c r="O812" s="2" t="str">
        <f>VLOOKUP(L812,'Data Info'!$A$1:$C$8,3,0)</f>
        <v>Weekend</v>
      </c>
    </row>
    <row r="813">
      <c r="A813" s="4">
        <v>45549.47361111111</v>
      </c>
      <c r="B813" s="9">
        <f>IFERROR(__xludf.DUMMYFUNCTION("SPLIT(A813,"" "")"),45549.0)</f>
        <v>45549</v>
      </c>
      <c r="C813" s="10">
        <f>IFERROR(__xludf.DUMMYFUNCTION("""COMPUTED_VALUE"""),0.4736111111111111)</f>
        <v>0.4736111111</v>
      </c>
      <c r="D813" s="2">
        <f t="shared" si="1"/>
        <v>11</v>
      </c>
      <c r="E813" s="2">
        <f>IFERROR(__xludf.DUMMYFUNCTION("SPLIT(B813,""/"")"),14.0)</f>
        <v>14</v>
      </c>
      <c r="F813" s="2">
        <f>IFERROR(__xludf.DUMMYFUNCTION("""COMPUTED_VALUE"""),9.0)</f>
        <v>9</v>
      </c>
      <c r="G813" s="2">
        <f>IFERROR(__xludf.DUMMYFUNCTION("""COMPUTED_VALUE"""),2024.0)</f>
        <v>2024</v>
      </c>
      <c r="H813" s="2" t="str">
        <f t="shared" si="2"/>
        <v>2024/9/14</v>
      </c>
      <c r="I813" s="2" t="s">
        <v>1615</v>
      </c>
      <c r="J813" s="2" t="str">
        <f t="shared" si="3"/>
        <v>Roti panggang sarikaya</v>
      </c>
      <c r="K813" s="7">
        <f>if(RIGHT(I813,5)="2 pcs",2,Data!I813)</f>
        <v>1</v>
      </c>
      <c r="L813" s="2" t="str">
        <f t="shared" si="4"/>
        <v>Saturday</v>
      </c>
      <c r="M813" s="2" t="str">
        <f t="shared" si="5"/>
        <v>14</v>
      </c>
      <c r="N813" s="2">
        <f>VLOOKUP(L813,'Data Info'!$A$1:$B$8,2,0)</f>
        <v>6</v>
      </c>
      <c r="O813" s="2" t="str">
        <f>VLOOKUP(L813,'Data Info'!$A$1:$C$8,3,0)</f>
        <v>Weekend</v>
      </c>
    </row>
    <row r="814">
      <c r="A814" s="4">
        <v>45549.470138888886</v>
      </c>
      <c r="B814" s="9">
        <f>IFERROR(__xludf.DUMMYFUNCTION("SPLIT(A814,"" "")"),45549.0)</f>
        <v>45549</v>
      </c>
      <c r="C814" s="10">
        <f>IFERROR(__xludf.DUMMYFUNCTION("""COMPUTED_VALUE"""),0.4701388888888889)</f>
        <v>0.4701388889</v>
      </c>
      <c r="D814" s="2">
        <f t="shared" si="1"/>
        <v>11</v>
      </c>
      <c r="E814" s="2">
        <f>IFERROR(__xludf.DUMMYFUNCTION("SPLIT(B814,""/"")"),14.0)</f>
        <v>14</v>
      </c>
      <c r="F814" s="2">
        <f>IFERROR(__xludf.DUMMYFUNCTION("""COMPUTED_VALUE"""),9.0)</f>
        <v>9</v>
      </c>
      <c r="G814" s="2">
        <f>IFERROR(__xludf.DUMMYFUNCTION("""COMPUTED_VALUE"""),2024.0)</f>
        <v>2024</v>
      </c>
      <c r="H814" s="2" t="str">
        <f t="shared" si="2"/>
        <v>2024/9/14</v>
      </c>
      <c r="I814" s="2" t="s">
        <v>1576</v>
      </c>
      <c r="J814" s="2" t="str">
        <f t="shared" si="3"/>
        <v>Roti Cranberry</v>
      </c>
      <c r="K814" s="7">
        <f>if(RIGHT(I814,5)="2 pcs",2,Data!I814)</f>
        <v>1</v>
      </c>
      <c r="L814" s="2" t="str">
        <f t="shared" si="4"/>
        <v>Saturday</v>
      </c>
      <c r="M814" s="2" t="str">
        <f t="shared" si="5"/>
        <v>14</v>
      </c>
      <c r="N814" s="2">
        <f>VLOOKUP(L814,'Data Info'!$A$1:$B$8,2,0)</f>
        <v>6</v>
      </c>
      <c r="O814" s="2" t="str">
        <f>VLOOKUP(L814,'Data Info'!$A$1:$C$8,3,0)</f>
        <v>Weekend</v>
      </c>
    </row>
    <row r="815">
      <c r="A815" s="4">
        <v>45549.46111111111</v>
      </c>
      <c r="B815" s="9">
        <f>IFERROR(__xludf.DUMMYFUNCTION("SPLIT(A815,"" "")"),45549.0)</f>
        <v>45549</v>
      </c>
      <c r="C815" s="10">
        <f>IFERROR(__xludf.DUMMYFUNCTION("""COMPUTED_VALUE"""),0.46111111111111114)</f>
        <v>0.4611111111</v>
      </c>
      <c r="D815" s="2">
        <f t="shared" si="1"/>
        <v>11</v>
      </c>
      <c r="E815" s="2">
        <f>IFERROR(__xludf.DUMMYFUNCTION("SPLIT(B815,""/"")"),14.0)</f>
        <v>14</v>
      </c>
      <c r="F815" s="2">
        <f>IFERROR(__xludf.DUMMYFUNCTION("""COMPUTED_VALUE"""),9.0)</f>
        <v>9</v>
      </c>
      <c r="G815" s="2">
        <f>IFERROR(__xludf.DUMMYFUNCTION("""COMPUTED_VALUE"""),2024.0)</f>
        <v>2024</v>
      </c>
      <c r="H815" s="2" t="str">
        <f t="shared" si="2"/>
        <v>2024/9/14</v>
      </c>
      <c r="I815" s="2" t="s">
        <v>1599</v>
      </c>
      <c r="J815" s="2" t="str">
        <f t="shared" si="3"/>
        <v>Rempah Madu Dingin</v>
      </c>
      <c r="K815" s="7">
        <f>if(RIGHT(I815,5)="2 pcs",2,Data!I815)</f>
        <v>3</v>
      </c>
      <c r="L815" s="2" t="str">
        <f t="shared" si="4"/>
        <v>Saturday</v>
      </c>
      <c r="M815" s="2" t="str">
        <f t="shared" si="5"/>
        <v>14</v>
      </c>
      <c r="N815" s="2">
        <f>VLOOKUP(L815,'Data Info'!$A$1:$B$8,2,0)</f>
        <v>6</v>
      </c>
      <c r="O815" s="2" t="str">
        <f>VLOOKUP(L815,'Data Info'!$A$1:$C$8,3,0)</f>
        <v>Weekend</v>
      </c>
    </row>
    <row r="816">
      <c r="A816" s="4">
        <v>45549.45</v>
      </c>
      <c r="B816" s="9">
        <f>IFERROR(__xludf.DUMMYFUNCTION("SPLIT(A816,"" "")"),45549.0)</f>
        <v>45549</v>
      </c>
      <c r="C816" s="10">
        <f>IFERROR(__xludf.DUMMYFUNCTION("""COMPUTED_VALUE"""),0.45)</f>
        <v>0.45</v>
      </c>
      <c r="D816" s="2">
        <f t="shared" si="1"/>
        <v>10</v>
      </c>
      <c r="E816" s="2">
        <f>IFERROR(__xludf.DUMMYFUNCTION("SPLIT(B816,""/"")"),14.0)</f>
        <v>14</v>
      </c>
      <c r="F816" s="2">
        <f>IFERROR(__xludf.DUMMYFUNCTION("""COMPUTED_VALUE"""),9.0)</f>
        <v>9</v>
      </c>
      <c r="G816" s="2">
        <f>IFERROR(__xludf.DUMMYFUNCTION("""COMPUTED_VALUE"""),2024.0)</f>
        <v>2024</v>
      </c>
      <c r="H816" s="2" t="str">
        <f t="shared" si="2"/>
        <v>2024/9/14</v>
      </c>
      <c r="I816" s="2" t="s">
        <v>1585</v>
      </c>
      <c r="J816" s="2" t="str">
        <f t="shared" si="3"/>
        <v>Susu murni moca</v>
      </c>
      <c r="K816" s="7">
        <f>if(RIGHT(I816,5)="2 pcs",2,Data!I816)</f>
        <v>1</v>
      </c>
      <c r="L816" s="2" t="str">
        <f t="shared" si="4"/>
        <v>Saturday</v>
      </c>
      <c r="M816" s="2" t="str">
        <f t="shared" si="5"/>
        <v>14</v>
      </c>
      <c r="N816" s="2">
        <f>VLOOKUP(L816,'Data Info'!$A$1:$B$8,2,0)</f>
        <v>6</v>
      </c>
      <c r="O816" s="2" t="str">
        <f>VLOOKUP(L816,'Data Info'!$A$1:$C$8,3,0)</f>
        <v>Weekend</v>
      </c>
    </row>
    <row r="817">
      <c r="A817" s="4">
        <v>45549.45</v>
      </c>
      <c r="B817" s="9">
        <f>IFERROR(__xludf.DUMMYFUNCTION("SPLIT(A817,"" "")"),45549.0)</f>
        <v>45549</v>
      </c>
      <c r="C817" s="10">
        <f>IFERROR(__xludf.DUMMYFUNCTION("""COMPUTED_VALUE"""),0.45)</f>
        <v>0.45</v>
      </c>
      <c r="D817" s="2">
        <f t="shared" si="1"/>
        <v>10</v>
      </c>
      <c r="E817" s="2">
        <f>IFERROR(__xludf.DUMMYFUNCTION("SPLIT(B817,""/"")"),14.0)</f>
        <v>14</v>
      </c>
      <c r="F817" s="2">
        <f>IFERROR(__xludf.DUMMYFUNCTION("""COMPUTED_VALUE"""),9.0)</f>
        <v>9</v>
      </c>
      <c r="G817" s="2">
        <f>IFERROR(__xludf.DUMMYFUNCTION("""COMPUTED_VALUE"""),2024.0)</f>
        <v>2024</v>
      </c>
      <c r="H817" s="2" t="str">
        <f t="shared" si="2"/>
        <v>2024/9/14</v>
      </c>
      <c r="I817" s="2" t="s">
        <v>1577</v>
      </c>
      <c r="J817" s="2" t="str">
        <f t="shared" si="3"/>
        <v>Rempah Madu Panas</v>
      </c>
      <c r="K817" s="7">
        <f>if(RIGHT(I817,5)="2 pcs",2,Data!I817)</f>
        <v>1</v>
      </c>
      <c r="L817" s="2" t="str">
        <f t="shared" si="4"/>
        <v>Saturday</v>
      </c>
      <c r="M817" s="2" t="str">
        <f t="shared" si="5"/>
        <v>14</v>
      </c>
      <c r="N817" s="2">
        <f>VLOOKUP(L817,'Data Info'!$A$1:$B$8,2,0)</f>
        <v>6</v>
      </c>
      <c r="O817" s="2" t="str">
        <f>VLOOKUP(L817,'Data Info'!$A$1:$C$8,3,0)</f>
        <v>Weekend</v>
      </c>
    </row>
    <row r="818">
      <c r="A818" s="4">
        <v>45549.45</v>
      </c>
      <c r="B818" s="9">
        <f>IFERROR(__xludf.DUMMYFUNCTION("SPLIT(A818,"" "")"),45549.0)</f>
        <v>45549</v>
      </c>
      <c r="C818" s="10">
        <f>IFERROR(__xludf.DUMMYFUNCTION("""COMPUTED_VALUE"""),0.45)</f>
        <v>0.45</v>
      </c>
      <c r="D818" s="2">
        <f t="shared" si="1"/>
        <v>10</v>
      </c>
      <c r="E818" s="2">
        <f>IFERROR(__xludf.DUMMYFUNCTION("SPLIT(B818,""/"")"),14.0)</f>
        <v>14</v>
      </c>
      <c r="F818" s="2">
        <f>IFERROR(__xludf.DUMMYFUNCTION("""COMPUTED_VALUE"""),9.0)</f>
        <v>9</v>
      </c>
      <c r="G818" s="2">
        <f>IFERROR(__xludf.DUMMYFUNCTION("""COMPUTED_VALUE"""),2024.0)</f>
        <v>2024</v>
      </c>
      <c r="H818" s="2" t="str">
        <f t="shared" si="2"/>
        <v>2024/9/14</v>
      </c>
      <c r="I818" s="2" t="s">
        <v>1566</v>
      </c>
      <c r="J818" s="2" t="str">
        <f t="shared" si="3"/>
        <v>Roti Bawang Saus Keju</v>
      </c>
      <c r="K818" s="7">
        <f>if(RIGHT(I818,5)="2 pcs",2,Data!I818)</f>
        <v>1</v>
      </c>
      <c r="L818" s="2" t="str">
        <f t="shared" si="4"/>
        <v>Saturday</v>
      </c>
      <c r="M818" s="2" t="str">
        <f t="shared" si="5"/>
        <v>14</v>
      </c>
      <c r="N818" s="2">
        <f>VLOOKUP(L818,'Data Info'!$A$1:$B$8,2,0)</f>
        <v>6</v>
      </c>
      <c r="O818" s="2" t="str">
        <f>VLOOKUP(L818,'Data Info'!$A$1:$C$8,3,0)</f>
        <v>Weekend</v>
      </c>
    </row>
    <row r="819">
      <c r="A819" s="4">
        <v>45549.45</v>
      </c>
      <c r="B819" s="9">
        <f>IFERROR(__xludf.DUMMYFUNCTION("SPLIT(A819,"" "")"),45549.0)</f>
        <v>45549</v>
      </c>
      <c r="C819" s="10">
        <f>IFERROR(__xludf.DUMMYFUNCTION("""COMPUTED_VALUE"""),0.45)</f>
        <v>0.45</v>
      </c>
      <c r="D819" s="2">
        <f t="shared" si="1"/>
        <v>10</v>
      </c>
      <c r="E819" s="2">
        <f>IFERROR(__xludf.DUMMYFUNCTION("SPLIT(B819,""/"")"),14.0)</f>
        <v>14</v>
      </c>
      <c r="F819" s="2">
        <f>IFERROR(__xludf.DUMMYFUNCTION("""COMPUTED_VALUE"""),9.0)</f>
        <v>9</v>
      </c>
      <c r="G819" s="2">
        <f>IFERROR(__xludf.DUMMYFUNCTION("""COMPUTED_VALUE"""),2024.0)</f>
        <v>2024</v>
      </c>
      <c r="H819" s="2" t="str">
        <f t="shared" si="2"/>
        <v>2024/9/14</v>
      </c>
      <c r="I819" s="2" t="s">
        <v>1596</v>
      </c>
      <c r="J819" s="2" t="str">
        <f t="shared" si="3"/>
        <v>Roti Cranberry</v>
      </c>
      <c r="K819" s="7">
        <f>if(RIGHT(I819,5)="2 pcs",2,Data!I819)</f>
        <v>2</v>
      </c>
      <c r="L819" s="2" t="str">
        <f t="shared" si="4"/>
        <v>Saturday</v>
      </c>
      <c r="M819" s="2" t="str">
        <f t="shared" si="5"/>
        <v>14</v>
      </c>
      <c r="N819" s="2">
        <f>VLOOKUP(L819,'Data Info'!$A$1:$B$8,2,0)</f>
        <v>6</v>
      </c>
      <c r="O819" s="2" t="str">
        <f>VLOOKUP(L819,'Data Info'!$A$1:$C$8,3,0)</f>
        <v>Weekend</v>
      </c>
    </row>
    <row r="820">
      <c r="A820" s="4">
        <v>45549.45</v>
      </c>
      <c r="B820" s="9">
        <f>IFERROR(__xludf.DUMMYFUNCTION("SPLIT(A820,"" "")"),45549.0)</f>
        <v>45549</v>
      </c>
      <c r="C820" s="10">
        <f>IFERROR(__xludf.DUMMYFUNCTION("""COMPUTED_VALUE"""),0.45)</f>
        <v>0.45</v>
      </c>
      <c r="D820" s="2">
        <f t="shared" si="1"/>
        <v>10</v>
      </c>
      <c r="E820" s="2">
        <f>IFERROR(__xludf.DUMMYFUNCTION("SPLIT(B820,""/"")"),14.0)</f>
        <v>14</v>
      </c>
      <c r="F820" s="2">
        <f>IFERROR(__xludf.DUMMYFUNCTION("""COMPUTED_VALUE"""),9.0)</f>
        <v>9</v>
      </c>
      <c r="G820" s="2">
        <f>IFERROR(__xludf.DUMMYFUNCTION("""COMPUTED_VALUE"""),2024.0)</f>
        <v>2024</v>
      </c>
      <c r="H820" s="2" t="str">
        <f t="shared" si="2"/>
        <v>2024/9/14</v>
      </c>
      <c r="I820" s="2" t="s">
        <v>1597</v>
      </c>
      <c r="J820" s="2" t="str">
        <f t="shared" si="3"/>
        <v>Roti Gandum Cokelat</v>
      </c>
      <c r="K820" s="7">
        <f>if(RIGHT(I820,5)="2 pcs",2,Data!I820)</f>
        <v>2</v>
      </c>
      <c r="L820" s="2" t="str">
        <f t="shared" si="4"/>
        <v>Saturday</v>
      </c>
      <c r="M820" s="2" t="str">
        <f t="shared" si="5"/>
        <v>14</v>
      </c>
      <c r="N820" s="2">
        <f>VLOOKUP(L820,'Data Info'!$A$1:$B$8,2,0)</f>
        <v>6</v>
      </c>
      <c r="O820" s="2" t="str">
        <f>VLOOKUP(L820,'Data Info'!$A$1:$C$8,3,0)</f>
        <v>Weekend</v>
      </c>
    </row>
    <row r="821">
      <c r="A821" s="4">
        <v>45549.44583333333</v>
      </c>
      <c r="B821" s="9">
        <f>IFERROR(__xludf.DUMMYFUNCTION("SPLIT(A821,"" "")"),45549.0)</f>
        <v>45549</v>
      </c>
      <c r="C821" s="10">
        <f>IFERROR(__xludf.DUMMYFUNCTION("""COMPUTED_VALUE"""),0.44583333333333336)</f>
        <v>0.4458333333</v>
      </c>
      <c r="D821" s="2">
        <f t="shared" si="1"/>
        <v>10</v>
      </c>
      <c r="E821" s="2">
        <f>IFERROR(__xludf.DUMMYFUNCTION("SPLIT(B821,""/"")"),14.0)</f>
        <v>14</v>
      </c>
      <c r="F821" s="2">
        <f>IFERROR(__xludf.DUMMYFUNCTION("""COMPUTED_VALUE"""),9.0)</f>
        <v>9</v>
      </c>
      <c r="G821" s="2">
        <f>IFERROR(__xludf.DUMMYFUNCTION("""COMPUTED_VALUE"""),2024.0)</f>
        <v>2024</v>
      </c>
      <c r="H821" s="2" t="str">
        <f t="shared" si="2"/>
        <v>2024/9/14</v>
      </c>
      <c r="I821" s="2" t="s">
        <v>1576</v>
      </c>
      <c r="J821" s="2" t="str">
        <f t="shared" si="3"/>
        <v>Roti Cranberry</v>
      </c>
      <c r="K821" s="7">
        <f>if(RIGHT(I821,5)="2 pcs",2,Data!I821)</f>
        <v>1</v>
      </c>
      <c r="L821" s="2" t="str">
        <f t="shared" si="4"/>
        <v>Saturday</v>
      </c>
      <c r="M821" s="2" t="str">
        <f t="shared" si="5"/>
        <v>14</v>
      </c>
      <c r="N821" s="2">
        <f>VLOOKUP(L821,'Data Info'!$A$1:$B$8,2,0)</f>
        <v>6</v>
      </c>
      <c r="O821" s="2" t="str">
        <f>VLOOKUP(L821,'Data Info'!$A$1:$C$8,3,0)</f>
        <v>Weekend</v>
      </c>
    </row>
    <row r="822">
      <c r="A822" s="4">
        <v>45548.88055555556</v>
      </c>
      <c r="B822" s="9">
        <f>IFERROR(__xludf.DUMMYFUNCTION("SPLIT(A822,"" "")"),45548.0)</f>
        <v>45548</v>
      </c>
      <c r="C822" s="10">
        <f>IFERROR(__xludf.DUMMYFUNCTION("""COMPUTED_VALUE"""),0.8805555555555555)</f>
        <v>0.8805555556</v>
      </c>
      <c r="D822" s="2">
        <f t="shared" si="1"/>
        <v>21</v>
      </c>
      <c r="E822" s="2">
        <f>IFERROR(__xludf.DUMMYFUNCTION("SPLIT(B822,""/"")"),13.0)</f>
        <v>13</v>
      </c>
      <c r="F822" s="2">
        <f>IFERROR(__xludf.DUMMYFUNCTION("""COMPUTED_VALUE"""),9.0)</f>
        <v>9</v>
      </c>
      <c r="G822" s="2">
        <f>IFERROR(__xludf.DUMMYFUNCTION("""COMPUTED_VALUE"""),2024.0)</f>
        <v>2024</v>
      </c>
      <c r="H822" s="2" t="str">
        <f t="shared" si="2"/>
        <v>2024/9/13</v>
      </c>
      <c r="I822" s="2" t="s">
        <v>1598</v>
      </c>
      <c r="J822" s="2" t="str">
        <f t="shared" si="3"/>
        <v>Korean Strawberry Fresh Milk</v>
      </c>
      <c r="K822" s="7">
        <f>if(RIGHT(I822,5)="2 pcs",2,Data!I822)</f>
        <v>1</v>
      </c>
      <c r="L822" s="2" t="str">
        <f t="shared" si="4"/>
        <v>Friday</v>
      </c>
      <c r="M822" s="2" t="str">
        <f t="shared" si="5"/>
        <v>13</v>
      </c>
      <c r="N822" s="2">
        <f>VLOOKUP(L822,'Data Info'!$A$1:$B$8,2,0)</f>
        <v>5</v>
      </c>
      <c r="O822" s="2" t="str">
        <f>VLOOKUP(L822,'Data Info'!$A$1:$C$8,3,0)</f>
        <v>Weekday</v>
      </c>
    </row>
    <row r="823">
      <c r="A823" s="4">
        <v>45548.88055555556</v>
      </c>
      <c r="B823" s="9">
        <f>IFERROR(__xludf.DUMMYFUNCTION("SPLIT(A823,"" "")"),45548.0)</f>
        <v>45548</v>
      </c>
      <c r="C823" s="10">
        <f>IFERROR(__xludf.DUMMYFUNCTION("""COMPUTED_VALUE"""),0.8805555555555555)</f>
        <v>0.8805555556</v>
      </c>
      <c r="D823" s="2">
        <f t="shared" si="1"/>
        <v>21</v>
      </c>
      <c r="E823" s="2">
        <f>IFERROR(__xludf.DUMMYFUNCTION("SPLIT(B823,""/"")"),13.0)</f>
        <v>13</v>
      </c>
      <c r="F823" s="2">
        <f>IFERROR(__xludf.DUMMYFUNCTION("""COMPUTED_VALUE"""),9.0)</f>
        <v>9</v>
      </c>
      <c r="G823" s="2">
        <f>IFERROR(__xludf.DUMMYFUNCTION("""COMPUTED_VALUE"""),2024.0)</f>
        <v>2024</v>
      </c>
      <c r="H823" s="2" t="str">
        <f t="shared" si="2"/>
        <v>2024/9/13</v>
      </c>
      <c r="I823" s="2" t="s">
        <v>1583</v>
      </c>
      <c r="J823" s="2" t="str">
        <f t="shared" si="3"/>
        <v>Es Kopi Lemon</v>
      </c>
      <c r="K823" s="7">
        <f>if(RIGHT(I823,5)="2 pcs",2,Data!I823)</f>
        <v>1</v>
      </c>
      <c r="L823" s="2" t="str">
        <f t="shared" si="4"/>
        <v>Friday</v>
      </c>
      <c r="M823" s="2" t="str">
        <f t="shared" si="5"/>
        <v>13</v>
      </c>
      <c r="N823" s="2">
        <f>VLOOKUP(L823,'Data Info'!$A$1:$B$8,2,0)</f>
        <v>5</v>
      </c>
      <c r="O823" s="2" t="str">
        <f>VLOOKUP(L823,'Data Info'!$A$1:$C$8,3,0)</f>
        <v>Weekday</v>
      </c>
    </row>
    <row r="824">
      <c r="A824" s="4">
        <v>45548.88055555556</v>
      </c>
      <c r="B824" s="9">
        <f>IFERROR(__xludf.DUMMYFUNCTION("SPLIT(A824,"" "")"),45548.0)</f>
        <v>45548</v>
      </c>
      <c r="C824" s="10">
        <f>IFERROR(__xludf.DUMMYFUNCTION("""COMPUTED_VALUE"""),0.8805555555555555)</f>
        <v>0.8805555556</v>
      </c>
      <c r="D824" s="2">
        <f t="shared" si="1"/>
        <v>21</v>
      </c>
      <c r="E824" s="2">
        <f>IFERROR(__xludf.DUMMYFUNCTION("SPLIT(B824,""/"")"),13.0)</f>
        <v>13</v>
      </c>
      <c r="F824" s="2">
        <f>IFERROR(__xludf.DUMMYFUNCTION("""COMPUTED_VALUE"""),9.0)</f>
        <v>9</v>
      </c>
      <c r="G824" s="2">
        <f>IFERROR(__xludf.DUMMYFUNCTION("""COMPUTED_VALUE"""),2024.0)</f>
        <v>2024</v>
      </c>
      <c r="H824" s="2" t="str">
        <f t="shared" si="2"/>
        <v>2024/9/13</v>
      </c>
      <c r="I824" s="2" t="s">
        <v>1603</v>
      </c>
      <c r="J824" s="2" t="str">
        <f t="shared" si="3"/>
        <v>Nasi Goreng Temu</v>
      </c>
      <c r="K824" s="7">
        <f>if(RIGHT(I824,5)="2 pcs",2,Data!I824)</f>
        <v>2</v>
      </c>
      <c r="L824" s="2" t="str">
        <f t="shared" si="4"/>
        <v>Friday</v>
      </c>
      <c r="M824" s="2" t="str">
        <f t="shared" si="5"/>
        <v>13</v>
      </c>
      <c r="N824" s="2">
        <f>VLOOKUP(L824,'Data Info'!$A$1:$B$8,2,0)</f>
        <v>5</v>
      </c>
      <c r="O824" s="2" t="str">
        <f>VLOOKUP(L824,'Data Info'!$A$1:$C$8,3,0)</f>
        <v>Weekday</v>
      </c>
    </row>
    <row r="825">
      <c r="A825" s="4">
        <v>45548.88055555556</v>
      </c>
      <c r="B825" s="9">
        <f>IFERROR(__xludf.DUMMYFUNCTION("SPLIT(A825,"" "")"),45548.0)</f>
        <v>45548</v>
      </c>
      <c r="C825" s="10">
        <f>IFERROR(__xludf.DUMMYFUNCTION("""COMPUTED_VALUE"""),0.8805555555555555)</f>
        <v>0.8805555556</v>
      </c>
      <c r="D825" s="2">
        <f t="shared" si="1"/>
        <v>21</v>
      </c>
      <c r="E825" s="2">
        <f>IFERROR(__xludf.DUMMYFUNCTION("SPLIT(B825,""/"")"),13.0)</f>
        <v>13</v>
      </c>
      <c r="F825" s="2">
        <f>IFERROR(__xludf.DUMMYFUNCTION("""COMPUTED_VALUE"""),9.0)</f>
        <v>9</v>
      </c>
      <c r="G825" s="2">
        <f>IFERROR(__xludf.DUMMYFUNCTION("""COMPUTED_VALUE"""),2024.0)</f>
        <v>2024</v>
      </c>
      <c r="H825" s="2" t="str">
        <f t="shared" si="2"/>
        <v>2024/9/13</v>
      </c>
      <c r="I825" s="2" t="s">
        <v>1607</v>
      </c>
      <c r="J825" s="2" t="str">
        <f t="shared" si="3"/>
        <v>Tahu walik</v>
      </c>
      <c r="K825" s="7">
        <f>if(RIGHT(I825,5)="2 pcs",2,Data!I825)</f>
        <v>1</v>
      </c>
      <c r="L825" s="2" t="str">
        <f t="shared" si="4"/>
        <v>Friday</v>
      </c>
      <c r="M825" s="2" t="str">
        <f t="shared" si="5"/>
        <v>13</v>
      </c>
      <c r="N825" s="2">
        <f>VLOOKUP(L825,'Data Info'!$A$1:$B$8,2,0)</f>
        <v>5</v>
      </c>
      <c r="O825" s="2" t="str">
        <f>VLOOKUP(L825,'Data Info'!$A$1:$C$8,3,0)</f>
        <v>Weekday</v>
      </c>
    </row>
    <row r="826">
      <c r="A826" s="4">
        <v>45548.88055555556</v>
      </c>
      <c r="B826" s="9">
        <f>IFERROR(__xludf.DUMMYFUNCTION("SPLIT(A826,"" "")"),45548.0)</f>
        <v>45548</v>
      </c>
      <c r="C826" s="10">
        <f>IFERROR(__xludf.DUMMYFUNCTION("""COMPUTED_VALUE"""),0.8805555555555555)</f>
        <v>0.8805555556</v>
      </c>
      <c r="D826" s="2">
        <f t="shared" si="1"/>
        <v>21</v>
      </c>
      <c r="E826" s="2">
        <f>IFERROR(__xludf.DUMMYFUNCTION("SPLIT(B826,""/"")"),13.0)</f>
        <v>13</v>
      </c>
      <c r="F826" s="2">
        <f>IFERROR(__xludf.DUMMYFUNCTION("""COMPUTED_VALUE"""),9.0)</f>
        <v>9</v>
      </c>
      <c r="G826" s="2">
        <f>IFERROR(__xludf.DUMMYFUNCTION("""COMPUTED_VALUE"""),2024.0)</f>
        <v>2024</v>
      </c>
      <c r="H826" s="2" t="str">
        <f t="shared" si="2"/>
        <v>2024/9/13</v>
      </c>
      <c r="I826" s="2" t="s">
        <v>1589</v>
      </c>
      <c r="J826" s="2" t="str">
        <f t="shared" si="3"/>
        <v>Teh Manis Dingin</v>
      </c>
      <c r="K826" s="7">
        <f>if(RIGHT(I826,5)="2 pcs",2,Data!I826)</f>
        <v>1</v>
      </c>
      <c r="L826" s="2" t="str">
        <f t="shared" si="4"/>
        <v>Friday</v>
      </c>
      <c r="M826" s="2" t="str">
        <f t="shared" si="5"/>
        <v>13</v>
      </c>
      <c r="N826" s="2">
        <f>VLOOKUP(L826,'Data Info'!$A$1:$B$8,2,0)</f>
        <v>5</v>
      </c>
      <c r="O826" s="2" t="str">
        <f>VLOOKUP(L826,'Data Info'!$A$1:$C$8,3,0)</f>
        <v>Weekday</v>
      </c>
    </row>
    <row r="827">
      <c r="A827" s="4">
        <v>45548.88055555556</v>
      </c>
      <c r="B827" s="9">
        <f>IFERROR(__xludf.DUMMYFUNCTION("SPLIT(A827,"" "")"),45548.0)</f>
        <v>45548</v>
      </c>
      <c r="C827" s="10">
        <f>IFERROR(__xludf.DUMMYFUNCTION("""COMPUTED_VALUE"""),0.8805555555555555)</f>
        <v>0.8805555556</v>
      </c>
      <c r="D827" s="2">
        <f t="shared" si="1"/>
        <v>21</v>
      </c>
      <c r="E827" s="2">
        <f>IFERROR(__xludf.DUMMYFUNCTION("SPLIT(B827,""/"")"),13.0)</f>
        <v>13</v>
      </c>
      <c r="F827" s="2">
        <f>IFERROR(__xludf.DUMMYFUNCTION("""COMPUTED_VALUE"""),9.0)</f>
        <v>9</v>
      </c>
      <c r="G827" s="2">
        <f>IFERROR(__xludf.DUMMYFUNCTION("""COMPUTED_VALUE"""),2024.0)</f>
        <v>2024</v>
      </c>
      <c r="H827" s="2" t="str">
        <f t="shared" si="2"/>
        <v>2024/9/13</v>
      </c>
      <c r="I827" s="2" t="s">
        <v>1598</v>
      </c>
      <c r="J827" s="2" t="str">
        <f t="shared" si="3"/>
        <v>Korean Strawberry Fresh Milk</v>
      </c>
      <c r="K827" s="7">
        <f>if(RIGHT(I827,5)="2 pcs",2,Data!I827)</f>
        <v>1</v>
      </c>
      <c r="L827" s="2" t="str">
        <f t="shared" si="4"/>
        <v>Friday</v>
      </c>
      <c r="M827" s="2" t="str">
        <f t="shared" si="5"/>
        <v>13</v>
      </c>
      <c r="N827" s="2">
        <f>VLOOKUP(L827,'Data Info'!$A$1:$B$8,2,0)</f>
        <v>5</v>
      </c>
      <c r="O827" s="2" t="str">
        <f>VLOOKUP(L827,'Data Info'!$A$1:$C$8,3,0)</f>
        <v>Weekday</v>
      </c>
    </row>
    <row r="828">
      <c r="A828" s="4">
        <v>45548.87986111111</v>
      </c>
      <c r="B828" s="9">
        <f>IFERROR(__xludf.DUMMYFUNCTION("SPLIT(A828,"" "")"),45548.0)</f>
        <v>45548</v>
      </c>
      <c r="C828" s="10">
        <f>IFERROR(__xludf.DUMMYFUNCTION("""COMPUTED_VALUE"""),0.8798611111111111)</f>
        <v>0.8798611111</v>
      </c>
      <c r="D828" s="2">
        <f t="shared" si="1"/>
        <v>21</v>
      </c>
      <c r="E828" s="2">
        <f>IFERROR(__xludf.DUMMYFUNCTION("SPLIT(B828,""/"")"),13.0)</f>
        <v>13</v>
      </c>
      <c r="F828" s="2">
        <f>IFERROR(__xludf.DUMMYFUNCTION("""COMPUTED_VALUE"""),9.0)</f>
        <v>9</v>
      </c>
      <c r="G828" s="2">
        <f>IFERROR(__xludf.DUMMYFUNCTION("""COMPUTED_VALUE"""),2024.0)</f>
        <v>2024</v>
      </c>
      <c r="H828" s="2" t="str">
        <f t="shared" si="2"/>
        <v>2024/9/13</v>
      </c>
      <c r="I828" s="2" t="s">
        <v>1598</v>
      </c>
      <c r="J828" s="2" t="str">
        <f t="shared" si="3"/>
        <v>Korean Strawberry Fresh Milk</v>
      </c>
      <c r="K828" s="7">
        <f>if(RIGHT(I828,5)="2 pcs",2,Data!I828)</f>
        <v>-1</v>
      </c>
      <c r="L828" s="2" t="str">
        <f t="shared" si="4"/>
        <v>Friday</v>
      </c>
      <c r="M828" s="2" t="str">
        <f t="shared" si="5"/>
        <v>13</v>
      </c>
      <c r="N828" s="2">
        <f>VLOOKUP(L828,'Data Info'!$A$1:$B$8,2,0)</f>
        <v>5</v>
      </c>
      <c r="O828" s="2" t="str">
        <f>VLOOKUP(L828,'Data Info'!$A$1:$C$8,3,0)</f>
        <v>Weekday</v>
      </c>
    </row>
    <row r="829">
      <c r="A829" s="4">
        <v>45548.87986111111</v>
      </c>
      <c r="B829" s="9">
        <f>IFERROR(__xludf.DUMMYFUNCTION("SPLIT(A829,"" "")"),45548.0)</f>
        <v>45548</v>
      </c>
      <c r="C829" s="10">
        <f>IFERROR(__xludf.DUMMYFUNCTION("""COMPUTED_VALUE"""),0.8798611111111111)</f>
        <v>0.8798611111</v>
      </c>
      <c r="D829" s="2">
        <f t="shared" si="1"/>
        <v>21</v>
      </c>
      <c r="E829" s="2">
        <f>IFERROR(__xludf.DUMMYFUNCTION("SPLIT(B829,""/"")"),13.0)</f>
        <v>13</v>
      </c>
      <c r="F829" s="2">
        <f>IFERROR(__xludf.DUMMYFUNCTION("""COMPUTED_VALUE"""),9.0)</f>
        <v>9</v>
      </c>
      <c r="G829" s="2">
        <f>IFERROR(__xludf.DUMMYFUNCTION("""COMPUTED_VALUE"""),2024.0)</f>
        <v>2024</v>
      </c>
      <c r="H829" s="2" t="str">
        <f t="shared" si="2"/>
        <v>2024/9/13</v>
      </c>
      <c r="I829" s="2" t="s">
        <v>1583</v>
      </c>
      <c r="J829" s="2" t="str">
        <f t="shared" si="3"/>
        <v>Es Kopi Lemon</v>
      </c>
      <c r="K829" s="7">
        <f>if(RIGHT(I829,5)="2 pcs",2,Data!I829)</f>
        <v>-1</v>
      </c>
      <c r="L829" s="2" t="str">
        <f t="shared" si="4"/>
        <v>Friday</v>
      </c>
      <c r="M829" s="2" t="str">
        <f t="shared" si="5"/>
        <v>13</v>
      </c>
      <c r="N829" s="2">
        <f>VLOOKUP(L829,'Data Info'!$A$1:$B$8,2,0)</f>
        <v>5</v>
      </c>
      <c r="O829" s="2" t="str">
        <f>VLOOKUP(L829,'Data Info'!$A$1:$C$8,3,0)</f>
        <v>Weekday</v>
      </c>
    </row>
    <row r="830">
      <c r="A830" s="4">
        <v>45548.87986111111</v>
      </c>
      <c r="B830" s="9">
        <f>IFERROR(__xludf.DUMMYFUNCTION("SPLIT(A830,"" "")"),45548.0)</f>
        <v>45548</v>
      </c>
      <c r="C830" s="10">
        <f>IFERROR(__xludf.DUMMYFUNCTION("""COMPUTED_VALUE"""),0.8798611111111111)</f>
        <v>0.8798611111</v>
      </c>
      <c r="D830" s="2">
        <f t="shared" si="1"/>
        <v>21</v>
      </c>
      <c r="E830" s="2">
        <f>IFERROR(__xludf.DUMMYFUNCTION("SPLIT(B830,""/"")"),13.0)</f>
        <v>13</v>
      </c>
      <c r="F830" s="2">
        <f>IFERROR(__xludf.DUMMYFUNCTION("""COMPUTED_VALUE"""),9.0)</f>
        <v>9</v>
      </c>
      <c r="G830" s="2">
        <f>IFERROR(__xludf.DUMMYFUNCTION("""COMPUTED_VALUE"""),2024.0)</f>
        <v>2024</v>
      </c>
      <c r="H830" s="2" t="str">
        <f t="shared" si="2"/>
        <v>2024/9/13</v>
      </c>
      <c r="I830" s="2" t="s">
        <v>1603</v>
      </c>
      <c r="J830" s="2" t="str">
        <f t="shared" si="3"/>
        <v>Nasi Goreng Temu</v>
      </c>
      <c r="K830" s="7">
        <f>if(RIGHT(I830,5)="2 pcs",2,Data!I830)</f>
        <v>-2</v>
      </c>
      <c r="L830" s="2" t="str">
        <f t="shared" si="4"/>
        <v>Friday</v>
      </c>
      <c r="M830" s="2" t="str">
        <f t="shared" si="5"/>
        <v>13</v>
      </c>
      <c r="N830" s="2">
        <f>VLOOKUP(L830,'Data Info'!$A$1:$B$8,2,0)</f>
        <v>5</v>
      </c>
      <c r="O830" s="2" t="str">
        <f>VLOOKUP(L830,'Data Info'!$A$1:$C$8,3,0)</f>
        <v>Weekday</v>
      </c>
    </row>
    <row r="831">
      <c r="A831" s="4">
        <v>45548.87986111111</v>
      </c>
      <c r="B831" s="9">
        <f>IFERROR(__xludf.DUMMYFUNCTION("SPLIT(A831,"" "")"),45548.0)</f>
        <v>45548</v>
      </c>
      <c r="C831" s="10">
        <f>IFERROR(__xludf.DUMMYFUNCTION("""COMPUTED_VALUE"""),0.8798611111111111)</f>
        <v>0.8798611111</v>
      </c>
      <c r="D831" s="2">
        <f t="shared" si="1"/>
        <v>21</v>
      </c>
      <c r="E831" s="2">
        <f>IFERROR(__xludf.DUMMYFUNCTION("SPLIT(B831,""/"")"),13.0)</f>
        <v>13</v>
      </c>
      <c r="F831" s="2">
        <f>IFERROR(__xludf.DUMMYFUNCTION("""COMPUTED_VALUE"""),9.0)</f>
        <v>9</v>
      </c>
      <c r="G831" s="2">
        <f>IFERROR(__xludf.DUMMYFUNCTION("""COMPUTED_VALUE"""),2024.0)</f>
        <v>2024</v>
      </c>
      <c r="H831" s="2" t="str">
        <f t="shared" si="2"/>
        <v>2024/9/13</v>
      </c>
      <c r="I831" s="2" t="s">
        <v>1607</v>
      </c>
      <c r="J831" s="2" t="str">
        <f t="shared" si="3"/>
        <v>Tahu walik</v>
      </c>
      <c r="K831" s="7">
        <f>if(RIGHT(I831,5)="2 pcs",2,Data!I831)</f>
        <v>-1</v>
      </c>
      <c r="L831" s="2" t="str">
        <f t="shared" si="4"/>
        <v>Friday</v>
      </c>
      <c r="M831" s="2" t="str">
        <f t="shared" si="5"/>
        <v>13</v>
      </c>
      <c r="N831" s="2">
        <f>VLOOKUP(L831,'Data Info'!$A$1:$B$8,2,0)</f>
        <v>5</v>
      </c>
      <c r="O831" s="2" t="str">
        <f>VLOOKUP(L831,'Data Info'!$A$1:$C$8,3,0)</f>
        <v>Weekday</v>
      </c>
    </row>
    <row r="832">
      <c r="A832" s="4">
        <v>45548.87986111111</v>
      </c>
      <c r="B832" s="9">
        <f>IFERROR(__xludf.DUMMYFUNCTION("SPLIT(A832,"" "")"),45548.0)</f>
        <v>45548</v>
      </c>
      <c r="C832" s="10">
        <f>IFERROR(__xludf.DUMMYFUNCTION("""COMPUTED_VALUE"""),0.8798611111111111)</f>
        <v>0.8798611111</v>
      </c>
      <c r="D832" s="2">
        <f t="shared" si="1"/>
        <v>21</v>
      </c>
      <c r="E832" s="2">
        <f>IFERROR(__xludf.DUMMYFUNCTION("SPLIT(B832,""/"")"),13.0)</f>
        <v>13</v>
      </c>
      <c r="F832" s="2">
        <f>IFERROR(__xludf.DUMMYFUNCTION("""COMPUTED_VALUE"""),9.0)</f>
        <v>9</v>
      </c>
      <c r="G832" s="2">
        <f>IFERROR(__xludf.DUMMYFUNCTION("""COMPUTED_VALUE"""),2024.0)</f>
        <v>2024</v>
      </c>
      <c r="H832" s="2" t="str">
        <f t="shared" si="2"/>
        <v>2024/9/13</v>
      </c>
      <c r="I832" s="2" t="s">
        <v>1589</v>
      </c>
      <c r="J832" s="2" t="str">
        <f t="shared" si="3"/>
        <v>Teh Manis Dingin</v>
      </c>
      <c r="K832" s="7">
        <f>if(RIGHT(I832,5)="2 pcs",2,Data!I832)</f>
        <v>-1</v>
      </c>
      <c r="L832" s="2" t="str">
        <f t="shared" si="4"/>
        <v>Friday</v>
      </c>
      <c r="M832" s="2" t="str">
        <f t="shared" si="5"/>
        <v>13</v>
      </c>
      <c r="N832" s="2">
        <f>VLOOKUP(L832,'Data Info'!$A$1:$B$8,2,0)</f>
        <v>5</v>
      </c>
      <c r="O832" s="2" t="str">
        <f>VLOOKUP(L832,'Data Info'!$A$1:$C$8,3,0)</f>
        <v>Weekday</v>
      </c>
    </row>
    <row r="833">
      <c r="A833" s="4">
        <v>45548.87986111111</v>
      </c>
      <c r="B833" s="9">
        <f>IFERROR(__xludf.DUMMYFUNCTION("SPLIT(A833,"" "")"),45548.0)</f>
        <v>45548</v>
      </c>
      <c r="C833" s="10">
        <f>IFERROR(__xludf.DUMMYFUNCTION("""COMPUTED_VALUE"""),0.8798611111111111)</f>
        <v>0.8798611111</v>
      </c>
      <c r="D833" s="2">
        <f t="shared" si="1"/>
        <v>21</v>
      </c>
      <c r="E833" s="2">
        <f>IFERROR(__xludf.DUMMYFUNCTION("SPLIT(B833,""/"")"),13.0)</f>
        <v>13</v>
      </c>
      <c r="F833" s="2">
        <f>IFERROR(__xludf.DUMMYFUNCTION("""COMPUTED_VALUE"""),9.0)</f>
        <v>9</v>
      </c>
      <c r="G833" s="2">
        <f>IFERROR(__xludf.DUMMYFUNCTION("""COMPUTED_VALUE"""),2024.0)</f>
        <v>2024</v>
      </c>
      <c r="H833" s="2" t="str">
        <f t="shared" si="2"/>
        <v>2024/9/13</v>
      </c>
      <c r="I833" s="2" t="s">
        <v>1584</v>
      </c>
      <c r="J833" s="2" t="str">
        <f t="shared" si="3"/>
        <v>Korean Mango Fresh Milk</v>
      </c>
      <c r="K833" s="7">
        <f>if(RIGHT(I833,5)="2 pcs",2,Data!I833)</f>
        <v>-1</v>
      </c>
      <c r="L833" s="2" t="str">
        <f t="shared" si="4"/>
        <v>Friday</v>
      </c>
      <c r="M833" s="2" t="str">
        <f t="shared" si="5"/>
        <v>13</v>
      </c>
      <c r="N833" s="2">
        <f>VLOOKUP(L833,'Data Info'!$A$1:$B$8,2,0)</f>
        <v>5</v>
      </c>
      <c r="O833" s="2" t="str">
        <f>VLOOKUP(L833,'Data Info'!$A$1:$C$8,3,0)</f>
        <v>Weekday</v>
      </c>
    </row>
    <row r="834">
      <c r="A834" s="4">
        <v>45548.82013888889</v>
      </c>
      <c r="B834" s="9">
        <f>IFERROR(__xludf.DUMMYFUNCTION("SPLIT(A834,"" "")"),45548.0)</f>
        <v>45548</v>
      </c>
      <c r="C834" s="10">
        <f>IFERROR(__xludf.DUMMYFUNCTION("""COMPUTED_VALUE"""),0.8201388888888889)</f>
        <v>0.8201388889</v>
      </c>
      <c r="D834" s="2">
        <f t="shared" si="1"/>
        <v>19</v>
      </c>
      <c r="E834" s="2">
        <f>IFERROR(__xludf.DUMMYFUNCTION("SPLIT(B834,""/"")"),13.0)</f>
        <v>13</v>
      </c>
      <c r="F834" s="2">
        <f>IFERROR(__xludf.DUMMYFUNCTION("""COMPUTED_VALUE"""),9.0)</f>
        <v>9</v>
      </c>
      <c r="G834" s="2">
        <f>IFERROR(__xludf.DUMMYFUNCTION("""COMPUTED_VALUE"""),2024.0)</f>
        <v>2024</v>
      </c>
      <c r="H834" s="2" t="str">
        <f t="shared" si="2"/>
        <v>2024/9/13</v>
      </c>
      <c r="I834" s="2" t="s">
        <v>1595</v>
      </c>
      <c r="J834" s="2" t="str">
        <f t="shared" si="3"/>
        <v>Roti Gandum Cokelat</v>
      </c>
      <c r="K834" s="7">
        <f>if(RIGHT(I834,5)="2 pcs",2,Data!I834)</f>
        <v>1</v>
      </c>
      <c r="L834" s="2" t="str">
        <f t="shared" si="4"/>
        <v>Friday</v>
      </c>
      <c r="M834" s="2" t="str">
        <f t="shared" si="5"/>
        <v>13</v>
      </c>
      <c r="N834" s="2">
        <f>VLOOKUP(L834,'Data Info'!$A$1:$B$8,2,0)</f>
        <v>5</v>
      </c>
      <c r="O834" s="2" t="str">
        <f>VLOOKUP(L834,'Data Info'!$A$1:$C$8,3,0)</f>
        <v>Weekday</v>
      </c>
    </row>
    <row r="835">
      <c r="A835" s="4">
        <v>45548.82013888889</v>
      </c>
      <c r="B835" s="9">
        <f>IFERROR(__xludf.DUMMYFUNCTION("SPLIT(A835,"" "")"),45548.0)</f>
        <v>45548</v>
      </c>
      <c r="C835" s="10">
        <f>IFERROR(__xludf.DUMMYFUNCTION("""COMPUTED_VALUE"""),0.8201388888888889)</f>
        <v>0.8201388889</v>
      </c>
      <c r="D835" s="2">
        <f t="shared" si="1"/>
        <v>19</v>
      </c>
      <c r="E835" s="2">
        <f>IFERROR(__xludf.DUMMYFUNCTION("SPLIT(B835,""/"")"),13.0)</f>
        <v>13</v>
      </c>
      <c r="F835" s="2">
        <f>IFERROR(__xludf.DUMMYFUNCTION("""COMPUTED_VALUE"""),9.0)</f>
        <v>9</v>
      </c>
      <c r="G835" s="2">
        <f>IFERROR(__xludf.DUMMYFUNCTION("""COMPUTED_VALUE"""),2024.0)</f>
        <v>2024</v>
      </c>
      <c r="H835" s="2" t="str">
        <f t="shared" si="2"/>
        <v>2024/9/13</v>
      </c>
      <c r="I835" s="2" t="s">
        <v>1601</v>
      </c>
      <c r="J835" s="2" t="str">
        <f t="shared" si="3"/>
        <v>Gula Asam Dingin</v>
      </c>
      <c r="K835" s="7">
        <f>if(RIGHT(I835,5)="2 pcs",2,Data!I835)</f>
        <v>1</v>
      </c>
      <c r="L835" s="2" t="str">
        <f t="shared" si="4"/>
        <v>Friday</v>
      </c>
      <c r="M835" s="2" t="str">
        <f t="shared" si="5"/>
        <v>13</v>
      </c>
      <c r="N835" s="2">
        <f>VLOOKUP(L835,'Data Info'!$A$1:$B$8,2,0)</f>
        <v>5</v>
      </c>
      <c r="O835" s="2" t="str">
        <f>VLOOKUP(L835,'Data Info'!$A$1:$C$8,3,0)</f>
        <v>Weekday</v>
      </c>
    </row>
    <row r="836">
      <c r="A836" s="4">
        <v>45548.802777777775</v>
      </c>
      <c r="B836" s="9">
        <f>IFERROR(__xludf.DUMMYFUNCTION("SPLIT(A836,"" "")"),45548.0)</f>
        <v>45548</v>
      </c>
      <c r="C836" s="10">
        <f>IFERROR(__xludf.DUMMYFUNCTION("""COMPUTED_VALUE"""),0.8027777777777778)</f>
        <v>0.8027777778</v>
      </c>
      <c r="D836" s="2">
        <f t="shared" si="1"/>
        <v>19</v>
      </c>
      <c r="E836" s="2">
        <f>IFERROR(__xludf.DUMMYFUNCTION("SPLIT(B836,""/"")"),13.0)</f>
        <v>13</v>
      </c>
      <c r="F836" s="2">
        <f>IFERROR(__xludf.DUMMYFUNCTION("""COMPUTED_VALUE"""),9.0)</f>
        <v>9</v>
      </c>
      <c r="G836" s="2">
        <f>IFERROR(__xludf.DUMMYFUNCTION("""COMPUTED_VALUE"""),2024.0)</f>
        <v>2024</v>
      </c>
      <c r="H836" s="2" t="str">
        <f t="shared" si="2"/>
        <v>2024/9/13</v>
      </c>
      <c r="I836" s="2" t="s">
        <v>1597</v>
      </c>
      <c r="J836" s="2" t="str">
        <f t="shared" si="3"/>
        <v>Roti Gandum Cokelat</v>
      </c>
      <c r="K836" s="7">
        <f>if(RIGHT(I836,5)="2 pcs",2,Data!I836)</f>
        <v>2</v>
      </c>
      <c r="L836" s="2" t="str">
        <f t="shared" si="4"/>
        <v>Friday</v>
      </c>
      <c r="M836" s="2" t="str">
        <f t="shared" si="5"/>
        <v>13</v>
      </c>
      <c r="N836" s="2">
        <f>VLOOKUP(L836,'Data Info'!$A$1:$B$8,2,0)</f>
        <v>5</v>
      </c>
      <c r="O836" s="2" t="str">
        <f>VLOOKUP(L836,'Data Info'!$A$1:$C$8,3,0)</f>
        <v>Weekday</v>
      </c>
    </row>
    <row r="837">
      <c r="A837" s="4">
        <v>45548.802777777775</v>
      </c>
      <c r="B837" s="9">
        <f>IFERROR(__xludf.DUMMYFUNCTION("SPLIT(A837,"" "")"),45548.0)</f>
        <v>45548</v>
      </c>
      <c r="C837" s="10">
        <f>IFERROR(__xludf.DUMMYFUNCTION("""COMPUTED_VALUE"""),0.8027777777777778)</f>
        <v>0.8027777778</v>
      </c>
      <c r="D837" s="2">
        <f t="shared" si="1"/>
        <v>19</v>
      </c>
      <c r="E837" s="2">
        <f>IFERROR(__xludf.DUMMYFUNCTION("SPLIT(B837,""/"")"),13.0)</f>
        <v>13</v>
      </c>
      <c r="F837" s="2">
        <f>IFERROR(__xludf.DUMMYFUNCTION("""COMPUTED_VALUE"""),9.0)</f>
        <v>9</v>
      </c>
      <c r="G837" s="2">
        <f>IFERROR(__xludf.DUMMYFUNCTION("""COMPUTED_VALUE"""),2024.0)</f>
        <v>2024</v>
      </c>
      <c r="H837" s="2" t="str">
        <f t="shared" si="2"/>
        <v>2024/9/13</v>
      </c>
      <c r="I837" s="2" t="s">
        <v>1566</v>
      </c>
      <c r="J837" s="2" t="str">
        <f t="shared" si="3"/>
        <v>Roti Bawang Saus Keju</v>
      </c>
      <c r="K837" s="7">
        <f>if(RIGHT(I837,5)="2 pcs",2,Data!I837)</f>
        <v>1</v>
      </c>
      <c r="L837" s="2" t="str">
        <f t="shared" si="4"/>
        <v>Friday</v>
      </c>
      <c r="M837" s="2" t="str">
        <f t="shared" si="5"/>
        <v>13</v>
      </c>
      <c r="N837" s="2">
        <f>VLOOKUP(L837,'Data Info'!$A$1:$B$8,2,0)</f>
        <v>5</v>
      </c>
      <c r="O837" s="2" t="str">
        <f>VLOOKUP(L837,'Data Info'!$A$1:$C$8,3,0)</f>
        <v>Weekday</v>
      </c>
    </row>
    <row r="838">
      <c r="A838" s="4">
        <v>45548.802083333336</v>
      </c>
      <c r="B838" s="9">
        <f>IFERROR(__xludf.DUMMYFUNCTION("SPLIT(A838,"" "")"),45548.0)</f>
        <v>45548</v>
      </c>
      <c r="C838" s="10">
        <f>IFERROR(__xludf.DUMMYFUNCTION("""COMPUTED_VALUE"""),0.8020833333333334)</f>
        <v>0.8020833333</v>
      </c>
      <c r="D838" s="2">
        <f t="shared" si="1"/>
        <v>19</v>
      </c>
      <c r="E838" s="2">
        <f>IFERROR(__xludf.DUMMYFUNCTION("SPLIT(B838,""/"")"),13.0)</f>
        <v>13</v>
      </c>
      <c r="F838" s="2">
        <f>IFERROR(__xludf.DUMMYFUNCTION("""COMPUTED_VALUE"""),9.0)</f>
        <v>9</v>
      </c>
      <c r="G838" s="2">
        <f>IFERROR(__xludf.DUMMYFUNCTION("""COMPUTED_VALUE"""),2024.0)</f>
        <v>2024</v>
      </c>
      <c r="H838" s="2" t="str">
        <f t="shared" si="2"/>
        <v>2024/9/13</v>
      </c>
      <c r="I838" s="2" t="s">
        <v>1566</v>
      </c>
      <c r="J838" s="2" t="str">
        <f t="shared" si="3"/>
        <v>Roti Bawang Saus Keju</v>
      </c>
      <c r="K838" s="7">
        <f>if(RIGHT(I838,5)="2 pcs",2,Data!I838)</f>
        <v>1</v>
      </c>
      <c r="L838" s="2" t="str">
        <f t="shared" si="4"/>
        <v>Friday</v>
      </c>
      <c r="M838" s="2" t="str">
        <f t="shared" si="5"/>
        <v>13</v>
      </c>
      <c r="N838" s="2">
        <f>VLOOKUP(L838,'Data Info'!$A$1:$B$8,2,0)</f>
        <v>5</v>
      </c>
      <c r="O838" s="2" t="str">
        <f>VLOOKUP(L838,'Data Info'!$A$1:$C$8,3,0)</f>
        <v>Weekday</v>
      </c>
    </row>
    <row r="839">
      <c r="A839" s="4">
        <v>45548.78680555556</v>
      </c>
      <c r="B839" s="9">
        <f>IFERROR(__xludf.DUMMYFUNCTION("SPLIT(A839,"" "")"),45548.0)</f>
        <v>45548</v>
      </c>
      <c r="C839" s="10">
        <f>IFERROR(__xludf.DUMMYFUNCTION("""COMPUTED_VALUE"""),0.7868055555555555)</f>
        <v>0.7868055556</v>
      </c>
      <c r="D839" s="2">
        <f t="shared" si="1"/>
        <v>18</v>
      </c>
      <c r="E839" s="2">
        <f>IFERROR(__xludf.DUMMYFUNCTION("SPLIT(B839,""/"")"),13.0)</f>
        <v>13</v>
      </c>
      <c r="F839" s="2">
        <f>IFERROR(__xludf.DUMMYFUNCTION("""COMPUTED_VALUE"""),9.0)</f>
        <v>9</v>
      </c>
      <c r="G839" s="2">
        <f>IFERROR(__xludf.DUMMYFUNCTION("""COMPUTED_VALUE"""),2024.0)</f>
        <v>2024</v>
      </c>
      <c r="H839" s="2" t="str">
        <f t="shared" si="2"/>
        <v>2024/9/13</v>
      </c>
      <c r="I839" s="2" t="s">
        <v>1577</v>
      </c>
      <c r="J839" s="2" t="str">
        <f t="shared" si="3"/>
        <v>Rempah Madu Panas</v>
      </c>
      <c r="K839" s="7">
        <f>if(RIGHT(I839,5)="2 pcs",2,Data!I839)</f>
        <v>2</v>
      </c>
      <c r="L839" s="2" t="str">
        <f t="shared" si="4"/>
        <v>Friday</v>
      </c>
      <c r="M839" s="2" t="str">
        <f t="shared" si="5"/>
        <v>13</v>
      </c>
      <c r="N839" s="2">
        <f>VLOOKUP(L839,'Data Info'!$A$1:$B$8,2,0)</f>
        <v>5</v>
      </c>
      <c r="O839" s="2" t="str">
        <f>VLOOKUP(L839,'Data Info'!$A$1:$C$8,3,0)</f>
        <v>Weekday</v>
      </c>
    </row>
    <row r="840">
      <c r="A840" s="4">
        <v>45548.78680555556</v>
      </c>
      <c r="B840" s="9">
        <f>IFERROR(__xludf.DUMMYFUNCTION("SPLIT(A840,"" "")"),45548.0)</f>
        <v>45548</v>
      </c>
      <c r="C840" s="10">
        <f>IFERROR(__xludf.DUMMYFUNCTION("""COMPUTED_VALUE"""),0.7868055555555555)</f>
        <v>0.7868055556</v>
      </c>
      <c r="D840" s="2">
        <f t="shared" si="1"/>
        <v>18</v>
      </c>
      <c r="E840" s="2">
        <f>IFERROR(__xludf.DUMMYFUNCTION("SPLIT(B840,""/"")"),13.0)</f>
        <v>13</v>
      </c>
      <c r="F840" s="2">
        <f>IFERROR(__xludf.DUMMYFUNCTION("""COMPUTED_VALUE"""),9.0)</f>
        <v>9</v>
      </c>
      <c r="G840" s="2">
        <f>IFERROR(__xludf.DUMMYFUNCTION("""COMPUTED_VALUE"""),2024.0)</f>
        <v>2024</v>
      </c>
      <c r="H840" s="2" t="str">
        <f t="shared" si="2"/>
        <v>2024/9/13</v>
      </c>
      <c r="I840" s="2" t="s">
        <v>1616</v>
      </c>
      <c r="J840" s="2" t="str">
        <f t="shared" si="3"/>
        <v>Roti panggang coklat</v>
      </c>
      <c r="K840" s="7">
        <f>if(RIGHT(I840,5)="2 pcs",2,Data!I840)</f>
        <v>1</v>
      </c>
      <c r="L840" s="2" t="str">
        <f t="shared" si="4"/>
        <v>Friday</v>
      </c>
      <c r="M840" s="2" t="str">
        <f t="shared" si="5"/>
        <v>13</v>
      </c>
      <c r="N840" s="2">
        <f>VLOOKUP(L840,'Data Info'!$A$1:$B$8,2,0)</f>
        <v>5</v>
      </c>
      <c r="O840" s="2" t="str">
        <f>VLOOKUP(L840,'Data Info'!$A$1:$C$8,3,0)</f>
        <v>Weekday</v>
      </c>
    </row>
    <row r="841">
      <c r="A841" s="4">
        <v>45548.78680555556</v>
      </c>
      <c r="B841" s="9">
        <f>IFERROR(__xludf.DUMMYFUNCTION("SPLIT(A841,"" "")"),45548.0)</f>
        <v>45548</v>
      </c>
      <c r="C841" s="10">
        <f>IFERROR(__xludf.DUMMYFUNCTION("""COMPUTED_VALUE"""),0.7868055555555555)</f>
        <v>0.7868055556</v>
      </c>
      <c r="D841" s="2">
        <f t="shared" si="1"/>
        <v>18</v>
      </c>
      <c r="E841" s="2">
        <f>IFERROR(__xludf.DUMMYFUNCTION("SPLIT(B841,""/"")"),13.0)</f>
        <v>13</v>
      </c>
      <c r="F841" s="2">
        <f>IFERROR(__xludf.DUMMYFUNCTION("""COMPUTED_VALUE"""),9.0)</f>
        <v>9</v>
      </c>
      <c r="G841" s="2">
        <f>IFERROR(__xludf.DUMMYFUNCTION("""COMPUTED_VALUE"""),2024.0)</f>
        <v>2024</v>
      </c>
      <c r="H841" s="2" t="str">
        <f t="shared" si="2"/>
        <v>2024/9/13</v>
      </c>
      <c r="I841" s="2" t="s">
        <v>1595</v>
      </c>
      <c r="J841" s="2" t="str">
        <f t="shared" si="3"/>
        <v>Roti Gandum Cokelat</v>
      </c>
      <c r="K841" s="7">
        <f>if(RIGHT(I841,5)="2 pcs",2,Data!I841)</f>
        <v>-1</v>
      </c>
      <c r="L841" s="2" t="str">
        <f t="shared" si="4"/>
        <v>Friday</v>
      </c>
      <c r="M841" s="2" t="str">
        <f t="shared" si="5"/>
        <v>13</v>
      </c>
      <c r="N841" s="2">
        <f>VLOOKUP(L841,'Data Info'!$A$1:$B$8,2,0)</f>
        <v>5</v>
      </c>
      <c r="O841" s="2" t="str">
        <f>VLOOKUP(L841,'Data Info'!$A$1:$C$8,3,0)</f>
        <v>Weekday</v>
      </c>
    </row>
    <row r="842">
      <c r="A842" s="4">
        <v>45548.78680555556</v>
      </c>
      <c r="B842" s="9">
        <f>IFERROR(__xludf.DUMMYFUNCTION("SPLIT(A842,"" "")"),45548.0)</f>
        <v>45548</v>
      </c>
      <c r="C842" s="10">
        <f>IFERROR(__xludf.DUMMYFUNCTION("""COMPUTED_VALUE"""),0.7868055555555555)</f>
        <v>0.7868055556</v>
      </c>
      <c r="D842" s="2">
        <f t="shared" si="1"/>
        <v>18</v>
      </c>
      <c r="E842" s="2">
        <f>IFERROR(__xludf.DUMMYFUNCTION("SPLIT(B842,""/"")"),13.0)</f>
        <v>13</v>
      </c>
      <c r="F842" s="2">
        <f>IFERROR(__xludf.DUMMYFUNCTION("""COMPUTED_VALUE"""),9.0)</f>
        <v>9</v>
      </c>
      <c r="G842" s="2">
        <f>IFERROR(__xludf.DUMMYFUNCTION("""COMPUTED_VALUE"""),2024.0)</f>
        <v>2024</v>
      </c>
      <c r="H842" s="2" t="str">
        <f t="shared" si="2"/>
        <v>2024/9/13</v>
      </c>
      <c r="I842" s="2" t="s">
        <v>1577</v>
      </c>
      <c r="J842" s="2" t="str">
        <f t="shared" si="3"/>
        <v>Rempah Madu Panas</v>
      </c>
      <c r="K842" s="7">
        <f>if(RIGHT(I842,5)="2 pcs",2,Data!I842)</f>
        <v>-2</v>
      </c>
      <c r="L842" s="2" t="str">
        <f t="shared" si="4"/>
        <v>Friday</v>
      </c>
      <c r="M842" s="2" t="str">
        <f t="shared" si="5"/>
        <v>13</v>
      </c>
      <c r="N842" s="2">
        <f>VLOOKUP(L842,'Data Info'!$A$1:$B$8,2,0)</f>
        <v>5</v>
      </c>
      <c r="O842" s="2" t="str">
        <f>VLOOKUP(L842,'Data Info'!$A$1:$C$8,3,0)</f>
        <v>Weekday</v>
      </c>
    </row>
    <row r="843">
      <c r="A843" s="4">
        <v>45548.78402777778</v>
      </c>
      <c r="B843" s="9">
        <f>IFERROR(__xludf.DUMMYFUNCTION("SPLIT(A843,"" "")"),45548.0)</f>
        <v>45548</v>
      </c>
      <c r="C843" s="10">
        <f>IFERROR(__xludf.DUMMYFUNCTION("""COMPUTED_VALUE"""),0.7840277777777778)</f>
        <v>0.7840277778</v>
      </c>
      <c r="D843" s="2">
        <f t="shared" si="1"/>
        <v>18</v>
      </c>
      <c r="E843" s="2">
        <f>IFERROR(__xludf.DUMMYFUNCTION("SPLIT(B843,""/"")"),13.0)</f>
        <v>13</v>
      </c>
      <c r="F843" s="2">
        <f>IFERROR(__xludf.DUMMYFUNCTION("""COMPUTED_VALUE"""),9.0)</f>
        <v>9</v>
      </c>
      <c r="G843" s="2">
        <f>IFERROR(__xludf.DUMMYFUNCTION("""COMPUTED_VALUE"""),2024.0)</f>
        <v>2024</v>
      </c>
      <c r="H843" s="2" t="str">
        <f t="shared" si="2"/>
        <v>2024/9/13</v>
      </c>
      <c r="I843" s="2" t="s">
        <v>1598</v>
      </c>
      <c r="J843" s="2" t="str">
        <f t="shared" si="3"/>
        <v>Korean Strawberry Fresh Milk</v>
      </c>
      <c r="K843" s="7">
        <f>if(RIGHT(I843,5)="2 pcs",2,Data!I843)</f>
        <v>1</v>
      </c>
      <c r="L843" s="2" t="str">
        <f t="shared" si="4"/>
        <v>Friday</v>
      </c>
      <c r="M843" s="2" t="str">
        <f t="shared" si="5"/>
        <v>13</v>
      </c>
      <c r="N843" s="2">
        <f>VLOOKUP(L843,'Data Info'!$A$1:$B$8,2,0)</f>
        <v>5</v>
      </c>
      <c r="O843" s="2" t="str">
        <f>VLOOKUP(L843,'Data Info'!$A$1:$C$8,3,0)</f>
        <v>Weekday</v>
      </c>
    </row>
    <row r="844">
      <c r="A844" s="4">
        <v>45548.78402777778</v>
      </c>
      <c r="B844" s="9">
        <f>IFERROR(__xludf.DUMMYFUNCTION("SPLIT(A844,"" "")"),45548.0)</f>
        <v>45548</v>
      </c>
      <c r="C844" s="10">
        <f>IFERROR(__xludf.DUMMYFUNCTION("""COMPUTED_VALUE"""),0.7840277777777778)</f>
        <v>0.7840277778</v>
      </c>
      <c r="D844" s="2">
        <f t="shared" si="1"/>
        <v>18</v>
      </c>
      <c r="E844" s="2">
        <f>IFERROR(__xludf.DUMMYFUNCTION("SPLIT(B844,""/"")"),13.0)</f>
        <v>13</v>
      </c>
      <c r="F844" s="2">
        <f>IFERROR(__xludf.DUMMYFUNCTION("""COMPUTED_VALUE"""),9.0)</f>
        <v>9</v>
      </c>
      <c r="G844" s="2">
        <f>IFERROR(__xludf.DUMMYFUNCTION("""COMPUTED_VALUE"""),2024.0)</f>
        <v>2024</v>
      </c>
      <c r="H844" s="2" t="str">
        <f t="shared" si="2"/>
        <v>2024/9/13</v>
      </c>
      <c r="I844" s="2" t="s">
        <v>1583</v>
      </c>
      <c r="J844" s="2" t="str">
        <f t="shared" si="3"/>
        <v>Es Kopi Lemon</v>
      </c>
      <c r="K844" s="7">
        <f>if(RIGHT(I844,5)="2 pcs",2,Data!I844)</f>
        <v>1</v>
      </c>
      <c r="L844" s="2" t="str">
        <f t="shared" si="4"/>
        <v>Friday</v>
      </c>
      <c r="M844" s="2" t="str">
        <f t="shared" si="5"/>
        <v>13</v>
      </c>
      <c r="N844" s="2">
        <f>VLOOKUP(L844,'Data Info'!$A$1:$B$8,2,0)</f>
        <v>5</v>
      </c>
      <c r="O844" s="2" t="str">
        <f>VLOOKUP(L844,'Data Info'!$A$1:$C$8,3,0)</f>
        <v>Weekday</v>
      </c>
    </row>
    <row r="845">
      <c r="A845" s="4">
        <v>45548.78402777778</v>
      </c>
      <c r="B845" s="9">
        <f>IFERROR(__xludf.DUMMYFUNCTION("SPLIT(A845,"" "")"),45548.0)</f>
        <v>45548</v>
      </c>
      <c r="C845" s="10">
        <f>IFERROR(__xludf.DUMMYFUNCTION("""COMPUTED_VALUE"""),0.7840277777777778)</f>
        <v>0.7840277778</v>
      </c>
      <c r="D845" s="2">
        <f t="shared" si="1"/>
        <v>18</v>
      </c>
      <c r="E845" s="2">
        <f>IFERROR(__xludf.DUMMYFUNCTION("SPLIT(B845,""/"")"),13.0)</f>
        <v>13</v>
      </c>
      <c r="F845" s="2">
        <f>IFERROR(__xludf.DUMMYFUNCTION("""COMPUTED_VALUE"""),9.0)</f>
        <v>9</v>
      </c>
      <c r="G845" s="2">
        <f>IFERROR(__xludf.DUMMYFUNCTION("""COMPUTED_VALUE"""),2024.0)</f>
        <v>2024</v>
      </c>
      <c r="H845" s="2" t="str">
        <f t="shared" si="2"/>
        <v>2024/9/13</v>
      </c>
      <c r="I845" s="2" t="s">
        <v>1603</v>
      </c>
      <c r="J845" s="2" t="str">
        <f t="shared" si="3"/>
        <v>Nasi Goreng Temu</v>
      </c>
      <c r="K845" s="7">
        <f>if(RIGHT(I845,5)="2 pcs",2,Data!I845)</f>
        <v>2</v>
      </c>
      <c r="L845" s="2" t="str">
        <f t="shared" si="4"/>
        <v>Friday</v>
      </c>
      <c r="M845" s="2" t="str">
        <f t="shared" si="5"/>
        <v>13</v>
      </c>
      <c r="N845" s="2">
        <f>VLOOKUP(L845,'Data Info'!$A$1:$B$8,2,0)</f>
        <v>5</v>
      </c>
      <c r="O845" s="2" t="str">
        <f>VLOOKUP(L845,'Data Info'!$A$1:$C$8,3,0)</f>
        <v>Weekday</v>
      </c>
    </row>
    <row r="846">
      <c r="A846" s="4">
        <v>45548.78402777778</v>
      </c>
      <c r="B846" s="9">
        <f>IFERROR(__xludf.DUMMYFUNCTION("SPLIT(A846,"" "")"),45548.0)</f>
        <v>45548</v>
      </c>
      <c r="C846" s="10">
        <f>IFERROR(__xludf.DUMMYFUNCTION("""COMPUTED_VALUE"""),0.7840277777777778)</f>
        <v>0.7840277778</v>
      </c>
      <c r="D846" s="2">
        <f t="shared" si="1"/>
        <v>18</v>
      </c>
      <c r="E846" s="2">
        <f>IFERROR(__xludf.DUMMYFUNCTION("SPLIT(B846,""/"")"),13.0)</f>
        <v>13</v>
      </c>
      <c r="F846" s="2">
        <f>IFERROR(__xludf.DUMMYFUNCTION("""COMPUTED_VALUE"""),9.0)</f>
        <v>9</v>
      </c>
      <c r="G846" s="2">
        <f>IFERROR(__xludf.DUMMYFUNCTION("""COMPUTED_VALUE"""),2024.0)</f>
        <v>2024</v>
      </c>
      <c r="H846" s="2" t="str">
        <f t="shared" si="2"/>
        <v>2024/9/13</v>
      </c>
      <c r="I846" s="2" t="s">
        <v>1607</v>
      </c>
      <c r="J846" s="2" t="str">
        <f t="shared" si="3"/>
        <v>Tahu walik</v>
      </c>
      <c r="K846" s="7">
        <f>if(RIGHT(I846,5)="2 pcs",2,Data!I846)</f>
        <v>1</v>
      </c>
      <c r="L846" s="2" t="str">
        <f t="shared" si="4"/>
        <v>Friday</v>
      </c>
      <c r="M846" s="2" t="str">
        <f t="shared" si="5"/>
        <v>13</v>
      </c>
      <c r="N846" s="2">
        <f>VLOOKUP(L846,'Data Info'!$A$1:$B$8,2,0)</f>
        <v>5</v>
      </c>
      <c r="O846" s="2" t="str">
        <f>VLOOKUP(L846,'Data Info'!$A$1:$C$8,3,0)</f>
        <v>Weekday</v>
      </c>
    </row>
    <row r="847">
      <c r="A847" s="4">
        <v>45548.78402777778</v>
      </c>
      <c r="B847" s="9">
        <f>IFERROR(__xludf.DUMMYFUNCTION("SPLIT(A847,"" "")"),45548.0)</f>
        <v>45548</v>
      </c>
      <c r="C847" s="10">
        <f>IFERROR(__xludf.DUMMYFUNCTION("""COMPUTED_VALUE"""),0.7840277777777778)</f>
        <v>0.7840277778</v>
      </c>
      <c r="D847" s="2">
        <f t="shared" si="1"/>
        <v>18</v>
      </c>
      <c r="E847" s="2">
        <f>IFERROR(__xludf.DUMMYFUNCTION("SPLIT(B847,""/"")"),13.0)</f>
        <v>13</v>
      </c>
      <c r="F847" s="2">
        <f>IFERROR(__xludf.DUMMYFUNCTION("""COMPUTED_VALUE"""),9.0)</f>
        <v>9</v>
      </c>
      <c r="G847" s="2">
        <f>IFERROR(__xludf.DUMMYFUNCTION("""COMPUTED_VALUE"""),2024.0)</f>
        <v>2024</v>
      </c>
      <c r="H847" s="2" t="str">
        <f t="shared" si="2"/>
        <v>2024/9/13</v>
      </c>
      <c r="I847" s="2" t="s">
        <v>1589</v>
      </c>
      <c r="J847" s="2" t="str">
        <f t="shared" si="3"/>
        <v>Teh Manis Dingin</v>
      </c>
      <c r="K847" s="7">
        <f>if(RIGHT(I847,5)="2 pcs",2,Data!I847)</f>
        <v>1</v>
      </c>
      <c r="L847" s="2" t="str">
        <f t="shared" si="4"/>
        <v>Friday</v>
      </c>
      <c r="M847" s="2" t="str">
        <f t="shared" si="5"/>
        <v>13</v>
      </c>
      <c r="N847" s="2">
        <f>VLOOKUP(L847,'Data Info'!$A$1:$B$8,2,0)</f>
        <v>5</v>
      </c>
      <c r="O847" s="2" t="str">
        <f>VLOOKUP(L847,'Data Info'!$A$1:$C$8,3,0)</f>
        <v>Weekday</v>
      </c>
    </row>
    <row r="848">
      <c r="A848" s="4">
        <v>45548.78402777778</v>
      </c>
      <c r="B848" s="9">
        <f>IFERROR(__xludf.DUMMYFUNCTION("SPLIT(A848,"" "")"),45548.0)</f>
        <v>45548</v>
      </c>
      <c r="C848" s="10">
        <f>IFERROR(__xludf.DUMMYFUNCTION("""COMPUTED_VALUE"""),0.7840277777777778)</f>
        <v>0.7840277778</v>
      </c>
      <c r="D848" s="2">
        <f t="shared" si="1"/>
        <v>18</v>
      </c>
      <c r="E848" s="2">
        <f>IFERROR(__xludf.DUMMYFUNCTION("SPLIT(B848,""/"")"),13.0)</f>
        <v>13</v>
      </c>
      <c r="F848" s="2">
        <f>IFERROR(__xludf.DUMMYFUNCTION("""COMPUTED_VALUE"""),9.0)</f>
        <v>9</v>
      </c>
      <c r="G848" s="2">
        <f>IFERROR(__xludf.DUMMYFUNCTION("""COMPUTED_VALUE"""),2024.0)</f>
        <v>2024</v>
      </c>
      <c r="H848" s="2" t="str">
        <f t="shared" si="2"/>
        <v>2024/9/13</v>
      </c>
      <c r="I848" s="2" t="s">
        <v>1584</v>
      </c>
      <c r="J848" s="2" t="str">
        <f t="shared" si="3"/>
        <v>Korean Mango Fresh Milk</v>
      </c>
      <c r="K848" s="7">
        <f>if(RIGHT(I848,5)="2 pcs",2,Data!I848)</f>
        <v>1</v>
      </c>
      <c r="L848" s="2" t="str">
        <f t="shared" si="4"/>
        <v>Friday</v>
      </c>
      <c r="M848" s="2" t="str">
        <f t="shared" si="5"/>
        <v>13</v>
      </c>
      <c r="N848" s="2">
        <f>VLOOKUP(L848,'Data Info'!$A$1:$B$8,2,0)</f>
        <v>5</v>
      </c>
      <c r="O848" s="2" t="str">
        <f>VLOOKUP(L848,'Data Info'!$A$1:$C$8,3,0)</f>
        <v>Weekday</v>
      </c>
    </row>
    <row r="849">
      <c r="A849" s="4">
        <v>45548.77916666667</v>
      </c>
      <c r="B849" s="9">
        <f>IFERROR(__xludf.DUMMYFUNCTION("SPLIT(A849,"" "")"),45548.0)</f>
        <v>45548</v>
      </c>
      <c r="C849" s="10">
        <f>IFERROR(__xludf.DUMMYFUNCTION("""COMPUTED_VALUE"""),0.7791666666666667)</f>
        <v>0.7791666667</v>
      </c>
      <c r="D849" s="2">
        <f t="shared" si="1"/>
        <v>18</v>
      </c>
      <c r="E849" s="2">
        <f>IFERROR(__xludf.DUMMYFUNCTION("SPLIT(B849,""/"")"),13.0)</f>
        <v>13</v>
      </c>
      <c r="F849" s="2">
        <f>IFERROR(__xludf.DUMMYFUNCTION("""COMPUTED_VALUE"""),9.0)</f>
        <v>9</v>
      </c>
      <c r="G849" s="2">
        <f>IFERROR(__xludf.DUMMYFUNCTION("""COMPUTED_VALUE"""),2024.0)</f>
        <v>2024</v>
      </c>
      <c r="H849" s="2" t="str">
        <f t="shared" si="2"/>
        <v>2024/9/13</v>
      </c>
      <c r="I849" s="2" t="s">
        <v>1595</v>
      </c>
      <c r="J849" s="2" t="str">
        <f t="shared" si="3"/>
        <v>Roti Gandum Cokelat</v>
      </c>
      <c r="K849" s="7">
        <f>if(RIGHT(I849,5)="2 pcs",2,Data!I849)</f>
        <v>1</v>
      </c>
      <c r="L849" s="2" t="str">
        <f t="shared" si="4"/>
        <v>Friday</v>
      </c>
      <c r="M849" s="2" t="str">
        <f t="shared" si="5"/>
        <v>13</v>
      </c>
      <c r="N849" s="2">
        <f>VLOOKUP(L849,'Data Info'!$A$1:$B$8,2,0)</f>
        <v>5</v>
      </c>
      <c r="O849" s="2" t="str">
        <f>VLOOKUP(L849,'Data Info'!$A$1:$C$8,3,0)</f>
        <v>Weekday</v>
      </c>
    </row>
    <row r="850">
      <c r="A850" s="4">
        <v>45548.77916666667</v>
      </c>
      <c r="B850" s="9">
        <f>IFERROR(__xludf.DUMMYFUNCTION("SPLIT(A850,"" "")"),45548.0)</f>
        <v>45548</v>
      </c>
      <c r="C850" s="10">
        <f>IFERROR(__xludf.DUMMYFUNCTION("""COMPUTED_VALUE"""),0.7791666666666667)</f>
        <v>0.7791666667</v>
      </c>
      <c r="D850" s="2">
        <f t="shared" si="1"/>
        <v>18</v>
      </c>
      <c r="E850" s="2">
        <f>IFERROR(__xludf.DUMMYFUNCTION("SPLIT(B850,""/"")"),13.0)</f>
        <v>13</v>
      </c>
      <c r="F850" s="2">
        <f>IFERROR(__xludf.DUMMYFUNCTION("""COMPUTED_VALUE"""),9.0)</f>
        <v>9</v>
      </c>
      <c r="G850" s="2">
        <f>IFERROR(__xludf.DUMMYFUNCTION("""COMPUTED_VALUE"""),2024.0)</f>
        <v>2024</v>
      </c>
      <c r="H850" s="2" t="str">
        <f t="shared" si="2"/>
        <v>2024/9/13</v>
      </c>
      <c r="I850" s="2" t="s">
        <v>1577</v>
      </c>
      <c r="J850" s="2" t="str">
        <f t="shared" si="3"/>
        <v>Rempah Madu Panas</v>
      </c>
      <c r="K850" s="7">
        <f>if(RIGHT(I850,5)="2 pcs",2,Data!I850)</f>
        <v>2</v>
      </c>
      <c r="L850" s="2" t="str">
        <f t="shared" si="4"/>
        <v>Friday</v>
      </c>
      <c r="M850" s="2" t="str">
        <f t="shared" si="5"/>
        <v>13</v>
      </c>
      <c r="N850" s="2">
        <f>VLOOKUP(L850,'Data Info'!$A$1:$B$8,2,0)</f>
        <v>5</v>
      </c>
      <c r="O850" s="2" t="str">
        <f>VLOOKUP(L850,'Data Info'!$A$1:$C$8,3,0)</f>
        <v>Weekday</v>
      </c>
    </row>
    <row r="851">
      <c r="A851" s="4">
        <v>45548.77916666667</v>
      </c>
      <c r="B851" s="9">
        <f>IFERROR(__xludf.DUMMYFUNCTION("SPLIT(A851,"" "")"),45548.0)</f>
        <v>45548</v>
      </c>
      <c r="C851" s="10">
        <f>IFERROR(__xludf.DUMMYFUNCTION("""COMPUTED_VALUE"""),0.7791666666666667)</f>
        <v>0.7791666667</v>
      </c>
      <c r="D851" s="2">
        <f t="shared" si="1"/>
        <v>18</v>
      </c>
      <c r="E851" s="2">
        <f>IFERROR(__xludf.DUMMYFUNCTION("SPLIT(B851,""/"")"),13.0)</f>
        <v>13</v>
      </c>
      <c r="F851" s="2">
        <f>IFERROR(__xludf.DUMMYFUNCTION("""COMPUTED_VALUE"""),9.0)</f>
        <v>9</v>
      </c>
      <c r="G851" s="2">
        <f>IFERROR(__xludf.DUMMYFUNCTION("""COMPUTED_VALUE"""),2024.0)</f>
        <v>2024</v>
      </c>
      <c r="H851" s="2" t="str">
        <f t="shared" si="2"/>
        <v>2024/9/13</v>
      </c>
      <c r="I851" s="2" t="s">
        <v>1616</v>
      </c>
      <c r="J851" s="2" t="str">
        <f t="shared" si="3"/>
        <v>Roti panggang coklat</v>
      </c>
      <c r="K851" s="7">
        <f>if(RIGHT(I851,5)="2 pcs",2,Data!I851)</f>
        <v>-1</v>
      </c>
      <c r="L851" s="2" t="str">
        <f t="shared" si="4"/>
        <v>Friday</v>
      </c>
      <c r="M851" s="2" t="str">
        <f t="shared" si="5"/>
        <v>13</v>
      </c>
      <c r="N851" s="2">
        <f>VLOOKUP(L851,'Data Info'!$A$1:$B$8,2,0)</f>
        <v>5</v>
      </c>
      <c r="O851" s="2" t="str">
        <f>VLOOKUP(L851,'Data Info'!$A$1:$C$8,3,0)</f>
        <v>Weekday</v>
      </c>
    </row>
    <row r="852">
      <c r="A852" s="4">
        <v>45548.77847222222</v>
      </c>
      <c r="B852" s="9">
        <f>IFERROR(__xludf.DUMMYFUNCTION("SPLIT(A852,"" "")"),45548.0)</f>
        <v>45548</v>
      </c>
      <c r="C852" s="10">
        <f>IFERROR(__xludf.DUMMYFUNCTION("""COMPUTED_VALUE"""),0.7784722222222222)</f>
        <v>0.7784722222</v>
      </c>
      <c r="D852" s="2">
        <f t="shared" si="1"/>
        <v>18</v>
      </c>
      <c r="E852" s="2">
        <f>IFERROR(__xludf.DUMMYFUNCTION("SPLIT(B852,""/"")"),13.0)</f>
        <v>13</v>
      </c>
      <c r="F852" s="2">
        <f>IFERROR(__xludf.DUMMYFUNCTION("""COMPUTED_VALUE"""),9.0)</f>
        <v>9</v>
      </c>
      <c r="G852" s="2">
        <f>IFERROR(__xludf.DUMMYFUNCTION("""COMPUTED_VALUE"""),2024.0)</f>
        <v>2024</v>
      </c>
      <c r="H852" s="2" t="str">
        <f t="shared" si="2"/>
        <v>2024/9/13</v>
      </c>
      <c r="I852" s="2" t="s">
        <v>1577</v>
      </c>
      <c r="J852" s="2" t="str">
        <f t="shared" si="3"/>
        <v>Rempah Madu Panas</v>
      </c>
      <c r="K852" s="7">
        <f>if(RIGHT(I852,5)="2 pcs",2,Data!I852)</f>
        <v>2</v>
      </c>
      <c r="L852" s="2" t="str">
        <f t="shared" si="4"/>
        <v>Friday</v>
      </c>
      <c r="M852" s="2" t="str">
        <f t="shared" si="5"/>
        <v>13</v>
      </c>
      <c r="N852" s="2">
        <f>VLOOKUP(L852,'Data Info'!$A$1:$B$8,2,0)</f>
        <v>5</v>
      </c>
      <c r="O852" s="2" t="str">
        <f>VLOOKUP(L852,'Data Info'!$A$1:$C$8,3,0)</f>
        <v>Weekday</v>
      </c>
    </row>
    <row r="853">
      <c r="A853" s="4">
        <v>45548.77847222222</v>
      </c>
      <c r="B853" s="9">
        <f>IFERROR(__xludf.DUMMYFUNCTION("SPLIT(A853,"" "")"),45548.0)</f>
        <v>45548</v>
      </c>
      <c r="C853" s="10">
        <f>IFERROR(__xludf.DUMMYFUNCTION("""COMPUTED_VALUE"""),0.7784722222222222)</f>
        <v>0.7784722222</v>
      </c>
      <c r="D853" s="2">
        <f t="shared" si="1"/>
        <v>18</v>
      </c>
      <c r="E853" s="2">
        <f>IFERROR(__xludf.DUMMYFUNCTION("SPLIT(B853,""/"")"),13.0)</f>
        <v>13</v>
      </c>
      <c r="F853" s="2">
        <f>IFERROR(__xludf.DUMMYFUNCTION("""COMPUTED_VALUE"""),9.0)</f>
        <v>9</v>
      </c>
      <c r="G853" s="2">
        <f>IFERROR(__xludf.DUMMYFUNCTION("""COMPUTED_VALUE"""),2024.0)</f>
        <v>2024</v>
      </c>
      <c r="H853" s="2" t="str">
        <f t="shared" si="2"/>
        <v>2024/9/13</v>
      </c>
      <c r="I853" s="2" t="s">
        <v>1616</v>
      </c>
      <c r="J853" s="2" t="str">
        <f t="shared" si="3"/>
        <v>Roti panggang coklat</v>
      </c>
      <c r="K853" s="7">
        <f>if(RIGHT(I853,5)="2 pcs",2,Data!I853)</f>
        <v>1</v>
      </c>
      <c r="L853" s="2" t="str">
        <f t="shared" si="4"/>
        <v>Friday</v>
      </c>
      <c r="M853" s="2" t="str">
        <f t="shared" si="5"/>
        <v>13</v>
      </c>
      <c r="N853" s="2">
        <f>VLOOKUP(L853,'Data Info'!$A$1:$B$8,2,0)</f>
        <v>5</v>
      </c>
      <c r="O853" s="2" t="str">
        <f>VLOOKUP(L853,'Data Info'!$A$1:$C$8,3,0)</f>
        <v>Weekday</v>
      </c>
    </row>
    <row r="854">
      <c r="A854" s="4">
        <v>45548.775</v>
      </c>
      <c r="B854" s="9">
        <f>IFERROR(__xludf.DUMMYFUNCTION("SPLIT(A854,"" "")"),45548.0)</f>
        <v>45548</v>
      </c>
      <c r="C854" s="10">
        <f>IFERROR(__xludf.DUMMYFUNCTION("""COMPUTED_VALUE"""),0.775)</f>
        <v>0.775</v>
      </c>
      <c r="D854" s="2">
        <f t="shared" si="1"/>
        <v>18</v>
      </c>
      <c r="E854" s="2">
        <f>IFERROR(__xludf.DUMMYFUNCTION("SPLIT(B854,""/"")"),13.0)</f>
        <v>13</v>
      </c>
      <c r="F854" s="2">
        <f>IFERROR(__xludf.DUMMYFUNCTION("""COMPUTED_VALUE"""),9.0)</f>
        <v>9</v>
      </c>
      <c r="G854" s="2">
        <f>IFERROR(__xludf.DUMMYFUNCTION("""COMPUTED_VALUE"""),2024.0)</f>
        <v>2024</v>
      </c>
      <c r="H854" s="2" t="str">
        <f t="shared" si="2"/>
        <v>2024/9/13</v>
      </c>
      <c r="I854" s="2" t="s">
        <v>1595</v>
      </c>
      <c r="J854" s="2" t="str">
        <f t="shared" si="3"/>
        <v>Roti Gandum Cokelat</v>
      </c>
      <c r="K854" s="7">
        <f>if(RIGHT(I854,5)="2 pcs",2,Data!I854)</f>
        <v>1</v>
      </c>
      <c r="L854" s="2" t="str">
        <f t="shared" si="4"/>
        <v>Friday</v>
      </c>
      <c r="M854" s="2" t="str">
        <f t="shared" si="5"/>
        <v>13</v>
      </c>
      <c r="N854" s="2">
        <f>VLOOKUP(L854,'Data Info'!$A$1:$B$8,2,0)</f>
        <v>5</v>
      </c>
      <c r="O854" s="2" t="str">
        <f>VLOOKUP(L854,'Data Info'!$A$1:$C$8,3,0)</f>
        <v>Weekday</v>
      </c>
    </row>
    <row r="855">
      <c r="A855" s="4">
        <v>45548.75902777778</v>
      </c>
      <c r="B855" s="9">
        <f>IFERROR(__xludf.DUMMYFUNCTION("SPLIT(A855,"" "")"),45548.0)</f>
        <v>45548</v>
      </c>
      <c r="C855" s="10">
        <f>IFERROR(__xludf.DUMMYFUNCTION("""COMPUTED_VALUE"""),0.7590277777777777)</f>
        <v>0.7590277778</v>
      </c>
      <c r="D855" s="2">
        <f t="shared" si="1"/>
        <v>18</v>
      </c>
      <c r="E855" s="2">
        <f>IFERROR(__xludf.DUMMYFUNCTION("SPLIT(B855,""/"")"),13.0)</f>
        <v>13</v>
      </c>
      <c r="F855" s="2">
        <f>IFERROR(__xludf.DUMMYFUNCTION("""COMPUTED_VALUE"""),9.0)</f>
        <v>9</v>
      </c>
      <c r="G855" s="2">
        <f>IFERROR(__xludf.DUMMYFUNCTION("""COMPUTED_VALUE"""),2024.0)</f>
        <v>2024</v>
      </c>
      <c r="H855" s="2" t="str">
        <f t="shared" si="2"/>
        <v>2024/9/13</v>
      </c>
      <c r="I855" s="2" t="s">
        <v>1566</v>
      </c>
      <c r="J855" s="2" t="str">
        <f t="shared" si="3"/>
        <v>Roti Bawang Saus Keju</v>
      </c>
      <c r="K855" s="7">
        <f>if(RIGHT(I855,5)="2 pcs",2,Data!I855)</f>
        <v>1</v>
      </c>
      <c r="L855" s="2" t="str">
        <f t="shared" si="4"/>
        <v>Friday</v>
      </c>
      <c r="M855" s="2" t="str">
        <f t="shared" si="5"/>
        <v>13</v>
      </c>
      <c r="N855" s="2">
        <f>VLOOKUP(L855,'Data Info'!$A$1:$B$8,2,0)</f>
        <v>5</v>
      </c>
      <c r="O855" s="2" t="str">
        <f>VLOOKUP(L855,'Data Info'!$A$1:$C$8,3,0)</f>
        <v>Weekday</v>
      </c>
    </row>
    <row r="856">
      <c r="A856" s="4">
        <v>45548.722916666666</v>
      </c>
      <c r="B856" s="9">
        <f>IFERROR(__xludf.DUMMYFUNCTION("SPLIT(A856,"" "")"),45548.0)</f>
        <v>45548</v>
      </c>
      <c r="C856" s="10">
        <f>IFERROR(__xludf.DUMMYFUNCTION("""COMPUTED_VALUE"""),0.7229166666666667)</f>
        <v>0.7229166667</v>
      </c>
      <c r="D856" s="2">
        <f t="shared" si="1"/>
        <v>17</v>
      </c>
      <c r="E856" s="2">
        <f>IFERROR(__xludf.DUMMYFUNCTION("SPLIT(B856,""/"")"),13.0)</f>
        <v>13</v>
      </c>
      <c r="F856" s="2">
        <f>IFERROR(__xludf.DUMMYFUNCTION("""COMPUTED_VALUE"""),9.0)</f>
        <v>9</v>
      </c>
      <c r="G856" s="2">
        <f>IFERROR(__xludf.DUMMYFUNCTION("""COMPUTED_VALUE"""),2024.0)</f>
        <v>2024</v>
      </c>
      <c r="H856" s="2" t="str">
        <f t="shared" si="2"/>
        <v>2024/9/13</v>
      </c>
      <c r="I856" s="2" t="s">
        <v>1566</v>
      </c>
      <c r="J856" s="2" t="str">
        <f t="shared" si="3"/>
        <v>Roti Bawang Saus Keju</v>
      </c>
      <c r="K856" s="7">
        <f>if(RIGHT(I856,5)="2 pcs",2,Data!I856)</f>
        <v>1</v>
      </c>
      <c r="L856" s="2" t="str">
        <f t="shared" si="4"/>
        <v>Friday</v>
      </c>
      <c r="M856" s="2" t="str">
        <f t="shared" si="5"/>
        <v>13</v>
      </c>
      <c r="N856" s="2">
        <f>VLOOKUP(L856,'Data Info'!$A$1:$B$8,2,0)</f>
        <v>5</v>
      </c>
      <c r="O856" s="2" t="str">
        <f>VLOOKUP(L856,'Data Info'!$A$1:$C$8,3,0)</f>
        <v>Weekday</v>
      </c>
    </row>
    <row r="857">
      <c r="A857" s="4">
        <v>45548.71527777778</v>
      </c>
      <c r="B857" s="9">
        <f>IFERROR(__xludf.DUMMYFUNCTION("SPLIT(A857,"" "")"),45548.0)</f>
        <v>45548</v>
      </c>
      <c r="C857" s="10">
        <f>IFERROR(__xludf.DUMMYFUNCTION("""COMPUTED_VALUE"""),0.7152777777777778)</f>
        <v>0.7152777778</v>
      </c>
      <c r="D857" s="2">
        <f t="shared" si="1"/>
        <v>17</v>
      </c>
      <c r="E857" s="2">
        <f>IFERROR(__xludf.DUMMYFUNCTION("SPLIT(B857,""/"")"),13.0)</f>
        <v>13</v>
      </c>
      <c r="F857" s="2">
        <f>IFERROR(__xludf.DUMMYFUNCTION("""COMPUTED_VALUE"""),9.0)</f>
        <v>9</v>
      </c>
      <c r="G857" s="2">
        <f>IFERROR(__xludf.DUMMYFUNCTION("""COMPUTED_VALUE"""),2024.0)</f>
        <v>2024</v>
      </c>
      <c r="H857" s="2" t="str">
        <f t="shared" si="2"/>
        <v>2024/9/13</v>
      </c>
      <c r="I857" s="2" t="s">
        <v>1615</v>
      </c>
      <c r="J857" s="2" t="str">
        <f t="shared" si="3"/>
        <v>Roti panggang sarikaya</v>
      </c>
      <c r="K857" s="7">
        <f>if(RIGHT(I857,5)="2 pcs",2,Data!I857)</f>
        <v>1</v>
      </c>
      <c r="L857" s="2" t="str">
        <f t="shared" si="4"/>
        <v>Friday</v>
      </c>
      <c r="M857" s="2" t="str">
        <f t="shared" si="5"/>
        <v>13</v>
      </c>
      <c r="N857" s="2">
        <f>VLOOKUP(L857,'Data Info'!$A$1:$B$8,2,0)</f>
        <v>5</v>
      </c>
      <c r="O857" s="2" t="str">
        <f>VLOOKUP(L857,'Data Info'!$A$1:$C$8,3,0)</f>
        <v>Weekday</v>
      </c>
    </row>
    <row r="858">
      <c r="A858" s="4">
        <v>45548.71527777778</v>
      </c>
      <c r="B858" s="9">
        <f>IFERROR(__xludf.DUMMYFUNCTION("SPLIT(A858,"" "")"),45548.0)</f>
        <v>45548</v>
      </c>
      <c r="C858" s="10">
        <f>IFERROR(__xludf.DUMMYFUNCTION("""COMPUTED_VALUE"""),0.7152777777777778)</f>
        <v>0.7152777778</v>
      </c>
      <c r="D858" s="2">
        <f t="shared" si="1"/>
        <v>17</v>
      </c>
      <c r="E858" s="2">
        <f>IFERROR(__xludf.DUMMYFUNCTION("SPLIT(B858,""/"")"),13.0)</f>
        <v>13</v>
      </c>
      <c r="F858" s="2">
        <f>IFERROR(__xludf.DUMMYFUNCTION("""COMPUTED_VALUE"""),9.0)</f>
        <v>9</v>
      </c>
      <c r="G858" s="2">
        <f>IFERROR(__xludf.DUMMYFUNCTION("""COMPUTED_VALUE"""),2024.0)</f>
        <v>2024</v>
      </c>
      <c r="H858" s="2" t="str">
        <f t="shared" si="2"/>
        <v>2024/9/13</v>
      </c>
      <c r="I858" s="2" t="s">
        <v>1576</v>
      </c>
      <c r="J858" s="2" t="str">
        <f t="shared" si="3"/>
        <v>Roti Cranberry</v>
      </c>
      <c r="K858" s="7">
        <f>if(RIGHT(I858,5)="2 pcs",2,Data!I858)</f>
        <v>1</v>
      </c>
      <c r="L858" s="2" t="str">
        <f t="shared" si="4"/>
        <v>Friday</v>
      </c>
      <c r="M858" s="2" t="str">
        <f t="shared" si="5"/>
        <v>13</v>
      </c>
      <c r="N858" s="2">
        <f>VLOOKUP(L858,'Data Info'!$A$1:$B$8,2,0)</f>
        <v>5</v>
      </c>
      <c r="O858" s="2" t="str">
        <f>VLOOKUP(L858,'Data Info'!$A$1:$C$8,3,0)</f>
        <v>Weekday</v>
      </c>
    </row>
    <row r="859">
      <c r="A859" s="4">
        <v>45548.71527777778</v>
      </c>
      <c r="B859" s="9">
        <f>IFERROR(__xludf.DUMMYFUNCTION("SPLIT(A859,"" "")"),45548.0)</f>
        <v>45548</v>
      </c>
      <c r="C859" s="10">
        <f>IFERROR(__xludf.DUMMYFUNCTION("""COMPUTED_VALUE"""),0.7152777777777778)</f>
        <v>0.7152777778</v>
      </c>
      <c r="D859" s="2">
        <f t="shared" si="1"/>
        <v>17</v>
      </c>
      <c r="E859" s="2">
        <f>IFERROR(__xludf.DUMMYFUNCTION("SPLIT(B859,""/"")"),13.0)</f>
        <v>13</v>
      </c>
      <c r="F859" s="2">
        <f>IFERROR(__xludf.DUMMYFUNCTION("""COMPUTED_VALUE"""),9.0)</f>
        <v>9</v>
      </c>
      <c r="G859" s="2">
        <f>IFERROR(__xludf.DUMMYFUNCTION("""COMPUTED_VALUE"""),2024.0)</f>
        <v>2024</v>
      </c>
      <c r="H859" s="2" t="str">
        <f t="shared" si="2"/>
        <v>2024/9/13</v>
      </c>
      <c r="I859" s="2" t="s">
        <v>1588</v>
      </c>
      <c r="J859" s="2" t="str">
        <f t="shared" si="3"/>
        <v>Es Kopi Susu</v>
      </c>
      <c r="K859" s="7">
        <f>if(RIGHT(I859,5)="2 pcs",2,Data!I859)</f>
        <v>1</v>
      </c>
      <c r="L859" s="2" t="str">
        <f t="shared" si="4"/>
        <v>Friday</v>
      </c>
      <c r="M859" s="2" t="str">
        <f t="shared" si="5"/>
        <v>13</v>
      </c>
      <c r="N859" s="2">
        <f>VLOOKUP(L859,'Data Info'!$A$1:$B$8,2,0)</f>
        <v>5</v>
      </c>
      <c r="O859" s="2" t="str">
        <f>VLOOKUP(L859,'Data Info'!$A$1:$C$8,3,0)</f>
        <v>Weekday</v>
      </c>
    </row>
    <row r="860">
      <c r="A860" s="4">
        <v>45548.71527777778</v>
      </c>
      <c r="B860" s="9">
        <f>IFERROR(__xludf.DUMMYFUNCTION("SPLIT(A860,"" "")"),45548.0)</f>
        <v>45548</v>
      </c>
      <c r="C860" s="10">
        <f>IFERROR(__xludf.DUMMYFUNCTION("""COMPUTED_VALUE"""),0.7152777777777778)</f>
        <v>0.7152777778</v>
      </c>
      <c r="D860" s="2">
        <f t="shared" si="1"/>
        <v>17</v>
      </c>
      <c r="E860" s="2">
        <f>IFERROR(__xludf.DUMMYFUNCTION("SPLIT(B860,""/"")"),13.0)</f>
        <v>13</v>
      </c>
      <c r="F860" s="2">
        <f>IFERROR(__xludf.DUMMYFUNCTION("""COMPUTED_VALUE"""),9.0)</f>
        <v>9</v>
      </c>
      <c r="G860" s="2">
        <f>IFERROR(__xludf.DUMMYFUNCTION("""COMPUTED_VALUE"""),2024.0)</f>
        <v>2024</v>
      </c>
      <c r="H860" s="2" t="str">
        <f t="shared" si="2"/>
        <v>2024/9/13</v>
      </c>
      <c r="I860" s="2" t="s">
        <v>1590</v>
      </c>
      <c r="J860" s="2" t="str">
        <f t="shared" si="3"/>
        <v>Lemon Tea Panas</v>
      </c>
      <c r="K860" s="7">
        <f>if(RIGHT(I860,5)="2 pcs",2,Data!I860)</f>
        <v>1</v>
      </c>
      <c r="L860" s="2" t="str">
        <f t="shared" si="4"/>
        <v>Friday</v>
      </c>
      <c r="M860" s="2" t="str">
        <f t="shared" si="5"/>
        <v>13</v>
      </c>
      <c r="N860" s="2">
        <f>VLOOKUP(L860,'Data Info'!$A$1:$B$8,2,0)</f>
        <v>5</v>
      </c>
      <c r="O860" s="2" t="str">
        <f>VLOOKUP(L860,'Data Info'!$A$1:$C$8,3,0)</f>
        <v>Weekday</v>
      </c>
    </row>
    <row r="861">
      <c r="A861" s="4">
        <v>45548.70416666667</v>
      </c>
      <c r="B861" s="9">
        <f>IFERROR(__xludf.DUMMYFUNCTION("SPLIT(A861,"" "")"),45548.0)</f>
        <v>45548</v>
      </c>
      <c r="C861" s="10">
        <f>IFERROR(__xludf.DUMMYFUNCTION("""COMPUTED_VALUE"""),0.7041666666666667)</f>
        <v>0.7041666667</v>
      </c>
      <c r="D861" s="2">
        <f t="shared" si="1"/>
        <v>16</v>
      </c>
      <c r="E861" s="2">
        <f>IFERROR(__xludf.DUMMYFUNCTION("SPLIT(B861,""/"")"),13.0)</f>
        <v>13</v>
      </c>
      <c r="F861" s="2">
        <f>IFERROR(__xludf.DUMMYFUNCTION("""COMPUTED_VALUE"""),9.0)</f>
        <v>9</v>
      </c>
      <c r="G861" s="2">
        <f>IFERROR(__xludf.DUMMYFUNCTION("""COMPUTED_VALUE"""),2024.0)</f>
        <v>2024</v>
      </c>
      <c r="H861" s="2" t="str">
        <f t="shared" si="2"/>
        <v>2024/9/13</v>
      </c>
      <c r="I861" s="2" t="s">
        <v>1576</v>
      </c>
      <c r="J861" s="2" t="str">
        <f t="shared" si="3"/>
        <v>Roti Cranberry</v>
      </c>
      <c r="K861" s="7">
        <f>if(RIGHT(I861,5)="2 pcs",2,Data!I861)</f>
        <v>1</v>
      </c>
      <c r="L861" s="2" t="str">
        <f t="shared" si="4"/>
        <v>Friday</v>
      </c>
      <c r="M861" s="2" t="str">
        <f t="shared" si="5"/>
        <v>13</v>
      </c>
      <c r="N861" s="2">
        <f>VLOOKUP(L861,'Data Info'!$A$1:$B$8,2,0)</f>
        <v>5</v>
      </c>
      <c r="O861" s="2" t="str">
        <f>VLOOKUP(L861,'Data Info'!$A$1:$C$8,3,0)</f>
        <v>Weekday</v>
      </c>
    </row>
    <row r="862">
      <c r="A862" s="4">
        <v>45548.67638888889</v>
      </c>
      <c r="B862" s="9">
        <f>IFERROR(__xludf.DUMMYFUNCTION("SPLIT(A862,"" "")"),45548.0)</f>
        <v>45548</v>
      </c>
      <c r="C862" s="10">
        <f>IFERROR(__xludf.DUMMYFUNCTION("""COMPUTED_VALUE"""),0.6763888888888889)</f>
        <v>0.6763888889</v>
      </c>
      <c r="D862" s="2">
        <f t="shared" si="1"/>
        <v>16</v>
      </c>
      <c r="E862" s="2">
        <f>IFERROR(__xludf.DUMMYFUNCTION("SPLIT(B862,""/"")"),13.0)</f>
        <v>13</v>
      </c>
      <c r="F862" s="2">
        <f>IFERROR(__xludf.DUMMYFUNCTION("""COMPUTED_VALUE"""),9.0)</f>
        <v>9</v>
      </c>
      <c r="G862" s="2">
        <f>IFERROR(__xludf.DUMMYFUNCTION("""COMPUTED_VALUE"""),2024.0)</f>
        <v>2024</v>
      </c>
      <c r="H862" s="2" t="str">
        <f t="shared" si="2"/>
        <v>2024/9/13</v>
      </c>
      <c r="I862" s="2" t="s">
        <v>1576</v>
      </c>
      <c r="J862" s="2" t="str">
        <f t="shared" si="3"/>
        <v>Roti Cranberry</v>
      </c>
      <c r="K862" s="7">
        <f>if(RIGHT(I862,5)="2 pcs",2,Data!I862)</f>
        <v>1</v>
      </c>
      <c r="L862" s="2" t="str">
        <f t="shared" si="4"/>
        <v>Friday</v>
      </c>
      <c r="M862" s="2" t="str">
        <f t="shared" si="5"/>
        <v>13</v>
      </c>
      <c r="N862" s="2">
        <f>VLOOKUP(L862,'Data Info'!$A$1:$B$8,2,0)</f>
        <v>5</v>
      </c>
      <c r="O862" s="2" t="str">
        <f>VLOOKUP(L862,'Data Info'!$A$1:$C$8,3,0)</f>
        <v>Weekday</v>
      </c>
    </row>
    <row r="863">
      <c r="A863" s="4">
        <v>45548.67638888889</v>
      </c>
      <c r="B863" s="9">
        <f>IFERROR(__xludf.DUMMYFUNCTION("SPLIT(A863,"" "")"),45548.0)</f>
        <v>45548</v>
      </c>
      <c r="C863" s="10">
        <f>IFERROR(__xludf.DUMMYFUNCTION("""COMPUTED_VALUE"""),0.6763888888888889)</f>
        <v>0.6763888889</v>
      </c>
      <c r="D863" s="2">
        <f t="shared" si="1"/>
        <v>16</v>
      </c>
      <c r="E863" s="2">
        <f>IFERROR(__xludf.DUMMYFUNCTION("SPLIT(B863,""/"")"),13.0)</f>
        <v>13</v>
      </c>
      <c r="F863" s="2">
        <f>IFERROR(__xludf.DUMMYFUNCTION("""COMPUTED_VALUE"""),9.0)</f>
        <v>9</v>
      </c>
      <c r="G863" s="2">
        <f>IFERROR(__xludf.DUMMYFUNCTION("""COMPUTED_VALUE"""),2024.0)</f>
        <v>2024</v>
      </c>
      <c r="H863" s="2" t="str">
        <f t="shared" si="2"/>
        <v>2024/9/13</v>
      </c>
      <c r="I863" s="2" t="s">
        <v>1595</v>
      </c>
      <c r="J863" s="2" t="str">
        <f t="shared" si="3"/>
        <v>Roti Gandum Cokelat</v>
      </c>
      <c r="K863" s="7">
        <f>if(RIGHT(I863,5)="2 pcs",2,Data!I863)</f>
        <v>1</v>
      </c>
      <c r="L863" s="2" t="str">
        <f t="shared" si="4"/>
        <v>Friday</v>
      </c>
      <c r="M863" s="2" t="str">
        <f t="shared" si="5"/>
        <v>13</v>
      </c>
      <c r="N863" s="2">
        <f>VLOOKUP(L863,'Data Info'!$A$1:$B$8,2,0)</f>
        <v>5</v>
      </c>
      <c r="O863" s="2" t="str">
        <f>VLOOKUP(L863,'Data Info'!$A$1:$C$8,3,0)</f>
        <v>Weekday</v>
      </c>
    </row>
    <row r="864">
      <c r="A864" s="4">
        <v>45548.67638888889</v>
      </c>
      <c r="B864" s="9">
        <f>IFERROR(__xludf.DUMMYFUNCTION("SPLIT(A864,"" "")"),45548.0)</f>
        <v>45548</v>
      </c>
      <c r="C864" s="10">
        <f>IFERROR(__xludf.DUMMYFUNCTION("""COMPUTED_VALUE"""),0.6763888888888889)</f>
        <v>0.6763888889</v>
      </c>
      <c r="D864" s="2">
        <f t="shared" si="1"/>
        <v>16</v>
      </c>
      <c r="E864" s="2">
        <f>IFERROR(__xludf.DUMMYFUNCTION("SPLIT(B864,""/"")"),13.0)</f>
        <v>13</v>
      </c>
      <c r="F864" s="2">
        <f>IFERROR(__xludf.DUMMYFUNCTION("""COMPUTED_VALUE"""),9.0)</f>
        <v>9</v>
      </c>
      <c r="G864" s="2">
        <f>IFERROR(__xludf.DUMMYFUNCTION("""COMPUTED_VALUE"""),2024.0)</f>
        <v>2024</v>
      </c>
      <c r="H864" s="2" t="str">
        <f t="shared" si="2"/>
        <v>2024/9/13</v>
      </c>
      <c r="I864" s="2" t="s">
        <v>1612</v>
      </c>
      <c r="J864" s="2" t="str">
        <f t="shared" si="3"/>
        <v>Nasi telor</v>
      </c>
      <c r="K864" s="7">
        <f>if(RIGHT(I864,5)="2 pcs",2,Data!I864)</f>
        <v>1</v>
      </c>
      <c r="L864" s="2" t="str">
        <f t="shared" si="4"/>
        <v>Friday</v>
      </c>
      <c r="M864" s="2" t="str">
        <f t="shared" si="5"/>
        <v>13</v>
      </c>
      <c r="N864" s="2">
        <f>VLOOKUP(L864,'Data Info'!$A$1:$B$8,2,0)</f>
        <v>5</v>
      </c>
      <c r="O864" s="2" t="str">
        <f>VLOOKUP(L864,'Data Info'!$A$1:$C$8,3,0)</f>
        <v>Weekday</v>
      </c>
    </row>
    <row r="865">
      <c r="A865" s="4">
        <v>45548.67638888889</v>
      </c>
      <c r="B865" s="9">
        <f>IFERROR(__xludf.DUMMYFUNCTION("SPLIT(A865,"" "")"),45548.0)</f>
        <v>45548</v>
      </c>
      <c r="C865" s="10">
        <f>IFERROR(__xludf.DUMMYFUNCTION("""COMPUTED_VALUE"""),0.6763888888888889)</f>
        <v>0.6763888889</v>
      </c>
      <c r="D865" s="2">
        <f t="shared" si="1"/>
        <v>16</v>
      </c>
      <c r="E865" s="2">
        <f>IFERROR(__xludf.DUMMYFUNCTION("SPLIT(B865,""/"")"),13.0)</f>
        <v>13</v>
      </c>
      <c r="F865" s="2">
        <f>IFERROR(__xludf.DUMMYFUNCTION("""COMPUTED_VALUE"""),9.0)</f>
        <v>9</v>
      </c>
      <c r="G865" s="2">
        <f>IFERROR(__xludf.DUMMYFUNCTION("""COMPUTED_VALUE"""),2024.0)</f>
        <v>2024</v>
      </c>
      <c r="H865" s="2" t="str">
        <f t="shared" si="2"/>
        <v>2024/9/13</v>
      </c>
      <c r="I865" s="2" t="s">
        <v>1581</v>
      </c>
      <c r="J865" s="2" t="str">
        <f t="shared" si="3"/>
        <v>Chicken Claypot Rice</v>
      </c>
      <c r="K865" s="7">
        <f>if(RIGHT(I865,5)="2 pcs",2,Data!I865)</f>
        <v>1</v>
      </c>
      <c r="L865" s="2" t="str">
        <f t="shared" si="4"/>
        <v>Friday</v>
      </c>
      <c r="M865" s="2" t="str">
        <f t="shared" si="5"/>
        <v>13</v>
      </c>
      <c r="N865" s="2">
        <f>VLOOKUP(L865,'Data Info'!$A$1:$B$8,2,0)</f>
        <v>5</v>
      </c>
      <c r="O865" s="2" t="str">
        <f>VLOOKUP(L865,'Data Info'!$A$1:$C$8,3,0)</f>
        <v>Weekday</v>
      </c>
    </row>
    <row r="866">
      <c r="A866" s="4">
        <v>45548.67638888889</v>
      </c>
      <c r="B866" s="9">
        <f>IFERROR(__xludf.DUMMYFUNCTION("SPLIT(A866,"" "")"),45548.0)</f>
        <v>45548</v>
      </c>
      <c r="C866" s="10">
        <f>IFERROR(__xludf.DUMMYFUNCTION("""COMPUTED_VALUE"""),0.6763888888888889)</f>
        <v>0.6763888889</v>
      </c>
      <c r="D866" s="2">
        <f t="shared" si="1"/>
        <v>16</v>
      </c>
      <c r="E866" s="2">
        <f>IFERROR(__xludf.DUMMYFUNCTION("SPLIT(B866,""/"")"),13.0)</f>
        <v>13</v>
      </c>
      <c r="F866" s="2">
        <f>IFERROR(__xludf.DUMMYFUNCTION("""COMPUTED_VALUE"""),9.0)</f>
        <v>9</v>
      </c>
      <c r="G866" s="2">
        <f>IFERROR(__xludf.DUMMYFUNCTION("""COMPUTED_VALUE"""),2024.0)</f>
        <v>2024</v>
      </c>
      <c r="H866" s="2" t="str">
        <f t="shared" si="2"/>
        <v>2024/9/13</v>
      </c>
      <c r="I866" s="2" t="s">
        <v>1609</v>
      </c>
      <c r="J866" s="2" t="str">
        <f t="shared" si="3"/>
        <v>Tempe Mendoan</v>
      </c>
      <c r="K866" s="7">
        <f>if(RIGHT(I866,5)="2 pcs",2,Data!I866)</f>
        <v>1</v>
      </c>
      <c r="L866" s="2" t="str">
        <f t="shared" si="4"/>
        <v>Friday</v>
      </c>
      <c r="M866" s="2" t="str">
        <f t="shared" si="5"/>
        <v>13</v>
      </c>
      <c r="N866" s="2">
        <f>VLOOKUP(L866,'Data Info'!$A$1:$B$8,2,0)</f>
        <v>5</v>
      </c>
      <c r="O866" s="2" t="str">
        <f>VLOOKUP(L866,'Data Info'!$A$1:$C$8,3,0)</f>
        <v>Weekday</v>
      </c>
    </row>
    <row r="867">
      <c r="A867" s="4">
        <v>45548.65625</v>
      </c>
      <c r="B867" s="9">
        <f>IFERROR(__xludf.DUMMYFUNCTION("SPLIT(A867,"" "")"),45548.0)</f>
        <v>45548</v>
      </c>
      <c r="C867" s="10">
        <f>IFERROR(__xludf.DUMMYFUNCTION("""COMPUTED_VALUE"""),0.65625)</f>
        <v>0.65625</v>
      </c>
      <c r="D867" s="2">
        <f t="shared" si="1"/>
        <v>15</v>
      </c>
      <c r="E867" s="2">
        <f>IFERROR(__xludf.DUMMYFUNCTION("SPLIT(B867,""/"")"),13.0)</f>
        <v>13</v>
      </c>
      <c r="F867" s="2">
        <f>IFERROR(__xludf.DUMMYFUNCTION("""COMPUTED_VALUE"""),9.0)</f>
        <v>9</v>
      </c>
      <c r="G867" s="2">
        <f>IFERROR(__xludf.DUMMYFUNCTION("""COMPUTED_VALUE"""),2024.0)</f>
        <v>2024</v>
      </c>
      <c r="H867" s="2" t="str">
        <f t="shared" si="2"/>
        <v>2024/9/13</v>
      </c>
      <c r="I867" s="2" t="s">
        <v>1566</v>
      </c>
      <c r="J867" s="2" t="str">
        <f t="shared" si="3"/>
        <v>Roti Bawang Saus Keju</v>
      </c>
      <c r="K867" s="7">
        <f>if(RIGHT(I867,5)="2 pcs",2,Data!I867)</f>
        <v>1</v>
      </c>
      <c r="L867" s="2" t="str">
        <f t="shared" si="4"/>
        <v>Friday</v>
      </c>
      <c r="M867" s="2" t="str">
        <f t="shared" si="5"/>
        <v>13</v>
      </c>
      <c r="N867" s="2">
        <f>VLOOKUP(L867,'Data Info'!$A$1:$B$8,2,0)</f>
        <v>5</v>
      </c>
      <c r="O867" s="2" t="str">
        <f>VLOOKUP(L867,'Data Info'!$A$1:$C$8,3,0)</f>
        <v>Weekday</v>
      </c>
    </row>
    <row r="868">
      <c r="A868" s="4">
        <v>45548.65625</v>
      </c>
      <c r="B868" s="9">
        <f>IFERROR(__xludf.DUMMYFUNCTION("SPLIT(A868,"" "")"),45548.0)</f>
        <v>45548</v>
      </c>
      <c r="C868" s="10">
        <f>IFERROR(__xludf.DUMMYFUNCTION("""COMPUTED_VALUE"""),0.65625)</f>
        <v>0.65625</v>
      </c>
      <c r="D868" s="2">
        <f t="shared" si="1"/>
        <v>15</v>
      </c>
      <c r="E868" s="2">
        <f>IFERROR(__xludf.DUMMYFUNCTION("SPLIT(B868,""/"")"),13.0)</f>
        <v>13</v>
      </c>
      <c r="F868" s="2">
        <f>IFERROR(__xludf.DUMMYFUNCTION("""COMPUTED_VALUE"""),9.0)</f>
        <v>9</v>
      </c>
      <c r="G868" s="2">
        <f>IFERROR(__xludf.DUMMYFUNCTION("""COMPUTED_VALUE"""),2024.0)</f>
        <v>2024</v>
      </c>
      <c r="H868" s="2" t="str">
        <f t="shared" si="2"/>
        <v>2024/9/13</v>
      </c>
      <c r="I868" s="2" t="s">
        <v>1582</v>
      </c>
      <c r="J868" s="2" t="str">
        <f t="shared" si="3"/>
        <v>Teh Tawar Dingin</v>
      </c>
      <c r="K868" s="7">
        <f>if(RIGHT(I868,5)="2 pcs",2,Data!I868)</f>
        <v>1</v>
      </c>
      <c r="L868" s="2" t="str">
        <f t="shared" si="4"/>
        <v>Friday</v>
      </c>
      <c r="M868" s="2" t="str">
        <f t="shared" si="5"/>
        <v>13</v>
      </c>
      <c r="N868" s="2">
        <f>VLOOKUP(L868,'Data Info'!$A$1:$B$8,2,0)</f>
        <v>5</v>
      </c>
      <c r="O868" s="2" t="str">
        <f>VLOOKUP(L868,'Data Info'!$A$1:$C$8,3,0)</f>
        <v>Weekday</v>
      </c>
    </row>
    <row r="869">
      <c r="A869" s="4">
        <v>45548.65625</v>
      </c>
      <c r="B869" s="9">
        <f>IFERROR(__xludf.DUMMYFUNCTION("SPLIT(A869,"" "")"),45548.0)</f>
        <v>45548</v>
      </c>
      <c r="C869" s="10">
        <f>IFERROR(__xludf.DUMMYFUNCTION("""COMPUTED_VALUE"""),0.65625)</f>
        <v>0.65625</v>
      </c>
      <c r="D869" s="2">
        <f t="shared" si="1"/>
        <v>15</v>
      </c>
      <c r="E869" s="2">
        <f>IFERROR(__xludf.DUMMYFUNCTION("SPLIT(B869,""/"")"),13.0)</f>
        <v>13</v>
      </c>
      <c r="F869" s="2">
        <f>IFERROR(__xludf.DUMMYFUNCTION("""COMPUTED_VALUE"""),9.0)</f>
        <v>9</v>
      </c>
      <c r="G869" s="2">
        <f>IFERROR(__xludf.DUMMYFUNCTION("""COMPUTED_VALUE"""),2024.0)</f>
        <v>2024</v>
      </c>
      <c r="H869" s="2" t="str">
        <f t="shared" si="2"/>
        <v>2024/9/13</v>
      </c>
      <c r="I869" s="2" t="s">
        <v>1584</v>
      </c>
      <c r="J869" s="2" t="str">
        <f t="shared" si="3"/>
        <v>Korean Mango Fresh Milk</v>
      </c>
      <c r="K869" s="7">
        <f>if(RIGHT(I869,5)="2 pcs",2,Data!I869)</f>
        <v>1</v>
      </c>
      <c r="L869" s="2" t="str">
        <f t="shared" si="4"/>
        <v>Friday</v>
      </c>
      <c r="M869" s="2" t="str">
        <f t="shared" si="5"/>
        <v>13</v>
      </c>
      <c r="N869" s="2">
        <f>VLOOKUP(L869,'Data Info'!$A$1:$B$8,2,0)</f>
        <v>5</v>
      </c>
      <c r="O869" s="2" t="str">
        <f>VLOOKUP(L869,'Data Info'!$A$1:$C$8,3,0)</f>
        <v>Weekday</v>
      </c>
    </row>
    <row r="870">
      <c r="A870" s="4">
        <v>45548.65625</v>
      </c>
      <c r="B870" s="9">
        <f>IFERROR(__xludf.DUMMYFUNCTION("SPLIT(A870,"" "")"),45548.0)</f>
        <v>45548</v>
      </c>
      <c r="C870" s="10">
        <f>IFERROR(__xludf.DUMMYFUNCTION("""COMPUTED_VALUE"""),0.65625)</f>
        <v>0.65625</v>
      </c>
      <c r="D870" s="2">
        <f t="shared" si="1"/>
        <v>15</v>
      </c>
      <c r="E870" s="2">
        <f>IFERROR(__xludf.DUMMYFUNCTION("SPLIT(B870,""/"")"),13.0)</f>
        <v>13</v>
      </c>
      <c r="F870" s="2">
        <f>IFERROR(__xludf.DUMMYFUNCTION("""COMPUTED_VALUE"""),9.0)</f>
        <v>9</v>
      </c>
      <c r="G870" s="2">
        <f>IFERROR(__xludf.DUMMYFUNCTION("""COMPUTED_VALUE"""),2024.0)</f>
        <v>2024</v>
      </c>
      <c r="H870" s="2" t="str">
        <f t="shared" si="2"/>
        <v>2024/9/13</v>
      </c>
      <c r="I870" s="2" t="s">
        <v>1609</v>
      </c>
      <c r="J870" s="2" t="str">
        <f t="shared" si="3"/>
        <v>Tempe Mendoan</v>
      </c>
      <c r="K870" s="7">
        <f>if(RIGHT(I870,5)="2 pcs",2,Data!I870)</f>
        <v>1</v>
      </c>
      <c r="L870" s="2" t="str">
        <f t="shared" si="4"/>
        <v>Friday</v>
      </c>
      <c r="M870" s="2" t="str">
        <f t="shared" si="5"/>
        <v>13</v>
      </c>
      <c r="N870" s="2">
        <f>VLOOKUP(L870,'Data Info'!$A$1:$B$8,2,0)</f>
        <v>5</v>
      </c>
      <c r="O870" s="2" t="str">
        <f>VLOOKUP(L870,'Data Info'!$A$1:$C$8,3,0)</f>
        <v>Weekday</v>
      </c>
    </row>
    <row r="871">
      <c r="A871" s="4">
        <v>45548.615277777775</v>
      </c>
      <c r="B871" s="9">
        <f>IFERROR(__xludf.DUMMYFUNCTION("SPLIT(A871,"" "")"),45548.0)</f>
        <v>45548</v>
      </c>
      <c r="C871" s="10">
        <f>IFERROR(__xludf.DUMMYFUNCTION("""COMPUTED_VALUE"""),0.6152777777777778)</f>
        <v>0.6152777778</v>
      </c>
      <c r="D871" s="2">
        <f t="shared" si="1"/>
        <v>14</v>
      </c>
      <c r="E871" s="2">
        <f>IFERROR(__xludf.DUMMYFUNCTION("SPLIT(B871,""/"")"),13.0)</f>
        <v>13</v>
      </c>
      <c r="F871" s="2">
        <f>IFERROR(__xludf.DUMMYFUNCTION("""COMPUTED_VALUE"""),9.0)</f>
        <v>9</v>
      </c>
      <c r="G871" s="2">
        <f>IFERROR(__xludf.DUMMYFUNCTION("""COMPUTED_VALUE"""),2024.0)</f>
        <v>2024</v>
      </c>
      <c r="H871" s="2" t="str">
        <f t="shared" si="2"/>
        <v>2024/9/13</v>
      </c>
      <c r="I871" s="2" t="s">
        <v>1595</v>
      </c>
      <c r="J871" s="2" t="str">
        <f t="shared" si="3"/>
        <v>Roti Gandum Cokelat</v>
      </c>
      <c r="K871" s="7">
        <f>if(RIGHT(I871,5)="2 pcs",2,Data!I871)</f>
        <v>1</v>
      </c>
      <c r="L871" s="2" t="str">
        <f t="shared" si="4"/>
        <v>Friday</v>
      </c>
      <c r="M871" s="2" t="str">
        <f t="shared" si="5"/>
        <v>13</v>
      </c>
      <c r="N871" s="2">
        <f>VLOOKUP(L871,'Data Info'!$A$1:$B$8,2,0)</f>
        <v>5</v>
      </c>
      <c r="O871" s="2" t="str">
        <f>VLOOKUP(L871,'Data Info'!$A$1:$C$8,3,0)</f>
        <v>Weekday</v>
      </c>
    </row>
    <row r="872">
      <c r="A872" s="4">
        <v>45548.615277777775</v>
      </c>
      <c r="B872" s="9">
        <f>IFERROR(__xludf.DUMMYFUNCTION("SPLIT(A872,"" "")"),45548.0)</f>
        <v>45548</v>
      </c>
      <c r="C872" s="10">
        <f>IFERROR(__xludf.DUMMYFUNCTION("""COMPUTED_VALUE"""),0.6152777777777778)</f>
        <v>0.6152777778</v>
      </c>
      <c r="D872" s="2">
        <f t="shared" si="1"/>
        <v>14</v>
      </c>
      <c r="E872" s="2">
        <f>IFERROR(__xludf.DUMMYFUNCTION("SPLIT(B872,""/"")"),13.0)</f>
        <v>13</v>
      </c>
      <c r="F872" s="2">
        <f>IFERROR(__xludf.DUMMYFUNCTION("""COMPUTED_VALUE"""),9.0)</f>
        <v>9</v>
      </c>
      <c r="G872" s="2">
        <f>IFERROR(__xludf.DUMMYFUNCTION("""COMPUTED_VALUE"""),2024.0)</f>
        <v>2024</v>
      </c>
      <c r="H872" s="2" t="str">
        <f t="shared" si="2"/>
        <v>2024/9/13</v>
      </c>
      <c r="I872" s="2" t="s">
        <v>1576</v>
      </c>
      <c r="J872" s="2" t="str">
        <f t="shared" si="3"/>
        <v>Roti Cranberry</v>
      </c>
      <c r="K872" s="7">
        <f>if(RIGHT(I872,5)="2 pcs",2,Data!I872)</f>
        <v>1</v>
      </c>
      <c r="L872" s="2" t="str">
        <f t="shared" si="4"/>
        <v>Friday</v>
      </c>
      <c r="M872" s="2" t="str">
        <f t="shared" si="5"/>
        <v>13</v>
      </c>
      <c r="N872" s="2">
        <f>VLOOKUP(L872,'Data Info'!$A$1:$B$8,2,0)</f>
        <v>5</v>
      </c>
      <c r="O872" s="2" t="str">
        <f>VLOOKUP(L872,'Data Info'!$A$1:$C$8,3,0)</f>
        <v>Weekday</v>
      </c>
    </row>
    <row r="873">
      <c r="A873" s="4">
        <v>45548.59027777778</v>
      </c>
      <c r="B873" s="9">
        <f>IFERROR(__xludf.DUMMYFUNCTION("SPLIT(A873,"" "")"),45548.0)</f>
        <v>45548</v>
      </c>
      <c r="C873" s="10">
        <f>IFERROR(__xludf.DUMMYFUNCTION("""COMPUTED_VALUE"""),0.5902777777777778)</f>
        <v>0.5902777778</v>
      </c>
      <c r="D873" s="2">
        <f t="shared" si="1"/>
        <v>14</v>
      </c>
      <c r="E873" s="2">
        <f>IFERROR(__xludf.DUMMYFUNCTION("SPLIT(B873,""/"")"),13.0)</f>
        <v>13</v>
      </c>
      <c r="F873" s="2">
        <f>IFERROR(__xludf.DUMMYFUNCTION("""COMPUTED_VALUE"""),9.0)</f>
        <v>9</v>
      </c>
      <c r="G873" s="2">
        <f>IFERROR(__xludf.DUMMYFUNCTION("""COMPUTED_VALUE"""),2024.0)</f>
        <v>2024</v>
      </c>
      <c r="H873" s="2" t="str">
        <f t="shared" si="2"/>
        <v>2024/9/13</v>
      </c>
      <c r="I873" s="2" t="s">
        <v>1588</v>
      </c>
      <c r="J873" s="2" t="str">
        <f t="shared" si="3"/>
        <v>Es Kopi Susu</v>
      </c>
      <c r="K873" s="7">
        <f>if(RIGHT(I873,5)="2 pcs",2,Data!I873)</f>
        <v>1</v>
      </c>
      <c r="L873" s="2" t="str">
        <f t="shared" si="4"/>
        <v>Friday</v>
      </c>
      <c r="M873" s="2" t="str">
        <f t="shared" si="5"/>
        <v>13</v>
      </c>
      <c r="N873" s="2">
        <f>VLOOKUP(L873,'Data Info'!$A$1:$B$8,2,0)</f>
        <v>5</v>
      </c>
      <c r="O873" s="2" t="str">
        <f>VLOOKUP(L873,'Data Info'!$A$1:$C$8,3,0)</f>
        <v>Weekday</v>
      </c>
    </row>
    <row r="874">
      <c r="A874" s="4">
        <v>45548.59027777778</v>
      </c>
      <c r="B874" s="9">
        <f>IFERROR(__xludf.DUMMYFUNCTION("SPLIT(A874,"" "")"),45548.0)</f>
        <v>45548</v>
      </c>
      <c r="C874" s="10">
        <f>IFERROR(__xludf.DUMMYFUNCTION("""COMPUTED_VALUE"""),0.5902777777777778)</f>
        <v>0.5902777778</v>
      </c>
      <c r="D874" s="2">
        <f t="shared" si="1"/>
        <v>14</v>
      </c>
      <c r="E874" s="2">
        <f>IFERROR(__xludf.DUMMYFUNCTION("SPLIT(B874,""/"")"),13.0)</f>
        <v>13</v>
      </c>
      <c r="F874" s="2">
        <f>IFERROR(__xludf.DUMMYFUNCTION("""COMPUTED_VALUE"""),9.0)</f>
        <v>9</v>
      </c>
      <c r="G874" s="2">
        <f>IFERROR(__xludf.DUMMYFUNCTION("""COMPUTED_VALUE"""),2024.0)</f>
        <v>2024</v>
      </c>
      <c r="H874" s="2" t="str">
        <f t="shared" si="2"/>
        <v>2024/9/13</v>
      </c>
      <c r="I874" s="2" t="s">
        <v>1576</v>
      </c>
      <c r="J874" s="2" t="str">
        <f t="shared" si="3"/>
        <v>Roti Cranberry</v>
      </c>
      <c r="K874" s="7">
        <f>if(RIGHT(I874,5)="2 pcs",2,Data!I874)</f>
        <v>1</v>
      </c>
      <c r="L874" s="2" t="str">
        <f t="shared" si="4"/>
        <v>Friday</v>
      </c>
      <c r="M874" s="2" t="str">
        <f t="shared" si="5"/>
        <v>13</v>
      </c>
      <c r="N874" s="2">
        <f>VLOOKUP(L874,'Data Info'!$A$1:$B$8,2,0)</f>
        <v>5</v>
      </c>
      <c r="O874" s="2" t="str">
        <f>VLOOKUP(L874,'Data Info'!$A$1:$C$8,3,0)</f>
        <v>Weekday</v>
      </c>
    </row>
    <row r="875">
      <c r="A875" s="4">
        <v>45548.58819444444</v>
      </c>
      <c r="B875" s="9">
        <f>IFERROR(__xludf.DUMMYFUNCTION("SPLIT(A875,"" "")"),45548.0)</f>
        <v>45548</v>
      </c>
      <c r="C875" s="10">
        <f>IFERROR(__xludf.DUMMYFUNCTION("""COMPUTED_VALUE"""),0.5881944444444445)</f>
        <v>0.5881944444</v>
      </c>
      <c r="D875" s="2">
        <f t="shared" si="1"/>
        <v>14</v>
      </c>
      <c r="E875" s="2">
        <f>IFERROR(__xludf.DUMMYFUNCTION("SPLIT(B875,""/"")"),13.0)</f>
        <v>13</v>
      </c>
      <c r="F875" s="2">
        <f>IFERROR(__xludf.DUMMYFUNCTION("""COMPUTED_VALUE"""),9.0)</f>
        <v>9</v>
      </c>
      <c r="G875" s="2">
        <f>IFERROR(__xludf.DUMMYFUNCTION("""COMPUTED_VALUE"""),2024.0)</f>
        <v>2024</v>
      </c>
      <c r="H875" s="2" t="str">
        <f t="shared" si="2"/>
        <v>2024/9/13</v>
      </c>
      <c r="I875" s="2" t="s">
        <v>1630</v>
      </c>
      <c r="J875" s="2" t="str">
        <f t="shared" si="3"/>
        <v>(Voucher Gratis) Es Kopi Susu</v>
      </c>
      <c r="K875" s="7">
        <f>if(RIGHT(I875,5)="2 pcs",2,Data!I875)</f>
        <v>3</v>
      </c>
      <c r="L875" s="2" t="str">
        <f t="shared" si="4"/>
        <v>Friday</v>
      </c>
      <c r="M875" s="2" t="str">
        <f t="shared" si="5"/>
        <v>13</v>
      </c>
      <c r="N875" s="2">
        <f>VLOOKUP(L875,'Data Info'!$A$1:$B$8,2,0)</f>
        <v>5</v>
      </c>
      <c r="O875" s="2" t="str">
        <f>VLOOKUP(L875,'Data Info'!$A$1:$C$8,3,0)</f>
        <v>Weekday</v>
      </c>
    </row>
    <row r="876">
      <c r="A876" s="4">
        <v>45548.58819444444</v>
      </c>
      <c r="B876" s="9">
        <f>IFERROR(__xludf.DUMMYFUNCTION("SPLIT(A876,"" "")"),45548.0)</f>
        <v>45548</v>
      </c>
      <c r="C876" s="10">
        <f>IFERROR(__xludf.DUMMYFUNCTION("""COMPUTED_VALUE"""),0.5881944444444445)</f>
        <v>0.5881944444</v>
      </c>
      <c r="D876" s="2">
        <f t="shared" si="1"/>
        <v>14</v>
      </c>
      <c r="E876" s="2">
        <f>IFERROR(__xludf.DUMMYFUNCTION("SPLIT(B876,""/"")"),13.0)</f>
        <v>13</v>
      </c>
      <c r="F876" s="2">
        <f>IFERROR(__xludf.DUMMYFUNCTION("""COMPUTED_VALUE"""),9.0)</f>
        <v>9</v>
      </c>
      <c r="G876" s="2">
        <f>IFERROR(__xludf.DUMMYFUNCTION("""COMPUTED_VALUE"""),2024.0)</f>
        <v>2024</v>
      </c>
      <c r="H876" s="2" t="str">
        <f t="shared" si="2"/>
        <v>2024/9/13</v>
      </c>
      <c r="I876" s="2" t="s">
        <v>1631</v>
      </c>
      <c r="J876" s="2" t="str">
        <f t="shared" si="3"/>
        <v>(Voucher Gratis) Roti Gandum Coklat</v>
      </c>
      <c r="K876" s="7">
        <f>if(RIGHT(I876,5)="2 pcs",2,Data!I876)</f>
        <v>2</v>
      </c>
      <c r="L876" s="2" t="str">
        <f t="shared" si="4"/>
        <v>Friday</v>
      </c>
      <c r="M876" s="2" t="str">
        <f t="shared" si="5"/>
        <v>13</v>
      </c>
      <c r="N876" s="2">
        <f>VLOOKUP(L876,'Data Info'!$A$1:$B$8,2,0)</f>
        <v>5</v>
      </c>
      <c r="O876" s="2" t="str">
        <f>VLOOKUP(L876,'Data Info'!$A$1:$C$8,3,0)</f>
        <v>Weekday</v>
      </c>
    </row>
    <row r="877">
      <c r="A877" s="4">
        <v>45548.58819444444</v>
      </c>
      <c r="B877" s="9">
        <f>IFERROR(__xludf.DUMMYFUNCTION("SPLIT(A877,"" "")"),45548.0)</f>
        <v>45548</v>
      </c>
      <c r="C877" s="10">
        <f>IFERROR(__xludf.DUMMYFUNCTION("""COMPUTED_VALUE"""),0.5881944444444445)</f>
        <v>0.5881944444</v>
      </c>
      <c r="D877" s="2">
        <f t="shared" si="1"/>
        <v>14</v>
      </c>
      <c r="E877" s="2">
        <f>IFERROR(__xludf.DUMMYFUNCTION("SPLIT(B877,""/"")"),13.0)</f>
        <v>13</v>
      </c>
      <c r="F877" s="2">
        <f>IFERROR(__xludf.DUMMYFUNCTION("""COMPUTED_VALUE"""),9.0)</f>
        <v>9</v>
      </c>
      <c r="G877" s="2">
        <f>IFERROR(__xludf.DUMMYFUNCTION("""COMPUTED_VALUE"""),2024.0)</f>
        <v>2024</v>
      </c>
      <c r="H877" s="2" t="str">
        <f t="shared" si="2"/>
        <v>2024/9/13</v>
      </c>
      <c r="I877" s="2" t="s">
        <v>1632</v>
      </c>
      <c r="J877" s="2" t="str">
        <f t="shared" si="3"/>
        <v>(Voucher Gratis) Roti Cranberry Cheese</v>
      </c>
      <c r="K877" s="7">
        <f>if(RIGHT(I877,5)="2 pcs",2,Data!I877)</f>
        <v>1</v>
      </c>
      <c r="L877" s="2" t="str">
        <f t="shared" si="4"/>
        <v>Friday</v>
      </c>
      <c r="M877" s="2" t="str">
        <f t="shared" si="5"/>
        <v>13</v>
      </c>
      <c r="N877" s="2">
        <f>VLOOKUP(L877,'Data Info'!$A$1:$B$8,2,0)</f>
        <v>5</v>
      </c>
      <c r="O877" s="2" t="str">
        <f>VLOOKUP(L877,'Data Info'!$A$1:$C$8,3,0)</f>
        <v>Weekday</v>
      </c>
    </row>
    <row r="878">
      <c r="A878" s="4">
        <v>45548.57638888889</v>
      </c>
      <c r="B878" s="9">
        <f>IFERROR(__xludf.DUMMYFUNCTION("SPLIT(A878,"" "")"),45548.0)</f>
        <v>45548</v>
      </c>
      <c r="C878" s="10">
        <f>IFERROR(__xludf.DUMMYFUNCTION("""COMPUTED_VALUE"""),0.5763888888888888)</f>
        <v>0.5763888889</v>
      </c>
      <c r="D878" s="2">
        <f t="shared" si="1"/>
        <v>13</v>
      </c>
      <c r="E878" s="2">
        <f>IFERROR(__xludf.DUMMYFUNCTION("SPLIT(B878,""/"")"),13.0)</f>
        <v>13</v>
      </c>
      <c r="F878" s="2">
        <f>IFERROR(__xludf.DUMMYFUNCTION("""COMPUTED_VALUE"""),9.0)</f>
        <v>9</v>
      </c>
      <c r="G878" s="2">
        <f>IFERROR(__xludf.DUMMYFUNCTION("""COMPUTED_VALUE"""),2024.0)</f>
        <v>2024</v>
      </c>
      <c r="H878" s="2" t="str">
        <f t="shared" si="2"/>
        <v>2024/9/13</v>
      </c>
      <c r="I878" s="2" t="s">
        <v>1605</v>
      </c>
      <c r="J878" s="2" t="str">
        <f t="shared" si="3"/>
        <v>Kentang Goreng</v>
      </c>
      <c r="K878" s="7">
        <f>if(RIGHT(I878,5)="2 pcs",2,Data!I878)</f>
        <v>1</v>
      </c>
      <c r="L878" s="2" t="str">
        <f t="shared" si="4"/>
        <v>Friday</v>
      </c>
      <c r="M878" s="2" t="str">
        <f t="shared" si="5"/>
        <v>13</v>
      </c>
      <c r="N878" s="2">
        <f>VLOOKUP(L878,'Data Info'!$A$1:$B$8,2,0)</f>
        <v>5</v>
      </c>
      <c r="O878" s="2" t="str">
        <f>VLOOKUP(L878,'Data Info'!$A$1:$C$8,3,0)</f>
        <v>Weekday</v>
      </c>
    </row>
    <row r="879">
      <c r="A879" s="4">
        <v>45548.57638888889</v>
      </c>
      <c r="B879" s="9">
        <f>IFERROR(__xludf.DUMMYFUNCTION("SPLIT(A879,"" "")"),45548.0)</f>
        <v>45548</v>
      </c>
      <c r="C879" s="10">
        <f>IFERROR(__xludf.DUMMYFUNCTION("""COMPUTED_VALUE"""),0.5763888888888888)</f>
        <v>0.5763888889</v>
      </c>
      <c r="D879" s="2">
        <f t="shared" si="1"/>
        <v>13</v>
      </c>
      <c r="E879" s="2">
        <f>IFERROR(__xludf.DUMMYFUNCTION("SPLIT(B879,""/"")"),13.0)</f>
        <v>13</v>
      </c>
      <c r="F879" s="2">
        <f>IFERROR(__xludf.DUMMYFUNCTION("""COMPUTED_VALUE"""),9.0)</f>
        <v>9</v>
      </c>
      <c r="G879" s="2">
        <f>IFERROR(__xludf.DUMMYFUNCTION("""COMPUTED_VALUE"""),2024.0)</f>
        <v>2024</v>
      </c>
      <c r="H879" s="2" t="str">
        <f t="shared" si="2"/>
        <v>2024/9/13</v>
      </c>
      <c r="I879" s="2" t="s">
        <v>1588</v>
      </c>
      <c r="J879" s="2" t="str">
        <f t="shared" si="3"/>
        <v>Es Kopi Susu</v>
      </c>
      <c r="K879" s="7">
        <f>if(RIGHT(I879,5)="2 pcs",2,Data!I879)</f>
        <v>1</v>
      </c>
      <c r="L879" s="2" t="str">
        <f t="shared" si="4"/>
        <v>Friday</v>
      </c>
      <c r="M879" s="2" t="str">
        <f t="shared" si="5"/>
        <v>13</v>
      </c>
      <c r="N879" s="2">
        <f>VLOOKUP(L879,'Data Info'!$A$1:$B$8,2,0)</f>
        <v>5</v>
      </c>
      <c r="O879" s="2" t="str">
        <f>VLOOKUP(L879,'Data Info'!$A$1:$C$8,3,0)</f>
        <v>Weekday</v>
      </c>
    </row>
    <row r="880">
      <c r="A880" s="4">
        <v>45548.57638888889</v>
      </c>
      <c r="B880" s="9">
        <f>IFERROR(__xludf.DUMMYFUNCTION("SPLIT(A880,"" "")"),45548.0)</f>
        <v>45548</v>
      </c>
      <c r="C880" s="10">
        <f>IFERROR(__xludf.DUMMYFUNCTION("""COMPUTED_VALUE"""),0.5763888888888888)</f>
        <v>0.5763888889</v>
      </c>
      <c r="D880" s="2">
        <f t="shared" si="1"/>
        <v>13</v>
      </c>
      <c r="E880" s="2">
        <f>IFERROR(__xludf.DUMMYFUNCTION("SPLIT(B880,""/"")"),13.0)</f>
        <v>13</v>
      </c>
      <c r="F880" s="2">
        <f>IFERROR(__xludf.DUMMYFUNCTION("""COMPUTED_VALUE"""),9.0)</f>
        <v>9</v>
      </c>
      <c r="G880" s="2">
        <f>IFERROR(__xludf.DUMMYFUNCTION("""COMPUTED_VALUE"""),2024.0)</f>
        <v>2024</v>
      </c>
      <c r="H880" s="2" t="str">
        <f t="shared" si="2"/>
        <v>2024/9/13</v>
      </c>
      <c r="I880" s="2" t="s">
        <v>1596</v>
      </c>
      <c r="J880" s="2" t="str">
        <f t="shared" si="3"/>
        <v>Roti Cranberry</v>
      </c>
      <c r="K880" s="7">
        <f>if(RIGHT(I880,5)="2 pcs",2,Data!I880)</f>
        <v>2</v>
      </c>
      <c r="L880" s="2" t="str">
        <f t="shared" si="4"/>
        <v>Friday</v>
      </c>
      <c r="M880" s="2" t="str">
        <f t="shared" si="5"/>
        <v>13</v>
      </c>
      <c r="N880" s="2">
        <f>VLOOKUP(L880,'Data Info'!$A$1:$B$8,2,0)</f>
        <v>5</v>
      </c>
      <c r="O880" s="2" t="str">
        <f>VLOOKUP(L880,'Data Info'!$A$1:$C$8,3,0)</f>
        <v>Weekday</v>
      </c>
    </row>
    <row r="881">
      <c r="A881" s="4">
        <v>45547.87708333333</v>
      </c>
      <c r="B881" s="9">
        <f>IFERROR(__xludf.DUMMYFUNCTION("SPLIT(A881,"" "")"),45547.0)</f>
        <v>45547</v>
      </c>
      <c r="C881" s="10">
        <f>IFERROR(__xludf.DUMMYFUNCTION("""COMPUTED_VALUE"""),0.8770833333333333)</f>
        <v>0.8770833333</v>
      </c>
      <c r="D881" s="2">
        <f t="shared" si="1"/>
        <v>21</v>
      </c>
      <c r="E881" s="2">
        <f>IFERROR(__xludf.DUMMYFUNCTION("SPLIT(B881,""/"")"),12.0)</f>
        <v>12</v>
      </c>
      <c r="F881" s="2">
        <f>IFERROR(__xludf.DUMMYFUNCTION("""COMPUTED_VALUE"""),9.0)</f>
        <v>9</v>
      </c>
      <c r="G881" s="2">
        <f>IFERROR(__xludf.DUMMYFUNCTION("""COMPUTED_VALUE"""),2024.0)</f>
        <v>2024</v>
      </c>
      <c r="H881" s="2" t="str">
        <f t="shared" si="2"/>
        <v>2024/9/12</v>
      </c>
      <c r="I881" s="2" t="s">
        <v>1595</v>
      </c>
      <c r="J881" s="2" t="str">
        <f t="shared" si="3"/>
        <v>Roti Gandum Cokelat</v>
      </c>
      <c r="K881" s="7">
        <f>if(RIGHT(I881,5)="2 pcs",2,Data!I881)</f>
        <v>2</v>
      </c>
      <c r="L881" s="2" t="str">
        <f t="shared" si="4"/>
        <v>Thursday</v>
      </c>
      <c r="M881" s="2" t="str">
        <f t="shared" si="5"/>
        <v>12</v>
      </c>
      <c r="N881" s="2">
        <f>VLOOKUP(L881,'Data Info'!$A$1:$B$8,2,0)</f>
        <v>4</v>
      </c>
      <c r="O881" s="2" t="str">
        <f>VLOOKUP(L881,'Data Info'!$A$1:$C$8,3,0)</f>
        <v>Weekday</v>
      </c>
    </row>
    <row r="882">
      <c r="A882" s="4">
        <v>45547.87152777778</v>
      </c>
      <c r="B882" s="9">
        <f>IFERROR(__xludf.DUMMYFUNCTION("SPLIT(A882,"" "")"),45547.0)</f>
        <v>45547</v>
      </c>
      <c r="C882" s="10">
        <f>IFERROR(__xludf.DUMMYFUNCTION("""COMPUTED_VALUE"""),0.8715277777777778)</f>
        <v>0.8715277778</v>
      </c>
      <c r="D882" s="2">
        <f t="shared" si="1"/>
        <v>20</v>
      </c>
      <c r="E882" s="2">
        <f>IFERROR(__xludf.DUMMYFUNCTION("SPLIT(B882,""/"")"),12.0)</f>
        <v>12</v>
      </c>
      <c r="F882" s="2">
        <f>IFERROR(__xludf.DUMMYFUNCTION("""COMPUTED_VALUE"""),9.0)</f>
        <v>9</v>
      </c>
      <c r="G882" s="2">
        <f>IFERROR(__xludf.DUMMYFUNCTION("""COMPUTED_VALUE"""),2024.0)</f>
        <v>2024</v>
      </c>
      <c r="H882" s="2" t="str">
        <f t="shared" si="2"/>
        <v>2024/9/12</v>
      </c>
      <c r="I882" s="2" t="s">
        <v>1595</v>
      </c>
      <c r="J882" s="2" t="str">
        <f t="shared" si="3"/>
        <v>Roti Gandum Cokelat</v>
      </c>
      <c r="K882" s="7">
        <f>if(RIGHT(I882,5)="2 pcs",2,Data!I882)</f>
        <v>1</v>
      </c>
      <c r="L882" s="2" t="str">
        <f t="shared" si="4"/>
        <v>Thursday</v>
      </c>
      <c r="M882" s="2" t="str">
        <f t="shared" si="5"/>
        <v>12</v>
      </c>
      <c r="N882" s="2">
        <f>VLOOKUP(L882,'Data Info'!$A$1:$B$8,2,0)</f>
        <v>4</v>
      </c>
      <c r="O882" s="2" t="str">
        <f>VLOOKUP(L882,'Data Info'!$A$1:$C$8,3,0)</f>
        <v>Weekday</v>
      </c>
    </row>
    <row r="883">
      <c r="A883" s="4">
        <v>45547.82708333333</v>
      </c>
      <c r="B883" s="9">
        <f>IFERROR(__xludf.DUMMYFUNCTION("SPLIT(A883,"" "")"),45547.0)</f>
        <v>45547</v>
      </c>
      <c r="C883" s="10">
        <f>IFERROR(__xludf.DUMMYFUNCTION("""COMPUTED_VALUE"""),0.8270833333333333)</f>
        <v>0.8270833333</v>
      </c>
      <c r="D883" s="2">
        <f t="shared" si="1"/>
        <v>19</v>
      </c>
      <c r="E883" s="2">
        <f>IFERROR(__xludf.DUMMYFUNCTION("SPLIT(B883,""/"")"),12.0)</f>
        <v>12</v>
      </c>
      <c r="F883" s="2">
        <f>IFERROR(__xludf.DUMMYFUNCTION("""COMPUTED_VALUE"""),9.0)</f>
        <v>9</v>
      </c>
      <c r="G883" s="2">
        <f>IFERROR(__xludf.DUMMYFUNCTION("""COMPUTED_VALUE"""),2024.0)</f>
        <v>2024</v>
      </c>
      <c r="H883" s="2" t="str">
        <f t="shared" si="2"/>
        <v>2024/9/12</v>
      </c>
      <c r="I883" s="2" t="s">
        <v>1582</v>
      </c>
      <c r="J883" s="2" t="str">
        <f t="shared" si="3"/>
        <v>Teh Tawar Dingin</v>
      </c>
      <c r="K883" s="7">
        <f>if(RIGHT(I883,5)="2 pcs",2,Data!I883)</f>
        <v>1</v>
      </c>
      <c r="L883" s="2" t="str">
        <f t="shared" si="4"/>
        <v>Thursday</v>
      </c>
      <c r="M883" s="2" t="str">
        <f t="shared" si="5"/>
        <v>12</v>
      </c>
      <c r="N883" s="2">
        <f>VLOOKUP(L883,'Data Info'!$A$1:$B$8,2,0)</f>
        <v>4</v>
      </c>
      <c r="O883" s="2" t="str">
        <f>VLOOKUP(L883,'Data Info'!$A$1:$C$8,3,0)</f>
        <v>Weekday</v>
      </c>
    </row>
    <row r="884">
      <c r="A884" s="4">
        <v>45547.82708333333</v>
      </c>
      <c r="B884" s="9">
        <f>IFERROR(__xludf.DUMMYFUNCTION("SPLIT(A884,"" "")"),45547.0)</f>
        <v>45547</v>
      </c>
      <c r="C884" s="10">
        <f>IFERROR(__xludf.DUMMYFUNCTION("""COMPUTED_VALUE"""),0.8270833333333333)</f>
        <v>0.8270833333</v>
      </c>
      <c r="D884" s="2">
        <f t="shared" si="1"/>
        <v>19</v>
      </c>
      <c r="E884" s="2">
        <f>IFERROR(__xludf.DUMMYFUNCTION("SPLIT(B884,""/"")"),12.0)</f>
        <v>12</v>
      </c>
      <c r="F884" s="2">
        <f>IFERROR(__xludf.DUMMYFUNCTION("""COMPUTED_VALUE"""),9.0)</f>
        <v>9</v>
      </c>
      <c r="G884" s="2">
        <f>IFERROR(__xludf.DUMMYFUNCTION("""COMPUTED_VALUE"""),2024.0)</f>
        <v>2024</v>
      </c>
      <c r="H884" s="2" t="str">
        <f t="shared" si="2"/>
        <v>2024/9/12</v>
      </c>
      <c r="I884" s="2" t="s">
        <v>1566</v>
      </c>
      <c r="J884" s="2" t="str">
        <f t="shared" si="3"/>
        <v>Roti Bawang Saus Keju</v>
      </c>
      <c r="K884" s="7">
        <f>if(RIGHT(I884,5)="2 pcs",2,Data!I884)</f>
        <v>1</v>
      </c>
      <c r="L884" s="2" t="str">
        <f t="shared" si="4"/>
        <v>Thursday</v>
      </c>
      <c r="M884" s="2" t="str">
        <f t="shared" si="5"/>
        <v>12</v>
      </c>
      <c r="N884" s="2">
        <f>VLOOKUP(L884,'Data Info'!$A$1:$B$8,2,0)</f>
        <v>4</v>
      </c>
      <c r="O884" s="2" t="str">
        <f>VLOOKUP(L884,'Data Info'!$A$1:$C$8,3,0)</f>
        <v>Weekday</v>
      </c>
    </row>
    <row r="885">
      <c r="A885" s="4">
        <v>45547.82708333333</v>
      </c>
      <c r="B885" s="9">
        <f>IFERROR(__xludf.DUMMYFUNCTION("SPLIT(A885,"" "")"),45547.0)</f>
        <v>45547</v>
      </c>
      <c r="C885" s="10">
        <f>IFERROR(__xludf.DUMMYFUNCTION("""COMPUTED_VALUE"""),0.8270833333333333)</f>
        <v>0.8270833333</v>
      </c>
      <c r="D885" s="2">
        <f t="shared" si="1"/>
        <v>19</v>
      </c>
      <c r="E885" s="2">
        <f>IFERROR(__xludf.DUMMYFUNCTION("SPLIT(B885,""/"")"),12.0)</f>
        <v>12</v>
      </c>
      <c r="F885" s="2">
        <f>IFERROR(__xludf.DUMMYFUNCTION("""COMPUTED_VALUE"""),9.0)</f>
        <v>9</v>
      </c>
      <c r="G885" s="2">
        <f>IFERROR(__xludf.DUMMYFUNCTION("""COMPUTED_VALUE"""),2024.0)</f>
        <v>2024</v>
      </c>
      <c r="H885" s="2" t="str">
        <f t="shared" si="2"/>
        <v>2024/9/12</v>
      </c>
      <c r="I885" s="2" t="s">
        <v>1618</v>
      </c>
      <c r="J885" s="2" t="str">
        <f t="shared" si="3"/>
        <v>Susu murni ori</v>
      </c>
      <c r="K885" s="7">
        <f>if(RIGHT(I885,5)="2 pcs",2,Data!I885)</f>
        <v>1</v>
      </c>
      <c r="L885" s="2" t="str">
        <f t="shared" si="4"/>
        <v>Thursday</v>
      </c>
      <c r="M885" s="2" t="str">
        <f t="shared" si="5"/>
        <v>12</v>
      </c>
      <c r="N885" s="2">
        <f>VLOOKUP(L885,'Data Info'!$A$1:$B$8,2,0)</f>
        <v>4</v>
      </c>
      <c r="O885" s="2" t="str">
        <f>VLOOKUP(L885,'Data Info'!$A$1:$C$8,3,0)</f>
        <v>Weekday</v>
      </c>
    </row>
    <row r="886">
      <c r="A886" s="4">
        <v>45547.82708333333</v>
      </c>
      <c r="B886" s="9">
        <f>IFERROR(__xludf.DUMMYFUNCTION("SPLIT(A886,"" "")"),45547.0)</f>
        <v>45547</v>
      </c>
      <c r="C886" s="10">
        <f>IFERROR(__xludf.DUMMYFUNCTION("""COMPUTED_VALUE"""),0.8270833333333333)</f>
        <v>0.8270833333</v>
      </c>
      <c r="D886" s="2">
        <f t="shared" si="1"/>
        <v>19</v>
      </c>
      <c r="E886" s="2">
        <f>IFERROR(__xludf.DUMMYFUNCTION("SPLIT(B886,""/"")"),12.0)</f>
        <v>12</v>
      </c>
      <c r="F886" s="2">
        <f>IFERROR(__xludf.DUMMYFUNCTION("""COMPUTED_VALUE"""),9.0)</f>
        <v>9</v>
      </c>
      <c r="G886" s="2">
        <f>IFERROR(__xludf.DUMMYFUNCTION("""COMPUTED_VALUE"""),2024.0)</f>
        <v>2024</v>
      </c>
      <c r="H886" s="2" t="str">
        <f t="shared" si="2"/>
        <v>2024/9/12</v>
      </c>
      <c r="I886" s="2" t="s">
        <v>1587</v>
      </c>
      <c r="J886" s="2" t="str">
        <f t="shared" si="3"/>
        <v>Tahu Lada Garam</v>
      </c>
      <c r="K886" s="7">
        <f>if(RIGHT(I886,5)="2 pcs",2,Data!I886)</f>
        <v>1</v>
      </c>
      <c r="L886" s="2" t="str">
        <f t="shared" si="4"/>
        <v>Thursday</v>
      </c>
      <c r="M886" s="2" t="str">
        <f t="shared" si="5"/>
        <v>12</v>
      </c>
      <c r="N886" s="2">
        <f>VLOOKUP(L886,'Data Info'!$A$1:$B$8,2,0)</f>
        <v>4</v>
      </c>
      <c r="O886" s="2" t="str">
        <f>VLOOKUP(L886,'Data Info'!$A$1:$C$8,3,0)</f>
        <v>Weekday</v>
      </c>
    </row>
    <row r="887">
      <c r="A887" s="4">
        <v>45547.82708333333</v>
      </c>
      <c r="B887" s="9">
        <f>IFERROR(__xludf.DUMMYFUNCTION("SPLIT(A887,"" "")"),45547.0)</f>
        <v>45547</v>
      </c>
      <c r="C887" s="10">
        <f>IFERROR(__xludf.DUMMYFUNCTION("""COMPUTED_VALUE"""),0.8270833333333333)</f>
        <v>0.8270833333</v>
      </c>
      <c r="D887" s="2">
        <f t="shared" si="1"/>
        <v>19</v>
      </c>
      <c r="E887" s="2">
        <f>IFERROR(__xludf.DUMMYFUNCTION("SPLIT(B887,""/"")"),12.0)</f>
        <v>12</v>
      </c>
      <c r="F887" s="2">
        <f>IFERROR(__xludf.DUMMYFUNCTION("""COMPUTED_VALUE"""),9.0)</f>
        <v>9</v>
      </c>
      <c r="G887" s="2">
        <f>IFERROR(__xludf.DUMMYFUNCTION("""COMPUTED_VALUE"""),2024.0)</f>
        <v>2024</v>
      </c>
      <c r="H887" s="2" t="str">
        <f t="shared" si="2"/>
        <v>2024/9/12</v>
      </c>
      <c r="I887" s="2" t="s">
        <v>1573</v>
      </c>
      <c r="J887" s="2" t="str">
        <f t="shared" si="3"/>
        <v>Air mineral</v>
      </c>
      <c r="K887" s="7">
        <f>if(RIGHT(I887,5)="2 pcs",2,Data!I887)</f>
        <v>2</v>
      </c>
      <c r="L887" s="2" t="str">
        <f t="shared" si="4"/>
        <v>Thursday</v>
      </c>
      <c r="M887" s="2" t="str">
        <f t="shared" si="5"/>
        <v>12</v>
      </c>
      <c r="N887" s="2">
        <f>VLOOKUP(L887,'Data Info'!$A$1:$B$8,2,0)</f>
        <v>4</v>
      </c>
      <c r="O887" s="2" t="str">
        <f>VLOOKUP(L887,'Data Info'!$A$1:$C$8,3,0)</f>
        <v>Weekday</v>
      </c>
    </row>
    <row r="888">
      <c r="A888" s="4">
        <v>45547.77222222222</v>
      </c>
      <c r="B888" s="9">
        <f>IFERROR(__xludf.DUMMYFUNCTION("SPLIT(A888,"" "")"),45547.0)</f>
        <v>45547</v>
      </c>
      <c r="C888" s="10">
        <f>IFERROR(__xludf.DUMMYFUNCTION("""COMPUTED_VALUE"""),0.7722222222222223)</f>
        <v>0.7722222222</v>
      </c>
      <c r="D888" s="2">
        <f t="shared" si="1"/>
        <v>18</v>
      </c>
      <c r="E888" s="2">
        <f>IFERROR(__xludf.DUMMYFUNCTION("SPLIT(B888,""/"")"),12.0)</f>
        <v>12</v>
      </c>
      <c r="F888" s="2">
        <f>IFERROR(__xludf.DUMMYFUNCTION("""COMPUTED_VALUE"""),9.0)</f>
        <v>9</v>
      </c>
      <c r="G888" s="2">
        <f>IFERROR(__xludf.DUMMYFUNCTION("""COMPUTED_VALUE"""),2024.0)</f>
        <v>2024</v>
      </c>
      <c r="H888" s="2" t="str">
        <f t="shared" si="2"/>
        <v>2024/9/12</v>
      </c>
      <c r="I888" s="2" t="s">
        <v>1597</v>
      </c>
      <c r="J888" s="2" t="str">
        <f t="shared" si="3"/>
        <v>Roti Gandum Cokelat</v>
      </c>
      <c r="K888" s="7">
        <f>if(RIGHT(I888,5)="2 pcs",2,Data!I888)</f>
        <v>2</v>
      </c>
      <c r="L888" s="2" t="str">
        <f t="shared" si="4"/>
        <v>Thursday</v>
      </c>
      <c r="M888" s="2" t="str">
        <f t="shared" si="5"/>
        <v>12</v>
      </c>
      <c r="N888" s="2">
        <f>VLOOKUP(L888,'Data Info'!$A$1:$B$8,2,0)</f>
        <v>4</v>
      </c>
      <c r="O888" s="2" t="str">
        <f>VLOOKUP(L888,'Data Info'!$A$1:$C$8,3,0)</f>
        <v>Weekday</v>
      </c>
    </row>
    <row r="889">
      <c r="A889" s="4">
        <v>45547.72986111111</v>
      </c>
      <c r="B889" s="9">
        <f>IFERROR(__xludf.DUMMYFUNCTION("SPLIT(A889,"" "")"),45547.0)</f>
        <v>45547</v>
      </c>
      <c r="C889" s="10">
        <f>IFERROR(__xludf.DUMMYFUNCTION("""COMPUTED_VALUE"""),0.7298611111111111)</f>
        <v>0.7298611111</v>
      </c>
      <c r="D889" s="2">
        <f t="shared" si="1"/>
        <v>17</v>
      </c>
      <c r="E889" s="2">
        <f>IFERROR(__xludf.DUMMYFUNCTION("SPLIT(B889,""/"")"),12.0)</f>
        <v>12</v>
      </c>
      <c r="F889" s="2">
        <f>IFERROR(__xludf.DUMMYFUNCTION("""COMPUTED_VALUE"""),9.0)</f>
        <v>9</v>
      </c>
      <c r="G889" s="2">
        <f>IFERROR(__xludf.DUMMYFUNCTION("""COMPUTED_VALUE"""),2024.0)</f>
        <v>2024</v>
      </c>
      <c r="H889" s="2" t="str">
        <f t="shared" si="2"/>
        <v>2024/9/12</v>
      </c>
      <c r="I889" s="2" t="s">
        <v>1588</v>
      </c>
      <c r="J889" s="2" t="str">
        <f t="shared" si="3"/>
        <v>Es Kopi Susu</v>
      </c>
      <c r="K889" s="7">
        <f>if(RIGHT(I889,5)="2 pcs",2,Data!I889)</f>
        <v>1</v>
      </c>
      <c r="L889" s="2" t="str">
        <f t="shared" si="4"/>
        <v>Thursday</v>
      </c>
      <c r="M889" s="2" t="str">
        <f t="shared" si="5"/>
        <v>12</v>
      </c>
      <c r="N889" s="2">
        <f>VLOOKUP(L889,'Data Info'!$A$1:$B$8,2,0)</f>
        <v>4</v>
      </c>
      <c r="O889" s="2" t="str">
        <f>VLOOKUP(L889,'Data Info'!$A$1:$C$8,3,0)</f>
        <v>Weekday</v>
      </c>
    </row>
    <row r="890">
      <c r="A890" s="4">
        <v>45547.72986111111</v>
      </c>
      <c r="B890" s="9">
        <f>IFERROR(__xludf.DUMMYFUNCTION("SPLIT(A890,"" "")"),45547.0)</f>
        <v>45547</v>
      </c>
      <c r="C890" s="10">
        <f>IFERROR(__xludf.DUMMYFUNCTION("""COMPUTED_VALUE"""),0.7298611111111111)</f>
        <v>0.7298611111</v>
      </c>
      <c r="D890" s="2">
        <f t="shared" si="1"/>
        <v>17</v>
      </c>
      <c r="E890" s="2">
        <f>IFERROR(__xludf.DUMMYFUNCTION("SPLIT(B890,""/"")"),12.0)</f>
        <v>12</v>
      </c>
      <c r="F890" s="2">
        <f>IFERROR(__xludf.DUMMYFUNCTION("""COMPUTED_VALUE"""),9.0)</f>
        <v>9</v>
      </c>
      <c r="G890" s="2">
        <f>IFERROR(__xludf.DUMMYFUNCTION("""COMPUTED_VALUE"""),2024.0)</f>
        <v>2024</v>
      </c>
      <c r="H890" s="2" t="str">
        <f t="shared" si="2"/>
        <v>2024/9/12</v>
      </c>
      <c r="I890" s="2" t="s">
        <v>1616</v>
      </c>
      <c r="J890" s="2" t="str">
        <f t="shared" si="3"/>
        <v>Roti panggang coklat</v>
      </c>
      <c r="K890" s="7">
        <f>if(RIGHT(I890,5)="2 pcs",2,Data!I890)</f>
        <v>1</v>
      </c>
      <c r="L890" s="2" t="str">
        <f t="shared" si="4"/>
        <v>Thursday</v>
      </c>
      <c r="M890" s="2" t="str">
        <f t="shared" si="5"/>
        <v>12</v>
      </c>
      <c r="N890" s="2">
        <f>VLOOKUP(L890,'Data Info'!$A$1:$B$8,2,0)</f>
        <v>4</v>
      </c>
      <c r="O890" s="2" t="str">
        <f>VLOOKUP(L890,'Data Info'!$A$1:$C$8,3,0)</f>
        <v>Weekday</v>
      </c>
    </row>
    <row r="891">
      <c r="A891" s="4">
        <v>45547.725</v>
      </c>
      <c r="B891" s="9">
        <f>IFERROR(__xludf.DUMMYFUNCTION("SPLIT(A891,"" "")"),45547.0)</f>
        <v>45547</v>
      </c>
      <c r="C891" s="10">
        <f>IFERROR(__xludf.DUMMYFUNCTION("""COMPUTED_VALUE"""),0.725)</f>
        <v>0.725</v>
      </c>
      <c r="D891" s="2">
        <f t="shared" si="1"/>
        <v>17</v>
      </c>
      <c r="E891" s="2">
        <f>IFERROR(__xludf.DUMMYFUNCTION("SPLIT(B891,""/"")"),12.0)</f>
        <v>12</v>
      </c>
      <c r="F891" s="2">
        <f>IFERROR(__xludf.DUMMYFUNCTION("""COMPUTED_VALUE"""),9.0)</f>
        <v>9</v>
      </c>
      <c r="G891" s="2">
        <f>IFERROR(__xludf.DUMMYFUNCTION("""COMPUTED_VALUE"""),2024.0)</f>
        <v>2024</v>
      </c>
      <c r="H891" s="2" t="str">
        <f t="shared" si="2"/>
        <v>2024/9/12</v>
      </c>
      <c r="I891" s="2" t="s">
        <v>1576</v>
      </c>
      <c r="J891" s="2" t="str">
        <f t="shared" si="3"/>
        <v>Roti Cranberry</v>
      </c>
      <c r="K891" s="7">
        <f>if(RIGHT(I891,5)="2 pcs",2,Data!I891)</f>
        <v>1</v>
      </c>
      <c r="L891" s="2" t="str">
        <f t="shared" si="4"/>
        <v>Thursday</v>
      </c>
      <c r="M891" s="2" t="str">
        <f t="shared" si="5"/>
        <v>12</v>
      </c>
      <c r="N891" s="2">
        <f>VLOOKUP(L891,'Data Info'!$A$1:$B$8,2,0)</f>
        <v>4</v>
      </c>
      <c r="O891" s="2" t="str">
        <f>VLOOKUP(L891,'Data Info'!$A$1:$C$8,3,0)</f>
        <v>Weekday</v>
      </c>
    </row>
    <row r="892">
      <c r="A892" s="4">
        <v>45547.725</v>
      </c>
      <c r="B892" s="9">
        <f>IFERROR(__xludf.DUMMYFUNCTION("SPLIT(A892,"" "")"),45547.0)</f>
        <v>45547</v>
      </c>
      <c r="C892" s="10">
        <f>IFERROR(__xludf.DUMMYFUNCTION("""COMPUTED_VALUE"""),0.725)</f>
        <v>0.725</v>
      </c>
      <c r="D892" s="2">
        <f t="shared" si="1"/>
        <v>17</v>
      </c>
      <c r="E892" s="2">
        <f>IFERROR(__xludf.DUMMYFUNCTION("SPLIT(B892,""/"")"),12.0)</f>
        <v>12</v>
      </c>
      <c r="F892" s="2">
        <f>IFERROR(__xludf.DUMMYFUNCTION("""COMPUTED_VALUE"""),9.0)</f>
        <v>9</v>
      </c>
      <c r="G892" s="2">
        <f>IFERROR(__xludf.DUMMYFUNCTION("""COMPUTED_VALUE"""),2024.0)</f>
        <v>2024</v>
      </c>
      <c r="H892" s="2" t="str">
        <f t="shared" si="2"/>
        <v>2024/9/12</v>
      </c>
      <c r="I892" s="2" t="s">
        <v>1595</v>
      </c>
      <c r="J892" s="2" t="str">
        <f t="shared" si="3"/>
        <v>Roti Gandum Cokelat</v>
      </c>
      <c r="K892" s="7">
        <f>if(RIGHT(I892,5)="2 pcs",2,Data!I892)</f>
        <v>1</v>
      </c>
      <c r="L892" s="2" t="str">
        <f t="shared" si="4"/>
        <v>Thursday</v>
      </c>
      <c r="M892" s="2" t="str">
        <f t="shared" si="5"/>
        <v>12</v>
      </c>
      <c r="N892" s="2">
        <f>VLOOKUP(L892,'Data Info'!$A$1:$B$8,2,0)</f>
        <v>4</v>
      </c>
      <c r="O892" s="2" t="str">
        <f>VLOOKUP(L892,'Data Info'!$A$1:$C$8,3,0)</f>
        <v>Weekday</v>
      </c>
    </row>
    <row r="893">
      <c r="A893" s="4">
        <v>45547.725</v>
      </c>
      <c r="B893" s="9">
        <f>IFERROR(__xludf.DUMMYFUNCTION("SPLIT(A893,"" "")"),45547.0)</f>
        <v>45547</v>
      </c>
      <c r="C893" s="10">
        <f>IFERROR(__xludf.DUMMYFUNCTION("""COMPUTED_VALUE"""),0.725)</f>
        <v>0.725</v>
      </c>
      <c r="D893" s="2">
        <f t="shared" si="1"/>
        <v>17</v>
      </c>
      <c r="E893" s="2">
        <f>IFERROR(__xludf.DUMMYFUNCTION("SPLIT(B893,""/"")"),12.0)</f>
        <v>12</v>
      </c>
      <c r="F893" s="2">
        <f>IFERROR(__xludf.DUMMYFUNCTION("""COMPUTED_VALUE"""),9.0)</f>
        <v>9</v>
      </c>
      <c r="G893" s="2">
        <f>IFERROR(__xludf.DUMMYFUNCTION("""COMPUTED_VALUE"""),2024.0)</f>
        <v>2024</v>
      </c>
      <c r="H893" s="2" t="str">
        <f t="shared" si="2"/>
        <v>2024/9/12</v>
      </c>
      <c r="I893" s="2" t="s">
        <v>1607</v>
      </c>
      <c r="J893" s="2" t="str">
        <f t="shared" si="3"/>
        <v>Tahu walik</v>
      </c>
      <c r="K893" s="7">
        <f>if(RIGHT(I893,5)="2 pcs",2,Data!I893)</f>
        <v>1</v>
      </c>
      <c r="L893" s="2" t="str">
        <f t="shared" si="4"/>
        <v>Thursday</v>
      </c>
      <c r="M893" s="2" t="str">
        <f t="shared" si="5"/>
        <v>12</v>
      </c>
      <c r="N893" s="2">
        <f>VLOOKUP(L893,'Data Info'!$A$1:$B$8,2,0)</f>
        <v>4</v>
      </c>
      <c r="O893" s="2" t="str">
        <f>VLOOKUP(L893,'Data Info'!$A$1:$C$8,3,0)</f>
        <v>Weekday</v>
      </c>
    </row>
    <row r="894">
      <c r="A894" s="4">
        <v>45547.72152777778</v>
      </c>
      <c r="B894" s="9">
        <f>IFERROR(__xludf.DUMMYFUNCTION("SPLIT(A894,"" "")"),45547.0)</f>
        <v>45547</v>
      </c>
      <c r="C894" s="10">
        <f>IFERROR(__xludf.DUMMYFUNCTION("""COMPUTED_VALUE"""),0.7215277777777778)</f>
        <v>0.7215277778</v>
      </c>
      <c r="D894" s="2">
        <f t="shared" si="1"/>
        <v>17</v>
      </c>
      <c r="E894" s="2">
        <f>IFERROR(__xludf.DUMMYFUNCTION("SPLIT(B894,""/"")"),12.0)</f>
        <v>12</v>
      </c>
      <c r="F894" s="2">
        <f>IFERROR(__xludf.DUMMYFUNCTION("""COMPUTED_VALUE"""),9.0)</f>
        <v>9</v>
      </c>
      <c r="G894" s="2">
        <f>IFERROR(__xludf.DUMMYFUNCTION("""COMPUTED_VALUE"""),2024.0)</f>
        <v>2024</v>
      </c>
      <c r="H894" s="2" t="str">
        <f t="shared" si="2"/>
        <v>2024/9/12</v>
      </c>
      <c r="I894" s="2" t="s">
        <v>1566</v>
      </c>
      <c r="J894" s="2" t="str">
        <f t="shared" si="3"/>
        <v>Roti Bawang Saus Keju</v>
      </c>
      <c r="K894" s="7">
        <f>if(RIGHT(I894,5)="2 pcs",2,Data!I894)</f>
        <v>1</v>
      </c>
      <c r="L894" s="2" t="str">
        <f t="shared" si="4"/>
        <v>Thursday</v>
      </c>
      <c r="M894" s="2" t="str">
        <f t="shared" si="5"/>
        <v>12</v>
      </c>
      <c r="N894" s="2">
        <f>VLOOKUP(L894,'Data Info'!$A$1:$B$8,2,0)</f>
        <v>4</v>
      </c>
      <c r="O894" s="2" t="str">
        <f>VLOOKUP(L894,'Data Info'!$A$1:$C$8,3,0)</f>
        <v>Weekday</v>
      </c>
    </row>
    <row r="895">
      <c r="A895" s="4">
        <v>45547.72152777778</v>
      </c>
      <c r="B895" s="9">
        <f>IFERROR(__xludf.DUMMYFUNCTION("SPLIT(A895,"" "")"),45547.0)</f>
        <v>45547</v>
      </c>
      <c r="C895" s="10">
        <f>IFERROR(__xludf.DUMMYFUNCTION("""COMPUTED_VALUE"""),0.7215277777777778)</f>
        <v>0.7215277778</v>
      </c>
      <c r="D895" s="2">
        <f t="shared" si="1"/>
        <v>17</v>
      </c>
      <c r="E895" s="2">
        <f>IFERROR(__xludf.DUMMYFUNCTION("SPLIT(B895,""/"")"),12.0)</f>
        <v>12</v>
      </c>
      <c r="F895" s="2">
        <f>IFERROR(__xludf.DUMMYFUNCTION("""COMPUTED_VALUE"""),9.0)</f>
        <v>9</v>
      </c>
      <c r="G895" s="2">
        <f>IFERROR(__xludf.DUMMYFUNCTION("""COMPUTED_VALUE"""),2024.0)</f>
        <v>2024</v>
      </c>
      <c r="H895" s="2" t="str">
        <f t="shared" si="2"/>
        <v>2024/9/12</v>
      </c>
      <c r="I895" s="2" t="s">
        <v>1596</v>
      </c>
      <c r="J895" s="2" t="str">
        <f t="shared" si="3"/>
        <v>Roti Cranberry</v>
      </c>
      <c r="K895" s="7">
        <f>if(RIGHT(I895,5)="2 pcs",2,Data!I895)</f>
        <v>2</v>
      </c>
      <c r="L895" s="2" t="str">
        <f t="shared" si="4"/>
        <v>Thursday</v>
      </c>
      <c r="M895" s="2" t="str">
        <f t="shared" si="5"/>
        <v>12</v>
      </c>
      <c r="N895" s="2">
        <f>VLOOKUP(L895,'Data Info'!$A$1:$B$8,2,0)</f>
        <v>4</v>
      </c>
      <c r="O895" s="2" t="str">
        <f>VLOOKUP(L895,'Data Info'!$A$1:$C$8,3,0)</f>
        <v>Weekday</v>
      </c>
    </row>
    <row r="896">
      <c r="A896" s="4">
        <v>45547.71875</v>
      </c>
      <c r="B896" s="9">
        <f>IFERROR(__xludf.DUMMYFUNCTION("SPLIT(A896,"" "")"),45547.0)</f>
        <v>45547</v>
      </c>
      <c r="C896" s="10">
        <f>IFERROR(__xludf.DUMMYFUNCTION("""COMPUTED_VALUE"""),0.71875)</f>
        <v>0.71875</v>
      </c>
      <c r="D896" s="2">
        <f t="shared" si="1"/>
        <v>17</v>
      </c>
      <c r="E896" s="2">
        <f>IFERROR(__xludf.DUMMYFUNCTION("SPLIT(B896,""/"")"),12.0)</f>
        <v>12</v>
      </c>
      <c r="F896" s="2">
        <f>IFERROR(__xludf.DUMMYFUNCTION("""COMPUTED_VALUE"""),9.0)</f>
        <v>9</v>
      </c>
      <c r="G896" s="2">
        <f>IFERROR(__xludf.DUMMYFUNCTION("""COMPUTED_VALUE"""),2024.0)</f>
        <v>2024</v>
      </c>
      <c r="H896" s="2" t="str">
        <f t="shared" si="2"/>
        <v>2024/9/12</v>
      </c>
      <c r="I896" s="2" t="s">
        <v>1566</v>
      </c>
      <c r="J896" s="2" t="str">
        <f t="shared" si="3"/>
        <v>Roti Bawang Saus Keju</v>
      </c>
      <c r="K896" s="7">
        <f>if(RIGHT(I896,5)="2 pcs",2,Data!I896)</f>
        <v>1</v>
      </c>
      <c r="L896" s="2" t="str">
        <f t="shared" si="4"/>
        <v>Thursday</v>
      </c>
      <c r="M896" s="2" t="str">
        <f t="shared" si="5"/>
        <v>12</v>
      </c>
      <c r="N896" s="2">
        <f>VLOOKUP(L896,'Data Info'!$A$1:$B$8,2,0)</f>
        <v>4</v>
      </c>
      <c r="O896" s="2" t="str">
        <f>VLOOKUP(L896,'Data Info'!$A$1:$C$8,3,0)</f>
        <v>Weekday</v>
      </c>
    </row>
    <row r="897">
      <c r="A897" s="4">
        <v>45547.691666666666</v>
      </c>
      <c r="B897" s="9">
        <f>IFERROR(__xludf.DUMMYFUNCTION("SPLIT(A897,"" "")"),45547.0)</f>
        <v>45547</v>
      </c>
      <c r="C897" s="10">
        <f>IFERROR(__xludf.DUMMYFUNCTION("""COMPUTED_VALUE"""),0.6916666666666667)</f>
        <v>0.6916666667</v>
      </c>
      <c r="D897" s="2">
        <f t="shared" si="1"/>
        <v>16</v>
      </c>
      <c r="E897" s="2">
        <f>IFERROR(__xludf.DUMMYFUNCTION("SPLIT(B897,""/"")"),12.0)</f>
        <v>12</v>
      </c>
      <c r="F897" s="2">
        <f>IFERROR(__xludf.DUMMYFUNCTION("""COMPUTED_VALUE"""),9.0)</f>
        <v>9</v>
      </c>
      <c r="G897" s="2">
        <f>IFERROR(__xludf.DUMMYFUNCTION("""COMPUTED_VALUE"""),2024.0)</f>
        <v>2024</v>
      </c>
      <c r="H897" s="2" t="str">
        <f t="shared" si="2"/>
        <v>2024/9/12</v>
      </c>
      <c r="I897" s="2" t="s">
        <v>1588</v>
      </c>
      <c r="J897" s="2" t="str">
        <f t="shared" si="3"/>
        <v>Es Kopi Susu</v>
      </c>
      <c r="K897" s="7">
        <f>if(RIGHT(I897,5)="2 pcs",2,Data!I897)</f>
        <v>1</v>
      </c>
      <c r="L897" s="2" t="str">
        <f t="shared" si="4"/>
        <v>Thursday</v>
      </c>
      <c r="M897" s="2" t="str">
        <f t="shared" si="5"/>
        <v>12</v>
      </c>
      <c r="N897" s="2">
        <f>VLOOKUP(L897,'Data Info'!$A$1:$B$8,2,0)</f>
        <v>4</v>
      </c>
      <c r="O897" s="2" t="str">
        <f>VLOOKUP(L897,'Data Info'!$A$1:$C$8,3,0)</f>
        <v>Weekday</v>
      </c>
    </row>
    <row r="898">
      <c r="A898" s="4">
        <v>45547.691666666666</v>
      </c>
      <c r="B898" s="9">
        <f>IFERROR(__xludf.DUMMYFUNCTION("SPLIT(A898,"" "")"),45547.0)</f>
        <v>45547</v>
      </c>
      <c r="C898" s="10">
        <f>IFERROR(__xludf.DUMMYFUNCTION("""COMPUTED_VALUE"""),0.6916666666666667)</f>
        <v>0.6916666667</v>
      </c>
      <c r="D898" s="2">
        <f t="shared" si="1"/>
        <v>16</v>
      </c>
      <c r="E898" s="2">
        <f>IFERROR(__xludf.DUMMYFUNCTION("SPLIT(B898,""/"")"),12.0)</f>
        <v>12</v>
      </c>
      <c r="F898" s="2">
        <f>IFERROR(__xludf.DUMMYFUNCTION("""COMPUTED_VALUE"""),9.0)</f>
        <v>9</v>
      </c>
      <c r="G898" s="2">
        <f>IFERROR(__xludf.DUMMYFUNCTION("""COMPUTED_VALUE"""),2024.0)</f>
        <v>2024</v>
      </c>
      <c r="H898" s="2" t="str">
        <f t="shared" si="2"/>
        <v>2024/9/12</v>
      </c>
      <c r="I898" s="2" t="s">
        <v>1576</v>
      </c>
      <c r="J898" s="2" t="str">
        <f t="shared" si="3"/>
        <v>Roti Cranberry</v>
      </c>
      <c r="K898" s="7">
        <f>if(RIGHT(I898,5)="2 pcs",2,Data!I898)</f>
        <v>1</v>
      </c>
      <c r="L898" s="2" t="str">
        <f t="shared" si="4"/>
        <v>Thursday</v>
      </c>
      <c r="M898" s="2" t="str">
        <f t="shared" si="5"/>
        <v>12</v>
      </c>
      <c r="N898" s="2">
        <f>VLOOKUP(L898,'Data Info'!$A$1:$B$8,2,0)</f>
        <v>4</v>
      </c>
      <c r="O898" s="2" t="str">
        <f>VLOOKUP(L898,'Data Info'!$A$1:$C$8,3,0)</f>
        <v>Weekday</v>
      </c>
    </row>
    <row r="899">
      <c r="A899" s="4">
        <v>45547.68680555555</v>
      </c>
      <c r="B899" s="9">
        <f>IFERROR(__xludf.DUMMYFUNCTION("SPLIT(A899,"" "")"),45547.0)</f>
        <v>45547</v>
      </c>
      <c r="C899" s="10">
        <f>IFERROR(__xludf.DUMMYFUNCTION("""COMPUTED_VALUE"""),0.6868055555555556)</f>
        <v>0.6868055556</v>
      </c>
      <c r="D899" s="2">
        <f t="shared" si="1"/>
        <v>16</v>
      </c>
      <c r="E899" s="2">
        <f>IFERROR(__xludf.DUMMYFUNCTION("SPLIT(B899,""/"")"),12.0)</f>
        <v>12</v>
      </c>
      <c r="F899" s="2">
        <f>IFERROR(__xludf.DUMMYFUNCTION("""COMPUTED_VALUE"""),9.0)</f>
        <v>9</v>
      </c>
      <c r="G899" s="2">
        <f>IFERROR(__xludf.DUMMYFUNCTION("""COMPUTED_VALUE"""),2024.0)</f>
        <v>2024</v>
      </c>
      <c r="H899" s="2" t="str">
        <f t="shared" si="2"/>
        <v>2024/9/12</v>
      </c>
      <c r="I899" s="2" t="s">
        <v>1599</v>
      </c>
      <c r="J899" s="2" t="str">
        <f t="shared" si="3"/>
        <v>Rempah Madu Dingin</v>
      </c>
      <c r="K899" s="7">
        <f>if(RIGHT(I899,5)="2 pcs",2,Data!I899)</f>
        <v>1</v>
      </c>
      <c r="L899" s="2" t="str">
        <f t="shared" si="4"/>
        <v>Thursday</v>
      </c>
      <c r="M899" s="2" t="str">
        <f t="shared" si="5"/>
        <v>12</v>
      </c>
      <c r="N899" s="2">
        <f>VLOOKUP(L899,'Data Info'!$A$1:$B$8,2,0)</f>
        <v>4</v>
      </c>
      <c r="O899" s="2" t="str">
        <f>VLOOKUP(L899,'Data Info'!$A$1:$C$8,3,0)</f>
        <v>Weekday</v>
      </c>
    </row>
    <row r="900">
      <c r="A900" s="4">
        <v>45547.68680555555</v>
      </c>
      <c r="B900" s="9">
        <f>IFERROR(__xludf.DUMMYFUNCTION("SPLIT(A900,"" "")"),45547.0)</f>
        <v>45547</v>
      </c>
      <c r="C900" s="10">
        <f>IFERROR(__xludf.DUMMYFUNCTION("""COMPUTED_VALUE"""),0.6868055555555556)</f>
        <v>0.6868055556</v>
      </c>
      <c r="D900" s="2">
        <f t="shared" si="1"/>
        <v>16</v>
      </c>
      <c r="E900" s="2">
        <f>IFERROR(__xludf.DUMMYFUNCTION("SPLIT(B900,""/"")"),12.0)</f>
        <v>12</v>
      </c>
      <c r="F900" s="2">
        <f>IFERROR(__xludf.DUMMYFUNCTION("""COMPUTED_VALUE"""),9.0)</f>
        <v>9</v>
      </c>
      <c r="G900" s="2">
        <f>IFERROR(__xludf.DUMMYFUNCTION("""COMPUTED_VALUE"""),2024.0)</f>
        <v>2024</v>
      </c>
      <c r="H900" s="2" t="str">
        <f t="shared" si="2"/>
        <v>2024/9/12</v>
      </c>
      <c r="I900" s="2" t="s">
        <v>1609</v>
      </c>
      <c r="J900" s="2" t="str">
        <f t="shared" si="3"/>
        <v>Tempe Mendoan</v>
      </c>
      <c r="K900" s="7">
        <f>if(RIGHT(I900,5)="2 pcs",2,Data!I900)</f>
        <v>1</v>
      </c>
      <c r="L900" s="2" t="str">
        <f t="shared" si="4"/>
        <v>Thursday</v>
      </c>
      <c r="M900" s="2" t="str">
        <f t="shared" si="5"/>
        <v>12</v>
      </c>
      <c r="N900" s="2">
        <f>VLOOKUP(L900,'Data Info'!$A$1:$B$8,2,0)</f>
        <v>4</v>
      </c>
      <c r="O900" s="2" t="str">
        <f>VLOOKUP(L900,'Data Info'!$A$1:$C$8,3,0)</f>
        <v>Weekday</v>
      </c>
    </row>
    <row r="901">
      <c r="A901" s="4">
        <v>45547.68680555555</v>
      </c>
      <c r="B901" s="9">
        <f>IFERROR(__xludf.DUMMYFUNCTION("SPLIT(A901,"" "")"),45547.0)</f>
        <v>45547</v>
      </c>
      <c r="C901" s="10">
        <f>IFERROR(__xludf.DUMMYFUNCTION("""COMPUTED_VALUE"""),0.6868055555555556)</f>
        <v>0.6868055556</v>
      </c>
      <c r="D901" s="2">
        <f t="shared" si="1"/>
        <v>16</v>
      </c>
      <c r="E901" s="2">
        <f>IFERROR(__xludf.DUMMYFUNCTION("SPLIT(B901,""/"")"),12.0)</f>
        <v>12</v>
      </c>
      <c r="F901" s="2">
        <f>IFERROR(__xludf.DUMMYFUNCTION("""COMPUTED_VALUE"""),9.0)</f>
        <v>9</v>
      </c>
      <c r="G901" s="2">
        <f>IFERROR(__xludf.DUMMYFUNCTION("""COMPUTED_VALUE"""),2024.0)</f>
        <v>2024</v>
      </c>
      <c r="H901" s="2" t="str">
        <f t="shared" si="2"/>
        <v>2024/9/12</v>
      </c>
      <c r="I901" s="2" t="s">
        <v>1566</v>
      </c>
      <c r="J901" s="2" t="str">
        <f t="shared" si="3"/>
        <v>Roti Bawang Saus Keju</v>
      </c>
      <c r="K901" s="7">
        <f>if(RIGHT(I901,5)="2 pcs",2,Data!I901)</f>
        <v>1</v>
      </c>
      <c r="L901" s="2" t="str">
        <f t="shared" si="4"/>
        <v>Thursday</v>
      </c>
      <c r="M901" s="2" t="str">
        <f t="shared" si="5"/>
        <v>12</v>
      </c>
      <c r="N901" s="2">
        <f>VLOOKUP(L901,'Data Info'!$A$1:$B$8,2,0)</f>
        <v>4</v>
      </c>
      <c r="O901" s="2" t="str">
        <f>VLOOKUP(L901,'Data Info'!$A$1:$C$8,3,0)</f>
        <v>Weekday</v>
      </c>
    </row>
    <row r="902">
      <c r="A902" s="4">
        <v>45547.64513888889</v>
      </c>
      <c r="B902" s="9">
        <f>IFERROR(__xludf.DUMMYFUNCTION("SPLIT(A902,"" "")"),45547.0)</f>
        <v>45547</v>
      </c>
      <c r="C902" s="10">
        <f>IFERROR(__xludf.DUMMYFUNCTION("""COMPUTED_VALUE"""),0.6451388888888889)</f>
        <v>0.6451388889</v>
      </c>
      <c r="D902" s="2">
        <f t="shared" si="1"/>
        <v>15</v>
      </c>
      <c r="E902" s="2">
        <f>IFERROR(__xludf.DUMMYFUNCTION("SPLIT(B902,""/"")"),12.0)</f>
        <v>12</v>
      </c>
      <c r="F902" s="2">
        <f>IFERROR(__xludf.DUMMYFUNCTION("""COMPUTED_VALUE"""),9.0)</f>
        <v>9</v>
      </c>
      <c r="G902" s="2">
        <f>IFERROR(__xludf.DUMMYFUNCTION("""COMPUTED_VALUE"""),2024.0)</f>
        <v>2024</v>
      </c>
      <c r="H902" s="2" t="str">
        <f t="shared" si="2"/>
        <v>2024/9/12</v>
      </c>
      <c r="I902" s="2" t="s">
        <v>1566</v>
      </c>
      <c r="J902" s="2" t="str">
        <f t="shared" si="3"/>
        <v>Roti Bawang Saus Keju</v>
      </c>
      <c r="K902" s="7">
        <f>if(RIGHT(I902,5)="2 pcs",2,Data!I902)</f>
        <v>1</v>
      </c>
      <c r="L902" s="2" t="str">
        <f t="shared" si="4"/>
        <v>Thursday</v>
      </c>
      <c r="M902" s="2" t="str">
        <f t="shared" si="5"/>
        <v>12</v>
      </c>
      <c r="N902" s="2">
        <f>VLOOKUP(L902,'Data Info'!$A$1:$B$8,2,0)</f>
        <v>4</v>
      </c>
      <c r="O902" s="2" t="str">
        <f>VLOOKUP(L902,'Data Info'!$A$1:$C$8,3,0)</f>
        <v>Weekday</v>
      </c>
    </row>
    <row r="903">
      <c r="A903" s="4">
        <v>45547.64513888889</v>
      </c>
      <c r="B903" s="9">
        <f>IFERROR(__xludf.DUMMYFUNCTION("SPLIT(A903,"" "")"),45547.0)</f>
        <v>45547</v>
      </c>
      <c r="C903" s="10">
        <f>IFERROR(__xludf.DUMMYFUNCTION("""COMPUTED_VALUE"""),0.6451388888888889)</f>
        <v>0.6451388889</v>
      </c>
      <c r="D903" s="2">
        <f t="shared" si="1"/>
        <v>15</v>
      </c>
      <c r="E903" s="2">
        <f>IFERROR(__xludf.DUMMYFUNCTION("SPLIT(B903,""/"")"),12.0)</f>
        <v>12</v>
      </c>
      <c r="F903" s="2">
        <f>IFERROR(__xludf.DUMMYFUNCTION("""COMPUTED_VALUE"""),9.0)</f>
        <v>9</v>
      </c>
      <c r="G903" s="2">
        <f>IFERROR(__xludf.DUMMYFUNCTION("""COMPUTED_VALUE"""),2024.0)</f>
        <v>2024</v>
      </c>
      <c r="H903" s="2" t="str">
        <f t="shared" si="2"/>
        <v>2024/9/12</v>
      </c>
      <c r="I903" s="2" t="s">
        <v>1588</v>
      </c>
      <c r="J903" s="2" t="str">
        <f t="shared" si="3"/>
        <v>Es Kopi Susu</v>
      </c>
      <c r="K903" s="7">
        <f>if(RIGHT(I903,5)="2 pcs",2,Data!I903)</f>
        <v>1</v>
      </c>
      <c r="L903" s="2" t="str">
        <f t="shared" si="4"/>
        <v>Thursday</v>
      </c>
      <c r="M903" s="2" t="str">
        <f t="shared" si="5"/>
        <v>12</v>
      </c>
      <c r="N903" s="2">
        <f>VLOOKUP(L903,'Data Info'!$A$1:$B$8,2,0)</f>
        <v>4</v>
      </c>
      <c r="O903" s="2" t="str">
        <f>VLOOKUP(L903,'Data Info'!$A$1:$C$8,3,0)</f>
        <v>Weekday</v>
      </c>
    </row>
    <row r="904">
      <c r="A904" s="4">
        <v>45547.64513888889</v>
      </c>
      <c r="B904" s="9">
        <f>IFERROR(__xludf.DUMMYFUNCTION("SPLIT(A904,"" "")"),45547.0)</f>
        <v>45547</v>
      </c>
      <c r="C904" s="10">
        <f>IFERROR(__xludf.DUMMYFUNCTION("""COMPUTED_VALUE"""),0.6451388888888889)</f>
        <v>0.6451388889</v>
      </c>
      <c r="D904" s="2">
        <f t="shared" si="1"/>
        <v>15</v>
      </c>
      <c r="E904" s="2">
        <f>IFERROR(__xludf.DUMMYFUNCTION("SPLIT(B904,""/"")"),12.0)</f>
        <v>12</v>
      </c>
      <c r="F904" s="2">
        <f>IFERROR(__xludf.DUMMYFUNCTION("""COMPUTED_VALUE"""),9.0)</f>
        <v>9</v>
      </c>
      <c r="G904" s="2">
        <f>IFERROR(__xludf.DUMMYFUNCTION("""COMPUTED_VALUE"""),2024.0)</f>
        <v>2024</v>
      </c>
      <c r="H904" s="2" t="str">
        <f t="shared" si="2"/>
        <v>2024/9/12</v>
      </c>
      <c r="I904" s="2" t="s">
        <v>1608</v>
      </c>
      <c r="J904" s="2" t="str">
        <f t="shared" si="3"/>
        <v>Susu murni strawberry</v>
      </c>
      <c r="K904" s="7">
        <f>if(RIGHT(I904,5)="2 pcs",2,Data!I904)</f>
        <v>1</v>
      </c>
      <c r="L904" s="2" t="str">
        <f t="shared" si="4"/>
        <v>Thursday</v>
      </c>
      <c r="M904" s="2" t="str">
        <f t="shared" si="5"/>
        <v>12</v>
      </c>
      <c r="N904" s="2">
        <f>VLOOKUP(L904,'Data Info'!$A$1:$B$8,2,0)</f>
        <v>4</v>
      </c>
      <c r="O904" s="2" t="str">
        <f>VLOOKUP(L904,'Data Info'!$A$1:$C$8,3,0)</f>
        <v>Weekday</v>
      </c>
    </row>
    <row r="905">
      <c r="A905" s="4">
        <v>45547.60763888889</v>
      </c>
      <c r="B905" s="9">
        <f>IFERROR(__xludf.DUMMYFUNCTION("SPLIT(A905,"" "")"),45547.0)</f>
        <v>45547</v>
      </c>
      <c r="C905" s="10">
        <f>IFERROR(__xludf.DUMMYFUNCTION("""COMPUTED_VALUE"""),0.6076388888888888)</f>
        <v>0.6076388889</v>
      </c>
      <c r="D905" s="2">
        <f t="shared" si="1"/>
        <v>14</v>
      </c>
      <c r="E905" s="2">
        <f>IFERROR(__xludf.DUMMYFUNCTION("SPLIT(B905,""/"")"),12.0)</f>
        <v>12</v>
      </c>
      <c r="F905" s="2">
        <f>IFERROR(__xludf.DUMMYFUNCTION("""COMPUTED_VALUE"""),9.0)</f>
        <v>9</v>
      </c>
      <c r="G905" s="2">
        <f>IFERROR(__xludf.DUMMYFUNCTION("""COMPUTED_VALUE"""),2024.0)</f>
        <v>2024</v>
      </c>
      <c r="H905" s="2" t="str">
        <f t="shared" si="2"/>
        <v>2024/9/12</v>
      </c>
      <c r="I905" s="2" t="s">
        <v>1617</v>
      </c>
      <c r="J905" s="2" t="str">
        <f t="shared" si="3"/>
        <v>Lemon Tea Dingin</v>
      </c>
      <c r="K905" s="7">
        <f>if(RIGHT(I905,5)="2 pcs",2,Data!I905)</f>
        <v>1</v>
      </c>
      <c r="L905" s="2" t="str">
        <f t="shared" si="4"/>
        <v>Thursday</v>
      </c>
      <c r="M905" s="2" t="str">
        <f t="shared" si="5"/>
        <v>12</v>
      </c>
      <c r="N905" s="2">
        <f>VLOOKUP(L905,'Data Info'!$A$1:$B$8,2,0)</f>
        <v>4</v>
      </c>
      <c r="O905" s="2" t="str">
        <f>VLOOKUP(L905,'Data Info'!$A$1:$C$8,3,0)</f>
        <v>Weekday</v>
      </c>
    </row>
    <row r="906">
      <c r="A906" s="4">
        <v>45547.60763888889</v>
      </c>
      <c r="B906" s="9">
        <f>IFERROR(__xludf.DUMMYFUNCTION("SPLIT(A906,"" "")"),45547.0)</f>
        <v>45547</v>
      </c>
      <c r="C906" s="10">
        <f>IFERROR(__xludf.DUMMYFUNCTION("""COMPUTED_VALUE"""),0.6076388888888888)</f>
        <v>0.6076388889</v>
      </c>
      <c r="D906" s="2">
        <f t="shared" si="1"/>
        <v>14</v>
      </c>
      <c r="E906" s="2">
        <f>IFERROR(__xludf.DUMMYFUNCTION("SPLIT(B906,""/"")"),12.0)</f>
        <v>12</v>
      </c>
      <c r="F906" s="2">
        <f>IFERROR(__xludf.DUMMYFUNCTION("""COMPUTED_VALUE"""),9.0)</f>
        <v>9</v>
      </c>
      <c r="G906" s="2">
        <f>IFERROR(__xludf.DUMMYFUNCTION("""COMPUTED_VALUE"""),2024.0)</f>
        <v>2024</v>
      </c>
      <c r="H906" s="2" t="str">
        <f t="shared" si="2"/>
        <v>2024/9/12</v>
      </c>
      <c r="I906" s="2" t="s">
        <v>1616</v>
      </c>
      <c r="J906" s="2" t="str">
        <f t="shared" si="3"/>
        <v>Roti panggang coklat</v>
      </c>
      <c r="K906" s="7">
        <f>if(RIGHT(I906,5)="2 pcs",2,Data!I906)</f>
        <v>1</v>
      </c>
      <c r="L906" s="2" t="str">
        <f t="shared" si="4"/>
        <v>Thursday</v>
      </c>
      <c r="M906" s="2" t="str">
        <f t="shared" si="5"/>
        <v>12</v>
      </c>
      <c r="N906" s="2">
        <f>VLOOKUP(L906,'Data Info'!$A$1:$B$8,2,0)</f>
        <v>4</v>
      </c>
      <c r="O906" s="2" t="str">
        <f>VLOOKUP(L906,'Data Info'!$A$1:$C$8,3,0)</f>
        <v>Weekday</v>
      </c>
    </row>
    <row r="907">
      <c r="A907" s="4">
        <v>45547.60763888889</v>
      </c>
      <c r="B907" s="9">
        <f>IFERROR(__xludf.DUMMYFUNCTION("SPLIT(A907,"" "")"),45547.0)</f>
        <v>45547</v>
      </c>
      <c r="C907" s="10">
        <f>IFERROR(__xludf.DUMMYFUNCTION("""COMPUTED_VALUE"""),0.6076388888888888)</f>
        <v>0.6076388889</v>
      </c>
      <c r="D907" s="2">
        <f t="shared" si="1"/>
        <v>14</v>
      </c>
      <c r="E907" s="2">
        <f>IFERROR(__xludf.DUMMYFUNCTION("SPLIT(B907,""/"")"),12.0)</f>
        <v>12</v>
      </c>
      <c r="F907" s="2">
        <f>IFERROR(__xludf.DUMMYFUNCTION("""COMPUTED_VALUE"""),9.0)</f>
        <v>9</v>
      </c>
      <c r="G907" s="2">
        <f>IFERROR(__xludf.DUMMYFUNCTION("""COMPUTED_VALUE"""),2024.0)</f>
        <v>2024</v>
      </c>
      <c r="H907" s="2" t="str">
        <f t="shared" si="2"/>
        <v>2024/9/12</v>
      </c>
      <c r="I907" s="2" t="s">
        <v>1581</v>
      </c>
      <c r="J907" s="2" t="str">
        <f t="shared" si="3"/>
        <v>Chicken Claypot Rice</v>
      </c>
      <c r="K907" s="7">
        <f>if(RIGHT(I907,5)="2 pcs",2,Data!I907)</f>
        <v>1</v>
      </c>
      <c r="L907" s="2" t="str">
        <f t="shared" si="4"/>
        <v>Thursday</v>
      </c>
      <c r="M907" s="2" t="str">
        <f t="shared" si="5"/>
        <v>12</v>
      </c>
      <c r="N907" s="2">
        <f>VLOOKUP(L907,'Data Info'!$A$1:$B$8,2,0)</f>
        <v>4</v>
      </c>
      <c r="O907" s="2" t="str">
        <f>VLOOKUP(L907,'Data Info'!$A$1:$C$8,3,0)</f>
        <v>Weekday</v>
      </c>
    </row>
    <row r="908">
      <c r="A908" s="4">
        <v>45547.60625</v>
      </c>
      <c r="B908" s="9">
        <f>IFERROR(__xludf.DUMMYFUNCTION("SPLIT(A908,"" "")"),45547.0)</f>
        <v>45547</v>
      </c>
      <c r="C908" s="10">
        <f>IFERROR(__xludf.DUMMYFUNCTION("""COMPUTED_VALUE"""),0.60625)</f>
        <v>0.60625</v>
      </c>
      <c r="D908" s="2">
        <f t="shared" si="1"/>
        <v>14</v>
      </c>
      <c r="E908" s="2">
        <f>IFERROR(__xludf.DUMMYFUNCTION("SPLIT(B908,""/"")"),12.0)</f>
        <v>12</v>
      </c>
      <c r="F908" s="2">
        <f>IFERROR(__xludf.DUMMYFUNCTION("""COMPUTED_VALUE"""),9.0)</f>
        <v>9</v>
      </c>
      <c r="G908" s="2">
        <f>IFERROR(__xludf.DUMMYFUNCTION("""COMPUTED_VALUE"""),2024.0)</f>
        <v>2024</v>
      </c>
      <c r="H908" s="2" t="str">
        <f t="shared" si="2"/>
        <v>2024/9/12</v>
      </c>
      <c r="I908" s="2" t="s">
        <v>1573</v>
      </c>
      <c r="J908" s="2" t="str">
        <f t="shared" si="3"/>
        <v>Air mineral</v>
      </c>
      <c r="K908" s="7">
        <f>if(RIGHT(I908,5)="2 pcs",2,Data!I908)</f>
        <v>-2</v>
      </c>
      <c r="L908" s="2" t="str">
        <f t="shared" si="4"/>
        <v>Thursday</v>
      </c>
      <c r="M908" s="2" t="str">
        <f t="shared" si="5"/>
        <v>12</v>
      </c>
      <c r="N908" s="2">
        <f>VLOOKUP(L908,'Data Info'!$A$1:$B$8,2,0)</f>
        <v>4</v>
      </c>
      <c r="O908" s="2" t="str">
        <f>VLOOKUP(L908,'Data Info'!$A$1:$C$8,3,0)</f>
        <v>Weekday</v>
      </c>
    </row>
    <row r="909">
      <c r="A909" s="4">
        <v>45547.60625</v>
      </c>
      <c r="B909" s="9">
        <f>IFERROR(__xludf.DUMMYFUNCTION("SPLIT(A909,"" "")"),45547.0)</f>
        <v>45547</v>
      </c>
      <c r="C909" s="10">
        <f>IFERROR(__xludf.DUMMYFUNCTION("""COMPUTED_VALUE"""),0.60625)</f>
        <v>0.60625</v>
      </c>
      <c r="D909" s="2">
        <f t="shared" si="1"/>
        <v>14</v>
      </c>
      <c r="E909" s="2">
        <f>IFERROR(__xludf.DUMMYFUNCTION("SPLIT(B909,""/"")"),12.0)</f>
        <v>12</v>
      </c>
      <c r="F909" s="2">
        <f>IFERROR(__xludf.DUMMYFUNCTION("""COMPUTED_VALUE"""),9.0)</f>
        <v>9</v>
      </c>
      <c r="G909" s="2">
        <f>IFERROR(__xludf.DUMMYFUNCTION("""COMPUTED_VALUE"""),2024.0)</f>
        <v>2024</v>
      </c>
      <c r="H909" s="2" t="str">
        <f t="shared" si="2"/>
        <v>2024/9/12</v>
      </c>
      <c r="I909" s="2" t="s">
        <v>1589</v>
      </c>
      <c r="J909" s="2" t="str">
        <f t="shared" si="3"/>
        <v>Teh Manis Dingin</v>
      </c>
      <c r="K909" s="7">
        <f>if(RIGHT(I909,5)="2 pcs",2,Data!I909)</f>
        <v>-1</v>
      </c>
      <c r="L909" s="2" t="str">
        <f t="shared" si="4"/>
        <v>Thursday</v>
      </c>
      <c r="M909" s="2" t="str">
        <f t="shared" si="5"/>
        <v>12</v>
      </c>
      <c r="N909" s="2">
        <f>VLOOKUP(L909,'Data Info'!$A$1:$B$8,2,0)</f>
        <v>4</v>
      </c>
      <c r="O909" s="2" t="str">
        <f>VLOOKUP(L909,'Data Info'!$A$1:$C$8,3,0)</f>
        <v>Weekday</v>
      </c>
    </row>
    <row r="910">
      <c r="A910" s="4">
        <v>45547.60625</v>
      </c>
      <c r="B910" s="9">
        <f>IFERROR(__xludf.DUMMYFUNCTION("SPLIT(A910,"" "")"),45547.0)</f>
        <v>45547</v>
      </c>
      <c r="C910" s="10">
        <f>IFERROR(__xludf.DUMMYFUNCTION("""COMPUTED_VALUE"""),0.60625)</f>
        <v>0.60625</v>
      </c>
      <c r="D910" s="2">
        <f t="shared" si="1"/>
        <v>14</v>
      </c>
      <c r="E910" s="2">
        <f>IFERROR(__xludf.DUMMYFUNCTION("SPLIT(B910,""/"")"),12.0)</f>
        <v>12</v>
      </c>
      <c r="F910" s="2">
        <f>IFERROR(__xludf.DUMMYFUNCTION("""COMPUTED_VALUE"""),9.0)</f>
        <v>9</v>
      </c>
      <c r="G910" s="2">
        <f>IFERROR(__xludf.DUMMYFUNCTION("""COMPUTED_VALUE"""),2024.0)</f>
        <v>2024</v>
      </c>
      <c r="H910" s="2" t="str">
        <f t="shared" si="2"/>
        <v>2024/9/12</v>
      </c>
      <c r="I910" s="2" t="s">
        <v>1588</v>
      </c>
      <c r="J910" s="2" t="str">
        <f t="shared" si="3"/>
        <v>Es Kopi Susu</v>
      </c>
      <c r="K910" s="7">
        <f>if(RIGHT(I910,5)="2 pcs",2,Data!I910)</f>
        <v>-1</v>
      </c>
      <c r="L910" s="2" t="str">
        <f t="shared" si="4"/>
        <v>Thursday</v>
      </c>
      <c r="M910" s="2" t="str">
        <f t="shared" si="5"/>
        <v>12</v>
      </c>
      <c r="N910" s="2">
        <f>VLOOKUP(L910,'Data Info'!$A$1:$B$8,2,0)</f>
        <v>4</v>
      </c>
      <c r="O910" s="2" t="str">
        <f>VLOOKUP(L910,'Data Info'!$A$1:$C$8,3,0)</f>
        <v>Weekday</v>
      </c>
    </row>
    <row r="911">
      <c r="A911" s="4">
        <v>45547.60625</v>
      </c>
      <c r="B911" s="9">
        <f>IFERROR(__xludf.DUMMYFUNCTION("SPLIT(A911,"" "")"),45547.0)</f>
        <v>45547</v>
      </c>
      <c r="C911" s="10">
        <f>IFERROR(__xludf.DUMMYFUNCTION("""COMPUTED_VALUE"""),0.60625)</f>
        <v>0.60625</v>
      </c>
      <c r="D911" s="2">
        <f t="shared" si="1"/>
        <v>14</v>
      </c>
      <c r="E911" s="2">
        <f>IFERROR(__xludf.DUMMYFUNCTION("SPLIT(B911,""/"")"),12.0)</f>
        <v>12</v>
      </c>
      <c r="F911" s="2">
        <f>IFERROR(__xludf.DUMMYFUNCTION("""COMPUTED_VALUE"""),9.0)</f>
        <v>9</v>
      </c>
      <c r="G911" s="2">
        <f>IFERROR(__xludf.DUMMYFUNCTION("""COMPUTED_VALUE"""),2024.0)</f>
        <v>2024</v>
      </c>
      <c r="H911" s="2" t="str">
        <f t="shared" si="2"/>
        <v>2024/9/12</v>
      </c>
      <c r="I911" s="2" t="s">
        <v>1588</v>
      </c>
      <c r="J911" s="2" t="str">
        <f t="shared" si="3"/>
        <v>Es Kopi Susu</v>
      </c>
      <c r="K911" s="7">
        <f>if(RIGHT(I911,5)="2 pcs",2,Data!I911)</f>
        <v>1</v>
      </c>
      <c r="L911" s="2" t="str">
        <f t="shared" si="4"/>
        <v>Thursday</v>
      </c>
      <c r="M911" s="2" t="str">
        <f t="shared" si="5"/>
        <v>12</v>
      </c>
      <c r="N911" s="2">
        <f>VLOOKUP(L911,'Data Info'!$A$1:$B$8,2,0)</f>
        <v>4</v>
      </c>
      <c r="O911" s="2" t="str">
        <f>VLOOKUP(L911,'Data Info'!$A$1:$C$8,3,0)</f>
        <v>Weekday</v>
      </c>
    </row>
    <row r="912">
      <c r="A912" s="4">
        <v>45547.60625</v>
      </c>
      <c r="B912" s="9">
        <f>IFERROR(__xludf.DUMMYFUNCTION("SPLIT(A912,"" "")"),45547.0)</f>
        <v>45547</v>
      </c>
      <c r="C912" s="10">
        <f>IFERROR(__xludf.DUMMYFUNCTION("""COMPUTED_VALUE"""),0.60625)</f>
        <v>0.60625</v>
      </c>
      <c r="D912" s="2">
        <f t="shared" si="1"/>
        <v>14</v>
      </c>
      <c r="E912" s="2">
        <f>IFERROR(__xludf.DUMMYFUNCTION("SPLIT(B912,""/"")"),12.0)</f>
        <v>12</v>
      </c>
      <c r="F912" s="2">
        <f>IFERROR(__xludf.DUMMYFUNCTION("""COMPUTED_VALUE"""),9.0)</f>
        <v>9</v>
      </c>
      <c r="G912" s="2">
        <f>IFERROR(__xludf.DUMMYFUNCTION("""COMPUTED_VALUE"""),2024.0)</f>
        <v>2024</v>
      </c>
      <c r="H912" s="2" t="str">
        <f t="shared" si="2"/>
        <v>2024/9/12</v>
      </c>
      <c r="I912" s="2" t="s">
        <v>1589</v>
      </c>
      <c r="J912" s="2" t="str">
        <f t="shared" si="3"/>
        <v>Teh Manis Dingin</v>
      </c>
      <c r="K912" s="7">
        <f>if(RIGHT(I912,5)="2 pcs",2,Data!I912)</f>
        <v>1</v>
      </c>
      <c r="L912" s="2" t="str">
        <f t="shared" si="4"/>
        <v>Thursday</v>
      </c>
      <c r="M912" s="2" t="str">
        <f t="shared" si="5"/>
        <v>12</v>
      </c>
      <c r="N912" s="2">
        <f>VLOOKUP(L912,'Data Info'!$A$1:$B$8,2,0)</f>
        <v>4</v>
      </c>
      <c r="O912" s="2" t="str">
        <f>VLOOKUP(L912,'Data Info'!$A$1:$C$8,3,0)</f>
        <v>Weekday</v>
      </c>
    </row>
    <row r="913">
      <c r="A913" s="4">
        <v>45547.60625</v>
      </c>
      <c r="B913" s="9">
        <f>IFERROR(__xludf.DUMMYFUNCTION("SPLIT(A913,"" "")"),45547.0)</f>
        <v>45547</v>
      </c>
      <c r="C913" s="10">
        <f>IFERROR(__xludf.DUMMYFUNCTION("""COMPUTED_VALUE"""),0.60625)</f>
        <v>0.60625</v>
      </c>
      <c r="D913" s="2">
        <f t="shared" si="1"/>
        <v>14</v>
      </c>
      <c r="E913" s="2">
        <f>IFERROR(__xludf.DUMMYFUNCTION("SPLIT(B913,""/"")"),12.0)</f>
        <v>12</v>
      </c>
      <c r="F913" s="2">
        <f>IFERROR(__xludf.DUMMYFUNCTION("""COMPUTED_VALUE"""),9.0)</f>
        <v>9</v>
      </c>
      <c r="G913" s="2">
        <f>IFERROR(__xludf.DUMMYFUNCTION("""COMPUTED_VALUE"""),2024.0)</f>
        <v>2024</v>
      </c>
      <c r="H913" s="2" t="str">
        <f t="shared" si="2"/>
        <v>2024/9/12</v>
      </c>
      <c r="I913" s="2" t="s">
        <v>1573</v>
      </c>
      <c r="J913" s="2" t="str">
        <f t="shared" si="3"/>
        <v>Air mineral</v>
      </c>
      <c r="K913" s="7">
        <f>if(RIGHT(I913,5)="2 pcs",2,Data!I913)</f>
        <v>2</v>
      </c>
      <c r="L913" s="2" t="str">
        <f t="shared" si="4"/>
        <v>Thursday</v>
      </c>
      <c r="M913" s="2" t="str">
        <f t="shared" si="5"/>
        <v>12</v>
      </c>
      <c r="N913" s="2">
        <f>VLOOKUP(L913,'Data Info'!$A$1:$B$8,2,0)</f>
        <v>4</v>
      </c>
      <c r="O913" s="2" t="str">
        <f>VLOOKUP(L913,'Data Info'!$A$1:$C$8,3,0)</f>
        <v>Weekday</v>
      </c>
    </row>
    <row r="914">
      <c r="A914" s="4">
        <v>45547.60555555556</v>
      </c>
      <c r="B914" s="9">
        <f>IFERROR(__xludf.DUMMYFUNCTION("SPLIT(A914,"" "")"),45547.0)</f>
        <v>45547</v>
      </c>
      <c r="C914" s="10">
        <f>IFERROR(__xludf.DUMMYFUNCTION("""COMPUTED_VALUE"""),0.6055555555555555)</f>
        <v>0.6055555556</v>
      </c>
      <c r="D914" s="2">
        <f t="shared" si="1"/>
        <v>14</v>
      </c>
      <c r="E914" s="2">
        <f>IFERROR(__xludf.DUMMYFUNCTION("SPLIT(B914,""/"")"),12.0)</f>
        <v>12</v>
      </c>
      <c r="F914" s="2">
        <f>IFERROR(__xludf.DUMMYFUNCTION("""COMPUTED_VALUE"""),9.0)</f>
        <v>9</v>
      </c>
      <c r="G914" s="2">
        <f>IFERROR(__xludf.DUMMYFUNCTION("""COMPUTED_VALUE"""),2024.0)</f>
        <v>2024</v>
      </c>
      <c r="H914" s="2" t="str">
        <f t="shared" si="2"/>
        <v>2024/9/12</v>
      </c>
      <c r="I914" s="2" t="s">
        <v>1573</v>
      </c>
      <c r="J914" s="2" t="str">
        <f t="shared" si="3"/>
        <v>Air mineral</v>
      </c>
      <c r="K914" s="7">
        <f>if(RIGHT(I914,5)="2 pcs",2,Data!I914)</f>
        <v>2</v>
      </c>
      <c r="L914" s="2" t="str">
        <f t="shared" si="4"/>
        <v>Thursday</v>
      </c>
      <c r="M914" s="2" t="str">
        <f t="shared" si="5"/>
        <v>12</v>
      </c>
      <c r="N914" s="2">
        <f>VLOOKUP(L914,'Data Info'!$A$1:$B$8,2,0)</f>
        <v>4</v>
      </c>
      <c r="O914" s="2" t="str">
        <f>VLOOKUP(L914,'Data Info'!$A$1:$C$8,3,0)</f>
        <v>Weekday</v>
      </c>
    </row>
    <row r="915">
      <c r="A915" s="4">
        <v>45547.60555555556</v>
      </c>
      <c r="B915" s="9">
        <f>IFERROR(__xludf.DUMMYFUNCTION("SPLIT(A915,"" "")"),45547.0)</f>
        <v>45547</v>
      </c>
      <c r="C915" s="10">
        <f>IFERROR(__xludf.DUMMYFUNCTION("""COMPUTED_VALUE"""),0.6055555555555555)</f>
        <v>0.6055555556</v>
      </c>
      <c r="D915" s="2">
        <f t="shared" si="1"/>
        <v>14</v>
      </c>
      <c r="E915" s="2">
        <f>IFERROR(__xludf.DUMMYFUNCTION("SPLIT(B915,""/"")"),12.0)</f>
        <v>12</v>
      </c>
      <c r="F915" s="2">
        <f>IFERROR(__xludf.DUMMYFUNCTION("""COMPUTED_VALUE"""),9.0)</f>
        <v>9</v>
      </c>
      <c r="G915" s="2">
        <f>IFERROR(__xludf.DUMMYFUNCTION("""COMPUTED_VALUE"""),2024.0)</f>
        <v>2024</v>
      </c>
      <c r="H915" s="2" t="str">
        <f t="shared" si="2"/>
        <v>2024/9/12</v>
      </c>
      <c r="I915" s="2" t="s">
        <v>1589</v>
      </c>
      <c r="J915" s="2" t="str">
        <f t="shared" si="3"/>
        <v>Teh Manis Dingin</v>
      </c>
      <c r="K915" s="7">
        <f>if(RIGHT(I915,5)="2 pcs",2,Data!I915)</f>
        <v>1</v>
      </c>
      <c r="L915" s="2" t="str">
        <f t="shared" si="4"/>
        <v>Thursday</v>
      </c>
      <c r="M915" s="2" t="str">
        <f t="shared" si="5"/>
        <v>12</v>
      </c>
      <c r="N915" s="2">
        <f>VLOOKUP(L915,'Data Info'!$A$1:$B$8,2,0)</f>
        <v>4</v>
      </c>
      <c r="O915" s="2" t="str">
        <f>VLOOKUP(L915,'Data Info'!$A$1:$C$8,3,0)</f>
        <v>Weekday</v>
      </c>
    </row>
    <row r="916">
      <c r="A916" s="4">
        <v>45547.60555555556</v>
      </c>
      <c r="B916" s="9">
        <f>IFERROR(__xludf.DUMMYFUNCTION("SPLIT(A916,"" "")"),45547.0)</f>
        <v>45547</v>
      </c>
      <c r="C916" s="10">
        <f>IFERROR(__xludf.DUMMYFUNCTION("""COMPUTED_VALUE"""),0.6055555555555555)</f>
        <v>0.6055555556</v>
      </c>
      <c r="D916" s="2">
        <f t="shared" si="1"/>
        <v>14</v>
      </c>
      <c r="E916" s="2">
        <f>IFERROR(__xludf.DUMMYFUNCTION("SPLIT(B916,""/"")"),12.0)</f>
        <v>12</v>
      </c>
      <c r="F916" s="2">
        <f>IFERROR(__xludf.DUMMYFUNCTION("""COMPUTED_VALUE"""),9.0)</f>
        <v>9</v>
      </c>
      <c r="G916" s="2">
        <f>IFERROR(__xludf.DUMMYFUNCTION("""COMPUTED_VALUE"""),2024.0)</f>
        <v>2024</v>
      </c>
      <c r="H916" s="2" t="str">
        <f t="shared" si="2"/>
        <v>2024/9/12</v>
      </c>
      <c r="I916" s="2" t="s">
        <v>1588</v>
      </c>
      <c r="J916" s="2" t="str">
        <f t="shared" si="3"/>
        <v>Es Kopi Susu</v>
      </c>
      <c r="K916" s="7">
        <f>if(RIGHT(I916,5)="2 pcs",2,Data!I916)</f>
        <v>1</v>
      </c>
      <c r="L916" s="2" t="str">
        <f t="shared" si="4"/>
        <v>Thursday</v>
      </c>
      <c r="M916" s="2" t="str">
        <f t="shared" si="5"/>
        <v>12</v>
      </c>
      <c r="N916" s="2">
        <f>VLOOKUP(L916,'Data Info'!$A$1:$B$8,2,0)</f>
        <v>4</v>
      </c>
      <c r="O916" s="2" t="str">
        <f>VLOOKUP(L916,'Data Info'!$A$1:$C$8,3,0)</f>
        <v>Weekday</v>
      </c>
    </row>
    <row r="917">
      <c r="A917" s="4">
        <v>45547.55972222222</v>
      </c>
      <c r="B917" s="9">
        <f>IFERROR(__xludf.DUMMYFUNCTION("SPLIT(A917,"" "")"),45547.0)</f>
        <v>45547</v>
      </c>
      <c r="C917" s="10">
        <f>IFERROR(__xludf.DUMMYFUNCTION("""COMPUTED_VALUE"""),0.5597222222222222)</f>
        <v>0.5597222222</v>
      </c>
      <c r="D917" s="2">
        <f t="shared" si="1"/>
        <v>13</v>
      </c>
      <c r="E917" s="2">
        <f>IFERROR(__xludf.DUMMYFUNCTION("SPLIT(B917,""/"")"),12.0)</f>
        <v>12</v>
      </c>
      <c r="F917" s="2">
        <f>IFERROR(__xludf.DUMMYFUNCTION("""COMPUTED_VALUE"""),9.0)</f>
        <v>9</v>
      </c>
      <c r="G917" s="2">
        <f>IFERROR(__xludf.DUMMYFUNCTION("""COMPUTED_VALUE"""),2024.0)</f>
        <v>2024</v>
      </c>
      <c r="H917" s="2" t="str">
        <f t="shared" si="2"/>
        <v>2024/9/12</v>
      </c>
      <c r="I917" s="2" t="s">
        <v>1586</v>
      </c>
      <c r="J917" s="2" t="str">
        <f t="shared" si="3"/>
        <v>Jamur Enoki Krispi</v>
      </c>
      <c r="K917" s="7">
        <f>if(RIGHT(I917,5)="2 pcs",2,Data!I917)</f>
        <v>1</v>
      </c>
      <c r="L917" s="2" t="str">
        <f t="shared" si="4"/>
        <v>Thursday</v>
      </c>
      <c r="M917" s="2" t="str">
        <f t="shared" si="5"/>
        <v>12</v>
      </c>
      <c r="N917" s="2">
        <f>VLOOKUP(L917,'Data Info'!$A$1:$B$8,2,0)</f>
        <v>4</v>
      </c>
      <c r="O917" s="2" t="str">
        <f>VLOOKUP(L917,'Data Info'!$A$1:$C$8,3,0)</f>
        <v>Weekday</v>
      </c>
    </row>
    <row r="918">
      <c r="A918" s="4">
        <v>45547.55972222222</v>
      </c>
      <c r="B918" s="9">
        <f>IFERROR(__xludf.DUMMYFUNCTION("SPLIT(A918,"" "")"),45547.0)</f>
        <v>45547</v>
      </c>
      <c r="C918" s="10">
        <f>IFERROR(__xludf.DUMMYFUNCTION("""COMPUTED_VALUE"""),0.5597222222222222)</f>
        <v>0.5597222222</v>
      </c>
      <c r="D918" s="2">
        <f t="shared" si="1"/>
        <v>13</v>
      </c>
      <c r="E918" s="2">
        <f>IFERROR(__xludf.DUMMYFUNCTION("SPLIT(B918,""/"")"),12.0)</f>
        <v>12</v>
      </c>
      <c r="F918" s="2">
        <f>IFERROR(__xludf.DUMMYFUNCTION("""COMPUTED_VALUE"""),9.0)</f>
        <v>9</v>
      </c>
      <c r="G918" s="2">
        <f>IFERROR(__xludf.DUMMYFUNCTION("""COMPUTED_VALUE"""),2024.0)</f>
        <v>2024</v>
      </c>
      <c r="H918" s="2" t="str">
        <f t="shared" si="2"/>
        <v>2024/9/12</v>
      </c>
      <c r="I918" s="2" t="s">
        <v>1598</v>
      </c>
      <c r="J918" s="2" t="str">
        <f t="shared" si="3"/>
        <v>Korean Strawberry Fresh Milk</v>
      </c>
      <c r="K918" s="7">
        <f>if(RIGHT(I918,5)="2 pcs",2,Data!I918)</f>
        <v>1</v>
      </c>
      <c r="L918" s="2" t="str">
        <f t="shared" si="4"/>
        <v>Thursday</v>
      </c>
      <c r="M918" s="2" t="str">
        <f t="shared" si="5"/>
        <v>12</v>
      </c>
      <c r="N918" s="2">
        <f>VLOOKUP(L918,'Data Info'!$A$1:$B$8,2,0)</f>
        <v>4</v>
      </c>
      <c r="O918" s="2" t="str">
        <f>VLOOKUP(L918,'Data Info'!$A$1:$C$8,3,0)</f>
        <v>Weekday</v>
      </c>
    </row>
    <row r="919">
      <c r="A919" s="4">
        <v>45547.552083333336</v>
      </c>
      <c r="B919" s="9">
        <f>IFERROR(__xludf.DUMMYFUNCTION("SPLIT(A919,"" "")"),45547.0)</f>
        <v>45547</v>
      </c>
      <c r="C919" s="10">
        <f>IFERROR(__xludf.DUMMYFUNCTION("""COMPUTED_VALUE"""),0.5520833333333334)</f>
        <v>0.5520833333</v>
      </c>
      <c r="D919" s="2">
        <f t="shared" si="1"/>
        <v>13</v>
      </c>
      <c r="E919" s="2">
        <f>IFERROR(__xludf.DUMMYFUNCTION("SPLIT(B919,""/"")"),12.0)</f>
        <v>12</v>
      </c>
      <c r="F919" s="2">
        <f>IFERROR(__xludf.DUMMYFUNCTION("""COMPUTED_VALUE"""),9.0)</f>
        <v>9</v>
      </c>
      <c r="G919" s="2">
        <f>IFERROR(__xludf.DUMMYFUNCTION("""COMPUTED_VALUE"""),2024.0)</f>
        <v>2024</v>
      </c>
      <c r="H919" s="2" t="str">
        <f t="shared" si="2"/>
        <v>2024/9/12</v>
      </c>
      <c r="I919" s="2" t="s">
        <v>1615</v>
      </c>
      <c r="J919" s="2" t="str">
        <f t="shared" si="3"/>
        <v>Roti panggang sarikaya</v>
      </c>
      <c r="K919" s="7">
        <f>if(RIGHT(I919,5)="2 pcs",2,Data!I919)</f>
        <v>1</v>
      </c>
      <c r="L919" s="2" t="str">
        <f t="shared" si="4"/>
        <v>Thursday</v>
      </c>
      <c r="M919" s="2" t="str">
        <f t="shared" si="5"/>
        <v>12</v>
      </c>
      <c r="N919" s="2">
        <f>VLOOKUP(L919,'Data Info'!$A$1:$B$8,2,0)</f>
        <v>4</v>
      </c>
      <c r="O919" s="2" t="str">
        <f>VLOOKUP(L919,'Data Info'!$A$1:$C$8,3,0)</f>
        <v>Weekday</v>
      </c>
    </row>
    <row r="920">
      <c r="A920" s="4">
        <v>45547.552083333336</v>
      </c>
      <c r="B920" s="9">
        <f>IFERROR(__xludf.DUMMYFUNCTION("SPLIT(A920,"" "")"),45547.0)</f>
        <v>45547</v>
      </c>
      <c r="C920" s="10">
        <f>IFERROR(__xludf.DUMMYFUNCTION("""COMPUTED_VALUE"""),0.5520833333333334)</f>
        <v>0.5520833333</v>
      </c>
      <c r="D920" s="2">
        <f t="shared" si="1"/>
        <v>13</v>
      </c>
      <c r="E920" s="2">
        <f>IFERROR(__xludf.DUMMYFUNCTION("SPLIT(B920,""/"")"),12.0)</f>
        <v>12</v>
      </c>
      <c r="F920" s="2">
        <f>IFERROR(__xludf.DUMMYFUNCTION("""COMPUTED_VALUE"""),9.0)</f>
        <v>9</v>
      </c>
      <c r="G920" s="2">
        <f>IFERROR(__xludf.DUMMYFUNCTION("""COMPUTED_VALUE"""),2024.0)</f>
        <v>2024</v>
      </c>
      <c r="H920" s="2" t="str">
        <f t="shared" si="2"/>
        <v>2024/9/12</v>
      </c>
      <c r="I920" s="2" t="s">
        <v>1622</v>
      </c>
      <c r="J920" s="2" t="str">
        <f t="shared" si="3"/>
        <v>Roti panggang strawberry</v>
      </c>
      <c r="K920" s="7">
        <f>if(RIGHT(I920,5)="2 pcs",2,Data!I920)</f>
        <v>1</v>
      </c>
      <c r="L920" s="2" t="str">
        <f t="shared" si="4"/>
        <v>Thursday</v>
      </c>
      <c r="M920" s="2" t="str">
        <f t="shared" si="5"/>
        <v>12</v>
      </c>
      <c r="N920" s="2">
        <f>VLOOKUP(L920,'Data Info'!$A$1:$B$8,2,0)</f>
        <v>4</v>
      </c>
      <c r="O920" s="2" t="str">
        <f>VLOOKUP(L920,'Data Info'!$A$1:$C$8,3,0)</f>
        <v>Weekday</v>
      </c>
    </row>
    <row r="921">
      <c r="A921" s="4">
        <v>45547.552083333336</v>
      </c>
      <c r="B921" s="9">
        <f>IFERROR(__xludf.DUMMYFUNCTION("SPLIT(A921,"" "")"),45547.0)</f>
        <v>45547</v>
      </c>
      <c r="C921" s="10">
        <f>IFERROR(__xludf.DUMMYFUNCTION("""COMPUTED_VALUE"""),0.5520833333333334)</f>
        <v>0.5520833333</v>
      </c>
      <c r="D921" s="2">
        <f t="shared" si="1"/>
        <v>13</v>
      </c>
      <c r="E921" s="2">
        <f>IFERROR(__xludf.DUMMYFUNCTION("SPLIT(B921,""/"")"),12.0)</f>
        <v>12</v>
      </c>
      <c r="F921" s="2">
        <f>IFERROR(__xludf.DUMMYFUNCTION("""COMPUTED_VALUE"""),9.0)</f>
        <v>9</v>
      </c>
      <c r="G921" s="2">
        <f>IFERROR(__xludf.DUMMYFUNCTION("""COMPUTED_VALUE"""),2024.0)</f>
        <v>2024</v>
      </c>
      <c r="H921" s="2" t="str">
        <f t="shared" si="2"/>
        <v>2024/9/12</v>
      </c>
      <c r="I921" s="2" t="s">
        <v>1588</v>
      </c>
      <c r="J921" s="2" t="str">
        <f t="shared" si="3"/>
        <v>Es Kopi Susu</v>
      </c>
      <c r="K921" s="7">
        <f>if(RIGHT(I921,5)="2 pcs",2,Data!I921)</f>
        <v>2</v>
      </c>
      <c r="L921" s="2" t="str">
        <f t="shared" si="4"/>
        <v>Thursday</v>
      </c>
      <c r="M921" s="2" t="str">
        <f t="shared" si="5"/>
        <v>12</v>
      </c>
      <c r="N921" s="2">
        <f>VLOOKUP(L921,'Data Info'!$A$1:$B$8,2,0)</f>
        <v>4</v>
      </c>
      <c r="O921" s="2" t="str">
        <f>VLOOKUP(L921,'Data Info'!$A$1:$C$8,3,0)</f>
        <v>Weekday</v>
      </c>
    </row>
    <row r="922">
      <c r="A922" s="4">
        <v>45547.54236111111</v>
      </c>
      <c r="B922" s="9">
        <f>IFERROR(__xludf.DUMMYFUNCTION("SPLIT(A922,"" "")"),45547.0)</f>
        <v>45547</v>
      </c>
      <c r="C922" s="10">
        <f>IFERROR(__xludf.DUMMYFUNCTION("""COMPUTED_VALUE"""),0.5423611111111111)</f>
        <v>0.5423611111</v>
      </c>
      <c r="D922" s="2">
        <f t="shared" si="1"/>
        <v>13</v>
      </c>
      <c r="E922" s="2">
        <f>IFERROR(__xludf.DUMMYFUNCTION("SPLIT(B922,""/"")"),12.0)</f>
        <v>12</v>
      </c>
      <c r="F922" s="2">
        <f>IFERROR(__xludf.DUMMYFUNCTION("""COMPUTED_VALUE"""),9.0)</f>
        <v>9</v>
      </c>
      <c r="G922" s="2">
        <f>IFERROR(__xludf.DUMMYFUNCTION("""COMPUTED_VALUE"""),2024.0)</f>
        <v>2024</v>
      </c>
      <c r="H922" s="2" t="str">
        <f t="shared" si="2"/>
        <v>2024/9/12</v>
      </c>
      <c r="I922" s="2" t="s">
        <v>1596</v>
      </c>
      <c r="J922" s="2" t="str">
        <f t="shared" si="3"/>
        <v>Roti Cranberry</v>
      </c>
      <c r="K922" s="7">
        <f>if(RIGHT(I922,5)="2 pcs",2,Data!I922)</f>
        <v>2</v>
      </c>
      <c r="L922" s="2" t="str">
        <f t="shared" si="4"/>
        <v>Thursday</v>
      </c>
      <c r="M922" s="2" t="str">
        <f t="shared" si="5"/>
        <v>12</v>
      </c>
      <c r="N922" s="2">
        <f>VLOOKUP(L922,'Data Info'!$A$1:$B$8,2,0)</f>
        <v>4</v>
      </c>
      <c r="O922" s="2" t="str">
        <f>VLOOKUP(L922,'Data Info'!$A$1:$C$8,3,0)</f>
        <v>Weekday</v>
      </c>
    </row>
    <row r="923">
      <c r="A923" s="4">
        <v>45547.53958333333</v>
      </c>
      <c r="B923" s="9">
        <f>IFERROR(__xludf.DUMMYFUNCTION("SPLIT(A923,"" "")"),45547.0)</f>
        <v>45547</v>
      </c>
      <c r="C923" s="10">
        <f>IFERROR(__xludf.DUMMYFUNCTION("""COMPUTED_VALUE"""),0.5395833333333333)</f>
        <v>0.5395833333</v>
      </c>
      <c r="D923" s="2">
        <f t="shared" si="1"/>
        <v>12</v>
      </c>
      <c r="E923" s="2">
        <f>IFERROR(__xludf.DUMMYFUNCTION("SPLIT(B923,""/"")"),12.0)</f>
        <v>12</v>
      </c>
      <c r="F923" s="2">
        <f>IFERROR(__xludf.DUMMYFUNCTION("""COMPUTED_VALUE"""),9.0)</f>
        <v>9</v>
      </c>
      <c r="G923" s="2">
        <f>IFERROR(__xludf.DUMMYFUNCTION("""COMPUTED_VALUE"""),2024.0)</f>
        <v>2024</v>
      </c>
      <c r="H923" s="2" t="str">
        <f t="shared" si="2"/>
        <v>2024/9/12</v>
      </c>
      <c r="I923" s="2" t="s">
        <v>1595</v>
      </c>
      <c r="J923" s="2" t="str">
        <f t="shared" si="3"/>
        <v>Roti Gandum Cokelat</v>
      </c>
      <c r="K923" s="7">
        <f>if(RIGHT(I923,5)="2 pcs",2,Data!I923)</f>
        <v>1</v>
      </c>
      <c r="L923" s="2" t="str">
        <f t="shared" si="4"/>
        <v>Thursday</v>
      </c>
      <c r="M923" s="2" t="str">
        <f t="shared" si="5"/>
        <v>12</v>
      </c>
      <c r="N923" s="2">
        <f>VLOOKUP(L923,'Data Info'!$A$1:$B$8,2,0)</f>
        <v>4</v>
      </c>
      <c r="O923" s="2" t="str">
        <f>VLOOKUP(L923,'Data Info'!$A$1:$C$8,3,0)</f>
        <v>Weekday</v>
      </c>
    </row>
    <row r="924">
      <c r="A924" s="4">
        <v>45547.53958333333</v>
      </c>
      <c r="B924" s="9">
        <f>IFERROR(__xludf.DUMMYFUNCTION("SPLIT(A924,"" "")"),45547.0)</f>
        <v>45547</v>
      </c>
      <c r="C924" s="10">
        <f>IFERROR(__xludf.DUMMYFUNCTION("""COMPUTED_VALUE"""),0.5395833333333333)</f>
        <v>0.5395833333</v>
      </c>
      <c r="D924" s="2">
        <f t="shared" si="1"/>
        <v>12</v>
      </c>
      <c r="E924" s="2">
        <f>IFERROR(__xludf.DUMMYFUNCTION("SPLIT(B924,""/"")"),12.0)</f>
        <v>12</v>
      </c>
      <c r="F924" s="2">
        <f>IFERROR(__xludf.DUMMYFUNCTION("""COMPUTED_VALUE"""),9.0)</f>
        <v>9</v>
      </c>
      <c r="G924" s="2">
        <f>IFERROR(__xludf.DUMMYFUNCTION("""COMPUTED_VALUE"""),2024.0)</f>
        <v>2024</v>
      </c>
      <c r="H924" s="2" t="str">
        <f t="shared" si="2"/>
        <v>2024/9/12</v>
      </c>
      <c r="I924" s="2" t="s">
        <v>1588</v>
      </c>
      <c r="J924" s="2" t="str">
        <f t="shared" si="3"/>
        <v>Es Kopi Susu</v>
      </c>
      <c r="K924" s="7">
        <f>if(RIGHT(I924,5)="2 pcs",2,Data!I924)</f>
        <v>1</v>
      </c>
      <c r="L924" s="2" t="str">
        <f t="shared" si="4"/>
        <v>Thursday</v>
      </c>
      <c r="M924" s="2" t="str">
        <f t="shared" si="5"/>
        <v>12</v>
      </c>
      <c r="N924" s="2">
        <f>VLOOKUP(L924,'Data Info'!$A$1:$B$8,2,0)</f>
        <v>4</v>
      </c>
      <c r="O924" s="2" t="str">
        <f>VLOOKUP(L924,'Data Info'!$A$1:$C$8,3,0)</f>
        <v>Weekday</v>
      </c>
    </row>
    <row r="925">
      <c r="A925" s="4">
        <v>45547.52291666667</v>
      </c>
      <c r="B925" s="9">
        <f>IFERROR(__xludf.DUMMYFUNCTION("SPLIT(A925,"" "")"),45547.0)</f>
        <v>45547</v>
      </c>
      <c r="C925" s="10">
        <f>IFERROR(__xludf.DUMMYFUNCTION("""COMPUTED_VALUE"""),0.5229166666666667)</f>
        <v>0.5229166667</v>
      </c>
      <c r="D925" s="2">
        <f t="shared" si="1"/>
        <v>12</v>
      </c>
      <c r="E925" s="2">
        <f>IFERROR(__xludf.DUMMYFUNCTION("SPLIT(B925,""/"")"),12.0)</f>
        <v>12</v>
      </c>
      <c r="F925" s="2">
        <f>IFERROR(__xludf.DUMMYFUNCTION("""COMPUTED_VALUE"""),9.0)</f>
        <v>9</v>
      </c>
      <c r="G925" s="2">
        <f>IFERROR(__xludf.DUMMYFUNCTION("""COMPUTED_VALUE"""),2024.0)</f>
        <v>2024</v>
      </c>
      <c r="H925" s="2" t="str">
        <f t="shared" si="2"/>
        <v>2024/9/12</v>
      </c>
      <c r="I925" s="2" t="s">
        <v>1566</v>
      </c>
      <c r="J925" s="2" t="str">
        <f t="shared" si="3"/>
        <v>Roti Bawang Saus Keju</v>
      </c>
      <c r="K925" s="7">
        <f>if(RIGHT(I925,5)="2 pcs",2,Data!I925)</f>
        <v>1</v>
      </c>
      <c r="L925" s="2" t="str">
        <f t="shared" si="4"/>
        <v>Thursday</v>
      </c>
      <c r="M925" s="2" t="str">
        <f t="shared" si="5"/>
        <v>12</v>
      </c>
      <c r="N925" s="2">
        <f>VLOOKUP(L925,'Data Info'!$A$1:$B$8,2,0)</f>
        <v>4</v>
      </c>
      <c r="O925" s="2" t="str">
        <f>VLOOKUP(L925,'Data Info'!$A$1:$C$8,3,0)</f>
        <v>Weekday</v>
      </c>
    </row>
    <row r="926">
      <c r="A926" s="4">
        <v>45547.52291666667</v>
      </c>
      <c r="B926" s="9">
        <f>IFERROR(__xludf.DUMMYFUNCTION("SPLIT(A926,"" "")"),45547.0)</f>
        <v>45547</v>
      </c>
      <c r="C926" s="10">
        <f>IFERROR(__xludf.DUMMYFUNCTION("""COMPUTED_VALUE"""),0.5229166666666667)</f>
        <v>0.5229166667</v>
      </c>
      <c r="D926" s="2">
        <f t="shared" si="1"/>
        <v>12</v>
      </c>
      <c r="E926" s="2">
        <f>IFERROR(__xludf.DUMMYFUNCTION("SPLIT(B926,""/"")"),12.0)</f>
        <v>12</v>
      </c>
      <c r="F926" s="2">
        <f>IFERROR(__xludf.DUMMYFUNCTION("""COMPUTED_VALUE"""),9.0)</f>
        <v>9</v>
      </c>
      <c r="G926" s="2">
        <f>IFERROR(__xludf.DUMMYFUNCTION("""COMPUTED_VALUE"""),2024.0)</f>
        <v>2024</v>
      </c>
      <c r="H926" s="2" t="str">
        <f t="shared" si="2"/>
        <v>2024/9/12</v>
      </c>
      <c r="I926" s="2" t="s">
        <v>1576</v>
      </c>
      <c r="J926" s="2" t="str">
        <f t="shared" si="3"/>
        <v>Roti Cranberry</v>
      </c>
      <c r="K926" s="7">
        <f>if(RIGHT(I926,5)="2 pcs",2,Data!I926)</f>
        <v>1</v>
      </c>
      <c r="L926" s="2" t="str">
        <f t="shared" si="4"/>
        <v>Thursday</v>
      </c>
      <c r="M926" s="2" t="str">
        <f t="shared" si="5"/>
        <v>12</v>
      </c>
      <c r="N926" s="2">
        <f>VLOOKUP(L926,'Data Info'!$A$1:$B$8,2,0)</f>
        <v>4</v>
      </c>
      <c r="O926" s="2" t="str">
        <f>VLOOKUP(L926,'Data Info'!$A$1:$C$8,3,0)</f>
        <v>Weekday</v>
      </c>
    </row>
    <row r="927">
      <c r="A927" s="4">
        <v>45547.52291666667</v>
      </c>
      <c r="B927" s="9">
        <f>IFERROR(__xludf.DUMMYFUNCTION("SPLIT(A927,"" "")"),45547.0)</f>
        <v>45547</v>
      </c>
      <c r="C927" s="10">
        <f>IFERROR(__xludf.DUMMYFUNCTION("""COMPUTED_VALUE"""),0.5229166666666667)</f>
        <v>0.5229166667</v>
      </c>
      <c r="D927" s="2">
        <f t="shared" si="1"/>
        <v>12</v>
      </c>
      <c r="E927" s="2">
        <f>IFERROR(__xludf.DUMMYFUNCTION("SPLIT(B927,""/"")"),12.0)</f>
        <v>12</v>
      </c>
      <c r="F927" s="2">
        <f>IFERROR(__xludf.DUMMYFUNCTION("""COMPUTED_VALUE"""),9.0)</f>
        <v>9</v>
      </c>
      <c r="G927" s="2">
        <f>IFERROR(__xludf.DUMMYFUNCTION("""COMPUTED_VALUE"""),2024.0)</f>
        <v>2024</v>
      </c>
      <c r="H927" s="2" t="str">
        <f t="shared" si="2"/>
        <v>2024/9/12</v>
      </c>
      <c r="I927" s="2" t="s">
        <v>1588</v>
      </c>
      <c r="J927" s="2" t="str">
        <f t="shared" si="3"/>
        <v>Es Kopi Susu</v>
      </c>
      <c r="K927" s="7">
        <f>if(RIGHT(I927,5)="2 pcs",2,Data!I927)</f>
        <v>1</v>
      </c>
      <c r="L927" s="2" t="str">
        <f t="shared" si="4"/>
        <v>Thursday</v>
      </c>
      <c r="M927" s="2" t="str">
        <f t="shared" si="5"/>
        <v>12</v>
      </c>
      <c r="N927" s="2">
        <f>VLOOKUP(L927,'Data Info'!$A$1:$B$8,2,0)</f>
        <v>4</v>
      </c>
      <c r="O927" s="2" t="str">
        <f>VLOOKUP(L927,'Data Info'!$A$1:$C$8,3,0)</f>
        <v>Weekday</v>
      </c>
    </row>
    <row r="928">
      <c r="A928" s="4">
        <v>45547.49791666667</v>
      </c>
      <c r="B928" s="9">
        <f>IFERROR(__xludf.DUMMYFUNCTION("SPLIT(A928,"" "")"),45547.0)</f>
        <v>45547</v>
      </c>
      <c r="C928" s="10">
        <f>IFERROR(__xludf.DUMMYFUNCTION("""COMPUTED_VALUE"""),0.4979166666666667)</f>
        <v>0.4979166667</v>
      </c>
      <c r="D928" s="2">
        <f t="shared" si="1"/>
        <v>11</v>
      </c>
      <c r="E928" s="2">
        <f>IFERROR(__xludf.DUMMYFUNCTION("SPLIT(B928,""/"")"),12.0)</f>
        <v>12</v>
      </c>
      <c r="F928" s="2">
        <f>IFERROR(__xludf.DUMMYFUNCTION("""COMPUTED_VALUE"""),9.0)</f>
        <v>9</v>
      </c>
      <c r="G928" s="2">
        <f>IFERROR(__xludf.DUMMYFUNCTION("""COMPUTED_VALUE"""),2024.0)</f>
        <v>2024</v>
      </c>
      <c r="H928" s="2" t="str">
        <f t="shared" si="2"/>
        <v>2024/9/12</v>
      </c>
      <c r="I928" s="2" t="s">
        <v>1566</v>
      </c>
      <c r="J928" s="2" t="str">
        <f t="shared" si="3"/>
        <v>Roti Bawang Saus Keju</v>
      </c>
      <c r="K928" s="7">
        <f>if(RIGHT(I928,5)="2 pcs",2,Data!I928)</f>
        <v>1</v>
      </c>
      <c r="L928" s="2" t="str">
        <f t="shared" si="4"/>
        <v>Thursday</v>
      </c>
      <c r="M928" s="2" t="str">
        <f t="shared" si="5"/>
        <v>12</v>
      </c>
      <c r="N928" s="2">
        <f>VLOOKUP(L928,'Data Info'!$A$1:$B$8,2,0)</f>
        <v>4</v>
      </c>
      <c r="O928" s="2" t="str">
        <f>VLOOKUP(L928,'Data Info'!$A$1:$C$8,3,0)</f>
        <v>Weekday</v>
      </c>
    </row>
    <row r="929">
      <c r="A929" s="4">
        <v>45547.49791666667</v>
      </c>
      <c r="B929" s="9">
        <f>IFERROR(__xludf.DUMMYFUNCTION("SPLIT(A929,"" "")"),45547.0)</f>
        <v>45547</v>
      </c>
      <c r="C929" s="10">
        <f>IFERROR(__xludf.DUMMYFUNCTION("""COMPUTED_VALUE"""),0.4979166666666667)</f>
        <v>0.4979166667</v>
      </c>
      <c r="D929" s="2">
        <f t="shared" si="1"/>
        <v>11</v>
      </c>
      <c r="E929" s="2">
        <f>IFERROR(__xludf.DUMMYFUNCTION("SPLIT(B929,""/"")"),12.0)</f>
        <v>12</v>
      </c>
      <c r="F929" s="2">
        <f>IFERROR(__xludf.DUMMYFUNCTION("""COMPUTED_VALUE"""),9.0)</f>
        <v>9</v>
      </c>
      <c r="G929" s="2">
        <f>IFERROR(__xludf.DUMMYFUNCTION("""COMPUTED_VALUE"""),2024.0)</f>
        <v>2024</v>
      </c>
      <c r="H929" s="2" t="str">
        <f t="shared" si="2"/>
        <v>2024/9/12</v>
      </c>
      <c r="I929" s="2" t="s">
        <v>1586</v>
      </c>
      <c r="J929" s="2" t="str">
        <f t="shared" si="3"/>
        <v>Jamur Enoki Krispi</v>
      </c>
      <c r="K929" s="7">
        <f>if(RIGHT(I929,5)="2 pcs",2,Data!I929)</f>
        <v>1</v>
      </c>
      <c r="L929" s="2" t="str">
        <f t="shared" si="4"/>
        <v>Thursday</v>
      </c>
      <c r="M929" s="2" t="str">
        <f t="shared" si="5"/>
        <v>12</v>
      </c>
      <c r="N929" s="2">
        <f>VLOOKUP(L929,'Data Info'!$A$1:$B$8,2,0)</f>
        <v>4</v>
      </c>
      <c r="O929" s="2" t="str">
        <f>VLOOKUP(L929,'Data Info'!$A$1:$C$8,3,0)</f>
        <v>Weekday</v>
      </c>
    </row>
    <row r="930">
      <c r="A930" s="4">
        <v>45547.49791666667</v>
      </c>
      <c r="B930" s="9">
        <f>IFERROR(__xludf.DUMMYFUNCTION("SPLIT(A930,"" "")"),45547.0)</f>
        <v>45547</v>
      </c>
      <c r="C930" s="10">
        <f>IFERROR(__xludf.DUMMYFUNCTION("""COMPUTED_VALUE"""),0.4979166666666667)</f>
        <v>0.4979166667</v>
      </c>
      <c r="D930" s="2">
        <f t="shared" si="1"/>
        <v>11</v>
      </c>
      <c r="E930" s="2">
        <f>IFERROR(__xludf.DUMMYFUNCTION("SPLIT(B930,""/"")"),12.0)</f>
        <v>12</v>
      </c>
      <c r="F930" s="2">
        <f>IFERROR(__xludf.DUMMYFUNCTION("""COMPUTED_VALUE"""),9.0)</f>
        <v>9</v>
      </c>
      <c r="G930" s="2">
        <f>IFERROR(__xludf.DUMMYFUNCTION("""COMPUTED_VALUE"""),2024.0)</f>
        <v>2024</v>
      </c>
      <c r="H930" s="2" t="str">
        <f t="shared" si="2"/>
        <v>2024/9/12</v>
      </c>
      <c r="I930" s="2" t="s">
        <v>1588</v>
      </c>
      <c r="J930" s="2" t="str">
        <f t="shared" si="3"/>
        <v>Es Kopi Susu</v>
      </c>
      <c r="K930" s="7">
        <f>if(RIGHT(I930,5)="2 pcs",2,Data!I930)</f>
        <v>2</v>
      </c>
      <c r="L930" s="2" t="str">
        <f t="shared" si="4"/>
        <v>Thursday</v>
      </c>
      <c r="M930" s="2" t="str">
        <f t="shared" si="5"/>
        <v>12</v>
      </c>
      <c r="N930" s="2">
        <f>VLOOKUP(L930,'Data Info'!$A$1:$B$8,2,0)</f>
        <v>4</v>
      </c>
      <c r="O930" s="2" t="str">
        <f>VLOOKUP(L930,'Data Info'!$A$1:$C$8,3,0)</f>
        <v>Weekday</v>
      </c>
    </row>
    <row r="931">
      <c r="A931" s="4">
        <v>45547.49791666667</v>
      </c>
      <c r="B931" s="9">
        <f>IFERROR(__xludf.DUMMYFUNCTION("SPLIT(A931,"" "")"),45547.0)</f>
        <v>45547</v>
      </c>
      <c r="C931" s="10">
        <f>IFERROR(__xludf.DUMMYFUNCTION("""COMPUTED_VALUE"""),0.4979166666666667)</f>
        <v>0.4979166667</v>
      </c>
      <c r="D931" s="2">
        <f t="shared" si="1"/>
        <v>11</v>
      </c>
      <c r="E931" s="2">
        <f>IFERROR(__xludf.DUMMYFUNCTION("SPLIT(B931,""/"")"),12.0)</f>
        <v>12</v>
      </c>
      <c r="F931" s="2">
        <f>IFERROR(__xludf.DUMMYFUNCTION("""COMPUTED_VALUE"""),9.0)</f>
        <v>9</v>
      </c>
      <c r="G931" s="2">
        <f>IFERROR(__xludf.DUMMYFUNCTION("""COMPUTED_VALUE"""),2024.0)</f>
        <v>2024</v>
      </c>
      <c r="H931" s="2" t="str">
        <f t="shared" si="2"/>
        <v>2024/9/12</v>
      </c>
      <c r="I931" s="2" t="s">
        <v>1576</v>
      </c>
      <c r="J931" s="2" t="str">
        <f t="shared" si="3"/>
        <v>Roti Cranberry</v>
      </c>
      <c r="K931" s="7">
        <f>if(RIGHT(I931,5)="2 pcs",2,Data!I931)</f>
        <v>1</v>
      </c>
      <c r="L931" s="2" t="str">
        <f t="shared" si="4"/>
        <v>Thursday</v>
      </c>
      <c r="M931" s="2" t="str">
        <f t="shared" si="5"/>
        <v>12</v>
      </c>
      <c r="N931" s="2">
        <f>VLOOKUP(L931,'Data Info'!$A$1:$B$8,2,0)</f>
        <v>4</v>
      </c>
      <c r="O931" s="2" t="str">
        <f>VLOOKUP(L931,'Data Info'!$A$1:$C$8,3,0)</f>
        <v>Weekday</v>
      </c>
    </row>
    <row r="932">
      <c r="A932" s="4">
        <v>45547.46875</v>
      </c>
      <c r="B932" s="9">
        <f>IFERROR(__xludf.DUMMYFUNCTION("SPLIT(A932,"" "")"),45547.0)</f>
        <v>45547</v>
      </c>
      <c r="C932" s="10">
        <f>IFERROR(__xludf.DUMMYFUNCTION("""COMPUTED_VALUE"""),0.46875)</f>
        <v>0.46875</v>
      </c>
      <c r="D932" s="2">
        <f t="shared" si="1"/>
        <v>11</v>
      </c>
      <c r="E932" s="2">
        <f>IFERROR(__xludf.DUMMYFUNCTION("SPLIT(B932,""/"")"),12.0)</f>
        <v>12</v>
      </c>
      <c r="F932" s="2">
        <f>IFERROR(__xludf.DUMMYFUNCTION("""COMPUTED_VALUE"""),9.0)</f>
        <v>9</v>
      </c>
      <c r="G932" s="2">
        <f>IFERROR(__xludf.DUMMYFUNCTION("""COMPUTED_VALUE"""),2024.0)</f>
        <v>2024</v>
      </c>
      <c r="H932" s="2" t="str">
        <f t="shared" si="2"/>
        <v>2024/9/12</v>
      </c>
      <c r="I932" s="2" t="s">
        <v>1576</v>
      </c>
      <c r="J932" s="2" t="str">
        <f t="shared" si="3"/>
        <v>Roti Cranberry</v>
      </c>
      <c r="K932" s="7">
        <f>if(RIGHT(I932,5)="2 pcs",2,Data!I932)</f>
        <v>1</v>
      </c>
      <c r="L932" s="2" t="str">
        <f t="shared" si="4"/>
        <v>Thursday</v>
      </c>
      <c r="M932" s="2" t="str">
        <f t="shared" si="5"/>
        <v>12</v>
      </c>
      <c r="N932" s="2">
        <f>VLOOKUP(L932,'Data Info'!$A$1:$B$8,2,0)</f>
        <v>4</v>
      </c>
      <c r="O932" s="2" t="str">
        <f>VLOOKUP(L932,'Data Info'!$A$1:$C$8,3,0)</f>
        <v>Weekday</v>
      </c>
    </row>
    <row r="933">
      <c r="A933" s="4">
        <v>45547.46875</v>
      </c>
      <c r="B933" s="9">
        <f>IFERROR(__xludf.DUMMYFUNCTION("SPLIT(A933,"" "")"),45547.0)</f>
        <v>45547</v>
      </c>
      <c r="C933" s="10">
        <f>IFERROR(__xludf.DUMMYFUNCTION("""COMPUTED_VALUE"""),0.46875)</f>
        <v>0.46875</v>
      </c>
      <c r="D933" s="2">
        <f t="shared" si="1"/>
        <v>11</v>
      </c>
      <c r="E933" s="2">
        <f>IFERROR(__xludf.DUMMYFUNCTION("SPLIT(B933,""/"")"),12.0)</f>
        <v>12</v>
      </c>
      <c r="F933" s="2">
        <f>IFERROR(__xludf.DUMMYFUNCTION("""COMPUTED_VALUE"""),9.0)</f>
        <v>9</v>
      </c>
      <c r="G933" s="2">
        <f>IFERROR(__xludf.DUMMYFUNCTION("""COMPUTED_VALUE"""),2024.0)</f>
        <v>2024</v>
      </c>
      <c r="H933" s="2" t="str">
        <f t="shared" si="2"/>
        <v>2024/9/12</v>
      </c>
      <c r="I933" s="2" t="s">
        <v>1595</v>
      </c>
      <c r="J933" s="2" t="str">
        <f t="shared" si="3"/>
        <v>Roti Gandum Cokelat</v>
      </c>
      <c r="K933" s="7">
        <f>if(RIGHT(I933,5)="2 pcs",2,Data!I933)</f>
        <v>1</v>
      </c>
      <c r="L933" s="2" t="str">
        <f t="shared" si="4"/>
        <v>Thursday</v>
      </c>
      <c r="M933" s="2" t="str">
        <f t="shared" si="5"/>
        <v>12</v>
      </c>
      <c r="N933" s="2">
        <f>VLOOKUP(L933,'Data Info'!$A$1:$B$8,2,0)</f>
        <v>4</v>
      </c>
      <c r="O933" s="2" t="str">
        <f>VLOOKUP(L933,'Data Info'!$A$1:$C$8,3,0)</f>
        <v>Weekday</v>
      </c>
    </row>
    <row r="934">
      <c r="A934" s="4">
        <v>45547.46875</v>
      </c>
      <c r="B934" s="9">
        <f>IFERROR(__xludf.DUMMYFUNCTION("SPLIT(A934,"" "")"),45547.0)</f>
        <v>45547</v>
      </c>
      <c r="C934" s="10">
        <f>IFERROR(__xludf.DUMMYFUNCTION("""COMPUTED_VALUE"""),0.46875)</f>
        <v>0.46875</v>
      </c>
      <c r="D934" s="2">
        <f t="shared" si="1"/>
        <v>11</v>
      </c>
      <c r="E934" s="2">
        <f>IFERROR(__xludf.DUMMYFUNCTION("SPLIT(B934,""/"")"),12.0)</f>
        <v>12</v>
      </c>
      <c r="F934" s="2">
        <f>IFERROR(__xludf.DUMMYFUNCTION("""COMPUTED_VALUE"""),9.0)</f>
        <v>9</v>
      </c>
      <c r="G934" s="2">
        <f>IFERROR(__xludf.DUMMYFUNCTION("""COMPUTED_VALUE"""),2024.0)</f>
        <v>2024</v>
      </c>
      <c r="H934" s="2" t="str">
        <f t="shared" si="2"/>
        <v>2024/9/12</v>
      </c>
      <c r="I934" s="2" t="s">
        <v>1579</v>
      </c>
      <c r="J934" s="2" t="str">
        <f t="shared" si="3"/>
        <v>Tahu baso</v>
      </c>
      <c r="K934" s="7">
        <f>if(RIGHT(I934,5)="2 pcs",2,Data!I934)</f>
        <v>1</v>
      </c>
      <c r="L934" s="2" t="str">
        <f t="shared" si="4"/>
        <v>Thursday</v>
      </c>
      <c r="M934" s="2" t="str">
        <f t="shared" si="5"/>
        <v>12</v>
      </c>
      <c r="N934" s="2">
        <f>VLOOKUP(L934,'Data Info'!$A$1:$B$8,2,0)</f>
        <v>4</v>
      </c>
      <c r="O934" s="2" t="str">
        <f>VLOOKUP(L934,'Data Info'!$A$1:$C$8,3,0)</f>
        <v>Weekday</v>
      </c>
    </row>
    <row r="935">
      <c r="A935" s="4">
        <v>45547.46319444444</v>
      </c>
      <c r="B935" s="9">
        <f>IFERROR(__xludf.DUMMYFUNCTION("SPLIT(A935,"" "")"),45547.0)</f>
        <v>45547</v>
      </c>
      <c r="C935" s="10">
        <f>IFERROR(__xludf.DUMMYFUNCTION("""COMPUTED_VALUE"""),0.46319444444444446)</f>
        <v>0.4631944444</v>
      </c>
      <c r="D935" s="2">
        <f t="shared" si="1"/>
        <v>11</v>
      </c>
      <c r="E935" s="2">
        <f>IFERROR(__xludf.DUMMYFUNCTION("SPLIT(B935,""/"")"),12.0)</f>
        <v>12</v>
      </c>
      <c r="F935" s="2">
        <f>IFERROR(__xludf.DUMMYFUNCTION("""COMPUTED_VALUE"""),9.0)</f>
        <v>9</v>
      </c>
      <c r="G935" s="2">
        <f>IFERROR(__xludf.DUMMYFUNCTION("""COMPUTED_VALUE"""),2024.0)</f>
        <v>2024</v>
      </c>
      <c r="H935" s="2" t="str">
        <f t="shared" si="2"/>
        <v>2024/9/12</v>
      </c>
      <c r="I935" s="2" t="s">
        <v>1596</v>
      </c>
      <c r="J935" s="2" t="str">
        <f t="shared" si="3"/>
        <v>Roti Cranberry</v>
      </c>
      <c r="K935" s="7">
        <f>if(RIGHT(I935,5)="2 pcs",2,Data!I935)</f>
        <v>2</v>
      </c>
      <c r="L935" s="2" t="str">
        <f t="shared" si="4"/>
        <v>Thursday</v>
      </c>
      <c r="M935" s="2" t="str">
        <f t="shared" si="5"/>
        <v>12</v>
      </c>
      <c r="N935" s="2">
        <f>VLOOKUP(L935,'Data Info'!$A$1:$B$8,2,0)</f>
        <v>4</v>
      </c>
      <c r="O935" s="2" t="str">
        <f>VLOOKUP(L935,'Data Info'!$A$1:$C$8,3,0)</f>
        <v>Weekday</v>
      </c>
    </row>
    <row r="936">
      <c r="A936" s="4">
        <v>45547.46319444444</v>
      </c>
      <c r="B936" s="9">
        <f>IFERROR(__xludf.DUMMYFUNCTION("SPLIT(A936,"" "")"),45547.0)</f>
        <v>45547</v>
      </c>
      <c r="C936" s="10">
        <f>IFERROR(__xludf.DUMMYFUNCTION("""COMPUTED_VALUE"""),0.46319444444444446)</f>
        <v>0.4631944444</v>
      </c>
      <c r="D936" s="2">
        <f t="shared" si="1"/>
        <v>11</v>
      </c>
      <c r="E936" s="2">
        <f>IFERROR(__xludf.DUMMYFUNCTION("SPLIT(B936,""/"")"),12.0)</f>
        <v>12</v>
      </c>
      <c r="F936" s="2">
        <f>IFERROR(__xludf.DUMMYFUNCTION("""COMPUTED_VALUE"""),9.0)</f>
        <v>9</v>
      </c>
      <c r="G936" s="2">
        <f>IFERROR(__xludf.DUMMYFUNCTION("""COMPUTED_VALUE"""),2024.0)</f>
        <v>2024</v>
      </c>
      <c r="H936" s="2" t="str">
        <f t="shared" si="2"/>
        <v>2024/9/12</v>
      </c>
      <c r="I936" s="2" t="s">
        <v>1588</v>
      </c>
      <c r="J936" s="2" t="str">
        <f t="shared" si="3"/>
        <v>Es Kopi Susu</v>
      </c>
      <c r="K936" s="7">
        <f>if(RIGHT(I936,5)="2 pcs",2,Data!I936)</f>
        <v>2</v>
      </c>
      <c r="L936" s="2" t="str">
        <f t="shared" si="4"/>
        <v>Thursday</v>
      </c>
      <c r="M936" s="2" t="str">
        <f t="shared" si="5"/>
        <v>12</v>
      </c>
      <c r="N936" s="2">
        <f>VLOOKUP(L936,'Data Info'!$A$1:$B$8,2,0)</f>
        <v>4</v>
      </c>
      <c r="O936" s="2" t="str">
        <f>VLOOKUP(L936,'Data Info'!$A$1:$C$8,3,0)</f>
        <v>Weekday</v>
      </c>
    </row>
    <row r="937">
      <c r="A937" s="4">
        <v>45547.46319444444</v>
      </c>
      <c r="B937" s="9">
        <f>IFERROR(__xludf.DUMMYFUNCTION("SPLIT(A937,"" "")"),45547.0)</f>
        <v>45547</v>
      </c>
      <c r="C937" s="10">
        <f>IFERROR(__xludf.DUMMYFUNCTION("""COMPUTED_VALUE"""),0.46319444444444446)</f>
        <v>0.4631944444</v>
      </c>
      <c r="D937" s="2">
        <f t="shared" si="1"/>
        <v>11</v>
      </c>
      <c r="E937" s="2">
        <f>IFERROR(__xludf.DUMMYFUNCTION("SPLIT(B937,""/"")"),12.0)</f>
        <v>12</v>
      </c>
      <c r="F937" s="2">
        <f>IFERROR(__xludf.DUMMYFUNCTION("""COMPUTED_VALUE"""),9.0)</f>
        <v>9</v>
      </c>
      <c r="G937" s="2">
        <f>IFERROR(__xludf.DUMMYFUNCTION("""COMPUTED_VALUE"""),2024.0)</f>
        <v>2024</v>
      </c>
      <c r="H937" s="2" t="str">
        <f t="shared" si="2"/>
        <v>2024/9/12</v>
      </c>
      <c r="I937" s="2" t="s">
        <v>1602</v>
      </c>
      <c r="J937" s="2" t="str">
        <f t="shared" si="3"/>
        <v>Mie joglo</v>
      </c>
      <c r="K937" s="7">
        <f>if(RIGHT(I937,5)="2 pcs",2,Data!I937)</f>
        <v>1</v>
      </c>
      <c r="L937" s="2" t="str">
        <f t="shared" si="4"/>
        <v>Thursday</v>
      </c>
      <c r="M937" s="2" t="str">
        <f t="shared" si="5"/>
        <v>12</v>
      </c>
      <c r="N937" s="2">
        <f>VLOOKUP(L937,'Data Info'!$A$1:$B$8,2,0)</f>
        <v>4</v>
      </c>
      <c r="O937" s="2" t="str">
        <f>VLOOKUP(L937,'Data Info'!$A$1:$C$8,3,0)</f>
        <v>Weekday</v>
      </c>
    </row>
    <row r="938">
      <c r="A938" s="4">
        <v>45547.410416666666</v>
      </c>
      <c r="B938" s="9">
        <f>IFERROR(__xludf.DUMMYFUNCTION("SPLIT(A938,"" "")"),45547.0)</f>
        <v>45547</v>
      </c>
      <c r="C938" s="10">
        <f>IFERROR(__xludf.DUMMYFUNCTION("""COMPUTED_VALUE"""),0.41041666666666665)</f>
        <v>0.4104166667</v>
      </c>
      <c r="D938" s="2">
        <f t="shared" si="1"/>
        <v>9</v>
      </c>
      <c r="E938" s="2">
        <f>IFERROR(__xludf.DUMMYFUNCTION("SPLIT(B938,""/"")"),12.0)</f>
        <v>12</v>
      </c>
      <c r="F938" s="2">
        <f>IFERROR(__xludf.DUMMYFUNCTION("""COMPUTED_VALUE"""),9.0)</f>
        <v>9</v>
      </c>
      <c r="G938" s="2">
        <f>IFERROR(__xludf.DUMMYFUNCTION("""COMPUTED_VALUE"""),2024.0)</f>
        <v>2024</v>
      </c>
      <c r="H938" s="2" t="str">
        <f t="shared" si="2"/>
        <v>2024/9/12</v>
      </c>
      <c r="I938" s="2" t="s">
        <v>1595</v>
      </c>
      <c r="J938" s="2" t="str">
        <f t="shared" si="3"/>
        <v>Roti Gandum Cokelat</v>
      </c>
      <c r="K938" s="7">
        <f>if(RIGHT(I938,5)="2 pcs",2,Data!I938)</f>
        <v>1</v>
      </c>
      <c r="L938" s="2" t="str">
        <f t="shared" si="4"/>
        <v>Thursday</v>
      </c>
      <c r="M938" s="2" t="str">
        <f t="shared" si="5"/>
        <v>12</v>
      </c>
      <c r="N938" s="2">
        <f>VLOOKUP(L938,'Data Info'!$A$1:$B$8,2,0)</f>
        <v>4</v>
      </c>
      <c r="O938" s="2" t="str">
        <f>VLOOKUP(L938,'Data Info'!$A$1:$C$8,3,0)</f>
        <v>Weekday</v>
      </c>
    </row>
    <row r="939">
      <c r="A939" s="4">
        <v>45547.410416666666</v>
      </c>
      <c r="B939" s="9">
        <f>IFERROR(__xludf.DUMMYFUNCTION("SPLIT(A939,"" "")"),45547.0)</f>
        <v>45547</v>
      </c>
      <c r="C939" s="10">
        <f>IFERROR(__xludf.DUMMYFUNCTION("""COMPUTED_VALUE"""),0.41041666666666665)</f>
        <v>0.4104166667</v>
      </c>
      <c r="D939" s="2">
        <f t="shared" si="1"/>
        <v>9</v>
      </c>
      <c r="E939" s="2">
        <f>IFERROR(__xludf.DUMMYFUNCTION("SPLIT(B939,""/"")"),12.0)</f>
        <v>12</v>
      </c>
      <c r="F939" s="2">
        <f>IFERROR(__xludf.DUMMYFUNCTION("""COMPUTED_VALUE"""),9.0)</f>
        <v>9</v>
      </c>
      <c r="G939" s="2">
        <f>IFERROR(__xludf.DUMMYFUNCTION("""COMPUTED_VALUE"""),2024.0)</f>
        <v>2024</v>
      </c>
      <c r="H939" s="2" t="str">
        <f t="shared" si="2"/>
        <v>2024/9/12</v>
      </c>
      <c r="I939" s="2" t="s">
        <v>1615</v>
      </c>
      <c r="J939" s="2" t="str">
        <f t="shared" si="3"/>
        <v>Roti panggang sarikaya</v>
      </c>
      <c r="K939" s="7">
        <f>if(RIGHT(I939,5)="2 pcs",2,Data!I939)</f>
        <v>1</v>
      </c>
      <c r="L939" s="2" t="str">
        <f t="shared" si="4"/>
        <v>Thursday</v>
      </c>
      <c r="M939" s="2" t="str">
        <f t="shared" si="5"/>
        <v>12</v>
      </c>
      <c r="N939" s="2">
        <f>VLOOKUP(L939,'Data Info'!$A$1:$B$8,2,0)</f>
        <v>4</v>
      </c>
      <c r="O939" s="2" t="str">
        <f>VLOOKUP(L939,'Data Info'!$A$1:$C$8,3,0)</f>
        <v>Weekday</v>
      </c>
    </row>
    <row r="940">
      <c r="A940" s="4">
        <v>45547.410416666666</v>
      </c>
      <c r="B940" s="9">
        <f>IFERROR(__xludf.DUMMYFUNCTION("SPLIT(A940,"" "")"),45547.0)</f>
        <v>45547</v>
      </c>
      <c r="C940" s="10">
        <f>IFERROR(__xludf.DUMMYFUNCTION("""COMPUTED_VALUE"""),0.41041666666666665)</f>
        <v>0.4104166667</v>
      </c>
      <c r="D940" s="2">
        <f t="shared" si="1"/>
        <v>9</v>
      </c>
      <c r="E940" s="2">
        <f>IFERROR(__xludf.DUMMYFUNCTION("SPLIT(B940,""/"")"),12.0)</f>
        <v>12</v>
      </c>
      <c r="F940" s="2">
        <f>IFERROR(__xludf.DUMMYFUNCTION("""COMPUTED_VALUE"""),9.0)</f>
        <v>9</v>
      </c>
      <c r="G940" s="2">
        <f>IFERROR(__xludf.DUMMYFUNCTION("""COMPUTED_VALUE"""),2024.0)</f>
        <v>2024</v>
      </c>
      <c r="H940" s="2" t="str">
        <f t="shared" si="2"/>
        <v>2024/9/12</v>
      </c>
      <c r="I940" s="2" t="s">
        <v>1598</v>
      </c>
      <c r="J940" s="2" t="str">
        <f t="shared" si="3"/>
        <v>Korean Strawberry Fresh Milk</v>
      </c>
      <c r="K940" s="7">
        <f>if(RIGHT(I940,5)="2 pcs",2,Data!I940)</f>
        <v>1</v>
      </c>
      <c r="L940" s="2" t="str">
        <f t="shared" si="4"/>
        <v>Thursday</v>
      </c>
      <c r="M940" s="2" t="str">
        <f t="shared" si="5"/>
        <v>12</v>
      </c>
      <c r="N940" s="2">
        <f>VLOOKUP(L940,'Data Info'!$A$1:$B$8,2,0)</f>
        <v>4</v>
      </c>
      <c r="O940" s="2" t="str">
        <f>VLOOKUP(L940,'Data Info'!$A$1:$C$8,3,0)</f>
        <v>Weekday</v>
      </c>
    </row>
    <row r="941">
      <c r="A941" s="4">
        <v>45547.410416666666</v>
      </c>
      <c r="B941" s="9">
        <f>IFERROR(__xludf.DUMMYFUNCTION("SPLIT(A941,"" "")"),45547.0)</f>
        <v>45547</v>
      </c>
      <c r="C941" s="10">
        <f>IFERROR(__xludf.DUMMYFUNCTION("""COMPUTED_VALUE"""),0.41041666666666665)</f>
        <v>0.4104166667</v>
      </c>
      <c r="D941" s="2">
        <f t="shared" si="1"/>
        <v>9</v>
      </c>
      <c r="E941" s="2">
        <f>IFERROR(__xludf.DUMMYFUNCTION("SPLIT(B941,""/"")"),12.0)</f>
        <v>12</v>
      </c>
      <c r="F941" s="2">
        <f>IFERROR(__xludf.DUMMYFUNCTION("""COMPUTED_VALUE"""),9.0)</f>
        <v>9</v>
      </c>
      <c r="G941" s="2">
        <f>IFERROR(__xludf.DUMMYFUNCTION("""COMPUTED_VALUE"""),2024.0)</f>
        <v>2024</v>
      </c>
      <c r="H941" s="2" t="str">
        <f t="shared" si="2"/>
        <v>2024/9/12</v>
      </c>
      <c r="I941" s="2" t="s">
        <v>1577</v>
      </c>
      <c r="J941" s="2" t="str">
        <f t="shared" si="3"/>
        <v>Rempah Madu Panas</v>
      </c>
      <c r="K941" s="7">
        <f>if(RIGHT(I941,5)="2 pcs",2,Data!I941)</f>
        <v>2</v>
      </c>
      <c r="L941" s="2" t="str">
        <f t="shared" si="4"/>
        <v>Thursday</v>
      </c>
      <c r="M941" s="2" t="str">
        <f t="shared" si="5"/>
        <v>12</v>
      </c>
      <c r="N941" s="2">
        <f>VLOOKUP(L941,'Data Info'!$A$1:$B$8,2,0)</f>
        <v>4</v>
      </c>
      <c r="O941" s="2" t="str">
        <f>VLOOKUP(L941,'Data Info'!$A$1:$C$8,3,0)</f>
        <v>Weekday</v>
      </c>
    </row>
    <row r="942">
      <c r="A942" s="4">
        <v>45547.410416666666</v>
      </c>
      <c r="B942" s="9">
        <f>IFERROR(__xludf.DUMMYFUNCTION("SPLIT(A942,"" "")"),45547.0)</f>
        <v>45547</v>
      </c>
      <c r="C942" s="10">
        <f>IFERROR(__xludf.DUMMYFUNCTION("""COMPUTED_VALUE"""),0.41041666666666665)</f>
        <v>0.4104166667</v>
      </c>
      <c r="D942" s="2">
        <f t="shared" si="1"/>
        <v>9</v>
      </c>
      <c r="E942" s="2">
        <f>IFERROR(__xludf.DUMMYFUNCTION("SPLIT(B942,""/"")"),12.0)</f>
        <v>12</v>
      </c>
      <c r="F942" s="2">
        <f>IFERROR(__xludf.DUMMYFUNCTION("""COMPUTED_VALUE"""),9.0)</f>
        <v>9</v>
      </c>
      <c r="G942" s="2">
        <f>IFERROR(__xludf.DUMMYFUNCTION("""COMPUTED_VALUE"""),2024.0)</f>
        <v>2024</v>
      </c>
      <c r="H942" s="2" t="str">
        <f t="shared" si="2"/>
        <v>2024/9/12</v>
      </c>
      <c r="I942" s="2" t="s">
        <v>1579</v>
      </c>
      <c r="J942" s="2" t="str">
        <f t="shared" si="3"/>
        <v>Tahu baso</v>
      </c>
      <c r="K942" s="7">
        <f>if(RIGHT(I942,5)="2 pcs",2,Data!I942)</f>
        <v>1</v>
      </c>
      <c r="L942" s="2" t="str">
        <f t="shared" si="4"/>
        <v>Thursday</v>
      </c>
      <c r="M942" s="2" t="str">
        <f t="shared" si="5"/>
        <v>12</v>
      </c>
      <c r="N942" s="2">
        <f>VLOOKUP(L942,'Data Info'!$A$1:$B$8,2,0)</f>
        <v>4</v>
      </c>
      <c r="O942" s="2" t="str">
        <f>VLOOKUP(L942,'Data Info'!$A$1:$C$8,3,0)</f>
        <v>Weekday</v>
      </c>
    </row>
    <row r="943">
      <c r="A943" s="4">
        <v>45547.410416666666</v>
      </c>
      <c r="B943" s="9">
        <f>IFERROR(__xludf.DUMMYFUNCTION("SPLIT(A943,"" "")"),45547.0)</f>
        <v>45547</v>
      </c>
      <c r="C943" s="10">
        <f>IFERROR(__xludf.DUMMYFUNCTION("""COMPUTED_VALUE"""),0.41041666666666665)</f>
        <v>0.4104166667</v>
      </c>
      <c r="D943" s="2">
        <f t="shared" si="1"/>
        <v>9</v>
      </c>
      <c r="E943" s="2">
        <f>IFERROR(__xludf.DUMMYFUNCTION("SPLIT(B943,""/"")"),12.0)</f>
        <v>12</v>
      </c>
      <c r="F943" s="2">
        <f>IFERROR(__xludf.DUMMYFUNCTION("""COMPUTED_VALUE"""),9.0)</f>
        <v>9</v>
      </c>
      <c r="G943" s="2">
        <f>IFERROR(__xludf.DUMMYFUNCTION("""COMPUTED_VALUE"""),2024.0)</f>
        <v>2024</v>
      </c>
      <c r="H943" s="2" t="str">
        <f t="shared" si="2"/>
        <v>2024/9/12</v>
      </c>
      <c r="I943" s="2" t="s">
        <v>1609</v>
      </c>
      <c r="J943" s="2" t="str">
        <f t="shared" si="3"/>
        <v>Tempe Mendoan</v>
      </c>
      <c r="K943" s="7">
        <f>if(RIGHT(I943,5)="2 pcs",2,Data!I943)</f>
        <v>1</v>
      </c>
      <c r="L943" s="2" t="str">
        <f t="shared" si="4"/>
        <v>Thursday</v>
      </c>
      <c r="M943" s="2" t="str">
        <f t="shared" si="5"/>
        <v>12</v>
      </c>
      <c r="N943" s="2">
        <f>VLOOKUP(L943,'Data Info'!$A$1:$B$8,2,0)</f>
        <v>4</v>
      </c>
      <c r="O943" s="2" t="str">
        <f>VLOOKUP(L943,'Data Info'!$A$1:$C$8,3,0)</f>
        <v>Weekday</v>
      </c>
    </row>
    <row r="944">
      <c r="A944" s="4">
        <v>45547.40972222222</v>
      </c>
      <c r="B944" s="9">
        <f>IFERROR(__xludf.DUMMYFUNCTION("SPLIT(A944,"" "")"),45547.0)</f>
        <v>45547</v>
      </c>
      <c r="C944" s="10">
        <f>IFERROR(__xludf.DUMMYFUNCTION("""COMPUTED_VALUE"""),0.4097222222222222)</f>
        <v>0.4097222222</v>
      </c>
      <c r="D944" s="2">
        <f t="shared" si="1"/>
        <v>9</v>
      </c>
      <c r="E944" s="2">
        <f>IFERROR(__xludf.DUMMYFUNCTION("SPLIT(B944,""/"")"),12.0)</f>
        <v>12</v>
      </c>
      <c r="F944" s="2">
        <f>IFERROR(__xludf.DUMMYFUNCTION("""COMPUTED_VALUE"""),9.0)</f>
        <v>9</v>
      </c>
      <c r="G944" s="2">
        <f>IFERROR(__xludf.DUMMYFUNCTION("""COMPUTED_VALUE"""),2024.0)</f>
        <v>2024</v>
      </c>
      <c r="H944" s="2" t="str">
        <f t="shared" si="2"/>
        <v>2024/9/12</v>
      </c>
      <c r="I944" s="2" t="s">
        <v>1596</v>
      </c>
      <c r="J944" s="2" t="str">
        <f t="shared" si="3"/>
        <v>Roti Cranberry</v>
      </c>
      <c r="K944" s="7">
        <f>if(RIGHT(I944,5)="2 pcs",2,Data!I944)</f>
        <v>2</v>
      </c>
      <c r="L944" s="2" t="str">
        <f t="shared" si="4"/>
        <v>Thursday</v>
      </c>
      <c r="M944" s="2" t="str">
        <f t="shared" si="5"/>
        <v>12</v>
      </c>
      <c r="N944" s="2">
        <f>VLOOKUP(L944,'Data Info'!$A$1:$B$8,2,0)</f>
        <v>4</v>
      </c>
      <c r="O944" s="2" t="str">
        <f>VLOOKUP(L944,'Data Info'!$A$1:$C$8,3,0)</f>
        <v>Weekday</v>
      </c>
    </row>
    <row r="945">
      <c r="A945" s="4">
        <v>45547.40972222222</v>
      </c>
      <c r="B945" s="9">
        <f>IFERROR(__xludf.DUMMYFUNCTION("SPLIT(A945,"" "")"),45547.0)</f>
        <v>45547</v>
      </c>
      <c r="C945" s="10">
        <f>IFERROR(__xludf.DUMMYFUNCTION("""COMPUTED_VALUE"""),0.4097222222222222)</f>
        <v>0.4097222222</v>
      </c>
      <c r="D945" s="2">
        <f t="shared" si="1"/>
        <v>9</v>
      </c>
      <c r="E945" s="2">
        <f>IFERROR(__xludf.DUMMYFUNCTION("SPLIT(B945,""/"")"),12.0)</f>
        <v>12</v>
      </c>
      <c r="F945" s="2">
        <f>IFERROR(__xludf.DUMMYFUNCTION("""COMPUTED_VALUE"""),9.0)</f>
        <v>9</v>
      </c>
      <c r="G945" s="2">
        <f>IFERROR(__xludf.DUMMYFUNCTION("""COMPUTED_VALUE"""),2024.0)</f>
        <v>2024</v>
      </c>
      <c r="H945" s="2" t="str">
        <f t="shared" si="2"/>
        <v>2024/9/12</v>
      </c>
      <c r="I945" s="2" t="s">
        <v>1592</v>
      </c>
      <c r="J945" s="2" t="str">
        <f t="shared" si="3"/>
        <v>Kopi Tubruk Panas</v>
      </c>
      <c r="K945" s="7">
        <f>if(RIGHT(I945,5)="2 pcs",2,Data!I945)</f>
        <v>1</v>
      </c>
      <c r="L945" s="2" t="str">
        <f t="shared" si="4"/>
        <v>Thursday</v>
      </c>
      <c r="M945" s="2" t="str">
        <f t="shared" si="5"/>
        <v>12</v>
      </c>
      <c r="N945" s="2">
        <f>VLOOKUP(L945,'Data Info'!$A$1:$B$8,2,0)</f>
        <v>4</v>
      </c>
      <c r="O945" s="2" t="str">
        <f>VLOOKUP(L945,'Data Info'!$A$1:$C$8,3,0)</f>
        <v>Weekday</v>
      </c>
    </row>
    <row r="946">
      <c r="A946" s="4">
        <v>45547.40972222222</v>
      </c>
      <c r="B946" s="9">
        <f>IFERROR(__xludf.DUMMYFUNCTION("SPLIT(A946,"" "")"),45547.0)</f>
        <v>45547</v>
      </c>
      <c r="C946" s="10">
        <f>IFERROR(__xludf.DUMMYFUNCTION("""COMPUTED_VALUE"""),0.4097222222222222)</f>
        <v>0.4097222222</v>
      </c>
      <c r="D946" s="2">
        <f t="shared" si="1"/>
        <v>9</v>
      </c>
      <c r="E946" s="2">
        <f>IFERROR(__xludf.DUMMYFUNCTION("SPLIT(B946,""/"")"),12.0)</f>
        <v>12</v>
      </c>
      <c r="F946" s="2">
        <f>IFERROR(__xludf.DUMMYFUNCTION("""COMPUTED_VALUE"""),9.0)</f>
        <v>9</v>
      </c>
      <c r="G946" s="2">
        <f>IFERROR(__xludf.DUMMYFUNCTION("""COMPUTED_VALUE"""),2024.0)</f>
        <v>2024</v>
      </c>
      <c r="H946" s="2" t="str">
        <f t="shared" si="2"/>
        <v>2024/9/12</v>
      </c>
      <c r="I946" s="2" t="s">
        <v>1604</v>
      </c>
      <c r="J946" s="2" t="str">
        <f t="shared" si="3"/>
        <v>Teh Tawar Panas</v>
      </c>
      <c r="K946" s="7">
        <f>if(RIGHT(I946,5)="2 pcs",2,Data!I946)</f>
        <v>1</v>
      </c>
      <c r="L946" s="2" t="str">
        <f t="shared" si="4"/>
        <v>Thursday</v>
      </c>
      <c r="M946" s="2" t="str">
        <f t="shared" si="5"/>
        <v>12</v>
      </c>
      <c r="N946" s="2">
        <f>VLOOKUP(L946,'Data Info'!$A$1:$B$8,2,0)</f>
        <v>4</v>
      </c>
      <c r="O946" s="2" t="str">
        <f>VLOOKUP(L946,'Data Info'!$A$1:$C$8,3,0)</f>
        <v>Weekday</v>
      </c>
    </row>
    <row r="947">
      <c r="A947" s="4">
        <v>45547.40972222222</v>
      </c>
      <c r="B947" s="9">
        <f>IFERROR(__xludf.DUMMYFUNCTION("SPLIT(A947,"" "")"),45547.0)</f>
        <v>45547</v>
      </c>
      <c r="C947" s="10">
        <f>IFERROR(__xludf.DUMMYFUNCTION("""COMPUTED_VALUE"""),0.4097222222222222)</f>
        <v>0.4097222222</v>
      </c>
      <c r="D947" s="2">
        <f t="shared" si="1"/>
        <v>9</v>
      </c>
      <c r="E947" s="2">
        <f>IFERROR(__xludf.DUMMYFUNCTION("SPLIT(B947,""/"")"),12.0)</f>
        <v>12</v>
      </c>
      <c r="F947" s="2">
        <f>IFERROR(__xludf.DUMMYFUNCTION("""COMPUTED_VALUE"""),9.0)</f>
        <v>9</v>
      </c>
      <c r="G947" s="2">
        <f>IFERROR(__xludf.DUMMYFUNCTION("""COMPUTED_VALUE"""),2024.0)</f>
        <v>2024</v>
      </c>
      <c r="H947" s="2" t="str">
        <f t="shared" si="2"/>
        <v>2024/9/12</v>
      </c>
      <c r="I947" s="2" t="s">
        <v>1609</v>
      </c>
      <c r="J947" s="2" t="str">
        <f t="shared" si="3"/>
        <v>Tempe Mendoan</v>
      </c>
      <c r="K947" s="7">
        <f>if(RIGHT(I947,5)="2 pcs",2,Data!I947)</f>
        <v>1</v>
      </c>
      <c r="L947" s="2" t="str">
        <f t="shared" si="4"/>
        <v>Thursday</v>
      </c>
      <c r="M947" s="2" t="str">
        <f t="shared" si="5"/>
        <v>12</v>
      </c>
      <c r="N947" s="2">
        <f>VLOOKUP(L947,'Data Info'!$A$1:$B$8,2,0)</f>
        <v>4</v>
      </c>
      <c r="O947" s="2" t="str">
        <f>VLOOKUP(L947,'Data Info'!$A$1:$C$8,3,0)</f>
        <v>Weekday</v>
      </c>
    </row>
    <row r="948">
      <c r="A948" s="4">
        <v>45547.40972222222</v>
      </c>
      <c r="B948" s="9">
        <f>IFERROR(__xludf.DUMMYFUNCTION("SPLIT(A948,"" "")"),45547.0)</f>
        <v>45547</v>
      </c>
      <c r="C948" s="10">
        <f>IFERROR(__xludf.DUMMYFUNCTION("""COMPUTED_VALUE"""),0.4097222222222222)</f>
        <v>0.4097222222</v>
      </c>
      <c r="D948" s="2">
        <f t="shared" si="1"/>
        <v>9</v>
      </c>
      <c r="E948" s="2">
        <f>IFERROR(__xludf.DUMMYFUNCTION("SPLIT(B948,""/"")"),12.0)</f>
        <v>12</v>
      </c>
      <c r="F948" s="2">
        <f>IFERROR(__xludf.DUMMYFUNCTION("""COMPUTED_VALUE"""),9.0)</f>
        <v>9</v>
      </c>
      <c r="G948" s="2">
        <f>IFERROR(__xludf.DUMMYFUNCTION("""COMPUTED_VALUE"""),2024.0)</f>
        <v>2024</v>
      </c>
      <c r="H948" s="2" t="str">
        <f t="shared" si="2"/>
        <v>2024/9/12</v>
      </c>
      <c r="I948" s="2" t="s">
        <v>1595</v>
      </c>
      <c r="J948" s="2" t="str">
        <f t="shared" si="3"/>
        <v>Roti Gandum Cokelat</v>
      </c>
      <c r="K948" s="7">
        <f>if(RIGHT(I948,5)="2 pcs",2,Data!I948)</f>
        <v>1</v>
      </c>
      <c r="L948" s="2" t="str">
        <f t="shared" si="4"/>
        <v>Thursday</v>
      </c>
      <c r="M948" s="2" t="str">
        <f t="shared" si="5"/>
        <v>12</v>
      </c>
      <c r="N948" s="2">
        <f>VLOOKUP(L948,'Data Info'!$A$1:$B$8,2,0)</f>
        <v>4</v>
      </c>
      <c r="O948" s="2" t="str">
        <f>VLOOKUP(L948,'Data Info'!$A$1:$C$8,3,0)</f>
        <v>Weekday</v>
      </c>
    </row>
    <row r="949">
      <c r="A949" s="4">
        <v>45546.82152777778</v>
      </c>
      <c r="B949" s="9">
        <f>IFERROR(__xludf.DUMMYFUNCTION("SPLIT(A949,"" "")"),45546.0)</f>
        <v>45546</v>
      </c>
      <c r="C949" s="10">
        <f>IFERROR(__xludf.DUMMYFUNCTION("""COMPUTED_VALUE"""),0.8215277777777777)</f>
        <v>0.8215277778</v>
      </c>
      <c r="D949" s="2">
        <f t="shared" si="1"/>
        <v>19</v>
      </c>
      <c r="E949" s="2">
        <f>IFERROR(__xludf.DUMMYFUNCTION("SPLIT(B949,""/"")"),11.0)</f>
        <v>11</v>
      </c>
      <c r="F949" s="2">
        <f>IFERROR(__xludf.DUMMYFUNCTION("""COMPUTED_VALUE"""),9.0)</f>
        <v>9</v>
      </c>
      <c r="G949" s="2">
        <f>IFERROR(__xludf.DUMMYFUNCTION("""COMPUTED_VALUE"""),2024.0)</f>
        <v>2024</v>
      </c>
      <c r="H949" s="2" t="str">
        <f t="shared" si="2"/>
        <v>2024/9/11</v>
      </c>
      <c r="I949" s="2" t="s">
        <v>1588</v>
      </c>
      <c r="J949" s="2" t="str">
        <f t="shared" si="3"/>
        <v>Es Kopi Susu</v>
      </c>
      <c r="K949" s="7">
        <f>if(RIGHT(I949,5)="2 pcs",2,Data!I949)</f>
        <v>1</v>
      </c>
      <c r="L949" s="2" t="str">
        <f t="shared" si="4"/>
        <v>Wednesday</v>
      </c>
      <c r="M949" s="2" t="str">
        <f t="shared" si="5"/>
        <v>11</v>
      </c>
      <c r="N949" s="2">
        <f>VLOOKUP(L949,'Data Info'!$A$1:$B$8,2,0)</f>
        <v>3</v>
      </c>
      <c r="O949" s="2" t="str">
        <f>VLOOKUP(L949,'Data Info'!$A$1:$C$8,3,0)</f>
        <v>Weekday</v>
      </c>
    </row>
    <row r="950">
      <c r="A950" s="4">
        <v>45546.82152777778</v>
      </c>
      <c r="B950" s="9">
        <f>IFERROR(__xludf.DUMMYFUNCTION("SPLIT(A950,"" "")"),45546.0)</f>
        <v>45546</v>
      </c>
      <c r="C950" s="10">
        <f>IFERROR(__xludf.DUMMYFUNCTION("""COMPUTED_VALUE"""),0.8215277777777777)</f>
        <v>0.8215277778</v>
      </c>
      <c r="D950" s="2">
        <f t="shared" si="1"/>
        <v>19</v>
      </c>
      <c r="E950" s="2">
        <f>IFERROR(__xludf.DUMMYFUNCTION("SPLIT(B950,""/"")"),11.0)</f>
        <v>11</v>
      </c>
      <c r="F950" s="2">
        <f>IFERROR(__xludf.DUMMYFUNCTION("""COMPUTED_VALUE"""),9.0)</f>
        <v>9</v>
      </c>
      <c r="G950" s="2">
        <f>IFERROR(__xludf.DUMMYFUNCTION("""COMPUTED_VALUE"""),2024.0)</f>
        <v>2024</v>
      </c>
      <c r="H950" s="2" t="str">
        <f t="shared" si="2"/>
        <v>2024/9/11</v>
      </c>
      <c r="I950" s="2" t="s">
        <v>1587</v>
      </c>
      <c r="J950" s="2" t="str">
        <f t="shared" si="3"/>
        <v>Tahu Lada Garam</v>
      </c>
      <c r="K950" s="7">
        <f>if(RIGHT(I950,5)="2 pcs",2,Data!I950)</f>
        <v>1</v>
      </c>
      <c r="L950" s="2" t="str">
        <f t="shared" si="4"/>
        <v>Wednesday</v>
      </c>
      <c r="M950" s="2" t="str">
        <f t="shared" si="5"/>
        <v>11</v>
      </c>
      <c r="N950" s="2">
        <f>VLOOKUP(L950,'Data Info'!$A$1:$B$8,2,0)</f>
        <v>3</v>
      </c>
      <c r="O950" s="2" t="str">
        <f>VLOOKUP(L950,'Data Info'!$A$1:$C$8,3,0)</f>
        <v>Weekday</v>
      </c>
    </row>
    <row r="951">
      <c r="A951" s="4">
        <v>45546.82013888889</v>
      </c>
      <c r="B951" s="9">
        <f>IFERROR(__xludf.DUMMYFUNCTION("SPLIT(A951,"" "")"),45546.0)</f>
        <v>45546</v>
      </c>
      <c r="C951" s="10">
        <f>IFERROR(__xludf.DUMMYFUNCTION("""COMPUTED_VALUE"""),0.8201388888888889)</f>
        <v>0.8201388889</v>
      </c>
      <c r="D951" s="2">
        <f t="shared" si="1"/>
        <v>19</v>
      </c>
      <c r="E951" s="2">
        <f>IFERROR(__xludf.DUMMYFUNCTION("SPLIT(B951,""/"")"),11.0)</f>
        <v>11</v>
      </c>
      <c r="F951" s="2">
        <f>IFERROR(__xludf.DUMMYFUNCTION("""COMPUTED_VALUE"""),9.0)</f>
        <v>9</v>
      </c>
      <c r="G951" s="2">
        <f>IFERROR(__xludf.DUMMYFUNCTION("""COMPUTED_VALUE"""),2024.0)</f>
        <v>2024</v>
      </c>
      <c r="H951" s="2" t="str">
        <f t="shared" si="2"/>
        <v>2024/9/11</v>
      </c>
      <c r="I951" s="2" t="s">
        <v>1595</v>
      </c>
      <c r="J951" s="2" t="str">
        <f t="shared" si="3"/>
        <v>Roti Gandum Cokelat</v>
      </c>
      <c r="K951" s="7">
        <f>if(RIGHT(I951,5)="2 pcs",2,Data!I951)</f>
        <v>1</v>
      </c>
      <c r="L951" s="2" t="str">
        <f t="shared" si="4"/>
        <v>Wednesday</v>
      </c>
      <c r="M951" s="2" t="str">
        <f t="shared" si="5"/>
        <v>11</v>
      </c>
      <c r="N951" s="2">
        <f>VLOOKUP(L951,'Data Info'!$A$1:$B$8,2,0)</f>
        <v>3</v>
      </c>
      <c r="O951" s="2" t="str">
        <f>VLOOKUP(L951,'Data Info'!$A$1:$C$8,3,0)</f>
        <v>Weekday</v>
      </c>
    </row>
    <row r="952">
      <c r="A952" s="4">
        <v>45546.794444444444</v>
      </c>
      <c r="B952" s="9">
        <f>IFERROR(__xludf.DUMMYFUNCTION("SPLIT(A952,"" "")"),45546.0)</f>
        <v>45546</v>
      </c>
      <c r="C952" s="10">
        <f>IFERROR(__xludf.DUMMYFUNCTION("""COMPUTED_VALUE"""),0.7944444444444444)</f>
        <v>0.7944444444</v>
      </c>
      <c r="D952" s="2">
        <f t="shared" si="1"/>
        <v>19</v>
      </c>
      <c r="E952" s="2">
        <f>IFERROR(__xludf.DUMMYFUNCTION("SPLIT(B952,""/"")"),11.0)</f>
        <v>11</v>
      </c>
      <c r="F952" s="2">
        <f>IFERROR(__xludf.DUMMYFUNCTION("""COMPUTED_VALUE"""),9.0)</f>
        <v>9</v>
      </c>
      <c r="G952" s="2">
        <f>IFERROR(__xludf.DUMMYFUNCTION("""COMPUTED_VALUE"""),2024.0)</f>
        <v>2024</v>
      </c>
      <c r="H952" s="2" t="str">
        <f t="shared" si="2"/>
        <v>2024/9/11</v>
      </c>
      <c r="I952" s="2" t="s">
        <v>1584</v>
      </c>
      <c r="J952" s="2" t="str">
        <f t="shared" si="3"/>
        <v>Korean Mango Fresh Milk</v>
      </c>
      <c r="K952" s="7">
        <f>if(RIGHT(I952,5)="2 pcs",2,Data!I952)</f>
        <v>1</v>
      </c>
      <c r="L952" s="2" t="str">
        <f t="shared" si="4"/>
        <v>Wednesday</v>
      </c>
      <c r="M952" s="2" t="str">
        <f t="shared" si="5"/>
        <v>11</v>
      </c>
      <c r="N952" s="2">
        <f>VLOOKUP(L952,'Data Info'!$A$1:$B$8,2,0)</f>
        <v>3</v>
      </c>
      <c r="O952" s="2" t="str">
        <f>VLOOKUP(L952,'Data Info'!$A$1:$C$8,3,0)</f>
        <v>Weekday</v>
      </c>
    </row>
    <row r="953">
      <c r="A953" s="4">
        <v>45546.794444444444</v>
      </c>
      <c r="B953" s="9">
        <f>IFERROR(__xludf.DUMMYFUNCTION("SPLIT(A953,"" "")"),45546.0)</f>
        <v>45546</v>
      </c>
      <c r="C953" s="10">
        <f>IFERROR(__xludf.DUMMYFUNCTION("""COMPUTED_VALUE"""),0.7944444444444444)</f>
        <v>0.7944444444</v>
      </c>
      <c r="D953" s="2">
        <f t="shared" si="1"/>
        <v>19</v>
      </c>
      <c r="E953" s="2">
        <f>IFERROR(__xludf.DUMMYFUNCTION("SPLIT(B953,""/"")"),11.0)</f>
        <v>11</v>
      </c>
      <c r="F953" s="2">
        <f>IFERROR(__xludf.DUMMYFUNCTION("""COMPUTED_VALUE"""),9.0)</f>
        <v>9</v>
      </c>
      <c r="G953" s="2">
        <f>IFERROR(__xludf.DUMMYFUNCTION("""COMPUTED_VALUE"""),2024.0)</f>
        <v>2024</v>
      </c>
      <c r="H953" s="2" t="str">
        <f t="shared" si="2"/>
        <v>2024/9/11</v>
      </c>
      <c r="I953" s="2" t="s">
        <v>1620</v>
      </c>
      <c r="J953" s="2" t="str">
        <f t="shared" si="3"/>
        <v>Wedang hujan</v>
      </c>
      <c r="K953" s="7">
        <f>if(RIGHT(I953,5)="2 pcs",2,Data!I953)</f>
        <v>1</v>
      </c>
      <c r="L953" s="2" t="str">
        <f t="shared" si="4"/>
        <v>Wednesday</v>
      </c>
      <c r="M953" s="2" t="str">
        <f t="shared" si="5"/>
        <v>11</v>
      </c>
      <c r="N953" s="2">
        <f>VLOOKUP(L953,'Data Info'!$A$1:$B$8,2,0)</f>
        <v>3</v>
      </c>
      <c r="O953" s="2" t="str">
        <f>VLOOKUP(L953,'Data Info'!$A$1:$C$8,3,0)</f>
        <v>Weekday</v>
      </c>
    </row>
    <row r="954">
      <c r="A954" s="4">
        <v>45546.76944444444</v>
      </c>
      <c r="B954" s="9">
        <f>IFERROR(__xludf.DUMMYFUNCTION("SPLIT(A954,"" "")"),45546.0)</f>
        <v>45546</v>
      </c>
      <c r="C954" s="10">
        <f>IFERROR(__xludf.DUMMYFUNCTION("""COMPUTED_VALUE"""),0.7694444444444445)</f>
        <v>0.7694444444</v>
      </c>
      <c r="D954" s="2">
        <f t="shared" si="1"/>
        <v>18</v>
      </c>
      <c r="E954" s="2">
        <f>IFERROR(__xludf.DUMMYFUNCTION("SPLIT(B954,""/"")"),11.0)</f>
        <v>11</v>
      </c>
      <c r="F954" s="2">
        <f>IFERROR(__xludf.DUMMYFUNCTION("""COMPUTED_VALUE"""),9.0)</f>
        <v>9</v>
      </c>
      <c r="G954" s="2">
        <f>IFERROR(__xludf.DUMMYFUNCTION("""COMPUTED_VALUE"""),2024.0)</f>
        <v>2024</v>
      </c>
      <c r="H954" s="2" t="str">
        <f t="shared" si="2"/>
        <v>2024/9/11</v>
      </c>
      <c r="I954" s="2" t="s">
        <v>1566</v>
      </c>
      <c r="J954" s="2" t="str">
        <f t="shared" si="3"/>
        <v>Roti Bawang Saus Keju</v>
      </c>
      <c r="K954" s="7">
        <f>if(RIGHT(I954,5)="2 pcs",2,Data!I954)</f>
        <v>1</v>
      </c>
      <c r="L954" s="2" t="str">
        <f t="shared" si="4"/>
        <v>Wednesday</v>
      </c>
      <c r="M954" s="2" t="str">
        <f t="shared" si="5"/>
        <v>11</v>
      </c>
      <c r="N954" s="2">
        <f>VLOOKUP(L954,'Data Info'!$A$1:$B$8,2,0)</f>
        <v>3</v>
      </c>
      <c r="O954" s="2" t="str">
        <f>VLOOKUP(L954,'Data Info'!$A$1:$C$8,3,0)</f>
        <v>Weekday</v>
      </c>
    </row>
    <row r="955">
      <c r="A955" s="4">
        <v>45546.76944444444</v>
      </c>
      <c r="B955" s="9">
        <f>IFERROR(__xludf.DUMMYFUNCTION("SPLIT(A955,"" "")"),45546.0)</f>
        <v>45546</v>
      </c>
      <c r="C955" s="10">
        <f>IFERROR(__xludf.DUMMYFUNCTION("""COMPUTED_VALUE"""),0.7694444444444445)</f>
        <v>0.7694444444</v>
      </c>
      <c r="D955" s="2">
        <f t="shared" si="1"/>
        <v>18</v>
      </c>
      <c r="E955" s="2">
        <f>IFERROR(__xludf.DUMMYFUNCTION("SPLIT(B955,""/"")"),11.0)</f>
        <v>11</v>
      </c>
      <c r="F955" s="2">
        <f>IFERROR(__xludf.DUMMYFUNCTION("""COMPUTED_VALUE"""),9.0)</f>
        <v>9</v>
      </c>
      <c r="G955" s="2">
        <f>IFERROR(__xludf.DUMMYFUNCTION("""COMPUTED_VALUE"""),2024.0)</f>
        <v>2024</v>
      </c>
      <c r="H955" s="2" t="str">
        <f t="shared" si="2"/>
        <v>2024/9/11</v>
      </c>
      <c r="I955" s="2" t="s">
        <v>1596</v>
      </c>
      <c r="J955" s="2" t="str">
        <f t="shared" si="3"/>
        <v>Roti Cranberry</v>
      </c>
      <c r="K955" s="7">
        <f>if(RIGHT(I955,5)="2 pcs",2,Data!I955)</f>
        <v>2</v>
      </c>
      <c r="L955" s="2" t="str">
        <f t="shared" si="4"/>
        <v>Wednesday</v>
      </c>
      <c r="M955" s="2" t="str">
        <f t="shared" si="5"/>
        <v>11</v>
      </c>
      <c r="N955" s="2">
        <f>VLOOKUP(L955,'Data Info'!$A$1:$B$8,2,0)</f>
        <v>3</v>
      </c>
      <c r="O955" s="2" t="str">
        <f>VLOOKUP(L955,'Data Info'!$A$1:$C$8,3,0)</f>
        <v>Weekday</v>
      </c>
    </row>
    <row r="956">
      <c r="A956" s="4">
        <v>45546.73888888889</v>
      </c>
      <c r="B956" s="9">
        <f>IFERROR(__xludf.DUMMYFUNCTION("SPLIT(A956,"" "")"),45546.0)</f>
        <v>45546</v>
      </c>
      <c r="C956" s="10">
        <f>IFERROR(__xludf.DUMMYFUNCTION("""COMPUTED_VALUE"""),0.7388888888888889)</f>
        <v>0.7388888889</v>
      </c>
      <c r="D956" s="2">
        <f t="shared" si="1"/>
        <v>17</v>
      </c>
      <c r="E956" s="2">
        <f>IFERROR(__xludf.DUMMYFUNCTION("SPLIT(B956,""/"")"),11.0)</f>
        <v>11</v>
      </c>
      <c r="F956" s="2">
        <f>IFERROR(__xludf.DUMMYFUNCTION("""COMPUTED_VALUE"""),9.0)</f>
        <v>9</v>
      </c>
      <c r="G956" s="2">
        <f>IFERROR(__xludf.DUMMYFUNCTION("""COMPUTED_VALUE"""),2024.0)</f>
        <v>2024</v>
      </c>
      <c r="H956" s="2" t="str">
        <f t="shared" si="2"/>
        <v>2024/9/11</v>
      </c>
      <c r="I956" s="2" t="s">
        <v>1601</v>
      </c>
      <c r="J956" s="2" t="str">
        <f t="shared" si="3"/>
        <v>Gula Asam Dingin</v>
      </c>
      <c r="K956" s="7">
        <f>if(RIGHT(I956,5)="2 pcs",2,Data!I956)</f>
        <v>1</v>
      </c>
      <c r="L956" s="2" t="str">
        <f t="shared" si="4"/>
        <v>Wednesday</v>
      </c>
      <c r="M956" s="2" t="str">
        <f t="shared" si="5"/>
        <v>11</v>
      </c>
      <c r="N956" s="2">
        <f>VLOOKUP(L956,'Data Info'!$A$1:$B$8,2,0)</f>
        <v>3</v>
      </c>
      <c r="O956" s="2" t="str">
        <f>VLOOKUP(L956,'Data Info'!$A$1:$C$8,3,0)</f>
        <v>Weekday</v>
      </c>
    </row>
    <row r="957">
      <c r="A957" s="4">
        <v>45546.73888888889</v>
      </c>
      <c r="B957" s="9">
        <f>IFERROR(__xludf.DUMMYFUNCTION("SPLIT(A957,"" "")"),45546.0)</f>
        <v>45546</v>
      </c>
      <c r="C957" s="10">
        <f>IFERROR(__xludf.DUMMYFUNCTION("""COMPUTED_VALUE"""),0.7388888888888889)</f>
        <v>0.7388888889</v>
      </c>
      <c r="D957" s="2">
        <f t="shared" si="1"/>
        <v>17</v>
      </c>
      <c r="E957" s="2">
        <f>IFERROR(__xludf.DUMMYFUNCTION("SPLIT(B957,""/"")"),11.0)</f>
        <v>11</v>
      </c>
      <c r="F957" s="2">
        <f>IFERROR(__xludf.DUMMYFUNCTION("""COMPUTED_VALUE"""),9.0)</f>
        <v>9</v>
      </c>
      <c r="G957" s="2">
        <f>IFERROR(__xludf.DUMMYFUNCTION("""COMPUTED_VALUE"""),2024.0)</f>
        <v>2024</v>
      </c>
      <c r="H957" s="2" t="str">
        <f t="shared" si="2"/>
        <v>2024/9/11</v>
      </c>
      <c r="I957" s="2" t="s">
        <v>1585</v>
      </c>
      <c r="J957" s="2" t="str">
        <f t="shared" si="3"/>
        <v>Susu murni moca</v>
      </c>
      <c r="K957" s="7">
        <f>if(RIGHT(I957,5)="2 pcs",2,Data!I957)</f>
        <v>1</v>
      </c>
      <c r="L957" s="2" t="str">
        <f t="shared" si="4"/>
        <v>Wednesday</v>
      </c>
      <c r="M957" s="2" t="str">
        <f t="shared" si="5"/>
        <v>11</v>
      </c>
      <c r="N957" s="2">
        <f>VLOOKUP(L957,'Data Info'!$A$1:$B$8,2,0)</f>
        <v>3</v>
      </c>
      <c r="O957" s="2" t="str">
        <f>VLOOKUP(L957,'Data Info'!$A$1:$C$8,3,0)</f>
        <v>Weekday</v>
      </c>
    </row>
    <row r="958">
      <c r="A958" s="4">
        <v>45546.73888888889</v>
      </c>
      <c r="B958" s="9">
        <f>IFERROR(__xludf.DUMMYFUNCTION("SPLIT(A958,"" "")"),45546.0)</f>
        <v>45546</v>
      </c>
      <c r="C958" s="10">
        <f>IFERROR(__xludf.DUMMYFUNCTION("""COMPUTED_VALUE"""),0.7388888888888889)</f>
        <v>0.7388888889</v>
      </c>
      <c r="D958" s="2">
        <f t="shared" si="1"/>
        <v>17</v>
      </c>
      <c r="E958" s="2">
        <f>IFERROR(__xludf.DUMMYFUNCTION("SPLIT(B958,""/"")"),11.0)</f>
        <v>11</v>
      </c>
      <c r="F958" s="2">
        <f>IFERROR(__xludf.DUMMYFUNCTION("""COMPUTED_VALUE"""),9.0)</f>
        <v>9</v>
      </c>
      <c r="G958" s="2">
        <f>IFERROR(__xludf.DUMMYFUNCTION("""COMPUTED_VALUE"""),2024.0)</f>
        <v>2024</v>
      </c>
      <c r="H958" s="2" t="str">
        <f t="shared" si="2"/>
        <v>2024/9/11</v>
      </c>
      <c r="I958" s="2" t="s">
        <v>1593</v>
      </c>
      <c r="J958" s="2" t="str">
        <f t="shared" si="3"/>
        <v>Wedang laut</v>
      </c>
      <c r="K958" s="7">
        <f>if(RIGHT(I958,5)="2 pcs",2,Data!I958)</f>
        <v>1</v>
      </c>
      <c r="L958" s="2" t="str">
        <f t="shared" si="4"/>
        <v>Wednesday</v>
      </c>
      <c r="M958" s="2" t="str">
        <f t="shared" si="5"/>
        <v>11</v>
      </c>
      <c r="N958" s="2">
        <f>VLOOKUP(L958,'Data Info'!$A$1:$B$8,2,0)</f>
        <v>3</v>
      </c>
      <c r="O958" s="2" t="str">
        <f>VLOOKUP(L958,'Data Info'!$A$1:$C$8,3,0)</f>
        <v>Weekday</v>
      </c>
    </row>
    <row r="959">
      <c r="A959" s="4">
        <v>45546.73888888889</v>
      </c>
      <c r="B959" s="9">
        <f>IFERROR(__xludf.DUMMYFUNCTION("SPLIT(A959,"" "")"),45546.0)</f>
        <v>45546</v>
      </c>
      <c r="C959" s="10">
        <f>IFERROR(__xludf.DUMMYFUNCTION("""COMPUTED_VALUE"""),0.7388888888888889)</f>
        <v>0.7388888889</v>
      </c>
      <c r="D959" s="2">
        <f t="shared" si="1"/>
        <v>17</v>
      </c>
      <c r="E959" s="2">
        <f>IFERROR(__xludf.DUMMYFUNCTION("SPLIT(B959,""/"")"),11.0)</f>
        <v>11</v>
      </c>
      <c r="F959" s="2">
        <f>IFERROR(__xludf.DUMMYFUNCTION("""COMPUTED_VALUE"""),9.0)</f>
        <v>9</v>
      </c>
      <c r="G959" s="2">
        <f>IFERROR(__xludf.DUMMYFUNCTION("""COMPUTED_VALUE"""),2024.0)</f>
        <v>2024</v>
      </c>
      <c r="H959" s="2" t="str">
        <f t="shared" si="2"/>
        <v>2024/9/11</v>
      </c>
      <c r="I959" s="2" t="s">
        <v>1566</v>
      </c>
      <c r="J959" s="2" t="str">
        <f t="shared" si="3"/>
        <v>Roti Bawang Saus Keju</v>
      </c>
      <c r="K959" s="7">
        <f>if(RIGHT(I959,5)="2 pcs",2,Data!I959)</f>
        <v>1</v>
      </c>
      <c r="L959" s="2" t="str">
        <f t="shared" si="4"/>
        <v>Wednesday</v>
      </c>
      <c r="M959" s="2" t="str">
        <f t="shared" si="5"/>
        <v>11</v>
      </c>
      <c r="N959" s="2">
        <f>VLOOKUP(L959,'Data Info'!$A$1:$B$8,2,0)</f>
        <v>3</v>
      </c>
      <c r="O959" s="2" t="str">
        <f>VLOOKUP(L959,'Data Info'!$A$1:$C$8,3,0)</f>
        <v>Weekday</v>
      </c>
    </row>
    <row r="960">
      <c r="A960" s="4">
        <v>45546.7375</v>
      </c>
      <c r="B960" s="9">
        <f>IFERROR(__xludf.DUMMYFUNCTION("SPLIT(A960,"" "")"),45546.0)</f>
        <v>45546</v>
      </c>
      <c r="C960" s="10">
        <f>IFERROR(__xludf.DUMMYFUNCTION("""COMPUTED_VALUE"""),0.7375)</f>
        <v>0.7375</v>
      </c>
      <c r="D960" s="2">
        <f t="shared" si="1"/>
        <v>17</v>
      </c>
      <c r="E960" s="2">
        <f>IFERROR(__xludf.DUMMYFUNCTION("SPLIT(B960,""/"")"),11.0)</f>
        <v>11</v>
      </c>
      <c r="F960" s="2">
        <f>IFERROR(__xludf.DUMMYFUNCTION("""COMPUTED_VALUE"""),9.0)</f>
        <v>9</v>
      </c>
      <c r="G960" s="2">
        <f>IFERROR(__xludf.DUMMYFUNCTION("""COMPUTED_VALUE"""),2024.0)</f>
        <v>2024</v>
      </c>
      <c r="H960" s="2" t="str">
        <f t="shared" si="2"/>
        <v>2024/9/11</v>
      </c>
      <c r="I960" s="2" t="s">
        <v>1586</v>
      </c>
      <c r="J960" s="2" t="str">
        <f t="shared" si="3"/>
        <v>Jamur Enoki Krispi</v>
      </c>
      <c r="K960" s="7">
        <f>if(RIGHT(I960,5)="2 pcs",2,Data!I960)</f>
        <v>1</v>
      </c>
      <c r="L960" s="2" t="str">
        <f t="shared" si="4"/>
        <v>Wednesday</v>
      </c>
      <c r="M960" s="2" t="str">
        <f t="shared" si="5"/>
        <v>11</v>
      </c>
      <c r="N960" s="2">
        <f>VLOOKUP(L960,'Data Info'!$A$1:$B$8,2,0)</f>
        <v>3</v>
      </c>
      <c r="O960" s="2" t="str">
        <f>VLOOKUP(L960,'Data Info'!$A$1:$C$8,3,0)</f>
        <v>Weekday</v>
      </c>
    </row>
    <row r="961">
      <c r="A961" s="4">
        <v>45546.7375</v>
      </c>
      <c r="B961" s="9">
        <f>IFERROR(__xludf.DUMMYFUNCTION("SPLIT(A961,"" "")"),45546.0)</f>
        <v>45546</v>
      </c>
      <c r="C961" s="10">
        <f>IFERROR(__xludf.DUMMYFUNCTION("""COMPUTED_VALUE"""),0.7375)</f>
        <v>0.7375</v>
      </c>
      <c r="D961" s="2">
        <f t="shared" si="1"/>
        <v>17</v>
      </c>
      <c r="E961" s="2">
        <f>IFERROR(__xludf.DUMMYFUNCTION("SPLIT(B961,""/"")"),11.0)</f>
        <v>11</v>
      </c>
      <c r="F961" s="2">
        <f>IFERROR(__xludf.DUMMYFUNCTION("""COMPUTED_VALUE"""),9.0)</f>
        <v>9</v>
      </c>
      <c r="G961" s="2">
        <f>IFERROR(__xludf.DUMMYFUNCTION("""COMPUTED_VALUE"""),2024.0)</f>
        <v>2024</v>
      </c>
      <c r="H961" s="2" t="str">
        <f t="shared" si="2"/>
        <v>2024/9/11</v>
      </c>
      <c r="I961" s="2" t="s">
        <v>1615</v>
      </c>
      <c r="J961" s="2" t="str">
        <f t="shared" si="3"/>
        <v>Roti panggang sarikaya</v>
      </c>
      <c r="K961" s="7">
        <f>if(RIGHT(I961,5)="2 pcs",2,Data!I961)</f>
        <v>1</v>
      </c>
      <c r="L961" s="2" t="str">
        <f t="shared" si="4"/>
        <v>Wednesday</v>
      </c>
      <c r="M961" s="2" t="str">
        <f t="shared" si="5"/>
        <v>11</v>
      </c>
      <c r="N961" s="2">
        <f>VLOOKUP(L961,'Data Info'!$A$1:$B$8,2,0)</f>
        <v>3</v>
      </c>
      <c r="O961" s="2" t="str">
        <f>VLOOKUP(L961,'Data Info'!$A$1:$C$8,3,0)</f>
        <v>Weekday</v>
      </c>
    </row>
    <row r="962">
      <c r="A962" s="4">
        <v>45546.7375</v>
      </c>
      <c r="B962" s="9">
        <f>IFERROR(__xludf.DUMMYFUNCTION("SPLIT(A962,"" "")"),45546.0)</f>
        <v>45546</v>
      </c>
      <c r="C962" s="10">
        <f>IFERROR(__xludf.DUMMYFUNCTION("""COMPUTED_VALUE"""),0.7375)</f>
        <v>0.7375</v>
      </c>
      <c r="D962" s="2">
        <f t="shared" si="1"/>
        <v>17</v>
      </c>
      <c r="E962" s="2">
        <f>IFERROR(__xludf.DUMMYFUNCTION("SPLIT(B962,""/"")"),11.0)</f>
        <v>11</v>
      </c>
      <c r="F962" s="2">
        <f>IFERROR(__xludf.DUMMYFUNCTION("""COMPUTED_VALUE"""),9.0)</f>
        <v>9</v>
      </c>
      <c r="G962" s="2">
        <f>IFERROR(__xludf.DUMMYFUNCTION("""COMPUTED_VALUE"""),2024.0)</f>
        <v>2024</v>
      </c>
      <c r="H962" s="2" t="str">
        <f t="shared" si="2"/>
        <v>2024/9/11</v>
      </c>
      <c r="I962" s="2" t="s">
        <v>1582</v>
      </c>
      <c r="J962" s="2" t="str">
        <f t="shared" si="3"/>
        <v>Teh Tawar Dingin</v>
      </c>
      <c r="K962" s="7">
        <f>if(RIGHT(I962,5)="2 pcs",2,Data!I962)</f>
        <v>2</v>
      </c>
      <c r="L962" s="2" t="str">
        <f t="shared" si="4"/>
        <v>Wednesday</v>
      </c>
      <c r="M962" s="2" t="str">
        <f t="shared" si="5"/>
        <v>11</v>
      </c>
      <c r="N962" s="2">
        <f>VLOOKUP(L962,'Data Info'!$A$1:$B$8,2,0)</f>
        <v>3</v>
      </c>
      <c r="O962" s="2" t="str">
        <f>VLOOKUP(L962,'Data Info'!$A$1:$C$8,3,0)</f>
        <v>Weekday</v>
      </c>
    </row>
    <row r="963">
      <c r="A963" s="4">
        <v>45546.72708333333</v>
      </c>
      <c r="B963" s="9">
        <f>IFERROR(__xludf.DUMMYFUNCTION("SPLIT(A963,"" "")"),45546.0)</f>
        <v>45546</v>
      </c>
      <c r="C963" s="10">
        <f>IFERROR(__xludf.DUMMYFUNCTION("""COMPUTED_VALUE"""),0.7270833333333333)</f>
        <v>0.7270833333</v>
      </c>
      <c r="D963" s="2">
        <f t="shared" si="1"/>
        <v>17</v>
      </c>
      <c r="E963" s="2">
        <f>IFERROR(__xludf.DUMMYFUNCTION("SPLIT(B963,""/"")"),11.0)</f>
        <v>11</v>
      </c>
      <c r="F963" s="2">
        <f>IFERROR(__xludf.DUMMYFUNCTION("""COMPUTED_VALUE"""),9.0)</f>
        <v>9</v>
      </c>
      <c r="G963" s="2">
        <f>IFERROR(__xludf.DUMMYFUNCTION("""COMPUTED_VALUE"""),2024.0)</f>
        <v>2024</v>
      </c>
      <c r="H963" s="2" t="str">
        <f t="shared" si="2"/>
        <v>2024/9/11</v>
      </c>
      <c r="I963" s="2" t="s">
        <v>1615</v>
      </c>
      <c r="J963" s="2" t="str">
        <f t="shared" si="3"/>
        <v>Roti panggang sarikaya</v>
      </c>
      <c r="K963" s="7">
        <f>if(RIGHT(I963,5)="2 pcs",2,Data!I963)</f>
        <v>1</v>
      </c>
      <c r="L963" s="2" t="str">
        <f t="shared" si="4"/>
        <v>Wednesday</v>
      </c>
      <c r="M963" s="2" t="str">
        <f t="shared" si="5"/>
        <v>11</v>
      </c>
      <c r="N963" s="2">
        <f>VLOOKUP(L963,'Data Info'!$A$1:$B$8,2,0)</f>
        <v>3</v>
      </c>
      <c r="O963" s="2" t="str">
        <f>VLOOKUP(L963,'Data Info'!$A$1:$C$8,3,0)</f>
        <v>Weekday</v>
      </c>
    </row>
    <row r="964">
      <c r="A964" s="4">
        <v>45546.72708333333</v>
      </c>
      <c r="B964" s="9">
        <f>IFERROR(__xludf.DUMMYFUNCTION("SPLIT(A964,"" "")"),45546.0)</f>
        <v>45546</v>
      </c>
      <c r="C964" s="10">
        <f>IFERROR(__xludf.DUMMYFUNCTION("""COMPUTED_VALUE"""),0.7270833333333333)</f>
        <v>0.7270833333</v>
      </c>
      <c r="D964" s="2">
        <f t="shared" si="1"/>
        <v>17</v>
      </c>
      <c r="E964" s="2">
        <f>IFERROR(__xludf.DUMMYFUNCTION("SPLIT(B964,""/"")"),11.0)</f>
        <v>11</v>
      </c>
      <c r="F964" s="2">
        <f>IFERROR(__xludf.DUMMYFUNCTION("""COMPUTED_VALUE"""),9.0)</f>
        <v>9</v>
      </c>
      <c r="G964" s="2">
        <f>IFERROR(__xludf.DUMMYFUNCTION("""COMPUTED_VALUE"""),2024.0)</f>
        <v>2024</v>
      </c>
      <c r="H964" s="2" t="str">
        <f t="shared" si="2"/>
        <v>2024/9/11</v>
      </c>
      <c r="I964" s="2" t="s">
        <v>1577</v>
      </c>
      <c r="J964" s="2" t="str">
        <f t="shared" si="3"/>
        <v>Rempah Madu Panas</v>
      </c>
      <c r="K964" s="7">
        <f>if(RIGHT(I964,5)="2 pcs",2,Data!I964)</f>
        <v>1</v>
      </c>
      <c r="L964" s="2" t="str">
        <f t="shared" si="4"/>
        <v>Wednesday</v>
      </c>
      <c r="M964" s="2" t="str">
        <f t="shared" si="5"/>
        <v>11</v>
      </c>
      <c r="N964" s="2">
        <f>VLOOKUP(L964,'Data Info'!$A$1:$B$8,2,0)</f>
        <v>3</v>
      </c>
      <c r="O964" s="2" t="str">
        <f>VLOOKUP(L964,'Data Info'!$A$1:$C$8,3,0)</f>
        <v>Weekday</v>
      </c>
    </row>
    <row r="965">
      <c r="A965" s="4">
        <v>45546.72638888889</v>
      </c>
      <c r="B965" s="9">
        <f>IFERROR(__xludf.DUMMYFUNCTION("SPLIT(A965,"" "")"),45546.0)</f>
        <v>45546</v>
      </c>
      <c r="C965" s="10">
        <f>IFERROR(__xludf.DUMMYFUNCTION("""COMPUTED_VALUE"""),0.7263888888888889)</f>
        <v>0.7263888889</v>
      </c>
      <c r="D965" s="2">
        <f t="shared" si="1"/>
        <v>17</v>
      </c>
      <c r="E965" s="2">
        <f>IFERROR(__xludf.DUMMYFUNCTION("SPLIT(B965,""/"")"),11.0)</f>
        <v>11</v>
      </c>
      <c r="F965" s="2">
        <f>IFERROR(__xludf.DUMMYFUNCTION("""COMPUTED_VALUE"""),9.0)</f>
        <v>9</v>
      </c>
      <c r="G965" s="2">
        <f>IFERROR(__xludf.DUMMYFUNCTION("""COMPUTED_VALUE"""),2024.0)</f>
        <v>2024</v>
      </c>
      <c r="H965" s="2" t="str">
        <f t="shared" si="2"/>
        <v>2024/9/11</v>
      </c>
      <c r="I965" s="2" t="s">
        <v>1588</v>
      </c>
      <c r="J965" s="2" t="str">
        <f t="shared" si="3"/>
        <v>Es Kopi Susu</v>
      </c>
      <c r="K965" s="7">
        <f>if(RIGHT(I965,5)="2 pcs",2,Data!I965)</f>
        <v>2</v>
      </c>
      <c r="L965" s="2" t="str">
        <f t="shared" si="4"/>
        <v>Wednesday</v>
      </c>
      <c r="M965" s="2" t="str">
        <f t="shared" si="5"/>
        <v>11</v>
      </c>
      <c r="N965" s="2">
        <f>VLOOKUP(L965,'Data Info'!$A$1:$B$8,2,0)</f>
        <v>3</v>
      </c>
      <c r="O965" s="2" t="str">
        <f>VLOOKUP(L965,'Data Info'!$A$1:$C$8,3,0)</f>
        <v>Weekday</v>
      </c>
    </row>
    <row r="966">
      <c r="A966" s="4">
        <v>45546.72638888889</v>
      </c>
      <c r="B966" s="9">
        <f>IFERROR(__xludf.DUMMYFUNCTION("SPLIT(A966,"" "")"),45546.0)</f>
        <v>45546</v>
      </c>
      <c r="C966" s="10">
        <f>IFERROR(__xludf.DUMMYFUNCTION("""COMPUTED_VALUE"""),0.7263888888888889)</f>
        <v>0.7263888889</v>
      </c>
      <c r="D966" s="2">
        <f t="shared" si="1"/>
        <v>17</v>
      </c>
      <c r="E966" s="2">
        <f>IFERROR(__xludf.DUMMYFUNCTION("SPLIT(B966,""/"")"),11.0)</f>
        <v>11</v>
      </c>
      <c r="F966" s="2">
        <f>IFERROR(__xludf.DUMMYFUNCTION("""COMPUTED_VALUE"""),9.0)</f>
        <v>9</v>
      </c>
      <c r="G966" s="2">
        <f>IFERROR(__xludf.DUMMYFUNCTION("""COMPUTED_VALUE"""),2024.0)</f>
        <v>2024</v>
      </c>
      <c r="H966" s="2" t="str">
        <f t="shared" si="2"/>
        <v>2024/9/11</v>
      </c>
      <c r="I966" s="2" t="s">
        <v>1595</v>
      </c>
      <c r="J966" s="2" t="str">
        <f t="shared" si="3"/>
        <v>Roti Gandum Cokelat</v>
      </c>
      <c r="K966" s="7">
        <f>if(RIGHT(I966,5)="2 pcs",2,Data!I966)</f>
        <v>1</v>
      </c>
      <c r="L966" s="2" t="str">
        <f t="shared" si="4"/>
        <v>Wednesday</v>
      </c>
      <c r="M966" s="2" t="str">
        <f t="shared" si="5"/>
        <v>11</v>
      </c>
      <c r="N966" s="2">
        <f>VLOOKUP(L966,'Data Info'!$A$1:$B$8,2,0)</f>
        <v>3</v>
      </c>
      <c r="O966" s="2" t="str">
        <f>VLOOKUP(L966,'Data Info'!$A$1:$C$8,3,0)</f>
        <v>Weekday</v>
      </c>
    </row>
    <row r="967">
      <c r="A967" s="4">
        <v>45546.71944444445</v>
      </c>
      <c r="B967" s="9">
        <f>IFERROR(__xludf.DUMMYFUNCTION("SPLIT(A967,"" "")"),45546.0)</f>
        <v>45546</v>
      </c>
      <c r="C967" s="10">
        <f>IFERROR(__xludf.DUMMYFUNCTION("""COMPUTED_VALUE"""),0.7194444444444444)</f>
        <v>0.7194444444</v>
      </c>
      <c r="D967" s="2">
        <f t="shared" si="1"/>
        <v>17</v>
      </c>
      <c r="E967" s="2">
        <f>IFERROR(__xludf.DUMMYFUNCTION("SPLIT(B967,""/"")"),11.0)</f>
        <v>11</v>
      </c>
      <c r="F967" s="2">
        <f>IFERROR(__xludf.DUMMYFUNCTION("""COMPUTED_VALUE"""),9.0)</f>
        <v>9</v>
      </c>
      <c r="G967" s="2">
        <f>IFERROR(__xludf.DUMMYFUNCTION("""COMPUTED_VALUE"""),2024.0)</f>
        <v>2024</v>
      </c>
      <c r="H967" s="2" t="str">
        <f t="shared" si="2"/>
        <v>2024/9/11</v>
      </c>
      <c r="I967" s="2" t="s">
        <v>1576</v>
      </c>
      <c r="J967" s="2" t="str">
        <f t="shared" si="3"/>
        <v>Roti Cranberry</v>
      </c>
      <c r="K967" s="7">
        <f>if(RIGHT(I967,5)="2 pcs",2,Data!I967)</f>
        <v>1</v>
      </c>
      <c r="L967" s="2" t="str">
        <f t="shared" si="4"/>
        <v>Wednesday</v>
      </c>
      <c r="M967" s="2" t="str">
        <f t="shared" si="5"/>
        <v>11</v>
      </c>
      <c r="N967" s="2">
        <f>VLOOKUP(L967,'Data Info'!$A$1:$B$8,2,0)</f>
        <v>3</v>
      </c>
      <c r="O967" s="2" t="str">
        <f>VLOOKUP(L967,'Data Info'!$A$1:$C$8,3,0)</f>
        <v>Weekday</v>
      </c>
    </row>
    <row r="968">
      <c r="A968" s="4">
        <v>45546.71944444445</v>
      </c>
      <c r="B968" s="9">
        <f>IFERROR(__xludf.DUMMYFUNCTION("SPLIT(A968,"" "")"),45546.0)</f>
        <v>45546</v>
      </c>
      <c r="C968" s="10">
        <f>IFERROR(__xludf.DUMMYFUNCTION("""COMPUTED_VALUE"""),0.7194444444444444)</f>
        <v>0.7194444444</v>
      </c>
      <c r="D968" s="2">
        <f t="shared" si="1"/>
        <v>17</v>
      </c>
      <c r="E968" s="2">
        <f>IFERROR(__xludf.DUMMYFUNCTION("SPLIT(B968,""/"")"),11.0)</f>
        <v>11</v>
      </c>
      <c r="F968" s="2">
        <f>IFERROR(__xludf.DUMMYFUNCTION("""COMPUTED_VALUE"""),9.0)</f>
        <v>9</v>
      </c>
      <c r="G968" s="2">
        <f>IFERROR(__xludf.DUMMYFUNCTION("""COMPUTED_VALUE"""),2024.0)</f>
        <v>2024</v>
      </c>
      <c r="H968" s="2" t="str">
        <f t="shared" si="2"/>
        <v>2024/9/11</v>
      </c>
      <c r="I968" s="2" t="s">
        <v>1595</v>
      </c>
      <c r="J968" s="2" t="str">
        <f t="shared" si="3"/>
        <v>Roti Gandum Cokelat</v>
      </c>
      <c r="K968" s="7">
        <f>if(RIGHT(I968,5)="2 pcs",2,Data!I968)</f>
        <v>1</v>
      </c>
      <c r="L968" s="2" t="str">
        <f t="shared" si="4"/>
        <v>Wednesday</v>
      </c>
      <c r="M968" s="2" t="str">
        <f t="shared" si="5"/>
        <v>11</v>
      </c>
      <c r="N968" s="2">
        <f>VLOOKUP(L968,'Data Info'!$A$1:$B$8,2,0)</f>
        <v>3</v>
      </c>
      <c r="O968" s="2" t="str">
        <f>VLOOKUP(L968,'Data Info'!$A$1:$C$8,3,0)</f>
        <v>Weekday</v>
      </c>
    </row>
    <row r="969">
      <c r="A969" s="4">
        <v>45546.71944444445</v>
      </c>
      <c r="B969" s="9">
        <f>IFERROR(__xludf.DUMMYFUNCTION("SPLIT(A969,"" "")"),45546.0)</f>
        <v>45546</v>
      </c>
      <c r="C969" s="10">
        <f>IFERROR(__xludf.DUMMYFUNCTION("""COMPUTED_VALUE"""),0.7194444444444444)</f>
        <v>0.7194444444</v>
      </c>
      <c r="D969" s="2">
        <f t="shared" si="1"/>
        <v>17</v>
      </c>
      <c r="E969" s="2">
        <f>IFERROR(__xludf.DUMMYFUNCTION("SPLIT(B969,""/"")"),11.0)</f>
        <v>11</v>
      </c>
      <c r="F969" s="2">
        <f>IFERROR(__xludf.DUMMYFUNCTION("""COMPUTED_VALUE"""),9.0)</f>
        <v>9</v>
      </c>
      <c r="G969" s="2">
        <f>IFERROR(__xludf.DUMMYFUNCTION("""COMPUTED_VALUE"""),2024.0)</f>
        <v>2024</v>
      </c>
      <c r="H969" s="2" t="str">
        <f t="shared" si="2"/>
        <v>2024/9/11</v>
      </c>
      <c r="I969" s="2" t="s">
        <v>1595</v>
      </c>
      <c r="J969" s="2" t="str">
        <f t="shared" si="3"/>
        <v>Roti Gandum Cokelat</v>
      </c>
      <c r="K969" s="7">
        <f>if(RIGHT(I969,5)="2 pcs",2,Data!I969)</f>
        <v>-1</v>
      </c>
      <c r="L969" s="2" t="str">
        <f t="shared" si="4"/>
        <v>Wednesday</v>
      </c>
      <c r="M969" s="2" t="str">
        <f t="shared" si="5"/>
        <v>11</v>
      </c>
      <c r="N969" s="2">
        <f>VLOOKUP(L969,'Data Info'!$A$1:$B$8,2,0)</f>
        <v>3</v>
      </c>
      <c r="O969" s="2" t="str">
        <f>VLOOKUP(L969,'Data Info'!$A$1:$C$8,3,0)</f>
        <v>Weekday</v>
      </c>
    </row>
    <row r="970">
      <c r="A970" s="4">
        <v>45546.71944444445</v>
      </c>
      <c r="B970" s="9">
        <f>IFERROR(__xludf.DUMMYFUNCTION("SPLIT(A970,"" "")"),45546.0)</f>
        <v>45546</v>
      </c>
      <c r="C970" s="10">
        <f>IFERROR(__xludf.DUMMYFUNCTION("""COMPUTED_VALUE"""),0.7194444444444444)</f>
        <v>0.7194444444</v>
      </c>
      <c r="D970" s="2">
        <f t="shared" si="1"/>
        <v>17</v>
      </c>
      <c r="E970" s="2">
        <f>IFERROR(__xludf.DUMMYFUNCTION("SPLIT(B970,""/"")"),11.0)</f>
        <v>11</v>
      </c>
      <c r="F970" s="2">
        <f>IFERROR(__xludf.DUMMYFUNCTION("""COMPUTED_VALUE"""),9.0)</f>
        <v>9</v>
      </c>
      <c r="G970" s="2">
        <f>IFERROR(__xludf.DUMMYFUNCTION("""COMPUTED_VALUE"""),2024.0)</f>
        <v>2024</v>
      </c>
      <c r="H970" s="2" t="str">
        <f t="shared" si="2"/>
        <v>2024/9/11</v>
      </c>
      <c r="I970" s="2" t="s">
        <v>1576</v>
      </c>
      <c r="J970" s="2" t="str">
        <f t="shared" si="3"/>
        <v>Roti Cranberry</v>
      </c>
      <c r="K970" s="7">
        <f>if(RIGHT(I970,5)="2 pcs",2,Data!I970)</f>
        <v>-1</v>
      </c>
      <c r="L970" s="2" t="str">
        <f t="shared" si="4"/>
        <v>Wednesday</v>
      </c>
      <c r="M970" s="2" t="str">
        <f t="shared" si="5"/>
        <v>11</v>
      </c>
      <c r="N970" s="2">
        <f>VLOOKUP(L970,'Data Info'!$A$1:$B$8,2,0)</f>
        <v>3</v>
      </c>
      <c r="O970" s="2" t="str">
        <f>VLOOKUP(L970,'Data Info'!$A$1:$C$8,3,0)</f>
        <v>Weekday</v>
      </c>
    </row>
    <row r="971">
      <c r="A971" s="4">
        <v>45546.717361111114</v>
      </c>
      <c r="B971" s="9">
        <f>IFERROR(__xludf.DUMMYFUNCTION("SPLIT(A971,"" "")"),45546.0)</f>
        <v>45546</v>
      </c>
      <c r="C971" s="10">
        <f>IFERROR(__xludf.DUMMYFUNCTION("""COMPUTED_VALUE"""),0.7173611111111111)</f>
        <v>0.7173611111</v>
      </c>
      <c r="D971" s="2">
        <f t="shared" si="1"/>
        <v>17</v>
      </c>
      <c r="E971" s="2">
        <f>IFERROR(__xludf.DUMMYFUNCTION("SPLIT(B971,""/"")"),11.0)</f>
        <v>11</v>
      </c>
      <c r="F971" s="2">
        <f>IFERROR(__xludf.DUMMYFUNCTION("""COMPUTED_VALUE"""),9.0)</f>
        <v>9</v>
      </c>
      <c r="G971" s="2">
        <f>IFERROR(__xludf.DUMMYFUNCTION("""COMPUTED_VALUE"""),2024.0)</f>
        <v>2024</v>
      </c>
      <c r="H971" s="2" t="str">
        <f t="shared" si="2"/>
        <v>2024/9/11</v>
      </c>
      <c r="I971" s="2" t="s">
        <v>1595</v>
      </c>
      <c r="J971" s="2" t="str">
        <f t="shared" si="3"/>
        <v>Roti Gandum Cokelat</v>
      </c>
      <c r="K971" s="7">
        <f>if(RIGHT(I971,5)="2 pcs",2,Data!I971)</f>
        <v>1</v>
      </c>
      <c r="L971" s="2" t="str">
        <f t="shared" si="4"/>
        <v>Wednesday</v>
      </c>
      <c r="M971" s="2" t="str">
        <f t="shared" si="5"/>
        <v>11</v>
      </c>
      <c r="N971" s="2">
        <f>VLOOKUP(L971,'Data Info'!$A$1:$B$8,2,0)</f>
        <v>3</v>
      </c>
      <c r="O971" s="2" t="str">
        <f>VLOOKUP(L971,'Data Info'!$A$1:$C$8,3,0)</f>
        <v>Weekday</v>
      </c>
    </row>
    <row r="972">
      <c r="A972" s="4">
        <v>45546.717361111114</v>
      </c>
      <c r="B972" s="9">
        <f>IFERROR(__xludf.DUMMYFUNCTION("SPLIT(A972,"" "")"),45546.0)</f>
        <v>45546</v>
      </c>
      <c r="C972" s="10">
        <f>IFERROR(__xludf.DUMMYFUNCTION("""COMPUTED_VALUE"""),0.7173611111111111)</f>
        <v>0.7173611111</v>
      </c>
      <c r="D972" s="2">
        <f t="shared" si="1"/>
        <v>17</v>
      </c>
      <c r="E972" s="2">
        <f>IFERROR(__xludf.DUMMYFUNCTION("SPLIT(B972,""/"")"),11.0)</f>
        <v>11</v>
      </c>
      <c r="F972" s="2">
        <f>IFERROR(__xludf.DUMMYFUNCTION("""COMPUTED_VALUE"""),9.0)</f>
        <v>9</v>
      </c>
      <c r="G972" s="2">
        <f>IFERROR(__xludf.DUMMYFUNCTION("""COMPUTED_VALUE"""),2024.0)</f>
        <v>2024</v>
      </c>
      <c r="H972" s="2" t="str">
        <f t="shared" si="2"/>
        <v>2024/9/11</v>
      </c>
      <c r="I972" s="2" t="s">
        <v>1576</v>
      </c>
      <c r="J972" s="2" t="str">
        <f t="shared" si="3"/>
        <v>Roti Cranberry</v>
      </c>
      <c r="K972" s="7">
        <f>if(RIGHT(I972,5)="2 pcs",2,Data!I972)</f>
        <v>1</v>
      </c>
      <c r="L972" s="2" t="str">
        <f t="shared" si="4"/>
        <v>Wednesday</v>
      </c>
      <c r="M972" s="2" t="str">
        <f t="shared" si="5"/>
        <v>11</v>
      </c>
      <c r="N972" s="2">
        <f>VLOOKUP(L972,'Data Info'!$A$1:$B$8,2,0)</f>
        <v>3</v>
      </c>
      <c r="O972" s="2" t="str">
        <f>VLOOKUP(L972,'Data Info'!$A$1:$C$8,3,0)</f>
        <v>Weekday</v>
      </c>
    </row>
    <row r="973">
      <c r="A973" s="4">
        <v>45546.71527777778</v>
      </c>
      <c r="B973" s="9">
        <f>IFERROR(__xludf.DUMMYFUNCTION("SPLIT(A973,"" "")"),45546.0)</f>
        <v>45546</v>
      </c>
      <c r="C973" s="10">
        <f>IFERROR(__xludf.DUMMYFUNCTION("""COMPUTED_VALUE"""),0.7152777777777778)</f>
        <v>0.7152777778</v>
      </c>
      <c r="D973" s="2">
        <f t="shared" si="1"/>
        <v>17</v>
      </c>
      <c r="E973" s="2">
        <f>IFERROR(__xludf.DUMMYFUNCTION("SPLIT(B973,""/"")"),11.0)</f>
        <v>11</v>
      </c>
      <c r="F973" s="2">
        <f>IFERROR(__xludf.DUMMYFUNCTION("""COMPUTED_VALUE"""),9.0)</f>
        <v>9</v>
      </c>
      <c r="G973" s="2">
        <f>IFERROR(__xludf.DUMMYFUNCTION("""COMPUTED_VALUE"""),2024.0)</f>
        <v>2024</v>
      </c>
      <c r="H973" s="2" t="str">
        <f t="shared" si="2"/>
        <v>2024/9/11</v>
      </c>
      <c r="I973" s="2" t="s">
        <v>1576</v>
      </c>
      <c r="J973" s="2" t="str">
        <f t="shared" si="3"/>
        <v>Roti Cranberry</v>
      </c>
      <c r="K973" s="7">
        <f>if(RIGHT(I973,5)="2 pcs",2,Data!I973)</f>
        <v>1</v>
      </c>
      <c r="L973" s="2" t="str">
        <f t="shared" si="4"/>
        <v>Wednesday</v>
      </c>
      <c r="M973" s="2" t="str">
        <f t="shared" si="5"/>
        <v>11</v>
      </c>
      <c r="N973" s="2">
        <f>VLOOKUP(L973,'Data Info'!$A$1:$B$8,2,0)</f>
        <v>3</v>
      </c>
      <c r="O973" s="2" t="str">
        <f>VLOOKUP(L973,'Data Info'!$A$1:$C$8,3,0)</f>
        <v>Weekday</v>
      </c>
    </row>
    <row r="974">
      <c r="A974" s="4">
        <v>45546.71527777778</v>
      </c>
      <c r="B974" s="9">
        <f>IFERROR(__xludf.DUMMYFUNCTION("SPLIT(A974,"" "")"),45546.0)</f>
        <v>45546</v>
      </c>
      <c r="C974" s="10">
        <f>IFERROR(__xludf.DUMMYFUNCTION("""COMPUTED_VALUE"""),0.7152777777777778)</f>
        <v>0.7152777778</v>
      </c>
      <c r="D974" s="2">
        <f t="shared" si="1"/>
        <v>17</v>
      </c>
      <c r="E974" s="2">
        <f>IFERROR(__xludf.DUMMYFUNCTION("SPLIT(B974,""/"")"),11.0)</f>
        <v>11</v>
      </c>
      <c r="F974" s="2">
        <f>IFERROR(__xludf.DUMMYFUNCTION("""COMPUTED_VALUE"""),9.0)</f>
        <v>9</v>
      </c>
      <c r="G974" s="2">
        <f>IFERROR(__xludf.DUMMYFUNCTION("""COMPUTED_VALUE"""),2024.0)</f>
        <v>2024</v>
      </c>
      <c r="H974" s="2" t="str">
        <f t="shared" si="2"/>
        <v>2024/9/11</v>
      </c>
      <c r="I974" s="2" t="s">
        <v>1595</v>
      </c>
      <c r="J974" s="2" t="str">
        <f t="shared" si="3"/>
        <v>Roti Gandum Cokelat</v>
      </c>
      <c r="K974" s="7">
        <f>if(RIGHT(I974,5)="2 pcs",2,Data!I974)</f>
        <v>1</v>
      </c>
      <c r="L974" s="2" t="str">
        <f t="shared" si="4"/>
        <v>Wednesday</v>
      </c>
      <c r="M974" s="2" t="str">
        <f t="shared" si="5"/>
        <v>11</v>
      </c>
      <c r="N974" s="2">
        <f>VLOOKUP(L974,'Data Info'!$A$1:$B$8,2,0)</f>
        <v>3</v>
      </c>
      <c r="O974" s="2" t="str">
        <f>VLOOKUP(L974,'Data Info'!$A$1:$C$8,3,0)</f>
        <v>Weekday</v>
      </c>
    </row>
    <row r="975">
      <c r="A975" s="4">
        <v>45546.680555555555</v>
      </c>
      <c r="B975" s="9">
        <f>IFERROR(__xludf.DUMMYFUNCTION("SPLIT(A975,"" "")"),45546.0)</f>
        <v>45546</v>
      </c>
      <c r="C975" s="10">
        <f>IFERROR(__xludf.DUMMYFUNCTION("""COMPUTED_VALUE"""),0.6805555555555556)</f>
        <v>0.6805555556</v>
      </c>
      <c r="D975" s="2">
        <f t="shared" si="1"/>
        <v>16</v>
      </c>
      <c r="E975" s="2">
        <f>IFERROR(__xludf.DUMMYFUNCTION("SPLIT(B975,""/"")"),11.0)</f>
        <v>11</v>
      </c>
      <c r="F975" s="2">
        <f>IFERROR(__xludf.DUMMYFUNCTION("""COMPUTED_VALUE"""),9.0)</f>
        <v>9</v>
      </c>
      <c r="G975" s="2">
        <f>IFERROR(__xludf.DUMMYFUNCTION("""COMPUTED_VALUE"""),2024.0)</f>
        <v>2024</v>
      </c>
      <c r="H975" s="2" t="str">
        <f t="shared" si="2"/>
        <v>2024/9/11</v>
      </c>
      <c r="I975" s="2" t="s">
        <v>1588</v>
      </c>
      <c r="J975" s="2" t="str">
        <f t="shared" si="3"/>
        <v>Es Kopi Susu</v>
      </c>
      <c r="K975" s="7">
        <f>if(RIGHT(I975,5)="2 pcs",2,Data!I975)</f>
        <v>1</v>
      </c>
      <c r="L975" s="2" t="str">
        <f t="shared" si="4"/>
        <v>Wednesday</v>
      </c>
      <c r="M975" s="2" t="str">
        <f t="shared" si="5"/>
        <v>11</v>
      </c>
      <c r="N975" s="2">
        <f>VLOOKUP(L975,'Data Info'!$A$1:$B$8,2,0)</f>
        <v>3</v>
      </c>
      <c r="O975" s="2" t="str">
        <f>VLOOKUP(L975,'Data Info'!$A$1:$C$8,3,0)</f>
        <v>Weekday</v>
      </c>
    </row>
    <row r="976">
      <c r="A976" s="4">
        <v>45546.643055555556</v>
      </c>
      <c r="B976" s="9">
        <f>IFERROR(__xludf.DUMMYFUNCTION("SPLIT(A976,"" "")"),45546.0)</f>
        <v>45546</v>
      </c>
      <c r="C976" s="10">
        <f>IFERROR(__xludf.DUMMYFUNCTION("""COMPUTED_VALUE"""),0.6430555555555556)</f>
        <v>0.6430555556</v>
      </c>
      <c r="D976" s="2">
        <f t="shared" si="1"/>
        <v>15</v>
      </c>
      <c r="E976" s="2">
        <f>IFERROR(__xludf.DUMMYFUNCTION("SPLIT(B976,""/"")"),11.0)</f>
        <v>11</v>
      </c>
      <c r="F976" s="2">
        <f>IFERROR(__xludf.DUMMYFUNCTION("""COMPUTED_VALUE"""),9.0)</f>
        <v>9</v>
      </c>
      <c r="G976" s="2">
        <f>IFERROR(__xludf.DUMMYFUNCTION("""COMPUTED_VALUE"""),2024.0)</f>
        <v>2024</v>
      </c>
      <c r="H976" s="2" t="str">
        <f t="shared" si="2"/>
        <v>2024/9/11</v>
      </c>
      <c r="I976" s="2" t="s">
        <v>1596</v>
      </c>
      <c r="J976" s="2" t="str">
        <f t="shared" si="3"/>
        <v>Roti Cranberry</v>
      </c>
      <c r="K976" s="7">
        <f>if(RIGHT(I976,5)="2 pcs",2,Data!I976)</f>
        <v>2</v>
      </c>
      <c r="L976" s="2" t="str">
        <f t="shared" si="4"/>
        <v>Wednesday</v>
      </c>
      <c r="M976" s="2" t="str">
        <f t="shared" si="5"/>
        <v>11</v>
      </c>
      <c r="N976" s="2">
        <f>VLOOKUP(L976,'Data Info'!$A$1:$B$8,2,0)</f>
        <v>3</v>
      </c>
      <c r="O976" s="2" t="str">
        <f>VLOOKUP(L976,'Data Info'!$A$1:$C$8,3,0)</f>
        <v>Weekday</v>
      </c>
    </row>
    <row r="977">
      <c r="A977" s="4">
        <v>45546.643055555556</v>
      </c>
      <c r="B977" s="9">
        <f>IFERROR(__xludf.DUMMYFUNCTION("SPLIT(A977,"" "")"),45546.0)</f>
        <v>45546</v>
      </c>
      <c r="C977" s="10">
        <f>IFERROR(__xludf.DUMMYFUNCTION("""COMPUTED_VALUE"""),0.6430555555555556)</f>
        <v>0.6430555556</v>
      </c>
      <c r="D977" s="2">
        <f t="shared" si="1"/>
        <v>15</v>
      </c>
      <c r="E977" s="2">
        <f>IFERROR(__xludf.DUMMYFUNCTION("SPLIT(B977,""/"")"),11.0)</f>
        <v>11</v>
      </c>
      <c r="F977" s="2">
        <f>IFERROR(__xludf.DUMMYFUNCTION("""COMPUTED_VALUE"""),9.0)</f>
        <v>9</v>
      </c>
      <c r="G977" s="2">
        <f>IFERROR(__xludf.DUMMYFUNCTION("""COMPUTED_VALUE"""),2024.0)</f>
        <v>2024</v>
      </c>
      <c r="H977" s="2" t="str">
        <f t="shared" si="2"/>
        <v>2024/9/11</v>
      </c>
      <c r="I977" s="2" t="s">
        <v>1597</v>
      </c>
      <c r="J977" s="2" t="str">
        <f t="shared" si="3"/>
        <v>Roti Gandum Cokelat</v>
      </c>
      <c r="K977" s="7">
        <f>if(RIGHT(I977,5)="2 pcs",2,Data!I977)</f>
        <v>2</v>
      </c>
      <c r="L977" s="2" t="str">
        <f t="shared" si="4"/>
        <v>Wednesday</v>
      </c>
      <c r="M977" s="2" t="str">
        <f t="shared" si="5"/>
        <v>11</v>
      </c>
      <c r="N977" s="2">
        <f>VLOOKUP(L977,'Data Info'!$A$1:$B$8,2,0)</f>
        <v>3</v>
      </c>
      <c r="O977" s="2" t="str">
        <f>VLOOKUP(L977,'Data Info'!$A$1:$C$8,3,0)</f>
        <v>Weekday</v>
      </c>
    </row>
    <row r="978">
      <c r="A978" s="4">
        <v>45546.540972222225</v>
      </c>
      <c r="B978" s="9">
        <f>IFERROR(__xludf.DUMMYFUNCTION("SPLIT(A978,"" "")"),45546.0)</f>
        <v>45546</v>
      </c>
      <c r="C978" s="10">
        <f>IFERROR(__xludf.DUMMYFUNCTION("""COMPUTED_VALUE"""),0.5409722222222222)</f>
        <v>0.5409722222</v>
      </c>
      <c r="D978" s="2">
        <f t="shared" si="1"/>
        <v>12</v>
      </c>
      <c r="E978" s="2">
        <f>IFERROR(__xludf.DUMMYFUNCTION("SPLIT(B978,""/"")"),11.0)</f>
        <v>11</v>
      </c>
      <c r="F978" s="2">
        <f>IFERROR(__xludf.DUMMYFUNCTION("""COMPUTED_VALUE"""),9.0)</f>
        <v>9</v>
      </c>
      <c r="G978" s="2">
        <f>IFERROR(__xludf.DUMMYFUNCTION("""COMPUTED_VALUE"""),2024.0)</f>
        <v>2024</v>
      </c>
      <c r="H978" s="2" t="str">
        <f t="shared" si="2"/>
        <v>2024/9/11</v>
      </c>
      <c r="I978" s="2" t="s">
        <v>1596</v>
      </c>
      <c r="J978" s="2" t="str">
        <f t="shared" si="3"/>
        <v>Roti Cranberry</v>
      </c>
      <c r="K978" s="7">
        <f>if(RIGHT(I978,5)="2 pcs",2,Data!I978)</f>
        <v>2</v>
      </c>
      <c r="L978" s="2" t="str">
        <f t="shared" si="4"/>
        <v>Wednesday</v>
      </c>
      <c r="M978" s="2" t="str">
        <f t="shared" si="5"/>
        <v>11</v>
      </c>
      <c r="N978" s="2">
        <f>VLOOKUP(L978,'Data Info'!$A$1:$B$8,2,0)</f>
        <v>3</v>
      </c>
      <c r="O978" s="2" t="str">
        <f>VLOOKUP(L978,'Data Info'!$A$1:$C$8,3,0)</f>
        <v>Weekday</v>
      </c>
    </row>
    <row r="979">
      <c r="A979" s="4">
        <v>45546.459027777775</v>
      </c>
      <c r="B979" s="9">
        <f>IFERROR(__xludf.DUMMYFUNCTION("SPLIT(A979,"" "")"),45546.0)</f>
        <v>45546</v>
      </c>
      <c r="C979" s="10">
        <f>IFERROR(__xludf.DUMMYFUNCTION("""COMPUTED_VALUE"""),0.45902777777777776)</f>
        <v>0.4590277778</v>
      </c>
      <c r="D979" s="2">
        <f t="shared" si="1"/>
        <v>11</v>
      </c>
      <c r="E979" s="2">
        <f>IFERROR(__xludf.DUMMYFUNCTION("SPLIT(B979,""/"")"),11.0)</f>
        <v>11</v>
      </c>
      <c r="F979" s="2">
        <f>IFERROR(__xludf.DUMMYFUNCTION("""COMPUTED_VALUE"""),9.0)</f>
        <v>9</v>
      </c>
      <c r="G979" s="2">
        <f>IFERROR(__xludf.DUMMYFUNCTION("""COMPUTED_VALUE"""),2024.0)</f>
        <v>2024</v>
      </c>
      <c r="H979" s="2" t="str">
        <f t="shared" si="2"/>
        <v>2024/9/11</v>
      </c>
      <c r="I979" s="2" t="s">
        <v>1576</v>
      </c>
      <c r="J979" s="2" t="str">
        <f t="shared" si="3"/>
        <v>Roti Cranberry</v>
      </c>
      <c r="K979" s="7">
        <f>if(RIGHT(I979,5)="2 pcs",2,Data!I979)</f>
        <v>1</v>
      </c>
      <c r="L979" s="2" t="str">
        <f t="shared" si="4"/>
        <v>Wednesday</v>
      </c>
      <c r="M979" s="2" t="str">
        <f t="shared" si="5"/>
        <v>11</v>
      </c>
      <c r="N979" s="2">
        <f>VLOOKUP(L979,'Data Info'!$A$1:$B$8,2,0)</f>
        <v>3</v>
      </c>
      <c r="O979" s="2" t="str">
        <f>VLOOKUP(L979,'Data Info'!$A$1:$C$8,3,0)</f>
        <v>Weekday</v>
      </c>
    </row>
    <row r="980">
      <c r="A980" s="4">
        <v>45545.83472222222</v>
      </c>
      <c r="B980" s="9">
        <f>IFERROR(__xludf.DUMMYFUNCTION("SPLIT(A980,"" "")"),45545.0)</f>
        <v>45545</v>
      </c>
      <c r="C980" s="10">
        <f>IFERROR(__xludf.DUMMYFUNCTION("""COMPUTED_VALUE"""),0.8347222222222223)</f>
        <v>0.8347222222</v>
      </c>
      <c r="D980" s="2">
        <f t="shared" si="1"/>
        <v>20</v>
      </c>
      <c r="E980" s="2">
        <f>IFERROR(__xludf.DUMMYFUNCTION("SPLIT(B980,""/"")"),10.0)</f>
        <v>10</v>
      </c>
      <c r="F980" s="2">
        <f>IFERROR(__xludf.DUMMYFUNCTION("""COMPUTED_VALUE"""),9.0)</f>
        <v>9</v>
      </c>
      <c r="G980" s="2">
        <f>IFERROR(__xludf.DUMMYFUNCTION("""COMPUTED_VALUE"""),2024.0)</f>
        <v>2024</v>
      </c>
      <c r="H980" s="2" t="str">
        <f t="shared" si="2"/>
        <v>2024/9/10</v>
      </c>
      <c r="I980" s="2" t="s">
        <v>1577</v>
      </c>
      <c r="J980" s="2" t="str">
        <f t="shared" si="3"/>
        <v>Rempah Madu Panas</v>
      </c>
      <c r="K980" s="7">
        <f>if(RIGHT(I980,5)="2 pcs",2,Data!I980)</f>
        <v>1</v>
      </c>
      <c r="L980" s="2" t="str">
        <f t="shared" si="4"/>
        <v>Tuesday</v>
      </c>
      <c r="M980" s="2" t="str">
        <f t="shared" si="5"/>
        <v>10</v>
      </c>
      <c r="N980" s="2">
        <f>VLOOKUP(L980,'Data Info'!$A$1:$B$8,2,0)</f>
        <v>2</v>
      </c>
      <c r="O980" s="2" t="str">
        <f>VLOOKUP(L980,'Data Info'!$A$1:$C$8,3,0)</f>
        <v>Weekday</v>
      </c>
    </row>
    <row r="981">
      <c r="A981" s="4">
        <v>45545.80625</v>
      </c>
      <c r="B981" s="9">
        <f>IFERROR(__xludf.DUMMYFUNCTION("SPLIT(A981,"" "")"),45545.0)</f>
        <v>45545</v>
      </c>
      <c r="C981" s="10">
        <f>IFERROR(__xludf.DUMMYFUNCTION("""COMPUTED_VALUE"""),0.80625)</f>
        <v>0.80625</v>
      </c>
      <c r="D981" s="2">
        <f t="shared" si="1"/>
        <v>19</v>
      </c>
      <c r="E981" s="2">
        <f>IFERROR(__xludf.DUMMYFUNCTION("SPLIT(B981,""/"")"),10.0)</f>
        <v>10</v>
      </c>
      <c r="F981" s="2">
        <f>IFERROR(__xludf.DUMMYFUNCTION("""COMPUTED_VALUE"""),9.0)</f>
        <v>9</v>
      </c>
      <c r="G981" s="2">
        <f>IFERROR(__xludf.DUMMYFUNCTION("""COMPUTED_VALUE"""),2024.0)</f>
        <v>2024</v>
      </c>
      <c r="H981" s="2" t="str">
        <f t="shared" si="2"/>
        <v>2024/9/10</v>
      </c>
      <c r="I981" s="2" t="s">
        <v>1605</v>
      </c>
      <c r="J981" s="2" t="str">
        <f t="shared" si="3"/>
        <v>Kentang Goreng</v>
      </c>
      <c r="K981" s="7">
        <f>if(RIGHT(I981,5)="2 pcs",2,Data!I981)</f>
        <v>1</v>
      </c>
      <c r="L981" s="2" t="str">
        <f t="shared" si="4"/>
        <v>Tuesday</v>
      </c>
      <c r="M981" s="2" t="str">
        <f t="shared" si="5"/>
        <v>10</v>
      </c>
      <c r="N981" s="2">
        <f>VLOOKUP(L981,'Data Info'!$A$1:$B$8,2,0)</f>
        <v>2</v>
      </c>
      <c r="O981" s="2" t="str">
        <f>VLOOKUP(L981,'Data Info'!$A$1:$C$8,3,0)</f>
        <v>Weekday</v>
      </c>
    </row>
    <row r="982">
      <c r="A982" s="4">
        <v>45545.80625</v>
      </c>
      <c r="B982" s="9">
        <f>IFERROR(__xludf.DUMMYFUNCTION("SPLIT(A982,"" "")"),45545.0)</f>
        <v>45545</v>
      </c>
      <c r="C982" s="10">
        <f>IFERROR(__xludf.DUMMYFUNCTION("""COMPUTED_VALUE"""),0.80625)</f>
        <v>0.80625</v>
      </c>
      <c r="D982" s="2">
        <f t="shared" si="1"/>
        <v>19</v>
      </c>
      <c r="E982" s="2">
        <f>IFERROR(__xludf.DUMMYFUNCTION("SPLIT(B982,""/"")"),10.0)</f>
        <v>10</v>
      </c>
      <c r="F982" s="2">
        <f>IFERROR(__xludf.DUMMYFUNCTION("""COMPUTED_VALUE"""),9.0)</f>
        <v>9</v>
      </c>
      <c r="G982" s="2">
        <f>IFERROR(__xludf.DUMMYFUNCTION("""COMPUTED_VALUE"""),2024.0)</f>
        <v>2024</v>
      </c>
      <c r="H982" s="2" t="str">
        <f t="shared" si="2"/>
        <v>2024/9/10</v>
      </c>
      <c r="I982" s="2" t="s">
        <v>1609</v>
      </c>
      <c r="J982" s="2" t="str">
        <f t="shared" si="3"/>
        <v>Tempe Mendoan</v>
      </c>
      <c r="K982" s="7">
        <f>if(RIGHT(I982,5)="2 pcs",2,Data!I982)</f>
        <v>1</v>
      </c>
      <c r="L982" s="2" t="str">
        <f t="shared" si="4"/>
        <v>Tuesday</v>
      </c>
      <c r="M982" s="2" t="str">
        <f t="shared" si="5"/>
        <v>10</v>
      </c>
      <c r="N982" s="2">
        <f>VLOOKUP(L982,'Data Info'!$A$1:$B$8,2,0)</f>
        <v>2</v>
      </c>
      <c r="O982" s="2" t="str">
        <f>VLOOKUP(L982,'Data Info'!$A$1:$C$8,3,0)</f>
        <v>Weekday</v>
      </c>
    </row>
    <row r="983">
      <c r="A983" s="4">
        <v>45545.80625</v>
      </c>
      <c r="B983" s="9">
        <f>IFERROR(__xludf.DUMMYFUNCTION("SPLIT(A983,"" "")"),45545.0)</f>
        <v>45545</v>
      </c>
      <c r="C983" s="10">
        <f>IFERROR(__xludf.DUMMYFUNCTION("""COMPUTED_VALUE"""),0.80625)</f>
        <v>0.80625</v>
      </c>
      <c r="D983" s="2">
        <f t="shared" si="1"/>
        <v>19</v>
      </c>
      <c r="E983" s="2">
        <f>IFERROR(__xludf.DUMMYFUNCTION("SPLIT(B983,""/"")"),10.0)</f>
        <v>10</v>
      </c>
      <c r="F983" s="2">
        <f>IFERROR(__xludf.DUMMYFUNCTION("""COMPUTED_VALUE"""),9.0)</f>
        <v>9</v>
      </c>
      <c r="G983" s="2">
        <f>IFERROR(__xludf.DUMMYFUNCTION("""COMPUTED_VALUE"""),2024.0)</f>
        <v>2024</v>
      </c>
      <c r="H983" s="2" t="str">
        <f t="shared" si="2"/>
        <v>2024/9/10</v>
      </c>
      <c r="I983" s="2" t="s">
        <v>1586</v>
      </c>
      <c r="J983" s="2" t="str">
        <f t="shared" si="3"/>
        <v>Jamur Enoki Krispi</v>
      </c>
      <c r="K983" s="7">
        <f>if(RIGHT(I983,5)="2 pcs",2,Data!I983)</f>
        <v>1</v>
      </c>
      <c r="L983" s="2" t="str">
        <f t="shared" si="4"/>
        <v>Tuesday</v>
      </c>
      <c r="M983" s="2" t="str">
        <f t="shared" si="5"/>
        <v>10</v>
      </c>
      <c r="N983" s="2">
        <f>VLOOKUP(L983,'Data Info'!$A$1:$B$8,2,0)</f>
        <v>2</v>
      </c>
      <c r="O983" s="2" t="str">
        <f>VLOOKUP(L983,'Data Info'!$A$1:$C$8,3,0)</f>
        <v>Weekday</v>
      </c>
    </row>
    <row r="984">
      <c r="A984" s="4">
        <v>45545.73888888889</v>
      </c>
      <c r="B984" s="9">
        <f>IFERROR(__xludf.DUMMYFUNCTION("SPLIT(A984,"" "")"),45545.0)</f>
        <v>45545</v>
      </c>
      <c r="C984" s="10">
        <f>IFERROR(__xludf.DUMMYFUNCTION("""COMPUTED_VALUE"""),0.7388888888888889)</f>
        <v>0.7388888889</v>
      </c>
      <c r="D984" s="2">
        <f t="shared" si="1"/>
        <v>17</v>
      </c>
      <c r="E984" s="2">
        <f>IFERROR(__xludf.DUMMYFUNCTION("SPLIT(B984,""/"")"),10.0)</f>
        <v>10</v>
      </c>
      <c r="F984" s="2">
        <f>IFERROR(__xludf.DUMMYFUNCTION("""COMPUTED_VALUE"""),9.0)</f>
        <v>9</v>
      </c>
      <c r="G984" s="2">
        <f>IFERROR(__xludf.DUMMYFUNCTION("""COMPUTED_VALUE"""),2024.0)</f>
        <v>2024</v>
      </c>
      <c r="H984" s="2" t="str">
        <f t="shared" si="2"/>
        <v>2024/9/10</v>
      </c>
      <c r="I984" s="2" t="s">
        <v>1607</v>
      </c>
      <c r="J984" s="2" t="str">
        <f t="shared" si="3"/>
        <v>Tahu walik</v>
      </c>
      <c r="K984" s="7">
        <f>if(RIGHT(I984,5)="2 pcs",2,Data!I984)</f>
        <v>1</v>
      </c>
      <c r="L984" s="2" t="str">
        <f t="shared" si="4"/>
        <v>Tuesday</v>
      </c>
      <c r="M984" s="2" t="str">
        <f t="shared" si="5"/>
        <v>10</v>
      </c>
      <c r="N984" s="2">
        <f>VLOOKUP(L984,'Data Info'!$A$1:$B$8,2,0)</f>
        <v>2</v>
      </c>
      <c r="O984" s="2" t="str">
        <f>VLOOKUP(L984,'Data Info'!$A$1:$C$8,3,0)</f>
        <v>Weekday</v>
      </c>
    </row>
    <row r="985">
      <c r="A985" s="4">
        <v>45545.73888888889</v>
      </c>
      <c r="B985" s="9">
        <f>IFERROR(__xludf.DUMMYFUNCTION("SPLIT(A985,"" "")"),45545.0)</f>
        <v>45545</v>
      </c>
      <c r="C985" s="10">
        <f>IFERROR(__xludf.DUMMYFUNCTION("""COMPUTED_VALUE"""),0.7388888888888889)</f>
        <v>0.7388888889</v>
      </c>
      <c r="D985" s="2">
        <f t="shared" si="1"/>
        <v>17</v>
      </c>
      <c r="E985" s="2">
        <f>IFERROR(__xludf.DUMMYFUNCTION("SPLIT(B985,""/"")"),10.0)</f>
        <v>10</v>
      </c>
      <c r="F985" s="2">
        <f>IFERROR(__xludf.DUMMYFUNCTION("""COMPUTED_VALUE"""),9.0)</f>
        <v>9</v>
      </c>
      <c r="G985" s="2">
        <f>IFERROR(__xludf.DUMMYFUNCTION("""COMPUTED_VALUE"""),2024.0)</f>
        <v>2024</v>
      </c>
      <c r="H985" s="2" t="str">
        <f t="shared" si="2"/>
        <v>2024/9/10</v>
      </c>
      <c r="I985" s="2" t="s">
        <v>1577</v>
      </c>
      <c r="J985" s="2" t="str">
        <f t="shared" si="3"/>
        <v>Rempah Madu Panas</v>
      </c>
      <c r="K985" s="7">
        <f>if(RIGHT(I985,5)="2 pcs",2,Data!I985)</f>
        <v>2</v>
      </c>
      <c r="L985" s="2" t="str">
        <f t="shared" si="4"/>
        <v>Tuesday</v>
      </c>
      <c r="M985" s="2" t="str">
        <f t="shared" si="5"/>
        <v>10</v>
      </c>
      <c r="N985" s="2">
        <f>VLOOKUP(L985,'Data Info'!$A$1:$B$8,2,0)</f>
        <v>2</v>
      </c>
      <c r="O985" s="2" t="str">
        <f>VLOOKUP(L985,'Data Info'!$A$1:$C$8,3,0)</f>
        <v>Weekday</v>
      </c>
    </row>
    <row r="986">
      <c r="A986" s="4">
        <v>45545.73888888889</v>
      </c>
      <c r="B986" s="9">
        <f>IFERROR(__xludf.DUMMYFUNCTION("SPLIT(A986,"" "")"),45545.0)</f>
        <v>45545</v>
      </c>
      <c r="C986" s="10">
        <f>IFERROR(__xludf.DUMMYFUNCTION("""COMPUTED_VALUE"""),0.7388888888888889)</f>
        <v>0.7388888889</v>
      </c>
      <c r="D986" s="2">
        <f t="shared" si="1"/>
        <v>17</v>
      </c>
      <c r="E986" s="2">
        <f>IFERROR(__xludf.DUMMYFUNCTION("SPLIT(B986,""/"")"),10.0)</f>
        <v>10</v>
      </c>
      <c r="F986" s="2">
        <f>IFERROR(__xludf.DUMMYFUNCTION("""COMPUTED_VALUE"""),9.0)</f>
        <v>9</v>
      </c>
      <c r="G986" s="2">
        <f>IFERROR(__xludf.DUMMYFUNCTION("""COMPUTED_VALUE"""),2024.0)</f>
        <v>2024</v>
      </c>
      <c r="H986" s="2" t="str">
        <f t="shared" si="2"/>
        <v>2024/9/10</v>
      </c>
      <c r="I986" s="2" t="s">
        <v>1587</v>
      </c>
      <c r="J986" s="2" t="str">
        <f t="shared" si="3"/>
        <v>Tahu Lada Garam</v>
      </c>
      <c r="K986" s="7">
        <f>if(RIGHT(I986,5)="2 pcs",2,Data!I986)</f>
        <v>1</v>
      </c>
      <c r="L986" s="2" t="str">
        <f t="shared" si="4"/>
        <v>Tuesday</v>
      </c>
      <c r="M986" s="2" t="str">
        <f t="shared" si="5"/>
        <v>10</v>
      </c>
      <c r="N986" s="2">
        <f>VLOOKUP(L986,'Data Info'!$A$1:$B$8,2,0)</f>
        <v>2</v>
      </c>
      <c r="O986" s="2" t="str">
        <f>VLOOKUP(L986,'Data Info'!$A$1:$C$8,3,0)</f>
        <v>Weekday</v>
      </c>
    </row>
    <row r="987">
      <c r="A987" s="4">
        <v>45545.73888888889</v>
      </c>
      <c r="B987" s="9">
        <f>IFERROR(__xludf.DUMMYFUNCTION("SPLIT(A987,"" "")"),45545.0)</f>
        <v>45545</v>
      </c>
      <c r="C987" s="10">
        <f>IFERROR(__xludf.DUMMYFUNCTION("""COMPUTED_VALUE"""),0.7388888888888889)</f>
        <v>0.7388888889</v>
      </c>
      <c r="D987" s="2">
        <f t="shared" si="1"/>
        <v>17</v>
      </c>
      <c r="E987" s="2">
        <f>IFERROR(__xludf.DUMMYFUNCTION("SPLIT(B987,""/"")"),10.0)</f>
        <v>10</v>
      </c>
      <c r="F987" s="2">
        <f>IFERROR(__xludf.DUMMYFUNCTION("""COMPUTED_VALUE"""),9.0)</f>
        <v>9</v>
      </c>
      <c r="G987" s="2">
        <f>IFERROR(__xludf.DUMMYFUNCTION("""COMPUTED_VALUE"""),2024.0)</f>
        <v>2024</v>
      </c>
      <c r="H987" s="2" t="str">
        <f t="shared" si="2"/>
        <v>2024/9/10</v>
      </c>
      <c r="I987" s="2" t="s">
        <v>1584</v>
      </c>
      <c r="J987" s="2" t="str">
        <f t="shared" si="3"/>
        <v>Korean Mango Fresh Milk</v>
      </c>
      <c r="K987" s="7">
        <f>if(RIGHT(I987,5)="2 pcs",2,Data!I987)</f>
        <v>1</v>
      </c>
      <c r="L987" s="2" t="str">
        <f t="shared" si="4"/>
        <v>Tuesday</v>
      </c>
      <c r="M987" s="2" t="str">
        <f t="shared" si="5"/>
        <v>10</v>
      </c>
      <c r="N987" s="2">
        <f>VLOOKUP(L987,'Data Info'!$A$1:$B$8,2,0)</f>
        <v>2</v>
      </c>
      <c r="O987" s="2" t="str">
        <f>VLOOKUP(L987,'Data Info'!$A$1:$C$8,3,0)</f>
        <v>Weekday</v>
      </c>
    </row>
    <row r="988">
      <c r="A988" s="4">
        <v>45545.73055555556</v>
      </c>
      <c r="B988" s="9">
        <f>IFERROR(__xludf.DUMMYFUNCTION("SPLIT(A988,"" "")"),45545.0)</f>
        <v>45545</v>
      </c>
      <c r="C988" s="10">
        <f>IFERROR(__xludf.DUMMYFUNCTION("""COMPUTED_VALUE"""),0.7305555555555555)</f>
        <v>0.7305555556</v>
      </c>
      <c r="D988" s="2">
        <f t="shared" si="1"/>
        <v>17</v>
      </c>
      <c r="E988" s="2">
        <f>IFERROR(__xludf.DUMMYFUNCTION("SPLIT(B988,""/"")"),10.0)</f>
        <v>10</v>
      </c>
      <c r="F988" s="2">
        <f>IFERROR(__xludf.DUMMYFUNCTION("""COMPUTED_VALUE"""),9.0)</f>
        <v>9</v>
      </c>
      <c r="G988" s="2">
        <f>IFERROR(__xludf.DUMMYFUNCTION("""COMPUTED_VALUE"""),2024.0)</f>
        <v>2024</v>
      </c>
      <c r="H988" s="2" t="str">
        <f t="shared" si="2"/>
        <v>2024/9/10</v>
      </c>
      <c r="I988" s="2" t="s">
        <v>1577</v>
      </c>
      <c r="J988" s="2" t="str">
        <f t="shared" si="3"/>
        <v>Rempah Madu Panas</v>
      </c>
      <c r="K988" s="7">
        <f>if(RIGHT(I988,5)="2 pcs",2,Data!I988)</f>
        <v>1</v>
      </c>
      <c r="L988" s="2" t="str">
        <f t="shared" si="4"/>
        <v>Tuesday</v>
      </c>
      <c r="M988" s="2" t="str">
        <f t="shared" si="5"/>
        <v>10</v>
      </c>
      <c r="N988" s="2">
        <f>VLOOKUP(L988,'Data Info'!$A$1:$B$8,2,0)</f>
        <v>2</v>
      </c>
      <c r="O988" s="2" t="str">
        <f>VLOOKUP(L988,'Data Info'!$A$1:$C$8,3,0)</f>
        <v>Weekday</v>
      </c>
    </row>
    <row r="989">
      <c r="A989" s="4">
        <v>45545.73055555556</v>
      </c>
      <c r="B989" s="9">
        <f>IFERROR(__xludf.DUMMYFUNCTION("SPLIT(A989,"" "")"),45545.0)</f>
        <v>45545</v>
      </c>
      <c r="C989" s="10">
        <f>IFERROR(__xludf.DUMMYFUNCTION("""COMPUTED_VALUE"""),0.7305555555555555)</f>
        <v>0.7305555556</v>
      </c>
      <c r="D989" s="2">
        <f t="shared" si="1"/>
        <v>17</v>
      </c>
      <c r="E989" s="2">
        <f>IFERROR(__xludf.DUMMYFUNCTION("SPLIT(B989,""/"")"),10.0)</f>
        <v>10</v>
      </c>
      <c r="F989" s="2">
        <f>IFERROR(__xludf.DUMMYFUNCTION("""COMPUTED_VALUE"""),9.0)</f>
        <v>9</v>
      </c>
      <c r="G989" s="2">
        <f>IFERROR(__xludf.DUMMYFUNCTION("""COMPUTED_VALUE"""),2024.0)</f>
        <v>2024</v>
      </c>
      <c r="H989" s="2" t="str">
        <f t="shared" si="2"/>
        <v>2024/9/10</v>
      </c>
      <c r="I989" s="2" t="s">
        <v>1605</v>
      </c>
      <c r="J989" s="2" t="str">
        <f t="shared" si="3"/>
        <v>Kentang Goreng</v>
      </c>
      <c r="K989" s="7">
        <f>if(RIGHT(I989,5)="2 pcs",2,Data!I989)</f>
        <v>1</v>
      </c>
      <c r="L989" s="2" t="str">
        <f t="shared" si="4"/>
        <v>Tuesday</v>
      </c>
      <c r="M989" s="2" t="str">
        <f t="shared" si="5"/>
        <v>10</v>
      </c>
      <c r="N989" s="2">
        <f>VLOOKUP(L989,'Data Info'!$A$1:$B$8,2,0)</f>
        <v>2</v>
      </c>
      <c r="O989" s="2" t="str">
        <f>VLOOKUP(L989,'Data Info'!$A$1:$C$8,3,0)</f>
        <v>Weekday</v>
      </c>
    </row>
    <row r="990">
      <c r="A990" s="4">
        <v>45545.729166666664</v>
      </c>
      <c r="B990" s="9">
        <f>IFERROR(__xludf.DUMMYFUNCTION("SPLIT(A990,"" "")"),45545.0)</f>
        <v>45545</v>
      </c>
      <c r="C990" s="10">
        <f>IFERROR(__xludf.DUMMYFUNCTION("""COMPUTED_VALUE"""),0.7291666666666666)</f>
        <v>0.7291666667</v>
      </c>
      <c r="D990" s="2">
        <f t="shared" si="1"/>
        <v>17</v>
      </c>
      <c r="E990" s="2">
        <f>IFERROR(__xludf.DUMMYFUNCTION("SPLIT(B990,""/"")"),10.0)</f>
        <v>10</v>
      </c>
      <c r="F990" s="2">
        <f>IFERROR(__xludf.DUMMYFUNCTION("""COMPUTED_VALUE"""),9.0)</f>
        <v>9</v>
      </c>
      <c r="G990" s="2">
        <f>IFERROR(__xludf.DUMMYFUNCTION("""COMPUTED_VALUE"""),2024.0)</f>
        <v>2024</v>
      </c>
      <c r="H990" s="2" t="str">
        <f t="shared" si="2"/>
        <v>2024/9/10</v>
      </c>
      <c r="I990" s="2" t="s">
        <v>1598</v>
      </c>
      <c r="J990" s="2" t="str">
        <f t="shared" si="3"/>
        <v>Korean Strawberry Fresh Milk</v>
      </c>
      <c r="K990" s="7">
        <f>if(RIGHT(I990,5)="2 pcs",2,Data!I990)</f>
        <v>1</v>
      </c>
      <c r="L990" s="2" t="str">
        <f t="shared" si="4"/>
        <v>Tuesday</v>
      </c>
      <c r="M990" s="2" t="str">
        <f t="shared" si="5"/>
        <v>10</v>
      </c>
      <c r="N990" s="2">
        <f>VLOOKUP(L990,'Data Info'!$A$1:$B$8,2,0)</f>
        <v>2</v>
      </c>
      <c r="O990" s="2" t="str">
        <f>VLOOKUP(L990,'Data Info'!$A$1:$C$8,3,0)</f>
        <v>Weekday</v>
      </c>
    </row>
    <row r="991">
      <c r="A991" s="4">
        <v>45545.69930555556</v>
      </c>
      <c r="B991" s="9">
        <f>IFERROR(__xludf.DUMMYFUNCTION("SPLIT(A991,"" "")"),45545.0)</f>
        <v>45545</v>
      </c>
      <c r="C991" s="10">
        <f>IFERROR(__xludf.DUMMYFUNCTION("""COMPUTED_VALUE"""),0.6993055555555555)</f>
        <v>0.6993055556</v>
      </c>
      <c r="D991" s="2">
        <f t="shared" si="1"/>
        <v>16</v>
      </c>
      <c r="E991" s="2">
        <f>IFERROR(__xludf.DUMMYFUNCTION("SPLIT(B991,""/"")"),10.0)</f>
        <v>10</v>
      </c>
      <c r="F991" s="2">
        <f>IFERROR(__xludf.DUMMYFUNCTION("""COMPUTED_VALUE"""),9.0)</f>
        <v>9</v>
      </c>
      <c r="G991" s="2">
        <f>IFERROR(__xludf.DUMMYFUNCTION("""COMPUTED_VALUE"""),2024.0)</f>
        <v>2024</v>
      </c>
      <c r="H991" s="2" t="str">
        <f t="shared" si="2"/>
        <v>2024/9/10</v>
      </c>
      <c r="I991" s="2" t="s">
        <v>1566</v>
      </c>
      <c r="J991" s="2" t="str">
        <f t="shared" si="3"/>
        <v>Roti Bawang Saus Keju</v>
      </c>
      <c r="K991" s="7">
        <f>if(RIGHT(I991,5)="2 pcs",2,Data!I991)</f>
        <v>1</v>
      </c>
      <c r="L991" s="2" t="str">
        <f t="shared" si="4"/>
        <v>Tuesday</v>
      </c>
      <c r="M991" s="2" t="str">
        <f t="shared" si="5"/>
        <v>10</v>
      </c>
      <c r="N991" s="2">
        <f>VLOOKUP(L991,'Data Info'!$A$1:$B$8,2,0)</f>
        <v>2</v>
      </c>
      <c r="O991" s="2" t="str">
        <f>VLOOKUP(L991,'Data Info'!$A$1:$C$8,3,0)</f>
        <v>Weekday</v>
      </c>
    </row>
    <row r="992">
      <c r="A992" s="4">
        <v>45545.69930555556</v>
      </c>
      <c r="B992" s="9">
        <f>IFERROR(__xludf.DUMMYFUNCTION("SPLIT(A992,"" "")"),45545.0)</f>
        <v>45545</v>
      </c>
      <c r="C992" s="10">
        <f>IFERROR(__xludf.DUMMYFUNCTION("""COMPUTED_VALUE"""),0.6993055555555555)</f>
        <v>0.6993055556</v>
      </c>
      <c r="D992" s="2">
        <f t="shared" si="1"/>
        <v>16</v>
      </c>
      <c r="E992" s="2">
        <f>IFERROR(__xludf.DUMMYFUNCTION("SPLIT(B992,""/"")"),10.0)</f>
        <v>10</v>
      </c>
      <c r="F992" s="2">
        <f>IFERROR(__xludf.DUMMYFUNCTION("""COMPUTED_VALUE"""),9.0)</f>
        <v>9</v>
      </c>
      <c r="G992" s="2">
        <f>IFERROR(__xludf.DUMMYFUNCTION("""COMPUTED_VALUE"""),2024.0)</f>
        <v>2024</v>
      </c>
      <c r="H992" s="2" t="str">
        <f t="shared" si="2"/>
        <v>2024/9/10</v>
      </c>
      <c r="I992" s="2" t="s">
        <v>1598</v>
      </c>
      <c r="J992" s="2" t="str">
        <f t="shared" si="3"/>
        <v>Korean Strawberry Fresh Milk</v>
      </c>
      <c r="K992" s="7">
        <f>if(RIGHT(I992,5)="2 pcs",2,Data!I992)</f>
        <v>2</v>
      </c>
      <c r="L992" s="2" t="str">
        <f t="shared" si="4"/>
        <v>Tuesday</v>
      </c>
      <c r="M992" s="2" t="str">
        <f t="shared" si="5"/>
        <v>10</v>
      </c>
      <c r="N992" s="2">
        <f>VLOOKUP(L992,'Data Info'!$A$1:$B$8,2,0)</f>
        <v>2</v>
      </c>
      <c r="O992" s="2" t="str">
        <f>VLOOKUP(L992,'Data Info'!$A$1:$C$8,3,0)</f>
        <v>Weekday</v>
      </c>
    </row>
    <row r="993">
      <c r="A993" s="4">
        <v>45545.69930555556</v>
      </c>
      <c r="B993" s="9">
        <f>IFERROR(__xludf.DUMMYFUNCTION("SPLIT(A993,"" "")"),45545.0)</f>
        <v>45545</v>
      </c>
      <c r="C993" s="10">
        <f>IFERROR(__xludf.DUMMYFUNCTION("""COMPUTED_VALUE"""),0.6993055555555555)</f>
        <v>0.6993055556</v>
      </c>
      <c r="D993" s="2">
        <f t="shared" si="1"/>
        <v>16</v>
      </c>
      <c r="E993" s="2">
        <f>IFERROR(__xludf.DUMMYFUNCTION("SPLIT(B993,""/"")"),10.0)</f>
        <v>10</v>
      </c>
      <c r="F993" s="2">
        <f>IFERROR(__xludf.DUMMYFUNCTION("""COMPUTED_VALUE"""),9.0)</f>
        <v>9</v>
      </c>
      <c r="G993" s="2">
        <f>IFERROR(__xludf.DUMMYFUNCTION("""COMPUTED_VALUE"""),2024.0)</f>
        <v>2024</v>
      </c>
      <c r="H993" s="2" t="str">
        <f t="shared" si="2"/>
        <v>2024/9/10</v>
      </c>
      <c r="I993" s="2" t="s">
        <v>1587</v>
      </c>
      <c r="J993" s="2" t="str">
        <f t="shared" si="3"/>
        <v>Tahu Lada Garam</v>
      </c>
      <c r="K993" s="7">
        <f>if(RIGHT(I993,5)="2 pcs",2,Data!I993)</f>
        <v>1</v>
      </c>
      <c r="L993" s="2" t="str">
        <f t="shared" si="4"/>
        <v>Tuesday</v>
      </c>
      <c r="M993" s="2" t="str">
        <f t="shared" si="5"/>
        <v>10</v>
      </c>
      <c r="N993" s="2">
        <f>VLOOKUP(L993,'Data Info'!$A$1:$B$8,2,0)</f>
        <v>2</v>
      </c>
      <c r="O993" s="2" t="str">
        <f>VLOOKUP(L993,'Data Info'!$A$1:$C$8,3,0)</f>
        <v>Weekday</v>
      </c>
    </row>
    <row r="994">
      <c r="A994" s="4">
        <v>45545.59652777778</v>
      </c>
      <c r="B994" s="9">
        <f>IFERROR(__xludf.DUMMYFUNCTION("SPLIT(A994,"" "")"),45545.0)</f>
        <v>45545</v>
      </c>
      <c r="C994" s="10">
        <f>IFERROR(__xludf.DUMMYFUNCTION("""COMPUTED_VALUE"""),0.5965277777777778)</f>
        <v>0.5965277778</v>
      </c>
      <c r="D994" s="2">
        <f t="shared" si="1"/>
        <v>14</v>
      </c>
      <c r="E994" s="2">
        <f>IFERROR(__xludf.DUMMYFUNCTION("SPLIT(B994,""/"")"),10.0)</f>
        <v>10</v>
      </c>
      <c r="F994" s="2">
        <f>IFERROR(__xludf.DUMMYFUNCTION("""COMPUTED_VALUE"""),9.0)</f>
        <v>9</v>
      </c>
      <c r="G994" s="2">
        <f>IFERROR(__xludf.DUMMYFUNCTION("""COMPUTED_VALUE"""),2024.0)</f>
        <v>2024</v>
      </c>
      <c r="H994" s="2" t="str">
        <f t="shared" si="2"/>
        <v>2024/9/10</v>
      </c>
      <c r="I994" s="2" t="s">
        <v>1596</v>
      </c>
      <c r="J994" s="2" t="str">
        <f t="shared" si="3"/>
        <v>Roti Cranberry</v>
      </c>
      <c r="K994" s="7">
        <f>if(RIGHT(I994,5)="2 pcs",2,Data!I994)</f>
        <v>2</v>
      </c>
      <c r="L994" s="2" t="str">
        <f t="shared" si="4"/>
        <v>Tuesday</v>
      </c>
      <c r="M994" s="2" t="str">
        <f t="shared" si="5"/>
        <v>10</v>
      </c>
      <c r="N994" s="2">
        <f>VLOOKUP(L994,'Data Info'!$A$1:$B$8,2,0)</f>
        <v>2</v>
      </c>
      <c r="O994" s="2" t="str">
        <f>VLOOKUP(L994,'Data Info'!$A$1:$C$8,3,0)</f>
        <v>Weekday</v>
      </c>
    </row>
    <row r="995">
      <c r="A995" s="4">
        <v>45545.59652777778</v>
      </c>
      <c r="B995" s="9">
        <f>IFERROR(__xludf.DUMMYFUNCTION("SPLIT(A995,"" "")"),45545.0)</f>
        <v>45545</v>
      </c>
      <c r="C995" s="10">
        <f>IFERROR(__xludf.DUMMYFUNCTION("""COMPUTED_VALUE"""),0.5965277777777778)</f>
        <v>0.5965277778</v>
      </c>
      <c r="D995" s="2">
        <f t="shared" si="1"/>
        <v>14</v>
      </c>
      <c r="E995" s="2">
        <f>IFERROR(__xludf.DUMMYFUNCTION("SPLIT(B995,""/"")"),10.0)</f>
        <v>10</v>
      </c>
      <c r="F995" s="2">
        <f>IFERROR(__xludf.DUMMYFUNCTION("""COMPUTED_VALUE"""),9.0)</f>
        <v>9</v>
      </c>
      <c r="G995" s="2">
        <f>IFERROR(__xludf.DUMMYFUNCTION("""COMPUTED_VALUE"""),2024.0)</f>
        <v>2024</v>
      </c>
      <c r="H995" s="2" t="str">
        <f t="shared" si="2"/>
        <v>2024/9/10</v>
      </c>
      <c r="I995" s="2" t="s">
        <v>1601</v>
      </c>
      <c r="J995" s="2" t="str">
        <f t="shared" si="3"/>
        <v>Gula Asam Dingin</v>
      </c>
      <c r="K995" s="7">
        <f>if(RIGHT(I995,5)="2 pcs",2,Data!I995)</f>
        <v>1</v>
      </c>
      <c r="L995" s="2" t="str">
        <f t="shared" si="4"/>
        <v>Tuesday</v>
      </c>
      <c r="M995" s="2" t="str">
        <f t="shared" si="5"/>
        <v>10</v>
      </c>
      <c r="N995" s="2">
        <f>VLOOKUP(L995,'Data Info'!$A$1:$B$8,2,0)</f>
        <v>2</v>
      </c>
      <c r="O995" s="2" t="str">
        <f>VLOOKUP(L995,'Data Info'!$A$1:$C$8,3,0)</f>
        <v>Weekday</v>
      </c>
    </row>
    <row r="996">
      <c r="A996" s="4">
        <v>45545.59652777778</v>
      </c>
      <c r="B996" s="9">
        <f>IFERROR(__xludf.DUMMYFUNCTION("SPLIT(A996,"" "")"),45545.0)</f>
        <v>45545</v>
      </c>
      <c r="C996" s="10">
        <f>IFERROR(__xludf.DUMMYFUNCTION("""COMPUTED_VALUE"""),0.5965277777777778)</f>
        <v>0.5965277778</v>
      </c>
      <c r="D996" s="2">
        <f t="shared" si="1"/>
        <v>14</v>
      </c>
      <c r="E996" s="2">
        <f>IFERROR(__xludf.DUMMYFUNCTION("SPLIT(B996,""/"")"),10.0)</f>
        <v>10</v>
      </c>
      <c r="F996" s="2">
        <f>IFERROR(__xludf.DUMMYFUNCTION("""COMPUTED_VALUE"""),9.0)</f>
        <v>9</v>
      </c>
      <c r="G996" s="2">
        <f>IFERROR(__xludf.DUMMYFUNCTION("""COMPUTED_VALUE"""),2024.0)</f>
        <v>2024</v>
      </c>
      <c r="H996" s="2" t="str">
        <f t="shared" si="2"/>
        <v>2024/9/10</v>
      </c>
      <c r="I996" s="2" t="s">
        <v>1594</v>
      </c>
      <c r="J996" s="2" t="str">
        <f t="shared" si="3"/>
        <v>Wedang Bulan</v>
      </c>
      <c r="K996" s="7">
        <f>if(RIGHT(I996,5)="2 pcs",2,Data!I996)</f>
        <v>2</v>
      </c>
      <c r="L996" s="2" t="str">
        <f t="shared" si="4"/>
        <v>Tuesday</v>
      </c>
      <c r="M996" s="2" t="str">
        <f t="shared" si="5"/>
        <v>10</v>
      </c>
      <c r="N996" s="2">
        <f>VLOOKUP(L996,'Data Info'!$A$1:$B$8,2,0)</f>
        <v>2</v>
      </c>
      <c r="O996" s="2" t="str">
        <f>VLOOKUP(L996,'Data Info'!$A$1:$C$8,3,0)</f>
        <v>Weekday</v>
      </c>
    </row>
    <row r="997">
      <c r="A997" s="4">
        <v>45545.59652777778</v>
      </c>
      <c r="B997" s="9">
        <f>IFERROR(__xludf.DUMMYFUNCTION("SPLIT(A997,"" "")"),45545.0)</f>
        <v>45545</v>
      </c>
      <c r="C997" s="10">
        <f>IFERROR(__xludf.DUMMYFUNCTION("""COMPUTED_VALUE"""),0.5965277777777778)</f>
        <v>0.5965277778</v>
      </c>
      <c r="D997" s="2">
        <f t="shared" si="1"/>
        <v>14</v>
      </c>
      <c r="E997" s="2">
        <f>IFERROR(__xludf.DUMMYFUNCTION("SPLIT(B997,""/"")"),10.0)</f>
        <v>10</v>
      </c>
      <c r="F997" s="2">
        <f>IFERROR(__xludf.DUMMYFUNCTION("""COMPUTED_VALUE"""),9.0)</f>
        <v>9</v>
      </c>
      <c r="G997" s="2">
        <f>IFERROR(__xludf.DUMMYFUNCTION("""COMPUTED_VALUE"""),2024.0)</f>
        <v>2024</v>
      </c>
      <c r="H997" s="2" t="str">
        <f t="shared" si="2"/>
        <v>2024/9/10</v>
      </c>
      <c r="I997" s="2" t="s">
        <v>1582</v>
      </c>
      <c r="J997" s="2" t="str">
        <f t="shared" si="3"/>
        <v>Teh Tawar Dingin</v>
      </c>
      <c r="K997" s="7">
        <f>if(RIGHT(I997,5)="2 pcs",2,Data!I997)</f>
        <v>1</v>
      </c>
      <c r="L997" s="2" t="str">
        <f t="shared" si="4"/>
        <v>Tuesday</v>
      </c>
      <c r="M997" s="2" t="str">
        <f t="shared" si="5"/>
        <v>10</v>
      </c>
      <c r="N997" s="2">
        <f>VLOOKUP(L997,'Data Info'!$A$1:$B$8,2,0)</f>
        <v>2</v>
      </c>
      <c r="O997" s="2" t="str">
        <f>VLOOKUP(L997,'Data Info'!$A$1:$C$8,3,0)</f>
        <v>Weekday</v>
      </c>
    </row>
    <row r="998">
      <c r="A998" s="4">
        <v>45545.59652777778</v>
      </c>
      <c r="B998" s="9">
        <f>IFERROR(__xludf.DUMMYFUNCTION("SPLIT(A998,"" "")"),45545.0)</f>
        <v>45545</v>
      </c>
      <c r="C998" s="10">
        <f>IFERROR(__xludf.DUMMYFUNCTION("""COMPUTED_VALUE"""),0.5965277777777778)</f>
        <v>0.5965277778</v>
      </c>
      <c r="D998" s="2">
        <f t="shared" si="1"/>
        <v>14</v>
      </c>
      <c r="E998" s="2">
        <f>IFERROR(__xludf.DUMMYFUNCTION("SPLIT(B998,""/"")"),10.0)</f>
        <v>10</v>
      </c>
      <c r="F998" s="2">
        <f>IFERROR(__xludf.DUMMYFUNCTION("""COMPUTED_VALUE"""),9.0)</f>
        <v>9</v>
      </c>
      <c r="G998" s="2">
        <f>IFERROR(__xludf.DUMMYFUNCTION("""COMPUTED_VALUE"""),2024.0)</f>
        <v>2024</v>
      </c>
      <c r="H998" s="2" t="str">
        <f t="shared" si="2"/>
        <v>2024/9/10</v>
      </c>
      <c r="I998" s="2" t="s">
        <v>1621</v>
      </c>
      <c r="J998" s="2" t="str">
        <f t="shared" si="3"/>
        <v>Wedang angin</v>
      </c>
      <c r="K998" s="7">
        <f>if(RIGHT(I998,5)="2 pcs",2,Data!I998)</f>
        <v>1</v>
      </c>
      <c r="L998" s="2" t="str">
        <f t="shared" si="4"/>
        <v>Tuesday</v>
      </c>
      <c r="M998" s="2" t="str">
        <f t="shared" si="5"/>
        <v>10</v>
      </c>
      <c r="N998" s="2">
        <f>VLOOKUP(L998,'Data Info'!$A$1:$B$8,2,0)</f>
        <v>2</v>
      </c>
      <c r="O998" s="2" t="str">
        <f>VLOOKUP(L998,'Data Info'!$A$1:$C$8,3,0)</f>
        <v>Weekday</v>
      </c>
    </row>
    <row r="999">
      <c r="A999" s="4">
        <v>45545.59652777778</v>
      </c>
      <c r="B999" s="9">
        <f>IFERROR(__xludf.DUMMYFUNCTION("SPLIT(A999,"" "")"),45545.0)</f>
        <v>45545</v>
      </c>
      <c r="C999" s="10">
        <f>IFERROR(__xludf.DUMMYFUNCTION("""COMPUTED_VALUE"""),0.5965277777777778)</f>
        <v>0.5965277778</v>
      </c>
      <c r="D999" s="2">
        <f t="shared" si="1"/>
        <v>14</v>
      </c>
      <c r="E999" s="2">
        <f>IFERROR(__xludf.DUMMYFUNCTION("SPLIT(B999,""/"")"),10.0)</f>
        <v>10</v>
      </c>
      <c r="F999" s="2">
        <f>IFERROR(__xludf.DUMMYFUNCTION("""COMPUTED_VALUE"""),9.0)</f>
        <v>9</v>
      </c>
      <c r="G999" s="2">
        <f>IFERROR(__xludf.DUMMYFUNCTION("""COMPUTED_VALUE"""),2024.0)</f>
        <v>2024</v>
      </c>
      <c r="H999" s="2" t="str">
        <f t="shared" si="2"/>
        <v>2024/9/10</v>
      </c>
      <c r="I999" s="2" t="s">
        <v>1586</v>
      </c>
      <c r="J999" s="2" t="str">
        <f t="shared" si="3"/>
        <v>Jamur Enoki Krispi</v>
      </c>
      <c r="K999" s="7">
        <f>if(RIGHT(I999,5)="2 pcs",2,Data!I999)</f>
        <v>1</v>
      </c>
      <c r="L999" s="2" t="str">
        <f t="shared" si="4"/>
        <v>Tuesday</v>
      </c>
      <c r="M999" s="2" t="str">
        <f t="shared" si="5"/>
        <v>10</v>
      </c>
      <c r="N999" s="2">
        <f>VLOOKUP(L999,'Data Info'!$A$1:$B$8,2,0)</f>
        <v>2</v>
      </c>
      <c r="O999" s="2" t="str">
        <f>VLOOKUP(L999,'Data Info'!$A$1:$C$8,3,0)</f>
        <v>Weekday</v>
      </c>
    </row>
    <row r="1000">
      <c r="A1000" s="4">
        <v>45545.59652777778</v>
      </c>
      <c r="B1000" s="9">
        <f>IFERROR(__xludf.DUMMYFUNCTION("SPLIT(A1000,"" "")"),45545.0)</f>
        <v>45545</v>
      </c>
      <c r="C1000" s="10">
        <f>IFERROR(__xludf.DUMMYFUNCTION("""COMPUTED_VALUE"""),0.5965277777777778)</f>
        <v>0.5965277778</v>
      </c>
      <c r="D1000" s="2">
        <f t="shared" si="1"/>
        <v>14</v>
      </c>
      <c r="E1000" s="2">
        <f>IFERROR(__xludf.DUMMYFUNCTION("SPLIT(B1000,""/"")"),10.0)</f>
        <v>10</v>
      </c>
      <c r="F1000" s="2">
        <f>IFERROR(__xludf.DUMMYFUNCTION("""COMPUTED_VALUE"""),9.0)</f>
        <v>9</v>
      </c>
      <c r="G1000" s="2">
        <f>IFERROR(__xludf.DUMMYFUNCTION("""COMPUTED_VALUE"""),2024.0)</f>
        <v>2024</v>
      </c>
      <c r="H1000" s="2" t="str">
        <f t="shared" si="2"/>
        <v>2024/9/10</v>
      </c>
      <c r="I1000" s="2" t="s">
        <v>1584</v>
      </c>
      <c r="J1000" s="2" t="str">
        <f t="shared" si="3"/>
        <v>Korean Mango Fresh Milk</v>
      </c>
      <c r="K1000" s="7">
        <f>if(RIGHT(I1000,5)="2 pcs",2,Data!I1000)</f>
        <v>1</v>
      </c>
      <c r="L1000" s="2" t="str">
        <f t="shared" si="4"/>
        <v>Tuesday</v>
      </c>
      <c r="M1000" s="2" t="str">
        <f t="shared" si="5"/>
        <v>10</v>
      </c>
      <c r="N1000" s="2">
        <f>VLOOKUP(L1000,'Data Info'!$A$1:$B$8,2,0)</f>
        <v>2</v>
      </c>
      <c r="O1000" s="2" t="str">
        <f>VLOOKUP(L1000,'Data Info'!$A$1:$C$8,3,0)</f>
        <v>Weekday</v>
      </c>
    </row>
    <row r="1001">
      <c r="A1001" s="4">
        <v>45545.59652777778</v>
      </c>
      <c r="B1001" s="9">
        <f>IFERROR(__xludf.DUMMYFUNCTION("SPLIT(A1001,"" "")"),45545.0)</f>
        <v>45545</v>
      </c>
      <c r="C1001" s="10">
        <f>IFERROR(__xludf.DUMMYFUNCTION("""COMPUTED_VALUE"""),0.5965277777777778)</f>
        <v>0.5965277778</v>
      </c>
      <c r="D1001" s="2">
        <f t="shared" si="1"/>
        <v>14</v>
      </c>
      <c r="E1001" s="2">
        <f>IFERROR(__xludf.DUMMYFUNCTION("SPLIT(B1001,""/"")"),10.0)</f>
        <v>10</v>
      </c>
      <c r="F1001" s="2">
        <f>IFERROR(__xludf.DUMMYFUNCTION("""COMPUTED_VALUE"""),9.0)</f>
        <v>9</v>
      </c>
      <c r="G1001" s="2">
        <f>IFERROR(__xludf.DUMMYFUNCTION("""COMPUTED_VALUE"""),2024.0)</f>
        <v>2024</v>
      </c>
      <c r="H1001" s="2" t="str">
        <f t="shared" si="2"/>
        <v>2024/9/10</v>
      </c>
      <c r="I1001" s="2" t="s">
        <v>1587</v>
      </c>
      <c r="J1001" s="2" t="str">
        <f t="shared" si="3"/>
        <v>Tahu Lada Garam</v>
      </c>
      <c r="K1001" s="7">
        <f>if(RIGHT(I1001,5)="2 pcs",2,Data!I1001)</f>
        <v>1</v>
      </c>
      <c r="L1001" s="2" t="str">
        <f t="shared" si="4"/>
        <v>Tuesday</v>
      </c>
      <c r="M1001" s="2" t="str">
        <f t="shared" si="5"/>
        <v>10</v>
      </c>
      <c r="N1001" s="2">
        <f>VLOOKUP(L1001,'Data Info'!$A$1:$B$8,2,0)</f>
        <v>2</v>
      </c>
      <c r="O1001" s="2" t="str">
        <f>VLOOKUP(L1001,'Data Info'!$A$1:$C$8,3,0)</f>
        <v>Weekday</v>
      </c>
    </row>
    <row r="1002">
      <c r="A1002" s="4">
        <v>45545.59652777778</v>
      </c>
      <c r="B1002" s="9">
        <f>IFERROR(__xludf.DUMMYFUNCTION("SPLIT(A1002,"" "")"),45545.0)</f>
        <v>45545</v>
      </c>
      <c r="C1002" s="10">
        <f>IFERROR(__xludf.DUMMYFUNCTION("""COMPUTED_VALUE"""),0.5965277777777778)</f>
        <v>0.5965277778</v>
      </c>
      <c r="D1002" s="2">
        <f t="shared" si="1"/>
        <v>14</v>
      </c>
      <c r="E1002" s="2">
        <f>IFERROR(__xludf.DUMMYFUNCTION("SPLIT(B1002,""/"")"),10.0)</f>
        <v>10</v>
      </c>
      <c r="F1002" s="2">
        <f>IFERROR(__xludf.DUMMYFUNCTION("""COMPUTED_VALUE"""),9.0)</f>
        <v>9</v>
      </c>
      <c r="G1002" s="2">
        <f>IFERROR(__xludf.DUMMYFUNCTION("""COMPUTED_VALUE"""),2024.0)</f>
        <v>2024</v>
      </c>
      <c r="H1002" s="2" t="str">
        <f t="shared" si="2"/>
        <v>2024/9/10</v>
      </c>
      <c r="I1002" s="2" t="s">
        <v>1566</v>
      </c>
      <c r="J1002" s="2" t="str">
        <f t="shared" si="3"/>
        <v>Roti Bawang Saus Keju</v>
      </c>
      <c r="K1002" s="7">
        <f>if(RIGHT(I1002,5)="2 pcs",2,Data!I1002)</f>
        <v>1</v>
      </c>
      <c r="L1002" s="2" t="str">
        <f t="shared" si="4"/>
        <v>Tuesday</v>
      </c>
      <c r="M1002" s="2" t="str">
        <f t="shared" si="5"/>
        <v>10</v>
      </c>
      <c r="N1002" s="2">
        <f>VLOOKUP(L1002,'Data Info'!$A$1:$B$8,2,0)</f>
        <v>2</v>
      </c>
      <c r="O1002" s="2" t="str">
        <f>VLOOKUP(L1002,'Data Info'!$A$1:$C$8,3,0)</f>
        <v>Weekday</v>
      </c>
    </row>
    <row r="1003">
      <c r="A1003" s="4">
        <v>45545.53125</v>
      </c>
      <c r="B1003" s="9">
        <f>IFERROR(__xludf.DUMMYFUNCTION("SPLIT(A1003,"" "")"),45545.0)</f>
        <v>45545</v>
      </c>
      <c r="C1003" s="10">
        <f>IFERROR(__xludf.DUMMYFUNCTION("""COMPUTED_VALUE"""),0.53125)</f>
        <v>0.53125</v>
      </c>
      <c r="D1003" s="2">
        <f t="shared" si="1"/>
        <v>12</v>
      </c>
      <c r="E1003" s="2">
        <f>IFERROR(__xludf.DUMMYFUNCTION("SPLIT(B1003,""/"")"),10.0)</f>
        <v>10</v>
      </c>
      <c r="F1003" s="2">
        <f>IFERROR(__xludf.DUMMYFUNCTION("""COMPUTED_VALUE"""),9.0)</f>
        <v>9</v>
      </c>
      <c r="G1003" s="2">
        <f>IFERROR(__xludf.DUMMYFUNCTION("""COMPUTED_VALUE"""),2024.0)</f>
        <v>2024</v>
      </c>
      <c r="H1003" s="2" t="str">
        <f t="shared" si="2"/>
        <v>2024/9/10</v>
      </c>
      <c r="I1003" s="2" t="s">
        <v>1607</v>
      </c>
      <c r="J1003" s="2" t="str">
        <f t="shared" si="3"/>
        <v>Tahu walik</v>
      </c>
      <c r="K1003" s="7">
        <f>if(RIGHT(I1003,5)="2 pcs",2,Data!I1003)</f>
        <v>1</v>
      </c>
      <c r="L1003" s="2" t="str">
        <f t="shared" si="4"/>
        <v>Tuesday</v>
      </c>
      <c r="M1003" s="2" t="str">
        <f t="shared" si="5"/>
        <v>10</v>
      </c>
      <c r="N1003" s="2">
        <f>VLOOKUP(L1003,'Data Info'!$A$1:$B$8,2,0)</f>
        <v>2</v>
      </c>
      <c r="O1003" s="2" t="str">
        <f>VLOOKUP(L1003,'Data Info'!$A$1:$C$8,3,0)</f>
        <v>Weekday</v>
      </c>
    </row>
    <row r="1004">
      <c r="A1004" s="4">
        <v>45545.53125</v>
      </c>
      <c r="B1004" s="9">
        <f>IFERROR(__xludf.DUMMYFUNCTION("SPLIT(A1004,"" "")"),45545.0)</f>
        <v>45545</v>
      </c>
      <c r="C1004" s="10">
        <f>IFERROR(__xludf.DUMMYFUNCTION("""COMPUTED_VALUE"""),0.53125)</f>
        <v>0.53125</v>
      </c>
      <c r="D1004" s="2">
        <f t="shared" si="1"/>
        <v>12</v>
      </c>
      <c r="E1004" s="2">
        <f>IFERROR(__xludf.DUMMYFUNCTION("SPLIT(B1004,""/"")"),10.0)</f>
        <v>10</v>
      </c>
      <c r="F1004" s="2">
        <f>IFERROR(__xludf.DUMMYFUNCTION("""COMPUTED_VALUE"""),9.0)</f>
        <v>9</v>
      </c>
      <c r="G1004" s="2">
        <f>IFERROR(__xludf.DUMMYFUNCTION("""COMPUTED_VALUE"""),2024.0)</f>
        <v>2024</v>
      </c>
      <c r="H1004" s="2" t="str">
        <f t="shared" si="2"/>
        <v>2024/9/10</v>
      </c>
      <c r="I1004" s="2" t="s">
        <v>1609</v>
      </c>
      <c r="J1004" s="2" t="str">
        <f t="shared" si="3"/>
        <v>Tempe Mendoan</v>
      </c>
      <c r="K1004" s="7">
        <f>if(RIGHT(I1004,5)="2 pcs",2,Data!I1004)</f>
        <v>1</v>
      </c>
      <c r="L1004" s="2" t="str">
        <f t="shared" si="4"/>
        <v>Tuesday</v>
      </c>
      <c r="M1004" s="2" t="str">
        <f t="shared" si="5"/>
        <v>10</v>
      </c>
      <c r="N1004" s="2">
        <f>VLOOKUP(L1004,'Data Info'!$A$1:$B$8,2,0)</f>
        <v>2</v>
      </c>
      <c r="O1004" s="2" t="str">
        <f>VLOOKUP(L1004,'Data Info'!$A$1:$C$8,3,0)</f>
        <v>Weekday</v>
      </c>
    </row>
    <row r="1005">
      <c r="A1005" s="4">
        <v>45545.52291666667</v>
      </c>
      <c r="B1005" s="9">
        <f>IFERROR(__xludf.DUMMYFUNCTION("SPLIT(A1005,"" "")"),45545.0)</f>
        <v>45545</v>
      </c>
      <c r="C1005" s="10">
        <f>IFERROR(__xludf.DUMMYFUNCTION("""COMPUTED_VALUE"""),0.5229166666666667)</f>
        <v>0.5229166667</v>
      </c>
      <c r="D1005" s="2">
        <f t="shared" si="1"/>
        <v>12</v>
      </c>
      <c r="E1005" s="2">
        <f>IFERROR(__xludf.DUMMYFUNCTION("SPLIT(B1005,""/"")"),10.0)</f>
        <v>10</v>
      </c>
      <c r="F1005" s="2">
        <f>IFERROR(__xludf.DUMMYFUNCTION("""COMPUTED_VALUE"""),9.0)</f>
        <v>9</v>
      </c>
      <c r="G1005" s="2">
        <f>IFERROR(__xludf.DUMMYFUNCTION("""COMPUTED_VALUE"""),2024.0)</f>
        <v>2024</v>
      </c>
      <c r="H1005" s="2" t="str">
        <f t="shared" si="2"/>
        <v>2024/9/10</v>
      </c>
      <c r="I1005" s="2" t="s">
        <v>1596</v>
      </c>
      <c r="J1005" s="2" t="str">
        <f t="shared" si="3"/>
        <v>Roti Cranberry</v>
      </c>
      <c r="K1005" s="7">
        <f>if(RIGHT(I1005,5)="2 pcs",2,Data!I1005)</f>
        <v>2</v>
      </c>
      <c r="L1005" s="2" t="str">
        <f t="shared" si="4"/>
        <v>Tuesday</v>
      </c>
      <c r="M1005" s="2" t="str">
        <f t="shared" si="5"/>
        <v>10</v>
      </c>
      <c r="N1005" s="2">
        <f>VLOOKUP(L1005,'Data Info'!$A$1:$B$8,2,0)</f>
        <v>2</v>
      </c>
      <c r="O1005" s="2" t="str">
        <f>VLOOKUP(L1005,'Data Info'!$A$1:$C$8,3,0)</f>
        <v>Weekday</v>
      </c>
    </row>
    <row r="1006">
      <c r="A1006" s="4">
        <v>45545.402083333334</v>
      </c>
      <c r="B1006" s="9">
        <f>IFERROR(__xludf.DUMMYFUNCTION("SPLIT(A1006,"" "")"),45545.0)</f>
        <v>45545</v>
      </c>
      <c r="C1006" s="10">
        <f>IFERROR(__xludf.DUMMYFUNCTION("""COMPUTED_VALUE"""),0.40208333333333335)</f>
        <v>0.4020833333</v>
      </c>
      <c r="D1006" s="2">
        <f t="shared" si="1"/>
        <v>9</v>
      </c>
      <c r="E1006" s="2">
        <f>IFERROR(__xludf.DUMMYFUNCTION("SPLIT(B1006,""/"")"),10.0)</f>
        <v>10</v>
      </c>
      <c r="F1006" s="2">
        <f>IFERROR(__xludf.DUMMYFUNCTION("""COMPUTED_VALUE"""),9.0)</f>
        <v>9</v>
      </c>
      <c r="G1006" s="2">
        <f>IFERROR(__xludf.DUMMYFUNCTION("""COMPUTED_VALUE"""),2024.0)</f>
        <v>2024</v>
      </c>
      <c r="H1006" s="2" t="str">
        <f t="shared" si="2"/>
        <v>2024/9/10</v>
      </c>
      <c r="I1006" s="2" t="s">
        <v>1596</v>
      </c>
      <c r="J1006" s="2" t="str">
        <f t="shared" si="3"/>
        <v>Roti Cranberry</v>
      </c>
      <c r="K1006" s="7">
        <f>if(RIGHT(I1006,5)="2 pcs",2,Data!I1006)</f>
        <v>2</v>
      </c>
      <c r="L1006" s="2" t="str">
        <f t="shared" si="4"/>
        <v>Tuesday</v>
      </c>
      <c r="M1006" s="2" t="str">
        <f t="shared" si="5"/>
        <v>10</v>
      </c>
      <c r="N1006" s="2">
        <f>VLOOKUP(L1006,'Data Info'!$A$1:$B$8,2,0)</f>
        <v>2</v>
      </c>
      <c r="O1006" s="2" t="str">
        <f>VLOOKUP(L1006,'Data Info'!$A$1:$C$8,3,0)</f>
        <v>Weekday</v>
      </c>
    </row>
    <row r="1007">
      <c r="A1007" s="4">
        <v>45545.402083333334</v>
      </c>
      <c r="B1007" s="9">
        <f>IFERROR(__xludf.DUMMYFUNCTION("SPLIT(A1007,"" "")"),45545.0)</f>
        <v>45545</v>
      </c>
      <c r="C1007" s="10">
        <f>IFERROR(__xludf.DUMMYFUNCTION("""COMPUTED_VALUE"""),0.40208333333333335)</f>
        <v>0.4020833333</v>
      </c>
      <c r="D1007" s="2">
        <f t="shared" si="1"/>
        <v>9</v>
      </c>
      <c r="E1007" s="2">
        <f>IFERROR(__xludf.DUMMYFUNCTION("SPLIT(B1007,""/"")"),10.0)</f>
        <v>10</v>
      </c>
      <c r="F1007" s="2">
        <f>IFERROR(__xludf.DUMMYFUNCTION("""COMPUTED_VALUE"""),9.0)</f>
        <v>9</v>
      </c>
      <c r="G1007" s="2">
        <f>IFERROR(__xludf.DUMMYFUNCTION("""COMPUTED_VALUE"""),2024.0)</f>
        <v>2024</v>
      </c>
      <c r="H1007" s="2" t="str">
        <f t="shared" si="2"/>
        <v>2024/9/10</v>
      </c>
      <c r="I1007" s="2" t="s">
        <v>1597</v>
      </c>
      <c r="J1007" s="2" t="str">
        <f t="shared" si="3"/>
        <v>Roti Gandum Cokelat</v>
      </c>
      <c r="K1007" s="7">
        <f>if(RIGHT(I1007,5)="2 pcs",2,Data!I1007)</f>
        <v>2</v>
      </c>
      <c r="L1007" s="2" t="str">
        <f t="shared" si="4"/>
        <v>Tuesday</v>
      </c>
      <c r="M1007" s="2" t="str">
        <f t="shared" si="5"/>
        <v>10</v>
      </c>
      <c r="N1007" s="2">
        <f>VLOOKUP(L1007,'Data Info'!$A$1:$B$8,2,0)</f>
        <v>2</v>
      </c>
      <c r="O1007" s="2" t="str">
        <f>VLOOKUP(L1007,'Data Info'!$A$1:$C$8,3,0)</f>
        <v>Weekday</v>
      </c>
    </row>
    <row r="1008">
      <c r="A1008" s="4">
        <v>45545.402083333334</v>
      </c>
      <c r="B1008" s="9">
        <f>IFERROR(__xludf.DUMMYFUNCTION("SPLIT(A1008,"" "")"),45545.0)</f>
        <v>45545</v>
      </c>
      <c r="C1008" s="10">
        <f>IFERROR(__xludf.DUMMYFUNCTION("""COMPUTED_VALUE"""),0.40208333333333335)</f>
        <v>0.4020833333</v>
      </c>
      <c r="D1008" s="2">
        <f t="shared" si="1"/>
        <v>9</v>
      </c>
      <c r="E1008" s="2">
        <f>IFERROR(__xludf.DUMMYFUNCTION("SPLIT(B1008,""/"")"),10.0)</f>
        <v>10</v>
      </c>
      <c r="F1008" s="2">
        <f>IFERROR(__xludf.DUMMYFUNCTION("""COMPUTED_VALUE"""),9.0)</f>
        <v>9</v>
      </c>
      <c r="G1008" s="2">
        <f>IFERROR(__xludf.DUMMYFUNCTION("""COMPUTED_VALUE"""),2024.0)</f>
        <v>2024</v>
      </c>
      <c r="H1008" s="2" t="str">
        <f t="shared" si="2"/>
        <v>2024/9/10</v>
      </c>
      <c r="I1008" s="2" t="s">
        <v>1595</v>
      </c>
      <c r="J1008" s="2" t="str">
        <f t="shared" si="3"/>
        <v>Roti Gandum Cokelat</v>
      </c>
      <c r="K1008" s="7">
        <f>if(RIGHT(I1008,5)="2 pcs",2,Data!I1008)</f>
        <v>1</v>
      </c>
      <c r="L1008" s="2" t="str">
        <f t="shared" si="4"/>
        <v>Tuesday</v>
      </c>
      <c r="M1008" s="2" t="str">
        <f t="shared" si="5"/>
        <v>10</v>
      </c>
      <c r="N1008" s="2">
        <f>VLOOKUP(L1008,'Data Info'!$A$1:$B$8,2,0)</f>
        <v>2</v>
      </c>
      <c r="O1008" s="2" t="str">
        <f>VLOOKUP(L1008,'Data Info'!$A$1:$C$8,3,0)</f>
        <v>Weekday</v>
      </c>
    </row>
    <row r="1009">
      <c r="A1009" s="4">
        <v>45543.84375</v>
      </c>
      <c r="B1009" s="9">
        <f>IFERROR(__xludf.DUMMYFUNCTION("SPLIT(A1009,"" "")"),45543.0)</f>
        <v>45543</v>
      </c>
      <c r="C1009" s="10">
        <f>IFERROR(__xludf.DUMMYFUNCTION("""COMPUTED_VALUE"""),0.84375)</f>
        <v>0.84375</v>
      </c>
      <c r="D1009" s="2">
        <f t="shared" si="1"/>
        <v>20</v>
      </c>
      <c r="E1009" s="2">
        <f>IFERROR(__xludf.DUMMYFUNCTION("SPLIT(B1009,""/"")"),8.0)</f>
        <v>8</v>
      </c>
      <c r="F1009" s="2">
        <f>IFERROR(__xludf.DUMMYFUNCTION("""COMPUTED_VALUE"""),9.0)</f>
        <v>9</v>
      </c>
      <c r="G1009" s="2">
        <f>IFERROR(__xludf.DUMMYFUNCTION("""COMPUTED_VALUE"""),2024.0)</f>
        <v>2024</v>
      </c>
      <c r="H1009" s="2" t="str">
        <f t="shared" si="2"/>
        <v>2024/9/8</v>
      </c>
      <c r="I1009" s="2" t="s">
        <v>1599</v>
      </c>
      <c r="J1009" s="2" t="str">
        <f t="shared" si="3"/>
        <v>Rempah Madu Dingin</v>
      </c>
      <c r="K1009" s="7">
        <f>if(RIGHT(I1009,5)="2 pcs",2,Data!I1009)</f>
        <v>1</v>
      </c>
      <c r="L1009" s="2" t="str">
        <f t="shared" si="4"/>
        <v>Sunday</v>
      </c>
      <c r="M1009" s="2" t="str">
        <f t="shared" si="5"/>
        <v>8</v>
      </c>
      <c r="N1009" s="2">
        <f>VLOOKUP(L1009,'Data Info'!$A$1:$B$8,2,0)</f>
        <v>7</v>
      </c>
      <c r="O1009" s="2" t="str">
        <f>VLOOKUP(L1009,'Data Info'!$A$1:$C$8,3,0)</f>
        <v>Weekend</v>
      </c>
    </row>
    <row r="1010">
      <c r="A1010" s="4">
        <v>45543.84375</v>
      </c>
      <c r="B1010" s="9">
        <f>IFERROR(__xludf.DUMMYFUNCTION("SPLIT(A1010,"" "")"),45543.0)</f>
        <v>45543</v>
      </c>
      <c r="C1010" s="10">
        <f>IFERROR(__xludf.DUMMYFUNCTION("""COMPUTED_VALUE"""),0.84375)</f>
        <v>0.84375</v>
      </c>
      <c r="D1010" s="2">
        <f t="shared" si="1"/>
        <v>20</v>
      </c>
      <c r="E1010" s="2">
        <f>IFERROR(__xludf.DUMMYFUNCTION("SPLIT(B1010,""/"")"),8.0)</f>
        <v>8</v>
      </c>
      <c r="F1010" s="2">
        <f>IFERROR(__xludf.DUMMYFUNCTION("""COMPUTED_VALUE"""),9.0)</f>
        <v>9</v>
      </c>
      <c r="G1010" s="2">
        <f>IFERROR(__xludf.DUMMYFUNCTION("""COMPUTED_VALUE"""),2024.0)</f>
        <v>2024</v>
      </c>
      <c r="H1010" s="2" t="str">
        <f t="shared" si="2"/>
        <v>2024/9/8</v>
      </c>
      <c r="I1010" s="2" t="s">
        <v>1606</v>
      </c>
      <c r="J1010" s="2" t="str">
        <f t="shared" si="3"/>
        <v>Pisang Goreng</v>
      </c>
      <c r="K1010" s="7">
        <f>if(RIGHT(I1010,5)="2 pcs",2,Data!I1010)</f>
        <v>1</v>
      </c>
      <c r="L1010" s="2" t="str">
        <f t="shared" si="4"/>
        <v>Sunday</v>
      </c>
      <c r="M1010" s="2" t="str">
        <f t="shared" si="5"/>
        <v>8</v>
      </c>
      <c r="N1010" s="2">
        <f>VLOOKUP(L1010,'Data Info'!$A$1:$B$8,2,0)</f>
        <v>7</v>
      </c>
      <c r="O1010" s="2" t="str">
        <f>VLOOKUP(L1010,'Data Info'!$A$1:$C$8,3,0)</f>
        <v>Weekend</v>
      </c>
    </row>
    <row r="1011">
      <c r="A1011" s="4">
        <v>45543.81180555555</v>
      </c>
      <c r="B1011" s="9">
        <f>IFERROR(__xludf.DUMMYFUNCTION("SPLIT(A1011,"" "")"),45543.0)</f>
        <v>45543</v>
      </c>
      <c r="C1011" s="10">
        <f>IFERROR(__xludf.DUMMYFUNCTION("""COMPUTED_VALUE"""),0.8118055555555556)</f>
        <v>0.8118055556</v>
      </c>
      <c r="D1011" s="2">
        <f t="shared" si="1"/>
        <v>19</v>
      </c>
      <c r="E1011" s="2">
        <f>IFERROR(__xludf.DUMMYFUNCTION("SPLIT(B1011,""/"")"),8.0)</f>
        <v>8</v>
      </c>
      <c r="F1011" s="2">
        <f>IFERROR(__xludf.DUMMYFUNCTION("""COMPUTED_VALUE"""),9.0)</f>
        <v>9</v>
      </c>
      <c r="G1011" s="2">
        <f>IFERROR(__xludf.DUMMYFUNCTION("""COMPUTED_VALUE"""),2024.0)</f>
        <v>2024</v>
      </c>
      <c r="H1011" s="2" t="str">
        <f t="shared" si="2"/>
        <v>2024/9/8</v>
      </c>
      <c r="I1011" s="2" t="s">
        <v>1591</v>
      </c>
      <c r="J1011" s="2" t="str">
        <f t="shared" si="3"/>
        <v>Kopi cur</v>
      </c>
      <c r="K1011" s="7">
        <f>if(RIGHT(I1011,5)="2 pcs",2,Data!I1011)</f>
        <v>1</v>
      </c>
      <c r="L1011" s="2" t="str">
        <f t="shared" si="4"/>
        <v>Sunday</v>
      </c>
      <c r="M1011" s="2" t="str">
        <f t="shared" si="5"/>
        <v>8</v>
      </c>
      <c r="N1011" s="2">
        <f>VLOOKUP(L1011,'Data Info'!$A$1:$B$8,2,0)</f>
        <v>7</v>
      </c>
      <c r="O1011" s="2" t="str">
        <f>VLOOKUP(L1011,'Data Info'!$A$1:$C$8,3,0)</f>
        <v>Weekend</v>
      </c>
    </row>
    <row r="1012">
      <c r="A1012" s="4">
        <v>45543.79305555556</v>
      </c>
      <c r="B1012" s="9">
        <f>IFERROR(__xludf.DUMMYFUNCTION("SPLIT(A1012,"" "")"),45543.0)</f>
        <v>45543</v>
      </c>
      <c r="C1012" s="10">
        <f>IFERROR(__xludf.DUMMYFUNCTION("""COMPUTED_VALUE"""),0.7930555555555555)</f>
        <v>0.7930555556</v>
      </c>
      <c r="D1012" s="2">
        <f t="shared" si="1"/>
        <v>19</v>
      </c>
      <c r="E1012" s="2">
        <f>IFERROR(__xludf.DUMMYFUNCTION("SPLIT(B1012,""/"")"),8.0)</f>
        <v>8</v>
      </c>
      <c r="F1012" s="2">
        <f>IFERROR(__xludf.DUMMYFUNCTION("""COMPUTED_VALUE"""),9.0)</f>
        <v>9</v>
      </c>
      <c r="G1012" s="2">
        <f>IFERROR(__xludf.DUMMYFUNCTION("""COMPUTED_VALUE"""),2024.0)</f>
        <v>2024</v>
      </c>
      <c r="H1012" s="2" t="str">
        <f t="shared" si="2"/>
        <v>2024/9/8</v>
      </c>
      <c r="I1012" s="2" t="s">
        <v>1566</v>
      </c>
      <c r="J1012" s="2" t="str">
        <f t="shared" si="3"/>
        <v>Roti Bawang Saus Keju</v>
      </c>
      <c r="K1012" s="7">
        <f>if(RIGHT(I1012,5)="2 pcs",2,Data!I1012)</f>
        <v>1</v>
      </c>
      <c r="L1012" s="2" t="str">
        <f t="shared" si="4"/>
        <v>Sunday</v>
      </c>
      <c r="M1012" s="2" t="str">
        <f t="shared" si="5"/>
        <v>8</v>
      </c>
      <c r="N1012" s="2">
        <f>VLOOKUP(L1012,'Data Info'!$A$1:$B$8,2,0)</f>
        <v>7</v>
      </c>
      <c r="O1012" s="2" t="str">
        <f>VLOOKUP(L1012,'Data Info'!$A$1:$C$8,3,0)</f>
        <v>Weekend</v>
      </c>
    </row>
    <row r="1013">
      <c r="A1013" s="4">
        <v>45543.79305555556</v>
      </c>
      <c r="B1013" s="9">
        <f>IFERROR(__xludf.DUMMYFUNCTION("SPLIT(A1013,"" "")"),45543.0)</f>
        <v>45543</v>
      </c>
      <c r="C1013" s="10">
        <f>IFERROR(__xludf.DUMMYFUNCTION("""COMPUTED_VALUE"""),0.7930555555555555)</f>
        <v>0.7930555556</v>
      </c>
      <c r="D1013" s="2">
        <f t="shared" si="1"/>
        <v>19</v>
      </c>
      <c r="E1013" s="2">
        <f>IFERROR(__xludf.DUMMYFUNCTION("SPLIT(B1013,""/"")"),8.0)</f>
        <v>8</v>
      </c>
      <c r="F1013" s="2">
        <f>IFERROR(__xludf.DUMMYFUNCTION("""COMPUTED_VALUE"""),9.0)</f>
        <v>9</v>
      </c>
      <c r="G1013" s="2">
        <f>IFERROR(__xludf.DUMMYFUNCTION("""COMPUTED_VALUE"""),2024.0)</f>
        <v>2024</v>
      </c>
      <c r="H1013" s="2" t="str">
        <f t="shared" si="2"/>
        <v>2024/9/8</v>
      </c>
      <c r="I1013" s="2" t="s">
        <v>1576</v>
      </c>
      <c r="J1013" s="2" t="str">
        <f t="shared" si="3"/>
        <v>Roti Cranberry</v>
      </c>
      <c r="K1013" s="7">
        <f>if(RIGHT(I1013,5)="2 pcs",2,Data!I1013)</f>
        <v>1</v>
      </c>
      <c r="L1013" s="2" t="str">
        <f t="shared" si="4"/>
        <v>Sunday</v>
      </c>
      <c r="M1013" s="2" t="str">
        <f t="shared" si="5"/>
        <v>8</v>
      </c>
      <c r="N1013" s="2">
        <f>VLOOKUP(L1013,'Data Info'!$A$1:$B$8,2,0)</f>
        <v>7</v>
      </c>
      <c r="O1013" s="2" t="str">
        <f>VLOOKUP(L1013,'Data Info'!$A$1:$C$8,3,0)</f>
        <v>Weekend</v>
      </c>
    </row>
    <row r="1014">
      <c r="A1014" s="4">
        <v>45543.782638888886</v>
      </c>
      <c r="B1014" s="9">
        <f>IFERROR(__xludf.DUMMYFUNCTION("SPLIT(A1014,"" "")"),45543.0)</f>
        <v>45543</v>
      </c>
      <c r="C1014" s="10">
        <f>IFERROR(__xludf.DUMMYFUNCTION("""COMPUTED_VALUE"""),0.7826388888888889)</f>
        <v>0.7826388889</v>
      </c>
      <c r="D1014" s="2">
        <f t="shared" si="1"/>
        <v>18</v>
      </c>
      <c r="E1014" s="2">
        <f>IFERROR(__xludf.DUMMYFUNCTION("SPLIT(B1014,""/"")"),8.0)</f>
        <v>8</v>
      </c>
      <c r="F1014" s="2">
        <f>IFERROR(__xludf.DUMMYFUNCTION("""COMPUTED_VALUE"""),9.0)</f>
        <v>9</v>
      </c>
      <c r="G1014" s="2">
        <f>IFERROR(__xludf.DUMMYFUNCTION("""COMPUTED_VALUE"""),2024.0)</f>
        <v>2024</v>
      </c>
      <c r="H1014" s="2" t="str">
        <f t="shared" si="2"/>
        <v>2024/9/8</v>
      </c>
      <c r="I1014" s="2" t="s">
        <v>1566</v>
      </c>
      <c r="J1014" s="2" t="str">
        <f t="shared" si="3"/>
        <v>Roti Bawang Saus Keju</v>
      </c>
      <c r="K1014" s="7">
        <f>if(RIGHT(I1014,5)="2 pcs",2,Data!I1014)</f>
        <v>2</v>
      </c>
      <c r="L1014" s="2" t="str">
        <f t="shared" si="4"/>
        <v>Sunday</v>
      </c>
      <c r="M1014" s="2" t="str">
        <f t="shared" si="5"/>
        <v>8</v>
      </c>
      <c r="N1014" s="2">
        <f>VLOOKUP(L1014,'Data Info'!$A$1:$B$8,2,0)</f>
        <v>7</v>
      </c>
      <c r="O1014" s="2" t="str">
        <f>VLOOKUP(L1014,'Data Info'!$A$1:$C$8,3,0)</f>
        <v>Weekend</v>
      </c>
    </row>
    <row r="1015">
      <c r="A1015" s="4">
        <v>45543.782638888886</v>
      </c>
      <c r="B1015" s="9">
        <f>IFERROR(__xludf.DUMMYFUNCTION("SPLIT(A1015,"" "")"),45543.0)</f>
        <v>45543</v>
      </c>
      <c r="C1015" s="10">
        <f>IFERROR(__xludf.DUMMYFUNCTION("""COMPUTED_VALUE"""),0.7826388888888889)</f>
        <v>0.7826388889</v>
      </c>
      <c r="D1015" s="2">
        <f t="shared" si="1"/>
        <v>18</v>
      </c>
      <c r="E1015" s="2">
        <f>IFERROR(__xludf.DUMMYFUNCTION("SPLIT(B1015,""/"")"),8.0)</f>
        <v>8</v>
      </c>
      <c r="F1015" s="2">
        <f>IFERROR(__xludf.DUMMYFUNCTION("""COMPUTED_VALUE"""),9.0)</f>
        <v>9</v>
      </c>
      <c r="G1015" s="2">
        <f>IFERROR(__xludf.DUMMYFUNCTION("""COMPUTED_VALUE"""),2024.0)</f>
        <v>2024</v>
      </c>
      <c r="H1015" s="2" t="str">
        <f t="shared" si="2"/>
        <v>2024/9/8</v>
      </c>
      <c r="I1015" s="2" t="s">
        <v>1566</v>
      </c>
      <c r="J1015" s="2" t="str">
        <f t="shared" si="3"/>
        <v>Roti Bawang Saus Keju</v>
      </c>
      <c r="K1015" s="7">
        <f>if(RIGHT(I1015,5)="2 pcs",2,Data!I1015)</f>
        <v>-2</v>
      </c>
      <c r="L1015" s="2" t="str">
        <f t="shared" si="4"/>
        <v>Sunday</v>
      </c>
      <c r="M1015" s="2" t="str">
        <f t="shared" si="5"/>
        <v>8</v>
      </c>
      <c r="N1015" s="2">
        <f>VLOOKUP(L1015,'Data Info'!$A$1:$B$8,2,0)</f>
        <v>7</v>
      </c>
      <c r="O1015" s="2" t="str">
        <f>VLOOKUP(L1015,'Data Info'!$A$1:$C$8,3,0)</f>
        <v>Weekend</v>
      </c>
    </row>
    <row r="1016">
      <c r="A1016" s="4">
        <v>45543.78055555555</v>
      </c>
      <c r="B1016" s="9">
        <f>IFERROR(__xludf.DUMMYFUNCTION("SPLIT(A1016,"" "")"),45543.0)</f>
        <v>45543</v>
      </c>
      <c r="C1016" s="10">
        <f>IFERROR(__xludf.DUMMYFUNCTION("""COMPUTED_VALUE"""),0.7805555555555556)</f>
        <v>0.7805555556</v>
      </c>
      <c r="D1016" s="2">
        <f t="shared" si="1"/>
        <v>18</v>
      </c>
      <c r="E1016" s="2">
        <f>IFERROR(__xludf.DUMMYFUNCTION("SPLIT(B1016,""/"")"),8.0)</f>
        <v>8</v>
      </c>
      <c r="F1016" s="2">
        <f>IFERROR(__xludf.DUMMYFUNCTION("""COMPUTED_VALUE"""),9.0)</f>
        <v>9</v>
      </c>
      <c r="G1016" s="2">
        <f>IFERROR(__xludf.DUMMYFUNCTION("""COMPUTED_VALUE"""),2024.0)</f>
        <v>2024</v>
      </c>
      <c r="H1016" s="2" t="str">
        <f t="shared" si="2"/>
        <v>2024/9/8</v>
      </c>
      <c r="I1016" s="2" t="s">
        <v>1566</v>
      </c>
      <c r="J1016" s="2" t="str">
        <f t="shared" si="3"/>
        <v>Roti Bawang Saus Keju</v>
      </c>
      <c r="K1016" s="7">
        <f>if(RIGHT(I1016,5)="2 pcs",2,Data!I1016)</f>
        <v>2</v>
      </c>
      <c r="L1016" s="2" t="str">
        <f t="shared" si="4"/>
        <v>Sunday</v>
      </c>
      <c r="M1016" s="2" t="str">
        <f t="shared" si="5"/>
        <v>8</v>
      </c>
      <c r="N1016" s="2">
        <f>VLOOKUP(L1016,'Data Info'!$A$1:$B$8,2,0)</f>
        <v>7</v>
      </c>
      <c r="O1016" s="2" t="str">
        <f>VLOOKUP(L1016,'Data Info'!$A$1:$C$8,3,0)</f>
        <v>Weekend</v>
      </c>
    </row>
    <row r="1017">
      <c r="A1017" s="4">
        <v>45543.74097222222</v>
      </c>
      <c r="B1017" s="9">
        <f>IFERROR(__xludf.DUMMYFUNCTION("SPLIT(A1017,"" "")"),45543.0)</f>
        <v>45543</v>
      </c>
      <c r="C1017" s="10">
        <f>IFERROR(__xludf.DUMMYFUNCTION("""COMPUTED_VALUE"""),0.7409722222222223)</f>
        <v>0.7409722222</v>
      </c>
      <c r="D1017" s="2">
        <f t="shared" si="1"/>
        <v>17</v>
      </c>
      <c r="E1017" s="2">
        <f>IFERROR(__xludf.DUMMYFUNCTION("SPLIT(B1017,""/"")"),8.0)</f>
        <v>8</v>
      </c>
      <c r="F1017" s="2">
        <f>IFERROR(__xludf.DUMMYFUNCTION("""COMPUTED_VALUE"""),9.0)</f>
        <v>9</v>
      </c>
      <c r="G1017" s="2">
        <f>IFERROR(__xludf.DUMMYFUNCTION("""COMPUTED_VALUE"""),2024.0)</f>
        <v>2024</v>
      </c>
      <c r="H1017" s="2" t="str">
        <f t="shared" si="2"/>
        <v>2024/9/8</v>
      </c>
      <c r="I1017" s="2" t="s">
        <v>1606</v>
      </c>
      <c r="J1017" s="2" t="str">
        <f t="shared" si="3"/>
        <v>Pisang Goreng</v>
      </c>
      <c r="K1017" s="7">
        <f>if(RIGHT(I1017,5)="2 pcs",2,Data!I1017)</f>
        <v>1</v>
      </c>
      <c r="L1017" s="2" t="str">
        <f t="shared" si="4"/>
        <v>Sunday</v>
      </c>
      <c r="M1017" s="2" t="str">
        <f t="shared" si="5"/>
        <v>8</v>
      </c>
      <c r="N1017" s="2">
        <f>VLOOKUP(L1017,'Data Info'!$A$1:$B$8,2,0)</f>
        <v>7</v>
      </c>
      <c r="O1017" s="2" t="str">
        <f>VLOOKUP(L1017,'Data Info'!$A$1:$C$8,3,0)</f>
        <v>Weekend</v>
      </c>
    </row>
    <row r="1018">
      <c r="A1018" s="4">
        <v>45543.74097222222</v>
      </c>
      <c r="B1018" s="9">
        <f>IFERROR(__xludf.DUMMYFUNCTION("SPLIT(A1018,"" "")"),45543.0)</f>
        <v>45543</v>
      </c>
      <c r="C1018" s="10">
        <f>IFERROR(__xludf.DUMMYFUNCTION("""COMPUTED_VALUE"""),0.7409722222222223)</f>
        <v>0.7409722222</v>
      </c>
      <c r="D1018" s="2">
        <f t="shared" si="1"/>
        <v>17</v>
      </c>
      <c r="E1018" s="2">
        <f>IFERROR(__xludf.DUMMYFUNCTION("SPLIT(B1018,""/"")"),8.0)</f>
        <v>8</v>
      </c>
      <c r="F1018" s="2">
        <f>IFERROR(__xludf.DUMMYFUNCTION("""COMPUTED_VALUE"""),9.0)</f>
        <v>9</v>
      </c>
      <c r="G1018" s="2">
        <f>IFERROR(__xludf.DUMMYFUNCTION("""COMPUTED_VALUE"""),2024.0)</f>
        <v>2024</v>
      </c>
      <c r="H1018" s="2" t="str">
        <f t="shared" si="2"/>
        <v>2024/9/8</v>
      </c>
      <c r="I1018" s="2" t="s">
        <v>1579</v>
      </c>
      <c r="J1018" s="2" t="str">
        <f t="shared" si="3"/>
        <v>Tahu baso</v>
      </c>
      <c r="K1018" s="7">
        <f>if(RIGHT(I1018,5)="2 pcs",2,Data!I1018)</f>
        <v>1</v>
      </c>
      <c r="L1018" s="2" t="str">
        <f t="shared" si="4"/>
        <v>Sunday</v>
      </c>
      <c r="M1018" s="2" t="str">
        <f t="shared" si="5"/>
        <v>8</v>
      </c>
      <c r="N1018" s="2">
        <f>VLOOKUP(L1018,'Data Info'!$A$1:$B$8,2,0)</f>
        <v>7</v>
      </c>
      <c r="O1018" s="2" t="str">
        <f>VLOOKUP(L1018,'Data Info'!$A$1:$C$8,3,0)</f>
        <v>Weekend</v>
      </c>
    </row>
    <row r="1019">
      <c r="A1019" s="4">
        <v>45543.73888888889</v>
      </c>
      <c r="B1019" s="9">
        <f>IFERROR(__xludf.DUMMYFUNCTION("SPLIT(A1019,"" "")"),45543.0)</f>
        <v>45543</v>
      </c>
      <c r="C1019" s="10">
        <f>IFERROR(__xludf.DUMMYFUNCTION("""COMPUTED_VALUE"""),0.7388888888888889)</f>
        <v>0.7388888889</v>
      </c>
      <c r="D1019" s="2">
        <f t="shared" si="1"/>
        <v>17</v>
      </c>
      <c r="E1019" s="2">
        <f>IFERROR(__xludf.DUMMYFUNCTION("SPLIT(B1019,""/"")"),8.0)</f>
        <v>8</v>
      </c>
      <c r="F1019" s="2">
        <f>IFERROR(__xludf.DUMMYFUNCTION("""COMPUTED_VALUE"""),9.0)</f>
        <v>9</v>
      </c>
      <c r="G1019" s="2">
        <f>IFERROR(__xludf.DUMMYFUNCTION("""COMPUTED_VALUE"""),2024.0)</f>
        <v>2024</v>
      </c>
      <c r="H1019" s="2" t="str">
        <f t="shared" si="2"/>
        <v>2024/9/8</v>
      </c>
      <c r="I1019" s="2" t="s">
        <v>1607</v>
      </c>
      <c r="J1019" s="2" t="str">
        <f t="shared" si="3"/>
        <v>Tahu walik</v>
      </c>
      <c r="K1019" s="7">
        <f>if(RIGHT(I1019,5)="2 pcs",2,Data!I1019)</f>
        <v>1</v>
      </c>
      <c r="L1019" s="2" t="str">
        <f t="shared" si="4"/>
        <v>Sunday</v>
      </c>
      <c r="M1019" s="2" t="str">
        <f t="shared" si="5"/>
        <v>8</v>
      </c>
      <c r="N1019" s="2">
        <f>VLOOKUP(L1019,'Data Info'!$A$1:$B$8,2,0)</f>
        <v>7</v>
      </c>
      <c r="O1019" s="2" t="str">
        <f>VLOOKUP(L1019,'Data Info'!$A$1:$C$8,3,0)</f>
        <v>Weekend</v>
      </c>
    </row>
    <row r="1020">
      <c r="A1020" s="4">
        <v>45543.731944444444</v>
      </c>
      <c r="B1020" s="9">
        <f>IFERROR(__xludf.DUMMYFUNCTION("SPLIT(A1020,"" "")"),45543.0)</f>
        <v>45543</v>
      </c>
      <c r="C1020" s="10">
        <f>IFERROR(__xludf.DUMMYFUNCTION("""COMPUTED_VALUE"""),0.7319444444444444)</f>
        <v>0.7319444444</v>
      </c>
      <c r="D1020" s="2">
        <f t="shared" si="1"/>
        <v>17</v>
      </c>
      <c r="E1020" s="2">
        <f>IFERROR(__xludf.DUMMYFUNCTION("SPLIT(B1020,""/"")"),8.0)</f>
        <v>8</v>
      </c>
      <c r="F1020" s="2">
        <f>IFERROR(__xludf.DUMMYFUNCTION("""COMPUTED_VALUE"""),9.0)</f>
        <v>9</v>
      </c>
      <c r="G1020" s="2">
        <f>IFERROR(__xludf.DUMMYFUNCTION("""COMPUTED_VALUE"""),2024.0)</f>
        <v>2024</v>
      </c>
      <c r="H1020" s="2" t="str">
        <f t="shared" si="2"/>
        <v>2024/9/8</v>
      </c>
      <c r="I1020" s="2" t="s">
        <v>1603</v>
      </c>
      <c r="J1020" s="2" t="str">
        <f t="shared" si="3"/>
        <v>Nasi Goreng Temu</v>
      </c>
      <c r="K1020" s="7">
        <f>if(RIGHT(I1020,5)="2 pcs",2,Data!I1020)</f>
        <v>1</v>
      </c>
      <c r="L1020" s="2" t="str">
        <f t="shared" si="4"/>
        <v>Sunday</v>
      </c>
      <c r="M1020" s="2" t="str">
        <f t="shared" si="5"/>
        <v>8</v>
      </c>
      <c r="N1020" s="2">
        <f>VLOOKUP(L1020,'Data Info'!$A$1:$B$8,2,0)</f>
        <v>7</v>
      </c>
      <c r="O1020" s="2" t="str">
        <f>VLOOKUP(L1020,'Data Info'!$A$1:$C$8,3,0)</f>
        <v>Weekend</v>
      </c>
    </row>
    <row r="1021">
      <c r="A1021" s="4">
        <v>45543.728472222225</v>
      </c>
      <c r="B1021" s="9">
        <f>IFERROR(__xludf.DUMMYFUNCTION("SPLIT(A1021,"" "")"),45543.0)</f>
        <v>45543</v>
      </c>
      <c r="C1021" s="10">
        <f>IFERROR(__xludf.DUMMYFUNCTION("""COMPUTED_VALUE"""),0.7284722222222222)</f>
        <v>0.7284722222</v>
      </c>
      <c r="D1021" s="2">
        <f t="shared" si="1"/>
        <v>17</v>
      </c>
      <c r="E1021" s="2">
        <f>IFERROR(__xludf.DUMMYFUNCTION("SPLIT(B1021,""/"")"),8.0)</f>
        <v>8</v>
      </c>
      <c r="F1021" s="2">
        <f>IFERROR(__xludf.DUMMYFUNCTION("""COMPUTED_VALUE"""),9.0)</f>
        <v>9</v>
      </c>
      <c r="G1021" s="2">
        <f>IFERROR(__xludf.DUMMYFUNCTION("""COMPUTED_VALUE"""),2024.0)</f>
        <v>2024</v>
      </c>
      <c r="H1021" s="2" t="str">
        <f t="shared" si="2"/>
        <v>2024/9/8</v>
      </c>
      <c r="I1021" s="2" t="s">
        <v>1579</v>
      </c>
      <c r="J1021" s="2" t="str">
        <f t="shared" si="3"/>
        <v>Tahu baso</v>
      </c>
      <c r="K1021" s="7">
        <f>if(RIGHT(I1021,5)="2 pcs",2,Data!I1021)</f>
        <v>1</v>
      </c>
      <c r="L1021" s="2" t="str">
        <f t="shared" si="4"/>
        <v>Sunday</v>
      </c>
      <c r="M1021" s="2" t="str">
        <f t="shared" si="5"/>
        <v>8</v>
      </c>
      <c r="N1021" s="2">
        <f>VLOOKUP(L1021,'Data Info'!$A$1:$B$8,2,0)</f>
        <v>7</v>
      </c>
      <c r="O1021" s="2" t="str">
        <f>VLOOKUP(L1021,'Data Info'!$A$1:$C$8,3,0)</f>
        <v>Weekend</v>
      </c>
    </row>
    <row r="1022">
      <c r="A1022" s="4">
        <v>45543.725</v>
      </c>
      <c r="B1022" s="9">
        <f>IFERROR(__xludf.DUMMYFUNCTION("SPLIT(A1022,"" "")"),45543.0)</f>
        <v>45543</v>
      </c>
      <c r="C1022" s="10">
        <f>IFERROR(__xludf.DUMMYFUNCTION("""COMPUTED_VALUE"""),0.725)</f>
        <v>0.725</v>
      </c>
      <c r="D1022" s="2">
        <f t="shared" si="1"/>
        <v>17</v>
      </c>
      <c r="E1022" s="2">
        <f>IFERROR(__xludf.DUMMYFUNCTION("SPLIT(B1022,""/"")"),8.0)</f>
        <v>8</v>
      </c>
      <c r="F1022" s="2">
        <f>IFERROR(__xludf.DUMMYFUNCTION("""COMPUTED_VALUE"""),9.0)</f>
        <v>9</v>
      </c>
      <c r="G1022" s="2">
        <f>IFERROR(__xludf.DUMMYFUNCTION("""COMPUTED_VALUE"""),2024.0)</f>
        <v>2024</v>
      </c>
      <c r="H1022" s="2" t="str">
        <f t="shared" si="2"/>
        <v>2024/9/8</v>
      </c>
      <c r="I1022" s="2" t="s">
        <v>1588</v>
      </c>
      <c r="J1022" s="2" t="str">
        <f t="shared" si="3"/>
        <v>Es Kopi Susu</v>
      </c>
      <c r="K1022" s="7">
        <f>if(RIGHT(I1022,5)="2 pcs",2,Data!I1022)</f>
        <v>1</v>
      </c>
      <c r="L1022" s="2" t="str">
        <f t="shared" si="4"/>
        <v>Sunday</v>
      </c>
      <c r="M1022" s="2" t="str">
        <f t="shared" si="5"/>
        <v>8</v>
      </c>
      <c r="N1022" s="2">
        <f>VLOOKUP(L1022,'Data Info'!$A$1:$B$8,2,0)</f>
        <v>7</v>
      </c>
      <c r="O1022" s="2" t="str">
        <f>VLOOKUP(L1022,'Data Info'!$A$1:$C$8,3,0)</f>
        <v>Weekend</v>
      </c>
    </row>
    <row r="1023">
      <c r="A1023" s="4">
        <v>45543.725</v>
      </c>
      <c r="B1023" s="9">
        <f>IFERROR(__xludf.DUMMYFUNCTION("SPLIT(A1023,"" "")"),45543.0)</f>
        <v>45543</v>
      </c>
      <c r="C1023" s="10">
        <f>IFERROR(__xludf.DUMMYFUNCTION("""COMPUTED_VALUE"""),0.725)</f>
        <v>0.725</v>
      </c>
      <c r="D1023" s="2">
        <f t="shared" si="1"/>
        <v>17</v>
      </c>
      <c r="E1023" s="2">
        <f>IFERROR(__xludf.DUMMYFUNCTION("SPLIT(B1023,""/"")"),8.0)</f>
        <v>8</v>
      </c>
      <c r="F1023" s="2">
        <f>IFERROR(__xludf.DUMMYFUNCTION("""COMPUTED_VALUE"""),9.0)</f>
        <v>9</v>
      </c>
      <c r="G1023" s="2">
        <f>IFERROR(__xludf.DUMMYFUNCTION("""COMPUTED_VALUE"""),2024.0)</f>
        <v>2024</v>
      </c>
      <c r="H1023" s="2" t="str">
        <f t="shared" si="2"/>
        <v>2024/9/8</v>
      </c>
      <c r="I1023" s="2" t="s">
        <v>1598</v>
      </c>
      <c r="J1023" s="2" t="str">
        <f t="shared" si="3"/>
        <v>Korean Strawberry Fresh Milk</v>
      </c>
      <c r="K1023" s="7">
        <f>if(RIGHT(I1023,5)="2 pcs",2,Data!I1023)</f>
        <v>1</v>
      </c>
      <c r="L1023" s="2" t="str">
        <f t="shared" si="4"/>
        <v>Sunday</v>
      </c>
      <c r="M1023" s="2" t="str">
        <f t="shared" si="5"/>
        <v>8</v>
      </c>
      <c r="N1023" s="2">
        <f>VLOOKUP(L1023,'Data Info'!$A$1:$B$8,2,0)</f>
        <v>7</v>
      </c>
      <c r="O1023" s="2" t="str">
        <f>VLOOKUP(L1023,'Data Info'!$A$1:$C$8,3,0)</f>
        <v>Weekend</v>
      </c>
    </row>
    <row r="1024">
      <c r="A1024" s="4">
        <v>45543.725</v>
      </c>
      <c r="B1024" s="9">
        <f>IFERROR(__xludf.DUMMYFUNCTION("SPLIT(A1024,"" "")"),45543.0)</f>
        <v>45543</v>
      </c>
      <c r="C1024" s="10">
        <f>IFERROR(__xludf.DUMMYFUNCTION("""COMPUTED_VALUE"""),0.725)</f>
        <v>0.725</v>
      </c>
      <c r="D1024" s="2">
        <f t="shared" si="1"/>
        <v>17</v>
      </c>
      <c r="E1024" s="2">
        <f>IFERROR(__xludf.DUMMYFUNCTION("SPLIT(B1024,""/"")"),8.0)</f>
        <v>8</v>
      </c>
      <c r="F1024" s="2">
        <f>IFERROR(__xludf.DUMMYFUNCTION("""COMPUTED_VALUE"""),9.0)</f>
        <v>9</v>
      </c>
      <c r="G1024" s="2">
        <f>IFERROR(__xludf.DUMMYFUNCTION("""COMPUTED_VALUE"""),2024.0)</f>
        <v>2024</v>
      </c>
      <c r="H1024" s="2" t="str">
        <f t="shared" si="2"/>
        <v>2024/9/8</v>
      </c>
      <c r="I1024" s="2" t="s">
        <v>1609</v>
      </c>
      <c r="J1024" s="2" t="str">
        <f t="shared" si="3"/>
        <v>Tempe Mendoan</v>
      </c>
      <c r="K1024" s="7">
        <f>if(RIGHT(I1024,5)="2 pcs",2,Data!I1024)</f>
        <v>1</v>
      </c>
      <c r="L1024" s="2" t="str">
        <f t="shared" si="4"/>
        <v>Sunday</v>
      </c>
      <c r="M1024" s="2" t="str">
        <f t="shared" si="5"/>
        <v>8</v>
      </c>
      <c r="N1024" s="2">
        <f>VLOOKUP(L1024,'Data Info'!$A$1:$B$8,2,0)</f>
        <v>7</v>
      </c>
      <c r="O1024" s="2" t="str">
        <f>VLOOKUP(L1024,'Data Info'!$A$1:$C$8,3,0)</f>
        <v>Weekend</v>
      </c>
    </row>
    <row r="1025">
      <c r="A1025" s="4">
        <v>45543.722916666666</v>
      </c>
      <c r="B1025" s="9">
        <f>IFERROR(__xludf.DUMMYFUNCTION("SPLIT(A1025,"" "")"),45543.0)</f>
        <v>45543</v>
      </c>
      <c r="C1025" s="10">
        <f>IFERROR(__xludf.DUMMYFUNCTION("""COMPUTED_VALUE"""),0.7229166666666667)</f>
        <v>0.7229166667</v>
      </c>
      <c r="D1025" s="2">
        <f t="shared" si="1"/>
        <v>17</v>
      </c>
      <c r="E1025" s="2">
        <f>IFERROR(__xludf.DUMMYFUNCTION("SPLIT(B1025,""/"")"),8.0)</f>
        <v>8</v>
      </c>
      <c r="F1025" s="2">
        <f>IFERROR(__xludf.DUMMYFUNCTION("""COMPUTED_VALUE"""),9.0)</f>
        <v>9</v>
      </c>
      <c r="G1025" s="2">
        <f>IFERROR(__xludf.DUMMYFUNCTION("""COMPUTED_VALUE"""),2024.0)</f>
        <v>2024</v>
      </c>
      <c r="H1025" s="2" t="str">
        <f t="shared" si="2"/>
        <v>2024/9/8</v>
      </c>
      <c r="I1025" s="2" t="s">
        <v>1623</v>
      </c>
      <c r="J1025" s="2" t="str">
        <f t="shared" si="3"/>
        <v>Roti Tawar Susu</v>
      </c>
      <c r="K1025" s="7">
        <f>if(RIGHT(I1025,5)="2 pcs",2,Data!I1025)</f>
        <v>1</v>
      </c>
      <c r="L1025" s="2" t="str">
        <f t="shared" si="4"/>
        <v>Sunday</v>
      </c>
      <c r="M1025" s="2" t="str">
        <f t="shared" si="5"/>
        <v>8</v>
      </c>
      <c r="N1025" s="2">
        <f>VLOOKUP(L1025,'Data Info'!$A$1:$B$8,2,0)</f>
        <v>7</v>
      </c>
      <c r="O1025" s="2" t="str">
        <f>VLOOKUP(L1025,'Data Info'!$A$1:$C$8,3,0)</f>
        <v>Weekend</v>
      </c>
    </row>
    <row r="1026">
      <c r="A1026" s="4">
        <v>45543.72222222222</v>
      </c>
      <c r="B1026" s="9">
        <f>IFERROR(__xludf.DUMMYFUNCTION("SPLIT(A1026,"" "")"),45543.0)</f>
        <v>45543</v>
      </c>
      <c r="C1026" s="10">
        <f>IFERROR(__xludf.DUMMYFUNCTION("""COMPUTED_VALUE"""),0.7222222222222222)</f>
        <v>0.7222222222</v>
      </c>
      <c r="D1026" s="2">
        <f t="shared" si="1"/>
        <v>17</v>
      </c>
      <c r="E1026" s="2">
        <f>IFERROR(__xludf.DUMMYFUNCTION("SPLIT(B1026,""/"")"),8.0)</f>
        <v>8</v>
      </c>
      <c r="F1026" s="2">
        <f>IFERROR(__xludf.DUMMYFUNCTION("""COMPUTED_VALUE"""),9.0)</f>
        <v>9</v>
      </c>
      <c r="G1026" s="2">
        <f>IFERROR(__xludf.DUMMYFUNCTION("""COMPUTED_VALUE"""),2024.0)</f>
        <v>2024</v>
      </c>
      <c r="H1026" s="2" t="str">
        <f t="shared" si="2"/>
        <v>2024/9/8</v>
      </c>
      <c r="I1026" s="2" t="s">
        <v>1607</v>
      </c>
      <c r="J1026" s="2" t="str">
        <f t="shared" si="3"/>
        <v>Tahu walik</v>
      </c>
      <c r="K1026" s="7">
        <f>if(RIGHT(I1026,5)="2 pcs",2,Data!I1026)</f>
        <v>1</v>
      </c>
      <c r="L1026" s="2" t="str">
        <f t="shared" si="4"/>
        <v>Sunday</v>
      </c>
      <c r="M1026" s="2" t="str">
        <f t="shared" si="5"/>
        <v>8</v>
      </c>
      <c r="N1026" s="2">
        <f>VLOOKUP(L1026,'Data Info'!$A$1:$B$8,2,0)</f>
        <v>7</v>
      </c>
      <c r="O1026" s="2" t="str">
        <f>VLOOKUP(L1026,'Data Info'!$A$1:$C$8,3,0)</f>
        <v>Weekend</v>
      </c>
    </row>
    <row r="1027">
      <c r="A1027" s="4">
        <v>45543.72222222222</v>
      </c>
      <c r="B1027" s="9">
        <f>IFERROR(__xludf.DUMMYFUNCTION("SPLIT(A1027,"" "")"),45543.0)</f>
        <v>45543</v>
      </c>
      <c r="C1027" s="10">
        <f>IFERROR(__xludf.DUMMYFUNCTION("""COMPUTED_VALUE"""),0.7222222222222222)</f>
        <v>0.7222222222</v>
      </c>
      <c r="D1027" s="2">
        <f t="shared" si="1"/>
        <v>17</v>
      </c>
      <c r="E1027" s="2">
        <f>IFERROR(__xludf.DUMMYFUNCTION("SPLIT(B1027,""/"")"),8.0)</f>
        <v>8</v>
      </c>
      <c r="F1027" s="2">
        <f>IFERROR(__xludf.DUMMYFUNCTION("""COMPUTED_VALUE"""),9.0)</f>
        <v>9</v>
      </c>
      <c r="G1027" s="2">
        <f>IFERROR(__xludf.DUMMYFUNCTION("""COMPUTED_VALUE"""),2024.0)</f>
        <v>2024</v>
      </c>
      <c r="H1027" s="2" t="str">
        <f t="shared" si="2"/>
        <v>2024/9/8</v>
      </c>
      <c r="I1027" s="2" t="s">
        <v>1603</v>
      </c>
      <c r="J1027" s="2" t="str">
        <f t="shared" si="3"/>
        <v>Nasi Goreng Temu</v>
      </c>
      <c r="K1027" s="7">
        <f>if(RIGHT(I1027,5)="2 pcs",2,Data!I1027)</f>
        <v>1</v>
      </c>
      <c r="L1027" s="2" t="str">
        <f t="shared" si="4"/>
        <v>Sunday</v>
      </c>
      <c r="M1027" s="2" t="str">
        <f t="shared" si="5"/>
        <v>8</v>
      </c>
      <c r="N1027" s="2">
        <f>VLOOKUP(L1027,'Data Info'!$A$1:$B$8,2,0)</f>
        <v>7</v>
      </c>
      <c r="O1027" s="2" t="str">
        <f>VLOOKUP(L1027,'Data Info'!$A$1:$C$8,3,0)</f>
        <v>Weekend</v>
      </c>
    </row>
    <row r="1028">
      <c r="A1028" s="4">
        <v>45543.72222222222</v>
      </c>
      <c r="B1028" s="9">
        <f>IFERROR(__xludf.DUMMYFUNCTION("SPLIT(A1028,"" "")"),45543.0)</f>
        <v>45543</v>
      </c>
      <c r="C1028" s="10">
        <f>IFERROR(__xludf.DUMMYFUNCTION("""COMPUTED_VALUE"""),0.7222222222222222)</f>
        <v>0.7222222222</v>
      </c>
      <c r="D1028" s="2">
        <f t="shared" si="1"/>
        <v>17</v>
      </c>
      <c r="E1028" s="2">
        <f>IFERROR(__xludf.DUMMYFUNCTION("SPLIT(B1028,""/"")"),8.0)</f>
        <v>8</v>
      </c>
      <c r="F1028" s="2">
        <f>IFERROR(__xludf.DUMMYFUNCTION("""COMPUTED_VALUE"""),9.0)</f>
        <v>9</v>
      </c>
      <c r="G1028" s="2">
        <f>IFERROR(__xludf.DUMMYFUNCTION("""COMPUTED_VALUE"""),2024.0)</f>
        <v>2024</v>
      </c>
      <c r="H1028" s="2" t="str">
        <f t="shared" si="2"/>
        <v>2024/9/8</v>
      </c>
      <c r="I1028" s="2" t="s">
        <v>1589</v>
      </c>
      <c r="J1028" s="2" t="str">
        <f t="shared" si="3"/>
        <v>Teh Manis Dingin</v>
      </c>
      <c r="K1028" s="7">
        <f>if(RIGHT(I1028,5)="2 pcs",2,Data!I1028)</f>
        <v>1</v>
      </c>
      <c r="L1028" s="2" t="str">
        <f t="shared" si="4"/>
        <v>Sunday</v>
      </c>
      <c r="M1028" s="2" t="str">
        <f t="shared" si="5"/>
        <v>8</v>
      </c>
      <c r="N1028" s="2">
        <f>VLOOKUP(L1028,'Data Info'!$A$1:$B$8,2,0)</f>
        <v>7</v>
      </c>
      <c r="O1028" s="2" t="str">
        <f>VLOOKUP(L1028,'Data Info'!$A$1:$C$8,3,0)</f>
        <v>Weekend</v>
      </c>
    </row>
    <row r="1029">
      <c r="A1029" s="4">
        <v>45543.72222222222</v>
      </c>
      <c r="B1029" s="9">
        <f>IFERROR(__xludf.DUMMYFUNCTION("SPLIT(A1029,"" "")"),45543.0)</f>
        <v>45543</v>
      </c>
      <c r="C1029" s="10">
        <f>IFERROR(__xludf.DUMMYFUNCTION("""COMPUTED_VALUE"""),0.7222222222222222)</f>
        <v>0.7222222222</v>
      </c>
      <c r="D1029" s="2">
        <f t="shared" si="1"/>
        <v>17</v>
      </c>
      <c r="E1029" s="2">
        <f>IFERROR(__xludf.DUMMYFUNCTION("SPLIT(B1029,""/"")"),8.0)</f>
        <v>8</v>
      </c>
      <c r="F1029" s="2">
        <f>IFERROR(__xludf.DUMMYFUNCTION("""COMPUTED_VALUE"""),9.0)</f>
        <v>9</v>
      </c>
      <c r="G1029" s="2">
        <f>IFERROR(__xludf.DUMMYFUNCTION("""COMPUTED_VALUE"""),2024.0)</f>
        <v>2024</v>
      </c>
      <c r="H1029" s="2" t="str">
        <f t="shared" si="2"/>
        <v>2024/9/8</v>
      </c>
      <c r="I1029" s="2" t="s">
        <v>1579</v>
      </c>
      <c r="J1029" s="2" t="str">
        <f t="shared" si="3"/>
        <v>Tahu baso</v>
      </c>
      <c r="K1029" s="7">
        <f>if(RIGHT(I1029,5)="2 pcs",2,Data!I1029)</f>
        <v>1</v>
      </c>
      <c r="L1029" s="2" t="str">
        <f t="shared" si="4"/>
        <v>Sunday</v>
      </c>
      <c r="M1029" s="2" t="str">
        <f t="shared" si="5"/>
        <v>8</v>
      </c>
      <c r="N1029" s="2">
        <f>VLOOKUP(L1029,'Data Info'!$A$1:$B$8,2,0)</f>
        <v>7</v>
      </c>
      <c r="O1029" s="2" t="str">
        <f>VLOOKUP(L1029,'Data Info'!$A$1:$C$8,3,0)</f>
        <v>Weekend</v>
      </c>
    </row>
    <row r="1030">
      <c r="A1030" s="4">
        <v>45543.72222222222</v>
      </c>
      <c r="B1030" s="9">
        <f>IFERROR(__xludf.DUMMYFUNCTION("SPLIT(A1030,"" "")"),45543.0)</f>
        <v>45543</v>
      </c>
      <c r="C1030" s="10">
        <f>IFERROR(__xludf.DUMMYFUNCTION("""COMPUTED_VALUE"""),0.7222222222222222)</f>
        <v>0.7222222222</v>
      </c>
      <c r="D1030" s="2">
        <f t="shared" si="1"/>
        <v>17</v>
      </c>
      <c r="E1030" s="2">
        <f>IFERROR(__xludf.DUMMYFUNCTION("SPLIT(B1030,""/"")"),8.0)</f>
        <v>8</v>
      </c>
      <c r="F1030" s="2">
        <f>IFERROR(__xludf.DUMMYFUNCTION("""COMPUTED_VALUE"""),9.0)</f>
        <v>9</v>
      </c>
      <c r="G1030" s="2">
        <f>IFERROR(__xludf.DUMMYFUNCTION("""COMPUTED_VALUE"""),2024.0)</f>
        <v>2024</v>
      </c>
      <c r="H1030" s="2" t="str">
        <f t="shared" si="2"/>
        <v>2024/9/8</v>
      </c>
      <c r="I1030" s="2" t="s">
        <v>1601</v>
      </c>
      <c r="J1030" s="2" t="str">
        <f t="shared" si="3"/>
        <v>Gula Asam Dingin</v>
      </c>
      <c r="K1030" s="7">
        <f>if(RIGHT(I1030,5)="2 pcs",2,Data!I1030)</f>
        <v>1</v>
      </c>
      <c r="L1030" s="2" t="str">
        <f t="shared" si="4"/>
        <v>Sunday</v>
      </c>
      <c r="M1030" s="2" t="str">
        <f t="shared" si="5"/>
        <v>8</v>
      </c>
      <c r="N1030" s="2">
        <f>VLOOKUP(L1030,'Data Info'!$A$1:$B$8,2,0)</f>
        <v>7</v>
      </c>
      <c r="O1030" s="2" t="str">
        <f>VLOOKUP(L1030,'Data Info'!$A$1:$C$8,3,0)</f>
        <v>Weekend</v>
      </c>
    </row>
    <row r="1031">
      <c r="A1031" s="4">
        <v>45543.72152777778</v>
      </c>
      <c r="B1031" s="9">
        <f>IFERROR(__xludf.DUMMYFUNCTION("SPLIT(A1031,"" "")"),45543.0)</f>
        <v>45543</v>
      </c>
      <c r="C1031" s="10">
        <f>IFERROR(__xludf.DUMMYFUNCTION("""COMPUTED_VALUE"""),0.7215277777777778)</f>
        <v>0.7215277778</v>
      </c>
      <c r="D1031" s="2">
        <f t="shared" si="1"/>
        <v>17</v>
      </c>
      <c r="E1031" s="2">
        <f>IFERROR(__xludf.DUMMYFUNCTION("SPLIT(B1031,""/"")"),8.0)</f>
        <v>8</v>
      </c>
      <c r="F1031" s="2">
        <f>IFERROR(__xludf.DUMMYFUNCTION("""COMPUTED_VALUE"""),9.0)</f>
        <v>9</v>
      </c>
      <c r="G1031" s="2">
        <f>IFERROR(__xludf.DUMMYFUNCTION("""COMPUTED_VALUE"""),2024.0)</f>
        <v>2024</v>
      </c>
      <c r="H1031" s="2" t="str">
        <f t="shared" si="2"/>
        <v>2024/9/8</v>
      </c>
      <c r="I1031" s="2" t="s">
        <v>1612</v>
      </c>
      <c r="J1031" s="2" t="str">
        <f t="shared" si="3"/>
        <v>Nasi telor</v>
      </c>
      <c r="K1031" s="7">
        <f>if(RIGHT(I1031,5)="2 pcs",2,Data!I1031)</f>
        <v>1</v>
      </c>
      <c r="L1031" s="2" t="str">
        <f t="shared" si="4"/>
        <v>Sunday</v>
      </c>
      <c r="M1031" s="2" t="str">
        <f t="shared" si="5"/>
        <v>8</v>
      </c>
      <c r="N1031" s="2">
        <f>VLOOKUP(L1031,'Data Info'!$A$1:$B$8,2,0)</f>
        <v>7</v>
      </c>
      <c r="O1031" s="2" t="str">
        <f>VLOOKUP(L1031,'Data Info'!$A$1:$C$8,3,0)</f>
        <v>Weekend</v>
      </c>
    </row>
    <row r="1032">
      <c r="A1032" s="4">
        <v>45543.71666666667</v>
      </c>
      <c r="B1032" s="9">
        <f>IFERROR(__xludf.DUMMYFUNCTION("SPLIT(A1032,"" "")"),45543.0)</f>
        <v>45543</v>
      </c>
      <c r="C1032" s="10">
        <f>IFERROR(__xludf.DUMMYFUNCTION("""COMPUTED_VALUE"""),0.7166666666666667)</f>
        <v>0.7166666667</v>
      </c>
      <c r="D1032" s="2">
        <f t="shared" si="1"/>
        <v>17</v>
      </c>
      <c r="E1032" s="2">
        <f>IFERROR(__xludf.DUMMYFUNCTION("SPLIT(B1032,""/"")"),8.0)</f>
        <v>8</v>
      </c>
      <c r="F1032" s="2">
        <f>IFERROR(__xludf.DUMMYFUNCTION("""COMPUTED_VALUE"""),9.0)</f>
        <v>9</v>
      </c>
      <c r="G1032" s="2">
        <f>IFERROR(__xludf.DUMMYFUNCTION("""COMPUTED_VALUE"""),2024.0)</f>
        <v>2024</v>
      </c>
      <c r="H1032" s="2" t="str">
        <f t="shared" si="2"/>
        <v>2024/9/8</v>
      </c>
      <c r="I1032" s="2" t="s">
        <v>1566</v>
      </c>
      <c r="J1032" s="2" t="str">
        <f t="shared" si="3"/>
        <v>Roti Bawang Saus Keju</v>
      </c>
      <c r="K1032" s="7">
        <f>if(RIGHT(I1032,5)="2 pcs",2,Data!I1032)</f>
        <v>-1</v>
      </c>
      <c r="L1032" s="2" t="str">
        <f t="shared" si="4"/>
        <v>Sunday</v>
      </c>
      <c r="M1032" s="2" t="str">
        <f t="shared" si="5"/>
        <v>8</v>
      </c>
      <c r="N1032" s="2">
        <f>VLOOKUP(L1032,'Data Info'!$A$1:$B$8,2,0)</f>
        <v>7</v>
      </c>
      <c r="O1032" s="2" t="str">
        <f>VLOOKUP(L1032,'Data Info'!$A$1:$C$8,3,0)</f>
        <v>Weekend</v>
      </c>
    </row>
    <row r="1033">
      <c r="A1033" s="4">
        <v>45543.71666666667</v>
      </c>
      <c r="B1033" s="9">
        <f>IFERROR(__xludf.DUMMYFUNCTION("SPLIT(A1033,"" "")"),45543.0)</f>
        <v>45543</v>
      </c>
      <c r="C1033" s="10">
        <f>IFERROR(__xludf.DUMMYFUNCTION("""COMPUTED_VALUE"""),0.7166666666666667)</f>
        <v>0.7166666667</v>
      </c>
      <c r="D1033" s="2">
        <f t="shared" si="1"/>
        <v>17</v>
      </c>
      <c r="E1033" s="2">
        <f>IFERROR(__xludf.DUMMYFUNCTION("SPLIT(B1033,""/"")"),8.0)</f>
        <v>8</v>
      </c>
      <c r="F1033" s="2">
        <f>IFERROR(__xludf.DUMMYFUNCTION("""COMPUTED_VALUE"""),9.0)</f>
        <v>9</v>
      </c>
      <c r="G1033" s="2">
        <f>IFERROR(__xludf.DUMMYFUNCTION("""COMPUTED_VALUE"""),2024.0)</f>
        <v>2024</v>
      </c>
      <c r="H1033" s="2" t="str">
        <f t="shared" si="2"/>
        <v>2024/9/8</v>
      </c>
      <c r="I1033" s="2" t="s">
        <v>1576</v>
      </c>
      <c r="J1033" s="2" t="str">
        <f t="shared" si="3"/>
        <v>Roti Cranberry</v>
      </c>
      <c r="K1033" s="7">
        <f>if(RIGHT(I1033,5)="2 pcs",2,Data!I1033)</f>
        <v>-1</v>
      </c>
      <c r="L1033" s="2" t="str">
        <f t="shared" si="4"/>
        <v>Sunday</v>
      </c>
      <c r="M1033" s="2" t="str">
        <f t="shared" si="5"/>
        <v>8</v>
      </c>
      <c r="N1033" s="2">
        <f>VLOOKUP(L1033,'Data Info'!$A$1:$B$8,2,0)</f>
        <v>7</v>
      </c>
      <c r="O1033" s="2" t="str">
        <f>VLOOKUP(L1033,'Data Info'!$A$1:$C$8,3,0)</f>
        <v>Weekend</v>
      </c>
    </row>
    <row r="1034">
      <c r="A1034" s="4">
        <v>45543.71597222222</v>
      </c>
      <c r="B1034" s="9">
        <f>IFERROR(__xludf.DUMMYFUNCTION("SPLIT(A1034,"" "")"),45543.0)</f>
        <v>45543</v>
      </c>
      <c r="C1034" s="10">
        <f>IFERROR(__xludf.DUMMYFUNCTION("""COMPUTED_VALUE"""),0.7159722222222222)</f>
        <v>0.7159722222</v>
      </c>
      <c r="D1034" s="2">
        <f t="shared" si="1"/>
        <v>17</v>
      </c>
      <c r="E1034" s="2">
        <f>IFERROR(__xludf.DUMMYFUNCTION("SPLIT(B1034,""/"")"),8.0)</f>
        <v>8</v>
      </c>
      <c r="F1034" s="2">
        <f>IFERROR(__xludf.DUMMYFUNCTION("""COMPUTED_VALUE"""),9.0)</f>
        <v>9</v>
      </c>
      <c r="G1034" s="2">
        <f>IFERROR(__xludf.DUMMYFUNCTION("""COMPUTED_VALUE"""),2024.0)</f>
        <v>2024</v>
      </c>
      <c r="H1034" s="2" t="str">
        <f t="shared" si="2"/>
        <v>2024/9/8</v>
      </c>
      <c r="I1034" s="2" t="s">
        <v>1588</v>
      </c>
      <c r="J1034" s="2" t="str">
        <f t="shared" si="3"/>
        <v>Es Kopi Susu</v>
      </c>
      <c r="K1034" s="7">
        <f>if(RIGHT(I1034,5)="2 pcs",2,Data!I1034)</f>
        <v>1</v>
      </c>
      <c r="L1034" s="2" t="str">
        <f t="shared" si="4"/>
        <v>Sunday</v>
      </c>
      <c r="M1034" s="2" t="str">
        <f t="shared" si="5"/>
        <v>8</v>
      </c>
      <c r="N1034" s="2">
        <f>VLOOKUP(L1034,'Data Info'!$A$1:$B$8,2,0)</f>
        <v>7</v>
      </c>
      <c r="O1034" s="2" t="str">
        <f>VLOOKUP(L1034,'Data Info'!$A$1:$C$8,3,0)</f>
        <v>Weekend</v>
      </c>
    </row>
    <row r="1035">
      <c r="A1035" s="4">
        <v>45543.71597222222</v>
      </c>
      <c r="B1035" s="9">
        <f>IFERROR(__xludf.DUMMYFUNCTION("SPLIT(A1035,"" "")"),45543.0)</f>
        <v>45543</v>
      </c>
      <c r="C1035" s="10">
        <f>IFERROR(__xludf.DUMMYFUNCTION("""COMPUTED_VALUE"""),0.7159722222222222)</f>
        <v>0.7159722222</v>
      </c>
      <c r="D1035" s="2">
        <f t="shared" si="1"/>
        <v>17</v>
      </c>
      <c r="E1035" s="2">
        <f>IFERROR(__xludf.DUMMYFUNCTION("SPLIT(B1035,""/"")"),8.0)</f>
        <v>8</v>
      </c>
      <c r="F1035" s="2">
        <f>IFERROR(__xludf.DUMMYFUNCTION("""COMPUTED_VALUE"""),9.0)</f>
        <v>9</v>
      </c>
      <c r="G1035" s="2">
        <f>IFERROR(__xludf.DUMMYFUNCTION("""COMPUTED_VALUE"""),2024.0)</f>
        <v>2024</v>
      </c>
      <c r="H1035" s="2" t="str">
        <f t="shared" si="2"/>
        <v>2024/9/8</v>
      </c>
      <c r="I1035" s="2" t="s">
        <v>1615</v>
      </c>
      <c r="J1035" s="2" t="str">
        <f t="shared" si="3"/>
        <v>Roti panggang sarikaya</v>
      </c>
      <c r="K1035" s="7">
        <f>if(RIGHT(I1035,5)="2 pcs",2,Data!I1035)</f>
        <v>1</v>
      </c>
      <c r="L1035" s="2" t="str">
        <f t="shared" si="4"/>
        <v>Sunday</v>
      </c>
      <c r="M1035" s="2" t="str">
        <f t="shared" si="5"/>
        <v>8</v>
      </c>
      <c r="N1035" s="2">
        <f>VLOOKUP(L1035,'Data Info'!$A$1:$B$8,2,0)</f>
        <v>7</v>
      </c>
      <c r="O1035" s="2" t="str">
        <f>VLOOKUP(L1035,'Data Info'!$A$1:$C$8,3,0)</f>
        <v>Weekend</v>
      </c>
    </row>
    <row r="1036">
      <c r="A1036" s="4">
        <v>45543.71597222222</v>
      </c>
      <c r="B1036" s="9">
        <f>IFERROR(__xludf.DUMMYFUNCTION("SPLIT(A1036,"" "")"),45543.0)</f>
        <v>45543</v>
      </c>
      <c r="C1036" s="10">
        <f>IFERROR(__xludf.DUMMYFUNCTION("""COMPUTED_VALUE"""),0.7159722222222222)</f>
        <v>0.7159722222</v>
      </c>
      <c r="D1036" s="2">
        <f t="shared" si="1"/>
        <v>17</v>
      </c>
      <c r="E1036" s="2">
        <f>IFERROR(__xludf.DUMMYFUNCTION("SPLIT(B1036,""/"")"),8.0)</f>
        <v>8</v>
      </c>
      <c r="F1036" s="2">
        <f>IFERROR(__xludf.DUMMYFUNCTION("""COMPUTED_VALUE"""),9.0)</f>
        <v>9</v>
      </c>
      <c r="G1036" s="2">
        <f>IFERROR(__xludf.DUMMYFUNCTION("""COMPUTED_VALUE"""),2024.0)</f>
        <v>2024</v>
      </c>
      <c r="H1036" s="2" t="str">
        <f t="shared" si="2"/>
        <v>2024/9/8</v>
      </c>
      <c r="I1036" s="2" t="s">
        <v>1605</v>
      </c>
      <c r="J1036" s="2" t="str">
        <f t="shared" si="3"/>
        <v>Kentang Goreng</v>
      </c>
      <c r="K1036" s="7">
        <f>if(RIGHT(I1036,5)="2 pcs",2,Data!I1036)</f>
        <v>1</v>
      </c>
      <c r="L1036" s="2" t="str">
        <f t="shared" si="4"/>
        <v>Sunday</v>
      </c>
      <c r="M1036" s="2" t="str">
        <f t="shared" si="5"/>
        <v>8</v>
      </c>
      <c r="N1036" s="2">
        <f>VLOOKUP(L1036,'Data Info'!$A$1:$B$8,2,0)</f>
        <v>7</v>
      </c>
      <c r="O1036" s="2" t="str">
        <f>VLOOKUP(L1036,'Data Info'!$A$1:$C$8,3,0)</f>
        <v>Weekend</v>
      </c>
    </row>
    <row r="1037">
      <c r="A1037" s="4">
        <v>45543.71319444444</v>
      </c>
      <c r="B1037" s="9">
        <f>IFERROR(__xludf.DUMMYFUNCTION("SPLIT(A1037,"" "")"),45543.0)</f>
        <v>45543</v>
      </c>
      <c r="C1037" s="10">
        <f>IFERROR(__xludf.DUMMYFUNCTION("""COMPUTED_VALUE"""),0.7131944444444445)</f>
        <v>0.7131944444</v>
      </c>
      <c r="D1037" s="2">
        <f t="shared" si="1"/>
        <v>17</v>
      </c>
      <c r="E1037" s="2">
        <f>IFERROR(__xludf.DUMMYFUNCTION("SPLIT(B1037,""/"")"),8.0)</f>
        <v>8</v>
      </c>
      <c r="F1037" s="2">
        <f>IFERROR(__xludf.DUMMYFUNCTION("""COMPUTED_VALUE"""),9.0)</f>
        <v>9</v>
      </c>
      <c r="G1037" s="2">
        <f>IFERROR(__xludf.DUMMYFUNCTION("""COMPUTED_VALUE"""),2024.0)</f>
        <v>2024</v>
      </c>
      <c r="H1037" s="2" t="str">
        <f t="shared" si="2"/>
        <v>2024/9/8</v>
      </c>
      <c r="I1037" s="2" t="s">
        <v>1616</v>
      </c>
      <c r="J1037" s="2" t="str">
        <f t="shared" si="3"/>
        <v>Roti panggang coklat</v>
      </c>
      <c r="K1037" s="7">
        <f>if(RIGHT(I1037,5)="2 pcs",2,Data!I1037)</f>
        <v>3</v>
      </c>
      <c r="L1037" s="2" t="str">
        <f t="shared" si="4"/>
        <v>Sunday</v>
      </c>
      <c r="M1037" s="2" t="str">
        <f t="shared" si="5"/>
        <v>8</v>
      </c>
      <c r="N1037" s="2">
        <f>VLOOKUP(L1037,'Data Info'!$A$1:$B$8,2,0)</f>
        <v>7</v>
      </c>
      <c r="O1037" s="2" t="str">
        <f>VLOOKUP(L1037,'Data Info'!$A$1:$C$8,3,0)</f>
        <v>Weekend</v>
      </c>
    </row>
    <row r="1038">
      <c r="A1038" s="4">
        <v>45543.711805555555</v>
      </c>
      <c r="B1038" s="9">
        <f>IFERROR(__xludf.DUMMYFUNCTION("SPLIT(A1038,"" "")"),45543.0)</f>
        <v>45543</v>
      </c>
      <c r="C1038" s="10">
        <f>IFERROR(__xludf.DUMMYFUNCTION("""COMPUTED_VALUE"""),0.7118055555555556)</f>
        <v>0.7118055556</v>
      </c>
      <c r="D1038" s="2">
        <f t="shared" si="1"/>
        <v>17</v>
      </c>
      <c r="E1038" s="2">
        <f>IFERROR(__xludf.DUMMYFUNCTION("SPLIT(B1038,""/"")"),8.0)</f>
        <v>8</v>
      </c>
      <c r="F1038" s="2">
        <f>IFERROR(__xludf.DUMMYFUNCTION("""COMPUTED_VALUE"""),9.0)</f>
        <v>9</v>
      </c>
      <c r="G1038" s="2">
        <f>IFERROR(__xludf.DUMMYFUNCTION("""COMPUTED_VALUE"""),2024.0)</f>
        <v>2024</v>
      </c>
      <c r="H1038" s="2" t="str">
        <f t="shared" si="2"/>
        <v>2024/9/8</v>
      </c>
      <c r="I1038" s="2" t="s">
        <v>1566</v>
      </c>
      <c r="J1038" s="2" t="str">
        <f t="shared" si="3"/>
        <v>Roti Bawang Saus Keju</v>
      </c>
      <c r="K1038" s="7">
        <f>if(RIGHT(I1038,5)="2 pcs",2,Data!I1038)</f>
        <v>1</v>
      </c>
      <c r="L1038" s="2" t="str">
        <f t="shared" si="4"/>
        <v>Sunday</v>
      </c>
      <c r="M1038" s="2" t="str">
        <f t="shared" si="5"/>
        <v>8</v>
      </c>
      <c r="N1038" s="2">
        <f>VLOOKUP(L1038,'Data Info'!$A$1:$B$8,2,0)</f>
        <v>7</v>
      </c>
      <c r="O1038" s="2" t="str">
        <f>VLOOKUP(L1038,'Data Info'!$A$1:$C$8,3,0)</f>
        <v>Weekend</v>
      </c>
    </row>
    <row r="1039">
      <c r="A1039" s="4">
        <v>45543.711805555555</v>
      </c>
      <c r="B1039" s="9">
        <f>IFERROR(__xludf.DUMMYFUNCTION("SPLIT(A1039,"" "")"),45543.0)</f>
        <v>45543</v>
      </c>
      <c r="C1039" s="10">
        <f>IFERROR(__xludf.DUMMYFUNCTION("""COMPUTED_VALUE"""),0.7118055555555556)</f>
        <v>0.7118055556</v>
      </c>
      <c r="D1039" s="2">
        <f t="shared" si="1"/>
        <v>17</v>
      </c>
      <c r="E1039" s="2">
        <f>IFERROR(__xludf.DUMMYFUNCTION("SPLIT(B1039,""/"")"),8.0)</f>
        <v>8</v>
      </c>
      <c r="F1039" s="2">
        <f>IFERROR(__xludf.DUMMYFUNCTION("""COMPUTED_VALUE"""),9.0)</f>
        <v>9</v>
      </c>
      <c r="G1039" s="2">
        <f>IFERROR(__xludf.DUMMYFUNCTION("""COMPUTED_VALUE"""),2024.0)</f>
        <v>2024</v>
      </c>
      <c r="H1039" s="2" t="str">
        <f t="shared" si="2"/>
        <v>2024/9/8</v>
      </c>
      <c r="I1039" s="2" t="s">
        <v>1576</v>
      </c>
      <c r="J1039" s="2" t="str">
        <f t="shared" si="3"/>
        <v>Roti Cranberry</v>
      </c>
      <c r="K1039" s="7">
        <f>if(RIGHT(I1039,5)="2 pcs",2,Data!I1039)</f>
        <v>1</v>
      </c>
      <c r="L1039" s="2" t="str">
        <f t="shared" si="4"/>
        <v>Sunday</v>
      </c>
      <c r="M1039" s="2" t="str">
        <f t="shared" si="5"/>
        <v>8</v>
      </c>
      <c r="N1039" s="2">
        <f>VLOOKUP(L1039,'Data Info'!$A$1:$B$8,2,0)</f>
        <v>7</v>
      </c>
      <c r="O1039" s="2" t="str">
        <f>VLOOKUP(L1039,'Data Info'!$A$1:$C$8,3,0)</f>
        <v>Weekend</v>
      </c>
    </row>
    <row r="1040">
      <c r="A1040" s="4">
        <v>45543.705555555556</v>
      </c>
      <c r="B1040" s="9">
        <f>IFERROR(__xludf.DUMMYFUNCTION("SPLIT(A1040,"" "")"),45543.0)</f>
        <v>45543</v>
      </c>
      <c r="C1040" s="10">
        <f>IFERROR(__xludf.DUMMYFUNCTION("""COMPUTED_VALUE"""),0.7055555555555556)</f>
        <v>0.7055555556</v>
      </c>
      <c r="D1040" s="2">
        <f t="shared" si="1"/>
        <v>16</v>
      </c>
      <c r="E1040" s="2">
        <f>IFERROR(__xludf.DUMMYFUNCTION("SPLIT(B1040,""/"")"),8.0)</f>
        <v>8</v>
      </c>
      <c r="F1040" s="2">
        <f>IFERROR(__xludf.DUMMYFUNCTION("""COMPUTED_VALUE"""),9.0)</f>
        <v>9</v>
      </c>
      <c r="G1040" s="2">
        <f>IFERROR(__xludf.DUMMYFUNCTION("""COMPUTED_VALUE"""),2024.0)</f>
        <v>2024</v>
      </c>
      <c r="H1040" s="2" t="str">
        <f t="shared" si="2"/>
        <v>2024/9/8</v>
      </c>
      <c r="I1040" s="2" t="s">
        <v>1600</v>
      </c>
      <c r="J1040" s="2" t="str">
        <f t="shared" si="3"/>
        <v>Chamomile Lemongrass Hot Artisan Tea</v>
      </c>
      <c r="K1040" s="7">
        <f>if(RIGHT(I1040,5)="2 pcs",2,Data!I1040)</f>
        <v>1</v>
      </c>
      <c r="L1040" s="2" t="str">
        <f t="shared" si="4"/>
        <v>Sunday</v>
      </c>
      <c r="M1040" s="2" t="str">
        <f t="shared" si="5"/>
        <v>8</v>
      </c>
      <c r="N1040" s="2">
        <f>VLOOKUP(L1040,'Data Info'!$A$1:$B$8,2,0)</f>
        <v>7</v>
      </c>
      <c r="O1040" s="2" t="str">
        <f>VLOOKUP(L1040,'Data Info'!$A$1:$C$8,3,0)</f>
        <v>Weekend</v>
      </c>
    </row>
    <row r="1041">
      <c r="A1041" s="4">
        <v>45543.705555555556</v>
      </c>
      <c r="B1041" s="9">
        <f>IFERROR(__xludf.DUMMYFUNCTION("SPLIT(A1041,"" "")"),45543.0)</f>
        <v>45543</v>
      </c>
      <c r="C1041" s="10">
        <f>IFERROR(__xludf.DUMMYFUNCTION("""COMPUTED_VALUE"""),0.7055555555555556)</f>
        <v>0.7055555556</v>
      </c>
      <c r="D1041" s="2">
        <f t="shared" si="1"/>
        <v>16</v>
      </c>
      <c r="E1041" s="2">
        <f>IFERROR(__xludf.DUMMYFUNCTION("SPLIT(B1041,""/"")"),8.0)</f>
        <v>8</v>
      </c>
      <c r="F1041" s="2">
        <f>IFERROR(__xludf.DUMMYFUNCTION("""COMPUTED_VALUE"""),9.0)</f>
        <v>9</v>
      </c>
      <c r="G1041" s="2">
        <f>IFERROR(__xludf.DUMMYFUNCTION("""COMPUTED_VALUE"""),2024.0)</f>
        <v>2024</v>
      </c>
      <c r="H1041" s="2" t="str">
        <f t="shared" si="2"/>
        <v>2024/9/8</v>
      </c>
      <c r="I1041" s="2" t="s">
        <v>1607</v>
      </c>
      <c r="J1041" s="2" t="str">
        <f t="shared" si="3"/>
        <v>Tahu walik</v>
      </c>
      <c r="K1041" s="7">
        <f>if(RIGHT(I1041,5)="2 pcs",2,Data!I1041)</f>
        <v>1</v>
      </c>
      <c r="L1041" s="2" t="str">
        <f t="shared" si="4"/>
        <v>Sunday</v>
      </c>
      <c r="M1041" s="2" t="str">
        <f t="shared" si="5"/>
        <v>8</v>
      </c>
      <c r="N1041" s="2">
        <f>VLOOKUP(L1041,'Data Info'!$A$1:$B$8,2,0)</f>
        <v>7</v>
      </c>
      <c r="O1041" s="2" t="str">
        <f>VLOOKUP(L1041,'Data Info'!$A$1:$C$8,3,0)</f>
        <v>Weekend</v>
      </c>
    </row>
    <row r="1042">
      <c r="A1042" s="4">
        <v>45543.68680555555</v>
      </c>
      <c r="B1042" s="9">
        <f>IFERROR(__xludf.DUMMYFUNCTION("SPLIT(A1042,"" "")"),45543.0)</f>
        <v>45543</v>
      </c>
      <c r="C1042" s="10">
        <f>IFERROR(__xludf.DUMMYFUNCTION("""COMPUTED_VALUE"""),0.6868055555555556)</f>
        <v>0.6868055556</v>
      </c>
      <c r="D1042" s="2">
        <f t="shared" si="1"/>
        <v>16</v>
      </c>
      <c r="E1042" s="2">
        <f>IFERROR(__xludf.DUMMYFUNCTION("SPLIT(B1042,""/"")"),8.0)</f>
        <v>8</v>
      </c>
      <c r="F1042" s="2">
        <f>IFERROR(__xludf.DUMMYFUNCTION("""COMPUTED_VALUE"""),9.0)</f>
        <v>9</v>
      </c>
      <c r="G1042" s="2">
        <f>IFERROR(__xludf.DUMMYFUNCTION("""COMPUTED_VALUE"""),2024.0)</f>
        <v>2024</v>
      </c>
      <c r="H1042" s="2" t="str">
        <f t="shared" si="2"/>
        <v>2024/9/8</v>
      </c>
      <c r="I1042" s="2" t="s">
        <v>1566</v>
      </c>
      <c r="J1042" s="2" t="str">
        <f t="shared" si="3"/>
        <v>Roti Bawang Saus Keju</v>
      </c>
      <c r="K1042" s="7">
        <f>if(RIGHT(I1042,5)="2 pcs",2,Data!I1042)</f>
        <v>1</v>
      </c>
      <c r="L1042" s="2" t="str">
        <f t="shared" si="4"/>
        <v>Sunday</v>
      </c>
      <c r="M1042" s="2" t="str">
        <f t="shared" si="5"/>
        <v>8</v>
      </c>
      <c r="N1042" s="2">
        <f>VLOOKUP(L1042,'Data Info'!$A$1:$B$8,2,0)</f>
        <v>7</v>
      </c>
      <c r="O1042" s="2" t="str">
        <f>VLOOKUP(L1042,'Data Info'!$A$1:$C$8,3,0)</f>
        <v>Weekend</v>
      </c>
    </row>
    <row r="1043">
      <c r="A1043" s="4">
        <v>45543.68680555555</v>
      </c>
      <c r="B1043" s="9">
        <f>IFERROR(__xludf.DUMMYFUNCTION("SPLIT(A1043,"" "")"),45543.0)</f>
        <v>45543</v>
      </c>
      <c r="C1043" s="10">
        <f>IFERROR(__xludf.DUMMYFUNCTION("""COMPUTED_VALUE"""),0.6868055555555556)</f>
        <v>0.6868055556</v>
      </c>
      <c r="D1043" s="2">
        <f t="shared" si="1"/>
        <v>16</v>
      </c>
      <c r="E1043" s="2">
        <f>IFERROR(__xludf.DUMMYFUNCTION("SPLIT(B1043,""/"")"),8.0)</f>
        <v>8</v>
      </c>
      <c r="F1043" s="2">
        <f>IFERROR(__xludf.DUMMYFUNCTION("""COMPUTED_VALUE"""),9.0)</f>
        <v>9</v>
      </c>
      <c r="G1043" s="2">
        <f>IFERROR(__xludf.DUMMYFUNCTION("""COMPUTED_VALUE"""),2024.0)</f>
        <v>2024</v>
      </c>
      <c r="H1043" s="2" t="str">
        <f t="shared" si="2"/>
        <v>2024/9/8</v>
      </c>
      <c r="I1043" s="2" t="s">
        <v>1588</v>
      </c>
      <c r="J1043" s="2" t="str">
        <f t="shared" si="3"/>
        <v>Es Kopi Susu</v>
      </c>
      <c r="K1043" s="7">
        <f>if(RIGHT(I1043,5)="2 pcs",2,Data!I1043)</f>
        <v>1</v>
      </c>
      <c r="L1043" s="2" t="str">
        <f t="shared" si="4"/>
        <v>Sunday</v>
      </c>
      <c r="M1043" s="2" t="str">
        <f t="shared" si="5"/>
        <v>8</v>
      </c>
      <c r="N1043" s="2">
        <f>VLOOKUP(L1043,'Data Info'!$A$1:$B$8,2,0)</f>
        <v>7</v>
      </c>
      <c r="O1043" s="2" t="str">
        <f>VLOOKUP(L1043,'Data Info'!$A$1:$C$8,3,0)</f>
        <v>Weekend</v>
      </c>
    </row>
    <row r="1044">
      <c r="A1044" s="4">
        <v>45543.686111111114</v>
      </c>
      <c r="B1044" s="9">
        <f>IFERROR(__xludf.DUMMYFUNCTION("SPLIT(A1044,"" "")"),45543.0)</f>
        <v>45543</v>
      </c>
      <c r="C1044" s="10">
        <f>IFERROR(__xludf.DUMMYFUNCTION("""COMPUTED_VALUE"""),0.6861111111111111)</f>
        <v>0.6861111111</v>
      </c>
      <c r="D1044" s="2">
        <f t="shared" si="1"/>
        <v>16</v>
      </c>
      <c r="E1044" s="2">
        <f>IFERROR(__xludf.DUMMYFUNCTION("SPLIT(B1044,""/"")"),8.0)</f>
        <v>8</v>
      </c>
      <c r="F1044" s="2">
        <f>IFERROR(__xludf.DUMMYFUNCTION("""COMPUTED_VALUE"""),9.0)</f>
        <v>9</v>
      </c>
      <c r="G1044" s="2">
        <f>IFERROR(__xludf.DUMMYFUNCTION("""COMPUTED_VALUE"""),2024.0)</f>
        <v>2024</v>
      </c>
      <c r="H1044" s="2" t="str">
        <f t="shared" si="2"/>
        <v>2024/9/8</v>
      </c>
      <c r="I1044" s="2" t="s">
        <v>1588</v>
      </c>
      <c r="J1044" s="2" t="str">
        <f t="shared" si="3"/>
        <v>Es Kopi Susu</v>
      </c>
      <c r="K1044" s="7">
        <f>if(RIGHT(I1044,5)="2 pcs",2,Data!I1044)</f>
        <v>1</v>
      </c>
      <c r="L1044" s="2" t="str">
        <f t="shared" si="4"/>
        <v>Sunday</v>
      </c>
      <c r="M1044" s="2" t="str">
        <f t="shared" si="5"/>
        <v>8</v>
      </c>
      <c r="N1044" s="2">
        <f>VLOOKUP(L1044,'Data Info'!$A$1:$B$8,2,0)</f>
        <v>7</v>
      </c>
      <c r="O1044" s="2" t="str">
        <f>VLOOKUP(L1044,'Data Info'!$A$1:$C$8,3,0)</f>
        <v>Weekend</v>
      </c>
    </row>
    <row r="1045">
      <c r="A1045" s="4">
        <v>45543.686111111114</v>
      </c>
      <c r="B1045" s="9">
        <f>IFERROR(__xludf.DUMMYFUNCTION("SPLIT(A1045,"" "")"),45543.0)</f>
        <v>45543</v>
      </c>
      <c r="C1045" s="10">
        <f>IFERROR(__xludf.DUMMYFUNCTION("""COMPUTED_VALUE"""),0.6861111111111111)</f>
        <v>0.6861111111</v>
      </c>
      <c r="D1045" s="2">
        <f t="shared" si="1"/>
        <v>16</v>
      </c>
      <c r="E1045" s="2">
        <f>IFERROR(__xludf.DUMMYFUNCTION("SPLIT(B1045,""/"")"),8.0)</f>
        <v>8</v>
      </c>
      <c r="F1045" s="2">
        <f>IFERROR(__xludf.DUMMYFUNCTION("""COMPUTED_VALUE"""),9.0)</f>
        <v>9</v>
      </c>
      <c r="G1045" s="2">
        <f>IFERROR(__xludf.DUMMYFUNCTION("""COMPUTED_VALUE"""),2024.0)</f>
        <v>2024</v>
      </c>
      <c r="H1045" s="2" t="str">
        <f t="shared" si="2"/>
        <v>2024/9/8</v>
      </c>
      <c r="I1045" s="2" t="s">
        <v>1576</v>
      </c>
      <c r="J1045" s="2" t="str">
        <f t="shared" si="3"/>
        <v>Roti Cranberry</v>
      </c>
      <c r="K1045" s="7">
        <f>if(RIGHT(I1045,5)="2 pcs",2,Data!I1045)</f>
        <v>1</v>
      </c>
      <c r="L1045" s="2" t="str">
        <f t="shared" si="4"/>
        <v>Sunday</v>
      </c>
      <c r="M1045" s="2" t="str">
        <f t="shared" si="5"/>
        <v>8</v>
      </c>
      <c r="N1045" s="2">
        <f>VLOOKUP(L1045,'Data Info'!$A$1:$B$8,2,0)</f>
        <v>7</v>
      </c>
      <c r="O1045" s="2" t="str">
        <f>VLOOKUP(L1045,'Data Info'!$A$1:$C$8,3,0)</f>
        <v>Weekend</v>
      </c>
    </row>
    <row r="1046">
      <c r="A1046" s="4">
        <v>45543.683333333334</v>
      </c>
      <c r="B1046" s="9">
        <f>IFERROR(__xludf.DUMMYFUNCTION("SPLIT(A1046,"" "")"),45543.0)</f>
        <v>45543</v>
      </c>
      <c r="C1046" s="10">
        <f>IFERROR(__xludf.DUMMYFUNCTION("""COMPUTED_VALUE"""),0.6833333333333333)</f>
        <v>0.6833333333</v>
      </c>
      <c r="D1046" s="2">
        <f t="shared" si="1"/>
        <v>16</v>
      </c>
      <c r="E1046" s="2">
        <f>IFERROR(__xludf.DUMMYFUNCTION("SPLIT(B1046,""/"")"),8.0)</f>
        <v>8</v>
      </c>
      <c r="F1046" s="2">
        <f>IFERROR(__xludf.DUMMYFUNCTION("""COMPUTED_VALUE"""),9.0)</f>
        <v>9</v>
      </c>
      <c r="G1046" s="2">
        <f>IFERROR(__xludf.DUMMYFUNCTION("""COMPUTED_VALUE"""),2024.0)</f>
        <v>2024</v>
      </c>
      <c r="H1046" s="2" t="str">
        <f t="shared" si="2"/>
        <v>2024/9/8</v>
      </c>
      <c r="I1046" s="2" t="s">
        <v>1583</v>
      </c>
      <c r="J1046" s="2" t="str">
        <f t="shared" si="3"/>
        <v>Es Kopi Lemon</v>
      </c>
      <c r="K1046" s="7">
        <f>if(RIGHT(I1046,5)="2 pcs",2,Data!I1046)</f>
        <v>1</v>
      </c>
      <c r="L1046" s="2" t="str">
        <f t="shared" si="4"/>
        <v>Sunday</v>
      </c>
      <c r="M1046" s="2" t="str">
        <f t="shared" si="5"/>
        <v>8</v>
      </c>
      <c r="N1046" s="2">
        <f>VLOOKUP(L1046,'Data Info'!$A$1:$B$8,2,0)</f>
        <v>7</v>
      </c>
      <c r="O1046" s="2" t="str">
        <f>VLOOKUP(L1046,'Data Info'!$A$1:$C$8,3,0)</f>
        <v>Weekend</v>
      </c>
    </row>
    <row r="1047">
      <c r="A1047" s="4">
        <v>45543.683333333334</v>
      </c>
      <c r="B1047" s="9">
        <f>IFERROR(__xludf.DUMMYFUNCTION("SPLIT(A1047,"" "")"),45543.0)</f>
        <v>45543</v>
      </c>
      <c r="C1047" s="10">
        <f>IFERROR(__xludf.DUMMYFUNCTION("""COMPUTED_VALUE"""),0.6833333333333333)</f>
        <v>0.6833333333</v>
      </c>
      <c r="D1047" s="2">
        <f t="shared" si="1"/>
        <v>16</v>
      </c>
      <c r="E1047" s="2">
        <f>IFERROR(__xludf.DUMMYFUNCTION("SPLIT(B1047,""/"")"),8.0)</f>
        <v>8</v>
      </c>
      <c r="F1047" s="2">
        <f>IFERROR(__xludf.DUMMYFUNCTION("""COMPUTED_VALUE"""),9.0)</f>
        <v>9</v>
      </c>
      <c r="G1047" s="2">
        <f>IFERROR(__xludf.DUMMYFUNCTION("""COMPUTED_VALUE"""),2024.0)</f>
        <v>2024</v>
      </c>
      <c r="H1047" s="2" t="str">
        <f t="shared" si="2"/>
        <v>2024/9/8</v>
      </c>
      <c r="I1047" s="2" t="s">
        <v>1593</v>
      </c>
      <c r="J1047" s="2" t="str">
        <f t="shared" si="3"/>
        <v>Wedang laut</v>
      </c>
      <c r="K1047" s="7">
        <f>if(RIGHT(I1047,5)="2 pcs",2,Data!I1047)</f>
        <v>1</v>
      </c>
      <c r="L1047" s="2" t="str">
        <f t="shared" si="4"/>
        <v>Sunday</v>
      </c>
      <c r="M1047" s="2" t="str">
        <f t="shared" si="5"/>
        <v>8</v>
      </c>
      <c r="N1047" s="2">
        <f>VLOOKUP(L1047,'Data Info'!$A$1:$B$8,2,0)</f>
        <v>7</v>
      </c>
      <c r="O1047" s="2" t="str">
        <f>VLOOKUP(L1047,'Data Info'!$A$1:$C$8,3,0)</f>
        <v>Weekend</v>
      </c>
    </row>
    <row r="1048">
      <c r="A1048" s="4">
        <v>45543.683333333334</v>
      </c>
      <c r="B1048" s="9">
        <f>IFERROR(__xludf.DUMMYFUNCTION("SPLIT(A1048,"" "")"),45543.0)</f>
        <v>45543</v>
      </c>
      <c r="C1048" s="10">
        <f>IFERROR(__xludf.DUMMYFUNCTION("""COMPUTED_VALUE"""),0.6833333333333333)</f>
        <v>0.6833333333</v>
      </c>
      <c r="D1048" s="2">
        <f t="shared" si="1"/>
        <v>16</v>
      </c>
      <c r="E1048" s="2">
        <f>IFERROR(__xludf.DUMMYFUNCTION("SPLIT(B1048,""/"")"),8.0)</f>
        <v>8</v>
      </c>
      <c r="F1048" s="2">
        <f>IFERROR(__xludf.DUMMYFUNCTION("""COMPUTED_VALUE"""),9.0)</f>
        <v>9</v>
      </c>
      <c r="G1048" s="2">
        <f>IFERROR(__xludf.DUMMYFUNCTION("""COMPUTED_VALUE"""),2024.0)</f>
        <v>2024</v>
      </c>
      <c r="H1048" s="2" t="str">
        <f t="shared" si="2"/>
        <v>2024/9/8</v>
      </c>
      <c r="I1048" s="2" t="s">
        <v>1607</v>
      </c>
      <c r="J1048" s="2" t="str">
        <f t="shared" si="3"/>
        <v>Tahu walik</v>
      </c>
      <c r="K1048" s="7">
        <f>if(RIGHT(I1048,5)="2 pcs",2,Data!I1048)</f>
        <v>1</v>
      </c>
      <c r="L1048" s="2" t="str">
        <f t="shared" si="4"/>
        <v>Sunday</v>
      </c>
      <c r="M1048" s="2" t="str">
        <f t="shared" si="5"/>
        <v>8</v>
      </c>
      <c r="N1048" s="2">
        <f>VLOOKUP(L1048,'Data Info'!$A$1:$B$8,2,0)</f>
        <v>7</v>
      </c>
      <c r="O1048" s="2" t="str">
        <f>VLOOKUP(L1048,'Data Info'!$A$1:$C$8,3,0)</f>
        <v>Weekend</v>
      </c>
    </row>
    <row r="1049">
      <c r="A1049" s="4">
        <v>45543.683333333334</v>
      </c>
      <c r="B1049" s="9">
        <f>IFERROR(__xludf.DUMMYFUNCTION("SPLIT(A1049,"" "")"),45543.0)</f>
        <v>45543</v>
      </c>
      <c r="C1049" s="10">
        <f>IFERROR(__xludf.DUMMYFUNCTION("""COMPUTED_VALUE"""),0.6833333333333333)</f>
        <v>0.6833333333</v>
      </c>
      <c r="D1049" s="2">
        <f t="shared" si="1"/>
        <v>16</v>
      </c>
      <c r="E1049" s="2">
        <f>IFERROR(__xludf.DUMMYFUNCTION("SPLIT(B1049,""/"")"),8.0)</f>
        <v>8</v>
      </c>
      <c r="F1049" s="2">
        <f>IFERROR(__xludf.DUMMYFUNCTION("""COMPUTED_VALUE"""),9.0)</f>
        <v>9</v>
      </c>
      <c r="G1049" s="2">
        <f>IFERROR(__xludf.DUMMYFUNCTION("""COMPUTED_VALUE"""),2024.0)</f>
        <v>2024</v>
      </c>
      <c r="H1049" s="2" t="str">
        <f t="shared" si="2"/>
        <v>2024/9/8</v>
      </c>
      <c r="I1049" s="2" t="s">
        <v>1609</v>
      </c>
      <c r="J1049" s="2" t="str">
        <f t="shared" si="3"/>
        <v>Tempe Mendoan</v>
      </c>
      <c r="K1049" s="7">
        <f>if(RIGHT(I1049,5)="2 pcs",2,Data!I1049)</f>
        <v>1</v>
      </c>
      <c r="L1049" s="2" t="str">
        <f t="shared" si="4"/>
        <v>Sunday</v>
      </c>
      <c r="M1049" s="2" t="str">
        <f t="shared" si="5"/>
        <v>8</v>
      </c>
      <c r="N1049" s="2">
        <f>VLOOKUP(L1049,'Data Info'!$A$1:$B$8,2,0)</f>
        <v>7</v>
      </c>
      <c r="O1049" s="2" t="str">
        <f>VLOOKUP(L1049,'Data Info'!$A$1:$C$8,3,0)</f>
        <v>Weekend</v>
      </c>
    </row>
    <row r="1050">
      <c r="A1050" s="4">
        <v>45543.683333333334</v>
      </c>
      <c r="B1050" s="9">
        <f>IFERROR(__xludf.DUMMYFUNCTION("SPLIT(A1050,"" "")"),45543.0)</f>
        <v>45543</v>
      </c>
      <c r="C1050" s="10">
        <f>IFERROR(__xludf.DUMMYFUNCTION("""COMPUTED_VALUE"""),0.6833333333333333)</f>
        <v>0.6833333333</v>
      </c>
      <c r="D1050" s="2">
        <f t="shared" si="1"/>
        <v>16</v>
      </c>
      <c r="E1050" s="2">
        <f>IFERROR(__xludf.DUMMYFUNCTION("SPLIT(B1050,""/"")"),8.0)</f>
        <v>8</v>
      </c>
      <c r="F1050" s="2">
        <f>IFERROR(__xludf.DUMMYFUNCTION("""COMPUTED_VALUE"""),9.0)</f>
        <v>9</v>
      </c>
      <c r="G1050" s="2">
        <f>IFERROR(__xludf.DUMMYFUNCTION("""COMPUTED_VALUE"""),2024.0)</f>
        <v>2024</v>
      </c>
      <c r="H1050" s="2" t="str">
        <f t="shared" si="2"/>
        <v>2024/9/8</v>
      </c>
      <c r="I1050" s="2" t="s">
        <v>1606</v>
      </c>
      <c r="J1050" s="2" t="str">
        <f t="shared" si="3"/>
        <v>Pisang Goreng</v>
      </c>
      <c r="K1050" s="7">
        <f>if(RIGHT(I1050,5)="2 pcs",2,Data!I1050)</f>
        <v>1</v>
      </c>
      <c r="L1050" s="2" t="str">
        <f t="shared" si="4"/>
        <v>Sunday</v>
      </c>
      <c r="M1050" s="2" t="str">
        <f t="shared" si="5"/>
        <v>8</v>
      </c>
      <c r="N1050" s="2">
        <f>VLOOKUP(L1050,'Data Info'!$A$1:$B$8,2,0)</f>
        <v>7</v>
      </c>
      <c r="O1050" s="2" t="str">
        <f>VLOOKUP(L1050,'Data Info'!$A$1:$C$8,3,0)</f>
        <v>Weekend</v>
      </c>
    </row>
    <row r="1051">
      <c r="A1051" s="4">
        <v>45543.683333333334</v>
      </c>
      <c r="B1051" s="9">
        <f>IFERROR(__xludf.DUMMYFUNCTION("SPLIT(A1051,"" "")"),45543.0)</f>
        <v>45543</v>
      </c>
      <c r="C1051" s="10">
        <f>IFERROR(__xludf.DUMMYFUNCTION("""COMPUTED_VALUE"""),0.6833333333333333)</f>
        <v>0.6833333333</v>
      </c>
      <c r="D1051" s="2">
        <f t="shared" si="1"/>
        <v>16</v>
      </c>
      <c r="E1051" s="2">
        <f>IFERROR(__xludf.DUMMYFUNCTION("SPLIT(B1051,""/"")"),8.0)</f>
        <v>8</v>
      </c>
      <c r="F1051" s="2">
        <f>IFERROR(__xludf.DUMMYFUNCTION("""COMPUTED_VALUE"""),9.0)</f>
        <v>9</v>
      </c>
      <c r="G1051" s="2">
        <f>IFERROR(__xludf.DUMMYFUNCTION("""COMPUTED_VALUE"""),2024.0)</f>
        <v>2024</v>
      </c>
      <c r="H1051" s="2" t="str">
        <f t="shared" si="2"/>
        <v>2024/9/8</v>
      </c>
      <c r="I1051" s="2" t="s">
        <v>1598</v>
      </c>
      <c r="J1051" s="2" t="str">
        <f t="shared" si="3"/>
        <v>Korean Strawberry Fresh Milk</v>
      </c>
      <c r="K1051" s="7">
        <f>if(RIGHT(I1051,5)="2 pcs",2,Data!I1051)</f>
        <v>1</v>
      </c>
      <c r="L1051" s="2" t="str">
        <f t="shared" si="4"/>
        <v>Sunday</v>
      </c>
      <c r="M1051" s="2" t="str">
        <f t="shared" si="5"/>
        <v>8</v>
      </c>
      <c r="N1051" s="2">
        <f>VLOOKUP(L1051,'Data Info'!$A$1:$B$8,2,0)</f>
        <v>7</v>
      </c>
      <c r="O1051" s="2" t="str">
        <f>VLOOKUP(L1051,'Data Info'!$A$1:$C$8,3,0)</f>
        <v>Weekend</v>
      </c>
    </row>
    <row r="1052">
      <c r="A1052" s="4">
        <v>45543.683333333334</v>
      </c>
      <c r="B1052" s="9">
        <f>IFERROR(__xludf.DUMMYFUNCTION("SPLIT(A1052,"" "")"),45543.0)</f>
        <v>45543</v>
      </c>
      <c r="C1052" s="10">
        <f>IFERROR(__xludf.DUMMYFUNCTION("""COMPUTED_VALUE"""),0.6833333333333333)</f>
        <v>0.6833333333</v>
      </c>
      <c r="D1052" s="2">
        <f t="shared" si="1"/>
        <v>16</v>
      </c>
      <c r="E1052" s="2">
        <f>IFERROR(__xludf.DUMMYFUNCTION("SPLIT(B1052,""/"")"),8.0)</f>
        <v>8</v>
      </c>
      <c r="F1052" s="2">
        <f>IFERROR(__xludf.DUMMYFUNCTION("""COMPUTED_VALUE"""),9.0)</f>
        <v>9</v>
      </c>
      <c r="G1052" s="2">
        <f>IFERROR(__xludf.DUMMYFUNCTION("""COMPUTED_VALUE"""),2024.0)</f>
        <v>2024</v>
      </c>
      <c r="H1052" s="2" t="str">
        <f t="shared" si="2"/>
        <v>2024/9/8</v>
      </c>
      <c r="I1052" s="2" t="s">
        <v>1588</v>
      </c>
      <c r="J1052" s="2" t="str">
        <f t="shared" si="3"/>
        <v>Es Kopi Susu</v>
      </c>
      <c r="K1052" s="7">
        <f>if(RIGHT(I1052,5)="2 pcs",2,Data!I1052)</f>
        <v>1</v>
      </c>
      <c r="L1052" s="2" t="str">
        <f t="shared" si="4"/>
        <v>Sunday</v>
      </c>
      <c r="M1052" s="2" t="str">
        <f t="shared" si="5"/>
        <v>8</v>
      </c>
      <c r="N1052" s="2">
        <f>VLOOKUP(L1052,'Data Info'!$A$1:$B$8,2,0)</f>
        <v>7</v>
      </c>
      <c r="O1052" s="2" t="str">
        <f>VLOOKUP(L1052,'Data Info'!$A$1:$C$8,3,0)</f>
        <v>Weekend</v>
      </c>
    </row>
    <row r="1053">
      <c r="A1053" s="4">
        <v>45543.683333333334</v>
      </c>
      <c r="B1053" s="9">
        <f>IFERROR(__xludf.DUMMYFUNCTION("SPLIT(A1053,"" "")"),45543.0)</f>
        <v>45543</v>
      </c>
      <c r="C1053" s="10">
        <f>IFERROR(__xludf.DUMMYFUNCTION("""COMPUTED_VALUE"""),0.6833333333333333)</f>
        <v>0.6833333333</v>
      </c>
      <c r="D1053" s="2">
        <f t="shared" si="1"/>
        <v>16</v>
      </c>
      <c r="E1053" s="2">
        <f>IFERROR(__xludf.DUMMYFUNCTION("SPLIT(B1053,""/"")"),8.0)</f>
        <v>8</v>
      </c>
      <c r="F1053" s="2">
        <f>IFERROR(__xludf.DUMMYFUNCTION("""COMPUTED_VALUE"""),9.0)</f>
        <v>9</v>
      </c>
      <c r="G1053" s="2">
        <f>IFERROR(__xludf.DUMMYFUNCTION("""COMPUTED_VALUE"""),2024.0)</f>
        <v>2024</v>
      </c>
      <c r="H1053" s="2" t="str">
        <f t="shared" si="2"/>
        <v>2024/9/8</v>
      </c>
      <c r="I1053" s="2" t="s">
        <v>1576</v>
      </c>
      <c r="J1053" s="2" t="str">
        <f t="shared" si="3"/>
        <v>Roti Cranberry</v>
      </c>
      <c r="K1053" s="7">
        <f>if(RIGHT(I1053,5)="2 pcs",2,Data!I1053)</f>
        <v>1</v>
      </c>
      <c r="L1053" s="2" t="str">
        <f t="shared" si="4"/>
        <v>Sunday</v>
      </c>
      <c r="M1053" s="2" t="str">
        <f t="shared" si="5"/>
        <v>8</v>
      </c>
      <c r="N1053" s="2">
        <f>VLOOKUP(L1053,'Data Info'!$A$1:$B$8,2,0)</f>
        <v>7</v>
      </c>
      <c r="O1053" s="2" t="str">
        <f>VLOOKUP(L1053,'Data Info'!$A$1:$C$8,3,0)</f>
        <v>Weekend</v>
      </c>
    </row>
    <row r="1054">
      <c r="A1054" s="4">
        <v>45543.64722222222</v>
      </c>
      <c r="B1054" s="9">
        <f>IFERROR(__xludf.DUMMYFUNCTION("SPLIT(A1054,"" "")"),45543.0)</f>
        <v>45543</v>
      </c>
      <c r="C1054" s="10">
        <f>IFERROR(__xludf.DUMMYFUNCTION("""COMPUTED_VALUE"""),0.6472222222222223)</f>
        <v>0.6472222222</v>
      </c>
      <c r="D1054" s="2">
        <f t="shared" si="1"/>
        <v>15</v>
      </c>
      <c r="E1054" s="2">
        <f>IFERROR(__xludf.DUMMYFUNCTION("SPLIT(B1054,""/"")"),8.0)</f>
        <v>8</v>
      </c>
      <c r="F1054" s="2">
        <f>IFERROR(__xludf.DUMMYFUNCTION("""COMPUTED_VALUE"""),9.0)</f>
        <v>9</v>
      </c>
      <c r="G1054" s="2">
        <f>IFERROR(__xludf.DUMMYFUNCTION("""COMPUTED_VALUE"""),2024.0)</f>
        <v>2024</v>
      </c>
      <c r="H1054" s="2" t="str">
        <f t="shared" si="2"/>
        <v>2024/9/8</v>
      </c>
      <c r="I1054" s="2" t="s">
        <v>1583</v>
      </c>
      <c r="J1054" s="2" t="str">
        <f t="shared" si="3"/>
        <v>Es Kopi Lemon</v>
      </c>
      <c r="K1054" s="7">
        <f>if(RIGHT(I1054,5)="2 pcs",2,Data!I1054)</f>
        <v>1</v>
      </c>
      <c r="L1054" s="2" t="str">
        <f t="shared" si="4"/>
        <v>Sunday</v>
      </c>
      <c r="M1054" s="2" t="str">
        <f t="shared" si="5"/>
        <v>8</v>
      </c>
      <c r="N1054" s="2">
        <f>VLOOKUP(L1054,'Data Info'!$A$1:$B$8,2,0)</f>
        <v>7</v>
      </c>
      <c r="O1054" s="2" t="str">
        <f>VLOOKUP(L1054,'Data Info'!$A$1:$C$8,3,0)</f>
        <v>Weekend</v>
      </c>
    </row>
    <row r="1055">
      <c r="A1055" s="4">
        <v>45543.64722222222</v>
      </c>
      <c r="B1055" s="9">
        <f>IFERROR(__xludf.DUMMYFUNCTION("SPLIT(A1055,"" "")"),45543.0)</f>
        <v>45543</v>
      </c>
      <c r="C1055" s="10">
        <f>IFERROR(__xludf.DUMMYFUNCTION("""COMPUTED_VALUE"""),0.6472222222222223)</f>
        <v>0.6472222222</v>
      </c>
      <c r="D1055" s="2">
        <f t="shared" si="1"/>
        <v>15</v>
      </c>
      <c r="E1055" s="2">
        <f>IFERROR(__xludf.DUMMYFUNCTION("SPLIT(B1055,""/"")"),8.0)</f>
        <v>8</v>
      </c>
      <c r="F1055" s="2">
        <f>IFERROR(__xludf.DUMMYFUNCTION("""COMPUTED_VALUE"""),9.0)</f>
        <v>9</v>
      </c>
      <c r="G1055" s="2">
        <f>IFERROR(__xludf.DUMMYFUNCTION("""COMPUTED_VALUE"""),2024.0)</f>
        <v>2024</v>
      </c>
      <c r="H1055" s="2" t="str">
        <f t="shared" si="2"/>
        <v>2024/9/8</v>
      </c>
      <c r="I1055" s="2" t="s">
        <v>1605</v>
      </c>
      <c r="J1055" s="2" t="str">
        <f t="shared" si="3"/>
        <v>Kentang Goreng</v>
      </c>
      <c r="K1055" s="7">
        <f>if(RIGHT(I1055,5)="2 pcs",2,Data!I1055)</f>
        <v>1</v>
      </c>
      <c r="L1055" s="2" t="str">
        <f t="shared" si="4"/>
        <v>Sunday</v>
      </c>
      <c r="M1055" s="2" t="str">
        <f t="shared" si="5"/>
        <v>8</v>
      </c>
      <c r="N1055" s="2">
        <f>VLOOKUP(L1055,'Data Info'!$A$1:$B$8,2,0)</f>
        <v>7</v>
      </c>
      <c r="O1055" s="2" t="str">
        <f>VLOOKUP(L1055,'Data Info'!$A$1:$C$8,3,0)</f>
        <v>Weekend</v>
      </c>
    </row>
    <row r="1056">
      <c r="A1056" s="4">
        <v>45543.64722222222</v>
      </c>
      <c r="B1056" s="9">
        <f>IFERROR(__xludf.DUMMYFUNCTION("SPLIT(A1056,"" "")"),45543.0)</f>
        <v>45543</v>
      </c>
      <c r="C1056" s="10">
        <f>IFERROR(__xludf.DUMMYFUNCTION("""COMPUTED_VALUE"""),0.6472222222222223)</f>
        <v>0.6472222222</v>
      </c>
      <c r="D1056" s="2">
        <f t="shared" si="1"/>
        <v>15</v>
      </c>
      <c r="E1056" s="2">
        <f>IFERROR(__xludf.DUMMYFUNCTION("SPLIT(B1056,""/"")"),8.0)</f>
        <v>8</v>
      </c>
      <c r="F1056" s="2">
        <f>IFERROR(__xludf.DUMMYFUNCTION("""COMPUTED_VALUE"""),9.0)</f>
        <v>9</v>
      </c>
      <c r="G1056" s="2">
        <f>IFERROR(__xludf.DUMMYFUNCTION("""COMPUTED_VALUE"""),2024.0)</f>
        <v>2024</v>
      </c>
      <c r="H1056" s="2" t="str">
        <f t="shared" si="2"/>
        <v>2024/9/8</v>
      </c>
      <c r="I1056" s="2" t="s">
        <v>1593</v>
      </c>
      <c r="J1056" s="2" t="str">
        <f t="shared" si="3"/>
        <v>Wedang laut</v>
      </c>
      <c r="K1056" s="7">
        <f>if(RIGHT(I1056,5)="2 pcs",2,Data!I1056)</f>
        <v>1</v>
      </c>
      <c r="L1056" s="2" t="str">
        <f t="shared" si="4"/>
        <v>Sunday</v>
      </c>
      <c r="M1056" s="2" t="str">
        <f t="shared" si="5"/>
        <v>8</v>
      </c>
      <c r="N1056" s="2">
        <f>VLOOKUP(L1056,'Data Info'!$A$1:$B$8,2,0)</f>
        <v>7</v>
      </c>
      <c r="O1056" s="2" t="str">
        <f>VLOOKUP(L1056,'Data Info'!$A$1:$C$8,3,0)</f>
        <v>Weekend</v>
      </c>
    </row>
    <row r="1057">
      <c r="A1057" s="4">
        <v>45543.638194444444</v>
      </c>
      <c r="B1057" s="9">
        <f>IFERROR(__xludf.DUMMYFUNCTION("SPLIT(A1057,"" "")"),45543.0)</f>
        <v>45543</v>
      </c>
      <c r="C1057" s="10">
        <f>IFERROR(__xludf.DUMMYFUNCTION("""COMPUTED_VALUE"""),0.6381944444444444)</f>
        <v>0.6381944444</v>
      </c>
      <c r="D1057" s="2">
        <f t="shared" si="1"/>
        <v>15</v>
      </c>
      <c r="E1057" s="2">
        <f>IFERROR(__xludf.DUMMYFUNCTION("SPLIT(B1057,""/"")"),8.0)</f>
        <v>8</v>
      </c>
      <c r="F1057" s="2">
        <f>IFERROR(__xludf.DUMMYFUNCTION("""COMPUTED_VALUE"""),9.0)</f>
        <v>9</v>
      </c>
      <c r="G1057" s="2">
        <f>IFERROR(__xludf.DUMMYFUNCTION("""COMPUTED_VALUE"""),2024.0)</f>
        <v>2024</v>
      </c>
      <c r="H1057" s="2" t="str">
        <f t="shared" si="2"/>
        <v>2024/9/8</v>
      </c>
      <c r="I1057" s="2" t="s">
        <v>1566</v>
      </c>
      <c r="J1057" s="2" t="str">
        <f t="shared" si="3"/>
        <v>Roti Bawang Saus Keju</v>
      </c>
      <c r="K1057" s="7">
        <f>if(RIGHT(I1057,5)="2 pcs",2,Data!I1057)</f>
        <v>1</v>
      </c>
      <c r="L1057" s="2" t="str">
        <f t="shared" si="4"/>
        <v>Sunday</v>
      </c>
      <c r="M1057" s="2" t="str">
        <f t="shared" si="5"/>
        <v>8</v>
      </c>
      <c r="N1057" s="2">
        <f>VLOOKUP(L1057,'Data Info'!$A$1:$B$8,2,0)</f>
        <v>7</v>
      </c>
      <c r="O1057" s="2" t="str">
        <f>VLOOKUP(L1057,'Data Info'!$A$1:$C$8,3,0)</f>
        <v>Weekend</v>
      </c>
    </row>
    <row r="1058">
      <c r="A1058" s="4">
        <v>45543.638194444444</v>
      </c>
      <c r="B1058" s="9">
        <f>IFERROR(__xludf.DUMMYFUNCTION("SPLIT(A1058,"" "")"),45543.0)</f>
        <v>45543</v>
      </c>
      <c r="C1058" s="10">
        <f>IFERROR(__xludf.DUMMYFUNCTION("""COMPUTED_VALUE"""),0.6381944444444444)</f>
        <v>0.6381944444</v>
      </c>
      <c r="D1058" s="2">
        <f t="shared" si="1"/>
        <v>15</v>
      </c>
      <c r="E1058" s="2">
        <f>IFERROR(__xludf.DUMMYFUNCTION("SPLIT(B1058,""/"")"),8.0)</f>
        <v>8</v>
      </c>
      <c r="F1058" s="2">
        <f>IFERROR(__xludf.DUMMYFUNCTION("""COMPUTED_VALUE"""),9.0)</f>
        <v>9</v>
      </c>
      <c r="G1058" s="2">
        <f>IFERROR(__xludf.DUMMYFUNCTION("""COMPUTED_VALUE"""),2024.0)</f>
        <v>2024</v>
      </c>
      <c r="H1058" s="2" t="str">
        <f t="shared" si="2"/>
        <v>2024/9/8</v>
      </c>
      <c r="I1058" s="2" t="s">
        <v>1588</v>
      </c>
      <c r="J1058" s="2" t="str">
        <f t="shared" si="3"/>
        <v>Es Kopi Susu</v>
      </c>
      <c r="K1058" s="7">
        <f>if(RIGHT(I1058,5)="2 pcs",2,Data!I1058)</f>
        <v>3</v>
      </c>
      <c r="L1058" s="2" t="str">
        <f t="shared" si="4"/>
        <v>Sunday</v>
      </c>
      <c r="M1058" s="2" t="str">
        <f t="shared" si="5"/>
        <v>8</v>
      </c>
      <c r="N1058" s="2">
        <f>VLOOKUP(L1058,'Data Info'!$A$1:$B$8,2,0)</f>
        <v>7</v>
      </c>
      <c r="O1058" s="2" t="str">
        <f>VLOOKUP(L1058,'Data Info'!$A$1:$C$8,3,0)</f>
        <v>Weekend</v>
      </c>
    </row>
    <row r="1059">
      <c r="A1059" s="4">
        <v>45543.638194444444</v>
      </c>
      <c r="B1059" s="9">
        <f>IFERROR(__xludf.DUMMYFUNCTION("SPLIT(A1059,"" "")"),45543.0)</f>
        <v>45543</v>
      </c>
      <c r="C1059" s="10">
        <f>IFERROR(__xludf.DUMMYFUNCTION("""COMPUTED_VALUE"""),0.6381944444444444)</f>
        <v>0.6381944444</v>
      </c>
      <c r="D1059" s="2">
        <f t="shared" si="1"/>
        <v>15</v>
      </c>
      <c r="E1059" s="2">
        <f>IFERROR(__xludf.DUMMYFUNCTION("SPLIT(B1059,""/"")"),8.0)</f>
        <v>8</v>
      </c>
      <c r="F1059" s="2">
        <f>IFERROR(__xludf.DUMMYFUNCTION("""COMPUTED_VALUE"""),9.0)</f>
        <v>9</v>
      </c>
      <c r="G1059" s="2">
        <f>IFERROR(__xludf.DUMMYFUNCTION("""COMPUTED_VALUE"""),2024.0)</f>
        <v>2024</v>
      </c>
      <c r="H1059" s="2" t="str">
        <f t="shared" si="2"/>
        <v>2024/9/8</v>
      </c>
      <c r="I1059" s="2" t="s">
        <v>1606</v>
      </c>
      <c r="J1059" s="2" t="str">
        <f t="shared" si="3"/>
        <v>Pisang Goreng</v>
      </c>
      <c r="K1059" s="7">
        <f>if(RIGHT(I1059,5)="2 pcs",2,Data!I1059)</f>
        <v>1</v>
      </c>
      <c r="L1059" s="2" t="str">
        <f t="shared" si="4"/>
        <v>Sunday</v>
      </c>
      <c r="M1059" s="2" t="str">
        <f t="shared" si="5"/>
        <v>8</v>
      </c>
      <c r="N1059" s="2">
        <f>VLOOKUP(L1059,'Data Info'!$A$1:$B$8,2,0)</f>
        <v>7</v>
      </c>
      <c r="O1059" s="2" t="str">
        <f>VLOOKUP(L1059,'Data Info'!$A$1:$C$8,3,0)</f>
        <v>Weekend</v>
      </c>
    </row>
    <row r="1060">
      <c r="A1060" s="4">
        <v>45543.638194444444</v>
      </c>
      <c r="B1060" s="9">
        <f>IFERROR(__xludf.DUMMYFUNCTION("SPLIT(A1060,"" "")"),45543.0)</f>
        <v>45543</v>
      </c>
      <c r="C1060" s="10">
        <f>IFERROR(__xludf.DUMMYFUNCTION("""COMPUTED_VALUE"""),0.6381944444444444)</f>
        <v>0.6381944444</v>
      </c>
      <c r="D1060" s="2">
        <f t="shared" si="1"/>
        <v>15</v>
      </c>
      <c r="E1060" s="2">
        <f>IFERROR(__xludf.DUMMYFUNCTION("SPLIT(B1060,""/"")"),8.0)</f>
        <v>8</v>
      </c>
      <c r="F1060" s="2">
        <f>IFERROR(__xludf.DUMMYFUNCTION("""COMPUTED_VALUE"""),9.0)</f>
        <v>9</v>
      </c>
      <c r="G1060" s="2">
        <f>IFERROR(__xludf.DUMMYFUNCTION("""COMPUTED_VALUE"""),2024.0)</f>
        <v>2024</v>
      </c>
      <c r="H1060" s="2" t="str">
        <f t="shared" si="2"/>
        <v>2024/9/8</v>
      </c>
      <c r="I1060" s="2" t="s">
        <v>1607</v>
      </c>
      <c r="J1060" s="2" t="str">
        <f t="shared" si="3"/>
        <v>Tahu walik</v>
      </c>
      <c r="K1060" s="7">
        <f>if(RIGHT(I1060,5)="2 pcs",2,Data!I1060)</f>
        <v>1</v>
      </c>
      <c r="L1060" s="2" t="str">
        <f t="shared" si="4"/>
        <v>Sunday</v>
      </c>
      <c r="M1060" s="2" t="str">
        <f t="shared" si="5"/>
        <v>8</v>
      </c>
      <c r="N1060" s="2">
        <f>VLOOKUP(L1060,'Data Info'!$A$1:$B$8,2,0)</f>
        <v>7</v>
      </c>
      <c r="O1060" s="2" t="str">
        <f>VLOOKUP(L1060,'Data Info'!$A$1:$C$8,3,0)</f>
        <v>Weekend</v>
      </c>
    </row>
    <row r="1061">
      <c r="A1061" s="4">
        <v>45543.59861111111</v>
      </c>
      <c r="B1061" s="9">
        <f>IFERROR(__xludf.DUMMYFUNCTION("SPLIT(A1061,"" "")"),45543.0)</f>
        <v>45543</v>
      </c>
      <c r="C1061" s="10">
        <f>IFERROR(__xludf.DUMMYFUNCTION("""COMPUTED_VALUE"""),0.5986111111111111)</f>
        <v>0.5986111111</v>
      </c>
      <c r="D1061" s="2">
        <f t="shared" si="1"/>
        <v>14</v>
      </c>
      <c r="E1061" s="2">
        <f>IFERROR(__xludf.DUMMYFUNCTION("SPLIT(B1061,""/"")"),8.0)</f>
        <v>8</v>
      </c>
      <c r="F1061" s="2">
        <f>IFERROR(__xludf.DUMMYFUNCTION("""COMPUTED_VALUE"""),9.0)</f>
        <v>9</v>
      </c>
      <c r="G1061" s="2">
        <f>IFERROR(__xludf.DUMMYFUNCTION("""COMPUTED_VALUE"""),2024.0)</f>
        <v>2024</v>
      </c>
      <c r="H1061" s="2" t="str">
        <f t="shared" si="2"/>
        <v>2024/9/8</v>
      </c>
      <c r="I1061" s="2" t="s">
        <v>1588</v>
      </c>
      <c r="J1061" s="2" t="str">
        <f t="shared" si="3"/>
        <v>Es Kopi Susu</v>
      </c>
      <c r="K1061" s="7">
        <f>if(RIGHT(I1061,5)="2 pcs",2,Data!I1061)</f>
        <v>1</v>
      </c>
      <c r="L1061" s="2" t="str">
        <f t="shared" si="4"/>
        <v>Sunday</v>
      </c>
      <c r="M1061" s="2" t="str">
        <f t="shared" si="5"/>
        <v>8</v>
      </c>
      <c r="N1061" s="2">
        <f>VLOOKUP(L1061,'Data Info'!$A$1:$B$8,2,0)</f>
        <v>7</v>
      </c>
      <c r="O1061" s="2" t="str">
        <f>VLOOKUP(L1061,'Data Info'!$A$1:$C$8,3,0)</f>
        <v>Weekend</v>
      </c>
    </row>
    <row r="1062">
      <c r="A1062" s="4">
        <v>45543.59861111111</v>
      </c>
      <c r="B1062" s="9">
        <f>IFERROR(__xludf.DUMMYFUNCTION("SPLIT(A1062,"" "")"),45543.0)</f>
        <v>45543</v>
      </c>
      <c r="C1062" s="10">
        <f>IFERROR(__xludf.DUMMYFUNCTION("""COMPUTED_VALUE"""),0.5986111111111111)</f>
        <v>0.5986111111</v>
      </c>
      <c r="D1062" s="2">
        <f t="shared" si="1"/>
        <v>14</v>
      </c>
      <c r="E1062" s="2">
        <f>IFERROR(__xludf.DUMMYFUNCTION("SPLIT(B1062,""/"")"),8.0)</f>
        <v>8</v>
      </c>
      <c r="F1062" s="2">
        <f>IFERROR(__xludf.DUMMYFUNCTION("""COMPUTED_VALUE"""),9.0)</f>
        <v>9</v>
      </c>
      <c r="G1062" s="2">
        <f>IFERROR(__xludf.DUMMYFUNCTION("""COMPUTED_VALUE"""),2024.0)</f>
        <v>2024</v>
      </c>
      <c r="H1062" s="2" t="str">
        <f t="shared" si="2"/>
        <v>2024/9/8</v>
      </c>
      <c r="I1062" s="2" t="s">
        <v>1576</v>
      </c>
      <c r="J1062" s="2" t="str">
        <f t="shared" si="3"/>
        <v>Roti Cranberry</v>
      </c>
      <c r="K1062" s="7">
        <f>if(RIGHT(I1062,5)="2 pcs",2,Data!I1062)</f>
        <v>1</v>
      </c>
      <c r="L1062" s="2" t="str">
        <f t="shared" si="4"/>
        <v>Sunday</v>
      </c>
      <c r="M1062" s="2" t="str">
        <f t="shared" si="5"/>
        <v>8</v>
      </c>
      <c r="N1062" s="2">
        <f>VLOOKUP(L1062,'Data Info'!$A$1:$B$8,2,0)</f>
        <v>7</v>
      </c>
      <c r="O1062" s="2" t="str">
        <f>VLOOKUP(L1062,'Data Info'!$A$1:$C$8,3,0)</f>
        <v>Weekend</v>
      </c>
    </row>
    <row r="1063">
      <c r="A1063" s="4">
        <v>45543.59861111111</v>
      </c>
      <c r="B1063" s="9">
        <f>IFERROR(__xludf.DUMMYFUNCTION("SPLIT(A1063,"" "")"),45543.0)</f>
        <v>45543</v>
      </c>
      <c r="C1063" s="10">
        <f>IFERROR(__xludf.DUMMYFUNCTION("""COMPUTED_VALUE"""),0.5986111111111111)</f>
        <v>0.5986111111</v>
      </c>
      <c r="D1063" s="2">
        <f t="shared" si="1"/>
        <v>14</v>
      </c>
      <c r="E1063" s="2">
        <f>IFERROR(__xludf.DUMMYFUNCTION("SPLIT(B1063,""/"")"),8.0)</f>
        <v>8</v>
      </c>
      <c r="F1063" s="2">
        <f>IFERROR(__xludf.DUMMYFUNCTION("""COMPUTED_VALUE"""),9.0)</f>
        <v>9</v>
      </c>
      <c r="G1063" s="2">
        <f>IFERROR(__xludf.DUMMYFUNCTION("""COMPUTED_VALUE"""),2024.0)</f>
        <v>2024</v>
      </c>
      <c r="H1063" s="2" t="str">
        <f t="shared" si="2"/>
        <v>2024/9/8</v>
      </c>
      <c r="I1063" s="2" t="s">
        <v>1576</v>
      </c>
      <c r="J1063" s="2" t="str">
        <f t="shared" si="3"/>
        <v>Roti Cranberry</v>
      </c>
      <c r="K1063" s="7">
        <f>if(RIGHT(I1063,5)="2 pcs",2,Data!I1063)</f>
        <v>-1</v>
      </c>
      <c r="L1063" s="2" t="str">
        <f t="shared" si="4"/>
        <v>Sunday</v>
      </c>
      <c r="M1063" s="2" t="str">
        <f t="shared" si="5"/>
        <v>8</v>
      </c>
      <c r="N1063" s="2">
        <f>VLOOKUP(L1063,'Data Info'!$A$1:$B$8,2,0)</f>
        <v>7</v>
      </c>
      <c r="O1063" s="2" t="str">
        <f>VLOOKUP(L1063,'Data Info'!$A$1:$C$8,3,0)</f>
        <v>Weekend</v>
      </c>
    </row>
    <row r="1064">
      <c r="A1064" s="4">
        <v>45543.59861111111</v>
      </c>
      <c r="B1064" s="9">
        <f>IFERROR(__xludf.DUMMYFUNCTION("SPLIT(A1064,"" "")"),45543.0)</f>
        <v>45543</v>
      </c>
      <c r="C1064" s="10">
        <f>IFERROR(__xludf.DUMMYFUNCTION("""COMPUTED_VALUE"""),0.5986111111111111)</f>
        <v>0.5986111111</v>
      </c>
      <c r="D1064" s="2">
        <f t="shared" si="1"/>
        <v>14</v>
      </c>
      <c r="E1064" s="2">
        <f>IFERROR(__xludf.DUMMYFUNCTION("SPLIT(B1064,""/"")"),8.0)</f>
        <v>8</v>
      </c>
      <c r="F1064" s="2">
        <f>IFERROR(__xludf.DUMMYFUNCTION("""COMPUTED_VALUE"""),9.0)</f>
        <v>9</v>
      </c>
      <c r="G1064" s="2">
        <f>IFERROR(__xludf.DUMMYFUNCTION("""COMPUTED_VALUE"""),2024.0)</f>
        <v>2024</v>
      </c>
      <c r="H1064" s="2" t="str">
        <f t="shared" si="2"/>
        <v>2024/9/8</v>
      </c>
      <c r="I1064" s="2" t="s">
        <v>1588</v>
      </c>
      <c r="J1064" s="2" t="str">
        <f t="shared" si="3"/>
        <v>Es Kopi Susu</v>
      </c>
      <c r="K1064" s="7">
        <f>if(RIGHT(I1064,5)="2 pcs",2,Data!I1064)</f>
        <v>-1</v>
      </c>
      <c r="L1064" s="2" t="str">
        <f t="shared" si="4"/>
        <v>Sunday</v>
      </c>
      <c r="M1064" s="2" t="str">
        <f t="shared" si="5"/>
        <v>8</v>
      </c>
      <c r="N1064" s="2">
        <f>VLOOKUP(L1064,'Data Info'!$A$1:$B$8,2,0)</f>
        <v>7</v>
      </c>
      <c r="O1064" s="2" t="str">
        <f>VLOOKUP(L1064,'Data Info'!$A$1:$C$8,3,0)</f>
        <v>Weekend</v>
      </c>
    </row>
    <row r="1065">
      <c r="A1065" s="4">
        <v>45543.597916666666</v>
      </c>
      <c r="B1065" s="9">
        <f>IFERROR(__xludf.DUMMYFUNCTION("SPLIT(A1065,"" "")"),45543.0)</f>
        <v>45543</v>
      </c>
      <c r="C1065" s="10">
        <f>IFERROR(__xludf.DUMMYFUNCTION("""COMPUTED_VALUE"""),0.5979166666666667)</f>
        <v>0.5979166667</v>
      </c>
      <c r="D1065" s="2">
        <f t="shared" si="1"/>
        <v>14</v>
      </c>
      <c r="E1065" s="2">
        <f>IFERROR(__xludf.DUMMYFUNCTION("SPLIT(B1065,""/"")"),8.0)</f>
        <v>8</v>
      </c>
      <c r="F1065" s="2">
        <f>IFERROR(__xludf.DUMMYFUNCTION("""COMPUTED_VALUE"""),9.0)</f>
        <v>9</v>
      </c>
      <c r="G1065" s="2">
        <f>IFERROR(__xludf.DUMMYFUNCTION("""COMPUTED_VALUE"""),2024.0)</f>
        <v>2024</v>
      </c>
      <c r="H1065" s="2" t="str">
        <f t="shared" si="2"/>
        <v>2024/9/8</v>
      </c>
      <c r="I1065" s="2" t="s">
        <v>1576</v>
      </c>
      <c r="J1065" s="2" t="str">
        <f t="shared" si="3"/>
        <v>Roti Cranberry</v>
      </c>
      <c r="K1065" s="7">
        <f>if(RIGHT(I1065,5)="2 pcs",2,Data!I1065)</f>
        <v>1</v>
      </c>
      <c r="L1065" s="2" t="str">
        <f t="shared" si="4"/>
        <v>Sunday</v>
      </c>
      <c r="M1065" s="2" t="str">
        <f t="shared" si="5"/>
        <v>8</v>
      </c>
      <c r="N1065" s="2">
        <f>VLOOKUP(L1065,'Data Info'!$A$1:$B$8,2,0)</f>
        <v>7</v>
      </c>
      <c r="O1065" s="2" t="str">
        <f>VLOOKUP(L1065,'Data Info'!$A$1:$C$8,3,0)</f>
        <v>Weekend</v>
      </c>
    </row>
    <row r="1066">
      <c r="A1066" s="4">
        <v>45543.597916666666</v>
      </c>
      <c r="B1066" s="9">
        <f>IFERROR(__xludf.DUMMYFUNCTION("SPLIT(A1066,"" "")"),45543.0)</f>
        <v>45543</v>
      </c>
      <c r="C1066" s="10">
        <f>IFERROR(__xludf.DUMMYFUNCTION("""COMPUTED_VALUE"""),0.5979166666666667)</f>
        <v>0.5979166667</v>
      </c>
      <c r="D1066" s="2">
        <f t="shared" si="1"/>
        <v>14</v>
      </c>
      <c r="E1066" s="2">
        <f>IFERROR(__xludf.DUMMYFUNCTION("SPLIT(B1066,""/"")"),8.0)</f>
        <v>8</v>
      </c>
      <c r="F1066" s="2">
        <f>IFERROR(__xludf.DUMMYFUNCTION("""COMPUTED_VALUE"""),9.0)</f>
        <v>9</v>
      </c>
      <c r="G1066" s="2">
        <f>IFERROR(__xludf.DUMMYFUNCTION("""COMPUTED_VALUE"""),2024.0)</f>
        <v>2024</v>
      </c>
      <c r="H1066" s="2" t="str">
        <f t="shared" si="2"/>
        <v>2024/9/8</v>
      </c>
      <c r="I1066" s="2" t="s">
        <v>1588</v>
      </c>
      <c r="J1066" s="2" t="str">
        <f t="shared" si="3"/>
        <v>Es Kopi Susu</v>
      </c>
      <c r="K1066" s="7">
        <f>if(RIGHT(I1066,5)="2 pcs",2,Data!I1066)</f>
        <v>1</v>
      </c>
      <c r="L1066" s="2" t="str">
        <f t="shared" si="4"/>
        <v>Sunday</v>
      </c>
      <c r="M1066" s="2" t="str">
        <f t="shared" si="5"/>
        <v>8</v>
      </c>
      <c r="N1066" s="2">
        <f>VLOOKUP(L1066,'Data Info'!$A$1:$B$8,2,0)</f>
        <v>7</v>
      </c>
      <c r="O1066" s="2" t="str">
        <f>VLOOKUP(L1066,'Data Info'!$A$1:$C$8,3,0)</f>
        <v>Weekend</v>
      </c>
    </row>
    <row r="1067">
      <c r="A1067" s="4">
        <v>45543.584027777775</v>
      </c>
      <c r="B1067" s="9">
        <f>IFERROR(__xludf.DUMMYFUNCTION("SPLIT(A1067,"" "")"),45543.0)</f>
        <v>45543</v>
      </c>
      <c r="C1067" s="10">
        <f>IFERROR(__xludf.DUMMYFUNCTION("""COMPUTED_VALUE"""),0.5840277777777778)</f>
        <v>0.5840277778</v>
      </c>
      <c r="D1067" s="2">
        <f t="shared" si="1"/>
        <v>14</v>
      </c>
      <c r="E1067" s="2">
        <f>IFERROR(__xludf.DUMMYFUNCTION("SPLIT(B1067,""/"")"),8.0)</f>
        <v>8</v>
      </c>
      <c r="F1067" s="2">
        <f>IFERROR(__xludf.DUMMYFUNCTION("""COMPUTED_VALUE"""),9.0)</f>
        <v>9</v>
      </c>
      <c r="G1067" s="2">
        <f>IFERROR(__xludf.DUMMYFUNCTION("""COMPUTED_VALUE"""),2024.0)</f>
        <v>2024</v>
      </c>
      <c r="H1067" s="2" t="str">
        <f t="shared" si="2"/>
        <v>2024/9/8</v>
      </c>
      <c r="I1067" s="2" t="s">
        <v>1603</v>
      </c>
      <c r="J1067" s="2" t="str">
        <f t="shared" si="3"/>
        <v>Nasi Goreng Temu</v>
      </c>
      <c r="K1067" s="7">
        <f>if(RIGHT(I1067,5)="2 pcs",2,Data!I1067)</f>
        <v>1</v>
      </c>
      <c r="L1067" s="2" t="str">
        <f t="shared" si="4"/>
        <v>Sunday</v>
      </c>
      <c r="M1067" s="2" t="str">
        <f t="shared" si="5"/>
        <v>8</v>
      </c>
      <c r="N1067" s="2">
        <f>VLOOKUP(L1067,'Data Info'!$A$1:$B$8,2,0)</f>
        <v>7</v>
      </c>
      <c r="O1067" s="2" t="str">
        <f>VLOOKUP(L1067,'Data Info'!$A$1:$C$8,3,0)</f>
        <v>Weekend</v>
      </c>
    </row>
    <row r="1068">
      <c r="A1068" s="4">
        <v>45543.584027777775</v>
      </c>
      <c r="B1068" s="9">
        <f>IFERROR(__xludf.DUMMYFUNCTION("SPLIT(A1068,"" "")"),45543.0)</f>
        <v>45543</v>
      </c>
      <c r="C1068" s="10">
        <f>IFERROR(__xludf.DUMMYFUNCTION("""COMPUTED_VALUE"""),0.5840277777777778)</f>
        <v>0.5840277778</v>
      </c>
      <c r="D1068" s="2">
        <f t="shared" si="1"/>
        <v>14</v>
      </c>
      <c r="E1068" s="2">
        <f>IFERROR(__xludf.DUMMYFUNCTION("SPLIT(B1068,""/"")"),8.0)</f>
        <v>8</v>
      </c>
      <c r="F1068" s="2">
        <f>IFERROR(__xludf.DUMMYFUNCTION("""COMPUTED_VALUE"""),9.0)</f>
        <v>9</v>
      </c>
      <c r="G1068" s="2">
        <f>IFERROR(__xludf.DUMMYFUNCTION("""COMPUTED_VALUE"""),2024.0)</f>
        <v>2024</v>
      </c>
      <c r="H1068" s="2" t="str">
        <f t="shared" si="2"/>
        <v>2024/9/8</v>
      </c>
      <c r="I1068" s="2" t="s">
        <v>1584</v>
      </c>
      <c r="J1068" s="2" t="str">
        <f t="shared" si="3"/>
        <v>Korean Mango Fresh Milk</v>
      </c>
      <c r="K1068" s="7">
        <f>if(RIGHT(I1068,5)="2 pcs",2,Data!I1068)</f>
        <v>1</v>
      </c>
      <c r="L1068" s="2" t="str">
        <f t="shared" si="4"/>
        <v>Sunday</v>
      </c>
      <c r="M1068" s="2" t="str">
        <f t="shared" si="5"/>
        <v>8</v>
      </c>
      <c r="N1068" s="2">
        <f>VLOOKUP(L1068,'Data Info'!$A$1:$B$8,2,0)</f>
        <v>7</v>
      </c>
      <c r="O1068" s="2" t="str">
        <f>VLOOKUP(L1068,'Data Info'!$A$1:$C$8,3,0)</f>
        <v>Weekend</v>
      </c>
    </row>
    <row r="1069">
      <c r="A1069" s="4">
        <v>45543.584027777775</v>
      </c>
      <c r="B1069" s="9">
        <f>IFERROR(__xludf.DUMMYFUNCTION("SPLIT(A1069,"" "")"),45543.0)</f>
        <v>45543</v>
      </c>
      <c r="C1069" s="10">
        <f>IFERROR(__xludf.DUMMYFUNCTION("""COMPUTED_VALUE"""),0.5840277777777778)</f>
        <v>0.5840277778</v>
      </c>
      <c r="D1069" s="2">
        <f t="shared" si="1"/>
        <v>14</v>
      </c>
      <c r="E1069" s="2">
        <f>IFERROR(__xludf.DUMMYFUNCTION("SPLIT(B1069,""/"")"),8.0)</f>
        <v>8</v>
      </c>
      <c r="F1069" s="2">
        <f>IFERROR(__xludf.DUMMYFUNCTION("""COMPUTED_VALUE"""),9.0)</f>
        <v>9</v>
      </c>
      <c r="G1069" s="2">
        <f>IFERROR(__xludf.DUMMYFUNCTION("""COMPUTED_VALUE"""),2024.0)</f>
        <v>2024</v>
      </c>
      <c r="H1069" s="2" t="str">
        <f t="shared" si="2"/>
        <v>2024/9/8</v>
      </c>
      <c r="I1069" s="2" t="s">
        <v>1595</v>
      </c>
      <c r="J1069" s="2" t="str">
        <f t="shared" si="3"/>
        <v>Roti Gandum Cokelat</v>
      </c>
      <c r="K1069" s="7">
        <f>if(RIGHT(I1069,5)="2 pcs",2,Data!I1069)</f>
        <v>1</v>
      </c>
      <c r="L1069" s="2" t="str">
        <f t="shared" si="4"/>
        <v>Sunday</v>
      </c>
      <c r="M1069" s="2" t="str">
        <f t="shared" si="5"/>
        <v>8</v>
      </c>
      <c r="N1069" s="2">
        <f>VLOOKUP(L1069,'Data Info'!$A$1:$B$8,2,0)</f>
        <v>7</v>
      </c>
      <c r="O1069" s="2" t="str">
        <f>VLOOKUP(L1069,'Data Info'!$A$1:$C$8,3,0)</f>
        <v>Weekend</v>
      </c>
    </row>
    <row r="1070">
      <c r="A1070" s="4">
        <v>45543.584027777775</v>
      </c>
      <c r="B1070" s="9">
        <f>IFERROR(__xludf.DUMMYFUNCTION("SPLIT(A1070,"" "")"),45543.0)</f>
        <v>45543</v>
      </c>
      <c r="C1070" s="10">
        <f>IFERROR(__xludf.DUMMYFUNCTION("""COMPUTED_VALUE"""),0.5840277777777778)</f>
        <v>0.5840277778</v>
      </c>
      <c r="D1070" s="2">
        <f t="shared" si="1"/>
        <v>14</v>
      </c>
      <c r="E1070" s="2">
        <f>IFERROR(__xludf.DUMMYFUNCTION("SPLIT(B1070,""/"")"),8.0)</f>
        <v>8</v>
      </c>
      <c r="F1070" s="2">
        <f>IFERROR(__xludf.DUMMYFUNCTION("""COMPUTED_VALUE"""),9.0)</f>
        <v>9</v>
      </c>
      <c r="G1070" s="2">
        <f>IFERROR(__xludf.DUMMYFUNCTION("""COMPUTED_VALUE"""),2024.0)</f>
        <v>2024</v>
      </c>
      <c r="H1070" s="2" t="str">
        <f t="shared" si="2"/>
        <v>2024/9/8</v>
      </c>
      <c r="I1070" s="2" t="s">
        <v>1598</v>
      </c>
      <c r="J1070" s="2" t="str">
        <f t="shared" si="3"/>
        <v>Korean Strawberry Fresh Milk</v>
      </c>
      <c r="K1070" s="7">
        <f>if(RIGHT(I1070,5)="2 pcs",2,Data!I1070)</f>
        <v>1</v>
      </c>
      <c r="L1070" s="2" t="str">
        <f t="shared" si="4"/>
        <v>Sunday</v>
      </c>
      <c r="M1070" s="2" t="str">
        <f t="shared" si="5"/>
        <v>8</v>
      </c>
      <c r="N1070" s="2">
        <f>VLOOKUP(L1070,'Data Info'!$A$1:$B$8,2,0)</f>
        <v>7</v>
      </c>
      <c r="O1070" s="2" t="str">
        <f>VLOOKUP(L1070,'Data Info'!$A$1:$C$8,3,0)</f>
        <v>Weekend</v>
      </c>
    </row>
    <row r="1071">
      <c r="A1071" s="4">
        <v>45543.57916666667</v>
      </c>
      <c r="B1071" s="9">
        <f>IFERROR(__xludf.DUMMYFUNCTION("SPLIT(A1071,"" "")"),45543.0)</f>
        <v>45543</v>
      </c>
      <c r="C1071" s="10">
        <f>IFERROR(__xludf.DUMMYFUNCTION("""COMPUTED_VALUE"""),0.5791666666666667)</f>
        <v>0.5791666667</v>
      </c>
      <c r="D1071" s="2">
        <f t="shared" si="1"/>
        <v>13</v>
      </c>
      <c r="E1071" s="2">
        <f>IFERROR(__xludf.DUMMYFUNCTION("SPLIT(B1071,""/"")"),8.0)</f>
        <v>8</v>
      </c>
      <c r="F1071" s="2">
        <f>IFERROR(__xludf.DUMMYFUNCTION("""COMPUTED_VALUE"""),9.0)</f>
        <v>9</v>
      </c>
      <c r="G1071" s="2">
        <f>IFERROR(__xludf.DUMMYFUNCTION("""COMPUTED_VALUE"""),2024.0)</f>
        <v>2024</v>
      </c>
      <c r="H1071" s="2" t="str">
        <f t="shared" si="2"/>
        <v>2024/9/8</v>
      </c>
      <c r="I1071" s="2" t="s">
        <v>1588</v>
      </c>
      <c r="J1071" s="2" t="str">
        <f t="shared" si="3"/>
        <v>Es Kopi Susu</v>
      </c>
      <c r="K1071" s="7">
        <f>if(RIGHT(I1071,5)="2 pcs",2,Data!I1071)</f>
        <v>1</v>
      </c>
      <c r="L1071" s="2" t="str">
        <f t="shared" si="4"/>
        <v>Sunday</v>
      </c>
      <c r="M1071" s="2" t="str">
        <f t="shared" si="5"/>
        <v>8</v>
      </c>
      <c r="N1071" s="2">
        <f>VLOOKUP(L1071,'Data Info'!$A$1:$B$8,2,0)</f>
        <v>7</v>
      </c>
      <c r="O1071" s="2" t="str">
        <f>VLOOKUP(L1071,'Data Info'!$A$1:$C$8,3,0)</f>
        <v>Weekend</v>
      </c>
    </row>
    <row r="1072">
      <c r="A1072" s="4">
        <v>45543.57916666667</v>
      </c>
      <c r="B1072" s="9">
        <f>IFERROR(__xludf.DUMMYFUNCTION("SPLIT(A1072,"" "")"),45543.0)</f>
        <v>45543</v>
      </c>
      <c r="C1072" s="10">
        <f>IFERROR(__xludf.DUMMYFUNCTION("""COMPUTED_VALUE"""),0.5791666666666667)</f>
        <v>0.5791666667</v>
      </c>
      <c r="D1072" s="2">
        <f t="shared" si="1"/>
        <v>13</v>
      </c>
      <c r="E1072" s="2">
        <f>IFERROR(__xludf.DUMMYFUNCTION("SPLIT(B1072,""/"")"),8.0)</f>
        <v>8</v>
      </c>
      <c r="F1072" s="2">
        <f>IFERROR(__xludf.DUMMYFUNCTION("""COMPUTED_VALUE"""),9.0)</f>
        <v>9</v>
      </c>
      <c r="G1072" s="2">
        <f>IFERROR(__xludf.DUMMYFUNCTION("""COMPUTED_VALUE"""),2024.0)</f>
        <v>2024</v>
      </c>
      <c r="H1072" s="2" t="str">
        <f t="shared" si="2"/>
        <v>2024/9/8</v>
      </c>
      <c r="I1072" s="2" t="s">
        <v>1596</v>
      </c>
      <c r="J1072" s="2" t="str">
        <f t="shared" si="3"/>
        <v>Roti Cranberry</v>
      </c>
      <c r="K1072" s="7">
        <f>if(RIGHT(I1072,5)="2 pcs",2,Data!I1072)</f>
        <v>2</v>
      </c>
      <c r="L1072" s="2" t="str">
        <f t="shared" si="4"/>
        <v>Sunday</v>
      </c>
      <c r="M1072" s="2" t="str">
        <f t="shared" si="5"/>
        <v>8</v>
      </c>
      <c r="N1072" s="2">
        <f>VLOOKUP(L1072,'Data Info'!$A$1:$B$8,2,0)</f>
        <v>7</v>
      </c>
      <c r="O1072" s="2" t="str">
        <f>VLOOKUP(L1072,'Data Info'!$A$1:$C$8,3,0)</f>
        <v>Weekend</v>
      </c>
    </row>
    <row r="1073">
      <c r="A1073" s="4">
        <v>45543.56875</v>
      </c>
      <c r="B1073" s="9">
        <f>IFERROR(__xludf.DUMMYFUNCTION("SPLIT(A1073,"" "")"),45543.0)</f>
        <v>45543</v>
      </c>
      <c r="C1073" s="10">
        <f>IFERROR(__xludf.DUMMYFUNCTION("""COMPUTED_VALUE"""),0.56875)</f>
        <v>0.56875</v>
      </c>
      <c r="D1073" s="2">
        <f t="shared" si="1"/>
        <v>13</v>
      </c>
      <c r="E1073" s="2">
        <f>IFERROR(__xludf.DUMMYFUNCTION("SPLIT(B1073,""/"")"),8.0)</f>
        <v>8</v>
      </c>
      <c r="F1073" s="2">
        <f>IFERROR(__xludf.DUMMYFUNCTION("""COMPUTED_VALUE"""),9.0)</f>
        <v>9</v>
      </c>
      <c r="G1073" s="2">
        <f>IFERROR(__xludf.DUMMYFUNCTION("""COMPUTED_VALUE"""),2024.0)</f>
        <v>2024</v>
      </c>
      <c r="H1073" s="2" t="str">
        <f t="shared" si="2"/>
        <v>2024/9/8</v>
      </c>
      <c r="I1073" s="2" t="s">
        <v>1584</v>
      </c>
      <c r="J1073" s="2" t="str">
        <f t="shared" si="3"/>
        <v>Korean Mango Fresh Milk</v>
      </c>
      <c r="K1073" s="7">
        <f>if(RIGHT(I1073,5)="2 pcs",2,Data!I1073)</f>
        <v>1</v>
      </c>
      <c r="L1073" s="2" t="str">
        <f t="shared" si="4"/>
        <v>Sunday</v>
      </c>
      <c r="M1073" s="2" t="str">
        <f t="shared" si="5"/>
        <v>8</v>
      </c>
      <c r="N1073" s="2">
        <f>VLOOKUP(L1073,'Data Info'!$A$1:$B$8,2,0)</f>
        <v>7</v>
      </c>
      <c r="O1073" s="2" t="str">
        <f>VLOOKUP(L1073,'Data Info'!$A$1:$C$8,3,0)</f>
        <v>Weekend</v>
      </c>
    </row>
    <row r="1074">
      <c r="A1074" s="4">
        <v>45543.563888888886</v>
      </c>
      <c r="B1074" s="9">
        <f>IFERROR(__xludf.DUMMYFUNCTION("SPLIT(A1074,"" "")"),45543.0)</f>
        <v>45543</v>
      </c>
      <c r="C1074" s="10">
        <f>IFERROR(__xludf.DUMMYFUNCTION("""COMPUTED_VALUE"""),0.5638888888888889)</f>
        <v>0.5638888889</v>
      </c>
      <c r="D1074" s="2">
        <f t="shared" si="1"/>
        <v>13</v>
      </c>
      <c r="E1074" s="2">
        <f>IFERROR(__xludf.DUMMYFUNCTION("SPLIT(B1074,""/"")"),8.0)</f>
        <v>8</v>
      </c>
      <c r="F1074" s="2">
        <f>IFERROR(__xludf.DUMMYFUNCTION("""COMPUTED_VALUE"""),9.0)</f>
        <v>9</v>
      </c>
      <c r="G1074" s="2">
        <f>IFERROR(__xludf.DUMMYFUNCTION("""COMPUTED_VALUE"""),2024.0)</f>
        <v>2024</v>
      </c>
      <c r="H1074" s="2" t="str">
        <f t="shared" si="2"/>
        <v>2024/9/8</v>
      </c>
      <c r="I1074" s="2" t="s">
        <v>1582</v>
      </c>
      <c r="J1074" s="2" t="str">
        <f t="shared" si="3"/>
        <v>Teh Tawar Dingin</v>
      </c>
      <c r="K1074" s="7">
        <f>if(RIGHT(I1074,5)="2 pcs",2,Data!I1074)</f>
        <v>2</v>
      </c>
      <c r="L1074" s="2" t="str">
        <f t="shared" si="4"/>
        <v>Sunday</v>
      </c>
      <c r="M1074" s="2" t="str">
        <f t="shared" si="5"/>
        <v>8</v>
      </c>
      <c r="N1074" s="2">
        <f>VLOOKUP(L1074,'Data Info'!$A$1:$B$8,2,0)</f>
        <v>7</v>
      </c>
      <c r="O1074" s="2" t="str">
        <f>VLOOKUP(L1074,'Data Info'!$A$1:$C$8,3,0)</f>
        <v>Weekend</v>
      </c>
    </row>
    <row r="1075">
      <c r="A1075" s="4">
        <v>45543.563888888886</v>
      </c>
      <c r="B1075" s="9">
        <f>IFERROR(__xludf.DUMMYFUNCTION("SPLIT(A1075,"" "")"),45543.0)</f>
        <v>45543</v>
      </c>
      <c r="C1075" s="10">
        <f>IFERROR(__xludf.DUMMYFUNCTION("""COMPUTED_VALUE"""),0.5638888888888889)</f>
        <v>0.5638888889</v>
      </c>
      <c r="D1075" s="2">
        <f t="shared" si="1"/>
        <v>13</v>
      </c>
      <c r="E1075" s="2">
        <f>IFERROR(__xludf.DUMMYFUNCTION("SPLIT(B1075,""/"")"),8.0)</f>
        <v>8</v>
      </c>
      <c r="F1075" s="2">
        <f>IFERROR(__xludf.DUMMYFUNCTION("""COMPUTED_VALUE"""),9.0)</f>
        <v>9</v>
      </c>
      <c r="G1075" s="2">
        <f>IFERROR(__xludf.DUMMYFUNCTION("""COMPUTED_VALUE"""),2024.0)</f>
        <v>2024</v>
      </c>
      <c r="H1075" s="2" t="str">
        <f t="shared" si="2"/>
        <v>2024/9/8</v>
      </c>
      <c r="I1075" s="2" t="s">
        <v>1589</v>
      </c>
      <c r="J1075" s="2" t="str">
        <f t="shared" si="3"/>
        <v>Teh Manis Dingin</v>
      </c>
      <c r="K1075" s="7">
        <f>if(RIGHT(I1075,5)="2 pcs",2,Data!I1075)</f>
        <v>1</v>
      </c>
      <c r="L1075" s="2" t="str">
        <f t="shared" si="4"/>
        <v>Sunday</v>
      </c>
      <c r="M1075" s="2" t="str">
        <f t="shared" si="5"/>
        <v>8</v>
      </c>
      <c r="N1075" s="2">
        <f>VLOOKUP(L1075,'Data Info'!$A$1:$B$8,2,0)</f>
        <v>7</v>
      </c>
      <c r="O1075" s="2" t="str">
        <f>VLOOKUP(L1075,'Data Info'!$A$1:$C$8,3,0)</f>
        <v>Weekend</v>
      </c>
    </row>
    <row r="1076">
      <c r="A1076" s="4">
        <v>45543.563888888886</v>
      </c>
      <c r="B1076" s="9">
        <f>IFERROR(__xludf.DUMMYFUNCTION("SPLIT(A1076,"" "")"),45543.0)</f>
        <v>45543</v>
      </c>
      <c r="C1076" s="10">
        <f>IFERROR(__xludf.DUMMYFUNCTION("""COMPUTED_VALUE"""),0.5638888888888889)</f>
        <v>0.5638888889</v>
      </c>
      <c r="D1076" s="2">
        <f t="shared" si="1"/>
        <v>13</v>
      </c>
      <c r="E1076" s="2">
        <f>IFERROR(__xludf.DUMMYFUNCTION("SPLIT(B1076,""/"")"),8.0)</f>
        <v>8</v>
      </c>
      <c r="F1076" s="2">
        <f>IFERROR(__xludf.DUMMYFUNCTION("""COMPUTED_VALUE"""),9.0)</f>
        <v>9</v>
      </c>
      <c r="G1076" s="2">
        <f>IFERROR(__xludf.DUMMYFUNCTION("""COMPUTED_VALUE"""),2024.0)</f>
        <v>2024</v>
      </c>
      <c r="H1076" s="2" t="str">
        <f t="shared" si="2"/>
        <v>2024/9/8</v>
      </c>
      <c r="I1076" s="2" t="s">
        <v>1573</v>
      </c>
      <c r="J1076" s="2" t="str">
        <f t="shared" si="3"/>
        <v>Air mineral</v>
      </c>
      <c r="K1076" s="7">
        <f>if(RIGHT(I1076,5)="2 pcs",2,Data!I1076)</f>
        <v>1</v>
      </c>
      <c r="L1076" s="2" t="str">
        <f t="shared" si="4"/>
        <v>Sunday</v>
      </c>
      <c r="M1076" s="2" t="str">
        <f t="shared" si="5"/>
        <v>8</v>
      </c>
      <c r="N1076" s="2">
        <f>VLOOKUP(L1076,'Data Info'!$A$1:$B$8,2,0)</f>
        <v>7</v>
      </c>
      <c r="O1076" s="2" t="str">
        <f>VLOOKUP(L1076,'Data Info'!$A$1:$C$8,3,0)</f>
        <v>Weekend</v>
      </c>
    </row>
    <row r="1077">
      <c r="A1077" s="4">
        <v>45543.555555555555</v>
      </c>
      <c r="B1077" s="9">
        <f>IFERROR(__xludf.DUMMYFUNCTION("SPLIT(A1077,"" "")"),45543.0)</f>
        <v>45543</v>
      </c>
      <c r="C1077" s="10">
        <f>IFERROR(__xludf.DUMMYFUNCTION("""COMPUTED_VALUE"""),0.5555555555555556)</f>
        <v>0.5555555556</v>
      </c>
      <c r="D1077" s="2">
        <f t="shared" si="1"/>
        <v>13</v>
      </c>
      <c r="E1077" s="2">
        <f>IFERROR(__xludf.DUMMYFUNCTION("SPLIT(B1077,""/"")"),8.0)</f>
        <v>8</v>
      </c>
      <c r="F1077" s="2">
        <f>IFERROR(__xludf.DUMMYFUNCTION("""COMPUTED_VALUE"""),9.0)</f>
        <v>9</v>
      </c>
      <c r="G1077" s="2">
        <f>IFERROR(__xludf.DUMMYFUNCTION("""COMPUTED_VALUE"""),2024.0)</f>
        <v>2024</v>
      </c>
      <c r="H1077" s="2" t="str">
        <f t="shared" si="2"/>
        <v>2024/9/8</v>
      </c>
      <c r="I1077" s="2" t="s">
        <v>1596</v>
      </c>
      <c r="J1077" s="2" t="str">
        <f t="shared" si="3"/>
        <v>Roti Cranberry</v>
      </c>
      <c r="K1077" s="7">
        <f>if(RIGHT(I1077,5)="2 pcs",2,Data!I1077)</f>
        <v>2</v>
      </c>
      <c r="L1077" s="2" t="str">
        <f t="shared" si="4"/>
        <v>Sunday</v>
      </c>
      <c r="M1077" s="2" t="str">
        <f t="shared" si="5"/>
        <v>8</v>
      </c>
      <c r="N1077" s="2">
        <f>VLOOKUP(L1077,'Data Info'!$A$1:$B$8,2,0)</f>
        <v>7</v>
      </c>
      <c r="O1077" s="2" t="str">
        <f>VLOOKUP(L1077,'Data Info'!$A$1:$C$8,3,0)</f>
        <v>Weekend</v>
      </c>
    </row>
    <row r="1078">
      <c r="A1078" s="4">
        <v>45543.555555555555</v>
      </c>
      <c r="B1078" s="9">
        <f>IFERROR(__xludf.DUMMYFUNCTION("SPLIT(A1078,"" "")"),45543.0)</f>
        <v>45543</v>
      </c>
      <c r="C1078" s="10">
        <f>IFERROR(__xludf.DUMMYFUNCTION("""COMPUTED_VALUE"""),0.5555555555555556)</f>
        <v>0.5555555556</v>
      </c>
      <c r="D1078" s="2">
        <f t="shared" si="1"/>
        <v>13</v>
      </c>
      <c r="E1078" s="2">
        <f>IFERROR(__xludf.DUMMYFUNCTION("SPLIT(B1078,""/"")"),8.0)</f>
        <v>8</v>
      </c>
      <c r="F1078" s="2">
        <f>IFERROR(__xludf.DUMMYFUNCTION("""COMPUTED_VALUE"""),9.0)</f>
        <v>9</v>
      </c>
      <c r="G1078" s="2">
        <f>IFERROR(__xludf.DUMMYFUNCTION("""COMPUTED_VALUE"""),2024.0)</f>
        <v>2024</v>
      </c>
      <c r="H1078" s="2" t="str">
        <f t="shared" si="2"/>
        <v>2024/9/8</v>
      </c>
      <c r="I1078" s="2" t="s">
        <v>1597</v>
      </c>
      <c r="J1078" s="2" t="str">
        <f t="shared" si="3"/>
        <v>Roti Gandum Cokelat</v>
      </c>
      <c r="K1078" s="7">
        <f>if(RIGHT(I1078,5)="2 pcs",2,Data!I1078)</f>
        <v>2</v>
      </c>
      <c r="L1078" s="2" t="str">
        <f t="shared" si="4"/>
        <v>Sunday</v>
      </c>
      <c r="M1078" s="2" t="str">
        <f t="shared" si="5"/>
        <v>8</v>
      </c>
      <c r="N1078" s="2">
        <f>VLOOKUP(L1078,'Data Info'!$A$1:$B$8,2,0)</f>
        <v>7</v>
      </c>
      <c r="O1078" s="2" t="str">
        <f>VLOOKUP(L1078,'Data Info'!$A$1:$C$8,3,0)</f>
        <v>Weekend</v>
      </c>
    </row>
    <row r="1079">
      <c r="A1079" s="4">
        <v>45543.555555555555</v>
      </c>
      <c r="B1079" s="9">
        <f>IFERROR(__xludf.DUMMYFUNCTION("SPLIT(A1079,"" "")"),45543.0)</f>
        <v>45543</v>
      </c>
      <c r="C1079" s="10">
        <f>IFERROR(__xludf.DUMMYFUNCTION("""COMPUTED_VALUE"""),0.5555555555555556)</f>
        <v>0.5555555556</v>
      </c>
      <c r="D1079" s="2">
        <f t="shared" si="1"/>
        <v>13</v>
      </c>
      <c r="E1079" s="2">
        <f>IFERROR(__xludf.DUMMYFUNCTION("SPLIT(B1079,""/"")"),8.0)</f>
        <v>8</v>
      </c>
      <c r="F1079" s="2">
        <f>IFERROR(__xludf.DUMMYFUNCTION("""COMPUTED_VALUE"""),9.0)</f>
        <v>9</v>
      </c>
      <c r="G1079" s="2">
        <f>IFERROR(__xludf.DUMMYFUNCTION("""COMPUTED_VALUE"""),2024.0)</f>
        <v>2024</v>
      </c>
      <c r="H1079" s="2" t="str">
        <f t="shared" si="2"/>
        <v>2024/9/8</v>
      </c>
      <c r="I1079" s="2" t="s">
        <v>1595</v>
      </c>
      <c r="J1079" s="2" t="str">
        <f t="shared" si="3"/>
        <v>Roti Gandum Cokelat</v>
      </c>
      <c r="K1079" s="7">
        <f>if(RIGHT(I1079,5)="2 pcs",2,Data!I1079)</f>
        <v>1</v>
      </c>
      <c r="L1079" s="2" t="str">
        <f t="shared" si="4"/>
        <v>Sunday</v>
      </c>
      <c r="M1079" s="2" t="str">
        <f t="shared" si="5"/>
        <v>8</v>
      </c>
      <c r="N1079" s="2">
        <f>VLOOKUP(L1079,'Data Info'!$A$1:$B$8,2,0)</f>
        <v>7</v>
      </c>
      <c r="O1079" s="2" t="str">
        <f>VLOOKUP(L1079,'Data Info'!$A$1:$C$8,3,0)</f>
        <v>Weekend</v>
      </c>
    </row>
    <row r="1080">
      <c r="A1080" s="4">
        <v>45543.55416666667</v>
      </c>
      <c r="B1080" s="9">
        <f>IFERROR(__xludf.DUMMYFUNCTION("SPLIT(A1080,"" "")"),45543.0)</f>
        <v>45543</v>
      </c>
      <c r="C1080" s="10">
        <f>IFERROR(__xludf.DUMMYFUNCTION("""COMPUTED_VALUE"""),0.5541666666666667)</f>
        <v>0.5541666667</v>
      </c>
      <c r="D1080" s="2">
        <f t="shared" si="1"/>
        <v>13</v>
      </c>
      <c r="E1080" s="2">
        <f>IFERROR(__xludf.DUMMYFUNCTION("SPLIT(B1080,""/"")"),8.0)</f>
        <v>8</v>
      </c>
      <c r="F1080" s="2">
        <f>IFERROR(__xludf.DUMMYFUNCTION("""COMPUTED_VALUE"""),9.0)</f>
        <v>9</v>
      </c>
      <c r="G1080" s="2">
        <f>IFERROR(__xludf.DUMMYFUNCTION("""COMPUTED_VALUE"""),2024.0)</f>
        <v>2024</v>
      </c>
      <c r="H1080" s="2" t="str">
        <f t="shared" si="2"/>
        <v>2024/9/8</v>
      </c>
      <c r="I1080" s="2" t="s">
        <v>1597</v>
      </c>
      <c r="J1080" s="2" t="str">
        <f t="shared" si="3"/>
        <v>Roti Gandum Cokelat</v>
      </c>
      <c r="K1080" s="7">
        <f>if(RIGHT(I1080,5)="2 pcs",2,Data!I1080)</f>
        <v>2</v>
      </c>
      <c r="L1080" s="2" t="str">
        <f t="shared" si="4"/>
        <v>Sunday</v>
      </c>
      <c r="M1080" s="2" t="str">
        <f t="shared" si="5"/>
        <v>8</v>
      </c>
      <c r="N1080" s="2">
        <f>VLOOKUP(L1080,'Data Info'!$A$1:$B$8,2,0)</f>
        <v>7</v>
      </c>
      <c r="O1080" s="2" t="str">
        <f>VLOOKUP(L1080,'Data Info'!$A$1:$C$8,3,0)</f>
        <v>Weekend</v>
      </c>
    </row>
    <row r="1081">
      <c r="A1081" s="4">
        <v>45543.55416666667</v>
      </c>
      <c r="B1081" s="9">
        <f>IFERROR(__xludf.DUMMYFUNCTION("SPLIT(A1081,"" "")"),45543.0)</f>
        <v>45543</v>
      </c>
      <c r="C1081" s="10">
        <f>IFERROR(__xludf.DUMMYFUNCTION("""COMPUTED_VALUE"""),0.5541666666666667)</f>
        <v>0.5541666667</v>
      </c>
      <c r="D1081" s="2">
        <f t="shared" si="1"/>
        <v>13</v>
      </c>
      <c r="E1081" s="2">
        <f>IFERROR(__xludf.DUMMYFUNCTION("SPLIT(B1081,""/"")"),8.0)</f>
        <v>8</v>
      </c>
      <c r="F1081" s="2">
        <f>IFERROR(__xludf.DUMMYFUNCTION("""COMPUTED_VALUE"""),9.0)</f>
        <v>9</v>
      </c>
      <c r="G1081" s="2">
        <f>IFERROR(__xludf.DUMMYFUNCTION("""COMPUTED_VALUE"""),2024.0)</f>
        <v>2024</v>
      </c>
      <c r="H1081" s="2" t="str">
        <f t="shared" si="2"/>
        <v>2024/9/8</v>
      </c>
      <c r="I1081" s="2" t="s">
        <v>1596</v>
      </c>
      <c r="J1081" s="2" t="str">
        <f t="shared" si="3"/>
        <v>Roti Cranberry</v>
      </c>
      <c r="K1081" s="7">
        <f>if(RIGHT(I1081,5)="2 pcs",2,Data!I1081)</f>
        <v>2</v>
      </c>
      <c r="L1081" s="2" t="str">
        <f t="shared" si="4"/>
        <v>Sunday</v>
      </c>
      <c r="M1081" s="2" t="str">
        <f t="shared" si="5"/>
        <v>8</v>
      </c>
      <c r="N1081" s="2">
        <f>VLOOKUP(L1081,'Data Info'!$A$1:$B$8,2,0)</f>
        <v>7</v>
      </c>
      <c r="O1081" s="2" t="str">
        <f>VLOOKUP(L1081,'Data Info'!$A$1:$C$8,3,0)</f>
        <v>Weekend</v>
      </c>
    </row>
    <row r="1082">
      <c r="A1082" s="4">
        <v>45543.55416666667</v>
      </c>
      <c r="B1082" s="9">
        <f>IFERROR(__xludf.DUMMYFUNCTION("SPLIT(A1082,"" "")"),45543.0)</f>
        <v>45543</v>
      </c>
      <c r="C1082" s="10">
        <f>IFERROR(__xludf.DUMMYFUNCTION("""COMPUTED_VALUE"""),0.5541666666666667)</f>
        <v>0.5541666667</v>
      </c>
      <c r="D1082" s="2">
        <f t="shared" si="1"/>
        <v>13</v>
      </c>
      <c r="E1082" s="2">
        <f>IFERROR(__xludf.DUMMYFUNCTION("SPLIT(B1082,""/"")"),8.0)</f>
        <v>8</v>
      </c>
      <c r="F1082" s="2">
        <f>IFERROR(__xludf.DUMMYFUNCTION("""COMPUTED_VALUE"""),9.0)</f>
        <v>9</v>
      </c>
      <c r="G1082" s="2">
        <f>IFERROR(__xludf.DUMMYFUNCTION("""COMPUTED_VALUE"""),2024.0)</f>
        <v>2024</v>
      </c>
      <c r="H1082" s="2" t="str">
        <f t="shared" si="2"/>
        <v>2024/9/8</v>
      </c>
      <c r="I1082" s="2" t="s">
        <v>1566</v>
      </c>
      <c r="J1082" s="2" t="str">
        <f t="shared" si="3"/>
        <v>Roti Bawang Saus Keju</v>
      </c>
      <c r="K1082" s="7">
        <f>if(RIGHT(I1082,5)="2 pcs",2,Data!I1082)</f>
        <v>1</v>
      </c>
      <c r="L1082" s="2" t="str">
        <f t="shared" si="4"/>
        <v>Sunday</v>
      </c>
      <c r="M1082" s="2" t="str">
        <f t="shared" si="5"/>
        <v>8</v>
      </c>
      <c r="N1082" s="2">
        <f>VLOOKUP(L1082,'Data Info'!$A$1:$B$8,2,0)</f>
        <v>7</v>
      </c>
      <c r="O1082" s="2" t="str">
        <f>VLOOKUP(L1082,'Data Info'!$A$1:$C$8,3,0)</f>
        <v>Weekend</v>
      </c>
    </row>
    <row r="1083">
      <c r="A1083" s="4">
        <v>45543.55416666667</v>
      </c>
      <c r="B1083" s="9">
        <f>IFERROR(__xludf.DUMMYFUNCTION("SPLIT(A1083,"" "")"),45543.0)</f>
        <v>45543</v>
      </c>
      <c r="C1083" s="10">
        <f>IFERROR(__xludf.DUMMYFUNCTION("""COMPUTED_VALUE"""),0.5541666666666667)</f>
        <v>0.5541666667</v>
      </c>
      <c r="D1083" s="2">
        <f t="shared" si="1"/>
        <v>13</v>
      </c>
      <c r="E1083" s="2">
        <f>IFERROR(__xludf.DUMMYFUNCTION("SPLIT(B1083,""/"")"),8.0)</f>
        <v>8</v>
      </c>
      <c r="F1083" s="2">
        <f>IFERROR(__xludf.DUMMYFUNCTION("""COMPUTED_VALUE"""),9.0)</f>
        <v>9</v>
      </c>
      <c r="G1083" s="2">
        <f>IFERROR(__xludf.DUMMYFUNCTION("""COMPUTED_VALUE"""),2024.0)</f>
        <v>2024</v>
      </c>
      <c r="H1083" s="2" t="str">
        <f t="shared" si="2"/>
        <v>2024/9/8</v>
      </c>
      <c r="I1083" s="2" t="s">
        <v>1597</v>
      </c>
      <c r="J1083" s="2" t="str">
        <f t="shared" si="3"/>
        <v>Roti Gandum Cokelat</v>
      </c>
      <c r="K1083" s="7">
        <f>if(RIGHT(I1083,5)="2 pcs",2,Data!I1083)</f>
        <v>2</v>
      </c>
      <c r="L1083" s="2" t="str">
        <f t="shared" si="4"/>
        <v>Sunday</v>
      </c>
      <c r="M1083" s="2" t="str">
        <f t="shared" si="5"/>
        <v>8</v>
      </c>
      <c r="N1083" s="2">
        <f>VLOOKUP(L1083,'Data Info'!$A$1:$B$8,2,0)</f>
        <v>7</v>
      </c>
      <c r="O1083" s="2" t="str">
        <f>VLOOKUP(L1083,'Data Info'!$A$1:$C$8,3,0)</f>
        <v>Weekend</v>
      </c>
    </row>
    <row r="1084">
      <c r="A1084" s="4">
        <v>45543.51666666667</v>
      </c>
      <c r="B1084" s="9">
        <f>IFERROR(__xludf.DUMMYFUNCTION("SPLIT(A1084,"" "")"),45543.0)</f>
        <v>45543</v>
      </c>
      <c r="C1084" s="10">
        <f>IFERROR(__xludf.DUMMYFUNCTION("""COMPUTED_VALUE"""),0.5166666666666667)</f>
        <v>0.5166666667</v>
      </c>
      <c r="D1084" s="2">
        <f t="shared" si="1"/>
        <v>12</v>
      </c>
      <c r="E1084" s="2">
        <f>IFERROR(__xludf.DUMMYFUNCTION("SPLIT(B1084,""/"")"),8.0)</f>
        <v>8</v>
      </c>
      <c r="F1084" s="2">
        <f>IFERROR(__xludf.DUMMYFUNCTION("""COMPUTED_VALUE"""),9.0)</f>
        <v>9</v>
      </c>
      <c r="G1084" s="2">
        <f>IFERROR(__xludf.DUMMYFUNCTION("""COMPUTED_VALUE"""),2024.0)</f>
        <v>2024</v>
      </c>
      <c r="H1084" s="2" t="str">
        <f t="shared" si="2"/>
        <v>2024/9/8</v>
      </c>
      <c r="I1084" s="2" t="s">
        <v>1597</v>
      </c>
      <c r="J1084" s="2" t="str">
        <f t="shared" si="3"/>
        <v>Roti Gandum Cokelat</v>
      </c>
      <c r="K1084" s="7">
        <f>if(RIGHT(I1084,5)="2 pcs",2,Data!I1084)</f>
        <v>2</v>
      </c>
      <c r="L1084" s="2" t="str">
        <f t="shared" si="4"/>
        <v>Sunday</v>
      </c>
      <c r="M1084" s="2" t="str">
        <f t="shared" si="5"/>
        <v>8</v>
      </c>
      <c r="N1084" s="2">
        <f>VLOOKUP(L1084,'Data Info'!$A$1:$B$8,2,0)</f>
        <v>7</v>
      </c>
      <c r="O1084" s="2" t="str">
        <f>VLOOKUP(L1084,'Data Info'!$A$1:$C$8,3,0)</f>
        <v>Weekend</v>
      </c>
    </row>
    <row r="1085">
      <c r="A1085" s="4">
        <v>45543.51458333333</v>
      </c>
      <c r="B1085" s="9">
        <f>IFERROR(__xludf.DUMMYFUNCTION("SPLIT(A1085,"" "")"),45543.0)</f>
        <v>45543</v>
      </c>
      <c r="C1085" s="10">
        <f>IFERROR(__xludf.DUMMYFUNCTION("""COMPUTED_VALUE"""),0.5145833333333333)</f>
        <v>0.5145833333</v>
      </c>
      <c r="D1085" s="2">
        <f t="shared" si="1"/>
        <v>12</v>
      </c>
      <c r="E1085" s="2">
        <f>IFERROR(__xludf.DUMMYFUNCTION("SPLIT(B1085,""/"")"),8.0)</f>
        <v>8</v>
      </c>
      <c r="F1085" s="2">
        <f>IFERROR(__xludf.DUMMYFUNCTION("""COMPUTED_VALUE"""),9.0)</f>
        <v>9</v>
      </c>
      <c r="G1085" s="2">
        <f>IFERROR(__xludf.DUMMYFUNCTION("""COMPUTED_VALUE"""),2024.0)</f>
        <v>2024</v>
      </c>
      <c r="H1085" s="2" t="str">
        <f t="shared" si="2"/>
        <v>2024/9/8</v>
      </c>
      <c r="I1085" s="2" t="s">
        <v>1603</v>
      </c>
      <c r="J1085" s="2" t="str">
        <f t="shared" si="3"/>
        <v>Nasi Goreng Temu</v>
      </c>
      <c r="K1085" s="7">
        <f>if(RIGHT(I1085,5)="2 pcs",2,Data!I1085)</f>
        <v>1</v>
      </c>
      <c r="L1085" s="2" t="str">
        <f t="shared" si="4"/>
        <v>Sunday</v>
      </c>
      <c r="M1085" s="2" t="str">
        <f t="shared" si="5"/>
        <v>8</v>
      </c>
      <c r="N1085" s="2">
        <f>VLOOKUP(L1085,'Data Info'!$A$1:$B$8,2,0)</f>
        <v>7</v>
      </c>
      <c r="O1085" s="2" t="str">
        <f>VLOOKUP(L1085,'Data Info'!$A$1:$C$8,3,0)</f>
        <v>Weekend</v>
      </c>
    </row>
    <row r="1086">
      <c r="A1086" s="4">
        <v>45543.51458333333</v>
      </c>
      <c r="B1086" s="9">
        <f>IFERROR(__xludf.DUMMYFUNCTION("SPLIT(A1086,"" "")"),45543.0)</f>
        <v>45543</v>
      </c>
      <c r="C1086" s="10">
        <f>IFERROR(__xludf.DUMMYFUNCTION("""COMPUTED_VALUE"""),0.5145833333333333)</f>
        <v>0.5145833333</v>
      </c>
      <c r="D1086" s="2">
        <f t="shared" si="1"/>
        <v>12</v>
      </c>
      <c r="E1086" s="2">
        <f>IFERROR(__xludf.DUMMYFUNCTION("SPLIT(B1086,""/"")"),8.0)</f>
        <v>8</v>
      </c>
      <c r="F1086" s="2">
        <f>IFERROR(__xludf.DUMMYFUNCTION("""COMPUTED_VALUE"""),9.0)</f>
        <v>9</v>
      </c>
      <c r="G1086" s="2">
        <f>IFERROR(__xludf.DUMMYFUNCTION("""COMPUTED_VALUE"""),2024.0)</f>
        <v>2024</v>
      </c>
      <c r="H1086" s="2" t="str">
        <f t="shared" si="2"/>
        <v>2024/9/8</v>
      </c>
      <c r="I1086" s="2" t="s">
        <v>1607</v>
      </c>
      <c r="J1086" s="2" t="str">
        <f t="shared" si="3"/>
        <v>Tahu walik</v>
      </c>
      <c r="K1086" s="7">
        <f>if(RIGHT(I1086,5)="2 pcs",2,Data!I1086)</f>
        <v>1</v>
      </c>
      <c r="L1086" s="2" t="str">
        <f t="shared" si="4"/>
        <v>Sunday</v>
      </c>
      <c r="M1086" s="2" t="str">
        <f t="shared" si="5"/>
        <v>8</v>
      </c>
      <c r="N1086" s="2">
        <f>VLOOKUP(L1086,'Data Info'!$A$1:$B$8,2,0)</f>
        <v>7</v>
      </c>
      <c r="O1086" s="2" t="str">
        <f>VLOOKUP(L1086,'Data Info'!$A$1:$C$8,3,0)</f>
        <v>Weekend</v>
      </c>
    </row>
    <row r="1087">
      <c r="A1087" s="4">
        <v>45543.51458333333</v>
      </c>
      <c r="B1087" s="9">
        <f>IFERROR(__xludf.DUMMYFUNCTION("SPLIT(A1087,"" "")"),45543.0)</f>
        <v>45543</v>
      </c>
      <c r="C1087" s="10">
        <f>IFERROR(__xludf.DUMMYFUNCTION("""COMPUTED_VALUE"""),0.5145833333333333)</f>
        <v>0.5145833333</v>
      </c>
      <c r="D1087" s="2">
        <f t="shared" si="1"/>
        <v>12</v>
      </c>
      <c r="E1087" s="2">
        <f>IFERROR(__xludf.DUMMYFUNCTION("SPLIT(B1087,""/"")"),8.0)</f>
        <v>8</v>
      </c>
      <c r="F1087" s="2">
        <f>IFERROR(__xludf.DUMMYFUNCTION("""COMPUTED_VALUE"""),9.0)</f>
        <v>9</v>
      </c>
      <c r="G1087" s="2">
        <f>IFERROR(__xludf.DUMMYFUNCTION("""COMPUTED_VALUE"""),2024.0)</f>
        <v>2024</v>
      </c>
      <c r="H1087" s="2" t="str">
        <f t="shared" si="2"/>
        <v>2024/9/8</v>
      </c>
      <c r="I1087" s="2" t="s">
        <v>1581</v>
      </c>
      <c r="J1087" s="2" t="str">
        <f t="shared" si="3"/>
        <v>Chicken Claypot Rice</v>
      </c>
      <c r="K1087" s="7">
        <f>if(RIGHT(I1087,5)="2 pcs",2,Data!I1087)</f>
        <v>1</v>
      </c>
      <c r="L1087" s="2" t="str">
        <f t="shared" si="4"/>
        <v>Sunday</v>
      </c>
      <c r="M1087" s="2" t="str">
        <f t="shared" si="5"/>
        <v>8</v>
      </c>
      <c r="N1087" s="2">
        <f>VLOOKUP(L1087,'Data Info'!$A$1:$B$8,2,0)</f>
        <v>7</v>
      </c>
      <c r="O1087" s="2" t="str">
        <f>VLOOKUP(L1087,'Data Info'!$A$1:$C$8,3,0)</f>
        <v>Weekend</v>
      </c>
    </row>
    <row r="1088">
      <c r="A1088" s="4">
        <v>45543.51458333333</v>
      </c>
      <c r="B1088" s="9">
        <f>IFERROR(__xludf.DUMMYFUNCTION("SPLIT(A1088,"" "")"),45543.0)</f>
        <v>45543</v>
      </c>
      <c r="C1088" s="10">
        <f>IFERROR(__xludf.DUMMYFUNCTION("""COMPUTED_VALUE"""),0.5145833333333333)</f>
        <v>0.5145833333</v>
      </c>
      <c r="D1088" s="2">
        <f t="shared" si="1"/>
        <v>12</v>
      </c>
      <c r="E1088" s="2">
        <f>IFERROR(__xludf.DUMMYFUNCTION("SPLIT(B1088,""/"")"),8.0)</f>
        <v>8</v>
      </c>
      <c r="F1088" s="2">
        <f>IFERROR(__xludf.DUMMYFUNCTION("""COMPUTED_VALUE"""),9.0)</f>
        <v>9</v>
      </c>
      <c r="G1088" s="2">
        <f>IFERROR(__xludf.DUMMYFUNCTION("""COMPUTED_VALUE"""),2024.0)</f>
        <v>2024</v>
      </c>
      <c r="H1088" s="2" t="str">
        <f t="shared" si="2"/>
        <v>2024/9/8</v>
      </c>
      <c r="I1088" s="2" t="s">
        <v>1601</v>
      </c>
      <c r="J1088" s="2" t="str">
        <f t="shared" si="3"/>
        <v>Gula Asam Dingin</v>
      </c>
      <c r="K1088" s="7">
        <f>if(RIGHT(I1088,5)="2 pcs",2,Data!I1088)</f>
        <v>1</v>
      </c>
      <c r="L1088" s="2" t="str">
        <f t="shared" si="4"/>
        <v>Sunday</v>
      </c>
      <c r="M1088" s="2" t="str">
        <f t="shared" si="5"/>
        <v>8</v>
      </c>
      <c r="N1088" s="2">
        <f>VLOOKUP(L1088,'Data Info'!$A$1:$B$8,2,0)</f>
        <v>7</v>
      </c>
      <c r="O1088" s="2" t="str">
        <f>VLOOKUP(L1088,'Data Info'!$A$1:$C$8,3,0)</f>
        <v>Weekend</v>
      </c>
    </row>
    <row r="1089">
      <c r="A1089" s="4">
        <v>45543.45347222222</v>
      </c>
      <c r="B1089" s="9">
        <f>IFERROR(__xludf.DUMMYFUNCTION("SPLIT(A1089,"" "")"),45543.0)</f>
        <v>45543</v>
      </c>
      <c r="C1089" s="10">
        <f>IFERROR(__xludf.DUMMYFUNCTION("""COMPUTED_VALUE"""),0.4534722222222222)</f>
        <v>0.4534722222</v>
      </c>
      <c r="D1089" s="2">
        <f t="shared" si="1"/>
        <v>10</v>
      </c>
      <c r="E1089" s="2">
        <f>IFERROR(__xludf.DUMMYFUNCTION("SPLIT(B1089,""/"")"),8.0)</f>
        <v>8</v>
      </c>
      <c r="F1089" s="2">
        <f>IFERROR(__xludf.DUMMYFUNCTION("""COMPUTED_VALUE"""),9.0)</f>
        <v>9</v>
      </c>
      <c r="G1089" s="2">
        <f>IFERROR(__xludf.DUMMYFUNCTION("""COMPUTED_VALUE"""),2024.0)</f>
        <v>2024</v>
      </c>
      <c r="H1089" s="2" t="str">
        <f t="shared" si="2"/>
        <v>2024/9/8</v>
      </c>
      <c r="I1089" s="2" t="s">
        <v>1596</v>
      </c>
      <c r="J1089" s="2" t="str">
        <f t="shared" si="3"/>
        <v>Roti Cranberry</v>
      </c>
      <c r="K1089" s="7">
        <f>if(RIGHT(I1089,5)="2 pcs",2,Data!I1089)</f>
        <v>2</v>
      </c>
      <c r="L1089" s="2" t="str">
        <f t="shared" si="4"/>
        <v>Sunday</v>
      </c>
      <c r="M1089" s="2" t="str">
        <f t="shared" si="5"/>
        <v>8</v>
      </c>
      <c r="N1089" s="2">
        <f>VLOOKUP(L1089,'Data Info'!$A$1:$B$8,2,0)</f>
        <v>7</v>
      </c>
      <c r="O1089" s="2" t="str">
        <f>VLOOKUP(L1089,'Data Info'!$A$1:$C$8,3,0)</f>
        <v>Weekend</v>
      </c>
    </row>
    <row r="1090">
      <c r="A1090" s="4">
        <v>45543.427083333336</v>
      </c>
      <c r="B1090" s="9">
        <f>IFERROR(__xludf.DUMMYFUNCTION("SPLIT(A1090,"" "")"),45543.0)</f>
        <v>45543</v>
      </c>
      <c r="C1090" s="10">
        <f>IFERROR(__xludf.DUMMYFUNCTION("""COMPUTED_VALUE"""),0.4270833333333333)</f>
        <v>0.4270833333</v>
      </c>
      <c r="D1090" s="2">
        <f t="shared" si="1"/>
        <v>10</v>
      </c>
      <c r="E1090" s="2">
        <f>IFERROR(__xludf.DUMMYFUNCTION("SPLIT(B1090,""/"")"),8.0)</f>
        <v>8</v>
      </c>
      <c r="F1090" s="2">
        <f>IFERROR(__xludf.DUMMYFUNCTION("""COMPUTED_VALUE"""),9.0)</f>
        <v>9</v>
      </c>
      <c r="G1090" s="2">
        <f>IFERROR(__xludf.DUMMYFUNCTION("""COMPUTED_VALUE"""),2024.0)</f>
        <v>2024</v>
      </c>
      <c r="H1090" s="2" t="str">
        <f t="shared" si="2"/>
        <v>2024/9/8</v>
      </c>
      <c r="I1090" s="2" t="s">
        <v>1566</v>
      </c>
      <c r="J1090" s="2" t="str">
        <f t="shared" si="3"/>
        <v>Roti Bawang Saus Keju</v>
      </c>
      <c r="K1090" s="7">
        <f>if(RIGHT(I1090,5)="2 pcs",2,Data!I1090)</f>
        <v>1</v>
      </c>
      <c r="L1090" s="2" t="str">
        <f t="shared" si="4"/>
        <v>Sunday</v>
      </c>
      <c r="M1090" s="2" t="str">
        <f t="shared" si="5"/>
        <v>8</v>
      </c>
      <c r="N1090" s="2">
        <f>VLOOKUP(L1090,'Data Info'!$A$1:$B$8,2,0)</f>
        <v>7</v>
      </c>
      <c r="O1090" s="2" t="str">
        <f>VLOOKUP(L1090,'Data Info'!$A$1:$C$8,3,0)</f>
        <v>Weekend</v>
      </c>
    </row>
    <row r="1091">
      <c r="A1091" s="4">
        <v>45543.424305555556</v>
      </c>
      <c r="B1091" s="9">
        <f>IFERROR(__xludf.DUMMYFUNCTION("SPLIT(A1091,"" "")"),45543.0)</f>
        <v>45543</v>
      </c>
      <c r="C1091" s="10">
        <f>IFERROR(__xludf.DUMMYFUNCTION("""COMPUTED_VALUE"""),0.42430555555555555)</f>
        <v>0.4243055556</v>
      </c>
      <c r="D1091" s="2">
        <f t="shared" si="1"/>
        <v>10</v>
      </c>
      <c r="E1091" s="2">
        <f>IFERROR(__xludf.DUMMYFUNCTION("SPLIT(B1091,""/"")"),8.0)</f>
        <v>8</v>
      </c>
      <c r="F1091" s="2">
        <f>IFERROR(__xludf.DUMMYFUNCTION("""COMPUTED_VALUE"""),9.0)</f>
        <v>9</v>
      </c>
      <c r="G1091" s="2">
        <f>IFERROR(__xludf.DUMMYFUNCTION("""COMPUTED_VALUE"""),2024.0)</f>
        <v>2024</v>
      </c>
      <c r="H1091" s="2" t="str">
        <f t="shared" si="2"/>
        <v>2024/9/8</v>
      </c>
      <c r="I1091" s="2" t="s">
        <v>1596</v>
      </c>
      <c r="J1091" s="2" t="str">
        <f t="shared" si="3"/>
        <v>Roti Cranberry</v>
      </c>
      <c r="K1091" s="7">
        <f>if(RIGHT(I1091,5)="2 pcs",2,Data!I1091)</f>
        <v>2</v>
      </c>
      <c r="L1091" s="2" t="str">
        <f t="shared" si="4"/>
        <v>Sunday</v>
      </c>
      <c r="M1091" s="2" t="str">
        <f t="shared" si="5"/>
        <v>8</v>
      </c>
      <c r="N1091" s="2">
        <f>VLOOKUP(L1091,'Data Info'!$A$1:$B$8,2,0)</f>
        <v>7</v>
      </c>
      <c r="O1091" s="2" t="str">
        <f>VLOOKUP(L1091,'Data Info'!$A$1:$C$8,3,0)</f>
        <v>Weekend</v>
      </c>
    </row>
    <row r="1092">
      <c r="A1092" s="4">
        <v>45543.424305555556</v>
      </c>
      <c r="B1092" s="9">
        <f>IFERROR(__xludf.DUMMYFUNCTION("SPLIT(A1092,"" "")"),45543.0)</f>
        <v>45543</v>
      </c>
      <c r="C1092" s="10">
        <f>IFERROR(__xludf.DUMMYFUNCTION("""COMPUTED_VALUE"""),0.42430555555555555)</f>
        <v>0.4243055556</v>
      </c>
      <c r="D1092" s="2">
        <f t="shared" si="1"/>
        <v>10</v>
      </c>
      <c r="E1092" s="2">
        <f>IFERROR(__xludf.DUMMYFUNCTION("SPLIT(B1092,""/"")"),8.0)</f>
        <v>8</v>
      </c>
      <c r="F1092" s="2">
        <f>IFERROR(__xludf.DUMMYFUNCTION("""COMPUTED_VALUE"""),9.0)</f>
        <v>9</v>
      </c>
      <c r="G1092" s="2">
        <f>IFERROR(__xludf.DUMMYFUNCTION("""COMPUTED_VALUE"""),2024.0)</f>
        <v>2024</v>
      </c>
      <c r="H1092" s="2" t="str">
        <f t="shared" si="2"/>
        <v>2024/9/8</v>
      </c>
      <c r="I1092" s="2" t="s">
        <v>1595</v>
      </c>
      <c r="J1092" s="2" t="str">
        <f t="shared" si="3"/>
        <v>Roti Gandum Cokelat</v>
      </c>
      <c r="K1092" s="7">
        <f>if(RIGHT(I1092,5)="2 pcs",2,Data!I1092)</f>
        <v>1</v>
      </c>
      <c r="L1092" s="2" t="str">
        <f t="shared" si="4"/>
        <v>Sunday</v>
      </c>
      <c r="M1092" s="2" t="str">
        <f t="shared" si="5"/>
        <v>8</v>
      </c>
      <c r="N1092" s="2">
        <f>VLOOKUP(L1092,'Data Info'!$A$1:$B$8,2,0)</f>
        <v>7</v>
      </c>
      <c r="O1092" s="2" t="str">
        <f>VLOOKUP(L1092,'Data Info'!$A$1:$C$8,3,0)</f>
        <v>Weekend</v>
      </c>
    </row>
    <row r="1093">
      <c r="A1093" s="4">
        <v>45543.424305555556</v>
      </c>
      <c r="B1093" s="9">
        <f>IFERROR(__xludf.DUMMYFUNCTION("SPLIT(A1093,"" "")"),45543.0)</f>
        <v>45543</v>
      </c>
      <c r="C1093" s="10">
        <f>IFERROR(__xludf.DUMMYFUNCTION("""COMPUTED_VALUE"""),0.42430555555555555)</f>
        <v>0.4243055556</v>
      </c>
      <c r="D1093" s="2">
        <f t="shared" si="1"/>
        <v>10</v>
      </c>
      <c r="E1093" s="2">
        <f>IFERROR(__xludf.DUMMYFUNCTION("SPLIT(B1093,""/"")"),8.0)</f>
        <v>8</v>
      </c>
      <c r="F1093" s="2">
        <f>IFERROR(__xludf.DUMMYFUNCTION("""COMPUTED_VALUE"""),9.0)</f>
        <v>9</v>
      </c>
      <c r="G1093" s="2">
        <f>IFERROR(__xludf.DUMMYFUNCTION("""COMPUTED_VALUE"""),2024.0)</f>
        <v>2024</v>
      </c>
      <c r="H1093" s="2" t="str">
        <f t="shared" si="2"/>
        <v>2024/9/8</v>
      </c>
      <c r="I1093" s="2" t="s">
        <v>1588</v>
      </c>
      <c r="J1093" s="2" t="str">
        <f t="shared" si="3"/>
        <v>Es Kopi Susu</v>
      </c>
      <c r="K1093" s="7">
        <f>if(RIGHT(I1093,5)="2 pcs",2,Data!I1093)</f>
        <v>1</v>
      </c>
      <c r="L1093" s="2" t="str">
        <f t="shared" si="4"/>
        <v>Sunday</v>
      </c>
      <c r="M1093" s="2" t="str">
        <f t="shared" si="5"/>
        <v>8</v>
      </c>
      <c r="N1093" s="2">
        <f>VLOOKUP(L1093,'Data Info'!$A$1:$B$8,2,0)</f>
        <v>7</v>
      </c>
      <c r="O1093" s="2" t="str">
        <f>VLOOKUP(L1093,'Data Info'!$A$1:$C$8,3,0)</f>
        <v>Weekend</v>
      </c>
    </row>
    <row r="1094">
      <c r="A1094" s="4">
        <v>45543.424305555556</v>
      </c>
      <c r="B1094" s="9">
        <f>IFERROR(__xludf.DUMMYFUNCTION("SPLIT(A1094,"" "")"),45543.0)</f>
        <v>45543</v>
      </c>
      <c r="C1094" s="10">
        <f>IFERROR(__xludf.DUMMYFUNCTION("""COMPUTED_VALUE"""),0.42430555555555555)</f>
        <v>0.4243055556</v>
      </c>
      <c r="D1094" s="2">
        <f t="shared" si="1"/>
        <v>10</v>
      </c>
      <c r="E1094" s="2">
        <f>IFERROR(__xludf.DUMMYFUNCTION("SPLIT(B1094,""/"")"),8.0)</f>
        <v>8</v>
      </c>
      <c r="F1094" s="2">
        <f>IFERROR(__xludf.DUMMYFUNCTION("""COMPUTED_VALUE"""),9.0)</f>
        <v>9</v>
      </c>
      <c r="G1094" s="2">
        <f>IFERROR(__xludf.DUMMYFUNCTION("""COMPUTED_VALUE"""),2024.0)</f>
        <v>2024</v>
      </c>
      <c r="H1094" s="2" t="str">
        <f t="shared" si="2"/>
        <v>2024/9/8</v>
      </c>
      <c r="I1094" s="2" t="s">
        <v>1577</v>
      </c>
      <c r="J1094" s="2" t="str">
        <f t="shared" si="3"/>
        <v>Rempah Madu Panas</v>
      </c>
      <c r="K1094" s="7">
        <f>if(RIGHT(I1094,5)="2 pcs",2,Data!I1094)</f>
        <v>1</v>
      </c>
      <c r="L1094" s="2" t="str">
        <f t="shared" si="4"/>
        <v>Sunday</v>
      </c>
      <c r="M1094" s="2" t="str">
        <f t="shared" si="5"/>
        <v>8</v>
      </c>
      <c r="N1094" s="2">
        <f>VLOOKUP(L1094,'Data Info'!$A$1:$B$8,2,0)</f>
        <v>7</v>
      </c>
      <c r="O1094" s="2" t="str">
        <f>VLOOKUP(L1094,'Data Info'!$A$1:$C$8,3,0)</f>
        <v>Weekend</v>
      </c>
    </row>
    <row r="1095">
      <c r="A1095" s="4">
        <v>45543.424305555556</v>
      </c>
      <c r="B1095" s="9">
        <f>IFERROR(__xludf.DUMMYFUNCTION("SPLIT(A1095,"" "")"),45543.0)</f>
        <v>45543</v>
      </c>
      <c r="C1095" s="10">
        <f>IFERROR(__xludf.DUMMYFUNCTION("""COMPUTED_VALUE"""),0.42430555555555555)</f>
        <v>0.4243055556</v>
      </c>
      <c r="D1095" s="2">
        <f t="shared" si="1"/>
        <v>10</v>
      </c>
      <c r="E1095" s="2">
        <f>IFERROR(__xludf.DUMMYFUNCTION("SPLIT(B1095,""/"")"),8.0)</f>
        <v>8</v>
      </c>
      <c r="F1095" s="2">
        <f>IFERROR(__xludf.DUMMYFUNCTION("""COMPUTED_VALUE"""),9.0)</f>
        <v>9</v>
      </c>
      <c r="G1095" s="2">
        <f>IFERROR(__xludf.DUMMYFUNCTION("""COMPUTED_VALUE"""),2024.0)</f>
        <v>2024</v>
      </c>
      <c r="H1095" s="2" t="str">
        <f t="shared" si="2"/>
        <v>2024/9/8</v>
      </c>
      <c r="I1095" s="2" t="s">
        <v>1588</v>
      </c>
      <c r="J1095" s="2" t="str">
        <f t="shared" si="3"/>
        <v>Es Kopi Susu</v>
      </c>
      <c r="K1095" s="7">
        <f>if(RIGHT(I1095,5)="2 pcs",2,Data!I1095)</f>
        <v>1</v>
      </c>
      <c r="L1095" s="2" t="str">
        <f t="shared" si="4"/>
        <v>Sunday</v>
      </c>
      <c r="M1095" s="2" t="str">
        <f t="shared" si="5"/>
        <v>8</v>
      </c>
      <c r="N1095" s="2">
        <f>VLOOKUP(L1095,'Data Info'!$A$1:$B$8,2,0)</f>
        <v>7</v>
      </c>
      <c r="O1095" s="2" t="str">
        <f>VLOOKUP(L1095,'Data Info'!$A$1:$C$8,3,0)</f>
        <v>Weekend</v>
      </c>
    </row>
    <row r="1096">
      <c r="A1096" s="4">
        <v>45543.424305555556</v>
      </c>
      <c r="B1096" s="9">
        <f>IFERROR(__xludf.DUMMYFUNCTION("SPLIT(A1096,"" "")"),45543.0)</f>
        <v>45543</v>
      </c>
      <c r="C1096" s="10">
        <f>IFERROR(__xludf.DUMMYFUNCTION("""COMPUTED_VALUE"""),0.42430555555555555)</f>
        <v>0.4243055556</v>
      </c>
      <c r="D1096" s="2">
        <f t="shared" si="1"/>
        <v>10</v>
      </c>
      <c r="E1096" s="2">
        <f>IFERROR(__xludf.DUMMYFUNCTION("SPLIT(B1096,""/"")"),8.0)</f>
        <v>8</v>
      </c>
      <c r="F1096" s="2">
        <f>IFERROR(__xludf.DUMMYFUNCTION("""COMPUTED_VALUE"""),9.0)</f>
        <v>9</v>
      </c>
      <c r="G1096" s="2">
        <f>IFERROR(__xludf.DUMMYFUNCTION("""COMPUTED_VALUE"""),2024.0)</f>
        <v>2024</v>
      </c>
      <c r="H1096" s="2" t="str">
        <f t="shared" si="2"/>
        <v>2024/9/8</v>
      </c>
      <c r="I1096" s="2" t="s">
        <v>1598</v>
      </c>
      <c r="J1096" s="2" t="str">
        <f t="shared" si="3"/>
        <v>Korean Strawberry Fresh Milk</v>
      </c>
      <c r="K1096" s="7">
        <f>if(RIGHT(I1096,5)="2 pcs",2,Data!I1096)</f>
        <v>1</v>
      </c>
      <c r="L1096" s="2" t="str">
        <f t="shared" si="4"/>
        <v>Sunday</v>
      </c>
      <c r="M1096" s="2" t="str">
        <f t="shared" si="5"/>
        <v>8</v>
      </c>
      <c r="N1096" s="2">
        <f>VLOOKUP(L1096,'Data Info'!$A$1:$B$8,2,0)</f>
        <v>7</v>
      </c>
      <c r="O1096" s="2" t="str">
        <f>VLOOKUP(L1096,'Data Info'!$A$1:$C$8,3,0)</f>
        <v>Weekend</v>
      </c>
    </row>
    <row r="1097">
      <c r="A1097" s="4">
        <v>45543.424305555556</v>
      </c>
      <c r="B1097" s="9">
        <f>IFERROR(__xludf.DUMMYFUNCTION("SPLIT(A1097,"" "")"),45543.0)</f>
        <v>45543</v>
      </c>
      <c r="C1097" s="10">
        <f>IFERROR(__xludf.DUMMYFUNCTION("""COMPUTED_VALUE"""),0.42430555555555555)</f>
        <v>0.4243055556</v>
      </c>
      <c r="D1097" s="2">
        <f t="shared" si="1"/>
        <v>10</v>
      </c>
      <c r="E1097" s="2">
        <f>IFERROR(__xludf.DUMMYFUNCTION("SPLIT(B1097,""/"")"),8.0)</f>
        <v>8</v>
      </c>
      <c r="F1097" s="2">
        <f>IFERROR(__xludf.DUMMYFUNCTION("""COMPUTED_VALUE"""),9.0)</f>
        <v>9</v>
      </c>
      <c r="G1097" s="2">
        <f>IFERROR(__xludf.DUMMYFUNCTION("""COMPUTED_VALUE"""),2024.0)</f>
        <v>2024</v>
      </c>
      <c r="H1097" s="2" t="str">
        <f t="shared" si="2"/>
        <v>2024/9/8</v>
      </c>
      <c r="I1097" s="2" t="s">
        <v>1573</v>
      </c>
      <c r="J1097" s="2" t="str">
        <f t="shared" si="3"/>
        <v>Air mineral</v>
      </c>
      <c r="K1097" s="7">
        <f>if(RIGHT(I1097,5)="2 pcs",2,Data!I1097)</f>
        <v>1</v>
      </c>
      <c r="L1097" s="2" t="str">
        <f t="shared" si="4"/>
        <v>Sunday</v>
      </c>
      <c r="M1097" s="2" t="str">
        <f t="shared" si="5"/>
        <v>8</v>
      </c>
      <c r="N1097" s="2">
        <f>VLOOKUP(L1097,'Data Info'!$A$1:$B$8,2,0)</f>
        <v>7</v>
      </c>
      <c r="O1097" s="2" t="str">
        <f>VLOOKUP(L1097,'Data Info'!$A$1:$C$8,3,0)</f>
        <v>Weekend</v>
      </c>
    </row>
    <row r="1098">
      <c r="A1098" s="4">
        <v>45543.424305555556</v>
      </c>
      <c r="B1098" s="9">
        <f>IFERROR(__xludf.DUMMYFUNCTION("SPLIT(A1098,"" "")"),45543.0)</f>
        <v>45543</v>
      </c>
      <c r="C1098" s="10">
        <f>IFERROR(__xludf.DUMMYFUNCTION("""COMPUTED_VALUE"""),0.42430555555555555)</f>
        <v>0.4243055556</v>
      </c>
      <c r="D1098" s="2">
        <f t="shared" si="1"/>
        <v>10</v>
      </c>
      <c r="E1098" s="2">
        <f>IFERROR(__xludf.DUMMYFUNCTION("SPLIT(B1098,""/"")"),8.0)</f>
        <v>8</v>
      </c>
      <c r="F1098" s="2">
        <f>IFERROR(__xludf.DUMMYFUNCTION("""COMPUTED_VALUE"""),9.0)</f>
        <v>9</v>
      </c>
      <c r="G1098" s="2">
        <f>IFERROR(__xludf.DUMMYFUNCTION("""COMPUTED_VALUE"""),2024.0)</f>
        <v>2024</v>
      </c>
      <c r="H1098" s="2" t="str">
        <f t="shared" si="2"/>
        <v>2024/9/8</v>
      </c>
      <c r="I1098" s="2" t="s">
        <v>1605</v>
      </c>
      <c r="J1098" s="2" t="str">
        <f t="shared" si="3"/>
        <v>Kentang Goreng</v>
      </c>
      <c r="K1098" s="7">
        <f>if(RIGHT(I1098,5)="2 pcs",2,Data!I1098)</f>
        <v>1</v>
      </c>
      <c r="L1098" s="2" t="str">
        <f t="shared" si="4"/>
        <v>Sunday</v>
      </c>
      <c r="M1098" s="2" t="str">
        <f t="shared" si="5"/>
        <v>8</v>
      </c>
      <c r="N1098" s="2">
        <f>VLOOKUP(L1098,'Data Info'!$A$1:$B$8,2,0)</f>
        <v>7</v>
      </c>
      <c r="O1098" s="2" t="str">
        <f>VLOOKUP(L1098,'Data Info'!$A$1:$C$8,3,0)</f>
        <v>Weekend</v>
      </c>
    </row>
    <row r="1099">
      <c r="A1099" s="4">
        <v>45543.424305555556</v>
      </c>
      <c r="B1099" s="9">
        <f>IFERROR(__xludf.DUMMYFUNCTION("SPLIT(A1099,"" "")"),45543.0)</f>
        <v>45543</v>
      </c>
      <c r="C1099" s="10">
        <f>IFERROR(__xludf.DUMMYFUNCTION("""COMPUTED_VALUE"""),0.42430555555555555)</f>
        <v>0.4243055556</v>
      </c>
      <c r="D1099" s="2">
        <f t="shared" si="1"/>
        <v>10</v>
      </c>
      <c r="E1099" s="2">
        <f>IFERROR(__xludf.DUMMYFUNCTION("SPLIT(B1099,""/"")"),8.0)</f>
        <v>8</v>
      </c>
      <c r="F1099" s="2">
        <f>IFERROR(__xludf.DUMMYFUNCTION("""COMPUTED_VALUE"""),9.0)</f>
        <v>9</v>
      </c>
      <c r="G1099" s="2">
        <f>IFERROR(__xludf.DUMMYFUNCTION("""COMPUTED_VALUE"""),2024.0)</f>
        <v>2024</v>
      </c>
      <c r="H1099" s="2" t="str">
        <f t="shared" si="2"/>
        <v>2024/9/8</v>
      </c>
      <c r="I1099" s="2" t="s">
        <v>1577</v>
      </c>
      <c r="J1099" s="2" t="str">
        <f t="shared" si="3"/>
        <v>Rempah Madu Panas</v>
      </c>
      <c r="K1099" s="7">
        <f>if(RIGHT(I1099,5)="2 pcs",2,Data!I1099)</f>
        <v>1</v>
      </c>
      <c r="L1099" s="2" t="str">
        <f t="shared" si="4"/>
        <v>Sunday</v>
      </c>
      <c r="M1099" s="2" t="str">
        <f t="shared" si="5"/>
        <v>8</v>
      </c>
      <c r="N1099" s="2">
        <f>VLOOKUP(L1099,'Data Info'!$A$1:$B$8,2,0)</f>
        <v>7</v>
      </c>
      <c r="O1099" s="2" t="str">
        <f>VLOOKUP(L1099,'Data Info'!$A$1:$C$8,3,0)</f>
        <v>Weekend</v>
      </c>
    </row>
    <row r="1100">
      <c r="A1100" s="4">
        <v>45543.424305555556</v>
      </c>
      <c r="B1100" s="9">
        <f>IFERROR(__xludf.DUMMYFUNCTION("SPLIT(A1100,"" "")"),45543.0)</f>
        <v>45543</v>
      </c>
      <c r="C1100" s="10">
        <f>IFERROR(__xludf.DUMMYFUNCTION("""COMPUTED_VALUE"""),0.42430555555555555)</f>
        <v>0.4243055556</v>
      </c>
      <c r="D1100" s="2">
        <f t="shared" si="1"/>
        <v>10</v>
      </c>
      <c r="E1100" s="2">
        <f>IFERROR(__xludf.DUMMYFUNCTION("SPLIT(B1100,""/"")"),8.0)</f>
        <v>8</v>
      </c>
      <c r="F1100" s="2">
        <f>IFERROR(__xludf.DUMMYFUNCTION("""COMPUTED_VALUE"""),9.0)</f>
        <v>9</v>
      </c>
      <c r="G1100" s="2">
        <f>IFERROR(__xludf.DUMMYFUNCTION("""COMPUTED_VALUE"""),2024.0)</f>
        <v>2024</v>
      </c>
      <c r="H1100" s="2" t="str">
        <f t="shared" si="2"/>
        <v>2024/9/8</v>
      </c>
      <c r="I1100" s="2" t="s">
        <v>1621</v>
      </c>
      <c r="J1100" s="2" t="str">
        <f t="shared" si="3"/>
        <v>Wedang angin</v>
      </c>
      <c r="K1100" s="7">
        <f>if(RIGHT(I1100,5)="2 pcs",2,Data!I1100)</f>
        <v>1</v>
      </c>
      <c r="L1100" s="2" t="str">
        <f t="shared" si="4"/>
        <v>Sunday</v>
      </c>
      <c r="M1100" s="2" t="str">
        <f t="shared" si="5"/>
        <v>8</v>
      </c>
      <c r="N1100" s="2">
        <f>VLOOKUP(L1100,'Data Info'!$A$1:$B$8,2,0)</f>
        <v>7</v>
      </c>
      <c r="O1100" s="2" t="str">
        <f>VLOOKUP(L1100,'Data Info'!$A$1:$C$8,3,0)</f>
        <v>Weekend</v>
      </c>
    </row>
    <row r="1101">
      <c r="A1101" s="4">
        <v>45543.424305555556</v>
      </c>
      <c r="B1101" s="9">
        <f>IFERROR(__xludf.DUMMYFUNCTION("SPLIT(A1101,"" "")"),45543.0)</f>
        <v>45543</v>
      </c>
      <c r="C1101" s="10">
        <f>IFERROR(__xludf.DUMMYFUNCTION("""COMPUTED_VALUE"""),0.42430555555555555)</f>
        <v>0.4243055556</v>
      </c>
      <c r="D1101" s="2">
        <f t="shared" si="1"/>
        <v>10</v>
      </c>
      <c r="E1101" s="2">
        <f>IFERROR(__xludf.DUMMYFUNCTION("SPLIT(B1101,""/"")"),8.0)</f>
        <v>8</v>
      </c>
      <c r="F1101" s="2">
        <f>IFERROR(__xludf.DUMMYFUNCTION("""COMPUTED_VALUE"""),9.0)</f>
        <v>9</v>
      </c>
      <c r="G1101" s="2">
        <f>IFERROR(__xludf.DUMMYFUNCTION("""COMPUTED_VALUE"""),2024.0)</f>
        <v>2024</v>
      </c>
      <c r="H1101" s="2" t="str">
        <f t="shared" si="2"/>
        <v>2024/9/8</v>
      </c>
      <c r="I1101" s="2" t="s">
        <v>1576</v>
      </c>
      <c r="J1101" s="2" t="str">
        <f t="shared" si="3"/>
        <v>Roti Cranberry</v>
      </c>
      <c r="K1101" s="7">
        <f>if(RIGHT(I1101,5)="2 pcs",2,Data!I1101)</f>
        <v>1</v>
      </c>
      <c r="L1101" s="2" t="str">
        <f t="shared" si="4"/>
        <v>Sunday</v>
      </c>
      <c r="M1101" s="2" t="str">
        <f t="shared" si="5"/>
        <v>8</v>
      </c>
      <c r="N1101" s="2">
        <f>VLOOKUP(L1101,'Data Info'!$A$1:$B$8,2,0)</f>
        <v>7</v>
      </c>
      <c r="O1101" s="2" t="str">
        <f>VLOOKUP(L1101,'Data Info'!$A$1:$C$8,3,0)</f>
        <v>Weekend</v>
      </c>
    </row>
    <row r="1102">
      <c r="A1102" s="4">
        <v>45543.41180555556</v>
      </c>
      <c r="B1102" s="9">
        <f>IFERROR(__xludf.DUMMYFUNCTION("SPLIT(A1102,"" "")"),45543.0)</f>
        <v>45543</v>
      </c>
      <c r="C1102" s="10">
        <f>IFERROR(__xludf.DUMMYFUNCTION("""COMPUTED_VALUE"""),0.41180555555555554)</f>
        <v>0.4118055556</v>
      </c>
      <c r="D1102" s="2">
        <f t="shared" si="1"/>
        <v>9</v>
      </c>
      <c r="E1102" s="2">
        <f>IFERROR(__xludf.DUMMYFUNCTION("SPLIT(B1102,""/"")"),8.0)</f>
        <v>8</v>
      </c>
      <c r="F1102" s="2">
        <f>IFERROR(__xludf.DUMMYFUNCTION("""COMPUTED_VALUE"""),9.0)</f>
        <v>9</v>
      </c>
      <c r="G1102" s="2">
        <f>IFERROR(__xludf.DUMMYFUNCTION("""COMPUTED_VALUE"""),2024.0)</f>
        <v>2024</v>
      </c>
      <c r="H1102" s="2" t="str">
        <f t="shared" si="2"/>
        <v>2024/9/8</v>
      </c>
      <c r="I1102" s="2" t="s">
        <v>1596</v>
      </c>
      <c r="J1102" s="2" t="str">
        <f t="shared" si="3"/>
        <v>Roti Cranberry</v>
      </c>
      <c r="K1102" s="7">
        <f>if(RIGHT(I1102,5)="2 pcs",2,Data!I1102)</f>
        <v>2</v>
      </c>
      <c r="L1102" s="2" t="str">
        <f t="shared" si="4"/>
        <v>Sunday</v>
      </c>
      <c r="M1102" s="2" t="str">
        <f t="shared" si="5"/>
        <v>8</v>
      </c>
      <c r="N1102" s="2">
        <f>VLOOKUP(L1102,'Data Info'!$A$1:$B$8,2,0)</f>
        <v>7</v>
      </c>
      <c r="O1102" s="2" t="str">
        <f>VLOOKUP(L1102,'Data Info'!$A$1:$C$8,3,0)</f>
        <v>Weekend</v>
      </c>
    </row>
    <row r="1103">
      <c r="A1103" s="4">
        <v>45543.41180555556</v>
      </c>
      <c r="B1103" s="9">
        <f>IFERROR(__xludf.DUMMYFUNCTION("SPLIT(A1103,"" "")"),45543.0)</f>
        <v>45543</v>
      </c>
      <c r="C1103" s="10">
        <f>IFERROR(__xludf.DUMMYFUNCTION("""COMPUTED_VALUE"""),0.41180555555555554)</f>
        <v>0.4118055556</v>
      </c>
      <c r="D1103" s="2">
        <f t="shared" si="1"/>
        <v>9</v>
      </c>
      <c r="E1103" s="2">
        <f>IFERROR(__xludf.DUMMYFUNCTION("SPLIT(B1103,""/"")"),8.0)</f>
        <v>8</v>
      </c>
      <c r="F1103" s="2">
        <f>IFERROR(__xludf.DUMMYFUNCTION("""COMPUTED_VALUE"""),9.0)</f>
        <v>9</v>
      </c>
      <c r="G1103" s="2">
        <f>IFERROR(__xludf.DUMMYFUNCTION("""COMPUTED_VALUE"""),2024.0)</f>
        <v>2024</v>
      </c>
      <c r="H1103" s="2" t="str">
        <f t="shared" si="2"/>
        <v>2024/9/8</v>
      </c>
      <c r="I1103" s="2" t="s">
        <v>1590</v>
      </c>
      <c r="J1103" s="2" t="str">
        <f t="shared" si="3"/>
        <v>Lemon Tea Panas</v>
      </c>
      <c r="K1103" s="7">
        <f>if(RIGHT(I1103,5)="2 pcs",2,Data!I1103)</f>
        <v>1</v>
      </c>
      <c r="L1103" s="2" t="str">
        <f t="shared" si="4"/>
        <v>Sunday</v>
      </c>
      <c r="M1103" s="2" t="str">
        <f t="shared" si="5"/>
        <v>8</v>
      </c>
      <c r="N1103" s="2">
        <f>VLOOKUP(L1103,'Data Info'!$A$1:$B$8,2,0)</f>
        <v>7</v>
      </c>
      <c r="O1103" s="2" t="str">
        <f>VLOOKUP(L1103,'Data Info'!$A$1:$C$8,3,0)</f>
        <v>Weekend</v>
      </c>
    </row>
    <row r="1104">
      <c r="A1104" s="4">
        <v>45543.41180555556</v>
      </c>
      <c r="B1104" s="9">
        <f>IFERROR(__xludf.DUMMYFUNCTION("SPLIT(A1104,"" "")"),45543.0)</f>
        <v>45543</v>
      </c>
      <c r="C1104" s="10">
        <f>IFERROR(__xludf.DUMMYFUNCTION("""COMPUTED_VALUE"""),0.41180555555555554)</f>
        <v>0.4118055556</v>
      </c>
      <c r="D1104" s="2">
        <f t="shared" si="1"/>
        <v>9</v>
      </c>
      <c r="E1104" s="2">
        <f>IFERROR(__xludf.DUMMYFUNCTION("SPLIT(B1104,""/"")"),8.0)</f>
        <v>8</v>
      </c>
      <c r="F1104" s="2">
        <f>IFERROR(__xludf.DUMMYFUNCTION("""COMPUTED_VALUE"""),9.0)</f>
        <v>9</v>
      </c>
      <c r="G1104" s="2">
        <f>IFERROR(__xludf.DUMMYFUNCTION("""COMPUTED_VALUE"""),2024.0)</f>
        <v>2024</v>
      </c>
      <c r="H1104" s="2" t="str">
        <f t="shared" si="2"/>
        <v>2024/9/8</v>
      </c>
      <c r="I1104" s="2" t="s">
        <v>1617</v>
      </c>
      <c r="J1104" s="2" t="str">
        <f t="shared" si="3"/>
        <v>Lemon Tea Dingin</v>
      </c>
      <c r="K1104" s="7">
        <f>if(RIGHT(I1104,5)="2 pcs",2,Data!I1104)</f>
        <v>1</v>
      </c>
      <c r="L1104" s="2" t="str">
        <f t="shared" si="4"/>
        <v>Sunday</v>
      </c>
      <c r="M1104" s="2" t="str">
        <f t="shared" si="5"/>
        <v>8</v>
      </c>
      <c r="N1104" s="2">
        <f>VLOOKUP(L1104,'Data Info'!$A$1:$B$8,2,0)</f>
        <v>7</v>
      </c>
      <c r="O1104" s="2" t="str">
        <f>VLOOKUP(L1104,'Data Info'!$A$1:$C$8,3,0)</f>
        <v>Weekend</v>
      </c>
    </row>
    <row r="1105">
      <c r="A1105" s="4">
        <v>45543.40694444445</v>
      </c>
      <c r="B1105" s="9">
        <f>IFERROR(__xludf.DUMMYFUNCTION("SPLIT(A1105,"" "")"),45543.0)</f>
        <v>45543</v>
      </c>
      <c r="C1105" s="10">
        <f>IFERROR(__xludf.DUMMYFUNCTION("""COMPUTED_VALUE"""),0.40694444444444444)</f>
        <v>0.4069444444</v>
      </c>
      <c r="D1105" s="2">
        <f t="shared" si="1"/>
        <v>9</v>
      </c>
      <c r="E1105" s="2">
        <f>IFERROR(__xludf.DUMMYFUNCTION("SPLIT(B1105,""/"")"),8.0)</f>
        <v>8</v>
      </c>
      <c r="F1105" s="2">
        <f>IFERROR(__xludf.DUMMYFUNCTION("""COMPUTED_VALUE"""),9.0)</f>
        <v>9</v>
      </c>
      <c r="G1105" s="2">
        <f>IFERROR(__xludf.DUMMYFUNCTION("""COMPUTED_VALUE"""),2024.0)</f>
        <v>2024</v>
      </c>
      <c r="H1105" s="2" t="str">
        <f t="shared" si="2"/>
        <v>2024/9/8</v>
      </c>
      <c r="I1105" s="2" t="s">
        <v>1576</v>
      </c>
      <c r="J1105" s="2" t="str">
        <f t="shared" si="3"/>
        <v>Roti Cranberry</v>
      </c>
      <c r="K1105" s="7">
        <f>if(RIGHT(I1105,5)="2 pcs",2,Data!I1105)</f>
        <v>1</v>
      </c>
      <c r="L1105" s="2" t="str">
        <f t="shared" si="4"/>
        <v>Sunday</v>
      </c>
      <c r="M1105" s="2" t="str">
        <f t="shared" si="5"/>
        <v>8</v>
      </c>
      <c r="N1105" s="2">
        <f>VLOOKUP(L1105,'Data Info'!$A$1:$B$8,2,0)</f>
        <v>7</v>
      </c>
      <c r="O1105" s="2" t="str">
        <f>VLOOKUP(L1105,'Data Info'!$A$1:$C$8,3,0)</f>
        <v>Weekend</v>
      </c>
    </row>
    <row r="1106">
      <c r="A1106" s="4">
        <v>45543.40694444445</v>
      </c>
      <c r="B1106" s="9">
        <f>IFERROR(__xludf.DUMMYFUNCTION("SPLIT(A1106,"" "")"),45543.0)</f>
        <v>45543</v>
      </c>
      <c r="C1106" s="10">
        <f>IFERROR(__xludf.DUMMYFUNCTION("""COMPUTED_VALUE"""),0.40694444444444444)</f>
        <v>0.4069444444</v>
      </c>
      <c r="D1106" s="2">
        <f t="shared" si="1"/>
        <v>9</v>
      </c>
      <c r="E1106" s="2">
        <f>IFERROR(__xludf.DUMMYFUNCTION("SPLIT(B1106,""/"")"),8.0)</f>
        <v>8</v>
      </c>
      <c r="F1106" s="2">
        <f>IFERROR(__xludf.DUMMYFUNCTION("""COMPUTED_VALUE"""),9.0)</f>
        <v>9</v>
      </c>
      <c r="G1106" s="2">
        <f>IFERROR(__xludf.DUMMYFUNCTION("""COMPUTED_VALUE"""),2024.0)</f>
        <v>2024</v>
      </c>
      <c r="H1106" s="2" t="str">
        <f t="shared" si="2"/>
        <v>2024/9/8</v>
      </c>
      <c r="I1106" s="2" t="s">
        <v>1595</v>
      </c>
      <c r="J1106" s="2" t="str">
        <f t="shared" si="3"/>
        <v>Roti Gandum Cokelat</v>
      </c>
      <c r="K1106" s="7">
        <f>if(RIGHT(I1106,5)="2 pcs",2,Data!I1106)</f>
        <v>1</v>
      </c>
      <c r="L1106" s="2" t="str">
        <f t="shared" si="4"/>
        <v>Sunday</v>
      </c>
      <c r="M1106" s="2" t="str">
        <f t="shared" si="5"/>
        <v>8</v>
      </c>
      <c r="N1106" s="2">
        <f>VLOOKUP(L1106,'Data Info'!$A$1:$B$8,2,0)</f>
        <v>7</v>
      </c>
      <c r="O1106" s="2" t="str">
        <f>VLOOKUP(L1106,'Data Info'!$A$1:$C$8,3,0)</f>
        <v>Weekend</v>
      </c>
    </row>
    <row r="1107">
      <c r="A1107" s="4">
        <v>45543.40694444445</v>
      </c>
      <c r="B1107" s="9">
        <f>IFERROR(__xludf.DUMMYFUNCTION("SPLIT(A1107,"" "")"),45543.0)</f>
        <v>45543</v>
      </c>
      <c r="C1107" s="10">
        <f>IFERROR(__xludf.DUMMYFUNCTION("""COMPUTED_VALUE"""),0.40694444444444444)</f>
        <v>0.4069444444</v>
      </c>
      <c r="D1107" s="2">
        <f t="shared" si="1"/>
        <v>9</v>
      </c>
      <c r="E1107" s="2">
        <f>IFERROR(__xludf.DUMMYFUNCTION("SPLIT(B1107,""/"")"),8.0)</f>
        <v>8</v>
      </c>
      <c r="F1107" s="2">
        <f>IFERROR(__xludf.DUMMYFUNCTION("""COMPUTED_VALUE"""),9.0)</f>
        <v>9</v>
      </c>
      <c r="G1107" s="2">
        <f>IFERROR(__xludf.DUMMYFUNCTION("""COMPUTED_VALUE"""),2024.0)</f>
        <v>2024</v>
      </c>
      <c r="H1107" s="2" t="str">
        <f t="shared" si="2"/>
        <v>2024/9/8</v>
      </c>
      <c r="I1107" s="2" t="s">
        <v>1609</v>
      </c>
      <c r="J1107" s="2" t="str">
        <f t="shared" si="3"/>
        <v>Tempe Mendoan</v>
      </c>
      <c r="K1107" s="7">
        <f>if(RIGHT(I1107,5)="2 pcs",2,Data!I1107)</f>
        <v>1</v>
      </c>
      <c r="L1107" s="2" t="str">
        <f t="shared" si="4"/>
        <v>Sunday</v>
      </c>
      <c r="M1107" s="2" t="str">
        <f t="shared" si="5"/>
        <v>8</v>
      </c>
      <c r="N1107" s="2">
        <f>VLOOKUP(L1107,'Data Info'!$A$1:$B$8,2,0)</f>
        <v>7</v>
      </c>
      <c r="O1107" s="2" t="str">
        <f>VLOOKUP(L1107,'Data Info'!$A$1:$C$8,3,0)</f>
        <v>Weekend</v>
      </c>
    </row>
    <row r="1108">
      <c r="A1108" s="4">
        <v>45543.40694444445</v>
      </c>
      <c r="B1108" s="9">
        <f>IFERROR(__xludf.DUMMYFUNCTION("SPLIT(A1108,"" "")"),45543.0)</f>
        <v>45543</v>
      </c>
      <c r="C1108" s="10">
        <f>IFERROR(__xludf.DUMMYFUNCTION("""COMPUTED_VALUE"""),0.40694444444444444)</f>
        <v>0.4069444444</v>
      </c>
      <c r="D1108" s="2">
        <f t="shared" si="1"/>
        <v>9</v>
      </c>
      <c r="E1108" s="2">
        <f>IFERROR(__xludf.DUMMYFUNCTION("SPLIT(B1108,""/"")"),8.0)</f>
        <v>8</v>
      </c>
      <c r="F1108" s="2">
        <f>IFERROR(__xludf.DUMMYFUNCTION("""COMPUTED_VALUE"""),9.0)</f>
        <v>9</v>
      </c>
      <c r="G1108" s="2">
        <f>IFERROR(__xludf.DUMMYFUNCTION("""COMPUTED_VALUE"""),2024.0)</f>
        <v>2024</v>
      </c>
      <c r="H1108" s="2" t="str">
        <f t="shared" si="2"/>
        <v>2024/9/8</v>
      </c>
      <c r="I1108" s="2" t="s">
        <v>1588</v>
      </c>
      <c r="J1108" s="2" t="str">
        <f t="shared" si="3"/>
        <v>Es Kopi Susu</v>
      </c>
      <c r="K1108" s="7">
        <f>if(RIGHT(I1108,5)="2 pcs",2,Data!I1108)</f>
        <v>2</v>
      </c>
      <c r="L1108" s="2" t="str">
        <f t="shared" si="4"/>
        <v>Sunday</v>
      </c>
      <c r="M1108" s="2" t="str">
        <f t="shared" si="5"/>
        <v>8</v>
      </c>
      <c r="N1108" s="2">
        <f>VLOOKUP(L1108,'Data Info'!$A$1:$B$8,2,0)</f>
        <v>7</v>
      </c>
      <c r="O1108" s="2" t="str">
        <f>VLOOKUP(L1108,'Data Info'!$A$1:$C$8,3,0)</f>
        <v>Weekend</v>
      </c>
    </row>
    <row r="1109">
      <c r="A1109" s="4">
        <v>45543.40694444445</v>
      </c>
      <c r="B1109" s="9">
        <f>IFERROR(__xludf.DUMMYFUNCTION("SPLIT(A1109,"" "")"),45543.0)</f>
        <v>45543</v>
      </c>
      <c r="C1109" s="10">
        <f>IFERROR(__xludf.DUMMYFUNCTION("""COMPUTED_VALUE"""),0.40694444444444444)</f>
        <v>0.4069444444</v>
      </c>
      <c r="D1109" s="2">
        <f t="shared" si="1"/>
        <v>9</v>
      </c>
      <c r="E1109" s="2">
        <f>IFERROR(__xludf.DUMMYFUNCTION("SPLIT(B1109,""/"")"),8.0)</f>
        <v>8</v>
      </c>
      <c r="F1109" s="2">
        <f>IFERROR(__xludf.DUMMYFUNCTION("""COMPUTED_VALUE"""),9.0)</f>
        <v>9</v>
      </c>
      <c r="G1109" s="2">
        <f>IFERROR(__xludf.DUMMYFUNCTION("""COMPUTED_VALUE"""),2024.0)</f>
        <v>2024</v>
      </c>
      <c r="H1109" s="2" t="str">
        <f t="shared" si="2"/>
        <v>2024/9/8</v>
      </c>
      <c r="I1109" s="2" t="s">
        <v>1591</v>
      </c>
      <c r="J1109" s="2" t="str">
        <f t="shared" si="3"/>
        <v>Kopi cur</v>
      </c>
      <c r="K1109" s="7">
        <f>if(RIGHT(I1109,5)="2 pcs",2,Data!I1109)</f>
        <v>1</v>
      </c>
      <c r="L1109" s="2" t="str">
        <f t="shared" si="4"/>
        <v>Sunday</v>
      </c>
      <c r="M1109" s="2" t="str">
        <f t="shared" si="5"/>
        <v>8</v>
      </c>
      <c r="N1109" s="2">
        <f>VLOOKUP(L1109,'Data Info'!$A$1:$B$8,2,0)</f>
        <v>7</v>
      </c>
      <c r="O1109" s="2" t="str">
        <f>VLOOKUP(L1109,'Data Info'!$A$1:$C$8,3,0)</f>
        <v>Weekend</v>
      </c>
    </row>
    <row r="1110">
      <c r="A1110" s="4">
        <v>45543.40694444445</v>
      </c>
      <c r="B1110" s="9">
        <f>IFERROR(__xludf.DUMMYFUNCTION("SPLIT(A1110,"" "")"),45543.0)</f>
        <v>45543</v>
      </c>
      <c r="C1110" s="10">
        <f>IFERROR(__xludf.DUMMYFUNCTION("""COMPUTED_VALUE"""),0.40694444444444444)</f>
        <v>0.4069444444</v>
      </c>
      <c r="D1110" s="2">
        <f t="shared" si="1"/>
        <v>9</v>
      </c>
      <c r="E1110" s="2">
        <f>IFERROR(__xludf.DUMMYFUNCTION("SPLIT(B1110,""/"")"),8.0)</f>
        <v>8</v>
      </c>
      <c r="F1110" s="2">
        <f>IFERROR(__xludf.DUMMYFUNCTION("""COMPUTED_VALUE"""),9.0)</f>
        <v>9</v>
      </c>
      <c r="G1110" s="2">
        <f>IFERROR(__xludf.DUMMYFUNCTION("""COMPUTED_VALUE"""),2024.0)</f>
        <v>2024</v>
      </c>
      <c r="H1110" s="2" t="str">
        <f t="shared" si="2"/>
        <v>2024/9/8</v>
      </c>
      <c r="I1110" s="2" t="s">
        <v>1598</v>
      </c>
      <c r="J1110" s="2" t="str">
        <f t="shared" si="3"/>
        <v>Korean Strawberry Fresh Milk</v>
      </c>
      <c r="K1110" s="7">
        <f>if(RIGHT(I1110,5)="2 pcs",2,Data!I1110)</f>
        <v>1</v>
      </c>
      <c r="L1110" s="2" t="str">
        <f t="shared" si="4"/>
        <v>Sunday</v>
      </c>
      <c r="M1110" s="2" t="str">
        <f t="shared" si="5"/>
        <v>8</v>
      </c>
      <c r="N1110" s="2">
        <f>VLOOKUP(L1110,'Data Info'!$A$1:$B$8,2,0)</f>
        <v>7</v>
      </c>
      <c r="O1110" s="2" t="str">
        <f>VLOOKUP(L1110,'Data Info'!$A$1:$C$8,3,0)</f>
        <v>Weekend</v>
      </c>
    </row>
    <row r="1111">
      <c r="A1111" s="4">
        <v>45543.40694444445</v>
      </c>
      <c r="B1111" s="9">
        <f>IFERROR(__xludf.DUMMYFUNCTION("SPLIT(A1111,"" "")"),45543.0)</f>
        <v>45543</v>
      </c>
      <c r="C1111" s="10">
        <f>IFERROR(__xludf.DUMMYFUNCTION("""COMPUTED_VALUE"""),0.40694444444444444)</f>
        <v>0.4069444444</v>
      </c>
      <c r="D1111" s="2">
        <f t="shared" si="1"/>
        <v>9</v>
      </c>
      <c r="E1111" s="2">
        <f>IFERROR(__xludf.DUMMYFUNCTION("SPLIT(B1111,""/"")"),8.0)</f>
        <v>8</v>
      </c>
      <c r="F1111" s="2">
        <f>IFERROR(__xludf.DUMMYFUNCTION("""COMPUTED_VALUE"""),9.0)</f>
        <v>9</v>
      </c>
      <c r="G1111" s="2">
        <f>IFERROR(__xludf.DUMMYFUNCTION("""COMPUTED_VALUE"""),2024.0)</f>
        <v>2024</v>
      </c>
      <c r="H1111" s="2" t="str">
        <f t="shared" si="2"/>
        <v>2024/9/8</v>
      </c>
      <c r="I1111" s="2" t="s">
        <v>1585</v>
      </c>
      <c r="J1111" s="2" t="str">
        <f t="shared" si="3"/>
        <v>Susu murni moca</v>
      </c>
      <c r="K1111" s="7">
        <f>if(RIGHT(I1111,5)="2 pcs",2,Data!I1111)</f>
        <v>1</v>
      </c>
      <c r="L1111" s="2" t="str">
        <f t="shared" si="4"/>
        <v>Sunday</v>
      </c>
      <c r="M1111" s="2" t="str">
        <f t="shared" si="5"/>
        <v>8</v>
      </c>
      <c r="N1111" s="2">
        <f>VLOOKUP(L1111,'Data Info'!$A$1:$B$8,2,0)</f>
        <v>7</v>
      </c>
      <c r="O1111" s="2" t="str">
        <f>VLOOKUP(L1111,'Data Info'!$A$1:$C$8,3,0)</f>
        <v>Weekend</v>
      </c>
    </row>
    <row r="1112">
      <c r="A1112" s="4">
        <v>45543.40694444445</v>
      </c>
      <c r="B1112" s="9">
        <f>IFERROR(__xludf.DUMMYFUNCTION("SPLIT(A1112,"" "")"),45543.0)</f>
        <v>45543</v>
      </c>
      <c r="C1112" s="10">
        <f>IFERROR(__xludf.DUMMYFUNCTION("""COMPUTED_VALUE"""),0.40694444444444444)</f>
        <v>0.4069444444</v>
      </c>
      <c r="D1112" s="2">
        <f t="shared" si="1"/>
        <v>9</v>
      </c>
      <c r="E1112" s="2">
        <f>IFERROR(__xludf.DUMMYFUNCTION("SPLIT(B1112,""/"")"),8.0)</f>
        <v>8</v>
      </c>
      <c r="F1112" s="2">
        <f>IFERROR(__xludf.DUMMYFUNCTION("""COMPUTED_VALUE"""),9.0)</f>
        <v>9</v>
      </c>
      <c r="G1112" s="2">
        <f>IFERROR(__xludf.DUMMYFUNCTION("""COMPUTED_VALUE"""),2024.0)</f>
        <v>2024</v>
      </c>
      <c r="H1112" s="2" t="str">
        <f t="shared" si="2"/>
        <v>2024/9/8</v>
      </c>
      <c r="I1112" s="2" t="s">
        <v>1579</v>
      </c>
      <c r="J1112" s="2" t="str">
        <f t="shared" si="3"/>
        <v>Tahu baso</v>
      </c>
      <c r="K1112" s="7">
        <f>if(RIGHT(I1112,5)="2 pcs",2,Data!I1112)</f>
        <v>1</v>
      </c>
      <c r="L1112" s="2" t="str">
        <f t="shared" si="4"/>
        <v>Sunday</v>
      </c>
      <c r="M1112" s="2" t="str">
        <f t="shared" si="5"/>
        <v>8</v>
      </c>
      <c r="N1112" s="2">
        <f>VLOOKUP(L1112,'Data Info'!$A$1:$B$8,2,0)</f>
        <v>7</v>
      </c>
      <c r="O1112" s="2" t="str">
        <f>VLOOKUP(L1112,'Data Info'!$A$1:$C$8,3,0)</f>
        <v>Weekend</v>
      </c>
    </row>
    <row r="1113">
      <c r="A1113" s="4">
        <v>45543.384722222225</v>
      </c>
      <c r="B1113" s="9">
        <f>IFERROR(__xludf.DUMMYFUNCTION("SPLIT(A1113,"" "")"),45543.0)</f>
        <v>45543</v>
      </c>
      <c r="C1113" s="10">
        <f>IFERROR(__xludf.DUMMYFUNCTION("""COMPUTED_VALUE"""),0.38472222222222224)</f>
        <v>0.3847222222</v>
      </c>
      <c r="D1113" s="2">
        <f t="shared" si="1"/>
        <v>9</v>
      </c>
      <c r="E1113" s="2">
        <f>IFERROR(__xludf.DUMMYFUNCTION("SPLIT(B1113,""/"")"),8.0)</f>
        <v>8</v>
      </c>
      <c r="F1113" s="2">
        <f>IFERROR(__xludf.DUMMYFUNCTION("""COMPUTED_VALUE"""),9.0)</f>
        <v>9</v>
      </c>
      <c r="G1113" s="2">
        <f>IFERROR(__xludf.DUMMYFUNCTION("""COMPUTED_VALUE"""),2024.0)</f>
        <v>2024</v>
      </c>
      <c r="H1113" s="2" t="str">
        <f t="shared" si="2"/>
        <v>2024/9/8</v>
      </c>
      <c r="I1113" s="2" t="s">
        <v>1595</v>
      </c>
      <c r="J1113" s="2" t="str">
        <f t="shared" si="3"/>
        <v>Roti Gandum Cokelat</v>
      </c>
      <c r="K1113" s="7">
        <f>if(RIGHT(I1113,5)="2 pcs",2,Data!I1113)</f>
        <v>1</v>
      </c>
      <c r="L1113" s="2" t="str">
        <f t="shared" si="4"/>
        <v>Sunday</v>
      </c>
      <c r="M1113" s="2" t="str">
        <f t="shared" si="5"/>
        <v>8</v>
      </c>
      <c r="N1113" s="2">
        <f>VLOOKUP(L1113,'Data Info'!$A$1:$B$8,2,0)</f>
        <v>7</v>
      </c>
      <c r="O1113" s="2" t="str">
        <f>VLOOKUP(L1113,'Data Info'!$A$1:$C$8,3,0)</f>
        <v>Weekend</v>
      </c>
    </row>
    <row r="1114">
      <c r="A1114" s="4">
        <v>45543.384722222225</v>
      </c>
      <c r="B1114" s="9">
        <f>IFERROR(__xludf.DUMMYFUNCTION("SPLIT(A1114,"" "")"),45543.0)</f>
        <v>45543</v>
      </c>
      <c r="C1114" s="10">
        <f>IFERROR(__xludf.DUMMYFUNCTION("""COMPUTED_VALUE"""),0.38472222222222224)</f>
        <v>0.3847222222</v>
      </c>
      <c r="D1114" s="2">
        <f t="shared" si="1"/>
        <v>9</v>
      </c>
      <c r="E1114" s="2">
        <f>IFERROR(__xludf.DUMMYFUNCTION("SPLIT(B1114,""/"")"),8.0)</f>
        <v>8</v>
      </c>
      <c r="F1114" s="2">
        <f>IFERROR(__xludf.DUMMYFUNCTION("""COMPUTED_VALUE"""),9.0)</f>
        <v>9</v>
      </c>
      <c r="G1114" s="2">
        <f>IFERROR(__xludf.DUMMYFUNCTION("""COMPUTED_VALUE"""),2024.0)</f>
        <v>2024</v>
      </c>
      <c r="H1114" s="2" t="str">
        <f t="shared" si="2"/>
        <v>2024/9/8</v>
      </c>
      <c r="I1114" s="2" t="s">
        <v>1596</v>
      </c>
      <c r="J1114" s="2" t="str">
        <f t="shared" si="3"/>
        <v>Roti Cranberry</v>
      </c>
      <c r="K1114" s="7">
        <f>if(RIGHT(I1114,5)="2 pcs",2,Data!I1114)</f>
        <v>2</v>
      </c>
      <c r="L1114" s="2" t="str">
        <f t="shared" si="4"/>
        <v>Sunday</v>
      </c>
      <c r="M1114" s="2" t="str">
        <f t="shared" si="5"/>
        <v>8</v>
      </c>
      <c r="N1114" s="2">
        <f>VLOOKUP(L1114,'Data Info'!$A$1:$B$8,2,0)</f>
        <v>7</v>
      </c>
      <c r="O1114" s="2" t="str">
        <f>VLOOKUP(L1114,'Data Info'!$A$1:$C$8,3,0)</f>
        <v>Weekend</v>
      </c>
    </row>
    <row r="1115">
      <c r="A1115" s="4">
        <v>45543.384722222225</v>
      </c>
      <c r="B1115" s="9">
        <f>IFERROR(__xludf.DUMMYFUNCTION("SPLIT(A1115,"" "")"),45543.0)</f>
        <v>45543</v>
      </c>
      <c r="C1115" s="10">
        <f>IFERROR(__xludf.DUMMYFUNCTION("""COMPUTED_VALUE"""),0.38472222222222224)</f>
        <v>0.3847222222</v>
      </c>
      <c r="D1115" s="2">
        <f t="shared" si="1"/>
        <v>9</v>
      </c>
      <c r="E1115" s="2">
        <f>IFERROR(__xludf.DUMMYFUNCTION("SPLIT(B1115,""/"")"),8.0)</f>
        <v>8</v>
      </c>
      <c r="F1115" s="2">
        <f>IFERROR(__xludf.DUMMYFUNCTION("""COMPUTED_VALUE"""),9.0)</f>
        <v>9</v>
      </c>
      <c r="G1115" s="2">
        <f>IFERROR(__xludf.DUMMYFUNCTION("""COMPUTED_VALUE"""),2024.0)</f>
        <v>2024</v>
      </c>
      <c r="H1115" s="2" t="str">
        <f t="shared" si="2"/>
        <v>2024/9/8</v>
      </c>
      <c r="I1115" s="2" t="s">
        <v>1583</v>
      </c>
      <c r="J1115" s="2" t="str">
        <f t="shared" si="3"/>
        <v>Es Kopi Lemon</v>
      </c>
      <c r="K1115" s="7">
        <f>if(RIGHT(I1115,5)="2 pcs",2,Data!I1115)</f>
        <v>1</v>
      </c>
      <c r="L1115" s="2" t="str">
        <f t="shared" si="4"/>
        <v>Sunday</v>
      </c>
      <c r="M1115" s="2" t="str">
        <f t="shared" si="5"/>
        <v>8</v>
      </c>
      <c r="N1115" s="2">
        <f>VLOOKUP(L1115,'Data Info'!$A$1:$B$8,2,0)</f>
        <v>7</v>
      </c>
      <c r="O1115" s="2" t="str">
        <f>VLOOKUP(L1115,'Data Info'!$A$1:$C$8,3,0)</f>
        <v>Weekend</v>
      </c>
    </row>
    <row r="1116">
      <c r="A1116" s="4">
        <v>45543.384722222225</v>
      </c>
      <c r="B1116" s="9">
        <f>IFERROR(__xludf.DUMMYFUNCTION("SPLIT(A1116,"" "")"),45543.0)</f>
        <v>45543</v>
      </c>
      <c r="C1116" s="10">
        <f>IFERROR(__xludf.DUMMYFUNCTION("""COMPUTED_VALUE"""),0.38472222222222224)</f>
        <v>0.3847222222</v>
      </c>
      <c r="D1116" s="2">
        <f t="shared" si="1"/>
        <v>9</v>
      </c>
      <c r="E1116" s="2">
        <f>IFERROR(__xludf.DUMMYFUNCTION("SPLIT(B1116,""/"")"),8.0)</f>
        <v>8</v>
      </c>
      <c r="F1116" s="2">
        <f>IFERROR(__xludf.DUMMYFUNCTION("""COMPUTED_VALUE"""),9.0)</f>
        <v>9</v>
      </c>
      <c r="G1116" s="2">
        <f>IFERROR(__xludf.DUMMYFUNCTION("""COMPUTED_VALUE"""),2024.0)</f>
        <v>2024</v>
      </c>
      <c r="H1116" s="2" t="str">
        <f t="shared" si="2"/>
        <v>2024/9/8</v>
      </c>
      <c r="I1116" s="2" t="s">
        <v>1587</v>
      </c>
      <c r="J1116" s="2" t="str">
        <f t="shared" si="3"/>
        <v>Tahu Lada Garam</v>
      </c>
      <c r="K1116" s="7">
        <f>if(RIGHT(I1116,5)="2 pcs",2,Data!I1116)</f>
        <v>1</v>
      </c>
      <c r="L1116" s="2" t="str">
        <f t="shared" si="4"/>
        <v>Sunday</v>
      </c>
      <c r="M1116" s="2" t="str">
        <f t="shared" si="5"/>
        <v>8</v>
      </c>
      <c r="N1116" s="2">
        <f>VLOOKUP(L1116,'Data Info'!$A$1:$B$8,2,0)</f>
        <v>7</v>
      </c>
      <c r="O1116" s="2" t="str">
        <f>VLOOKUP(L1116,'Data Info'!$A$1:$C$8,3,0)</f>
        <v>Weekend</v>
      </c>
    </row>
    <row r="1117">
      <c r="A1117" s="4">
        <v>45543.384722222225</v>
      </c>
      <c r="B1117" s="9">
        <f>IFERROR(__xludf.DUMMYFUNCTION("SPLIT(A1117,"" "")"),45543.0)</f>
        <v>45543</v>
      </c>
      <c r="C1117" s="10">
        <f>IFERROR(__xludf.DUMMYFUNCTION("""COMPUTED_VALUE"""),0.38472222222222224)</f>
        <v>0.3847222222</v>
      </c>
      <c r="D1117" s="2">
        <f t="shared" si="1"/>
        <v>9</v>
      </c>
      <c r="E1117" s="2">
        <f>IFERROR(__xludf.DUMMYFUNCTION("SPLIT(B1117,""/"")"),8.0)</f>
        <v>8</v>
      </c>
      <c r="F1117" s="2">
        <f>IFERROR(__xludf.DUMMYFUNCTION("""COMPUTED_VALUE"""),9.0)</f>
        <v>9</v>
      </c>
      <c r="G1117" s="2">
        <f>IFERROR(__xludf.DUMMYFUNCTION("""COMPUTED_VALUE"""),2024.0)</f>
        <v>2024</v>
      </c>
      <c r="H1117" s="2" t="str">
        <f t="shared" si="2"/>
        <v>2024/9/8</v>
      </c>
      <c r="I1117" s="2" t="s">
        <v>1617</v>
      </c>
      <c r="J1117" s="2" t="str">
        <f t="shared" si="3"/>
        <v>Lemon Tea Dingin</v>
      </c>
      <c r="K1117" s="7">
        <f>if(RIGHT(I1117,5)="2 pcs",2,Data!I1117)</f>
        <v>1</v>
      </c>
      <c r="L1117" s="2" t="str">
        <f t="shared" si="4"/>
        <v>Sunday</v>
      </c>
      <c r="M1117" s="2" t="str">
        <f t="shared" si="5"/>
        <v>8</v>
      </c>
      <c r="N1117" s="2">
        <f>VLOOKUP(L1117,'Data Info'!$A$1:$B$8,2,0)</f>
        <v>7</v>
      </c>
      <c r="O1117" s="2" t="str">
        <f>VLOOKUP(L1117,'Data Info'!$A$1:$C$8,3,0)</f>
        <v>Weekend</v>
      </c>
    </row>
    <row r="1118">
      <c r="A1118" s="4">
        <v>45543.35833333333</v>
      </c>
      <c r="B1118" s="9">
        <f>IFERROR(__xludf.DUMMYFUNCTION("SPLIT(A1118,"" "")"),45543.0)</f>
        <v>45543</v>
      </c>
      <c r="C1118" s="10">
        <f>IFERROR(__xludf.DUMMYFUNCTION("""COMPUTED_VALUE"""),0.35833333333333334)</f>
        <v>0.3583333333</v>
      </c>
      <c r="D1118" s="2">
        <f t="shared" si="1"/>
        <v>8</v>
      </c>
      <c r="E1118" s="2">
        <f>IFERROR(__xludf.DUMMYFUNCTION("SPLIT(B1118,""/"")"),8.0)</f>
        <v>8</v>
      </c>
      <c r="F1118" s="2">
        <f>IFERROR(__xludf.DUMMYFUNCTION("""COMPUTED_VALUE"""),9.0)</f>
        <v>9</v>
      </c>
      <c r="G1118" s="2">
        <f>IFERROR(__xludf.DUMMYFUNCTION("""COMPUTED_VALUE"""),2024.0)</f>
        <v>2024</v>
      </c>
      <c r="H1118" s="2" t="str">
        <f t="shared" si="2"/>
        <v>2024/9/8</v>
      </c>
      <c r="I1118" s="2" t="s">
        <v>1576</v>
      </c>
      <c r="J1118" s="2" t="str">
        <f t="shared" si="3"/>
        <v>Roti Cranberry</v>
      </c>
      <c r="K1118" s="7">
        <f>if(RIGHT(I1118,5)="2 pcs",2,Data!I1118)</f>
        <v>1</v>
      </c>
      <c r="L1118" s="2" t="str">
        <f t="shared" si="4"/>
        <v>Sunday</v>
      </c>
      <c r="M1118" s="2" t="str">
        <f t="shared" si="5"/>
        <v>8</v>
      </c>
      <c r="N1118" s="2">
        <f>VLOOKUP(L1118,'Data Info'!$A$1:$B$8,2,0)</f>
        <v>7</v>
      </c>
      <c r="O1118" s="2" t="str">
        <f>VLOOKUP(L1118,'Data Info'!$A$1:$C$8,3,0)</f>
        <v>Weekend</v>
      </c>
    </row>
    <row r="1119">
      <c r="A1119" s="4">
        <v>45543.35833333333</v>
      </c>
      <c r="B1119" s="9">
        <f>IFERROR(__xludf.DUMMYFUNCTION("SPLIT(A1119,"" "")"),45543.0)</f>
        <v>45543</v>
      </c>
      <c r="C1119" s="10">
        <f>IFERROR(__xludf.DUMMYFUNCTION("""COMPUTED_VALUE"""),0.35833333333333334)</f>
        <v>0.3583333333</v>
      </c>
      <c r="D1119" s="2">
        <f t="shared" si="1"/>
        <v>8</v>
      </c>
      <c r="E1119" s="2">
        <f>IFERROR(__xludf.DUMMYFUNCTION("SPLIT(B1119,""/"")"),8.0)</f>
        <v>8</v>
      </c>
      <c r="F1119" s="2">
        <f>IFERROR(__xludf.DUMMYFUNCTION("""COMPUTED_VALUE"""),9.0)</f>
        <v>9</v>
      </c>
      <c r="G1119" s="2">
        <f>IFERROR(__xludf.DUMMYFUNCTION("""COMPUTED_VALUE"""),2024.0)</f>
        <v>2024</v>
      </c>
      <c r="H1119" s="2" t="str">
        <f t="shared" si="2"/>
        <v>2024/9/8</v>
      </c>
      <c r="I1119" s="2" t="s">
        <v>1595</v>
      </c>
      <c r="J1119" s="2" t="str">
        <f t="shared" si="3"/>
        <v>Roti Gandum Cokelat</v>
      </c>
      <c r="K1119" s="7">
        <f>if(RIGHT(I1119,5)="2 pcs",2,Data!I1119)</f>
        <v>1</v>
      </c>
      <c r="L1119" s="2" t="str">
        <f t="shared" si="4"/>
        <v>Sunday</v>
      </c>
      <c r="M1119" s="2" t="str">
        <f t="shared" si="5"/>
        <v>8</v>
      </c>
      <c r="N1119" s="2">
        <f>VLOOKUP(L1119,'Data Info'!$A$1:$B$8,2,0)</f>
        <v>7</v>
      </c>
      <c r="O1119" s="2" t="str">
        <f>VLOOKUP(L1119,'Data Info'!$A$1:$C$8,3,0)</f>
        <v>Weekend</v>
      </c>
    </row>
    <row r="1120">
      <c r="A1120" s="4">
        <v>45543.3125</v>
      </c>
      <c r="B1120" s="9">
        <f>IFERROR(__xludf.DUMMYFUNCTION("SPLIT(A1120,"" "")"),45543.0)</f>
        <v>45543</v>
      </c>
      <c r="C1120" s="10">
        <f>IFERROR(__xludf.DUMMYFUNCTION("""COMPUTED_VALUE"""),0.3125)</f>
        <v>0.3125</v>
      </c>
      <c r="D1120" s="2">
        <f t="shared" si="1"/>
        <v>7</v>
      </c>
      <c r="E1120" s="2">
        <f>IFERROR(__xludf.DUMMYFUNCTION("SPLIT(B1120,""/"")"),8.0)</f>
        <v>8</v>
      </c>
      <c r="F1120" s="2">
        <f>IFERROR(__xludf.DUMMYFUNCTION("""COMPUTED_VALUE"""),9.0)</f>
        <v>9</v>
      </c>
      <c r="G1120" s="2">
        <f>IFERROR(__xludf.DUMMYFUNCTION("""COMPUTED_VALUE"""),2024.0)</f>
        <v>2024</v>
      </c>
      <c r="H1120" s="2" t="str">
        <f t="shared" si="2"/>
        <v>2024/9/8</v>
      </c>
      <c r="I1120" s="2" t="s">
        <v>1576</v>
      </c>
      <c r="J1120" s="2" t="str">
        <f t="shared" si="3"/>
        <v>Roti Cranberry</v>
      </c>
      <c r="K1120" s="7">
        <f>if(RIGHT(I1120,5)="2 pcs",2,Data!I1120)</f>
        <v>1</v>
      </c>
      <c r="L1120" s="2" t="str">
        <f t="shared" si="4"/>
        <v>Sunday</v>
      </c>
      <c r="M1120" s="2" t="str">
        <f t="shared" si="5"/>
        <v>8</v>
      </c>
      <c r="N1120" s="2">
        <f>VLOOKUP(L1120,'Data Info'!$A$1:$B$8,2,0)</f>
        <v>7</v>
      </c>
      <c r="O1120" s="2" t="str">
        <f>VLOOKUP(L1120,'Data Info'!$A$1:$C$8,3,0)</f>
        <v>Weekend</v>
      </c>
    </row>
    <row r="1121">
      <c r="A1121" s="4">
        <v>45543.3125</v>
      </c>
      <c r="B1121" s="9">
        <f>IFERROR(__xludf.DUMMYFUNCTION("SPLIT(A1121,"" "")"),45543.0)</f>
        <v>45543</v>
      </c>
      <c r="C1121" s="10">
        <f>IFERROR(__xludf.DUMMYFUNCTION("""COMPUTED_VALUE"""),0.3125)</f>
        <v>0.3125</v>
      </c>
      <c r="D1121" s="2">
        <f t="shared" si="1"/>
        <v>7</v>
      </c>
      <c r="E1121" s="2">
        <f>IFERROR(__xludf.DUMMYFUNCTION("SPLIT(B1121,""/"")"),8.0)</f>
        <v>8</v>
      </c>
      <c r="F1121" s="2">
        <f>IFERROR(__xludf.DUMMYFUNCTION("""COMPUTED_VALUE"""),9.0)</f>
        <v>9</v>
      </c>
      <c r="G1121" s="2">
        <f>IFERROR(__xludf.DUMMYFUNCTION("""COMPUTED_VALUE"""),2024.0)</f>
        <v>2024</v>
      </c>
      <c r="H1121" s="2" t="str">
        <f t="shared" si="2"/>
        <v>2024/9/8</v>
      </c>
      <c r="I1121" s="2" t="s">
        <v>1566</v>
      </c>
      <c r="J1121" s="2" t="str">
        <f t="shared" si="3"/>
        <v>Roti Bawang Saus Keju</v>
      </c>
      <c r="K1121" s="7">
        <f>if(RIGHT(I1121,5)="2 pcs",2,Data!I1121)</f>
        <v>1</v>
      </c>
      <c r="L1121" s="2" t="str">
        <f t="shared" si="4"/>
        <v>Sunday</v>
      </c>
      <c r="M1121" s="2" t="str">
        <f t="shared" si="5"/>
        <v>8</v>
      </c>
      <c r="N1121" s="2">
        <f>VLOOKUP(L1121,'Data Info'!$A$1:$B$8,2,0)</f>
        <v>7</v>
      </c>
      <c r="O1121" s="2" t="str">
        <f>VLOOKUP(L1121,'Data Info'!$A$1:$C$8,3,0)</f>
        <v>Weekend</v>
      </c>
    </row>
    <row r="1122">
      <c r="A1122" s="4">
        <v>45542.881944444445</v>
      </c>
      <c r="B1122" s="9">
        <f>IFERROR(__xludf.DUMMYFUNCTION("SPLIT(A1122,"" "")"),45542.0)</f>
        <v>45542</v>
      </c>
      <c r="C1122" s="10">
        <f>IFERROR(__xludf.DUMMYFUNCTION("""COMPUTED_VALUE"""),0.8819444444444444)</f>
        <v>0.8819444444</v>
      </c>
      <c r="D1122" s="2">
        <f t="shared" si="1"/>
        <v>21</v>
      </c>
      <c r="E1122" s="2">
        <f>IFERROR(__xludf.DUMMYFUNCTION("SPLIT(B1122,""/"")"),7.0)</f>
        <v>7</v>
      </c>
      <c r="F1122" s="2">
        <f>IFERROR(__xludf.DUMMYFUNCTION("""COMPUTED_VALUE"""),9.0)</f>
        <v>9</v>
      </c>
      <c r="G1122" s="2">
        <f>IFERROR(__xludf.DUMMYFUNCTION("""COMPUTED_VALUE"""),2024.0)</f>
        <v>2024</v>
      </c>
      <c r="H1122" s="2" t="str">
        <f t="shared" si="2"/>
        <v>2024/9/7</v>
      </c>
      <c r="I1122" s="2" t="s">
        <v>1591</v>
      </c>
      <c r="J1122" s="2" t="str">
        <f t="shared" si="3"/>
        <v>Kopi cur</v>
      </c>
      <c r="K1122" s="7">
        <f>if(RIGHT(I1122,5)="2 pcs",2,Data!I1122)</f>
        <v>1</v>
      </c>
      <c r="L1122" s="2" t="str">
        <f t="shared" si="4"/>
        <v>Saturday</v>
      </c>
      <c r="M1122" s="2" t="str">
        <f t="shared" si="5"/>
        <v>7</v>
      </c>
      <c r="N1122" s="2">
        <f>VLOOKUP(L1122,'Data Info'!$A$1:$B$8,2,0)</f>
        <v>6</v>
      </c>
      <c r="O1122" s="2" t="str">
        <f>VLOOKUP(L1122,'Data Info'!$A$1:$C$8,3,0)</f>
        <v>Weekend</v>
      </c>
    </row>
    <row r="1123">
      <c r="A1123" s="4">
        <v>45542.88125</v>
      </c>
      <c r="B1123" s="9">
        <f>IFERROR(__xludf.DUMMYFUNCTION("SPLIT(A1123,"" "")"),45542.0)</f>
        <v>45542</v>
      </c>
      <c r="C1123" s="10">
        <f>IFERROR(__xludf.DUMMYFUNCTION("""COMPUTED_VALUE"""),0.88125)</f>
        <v>0.88125</v>
      </c>
      <c r="D1123" s="2">
        <f t="shared" si="1"/>
        <v>21</v>
      </c>
      <c r="E1123" s="2">
        <f>IFERROR(__xludf.DUMMYFUNCTION("SPLIT(B1123,""/"")"),7.0)</f>
        <v>7</v>
      </c>
      <c r="F1123" s="2">
        <f>IFERROR(__xludf.DUMMYFUNCTION("""COMPUTED_VALUE"""),9.0)</f>
        <v>9</v>
      </c>
      <c r="G1123" s="2">
        <f>IFERROR(__xludf.DUMMYFUNCTION("""COMPUTED_VALUE"""),2024.0)</f>
        <v>2024</v>
      </c>
      <c r="H1123" s="2" t="str">
        <f t="shared" si="2"/>
        <v>2024/9/7</v>
      </c>
      <c r="I1123" s="2" t="s">
        <v>1579</v>
      </c>
      <c r="J1123" s="2" t="str">
        <f t="shared" si="3"/>
        <v>Tahu baso</v>
      </c>
      <c r="K1123" s="7">
        <f>if(RIGHT(I1123,5)="2 pcs",2,Data!I1123)</f>
        <v>1</v>
      </c>
      <c r="L1123" s="2" t="str">
        <f t="shared" si="4"/>
        <v>Saturday</v>
      </c>
      <c r="M1123" s="2" t="str">
        <f t="shared" si="5"/>
        <v>7</v>
      </c>
      <c r="N1123" s="2">
        <f>VLOOKUP(L1123,'Data Info'!$A$1:$B$8,2,0)</f>
        <v>6</v>
      </c>
      <c r="O1123" s="2" t="str">
        <f>VLOOKUP(L1123,'Data Info'!$A$1:$C$8,3,0)</f>
        <v>Weekend</v>
      </c>
    </row>
    <row r="1124">
      <c r="A1124" s="4">
        <v>45542.88125</v>
      </c>
      <c r="B1124" s="9">
        <f>IFERROR(__xludf.DUMMYFUNCTION("SPLIT(A1124,"" "")"),45542.0)</f>
        <v>45542</v>
      </c>
      <c r="C1124" s="10">
        <f>IFERROR(__xludf.DUMMYFUNCTION("""COMPUTED_VALUE"""),0.88125)</f>
        <v>0.88125</v>
      </c>
      <c r="D1124" s="2">
        <f t="shared" si="1"/>
        <v>21</v>
      </c>
      <c r="E1124" s="2">
        <f>IFERROR(__xludf.DUMMYFUNCTION("SPLIT(B1124,""/"")"),7.0)</f>
        <v>7</v>
      </c>
      <c r="F1124" s="2">
        <f>IFERROR(__xludf.DUMMYFUNCTION("""COMPUTED_VALUE"""),9.0)</f>
        <v>9</v>
      </c>
      <c r="G1124" s="2">
        <f>IFERROR(__xludf.DUMMYFUNCTION("""COMPUTED_VALUE"""),2024.0)</f>
        <v>2024</v>
      </c>
      <c r="H1124" s="2" t="str">
        <f t="shared" si="2"/>
        <v>2024/9/7</v>
      </c>
      <c r="I1124" s="2" t="s">
        <v>1576</v>
      </c>
      <c r="J1124" s="2" t="str">
        <f t="shared" si="3"/>
        <v>Roti Cranberry</v>
      </c>
      <c r="K1124" s="7">
        <f>if(RIGHT(I1124,5)="2 pcs",2,Data!I1124)</f>
        <v>1</v>
      </c>
      <c r="L1124" s="2" t="str">
        <f t="shared" si="4"/>
        <v>Saturday</v>
      </c>
      <c r="M1124" s="2" t="str">
        <f t="shared" si="5"/>
        <v>7</v>
      </c>
      <c r="N1124" s="2">
        <f>VLOOKUP(L1124,'Data Info'!$A$1:$B$8,2,0)</f>
        <v>6</v>
      </c>
      <c r="O1124" s="2" t="str">
        <f>VLOOKUP(L1124,'Data Info'!$A$1:$C$8,3,0)</f>
        <v>Weekend</v>
      </c>
    </row>
    <row r="1125">
      <c r="A1125" s="4">
        <v>45542.88125</v>
      </c>
      <c r="B1125" s="9">
        <f>IFERROR(__xludf.DUMMYFUNCTION("SPLIT(A1125,"" "")"),45542.0)</f>
        <v>45542</v>
      </c>
      <c r="C1125" s="10">
        <f>IFERROR(__xludf.DUMMYFUNCTION("""COMPUTED_VALUE"""),0.88125)</f>
        <v>0.88125</v>
      </c>
      <c r="D1125" s="2">
        <f t="shared" si="1"/>
        <v>21</v>
      </c>
      <c r="E1125" s="2">
        <f>IFERROR(__xludf.DUMMYFUNCTION("SPLIT(B1125,""/"")"),7.0)</f>
        <v>7</v>
      </c>
      <c r="F1125" s="2">
        <f>IFERROR(__xludf.DUMMYFUNCTION("""COMPUTED_VALUE"""),9.0)</f>
        <v>9</v>
      </c>
      <c r="G1125" s="2">
        <f>IFERROR(__xludf.DUMMYFUNCTION("""COMPUTED_VALUE"""),2024.0)</f>
        <v>2024</v>
      </c>
      <c r="H1125" s="2" t="str">
        <f t="shared" si="2"/>
        <v>2024/9/7</v>
      </c>
      <c r="I1125" s="2" t="s">
        <v>1577</v>
      </c>
      <c r="J1125" s="2" t="str">
        <f t="shared" si="3"/>
        <v>Rempah Madu Panas</v>
      </c>
      <c r="K1125" s="7">
        <f>if(RIGHT(I1125,5)="2 pcs",2,Data!I1125)</f>
        <v>1</v>
      </c>
      <c r="L1125" s="2" t="str">
        <f t="shared" si="4"/>
        <v>Saturday</v>
      </c>
      <c r="M1125" s="2" t="str">
        <f t="shared" si="5"/>
        <v>7</v>
      </c>
      <c r="N1125" s="2">
        <f>VLOOKUP(L1125,'Data Info'!$A$1:$B$8,2,0)</f>
        <v>6</v>
      </c>
      <c r="O1125" s="2" t="str">
        <f>VLOOKUP(L1125,'Data Info'!$A$1:$C$8,3,0)</f>
        <v>Weekend</v>
      </c>
    </row>
    <row r="1126">
      <c r="A1126" s="4">
        <v>45542.875</v>
      </c>
      <c r="B1126" s="9">
        <f>IFERROR(__xludf.DUMMYFUNCTION("SPLIT(A1126,"" "")"),45542.0)</f>
        <v>45542</v>
      </c>
      <c r="C1126" s="10">
        <f>IFERROR(__xludf.DUMMYFUNCTION("""COMPUTED_VALUE"""),0.875)</f>
        <v>0.875</v>
      </c>
      <c r="D1126" s="2">
        <f t="shared" si="1"/>
        <v>21</v>
      </c>
      <c r="E1126" s="2">
        <f>IFERROR(__xludf.DUMMYFUNCTION("SPLIT(B1126,""/"")"),7.0)</f>
        <v>7</v>
      </c>
      <c r="F1126" s="2">
        <f>IFERROR(__xludf.DUMMYFUNCTION("""COMPUTED_VALUE"""),9.0)</f>
        <v>9</v>
      </c>
      <c r="G1126" s="2">
        <f>IFERROR(__xludf.DUMMYFUNCTION("""COMPUTED_VALUE"""),2024.0)</f>
        <v>2024</v>
      </c>
      <c r="H1126" s="2" t="str">
        <f t="shared" si="2"/>
        <v>2024/9/7</v>
      </c>
      <c r="I1126" s="2" t="s">
        <v>1608</v>
      </c>
      <c r="J1126" s="2" t="str">
        <f t="shared" si="3"/>
        <v>Susu murni strawberry</v>
      </c>
      <c r="K1126" s="7">
        <f>if(RIGHT(I1126,5)="2 pcs",2,Data!I1126)</f>
        <v>1</v>
      </c>
      <c r="L1126" s="2" t="str">
        <f t="shared" si="4"/>
        <v>Saturday</v>
      </c>
      <c r="M1126" s="2" t="str">
        <f t="shared" si="5"/>
        <v>7</v>
      </c>
      <c r="N1126" s="2">
        <f>VLOOKUP(L1126,'Data Info'!$A$1:$B$8,2,0)</f>
        <v>6</v>
      </c>
      <c r="O1126" s="2" t="str">
        <f>VLOOKUP(L1126,'Data Info'!$A$1:$C$8,3,0)</f>
        <v>Weekend</v>
      </c>
    </row>
    <row r="1127">
      <c r="A1127" s="4">
        <v>45542.87152777778</v>
      </c>
      <c r="B1127" s="9">
        <f>IFERROR(__xludf.DUMMYFUNCTION("SPLIT(A1127,"" "")"),45542.0)</f>
        <v>45542</v>
      </c>
      <c r="C1127" s="10">
        <f>IFERROR(__xludf.DUMMYFUNCTION("""COMPUTED_VALUE"""),0.8715277777777778)</f>
        <v>0.8715277778</v>
      </c>
      <c r="D1127" s="2">
        <f t="shared" si="1"/>
        <v>20</v>
      </c>
      <c r="E1127" s="2">
        <f>IFERROR(__xludf.DUMMYFUNCTION("SPLIT(B1127,""/"")"),7.0)</f>
        <v>7</v>
      </c>
      <c r="F1127" s="2">
        <f>IFERROR(__xludf.DUMMYFUNCTION("""COMPUTED_VALUE"""),9.0)</f>
        <v>9</v>
      </c>
      <c r="G1127" s="2">
        <f>IFERROR(__xludf.DUMMYFUNCTION("""COMPUTED_VALUE"""),2024.0)</f>
        <v>2024</v>
      </c>
      <c r="H1127" s="2" t="str">
        <f t="shared" si="2"/>
        <v>2024/9/7</v>
      </c>
      <c r="I1127" s="2" t="s">
        <v>1579</v>
      </c>
      <c r="J1127" s="2" t="str">
        <f t="shared" si="3"/>
        <v>Tahu baso</v>
      </c>
      <c r="K1127" s="7">
        <f>if(RIGHT(I1127,5)="2 pcs",2,Data!I1127)</f>
        <v>1</v>
      </c>
      <c r="L1127" s="2" t="str">
        <f t="shared" si="4"/>
        <v>Saturday</v>
      </c>
      <c r="M1127" s="2" t="str">
        <f t="shared" si="5"/>
        <v>7</v>
      </c>
      <c r="N1127" s="2">
        <f>VLOOKUP(L1127,'Data Info'!$A$1:$B$8,2,0)</f>
        <v>6</v>
      </c>
      <c r="O1127" s="2" t="str">
        <f>VLOOKUP(L1127,'Data Info'!$A$1:$C$8,3,0)</f>
        <v>Weekend</v>
      </c>
    </row>
    <row r="1128">
      <c r="A1128" s="4">
        <v>45542.87152777778</v>
      </c>
      <c r="B1128" s="9">
        <f>IFERROR(__xludf.DUMMYFUNCTION("SPLIT(A1128,"" "")"),45542.0)</f>
        <v>45542</v>
      </c>
      <c r="C1128" s="10">
        <f>IFERROR(__xludf.DUMMYFUNCTION("""COMPUTED_VALUE"""),0.8715277777777778)</f>
        <v>0.8715277778</v>
      </c>
      <c r="D1128" s="2">
        <f t="shared" si="1"/>
        <v>20</v>
      </c>
      <c r="E1128" s="2">
        <f>IFERROR(__xludf.DUMMYFUNCTION("SPLIT(B1128,""/"")"),7.0)</f>
        <v>7</v>
      </c>
      <c r="F1128" s="2">
        <f>IFERROR(__xludf.DUMMYFUNCTION("""COMPUTED_VALUE"""),9.0)</f>
        <v>9</v>
      </c>
      <c r="G1128" s="2">
        <f>IFERROR(__xludf.DUMMYFUNCTION("""COMPUTED_VALUE"""),2024.0)</f>
        <v>2024</v>
      </c>
      <c r="H1128" s="2" t="str">
        <f t="shared" si="2"/>
        <v>2024/9/7</v>
      </c>
      <c r="I1128" s="2" t="s">
        <v>1610</v>
      </c>
      <c r="J1128" s="2" t="str">
        <f t="shared" si="3"/>
        <v>Roti toast eskrim</v>
      </c>
      <c r="K1128" s="7">
        <f>if(RIGHT(I1128,5)="2 pcs",2,Data!I1128)</f>
        <v>1</v>
      </c>
      <c r="L1128" s="2" t="str">
        <f t="shared" si="4"/>
        <v>Saturday</v>
      </c>
      <c r="M1128" s="2" t="str">
        <f t="shared" si="5"/>
        <v>7</v>
      </c>
      <c r="N1128" s="2">
        <f>VLOOKUP(L1128,'Data Info'!$A$1:$B$8,2,0)</f>
        <v>6</v>
      </c>
      <c r="O1128" s="2" t="str">
        <f>VLOOKUP(L1128,'Data Info'!$A$1:$C$8,3,0)</f>
        <v>Weekend</v>
      </c>
    </row>
    <row r="1129">
      <c r="A1129" s="4">
        <v>45542.84652777778</v>
      </c>
      <c r="B1129" s="9">
        <f>IFERROR(__xludf.DUMMYFUNCTION("SPLIT(A1129,"" "")"),45542.0)</f>
        <v>45542</v>
      </c>
      <c r="C1129" s="10">
        <f>IFERROR(__xludf.DUMMYFUNCTION("""COMPUTED_VALUE"""),0.8465277777777778)</f>
        <v>0.8465277778</v>
      </c>
      <c r="D1129" s="2">
        <f t="shared" si="1"/>
        <v>20</v>
      </c>
      <c r="E1129" s="2">
        <f>IFERROR(__xludf.DUMMYFUNCTION("SPLIT(B1129,""/"")"),7.0)</f>
        <v>7</v>
      </c>
      <c r="F1129" s="2">
        <f>IFERROR(__xludf.DUMMYFUNCTION("""COMPUTED_VALUE"""),9.0)</f>
        <v>9</v>
      </c>
      <c r="G1129" s="2">
        <f>IFERROR(__xludf.DUMMYFUNCTION("""COMPUTED_VALUE"""),2024.0)</f>
        <v>2024</v>
      </c>
      <c r="H1129" s="2" t="str">
        <f t="shared" si="2"/>
        <v>2024/9/7</v>
      </c>
      <c r="I1129" s="2" t="s">
        <v>1596</v>
      </c>
      <c r="J1129" s="2" t="str">
        <f t="shared" si="3"/>
        <v>Roti Cranberry</v>
      </c>
      <c r="K1129" s="7">
        <f>if(RIGHT(I1129,5)="2 pcs",2,Data!I1129)</f>
        <v>2</v>
      </c>
      <c r="L1129" s="2" t="str">
        <f t="shared" si="4"/>
        <v>Saturday</v>
      </c>
      <c r="M1129" s="2" t="str">
        <f t="shared" si="5"/>
        <v>7</v>
      </c>
      <c r="N1129" s="2">
        <f>VLOOKUP(L1129,'Data Info'!$A$1:$B$8,2,0)</f>
        <v>6</v>
      </c>
      <c r="O1129" s="2" t="str">
        <f>VLOOKUP(L1129,'Data Info'!$A$1:$C$8,3,0)</f>
        <v>Weekend</v>
      </c>
    </row>
    <row r="1130">
      <c r="A1130" s="4">
        <v>45542.82708333333</v>
      </c>
      <c r="B1130" s="9">
        <f>IFERROR(__xludf.DUMMYFUNCTION("SPLIT(A1130,"" "")"),45542.0)</f>
        <v>45542</v>
      </c>
      <c r="C1130" s="10">
        <f>IFERROR(__xludf.DUMMYFUNCTION("""COMPUTED_VALUE"""),0.8270833333333333)</f>
        <v>0.8270833333</v>
      </c>
      <c r="D1130" s="2">
        <f t="shared" si="1"/>
        <v>19</v>
      </c>
      <c r="E1130" s="2">
        <f>IFERROR(__xludf.DUMMYFUNCTION("SPLIT(B1130,""/"")"),7.0)</f>
        <v>7</v>
      </c>
      <c r="F1130" s="2">
        <f>IFERROR(__xludf.DUMMYFUNCTION("""COMPUTED_VALUE"""),9.0)</f>
        <v>9</v>
      </c>
      <c r="G1130" s="2">
        <f>IFERROR(__xludf.DUMMYFUNCTION("""COMPUTED_VALUE"""),2024.0)</f>
        <v>2024</v>
      </c>
      <c r="H1130" s="2" t="str">
        <f t="shared" si="2"/>
        <v>2024/9/7</v>
      </c>
      <c r="I1130" s="2" t="s">
        <v>1594</v>
      </c>
      <c r="J1130" s="2" t="str">
        <f t="shared" si="3"/>
        <v>Wedang Bulan</v>
      </c>
      <c r="K1130" s="7">
        <f>if(RIGHT(I1130,5)="2 pcs",2,Data!I1130)</f>
        <v>1</v>
      </c>
      <c r="L1130" s="2" t="str">
        <f t="shared" si="4"/>
        <v>Saturday</v>
      </c>
      <c r="M1130" s="2" t="str">
        <f t="shared" si="5"/>
        <v>7</v>
      </c>
      <c r="N1130" s="2">
        <f>VLOOKUP(L1130,'Data Info'!$A$1:$B$8,2,0)</f>
        <v>6</v>
      </c>
      <c r="O1130" s="2" t="str">
        <f>VLOOKUP(L1130,'Data Info'!$A$1:$C$8,3,0)</f>
        <v>Weekend</v>
      </c>
    </row>
    <row r="1131">
      <c r="A1131" s="4">
        <v>45542.82708333333</v>
      </c>
      <c r="B1131" s="9">
        <f>IFERROR(__xludf.DUMMYFUNCTION("SPLIT(A1131,"" "")"),45542.0)</f>
        <v>45542</v>
      </c>
      <c r="C1131" s="10">
        <f>IFERROR(__xludf.DUMMYFUNCTION("""COMPUTED_VALUE"""),0.8270833333333333)</f>
        <v>0.8270833333</v>
      </c>
      <c r="D1131" s="2">
        <f t="shared" si="1"/>
        <v>19</v>
      </c>
      <c r="E1131" s="2">
        <f>IFERROR(__xludf.DUMMYFUNCTION("SPLIT(B1131,""/"")"),7.0)</f>
        <v>7</v>
      </c>
      <c r="F1131" s="2">
        <f>IFERROR(__xludf.DUMMYFUNCTION("""COMPUTED_VALUE"""),9.0)</f>
        <v>9</v>
      </c>
      <c r="G1131" s="2">
        <f>IFERROR(__xludf.DUMMYFUNCTION("""COMPUTED_VALUE"""),2024.0)</f>
        <v>2024</v>
      </c>
      <c r="H1131" s="2" t="str">
        <f t="shared" si="2"/>
        <v>2024/9/7</v>
      </c>
      <c r="I1131" s="2" t="s">
        <v>1608</v>
      </c>
      <c r="J1131" s="2" t="str">
        <f t="shared" si="3"/>
        <v>Susu murni strawberry</v>
      </c>
      <c r="K1131" s="7">
        <f>if(RIGHT(I1131,5)="2 pcs",2,Data!I1131)</f>
        <v>1</v>
      </c>
      <c r="L1131" s="2" t="str">
        <f t="shared" si="4"/>
        <v>Saturday</v>
      </c>
      <c r="M1131" s="2" t="str">
        <f t="shared" si="5"/>
        <v>7</v>
      </c>
      <c r="N1131" s="2">
        <f>VLOOKUP(L1131,'Data Info'!$A$1:$B$8,2,0)</f>
        <v>6</v>
      </c>
      <c r="O1131" s="2" t="str">
        <f>VLOOKUP(L1131,'Data Info'!$A$1:$C$8,3,0)</f>
        <v>Weekend</v>
      </c>
    </row>
    <row r="1132">
      <c r="A1132" s="4">
        <v>45542.82708333333</v>
      </c>
      <c r="B1132" s="9">
        <f>IFERROR(__xludf.DUMMYFUNCTION("SPLIT(A1132,"" "")"),45542.0)</f>
        <v>45542</v>
      </c>
      <c r="C1132" s="10">
        <f>IFERROR(__xludf.DUMMYFUNCTION("""COMPUTED_VALUE"""),0.8270833333333333)</f>
        <v>0.8270833333</v>
      </c>
      <c r="D1132" s="2">
        <f t="shared" si="1"/>
        <v>19</v>
      </c>
      <c r="E1132" s="2">
        <f>IFERROR(__xludf.DUMMYFUNCTION("SPLIT(B1132,""/"")"),7.0)</f>
        <v>7</v>
      </c>
      <c r="F1132" s="2">
        <f>IFERROR(__xludf.DUMMYFUNCTION("""COMPUTED_VALUE"""),9.0)</f>
        <v>9</v>
      </c>
      <c r="G1132" s="2">
        <f>IFERROR(__xludf.DUMMYFUNCTION("""COMPUTED_VALUE"""),2024.0)</f>
        <v>2024</v>
      </c>
      <c r="H1132" s="2" t="str">
        <f t="shared" si="2"/>
        <v>2024/9/7</v>
      </c>
      <c r="I1132" s="2" t="s">
        <v>1603</v>
      </c>
      <c r="J1132" s="2" t="str">
        <f t="shared" si="3"/>
        <v>Nasi Goreng Temu</v>
      </c>
      <c r="K1132" s="7">
        <f>if(RIGHT(I1132,5)="2 pcs",2,Data!I1132)</f>
        <v>1</v>
      </c>
      <c r="L1132" s="2" t="str">
        <f t="shared" si="4"/>
        <v>Saturday</v>
      </c>
      <c r="M1132" s="2" t="str">
        <f t="shared" si="5"/>
        <v>7</v>
      </c>
      <c r="N1132" s="2">
        <f>VLOOKUP(L1132,'Data Info'!$A$1:$B$8,2,0)</f>
        <v>6</v>
      </c>
      <c r="O1132" s="2" t="str">
        <f>VLOOKUP(L1132,'Data Info'!$A$1:$C$8,3,0)</f>
        <v>Weekend</v>
      </c>
    </row>
    <row r="1133">
      <c r="A1133" s="4">
        <v>45542.82708333333</v>
      </c>
      <c r="B1133" s="9">
        <f>IFERROR(__xludf.DUMMYFUNCTION("SPLIT(A1133,"" "")"),45542.0)</f>
        <v>45542</v>
      </c>
      <c r="C1133" s="10">
        <f>IFERROR(__xludf.DUMMYFUNCTION("""COMPUTED_VALUE"""),0.8270833333333333)</f>
        <v>0.8270833333</v>
      </c>
      <c r="D1133" s="2">
        <f t="shared" si="1"/>
        <v>19</v>
      </c>
      <c r="E1133" s="2">
        <f>IFERROR(__xludf.DUMMYFUNCTION("SPLIT(B1133,""/"")"),7.0)</f>
        <v>7</v>
      </c>
      <c r="F1133" s="2">
        <f>IFERROR(__xludf.DUMMYFUNCTION("""COMPUTED_VALUE"""),9.0)</f>
        <v>9</v>
      </c>
      <c r="G1133" s="2">
        <f>IFERROR(__xludf.DUMMYFUNCTION("""COMPUTED_VALUE"""),2024.0)</f>
        <v>2024</v>
      </c>
      <c r="H1133" s="2" t="str">
        <f t="shared" si="2"/>
        <v>2024/9/7</v>
      </c>
      <c r="I1133" s="2" t="s">
        <v>1609</v>
      </c>
      <c r="J1133" s="2" t="str">
        <f t="shared" si="3"/>
        <v>Tempe Mendoan</v>
      </c>
      <c r="K1133" s="7">
        <f>if(RIGHT(I1133,5)="2 pcs",2,Data!I1133)</f>
        <v>1</v>
      </c>
      <c r="L1133" s="2" t="str">
        <f t="shared" si="4"/>
        <v>Saturday</v>
      </c>
      <c r="M1133" s="2" t="str">
        <f t="shared" si="5"/>
        <v>7</v>
      </c>
      <c r="N1133" s="2">
        <f>VLOOKUP(L1133,'Data Info'!$A$1:$B$8,2,0)</f>
        <v>6</v>
      </c>
      <c r="O1133" s="2" t="str">
        <f>VLOOKUP(L1133,'Data Info'!$A$1:$C$8,3,0)</f>
        <v>Weekend</v>
      </c>
    </row>
    <row r="1134">
      <c r="A1134" s="4">
        <v>45542.82152777778</v>
      </c>
      <c r="B1134" s="9">
        <f>IFERROR(__xludf.DUMMYFUNCTION("SPLIT(A1134,"" "")"),45542.0)</f>
        <v>45542</v>
      </c>
      <c r="C1134" s="10">
        <f>IFERROR(__xludf.DUMMYFUNCTION("""COMPUTED_VALUE"""),0.8215277777777777)</f>
        <v>0.8215277778</v>
      </c>
      <c r="D1134" s="2">
        <f t="shared" si="1"/>
        <v>19</v>
      </c>
      <c r="E1134" s="2">
        <f>IFERROR(__xludf.DUMMYFUNCTION("SPLIT(B1134,""/"")"),7.0)</f>
        <v>7</v>
      </c>
      <c r="F1134" s="2">
        <f>IFERROR(__xludf.DUMMYFUNCTION("""COMPUTED_VALUE"""),9.0)</f>
        <v>9</v>
      </c>
      <c r="G1134" s="2">
        <f>IFERROR(__xludf.DUMMYFUNCTION("""COMPUTED_VALUE"""),2024.0)</f>
        <v>2024</v>
      </c>
      <c r="H1134" s="2" t="str">
        <f t="shared" si="2"/>
        <v>2024/9/7</v>
      </c>
      <c r="I1134" s="2" t="s">
        <v>1576</v>
      </c>
      <c r="J1134" s="2" t="str">
        <f t="shared" si="3"/>
        <v>Roti Cranberry</v>
      </c>
      <c r="K1134" s="7">
        <f>if(RIGHT(I1134,5)="2 pcs",2,Data!I1134)</f>
        <v>-1</v>
      </c>
      <c r="L1134" s="2" t="str">
        <f t="shared" si="4"/>
        <v>Saturday</v>
      </c>
      <c r="M1134" s="2" t="str">
        <f t="shared" si="5"/>
        <v>7</v>
      </c>
      <c r="N1134" s="2">
        <f>VLOOKUP(L1134,'Data Info'!$A$1:$B$8,2,0)</f>
        <v>6</v>
      </c>
      <c r="O1134" s="2" t="str">
        <f>VLOOKUP(L1134,'Data Info'!$A$1:$C$8,3,0)</f>
        <v>Weekend</v>
      </c>
    </row>
    <row r="1135">
      <c r="A1135" s="4">
        <v>45542.82152777778</v>
      </c>
      <c r="B1135" s="9">
        <f>IFERROR(__xludf.DUMMYFUNCTION("SPLIT(A1135,"" "")"),45542.0)</f>
        <v>45542</v>
      </c>
      <c r="C1135" s="10">
        <f>IFERROR(__xludf.DUMMYFUNCTION("""COMPUTED_VALUE"""),0.8215277777777777)</f>
        <v>0.8215277778</v>
      </c>
      <c r="D1135" s="2">
        <f t="shared" si="1"/>
        <v>19</v>
      </c>
      <c r="E1135" s="2">
        <f>IFERROR(__xludf.DUMMYFUNCTION("SPLIT(B1135,""/"")"),7.0)</f>
        <v>7</v>
      </c>
      <c r="F1135" s="2">
        <f>IFERROR(__xludf.DUMMYFUNCTION("""COMPUTED_VALUE"""),9.0)</f>
        <v>9</v>
      </c>
      <c r="G1135" s="2">
        <f>IFERROR(__xludf.DUMMYFUNCTION("""COMPUTED_VALUE"""),2024.0)</f>
        <v>2024</v>
      </c>
      <c r="H1135" s="2" t="str">
        <f t="shared" si="2"/>
        <v>2024/9/7</v>
      </c>
      <c r="I1135" s="2" t="s">
        <v>1577</v>
      </c>
      <c r="J1135" s="2" t="str">
        <f t="shared" si="3"/>
        <v>Rempah Madu Panas</v>
      </c>
      <c r="K1135" s="7">
        <f>if(RIGHT(I1135,5)="2 pcs",2,Data!I1135)</f>
        <v>-1</v>
      </c>
      <c r="L1135" s="2" t="str">
        <f t="shared" si="4"/>
        <v>Saturday</v>
      </c>
      <c r="M1135" s="2" t="str">
        <f t="shared" si="5"/>
        <v>7</v>
      </c>
      <c r="N1135" s="2">
        <f>VLOOKUP(L1135,'Data Info'!$A$1:$B$8,2,0)</f>
        <v>6</v>
      </c>
      <c r="O1135" s="2" t="str">
        <f>VLOOKUP(L1135,'Data Info'!$A$1:$C$8,3,0)</f>
        <v>Weekend</v>
      </c>
    </row>
    <row r="1136">
      <c r="A1136" s="4">
        <v>45542.82152777778</v>
      </c>
      <c r="B1136" s="9">
        <f>IFERROR(__xludf.DUMMYFUNCTION("SPLIT(A1136,"" "")"),45542.0)</f>
        <v>45542</v>
      </c>
      <c r="C1136" s="10">
        <f>IFERROR(__xludf.DUMMYFUNCTION("""COMPUTED_VALUE"""),0.8215277777777777)</f>
        <v>0.8215277778</v>
      </c>
      <c r="D1136" s="2">
        <f t="shared" si="1"/>
        <v>19</v>
      </c>
      <c r="E1136" s="2">
        <f>IFERROR(__xludf.DUMMYFUNCTION("SPLIT(B1136,""/"")"),7.0)</f>
        <v>7</v>
      </c>
      <c r="F1136" s="2">
        <f>IFERROR(__xludf.DUMMYFUNCTION("""COMPUTED_VALUE"""),9.0)</f>
        <v>9</v>
      </c>
      <c r="G1136" s="2">
        <f>IFERROR(__xludf.DUMMYFUNCTION("""COMPUTED_VALUE"""),2024.0)</f>
        <v>2024</v>
      </c>
      <c r="H1136" s="2" t="str">
        <f t="shared" si="2"/>
        <v>2024/9/7</v>
      </c>
      <c r="I1136" s="2" t="s">
        <v>1579</v>
      </c>
      <c r="J1136" s="2" t="str">
        <f t="shared" si="3"/>
        <v>Tahu baso</v>
      </c>
      <c r="K1136" s="7">
        <f>if(RIGHT(I1136,5)="2 pcs",2,Data!I1136)</f>
        <v>-1</v>
      </c>
      <c r="L1136" s="2" t="str">
        <f t="shared" si="4"/>
        <v>Saturday</v>
      </c>
      <c r="M1136" s="2" t="str">
        <f t="shared" si="5"/>
        <v>7</v>
      </c>
      <c r="N1136" s="2">
        <f>VLOOKUP(L1136,'Data Info'!$A$1:$B$8,2,0)</f>
        <v>6</v>
      </c>
      <c r="O1136" s="2" t="str">
        <f>VLOOKUP(L1136,'Data Info'!$A$1:$C$8,3,0)</f>
        <v>Weekend</v>
      </c>
    </row>
    <row r="1137">
      <c r="A1137" s="4">
        <v>45542.82013888889</v>
      </c>
      <c r="B1137" s="9">
        <f>IFERROR(__xludf.DUMMYFUNCTION("SPLIT(A1137,"" "")"),45542.0)</f>
        <v>45542</v>
      </c>
      <c r="C1137" s="10">
        <f>IFERROR(__xludf.DUMMYFUNCTION("""COMPUTED_VALUE"""),0.8201388888888889)</f>
        <v>0.8201388889</v>
      </c>
      <c r="D1137" s="2">
        <f t="shared" si="1"/>
        <v>19</v>
      </c>
      <c r="E1137" s="2">
        <f>IFERROR(__xludf.DUMMYFUNCTION("SPLIT(B1137,""/"")"),7.0)</f>
        <v>7</v>
      </c>
      <c r="F1137" s="2">
        <f>IFERROR(__xludf.DUMMYFUNCTION("""COMPUTED_VALUE"""),9.0)</f>
        <v>9</v>
      </c>
      <c r="G1137" s="2">
        <f>IFERROR(__xludf.DUMMYFUNCTION("""COMPUTED_VALUE"""),2024.0)</f>
        <v>2024</v>
      </c>
      <c r="H1137" s="2" t="str">
        <f t="shared" si="2"/>
        <v>2024/9/7</v>
      </c>
      <c r="I1137" s="2" t="s">
        <v>1576</v>
      </c>
      <c r="J1137" s="2" t="str">
        <f t="shared" si="3"/>
        <v>Roti Cranberry</v>
      </c>
      <c r="K1137" s="7">
        <f>if(RIGHT(I1137,5)="2 pcs",2,Data!I1137)</f>
        <v>1</v>
      </c>
      <c r="L1137" s="2" t="str">
        <f t="shared" si="4"/>
        <v>Saturday</v>
      </c>
      <c r="M1137" s="2" t="str">
        <f t="shared" si="5"/>
        <v>7</v>
      </c>
      <c r="N1137" s="2">
        <f>VLOOKUP(L1137,'Data Info'!$A$1:$B$8,2,0)</f>
        <v>6</v>
      </c>
      <c r="O1137" s="2" t="str">
        <f>VLOOKUP(L1137,'Data Info'!$A$1:$C$8,3,0)</f>
        <v>Weekend</v>
      </c>
    </row>
    <row r="1138">
      <c r="A1138" s="4">
        <v>45542.82013888889</v>
      </c>
      <c r="B1138" s="9">
        <f>IFERROR(__xludf.DUMMYFUNCTION("SPLIT(A1138,"" "")"),45542.0)</f>
        <v>45542</v>
      </c>
      <c r="C1138" s="10">
        <f>IFERROR(__xludf.DUMMYFUNCTION("""COMPUTED_VALUE"""),0.8201388888888889)</f>
        <v>0.8201388889</v>
      </c>
      <c r="D1138" s="2">
        <f t="shared" si="1"/>
        <v>19</v>
      </c>
      <c r="E1138" s="2">
        <f>IFERROR(__xludf.DUMMYFUNCTION("SPLIT(B1138,""/"")"),7.0)</f>
        <v>7</v>
      </c>
      <c r="F1138" s="2">
        <f>IFERROR(__xludf.DUMMYFUNCTION("""COMPUTED_VALUE"""),9.0)</f>
        <v>9</v>
      </c>
      <c r="G1138" s="2">
        <f>IFERROR(__xludf.DUMMYFUNCTION("""COMPUTED_VALUE"""),2024.0)</f>
        <v>2024</v>
      </c>
      <c r="H1138" s="2" t="str">
        <f t="shared" si="2"/>
        <v>2024/9/7</v>
      </c>
      <c r="I1138" s="2" t="s">
        <v>1577</v>
      </c>
      <c r="J1138" s="2" t="str">
        <f t="shared" si="3"/>
        <v>Rempah Madu Panas</v>
      </c>
      <c r="K1138" s="7">
        <f>if(RIGHT(I1138,5)="2 pcs",2,Data!I1138)</f>
        <v>1</v>
      </c>
      <c r="L1138" s="2" t="str">
        <f t="shared" si="4"/>
        <v>Saturday</v>
      </c>
      <c r="M1138" s="2" t="str">
        <f t="shared" si="5"/>
        <v>7</v>
      </c>
      <c r="N1138" s="2">
        <f>VLOOKUP(L1138,'Data Info'!$A$1:$B$8,2,0)</f>
        <v>6</v>
      </c>
      <c r="O1138" s="2" t="str">
        <f>VLOOKUP(L1138,'Data Info'!$A$1:$C$8,3,0)</f>
        <v>Weekend</v>
      </c>
    </row>
    <row r="1139">
      <c r="A1139" s="4">
        <v>45542.82013888889</v>
      </c>
      <c r="B1139" s="9">
        <f>IFERROR(__xludf.DUMMYFUNCTION("SPLIT(A1139,"" "")"),45542.0)</f>
        <v>45542</v>
      </c>
      <c r="C1139" s="10">
        <f>IFERROR(__xludf.DUMMYFUNCTION("""COMPUTED_VALUE"""),0.8201388888888889)</f>
        <v>0.8201388889</v>
      </c>
      <c r="D1139" s="2">
        <f t="shared" si="1"/>
        <v>19</v>
      </c>
      <c r="E1139" s="2">
        <f>IFERROR(__xludf.DUMMYFUNCTION("SPLIT(B1139,""/"")"),7.0)</f>
        <v>7</v>
      </c>
      <c r="F1139" s="2">
        <f>IFERROR(__xludf.DUMMYFUNCTION("""COMPUTED_VALUE"""),9.0)</f>
        <v>9</v>
      </c>
      <c r="G1139" s="2">
        <f>IFERROR(__xludf.DUMMYFUNCTION("""COMPUTED_VALUE"""),2024.0)</f>
        <v>2024</v>
      </c>
      <c r="H1139" s="2" t="str">
        <f t="shared" si="2"/>
        <v>2024/9/7</v>
      </c>
      <c r="I1139" s="2" t="s">
        <v>1579</v>
      </c>
      <c r="J1139" s="2" t="str">
        <f t="shared" si="3"/>
        <v>Tahu baso</v>
      </c>
      <c r="K1139" s="7">
        <f>if(RIGHT(I1139,5)="2 pcs",2,Data!I1139)</f>
        <v>1</v>
      </c>
      <c r="L1139" s="2" t="str">
        <f t="shared" si="4"/>
        <v>Saturday</v>
      </c>
      <c r="M1139" s="2" t="str">
        <f t="shared" si="5"/>
        <v>7</v>
      </c>
      <c r="N1139" s="2">
        <f>VLOOKUP(L1139,'Data Info'!$A$1:$B$8,2,0)</f>
        <v>6</v>
      </c>
      <c r="O1139" s="2" t="str">
        <f>VLOOKUP(L1139,'Data Info'!$A$1:$C$8,3,0)</f>
        <v>Weekend</v>
      </c>
    </row>
    <row r="1140">
      <c r="A1140" s="4">
        <v>45542.81458333333</v>
      </c>
      <c r="B1140" s="9">
        <f>IFERROR(__xludf.DUMMYFUNCTION("SPLIT(A1140,"" "")"),45542.0)</f>
        <v>45542</v>
      </c>
      <c r="C1140" s="10">
        <f>IFERROR(__xludf.DUMMYFUNCTION("""COMPUTED_VALUE"""),0.8145833333333333)</f>
        <v>0.8145833333</v>
      </c>
      <c r="D1140" s="2">
        <f t="shared" si="1"/>
        <v>19</v>
      </c>
      <c r="E1140" s="2">
        <f>IFERROR(__xludf.DUMMYFUNCTION("SPLIT(B1140,""/"")"),7.0)</f>
        <v>7</v>
      </c>
      <c r="F1140" s="2">
        <f>IFERROR(__xludf.DUMMYFUNCTION("""COMPUTED_VALUE"""),9.0)</f>
        <v>9</v>
      </c>
      <c r="G1140" s="2">
        <f>IFERROR(__xludf.DUMMYFUNCTION("""COMPUTED_VALUE"""),2024.0)</f>
        <v>2024</v>
      </c>
      <c r="H1140" s="2" t="str">
        <f t="shared" si="2"/>
        <v>2024/9/7</v>
      </c>
      <c r="I1140" s="2" t="s">
        <v>1606</v>
      </c>
      <c r="J1140" s="2" t="str">
        <f t="shared" si="3"/>
        <v>Pisang Goreng</v>
      </c>
      <c r="K1140" s="7">
        <f>if(RIGHT(I1140,5)="2 pcs",2,Data!I1140)</f>
        <v>1</v>
      </c>
      <c r="L1140" s="2" t="str">
        <f t="shared" si="4"/>
        <v>Saturday</v>
      </c>
      <c r="M1140" s="2" t="str">
        <f t="shared" si="5"/>
        <v>7</v>
      </c>
      <c r="N1140" s="2">
        <f>VLOOKUP(L1140,'Data Info'!$A$1:$B$8,2,0)</f>
        <v>6</v>
      </c>
      <c r="O1140" s="2" t="str">
        <f>VLOOKUP(L1140,'Data Info'!$A$1:$C$8,3,0)</f>
        <v>Weekend</v>
      </c>
    </row>
    <row r="1141">
      <c r="A1141" s="4">
        <v>45542.8125</v>
      </c>
      <c r="B1141" s="9">
        <f>IFERROR(__xludf.DUMMYFUNCTION("SPLIT(A1141,"" "")"),45542.0)</f>
        <v>45542</v>
      </c>
      <c r="C1141" s="10">
        <f>IFERROR(__xludf.DUMMYFUNCTION("""COMPUTED_VALUE"""),0.8125)</f>
        <v>0.8125</v>
      </c>
      <c r="D1141" s="2">
        <f t="shared" si="1"/>
        <v>19</v>
      </c>
      <c r="E1141" s="2">
        <f>IFERROR(__xludf.DUMMYFUNCTION("SPLIT(B1141,""/"")"),7.0)</f>
        <v>7</v>
      </c>
      <c r="F1141" s="2">
        <f>IFERROR(__xludf.DUMMYFUNCTION("""COMPUTED_VALUE"""),9.0)</f>
        <v>9</v>
      </c>
      <c r="G1141" s="2">
        <f>IFERROR(__xludf.DUMMYFUNCTION("""COMPUTED_VALUE"""),2024.0)</f>
        <v>2024</v>
      </c>
      <c r="H1141" s="2" t="str">
        <f t="shared" si="2"/>
        <v>2024/9/7</v>
      </c>
      <c r="I1141" s="2" t="s">
        <v>1607</v>
      </c>
      <c r="J1141" s="2" t="str">
        <f t="shared" si="3"/>
        <v>Tahu walik</v>
      </c>
      <c r="K1141" s="7">
        <f>if(RIGHT(I1141,5)="2 pcs",2,Data!I1141)</f>
        <v>1</v>
      </c>
      <c r="L1141" s="2" t="str">
        <f t="shared" si="4"/>
        <v>Saturday</v>
      </c>
      <c r="M1141" s="2" t="str">
        <f t="shared" si="5"/>
        <v>7</v>
      </c>
      <c r="N1141" s="2">
        <f>VLOOKUP(L1141,'Data Info'!$A$1:$B$8,2,0)</f>
        <v>6</v>
      </c>
      <c r="O1141" s="2" t="str">
        <f>VLOOKUP(L1141,'Data Info'!$A$1:$C$8,3,0)</f>
        <v>Weekend</v>
      </c>
    </row>
    <row r="1142">
      <c r="A1142" s="4">
        <v>45542.805555555555</v>
      </c>
      <c r="B1142" s="9">
        <f>IFERROR(__xludf.DUMMYFUNCTION("SPLIT(A1142,"" "")"),45542.0)</f>
        <v>45542</v>
      </c>
      <c r="C1142" s="10">
        <f>IFERROR(__xludf.DUMMYFUNCTION("""COMPUTED_VALUE"""),0.8055555555555556)</f>
        <v>0.8055555556</v>
      </c>
      <c r="D1142" s="2">
        <f t="shared" si="1"/>
        <v>19</v>
      </c>
      <c r="E1142" s="2">
        <f>IFERROR(__xludf.DUMMYFUNCTION("SPLIT(B1142,""/"")"),7.0)</f>
        <v>7</v>
      </c>
      <c r="F1142" s="2">
        <f>IFERROR(__xludf.DUMMYFUNCTION("""COMPUTED_VALUE"""),9.0)</f>
        <v>9</v>
      </c>
      <c r="G1142" s="2">
        <f>IFERROR(__xludf.DUMMYFUNCTION("""COMPUTED_VALUE"""),2024.0)</f>
        <v>2024</v>
      </c>
      <c r="H1142" s="2" t="str">
        <f t="shared" si="2"/>
        <v>2024/9/7</v>
      </c>
      <c r="I1142" s="2" t="s">
        <v>1609</v>
      </c>
      <c r="J1142" s="2" t="str">
        <f t="shared" si="3"/>
        <v>Tempe Mendoan</v>
      </c>
      <c r="K1142" s="7">
        <f>if(RIGHT(I1142,5)="2 pcs",2,Data!I1142)</f>
        <v>1</v>
      </c>
      <c r="L1142" s="2" t="str">
        <f t="shared" si="4"/>
        <v>Saturday</v>
      </c>
      <c r="M1142" s="2" t="str">
        <f t="shared" si="5"/>
        <v>7</v>
      </c>
      <c r="N1142" s="2">
        <f>VLOOKUP(L1142,'Data Info'!$A$1:$B$8,2,0)</f>
        <v>6</v>
      </c>
      <c r="O1142" s="2" t="str">
        <f>VLOOKUP(L1142,'Data Info'!$A$1:$C$8,3,0)</f>
        <v>Weekend</v>
      </c>
    </row>
    <row r="1143">
      <c r="A1143" s="4">
        <v>45542.805555555555</v>
      </c>
      <c r="B1143" s="9">
        <f>IFERROR(__xludf.DUMMYFUNCTION("SPLIT(A1143,"" "")"),45542.0)</f>
        <v>45542</v>
      </c>
      <c r="C1143" s="10">
        <f>IFERROR(__xludf.DUMMYFUNCTION("""COMPUTED_VALUE"""),0.8055555555555556)</f>
        <v>0.8055555556</v>
      </c>
      <c r="D1143" s="2">
        <f t="shared" si="1"/>
        <v>19</v>
      </c>
      <c r="E1143" s="2">
        <f>IFERROR(__xludf.DUMMYFUNCTION("SPLIT(B1143,""/"")"),7.0)</f>
        <v>7</v>
      </c>
      <c r="F1143" s="2">
        <f>IFERROR(__xludf.DUMMYFUNCTION("""COMPUTED_VALUE"""),9.0)</f>
        <v>9</v>
      </c>
      <c r="G1143" s="2">
        <f>IFERROR(__xludf.DUMMYFUNCTION("""COMPUTED_VALUE"""),2024.0)</f>
        <v>2024</v>
      </c>
      <c r="H1143" s="2" t="str">
        <f t="shared" si="2"/>
        <v>2024/9/7</v>
      </c>
      <c r="I1143" s="2" t="s">
        <v>1581</v>
      </c>
      <c r="J1143" s="2" t="str">
        <f t="shared" si="3"/>
        <v>Chicken Claypot Rice</v>
      </c>
      <c r="K1143" s="7">
        <f>if(RIGHT(I1143,5)="2 pcs",2,Data!I1143)</f>
        <v>2</v>
      </c>
      <c r="L1143" s="2" t="str">
        <f t="shared" si="4"/>
        <v>Saturday</v>
      </c>
      <c r="M1143" s="2" t="str">
        <f t="shared" si="5"/>
        <v>7</v>
      </c>
      <c r="N1143" s="2">
        <f>VLOOKUP(L1143,'Data Info'!$A$1:$B$8,2,0)</f>
        <v>6</v>
      </c>
      <c r="O1143" s="2" t="str">
        <f>VLOOKUP(L1143,'Data Info'!$A$1:$C$8,3,0)</f>
        <v>Weekend</v>
      </c>
    </row>
    <row r="1144">
      <c r="A1144" s="4">
        <v>45542.805555555555</v>
      </c>
      <c r="B1144" s="9">
        <f>IFERROR(__xludf.DUMMYFUNCTION("SPLIT(A1144,"" "")"),45542.0)</f>
        <v>45542</v>
      </c>
      <c r="C1144" s="10">
        <f>IFERROR(__xludf.DUMMYFUNCTION("""COMPUTED_VALUE"""),0.8055555555555556)</f>
        <v>0.8055555556</v>
      </c>
      <c r="D1144" s="2">
        <f t="shared" si="1"/>
        <v>19</v>
      </c>
      <c r="E1144" s="2">
        <f>IFERROR(__xludf.DUMMYFUNCTION("SPLIT(B1144,""/"")"),7.0)</f>
        <v>7</v>
      </c>
      <c r="F1144" s="2">
        <f>IFERROR(__xludf.DUMMYFUNCTION("""COMPUTED_VALUE"""),9.0)</f>
        <v>9</v>
      </c>
      <c r="G1144" s="2">
        <f>IFERROR(__xludf.DUMMYFUNCTION("""COMPUTED_VALUE"""),2024.0)</f>
        <v>2024</v>
      </c>
      <c r="H1144" s="2" t="str">
        <f t="shared" si="2"/>
        <v>2024/9/7</v>
      </c>
      <c r="I1144" s="2" t="s">
        <v>1602</v>
      </c>
      <c r="J1144" s="2" t="str">
        <f t="shared" si="3"/>
        <v>Mie joglo</v>
      </c>
      <c r="K1144" s="7">
        <f>if(RIGHT(I1144,5)="2 pcs",2,Data!I1144)</f>
        <v>1</v>
      </c>
      <c r="L1144" s="2" t="str">
        <f t="shared" si="4"/>
        <v>Saturday</v>
      </c>
      <c r="M1144" s="2" t="str">
        <f t="shared" si="5"/>
        <v>7</v>
      </c>
      <c r="N1144" s="2">
        <f>VLOOKUP(L1144,'Data Info'!$A$1:$B$8,2,0)</f>
        <v>6</v>
      </c>
      <c r="O1144" s="2" t="str">
        <f>VLOOKUP(L1144,'Data Info'!$A$1:$C$8,3,0)</f>
        <v>Weekend</v>
      </c>
    </row>
    <row r="1145">
      <c r="A1145" s="4">
        <v>45542.805555555555</v>
      </c>
      <c r="B1145" s="9">
        <f>IFERROR(__xludf.DUMMYFUNCTION("SPLIT(A1145,"" "")"),45542.0)</f>
        <v>45542</v>
      </c>
      <c r="C1145" s="10">
        <f>IFERROR(__xludf.DUMMYFUNCTION("""COMPUTED_VALUE"""),0.8055555555555556)</f>
        <v>0.8055555556</v>
      </c>
      <c r="D1145" s="2">
        <f t="shared" si="1"/>
        <v>19</v>
      </c>
      <c r="E1145" s="2">
        <f>IFERROR(__xludf.DUMMYFUNCTION("SPLIT(B1145,""/"")"),7.0)</f>
        <v>7</v>
      </c>
      <c r="F1145" s="2">
        <f>IFERROR(__xludf.DUMMYFUNCTION("""COMPUTED_VALUE"""),9.0)</f>
        <v>9</v>
      </c>
      <c r="G1145" s="2">
        <f>IFERROR(__xludf.DUMMYFUNCTION("""COMPUTED_VALUE"""),2024.0)</f>
        <v>2024</v>
      </c>
      <c r="H1145" s="2" t="str">
        <f t="shared" si="2"/>
        <v>2024/9/7</v>
      </c>
      <c r="I1145" s="2" t="s">
        <v>1590</v>
      </c>
      <c r="J1145" s="2" t="str">
        <f t="shared" si="3"/>
        <v>Lemon Tea Panas</v>
      </c>
      <c r="K1145" s="7">
        <f>if(RIGHT(I1145,5)="2 pcs",2,Data!I1145)</f>
        <v>2</v>
      </c>
      <c r="L1145" s="2" t="str">
        <f t="shared" si="4"/>
        <v>Saturday</v>
      </c>
      <c r="M1145" s="2" t="str">
        <f t="shared" si="5"/>
        <v>7</v>
      </c>
      <c r="N1145" s="2">
        <f>VLOOKUP(L1145,'Data Info'!$A$1:$B$8,2,0)</f>
        <v>6</v>
      </c>
      <c r="O1145" s="2" t="str">
        <f>VLOOKUP(L1145,'Data Info'!$A$1:$C$8,3,0)</f>
        <v>Weekend</v>
      </c>
    </row>
    <row r="1146">
      <c r="A1146" s="4">
        <v>45542.805555555555</v>
      </c>
      <c r="B1146" s="9">
        <f>IFERROR(__xludf.DUMMYFUNCTION("SPLIT(A1146,"" "")"),45542.0)</f>
        <v>45542</v>
      </c>
      <c r="C1146" s="10">
        <f>IFERROR(__xludf.DUMMYFUNCTION("""COMPUTED_VALUE"""),0.8055555555555556)</f>
        <v>0.8055555556</v>
      </c>
      <c r="D1146" s="2">
        <f t="shared" si="1"/>
        <v>19</v>
      </c>
      <c r="E1146" s="2">
        <f>IFERROR(__xludf.DUMMYFUNCTION("SPLIT(B1146,""/"")"),7.0)</f>
        <v>7</v>
      </c>
      <c r="F1146" s="2">
        <f>IFERROR(__xludf.DUMMYFUNCTION("""COMPUTED_VALUE"""),9.0)</f>
        <v>9</v>
      </c>
      <c r="G1146" s="2">
        <f>IFERROR(__xludf.DUMMYFUNCTION("""COMPUTED_VALUE"""),2024.0)</f>
        <v>2024</v>
      </c>
      <c r="H1146" s="2" t="str">
        <f t="shared" si="2"/>
        <v>2024/9/7</v>
      </c>
      <c r="I1146" s="2" t="s">
        <v>1586</v>
      </c>
      <c r="J1146" s="2" t="str">
        <f t="shared" si="3"/>
        <v>Jamur Enoki Krispi</v>
      </c>
      <c r="K1146" s="7">
        <f>if(RIGHT(I1146,5)="2 pcs",2,Data!I1146)</f>
        <v>1</v>
      </c>
      <c r="L1146" s="2" t="str">
        <f t="shared" si="4"/>
        <v>Saturday</v>
      </c>
      <c r="M1146" s="2" t="str">
        <f t="shared" si="5"/>
        <v>7</v>
      </c>
      <c r="N1146" s="2">
        <f>VLOOKUP(L1146,'Data Info'!$A$1:$B$8,2,0)</f>
        <v>6</v>
      </c>
      <c r="O1146" s="2" t="str">
        <f>VLOOKUP(L1146,'Data Info'!$A$1:$C$8,3,0)</f>
        <v>Weekend</v>
      </c>
    </row>
    <row r="1147">
      <c r="A1147" s="4">
        <v>45542.805555555555</v>
      </c>
      <c r="B1147" s="9">
        <f>IFERROR(__xludf.DUMMYFUNCTION("SPLIT(A1147,"" "")"),45542.0)</f>
        <v>45542</v>
      </c>
      <c r="C1147" s="10">
        <f>IFERROR(__xludf.DUMMYFUNCTION("""COMPUTED_VALUE"""),0.8055555555555556)</f>
        <v>0.8055555556</v>
      </c>
      <c r="D1147" s="2">
        <f t="shared" si="1"/>
        <v>19</v>
      </c>
      <c r="E1147" s="2">
        <f>IFERROR(__xludf.DUMMYFUNCTION("SPLIT(B1147,""/"")"),7.0)</f>
        <v>7</v>
      </c>
      <c r="F1147" s="2">
        <f>IFERROR(__xludf.DUMMYFUNCTION("""COMPUTED_VALUE"""),9.0)</f>
        <v>9</v>
      </c>
      <c r="G1147" s="2">
        <f>IFERROR(__xludf.DUMMYFUNCTION("""COMPUTED_VALUE"""),2024.0)</f>
        <v>2024</v>
      </c>
      <c r="H1147" s="2" t="str">
        <f t="shared" si="2"/>
        <v>2024/9/7</v>
      </c>
      <c r="I1147" s="2" t="s">
        <v>1604</v>
      </c>
      <c r="J1147" s="2" t="str">
        <f t="shared" si="3"/>
        <v>Teh Tawar Panas</v>
      </c>
      <c r="K1147" s="7">
        <f>if(RIGHT(I1147,5)="2 pcs",2,Data!I1147)</f>
        <v>1</v>
      </c>
      <c r="L1147" s="2" t="str">
        <f t="shared" si="4"/>
        <v>Saturday</v>
      </c>
      <c r="M1147" s="2" t="str">
        <f t="shared" si="5"/>
        <v>7</v>
      </c>
      <c r="N1147" s="2">
        <f>VLOOKUP(L1147,'Data Info'!$A$1:$B$8,2,0)</f>
        <v>6</v>
      </c>
      <c r="O1147" s="2" t="str">
        <f>VLOOKUP(L1147,'Data Info'!$A$1:$C$8,3,0)</f>
        <v>Weekend</v>
      </c>
    </row>
    <row r="1148">
      <c r="A1148" s="4">
        <v>45542.80069444444</v>
      </c>
      <c r="B1148" s="9">
        <f>IFERROR(__xludf.DUMMYFUNCTION("SPLIT(A1148,"" "")"),45542.0)</f>
        <v>45542</v>
      </c>
      <c r="C1148" s="10">
        <f>IFERROR(__xludf.DUMMYFUNCTION("""COMPUTED_VALUE"""),0.8006944444444445)</f>
        <v>0.8006944444</v>
      </c>
      <c r="D1148" s="2">
        <f t="shared" si="1"/>
        <v>19</v>
      </c>
      <c r="E1148" s="2">
        <f>IFERROR(__xludf.DUMMYFUNCTION("SPLIT(B1148,""/"")"),7.0)</f>
        <v>7</v>
      </c>
      <c r="F1148" s="2">
        <f>IFERROR(__xludf.DUMMYFUNCTION("""COMPUTED_VALUE"""),9.0)</f>
        <v>9</v>
      </c>
      <c r="G1148" s="2">
        <f>IFERROR(__xludf.DUMMYFUNCTION("""COMPUTED_VALUE"""),2024.0)</f>
        <v>2024</v>
      </c>
      <c r="H1148" s="2" t="str">
        <f t="shared" si="2"/>
        <v>2024/9/7</v>
      </c>
      <c r="I1148" s="2" t="s">
        <v>1598</v>
      </c>
      <c r="J1148" s="2" t="str">
        <f t="shared" si="3"/>
        <v>Korean Strawberry Fresh Milk</v>
      </c>
      <c r="K1148" s="7">
        <f>if(RIGHT(I1148,5)="2 pcs",2,Data!I1148)</f>
        <v>1</v>
      </c>
      <c r="L1148" s="2" t="str">
        <f t="shared" si="4"/>
        <v>Saturday</v>
      </c>
      <c r="M1148" s="2" t="str">
        <f t="shared" si="5"/>
        <v>7</v>
      </c>
      <c r="N1148" s="2">
        <f>VLOOKUP(L1148,'Data Info'!$A$1:$B$8,2,0)</f>
        <v>6</v>
      </c>
      <c r="O1148" s="2" t="str">
        <f>VLOOKUP(L1148,'Data Info'!$A$1:$C$8,3,0)</f>
        <v>Weekend</v>
      </c>
    </row>
    <row r="1149">
      <c r="A1149" s="4">
        <v>45542.79652777778</v>
      </c>
      <c r="B1149" s="9">
        <f>IFERROR(__xludf.DUMMYFUNCTION("SPLIT(A1149,"" "")"),45542.0)</f>
        <v>45542</v>
      </c>
      <c r="C1149" s="10">
        <f>IFERROR(__xludf.DUMMYFUNCTION("""COMPUTED_VALUE"""),0.7965277777777777)</f>
        <v>0.7965277778</v>
      </c>
      <c r="D1149" s="2">
        <f t="shared" si="1"/>
        <v>19</v>
      </c>
      <c r="E1149" s="2">
        <f>IFERROR(__xludf.DUMMYFUNCTION("SPLIT(B1149,""/"")"),7.0)</f>
        <v>7</v>
      </c>
      <c r="F1149" s="2">
        <f>IFERROR(__xludf.DUMMYFUNCTION("""COMPUTED_VALUE"""),9.0)</f>
        <v>9</v>
      </c>
      <c r="G1149" s="2">
        <f>IFERROR(__xludf.DUMMYFUNCTION("""COMPUTED_VALUE"""),2024.0)</f>
        <v>2024</v>
      </c>
      <c r="H1149" s="2" t="str">
        <f t="shared" si="2"/>
        <v>2024/9/7</v>
      </c>
      <c r="I1149" s="2" t="s">
        <v>1611</v>
      </c>
      <c r="J1149" s="2" t="str">
        <f t="shared" si="3"/>
        <v>Beef Claypot Rice</v>
      </c>
      <c r="K1149" s="7">
        <f>if(RIGHT(I1149,5)="2 pcs",2,Data!I1149)</f>
        <v>1</v>
      </c>
      <c r="L1149" s="2" t="str">
        <f t="shared" si="4"/>
        <v>Saturday</v>
      </c>
      <c r="M1149" s="2" t="str">
        <f t="shared" si="5"/>
        <v>7</v>
      </c>
      <c r="N1149" s="2">
        <f>VLOOKUP(L1149,'Data Info'!$A$1:$B$8,2,0)</f>
        <v>6</v>
      </c>
      <c r="O1149" s="2" t="str">
        <f>VLOOKUP(L1149,'Data Info'!$A$1:$C$8,3,0)</f>
        <v>Weekend</v>
      </c>
    </row>
    <row r="1150">
      <c r="A1150" s="4">
        <v>45542.79652777778</v>
      </c>
      <c r="B1150" s="9">
        <f>IFERROR(__xludf.DUMMYFUNCTION("SPLIT(A1150,"" "")"),45542.0)</f>
        <v>45542</v>
      </c>
      <c r="C1150" s="10">
        <f>IFERROR(__xludf.DUMMYFUNCTION("""COMPUTED_VALUE"""),0.7965277777777777)</f>
        <v>0.7965277778</v>
      </c>
      <c r="D1150" s="2">
        <f t="shared" si="1"/>
        <v>19</v>
      </c>
      <c r="E1150" s="2">
        <f>IFERROR(__xludf.DUMMYFUNCTION("SPLIT(B1150,""/"")"),7.0)</f>
        <v>7</v>
      </c>
      <c r="F1150" s="2">
        <f>IFERROR(__xludf.DUMMYFUNCTION("""COMPUTED_VALUE"""),9.0)</f>
        <v>9</v>
      </c>
      <c r="G1150" s="2">
        <f>IFERROR(__xludf.DUMMYFUNCTION("""COMPUTED_VALUE"""),2024.0)</f>
        <v>2024</v>
      </c>
      <c r="H1150" s="2" t="str">
        <f t="shared" si="2"/>
        <v>2024/9/7</v>
      </c>
      <c r="I1150" s="2" t="s">
        <v>1581</v>
      </c>
      <c r="J1150" s="2" t="str">
        <f t="shared" si="3"/>
        <v>Chicken Claypot Rice</v>
      </c>
      <c r="K1150" s="7">
        <f>if(RIGHT(I1150,5)="2 pcs",2,Data!I1150)</f>
        <v>1</v>
      </c>
      <c r="L1150" s="2" t="str">
        <f t="shared" si="4"/>
        <v>Saturday</v>
      </c>
      <c r="M1150" s="2" t="str">
        <f t="shared" si="5"/>
        <v>7</v>
      </c>
      <c r="N1150" s="2">
        <f>VLOOKUP(L1150,'Data Info'!$A$1:$B$8,2,0)</f>
        <v>6</v>
      </c>
      <c r="O1150" s="2" t="str">
        <f>VLOOKUP(L1150,'Data Info'!$A$1:$C$8,3,0)</f>
        <v>Weekend</v>
      </c>
    </row>
    <row r="1151">
      <c r="A1151" s="4">
        <v>45542.79513888889</v>
      </c>
      <c r="B1151" s="9">
        <f>IFERROR(__xludf.DUMMYFUNCTION("SPLIT(A1151,"" "")"),45542.0)</f>
        <v>45542</v>
      </c>
      <c r="C1151" s="10">
        <f>IFERROR(__xludf.DUMMYFUNCTION("""COMPUTED_VALUE"""),0.7951388888888888)</f>
        <v>0.7951388889</v>
      </c>
      <c r="D1151" s="2">
        <f t="shared" si="1"/>
        <v>19</v>
      </c>
      <c r="E1151" s="2">
        <f>IFERROR(__xludf.DUMMYFUNCTION("SPLIT(B1151,""/"")"),7.0)</f>
        <v>7</v>
      </c>
      <c r="F1151" s="2">
        <f>IFERROR(__xludf.DUMMYFUNCTION("""COMPUTED_VALUE"""),9.0)</f>
        <v>9</v>
      </c>
      <c r="G1151" s="2">
        <f>IFERROR(__xludf.DUMMYFUNCTION("""COMPUTED_VALUE"""),2024.0)</f>
        <v>2024</v>
      </c>
      <c r="H1151" s="2" t="str">
        <f t="shared" si="2"/>
        <v>2024/9/7</v>
      </c>
      <c r="I1151" s="2" t="s">
        <v>1595</v>
      </c>
      <c r="J1151" s="2" t="str">
        <f t="shared" si="3"/>
        <v>Roti Gandum Cokelat</v>
      </c>
      <c r="K1151" s="7">
        <f>if(RIGHT(I1151,5)="2 pcs",2,Data!I1151)</f>
        <v>1</v>
      </c>
      <c r="L1151" s="2" t="str">
        <f t="shared" si="4"/>
        <v>Saturday</v>
      </c>
      <c r="M1151" s="2" t="str">
        <f t="shared" si="5"/>
        <v>7</v>
      </c>
      <c r="N1151" s="2">
        <f>VLOOKUP(L1151,'Data Info'!$A$1:$B$8,2,0)</f>
        <v>6</v>
      </c>
      <c r="O1151" s="2" t="str">
        <f>VLOOKUP(L1151,'Data Info'!$A$1:$C$8,3,0)</f>
        <v>Weekend</v>
      </c>
    </row>
    <row r="1152">
      <c r="A1152" s="4">
        <v>45542.79513888889</v>
      </c>
      <c r="B1152" s="9">
        <f>IFERROR(__xludf.DUMMYFUNCTION("SPLIT(A1152,"" "")"),45542.0)</f>
        <v>45542</v>
      </c>
      <c r="C1152" s="10">
        <f>IFERROR(__xludf.DUMMYFUNCTION("""COMPUTED_VALUE"""),0.7951388888888888)</f>
        <v>0.7951388889</v>
      </c>
      <c r="D1152" s="2">
        <f t="shared" si="1"/>
        <v>19</v>
      </c>
      <c r="E1152" s="2">
        <f>IFERROR(__xludf.DUMMYFUNCTION("SPLIT(B1152,""/"")"),7.0)</f>
        <v>7</v>
      </c>
      <c r="F1152" s="2">
        <f>IFERROR(__xludf.DUMMYFUNCTION("""COMPUTED_VALUE"""),9.0)</f>
        <v>9</v>
      </c>
      <c r="G1152" s="2">
        <f>IFERROR(__xludf.DUMMYFUNCTION("""COMPUTED_VALUE"""),2024.0)</f>
        <v>2024</v>
      </c>
      <c r="H1152" s="2" t="str">
        <f t="shared" si="2"/>
        <v>2024/9/7</v>
      </c>
      <c r="I1152" s="2" t="s">
        <v>1576</v>
      </c>
      <c r="J1152" s="2" t="str">
        <f t="shared" si="3"/>
        <v>Roti Cranberry</v>
      </c>
      <c r="K1152" s="7">
        <f>if(RIGHT(I1152,5)="2 pcs",2,Data!I1152)</f>
        <v>1</v>
      </c>
      <c r="L1152" s="2" t="str">
        <f t="shared" si="4"/>
        <v>Saturday</v>
      </c>
      <c r="M1152" s="2" t="str">
        <f t="shared" si="5"/>
        <v>7</v>
      </c>
      <c r="N1152" s="2">
        <f>VLOOKUP(L1152,'Data Info'!$A$1:$B$8,2,0)</f>
        <v>6</v>
      </c>
      <c r="O1152" s="2" t="str">
        <f>VLOOKUP(L1152,'Data Info'!$A$1:$C$8,3,0)</f>
        <v>Weekend</v>
      </c>
    </row>
    <row r="1153">
      <c r="A1153" s="4">
        <v>45542.785416666666</v>
      </c>
      <c r="B1153" s="9">
        <f>IFERROR(__xludf.DUMMYFUNCTION("SPLIT(A1153,"" "")"),45542.0)</f>
        <v>45542</v>
      </c>
      <c r="C1153" s="10">
        <f>IFERROR(__xludf.DUMMYFUNCTION("""COMPUTED_VALUE"""),0.7854166666666667)</f>
        <v>0.7854166667</v>
      </c>
      <c r="D1153" s="2">
        <f t="shared" si="1"/>
        <v>18</v>
      </c>
      <c r="E1153" s="2">
        <f>IFERROR(__xludf.DUMMYFUNCTION("SPLIT(B1153,""/"")"),7.0)</f>
        <v>7</v>
      </c>
      <c r="F1153" s="2">
        <f>IFERROR(__xludf.DUMMYFUNCTION("""COMPUTED_VALUE"""),9.0)</f>
        <v>9</v>
      </c>
      <c r="G1153" s="2">
        <f>IFERROR(__xludf.DUMMYFUNCTION("""COMPUTED_VALUE"""),2024.0)</f>
        <v>2024</v>
      </c>
      <c r="H1153" s="2" t="str">
        <f t="shared" si="2"/>
        <v>2024/9/7</v>
      </c>
      <c r="I1153" s="2" t="s">
        <v>1588</v>
      </c>
      <c r="J1153" s="2" t="str">
        <f t="shared" si="3"/>
        <v>Es Kopi Susu</v>
      </c>
      <c r="K1153" s="7">
        <f>if(RIGHT(I1153,5)="2 pcs",2,Data!I1153)</f>
        <v>1</v>
      </c>
      <c r="L1153" s="2" t="str">
        <f t="shared" si="4"/>
        <v>Saturday</v>
      </c>
      <c r="M1153" s="2" t="str">
        <f t="shared" si="5"/>
        <v>7</v>
      </c>
      <c r="N1153" s="2">
        <f>VLOOKUP(L1153,'Data Info'!$A$1:$B$8,2,0)</f>
        <v>6</v>
      </c>
      <c r="O1153" s="2" t="str">
        <f>VLOOKUP(L1153,'Data Info'!$A$1:$C$8,3,0)</f>
        <v>Weekend</v>
      </c>
    </row>
    <row r="1154">
      <c r="A1154" s="4">
        <v>45542.785416666666</v>
      </c>
      <c r="B1154" s="9">
        <f>IFERROR(__xludf.DUMMYFUNCTION("SPLIT(A1154,"" "")"),45542.0)</f>
        <v>45542</v>
      </c>
      <c r="C1154" s="10">
        <f>IFERROR(__xludf.DUMMYFUNCTION("""COMPUTED_VALUE"""),0.7854166666666667)</f>
        <v>0.7854166667</v>
      </c>
      <c r="D1154" s="2">
        <f t="shared" si="1"/>
        <v>18</v>
      </c>
      <c r="E1154" s="2">
        <f>IFERROR(__xludf.DUMMYFUNCTION("SPLIT(B1154,""/"")"),7.0)</f>
        <v>7</v>
      </c>
      <c r="F1154" s="2">
        <f>IFERROR(__xludf.DUMMYFUNCTION("""COMPUTED_VALUE"""),9.0)</f>
        <v>9</v>
      </c>
      <c r="G1154" s="2">
        <f>IFERROR(__xludf.DUMMYFUNCTION("""COMPUTED_VALUE"""),2024.0)</f>
        <v>2024</v>
      </c>
      <c r="H1154" s="2" t="str">
        <f t="shared" si="2"/>
        <v>2024/9/7</v>
      </c>
      <c r="I1154" s="2" t="s">
        <v>1609</v>
      </c>
      <c r="J1154" s="2" t="str">
        <f t="shared" si="3"/>
        <v>Tempe Mendoan</v>
      </c>
      <c r="K1154" s="7">
        <f>if(RIGHT(I1154,5)="2 pcs",2,Data!I1154)</f>
        <v>1</v>
      </c>
      <c r="L1154" s="2" t="str">
        <f t="shared" si="4"/>
        <v>Saturday</v>
      </c>
      <c r="M1154" s="2" t="str">
        <f t="shared" si="5"/>
        <v>7</v>
      </c>
      <c r="N1154" s="2">
        <f>VLOOKUP(L1154,'Data Info'!$A$1:$B$8,2,0)</f>
        <v>6</v>
      </c>
      <c r="O1154" s="2" t="str">
        <f>VLOOKUP(L1154,'Data Info'!$A$1:$C$8,3,0)</f>
        <v>Weekend</v>
      </c>
    </row>
    <row r="1155">
      <c r="A1155" s="4">
        <v>45542.785416666666</v>
      </c>
      <c r="B1155" s="9">
        <f>IFERROR(__xludf.DUMMYFUNCTION("SPLIT(A1155,"" "")"),45542.0)</f>
        <v>45542</v>
      </c>
      <c r="C1155" s="10">
        <f>IFERROR(__xludf.DUMMYFUNCTION("""COMPUTED_VALUE"""),0.7854166666666667)</f>
        <v>0.7854166667</v>
      </c>
      <c r="D1155" s="2">
        <f t="shared" si="1"/>
        <v>18</v>
      </c>
      <c r="E1155" s="2">
        <f>IFERROR(__xludf.DUMMYFUNCTION("SPLIT(B1155,""/"")"),7.0)</f>
        <v>7</v>
      </c>
      <c r="F1155" s="2">
        <f>IFERROR(__xludf.DUMMYFUNCTION("""COMPUTED_VALUE"""),9.0)</f>
        <v>9</v>
      </c>
      <c r="G1155" s="2">
        <f>IFERROR(__xludf.DUMMYFUNCTION("""COMPUTED_VALUE"""),2024.0)</f>
        <v>2024</v>
      </c>
      <c r="H1155" s="2" t="str">
        <f t="shared" si="2"/>
        <v>2024/9/7</v>
      </c>
      <c r="I1155" s="2" t="s">
        <v>1576</v>
      </c>
      <c r="J1155" s="2" t="str">
        <f t="shared" si="3"/>
        <v>Roti Cranberry</v>
      </c>
      <c r="K1155" s="7">
        <f>if(RIGHT(I1155,5)="2 pcs",2,Data!I1155)</f>
        <v>1</v>
      </c>
      <c r="L1155" s="2" t="str">
        <f t="shared" si="4"/>
        <v>Saturday</v>
      </c>
      <c r="M1155" s="2" t="str">
        <f t="shared" si="5"/>
        <v>7</v>
      </c>
      <c r="N1155" s="2">
        <f>VLOOKUP(L1155,'Data Info'!$A$1:$B$8,2,0)</f>
        <v>6</v>
      </c>
      <c r="O1155" s="2" t="str">
        <f>VLOOKUP(L1155,'Data Info'!$A$1:$C$8,3,0)</f>
        <v>Weekend</v>
      </c>
    </row>
    <row r="1156">
      <c r="A1156" s="4">
        <v>45542.78055555555</v>
      </c>
      <c r="B1156" s="9">
        <f>IFERROR(__xludf.DUMMYFUNCTION("SPLIT(A1156,"" "")"),45542.0)</f>
        <v>45542</v>
      </c>
      <c r="C1156" s="10">
        <f>IFERROR(__xludf.DUMMYFUNCTION("""COMPUTED_VALUE"""),0.7805555555555556)</f>
        <v>0.7805555556</v>
      </c>
      <c r="D1156" s="2">
        <f t="shared" si="1"/>
        <v>18</v>
      </c>
      <c r="E1156" s="2">
        <f>IFERROR(__xludf.DUMMYFUNCTION("SPLIT(B1156,""/"")"),7.0)</f>
        <v>7</v>
      </c>
      <c r="F1156" s="2">
        <f>IFERROR(__xludf.DUMMYFUNCTION("""COMPUTED_VALUE"""),9.0)</f>
        <v>9</v>
      </c>
      <c r="G1156" s="2">
        <f>IFERROR(__xludf.DUMMYFUNCTION("""COMPUTED_VALUE"""),2024.0)</f>
        <v>2024</v>
      </c>
      <c r="H1156" s="2" t="str">
        <f t="shared" si="2"/>
        <v>2024/9/7</v>
      </c>
      <c r="I1156" s="2" t="s">
        <v>1583</v>
      </c>
      <c r="J1156" s="2" t="str">
        <f t="shared" si="3"/>
        <v>Es Kopi Lemon</v>
      </c>
      <c r="K1156" s="7">
        <f>if(RIGHT(I1156,5)="2 pcs",2,Data!I1156)</f>
        <v>1</v>
      </c>
      <c r="L1156" s="2" t="str">
        <f t="shared" si="4"/>
        <v>Saturday</v>
      </c>
      <c r="M1156" s="2" t="str">
        <f t="shared" si="5"/>
        <v>7</v>
      </c>
      <c r="N1156" s="2">
        <f>VLOOKUP(L1156,'Data Info'!$A$1:$B$8,2,0)</f>
        <v>6</v>
      </c>
      <c r="O1156" s="2" t="str">
        <f>VLOOKUP(L1156,'Data Info'!$A$1:$C$8,3,0)</f>
        <v>Weekend</v>
      </c>
    </row>
    <row r="1157">
      <c r="A1157" s="4">
        <v>45542.78055555555</v>
      </c>
      <c r="B1157" s="9">
        <f>IFERROR(__xludf.DUMMYFUNCTION("SPLIT(A1157,"" "")"),45542.0)</f>
        <v>45542</v>
      </c>
      <c r="C1157" s="10">
        <f>IFERROR(__xludf.DUMMYFUNCTION("""COMPUTED_VALUE"""),0.7805555555555556)</f>
        <v>0.7805555556</v>
      </c>
      <c r="D1157" s="2">
        <f t="shared" si="1"/>
        <v>18</v>
      </c>
      <c r="E1157" s="2">
        <f>IFERROR(__xludf.DUMMYFUNCTION("SPLIT(B1157,""/"")"),7.0)</f>
        <v>7</v>
      </c>
      <c r="F1157" s="2">
        <f>IFERROR(__xludf.DUMMYFUNCTION("""COMPUTED_VALUE"""),9.0)</f>
        <v>9</v>
      </c>
      <c r="G1157" s="2">
        <f>IFERROR(__xludf.DUMMYFUNCTION("""COMPUTED_VALUE"""),2024.0)</f>
        <v>2024</v>
      </c>
      <c r="H1157" s="2" t="str">
        <f t="shared" si="2"/>
        <v>2024/9/7</v>
      </c>
      <c r="I1157" s="2" t="s">
        <v>1588</v>
      </c>
      <c r="J1157" s="2" t="str">
        <f t="shared" si="3"/>
        <v>Es Kopi Susu</v>
      </c>
      <c r="K1157" s="7">
        <f>if(RIGHT(I1157,5)="2 pcs",2,Data!I1157)</f>
        <v>1</v>
      </c>
      <c r="L1157" s="2" t="str">
        <f t="shared" si="4"/>
        <v>Saturday</v>
      </c>
      <c r="M1157" s="2" t="str">
        <f t="shared" si="5"/>
        <v>7</v>
      </c>
      <c r="N1157" s="2">
        <f>VLOOKUP(L1157,'Data Info'!$A$1:$B$8,2,0)</f>
        <v>6</v>
      </c>
      <c r="O1157" s="2" t="str">
        <f>VLOOKUP(L1157,'Data Info'!$A$1:$C$8,3,0)</f>
        <v>Weekend</v>
      </c>
    </row>
    <row r="1158">
      <c r="A1158" s="4">
        <v>45542.78055555555</v>
      </c>
      <c r="B1158" s="9">
        <f>IFERROR(__xludf.DUMMYFUNCTION("SPLIT(A1158,"" "")"),45542.0)</f>
        <v>45542</v>
      </c>
      <c r="C1158" s="10">
        <f>IFERROR(__xludf.DUMMYFUNCTION("""COMPUTED_VALUE"""),0.7805555555555556)</f>
        <v>0.7805555556</v>
      </c>
      <c r="D1158" s="2">
        <f t="shared" si="1"/>
        <v>18</v>
      </c>
      <c r="E1158" s="2">
        <f>IFERROR(__xludf.DUMMYFUNCTION("SPLIT(B1158,""/"")"),7.0)</f>
        <v>7</v>
      </c>
      <c r="F1158" s="2">
        <f>IFERROR(__xludf.DUMMYFUNCTION("""COMPUTED_VALUE"""),9.0)</f>
        <v>9</v>
      </c>
      <c r="G1158" s="2">
        <f>IFERROR(__xludf.DUMMYFUNCTION("""COMPUTED_VALUE"""),2024.0)</f>
        <v>2024</v>
      </c>
      <c r="H1158" s="2" t="str">
        <f t="shared" si="2"/>
        <v>2024/9/7</v>
      </c>
      <c r="I1158" s="2" t="s">
        <v>1607</v>
      </c>
      <c r="J1158" s="2" t="str">
        <f t="shared" si="3"/>
        <v>Tahu walik</v>
      </c>
      <c r="K1158" s="7">
        <f>if(RIGHT(I1158,5)="2 pcs",2,Data!I1158)</f>
        <v>1</v>
      </c>
      <c r="L1158" s="2" t="str">
        <f t="shared" si="4"/>
        <v>Saturday</v>
      </c>
      <c r="M1158" s="2" t="str">
        <f t="shared" si="5"/>
        <v>7</v>
      </c>
      <c r="N1158" s="2">
        <f>VLOOKUP(L1158,'Data Info'!$A$1:$B$8,2,0)</f>
        <v>6</v>
      </c>
      <c r="O1158" s="2" t="str">
        <f>VLOOKUP(L1158,'Data Info'!$A$1:$C$8,3,0)</f>
        <v>Weekend</v>
      </c>
    </row>
    <row r="1159">
      <c r="A1159" s="4">
        <v>45542.763194444444</v>
      </c>
      <c r="B1159" s="9">
        <f>IFERROR(__xludf.DUMMYFUNCTION("SPLIT(A1159,"" "")"),45542.0)</f>
        <v>45542</v>
      </c>
      <c r="C1159" s="10">
        <f>IFERROR(__xludf.DUMMYFUNCTION("""COMPUTED_VALUE"""),0.7631944444444444)</f>
        <v>0.7631944444</v>
      </c>
      <c r="D1159" s="2">
        <f t="shared" si="1"/>
        <v>18</v>
      </c>
      <c r="E1159" s="2">
        <f>IFERROR(__xludf.DUMMYFUNCTION("SPLIT(B1159,""/"")"),7.0)</f>
        <v>7</v>
      </c>
      <c r="F1159" s="2">
        <f>IFERROR(__xludf.DUMMYFUNCTION("""COMPUTED_VALUE"""),9.0)</f>
        <v>9</v>
      </c>
      <c r="G1159" s="2">
        <f>IFERROR(__xludf.DUMMYFUNCTION("""COMPUTED_VALUE"""),2024.0)</f>
        <v>2024</v>
      </c>
      <c r="H1159" s="2" t="str">
        <f t="shared" si="2"/>
        <v>2024/9/7</v>
      </c>
      <c r="I1159" s="2" t="s">
        <v>1597</v>
      </c>
      <c r="J1159" s="2" t="str">
        <f t="shared" si="3"/>
        <v>Roti Gandum Cokelat</v>
      </c>
      <c r="K1159" s="7">
        <f>if(RIGHT(I1159,5)="2 pcs",2,Data!I1159)</f>
        <v>2</v>
      </c>
      <c r="L1159" s="2" t="str">
        <f t="shared" si="4"/>
        <v>Saturday</v>
      </c>
      <c r="M1159" s="2" t="str">
        <f t="shared" si="5"/>
        <v>7</v>
      </c>
      <c r="N1159" s="2">
        <f>VLOOKUP(L1159,'Data Info'!$A$1:$B$8,2,0)</f>
        <v>6</v>
      </c>
      <c r="O1159" s="2" t="str">
        <f>VLOOKUP(L1159,'Data Info'!$A$1:$C$8,3,0)</f>
        <v>Weekend</v>
      </c>
    </row>
    <row r="1160">
      <c r="A1160" s="4">
        <v>45542.763194444444</v>
      </c>
      <c r="B1160" s="9">
        <f>IFERROR(__xludf.DUMMYFUNCTION("SPLIT(A1160,"" "")"),45542.0)</f>
        <v>45542</v>
      </c>
      <c r="C1160" s="10">
        <f>IFERROR(__xludf.DUMMYFUNCTION("""COMPUTED_VALUE"""),0.7631944444444444)</f>
        <v>0.7631944444</v>
      </c>
      <c r="D1160" s="2">
        <f t="shared" si="1"/>
        <v>18</v>
      </c>
      <c r="E1160" s="2">
        <f>IFERROR(__xludf.DUMMYFUNCTION("SPLIT(B1160,""/"")"),7.0)</f>
        <v>7</v>
      </c>
      <c r="F1160" s="2">
        <f>IFERROR(__xludf.DUMMYFUNCTION("""COMPUTED_VALUE"""),9.0)</f>
        <v>9</v>
      </c>
      <c r="G1160" s="2">
        <f>IFERROR(__xludf.DUMMYFUNCTION("""COMPUTED_VALUE"""),2024.0)</f>
        <v>2024</v>
      </c>
      <c r="H1160" s="2" t="str">
        <f t="shared" si="2"/>
        <v>2024/9/7</v>
      </c>
      <c r="I1160" s="2" t="s">
        <v>1596</v>
      </c>
      <c r="J1160" s="2" t="str">
        <f t="shared" si="3"/>
        <v>Roti Cranberry</v>
      </c>
      <c r="K1160" s="7">
        <f>if(RIGHT(I1160,5)="2 pcs",2,Data!I1160)</f>
        <v>2</v>
      </c>
      <c r="L1160" s="2" t="str">
        <f t="shared" si="4"/>
        <v>Saturday</v>
      </c>
      <c r="M1160" s="2" t="str">
        <f t="shared" si="5"/>
        <v>7</v>
      </c>
      <c r="N1160" s="2">
        <f>VLOOKUP(L1160,'Data Info'!$A$1:$B$8,2,0)</f>
        <v>6</v>
      </c>
      <c r="O1160" s="2" t="str">
        <f>VLOOKUP(L1160,'Data Info'!$A$1:$C$8,3,0)</f>
        <v>Weekend</v>
      </c>
    </row>
    <row r="1161">
      <c r="A1161" s="4">
        <v>45542.760416666664</v>
      </c>
      <c r="B1161" s="9">
        <f>IFERROR(__xludf.DUMMYFUNCTION("SPLIT(A1161,"" "")"),45542.0)</f>
        <v>45542</v>
      </c>
      <c r="C1161" s="10">
        <f>IFERROR(__xludf.DUMMYFUNCTION("""COMPUTED_VALUE"""),0.7604166666666666)</f>
        <v>0.7604166667</v>
      </c>
      <c r="D1161" s="2">
        <f t="shared" si="1"/>
        <v>18</v>
      </c>
      <c r="E1161" s="2">
        <f>IFERROR(__xludf.DUMMYFUNCTION("SPLIT(B1161,""/"")"),7.0)</f>
        <v>7</v>
      </c>
      <c r="F1161" s="2">
        <f>IFERROR(__xludf.DUMMYFUNCTION("""COMPUTED_VALUE"""),9.0)</f>
        <v>9</v>
      </c>
      <c r="G1161" s="2">
        <f>IFERROR(__xludf.DUMMYFUNCTION("""COMPUTED_VALUE"""),2024.0)</f>
        <v>2024</v>
      </c>
      <c r="H1161" s="2" t="str">
        <f t="shared" si="2"/>
        <v>2024/9/7</v>
      </c>
      <c r="I1161" s="2" t="s">
        <v>1595</v>
      </c>
      <c r="J1161" s="2" t="str">
        <f t="shared" si="3"/>
        <v>Roti Gandum Cokelat</v>
      </c>
      <c r="K1161" s="7">
        <f>if(RIGHT(I1161,5)="2 pcs",2,Data!I1161)</f>
        <v>1</v>
      </c>
      <c r="L1161" s="2" t="str">
        <f t="shared" si="4"/>
        <v>Saturday</v>
      </c>
      <c r="M1161" s="2" t="str">
        <f t="shared" si="5"/>
        <v>7</v>
      </c>
      <c r="N1161" s="2">
        <f>VLOOKUP(L1161,'Data Info'!$A$1:$B$8,2,0)</f>
        <v>6</v>
      </c>
      <c r="O1161" s="2" t="str">
        <f>VLOOKUP(L1161,'Data Info'!$A$1:$C$8,3,0)</f>
        <v>Weekend</v>
      </c>
    </row>
    <row r="1162">
      <c r="A1162" s="4">
        <v>45542.75902777778</v>
      </c>
      <c r="B1162" s="9">
        <f>IFERROR(__xludf.DUMMYFUNCTION("SPLIT(A1162,"" "")"),45542.0)</f>
        <v>45542</v>
      </c>
      <c r="C1162" s="10">
        <f>IFERROR(__xludf.DUMMYFUNCTION("""COMPUTED_VALUE"""),0.7590277777777777)</f>
        <v>0.7590277778</v>
      </c>
      <c r="D1162" s="2">
        <f t="shared" si="1"/>
        <v>18</v>
      </c>
      <c r="E1162" s="2">
        <f>IFERROR(__xludf.DUMMYFUNCTION("SPLIT(B1162,""/"")"),7.0)</f>
        <v>7</v>
      </c>
      <c r="F1162" s="2">
        <f>IFERROR(__xludf.DUMMYFUNCTION("""COMPUTED_VALUE"""),9.0)</f>
        <v>9</v>
      </c>
      <c r="G1162" s="2">
        <f>IFERROR(__xludf.DUMMYFUNCTION("""COMPUTED_VALUE"""),2024.0)</f>
        <v>2024</v>
      </c>
      <c r="H1162" s="2" t="str">
        <f t="shared" si="2"/>
        <v>2024/9/7</v>
      </c>
      <c r="I1162" s="2" t="s">
        <v>1601</v>
      </c>
      <c r="J1162" s="2" t="str">
        <f t="shared" si="3"/>
        <v>Gula Asam Dingin</v>
      </c>
      <c r="K1162" s="7">
        <f>if(RIGHT(I1162,5)="2 pcs",2,Data!I1162)</f>
        <v>1</v>
      </c>
      <c r="L1162" s="2" t="str">
        <f t="shared" si="4"/>
        <v>Saturday</v>
      </c>
      <c r="M1162" s="2" t="str">
        <f t="shared" si="5"/>
        <v>7</v>
      </c>
      <c r="N1162" s="2">
        <f>VLOOKUP(L1162,'Data Info'!$A$1:$B$8,2,0)</f>
        <v>6</v>
      </c>
      <c r="O1162" s="2" t="str">
        <f>VLOOKUP(L1162,'Data Info'!$A$1:$C$8,3,0)</f>
        <v>Weekend</v>
      </c>
    </row>
    <row r="1163">
      <c r="A1163" s="4">
        <v>45542.736805555556</v>
      </c>
      <c r="B1163" s="9">
        <f>IFERROR(__xludf.DUMMYFUNCTION("SPLIT(A1163,"" "")"),45542.0)</f>
        <v>45542</v>
      </c>
      <c r="C1163" s="10">
        <f>IFERROR(__xludf.DUMMYFUNCTION("""COMPUTED_VALUE"""),0.7368055555555556)</f>
        <v>0.7368055556</v>
      </c>
      <c r="D1163" s="2">
        <f t="shared" si="1"/>
        <v>17</v>
      </c>
      <c r="E1163" s="2">
        <f>IFERROR(__xludf.DUMMYFUNCTION("SPLIT(B1163,""/"")"),7.0)</f>
        <v>7</v>
      </c>
      <c r="F1163" s="2">
        <f>IFERROR(__xludf.DUMMYFUNCTION("""COMPUTED_VALUE"""),9.0)</f>
        <v>9</v>
      </c>
      <c r="G1163" s="2">
        <f>IFERROR(__xludf.DUMMYFUNCTION("""COMPUTED_VALUE"""),2024.0)</f>
        <v>2024</v>
      </c>
      <c r="H1163" s="2" t="str">
        <f t="shared" si="2"/>
        <v>2024/9/7</v>
      </c>
      <c r="I1163" s="2" t="s">
        <v>1573</v>
      </c>
      <c r="J1163" s="2" t="str">
        <f t="shared" si="3"/>
        <v>Air mineral</v>
      </c>
      <c r="K1163" s="7">
        <f>if(RIGHT(I1163,5)="2 pcs",2,Data!I1163)</f>
        <v>1</v>
      </c>
      <c r="L1163" s="2" t="str">
        <f t="shared" si="4"/>
        <v>Saturday</v>
      </c>
      <c r="M1163" s="2" t="str">
        <f t="shared" si="5"/>
        <v>7</v>
      </c>
      <c r="N1163" s="2">
        <f>VLOOKUP(L1163,'Data Info'!$A$1:$B$8,2,0)</f>
        <v>6</v>
      </c>
      <c r="O1163" s="2" t="str">
        <f>VLOOKUP(L1163,'Data Info'!$A$1:$C$8,3,0)</f>
        <v>Weekend</v>
      </c>
    </row>
    <row r="1164">
      <c r="A1164" s="4">
        <v>45542.736805555556</v>
      </c>
      <c r="B1164" s="9">
        <f>IFERROR(__xludf.DUMMYFUNCTION("SPLIT(A1164,"" "")"),45542.0)</f>
        <v>45542</v>
      </c>
      <c r="C1164" s="10">
        <f>IFERROR(__xludf.DUMMYFUNCTION("""COMPUTED_VALUE"""),0.7368055555555556)</f>
        <v>0.7368055556</v>
      </c>
      <c r="D1164" s="2">
        <f t="shared" si="1"/>
        <v>17</v>
      </c>
      <c r="E1164" s="2">
        <f>IFERROR(__xludf.DUMMYFUNCTION("SPLIT(B1164,""/"")"),7.0)</f>
        <v>7</v>
      </c>
      <c r="F1164" s="2">
        <f>IFERROR(__xludf.DUMMYFUNCTION("""COMPUTED_VALUE"""),9.0)</f>
        <v>9</v>
      </c>
      <c r="G1164" s="2">
        <f>IFERROR(__xludf.DUMMYFUNCTION("""COMPUTED_VALUE"""),2024.0)</f>
        <v>2024</v>
      </c>
      <c r="H1164" s="2" t="str">
        <f t="shared" si="2"/>
        <v>2024/9/7</v>
      </c>
      <c r="I1164" s="2" t="s">
        <v>1583</v>
      </c>
      <c r="J1164" s="2" t="str">
        <f t="shared" si="3"/>
        <v>Es Kopi Lemon</v>
      </c>
      <c r="K1164" s="7">
        <f>if(RIGHT(I1164,5)="2 pcs",2,Data!I1164)</f>
        <v>2</v>
      </c>
      <c r="L1164" s="2" t="str">
        <f t="shared" si="4"/>
        <v>Saturday</v>
      </c>
      <c r="M1164" s="2" t="str">
        <f t="shared" si="5"/>
        <v>7</v>
      </c>
      <c r="N1164" s="2">
        <f>VLOOKUP(L1164,'Data Info'!$A$1:$B$8,2,0)</f>
        <v>6</v>
      </c>
      <c r="O1164" s="2" t="str">
        <f>VLOOKUP(L1164,'Data Info'!$A$1:$C$8,3,0)</f>
        <v>Weekend</v>
      </c>
    </row>
    <row r="1165">
      <c r="A1165" s="4">
        <v>45542.736805555556</v>
      </c>
      <c r="B1165" s="9">
        <f>IFERROR(__xludf.DUMMYFUNCTION("SPLIT(A1165,"" "")"),45542.0)</f>
        <v>45542</v>
      </c>
      <c r="C1165" s="10">
        <f>IFERROR(__xludf.DUMMYFUNCTION("""COMPUTED_VALUE"""),0.7368055555555556)</f>
        <v>0.7368055556</v>
      </c>
      <c r="D1165" s="2">
        <f t="shared" si="1"/>
        <v>17</v>
      </c>
      <c r="E1165" s="2">
        <f>IFERROR(__xludf.DUMMYFUNCTION("SPLIT(B1165,""/"")"),7.0)</f>
        <v>7</v>
      </c>
      <c r="F1165" s="2">
        <f>IFERROR(__xludf.DUMMYFUNCTION("""COMPUTED_VALUE"""),9.0)</f>
        <v>9</v>
      </c>
      <c r="G1165" s="2">
        <f>IFERROR(__xludf.DUMMYFUNCTION("""COMPUTED_VALUE"""),2024.0)</f>
        <v>2024</v>
      </c>
      <c r="H1165" s="2" t="str">
        <f t="shared" si="2"/>
        <v>2024/9/7</v>
      </c>
      <c r="I1165" s="2" t="s">
        <v>1576</v>
      </c>
      <c r="J1165" s="2" t="str">
        <f t="shared" si="3"/>
        <v>Roti Cranberry</v>
      </c>
      <c r="K1165" s="7">
        <f>if(RIGHT(I1165,5)="2 pcs",2,Data!I1165)</f>
        <v>1</v>
      </c>
      <c r="L1165" s="2" t="str">
        <f t="shared" si="4"/>
        <v>Saturday</v>
      </c>
      <c r="M1165" s="2" t="str">
        <f t="shared" si="5"/>
        <v>7</v>
      </c>
      <c r="N1165" s="2">
        <f>VLOOKUP(L1165,'Data Info'!$A$1:$B$8,2,0)</f>
        <v>6</v>
      </c>
      <c r="O1165" s="2" t="str">
        <f>VLOOKUP(L1165,'Data Info'!$A$1:$C$8,3,0)</f>
        <v>Weekend</v>
      </c>
    </row>
    <row r="1166">
      <c r="A1166" s="4">
        <v>45542.736805555556</v>
      </c>
      <c r="B1166" s="9">
        <f>IFERROR(__xludf.DUMMYFUNCTION("SPLIT(A1166,"" "")"),45542.0)</f>
        <v>45542</v>
      </c>
      <c r="C1166" s="10">
        <f>IFERROR(__xludf.DUMMYFUNCTION("""COMPUTED_VALUE"""),0.7368055555555556)</f>
        <v>0.7368055556</v>
      </c>
      <c r="D1166" s="2">
        <f t="shared" si="1"/>
        <v>17</v>
      </c>
      <c r="E1166" s="2">
        <f>IFERROR(__xludf.DUMMYFUNCTION("SPLIT(B1166,""/"")"),7.0)</f>
        <v>7</v>
      </c>
      <c r="F1166" s="2">
        <f>IFERROR(__xludf.DUMMYFUNCTION("""COMPUTED_VALUE"""),9.0)</f>
        <v>9</v>
      </c>
      <c r="G1166" s="2">
        <f>IFERROR(__xludf.DUMMYFUNCTION("""COMPUTED_VALUE"""),2024.0)</f>
        <v>2024</v>
      </c>
      <c r="H1166" s="2" t="str">
        <f t="shared" si="2"/>
        <v>2024/9/7</v>
      </c>
      <c r="I1166" s="2" t="s">
        <v>1595</v>
      </c>
      <c r="J1166" s="2" t="str">
        <f t="shared" si="3"/>
        <v>Roti Gandum Cokelat</v>
      </c>
      <c r="K1166" s="7">
        <f>if(RIGHT(I1166,5)="2 pcs",2,Data!I1166)</f>
        <v>1</v>
      </c>
      <c r="L1166" s="2" t="str">
        <f t="shared" si="4"/>
        <v>Saturday</v>
      </c>
      <c r="M1166" s="2" t="str">
        <f t="shared" si="5"/>
        <v>7</v>
      </c>
      <c r="N1166" s="2">
        <f>VLOOKUP(L1166,'Data Info'!$A$1:$B$8,2,0)</f>
        <v>6</v>
      </c>
      <c r="O1166" s="2" t="str">
        <f>VLOOKUP(L1166,'Data Info'!$A$1:$C$8,3,0)</f>
        <v>Weekend</v>
      </c>
    </row>
    <row r="1167">
      <c r="A1167" s="4">
        <v>45542.720138888886</v>
      </c>
      <c r="B1167" s="9">
        <f>IFERROR(__xludf.DUMMYFUNCTION("SPLIT(A1167,"" "")"),45542.0)</f>
        <v>45542</v>
      </c>
      <c r="C1167" s="10">
        <f>IFERROR(__xludf.DUMMYFUNCTION("""COMPUTED_VALUE"""),0.7201388888888889)</f>
        <v>0.7201388889</v>
      </c>
      <c r="D1167" s="2">
        <f t="shared" si="1"/>
        <v>17</v>
      </c>
      <c r="E1167" s="2">
        <f>IFERROR(__xludf.DUMMYFUNCTION("SPLIT(B1167,""/"")"),7.0)</f>
        <v>7</v>
      </c>
      <c r="F1167" s="2">
        <f>IFERROR(__xludf.DUMMYFUNCTION("""COMPUTED_VALUE"""),9.0)</f>
        <v>9</v>
      </c>
      <c r="G1167" s="2">
        <f>IFERROR(__xludf.DUMMYFUNCTION("""COMPUTED_VALUE"""),2024.0)</f>
        <v>2024</v>
      </c>
      <c r="H1167" s="2" t="str">
        <f t="shared" si="2"/>
        <v>2024/9/7</v>
      </c>
      <c r="I1167" s="2" t="s">
        <v>1610</v>
      </c>
      <c r="J1167" s="2" t="str">
        <f t="shared" si="3"/>
        <v>Roti toast eskrim</v>
      </c>
      <c r="K1167" s="7">
        <f>if(RIGHT(I1167,5)="2 pcs",2,Data!I1167)</f>
        <v>1</v>
      </c>
      <c r="L1167" s="2" t="str">
        <f t="shared" si="4"/>
        <v>Saturday</v>
      </c>
      <c r="M1167" s="2" t="str">
        <f t="shared" si="5"/>
        <v>7</v>
      </c>
      <c r="N1167" s="2">
        <f>VLOOKUP(L1167,'Data Info'!$A$1:$B$8,2,0)</f>
        <v>6</v>
      </c>
      <c r="O1167" s="2" t="str">
        <f>VLOOKUP(L1167,'Data Info'!$A$1:$C$8,3,0)</f>
        <v>Weekend</v>
      </c>
    </row>
    <row r="1168">
      <c r="A1168" s="4">
        <v>45542.720138888886</v>
      </c>
      <c r="B1168" s="9">
        <f>IFERROR(__xludf.DUMMYFUNCTION("SPLIT(A1168,"" "")"),45542.0)</f>
        <v>45542</v>
      </c>
      <c r="C1168" s="10">
        <f>IFERROR(__xludf.DUMMYFUNCTION("""COMPUTED_VALUE"""),0.7201388888888889)</f>
        <v>0.7201388889</v>
      </c>
      <c r="D1168" s="2">
        <f t="shared" si="1"/>
        <v>17</v>
      </c>
      <c r="E1168" s="2">
        <f>IFERROR(__xludf.DUMMYFUNCTION("SPLIT(B1168,""/"")"),7.0)</f>
        <v>7</v>
      </c>
      <c r="F1168" s="2">
        <f>IFERROR(__xludf.DUMMYFUNCTION("""COMPUTED_VALUE"""),9.0)</f>
        <v>9</v>
      </c>
      <c r="G1168" s="2">
        <f>IFERROR(__xludf.DUMMYFUNCTION("""COMPUTED_VALUE"""),2024.0)</f>
        <v>2024</v>
      </c>
      <c r="H1168" s="2" t="str">
        <f t="shared" si="2"/>
        <v>2024/9/7</v>
      </c>
      <c r="I1168" s="2" t="s">
        <v>1576</v>
      </c>
      <c r="J1168" s="2" t="str">
        <f t="shared" si="3"/>
        <v>Roti Cranberry</v>
      </c>
      <c r="K1168" s="7">
        <f>if(RIGHT(I1168,5)="2 pcs",2,Data!I1168)</f>
        <v>1</v>
      </c>
      <c r="L1168" s="2" t="str">
        <f t="shared" si="4"/>
        <v>Saturday</v>
      </c>
      <c r="M1168" s="2" t="str">
        <f t="shared" si="5"/>
        <v>7</v>
      </c>
      <c r="N1168" s="2">
        <f>VLOOKUP(L1168,'Data Info'!$A$1:$B$8,2,0)</f>
        <v>6</v>
      </c>
      <c r="O1168" s="2" t="str">
        <f>VLOOKUP(L1168,'Data Info'!$A$1:$C$8,3,0)</f>
        <v>Weekend</v>
      </c>
    </row>
    <row r="1169">
      <c r="A1169" s="4">
        <v>45542.720138888886</v>
      </c>
      <c r="B1169" s="9">
        <f>IFERROR(__xludf.DUMMYFUNCTION("SPLIT(A1169,"" "")"),45542.0)</f>
        <v>45542</v>
      </c>
      <c r="C1169" s="10">
        <f>IFERROR(__xludf.DUMMYFUNCTION("""COMPUTED_VALUE"""),0.7201388888888889)</f>
        <v>0.7201388889</v>
      </c>
      <c r="D1169" s="2">
        <f t="shared" si="1"/>
        <v>17</v>
      </c>
      <c r="E1169" s="2">
        <f>IFERROR(__xludf.DUMMYFUNCTION("SPLIT(B1169,""/"")"),7.0)</f>
        <v>7</v>
      </c>
      <c r="F1169" s="2">
        <f>IFERROR(__xludf.DUMMYFUNCTION("""COMPUTED_VALUE"""),9.0)</f>
        <v>9</v>
      </c>
      <c r="G1169" s="2">
        <f>IFERROR(__xludf.DUMMYFUNCTION("""COMPUTED_VALUE"""),2024.0)</f>
        <v>2024</v>
      </c>
      <c r="H1169" s="2" t="str">
        <f t="shared" si="2"/>
        <v>2024/9/7</v>
      </c>
      <c r="I1169" s="2" t="s">
        <v>1595</v>
      </c>
      <c r="J1169" s="2" t="str">
        <f t="shared" si="3"/>
        <v>Roti Gandum Cokelat</v>
      </c>
      <c r="K1169" s="7">
        <f>if(RIGHT(I1169,5)="2 pcs",2,Data!I1169)</f>
        <v>1</v>
      </c>
      <c r="L1169" s="2" t="str">
        <f t="shared" si="4"/>
        <v>Saturday</v>
      </c>
      <c r="M1169" s="2" t="str">
        <f t="shared" si="5"/>
        <v>7</v>
      </c>
      <c r="N1169" s="2">
        <f>VLOOKUP(L1169,'Data Info'!$A$1:$B$8,2,0)</f>
        <v>6</v>
      </c>
      <c r="O1169" s="2" t="str">
        <f>VLOOKUP(L1169,'Data Info'!$A$1:$C$8,3,0)</f>
        <v>Weekend</v>
      </c>
    </row>
    <row r="1170">
      <c r="A1170" s="4">
        <v>45542.720138888886</v>
      </c>
      <c r="B1170" s="9">
        <f>IFERROR(__xludf.DUMMYFUNCTION("SPLIT(A1170,"" "")"),45542.0)</f>
        <v>45542</v>
      </c>
      <c r="C1170" s="10">
        <f>IFERROR(__xludf.DUMMYFUNCTION("""COMPUTED_VALUE"""),0.7201388888888889)</f>
        <v>0.7201388889</v>
      </c>
      <c r="D1170" s="2">
        <f t="shared" si="1"/>
        <v>17</v>
      </c>
      <c r="E1170" s="2">
        <f>IFERROR(__xludf.DUMMYFUNCTION("SPLIT(B1170,""/"")"),7.0)</f>
        <v>7</v>
      </c>
      <c r="F1170" s="2">
        <f>IFERROR(__xludf.DUMMYFUNCTION("""COMPUTED_VALUE"""),9.0)</f>
        <v>9</v>
      </c>
      <c r="G1170" s="2">
        <f>IFERROR(__xludf.DUMMYFUNCTION("""COMPUTED_VALUE"""),2024.0)</f>
        <v>2024</v>
      </c>
      <c r="H1170" s="2" t="str">
        <f t="shared" si="2"/>
        <v>2024/9/7</v>
      </c>
      <c r="I1170" s="2" t="s">
        <v>1566</v>
      </c>
      <c r="J1170" s="2" t="str">
        <f t="shared" si="3"/>
        <v>Roti Bawang Saus Keju</v>
      </c>
      <c r="K1170" s="7">
        <f>if(RIGHT(I1170,5)="2 pcs",2,Data!I1170)</f>
        <v>1</v>
      </c>
      <c r="L1170" s="2" t="str">
        <f t="shared" si="4"/>
        <v>Saturday</v>
      </c>
      <c r="M1170" s="2" t="str">
        <f t="shared" si="5"/>
        <v>7</v>
      </c>
      <c r="N1170" s="2">
        <f>VLOOKUP(L1170,'Data Info'!$A$1:$B$8,2,0)</f>
        <v>6</v>
      </c>
      <c r="O1170" s="2" t="str">
        <f>VLOOKUP(L1170,'Data Info'!$A$1:$C$8,3,0)</f>
        <v>Weekend</v>
      </c>
    </row>
    <row r="1171">
      <c r="A1171" s="4">
        <v>45542.70416666667</v>
      </c>
      <c r="B1171" s="9">
        <f>IFERROR(__xludf.DUMMYFUNCTION("SPLIT(A1171,"" "")"),45542.0)</f>
        <v>45542</v>
      </c>
      <c r="C1171" s="10">
        <f>IFERROR(__xludf.DUMMYFUNCTION("""COMPUTED_VALUE"""),0.7041666666666667)</f>
        <v>0.7041666667</v>
      </c>
      <c r="D1171" s="2">
        <f t="shared" si="1"/>
        <v>16</v>
      </c>
      <c r="E1171" s="2">
        <f>IFERROR(__xludf.DUMMYFUNCTION("SPLIT(B1171,""/"")"),7.0)</f>
        <v>7</v>
      </c>
      <c r="F1171" s="2">
        <f>IFERROR(__xludf.DUMMYFUNCTION("""COMPUTED_VALUE"""),9.0)</f>
        <v>9</v>
      </c>
      <c r="G1171" s="2">
        <f>IFERROR(__xludf.DUMMYFUNCTION("""COMPUTED_VALUE"""),2024.0)</f>
        <v>2024</v>
      </c>
      <c r="H1171" s="2" t="str">
        <f t="shared" si="2"/>
        <v>2024/9/7</v>
      </c>
      <c r="I1171" s="2" t="s">
        <v>1604</v>
      </c>
      <c r="J1171" s="2" t="str">
        <f t="shared" si="3"/>
        <v>Teh Tawar Panas</v>
      </c>
      <c r="K1171" s="7">
        <f>if(RIGHT(I1171,5)="2 pcs",2,Data!I1171)</f>
        <v>1</v>
      </c>
      <c r="L1171" s="2" t="str">
        <f t="shared" si="4"/>
        <v>Saturday</v>
      </c>
      <c r="M1171" s="2" t="str">
        <f t="shared" si="5"/>
        <v>7</v>
      </c>
      <c r="N1171" s="2">
        <f>VLOOKUP(L1171,'Data Info'!$A$1:$B$8,2,0)</f>
        <v>6</v>
      </c>
      <c r="O1171" s="2" t="str">
        <f>VLOOKUP(L1171,'Data Info'!$A$1:$C$8,3,0)</f>
        <v>Weekend</v>
      </c>
    </row>
    <row r="1172">
      <c r="A1172" s="4">
        <v>45542.70416666667</v>
      </c>
      <c r="B1172" s="9">
        <f>IFERROR(__xludf.DUMMYFUNCTION("SPLIT(A1172,"" "")"),45542.0)</f>
        <v>45542</v>
      </c>
      <c r="C1172" s="10">
        <f>IFERROR(__xludf.DUMMYFUNCTION("""COMPUTED_VALUE"""),0.7041666666666667)</f>
        <v>0.7041666667</v>
      </c>
      <c r="D1172" s="2">
        <f t="shared" si="1"/>
        <v>16</v>
      </c>
      <c r="E1172" s="2">
        <f>IFERROR(__xludf.DUMMYFUNCTION("SPLIT(B1172,""/"")"),7.0)</f>
        <v>7</v>
      </c>
      <c r="F1172" s="2">
        <f>IFERROR(__xludf.DUMMYFUNCTION("""COMPUTED_VALUE"""),9.0)</f>
        <v>9</v>
      </c>
      <c r="G1172" s="2">
        <f>IFERROR(__xludf.DUMMYFUNCTION("""COMPUTED_VALUE"""),2024.0)</f>
        <v>2024</v>
      </c>
      <c r="H1172" s="2" t="str">
        <f t="shared" si="2"/>
        <v>2024/9/7</v>
      </c>
      <c r="I1172" s="2" t="s">
        <v>1576</v>
      </c>
      <c r="J1172" s="2" t="str">
        <f t="shared" si="3"/>
        <v>Roti Cranberry</v>
      </c>
      <c r="K1172" s="7">
        <f>if(RIGHT(I1172,5)="2 pcs",2,Data!I1172)</f>
        <v>1</v>
      </c>
      <c r="L1172" s="2" t="str">
        <f t="shared" si="4"/>
        <v>Saturday</v>
      </c>
      <c r="M1172" s="2" t="str">
        <f t="shared" si="5"/>
        <v>7</v>
      </c>
      <c r="N1172" s="2">
        <f>VLOOKUP(L1172,'Data Info'!$A$1:$B$8,2,0)</f>
        <v>6</v>
      </c>
      <c r="O1172" s="2" t="str">
        <f>VLOOKUP(L1172,'Data Info'!$A$1:$C$8,3,0)</f>
        <v>Weekend</v>
      </c>
    </row>
    <row r="1173">
      <c r="A1173" s="4">
        <v>45542.70416666667</v>
      </c>
      <c r="B1173" s="9">
        <f>IFERROR(__xludf.DUMMYFUNCTION("SPLIT(A1173,"" "")"),45542.0)</f>
        <v>45542</v>
      </c>
      <c r="C1173" s="10">
        <f>IFERROR(__xludf.DUMMYFUNCTION("""COMPUTED_VALUE"""),0.7041666666666667)</f>
        <v>0.7041666667</v>
      </c>
      <c r="D1173" s="2">
        <f t="shared" si="1"/>
        <v>16</v>
      </c>
      <c r="E1173" s="2">
        <f>IFERROR(__xludf.DUMMYFUNCTION("SPLIT(B1173,""/"")"),7.0)</f>
        <v>7</v>
      </c>
      <c r="F1173" s="2">
        <f>IFERROR(__xludf.DUMMYFUNCTION("""COMPUTED_VALUE"""),9.0)</f>
        <v>9</v>
      </c>
      <c r="G1173" s="2">
        <f>IFERROR(__xludf.DUMMYFUNCTION("""COMPUTED_VALUE"""),2024.0)</f>
        <v>2024</v>
      </c>
      <c r="H1173" s="2" t="str">
        <f t="shared" si="2"/>
        <v>2024/9/7</v>
      </c>
      <c r="I1173" s="2" t="s">
        <v>1609</v>
      </c>
      <c r="J1173" s="2" t="str">
        <f t="shared" si="3"/>
        <v>Tempe Mendoan</v>
      </c>
      <c r="K1173" s="7">
        <f>if(RIGHT(I1173,5)="2 pcs",2,Data!I1173)</f>
        <v>1</v>
      </c>
      <c r="L1173" s="2" t="str">
        <f t="shared" si="4"/>
        <v>Saturday</v>
      </c>
      <c r="M1173" s="2" t="str">
        <f t="shared" si="5"/>
        <v>7</v>
      </c>
      <c r="N1173" s="2">
        <f>VLOOKUP(L1173,'Data Info'!$A$1:$B$8,2,0)</f>
        <v>6</v>
      </c>
      <c r="O1173" s="2" t="str">
        <f>VLOOKUP(L1173,'Data Info'!$A$1:$C$8,3,0)</f>
        <v>Weekend</v>
      </c>
    </row>
    <row r="1174">
      <c r="A1174" s="4">
        <v>45542.70416666667</v>
      </c>
      <c r="B1174" s="9">
        <f>IFERROR(__xludf.DUMMYFUNCTION("SPLIT(A1174,"" "")"),45542.0)</f>
        <v>45542</v>
      </c>
      <c r="C1174" s="10">
        <f>IFERROR(__xludf.DUMMYFUNCTION("""COMPUTED_VALUE"""),0.7041666666666667)</f>
        <v>0.7041666667</v>
      </c>
      <c r="D1174" s="2">
        <f t="shared" si="1"/>
        <v>16</v>
      </c>
      <c r="E1174" s="2">
        <f>IFERROR(__xludf.DUMMYFUNCTION("SPLIT(B1174,""/"")"),7.0)</f>
        <v>7</v>
      </c>
      <c r="F1174" s="2">
        <f>IFERROR(__xludf.DUMMYFUNCTION("""COMPUTED_VALUE"""),9.0)</f>
        <v>9</v>
      </c>
      <c r="G1174" s="2">
        <f>IFERROR(__xludf.DUMMYFUNCTION("""COMPUTED_VALUE"""),2024.0)</f>
        <v>2024</v>
      </c>
      <c r="H1174" s="2" t="str">
        <f t="shared" si="2"/>
        <v>2024/9/7</v>
      </c>
      <c r="I1174" s="2" t="s">
        <v>1584</v>
      </c>
      <c r="J1174" s="2" t="str">
        <f t="shared" si="3"/>
        <v>Korean Mango Fresh Milk</v>
      </c>
      <c r="K1174" s="7">
        <f>if(RIGHT(I1174,5)="2 pcs",2,Data!I1174)</f>
        <v>1</v>
      </c>
      <c r="L1174" s="2" t="str">
        <f t="shared" si="4"/>
        <v>Saturday</v>
      </c>
      <c r="M1174" s="2" t="str">
        <f t="shared" si="5"/>
        <v>7</v>
      </c>
      <c r="N1174" s="2">
        <f>VLOOKUP(L1174,'Data Info'!$A$1:$B$8,2,0)</f>
        <v>6</v>
      </c>
      <c r="O1174" s="2" t="str">
        <f>VLOOKUP(L1174,'Data Info'!$A$1:$C$8,3,0)</f>
        <v>Weekend</v>
      </c>
    </row>
    <row r="1175">
      <c r="A1175" s="4">
        <v>45542.68958333333</v>
      </c>
      <c r="B1175" s="9">
        <f>IFERROR(__xludf.DUMMYFUNCTION("SPLIT(A1175,"" "")"),45542.0)</f>
        <v>45542</v>
      </c>
      <c r="C1175" s="10">
        <f>IFERROR(__xludf.DUMMYFUNCTION("""COMPUTED_VALUE"""),0.6895833333333333)</f>
        <v>0.6895833333</v>
      </c>
      <c r="D1175" s="2">
        <f t="shared" si="1"/>
        <v>16</v>
      </c>
      <c r="E1175" s="2">
        <f>IFERROR(__xludf.DUMMYFUNCTION("SPLIT(B1175,""/"")"),7.0)</f>
        <v>7</v>
      </c>
      <c r="F1175" s="2">
        <f>IFERROR(__xludf.DUMMYFUNCTION("""COMPUTED_VALUE"""),9.0)</f>
        <v>9</v>
      </c>
      <c r="G1175" s="2">
        <f>IFERROR(__xludf.DUMMYFUNCTION("""COMPUTED_VALUE"""),2024.0)</f>
        <v>2024</v>
      </c>
      <c r="H1175" s="2" t="str">
        <f t="shared" si="2"/>
        <v>2024/9/7</v>
      </c>
      <c r="I1175" s="2" t="s">
        <v>1579</v>
      </c>
      <c r="J1175" s="2" t="str">
        <f t="shared" si="3"/>
        <v>Tahu baso</v>
      </c>
      <c r="K1175" s="7">
        <f>if(RIGHT(I1175,5)="2 pcs",2,Data!I1175)</f>
        <v>1</v>
      </c>
      <c r="L1175" s="2" t="str">
        <f t="shared" si="4"/>
        <v>Saturday</v>
      </c>
      <c r="M1175" s="2" t="str">
        <f t="shared" si="5"/>
        <v>7</v>
      </c>
      <c r="N1175" s="2">
        <f>VLOOKUP(L1175,'Data Info'!$A$1:$B$8,2,0)</f>
        <v>6</v>
      </c>
      <c r="O1175" s="2" t="str">
        <f>VLOOKUP(L1175,'Data Info'!$A$1:$C$8,3,0)</f>
        <v>Weekend</v>
      </c>
    </row>
    <row r="1176">
      <c r="A1176" s="4">
        <v>45542.686111111114</v>
      </c>
      <c r="B1176" s="9">
        <f>IFERROR(__xludf.DUMMYFUNCTION("SPLIT(A1176,"" "")"),45542.0)</f>
        <v>45542</v>
      </c>
      <c r="C1176" s="10">
        <f>IFERROR(__xludf.DUMMYFUNCTION("""COMPUTED_VALUE"""),0.6861111111111111)</f>
        <v>0.6861111111</v>
      </c>
      <c r="D1176" s="2">
        <f t="shared" si="1"/>
        <v>16</v>
      </c>
      <c r="E1176" s="2">
        <f>IFERROR(__xludf.DUMMYFUNCTION("SPLIT(B1176,""/"")"),7.0)</f>
        <v>7</v>
      </c>
      <c r="F1176" s="2">
        <f>IFERROR(__xludf.DUMMYFUNCTION("""COMPUTED_VALUE"""),9.0)</f>
        <v>9</v>
      </c>
      <c r="G1176" s="2">
        <f>IFERROR(__xludf.DUMMYFUNCTION("""COMPUTED_VALUE"""),2024.0)</f>
        <v>2024</v>
      </c>
      <c r="H1176" s="2" t="str">
        <f t="shared" si="2"/>
        <v>2024/9/7</v>
      </c>
      <c r="I1176" s="2" t="s">
        <v>1588</v>
      </c>
      <c r="J1176" s="2" t="str">
        <f t="shared" si="3"/>
        <v>Es Kopi Susu</v>
      </c>
      <c r="K1176" s="7">
        <f>if(RIGHT(I1176,5)="2 pcs",2,Data!I1176)</f>
        <v>1</v>
      </c>
      <c r="L1176" s="2" t="str">
        <f t="shared" si="4"/>
        <v>Saturday</v>
      </c>
      <c r="M1176" s="2" t="str">
        <f t="shared" si="5"/>
        <v>7</v>
      </c>
      <c r="N1176" s="2">
        <f>VLOOKUP(L1176,'Data Info'!$A$1:$B$8,2,0)</f>
        <v>6</v>
      </c>
      <c r="O1176" s="2" t="str">
        <f>VLOOKUP(L1176,'Data Info'!$A$1:$C$8,3,0)</f>
        <v>Weekend</v>
      </c>
    </row>
    <row r="1177">
      <c r="A1177" s="4">
        <v>45542.686111111114</v>
      </c>
      <c r="B1177" s="9">
        <f>IFERROR(__xludf.DUMMYFUNCTION("SPLIT(A1177,"" "")"),45542.0)</f>
        <v>45542</v>
      </c>
      <c r="C1177" s="10">
        <f>IFERROR(__xludf.DUMMYFUNCTION("""COMPUTED_VALUE"""),0.6861111111111111)</f>
        <v>0.6861111111</v>
      </c>
      <c r="D1177" s="2">
        <f t="shared" si="1"/>
        <v>16</v>
      </c>
      <c r="E1177" s="2">
        <f>IFERROR(__xludf.DUMMYFUNCTION("SPLIT(B1177,""/"")"),7.0)</f>
        <v>7</v>
      </c>
      <c r="F1177" s="2">
        <f>IFERROR(__xludf.DUMMYFUNCTION("""COMPUTED_VALUE"""),9.0)</f>
        <v>9</v>
      </c>
      <c r="G1177" s="2">
        <f>IFERROR(__xludf.DUMMYFUNCTION("""COMPUTED_VALUE"""),2024.0)</f>
        <v>2024</v>
      </c>
      <c r="H1177" s="2" t="str">
        <f t="shared" si="2"/>
        <v>2024/9/7</v>
      </c>
      <c r="I1177" s="2" t="s">
        <v>1602</v>
      </c>
      <c r="J1177" s="2" t="str">
        <f t="shared" si="3"/>
        <v>Mie joglo</v>
      </c>
      <c r="K1177" s="7">
        <f>if(RIGHT(I1177,5)="2 pcs",2,Data!I1177)</f>
        <v>1</v>
      </c>
      <c r="L1177" s="2" t="str">
        <f t="shared" si="4"/>
        <v>Saturday</v>
      </c>
      <c r="M1177" s="2" t="str">
        <f t="shared" si="5"/>
        <v>7</v>
      </c>
      <c r="N1177" s="2">
        <f>VLOOKUP(L1177,'Data Info'!$A$1:$B$8,2,0)</f>
        <v>6</v>
      </c>
      <c r="O1177" s="2" t="str">
        <f>VLOOKUP(L1177,'Data Info'!$A$1:$C$8,3,0)</f>
        <v>Weekend</v>
      </c>
    </row>
    <row r="1178">
      <c r="A1178" s="4">
        <v>45542.686111111114</v>
      </c>
      <c r="B1178" s="9">
        <f>IFERROR(__xludf.DUMMYFUNCTION("SPLIT(A1178,"" "")"),45542.0)</f>
        <v>45542</v>
      </c>
      <c r="C1178" s="10">
        <f>IFERROR(__xludf.DUMMYFUNCTION("""COMPUTED_VALUE"""),0.6861111111111111)</f>
        <v>0.6861111111</v>
      </c>
      <c r="D1178" s="2">
        <f t="shared" si="1"/>
        <v>16</v>
      </c>
      <c r="E1178" s="2">
        <f>IFERROR(__xludf.DUMMYFUNCTION("SPLIT(B1178,""/"")"),7.0)</f>
        <v>7</v>
      </c>
      <c r="F1178" s="2">
        <f>IFERROR(__xludf.DUMMYFUNCTION("""COMPUTED_VALUE"""),9.0)</f>
        <v>9</v>
      </c>
      <c r="G1178" s="2">
        <f>IFERROR(__xludf.DUMMYFUNCTION("""COMPUTED_VALUE"""),2024.0)</f>
        <v>2024</v>
      </c>
      <c r="H1178" s="2" t="str">
        <f t="shared" si="2"/>
        <v>2024/9/7</v>
      </c>
      <c r="I1178" s="2" t="s">
        <v>1576</v>
      </c>
      <c r="J1178" s="2" t="str">
        <f t="shared" si="3"/>
        <v>Roti Cranberry</v>
      </c>
      <c r="K1178" s="7">
        <f>if(RIGHT(I1178,5)="2 pcs",2,Data!I1178)</f>
        <v>1</v>
      </c>
      <c r="L1178" s="2" t="str">
        <f t="shared" si="4"/>
        <v>Saturday</v>
      </c>
      <c r="M1178" s="2" t="str">
        <f t="shared" si="5"/>
        <v>7</v>
      </c>
      <c r="N1178" s="2">
        <f>VLOOKUP(L1178,'Data Info'!$A$1:$B$8,2,0)</f>
        <v>6</v>
      </c>
      <c r="O1178" s="2" t="str">
        <f>VLOOKUP(L1178,'Data Info'!$A$1:$C$8,3,0)</f>
        <v>Weekend</v>
      </c>
    </row>
    <row r="1179">
      <c r="A1179" s="4">
        <v>45542.686111111114</v>
      </c>
      <c r="B1179" s="9">
        <f>IFERROR(__xludf.DUMMYFUNCTION("SPLIT(A1179,"" "")"),45542.0)</f>
        <v>45542</v>
      </c>
      <c r="C1179" s="10">
        <f>IFERROR(__xludf.DUMMYFUNCTION("""COMPUTED_VALUE"""),0.6861111111111111)</f>
        <v>0.6861111111</v>
      </c>
      <c r="D1179" s="2">
        <f t="shared" si="1"/>
        <v>16</v>
      </c>
      <c r="E1179" s="2">
        <f>IFERROR(__xludf.DUMMYFUNCTION("SPLIT(B1179,""/"")"),7.0)</f>
        <v>7</v>
      </c>
      <c r="F1179" s="2">
        <f>IFERROR(__xludf.DUMMYFUNCTION("""COMPUTED_VALUE"""),9.0)</f>
        <v>9</v>
      </c>
      <c r="G1179" s="2">
        <f>IFERROR(__xludf.DUMMYFUNCTION("""COMPUTED_VALUE"""),2024.0)</f>
        <v>2024</v>
      </c>
      <c r="H1179" s="2" t="str">
        <f t="shared" si="2"/>
        <v>2024/9/7</v>
      </c>
      <c r="I1179" s="2" t="s">
        <v>1610</v>
      </c>
      <c r="J1179" s="2" t="str">
        <f t="shared" si="3"/>
        <v>Roti toast eskrim</v>
      </c>
      <c r="K1179" s="7">
        <f>if(RIGHT(I1179,5)="2 pcs",2,Data!I1179)</f>
        <v>1</v>
      </c>
      <c r="L1179" s="2" t="str">
        <f t="shared" si="4"/>
        <v>Saturday</v>
      </c>
      <c r="M1179" s="2" t="str">
        <f t="shared" si="5"/>
        <v>7</v>
      </c>
      <c r="N1179" s="2">
        <f>VLOOKUP(L1179,'Data Info'!$A$1:$B$8,2,0)</f>
        <v>6</v>
      </c>
      <c r="O1179" s="2" t="str">
        <f>VLOOKUP(L1179,'Data Info'!$A$1:$C$8,3,0)</f>
        <v>Weekend</v>
      </c>
    </row>
    <row r="1180">
      <c r="A1180" s="4">
        <v>45542.686111111114</v>
      </c>
      <c r="B1180" s="9">
        <f>IFERROR(__xludf.DUMMYFUNCTION("SPLIT(A1180,"" "")"),45542.0)</f>
        <v>45542</v>
      </c>
      <c r="C1180" s="10">
        <f>IFERROR(__xludf.DUMMYFUNCTION("""COMPUTED_VALUE"""),0.6861111111111111)</f>
        <v>0.6861111111</v>
      </c>
      <c r="D1180" s="2">
        <f t="shared" si="1"/>
        <v>16</v>
      </c>
      <c r="E1180" s="2">
        <f>IFERROR(__xludf.DUMMYFUNCTION("SPLIT(B1180,""/"")"),7.0)</f>
        <v>7</v>
      </c>
      <c r="F1180" s="2">
        <f>IFERROR(__xludf.DUMMYFUNCTION("""COMPUTED_VALUE"""),9.0)</f>
        <v>9</v>
      </c>
      <c r="G1180" s="2">
        <f>IFERROR(__xludf.DUMMYFUNCTION("""COMPUTED_VALUE"""),2024.0)</f>
        <v>2024</v>
      </c>
      <c r="H1180" s="2" t="str">
        <f t="shared" si="2"/>
        <v>2024/9/7</v>
      </c>
      <c r="I1180" s="2" t="s">
        <v>1588</v>
      </c>
      <c r="J1180" s="2" t="str">
        <f t="shared" si="3"/>
        <v>Es Kopi Susu</v>
      </c>
      <c r="K1180" s="7">
        <f>if(RIGHT(I1180,5)="2 pcs",2,Data!I1180)</f>
        <v>1</v>
      </c>
      <c r="L1180" s="2" t="str">
        <f t="shared" si="4"/>
        <v>Saturday</v>
      </c>
      <c r="M1180" s="2" t="str">
        <f t="shared" si="5"/>
        <v>7</v>
      </c>
      <c r="N1180" s="2">
        <f>VLOOKUP(L1180,'Data Info'!$A$1:$B$8,2,0)</f>
        <v>6</v>
      </c>
      <c r="O1180" s="2" t="str">
        <f>VLOOKUP(L1180,'Data Info'!$A$1:$C$8,3,0)</f>
        <v>Weekend</v>
      </c>
    </row>
    <row r="1181">
      <c r="A1181" s="4">
        <v>45542.68472222222</v>
      </c>
      <c r="B1181" s="9">
        <f>IFERROR(__xludf.DUMMYFUNCTION("SPLIT(A1181,"" "")"),45542.0)</f>
        <v>45542</v>
      </c>
      <c r="C1181" s="10">
        <f>IFERROR(__xludf.DUMMYFUNCTION("""COMPUTED_VALUE"""),0.6847222222222222)</f>
        <v>0.6847222222</v>
      </c>
      <c r="D1181" s="2">
        <f t="shared" si="1"/>
        <v>16</v>
      </c>
      <c r="E1181" s="2">
        <f>IFERROR(__xludf.DUMMYFUNCTION("SPLIT(B1181,""/"")"),7.0)</f>
        <v>7</v>
      </c>
      <c r="F1181" s="2">
        <f>IFERROR(__xludf.DUMMYFUNCTION("""COMPUTED_VALUE"""),9.0)</f>
        <v>9</v>
      </c>
      <c r="G1181" s="2">
        <f>IFERROR(__xludf.DUMMYFUNCTION("""COMPUTED_VALUE"""),2024.0)</f>
        <v>2024</v>
      </c>
      <c r="H1181" s="2" t="str">
        <f t="shared" si="2"/>
        <v>2024/9/7</v>
      </c>
      <c r="I1181" s="2" t="s">
        <v>1610</v>
      </c>
      <c r="J1181" s="2" t="str">
        <f t="shared" si="3"/>
        <v>Roti toast eskrim</v>
      </c>
      <c r="K1181" s="7">
        <f>if(RIGHT(I1181,5)="2 pcs",2,Data!I1181)</f>
        <v>1</v>
      </c>
      <c r="L1181" s="2" t="str">
        <f t="shared" si="4"/>
        <v>Saturday</v>
      </c>
      <c r="M1181" s="2" t="str">
        <f t="shared" si="5"/>
        <v>7</v>
      </c>
      <c r="N1181" s="2">
        <f>VLOOKUP(L1181,'Data Info'!$A$1:$B$8,2,0)</f>
        <v>6</v>
      </c>
      <c r="O1181" s="2" t="str">
        <f>VLOOKUP(L1181,'Data Info'!$A$1:$C$8,3,0)</f>
        <v>Weekend</v>
      </c>
    </row>
    <row r="1182">
      <c r="A1182" s="4">
        <v>45542.68402777778</v>
      </c>
      <c r="B1182" s="9">
        <f>IFERROR(__xludf.DUMMYFUNCTION("SPLIT(A1182,"" "")"),45542.0)</f>
        <v>45542</v>
      </c>
      <c r="C1182" s="10">
        <f>IFERROR(__xludf.DUMMYFUNCTION("""COMPUTED_VALUE"""),0.6840277777777778)</f>
        <v>0.6840277778</v>
      </c>
      <c r="D1182" s="2">
        <f t="shared" si="1"/>
        <v>16</v>
      </c>
      <c r="E1182" s="2">
        <f>IFERROR(__xludf.DUMMYFUNCTION("SPLIT(B1182,""/"")"),7.0)</f>
        <v>7</v>
      </c>
      <c r="F1182" s="2">
        <f>IFERROR(__xludf.DUMMYFUNCTION("""COMPUTED_VALUE"""),9.0)</f>
        <v>9</v>
      </c>
      <c r="G1182" s="2">
        <f>IFERROR(__xludf.DUMMYFUNCTION("""COMPUTED_VALUE"""),2024.0)</f>
        <v>2024</v>
      </c>
      <c r="H1182" s="2" t="str">
        <f t="shared" si="2"/>
        <v>2024/9/7</v>
      </c>
      <c r="I1182" s="2" t="s">
        <v>1593</v>
      </c>
      <c r="J1182" s="2" t="str">
        <f t="shared" si="3"/>
        <v>Wedang laut</v>
      </c>
      <c r="K1182" s="7">
        <f>if(RIGHT(I1182,5)="2 pcs",2,Data!I1182)</f>
        <v>1</v>
      </c>
      <c r="L1182" s="2" t="str">
        <f t="shared" si="4"/>
        <v>Saturday</v>
      </c>
      <c r="M1182" s="2" t="str">
        <f t="shared" si="5"/>
        <v>7</v>
      </c>
      <c r="N1182" s="2">
        <f>VLOOKUP(L1182,'Data Info'!$A$1:$B$8,2,0)</f>
        <v>6</v>
      </c>
      <c r="O1182" s="2" t="str">
        <f>VLOOKUP(L1182,'Data Info'!$A$1:$C$8,3,0)</f>
        <v>Weekend</v>
      </c>
    </row>
    <row r="1183">
      <c r="A1183" s="4">
        <v>45542.67569444444</v>
      </c>
      <c r="B1183" s="9">
        <f>IFERROR(__xludf.DUMMYFUNCTION("SPLIT(A1183,"" "")"),45542.0)</f>
        <v>45542</v>
      </c>
      <c r="C1183" s="10">
        <f>IFERROR(__xludf.DUMMYFUNCTION("""COMPUTED_VALUE"""),0.6756944444444445)</f>
        <v>0.6756944444</v>
      </c>
      <c r="D1183" s="2">
        <f t="shared" si="1"/>
        <v>16</v>
      </c>
      <c r="E1183" s="2">
        <f>IFERROR(__xludf.DUMMYFUNCTION("SPLIT(B1183,""/"")"),7.0)</f>
        <v>7</v>
      </c>
      <c r="F1183" s="2">
        <f>IFERROR(__xludf.DUMMYFUNCTION("""COMPUTED_VALUE"""),9.0)</f>
        <v>9</v>
      </c>
      <c r="G1183" s="2">
        <f>IFERROR(__xludf.DUMMYFUNCTION("""COMPUTED_VALUE"""),2024.0)</f>
        <v>2024</v>
      </c>
      <c r="H1183" s="2" t="str">
        <f t="shared" si="2"/>
        <v>2024/9/7</v>
      </c>
      <c r="I1183" s="2" t="s">
        <v>1601</v>
      </c>
      <c r="J1183" s="2" t="str">
        <f t="shared" si="3"/>
        <v>Gula Asam Dingin</v>
      </c>
      <c r="K1183" s="7">
        <f>if(RIGHT(I1183,5)="2 pcs",2,Data!I1183)</f>
        <v>1</v>
      </c>
      <c r="L1183" s="2" t="str">
        <f t="shared" si="4"/>
        <v>Saturday</v>
      </c>
      <c r="M1183" s="2" t="str">
        <f t="shared" si="5"/>
        <v>7</v>
      </c>
      <c r="N1183" s="2">
        <f>VLOOKUP(L1183,'Data Info'!$A$1:$B$8,2,0)</f>
        <v>6</v>
      </c>
      <c r="O1183" s="2" t="str">
        <f>VLOOKUP(L1183,'Data Info'!$A$1:$C$8,3,0)</f>
        <v>Weekend</v>
      </c>
    </row>
    <row r="1184">
      <c r="A1184" s="4">
        <v>45542.67569444444</v>
      </c>
      <c r="B1184" s="9">
        <f>IFERROR(__xludf.DUMMYFUNCTION("SPLIT(A1184,"" "")"),45542.0)</f>
        <v>45542</v>
      </c>
      <c r="C1184" s="10">
        <f>IFERROR(__xludf.DUMMYFUNCTION("""COMPUTED_VALUE"""),0.6756944444444445)</f>
        <v>0.6756944444</v>
      </c>
      <c r="D1184" s="2">
        <f t="shared" si="1"/>
        <v>16</v>
      </c>
      <c r="E1184" s="2">
        <f>IFERROR(__xludf.DUMMYFUNCTION("SPLIT(B1184,""/"")"),7.0)</f>
        <v>7</v>
      </c>
      <c r="F1184" s="2">
        <f>IFERROR(__xludf.DUMMYFUNCTION("""COMPUTED_VALUE"""),9.0)</f>
        <v>9</v>
      </c>
      <c r="G1184" s="2">
        <f>IFERROR(__xludf.DUMMYFUNCTION("""COMPUTED_VALUE"""),2024.0)</f>
        <v>2024</v>
      </c>
      <c r="H1184" s="2" t="str">
        <f t="shared" si="2"/>
        <v>2024/9/7</v>
      </c>
      <c r="I1184" s="2" t="s">
        <v>1617</v>
      </c>
      <c r="J1184" s="2" t="str">
        <f t="shared" si="3"/>
        <v>Lemon Tea Dingin</v>
      </c>
      <c r="K1184" s="7">
        <f>if(RIGHT(I1184,5)="2 pcs",2,Data!I1184)</f>
        <v>1</v>
      </c>
      <c r="L1184" s="2" t="str">
        <f t="shared" si="4"/>
        <v>Saturday</v>
      </c>
      <c r="M1184" s="2" t="str">
        <f t="shared" si="5"/>
        <v>7</v>
      </c>
      <c r="N1184" s="2">
        <f>VLOOKUP(L1184,'Data Info'!$A$1:$B$8,2,0)</f>
        <v>6</v>
      </c>
      <c r="O1184" s="2" t="str">
        <f>VLOOKUP(L1184,'Data Info'!$A$1:$C$8,3,0)</f>
        <v>Weekend</v>
      </c>
    </row>
    <row r="1185">
      <c r="A1185" s="4">
        <v>45542.67569444444</v>
      </c>
      <c r="B1185" s="9">
        <f>IFERROR(__xludf.DUMMYFUNCTION("SPLIT(A1185,"" "")"),45542.0)</f>
        <v>45542</v>
      </c>
      <c r="C1185" s="10">
        <f>IFERROR(__xludf.DUMMYFUNCTION("""COMPUTED_VALUE"""),0.6756944444444445)</f>
        <v>0.6756944444</v>
      </c>
      <c r="D1185" s="2">
        <f t="shared" si="1"/>
        <v>16</v>
      </c>
      <c r="E1185" s="2">
        <f>IFERROR(__xludf.DUMMYFUNCTION("SPLIT(B1185,""/"")"),7.0)</f>
        <v>7</v>
      </c>
      <c r="F1185" s="2">
        <f>IFERROR(__xludf.DUMMYFUNCTION("""COMPUTED_VALUE"""),9.0)</f>
        <v>9</v>
      </c>
      <c r="G1185" s="2">
        <f>IFERROR(__xludf.DUMMYFUNCTION("""COMPUTED_VALUE"""),2024.0)</f>
        <v>2024</v>
      </c>
      <c r="H1185" s="2" t="str">
        <f t="shared" si="2"/>
        <v>2024/9/7</v>
      </c>
      <c r="I1185" s="2" t="s">
        <v>1602</v>
      </c>
      <c r="J1185" s="2" t="str">
        <f t="shared" si="3"/>
        <v>Mie joglo</v>
      </c>
      <c r="K1185" s="7">
        <f>if(RIGHT(I1185,5)="2 pcs",2,Data!I1185)</f>
        <v>1</v>
      </c>
      <c r="L1185" s="2" t="str">
        <f t="shared" si="4"/>
        <v>Saturday</v>
      </c>
      <c r="M1185" s="2" t="str">
        <f t="shared" si="5"/>
        <v>7</v>
      </c>
      <c r="N1185" s="2">
        <f>VLOOKUP(L1185,'Data Info'!$A$1:$B$8,2,0)</f>
        <v>6</v>
      </c>
      <c r="O1185" s="2" t="str">
        <f>VLOOKUP(L1185,'Data Info'!$A$1:$C$8,3,0)</f>
        <v>Weekend</v>
      </c>
    </row>
    <row r="1186">
      <c r="A1186" s="4">
        <v>45542.67361111111</v>
      </c>
      <c r="B1186" s="9">
        <f>IFERROR(__xludf.DUMMYFUNCTION("SPLIT(A1186,"" "")"),45542.0)</f>
        <v>45542</v>
      </c>
      <c r="C1186" s="10">
        <f>IFERROR(__xludf.DUMMYFUNCTION("""COMPUTED_VALUE"""),0.6736111111111112)</f>
        <v>0.6736111111</v>
      </c>
      <c r="D1186" s="2">
        <f t="shared" si="1"/>
        <v>16</v>
      </c>
      <c r="E1186" s="2">
        <f>IFERROR(__xludf.DUMMYFUNCTION("SPLIT(B1186,""/"")"),7.0)</f>
        <v>7</v>
      </c>
      <c r="F1186" s="2">
        <f>IFERROR(__xludf.DUMMYFUNCTION("""COMPUTED_VALUE"""),9.0)</f>
        <v>9</v>
      </c>
      <c r="G1186" s="2">
        <f>IFERROR(__xludf.DUMMYFUNCTION("""COMPUTED_VALUE"""),2024.0)</f>
        <v>2024</v>
      </c>
      <c r="H1186" s="2" t="str">
        <f t="shared" si="2"/>
        <v>2024/9/7</v>
      </c>
      <c r="I1186" s="2" t="s">
        <v>1616</v>
      </c>
      <c r="J1186" s="2" t="str">
        <f t="shared" si="3"/>
        <v>Roti panggang coklat</v>
      </c>
      <c r="K1186" s="7">
        <f>if(RIGHT(I1186,5)="2 pcs",2,Data!I1186)</f>
        <v>1</v>
      </c>
      <c r="L1186" s="2" t="str">
        <f t="shared" si="4"/>
        <v>Saturday</v>
      </c>
      <c r="M1186" s="2" t="str">
        <f t="shared" si="5"/>
        <v>7</v>
      </c>
      <c r="N1186" s="2">
        <f>VLOOKUP(L1186,'Data Info'!$A$1:$B$8,2,0)</f>
        <v>6</v>
      </c>
      <c r="O1186" s="2" t="str">
        <f>VLOOKUP(L1186,'Data Info'!$A$1:$C$8,3,0)</f>
        <v>Weekend</v>
      </c>
    </row>
    <row r="1187">
      <c r="A1187" s="4">
        <v>45542.67361111111</v>
      </c>
      <c r="B1187" s="9">
        <f>IFERROR(__xludf.DUMMYFUNCTION("SPLIT(A1187,"" "")"),45542.0)</f>
        <v>45542</v>
      </c>
      <c r="C1187" s="10">
        <f>IFERROR(__xludf.DUMMYFUNCTION("""COMPUTED_VALUE"""),0.6736111111111112)</f>
        <v>0.6736111111</v>
      </c>
      <c r="D1187" s="2">
        <f t="shared" si="1"/>
        <v>16</v>
      </c>
      <c r="E1187" s="2">
        <f>IFERROR(__xludf.DUMMYFUNCTION("SPLIT(B1187,""/"")"),7.0)</f>
        <v>7</v>
      </c>
      <c r="F1187" s="2">
        <f>IFERROR(__xludf.DUMMYFUNCTION("""COMPUTED_VALUE"""),9.0)</f>
        <v>9</v>
      </c>
      <c r="G1187" s="2">
        <f>IFERROR(__xludf.DUMMYFUNCTION("""COMPUTED_VALUE"""),2024.0)</f>
        <v>2024</v>
      </c>
      <c r="H1187" s="2" t="str">
        <f t="shared" si="2"/>
        <v>2024/9/7</v>
      </c>
      <c r="I1187" s="2" t="s">
        <v>1576</v>
      </c>
      <c r="J1187" s="2" t="str">
        <f t="shared" si="3"/>
        <v>Roti Cranberry</v>
      </c>
      <c r="K1187" s="7">
        <f>if(RIGHT(I1187,5)="2 pcs",2,Data!I1187)</f>
        <v>1</v>
      </c>
      <c r="L1187" s="2" t="str">
        <f t="shared" si="4"/>
        <v>Saturday</v>
      </c>
      <c r="M1187" s="2" t="str">
        <f t="shared" si="5"/>
        <v>7</v>
      </c>
      <c r="N1187" s="2">
        <f>VLOOKUP(L1187,'Data Info'!$A$1:$B$8,2,0)</f>
        <v>6</v>
      </c>
      <c r="O1187" s="2" t="str">
        <f>VLOOKUP(L1187,'Data Info'!$A$1:$C$8,3,0)</f>
        <v>Weekend</v>
      </c>
    </row>
    <row r="1188">
      <c r="A1188" s="4">
        <v>45542.67222222222</v>
      </c>
      <c r="B1188" s="9">
        <f>IFERROR(__xludf.DUMMYFUNCTION("SPLIT(A1188,"" "")"),45542.0)</f>
        <v>45542</v>
      </c>
      <c r="C1188" s="10">
        <f>IFERROR(__xludf.DUMMYFUNCTION("""COMPUTED_VALUE"""),0.6722222222222223)</f>
        <v>0.6722222222</v>
      </c>
      <c r="D1188" s="2">
        <f t="shared" si="1"/>
        <v>16</v>
      </c>
      <c r="E1188" s="2">
        <f>IFERROR(__xludf.DUMMYFUNCTION("SPLIT(B1188,""/"")"),7.0)</f>
        <v>7</v>
      </c>
      <c r="F1188" s="2">
        <f>IFERROR(__xludf.DUMMYFUNCTION("""COMPUTED_VALUE"""),9.0)</f>
        <v>9</v>
      </c>
      <c r="G1188" s="2">
        <f>IFERROR(__xludf.DUMMYFUNCTION("""COMPUTED_VALUE"""),2024.0)</f>
        <v>2024</v>
      </c>
      <c r="H1188" s="2" t="str">
        <f t="shared" si="2"/>
        <v>2024/9/7</v>
      </c>
      <c r="I1188" s="2" t="s">
        <v>1596</v>
      </c>
      <c r="J1188" s="2" t="str">
        <f t="shared" si="3"/>
        <v>Roti Cranberry</v>
      </c>
      <c r="K1188" s="7">
        <f>if(RIGHT(I1188,5)="2 pcs",2,Data!I1188)</f>
        <v>2</v>
      </c>
      <c r="L1188" s="2" t="str">
        <f t="shared" si="4"/>
        <v>Saturday</v>
      </c>
      <c r="M1188" s="2" t="str">
        <f t="shared" si="5"/>
        <v>7</v>
      </c>
      <c r="N1188" s="2">
        <f>VLOOKUP(L1188,'Data Info'!$A$1:$B$8,2,0)</f>
        <v>6</v>
      </c>
      <c r="O1188" s="2" t="str">
        <f>VLOOKUP(L1188,'Data Info'!$A$1:$C$8,3,0)</f>
        <v>Weekend</v>
      </c>
    </row>
    <row r="1189">
      <c r="A1189" s="4">
        <v>45542.6625</v>
      </c>
      <c r="B1189" s="9">
        <f>IFERROR(__xludf.DUMMYFUNCTION("SPLIT(A1189,"" "")"),45542.0)</f>
        <v>45542</v>
      </c>
      <c r="C1189" s="10">
        <f>IFERROR(__xludf.DUMMYFUNCTION("""COMPUTED_VALUE"""),0.6625)</f>
        <v>0.6625</v>
      </c>
      <c r="D1189" s="2">
        <f t="shared" si="1"/>
        <v>15</v>
      </c>
      <c r="E1189" s="2">
        <f>IFERROR(__xludf.DUMMYFUNCTION("SPLIT(B1189,""/"")"),7.0)</f>
        <v>7</v>
      </c>
      <c r="F1189" s="2">
        <f>IFERROR(__xludf.DUMMYFUNCTION("""COMPUTED_VALUE"""),9.0)</f>
        <v>9</v>
      </c>
      <c r="G1189" s="2">
        <f>IFERROR(__xludf.DUMMYFUNCTION("""COMPUTED_VALUE"""),2024.0)</f>
        <v>2024</v>
      </c>
      <c r="H1189" s="2" t="str">
        <f t="shared" si="2"/>
        <v>2024/9/7</v>
      </c>
      <c r="I1189" s="2" t="s">
        <v>1566</v>
      </c>
      <c r="J1189" s="2" t="str">
        <f t="shared" si="3"/>
        <v>Roti Bawang Saus Keju</v>
      </c>
      <c r="K1189" s="7">
        <f>if(RIGHT(I1189,5)="2 pcs",2,Data!I1189)</f>
        <v>1</v>
      </c>
      <c r="L1189" s="2" t="str">
        <f t="shared" si="4"/>
        <v>Saturday</v>
      </c>
      <c r="M1189" s="2" t="str">
        <f t="shared" si="5"/>
        <v>7</v>
      </c>
      <c r="N1189" s="2">
        <f>VLOOKUP(L1189,'Data Info'!$A$1:$B$8,2,0)</f>
        <v>6</v>
      </c>
      <c r="O1189" s="2" t="str">
        <f>VLOOKUP(L1189,'Data Info'!$A$1:$C$8,3,0)</f>
        <v>Weekend</v>
      </c>
    </row>
    <row r="1190">
      <c r="A1190" s="4">
        <v>45542.6625</v>
      </c>
      <c r="B1190" s="9">
        <f>IFERROR(__xludf.DUMMYFUNCTION("SPLIT(A1190,"" "")"),45542.0)</f>
        <v>45542</v>
      </c>
      <c r="C1190" s="10">
        <f>IFERROR(__xludf.DUMMYFUNCTION("""COMPUTED_VALUE"""),0.6625)</f>
        <v>0.6625</v>
      </c>
      <c r="D1190" s="2">
        <f t="shared" si="1"/>
        <v>15</v>
      </c>
      <c r="E1190" s="2">
        <f>IFERROR(__xludf.DUMMYFUNCTION("SPLIT(B1190,""/"")"),7.0)</f>
        <v>7</v>
      </c>
      <c r="F1190" s="2">
        <f>IFERROR(__xludf.DUMMYFUNCTION("""COMPUTED_VALUE"""),9.0)</f>
        <v>9</v>
      </c>
      <c r="G1190" s="2">
        <f>IFERROR(__xludf.DUMMYFUNCTION("""COMPUTED_VALUE"""),2024.0)</f>
        <v>2024</v>
      </c>
      <c r="H1190" s="2" t="str">
        <f t="shared" si="2"/>
        <v>2024/9/7</v>
      </c>
      <c r="I1190" s="2" t="s">
        <v>1576</v>
      </c>
      <c r="J1190" s="2" t="str">
        <f t="shared" si="3"/>
        <v>Roti Cranberry</v>
      </c>
      <c r="K1190" s="7">
        <f>if(RIGHT(I1190,5)="2 pcs",2,Data!I1190)</f>
        <v>1</v>
      </c>
      <c r="L1190" s="2" t="str">
        <f t="shared" si="4"/>
        <v>Saturday</v>
      </c>
      <c r="M1190" s="2" t="str">
        <f t="shared" si="5"/>
        <v>7</v>
      </c>
      <c r="N1190" s="2">
        <f>VLOOKUP(L1190,'Data Info'!$A$1:$B$8,2,0)</f>
        <v>6</v>
      </c>
      <c r="O1190" s="2" t="str">
        <f>VLOOKUP(L1190,'Data Info'!$A$1:$C$8,3,0)</f>
        <v>Weekend</v>
      </c>
    </row>
    <row r="1191">
      <c r="A1191" s="4">
        <v>45542.6625</v>
      </c>
      <c r="B1191" s="9">
        <f>IFERROR(__xludf.DUMMYFUNCTION("SPLIT(A1191,"" "")"),45542.0)</f>
        <v>45542</v>
      </c>
      <c r="C1191" s="10">
        <f>IFERROR(__xludf.DUMMYFUNCTION("""COMPUTED_VALUE"""),0.6625)</f>
        <v>0.6625</v>
      </c>
      <c r="D1191" s="2">
        <f t="shared" si="1"/>
        <v>15</v>
      </c>
      <c r="E1191" s="2">
        <f>IFERROR(__xludf.DUMMYFUNCTION("SPLIT(B1191,""/"")"),7.0)</f>
        <v>7</v>
      </c>
      <c r="F1191" s="2">
        <f>IFERROR(__xludf.DUMMYFUNCTION("""COMPUTED_VALUE"""),9.0)</f>
        <v>9</v>
      </c>
      <c r="G1191" s="2">
        <f>IFERROR(__xludf.DUMMYFUNCTION("""COMPUTED_VALUE"""),2024.0)</f>
        <v>2024</v>
      </c>
      <c r="H1191" s="2" t="str">
        <f t="shared" si="2"/>
        <v>2024/9/7</v>
      </c>
      <c r="I1191" s="2" t="s">
        <v>1566</v>
      </c>
      <c r="J1191" s="2" t="str">
        <f t="shared" si="3"/>
        <v>Roti Bawang Saus Keju</v>
      </c>
      <c r="K1191" s="7">
        <f>if(RIGHT(I1191,5)="2 pcs",2,Data!I1191)</f>
        <v>1</v>
      </c>
      <c r="L1191" s="2" t="str">
        <f t="shared" si="4"/>
        <v>Saturday</v>
      </c>
      <c r="M1191" s="2" t="str">
        <f t="shared" si="5"/>
        <v>7</v>
      </c>
      <c r="N1191" s="2">
        <f>VLOOKUP(L1191,'Data Info'!$A$1:$B$8,2,0)</f>
        <v>6</v>
      </c>
      <c r="O1191" s="2" t="str">
        <f>VLOOKUP(L1191,'Data Info'!$A$1:$C$8,3,0)</f>
        <v>Weekend</v>
      </c>
    </row>
    <row r="1192">
      <c r="A1192" s="4">
        <v>45542.6625</v>
      </c>
      <c r="B1192" s="9">
        <f>IFERROR(__xludf.DUMMYFUNCTION("SPLIT(A1192,"" "")"),45542.0)</f>
        <v>45542</v>
      </c>
      <c r="C1192" s="10">
        <f>IFERROR(__xludf.DUMMYFUNCTION("""COMPUTED_VALUE"""),0.6625)</f>
        <v>0.6625</v>
      </c>
      <c r="D1192" s="2">
        <f t="shared" si="1"/>
        <v>15</v>
      </c>
      <c r="E1192" s="2">
        <f>IFERROR(__xludf.DUMMYFUNCTION("SPLIT(B1192,""/"")"),7.0)</f>
        <v>7</v>
      </c>
      <c r="F1192" s="2">
        <f>IFERROR(__xludf.DUMMYFUNCTION("""COMPUTED_VALUE"""),9.0)</f>
        <v>9</v>
      </c>
      <c r="G1192" s="2">
        <f>IFERROR(__xludf.DUMMYFUNCTION("""COMPUTED_VALUE"""),2024.0)</f>
        <v>2024</v>
      </c>
      <c r="H1192" s="2" t="str">
        <f t="shared" si="2"/>
        <v>2024/9/7</v>
      </c>
      <c r="I1192" s="2" t="s">
        <v>1595</v>
      </c>
      <c r="J1192" s="2" t="str">
        <f t="shared" si="3"/>
        <v>Roti Gandum Cokelat</v>
      </c>
      <c r="K1192" s="7">
        <f>if(RIGHT(I1192,5)="2 pcs",2,Data!I1192)</f>
        <v>1</v>
      </c>
      <c r="L1192" s="2" t="str">
        <f t="shared" si="4"/>
        <v>Saturday</v>
      </c>
      <c r="M1192" s="2" t="str">
        <f t="shared" si="5"/>
        <v>7</v>
      </c>
      <c r="N1192" s="2">
        <f>VLOOKUP(L1192,'Data Info'!$A$1:$B$8,2,0)</f>
        <v>6</v>
      </c>
      <c r="O1192" s="2" t="str">
        <f>VLOOKUP(L1192,'Data Info'!$A$1:$C$8,3,0)</f>
        <v>Weekend</v>
      </c>
    </row>
    <row r="1193">
      <c r="A1193" s="4">
        <v>45542.66180555556</v>
      </c>
      <c r="B1193" s="9">
        <f>IFERROR(__xludf.DUMMYFUNCTION("SPLIT(A1193,"" "")"),45542.0)</f>
        <v>45542</v>
      </c>
      <c r="C1193" s="10">
        <f>IFERROR(__xludf.DUMMYFUNCTION("""COMPUTED_VALUE"""),0.6618055555555555)</f>
        <v>0.6618055556</v>
      </c>
      <c r="D1193" s="2">
        <f t="shared" si="1"/>
        <v>15</v>
      </c>
      <c r="E1193" s="2">
        <f>IFERROR(__xludf.DUMMYFUNCTION("SPLIT(B1193,""/"")"),7.0)</f>
        <v>7</v>
      </c>
      <c r="F1193" s="2">
        <f>IFERROR(__xludf.DUMMYFUNCTION("""COMPUTED_VALUE"""),9.0)</f>
        <v>9</v>
      </c>
      <c r="G1193" s="2">
        <f>IFERROR(__xludf.DUMMYFUNCTION("""COMPUTED_VALUE"""),2024.0)</f>
        <v>2024</v>
      </c>
      <c r="H1193" s="2" t="str">
        <f t="shared" si="2"/>
        <v>2024/9/7</v>
      </c>
      <c r="I1193" s="2" t="s">
        <v>1566</v>
      </c>
      <c r="J1193" s="2" t="str">
        <f t="shared" si="3"/>
        <v>Roti Bawang Saus Keju</v>
      </c>
      <c r="K1193" s="7">
        <f>if(RIGHT(I1193,5)="2 pcs",2,Data!I1193)</f>
        <v>1</v>
      </c>
      <c r="L1193" s="2" t="str">
        <f t="shared" si="4"/>
        <v>Saturday</v>
      </c>
      <c r="M1193" s="2" t="str">
        <f t="shared" si="5"/>
        <v>7</v>
      </c>
      <c r="N1193" s="2">
        <f>VLOOKUP(L1193,'Data Info'!$A$1:$B$8,2,0)</f>
        <v>6</v>
      </c>
      <c r="O1193" s="2" t="str">
        <f>VLOOKUP(L1193,'Data Info'!$A$1:$C$8,3,0)</f>
        <v>Weekend</v>
      </c>
    </row>
    <row r="1194">
      <c r="A1194" s="4">
        <v>45542.66180555556</v>
      </c>
      <c r="B1194" s="9">
        <f>IFERROR(__xludf.DUMMYFUNCTION("SPLIT(A1194,"" "")"),45542.0)</f>
        <v>45542</v>
      </c>
      <c r="C1194" s="10">
        <f>IFERROR(__xludf.DUMMYFUNCTION("""COMPUTED_VALUE"""),0.6618055555555555)</f>
        <v>0.6618055556</v>
      </c>
      <c r="D1194" s="2">
        <f t="shared" si="1"/>
        <v>15</v>
      </c>
      <c r="E1194" s="2">
        <f>IFERROR(__xludf.DUMMYFUNCTION("SPLIT(B1194,""/"")"),7.0)</f>
        <v>7</v>
      </c>
      <c r="F1194" s="2">
        <f>IFERROR(__xludf.DUMMYFUNCTION("""COMPUTED_VALUE"""),9.0)</f>
        <v>9</v>
      </c>
      <c r="G1194" s="2">
        <f>IFERROR(__xludf.DUMMYFUNCTION("""COMPUTED_VALUE"""),2024.0)</f>
        <v>2024</v>
      </c>
      <c r="H1194" s="2" t="str">
        <f t="shared" si="2"/>
        <v>2024/9/7</v>
      </c>
      <c r="I1194" s="2" t="s">
        <v>1588</v>
      </c>
      <c r="J1194" s="2" t="str">
        <f t="shared" si="3"/>
        <v>Es Kopi Susu</v>
      </c>
      <c r="K1194" s="7">
        <f>if(RIGHT(I1194,5)="2 pcs",2,Data!I1194)</f>
        <v>1</v>
      </c>
      <c r="L1194" s="2" t="str">
        <f t="shared" si="4"/>
        <v>Saturday</v>
      </c>
      <c r="M1194" s="2" t="str">
        <f t="shared" si="5"/>
        <v>7</v>
      </c>
      <c r="N1194" s="2">
        <f>VLOOKUP(L1194,'Data Info'!$A$1:$B$8,2,0)</f>
        <v>6</v>
      </c>
      <c r="O1194" s="2" t="str">
        <f>VLOOKUP(L1194,'Data Info'!$A$1:$C$8,3,0)</f>
        <v>Weekend</v>
      </c>
    </row>
    <row r="1195">
      <c r="A1195" s="4">
        <v>45542.66180555556</v>
      </c>
      <c r="B1195" s="9">
        <f>IFERROR(__xludf.DUMMYFUNCTION("SPLIT(A1195,"" "")"),45542.0)</f>
        <v>45542</v>
      </c>
      <c r="C1195" s="10">
        <f>IFERROR(__xludf.DUMMYFUNCTION("""COMPUTED_VALUE"""),0.6618055555555555)</f>
        <v>0.6618055556</v>
      </c>
      <c r="D1195" s="2">
        <f t="shared" si="1"/>
        <v>15</v>
      </c>
      <c r="E1195" s="2">
        <f>IFERROR(__xludf.DUMMYFUNCTION("SPLIT(B1195,""/"")"),7.0)</f>
        <v>7</v>
      </c>
      <c r="F1195" s="2">
        <f>IFERROR(__xludf.DUMMYFUNCTION("""COMPUTED_VALUE"""),9.0)</f>
        <v>9</v>
      </c>
      <c r="G1195" s="2">
        <f>IFERROR(__xludf.DUMMYFUNCTION("""COMPUTED_VALUE"""),2024.0)</f>
        <v>2024</v>
      </c>
      <c r="H1195" s="2" t="str">
        <f t="shared" si="2"/>
        <v>2024/9/7</v>
      </c>
      <c r="I1195" s="2" t="s">
        <v>1583</v>
      </c>
      <c r="J1195" s="2" t="str">
        <f t="shared" si="3"/>
        <v>Es Kopi Lemon</v>
      </c>
      <c r="K1195" s="7">
        <f>if(RIGHT(I1195,5)="2 pcs",2,Data!I1195)</f>
        <v>1</v>
      </c>
      <c r="L1195" s="2" t="str">
        <f t="shared" si="4"/>
        <v>Saturday</v>
      </c>
      <c r="M1195" s="2" t="str">
        <f t="shared" si="5"/>
        <v>7</v>
      </c>
      <c r="N1195" s="2">
        <f>VLOOKUP(L1195,'Data Info'!$A$1:$B$8,2,0)</f>
        <v>6</v>
      </c>
      <c r="O1195" s="2" t="str">
        <f>VLOOKUP(L1195,'Data Info'!$A$1:$C$8,3,0)</f>
        <v>Weekend</v>
      </c>
    </row>
    <row r="1196">
      <c r="A1196" s="4">
        <v>45542.65069444444</v>
      </c>
      <c r="B1196" s="9">
        <f>IFERROR(__xludf.DUMMYFUNCTION("SPLIT(A1196,"" "")"),45542.0)</f>
        <v>45542</v>
      </c>
      <c r="C1196" s="10">
        <f>IFERROR(__xludf.DUMMYFUNCTION("""COMPUTED_VALUE"""),0.6506944444444445)</f>
        <v>0.6506944444</v>
      </c>
      <c r="D1196" s="2">
        <f t="shared" si="1"/>
        <v>15</v>
      </c>
      <c r="E1196" s="2">
        <f>IFERROR(__xludf.DUMMYFUNCTION("SPLIT(B1196,""/"")"),7.0)</f>
        <v>7</v>
      </c>
      <c r="F1196" s="2">
        <f>IFERROR(__xludf.DUMMYFUNCTION("""COMPUTED_VALUE"""),9.0)</f>
        <v>9</v>
      </c>
      <c r="G1196" s="2">
        <f>IFERROR(__xludf.DUMMYFUNCTION("""COMPUTED_VALUE"""),2024.0)</f>
        <v>2024</v>
      </c>
      <c r="H1196" s="2" t="str">
        <f t="shared" si="2"/>
        <v>2024/9/7</v>
      </c>
      <c r="I1196" s="2" t="s">
        <v>1576</v>
      </c>
      <c r="J1196" s="2" t="str">
        <f t="shared" si="3"/>
        <v>Roti Cranberry</v>
      </c>
      <c r="K1196" s="7">
        <f>if(RIGHT(I1196,5)="2 pcs",2,Data!I1196)</f>
        <v>1</v>
      </c>
      <c r="L1196" s="2" t="str">
        <f t="shared" si="4"/>
        <v>Saturday</v>
      </c>
      <c r="M1196" s="2" t="str">
        <f t="shared" si="5"/>
        <v>7</v>
      </c>
      <c r="N1196" s="2">
        <f>VLOOKUP(L1196,'Data Info'!$A$1:$B$8,2,0)</f>
        <v>6</v>
      </c>
      <c r="O1196" s="2" t="str">
        <f>VLOOKUP(L1196,'Data Info'!$A$1:$C$8,3,0)</f>
        <v>Weekend</v>
      </c>
    </row>
    <row r="1197">
      <c r="A1197" s="4">
        <v>45542.65069444444</v>
      </c>
      <c r="B1197" s="9">
        <f>IFERROR(__xludf.DUMMYFUNCTION("SPLIT(A1197,"" "")"),45542.0)</f>
        <v>45542</v>
      </c>
      <c r="C1197" s="10">
        <f>IFERROR(__xludf.DUMMYFUNCTION("""COMPUTED_VALUE"""),0.6506944444444445)</f>
        <v>0.6506944444</v>
      </c>
      <c r="D1197" s="2">
        <f t="shared" si="1"/>
        <v>15</v>
      </c>
      <c r="E1197" s="2">
        <f>IFERROR(__xludf.DUMMYFUNCTION("SPLIT(B1197,""/"")"),7.0)</f>
        <v>7</v>
      </c>
      <c r="F1197" s="2">
        <f>IFERROR(__xludf.DUMMYFUNCTION("""COMPUTED_VALUE"""),9.0)</f>
        <v>9</v>
      </c>
      <c r="G1197" s="2">
        <f>IFERROR(__xludf.DUMMYFUNCTION("""COMPUTED_VALUE"""),2024.0)</f>
        <v>2024</v>
      </c>
      <c r="H1197" s="2" t="str">
        <f t="shared" si="2"/>
        <v>2024/9/7</v>
      </c>
      <c r="I1197" s="2" t="s">
        <v>1595</v>
      </c>
      <c r="J1197" s="2" t="str">
        <f t="shared" si="3"/>
        <v>Roti Gandum Cokelat</v>
      </c>
      <c r="K1197" s="7">
        <f>if(RIGHT(I1197,5)="2 pcs",2,Data!I1197)</f>
        <v>1</v>
      </c>
      <c r="L1197" s="2" t="str">
        <f t="shared" si="4"/>
        <v>Saturday</v>
      </c>
      <c r="M1197" s="2" t="str">
        <f t="shared" si="5"/>
        <v>7</v>
      </c>
      <c r="N1197" s="2">
        <f>VLOOKUP(L1197,'Data Info'!$A$1:$B$8,2,0)</f>
        <v>6</v>
      </c>
      <c r="O1197" s="2" t="str">
        <f>VLOOKUP(L1197,'Data Info'!$A$1:$C$8,3,0)</f>
        <v>Weekend</v>
      </c>
    </row>
    <row r="1198">
      <c r="A1198" s="4">
        <v>45542.63611111111</v>
      </c>
      <c r="B1198" s="9">
        <f>IFERROR(__xludf.DUMMYFUNCTION("SPLIT(A1198,"" "")"),45542.0)</f>
        <v>45542</v>
      </c>
      <c r="C1198" s="10">
        <f>IFERROR(__xludf.DUMMYFUNCTION("""COMPUTED_VALUE"""),0.6361111111111111)</f>
        <v>0.6361111111</v>
      </c>
      <c r="D1198" s="2">
        <f t="shared" si="1"/>
        <v>15</v>
      </c>
      <c r="E1198" s="2">
        <f>IFERROR(__xludf.DUMMYFUNCTION("SPLIT(B1198,""/"")"),7.0)</f>
        <v>7</v>
      </c>
      <c r="F1198" s="2">
        <f>IFERROR(__xludf.DUMMYFUNCTION("""COMPUTED_VALUE"""),9.0)</f>
        <v>9</v>
      </c>
      <c r="G1198" s="2">
        <f>IFERROR(__xludf.DUMMYFUNCTION("""COMPUTED_VALUE"""),2024.0)</f>
        <v>2024</v>
      </c>
      <c r="H1198" s="2" t="str">
        <f t="shared" si="2"/>
        <v>2024/9/7</v>
      </c>
      <c r="I1198" s="2" t="s">
        <v>1576</v>
      </c>
      <c r="J1198" s="2" t="str">
        <f t="shared" si="3"/>
        <v>Roti Cranberry</v>
      </c>
      <c r="K1198" s="7">
        <f>if(RIGHT(I1198,5)="2 pcs",2,Data!I1198)</f>
        <v>1</v>
      </c>
      <c r="L1198" s="2" t="str">
        <f t="shared" si="4"/>
        <v>Saturday</v>
      </c>
      <c r="M1198" s="2" t="str">
        <f t="shared" si="5"/>
        <v>7</v>
      </c>
      <c r="N1198" s="2">
        <f>VLOOKUP(L1198,'Data Info'!$A$1:$B$8,2,0)</f>
        <v>6</v>
      </c>
      <c r="O1198" s="2" t="str">
        <f>VLOOKUP(L1198,'Data Info'!$A$1:$C$8,3,0)</f>
        <v>Weekend</v>
      </c>
    </row>
    <row r="1199">
      <c r="A1199" s="4">
        <v>45542.63125</v>
      </c>
      <c r="B1199" s="9">
        <f>IFERROR(__xludf.DUMMYFUNCTION("SPLIT(A1199,"" "")"),45542.0)</f>
        <v>45542</v>
      </c>
      <c r="C1199" s="10">
        <f>IFERROR(__xludf.DUMMYFUNCTION("""COMPUTED_VALUE"""),0.63125)</f>
        <v>0.63125</v>
      </c>
      <c r="D1199" s="2">
        <f t="shared" si="1"/>
        <v>15</v>
      </c>
      <c r="E1199" s="2">
        <f>IFERROR(__xludf.DUMMYFUNCTION("SPLIT(B1199,""/"")"),7.0)</f>
        <v>7</v>
      </c>
      <c r="F1199" s="2">
        <f>IFERROR(__xludf.DUMMYFUNCTION("""COMPUTED_VALUE"""),9.0)</f>
        <v>9</v>
      </c>
      <c r="G1199" s="2">
        <f>IFERROR(__xludf.DUMMYFUNCTION("""COMPUTED_VALUE"""),2024.0)</f>
        <v>2024</v>
      </c>
      <c r="H1199" s="2" t="str">
        <f t="shared" si="2"/>
        <v>2024/9/7</v>
      </c>
      <c r="I1199" s="2" t="s">
        <v>1610</v>
      </c>
      <c r="J1199" s="2" t="str">
        <f t="shared" si="3"/>
        <v>Roti toast eskrim</v>
      </c>
      <c r="K1199" s="7">
        <f>if(RIGHT(I1199,5)="2 pcs",2,Data!I1199)</f>
        <v>1</v>
      </c>
      <c r="L1199" s="2" t="str">
        <f t="shared" si="4"/>
        <v>Saturday</v>
      </c>
      <c r="M1199" s="2" t="str">
        <f t="shared" si="5"/>
        <v>7</v>
      </c>
      <c r="N1199" s="2">
        <f>VLOOKUP(L1199,'Data Info'!$A$1:$B$8,2,0)</f>
        <v>6</v>
      </c>
      <c r="O1199" s="2" t="str">
        <f>VLOOKUP(L1199,'Data Info'!$A$1:$C$8,3,0)</f>
        <v>Weekend</v>
      </c>
    </row>
    <row r="1200">
      <c r="A1200" s="4">
        <v>45542.63125</v>
      </c>
      <c r="B1200" s="9">
        <f>IFERROR(__xludf.DUMMYFUNCTION("SPLIT(A1200,"" "")"),45542.0)</f>
        <v>45542</v>
      </c>
      <c r="C1200" s="10">
        <f>IFERROR(__xludf.DUMMYFUNCTION("""COMPUTED_VALUE"""),0.63125)</f>
        <v>0.63125</v>
      </c>
      <c r="D1200" s="2">
        <f t="shared" si="1"/>
        <v>15</v>
      </c>
      <c r="E1200" s="2">
        <f>IFERROR(__xludf.DUMMYFUNCTION("SPLIT(B1200,""/"")"),7.0)</f>
        <v>7</v>
      </c>
      <c r="F1200" s="2">
        <f>IFERROR(__xludf.DUMMYFUNCTION("""COMPUTED_VALUE"""),9.0)</f>
        <v>9</v>
      </c>
      <c r="G1200" s="2">
        <f>IFERROR(__xludf.DUMMYFUNCTION("""COMPUTED_VALUE"""),2024.0)</f>
        <v>2024</v>
      </c>
      <c r="H1200" s="2" t="str">
        <f t="shared" si="2"/>
        <v>2024/9/7</v>
      </c>
      <c r="I1200" s="2" t="s">
        <v>1587</v>
      </c>
      <c r="J1200" s="2" t="str">
        <f t="shared" si="3"/>
        <v>Tahu Lada Garam</v>
      </c>
      <c r="K1200" s="7">
        <f>if(RIGHT(I1200,5)="2 pcs",2,Data!I1200)</f>
        <v>1</v>
      </c>
      <c r="L1200" s="2" t="str">
        <f t="shared" si="4"/>
        <v>Saturday</v>
      </c>
      <c r="M1200" s="2" t="str">
        <f t="shared" si="5"/>
        <v>7</v>
      </c>
      <c r="N1200" s="2">
        <f>VLOOKUP(L1200,'Data Info'!$A$1:$B$8,2,0)</f>
        <v>6</v>
      </c>
      <c r="O1200" s="2" t="str">
        <f>VLOOKUP(L1200,'Data Info'!$A$1:$C$8,3,0)</f>
        <v>Weekend</v>
      </c>
    </row>
    <row r="1201">
      <c r="A1201" s="4">
        <v>45542.63125</v>
      </c>
      <c r="B1201" s="9">
        <f>IFERROR(__xludf.DUMMYFUNCTION("SPLIT(A1201,"" "")"),45542.0)</f>
        <v>45542</v>
      </c>
      <c r="C1201" s="10">
        <f>IFERROR(__xludf.DUMMYFUNCTION("""COMPUTED_VALUE"""),0.63125)</f>
        <v>0.63125</v>
      </c>
      <c r="D1201" s="2">
        <f t="shared" si="1"/>
        <v>15</v>
      </c>
      <c r="E1201" s="2">
        <f>IFERROR(__xludf.DUMMYFUNCTION("SPLIT(B1201,""/"")"),7.0)</f>
        <v>7</v>
      </c>
      <c r="F1201" s="2">
        <f>IFERROR(__xludf.DUMMYFUNCTION("""COMPUTED_VALUE"""),9.0)</f>
        <v>9</v>
      </c>
      <c r="G1201" s="2">
        <f>IFERROR(__xludf.DUMMYFUNCTION("""COMPUTED_VALUE"""),2024.0)</f>
        <v>2024</v>
      </c>
      <c r="H1201" s="2" t="str">
        <f t="shared" si="2"/>
        <v>2024/9/7</v>
      </c>
      <c r="I1201" s="2" t="s">
        <v>1573</v>
      </c>
      <c r="J1201" s="2" t="str">
        <f t="shared" si="3"/>
        <v>Air mineral</v>
      </c>
      <c r="K1201" s="7">
        <f>if(RIGHT(I1201,5)="2 pcs",2,Data!I1201)</f>
        <v>1</v>
      </c>
      <c r="L1201" s="2" t="str">
        <f t="shared" si="4"/>
        <v>Saturday</v>
      </c>
      <c r="M1201" s="2" t="str">
        <f t="shared" si="5"/>
        <v>7</v>
      </c>
      <c r="N1201" s="2">
        <f>VLOOKUP(L1201,'Data Info'!$A$1:$B$8,2,0)</f>
        <v>6</v>
      </c>
      <c r="O1201" s="2" t="str">
        <f>VLOOKUP(L1201,'Data Info'!$A$1:$C$8,3,0)</f>
        <v>Weekend</v>
      </c>
    </row>
    <row r="1202">
      <c r="A1202" s="4">
        <v>45542.62986111111</v>
      </c>
      <c r="B1202" s="9">
        <f>IFERROR(__xludf.DUMMYFUNCTION("SPLIT(A1202,"" "")"),45542.0)</f>
        <v>45542</v>
      </c>
      <c r="C1202" s="10">
        <f>IFERROR(__xludf.DUMMYFUNCTION("""COMPUTED_VALUE"""),0.6298611111111111)</f>
        <v>0.6298611111</v>
      </c>
      <c r="D1202" s="2">
        <f t="shared" si="1"/>
        <v>15</v>
      </c>
      <c r="E1202" s="2">
        <f>IFERROR(__xludf.DUMMYFUNCTION("SPLIT(B1202,""/"")"),7.0)</f>
        <v>7</v>
      </c>
      <c r="F1202" s="2">
        <f>IFERROR(__xludf.DUMMYFUNCTION("""COMPUTED_VALUE"""),9.0)</f>
        <v>9</v>
      </c>
      <c r="G1202" s="2">
        <f>IFERROR(__xludf.DUMMYFUNCTION("""COMPUTED_VALUE"""),2024.0)</f>
        <v>2024</v>
      </c>
      <c r="H1202" s="2" t="str">
        <f t="shared" si="2"/>
        <v>2024/9/7</v>
      </c>
      <c r="I1202" s="2" t="s">
        <v>1588</v>
      </c>
      <c r="J1202" s="2" t="str">
        <f t="shared" si="3"/>
        <v>Es Kopi Susu</v>
      </c>
      <c r="K1202" s="7">
        <f>if(RIGHT(I1202,5)="2 pcs",2,Data!I1202)</f>
        <v>2</v>
      </c>
      <c r="L1202" s="2" t="str">
        <f t="shared" si="4"/>
        <v>Saturday</v>
      </c>
      <c r="M1202" s="2" t="str">
        <f t="shared" si="5"/>
        <v>7</v>
      </c>
      <c r="N1202" s="2">
        <f>VLOOKUP(L1202,'Data Info'!$A$1:$B$8,2,0)</f>
        <v>6</v>
      </c>
      <c r="O1202" s="2" t="str">
        <f>VLOOKUP(L1202,'Data Info'!$A$1:$C$8,3,0)</f>
        <v>Weekend</v>
      </c>
    </row>
    <row r="1203">
      <c r="A1203" s="4">
        <v>45542.62986111111</v>
      </c>
      <c r="B1203" s="9">
        <f>IFERROR(__xludf.DUMMYFUNCTION("SPLIT(A1203,"" "")"),45542.0)</f>
        <v>45542</v>
      </c>
      <c r="C1203" s="10">
        <f>IFERROR(__xludf.DUMMYFUNCTION("""COMPUTED_VALUE"""),0.6298611111111111)</f>
        <v>0.6298611111</v>
      </c>
      <c r="D1203" s="2">
        <f t="shared" si="1"/>
        <v>15</v>
      </c>
      <c r="E1203" s="2">
        <f>IFERROR(__xludf.DUMMYFUNCTION("SPLIT(B1203,""/"")"),7.0)</f>
        <v>7</v>
      </c>
      <c r="F1203" s="2">
        <f>IFERROR(__xludf.DUMMYFUNCTION("""COMPUTED_VALUE"""),9.0)</f>
        <v>9</v>
      </c>
      <c r="G1203" s="2">
        <f>IFERROR(__xludf.DUMMYFUNCTION("""COMPUTED_VALUE"""),2024.0)</f>
        <v>2024</v>
      </c>
      <c r="H1203" s="2" t="str">
        <f t="shared" si="2"/>
        <v>2024/9/7</v>
      </c>
      <c r="I1203" s="2" t="s">
        <v>1621</v>
      </c>
      <c r="J1203" s="2" t="str">
        <f t="shared" si="3"/>
        <v>Wedang angin</v>
      </c>
      <c r="K1203" s="7">
        <f>if(RIGHT(I1203,5)="2 pcs",2,Data!I1203)</f>
        <v>1</v>
      </c>
      <c r="L1203" s="2" t="str">
        <f t="shared" si="4"/>
        <v>Saturday</v>
      </c>
      <c r="M1203" s="2" t="str">
        <f t="shared" si="5"/>
        <v>7</v>
      </c>
      <c r="N1203" s="2">
        <f>VLOOKUP(L1203,'Data Info'!$A$1:$B$8,2,0)</f>
        <v>6</v>
      </c>
      <c r="O1203" s="2" t="str">
        <f>VLOOKUP(L1203,'Data Info'!$A$1:$C$8,3,0)</f>
        <v>Weekend</v>
      </c>
    </row>
    <row r="1204">
      <c r="A1204" s="4">
        <v>45542.62986111111</v>
      </c>
      <c r="B1204" s="9">
        <f>IFERROR(__xludf.DUMMYFUNCTION("SPLIT(A1204,"" "")"),45542.0)</f>
        <v>45542</v>
      </c>
      <c r="C1204" s="10">
        <f>IFERROR(__xludf.DUMMYFUNCTION("""COMPUTED_VALUE"""),0.6298611111111111)</f>
        <v>0.6298611111</v>
      </c>
      <c r="D1204" s="2">
        <f t="shared" si="1"/>
        <v>15</v>
      </c>
      <c r="E1204" s="2">
        <f>IFERROR(__xludf.DUMMYFUNCTION("SPLIT(B1204,""/"")"),7.0)</f>
        <v>7</v>
      </c>
      <c r="F1204" s="2">
        <f>IFERROR(__xludf.DUMMYFUNCTION("""COMPUTED_VALUE"""),9.0)</f>
        <v>9</v>
      </c>
      <c r="G1204" s="2">
        <f>IFERROR(__xludf.DUMMYFUNCTION("""COMPUTED_VALUE"""),2024.0)</f>
        <v>2024</v>
      </c>
      <c r="H1204" s="2" t="str">
        <f t="shared" si="2"/>
        <v>2024/9/7</v>
      </c>
      <c r="I1204" s="2" t="s">
        <v>1596</v>
      </c>
      <c r="J1204" s="2" t="str">
        <f t="shared" si="3"/>
        <v>Roti Cranberry</v>
      </c>
      <c r="K1204" s="7">
        <f>if(RIGHT(I1204,5)="2 pcs",2,Data!I1204)</f>
        <v>2</v>
      </c>
      <c r="L1204" s="2" t="str">
        <f t="shared" si="4"/>
        <v>Saturday</v>
      </c>
      <c r="M1204" s="2" t="str">
        <f t="shared" si="5"/>
        <v>7</v>
      </c>
      <c r="N1204" s="2">
        <f>VLOOKUP(L1204,'Data Info'!$A$1:$B$8,2,0)</f>
        <v>6</v>
      </c>
      <c r="O1204" s="2" t="str">
        <f>VLOOKUP(L1204,'Data Info'!$A$1:$C$8,3,0)</f>
        <v>Weekend</v>
      </c>
    </row>
    <row r="1205">
      <c r="A1205" s="4">
        <v>45542.62986111111</v>
      </c>
      <c r="B1205" s="9">
        <f>IFERROR(__xludf.DUMMYFUNCTION("SPLIT(A1205,"" "")"),45542.0)</f>
        <v>45542</v>
      </c>
      <c r="C1205" s="10">
        <f>IFERROR(__xludf.DUMMYFUNCTION("""COMPUTED_VALUE"""),0.6298611111111111)</f>
        <v>0.6298611111</v>
      </c>
      <c r="D1205" s="2">
        <f t="shared" si="1"/>
        <v>15</v>
      </c>
      <c r="E1205" s="2">
        <f>IFERROR(__xludf.DUMMYFUNCTION("SPLIT(B1205,""/"")"),7.0)</f>
        <v>7</v>
      </c>
      <c r="F1205" s="2">
        <f>IFERROR(__xludf.DUMMYFUNCTION("""COMPUTED_VALUE"""),9.0)</f>
        <v>9</v>
      </c>
      <c r="G1205" s="2">
        <f>IFERROR(__xludf.DUMMYFUNCTION("""COMPUTED_VALUE"""),2024.0)</f>
        <v>2024</v>
      </c>
      <c r="H1205" s="2" t="str">
        <f t="shared" si="2"/>
        <v>2024/9/7</v>
      </c>
      <c r="I1205" s="2" t="s">
        <v>1615</v>
      </c>
      <c r="J1205" s="2" t="str">
        <f t="shared" si="3"/>
        <v>Roti panggang sarikaya</v>
      </c>
      <c r="K1205" s="7">
        <f>if(RIGHT(I1205,5)="2 pcs",2,Data!I1205)</f>
        <v>1</v>
      </c>
      <c r="L1205" s="2" t="str">
        <f t="shared" si="4"/>
        <v>Saturday</v>
      </c>
      <c r="M1205" s="2" t="str">
        <f t="shared" si="5"/>
        <v>7</v>
      </c>
      <c r="N1205" s="2">
        <f>VLOOKUP(L1205,'Data Info'!$A$1:$B$8,2,0)</f>
        <v>6</v>
      </c>
      <c r="O1205" s="2" t="str">
        <f>VLOOKUP(L1205,'Data Info'!$A$1:$C$8,3,0)</f>
        <v>Weekend</v>
      </c>
    </row>
    <row r="1206">
      <c r="A1206" s="4">
        <v>45542.55069444444</v>
      </c>
      <c r="B1206" s="9">
        <f>IFERROR(__xludf.DUMMYFUNCTION("SPLIT(A1206,"" "")"),45542.0)</f>
        <v>45542</v>
      </c>
      <c r="C1206" s="10">
        <f>IFERROR(__xludf.DUMMYFUNCTION("""COMPUTED_VALUE"""),0.5506944444444445)</f>
        <v>0.5506944444</v>
      </c>
      <c r="D1206" s="2">
        <f t="shared" si="1"/>
        <v>13</v>
      </c>
      <c r="E1206" s="2">
        <f>IFERROR(__xludf.DUMMYFUNCTION("SPLIT(B1206,""/"")"),7.0)</f>
        <v>7</v>
      </c>
      <c r="F1206" s="2">
        <f>IFERROR(__xludf.DUMMYFUNCTION("""COMPUTED_VALUE"""),9.0)</f>
        <v>9</v>
      </c>
      <c r="G1206" s="2">
        <f>IFERROR(__xludf.DUMMYFUNCTION("""COMPUTED_VALUE"""),2024.0)</f>
        <v>2024</v>
      </c>
      <c r="H1206" s="2" t="str">
        <f t="shared" si="2"/>
        <v>2024/9/7</v>
      </c>
      <c r="I1206" s="2" t="s">
        <v>1573</v>
      </c>
      <c r="J1206" s="2" t="str">
        <f t="shared" si="3"/>
        <v>Air mineral</v>
      </c>
      <c r="K1206" s="7">
        <f>if(RIGHT(I1206,5)="2 pcs",2,Data!I1206)</f>
        <v>1</v>
      </c>
      <c r="L1206" s="2" t="str">
        <f t="shared" si="4"/>
        <v>Saturday</v>
      </c>
      <c r="M1206" s="2" t="str">
        <f t="shared" si="5"/>
        <v>7</v>
      </c>
      <c r="N1206" s="2">
        <f>VLOOKUP(L1206,'Data Info'!$A$1:$B$8,2,0)</f>
        <v>6</v>
      </c>
      <c r="O1206" s="2" t="str">
        <f>VLOOKUP(L1206,'Data Info'!$A$1:$C$8,3,0)</f>
        <v>Weekend</v>
      </c>
    </row>
    <row r="1207">
      <c r="A1207" s="4">
        <v>45542.55069444444</v>
      </c>
      <c r="B1207" s="9">
        <f>IFERROR(__xludf.DUMMYFUNCTION("SPLIT(A1207,"" "")"),45542.0)</f>
        <v>45542</v>
      </c>
      <c r="C1207" s="10">
        <f>IFERROR(__xludf.DUMMYFUNCTION("""COMPUTED_VALUE"""),0.5506944444444445)</f>
        <v>0.5506944444</v>
      </c>
      <c r="D1207" s="2">
        <f t="shared" si="1"/>
        <v>13</v>
      </c>
      <c r="E1207" s="2">
        <f>IFERROR(__xludf.DUMMYFUNCTION("SPLIT(B1207,""/"")"),7.0)</f>
        <v>7</v>
      </c>
      <c r="F1207" s="2">
        <f>IFERROR(__xludf.DUMMYFUNCTION("""COMPUTED_VALUE"""),9.0)</f>
        <v>9</v>
      </c>
      <c r="G1207" s="2">
        <f>IFERROR(__xludf.DUMMYFUNCTION("""COMPUTED_VALUE"""),2024.0)</f>
        <v>2024</v>
      </c>
      <c r="H1207" s="2" t="str">
        <f t="shared" si="2"/>
        <v>2024/9/7</v>
      </c>
      <c r="I1207" s="2" t="s">
        <v>1609</v>
      </c>
      <c r="J1207" s="2" t="str">
        <f t="shared" si="3"/>
        <v>Tempe Mendoan</v>
      </c>
      <c r="K1207" s="7">
        <f>if(RIGHT(I1207,5)="2 pcs",2,Data!I1207)</f>
        <v>1</v>
      </c>
      <c r="L1207" s="2" t="str">
        <f t="shared" si="4"/>
        <v>Saturday</v>
      </c>
      <c r="M1207" s="2" t="str">
        <f t="shared" si="5"/>
        <v>7</v>
      </c>
      <c r="N1207" s="2">
        <f>VLOOKUP(L1207,'Data Info'!$A$1:$B$8,2,0)</f>
        <v>6</v>
      </c>
      <c r="O1207" s="2" t="str">
        <f>VLOOKUP(L1207,'Data Info'!$A$1:$C$8,3,0)</f>
        <v>Weekend</v>
      </c>
    </row>
    <row r="1208">
      <c r="A1208" s="4">
        <v>45542.53888888889</v>
      </c>
      <c r="B1208" s="9">
        <f>IFERROR(__xludf.DUMMYFUNCTION("SPLIT(A1208,"" "")"),45542.0)</f>
        <v>45542</v>
      </c>
      <c r="C1208" s="10">
        <f>IFERROR(__xludf.DUMMYFUNCTION("""COMPUTED_VALUE"""),0.5388888888888889)</f>
        <v>0.5388888889</v>
      </c>
      <c r="D1208" s="2">
        <f t="shared" si="1"/>
        <v>12</v>
      </c>
      <c r="E1208" s="2">
        <f>IFERROR(__xludf.DUMMYFUNCTION("SPLIT(B1208,""/"")"),7.0)</f>
        <v>7</v>
      </c>
      <c r="F1208" s="2">
        <f>IFERROR(__xludf.DUMMYFUNCTION("""COMPUTED_VALUE"""),9.0)</f>
        <v>9</v>
      </c>
      <c r="G1208" s="2">
        <f>IFERROR(__xludf.DUMMYFUNCTION("""COMPUTED_VALUE"""),2024.0)</f>
        <v>2024</v>
      </c>
      <c r="H1208" s="2" t="str">
        <f t="shared" si="2"/>
        <v>2024/9/7</v>
      </c>
      <c r="I1208" s="2" t="s">
        <v>1584</v>
      </c>
      <c r="J1208" s="2" t="str">
        <f t="shared" si="3"/>
        <v>Korean Mango Fresh Milk</v>
      </c>
      <c r="K1208" s="7">
        <f>if(RIGHT(I1208,5)="2 pcs",2,Data!I1208)</f>
        <v>2</v>
      </c>
      <c r="L1208" s="2" t="str">
        <f t="shared" si="4"/>
        <v>Saturday</v>
      </c>
      <c r="M1208" s="2" t="str">
        <f t="shared" si="5"/>
        <v>7</v>
      </c>
      <c r="N1208" s="2">
        <f>VLOOKUP(L1208,'Data Info'!$A$1:$B$8,2,0)</f>
        <v>6</v>
      </c>
      <c r="O1208" s="2" t="str">
        <f>VLOOKUP(L1208,'Data Info'!$A$1:$C$8,3,0)</f>
        <v>Weekend</v>
      </c>
    </row>
    <row r="1209">
      <c r="A1209" s="4">
        <v>45542.53888888889</v>
      </c>
      <c r="B1209" s="9">
        <f>IFERROR(__xludf.DUMMYFUNCTION("SPLIT(A1209,"" "")"),45542.0)</f>
        <v>45542</v>
      </c>
      <c r="C1209" s="10">
        <f>IFERROR(__xludf.DUMMYFUNCTION("""COMPUTED_VALUE"""),0.5388888888888889)</f>
        <v>0.5388888889</v>
      </c>
      <c r="D1209" s="2">
        <f t="shared" si="1"/>
        <v>12</v>
      </c>
      <c r="E1209" s="2">
        <f>IFERROR(__xludf.DUMMYFUNCTION("SPLIT(B1209,""/"")"),7.0)</f>
        <v>7</v>
      </c>
      <c r="F1209" s="2">
        <f>IFERROR(__xludf.DUMMYFUNCTION("""COMPUTED_VALUE"""),9.0)</f>
        <v>9</v>
      </c>
      <c r="G1209" s="2">
        <f>IFERROR(__xludf.DUMMYFUNCTION("""COMPUTED_VALUE"""),2024.0)</f>
        <v>2024</v>
      </c>
      <c r="H1209" s="2" t="str">
        <f t="shared" si="2"/>
        <v>2024/9/7</v>
      </c>
      <c r="I1209" s="2" t="s">
        <v>1586</v>
      </c>
      <c r="J1209" s="2" t="str">
        <f t="shared" si="3"/>
        <v>Jamur Enoki Krispi</v>
      </c>
      <c r="K1209" s="7">
        <f>if(RIGHT(I1209,5)="2 pcs",2,Data!I1209)</f>
        <v>1</v>
      </c>
      <c r="L1209" s="2" t="str">
        <f t="shared" si="4"/>
        <v>Saturday</v>
      </c>
      <c r="M1209" s="2" t="str">
        <f t="shared" si="5"/>
        <v>7</v>
      </c>
      <c r="N1209" s="2">
        <f>VLOOKUP(L1209,'Data Info'!$A$1:$B$8,2,0)</f>
        <v>6</v>
      </c>
      <c r="O1209" s="2" t="str">
        <f>VLOOKUP(L1209,'Data Info'!$A$1:$C$8,3,0)</f>
        <v>Weekend</v>
      </c>
    </row>
    <row r="1210">
      <c r="A1210" s="4">
        <v>45542.407638888886</v>
      </c>
      <c r="B1210" s="9">
        <f>IFERROR(__xludf.DUMMYFUNCTION("SPLIT(A1210,"" "")"),45542.0)</f>
        <v>45542</v>
      </c>
      <c r="C1210" s="10">
        <f>IFERROR(__xludf.DUMMYFUNCTION("""COMPUTED_VALUE"""),0.4076388888888889)</f>
        <v>0.4076388889</v>
      </c>
      <c r="D1210" s="2">
        <f t="shared" si="1"/>
        <v>9</v>
      </c>
      <c r="E1210" s="2">
        <f>IFERROR(__xludf.DUMMYFUNCTION("SPLIT(B1210,""/"")"),7.0)</f>
        <v>7</v>
      </c>
      <c r="F1210" s="2">
        <f>IFERROR(__xludf.DUMMYFUNCTION("""COMPUTED_VALUE"""),9.0)</f>
        <v>9</v>
      </c>
      <c r="G1210" s="2">
        <f>IFERROR(__xludf.DUMMYFUNCTION("""COMPUTED_VALUE"""),2024.0)</f>
        <v>2024</v>
      </c>
      <c r="H1210" s="2" t="str">
        <f t="shared" si="2"/>
        <v>2024/9/7</v>
      </c>
      <c r="I1210" s="2" t="s">
        <v>1588</v>
      </c>
      <c r="J1210" s="2" t="str">
        <f t="shared" si="3"/>
        <v>Es Kopi Susu</v>
      </c>
      <c r="K1210" s="7">
        <f>if(RIGHT(I1210,5)="2 pcs",2,Data!I1210)</f>
        <v>2</v>
      </c>
      <c r="L1210" s="2" t="str">
        <f t="shared" si="4"/>
        <v>Saturday</v>
      </c>
      <c r="M1210" s="2" t="str">
        <f t="shared" si="5"/>
        <v>7</v>
      </c>
      <c r="N1210" s="2">
        <f>VLOOKUP(L1210,'Data Info'!$A$1:$B$8,2,0)</f>
        <v>6</v>
      </c>
      <c r="O1210" s="2" t="str">
        <f>VLOOKUP(L1210,'Data Info'!$A$1:$C$8,3,0)</f>
        <v>Weekend</v>
      </c>
    </row>
    <row r="1211">
      <c r="A1211" s="4">
        <v>45542.407638888886</v>
      </c>
      <c r="B1211" s="9">
        <f>IFERROR(__xludf.DUMMYFUNCTION("SPLIT(A1211,"" "")"),45542.0)</f>
        <v>45542</v>
      </c>
      <c r="C1211" s="10">
        <f>IFERROR(__xludf.DUMMYFUNCTION("""COMPUTED_VALUE"""),0.4076388888888889)</f>
        <v>0.4076388889</v>
      </c>
      <c r="D1211" s="2">
        <f t="shared" si="1"/>
        <v>9</v>
      </c>
      <c r="E1211" s="2">
        <f>IFERROR(__xludf.DUMMYFUNCTION("SPLIT(B1211,""/"")"),7.0)</f>
        <v>7</v>
      </c>
      <c r="F1211" s="2">
        <f>IFERROR(__xludf.DUMMYFUNCTION("""COMPUTED_VALUE"""),9.0)</f>
        <v>9</v>
      </c>
      <c r="G1211" s="2">
        <f>IFERROR(__xludf.DUMMYFUNCTION("""COMPUTED_VALUE"""),2024.0)</f>
        <v>2024</v>
      </c>
      <c r="H1211" s="2" t="str">
        <f t="shared" si="2"/>
        <v>2024/9/7</v>
      </c>
      <c r="I1211" s="2" t="s">
        <v>1615</v>
      </c>
      <c r="J1211" s="2" t="str">
        <f t="shared" si="3"/>
        <v>Roti panggang sarikaya</v>
      </c>
      <c r="K1211" s="7">
        <f>if(RIGHT(I1211,5)="2 pcs",2,Data!I1211)</f>
        <v>1</v>
      </c>
      <c r="L1211" s="2" t="str">
        <f t="shared" si="4"/>
        <v>Saturday</v>
      </c>
      <c r="M1211" s="2" t="str">
        <f t="shared" si="5"/>
        <v>7</v>
      </c>
      <c r="N1211" s="2">
        <f>VLOOKUP(L1211,'Data Info'!$A$1:$B$8,2,0)</f>
        <v>6</v>
      </c>
      <c r="O1211" s="2" t="str">
        <f>VLOOKUP(L1211,'Data Info'!$A$1:$C$8,3,0)</f>
        <v>Weekend</v>
      </c>
    </row>
    <row r="1212">
      <c r="A1212" s="4">
        <v>45542.407638888886</v>
      </c>
      <c r="B1212" s="9">
        <f>IFERROR(__xludf.DUMMYFUNCTION("SPLIT(A1212,"" "")"),45542.0)</f>
        <v>45542</v>
      </c>
      <c r="C1212" s="10">
        <f>IFERROR(__xludf.DUMMYFUNCTION("""COMPUTED_VALUE"""),0.4076388888888889)</f>
        <v>0.4076388889</v>
      </c>
      <c r="D1212" s="2">
        <f t="shared" si="1"/>
        <v>9</v>
      </c>
      <c r="E1212" s="2">
        <f>IFERROR(__xludf.DUMMYFUNCTION("SPLIT(B1212,""/"")"),7.0)</f>
        <v>7</v>
      </c>
      <c r="F1212" s="2">
        <f>IFERROR(__xludf.DUMMYFUNCTION("""COMPUTED_VALUE"""),9.0)</f>
        <v>9</v>
      </c>
      <c r="G1212" s="2">
        <f>IFERROR(__xludf.DUMMYFUNCTION("""COMPUTED_VALUE"""),2024.0)</f>
        <v>2024</v>
      </c>
      <c r="H1212" s="2" t="str">
        <f t="shared" si="2"/>
        <v>2024/9/7</v>
      </c>
      <c r="I1212" s="2" t="s">
        <v>1579</v>
      </c>
      <c r="J1212" s="2" t="str">
        <f t="shared" si="3"/>
        <v>Tahu baso</v>
      </c>
      <c r="K1212" s="7">
        <f>if(RIGHT(I1212,5)="2 pcs",2,Data!I1212)</f>
        <v>1</v>
      </c>
      <c r="L1212" s="2" t="str">
        <f t="shared" si="4"/>
        <v>Saturday</v>
      </c>
      <c r="M1212" s="2" t="str">
        <f t="shared" si="5"/>
        <v>7</v>
      </c>
      <c r="N1212" s="2">
        <f>VLOOKUP(L1212,'Data Info'!$A$1:$B$8,2,0)</f>
        <v>6</v>
      </c>
      <c r="O1212" s="2" t="str">
        <f>VLOOKUP(L1212,'Data Info'!$A$1:$C$8,3,0)</f>
        <v>Weekend</v>
      </c>
    </row>
    <row r="1213">
      <c r="A1213" s="4">
        <v>45542.407638888886</v>
      </c>
      <c r="B1213" s="9">
        <f>IFERROR(__xludf.DUMMYFUNCTION("SPLIT(A1213,"" "")"),45542.0)</f>
        <v>45542</v>
      </c>
      <c r="C1213" s="10">
        <f>IFERROR(__xludf.DUMMYFUNCTION("""COMPUTED_VALUE"""),0.4076388888888889)</f>
        <v>0.4076388889</v>
      </c>
      <c r="D1213" s="2">
        <f t="shared" si="1"/>
        <v>9</v>
      </c>
      <c r="E1213" s="2">
        <f>IFERROR(__xludf.DUMMYFUNCTION("SPLIT(B1213,""/"")"),7.0)</f>
        <v>7</v>
      </c>
      <c r="F1213" s="2">
        <f>IFERROR(__xludf.DUMMYFUNCTION("""COMPUTED_VALUE"""),9.0)</f>
        <v>9</v>
      </c>
      <c r="G1213" s="2">
        <f>IFERROR(__xludf.DUMMYFUNCTION("""COMPUTED_VALUE"""),2024.0)</f>
        <v>2024</v>
      </c>
      <c r="H1213" s="2" t="str">
        <f t="shared" si="2"/>
        <v>2024/9/7</v>
      </c>
      <c r="I1213" s="2" t="s">
        <v>1576</v>
      </c>
      <c r="J1213" s="2" t="str">
        <f t="shared" si="3"/>
        <v>Roti Cranberry</v>
      </c>
      <c r="K1213" s="7">
        <f>if(RIGHT(I1213,5)="2 pcs",2,Data!I1213)</f>
        <v>1</v>
      </c>
      <c r="L1213" s="2" t="str">
        <f t="shared" si="4"/>
        <v>Saturday</v>
      </c>
      <c r="M1213" s="2" t="str">
        <f t="shared" si="5"/>
        <v>7</v>
      </c>
      <c r="N1213" s="2">
        <f>VLOOKUP(L1213,'Data Info'!$A$1:$B$8,2,0)</f>
        <v>6</v>
      </c>
      <c r="O1213" s="2" t="str">
        <f>VLOOKUP(L1213,'Data Info'!$A$1:$C$8,3,0)</f>
        <v>Weekend</v>
      </c>
    </row>
    <row r="1214">
      <c r="A1214" s="4">
        <v>45541.8</v>
      </c>
      <c r="B1214" s="9">
        <f>IFERROR(__xludf.DUMMYFUNCTION("SPLIT(A1214,"" "")"),45541.0)</f>
        <v>45541</v>
      </c>
      <c r="C1214" s="10">
        <f>IFERROR(__xludf.DUMMYFUNCTION("""COMPUTED_VALUE"""),0.8)</f>
        <v>0.8</v>
      </c>
      <c r="D1214" s="2">
        <f t="shared" si="1"/>
        <v>19</v>
      </c>
      <c r="E1214" s="2">
        <f>IFERROR(__xludf.DUMMYFUNCTION("SPLIT(B1214,""/"")"),6.0)</f>
        <v>6</v>
      </c>
      <c r="F1214" s="2">
        <f>IFERROR(__xludf.DUMMYFUNCTION("""COMPUTED_VALUE"""),9.0)</f>
        <v>9</v>
      </c>
      <c r="G1214" s="2">
        <f>IFERROR(__xludf.DUMMYFUNCTION("""COMPUTED_VALUE"""),2024.0)</f>
        <v>2024</v>
      </c>
      <c r="H1214" s="2" t="str">
        <f t="shared" si="2"/>
        <v>2024/9/6</v>
      </c>
      <c r="I1214" s="2" t="s">
        <v>1573</v>
      </c>
      <c r="J1214" s="2" t="str">
        <f t="shared" si="3"/>
        <v>Air mineral</v>
      </c>
      <c r="K1214" s="7">
        <f>if(RIGHT(I1214,5)="2 pcs",2,Data!I1214)</f>
        <v>1</v>
      </c>
      <c r="L1214" s="2" t="str">
        <f t="shared" si="4"/>
        <v>Friday</v>
      </c>
      <c r="M1214" s="2" t="str">
        <f t="shared" si="5"/>
        <v>6</v>
      </c>
      <c r="N1214" s="2">
        <f>VLOOKUP(L1214,'Data Info'!$A$1:$B$8,2,0)</f>
        <v>5</v>
      </c>
      <c r="O1214" s="2" t="str">
        <f>VLOOKUP(L1214,'Data Info'!$A$1:$C$8,3,0)</f>
        <v>Weekday</v>
      </c>
    </row>
    <row r="1215">
      <c r="A1215" s="4">
        <v>45541.74930555555</v>
      </c>
      <c r="B1215" s="9">
        <f>IFERROR(__xludf.DUMMYFUNCTION("SPLIT(A1215,"" "")"),45541.0)</f>
        <v>45541</v>
      </c>
      <c r="C1215" s="10">
        <f>IFERROR(__xludf.DUMMYFUNCTION("""COMPUTED_VALUE"""),0.7493055555555556)</f>
        <v>0.7493055556</v>
      </c>
      <c r="D1215" s="2">
        <f t="shared" si="1"/>
        <v>17</v>
      </c>
      <c r="E1215" s="2">
        <f>IFERROR(__xludf.DUMMYFUNCTION("SPLIT(B1215,""/"")"),6.0)</f>
        <v>6</v>
      </c>
      <c r="F1215" s="2">
        <f>IFERROR(__xludf.DUMMYFUNCTION("""COMPUTED_VALUE"""),9.0)</f>
        <v>9</v>
      </c>
      <c r="G1215" s="2">
        <f>IFERROR(__xludf.DUMMYFUNCTION("""COMPUTED_VALUE"""),2024.0)</f>
        <v>2024</v>
      </c>
      <c r="H1215" s="2" t="str">
        <f t="shared" si="2"/>
        <v>2024/9/6</v>
      </c>
      <c r="I1215" s="2" t="s">
        <v>1605</v>
      </c>
      <c r="J1215" s="2" t="str">
        <f t="shared" si="3"/>
        <v>Kentang Goreng</v>
      </c>
      <c r="K1215" s="7">
        <f>if(RIGHT(I1215,5)="2 pcs",2,Data!I1215)</f>
        <v>1</v>
      </c>
      <c r="L1215" s="2" t="str">
        <f t="shared" si="4"/>
        <v>Friday</v>
      </c>
      <c r="M1215" s="2" t="str">
        <f t="shared" si="5"/>
        <v>6</v>
      </c>
      <c r="N1215" s="2">
        <f>VLOOKUP(L1215,'Data Info'!$A$1:$B$8,2,0)</f>
        <v>5</v>
      </c>
      <c r="O1215" s="2" t="str">
        <f>VLOOKUP(L1215,'Data Info'!$A$1:$C$8,3,0)</f>
        <v>Weekday</v>
      </c>
    </row>
    <row r="1216">
      <c r="A1216" s="4">
        <v>45541.74930555555</v>
      </c>
      <c r="B1216" s="9">
        <f>IFERROR(__xludf.DUMMYFUNCTION("SPLIT(A1216,"" "")"),45541.0)</f>
        <v>45541</v>
      </c>
      <c r="C1216" s="10">
        <f>IFERROR(__xludf.DUMMYFUNCTION("""COMPUTED_VALUE"""),0.7493055555555556)</f>
        <v>0.7493055556</v>
      </c>
      <c r="D1216" s="2">
        <f t="shared" si="1"/>
        <v>17</v>
      </c>
      <c r="E1216" s="2">
        <f>IFERROR(__xludf.DUMMYFUNCTION("SPLIT(B1216,""/"")"),6.0)</f>
        <v>6</v>
      </c>
      <c r="F1216" s="2">
        <f>IFERROR(__xludf.DUMMYFUNCTION("""COMPUTED_VALUE"""),9.0)</f>
        <v>9</v>
      </c>
      <c r="G1216" s="2">
        <f>IFERROR(__xludf.DUMMYFUNCTION("""COMPUTED_VALUE"""),2024.0)</f>
        <v>2024</v>
      </c>
      <c r="H1216" s="2" t="str">
        <f t="shared" si="2"/>
        <v>2024/9/6</v>
      </c>
      <c r="I1216" s="2" t="s">
        <v>1576</v>
      </c>
      <c r="J1216" s="2" t="str">
        <f t="shared" si="3"/>
        <v>Roti Cranberry</v>
      </c>
      <c r="K1216" s="7">
        <f>if(RIGHT(I1216,5)="2 pcs",2,Data!I1216)</f>
        <v>1</v>
      </c>
      <c r="L1216" s="2" t="str">
        <f t="shared" si="4"/>
        <v>Friday</v>
      </c>
      <c r="M1216" s="2" t="str">
        <f t="shared" si="5"/>
        <v>6</v>
      </c>
      <c r="N1216" s="2">
        <f>VLOOKUP(L1216,'Data Info'!$A$1:$B$8,2,0)</f>
        <v>5</v>
      </c>
      <c r="O1216" s="2" t="str">
        <f>VLOOKUP(L1216,'Data Info'!$A$1:$C$8,3,0)</f>
        <v>Weekday</v>
      </c>
    </row>
    <row r="1217">
      <c r="A1217" s="4">
        <v>45541.71319444444</v>
      </c>
      <c r="B1217" s="9">
        <f>IFERROR(__xludf.DUMMYFUNCTION("SPLIT(A1217,"" "")"),45541.0)</f>
        <v>45541</v>
      </c>
      <c r="C1217" s="10">
        <f>IFERROR(__xludf.DUMMYFUNCTION("""COMPUTED_VALUE"""),0.7131944444444445)</f>
        <v>0.7131944444</v>
      </c>
      <c r="D1217" s="2">
        <f t="shared" si="1"/>
        <v>17</v>
      </c>
      <c r="E1217" s="2">
        <f>IFERROR(__xludf.DUMMYFUNCTION("SPLIT(B1217,""/"")"),6.0)</f>
        <v>6</v>
      </c>
      <c r="F1217" s="2">
        <f>IFERROR(__xludf.DUMMYFUNCTION("""COMPUTED_VALUE"""),9.0)</f>
        <v>9</v>
      </c>
      <c r="G1217" s="2">
        <f>IFERROR(__xludf.DUMMYFUNCTION("""COMPUTED_VALUE"""),2024.0)</f>
        <v>2024</v>
      </c>
      <c r="H1217" s="2" t="str">
        <f t="shared" si="2"/>
        <v>2024/9/6</v>
      </c>
      <c r="I1217" s="2" t="s">
        <v>1596</v>
      </c>
      <c r="J1217" s="2" t="str">
        <f t="shared" si="3"/>
        <v>Roti Cranberry</v>
      </c>
      <c r="K1217" s="7">
        <f>if(RIGHT(I1217,5)="2 pcs",2,Data!I1217)</f>
        <v>2</v>
      </c>
      <c r="L1217" s="2" t="str">
        <f t="shared" si="4"/>
        <v>Friday</v>
      </c>
      <c r="M1217" s="2" t="str">
        <f t="shared" si="5"/>
        <v>6</v>
      </c>
      <c r="N1217" s="2">
        <f>VLOOKUP(L1217,'Data Info'!$A$1:$B$8,2,0)</f>
        <v>5</v>
      </c>
      <c r="O1217" s="2" t="str">
        <f>VLOOKUP(L1217,'Data Info'!$A$1:$C$8,3,0)</f>
        <v>Weekday</v>
      </c>
    </row>
    <row r="1218">
      <c r="A1218" s="4">
        <v>45541.71319444444</v>
      </c>
      <c r="B1218" s="9">
        <f>IFERROR(__xludf.DUMMYFUNCTION("SPLIT(A1218,"" "")"),45541.0)</f>
        <v>45541</v>
      </c>
      <c r="C1218" s="10">
        <f>IFERROR(__xludf.DUMMYFUNCTION("""COMPUTED_VALUE"""),0.7131944444444445)</f>
        <v>0.7131944444</v>
      </c>
      <c r="D1218" s="2">
        <f t="shared" si="1"/>
        <v>17</v>
      </c>
      <c r="E1218" s="2">
        <f>IFERROR(__xludf.DUMMYFUNCTION("SPLIT(B1218,""/"")"),6.0)</f>
        <v>6</v>
      </c>
      <c r="F1218" s="2">
        <f>IFERROR(__xludf.DUMMYFUNCTION("""COMPUTED_VALUE"""),9.0)</f>
        <v>9</v>
      </c>
      <c r="G1218" s="2">
        <f>IFERROR(__xludf.DUMMYFUNCTION("""COMPUTED_VALUE"""),2024.0)</f>
        <v>2024</v>
      </c>
      <c r="H1218" s="2" t="str">
        <f t="shared" si="2"/>
        <v>2024/9/6</v>
      </c>
      <c r="I1218" s="2" t="s">
        <v>1597</v>
      </c>
      <c r="J1218" s="2" t="str">
        <f t="shared" si="3"/>
        <v>Roti Gandum Cokelat</v>
      </c>
      <c r="K1218" s="7">
        <f>if(RIGHT(I1218,5)="2 pcs",2,Data!I1218)</f>
        <v>2</v>
      </c>
      <c r="L1218" s="2" t="str">
        <f t="shared" si="4"/>
        <v>Friday</v>
      </c>
      <c r="M1218" s="2" t="str">
        <f t="shared" si="5"/>
        <v>6</v>
      </c>
      <c r="N1218" s="2">
        <f>VLOOKUP(L1218,'Data Info'!$A$1:$B$8,2,0)</f>
        <v>5</v>
      </c>
      <c r="O1218" s="2" t="str">
        <f>VLOOKUP(L1218,'Data Info'!$A$1:$C$8,3,0)</f>
        <v>Weekday</v>
      </c>
    </row>
    <row r="1219">
      <c r="A1219" s="4">
        <v>45541.68263888889</v>
      </c>
      <c r="B1219" s="9">
        <f>IFERROR(__xludf.DUMMYFUNCTION("SPLIT(A1219,"" "")"),45541.0)</f>
        <v>45541</v>
      </c>
      <c r="C1219" s="10">
        <f>IFERROR(__xludf.DUMMYFUNCTION("""COMPUTED_VALUE"""),0.6826388888888889)</f>
        <v>0.6826388889</v>
      </c>
      <c r="D1219" s="2">
        <f t="shared" si="1"/>
        <v>16</v>
      </c>
      <c r="E1219" s="2">
        <f>IFERROR(__xludf.DUMMYFUNCTION("SPLIT(B1219,""/"")"),6.0)</f>
        <v>6</v>
      </c>
      <c r="F1219" s="2">
        <f>IFERROR(__xludf.DUMMYFUNCTION("""COMPUTED_VALUE"""),9.0)</f>
        <v>9</v>
      </c>
      <c r="G1219" s="2">
        <f>IFERROR(__xludf.DUMMYFUNCTION("""COMPUTED_VALUE"""),2024.0)</f>
        <v>2024</v>
      </c>
      <c r="H1219" s="2" t="str">
        <f t="shared" si="2"/>
        <v>2024/9/6</v>
      </c>
      <c r="I1219" s="2" t="s">
        <v>1588</v>
      </c>
      <c r="J1219" s="2" t="str">
        <f t="shared" si="3"/>
        <v>Es Kopi Susu</v>
      </c>
      <c r="K1219" s="7">
        <f>if(RIGHT(I1219,5)="2 pcs",2,Data!I1219)</f>
        <v>1</v>
      </c>
      <c r="L1219" s="2" t="str">
        <f t="shared" si="4"/>
        <v>Friday</v>
      </c>
      <c r="M1219" s="2" t="str">
        <f t="shared" si="5"/>
        <v>6</v>
      </c>
      <c r="N1219" s="2">
        <f>VLOOKUP(L1219,'Data Info'!$A$1:$B$8,2,0)</f>
        <v>5</v>
      </c>
      <c r="O1219" s="2" t="str">
        <f>VLOOKUP(L1219,'Data Info'!$A$1:$C$8,3,0)</f>
        <v>Weekday</v>
      </c>
    </row>
    <row r="1220">
      <c r="A1220" s="4">
        <v>45541.680555555555</v>
      </c>
      <c r="B1220" s="9">
        <f>IFERROR(__xludf.DUMMYFUNCTION("SPLIT(A1220,"" "")"),45541.0)</f>
        <v>45541</v>
      </c>
      <c r="C1220" s="10">
        <f>IFERROR(__xludf.DUMMYFUNCTION("""COMPUTED_VALUE"""),0.6805555555555556)</f>
        <v>0.6805555556</v>
      </c>
      <c r="D1220" s="2">
        <f t="shared" si="1"/>
        <v>16</v>
      </c>
      <c r="E1220" s="2">
        <f>IFERROR(__xludf.DUMMYFUNCTION("SPLIT(B1220,""/"")"),6.0)</f>
        <v>6</v>
      </c>
      <c r="F1220" s="2">
        <f>IFERROR(__xludf.DUMMYFUNCTION("""COMPUTED_VALUE"""),9.0)</f>
        <v>9</v>
      </c>
      <c r="G1220" s="2">
        <f>IFERROR(__xludf.DUMMYFUNCTION("""COMPUTED_VALUE"""),2024.0)</f>
        <v>2024</v>
      </c>
      <c r="H1220" s="2" t="str">
        <f t="shared" si="2"/>
        <v>2024/9/6</v>
      </c>
      <c r="I1220" s="2" t="s">
        <v>1576</v>
      </c>
      <c r="J1220" s="2" t="str">
        <f t="shared" si="3"/>
        <v>Roti Cranberry</v>
      </c>
      <c r="K1220" s="7">
        <f>if(RIGHT(I1220,5)="2 pcs",2,Data!I1220)</f>
        <v>1</v>
      </c>
      <c r="L1220" s="2" t="str">
        <f t="shared" si="4"/>
        <v>Friday</v>
      </c>
      <c r="M1220" s="2" t="str">
        <f t="shared" si="5"/>
        <v>6</v>
      </c>
      <c r="N1220" s="2">
        <f>VLOOKUP(L1220,'Data Info'!$A$1:$B$8,2,0)</f>
        <v>5</v>
      </c>
      <c r="O1220" s="2" t="str">
        <f>VLOOKUP(L1220,'Data Info'!$A$1:$C$8,3,0)</f>
        <v>Weekday</v>
      </c>
    </row>
    <row r="1221">
      <c r="A1221" s="4">
        <v>45541.680555555555</v>
      </c>
      <c r="B1221" s="9">
        <f>IFERROR(__xludf.DUMMYFUNCTION("SPLIT(A1221,"" "")"),45541.0)</f>
        <v>45541</v>
      </c>
      <c r="C1221" s="10">
        <f>IFERROR(__xludf.DUMMYFUNCTION("""COMPUTED_VALUE"""),0.6805555555555556)</f>
        <v>0.6805555556</v>
      </c>
      <c r="D1221" s="2">
        <f t="shared" si="1"/>
        <v>16</v>
      </c>
      <c r="E1221" s="2">
        <f>IFERROR(__xludf.DUMMYFUNCTION("SPLIT(B1221,""/"")"),6.0)</f>
        <v>6</v>
      </c>
      <c r="F1221" s="2">
        <f>IFERROR(__xludf.DUMMYFUNCTION("""COMPUTED_VALUE"""),9.0)</f>
        <v>9</v>
      </c>
      <c r="G1221" s="2">
        <f>IFERROR(__xludf.DUMMYFUNCTION("""COMPUTED_VALUE"""),2024.0)</f>
        <v>2024</v>
      </c>
      <c r="H1221" s="2" t="str">
        <f t="shared" si="2"/>
        <v>2024/9/6</v>
      </c>
      <c r="I1221" s="2" t="s">
        <v>1633</v>
      </c>
      <c r="J1221" s="2" t="str">
        <f t="shared" si="3"/>
        <v>Jasmine Green Sencha Hot Artisan Tea</v>
      </c>
      <c r="K1221" s="7">
        <f>if(RIGHT(I1221,5)="2 pcs",2,Data!I1221)</f>
        <v>1</v>
      </c>
      <c r="L1221" s="2" t="str">
        <f t="shared" si="4"/>
        <v>Friday</v>
      </c>
      <c r="M1221" s="2" t="str">
        <f t="shared" si="5"/>
        <v>6</v>
      </c>
      <c r="N1221" s="2">
        <f>VLOOKUP(L1221,'Data Info'!$A$1:$B$8,2,0)</f>
        <v>5</v>
      </c>
      <c r="O1221" s="2" t="str">
        <f>VLOOKUP(L1221,'Data Info'!$A$1:$C$8,3,0)</f>
        <v>Weekday</v>
      </c>
    </row>
    <row r="1222">
      <c r="A1222" s="4">
        <v>45541.680555555555</v>
      </c>
      <c r="B1222" s="9">
        <f>IFERROR(__xludf.DUMMYFUNCTION("SPLIT(A1222,"" "")"),45541.0)</f>
        <v>45541</v>
      </c>
      <c r="C1222" s="10">
        <f>IFERROR(__xludf.DUMMYFUNCTION("""COMPUTED_VALUE"""),0.6805555555555556)</f>
        <v>0.6805555556</v>
      </c>
      <c r="D1222" s="2">
        <f t="shared" si="1"/>
        <v>16</v>
      </c>
      <c r="E1222" s="2">
        <f>IFERROR(__xludf.DUMMYFUNCTION("SPLIT(B1222,""/"")"),6.0)</f>
        <v>6</v>
      </c>
      <c r="F1222" s="2">
        <f>IFERROR(__xludf.DUMMYFUNCTION("""COMPUTED_VALUE"""),9.0)</f>
        <v>9</v>
      </c>
      <c r="G1222" s="2">
        <f>IFERROR(__xludf.DUMMYFUNCTION("""COMPUTED_VALUE"""),2024.0)</f>
        <v>2024</v>
      </c>
      <c r="H1222" s="2" t="str">
        <f t="shared" si="2"/>
        <v>2024/9/6</v>
      </c>
      <c r="I1222" s="2" t="s">
        <v>1609</v>
      </c>
      <c r="J1222" s="2" t="str">
        <f t="shared" si="3"/>
        <v>Tempe Mendoan</v>
      </c>
      <c r="K1222" s="7">
        <f>if(RIGHT(I1222,5)="2 pcs",2,Data!I1222)</f>
        <v>1</v>
      </c>
      <c r="L1222" s="2" t="str">
        <f t="shared" si="4"/>
        <v>Friday</v>
      </c>
      <c r="M1222" s="2" t="str">
        <f t="shared" si="5"/>
        <v>6</v>
      </c>
      <c r="N1222" s="2">
        <f>VLOOKUP(L1222,'Data Info'!$A$1:$B$8,2,0)</f>
        <v>5</v>
      </c>
      <c r="O1222" s="2" t="str">
        <f>VLOOKUP(L1222,'Data Info'!$A$1:$C$8,3,0)</f>
        <v>Weekday</v>
      </c>
    </row>
    <row r="1223">
      <c r="A1223" s="4">
        <v>45541.67847222222</v>
      </c>
      <c r="B1223" s="9">
        <f>IFERROR(__xludf.DUMMYFUNCTION("SPLIT(A1223,"" "")"),45541.0)</f>
        <v>45541</v>
      </c>
      <c r="C1223" s="10">
        <f>IFERROR(__xludf.DUMMYFUNCTION("""COMPUTED_VALUE"""),0.6784722222222223)</f>
        <v>0.6784722222</v>
      </c>
      <c r="D1223" s="2">
        <f t="shared" si="1"/>
        <v>16</v>
      </c>
      <c r="E1223" s="2">
        <f>IFERROR(__xludf.DUMMYFUNCTION("SPLIT(B1223,""/"")"),6.0)</f>
        <v>6</v>
      </c>
      <c r="F1223" s="2">
        <f>IFERROR(__xludf.DUMMYFUNCTION("""COMPUTED_VALUE"""),9.0)</f>
        <v>9</v>
      </c>
      <c r="G1223" s="2">
        <f>IFERROR(__xludf.DUMMYFUNCTION("""COMPUTED_VALUE"""),2024.0)</f>
        <v>2024</v>
      </c>
      <c r="H1223" s="2" t="str">
        <f t="shared" si="2"/>
        <v>2024/9/6</v>
      </c>
      <c r="I1223" s="2" t="s">
        <v>1610</v>
      </c>
      <c r="J1223" s="2" t="str">
        <f t="shared" si="3"/>
        <v>Roti toast eskrim</v>
      </c>
      <c r="K1223" s="7">
        <f>if(RIGHT(I1223,5)="2 pcs",2,Data!I1223)</f>
        <v>1</v>
      </c>
      <c r="L1223" s="2" t="str">
        <f t="shared" si="4"/>
        <v>Friday</v>
      </c>
      <c r="M1223" s="2" t="str">
        <f t="shared" si="5"/>
        <v>6</v>
      </c>
      <c r="N1223" s="2">
        <f>VLOOKUP(L1223,'Data Info'!$A$1:$B$8,2,0)</f>
        <v>5</v>
      </c>
      <c r="O1223" s="2" t="str">
        <f>VLOOKUP(L1223,'Data Info'!$A$1:$C$8,3,0)</f>
        <v>Weekday</v>
      </c>
    </row>
    <row r="1224">
      <c r="A1224" s="4">
        <v>45541.67847222222</v>
      </c>
      <c r="B1224" s="9">
        <f>IFERROR(__xludf.DUMMYFUNCTION("SPLIT(A1224,"" "")"),45541.0)</f>
        <v>45541</v>
      </c>
      <c r="C1224" s="10">
        <f>IFERROR(__xludf.DUMMYFUNCTION("""COMPUTED_VALUE"""),0.6784722222222223)</f>
        <v>0.6784722222</v>
      </c>
      <c r="D1224" s="2">
        <f t="shared" si="1"/>
        <v>16</v>
      </c>
      <c r="E1224" s="2">
        <f>IFERROR(__xludf.DUMMYFUNCTION("SPLIT(B1224,""/"")"),6.0)</f>
        <v>6</v>
      </c>
      <c r="F1224" s="2">
        <f>IFERROR(__xludf.DUMMYFUNCTION("""COMPUTED_VALUE"""),9.0)</f>
        <v>9</v>
      </c>
      <c r="G1224" s="2">
        <f>IFERROR(__xludf.DUMMYFUNCTION("""COMPUTED_VALUE"""),2024.0)</f>
        <v>2024</v>
      </c>
      <c r="H1224" s="2" t="str">
        <f t="shared" si="2"/>
        <v>2024/9/6</v>
      </c>
      <c r="I1224" s="2" t="s">
        <v>1634</v>
      </c>
      <c r="J1224" s="2" t="str">
        <f t="shared" si="3"/>
        <v>Roti coklat</v>
      </c>
      <c r="K1224" s="7">
        <f>if(RIGHT(I1224,5)="2 pcs",2,Data!I1224)</f>
        <v>1</v>
      </c>
      <c r="L1224" s="2" t="str">
        <f t="shared" si="4"/>
        <v>Friday</v>
      </c>
      <c r="M1224" s="2" t="str">
        <f t="shared" si="5"/>
        <v>6</v>
      </c>
      <c r="N1224" s="2">
        <f>VLOOKUP(L1224,'Data Info'!$A$1:$B$8,2,0)</f>
        <v>5</v>
      </c>
      <c r="O1224" s="2" t="str">
        <f>VLOOKUP(L1224,'Data Info'!$A$1:$C$8,3,0)</f>
        <v>Weekday</v>
      </c>
    </row>
    <row r="1225">
      <c r="A1225" s="4">
        <v>45541.67847222222</v>
      </c>
      <c r="B1225" s="9">
        <f>IFERROR(__xludf.DUMMYFUNCTION("SPLIT(A1225,"" "")"),45541.0)</f>
        <v>45541</v>
      </c>
      <c r="C1225" s="10">
        <f>IFERROR(__xludf.DUMMYFUNCTION("""COMPUTED_VALUE"""),0.6784722222222223)</f>
        <v>0.6784722222</v>
      </c>
      <c r="D1225" s="2">
        <f t="shared" si="1"/>
        <v>16</v>
      </c>
      <c r="E1225" s="2">
        <f>IFERROR(__xludf.DUMMYFUNCTION("SPLIT(B1225,""/"")"),6.0)</f>
        <v>6</v>
      </c>
      <c r="F1225" s="2">
        <f>IFERROR(__xludf.DUMMYFUNCTION("""COMPUTED_VALUE"""),9.0)</f>
        <v>9</v>
      </c>
      <c r="G1225" s="2">
        <f>IFERROR(__xludf.DUMMYFUNCTION("""COMPUTED_VALUE"""),2024.0)</f>
        <v>2024</v>
      </c>
      <c r="H1225" s="2" t="str">
        <f t="shared" si="2"/>
        <v>2024/9/6</v>
      </c>
      <c r="I1225" s="2" t="s">
        <v>1573</v>
      </c>
      <c r="J1225" s="2" t="str">
        <f t="shared" si="3"/>
        <v>Air mineral</v>
      </c>
      <c r="K1225" s="7">
        <f>if(RIGHT(I1225,5)="2 pcs",2,Data!I1225)</f>
        <v>1</v>
      </c>
      <c r="L1225" s="2" t="str">
        <f t="shared" si="4"/>
        <v>Friday</v>
      </c>
      <c r="M1225" s="2" t="str">
        <f t="shared" si="5"/>
        <v>6</v>
      </c>
      <c r="N1225" s="2">
        <f>VLOOKUP(L1225,'Data Info'!$A$1:$B$8,2,0)</f>
        <v>5</v>
      </c>
      <c r="O1225" s="2" t="str">
        <f>VLOOKUP(L1225,'Data Info'!$A$1:$C$8,3,0)</f>
        <v>Weekday</v>
      </c>
    </row>
    <row r="1226">
      <c r="A1226" s="4">
        <v>45541.67847222222</v>
      </c>
      <c r="B1226" s="9">
        <f>IFERROR(__xludf.DUMMYFUNCTION("SPLIT(A1226,"" "")"),45541.0)</f>
        <v>45541</v>
      </c>
      <c r="C1226" s="10">
        <f>IFERROR(__xludf.DUMMYFUNCTION("""COMPUTED_VALUE"""),0.6784722222222223)</f>
        <v>0.6784722222</v>
      </c>
      <c r="D1226" s="2">
        <f t="shared" si="1"/>
        <v>16</v>
      </c>
      <c r="E1226" s="2">
        <f>IFERROR(__xludf.DUMMYFUNCTION("SPLIT(B1226,""/"")"),6.0)</f>
        <v>6</v>
      </c>
      <c r="F1226" s="2">
        <f>IFERROR(__xludf.DUMMYFUNCTION("""COMPUTED_VALUE"""),9.0)</f>
        <v>9</v>
      </c>
      <c r="G1226" s="2">
        <f>IFERROR(__xludf.DUMMYFUNCTION("""COMPUTED_VALUE"""),2024.0)</f>
        <v>2024</v>
      </c>
      <c r="H1226" s="2" t="str">
        <f t="shared" si="2"/>
        <v>2024/9/6</v>
      </c>
      <c r="I1226" s="2" t="s">
        <v>1589</v>
      </c>
      <c r="J1226" s="2" t="str">
        <f t="shared" si="3"/>
        <v>Teh Manis Dingin</v>
      </c>
      <c r="K1226" s="7">
        <f>if(RIGHT(I1226,5)="2 pcs",2,Data!I1226)</f>
        <v>1</v>
      </c>
      <c r="L1226" s="2" t="str">
        <f t="shared" si="4"/>
        <v>Friday</v>
      </c>
      <c r="M1226" s="2" t="str">
        <f t="shared" si="5"/>
        <v>6</v>
      </c>
      <c r="N1226" s="2">
        <f>VLOOKUP(L1226,'Data Info'!$A$1:$B$8,2,0)</f>
        <v>5</v>
      </c>
      <c r="O1226" s="2" t="str">
        <f>VLOOKUP(L1226,'Data Info'!$A$1:$C$8,3,0)</f>
        <v>Weekday</v>
      </c>
    </row>
    <row r="1227">
      <c r="A1227" s="4">
        <v>45541.67847222222</v>
      </c>
      <c r="B1227" s="9">
        <f>IFERROR(__xludf.DUMMYFUNCTION("SPLIT(A1227,"" "")"),45541.0)</f>
        <v>45541</v>
      </c>
      <c r="C1227" s="10">
        <f>IFERROR(__xludf.DUMMYFUNCTION("""COMPUTED_VALUE"""),0.6784722222222223)</f>
        <v>0.6784722222</v>
      </c>
      <c r="D1227" s="2">
        <f t="shared" si="1"/>
        <v>16</v>
      </c>
      <c r="E1227" s="2">
        <f>IFERROR(__xludf.DUMMYFUNCTION("SPLIT(B1227,""/"")"),6.0)</f>
        <v>6</v>
      </c>
      <c r="F1227" s="2">
        <f>IFERROR(__xludf.DUMMYFUNCTION("""COMPUTED_VALUE"""),9.0)</f>
        <v>9</v>
      </c>
      <c r="G1227" s="2">
        <f>IFERROR(__xludf.DUMMYFUNCTION("""COMPUTED_VALUE"""),2024.0)</f>
        <v>2024</v>
      </c>
      <c r="H1227" s="2" t="str">
        <f t="shared" si="2"/>
        <v>2024/9/6</v>
      </c>
      <c r="I1227" s="2" t="s">
        <v>1588</v>
      </c>
      <c r="J1227" s="2" t="str">
        <f t="shared" si="3"/>
        <v>Es Kopi Susu</v>
      </c>
      <c r="K1227" s="7">
        <f>if(RIGHT(I1227,5)="2 pcs",2,Data!I1227)</f>
        <v>1</v>
      </c>
      <c r="L1227" s="2" t="str">
        <f t="shared" si="4"/>
        <v>Friday</v>
      </c>
      <c r="M1227" s="2" t="str">
        <f t="shared" si="5"/>
        <v>6</v>
      </c>
      <c r="N1227" s="2">
        <f>VLOOKUP(L1227,'Data Info'!$A$1:$B$8,2,0)</f>
        <v>5</v>
      </c>
      <c r="O1227" s="2" t="str">
        <f>VLOOKUP(L1227,'Data Info'!$A$1:$C$8,3,0)</f>
        <v>Weekday</v>
      </c>
    </row>
    <row r="1228">
      <c r="A1228" s="4">
        <v>45541.66805555556</v>
      </c>
      <c r="B1228" s="9">
        <f>IFERROR(__xludf.DUMMYFUNCTION("SPLIT(A1228,"" "")"),45541.0)</f>
        <v>45541</v>
      </c>
      <c r="C1228" s="10">
        <f>IFERROR(__xludf.DUMMYFUNCTION("""COMPUTED_VALUE"""),0.6680555555555555)</f>
        <v>0.6680555556</v>
      </c>
      <c r="D1228" s="2">
        <f t="shared" si="1"/>
        <v>16</v>
      </c>
      <c r="E1228" s="2">
        <f>IFERROR(__xludf.DUMMYFUNCTION("SPLIT(B1228,""/"")"),6.0)</f>
        <v>6</v>
      </c>
      <c r="F1228" s="2">
        <f>IFERROR(__xludf.DUMMYFUNCTION("""COMPUTED_VALUE"""),9.0)</f>
        <v>9</v>
      </c>
      <c r="G1228" s="2">
        <f>IFERROR(__xludf.DUMMYFUNCTION("""COMPUTED_VALUE"""),2024.0)</f>
        <v>2024</v>
      </c>
      <c r="H1228" s="2" t="str">
        <f t="shared" si="2"/>
        <v>2024/9/6</v>
      </c>
      <c r="I1228" s="2" t="s">
        <v>1588</v>
      </c>
      <c r="J1228" s="2" t="str">
        <f t="shared" si="3"/>
        <v>Es Kopi Susu</v>
      </c>
      <c r="K1228" s="7">
        <f>if(RIGHT(I1228,5)="2 pcs",2,Data!I1228)</f>
        <v>2</v>
      </c>
      <c r="L1228" s="2" t="str">
        <f t="shared" si="4"/>
        <v>Friday</v>
      </c>
      <c r="M1228" s="2" t="str">
        <f t="shared" si="5"/>
        <v>6</v>
      </c>
      <c r="N1228" s="2">
        <f>VLOOKUP(L1228,'Data Info'!$A$1:$B$8,2,0)</f>
        <v>5</v>
      </c>
      <c r="O1228" s="2" t="str">
        <f>VLOOKUP(L1228,'Data Info'!$A$1:$C$8,3,0)</f>
        <v>Weekday</v>
      </c>
    </row>
    <row r="1229">
      <c r="A1229" s="4">
        <v>45541.66805555556</v>
      </c>
      <c r="B1229" s="9">
        <f>IFERROR(__xludf.DUMMYFUNCTION("SPLIT(A1229,"" "")"),45541.0)</f>
        <v>45541</v>
      </c>
      <c r="C1229" s="10">
        <f>IFERROR(__xludf.DUMMYFUNCTION("""COMPUTED_VALUE"""),0.6680555555555555)</f>
        <v>0.6680555556</v>
      </c>
      <c r="D1229" s="2">
        <f t="shared" si="1"/>
        <v>16</v>
      </c>
      <c r="E1229" s="2">
        <f>IFERROR(__xludf.DUMMYFUNCTION("SPLIT(B1229,""/"")"),6.0)</f>
        <v>6</v>
      </c>
      <c r="F1229" s="2">
        <f>IFERROR(__xludf.DUMMYFUNCTION("""COMPUTED_VALUE"""),9.0)</f>
        <v>9</v>
      </c>
      <c r="G1229" s="2">
        <f>IFERROR(__xludf.DUMMYFUNCTION("""COMPUTED_VALUE"""),2024.0)</f>
        <v>2024</v>
      </c>
      <c r="H1229" s="2" t="str">
        <f t="shared" si="2"/>
        <v>2024/9/6</v>
      </c>
      <c r="I1229" s="2" t="s">
        <v>1596</v>
      </c>
      <c r="J1229" s="2" t="str">
        <f t="shared" si="3"/>
        <v>Roti Cranberry</v>
      </c>
      <c r="K1229" s="7">
        <f>if(RIGHT(I1229,5)="2 pcs",2,Data!I1229)</f>
        <v>2</v>
      </c>
      <c r="L1229" s="2" t="str">
        <f t="shared" si="4"/>
        <v>Friday</v>
      </c>
      <c r="M1229" s="2" t="str">
        <f t="shared" si="5"/>
        <v>6</v>
      </c>
      <c r="N1229" s="2">
        <f>VLOOKUP(L1229,'Data Info'!$A$1:$B$8,2,0)</f>
        <v>5</v>
      </c>
      <c r="O1229" s="2" t="str">
        <f>VLOOKUP(L1229,'Data Info'!$A$1:$C$8,3,0)</f>
        <v>Weekday</v>
      </c>
    </row>
    <row r="1230">
      <c r="A1230" s="4">
        <v>45541.66805555556</v>
      </c>
      <c r="B1230" s="9">
        <f>IFERROR(__xludf.DUMMYFUNCTION("SPLIT(A1230,"" "")"),45541.0)</f>
        <v>45541</v>
      </c>
      <c r="C1230" s="10">
        <f>IFERROR(__xludf.DUMMYFUNCTION("""COMPUTED_VALUE"""),0.6680555555555555)</f>
        <v>0.6680555556</v>
      </c>
      <c r="D1230" s="2">
        <f t="shared" si="1"/>
        <v>16</v>
      </c>
      <c r="E1230" s="2">
        <f>IFERROR(__xludf.DUMMYFUNCTION("SPLIT(B1230,""/"")"),6.0)</f>
        <v>6</v>
      </c>
      <c r="F1230" s="2">
        <f>IFERROR(__xludf.DUMMYFUNCTION("""COMPUTED_VALUE"""),9.0)</f>
        <v>9</v>
      </c>
      <c r="G1230" s="2">
        <f>IFERROR(__xludf.DUMMYFUNCTION("""COMPUTED_VALUE"""),2024.0)</f>
        <v>2024</v>
      </c>
      <c r="H1230" s="2" t="str">
        <f t="shared" si="2"/>
        <v>2024/9/6</v>
      </c>
      <c r="I1230" s="2" t="s">
        <v>1576</v>
      </c>
      <c r="J1230" s="2" t="str">
        <f t="shared" si="3"/>
        <v>Roti Cranberry</v>
      </c>
      <c r="K1230" s="7">
        <f>if(RIGHT(I1230,5)="2 pcs",2,Data!I1230)</f>
        <v>1</v>
      </c>
      <c r="L1230" s="2" t="str">
        <f t="shared" si="4"/>
        <v>Friday</v>
      </c>
      <c r="M1230" s="2" t="str">
        <f t="shared" si="5"/>
        <v>6</v>
      </c>
      <c r="N1230" s="2">
        <f>VLOOKUP(L1230,'Data Info'!$A$1:$B$8,2,0)</f>
        <v>5</v>
      </c>
      <c r="O1230" s="2" t="str">
        <f>VLOOKUP(L1230,'Data Info'!$A$1:$C$8,3,0)</f>
        <v>Weekday</v>
      </c>
    </row>
    <row r="1231">
      <c r="A1231" s="4">
        <v>45541.66805555556</v>
      </c>
      <c r="B1231" s="9">
        <f>IFERROR(__xludf.DUMMYFUNCTION("SPLIT(A1231,"" "")"),45541.0)</f>
        <v>45541</v>
      </c>
      <c r="C1231" s="10">
        <f>IFERROR(__xludf.DUMMYFUNCTION("""COMPUTED_VALUE"""),0.6680555555555555)</f>
        <v>0.6680555556</v>
      </c>
      <c r="D1231" s="2">
        <f t="shared" si="1"/>
        <v>16</v>
      </c>
      <c r="E1231" s="2">
        <f>IFERROR(__xludf.DUMMYFUNCTION("SPLIT(B1231,""/"")"),6.0)</f>
        <v>6</v>
      </c>
      <c r="F1231" s="2">
        <f>IFERROR(__xludf.DUMMYFUNCTION("""COMPUTED_VALUE"""),9.0)</f>
        <v>9</v>
      </c>
      <c r="G1231" s="2">
        <f>IFERROR(__xludf.DUMMYFUNCTION("""COMPUTED_VALUE"""),2024.0)</f>
        <v>2024</v>
      </c>
      <c r="H1231" s="2" t="str">
        <f t="shared" si="2"/>
        <v>2024/9/6</v>
      </c>
      <c r="I1231" s="2" t="s">
        <v>1602</v>
      </c>
      <c r="J1231" s="2" t="str">
        <f t="shared" si="3"/>
        <v>Mie joglo</v>
      </c>
      <c r="K1231" s="7">
        <f>if(RIGHT(I1231,5)="2 pcs",2,Data!I1231)</f>
        <v>1</v>
      </c>
      <c r="L1231" s="2" t="str">
        <f t="shared" si="4"/>
        <v>Friday</v>
      </c>
      <c r="M1231" s="2" t="str">
        <f t="shared" si="5"/>
        <v>6</v>
      </c>
      <c r="N1231" s="2">
        <f>VLOOKUP(L1231,'Data Info'!$A$1:$B$8,2,0)</f>
        <v>5</v>
      </c>
      <c r="O1231" s="2" t="str">
        <f>VLOOKUP(L1231,'Data Info'!$A$1:$C$8,3,0)</f>
        <v>Weekday</v>
      </c>
    </row>
    <row r="1232">
      <c r="A1232" s="4">
        <v>45541.66805555556</v>
      </c>
      <c r="B1232" s="9">
        <f>IFERROR(__xludf.DUMMYFUNCTION("SPLIT(A1232,"" "")"),45541.0)</f>
        <v>45541</v>
      </c>
      <c r="C1232" s="10">
        <f>IFERROR(__xludf.DUMMYFUNCTION("""COMPUTED_VALUE"""),0.6680555555555555)</f>
        <v>0.6680555556</v>
      </c>
      <c r="D1232" s="2">
        <f t="shared" si="1"/>
        <v>16</v>
      </c>
      <c r="E1232" s="2">
        <f>IFERROR(__xludf.DUMMYFUNCTION("SPLIT(B1232,""/"")"),6.0)</f>
        <v>6</v>
      </c>
      <c r="F1232" s="2">
        <f>IFERROR(__xludf.DUMMYFUNCTION("""COMPUTED_VALUE"""),9.0)</f>
        <v>9</v>
      </c>
      <c r="G1232" s="2">
        <f>IFERROR(__xludf.DUMMYFUNCTION("""COMPUTED_VALUE"""),2024.0)</f>
        <v>2024</v>
      </c>
      <c r="H1232" s="2" t="str">
        <f t="shared" si="2"/>
        <v>2024/9/6</v>
      </c>
      <c r="I1232" s="2" t="s">
        <v>1579</v>
      </c>
      <c r="J1232" s="2" t="str">
        <f t="shared" si="3"/>
        <v>Tahu baso</v>
      </c>
      <c r="K1232" s="7">
        <f>if(RIGHT(I1232,5)="2 pcs",2,Data!I1232)</f>
        <v>1</v>
      </c>
      <c r="L1232" s="2" t="str">
        <f t="shared" si="4"/>
        <v>Friday</v>
      </c>
      <c r="M1232" s="2" t="str">
        <f t="shared" si="5"/>
        <v>6</v>
      </c>
      <c r="N1232" s="2">
        <f>VLOOKUP(L1232,'Data Info'!$A$1:$B$8,2,0)</f>
        <v>5</v>
      </c>
      <c r="O1232" s="2" t="str">
        <f>VLOOKUP(L1232,'Data Info'!$A$1:$C$8,3,0)</f>
        <v>Weekday</v>
      </c>
    </row>
    <row r="1233">
      <c r="A1233" s="4">
        <v>45541.652083333334</v>
      </c>
      <c r="B1233" s="9">
        <f>IFERROR(__xludf.DUMMYFUNCTION("SPLIT(A1233,"" "")"),45541.0)</f>
        <v>45541</v>
      </c>
      <c r="C1233" s="10">
        <f>IFERROR(__xludf.DUMMYFUNCTION("""COMPUTED_VALUE"""),0.6520833333333333)</f>
        <v>0.6520833333</v>
      </c>
      <c r="D1233" s="2">
        <f t="shared" si="1"/>
        <v>15</v>
      </c>
      <c r="E1233" s="2">
        <f>IFERROR(__xludf.DUMMYFUNCTION("SPLIT(B1233,""/"")"),6.0)</f>
        <v>6</v>
      </c>
      <c r="F1233" s="2">
        <f>IFERROR(__xludf.DUMMYFUNCTION("""COMPUTED_VALUE"""),9.0)</f>
        <v>9</v>
      </c>
      <c r="G1233" s="2">
        <f>IFERROR(__xludf.DUMMYFUNCTION("""COMPUTED_VALUE"""),2024.0)</f>
        <v>2024</v>
      </c>
      <c r="H1233" s="2" t="str">
        <f t="shared" si="2"/>
        <v>2024/9/6</v>
      </c>
      <c r="I1233" s="2" t="s">
        <v>1583</v>
      </c>
      <c r="J1233" s="2" t="str">
        <f t="shared" si="3"/>
        <v>Es Kopi Lemon</v>
      </c>
      <c r="K1233" s="7">
        <f>if(RIGHT(I1233,5)="2 pcs",2,Data!I1233)</f>
        <v>1</v>
      </c>
      <c r="L1233" s="2" t="str">
        <f t="shared" si="4"/>
        <v>Friday</v>
      </c>
      <c r="M1233" s="2" t="str">
        <f t="shared" si="5"/>
        <v>6</v>
      </c>
      <c r="N1233" s="2">
        <f>VLOOKUP(L1233,'Data Info'!$A$1:$B$8,2,0)</f>
        <v>5</v>
      </c>
      <c r="O1233" s="2" t="str">
        <f>VLOOKUP(L1233,'Data Info'!$A$1:$C$8,3,0)</f>
        <v>Weekday</v>
      </c>
    </row>
    <row r="1234">
      <c r="A1234" s="4">
        <v>45541.652083333334</v>
      </c>
      <c r="B1234" s="9">
        <f>IFERROR(__xludf.DUMMYFUNCTION("SPLIT(A1234,"" "")"),45541.0)</f>
        <v>45541</v>
      </c>
      <c r="C1234" s="10">
        <f>IFERROR(__xludf.DUMMYFUNCTION("""COMPUTED_VALUE"""),0.6520833333333333)</f>
        <v>0.6520833333</v>
      </c>
      <c r="D1234" s="2">
        <f t="shared" si="1"/>
        <v>15</v>
      </c>
      <c r="E1234" s="2">
        <f>IFERROR(__xludf.DUMMYFUNCTION("SPLIT(B1234,""/"")"),6.0)</f>
        <v>6</v>
      </c>
      <c r="F1234" s="2">
        <f>IFERROR(__xludf.DUMMYFUNCTION("""COMPUTED_VALUE"""),9.0)</f>
        <v>9</v>
      </c>
      <c r="G1234" s="2">
        <f>IFERROR(__xludf.DUMMYFUNCTION("""COMPUTED_VALUE"""),2024.0)</f>
        <v>2024</v>
      </c>
      <c r="H1234" s="2" t="str">
        <f t="shared" si="2"/>
        <v>2024/9/6</v>
      </c>
      <c r="I1234" s="2" t="s">
        <v>1588</v>
      </c>
      <c r="J1234" s="2" t="str">
        <f t="shared" si="3"/>
        <v>Es Kopi Susu</v>
      </c>
      <c r="K1234" s="7">
        <f>if(RIGHT(I1234,5)="2 pcs",2,Data!I1234)</f>
        <v>1</v>
      </c>
      <c r="L1234" s="2" t="str">
        <f t="shared" si="4"/>
        <v>Friday</v>
      </c>
      <c r="M1234" s="2" t="str">
        <f t="shared" si="5"/>
        <v>6</v>
      </c>
      <c r="N1234" s="2">
        <f>VLOOKUP(L1234,'Data Info'!$A$1:$B$8,2,0)</f>
        <v>5</v>
      </c>
      <c r="O1234" s="2" t="str">
        <f>VLOOKUP(L1234,'Data Info'!$A$1:$C$8,3,0)</f>
        <v>Weekday</v>
      </c>
    </row>
    <row r="1235">
      <c r="A1235" s="4">
        <v>45541.652083333334</v>
      </c>
      <c r="B1235" s="9">
        <f>IFERROR(__xludf.DUMMYFUNCTION("SPLIT(A1235,"" "")"),45541.0)</f>
        <v>45541</v>
      </c>
      <c r="C1235" s="10">
        <f>IFERROR(__xludf.DUMMYFUNCTION("""COMPUTED_VALUE"""),0.6520833333333333)</f>
        <v>0.6520833333</v>
      </c>
      <c r="D1235" s="2">
        <f t="shared" si="1"/>
        <v>15</v>
      </c>
      <c r="E1235" s="2">
        <f>IFERROR(__xludf.DUMMYFUNCTION("SPLIT(B1235,""/"")"),6.0)</f>
        <v>6</v>
      </c>
      <c r="F1235" s="2">
        <f>IFERROR(__xludf.DUMMYFUNCTION("""COMPUTED_VALUE"""),9.0)</f>
        <v>9</v>
      </c>
      <c r="G1235" s="2">
        <f>IFERROR(__xludf.DUMMYFUNCTION("""COMPUTED_VALUE"""),2024.0)</f>
        <v>2024</v>
      </c>
      <c r="H1235" s="2" t="str">
        <f t="shared" si="2"/>
        <v>2024/9/6</v>
      </c>
      <c r="I1235" s="2" t="s">
        <v>1606</v>
      </c>
      <c r="J1235" s="2" t="str">
        <f t="shared" si="3"/>
        <v>Pisang Goreng</v>
      </c>
      <c r="K1235" s="7">
        <f>if(RIGHT(I1235,5)="2 pcs",2,Data!I1235)</f>
        <v>1</v>
      </c>
      <c r="L1235" s="2" t="str">
        <f t="shared" si="4"/>
        <v>Friday</v>
      </c>
      <c r="M1235" s="2" t="str">
        <f t="shared" si="5"/>
        <v>6</v>
      </c>
      <c r="N1235" s="2">
        <f>VLOOKUP(L1235,'Data Info'!$A$1:$B$8,2,0)</f>
        <v>5</v>
      </c>
      <c r="O1235" s="2" t="str">
        <f>VLOOKUP(L1235,'Data Info'!$A$1:$C$8,3,0)</f>
        <v>Weekday</v>
      </c>
    </row>
    <row r="1236">
      <c r="A1236" s="4">
        <v>45541.63402777778</v>
      </c>
      <c r="B1236" s="9">
        <f>IFERROR(__xludf.DUMMYFUNCTION("SPLIT(A1236,"" "")"),45541.0)</f>
        <v>45541</v>
      </c>
      <c r="C1236" s="10">
        <f>IFERROR(__xludf.DUMMYFUNCTION("""COMPUTED_VALUE"""),0.6340277777777777)</f>
        <v>0.6340277778</v>
      </c>
      <c r="D1236" s="2">
        <f t="shared" si="1"/>
        <v>15</v>
      </c>
      <c r="E1236" s="2">
        <f>IFERROR(__xludf.DUMMYFUNCTION("SPLIT(B1236,""/"")"),6.0)</f>
        <v>6</v>
      </c>
      <c r="F1236" s="2">
        <f>IFERROR(__xludf.DUMMYFUNCTION("""COMPUTED_VALUE"""),9.0)</f>
        <v>9</v>
      </c>
      <c r="G1236" s="2">
        <f>IFERROR(__xludf.DUMMYFUNCTION("""COMPUTED_VALUE"""),2024.0)</f>
        <v>2024</v>
      </c>
      <c r="H1236" s="2" t="str">
        <f t="shared" si="2"/>
        <v>2024/9/6</v>
      </c>
      <c r="I1236" s="2" t="s">
        <v>1588</v>
      </c>
      <c r="J1236" s="2" t="str">
        <f t="shared" si="3"/>
        <v>Es Kopi Susu</v>
      </c>
      <c r="K1236" s="7">
        <f>if(RIGHT(I1236,5)="2 pcs",2,Data!I1236)</f>
        <v>1</v>
      </c>
      <c r="L1236" s="2" t="str">
        <f t="shared" si="4"/>
        <v>Friday</v>
      </c>
      <c r="M1236" s="2" t="str">
        <f t="shared" si="5"/>
        <v>6</v>
      </c>
      <c r="N1236" s="2">
        <f>VLOOKUP(L1236,'Data Info'!$A$1:$B$8,2,0)</f>
        <v>5</v>
      </c>
      <c r="O1236" s="2" t="str">
        <f>VLOOKUP(L1236,'Data Info'!$A$1:$C$8,3,0)</f>
        <v>Weekday</v>
      </c>
    </row>
    <row r="1237">
      <c r="A1237" s="4">
        <v>45541.60208333333</v>
      </c>
      <c r="B1237" s="9">
        <f>IFERROR(__xludf.DUMMYFUNCTION("SPLIT(A1237,"" "")"),45541.0)</f>
        <v>45541</v>
      </c>
      <c r="C1237" s="10">
        <f>IFERROR(__xludf.DUMMYFUNCTION("""COMPUTED_VALUE"""),0.6020833333333333)</f>
        <v>0.6020833333</v>
      </c>
      <c r="D1237" s="2">
        <f t="shared" si="1"/>
        <v>14</v>
      </c>
      <c r="E1237" s="2">
        <f>IFERROR(__xludf.DUMMYFUNCTION("SPLIT(B1237,""/"")"),6.0)</f>
        <v>6</v>
      </c>
      <c r="F1237" s="2">
        <f>IFERROR(__xludf.DUMMYFUNCTION("""COMPUTED_VALUE"""),9.0)</f>
        <v>9</v>
      </c>
      <c r="G1237" s="2">
        <f>IFERROR(__xludf.DUMMYFUNCTION("""COMPUTED_VALUE"""),2024.0)</f>
        <v>2024</v>
      </c>
      <c r="H1237" s="2" t="str">
        <f t="shared" si="2"/>
        <v>2024/9/6</v>
      </c>
      <c r="I1237" s="2" t="s">
        <v>1588</v>
      </c>
      <c r="J1237" s="2" t="str">
        <f t="shared" si="3"/>
        <v>Es Kopi Susu</v>
      </c>
      <c r="K1237" s="7">
        <f>if(RIGHT(I1237,5)="2 pcs",2,Data!I1237)</f>
        <v>1</v>
      </c>
      <c r="L1237" s="2" t="str">
        <f t="shared" si="4"/>
        <v>Friday</v>
      </c>
      <c r="M1237" s="2" t="str">
        <f t="shared" si="5"/>
        <v>6</v>
      </c>
      <c r="N1237" s="2">
        <f>VLOOKUP(L1237,'Data Info'!$A$1:$B$8,2,0)</f>
        <v>5</v>
      </c>
      <c r="O1237" s="2" t="str">
        <f>VLOOKUP(L1237,'Data Info'!$A$1:$C$8,3,0)</f>
        <v>Weekday</v>
      </c>
    </row>
    <row r="1238">
      <c r="A1238" s="4">
        <v>45541.56180555555</v>
      </c>
      <c r="B1238" s="9">
        <f>IFERROR(__xludf.DUMMYFUNCTION("SPLIT(A1238,"" "")"),45541.0)</f>
        <v>45541</v>
      </c>
      <c r="C1238" s="10">
        <f>IFERROR(__xludf.DUMMYFUNCTION("""COMPUTED_VALUE"""),0.5618055555555556)</f>
        <v>0.5618055556</v>
      </c>
      <c r="D1238" s="2">
        <f t="shared" si="1"/>
        <v>13</v>
      </c>
      <c r="E1238" s="2">
        <f>IFERROR(__xludf.DUMMYFUNCTION("SPLIT(B1238,""/"")"),6.0)</f>
        <v>6</v>
      </c>
      <c r="F1238" s="2">
        <f>IFERROR(__xludf.DUMMYFUNCTION("""COMPUTED_VALUE"""),9.0)</f>
        <v>9</v>
      </c>
      <c r="G1238" s="2">
        <f>IFERROR(__xludf.DUMMYFUNCTION("""COMPUTED_VALUE"""),2024.0)</f>
        <v>2024</v>
      </c>
      <c r="H1238" s="2" t="str">
        <f t="shared" si="2"/>
        <v>2024/9/6</v>
      </c>
      <c r="I1238" s="2" t="s">
        <v>1618</v>
      </c>
      <c r="J1238" s="2" t="str">
        <f t="shared" si="3"/>
        <v>Susu murni ori</v>
      </c>
      <c r="K1238" s="7">
        <f>if(RIGHT(I1238,5)="2 pcs",2,Data!I1238)</f>
        <v>1</v>
      </c>
      <c r="L1238" s="2" t="str">
        <f t="shared" si="4"/>
        <v>Friday</v>
      </c>
      <c r="M1238" s="2" t="str">
        <f t="shared" si="5"/>
        <v>6</v>
      </c>
      <c r="N1238" s="2">
        <f>VLOOKUP(L1238,'Data Info'!$A$1:$B$8,2,0)</f>
        <v>5</v>
      </c>
      <c r="O1238" s="2" t="str">
        <f>VLOOKUP(L1238,'Data Info'!$A$1:$C$8,3,0)</f>
        <v>Weekday</v>
      </c>
    </row>
    <row r="1239">
      <c r="A1239" s="4">
        <v>45541.53680555556</v>
      </c>
      <c r="B1239" s="9">
        <f>IFERROR(__xludf.DUMMYFUNCTION("SPLIT(A1239,"" "")"),45541.0)</f>
        <v>45541</v>
      </c>
      <c r="C1239" s="10">
        <f>IFERROR(__xludf.DUMMYFUNCTION("""COMPUTED_VALUE"""),0.5368055555555555)</f>
        <v>0.5368055556</v>
      </c>
      <c r="D1239" s="2">
        <f t="shared" si="1"/>
        <v>12</v>
      </c>
      <c r="E1239" s="2">
        <f>IFERROR(__xludf.DUMMYFUNCTION("SPLIT(B1239,""/"")"),6.0)</f>
        <v>6</v>
      </c>
      <c r="F1239" s="2">
        <f>IFERROR(__xludf.DUMMYFUNCTION("""COMPUTED_VALUE"""),9.0)</f>
        <v>9</v>
      </c>
      <c r="G1239" s="2">
        <f>IFERROR(__xludf.DUMMYFUNCTION("""COMPUTED_VALUE"""),2024.0)</f>
        <v>2024</v>
      </c>
      <c r="H1239" s="2" t="str">
        <f t="shared" si="2"/>
        <v>2024/9/6</v>
      </c>
      <c r="I1239" s="2" t="s">
        <v>1566</v>
      </c>
      <c r="J1239" s="2" t="str">
        <f t="shared" si="3"/>
        <v>Roti Bawang Saus Keju</v>
      </c>
      <c r="K1239" s="7">
        <f>if(RIGHT(I1239,5)="2 pcs",2,Data!I1239)</f>
        <v>1</v>
      </c>
      <c r="L1239" s="2" t="str">
        <f t="shared" si="4"/>
        <v>Friday</v>
      </c>
      <c r="M1239" s="2" t="str">
        <f t="shared" si="5"/>
        <v>6</v>
      </c>
      <c r="N1239" s="2">
        <f>VLOOKUP(L1239,'Data Info'!$A$1:$B$8,2,0)</f>
        <v>5</v>
      </c>
      <c r="O1239" s="2" t="str">
        <f>VLOOKUP(L1239,'Data Info'!$A$1:$C$8,3,0)</f>
        <v>Weekday</v>
      </c>
    </row>
    <row r="1240">
      <c r="A1240" s="4">
        <v>45541.53680555556</v>
      </c>
      <c r="B1240" s="9">
        <f>IFERROR(__xludf.DUMMYFUNCTION("SPLIT(A1240,"" "")"),45541.0)</f>
        <v>45541</v>
      </c>
      <c r="C1240" s="10">
        <f>IFERROR(__xludf.DUMMYFUNCTION("""COMPUTED_VALUE"""),0.5368055555555555)</f>
        <v>0.5368055556</v>
      </c>
      <c r="D1240" s="2">
        <f t="shared" si="1"/>
        <v>12</v>
      </c>
      <c r="E1240" s="2">
        <f>IFERROR(__xludf.DUMMYFUNCTION("SPLIT(B1240,""/"")"),6.0)</f>
        <v>6</v>
      </c>
      <c r="F1240" s="2">
        <f>IFERROR(__xludf.DUMMYFUNCTION("""COMPUTED_VALUE"""),9.0)</f>
        <v>9</v>
      </c>
      <c r="G1240" s="2">
        <f>IFERROR(__xludf.DUMMYFUNCTION("""COMPUTED_VALUE"""),2024.0)</f>
        <v>2024</v>
      </c>
      <c r="H1240" s="2" t="str">
        <f t="shared" si="2"/>
        <v>2024/9/6</v>
      </c>
      <c r="I1240" s="2" t="s">
        <v>1591</v>
      </c>
      <c r="J1240" s="2" t="str">
        <f t="shared" si="3"/>
        <v>Kopi cur</v>
      </c>
      <c r="K1240" s="7">
        <f>if(RIGHT(I1240,5)="2 pcs",2,Data!I1240)</f>
        <v>1</v>
      </c>
      <c r="L1240" s="2" t="str">
        <f t="shared" si="4"/>
        <v>Friday</v>
      </c>
      <c r="M1240" s="2" t="str">
        <f t="shared" si="5"/>
        <v>6</v>
      </c>
      <c r="N1240" s="2">
        <f>VLOOKUP(L1240,'Data Info'!$A$1:$B$8,2,0)</f>
        <v>5</v>
      </c>
      <c r="O1240" s="2" t="str">
        <f>VLOOKUP(L1240,'Data Info'!$A$1:$C$8,3,0)</f>
        <v>Weekday</v>
      </c>
    </row>
    <row r="1241">
      <c r="A1241" s="4">
        <v>45541.53680555556</v>
      </c>
      <c r="B1241" s="9">
        <f>IFERROR(__xludf.DUMMYFUNCTION("SPLIT(A1241,"" "")"),45541.0)</f>
        <v>45541</v>
      </c>
      <c r="C1241" s="10">
        <f>IFERROR(__xludf.DUMMYFUNCTION("""COMPUTED_VALUE"""),0.5368055555555555)</f>
        <v>0.5368055556</v>
      </c>
      <c r="D1241" s="2">
        <f t="shared" si="1"/>
        <v>12</v>
      </c>
      <c r="E1241" s="2">
        <f>IFERROR(__xludf.DUMMYFUNCTION("SPLIT(B1241,""/"")"),6.0)</f>
        <v>6</v>
      </c>
      <c r="F1241" s="2">
        <f>IFERROR(__xludf.DUMMYFUNCTION("""COMPUTED_VALUE"""),9.0)</f>
        <v>9</v>
      </c>
      <c r="G1241" s="2">
        <f>IFERROR(__xludf.DUMMYFUNCTION("""COMPUTED_VALUE"""),2024.0)</f>
        <v>2024</v>
      </c>
      <c r="H1241" s="2" t="str">
        <f t="shared" si="2"/>
        <v>2024/9/6</v>
      </c>
      <c r="I1241" s="2" t="s">
        <v>1588</v>
      </c>
      <c r="J1241" s="2" t="str">
        <f t="shared" si="3"/>
        <v>Es Kopi Susu</v>
      </c>
      <c r="K1241" s="7">
        <f>if(RIGHT(I1241,5)="2 pcs",2,Data!I1241)</f>
        <v>1</v>
      </c>
      <c r="L1241" s="2" t="str">
        <f t="shared" si="4"/>
        <v>Friday</v>
      </c>
      <c r="M1241" s="2" t="str">
        <f t="shared" si="5"/>
        <v>6</v>
      </c>
      <c r="N1241" s="2">
        <f>VLOOKUP(L1241,'Data Info'!$A$1:$B$8,2,0)</f>
        <v>5</v>
      </c>
      <c r="O1241" s="2" t="str">
        <f>VLOOKUP(L1241,'Data Info'!$A$1:$C$8,3,0)</f>
        <v>Weekday</v>
      </c>
    </row>
    <row r="1242">
      <c r="A1242" s="4">
        <v>45541.47361111111</v>
      </c>
      <c r="B1242" s="9">
        <f>IFERROR(__xludf.DUMMYFUNCTION("SPLIT(A1242,"" "")"),45541.0)</f>
        <v>45541</v>
      </c>
      <c r="C1242" s="10">
        <f>IFERROR(__xludf.DUMMYFUNCTION("""COMPUTED_VALUE"""),0.4736111111111111)</f>
        <v>0.4736111111</v>
      </c>
      <c r="D1242" s="2">
        <f t="shared" si="1"/>
        <v>11</v>
      </c>
      <c r="E1242" s="2">
        <f>IFERROR(__xludf.DUMMYFUNCTION("SPLIT(B1242,""/"")"),6.0)</f>
        <v>6</v>
      </c>
      <c r="F1242" s="2">
        <f>IFERROR(__xludf.DUMMYFUNCTION("""COMPUTED_VALUE"""),9.0)</f>
        <v>9</v>
      </c>
      <c r="G1242" s="2">
        <f>IFERROR(__xludf.DUMMYFUNCTION("""COMPUTED_VALUE"""),2024.0)</f>
        <v>2024</v>
      </c>
      <c r="H1242" s="2" t="str">
        <f t="shared" si="2"/>
        <v>2024/9/6</v>
      </c>
      <c r="I1242" s="2" t="s">
        <v>1634</v>
      </c>
      <c r="J1242" s="2" t="str">
        <f t="shared" si="3"/>
        <v>Roti coklat</v>
      </c>
      <c r="K1242" s="7">
        <f>if(RIGHT(I1242,5)="2 pcs",2,Data!I1242)</f>
        <v>1</v>
      </c>
      <c r="L1242" s="2" t="str">
        <f t="shared" si="4"/>
        <v>Friday</v>
      </c>
      <c r="M1242" s="2" t="str">
        <f t="shared" si="5"/>
        <v>6</v>
      </c>
      <c r="N1242" s="2">
        <f>VLOOKUP(L1242,'Data Info'!$A$1:$B$8,2,0)</f>
        <v>5</v>
      </c>
      <c r="O1242" s="2" t="str">
        <f>VLOOKUP(L1242,'Data Info'!$A$1:$C$8,3,0)</f>
        <v>Weekday</v>
      </c>
    </row>
    <row r="1243">
      <c r="A1243" s="4">
        <v>45541.47361111111</v>
      </c>
      <c r="B1243" s="9">
        <f>IFERROR(__xludf.DUMMYFUNCTION("SPLIT(A1243,"" "")"),45541.0)</f>
        <v>45541</v>
      </c>
      <c r="C1243" s="10">
        <f>IFERROR(__xludf.DUMMYFUNCTION("""COMPUTED_VALUE"""),0.4736111111111111)</f>
        <v>0.4736111111</v>
      </c>
      <c r="D1243" s="2">
        <f t="shared" si="1"/>
        <v>11</v>
      </c>
      <c r="E1243" s="2">
        <f>IFERROR(__xludf.DUMMYFUNCTION("SPLIT(B1243,""/"")"),6.0)</f>
        <v>6</v>
      </c>
      <c r="F1243" s="2">
        <f>IFERROR(__xludf.DUMMYFUNCTION("""COMPUTED_VALUE"""),9.0)</f>
        <v>9</v>
      </c>
      <c r="G1243" s="2">
        <f>IFERROR(__xludf.DUMMYFUNCTION("""COMPUTED_VALUE"""),2024.0)</f>
        <v>2024</v>
      </c>
      <c r="H1243" s="2" t="str">
        <f t="shared" si="2"/>
        <v>2024/9/6</v>
      </c>
      <c r="I1243" s="2" t="s">
        <v>1589</v>
      </c>
      <c r="J1243" s="2" t="str">
        <f t="shared" si="3"/>
        <v>Teh Manis Dingin</v>
      </c>
      <c r="K1243" s="7">
        <f>if(RIGHT(I1243,5)="2 pcs",2,Data!I1243)</f>
        <v>1</v>
      </c>
      <c r="L1243" s="2" t="str">
        <f t="shared" si="4"/>
        <v>Friday</v>
      </c>
      <c r="M1243" s="2" t="str">
        <f t="shared" si="5"/>
        <v>6</v>
      </c>
      <c r="N1243" s="2">
        <f>VLOOKUP(L1243,'Data Info'!$A$1:$B$8,2,0)</f>
        <v>5</v>
      </c>
      <c r="O1243" s="2" t="str">
        <f>VLOOKUP(L1243,'Data Info'!$A$1:$C$8,3,0)</f>
        <v>Weekday</v>
      </c>
    </row>
    <row r="1244">
      <c r="A1244" s="4">
        <v>45541.444444444445</v>
      </c>
      <c r="B1244" s="9">
        <f>IFERROR(__xludf.DUMMYFUNCTION("SPLIT(A1244,"" "")"),45541.0)</f>
        <v>45541</v>
      </c>
      <c r="C1244" s="10">
        <f>IFERROR(__xludf.DUMMYFUNCTION("""COMPUTED_VALUE"""),0.4444444444444444)</f>
        <v>0.4444444444</v>
      </c>
      <c r="D1244" s="2">
        <f t="shared" si="1"/>
        <v>10</v>
      </c>
      <c r="E1244" s="2">
        <f>IFERROR(__xludf.DUMMYFUNCTION("SPLIT(B1244,""/"")"),6.0)</f>
        <v>6</v>
      </c>
      <c r="F1244" s="2">
        <f>IFERROR(__xludf.DUMMYFUNCTION("""COMPUTED_VALUE"""),9.0)</f>
        <v>9</v>
      </c>
      <c r="G1244" s="2">
        <f>IFERROR(__xludf.DUMMYFUNCTION("""COMPUTED_VALUE"""),2024.0)</f>
        <v>2024</v>
      </c>
      <c r="H1244" s="2" t="str">
        <f t="shared" si="2"/>
        <v>2024/9/6</v>
      </c>
      <c r="I1244" s="2" t="s">
        <v>1630</v>
      </c>
      <c r="J1244" s="2" t="str">
        <f t="shared" si="3"/>
        <v>(Voucher Gratis) Es Kopi Susu</v>
      </c>
      <c r="K1244" s="7">
        <f>if(RIGHT(I1244,5)="2 pcs",2,Data!I1244)</f>
        <v>1</v>
      </c>
      <c r="L1244" s="2" t="str">
        <f t="shared" si="4"/>
        <v>Friday</v>
      </c>
      <c r="M1244" s="2" t="str">
        <f t="shared" si="5"/>
        <v>6</v>
      </c>
      <c r="N1244" s="2">
        <f>VLOOKUP(L1244,'Data Info'!$A$1:$B$8,2,0)</f>
        <v>5</v>
      </c>
      <c r="O1244" s="2" t="str">
        <f>VLOOKUP(L1244,'Data Info'!$A$1:$C$8,3,0)</f>
        <v>Weekday</v>
      </c>
    </row>
    <row r="1245">
      <c r="A1245" s="4">
        <v>45541.444444444445</v>
      </c>
      <c r="B1245" s="9">
        <f>IFERROR(__xludf.DUMMYFUNCTION("SPLIT(A1245,"" "")"),45541.0)</f>
        <v>45541</v>
      </c>
      <c r="C1245" s="10">
        <f>IFERROR(__xludf.DUMMYFUNCTION("""COMPUTED_VALUE"""),0.4444444444444444)</f>
        <v>0.4444444444</v>
      </c>
      <c r="D1245" s="2">
        <f t="shared" si="1"/>
        <v>10</v>
      </c>
      <c r="E1245" s="2">
        <f>IFERROR(__xludf.DUMMYFUNCTION("SPLIT(B1245,""/"")"),6.0)</f>
        <v>6</v>
      </c>
      <c r="F1245" s="2">
        <f>IFERROR(__xludf.DUMMYFUNCTION("""COMPUTED_VALUE"""),9.0)</f>
        <v>9</v>
      </c>
      <c r="G1245" s="2">
        <f>IFERROR(__xludf.DUMMYFUNCTION("""COMPUTED_VALUE"""),2024.0)</f>
        <v>2024</v>
      </c>
      <c r="H1245" s="2" t="str">
        <f t="shared" si="2"/>
        <v>2024/9/6</v>
      </c>
      <c r="I1245" s="2" t="s">
        <v>1631</v>
      </c>
      <c r="J1245" s="2" t="str">
        <f t="shared" si="3"/>
        <v>(Voucher Gratis) Roti Gandum Coklat</v>
      </c>
      <c r="K1245" s="7">
        <f>if(RIGHT(I1245,5)="2 pcs",2,Data!I1245)</f>
        <v>1</v>
      </c>
      <c r="L1245" s="2" t="str">
        <f t="shared" si="4"/>
        <v>Friday</v>
      </c>
      <c r="M1245" s="2" t="str">
        <f t="shared" si="5"/>
        <v>6</v>
      </c>
      <c r="N1245" s="2">
        <f>VLOOKUP(L1245,'Data Info'!$A$1:$B$8,2,0)</f>
        <v>5</v>
      </c>
      <c r="O1245" s="2" t="str">
        <f>VLOOKUP(L1245,'Data Info'!$A$1:$C$8,3,0)</f>
        <v>Weekday</v>
      </c>
    </row>
    <row r="1246">
      <c r="A1246" s="4">
        <v>45541.444444444445</v>
      </c>
      <c r="B1246" s="9">
        <f>IFERROR(__xludf.DUMMYFUNCTION("SPLIT(A1246,"" "")"),45541.0)</f>
        <v>45541</v>
      </c>
      <c r="C1246" s="10">
        <f>IFERROR(__xludf.DUMMYFUNCTION("""COMPUTED_VALUE"""),0.4444444444444444)</f>
        <v>0.4444444444</v>
      </c>
      <c r="D1246" s="2">
        <f t="shared" si="1"/>
        <v>10</v>
      </c>
      <c r="E1246" s="2">
        <f>IFERROR(__xludf.DUMMYFUNCTION("SPLIT(B1246,""/"")"),6.0)</f>
        <v>6</v>
      </c>
      <c r="F1246" s="2">
        <f>IFERROR(__xludf.DUMMYFUNCTION("""COMPUTED_VALUE"""),9.0)</f>
        <v>9</v>
      </c>
      <c r="G1246" s="2">
        <f>IFERROR(__xludf.DUMMYFUNCTION("""COMPUTED_VALUE"""),2024.0)</f>
        <v>2024</v>
      </c>
      <c r="H1246" s="2" t="str">
        <f t="shared" si="2"/>
        <v>2024/9/6</v>
      </c>
      <c r="I1246" s="2" t="s">
        <v>1630</v>
      </c>
      <c r="J1246" s="2" t="str">
        <f t="shared" si="3"/>
        <v>(Voucher Gratis) Es Kopi Susu</v>
      </c>
      <c r="K1246" s="7">
        <f>if(RIGHT(I1246,5)="2 pcs",2,Data!I1246)</f>
        <v>2</v>
      </c>
      <c r="L1246" s="2" t="str">
        <f t="shared" si="4"/>
        <v>Friday</v>
      </c>
      <c r="M1246" s="2" t="str">
        <f t="shared" si="5"/>
        <v>6</v>
      </c>
      <c r="N1246" s="2">
        <f>VLOOKUP(L1246,'Data Info'!$A$1:$B$8,2,0)</f>
        <v>5</v>
      </c>
      <c r="O1246" s="2" t="str">
        <f>VLOOKUP(L1246,'Data Info'!$A$1:$C$8,3,0)</f>
        <v>Weekday</v>
      </c>
    </row>
    <row r="1247">
      <c r="A1247" s="4">
        <v>45541.444444444445</v>
      </c>
      <c r="B1247" s="9">
        <f>IFERROR(__xludf.DUMMYFUNCTION("SPLIT(A1247,"" "")"),45541.0)</f>
        <v>45541</v>
      </c>
      <c r="C1247" s="10">
        <f>IFERROR(__xludf.DUMMYFUNCTION("""COMPUTED_VALUE"""),0.4444444444444444)</f>
        <v>0.4444444444</v>
      </c>
      <c r="D1247" s="2">
        <f t="shared" si="1"/>
        <v>10</v>
      </c>
      <c r="E1247" s="2">
        <f>IFERROR(__xludf.DUMMYFUNCTION("SPLIT(B1247,""/"")"),6.0)</f>
        <v>6</v>
      </c>
      <c r="F1247" s="2">
        <f>IFERROR(__xludf.DUMMYFUNCTION("""COMPUTED_VALUE"""),9.0)</f>
        <v>9</v>
      </c>
      <c r="G1247" s="2">
        <f>IFERROR(__xludf.DUMMYFUNCTION("""COMPUTED_VALUE"""),2024.0)</f>
        <v>2024</v>
      </c>
      <c r="H1247" s="2" t="str">
        <f t="shared" si="2"/>
        <v>2024/9/6</v>
      </c>
      <c r="I1247" s="2" t="s">
        <v>1631</v>
      </c>
      <c r="J1247" s="2" t="str">
        <f t="shared" si="3"/>
        <v>(Voucher Gratis) Roti Gandum Coklat</v>
      </c>
      <c r="K1247" s="7">
        <f>if(RIGHT(I1247,5)="2 pcs",2,Data!I1247)</f>
        <v>2</v>
      </c>
      <c r="L1247" s="2" t="str">
        <f t="shared" si="4"/>
        <v>Friday</v>
      </c>
      <c r="M1247" s="2" t="str">
        <f t="shared" si="5"/>
        <v>6</v>
      </c>
      <c r="N1247" s="2">
        <f>VLOOKUP(L1247,'Data Info'!$A$1:$B$8,2,0)</f>
        <v>5</v>
      </c>
      <c r="O1247" s="2" t="str">
        <f>VLOOKUP(L1247,'Data Info'!$A$1:$C$8,3,0)</f>
        <v>Weekday</v>
      </c>
    </row>
    <row r="1248">
      <c r="A1248" s="4">
        <v>45541.44305555556</v>
      </c>
      <c r="B1248" s="9">
        <f>IFERROR(__xludf.DUMMYFUNCTION("SPLIT(A1248,"" "")"),45541.0)</f>
        <v>45541</v>
      </c>
      <c r="C1248" s="10">
        <f>IFERROR(__xludf.DUMMYFUNCTION("""COMPUTED_VALUE"""),0.44305555555555554)</f>
        <v>0.4430555556</v>
      </c>
      <c r="D1248" s="2">
        <f t="shared" si="1"/>
        <v>10</v>
      </c>
      <c r="E1248" s="2">
        <f>IFERROR(__xludf.DUMMYFUNCTION("SPLIT(B1248,""/"")"),6.0)</f>
        <v>6</v>
      </c>
      <c r="F1248" s="2">
        <f>IFERROR(__xludf.DUMMYFUNCTION("""COMPUTED_VALUE"""),9.0)</f>
        <v>9</v>
      </c>
      <c r="G1248" s="2">
        <f>IFERROR(__xludf.DUMMYFUNCTION("""COMPUTED_VALUE"""),2024.0)</f>
        <v>2024</v>
      </c>
      <c r="H1248" s="2" t="str">
        <f t="shared" si="2"/>
        <v>2024/9/6</v>
      </c>
      <c r="I1248" s="2" t="s">
        <v>1573</v>
      </c>
      <c r="J1248" s="2" t="str">
        <f t="shared" si="3"/>
        <v>Air mineral</v>
      </c>
      <c r="K1248" s="7">
        <f>if(RIGHT(I1248,5)="2 pcs",2,Data!I1248)</f>
        <v>1</v>
      </c>
      <c r="L1248" s="2" t="str">
        <f t="shared" si="4"/>
        <v>Friday</v>
      </c>
      <c r="M1248" s="2" t="str">
        <f t="shared" si="5"/>
        <v>6</v>
      </c>
      <c r="N1248" s="2">
        <f>VLOOKUP(L1248,'Data Info'!$A$1:$B$8,2,0)</f>
        <v>5</v>
      </c>
      <c r="O1248" s="2" t="str">
        <f>VLOOKUP(L1248,'Data Info'!$A$1:$C$8,3,0)</f>
        <v>Weekday</v>
      </c>
    </row>
    <row r="1249">
      <c r="A1249" s="4">
        <v>45541.44305555556</v>
      </c>
      <c r="B1249" s="9">
        <f>IFERROR(__xludf.DUMMYFUNCTION("SPLIT(A1249,"" "")"),45541.0)</f>
        <v>45541</v>
      </c>
      <c r="C1249" s="10">
        <f>IFERROR(__xludf.DUMMYFUNCTION("""COMPUTED_VALUE"""),0.44305555555555554)</f>
        <v>0.4430555556</v>
      </c>
      <c r="D1249" s="2">
        <f t="shared" si="1"/>
        <v>10</v>
      </c>
      <c r="E1249" s="2">
        <f>IFERROR(__xludf.DUMMYFUNCTION("SPLIT(B1249,""/"")"),6.0)</f>
        <v>6</v>
      </c>
      <c r="F1249" s="2">
        <f>IFERROR(__xludf.DUMMYFUNCTION("""COMPUTED_VALUE"""),9.0)</f>
        <v>9</v>
      </c>
      <c r="G1249" s="2">
        <f>IFERROR(__xludf.DUMMYFUNCTION("""COMPUTED_VALUE"""),2024.0)</f>
        <v>2024</v>
      </c>
      <c r="H1249" s="2" t="str">
        <f t="shared" si="2"/>
        <v>2024/9/6</v>
      </c>
      <c r="I1249" s="2" t="s">
        <v>1576</v>
      </c>
      <c r="J1249" s="2" t="str">
        <f t="shared" si="3"/>
        <v>Roti Cranberry</v>
      </c>
      <c r="K1249" s="7">
        <f>if(RIGHT(I1249,5)="2 pcs",2,Data!I1249)</f>
        <v>1</v>
      </c>
      <c r="L1249" s="2" t="str">
        <f t="shared" si="4"/>
        <v>Friday</v>
      </c>
      <c r="M1249" s="2" t="str">
        <f t="shared" si="5"/>
        <v>6</v>
      </c>
      <c r="N1249" s="2">
        <f>VLOOKUP(L1249,'Data Info'!$A$1:$B$8,2,0)</f>
        <v>5</v>
      </c>
      <c r="O1249" s="2" t="str">
        <f>VLOOKUP(L1249,'Data Info'!$A$1:$C$8,3,0)</f>
        <v>Weekday</v>
      </c>
    </row>
    <row r="1250">
      <c r="A1250" s="4">
        <v>45541.44305555556</v>
      </c>
      <c r="B1250" s="9">
        <f>IFERROR(__xludf.DUMMYFUNCTION("SPLIT(A1250,"" "")"),45541.0)</f>
        <v>45541</v>
      </c>
      <c r="C1250" s="10">
        <f>IFERROR(__xludf.DUMMYFUNCTION("""COMPUTED_VALUE"""),0.44305555555555554)</f>
        <v>0.4430555556</v>
      </c>
      <c r="D1250" s="2">
        <f t="shared" si="1"/>
        <v>10</v>
      </c>
      <c r="E1250" s="2">
        <f>IFERROR(__xludf.DUMMYFUNCTION("SPLIT(B1250,""/"")"),6.0)</f>
        <v>6</v>
      </c>
      <c r="F1250" s="2">
        <f>IFERROR(__xludf.DUMMYFUNCTION("""COMPUTED_VALUE"""),9.0)</f>
        <v>9</v>
      </c>
      <c r="G1250" s="2">
        <f>IFERROR(__xludf.DUMMYFUNCTION("""COMPUTED_VALUE"""),2024.0)</f>
        <v>2024</v>
      </c>
      <c r="H1250" s="2" t="str">
        <f t="shared" si="2"/>
        <v>2024/9/6</v>
      </c>
      <c r="I1250" s="2" t="s">
        <v>1595</v>
      </c>
      <c r="J1250" s="2" t="str">
        <f t="shared" si="3"/>
        <v>Roti Gandum Cokelat</v>
      </c>
      <c r="K1250" s="7">
        <f>if(RIGHT(I1250,5)="2 pcs",2,Data!I1250)</f>
        <v>1</v>
      </c>
      <c r="L1250" s="2" t="str">
        <f t="shared" si="4"/>
        <v>Friday</v>
      </c>
      <c r="M1250" s="2" t="str">
        <f t="shared" si="5"/>
        <v>6</v>
      </c>
      <c r="N1250" s="2">
        <f>VLOOKUP(L1250,'Data Info'!$A$1:$B$8,2,0)</f>
        <v>5</v>
      </c>
      <c r="O1250" s="2" t="str">
        <f>VLOOKUP(L1250,'Data Info'!$A$1:$C$8,3,0)</f>
        <v>Weekday</v>
      </c>
    </row>
    <row r="1251">
      <c r="A1251" s="4">
        <v>45541.38888888889</v>
      </c>
      <c r="B1251" s="9">
        <f>IFERROR(__xludf.DUMMYFUNCTION("SPLIT(A1251,"" "")"),45541.0)</f>
        <v>45541</v>
      </c>
      <c r="C1251" s="10">
        <f>IFERROR(__xludf.DUMMYFUNCTION("""COMPUTED_VALUE"""),0.3888888888888889)</f>
        <v>0.3888888889</v>
      </c>
      <c r="D1251" s="2">
        <f t="shared" si="1"/>
        <v>9</v>
      </c>
      <c r="E1251" s="2">
        <f>IFERROR(__xludf.DUMMYFUNCTION("SPLIT(B1251,""/"")"),6.0)</f>
        <v>6</v>
      </c>
      <c r="F1251" s="2">
        <f>IFERROR(__xludf.DUMMYFUNCTION("""COMPUTED_VALUE"""),9.0)</f>
        <v>9</v>
      </c>
      <c r="G1251" s="2">
        <f>IFERROR(__xludf.DUMMYFUNCTION("""COMPUTED_VALUE"""),2024.0)</f>
        <v>2024</v>
      </c>
      <c r="H1251" s="2" t="str">
        <f t="shared" si="2"/>
        <v>2024/9/6</v>
      </c>
      <c r="I1251" s="2" t="s">
        <v>1618</v>
      </c>
      <c r="J1251" s="2" t="str">
        <f t="shared" si="3"/>
        <v>Susu murni ori</v>
      </c>
      <c r="K1251" s="7">
        <f>if(RIGHT(I1251,5)="2 pcs",2,Data!I1251)</f>
        <v>1</v>
      </c>
      <c r="L1251" s="2" t="str">
        <f t="shared" si="4"/>
        <v>Friday</v>
      </c>
      <c r="M1251" s="2" t="str">
        <f t="shared" si="5"/>
        <v>6</v>
      </c>
      <c r="N1251" s="2">
        <f>VLOOKUP(L1251,'Data Info'!$A$1:$B$8,2,0)</f>
        <v>5</v>
      </c>
      <c r="O1251" s="2" t="str">
        <f>VLOOKUP(L1251,'Data Info'!$A$1:$C$8,3,0)</f>
        <v>Weekday</v>
      </c>
    </row>
    <row r="1252">
      <c r="A1252" s="4">
        <v>45541.379166666666</v>
      </c>
      <c r="B1252" s="9">
        <f>IFERROR(__xludf.DUMMYFUNCTION("SPLIT(A1252,"" "")"),45541.0)</f>
        <v>45541</v>
      </c>
      <c r="C1252" s="10">
        <f>IFERROR(__xludf.DUMMYFUNCTION("""COMPUTED_VALUE"""),0.37916666666666665)</f>
        <v>0.3791666667</v>
      </c>
      <c r="D1252" s="2">
        <f t="shared" si="1"/>
        <v>9</v>
      </c>
      <c r="E1252" s="2">
        <f>IFERROR(__xludf.DUMMYFUNCTION("SPLIT(B1252,""/"")"),6.0)</f>
        <v>6</v>
      </c>
      <c r="F1252" s="2">
        <f>IFERROR(__xludf.DUMMYFUNCTION("""COMPUTED_VALUE"""),9.0)</f>
        <v>9</v>
      </c>
      <c r="G1252" s="2">
        <f>IFERROR(__xludf.DUMMYFUNCTION("""COMPUTED_VALUE"""),2024.0)</f>
        <v>2024</v>
      </c>
      <c r="H1252" s="2" t="str">
        <f t="shared" si="2"/>
        <v>2024/9/6</v>
      </c>
      <c r="I1252" s="2" t="s">
        <v>1595</v>
      </c>
      <c r="J1252" s="2" t="str">
        <f t="shared" si="3"/>
        <v>Roti Gandum Cokelat</v>
      </c>
      <c r="K1252" s="7">
        <f>if(RIGHT(I1252,5)="2 pcs",2,Data!I1252)</f>
        <v>1</v>
      </c>
      <c r="L1252" s="2" t="str">
        <f t="shared" si="4"/>
        <v>Friday</v>
      </c>
      <c r="M1252" s="2" t="str">
        <f t="shared" si="5"/>
        <v>6</v>
      </c>
      <c r="N1252" s="2">
        <f>VLOOKUP(L1252,'Data Info'!$A$1:$B$8,2,0)</f>
        <v>5</v>
      </c>
      <c r="O1252" s="2" t="str">
        <f>VLOOKUP(L1252,'Data Info'!$A$1:$C$8,3,0)</f>
        <v>Weekday</v>
      </c>
    </row>
    <row r="1253">
      <c r="A1253" s="4">
        <v>45540.87986111111</v>
      </c>
      <c r="B1253" s="9">
        <f>IFERROR(__xludf.DUMMYFUNCTION("SPLIT(A1253,"" "")"),45540.0)</f>
        <v>45540</v>
      </c>
      <c r="C1253" s="10">
        <f>IFERROR(__xludf.DUMMYFUNCTION("""COMPUTED_VALUE"""),0.8798611111111111)</f>
        <v>0.8798611111</v>
      </c>
      <c r="D1253" s="2">
        <f t="shared" si="1"/>
        <v>21</v>
      </c>
      <c r="E1253" s="2">
        <f>IFERROR(__xludf.DUMMYFUNCTION("SPLIT(B1253,""/"")"),5.0)</f>
        <v>5</v>
      </c>
      <c r="F1253" s="2">
        <f>IFERROR(__xludf.DUMMYFUNCTION("""COMPUTED_VALUE"""),9.0)</f>
        <v>9</v>
      </c>
      <c r="G1253" s="2">
        <f>IFERROR(__xludf.DUMMYFUNCTION("""COMPUTED_VALUE"""),2024.0)</f>
        <v>2024</v>
      </c>
      <c r="H1253" s="2" t="str">
        <f t="shared" si="2"/>
        <v>2024/9/5</v>
      </c>
      <c r="I1253" s="2" t="s">
        <v>1587</v>
      </c>
      <c r="J1253" s="2" t="str">
        <f t="shared" si="3"/>
        <v>Tahu Lada Garam</v>
      </c>
      <c r="K1253" s="7">
        <f>if(RIGHT(I1253,5)="2 pcs",2,Data!I1253)</f>
        <v>1</v>
      </c>
      <c r="L1253" s="2" t="str">
        <f t="shared" si="4"/>
        <v>Thursday</v>
      </c>
      <c r="M1253" s="2" t="str">
        <f t="shared" si="5"/>
        <v>5</v>
      </c>
      <c r="N1253" s="2">
        <f>VLOOKUP(L1253,'Data Info'!$A$1:$B$8,2,0)</f>
        <v>4</v>
      </c>
      <c r="O1253" s="2" t="str">
        <f>VLOOKUP(L1253,'Data Info'!$A$1:$C$8,3,0)</f>
        <v>Weekday</v>
      </c>
    </row>
    <row r="1254">
      <c r="A1254" s="4">
        <v>45540.87986111111</v>
      </c>
      <c r="B1254" s="9">
        <f>IFERROR(__xludf.DUMMYFUNCTION("SPLIT(A1254,"" "")"),45540.0)</f>
        <v>45540</v>
      </c>
      <c r="C1254" s="10">
        <f>IFERROR(__xludf.DUMMYFUNCTION("""COMPUTED_VALUE"""),0.8798611111111111)</f>
        <v>0.8798611111</v>
      </c>
      <c r="D1254" s="2">
        <f t="shared" si="1"/>
        <v>21</v>
      </c>
      <c r="E1254" s="2">
        <f>IFERROR(__xludf.DUMMYFUNCTION("SPLIT(B1254,""/"")"),5.0)</f>
        <v>5</v>
      </c>
      <c r="F1254" s="2">
        <f>IFERROR(__xludf.DUMMYFUNCTION("""COMPUTED_VALUE"""),9.0)</f>
        <v>9</v>
      </c>
      <c r="G1254" s="2">
        <f>IFERROR(__xludf.DUMMYFUNCTION("""COMPUTED_VALUE"""),2024.0)</f>
        <v>2024</v>
      </c>
      <c r="H1254" s="2" t="str">
        <f t="shared" si="2"/>
        <v>2024/9/5</v>
      </c>
      <c r="I1254" s="2" t="s">
        <v>1609</v>
      </c>
      <c r="J1254" s="2" t="str">
        <f t="shared" si="3"/>
        <v>Tempe Mendoan</v>
      </c>
      <c r="K1254" s="7">
        <f>if(RIGHT(I1254,5)="2 pcs",2,Data!I1254)</f>
        <v>1</v>
      </c>
      <c r="L1254" s="2" t="str">
        <f t="shared" si="4"/>
        <v>Thursday</v>
      </c>
      <c r="M1254" s="2" t="str">
        <f t="shared" si="5"/>
        <v>5</v>
      </c>
      <c r="N1254" s="2">
        <f>VLOOKUP(L1254,'Data Info'!$A$1:$B$8,2,0)</f>
        <v>4</v>
      </c>
      <c r="O1254" s="2" t="str">
        <f>VLOOKUP(L1254,'Data Info'!$A$1:$C$8,3,0)</f>
        <v>Weekday</v>
      </c>
    </row>
    <row r="1255">
      <c r="A1255" s="4">
        <v>45540.87986111111</v>
      </c>
      <c r="B1255" s="9">
        <f>IFERROR(__xludf.DUMMYFUNCTION("SPLIT(A1255,"" "")"),45540.0)</f>
        <v>45540</v>
      </c>
      <c r="C1255" s="10">
        <f>IFERROR(__xludf.DUMMYFUNCTION("""COMPUTED_VALUE"""),0.8798611111111111)</f>
        <v>0.8798611111</v>
      </c>
      <c r="D1255" s="2">
        <f t="shared" si="1"/>
        <v>21</v>
      </c>
      <c r="E1255" s="2">
        <f>IFERROR(__xludf.DUMMYFUNCTION("SPLIT(B1255,""/"")"),5.0)</f>
        <v>5</v>
      </c>
      <c r="F1255" s="2">
        <f>IFERROR(__xludf.DUMMYFUNCTION("""COMPUTED_VALUE"""),9.0)</f>
        <v>9</v>
      </c>
      <c r="G1255" s="2">
        <f>IFERROR(__xludf.DUMMYFUNCTION("""COMPUTED_VALUE"""),2024.0)</f>
        <v>2024</v>
      </c>
      <c r="H1255" s="2" t="str">
        <f t="shared" si="2"/>
        <v>2024/9/5</v>
      </c>
      <c r="I1255" s="2" t="s">
        <v>1606</v>
      </c>
      <c r="J1255" s="2" t="str">
        <f t="shared" si="3"/>
        <v>Pisang Goreng</v>
      </c>
      <c r="K1255" s="7">
        <f>if(RIGHT(I1255,5)="2 pcs",2,Data!I1255)</f>
        <v>1</v>
      </c>
      <c r="L1255" s="2" t="str">
        <f t="shared" si="4"/>
        <v>Thursday</v>
      </c>
      <c r="M1255" s="2" t="str">
        <f t="shared" si="5"/>
        <v>5</v>
      </c>
      <c r="N1255" s="2">
        <f>VLOOKUP(L1255,'Data Info'!$A$1:$B$8,2,0)</f>
        <v>4</v>
      </c>
      <c r="O1255" s="2" t="str">
        <f>VLOOKUP(L1255,'Data Info'!$A$1:$C$8,3,0)</f>
        <v>Weekday</v>
      </c>
    </row>
    <row r="1256">
      <c r="A1256" s="4">
        <v>45540.87986111111</v>
      </c>
      <c r="B1256" s="9">
        <f>IFERROR(__xludf.DUMMYFUNCTION("SPLIT(A1256,"" "")"),45540.0)</f>
        <v>45540</v>
      </c>
      <c r="C1256" s="10">
        <f>IFERROR(__xludf.DUMMYFUNCTION("""COMPUTED_VALUE"""),0.8798611111111111)</f>
        <v>0.8798611111</v>
      </c>
      <c r="D1256" s="2">
        <f t="shared" si="1"/>
        <v>21</v>
      </c>
      <c r="E1256" s="2">
        <f>IFERROR(__xludf.DUMMYFUNCTION("SPLIT(B1256,""/"")"),5.0)</f>
        <v>5</v>
      </c>
      <c r="F1256" s="2">
        <f>IFERROR(__xludf.DUMMYFUNCTION("""COMPUTED_VALUE"""),9.0)</f>
        <v>9</v>
      </c>
      <c r="G1256" s="2">
        <f>IFERROR(__xludf.DUMMYFUNCTION("""COMPUTED_VALUE"""),2024.0)</f>
        <v>2024</v>
      </c>
      <c r="H1256" s="2" t="str">
        <f t="shared" si="2"/>
        <v>2024/9/5</v>
      </c>
      <c r="I1256" s="2" t="s">
        <v>1603</v>
      </c>
      <c r="J1256" s="2" t="str">
        <f t="shared" si="3"/>
        <v>Nasi Goreng Temu</v>
      </c>
      <c r="K1256" s="7">
        <f>if(RIGHT(I1256,5)="2 pcs",2,Data!I1256)</f>
        <v>1</v>
      </c>
      <c r="L1256" s="2" t="str">
        <f t="shared" si="4"/>
        <v>Thursday</v>
      </c>
      <c r="M1256" s="2" t="str">
        <f t="shared" si="5"/>
        <v>5</v>
      </c>
      <c r="N1256" s="2">
        <f>VLOOKUP(L1256,'Data Info'!$A$1:$B$8,2,0)</f>
        <v>4</v>
      </c>
      <c r="O1256" s="2" t="str">
        <f>VLOOKUP(L1256,'Data Info'!$A$1:$C$8,3,0)</f>
        <v>Weekday</v>
      </c>
    </row>
    <row r="1257">
      <c r="A1257" s="4">
        <v>45540.87986111111</v>
      </c>
      <c r="B1257" s="9">
        <f>IFERROR(__xludf.DUMMYFUNCTION("SPLIT(A1257,"" "")"),45540.0)</f>
        <v>45540</v>
      </c>
      <c r="C1257" s="10">
        <f>IFERROR(__xludf.DUMMYFUNCTION("""COMPUTED_VALUE"""),0.8798611111111111)</f>
        <v>0.8798611111</v>
      </c>
      <c r="D1257" s="2">
        <f t="shared" si="1"/>
        <v>21</v>
      </c>
      <c r="E1257" s="2">
        <f>IFERROR(__xludf.DUMMYFUNCTION("SPLIT(B1257,""/"")"),5.0)</f>
        <v>5</v>
      </c>
      <c r="F1257" s="2">
        <f>IFERROR(__xludf.DUMMYFUNCTION("""COMPUTED_VALUE"""),9.0)</f>
        <v>9</v>
      </c>
      <c r="G1257" s="2">
        <f>IFERROR(__xludf.DUMMYFUNCTION("""COMPUTED_VALUE"""),2024.0)</f>
        <v>2024</v>
      </c>
      <c r="H1257" s="2" t="str">
        <f t="shared" si="2"/>
        <v>2024/9/5</v>
      </c>
      <c r="I1257" s="2" t="s">
        <v>1603</v>
      </c>
      <c r="J1257" s="2" t="str">
        <f t="shared" si="3"/>
        <v>Nasi Goreng Temu</v>
      </c>
      <c r="K1257" s="7">
        <f>if(RIGHT(I1257,5)="2 pcs",2,Data!I1257)</f>
        <v>1</v>
      </c>
      <c r="L1257" s="2" t="str">
        <f t="shared" si="4"/>
        <v>Thursday</v>
      </c>
      <c r="M1257" s="2" t="str">
        <f t="shared" si="5"/>
        <v>5</v>
      </c>
      <c r="N1257" s="2">
        <f>VLOOKUP(L1257,'Data Info'!$A$1:$B$8,2,0)</f>
        <v>4</v>
      </c>
      <c r="O1257" s="2" t="str">
        <f>VLOOKUP(L1257,'Data Info'!$A$1:$C$8,3,0)</f>
        <v>Weekday</v>
      </c>
    </row>
    <row r="1258">
      <c r="A1258" s="4">
        <v>45540.875</v>
      </c>
      <c r="B1258" s="9">
        <f>IFERROR(__xludf.DUMMYFUNCTION("SPLIT(A1258,"" "")"),45540.0)</f>
        <v>45540</v>
      </c>
      <c r="C1258" s="10">
        <f>IFERROR(__xludf.DUMMYFUNCTION("""COMPUTED_VALUE"""),0.875)</f>
        <v>0.875</v>
      </c>
      <c r="D1258" s="2">
        <f t="shared" si="1"/>
        <v>21</v>
      </c>
      <c r="E1258" s="2">
        <f>IFERROR(__xludf.DUMMYFUNCTION("SPLIT(B1258,""/"")"),5.0)</f>
        <v>5</v>
      </c>
      <c r="F1258" s="2">
        <f>IFERROR(__xludf.DUMMYFUNCTION("""COMPUTED_VALUE"""),9.0)</f>
        <v>9</v>
      </c>
      <c r="G1258" s="2">
        <f>IFERROR(__xludf.DUMMYFUNCTION("""COMPUTED_VALUE"""),2024.0)</f>
        <v>2024</v>
      </c>
      <c r="H1258" s="2" t="str">
        <f t="shared" si="2"/>
        <v>2024/9/5</v>
      </c>
      <c r="I1258" s="2" t="s">
        <v>1579</v>
      </c>
      <c r="J1258" s="2" t="str">
        <f t="shared" si="3"/>
        <v>Tahu baso</v>
      </c>
      <c r="K1258" s="7">
        <f>if(RIGHT(I1258,5)="2 pcs",2,Data!I1258)</f>
        <v>1</v>
      </c>
      <c r="L1258" s="2" t="str">
        <f t="shared" si="4"/>
        <v>Thursday</v>
      </c>
      <c r="M1258" s="2" t="str">
        <f t="shared" si="5"/>
        <v>5</v>
      </c>
      <c r="N1258" s="2">
        <f>VLOOKUP(L1258,'Data Info'!$A$1:$B$8,2,0)</f>
        <v>4</v>
      </c>
      <c r="O1258" s="2" t="str">
        <f>VLOOKUP(L1258,'Data Info'!$A$1:$C$8,3,0)</f>
        <v>Weekday</v>
      </c>
    </row>
    <row r="1259">
      <c r="A1259" s="4">
        <v>45540.875</v>
      </c>
      <c r="B1259" s="9">
        <f>IFERROR(__xludf.DUMMYFUNCTION("SPLIT(A1259,"" "")"),45540.0)</f>
        <v>45540</v>
      </c>
      <c r="C1259" s="10">
        <f>IFERROR(__xludf.DUMMYFUNCTION("""COMPUTED_VALUE"""),0.875)</f>
        <v>0.875</v>
      </c>
      <c r="D1259" s="2">
        <f t="shared" si="1"/>
        <v>21</v>
      </c>
      <c r="E1259" s="2">
        <f>IFERROR(__xludf.DUMMYFUNCTION("SPLIT(B1259,""/"")"),5.0)</f>
        <v>5</v>
      </c>
      <c r="F1259" s="2">
        <f>IFERROR(__xludf.DUMMYFUNCTION("""COMPUTED_VALUE"""),9.0)</f>
        <v>9</v>
      </c>
      <c r="G1259" s="2">
        <f>IFERROR(__xludf.DUMMYFUNCTION("""COMPUTED_VALUE"""),2024.0)</f>
        <v>2024</v>
      </c>
      <c r="H1259" s="2" t="str">
        <f t="shared" si="2"/>
        <v>2024/9/5</v>
      </c>
      <c r="I1259" s="2" t="s">
        <v>1576</v>
      </c>
      <c r="J1259" s="2" t="str">
        <f t="shared" si="3"/>
        <v>Roti Cranberry</v>
      </c>
      <c r="K1259" s="7">
        <f>if(RIGHT(I1259,5)="2 pcs",2,Data!I1259)</f>
        <v>1</v>
      </c>
      <c r="L1259" s="2" t="str">
        <f t="shared" si="4"/>
        <v>Thursday</v>
      </c>
      <c r="M1259" s="2" t="str">
        <f t="shared" si="5"/>
        <v>5</v>
      </c>
      <c r="N1259" s="2">
        <f>VLOOKUP(L1259,'Data Info'!$A$1:$B$8,2,0)</f>
        <v>4</v>
      </c>
      <c r="O1259" s="2" t="str">
        <f>VLOOKUP(L1259,'Data Info'!$A$1:$C$8,3,0)</f>
        <v>Weekday</v>
      </c>
    </row>
    <row r="1260">
      <c r="A1260" s="4">
        <v>45540.82430555556</v>
      </c>
      <c r="B1260" s="9">
        <f>IFERROR(__xludf.DUMMYFUNCTION("SPLIT(A1260,"" "")"),45540.0)</f>
        <v>45540</v>
      </c>
      <c r="C1260" s="10">
        <f>IFERROR(__xludf.DUMMYFUNCTION("""COMPUTED_VALUE"""),0.8243055555555555)</f>
        <v>0.8243055556</v>
      </c>
      <c r="D1260" s="2">
        <f t="shared" si="1"/>
        <v>19</v>
      </c>
      <c r="E1260" s="2">
        <f>IFERROR(__xludf.DUMMYFUNCTION("SPLIT(B1260,""/"")"),5.0)</f>
        <v>5</v>
      </c>
      <c r="F1260" s="2">
        <f>IFERROR(__xludf.DUMMYFUNCTION("""COMPUTED_VALUE"""),9.0)</f>
        <v>9</v>
      </c>
      <c r="G1260" s="2">
        <f>IFERROR(__xludf.DUMMYFUNCTION("""COMPUTED_VALUE"""),2024.0)</f>
        <v>2024</v>
      </c>
      <c r="H1260" s="2" t="str">
        <f t="shared" si="2"/>
        <v>2024/9/5</v>
      </c>
      <c r="I1260" s="2" t="s">
        <v>1576</v>
      </c>
      <c r="J1260" s="2" t="str">
        <f t="shared" si="3"/>
        <v>Roti Cranberry</v>
      </c>
      <c r="K1260" s="7">
        <f>if(RIGHT(I1260,5)="2 pcs",2,Data!I1260)</f>
        <v>1</v>
      </c>
      <c r="L1260" s="2" t="str">
        <f t="shared" si="4"/>
        <v>Thursday</v>
      </c>
      <c r="M1260" s="2" t="str">
        <f t="shared" si="5"/>
        <v>5</v>
      </c>
      <c r="N1260" s="2">
        <f>VLOOKUP(L1260,'Data Info'!$A$1:$B$8,2,0)</f>
        <v>4</v>
      </c>
      <c r="O1260" s="2" t="str">
        <f>VLOOKUP(L1260,'Data Info'!$A$1:$C$8,3,0)</f>
        <v>Weekday</v>
      </c>
    </row>
    <row r="1261">
      <c r="A1261" s="4">
        <v>45540.82152777778</v>
      </c>
      <c r="B1261" s="9">
        <f>IFERROR(__xludf.DUMMYFUNCTION("SPLIT(A1261,"" "")"),45540.0)</f>
        <v>45540</v>
      </c>
      <c r="C1261" s="10">
        <f>IFERROR(__xludf.DUMMYFUNCTION("""COMPUTED_VALUE"""),0.8215277777777777)</f>
        <v>0.8215277778</v>
      </c>
      <c r="D1261" s="2">
        <f t="shared" si="1"/>
        <v>19</v>
      </c>
      <c r="E1261" s="2">
        <f>IFERROR(__xludf.DUMMYFUNCTION("SPLIT(B1261,""/"")"),5.0)</f>
        <v>5</v>
      </c>
      <c r="F1261" s="2">
        <f>IFERROR(__xludf.DUMMYFUNCTION("""COMPUTED_VALUE"""),9.0)</f>
        <v>9</v>
      </c>
      <c r="G1261" s="2">
        <f>IFERROR(__xludf.DUMMYFUNCTION("""COMPUTED_VALUE"""),2024.0)</f>
        <v>2024</v>
      </c>
      <c r="H1261" s="2" t="str">
        <f t="shared" si="2"/>
        <v>2024/9/5</v>
      </c>
      <c r="I1261" s="2" t="s">
        <v>1577</v>
      </c>
      <c r="J1261" s="2" t="str">
        <f t="shared" si="3"/>
        <v>Rempah Madu Panas</v>
      </c>
      <c r="K1261" s="7">
        <f>if(RIGHT(I1261,5)="2 pcs",2,Data!I1261)</f>
        <v>1</v>
      </c>
      <c r="L1261" s="2" t="str">
        <f t="shared" si="4"/>
        <v>Thursday</v>
      </c>
      <c r="M1261" s="2" t="str">
        <f t="shared" si="5"/>
        <v>5</v>
      </c>
      <c r="N1261" s="2">
        <f>VLOOKUP(L1261,'Data Info'!$A$1:$B$8,2,0)</f>
        <v>4</v>
      </c>
      <c r="O1261" s="2" t="str">
        <f>VLOOKUP(L1261,'Data Info'!$A$1:$C$8,3,0)</f>
        <v>Weekday</v>
      </c>
    </row>
    <row r="1262">
      <c r="A1262" s="4">
        <v>45540.82152777778</v>
      </c>
      <c r="B1262" s="9">
        <f>IFERROR(__xludf.DUMMYFUNCTION("SPLIT(A1262,"" "")"),45540.0)</f>
        <v>45540</v>
      </c>
      <c r="C1262" s="10">
        <f>IFERROR(__xludf.DUMMYFUNCTION("""COMPUTED_VALUE"""),0.8215277777777777)</f>
        <v>0.8215277778</v>
      </c>
      <c r="D1262" s="2">
        <f t="shared" si="1"/>
        <v>19</v>
      </c>
      <c r="E1262" s="2">
        <f>IFERROR(__xludf.DUMMYFUNCTION("SPLIT(B1262,""/"")"),5.0)</f>
        <v>5</v>
      </c>
      <c r="F1262" s="2">
        <f>IFERROR(__xludf.DUMMYFUNCTION("""COMPUTED_VALUE"""),9.0)</f>
        <v>9</v>
      </c>
      <c r="G1262" s="2">
        <f>IFERROR(__xludf.DUMMYFUNCTION("""COMPUTED_VALUE"""),2024.0)</f>
        <v>2024</v>
      </c>
      <c r="H1262" s="2" t="str">
        <f t="shared" si="2"/>
        <v>2024/9/5</v>
      </c>
      <c r="I1262" s="2" t="s">
        <v>1603</v>
      </c>
      <c r="J1262" s="2" t="str">
        <f t="shared" si="3"/>
        <v>Nasi Goreng Temu</v>
      </c>
      <c r="K1262" s="7">
        <f>if(RIGHT(I1262,5)="2 pcs",2,Data!I1262)</f>
        <v>1</v>
      </c>
      <c r="L1262" s="2" t="str">
        <f t="shared" si="4"/>
        <v>Thursday</v>
      </c>
      <c r="M1262" s="2" t="str">
        <f t="shared" si="5"/>
        <v>5</v>
      </c>
      <c r="N1262" s="2">
        <f>VLOOKUP(L1262,'Data Info'!$A$1:$B$8,2,0)</f>
        <v>4</v>
      </c>
      <c r="O1262" s="2" t="str">
        <f>VLOOKUP(L1262,'Data Info'!$A$1:$C$8,3,0)</f>
        <v>Weekday</v>
      </c>
    </row>
    <row r="1263">
      <c r="A1263" s="4">
        <v>45540.82152777778</v>
      </c>
      <c r="B1263" s="9">
        <f>IFERROR(__xludf.DUMMYFUNCTION("SPLIT(A1263,"" "")"),45540.0)</f>
        <v>45540</v>
      </c>
      <c r="C1263" s="10">
        <f>IFERROR(__xludf.DUMMYFUNCTION("""COMPUTED_VALUE"""),0.8215277777777777)</f>
        <v>0.8215277778</v>
      </c>
      <c r="D1263" s="2">
        <f t="shared" si="1"/>
        <v>19</v>
      </c>
      <c r="E1263" s="2">
        <f>IFERROR(__xludf.DUMMYFUNCTION("SPLIT(B1263,""/"")"),5.0)</f>
        <v>5</v>
      </c>
      <c r="F1263" s="2">
        <f>IFERROR(__xludf.DUMMYFUNCTION("""COMPUTED_VALUE"""),9.0)</f>
        <v>9</v>
      </c>
      <c r="G1263" s="2">
        <f>IFERROR(__xludf.DUMMYFUNCTION("""COMPUTED_VALUE"""),2024.0)</f>
        <v>2024</v>
      </c>
      <c r="H1263" s="2" t="str">
        <f t="shared" si="2"/>
        <v>2024/9/5</v>
      </c>
      <c r="I1263" s="2" t="s">
        <v>1579</v>
      </c>
      <c r="J1263" s="2" t="str">
        <f t="shared" si="3"/>
        <v>Tahu baso</v>
      </c>
      <c r="K1263" s="7">
        <f>if(RIGHT(I1263,5)="2 pcs",2,Data!I1263)</f>
        <v>1</v>
      </c>
      <c r="L1263" s="2" t="str">
        <f t="shared" si="4"/>
        <v>Thursday</v>
      </c>
      <c r="M1263" s="2" t="str">
        <f t="shared" si="5"/>
        <v>5</v>
      </c>
      <c r="N1263" s="2">
        <f>VLOOKUP(L1263,'Data Info'!$A$1:$B$8,2,0)</f>
        <v>4</v>
      </c>
      <c r="O1263" s="2" t="str">
        <f>VLOOKUP(L1263,'Data Info'!$A$1:$C$8,3,0)</f>
        <v>Weekday</v>
      </c>
    </row>
    <row r="1264">
      <c r="A1264" s="4">
        <v>45540.82152777778</v>
      </c>
      <c r="B1264" s="9">
        <f>IFERROR(__xludf.DUMMYFUNCTION("SPLIT(A1264,"" "")"),45540.0)</f>
        <v>45540</v>
      </c>
      <c r="C1264" s="10">
        <f>IFERROR(__xludf.DUMMYFUNCTION("""COMPUTED_VALUE"""),0.8215277777777777)</f>
        <v>0.8215277778</v>
      </c>
      <c r="D1264" s="2">
        <f t="shared" si="1"/>
        <v>19</v>
      </c>
      <c r="E1264" s="2">
        <f>IFERROR(__xludf.DUMMYFUNCTION("SPLIT(B1264,""/"")"),5.0)</f>
        <v>5</v>
      </c>
      <c r="F1264" s="2">
        <f>IFERROR(__xludf.DUMMYFUNCTION("""COMPUTED_VALUE"""),9.0)</f>
        <v>9</v>
      </c>
      <c r="G1264" s="2">
        <f>IFERROR(__xludf.DUMMYFUNCTION("""COMPUTED_VALUE"""),2024.0)</f>
        <v>2024</v>
      </c>
      <c r="H1264" s="2" t="str">
        <f t="shared" si="2"/>
        <v>2024/9/5</v>
      </c>
      <c r="I1264" s="2" t="s">
        <v>1573</v>
      </c>
      <c r="J1264" s="2" t="str">
        <f t="shared" si="3"/>
        <v>Air mineral</v>
      </c>
      <c r="K1264" s="7">
        <f>if(RIGHT(I1264,5)="2 pcs",2,Data!I1264)</f>
        <v>1</v>
      </c>
      <c r="L1264" s="2" t="str">
        <f t="shared" si="4"/>
        <v>Thursday</v>
      </c>
      <c r="M1264" s="2" t="str">
        <f t="shared" si="5"/>
        <v>5</v>
      </c>
      <c r="N1264" s="2">
        <f>VLOOKUP(L1264,'Data Info'!$A$1:$B$8,2,0)</f>
        <v>4</v>
      </c>
      <c r="O1264" s="2" t="str">
        <f>VLOOKUP(L1264,'Data Info'!$A$1:$C$8,3,0)</f>
        <v>Weekday</v>
      </c>
    </row>
    <row r="1265">
      <c r="A1265" s="4">
        <v>45540.82152777778</v>
      </c>
      <c r="B1265" s="9">
        <f>IFERROR(__xludf.DUMMYFUNCTION("SPLIT(A1265,"" "")"),45540.0)</f>
        <v>45540</v>
      </c>
      <c r="C1265" s="10">
        <f>IFERROR(__xludf.DUMMYFUNCTION("""COMPUTED_VALUE"""),0.8215277777777777)</f>
        <v>0.8215277778</v>
      </c>
      <c r="D1265" s="2">
        <f t="shared" si="1"/>
        <v>19</v>
      </c>
      <c r="E1265" s="2">
        <f>IFERROR(__xludf.DUMMYFUNCTION("SPLIT(B1265,""/"")"),5.0)</f>
        <v>5</v>
      </c>
      <c r="F1265" s="2">
        <f>IFERROR(__xludf.DUMMYFUNCTION("""COMPUTED_VALUE"""),9.0)</f>
        <v>9</v>
      </c>
      <c r="G1265" s="2">
        <f>IFERROR(__xludf.DUMMYFUNCTION("""COMPUTED_VALUE"""),2024.0)</f>
        <v>2024</v>
      </c>
      <c r="H1265" s="2" t="str">
        <f t="shared" si="2"/>
        <v>2024/9/5</v>
      </c>
      <c r="I1265" s="2" t="s">
        <v>1576</v>
      </c>
      <c r="J1265" s="2" t="str">
        <f t="shared" si="3"/>
        <v>Roti Cranberry</v>
      </c>
      <c r="K1265" s="7">
        <f>if(RIGHT(I1265,5)="2 pcs",2,Data!I1265)</f>
        <v>1</v>
      </c>
      <c r="L1265" s="2" t="str">
        <f t="shared" si="4"/>
        <v>Thursday</v>
      </c>
      <c r="M1265" s="2" t="str">
        <f t="shared" si="5"/>
        <v>5</v>
      </c>
      <c r="N1265" s="2">
        <f>VLOOKUP(L1265,'Data Info'!$A$1:$B$8,2,0)</f>
        <v>4</v>
      </c>
      <c r="O1265" s="2" t="str">
        <f>VLOOKUP(L1265,'Data Info'!$A$1:$C$8,3,0)</f>
        <v>Weekday</v>
      </c>
    </row>
    <row r="1266">
      <c r="A1266" s="4">
        <v>45540.81041666667</v>
      </c>
      <c r="B1266" s="9">
        <f>IFERROR(__xludf.DUMMYFUNCTION("SPLIT(A1266,"" "")"),45540.0)</f>
        <v>45540</v>
      </c>
      <c r="C1266" s="10">
        <f>IFERROR(__xludf.DUMMYFUNCTION("""COMPUTED_VALUE"""),0.8104166666666667)</f>
        <v>0.8104166667</v>
      </c>
      <c r="D1266" s="2">
        <f t="shared" si="1"/>
        <v>19</v>
      </c>
      <c r="E1266" s="2">
        <f>IFERROR(__xludf.DUMMYFUNCTION("SPLIT(B1266,""/"")"),5.0)</f>
        <v>5</v>
      </c>
      <c r="F1266" s="2">
        <f>IFERROR(__xludf.DUMMYFUNCTION("""COMPUTED_VALUE"""),9.0)</f>
        <v>9</v>
      </c>
      <c r="G1266" s="2">
        <f>IFERROR(__xludf.DUMMYFUNCTION("""COMPUTED_VALUE"""),2024.0)</f>
        <v>2024</v>
      </c>
      <c r="H1266" s="2" t="str">
        <f t="shared" si="2"/>
        <v>2024/9/5</v>
      </c>
      <c r="I1266" s="2" t="s">
        <v>1566</v>
      </c>
      <c r="J1266" s="2" t="str">
        <f t="shared" si="3"/>
        <v>Roti Bawang Saus Keju</v>
      </c>
      <c r="K1266" s="7">
        <f>if(RIGHT(I1266,5)="2 pcs",2,Data!I1266)</f>
        <v>1</v>
      </c>
      <c r="L1266" s="2" t="str">
        <f t="shared" si="4"/>
        <v>Thursday</v>
      </c>
      <c r="M1266" s="2" t="str">
        <f t="shared" si="5"/>
        <v>5</v>
      </c>
      <c r="N1266" s="2">
        <f>VLOOKUP(L1266,'Data Info'!$A$1:$B$8,2,0)</f>
        <v>4</v>
      </c>
      <c r="O1266" s="2" t="str">
        <f>VLOOKUP(L1266,'Data Info'!$A$1:$C$8,3,0)</f>
        <v>Weekday</v>
      </c>
    </row>
    <row r="1267">
      <c r="A1267" s="4">
        <v>45540.81041666667</v>
      </c>
      <c r="B1267" s="9">
        <f>IFERROR(__xludf.DUMMYFUNCTION("SPLIT(A1267,"" "")"),45540.0)</f>
        <v>45540</v>
      </c>
      <c r="C1267" s="10">
        <f>IFERROR(__xludf.DUMMYFUNCTION("""COMPUTED_VALUE"""),0.8104166666666667)</f>
        <v>0.8104166667</v>
      </c>
      <c r="D1267" s="2">
        <f t="shared" si="1"/>
        <v>19</v>
      </c>
      <c r="E1267" s="2">
        <f>IFERROR(__xludf.DUMMYFUNCTION("SPLIT(B1267,""/"")"),5.0)</f>
        <v>5</v>
      </c>
      <c r="F1267" s="2">
        <f>IFERROR(__xludf.DUMMYFUNCTION("""COMPUTED_VALUE"""),9.0)</f>
        <v>9</v>
      </c>
      <c r="G1267" s="2">
        <f>IFERROR(__xludf.DUMMYFUNCTION("""COMPUTED_VALUE"""),2024.0)</f>
        <v>2024</v>
      </c>
      <c r="H1267" s="2" t="str">
        <f t="shared" si="2"/>
        <v>2024/9/5</v>
      </c>
      <c r="I1267" s="2" t="s">
        <v>1573</v>
      </c>
      <c r="J1267" s="2" t="str">
        <f t="shared" si="3"/>
        <v>Air mineral</v>
      </c>
      <c r="K1267" s="7">
        <f>if(RIGHT(I1267,5)="2 pcs",2,Data!I1267)</f>
        <v>1</v>
      </c>
      <c r="L1267" s="2" t="str">
        <f t="shared" si="4"/>
        <v>Thursday</v>
      </c>
      <c r="M1267" s="2" t="str">
        <f t="shared" si="5"/>
        <v>5</v>
      </c>
      <c r="N1267" s="2">
        <f>VLOOKUP(L1267,'Data Info'!$A$1:$B$8,2,0)</f>
        <v>4</v>
      </c>
      <c r="O1267" s="2" t="str">
        <f>VLOOKUP(L1267,'Data Info'!$A$1:$C$8,3,0)</f>
        <v>Weekday</v>
      </c>
    </row>
    <row r="1268">
      <c r="A1268" s="4">
        <v>45540.80972222222</v>
      </c>
      <c r="B1268" s="9">
        <f>IFERROR(__xludf.DUMMYFUNCTION("SPLIT(A1268,"" "")"),45540.0)</f>
        <v>45540</v>
      </c>
      <c r="C1268" s="10">
        <f>IFERROR(__xludf.DUMMYFUNCTION("""COMPUTED_VALUE"""),0.8097222222222222)</f>
        <v>0.8097222222</v>
      </c>
      <c r="D1268" s="2">
        <f t="shared" si="1"/>
        <v>19</v>
      </c>
      <c r="E1268" s="2">
        <f>IFERROR(__xludf.DUMMYFUNCTION("SPLIT(B1268,""/"")"),5.0)</f>
        <v>5</v>
      </c>
      <c r="F1268" s="2">
        <f>IFERROR(__xludf.DUMMYFUNCTION("""COMPUTED_VALUE"""),9.0)</f>
        <v>9</v>
      </c>
      <c r="G1268" s="2">
        <f>IFERROR(__xludf.DUMMYFUNCTION("""COMPUTED_VALUE"""),2024.0)</f>
        <v>2024</v>
      </c>
      <c r="H1268" s="2" t="str">
        <f t="shared" si="2"/>
        <v>2024/9/5</v>
      </c>
      <c r="I1268" s="2" t="s">
        <v>1595</v>
      </c>
      <c r="J1268" s="2" t="str">
        <f t="shared" si="3"/>
        <v>Roti Gandum Cokelat</v>
      </c>
      <c r="K1268" s="7">
        <f>if(RIGHT(I1268,5)="2 pcs",2,Data!I1268)</f>
        <v>1</v>
      </c>
      <c r="L1268" s="2" t="str">
        <f t="shared" si="4"/>
        <v>Thursday</v>
      </c>
      <c r="M1268" s="2" t="str">
        <f t="shared" si="5"/>
        <v>5</v>
      </c>
      <c r="N1268" s="2">
        <f>VLOOKUP(L1268,'Data Info'!$A$1:$B$8,2,0)</f>
        <v>4</v>
      </c>
      <c r="O1268" s="2" t="str">
        <f>VLOOKUP(L1268,'Data Info'!$A$1:$C$8,3,0)</f>
        <v>Weekday</v>
      </c>
    </row>
    <row r="1269">
      <c r="A1269" s="4">
        <v>45540.80902777778</v>
      </c>
      <c r="B1269" s="9">
        <f>IFERROR(__xludf.DUMMYFUNCTION("SPLIT(A1269,"" "")"),45540.0)</f>
        <v>45540</v>
      </c>
      <c r="C1269" s="10">
        <f>IFERROR(__xludf.DUMMYFUNCTION("""COMPUTED_VALUE"""),0.8090277777777778)</f>
        <v>0.8090277778</v>
      </c>
      <c r="D1269" s="2">
        <f t="shared" si="1"/>
        <v>19</v>
      </c>
      <c r="E1269" s="2">
        <f>IFERROR(__xludf.DUMMYFUNCTION("SPLIT(B1269,""/"")"),5.0)</f>
        <v>5</v>
      </c>
      <c r="F1269" s="2">
        <f>IFERROR(__xludf.DUMMYFUNCTION("""COMPUTED_VALUE"""),9.0)</f>
        <v>9</v>
      </c>
      <c r="G1269" s="2">
        <f>IFERROR(__xludf.DUMMYFUNCTION("""COMPUTED_VALUE"""),2024.0)</f>
        <v>2024</v>
      </c>
      <c r="H1269" s="2" t="str">
        <f t="shared" si="2"/>
        <v>2024/9/5</v>
      </c>
      <c r="I1269" s="2" t="s">
        <v>1634</v>
      </c>
      <c r="J1269" s="2" t="str">
        <f t="shared" si="3"/>
        <v>Roti coklat</v>
      </c>
      <c r="K1269" s="7">
        <f>if(RIGHT(I1269,5)="2 pcs",2,Data!I1269)</f>
        <v>1</v>
      </c>
      <c r="L1269" s="2" t="str">
        <f t="shared" si="4"/>
        <v>Thursday</v>
      </c>
      <c r="M1269" s="2" t="str">
        <f t="shared" si="5"/>
        <v>5</v>
      </c>
      <c r="N1269" s="2">
        <f>VLOOKUP(L1269,'Data Info'!$A$1:$B$8,2,0)</f>
        <v>4</v>
      </c>
      <c r="O1269" s="2" t="str">
        <f>VLOOKUP(L1269,'Data Info'!$A$1:$C$8,3,0)</f>
        <v>Weekday</v>
      </c>
    </row>
    <row r="1270">
      <c r="A1270" s="4">
        <v>45540.80486111111</v>
      </c>
      <c r="B1270" s="9">
        <f>IFERROR(__xludf.DUMMYFUNCTION("SPLIT(A1270,"" "")"),45540.0)</f>
        <v>45540</v>
      </c>
      <c r="C1270" s="10">
        <f>IFERROR(__xludf.DUMMYFUNCTION("""COMPUTED_VALUE"""),0.8048611111111111)</f>
        <v>0.8048611111</v>
      </c>
      <c r="D1270" s="2">
        <f t="shared" si="1"/>
        <v>19</v>
      </c>
      <c r="E1270" s="2">
        <f>IFERROR(__xludf.DUMMYFUNCTION("SPLIT(B1270,""/"")"),5.0)</f>
        <v>5</v>
      </c>
      <c r="F1270" s="2">
        <f>IFERROR(__xludf.DUMMYFUNCTION("""COMPUTED_VALUE"""),9.0)</f>
        <v>9</v>
      </c>
      <c r="G1270" s="2">
        <f>IFERROR(__xludf.DUMMYFUNCTION("""COMPUTED_VALUE"""),2024.0)</f>
        <v>2024</v>
      </c>
      <c r="H1270" s="2" t="str">
        <f t="shared" si="2"/>
        <v>2024/9/5</v>
      </c>
      <c r="I1270" s="2" t="s">
        <v>1606</v>
      </c>
      <c r="J1270" s="2" t="str">
        <f t="shared" si="3"/>
        <v>Pisang Goreng</v>
      </c>
      <c r="K1270" s="7">
        <f>if(RIGHT(I1270,5)="2 pcs",2,Data!I1270)</f>
        <v>1</v>
      </c>
      <c r="L1270" s="2" t="str">
        <f t="shared" si="4"/>
        <v>Thursday</v>
      </c>
      <c r="M1270" s="2" t="str">
        <f t="shared" si="5"/>
        <v>5</v>
      </c>
      <c r="N1270" s="2">
        <f>VLOOKUP(L1270,'Data Info'!$A$1:$B$8,2,0)</f>
        <v>4</v>
      </c>
      <c r="O1270" s="2" t="str">
        <f>VLOOKUP(L1270,'Data Info'!$A$1:$C$8,3,0)</f>
        <v>Weekday</v>
      </c>
    </row>
    <row r="1271">
      <c r="A1271" s="4">
        <v>45540.80486111111</v>
      </c>
      <c r="B1271" s="9">
        <f>IFERROR(__xludf.DUMMYFUNCTION("SPLIT(A1271,"" "")"),45540.0)</f>
        <v>45540</v>
      </c>
      <c r="C1271" s="10">
        <f>IFERROR(__xludf.DUMMYFUNCTION("""COMPUTED_VALUE"""),0.8048611111111111)</f>
        <v>0.8048611111</v>
      </c>
      <c r="D1271" s="2">
        <f t="shared" si="1"/>
        <v>19</v>
      </c>
      <c r="E1271" s="2">
        <f>IFERROR(__xludf.DUMMYFUNCTION("SPLIT(B1271,""/"")"),5.0)</f>
        <v>5</v>
      </c>
      <c r="F1271" s="2">
        <f>IFERROR(__xludf.DUMMYFUNCTION("""COMPUTED_VALUE"""),9.0)</f>
        <v>9</v>
      </c>
      <c r="G1271" s="2">
        <f>IFERROR(__xludf.DUMMYFUNCTION("""COMPUTED_VALUE"""),2024.0)</f>
        <v>2024</v>
      </c>
      <c r="H1271" s="2" t="str">
        <f t="shared" si="2"/>
        <v>2024/9/5</v>
      </c>
      <c r="I1271" s="2" t="s">
        <v>1579</v>
      </c>
      <c r="J1271" s="2" t="str">
        <f t="shared" si="3"/>
        <v>Tahu baso</v>
      </c>
      <c r="K1271" s="7">
        <f>if(RIGHT(I1271,5)="2 pcs",2,Data!I1271)</f>
        <v>1</v>
      </c>
      <c r="L1271" s="2" t="str">
        <f t="shared" si="4"/>
        <v>Thursday</v>
      </c>
      <c r="M1271" s="2" t="str">
        <f t="shared" si="5"/>
        <v>5</v>
      </c>
      <c r="N1271" s="2">
        <f>VLOOKUP(L1271,'Data Info'!$A$1:$B$8,2,0)</f>
        <v>4</v>
      </c>
      <c r="O1271" s="2" t="str">
        <f>VLOOKUP(L1271,'Data Info'!$A$1:$C$8,3,0)</f>
        <v>Weekday</v>
      </c>
    </row>
    <row r="1272">
      <c r="A1272" s="4">
        <v>45540.80486111111</v>
      </c>
      <c r="B1272" s="9">
        <f>IFERROR(__xludf.DUMMYFUNCTION("SPLIT(A1272,"" "")"),45540.0)</f>
        <v>45540</v>
      </c>
      <c r="C1272" s="10">
        <f>IFERROR(__xludf.DUMMYFUNCTION("""COMPUTED_VALUE"""),0.8048611111111111)</f>
        <v>0.8048611111</v>
      </c>
      <c r="D1272" s="2">
        <f t="shared" si="1"/>
        <v>19</v>
      </c>
      <c r="E1272" s="2">
        <f>IFERROR(__xludf.DUMMYFUNCTION("SPLIT(B1272,""/"")"),5.0)</f>
        <v>5</v>
      </c>
      <c r="F1272" s="2">
        <f>IFERROR(__xludf.DUMMYFUNCTION("""COMPUTED_VALUE"""),9.0)</f>
        <v>9</v>
      </c>
      <c r="G1272" s="2">
        <f>IFERROR(__xludf.DUMMYFUNCTION("""COMPUTED_VALUE"""),2024.0)</f>
        <v>2024</v>
      </c>
      <c r="H1272" s="2" t="str">
        <f t="shared" si="2"/>
        <v>2024/9/5</v>
      </c>
      <c r="I1272" s="2" t="s">
        <v>1579</v>
      </c>
      <c r="J1272" s="2" t="str">
        <f t="shared" si="3"/>
        <v>Tahu baso</v>
      </c>
      <c r="K1272" s="7">
        <f>if(RIGHT(I1272,5)="2 pcs",2,Data!I1272)</f>
        <v>-1</v>
      </c>
      <c r="L1272" s="2" t="str">
        <f t="shared" si="4"/>
        <v>Thursday</v>
      </c>
      <c r="M1272" s="2" t="str">
        <f t="shared" si="5"/>
        <v>5</v>
      </c>
      <c r="N1272" s="2">
        <f>VLOOKUP(L1272,'Data Info'!$A$1:$B$8,2,0)</f>
        <v>4</v>
      </c>
      <c r="O1272" s="2" t="str">
        <f>VLOOKUP(L1272,'Data Info'!$A$1:$C$8,3,0)</f>
        <v>Weekday</v>
      </c>
    </row>
    <row r="1273">
      <c r="A1273" s="4">
        <v>45540.80486111111</v>
      </c>
      <c r="B1273" s="9">
        <f>IFERROR(__xludf.DUMMYFUNCTION("SPLIT(A1273,"" "")"),45540.0)</f>
        <v>45540</v>
      </c>
      <c r="C1273" s="10">
        <f>IFERROR(__xludf.DUMMYFUNCTION("""COMPUTED_VALUE"""),0.8048611111111111)</f>
        <v>0.8048611111</v>
      </c>
      <c r="D1273" s="2">
        <f t="shared" si="1"/>
        <v>19</v>
      </c>
      <c r="E1273" s="2">
        <f>IFERROR(__xludf.DUMMYFUNCTION("SPLIT(B1273,""/"")"),5.0)</f>
        <v>5</v>
      </c>
      <c r="F1273" s="2">
        <f>IFERROR(__xludf.DUMMYFUNCTION("""COMPUTED_VALUE"""),9.0)</f>
        <v>9</v>
      </c>
      <c r="G1273" s="2">
        <f>IFERROR(__xludf.DUMMYFUNCTION("""COMPUTED_VALUE"""),2024.0)</f>
        <v>2024</v>
      </c>
      <c r="H1273" s="2" t="str">
        <f t="shared" si="2"/>
        <v>2024/9/5</v>
      </c>
      <c r="I1273" s="2" t="s">
        <v>1606</v>
      </c>
      <c r="J1273" s="2" t="str">
        <f t="shared" si="3"/>
        <v>Pisang Goreng</v>
      </c>
      <c r="K1273" s="7">
        <f>if(RIGHT(I1273,5)="2 pcs",2,Data!I1273)</f>
        <v>-1</v>
      </c>
      <c r="L1273" s="2" t="str">
        <f t="shared" si="4"/>
        <v>Thursday</v>
      </c>
      <c r="M1273" s="2" t="str">
        <f t="shared" si="5"/>
        <v>5</v>
      </c>
      <c r="N1273" s="2">
        <f>VLOOKUP(L1273,'Data Info'!$A$1:$B$8,2,0)</f>
        <v>4</v>
      </c>
      <c r="O1273" s="2" t="str">
        <f>VLOOKUP(L1273,'Data Info'!$A$1:$C$8,3,0)</f>
        <v>Weekday</v>
      </c>
    </row>
    <row r="1274">
      <c r="A1274" s="4">
        <v>45540.80416666667</v>
      </c>
      <c r="B1274" s="9">
        <f>IFERROR(__xludf.DUMMYFUNCTION("SPLIT(A1274,"" "")"),45540.0)</f>
        <v>45540</v>
      </c>
      <c r="C1274" s="10">
        <f>IFERROR(__xludf.DUMMYFUNCTION("""COMPUTED_VALUE"""),0.8041666666666667)</f>
        <v>0.8041666667</v>
      </c>
      <c r="D1274" s="2">
        <f t="shared" si="1"/>
        <v>19</v>
      </c>
      <c r="E1274" s="2">
        <f>IFERROR(__xludf.DUMMYFUNCTION("SPLIT(B1274,""/"")"),5.0)</f>
        <v>5</v>
      </c>
      <c r="F1274" s="2">
        <f>IFERROR(__xludf.DUMMYFUNCTION("""COMPUTED_VALUE"""),9.0)</f>
        <v>9</v>
      </c>
      <c r="G1274" s="2">
        <f>IFERROR(__xludf.DUMMYFUNCTION("""COMPUTED_VALUE"""),2024.0)</f>
        <v>2024</v>
      </c>
      <c r="H1274" s="2" t="str">
        <f t="shared" si="2"/>
        <v>2024/9/5</v>
      </c>
      <c r="I1274" s="2" t="s">
        <v>1579</v>
      </c>
      <c r="J1274" s="2" t="str">
        <f t="shared" si="3"/>
        <v>Tahu baso</v>
      </c>
      <c r="K1274" s="7">
        <f>if(RIGHT(I1274,5)="2 pcs",2,Data!I1274)</f>
        <v>1</v>
      </c>
      <c r="L1274" s="2" t="str">
        <f t="shared" si="4"/>
        <v>Thursday</v>
      </c>
      <c r="M1274" s="2" t="str">
        <f t="shared" si="5"/>
        <v>5</v>
      </c>
      <c r="N1274" s="2">
        <f>VLOOKUP(L1274,'Data Info'!$A$1:$B$8,2,0)</f>
        <v>4</v>
      </c>
      <c r="O1274" s="2" t="str">
        <f>VLOOKUP(L1274,'Data Info'!$A$1:$C$8,3,0)</f>
        <v>Weekday</v>
      </c>
    </row>
    <row r="1275">
      <c r="A1275" s="4">
        <v>45540.80416666667</v>
      </c>
      <c r="B1275" s="9">
        <f>IFERROR(__xludf.DUMMYFUNCTION("SPLIT(A1275,"" "")"),45540.0)</f>
        <v>45540</v>
      </c>
      <c r="C1275" s="10">
        <f>IFERROR(__xludf.DUMMYFUNCTION("""COMPUTED_VALUE"""),0.8041666666666667)</f>
        <v>0.8041666667</v>
      </c>
      <c r="D1275" s="2">
        <f t="shared" si="1"/>
        <v>19</v>
      </c>
      <c r="E1275" s="2">
        <f>IFERROR(__xludf.DUMMYFUNCTION("SPLIT(B1275,""/"")"),5.0)</f>
        <v>5</v>
      </c>
      <c r="F1275" s="2">
        <f>IFERROR(__xludf.DUMMYFUNCTION("""COMPUTED_VALUE"""),9.0)</f>
        <v>9</v>
      </c>
      <c r="G1275" s="2">
        <f>IFERROR(__xludf.DUMMYFUNCTION("""COMPUTED_VALUE"""),2024.0)</f>
        <v>2024</v>
      </c>
      <c r="H1275" s="2" t="str">
        <f t="shared" si="2"/>
        <v>2024/9/5</v>
      </c>
      <c r="I1275" s="2" t="s">
        <v>1606</v>
      </c>
      <c r="J1275" s="2" t="str">
        <f t="shared" si="3"/>
        <v>Pisang Goreng</v>
      </c>
      <c r="K1275" s="7">
        <f>if(RIGHT(I1275,5)="2 pcs",2,Data!I1275)</f>
        <v>1</v>
      </c>
      <c r="L1275" s="2" t="str">
        <f t="shared" si="4"/>
        <v>Thursday</v>
      </c>
      <c r="M1275" s="2" t="str">
        <f t="shared" si="5"/>
        <v>5</v>
      </c>
      <c r="N1275" s="2">
        <f>VLOOKUP(L1275,'Data Info'!$A$1:$B$8,2,0)</f>
        <v>4</v>
      </c>
      <c r="O1275" s="2" t="str">
        <f>VLOOKUP(L1275,'Data Info'!$A$1:$C$8,3,0)</f>
        <v>Weekday</v>
      </c>
    </row>
    <row r="1276">
      <c r="A1276" s="4">
        <v>45540.79236111111</v>
      </c>
      <c r="B1276" s="9">
        <f>IFERROR(__xludf.DUMMYFUNCTION("SPLIT(A1276,"" "")"),45540.0)</f>
        <v>45540</v>
      </c>
      <c r="C1276" s="10">
        <f>IFERROR(__xludf.DUMMYFUNCTION("""COMPUTED_VALUE"""),0.7923611111111111)</f>
        <v>0.7923611111</v>
      </c>
      <c r="D1276" s="2">
        <f t="shared" si="1"/>
        <v>19</v>
      </c>
      <c r="E1276" s="2">
        <f>IFERROR(__xludf.DUMMYFUNCTION("SPLIT(B1276,""/"")"),5.0)</f>
        <v>5</v>
      </c>
      <c r="F1276" s="2">
        <f>IFERROR(__xludf.DUMMYFUNCTION("""COMPUTED_VALUE"""),9.0)</f>
        <v>9</v>
      </c>
      <c r="G1276" s="2">
        <f>IFERROR(__xludf.DUMMYFUNCTION("""COMPUTED_VALUE"""),2024.0)</f>
        <v>2024</v>
      </c>
      <c r="H1276" s="2" t="str">
        <f t="shared" si="2"/>
        <v>2024/9/5</v>
      </c>
      <c r="I1276" s="2" t="s">
        <v>1596</v>
      </c>
      <c r="J1276" s="2" t="str">
        <f t="shared" si="3"/>
        <v>Roti Cranberry</v>
      </c>
      <c r="K1276" s="7">
        <f>if(RIGHT(I1276,5)="2 pcs",2,Data!I1276)</f>
        <v>2</v>
      </c>
      <c r="L1276" s="2" t="str">
        <f t="shared" si="4"/>
        <v>Thursday</v>
      </c>
      <c r="M1276" s="2" t="str">
        <f t="shared" si="5"/>
        <v>5</v>
      </c>
      <c r="N1276" s="2">
        <f>VLOOKUP(L1276,'Data Info'!$A$1:$B$8,2,0)</f>
        <v>4</v>
      </c>
      <c r="O1276" s="2" t="str">
        <f>VLOOKUP(L1276,'Data Info'!$A$1:$C$8,3,0)</f>
        <v>Weekday</v>
      </c>
    </row>
    <row r="1277">
      <c r="A1277" s="4">
        <v>45540.79236111111</v>
      </c>
      <c r="B1277" s="9">
        <f>IFERROR(__xludf.DUMMYFUNCTION("SPLIT(A1277,"" "")"),45540.0)</f>
        <v>45540</v>
      </c>
      <c r="C1277" s="10">
        <f>IFERROR(__xludf.DUMMYFUNCTION("""COMPUTED_VALUE"""),0.7923611111111111)</f>
        <v>0.7923611111</v>
      </c>
      <c r="D1277" s="2">
        <f t="shared" si="1"/>
        <v>19</v>
      </c>
      <c r="E1277" s="2">
        <f>IFERROR(__xludf.DUMMYFUNCTION("SPLIT(B1277,""/"")"),5.0)</f>
        <v>5</v>
      </c>
      <c r="F1277" s="2">
        <f>IFERROR(__xludf.DUMMYFUNCTION("""COMPUTED_VALUE"""),9.0)</f>
        <v>9</v>
      </c>
      <c r="G1277" s="2">
        <f>IFERROR(__xludf.DUMMYFUNCTION("""COMPUTED_VALUE"""),2024.0)</f>
        <v>2024</v>
      </c>
      <c r="H1277" s="2" t="str">
        <f t="shared" si="2"/>
        <v>2024/9/5</v>
      </c>
      <c r="I1277" s="2" t="s">
        <v>1588</v>
      </c>
      <c r="J1277" s="2" t="str">
        <f t="shared" si="3"/>
        <v>Es Kopi Susu</v>
      </c>
      <c r="K1277" s="7">
        <f>if(RIGHT(I1277,5)="2 pcs",2,Data!I1277)</f>
        <v>1</v>
      </c>
      <c r="L1277" s="2" t="str">
        <f t="shared" si="4"/>
        <v>Thursday</v>
      </c>
      <c r="M1277" s="2" t="str">
        <f t="shared" si="5"/>
        <v>5</v>
      </c>
      <c r="N1277" s="2">
        <f>VLOOKUP(L1277,'Data Info'!$A$1:$B$8,2,0)</f>
        <v>4</v>
      </c>
      <c r="O1277" s="2" t="str">
        <f>VLOOKUP(L1277,'Data Info'!$A$1:$C$8,3,0)</f>
        <v>Weekday</v>
      </c>
    </row>
    <row r="1278">
      <c r="A1278" s="4">
        <v>45540.79236111111</v>
      </c>
      <c r="B1278" s="9">
        <f>IFERROR(__xludf.DUMMYFUNCTION("SPLIT(A1278,"" "")"),45540.0)</f>
        <v>45540</v>
      </c>
      <c r="C1278" s="10">
        <f>IFERROR(__xludf.DUMMYFUNCTION("""COMPUTED_VALUE"""),0.7923611111111111)</f>
        <v>0.7923611111</v>
      </c>
      <c r="D1278" s="2">
        <f t="shared" si="1"/>
        <v>19</v>
      </c>
      <c r="E1278" s="2">
        <f>IFERROR(__xludf.DUMMYFUNCTION("SPLIT(B1278,""/"")"),5.0)</f>
        <v>5</v>
      </c>
      <c r="F1278" s="2">
        <f>IFERROR(__xludf.DUMMYFUNCTION("""COMPUTED_VALUE"""),9.0)</f>
        <v>9</v>
      </c>
      <c r="G1278" s="2">
        <f>IFERROR(__xludf.DUMMYFUNCTION("""COMPUTED_VALUE"""),2024.0)</f>
        <v>2024</v>
      </c>
      <c r="H1278" s="2" t="str">
        <f t="shared" si="2"/>
        <v>2024/9/5</v>
      </c>
      <c r="I1278" s="2" t="s">
        <v>1579</v>
      </c>
      <c r="J1278" s="2" t="str">
        <f t="shared" si="3"/>
        <v>Tahu baso</v>
      </c>
      <c r="K1278" s="7">
        <f>if(RIGHT(I1278,5)="2 pcs",2,Data!I1278)</f>
        <v>1</v>
      </c>
      <c r="L1278" s="2" t="str">
        <f t="shared" si="4"/>
        <v>Thursday</v>
      </c>
      <c r="M1278" s="2" t="str">
        <f t="shared" si="5"/>
        <v>5</v>
      </c>
      <c r="N1278" s="2">
        <f>VLOOKUP(L1278,'Data Info'!$A$1:$B$8,2,0)</f>
        <v>4</v>
      </c>
      <c r="O1278" s="2" t="str">
        <f>VLOOKUP(L1278,'Data Info'!$A$1:$C$8,3,0)</f>
        <v>Weekday</v>
      </c>
    </row>
    <row r="1279">
      <c r="A1279" s="4">
        <v>45540.79236111111</v>
      </c>
      <c r="B1279" s="9">
        <f>IFERROR(__xludf.DUMMYFUNCTION("SPLIT(A1279,"" "")"),45540.0)</f>
        <v>45540</v>
      </c>
      <c r="C1279" s="10">
        <f>IFERROR(__xludf.DUMMYFUNCTION("""COMPUTED_VALUE"""),0.7923611111111111)</f>
        <v>0.7923611111</v>
      </c>
      <c r="D1279" s="2">
        <f t="shared" si="1"/>
        <v>19</v>
      </c>
      <c r="E1279" s="2">
        <f>IFERROR(__xludf.DUMMYFUNCTION("SPLIT(B1279,""/"")"),5.0)</f>
        <v>5</v>
      </c>
      <c r="F1279" s="2">
        <f>IFERROR(__xludf.DUMMYFUNCTION("""COMPUTED_VALUE"""),9.0)</f>
        <v>9</v>
      </c>
      <c r="G1279" s="2">
        <f>IFERROR(__xludf.DUMMYFUNCTION("""COMPUTED_VALUE"""),2024.0)</f>
        <v>2024</v>
      </c>
      <c r="H1279" s="2" t="str">
        <f t="shared" si="2"/>
        <v>2024/9/5</v>
      </c>
      <c r="I1279" s="2" t="s">
        <v>1583</v>
      </c>
      <c r="J1279" s="2" t="str">
        <f t="shared" si="3"/>
        <v>Es Kopi Lemon</v>
      </c>
      <c r="K1279" s="7">
        <f>if(RIGHT(I1279,5)="2 pcs",2,Data!I1279)</f>
        <v>1</v>
      </c>
      <c r="L1279" s="2" t="str">
        <f t="shared" si="4"/>
        <v>Thursday</v>
      </c>
      <c r="M1279" s="2" t="str">
        <f t="shared" si="5"/>
        <v>5</v>
      </c>
      <c r="N1279" s="2">
        <f>VLOOKUP(L1279,'Data Info'!$A$1:$B$8,2,0)</f>
        <v>4</v>
      </c>
      <c r="O1279" s="2" t="str">
        <f>VLOOKUP(L1279,'Data Info'!$A$1:$C$8,3,0)</f>
        <v>Weekday</v>
      </c>
    </row>
    <row r="1280">
      <c r="A1280" s="4">
        <v>45540.78333333333</v>
      </c>
      <c r="B1280" s="9">
        <f>IFERROR(__xludf.DUMMYFUNCTION("SPLIT(A1280,"" "")"),45540.0)</f>
        <v>45540</v>
      </c>
      <c r="C1280" s="10">
        <f>IFERROR(__xludf.DUMMYFUNCTION("""COMPUTED_VALUE"""),0.7833333333333333)</f>
        <v>0.7833333333</v>
      </c>
      <c r="D1280" s="2">
        <f t="shared" si="1"/>
        <v>18</v>
      </c>
      <c r="E1280" s="2">
        <f>IFERROR(__xludf.DUMMYFUNCTION("SPLIT(B1280,""/"")"),5.0)</f>
        <v>5</v>
      </c>
      <c r="F1280" s="2">
        <f>IFERROR(__xludf.DUMMYFUNCTION("""COMPUTED_VALUE"""),9.0)</f>
        <v>9</v>
      </c>
      <c r="G1280" s="2">
        <f>IFERROR(__xludf.DUMMYFUNCTION("""COMPUTED_VALUE"""),2024.0)</f>
        <v>2024</v>
      </c>
      <c r="H1280" s="2" t="str">
        <f t="shared" si="2"/>
        <v>2024/9/5</v>
      </c>
      <c r="I1280" s="2" t="s">
        <v>1583</v>
      </c>
      <c r="J1280" s="2" t="str">
        <f t="shared" si="3"/>
        <v>Es Kopi Lemon</v>
      </c>
      <c r="K1280" s="7">
        <f>if(RIGHT(I1280,5)="2 pcs",2,Data!I1280)</f>
        <v>1</v>
      </c>
      <c r="L1280" s="2" t="str">
        <f t="shared" si="4"/>
        <v>Thursday</v>
      </c>
      <c r="M1280" s="2" t="str">
        <f t="shared" si="5"/>
        <v>5</v>
      </c>
      <c r="N1280" s="2">
        <f>VLOOKUP(L1280,'Data Info'!$A$1:$B$8,2,0)</f>
        <v>4</v>
      </c>
      <c r="O1280" s="2" t="str">
        <f>VLOOKUP(L1280,'Data Info'!$A$1:$C$8,3,0)</f>
        <v>Weekday</v>
      </c>
    </row>
    <row r="1281">
      <c r="A1281" s="4">
        <v>45540.78333333333</v>
      </c>
      <c r="B1281" s="9">
        <f>IFERROR(__xludf.DUMMYFUNCTION("SPLIT(A1281,"" "")"),45540.0)</f>
        <v>45540</v>
      </c>
      <c r="C1281" s="10">
        <f>IFERROR(__xludf.DUMMYFUNCTION("""COMPUTED_VALUE"""),0.7833333333333333)</f>
        <v>0.7833333333</v>
      </c>
      <c r="D1281" s="2">
        <f t="shared" si="1"/>
        <v>18</v>
      </c>
      <c r="E1281" s="2">
        <f>IFERROR(__xludf.DUMMYFUNCTION("SPLIT(B1281,""/"")"),5.0)</f>
        <v>5</v>
      </c>
      <c r="F1281" s="2">
        <f>IFERROR(__xludf.DUMMYFUNCTION("""COMPUTED_VALUE"""),9.0)</f>
        <v>9</v>
      </c>
      <c r="G1281" s="2">
        <f>IFERROR(__xludf.DUMMYFUNCTION("""COMPUTED_VALUE"""),2024.0)</f>
        <v>2024</v>
      </c>
      <c r="H1281" s="2" t="str">
        <f t="shared" si="2"/>
        <v>2024/9/5</v>
      </c>
      <c r="I1281" s="2" t="s">
        <v>1579</v>
      </c>
      <c r="J1281" s="2" t="str">
        <f t="shared" si="3"/>
        <v>Tahu baso</v>
      </c>
      <c r="K1281" s="7">
        <f>if(RIGHT(I1281,5)="2 pcs",2,Data!I1281)</f>
        <v>1</v>
      </c>
      <c r="L1281" s="2" t="str">
        <f t="shared" si="4"/>
        <v>Thursday</v>
      </c>
      <c r="M1281" s="2" t="str">
        <f t="shared" si="5"/>
        <v>5</v>
      </c>
      <c r="N1281" s="2">
        <f>VLOOKUP(L1281,'Data Info'!$A$1:$B$8,2,0)</f>
        <v>4</v>
      </c>
      <c r="O1281" s="2" t="str">
        <f>VLOOKUP(L1281,'Data Info'!$A$1:$C$8,3,0)</f>
        <v>Weekday</v>
      </c>
    </row>
    <row r="1282">
      <c r="A1282" s="4">
        <v>45540.78333333333</v>
      </c>
      <c r="B1282" s="9">
        <f>IFERROR(__xludf.DUMMYFUNCTION("SPLIT(A1282,"" "")"),45540.0)</f>
        <v>45540</v>
      </c>
      <c r="C1282" s="10">
        <f>IFERROR(__xludf.DUMMYFUNCTION("""COMPUTED_VALUE"""),0.7833333333333333)</f>
        <v>0.7833333333</v>
      </c>
      <c r="D1282" s="2">
        <f t="shared" si="1"/>
        <v>18</v>
      </c>
      <c r="E1282" s="2">
        <f>IFERROR(__xludf.DUMMYFUNCTION("SPLIT(B1282,""/"")"),5.0)</f>
        <v>5</v>
      </c>
      <c r="F1282" s="2">
        <f>IFERROR(__xludf.DUMMYFUNCTION("""COMPUTED_VALUE"""),9.0)</f>
        <v>9</v>
      </c>
      <c r="G1282" s="2">
        <f>IFERROR(__xludf.DUMMYFUNCTION("""COMPUTED_VALUE"""),2024.0)</f>
        <v>2024</v>
      </c>
      <c r="H1282" s="2" t="str">
        <f t="shared" si="2"/>
        <v>2024/9/5</v>
      </c>
      <c r="I1282" s="2" t="s">
        <v>1588</v>
      </c>
      <c r="J1282" s="2" t="str">
        <f t="shared" si="3"/>
        <v>Es Kopi Susu</v>
      </c>
      <c r="K1282" s="7">
        <f>if(RIGHT(I1282,5)="2 pcs",2,Data!I1282)</f>
        <v>1</v>
      </c>
      <c r="L1282" s="2" t="str">
        <f t="shared" si="4"/>
        <v>Thursday</v>
      </c>
      <c r="M1282" s="2" t="str">
        <f t="shared" si="5"/>
        <v>5</v>
      </c>
      <c r="N1282" s="2">
        <f>VLOOKUP(L1282,'Data Info'!$A$1:$B$8,2,0)</f>
        <v>4</v>
      </c>
      <c r="O1282" s="2" t="str">
        <f>VLOOKUP(L1282,'Data Info'!$A$1:$C$8,3,0)</f>
        <v>Weekday</v>
      </c>
    </row>
    <row r="1283">
      <c r="A1283" s="4">
        <v>45540.77847222222</v>
      </c>
      <c r="B1283" s="9">
        <f>IFERROR(__xludf.DUMMYFUNCTION("SPLIT(A1283,"" "")"),45540.0)</f>
        <v>45540</v>
      </c>
      <c r="C1283" s="10">
        <f>IFERROR(__xludf.DUMMYFUNCTION("""COMPUTED_VALUE"""),0.7784722222222222)</f>
        <v>0.7784722222</v>
      </c>
      <c r="D1283" s="2">
        <f t="shared" si="1"/>
        <v>18</v>
      </c>
      <c r="E1283" s="2">
        <f>IFERROR(__xludf.DUMMYFUNCTION("SPLIT(B1283,""/"")"),5.0)</f>
        <v>5</v>
      </c>
      <c r="F1283" s="2">
        <f>IFERROR(__xludf.DUMMYFUNCTION("""COMPUTED_VALUE"""),9.0)</f>
        <v>9</v>
      </c>
      <c r="G1283" s="2">
        <f>IFERROR(__xludf.DUMMYFUNCTION("""COMPUTED_VALUE"""),2024.0)</f>
        <v>2024</v>
      </c>
      <c r="H1283" s="2" t="str">
        <f t="shared" si="2"/>
        <v>2024/9/5</v>
      </c>
      <c r="I1283" s="2" t="s">
        <v>1576</v>
      </c>
      <c r="J1283" s="2" t="str">
        <f t="shared" si="3"/>
        <v>Roti Cranberry</v>
      </c>
      <c r="K1283" s="7">
        <f>if(RIGHT(I1283,5)="2 pcs",2,Data!I1283)</f>
        <v>-1</v>
      </c>
      <c r="L1283" s="2" t="str">
        <f t="shared" si="4"/>
        <v>Thursday</v>
      </c>
      <c r="M1283" s="2" t="str">
        <f t="shared" si="5"/>
        <v>5</v>
      </c>
      <c r="N1283" s="2">
        <f>VLOOKUP(L1283,'Data Info'!$A$1:$B$8,2,0)</f>
        <v>4</v>
      </c>
      <c r="O1283" s="2" t="str">
        <f>VLOOKUP(L1283,'Data Info'!$A$1:$C$8,3,0)</f>
        <v>Weekday</v>
      </c>
    </row>
    <row r="1284">
      <c r="A1284" s="4">
        <v>45540.77847222222</v>
      </c>
      <c r="B1284" s="9">
        <f>IFERROR(__xludf.DUMMYFUNCTION("SPLIT(A1284,"" "")"),45540.0)</f>
        <v>45540</v>
      </c>
      <c r="C1284" s="10">
        <f>IFERROR(__xludf.DUMMYFUNCTION("""COMPUTED_VALUE"""),0.7784722222222222)</f>
        <v>0.7784722222</v>
      </c>
      <c r="D1284" s="2">
        <f t="shared" si="1"/>
        <v>18</v>
      </c>
      <c r="E1284" s="2">
        <f>IFERROR(__xludf.DUMMYFUNCTION("SPLIT(B1284,""/"")"),5.0)</f>
        <v>5</v>
      </c>
      <c r="F1284" s="2">
        <f>IFERROR(__xludf.DUMMYFUNCTION("""COMPUTED_VALUE"""),9.0)</f>
        <v>9</v>
      </c>
      <c r="G1284" s="2">
        <f>IFERROR(__xludf.DUMMYFUNCTION("""COMPUTED_VALUE"""),2024.0)</f>
        <v>2024</v>
      </c>
      <c r="H1284" s="2" t="str">
        <f t="shared" si="2"/>
        <v>2024/9/5</v>
      </c>
      <c r="I1284" s="2" t="s">
        <v>1634</v>
      </c>
      <c r="J1284" s="2" t="str">
        <f t="shared" si="3"/>
        <v>Roti coklat</v>
      </c>
      <c r="K1284" s="7">
        <f>if(RIGHT(I1284,5)="2 pcs",2,Data!I1284)</f>
        <v>-1</v>
      </c>
      <c r="L1284" s="2" t="str">
        <f t="shared" si="4"/>
        <v>Thursday</v>
      </c>
      <c r="M1284" s="2" t="str">
        <f t="shared" si="5"/>
        <v>5</v>
      </c>
      <c r="N1284" s="2">
        <f>VLOOKUP(L1284,'Data Info'!$A$1:$B$8,2,0)</f>
        <v>4</v>
      </c>
      <c r="O1284" s="2" t="str">
        <f>VLOOKUP(L1284,'Data Info'!$A$1:$C$8,3,0)</f>
        <v>Weekday</v>
      </c>
    </row>
    <row r="1285">
      <c r="A1285" s="4">
        <v>45540.77847222222</v>
      </c>
      <c r="B1285" s="9">
        <f>IFERROR(__xludf.DUMMYFUNCTION("SPLIT(A1285,"" "")"),45540.0)</f>
        <v>45540</v>
      </c>
      <c r="C1285" s="10">
        <f>IFERROR(__xludf.DUMMYFUNCTION("""COMPUTED_VALUE"""),0.7784722222222222)</f>
        <v>0.7784722222</v>
      </c>
      <c r="D1285" s="2">
        <f t="shared" si="1"/>
        <v>18</v>
      </c>
      <c r="E1285" s="2">
        <f>IFERROR(__xludf.DUMMYFUNCTION("SPLIT(B1285,""/"")"),5.0)</f>
        <v>5</v>
      </c>
      <c r="F1285" s="2">
        <f>IFERROR(__xludf.DUMMYFUNCTION("""COMPUTED_VALUE"""),9.0)</f>
        <v>9</v>
      </c>
      <c r="G1285" s="2">
        <f>IFERROR(__xludf.DUMMYFUNCTION("""COMPUTED_VALUE"""),2024.0)</f>
        <v>2024</v>
      </c>
      <c r="H1285" s="2" t="str">
        <f t="shared" si="2"/>
        <v>2024/9/5</v>
      </c>
      <c r="I1285" s="2" t="s">
        <v>1576</v>
      </c>
      <c r="J1285" s="2" t="str">
        <f t="shared" si="3"/>
        <v>Roti Cranberry</v>
      </c>
      <c r="K1285" s="7">
        <f>if(RIGHT(I1285,5)="2 pcs",2,Data!I1285)</f>
        <v>1</v>
      </c>
      <c r="L1285" s="2" t="str">
        <f t="shared" si="4"/>
        <v>Thursday</v>
      </c>
      <c r="M1285" s="2" t="str">
        <f t="shared" si="5"/>
        <v>5</v>
      </c>
      <c r="N1285" s="2">
        <f>VLOOKUP(L1285,'Data Info'!$A$1:$B$8,2,0)</f>
        <v>4</v>
      </c>
      <c r="O1285" s="2" t="str">
        <f>VLOOKUP(L1285,'Data Info'!$A$1:$C$8,3,0)</f>
        <v>Weekday</v>
      </c>
    </row>
    <row r="1286">
      <c r="A1286" s="4">
        <v>45540.77847222222</v>
      </c>
      <c r="B1286" s="9">
        <f>IFERROR(__xludf.DUMMYFUNCTION("SPLIT(A1286,"" "")"),45540.0)</f>
        <v>45540</v>
      </c>
      <c r="C1286" s="10">
        <f>IFERROR(__xludf.DUMMYFUNCTION("""COMPUTED_VALUE"""),0.7784722222222222)</f>
        <v>0.7784722222</v>
      </c>
      <c r="D1286" s="2">
        <f t="shared" si="1"/>
        <v>18</v>
      </c>
      <c r="E1286" s="2">
        <f>IFERROR(__xludf.DUMMYFUNCTION("SPLIT(B1286,""/"")"),5.0)</f>
        <v>5</v>
      </c>
      <c r="F1286" s="2">
        <f>IFERROR(__xludf.DUMMYFUNCTION("""COMPUTED_VALUE"""),9.0)</f>
        <v>9</v>
      </c>
      <c r="G1286" s="2">
        <f>IFERROR(__xludf.DUMMYFUNCTION("""COMPUTED_VALUE"""),2024.0)</f>
        <v>2024</v>
      </c>
      <c r="H1286" s="2" t="str">
        <f t="shared" si="2"/>
        <v>2024/9/5</v>
      </c>
      <c r="I1286" s="2" t="s">
        <v>1634</v>
      </c>
      <c r="J1286" s="2" t="str">
        <f t="shared" si="3"/>
        <v>Roti coklat</v>
      </c>
      <c r="K1286" s="7">
        <f>if(RIGHT(I1286,5)="2 pcs",2,Data!I1286)</f>
        <v>1</v>
      </c>
      <c r="L1286" s="2" t="str">
        <f t="shared" si="4"/>
        <v>Thursday</v>
      </c>
      <c r="M1286" s="2" t="str">
        <f t="shared" si="5"/>
        <v>5</v>
      </c>
      <c r="N1286" s="2">
        <f>VLOOKUP(L1286,'Data Info'!$A$1:$B$8,2,0)</f>
        <v>4</v>
      </c>
      <c r="O1286" s="2" t="str">
        <f>VLOOKUP(L1286,'Data Info'!$A$1:$C$8,3,0)</f>
        <v>Weekday</v>
      </c>
    </row>
    <row r="1287">
      <c r="A1287" s="4">
        <v>45540.77777777778</v>
      </c>
      <c r="B1287" s="9">
        <f>IFERROR(__xludf.DUMMYFUNCTION("SPLIT(A1287,"" "")"),45540.0)</f>
        <v>45540</v>
      </c>
      <c r="C1287" s="10">
        <f>IFERROR(__xludf.DUMMYFUNCTION("""COMPUTED_VALUE"""),0.7777777777777778)</f>
        <v>0.7777777778</v>
      </c>
      <c r="D1287" s="2">
        <f t="shared" si="1"/>
        <v>18</v>
      </c>
      <c r="E1287" s="2">
        <f>IFERROR(__xludf.DUMMYFUNCTION("SPLIT(B1287,""/"")"),5.0)</f>
        <v>5</v>
      </c>
      <c r="F1287" s="2">
        <f>IFERROR(__xludf.DUMMYFUNCTION("""COMPUTED_VALUE"""),9.0)</f>
        <v>9</v>
      </c>
      <c r="G1287" s="2">
        <f>IFERROR(__xludf.DUMMYFUNCTION("""COMPUTED_VALUE"""),2024.0)</f>
        <v>2024</v>
      </c>
      <c r="H1287" s="2" t="str">
        <f t="shared" si="2"/>
        <v>2024/9/5</v>
      </c>
      <c r="I1287" s="2" t="s">
        <v>1634</v>
      </c>
      <c r="J1287" s="2" t="str">
        <f t="shared" si="3"/>
        <v>Roti coklat</v>
      </c>
      <c r="K1287" s="7">
        <f>if(RIGHT(I1287,5)="2 pcs",2,Data!I1287)</f>
        <v>1</v>
      </c>
      <c r="L1287" s="2" t="str">
        <f t="shared" si="4"/>
        <v>Thursday</v>
      </c>
      <c r="M1287" s="2" t="str">
        <f t="shared" si="5"/>
        <v>5</v>
      </c>
      <c r="N1287" s="2">
        <f>VLOOKUP(L1287,'Data Info'!$A$1:$B$8,2,0)</f>
        <v>4</v>
      </c>
      <c r="O1287" s="2" t="str">
        <f>VLOOKUP(L1287,'Data Info'!$A$1:$C$8,3,0)</f>
        <v>Weekday</v>
      </c>
    </row>
    <row r="1288">
      <c r="A1288" s="4">
        <v>45540.77777777778</v>
      </c>
      <c r="B1288" s="9">
        <f>IFERROR(__xludf.DUMMYFUNCTION("SPLIT(A1288,"" "")"),45540.0)</f>
        <v>45540</v>
      </c>
      <c r="C1288" s="10">
        <f>IFERROR(__xludf.DUMMYFUNCTION("""COMPUTED_VALUE"""),0.7777777777777778)</f>
        <v>0.7777777778</v>
      </c>
      <c r="D1288" s="2">
        <f t="shared" si="1"/>
        <v>18</v>
      </c>
      <c r="E1288" s="2">
        <f>IFERROR(__xludf.DUMMYFUNCTION("SPLIT(B1288,""/"")"),5.0)</f>
        <v>5</v>
      </c>
      <c r="F1288" s="2">
        <f>IFERROR(__xludf.DUMMYFUNCTION("""COMPUTED_VALUE"""),9.0)</f>
        <v>9</v>
      </c>
      <c r="G1288" s="2">
        <f>IFERROR(__xludf.DUMMYFUNCTION("""COMPUTED_VALUE"""),2024.0)</f>
        <v>2024</v>
      </c>
      <c r="H1288" s="2" t="str">
        <f t="shared" si="2"/>
        <v>2024/9/5</v>
      </c>
      <c r="I1288" s="2" t="s">
        <v>1576</v>
      </c>
      <c r="J1288" s="2" t="str">
        <f t="shared" si="3"/>
        <v>Roti Cranberry</v>
      </c>
      <c r="K1288" s="7">
        <f>if(RIGHT(I1288,5)="2 pcs",2,Data!I1288)</f>
        <v>1</v>
      </c>
      <c r="L1288" s="2" t="str">
        <f t="shared" si="4"/>
        <v>Thursday</v>
      </c>
      <c r="M1288" s="2" t="str">
        <f t="shared" si="5"/>
        <v>5</v>
      </c>
      <c r="N1288" s="2">
        <f>VLOOKUP(L1288,'Data Info'!$A$1:$B$8,2,0)</f>
        <v>4</v>
      </c>
      <c r="O1288" s="2" t="str">
        <f>VLOOKUP(L1288,'Data Info'!$A$1:$C$8,3,0)</f>
        <v>Weekday</v>
      </c>
    </row>
    <row r="1289">
      <c r="A1289" s="4">
        <v>45540.69930555556</v>
      </c>
      <c r="B1289" s="9">
        <f>IFERROR(__xludf.DUMMYFUNCTION("SPLIT(A1289,"" "")"),45540.0)</f>
        <v>45540</v>
      </c>
      <c r="C1289" s="10">
        <f>IFERROR(__xludf.DUMMYFUNCTION("""COMPUTED_VALUE"""),0.6993055555555555)</f>
        <v>0.6993055556</v>
      </c>
      <c r="D1289" s="2">
        <f t="shared" si="1"/>
        <v>16</v>
      </c>
      <c r="E1289" s="2">
        <f>IFERROR(__xludf.DUMMYFUNCTION("SPLIT(B1289,""/"")"),5.0)</f>
        <v>5</v>
      </c>
      <c r="F1289" s="2">
        <f>IFERROR(__xludf.DUMMYFUNCTION("""COMPUTED_VALUE"""),9.0)</f>
        <v>9</v>
      </c>
      <c r="G1289" s="2">
        <f>IFERROR(__xludf.DUMMYFUNCTION("""COMPUTED_VALUE"""),2024.0)</f>
        <v>2024</v>
      </c>
      <c r="H1289" s="2" t="str">
        <f t="shared" si="2"/>
        <v>2024/9/5</v>
      </c>
      <c r="I1289" s="2" t="s">
        <v>1597</v>
      </c>
      <c r="J1289" s="2" t="str">
        <f t="shared" si="3"/>
        <v>Roti Gandum Cokelat</v>
      </c>
      <c r="K1289" s="7">
        <f>if(RIGHT(I1289,5)="2 pcs",2,Data!I1289)</f>
        <v>2</v>
      </c>
      <c r="L1289" s="2" t="str">
        <f t="shared" si="4"/>
        <v>Thursday</v>
      </c>
      <c r="M1289" s="2" t="str">
        <f t="shared" si="5"/>
        <v>5</v>
      </c>
      <c r="N1289" s="2">
        <f>VLOOKUP(L1289,'Data Info'!$A$1:$B$8,2,0)</f>
        <v>4</v>
      </c>
      <c r="O1289" s="2" t="str">
        <f>VLOOKUP(L1289,'Data Info'!$A$1:$C$8,3,0)</f>
        <v>Weekday</v>
      </c>
    </row>
    <row r="1290">
      <c r="A1290" s="4">
        <v>45540.67847222222</v>
      </c>
      <c r="B1290" s="9">
        <f>IFERROR(__xludf.DUMMYFUNCTION("SPLIT(A1290,"" "")"),45540.0)</f>
        <v>45540</v>
      </c>
      <c r="C1290" s="10">
        <f>IFERROR(__xludf.DUMMYFUNCTION("""COMPUTED_VALUE"""),0.6784722222222223)</f>
        <v>0.6784722222</v>
      </c>
      <c r="D1290" s="2">
        <f t="shared" si="1"/>
        <v>16</v>
      </c>
      <c r="E1290" s="2">
        <f>IFERROR(__xludf.DUMMYFUNCTION("SPLIT(B1290,""/"")"),5.0)</f>
        <v>5</v>
      </c>
      <c r="F1290" s="2">
        <f>IFERROR(__xludf.DUMMYFUNCTION("""COMPUTED_VALUE"""),9.0)</f>
        <v>9</v>
      </c>
      <c r="G1290" s="2">
        <f>IFERROR(__xludf.DUMMYFUNCTION("""COMPUTED_VALUE"""),2024.0)</f>
        <v>2024</v>
      </c>
      <c r="H1290" s="2" t="str">
        <f t="shared" si="2"/>
        <v>2024/9/5</v>
      </c>
      <c r="I1290" s="2" t="s">
        <v>1566</v>
      </c>
      <c r="J1290" s="2" t="str">
        <f t="shared" si="3"/>
        <v>Roti Bawang Saus Keju</v>
      </c>
      <c r="K1290" s="7">
        <f>if(RIGHT(I1290,5)="2 pcs",2,Data!I1290)</f>
        <v>1</v>
      </c>
      <c r="L1290" s="2" t="str">
        <f t="shared" si="4"/>
        <v>Thursday</v>
      </c>
      <c r="M1290" s="2" t="str">
        <f t="shared" si="5"/>
        <v>5</v>
      </c>
      <c r="N1290" s="2">
        <f>VLOOKUP(L1290,'Data Info'!$A$1:$B$8,2,0)</f>
        <v>4</v>
      </c>
      <c r="O1290" s="2" t="str">
        <f>VLOOKUP(L1290,'Data Info'!$A$1:$C$8,3,0)</f>
        <v>Weekday</v>
      </c>
    </row>
    <row r="1291">
      <c r="A1291" s="4">
        <v>45540.67847222222</v>
      </c>
      <c r="B1291" s="9">
        <f>IFERROR(__xludf.DUMMYFUNCTION("SPLIT(A1291,"" "")"),45540.0)</f>
        <v>45540</v>
      </c>
      <c r="C1291" s="10">
        <f>IFERROR(__xludf.DUMMYFUNCTION("""COMPUTED_VALUE"""),0.6784722222222223)</f>
        <v>0.6784722222</v>
      </c>
      <c r="D1291" s="2">
        <f t="shared" si="1"/>
        <v>16</v>
      </c>
      <c r="E1291" s="2">
        <f>IFERROR(__xludf.DUMMYFUNCTION("SPLIT(B1291,""/"")"),5.0)</f>
        <v>5</v>
      </c>
      <c r="F1291" s="2">
        <f>IFERROR(__xludf.DUMMYFUNCTION("""COMPUTED_VALUE"""),9.0)</f>
        <v>9</v>
      </c>
      <c r="G1291" s="2">
        <f>IFERROR(__xludf.DUMMYFUNCTION("""COMPUTED_VALUE"""),2024.0)</f>
        <v>2024</v>
      </c>
      <c r="H1291" s="2" t="str">
        <f t="shared" si="2"/>
        <v>2024/9/5</v>
      </c>
      <c r="I1291" s="2" t="s">
        <v>1566</v>
      </c>
      <c r="J1291" s="2" t="str">
        <f t="shared" si="3"/>
        <v>Roti Bawang Saus Keju</v>
      </c>
      <c r="K1291" s="7">
        <f>if(RIGHT(I1291,5)="2 pcs",2,Data!I1291)</f>
        <v>1</v>
      </c>
      <c r="L1291" s="2" t="str">
        <f t="shared" si="4"/>
        <v>Thursday</v>
      </c>
      <c r="M1291" s="2" t="str">
        <f t="shared" si="5"/>
        <v>5</v>
      </c>
      <c r="N1291" s="2">
        <f>VLOOKUP(L1291,'Data Info'!$A$1:$B$8,2,0)</f>
        <v>4</v>
      </c>
      <c r="O1291" s="2" t="str">
        <f>VLOOKUP(L1291,'Data Info'!$A$1:$C$8,3,0)</f>
        <v>Weekday</v>
      </c>
    </row>
    <row r="1292">
      <c r="A1292" s="4">
        <v>45540.67847222222</v>
      </c>
      <c r="B1292" s="9">
        <f>IFERROR(__xludf.DUMMYFUNCTION("SPLIT(A1292,"" "")"),45540.0)</f>
        <v>45540</v>
      </c>
      <c r="C1292" s="10">
        <f>IFERROR(__xludf.DUMMYFUNCTION("""COMPUTED_VALUE"""),0.6784722222222223)</f>
        <v>0.6784722222</v>
      </c>
      <c r="D1292" s="2">
        <f t="shared" si="1"/>
        <v>16</v>
      </c>
      <c r="E1292" s="2">
        <f>IFERROR(__xludf.DUMMYFUNCTION("SPLIT(B1292,""/"")"),5.0)</f>
        <v>5</v>
      </c>
      <c r="F1292" s="2">
        <f>IFERROR(__xludf.DUMMYFUNCTION("""COMPUTED_VALUE"""),9.0)</f>
        <v>9</v>
      </c>
      <c r="G1292" s="2">
        <f>IFERROR(__xludf.DUMMYFUNCTION("""COMPUTED_VALUE"""),2024.0)</f>
        <v>2024</v>
      </c>
      <c r="H1292" s="2" t="str">
        <f t="shared" si="2"/>
        <v>2024/9/5</v>
      </c>
      <c r="I1292" s="2" t="s">
        <v>1596</v>
      </c>
      <c r="J1292" s="2" t="str">
        <f t="shared" si="3"/>
        <v>Roti Cranberry</v>
      </c>
      <c r="K1292" s="7">
        <f>if(RIGHT(I1292,5)="2 pcs",2,Data!I1292)</f>
        <v>2</v>
      </c>
      <c r="L1292" s="2" t="str">
        <f t="shared" si="4"/>
        <v>Thursday</v>
      </c>
      <c r="M1292" s="2" t="str">
        <f t="shared" si="5"/>
        <v>5</v>
      </c>
      <c r="N1292" s="2">
        <f>VLOOKUP(L1292,'Data Info'!$A$1:$B$8,2,0)</f>
        <v>4</v>
      </c>
      <c r="O1292" s="2" t="str">
        <f>VLOOKUP(L1292,'Data Info'!$A$1:$C$8,3,0)</f>
        <v>Weekday</v>
      </c>
    </row>
    <row r="1293">
      <c r="A1293" s="4">
        <v>45540.649305555555</v>
      </c>
      <c r="B1293" s="9">
        <f>IFERROR(__xludf.DUMMYFUNCTION("SPLIT(A1293,"" "")"),45540.0)</f>
        <v>45540</v>
      </c>
      <c r="C1293" s="10">
        <f>IFERROR(__xludf.DUMMYFUNCTION("""COMPUTED_VALUE"""),0.6493055555555556)</f>
        <v>0.6493055556</v>
      </c>
      <c r="D1293" s="2">
        <f t="shared" si="1"/>
        <v>15</v>
      </c>
      <c r="E1293" s="2">
        <f>IFERROR(__xludf.DUMMYFUNCTION("SPLIT(B1293,""/"")"),5.0)</f>
        <v>5</v>
      </c>
      <c r="F1293" s="2">
        <f>IFERROR(__xludf.DUMMYFUNCTION("""COMPUTED_VALUE"""),9.0)</f>
        <v>9</v>
      </c>
      <c r="G1293" s="2">
        <f>IFERROR(__xludf.DUMMYFUNCTION("""COMPUTED_VALUE"""),2024.0)</f>
        <v>2024</v>
      </c>
      <c r="H1293" s="2" t="str">
        <f t="shared" si="2"/>
        <v>2024/9/5</v>
      </c>
      <c r="I1293" s="2" t="s">
        <v>1576</v>
      </c>
      <c r="J1293" s="2" t="str">
        <f t="shared" si="3"/>
        <v>Roti Cranberry</v>
      </c>
      <c r="K1293" s="7">
        <f>if(RIGHT(I1293,5)="2 pcs",2,Data!I1293)</f>
        <v>1</v>
      </c>
      <c r="L1293" s="2" t="str">
        <f t="shared" si="4"/>
        <v>Thursday</v>
      </c>
      <c r="M1293" s="2" t="str">
        <f t="shared" si="5"/>
        <v>5</v>
      </c>
      <c r="N1293" s="2">
        <f>VLOOKUP(L1293,'Data Info'!$A$1:$B$8,2,0)</f>
        <v>4</v>
      </c>
      <c r="O1293" s="2" t="str">
        <f>VLOOKUP(L1293,'Data Info'!$A$1:$C$8,3,0)</f>
        <v>Weekday</v>
      </c>
    </row>
    <row r="1294">
      <c r="A1294" s="4">
        <v>45540.64722222222</v>
      </c>
      <c r="B1294" s="9">
        <f>IFERROR(__xludf.DUMMYFUNCTION("SPLIT(A1294,"" "")"),45540.0)</f>
        <v>45540</v>
      </c>
      <c r="C1294" s="10">
        <f>IFERROR(__xludf.DUMMYFUNCTION("""COMPUTED_VALUE"""),0.6472222222222223)</f>
        <v>0.6472222222</v>
      </c>
      <c r="D1294" s="2">
        <f t="shared" si="1"/>
        <v>15</v>
      </c>
      <c r="E1294" s="2">
        <f>IFERROR(__xludf.DUMMYFUNCTION("SPLIT(B1294,""/"")"),5.0)</f>
        <v>5</v>
      </c>
      <c r="F1294" s="2">
        <f>IFERROR(__xludf.DUMMYFUNCTION("""COMPUTED_VALUE"""),9.0)</f>
        <v>9</v>
      </c>
      <c r="G1294" s="2">
        <f>IFERROR(__xludf.DUMMYFUNCTION("""COMPUTED_VALUE"""),2024.0)</f>
        <v>2024</v>
      </c>
      <c r="H1294" s="2" t="str">
        <f t="shared" si="2"/>
        <v>2024/9/5</v>
      </c>
      <c r="I1294" s="2" t="s">
        <v>1566</v>
      </c>
      <c r="J1294" s="2" t="str">
        <f t="shared" si="3"/>
        <v>Roti Bawang Saus Keju</v>
      </c>
      <c r="K1294" s="7">
        <f>if(RIGHT(I1294,5)="2 pcs",2,Data!I1294)</f>
        <v>1</v>
      </c>
      <c r="L1294" s="2" t="str">
        <f t="shared" si="4"/>
        <v>Thursday</v>
      </c>
      <c r="M1294" s="2" t="str">
        <f t="shared" si="5"/>
        <v>5</v>
      </c>
      <c r="N1294" s="2">
        <f>VLOOKUP(L1294,'Data Info'!$A$1:$B$8,2,0)</f>
        <v>4</v>
      </c>
      <c r="O1294" s="2" t="str">
        <f>VLOOKUP(L1294,'Data Info'!$A$1:$C$8,3,0)</f>
        <v>Weekday</v>
      </c>
    </row>
    <row r="1295">
      <c r="A1295" s="4">
        <v>45540.64722222222</v>
      </c>
      <c r="B1295" s="9">
        <f>IFERROR(__xludf.DUMMYFUNCTION("SPLIT(A1295,"" "")"),45540.0)</f>
        <v>45540</v>
      </c>
      <c r="C1295" s="10">
        <f>IFERROR(__xludf.DUMMYFUNCTION("""COMPUTED_VALUE"""),0.6472222222222223)</f>
        <v>0.6472222222</v>
      </c>
      <c r="D1295" s="2">
        <f t="shared" si="1"/>
        <v>15</v>
      </c>
      <c r="E1295" s="2">
        <f>IFERROR(__xludf.DUMMYFUNCTION("SPLIT(B1295,""/"")"),5.0)</f>
        <v>5</v>
      </c>
      <c r="F1295" s="2">
        <f>IFERROR(__xludf.DUMMYFUNCTION("""COMPUTED_VALUE"""),9.0)</f>
        <v>9</v>
      </c>
      <c r="G1295" s="2">
        <f>IFERROR(__xludf.DUMMYFUNCTION("""COMPUTED_VALUE"""),2024.0)</f>
        <v>2024</v>
      </c>
      <c r="H1295" s="2" t="str">
        <f t="shared" si="2"/>
        <v>2024/9/5</v>
      </c>
      <c r="I1295" s="2" t="s">
        <v>1596</v>
      </c>
      <c r="J1295" s="2" t="str">
        <f t="shared" si="3"/>
        <v>Roti Cranberry</v>
      </c>
      <c r="K1295" s="7">
        <f>if(RIGHT(I1295,5)="2 pcs",2,Data!I1295)</f>
        <v>2</v>
      </c>
      <c r="L1295" s="2" t="str">
        <f t="shared" si="4"/>
        <v>Thursday</v>
      </c>
      <c r="M1295" s="2" t="str">
        <f t="shared" si="5"/>
        <v>5</v>
      </c>
      <c r="N1295" s="2">
        <f>VLOOKUP(L1295,'Data Info'!$A$1:$B$8,2,0)</f>
        <v>4</v>
      </c>
      <c r="O1295" s="2" t="str">
        <f>VLOOKUP(L1295,'Data Info'!$A$1:$C$8,3,0)</f>
        <v>Weekday</v>
      </c>
    </row>
    <row r="1296">
      <c r="A1296" s="4">
        <v>45540.64722222222</v>
      </c>
      <c r="B1296" s="9">
        <f>IFERROR(__xludf.DUMMYFUNCTION("SPLIT(A1296,"" "")"),45540.0)</f>
        <v>45540</v>
      </c>
      <c r="C1296" s="10">
        <f>IFERROR(__xludf.DUMMYFUNCTION("""COMPUTED_VALUE"""),0.6472222222222223)</f>
        <v>0.6472222222</v>
      </c>
      <c r="D1296" s="2">
        <f t="shared" si="1"/>
        <v>15</v>
      </c>
      <c r="E1296" s="2">
        <f>IFERROR(__xludf.DUMMYFUNCTION("SPLIT(B1296,""/"")"),5.0)</f>
        <v>5</v>
      </c>
      <c r="F1296" s="2">
        <f>IFERROR(__xludf.DUMMYFUNCTION("""COMPUTED_VALUE"""),9.0)</f>
        <v>9</v>
      </c>
      <c r="G1296" s="2">
        <f>IFERROR(__xludf.DUMMYFUNCTION("""COMPUTED_VALUE"""),2024.0)</f>
        <v>2024</v>
      </c>
      <c r="H1296" s="2" t="str">
        <f t="shared" si="2"/>
        <v>2024/9/5</v>
      </c>
      <c r="I1296" s="2" t="s">
        <v>1635</v>
      </c>
      <c r="J1296" s="2" t="str">
        <f t="shared" si="3"/>
        <v>Roti keju</v>
      </c>
      <c r="K1296" s="7">
        <f>if(RIGHT(I1296,5)="2 pcs",2,Data!I1296)</f>
        <v>1</v>
      </c>
      <c r="L1296" s="2" t="str">
        <f t="shared" si="4"/>
        <v>Thursday</v>
      </c>
      <c r="M1296" s="2" t="str">
        <f t="shared" si="5"/>
        <v>5</v>
      </c>
      <c r="N1296" s="2">
        <f>VLOOKUP(L1296,'Data Info'!$A$1:$B$8,2,0)</f>
        <v>4</v>
      </c>
      <c r="O1296" s="2" t="str">
        <f>VLOOKUP(L1296,'Data Info'!$A$1:$C$8,3,0)</f>
        <v>Weekday</v>
      </c>
    </row>
    <row r="1297">
      <c r="A1297" s="4">
        <v>45540.626388888886</v>
      </c>
      <c r="B1297" s="9">
        <f>IFERROR(__xludf.DUMMYFUNCTION("SPLIT(A1297,"" "")"),45540.0)</f>
        <v>45540</v>
      </c>
      <c r="C1297" s="10">
        <f>IFERROR(__xludf.DUMMYFUNCTION("""COMPUTED_VALUE"""),0.6263888888888889)</f>
        <v>0.6263888889</v>
      </c>
      <c r="D1297" s="2">
        <f t="shared" si="1"/>
        <v>15</v>
      </c>
      <c r="E1297" s="2">
        <f>IFERROR(__xludf.DUMMYFUNCTION("SPLIT(B1297,""/"")"),5.0)</f>
        <v>5</v>
      </c>
      <c r="F1297" s="2">
        <f>IFERROR(__xludf.DUMMYFUNCTION("""COMPUTED_VALUE"""),9.0)</f>
        <v>9</v>
      </c>
      <c r="G1297" s="2">
        <f>IFERROR(__xludf.DUMMYFUNCTION("""COMPUTED_VALUE"""),2024.0)</f>
        <v>2024</v>
      </c>
      <c r="H1297" s="2" t="str">
        <f t="shared" si="2"/>
        <v>2024/9/5</v>
      </c>
      <c r="I1297" s="2" t="s">
        <v>1634</v>
      </c>
      <c r="J1297" s="2" t="str">
        <f t="shared" si="3"/>
        <v>Roti coklat</v>
      </c>
      <c r="K1297" s="7">
        <f>if(RIGHT(I1297,5)="2 pcs",2,Data!I1297)</f>
        <v>1</v>
      </c>
      <c r="L1297" s="2" t="str">
        <f t="shared" si="4"/>
        <v>Thursday</v>
      </c>
      <c r="M1297" s="2" t="str">
        <f t="shared" si="5"/>
        <v>5</v>
      </c>
      <c r="N1297" s="2">
        <f>VLOOKUP(L1297,'Data Info'!$A$1:$B$8,2,0)</f>
        <v>4</v>
      </c>
      <c r="O1297" s="2" t="str">
        <f>VLOOKUP(L1297,'Data Info'!$A$1:$C$8,3,0)</f>
        <v>Weekday</v>
      </c>
    </row>
    <row r="1298">
      <c r="A1298" s="4">
        <v>45540.623611111114</v>
      </c>
      <c r="B1298" s="9">
        <f>IFERROR(__xludf.DUMMYFUNCTION("SPLIT(A1298,"" "")"),45540.0)</f>
        <v>45540</v>
      </c>
      <c r="C1298" s="10">
        <f>IFERROR(__xludf.DUMMYFUNCTION("""COMPUTED_VALUE"""),0.6236111111111111)</f>
        <v>0.6236111111</v>
      </c>
      <c r="D1298" s="2">
        <f t="shared" si="1"/>
        <v>14</v>
      </c>
      <c r="E1298" s="2">
        <f>IFERROR(__xludf.DUMMYFUNCTION("SPLIT(B1298,""/"")"),5.0)</f>
        <v>5</v>
      </c>
      <c r="F1298" s="2">
        <f>IFERROR(__xludf.DUMMYFUNCTION("""COMPUTED_VALUE"""),9.0)</f>
        <v>9</v>
      </c>
      <c r="G1298" s="2">
        <f>IFERROR(__xludf.DUMMYFUNCTION("""COMPUTED_VALUE"""),2024.0)</f>
        <v>2024</v>
      </c>
      <c r="H1298" s="2" t="str">
        <f t="shared" si="2"/>
        <v>2024/9/5</v>
      </c>
      <c r="I1298" s="2" t="s">
        <v>1594</v>
      </c>
      <c r="J1298" s="2" t="str">
        <f t="shared" si="3"/>
        <v>Wedang Bulan</v>
      </c>
      <c r="K1298" s="7">
        <f>if(RIGHT(I1298,5)="2 pcs",2,Data!I1298)</f>
        <v>1</v>
      </c>
      <c r="L1298" s="2" t="str">
        <f t="shared" si="4"/>
        <v>Thursday</v>
      </c>
      <c r="M1298" s="2" t="str">
        <f t="shared" si="5"/>
        <v>5</v>
      </c>
      <c r="N1298" s="2">
        <f>VLOOKUP(L1298,'Data Info'!$A$1:$B$8,2,0)</f>
        <v>4</v>
      </c>
      <c r="O1298" s="2" t="str">
        <f>VLOOKUP(L1298,'Data Info'!$A$1:$C$8,3,0)</f>
        <v>Weekday</v>
      </c>
    </row>
    <row r="1299">
      <c r="A1299" s="4">
        <v>45540.623611111114</v>
      </c>
      <c r="B1299" s="9">
        <f>IFERROR(__xludf.DUMMYFUNCTION("SPLIT(A1299,"" "")"),45540.0)</f>
        <v>45540</v>
      </c>
      <c r="C1299" s="10">
        <f>IFERROR(__xludf.DUMMYFUNCTION("""COMPUTED_VALUE"""),0.6236111111111111)</f>
        <v>0.6236111111</v>
      </c>
      <c r="D1299" s="2">
        <f t="shared" si="1"/>
        <v>14</v>
      </c>
      <c r="E1299" s="2">
        <f>IFERROR(__xludf.DUMMYFUNCTION("SPLIT(B1299,""/"")"),5.0)</f>
        <v>5</v>
      </c>
      <c r="F1299" s="2">
        <f>IFERROR(__xludf.DUMMYFUNCTION("""COMPUTED_VALUE"""),9.0)</f>
        <v>9</v>
      </c>
      <c r="G1299" s="2">
        <f>IFERROR(__xludf.DUMMYFUNCTION("""COMPUTED_VALUE"""),2024.0)</f>
        <v>2024</v>
      </c>
      <c r="H1299" s="2" t="str">
        <f t="shared" si="2"/>
        <v>2024/9/5</v>
      </c>
      <c r="I1299" s="2" t="s">
        <v>1634</v>
      </c>
      <c r="J1299" s="2" t="str">
        <f t="shared" si="3"/>
        <v>Roti coklat</v>
      </c>
      <c r="K1299" s="7">
        <f>if(RIGHT(I1299,5)="2 pcs",2,Data!I1299)</f>
        <v>1</v>
      </c>
      <c r="L1299" s="2" t="str">
        <f t="shared" si="4"/>
        <v>Thursday</v>
      </c>
      <c r="M1299" s="2" t="str">
        <f t="shared" si="5"/>
        <v>5</v>
      </c>
      <c r="N1299" s="2">
        <f>VLOOKUP(L1299,'Data Info'!$A$1:$B$8,2,0)</f>
        <v>4</v>
      </c>
      <c r="O1299" s="2" t="str">
        <f>VLOOKUP(L1299,'Data Info'!$A$1:$C$8,3,0)</f>
        <v>Weekday</v>
      </c>
    </row>
    <row r="1300">
      <c r="A1300" s="4">
        <v>45540.61875</v>
      </c>
      <c r="B1300" s="9">
        <f>IFERROR(__xludf.DUMMYFUNCTION("SPLIT(A1300,"" "")"),45540.0)</f>
        <v>45540</v>
      </c>
      <c r="C1300" s="10">
        <f>IFERROR(__xludf.DUMMYFUNCTION("""COMPUTED_VALUE"""),0.61875)</f>
        <v>0.61875</v>
      </c>
      <c r="D1300" s="2">
        <f t="shared" si="1"/>
        <v>14</v>
      </c>
      <c r="E1300" s="2">
        <f>IFERROR(__xludf.DUMMYFUNCTION("SPLIT(B1300,""/"")"),5.0)</f>
        <v>5</v>
      </c>
      <c r="F1300" s="2">
        <f>IFERROR(__xludf.DUMMYFUNCTION("""COMPUTED_VALUE"""),9.0)</f>
        <v>9</v>
      </c>
      <c r="G1300" s="2">
        <f>IFERROR(__xludf.DUMMYFUNCTION("""COMPUTED_VALUE"""),2024.0)</f>
        <v>2024</v>
      </c>
      <c r="H1300" s="2" t="str">
        <f t="shared" si="2"/>
        <v>2024/9/5</v>
      </c>
      <c r="I1300" s="2" t="s">
        <v>1612</v>
      </c>
      <c r="J1300" s="2" t="str">
        <f t="shared" si="3"/>
        <v>Nasi telor</v>
      </c>
      <c r="K1300" s="7">
        <f>if(RIGHT(I1300,5)="2 pcs",2,Data!I1300)</f>
        <v>1</v>
      </c>
      <c r="L1300" s="2" t="str">
        <f t="shared" si="4"/>
        <v>Thursday</v>
      </c>
      <c r="M1300" s="2" t="str">
        <f t="shared" si="5"/>
        <v>5</v>
      </c>
      <c r="N1300" s="2">
        <f>VLOOKUP(L1300,'Data Info'!$A$1:$B$8,2,0)</f>
        <v>4</v>
      </c>
      <c r="O1300" s="2" t="str">
        <f>VLOOKUP(L1300,'Data Info'!$A$1:$C$8,3,0)</f>
        <v>Weekday</v>
      </c>
    </row>
    <row r="1301">
      <c r="A1301" s="4">
        <v>45540.61875</v>
      </c>
      <c r="B1301" s="9">
        <f>IFERROR(__xludf.DUMMYFUNCTION("SPLIT(A1301,"" "")"),45540.0)</f>
        <v>45540</v>
      </c>
      <c r="C1301" s="10">
        <f>IFERROR(__xludf.DUMMYFUNCTION("""COMPUTED_VALUE"""),0.61875)</f>
        <v>0.61875</v>
      </c>
      <c r="D1301" s="2">
        <f t="shared" si="1"/>
        <v>14</v>
      </c>
      <c r="E1301" s="2">
        <f>IFERROR(__xludf.DUMMYFUNCTION("SPLIT(B1301,""/"")"),5.0)</f>
        <v>5</v>
      </c>
      <c r="F1301" s="2">
        <f>IFERROR(__xludf.DUMMYFUNCTION("""COMPUTED_VALUE"""),9.0)</f>
        <v>9</v>
      </c>
      <c r="G1301" s="2">
        <f>IFERROR(__xludf.DUMMYFUNCTION("""COMPUTED_VALUE"""),2024.0)</f>
        <v>2024</v>
      </c>
      <c r="H1301" s="2" t="str">
        <f t="shared" si="2"/>
        <v>2024/9/5</v>
      </c>
      <c r="I1301" s="2" t="s">
        <v>1576</v>
      </c>
      <c r="J1301" s="2" t="str">
        <f t="shared" si="3"/>
        <v>Roti Cranberry</v>
      </c>
      <c r="K1301" s="7">
        <f>if(RIGHT(I1301,5)="2 pcs",2,Data!I1301)</f>
        <v>1</v>
      </c>
      <c r="L1301" s="2" t="str">
        <f t="shared" si="4"/>
        <v>Thursday</v>
      </c>
      <c r="M1301" s="2" t="str">
        <f t="shared" si="5"/>
        <v>5</v>
      </c>
      <c r="N1301" s="2">
        <f>VLOOKUP(L1301,'Data Info'!$A$1:$B$8,2,0)</f>
        <v>4</v>
      </c>
      <c r="O1301" s="2" t="str">
        <f>VLOOKUP(L1301,'Data Info'!$A$1:$C$8,3,0)</f>
        <v>Weekday</v>
      </c>
    </row>
    <row r="1302">
      <c r="A1302" s="4">
        <v>45540.575694444444</v>
      </c>
      <c r="B1302" s="9">
        <f>IFERROR(__xludf.DUMMYFUNCTION("SPLIT(A1302,"" "")"),45540.0)</f>
        <v>45540</v>
      </c>
      <c r="C1302" s="10">
        <f>IFERROR(__xludf.DUMMYFUNCTION("""COMPUTED_VALUE"""),0.5756944444444444)</f>
        <v>0.5756944444</v>
      </c>
      <c r="D1302" s="2">
        <f t="shared" si="1"/>
        <v>13</v>
      </c>
      <c r="E1302" s="2">
        <f>IFERROR(__xludf.DUMMYFUNCTION("SPLIT(B1302,""/"")"),5.0)</f>
        <v>5</v>
      </c>
      <c r="F1302" s="2">
        <f>IFERROR(__xludf.DUMMYFUNCTION("""COMPUTED_VALUE"""),9.0)</f>
        <v>9</v>
      </c>
      <c r="G1302" s="2">
        <f>IFERROR(__xludf.DUMMYFUNCTION("""COMPUTED_VALUE"""),2024.0)</f>
        <v>2024</v>
      </c>
      <c r="H1302" s="2" t="str">
        <f t="shared" si="2"/>
        <v>2024/9/5</v>
      </c>
      <c r="I1302" s="2" t="s">
        <v>1596</v>
      </c>
      <c r="J1302" s="2" t="str">
        <f t="shared" si="3"/>
        <v>Roti Cranberry</v>
      </c>
      <c r="K1302" s="7">
        <f>if(RIGHT(I1302,5)="2 pcs",2,Data!I1302)</f>
        <v>2</v>
      </c>
      <c r="L1302" s="2" t="str">
        <f t="shared" si="4"/>
        <v>Thursday</v>
      </c>
      <c r="M1302" s="2" t="str">
        <f t="shared" si="5"/>
        <v>5</v>
      </c>
      <c r="N1302" s="2">
        <f>VLOOKUP(L1302,'Data Info'!$A$1:$B$8,2,0)</f>
        <v>4</v>
      </c>
      <c r="O1302" s="2" t="str">
        <f>VLOOKUP(L1302,'Data Info'!$A$1:$C$8,3,0)</f>
        <v>Weekday</v>
      </c>
    </row>
    <row r="1303">
      <c r="A1303" s="4">
        <v>45540.575694444444</v>
      </c>
      <c r="B1303" s="9">
        <f>IFERROR(__xludf.DUMMYFUNCTION("SPLIT(A1303,"" "")"),45540.0)</f>
        <v>45540</v>
      </c>
      <c r="C1303" s="10">
        <f>IFERROR(__xludf.DUMMYFUNCTION("""COMPUTED_VALUE"""),0.5756944444444444)</f>
        <v>0.5756944444</v>
      </c>
      <c r="D1303" s="2">
        <f t="shared" si="1"/>
        <v>13</v>
      </c>
      <c r="E1303" s="2">
        <f>IFERROR(__xludf.DUMMYFUNCTION("SPLIT(B1303,""/"")"),5.0)</f>
        <v>5</v>
      </c>
      <c r="F1303" s="2">
        <f>IFERROR(__xludf.DUMMYFUNCTION("""COMPUTED_VALUE"""),9.0)</f>
        <v>9</v>
      </c>
      <c r="G1303" s="2">
        <f>IFERROR(__xludf.DUMMYFUNCTION("""COMPUTED_VALUE"""),2024.0)</f>
        <v>2024</v>
      </c>
      <c r="H1303" s="2" t="str">
        <f t="shared" si="2"/>
        <v>2024/9/5</v>
      </c>
      <c r="I1303" s="2" t="s">
        <v>1634</v>
      </c>
      <c r="J1303" s="2" t="str">
        <f t="shared" si="3"/>
        <v>Roti coklat</v>
      </c>
      <c r="K1303" s="7">
        <f>if(RIGHT(I1303,5)="2 pcs",2,Data!I1303)</f>
        <v>2</v>
      </c>
      <c r="L1303" s="2" t="str">
        <f t="shared" si="4"/>
        <v>Thursday</v>
      </c>
      <c r="M1303" s="2" t="str">
        <f t="shared" si="5"/>
        <v>5</v>
      </c>
      <c r="N1303" s="2">
        <f>VLOOKUP(L1303,'Data Info'!$A$1:$B$8,2,0)</f>
        <v>4</v>
      </c>
      <c r="O1303" s="2" t="str">
        <f>VLOOKUP(L1303,'Data Info'!$A$1:$C$8,3,0)</f>
        <v>Weekday</v>
      </c>
    </row>
    <row r="1304">
      <c r="A1304" s="4">
        <v>45540.575694444444</v>
      </c>
      <c r="B1304" s="9">
        <f>IFERROR(__xludf.DUMMYFUNCTION("SPLIT(A1304,"" "")"),45540.0)</f>
        <v>45540</v>
      </c>
      <c r="C1304" s="10">
        <f>IFERROR(__xludf.DUMMYFUNCTION("""COMPUTED_VALUE"""),0.5756944444444444)</f>
        <v>0.5756944444</v>
      </c>
      <c r="D1304" s="2">
        <f t="shared" si="1"/>
        <v>13</v>
      </c>
      <c r="E1304" s="2">
        <f>IFERROR(__xludf.DUMMYFUNCTION("SPLIT(B1304,""/"")"),5.0)</f>
        <v>5</v>
      </c>
      <c r="F1304" s="2">
        <f>IFERROR(__xludf.DUMMYFUNCTION("""COMPUTED_VALUE"""),9.0)</f>
        <v>9</v>
      </c>
      <c r="G1304" s="2">
        <f>IFERROR(__xludf.DUMMYFUNCTION("""COMPUTED_VALUE"""),2024.0)</f>
        <v>2024</v>
      </c>
      <c r="H1304" s="2" t="str">
        <f t="shared" si="2"/>
        <v>2024/9/5</v>
      </c>
      <c r="I1304" s="2" t="s">
        <v>1635</v>
      </c>
      <c r="J1304" s="2" t="str">
        <f t="shared" si="3"/>
        <v>Roti keju</v>
      </c>
      <c r="K1304" s="7">
        <f>if(RIGHT(I1304,5)="2 pcs",2,Data!I1304)</f>
        <v>1</v>
      </c>
      <c r="L1304" s="2" t="str">
        <f t="shared" si="4"/>
        <v>Thursday</v>
      </c>
      <c r="M1304" s="2" t="str">
        <f t="shared" si="5"/>
        <v>5</v>
      </c>
      <c r="N1304" s="2">
        <f>VLOOKUP(L1304,'Data Info'!$A$1:$B$8,2,0)</f>
        <v>4</v>
      </c>
      <c r="O1304" s="2" t="str">
        <f>VLOOKUP(L1304,'Data Info'!$A$1:$C$8,3,0)</f>
        <v>Weekday</v>
      </c>
    </row>
    <row r="1305">
      <c r="A1305" s="4">
        <v>45540.54722222222</v>
      </c>
      <c r="B1305" s="9">
        <f>IFERROR(__xludf.DUMMYFUNCTION("SPLIT(A1305,"" "")"),45540.0)</f>
        <v>45540</v>
      </c>
      <c r="C1305" s="10">
        <f>IFERROR(__xludf.DUMMYFUNCTION("""COMPUTED_VALUE"""),0.5472222222222223)</f>
        <v>0.5472222222</v>
      </c>
      <c r="D1305" s="2">
        <f t="shared" si="1"/>
        <v>13</v>
      </c>
      <c r="E1305" s="2">
        <f>IFERROR(__xludf.DUMMYFUNCTION("SPLIT(B1305,""/"")"),5.0)</f>
        <v>5</v>
      </c>
      <c r="F1305" s="2">
        <f>IFERROR(__xludf.DUMMYFUNCTION("""COMPUTED_VALUE"""),9.0)</f>
        <v>9</v>
      </c>
      <c r="G1305" s="2">
        <f>IFERROR(__xludf.DUMMYFUNCTION("""COMPUTED_VALUE"""),2024.0)</f>
        <v>2024</v>
      </c>
      <c r="H1305" s="2" t="str">
        <f t="shared" si="2"/>
        <v>2024/9/5</v>
      </c>
      <c r="I1305" s="2" t="s">
        <v>1603</v>
      </c>
      <c r="J1305" s="2" t="str">
        <f t="shared" si="3"/>
        <v>Nasi Goreng Temu</v>
      </c>
      <c r="K1305" s="7">
        <f>if(RIGHT(I1305,5)="2 pcs",2,Data!I1305)</f>
        <v>3</v>
      </c>
      <c r="L1305" s="2" t="str">
        <f t="shared" si="4"/>
        <v>Thursday</v>
      </c>
      <c r="M1305" s="2" t="str">
        <f t="shared" si="5"/>
        <v>5</v>
      </c>
      <c r="N1305" s="2">
        <f>VLOOKUP(L1305,'Data Info'!$A$1:$B$8,2,0)</f>
        <v>4</v>
      </c>
      <c r="O1305" s="2" t="str">
        <f>VLOOKUP(L1305,'Data Info'!$A$1:$C$8,3,0)</f>
        <v>Weekday</v>
      </c>
    </row>
    <row r="1306">
      <c r="A1306" s="4">
        <v>45540.50208333333</v>
      </c>
      <c r="B1306" s="9">
        <f>IFERROR(__xludf.DUMMYFUNCTION("SPLIT(A1306,"" "")"),45540.0)</f>
        <v>45540</v>
      </c>
      <c r="C1306" s="10">
        <f>IFERROR(__xludf.DUMMYFUNCTION("""COMPUTED_VALUE"""),0.5020833333333333)</f>
        <v>0.5020833333</v>
      </c>
      <c r="D1306" s="2">
        <f t="shared" si="1"/>
        <v>12</v>
      </c>
      <c r="E1306" s="2">
        <f>IFERROR(__xludf.DUMMYFUNCTION("SPLIT(B1306,""/"")"),5.0)</f>
        <v>5</v>
      </c>
      <c r="F1306" s="2">
        <f>IFERROR(__xludf.DUMMYFUNCTION("""COMPUTED_VALUE"""),9.0)</f>
        <v>9</v>
      </c>
      <c r="G1306" s="2">
        <f>IFERROR(__xludf.DUMMYFUNCTION("""COMPUTED_VALUE"""),2024.0)</f>
        <v>2024</v>
      </c>
      <c r="H1306" s="2" t="str">
        <f t="shared" si="2"/>
        <v>2024/9/5</v>
      </c>
      <c r="I1306" s="2" t="s">
        <v>1583</v>
      </c>
      <c r="J1306" s="2" t="str">
        <f t="shared" si="3"/>
        <v>Es Kopi Lemon</v>
      </c>
      <c r="K1306" s="7">
        <f>if(RIGHT(I1306,5)="2 pcs",2,Data!I1306)</f>
        <v>1</v>
      </c>
      <c r="L1306" s="2" t="str">
        <f t="shared" si="4"/>
        <v>Thursday</v>
      </c>
      <c r="M1306" s="2" t="str">
        <f t="shared" si="5"/>
        <v>5</v>
      </c>
      <c r="N1306" s="2">
        <f>VLOOKUP(L1306,'Data Info'!$A$1:$B$8,2,0)</f>
        <v>4</v>
      </c>
      <c r="O1306" s="2" t="str">
        <f>VLOOKUP(L1306,'Data Info'!$A$1:$C$8,3,0)</f>
        <v>Weekday</v>
      </c>
    </row>
    <row r="1307">
      <c r="A1307" s="4">
        <v>45540.50208333333</v>
      </c>
      <c r="B1307" s="9">
        <f>IFERROR(__xludf.DUMMYFUNCTION("SPLIT(A1307,"" "")"),45540.0)</f>
        <v>45540</v>
      </c>
      <c r="C1307" s="10">
        <f>IFERROR(__xludf.DUMMYFUNCTION("""COMPUTED_VALUE"""),0.5020833333333333)</f>
        <v>0.5020833333</v>
      </c>
      <c r="D1307" s="2">
        <f t="shared" si="1"/>
        <v>12</v>
      </c>
      <c r="E1307" s="2">
        <f>IFERROR(__xludf.DUMMYFUNCTION("SPLIT(B1307,""/"")"),5.0)</f>
        <v>5</v>
      </c>
      <c r="F1307" s="2">
        <f>IFERROR(__xludf.DUMMYFUNCTION("""COMPUTED_VALUE"""),9.0)</f>
        <v>9</v>
      </c>
      <c r="G1307" s="2">
        <f>IFERROR(__xludf.DUMMYFUNCTION("""COMPUTED_VALUE"""),2024.0)</f>
        <v>2024</v>
      </c>
      <c r="H1307" s="2" t="str">
        <f t="shared" si="2"/>
        <v>2024/9/5</v>
      </c>
      <c r="I1307" s="2" t="s">
        <v>1612</v>
      </c>
      <c r="J1307" s="2" t="str">
        <f t="shared" si="3"/>
        <v>Nasi telor</v>
      </c>
      <c r="K1307" s="7">
        <f>if(RIGHT(I1307,5)="2 pcs",2,Data!I1307)</f>
        <v>1</v>
      </c>
      <c r="L1307" s="2" t="str">
        <f t="shared" si="4"/>
        <v>Thursday</v>
      </c>
      <c r="M1307" s="2" t="str">
        <f t="shared" si="5"/>
        <v>5</v>
      </c>
      <c r="N1307" s="2">
        <f>VLOOKUP(L1307,'Data Info'!$A$1:$B$8,2,0)</f>
        <v>4</v>
      </c>
      <c r="O1307" s="2" t="str">
        <f>VLOOKUP(L1307,'Data Info'!$A$1:$C$8,3,0)</f>
        <v>Weekday</v>
      </c>
    </row>
    <row r="1308">
      <c r="A1308" s="4">
        <v>45539.76111111111</v>
      </c>
      <c r="B1308" s="9">
        <f>IFERROR(__xludf.DUMMYFUNCTION("SPLIT(A1308,"" "")"),45539.0)</f>
        <v>45539</v>
      </c>
      <c r="C1308" s="10">
        <f>IFERROR(__xludf.DUMMYFUNCTION("""COMPUTED_VALUE"""),0.7611111111111111)</f>
        <v>0.7611111111</v>
      </c>
      <c r="D1308" s="2">
        <f t="shared" si="1"/>
        <v>18</v>
      </c>
      <c r="E1308" s="2">
        <f>IFERROR(__xludf.DUMMYFUNCTION("SPLIT(B1308,""/"")"),4.0)</f>
        <v>4</v>
      </c>
      <c r="F1308" s="2">
        <f>IFERROR(__xludf.DUMMYFUNCTION("""COMPUTED_VALUE"""),9.0)</f>
        <v>9</v>
      </c>
      <c r="G1308" s="2">
        <f>IFERROR(__xludf.DUMMYFUNCTION("""COMPUTED_VALUE"""),2024.0)</f>
        <v>2024</v>
      </c>
      <c r="H1308" s="2" t="str">
        <f t="shared" si="2"/>
        <v>2024/9/4</v>
      </c>
      <c r="I1308" s="2" t="s">
        <v>1610</v>
      </c>
      <c r="J1308" s="2" t="str">
        <f t="shared" si="3"/>
        <v>Roti toast eskrim</v>
      </c>
      <c r="K1308" s="7">
        <f>if(RIGHT(I1308,5)="2 pcs",2,Data!I1308)</f>
        <v>1</v>
      </c>
      <c r="L1308" s="2" t="str">
        <f t="shared" si="4"/>
        <v>Wednesday</v>
      </c>
      <c r="M1308" s="2" t="str">
        <f t="shared" si="5"/>
        <v>4</v>
      </c>
      <c r="N1308" s="2">
        <f>VLOOKUP(L1308,'Data Info'!$A$1:$B$8,2,0)</f>
        <v>3</v>
      </c>
      <c r="O1308" s="2" t="str">
        <f>VLOOKUP(L1308,'Data Info'!$A$1:$C$8,3,0)</f>
        <v>Weekday</v>
      </c>
    </row>
    <row r="1309">
      <c r="A1309" s="4">
        <v>45539.73819444444</v>
      </c>
      <c r="B1309" s="9">
        <f>IFERROR(__xludf.DUMMYFUNCTION("SPLIT(A1309,"" "")"),45539.0)</f>
        <v>45539</v>
      </c>
      <c r="C1309" s="10">
        <f>IFERROR(__xludf.DUMMYFUNCTION("""COMPUTED_VALUE"""),0.7381944444444445)</f>
        <v>0.7381944444</v>
      </c>
      <c r="D1309" s="2">
        <f t="shared" si="1"/>
        <v>17</v>
      </c>
      <c r="E1309" s="2">
        <f>IFERROR(__xludf.DUMMYFUNCTION("SPLIT(B1309,""/"")"),4.0)</f>
        <v>4</v>
      </c>
      <c r="F1309" s="2">
        <f>IFERROR(__xludf.DUMMYFUNCTION("""COMPUTED_VALUE"""),9.0)</f>
        <v>9</v>
      </c>
      <c r="G1309" s="2">
        <f>IFERROR(__xludf.DUMMYFUNCTION("""COMPUTED_VALUE"""),2024.0)</f>
        <v>2024</v>
      </c>
      <c r="H1309" s="2" t="str">
        <f t="shared" si="2"/>
        <v>2024/9/4</v>
      </c>
      <c r="I1309" s="2" t="s">
        <v>1603</v>
      </c>
      <c r="J1309" s="2" t="str">
        <f t="shared" si="3"/>
        <v>Nasi Goreng Temu</v>
      </c>
      <c r="K1309" s="7">
        <f>if(RIGHT(I1309,5)="2 pcs",2,Data!I1309)</f>
        <v>1</v>
      </c>
      <c r="L1309" s="2" t="str">
        <f t="shared" si="4"/>
        <v>Wednesday</v>
      </c>
      <c r="M1309" s="2" t="str">
        <f t="shared" si="5"/>
        <v>4</v>
      </c>
      <c r="N1309" s="2">
        <f>VLOOKUP(L1309,'Data Info'!$A$1:$B$8,2,0)</f>
        <v>3</v>
      </c>
      <c r="O1309" s="2" t="str">
        <f>VLOOKUP(L1309,'Data Info'!$A$1:$C$8,3,0)</f>
        <v>Weekday</v>
      </c>
    </row>
    <row r="1310">
      <c r="A1310" s="4">
        <v>45539.73819444444</v>
      </c>
      <c r="B1310" s="9">
        <f>IFERROR(__xludf.DUMMYFUNCTION("SPLIT(A1310,"" "")"),45539.0)</f>
        <v>45539</v>
      </c>
      <c r="C1310" s="10">
        <f>IFERROR(__xludf.DUMMYFUNCTION("""COMPUTED_VALUE"""),0.7381944444444445)</f>
        <v>0.7381944444</v>
      </c>
      <c r="D1310" s="2">
        <f t="shared" si="1"/>
        <v>17</v>
      </c>
      <c r="E1310" s="2">
        <f>IFERROR(__xludf.DUMMYFUNCTION("SPLIT(B1310,""/"")"),4.0)</f>
        <v>4</v>
      </c>
      <c r="F1310" s="2">
        <f>IFERROR(__xludf.DUMMYFUNCTION("""COMPUTED_VALUE"""),9.0)</f>
        <v>9</v>
      </c>
      <c r="G1310" s="2">
        <f>IFERROR(__xludf.DUMMYFUNCTION("""COMPUTED_VALUE"""),2024.0)</f>
        <v>2024</v>
      </c>
      <c r="H1310" s="2" t="str">
        <f t="shared" si="2"/>
        <v>2024/9/4</v>
      </c>
      <c r="I1310" s="2" t="s">
        <v>1595</v>
      </c>
      <c r="J1310" s="2" t="str">
        <f t="shared" si="3"/>
        <v>Roti Gandum Cokelat</v>
      </c>
      <c r="K1310" s="7">
        <f>if(RIGHT(I1310,5)="2 pcs",2,Data!I1310)</f>
        <v>1</v>
      </c>
      <c r="L1310" s="2" t="str">
        <f t="shared" si="4"/>
        <v>Wednesday</v>
      </c>
      <c r="M1310" s="2" t="str">
        <f t="shared" si="5"/>
        <v>4</v>
      </c>
      <c r="N1310" s="2">
        <f>VLOOKUP(L1310,'Data Info'!$A$1:$B$8,2,0)</f>
        <v>3</v>
      </c>
      <c r="O1310" s="2" t="str">
        <f>VLOOKUP(L1310,'Data Info'!$A$1:$C$8,3,0)</f>
        <v>Weekday</v>
      </c>
    </row>
    <row r="1311">
      <c r="A1311" s="4">
        <v>45539.73611111111</v>
      </c>
      <c r="B1311" s="9">
        <f>IFERROR(__xludf.DUMMYFUNCTION("SPLIT(A1311,"" "")"),45539.0)</f>
        <v>45539</v>
      </c>
      <c r="C1311" s="10">
        <f>IFERROR(__xludf.DUMMYFUNCTION("""COMPUTED_VALUE"""),0.7361111111111112)</f>
        <v>0.7361111111</v>
      </c>
      <c r="D1311" s="2">
        <f t="shared" si="1"/>
        <v>17</v>
      </c>
      <c r="E1311" s="2">
        <f>IFERROR(__xludf.DUMMYFUNCTION("SPLIT(B1311,""/"")"),4.0)</f>
        <v>4</v>
      </c>
      <c r="F1311" s="2">
        <f>IFERROR(__xludf.DUMMYFUNCTION("""COMPUTED_VALUE"""),9.0)</f>
        <v>9</v>
      </c>
      <c r="G1311" s="2">
        <f>IFERROR(__xludf.DUMMYFUNCTION("""COMPUTED_VALUE"""),2024.0)</f>
        <v>2024</v>
      </c>
      <c r="H1311" s="2" t="str">
        <f t="shared" si="2"/>
        <v>2024/9/4</v>
      </c>
      <c r="I1311" s="2" t="s">
        <v>1603</v>
      </c>
      <c r="J1311" s="2" t="str">
        <f t="shared" si="3"/>
        <v>Nasi Goreng Temu</v>
      </c>
      <c r="K1311" s="7">
        <f>if(RIGHT(I1311,5)="2 pcs",2,Data!I1311)</f>
        <v>1</v>
      </c>
      <c r="L1311" s="2" t="str">
        <f t="shared" si="4"/>
        <v>Wednesday</v>
      </c>
      <c r="M1311" s="2" t="str">
        <f t="shared" si="5"/>
        <v>4</v>
      </c>
      <c r="N1311" s="2">
        <f>VLOOKUP(L1311,'Data Info'!$A$1:$B$8,2,0)</f>
        <v>3</v>
      </c>
      <c r="O1311" s="2" t="str">
        <f>VLOOKUP(L1311,'Data Info'!$A$1:$C$8,3,0)</f>
        <v>Weekday</v>
      </c>
    </row>
    <row r="1312">
      <c r="A1312" s="4">
        <v>45539.73611111111</v>
      </c>
      <c r="B1312" s="9">
        <f>IFERROR(__xludf.DUMMYFUNCTION("SPLIT(A1312,"" "")"),45539.0)</f>
        <v>45539</v>
      </c>
      <c r="C1312" s="10">
        <f>IFERROR(__xludf.DUMMYFUNCTION("""COMPUTED_VALUE"""),0.7361111111111112)</f>
        <v>0.7361111111</v>
      </c>
      <c r="D1312" s="2">
        <f t="shared" si="1"/>
        <v>17</v>
      </c>
      <c r="E1312" s="2">
        <f>IFERROR(__xludf.DUMMYFUNCTION("SPLIT(B1312,""/"")"),4.0)</f>
        <v>4</v>
      </c>
      <c r="F1312" s="2">
        <f>IFERROR(__xludf.DUMMYFUNCTION("""COMPUTED_VALUE"""),9.0)</f>
        <v>9</v>
      </c>
      <c r="G1312" s="2">
        <f>IFERROR(__xludf.DUMMYFUNCTION("""COMPUTED_VALUE"""),2024.0)</f>
        <v>2024</v>
      </c>
      <c r="H1312" s="2" t="str">
        <f t="shared" si="2"/>
        <v>2024/9/4</v>
      </c>
      <c r="I1312" s="2" t="s">
        <v>1587</v>
      </c>
      <c r="J1312" s="2" t="str">
        <f t="shared" si="3"/>
        <v>Tahu Lada Garam</v>
      </c>
      <c r="K1312" s="7">
        <f>if(RIGHT(I1312,5)="2 pcs",2,Data!I1312)</f>
        <v>1</v>
      </c>
      <c r="L1312" s="2" t="str">
        <f t="shared" si="4"/>
        <v>Wednesday</v>
      </c>
      <c r="M1312" s="2" t="str">
        <f t="shared" si="5"/>
        <v>4</v>
      </c>
      <c r="N1312" s="2">
        <f>VLOOKUP(L1312,'Data Info'!$A$1:$B$8,2,0)</f>
        <v>3</v>
      </c>
      <c r="O1312" s="2" t="str">
        <f>VLOOKUP(L1312,'Data Info'!$A$1:$C$8,3,0)</f>
        <v>Weekday</v>
      </c>
    </row>
    <row r="1313">
      <c r="A1313" s="4">
        <v>45539.71666666667</v>
      </c>
      <c r="B1313" s="9">
        <f>IFERROR(__xludf.DUMMYFUNCTION("SPLIT(A1313,"" "")"),45539.0)</f>
        <v>45539</v>
      </c>
      <c r="C1313" s="10">
        <f>IFERROR(__xludf.DUMMYFUNCTION("""COMPUTED_VALUE"""),0.7166666666666667)</f>
        <v>0.7166666667</v>
      </c>
      <c r="D1313" s="2">
        <f t="shared" si="1"/>
        <v>17</v>
      </c>
      <c r="E1313" s="2">
        <f>IFERROR(__xludf.DUMMYFUNCTION("SPLIT(B1313,""/"")"),4.0)</f>
        <v>4</v>
      </c>
      <c r="F1313" s="2">
        <f>IFERROR(__xludf.DUMMYFUNCTION("""COMPUTED_VALUE"""),9.0)</f>
        <v>9</v>
      </c>
      <c r="G1313" s="2">
        <f>IFERROR(__xludf.DUMMYFUNCTION("""COMPUTED_VALUE"""),2024.0)</f>
        <v>2024</v>
      </c>
      <c r="H1313" s="2" t="str">
        <f t="shared" si="2"/>
        <v>2024/9/4</v>
      </c>
      <c r="I1313" s="2" t="s">
        <v>1596</v>
      </c>
      <c r="J1313" s="2" t="str">
        <f t="shared" si="3"/>
        <v>Roti Cranberry</v>
      </c>
      <c r="K1313" s="7">
        <f>if(RIGHT(I1313,5)="2 pcs",2,Data!I1313)</f>
        <v>2</v>
      </c>
      <c r="L1313" s="2" t="str">
        <f t="shared" si="4"/>
        <v>Wednesday</v>
      </c>
      <c r="M1313" s="2" t="str">
        <f t="shared" si="5"/>
        <v>4</v>
      </c>
      <c r="N1313" s="2">
        <f>VLOOKUP(L1313,'Data Info'!$A$1:$B$8,2,0)</f>
        <v>3</v>
      </c>
      <c r="O1313" s="2" t="str">
        <f>VLOOKUP(L1313,'Data Info'!$A$1:$C$8,3,0)</f>
        <v>Weekday</v>
      </c>
    </row>
    <row r="1314">
      <c r="A1314" s="4">
        <v>45539.71666666667</v>
      </c>
      <c r="B1314" s="9">
        <f>IFERROR(__xludf.DUMMYFUNCTION("SPLIT(A1314,"" "")"),45539.0)</f>
        <v>45539</v>
      </c>
      <c r="C1314" s="10">
        <f>IFERROR(__xludf.DUMMYFUNCTION("""COMPUTED_VALUE"""),0.7166666666666667)</f>
        <v>0.7166666667</v>
      </c>
      <c r="D1314" s="2">
        <f t="shared" si="1"/>
        <v>17</v>
      </c>
      <c r="E1314" s="2">
        <f>IFERROR(__xludf.DUMMYFUNCTION("SPLIT(B1314,""/"")"),4.0)</f>
        <v>4</v>
      </c>
      <c r="F1314" s="2">
        <f>IFERROR(__xludf.DUMMYFUNCTION("""COMPUTED_VALUE"""),9.0)</f>
        <v>9</v>
      </c>
      <c r="G1314" s="2">
        <f>IFERROR(__xludf.DUMMYFUNCTION("""COMPUTED_VALUE"""),2024.0)</f>
        <v>2024</v>
      </c>
      <c r="H1314" s="2" t="str">
        <f t="shared" si="2"/>
        <v>2024/9/4</v>
      </c>
      <c r="I1314" s="2" t="s">
        <v>1576</v>
      </c>
      <c r="J1314" s="2" t="str">
        <f t="shared" si="3"/>
        <v>Roti Cranberry</v>
      </c>
      <c r="K1314" s="7">
        <f>if(RIGHT(I1314,5)="2 pcs",2,Data!I1314)</f>
        <v>1</v>
      </c>
      <c r="L1314" s="2" t="str">
        <f t="shared" si="4"/>
        <v>Wednesday</v>
      </c>
      <c r="M1314" s="2" t="str">
        <f t="shared" si="5"/>
        <v>4</v>
      </c>
      <c r="N1314" s="2">
        <f>VLOOKUP(L1314,'Data Info'!$A$1:$B$8,2,0)</f>
        <v>3</v>
      </c>
      <c r="O1314" s="2" t="str">
        <f>VLOOKUP(L1314,'Data Info'!$A$1:$C$8,3,0)</f>
        <v>Weekday</v>
      </c>
    </row>
    <row r="1315">
      <c r="A1315" s="4">
        <v>45539.71666666667</v>
      </c>
      <c r="B1315" s="9">
        <f>IFERROR(__xludf.DUMMYFUNCTION("SPLIT(A1315,"" "")"),45539.0)</f>
        <v>45539</v>
      </c>
      <c r="C1315" s="10">
        <f>IFERROR(__xludf.DUMMYFUNCTION("""COMPUTED_VALUE"""),0.7166666666666667)</f>
        <v>0.7166666667</v>
      </c>
      <c r="D1315" s="2">
        <f t="shared" si="1"/>
        <v>17</v>
      </c>
      <c r="E1315" s="2">
        <f>IFERROR(__xludf.DUMMYFUNCTION("SPLIT(B1315,""/"")"),4.0)</f>
        <v>4</v>
      </c>
      <c r="F1315" s="2">
        <f>IFERROR(__xludf.DUMMYFUNCTION("""COMPUTED_VALUE"""),9.0)</f>
        <v>9</v>
      </c>
      <c r="G1315" s="2">
        <f>IFERROR(__xludf.DUMMYFUNCTION("""COMPUTED_VALUE"""),2024.0)</f>
        <v>2024</v>
      </c>
      <c r="H1315" s="2" t="str">
        <f t="shared" si="2"/>
        <v>2024/9/4</v>
      </c>
      <c r="I1315" s="2" t="s">
        <v>1597</v>
      </c>
      <c r="J1315" s="2" t="str">
        <f t="shared" si="3"/>
        <v>Roti Gandum Cokelat</v>
      </c>
      <c r="K1315" s="7">
        <f>if(RIGHT(I1315,5)="2 pcs",2,Data!I1315)</f>
        <v>2</v>
      </c>
      <c r="L1315" s="2" t="str">
        <f t="shared" si="4"/>
        <v>Wednesday</v>
      </c>
      <c r="M1315" s="2" t="str">
        <f t="shared" si="5"/>
        <v>4</v>
      </c>
      <c r="N1315" s="2">
        <f>VLOOKUP(L1315,'Data Info'!$A$1:$B$8,2,0)</f>
        <v>3</v>
      </c>
      <c r="O1315" s="2" t="str">
        <f>VLOOKUP(L1315,'Data Info'!$A$1:$C$8,3,0)</f>
        <v>Weekday</v>
      </c>
    </row>
    <row r="1316">
      <c r="A1316" s="4">
        <v>45539.71666666667</v>
      </c>
      <c r="B1316" s="9">
        <f>IFERROR(__xludf.DUMMYFUNCTION("SPLIT(A1316,"" "")"),45539.0)</f>
        <v>45539</v>
      </c>
      <c r="C1316" s="10">
        <f>IFERROR(__xludf.DUMMYFUNCTION("""COMPUTED_VALUE"""),0.7166666666666667)</f>
        <v>0.7166666667</v>
      </c>
      <c r="D1316" s="2">
        <f t="shared" si="1"/>
        <v>17</v>
      </c>
      <c r="E1316" s="2">
        <f>IFERROR(__xludf.DUMMYFUNCTION("SPLIT(B1316,""/"")"),4.0)</f>
        <v>4</v>
      </c>
      <c r="F1316" s="2">
        <f>IFERROR(__xludf.DUMMYFUNCTION("""COMPUTED_VALUE"""),9.0)</f>
        <v>9</v>
      </c>
      <c r="G1316" s="2">
        <f>IFERROR(__xludf.DUMMYFUNCTION("""COMPUTED_VALUE"""),2024.0)</f>
        <v>2024</v>
      </c>
      <c r="H1316" s="2" t="str">
        <f t="shared" si="2"/>
        <v>2024/9/4</v>
      </c>
      <c r="I1316" s="2" t="s">
        <v>1595</v>
      </c>
      <c r="J1316" s="2" t="str">
        <f t="shared" si="3"/>
        <v>Roti Gandum Cokelat</v>
      </c>
      <c r="K1316" s="7">
        <f>if(RIGHT(I1316,5)="2 pcs",2,Data!I1316)</f>
        <v>1</v>
      </c>
      <c r="L1316" s="2" t="str">
        <f t="shared" si="4"/>
        <v>Wednesday</v>
      </c>
      <c r="M1316" s="2" t="str">
        <f t="shared" si="5"/>
        <v>4</v>
      </c>
      <c r="N1316" s="2">
        <f>VLOOKUP(L1316,'Data Info'!$A$1:$B$8,2,0)</f>
        <v>3</v>
      </c>
      <c r="O1316" s="2" t="str">
        <f>VLOOKUP(L1316,'Data Info'!$A$1:$C$8,3,0)</f>
        <v>Weekday</v>
      </c>
    </row>
    <row r="1317">
      <c r="A1317" s="4">
        <v>45539.71666666667</v>
      </c>
      <c r="B1317" s="9">
        <f>IFERROR(__xludf.DUMMYFUNCTION("SPLIT(A1317,"" "")"),45539.0)</f>
        <v>45539</v>
      </c>
      <c r="C1317" s="10">
        <f>IFERROR(__xludf.DUMMYFUNCTION("""COMPUTED_VALUE"""),0.7166666666666667)</f>
        <v>0.7166666667</v>
      </c>
      <c r="D1317" s="2">
        <f t="shared" si="1"/>
        <v>17</v>
      </c>
      <c r="E1317" s="2">
        <f>IFERROR(__xludf.DUMMYFUNCTION("SPLIT(B1317,""/"")"),4.0)</f>
        <v>4</v>
      </c>
      <c r="F1317" s="2">
        <f>IFERROR(__xludf.DUMMYFUNCTION("""COMPUTED_VALUE"""),9.0)</f>
        <v>9</v>
      </c>
      <c r="G1317" s="2">
        <f>IFERROR(__xludf.DUMMYFUNCTION("""COMPUTED_VALUE"""),2024.0)</f>
        <v>2024</v>
      </c>
      <c r="H1317" s="2" t="str">
        <f t="shared" si="2"/>
        <v>2024/9/4</v>
      </c>
      <c r="I1317" s="2" t="s">
        <v>1566</v>
      </c>
      <c r="J1317" s="2" t="str">
        <f t="shared" si="3"/>
        <v>Roti Bawang Saus Keju</v>
      </c>
      <c r="K1317" s="7">
        <f>if(RIGHT(I1317,5)="2 pcs",2,Data!I1317)</f>
        <v>2</v>
      </c>
      <c r="L1317" s="2" t="str">
        <f t="shared" si="4"/>
        <v>Wednesday</v>
      </c>
      <c r="M1317" s="2" t="str">
        <f t="shared" si="5"/>
        <v>4</v>
      </c>
      <c r="N1317" s="2">
        <f>VLOOKUP(L1317,'Data Info'!$A$1:$B$8,2,0)</f>
        <v>3</v>
      </c>
      <c r="O1317" s="2" t="str">
        <f>VLOOKUP(L1317,'Data Info'!$A$1:$C$8,3,0)</f>
        <v>Weekday</v>
      </c>
    </row>
    <row r="1318">
      <c r="A1318" s="4">
        <v>45539.71319444444</v>
      </c>
      <c r="B1318" s="9">
        <f>IFERROR(__xludf.DUMMYFUNCTION("SPLIT(A1318,"" "")"),45539.0)</f>
        <v>45539</v>
      </c>
      <c r="C1318" s="10">
        <f>IFERROR(__xludf.DUMMYFUNCTION("""COMPUTED_VALUE"""),0.7131944444444445)</f>
        <v>0.7131944444</v>
      </c>
      <c r="D1318" s="2">
        <f t="shared" si="1"/>
        <v>17</v>
      </c>
      <c r="E1318" s="2">
        <f>IFERROR(__xludf.DUMMYFUNCTION("SPLIT(B1318,""/"")"),4.0)</f>
        <v>4</v>
      </c>
      <c r="F1318" s="2">
        <f>IFERROR(__xludf.DUMMYFUNCTION("""COMPUTED_VALUE"""),9.0)</f>
        <v>9</v>
      </c>
      <c r="G1318" s="2">
        <f>IFERROR(__xludf.DUMMYFUNCTION("""COMPUTED_VALUE"""),2024.0)</f>
        <v>2024</v>
      </c>
      <c r="H1318" s="2" t="str">
        <f t="shared" si="2"/>
        <v>2024/9/4</v>
      </c>
      <c r="I1318" s="2" t="s">
        <v>1588</v>
      </c>
      <c r="J1318" s="2" t="str">
        <f t="shared" si="3"/>
        <v>Es Kopi Susu</v>
      </c>
      <c r="K1318" s="7">
        <f>if(RIGHT(I1318,5)="2 pcs",2,Data!I1318)</f>
        <v>1</v>
      </c>
      <c r="L1318" s="2" t="str">
        <f t="shared" si="4"/>
        <v>Wednesday</v>
      </c>
      <c r="M1318" s="2" t="str">
        <f t="shared" si="5"/>
        <v>4</v>
      </c>
      <c r="N1318" s="2">
        <f>VLOOKUP(L1318,'Data Info'!$A$1:$B$8,2,0)</f>
        <v>3</v>
      </c>
      <c r="O1318" s="2" t="str">
        <f>VLOOKUP(L1318,'Data Info'!$A$1:$C$8,3,0)</f>
        <v>Weekday</v>
      </c>
    </row>
    <row r="1319">
      <c r="A1319" s="4">
        <v>45539.71319444444</v>
      </c>
      <c r="B1319" s="9">
        <f>IFERROR(__xludf.DUMMYFUNCTION("SPLIT(A1319,"" "")"),45539.0)</f>
        <v>45539</v>
      </c>
      <c r="C1319" s="10">
        <f>IFERROR(__xludf.DUMMYFUNCTION("""COMPUTED_VALUE"""),0.7131944444444445)</f>
        <v>0.7131944444</v>
      </c>
      <c r="D1319" s="2">
        <f t="shared" si="1"/>
        <v>17</v>
      </c>
      <c r="E1319" s="2">
        <f>IFERROR(__xludf.DUMMYFUNCTION("SPLIT(B1319,""/"")"),4.0)</f>
        <v>4</v>
      </c>
      <c r="F1319" s="2">
        <f>IFERROR(__xludf.DUMMYFUNCTION("""COMPUTED_VALUE"""),9.0)</f>
        <v>9</v>
      </c>
      <c r="G1319" s="2">
        <f>IFERROR(__xludf.DUMMYFUNCTION("""COMPUTED_VALUE"""),2024.0)</f>
        <v>2024</v>
      </c>
      <c r="H1319" s="2" t="str">
        <f t="shared" si="2"/>
        <v>2024/9/4</v>
      </c>
      <c r="I1319" s="2" t="s">
        <v>1607</v>
      </c>
      <c r="J1319" s="2" t="str">
        <f t="shared" si="3"/>
        <v>Tahu walik</v>
      </c>
      <c r="K1319" s="7">
        <f>if(RIGHT(I1319,5)="2 pcs",2,Data!I1319)</f>
        <v>1</v>
      </c>
      <c r="L1319" s="2" t="str">
        <f t="shared" si="4"/>
        <v>Wednesday</v>
      </c>
      <c r="M1319" s="2" t="str">
        <f t="shared" si="5"/>
        <v>4</v>
      </c>
      <c r="N1319" s="2">
        <f>VLOOKUP(L1319,'Data Info'!$A$1:$B$8,2,0)</f>
        <v>3</v>
      </c>
      <c r="O1319" s="2" t="str">
        <f>VLOOKUP(L1319,'Data Info'!$A$1:$C$8,3,0)</f>
        <v>Weekday</v>
      </c>
    </row>
    <row r="1320">
      <c r="A1320" s="4">
        <v>45539.69861111111</v>
      </c>
      <c r="B1320" s="9">
        <f>IFERROR(__xludf.DUMMYFUNCTION("SPLIT(A1320,"" "")"),45539.0)</f>
        <v>45539</v>
      </c>
      <c r="C1320" s="10">
        <f>IFERROR(__xludf.DUMMYFUNCTION("""COMPUTED_VALUE"""),0.6986111111111111)</f>
        <v>0.6986111111</v>
      </c>
      <c r="D1320" s="2">
        <f t="shared" si="1"/>
        <v>16</v>
      </c>
      <c r="E1320" s="2">
        <f>IFERROR(__xludf.DUMMYFUNCTION("SPLIT(B1320,""/"")"),4.0)</f>
        <v>4</v>
      </c>
      <c r="F1320" s="2">
        <f>IFERROR(__xludf.DUMMYFUNCTION("""COMPUTED_VALUE"""),9.0)</f>
        <v>9</v>
      </c>
      <c r="G1320" s="2">
        <f>IFERROR(__xludf.DUMMYFUNCTION("""COMPUTED_VALUE"""),2024.0)</f>
        <v>2024</v>
      </c>
      <c r="H1320" s="2" t="str">
        <f t="shared" si="2"/>
        <v>2024/9/4</v>
      </c>
      <c r="I1320" s="2" t="s">
        <v>1595</v>
      </c>
      <c r="J1320" s="2" t="str">
        <f t="shared" si="3"/>
        <v>Roti Gandum Cokelat</v>
      </c>
      <c r="K1320" s="7">
        <f>if(RIGHT(I1320,5)="2 pcs",2,Data!I1320)</f>
        <v>1</v>
      </c>
      <c r="L1320" s="2" t="str">
        <f t="shared" si="4"/>
        <v>Wednesday</v>
      </c>
      <c r="M1320" s="2" t="str">
        <f t="shared" si="5"/>
        <v>4</v>
      </c>
      <c r="N1320" s="2">
        <f>VLOOKUP(L1320,'Data Info'!$A$1:$B$8,2,0)</f>
        <v>3</v>
      </c>
      <c r="O1320" s="2" t="str">
        <f>VLOOKUP(L1320,'Data Info'!$A$1:$C$8,3,0)</f>
        <v>Weekday</v>
      </c>
    </row>
    <row r="1321">
      <c r="A1321" s="4">
        <v>45539.666666666664</v>
      </c>
      <c r="B1321" s="9">
        <f>IFERROR(__xludf.DUMMYFUNCTION("SPLIT(A1321,"" "")"),45539.0)</f>
        <v>45539</v>
      </c>
      <c r="C1321" s="10">
        <f>IFERROR(__xludf.DUMMYFUNCTION("""COMPUTED_VALUE"""),0.6666666666666666)</f>
        <v>0.6666666667</v>
      </c>
      <c r="D1321" s="2">
        <f t="shared" si="1"/>
        <v>16</v>
      </c>
      <c r="E1321" s="2">
        <f>IFERROR(__xludf.DUMMYFUNCTION("SPLIT(B1321,""/"")"),4.0)</f>
        <v>4</v>
      </c>
      <c r="F1321" s="2">
        <f>IFERROR(__xludf.DUMMYFUNCTION("""COMPUTED_VALUE"""),9.0)</f>
        <v>9</v>
      </c>
      <c r="G1321" s="2">
        <f>IFERROR(__xludf.DUMMYFUNCTION("""COMPUTED_VALUE"""),2024.0)</f>
        <v>2024</v>
      </c>
      <c r="H1321" s="2" t="str">
        <f t="shared" si="2"/>
        <v>2024/9/4</v>
      </c>
      <c r="I1321" s="2" t="s">
        <v>1596</v>
      </c>
      <c r="J1321" s="2" t="str">
        <f t="shared" si="3"/>
        <v>Roti Cranberry</v>
      </c>
      <c r="K1321" s="7">
        <f>if(RIGHT(I1321,5)="2 pcs",2,Data!I1321)</f>
        <v>2</v>
      </c>
      <c r="L1321" s="2" t="str">
        <f t="shared" si="4"/>
        <v>Wednesday</v>
      </c>
      <c r="M1321" s="2" t="str">
        <f t="shared" si="5"/>
        <v>4</v>
      </c>
      <c r="N1321" s="2">
        <f>VLOOKUP(L1321,'Data Info'!$A$1:$B$8,2,0)</f>
        <v>3</v>
      </c>
      <c r="O1321" s="2" t="str">
        <f>VLOOKUP(L1321,'Data Info'!$A$1:$C$8,3,0)</f>
        <v>Weekday</v>
      </c>
    </row>
    <row r="1322">
      <c r="A1322" s="4">
        <v>45539.65694444445</v>
      </c>
      <c r="B1322" s="9">
        <f>IFERROR(__xludf.DUMMYFUNCTION("SPLIT(A1322,"" "")"),45539.0)</f>
        <v>45539</v>
      </c>
      <c r="C1322" s="10">
        <f>IFERROR(__xludf.DUMMYFUNCTION("""COMPUTED_VALUE"""),0.6569444444444444)</f>
        <v>0.6569444444</v>
      </c>
      <c r="D1322" s="2">
        <f t="shared" si="1"/>
        <v>15</v>
      </c>
      <c r="E1322" s="2">
        <f>IFERROR(__xludf.DUMMYFUNCTION("SPLIT(B1322,""/"")"),4.0)</f>
        <v>4</v>
      </c>
      <c r="F1322" s="2">
        <f>IFERROR(__xludf.DUMMYFUNCTION("""COMPUTED_VALUE"""),9.0)</f>
        <v>9</v>
      </c>
      <c r="G1322" s="2">
        <f>IFERROR(__xludf.DUMMYFUNCTION("""COMPUTED_VALUE"""),2024.0)</f>
        <v>2024</v>
      </c>
      <c r="H1322" s="2" t="str">
        <f t="shared" si="2"/>
        <v>2024/9/4</v>
      </c>
      <c r="I1322" s="2" t="s">
        <v>1584</v>
      </c>
      <c r="J1322" s="2" t="str">
        <f t="shared" si="3"/>
        <v>Korean Mango Fresh Milk</v>
      </c>
      <c r="K1322" s="7">
        <f>if(RIGHT(I1322,5)="2 pcs",2,Data!I1322)</f>
        <v>1</v>
      </c>
      <c r="L1322" s="2" t="str">
        <f t="shared" si="4"/>
        <v>Wednesday</v>
      </c>
      <c r="M1322" s="2" t="str">
        <f t="shared" si="5"/>
        <v>4</v>
      </c>
      <c r="N1322" s="2">
        <f>VLOOKUP(L1322,'Data Info'!$A$1:$B$8,2,0)</f>
        <v>3</v>
      </c>
      <c r="O1322" s="2" t="str">
        <f>VLOOKUP(L1322,'Data Info'!$A$1:$C$8,3,0)</f>
        <v>Weekday</v>
      </c>
    </row>
    <row r="1323">
      <c r="A1323" s="4">
        <v>45539.65694444445</v>
      </c>
      <c r="B1323" s="9">
        <f>IFERROR(__xludf.DUMMYFUNCTION("SPLIT(A1323,"" "")"),45539.0)</f>
        <v>45539</v>
      </c>
      <c r="C1323" s="10">
        <f>IFERROR(__xludf.DUMMYFUNCTION("""COMPUTED_VALUE"""),0.6569444444444444)</f>
        <v>0.6569444444</v>
      </c>
      <c r="D1323" s="2">
        <f t="shared" si="1"/>
        <v>15</v>
      </c>
      <c r="E1323" s="2">
        <f>IFERROR(__xludf.DUMMYFUNCTION("SPLIT(B1323,""/"")"),4.0)</f>
        <v>4</v>
      </c>
      <c r="F1323" s="2">
        <f>IFERROR(__xludf.DUMMYFUNCTION("""COMPUTED_VALUE"""),9.0)</f>
        <v>9</v>
      </c>
      <c r="G1323" s="2">
        <f>IFERROR(__xludf.DUMMYFUNCTION("""COMPUTED_VALUE"""),2024.0)</f>
        <v>2024</v>
      </c>
      <c r="H1323" s="2" t="str">
        <f t="shared" si="2"/>
        <v>2024/9/4</v>
      </c>
      <c r="I1323" s="2" t="s">
        <v>1588</v>
      </c>
      <c r="J1323" s="2" t="str">
        <f t="shared" si="3"/>
        <v>Es Kopi Susu</v>
      </c>
      <c r="K1323" s="7">
        <f>if(RIGHT(I1323,5)="2 pcs",2,Data!I1323)</f>
        <v>1</v>
      </c>
      <c r="L1323" s="2" t="str">
        <f t="shared" si="4"/>
        <v>Wednesday</v>
      </c>
      <c r="M1323" s="2" t="str">
        <f t="shared" si="5"/>
        <v>4</v>
      </c>
      <c r="N1323" s="2">
        <f>VLOOKUP(L1323,'Data Info'!$A$1:$B$8,2,0)</f>
        <v>3</v>
      </c>
      <c r="O1323" s="2" t="str">
        <f>VLOOKUP(L1323,'Data Info'!$A$1:$C$8,3,0)</f>
        <v>Weekday</v>
      </c>
    </row>
    <row r="1324">
      <c r="A1324" s="4">
        <v>45539.65555555555</v>
      </c>
      <c r="B1324" s="9">
        <f>IFERROR(__xludf.DUMMYFUNCTION("SPLIT(A1324,"" "")"),45539.0)</f>
        <v>45539</v>
      </c>
      <c r="C1324" s="10">
        <f>IFERROR(__xludf.DUMMYFUNCTION("""COMPUTED_VALUE"""),0.6555555555555556)</f>
        <v>0.6555555556</v>
      </c>
      <c r="D1324" s="2">
        <f t="shared" si="1"/>
        <v>15</v>
      </c>
      <c r="E1324" s="2">
        <f>IFERROR(__xludf.DUMMYFUNCTION("SPLIT(B1324,""/"")"),4.0)</f>
        <v>4</v>
      </c>
      <c r="F1324" s="2">
        <f>IFERROR(__xludf.DUMMYFUNCTION("""COMPUTED_VALUE"""),9.0)</f>
        <v>9</v>
      </c>
      <c r="G1324" s="2">
        <f>IFERROR(__xludf.DUMMYFUNCTION("""COMPUTED_VALUE"""),2024.0)</f>
        <v>2024</v>
      </c>
      <c r="H1324" s="2" t="str">
        <f t="shared" si="2"/>
        <v>2024/9/4</v>
      </c>
      <c r="I1324" s="2" t="s">
        <v>1582</v>
      </c>
      <c r="J1324" s="2" t="str">
        <f t="shared" si="3"/>
        <v>Teh Tawar Dingin</v>
      </c>
      <c r="K1324" s="7">
        <f>if(RIGHT(I1324,5)="2 pcs",2,Data!I1324)</f>
        <v>1</v>
      </c>
      <c r="L1324" s="2" t="str">
        <f t="shared" si="4"/>
        <v>Wednesday</v>
      </c>
      <c r="M1324" s="2" t="str">
        <f t="shared" si="5"/>
        <v>4</v>
      </c>
      <c r="N1324" s="2">
        <f>VLOOKUP(L1324,'Data Info'!$A$1:$B$8,2,0)</f>
        <v>3</v>
      </c>
      <c r="O1324" s="2" t="str">
        <f>VLOOKUP(L1324,'Data Info'!$A$1:$C$8,3,0)</f>
        <v>Weekday</v>
      </c>
    </row>
    <row r="1325">
      <c r="A1325" s="4">
        <v>45539.65555555555</v>
      </c>
      <c r="B1325" s="9">
        <f>IFERROR(__xludf.DUMMYFUNCTION("SPLIT(A1325,"" "")"),45539.0)</f>
        <v>45539</v>
      </c>
      <c r="C1325" s="10">
        <f>IFERROR(__xludf.DUMMYFUNCTION("""COMPUTED_VALUE"""),0.6555555555555556)</f>
        <v>0.6555555556</v>
      </c>
      <c r="D1325" s="2">
        <f t="shared" si="1"/>
        <v>15</v>
      </c>
      <c r="E1325" s="2">
        <f>IFERROR(__xludf.DUMMYFUNCTION("SPLIT(B1325,""/"")"),4.0)</f>
        <v>4</v>
      </c>
      <c r="F1325" s="2">
        <f>IFERROR(__xludf.DUMMYFUNCTION("""COMPUTED_VALUE"""),9.0)</f>
        <v>9</v>
      </c>
      <c r="G1325" s="2">
        <f>IFERROR(__xludf.DUMMYFUNCTION("""COMPUTED_VALUE"""),2024.0)</f>
        <v>2024</v>
      </c>
      <c r="H1325" s="2" t="str">
        <f t="shared" si="2"/>
        <v>2024/9/4</v>
      </c>
      <c r="I1325" s="2" t="s">
        <v>1601</v>
      </c>
      <c r="J1325" s="2" t="str">
        <f t="shared" si="3"/>
        <v>Gula Asam Dingin</v>
      </c>
      <c r="K1325" s="7">
        <f>if(RIGHT(I1325,5)="2 pcs",2,Data!I1325)</f>
        <v>1</v>
      </c>
      <c r="L1325" s="2" t="str">
        <f t="shared" si="4"/>
        <v>Wednesday</v>
      </c>
      <c r="M1325" s="2" t="str">
        <f t="shared" si="5"/>
        <v>4</v>
      </c>
      <c r="N1325" s="2">
        <f>VLOOKUP(L1325,'Data Info'!$A$1:$B$8,2,0)</f>
        <v>3</v>
      </c>
      <c r="O1325" s="2" t="str">
        <f>VLOOKUP(L1325,'Data Info'!$A$1:$C$8,3,0)</f>
        <v>Weekday</v>
      </c>
    </row>
    <row r="1326">
      <c r="A1326" s="4">
        <v>45539.65555555555</v>
      </c>
      <c r="B1326" s="9">
        <f>IFERROR(__xludf.DUMMYFUNCTION("SPLIT(A1326,"" "")"),45539.0)</f>
        <v>45539</v>
      </c>
      <c r="C1326" s="10">
        <f>IFERROR(__xludf.DUMMYFUNCTION("""COMPUTED_VALUE"""),0.6555555555555556)</f>
        <v>0.6555555556</v>
      </c>
      <c r="D1326" s="2">
        <f t="shared" si="1"/>
        <v>15</v>
      </c>
      <c r="E1326" s="2">
        <f>IFERROR(__xludf.DUMMYFUNCTION("SPLIT(B1326,""/"")"),4.0)</f>
        <v>4</v>
      </c>
      <c r="F1326" s="2">
        <f>IFERROR(__xludf.DUMMYFUNCTION("""COMPUTED_VALUE"""),9.0)</f>
        <v>9</v>
      </c>
      <c r="G1326" s="2">
        <f>IFERROR(__xludf.DUMMYFUNCTION("""COMPUTED_VALUE"""),2024.0)</f>
        <v>2024</v>
      </c>
      <c r="H1326" s="2" t="str">
        <f t="shared" si="2"/>
        <v>2024/9/4</v>
      </c>
      <c r="I1326" s="2" t="s">
        <v>1615</v>
      </c>
      <c r="J1326" s="2" t="str">
        <f t="shared" si="3"/>
        <v>Roti panggang sarikaya</v>
      </c>
      <c r="K1326" s="7">
        <f>if(RIGHT(I1326,5)="2 pcs",2,Data!I1326)</f>
        <v>1</v>
      </c>
      <c r="L1326" s="2" t="str">
        <f t="shared" si="4"/>
        <v>Wednesday</v>
      </c>
      <c r="M1326" s="2" t="str">
        <f t="shared" si="5"/>
        <v>4</v>
      </c>
      <c r="N1326" s="2">
        <f>VLOOKUP(L1326,'Data Info'!$A$1:$B$8,2,0)</f>
        <v>3</v>
      </c>
      <c r="O1326" s="2" t="str">
        <f>VLOOKUP(L1326,'Data Info'!$A$1:$C$8,3,0)</f>
        <v>Weekday</v>
      </c>
    </row>
    <row r="1327">
      <c r="A1327" s="4">
        <v>45539.63888888889</v>
      </c>
      <c r="B1327" s="9">
        <f>IFERROR(__xludf.DUMMYFUNCTION("SPLIT(A1327,"" "")"),45539.0)</f>
        <v>45539</v>
      </c>
      <c r="C1327" s="10">
        <f>IFERROR(__xludf.DUMMYFUNCTION("""COMPUTED_VALUE"""),0.6388888888888888)</f>
        <v>0.6388888889</v>
      </c>
      <c r="D1327" s="2">
        <f t="shared" si="1"/>
        <v>15</v>
      </c>
      <c r="E1327" s="2">
        <f>IFERROR(__xludf.DUMMYFUNCTION("SPLIT(B1327,""/"")"),4.0)</f>
        <v>4</v>
      </c>
      <c r="F1327" s="2">
        <f>IFERROR(__xludf.DUMMYFUNCTION("""COMPUTED_VALUE"""),9.0)</f>
        <v>9</v>
      </c>
      <c r="G1327" s="2">
        <f>IFERROR(__xludf.DUMMYFUNCTION("""COMPUTED_VALUE"""),2024.0)</f>
        <v>2024</v>
      </c>
      <c r="H1327" s="2" t="str">
        <f t="shared" si="2"/>
        <v>2024/9/4</v>
      </c>
      <c r="I1327" s="2" t="s">
        <v>1635</v>
      </c>
      <c r="J1327" s="2" t="str">
        <f t="shared" si="3"/>
        <v>Roti keju</v>
      </c>
      <c r="K1327" s="7">
        <f>if(RIGHT(I1327,5)="2 pcs",2,Data!I1327)</f>
        <v>2</v>
      </c>
      <c r="L1327" s="2" t="str">
        <f t="shared" si="4"/>
        <v>Wednesday</v>
      </c>
      <c r="M1327" s="2" t="str">
        <f t="shared" si="5"/>
        <v>4</v>
      </c>
      <c r="N1327" s="2">
        <f>VLOOKUP(L1327,'Data Info'!$A$1:$B$8,2,0)</f>
        <v>3</v>
      </c>
      <c r="O1327" s="2" t="str">
        <f>VLOOKUP(L1327,'Data Info'!$A$1:$C$8,3,0)</f>
        <v>Weekday</v>
      </c>
    </row>
    <row r="1328">
      <c r="A1328" s="4">
        <v>45539.629166666666</v>
      </c>
      <c r="B1328" s="9">
        <f>IFERROR(__xludf.DUMMYFUNCTION("SPLIT(A1328,"" "")"),45539.0)</f>
        <v>45539</v>
      </c>
      <c r="C1328" s="10">
        <f>IFERROR(__xludf.DUMMYFUNCTION("""COMPUTED_VALUE"""),0.6291666666666667)</f>
        <v>0.6291666667</v>
      </c>
      <c r="D1328" s="2">
        <f t="shared" si="1"/>
        <v>15</v>
      </c>
      <c r="E1328" s="2">
        <f>IFERROR(__xludf.DUMMYFUNCTION("SPLIT(B1328,""/"")"),4.0)</f>
        <v>4</v>
      </c>
      <c r="F1328" s="2">
        <f>IFERROR(__xludf.DUMMYFUNCTION("""COMPUTED_VALUE"""),9.0)</f>
        <v>9</v>
      </c>
      <c r="G1328" s="2">
        <f>IFERROR(__xludf.DUMMYFUNCTION("""COMPUTED_VALUE"""),2024.0)</f>
        <v>2024</v>
      </c>
      <c r="H1328" s="2" t="str">
        <f t="shared" si="2"/>
        <v>2024/9/4</v>
      </c>
      <c r="I1328" s="2" t="s">
        <v>1596</v>
      </c>
      <c r="J1328" s="2" t="str">
        <f t="shared" si="3"/>
        <v>Roti Cranberry</v>
      </c>
      <c r="K1328" s="7">
        <f>if(RIGHT(I1328,5)="2 pcs",2,Data!I1328)</f>
        <v>2</v>
      </c>
      <c r="L1328" s="2" t="str">
        <f t="shared" si="4"/>
        <v>Wednesday</v>
      </c>
      <c r="M1328" s="2" t="str">
        <f t="shared" si="5"/>
        <v>4</v>
      </c>
      <c r="N1328" s="2">
        <f>VLOOKUP(L1328,'Data Info'!$A$1:$B$8,2,0)</f>
        <v>3</v>
      </c>
      <c r="O1328" s="2" t="str">
        <f>VLOOKUP(L1328,'Data Info'!$A$1:$C$8,3,0)</f>
        <v>Weekday</v>
      </c>
    </row>
    <row r="1329">
      <c r="A1329" s="4">
        <v>45539.629166666666</v>
      </c>
      <c r="B1329" s="9">
        <f>IFERROR(__xludf.DUMMYFUNCTION("SPLIT(A1329,"" "")"),45539.0)</f>
        <v>45539</v>
      </c>
      <c r="C1329" s="10">
        <f>IFERROR(__xludf.DUMMYFUNCTION("""COMPUTED_VALUE"""),0.6291666666666667)</f>
        <v>0.6291666667</v>
      </c>
      <c r="D1329" s="2">
        <f t="shared" si="1"/>
        <v>15</v>
      </c>
      <c r="E1329" s="2">
        <f>IFERROR(__xludf.DUMMYFUNCTION("SPLIT(B1329,""/"")"),4.0)</f>
        <v>4</v>
      </c>
      <c r="F1329" s="2">
        <f>IFERROR(__xludf.DUMMYFUNCTION("""COMPUTED_VALUE"""),9.0)</f>
        <v>9</v>
      </c>
      <c r="G1329" s="2">
        <f>IFERROR(__xludf.DUMMYFUNCTION("""COMPUTED_VALUE"""),2024.0)</f>
        <v>2024</v>
      </c>
      <c r="H1329" s="2" t="str">
        <f t="shared" si="2"/>
        <v>2024/9/4</v>
      </c>
      <c r="I1329" s="2" t="s">
        <v>1576</v>
      </c>
      <c r="J1329" s="2" t="str">
        <f t="shared" si="3"/>
        <v>Roti Cranberry</v>
      </c>
      <c r="K1329" s="7">
        <f>if(RIGHT(I1329,5)="2 pcs",2,Data!I1329)</f>
        <v>1</v>
      </c>
      <c r="L1329" s="2" t="str">
        <f t="shared" si="4"/>
        <v>Wednesday</v>
      </c>
      <c r="M1329" s="2" t="str">
        <f t="shared" si="5"/>
        <v>4</v>
      </c>
      <c r="N1329" s="2">
        <f>VLOOKUP(L1329,'Data Info'!$A$1:$B$8,2,0)</f>
        <v>3</v>
      </c>
      <c r="O1329" s="2" t="str">
        <f>VLOOKUP(L1329,'Data Info'!$A$1:$C$8,3,0)</f>
        <v>Weekday</v>
      </c>
    </row>
    <row r="1330">
      <c r="A1330" s="4">
        <v>45539.629166666666</v>
      </c>
      <c r="B1330" s="9">
        <f>IFERROR(__xludf.DUMMYFUNCTION("SPLIT(A1330,"" "")"),45539.0)</f>
        <v>45539</v>
      </c>
      <c r="C1330" s="10">
        <f>IFERROR(__xludf.DUMMYFUNCTION("""COMPUTED_VALUE"""),0.6291666666666667)</f>
        <v>0.6291666667</v>
      </c>
      <c r="D1330" s="2">
        <f t="shared" si="1"/>
        <v>15</v>
      </c>
      <c r="E1330" s="2">
        <f>IFERROR(__xludf.DUMMYFUNCTION("SPLIT(B1330,""/"")"),4.0)</f>
        <v>4</v>
      </c>
      <c r="F1330" s="2">
        <f>IFERROR(__xludf.DUMMYFUNCTION("""COMPUTED_VALUE"""),9.0)</f>
        <v>9</v>
      </c>
      <c r="G1330" s="2">
        <f>IFERROR(__xludf.DUMMYFUNCTION("""COMPUTED_VALUE"""),2024.0)</f>
        <v>2024</v>
      </c>
      <c r="H1330" s="2" t="str">
        <f t="shared" si="2"/>
        <v>2024/9/4</v>
      </c>
      <c r="I1330" s="2" t="s">
        <v>1597</v>
      </c>
      <c r="J1330" s="2" t="str">
        <f t="shared" si="3"/>
        <v>Roti Gandum Cokelat</v>
      </c>
      <c r="K1330" s="7">
        <f>if(RIGHT(I1330,5)="2 pcs",2,Data!I1330)</f>
        <v>2</v>
      </c>
      <c r="L1330" s="2" t="str">
        <f t="shared" si="4"/>
        <v>Wednesday</v>
      </c>
      <c r="M1330" s="2" t="str">
        <f t="shared" si="5"/>
        <v>4</v>
      </c>
      <c r="N1330" s="2">
        <f>VLOOKUP(L1330,'Data Info'!$A$1:$B$8,2,0)</f>
        <v>3</v>
      </c>
      <c r="O1330" s="2" t="str">
        <f>VLOOKUP(L1330,'Data Info'!$A$1:$C$8,3,0)</f>
        <v>Weekday</v>
      </c>
    </row>
    <row r="1331">
      <c r="A1331" s="4">
        <v>45539.60833333333</v>
      </c>
      <c r="B1331" s="9">
        <f>IFERROR(__xludf.DUMMYFUNCTION("SPLIT(A1331,"" "")"),45539.0)</f>
        <v>45539</v>
      </c>
      <c r="C1331" s="10">
        <f>IFERROR(__xludf.DUMMYFUNCTION("""COMPUTED_VALUE"""),0.6083333333333333)</f>
        <v>0.6083333333</v>
      </c>
      <c r="D1331" s="2">
        <f t="shared" si="1"/>
        <v>14</v>
      </c>
      <c r="E1331" s="2">
        <f>IFERROR(__xludf.DUMMYFUNCTION("SPLIT(B1331,""/"")"),4.0)</f>
        <v>4</v>
      </c>
      <c r="F1331" s="2">
        <f>IFERROR(__xludf.DUMMYFUNCTION("""COMPUTED_VALUE"""),9.0)</f>
        <v>9</v>
      </c>
      <c r="G1331" s="2">
        <f>IFERROR(__xludf.DUMMYFUNCTION("""COMPUTED_VALUE"""),2024.0)</f>
        <v>2024</v>
      </c>
      <c r="H1331" s="2" t="str">
        <f t="shared" si="2"/>
        <v>2024/9/4</v>
      </c>
      <c r="I1331" s="2" t="s">
        <v>1595</v>
      </c>
      <c r="J1331" s="2" t="str">
        <f t="shared" si="3"/>
        <v>Roti Gandum Cokelat</v>
      </c>
      <c r="K1331" s="7">
        <f>if(RIGHT(I1331,5)="2 pcs",2,Data!I1331)</f>
        <v>1</v>
      </c>
      <c r="L1331" s="2" t="str">
        <f t="shared" si="4"/>
        <v>Wednesday</v>
      </c>
      <c r="M1331" s="2" t="str">
        <f t="shared" si="5"/>
        <v>4</v>
      </c>
      <c r="N1331" s="2">
        <f>VLOOKUP(L1331,'Data Info'!$A$1:$B$8,2,0)</f>
        <v>3</v>
      </c>
      <c r="O1331" s="2" t="str">
        <f>VLOOKUP(L1331,'Data Info'!$A$1:$C$8,3,0)</f>
        <v>Weekday</v>
      </c>
    </row>
    <row r="1332">
      <c r="A1332" s="4">
        <v>45539.60833333333</v>
      </c>
      <c r="B1332" s="9">
        <f>IFERROR(__xludf.DUMMYFUNCTION("SPLIT(A1332,"" "")"),45539.0)</f>
        <v>45539</v>
      </c>
      <c r="C1332" s="10">
        <f>IFERROR(__xludf.DUMMYFUNCTION("""COMPUTED_VALUE"""),0.6083333333333333)</f>
        <v>0.6083333333</v>
      </c>
      <c r="D1332" s="2">
        <f t="shared" si="1"/>
        <v>14</v>
      </c>
      <c r="E1332" s="2">
        <f>IFERROR(__xludf.DUMMYFUNCTION("SPLIT(B1332,""/"")"),4.0)</f>
        <v>4</v>
      </c>
      <c r="F1332" s="2">
        <f>IFERROR(__xludf.DUMMYFUNCTION("""COMPUTED_VALUE"""),9.0)</f>
        <v>9</v>
      </c>
      <c r="G1332" s="2">
        <f>IFERROR(__xludf.DUMMYFUNCTION("""COMPUTED_VALUE"""),2024.0)</f>
        <v>2024</v>
      </c>
      <c r="H1332" s="2" t="str">
        <f t="shared" si="2"/>
        <v>2024/9/4</v>
      </c>
      <c r="I1332" s="2" t="s">
        <v>1576</v>
      </c>
      <c r="J1332" s="2" t="str">
        <f t="shared" si="3"/>
        <v>Roti Cranberry</v>
      </c>
      <c r="K1332" s="7">
        <f>if(RIGHT(I1332,5)="2 pcs",2,Data!I1332)</f>
        <v>1</v>
      </c>
      <c r="L1332" s="2" t="str">
        <f t="shared" si="4"/>
        <v>Wednesday</v>
      </c>
      <c r="M1332" s="2" t="str">
        <f t="shared" si="5"/>
        <v>4</v>
      </c>
      <c r="N1332" s="2">
        <f>VLOOKUP(L1332,'Data Info'!$A$1:$B$8,2,0)</f>
        <v>3</v>
      </c>
      <c r="O1332" s="2" t="str">
        <f>VLOOKUP(L1332,'Data Info'!$A$1:$C$8,3,0)</f>
        <v>Weekday</v>
      </c>
    </row>
    <row r="1333">
      <c r="A1333" s="4">
        <v>45539.60833333333</v>
      </c>
      <c r="B1333" s="9">
        <f>IFERROR(__xludf.DUMMYFUNCTION("SPLIT(A1333,"" "")"),45539.0)</f>
        <v>45539</v>
      </c>
      <c r="C1333" s="10">
        <f>IFERROR(__xludf.DUMMYFUNCTION("""COMPUTED_VALUE"""),0.6083333333333333)</f>
        <v>0.6083333333</v>
      </c>
      <c r="D1333" s="2">
        <f t="shared" si="1"/>
        <v>14</v>
      </c>
      <c r="E1333" s="2">
        <f>IFERROR(__xludf.DUMMYFUNCTION("SPLIT(B1333,""/"")"),4.0)</f>
        <v>4</v>
      </c>
      <c r="F1333" s="2">
        <f>IFERROR(__xludf.DUMMYFUNCTION("""COMPUTED_VALUE"""),9.0)</f>
        <v>9</v>
      </c>
      <c r="G1333" s="2">
        <f>IFERROR(__xludf.DUMMYFUNCTION("""COMPUTED_VALUE"""),2024.0)</f>
        <v>2024</v>
      </c>
      <c r="H1333" s="2" t="str">
        <f t="shared" si="2"/>
        <v>2024/9/4</v>
      </c>
      <c r="I1333" s="2" t="s">
        <v>1588</v>
      </c>
      <c r="J1333" s="2" t="str">
        <f t="shared" si="3"/>
        <v>Es Kopi Susu</v>
      </c>
      <c r="K1333" s="7">
        <f>if(RIGHT(I1333,5)="2 pcs",2,Data!I1333)</f>
        <v>1</v>
      </c>
      <c r="L1333" s="2" t="str">
        <f t="shared" si="4"/>
        <v>Wednesday</v>
      </c>
      <c r="M1333" s="2" t="str">
        <f t="shared" si="5"/>
        <v>4</v>
      </c>
      <c r="N1333" s="2">
        <f>VLOOKUP(L1333,'Data Info'!$A$1:$B$8,2,0)</f>
        <v>3</v>
      </c>
      <c r="O1333" s="2" t="str">
        <f>VLOOKUP(L1333,'Data Info'!$A$1:$C$8,3,0)</f>
        <v>Weekday</v>
      </c>
    </row>
    <row r="1334">
      <c r="A1334" s="4">
        <v>45539.60833333333</v>
      </c>
      <c r="B1334" s="9">
        <f>IFERROR(__xludf.DUMMYFUNCTION("SPLIT(A1334,"" "")"),45539.0)</f>
        <v>45539</v>
      </c>
      <c r="C1334" s="10">
        <f>IFERROR(__xludf.DUMMYFUNCTION("""COMPUTED_VALUE"""),0.6083333333333333)</f>
        <v>0.6083333333</v>
      </c>
      <c r="D1334" s="2">
        <f t="shared" si="1"/>
        <v>14</v>
      </c>
      <c r="E1334" s="2">
        <f>IFERROR(__xludf.DUMMYFUNCTION("SPLIT(B1334,""/"")"),4.0)</f>
        <v>4</v>
      </c>
      <c r="F1334" s="2">
        <f>IFERROR(__xludf.DUMMYFUNCTION("""COMPUTED_VALUE"""),9.0)</f>
        <v>9</v>
      </c>
      <c r="G1334" s="2">
        <f>IFERROR(__xludf.DUMMYFUNCTION("""COMPUTED_VALUE"""),2024.0)</f>
        <v>2024</v>
      </c>
      <c r="H1334" s="2" t="str">
        <f t="shared" si="2"/>
        <v>2024/9/4</v>
      </c>
      <c r="I1334" s="2" t="s">
        <v>1584</v>
      </c>
      <c r="J1334" s="2" t="str">
        <f t="shared" si="3"/>
        <v>Korean Mango Fresh Milk</v>
      </c>
      <c r="K1334" s="7">
        <f>if(RIGHT(I1334,5)="2 pcs",2,Data!I1334)</f>
        <v>1</v>
      </c>
      <c r="L1334" s="2" t="str">
        <f t="shared" si="4"/>
        <v>Wednesday</v>
      </c>
      <c r="M1334" s="2" t="str">
        <f t="shared" si="5"/>
        <v>4</v>
      </c>
      <c r="N1334" s="2">
        <f>VLOOKUP(L1334,'Data Info'!$A$1:$B$8,2,0)</f>
        <v>3</v>
      </c>
      <c r="O1334" s="2" t="str">
        <f>VLOOKUP(L1334,'Data Info'!$A$1:$C$8,3,0)</f>
        <v>Weekday</v>
      </c>
    </row>
    <row r="1335">
      <c r="A1335" s="4">
        <v>45539.59722222222</v>
      </c>
      <c r="B1335" s="9">
        <f>IFERROR(__xludf.DUMMYFUNCTION("SPLIT(A1335,"" "")"),45539.0)</f>
        <v>45539</v>
      </c>
      <c r="C1335" s="10">
        <f>IFERROR(__xludf.DUMMYFUNCTION("""COMPUTED_VALUE"""),0.5972222222222222)</f>
        <v>0.5972222222</v>
      </c>
      <c r="D1335" s="2">
        <f t="shared" si="1"/>
        <v>14</v>
      </c>
      <c r="E1335" s="2">
        <f>IFERROR(__xludf.DUMMYFUNCTION("SPLIT(B1335,""/"")"),4.0)</f>
        <v>4</v>
      </c>
      <c r="F1335" s="2">
        <f>IFERROR(__xludf.DUMMYFUNCTION("""COMPUTED_VALUE"""),9.0)</f>
        <v>9</v>
      </c>
      <c r="G1335" s="2">
        <f>IFERROR(__xludf.DUMMYFUNCTION("""COMPUTED_VALUE"""),2024.0)</f>
        <v>2024</v>
      </c>
      <c r="H1335" s="2" t="str">
        <f t="shared" si="2"/>
        <v>2024/9/4</v>
      </c>
      <c r="I1335" s="2" t="s">
        <v>1607</v>
      </c>
      <c r="J1335" s="2" t="str">
        <f t="shared" si="3"/>
        <v>Tahu walik</v>
      </c>
      <c r="K1335" s="7">
        <f>if(RIGHT(I1335,5)="2 pcs",2,Data!I1335)</f>
        <v>1</v>
      </c>
      <c r="L1335" s="2" t="str">
        <f t="shared" si="4"/>
        <v>Wednesday</v>
      </c>
      <c r="M1335" s="2" t="str">
        <f t="shared" si="5"/>
        <v>4</v>
      </c>
      <c r="N1335" s="2">
        <f>VLOOKUP(L1335,'Data Info'!$A$1:$B$8,2,0)</f>
        <v>3</v>
      </c>
      <c r="O1335" s="2" t="str">
        <f>VLOOKUP(L1335,'Data Info'!$A$1:$C$8,3,0)</f>
        <v>Weekday</v>
      </c>
    </row>
    <row r="1336">
      <c r="A1336" s="4">
        <v>45539.59722222222</v>
      </c>
      <c r="B1336" s="9">
        <f>IFERROR(__xludf.DUMMYFUNCTION("SPLIT(A1336,"" "")"),45539.0)</f>
        <v>45539</v>
      </c>
      <c r="C1336" s="10">
        <f>IFERROR(__xludf.DUMMYFUNCTION("""COMPUTED_VALUE"""),0.5972222222222222)</f>
        <v>0.5972222222</v>
      </c>
      <c r="D1336" s="2">
        <f t="shared" si="1"/>
        <v>14</v>
      </c>
      <c r="E1336" s="2">
        <f>IFERROR(__xludf.DUMMYFUNCTION("SPLIT(B1336,""/"")"),4.0)</f>
        <v>4</v>
      </c>
      <c r="F1336" s="2">
        <f>IFERROR(__xludf.DUMMYFUNCTION("""COMPUTED_VALUE"""),9.0)</f>
        <v>9</v>
      </c>
      <c r="G1336" s="2">
        <f>IFERROR(__xludf.DUMMYFUNCTION("""COMPUTED_VALUE"""),2024.0)</f>
        <v>2024</v>
      </c>
      <c r="H1336" s="2" t="str">
        <f t="shared" si="2"/>
        <v>2024/9/4</v>
      </c>
      <c r="I1336" s="2" t="s">
        <v>1596</v>
      </c>
      <c r="J1336" s="2" t="str">
        <f t="shared" si="3"/>
        <v>Roti Cranberry</v>
      </c>
      <c r="K1336" s="7">
        <f>if(RIGHT(I1336,5)="2 pcs",2,Data!I1336)</f>
        <v>2</v>
      </c>
      <c r="L1336" s="2" t="str">
        <f t="shared" si="4"/>
        <v>Wednesday</v>
      </c>
      <c r="M1336" s="2" t="str">
        <f t="shared" si="5"/>
        <v>4</v>
      </c>
      <c r="N1336" s="2">
        <f>VLOOKUP(L1336,'Data Info'!$A$1:$B$8,2,0)</f>
        <v>3</v>
      </c>
      <c r="O1336" s="2" t="str">
        <f>VLOOKUP(L1336,'Data Info'!$A$1:$C$8,3,0)</f>
        <v>Weekday</v>
      </c>
    </row>
    <row r="1337">
      <c r="A1337" s="4">
        <v>45539.569444444445</v>
      </c>
      <c r="B1337" s="9">
        <f>IFERROR(__xludf.DUMMYFUNCTION("SPLIT(A1337,"" "")"),45539.0)</f>
        <v>45539</v>
      </c>
      <c r="C1337" s="10">
        <f>IFERROR(__xludf.DUMMYFUNCTION("""COMPUTED_VALUE"""),0.5694444444444444)</f>
        <v>0.5694444444</v>
      </c>
      <c r="D1337" s="2">
        <f t="shared" si="1"/>
        <v>13</v>
      </c>
      <c r="E1337" s="2">
        <f>IFERROR(__xludf.DUMMYFUNCTION("SPLIT(B1337,""/"")"),4.0)</f>
        <v>4</v>
      </c>
      <c r="F1337" s="2">
        <f>IFERROR(__xludf.DUMMYFUNCTION("""COMPUTED_VALUE"""),9.0)</f>
        <v>9</v>
      </c>
      <c r="G1337" s="2">
        <f>IFERROR(__xludf.DUMMYFUNCTION("""COMPUTED_VALUE"""),2024.0)</f>
        <v>2024</v>
      </c>
      <c r="H1337" s="2" t="str">
        <f t="shared" si="2"/>
        <v>2024/9/4</v>
      </c>
      <c r="I1337" s="2" t="s">
        <v>1584</v>
      </c>
      <c r="J1337" s="2" t="str">
        <f t="shared" si="3"/>
        <v>Korean Mango Fresh Milk</v>
      </c>
      <c r="K1337" s="7">
        <f>if(RIGHT(I1337,5)="2 pcs",2,Data!I1337)</f>
        <v>1</v>
      </c>
      <c r="L1337" s="2" t="str">
        <f t="shared" si="4"/>
        <v>Wednesday</v>
      </c>
      <c r="M1337" s="2" t="str">
        <f t="shared" si="5"/>
        <v>4</v>
      </c>
      <c r="N1337" s="2">
        <f>VLOOKUP(L1337,'Data Info'!$A$1:$B$8,2,0)</f>
        <v>3</v>
      </c>
      <c r="O1337" s="2" t="str">
        <f>VLOOKUP(L1337,'Data Info'!$A$1:$C$8,3,0)</f>
        <v>Weekday</v>
      </c>
    </row>
    <row r="1338">
      <c r="A1338" s="4">
        <v>45539.56805555556</v>
      </c>
      <c r="B1338" s="9">
        <f>IFERROR(__xludf.DUMMYFUNCTION("SPLIT(A1338,"" "")"),45539.0)</f>
        <v>45539</v>
      </c>
      <c r="C1338" s="10">
        <f>IFERROR(__xludf.DUMMYFUNCTION("""COMPUTED_VALUE"""),0.5680555555555555)</f>
        <v>0.5680555556</v>
      </c>
      <c r="D1338" s="2">
        <f t="shared" si="1"/>
        <v>13</v>
      </c>
      <c r="E1338" s="2">
        <f>IFERROR(__xludf.DUMMYFUNCTION("SPLIT(B1338,""/"")"),4.0)</f>
        <v>4</v>
      </c>
      <c r="F1338" s="2">
        <f>IFERROR(__xludf.DUMMYFUNCTION("""COMPUTED_VALUE"""),9.0)</f>
        <v>9</v>
      </c>
      <c r="G1338" s="2">
        <f>IFERROR(__xludf.DUMMYFUNCTION("""COMPUTED_VALUE"""),2024.0)</f>
        <v>2024</v>
      </c>
      <c r="H1338" s="2" t="str">
        <f t="shared" si="2"/>
        <v>2024/9/4</v>
      </c>
      <c r="I1338" s="2" t="s">
        <v>1566</v>
      </c>
      <c r="J1338" s="2" t="str">
        <f t="shared" si="3"/>
        <v>Roti Bawang Saus Keju</v>
      </c>
      <c r="K1338" s="7">
        <f>if(RIGHT(I1338,5)="2 pcs",2,Data!I1338)</f>
        <v>1</v>
      </c>
      <c r="L1338" s="2" t="str">
        <f t="shared" si="4"/>
        <v>Wednesday</v>
      </c>
      <c r="M1338" s="2" t="str">
        <f t="shared" si="5"/>
        <v>4</v>
      </c>
      <c r="N1338" s="2">
        <f>VLOOKUP(L1338,'Data Info'!$A$1:$B$8,2,0)</f>
        <v>3</v>
      </c>
      <c r="O1338" s="2" t="str">
        <f>VLOOKUP(L1338,'Data Info'!$A$1:$C$8,3,0)</f>
        <v>Weekday</v>
      </c>
    </row>
    <row r="1339">
      <c r="A1339" s="4">
        <v>45539.56805555556</v>
      </c>
      <c r="B1339" s="9">
        <f>IFERROR(__xludf.DUMMYFUNCTION("SPLIT(A1339,"" "")"),45539.0)</f>
        <v>45539</v>
      </c>
      <c r="C1339" s="10">
        <f>IFERROR(__xludf.DUMMYFUNCTION("""COMPUTED_VALUE"""),0.5680555555555555)</f>
        <v>0.5680555556</v>
      </c>
      <c r="D1339" s="2">
        <f t="shared" si="1"/>
        <v>13</v>
      </c>
      <c r="E1339" s="2">
        <f>IFERROR(__xludf.DUMMYFUNCTION("SPLIT(B1339,""/"")"),4.0)</f>
        <v>4</v>
      </c>
      <c r="F1339" s="2">
        <f>IFERROR(__xludf.DUMMYFUNCTION("""COMPUTED_VALUE"""),9.0)</f>
        <v>9</v>
      </c>
      <c r="G1339" s="2">
        <f>IFERROR(__xludf.DUMMYFUNCTION("""COMPUTED_VALUE"""),2024.0)</f>
        <v>2024</v>
      </c>
      <c r="H1339" s="2" t="str">
        <f t="shared" si="2"/>
        <v>2024/9/4</v>
      </c>
      <c r="I1339" s="2" t="s">
        <v>1589</v>
      </c>
      <c r="J1339" s="2" t="str">
        <f t="shared" si="3"/>
        <v>Teh Manis Dingin</v>
      </c>
      <c r="K1339" s="7">
        <f>if(RIGHT(I1339,5)="2 pcs",2,Data!I1339)</f>
        <v>1</v>
      </c>
      <c r="L1339" s="2" t="str">
        <f t="shared" si="4"/>
        <v>Wednesday</v>
      </c>
      <c r="M1339" s="2" t="str">
        <f t="shared" si="5"/>
        <v>4</v>
      </c>
      <c r="N1339" s="2">
        <f>VLOOKUP(L1339,'Data Info'!$A$1:$B$8,2,0)</f>
        <v>3</v>
      </c>
      <c r="O1339" s="2" t="str">
        <f>VLOOKUP(L1339,'Data Info'!$A$1:$C$8,3,0)</f>
        <v>Weekday</v>
      </c>
    </row>
    <row r="1340">
      <c r="A1340" s="4">
        <v>45539.56805555556</v>
      </c>
      <c r="B1340" s="9">
        <f>IFERROR(__xludf.DUMMYFUNCTION("SPLIT(A1340,"" "")"),45539.0)</f>
        <v>45539</v>
      </c>
      <c r="C1340" s="10">
        <f>IFERROR(__xludf.DUMMYFUNCTION("""COMPUTED_VALUE"""),0.5680555555555555)</f>
        <v>0.5680555556</v>
      </c>
      <c r="D1340" s="2">
        <f t="shared" si="1"/>
        <v>13</v>
      </c>
      <c r="E1340" s="2">
        <f>IFERROR(__xludf.DUMMYFUNCTION("SPLIT(B1340,""/"")"),4.0)</f>
        <v>4</v>
      </c>
      <c r="F1340" s="2">
        <f>IFERROR(__xludf.DUMMYFUNCTION("""COMPUTED_VALUE"""),9.0)</f>
        <v>9</v>
      </c>
      <c r="G1340" s="2">
        <f>IFERROR(__xludf.DUMMYFUNCTION("""COMPUTED_VALUE"""),2024.0)</f>
        <v>2024</v>
      </c>
      <c r="H1340" s="2" t="str">
        <f t="shared" si="2"/>
        <v>2024/9/4</v>
      </c>
      <c r="I1340" s="2" t="s">
        <v>1576</v>
      </c>
      <c r="J1340" s="2" t="str">
        <f t="shared" si="3"/>
        <v>Roti Cranberry</v>
      </c>
      <c r="K1340" s="7">
        <f>if(RIGHT(I1340,5)="2 pcs",2,Data!I1340)</f>
        <v>1</v>
      </c>
      <c r="L1340" s="2" t="str">
        <f t="shared" si="4"/>
        <v>Wednesday</v>
      </c>
      <c r="M1340" s="2" t="str">
        <f t="shared" si="5"/>
        <v>4</v>
      </c>
      <c r="N1340" s="2">
        <f>VLOOKUP(L1340,'Data Info'!$A$1:$B$8,2,0)</f>
        <v>3</v>
      </c>
      <c r="O1340" s="2" t="str">
        <f>VLOOKUP(L1340,'Data Info'!$A$1:$C$8,3,0)</f>
        <v>Weekday</v>
      </c>
    </row>
    <row r="1341">
      <c r="A1341" s="4">
        <v>45539.41388888889</v>
      </c>
      <c r="B1341" s="9">
        <f>IFERROR(__xludf.DUMMYFUNCTION("SPLIT(A1341,"" "")"),45539.0)</f>
        <v>45539</v>
      </c>
      <c r="C1341" s="10">
        <f>IFERROR(__xludf.DUMMYFUNCTION("""COMPUTED_VALUE"""),0.41388888888888886)</f>
        <v>0.4138888889</v>
      </c>
      <c r="D1341" s="2">
        <f t="shared" si="1"/>
        <v>9</v>
      </c>
      <c r="E1341" s="2">
        <f>IFERROR(__xludf.DUMMYFUNCTION("SPLIT(B1341,""/"")"),4.0)</f>
        <v>4</v>
      </c>
      <c r="F1341" s="2">
        <f>IFERROR(__xludf.DUMMYFUNCTION("""COMPUTED_VALUE"""),9.0)</f>
        <v>9</v>
      </c>
      <c r="G1341" s="2">
        <f>IFERROR(__xludf.DUMMYFUNCTION("""COMPUTED_VALUE"""),2024.0)</f>
        <v>2024</v>
      </c>
      <c r="H1341" s="2" t="str">
        <f t="shared" si="2"/>
        <v>2024/9/4</v>
      </c>
      <c r="I1341" s="2" t="s">
        <v>1576</v>
      </c>
      <c r="J1341" s="2" t="str">
        <f t="shared" si="3"/>
        <v>Roti Cranberry</v>
      </c>
      <c r="K1341" s="7">
        <f>if(RIGHT(I1341,5)="2 pcs",2,Data!I1341)</f>
        <v>1</v>
      </c>
      <c r="L1341" s="2" t="str">
        <f t="shared" si="4"/>
        <v>Wednesday</v>
      </c>
      <c r="M1341" s="2" t="str">
        <f t="shared" si="5"/>
        <v>4</v>
      </c>
      <c r="N1341" s="2">
        <f>VLOOKUP(L1341,'Data Info'!$A$1:$B$8,2,0)</f>
        <v>3</v>
      </c>
      <c r="O1341" s="2" t="str">
        <f>VLOOKUP(L1341,'Data Info'!$A$1:$C$8,3,0)</f>
        <v>Weekday</v>
      </c>
    </row>
    <row r="1342">
      <c r="A1342" s="4">
        <v>45539.41388888889</v>
      </c>
      <c r="B1342" s="9">
        <f>IFERROR(__xludf.DUMMYFUNCTION("SPLIT(A1342,"" "")"),45539.0)</f>
        <v>45539</v>
      </c>
      <c r="C1342" s="10">
        <f>IFERROR(__xludf.DUMMYFUNCTION("""COMPUTED_VALUE"""),0.41388888888888886)</f>
        <v>0.4138888889</v>
      </c>
      <c r="D1342" s="2">
        <f t="shared" si="1"/>
        <v>9</v>
      </c>
      <c r="E1342" s="2">
        <f>IFERROR(__xludf.DUMMYFUNCTION("SPLIT(B1342,""/"")"),4.0)</f>
        <v>4</v>
      </c>
      <c r="F1342" s="2">
        <f>IFERROR(__xludf.DUMMYFUNCTION("""COMPUTED_VALUE"""),9.0)</f>
        <v>9</v>
      </c>
      <c r="G1342" s="2">
        <f>IFERROR(__xludf.DUMMYFUNCTION("""COMPUTED_VALUE"""),2024.0)</f>
        <v>2024</v>
      </c>
      <c r="H1342" s="2" t="str">
        <f t="shared" si="2"/>
        <v>2024/9/4</v>
      </c>
      <c r="I1342" s="2" t="s">
        <v>1635</v>
      </c>
      <c r="J1342" s="2" t="str">
        <f t="shared" si="3"/>
        <v>Roti keju</v>
      </c>
      <c r="K1342" s="7">
        <f>if(RIGHT(I1342,5)="2 pcs",2,Data!I1342)</f>
        <v>1</v>
      </c>
      <c r="L1342" s="2" t="str">
        <f t="shared" si="4"/>
        <v>Wednesday</v>
      </c>
      <c r="M1342" s="2" t="str">
        <f t="shared" si="5"/>
        <v>4</v>
      </c>
      <c r="N1342" s="2">
        <f>VLOOKUP(L1342,'Data Info'!$A$1:$B$8,2,0)</f>
        <v>3</v>
      </c>
      <c r="O1342" s="2" t="str">
        <f>VLOOKUP(L1342,'Data Info'!$A$1:$C$8,3,0)</f>
        <v>Weekday</v>
      </c>
    </row>
    <row r="1343">
      <c r="A1343" s="4">
        <v>45539.40277777778</v>
      </c>
      <c r="B1343" s="9">
        <f>IFERROR(__xludf.DUMMYFUNCTION("SPLIT(A1343,"" "")"),45539.0)</f>
        <v>45539</v>
      </c>
      <c r="C1343" s="10">
        <f>IFERROR(__xludf.DUMMYFUNCTION("""COMPUTED_VALUE"""),0.4027777777777778)</f>
        <v>0.4027777778</v>
      </c>
      <c r="D1343" s="2">
        <f t="shared" si="1"/>
        <v>9</v>
      </c>
      <c r="E1343" s="2">
        <f>IFERROR(__xludf.DUMMYFUNCTION("SPLIT(B1343,""/"")"),4.0)</f>
        <v>4</v>
      </c>
      <c r="F1343" s="2">
        <f>IFERROR(__xludf.DUMMYFUNCTION("""COMPUTED_VALUE"""),9.0)</f>
        <v>9</v>
      </c>
      <c r="G1343" s="2">
        <f>IFERROR(__xludf.DUMMYFUNCTION("""COMPUTED_VALUE"""),2024.0)</f>
        <v>2024</v>
      </c>
      <c r="H1343" s="2" t="str">
        <f t="shared" si="2"/>
        <v>2024/9/4</v>
      </c>
      <c r="I1343" s="2" t="s">
        <v>1573</v>
      </c>
      <c r="J1343" s="2" t="str">
        <f t="shared" si="3"/>
        <v>Air mineral</v>
      </c>
      <c r="K1343" s="7">
        <f>if(RIGHT(I1343,5)="2 pcs",2,Data!I1343)</f>
        <v>1</v>
      </c>
      <c r="L1343" s="2" t="str">
        <f t="shared" si="4"/>
        <v>Wednesday</v>
      </c>
      <c r="M1343" s="2" t="str">
        <f t="shared" si="5"/>
        <v>4</v>
      </c>
      <c r="N1343" s="2">
        <f>VLOOKUP(L1343,'Data Info'!$A$1:$B$8,2,0)</f>
        <v>3</v>
      </c>
      <c r="O1343" s="2" t="str">
        <f>VLOOKUP(L1343,'Data Info'!$A$1:$C$8,3,0)</f>
        <v>Weekday</v>
      </c>
    </row>
    <row r="1344">
      <c r="A1344" s="4">
        <v>45539.396527777775</v>
      </c>
      <c r="B1344" s="9">
        <f>IFERROR(__xludf.DUMMYFUNCTION("SPLIT(A1344,"" "")"),45539.0)</f>
        <v>45539</v>
      </c>
      <c r="C1344" s="10">
        <f>IFERROR(__xludf.DUMMYFUNCTION("""COMPUTED_VALUE"""),0.39652777777777776)</f>
        <v>0.3965277778</v>
      </c>
      <c r="D1344" s="2">
        <f t="shared" si="1"/>
        <v>9</v>
      </c>
      <c r="E1344" s="2">
        <f>IFERROR(__xludf.DUMMYFUNCTION("SPLIT(B1344,""/"")"),4.0)</f>
        <v>4</v>
      </c>
      <c r="F1344" s="2">
        <f>IFERROR(__xludf.DUMMYFUNCTION("""COMPUTED_VALUE"""),9.0)</f>
        <v>9</v>
      </c>
      <c r="G1344" s="2">
        <f>IFERROR(__xludf.DUMMYFUNCTION("""COMPUTED_VALUE"""),2024.0)</f>
        <v>2024</v>
      </c>
      <c r="H1344" s="2" t="str">
        <f t="shared" si="2"/>
        <v>2024/9/4</v>
      </c>
      <c r="I1344" s="2" t="s">
        <v>1576</v>
      </c>
      <c r="J1344" s="2" t="str">
        <f t="shared" si="3"/>
        <v>Roti Cranberry</v>
      </c>
      <c r="K1344" s="7">
        <f>if(RIGHT(I1344,5)="2 pcs",2,Data!I1344)</f>
        <v>1</v>
      </c>
      <c r="L1344" s="2" t="str">
        <f t="shared" si="4"/>
        <v>Wednesday</v>
      </c>
      <c r="M1344" s="2" t="str">
        <f t="shared" si="5"/>
        <v>4</v>
      </c>
      <c r="N1344" s="2">
        <f>VLOOKUP(L1344,'Data Info'!$A$1:$B$8,2,0)</f>
        <v>3</v>
      </c>
      <c r="O1344" s="2" t="str">
        <f>VLOOKUP(L1344,'Data Info'!$A$1:$C$8,3,0)</f>
        <v>Weekday</v>
      </c>
    </row>
    <row r="1345">
      <c r="A1345" s="4">
        <v>45539.396527777775</v>
      </c>
      <c r="B1345" s="9">
        <f>IFERROR(__xludf.DUMMYFUNCTION("SPLIT(A1345,"" "")"),45539.0)</f>
        <v>45539</v>
      </c>
      <c r="C1345" s="10">
        <f>IFERROR(__xludf.DUMMYFUNCTION("""COMPUTED_VALUE"""),0.39652777777777776)</f>
        <v>0.3965277778</v>
      </c>
      <c r="D1345" s="2">
        <f t="shared" si="1"/>
        <v>9</v>
      </c>
      <c r="E1345" s="2">
        <f>IFERROR(__xludf.DUMMYFUNCTION("SPLIT(B1345,""/"")"),4.0)</f>
        <v>4</v>
      </c>
      <c r="F1345" s="2">
        <f>IFERROR(__xludf.DUMMYFUNCTION("""COMPUTED_VALUE"""),9.0)</f>
        <v>9</v>
      </c>
      <c r="G1345" s="2">
        <f>IFERROR(__xludf.DUMMYFUNCTION("""COMPUTED_VALUE"""),2024.0)</f>
        <v>2024</v>
      </c>
      <c r="H1345" s="2" t="str">
        <f t="shared" si="2"/>
        <v>2024/9/4</v>
      </c>
      <c r="I1345" s="2" t="s">
        <v>1588</v>
      </c>
      <c r="J1345" s="2" t="str">
        <f t="shared" si="3"/>
        <v>Es Kopi Susu</v>
      </c>
      <c r="K1345" s="7">
        <f>if(RIGHT(I1345,5)="2 pcs",2,Data!I1345)</f>
        <v>1</v>
      </c>
      <c r="L1345" s="2" t="str">
        <f t="shared" si="4"/>
        <v>Wednesday</v>
      </c>
      <c r="M1345" s="2" t="str">
        <f t="shared" si="5"/>
        <v>4</v>
      </c>
      <c r="N1345" s="2">
        <f>VLOOKUP(L1345,'Data Info'!$A$1:$B$8,2,0)</f>
        <v>3</v>
      </c>
      <c r="O1345" s="2" t="str">
        <f>VLOOKUP(L1345,'Data Info'!$A$1:$C$8,3,0)</f>
        <v>Weekday</v>
      </c>
    </row>
    <row r="1346">
      <c r="A1346" s="4">
        <v>45539.396527777775</v>
      </c>
      <c r="B1346" s="9">
        <f>IFERROR(__xludf.DUMMYFUNCTION("SPLIT(A1346,"" "")"),45539.0)</f>
        <v>45539</v>
      </c>
      <c r="C1346" s="10">
        <f>IFERROR(__xludf.DUMMYFUNCTION("""COMPUTED_VALUE"""),0.39652777777777776)</f>
        <v>0.3965277778</v>
      </c>
      <c r="D1346" s="2">
        <f t="shared" si="1"/>
        <v>9</v>
      </c>
      <c r="E1346" s="2">
        <f>IFERROR(__xludf.DUMMYFUNCTION("SPLIT(B1346,""/"")"),4.0)</f>
        <v>4</v>
      </c>
      <c r="F1346" s="2">
        <f>IFERROR(__xludf.DUMMYFUNCTION("""COMPUTED_VALUE"""),9.0)</f>
        <v>9</v>
      </c>
      <c r="G1346" s="2">
        <f>IFERROR(__xludf.DUMMYFUNCTION("""COMPUTED_VALUE"""),2024.0)</f>
        <v>2024</v>
      </c>
      <c r="H1346" s="2" t="str">
        <f t="shared" si="2"/>
        <v>2024/9/4</v>
      </c>
      <c r="I1346" s="2" t="s">
        <v>1583</v>
      </c>
      <c r="J1346" s="2" t="str">
        <f t="shared" si="3"/>
        <v>Es Kopi Lemon</v>
      </c>
      <c r="K1346" s="7">
        <f>if(RIGHT(I1346,5)="2 pcs",2,Data!I1346)</f>
        <v>1</v>
      </c>
      <c r="L1346" s="2" t="str">
        <f t="shared" si="4"/>
        <v>Wednesday</v>
      </c>
      <c r="M1346" s="2" t="str">
        <f t="shared" si="5"/>
        <v>4</v>
      </c>
      <c r="N1346" s="2">
        <f>VLOOKUP(L1346,'Data Info'!$A$1:$B$8,2,0)</f>
        <v>3</v>
      </c>
      <c r="O1346" s="2" t="str">
        <f>VLOOKUP(L1346,'Data Info'!$A$1:$C$8,3,0)</f>
        <v>Weekday</v>
      </c>
    </row>
    <row r="1347">
      <c r="A1347" s="4">
        <v>45539.396527777775</v>
      </c>
      <c r="B1347" s="9">
        <f>IFERROR(__xludf.DUMMYFUNCTION("SPLIT(A1347,"" "")"),45539.0)</f>
        <v>45539</v>
      </c>
      <c r="C1347" s="10">
        <f>IFERROR(__xludf.DUMMYFUNCTION("""COMPUTED_VALUE"""),0.39652777777777776)</f>
        <v>0.3965277778</v>
      </c>
      <c r="D1347" s="2">
        <f t="shared" si="1"/>
        <v>9</v>
      </c>
      <c r="E1347" s="2">
        <f>IFERROR(__xludf.DUMMYFUNCTION("SPLIT(B1347,""/"")"),4.0)</f>
        <v>4</v>
      </c>
      <c r="F1347" s="2">
        <f>IFERROR(__xludf.DUMMYFUNCTION("""COMPUTED_VALUE"""),9.0)</f>
        <v>9</v>
      </c>
      <c r="G1347" s="2">
        <f>IFERROR(__xludf.DUMMYFUNCTION("""COMPUTED_VALUE"""),2024.0)</f>
        <v>2024</v>
      </c>
      <c r="H1347" s="2" t="str">
        <f t="shared" si="2"/>
        <v>2024/9/4</v>
      </c>
      <c r="I1347" s="2" t="s">
        <v>1607</v>
      </c>
      <c r="J1347" s="2" t="str">
        <f t="shared" si="3"/>
        <v>Tahu walik</v>
      </c>
      <c r="K1347" s="7">
        <f>if(RIGHT(I1347,5)="2 pcs",2,Data!I1347)</f>
        <v>1</v>
      </c>
      <c r="L1347" s="2" t="str">
        <f t="shared" si="4"/>
        <v>Wednesday</v>
      </c>
      <c r="M1347" s="2" t="str">
        <f t="shared" si="5"/>
        <v>4</v>
      </c>
      <c r="N1347" s="2">
        <f>VLOOKUP(L1347,'Data Info'!$A$1:$B$8,2,0)</f>
        <v>3</v>
      </c>
      <c r="O1347" s="2" t="str">
        <f>VLOOKUP(L1347,'Data Info'!$A$1:$C$8,3,0)</f>
        <v>Weekday</v>
      </c>
    </row>
    <row r="1348">
      <c r="A1348" s="4">
        <v>45539.39375</v>
      </c>
      <c r="B1348" s="9">
        <f>IFERROR(__xludf.DUMMYFUNCTION("SPLIT(A1348,"" "")"),45539.0)</f>
        <v>45539</v>
      </c>
      <c r="C1348" s="10">
        <f>IFERROR(__xludf.DUMMYFUNCTION("""COMPUTED_VALUE"""),0.39375)</f>
        <v>0.39375</v>
      </c>
      <c r="D1348" s="2">
        <f t="shared" si="1"/>
        <v>9</v>
      </c>
      <c r="E1348" s="2">
        <f>IFERROR(__xludf.DUMMYFUNCTION("SPLIT(B1348,""/"")"),4.0)</f>
        <v>4</v>
      </c>
      <c r="F1348" s="2">
        <f>IFERROR(__xludf.DUMMYFUNCTION("""COMPUTED_VALUE"""),9.0)</f>
        <v>9</v>
      </c>
      <c r="G1348" s="2">
        <f>IFERROR(__xludf.DUMMYFUNCTION("""COMPUTED_VALUE"""),2024.0)</f>
        <v>2024</v>
      </c>
      <c r="H1348" s="2" t="str">
        <f t="shared" si="2"/>
        <v>2024/9/4</v>
      </c>
      <c r="I1348" s="2" t="s">
        <v>1573</v>
      </c>
      <c r="J1348" s="2" t="str">
        <f t="shared" si="3"/>
        <v>Air mineral</v>
      </c>
      <c r="K1348" s="7">
        <f>if(RIGHT(I1348,5)="2 pcs",2,Data!I1348)</f>
        <v>1</v>
      </c>
      <c r="L1348" s="2" t="str">
        <f t="shared" si="4"/>
        <v>Wednesday</v>
      </c>
      <c r="M1348" s="2" t="str">
        <f t="shared" si="5"/>
        <v>4</v>
      </c>
      <c r="N1348" s="2">
        <f>VLOOKUP(L1348,'Data Info'!$A$1:$B$8,2,0)</f>
        <v>3</v>
      </c>
      <c r="O1348" s="2" t="str">
        <f>VLOOKUP(L1348,'Data Info'!$A$1:$C$8,3,0)</f>
        <v>Weekday</v>
      </c>
    </row>
    <row r="1349">
      <c r="A1349" s="4">
        <v>45539.39375</v>
      </c>
      <c r="B1349" s="9">
        <f>IFERROR(__xludf.DUMMYFUNCTION("SPLIT(A1349,"" "")"),45539.0)</f>
        <v>45539</v>
      </c>
      <c r="C1349" s="10">
        <f>IFERROR(__xludf.DUMMYFUNCTION("""COMPUTED_VALUE"""),0.39375)</f>
        <v>0.39375</v>
      </c>
      <c r="D1349" s="2">
        <f t="shared" si="1"/>
        <v>9</v>
      </c>
      <c r="E1349" s="2">
        <f>IFERROR(__xludf.DUMMYFUNCTION("SPLIT(B1349,""/"")"),4.0)</f>
        <v>4</v>
      </c>
      <c r="F1349" s="2">
        <f>IFERROR(__xludf.DUMMYFUNCTION("""COMPUTED_VALUE"""),9.0)</f>
        <v>9</v>
      </c>
      <c r="G1349" s="2">
        <f>IFERROR(__xludf.DUMMYFUNCTION("""COMPUTED_VALUE"""),2024.0)</f>
        <v>2024</v>
      </c>
      <c r="H1349" s="2" t="str">
        <f t="shared" si="2"/>
        <v>2024/9/4</v>
      </c>
      <c r="I1349" s="2" t="s">
        <v>1605</v>
      </c>
      <c r="J1349" s="2" t="str">
        <f t="shared" si="3"/>
        <v>Kentang Goreng</v>
      </c>
      <c r="K1349" s="7">
        <f>if(RIGHT(I1349,5)="2 pcs",2,Data!I1349)</f>
        <v>1</v>
      </c>
      <c r="L1349" s="2" t="str">
        <f t="shared" si="4"/>
        <v>Wednesday</v>
      </c>
      <c r="M1349" s="2" t="str">
        <f t="shared" si="5"/>
        <v>4</v>
      </c>
      <c r="N1349" s="2">
        <f>VLOOKUP(L1349,'Data Info'!$A$1:$B$8,2,0)</f>
        <v>3</v>
      </c>
      <c r="O1349" s="2" t="str">
        <f>VLOOKUP(L1349,'Data Info'!$A$1:$C$8,3,0)</f>
        <v>Weekday</v>
      </c>
    </row>
    <row r="1350">
      <c r="A1350" s="4">
        <v>45538.87777777778</v>
      </c>
      <c r="B1350" s="9">
        <f>IFERROR(__xludf.DUMMYFUNCTION("SPLIT(A1350,"" "")"),45538.0)</f>
        <v>45538</v>
      </c>
      <c r="C1350" s="10">
        <f>IFERROR(__xludf.DUMMYFUNCTION("""COMPUTED_VALUE"""),0.8777777777777778)</f>
        <v>0.8777777778</v>
      </c>
      <c r="D1350" s="2">
        <f t="shared" si="1"/>
        <v>21</v>
      </c>
      <c r="E1350" s="2">
        <f>IFERROR(__xludf.DUMMYFUNCTION("SPLIT(B1350,""/"")"),3.0)</f>
        <v>3</v>
      </c>
      <c r="F1350" s="2">
        <f>IFERROR(__xludf.DUMMYFUNCTION("""COMPUTED_VALUE"""),9.0)</f>
        <v>9</v>
      </c>
      <c r="G1350" s="2">
        <f>IFERROR(__xludf.DUMMYFUNCTION("""COMPUTED_VALUE"""),2024.0)</f>
        <v>2024</v>
      </c>
      <c r="H1350" s="2" t="str">
        <f t="shared" si="2"/>
        <v>2024/9/3</v>
      </c>
      <c r="I1350" s="2" t="s">
        <v>1602</v>
      </c>
      <c r="J1350" s="2" t="str">
        <f t="shared" si="3"/>
        <v>Mie joglo</v>
      </c>
      <c r="K1350" s="7">
        <f>if(RIGHT(I1350,5)="2 pcs",2,Data!I1350)</f>
        <v>1</v>
      </c>
      <c r="L1350" s="2" t="str">
        <f t="shared" si="4"/>
        <v>Tuesday</v>
      </c>
      <c r="M1350" s="2" t="str">
        <f t="shared" si="5"/>
        <v>3</v>
      </c>
      <c r="N1350" s="2">
        <f>VLOOKUP(L1350,'Data Info'!$A$1:$B$8,2,0)</f>
        <v>2</v>
      </c>
      <c r="O1350" s="2" t="str">
        <f>VLOOKUP(L1350,'Data Info'!$A$1:$C$8,3,0)</f>
        <v>Weekday</v>
      </c>
    </row>
    <row r="1351">
      <c r="A1351" s="4">
        <v>45538.87777777778</v>
      </c>
      <c r="B1351" s="9">
        <f>IFERROR(__xludf.DUMMYFUNCTION("SPLIT(A1351,"" "")"),45538.0)</f>
        <v>45538</v>
      </c>
      <c r="C1351" s="10">
        <f>IFERROR(__xludf.DUMMYFUNCTION("""COMPUTED_VALUE"""),0.8777777777777778)</f>
        <v>0.8777777778</v>
      </c>
      <c r="D1351" s="2">
        <f t="shared" si="1"/>
        <v>21</v>
      </c>
      <c r="E1351" s="2">
        <f>IFERROR(__xludf.DUMMYFUNCTION("SPLIT(B1351,""/"")"),3.0)</f>
        <v>3</v>
      </c>
      <c r="F1351" s="2">
        <f>IFERROR(__xludf.DUMMYFUNCTION("""COMPUTED_VALUE"""),9.0)</f>
        <v>9</v>
      </c>
      <c r="G1351" s="2">
        <f>IFERROR(__xludf.DUMMYFUNCTION("""COMPUTED_VALUE"""),2024.0)</f>
        <v>2024</v>
      </c>
      <c r="H1351" s="2" t="str">
        <f t="shared" si="2"/>
        <v>2024/9/3</v>
      </c>
      <c r="I1351" s="2" t="s">
        <v>1609</v>
      </c>
      <c r="J1351" s="2" t="str">
        <f t="shared" si="3"/>
        <v>Tempe Mendoan</v>
      </c>
      <c r="K1351" s="7">
        <f>if(RIGHT(I1351,5)="2 pcs",2,Data!I1351)</f>
        <v>1</v>
      </c>
      <c r="L1351" s="2" t="str">
        <f t="shared" si="4"/>
        <v>Tuesday</v>
      </c>
      <c r="M1351" s="2" t="str">
        <f t="shared" si="5"/>
        <v>3</v>
      </c>
      <c r="N1351" s="2">
        <f>VLOOKUP(L1351,'Data Info'!$A$1:$B$8,2,0)</f>
        <v>2</v>
      </c>
      <c r="O1351" s="2" t="str">
        <f>VLOOKUP(L1351,'Data Info'!$A$1:$C$8,3,0)</f>
        <v>Weekday</v>
      </c>
    </row>
    <row r="1352">
      <c r="A1352" s="4">
        <v>45538.86597222222</v>
      </c>
      <c r="B1352" s="9">
        <f>IFERROR(__xludf.DUMMYFUNCTION("SPLIT(A1352,"" "")"),45538.0)</f>
        <v>45538</v>
      </c>
      <c r="C1352" s="10">
        <f>IFERROR(__xludf.DUMMYFUNCTION("""COMPUTED_VALUE"""),0.8659722222222223)</f>
        <v>0.8659722222</v>
      </c>
      <c r="D1352" s="2">
        <f t="shared" si="1"/>
        <v>20</v>
      </c>
      <c r="E1352" s="2">
        <f>IFERROR(__xludf.DUMMYFUNCTION("SPLIT(B1352,""/"")"),3.0)</f>
        <v>3</v>
      </c>
      <c r="F1352" s="2">
        <f>IFERROR(__xludf.DUMMYFUNCTION("""COMPUTED_VALUE"""),9.0)</f>
        <v>9</v>
      </c>
      <c r="G1352" s="2">
        <f>IFERROR(__xludf.DUMMYFUNCTION("""COMPUTED_VALUE"""),2024.0)</f>
        <v>2024</v>
      </c>
      <c r="H1352" s="2" t="str">
        <f t="shared" si="2"/>
        <v>2024/9/3</v>
      </c>
      <c r="I1352" s="2" t="s">
        <v>1607</v>
      </c>
      <c r="J1352" s="2" t="str">
        <f t="shared" si="3"/>
        <v>Tahu walik</v>
      </c>
      <c r="K1352" s="7">
        <f>if(RIGHT(I1352,5)="2 pcs",2,Data!I1352)</f>
        <v>1</v>
      </c>
      <c r="L1352" s="2" t="str">
        <f t="shared" si="4"/>
        <v>Tuesday</v>
      </c>
      <c r="M1352" s="2" t="str">
        <f t="shared" si="5"/>
        <v>3</v>
      </c>
      <c r="N1352" s="2">
        <f>VLOOKUP(L1352,'Data Info'!$A$1:$B$8,2,0)</f>
        <v>2</v>
      </c>
      <c r="O1352" s="2" t="str">
        <f>VLOOKUP(L1352,'Data Info'!$A$1:$C$8,3,0)</f>
        <v>Weekday</v>
      </c>
    </row>
    <row r="1353">
      <c r="A1353" s="4">
        <v>45538.86597222222</v>
      </c>
      <c r="B1353" s="9">
        <f>IFERROR(__xludf.DUMMYFUNCTION("SPLIT(A1353,"" "")"),45538.0)</f>
        <v>45538</v>
      </c>
      <c r="C1353" s="10">
        <f>IFERROR(__xludf.DUMMYFUNCTION("""COMPUTED_VALUE"""),0.8659722222222223)</f>
        <v>0.8659722222</v>
      </c>
      <c r="D1353" s="2">
        <f t="shared" si="1"/>
        <v>20</v>
      </c>
      <c r="E1353" s="2">
        <f>IFERROR(__xludf.DUMMYFUNCTION("SPLIT(B1353,""/"")"),3.0)</f>
        <v>3</v>
      </c>
      <c r="F1353" s="2">
        <f>IFERROR(__xludf.DUMMYFUNCTION("""COMPUTED_VALUE"""),9.0)</f>
        <v>9</v>
      </c>
      <c r="G1353" s="2">
        <f>IFERROR(__xludf.DUMMYFUNCTION("""COMPUTED_VALUE"""),2024.0)</f>
        <v>2024</v>
      </c>
      <c r="H1353" s="2" t="str">
        <f t="shared" si="2"/>
        <v>2024/9/3</v>
      </c>
      <c r="I1353" s="2" t="s">
        <v>1615</v>
      </c>
      <c r="J1353" s="2" t="str">
        <f t="shared" si="3"/>
        <v>Roti panggang sarikaya</v>
      </c>
      <c r="K1353" s="7">
        <f>if(RIGHT(I1353,5)="2 pcs",2,Data!I1353)</f>
        <v>1</v>
      </c>
      <c r="L1353" s="2" t="str">
        <f t="shared" si="4"/>
        <v>Tuesday</v>
      </c>
      <c r="M1353" s="2" t="str">
        <f t="shared" si="5"/>
        <v>3</v>
      </c>
      <c r="N1353" s="2">
        <f>VLOOKUP(L1353,'Data Info'!$A$1:$B$8,2,0)</f>
        <v>2</v>
      </c>
      <c r="O1353" s="2" t="str">
        <f>VLOOKUP(L1353,'Data Info'!$A$1:$C$8,3,0)</f>
        <v>Weekday</v>
      </c>
    </row>
    <row r="1354">
      <c r="A1354" s="4">
        <v>45538.86597222222</v>
      </c>
      <c r="B1354" s="9">
        <f>IFERROR(__xludf.DUMMYFUNCTION("SPLIT(A1354,"" "")"),45538.0)</f>
        <v>45538</v>
      </c>
      <c r="C1354" s="10">
        <f>IFERROR(__xludf.DUMMYFUNCTION("""COMPUTED_VALUE"""),0.8659722222222223)</f>
        <v>0.8659722222</v>
      </c>
      <c r="D1354" s="2">
        <f t="shared" si="1"/>
        <v>20</v>
      </c>
      <c r="E1354" s="2">
        <f>IFERROR(__xludf.DUMMYFUNCTION("SPLIT(B1354,""/"")"),3.0)</f>
        <v>3</v>
      </c>
      <c r="F1354" s="2">
        <f>IFERROR(__xludf.DUMMYFUNCTION("""COMPUTED_VALUE"""),9.0)</f>
        <v>9</v>
      </c>
      <c r="G1354" s="2">
        <f>IFERROR(__xludf.DUMMYFUNCTION("""COMPUTED_VALUE"""),2024.0)</f>
        <v>2024</v>
      </c>
      <c r="H1354" s="2" t="str">
        <f t="shared" si="2"/>
        <v>2024/9/3</v>
      </c>
      <c r="I1354" s="2" t="s">
        <v>1596</v>
      </c>
      <c r="J1354" s="2" t="str">
        <f t="shared" si="3"/>
        <v>Roti Cranberry</v>
      </c>
      <c r="K1354" s="7">
        <f>if(RIGHT(I1354,5)="2 pcs",2,Data!I1354)</f>
        <v>2</v>
      </c>
      <c r="L1354" s="2" t="str">
        <f t="shared" si="4"/>
        <v>Tuesday</v>
      </c>
      <c r="M1354" s="2" t="str">
        <f t="shared" si="5"/>
        <v>3</v>
      </c>
      <c r="N1354" s="2">
        <f>VLOOKUP(L1354,'Data Info'!$A$1:$B$8,2,0)</f>
        <v>2</v>
      </c>
      <c r="O1354" s="2" t="str">
        <f>VLOOKUP(L1354,'Data Info'!$A$1:$C$8,3,0)</f>
        <v>Weekday</v>
      </c>
    </row>
    <row r="1355">
      <c r="A1355" s="4">
        <v>45538.86597222222</v>
      </c>
      <c r="B1355" s="9">
        <f>IFERROR(__xludf.DUMMYFUNCTION("SPLIT(A1355,"" "")"),45538.0)</f>
        <v>45538</v>
      </c>
      <c r="C1355" s="10">
        <f>IFERROR(__xludf.DUMMYFUNCTION("""COMPUTED_VALUE"""),0.8659722222222223)</f>
        <v>0.8659722222</v>
      </c>
      <c r="D1355" s="2">
        <f t="shared" si="1"/>
        <v>20</v>
      </c>
      <c r="E1355" s="2">
        <f>IFERROR(__xludf.DUMMYFUNCTION("SPLIT(B1355,""/"")"),3.0)</f>
        <v>3</v>
      </c>
      <c r="F1355" s="2">
        <f>IFERROR(__xludf.DUMMYFUNCTION("""COMPUTED_VALUE"""),9.0)</f>
        <v>9</v>
      </c>
      <c r="G1355" s="2">
        <f>IFERROR(__xludf.DUMMYFUNCTION("""COMPUTED_VALUE"""),2024.0)</f>
        <v>2024</v>
      </c>
      <c r="H1355" s="2" t="str">
        <f t="shared" si="2"/>
        <v>2024/9/3</v>
      </c>
      <c r="I1355" s="2" t="s">
        <v>1602</v>
      </c>
      <c r="J1355" s="2" t="str">
        <f t="shared" si="3"/>
        <v>Mie joglo</v>
      </c>
      <c r="K1355" s="7">
        <f>if(RIGHT(I1355,5)="2 pcs",2,Data!I1355)</f>
        <v>1</v>
      </c>
      <c r="L1355" s="2" t="str">
        <f t="shared" si="4"/>
        <v>Tuesday</v>
      </c>
      <c r="M1355" s="2" t="str">
        <f t="shared" si="5"/>
        <v>3</v>
      </c>
      <c r="N1355" s="2">
        <f>VLOOKUP(L1355,'Data Info'!$A$1:$B$8,2,0)</f>
        <v>2</v>
      </c>
      <c r="O1355" s="2" t="str">
        <f>VLOOKUP(L1355,'Data Info'!$A$1:$C$8,3,0)</f>
        <v>Weekday</v>
      </c>
    </row>
    <row r="1356">
      <c r="A1356" s="4">
        <v>45538.86597222222</v>
      </c>
      <c r="B1356" s="9">
        <f>IFERROR(__xludf.DUMMYFUNCTION("SPLIT(A1356,"" "")"),45538.0)</f>
        <v>45538</v>
      </c>
      <c r="C1356" s="10">
        <f>IFERROR(__xludf.DUMMYFUNCTION("""COMPUTED_VALUE"""),0.8659722222222223)</f>
        <v>0.8659722222</v>
      </c>
      <c r="D1356" s="2">
        <f t="shared" si="1"/>
        <v>20</v>
      </c>
      <c r="E1356" s="2">
        <f>IFERROR(__xludf.DUMMYFUNCTION("SPLIT(B1356,""/"")"),3.0)</f>
        <v>3</v>
      </c>
      <c r="F1356" s="2">
        <f>IFERROR(__xludf.DUMMYFUNCTION("""COMPUTED_VALUE"""),9.0)</f>
        <v>9</v>
      </c>
      <c r="G1356" s="2">
        <f>IFERROR(__xludf.DUMMYFUNCTION("""COMPUTED_VALUE"""),2024.0)</f>
        <v>2024</v>
      </c>
      <c r="H1356" s="2" t="str">
        <f t="shared" si="2"/>
        <v>2024/9/3</v>
      </c>
      <c r="I1356" s="2" t="s">
        <v>1615</v>
      </c>
      <c r="J1356" s="2" t="str">
        <f t="shared" si="3"/>
        <v>Roti panggang sarikaya</v>
      </c>
      <c r="K1356" s="7">
        <f>if(RIGHT(I1356,5)="2 pcs",2,Data!I1356)</f>
        <v>-1</v>
      </c>
      <c r="L1356" s="2" t="str">
        <f t="shared" si="4"/>
        <v>Tuesday</v>
      </c>
      <c r="M1356" s="2" t="str">
        <f t="shared" si="5"/>
        <v>3</v>
      </c>
      <c r="N1356" s="2">
        <f>VLOOKUP(L1356,'Data Info'!$A$1:$B$8,2,0)</f>
        <v>2</v>
      </c>
      <c r="O1356" s="2" t="str">
        <f>VLOOKUP(L1356,'Data Info'!$A$1:$C$8,3,0)</f>
        <v>Weekday</v>
      </c>
    </row>
    <row r="1357">
      <c r="A1357" s="4">
        <v>45538.86597222222</v>
      </c>
      <c r="B1357" s="9">
        <f>IFERROR(__xludf.DUMMYFUNCTION("SPLIT(A1357,"" "")"),45538.0)</f>
        <v>45538</v>
      </c>
      <c r="C1357" s="10">
        <f>IFERROR(__xludf.DUMMYFUNCTION("""COMPUTED_VALUE"""),0.8659722222222223)</f>
        <v>0.8659722222</v>
      </c>
      <c r="D1357" s="2">
        <f t="shared" si="1"/>
        <v>20</v>
      </c>
      <c r="E1357" s="2">
        <f>IFERROR(__xludf.DUMMYFUNCTION("SPLIT(B1357,""/"")"),3.0)</f>
        <v>3</v>
      </c>
      <c r="F1357" s="2">
        <f>IFERROR(__xludf.DUMMYFUNCTION("""COMPUTED_VALUE"""),9.0)</f>
        <v>9</v>
      </c>
      <c r="G1357" s="2">
        <f>IFERROR(__xludf.DUMMYFUNCTION("""COMPUTED_VALUE"""),2024.0)</f>
        <v>2024</v>
      </c>
      <c r="H1357" s="2" t="str">
        <f t="shared" si="2"/>
        <v>2024/9/3</v>
      </c>
      <c r="I1357" s="2" t="s">
        <v>1607</v>
      </c>
      <c r="J1357" s="2" t="str">
        <f t="shared" si="3"/>
        <v>Tahu walik</v>
      </c>
      <c r="K1357" s="7">
        <f>if(RIGHT(I1357,5)="2 pcs",2,Data!I1357)</f>
        <v>-1</v>
      </c>
      <c r="L1357" s="2" t="str">
        <f t="shared" si="4"/>
        <v>Tuesday</v>
      </c>
      <c r="M1357" s="2" t="str">
        <f t="shared" si="5"/>
        <v>3</v>
      </c>
      <c r="N1357" s="2">
        <f>VLOOKUP(L1357,'Data Info'!$A$1:$B$8,2,0)</f>
        <v>2</v>
      </c>
      <c r="O1357" s="2" t="str">
        <f>VLOOKUP(L1357,'Data Info'!$A$1:$C$8,3,0)</f>
        <v>Weekday</v>
      </c>
    </row>
    <row r="1358">
      <c r="A1358" s="4">
        <v>45538.86597222222</v>
      </c>
      <c r="B1358" s="9">
        <f>IFERROR(__xludf.DUMMYFUNCTION("SPLIT(A1358,"" "")"),45538.0)</f>
        <v>45538</v>
      </c>
      <c r="C1358" s="10">
        <f>IFERROR(__xludf.DUMMYFUNCTION("""COMPUTED_VALUE"""),0.8659722222222223)</f>
        <v>0.8659722222</v>
      </c>
      <c r="D1358" s="2">
        <f t="shared" si="1"/>
        <v>20</v>
      </c>
      <c r="E1358" s="2">
        <f>IFERROR(__xludf.DUMMYFUNCTION("SPLIT(B1358,""/"")"),3.0)</f>
        <v>3</v>
      </c>
      <c r="F1358" s="2">
        <f>IFERROR(__xludf.DUMMYFUNCTION("""COMPUTED_VALUE"""),9.0)</f>
        <v>9</v>
      </c>
      <c r="G1358" s="2">
        <f>IFERROR(__xludf.DUMMYFUNCTION("""COMPUTED_VALUE"""),2024.0)</f>
        <v>2024</v>
      </c>
      <c r="H1358" s="2" t="str">
        <f t="shared" si="2"/>
        <v>2024/9/3</v>
      </c>
      <c r="I1358" s="2" t="s">
        <v>1602</v>
      </c>
      <c r="J1358" s="2" t="str">
        <f t="shared" si="3"/>
        <v>Mie joglo</v>
      </c>
      <c r="K1358" s="7">
        <f>if(RIGHT(I1358,5)="2 pcs",2,Data!I1358)</f>
        <v>-1</v>
      </c>
      <c r="L1358" s="2" t="str">
        <f t="shared" si="4"/>
        <v>Tuesday</v>
      </c>
      <c r="M1358" s="2" t="str">
        <f t="shared" si="5"/>
        <v>3</v>
      </c>
      <c r="N1358" s="2">
        <f>VLOOKUP(L1358,'Data Info'!$A$1:$B$8,2,0)</f>
        <v>2</v>
      </c>
      <c r="O1358" s="2" t="str">
        <f>VLOOKUP(L1358,'Data Info'!$A$1:$C$8,3,0)</f>
        <v>Weekday</v>
      </c>
    </row>
    <row r="1359">
      <c r="A1359" s="4">
        <v>45538.86597222222</v>
      </c>
      <c r="B1359" s="9">
        <f>IFERROR(__xludf.DUMMYFUNCTION("SPLIT(A1359,"" "")"),45538.0)</f>
        <v>45538</v>
      </c>
      <c r="C1359" s="10">
        <f>IFERROR(__xludf.DUMMYFUNCTION("""COMPUTED_VALUE"""),0.8659722222222223)</f>
        <v>0.8659722222</v>
      </c>
      <c r="D1359" s="2">
        <f t="shared" si="1"/>
        <v>20</v>
      </c>
      <c r="E1359" s="2">
        <f>IFERROR(__xludf.DUMMYFUNCTION("SPLIT(B1359,""/"")"),3.0)</f>
        <v>3</v>
      </c>
      <c r="F1359" s="2">
        <f>IFERROR(__xludf.DUMMYFUNCTION("""COMPUTED_VALUE"""),9.0)</f>
        <v>9</v>
      </c>
      <c r="G1359" s="2">
        <f>IFERROR(__xludf.DUMMYFUNCTION("""COMPUTED_VALUE"""),2024.0)</f>
        <v>2024</v>
      </c>
      <c r="H1359" s="2" t="str">
        <f t="shared" si="2"/>
        <v>2024/9/3</v>
      </c>
      <c r="I1359" s="2" t="s">
        <v>1596</v>
      </c>
      <c r="J1359" s="2" t="str">
        <f t="shared" si="3"/>
        <v>Roti Cranberry</v>
      </c>
      <c r="K1359" s="7">
        <f>if(RIGHT(I1359,5)="2 pcs",2,Data!I1359)</f>
        <v>2</v>
      </c>
      <c r="L1359" s="2" t="str">
        <f t="shared" si="4"/>
        <v>Tuesday</v>
      </c>
      <c r="M1359" s="2" t="str">
        <f t="shared" si="5"/>
        <v>3</v>
      </c>
      <c r="N1359" s="2">
        <f>VLOOKUP(L1359,'Data Info'!$A$1:$B$8,2,0)</f>
        <v>2</v>
      </c>
      <c r="O1359" s="2" t="str">
        <f>VLOOKUP(L1359,'Data Info'!$A$1:$C$8,3,0)</f>
        <v>Weekday</v>
      </c>
    </row>
    <row r="1360">
      <c r="A1360" s="4">
        <v>45538.865277777775</v>
      </c>
      <c r="B1360" s="9">
        <f>IFERROR(__xludf.DUMMYFUNCTION("SPLIT(A1360,"" "")"),45538.0)</f>
        <v>45538</v>
      </c>
      <c r="C1360" s="10">
        <f>IFERROR(__xludf.DUMMYFUNCTION("""COMPUTED_VALUE"""),0.8652777777777778)</f>
        <v>0.8652777778</v>
      </c>
      <c r="D1360" s="2">
        <f t="shared" si="1"/>
        <v>20</v>
      </c>
      <c r="E1360" s="2">
        <f>IFERROR(__xludf.DUMMYFUNCTION("SPLIT(B1360,""/"")"),3.0)</f>
        <v>3</v>
      </c>
      <c r="F1360" s="2">
        <f>IFERROR(__xludf.DUMMYFUNCTION("""COMPUTED_VALUE"""),9.0)</f>
        <v>9</v>
      </c>
      <c r="G1360" s="2">
        <f>IFERROR(__xludf.DUMMYFUNCTION("""COMPUTED_VALUE"""),2024.0)</f>
        <v>2024</v>
      </c>
      <c r="H1360" s="2" t="str">
        <f t="shared" si="2"/>
        <v>2024/9/3</v>
      </c>
      <c r="I1360" s="2" t="s">
        <v>1566</v>
      </c>
      <c r="J1360" s="2" t="str">
        <f t="shared" si="3"/>
        <v>Roti Bawang Saus Keju</v>
      </c>
      <c r="K1360" s="7">
        <f>if(RIGHT(I1360,5)="2 pcs",2,Data!I1360)</f>
        <v>1</v>
      </c>
      <c r="L1360" s="2" t="str">
        <f t="shared" si="4"/>
        <v>Tuesday</v>
      </c>
      <c r="M1360" s="2" t="str">
        <f t="shared" si="5"/>
        <v>3</v>
      </c>
      <c r="N1360" s="2">
        <f>VLOOKUP(L1360,'Data Info'!$A$1:$B$8,2,0)</f>
        <v>2</v>
      </c>
      <c r="O1360" s="2" t="str">
        <f>VLOOKUP(L1360,'Data Info'!$A$1:$C$8,3,0)</f>
        <v>Weekday</v>
      </c>
    </row>
    <row r="1361">
      <c r="A1361" s="4">
        <v>45538.865277777775</v>
      </c>
      <c r="B1361" s="9">
        <f>IFERROR(__xludf.DUMMYFUNCTION("SPLIT(A1361,"" "")"),45538.0)</f>
        <v>45538</v>
      </c>
      <c r="C1361" s="10">
        <f>IFERROR(__xludf.DUMMYFUNCTION("""COMPUTED_VALUE"""),0.8652777777777778)</f>
        <v>0.8652777778</v>
      </c>
      <c r="D1361" s="2">
        <f t="shared" si="1"/>
        <v>20</v>
      </c>
      <c r="E1361" s="2">
        <f>IFERROR(__xludf.DUMMYFUNCTION("SPLIT(B1361,""/"")"),3.0)</f>
        <v>3</v>
      </c>
      <c r="F1361" s="2">
        <f>IFERROR(__xludf.DUMMYFUNCTION("""COMPUTED_VALUE"""),9.0)</f>
        <v>9</v>
      </c>
      <c r="G1361" s="2">
        <f>IFERROR(__xludf.DUMMYFUNCTION("""COMPUTED_VALUE"""),2024.0)</f>
        <v>2024</v>
      </c>
      <c r="H1361" s="2" t="str">
        <f t="shared" si="2"/>
        <v>2024/9/3</v>
      </c>
      <c r="I1361" s="2" t="s">
        <v>1588</v>
      </c>
      <c r="J1361" s="2" t="str">
        <f t="shared" si="3"/>
        <v>Es Kopi Susu</v>
      </c>
      <c r="K1361" s="7">
        <f>if(RIGHT(I1361,5)="2 pcs",2,Data!I1361)</f>
        <v>1</v>
      </c>
      <c r="L1361" s="2" t="str">
        <f t="shared" si="4"/>
        <v>Tuesday</v>
      </c>
      <c r="M1361" s="2" t="str">
        <f t="shared" si="5"/>
        <v>3</v>
      </c>
      <c r="N1361" s="2">
        <f>VLOOKUP(L1361,'Data Info'!$A$1:$B$8,2,0)</f>
        <v>2</v>
      </c>
      <c r="O1361" s="2" t="str">
        <f>VLOOKUP(L1361,'Data Info'!$A$1:$C$8,3,0)</f>
        <v>Weekday</v>
      </c>
    </row>
    <row r="1362">
      <c r="A1362" s="4">
        <v>45538.865277777775</v>
      </c>
      <c r="B1362" s="9">
        <f>IFERROR(__xludf.DUMMYFUNCTION("SPLIT(A1362,"" "")"),45538.0)</f>
        <v>45538</v>
      </c>
      <c r="C1362" s="10">
        <f>IFERROR(__xludf.DUMMYFUNCTION("""COMPUTED_VALUE"""),0.8652777777777778)</f>
        <v>0.8652777778</v>
      </c>
      <c r="D1362" s="2">
        <f t="shared" si="1"/>
        <v>20</v>
      </c>
      <c r="E1362" s="2">
        <f>IFERROR(__xludf.DUMMYFUNCTION("SPLIT(B1362,""/"")"),3.0)</f>
        <v>3</v>
      </c>
      <c r="F1362" s="2">
        <f>IFERROR(__xludf.DUMMYFUNCTION("""COMPUTED_VALUE"""),9.0)</f>
        <v>9</v>
      </c>
      <c r="G1362" s="2">
        <f>IFERROR(__xludf.DUMMYFUNCTION("""COMPUTED_VALUE"""),2024.0)</f>
        <v>2024</v>
      </c>
      <c r="H1362" s="2" t="str">
        <f t="shared" si="2"/>
        <v>2024/9/3</v>
      </c>
      <c r="I1362" s="2" t="s">
        <v>1586</v>
      </c>
      <c r="J1362" s="2" t="str">
        <f t="shared" si="3"/>
        <v>Jamur Enoki Krispi</v>
      </c>
      <c r="K1362" s="7">
        <f>if(RIGHT(I1362,5)="2 pcs",2,Data!I1362)</f>
        <v>1</v>
      </c>
      <c r="L1362" s="2" t="str">
        <f t="shared" si="4"/>
        <v>Tuesday</v>
      </c>
      <c r="M1362" s="2" t="str">
        <f t="shared" si="5"/>
        <v>3</v>
      </c>
      <c r="N1362" s="2">
        <f>VLOOKUP(L1362,'Data Info'!$A$1:$B$8,2,0)</f>
        <v>2</v>
      </c>
      <c r="O1362" s="2" t="str">
        <f>VLOOKUP(L1362,'Data Info'!$A$1:$C$8,3,0)</f>
        <v>Weekday</v>
      </c>
    </row>
    <row r="1363">
      <c r="A1363" s="4">
        <v>45538.865277777775</v>
      </c>
      <c r="B1363" s="9">
        <f>IFERROR(__xludf.DUMMYFUNCTION("SPLIT(A1363,"" "")"),45538.0)</f>
        <v>45538</v>
      </c>
      <c r="C1363" s="10">
        <f>IFERROR(__xludf.DUMMYFUNCTION("""COMPUTED_VALUE"""),0.8652777777777778)</f>
        <v>0.8652777778</v>
      </c>
      <c r="D1363" s="2">
        <f t="shared" si="1"/>
        <v>20</v>
      </c>
      <c r="E1363" s="2">
        <f>IFERROR(__xludf.DUMMYFUNCTION("SPLIT(B1363,""/"")"),3.0)</f>
        <v>3</v>
      </c>
      <c r="F1363" s="2">
        <f>IFERROR(__xludf.DUMMYFUNCTION("""COMPUTED_VALUE"""),9.0)</f>
        <v>9</v>
      </c>
      <c r="G1363" s="2">
        <f>IFERROR(__xludf.DUMMYFUNCTION("""COMPUTED_VALUE"""),2024.0)</f>
        <v>2024</v>
      </c>
      <c r="H1363" s="2" t="str">
        <f t="shared" si="2"/>
        <v>2024/9/3</v>
      </c>
      <c r="I1363" s="2" t="s">
        <v>1588</v>
      </c>
      <c r="J1363" s="2" t="str">
        <f t="shared" si="3"/>
        <v>Es Kopi Susu</v>
      </c>
      <c r="K1363" s="7">
        <f>if(RIGHT(I1363,5)="2 pcs",2,Data!I1363)</f>
        <v>-1</v>
      </c>
      <c r="L1363" s="2" t="str">
        <f t="shared" si="4"/>
        <v>Tuesday</v>
      </c>
      <c r="M1363" s="2" t="str">
        <f t="shared" si="5"/>
        <v>3</v>
      </c>
      <c r="N1363" s="2">
        <f>VLOOKUP(L1363,'Data Info'!$A$1:$B$8,2,0)</f>
        <v>2</v>
      </c>
      <c r="O1363" s="2" t="str">
        <f>VLOOKUP(L1363,'Data Info'!$A$1:$C$8,3,0)</f>
        <v>Weekday</v>
      </c>
    </row>
    <row r="1364">
      <c r="A1364" s="4">
        <v>45538.865277777775</v>
      </c>
      <c r="B1364" s="9">
        <f>IFERROR(__xludf.DUMMYFUNCTION("SPLIT(A1364,"" "")"),45538.0)</f>
        <v>45538</v>
      </c>
      <c r="C1364" s="10">
        <f>IFERROR(__xludf.DUMMYFUNCTION("""COMPUTED_VALUE"""),0.8652777777777778)</f>
        <v>0.8652777778</v>
      </c>
      <c r="D1364" s="2">
        <f t="shared" si="1"/>
        <v>20</v>
      </c>
      <c r="E1364" s="2">
        <f>IFERROR(__xludf.DUMMYFUNCTION("SPLIT(B1364,""/"")"),3.0)</f>
        <v>3</v>
      </c>
      <c r="F1364" s="2">
        <f>IFERROR(__xludf.DUMMYFUNCTION("""COMPUTED_VALUE"""),9.0)</f>
        <v>9</v>
      </c>
      <c r="G1364" s="2">
        <f>IFERROR(__xludf.DUMMYFUNCTION("""COMPUTED_VALUE"""),2024.0)</f>
        <v>2024</v>
      </c>
      <c r="H1364" s="2" t="str">
        <f t="shared" si="2"/>
        <v>2024/9/3</v>
      </c>
      <c r="I1364" s="2" t="s">
        <v>1586</v>
      </c>
      <c r="J1364" s="2" t="str">
        <f t="shared" si="3"/>
        <v>Jamur Enoki Krispi</v>
      </c>
      <c r="K1364" s="7">
        <f>if(RIGHT(I1364,5)="2 pcs",2,Data!I1364)</f>
        <v>-1</v>
      </c>
      <c r="L1364" s="2" t="str">
        <f t="shared" si="4"/>
        <v>Tuesday</v>
      </c>
      <c r="M1364" s="2" t="str">
        <f t="shared" si="5"/>
        <v>3</v>
      </c>
      <c r="N1364" s="2">
        <f>VLOOKUP(L1364,'Data Info'!$A$1:$B$8,2,0)</f>
        <v>2</v>
      </c>
      <c r="O1364" s="2" t="str">
        <f>VLOOKUP(L1364,'Data Info'!$A$1:$C$8,3,0)</f>
        <v>Weekday</v>
      </c>
    </row>
    <row r="1365">
      <c r="A1365" s="4">
        <v>45538.865277777775</v>
      </c>
      <c r="B1365" s="9">
        <f>IFERROR(__xludf.DUMMYFUNCTION("SPLIT(A1365,"" "")"),45538.0)</f>
        <v>45538</v>
      </c>
      <c r="C1365" s="10">
        <f>IFERROR(__xludf.DUMMYFUNCTION("""COMPUTED_VALUE"""),0.8652777777777778)</f>
        <v>0.8652777778</v>
      </c>
      <c r="D1365" s="2">
        <f t="shared" si="1"/>
        <v>20</v>
      </c>
      <c r="E1365" s="2">
        <f>IFERROR(__xludf.DUMMYFUNCTION("SPLIT(B1365,""/"")"),3.0)</f>
        <v>3</v>
      </c>
      <c r="F1365" s="2">
        <f>IFERROR(__xludf.DUMMYFUNCTION("""COMPUTED_VALUE"""),9.0)</f>
        <v>9</v>
      </c>
      <c r="G1365" s="2">
        <f>IFERROR(__xludf.DUMMYFUNCTION("""COMPUTED_VALUE"""),2024.0)</f>
        <v>2024</v>
      </c>
      <c r="H1365" s="2" t="str">
        <f t="shared" si="2"/>
        <v>2024/9/3</v>
      </c>
      <c r="I1365" s="2" t="s">
        <v>1566</v>
      </c>
      <c r="J1365" s="2" t="str">
        <f t="shared" si="3"/>
        <v>Roti Bawang Saus Keju</v>
      </c>
      <c r="K1365" s="7">
        <f>if(RIGHT(I1365,5)="2 pcs",2,Data!I1365)</f>
        <v>-1</v>
      </c>
      <c r="L1365" s="2" t="str">
        <f t="shared" si="4"/>
        <v>Tuesday</v>
      </c>
      <c r="M1365" s="2" t="str">
        <f t="shared" si="5"/>
        <v>3</v>
      </c>
      <c r="N1365" s="2">
        <f>VLOOKUP(L1365,'Data Info'!$A$1:$B$8,2,0)</f>
        <v>2</v>
      </c>
      <c r="O1365" s="2" t="str">
        <f>VLOOKUP(L1365,'Data Info'!$A$1:$C$8,3,0)</f>
        <v>Weekday</v>
      </c>
    </row>
    <row r="1366">
      <c r="A1366" s="4">
        <v>45538.84027777778</v>
      </c>
      <c r="B1366" s="9">
        <f>IFERROR(__xludf.DUMMYFUNCTION("SPLIT(A1366,"" "")"),45538.0)</f>
        <v>45538</v>
      </c>
      <c r="C1366" s="10">
        <f>IFERROR(__xludf.DUMMYFUNCTION("""COMPUTED_VALUE"""),0.8402777777777778)</f>
        <v>0.8402777778</v>
      </c>
      <c r="D1366" s="2">
        <f t="shared" si="1"/>
        <v>20</v>
      </c>
      <c r="E1366" s="2">
        <f>IFERROR(__xludf.DUMMYFUNCTION("SPLIT(B1366,""/"")"),3.0)</f>
        <v>3</v>
      </c>
      <c r="F1366" s="2">
        <f>IFERROR(__xludf.DUMMYFUNCTION("""COMPUTED_VALUE"""),9.0)</f>
        <v>9</v>
      </c>
      <c r="G1366" s="2">
        <f>IFERROR(__xludf.DUMMYFUNCTION("""COMPUTED_VALUE"""),2024.0)</f>
        <v>2024</v>
      </c>
      <c r="H1366" s="2" t="str">
        <f t="shared" si="2"/>
        <v>2024/9/3</v>
      </c>
      <c r="I1366" s="2" t="s">
        <v>1596</v>
      </c>
      <c r="J1366" s="2" t="str">
        <f t="shared" si="3"/>
        <v>Roti Cranberry</v>
      </c>
      <c r="K1366" s="7">
        <f>if(RIGHT(I1366,5)="2 pcs",2,Data!I1366)</f>
        <v>2</v>
      </c>
      <c r="L1366" s="2" t="str">
        <f t="shared" si="4"/>
        <v>Tuesday</v>
      </c>
      <c r="M1366" s="2" t="str">
        <f t="shared" si="5"/>
        <v>3</v>
      </c>
      <c r="N1366" s="2">
        <f>VLOOKUP(L1366,'Data Info'!$A$1:$B$8,2,0)</f>
        <v>2</v>
      </c>
      <c r="O1366" s="2" t="str">
        <f>VLOOKUP(L1366,'Data Info'!$A$1:$C$8,3,0)</f>
        <v>Weekday</v>
      </c>
    </row>
    <row r="1367">
      <c r="A1367" s="4">
        <v>45538.84027777778</v>
      </c>
      <c r="B1367" s="9">
        <f>IFERROR(__xludf.DUMMYFUNCTION("SPLIT(A1367,"" "")"),45538.0)</f>
        <v>45538</v>
      </c>
      <c r="C1367" s="10">
        <f>IFERROR(__xludf.DUMMYFUNCTION("""COMPUTED_VALUE"""),0.8402777777777778)</f>
        <v>0.8402777778</v>
      </c>
      <c r="D1367" s="2">
        <f t="shared" si="1"/>
        <v>20</v>
      </c>
      <c r="E1367" s="2">
        <f>IFERROR(__xludf.DUMMYFUNCTION("SPLIT(B1367,""/"")"),3.0)</f>
        <v>3</v>
      </c>
      <c r="F1367" s="2">
        <f>IFERROR(__xludf.DUMMYFUNCTION("""COMPUTED_VALUE"""),9.0)</f>
        <v>9</v>
      </c>
      <c r="G1367" s="2">
        <f>IFERROR(__xludf.DUMMYFUNCTION("""COMPUTED_VALUE"""),2024.0)</f>
        <v>2024</v>
      </c>
      <c r="H1367" s="2" t="str">
        <f t="shared" si="2"/>
        <v>2024/9/3</v>
      </c>
      <c r="I1367" s="2" t="s">
        <v>1576</v>
      </c>
      <c r="J1367" s="2" t="str">
        <f t="shared" si="3"/>
        <v>Roti Cranberry</v>
      </c>
      <c r="K1367" s="7">
        <f>if(RIGHT(I1367,5)="2 pcs",2,Data!I1367)</f>
        <v>1</v>
      </c>
      <c r="L1367" s="2" t="str">
        <f t="shared" si="4"/>
        <v>Tuesday</v>
      </c>
      <c r="M1367" s="2" t="str">
        <f t="shared" si="5"/>
        <v>3</v>
      </c>
      <c r="N1367" s="2">
        <f>VLOOKUP(L1367,'Data Info'!$A$1:$B$8,2,0)</f>
        <v>2</v>
      </c>
      <c r="O1367" s="2" t="str">
        <f>VLOOKUP(L1367,'Data Info'!$A$1:$C$8,3,0)</f>
        <v>Weekday</v>
      </c>
    </row>
    <row r="1368">
      <c r="A1368" s="4">
        <v>45538.84027777778</v>
      </c>
      <c r="B1368" s="9">
        <f>IFERROR(__xludf.DUMMYFUNCTION("SPLIT(A1368,"" "")"),45538.0)</f>
        <v>45538</v>
      </c>
      <c r="C1368" s="10">
        <f>IFERROR(__xludf.DUMMYFUNCTION("""COMPUTED_VALUE"""),0.8402777777777778)</f>
        <v>0.8402777778</v>
      </c>
      <c r="D1368" s="2">
        <f t="shared" si="1"/>
        <v>20</v>
      </c>
      <c r="E1368" s="2">
        <f>IFERROR(__xludf.DUMMYFUNCTION("SPLIT(B1368,""/"")"),3.0)</f>
        <v>3</v>
      </c>
      <c r="F1368" s="2">
        <f>IFERROR(__xludf.DUMMYFUNCTION("""COMPUTED_VALUE"""),9.0)</f>
        <v>9</v>
      </c>
      <c r="G1368" s="2">
        <f>IFERROR(__xludf.DUMMYFUNCTION("""COMPUTED_VALUE"""),2024.0)</f>
        <v>2024</v>
      </c>
      <c r="H1368" s="2" t="str">
        <f t="shared" si="2"/>
        <v>2024/9/3</v>
      </c>
      <c r="I1368" s="2" t="s">
        <v>1584</v>
      </c>
      <c r="J1368" s="2" t="str">
        <f t="shared" si="3"/>
        <v>Korean Mango Fresh Milk</v>
      </c>
      <c r="K1368" s="7">
        <f>if(RIGHT(I1368,5)="2 pcs",2,Data!I1368)</f>
        <v>1</v>
      </c>
      <c r="L1368" s="2" t="str">
        <f t="shared" si="4"/>
        <v>Tuesday</v>
      </c>
      <c r="M1368" s="2" t="str">
        <f t="shared" si="5"/>
        <v>3</v>
      </c>
      <c r="N1368" s="2">
        <f>VLOOKUP(L1368,'Data Info'!$A$1:$B$8,2,0)</f>
        <v>2</v>
      </c>
      <c r="O1368" s="2" t="str">
        <f>VLOOKUP(L1368,'Data Info'!$A$1:$C$8,3,0)</f>
        <v>Weekday</v>
      </c>
    </row>
    <row r="1369">
      <c r="A1369" s="4">
        <v>45538.836805555555</v>
      </c>
      <c r="B1369" s="9">
        <f>IFERROR(__xludf.DUMMYFUNCTION("SPLIT(A1369,"" "")"),45538.0)</f>
        <v>45538</v>
      </c>
      <c r="C1369" s="10">
        <f>IFERROR(__xludf.DUMMYFUNCTION("""COMPUTED_VALUE"""),0.8368055555555556)</f>
        <v>0.8368055556</v>
      </c>
      <c r="D1369" s="2">
        <f t="shared" si="1"/>
        <v>20</v>
      </c>
      <c r="E1369" s="2">
        <f>IFERROR(__xludf.DUMMYFUNCTION("SPLIT(B1369,""/"")"),3.0)</f>
        <v>3</v>
      </c>
      <c r="F1369" s="2">
        <f>IFERROR(__xludf.DUMMYFUNCTION("""COMPUTED_VALUE"""),9.0)</f>
        <v>9</v>
      </c>
      <c r="G1369" s="2">
        <f>IFERROR(__xludf.DUMMYFUNCTION("""COMPUTED_VALUE"""),2024.0)</f>
        <v>2024</v>
      </c>
      <c r="H1369" s="2" t="str">
        <f t="shared" si="2"/>
        <v>2024/9/3</v>
      </c>
      <c r="I1369" s="2" t="s">
        <v>1596</v>
      </c>
      <c r="J1369" s="2" t="str">
        <f t="shared" si="3"/>
        <v>Roti Cranberry</v>
      </c>
      <c r="K1369" s="7">
        <f>if(RIGHT(I1369,5)="2 pcs",2,Data!I1369)</f>
        <v>2</v>
      </c>
      <c r="L1369" s="2" t="str">
        <f t="shared" si="4"/>
        <v>Tuesday</v>
      </c>
      <c r="M1369" s="2" t="str">
        <f t="shared" si="5"/>
        <v>3</v>
      </c>
      <c r="N1369" s="2">
        <f>VLOOKUP(L1369,'Data Info'!$A$1:$B$8,2,0)</f>
        <v>2</v>
      </c>
      <c r="O1369" s="2" t="str">
        <f>VLOOKUP(L1369,'Data Info'!$A$1:$C$8,3,0)</f>
        <v>Weekday</v>
      </c>
    </row>
    <row r="1370">
      <c r="A1370" s="4">
        <v>45538.83194444444</v>
      </c>
      <c r="B1370" s="9">
        <f>IFERROR(__xludf.DUMMYFUNCTION("SPLIT(A1370,"" "")"),45538.0)</f>
        <v>45538</v>
      </c>
      <c r="C1370" s="10">
        <f>IFERROR(__xludf.DUMMYFUNCTION("""COMPUTED_VALUE"""),0.8319444444444445)</f>
        <v>0.8319444444</v>
      </c>
      <c r="D1370" s="2">
        <f t="shared" si="1"/>
        <v>19</v>
      </c>
      <c r="E1370" s="2">
        <f>IFERROR(__xludf.DUMMYFUNCTION("SPLIT(B1370,""/"")"),3.0)</f>
        <v>3</v>
      </c>
      <c r="F1370" s="2">
        <f>IFERROR(__xludf.DUMMYFUNCTION("""COMPUTED_VALUE"""),9.0)</f>
        <v>9</v>
      </c>
      <c r="G1370" s="2">
        <f>IFERROR(__xludf.DUMMYFUNCTION("""COMPUTED_VALUE"""),2024.0)</f>
        <v>2024</v>
      </c>
      <c r="H1370" s="2" t="str">
        <f t="shared" si="2"/>
        <v>2024/9/3</v>
      </c>
      <c r="I1370" s="2" t="s">
        <v>1588</v>
      </c>
      <c r="J1370" s="2" t="str">
        <f t="shared" si="3"/>
        <v>Es Kopi Susu</v>
      </c>
      <c r="K1370" s="7">
        <f>if(RIGHT(I1370,5)="2 pcs",2,Data!I1370)</f>
        <v>1</v>
      </c>
      <c r="L1370" s="2" t="str">
        <f t="shared" si="4"/>
        <v>Tuesday</v>
      </c>
      <c r="M1370" s="2" t="str">
        <f t="shared" si="5"/>
        <v>3</v>
      </c>
      <c r="N1370" s="2">
        <f>VLOOKUP(L1370,'Data Info'!$A$1:$B$8,2,0)</f>
        <v>2</v>
      </c>
      <c r="O1370" s="2" t="str">
        <f>VLOOKUP(L1370,'Data Info'!$A$1:$C$8,3,0)</f>
        <v>Weekday</v>
      </c>
    </row>
    <row r="1371">
      <c r="A1371" s="4">
        <v>45538.83194444444</v>
      </c>
      <c r="B1371" s="9">
        <f>IFERROR(__xludf.DUMMYFUNCTION("SPLIT(A1371,"" "")"),45538.0)</f>
        <v>45538</v>
      </c>
      <c r="C1371" s="10">
        <f>IFERROR(__xludf.DUMMYFUNCTION("""COMPUTED_VALUE"""),0.8319444444444445)</f>
        <v>0.8319444444</v>
      </c>
      <c r="D1371" s="2">
        <f t="shared" si="1"/>
        <v>19</v>
      </c>
      <c r="E1371" s="2">
        <f>IFERROR(__xludf.DUMMYFUNCTION("SPLIT(B1371,""/"")"),3.0)</f>
        <v>3</v>
      </c>
      <c r="F1371" s="2">
        <f>IFERROR(__xludf.DUMMYFUNCTION("""COMPUTED_VALUE"""),9.0)</f>
        <v>9</v>
      </c>
      <c r="G1371" s="2">
        <f>IFERROR(__xludf.DUMMYFUNCTION("""COMPUTED_VALUE"""),2024.0)</f>
        <v>2024</v>
      </c>
      <c r="H1371" s="2" t="str">
        <f t="shared" si="2"/>
        <v>2024/9/3</v>
      </c>
      <c r="I1371" s="2" t="s">
        <v>1586</v>
      </c>
      <c r="J1371" s="2" t="str">
        <f t="shared" si="3"/>
        <v>Jamur Enoki Krispi</v>
      </c>
      <c r="K1371" s="7">
        <f>if(RIGHT(I1371,5)="2 pcs",2,Data!I1371)</f>
        <v>1</v>
      </c>
      <c r="L1371" s="2" t="str">
        <f t="shared" si="4"/>
        <v>Tuesday</v>
      </c>
      <c r="M1371" s="2" t="str">
        <f t="shared" si="5"/>
        <v>3</v>
      </c>
      <c r="N1371" s="2">
        <f>VLOOKUP(L1371,'Data Info'!$A$1:$B$8,2,0)</f>
        <v>2</v>
      </c>
      <c r="O1371" s="2" t="str">
        <f>VLOOKUP(L1371,'Data Info'!$A$1:$C$8,3,0)</f>
        <v>Weekday</v>
      </c>
    </row>
    <row r="1372">
      <c r="A1372" s="4">
        <v>45538.83194444444</v>
      </c>
      <c r="B1372" s="9">
        <f>IFERROR(__xludf.DUMMYFUNCTION("SPLIT(A1372,"" "")"),45538.0)</f>
        <v>45538</v>
      </c>
      <c r="C1372" s="10">
        <f>IFERROR(__xludf.DUMMYFUNCTION("""COMPUTED_VALUE"""),0.8319444444444445)</f>
        <v>0.8319444444</v>
      </c>
      <c r="D1372" s="2">
        <f t="shared" si="1"/>
        <v>19</v>
      </c>
      <c r="E1372" s="2">
        <f>IFERROR(__xludf.DUMMYFUNCTION("SPLIT(B1372,""/"")"),3.0)</f>
        <v>3</v>
      </c>
      <c r="F1372" s="2">
        <f>IFERROR(__xludf.DUMMYFUNCTION("""COMPUTED_VALUE"""),9.0)</f>
        <v>9</v>
      </c>
      <c r="G1372" s="2">
        <f>IFERROR(__xludf.DUMMYFUNCTION("""COMPUTED_VALUE"""),2024.0)</f>
        <v>2024</v>
      </c>
      <c r="H1372" s="2" t="str">
        <f t="shared" si="2"/>
        <v>2024/9/3</v>
      </c>
      <c r="I1372" s="2" t="s">
        <v>1566</v>
      </c>
      <c r="J1372" s="2" t="str">
        <f t="shared" si="3"/>
        <v>Roti Bawang Saus Keju</v>
      </c>
      <c r="K1372" s="7">
        <f>if(RIGHT(I1372,5)="2 pcs",2,Data!I1372)</f>
        <v>1</v>
      </c>
      <c r="L1372" s="2" t="str">
        <f t="shared" si="4"/>
        <v>Tuesday</v>
      </c>
      <c r="M1372" s="2" t="str">
        <f t="shared" si="5"/>
        <v>3</v>
      </c>
      <c r="N1372" s="2">
        <f>VLOOKUP(L1372,'Data Info'!$A$1:$B$8,2,0)</f>
        <v>2</v>
      </c>
      <c r="O1372" s="2" t="str">
        <f>VLOOKUP(L1372,'Data Info'!$A$1:$C$8,3,0)</f>
        <v>Weekday</v>
      </c>
    </row>
    <row r="1373">
      <c r="A1373" s="4">
        <v>45538.82986111111</v>
      </c>
      <c r="B1373" s="9">
        <f>IFERROR(__xludf.DUMMYFUNCTION("SPLIT(A1373,"" "")"),45538.0)</f>
        <v>45538</v>
      </c>
      <c r="C1373" s="10">
        <f>IFERROR(__xludf.DUMMYFUNCTION("""COMPUTED_VALUE"""),0.8298611111111112)</f>
        <v>0.8298611111</v>
      </c>
      <c r="D1373" s="2">
        <f t="shared" si="1"/>
        <v>19</v>
      </c>
      <c r="E1373" s="2">
        <f>IFERROR(__xludf.DUMMYFUNCTION("SPLIT(B1373,""/"")"),3.0)</f>
        <v>3</v>
      </c>
      <c r="F1373" s="2">
        <f>IFERROR(__xludf.DUMMYFUNCTION("""COMPUTED_VALUE"""),9.0)</f>
        <v>9</v>
      </c>
      <c r="G1373" s="2">
        <f>IFERROR(__xludf.DUMMYFUNCTION("""COMPUTED_VALUE"""),2024.0)</f>
        <v>2024</v>
      </c>
      <c r="H1373" s="2" t="str">
        <f t="shared" si="2"/>
        <v>2024/9/3</v>
      </c>
      <c r="I1373" s="2" t="s">
        <v>1615</v>
      </c>
      <c r="J1373" s="2" t="str">
        <f t="shared" si="3"/>
        <v>Roti panggang sarikaya</v>
      </c>
      <c r="K1373" s="7">
        <f>if(RIGHT(I1373,5)="2 pcs",2,Data!I1373)</f>
        <v>1</v>
      </c>
      <c r="L1373" s="2" t="str">
        <f t="shared" si="4"/>
        <v>Tuesday</v>
      </c>
      <c r="M1373" s="2" t="str">
        <f t="shared" si="5"/>
        <v>3</v>
      </c>
      <c r="N1373" s="2">
        <f>VLOOKUP(L1373,'Data Info'!$A$1:$B$8,2,0)</f>
        <v>2</v>
      </c>
      <c r="O1373" s="2" t="str">
        <f>VLOOKUP(L1373,'Data Info'!$A$1:$C$8,3,0)</f>
        <v>Weekday</v>
      </c>
    </row>
    <row r="1374">
      <c r="A1374" s="4">
        <v>45538.82986111111</v>
      </c>
      <c r="B1374" s="9">
        <f>IFERROR(__xludf.DUMMYFUNCTION("SPLIT(A1374,"" "")"),45538.0)</f>
        <v>45538</v>
      </c>
      <c r="C1374" s="10">
        <f>IFERROR(__xludf.DUMMYFUNCTION("""COMPUTED_VALUE"""),0.8298611111111112)</f>
        <v>0.8298611111</v>
      </c>
      <c r="D1374" s="2">
        <f t="shared" si="1"/>
        <v>19</v>
      </c>
      <c r="E1374" s="2">
        <f>IFERROR(__xludf.DUMMYFUNCTION("SPLIT(B1374,""/"")"),3.0)</f>
        <v>3</v>
      </c>
      <c r="F1374" s="2">
        <f>IFERROR(__xludf.DUMMYFUNCTION("""COMPUTED_VALUE"""),9.0)</f>
        <v>9</v>
      </c>
      <c r="G1374" s="2">
        <f>IFERROR(__xludf.DUMMYFUNCTION("""COMPUTED_VALUE"""),2024.0)</f>
        <v>2024</v>
      </c>
      <c r="H1374" s="2" t="str">
        <f t="shared" si="2"/>
        <v>2024/9/3</v>
      </c>
      <c r="I1374" s="2" t="s">
        <v>1607</v>
      </c>
      <c r="J1374" s="2" t="str">
        <f t="shared" si="3"/>
        <v>Tahu walik</v>
      </c>
      <c r="K1374" s="7">
        <f>if(RIGHT(I1374,5)="2 pcs",2,Data!I1374)</f>
        <v>1</v>
      </c>
      <c r="L1374" s="2" t="str">
        <f t="shared" si="4"/>
        <v>Tuesday</v>
      </c>
      <c r="M1374" s="2" t="str">
        <f t="shared" si="5"/>
        <v>3</v>
      </c>
      <c r="N1374" s="2">
        <f>VLOOKUP(L1374,'Data Info'!$A$1:$B$8,2,0)</f>
        <v>2</v>
      </c>
      <c r="O1374" s="2" t="str">
        <f>VLOOKUP(L1374,'Data Info'!$A$1:$C$8,3,0)</f>
        <v>Weekday</v>
      </c>
    </row>
    <row r="1375">
      <c r="A1375" s="4">
        <v>45538.82986111111</v>
      </c>
      <c r="B1375" s="9">
        <f>IFERROR(__xludf.DUMMYFUNCTION("SPLIT(A1375,"" "")"),45538.0)</f>
        <v>45538</v>
      </c>
      <c r="C1375" s="10">
        <f>IFERROR(__xludf.DUMMYFUNCTION("""COMPUTED_VALUE"""),0.8298611111111112)</f>
        <v>0.8298611111</v>
      </c>
      <c r="D1375" s="2">
        <f t="shared" si="1"/>
        <v>19</v>
      </c>
      <c r="E1375" s="2">
        <f>IFERROR(__xludf.DUMMYFUNCTION("SPLIT(B1375,""/"")"),3.0)</f>
        <v>3</v>
      </c>
      <c r="F1375" s="2">
        <f>IFERROR(__xludf.DUMMYFUNCTION("""COMPUTED_VALUE"""),9.0)</f>
        <v>9</v>
      </c>
      <c r="G1375" s="2">
        <f>IFERROR(__xludf.DUMMYFUNCTION("""COMPUTED_VALUE"""),2024.0)</f>
        <v>2024</v>
      </c>
      <c r="H1375" s="2" t="str">
        <f t="shared" si="2"/>
        <v>2024/9/3</v>
      </c>
      <c r="I1375" s="2" t="s">
        <v>1602</v>
      </c>
      <c r="J1375" s="2" t="str">
        <f t="shared" si="3"/>
        <v>Mie joglo</v>
      </c>
      <c r="K1375" s="7">
        <f>if(RIGHT(I1375,5)="2 pcs",2,Data!I1375)</f>
        <v>1</v>
      </c>
      <c r="L1375" s="2" t="str">
        <f t="shared" si="4"/>
        <v>Tuesday</v>
      </c>
      <c r="M1375" s="2" t="str">
        <f t="shared" si="5"/>
        <v>3</v>
      </c>
      <c r="N1375" s="2">
        <f>VLOOKUP(L1375,'Data Info'!$A$1:$B$8,2,0)</f>
        <v>2</v>
      </c>
      <c r="O1375" s="2" t="str">
        <f>VLOOKUP(L1375,'Data Info'!$A$1:$C$8,3,0)</f>
        <v>Weekday</v>
      </c>
    </row>
    <row r="1376">
      <c r="A1376" s="4">
        <v>45538.82986111111</v>
      </c>
      <c r="B1376" s="9">
        <f>IFERROR(__xludf.DUMMYFUNCTION("SPLIT(A1376,"" "")"),45538.0)</f>
        <v>45538</v>
      </c>
      <c r="C1376" s="10">
        <f>IFERROR(__xludf.DUMMYFUNCTION("""COMPUTED_VALUE"""),0.8298611111111112)</f>
        <v>0.8298611111</v>
      </c>
      <c r="D1376" s="2">
        <f t="shared" si="1"/>
        <v>19</v>
      </c>
      <c r="E1376" s="2">
        <f>IFERROR(__xludf.DUMMYFUNCTION("SPLIT(B1376,""/"")"),3.0)</f>
        <v>3</v>
      </c>
      <c r="F1376" s="2">
        <f>IFERROR(__xludf.DUMMYFUNCTION("""COMPUTED_VALUE"""),9.0)</f>
        <v>9</v>
      </c>
      <c r="G1376" s="2">
        <f>IFERROR(__xludf.DUMMYFUNCTION("""COMPUTED_VALUE"""),2024.0)</f>
        <v>2024</v>
      </c>
      <c r="H1376" s="2" t="str">
        <f t="shared" si="2"/>
        <v>2024/9/3</v>
      </c>
      <c r="I1376" s="2" t="s">
        <v>1596</v>
      </c>
      <c r="J1376" s="2" t="str">
        <f t="shared" si="3"/>
        <v>Roti Cranberry</v>
      </c>
      <c r="K1376" s="7">
        <f>if(RIGHT(I1376,5)="2 pcs",2,Data!I1376)</f>
        <v>2</v>
      </c>
      <c r="L1376" s="2" t="str">
        <f t="shared" si="4"/>
        <v>Tuesday</v>
      </c>
      <c r="M1376" s="2" t="str">
        <f t="shared" si="5"/>
        <v>3</v>
      </c>
      <c r="N1376" s="2">
        <f>VLOOKUP(L1376,'Data Info'!$A$1:$B$8,2,0)</f>
        <v>2</v>
      </c>
      <c r="O1376" s="2" t="str">
        <f>VLOOKUP(L1376,'Data Info'!$A$1:$C$8,3,0)</f>
        <v>Weekday</v>
      </c>
    </row>
    <row r="1377">
      <c r="A1377" s="4">
        <v>45538.81875</v>
      </c>
      <c r="B1377" s="9">
        <f>IFERROR(__xludf.DUMMYFUNCTION("SPLIT(A1377,"" "")"),45538.0)</f>
        <v>45538</v>
      </c>
      <c r="C1377" s="10">
        <f>IFERROR(__xludf.DUMMYFUNCTION("""COMPUTED_VALUE"""),0.81875)</f>
        <v>0.81875</v>
      </c>
      <c r="D1377" s="2">
        <f t="shared" si="1"/>
        <v>19</v>
      </c>
      <c r="E1377" s="2">
        <f>IFERROR(__xludf.DUMMYFUNCTION("SPLIT(B1377,""/"")"),3.0)</f>
        <v>3</v>
      </c>
      <c r="F1377" s="2">
        <f>IFERROR(__xludf.DUMMYFUNCTION("""COMPUTED_VALUE"""),9.0)</f>
        <v>9</v>
      </c>
      <c r="G1377" s="2">
        <f>IFERROR(__xludf.DUMMYFUNCTION("""COMPUTED_VALUE"""),2024.0)</f>
        <v>2024</v>
      </c>
      <c r="H1377" s="2" t="str">
        <f t="shared" si="2"/>
        <v>2024/9/3</v>
      </c>
      <c r="I1377" s="2" t="s">
        <v>1607</v>
      </c>
      <c r="J1377" s="2" t="str">
        <f t="shared" si="3"/>
        <v>Tahu walik</v>
      </c>
      <c r="K1377" s="7">
        <f>if(RIGHT(I1377,5)="2 pcs",2,Data!I1377)</f>
        <v>1</v>
      </c>
      <c r="L1377" s="2" t="str">
        <f t="shared" si="4"/>
        <v>Tuesday</v>
      </c>
      <c r="M1377" s="2" t="str">
        <f t="shared" si="5"/>
        <v>3</v>
      </c>
      <c r="N1377" s="2">
        <f>VLOOKUP(L1377,'Data Info'!$A$1:$B$8,2,0)</f>
        <v>2</v>
      </c>
      <c r="O1377" s="2" t="str">
        <f>VLOOKUP(L1377,'Data Info'!$A$1:$C$8,3,0)</f>
        <v>Weekday</v>
      </c>
    </row>
    <row r="1378">
      <c r="A1378" s="4">
        <v>45538.81875</v>
      </c>
      <c r="B1378" s="9">
        <f>IFERROR(__xludf.DUMMYFUNCTION("SPLIT(A1378,"" "")"),45538.0)</f>
        <v>45538</v>
      </c>
      <c r="C1378" s="10">
        <f>IFERROR(__xludf.DUMMYFUNCTION("""COMPUTED_VALUE"""),0.81875)</f>
        <v>0.81875</v>
      </c>
      <c r="D1378" s="2">
        <f t="shared" si="1"/>
        <v>19</v>
      </c>
      <c r="E1378" s="2">
        <f>IFERROR(__xludf.DUMMYFUNCTION("SPLIT(B1378,""/"")"),3.0)</f>
        <v>3</v>
      </c>
      <c r="F1378" s="2">
        <f>IFERROR(__xludf.DUMMYFUNCTION("""COMPUTED_VALUE"""),9.0)</f>
        <v>9</v>
      </c>
      <c r="G1378" s="2">
        <f>IFERROR(__xludf.DUMMYFUNCTION("""COMPUTED_VALUE"""),2024.0)</f>
        <v>2024</v>
      </c>
      <c r="H1378" s="2" t="str">
        <f t="shared" si="2"/>
        <v>2024/9/3</v>
      </c>
      <c r="I1378" s="2" t="s">
        <v>1573</v>
      </c>
      <c r="J1378" s="2" t="str">
        <f t="shared" si="3"/>
        <v>Air mineral</v>
      </c>
      <c r="K1378" s="7">
        <f>if(RIGHT(I1378,5)="2 pcs",2,Data!I1378)</f>
        <v>1</v>
      </c>
      <c r="L1378" s="2" t="str">
        <f t="shared" si="4"/>
        <v>Tuesday</v>
      </c>
      <c r="M1378" s="2" t="str">
        <f t="shared" si="5"/>
        <v>3</v>
      </c>
      <c r="N1378" s="2">
        <f>VLOOKUP(L1378,'Data Info'!$A$1:$B$8,2,0)</f>
        <v>2</v>
      </c>
      <c r="O1378" s="2" t="str">
        <f>VLOOKUP(L1378,'Data Info'!$A$1:$C$8,3,0)</f>
        <v>Weekday</v>
      </c>
    </row>
    <row r="1379">
      <c r="A1379" s="4">
        <v>45538.81875</v>
      </c>
      <c r="B1379" s="9">
        <f>IFERROR(__xludf.DUMMYFUNCTION("SPLIT(A1379,"" "")"),45538.0)</f>
        <v>45538</v>
      </c>
      <c r="C1379" s="10">
        <f>IFERROR(__xludf.DUMMYFUNCTION("""COMPUTED_VALUE"""),0.81875)</f>
        <v>0.81875</v>
      </c>
      <c r="D1379" s="2">
        <f t="shared" si="1"/>
        <v>19</v>
      </c>
      <c r="E1379" s="2">
        <f>IFERROR(__xludf.DUMMYFUNCTION("SPLIT(B1379,""/"")"),3.0)</f>
        <v>3</v>
      </c>
      <c r="F1379" s="2">
        <f>IFERROR(__xludf.DUMMYFUNCTION("""COMPUTED_VALUE"""),9.0)</f>
        <v>9</v>
      </c>
      <c r="G1379" s="2">
        <f>IFERROR(__xludf.DUMMYFUNCTION("""COMPUTED_VALUE"""),2024.0)</f>
        <v>2024</v>
      </c>
      <c r="H1379" s="2" t="str">
        <f t="shared" si="2"/>
        <v>2024/9/3</v>
      </c>
      <c r="I1379" s="2" t="s">
        <v>1587</v>
      </c>
      <c r="J1379" s="2" t="str">
        <f t="shared" si="3"/>
        <v>Tahu Lada Garam</v>
      </c>
      <c r="K1379" s="7">
        <f>if(RIGHT(I1379,5)="2 pcs",2,Data!I1379)</f>
        <v>1</v>
      </c>
      <c r="L1379" s="2" t="str">
        <f t="shared" si="4"/>
        <v>Tuesday</v>
      </c>
      <c r="M1379" s="2" t="str">
        <f t="shared" si="5"/>
        <v>3</v>
      </c>
      <c r="N1379" s="2">
        <f>VLOOKUP(L1379,'Data Info'!$A$1:$B$8,2,0)</f>
        <v>2</v>
      </c>
      <c r="O1379" s="2" t="str">
        <f>VLOOKUP(L1379,'Data Info'!$A$1:$C$8,3,0)</f>
        <v>Weekday</v>
      </c>
    </row>
    <row r="1380">
      <c r="A1380" s="4">
        <v>45538.81875</v>
      </c>
      <c r="B1380" s="9">
        <f>IFERROR(__xludf.DUMMYFUNCTION("SPLIT(A1380,"" "")"),45538.0)</f>
        <v>45538</v>
      </c>
      <c r="C1380" s="10">
        <f>IFERROR(__xludf.DUMMYFUNCTION("""COMPUTED_VALUE"""),0.81875)</f>
        <v>0.81875</v>
      </c>
      <c r="D1380" s="2">
        <f t="shared" si="1"/>
        <v>19</v>
      </c>
      <c r="E1380" s="2">
        <f>IFERROR(__xludf.DUMMYFUNCTION("SPLIT(B1380,""/"")"),3.0)</f>
        <v>3</v>
      </c>
      <c r="F1380" s="2">
        <f>IFERROR(__xludf.DUMMYFUNCTION("""COMPUTED_VALUE"""),9.0)</f>
        <v>9</v>
      </c>
      <c r="G1380" s="2">
        <f>IFERROR(__xludf.DUMMYFUNCTION("""COMPUTED_VALUE"""),2024.0)</f>
        <v>2024</v>
      </c>
      <c r="H1380" s="2" t="str">
        <f t="shared" si="2"/>
        <v>2024/9/3</v>
      </c>
      <c r="I1380" s="2" t="s">
        <v>1579</v>
      </c>
      <c r="J1380" s="2" t="str">
        <f t="shared" si="3"/>
        <v>Tahu baso</v>
      </c>
      <c r="K1380" s="7">
        <f>if(RIGHT(I1380,5)="2 pcs",2,Data!I1380)</f>
        <v>1</v>
      </c>
      <c r="L1380" s="2" t="str">
        <f t="shared" si="4"/>
        <v>Tuesday</v>
      </c>
      <c r="M1380" s="2" t="str">
        <f t="shared" si="5"/>
        <v>3</v>
      </c>
      <c r="N1380" s="2">
        <f>VLOOKUP(L1380,'Data Info'!$A$1:$B$8,2,0)</f>
        <v>2</v>
      </c>
      <c r="O1380" s="2" t="str">
        <f>VLOOKUP(L1380,'Data Info'!$A$1:$C$8,3,0)</f>
        <v>Weekday</v>
      </c>
    </row>
    <row r="1381">
      <c r="A1381" s="4">
        <v>45538.81805555556</v>
      </c>
      <c r="B1381" s="9">
        <f>IFERROR(__xludf.DUMMYFUNCTION("SPLIT(A1381,"" "")"),45538.0)</f>
        <v>45538</v>
      </c>
      <c r="C1381" s="10">
        <f>IFERROR(__xludf.DUMMYFUNCTION("""COMPUTED_VALUE"""),0.8180555555555555)</f>
        <v>0.8180555556</v>
      </c>
      <c r="D1381" s="2">
        <f t="shared" si="1"/>
        <v>19</v>
      </c>
      <c r="E1381" s="2">
        <f>IFERROR(__xludf.DUMMYFUNCTION("SPLIT(B1381,""/"")"),3.0)</f>
        <v>3</v>
      </c>
      <c r="F1381" s="2">
        <f>IFERROR(__xludf.DUMMYFUNCTION("""COMPUTED_VALUE"""),9.0)</f>
        <v>9</v>
      </c>
      <c r="G1381" s="2">
        <f>IFERROR(__xludf.DUMMYFUNCTION("""COMPUTED_VALUE"""),2024.0)</f>
        <v>2024</v>
      </c>
      <c r="H1381" s="2" t="str">
        <f t="shared" si="2"/>
        <v>2024/9/3</v>
      </c>
      <c r="I1381" s="2" t="s">
        <v>1576</v>
      </c>
      <c r="J1381" s="2" t="str">
        <f t="shared" si="3"/>
        <v>Roti Cranberry</v>
      </c>
      <c r="K1381" s="7">
        <f>if(RIGHT(I1381,5)="2 pcs",2,Data!I1381)</f>
        <v>1</v>
      </c>
      <c r="L1381" s="2" t="str">
        <f t="shared" si="4"/>
        <v>Tuesday</v>
      </c>
      <c r="M1381" s="2" t="str">
        <f t="shared" si="5"/>
        <v>3</v>
      </c>
      <c r="N1381" s="2">
        <f>VLOOKUP(L1381,'Data Info'!$A$1:$B$8,2,0)</f>
        <v>2</v>
      </c>
      <c r="O1381" s="2" t="str">
        <f>VLOOKUP(L1381,'Data Info'!$A$1:$C$8,3,0)</f>
        <v>Weekday</v>
      </c>
    </row>
    <row r="1382">
      <c r="A1382" s="4">
        <v>45538.81805555556</v>
      </c>
      <c r="B1382" s="9">
        <f>IFERROR(__xludf.DUMMYFUNCTION("SPLIT(A1382,"" "")"),45538.0)</f>
        <v>45538</v>
      </c>
      <c r="C1382" s="10">
        <f>IFERROR(__xludf.DUMMYFUNCTION("""COMPUTED_VALUE"""),0.8180555555555555)</f>
        <v>0.8180555556</v>
      </c>
      <c r="D1382" s="2">
        <f t="shared" si="1"/>
        <v>19</v>
      </c>
      <c r="E1382" s="2">
        <f>IFERROR(__xludf.DUMMYFUNCTION("SPLIT(B1382,""/"")"),3.0)</f>
        <v>3</v>
      </c>
      <c r="F1382" s="2">
        <f>IFERROR(__xludf.DUMMYFUNCTION("""COMPUTED_VALUE"""),9.0)</f>
        <v>9</v>
      </c>
      <c r="G1382" s="2">
        <f>IFERROR(__xludf.DUMMYFUNCTION("""COMPUTED_VALUE"""),2024.0)</f>
        <v>2024</v>
      </c>
      <c r="H1382" s="2" t="str">
        <f t="shared" si="2"/>
        <v>2024/9/3</v>
      </c>
      <c r="I1382" s="2" t="s">
        <v>1595</v>
      </c>
      <c r="J1382" s="2" t="str">
        <f t="shared" si="3"/>
        <v>Roti Gandum Cokelat</v>
      </c>
      <c r="K1382" s="7">
        <f>if(RIGHT(I1382,5)="2 pcs",2,Data!I1382)</f>
        <v>1</v>
      </c>
      <c r="L1382" s="2" t="str">
        <f t="shared" si="4"/>
        <v>Tuesday</v>
      </c>
      <c r="M1382" s="2" t="str">
        <f t="shared" si="5"/>
        <v>3</v>
      </c>
      <c r="N1382" s="2">
        <f>VLOOKUP(L1382,'Data Info'!$A$1:$B$8,2,0)</f>
        <v>2</v>
      </c>
      <c r="O1382" s="2" t="str">
        <f>VLOOKUP(L1382,'Data Info'!$A$1:$C$8,3,0)</f>
        <v>Weekday</v>
      </c>
    </row>
    <row r="1383">
      <c r="A1383" s="4">
        <v>45538.805555555555</v>
      </c>
      <c r="B1383" s="9">
        <f>IFERROR(__xludf.DUMMYFUNCTION("SPLIT(A1383,"" "")"),45538.0)</f>
        <v>45538</v>
      </c>
      <c r="C1383" s="10">
        <f>IFERROR(__xludf.DUMMYFUNCTION("""COMPUTED_VALUE"""),0.8055555555555556)</f>
        <v>0.8055555556</v>
      </c>
      <c r="D1383" s="2">
        <f t="shared" si="1"/>
        <v>19</v>
      </c>
      <c r="E1383" s="2">
        <f>IFERROR(__xludf.DUMMYFUNCTION("SPLIT(B1383,""/"")"),3.0)</f>
        <v>3</v>
      </c>
      <c r="F1383" s="2">
        <f>IFERROR(__xludf.DUMMYFUNCTION("""COMPUTED_VALUE"""),9.0)</f>
        <v>9</v>
      </c>
      <c r="G1383" s="2">
        <f>IFERROR(__xludf.DUMMYFUNCTION("""COMPUTED_VALUE"""),2024.0)</f>
        <v>2024</v>
      </c>
      <c r="H1383" s="2" t="str">
        <f t="shared" si="2"/>
        <v>2024/9/3</v>
      </c>
      <c r="I1383" s="2" t="s">
        <v>1616</v>
      </c>
      <c r="J1383" s="2" t="str">
        <f t="shared" si="3"/>
        <v>Roti panggang coklat</v>
      </c>
      <c r="K1383" s="7">
        <f>if(RIGHT(I1383,5)="2 pcs",2,Data!I1383)</f>
        <v>1</v>
      </c>
      <c r="L1383" s="2" t="str">
        <f t="shared" si="4"/>
        <v>Tuesday</v>
      </c>
      <c r="M1383" s="2" t="str">
        <f t="shared" si="5"/>
        <v>3</v>
      </c>
      <c r="N1383" s="2">
        <f>VLOOKUP(L1383,'Data Info'!$A$1:$B$8,2,0)</f>
        <v>2</v>
      </c>
      <c r="O1383" s="2" t="str">
        <f>VLOOKUP(L1383,'Data Info'!$A$1:$C$8,3,0)</f>
        <v>Weekday</v>
      </c>
    </row>
    <row r="1384">
      <c r="A1384" s="4">
        <v>45538.805555555555</v>
      </c>
      <c r="B1384" s="9">
        <f>IFERROR(__xludf.DUMMYFUNCTION("SPLIT(A1384,"" "")"),45538.0)</f>
        <v>45538</v>
      </c>
      <c r="C1384" s="10">
        <f>IFERROR(__xludf.DUMMYFUNCTION("""COMPUTED_VALUE"""),0.8055555555555556)</f>
        <v>0.8055555556</v>
      </c>
      <c r="D1384" s="2">
        <f t="shared" si="1"/>
        <v>19</v>
      </c>
      <c r="E1384" s="2">
        <f>IFERROR(__xludf.DUMMYFUNCTION("SPLIT(B1384,""/"")"),3.0)</f>
        <v>3</v>
      </c>
      <c r="F1384" s="2">
        <f>IFERROR(__xludf.DUMMYFUNCTION("""COMPUTED_VALUE"""),9.0)</f>
        <v>9</v>
      </c>
      <c r="G1384" s="2">
        <f>IFERROR(__xludf.DUMMYFUNCTION("""COMPUTED_VALUE"""),2024.0)</f>
        <v>2024</v>
      </c>
      <c r="H1384" s="2" t="str">
        <f t="shared" si="2"/>
        <v>2024/9/3</v>
      </c>
      <c r="I1384" s="2" t="s">
        <v>1577</v>
      </c>
      <c r="J1384" s="2" t="str">
        <f t="shared" si="3"/>
        <v>Rempah Madu Panas</v>
      </c>
      <c r="K1384" s="7">
        <f>if(RIGHT(I1384,5)="2 pcs",2,Data!I1384)</f>
        <v>1</v>
      </c>
      <c r="L1384" s="2" t="str">
        <f t="shared" si="4"/>
        <v>Tuesday</v>
      </c>
      <c r="M1384" s="2" t="str">
        <f t="shared" si="5"/>
        <v>3</v>
      </c>
      <c r="N1384" s="2">
        <f>VLOOKUP(L1384,'Data Info'!$A$1:$B$8,2,0)</f>
        <v>2</v>
      </c>
      <c r="O1384" s="2" t="str">
        <f>VLOOKUP(L1384,'Data Info'!$A$1:$C$8,3,0)</f>
        <v>Weekday</v>
      </c>
    </row>
    <row r="1385">
      <c r="A1385" s="4">
        <v>45538.805555555555</v>
      </c>
      <c r="B1385" s="9">
        <f>IFERROR(__xludf.DUMMYFUNCTION("SPLIT(A1385,"" "")"),45538.0)</f>
        <v>45538</v>
      </c>
      <c r="C1385" s="10">
        <f>IFERROR(__xludf.DUMMYFUNCTION("""COMPUTED_VALUE"""),0.8055555555555556)</f>
        <v>0.8055555556</v>
      </c>
      <c r="D1385" s="2">
        <f t="shared" si="1"/>
        <v>19</v>
      </c>
      <c r="E1385" s="2">
        <f>IFERROR(__xludf.DUMMYFUNCTION("SPLIT(B1385,""/"")"),3.0)</f>
        <v>3</v>
      </c>
      <c r="F1385" s="2">
        <f>IFERROR(__xludf.DUMMYFUNCTION("""COMPUTED_VALUE"""),9.0)</f>
        <v>9</v>
      </c>
      <c r="G1385" s="2">
        <f>IFERROR(__xludf.DUMMYFUNCTION("""COMPUTED_VALUE"""),2024.0)</f>
        <v>2024</v>
      </c>
      <c r="H1385" s="2" t="str">
        <f t="shared" si="2"/>
        <v>2024/9/3</v>
      </c>
      <c r="I1385" s="2" t="s">
        <v>1609</v>
      </c>
      <c r="J1385" s="2" t="str">
        <f t="shared" si="3"/>
        <v>Tempe Mendoan</v>
      </c>
      <c r="K1385" s="7">
        <f>if(RIGHT(I1385,5)="2 pcs",2,Data!I1385)</f>
        <v>1</v>
      </c>
      <c r="L1385" s="2" t="str">
        <f t="shared" si="4"/>
        <v>Tuesday</v>
      </c>
      <c r="M1385" s="2" t="str">
        <f t="shared" si="5"/>
        <v>3</v>
      </c>
      <c r="N1385" s="2">
        <f>VLOOKUP(L1385,'Data Info'!$A$1:$B$8,2,0)</f>
        <v>2</v>
      </c>
      <c r="O1385" s="2" t="str">
        <f>VLOOKUP(L1385,'Data Info'!$A$1:$C$8,3,0)</f>
        <v>Weekday</v>
      </c>
    </row>
    <row r="1386">
      <c r="A1386" s="4">
        <v>45538.805555555555</v>
      </c>
      <c r="B1386" s="9">
        <f>IFERROR(__xludf.DUMMYFUNCTION("SPLIT(A1386,"" "")"),45538.0)</f>
        <v>45538</v>
      </c>
      <c r="C1386" s="10">
        <f>IFERROR(__xludf.DUMMYFUNCTION("""COMPUTED_VALUE"""),0.8055555555555556)</f>
        <v>0.8055555556</v>
      </c>
      <c r="D1386" s="2">
        <f t="shared" si="1"/>
        <v>19</v>
      </c>
      <c r="E1386" s="2">
        <f>IFERROR(__xludf.DUMMYFUNCTION("SPLIT(B1386,""/"")"),3.0)</f>
        <v>3</v>
      </c>
      <c r="F1386" s="2">
        <f>IFERROR(__xludf.DUMMYFUNCTION("""COMPUTED_VALUE"""),9.0)</f>
        <v>9</v>
      </c>
      <c r="G1386" s="2">
        <f>IFERROR(__xludf.DUMMYFUNCTION("""COMPUTED_VALUE"""),2024.0)</f>
        <v>2024</v>
      </c>
      <c r="H1386" s="2" t="str">
        <f t="shared" si="2"/>
        <v>2024/9/3</v>
      </c>
      <c r="I1386" s="2" t="s">
        <v>1573</v>
      </c>
      <c r="J1386" s="2" t="str">
        <f t="shared" si="3"/>
        <v>Air mineral</v>
      </c>
      <c r="K1386" s="7">
        <f>if(RIGHT(I1386,5)="2 pcs",2,Data!I1386)</f>
        <v>1</v>
      </c>
      <c r="L1386" s="2" t="str">
        <f t="shared" si="4"/>
        <v>Tuesday</v>
      </c>
      <c r="M1386" s="2" t="str">
        <f t="shared" si="5"/>
        <v>3</v>
      </c>
      <c r="N1386" s="2">
        <f>VLOOKUP(L1386,'Data Info'!$A$1:$B$8,2,0)</f>
        <v>2</v>
      </c>
      <c r="O1386" s="2" t="str">
        <f>VLOOKUP(L1386,'Data Info'!$A$1:$C$8,3,0)</f>
        <v>Weekday</v>
      </c>
    </row>
    <row r="1387">
      <c r="A1387" s="4">
        <v>45538.80416666667</v>
      </c>
      <c r="B1387" s="9">
        <f>IFERROR(__xludf.DUMMYFUNCTION("SPLIT(A1387,"" "")"),45538.0)</f>
        <v>45538</v>
      </c>
      <c r="C1387" s="10">
        <f>IFERROR(__xludf.DUMMYFUNCTION("""COMPUTED_VALUE"""),0.8041666666666667)</f>
        <v>0.8041666667</v>
      </c>
      <c r="D1387" s="2">
        <f t="shared" si="1"/>
        <v>19</v>
      </c>
      <c r="E1387" s="2">
        <f>IFERROR(__xludf.DUMMYFUNCTION("SPLIT(B1387,""/"")"),3.0)</f>
        <v>3</v>
      </c>
      <c r="F1387" s="2">
        <f>IFERROR(__xludf.DUMMYFUNCTION("""COMPUTED_VALUE"""),9.0)</f>
        <v>9</v>
      </c>
      <c r="G1387" s="2">
        <f>IFERROR(__xludf.DUMMYFUNCTION("""COMPUTED_VALUE"""),2024.0)</f>
        <v>2024</v>
      </c>
      <c r="H1387" s="2" t="str">
        <f t="shared" si="2"/>
        <v>2024/9/3</v>
      </c>
      <c r="I1387" s="2" t="s">
        <v>1588</v>
      </c>
      <c r="J1387" s="2" t="str">
        <f t="shared" si="3"/>
        <v>Es Kopi Susu</v>
      </c>
      <c r="K1387" s="7">
        <f>if(RIGHT(I1387,5)="2 pcs",2,Data!I1387)</f>
        <v>1</v>
      </c>
      <c r="L1387" s="2" t="str">
        <f t="shared" si="4"/>
        <v>Tuesday</v>
      </c>
      <c r="M1387" s="2" t="str">
        <f t="shared" si="5"/>
        <v>3</v>
      </c>
      <c r="N1387" s="2">
        <f>VLOOKUP(L1387,'Data Info'!$A$1:$B$8,2,0)</f>
        <v>2</v>
      </c>
      <c r="O1387" s="2" t="str">
        <f>VLOOKUP(L1387,'Data Info'!$A$1:$C$8,3,0)</f>
        <v>Weekday</v>
      </c>
    </row>
    <row r="1388">
      <c r="A1388" s="4">
        <v>45538.80416666667</v>
      </c>
      <c r="B1388" s="9">
        <f>IFERROR(__xludf.DUMMYFUNCTION("SPLIT(A1388,"" "")"),45538.0)</f>
        <v>45538</v>
      </c>
      <c r="C1388" s="10">
        <f>IFERROR(__xludf.DUMMYFUNCTION("""COMPUTED_VALUE"""),0.8041666666666667)</f>
        <v>0.8041666667</v>
      </c>
      <c r="D1388" s="2">
        <f t="shared" si="1"/>
        <v>19</v>
      </c>
      <c r="E1388" s="2">
        <f>IFERROR(__xludf.DUMMYFUNCTION("SPLIT(B1388,""/"")"),3.0)</f>
        <v>3</v>
      </c>
      <c r="F1388" s="2">
        <f>IFERROR(__xludf.DUMMYFUNCTION("""COMPUTED_VALUE"""),9.0)</f>
        <v>9</v>
      </c>
      <c r="G1388" s="2">
        <f>IFERROR(__xludf.DUMMYFUNCTION("""COMPUTED_VALUE"""),2024.0)</f>
        <v>2024</v>
      </c>
      <c r="H1388" s="2" t="str">
        <f t="shared" si="2"/>
        <v>2024/9/3</v>
      </c>
      <c r="I1388" s="2" t="s">
        <v>1576</v>
      </c>
      <c r="J1388" s="2" t="str">
        <f t="shared" si="3"/>
        <v>Roti Cranberry</v>
      </c>
      <c r="K1388" s="7">
        <f>if(RIGHT(I1388,5)="2 pcs",2,Data!I1388)</f>
        <v>1</v>
      </c>
      <c r="L1388" s="2" t="str">
        <f t="shared" si="4"/>
        <v>Tuesday</v>
      </c>
      <c r="M1388" s="2" t="str">
        <f t="shared" si="5"/>
        <v>3</v>
      </c>
      <c r="N1388" s="2">
        <f>VLOOKUP(L1388,'Data Info'!$A$1:$B$8,2,0)</f>
        <v>2</v>
      </c>
      <c r="O1388" s="2" t="str">
        <f>VLOOKUP(L1388,'Data Info'!$A$1:$C$8,3,0)</f>
        <v>Weekday</v>
      </c>
    </row>
    <row r="1389">
      <c r="A1389" s="4">
        <v>45538.80416666667</v>
      </c>
      <c r="B1389" s="9">
        <f>IFERROR(__xludf.DUMMYFUNCTION("SPLIT(A1389,"" "")"),45538.0)</f>
        <v>45538</v>
      </c>
      <c r="C1389" s="10">
        <f>IFERROR(__xludf.DUMMYFUNCTION("""COMPUTED_VALUE"""),0.8041666666666667)</f>
        <v>0.8041666667</v>
      </c>
      <c r="D1389" s="2">
        <f t="shared" si="1"/>
        <v>19</v>
      </c>
      <c r="E1389" s="2">
        <f>IFERROR(__xludf.DUMMYFUNCTION("SPLIT(B1389,""/"")"),3.0)</f>
        <v>3</v>
      </c>
      <c r="F1389" s="2">
        <f>IFERROR(__xludf.DUMMYFUNCTION("""COMPUTED_VALUE"""),9.0)</f>
        <v>9</v>
      </c>
      <c r="G1389" s="2">
        <f>IFERROR(__xludf.DUMMYFUNCTION("""COMPUTED_VALUE"""),2024.0)</f>
        <v>2024</v>
      </c>
      <c r="H1389" s="2" t="str">
        <f t="shared" si="2"/>
        <v>2024/9/3</v>
      </c>
      <c r="I1389" s="2" t="s">
        <v>1595</v>
      </c>
      <c r="J1389" s="2" t="str">
        <f t="shared" si="3"/>
        <v>Roti Gandum Cokelat</v>
      </c>
      <c r="K1389" s="7">
        <f>if(RIGHT(I1389,5)="2 pcs",2,Data!I1389)</f>
        <v>1</v>
      </c>
      <c r="L1389" s="2" t="str">
        <f t="shared" si="4"/>
        <v>Tuesday</v>
      </c>
      <c r="M1389" s="2" t="str">
        <f t="shared" si="5"/>
        <v>3</v>
      </c>
      <c r="N1389" s="2">
        <f>VLOOKUP(L1389,'Data Info'!$A$1:$B$8,2,0)</f>
        <v>2</v>
      </c>
      <c r="O1389" s="2" t="str">
        <f>VLOOKUP(L1389,'Data Info'!$A$1:$C$8,3,0)</f>
        <v>Weekday</v>
      </c>
    </row>
    <row r="1390">
      <c r="A1390" s="4">
        <v>45538.80416666667</v>
      </c>
      <c r="B1390" s="9">
        <f>IFERROR(__xludf.DUMMYFUNCTION("SPLIT(A1390,"" "")"),45538.0)</f>
        <v>45538</v>
      </c>
      <c r="C1390" s="10">
        <f>IFERROR(__xludf.DUMMYFUNCTION("""COMPUTED_VALUE"""),0.8041666666666667)</f>
        <v>0.8041666667</v>
      </c>
      <c r="D1390" s="2">
        <f t="shared" si="1"/>
        <v>19</v>
      </c>
      <c r="E1390" s="2">
        <f>IFERROR(__xludf.DUMMYFUNCTION("SPLIT(B1390,""/"")"),3.0)</f>
        <v>3</v>
      </c>
      <c r="F1390" s="2">
        <f>IFERROR(__xludf.DUMMYFUNCTION("""COMPUTED_VALUE"""),9.0)</f>
        <v>9</v>
      </c>
      <c r="G1390" s="2">
        <f>IFERROR(__xludf.DUMMYFUNCTION("""COMPUTED_VALUE"""),2024.0)</f>
        <v>2024</v>
      </c>
      <c r="H1390" s="2" t="str">
        <f t="shared" si="2"/>
        <v>2024/9/3</v>
      </c>
      <c r="I1390" s="2" t="s">
        <v>1635</v>
      </c>
      <c r="J1390" s="2" t="str">
        <f t="shared" si="3"/>
        <v>Roti keju</v>
      </c>
      <c r="K1390" s="7">
        <f>if(RIGHT(I1390,5)="2 pcs",2,Data!I1390)</f>
        <v>1</v>
      </c>
      <c r="L1390" s="2" t="str">
        <f t="shared" si="4"/>
        <v>Tuesday</v>
      </c>
      <c r="M1390" s="2" t="str">
        <f t="shared" si="5"/>
        <v>3</v>
      </c>
      <c r="N1390" s="2">
        <f>VLOOKUP(L1390,'Data Info'!$A$1:$B$8,2,0)</f>
        <v>2</v>
      </c>
      <c r="O1390" s="2" t="str">
        <f>VLOOKUP(L1390,'Data Info'!$A$1:$C$8,3,0)</f>
        <v>Weekday</v>
      </c>
    </row>
    <row r="1391">
      <c r="A1391" s="4">
        <v>45538.79722222222</v>
      </c>
      <c r="B1391" s="9">
        <f>IFERROR(__xludf.DUMMYFUNCTION("SPLIT(A1391,"" "")"),45538.0)</f>
        <v>45538</v>
      </c>
      <c r="C1391" s="10">
        <f>IFERROR(__xludf.DUMMYFUNCTION("""COMPUTED_VALUE"""),0.7972222222222223)</f>
        <v>0.7972222222</v>
      </c>
      <c r="D1391" s="2">
        <f t="shared" si="1"/>
        <v>19</v>
      </c>
      <c r="E1391" s="2">
        <f>IFERROR(__xludf.DUMMYFUNCTION("SPLIT(B1391,""/"")"),3.0)</f>
        <v>3</v>
      </c>
      <c r="F1391" s="2">
        <f>IFERROR(__xludf.DUMMYFUNCTION("""COMPUTED_VALUE"""),9.0)</f>
        <v>9</v>
      </c>
      <c r="G1391" s="2">
        <f>IFERROR(__xludf.DUMMYFUNCTION("""COMPUTED_VALUE"""),2024.0)</f>
        <v>2024</v>
      </c>
      <c r="H1391" s="2" t="str">
        <f t="shared" si="2"/>
        <v>2024/9/3</v>
      </c>
      <c r="I1391" s="2" t="s">
        <v>1566</v>
      </c>
      <c r="J1391" s="2" t="str">
        <f t="shared" si="3"/>
        <v>Roti Bawang Saus Keju</v>
      </c>
      <c r="K1391" s="7">
        <f>if(RIGHT(I1391,5)="2 pcs",2,Data!I1391)</f>
        <v>1</v>
      </c>
      <c r="L1391" s="2" t="str">
        <f t="shared" si="4"/>
        <v>Tuesday</v>
      </c>
      <c r="M1391" s="2" t="str">
        <f t="shared" si="5"/>
        <v>3</v>
      </c>
      <c r="N1391" s="2">
        <f>VLOOKUP(L1391,'Data Info'!$A$1:$B$8,2,0)</f>
        <v>2</v>
      </c>
      <c r="O1391" s="2" t="str">
        <f>VLOOKUP(L1391,'Data Info'!$A$1:$C$8,3,0)</f>
        <v>Weekday</v>
      </c>
    </row>
    <row r="1392">
      <c r="A1392" s="4">
        <v>45538.79583333333</v>
      </c>
      <c r="B1392" s="9">
        <f>IFERROR(__xludf.DUMMYFUNCTION("SPLIT(A1392,"" "")"),45538.0)</f>
        <v>45538</v>
      </c>
      <c r="C1392" s="10">
        <f>IFERROR(__xludf.DUMMYFUNCTION("""COMPUTED_VALUE"""),0.7958333333333333)</f>
        <v>0.7958333333</v>
      </c>
      <c r="D1392" s="2">
        <f t="shared" si="1"/>
        <v>19</v>
      </c>
      <c r="E1392" s="2">
        <f>IFERROR(__xludf.DUMMYFUNCTION("SPLIT(B1392,""/"")"),3.0)</f>
        <v>3</v>
      </c>
      <c r="F1392" s="2">
        <f>IFERROR(__xludf.DUMMYFUNCTION("""COMPUTED_VALUE"""),9.0)</f>
        <v>9</v>
      </c>
      <c r="G1392" s="2">
        <f>IFERROR(__xludf.DUMMYFUNCTION("""COMPUTED_VALUE"""),2024.0)</f>
        <v>2024</v>
      </c>
      <c r="H1392" s="2" t="str">
        <f t="shared" si="2"/>
        <v>2024/9/3</v>
      </c>
      <c r="I1392" s="2" t="s">
        <v>1607</v>
      </c>
      <c r="J1392" s="2" t="str">
        <f t="shared" si="3"/>
        <v>Tahu walik</v>
      </c>
      <c r="K1392" s="7">
        <f>if(RIGHT(I1392,5)="2 pcs",2,Data!I1392)</f>
        <v>1</v>
      </c>
      <c r="L1392" s="2" t="str">
        <f t="shared" si="4"/>
        <v>Tuesday</v>
      </c>
      <c r="M1392" s="2" t="str">
        <f t="shared" si="5"/>
        <v>3</v>
      </c>
      <c r="N1392" s="2">
        <f>VLOOKUP(L1392,'Data Info'!$A$1:$B$8,2,0)</f>
        <v>2</v>
      </c>
      <c r="O1392" s="2" t="str">
        <f>VLOOKUP(L1392,'Data Info'!$A$1:$C$8,3,0)</f>
        <v>Weekday</v>
      </c>
    </row>
    <row r="1393">
      <c r="A1393" s="4">
        <v>45538.79583333333</v>
      </c>
      <c r="B1393" s="9">
        <f>IFERROR(__xludf.DUMMYFUNCTION("SPLIT(A1393,"" "")"),45538.0)</f>
        <v>45538</v>
      </c>
      <c r="C1393" s="10">
        <f>IFERROR(__xludf.DUMMYFUNCTION("""COMPUTED_VALUE"""),0.7958333333333333)</f>
        <v>0.7958333333</v>
      </c>
      <c r="D1393" s="2">
        <f t="shared" si="1"/>
        <v>19</v>
      </c>
      <c r="E1393" s="2">
        <f>IFERROR(__xludf.DUMMYFUNCTION("SPLIT(B1393,""/"")"),3.0)</f>
        <v>3</v>
      </c>
      <c r="F1393" s="2">
        <f>IFERROR(__xludf.DUMMYFUNCTION("""COMPUTED_VALUE"""),9.0)</f>
        <v>9</v>
      </c>
      <c r="G1393" s="2">
        <f>IFERROR(__xludf.DUMMYFUNCTION("""COMPUTED_VALUE"""),2024.0)</f>
        <v>2024</v>
      </c>
      <c r="H1393" s="2" t="str">
        <f t="shared" si="2"/>
        <v>2024/9/3</v>
      </c>
      <c r="I1393" s="2" t="s">
        <v>1588</v>
      </c>
      <c r="J1393" s="2" t="str">
        <f t="shared" si="3"/>
        <v>Es Kopi Susu</v>
      </c>
      <c r="K1393" s="7">
        <f>if(RIGHT(I1393,5)="2 pcs",2,Data!I1393)</f>
        <v>1</v>
      </c>
      <c r="L1393" s="2" t="str">
        <f t="shared" si="4"/>
        <v>Tuesday</v>
      </c>
      <c r="M1393" s="2" t="str">
        <f t="shared" si="5"/>
        <v>3</v>
      </c>
      <c r="N1393" s="2">
        <f>VLOOKUP(L1393,'Data Info'!$A$1:$B$8,2,0)</f>
        <v>2</v>
      </c>
      <c r="O1393" s="2" t="str">
        <f>VLOOKUP(L1393,'Data Info'!$A$1:$C$8,3,0)</f>
        <v>Weekday</v>
      </c>
    </row>
    <row r="1394">
      <c r="A1394" s="4">
        <v>45538.79583333333</v>
      </c>
      <c r="B1394" s="9">
        <f>IFERROR(__xludf.DUMMYFUNCTION("SPLIT(A1394,"" "")"),45538.0)</f>
        <v>45538</v>
      </c>
      <c r="C1394" s="10">
        <f>IFERROR(__xludf.DUMMYFUNCTION("""COMPUTED_VALUE"""),0.7958333333333333)</f>
        <v>0.7958333333</v>
      </c>
      <c r="D1394" s="2">
        <f t="shared" si="1"/>
        <v>19</v>
      </c>
      <c r="E1394" s="2">
        <f>IFERROR(__xludf.DUMMYFUNCTION("SPLIT(B1394,""/"")"),3.0)</f>
        <v>3</v>
      </c>
      <c r="F1394" s="2">
        <f>IFERROR(__xludf.DUMMYFUNCTION("""COMPUTED_VALUE"""),9.0)</f>
        <v>9</v>
      </c>
      <c r="G1394" s="2">
        <f>IFERROR(__xludf.DUMMYFUNCTION("""COMPUTED_VALUE"""),2024.0)</f>
        <v>2024</v>
      </c>
      <c r="H1394" s="2" t="str">
        <f t="shared" si="2"/>
        <v>2024/9/3</v>
      </c>
      <c r="I1394" s="2" t="s">
        <v>1621</v>
      </c>
      <c r="J1394" s="2" t="str">
        <f t="shared" si="3"/>
        <v>Wedang angin</v>
      </c>
      <c r="K1394" s="7">
        <f>if(RIGHT(I1394,5)="2 pcs",2,Data!I1394)</f>
        <v>1</v>
      </c>
      <c r="L1394" s="2" t="str">
        <f t="shared" si="4"/>
        <v>Tuesday</v>
      </c>
      <c r="M1394" s="2" t="str">
        <f t="shared" si="5"/>
        <v>3</v>
      </c>
      <c r="N1394" s="2">
        <f>VLOOKUP(L1394,'Data Info'!$A$1:$B$8,2,0)</f>
        <v>2</v>
      </c>
      <c r="O1394" s="2" t="str">
        <f>VLOOKUP(L1394,'Data Info'!$A$1:$C$8,3,0)</f>
        <v>Weekday</v>
      </c>
    </row>
    <row r="1395">
      <c r="A1395" s="4">
        <v>45538.79583333333</v>
      </c>
      <c r="B1395" s="9">
        <f>IFERROR(__xludf.DUMMYFUNCTION("SPLIT(A1395,"" "")"),45538.0)</f>
        <v>45538</v>
      </c>
      <c r="C1395" s="10">
        <f>IFERROR(__xludf.DUMMYFUNCTION("""COMPUTED_VALUE"""),0.7958333333333333)</f>
        <v>0.7958333333</v>
      </c>
      <c r="D1395" s="2">
        <f t="shared" si="1"/>
        <v>19</v>
      </c>
      <c r="E1395" s="2">
        <f>IFERROR(__xludf.DUMMYFUNCTION("SPLIT(B1395,""/"")"),3.0)</f>
        <v>3</v>
      </c>
      <c r="F1395" s="2">
        <f>IFERROR(__xludf.DUMMYFUNCTION("""COMPUTED_VALUE"""),9.0)</f>
        <v>9</v>
      </c>
      <c r="G1395" s="2">
        <f>IFERROR(__xludf.DUMMYFUNCTION("""COMPUTED_VALUE"""),2024.0)</f>
        <v>2024</v>
      </c>
      <c r="H1395" s="2" t="str">
        <f t="shared" si="2"/>
        <v>2024/9/3</v>
      </c>
      <c r="I1395" s="2" t="s">
        <v>1584</v>
      </c>
      <c r="J1395" s="2" t="str">
        <f t="shared" si="3"/>
        <v>Korean Mango Fresh Milk</v>
      </c>
      <c r="K1395" s="7">
        <f>if(RIGHT(I1395,5)="2 pcs",2,Data!I1395)</f>
        <v>1</v>
      </c>
      <c r="L1395" s="2" t="str">
        <f t="shared" si="4"/>
        <v>Tuesday</v>
      </c>
      <c r="M1395" s="2" t="str">
        <f t="shared" si="5"/>
        <v>3</v>
      </c>
      <c r="N1395" s="2">
        <f>VLOOKUP(L1395,'Data Info'!$A$1:$B$8,2,0)</f>
        <v>2</v>
      </c>
      <c r="O1395" s="2" t="str">
        <f>VLOOKUP(L1395,'Data Info'!$A$1:$C$8,3,0)</f>
        <v>Weekday</v>
      </c>
    </row>
    <row r="1396">
      <c r="A1396" s="4">
        <v>45538.79583333333</v>
      </c>
      <c r="B1396" s="9">
        <f>IFERROR(__xludf.DUMMYFUNCTION("SPLIT(A1396,"" "")"),45538.0)</f>
        <v>45538</v>
      </c>
      <c r="C1396" s="10">
        <f>IFERROR(__xludf.DUMMYFUNCTION("""COMPUTED_VALUE"""),0.7958333333333333)</f>
        <v>0.7958333333</v>
      </c>
      <c r="D1396" s="2">
        <f t="shared" si="1"/>
        <v>19</v>
      </c>
      <c r="E1396" s="2">
        <f>IFERROR(__xludf.DUMMYFUNCTION("SPLIT(B1396,""/"")"),3.0)</f>
        <v>3</v>
      </c>
      <c r="F1396" s="2">
        <f>IFERROR(__xludf.DUMMYFUNCTION("""COMPUTED_VALUE"""),9.0)</f>
        <v>9</v>
      </c>
      <c r="G1396" s="2">
        <f>IFERROR(__xludf.DUMMYFUNCTION("""COMPUTED_VALUE"""),2024.0)</f>
        <v>2024</v>
      </c>
      <c r="H1396" s="2" t="str">
        <f t="shared" si="2"/>
        <v>2024/9/3</v>
      </c>
      <c r="I1396" s="2" t="s">
        <v>1602</v>
      </c>
      <c r="J1396" s="2" t="str">
        <f t="shared" si="3"/>
        <v>Mie joglo</v>
      </c>
      <c r="K1396" s="7">
        <f>if(RIGHT(I1396,5)="2 pcs",2,Data!I1396)</f>
        <v>1</v>
      </c>
      <c r="L1396" s="2" t="str">
        <f t="shared" si="4"/>
        <v>Tuesday</v>
      </c>
      <c r="M1396" s="2" t="str">
        <f t="shared" si="5"/>
        <v>3</v>
      </c>
      <c r="N1396" s="2">
        <f>VLOOKUP(L1396,'Data Info'!$A$1:$B$8,2,0)</f>
        <v>2</v>
      </c>
      <c r="O1396" s="2" t="str">
        <f>VLOOKUP(L1396,'Data Info'!$A$1:$C$8,3,0)</f>
        <v>Weekday</v>
      </c>
    </row>
    <row r="1397">
      <c r="A1397" s="4">
        <v>45538.79305555556</v>
      </c>
      <c r="B1397" s="9">
        <f>IFERROR(__xludf.DUMMYFUNCTION("SPLIT(A1397,"" "")"),45538.0)</f>
        <v>45538</v>
      </c>
      <c r="C1397" s="10">
        <f>IFERROR(__xludf.DUMMYFUNCTION("""COMPUTED_VALUE"""),0.7930555555555555)</f>
        <v>0.7930555556</v>
      </c>
      <c r="D1397" s="2">
        <f t="shared" si="1"/>
        <v>19</v>
      </c>
      <c r="E1397" s="2">
        <f>IFERROR(__xludf.DUMMYFUNCTION("SPLIT(B1397,""/"")"),3.0)</f>
        <v>3</v>
      </c>
      <c r="F1397" s="2">
        <f>IFERROR(__xludf.DUMMYFUNCTION("""COMPUTED_VALUE"""),9.0)</f>
        <v>9</v>
      </c>
      <c r="G1397" s="2">
        <f>IFERROR(__xludf.DUMMYFUNCTION("""COMPUTED_VALUE"""),2024.0)</f>
        <v>2024</v>
      </c>
      <c r="H1397" s="2" t="str">
        <f t="shared" si="2"/>
        <v>2024/9/3</v>
      </c>
      <c r="I1397" s="2" t="s">
        <v>1610</v>
      </c>
      <c r="J1397" s="2" t="str">
        <f t="shared" si="3"/>
        <v>Roti toast eskrim</v>
      </c>
      <c r="K1397" s="7">
        <f>if(RIGHT(I1397,5)="2 pcs",2,Data!I1397)</f>
        <v>1</v>
      </c>
      <c r="L1397" s="2" t="str">
        <f t="shared" si="4"/>
        <v>Tuesday</v>
      </c>
      <c r="M1397" s="2" t="str">
        <f t="shared" si="5"/>
        <v>3</v>
      </c>
      <c r="N1397" s="2">
        <f>VLOOKUP(L1397,'Data Info'!$A$1:$B$8,2,0)</f>
        <v>2</v>
      </c>
      <c r="O1397" s="2" t="str">
        <f>VLOOKUP(L1397,'Data Info'!$A$1:$C$8,3,0)</f>
        <v>Weekday</v>
      </c>
    </row>
    <row r="1398">
      <c r="A1398" s="4">
        <v>45538.79305555556</v>
      </c>
      <c r="B1398" s="9">
        <f>IFERROR(__xludf.DUMMYFUNCTION("SPLIT(A1398,"" "")"),45538.0)</f>
        <v>45538</v>
      </c>
      <c r="C1398" s="10">
        <f>IFERROR(__xludf.DUMMYFUNCTION("""COMPUTED_VALUE"""),0.7930555555555555)</f>
        <v>0.7930555556</v>
      </c>
      <c r="D1398" s="2">
        <f t="shared" si="1"/>
        <v>19</v>
      </c>
      <c r="E1398" s="2">
        <f>IFERROR(__xludf.DUMMYFUNCTION("SPLIT(B1398,""/"")"),3.0)</f>
        <v>3</v>
      </c>
      <c r="F1398" s="2">
        <f>IFERROR(__xludf.DUMMYFUNCTION("""COMPUTED_VALUE"""),9.0)</f>
        <v>9</v>
      </c>
      <c r="G1398" s="2">
        <f>IFERROR(__xludf.DUMMYFUNCTION("""COMPUTED_VALUE"""),2024.0)</f>
        <v>2024</v>
      </c>
      <c r="H1398" s="2" t="str">
        <f t="shared" si="2"/>
        <v>2024/9/3</v>
      </c>
      <c r="I1398" s="2" t="s">
        <v>1609</v>
      </c>
      <c r="J1398" s="2" t="str">
        <f t="shared" si="3"/>
        <v>Tempe Mendoan</v>
      </c>
      <c r="K1398" s="7">
        <f>if(RIGHT(I1398,5)="2 pcs",2,Data!I1398)</f>
        <v>1</v>
      </c>
      <c r="L1398" s="2" t="str">
        <f t="shared" si="4"/>
        <v>Tuesday</v>
      </c>
      <c r="M1398" s="2" t="str">
        <f t="shared" si="5"/>
        <v>3</v>
      </c>
      <c r="N1398" s="2">
        <f>VLOOKUP(L1398,'Data Info'!$A$1:$B$8,2,0)</f>
        <v>2</v>
      </c>
      <c r="O1398" s="2" t="str">
        <f>VLOOKUP(L1398,'Data Info'!$A$1:$C$8,3,0)</f>
        <v>Weekday</v>
      </c>
    </row>
    <row r="1399">
      <c r="A1399" s="4">
        <v>45538.79305555556</v>
      </c>
      <c r="B1399" s="9">
        <f>IFERROR(__xludf.DUMMYFUNCTION("SPLIT(A1399,"" "")"),45538.0)</f>
        <v>45538</v>
      </c>
      <c r="C1399" s="10">
        <f>IFERROR(__xludf.DUMMYFUNCTION("""COMPUTED_VALUE"""),0.7930555555555555)</f>
        <v>0.7930555556</v>
      </c>
      <c r="D1399" s="2">
        <f t="shared" si="1"/>
        <v>19</v>
      </c>
      <c r="E1399" s="2">
        <f>IFERROR(__xludf.DUMMYFUNCTION("SPLIT(B1399,""/"")"),3.0)</f>
        <v>3</v>
      </c>
      <c r="F1399" s="2">
        <f>IFERROR(__xludf.DUMMYFUNCTION("""COMPUTED_VALUE"""),9.0)</f>
        <v>9</v>
      </c>
      <c r="G1399" s="2">
        <f>IFERROR(__xludf.DUMMYFUNCTION("""COMPUTED_VALUE"""),2024.0)</f>
        <v>2024</v>
      </c>
      <c r="H1399" s="2" t="str">
        <f t="shared" si="2"/>
        <v>2024/9/3</v>
      </c>
      <c r="I1399" s="2" t="s">
        <v>1607</v>
      </c>
      <c r="J1399" s="2" t="str">
        <f t="shared" si="3"/>
        <v>Tahu walik</v>
      </c>
      <c r="K1399" s="7">
        <f>if(RIGHT(I1399,5)="2 pcs",2,Data!I1399)</f>
        <v>1</v>
      </c>
      <c r="L1399" s="2" t="str">
        <f t="shared" si="4"/>
        <v>Tuesday</v>
      </c>
      <c r="M1399" s="2" t="str">
        <f t="shared" si="5"/>
        <v>3</v>
      </c>
      <c r="N1399" s="2">
        <f>VLOOKUP(L1399,'Data Info'!$A$1:$B$8,2,0)</f>
        <v>2</v>
      </c>
      <c r="O1399" s="2" t="str">
        <f>VLOOKUP(L1399,'Data Info'!$A$1:$C$8,3,0)</f>
        <v>Weekday</v>
      </c>
    </row>
    <row r="1400">
      <c r="A1400" s="4">
        <v>45538.79305555556</v>
      </c>
      <c r="B1400" s="9">
        <f>IFERROR(__xludf.DUMMYFUNCTION("SPLIT(A1400,"" "")"),45538.0)</f>
        <v>45538</v>
      </c>
      <c r="C1400" s="10">
        <f>IFERROR(__xludf.DUMMYFUNCTION("""COMPUTED_VALUE"""),0.7930555555555555)</f>
        <v>0.7930555556</v>
      </c>
      <c r="D1400" s="2">
        <f t="shared" si="1"/>
        <v>19</v>
      </c>
      <c r="E1400" s="2">
        <f>IFERROR(__xludf.DUMMYFUNCTION("SPLIT(B1400,""/"")"),3.0)</f>
        <v>3</v>
      </c>
      <c r="F1400" s="2">
        <f>IFERROR(__xludf.DUMMYFUNCTION("""COMPUTED_VALUE"""),9.0)</f>
        <v>9</v>
      </c>
      <c r="G1400" s="2">
        <f>IFERROR(__xludf.DUMMYFUNCTION("""COMPUTED_VALUE"""),2024.0)</f>
        <v>2024</v>
      </c>
      <c r="H1400" s="2" t="str">
        <f t="shared" si="2"/>
        <v>2024/9/3</v>
      </c>
      <c r="I1400" s="2" t="s">
        <v>1584</v>
      </c>
      <c r="J1400" s="2" t="str">
        <f t="shared" si="3"/>
        <v>Korean Mango Fresh Milk</v>
      </c>
      <c r="K1400" s="7">
        <f>if(RIGHT(I1400,5)="2 pcs",2,Data!I1400)</f>
        <v>1</v>
      </c>
      <c r="L1400" s="2" t="str">
        <f t="shared" si="4"/>
        <v>Tuesday</v>
      </c>
      <c r="M1400" s="2" t="str">
        <f t="shared" si="5"/>
        <v>3</v>
      </c>
      <c r="N1400" s="2">
        <f>VLOOKUP(L1400,'Data Info'!$A$1:$B$8,2,0)</f>
        <v>2</v>
      </c>
      <c r="O1400" s="2" t="str">
        <f>VLOOKUP(L1400,'Data Info'!$A$1:$C$8,3,0)</f>
        <v>Weekday</v>
      </c>
    </row>
    <row r="1401">
      <c r="A1401" s="4">
        <v>45538.79305555556</v>
      </c>
      <c r="B1401" s="9">
        <f>IFERROR(__xludf.DUMMYFUNCTION("SPLIT(A1401,"" "")"),45538.0)</f>
        <v>45538</v>
      </c>
      <c r="C1401" s="10">
        <f>IFERROR(__xludf.DUMMYFUNCTION("""COMPUTED_VALUE"""),0.7930555555555555)</f>
        <v>0.7930555556</v>
      </c>
      <c r="D1401" s="2">
        <f t="shared" si="1"/>
        <v>19</v>
      </c>
      <c r="E1401" s="2">
        <f>IFERROR(__xludf.DUMMYFUNCTION("SPLIT(B1401,""/"")"),3.0)</f>
        <v>3</v>
      </c>
      <c r="F1401" s="2">
        <f>IFERROR(__xludf.DUMMYFUNCTION("""COMPUTED_VALUE"""),9.0)</f>
        <v>9</v>
      </c>
      <c r="G1401" s="2">
        <f>IFERROR(__xludf.DUMMYFUNCTION("""COMPUTED_VALUE"""),2024.0)</f>
        <v>2024</v>
      </c>
      <c r="H1401" s="2" t="str">
        <f t="shared" si="2"/>
        <v>2024/9/3</v>
      </c>
      <c r="I1401" s="2" t="s">
        <v>1598</v>
      </c>
      <c r="J1401" s="2" t="str">
        <f t="shared" si="3"/>
        <v>Korean Strawberry Fresh Milk</v>
      </c>
      <c r="K1401" s="7">
        <f>if(RIGHT(I1401,5)="2 pcs",2,Data!I1401)</f>
        <v>1</v>
      </c>
      <c r="L1401" s="2" t="str">
        <f t="shared" si="4"/>
        <v>Tuesday</v>
      </c>
      <c r="M1401" s="2" t="str">
        <f t="shared" si="5"/>
        <v>3</v>
      </c>
      <c r="N1401" s="2">
        <f>VLOOKUP(L1401,'Data Info'!$A$1:$B$8,2,0)</f>
        <v>2</v>
      </c>
      <c r="O1401" s="2" t="str">
        <f>VLOOKUP(L1401,'Data Info'!$A$1:$C$8,3,0)</f>
        <v>Weekday</v>
      </c>
    </row>
    <row r="1402">
      <c r="A1402" s="4">
        <v>45538.79305555556</v>
      </c>
      <c r="B1402" s="9">
        <f>IFERROR(__xludf.DUMMYFUNCTION("SPLIT(A1402,"" "")"),45538.0)</f>
        <v>45538</v>
      </c>
      <c r="C1402" s="10">
        <f>IFERROR(__xludf.DUMMYFUNCTION("""COMPUTED_VALUE"""),0.7930555555555555)</f>
        <v>0.7930555556</v>
      </c>
      <c r="D1402" s="2">
        <f t="shared" si="1"/>
        <v>19</v>
      </c>
      <c r="E1402" s="2">
        <f>IFERROR(__xludf.DUMMYFUNCTION("SPLIT(B1402,""/"")"),3.0)</f>
        <v>3</v>
      </c>
      <c r="F1402" s="2">
        <f>IFERROR(__xludf.DUMMYFUNCTION("""COMPUTED_VALUE"""),9.0)</f>
        <v>9</v>
      </c>
      <c r="G1402" s="2">
        <f>IFERROR(__xludf.DUMMYFUNCTION("""COMPUTED_VALUE"""),2024.0)</f>
        <v>2024</v>
      </c>
      <c r="H1402" s="2" t="str">
        <f t="shared" si="2"/>
        <v>2024/9/3</v>
      </c>
      <c r="I1402" s="2" t="s">
        <v>1588</v>
      </c>
      <c r="J1402" s="2" t="str">
        <f t="shared" si="3"/>
        <v>Es Kopi Susu</v>
      </c>
      <c r="K1402" s="7">
        <f>if(RIGHT(I1402,5)="2 pcs",2,Data!I1402)</f>
        <v>1</v>
      </c>
      <c r="L1402" s="2" t="str">
        <f t="shared" si="4"/>
        <v>Tuesday</v>
      </c>
      <c r="M1402" s="2" t="str">
        <f t="shared" si="5"/>
        <v>3</v>
      </c>
      <c r="N1402" s="2">
        <f>VLOOKUP(L1402,'Data Info'!$A$1:$B$8,2,0)</f>
        <v>2</v>
      </c>
      <c r="O1402" s="2" t="str">
        <f>VLOOKUP(L1402,'Data Info'!$A$1:$C$8,3,0)</f>
        <v>Weekday</v>
      </c>
    </row>
    <row r="1403">
      <c r="A1403" s="4">
        <v>45538.69375</v>
      </c>
      <c r="B1403" s="9">
        <f>IFERROR(__xludf.DUMMYFUNCTION("SPLIT(A1403,"" "")"),45538.0)</f>
        <v>45538</v>
      </c>
      <c r="C1403" s="10">
        <f>IFERROR(__xludf.DUMMYFUNCTION("""COMPUTED_VALUE"""),0.69375)</f>
        <v>0.69375</v>
      </c>
      <c r="D1403" s="2">
        <f t="shared" si="1"/>
        <v>16</v>
      </c>
      <c r="E1403" s="2">
        <f>IFERROR(__xludf.DUMMYFUNCTION("SPLIT(B1403,""/"")"),3.0)</f>
        <v>3</v>
      </c>
      <c r="F1403" s="2">
        <f>IFERROR(__xludf.DUMMYFUNCTION("""COMPUTED_VALUE"""),9.0)</f>
        <v>9</v>
      </c>
      <c r="G1403" s="2">
        <f>IFERROR(__xludf.DUMMYFUNCTION("""COMPUTED_VALUE"""),2024.0)</f>
        <v>2024</v>
      </c>
      <c r="H1403" s="2" t="str">
        <f t="shared" si="2"/>
        <v>2024/9/3</v>
      </c>
      <c r="I1403" s="2" t="s">
        <v>1617</v>
      </c>
      <c r="J1403" s="2" t="str">
        <f t="shared" si="3"/>
        <v>Lemon Tea Dingin</v>
      </c>
      <c r="K1403" s="7">
        <f>if(RIGHT(I1403,5)="2 pcs",2,Data!I1403)</f>
        <v>1</v>
      </c>
      <c r="L1403" s="2" t="str">
        <f t="shared" si="4"/>
        <v>Tuesday</v>
      </c>
      <c r="M1403" s="2" t="str">
        <f t="shared" si="5"/>
        <v>3</v>
      </c>
      <c r="N1403" s="2">
        <f>VLOOKUP(L1403,'Data Info'!$A$1:$B$8,2,0)</f>
        <v>2</v>
      </c>
      <c r="O1403" s="2" t="str">
        <f>VLOOKUP(L1403,'Data Info'!$A$1:$C$8,3,0)</f>
        <v>Weekday</v>
      </c>
    </row>
    <row r="1404">
      <c r="A1404" s="4">
        <v>45538.657638888886</v>
      </c>
      <c r="B1404" s="9">
        <f>IFERROR(__xludf.DUMMYFUNCTION("SPLIT(A1404,"" "")"),45538.0)</f>
        <v>45538</v>
      </c>
      <c r="C1404" s="10">
        <f>IFERROR(__xludf.DUMMYFUNCTION("""COMPUTED_VALUE"""),0.6576388888888889)</f>
        <v>0.6576388889</v>
      </c>
      <c r="D1404" s="2">
        <f t="shared" si="1"/>
        <v>15</v>
      </c>
      <c r="E1404" s="2">
        <f>IFERROR(__xludf.DUMMYFUNCTION("SPLIT(B1404,""/"")"),3.0)</f>
        <v>3</v>
      </c>
      <c r="F1404" s="2">
        <f>IFERROR(__xludf.DUMMYFUNCTION("""COMPUTED_VALUE"""),9.0)</f>
        <v>9</v>
      </c>
      <c r="G1404" s="2">
        <f>IFERROR(__xludf.DUMMYFUNCTION("""COMPUTED_VALUE"""),2024.0)</f>
        <v>2024</v>
      </c>
      <c r="H1404" s="2" t="str">
        <f t="shared" si="2"/>
        <v>2024/9/3</v>
      </c>
      <c r="I1404" s="2" t="s">
        <v>1576</v>
      </c>
      <c r="J1404" s="2" t="str">
        <f t="shared" si="3"/>
        <v>Roti Cranberry</v>
      </c>
      <c r="K1404" s="7">
        <f>if(RIGHT(I1404,5)="2 pcs",2,Data!I1404)</f>
        <v>1</v>
      </c>
      <c r="L1404" s="2" t="str">
        <f t="shared" si="4"/>
        <v>Tuesday</v>
      </c>
      <c r="M1404" s="2" t="str">
        <f t="shared" si="5"/>
        <v>3</v>
      </c>
      <c r="N1404" s="2">
        <f>VLOOKUP(L1404,'Data Info'!$A$1:$B$8,2,0)</f>
        <v>2</v>
      </c>
      <c r="O1404" s="2" t="str">
        <f>VLOOKUP(L1404,'Data Info'!$A$1:$C$8,3,0)</f>
        <v>Weekday</v>
      </c>
    </row>
    <row r="1405">
      <c r="A1405" s="4">
        <v>45538.65694444445</v>
      </c>
      <c r="B1405" s="9">
        <f>IFERROR(__xludf.DUMMYFUNCTION("SPLIT(A1405,"" "")"),45538.0)</f>
        <v>45538</v>
      </c>
      <c r="C1405" s="10">
        <f>IFERROR(__xludf.DUMMYFUNCTION("""COMPUTED_VALUE"""),0.6569444444444444)</f>
        <v>0.6569444444</v>
      </c>
      <c r="D1405" s="2">
        <f t="shared" si="1"/>
        <v>15</v>
      </c>
      <c r="E1405" s="2">
        <f>IFERROR(__xludf.DUMMYFUNCTION("SPLIT(B1405,""/"")"),3.0)</f>
        <v>3</v>
      </c>
      <c r="F1405" s="2">
        <f>IFERROR(__xludf.DUMMYFUNCTION("""COMPUTED_VALUE"""),9.0)</f>
        <v>9</v>
      </c>
      <c r="G1405" s="2">
        <f>IFERROR(__xludf.DUMMYFUNCTION("""COMPUTED_VALUE"""),2024.0)</f>
        <v>2024</v>
      </c>
      <c r="H1405" s="2" t="str">
        <f t="shared" si="2"/>
        <v>2024/9/3</v>
      </c>
      <c r="I1405" s="2" t="s">
        <v>1596</v>
      </c>
      <c r="J1405" s="2" t="str">
        <f t="shared" si="3"/>
        <v>Roti Cranberry</v>
      </c>
      <c r="K1405" s="7">
        <f>if(RIGHT(I1405,5)="2 pcs",2,Data!I1405)</f>
        <v>2</v>
      </c>
      <c r="L1405" s="2" t="str">
        <f t="shared" si="4"/>
        <v>Tuesday</v>
      </c>
      <c r="M1405" s="2" t="str">
        <f t="shared" si="5"/>
        <v>3</v>
      </c>
      <c r="N1405" s="2">
        <f>VLOOKUP(L1405,'Data Info'!$A$1:$B$8,2,0)</f>
        <v>2</v>
      </c>
      <c r="O1405" s="2" t="str">
        <f>VLOOKUP(L1405,'Data Info'!$A$1:$C$8,3,0)</f>
        <v>Weekday</v>
      </c>
    </row>
    <row r="1406">
      <c r="A1406" s="4">
        <v>45538.65694444445</v>
      </c>
      <c r="B1406" s="9">
        <f>IFERROR(__xludf.DUMMYFUNCTION("SPLIT(A1406,"" "")"),45538.0)</f>
        <v>45538</v>
      </c>
      <c r="C1406" s="10">
        <f>IFERROR(__xludf.DUMMYFUNCTION("""COMPUTED_VALUE"""),0.6569444444444444)</f>
        <v>0.6569444444</v>
      </c>
      <c r="D1406" s="2">
        <f t="shared" si="1"/>
        <v>15</v>
      </c>
      <c r="E1406" s="2">
        <f>IFERROR(__xludf.DUMMYFUNCTION("SPLIT(B1406,""/"")"),3.0)</f>
        <v>3</v>
      </c>
      <c r="F1406" s="2">
        <f>IFERROR(__xludf.DUMMYFUNCTION("""COMPUTED_VALUE"""),9.0)</f>
        <v>9</v>
      </c>
      <c r="G1406" s="2">
        <f>IFERROR(__xludf.DUMMYFUNCTION("""COMPUTED_VALUE"""),2024.0)</f>
        <v>2024</v>
      </c>
      <c r="H1406" s="2" t="str">
        <f t="shared" si="2"/>
        <v>2024/9/3</v>
      </c>
      <c r="I1406" s="2" t="s">
        <v>1588</v>
      </c>
      <c r="J1406" s="2" t="str">
        <f t="shared" si="3"/>
        <v>Es Kopi Susu</v>
      </c>
      <c r="K1406" s="7">
        <f>if(RIGHT(I1406,5)="2 pcs",2,Data!I1406)</f>
        <v>1</v>
      </c>
      <c r="L1406" s="2" t="str">
        <f t="shared" si="4"/>
        <v>Tuesday</v>
      </c>
      <c r="M1406" s="2" t="str">
        <f t="shared" si="5"/>
        <v>3</v>
      </c>
      <c r="N1406" s="2">
        <f>VLOOKUP(L1406,'Data Info'!$A$1:$B$8,2,0)</f>
        <v>2</v>
      </c>
      <c r="O1406" s="2" t="str">
        <f>VLOOKUP(L1406,'Data Info'!$A$1:$C$8,3,0)</f>
        <v>Weekday</v>
      </c>
    </row>
    <row r="1407">
      <c r="A1407" s="4">
        <v>45538.60902777778</v>
      </c>
      <c r="B1407" s="9">
        <f>IFERROR(__xludf.DUMMYFUNCTION("SPLIT(A1407,"" "")"),45538.0)</f>
        <v>45538</v>
      </c>
      <c r="C1407" s="10">
        <f>IFERROR(__xludf.DUMMYFUNCTION("""COMPUTED_VALUE"""),0.6090277777777777)</f>
        <v>0.6090277778</v>
      </c>
      <c r="D1407" s="2">
        <f t="shared" si="1"/>
        <v>14</v>
      </c>
      <c r="E1407" s="2">
        <f>IFERROR(__xludf.DUMMYFUNCTION("SPLIT(B1407,""/"")"),3.0)</f>
        <v>3</v>
      </c>
      <c r="F1407" s="2">
        <f>IFERROR(__xludf.DUMMYFUNCTION("""COMPUTED_VALUE"""),9.0)</f>
        <v>9</v>
      </c>
      <c r="G1407" s="2">
        <f>IFERROR(__xludf.DUMMYFUNCTION("""COMPUTED_VALUE"""),2024.0)</f>
        <v>2024</v>
      </c>
      <c r="H1407" s="2" t="str">
        <f t="shared" si="2"/>
        <v>2024/9/3</v>
      </c>
      <c r="I1407" s="2" t="s">
        <v>1576</v>
      </c>
      <c r="J1407" s="2" t="str">
        <f t="shared" si="3"/>
        <v>Roti Cranberry</v>
      </c>
      <c r="K1407" s="7">
        <f>if(RIGHT(I1407,5)="2 pcs",2,Data!I1407)</f>
        <v>1</v>
      </c>
      <c r="L1407" s="2" t="str">
        <f t="shared" si="4"/>
        <v>Tuesday</v>
      </c>
      <c r="M1407" s="2" t="str">
        <f t="shared" si="5"/>
        <v>3</v>
      </c>
      <c r="N1407" s="2">
        <f>VLOOKUP(L1407,'Data Info'!$A$1:$B$8,2,0)</f>
        <v>2</v>
      </c>
      <c r="O1407" s="2" t="str">
        <f>VLOOKUP(L1407,'Data Info'!$A$1:$C$8,3,0)</f>
        <v>Weekday</v>
      </c>
    </row>
    <row r="1408">
      <c r="A1408" s="4">
        <v>45538.59305555555</v>
      </c>
      <c r="B1408" s="9">
        <f>IFERROR(__xludf.DUMMYFUNCTION("SPLIT(A1408,"" "")"),45538.0)</f>
        <v>45538</v>
      </c>
      <c r="C1408" s="10">
        <f>IFERROR(__xludf.DUMMYFUNCTION("""COMPUTED_VALUE"""),0.5930555555555556)</f>
        <v>0.5930555556</v>
      </c>
      <c r="D1408" s="2">
        <f t="shared" si="1"/>
        <v>14</v>
      </c>
      <c r="E1408" s="2">
        <f>IFERROR(__xludf.DUMMYFUNCTION("SPLIT(B1408,""/"")"),3.0)</f>
        <v>3</v>
      </c>
      <c r="F1408" s="2">
        <f>IFERROR(__xludf.DUMMYFUNCTION("""COMPUTED_VALUE"""),9.0)</f>
        <v>9</v>
      </c>
      <c r="G1408" s="2">
        <f>IFERROR(__xludf.DUMMYFUNCTION("""COMPUTED_VALUE"""),2024.0)</f>
        <v>2024</v>
      </c>
      <c r="H1408" s="2" t="str">
        <f t="shared" si="2"/>
        <v>2024/9/3</v>
      </c>
      <c r="I1408" s="2" t="s">
        <v>1588</v>
      </c>
      <c r="J1408" s="2" t="str">
        <f t="shared" si="3"/>
        <v>Es Kopi Susu</v>
      </c>
      <c r="K1408" s="7">
        <f>if(RIGHT(I1408,5)="2 pcs",2,Data!I1408)</f>
        <v>1</v>
      </c>
      <c r="L1408" s="2" t="str">
        <f t="shared" si="4"/>
        <v>Tuesday</v>
      </c>
      <c r="M1408" s="2" t="str">
        <f t="shared" si="5"/>
        <v>3</v>
      </c>
      <c r="N1408" s="2">
        <f>VLOOKUP(L1408,'Data Info'!$A$1:$B$8,2,0)</f>
        <v>2</v>
      </c>
      <c r="O1408" s="2" t="str">
        <f>VLOOKUP(L1408,'Data Info'!$A$1:$C$8,3,0)</f>
        <v>Weekday</v>
      </c>
    </row>
    <row r="1409">
      <c r="A1409" s="4">
        <v>45538.58472222222</v>
      </c>
      <c r="B1409" s="9">
        <f>IFERROR(__xludf.DUMMYFUNCTION("SPLIT(A1409,"" "")"),45538.0)</f>
        <v>45538</v>
      </c>
      <c r="C1409" s="10">
        <f>IFERROR(__xludf.DUMMYFUNCTION("""COMPUTED_VALUE"""),0.5847222222222223)</f>
        <v>0.5847222222</v>
      </c>
      <c r="D1409" s="2">
        <f t="shared" si="1"/>
        <v>14</v>
      </c>
      <c r="E1409" s="2">
        <f>IFERROR(__xludf.DUMMYFUNCTION("SPLIT(B1409,""/"")"),3.0)</f>
        <v>3</v>
      </c>
      <c r="F1409" s="2">
        <f>IFERROR(__xludf.DUMMYFUNCTION("""COMPUTED_VALUE"""),9.0)</f>
        <v>9</v>
      </c>
      <c r="G1409" s="2">
        <f>IFERROR(__xludf.DUMMYFUNCTION("""COMPUTED_VALUE"""),2024.0)</f>
        <v>2024</v>
      </c>
      <c r="H1409" s="2" t="str">
        <f t="shared" si="2"/>
        <v>2024/9/3</v>
      </c>
      <c r="I1409" s="2" t="s">
        <v>1609</v>
      </c>
      <c r="J1409" s="2" t="str">
        <f t="shared" si="3"/>
        <v>Tempe Mendoan</v>
      </c>
      <c r="K1409" s="7">
        <f>if(RIGHT(I1409,5)="2 pcs",2,Data!I1409)</f>
        <v>1</v>
      </c>
      <c r="L1409" s="2" t="str">
        <f t="shared" si="4"/>
        <v>Tuesday</v>
      </c>
      <c r="M1409" s="2" t="str">
        <f t="shared" si="5"/>
        <v>3</v>
      </c>
      <c r="N1409" s="2">
        <f>VLOOKUP(L1409,'Data Info'!$A$1:$B$8,2,0)</f>
        <v>2</v>
      </c>
      <c r="O1409" s="2" t="str">
        <f>VLOOKUP(L1409,'Data Info'!$A$1:$C$8,3,0)</f>
        <v>Weekday</v>
      </c>
    </row>
    <row r="1410">
      <c r="A1410" s="4">
        <v>45538.57013888889</v>
      </c>
      <c r="B1410" s="9">
        <f>IFERROR(__xludf.DUMMYFUNCTION("SPLIT(A1410,"" "")"),45538.0)</f>
        <v>45538</v>
      </c>
      <c r="C1410" s="10">
        <f>IFERROR(__xludf.DUMMYFUNCTION("""COMPUTED_VALUE"""),0.5701388888888889)</f>
        <v>0.5701388889</v>
      </c>
      <c r="D1410" s="2">
        <f t="shared" si="1"/>
        <v>13</v>
      </c>
      <c r="E1410" s="2">
        <f>IFERROR(__xludf.DUMMYFUNCTION("SPLIT(B1410,""/"")"),3.0)</f>
        <v>3</v>
      </c>
      <c r="F1410" s="2">
        <f>IFERROR(__xludf.DUMMYFUNCTION("""COMPUTED_VALUE"""),9.0)</f>
        <v>9</v>
      </c>
      <c r="G1410" s="2">
        <f>IFERROR(__xludf.DUMMYFUNCTION("""COMPUTED_VALUE"""),2024.0)</f>
        <v>2024</v>
      </c>
      <c r="H1410" s="2" t="str">
        <f t="shared" si="2"/>
        <v>2024/9/3</v>
      </c>
      <c r="I1410" s="2" t="s">
        <v>1616</v>
      </c>
      <c r="J1410" s="2" t="str">
        <f t="shared" si="3"/>
        <v>Roti panggang coklat</v>
      </c>
      <c r="K1410" s="7">
        <f>if(RIGHT(I1410,5)="2 pcs",2,Data!I1410)</f>
        <v>1</v>
      </c>
      <c r="L1410" s="2" t="str">
        <f t="shared" si="4"/>
        <v>Tuesday</v>
      </c>
      <c r="M1410" s="2" t="str">
        <f t="shared" si="5"/>
        <v>3</v>
      </c>
      <c r="N1410" s="2">
        <f>VLOOKUP(L1410,'Data Info'!$A$1:$B$8,2,0)</f>
        <v>2</v>
      </c>
      <c r="O1410" s="2" t="str">
        <f>VLOOKUP(L1410,'Data Info'!$A$1:$C$8,3,0)</f>
        <v>Weekday</v>
      </c>
    </row>
    <row r="1411">
      <c r="A1411" s="4">
        <v>45538.57013888889</v>
      </c>
      <c r="B1411" s="9">
        <f>IFERROR(__xludf.DUMMYFUNCTION("SPLIT(A1411,"" "")"),45538.0)</f>
        <v>45538</v>
      </c>
      <c r="C1411" s="10">
        <f>IFERROR(__xludf.DUMMYFUNCTION("""COMPUTED_VALUE"""),0.5701388888888889)</f>
        <v>0.5701388889</v>
      </c>
      <c r="D1411" s="2">
        <f t="shared" si="1"/>
        <v>13</v>
      </c>
      <c r="E1411" s="2">
        <f>IFERROR(__xludf.DUMMYFUNCTION("SPLIT(B1411,""/"")"),3.0)</f>
        <v>3</v>
      </c>
      <c r="F1411" s="2">
        <f>IFERROR(__xludf.DUMMYFUNCTION("""COMPUTED_VALUE"""),9.0)</f>
        <v>9</v>
      </c>
      <c r="G1411" s="2">
        <f>IFERROR(__xludf.DUMMYFUNCTION("""COMPUTED_VALUE"""),2024.0)</f>
        <v>2024</v>
      </c>
      <c r="H1411" s="2" t="str">
        <f t="shared" si="2"/>
        <v>2024/9/3</v>
      </c>
      <c r="I1411" s="2" t="s">
        <v>1601</v>
      </c>
      <c r="J1411" s="2" t="str">
        <f t="shared" si="3"/>
        <v>Gula Asam Dingin</v>
      </c>
      <c r="K1411" s="7">
        <f>if(RIGHT(I1411,5)="2 pcs",2,Data!I1411)</f>
        <v>1</v>
      </c>
      <c r="L1411" s="2" t="str">
        <f t="shared" si="4"/>
        <v>Tuesday</v>
      </c>
      <c r="M1411" s="2" t="str">
        <f t="shared" si="5"/>
        <v>3</v>
      </c>
      <c r="N1411" s="2">
        <f>VLOOKUP(L1411,'Data Info'!$A$1:$B$8,2,0)</f>
        <v>2</v>
      </c>
      <c r="O1411" s="2" t="str">
        <f>VLOOKUP(L1411,'Data Info'!$A$1:$C$8,3,0)</f>
        <v>Weekday</v>
      </c>
    </row>
    <row r="1412">
      <c r="A1412" s="4">
        <v>45538.54652777778</v>
      </c>
      <c r="B1412" s="9">
        <f>IFERROR(__xludf.DUMMYFUNCTION("SPLIT(A1412,"" "")"),45538.0)</f>
        <v>45538</v>
      </c>
      <c r="C1412" s="10">
        <f>IFERROR(__xludf.DUMMYFUNCTION("""COMPUTED_VALUE"""),0.5465277777777777)</f>
        <v>0.5465277778</v>
      </c>
      <c r="D1412" s="2">
        <f t="shared" si="1"/>
        <v>13</v>
      </c>
      <c r="E1412" s="2">
        <f>IFERROR(__xludf.DUMMYFUNCTION("SPLIT(B1412,""/"")"),3.0)</f>
        <v>3</v>
      </c>
      <c r="F1412" s="2">
        <f>IFERROR(__xludf.DUMMYFUNCTION("""COMPUTED_VALUE"""),9.0)</f>
        <v>9</v>
      </c>
      <c r="G1412" s="2">
        <f>IFERROR(__xludf.DUMMYFUNCTION("""COMPUTED_VALUE"""),2024.0)</f>
        <v>2024</v>
      </c>
      <c r="H1412" s="2" t="str">
        <f t="shared" si="2"/>
        <v>2024/9/3</v>
      </c>
      <c r="I1412" s="2" t="s">
        <v>1588</v>
      </c>
      <c r="J1412" s="2" t="str">
        <f t="shared" si="3"/>
        <v>Es Kopi Susu</v>
      </c>
      <c r="K1412" s="7">
        <f>if(RIGHT(I1412,5)="2 pcs",2,Data!I1412)</f>
        <v>1</v>
      </c>
      <c r="L1412" s="2" t="str">
        <f t="shared" si="4"/>
        <v>Tuesday</v>
      </c>
      <c r="M1412" s="2" t="str">
        <f t="shared" si="5"/>
        <v>3</v>
      </c>
      <c r="N1412" s="2">
        <f>VLOOKUP(L1412,'Data Info'!$A$1:$B$8,2,0)</f>
        <v>2</v>
      </c>
      <c r="O1412" s="2" t="str">
        <f>VLOOKUP(L1412,'Data Info'!$A$1:$C$8,3,0)</f>
        <v>Weekday</v>
      </c>
    </row>
    <row r="1413">
      <c r="A1413" s="4">
        <v>45538.54583333333</v>
      </c>
      <c r="B1413" s="9">
        <f>IFERROR(__xludf.DUMMYFUNCTION("SPLIT(A1413,"" "")"),45538.0)</f>
        <v>45538</v>
      </c>
      <c r="C1413" s="10">
        <f>IFERROR(__xludf.DUMMYFUNCTION("""COMPUTED_VALUE"""),0.5458333333333333)</f>
        <v>0.5458333333</v>
      </c>
      <c r="D1413" s="2">
        <f t="shared" si="1"/>
        <v>13</v>
      </c>
      <c r="E1413" s="2">
        <f>IFERROR(__xludf.DUMMYFUNCTION("SPLIT(B1413,""/"")"),3.0)</f>
        <v>3</v>
      </c>
      <c r="F1413" s="2">
        <f>IFERROR(__xludf.DUMMYFUNCTION("""COMPUTED_VALUE"""),9.0)</f>
        <v>9</v>
      </c>
      <c r="G1413" s="2">
        <f>IFERROR(__xludf.DUMMYFUNCTION("""COMPUTED_VALUE"""),2024.0)</f>
        <v>2024</v>
      </c>
      <c r="H1413" s="2" t="str">
        <f t="shared" si="2"/>
        <v>2024/9/3</v>
      </c>
      <c r="I1413" s="2" t="s">
        <v>1588</v>
      </c>
      <c r="J1413" s="2" t="str">
        <f t="shared" si="3"/>
        <v>Es Kopi Susu</v>
      </c>
      <c r="K1413" s="7">
        <f>if(RIGHT(I1413,5)="2 pcs",2,Data!I1413)</f>
        <v>1</v>
      </c>
      <c r="L1413" s="2" t="str">
        <f t="shared" si="4"/>
        <v>Tuesday</v>
      </c>
      <c r="M1413" s="2" t="str">
        <f t="shared" si="5"/>
        <v>3</v>
      </c>
      <c r="N1413" s="2">
        <f>VLOOKUP(L1413,'Data Info'!$A$1:$B$8,2,0)</f>
        <v>2</v>
      </c>
      <c r="O1413" s="2" t="str">
        <f>VLOOKUP(L1413,'Data Info'!$A$1:$C$8,3,0)</f>
        <v>Weekday</v>
      </c>
    </row>
    <row r="1414">
      <c r="A1414" s="4">
        <v>45538.54583333333</v>
      </c>
      <c r="B1414" s="9">
        <f>IFERROR(__xludf.DUMMYFUNCTION("SPLIT(A1414,"" "")"),45538.0)</f>
        <v>45538</v>
      </c>
      <c r="C1414" s="10">
        <f>IFERROR(__xludf.DUMMYFUNCTION("""COMPUTED_VALUE"""),0.5458333333333333)</f>
        <v>0.5458333333</v>
      </c>
      <c r="D1414" s="2">
        <f t="shared" si="1"/>
        <v>13</v>
      </c>
      <c r="E1414" s="2">
        <f>IFERROR(__xludf.DUMMYFUNCTION("SPLIT(B1414,""/"")"),3.0)</f>
        <v>3</v>
      </c>
      <c r="F1414" s="2">
        <f>IFERROR(__xludf.DUMMYFUNCTION("""COMPUTED_VALUE"""),9.0)</f>
        <v>9</v>
      </c>
      <c r="G1414" s="2">
        <f>IFERROR(__xludf.DUMMYFUNCTION("""COMPUTED_VALUE"""),2024.0)</f>
        <v>2024</v>
      </c>
      <c r="H1414" s="2" t="str">
        <f t="shared" si="2"/>
        <v>2024/9/3</v>
      </c>
      <c r="I1414" s="2" t="s">
        <v>1608</v>
      </c>
      <c r="J1414" s="2" t="str">
        <f t="shared" si="3"/>
        <v>Susu murni strawberry</v>
      </c>
      <c r="K1414" s="7">
        <f>if(RIGHT(I1414,5)="2 pcs",2,Data!I1414)</f>
        <v>1</v>
      </c>
      <c r="L1414" s="2" t="str">
        <f t="shared" si="4"/>
        <v>Tuesday</v>
      </c>
      <c r="M1414" s="2" t="str">
        <f t="shared" si="5"/>
        <v>3</v>
      </c>
      <c r="N1414" s="2">
        <f>VLOOKUP(L1414,'Data Info'!$A$1:$B$8,2,0)</f>
        <v>2</v>
      </c>
      <c r="O1414" s="2" t="str">
        <f>VLOOKUP(L1414,'Data Info'!$A$1:$C$8,3,0)</f>
        <v>Weekday</v>
      </c>
    </row>
    <row r="1415">
      <c r="A1415" s="4">
        <v>45538.54583333333</v>
      </c>
      <c r="B1415" s="9">
        <f>IFERROR(__xludf.DUMMYFUNCTION("SPLIT(A1415,"" "")"),45538.0)</f>
        <v>45538</v>
      </c>
      <c r="C1415" s="10">
        <f>IFERROR(__xludf.DUMMYFUNCTION("""COMPUTED_VALUE"""),0.5458333333333333)</f>
        <v>0.5458333333</v>
      </c>
      <c r="D1415" s="2">
        <f t="shared" si="1"/>
        <v>13</v>
      </c>
      <c r="E1415" s="2">
        <f>IFERROR(__xludf.DUMMYFUNCTION("SPLIT(B1415,""/"")"),3.0)</f>
        <v>3</v>
      </c>
      <c r="F1415" s="2">
        <f>IFERROR(__xludf.DUMMYFUNCTION("""COMPUTED_VALUE"""),9.0)</f>
        <v>9</v>
      </c>
      <c r="G1415" s="2">
        <f>IFERROR(__xludf.DUMMYFUNCTION("""COMPUTED_VALUE"""),2024.0)</f>
        <v>2024</v>
      </c>
      <c r="H1415" s="2" t="str">
        <f t="shared" si="2"/>
        <v>2024/9/3</v>
      </c>
      <c r="I1415" s="2" t="s">
        <v>1587</v>
      </c>
      <c r="J1415" s="2" t="str">
        <f t="shared" si="3"/>
        <v>Tahu Lada Garam</v>
      </c>
      <c r="K1415" s="7">
        <f>if(RIGHT(I1415,5)="2 pcs",2,Data!I1415)</f>
        <v>1</v>
      </c>
      <c r="L1415" s="2" t="str">
        <f t="shared" si="4"/>
        <v>Tuesday</v>
      </c>
      <c r="M1415" s="2" t="str">
        <f t="shared" si="5"/>
        <v>3</v>
      </c>
      <c r="N1415" s="2">
        <f>VLOOKUP(L1415,'Data Info'!$A$1:$B$8,2,0)</f>
        <v>2</v>
      </c>
      <c r="O1415" s="2" t="str">
        <f>VLOOKUP(L1415,'Data Info'!$A$1:$C$8,3,0)</f>
        <v>Weekday</v>
      </c>
    </row>
    <row r="1416">
      <c r="A1416" s="4">
        <v>45538.54583333333</v>
      </c>
      <c r="B1416" s="9">
        <f>IFERROR(__xludf.DUMMYFUNCTION("SPLIT(A1416,"" "")"),45538.0)</f>
        <v>45538</v>
      </c>
      <c r="C1416" s="10">
        <f>IFERROR(__xludf.DUMMYFUNCTION("""COMPUTED_VALUE"""),0.5458333333333333)</f>
        <v>0.5458333333</v>
      </c>
      <c r="D1416" s="2">
        <f t="shared" si="1"/>
        <v>13</v>
      </c>
      <c r="E1416" s="2">
        <f>IFERROR(__xludf.DUMMYFUNCTION("SPLIT(B1416,""/"")"),3.0)</f>
        <v>3</v>
      </c>
      <c r="F1416" s="2">
        <f>IFERROR(__xludf.DUMMYFUNCTION("""COMPUTED_VALUE"""),9.0)</f>
        <v>9</v>
      </c>
      <c r="G1416" s="2">
        <f>IFERROR(__xludf.DUMMYFUNCTION("""COMPUTED_VALUE"""),2024.0)</f>
        <v>2024</v>
      </c>
      <c r="H1416" s="2" t="str">
        <f t="shared" si="2"/>
        <v>2024/9/3</v>
      </c>
      <c r="I1416" s="2" t="s">
        <v>1603</v>
      </c>
      <c r="J1416" s="2" t="str">
        <f t="shared" si="3"/>
        <v>Nasi Goreng Temu</v>
      </c>
      <c r="K1416" s="7">
        <f>if(RIGHT(I1416,5)="2 pcs",2,Data!I1416)</f>
        <v>1</v>
      </c>
      <c r="L1416" s="2" t="str">
        <f t="shared" si="4"/>
        <v>Tuesday</v>
      </c>
      <c r="M1416" s="2" t="str">
        <f t="shared" si="5"/>
        <v>3</v>
      </c>
      <c r="N1416" s="2">
        <f>VLOOKUP(L1416,'Data Info'!$A$1:$B$8,2,0)</f>
        <v>2</v>
      </c>
      <c r="O1416" s="2" t="str">
        <f>VLOOKUP(L1416,'Data Info'!$A$1:$C$8,3,0)</f>
        <v>Weekday</v>
      </c>
    </row>
    <row r="1417">
      <c r="A1417" s="4">
        <v>45538.52291666667</v>
      </c>
      <c r="B1417" s="9">
        <f>IFERROR(__xludf.DUMMYFUNCTION("SPLIT(A1417,"" "")"),45538.0)</f>
        <v>45538</v>
      </c>
      <c r="C1417" s="10">
        <f>IFERROR(__xludf.DUMMYFUNCTION("""COMPUTED_VALUE"""),0.5229166666666667)</f>
        <v>0.5229166667</v>
      </c>
      <c r="D1417" s="2">
        <f t="shared" si="1"/>
        <v>12</v>
      </c>
      <c r="E1417" s="2">
        <f>IFERROR(__xludf.DUMMYFUNCTION("SPLIT(B1417,""/"")"),3.0)</f>
        <v>3</v>
      </c>
      <c r="F1417" s="2">
        <f>IFERROR(__xludf.DUMMYFUNCTION("""COMPUTED_VALUE"""),9.0)</f>
        <v>9</v>
      </c>
      <c r="G1417" s="2">
        <f>IFERROR(__xludf.DUMMYFUNCTION("""COMPUTED_VALUE"""),2024.0)</f>
        <v>2024</v>
      </c>
      <c r="H1417" s="2" t="str">
        <f t="shared" si="2"/>
        <v>2024/9/3</v>
      </c>
      <c r="I1417" s="2" t="s">
        <v>1579</v>
      </c>
      <c r="J1417" s="2" t="str">
        <f t="shared" si="3"/>
        <v>Tahu baso</v>
      </c>
      <c r="K1417" s="7">
        <f>if(RIGHT(I1417,5)="2 pcs",2,Data!I1417)</f>
        <v>1</v>
      </c>
      <c r="L1417" s="2" t="str">
        <f t="shared" si="4"/>
        <v>Tuesday</v>
      </c>
      <c r="M1417" s="2" t="str">
        <f t="shared" si="5"/>
        <v>3</v>
      </c>
      <c r="N1417" s="2">
        <f>VLOOKUP(L1417,'Data Info'!$A$1:$B$8,2,0)</f>
        <v>2</v>
      </c>
      <c r="O1417" s="2" t="str">
        <f>VLOOKUP(L1417,'Data Info'!$A$1:$C$8,3,0)</f>
        <v>Weekday</v>
      </c>
    </row>
    <row r="1418">
      <c r="A1418" s="4">
        <v>45538.52291666667</v>
      </c>
      <c r="B1418" s="9">
        <f>IFERROR(__xludf.DUMMYFUNCTION("SPLIT(A1418,"" "")"),45538.0)</f>
        <v>45538</v>
      </c>
      <c r="C1418" s="10">
        <f>IFERROR(__xludf.DUMMYFUNCTION("""COMPUTED_VALUE"""),0.5229166666666667)</f>
        <v>0.5229166667</v>
      </c>
      <c r="D1418" s="2">
        <f t="shared" si="1"/>
        <v>12</v>
      </c>
      <c r="E1418" s="2">
        <f>IFERROR(__xludf.DUMMYFUNCTION("SPLIT(B1418,""/"")"),3.0)</f>
        <v>3</v>
      </c>
      <c r="F1418" s="2">
        <f>IFERROR(__xludf.DUMMYFUNCTION("""COMPUTED_VALUE"""),9.0)</f>
        <v>9</v>
      </c>
      <c r="G1418" s="2">
        <f>IFERROR(__xludf.DUMMYFUNCTION("""COMPUTED_VALUE"""),2024.0)</f>
        <v>2024</v>
      </c>
      <c r="H1418" s="2" t="str">
        <f t="shared" si="2"/>
        <v>2024/9/3</v>
      </c>
      <c r="I1418" s="2" t="s">
        <v>1573</v>
      </c>
      <c r="J1418" s="2" t="str">
        <f t="shared" si="3"/>
        <v>Air mineral</v>
      </c>
      <c r="K1418" s="7">
        <f>if(RIGHT(I1418,5)="2 pcs",2,Data!I1418)</f>
        <v>1</v>
      </c>
      <c r="L1418" s="2" t="str">
        <f t="shared" si="4"/>
        <v>Tuesday</v>
      </c>
      <c r="M1418" s="2" t="str">
        <f t="shared" si="5"/>
        <v>3</v>
      </c>
      <c r="N1418" s="2">
        <f>VLOOKUP(L1418,'Data Info'!$A$1:$B$8,2,0)</f>
        <v>2</v>
      </c>
      <c r="O1418" s="2" t="str">
        <f>VLOOKUP(L1418,'Data Info'!$A$1:$C$8,3,0)</f>
        <v>Weekday</v>
      </c>
    </row>
    <row r="1419">
      <c r="A1419" s="4">
        <v>45538.50486111111</v>
      </c>
      <c r="B1419" s="9">
        <f>IFERROR(__xludf.DUMMYFUNCTION("SPLIT(A1419,"" "")"),45538.0)</f>
        <v>45538</v>
      </c>
      <c r="C1419" s="10">
        <f>IFERROR(__xludf.DUMMYFUNCTION("""COMPUTED_VALUE"""),0.5048611111111111)</f>
        <v>0.5048611111</v>
      </c>
      <c r="D1419" s="2">
        <f t="shared" si="1"/>
        <v>12</v>
      </c>
      <c r="E1419" s="2">
        <f>IFERROR(__xludf.DUMMYFUNCTION("SPLIT(B1419,""/"")"),3.0)</f>
        <v>3</v>
      </c>
      <c r="F1419" s="2">
        <f>IFERROR(__xludf.DUMMYFUNCTION("""COMPUTED_VALUE"""),9.0)</f>
        <v>9</v>
      </c>
      <c r="G1419" s="2">
        <f>IFERROR(__xludf.DUMMYFUNCTION("""COMPUTED_VALUE"""),2024.0)</f>
        <v>2024</v>
      </c>
      <c r="H1419" s="2" t="str">
        <f t="shared" si="2"/>
        <v>2024/9/3</v>
      </c>
      <c r="I1419" s="2" t="s">
        <v>1573</v>
      </c>
      <c r="J1419" s="2" t="str">
        <f t="shared" si="3"/>
        <v>Air mineral</v>
      </c>
      <c r="K1419" s="7">
        <f>if(RIGHT(I1419,5)="2 pcs",2,Data!I1419)</f>
        <v>1</v>
      </c>
      <c r="L1419" s="2" t="str">
        <f t="shared" si="4"/>
        <v>Tuesday</v>
      </c>
      <c r="M1419" s="2" t="str">
        <f t="shared" si="5"/>
        <v>3</v>
      </c>
      <c r="N1419" s="2">
        <f>VLOOKUP(L1419,'Data Info'!$A$1:$B$8,2,0)</f>
        <v>2</v>
      </c>
      <c r="O1419" s="2" t="str">
        <f>VLOOKUP(L1419,'Data Info'!$A$1:$C$8,3,0)</f>
        <v>Weekday</v>
      </c>
    </row>
    <row r="1420">
      <c r="A1420" s="4">
        <v>45538.50486111111</v>
      </c>
      <c r="B1420" s="9">
        <f>IFERROR(__xludf.DUMMYFUNCTION("SPLIT(A1420,"" "")"),45538.0)</f>
        <v>45538</v>
      </c>
      <c r="C1420" s="10">
        <f>IFERROR(__xludf.DUMMYFUNCTION("""COMPUTED_VALUE"""),0.5048611111111111)</f>
        <v>0.5048611111</v>
      </c>
      <c r="D1420" s="2">
        <f t="shared" si="1"/>
        <v>12</v>
      </c>
      <c r="E1420" s="2">
        <f>IFERROR(__xludf.DUMMYFUNCTION("SPLIT(B1420,""/"")"),3.0)</f>
        <v>3</v>
      </c>
      <c r="F1420" s="2">
        <f>IFERROR(__xludf.DUMMYFUNCTION("""COMPUTED_VALUE"""),9.0)</f>
        <v>9</v>
      </c>
      <c r="G1420" s="2">
        <f>IFERROR(__xludf.DUMMYFUNCTION("""COMPUTED_VALUE"""),2024.0)</f>
        <v>2024</v>
      </c>
      <c r="H1420" s="2" t="str">
        <f t="shared" si="2"/>
        <v>2024/9/3</v>
      </c>
      <c r="I1420" s="2" t="s">
        <v>1602</v>
      </c>
      <c r="J1420" s="2" t="str">
        <f t="shared" si="3"/>
        <v>Mie joglo</v>
      </c>
      <c r="K1420" s="7">
        <f>if(RIGHT(I1420,5)="2 pcs",2,Data!I1420)</f>
        <v>1</v>
      </c>
      <c r="L1420" s="2" t="str">
        <f t="shared" si="4"/>
        <v>Tuesday</v>
      </c>
      <c r="M1420" s="2" t="str">
        <f t="shared" si="5"/>
        <v>3</v>
      </c>
      <c r="N1420" s="2">
        <f>VLOOKUP(L1420,'Data Info'!$A$1:$B$8,2,0)</f>
        <v>2</v>
      </c>
      <c r="O1420" s="2" t="str">
        <f>VLOOKUP(L1420,'Data Info'!$A$1:$C$8,3,0)</f>
        <v>Weekday</v>
      </c>
    </row>
    <row r="1421">
      <c r="A1421" s="4">
        <v>45538.46666666667</v>
      </c>
      <c r="B1421" s="9">
        <f>IFERROR(__xludf.DUMMYFUNCTION("SPLIT(A1421,"" "")"),45538.0)</f>
        <v>45538</v>
      </c>
      <c r="C1421" s="10">
        <f>IFERROR(__xludf.DUMMYFUNCTION("""COMPUTED_VALUE"""),0.4666666666666667)</f>
        <v>0.4666666667</v>
      </c>
      <c r="D1421" s="2">
        <f t="shared" si="1"/>
        <v>11</v>
      </c>
      <c r="E1421" s="2">
        <f>IFERROR(__xludf.DUMMYFUNCTION("SPLIT(B1421,""/"")"),3.0)</f>
        <v>3</v>
      </c>
      <c r="F1421" s="2">
        <f>IFERROR(__xludf.DUMMYFUNCTION("""COMPUTED_VALUE"""),9.0)</f>
        <v>9</v>
      </c>
      <c r="G1421" s="2">
        <f>IFERROR(__xludf.DUMMYFUNCTION("""COMPUTED_VALUE"""),2024.0)</f>
        <v>2024</v>
      </c>
      <c r="H1421" s="2" t="str">
        <f t="shared" si="2"/>
        <v>2024/9/3</v>
      </c>
      <c r="I1421" s="2" t="s">
        <v>1576</v>
      </c>
      <c r="J1421" s="2" t="str">
        <f t="shared" si="3"/>
        <v>Roti Cranberry</v>
      </c>
      <c r="K1421" s="7">
        <f>if(RIGHT(I1421,5)="2 pcs",2,Data!I1421)</f>
        <v>1</v>
      </c>
      <c r="L1421" s="2" t="str">
        <f t="shared" si="4"/>
        <v>Tuesday</v>
      </c>
      <c r="M1421" s="2" t="str">
        <f t="shared" si="5"/>
        <v>3</v>
      </c>
      <c r="N1421" s="2">
        <f>VLOOKUP(L1421,'Data Info'!$A$1:$B$8,2,0)</f>
        <v>2</v>
      </c>
      <c r="O1421" s="2" t="str">
        <f>VLOOKUP(L1421,'Data Info'!$A$1:$C$8,3,0)</f>
        <v>Weekday</v>
      </c>
    </row>
    <row r="1422">
      <c r="A1422" s="4">
        <v>45538.46666666667</v>
      </c>
      <c r="B1422" s="9">
        <f>IFERROR(__xludf.DUMMYFUNCTION("SPLIT(A1422,"" "")"),45538.0)</f>
        <v>45538</v>
      </c>
      <c r="C1422" s="10">
        <f>IFERROR(__xludf.DUMMYFUNCTION("""COMPUTED_VALUE"""),0.4666666666666667)</f>
        <v>0.4666666667</v>
      </c>
      <c r="D1422" s="2">
        <f t="shared" si="1"/>
        <v>11</v>
      </c>
      <c r="E1422" s="2">
        <f>IFERROR(__xludf.DUMMYFUNCTION("SPLIT(B1422,""/"")"),3.0)</f>
        <v>3</v>
      </c>
      <c r="F1422" s="2">
        <f>IFERROR(__xludf.DUMMYFUNCTION("""COMPUTED_VALUE"""),9.0)</f>
        <v>9</v>
      </c>
      <c r="G1422" s="2">
        <f>IFERROR(__xludf.DUMMYFUNCTION("""COMPUTED_VALUE"""),2024.0)</f>
        <v>2024</v>
      </c>
      <c r="H1422" s="2" t="str">
        <f t="shared" si="2"/>
        <v>2024/9/3</v>
      </c>
      <c r="I1422" s="2" t="s">
        <v>1604</v>
      </c>
      <c r="J1422" s="2" t="str">
        <f t="shared" si="3"/>
        <v>Teh Tawar Panas</v>
      </c>
      <c r="K1422" s="7">
        <f>if(RIGHT(I1422,5)="2 pcs",2,Data!I1422)</f>
        <v>1</v>
      </c>
      <c r="L1422" s="2" t="str">
        <f t="shared" si="4"/>
        <v>Tuesday</v>
      </c>
      <c r="M1422" s="2" t="str">
        <f t="shared" si="5"/>
        <v>3</v>
      </c>
      <c r="N1422" s="2">
        <f>VLOOKUP(L1422,'Data Info'!$A$1:$B$8,2,0)</f>
        <v>2</v>
      </c>
      <c r="O1422" s="2" t="str">
        <f>VLOOKUP(L1422,'Data Info'!$A$1:$C$8,3,0)</f>
        <v>Weekday</v>
      </c>
    </row>
    <row r="1423">
      <c r="A1423" s="4">
        <v>45538.46666666667</v>
      </c>
      <c r="B1423" s="9">
        <f>IFERROR(__xludf.DUMMYFUNCTION("SPLIT(A1423,"" "")"),45538.0)</f>
        <v>45538</v>
      </c>
      <c r="C1423" s="10">
        <f>IFERROR(__xludf.DUMMYFUNCTION("""COMPUTED_VALUE"""),0.4666666666666667)</f>
        <v>0.4666666667</v>
      </c>
      <c r="D1423" s="2">
        <f t="shared" si="1"/>
        <v>11</v>
      </c>
      <c r="E1423" s="2">
        <f>IFERROR(__xludf.DUMMYFUNCTION("SPLIT(B1423,""/"")"),3.0)</f>
        <v>3</v>
      </c>
      <c r="F1423" s="2">
        <f>IFERROR(__xludf.DUMMYFUNCTION("""COMPUTED_VALUE"""),9.0)</f>
        <v>9</v>
      </c>
      <c r="G1423" s="2">
        <f>IFERROR(__xludf.DUMMYFUNCTION("""COMPUTED_VALUE"""),2024.0)</f>
        <v>2024</v>
      </c>
      <c r="H1423" s="2" t="str">
        <f t="shared" si="2"/>
        <v>2024/9/3</v>
      </c>
      <c r="I1423" s="2" t="s">
        <v>1596</v>
      </c>
      <c r="J1423" s="2" t="str">
        <f t="shared" si="3"/>
        <v>Roti Cranberry</v>
      </c>
      <c r="K1423" s="7">
        <f>if(RIGHT(I1423,5)="2 pcs",2,Data!I1423)</f>
        <v>2</v>
      </c>
      <c r="L1423" s="2" t="str">
        <f t="shared" si="4"/>
        <v>Tuesday</v>
      </c>
      <c r="M1423" s="2" t="str">
        <f t="shared" si="5"/>
        <v>3</v>
      </c>
      <c r="N1423" s="2">
        <f>VLOOKUP(L1423,'Data Info'!$A$1:$B$8,2,0)</f>
        <v>2</v>
      </c>
      <c r="O1423" s="2" t="str">
        <f>VLOOKUP(L1423,'Data Info'!$A$1:$C$8,3,0)</f>
        <v>Weekday</v>
      </c>
    </row>
    <row r="1424">
      <c r="A1424" s="4">
        <v>45538.46666666667</v>
      </c>
      <c r="B1424" s="9">
        <f>IFERROR(__xludf.DUMMYFUNCTION("SPLIT(A1424,"" "")"),45538.0)</f>
        <v>45538</v>
      </c>
      <c r="C1424" s="10">
        <f>IFERROR(__xludf.DUMMYFUNCTION("""COMPUTED_VALUE"""),0.4666666666666667)</f>
        <v>0.4666666667</v>
      </c>
      <c r="D1424" s="2">
        <f t="shared" si="1"/>
        <v>11</v>
      </c>
      <c r="E1424" s="2">
        <f>IFERROR(__xludf.DUMMYFUNCTION("SPLIT(B1424,""/"")"),3.0)</f>
        <v>3</v>
      </c>
      <c r="F1424" s="2">
        <f>IFERROR(__xludf.DUMMYFUNCTION("""COMPUTED_VALUE"""),9.0)</f>
        <v>9</v>
      </c>
      <c r="G1424" s="2">
        <f>IFERROR(__xludf.DUMMYFUNCTION("""COMPUTED_VALUE"""),2024.0)</f>
        <v>2024</v>
      </c>
      <c r="H1424" s="2" t="str">
        <f t="shared" si="2"/>
        <v>2024/9/3</v>
      </c>
      <c r="I1424" s="2" t="s">
        <v>1597</v>
      </c>
      <c r="J1424" s="2" t="str">
        <f t="shared" si="3"/>
        <v>Roti Gandum Cokelat</v>
      </c>
      <c r="K1424" s="7">
        <f>if(RIGHT(I1424,5)="2 pcs",2,Data!I1424)</f>
        <v>2</v>
      </c>
      <c r="L1424" s="2" t="str">
        <f t="shared" si="4"/>
        <v>Tuesday</v>
      </c>
      <c r="M1424" s="2" t="str">
        <f t="shared" si="5"/>
        <v>3</v>
      </c>
      <c r="N1424" s="2">
        <f>VLOOKUP(L1424,'Data Info'!$A$1:$B$8,2,0)</f>
        <v>2</v>
      </c>
      <c r="O1424" s="2" t="str">
        <f>VLOOKUP(L1424,'Data Info'!$A$1:$C$8,3,0)</f>
        <v>Weekday</v>
      </c>
    </row>
    <row r="1425">
      <c r="A1425" s="4">
        <v>45538.46666666667</v>
      </c>
      <c r="B1425" s="9">
        <f>IFERROR(__xludf.DUMMYFUNCTION("SPLIT(A1425,"" "")"),45538.0)</f>
        <v>45538</v>
      </c>
      <c r="C1425" s="10">
        <f>IFERROR(__xludf.DUMMYFUNCTION("""COMPUTED_VALUE"""),0.4666666666666667)</f>
        <v>0.4666666667</v>
      </c>
      <c r="D1425" s="2">
        <f t="shared" si="1"/>
        <v>11</v>
      </c>
      <c r="E1425" s="2">
        <f>IFERROR(__xludf.DUMMYFUNCTION("SPLIT(B1425,""/"")"),3.0)</f>
        <v>3</v>
      </c>
      <c r="F1425" s="2">
        <f>IFERROR(__xludf.DUMMYFUNCTION("""COMPUTED_VALUE"""),9.0)</f>
        <v>9</v>
      </c>
      <c r="G1425" s="2">
        <f>IFERROR(__xludf.DUMMYFUNCTION("""COMPUTED_VALUE"""),2024.0)</f>
        <v>2024</v>
      </c>
      <c r="H1425" s="2" t="str">
        <f t="shared" si="2"/>
        <v>2024/9/3</v>
      </c>
      <c r="I1425" s="2" t="s">
        <v>1635</v>
      </c>
      <c r="J1425" s="2" t="str">
        <f t="shared" si="3"/>
        <v>Roti keju</v>
      </c>
      <c r="K1425" s="7">
        <f>if(RIGHT(I1425,5)="2 pcs",2,Data!I1425)</f>
        <v>1</v>
      </c>
      <c r="L1425" s="2" t="str">
        <f t="shared" si="4"/>
        <v>Tuesday</v>
      </c>
      <c r="M1425" s="2" t="str">
        <f t="shared" si="5"/>
        <v>3</v>
      </c>
      <c r="N1425" s="2">
        <f>VLOOKUP(L1425,'Data Info'!$A$1:$B$8,2,0)</f>
        <v>2</v>
      </c>
      <c r="O1425" s="2" t="str">
        <f>VLOOKUP(L1425,'Data Info'!$A$1:$C$8,3,0)</f>
        <v>Weekday</v>
      </c>
    </row>
    <row r="1426">
      <c r="A1426" s="4">
        <v>45538.447222222225</v>
      </c>
      <c r="B1426" s="9">
        <f>IFERROR(__xludf.DUMMYFUNCTION("SPLIT(A1426,"" "")"),45538.0)</f>
        <v>45538</v>
      </c>
      <c r="C1426" s="10">
        <f>IFERROR(__xludf.DUMMYFUNCTION("""COMPUTED_VALUE"""),0.44722222222222224)</f>
        <v>0.4472222222</v>
      </c>
      <c r="D1426" s="2">
        <f t="shared" si="1"/>
        <v>10</v>
      </c>
      <c r="E1426" s="2">
        <f>IFERROR(__xludf.DUMMYFUNCTION("SPLIT(B1426,""/"")"),3.0)</f>
        <v>3</v>
      </c>
      <c r="F1426" s="2">
        <f>IFERROR(__xludf.DUMMYFUNCTION("""COMPUTED_VALUE"""),9.0)</f>
        <v>9</v>
      </c>
      <c r="G1426" s="2">
        <f>IFERROR(__xludf.DUMMYFUNCTION("""COMPUTED_VALUE"""),2024.0)</f>
        <v>2024</v>
      </c>
      <c r="H1426" s="2" t="str">
        <f t="shared" si="2"/>
        <v>2024/9/3</v>
      </c>
      <c r="I1426" s="2" t="s">
        <v>1585</v>
      </c>
      <c r="J1426" s="2" t="str">
        <f t="shared" si="3"/>
        <v>Susu murni moca</v>
      </c>
      <c r="K1426" s="7">
        <f>if(RIGHT(I1426,5)="2 pcs",2,Data!I1426)</f>
        <v>1</v>
      </c>
      <c r="L1426" s="2" t="str">
        <f t="shared" si="4"/>
        <v>Tuesday</v>
      </c>
      <c r="M1426" s="2" t="str">
        <f t="shared" si="5"/>
        <v>3</v>
      </c>
      <c r="N1426" s="2">
        <f>VLOOKUP(L1426,'Data Info'!$A$1:$B$8,2,0)</f>
        <v>2</v>
      </c>
      <c r="O1426" s="2" t="str">
        <f>VLOOKUP(L1426,'Data Info'!$A$1:$C$8,3,0)</f>
        <v>Weekday</v>
      </c>
    </row>
    <row r="1427">
      <c r="A1427" s="4">
        <v>45538.447222222225</v>
      </c>
      <c r="B1427" s="9">
        <f>IFERROR(__xludf.DUMMYFUNCTION("SPLIT(A1427,"" "")"),45538.0)</f>
        <v>45538</v>
      </c>
      <c r="C1427" s="10">
        <f>IFERROR(__xludf.DUMMYFUNCTION("""COMPUTED_VALUE"""),0.44722222222222224)</f>
        <v>0.4472222222</v>
      </c>
      <c r="D1427" s="2">
        <f t="shared" si="1"/>
        <v>10</v>
      </c>
      <c r="E1427" s="2">
        <f>IFERROR(__xludf.DUMMYFUNCTION("SPLIT(B1427,""/"")"),3.0)</f>
        <v>3</v>
      </c>
      <c r="F1427" s="2">
        <f>IFERROR(__xludf.DUMMYFUNCTION("""COMPUTED_VALUE"""),9.0)</f>
        <v>9</v>
      </c>
      <c r="G1427" s="2">
        <f>IFERROR(__xludf.DUMMYFUNCTION("""COMPUTED_VALUE"""),2024.0)</f>
        <v>2024</v>
      </c>
      <c r="H1427" s="2" t="str">
        <f t="shared" si="2"/>
        <v>2024/9/3</v>
      </c>
      <c r="I1427" s="2" t="s">
        <v>1608</v>
      </c>
      <c r="J1427" s="2" t="str">
        <f t="shared" si="3"/>
        <v>Susu murni strawberry</v>
      </c>
      <c r="K1427" s="7">
        <f>if(RIGHT(I1427,5)="2 pcs",2,Data!I1427)</f>
        <v>1</v>
      </c>
      <c r="L1427" s="2" t="str">
        <f t="shared" si="4"/>
        <v>Tuesday</v>
      </c>
      <c r="M1427" s="2" t="str">
        <f t="shared" si="5"/>
        <v>3</v>
      </c>
      <c r="N1427" s="2">
        <f>VLOOKUP(L1427,'Data Info'!$A$1:$B$8,2,0)</f>
        <v>2</v>
      </c>
      <c r="O1427" s="2" t="str">
        <f>VLOOKUP(L1427,'Data Info'!$A$1:$C$8,3,0)</f>
        <v>Weekday</v>
      </c>
    </row>
    <row r="1428">
      <c r="A1428" s="4">
        <v>45538.447222222225</v>
      </c>
      <c r="B1428" s="9">
        <f>IFERROR(__xludf.DUMMYFUNCTION("SPLIT(A1428,"" "")"),45538.0)</f>
        <v>45538</v>
      </c>
      <c r="C1428" s="10">
        <f>IFERROR(__xludf.DUMMYFUNCTION("""COMPUTED_VALUE"""),0.44722222222222224)</f>
        <v>0.4472222222</v>
      </c>
      <c r="D1428" s="2">
        <f t="shared" si="1"/>
        <v>10</v>
      </c>
      <c r="E1428" s="2">
        <f>IFERROR(__xludf.DUMMYFUNCTION("SPLIT(B1428,""/"")"),3.0)</f>
        <v>3</v>
      </c>
      <c r="F1428" s="2">
        <f>IFERROR(__xludf.DUMMYFUNCTION("""COMPUTED_VALUE"""),9.0)</f>
        <v>9</v>
      </c>
      <c r="G1428" s="2">
        <f>IFERROR(__xludf.DUMMYFUNCTION("""COMPUTED_VALUE"""),2024.0)</f>
        <v>2024</v>
      </c>
      <c r="H1428" s="2" t="str">
        <f t="shared" si="2"/>
        <v>2024/9/3</v>
      </c>
      <c r="I1428" s="2" t="s">
        <v>1635</v>
      </c>
      <c r="J1428" s="2" t="str">
        <f t="shared" si="3"/>
        <v>Roti keju</v>
      </c>
      <c r="K1428" s="7">
        <f>if(RIGHT(I1428,5)="2 pcs",2,Data!I1428)</f>
        <v>1</v>
      </c>
      <c r="L1428" s="2" t="str">
        <f t="shared" si="4"/>
        <v>Tuesday</v>
      </c>
      <c r="M1428" s="2" t="str">
        <f t="shared" si="5"/>
        <v>3</v>
      </c>
      <c r="N1428" s="2">
        <f>VLOOKUP(L1428,'Data Info'!$A$1:$B$8,2,0)</f>
        <v>2</v>
      </c>
      <c r="O1428" s="2" t="str">
        <f>VLOOKUP(L1428,'Data Info'!$A$1:$C$8,3,0)</f>
        <v>Weekday</v>
      </c>
    </row>
    <row r="1429">
      <c r="A1429" s="4">
        <v>45538.447222222225</v>
      </c>
      <c r="B1429" s="9">
        <f>IFERROR(__xludf.DUMMYFUNCTION("SPLIT(A1429,"" "")"),45538.0)</f>
        <v>45538</v>
      </c>
      <c r="C1429" s="10">
        <f>IFERROR(__xludf.DUMMYFUNCTION("""COMPUTED_VALUE"""),0.44722222222222224)</f>
        <v>0.4472222222</v>
      </c>
      <c r="D1429" s="2">
        <f t="shared" si="1"/>
        <v>10</v>
      </c>
      <c r="E1429" s="2">
        <f>IFERROR(__xludf.DUMMYFUNCTION("SPLIT(B1429,""/"")"),3.0)</f>
        <v>3</v>
      </c>
      <c r="F1429" s="2">
        <f>IFERROR(__xludf.DUMMYFUNCTION("""COMPUTED_VALUE"""),9.0)</f>
        <v>9</v>
      </c>
      <c r="G1429" s="2">
        <f>IFERROR(__xludf.DUMMYFUNCTION("""COMPUTED_VALUE"""),2024.0)</f>
        <v>2024</v>
      </c>
      <c r="H1429" s="2" t="str">
        <f t="shared" si="2"/>
        <v>2024/9/3</v>
      </c>
      <c r="I1429" s="2" t="s">
        <v>1598</v>
      </c>
      <c r="J1429" s="2" t="str">
        <f t="shared" si="3"/>
        <v>Korean Strawberry Fresh Milk</v>
      </c>
      <c r="K1429" s="7">
        <f>if(RIGHT(I1429,5)="2 pcs",2,Data!I1429)</f>
        <v>1</v>
      </c>
      <c r="L1429" s="2" t="str">
        <f t="shared" si="4"/>
        <v>Tuesday</v>
      </c>
      <c r="M1429" s="2" t="str">
        <f t="shared" si="5"/>
        <v>3</v>
      </c>
      <c r="N1429" s="2">
        <f>VLOOKUP(L1429,'Data Info'!$A$1:$B$8,2,0)</f>
        <v>2</v>
      </c>
      <c r="O1429" s="2" t="str">
        <f>VLOOKUP(L1429,'Data Info'!$A$1:$C$8,3,0)</f>
        <v>Weekday</v>
      </c>
    </row>
    <row r="1430">
      <c r="A1430" s="4">
        <v>45538.447222222225</v>
      </c>
      <c r="B1430" s="9">
        <f>IFERROR(__xludf.DUMMYFUNCTION("SPLIT(A1430,"" "")"),45538.0)</f>
        <v>45538</v>
      </c>
      <c r="C1430" s="10">
        <f>IFERROR(__xludf.DUMMYFUNCTION("""COMPUTED_VALUE"""),0.44722222222222224)</f>
        <v>0.4472222222</v>
      </c>
      <c r="D1430" s="2">
        <f t="shared" si="1"/>
        <v>10</v>
      </c>
      <c r="E1430" s="2">
        <f>IFERROR(__xludf.DUMMYFUNCTION("SPLIT(B1430,""/"")"),3.0)</f>
        <v>3</v>
      </c>
      <c r="F1430" s="2">
        <f>IFERROR(__xludf.DUMMYFUNCTION("""COMPUTED_VALUE"""),9.0)</f>
        <v>9</v>
      </c>
      <c r="G1430" s="2">
        <f>IFERROR(__xludf.DUMMYFUNCTION("""COMPUTED_VALUE"""),2024.0)</f>
        <v>2024</v>
      </c>
      <c r="H1430" s="2" t="str">
        <f t="shared" si="2"/>
        <v>2024/9/3</v>
      </c>
      <c r="I1430" s="2" t="s">
        <v>1596</v>
      </c>
      <c r="J1430" s="2" t="str">
        <f t="shared" si="3"/>
        <v>Roti Cranberry</v>
      </c>
      <c r="K1430" s="7">
        <f>if(RIGHT(I1430,5)="2 pcs",2,Data!I1430)</f>
        <v>2</v>
      </c>
      <c r="L1430" s="2" t="str">
        <f t="shared" si="4"/>
        <v>Tuesday</v>
      </c>
      <c r="M1430" s="2" t="str">
        <f t="shared" si="5"/>
        <v>3</v>
      </c>
      <c r="N1430" s="2">
        <f>VLOOKUP(L1430,'Data Info'!$A$1:$B$8,2,0)</f>
        <v>2</v>
      </c>
      <c r="O1430" s="2" t="str">
        <f>VLOOKUP(L1430,'Data Info'!$A$1:$C$8,3,0)</f>
        <v>Weekday</v>
      </c>
    </row>
    <row r="1431">
      <c r="A1431" s="4">
        <v>45536.86597222222</v>
      </c>
      <c r="B1431" s="9">
        <f>IFERROR(__xludf.DUMMYFUNCTION("SPLIT(A1431,"" "")"),45536.0)</f>
        <v>45536</v>
      </c>
      <c r="C1431" s="10">
        <f>IFERROR(__xludf.DUMMYFUNCTION("""COMPUTED_VALUE"""),0.8659722222222223)</f>
        <v>0.8659722222</v>
      </c>
      <c r="D1431" s="2">
        <f t="shared" si="1"/>
        <v>20</v>
      </c>
      <c r="E1431" s="2">
        <f>IFERROR(__xludf.DUMMYFUNCTION("SPLIT(B1431,""/"")"),1.0)</f>
        <v>1</v>
      </c>
      <c r="F1431" s="2">
        <f>IFERROR(__xludf.DUMMYFUNCTION("""COMPUTED_VALUE"""),9.0)</f>
        <v>9</v>
      </c>
      <c r="G1431" s="2">
        <f>IFERROR(__xludf.DUMMYFUNCTION("""COMPUTED_VALUE"""),2024.0)</f>
        <v>2024</v>
      </c>
      <c r="H1431" s="2" t="str">
        <f t="shared" si="2"/>
        <v>2024/9/1</v>
      </c>
      <c r="I1431" s="2" t="s">
        <v>1584</v>
      </c>
      <c r="J1431" s="2" t="str">
        <f t="shared" si="3"/>
        <v>Korean Mango Fresh Milk</v>
      </c>
      <c r="K1431" s="7">
        <f>if(RIGHT(I1431,5)="2 pcs",2,Data!I1431)</f>
        <v>1</v>
      </c>
      <c r="L1431" s="2" t="str">
        <f t="shared" si="4"/>
        <v>Sunday</v>
      </c>
      <c r="M1431" s="2" t="str">
        <f t="shared" si="5"/>
        <v>1</v>
      </c>
      <c r="N1431" s="2">
        <f>VLOOKUP(L1431,'Data Info'!$A$1:$B$8,2,0)</f>
        <v>7</v>
      </c>
      <c r="O1431" s="2" t="str">
        <f>VLOOKUP(L1431,'Data Info'!$A$1:$C$8,3,0)</f>
        <v>Weekend</v>
      </c>
    </row>
    <row r="1432">
      <c r="A1432" s="4">
        <v>45536.86597222222</v>
      </c>
      <c r="B1432" s="9">
        <f>IFERROR(__xludf.DUMMYFUNCTION("SPLIT(A1432,"" "")"),45536.0)</f>
        <v>45536</v>
      </c>
      <c r="C1432" s="10">
        <f>IFERROR(__xludf.DUMMYFUNCTION("""COMPUTED_VALUE"""),0.8659722222222223)</f>
        <v>0.8659722222</v>
      </c>
      <c r="D1432" s="2">
        <f t="shared" si="1"/>
        <v>20</v>
      </c>
      <c r="E1432" s="2">
        <f>IFERROR(__xludf.DUMMYFUNCTION("SPLIT(B1432,""/"")"),1.0)</f>
        <v>1</v>
      </c>
      <c r="F1432" s="2">
        <f>IFERROR(__xludf.DUMMYFUNCTION("""COMPUTED_VALUE"""),9.0)</f>
        <v>9</v>
      </c>
      <c r="G1432" s="2">
        <f>IFERROR(__xludf.DUMMYFUNCTION("""COMPUTED_VALUE"""),2024.0)</f>
        <v>2024</v>
      </c>
      <c r="H1432" s="2" t="str">
        <f t="shared" si="2"/>
        <v>2024/9/1</v>
      </c>
      <c r="I1432" s="2" t="s">
        <v>1590</v>
      </c>
      <c r="J1432" s="2" t="str">
        <f t="shared" si="3"/>
        <v>Lemon Tea Panas</v>
      </c>
      <c r="K1432" s="7">
        <f>if(RIGHT(I1432,5)="2 pcs",2,Data!I1432)</f>
        <v>1</v>
      </c>
      <c r="L1432" s="2" t="str">
        <f t="shared" si="4"/>
        <v>Sunday</v>
      </c>
      <c r="M1432" s="2" t="str">
        <f t="shared" si="5"/>
        <v>1</v>
      </c>
      <c r="N1432" s="2">
        <f>VLOOKUP(L1432,'Data Info'!$A$1:$B$8,2,0)</f>
        <v>7</v>
      </c>
      <c r="O1432" s="2" t="str">
        <f>VLOOKUP(L1432,'Data Info'!$A$1:$C$8,3,0)</f>
        <v>Weekend</v>
      </c>
    </row>
    <row r="1433">
      <c r="A1433" s="4">
        <v>45536.86597222222</v>
      </c>
      <c r="B1433" s="9">
        <f>IFERROR(__xludf.DUMMYFUNCTION("SPLIT(A1433,"" "")"),45536.0)</f>
        <v>45536</v>
      </c>
      <c r="C1433" s="10">
        <f>IFERROR(__xludf.DUMMYFUNCTION("""COMPUTED_VALUE"""),0.8659722222222223)</f>
        <v>0.8659722222</v>
      </c>
      <c r="D1433" s="2">
        <f t="shared" si="1"/>
        <v>20</v>
      </c>
      <c r="E1433" s="2">
        <f>IFERROR(__xludf.DUMMYFUNCTION("SPLIT(B1433,""/"")"),1.0)</f>
        <v>1</v>
      </c>
      <c r="F1433" s="2">
        <f>IFERROR(__xludf.DUMMYFUNCTION("""COMPUTED_VALUE"""),9.0)</f>
        <v>9</v>
      </c>
      <c r="G1433" s="2">
        <f>IFERROR(__xludf.DUMMYFUNCTION("""COMPUTED_VALUE"""),2024.0)</f>
        <v>2024</v>
      </c>
      <c r="H1433" s="2" t="str">
        <f t="shared" si="2"/>
        <v>2024/9/1</v>
      </c>
      <c r="I1433" s="2" t="s">
        <v>1582</v>
      </c>
      <c r="J1433" s="2" t="str">
        <f t="shared" si="3"/>
        <v>Teh Tawar Dingin</v>
      </c>
      <c r="K1433" s="7">
        <f>if(RIGHT(I1433,5)="2 pcs",2,Data!I1433)</f>
        <v>2</v>
      </c>
      <c r="L1433" s="2" t="str">
        <f t="shared" si="4"/>
        <v>Sunday</v>
      </c>
      <c r="M1433" s="2" t="str">
        <f t="shared" si="5"/>
        <v>1</v>
      </c>
      <c r="N1433" s="2">
        <f>VLOOKUP(L1433,'Data Info'!$A$1:$B$8,2,0)</f>
        <v>7</v>
      </c>
      <c r="O1433" s="2" t="str">
        <f>VLOOKUP(L1433,'Data Info'!$A$1:$C$8,3,0)</f>
        <v>Weekend</v>
      </c>
    </row>
    <row r="1434">
      <c r="A1434" s="4">
        <v>45536.86597222222</v>
      </c>
      <c r="B1434" s="9">
        <f>IFERROR(__xludf.DUMMYFUNCTION("SPLIT(A1434,"" "")"),45536.0)</f>
        <v>45536</v>
      </c>
      <c r="C1434" s="10">
        <f>IFERROR(__xludf.DUMMYFUNCTION("""COMPUTED_VALUE"""),0.8659722222222223)</f>
        <v>0.8659722222</v>
      </c>
      <c r="D1434" s="2">
        <f t="shared" si="1"/>
        <v>20</v>
      </c>
      <c r="E1434" s="2">
        <f>IFERROR(__xludf.DUMMYFUNCTION("SPLIT(B1434,""/"")"),1.0)</f>
        <v>1</v>
      </c>
      <c r="F1434" s="2">
        <f>IFERROR(__xludf.DUMMYFUNCTION("""COMPUTED_VALUE"""),9.0)</f>
        <v>9</v>
      </c>
      <c r="G1434" s="2">
        <f>IFERROR(__xludf.DUMMYFUNCTION("""COMPUTED_VALUE"""),2024.0)</f>
        <v>2024</v>
      </c>
      <c r="H1434" s="2" t="str">
        <f t="shared" si="2"/>
        <v>2024/9/1</v>
      </c>
      <c r="I1434" s="2" t="s">
        <v>1603</v>
      </c>
      <c r="J1434" s="2" t="str">
        <f t="shared" si="3"/>
        <v>Nasi Goreng Temu</v>
      </c>
      <c r="K1434" s="7">
        <f>if(RIGHT(I1434,5)="2 pcs",2,Data!I1434)</f>
        <v>2</v>
      </c>
      <c r="L1434" s="2" t="str">
        <f t="shared" si="4"/>
        <v>Sunday</v>
      </c>
      <c r="M1434" s="2" t="str">
        <f t="shared" si="5"/>
        <v>1</v>
      </c>
      <c r="N1434" s="2">
        <f>VLOOKUP(L1434,'Data Info'!$A$1:$B$8,2,0)</f>
        <v>7</v>
      </c>
      <c r="O1434" s="2" t="str">
        <f>VLOOKUP(L1434,'Data Info'!$A$1:$C$8,3,0)</f>
        <v>Weekend</v>
      </c>
    </row>
    <row r="1435">
      <c r="A1435" s="4">
        <v>45536.86597222222</v>
      </c>
      <c r="B1435" s="9">
        <f>IFERROR(__xludf.DUMMYFUNCTION("SPLIT(A1435,"" "")"),45536.0)</f>
        <v>45536</v>
      </c>
      <c r="C1435" s="10">
        <f>IFERROR(__xludf.DUMMYFUNCTION("""COMPUTED_VALUE"""),0.8659722222222223)</f>
        <v>0.8659722222</v>
      </c>
      <c r="D1435" s="2">
        <f t="shared" si="1"/>
        <v>20</v>
      </c>
      <c r="E1435" s="2">
        <f>IFERROR(__xludf.DUMMYFUNCTION("SPLIT(B1435,""/"")"),1.0)</f>
        <v>1</v>
      </c>
      <c r="F1435" s="2">
        <f>IFERROR(__xludf.DUMMYFUNCTION("""COMPUTED_VALUE"""),9.0)</f>
        <v>9</v>
      </c>
      <c r="G1435" s="2">
        <f>IFERROR(__xludf.DUMMYFUNCTION("""COMPUTED_VALUE"""),2024.0)</f>
        <v>2024</v>
      </c>
      <c r="H1435" s="2" t="str">
        <f t="shared" si="2"/>
        <v>2024/9/1</v>
      </c>
      <c r="I1435" s="2" t="s">
        <v>1598</v>
      </c>
      <c r="J1435" s="2" t="str">
        <f t="shared" si="3"/>
        <v>Korean Strawberry Fresh Milk</v>
      </c>
      <c r="K1435" s="7">
        <f>if(RIGHT(I1435,5)="2 pcs",2,Data!I1435)</f>
        <v>2</v>
      </c>
      <c r="L1435" s="2" t="str">
        <f t="shared" si="4"/>
        <v>Sunday</v>
      </c>
      <c r="M1435" s="2" t="str">
        <f t="shared" si="5"/>
        <v>1</v>
      </c>
      <c r="N1435" s="2">
        <f>VLOOKUP(L1435,'Data Info'!$A$1:$B$8,2,0)</f>
        <v>7</v>
      </c>
      <c r="O1435" s="2" t="str">
        <f>VLOOKUP(L1435,'Data Info'!$A$1:$C$8,3,0)</f>
        <v>Weekend</v>
      </c>
    </row>
    <row r="1436">
      <c r="A1436" s="4">
        <v>45536.86597222222</v>
      </c>
      <c r="B1436" s="9">
        <f>IFERROR(__xludf.DUMMYFUNCTION("SPLIT(A1436,"" "")"),45536.0)</f>
        <v>45536</v>
      </c>
      <c r="C1436" s="10">
        <f>IFERROR(__xludf.DUMMYFUNCTION("""COMPUTED_VALUE"""),0.8659722222222223)</f>
        <v>0.8659722222</v>
      </c>
      <c r="D1436" s="2">
        <f t="shared" si="1"/>
        <v>20</v>
      </c>
      <c r="E1436" s="2">
        <f>IFERROR(__xludf.DUMMYFUNCTION("SPLIT(B1436,""/"")"),1.0)</f>
        <v>1</v>
      </c>
      <c r="F1436" s="2">
        <f>IFERROR(__xludf.DUMMYFUNCTION("""COMPUTED_VALUE"""),9.0)</f>
        <v>9</v>
      </c>
      <c r="G1436" s="2">
        <f>IFERROR(__xludf.DUMMYFUNCTION("""COMPUTED_VALUE"""),2024.0)</f>
        <v>2024</v>
      </c>
      <c r="H1436" s="2" t="str">
        <f t="shared" si="2"/>
        <v>2024/9/1</v>
      </c>
      <c r="I1436" s="2" t="s">
        <v>1587</v>
      </c>
      <c r="J1436" s="2" t="str">
        <f t="shared" si="3"/>
        <v>Tahu Lada Garam</v>
      </c>
      <c r="K1436" s="7">
        <f>if(RIGHT(I1436,5)="2 pcs",2,Data!I1436)</f>
        <v>1</v>
      </c>
      <c r="L1436" s="2" t="str">
        <f t="shared" si="4"/>
        <v>Sunday</v>
      </c>
      <c r="M1436" s="2" t="str">
        <f t="shared" si="5"/>
        <v>1</v>
      </c>
      <c r="N1436" s="2">
        <f>VLOOKUP(L1436,'Data Info'!$A$1:$B$8,2,0)</f>
        <v>7</v>
      </c>
      <c r="O1436" s="2" t="str">
        <f>VLOOKUP(L1436,'Data Info'!$A$1:$C$8,3,0)</f>
        <v>Weekend</v>
      </c>
    </row>
    <row r="1437">
      <c r="A1437" s="4">
        <v>45536.86597222222</v>
      </c>
      <c r="B1437" s="9">
        <f>IFERROR(__xludf.DUMMYFUNCTION("SPLIT(A1437,"" "")"),45536.0)</f>
        <v>45536</v>
      </c>
      <c r="C1437" s="10">
        <f>IFERROR(__xludf.DUMMYFUNCTION("""COMPUTED_VALUE"""),0.8659722222222223)</f>
        <v>0.8659722222</v>
      </c>
      <c r="D1437" s="2">
        <f t="shared" si="1"/>
        <v>20</v>
      </c>
      <c r="E1437" s="2">
        <f>IFERROR(__xludf.DUMMYFUNCTION("SPLIT(B1437,""/"")"),1.0)</f>
        <v>1</v>
      </c>
      <c r="F1437" s="2">
        <f>IFERROR(__xludf.DUMMYFUNCTION("""COMPUTED_VALUE"""),9.0)</f>
        <v>9</v>
      </c>
      <c r="G1437" s="2">
        <f>IFERROR(__xludf.DUMMYFUNCTION("""COMPUTED_VALUE"""),2024.0)</f>
        <v>2024</v>
      </c>
      <c r="H1437" s="2" t="str">
        <f t="shared" si="2"/>
        <v>2024/9/1</v>
      </c>
      <c r="I1437" s="2" t="s">
        <v>1595</v>
      </c>
      <c r="J1437" s="2" t="str">
        <f t="shared" si="3"/>
        <v>Roti Gandum Cokelat</v>
      </c>
      <c r="K1437" s="7">
        <f>if(RIGHT(I1437,5)="2 pcs",2,Data!I1437)</f>
        <v>1</v>
      </c>
      <c r="L1437" s="2" t="str">
        <f t="shared" si="4"/>
        <v>Sunday</v>
      </c>
      <c r="M1437" s="2" t="str">
        <f t="shared" si="5"/>
        <v>1</v>
      </c>
      <c r="N1437" s="2">
        <f>VLOOKUP(L1437,'Data Info'!$A$1:$B$8,2,0)</f>
        <v>7</v>
      </c>
      <c r="O1437" s="2" t="str">
        <f>VLOOKUP(L1437,'Data Info'!$A$1:$C$8,3,0)</f>
        <v>Weekend</v>
      </c>
    </row>
    <row r="1438">
      <c r="A1438" s="4">
        <v>45536.86597222222</v>
      </c>
      <c r="B1438" s="9">
        <f>IFERROR(__xludf.DUMMYFUNCTION("SPLIT(A1438,"" "")"),45536.0)</f>
        <v>45536</v>
      </c>
      <c r="C1438" s="10">
        <f>IFERROR(__xludf.DUMMYFUNCTION("""COMPUTED_VALUE"""),0.8659722222222223)</f>
        <v>0.8659722222</v>
      </c>
      <c r="D1438" s="2">
        <f t="shared" si="1"/>
        <v>20</v>
      </c>
      <c r="E1438" s="2">
        <f>IFERROR(__xludf.DUMMYFUNCTION("SPLIT(B1438,""/"")"),1.0)</f>
        <v>1</v>
      </c>
      <c r="F1438" s="2">
        <f>IFERROR(__xludf.DUMMYFUNCTION("""COMPUTED_VALUE"""),9.0)</f>
        <v>9</v>
      </c>
      <c r="G1438" s="2">
        <f>IFERROR(__xludf.DUMMYFUNCTION("""COMPUTED_VALUE"""),2024.0)</f>
        <v>2024</v>
      </c>
      <c r="H1438" s="2" t="str">
        <f t="shared" si="2"/>
        <v>2024/9/1</v>
      </c>
      <c r="I1438" s="2" t="s">
        <v>1617</v>
      </c>
      <c r="J1438" s="2" t="str">
        <f t="shared" si="3"/>
        <v>Lemon Tea Dingin</v>
      </c>
      <c r="K1438" s="7">
        <f>if(RIGHT(I1438,5)="2 pcs",2,Data!I1438)</f>
        <v>1</v>
      </c>
      <c r="L1438" s="2" t="str">
        <f t="shared" si="4"/>
        <v>Sunday</v>
      </c>
      <c r="M1438" s="2" t="str">
        <f t="shared" si="5"/>
        <v>1</v>
      </c>
      <c r="N1438" s="2">
        <f>VLOOKUP(L1438,'Data Info'!$A$1:$B$8,2,0)</f>
        <v>7</v>
      </c>
      <c r="O1438" s="2" t="str">
        <f>VLOOKUP(L1438,'Data Info'!$A$1:$C$8,3,0)</f>
        <v>Weekend</v>
      </c>
    </row>
    <row r="1439">
      <c r="A1439" s="4">
        <v>45536.86111111111</v>
      </c>
      <c r="B1439" s="9">
        <f>IFERROR(__xludf.DUMMYFUNCTION("SPLIT(A1439,"" "")"),45536.0)</f>
        <v>45536</v>
      </c>
      <c r="C1439" s="10">
        <f>IFERROR(__xludf.DUMMYFUNCTION("""COMPUTED_VALUE"""),0.8611111111111112)</f>
        <v>0.8611111111</v>
      </c>
      <c r="D1439" s="2">
        <f t="shared" si="1"/>
        <v>20</v>
      </c>
      <c r="E1439" s="2">
        <f>IFERROR(__xludf.DUMMYFUNCTION("SPLIT(B1439,""/"")"),1.0)</f>
        <v>1</v>
      </c>
      <c r="F1439" s="2">
        <f>IFERROR(__xludf.DUMMYFUNCTION("""COMPUTED_VALUE"""),9.0)</f>
        <v>9</v>
      </c>
      <c r="G1439" s="2">
        <f>IFERROR(__xludf.DUMMYFUNCTION("""COMPUTED_VALUE"""),2024.0)</f>
        <v>2024</v>
      </c>
      <c r="H1439" s="2" t="str">
        <f t="shared" si="2"/>
        <v>2024/9/1</v>
      </c>
      <c r="I1439" s="2" t="s">
        <v>1566</v>
      </c>
      <c r="J1439" s="2" t="str">
        <f t="shared" si="3"/>
        <v>Roti Bawang Saus Keju</v>
      </c>
      <c r="K1439" s="7">
        <f>if(RIGHT(I1439,5)="2 pcs",2,Data!I1439)</f>
        <v>1</v>
      </c>
      <c r="L1439" s="2" t="str">
        <f t="shared" si="4"/>
        <v>Sunday</v>
      </c>
      <c r="M1439" s="2" t="str">
        <f t="shared" si="5"/>
        <v>1</v>
      </c>
      <c r="N1439" s="2">
        <f>VLOOKUP(L1439,'Data Info'!$A$1:$B$8,2,0)</f>
        <v>7</v>
      </c>
      <c r="O1439" s="2" t="str">
        <f>VLOOKUP(L1439,'Data Info'!$A$1:$C$8,3,0)</f>
        <v>Weekend</v>
      </c>
    </row>
    <row r="1440">
      <c r="A1440" s="4">
        <v>45536.86111111111</v>
      </c>
      <c r="B1440" s="9">
        <f>IFERROR(__xludf.DUMMYFUNCTION("SPLIT(A1440,"" "")"),45536.0)</f>
        <v>45536</v>
      </c>
      <c r="C1440" s="10">
        <f>IFERROR(__xludf.DUMMYFUNCTION("""COMPUTED_VALUE"""),0.8611111111111112)</f>
        <v>0.8611111111</v>
      </c>
      <c r="D1440" s="2">
        <f t="shared" si="1"/>
        <v>20</v>
      </c>
      <c r="E1440" s="2">
        <f>IFERROR(__xludf.DUMMYFUNCTION("SPLIT(B1440,""/"")"),1.0)</f>
        <v>1</v>
      </c>
      <c r="F1440" s="2">
        <f>IFERROR(__xludf.DUMMYFUNCTION("""COMPUTED_VALUE"""),9.0)</f>
        <v>9</v>
      </c>
      <c r="G1440" s="2">
        <f>IFERROR(__xludf.DUMMYFUNCTION("""COMPUTED_VALUE"""),2024.0)</f>
        <v>2024</v>
      </c>
      <c r="H1440" s="2" t="str">
        <f t="shared" si="2"/>
        <v>2024/9/1</v>
      </c>
      <c r="I1440" s="2" t="s">
        <v>1576</v>
      </c>
      <c r="J1440" s="2" t="str">
        <f t="shared" si="3"/>
        <v>Roti Cranberry</v>
      </c>
      <c r="K1440" s="7">
        <f>if(RIGHT(I1440,5)="2 pcs",2,Data!I1440)</f>
        <v>1</v>
      </c>
      <c r="L1440" s="2" t="str">
        <f t="shared" si="4"/>
        <v>Sunday</v>
      </c>
      <c r="M1440" s="2" t="str">
        <f t="shared" si="5"/>
        <v>1</v>
      </c>
      <c r="N1440" s="2">
        <f>VLOOKUP(L1440,'Data Info'!$A$1:$B$8,2,0)</f>
        <v>7</v>
      </c>
      <c r="O1440" s="2" t="str">
        <f>VLOOKUP(L1440,'Data Info'!$A$1:$C$8,3,0)</f>
        <v>Weekend</v>
      </c>
    </row>
    <row r="1441">
      <c r="A1441" s="4">
        <v>45536.86111111111</v>
      </c>
      <c r="B1441" s="9">
        <f>IFERROR(__xludf.DUMMYFUNCTION("SPLIT(A1441,"" "")"),45536.0)</f>
        <v>45536</v>
      </c>
      <c r="C1441" s="10">
        <f>IFERROR(__xludf.DUMMYFUNCTION("""COMPUTED_VALUE"""),0.8611111111111112)</f>
        <v>0.8611111111</v>
      </c>
      <c r="D1441" s="2">
        <f t="shared" si="1"/>
        <v>20</v>
      </c>
      <c r="E1441" s="2">
        <f>IFERROR(__xludf.DUMMYFUNCTION("SPLIT(B1441,""/"")"),1.0)</f>
        <v>1</v>
      </c>
      <c r="F1441" s="2">
        <f>IFERROR(__xludf.DUMMYFUNCTION("""COMPUTED_VALUE"""),9.0)</f>
        <v>9</v>
      </c>
      <c r="G1441" s="2">
        <f>IFERROR(__xludf.DUMMYFUNCTION("""COMPUTED_VALUE"""),2024.0)</f>
        <v>2024</v>
      </c>
      <c r="H1441" s="2" t="str">
        <f t="shared" si="2"/>
        <v>2024/9/1</v>
      </c>
      <c r="I1441" s="2" t="s">
        <v>1601</v>
      </c>
      <c r="J1441" s="2" t="str">
        <f t="shared" si="3"/>
        <v>Gula Asam Dingin</v>
      </c>
      <c r="K1441" s="7">
        <f>if(RIGHT(I1441,5)="2 pcs",2,Data!I1441)</f>
        <v>1</v>
      </c>
      <c r="L1441" s="2" t="str">
        <f t="shared" si="4"/>
        <v>Sunday</v>
      </c>
      <c r="M1441" s="2" t="str">
        <f t="shared" si="5"/>
        <v>1</v>
      </c>
      <c r="N1441" s="2">
        <f>VLOOKUP(L1441,'Data Info'!$A$1:$B$8,2,0)</f>
        <v>7</v>
      </c>
      <c r="O1441" s="2" t="str">
        <f>VLOOKUP(L1441,'Data Info'!$A$1:$C$8,3,0)</f>
        <v>Weekend</v>
      </c>
    </row>
    <row r="1442">
      <c r="A1442" s="4">
        <v>45536.86111111111</v>
      </c>
      <c r="B1442" s="9">
        <f>IFERROR(__xludf.DUMMYFUNCTION("SPLIT(A1442,"" "")"),45536.0)</f>
        <v>45536</v>
      </c>
      <c r="C1442" s="10">
        <f>IFERROR(__xludf.DUMMYFUNCTION("""COMPUTED_VALUE"""),0.8611111111111112)</f>
        <v>0.8611111111</v>
      </c>
      <c r="D1442" s="2">
        <f t="shared" si="1"/>
        <v>20</v>
      </c>
      <c r="E1442" s="2">
        <f>IFERROR(__xludf.DUMMYFUNCTION("SPLIT(B1442,""/"")"),1.0)</f>
        <v>1</v>
      </c>
      <c r="F1442" s="2">
        <f>IFERROR(__xludf.DUMMYFUNCTION("""COMPUTED_VALUE"""),9.0)</f>
        <v>9</v>
      </c>
      <c r="G1442" s="2">
        <f>IFERROR(__xludf.DUMMYFUNCTION("""COMPUTED_VALUE"""),2024.0)</f>
        <v>2024</v>
      </c>
      <c r="H1442" s="2" t="str">
        <f t="shared" si="2"/>
        <v>2024/9/1</v>
      </c>
      <c r="I1442" s="2" t="s">
        <v>1589</v>
      </c>
      <c r="J1442" s="2" t="str">
        <f t="shared" si="3"/>
        <v>Teh Manis Dingin</v>
      </c>
      <c r="K1442" s="7">
        <f>if(RIGHT(I1442,5)="2 pcs",2,Data!I1442)</f>
        <v>1</v>
      </c>
      <c r="L1442" s="2" t="str">
        <f t="shared" si="4"/>
        <v>Sunday</v>
      </c>
      <c r="M1442" s="2" t="str">
        <f t="shared" si="5"/>
        <v>1</v>
      </c>
      <c r="N1442" s="2">
        <f>VLOOKUP(L1442,'Data Info'!$A$1:$B$8,2,0)</f>
        <v>7</v>
      </c>
      <c r="O1442" s="2" t="str">
        <f>VLOOKUP(L1442,'Data Info'!$A$1:$C$8,3,0)</f>
        <v>Weekend</v>
      </c>
    </row>
    <row r="1443">
      <c r="A1443" s="4">
        <v>45536.82847222222</v>
      </c>
      <c r="B1443" s="9">
        <f>IFERROR(__xludf.DUMMYFUNCTION("SPLIT(A1443,"" "")"),45536.0)</f>
        <v>45536</v>
      </c>
      <c r="C1443" s="10">
        <f>IFERROR(__xludf.DUMMYFUNCTION("""COMPUTED_VALUE"""),0.8284722222222223)</f>
        <v>0.8284722222</v>
      </c>
      <c r="D1443" s="2">
        <f t="shared" si="1"/>
        <v>19</v>
      </c>
      <c r="E1443" s="2">
        <f>IFERROR(__xludf.DUMMYFUNCTION("SPLIT(B1443,""/"")"),1.0)</f>
        <v>1</v>
      </c>
      <c r="F1443" s="2">
        <f>IFERROR(__xludf.DUMMYFUNCTION("""COMPUTED_VALUE"""),9.0)</f>
        <v>9</v>
      </c>
      <c r="G1443" s="2">
        <f>IFERROR(__xludf.DUMMYFUNCTION("""COMPUTED_VALUE"""),2024.0)</f>
        <v>2024</v>
      </c>
      <c r="H1443" s="2" t="str">
        <f t="shared" si="2"/>
        <v>2024/9/1</v>
      </c>
      <c r="I1443" s="2" t="s">
        <v>1566</v>
      </c>
      <c r="J1443" s="2" t="str">
        <f t="shared" si="3"/>
        <v>Roti Bawang Saus Keju</v>
      </c>
      <c r="K1443" s="7">
        <f>if(RIGHT(I1443,5)="2 pcs",2,Data!I1443)</f>
        <v>1</v>
      </c>
      <c r="L1443" s="2" t="str">
        <f t="shared" si="4"/>
        <v>Sunday</v>
      </c>
      <c r="M1443" s="2" t="str">
        <f t="shared" si="5"/>
        <v>1</v>
      </c>
      <c r="N1443" s="2">
        <f>VLOOKUP(L1443,'Data Info'!$A$1:$B$8,2,0)</f>
        <v>7</v>
      </c>
      <c r="O1443" s="2" t="str">
        <f>VLOOKUP(L1443,'Data Info'!$A$1:$C$8,3,0)</f>
        <v>Weekend</v>
      </c>
    </row>
    <row r="1444">
      <c r="A1444" s="4">
        <v>45536.82847222222</v>
      </c>
      <c r="B1444" s="9">
        <f>IFERROR(__xludf.DUMMYFUNCTION("SPLIT(A1444,"" "")"),45536.0)</f>
        <v>45536</v>
      </c>
      <c r="C1444" s="10">
        <f>IFERROR(__xludf.DUMMYFUNCTION("""COMPUTED_VALUE"""),0.8284722222222223)</f>
        <v>0.8284722222</v>
      </c>
      <c r="D1444" s="2">
        <f t="shared" si="1"/>
        <v>19</v>
      </c>
      <c r="E1444" s="2">
        <f>IFERROR(__xludf.DUMMYFUNCTION("SPLIT(B1444,""/"")"),1.0)</f>
        <v>1</v>
      </c>
      <c r="F1444" s="2">
        <f>IFERROR(__xludf.DUMMYFUNCTION("""COMPUTED_VALUE"""),9.0)</f>
        <v>9</v>
      </c>
      <c r="G1444" s="2">
        <f>IFERROR(__xludf.DUMMYFUNCTION("""COMPUTED_VALUE"""),2024.0)</f>
        <v>2024</v>
      </c>
      <c r="H1444" s="2" t="str">
        <f t="shared" si="2"/>
        <v>2024/9/1</v>
      </c>
      <c r="I1444" s="2" t="s">
        <v>1588</v>
      </c>
      <c r="J1444" s="2" t="str">
        <f t="shared" si="3"/>
        <v>Es Kopi Susu</v>
      </c>
      <c r="K1444" s="7">
        <f>if(RIGHT(I1444,5)="2 pcs",2,Data!I1444)</f>
        <v>1</v>
      </c>
      <c r="L1444" s="2" t="str">
        <f t="shared" si="4"/>
        <v>Sunday</v>
      </c>
      <c r="M1444" s="2" t="str">
        <f t="shared" si="5"/>
        <v>1</v>
      </c>
      <c r="N1444" s="2">
        <f>VLOOKUP(L1444,'Data Info'!$A$1:$B$8,2,0)</f>
        <v>7</v>
      </c>
      <c r="O1444" s="2" t="str">
        <f>VLOOKUP(L1444,'Data Info'!$A$1:$C$8,3,0)</f>
        <v>Weekend</v>
      </c>
    </row>
    <row r="1445">
      <c r="A1445" s="4">
        <v>45536.79722222222</v>
      </c>
      <c r="B1445" s="9">
        <f>IFERROR(__xludf.DUMMYFUNCTION("SPLIT(A1445,"" "")"),45536.0)</f>
        <v>45536</v>
      </c>
      <c r="C1445" s="10">
        <f>IFERROR(__xludf.DUMMYFUNCTION("""COMPUTED_VALUE"""),0.7972222222222223)</f>
        <v>0.7972222222</v>
      </c>
      <c r="D1445" s="2">
        <f t="shared" si="1"/>
        <v>19</v>
      </c>
      <c r="E1445" s="2">
        <f>IFERROR(__xludf.DUMMYFUNCTION("SPLIT(B1445,""/"")"),1.0)</f>
        <v>1</v>
      </c>
      <c r="F1445" s="2">
        <f>IFERROR(__xludf.DUMMYFUNCTION("""COMPUTED_VALUE"""),9.0)</f>
        <v>9</v>
      </c>
      <c r="G1445" s="2">
        <f>IFERROR(__xludf.DUMMYFUNCTION("""COMPUTED_VALUE"""),2024.0)</f>
        <v>2024</v>
      </c>
      <c r="H1445" s="2" t="str">
        <f t="shared" si="2"/>
        <v>2024/9/1</v>
      </c>
      <c r="I1445" s="2" t="s">
        <v>1607</v>
      </c>
      <c r="J1445" s="2" t="str">
        <f t="shared" si="3"/>
        <v>Tahu walik</v>
      </c>
      <c r="K1445" s="7">
        <f>if(RIGHT(I1445,5)="2 pcs",2,Data!I1445)</f>
        <v>1</v>
      </c>
      <c r="L1445" s="2" t="str">
        <f t="shared" si="4"/>
        <v>Sunday</v>
      </c>
      <c r="M1445" s="2" t="str">
        <f t="shared" si="5"/>
        <v>1</v>
      </c>
      <c r="N1445" s="2">
        <f>VLOOKUP(L1445,'Data Info'!$A$1:$B$8,2,0)</f>
        <v>7</v>
      </c>
      <c r="O1445" s="2" t="str">
        <f>VLOOKUP(L1445,'Data Info'!$A$1:$C$8,3,0)</f>
        <v>Weekend</v>
      </c>
    </row>
    <row r="1446">
      <c r="A1446" s="4">
        <v>45536.78958333333</v>
      </c>
      <c r="B1446" s="9">
        <f>IFERROR(__xludf.DUMMYFUNCTION("SPLIT(A1446,"" "")"),45536.0)</f>
        <v>45536</v>
      </c>
      <c r="C1446" s="10">
        <f>IFERROR(__xludf.DUMMYFUNCTION("""COMPUTED_VALUE"""),0.7895833333333333)</f>
        <v>0.7895833333</v>
      </c>
      <c r="D1446" s="2">
        <f t="shared" si="1"/>
        <v>18</v>
      </c>
      <c r="E1446" s="2">
        <f>IFERROR(__xludf.DUMMYFUNCTION("SPLIT(B1446,""/"")"),1.0)</f>
        <v>1</v>
      </c>
      <c r="F1446" s="2">
        <f>IFERROR(__xludf.DUMMYFUNCTION("""COMPUTED_VALUE"""),9.0)</f>
        <v>9</v>
      </c>
      <c r="G1446" s="2">
        <f>IFERROR(__xludf.DUMMYFUNCTION("""COMPUTED_VALUE"""),2024.0)</f>
        <v>2024</v>
      </c>
      <c r="H1446" s="2" t="str">
        <f t="shared" si="2"/>
        <v>2024/9/1</v>
      </c>
      <c r="I1446" s="2" t="s">
        <v>1588</v>
      </c>
      <c r="J1446" s="2" t="str">
        <f t="shared" si="3"/>
        <v>Es Kopi Susu</v>
      </c>
      <c r="K1446" s="7">
        <f>if(RIGHT(I1446,5)="2 pcs",2,Data!I1446)</f>
        <v>1</v>
      </c>
      <c r="L1446" s="2" t="str">
        <f t="shared" si="4"/>
        <v>Sunday</v>
      </c>
      <c r="M1446" s="2" t="str">
        <f t="shared" si="5"/>
        <v>1</v>
      </c>
      <c r="N1446" s="2">
        <f>VLOOKUP(L1446,'Data Info'!$A$1:$B$8,2,0)</f>
        <v>7</v>
      </c>
      <c r="O1446" s="2" t="str">
        <f>VLOOKUP(L1446,'Data Info'!$A$1:$C$8,3,0)</f>
        <v>Weekend</v>
      </c>
    </row>
    <row r="1447">
      <c r="A1447" s="4">
        <v>45536.77777777778</v>
      </c>
      <c r="B1447" s="9">
        <f>IFERROR(__xludf.DUMMYFUNCTION("SPLIT(A1447,"" "")"),45536.0)</f>
        <v>45536</v>
      </c>
      <c r="C1447" s="10">
        <f>IFERROR(__xludf.DUMMYFUNCTION("""COMPUTED_VALUE"""),0.7777777777777778)</f>
        <v>0.7777777778</v>
      </c>
      <c r="D1447" s="2">
        <f t="shared" si="1"/>
        <v>18</v>
      </c>
      <c r="E1447" s="2">
        <f>IFERROR(__xludf.DUMMYFUNCTION("SPLIT(B1447,""/"")"),1.0)</f>
        <v>1</v>
      </c>
      <c r="F1447" s="2">
        <f>IFERROR(__xludf.DUMMYFUNCTION("""COMPUTED_VALUE"""),9.0)</f>
        <v>9</v>
      </c>
      <c r="G1447" s="2">
        <f>IFERROR(__xludf.DUMMYFUNCTION("""COMPUTED_VALUE"""),2024.0)</f>
        <v>2024</v>
      </c>
      <c r="H1447" s="2" t="str">
        <f t="shared" si="2"/>
        <v>2024/9/1</v>
      </c>
      <c r="I1447" s="2" t="s">
        <v>1592</v>
      </c>
      <c r="J1447" s="2" t="str">
        <f t="shared" si="3"/>
        <v>Kopi Tubruk Panas</v>
      </c>
      <c r="K1447" s="7">
        <f>if(RIGHT(I1447,5)="2 pcs",2,Data!I1447)</f>
        <v>1</v>
      </c>
      <c r="L1447" s="2" t="str">
        <f t="shared" si="4"/>
        <v>Sunday</v>
      </c>
      <c r="M1447" s="2" t="str">
        <f t="shared" si="5"/>
        <v>1</v>
      </c>
      <c r="N1447" s="2">
        <f>VLOOKUP(L1447,'Data Info'!$A$1:$B$8,2,0)</f>
        <v>7</v>
      </c>
      <c r="O1447" s="2" t="str">
        <f>VLOOKUP(L1447,'Data Info'!$A$1:$C$8,3,0)</f>
        <v>Weekend</v>
      </c>
    </row>
    <row r="1448">
      <c r="A1448" s="4">
        <v>45536.77569444444</v>
      </c>
      <c r="B1448" s="9">
        <f>IFERROR(__xludf.DUMMYFUNCTION("SPLIT(A1448,"" "")"),45536.0)</f>
        <v>45536</v>
      </c>
      <c r="C1448" s="10">
        <f>IFERROR(__xludf.DUMMYFUNCTION("""COMPUTED_VALUE"""),0.7756944444444445)</f>
        <v>0.7756944444</v>
      </c>
      <c r="D1448" s="2">
        <f t="shared" si="1"/>
        <v>18</v>
      </c>
      <c r="E1448" s="2">
        <f>IFERROR(__xludf.DUMMYFUNCTION("SPLIT(B1448,""/"")"),1.0)</f>
        <v>1</v>
      </c>
      <c r="F1448" s="2">
        <f>IFERROR(__xludf.DUMMYFUNCTION("""COMPUTED_VALUE"""),9.0)</f>
        <v>9</v>
      </c>
      <c r="G1448" s="2">
        <f>IFERROR(__xludf.DUMMYFUNCTION("""COMPUTED_VALUE"""),2024.0)</f>
        <v>2024</v>
      </c>
      <c r="H1448" s="2" t="str">
        <f t="shared" si="2"/>
        <v>2024/9/1</v>
      </c>
      <c r="I1448" s="2" t="s">
        <v>1591</v>
      </c>
      <c r="J1448" s="2" t="str">
        <f t="shared" si="3"/>
        <v>Kopi cur</v>
      </c>
      <c r="K1448" s="7">
        <f>if(RIGHT(I1448,5)="2 pcs",2,Data!I1448)</f>
        <v>1</v>
      </c>
      <c r="L1448" s="2" t="str">
        <f t="shared" si="4"/>
        <v>Sunday</v>
      </c>
      <c r="M1448" s="2" t="str">
        <f t="shared" si="5"/>
        <v>1</v>
      </c>
      <c r="N1448" s="2">
        <f>VLOOKUP(L1448,'Data Info'!$A$1:$B$8,2,0)</f>
        <v>7</v>
      </c>
      <c r="O1448" s="2" t="str">
        <f>VLOOKUP(L1448,'Data Info'!$A$1:$C$8,3,0)</f>
        <v>Weekend</v>
      </c>
    </row>
    <row r="1449">
      <c r="A1449" s="4">
        <v>45536.77569444444</v>
      </c>
      <c r="B1449" s="9">
        <f>IFERROR(__xludf.DUMMYFUNCTION("SPLIT(A1449,"" "")"),45536.0)</f>
        <v>45536</v>
      </c>
      <c r="C1449" s="10">
        <f>IFERROR(__xludf.DUMMYFUNCTION("""COMPUTED_VALUE"""),0.7756944444444445)</f>
        <v>0.7756944444</v>
      </c>
      <c r="D1449" s="2">
        <f t="shared" si="1"/>
        <v>18</v>
      </c>
      <c r="E1449" s="2">
        <f>IFERROR(__xludf.DUMMYFUNCTION("SPLIT(B1449,""/"")"),1.0)</f>
        <v>1</v>
      </c>
      <c r="F1449" s="2">
        <f>IFERROR(__xludf.DUMMYFUNCTION("""COMPUTED_VALUE"""),9.0)</f>
        <v>9</v>
      </c>
      <c r="G1449" s="2">
        <f>IFERROR(__xludf.DUMMYFUNCTION("""COMPUTED_VALUE"""),2024.0)</f>
        <v>2024</v>
      </c>
      <c r="H1449" s="2" t="str">
        <f t="shared" si="2"/>
        <v>2024/9/1</v>
      </c>
      <c r="I1449" s="2" t="s">
        <v>1609</v>
      </c>
      <c r="J1449" s="2" t="str">
        <f t="shared" si="3"/>
        <v>Tempe Mendoan</v>
      </c>
      <c r="K1449" s="7">
        <f>if(RIGHT(I1449,5)="2 pcs",2,Data!I1449)</f>
        <v>1</v>
      </c>
      <c r="L1449" s="2" t="str">
        <f t="shared" si="4"/>
        <v>Sunday</v>
      </c>
      <c r="M1449" s="2" t="str">
        <f t="shared" si="5"/>
        <v>1</v>
      </c>
      <c r="N1449" s="2">
        <f>VLOOKUP(L1449,'Data Info'!$A$1:$B$8,2,0)</f>
        <v>7</v>
      </c>
      <c r="O1449" s="2" t="str">
        <f>VLOOKUP(L1449,'Data Info'!$A$1:$C$8,3,0)</f>
        <v>Weekend</v>
      </c>
    </row>
    <row r="1450">
      <c r="A1450" s="4">
        <v>45536.74722222222</v>
      </c>
      <c r="B1450" s="9">
        <f>IFERROR(__xludf.DUMMYFUNCTION("SPLIT(A1450,"" "")"),45536.0)</f>
        <v>45536</v>
      </c>
      <c r="C1450" s="10">
        <f>IFERROR(__xludf.DUMMYFUNCTION("""COMPUTED_VALUE"""),0.7472222222222222)</f>
        <v>0.7472222222</v>
      </c>
      <c r="D1450" s="2">
        <f t="shared" si="1"/>
        <v>17</v>
      </c>
      <c r="E1450" s="2">
        <f>IFERROR(__xludf.DUMMYFUNCTION("SPLIT(B1450,""/"")"),1.0)</f>
        <v>1</v>
      </c>
      <c r="F1450" s="2">
        <f>IFERROR(__xludf.DUMMYFUNCTION("""COMPUTED_VALUE"""),9.0)</f>
        <v>9</v>
      </c>
      <c r="G1450" s="2">
        <f>IFERROR(__xludf.DUMMYFUNCTION("""COMPUTED_VALUE"""),2024.0)</f>
        <v>2024</v>
      </c>
      <c r="H1450" s="2" t="str">
        <f t="shared" si="2"/>
        <v>2024/9/1</v>
      </c>
      <c r="I1450" s="2" t="s">
        <v>1595</v>
      </c>
      <c r="J1450" s="2" t="str">
        <f t="shared" si="3"/>
        <v>Roti Gandum Cokelat</v>
      </c>
      <c r="K1450" s="7">
        <f>if(RIGHT(I1450,5)="2 pcs",2,Data!I1450)</f>
        <v>1</v>
      </c>
      <c r="L1450" s="2" t="str">
        <f t="shared" si="4"/>
        <v>Sunday</v>
      </c>
      <c r="M1450" s="2" t="str">
        <f t="shared" si="5"/>
        <v>1</v>
      </c>
      <c r="N1450" s="2">
        <f>VLOOKUP(L1450,'Data Info'!$A$1:$B$8,2,0)</f>
        <v>7</v>
      </c>
      <c r="O1450" s="2" t="str">
        <f>VLOOKUP(L1450,'Data Info'!$A$1:$C$8,3,0)</f>
        <v>Weekend</v>
      </c>
    </row>
    <row r="1451">
      <c r="A1451" s="4">
        <v>45536.74722222222</v>
      </c>
      <c r="B1451" s="9">
        <f>IFERROR(__xludf.DUMMYFUNCTION("SPLIT(A1451,"" "")"),45536.0)</f>
        <v>45536</v>
      </c>
      <c r="C1451" s="10">
        <f>IFERROR(__xludf.DUMMYFUNCTION("""COMPUTED_VALUE"""),0.7472222222222222)</f>
        <v>0.7472222222</v>
      </c>
      <c r="D1451" s="2">
        <f t="shared" si="1"/>
        <v>17</v>
      </c>
      <c r="E1451" s="2">
        <f>IFERROR(__xludf.DUMMYFUNCTION("SPLIT(B1451,""/"")"),1.0)</f>
        <v>1</v>
      </c>
      <c r="F1451" s="2">
        <f>IFERROR(__xludf.DUMMYFUNCTION("""COMPUTED_VALUE"""),9.0)</f>
        <v>9</v>
      </c>
      <c r="G1451" s="2">
        <f>IFERROR(__xludf.DUMMYFUNCTION("""COMPUTED_VALUE"""),2024.0)</f>
        <v>2024</v>
      </c>
      <c r="H1451" s="2" t="str">
        <f t="shared" si="2"/>
        <v>2024/9/1</v>
      </c>
      <c r="I1451" s="2" t="s">
        <v>1576</v>
      </c>
      <c r="J1451" s="2" t="str">
        <f t="shared" si="3"/>
        <v>Roti Cranberry</v>
      </c>
      <c r="K1451" s="7">
        <f>if(RIGHT(I1451,5)="2 pcs",2,Data!I1451)</f>
        <v>1</v>
      </c>
      <c r="L1451" s="2" t="str">
        <f t="shared" si="4"/>
        <v>Sunday</v>
      </c>
      <c r="M1451" s="2" t="str">
        <f t="shared" si="5"/>
        <v>1</v>
      </c>
      <c r="N1451" s="2">
        <f>VLOOKUP(L1451,'Data Info'!$A$1:$B$8,2,0)</f>
        <v>7</v>
      </c>
      <c r="O1451" s="2" t="str">
        <f>VLOOKUP(L1451,'Data Info'!$A$1:$C$8,3,0)</f>
        <v>Weekend</v>
      </c>
    </row>
    <row r="1452">
      <c r="A1452" s="4">
        <v>45536.73263888889</v>
      </c>
      <c r="B1452" s="9">
        <f>IFERROR(__xludf.DUMMYFUNCTION("SPLIT(A1452,"" "")"),45536.0)</f>
        <v>45536</v>
      </c>
      <c r="C1452" s="10">
        <f>IFERROR(__xludf.DUMMYFUNCTION("""COMPUTED_VALUE"""),0.7326388888888888)</f>
        <v>0.7326388889</v>
      </c>
      <c r="D1452" s="2">
        <f t="shared" si="1"/>
        <v>17</v>
      </c>
      <c r="E1452" s="2">
        <f>IFERROR(__xludf.DUMMYFUNCTION("SPLIT(B1452,""/"")"),1.0)</f>
        <v>1</v>
      </c>
      <c r="F1452" s="2">
        <f>IFERROR(__xludf.DUMMYFUNCTION("""COMPUTED_VALUE"""),9.0)</f>
        <v>9</v>
      </c>
      <c r="G1452" s="2">
        <f>IFERROR(__xludf.DUMMYFUNCTION("""COMPUTED_VALUE"""),2024.0)</f>
        <v>2024</v>
      </c>
      <c r="H1452" s="2" t="str">
        <f t="shared" si="2"/>
        <v>2024/9/1</v>
      </c>
      <c r="I1452" s="2" t="s">
        <v>1607</v>
      </c>
      <c r="J1452" s="2" t="str">
        <f t="shared" si="3"/>
        <v>Tahu walik</v>
      </c>
      <c r="K1452" s="7">
        <f>if(RIGHT(I1452,5)="2 pcs",2,Data!I1452)</f>
        <v>2</v>
      </c>
      <c r="L1452" s="2" t="str">
        <f t="shared" si="4"/>
        <v>Sunday</v>
      </c>
      <c r="M1452" s="2" t="str">
        <f t="shared" si="5"/>
        <v>1</v>
      </c>
      <c r="N1452" s="2">
        <f>VLOOKUP(L1452,'Data Info'!$A$1:$B$8,2,0)</f>
        <v>7</v>
      </c>
      <c r="O1452" s="2" t="str">
        <f>VLOOKUP(L1452,'Data Info'!$A$1:$C$8,3,0)</f>
        <v>Weekend</v>
      </c>
    </row>
    <row r="1453">
      <c r="A1453" s="4">
        <v>45536.73263888889</v>
      </c>
      <c r="B1453" s="9">
        <f>IFERROR(__xludf.DUMMYFUNCTION("SPLIT(A1453,"" "")"),45536.0)</f>
        <v>45536</v>
      </c>
      <c r="C1453" s="10">
        <f>IFERROR(__xludf.DUMMYFUNCTION("""COMPUTED_VALUE"""),0.7326388888888888)</f>
        <v>0.7326388889</v>
      </c>
      <c r="D1453" s="2">
        <f t="shared" si="1"/>
        <v>17</v>
      </c>
      <c r="E1453" s="2">
        <f>IFERROR(__xludf.DUMMYFUNCTION("SPLIT(B1453,""/"")"),1.0)</f>
        <v>1</v>
      </c>
      <c r="F1453" s="2">
        <f>IFERROR(__xludf.DUMMYFUNCTION("""COMPUTED_VALUE"""),9.0)</f>
        <v>9</v>
      </c>
      <c r="G1453" s="2">
        <f>IFERROR(__xludf.DUMMYFUNCTION("""COMPUTED_VALUE"""),2024.0)</f>
        <v>2024</v>
      </c>
      <c r="H1453" s="2" t="str">
        <f t="shared" si="2"/>
        <v>2024/9/1</v>
      </c>
      <c r="I1453" s="2" t="s">
        <v>1609</v>
      </c>
      <c r="J1453" s="2" t="str">
        <f t="shared" si="3"/>
        <v>Tempe Mendoan</v>
      </c>
      <c r="K1453" s="7">
        <f>if(RIGHT(I1453,5)="2 pcs",2,Data!I1453)</f>
        <v>2</v>
      </c>
      <c r="L1453" s="2" t="str">
        <f t="shared" si="4"/>
        <v>Sunday</v>
      </c>
      <c r="M1453" s="2" t="str">
        <f t="shared" si="5"/>
        <v>1</v>
      </c>
      <c r="N1453" s="2">
        <f>VLOOKUP(L1453,'Data Info'!$A$1:$B$8,2,0)</f>
        <v>7</v>
      </c>
      <c r="O1453" s="2" t="str">
        <f>VLOOKUP(L1453,'Data Info'!$A$1:$C$8,3,0)</f>
        <v>Weekend</v>
      </c>
    </row>
    <row r="1454">
      <c r="A1454" s="4">
        <v>45536.73263888889</v>
      </c>
      <c r="B1454" s="9">
        <f>IFERROR(__xludf.DUMMYFUNCTION("SPLIT(A1454,"" "")"),45536.0)</f>
        <v>45536</v>
      </c>
      <c r="C1454" s="10">
        <f>IFERROR(__xludf.DUMMYFUNCTION("""COMPUTED_VALUE"""),0.7326388888888888)</f>
        <v>0.7326388889</v>
      </c>
      <c r="D1454" s="2">
        <f t="shared" si="1"/>
        <v>17</v>
      </c>
      <c r="E1454" s="2">
        <f>IFERROR(__xludf.DUMMYFUNCTION("SPLIT(B1454,""/"")"),1.0)</f>
        <v>1</v>
      </c>
      <c r="F1454" s="2">
        <f>IFERROR(__xludf.DUMMYFUNCTION("""COMPUTED_VALUE"""),9.0)</f>
        <v>9</v>
      </c>
      <c r="G1454" s="2">
        <f>IFERROR(__xludf.DUMMYFUNCTION("""COMPUTED_VALUE"""),2024.0)</f>
        <v>2024</v>
      </c>
      <c r="H1454" s="2" t="str">
        <f t="shared" si="2"/>
        <v>2024/9/1</v>
      </c>
      <c r="I1454" s="2" t="s">
        <v>1606</v>
      </c>
      <c r="J1454" s="2" t="str">
        <f t="shared" si="3"/>
        <v>Pisang Goreng</v>
      </c>
      <c r="K1454" s="7">
        <f>if(RIGHT(I1454,5)="2 pcs",2,Data!I1454)</f>
        <v>1</v>
      </c>
      <c r="L1454" s="2" t="str">
        <f t="shared" si="4"/>
        <v>Sunday</v>
      </c>
      <c r="M1454" s="2" t="str">
        <f t="shared" si="5"/>
        <v>1</v>
      </c>
      <c r="N1454" s="2">
        <f>VLOOKUP(L1454,'Data Info'!$A$1:$B$8,2,0)</f>
        <v>7</v>
      </c>
      <c r="O1454" s="2" t="str">
        <f>VLOOKUP(L1454,'Data Info'!$A$1:$C$8,3,0)</f>
        <v>Weekend</v>
      </c>
    </row>
    <row r="1455">
      <c r="A1455" s="4">
        <v>45536.69027777778</v>
      </c>
      <c r="B1455" s="9">
        <f>IFERROR(__xludf.DUMMYFUNCTION("SPLIT(A1455,"" "")"),45536.0)</f>
        <v>45536</v>
      </c>
      <c r="C1455" s="10">
        <f>IFERROR(__xludf.DUMMYFUNCTION("""COMPUTED_VALUE"""),0.6902777777777778)</f>
        <v>0.6902777778</v>
      </c>
      <c r="D1455" s="2">
        <f t="shared" si="1"/>
        <v>16</v>
      </c>
      <c r="E1455" s="2">
        <f>IFERROR(__xludf.DUMMYFUNCTION("SPLIT(B1455,""/"")"),1.0)</f>
        <v>1</v>
      </c>
      <c r="F1455" s="2">
        <f>IFERROR(__xludf.DUMMYFUNCTION("""COMPUTED_VALUE"""),9.0)</f>
        <v>9</v>
      </c>
      <c r="G1455" s="2">
        <f>IFERROR(__xludf.DUMMYFUNCTION("""COMPUTED_VALUE"""),2024.0)</f>
        <v>2024</v>
      </c>
      <c r="H1455" s="2" t="str">
        <f t="shared" si="2"/>
        <v>2024/9/1</v>
      </c>
      <c r="I1455" s="2" t="s">
        <v>1588</v>
      </c>
      <c r="J1455" s="2" t="str">
        <f t="shared" si="3"/>
        <v>Es Kopi Susu</v>
      </c>
      <c r="K1455" s="7">
        <f>if(RIGHT(I1455,5)="2 pcs",2,Data!I1455)</f>
        <v>1</v>
      </c>
      <c r="L1455" s="2" t="str">
        <f t="shared" si="4"/>
        <v>Sunday</v>
      </c>
      <c r="M1455" s="2" t="str">
        <f t="shared" si="5"/>
        <v>1</v>
      </c>
      <c r="N1455" s="2">
        <f>VLOOKUP(L1455,'Data Info'!$A$1:$B$8,2,0)</f>
        <v>7</v>
      </c>
      <c r="O1455" s="2" t="str">
        <f>VLOOKUP(L1455,'Data Info'!$A$1:$C$8,3,0)</f>
        <v>Weekend</v>
      </c>
    </row>
    <row r="1456">
      <c r="A1456" s="4">
        <v>45536.69027777778</v>
      </c>
      <c r="B1456" s="9">
        <f>IFERROR(__xludf.DUMMYFUNCTION("SPLIT(A1456,"" "")"),45536.0)</f>
        <v>45536</v>
      </c>
      <c r="C1456" s="10">
        <f>IFERROR(__xludf.DUMMYFUNCTION("""COMPUTED_VALUE"""),0.6902777777777778)</f>
        <v>0.6902777778</v>
      </c>
      <c r="D1456" s="2">
        <f t="shared" si="1"/>
        <v>16</v>
      </c>
      <c r="E1456" s="2">
        <f>IFERROR(__xludf.DUMMYFUNCTION("SPLIT(B1456,""/"")"),1.0)</f>
        <v>1</v>
      </c>
      <c r="F1456" s="2">
        <f>IFERROR(__xludf.DUMMYFUNCTION("""COMPUTED_VALUE"""),9.0)</f>
        <v>9</v>
      </c>
      <c r="G1456" s="2">
        <f>IFERROR(__xludf.DUMMYFUNCTION("""COMPUTED_VALUE"""),2024.0)</f>
        <v>2024</v>
      </c>
      <c r="H1456" s="2" t="str">
        <f t="shared" si="2"/>
        <v>2024/9/1</v>
      </c>
      <c r="I1456" s="2" t="s">
        <v>1594</v>
      </c>
      <c r="J1456" s="2" t="str">
        <f t="shared" si="3"/>
        <v>Wedang Bulan</v>
      </c>
      <c r="K1456" s="7">
        <f>if(RIGHT(I1456,5)="2 pcs",2,Data!I1456)</f>
        <v>1</v>
      </c>
      <c r="L1456" s="2" t="str">
        <f t="shared" si="4"/>
        <v>Sunday</v>
      </c>
      <c r="M1456" s="2" t="str">
        <f t="shared" si="5"/>
        <v>1</v>
      </c>
      <c r="N1456" s="2">
        <f>VLOOKUP(L1456,'Data Info'!$A$1:$B$8,2,0)</f>
        <v>7</v>
      </c>
      <c r="O1456" s="2" t="str">
        <f>VLOOKUP(L1456,'Data Info'!$A$1:$C$8,3,0)</f>
        <v>Weekend</v>
      </c>
    </row>
    <row r="1457">
      <c r="A1457" s="4">
        <v>45536.677083333336</v>
      </c>
      <c r="B1457" s="9">
        <f>IFERROR(__xludf.DUMMYFUNCTION("SPLIT(A1457,"" "")"),45536.0)</f>
        <v>45536</v>
      </c>
      <c r="C1457" s="10">
        <f>IFERROR(__xludf.DUMMYFUNCTION("""COMPUTED_VALUE"""),0.6770833333333334)</f>
        <v>0.6770833333</v>
      </c>
      <c r="D1457" s="2">
        <f t="shared" si="1"/>
        <v>16</v>
      </c>
      <c r="E1457" s="2">
        <f>IFERROR(__xludf.DUMMYFUNCTION("SPLIT(B1457,""/"")"),1.0)</f>
        <v>1</v>
      </c>
      <c r="F1457" s="2">
        <f>IFERROR(__xludf.DUMMYFUNCTION("""COMPUTED_VALUE"""),9.0)</f>
        <v>9</v>
      </c>
      <c r="G1457" s="2">
        <f>IFERROR(__xludf.DUMMYFUNCTION("""COMPUTED_VALUE"""),2024.0)</f>
        <v>2024</v>
      </c>
      <c r="H1457" s="2" t="str">
        <f t="shared" si="2"/>
        <v>2024/9/1</v>
      </c>
      <c r="I1457" s="2" t="s">
        <v>1588</v>
      </c>
      <c r="J1457" s="2" t="str">
        <f t="shared" si="3"/>
        <v>Es Kopi Susu</v>
      </c>
      <c r="K1457" s="7">
        <f>if(RIGHT(I1457,5)="2 pcs",2,Data!I1457)</f>
        <v>1</v>
      </c>
      <c r="L1457" s="2" t="str">
        <f t="shared" si="4"/>
        <v>Sunday</v>
      </c>
      <c r="M1457" s="2" t="str">
        <f t="shared" si="5"/>
        <v>1</v>
      </c>
      <c r="N1457" s="2">
        <f>VLOOKUP(L1457,'Data Info'!$A$1:$B$8,2,0)</f>
        <v>7</v>
      </c>
      <c r="O1457" s="2" t="str">
        <f>VLOOKUP(L1457,'Data Info'!$A$1:$C$8,3,0)</f>
        <v>Weekend</v>
      </c>
    </row>
    <row r="1458">
      <c r="A1458" s="4">
        <v>45536.66458333333</v>
      </c>
      <c r="B1458" s="9">
        <f>IFERROR(__xludf.DUMMYFUNCTION("SPLIT(A1458,"" "")"),45536.0)</f>
        <v>45536</v>
      </c>
      <c r="C1458" s="10">
        <f>IFERROR(__xludf.DUMMYFUNCTION("""COMPUTED_VALUE"""),0.6645833333333333)</f>
        <v>0.6645833333</v>
      </c>
      <c r="D1458" s="2">
        <f t="shared" si="1"/>
        <v>15</v>
      </c>
      <c r="E1458" s="2">
        <f>IFERROR(__xludf.DUMMYFUNCTION("SPLIT(B1458,""/"")"),1.0)</f>
        <v>1</v>
      </c>
      <c r="F1458" s="2">
        <f>IFERROR(__xludf.DUMMYFUNCTION("""COMPUTED_VALUE"""),9.0)</f>
        <v>9</v>
      </c>
      <c r="G1458" s="2">
        <f>IFERROR(__xludf.DUMMYFUNCTION("""COMPUTED_VALUE"""),2024.0)</f>
        <v>2024</v>
      </c>
      <c r="H1458" s="2" t="str">
        <f t="shared" si="2"/>
        <v>2024/9/1</v>
      </c>
      <c r="I1458" s="2" t="s">
        <v>1576</v>
      </c>
      <c r="J1458" s="2" t="str">
        <f t="shared" si="3"/>
        <v>Roti Cranberry</v>
      </c>
      <c r="K1458" s="7">
        <f>if(RIGHT(I1458,5)="2 pcs",2,Data!I1458)</f>
        <v>1</v>
      </c>
      <c r="L1458" s="2" t="str">
        <f t="shared" si="4"/>
        <v>Sunday</v>
      </c>
      <c r="M1458" s="2" t="str">
        <f t="shared" si="5"/>
        <v>1</v>
      </c>
      <c r="N1458" s="2">
        <f>VLOOKUP(L1458,'Data Info'!$A$1:$B$8,2,0)</f>
        <v>7</v>
      </c>
      <c r="O1458" s="2" t="str">
        <f>VLOOKUP(L1458,'Data Info'!$A$1:$C$8,3,0)</f>
        <v>Weekend</v>
      </c>
    </row>
    <row r="1459">
      <c r="A1459" s="4">
        <v>45536.66458333333</v>
      </c>
      <c r="B1459" s="9">
        <f>IFERROR(__xludf.DUMMYFUNCTION("SPLIT(A1459,"" "")"),45536.0)</f>
        <v>45536</v>
      </c>
      <c r="C1459" s="10">
        <f>IFERROR(__xludf.DUMMYFUNCTION("""COMPUTED_VALUE"""),0.6645833333333333)</f>
        <v>0.6645833333</v>
      </c>
      <c r="D1459" s="2">
        <f t="shared" si="1"/>
        <v>15</v>
      </c>
      <c r="E1459" s="2">
        <f>IFERROR(__xludf.DUMMYFUNCTION("SPLIT(B1459,""/"")"),1.0)</f>
        <v>1</v>
      </c>
      <c r="F1459" s="2">
        <f>IFERROR(__xludf.DUMMYFUNCTION("""COMPUTED_VALUE"""),9.0)</f>
        <v>9</v>
      </c>
      <c r="G1459" s="2">
        <f>IFERROR(__xludf.DUMMYFUNCTION("""COMPUTED_VALUE"""),2024.0)</f>
        <v>2024</v>
      </c>
      <c r="H1459" s="2" t="str">
        <f t="shared" si="2"/>
        <v>2024/9/1</v>
      </c>
      <c r="I1459" s="2" t="s">
        <v>1604</v>
      </c>
      <c r="J1459" s="2" t="str">
        <f t="shared" si="3"/>
        <v>Teh Tawar Panas</v>
      </c>
      <c r="K1459" s="7">
        <f>if(RIGHT(I1459,5)="2 pcs",2,Data!I1459)</f>
        <v>1</v>
      </c>
      <c r="L1459" s="2" t="str">
        <f t="shared" si="4"/>
        <v>Sunday</v>
      </c>
      <c r="M1459" s="2" t="str">
        <f t="shared" si="5"/>
        <v>1</v>
      </c>
      <c r="N1459" s="2">
        <f>VLOOKUP(L1459,'Data Info'!$A$1:$B$8,2,0)</f>
        <v>7</v>
      </c>
      <c r="O1459" s="2" t="str">
        <f>VLOOKUP(L1459,'Data Info'!$A$1:$C$8,3,0)</f>
        <v>Weekend</v>
      </c>
    </row>
    <row r="1460">
      <c r="A1460" s="4">
        <v>45536.66111111111</v>
      </c>
      <c r="B1460" s="9">
        <f>IFERROR(__xludf.DUMMYFUNCTION("SPLIT(A1460,"" "")"),45536.0)</f>
        <v>45536</v>
      </c>
      <c r="C1460" s="10">
        <f>IFERROR(__xludf.DUMMYFUNCTION("""COMPUTED_VALUE"""),0.6611111111111111)</f>
        <v>0.6611111111</v>
      </c>
      <c r="D1460" s="2">
        <f t="shared" si="1"/>
        <v>15</v>
      </c>
      <c r="E1460" s="2">
        <f>IFERROR(__xludf.DUMMYFUNCTION("SPLIT(B1460,""/"")"),1.0)</f>
        <v>1</v>
      </c>
      <c r="F1460" s="2">
        <f>IFERROR(__xludf.DUMMYFUNCTION("""COMPUTED_VALUE"""),9.0)</f>
        <v>9</v>
      </c>
      <c r="G1460" s="2">
        <f>IFERROR(__xludf.DUMMYFUNCTION("""COMPUTED_VALUE"""),2024.0)</f>
        <v>2024</v>
      </c>
      <c r="H1460" s="2" t="str">
        <f t="shared" si="2"/>
        <v>2024/9/1</v>
      </c>
      <c r="I1460" s="2" t="s">
        <v>1588</v>
      </c>
      <c r="J1460" s="2" t="str">
        <f t="shared" si="3"/>
        <v>Es Kopi Susu</v>
      </c>
      <c r="K1460" s="7">
        <f>if(RIGHT(I1460,5)="2 pcs",2,Data!I1460)</f>
        <v>1</v>
      </c>
      <c r="L1460" s="2" t="str">
        <f t="shared" si="4"/>
        <v>Sunday</v>
      </c>
      <c r="M1460" s="2" t="str">
        <f t="shared" si="5"/>
        <v>1</v>
      </c>
      <c r="N1460" s="2">
        <f>VLOOKUP(L1460,'Data Info'!$A$1:$B$8,2,0)</f>
        <v>7</v>
      </c>
      <c r="O1460" s="2" t="str">
        <f>VLOOKUP(L1460,'Data Info'!$A$1:$C$8,3,0)</f>
        <v>Weekend</v>
      </c>
    </row>
    <row r="1461">
      <c r="A1461" s="4">
        <v>45536.66111111111</v>
      </c>
      <c r="B1461" s="9">
        <f>IFERROR(__xludf.DUMMYFUNCTION("SPLIT(A1461,"" "")"),45536.0)</f>
        <v>45536</v>
      </c>
      <c r="C1461" s="10">
        <f>IFERROR(__xludf.DUMMYFUNCTION("""COMPUTED_VALUE"""),0.6611111111111111)</f>
        <v>0.6611111111</v>
      </c>
      <c r="D1461" s="2">
        <f t="shared" si="1"/>
        <v>15</v>
      </c>
      <c r="E1461" s="2">
        <f>IFERROR(__xludf.DUMMYFUNCTION("SPLIT(B1461,""/"")"),1.0)</f>
        <v>1</v>
      </c>
      <c r="F1461" s="2">
        <f>IFERROR(__xludf.DUMMYFUNCTION("""COMPUTED_VALUE"""),9.0)</f>
        <v>9</v>
      </c>
      <c r="G1461" s="2">
        <f>IFERROR(__xludf.DUMMYFUNCTION("""COMPUTED_VALUE"""),2024.0)</f>
        <v>2024</v>
      </c>
      <c r="H1461" s="2" t="str">
        <f t="shared" si="2"/>
        <v>2024/9/1</v>
      </c>
      <c r="I1461" s="2" t="s">
        <v>1581</v>
      </c>
      <c r="J1461" s="2" t="str">
        <f t="shared" si="3"/>
        <v>Chicken Claypot Rice</v>
      </c>
      <c r="K1461" s="7">
        <f>if(RIGHT(I1461,5)="2 pcs",2,Data!I1461)</f>
        <v>1</v>
      </c>
      <c r="L1461" s="2" t="str">
        <f t="shared" si="4"/>
        <v>Sunday</v>
      </c>
      <c r="M1461" s="2" t="str">
        <f t="shared" si="5"/>
        <v>1</v>
      </c>
      <c r="N1461" s="2">
        <f>VLOOKUP(L1461,'Data Info'!$A$1:$B$8,2,0)</f>
        <v>7</v>
      </c>
      <c r="O1461" s="2" t="str">
        <f>VLOOKUP(L1461,'Data Info'!$A$1:$C$8,3,0)</f>
        <v>Weekend</v>
      </c>
    </row>
    <row r="1462">
      <c r="A1462" s="4">
        <v>45536.66111111111</v>
      </c>
      <c r="B1462" s="9">
        <f>IFERROR(__xludf.DUMMYFUNCTION("SPLIT(A1462,"" "")"),45536.0)</f>
        <v>45536</v>
      </c>
      <c r="C1462" s="10">
        <f>IFERROR(__xludf.DUMMYFUNCTION("""COMPUTED_VALUE"""),0.6611111111111111)</f>
        <v>0.6611111111</v>
      </c>
      <c r="D1462" s="2">
        <f t="shared" si="1"/>
        <v>15</v>
      </c>
      <c r="E1462" s="2">
        <f>IFERROR(__xludf.DUMMYFUNCTION("SPLIT(B1462,""/"")"),1.0)</f>
        <v>1</v>
      </c>
      <c r="F1462" s="2">
        <f>IFERROR(__xludf.DUMMYFUNCTION("""COMPUTED_VALUE"""),9.0)</f>
        <v>9</v>
      </c>
      <c r="G1462" s="2">
        <f>IFERROR(__xludf.DUMMYFUNCTION("""COMPUTED_VALUE"""),2024.0)</f>
        <v>2024</v>
      </c>
      <c r="H1462" s="2" t="str">
        <f t="shared" si="2"/>
        <v>2024/9/1</v>
      </c>
      <c r="I1462" s="2" t="s">
        <v>1576</v>
      </c>
      <c r="J1462" s="2" t="str">
        <f t="shared" si="3"/>
        <v>Roti Cranberry</v>
      </c>
      <c r="K1462" s="7">
        <f>if(RIGHT(I1462,5)="2 pcs",2,Data!I1462)</f>
        <v>1</v>
      </c>
      <c r="L1462" s="2" t="str">
        <f t="shared" si="4"/>
        <v>Sunday</v>
      </c>
      <c r="M1462" s="2" t="str">
        <f t="shared" si="5"/>
        <v>1</v>
      </c>
      <c r="N1462" s="2">
        <f>VLOOKUP(L1462,'Data Info'!$A$1:$B$8,2,0)</f>
        <v>7</v>
      </c>
      <c r="O1462" s="2" t="str">
        <f>VLOOKUP(L1462,'Data Info'!$A$1:$C$8,3,0)</f>
        <v>Weekend</v>
      </c>
    </row>
    <row r="1463">
      <c r="A1463" s="4">
        <v>45536.66111111111</v>
      </c>
      <c r="B1463" s="9">
        <f>IFERROR(__xludf.DUMMYFUNCTION("SPLIT(A1463,"" "")"),45536.0)</f>
        <v>45536</v>
      </c>
      <c r="C1463" s="10">
        <f>IFERROR(__xludf.DUMMYFUNCTION("""COMPUTED_VALUE"""),0.6611111111111111)</f>
        <v>0.6611111111</v>
      </c>
      <c r="D1463" s="2">
        <f t="shared" si="1"/>
        <v>15</v>
      </c>
      <c r="E1463" s="2">
        <f>IFERROR(__xludf.DUMMYFUNCTION("SPLIT(B1463,""/"")"),1.0)</f>
        <v>1</v>
      </c>
      <c r="F1463" s="2">
        <f>IFERROR(__xludf.DUMMYFUNCTION("""COMPUTED_VALUE"""),9.0)</f>
        <v>9</v>
      </c>
      <c r="G1463" s="2">
        <f>IFERROR(__xludf.DUMMYFUNCTION("""COMPUTED_VALUE"""),2024.0)</f>
        <v>2024</v>
      </c>
      <c r="H1463" s="2" t="str">
        <f t="shared" si="2"/>
        <v>2024/9/1</v>
      </c>
      <c r="I1463" s="2" t="s">
        <v>1607</v>
      </c>
      <c r="J1463" s="2" t="str">
        <f t="shared" si="3"/>
        <v>Tahu walik</v>
      </c>
      <c r="K1463" s="7">
        <f>if(RIGHT(I1463,5)="2 pcs",2,Data!I1463)</f>
        <v>1</v>
      </c>
      <c r="L1463" s="2" t="str">
        <f t="shared" si="4"/>
        <v>Sunday</v>
      </c>
      <c r="M1463" s="2" t="str">
        <f t="shared" si="5"/>
        <v>1</v>
      </c>
      <c r="N1463" s="2">
        <f>VLOOKUP(L1463,'Data Info'!$A$1:$B$8,2,0)</f>
        <v>7</v>
      </c>
      <c r="O1463" s="2" t="str">
        <f>VLOOKUP(L1463,'Data Info'!$A$1:$C$8,3,0)</f>
        <v>Weekend</v>
      </c>
    </row>
    <row r="1464">
      <c r="A1464" s="4">
        <v>45536.65347222222</v>
      </c>
      <c r="B1464" s="9">
        <f>IFERROR(__xludf.DUMMYFUNCTION("SPLIT(A1464,"" "")"),45536.0)</f>
        <v>45536</v>
      </c>
      <c r="C1464" s="10">
        <f>IFERROR(__xludf.DUMMYFUNCTION("""COMPUTED_VALUE"""),0.6534722222222222)</f>
        <v>0.6534722222</v>
      </c>
      <c r="D1464" s="2">
        <f t="shared" si="1"/>
        <v>15</v>
      </c>
      <c r="E1464" s="2">
        <f>IFERROR(__xludf.DUMMYFUNCTION("SPLIT(B1464,""/"")"),1.0)</f>
        <v>1</v>
      </c>
      <c r="F1464" s="2">
        <f>IFERROR(__xludf.DUMMYFUNCTION("""COMPUTED_VALUE"""),9.0)</f>
        <v>9</v>
      </c>
      <c r="G1464" s="2">
        <f>IFERROR(__xludf.DUMMYFUNCTION("""COMPUTED_VALUE"""),2024.0)</f>
        <v>2024</v>
      </c>
      <c r="H1464" s="2" t="str">
        <f t="shared" si="2"/>
        <v>2024/9/1</v>
      </c>
      <c r="I1464" s="2" t="s">
        <v>1617</v>
      </c>
      <c r="J1464" s="2" t="str">
        <f t="shared" si="3"/>
        <v>Lemon Tea Dingin</v>
      </c>
      <c r="K1464" s="7">
        <f>if(RIGHT(I1464,5)="2 pcs",2,Data!I1464)</f>
        <v>1</v>
      </c>
      <c r="L1464" s="2" t="str">
        <f t="shared" si="4"/>
        <v>Sunday</v>
      </c>
      <c r="M1464" s="2" t="str">
        <f t="shared" si="5"/>
        <v>1</v>
      </c>
      <c r="N1464" s="2">
        <f>VLOOKUP(L1464,'Data Info'!$A$1:$B$8,2,0)</f>
        <v>7</v>
      </c>
      <c r="O1464" s="2" t="str">
        <f>VLOOKUP(L1464,'Data Info'!$A$1:$C$8,3,0)</f>
        <v>Weekend</v>
      </c>
    </row>
    <row r="1465">
      <c r="A1465" s="4">
        <v>45536.643055555556</v>
      </c>
      <c r="B1465" s="9">
        <f>IFERROR(__xludf.DUMMYFUNCTION("SPLIT(A1465,"" "")"),45536.0)</f>
        <v>45536</v>
      </c>
      <c r="C1465" s="10">
        <f>IFERROR(__xludf.DUMMYFUNCTION("""COMPUTED_VALUE"""),0.6430555555555556)</f>
        <v>0.6430555556</v>
      </c>
      <c r="D1465" s="2">
        <f t="shared" si="1"/>
        <v>15</v>
      </c>
      <c r="E1465" s="2">
        <f>IFERROR(__xludf.DUMMYFUNCTION("SPLIT(B1465,""/"")"),1.0)</f>
        <v>1</v>
      </c>
      <c r="F1465" s="2">
        <f>IFERROR(__xludf.DUMMYFUNCTION("""COMPUTED_VALUE"""),9.0)</f>
        <v>9</v>
      </c>
      <c r="G1465" s="2">
        <f>IFERROR(__xludf.DUMMYFUNCTION("""COMPUTED_VALUE"""),2024.0)</f>
        <v>2024</v>
      </c>
      <c r="H1465" s="2" t="str">
        <f t="shared" si="2"/>
        <v>2024/9/1</v>
      </c>
      <c r="I1465" s="2" t="s">
        <v>1588</v>
      </c>
      <c r="J1465" s="2" t="str">
        <f t="shared" si="3"/>
        <v>Es Kopi Susu</v>
      </c>
      <c r="K1465" s="7">
        <f>if(RIGHT(I1465,5)="2 pcs",2,Data!I1465)</f>
        <v>1</v>
      </c>
      <c r="L1465" s="2" t="str">
        <f t="shared" si="4"/>
        <v>Sunday</v>
      </c>
      <c r="M1465" s="2" t="str">
        <f t="shared" si="5"/>
        <v>1</v>
      </c>
      <c r="N1465" s="2">
        <f>VLOOKUP(L1465,'Data Info'!$A$1:$B$8,2,0)</f>
        <v>7</v>
      </c>
      <c r="O1465" s="2" t="str">
        <f>VLOOKUP(L1465,'Data Info'!$A$1:$C$8,3,0)</f>
        <v>Weekend</v>
      </c>
    </row>
    <row r="1466">
      <c r="A1466" s="4">
        <v>45536.643055555556</v>
      </c>
      <c r="B1466" s="9">
        <f>IFERROR(__xludf.DUMMYFUNCTION("SPLIT(A1466,"" "")"),45536.0)</f>
        <v>45536</v>
      </c>
      <c r="C1466" s="10">
        <f>IFERROR(__xludf.DUMMYFUNCTION("""COMPUTED_VALUE"""),0.6430555555555556)</f>
        <v>0.6430555556</v>
      </c>
      <c r="D1466" s="2">
        <f t="shared" si="1"/>
        <v>15</v>
      </c>
      <c r="E1466" s="2">
        <f>IFERROR(__xludf.DUMMYFUNCTION("SPLIT(B1466,""/"")"),1.0)</f>
        <v>1</v>
      </c>
      <c r="F1466" s="2">
        <f>IFERROR(__xludf.DUMMYFUNCTION("""COMPUTED_VALUE"""),9.0)</f>
        <v>9</v>
      </c>
      <c r="G1466" s="2">
        <f>IFERROR(__xludf.DUMMYFUNCTION("""COMPUTED_VALUE"""),2024.0)</f>
        <v>2024</v>
      </c>
      <c r="H1466" s="2" t="str">
        <f t="shared" si="2"/>
        <v>2024/9/1</v>
      </c>
      <c r="I1466" s="2" t="s">
        <v>1596</v>
      </c>
      <c r="J1466" s="2" t="str">
        <f t="shared" si="3"/>
        <v>Roti Cranberry</v>
      </c>
      <c r="K1466" s="7">
        <f>if(RIGHT(I1466,5)="2 pcs",2,Data!I1466)</f>
        <v>2</v>
      </c>
      <c r="L1466" s="2" t="str">
        <f t="shared" si="4"/>
        <v>Sunday</v>
      </c>
      <c r="M1466" s="2" t="str">
        <f t="shared" si="5"/>
        <v>1</v>
      </c>
      <c r="N1466" s="2">
        <f>VLOOKUP(L1466,'Data Info'!$A$1:$B$8,2,0)</f>
        <v>7</v>
      </c>
      <c r="O1466" s="2" t="str">
        <f>VLOOKUP(L1466,'Data Info'!$A$1:$C$8,3,0)</f>
        <v>Weekend</v>
      </c>
    </row>
    <row r="1467">
      <c r="A1467" s="4">
        <v>45536.64236111111</v>
      </c>
      <c r="B1467" s="9">
        <f>IFERROR(__xludf.DUMMYFUNCTION("SPLIT(A1467,"" "")"),45536.0)</f>
        <v>45536</v>
      </c>
      <c r="C1467" s="10">
        <f>IFERROR(__xludf.DUMMYFUNCTION("""COMPUTED_VALUE"""),0.6423611111111112)</f>
        <v>0.6423611111</v>
      </c>
      <c r="D1467" s="2">
        <f t="shared" si="1"/>
        <v>15</v>
      </c>
      <c r="E1467" s="2">
        <f>IFERROR(__xludf.DUMMYFUNCTION("SPLIT(B1467,""/"")"),1.0)</f>
        <v>1</v>
      </c>
      <c r="F1467" s="2">
        <f>IFERROR(__xludf.DUMMYFUNCTION("""COMPUTED_VALUE"""),9.0)</f>
        <v>9</v>
      </c>
      <c r="G1467" s="2">
        <f>IFERROR(__xludf.DUMMYFUNCTION("""COMPUTED_VALUE"""),2024.0)</f>
        <v>2024</v>
      </c>
      <c r="H1467" s="2" t="str">
        <f t="shared" si="2"/>
        <v>2024/9/1</v>
      </c>
      <c r="I1467" s="2" t="s">
        <v>1581</v>
      </c>
      <c r="J1467" s="2" t="str">
        <f t="shared" si="3"/>
        <v>Chicken Claypot Rice</v>
      </c>
      <c r="K1467" s="7">
        <f>if(RIGHT(I1467,5)="2 pcs",2,Data!I1467)</f>
        <v>2</v>
      </c>
      <c r="L1467" s="2" t="str">
        <f t="shared" si="4"/>
        <v>Sunday</v>
      </c>
      <c r="M1467" s="2" t="str">
        <f t="shared" si="5"/>
        <v>1</v>
      </c>
      <c r="N1467" s="2">
        <f>VLOOKUP(L1467,'Data Info'!$A$1:$B$8,2,0)</f>
        <v>7</v>
      </c>
      <c r="O1467" s="2" t="str">
        <f>VLOOKUP(L1467,'Data Info'!$A$1:$C$8,3,0)</f>
        <v>Weekend</v>
      </c>
    </row>
    <row r="1468">
      <c r="A1468" s="4">
        <v>45536.64236111111</v>
      </c>
      <c r="B1468" s="9">
        <f>IFERROR(__xludf.DUMMYFUNCTION("SPLIT(A1468,"" "")"),45536.0)</f>
        <v>45536</v>
      </c>
      <c r="C1468" s="10">
        <f>IFERROR(__xludf.DUMMYFUNCTION("""COMPUTED_VALUE"""),0.6423611111111112)</f>
        <v>0.6423611111</v>
      </c>
      <c r="D1468" s="2">
        <f t="shared" si="1"/>
        <v>15</v>
      </c>
      <c r="E1468" s="2">
        <f>IFERROR(__xludf.DUMMYFUNCTION("SPLIT(B1468,""/"")"),1.0)</f>
        <v>1</v>
      </c>
      <c r="F1468" s="2">
        <f>IFERROR(__xludf.DUMMYFUNCTION("""COMPUTED_VALUE"""),9.0)</f>
        <v>9</v>
      </c>
      <c r="G1468" s="2">
        <f>IFERROR(__xludf.DUMMYFUNCTION("""COMPUTED_VALUE"""),2024.0)</f>
        <v>2024</v>
      </c>
      <c r="H1468" s="2" t="str">
        <f t="shared" si="2"/>
        <v>2024/9/1</v>
      </c>
      <c r="I1468" s="2" t="s">
        <v>1584</v>
      </c>
      <c r="J1468" s="2" t="str">
        <f t="shared" si="3"/>
        <v>Korean Mango Fresh Milk</v>
      </c>
      <c r="K1468" s="7">
        <f>if(RIGHT(I1468,5)="2 pcs",2,Data!I1468)</f>
        <v>1</v>
      </c>
      <c r="L1468" s="2" t="str">
        <f t="shared" si="4"/>
        <v>Sunday</v>
      </c>
      <c r="M1468" s="2" t="str">
        <f t="shared" si="5"/>
        <v>1</v>
      </c>
      <c r="N1468" s="2">
        <f>VLOOKUP(L1468,'Data Info'!$A$1:$B$8,2,0)</f>
        <v>7</v>
      </c>
      <c r="O1468" s="2" t="str">
        <f>VLOOKUP(L1468,'Data Info'!$A$1:$C$8,3,0)</f>
        <v>Weekend</v>
      </c>
    </row>
    <row r="1469">
      <c r="A1469" s="4">
        <v>45536.64236111111</v>
      </c>
      <c r="B1469" s="9">
        <f>IFERROR(__xludf.DUMMYFUNCTION("SPLIT(A1469,"" "")"),45536.0)</f>
        <v>45536</v>
      </c>
      <c r="C1469" s="10">
        <f>IFERROR(__xludf.DUMMYFUNCTION("""COMPUTED_VALUE"""),0.6423611111111112)</f>
        <v>0.6423611111</v>
      </c>
      <c r="D1469" s="2">
        <f t="shared" si="1"/>
        <v>15</v>
      </c>
      <c r="E1469" s="2">
        <f>IFERROR(__xludf.DUMMYFUNCTION("SPLIT(B1469,""/"")"),1.0)</f>
        <v>1</v>
      </c>
      <c r="F1469" s="2">
        <f>IFERROR(__xludf.DUMMYFUNCTION("""COMPUTED_VALUE"""),9.0)</f>
        <v>9</v>
      </c>
      <c r="G1469" s="2">
        <f>IFERROR(__xludf.DUMMYFUNCTION("""COMPUTED_VALUE"""),2024.0)</f>
        <v>2024</v>
      </c>
      <c r="H1469" s="2" t="str">
        <f t="shared" si="2"/>
        <v>2024/9/1</v>
      </c>
      <c r="I1469" s="2" t="s">
        <v>1598</v>
      </c>
      <c r="J1469" s="2" t="str">
        <f t="shared" si="3"/>
        <v>Korean Strawberry Fresh Milk</v>
      </c>
      <c r="K1469" s="7">
        <f>if(RIGHT(I1469,5)="2 pcs",2,Data!I1469)</f>
        <v>1</v>
      </c>
      <c r="L1469" s="2" t="str">
        <f t="shared" si="4"/>
        <v>Sunday</v>
      </c>
      <c r="M1469" s="2" t="str">
        <f t="shared" si="5"/>
        <v>1</v>
      </c>
      <c r="N1469" s="2">
        <f>VLOOKUP(L1469,'Data Info'!$A$1:$B$8,2,0)</f>
        <v>7</v>
      </c>
      <c r="O1469" s="2" t="str">
        <f>VLOOKUP(L1469,'Data Info'!$A$1:$C$8,3,0)</f>
        <v>Weekend</v>
      </c>
    </row>
    <row r="1470">
      <c r="A1470" s="4">
        <v>45536.629166666666</v>
      </c>
      <c r="B1470" s="9">
        <f>IFERROR(__xludf.DUMMYFUNCTION("SPLIT(A1470,"" "")"),45536.0)</f>
        <v>45536</v>
      </c>
      <c r="C1470" s="10">
        <f>IFERROR(__xludf.DUMMYFUNCTION("""COMPUTED_VALUE"""),0.6291666666666667)</f>
        <v>0.6291666667</v>
      </c>
      <c r="D1470" s="2">
        <f t="shared" si="1"/>
        <v>15</v>
      </c>
      <c r="E1470" s="2">
        <f>IFERROR(__xludf.DUMMYFUNCTION("SPLIT(B1470,""/"")"),1.0)</f>
        <v>1</v>
      </c>
      <c r="F1470" s="2">
        <f>IFERROR(__xludf.DUMMYFUNCTION("""COMPUTED_VALUE"""),9.0)</f>
        <v>9</v>
      </c>
      <c r="G1470" s="2">
        <f>IFERROR(__xludf.DUMMYFUNCTION("""COMPUTED_VALUE"""),2024.0)</f>
        <v>2024</v>
      </c>
      <c r="H1470" s="2" t="str">
        <f t="shared" si="2"/>
        <v>2024/9/1</v>
      </c>
      <c r="I1470" s="2" t="s">
        <v>1607</v>
      </c>
      <c r="J1470" s="2" t="str">
        <f t="shared" si="3"/>
        <v>Tahu walik</v>
      </c>
      <c r="K1470" s="7">
        <f>if(RIGHT(I1470,5)="2 pcs",2,Data!I1470)</f>
        <v>1</v>
      </c>
      <c r="L1470" s="2" t="str">
        <f t="shared" si="4"/>
        <v>Sunday</v>
      </c>
      <c r="M1470" s="2" t="str">
        <f t="shared" si="5"/>
        <v>1</v>
      </c>
      <c r="N1470" s="2">
        <f>VLOOKUP(L1470,'Data Info'!$A$1:$B$8,2,0)</f>
        <v>7</v>
      </c>
      <c r="O1470" s="2" t="str">
        <f>VLOOKUP(L1470,'Data Info'!$A$1:$C$8,3,0)</f>
        <v>Weekend</v>
      </c>
    </row>
    <row r="1471">
      <c r="A1471" s="4">
        <v>45536.62847222222</v>
      </c>
      <c r="B1471" s="9">
        <f>IFERROR(__xludf.DUMMYFUNCTION("SPLIT(A1471,"" "")"),45536.0)</f>
        <v>45536</v>
      </c>
      <c r="C1471" s="10">
        <f>IFERROR(__xludf.DUMMYFUNCTION("""COMPUTED_VALUE"""),0.6284722222222222)</f>
        <v>0.6284722222</v>
      </c>
      <c r="D1471" s="2">
        <f t="shared" si="1"/>
        <v>15</v>
      </c>
      <c r="E1471" s="2">
        <f>IFERROR(__xludf.DUMMYFUNCTION("SPLIT(B1471,""/"")"),1.0)</f>
        <v>1</v>
      </c>
      <c r="F1471" s="2">
        <f>IFERROR(__xludf.DUMMYFUNCTION("""COMPUTED_VALUE"""),9.0)</f>
        <v>9</v>
      </c>
      <c r="G1471" s="2">
        <f>IFERROR(__xludf.DUMMYFUNCTION("""COMPUTED_VALUE"""),2024.0)</f>
        <v>2024</v>
      </c>
      <c r="H1471" s="2" t="str">
        <f t="shared" si="2"/>
        <v>2024/9/1</v>
      </c>
      <c r="I1471" s="2" t="s">
        <v>1605</v>
      </c>
      <c r="J1471" s="2" t="str">
        <f t="shared" si="3"/>
        <v>Kentang Goreng</v>
      </c>
      <c r="K1471" s="7">
        <f>if(RIGHT(I1471,5)="2 pcs",2,Data!I1471)</f>
        <v>-1</v>
      </c>
      <c r="L1471" s="2" t="str">
        <f t="shared" si="4"/>
        <v>Sunday</v>
      </c>
      <c r="M1471" s="2" t="str">
        <f t="shared" si="5"/>
        <v>1</v>
      </c>
      <c r="N1471" s="2">
        <f>VLOOKUP(L1471,'Data Info'!$A$1:$B$8,2,0)</f>
        <v>7</v>
      </c>
      <c r="O1471" s="2" t="str">
        <f>VLOOKUP(L1471,'Data Info'!$A$1:$C$8,3,0)</f>
        <v>Weekend</v>
      </c>
    </row>
    <row r="1472">
      <c r="A1472" s="4">
        <v>45536.62013888889</v>
      </c>
      <c r="B1472" s="9">
        <f>IFERROR(__xludf.DUMMYFUNCTION("SPLIT(A1472,"" "")"),45536.0)</f>
        <v>45536</v>
      </c>
      <c r="C1472" s="10">
        <f>IFERROR(__xludf.DUMMYFUNCTION("""COMPUTED_VALUE"""),0.6201388888888889)</f>
        <v>0.6201388889</v>
      </c>
      <c r="D1472" s="2">
        <f t="shared" si="1"/>
        <v>14</v>
      </c>
      <c r="E1472" s="2">
        <f>IFERROR(__xludf.DUMMYFUNCTION("SPLIT(B1472,""/"")"),1.0)</f>
        <v>1</v>
      </c>
      <c r="F1472" s="2">
        <f>IFERROR(__xludf.DUMMYFUNCTION("""COMPUTED_VALUE"""),9.0)</f>
        <v>9</v>
      </c>
      <c r="G1472" s="2">
        <f>IFERROR(__xludf.DUMMYFUNCTION("""COMPUTED_VALUE"""),2024.0)</f>
        <v>2024</v>
      </c>
      <c r="H1472" s="2" t="str">
        <f t="shared" si="2"/>
        <v>2024/9/1</v>
      </c>
      <c r="I1472" s="2" t="s">
        <v>1576</v>
      </c>
      <c r="J1472" s="2" t="str">
        <f t="shared" si="3"/>
        <v>Roti Cranberry</v>
      </c>
      <c r="K1472" s="7">
        <f>if(RIGHT(I1472,5)="2 pcs",2,Data!I1472)</f>
        <v>1</v>
      </c>
      <c r="L1472" s="2" t="str">
        <f t="shared" si="4"/>
        <v>Sunday</v>
      </c>
      <c r="M1472" s="2" t="str">
        <f t="shared" si="5"/>
        <v>1</v>
      </c>
      <c r="N1472" s="2">
        <f>VLOOKUP(L1472,'Data Info'!$A$1:$B$8,2,0)</f>
        <v>7</v>
      </c>
      <c r="O1472" s="2" t="str">
        <f>VLOOKUP(L1472,'Data Info'!$A$1:$C$8,3,0)</f>
        <v>Weekend</v>
      </c>
    </row>
    <row r="1473">
      <c r="A1473" s="4">
        <v>45536.62013888889</v>
      </c>
      <c r="B1473" s="9">
        <f>IFERROR(__xludf.DUMMYFUNCTION("SPLIT(A1473,"" "")"),45536.0)</f>
        <v>45536</v>
      </c>
      <c r="C1473" s="10">
        <f>IFERROR(__xludf.DUMMYFUNCTION("""COMPUTED_VALUE"""),0.6201388888888889)</f>
        <v>0.6201388889</v>
      </c>
      <c r="D1473" s="2">
        <f t="shared" si="1"/>
        <v>14</v>
      </c>
      <c r="E1473" s="2">
        <f>IFERROR(__xludf.DUMMYFUNCTION("SPLIT(B1473,""/"")"),1.0)</f>
        <v>1</v>
      </c>
      <c r="F1473" s="2">
        <f>IFERROR(__xludf.DUMMYFUNCTION("""COMPUTED_VALUE"""),9.0)</f>
        <v>9</v>
      </c>
      <c r="G1473" s="2">
        <f>IFERROR(__xludf.DUMMYFUNCTION("""COMPUTED_VALUE"""),2024.0)</f>
        <v>2024</v>
      </c>
      <c r="H1473" s="2" t="str">
        <f t="shared" si="2"/>
        <v>2024/9/1</v>
      </c>
      <c r="I1473" s="2" t="s">
        <v>1566</v>
      </c>
      <c r="J1473" s="2" t="str">
        <f t="shared" si="3"/>
        <v>Roti Bawang Saus Keju</v>
      </c>
      <c r="K1473" s="7">
        <f>if(RIGHT(I1473,5)="2 pcs",2,Data!I1473)</f>
        <v>1</v>
      </c>
      <c r="L1473" s="2" t="str">
        <f t="shared" si="4"/>
        <v>Sunday</v>
      </c>
      <c r="M1473" s="2" t="str">
        <f t="shared" si="5"/>
        <v>1</v>
      </c>
      <c r="N1473" s="2">
        <f>VLOOKUP(L1473,'Data Info'!$A$1:$B$8,2,0)</f>
        <v>7</v>
      </c>
      <c r="O1473" s="2" t="str">
        <f>VLOOKUP(L1473,'Data Info'!$A$1:$C$8,3,0)</f>
        <v>Weekend</v>
      </c>
    </row>
    <row r="1474">
      <c r="A1474" s="4">
        <v>45536.61319444444</v>
      </c>
      <c r="B1474" s="9">
        <f>IFERROR(__xludf.DUMMYFUNCTION("SPLIT(A1474,"" "")"),45536.0)</f>
        <v>45536</v>
      </c>
      <c r="C1474" s="10">
        <f>IFERROR(__xludf.DUMMYFUNCTION("""COMPUTED_VALUE"""),0.6131944444444445)</f>
        <v>0.6131944444</v>
      </c>
      <c r="D1474" s="2">
        <f t="shared" si="1"/>
        <v>14</v>
      </c>
      <c r="E1474" s="2">
        <f>IFERROR(__xludf.DUMMYFUNCTION("SPLIT(B1474,""/"")"),1.0)</f>
        <v>1</v>
      </c>
      <c r="F1474" s="2">
        <f>IFERROR(__xludf.DUMMYFUNCTION("""COMPUTED_VALUE"""),9.0)</f>
        <v>9</v>
      </c>
      <c r="G1474" s="2">
        <f>IFERROR(__xludf.DUMMYFUNCTION("""COMPUTED_VALUE"""),2024.0)</f>
        <v>2024</v>
      </c>
      <c r="H1474" s="2" t="str">
        <f t="shared" si="2"/>
        <v>2024/9/1</v>
      </c>
      <c r="I1474" s="2" t="s">
        <v>1601</v>
      </c>
      <c r="J1474" s="2" t="str">
        <f t="shared" si="3"/>
        <v>Gula Asam Dingin</v>
      </c>
      <c r="K1474" s="7">
        <f>if(RIGHT(I1474,5)="2 pcs",2,Data!I1474)</f>
        <v>1</v>
      </c>
      <c r="L1474" s="2" t="str">
        <f t="shared" si="4"/>
        <v>Sunday</v>
      </c>
      <c r="M1474" s="2" t="str">
        <f t="shared" si="5"/>
        <v>1</v>
      </c>
      <c r="N1474" s="2">
        <f>VLOOKUP(L1474,'Data Info'!$A$1:$B$8,2,0)</f>
        <v>7</v>
      </c>
      <c r="O1474" s="2" t="str">
        <f>VLOOKUP(L1474,'Data Info'!$A$1:$C$8,3,0)</f>
        <v>Weekend</v>
      </c>
    </row>
    <row r="1475">
      <c r="A1475" s="4">
        <v>45536.61111111111</v>
      </c>
      <c r="B1475" s="9">
        <f>IFERROR(__xludf.DUMMYFUNCTION("SPLIT(A1475,"" "")"),45536.0)</f>
        <v>45536</v>
      </c>
      <c r="C1475" s="10">
        <f>IFERROR(__xludf.DUMMYFUNCTION("""COMPUTED_VALUE"""),0.6111111111111112)</f>
        <v>0.6111111111</v>
      </c>
      <c r="D1475" s="2">
        <f t="shared" si="1"/>
        <v>14</v>
      </c>
      <c r="E1475" s="2">
        <f>IFERROR(__xludf.DUMMYFUNCTION("SPLIT(B1475,""/"")"),1.0)</f>
        <v>1</v>
      </c>
      <c r="F1475" s="2">
        <f>IFERROR(__xludf.DUMMYFUNCTION("""COMPUTED_VALUE"""),9.0)</f>
        <v>9</v>
      </c>
      <c r="G1475" s="2">
        <f>IFERROR(__xludf.DUMMYFUNCTION("""COMPUTED_VALUE"""),2024.0)</f>
        <v>2024</v>
      </c>
      <c r="H1475" s="2" t="str">
        <f t="shared" si="2"/>
        <v>2024/9/1</v>
      </c>
      <c r="I1475" s="2" t="s">
        <v>1588</v>
      </c>
      <c r="J1475" s="2" t="str">
        <f t="shared" si="3"/>
        <v>Es Kopi Susu</v>
      </c>
      <c r="K1475" s="7">
        <f>if(RIGHT(I1475,5)="2 pcs",2,Data!I1475)</f>
        <v>1</v>
      </c>
      <c r="L1475" s="2" t="str">
        <f t="shared" si="4"/>
        <v>Sunday</v>
      </c>
      <c r="M1475" s="2" t="str">
        <f t="shared" si="5"/>
        <v>1</v>
      </c>
      <c r="N1475" s="2">
        <f>VLOOKUP(L1475,'Data Info'!$A$1:$B$8,2,0)</f>
        <v>7</v>
      </c>
      <c r="O1475" s="2" t="str">
        <f>VLOOKUP(L1475,'Data Info'!$A$1:$C$8,3,0)</f>
        <v>Weekend</v>
      </c>
    </row>
    <row r="1476">
      <c r="A1476" s="4">
        <v>45536.61111111111</v>
      </c>
      <c r="B1476" s="9">
        <f>IFERROR(__xludf.DUMMYFUNCTION("SPLIT(A1476,"" "")"),45536.0)</f>
        <v>45536</v>
      </c>
      <c r="C1476" s="10">
        <f>IFERROR(__xludf.DUMMYFUNCTION("""COMPUTED_VALUE"""),0.6111111111111112)</f>
        <v>0.6111111111</v>
      </c>
      <c r="D1476" s="2">
        <f t="shared" si="1"/>
        <v>14</v>
      </c>
      <c r="E1476" s="2">
        <f>IFERROR(__xludf.DUMMYFUNCTION("SPLIT(B1476,""/"")"),1.0)</f>
        <v>1</v>
      </c>
      <c r="F1476" s="2">
        <f>IFERROR(__xludf.DUMMYFUNCTION("""COMPUTED_VALUE"""),9.0)</f>
        <v>9</v>
      </c>
      <c r="G1476" s="2">
        <f>IFERROR(__xludf.DUMMYFUNCTION("""COMPUTED_VALUE"""),2024.0)</f>
        <v>2024</v>
      </c>
      <c r="H1476" s="2" t="str">
        <f t="shared" si="2"/>
        <v>2024/9/1</v>
      </c>
      <c r="I1476" s="2" t="s">
        <v>1605</v>
      </c>
      <c r="J1476" s="2" t="str">
        <f t="shared" si="3"/>
        <v>Kentang Goreng</v>
      </c>
      <c r="K1476" s="7">
        <f>if(RIGHT(I1476,5)="2 pcs",2,Data!I1476)</f>
        <v>1</v>
      </c>
      <c r="L1476" s="2" t="str">
        <f t="shared" si="4"/>
        <v>Sunday</v>
      </c>
      <c r="M1476" s="2" t="str">
        <f t="shared" si="5"/>
        <v>1</v>
      </c>
      <c r="N1476" s="2">
        <f>VLOOKUP(L1476,'Data Info'!$A$1:$B$8,2,0)</f>
        <v>7</v>
      </c>
      <c r="O1476" s="2" t="str">
        <f>VLOOKUP(L1476,'Data Info'!$A$1:$C$8,3,0)</f>
        <v>Weekend</v>
      </c>
    </row>
    <row r="1477">
      <c r="A1477" s="4">
        <v>45536.60486111111</v>
      </c>
      <c r="B1477" s="9">
        <f>IFERROR(__xludf.DUMMYFUNCTION("SPLIT(A1477,"" "")"),45536.0)</f>
        <v>45536</v>
      </c>
      <c r="C1477" s="10">
        <f>IFERROR(__xludf.DUMMYFUNCTION("""COMPUTED_VALUE"""),0.6048611111111111)</f>
        <v>0.6048611111</v>
      </c>
      <c r="D1477" s="2">
        <f t="shared" si="1"/>
        <v>14</v>
      </c>
      <c r="E1477" s="2">
        <f>IFERROR(__xludf.DUMMYFUNCTION("SPLIT(B1477,""/"")"),1.0)</f>
        <v>1</v>
      </c>
      <c r="F1477" s="2">
        <f>IFERROR(__xludf.DUMMYFUNCTION("""COMPUTED_VALUE"""),9.0)</f>
        <v>9</v>
      </c>
      <c r="G1477" s="2">
        <f>IFERROR(__xludf.DUMMYFUNCTION("""COMPUTED_VALUE"""),2024.0)</f>
        <v>2024</v>
      </c>
      <c r="H1477" s="2" t="str">
        <f t="shared" si="2"/>
        <v>2024/9/1</v>
      </c>
      <c r="I1477" s="2" t="s">
        <v>1616</v>
      </c>
      <c r="J1477" s="2" t="str">
        <f t="shared" si="3"/>
        <v>Roti panggang coklat</v>
      </c>
      <c r="K1477" s="7">
        <f>if(RIGHT(I1477,5)="2 pcs",2,Data!I1477)</f>
        <v>1</v>
      </c>
      <c r="L1477" s="2" t="str">
        <f t="shared" si="4"/>
        <v>Sunday</v>
      </c>
      <c r="M1477" s="2" t="str">
        <f t="shared" si="5"/>
        <v>1</v>
      </c>
      <c r="N1477" s="2">
        <f>VLOOKUP(L1477,'Data Info'!$A$1:$B$8,2,0)</f>
        <v>7</v>
      </c>
      <c r="O1477" s="2" t="str">
        <f>VLOOKUP(L1477,'Data Info'!$A$1:$C$8,3,0)</f>
        <v>Weekend</v>
      </c>
    </row>
    <row r="1478">
      <c r="A1478" s="4">
        <v>45536.60486111111</v>
      </c>
      <c r="B1478" s="9">
        <f>IFERROR(__xludf.DUMMYFUNCTION("SPLIT(A1478,"" "")"),45536.0)</f>
        <v>45536</v>
      </c>
      <c r="C1478" s="10">
        <f>IFERROR(__xludf.DUMMYFUNCTION("""COMPUTED_VALUE"""),0.6048611111111111)</f>
        <v>0.6048611111</v>
      </c>
      <c r="D1478" s="2">
        <f t="shared" si="1"/>
        <v>14</v>
      </c>
      <c r="E1478" s="2">
        <f>IFERROR(__xludf.DUMMYFUNCTION("SPLIT(B1478,""/"")"),1.0)</f>
        <v>1</v>
      </c>
      <c r="F1478" s="2">
        <f>IFERROR(__xludf.DUMMYFUNCTION("""COMPUTED_VALUE"""),9.0)</f>
        <v>9</v>
      </c>
      <c r="G1478" s="2">
        <f>IFERROR(__xludf.DUMMYFUNCTION("""COMPUTED_VALUE"""),2024.0)</f>
        <v>2024</v>
      </c>
      <c r="H1478" s="2" t="str">
        <f t="shared" si="2"/>
        <v>2024/9/1</v>
      </c>
      <c r="I1478" s="2" t="s">
        <v>1583</v>
      </c>
      <c r="J1478" s="2" t="str">
        <f t="shared" si="3"/>
        <v>Es Kopi Lemon</v>
      </c>
      <c r="K1478" s="7">
        <f>if(RIGHT(I1478,5)="2 pcs",2,Data!I1478)</f>
        <v>1</v>
      </c>
      <c r="L1478" s="2" t="str">
        <f t="shared" si="4"/>
        <v>Sunday</v>
      </c>
      <c r="M1478" s="2" t="str">
        <f t="shared" si="5"/>
        <v>1</v>
      </c>
      <c r="N1478" s="2">
        <f>VLOOKUP(L1478,'Data Info'!$A$1:$B$8,2,0)</f>
        <v>7</v>
      </c>
      <c r="O1478" s="2" t="str">
        <f>VLOOKUP(L1478,'Data Info'!$A$1:$C$8,3,0)</f>
        <v>Weekend</v>
      </c>
    </row>
    <row r="1479">
      <c r="A1479" s="4">
        <v>45536.60486111111</v>
      </c>
      <c r="B1479" s="9">
        <f>IFERROR(__xludf.DUMMYFUNCTION("SPLIT(A1479,"" "")"),45536.0)</f>
        <v>45536</v>
      </c>
      <c r="C1479" s="10">
        <f>IFERROR(__xludf.DUMMYFUNCTION("""COMPUTED_VALUE"""),0.6048611111111111)</f>
        <v>0.6048611111</v>
      </c>
      <c r="D1479" s="2">
        <f t="shared" si="1"/>
        <v>14</v>
      </c>
      <c r="E1479" s="2">
        <f>IFERROR(__xludf.DUMMYFUNCTION("SPLIT(B1479,""/"")"),1.0)</f>
        <v>1</v>
      </c>
      <c r="F1479" s="2">
        <f>IFERROR(__xludf.DUMMYFUNCTION("""COMPUTED_VALUE"""),9.0)</f>
        <v>9</v>
      </c>
      <c r="G1479" s="2">
        <f>IFERROR(__xludf.DUMMYFUNCTION("""COMPUTED_VALUE"""),2024.0)</f>
        <v>2024</v>
      </c>
      <c r="H1479" s="2" t="str">
        <f t="shared" si="2"/>
        <v>2024/9/1</v>
      </c>
      <c r="I1479" s="2" t="s">
        <v>1588</v>
      </c>
      <c r="J1479" s="2" t="str">
        <f t="shared" si="3"/>
        <v>Es Kopi Susu</v>
      </c>
      <c r="K1479" s="7">
        <f>if(RIGHT(I1479,5)="2 pcs",2,Data!I1479)</f>
        <v>1</v>
      </c>
      <c r="L1479" s="2" t="str">
        <f t="shared" si="4"/>
        <v>Sunday</v>
      </c>
      <c r="M1479" s="2" t="str">
        <f t="shared" si="5"/>
        <v>1</v>
      </c>
      <c r="N1479" s="2">
        <f>VLOOKUP(L1479,'Data Info'!$A$1:$B$8,2,0)</f>
        <v>7</v>
      </c>
      <c r="O1479" s="2" t="str">
        <f>VLOOKUP(L1479,'Data Info'!$A$1:$C$8,3,0)</f>
        <v>Weekend</v>
      </c>
    </row>
    <row r="1480">
      <c r="A1480" s="4">
        <v>45536.60138888889</v>
      </c>
      <c r="B1480" s="9">
        <f>IFERROR(__xludf.DUMMYFUNCTION("SPLIT(A1480,"" "")"),45536.0)</f>
        <v>45536</v>
      </c>
      <c r="C1480" s="10">
        <f>IFERROR(__xludf.DUMMYFUNCTION("""COMPUTED_VALUE"""),0.6013888888888889)</f>
        <v>0.6013888889</v>
      </c>
      <c r="D1480" s="2">
        <f t="shared" si="1"/>
        <v>14</v>
      </c>
      <c r="E1480" s="2">
        <f>IFERROR(__xludf.DUMMYFUNCTION("SPLIT(B1480,""/"")"),1.0)</f>
        <v>1</v>
      </c>
      <c r="F1480" s="2">
        <f>IFERROR(__xludf.DUMMYFUNCTION("""COMPUTED_VALUE"""),9.0)</f>
        <v>9</v>
      </c>
      <c r="G1480" s="2">
        <f>IFERROR(__xludf.DUMMYFUNCTION("""COMPUTED_VALUE"""),2024.0)</f>
        <v>2024</v>
      </c>
      <c r="H1480" s="2" t="str">
        <f t="shared" si="2"/>
        <v>2024/9/1</v>
      </c>
      <c r="I1480" s="2" t="s">
        <v>1622</v>
      </c>
      <c r="J1480" s="2" t="str">
        <f t="shared" si="3"/>
        <v>Roti panggang strawberry</v>
      </c>
      <c r="K1480" s="7">
        <f>if(RIGHT(I1480,5)="2 pcs",2,Data!I1480)</f>
        <v>1</v>
      </c>
      <c r="L1480" s="2" t="str">
        <f t="shared" si="4"/>
        <v>Sunday</v>
      </c>
      <c r="M1480" s="2" t="str">
        <f t="shared" si="5"/>
        <v>1</v>
      </c>
      <c r="N1480" s="2">
        <f>VLOOKUP(L1480,'Data Info'!$A$1:$B$8,2,0)</f>
        <v>7</v>
      </c>
      <c r="O1480" s="2" t="str">
        <f>VLOOKUP(L1480,'Data Info'!$A$1:$C$8,3,0)</f>
        <v>Weekend</v>
      </c>
    </row>
    <row r="1481">
      <c r="A1481" s="4">
        <v>45536.60138888889</v>
      </c>
      <c r="B1481" s="9">
        <f>IFERROR(__xludf.DUMMYFUNCTION("SPLIT(A1481,"" "")"),45536.0)</f>
        <v>45536</v>
      </c>
      <c r="C1481" s="10">
        <f>IFERROR(__xludf.DUMMYFUNCTION("""COMPUTED_VALUE"""),0.6013888888888889)</f>
        <v>0.6013888889</v>
      </c>
      <c r="D1481" s="2">
        <f t="shared" si="1"/>
        <v>14</v>
      </c>
      <c r="E1481" s="2">
        <f>IFERROR(__xludf.DUMMYFUNCTION("SPLIT(B1481,""/"")"),1.0)</f>
        <v>1</v>
      </c>
      <c r="F1481" s="2">
        <f>IFERROR(__xludf.DUMMYFUNCTION("""COMPUTED_VALUE"""),9.0)</f>
        <v>9</v>
      </c>
      <c r="G1481" s="2">
        <f>IFERROR(__xludf.DUMMYFUNCTION("""COMPUTED_VALUE"""),2024.0)</f>
        <v>2024</v>
      </c>
      <c r="H1481" s="2" t="str">
        <f t="shared" si="2"/>
        <v>2024/9/1</v>
      </c>
      <c r="I1481" s="2" t="s">
        <v>1566</v>
      </c>
      <c r="J1481" s="2" t="str">
        <f t="shared" si="3"/>
        <v>Roti Bawang Saus Keju</v>
      </c>
      <c r="K1481" s="7">
        <f>if(RIGHT(I1481,5)="2 pcs",2,Data!I1481)</f>
        <v>1</v>
      </c>
      <c r="L1481" s="2" t="str">
        <f t="shared" si="4"/>
        <v>Sunday</v>
      </c>
      <c r="M1481" s="2" t="str">
        <f t="shared" si="5"/>
        <v>1</v>
      </c>
      <c r="N1481" s="2">
        <f>VLOOKUP(L1481,'Data Info'!$A$1:$B$8,2,0)</f>
        <v>7</v>
      </c>
      <c r="O1481" s="2" t="str">
        <f>VLOOKUP(L1481,'Data Info'!$A$1:$C$8,3,0)</f>
        <v>Weekend</v>
      </c>
    </row>
    <row r="1482">
      <c r="A1482" s="4">
        <v>45536.60138888889</v>
      </c>
      <c r="B1482" s="9">
        <f>IFERROR(__xludf.DUMMYFUNCTION("SPLIT(A1482,"" "")"),45536.0)</f>
        <v>45536</v>
      </c>
      <c r="C1482" s="10">
        <f>IFERROR(__xludf.DUMMYFUNCTION("""COMPUTED_VALUE"""),0.6013888888888889)</f>
        <v>0.6013888889</v>
      </c>
      <c r="D1482" s="2">
        <f t="shared" si="1"/>
        <v>14</v>
      </c>
      <c r="E1482" s="2">
        <f>IFERROR(__xludf.DUMMYFUNCTION("SPLIT(B1482,""/"")"),1.0)</f>
        <v>1</v>
      </c>
      <c r="F1482" s="2">
        <f>IFERROR(__xludf.DUMMYFUNCTION("""COMPUTED_VALUE"""),9.0)</f>
        <v>9</v>
      </c>
      <c r="G1482" s="2">
        <f>IFERROR(__xludf.DUMMYFUNCTION("""COMPUTED_VALUE"""),2024.0)</f>
        <v>2024</v>
      </c>
      <c r="H1482" s="2" t="str">
        <f t="shared" si="2"/>
        <v>2024/9/1</v>
      </c>
      <c r="I1482" s="2" t="s">
        <v>1598</v>
      </c>
      <c r="J1482" s="2" t="str">
        <f t="shared" si="3"/>
        <v>Korean Strawberry Fresh Milk</v>
      </c>
      <c r="K1482" s="7">
        <f>if(RIGHT(I1482,5)="2 pcs",2,Data!I1482)</f>
        <v>1</v>
      </c>
      <c r="L1482" s="2" t="str">
        <f t="shared" si="4"/>
        <v>Sunday</v>
      </c>
      <c r="M1482" s="2" t="str">
        <f t="shared" si="5"/>
        <v>1</v>
      </c>
      <c r="N1482" s="2">
        <f>VLOOKUP(L1482,'Data Info'!$A$1:$B$8,2,0)</f>
        <v>7</v>
      </c>
      <c r="O1482" s="2" t="str">
        <f>VLOOKUP(L1482,'Data Info'!$A$1:$C$8,3,0)</f>
        <v>Weekend</v>
      </c>
    </row>
    <row r="1483">
      <c r="A1483" s="4">
        <v>45536.60138888889</v>
      </c>
      <c r="B1483" s="9">
        <f>IFERROR(__xludf.DUMMYFUNCTION("SPLIT(A1483,"" "")"),45536.0)</f>
        <v>45536</v>
      </c>
      <c r="C1483" s="10">
        <f>IFERROR(__xludf.DUMMYFUNCTION("""COMPUTED_VALUE"""),0.6013888888888889)</f>
        <v>0.6013888889</v>
      </c>
      <c r="D1483" s="2">
        <f t="shared" si="1"/>
        <v>14</v>
      </c>
      <c r="E1483" s="2">
        <f>IFERROR(__xludf.DUMMYFUNCTION("SPLIT(B1483,""/"")"),1.0)</f>
        <v>1</v>
      </c>
      <c r="F1483" s="2">
        <f>IFERROR(__xludf.DUMMYFUNCTION("""COMPUTED_VALUE"""),9.0)</f>
        <v>9</v>
      </c>
      <c r="G1483" s="2">
        <f>IFERROR(__xludf.DUMMYFUNCTION("""COMPUTED_VALUE"""),2024.0)</f>
        <v>2024</v>
      </c>
      <c r="H1483" s="2" t="str">
        <f t="shared" si="2"/>
        <v>2024/9/1</v>
      </c>
      <c r="I1483" s="2" t="s">
        <v>1620</v>
      </c>
      <c r="J1483" s="2" t="str">
        <f t="shared" si="3"/>
        <v>Wedang hujan</v>
      </c>
      <c r="K1483" s="7">
        <f>if(RIGHT(I1483,5)="2 pcs",2,Data!I1483)</f>
        <v>1</v>
      </c>
      <c r="L1483" s="2" t="str">
        <f t="shared" si="4"/>
        <v>Sunday</v>
      </c>
      <c r="M1483" s="2" t="str">
        <f t="shared" si="5"/>
        <v>1</v>
      </c>
      <c r="N1483" s="2">
        <f>VLOOKUP(L1483,'Data Info'!$A$1:$B$8,2,0)</f>
        <v>7</v>
      </c>
      <c r="O1483" s="2" t="str">
        <f>VLOOKUP(L1483,'Data Info'!$A$1:$C$8,3,0)</f>
        <v>Weekend</v>
      </c>
    </row>
    <row r="1484">
      <c r="A1484" s="4">
        <v>45536.58819444444</v>
      </c>
      <c r="B1484" s="9">
        <f>IFERROR(__xludf.DUMMYFUNCTION("SPLIT(A1484,"" "")"),45536.0)</f>
        <v>45536</v>
      </c>
      <c r="C1484" s="10">
        <f>IFERROR(__xludf.DUMMYFUNCTION("""COMPUTED_VALUE"""),0.5881944444444445)</f>
        <v>0.5881944444</v>
      </c>
      <c r="D1484" s="2">
        <f t="shared" si="1"/>
        <v>14</v>
      </c>
      <c r="E1484" s="2">
        <f>IFERROR(__xludf.DUMMYFUNCTION("SPLIT(B1484,""/"")"),1.0)</f>
        <v>1</v>
      </c>
      <c r="F1484" s="2">
        <f>IFERROR(__xludf.DUMMYFUNCTION("""COMPUTED_VALUE"""),9.0)</f>
        <v>9</v>
      </c>
      <c r="G1484" s="2">
        <f>IFERROR(__xludf.DUMMYFUNCTION("""COMPUTED_VALUE"""),2024.0)</f>
        <v>2024</v>
      </c>
      <c r="H1484" s="2" t="str">
        <f t="shared" si="2"/>
        <v>2024/9/1</v>
      </c>
      <c r="I1484" s="2" t="s">
        <v>1576</v>
      </c>
      <c r="J1484" s="2" t="str">
        <f t="shared" si="3"/>
        <v>Roti Cranberry</v>
      </c>
      <c r="K1484" s="7">
        <f>if(RIGHT(I1484,5)="2 pcs",2,Data!I1484)</f>
        <v>1</v>
      </c>
      <c r="L1484" s="2" t="str">
        <f t="shared" si="4"/>
        <v>Sunday</v>
      </c>
      <c r="M1484" s="2" t="str">
        <f t="shared" si="5"/>
        <v>1</v>
      </c>
      <c r="N1484" s="2">
        <f>VLOOKUP(L1484,'Data Info'!$A$1:$B$8,2,0)</f>
        <v>7</v>
      </c>
      <c r="O1484" s="2" t="str">
        <f>VLOOKUP(L1484,'Data Info'!$A$1:$C$8,3,0)</f>
        <v>Weekend</v>
      </c>
    </row>
    <row r="1485">
      <c r="A1485" s="4">
        <v>45536.58819444444</v>
      </c>
      <c r="B1485" s="9">
        <f>IFERROR(__xludf.DUMMYFUNCTION("SPLIT(A1485,"" "")"),45536.0)</f>
        <v>45536</v>
      </c>
      <c r="C1485" s="10">
        <f>IFERROR(__xludf.DUMMYFUNCTION("""COMPUTED_VALUE"""),0.5881944444444445)</f>
        <v>0.5881944444</v>
      </c>
      <c r="D1485" s="2">
        <f t="shared" si="1"/>
        <v>14</v>
      </c>
      <c r="E1485" s="2">
        <f>IFERROR(__xludf.DUMMYFUNCTION("SPLIT(B1485,""/"")"),1.0)</f>
        <v>1</v>
      </c>
      <c r="F1485" s="2">
        <f>IFERROR(__xludf.DUMMYFUNCTION("""COMPUTED_VALUE"""),9.0)</f>
        <v>9</v>
      </c>
      <c r="G1485" s="2">
        <f>IFERROR(__xludf.DUMMYFUNCTION("""COMPUTED_VALUE"""),2024.0)</f>
        <v>2024</v>
      </c>
      <c r="H1485" s="2" t="str">
        <f t="shared" si="2"/>
        <v>2024/9/1</v>
      </c>
      <c r="I1485" s="2" t="s">
        <v>1586</v>
      </c>
      <c r="J1485" s="2" t="str">
        <f t="shared" si="3"/>
        <v>Jamur Enoki Krispi</v>
      </c>
      <c r="K1485" s="7">
        <f>if(RIGHT(I1485,5)="2 pcs",2,Data!I1485)</f>
        <v>1</v>
      </c>
      <c r="L1485" s="2" t="str">
        <f t="shared" si="4"/>
        <v>Sunday</v>
      </c>
      <c r="M1485" s="2" t="str">
        <f t="shared" si="5"/>
        <v>1</v>
      </c>
      <c r="N1485" s="2">
        <f>VLOOKUP(L1485,'Data Info'!$A$1:$B$8,2,0)</f>
        <v>7</v>
      </c>
      <c r="O1485" s="2" t="str">
        <f>VLOOKUP(L1485,'Data Info'!$A$1:$C$8,3,0)</f>
        <v>Weekend</v>
      </c>
    </row>
    <row r="1486">
      <c r="A1486" s="4">
        <v>45536.58819444444</v>
      </c>
      <c r="B1486" s="9">
        <f>IFERROR(__xludf.DUMMYFUNCTION("SPLIT(A1486,"" "")"),45536.0)</f>
        <v>45536</v>
      </c>
      <c r="C1486" s="10">
        <f>IFERROR(__xludf.DUMMYFUNCTION("""COMPUTED_VALUE"""),0.5881944444444445)</f>
        <v>0.5881944444</v>
      </c>
      <c r="D1486" s="2">
        <f t="shared" si="1"/>
        <v>14</v>
      </c>
      <c r="E1486" s="2">
        <f>IFERROR(__xludf.DUMMYFUNCTION("SPLIT(B1486,""/"")"),1.0)</f>
        <v>1</v>
      </c>
      <c r="F1486" s="2">
        <f>IFERROR(__xludf.DUMMYFUNCTION("""COMPUTED_VALUE"""),9.0)</f>
        <v>9</v>
      </c>
      <c r="G1486" s="2">
        <f>IFERROR(__xludf.DUMMYFUNCTION("""COMPUTED_VALUE"""),2024.0)</f>
        <v>2024</v>
      </c>
      <c r="H1486" s="2" t="str">
        <f t="shared" si="2"/>
        <v>2024/9/1</v>
      </c>
      <c r="I1486" s="2" t="s">
        <v>1621</v>
      </c>
      <c r="J1486" s="2" t="str">
        <f t="shared" si="3"/>
        <v>Wedang angin</v>
      </c>
      <c r="K1486" s="7">
        <f>if(RIGHT(I1486,5)="2 pcs",2,Data!I1486)</f>
        <v>1</v>
      </c>
      <c r="L1486" s="2" t="str">
        <f t="shared" si="4"/>
        <v>Sunday</v>
      </c>
      <c r="M1486" s="2" t="str">
        <f t="shared" si="5"/>
        <v>1</v>
      </c>
      <c r="N1486" s="2">
        <f>VLOOKUP(L1486,'Data Info'!$A$1:$B$8,2,0)</f>
        <v>7</v>
      </c>
      <c r="O1486" s="2" t="str">
        <f>VLOOKUP(L1486,'Data Info'!$A$1:$C$8,3,0)</f>
        <v>Weekend</v>
      </c>
    </row>
    <row r="1487">
      <c r="A1487" s="4">
        <v>45536.58819444444</v>
      </c>
      <c r="B1487" s="9">
        <f>IFERROR(__xludf.DUMMYFUNCTION("SPLIT(A1487,"" "")"),45536.0)</f>
        <v>45536</v>
      </c>
      <c r="C1487" s="10">
        <f>IFERROR(__xludf.DUMMYFUNCTION("""COMPUTED_VALUE"""),0.5881944444444445)</f>
        <v>0.5881944444</v>
      </c>
      <c r="D1487" s="2">
        <f t="shared" si="1"/>
        <v>14</v>
      </c>
      <c r="E1487" s="2">
        <f>IFERROR(__xludf.DUMMYFUNCTION("SPLIT(B1487,""/"")"),1.0)</f>
        <v>1</v>
      </c>
      <c r="F1487" s="2">
        <f>IFERROR(__xludf.DUMMYFUNCTION("""COMPUTED_VALUE"""),9.0)</f>
        <v>9</v>
      </c>
      <c r="G1487" s="2">
        <f>IFERROR(__xludf.DUMMYFUNCTION("""COMPUTED_VALUE"""),2024.0)</f>
        <v>2024</v>
      </c>
      <c r="H1487" s="2" t="str">
        <f t="shared" si="2"/>
        <v>2024/9/1</v>
      </c>
      <c r="I1487" s="2" t="s">
        <v>1583</v>
      </c>
      <c r="J1487" s="2" t="str">
        <f t="shared" si="3"/>
        <v>Es Kopi Lemon</v>
      </c>
      <c r="K1487" s="7">
        <f>if(RIGHT(I1487,5)="2 pcs",2,Data!I1487)</f>
        <v>1</v>
      </c>
      <c r="L1487" s="2" t="str">
        <f t="shared" si="4"/>
        <v>Sunday</v>
      </c>
      <c r="M1487" s="2" t="str">
        <f t="shared" si="5"/>
        <v>1</v>
      </c>
      <c r="N1487" s="2">
        <f>VLOOKUP(L1487,'Data Info'!$A$1:$B$8,2,0)</f>
        <v>7</v>
      </c>
      <c r="O1487" s="2" t="str">
        <f>VLOOKUP(L1487,'Data Info'!$A$1:$C$8,3,0)</f>
        <v>Weekend</v>
      </c>
    </row>
    <row r="1488">
      <c r="A1488" s="4">
        <v>45536.58819444444</v>
      </c>
      <c r="B1488" s="9">
        <f>IFERROR(__xludf.DUMMYFUNCTION("SPLIT(A1488,"" "")"),45536.0)</f>
        <v>45536</v>
      </c>
      <c r="C1488" s="10">
        <f>IFERROR(__xludf.DUMMYFUNCTION("""COMPUTED_VALUE"""),0.5881944444444445)</f>
        <v>0.5881944444</v>
      </c>
      <c r="D1488" s="2">
        <f t="shared" si="1"/>
        <v>14</v>
      </c>
      <c r="E1488" s="2">
        <f>IFERROR(__xludf.DUMMYFUNCTION("SPLIT(B1488,""/"")"),1.0)</f>
        <v>1</v>
      </c>
      <c r="F1488" s="2">
        <f>IFERROR(__xludf.DUMMYFUNCTION("""COMPUTED_VALUE"""),9.0)</f>
        <v>9</v>
      </c>
      <c r="G1488" s="2">
        <f>IFERROR(__xludf.DUMMYFUNCTION("""COMPUTED_VALUE"""),2024.0)</f>
        <v>2024</v>
      </c>
      <c r="H1488" s="2" t="str">
        <f t="shared" si="2"/>
        <v>2024/9/1</v>
      </c>
      <c r="I1488" s="2" t="s">
        <v>1605</v>
      </c>
      <c r="J1488" s="2" t="str">
        <f t="shared" si="3"/>
        <v>Kentang Goreng</v>
      </c>
      <c r="K1488" s="7">
        <f>if(RIGHT(I1488,5)="2 pcs",2,Data!I1488)</f>
        <v>1</v>
      </c>
      <c r="L1488" s="2" t="str">
        <f t="shared" si="4"/>
        <v>Sunday</v>
      </c>
      <c r="M1488" s="2" t="str">
        <f t="shared" si="5"/>
        <v>1</v>
      </c>
      <c r="N1488" s="2">
        <f>VLOOKUP(L1488,'Data Info'!$A$1:$B$8,2,0)</f>
        <v>7</v>
      </c>
      <c r="O1488" s="2" t="str">
        <f>VLOOKUP(L1488,'Data Info'!$A$1:$C$8,3,0)</f>
        <v>Weekend</v>
      </c>
    </row>
    <row r="1489">
      <c r="A1489" s="4">
        <v>45536.58819444444</v>
      </c>
      <c r="B1489" s="9">
        <f>IFERROR(__xludf.DUMMYFUNCTION("SPLIT(A1489,"" "")"),45536.0)</f>
        <v>45536</v>
      </c>
      <c r="C1489" s="10">
        <f>IFERROR(__xludf.DUMMYFUNCTION("""COMPUTED_VALUE"""),0.5881944444444445)</f>
        <v>0.5881944444</v>
      </c>
      <c r="D1489" s="2">
        <f t="shared" si="1"/>
        <v>14</v>
      </c>
      <c r="E1489" s="2">
        <f>IFERROR(__xludf.DUMMYFUNCTION("SPLIT(B1489,""/"")"),1.0)</f>
        <v>1</v>
      </c>
      <c r="F1489" s="2">
        <f>IFERROR(__xludf.DUMMYFUNCTION("""COMPUTED_VALUE"""),9.0)</f>
        <v>9</v>
      </c>
      <c r="G1489" s="2">
        <f>IFERROR(__xludf.DUMMYFUNCTION("""COMPUTED_VALUE"""),2024.0)</f>
        <v>2024</v>
      </c>
      <c r="H1489" s="2" t="str">
        <f t="shared" si="2"/>
        <v>2024/9/1</v>
      </c>
      <c r="I1489" s="2" t="s">
        <v>1588</v>
      </c>
      <c r="J1489" s="2" t="str">
        <f t="shared" si="3"/>
        <v>Es Kopi Susu</v>
      </c>
      <c r="K1489" s="7">
        <f>if(RIGHT(I1489,5)="2 pcs",2,Data!I1489)</f>
        <v>1</v>
      </c>
      <c r="L1489" s="2" t="str">
        <f t="shared" si="4"/>
        <v>Sunday</v>
      </c>
      <c r="M1489" s="2" t="str">
        <f t="shared" si="5"/>
        <v>1</v>
      </c>
      <c r="N1489" s="2">
        <f>VLOOKUP(L1489,'Data Info'!$A$1:$B$8,2,0)</f>
        <v>7</v>
      </c>
      <c r="O1489" s="2" t="str">
        <f>VLOOKUP(L1489,'Data Info'!$A$1:$C$8,3,0)</f>
        <v>Weekend</v>
      </c>
    </row>
    <row r="1490">
      <c r="A1490" s="4">
        <v>45536.58819444444</v>
      </c>
      <c r="B1490" s="9">
        <f>IFERROR(__xludf.DUMMYFUNCTION("SPLIT(A1490,"" "")"),45536.0)</f>
        <v>45536</v>
      </c>
      <c r="C1490" s="10">
        <f>IFERROR(__xludf.DUMMYFUNCTION("""COMPUTED_VALUE"""),0.5881944444444445)</f>
        <v>0.5881944444</v>
      </c>
      <c r="D1490" s="2">
        <f t="shared" si="1"/>
        <v>14</v>
      </c>
      <c r="E1490" s="2">
        <f>IFERROR(__xludf.DUMMYFUNCTION("SPLIT(B1490,""/"")"),1.0)</f>
        <v>1</v>
      </c>
      <c r="F1490" s="2">
        <f>IFERROR(__xludf.DUMMYFUNCTION("""COMPUTED_VALUE"""),9.0)</f>
        <v>9</v>
      </c>
      <c r="G1490" s="2">
        <f>IFERROR(__xludf.DUMMYFUNCTION("""COMPUTED_VALUE"""),2024.0)</f>
        <v>2024</v>
      </c>
      <c r="H1490" s="2" t="str">
        <f t="shared" si="2"/>
        <v>2024/9/1</v>
      </c>
      <c r="I1490" s="2" t="s">
        <v>1577</v>
      </c>
      <c r="J1490" s="2" t="str">
        <f t="shared" si="3"/>
        <v>Rempah Madu Panas</v>
      </c>
      <c r="K1490" s="7">
        <f>if(RIGHT(I1490,5)="2 pcs",2,Data!I1490)</f>
        <v>1</v>
      </c>
      <c r="L1490" s="2" t="str">
        <f t="shared" si="4"/>
        <v>Sunday</v>
      </c>
      <c r="M1490" s="2" t="str">
        <f t="shared" si="5"/>
        <v>1</v>
      </c>
      <c r="N1490" s="2">
        <f>VLOOKUP(L1490,'Data Info'!$A$1:$B$8,2,0)</f>
        <v>7</v>
      </c>
      <c r="O1490" s="2" t="str">
        <f>VLOOKUP(L1490,'Data Info'!$A$1:$C$8,3,0)</f>
        <v>Weekend</v>
      </c>
    </row>
    <row r="1491">
      <c r="A1491" s="4">
        <v>45536.57847222222</v>
      </c>
      <c r="B1491" s="9">
        <f>IFERROR(__xludf.DUMMYFUNCTION("SPLIT(A1491,"" "")"),45536.0)</f>
        <v>45536</v>
      </c>
      <c r="C1491" s="10">
        <f>IFERROR(__xludf.DUMMYFUNCTION("""COMPUTED_VALUE"""),0.5784722222222223)</f>
        <v>0.5784722222</v>
      </c>
      <c r="D1491" s="2">
        <f t="shared" si="1"/>
        <v>13</v>
      </c>
      <c r="E1491" s="2">
        <f>IFERROR(__xludf.DUMMYFUNCTION("SPLIT(B1491,""/"")"),1.0)</f>
        <v>1</v>
      </c>
      <c r="F1491" s="2">
        <f>IFERROR(__xludf.DUMMYFUNCTION("""COMPUTED_VALUE"""),9.0)</f>
        <v>9</v>
      </c>
      <c r="G1491" s="2">
        <f>IFERROR(__xludf.DUMMYFUNCTION("""COMPUTED_VALUE"""),2024.0)</f>
        <v>2024</v>
      </c>
      <c r="H1491" s="2" t="str">
        <f t="shared" si="2"/>
        <v>2024/9/1</v>
      </c>
      <c r="I1491" s="2" t="s">
        <v>1576</v>
      </c>
      <c r="J1491" s="2" t="str">
        <f t="shared" si="3"/>
        <v>Roti Cranberry</v>
      </c>
      <c r="K1491" s="7">
        <f>if(RIGHT(I1491,5)="2 pcs",2,Data!I1491)</f>
        <v>1</v>
      </c>
      <c r="L1491" s="2" t="str">
        <f t="shared" si="4"/>
        <v>Sunday</v>
      </c>
      <c r="M1491" s="2" t="str">
        <f t="shared" si="5"/>
        <v>1</v>
      </c>
      <c r="N1491" s="2">
        <f>VLOOKUP(L1491,'Data Info'!$A$1:$B$8,2,0)</f>
        <v>7</v>
      </c>
      <c r="O1491" s="2" t="str">
        <f>VLOOKUP(L1491,'Data Info'!$A$1:$C$8,3,0)</f>
        <v>Weekend</v>
      </c>
    </row>
    <row r="1492">
      <c r="A1492" s="4">
        <v>45536.561111111114</v>
      </c>
      <c r="B1492" s="9">
        <f>IFERROR(__xludf.DUMMYFUNCTION("SPLIT(A1492,"" "")"),45536.0)</f>
        <v>45536</v>
      </c>
      <c r="C1492" s="10">
        <f>IFERROR(__xludf.DUMMYFUNCTION("""COMPUTED_VALUE"""),0.5611111111111111)</f>
        <v>0.5611111111</v>
      </c>
      <c r="D1492" s="2">
        <f t="shared" si="1"/>
        <v>13</v>
      </c>
      <c r="E1492" s="2">
        <f>IFERROR(__xludf.DUMMYFUNCTION("SPLIT(B1492,""/"")"),1.0)</f>
        <v>1</v>
      </c>
      <c r="F1492" s="2">
        <f>IFERROR(__xludf.DUMMYFUNCTION("""COMPUTED_VALUE"""),9.0)</f>
        <v>9</v>
      </c>
      <c r="G1492" s="2">
        <f>IFERROR(__xludf.DUMMYFUNCTION("""COMPUTED_VALUE"""),2024.0)</f>
        <v>2024</v>
      </c>
      <c r="H1492" s="2" t="str">
        <f t="shared" si="2"/>
        <v>2024/9/1</v>
      </c>
      <c r="I1492" s="2" t="s">
        <v>1566</v>
      </c>
      <c r="J1492" s="2" t="str">
        <f t="shared" si="3"/>
        <v>Roti Bawang Saus Keju</v>
      </c>
      <c r="K1492" s="7">
        <f>if(RIGHT(I1492,5)="2 pcs",2,Data!I1492)</f>
        <v>1</v>
      </c>
      <c r="L1492" s="2" t="str">
        <f t="shared" si="4"/>
        <v>Sunday</v>
      </c>
      <c r="M1492" s="2" t="str">
        <f t="shared" si="5"/>
        <v>1</v>
      </c>
      <c r="N1492" s="2">
        <f>VLOOKUP(L1492,'Data Info'!$A$1:$B$8,2,0)</f>
        <v>7</v>
      </c>
      <c r="O1492" s="2" t="str">
        <f>VLOOKUP(L1492,'Data Info'!$A$1:$C$8,3,0)</f>
        <v>Weekend</v>
      </c>
    </row>
    <row r="1493">
      <c r="A1493" s="4">
        <v>45536.561111111114</v>
      </c>
      <c r="B1493" s="9">
        <f>IFERROR(__xludf.DUMMYFUNCTION("SPLIT(A1493,"" "")"),45536.0)</f>
        <v>45536</v>
      </c>
      <c r="C1493" s="10">
        <f>IFERROR(__xludf.DUMMYFUNCTION("""COMPUTED_VALUE"""),0.5611111111111111)</f>
        <v>0.5611111111</v>
      </c>
      <c r="D1493" s="2">
        <f t="shared" si="1"/>
        <v>13</v>
      </c>
      <c r="E1493" s="2">
        <f>IFERROR(__xludf.DUMMYFUNCTION("SPLIT(B1493,""/"")"),1.0)</f>
        <v>1</v>
      </c>
      <c r="F1493" s="2">
        <f>IFERROR(__xludf.DUMMYFUNCTION("""COMPUTED_VALUE"""),9.0)</f>
        <v>9</v>
      </c>
      <c r="G1493" s="2">
        <f>IFERROR(__xludf.DUMMYFUNCTION("""COMPUTED_VALUE"""),2024.0)</f>
        <v>2024</v>
      </c>
      <c r="H1493" s="2" t="str">
        <f t="shared" si="2"/>
        <v>2024/9/1</v>
      </c>
      <c r="I1493" s="2" t="s">
        <v>1576</v>
      </c>
      <c r="J1493" s="2" t="str">
        <f t="shared" si="3"/>
        <v>Roti Cranberry</v>
      </c>
      <c r="K1493" s="7">
        <f>if(RIGHT(I1493,5)="2 pcs",2,Data!I1493)</f>
        <v>1</v>
      </c>
      <c r="L1493" s="2" t="str">
        <f t="shared" si="4"/>
        <v>Sunday</v>
      </c>
      <c r="M1493" s="2" t="str">
        <f t="shared" si="5"/>
        <v>1</v>
      </c>
      <c r="N1493" s="2">
        <f>VLOOKUP(L1493,'Data Info'!$A$1:$B$8,2,0)</f>
        <v>7</v>
      </c>
      <c r="O1493" s="2" t="str">
        <f>VLOOKUP(L1493,'Data Info'!$A$1:$C$8,3,0)</f>
        <v>Weekend</v>
      </c>
    </row>
    <row r="1494">
      <c r="A1494" s="4">
        <v>45536.561111111114</v>
      </c>
      <c r="B1494" s="9">
        <f>IFERROR(__xludf.DUMMYFUNCTION("SPLIT(A1494,"" "")"),45536.0)</f>
        <v>45536</v>
      </c>
      <c r="C1494" s="10">
        <f>IFERROR(__xludf.DUMMYFUNCTION("""COMPUTED_VALUE"""),0.5611111111111111)</f>
        <v>0.5611111111</v>
      </c>
      <c r="D1494" s="2">
        <f t="shared" si="1"/>
        <v>13</v>
      </c>
      <c r="E1494" s="2">
        <f>IFERROR(__xludf.DUMMYFUNCTION("SPLIT(B1494,""/"")"),1.0)</f>
        <v>1</v>
      </c>
      <c r="F1494" s="2">
        <f>IFERROR(__xludf.DUMMYFUNCTION("""COMPUTED_VALUE"""),9.0)</f>
        <v>9</v>
      </c>
      <c r="G1494" s="2">
        <f>IFERROR(__xludf.DUMMYFUNCTION("""COMPUTED_VALUE"""),2024.0)</f>
        <v>2024</v>
      </c>
      <c r="H1494" s="2" t="str">
        <f t="shared" si="2"/>
        <v>2024/9/1</v>
      </c>
      <c r="I1494" s="2" t="s">
        <v>1595</v>
      </c>
      <c r="J1494" s="2" t="str">
        <f t="shared" si="3"/>
        <v>Roti Gandum Cokelat</v>
      </c>
      <c r="K1494" s="7">
        <f>if(RIGHT(I1494,5)="2 pcs",2,Data!I1494)</f>
        <v>1</v>
      </c>
      <c r="L1494" s="2" t="str">
        <f t="shared" si="4"/>
        <v>Sunday</v>
      </c>
      <c r="M1494" s="2" t="str">
        <f t="shared" si="5"/>
        <v>1</v>
      </c>
      <c r="N1494" s="2">
        <f>VLOOKUP(L1494,'Data Info'!$A$1:$B$8,2,0)</f>
        <v>7</v>
      </c>
      <c r="O1494" s="2" t="str">
        <f>VLOOKUP(L1494,'Data Info'!$A$1:$C$8,3,0)</f>
        <v>Weekend</v>
      </c>
    </row>
    <row r="1495">
      <c r="A1495" s="4">
        <v>45536.561111111114</v>
      </c>
      <c r="B1495" s="9">
        <f>IFERROR(__xludf.DUMMYFUNCTION("SPLIT(A1495,"" "")"),45536.0)</f>
        <v>45536</v>
      </c>
      <c r="C1495" s="10">
        <f>IFERROR(__xludf.DUMMYFUNCTION("""COMPUTED_VALUE"""),0.5611111111111111)</f>
        <v>0.5611111111</v>
      </c>
      <c r="D1495" s="2">
        <f t="shared" si="1"/>
        <v>13</v>
      </c>
      <c r="E1495" s="2">
        <f>IFERROR(__xludf.DUMMYFUNCTION("SPLIT(B1495,""/"")"),1.0)</f>
        <v>1</v>
      </c>
      <c r="F1495" s="2">
        <f>IFERROR(__xludf.DUMMYFUNCTION("""COMPUTED_VALUE"""),9.0)</f>
        <v>9</v>
      </c>
      <c r="G1495" s="2">
        <f>IFERROR(__xludf.DUMMYFUNCTION("""COMPUTED_VALUE"""),2024.0)</f>
        <v>2024</v>
      </c>
      <c r="H1495" s="2" t="str">
        <f t="shared" si="2"/>
        <v>2024/9/1</v>
      </c>
      <c r="I1495" s="2" t="s">
        <v>1600</v>
      </c>
      <c r="J1495" s="2" t="str">
        <f t="shared" si="3"/>
        <v>Chamomile Lemongrass Hot Artisan Tea</v>
      </c>
      <c r="K1495" s="7">
        <f>if(RIGHT(I1495,5)="2 pcs",2,Data!I1495)</f>
        <v>1</v>
      </c>
      <c r="L1495" s="2" t="str">
        <f t="shared" si="4"/>
        <v>Sunday</v>
      </c>
      <c r="M1495" s="2" t="str">
        <f t="shared" si="5"/>
        <v>1</v>
      </c>
      <c r="N1495" s="2">
        <f>VLOOKUP(L1495,'Data Info'!$A$1:$B$8,2,0)</f>
        <v>7</v>
      </c>
      <c r="O1495" s="2" t="str">
        <f>VLOOKUP(L1495,'Data Info'!$A$1:$C$8,3,0)</f>
        <v>Weekend</v>
      </c>
    </row>
    <row r="1496">
      <c r="A1496" s="4">
        <v>45536.561111111114</v>
      </c>
      <c r="B1496" s="9">
        <f>IFERROR(__xludf.DUMMYFUNCTION("SPLIT(A1496,"" "")"),45536.0)</f>
        <v>45536</v>
      </c>
      <c r="C1496" s="10">
        <f>IFERROR(__xludf.DUMMYFUNCTION("""COMPUTED_VALUE"""),0.5611111111111111)</f>
        <v>0.5611111111</v>
      </c>
      <c r="D1496" s="2">
        <f t="shared" si="1"/>
        <v>13</v>
      </c>
      <c r="E1496" s="2">
        <f>IFERROR(__xludf.DUMMYFUNCTION("SPLIT(B1496,""/"")"),1.0)</f>
        <v>1</v>
      </c>
      <c r="F1496" s="2">
        <f>IFERROR(__xludf.DUMMYFUNCTION("""COMPUTED_VALUE"""),9.0)</f>
        <v>9</v>
      </c>
      <c r="G1496" s="2">
        <f>IFERROR(__xludf.DUMMYFUNCTION("""COMPUTED_VALUE"""),2024.0)</f>
        <v>2024</v>
      </c>
      <c r="H1496" s="2" t="str">
        <f t="shared" si="2"/>
        <v>2024/9/1</v>
      </c>
      <c r="I1496" s="2" t="s">
        <v>1615</v>
      </c>
      <c r="J1496" s="2" t="str">
        <f t="shared" si="3"/>
        <v>Roti panggang sarikaya</v>
      </c>
      <c r="K1496" s="7">
        <f>if(RIGHT(I1496,5)="2 pcs",2,Data!I1496)</f>
        <v>1</v>
      </c>
      <c r="L1496" s="2" t="str">
        <f t="shared" si="4"/>
        <v>Sunday</v>
      </c>
      <c r="M1496" s="2" t="str">
        <f t="shared" si="5"/>
        <v>1</v>
      </c>
      <c r="N1496" s="2">
        <f>VLOOKUP(L1496,'Data Info'!$A$1:$B$8,2,0)</f>
        <v>7</v>
      </c>
      <c r="O1496" s="2" t="str">
        <f>VLOOKUP(L1496,'Data Info'!$A$1:$C$8,3,0)</f>
        <v>Weekend</v>
      </c>
    </row>
    <row r="1497">
      <c r="A1497" s="4">
        <v>45536.561111111114</v>
      </c>
      <c r="B1497" s="9">
        <f>IFERROR(__xludf.DUMMYFUNCTION("SPLIT(A1497,"" "")"),45536.0)</f>
        <v>45536</v>
      </c>
      <c r="C1497" s="10">
        <f>IFERROR(__xludf.DUMMYFUNCTION("""COMPUTED_VALUE"""),0.5611111111111111)</f>
        <v>0.5611111111</v>
      </c>
      <c r="D1497" s="2">
        <f t="shared" si="1"/>
        <v>13</v>
      </c>
      <c r="E1497" s="2">
        <f>IFERROR(__xludf.DUMMYFUNCTION("SPLIT(B1497,""/"")"),1.0)</f>
        <v>1</v>
      </c>
      <c r="F1497" s="2">
        <f>IFERROR(__xludf.DUMMYFUNCTION("""COMPUTED_VALUE"""),9.0)</f>
        <v>9</v>
      </c>
      <c r="G1497" s="2">
        <f>IFERROR(__xludf.DUMMYFUNCTION("""COMPUTED_VALUE"""),2024.0)</f>
        <v>2024</v>
      </c>
      <c r="H1497" s="2" t="str">
        <f t="shared" si="2"/>
        <v>2024/9/1</v>
      </c>
      <c r="I1497" s="2" t="s">
        <v>1584</v>
      </c>
      <c r="J1497" s="2" t="str">
        <f t="shared" si="3"/>
        <v>Korean Mango Fresh Milk</v>
      </c>
      <c r="K1497" s="7">
        <f>if(RIGHT(I1497,5)="2 pcs",2,Data!I1497)</f>
        <v>1</v>
      </c>
      <c r="L1497" s="2" t="str">
        <f t="shared" si="4"/>
        <v>Sunday</v>
      </c>
      <c r="M1497" s="2" t="str">
        <f t="shared" si="5"/>
        <v>1</v>
      </c>
      <c r="N1497" s="2">
        <f>VLOOKUP(L1497,'Data Info'!$A$1:$B$8,2,0)</f>
        <v>7</v>
      </c>
      <c r="O1497" s="2" t="str">
        <f>VLOOKUP(L1497,'Data Info'!$A$1:$C$8,3,0)</f>
        <v>Weekend</v>
      </c>
    </row>
    <row r="1498">
      <c r="A1498" s="4">
        <v>45536.561111111114</v>
      </c>
      <c r="B1498" s="9">
        <f>IFERROR(__xludf.DUMMYFUNCTION("SPLIT(A1498,"" "")"),45536.0)</f>
        <v>45536</v>
      </c>
      <c r="C1498" s="10">
        <f>IFERROR(__xludf.DUMMYFUNCTION("""COMPUTED_VALUE"""),0.5611111111111111)</f>
        <v>0.5611111111</v>
      </c>
      <c r="D1498" s="2">
        <f t="shared" si="1"/>
        <v>13</v>
      </c>
      <c r="E1498" s="2">
        <f>IFERROR(__xludf.DUMMYFUNCTION("SPLIT(B1498,""/"")"),1.0)</f>
        <v>1</v>
      </c>
      <c r="F1498" s="2">
        <f>IFERROR(__xludf.DUMMYFUNCTION("""COMPUTED_VALUE"""),9.0)</f>
        <v>9</v>
      </c>
      <c r="G1498" s="2">
        <f>IFERROR(__xludf.DUMMYFUNCTION("""COMPUTED_VALUE"""),2024.0)</f>
        <v>2024</v>
      </c>
      <c r="H1498" s="2" t="str">
        <f t="shared" si="2"/>
        <v>2024/9/1</v>
      </c>
      <c r="I1498" s="2" t="s">
        <v>1594</v>
      </c>
      <c r="J1498" s="2" t="str">
        <f t="shared" si="3"/>
        <v>Wedang Bulan</v>
      </c>
      <c r="K1498" s="7">
        <f>if(RIGHT(I1498,5)="2 pcs",2,Data!I1498)</f>
        <v>1</v>
      </c>
      <c r="L1498" s="2" t="str">
        <f t="shared" si="4"/>
        <v>Sunday</v>
      </c>
      <c r="M1498" s="2" t="str">
        <f t="shared" si="5"/>
        <v>1</v>
      </c>
      <c r="N1498" s="2">
        <f>VLOOKUP(L1498,'Data Info'!$A$1:$B$8,2,0)</f>
        <v>7</v>
      </c>
      <c r="O1498" s="2" t="str">
        <f>VLOOKUP(L1498,'Data Info'!$A$1:$C$8,3,0)</f>
        <v>Weekend</v>
      </c>
    </row>
    <row r="1499">
      <c r="A1499" s="4">
        <v>45536.561111111114</v>
      </c>
      <c r="B1499" s="9">
        <f>IFERROR(__xludf.DUMMYFUNCTION("SPLIT(A1499,"" "")"),45536.0)</f>
        <v>45536</v>
      </c>
      <c r="C1499" s="10">
        <f>IFERROR(__xludf.DUMMYFUNCTION("""COMPUTED_VALUE"""),0.5611111111111111)</f>
        <v>0.5611111111</v>
      </c>
      <c r="D1499" s="2">
        <f t="shared" si="1"/>
        <v>13</v>
      </c>
      <c r="E1499" s="2">
        <f>IFERROR(__xludf.DUMMYFUNCTION("SPLIT(B1499,""/"")"),1.0)</f>
        <v>1</v>
      </c>
      <c r="F1499" s="2">
        <f>IFERROR(__xludf.DUMMYFUNCTION("""COMPUTED_VALUE"""),9.0)</f>
        <v>9</v>
      </c>
      <c r="G1499" s="2">
        <f>IFERROR(__xludf.DUMMYFUNCTION("""COMPUTED_VALUE"""),2024.0)</f>
        <v>2024</v>
      </c>
      <c r="H1499" s="2" t="str">
        <f t="shared" si="2"/>
        <v>2024/9/1</v>
      </c>
      <c r="I1499" s="2" t="s">
        <v>1618</v>
      </c>
      <c r="J1499" s="2" t="str">
        <f t="shared" si="3"/>
        <v>Susu murni ori</v>
      </c>
      <c r="K1499" s="7">
        <f>if(RIGHT(I1499,5)="2 pcs",2,Data!I1499)</f>
        <v>1</v>
      </c>
      <c r="L1499" s="2" t="str">
        <f t="shared" si="4"/>
        <v>Sunday</v>
      </c>
      <c r="M1499" s="2" t="str">
        <f t="shared" si="5"/>
        <v>1</v>
      </c>
      <c r="N1499" s="2">
        <f>VLOOKUP(L1499,'Data Info'!$A$1:$B$8,2,0)</f>
        <v>7</v>
      </c>
      <c r="O1499" s="2" t="str">
        <f>VLOOKUP(L1499,'Data Info'!$A$1:$C$8,3,0)</f>
        <v>Weekend</v>
      </c>
    </row>
    <row r="1500">
      <c r="A1500" s="4">
        <v>45536.55972222222</v>
      </c>
      <c r="B1500" s="9">
        <f>IFERROR(__xludf.DUMMYFUNCTION("SPLIT(A1500,"" "")"),45536.0)</f>
        <v>45536</v>
      </c>
      <c r="C1500" s="10">
        <f>IFERROR(__xludf.DUMMYFUNCTION("""COMPUTED_VALUE"""),0.5597222222222222)</f>
        <v>0.5597222222</v>
      </c>
      <c r="D1500" s="2">
        <f t="shared" si="1"/>
        <v>13</v>
      </c>
      <c r="E1500" s="2">
        <f>IFERROR(__xludf.DUMMYFUNCTION("SPLIT(B1500,""/"")"),1.0)</f>
        <v>1</v>
      </c>
      <c r="F1500" s="2">
        <f>IFERROR(__xludf.DUMMYFUNCTION("""COMPUTED_VALUE"""),9.0)</f>
        <v>9</v>
      </c>
      <c r="G1500" s="2">
        <f>IFERROR(__xludf.DUMMYFUNCTION("""COMPUTED_VALUE"""),2024.0)</f>
        <v>2024</v>
      </c>
      <c r="H1500" s="2" t="str">
        <f t="shared" si="2"/>
        <v>2024/9/1</v>
      </c>
      <c r="I1500" s="2" t="s">
        <v>1588</v>
      </c>
      <c r="J1500" s="2" t="str">
        <f t="shared" si="3"/>
        <v>Es Kopi Susu</v>
      </c>
      <c r="K1500" s="7">
        <f>if(RIGHT(I1500,5)="2 pcs",2,Data!I1500)</f>
        <v>1</v>
      </c>
      <c r="L1500" s="2" t="str">
        <f t="shared" si="4"/>
        <v>Sunday</v>
      </c>
      <c r="M1500" s="2" t="str">
        <f t="shared" si="5"/>
        <v>1</v>
      </c>
      <c r="N1500" s="2">
        <f>VLOOKUP(L1500,'Data Info'!$A$1:$B$8,2,0)</f>
        <v>7</v>
      </c>
      <c r="O1500" s="2" t="str">
        <f>VLOOKUP(L1500,'Data Info'!$A$1:$C$8,3,0)</f>
        <v>Weekend</v>
      </c>
    </row>
    <row r="1501">
      <c r="A1501" s="4">
        <v>45536.55972222222</v>
      </c>
      <c r="B1501" s="9">
        <f>IFERROR(__xludf.DUMMYFUNCTION("SPLIT(A1501,"" "")"),45536.0)</f>
        <v>45536</v>
      </c>
      <c r="C1501" s="10">
        <f>IFERROR(__xludf.DUMMYFUNCTION("""COMPUTED_VALUE"""),0.5597222222222222)</f>
        <v>0.5597222222</v>
      </c>
      <c r="D1501" s="2">
        <f t="shared" si="1"/>
        <v>13</v>
      </c>
      <c r="E1501" s="2">
        <f>IFERROR(__xludf.DUMMYFUNCTION("SPLIT(B1501,""/"")"),1.0)</f>
        <v>1</v>
      </c>
      <c r="F1501" s="2">
        <f>IFERROR(__xludf.DUMMYFUNCTION("""COMPUTED_VALUE"""),9.0)</f>
        <v>9</v>
      </c>
      <c r="G1501" s="2">
        <f>IFERROR(__xludf.DUMMYFUNCTION("""COMPUTED_VALUE"""),2024.0)</f>
        <v>2024</v>
      </c>
      <c r="H1501" s="2" t="str">
        <f t="shared" si="2"/>
        <v>2024/9/1</v>
      </c>
      <c r="I1501" s="2" t="s">
        <v>1598</v>
      </c>
      <c r="J1501" s="2" t="str">
        <f t="shared" si="3"/>
        <v>Korean Strawberry Fresh Milk</v>
      </c>
      <c r="K1501" s="7">
        <f>if(RIGHT(I1501,5)="2 pcs",2,Data!I1501)</f>
        <v>1</v>
      </c>
      <c r="L1501" s="2" t="str">
        <f t="shared" si="4"/>
        <v>Sunday</v>
      </c>
      <c r="M1501" s="2" t="str">
        <f t="shared" si="5"/>
        <v>1</v>
      </c>
      <c r="N1501" s="2">
        <f>VLOOKUP(L1501,'Data Info'!$A$1:$B$8,2,0)</f>
        <v>7</v>
      </c>
      <c r="O1501" s="2" t="str">
        <f>VLOOKUP(L1501,'Data Info'!$A$1:$C$8,3,0)</f>
        <v>Weekend</v>
      </c>
    </row>
    <row r="1502">
      <c r="A1502" s="4">
        <v>45536.55972222222</v>
      </c>
      <c r="B1502" s="9">
        <f>IFERROR(__xludf.DUMMYFUNCTION("SPLIT(A1502,"" "")"),45536.0)</f>
        <v>45536</v>
      </c>
      <c r="C1502" s="10">
        <f>IFERROR(__xludf.DUMMYFUNCTION("""COMPUTED_VALUE"""),0.5597222222222222)</f>
        <v>0.5597222222</v>
      </c>
      <c r="D1502" s="2">
        <f t="shared" si="1"/>
        <v>13</v>
      </c>
      <c r="E1502" s="2">
        <f>IFERROR(__xludf.DUMMYFUNCTION("SPLIT(B1502,""/"")"),1.0)</f>
        <v>1</v>
      </c>
      <c r="F1502" s="2">
        <f>IFERROR(__xludf.DUMMYFUNCTION("""COMPUTED_VALUE"""),9.0)</f>
        <v>9</v>
      </c>
      <c r="G1502" s="2">
        <f>IFERROR(__xludf.DUMMYFUNCTION("""COMPUTED_VALUE"""),2024.0)</f>
        <v>2024</v>
      </c>
      <c r="H1502" s="2" t="str">
        <f t="shared" si="2"/>
        <v>2024/9/1</v>
      </c>
      <c r="I1502" s="2" t="s">
        <v>1576</v>
      </c>
      <c r="J1502" s="2" t="str">
        <f t="shared" si="3"/>
        <v>Roti Cranberry</v>
      </c>
      <c r="K1502" s="7">
        <f>if(RIGHT(I1502,5)="2 pcs",2,Data!I1502)</f>
        <v>1</v>
      </c>
      <c r="L1502" s="2" t="str">
        <f t="shared" si="4"/>
        <v>Sunday</v>
      </c>
      <c r="M1502" s="2" t="str">
        <f t="shared" si="5"/>
        <v>1</v>
      </c>
      <c r="N1502" s="2">
        <f>VLOOKUP(L1502,'Data Info'!$A$1:$B$8,2,0)</f>
        <v>7</v>
      </c>
      <c r="O1502" s="2" t="str">
        <f>VLOOKUP(L1502,'Data Info'!$A$1:$C$8,3,0)</f>
        <v>Weekend</v>
      </c>
    </row>
    <row r="1503">
      <c r="A1503" s="4">
        <v>45536.54652777778</v>
      </c>
      <c r="B1503" s="9">
        <f>IFERROR(__xludf.DUMMYFUNCTION("SPLIT(A1503,"" "")"),45536.0)</f>
        <v>45536</v>
      </c>
      <c r="C1503" s="10">
        <f>IFERROR(__xludf.DUMMYFUNCTION("""COMPUTED_VALUE"""),0.5465277777777777)</f>
        <v>0.5465277778</v>
      </c>
      <c r="D1503" s="2">
        <f t="shared" si="1"/>
        <v>13</v>
      </c>
      <c r="E1503" s="2">
        <f>IFERROR(__xludf.DUMMYFUNCTION("SPLIT(B1503,""/"")"),1.0)</f>
        <v>1</v>
      </c>
      <c r="F1503" s="2">
        <f>IFERROR(__xludf.DUMMYFUNCTION("""COMPUTED_VALUE"""),9.0)</f>
        <v>9</v>
      </c>
      <c r="G1503" s="2">
        <f>IFERROR(__xludf.DUMMYFUNCTION("""COMPUTED_VALUE"""),2024.0)</f>
        <v>2024</v>
      </c>
      <c r="H1503" s="2" t="str">
        <f t="shared" si="2"/>
        <v>2024/9/1</v>
      </c>
      <c r="I1503" s="2" t="s">
        <v>1584</v>
      </c>
      <c r="J1503" s="2" t="str">
        <f t="shared" si="3"/>
        <v>Korean Mango Fresh Milk</v>
      </c>
      <c r="K1503" s="7">
        <f>if(RIGHT(I1503,5)="2 pcs",2,Data!I1503)</f>
        <v>1</v>
      </c>
      <c r="L1503" s="2" t="str">
        <f t="shared" si="4"/>
        <v>Sunday</v>
      </c>
      <c r="M1503" s="2" t="str">
        <f t="shared" si="5"/>
        <v>1</v>
      </c>
      <c r="N1503" s="2">
        <f>VLOOKUP(L1503,'Data Info'!$A$1:$B$8,2,0)</f>
        <v>7</v>
      </c>
      <c r="O1503" s="2" t="str">
        <f>VLOOKUP(L1503,'Data Info'!$A$1:$C$8,3,0)</f>
        <v>Weekend</v>
      </c>
    </row>
    <row r="1504">
      <c r="A1504" s="4">
        <v>45536.54583333333</v>
      </c>
      <c r="B1504" s="9">
        <f>IFERROR(__xludf.DUMMYFUNCTION("SPLIT(A1504,"" "")"),45536.0)</f>
        <v>45536</v>
      </c>
      <c r="C1504" s="10">
        <f>IFERROR(__xludf.DUMMYFUNCTION("""COMPUTED_VALUE"""),0.5458333333333333)</f>
        <v>0.5458333333</v>
      </c>
      <c r="D1504" s="2">
        <f t="shared" si="1"/>
        <v>13</v>
      </c>
      <c r="E1504" s="2">
        <f>IFERROR(__xludf.DUMMYFUNCTION("SPLIT(B1504,""/"")"),1.0)</f>
        <v>1</v>
      </c>
      <c r="F1504" s="2">
        <f>IFERROR(__xludf.DUMMYFUNCTION("""COMPUTED_VALUE"""),9.0)</f>
        <v>9</v>
      </c>
      <c r="G1504" s="2">
        <f>IFERROR(__xludf.DUMMYFUNCTION("""COMPUTED_VALUE"""),2024.0)</f>
        <v>2024</v>
      </c>
      <c r="H1504" s="2" t="str">
        <f t="shared" si="2"/>
        <v>2024/9/1</v>
      </c>
      <c r="I1504" s="2" t="s">
        <v>1602</v>
      </c>
      <c r="J1504" s="2" t="str">
        <f t="shared" si="3"/>
        <v>Mie joglo</v>
      </c>
      <c r="K1504" s="7">
        <f>if(RIGHT(I1504,5)="2 pcs",2,Data!I1504)</f>
        <v>1</v>
      </c>
      <c r="L1504" s="2" t="str">
        <f t="shared" si="4"/>
        <v>Sunday</v>
      </c>
      <c r="M1504" s="2" t="str">
        <f t="shared" si="5"/>
        <v>1</v>
      </c>
      <c r="N1504" s="2">
        <f>VLOOKUP(L1504,'Data Info'!$A$1:$B$8,2,0)</f>
        <v>7</v>
      </c>
      <c r="O1504" s="2" t="str">
        <f>VLOOKUP(L1504,'Data Info'!$A$1:$C$8,3,0)</f>
        <v>Weekend</v>
      </c>
    </row>
    <row r="1505">
      <c r="A1505" s="4">
        <v>45536.54583333333</v>
      </c>
      <c r="B1505" s="9">
        <f>IFERROR(__xludf.DUMMYFUNCTION("SPLIT(A1505,"" "")"),45536.0)</f>
        <v>45536</v>
      </c>
      <c r="C1505" s="10">
        <f>IFERROR(__xludf.DUMMYFUNCTION("""COMPUTED_VALUE"""),0.5458333333333333)</f>
        <v>0.5458333333</v>
      </c>
      <c r="D1505" s="2">
        <f t="shared" si="1"/>
        <v>13</v>
      </c>
      <c r="E1505" s="2">
        <f>IFERROR(__xludf.DUMMYFUNCTION("SPLIT(B1505,""/"")"),1.0)</f>
        <v>1</v>
      </c>
      <c r="F1505" s="2">
        <f>IFERROR(__xludf.DUMMYFUNCTION("""COMPUTED_VALUE"""),9.0)</f>
        <v>9</v>
      </c>
      <c r="G1505" s="2">
        <f>IFERROR(__xludf.DUMMYFUNCTION("""COMPUTED_VALUE"""),2024.0)</f>
        <v>2024</v>
      </c>
      <c r="H1505" s="2" t="str">
        <f t="shared" si="2"/>
        <v>2024/9/1</v>
      </c>
      <c r="I1505" s="2" t="s">
        <v>1598</v>
      </c>
      <c r="J1505" s="2" t="str">
        <f t="shared" si="3"/>
        <v>Korean Strawberry Fresh Milk</v>
      </c>
      <c r="K1505" s="7">
        <f>if(RIGHT(I1505,5)="2 pcs",2,Data!I1505)</f>
        <v>1</v>
      </c>
      <c r="L1505" s="2" t="str">
        <f t="shared" si="4"/>
        <v>Sunday</v>
      </c>
      <c r="M1505" s="2" t="str">
        <f t="shared" si="5"/>
        <v>1</v>
      </c>
      <c r="N1505" s="2">
        <f>VLOOKUP(L1505,'Data Info'!$A$1:$B$8,2,0)</f>
        <v>7</v>
      </c>
      <c r="O1505" s="2" t="str">
        <f>VLOOKUP(L1505,'Data Info'!$A$1:$C$8,3,0)</f>
        <v>Weekend</v>
      </c>
    </row>
    <row r="1506">
      <c r="A1506" s="4">
        <v>45536.544444444444</v>
      </c>
      <c r="B1506" s="9">
        <f>IFERROR(__xludf.DUMMYFUNCTION("SPLIT(A1506,"" "")"),45536.0)</f>
        <v>45536</v>
      </c>
      <c r="C1506" s="10">
        <f>IFERROR(__xludf.DUMMYFUNCTION("""COMPUTED_VALUE"""),0.5444444444444444)</f>
        <v>0.5444444444</v>
      </c>
      <c r="D1506" s="2">
        <f t="shared" si="1"/>
        <v>13</v>
      </c>
      <c r="E1506" s="2">
        <f>IFERROR(__xludf.DUMMYFUNCTION("SPLIT(B1506,""/"")"),1.0)</f>
        <v>1</v>
      </c>
      <c r="F1506" s="2">
        <f>IFERROR(__xludf.DUMMYFUNCTION("""COMPUTED_VALUE"""),9.0)</f>
        <v>9</v>
      </c>
      <c r="G1506" s="2">
        <f>IFERROR(__xludf.DUMMYFUNCTION("""COMPUTED_VALUE"""),2024.0)</f>
        <v>2024</v>
      </c>
      <c r="H1506" s="2" t="str">
        <f t="shared" si="2"/>
        <v>2024/9/1</v>
      </c>
      <c r="I1506" s="2" t="s">
        <v>1576</v>
      </c>
      <c r="J1506" s="2" t="str">
        <f t="shared" si="3"/>
        <v>Roti Cranberry</v>
      </c>
      <c r="K1506" s="7">
        <f>if(RIGHT(I1506,5)="2 pcs",2,Data!I1506)</f>
        <v>1</v>
      </c>
      <c r="L1506" s="2" t="str">
        <f t="shared" si="4"/>
        <v>Sunday</v>
      </c>
      <c r="M1506" s="2" t="str">
        <f t="shared" si="5"/>
        <v>1</v>
      </c>
      <c r="N1506" s="2">
        <f>VLOOKUP(L1506,'Data Info'!$A$1:$B$8,2,0)</f>
        <v>7</v>
      </c>
      <c r="O1506" s="2" t="str">
        <f>VLOOKUP(L1506,'Data Info'!$A$1:$C$8,3,0)</f>
        <v>Weekend</v>
      </c>
    </row>
    <row r="1507">
      <c r="A1507" s="4">
        <v>45536.544444444444</v>
      </c>
      <c r="B1507" s="9">
        <f>IFERROR(__xludf.DUMMYFUNCTION("SPLIT(A1507,"" "")"),45536.0)</f>
        <v>45536</v>
      </c>
      <c r="C1507" s="10">
        <f>IFERROR(__xludf.DUMMYFUNCTION("""COMPUTED_VALUE"""),0.5444444444444444)</f>
        <v>0.5444444444</v>
      </c>
      <c r="D1507" s="2">
        <f t="shared" si="1"/>
        <v>13</v>
      </c>
      <c r="E1507" s="2">
        <f>IFERROR(__xludf.DUMMYFUNCTION("SPLIT(B1507,""/"")"),1.0)</f>
        <v>1</v>
      </c>
      <c r="F1507" s="2">
        <f>IFERROR(__xludf.DUMMYFUNCTION("""COMPUTED_VALUE"""),9.0)</f>
        <v>9</v>
      </c>
      <c r="G1507" s="2">
        <f>IFERROR(__xludf.DUMMYFUNCTION("""COMPUTED_VALUE"""),2024.0)</f>
        <v>2024</v>
      </c>
      <c r="H1507" s="2" t="str">
        <f t="shared" si="2"/>
        <v>2024/9/1</v>
      </c>
      <c r="I1507" s="2" t="s">
        <v>1595</v>
      </c>
      <c r="J1507" s="2" t="str">
        <f t="shared" si="3"/>
        <v>Roti Gandum Cokelat</v>
      </c>
      <c r="K1507" s="7">
        <f>if(RIGHT(I1507,5)="2 pcs",2,Data!I1507)</f>
        <v>1</v>
      </c>
      <c r="L1507" s="2" t="str">
        <f t="shared" si="4"/>
        <v>Sunday</v>
      </c>
      <c r="M1507" s="2" t="str">
        <f t="shared" si="5"/>
        <v>1</v>
      </c>
      <c r="N1507" s="2">
        <f>VLOOKUP(L1507,'Data Info'!$A$1:$B$8,2,0)</f>
        <v>7</v>
      </c>
      <c r="O1507" s="2" t="str">
        <f>VLOOKUP(L1507,'Data Info'!$A$1:$C$8,3,0)</f>
        <v>Weekend</v>
      </c>
    </row>
    <row r="1508">
      <c r="A1508" s="4">
        <v>45536.544444444444</v>
      </c>
      <c r="B1508" s="9">
        <f>IFERROR(__xludf.DUMMYFUNCTION("SPLIT(A1508,"" "")"),45536.0)</f>
        <v>45536</v>
      </c>
      <c r="C1508" s="10">
        <f>IFERROR(__xludf.DUMMYFUNCTION("""COMPUTED_VALUE"""),0.5444444444444444)</f>
        <v>0.5444444444</v>
      </c>
      <c r="D1508" s="2">
        <f t="shared" si="1"/>
        <v>13</v>
      </c>
      <c r="E1508" s="2">
        <f>IFERROR(__xludf.DUMMYFUNCTION("SPLIT(B1508,""/"")"),1.0)</f>
        <v>1</v>
      </c>
      <c r="F1508" s="2">
        <f>IFERROR(__xludf.DUMMYFUNCTION("""COMPUTED_VALUE"""),9.0)</f>
        <v>9</v>
      </c>
      <c r="G1508" s="2">
        <f>IFERROR(__xludf.DUMMYFUNCTION("""COMPUTED_VALUE"""),2024.0)</f>
        <v>2024</v>
      </c>
      <c r="H1508" s="2" t="str">
        <f t="shared" si="2"/>
        <v>2024/9/1</v>
      </c>
      <c r="I1508" s="2" t="s">
        <v>1583</v>
      </c>
      <c r="J1508" s="2" t="str">
        <f t="shared" si="3"/>
        <v>Es Kopi Lemon</v>
      </c>
      <c r="K1508" s="7">
        <f>if(RIGHT(I1508,5)="2 pcs",2,Data!I1508)</f>
        <v>1</v>
      </c>
      <c r="L1508" s="2" t="str">
        <f t="shared" si="4"/>
        <v>Sunday</v>
      </c>
      <c r="M1508" s="2" t="str">
        <f t="shared" si="5"/>
        <v>1</v>
      </c>
      <c r="N1508" s="2">
        <f>VLOOKUP(L1508,'Data Info'!$A$1:$B$8,2,0)</f>
        <v>7</v>
      </c>
      <c r="O1508" s="2" t="str">
        <f>VLOOKUP(L1508,'Data Info'!$A$1:$C$8,3,0)</f>
        <v>Weekend</v>
      </c>
    </row>
    <row r="1509">
      <c r="A1509" s="4">
        <v>45536.544444444444</v>
      </c>
      <c r="B1509" s="9">
        <f>IFERROR(__xludf.DUMMYFUNCTION("SPLIT(A1509,"" "")"),45536.0)</f>
        <v>45536</v>
      </c>
      <c r="C1509" s="10">
        <f>IFERROR(__xludf.DUMMYFUNCTION("""COMPUTED_VALUE"""),0.5444444444444444)</f>
        <v>0.5444444444</v>
      </c>
      <c r="D1509" s="2">
        <f t="shared" si="1"/>
        <v>13</v>
      </c>
      <c r="E1509" s="2">
        <f>IFERROR(__xludf.DUMMYFUNCTION("SPLIT(B1509,""/"")"),1.0)</f>
        <v>1</v>
      </c>
      <c r="F1509" s="2">
        <f>IFERROR(__xludf.DUMMYFUNCTION("""COMPUTED_VALUE"""),9.0)</f>
        <v>9</v>
      </c>
      <c r="G1509" s="2">
        <f>IFERROR(__xludf.DUMMYFUNCTION("""COMPUTED_VALUE"""),2024.0)</f>
        <v>2024</v>
      </c>
      <c r="H1509" s="2" t="str">
        <f t="shared" si="2"/>
        <v>2024/9/1</v>
      </c>
      <c r="I1509" s="2" t="s">
        <v>1588</v>
      </c>
      <c r="J1509" s="2" t="str">
        <f t="shared" si="3"/>
        <v>Es Kopi Susu</v>
      </c>
      <c r="K1509" s="7">
        <f>if(RIGHT(I1509,5)="2 pcs",2,Data!I1509)</f>
        <v>1</v>
      </c>
      <c r="L1509" s="2" t="str">
        <f t="shared" si="4"/>
        <v>Sunday</v>
      </c>
      <c r="M1509" s="2" t="str">
        <f t="shared" si="5"/>
        <v>1</v>
      </c>
      <c r="N1509" s="2">
        <f>VLOOKUP(L1509,'Data Info'!$A$1:$B$8,2,0)</f>
        <v>7</v>
      </c>
      <c r="O1509" s="2" t="str">
        <f>VLOOKUP(L1509,'Data Info'!$A$1:$C$8,3,0)</f>
        <v>Weekend</v>
      </c>
    </row>
    <row r="1510">
      <c r="A1510" s="4">
        <v>45536.518055555556</v>
      </c>
      <c r="B1510" s="9">
        <f>IFERROR(__xludf.DUMMYFUNCTION("SPLIT(A1510,"" "")"),45536.0)</f>
        <v>45536</v>
      </c>
      <c r="C1510" s="10">
        <f>IFERROR(__xludf.DUMMYFUNCTION("""COMPUTED_VALUE"""),0.5180555555555556)</f>
        <v>0.5180555556</v>
      </c>
      <c r="D1510" s="2">
        <f t="shared" si="1"/>
        <v>12</v>
      </c>
      <c r="E1510" s="2">
        <f>IFERROR(__xludf.DUMMYFUNCTION("SPLIT(B1510,""/"")"),1.0)</f>
        <v>1</v>
      </c>
      <c r="F1510" s="2">
        <f>IFERROR(__xludf.DUMMYFUNCTION("""COMPUTED_VALUE"""),9.0)</f>
        <v>9</v>
      </c>
      <c r="G1510" s="2">
        <f>IFERROR(__xludf.DUMMYFUNCTION("""COMPUTED_VALUE"""),2024.0)</f>
        <v>2024</v>
      </c>
      <c r="H1510" s="2" t="str">
        <f t="shared" si="2"/>
        <v>2024/9/1</v>
      </c>
      <c r="I1510" s="2" t="s">
        <v>1610</v>
      </c>
      <c r="J1510" s="2" t="str">
        <f t="shared" si="3"/>
        <v>Roti toast eskrim</v>
      </c>
      <c r="K1510" s="7">
        <f>if(RIGHT(I1510,5)="2 pcs",2,Data!I1510)</f>
        <v>1</v>
      </c>
      <c r="L1510" s="2" t="str">
        <f t="shared" si="4"/>
        <v>Sunday</v>
      </c>
      <c r="M1510" s="2" t="str">
        <f t="shared" si="5"/>
        <v>1</v>
      </c>
      <c r="N1510" s="2">
        <f>VLOOKUP(L1510,'Data Info'!$A$1:$B$8,2,0)</f>
        <v>7</v>
      </c>
      <c r="O1510" s="2" t="str">
        <f>VLOOKUP(L1510,'Data Info'!$A$1:$C$8,3,0)</f>
        <v>Weekend</v>
      </c>
    </row>
    <row r="1511">
      <c r="A1511" s="4">
        <v>45536.518055555556</v>
      </c>
      <c r="B1511" s="9">
        <f>IFERROR(__xludf.DUMMYFUNCTION("SPLIT(A1511,"" "")"),45536.0)</f>
        <v>45536</v>
      </c>
      <c r="C1511" s="10">
        <f>IFERROR(__xludf.DUMMYFUNCTION("""COMPUTED_VALUE"""),0.5180555555555556)</f>
        <v>0.5180555556</v>
      </c>
      <c r="D1511" s="2">
        <f t="shared" si="1"/>
        <v>12</v>
      </c>
      <c r="E1511" s="2">
        <f>IFERROR(__xludf.DUMMYFUNCTION("SPLIT(B1511,""/"")"),1.0)</f>
        <v>1</v>
      </c>
      <c r="F1511" s="2">
        <f>IFERROR(__xludf.DUMMYFUNCTION("""COMPUTED_VALUE"""),9.0)</f>
        <v>9</v>
      </c>
      <c r="G1511" s="2">
        <f>IFERROR(__xludf.DUMMYFUNCTION("""COMPUTED_VALUE"""),2024.0)</f>
        <v>2024</v>
      </c>
      <c r="H1511" s="2" t="str">
        <f t="shared" si="2"/>
        <v>2024/9/1</v>
      </c>
      <c r="I1511" s="2" t="s">
        <v>1587</v>
      </c>
      <c r="J1511" s="2" t="str">
        <f t="shared" si="3"/>
        <v>Tahu Lada Garam</v>
      </c>
      <c r="K1511" s="7">
        <f>if(RIGHT(I1511,5)="2 pcs",2,Data!I1511)</f>
        <v>1</v>
      </c>
      <c r="L1511" s="2" t="str">
        <f t="shared" si="4"/>
        <v>Sunday</v>
      </c>
      <c r="M1511" s="2" t="str">
        <f t="shared" si="5"/>
        <v>1</v>
      </c>
      <c r="N1511" s="2">
        <f>VLOOKUP(L1511,'Data Info'!$A$1:$B$8,2,0)</f>
        <v>7</v>
      </c>
      <c r="O1511" s="2" t="str">
        <f>VLOOKUP(L1511,'Data Info'!$A$1:$C$8,3,0)</f>
        <v>Weekend</v>
      </c>
    </row>
    <row r="1512">
      <c r="A1512" s="4">
        <v>45536.518055555556</v>
      </c>
      <c r="B1512" s="9">
        <f>IFERROR(__xludf.DUMMYFUNCTION("SPLIT(A1512,"" "")"),45536.0)</f>
        <v>45536</v>
      </c>
      <c r="C1512" s="10">
        <f>IFERROR(__xludf.DUMMYFUNCTION("""COMPUTED_VALUE"""),0.5180555555555556)</f>
        <v>0.5180555556</v>
      </c>
      <c r="D1512" s="2">
        <f t="shared" si="1"/>
        <v>12</v>
      </c>
      <c r="E1512" s="2">
        <f>IFERROR(__xludf.DUMMYFUNCTION("SPLIT(B1512,""/"")"),1.0)</f>
        <v>1</v>
      </c>
      <c r="F1512" s="2">
        <f>IFERROR(__xludf.DUMMYFUNCTION("""COMPUTED_VALUE"""),9.0)</f>
        <v>9</v>
      </c>
      <c r="G1512" s="2">
        <f>IFERROR(__xludf.DUMMYFUNCTION("""COMPUTED_VALUE"""),2024.0)</f>
        <v>2024</v>
      </c>
      <c r="H1512" s="2" t="str">
        <f t="shared" si="2"/>
        <v>2024/9/1</v>
      </c>
      <c r="I1512" s="2" t="s">
        <v>1596</v>
      </c>
      <c r="J1512" s="2" t="str">
        <f t="shared" si="3"/>
        <v>Roti Cranberry</v>
      </c>
      <c r="K1512" s="7">
        <f>if(RIGHT(I1512,5)="2 pcs",2,Data!I1512)</f>
        <v>2</v>
      </c>
      <c r="L1512" s="2" t="str">
        <f t="shared" si="4"/>
        <v>Sunday</v>
      </c>
      <c r="M1512" s="2" t="str">
        <f t="shared" si="5"/>
        <v>1</v>
      </c>
      <c r="N1512" s="2">
        <f>VLOOKUP(L1512,'Data Info'!$A$1:$B$8,2,0)</f>
        <v>7</v>
      </c>
      <c r="O1512" s="2" t="str">
        <f>VLOOKUP(L1512,'Data Info'!$A$1:$C$8,3,0)</f>
        <v>Weekend</v>
      </c>
    </row>
    <row r="1513">
      <c r="A1513" s="4">
        <v>45536.518055555556</v>
      </c>
      <c r="B1513" s="9">
        <f>IFERROR(__xludf.DUMMYFUNCTION("SPLIT(A1513,"" "")"),45536.0)</f>
        <v>45536</v>
      </c>
      <c r="C1513" s="10">
        <f>IFERROR(__xludf.DUMMYFUNCTION("""COMPUTED_VALUE"""),0.5180555555555556)</f>
        <v>0.5180555556</v>
      </c>
      <c r="D1513" s="2">
        <f t="shared" si="1"/>
        <v>12</v>
      </c>
      <c r="E1513" s="2">
        <f>IFERROR(__xludf.DUMMYFUNCTION("SPLIT(B1513,""/"")"),1.0)</f>
        <v>1</v>
      </c>
      <c r="F1513" s="2">
        <f>IFERROR(__xludf.DUMMYFUNCTION("""COMPUTED_VALUE"""),9.0)</f>
        <v>9</v>
      </c>
      <c r="G1513" s="2">
        <f>IFERROR(__xludf.DUMMYFUNCTION("""COMPUTED_VALUE"""),2024.0)</f>
        <v>2024</v>
      </c>
      <c r="H1513" s="2" t="str">
        <f t="shared" si="2"/>
        <v>2024/9/1</v>
      </c>
      <c r="I1513" s="2" t="s">
        <v>1597</v>
      </c>
      <c r="J1513" s="2" t="str">
        <f t="shared" si="3"/>
        <v>Roti Gandum Cokelat</v>
      </c>
      <c r="K1513" s="7">
        <f>if(RIGHT(I1513,5)="2 pcs",2,Data!I1513)</f>
        <v>2</v>
      </c>
      <c r="L1513" s="2" t="str">
        <f t="shared" si="4"/>
        <v>Sunday</v>
      </c>
      <c r="M1513" s="2" t="str">
        <f t="shared" si="5"/>
        <v>1</v>
      </c>
      <c r="N1513" s="2">
        <f>VLOOKUP(L1513,'Data Info'!$A$1:$B$8,2,0)</f>
        <v>7</v>
      </c>
      <c r="O1513" s="2" t="str">
        <f>VLOOKUP(L1513,'Data Info'!$A$1:$C$8,3,0)</f>
        <v>Weekend</v>
      </c>
    </row>
    <row r="1514">
      <c r="A1514" s="4">
        <v>45536.518055555556</v>
      </c>
      <c r="B1514" s="9">
        <f>IFERROR(__xludf.DUMMYFUNCTION("SPLIT(A1514,"" "")"),45536.0)</f>
        <v>45536</v>
      </c>
      <c r="C1514" s="10">
        <f>IFERROR(__xludf.DUMMYFUNCTION("""COMPUTED_VALUE"""),0.5180555555555556)</f>
        <v>0.5180555556</v>
      </c>
      <c r="D1514" s="2">
        <f t="shared" si="1"/>
        <v>12</v>
      </c>
      <c r="E1514" s="2">
        <f>IFERROR(__xludf.DUMMYFUNCTION("SPLIT(B1514,""/"")"),1.0)</f>
        <v>1</v>
      </c>
      <c r="F1514" s="2">
        <f>IFERROR(__xludf.DUMMYFUNCTION("""COMPUTED_VALUE"""),9.0)</f>
        <v>9</v>
      </c>
      <c r="G1514" s="2">
        <f>IFERROR(__xludf.DUMMYFUNCTION("""COMPUTED_VALUE"""),2024.0)</f>
        <v>2024</v>
      </c>
      <c r="H1514" s="2" t="str">
        <f t="shared" si="2"/>
        <v>2024/9/1</v>
      </c>
      <c r="I1514" s="2" t="s">
        <v>1595</v>
      </c>
      <c r="J1514" s="2" t="str">
        <f t="shared" si="3"/>
        <v>Roti Gandum Cokelat</v>
      </c>
      <c r="K1514" s="7">
        <f>if(RIGHT(I1514,5)="2 pcs",2,Data!I1514)</f>
        <v>1</v>
      </c>
      <c r="L1514" s="2" t="str">
        <f t="shared" si="4"/>
        <v>Sunday</v>
      </c>
      <c r="M1514" s="2" t="str">
        <f t="shared" si="5"/>
        <v>1</v>
      </c>
      <c r="N1514" s="2">
        <f>VLOOKUP(L1514,'Data Info'!$A$1:$B$8,2,0)</f>
        <v>7</v>
      </c>
      <c r="O1514" s="2" t="str">
        <f>VLOOKUP(L1514,'Data Info'!$A$1:$C$8,3,0)</f>
        <v>Weekend</v>
      </c>
    </row>
    <row r="1515">
      <c r="A1515" s="4">
        <v>45536.49236111111</v>
      </c>
      <c r="B1515" s="9">
        <f>IFERROR(__xludf.DUMMYFUNCTION("SPLIT(A1515,"" "")"),45536.0)</f>
        <v>45536</v>
      </c>
      <c r="C1515" s="10">
        <f>IFERROR(__xludf.DUMMYFUNCTION("""COMPUTED_VALUE"""),0.49236111111111114)</f>
        <v>0.4923611111</v>
      </c>
      <c r="D1515" s="2">
        <f t="shared" si="1"/>
        <v>11</v>
      </c>
      <c r="E1515" s="2">
        <f>IFERROR(__xludf.DUMMYFUNCTION("SPLIT(B1515,""/"")"),1.0)</f>
        <v>1</v>
      </c>
      <c r="F1515" s="2">
        <f>IFERROR(__xludf.DUMMYFUNCTION("""COMPUTED_VALUE"""),9.0)</f>
        <v>9</v>
      </c>
      <c r="G1515" s="2">
        <f>IFERROR(__xludf.DUMMYFUNCTION("""COMPUTED_VALUE"""),2024.0)</f>
        <v>2024</v>
      </c>
      <c r="H1515" s="2" t="str">
        <f t="shared" si="2"/>
        <v>2024/9/1</v>
      </c>
      <c r="I1515" s="2" t="s">
        <v>1588</v>
      </c>
      <c r="J1515" s="2" t="str">
        <f t="shared" si="3"/>
        <v>Es Kopi Susu</v>
      </c>
      <c r="K1515" s="7">
        <f>if(RIGHT(I1515,5)="2 pcs",2,Data!I1515)</f>
        <v>1</v>
      </c>
      <c r="L1515" s="2" t="str">
        <f t="shared" si="4"/>
        <v>Sunday</v>
      </c>
      <c r="M1515" s="2" t="str">
        <f t="shared" si="5"/>
        <v>1</v>
      </c>
      <c r="N1515" s="2">
        <f>VLOOKUP(L1515,'Data Info'!$A$1:$B$8,2,0)</f>
        <v>7</v>
      </c>
      <c r="O1515" s="2" t="str">
        <f>VLOOKUP(L1515,'Data Info'!$A$1:$C$8,3,0)</f>
        <v>Weekend</v>
      </c>
    </row>
    <row r="1516">
      <c r="A1516" s="4">
        <v>45536.49236111111</v>
      </c>
      <c r="B1516" s="9">
        <f>IFERROR(__xludf.DUMMYFUNCTION("SPLIT(A1516,"" "")"),45536.0)</f>
        <v>45536</v>
      </c>
      <c r="C1516" s="10">
        <f>IFERROR(__xludf.DUMMYFUNCTION("""COMPUTED_VALUE"""),0.49236111111111114)</f>
        <v>0.4923611111</v>
      </c>
      <c r="D1516" s="2">
        <f t="shared" si="1"/>
        <v>11</v>
      </c>
      <c r="E1516" s="2">
        <f>IFERROR(__xludf.DUMMYFUNCTION("SPLIT(B1516,""/"")"),1.0)</f>
        <v>1</v>
      </c>
      <c r="F1516" s="2">
        <f>IFERROR(__xludf.DUMMYFUNCTION("""COMPUTED_VALUE"""),9.0)</f>
        <v>9</v>
      </c>
      <c r="G1516" s="2">
        <f>IFERROR(__xludf.DUMMYFUNCTION("""COMPUTED_VALUE"""),2024.0)</f>
        <v>2024</v>
      </c>
      <c r="H1516" s="2" t="str">
        <f t="shared" si="2"/>
        <v>2024/9/1</v>
      </c>
      <c r="I1516" s="2" t="s">
        <v>1602</v>
      </c>
      <c r="J1516" s="2" t="str">
        <f t="shared" si="3"/>
        <v>Mie joglo</v>
      </c>
      <c r="K1516" s="7">
        <f>if(RIGHT(I1516,5)="2 pcs",2,Data!I1516)</f>
        <v>1</v>
      </c>
      <c r="L1516" s="2" t="str">
        <f t="shared" si="4"/>
        <v>Sunday</v>
      </c>
      <c r="M1516" s="2" t="str">
        <f t="shared" si="5"/>
        <v>1</v>
      </c>
      <c r="N1516" s="2">
        <f>VLOOKUP(L1516,'Data Info'!$A$1:$B$8,2,0)</f>
        <v>7</v>
      </c>
      <c r="O1516" s="2" t="str">
        <f>VLOOKUP(L1516,'Data Info'!$A$1:$C$8,3,0)</f>
        <v>Weekend</v>
      </c>
    </row>
    <row r="1517">
      <c r="A1517" s="4">
        <v>45536.48611111111</v>
      </c>
      <c r="B1517" s="9">
        <f>IFERROR(__xludf.DUMMYFUNCTION("SPLIT(A1517,"" "")"),45536.0)</f>
        <v>45536</v>
      </c>
      <c r="C1517" s="10">
        <f>IFERROR(__xludf.DUMMYFUNCTION("""COMPUTED_VALUE"""),0.4861111111111111)</f>
        <v>0.4861111111</v>
      </c>
      <c r="D1517" s="2">
        <f t="shared" si="1"/>
        <v>11</v>
      </c>
      <c r="E1517" s="2">
        <f>IFERROR(__xludf.DUMMYFUNCTION("SPLIT(B1517,""/"")"),1.0)</f>
        <v>1</v>
      </c>
      <c r="F1517" s="2">
        <f>IFERROR(__xludf.DUMMYFUNCTION("""COMPUTED_VALUE"""),9.0)</f>
        <v>9</v>
      </c>
      <c r="G1517" s="2">
        <f>IFERROR(__xludf.DUMMYFUNCTION("""COMPUTED_VALUE"""),2024.0)</f>
        <v>2024</v>
      </c>
      <c r="H1517" s="2" t="str">
        <f t="shared" si="2"/>
        <v>2024/9/1</v>
      </c>
      <c r="I1517" s="2" t="s">
        <v>1576</v>
      </c>
      <c r="J1517" s="2" t="str">
        <f t="shared" si="3"/>
        <v>Roti Cranberry</v>
      </c>
      <c r="K1517" s="7">
        <f>if(RIGHT(I1517,5)="2 pcs",2,Data!I1517)</f>
        <v>1</v>
      </c>
      <c r="L1517" s="2" t="str">
        <f t="shared" si="4"/>
        <v>Sunday</v>
      </c>
      <c r="M1517" s="2" t="str">
        <f t="shared" si="5"/>
        <v>1</v>
      </c>
      <c r="N1517" s="2">
        <f>VLOOKUP(L1517,'Data Info'!$A$1:$B$8,2,0)</f>
        <v>7</v>
      </c>
      <c r="O1517" s="2" t="str">
        <f>VLOOKUP(L1517,'Data Info'!$A$1:$C$8,3,0)</f>
        <v>Weekend</v>
      </c>
    </row>
    <row r="1518">
      <c r="A1518" s="4">
        <v>45536.48611111111</v>
      </c>
      <c r="B1518" s="9">
        <f>IFERROR(__xludf.DUMMYFUNCTION("SPLIT(A1518,"" "")"),45536.0)</f>
        <v>45536</v>
      </c>
      <c r="C1518" s="10">
        <f>IFERROR(__xludf.DUMMYFUNCTION("""COMPUTED_VALUE"""),0.4861111111111111)</f>
        <v>0.4861111111</v>
      </c>
      <c r="D1518" s="2">
        <f t="shared" si="1"/>
        <v>11</v>
      </c>
      <c r="E1518" s="2">
        <f>IFERROR(__xludf.DUMMYFUNCTION("SPLIT(B1518,""/"")"),1.0)</f>
        <v>1</v>
      </c>
      <c r="F1518" s="2">
        <f>IFERROR(__xludf.DUMMYFUNCTION("""COMPUTED_VALUE"""),9.0)</f>
        <v>9</v>
      </c>
      <c r="G1518" s="2">
        <f>IFERROR(__xludf.DUMMYFUNCTION("""COMPUTED_VALUE"""),2024.0)</f>
        <v>2024</v>
      </c>
      <c r="H1518" s="2" t="str">
        <f t="shared" si="2"/>
        <v>2024/9/1</v>
      </c>
      <c r="I1518" s="2" t="s">
        <v>1634</v>
      </c>
      <c r="J1518" s="2" t="str">
        <f t="shared" si="3"/>
        <v>Roti coklat</v>
      </c>
      <c r="K1518" s="7">
        <f>if(RIGHT(I1518,5)="2 pcs",2,Data!I1518)</f>
        <v>1</v>
      </c>
      <c r="L1518" s="2" t="str">
        <f t="shared" si="4"/>
        <v>Sunday</v>
      </c>
      <c r="M1518" s="2" t="str">
        <f t="shared" si="5"/>
        <v>1</v>
      </c>
      <c r="N1518" s="2">
        <f>VLOOKUP(L1518,'Data Info'!$A$1:$B$8,2,0)</f>
        <v>7</v>
      </c>
      <c r="O1518" s="2" t="str">
        <f>VLOOKUP(L1518,'Data Info'!$A$1:$C$8,3,0)</f>
        <v>Weekend</v>
      </c>
    </row>
    <row r="1519">
      <c r="A1519" s="4">
        <v>45536.48611111111</v>
      </c>
      <c r="B1519" s="9">
        <f>IFERROR(__xludf.DUMMYFUNCTION("SPLIT(A1519,"" "")"),45536.0)</f>
        <v>45536</v>
      </c>
      <c r="C1519" s="10">
        <f>IFERROR(__xludf.DUMMYFUNCTION("""COMPUTED_VALUE"""),0.4861111111111111)</f>
        <v>0.4861111111</v>
      </c>
      <c r="D1519" s="2">
        <f t="shared" si="1"/>
        <v>11</v>
      </c>
      <c r="E1519" s="2">
        <f>IFERROR(__xludf.DUMMYFUNCTION("SPLIT(B1519,""/"")"),1.0)</f>
        <v>1</v>
      </c>
      <c r="F1519" s="2">
        <f>IFERROR(__xludf.DUMMYFUNCTION("""COMPUTED_VALUE"""),9.0)</f>
        <v>9</v>
      </c>
      <c r="G1519" s="2">
        <f>IFERROR(__xludf.DUMMYFUNCTION("""COMPUTED_VALUE"""),2024.0)</f>
        <v>2024</v>
      </c>
      <c r="H1519" s="2" t="str">
        <f t="shared" si="2"/>
        <v>2024/9/1</v>
      </c>
      <c r="I1519" s="2" t="s">
        <v>1598</v>
      </c>
      <c r="J1519" s="2" t="str">
        <f t="shared" si="3"/>
        <v>Korean Strawberry Fresh Milk</v>
      </c>
      <c r="K1519" s="7">
        <f>if(RIGHT(I1519,5)="2 pcs",2,Data!I1519)</f>
        <v>1</v>
      </c>
      <c r="L1519" s="2" t="str">
        <f t="shared" si="4"/>
        <v>Sunday</v>
      </c>
      <c r="M1519" s="2" t="str">
        <f t="shared" si="5"/>
        <v>1</v>
      </c>
      <c r="N1519" s="2">
        <f>VLOOKUP(L1519,'Data Info'!$A$1:$B$8,2,0)</f>
        <v>7</v>
      </c>
      <c r="O1519" s="2" t="str">
        <f>VLOOKUP(L1519,'Data Info'!$A$1:$C$8,3,0)</f>
        <v>Weekend</v>
      </c>
    </row>
    <row r="1520">
      <c r="A1520" s="4">
        <v>45536.48611111111</v>
      </c>
      <c r="B1520" s="9">
        <f>IFERROR(__xludf.DUMMYFUNCTION("SPLIT(A1520,"" "")"),45536.0)</f>
        <v>45536</v>
      </c>
      <c r="C1520" s="10">
        <f>IFERROR(__xludf.DUMMYFUNCTION("""COMPUTED_VALUE"""),0.4861111111111111)</f>
        <v>0.4861111111</v>
      </c>
      <c r="D1520" s="2">
        <f t="shared" si="1"/>
        <v>11</v>
      </c>
      <c r="E1520" s="2">
        <f>IFERROR(__xludf.DUMMYFUNCTION("SPLIT(B1520,""/"")"),1.0)</f>
        <v>1</v>
      </c>
      <c r="F1520" s="2">
        <f>IFERROR(__xludf.DUMMYFUNCTION("""COMPUTED_VALUE"""),9.0)</f>
        <v>9</v>
      </c>
      <c r="G1520" s="2">
        <f>IFERROR(__xludf.DUMMYFUNCTION("""COMPUTED_VALUE"""),2024.0)</f>
        <v>2024</v>
      </c>
      <c r="H1520" s="2" t="str">
        <f t="shared" si="2"/>
        <v>2024/9/1</v>
      </c>
      <c r="I1520" s="2" t="s">
        <v>1604</v>
      </c>
      <c r="J1520" s="2" t="str">
        <f t="shared" si="3"/>
        <v>Teh Tawar Panas</v>
      </c>
      <c r="K1520" s="7">
        <f>if(RIGHT(I1520,5)="2 pcs",2,Data!I1520)</f>
        <v>1</v>
      </c>
      <c r="L1520" s="2" t="str">
        <f t="shared" si="4"/>
        <v>Sunday</v>
      </c>
      <c r="M1520" s="2" t="str">
        <f t="shared" si="5"/>
        <v>1</v>
      </c>
      <c r="N1520" s="2">
        <f>VLOOKUP(L1520,'Data Info'!$A$1:$B$8,2,0)</f>
        <v>7</v>
      </c>
      <c r="O1520" s="2" t="str">
        <f>VLOOKUP(L1520,'Data Info'!$A$1:$C$8,3,0)</f>
        <v>Weekend</v>
      </c>
    </row>
    <row r="1521">
      <c r="A1521" s="4">
        <v>45536.48611111111</v>
      </c>
      <c r="B1521" s="9">
        <f>IFERROR(__xludf.DUMMYFUNCTION("SPLIT(A1521,"" "")"),45536.0)</f>
        <v>45536</v>
      </c>
      <c r="C1521" s="10">
        <f>IFERROR(__xludf.DUMMYFUNCTION("""COMPUTED_VALUE"""),0.4861111111111111)</f>
        <v>0.4861111111</v>
      </c>
      <c r="D1521" s="2">
        <f t="shared" si="1"/>
        <v>11</v>
      </c>
      <c r="E1521" s="2">
        <f>IFERROR(__xludf.DUMMYFUNCTION("SPLIT(B1521,""/"")"),1.0)</f>
        <v>1</v>
      </c>
      <c r="F1521" s="2">
        <f>IFERROR(__xludf.DUMMYFUNCTION("""COMPUTED_VALUE"""),9.0)</f>
        <v>9</v>
      </c>
      <c r="G1521" s="2">
        <f>IFERROR(__xludf.DUMMYFUNCTION("""COMPUTED_VALUE"""),2024.0)</f>
        <v>2024</v>
      </c>
      <c r="H1521" s="2" t="str">
        <f t="shared" si="2"/>
        <v>2024/9/1</v>
      </c>
      <c r="I1521" s="2" t="s">
        <v>1603</v>
      </c>
      <c r="J1521" s="2" t="str">
        <f t="shared" si="3"/>
        <v>Nasi Goreng Temu</v>
      </c>
      <c r="K1521" s="7">
        <f>if(RIGHT(I1521,5)="2 pcs",2,Data!I1521)</f>
        <v>1</v>
      </c>
      <c r="L1521" s="2" t="str">
        <f t="shared" si="4"/>
        <v>Sunday</v>
      </c>
      <c r="M1521" s="2" t="str">
        <f t="shared" si="5"/>
        <v>1</v>
      </c>
      <c r="N1521" s="2">
        <f>VLOOKUP(L1521,'Data Info'!$A$1:$B$8,2,0)</f>
        <v>7</v>
      </c>
      <c r="O1521" s="2" t="str">
        <f>VLOOKUP(L1521,'Data Info'!$A$1:$C$8,3,0)</f>
        <v>Weekend</v>
      </c>
    </row>
    <row r="1522">
      <c r="A1522" s="4">
        <v>45536.48125</v>
      </c>
      <c r="B1522" s="9">
        <f>IFERROR(__xludf.DUMMYFUNCTION("SPLIT(A1522,"" "")"),45536.0)</f>
        <v>45536</v>
      </c>
      <c r="C1522" s="10">
        <f>IFERROR(__xludf.DUMMYFUNCTION("""COMPUTED_VALUE"""),0.48125)</f>
        <v>0.48125</v>
      </c>
      <c r="D1522" s="2">
        <f t="shared" si="1"/>
        <v>11</v>
      </c>
      <c r="E1522" s="2">
        <f>IFERROR(__xludf.DUMMYFUNCTION("SPLIT(B1522,""/"")"),1.0)</f>
        <v>1</v>
      </c>
      <c r="F1522" s="2">
        <f>IFERROR(__xludf.DUMMYFUNCTION("""COMPUTED_VALUE"""),9.0)</f>
        <v>9</v>
      </c>
      <c r="G1522" s="2">
        <f>IFERROR(__xludf.DUMMYFUNCTION("""COMPUTED_VALUE"""),2024.0)</f>
        <v>2024</v>
      </c>
      <c r="H1522" s="2" t="str">
        <f t="shared" si="2"/>
        <v>2024/9/1</v>
      </c>
      <c r="I1522" s="2" t="s">
        <v>1596</v>
      </c>
      <c r="J1522" s="2" t="str">
        <f t="shared" si="3"/>
        <v>Roti Cranberry</v>
      </c>
      <c r="K1522" s="7">
        <f>if(RIGHT(I1522,5)="2 pcs",2,Data!I1522)</f>
        <v>2</v>
      </c>
      <c r="L1522" s="2" t="str">
        <f t="shared" si="4"/>
        <v>Sunday</v>
      </c>
      <c r="M1522" s="2" t="str">
        <f t="shared" si="5"/>
        <v>1</v>
      </c>
      <c r="N1522" s="2">
        <f>VLOOKUP(L1522,'Data Info'!$A$1:$B$8,2,0)</f>
        <v>7</v>
      </c>
      <c r="O1522" s="2" t="str">
        <f>VLOOKUP(L1522,'Data Info'!$A$1:$C$8,3,0)</f>
        <v>Weekend</v>
      </c>
    </row>
    <row r="1523">
      <c r="A1523" s="4">
        <v>45536.48125</v>
      </c>
      <c r="B1523" s="9">
        <f>IFERROR(__xludf.DUMMYFUNCTION("SPLIT(A1523,"" "")"),45536.0)</f>
        <v>45536</v>
      </c>
      <c r="C1523" s="10">
        <f>IFERROR(__xludf.DUMMYFUNCTION("""COMPUTED_VALUE"""),0.48125)</f>
        <v>0.48125</v>
      </c>
      <c r="D1523" s="2">
        <f t="shared" si="1"/>
        <v>11</v>
      </c>
      <c r="E1523" s="2">
        <f>IFERROR(__xludf.DUMMYFUNCTION("SPLIT(B1523,""/"")"),1.0)</f>
        <v>1</v>
      </c>
      <c r="F1523" s="2">
        <f>IFERROR(__xludf.DUMMYFUNCTION("""COMPUTED_VALUE"""),9.0)</f>
        <v>9</v>
      </c>
      <c r="G1523" s="2">
        <f>IFERROR(__xludf.DUMMYFUNCTION("""COMPUTED_VALUE"""),2024.0)</f>
        <v>2024</v>
      </c>
      <c r="H1523" s="2" t="str">
        <f t="shared" si="2"/>
        <v>2024/9/1</v>
      </c>
      <c r="I1523" s="2" t="s">
        <v>1610</v>
      </c>
      <c r="J1523" s="2" t="str">
        <f t="shared" si="3"/>
        <v>Roti toast eskrim</v>
      </c>
      <c r="K1523" s="7">
        <f>if(RIGHT(I1523,5)="2 pcs",2,Data!I1523)</f>
        <v>1</v>
      </c>
      <c r="L1523" s="2" t="str">
        <f t="shared" si="4"/>
        <v>Sunday</v>
      </c>
      <c r="M1523" s="2" t="str">
        <f t="shared" si="5"/>
        <v>1</v>
      </c>
      <c r="N1523" s="2">
        <f>VLOOKUP(L1523,'Data Info'!$A$1:$B$8,2,0)</f>
        <v>7</v>
      </c>
      <c r="O1523" s="2" t="str">
        <f>VLOOKUP(L1523,'Data Info'!$A$1:$C$8,3,0)</f>
        <v>Weekend</v>
      </c>
    </row>
    <row r="1524">
      <c r="A1524" s="4">
        <v>45536.48125</v>
      </c>
      <c r="B1524" s="9">
        <f>IFERROR(__xludf.DUMMYFUNCTION("SPLIT(A1524,"" "")"),45536.0)</f>
        <v>45536</v>
      </c>
      <c r="C1524" s="10">
        <f>IFERROR(__xludf.DUMMYFUNCTION("""COMPUTED_VALUE"""),0.48125)</f>
        <v>0.48125</v>
      </c>
      <c r="D1524" s="2">
        <f t="shared" si="1"/>
        <v>11</v>
      </c>
      <c r="E1524" s="2">
        <f>IFERROR(__xludf.DUMMYFUNCTION("SPLIT(B1524,""/"")"),1.0)</f>
        <v>1</v>
      </c>
      <c r="F1524" s="2">
        <f>IFERROR(__xludf.DUMMYFUNCTION("""COMPUTED_VALUE"""),9.0)</f>
        <v>9</v>
      </c>
      <c r="G1524" s="2">
        <f>IFERROR(__xludf.DUMMYFUNCTION("""COMPUTED_VALUE"""),2024.0)</f>
        <v>2024</v>
      </c>
      <c r="H1524" s="2" t="str">
        <f t="shared" si="2"/>
        <v>2024/9/1</v>
      </c>
      <c r="I1524" s="2" t="s">
        <v>1583</v>
      </c>
      <c r="J1524" s="2" t="str">
        <f t="shared" si="3"/>
        <v>Es Kopi Lemon</v>
      </c>
      <c r="K1524" s="7">
        <f>if(RIGHT(I1524,5)="2 pcs",2,Data!I1524)</f>
        <v>1</v>
      </c>
      <c r="L1524" s="2" t="str">
        <f t="shared" si="4"/>
        <v>Sunday</v>
      </c>
      <c r="M1524" s="2" t="str">
        <f t="shared" si="5"/>
        <v>1</v>
      </c>
      <c r="N1524" s="2">
        <f>VLOOKUP(L1524,'Data Info'!$A$1:$B$8,2,0)</f>
        <v>7</v>
      </c>
      <c r="O1524" s="2" t="str">
        <f>VLOOKUP(L1524,'Data Info'!$A$1:$C$8,3,0)</f>
        <v>Weekend</v>
      </c>
    </row>
    <row r="1525">
      <c r="A1525" s="4">
        <v>45536.48125</v>
      </c>
      <c r="B1525" s="9">
        <f>IFERROR(__xludf.DUMMYFUNCTION("SPLIT(A1525,"" "")"),45536.0)</f>
        <v>45536</v>
      </c>
      <c r="C1525" s="10">
        <f>IFERROR(__xludf.DUMMYFUNCTION("""COMPUTED_VALUE"""),0.48125)</f>
        <v>0.48125</v>
      </c>
      <c r="D1525" s="2">
        <f t="shared" si="1"/>
        <v>11</v>
      </c>
      <c r="E1525" s="2">
        <f>IFERROR(__xludf.DUMMYFUNCTION("SPLIT(B1525,""/"")"),1.0)</f>
        <v>1</v>
      </c>
      <c r="F1525" s="2">
        <f>IFERROR(__xludf.DUMMYFUNCTION("""COMPUTED_VALUE"""),9.0)</f>
        <v>9</v>
      </c>
      <c r="G1525" s="2">
        <f>IFERROR(__xludf.DUMMYFUNCTION("""COMPUTED_VALUE"""),2024.0)</f>
        <v>2024</v>
      </c>
      <c r="H1525" s="2" t="str">
        <f t="shared" si="2"/>
        <v>2024/9/1</v>
      </c>
      <c r="I1525" s="2" t="s">
        <v>1588</v>
      </c>
      <c r="J1525" s="2" t="str">
        <f t="shared" si="3"/>
        <v>Es Kopi Susu</v>
      </c>
      <c r="K1525" s="7">
        <f>if(RIGHT(I1525,5)="2 pcs",2,Data!I1525)</f>
        <v>1</v>
      </c>
      <c r="L1525" s="2" t="str">
        <f t="shared" si="4"/>
        <v>Sunday</v>
      </c>
      <c r="M1525" s="2" t="str">
        <f t="shared" si="5"/>
        <v>1</v>
      </c>
      <c r="N1525" s="2">
        <f>VLOOKUP(L1525,'Data Info'!$A$1:$B$8,2,0)</f>
        <v>7</v>
      </c>
      <c r="O1525" s="2" t="str">
        <f>VLOOKUP(L1525,'Data Info'!$A$1:$C$8,3,0)</f>
        <v>Weekend</v>
      </c>
    </row>
    <row r="1526">
      <c r="A1526" s="4">
        <v>45536.438888888886</v>
      </c>
      <c r="B1526" s="9">
        <f>IFERROR(__xludf.DUMMYFUNCTION("SPLIT(A1526,"" "")"),45536.0)</f>
        <v>45536</v>
      </c>
      <c r="C1526" s="10">
        <f>IFERROR(__xludf.DUMMYFUNCTION("""COMPUTED_VALUE"""),0.4388888888888889)</f>
        <v>0.4388888889</v>
      </c>
      <c r="D1526" s="2">
        <f t="shared" si="1"/>
        <v>10</v>
      </c>
      <c r="E1526" s="2">
        <f>IFERROR(__xludf.DUMMYFUNCTION("SPLIT(B1526,""/"")"),1.0)</f>
        <v>1</v>
      </c>
      <c r="F1526" s="2">
        <f>IFERROR(__xludf.DUMMYFUNCTION("""COMPUTED_VALUE"""),9.0)</f>
        <v>9</v>
      </c>
      <c r="G1526" s="2">
        <f>IFERROR(__xludf.DUMMYFUNCTION("""COMPUTED_VALUE"""),2024.0)</f>
        <v>2024</v>
      </c>
      <c r="H1526" s="2" t="str">
        <f t="shared" si="2"/>
        <v>2024/9/1</v>
      </c>
      <c r="I1526" s="2" t="s">
        <v>1596</v>
      </c>
      <c r="J1526" s="2" t="str">
        <f t="shared" si="3"/>
        <v>Roti Cranberry</v>
      </c>
      <c r="K1526" s="7">
        <f>if(RIGHT(I1526,5)="2 pcs",2,Data!I1526)</f>
        <v>2</v>
      </c>
      <c r="L1526" s="2" t="str">
        <f t="shared" si="4"/>
        <v>Sunday</v>
      </c>
      <c r="M1526" s="2" t="str">
        <f t="shared" si="5"/>
        <v>1</v>
      </c>
      <c r="N1526" s="2">
        <f>VLOOKUP(L1526,'Data Info'!$A$1:$B$8,2,0)</f>
        <v>7</v>
      </c>
      <c r="O1526" s="2" t="str">
        <f>VLOOKUP(L1526,'Data Info'!$A$1:$C$8,3,0)</f>
        <v>Weekend</v>
      </c>
    </row>
    <row r="1527">
      <c r="A1527" s="4">
        <v>45536.419444444444</v>
      </c>
      <c r="B1527" s="9">
        <f>IFERROR(__xludf.DUMMYFUNCTION("SPLIT(A1527,"" "")"),45536.0)</f>
        <v>45536</v>
      </c>
      <c r="C1527" s="10">
        <f>IFERROR(__xludf.DUMMYFUNCTION("""COMPUTED_VALUE"""),0.41944444444444445)</f>
        <v>0.4194444444</v>
      </c>
      <c r="D1527" s="2">
        <f t="shared" si="1"/>
        <v>10</v>
      </c>
      <c r="E1527" s="2">
        <f>IFERROR(__xludf.DUMMYFUNCTION("SPLIT(B1527,""/"")"),1.0)</f>
        <v>1</v>
      </c>
      <c r="F1527" s="2">
        <f>IFERROR(__xludf.DUMMYFUNCTION("""COMPUTED_VALUE"""),9.0)</f>
        <v>9</v>
      </c>
      <c r="G1527" s="2">
        <f>IFERROR(__xludf.DUMMYFUNCTION("""COMPUTED_VALUE"""),2024.0)</f>
        <v>2024</v>
      </c>
      <c r="H1527" s="2" t="str">
        <f t="shared" si="2"/>
        <v>2024/9/1</v>
      </c>
      <c r="I1527" s="2" t="s">
        <v>1634</v>
      </c>
      <c r="J1527" s="2" t="str">
        <f t="shared" si="3"/>
        <v>Roti coklat</v>
      </c>
      <c r="K1527" s="7">
        <f>if(RIGHT(I1527,5)="2 pcs",2,Data!I1527)</f>
        <v>1</v>
      </c>
      <c r="L1527" s="2" t="str">
        <f t="shared" si="4"/>
        <v>Sunday</v>
      </c>
      <c r="M1527" s="2" t="str">
        <f t="shared" si="5"/>
        <v>1</v>
      </c>
      <c r="N1527" s="2">
        <f>VLOOKUP(L1527,'Data Info'!$A$1:$B$8,2,0)</f>
        <v>7</v>
      </c>
      <c r="O1527" s="2" t="str">
        <f>VLOOKUP(L1527,'Data Info'!$A$1:$C$8,3,0)</f>
        <v>Weekend</v>
      </c>
    </row>
    <row r="1528">
      <c r="A1528" s="4">
        <v>45536.419444444444</v>
      </c>
      <c r="B1528" s="9">
        <f>IFERROR(__xludf.DUMMYFUNCTION("SPLIT(A1528,"" "")"),45536.0)</f>
        <v>45536</v>
      </c>
      <c r="C1528" s="10">
        <f>IFERROR(__xludf.DUMMYFUNCTION("""COMPUTED_VALUE"""),0.41944444444444445)</f>
        <v>0.4194444444</v>
      </c>
      <c r="D1528" s="2">
        <f t="shared" si="1"/>
        <v>10</v>
      </c>
      <c r="E1528" s="2">
        <f>IFERROR(__xludf.DUMMYFUNCTION("SPLIT(B1528,""/"")"),1.0)</f>
        <v>1</v>
      </c>
      <c r="F1528" s="2">
        <f>IFERROR(__xludf.DUMMYFUNCTION("""COMPUTED_VALUE"""),9.0)</f>
        <v>9</v>
      </c>
      <c r="G1528" s="2">
        <f>IFERROR(__xludf.DUMMYFUNCTION("""COMPUTED_VALUE"""),2024.0)</f>
        <v>2024</v>
      </c>
      <c r="H1528" s="2" t="str">
        <f t="shared" si="2"/>
        <v>2024/9/1</v>
      </c>
      <c r="I1528" s="2" t="s">
        <v>1576</v>
      </c>
      <c r="J1528" s="2" t="str">
        <f t="shared" si="3"/>
        <v>Roti Cranberry</v>
      </c>
      <c r="K1528" s="7">
        <f>if(RIGHT(I1528,5)="2 pcs",2,Data!I1528)</f>
        <v>1</v>
      </c>
      <c r="L1528" s="2" t="str">
        <f t="shared" si="4"/>
        <v>Sunday</v>
      </c>
      <c r="M1528" s="2" t="str">
        <f t="shared" si="5"/>
        <v>1</v>
      </c>
      <c r="N1528" s="2">
        <f>VLOOKUP(L1528,'Data Info'!$A$1:$B$8,2,0)</f>
        <v>7</v>
      </c>
      <c r="O1528" s="2" t="str">
        <f>VLOOKUP(L1528,'Data Info'!$A$1:$C$8,3,0)</f>
        <v>Weekend</v>
      </c>
    </row>
    <row r="1529">
      <c r="A1529" s="4">
        <v>45536.402083333334</v>
      </c>
      <c r="B1529" s="9">
        <f>IFERROR(__xludf.DUMMYFUNCTION("SPLIT(A1529,"" "")"),45536.0)</f>
        <v>45536</v>
      </c>
      <c r="C1529" s="10">
        <f>IFERROR(__xludf.DUMMYFUNCTION("""COMPUTED_VALUE"""),0.40208333333333335)</f>
        <v>0.4020833333</v>
      </c>
      <c r="D1529" s="2">
        <f t="shared" si="1"/>
        <v>9</v>
      </c>
      <c r="E1529" s="2">
        <f>IFERROR(__xludf.DUMMYFUNCTION("SPLIT(B1529,""/"")"),1.0)</f>
        <v>1</v>
      </c>
      <c r="F1529" s="2">
        <f>IFERROR(__xludf.DUMMYFUNCTION("""COMPUTED_VALUE"""),9.0)</f>
        <v>9</v>
      </c>
      <c r="G1529" s="2">
        <f>IFERROR(__xludf.DUMMYFUNCTION("""COMPUTED_VALUE"""),2024.0)</f>
        <v>2024</v>
      </c>
      <c r="H1529" s="2" t="str">
        <f t="shared" si="2"/>
        <v>2024/9/1</v>
      </c>
      <c r="I1529" s="2" t="s">
        <v>1633</v>
      </c>
      <c r="J1529" s="2" t="str">
        <f t="shared" si="3"/>
        <v>Jasmine Green Sencha Hot Artisan Tea</v>
      </c>
      <c r="K1529" s="7">
        <f>if(RIGHT(I1529,5)="2 pcs",2,Data!I1529)</f>
        <v>1</v>
      </c>
      <c r="L1529" s="2" t="str">
        <f t="shared" si="4"/>
        <v>Sunday</v>
      </c>
      <c r="M1529" s="2" t="str">
        <f t="shared" si="5"/>
        <v>1</v>
      </c>
      <c r="N1529" s="2">
        <f>VLOOKUP(L1529,'Data Info'!$A$1:$B$8,2,0)</f>
        <v>7</v>
      </c>
      <c r="O1529" s="2" t="str">
        <f>VLOOKUP(L1529,'Data Info'!$A$1:$C$8,3,0)</f>
        <v>Weekend</v>
      </c>
    </row>
    <row r="1530">
      <c r="A1530" s="4">
        <v>45536.402083333334</v>
      </c>
      <c r="B1530" s="9">
        <f>IFERROR(__xludf.DUMMYFUNCTION("SPLIT(A1530,"" "")"),45536.0)</f>
        <v>45536</v>
      </c>
      <c r="C1530" s="10">
        <f>IFERROR(__xludf.DUMMYFUNCTION("""COMPUTED_VALUE"""),0.40208333333333335)</f>
        <v>0.4020833333</v>
      </c>
      <c r="D1530" s="2">
        <f t="shared" si="1"/>
        <v>9</v>
      </c>
      <c r="E1530" s="2">
        <f>IFERROR(__xludf.DUMMYFUNCTION("SPLIT(B1530,""/"")"),1.0)</f>
        <v>1</v>
      </c>
      <c r="F1530" s="2">
        <f>IFERROR(__xludf.DUMMYFUNCTION("""COMPUTED_VALUE"""),9.0)</f>
        <v>9</v>
      </c>
      <c r="G1530" s="2">
        <f>IFERROR(__xludf.DUMMYFUNCTION("""COMPUTED_VALUE"""),2024.0)</f>
        <v>2024</v>
      </c>
      <c r="H1530" s="2" t="str">
        <f t="shared" si="2"/>
        <v>2024/9/1</v>
      </c>
      <c r="I1530" s="2" t="s">
        <v>1615</v>
      </c>
      <c r="J1530" s="2" t="str">
        <f t="shared" si="3"/>
        <v>Roti panggang sarikaya</v>
      </c>
      <c r="K1530" s="7">
        <f>if(RIGHT(I1530,5)="2 pcs",2,Data!I1530)</f>
        <v>1</v>
      </c>
      <c r="L1530" s="2" t="str">
        <f t="shared" si="4"/>
        <v>Sunday</v>
      </c>
      <c r="M1530" s="2" t="str">
        <f t="shared" si="5"/>
        <v>1</v>
      </c>
      <c r="N1530" s="2">
        <f>VLOOKUP(L1530,'Data Info'!$A$1:$B$8,2,0)</f>
        <v>7</v>
      </c>
      <c r="O1530" s="2" t="str">
        <f>VLOOKUP(L1530,'Data Info'!$A$1:$C$8,3,0)</f>
        <v>Weekend</v>
      </c>
    </row>
    <row r="1531">
      <c r="K1531" s="7"/>
    </row>
    <row r="1532">
      <c r="K1532" s="7"/>
    </row>
    <row r="1533">
      <c r="K1533" s="7"/>
    </row>
    <row r="1534">
      <c r="K1534" s="7"/>
    </row>
    <row r="1535">
      <c r="K1535" s="7"/>
    </row>
    <row r="1536">
      <c r="K1536" s="7"/>
    </row>
    <row r="1537">
      <c r="K1537" s="7"/>
    </row>
    <row r="1538">
      <c r="K1538" s="7"/>
    </row>
    <row r="1539">
      <c r="K1539" s="7"/>
    </row>
    <row r="1540">
      <c r="K1540" s="7"/>
    </row>
    <row r="1541">
      <c r="K1541" s="7"/>
    </row>
    <row r="1542">
      <c r="K1542" s="7"/>
    </row>
    <row r="1543">
      <c r="K1543" s="7"/>
    </row>
    <row r="1544">
      <c r="K1544" s="7"/>
    </row>
    <row r="1545">
      <c r="K1545" s="7"/>
    </row>
    <row r="1546">
      <c r="K1546" s="7"/>
    </row>
    <row r="1547">
      <c r="K1547" s="7"/>
    </row>
    <row r="1548">
      <c r="K1548" s="7"/>
    </row>
    <row r="1549">
      <c r="K1549" s="7"/>
    </row>
    <row r="1550">
      <c r="K1550" s="7"/>
    </row>
    <row r="1551">
      <c r="K1551" s="7"/>
    </row>
    <row r="1552">
      <c r="K1552" s="7"/>
    </row>
    <row r="1553">
      <c r="K1553" s="7"/>
    </row>
    <row r="1554">
      <c r="K1554" s="7"/>
    </row>
    <row r="1555">
      <c r="K1555" s="7"/>
    </row>
    <row r="1556">
      <c r="K1556" s="7"/>
    </row>
    <row r="1557">
      <c r="K1557" s="7"/>
    </row>
    <row r="1558">
      <c r="K1558" s="7"/>
    </row>
    <row r="1559">
      <c r="K1559" s="7"/>
    </row>
    <row r="1560">
      <c r="K1560" s="7"/>
    </row>
    <row r="1561">
      <c r="K1561" s="7"/>
    </row>
    <row r="1562">
      <c r="K1562" s="7"/>
    </row>
    <row r="1563">
      <c r="K1563" s="7"/>
    </row>
    <row r="1564">
      <c r="K1564" s="7"/>
    </row>
    <row r="1565">
      <c r="K1565" s="7"/>
    </row>
    <row r="1566">
      <c r="K1566" s="7"/>
    </row>
    <row r="1567">
      <c r="K1567" s="7"/>
    </row>
    <row r="1568">
      <c r="K1568" s="7"/>
    </row>
    <row r="1569">
      <c r="K1569" s="7"/>
    </row>
    <row r="1570">
      <c r="K1570" s="7"/>
    </row>
    <row r="1571">
      <c r="K1571" s="7"/>
    </row>
    <row r="1572">
      <c r="K1572" s="7"/>
    </row>
    <row r="1573">
      <c r="K1573" s="7"/>
    </row>
    <row r="1574">
      <c r="K1574" s="7"/>
    </row>
    <row r="1575">
      <c r="K1575" s="7"/>
    </row>
    <row r="1576">
      <c r="K1576" s="7"/>
    </row>
    <row r="1577">
      <c r="K1577" s="7"/>
    </row>
    <row r="1578">
      <c r="K1578" s="7"/>
    </row>
    <row r="1579">
      <c r="K1579" s="7"/>
    </row>
    <row r="1580">
      <c r="K1580" s="7"/>
    </row>
    <row r="1581">
      <c r="K1581" s="7"/>
    </row>
    <row r="1582">
      <c r="K1582" s="7"/>
    </row>
    <row r="1583">
      <c r="K1583" s="7"/>
    </row>
    <row r="1584">
      <c r="K1584" s="7"/>
    </row>
    <row r="1585">
      <c r="K1585" s="7"/>
    </row>
    <row r="1586">
      <c r="K1586" s="7"/>
    </row>
    <row r="1587">
      <c r="K1587" s="7"/>
    </row>
    <row r="1588">
      <c r="K1588" s="7"/>
    </row>
    <row r="1589">
      <c r="K1589" s="7"/>
    </row>
    <row r="1590">
      <c r="K1590" s="7"/>
    </row>
    <row r="1591">
      <c r="K1591" s="7"/>
    </row>
    <row r="1592">
      <c r="K1592" s="7"/>
    </row>
    <row r="1593">
      <c r="K1593" s="7"/>
    </row>
    <row r="1594">
      <c r="K1594" s="7"/>
    </row>
    <row r="1595">
      <c r="K1595" s="7"/>
    </row>
    <row r="1596">
      <c r="K1596" s="7"/>
    </row>
    <row r="1597">
      <c r="K1597" s="7"/>
    </row>
    <row r="1598">
      <c r="K1598" s="7"/>
    </row>
    <row r="1599">
      <c r="K1599" s="7"/>
    </row>
    <row r="1600">
      <c r="K1600" s="7"/>
    </row>
    <row r="1601">
      <c r="K1601" s="7"/>
    </row>
    <row r="1602">
      <c r="K1602" s="7"/>
    </row>
    <row r="1603">
      <c r="K1603" s="7"/>
    </row>
    <row r="1604">
      <c r="K1604" s="7"/>
    </row>
    <row r="1605">
      <c r="K1605" s="7"/>
    </row>
    <row r="1606">
      <c r="K1606" s="7"/>
    </row>
    <row r="1607">
      <c r="K1607" s="7"/>
    </row>
    <row r="1608">
      <c r="K1608" s="7"/>
    </row>
    <row r="1609">
      <c r="K1609" s="7"/>
    </row>
    <row r="1610">
      <c r="K1610" s="7"/>
    </row>
    <row r="1611">
      <c r="K1611" s="7"/>
    </row>
    <row r="1612">
      <c r="K1612" s="7"/>
    </row>
    <row r="1613">
      <c r="K1613" s="7"/>
    </row>
    <row r="1614">
      <c r="K1614" s="7"/>
    </row>
    <row r="1615">
      <c r="K1615" s="7"/>
    </row>
    <row r="1616">
      <c r="K1616" s="7"/>
    </row>
    <row r="1617">
      <c r="K1617" s="7"/>
    </row>
    <row r="1618">
      <c r="K1618" s="7"/>
    </row>
    <row r="1619">
      <c r="K1619" s="7"/>
    </row>
    <row r="1620">
      <c r="K1620" s="7"/>
    </row>
    <row r="1621">
      <c r="K1621" s="7"/>
    </row>
    <row r="1622">
      <c r="K1622" s="7"/>
    </row>
    <row r="1623">
      <c r="K1623" s="7"/>
    </row>
    <row r="1624">
      <c r="K1624" s="7"/>
    </row>
    <row r="1625">
      <c r="K1625" s="7"/>
    </row>
    <row r="1626">
      <c r="K1626" s="7"/>
    </row>
    <row r="1627">
      <c r="K1627" s="7"/>
    </row>
    <row r="1628">
      <c r="K1628" s="7"/>
    </row>
    <row r="1629">
      <c r="K1629" s="7"/>
    </row>
    <row r="1630">
      <c r="K1630" s="7"/>
    </row>
    <row r="1631">
      <c r="K1631" s="7"/>
    </row>
    <row r="1632">
      <c r="K1632" s="7"/>
    </row>
    <row r="1633">
      <c r="K1633" s="7"/>
    </row>
    <row r="1634">
      <c r="K1634" s="7"/>
    </row>
    <row r="1635">
      <c r="K1635" s="7"/>
    </row>
    <row r="1636">
      <c r="K1636" s="7"/>
    </row>
    <row r="1637">
      <c r="K1637" s="7"/>
    </row>
    <row r="1638">
      <c r="K1638" s="7"/>
    </row>
    <row r="1639">
      <c r="K1639" s="7"/>
    </row>
    <row r="1640">
      <c r="K1640" s="7"/>
    </row>
    <row r="1641">
      <c r="K1641" s="7"/>
    </row>
    <row r="1642">
      <c r="K1642" s="7"/>
    </row>
    <row r="1643">
      <c r="K1643" s="7"/>
    </row>
    <row r="1644">
      <c r="K1644" s="7"/>
    </row>
    <row r="1645">
      <c r="K1645" s="7"/>
    </row>
    <row r="1646">
      <c r="K1646" s="7"/>
    </row>
    <row r="1647">
      <c r="K1647" s="7"/>
    </row>
    <row r="1648">
      <c r="K1648" s="7"/>
    </row>
    <row r="1649">
      <c r="K1649" s="7"/>
    </row>
    <row r="1650">
      <c r="K1650" s="7"/>
    </row>
    <row r="1651">
      <c r="K1651" s="7"/>
    </row>
    <row r="1652">
      <c r="K1652" s="7"/>
    </row>
    <row r="1653">
      <c r="K1653" s="7"/>
    </row>
    <row r="1654">
      <c r="K1654" s="7"/>
    </row>
    <row r="1655">
      <c r="K1655" s="7"/>
    </row>
    <row r="1656">
      <c r="K1656" s="7"/>
    </row>
    <row r="1657">
      <c r="K1657" s="7"/>
    </row>
    <row r="1658">
      <c r="K1658" s="7"/>
    </row>
    <row r="1659">
      <c r="K1659" s="7"/>
    </row>
    <row r="1660">
      <c r="K1660" s="7"/>
    </row>
    <row r="1661">
      <c r="K1661" s="7"/>
    </row>
    <row r="1662">
      <c r="K1662" s="7"/>
    </row>
    <row r="1663">
      <c r="K1663" s="7"/>
    </row>
    <row r="1664">
      <c r="K1664" s="7"/>
    </row>
    <row r="1665">
      <c r="K1665" s="7"/>
    </row>
    <row r="1666">
      <c r="K1666" s="7"/>
    </row>
    <row r="1667">
      <c r="K1667" s="7"/>
    </row>
    <row r="1668">
      <c r="K1668" s="7"/>
    </row>
    <row r="1669">
      <c r="K1669" s="7"/>
    </row>
    <row r="1670">
      <c r="K1670" s="7"/>
    </row>
    <row r="1671">
      <c r="K1671" s="7"/>
    </row>
    <row r="1672">
      <c r="K1672" s="7"/>
    </row>
    <row r="1673">
      <c r="K1673" s="7"/>
    </row>
    <row r="1674">
      <c r="K1674" s="7"/>
    </row>
    <row r="1675">
      <c r="K1675" s="7"/>
    </row>
    <row r="1676">
      <c r="K1676" s="7"/>
    </row>
    <row r="1677">
      <c r="K1677" s="7"/>
    </row>
    <row r="1678">
      <c r="K1678" s="7"/>
    </row>
    <row r="1679">
      <c r="K1679" s="7"/>
    </row>
    <row r="1680">
      <c r="K1680" s="7"/>
    </row>
    <row r="1681">
      <c r="K1681" s="7"/>
    </row>
    <row r="1682">
      <c r="K1682" s="7"/>
    </row>
    <row r="1683">
      <c r="K1683" s="7"/>
    </row>
    <row r="1684">
      <c r="K1684" s="7"/>
    </row>
    <row r="1685">
      <c r="K1685" s="7"/>
    </row>
    <row r="1686">
      <c r="K1686" s="7"/>
    </row>
    <row r="1687">
      <c r="K1687" s="7"/>
    </row>
    <row r="1688">
      <c r="K1688" s="7"/>
    </row>
    <row r="1689">
      <c r="K1689" s="7"/>
    </row>
    <row r="1690">
      <c r="K1690" s="7"/>
    </row>
    <row r="1691">
      <c r="K1691" s="7"/>
    </row>
    <row r="1692">
      <c r="K1692" s="7"/>
    </row>
    <row r="1693">
      <c r="K1693" s="7"/>
    </row>
    <row r="1694">
      <c r="K1694" s="7"/>
    </row>
    <row r="1695">
      <c r="K1695" s="7"/>
    </row>
    <row r="1696">
      <c r="K1696" s="7"/>
    </row>
    <row r="1697">
      <c r="K1697" s="7"/>
    </row>
    <row r="1698">
      <c r="K1698" s="7"/>
    </row>
    <row r="1699">
      <c r="K1699" s="7"/>
    </row>
    <row r="1700">
      <c r="K1700" s="7"/>
    </row>
    <row r="1701">
      <c r="K1701" s="7"/>
    </row>
    <row r="1702">
      <c r="K1702" s="7"/>
    </row>
    <row r="1703">
      <c r="K1703" s="7"/>
    </row>
    <row r="1704">
      <c r="K1704" s="7"/>
    </row>
    <row r="1705">
      <c r="K1705" s="7"/>
    </row>
    <row r="1706">
      <c r="K1706" s="7"/>
    </row>
    <row r="1707">
      <c r="K1707" s="7"/>
    </row>
    <row r="1708">
      <c r="K1708" s="7"/>
    </row>
    <row r="1709">
      <c r="K1709" s="7"/>
    </row>
    <row r="1710">
      <c r="K1710" s="7"/>
    </row>
    <row r="1711">
      <c r="K1711" s="7"/>
    </row>
    <row r="1712">
      <c r="K1712" s="7"/>
    </row>
    <row r="1713">
      <c r="K1713" s="7"/>
    </row>
    <row r="1714">
      <c r="K1714" s="7"/>
    </row>
    <row r="1715">
      <c r="K1715" s="7"/>
    </row>
    <row r="1716">
      <c r="K1716" s="7"/>
    </row>
    <row r="1717">
      <c r="K1717" s="7"/>
    </row>
    <row r="1718">
      <c r="K1718" s="7"/>
    </row>
    <row r="1719">
      <c r="K1719" s="7"/>
    </row>
    <row r="1720">
      <c r="K1720" s="7"/>
    </row>
    <row r="1721">
      <c r="K1721" s="7"/>
    </row>
    <row r="1722">
      <c r="K1722" s="7"/>
    </row>
    <row r="1723">
      <c r="K1723" s="7"/>
    </row>
    <row r="1724">
      <c r="K1724" s="7"/>
    </row>
    <row r="1725">
      <c r="K1725" s="7"/>
    </row>
    <row r="1726">
      <c r="K1726" s="7"/>
    </row>
    <row r="1727">
      <c r="K1727" s="7"/>
    </row>
    <row r="1728">
      <c r="K1728" s="7"/>
    </row>
    <row r="1729">
      <c r="K1729" s="7"/>
    </row>
    <row r="1730">
      <c r="K1730" s="7"/>
    </row>
    <row r="1731">
      <c r="K1731" s="7"/>
    </row>
    <row r="1732">
      <c r="K1732" s="7"/>
    </row>
    <row r="1733">
      <c r="K1733" s="7"/>
    </row>
    <row r="1734">
      <c r="K1734" s="7"/>
    </row>
    <row r="1735">
      <c r="K1735" s="7"/>
    </row>
    <row r="1736">
      <c r="K1736" s="7"/>
    </row>
    <row r="1737">
      <c r="K1737" s="7"/>
    </row>
    <row r="1738">
      <c r="K1738" s="7"/>
    </row>
    <row r="1739">
      <c r="K1739" s="7"/>
    </row>
    <row r="1740">
      <c r="K1740" s="7"/>
    </row>
    <row r="1741">
      <c r="K1741" s="7"/>
    </row>
    <row r="1742">
      <c r="K1742" s="7"/>
    </row>
    <row r="1743">
      <c r="K1743" s="7"/>
    </row>
    <row r="1744">
      <c r="K1744" s="7"/>
    </row>
    <row r="1745">
      <c r="K1745" s="7"/>
    </row>
    <row r="1746">
      <c r="K1746" s="7"/>
    </row>
    <row r="1747">
      <c r="K1747" s="7"/>
    </row>
    <row r="1748">
      <c r="K1748" s="7"/>
    </row>
    <row r="1749">
      <c r="K1749" s="7"/>
    </row>
    <row r="1750">
      <c r="K1750" s="7"/>
    </row>
    <row r="1751">
      <c r="K1751" s="7"/>
    </row>
    <row r="1752">
      <c r="K1752" s="7"/>
    </row>
    <row r="1753">
      <c r="K1753" s="7"/>
    </row>
    <row r="1754">
      <c r="K1754" s="7"/>
    </row>
    <row r="1755">
      <c r="K1755" s="7"/>
    </row>
    <row r="1756">
      <c r="K1756" s="7"/>
    </row>
    <row r="1757">
      <c r="K1757" s="7"/>
    </row>
    <row r="1758">
      <c r="K1758" s="7"/>
    </row>
    <row r="1759">
      <c r="K1759" s="7"/>
    </row>
    <row r="1760">
      <c r="K1760" s="7"/>
    </row>
    <row r="1761">
      <c r="K1761" s="7"/>
    </row>
    <row r="1762">
      <c r="K1762" s="7"/>
    </row>
    <row r="1763">
      <c r="K1763" s="7"/>
    </row>
    <row r="1764">
      <c r="K1764" s="7"/>
    </row>
    <row r="1765">
      <c r="K1765" s="7"/>
    </row>
    <row r="1766">
      <c r="K1766" s="7"/>
    </row>
    <row r="1767">
      <c r="K1767" s="7"/>
    </row>
    <row r="1768">
      <c r="K1768" s="7"/>
    </row>
    <row r="1769">
      <c r="K1769" s="7"/>
    </row>
    <row r="1770">
      <c r="K1770" s="7"/>
    </row>
    <row r="1771">
      <c r="K1771" s="7"/>
    </row>
    <row r="1772">
      <c r="K1772" s="7"/>
    </row>
    <row r="1773">
      <c r="K1773" s="7"/>
    </row>
    <row r="1774">
      <c r="K1774" s="7"/>
    </row>
    <row r="1775">
      <c r="K1775" s="7"/>
    </row>
    <row r="1776">
      <c r="K1776" s="7"/>
    </row>
    <row r="1777">
      <c r="K1777" s="7"/>
    </row>
    <row r="1778">
      <c r="K1778" s="7"/>
    </row>
    <row r="1779">
      <c r="K1779" s="7"/>
    </row>
    <row r="1780">
      <c r="K1780" s="7"/>
    </row>
    <row r="1781">
      <c r="K1781" s="7"/>
    </row>
    <row r="1782">
      <c r="K1782" s="7"/>
    </row>
    <row r="1783">
      <c r="K1783" s="7"/>
    </row>
    <row r="1784">
      <c r="K1784" s="7"/>
    </row>
    <row r="1785">
      <c r="K1785" s="7"/>
    </row>
    <row r="1786">
      <c r="K1786" s="7"/>
    </row>
    <row r="1787">
      <c r="K1787" s="7"/>
    </row>
    <row r="1788">
      <c r="K1788" s="7"/>
    </row>
    <row r="1789">
      <c r="K1789" s="7"/>
    </row>
    <row r="1790">
      <c r="K1790" s="7"/>
    </row>
    <row r="1791">
      <c r="K1791" s="7"/>
    </row>
    <row r="1792">
      <c r="K1792" s="7"/>
    </row>
    <row r="1793">
      <c r="K1793" s="7"/>
    </row>
    <row r="1794">
      <c r="K1794" s="7"/>
    </row>
    <row r="1795">
      <c r="K1795" s="7"/>
    </row>
    <row r="1796">
      <c r="K1796" s="7"/>
    </row>
    <row r="1797">
      <c r="K1797" s="7"/>
    </row>
    <row r="1798">
      <c r="K1798" s="7"/>
    </row>
    <row r="1799">
      <c r="K1799" s="7"/>
    </row>
    <row r="1800">
      <c r="K1800" s="7"/>
    </row>
    <row r="1801">
      <c r="K1801" s="7"/>
    </row>
    <row r="1802">
      <c r="K1802" s="7"/>
    </row>
    <row r="1803">
      <c r="K1803" s="7"/>
    </row>
    <row r="1804">
      <c r="K1804" s="7"/>
    </row>
    <row r="1805">
      <c r="K1805" s="7"/>
    </row>
    <row r="1806">
      <c r="K1806" s="7"/>
    </row>
    <row r="1807">
      <c r="K1807" s="7"/>
    </row>
    <row r="1808">
      <c r="K1808" s="7"/>
    </row>
    <row r="1809">
      <c r="K1809" s="7"/>
    </row>
    <row r="1810">
      <c r="K1810" s="7"/>
    </row>
    <row r="1811">
      <c r="K1811" s="7"/>
    </row>
    <row r="1812">
      <c r="K1812" s="7"/>
    </row>
    <row r="1813">
      <c r="K1813" s="7"/>
    </row>
    <row r="1814">
      <c r="K1814" s="7"/>
    </row>
    <row r="1815">
      <c r="K1815" s="7"/>
    </row>
    <row r="1816">
      <c r="K1816" s="7"/>
    </row>
    <row r="1817">
      <c r="K1817" s="7"/>
    </row>
    <row r="1818">
      <c r="K1818" s="7"/>
    </row>
    <row r="1819">
      <c r="K1819" s="7"/>
    </row>
    <row r="1820">
      <c r="K1820" s="7"/>
    </row>
    <row r="1821">
      <c r="K1821" s="7"/>
    </row>
    <row r="1822">
      <c r="K1822" s="7"/>
    </row>
    <row r="1823">
      <c r="K1823" s="7"/>
    </row>
    <row r="1824">
      <c r="K1824" s="7"/>
    </row>
    <row r="1825">
      <c r="K1825" s="7"/>
    </row>
    <row r="1826">
      <c r="K1826" s="7"/>
    </row>
    <row r="1827">
      <c r="K1827" s="7"/>
    </row>
    <row r="1828">
      <c r="K1828" s="7"/>
    </row>
    <row r="1829">
      <c r="K1829" s="7"/>
    </row>
    <row r="1830">
      <c r="K1830" s="7"/>
    </row>
    <row r="1831">
      <c r="K1831" s="7"/>
    </row>
    <row r="1832">
      <c r="K1832" s="7"/>
    </row>
    <row r="1833">
      <c r="K1833" s="7"/>
    </row>
    <row r="1834">
      <c r="K1834" s="7"/>
    </row>
    <row r="1835">
      <c r="K1835" s="7"/>
    </row>
    <row r="1836">
      <c r="K1836" s="7"/>
    </row>
    <row r="1837">
      <c r="K1837" s="7"/>
    </row>
    <row r="1838">
      <c r="K1838" s="7"/>
    </row>
    <row r="1839">
      <c r="K1839" s="7"/>
    </row>
    <row r="1840">
      <c r="K1840" s="7"/>
    </row>
    <row r="1841">
      <c r="K1841" s="7"/>
    </row>
    <row r="1842">
      <c r="K1842" s="7"/>
    </row>
    <row r="1843">
      <c r="K1843" s="7"/>
    </row>
    <row r="1844">
      <c r="K1844" s="7"/>
    </row>
    <row r="1845">
      <c r="K1845" s="7"/>
    </row>
    <row r="1846">
      <c r="K1846" s="7"/>
    </row>
    <row r="1847">
      <c r="K1847" s="7"/>
    </row>
    <row r="1848">
      <c r="K1848" s="7"/>
    </row>
    <row r="1849">
      <c r="K1849" s="7"/>
    </row>
    <row r="1850">
      <c r="K1850" s="7"/>
    </row>
    <row r="1851">
      <c r="K1851" s="7"/>
    </row>
    <row r="1852">
      <c r="K1852" s="7"/>
    </row>
    <row r="1853">
      <c r="K1853" s="7"/>
    </row>
    <row r="1854">
      <c r="K1854" s="7"/>
    </row>
    <row r="1855">
      <c r="K1855" s="7"/>
    </row>
    <row r="1856">
      <c r="K1856" s="7"/>
    </row>
    <row r="1857">
      <c r="K1857" s="7"/>
    </row>
    <row r="1858">
      <c r="K1858" s="7"/>
    </row>
    <row r="1859">
      <c r="K1859" s="7"/>
    </row>
    <row r="1860">
      <c r="K1860" s="7"/>
    </row>
    <row r="1861">
      <c r="K1861" s="7"/>
    </row>
    <row r="1862">
      <c r="K1862" s="7"/>
    </row>
    <row r="1863">
      <c r="K1863" s="7"/>
    </row>
    <row r="1864">
      <c r="K1864" s="7"/>
    </row>
    <row r="1865">
      <c r="K1865" s="7"/>
    </row>
    <row r="1866">
      <c r="K1866" s="7"/>
    </row>
    <row r="1867">
      <c r="K1867" s="7"/>
    </row>
    <row r="1868">
      <c r="K1868" s="7"/>
    </row>
    <row r="1869">
      <c r="K1869" s="7"/>
    </row>
    <row r="1870">
      <c r="K1870" s="7"/>
    </row>
    <row r="1871">
      <c r="K1871" s="7"/>
    </row>
    <row r="1872">
      <c r="K1872" s="7"/>
    </row>
    <row r="1873">
      <c r="K1873" s="7"/>
    </row>
    <row r="1874">
      <c r="K1874" s="7"/>
    </row>
    <row r="1875">
      <c r="K1875" s="7"/>
    </row>
    <row r="1876">
      <c r="K1876" s="7"/>
    </row>
    <row r="1877">
      <c r="K1877" s="7"/>
    </row>
    <row r="1878">
      <c r="K1878" s="7"/>
    </row>
    <row r="1879">
      <c r="K1879" s="7"/>
    </row>
    <row r="1880">
      <c r="K1880" s="7"/>
    </row>
    <row r="1881">
      <c r="K1881" s="7"/>
    </row>
    <row r="1882">
      <c r="K1882" s="7"/>
    </row>
    <row r="1883">
      <c r="K1883" s="7"/>
    </row>
    <row r="1884">
      <c r="K1884" s="7"/>
    </row>
    <row r="1885">
      <c r="K1885" s="7"/>
    </row>
    <row r="1886">
      <c r="K1886" s="7"/>
    </row>
    <row r="1887">
      <c r="K1887" s="7"/>
    </row>
    <row r="1888">
      <c r="K1888" s="7"/>
    </row>
    <row r="1889">
      <c r="K1889" s="7"/>
    </row>
    <row r="1890">
      <c r="K1890" s="7"/>
    </row>
    <row r="1891">
      <c r="K1891" s="7"/>
    </row>
    <row r="1892">
      <c r="K1892" s="7"/>
    </row>
    <row r="1893">
      <c r="K1893" s="7"/>
    </row>
    <row r="1894">
      <c r="K1894" s="7"/>
    </row>
    <row r="1895">
      <c r="K1895" s="7"/>
    </row>
    <row r="1896">
      <c r="K1896" s="7"/>
    </row>
    <row r="1897">
      <c r="K1897" s="7"/>
    </row>
    <row r="1898">
      <c r="K1898" s="7"/>
    </row>
    <row r="1899">
      <c r="K1899" s="7"/>
    </row>
    <row r="1900">
      <c r="K1900" s="7"/>
    </row>
    <row r="1901">
      <c r="K1901" s="7"/>
    </row>
    <row r="1902">
      <c r="K1902" s="7"/>
    </row>
    <row r="1903">
      <c r="K1903" s="7"/>
    </row>
    <row r="1904">
      <c r="K1904" s="7"/>
    </row>
    <row r="1905">
      <c r="K1905" s="7"/>
    </row>
    <row r="1906">
      <c r="K1906" s="7"/>
    </row>
    <row r="1907">
      <c r="K1907" s="7"/>
    </row>
    <row r="1908">
      <c r="K1908" s="7"/>
    </row>
    <row r="1909">
      <c r="K1909" s="7"/>
    </row>
    <row r="1910">
      <c r="K1910" s="7"/>
    </row>
    <row r="1911">
      <c r="K1911" s="7"/>
    </row>
    <row r="1912">
      <c r="K1912" s="7"/>
    </row>
    <row r="1913">
      <c r="K1913" s="7"/>
    </row>
    <row r="1914">
      <c r="K1914" s="7"/>
    </row>
    <row r="1915">
      <c r="K1915" s="7"/>
    </row>
    <row r="1916">
      <c r="K1916" s="7"/>
    </row>
    <row r="1917">
      <c r="K1917" s="7"/>
    </row>
    <row r="1918">
      <c r="K1918" s="7"/>
    </row>
    <row r="1919">
      <c r="K1919" s="7"/>
    </row>
    <row r="1920">
      <c r="K1920" s="7"/>
    </row>
    <row r="1921">
      <c r="K1921" s="7"/>
    </row>
    <row r="1922">
      <c r="K1922" s="7"/>
    </row>
    <row r="1923">
      <c r="K1923" s="7"/>
    </row>
    <row r="1924">
      <c r="K1924" s="7"/>
    </row>
    <row r="1925">
      <c r="K1925" s="7"/>
    </row>
    <row r="1926">
      <c r="K1926" s="7"/>
    </row>
    <row r="1927">
      <c r="K1927" s="7"/>
    </row>
    <row r="1928">
      <c r="K1928" s="7"/>
    </row>
    <row r="1929">
      <c r="K1929" s="7"/>
    </row>
    <row r="1930">
      <c r="K1930" s="7"/>
    </row>
    <row r="1931">
      <c r="K1931" s="7"/>
    </row>
    <row r="1932">
      <c r="K1932" s="7"/>
    </row>
    <row r="1933">
      <c r="K1933" s="7"/>
    </row>
    <row r="1934">
      <c r="K1934" s="7"/>
    </row>
    <row r="1935">
      <c r="K1935" s="7"/>
    </row>
    <row r="1936">
      <c r="K1936" s="7"/>
    </row>
    <row r="1937">
      <c r="K1937" s="7"/>
    </row>
    <row r="1938">
      <c r="K1938" s="7"/>
    </row>
    <row r="1939">
      <c r="K1939" s="7"/>
    </row>
    <row r="1940">
      <c r="K1940" s="7"/>
    </row>
    <row r="1941">
      <c r="K1941" s="7"/>
    </row>
    <row r="1942">
      <c r="K1942" s="7"/>
    </row>
    <row r="1943">
      <c r="K1943" s="7"/>
    </row>
    <row r="1944">
      <c r="K1944" s="7"/>
    </row>
    <row r="1945">
      <c r="K1945" s="7"/>
    </row>
    <row r="1946">
      <c r="K1946" s="7"/>
    </row>
    <row r="1947">
      <c r="K1947" s="7"/>
    </row>
    <row r="1948">
      <c r="K1948" s="7"/>
    </row>
    <row r="1949">
      <c r="K1949" s="7"/>
    </row>
    <row r="1950">
      <c r="K1950" s="7"/>
    </row>
    <row r="1951">
      <c r="K1951" s="7"/>
    </row>
    <row r="1952">
      <c r="K1952" s="7"/>
    </row>
    <row r="1953">
      <c r="K1953" s="7"/>
    </row>
    <row r="1954">
      <c r="K1954" s="7"/>
    </row>
    <row r="1955">
      <c r="K1955" s="7"/>
    </row>
    <row r="1956">
      <c r="K1956" s="7"/>
    </row>
    <row r="1957">
      <c r="K1957" s="7"/>
    </row>
    <row r="1958">
      <c r="K1958" s="7"/>
    </row>
    <row r="1959">
      <c r="K1959" s="7"/>
    </row>
    <row r="1960">
      <c r="K1960" s="7"/>
    </row>
    <row r="1961">
      <c r="K1961" s="7"/>
    </row>
    <row r="1962">
      <c r="K1962" s="7"/>
    </row>
    <row r="1963">
      <c r="K1963" s="7"/>
    </row>
    <row r="1964">
      <c r="K1964" s="7"/>
    </row>
    <row r="1965">
      <c r="K1965" s="7"/>
    </row>
    <row r="1966">
      <c r="K1966" s="7"/>
    </row>
    <row r="1967">
      <c r="K1967" s="7"/>
    </row>
    <row r="1968">
      <c r="K1968" s="7"/>
    </row>
    <row r="1969">
      <c r="K1969" s="7"/>
    </row>
    <row r="1970">
      <c r="K1970" s="7"/>
    </row>
    <row r="1971">
      <c r="K1971" s="7"/>
    </row>
    <row r="1972">
      <c r="K1972" s="7"/>
    </row>
    <row r="1973">
      <c r="K1973" s="7"/>
    </row>
    <row r="1974">
      <c r="K1974" s="7"/>
    </row>
    <row r="1975">
      <c r="K1975" s="7"/>
    </row>
    <row r="1976">
      <c r="K1976" s="7"/>
    </row>
    <row r="1977">
      <c r="K1977" s="7"/>
    </row>
    <row r="1978">
      <c r="K1978" s="7"/>
    </row>
    <row r="1979">
      <c r="K1979" s="7"/>
    </row>
    <row r="1980">
      <c r="K1980" s="7"/>
    </row>
    <row r="1981">
      <c r="K1981" s="7"/>
    </row>
    <row r="1982">
      <c r="K1982" s="7"/>
    </row>
    <row r="1983">
      <c r="K1983" s="7"/>
    </row>
    <row r="1984">
      <c r="K1984" s="7"/>
    </row>
    <row r="1985">
      <c r="K1985" s="7"/>
    </row>
    <row r="1986">
      <c r="K1986" s="7"/>
    </row>
    <row r="1987">
      <c r="K1987" s="7"/>
    </row>
    <row r="1988">
      <c r="K1988" s="7"/>
    </row>
    <row r="1989">
      <c r="K1989" s="7"/>
    </row>
    <row r="1990">
      <c r="K1990" s="7"/>
    </row>
    <row r="1991">
      <c r="K1991" s="7"/>
    </row>
    <row r="1992">
      <c r="K1992" s="7"/>
    </row>
    <row r="1993">
      <c r="K1993" s="7"/>
    </row>
    <row r="1994">
      <c r="K1994" s="7"/>
    </row>
    <row r="1995">
      <c r="K1995" s="7"/>
    </row>
    <row r="1996">
      <c r="K1996" s="7"/>
    </row>
    <row r="1997">
      <c r="K1997" s="7"/>
    </row>
    <row r="1998">
      <c r="K1998" s="7"/>
    </row>
    <row r="1999">
      <c r="K1999" s="7"/>
    </row>
    <row r="2000">
      <c r="K2000" s="7"/>
    </row>
    <row r="2001">
      <c r="K2001" s="7"/>
    </row>
    <row r="2002">
      <c r="K2002" s="7"/>
    </row>
    <row r="2003">
      <c r="K2003" s="7"/>
    </row>
    <row r="2004">
      <c r="K2004" s="7"/>
    </row>
    <row r="2005">
      <c r="K2005" s="7"/>
    </row>
    <row r="2006">
      <c r="K2006" s="7"/>
    </row>
    <row r="2007">
      <c r="K2007" s="7"/>
    </row>
    <row r="2008">
      <c r="K2008" s="7"/>
    </row>
    <row r="2009">
      <c r="K2009" s="7"/>
    </row>
    <row r="2010">
      <c r="K2010" s="7"/>
    </row>
    <row r="2011">
      <c r="K2011" s="7"/>
    </row>
    <row r="2012">
      <c r="K2012" s="7"/>
    </row>
    <row r="2013">
      <c r="K2013" s="7"/>
    </row>
    <row r="2014">
      <c r="K2014" s="7"/>
    </row>
    <row r="2015">
      <c r="K2015" s="7"/>
    </row>
    <row r="2016">
      <c r="K2016" s="7"/>
    </row>
    <row r="2017">
      <c r="K2017" s="7"/>
    </row>
    <row r="2018">
      <c r="K2018" s="7"/>
    </row>
    <row r="2019">
      <c r="K2019" s="7"/>
    </row>
    <row r="2020">
      <c r="K2020" s="7"/>
    </row>
    <row r="2021">
      <c r="K2021" s="7"/>
    </row>
    <row r="2022">
      <c r="K2022" s="7"/>
    </row>
    <row r="2023">
      <c r="K2023" s="7"/>
    </row>
    <row r="2024">
      <c r="K2024" s="7"/>
    </row>
    <row r="2025">
      <c r="K2025" s="7"/>
    </row>
    <row r="2026">
      <c r="K2026" s="7"/>
    </row>
    <row r="2027">
      <c r="K2027" s="7"/>
    </row>
    <row r="2028">
      <c r="K2028" s="7"/>
    </row>
    <row r="2029">
      <c r="K2029" s="7"/>
    </row>
    <row r="2030">
      <c r="K203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5"/>
    <col customWidth="1" min="11" max="11" width="30.88"/>
  </cols>
  <sheetData>
    <row r="1">
      <c r="A1" s="1" t="s">
        <v>1541</v>
      </c>
      <c r="B1" s="1" t="s">
        <v>1647</v>
      </c>
      <c r="C1" s="2" t="str">
        <f t="array" ref="C1:F2030">'Processing 1'!L:O</f>
        <v>days</v>
      </c>
      <c r="D1" s="2" t="s">
        <v>1541</v>
      </c>
      <c r="E1" s="2" t="s">
        <v>1</v>
      </c>
      <c r="F1" s="2" t="s">
        <v>1646</v>
      </c>
      <c r="G1" s="2" t="str">
        <f t="array" ref="G1:J1530">Data!B:E</f>
        <v>Receipt number</v>
      </c>
      <c r="H1" s="2" t="s">
        <v>1543</v>
      </c>
      <c r="I1" s="2" t="s">
        <v>1544</v>
      </c>
      <c r="J1" s="2" t="s">
        <v>1545</v>
      </c>
      <c r="K1" s="1" t="s">
        <v>1546</v>
      </c>
      <c r="L1" s="2" t="str">
        <f t="array" ref="L1:M1530">Data!G:H</f>
        <v>Variant</v>
      </c>
      <c r="M1" s="2" t="s">
        <v>1548</v>
      </c>
      <c r="N1" s="1" t="s">
        <v>1549</v>
      </c>
      <c r="O1" s="11" t="s">
        <v>1550</v>
      </c>
      <c r="P1" s="11" t="s">
        <v>1551</v>
      </c>
      <c r="Q1" s="12" t="s">
        <v>1552</v>
      </c>
      <c r="R1" s="11" t="s">
        <v>1553</v>
      </c>
      <c r="S1" s="11" t="s">
        <v>1554</v>
      </c>
      <c r="T1" s="11" t="s">
        <v>1555</v>
      </c>
      <c r="U1" s="2" t="s">
        <v>1556</v>
      </c>
      <c r="V1" s="2" t="s">
        <v>1557</v>
      </c>
      <c r="W1" s="2" t="s">
        <v>1558</v>
      </c>
      <c r="X1" s="2" t="s">
        <v>1559</v>
      </c>
      <c r="Y1" s="2" t="s">
        <v>1560</v>
      </c>
      <c r="Z1" s="2" t="s">
        <v>1561</v>
      </c>
      <c r="AA1" s="2" t="s">
        <v>1562</v>
      </c>
      <c r="AB1" s="2" t="s">
        <v>1563</v>
      </c>
    </row>
    <row r="2">
      <c r="A2" s="2" t="str">
        <f t="array" ref="A2:A2030">'Processing 1'!H2:H2030</f>
        <v>2024/9/29</v>
      </c>
      <c r="B2" s="2">
        <f t="array" ref="B2:B2030">'Processing 1'!D2:D2030</f>
        <v>20</v>
      </c>
      <c r="C2" s="2" t="s">
        <v>11</v>
      </c>
      <c r="D2" s="2" t="s">
        <v>1648</v>
      </c>
      <c r="E2" s="2">
        <v>7.0</v>
      </c>
      <c r="F2" s="2" t="s">
        <v>10</v>
      </c>
      <c r="G2" s="5">
        <v>2801443.0</v>
      </c>
      <c r="H2" s="2" t="s">
        <v>1564</v>
      </c>
      <c r="I2" s="2" t="s">
        <v>1565</v>
      </c>
      <c r="J2" s="2">
        <v>10000.0</v>
      </c>
      <c r="K2" s="2" t="str">
        <f t="array" ref="K2:K2030">'Processing 1'!J2:J2030</f>
        <v>Roti Bawang Saus Keju</v>
      </c>
      <c r="L2" s="2"/>
      <c r="M2" s="2"/>
      <c r="N2" s="7">
        <f t="array" ref="N2:N2030">'Processing 1'!K2:K2030</f>
        <v>-1</v>
      </c>
      <c r="O2" s="12">
        <v>-29524.0</v>
      </c>
      <c r="P2" s="11" t="s">
        <v>1649</v>
      </c>
      <c r="Q2" s="12">
        <v>-29524.0</v>
      </c>
      <c r="R2" s="11" t="s">
        <v>1650</v>
      </c>
      <c r="S2" s="11" t="s">
        <v>1651</v>
      </c>
      <c r="T2" s="11" t="s">
        <v>1652</v>
      </c>
      <c r="U2" s="2" t="s">
        <v>1567</v>
      </c>
      <c r="V2" s="2" t="s">
        <v>1568</v>
      </c>
      <c r="W2" s="2" t="s">
        <v>1569</v>
      </c>
      <c r="X2" s="2" t="s">
        <v>1570</v>
      </c>
      <c r="AB2" s="2" t="s">
        <v>1571</v>
      </c>
    </row>
    <row r="3">
      <c r="A3" s="2" t="s">
        <v>1653</v>
      </c>
      <c r="B3" s="2">
        <v>20.0</v>
      </c>
      <c r="C3" s="2" t="s">
        <v>11</v>
      </c>
      <c r="D3" s="2" t="s">
        <v>1648</v>
      </c>
      <c r="E3" s="2">
        <v>7.0</v>
      </c>
      <c r="F3" s="2" t="s">
        <v>10</v>
      </c>
      <c r="G3" s="5">
        <v>2801078.0</v>
      </c>
      <c r="H3" s="2" t="s">
        <v>1564</v>
      </c>
      <c r="I3" s="2" t="s">
        <v>1572</v>
      </c>
      <c r="J3" s="2">
        <v>10112.0</v>
      </c>
      <c r="K3" s="2" t="s">
        <v>1573</v>
      </c>
      <c r="L3" s="2"/>
      <c r="M3" s="2"/>
      <c r="N3" s="7">
        <v>-2.0</v>
      </c>
      <c r="O3" s="12">
        <v>-13334.0</v>
      </c>
      <c r="P3" s="11" t="s">
        <v>1649</v>
      </c>
      <c r="Q3" s="12">
        <v>-13334.0</v>
      </c>
      <c r="R3" s="11" t="s">
        <v>1650</v>
      </c>
      <c r="S3" s="11" t="s">
        <v>1654</v>
      </c>
      <c r="T3" s="11" t="s">
        <v>1655</v>
      </c>
      <c r="U3" s="2" t="s">
        <v>1574</v>
      </c>
      <c r="V3" s="2" t="s">
        <v>1568</v>
      </c>
      <c r="W3" s="2" t="s">
        <v>1569</v>
      </c>
      <c r="X3" s="2" t="s">
        <v>1570</v>
      </c>
      <c r="AB3" s="2" t="s">
        <v>1571</v>
      </c>
    </row>
    <row r="4">
      <c r="A4" s="2" t="s">
        <v>1653</v>
      </c>
      <c r="B4" s="2">
        <v>20.0</v>
      </c>
      <c r="C4" s="2" t="s">
        <v>11</v>
      </c>
      <c r="D4" s="2" t="s">
        <v>1648</v>
      </c>
      <c r="E4" s="2">
        <v>7.0</v>
      </c>
      <c r="F4" s="2" t="s">
        <v>10</v>
      </c>
      <c r="G4" s="5">
        <v>2800712.0</v>
      </c>
      <c r="H4" s="2" t="s">
        <v>1575</v>
      </c>
      <c r="I4" s="2" t="s">
        <v>1565</v>
      </c>
      <c r="J4" s="2">
        <v>10002.0</v>
      </c>
      <c r="K4" s="2" t="s">
        <v>1576</v>
      </c>
      <c r="L4" s="2"/>
      <c r="M4" s="2"/>
      <c r="N4" s="7">
        <v>1.0</v>
      </c>
      <c r="O4" s="12">
        <v>18571.0</v>
      </c>
      <c r="P4" s="11" t="s">
        <v>1649</v>
      </c>
      <c r="Q4" s="12">
        <v>18571.0</v>
      </c>
      <c r="R4" s="11" t="s">
        <v>1649</v>
      </c>
      <c r="S4" s="11" t="s">
        <v>1656</v>
      </c>
      <c r="T4" s="11" t="s">
        <v>1657</v>
      </c>
      <c r="U4" s="2" t="s">
        <v>1574</v>
      </c>
      <c r="V4" s="2" t="s">
        <v>1568</v>
      </c>
      <c r="W4" s="2" t="s">
        <v>1569</v>
      </c>
      <c r="X4" s="2" t="s">
        <v>1570</v>
      </c>
      <c r="AB4" s="2" t="s">
        <v>1571</v>
      </c>
    </row>
    <row r="5">
      <c r="A5" s="2" t="s">
        <v>1653</v>
      </c>
      <c r="B5" s="2">
        <v>18.0</v>
      </c>
      <c r="C5" s="2" t="s">
        <v>11</v>
      </c>
      <c r="D5" s="2" t="s">
        <v>1648</v>
      </c>
      <c r="E5" s="2">
        <v>7.0</v>
      </c>
      <c r="F5" s="2" t="s">
        <v>10</v>
      </c>
      <c r="G5" s="5">
        <v>2800347.0</v>
      </c>
      <c r="H5" s="2" t="s">
        <v>1575</v>
      </c>
      <c r="I5" s="2" t="s">
        <v>1572</v>
      </c>
      <c r="J5" s="2">
        <v>10122.0</v>
      </c>
      <c r="K5" s="2" t="s">
        <v>1577</v>
      </c>
      <c r="L5" s="2"/>
      <c r="M5" s="2"/>
      <c r="N5" s="7">
        <v>2.0</v>
      </c>
      <c r="O5" s="12">
        <v>43810.0</v>
      </c>
      <c r="P5" s="11" t="s">
        <v>1649</v>
      </c>
      <c r="Q5" s="12">
        <v>43810.0</v>
      </c>
      <c r="R5" s="11" t="s">
        <v>1649</v>
      </c>
      <c r="S5" s="11" t="s">
        <v>1658</v>
      </c>
      <c r="T5" s="11" t="s">
        <v>1659</v>
      </c>
      <c r="U5" s="2" t="s">
        <v>1574</v>
      </c>
      <c r="V5" s="2" t="s">
        <v>1568</v>
      </c>
      <c r="W5" s="2" t="s">
        <v>1569</v>
      </c>
      <c r="X5" s="2" t="s">
        <v>1570</v>
      </c>
      <c r="AB5" s="2" t="s">
        <v>1571</v>
      </c>
    </row>
    <row r="6">
      <c r="A6" s="2" t="s">
        <v>1653</v>
      </c>
      <c r="B6" s="2">
        <v>18.0</v>
      </c>
      <c r="C6" s="2" t="s">
        <v>11</v>
      </c>
      <c r="D6" s="2" t="s">
        <v>1648</v>
      </c>
      <c r="E6" s="2">
        <v>7.0</v>
      </c>
      <c r="F6" s="2" t="s">
        <v>10</v>
      </c>
      <c r="G6" s="5">
        <v>2800347.0</v>
      </c>
      <c r="H6" s="2" t="s">
        <v>1575</v>
      </c>
      <c r="I6" s="2" t="s">
        <v>1578</v>
      </c>
      <c r="J6" s="2">
        <v>10051.0</v>
      </c>
      <c r="K6" s="2" t="s">
        <v>1579</v>
      </c>
      <c r="L6" s="2"/>
      <c r="M6" s="2"/>
      <c r="N6" s="7">
        <v>1.0</v>
      </c>
      <c r="O6" s="12">
        <v>25238.0</v>
      </c>
      <c r="P6" s="11" t="s">
        <v>1649</v>
      </c>
      <c r="Q6" s="12">
        <v>25238.0</v>
      </c>
      <c r="R6" s="11" t="s">
        <v>1649</v>
      </c>
      <c r="S6" s="11" t="s">
        <v>1660</v>
      </c>
      <c r="T6" s="11" t="s">
        <v>1661</v>
      </c>
      <c r="U6" s="2" t="s">
        <v>1574</v>
      </c>
      <c r="V6" s="2" t="s">
        <v>1568</v>
      </c>
      <c r="W6" s="2" t="s">
        <v>1569</v>
      </c>
      <c r="X6" s="2" t="s">
        <v>1570</v>
      </c>
      <c r="AB6" s="2" t="s">
        <v>1571</v>
      </c>
    </row>
    <row r="7">
      <c r="A7" s="2" t="s">
        <v>1653</v>
      </c>
      <c r="B7" s="2">
        <v>18.0</v>
      </c>
      <c r="C7" s="2" t="s">
        <v>11</v>
      </c>
      <c r="D7" s="2" t="s">
        <v>1648</v>
      </c>
      <c r="E7" s="2">
        <v>7.0</v>
      </c>
      <c r="F7" s="2" t="s">
        <v>10</v>
      </c>
      <c r="G7" s="5">
        <v>2799982.0</v>
      </c>
      <c r="H7" s="2" t="s">
        <v>1564</v>
      </c>
      <c r="I7" s="2" t="s">
        <v>1572</v>
      </c>
      <c r="J7" s="2">
        <v>10122.0</v>
      </c>
      <c r="K7" s="2" t="s">
        <v>1577</v>
      </c>
      <c r="L7" s="2"/>
      <c r="M7" s="2"/>
      <c r="N7" s="7">
        <v>-1.0</v>
      </c>
      <c r="O7" s="12">
        <v>-21905.0</v>
      </c>
      <c r="P7" s="11" t="s">
        <v>1649</v>
      </c>
      <c r="Q7" s="12">
        <v>-21905.0</v>
      </c>
      <c r="R7" s="11" t="s">
        <v>1650</v>
      </c>
      <c r="S7" s="11" t="s">
        <v>1662</v>
      </c>
      <c r="T7" s="11" t="s">
        <v>1663</v>
      </c>
      <c r="U7" s="2" t="s">
        <v>1574</v>
      </c>
      <c r="V7" s="2" t="s">
        <v>1568</v>
      </c>
      <c r="W7" s="2" t="s">
        <v>1569</v>
      </c>
      <c r="X7" s="2" t="s">
        <v>1570</v>
      </c>
      <c r="AB7" s="2" t="s">
        <v>1571</v>
      </c>
    </row>
    <row r="8">
      <c r="A8" s="2" t="s">
        <v>1653</v>
      </c>
      <c r="B8" s="2">
        <v>18.0</v>
      </c>
      <c r="C8" s="2" t="s">
        <v>11</v>
      </c>
      <c r="D8" s="2" t="s">
        <v>1648</v>
      </c>
      <c r="E8" s="2">
        <v>7.0</v>
      </c>
      <c r="F8" s="2" t="s">
        <v>10</v>
      </c>
      <c r="G8" s="5">
        <v>2799982.0</v>
      </c>
      <c r="H8" s="2" t="s">
        <v>1564</v>
      </c>
      <c r="I8" s="2" t="s">
        <v>1578</v>
      </c>
      <c r="J8" s="2">
        <v>10051.0</v>
      </c>
      <c r="K8" s="2" t="s">
        <v>1579</v>
      </c>
      <c r="L8" s="2"/>
      <c r="M8" s="2"/>
      <c r="N8" s="7">
        <v>-2.0</v>
      </c>
      <c r="O8" s="12">
        <v>-50476.0</v>
      </c>
      <c r="P8" s="11" t="s">
        <v>1649</v>
      </c>
      <c r="Q8" s="12">
        <v>-50476.0</v>
      </c>
      <c r="R8" s="11" t="s">
        <v>1650</v>
      </c>
      <c r="S8" s="11" t="s">
        <v>1664</v>
      </c>
      <c r="T8" s="11" t="s">
        <v>1665</v>
      </c>
      <c r="U8" s="2" t="s">
        <v>1574</v>
      </c>
      <c r="V8" s="2" t="s">
        <v>1568</v>
      </c>
      <c r="W8" s="2" t="s">
        <v>1569</v>
      </c>
      <c r="X8" s="2" t="s">
        <v>1570</v>
      </c>
      <c r="AB8" s="2" t="s">
        <v>1571</v>
      </c>
    </row>
    <row r="9">
      <c r="A9" s="2" t="s">
        <v>1653</v>
      </c>
      <c r="B9" s="2">
        <v>18.0</v>
      </c>
      <c r="C9" s="2" t="s">
        <v>11</v>
      </c>
      <c r="D9" s="2" t="s">
        <v>1648</v>
      </c>
      <c r="E9" s="2">
        <v>7.0</v>
      </c>
      <c r="F9" s="2" t="s">
        <v>10</v>
      </c>
      <c r="G9" s="5">
        <v>2799982.0</v>
      </c>
      <c r="H9" s="2" t="s">
        <v>1564</v>
      </c>
      <c r="I9" s="2" t="s">
        <v>1572</v>
      </c>
      <c r="J9" s="2">
        <v>10122.0</v>
      </c>
      <c r="K9" s="2" t="s">
        <v>1577</v>
      </c>
      <c r="L9" s="2"/>
      <c r="M9" s="2"/>
      <c r="N9" s="7">
        <v>-1.0</v>
      </c>
      <c r="O9" s="12">
        <v>-21905.0</v>
      </c>
      <c r="P9" s="11" t="s">
        <v>1649</v>
      </c>
      <c r="Q9" s="12">
        <v>-21905.0</v>
      </c>
      <c r="R9" s="11" t="s">
        <v>1650</v>
      </c>
      <c r="S9" s="11" t="s">
        <v>1662</v>
      </c>
      <c r="T9" s="11" t="s">
        <v>1663</v>
      </c>
      <c r="U9" s="2" t="s">
        <v>1574</v>
      </c>
      <c r="V9" s="2" t="s">
        <v>1568</v>
      </c>
      <c r="W9" s="2" t="s">
        <v>1569</v>
      </c>
      <c r="X9" s="2" t="s">
        <v>1570</v>
      </c>
      <c r="AB9" s="2" t="s">
        <v>1571</v>
      </c>
    </row>
    <row r="10">
      <c r="A10" s="2" t="s">
        <v>1653</v>
      </c>
      <c r="B10" s="2">
        <v>18.0</v>
      </c>
      <c r="C10" s="2" t="s">
        <v>11</v>
      </c>
      <c r="D10" s="2" t="s">
        <v>1648</v>
      </c>
      <c r="E10" s="2">
        <v>7.0</v>
      </c>
      <c r="F10" s="2" t="s">
        <v>10</v>
      </c>
      <c r="G10" s="5">
        <v>2799617.0</v>
      </c>
      <c r="H10" s="2" t="s">
        <v>1575</v>
      </c>
      <c r="I10" s="2" t="s">
        <v>1572</v>
      </c>
      <c r="J10" s="2">
        <v>10122.0</v>
      </c>
      <c r="K10" s="2" t="s">
        <v>1577</v>
      </c>
      <c r="L10" s="2"/>
      <c r="M10" s="2"/>
      <c r="N10" s="7">
        <v>1.0</v>
      </c>
      <c r="O10" s="12">
        <v>21905.0</v>
      </c>
      <c r="P10" s="11" t="s">
        <v>1649</v>
      </c>
      <c r="Q10" s="12">
        <v>21905.0</v>
      </c>
      <c r="R10" s="11" t="s">
        <v>1649</v>
      </c>
      <c r="S10" s="11" t="s">
        <v>1666</v>
      </c>
      <c r="T10" s="11" t="s">
        <v>1667</v>
      </c>
      <c r="U10" s="2" t="s">
        <v>1574</v>
      </c>
      <c r="V10" s="2" t="s">
        <v>1568</v>
      </c>
      <c r="W10" s="2" t="s">
        <v>1569</v>
      </c>
      <c r="X10" s="2" t="s">
        <v>1570</v>
      </c>
      <c r="AB10" s="2" t="s">
        <v>1571</v>
      </c>
    </row>
    <row r="11">
      <c r="A11" s="2" t="s">
        <v>1653</v>
      </c>
      <c r="B11" s="2">
        <v>18.0</v>
      </c>
      <c r="C11" s="2" t="s">
        <v>11</v>
      </c>
      <c r="D11" s="2" t="s">
        <v>1648</v>
      </c>
      <c r="E11" s="2">
        <v>7.0</v>
      </c>
      <c r="F11" s="2" t="s">
        <v>10</v>
      </c>
      <c r="G11" s="5">
        <v>2799617.0</v>
      </c>
      <c r="H11" s="2" t="s">
        <v>1575</v>
      </c>
      <c r="I11" s="2" t="s">
        <v>1578</v>
      </c>
      <c r="J11" s="2">
        <v>10051.0</v>
      </c>
      <c r="K11" s="2" t="s">
        <v>1579</v>
      </c>
      <c r="L11" s="2"/>
      <c r="M11" s="2"/>
      <c r="N11" s="7">
        <v>2.0</v>
      </c>
      <c r="O11" s="12">
        <v>50476.0</v>
      </c>
      <c r="P11" s="11" t="s">
        <v>1649</v>
      </c>
      <c r="Q11" s="12">
        <v>50476.0</v>
      </c>
      <c r="R11" s="11" t="s">
        <v>1649</v>
      </c>
      <c r="S11" s="11" t="s">
        <v>1668</v>
      </c>
      <c r="T11" s="11" t="s">
        <v>1669</v>
      </c>
      <c r="U11" s="2" t="s">
        <v>1574</v>
      </c>
      <c r="V11" s="2" t="s">
        <v>1568</v>
      </c>
      <c r="W11" s="2" t="s">
        <v>1569</v>
      </c>
      <c r="X11" s="2" t="s">
        <v>1570</v>
      </c>
      <c r="AB11" s="2" t="s">
        <v>1571</v>
      </c>
    </row>
    <row r="12">
      <c r="A12" s="2" t="s">
        <v>1653</v>
      </c>
      <c r="B12" s="2">
        <v>18.0</v>
      </c>
      <c r="C12" s="2" t="s">
        <v>11</v>
      </c>
      <c r="D12" s="2" t="s">
        <v>1648</v>
      </c>
      <c r="E12" s="2">
        <v>7.0</v>
      </c>
      <c r="F12" s="2" t="s">
        <v>10</v>
      </c>
      <c r="G12" s="5">
        <v>2799617.0</v>
      </c>
      <c r="H12" s="2" t="s">
        <v>1575</v>
      </c>
      <c r="I12" s="2" t="s">
        <v>1572</v>
      </c>
      <c r="J12" s="2">
        <v>10122.0</v>
      </c>
      <c r="K12" s="2" t="s">
        <v>1577</v>
      </c>
      <c r="L12" s="2"/>
      <c r="M12" s="2"/>
      <c r="N12" s="7">
        <v>1.0</v>
      </c>
      <c r="O12" s="12">
        <v>21905.0</v>
      </c>
      <c r="P12" s="11" t="s">
        <v>1649</v>
      </c>
      <c r="Q12" s="12">
        <v>21905.0</v>
      </c>
      <c r="R12" s="11" t="s">
        <v>1649</v>
      </c>
      <c r="S12" s="11" t="s">
        <v>1666</v>
      </c>
      <c r="T12" s="11" t="s">
        <v>1667</v>
      </c>
      <c r="U12" s="2" t="s">
        <v>1574</v>
      </c>
      <c r="V12" s="2" t="s">
        <v>1568</v>
      </c>
      <c r="W12" s="2" t="s">
        <v>1569</v>
      </c>
      <c r="X12" s="2" t="s">
        <v>1570</v>
      </c>
      <c r="AB12" s="2" t="s">
        <v>1571</v>
      </c>
    </row>
    <row r="13">
      <c r="A13" s="2" t="s">
        <v>1653</v>
      </c>
      <c r="B13" s="2">
        <v>18.0</v>
      </c>
      <c r="C13" s="2" t="s">
        <v>11</v>
      </c>
      <c r="D13" s="2" t="s">
        <v>1648</v>
      </c>
      <c r="E13" s="2">
        <v>7.0</v>
      </c>
      <c r="F13" s="2" t="s">
        <v>10</v>
      </c>
      <c r="G13" s="5">
        <v>2799251.0</v>
      </c>
      <c r="H13" s="2" t="s">
        <v>1575</v>
      </c>
      <c r="I13" s="2" t="s">
        <v>1580</v>
      </c>
      <c r="J13" s="2">
        <v>10104.0</v>
      </c>
      <c r="K13" s="2" t="s">
        <v>1581</v>
      </c>
      <c r="L13" s="2"/>
      <c r="M13" s="2"/>
      <c r="N13" s="7">
        <v>1.0</v>
      </c>
      <c r="O13" s="12">
        <v>34762.0</v>
      </c>
      <c r="P13" s="11" t="s">
        <v>1649</v>
      </c>
      <c r="Q13" s="12">
        <v>34762.0</v>
      </c>
      <c r="R13" s="11" t="s">
        <v>1649</v>
      </c>
      <c r="S13" s="11" t="s">
        <v>1670</v>
      </c>
      <c r="T13" s="11" t="s">
        <v>1671</v>
      </c>
      <c r="U13" s="2" t="s">
        <v>1574</v>
      </c>
      <c r="V13" s="2" t="s">
        <v>1568</v>
      </c>
      <c r="W13" s="2" t="s">
        <v>1569</v>
      </c>
      <c r="X13" s="2" t="s">
        <v>1570</v>
      </c>
      <c r="AB13" s="2" t="s">
        <v>1571</v>
      </c>
    </row>
    <row r="14">
      <c r="A14" s="2" t="s">
        <v>1653</v>
      </c>
      <c r="B14" s="2">
        <v>18.0</v>
      </c>
      <c r="C14" s="2" t="s">
        <v>11</v>
      </c>
      <c r="D14" s="2" t="s">
        <v>1648</v>
      </c>
      <c r="E14" s="2">
        <v>7.0</v>
      </c>
      <c r="F14" s="2" t="s">
        <v>10</v>
      </c>
      <c r="G14" s="5">
        <v>2799251.0</v>
      </c>
      <c r="H14" s="2" t="s">
        <v>1575</v>
      </c>
      <c r="I14" s="2" t="s">
        <v>1572</v>
      </c>
      <c r="J14" s="2">
        <v>10119.0</v>
      </c>
      <c r="K14" s="2" t="s">
        <v>1582</v>
      </c>
      <c r="L14" s="2"/>
      <c r="M14" s="2"/>
      <c r="N14" s="7">
        <v>1.0</v>
      </c>
      <c r="O14" s="12">
        <v>7143.0</v>
      </c>
      <c r="P14" s="11" t="s">
        <v>1649</v>
      </c>
      <c r="Q14" s="12">
        <v>7143.0</v>
      </c>
      <c r="R14" s="11" t="s">
        <v>1649</v>
      </c>
      <c r="S14" s="11" t="s">
        <v>1672</v>
      </c>
      <c r="T14" s="11" t="s">
        <v>1673</v>
      </c>
      <c r="U14" s="2" t="s">
        <v>1574</v>
      </c>
      <c r="V14" s="2" t="s">
        <v>1568</v>
      </c>
      <c r="W14" s="2" t="s">
        <v>1569</v>
      </c>
      <c r="X14" s="2" t="s">
        <v>1570</v>
      </c>
      <c r="AB14" s="2" t="s">
        <v>1571</v>
      </c>
    </row>
    <row r="15">
      <c r="A15" s="2" t="s">
        <v>1653</v>
      </c>
      <c r="B15" s="2">
        <v>18.0</v>
      </c>
      <c r="C15" s="2" t="s">
        <v>11</v>
      </c>
      <c r="D15" s="2" t="s">
        <v>1648</v>
      </c>
      <c r="E15" s="2">
        <v>7.0</v>
      </c>
      <c r="F15" s="2" t="s">
        <v>10</v>
      </c>
      <c r="G15" s="5">
        <v>2798886.0</v>
      </c>
      <c r="H15" s="2" t="s">
        <v>1575</v>
      </c>
      <c r="I15" s="2" t="s">
        <v>1572</v>
      </c>
      <c r="J15" s="2">
        <v>10026.0</v>
      </c>
      <c r="K15" s="2" t="s">
        <v>1583</v>
      </c>
      <c r="L15" s="2"/>
      <c r="M15" s="2"/>
      <c r="N15" s="7">
        <v>1.0</v>
      </c>
      <c r="O15" s="12">
        <v>21905.0</v>
      </c>
      <c r="P15" s="11" t="s">
        <v>1649</v>
      </c>
      <c r="Q15" s="12">
        <v>21905.0</v>
      </c>
      <c r="R15" s="11" t="s">
        <v>1649</v>
      </c>
      <c r="S15" s="11" t="s">
        <v>1666</v>
      </c>
      <c r="T15" s="11" t="s">
        <v>1667</v>
      </c>
      <c r="U15" s="2" t="s">
        <v>1574</v>
      </c>
      <c r="V15" s="2" t="s">
        <v>1568</v>
      </c>
      <c r="W15" s="2" t="s">
        <v>1569</v>
      </c>
      <c r="X15" s="2" t="s">
        <v>1570</v>
      </c>
      <c r="AB15" s="2" t="s">
        <v>1571</v>
      </c>
    </row>
    <row r="16">
      <c r="A16" s="2" t="s">
        <v>1653</v>
      </c>
      <c r="B16" s="2">
        <v>18.0</v>
      </c>
      <c r="C16" s="2" t="s">
        <v>11</v>
      </c>
      <c r="D16" s="2" t="s">
        <v>1648</v>
      </c>
      <c r="E16" s="2">
        <v>7.0</v>
      </c>
      <c r="F16" s="2" t="s">
        <v>10</v>
      </c>
      <c r="G16" s="5">
        <v>2798886.0</v>
      </c>
      <c r="H16" s="2" t="s">
        <v>1575</v>
      </c>
      <c r="I16" s="2" t="s">
        <v>1572</v>
      </c>
      <c r="J16" s="2">
        <v>10107.0</v>
      </c>
      <c r="K16" s="2" t="s">
        <v>1584</v>
      </c>
      <c r="L16" s="2"/>
      <c r="M16" s="2"/>
      <c r="N16" s="7">
        <v>1.0</v>
      </c>
      <c r="O16" s="12">
        <v>26667.0</v>
      </c>
      <c r="P16" s="11" t="s">
        <v>1649</v>
      </c>
      <c r="Q16" s="12">
        <v>26667.0</v>
      </c>
      <c r="R16" s="11" t="s">
        <v>1649</v>
      </c>
      <c r="S16" s="11" t="s">
        <v>1674</v>
      </c>
      <c r="T16" s="11" t="s">
        <v>1675</v>
      </c>
      <c r="U16" s="2" t="s">
        <v>1574</v>
      </c>
      <c r="V16" s="2" t="s">
        <v>1568</v>
      </c>
      <c r="W16" s="2" t="s">
        <v>1569</v>
      </c>
      <c r="X16" s="2" t="s">
        <v>1570</v>
      </c>
      <c r="AB16" s="2" t="s">
        <v>1571</v>
      </c>
    </row>
    <row r="17">
      <c r="A17" s="2" t="s">
        <v>1653</v>
      </c>
      <c r="B17" s="2">
        <v>18.0</v>
      </c>
      <c r="C17" s="2" t="s">
        <v>11</v>
      </c>
      <c r="D17" s="2" t="s">
        <v>1648</v>
      </c>
      <c r="E17" s="2">
        <v>7.0</v>
      </c>
      <c r="F17" s="2" t="s">
        <v>10</v>
      </c>
      <c r="G17" s="5">
        <v>2798521.0</v>
      </c>
      <c r="H17" s="2" t="s">
        <v>1575</v>
      </c>
      <c r="I17" s="2" t="s">
        <v>1572</v>
      </c>
      <c r="J17" s="2">
        <v>10056.0</v>
      </c>
      <c r="K17" s="2" t="s">
        <v>1585</v>
      </c>
      <c r="L17" s="2"/>
      <c r="M17" s="2"/>
      <c r="N17" s="7">
        <v>1.0</v>
      </c>
      <c r="O17" s="12">
        <v>19524.0</v>
      </c>
      <c r="P17" s="11" t="s">
        <v>1649</v>
      </c>
      <c r="Q17" s="12">
        <v>19524.0</v>
      </c>
      <c r="R17" s="11" t="s">
        <v>1649</v>
      </c>
      <c r="S17" s="11" t="s">
        <v>1676</v>
      </c>
      <c r="T17" s="11" t="s">
        <v>1677</v>
      </c>
      <c r="U17" s="2" t="s">
        <v>1574</v>
      </c>
      <c r="V17" s="2" t="s">
        <v>1568</v>
      </c>
      <c r="W17" s="2" t="s">
        <v>1569</v>
      </c>
      <c r="X17" s="2" t="s">
        <v>1570</v>
      </c>
      <c r="AB17" s="2" t="s">
        <v>1571</v>
      </c>
    </row>
    <row r="18">
      <c r="A18" s="2" t="s">
        <v>1653</v>
      </c>
      <c r="B18" s="2">
        <v>17.0</v>
      </c>
      <c r="C18" s="2" t="s">
        <v>11</v>
      </c>
      <c r="D18" s="2" t="s">
        <v>1648</v>
      </c>
      <c r="E18" s="2">
        <v>7.0</v>
      </c>
      <c r="F18" s="2" t="s">
        <v>10</v>
      </c>
      <c r="G18" s="5">
        <v>2798156.0</v>
      </c>
      <c r="H18" s="2" t="s">
        <v>1575</v>
      </c>
      <c r="I18" s="2" t="s">
        <v>1578</v>
      </c>
      <c r="J18" s="2">
        <v>10009.0</v>
      </c>
      <c r="K18" s="2" t="s">
        <v>1586</v>
      </c>
      <c r="L18" s="2"/>
      <c r="M18" s="2"/>
      <c r="N18" s="7">
        <v>1.0</v>
      </c>
      <c r="O18" s="13" t="s">
        <v>1678</v>
      </c>
      <c r="P18" s="11" t="s">
        <v>1649</v>
      </c>
      <c r="Q18" s="12">
        <v>26667.0</v>
      </c>
      <c r="R18" s="11" t="s">
        <v>1649</v>
      </c>
      <c r="S18" s="11" t="s">
        <v>1674</v>
      </c>
      <c r="T18" s="11" t="s">
        <v>1679</v>
      </c>
      <c r="U18" s="2" t="s">
        <v>1574</v>
      </c>
      <c r="V18" s="2" t="s">
        <v>1568</v>
      </c>
      <c r="W18" s="2" t="s">
        <v>1569</v>
      </c>
      <c r="X18" s="2" t="s">
        <v>1570</v>
      </c>
      <c r="AB18" s="2" t="s">
        <v>1571</v>
      </c>
    </row>
    <row r="19">
      <c r="A19" s="2" t="s">
        <v>1653</v>
      </c>
      <c r="B19" s="2">
        <v>17.0</v>
      </c>
      <c r="C19" s="2" t="s">
        <v>11</v>
      </c>
      <c r="D19" s="2" t="s">
        <v>1648</v>
      </c>
      <c r="E19" s="2">
        <v>7.0</v>
      </c>
      <c r="F19" s="2" t="s">
        <v>10</v>
      </c>
      <c r="G19" s="5">
        <v>2797790.0</v>
      </c>
      <c r="H19" s="2" t="s">
        <v>1575</v>
      </c>
      <c r="I19" s="2" t="s">
        <v>1580</v>
      </c>
      <c r="J19" s="2">
        <v>10104.0</v>
      </c>
      <c r="K19" s="2" t="s">
        <v>1581</v>
      </c>
      <c r="L19" s="2"/>
      <c r="M19" s="2"/>
      <c r="N19" s="7">
        <v>1.0</v>
      </c>
      <c r="O19" s="12">
        <v>34762.0</v>
      </c>
      <c r="P19" s="11" t="s">
        <v>1649</v>
      </c>
      <c r="Q19" s="12">
        <v>34762.0</v>
      </c>
      <c r="R19" s="11" t="s">
        <v>1649</v>
      </c>
      <c r="S19" s="11" t="s">
        <v>1670</v>
      </c>
      <c r="T19" s="11" t="s">
        <v>1671</v>
      </c>
      <c r="U19" s="2" t="s">
        <v>1574</v>
      </c>
      <c r="V19" s="2" t="s">
        <v>1568</v>
      </c>
      <c r="W19" s="2" t="s">
        <v>1569</v>
      </c>
      <c r="X19" s="2" t="s">
        <v>1570</v>
      </c>
      <c r="AB19" s="2" t="s">
        <v>1571</v>
      </c>
    </row>
    <row r="20">
      <c r="A20" s="2" t="s">
        <v>1653</v>
      </c>
      <c r="B20" s="2">
        <v>17.0</v>
      </c>
      <c r="C20" s="2" t="s">
        <v>11</v>
      </c>
      <c r="D20" s="2" t="s">
        <v>1648</v>
      </c>
      <c r="E20" s="2">
        <v>7.0</v>
      </c>
      <c r="F20" s="2" t="s">
        <v>10</v>
      </c>
      <c r="G20" s="5">
        <v>2797425.0</v>
      </c>
      <c r="H20" s="2" t="s">
        <v>1575</v>
      </c>
      <c r="I20" s="2" t="s">
        <v>1578</v>
      </c>
      <c r="J20" s="2">
        <v>10015.0</v>
      </c>
      <c r="K20" s="2" t="s">
        <v>1587</v>
      </c>
      <c r="L20" s="2"/>
      <c r="M20" s="2"/>
      <c r="N20" s="7">
        <v>1.0</v>
      </c>
      <c r="O20" s="12">
        <v>25238.0</v>
      </c>
      <c r="P20" s="11" t="s">
        <v>1649</v>
      </c>
      <c r="Q20" s="12">
        <v>25238.0</v>
      </c>
      <c r="R20" s="11" t="s">
        <v>1649</v>
      </c>
      <c r="S20" s="11" t="s">
        <v>1660</v>
      </c>
      <c r="T20" s="11" t="s">
        <v>1680</v>
      </c>
      <c r="U20" s="2" t="s">
        <v>1574</v>
      </c>
      <c r="V20" s="2" t="s">
        <v>1568</v>
      </c>
      <c r="W20" s="2" t="s">
        <v>1569</v>
      </c>
      <c r="X20" s="2" t="s">
        <v>1570</v>
      </c>
      <c r="AB20" s="2" t="s">
        <v>1571</v>
      </c>
    </row>
    <row r="21">
      <c r="A21" s="2" t="s">
        <v>1653</v>
      </c>
      <c r="B21" s="2">
        <v>17.0</v>
      </c>
      <c r="C21" s="2" t="s">
        <v>11</v>
      </c>
      <c r="D21" s="2" t="s">
        <v>1648</v>
      </c>
      <c r="E21" s="2">
        <v>7.0</v>
      </c>
      <c r="F21" s="2" t="s">
        <v>10</v>
      </c>
      <c r="G21" s="5">
        <v>2797060.0</v>
      </c>
      <c r="H21" s="2" t="s">
        <v>1575</v>
      </c>
      <c r="I21" s="2" t="s">
        <v>1572</v>
      </c>
      <c r="J21" s="2">
        <v>10128.0</v>
      </c>
      <c r="K21" s="2" t="s">
        <v>1588</v>
      </c>
      <c r="L21" s="2"/>
      <c r="M21" s="2"/>
      <c r="N21" s="7">
        <v>1.0</v>
      </c>
      <c r="O21" s="12">
        <v>23333.0</v>
      </c>
      <c r="P21" s="11" t="s">
        <v>1649</v>
      </c>
      <c r="Q21" s="12">
        <v>23333.0</v>
      </c>
      <c r="R21" s="11" t="s">
        <v>1649</v>
      </c>
      <c r="S21" s="11" t="s">
        <v>1681</v>
      </c>
      <c r="T21" s="11" t="s">
        <v>1682</v>
      </c>
      <c r="U21" s="2" t="s">
        <v>1574</v>
      </c>
      <c r="V21" s="2" t="s">
        <v>1568</v>
      </c>
      <c r="W21" s="2" t="s">
        <v>1569</v>
      </c>
      <c r="X21" s="2" t="s">
        <v>1570</v>
      </c>
      <c r="AB21" s="2" t="s">
        <v>1571</v>
      </c>
    </row>
    <row r="22">
      <c r="A22" s="2" t="s">
        <v>1653</v>
      </c>
      <c r="B22" s="2">
        <v>17.0</v>
      </c>
      <c r="C22" s="2" t="s">
        <v>11</v>
      </c>
      <c r="D22" s="2" t="s">
        <v>1648</v>
      </c>
      <c r="E22" s="2">
        <v>7.0</v>
      </c>
      <c r="F22" s="2" t="s">
        <v>10</v>
      </c>
      <c r="G22" s="5">
        <v>2797060.0</v>
      </c>
      <c r="H22" s="2" t="s">
        <v>1575</v>
      </c>
      <c r="I22" s="2" t="s">
        <v>1565</v>
      </c>
      <c r="J22" s="2">
        <v>10000.0</v>
      </c>
      <c r="K22" s="2" t="s">
        <v>1566</v>
      </c>
      <c r="L22" s="2"/>
      <c r="M22" s="2"/>
      <c r="N22" s="7">
        <v>1.0</v>
      </c>
      <c r="O22" s="12">
        <v>29524.0</v>
      </c>
      <c r="P22" s="11" t="s">
        <v>1649</v>
      </c>
      <c r="Q22" s="12">
        <v>29524.0</v>
      </c>
      <c r="R22" s="11" t="s">
        <v>1649</v>
      </c>
      <c r="S22" s="11" t="s">
        <v>1683</v>
      </c>
      <c r="T22" s="11" t="s">
        <v>1684</v>
      </c>
      <c r="U22" s="2" t="s">
        <v>1574</v>
      </c>
      <c r="V22" s="2" t="s">
        <v>1568</v>
      </c>
      <c r="W22" s="2" t="s">
        <v>1569</v>
      </c>
      <c r="X22" s="2" t="s">
        <v>1570</v>
      </c>
      <c r="AB22" s="2" t="s">
        <v>1571</v>
      </c>
    </row>
    <row r="23">
      <c r="A23" s="2" t="s">
        <v>1653</v>
      </c>
      <c r="B23" s="2">
        <v>17.0</v>
      </c>
      <c r="C23" s="2" t="s">
        <v>11</v>
      </c>
      <c r="D23" s="2" t="s">
        <v>1648</v>
      </c>
      <c r="E23" s="2">
        <v>7.0</v>
      </c>
      <c r="F23" s="2" t="s">
        <v>10</v>
      </c>
      <c r="G23" s="5">
        <v>2797060.0</v>
      </c>
      <c r="H23" s="2" t="s">
        <v>1575</v>
      </c>
      <c r="I23" s="2" t="s">
        <v>1572</v>
      </c>
      <c r="J23" s="2">
        <v>10117.0</v>
      </c>
      <c r="K23" s="2" t="s">
        <v>1589</v>
      </c>
      <c r="L23" s="2"/>
      <c r="M23" s="2"/>
      <c r="N23" s="7">
        <v>1.0</v>
      </c>
      <c r="O23" s="12">
        <v>14286.0</v>
      </c>
      <c r="P23" s="11" t="s">
        <v>1649</v>
      </c>
      <c r="Q23" s="12">
        <v>14286.0</v>
      </c>
      <c r="R23" s="11" t="s">
        <v>1649</v>
      </c>
      <c r="S23" s="11" t="s">
        <v>1685</v>
      </c>
      <c r="T23" s="11" t="s">
        <v>1686</v>
      </c>
      <c r="U23" s="2" t="s">
        <v>1574</v>
      </c>
      <c r="V23" s="2" t="s">
        <v>1568</v>
      </c>
      <c r="W23" s="2" t="s">
        <v>1569</v>
      </c>
      <c r="X23" s="2" t="s">
        <v>1570</v>
      </c>
      <c r="AB23" s="2" t="s">
        <v>1571</v>
      </c>
    </row>
    <row r="24">
      <c r="A24" s="2" t="s">
        <v>1653</v>
      </c>
      <c r="B24" s="2">
        <v>17.0</v>
      </c>
      <c r="C24" s="2" t="s">
        <v>11</v>
      </c>
      <c r="D24" s="2" t="s">
        <v>1648</v>
      </c>
      <c r="E24" s="2">
        <v>7.0</v>
      </c>
      <c r="F24" s="2" t="s">
        <v>10</v>
      </c>
      <c r="G24" s="5">
        <v>2796695.0</v>
      </c>
      <c r="H24" s="2" t="s">
        <v>1575</v>
      </c>
      <c r="I24" s="2" t="s">
        <v>1565</v>
      </c>
      <c r="J24" s="2">
        <v>10000.0</v>
      </c>
      <c r="K24" s="2" t="s">
        <v>1566</v>
      </c>
      <c r="L24" s="2"/>
      <c r="M24" s="2"/>
      <c r="N24" s="7">
        <v>1.0</v>
      </c>
      <c r="O24" s="12">
        <v>29524.0</v>
      </c>
      <c r="P24" s="11" t="s">
        <v>1649</v>
      </c>
      <c r="Q24" s="12">
        <v>29524.0</v>
      </c>
      <c r="R24" s="11" t="s">
        <v>1649</v>
      </c>
      <c r="S24" s="11" t="s">
        <v>1683</v>
      </c>
      <c r="T24" s="11" t="s">
        <v>1684</v>
      </c>
      <c r="U24" s="2" t="s">
        <v>1574</v>
      </c>
      <c r="V24" s="2" t="s">
        <v>1568</v>
      </c>
      <c r="W24" s="2" t="s">
        <v>1569</v>
      </c>
      <c r="X24" s="2" t="s">
        <v>1570</v>
      </c>
      <c r="AB24" s="2" t="s">
        <v>1571</v>
      </c>
    </row>
    <row r="25">
      <c r="A25" s="2" t="s">
        <v>1653</v>
      </c>
      <c r="B25" s="2">
        <v>17.0</v>
      </c>
      <c r="C25" s="2" t="s">
        <v>11</v>
      </c>
      <c r="D25" s="2" t="s">
        <v>1648</v>
      </c>
      <c r="E25" s="2">
        <v>7.0</v>
      </c>
      <c r="F25" s="2" t="s">
        <v>10</v>
      </c>
      <c r="G25" s="5">
        <v>2796695.0</v>
      </c>
      <c r="H25" s="2" t="s">
        <v>1575</v>
      </c>
      <c r="I25" s="2" t="s">
        <v>1572</v>
      </c>
      <c r="J25" s="2">
        <v>10120.0</v>
      </c>
      <c r="K25" s="2" t="s">
        <v>1590</v>
      </c>
      <c r="L25" s="2"/>
      <c r="M25" s="2"/>
      <c r="N25" s="7">
        <v>1.0</v>
      </c>
      <c r="O25" s="12">
        <v>19524.0</v>
      </c>
      <c r="P25" s="11" t="s">
        <v>1649</v>
      </c>
      <c r="Q25" s="12">
        <v>19524.0</v>
      </c>
      <c r="R25" s="11" t="s">
        <v>1649</v>
      </c>
      <c r="S25" s="11" t="s">
        <v>1676</v>
      </c>
      <c r="T25" s="11" t="s">
        <v>1677</v>
      </c>
      <c r="U25" s="2" t="s">
        <v>1574</v>
      </c>
      <c r="V25" s="2" t="s">
        <v>1568</v>
      </c>
      <c r="W25" s="2" t="s">
        <v>1569</v>
      </c>
      <c r="X25" s="2" t="s">
        <v>1570</v>
      </c>
      <c r="AB25" s="2" t="s">
        <v>1571</v>
      </c>
    </row>
    <row r="26">
      <c r="A26" s="2" t="s">
        <v>1653</v>
      </c>
      <c r="B26" s="2">
        <v>17.0</v>
      </c>
      <c r="C26" s="2" t="s">
        <v>11</v>
      </c>
      <c r="D26" s="2" t="s">
        <v>1648</v>
      </c>
      <c r="E26" s="2">
        <v>7.0</v>
      </c>
      <c r="F26" s="2" t="s">
        <v>10</v>
      </c>
      <c r="G26" s="5">
        <v>2796695.0</v>
      </c>
      <c r="H26" s="2" t="s">
        <v>1575</v>
      </c>
      <c r="I26" s="2" t="s">
        <v>1572</v>
      </c>
      <c r="J26" s="2">
        <v>10122.0</v>
      </c>
      <c r="K26" s="2" t="s">
        <v>1577</v>
      </c>
      <c r="L26" s="2"/>
      <c r="M26" s="2"/>
      <c r="N26" s="7">
        <v>1.0</v>
      </c>
      <c r="O26" s="12">
        <v>21905.0</v>
      </c>
      <c r="P26" s="11" t="s">
        <v>1649</v>
      </c>
      <c r="Q26" s="12">
        <v>21905.0</v>
      </c>
      <c r="R26" s="11" t="s">
        <v>1649</v>
      </c>
      <c r="S26" s="11" t="s">
        <v>1666</v>
      </c>
      <c r="T26" s="11" t="s">
        <v>1687</v>
      </c>
      <c r="U26" s="2" t="s">
        <v>1574</v>
      </c>
      <c r="V26" s="2" t="s">
        <v>1568</v>
      </c>
      <c r="W26" s="2" t="s">
        <v>1569</v>
      </c>
      <c r="X26" s="2" t="s">
        <v>1570</v>
      </c>
      <c r="AB26" s="2" t="s">
        <v>1571</v>
      </c>
    </row>
    <row r="27">
      <c r="A27" s="2" t="s">
        <v>1653</v>
      </c>
      <c r="B27" s="2">
        <v>17.0</v>
      </c>
      <c r="C27" s="2" t="s">
        <v>11</v>
      </c>
      <c r="D27" s="2" t="s">
        <v>1648</v>
      </c>
      <c r="E27" s="2">
        <v>7.0</v>
      </c>
      <c r="F27" s="2" t="s">
        <v>10</v>
      </c>
      <c r="G27" s="5">
        <v>2796329.0</v>
      </c>
      <c r="H27" s="2" t="s">
        <v>1575</v>
      </c>
      <c r="I27" s="2" t="s">
        <v>1572</v>
      </c>
      <c r="J27" s="2">
        <v>10128.0</v>
      </c>
      <c r="K27" s="2" t="s">
        <v>1588</v>
      </c>
      <c r="L27" s="2"/>
      <c r="M27" s="2"/>
      <c r="N27" s="7">
        <v>1.0</v>
      </c>
      <c r="O27" s="12">
        <v>23333.0</v>
      </c>
      <c r="P27" s="11" t="s">
        <v>1649</v>
      </c>
      <c r="Q27" s="12">
        <v>23333.0</v>
      </c>
      <c r="R27" s="11" t="s">
        <v>1649</v>
      </c>
      <c r="S27" s="11" t="s">
        <v>1681</v>
      </c>
      <c r="T27" s="11" t="s">
        <v>1682</v>
      </c>
      <c r="U27" s="2" t="s">
        <v>1574</v>
      </c>
      <c r="V27" s="2" t="s">
        <v>1568</v>
      </c>
      <c r="W27" s="2" t="s">
        <v>1569</v>
      </c>
      <c r="X27" s="2" t="s">
        <v>1570</v>
      </c>
      <c r="AB27" s="2" t="s">
        <v>1571</v>
      </c>
    </row>
    <row r="28">
      <c r="A28" s="2" t="s">
        <v>1653</v>
      </c>
      <c r="B28" s="2">
        <v>17.0</v>
      </c>
      <c r="C28" s="2" t="s">
        <v>11</v>
      </c>
      <c r="D28" s="2" t="s">
        <v>1648</v>
      </c>
      <c r="E28" s="2">
        <v>7.0</v>
      </c>
      <c r="F28" s="2" t="s">
        <v>10</v>
      </c>
      <c r="G28" s="5">
        <v>2796329.0</v>
      </c>
      <c r="H28" s="2" t="s">
        <v>1575</v>
      </c>
      <c r="I28" s="2" t="s">
        <v>1565</v>
      </c>
      <c r="J28" s="2">
        <v>10002.0</v>
      </c>
      <c r="K28" s="2" t="s">
        <v>1576</v>
      </c>
      <c r="L28" s="2"/>
      <c r="M28" s="2"/>
      <c r="N28" s="7">
        <v>1.0</v>
      </c>
      <c r="O28" s="12">
        <v>18571.0</v>
      </c>
      <c r="P28" s="11" t="s">
        <v>1649</v>
      </c>
      <c r="Q28" s="12">
        <v>18571.0</v>
      </c>
      <c r="R28" s="11" t="s">
        <v>1649</v>
      </c>
      <c r="S28" s="11" t="s">
        <v>1656</v>
      </c>
      <c r="T28" s="11" t="s">
        <v>1688</v>
      </c>
      <c r="U28" s="2" t="s">
        <v>1574</v>
      </c>
      <c r="V28" s="2" t="s">
        <v>1568</v>
      </c>
      <c r="W28" s="2" t="s">
        <v>1569</v>
      </c>
      <c r="X28" s="2" t="s">
        <v>1570</v>
      </c>
      <c r="AB28" s="2" t="s">
        <v>1571</v>
      </c>
    </row>
    <row r="29">
      <c r="A29" s="2" t="s">
        <v>1653</v>
      </c>
      <c r="B29" s="2">
        <v>17.0</v>
      </c>
      <c r="C29" s="2" t="s">
        <v>11</v>
      </c>
      <c r="D29" s="2" t="s">
        <v>1648</v>
      </c>
      <c r="E29" s="2">
        <v>7.0</v>
      </c>
      <c r="F29" s="2" t="s">
        <v>10</v>
      </c>
      <c r="G29" s="5">
        <v>2795964.0</v>
      </c>
      <c r="H29" s="2" t="s">
        <v>1575</v>
      </c>
      <c r="I29" s="2" t="s">
        <v>1565</v>
      </c>
      <c r="J29" s="2">
        <v>10000.0</v>
      </c>
      <c r="K29" s="2" t="s">
        <v>1566</v>
      </c>
      <c r="L29" s="2"/>
      <c r="M29" s="2"/>
      <c r="N29" s="7">
        <v>1.0</v>
      </c>
      <c r="O29" s="12">
        <v>29524.0</v>
      </c>
      <c r="P29" s="11" t="s">
        <v>1649</v>
      </c>
      <c r="Q29" s="12">
        <v>29524.0</v>
      </c>
      <c r="R29" s="11" t="s">
        <v>1649</v>
      </c>
      <c r="S29" s="11" t="s">
        <v>1683</v>
      </c>
      <c r="T29" s="11" t="s">
        <v>1684</v>
      </c>
      <c r="U29" s="2" t="s">
        <v>1574</v>
      </c>
      <c r="V29" s="2" t="s">
        <v>1568</v>
      </c>
      <c r="W29" s="2" t="s">
        <v>1569</v>
      </c>
      <c r="X29" s="2" t="s">
        <v>1570</v>
      </c>
      <c r="AB29" s="2" t="s">
        <v>1571</v>
      </c>
    </row>
    <row r="30">
      <c r="A30" s="2" t="s">
        <v>1653</v>
      </c>
      <c r="B30" s="2">
        <v>17.0</v>
      </c>
      <c r="C30" s="2" t="s">
        <v>11</v>
      </c>
      <c r="D30" s="2" t="s">
        <v>1648</v>
      </c>
      <c r="E30" s="2">
        <v>7.0</v>
      </c>
      <c r="F30" s="2" t="s">
        <v>10</v>
      </c>
      <c r="G30" s="5">
        <v>2795964.0</v>
      </c>
      <c r="H30" s="2" t="s">
        <v>1575</v>
      </c>
      <c r="I30" s="2" t="s">
        <v>1572</v>
      </c>
      <c r="J30" s="2">
        <v>10013.0</v>
      </c>
      <c r="K30" s="2" t="s">
        <v>1591</v>
      </c>
      <c r="L30" s="2"/>
      <c r="M30" s="2"/>
      <c r="N30" s="7">
        <v>1.0</v>
      </c>
      <c r="O30" s="12">
        <v>23333.0</v>
      </c>
      <c r="P30" s="11" t="s">
        <v>1649</v>
      </c>
      <c r="Q30" s="12">
        <v>23333.0</v>
      </c>
      <c r="R30" s="11" t="s">
        <v>1649</v>
      </c>
      <c r="S30" s="11" t="s">
        <v>1681</v>
      </c>
      <c r="T30" s="11" t="s">
        <v>1682</v>
      </c>
      <c r="U30" s="2" t="s">
        <v>1574</v>
      </c>
      <c r="V30" s="2" t="s">
        <v>1568</v>
      </c>
      <c r="W30" s="2" t="s">
        <v>1569</v>
      </c>
      <c r="X30" s="2" t="s">
        <v>1570</v>
      </c>
      <c r="AB30" s="2" t="s">
        <v>1571</v>
      </c>
    </row>
    <row r="31">
      <c r="A31" s="2" t="s">
        <v>1653</v>
      </c>
      <c r="B31" s="2">
        <v>17.0</v>
      </c>
      <c r="C31" s="2" t="s">
        <v>11</v>
      </c>
      <c r="D31" s="2" t="s">
        <v>1648</v>
      </c>
      <c r="E31" s="2">
        <v>7.0</v>
      </c>
      <c r="F31" s="2" t="s">
        <v>10</v>
      </c>
      <c r="G31" s="5">
        <v>2795964.0</v>
      </c>
      <c r="H31" s="2" t="s">
        <v>1575</v>
      </c>
      <c r="I31" s="2" t="s">
        <v>1572</v>
      </c>
      <c r="J31" s="2">
        <v>10127.0</v>
      </c>
      <c r="K31" s="2" t="s">
        <v>1592</v>
      </c>
      <c r="L31" s="2"/>
      <c r="M31" s="2"/>
      <c r="N31" s="7">
        <v>1.0</v>
      </c>
      <c r="O31" s="12">
        <v>18571.0</v>
      </c>
      <c r="P31" s="11" t="s">
        <v>1649</v>
      </c>
      <c r="Q31" s="12">
        <v>18571.0</v>
      </c>
      <c r="R31" s="11" t="s">
        <v>1649</v>
      </c>
      <c r="S31" s="11" t="s">
        <v>1656</v>
      </c>
      <c r="T31" s="11" t="s">
        <v>1688</v>
      </c>
      <c r="U31" s="2" t="s">
        <v>1574</v>
      </c>
      <c r="V31" s="2" t="s">
        <v>1568</v>
      </c>
      <c r="W31" s="2" t="s">
        <v>1569</v>
      </c>
      <c r="X31" s="2" t="s">
        <v>1570</v>
      </c>
      <c r="AB31" s="2" t="s">
        <v>1571</v>
      </c>
    </row>
    <row r="32">
      <c r="A32" s="2" t="s">
        <v>1653</v>
      </c>
      <c r="B32" s="2">
        <v>17.0</v>
      </c>
      <c r="C32" s="2" t="s">
        <v>11</v>
      </c>
      <c r="D32" s="2" t="s">
        <v>1648</v>
      </c>
      <c r="E32" s="2">
        <v>7.0</v>
      </c>
      <c r="F32" s="2" t="s">
        <v>10</v>
      </c>
      <c r="G32" s="5">
        <v>2795964.0</v>
      </c>
      <c r="H32" s="2" t="s">
        <v>1575</v>
      </c>
      <c r="I32" s="2" t="s">
        <v>1572</v>
      </c>
      <c r="J32" s="2">
        <v>10070.0</v>
      </c>
      <c r="K32" s="2" t="s">
        <v>1593</v>
      </c>
      <c r="L32" s="2"/>
      <c r="M32" s="2"/>
      <c r="N32" s="7">
        <v>1.0</v>
      </c>
      <c r="O32" s="12">
        <v>24762.0</v>
      </c>
      <c r="P32" s="11" t="s">
        <v>1649</v>
      </c>
      <c r="Q32" s="12">
        <v>24762.0</v>
      </c>
      <c r="R32" s="11" t="s">
        <v>1649</v>
      </c>
      <c r="S32" s="11" t="s">
        <v>1689</v>
      </c>
      <c r="T32" s="11" t="s">
        <v>1690</v>
      </c>
      <c r="U32" s="2" t="s">
        <v>1574</v>
      </c>
      <c r="V32" s="2" t="s">
        <v>1568</v>
      </c>
      <c r="W32" s="2" t="s">
        <v>1569</v>
      </c>
      <c r="X32" s="2" t="s">
        <v>1570</v>
      </c>
      <c r="AB32" s="2" t="s">
        <v>1571</v>
      </c>
    </row>
    <row r="33">
      <c r="A33" s="2" t="s">
        <v>1653</v>
      </c>
      <c r="B33" s="2">
        <v>17.0</v>
      </c>
      <c r="C33" s="2" t="s">
        <v>11</v>
      </c>
      <c r="D33" s="2" t="s">
        <v>1648</v>
      </c>
      <c r="E33" s="2">
        <v>7.0</v>
      </c>
      <c r="F33" s="2" t="s">
        <v>10</v>
      </c>
      <c r="G33" s="5">
        <v>2795599.0</v>
      </c>
      <c r="H33" s="2" t="s">
        <v>1575</v>
      </c>
      <c r="I33" s="2" t="s">
        <v>1572</v>
      </c>
      <c r="J33" s="2">
        <v>10128.0</v>
      </c>
      <c r="K33" s="2" t="s">
        <v>1588</v>
      </c>
      <c r="L33" s="2"/>
      <c r="M33" s="2"/>
      <c r="N33" s="7">
        <v>1.0</v>
      </c>
      <c r="O33" s="12">
        <v>23333.0</v>
      </c>
      <c r="P33" s="11" t="s">
        <v>1649</v>
      </c>
      <c r="Q33" s="12">
        <v>23333.0</v>
      </c>
      <c r="R33" s="11" t="s">
        <v>1649</v>
      </c>
      <c r="S33" s="11" t="s">
        <v>1681</v>
      </c>
      <c r="T33" s="11" t="s">
        <v>1682</v>
      </c>
      <c r="U33" s="2" t="s">
        <v>1574</v>
      </c>
      <c r="V33" s="2" t="s">
        <v>1568</v>
      </c>
      <c r="W33" s="2" t="s">
        <v>1569</v>
      </c>
      <c r="X33" s="2" t="s">
        <v>1570</v>
      </c>
      <c r="AB33" s="2" t="s">
        <v>1571</v>
      </c>
    </row>
    <row r="34">
      <c r="A34" s="2" t="s">
        <v>1653</v>
      </c>
      <c r="B34" s="2">
        <v>16.0</v>
      </c>
      <c r="C34" s="2" t="s">
        <v>11</v>
      </c>
      <c r="D34" s="2" t="s">
        <v>1648</v>
      </c>
      <c r="E34" s="2">
        <v>7.0</v>
      </c>
      <c r="F34" s="2" t="s">
        <v>10</v>
      </c>
      <c r="G34" s="5">
        <v>2795234.0</v>
      </c>
      <c r="H34" s="2" t="s">
        <v>1575</v>
      </c>
      <c r="I34" s="2" t="s">
        <v>1572</v>
      </c>
      <c r="J34" s="2">
        <v>10128.0</v>
      </c>
      <c r="K34" s="2" t="s">
        <v>1588</v>
      </c>
      <c r="L34" s="2"/>
      <c r="M34" s="2"/>
      <c r="N34" s="7">
        <v>2.0</v>
      </c>
      <c r="O34" s="12">
        <v>46666.0</v>
      </c>
      <c r="P34" s="11" t="s">
        <v>1649</v>
      </c>
      <c r="Q34" s="12">
        <v>46666.0</v>
      </c>
      <c r="R34" s="11" t="s">
        <v>1649</v>
      </c>
      <c r="S34" s="11" t="s">
        <v>1691</v>
      </c>
      <c r="T34" s="11" t="s">
        <v>1692</v>
      </c>
      <c r="U34" s="2" t="s">
        <v>1574</v>
      </c>
      <c r="V34" s="2" t="s">
        <v>1568</v>
      </c>
      <c r="W34" s="2" t="s">
        <v>1569</v>
      </c>
      <c r="X34" s="2" t="s">
        <v>1570</v>
      </c>
      <c r="AB34" s="2" t="s">
        <v>1571</v>
      </c>
    </row>
    <row r="35">
      <c r="A35" s="2" t="s">
        <v>1653</v>
      </c>
      <c r="B35" s="2">
        <v>16.0</v>
      </c>
      <c r="C35" s="2" t="s">
        <v>11</v>
      </c>
      <c r="D35" s="2" t="s">
        <v>1648</v>
      </c>
      <c r="E35" s="2">
        <v>7.0</v>
      </c>
      <c r="F35" s="2" t="s">
        <v>10</v>
      </c>
      <c r="G35" s="5">
        <v>2794868.0</v>
      </c>
      <c r="H35" s="2" t="s">
        <v>1575</v>
      </c>
      <c r="I35" s="2" t="s">
        <v>1572</v>
      </c>
      <c r="J35" s="2">
        <v>10063.0</v>
      </c>
      <c r="K35" s="2" t="s">
        <v>1594</v>
      </c>
      <c r="L35" s="2"/>
      <c r="M35" s="2"/>
      <c r="N35" s="7">
        <v>1.0</v>
      </c>
      <c r="O35" s="12">
        <v>24762.0</v>
      </c>
      <c r="P35" s="11" t="s">
        <v>1649</v>
      </c>
      <c r="Q35" s="12">
        <v>24762.0</v>
      </c>
      <c r="R35" s="11" t="s">
        <v>1649</v>
      </c>
      <c r="S35" s="11" t="s">
        <v>1689</v>
      </c>
      <c r="T35" s="11" t="s">
        <v>1693</v>
      </c>
      <c r="U35" s="2" t="s">
        <v>1574</v>
      </c>
      <c r="V35" s="2" t="s">
        <v>1568</v>
      </c>
      <c r="W35" s="2" t="s">
        <v>1569</v>
      </c>
      <c r="X35" s="2" t="s">
        <v>1570</v>
      </c>
      <c r="AB35" s="2" t="s">
        <v>1571</v>
      </c>
    </row>
    <row r="36">
      <c r="A36" s="2" t="s">
        <v>1653</v>
      </c>
      <c r="B36" s="2">
        <v>16.0</v>
      </c>
      <c r="C36" s="2" t="s">
        <v>11</v>
      </c>
      <c r="D36" s="2" t="s">
        <v>1648</v>
      </c>
      <c r="E36" s="2">
        <v>7.0</v>
      </c>
      <c r="F36" s="2" t="s">
        <v>10</v>
      </c>
      <c r="G36" s="5">
        <v>2794868.0</v>
      </c>
      <c r="H36" s="2" t="s">
        <v>1575</v>
      </c>
      <c r="I36" s="2" t="s">
        <v>1572</v>
      </c>
      <c r="J36" s="2">
        <v>10107.0</v>
      </c>
      <c r="K36" s="2" t="s">
        <v>1584</v>
      </c>
      <c r="L36" s="2"/>
      <c r="M36" s="2"/>
      <c r="N36" s="7">
        <v>1.0</v>
      </c>
      <c r="O36" s="12">
        <v>26667.0</v>
      </c>
      <c r="P36" s="11" t="s">
        <v>1649</v>
      </c>
      <c r="Q36" s="12">
        <v>26667.0</v>
      </c>
      <c r="R36" s="11" t="s">
        <v>1649</v>
      </c>
      <c r="S36" s="11" t="s">
        <v>1674</v>
      </c>
      <c r="T36" s="11" t="s">
        <v>1679</v>
      </c>
      <c r="U36" s="2" t="s">
        <v>1574</v>
      </c>
      <c r="V36" s="2" t="s">
        <v>1568</v>
      </c>
      <c r="W36" s="2" t="s">
        <v>1569</v>
      </c>
      <c r="X36" s="2" t="s">
        <v>1570</v>
      </c>
      <c r="AB36" s="2" t="s">
        <v>1571</v>
      </c>
    </row>
    <row r="37">
      <c r="A37" s="2" t="s">
        <v>1653</v>
      </c>
      <c r="B37" s="2">
        <v>16.0</v>
      </c>
      <c r="C37" s="2" t="s">
        <v>11</v>
      </c>
      <c r="D37" s="2" t="s">
        <v>1648</v>
      </c>
      <c r="E37" s="2">
        <v>7.0</v>
      </c>
      <c r="F37" s="2" t="s">
        <v>10</v>
      </c>
      <c r="G37" s="5">
        <v>2794868.0</v>
      </c>
      <c r="H37" s="2" t="s">
        <v>1575</v>
      </c>
      <c r="I37" s="2" t="s">
        <v>1565</v>
      </c>
      <c r="J37" s="2">
        <v>10005.0</v>
      </c>
      <c r="K37" s="2" t="s">
        <v>1595</v>
      </c>
      <c r="L37" s="2"/>
      <c r="M37" s="2"/>
      <c r="N37" s="7">
        <v>1.0</v>
      </c>
      <c r="O37" s="12">
        <v>19524.0</v>
      </c>
      <c r="P37" s="11" t="s">
        <v>1649</v>
      </c>
      <c r="Q37" s="12">
        <v>19524.0</v>
      </c>
      <c r="R37" s="11" t="s">
        <v>1649</v>
      </c>
      <c r="S37" s="11" t="s">
        <v>1676</v>
      </c>
      <c r="T37" s="11" t="s">
        <v>1694</v>
      </c>
      <c r="U37" s="2" t="s">
        <v>1574</v>
      </c>
      <c r="V37" s="2" t="s">
        <v>1568</v>
      </c>
      <c r="W37" s="2" t="s">
        <v>1569</v>
      </c>
      <c r="X37" s="2" t="s">
        <v>1570</v>
      </c>
      <c r="AB37" s="2" t="s">
        <v>1571</v>
      </c>
    </row>
    <row r="38">
      <c r="A38" s="2" t="s">
        <v>1653</v>
      </c>
      <c r="B38" s="2">
        <v>16.0</v>
      </c>
      <c r="C38" s="2" t="s">
        <v>11</v>
      </c>
      <c r="D38" s="2" t="s">
        <v>1648</v>
      </c>
      <c r="E38" s="2">
        <v>7.0</v>
      </c>
      <c r="F38" s="2" t="s">
        <v>10</v>
      </c>
      <c r="G38" s="5">
        <v>2794868.0</v>
      </c>
      <c r="H38" s="2" t="s">
        <v>1575</v>
      </c>
      <c r="I38" s="2" t="s">
        <v>1565</v>
      </c>
      <c r="J38" s="2">
        <v>10002.0</v>
      </c>
      <c r="K38" s="2" t="s">
        <v>1576</v>
      </c>
      <c r="L38" s="2"/>
      <c r="M38" s="2"/>
      <c r="N38" s="7">
        <v>1.0</v>
      </c>
      <c r="O38" s="12">
        <v>18571.0</v>
      </c>
      <c r="P38" s="11" t="s">
        <v>1649</v>
      </c>
      <c r="Q38" s="12">
        <v>18571.0</v>
      </c>
      <c r="R38" s="11" t="s">
        <v>1649</v>
      </c>
      <c r="S38" s="11" t="s">
        <v>1656</v>
      </c>
      <c r="T38" s="11" t="s">
        <v>1688</v>
      </c>
      <c r="U38" s="2" t="s">
        <v>1574</v>
      </c>
      <c r="V38" s="2" t="s">
        <v>1568</v>
      </c>
      <c r="W38" s="2" t="s">
        <v>1569</v>
      </c>
      <c r="X38" s="2" t="s">
        <v>1570</v>
      </c>
      <c r="AB38" s="2" t="s">
        <v>1571</v>
      </c>
    </row>
    <row r="39">
      <c r="A39" s="2" t="s">
        <v>1653</v>
      </c>
      <c r="B39" s="2">
        <v>15.0</v>
      </c>
      <c r="C39" s="2" t="s">
        <v>11</v>
      </c>
      <c r="D39" s="2" t="s">
        <v>1648</v>
      </c>
      <c r="E39" s="2">
        <v>7.0</v>
      </c>
      <c r="F39" s="2" t="s">
        <v>10</v>
      </c>
      <c r="G39" s="5">
        <v>2794503.0</v>
      </c>
      <c r="H39" s="2" t="s">
        <v>1564</v>
      </c>
      <c r="I39" s="2" t="s">
        <v>1565</v>
      </c>
      <c r="J39" s="2">
        <v>10007.0</v>
      </c>
      <c r="K39" s="2" t="s">
        <v>1576</v>
      </c>
      <c r="L39" s="2"/>
      <c r="M39" s="2"/>
      <c r="N39" s="7">
        <v>2.0</v>
      </c>
      <c r="O39" s="12">
        <v>-33810.0</v>
      </c>
      <c r="P39" s="11" t="s">
        <v>1649</v>
      </c>
      <c r="Q39" s="12">
        <v>-33810.0</v>
      </c>
      <c r="R39" s="11" t="s">
        <v>1650</v>
      </c>
      <c r="S39" s="11" t="s">
        <v>1695</v>
      </c>
      <c r="T39" s="11" t="s">
        <v>1696</v>
      </c>
      <c r="U39" s="2" t="s">
        <v>1574</v>
      </c>
      <c r="V39" s="2" t="s">
        <v>1568</v>
      </c>
      <c r="W39" s="2" t="s">
        <v>1569</v>
      </c>
      <c r="X39" s="2" t="s">
        <v>1570</v>
      </c>
      <c r="AB39" s="2" t="s">
        <v>1571</v>
      </c>
    </row>
    <row r="40">
      <c r="A40" s="2" t="s">
        <v>1653</v>
      </c>
      <c r="B40" s="2">
        <v>15.0</v>
      </c>
      <c r="C40" s="2" t="s">
        <v>11</v>
      </c>
      <c r="D40" s="2" t="s">
        <v>1648</v>
      </c>
      <c r="E40" s="2">
        <v>7.0</v>
      </c>
      <c r="F40" s="2" t="s">
        <v>10</v>
      </c>
      <c r="G40" s="5">
        <v>2794503.0</v>
      </c>
      <c r="H40" s="2" t="s">
        <v>1564</v>
      </c>
      <c r="I40" s="2" t="s">
        <v>1565</v>
      </c>
      <c r="J40" s="2">
        <v>10055.0</v>
      </c>
      <c r="K40" s="2" t="s">
        <v>1595</v>
      </c>
      <c r="L40" s="2"/>
      <c r="M40" s="2"/>
      <c r="N40" s="7">
        <v>2.0</v>
      </c>
      <c r="O40" s="12">
        <v>-34762.0</v>
      </c>
      <c r="P40" s="11" t="s">
        <v>1649</v>
      </c>
      <c r="Q40" s="12">
        <v>-34762.0</v>
      </c>
      <c r="R40" s="11" t="s">
        <v>1650</v>
      </c>
      <c r="S40" s="11" t="s">
        <v>1697</v>
      </c>
      <c r="T40" s="11" t="s">
        <v>1698</v>
      </c>
      <c r="U40" s="2" t="s">
        <v>1574</v>
      </c>
      <c r="V40" s="2" t="s">
        <v>1568</v>
      </c>
      <c r="W40" s="2" t="s">
        <v>1569</v>
      </c>
      <c r="X40" s="2" t="s">
        <v>1570</v>
      </c>
      <c r="AB40" s="2" t="s">
        <v>1571</v>
      </c>
    </row>
    <row r="41">
      <c r="A41" s="2" t="s">
        <v>1653</v>
      </c>
      <c r="B41" s="2">
        <v>15.0</v>
      </c>
      <c r="C41" s="2" t="s">
        <v>11</v>
      </c>
      <c r="D41" s="2" t="s">
        <v>1648</v>
      </c>
      <c r="E41" s="2">
        <v>7.0</v>
      </c>
      <c r="F41" s="2" t="s">
        <v>10</v>
      </c>
      <c r="G41" s="5">
        <v>2794503.0</v>
      </c>
      <c r="H41" s="2" t="s">
        <v>1564</v>
      </c>
      <c r="I41" s="2" t="s">
        <v>1572</v>
      </c>
      <c r="J41" s="2">
        <v>10107.0</v>
      </c>
      <c r="K41" s="2" t="s">
        <v>1584</v>
      </c>
      <c r="L41" s="2"/>
      <c r="M41" s="2"/>
      <c r="N41" s="7">
        <v>-1.0</v>
      </c>
      <c r="O41" s="12">
        <v>-26667.0</v>
      </c>
      <c r="P41" s="11" t="s">
        <v>1649</v>
      </c>
      <c r="Q41" s="12">
        <v>-26667.0</v>
      </c>
      <c r="R41" s="11" t="s">
        <v>1650</v>
      </c>
      <c r="S41" s="11" t="s">
        <v>1699</v>
      </c>
      <c r="T41" s="11" t="s">
        <v>1700</v>
      </c>
      <c r="U41" s="2" t="s">
        <v>1574</v>
      </c>
      <c r="V41" s="2" t="s">
        <v>1568</v>
      </c>
      <c r="W41" s="2" t="s">
        <v>1569</v>
      </c>
      <c r="X41" s="2" t="s">
        <v>1570</v>
      </c>
      <c r="AB41" s="2" t="s">
        <v>1571</v>
      </c>
    </row>
    <row r="42">
      <c r="A42" s="2" t="s">
        <v>1653</v>
      </c>
      <c r="B42" s="2">
        <v>15.0</v>
      </c>
      <c r="C42" s="2" t="s">
        <v>11</v>
      </c>
      <c r="D42" s="2" t="s">
        <v>1648</v>
      </c>
      <c r="E42" s="2">
        <v>7.0</v>
      </c>
      <c r="F42" s="2" t="s">
        <v>10</v>
      </c>
      <c r="G42" s="5">
        <v>2794503.0</v>
      </c>
      <c r="H42" s="2" t="s">
        <v>1564</v>
      </c>
      <c r="I42" s="2" t="s">
        <v>1572</v>
      </c>
      <c r="J42" s="2">
        <v>10106.0</v>
      </c>
      <c r="K42" s="2" t="s">
        <v>1598</v>
      </c>
      <c r="L42" s="2"/>
      <c r="M42" s="2"/>
      <c r="N42" s="7">
        <v>-1.0</v>
      </c>
      <c r="O42" s="12">
        <v>-26667.0</v>
      </c>
      <c r="P42" s="11" t="s">
        <v>1649</v>
      </c>
      <c r="Q42" s="12">
        <v>-26667.0</v>
      </c>
      <c r="R42" s="11" t="s">
        <v>1650</v>
      </c>
      <c r="S42" s="11" t="s">
        <v>1699</v>
      </c>
      <c r="T42" s="11" t="s">
        <v>1700</v>
      </c>
      <c r="U42" s="2" t="s">
        <v>1574</v>
      </c>
      <c r="V42" s="2" t="s">
        <v>1568</v>
      </c>
      <c r="W42" s="2" t="s">
        <v>1569</v>
      </c>
      <c r="X42" s="2" t="s">
        <v>1570</v>
      </c>
      <c r="AB42" s="2" t="s">
        <v>1571</v>
      </c>
    </row>
    <row r="43">
      <c r="A43" s="2" t="s">
        <v>1653</v>
      </c>
      <c r="B43" s="2">
        <v>15.0</v>
      </c>
      <c r="C43" s="2" t="s">
        <v>11</v>
      </c>
      <c r="D43" s="2" t="s">
        <v>1648</v>
      </c>
      <c r="E43" s="2">
        <v>7.0</v>
      </c>
      <c r="F43" s="2" t="s">
        <v>10</v>
      </c>
      <c r="G43" s="5">
        <v>2794138.0</v>
      </c>
      <c r="H43" s="2" t="s">
        <v>1575</v>
      </c>
      <c r="I43" s="2" t="s">
        <v>1572</v>
      </c>
      <c r="J43" s="2">
        <v>10106.0</v>
      </c>
      <c r="K43" s="2" t="s">
        <v>1598</v>
      </c>
      <c r="L43" s="2"/>
      <c r="M43" s="2"/>
      <c r="N43" s="7">
        <v>1.0</v>
      </c>
      <c r="O43" s="12">
        <v>26667.0</v>
      </c>
      <c r="P43" s="11" t="s">
        <v>1649</v>
      </c>
      <c r="Q43" s="12">
        <v>26667.0</v>
      </c>
      <c r="R43" s="11" t="s">
        <v>1649</v>
      </c>
      <c r="S43" s="11" t="s">
        <v>1674</v>
      </c>
      <c r="T43" s="11" t="s">
        <v>1679</v>
      </c>
      <c r="U43" s="2" t="s">
        <v>1574</v>
      </c>
      <c r="V43" s="2" t="s">
        <v>1568</v>
      </c>
      <c r="W43" s="2" t="s">
        <v>1569</v>
      </c>
      <c r="X43" s="2" t="s">
        <v>1570</v>
      </c>
      <c r="AB43" s="2" t="s">
        <v>1571</v>
      </c>
    </row>
    <row r="44">
      <c r="A44" s="2" t="s">
        <v>1653</v>
      </c>
      <c r="B44" s="2">
        <v>15.0</v>
      </c>
      <c r="C44" s="2" t="s">
        <v>11</v>
      </c>
      <c r="D44" s="2" t="s">
        <v>1648</v>
      </c>
      <c r="E44" s="2">
        <v>7.0</v>
      </c>
      <c r="F44" s="2" t="s">
        <v>10</v>
      </c>
      <c r="G44" s="5">
        <v>2794138.0</v>
      </c>
      <c r="H44" s="2" t="s">
        <v>1575</v>
      </c>
      <c r="I44" s="2" t="s">
        <v>1572</v>
      </c>
      <c r="J44" s="2">
        <v>10107.0</v>
      </c>
      <c r="K44" s="2" t="s">
        <v>1584</v>
      </c>
      <c r="L44" s="2"/>
      <c r="M44" s="2"/>
      <c r="N44" s="7">
        <v>1.0</v>
      </c>
      <c r="O44" s="12">
        <v>26667.0</v>
      </c>
      <c r="P44" s="11" t="s">
        <v>1649</v>
      </c>
      <c r="Q44" s="12">
        <v>26667.0</v>
      </c>
      <c r="R44" s="11" t="s">
        <v>1649</v>
      </c>
      <c r="S44" s="11" t="s">
        <v>1674</v>
      </c>
      <c r="T44" s="11" t="s">
        <v>1675</v>
      </c>
      <c r="U44" s="2" t="s">
        <v>1574</v>
      </c>
      <c r="V44" s="2" t="s">
        <v>1568</v>
      </c>
      <c r="W44" s="2" t="s">
        <v>1569</v>
      </c>
      <c r="X44" s="2" t="s">
        <v>1570</v>
      </c>
      <c r="AB44" s="2" t="s">
        <v>1571</v>
      </c>
    </row>
    <row r="45">
      <c r="A45" s="2" t="s">
        <v>1653</v>
      </c>
      <c r="B45" s="2">
        <v>15.0</v>
      </c>
      <c r="C45" s="2" t="s">
        <v>11</v>
      </c>
      <c r="D45" s="2" t="s">
        <v>1648</v>
      </c>
      <c r="E45" s="2">
        <v>7.0</v>
      </c>
      <c r="F45" s="2" t="s">
        <v>10</v>
      </c>
      <c r="G45" s="5">
        <v>2794138.0</v>
      </c>
      <c r="H45" s="2" t="s">
        <v>1575</v>
      </c>
      <c r="I45" s="2" t="s">
        <v>1565</v>
      </c>
      <c r="J45" s="2">
        <v>10007.0</v>
      </c>
      <c r="K45" s="2" t="s">
        <v>1576</v>
      </c>
      <c r="L45" s="2"/>
      <c r="M45" s="2"/>
      <c r="N45" s="7">
        <v>2.0</v>
      </c>
      <c r="O45" s="12">
        <v>33810.0</v>
      </c>
      <c r="P45" s="11" t="s">
        <v>1649</v>
      </c>
      <c r="Q45" s="12">
        <v>33810.0</v>
      </c>
      <c r="R45" s="11" t="s">
        <v>1649</v>
      </c>
      <c r="S45" s="11" t="s">
        <v>1701</v>
      </c>
      <c r="T45" s="11" t="s">
        <v>1702</v>
      </c>
      <c r="U45" s="2" t="s">
        <v>1574</v>
      </c>
      <c r="V45" s="2" t="s">
        <v>1568</v>
      </c>
      <c r="W45" s="2" t="s">
        <v>1569</v>
      </c>
      <c r="X45" s="2" t="s">
        <v>1570</v>
      </c>
      <c r="AB45" s="2" t="s">
        <v>1571</v>
      </c>
    </row>
    <row r="46">
      <c r="A46" s="2" t="s">
        <v>1653</v>
      </c>
      <c r="B46" s="2">
        <v>15.0</v>
      </c>
      <c r="C46" s="2" t="s">
        <v>11</v>
      </c>
      <c r="D46" s="2" t="s">
        <v>1648</v>
      </c>
      <c r="E46" s="2">
        <v>7.0</v>
      </c>
      <c r="F46" s="2" t="s">
        <v>10</v>
      </c>
      <c r="G46" s="5">
        <v>2794138.0</v>
      </c>
      <c r="H46" s="2" t="s">
        <v>1575</v>
      </c>
      <c r="I46" s="2" t="s">
        <v>1565</v>
      </c>
      <c r="J46" s="2">
        <v>10055.0</v>
      </c>
      <c r="K46" s="2" t="s">
        <v>1595</v>
      </c>
      <c r="L46" s="2"/>
      <c r="M46" s="2"/>
      <c r="N46" s="7">
        <v>2.0</v>
      </c>
      <c r="O46" s="12">
        <v>34762.0</v>
      </c>
      <c r="P46" s="11" t="s">
        <v>1649</v>
      </c>
      <c r="Q46" s="12">
        <v>34762.0</v>
      </c>
      <c r="R46" s="11" t="s">
        <v>1649</v>
      </c>
      <c r="S46" s="11" t="s">
        <v>1670</v>
      </c>
      <c r="T46" s="11" t="s">
        <v>1671</v>
      </c>
      <c r="U46" s="2" t="s">
        <v>1574</v>
      </c>
      <c r="V46" s="2" t="s">
        <v>1568</v>
      </c>
      <c r="W46" s="2" t="s">
        <v>1569</v>
      </c>
      <c r="X46" s="2" t="s">
        <v>1570</v>
      </c>
      <c r="AB46" s="2" t="s">
        <v>1571</v>
      </c>
    </row>
    <row r="47">
      <c r="A47" s="2" t="s">
        <v>1653</v>
      </c>
      <c r="B47" s="2">
        <v>15.0</v>
      </c>
      <c r="C47" s="2" t="s">
        <v>11</v>
      </c>
      <c r="D47" s="2" t="s">
        <v>1648</v>
      </c>
      <c r="E47" s="2">
        <v>7.0</v>
      </c>
      <c r="F47" s="2" t="s">
        <v>10</v>
      </c>
      <c r="G47" s="5">
        <v>2793773.0</v>
      </c>
      <c r="H47" s="2" t="s">
        <v>1575</v>
      </c>
      <c r="I47" s="2" t="s">
        <v>1565</v>
      </c>
      <c r="J47" s="2">
        <v>10007.0</v>
      </c>
      <c r="K47" s="2" t="s">
        <v>1576</v>
      </c>
      <c r="L47" s="2"/>
      <c r="M47" s="2"/>
      <c r="N47" s="7">
        <v>2.0</v>
      </c>
      <c r="O47" s="12">
        <v>33810.0</v>
      </c>
      <c r="P47" s="11" t="s">
        <v>1649</v>
      </c>
      <c r="Q47" s="12">
        <v>33810.0</v>
      </c>
      <c r="R47" s="11" t="s">
        <v>1649</v>
      </c>
      <c r="S47" s="11" t="s">
        <v>1701</v>
      </c>
      <c r="T47" s="11" t="s">
        <v>1703</v>
      </c>
      <c r="U47" s="2" t="s">
        <v>1574</v>
      </c>
      <c r="V47" s="2" t="s">
        <v>1568</v>
      </c>
      <c r="W47" s="2" t="s">
        <v>1569</v>
      </c>
      <c r="X47" s="2" t="s">
        <v>1570</v>
      </c>
      <c r="AB47" s="2" t="s">
        <v>1571</v>
      </c>
    </row>
    <row r="48">
      <c r="A48" s="2" t="s">
        <v>1653</v>
      </c>
      <c r="B48" s="2">
        <v>15.0</v>
      </c>
      <c r="C48" s="2" t="s">
        <v>11</v>
      </c>
      <c r="D48" s="2" t="s">
        <v>1648</v>
      </c>
      <c r="E48" s="2">
        <v>7.0</v>
      </c>
      <c r="F48" s="2" t="s">
        <v>10</v>
      </c>
      <c r="G48" s="5">
        <v>2793773.0</v>
      </c>
      <c r="H48" s="2" t="s">
        <v>1575</v>
      </c>
      <c r="I48" s="2" t="s">
        <v>1565</v>
      </c>
      <c r="J48" s="2">
        <v>10055.0</v>
      </c>
      <c r="K48" s="2" t="s">
        <v>1595</v>
      </c>
      <c r="L48" s="2"/>
      <c r="M48" s="2"/>
      <c r="N48" s="7">
        <v>2.0</v>
      </c>
      <c r="O48" s="12">
        <v>34762.0</v>
      </c>
      <c r="P48" s="11" t="s">
        <v>1649</v>
      </c>
      <c r="Q48" s="12">
        <v>34762.0</v>
      </c>
      <c r="R48" s="11" t="s">
        <v>1649</v>
      </c>
      <c r="S48" s="11" t="s">
        <v>1670</v>
      </c>
      <c r="T48" s="11" t="s">
        <v>1671</v>
      </c>
      <c r="U48" s="2" t="s">
        <v>1574</v>
      </c>
      <c r="V48" s="2" t="s">
        <v>1568</v>
      </c>
      <c r="W48" s="2" t="s">
        <v>1569</v>
      </c>
      <c r="X48" s="2" t="s">
        <v>1570</v>
      </c>
      <c r="AB48" s="2" t="s">
        <v>1571</v>
      </c>
    </row>
    <row r="49">
      <c r="A49" s="2" t="s">
        <v>1653</v>
      </c>
      <c r="B49" s="2">
        <v>15.0</v>
      </c>
      <c r="C49" s="2" t="s">
        <v>11</v>
      </c>
      <c r="D49" s="2" t="s">
        <v>1648</v>
      </c>
      <c r="E49" s="2">
        <v>7.0</v>
      </c>
      <c r="F49" s="2" t="s">
        <v>10</v>
      </c>
      <c r="G49" s="5">
        <v>2793773.0</v>
      </c>
      <c r="H49" s="2" t="s">
        <v>1575</v>
      </c>
      <c r="I49" s="2" t="s">
        <v>1572</v>
      </c>
      <c r="J49" s="2">
        <v>10107.0</v>
      </c>
      <c r="K49" s="2" t="s">
        <v>1584</v>
      </c>
      <c r="L49" s="2"/>
      <c r="M49" s="2"/>
      <c r="N49" s="7">
        <v>1.0</v>
      </c>
      <c r="O49" s="12">
        <v>26667.0</v>
      </c>
      <c r="P49" s="11" t="s">
        <v>1649</v>
      </c>
      <c r="Q49" s="12">
        <v>26667.0</v>
      </c>
      <c r="R49" s="11" t="s">
        <v>1649</v>
      </c>
      <c r="S49" s="11" t="s">
        <v>1674</v>
      </c>
      <c r="T49" s="11" t="s">
        <v>1679</v>
      </c>
      <c r="U49" s="2" t="s">
        <v>1574</v>
      </c>
      <c r="V49" s="2" t="s">
        <v>1568</v>
      </c>
      <c r="W49" s="2" t="s">
        <v>1569</v>
      </c>
      <c r="X49" s="2" t="s">
        <v>1570</v>
      </c>
      <c r="AB49" s="2" t="s">
        <v>1571</v>
      </c>
    </row>
    <row r="50">
      <c r="A50" s="2" t="s">
        <v>1653</v>
      </c>
      <c r="B50" s="2">
        <v>15.0</v>
      </c>
      <c r="C50" s="2" t="s">
        <v>11</v>
      </c>
      <c r="D50" s="2" t="s">
        <v>1648</v>
      </c>
      <c r="E50" s="2">
        <v>7.0</v>
      </c>
      <c r="F50" s="2" t="s">
        <v>10</v>
      </c>
      <c r="G50" s="5">
        <v>2793773.0</v>
      </c>
      <c r="H50" s="2" t="s">
        <v>1575</v>
      </c>
      <c r="I50" s="2" t="s">
        <v>1572</v>
      </c>
      <c r="J50" s="2">
        <v>10106.0</v>
      </c>
      <c r="K50" s="2" t="s">
        <v>1598</v>
      </c>
      <c r="L50" s="2"/>
      <c r="M50" s="2"/>
      <c r="N50" s="7">
        <v>1.0</v>
      </c>
      <c r="O50" s="12">
        <v>26667.0</v>
      </c>
      <c r="P50" s="11" t="s">
        <v>1649</v>
      </c>
      <c r="Q50" s="12">
        <v>26667.0</v>
      </c>
      <c r="R50" s="11" t="s">
        <v>1649</v>
      </c>
      <c r="S50" s="11" t="s">
        <v>1674</v>
      </c>
      <c r="T50" s="11" t="s">
        <v>1679</v>
      </c>
      <c r="U50" s="2" t="s">
        <v>1574</v>
      </c>
      <c r="V50" s="2" t="s">
        <v>1568</v>
      </c>
      <c r="W50" s="2" t="s">
        <v>1569</v>
      </c>
      <c r="X50" s="2" t="s">
        <v>1570</v>
      </c>
      <c r="AB50" s="2" t="s">
        <v>1571</v>
      </c>
    </row>
    <row r="51">
      <c r="A51" s="2" t="s">
        <v>1653</v>
      </c>
      <c r="B51" s="2">
        <v>14.0</v>
      </c>
      <c r="C51" s="2" t="s">
        <v>11</v>
      </c>
      <c r="D51" s="2" t="s">
        <v>1648</v>
      </c>
      <c r="E51" s="2">
        <v>7.0</v>
      </c>
      <c r="F51" s="2" t="s">
        <v>10</v>
      </c>
      <c r="G51" s="5">
        <v>2793407.0</v>
      </c>
      <c r="H51" s="2" t="s">
        <v>1564</v>
      </c>
      <c r="I51" s="2" t="s">
        <v>1565</v>
      </c>
      <c r="J51" s="2">
        <v>10007.0</v>
      </c>
      <c r="K51" s="2" t="s">
        <v>1576</v>
      </c>
      <c r="L51" s="2"/>
      <c r="M51" s="2"/>
      <c r="N51" s="7">
        <v>2.0</v>
      </c>
      <c r="O51" s="12">
        <v>-33810.0</v>
      </c>
      <c r="P51" s="11" t="s">
        <v>1649</v>
      </c>
      <c r="Q51" s="12">
        <v>-33810.0</v>
      </c>
      <c r="R51" s="11" t="s">
        <v>1650</v>
      </c>
      <c r="S51" s="11" t="s">
        <v>1695</v>
      </c>
      <c r="T51" s="11" t="s">
        <v>1696</v>
      </c>
      <c r="U51" s="2" t="s">
        <v>1567</v>
      </c>
      <c r="V51" s="2" t="s">
        <v>1568</v>
      </c>
      <c r="W51" s="2" t="s">
        <v>1569</v>
      </c>
      <c r="X51" s="2" t="s">
        <v>1570</v>
      </c>
      <c r="AB51" s="2" t="s">
        <v>1571</v>
      </c>
    </row>
    <row r="52">
      <c r="A52" s="2" t="s">
        <v>1653</v>
      </c>
      <c r="B52" s="2">
        <v>14.0</v>
      </c>
      <c r="C52" s="2" t="s">
        <v>11</v>
      </c>
      <c r="D52" s="2" t="s">
        <v>1648</v>
      </c>
      <c r="E52" s="2">
        <v>7.0</v>
      </c>
      <c r="F52" s="2" t="s">
        <v>10</v>
      </c>
      <c r="G52" s="5">
        <v>2793407.0</v>
      </c>
      <c r="H52" s="2" t="s">
        <v>1564</v>
      </c>
      <c r="I52" s="2" t="s">
        <v>1565</v>
      </c>
      <c r="J52" s="2">
        <v>10005.0</v>
      </c>
      <c r="K52" s="2" t="s">
        <v>1595</v>
      </c>
      <c r="L52" s="2"/>
      <c r="M52" s="2"/>
      <c r="N52" s="7">
        <v>-1.0</v>
      </c>
      <c r="O52" s="12">
        <v>-19524.0</v>
      </c>
      <c r="P52" s="11" t="s">
        <v>1649</v>
      </c>
      <c r="Q52" s="12">
        <v>-19524.0</v>
      </c>
      <c r="R52" s="11" t="s">
        <v>1650</v>
      </c>
      <c r="S52" s="11" t="s">
        <v>1704</v>
      </c>
      <c r="T52" s="11" t="s">
        <v>1705</v>
      </c>
      <c r="U52" s="2" t="s">
        <v>1567</v>
      </c>
      <c r="V52" s="2" t="s">
        <v>1568</v>
      </c>
      <c r="W52" s="2" t="s">
        <v>1569</v>
      </c>
      <c r="X52" s="2" t="s">
        <v>1570</v>
      </c>
      <c r="AB52" s="2" t="s">
        <v>1571</v>
      </c>
    </row>
    <row r="53">
      <c r="A53" s="2" t="s">
        <v>1653</v>
      </c>
      <c r="B53" s="2">
        <v>14.0</v>
      </c>
      <c r="C53" s="2" t="s">
        <v>11</v>
      </c>
      <c r="D53" s="2" t="s">
        <v>1648</v>
      </c>
      <c r="E53" s="2">
        <v>7.0</v>
      </c>
      <c r="F53" s="2" t="s">
        <v>10</v>
      </c>
      <c r="G53" s="5">
        <v>2793407.0</v>
      </c>
      <c r="H53" s="2" t="s">
        <v>1564</v>
      </c>
      <c r="I53" s="2" t="s">
        <v>1572</v>
      </c>
      <c r="J53" s="2">
        <v>10013.0</v>
      </c>
      <c r="K53" s="2" t="s">
        <v>1591</v>
      </c>
      <c r="L53" s="2"/>
      <c r="M53" s="2"/>
      <c r="N53" s="7">
        <v>-1.0</v>
      </c>
      <c r="O53" s="12">
        <v>-23333.0</v>
      </c>
      <c r="P53" s="11" t="s">
        <v>1649</v>
      </c>
      <c r="Q53" s="12">
        <v>-23333.0</v>
      </c>
      <c r="R53" s="11" t="s">
        <v>1650</v>
      </c>
      <c r="S53" s="11" t="s">
        <v>1706</v>
      </c>
      <c r="T53" s="11" t="s">
        <v>1707</v>
      </c>
      <c r="U53" s="2" t="s">
        <v>1567</v>
      </c>
      <c r="V53" s="2" t="s">
        <v>1568</v>
      </c>
      <c r="W53" s="2" t="s">
        <v>1569</v>
      </c>
      <c r="X53" s="2" t="s">
        <v>1570</v>
      </c>
      <c r="AB53" s="2" t="s">
        <v>1571</v>
      </c>
    </row>
    <row r="54">
      <c r="A54" s="2" t="s">
        <v>1653</v>
      </c>
      <c r="B54" s="2">
        <v>14.0</v>
      </c>
      <c r="C54" s="2" t="s">
        <v>11</v>
      </c>
      <c r="D54" s="2" t="s">
        <v>1648</v>
      </c>
      <c r="E54" s="2">
        <v>7.0</v>
      </c>
      <c r="F54" s="2" t="s">
        <v>10</v>
      </c>
      <c r="G54" s="5">
        <v>2793042.0</v>
      </c>
      <c r="H54" s="2" t="s">
        <v>1575</v>
      </c>
      <c r="I54" s="2" t="s">
        <v>1565</v>
      </c>
      <c r="J54" s="2">
        <v>10055.0</v>
      </c>
      <c r="K54" s="2" t="s">
        <v>1595</v>
      </c>
      <c r="L54" s="2"/>
      <c r="M54" s="2"/>
      <c r="N54" s="7">
        <v>2.0</v>
      </c>
      <c r="O54" s="12">
        <v>34762.0</v>
      </c>
      <c r="P54" s="11" t="s">
        <v>1649</v>
      </c>
      <c r="Q54" s="12">
        <v>34762.0</v>
      </c>
      <c r="R54" s="11" t="s">
        <v>1649</v>
      </c>
      <c r="S54" s="11" t="s">
        <v>1670</v>
      </c>
      <c r="T54" s="11" t="s">
        <v>1671</v>
      </c>
      <c r="U54" s="2" t="s">
        <v>1574</v>
      </c>
      <c r="V54" s="2" t="s">
        <v>1568</v>
      </c>
      <c r="W54" s="2" t="s">
        <v>1569</v>
      </c>
      <c r="X54" s="2" t="s">
        <v>1570</v>
      </c>
      <c r="AB54" s="2" t="s">
        <v>1571</v>
      </c>
    </row>
    <row r="55">
      <c r="A55" s="2" t="s">
        <v>1653</v>
      </c>
      <c r="B55" s="2">
        <v>14.0</v>
      </c>
      <c r="C55" s="2" t="s">
        <v>11</v>
      </c>
      <c r="D55" s="2" t="s">
        <v>1648</v>
      </c>
      <c r="E55" s="2">
        <v>7.0</v>
      </c>
      <c r="F55" s="2" t="s">
        <v>10</v>
      </c>
      <c r="G55" s="5">
        <v>2793042.0</v>
      </c>
      <c r="H55" s="2" t="s">
        <v>1575</v>
      </c>
      <c r="I55" s="2" t="s">
        <v>1578</v>
      </c>
      <c r="J55" s="2">
        <v>10009.0</v>
      </c>
      <c r="K55" s="2" t="s">
        <v>1586</v>
      </c>
      <c r="L55" s="2"/>
      <c r="M55" s="2"/>
      <c r="N55" s="7">
        <v>1.0</v>
      </c>
      <c r="O55" s="12">
        <v>26667.0</v>
      </c>
      <c r="P55" s="11" t="s">
        <v>1649</v>
      </c>
      <c r="Q55" s="12">
        <v>26667.0</v>
      </c>
      <c r="R55" s="11" t="s">
        <v>1649</v>
      </c>
      <c r="S55" s="11" t="s">
        <v>1674</v>
      </c>
      <c r="T55" s="11" t="s">
        <v>1679</v>
      </c>
      <c r="U55" s="2" t="s">
        <v>1574</v>
      </c>
      <c r="V55" s="2" t="s">
        <v>1568</v>
      </c>
      <c r="W55" s="2" t="s">
        <v>1569</v>
      </c>
      <c r="X55" s="2" t="s">
        <v>1570</v>
      </c>
      <c r="AB55" s="2" t="s">
        <v>1571</v>
      </c>
    </row>
    <row r="56">
      <c r="A56" s="2" t="s">
        <v>1653</v>
      </c>
      <c r="B56" s="2">
        <v>14.0</v>
      </c>
      <c r="C56" s="2" t="s">
        <v>11</v>
      </c>
      <c r="D56" s="2" t="s">
        <v>1648</v>
      </c>
      <c r="E56" s="2">
        <v>7.0</v>
      </c>
      <c r="F56" s="2" t="s">
        <v>10</v>
      </c>
      <c r="G56" s="5">
        <v>2793042.0</v>
      </c>
      <c r="H56" s="2" t="s">
        <v>1575</v>
      </c>
      <c r="I56" s="2" t="s">
        <v>1572</v>
      </c>
      <c r="J56" s="2">
        <v>10117.0</v>
      </c>
      <c r="K56" s="2" t="s">
        <v>1589</v>
      </c>
      <c r="L56" s="2"/>
      <c r="M56" s="2"/>
      <c r="N56" s="7">
        <v>1.0</v>
      </c>
      <c r="O56" s="12">
        <v>14286.0</v>
      </c>
      <c r="P56" s="11" t="s">
        <v>1649</v>
      </c>
      <c r="Q56" s="12">
        <v>14286.0</v>
      </c>
      <c r="R56" s="11" t="s">
        <v>1649</v>
      </c>
      <c r="S56" s="11" t="s">
        <v>1685</v>
      </c>
      <c r="T56" s="11" t="s">
        <v>1708</v>
      </c>
      <c r="U56" s="2" t="s">
        <v>1574</v>
      </c>
      <c r="V56" s="2" t="s">
        <v>1568</v>
      </c>
      <c r="W56" s="2" t="s">
        <v>1569</v>
      </c>
      <c r="X56" s="2" t="s">
        <v>1570</v>
      </c>
      <c r="AB56" s="2" t="s">
        <v>1571</v>
      </c>
    </row>
    <row r="57">
      <c r="A57" s="2" t="s">
        <v>1653</v>
      </c>
      <c r="B57" s="2">
        <v>14.0</v>
      </c>
      <c r="C57" s="2" t="s">
        <v>11</v>
      </c>
      <c r="D57" s="2" t="s">
        <v>1648</v>
      </c>
      <c r="E57" s="2">
        <v>7.0</v>
      </c>
      <c r="F57" s="2" t="s">
        <v>10</v>
      </c>
      <c r="G57" s="5">
        <v>2793042.0</v>
      </c>
      <c r="H57" s="2" t="s">
        <v>1575</v>
      </c>
      <c r="I57" s="2" t="s">
        <v>1572</v>
      </c>
      <c r="J57" s="2">
        <v>10123.0</v>
      </c>
      <c r="K57" s="2" t="s">
        <v>1599</v>
      </c>
      <c r="L57" s="2"/>
      <c r="M57" s="2"/>
      <c r="N57" s="7">
        <v>1.0</v>
      </c>
      <c r="O57" s="12">
        <v>21905.0</v>
      </c>
      <c r="P57" s="11" t="s">
        <v>1649</v>
      </c>
      <c r="Q57" s="12">
        <v>21905.0</v>
      </c>
      <c r="R57" s="11" t="s">
        <v>1649</v>
      </c>
      <c r="S57" s="11" t="s">
        <v>1666</v>
      </c>
      <c r="T57" s="11" t="s">
        <v>1667</v>
      </c>
      <c r="U57" s="2" t="s">
        <v>1574</v>
      </c>
      <c r="V57" s="2" t="s">
        <v>1568</v>
      </c>
      <c r="W57" s="2" t="s">
        <v>1569</v>
      </c>
      <c r="X57" s="2" t="s">
        <v>1570</v>
      </c>
      <c r="AB57" s="2" t="s">
        <v>1571</v>
      </c>
    </row>
    <row r="58">
      <c r="A58" s="2" t="s">
        <v>1653</v>
      </c>
      <c r="B58" s="2">
        <v>14.0</v>
      </c>
      <c r="C58" s="2" t="s">
        <v>11</v>
      </c>
      <c r="D58" s="2" t="s">
        <v>1648</v>
      </c>
      <c r="E58" s="2">
        <v>7.0</v>
      </c>
      <c r="F58" s="2" t="s">
        <v>10</v>
      </c>
      <c r="G58" s="5">
        <v>2793042.0</v>
      </c>
      <c r="H58" s="2" t="s">
        <v>1575</v>
      </c>
      <c r="I58" s="2" t="s">
        <v>1572</v>
      </c>
      <c r="J58" s="2">
        <v>10126.0</v>
      </c>
      <c r="K58" s="2" t="s">
        <v>1600</v>
      </c>
      <c r="L58" s="2"/>
      <c r="M58" s="2"/>
      <c r="N58" s="7">
        <v>1.0</v>
      </c>
      <c r="O58" s="12">
        <v>23810.0</v>
      </c>
      <c r="P58" s="11" t="s">
        <v>1649</v>
      </c>
      <c r="Q58" s="12">
        <v>23810.0</v>
      </c>
      <c r="R58" s="11" t="s">
        <v>1649</v>
      </c>
      <c r="S58" s="11" t="s">
        <v>1709</v>
      </c>
      <c r="T58" s="11" t="s">
        <v>1710</v>
      </c>
      <c r="U58" s="2" t="s">
        <v>1574</v>
      </c>
      <c r="V58" s="2" t="s">
        <v>1568</v>
      </c>
      <c r="W58" s="2" t="s">
        <v>1569</v>
      </c>
      <c r="X58" s="2" t="s">
        <v>1570</v>
      </c>
      <c r="AB58" s="2" t="s">
        <v>1571</v>
      </c>
    </row>
    <row r="59">
      <c r="A59" s="2" t="s">
        <v>1653</v>
      </c>
      <c r="B59" s="2">
        <v>14.0</v>
      </c>
      <c r="C59" s="2" t="s">
        <v>11</v>
      </c>
      <c r="D59" s="2" t="s">
        <v>1648</v>
      </c>
      <c r="E59" s="2">
        <v>7.0</v>
      </c>
      <c r="F59" s="2" t="s">
        <v>10</v>
      </c>
      <c r="G59" s="5">
        <v>2792677.0</v>
      </c>
      <c r="H59" s="2" t="s">
        <v>1564</v>
      </c>
      <c r="I59" s="2" t="s">
        <v>1572</v>
      </c>
      <c r="J59" s="2">
        <v>10125.0</v>
      </c>
      <c r="K59" s="2" t="s">
        <v>1601</v>
      </c>
      <c r="L59" s="2"/>
      <c r="M59" s="2"/>
      <c r="N59" s="7">
        <v>-1.0</v>
      </c>
      <c r="O59" s="12">
        <v>-20476.0</v>
      </c>
      <c r="P59" s="11" t="s">
        <v>1649</v>
      </c>
      <c r="Q59" s="12">
        <v>-20476.0</v>
      </c>
      <c r="R59" s="11" t="s">
        <v>1650</v>
      </c>
      <c r="S59" s="11" t="s">
        <v>1711</v>
      </c>
      <c r="T59" s="11" t="s">
        <v>1712</v>
      </c>
      <c r="U59" s="2" t="s">
        <v>1574</v>
      </c>
      <c r="V59" s="2" t="s">
        <v>1568</v>
      </c>
      <c r="W59" s="2" t="s">
        <v>1569</v>
      </c>
      <c r="X59" s="2" t="s">
        <v>1570</v>
      </c>
      <c r="AB59" s="2" t="s">
        <v>1571</v>
      </c>
    </row>
    <row r="60">
      <c r="A60" s="2" t="s">
        <v>1653</v>
      </c>
      <c r="B60" s="2">
        <v>14.0</v>
      </c>
      <c r="C60" s="2" t="s">
        <v>11</v>
      </c>
      <c r="D60" s="2" t="s">
        <v>1648</v>
      </c>
      <c r="E60" s="2">
        <v>7.0</v>
      </c>
      <c r="F60" s="2" t="s">
        <v>10</v>
      </c>
      <c r="G60" s="5">
        <v>2792677.0</v>
      </c>
      <c r="H60" s="2" t="s">
        <v>1564</v>
      </c>
      <c r="I60" s="2" t="s">
        <v>1572</v>
      </c>
      <c r="J60" s="2">
        <v>10128.0</v>
      </c>
      <c r="K60" s="2" t="s">
        <v>1588</v>
      </c>
      <c r="L60" s="2"/>
      <c r="M60" s="2"/>
      <c r="N60" s="7">
        <v>-1.0</v>
      </c>
      <c r="O60" s="12">
        <v>-23333.0</v>
      </c>
      <c r="P60" s="11" t="s">
        <v>1649</v>
      </c>
      <c r="Q60" s="12">
        <v>-23333.0</v>
      </c>
      <c r="R60" s="11" t="s">
        <v>1650</v>
      </c>
      <c r="S60" s="11" t="s">
        <v>1706</v>
      </c>
      <c r="T60" s="11" t="s">
        <v>1707</v>
      </c>
      <c r="U60" s="2" t="s">
        <v>1574</v>
      </c>
      <c r="V60" s="2" t="s">
        <v>1568</v>
      </c>
      <c r="W60" s="2" t="s">
        <v>1569</v>
      </c>
      <c r="X60" s="2" t="s">
        <v>1570</v>
      </c>
      <c r="AB60" s="2" t="s">
        <v>1571</v>
      </c>
    </row>
    <row r="61">
      <c r="A61" s="2" t="s">
        <v>1653</v>
      </c>
      <c r="B61" s="2">
        <v>14.0</v>
      </c>
      <c r="C61" s="2" t="s">
        <v>11</v>
      </c>
      <c r="D61" s="2" t="s">
        <v>1648</v>
      </c>
      <c r="E61" s="2">
        <v>7.0</v>
      </c>
      <c r="F61" s="2" t="s">
        <v>10</v>
      </c>
      <c r="G61" s="5">
        <v>2792677.0</v>
      </c>
      <c r="H61" s="2" t="s">
        <v>1564</v>
      </c>
      <c r="I61" s="2" t="s">
        <v>1565</v>
      </c>
      <c r="J61" s="2">
        <v>10055.0</v>
      </c>
      <c r="K61" s="2" t="s">
        <v>1595</v>
      </c>
      <c r="L61" s="2"/>
      <c r="M61" s="2"/>
      <c r="N61" s="7">
        <v>2.0</v>
      </c>
      <c r="O61" s="12">
        <v>-69524.0</v>
      </c>
      <c r="P61" s="11" t="s">
        <v>1649</v>
      </c>
      <c r="Q61" s="12">
        <v>-69524.0</v>
      </c>
      <c r="R61" s="11" t="s">
        <v>1650</v>
      </c>
      <c r="S61" s="11" t="s">
        <v>1713</v>
      </c>
      <c r="T61" s="11" t="s">
        <v>1714</v>
      </c>
      <c r="U61" s="2" t="s">
        <v>1574</v>
      </c>
      <c r="V61" s="2" t="s">
        <v>1568</v>
      </c>
      <c r="W61" s="2" t="s">
        <v>1569</v>
      </c>
      <c r="X61" s="2" t="s">
        <v>1570</v>
      </c>
      <c r="AB61" s="2" t="s">
        <v>1571</v>
      </c>
    </row>
    <row r="62">
      <c r="A62" s="2" t="s">
        <v>1653</v>
      </c>
      <c r="B62" s="2">
        <v>14.0</v>
      </c>
      <c r="C62" s="2" t="s">
        <v>11</v>
      </c>
      <c r="D62" s="2" t="s">
        <v>1648</v>
      </c>
      <c r="E62" s="2">
        <v>7.0</v>
      </c>
      <c r="F62" s="2" t="s">
        <v>10</v>
      </c>
      <c r="G62" s="5">
        <v>2792312.0</v>
      </c>
      <c r="H62" s="2" t="s">
        <v>1575</v>
      </c>
      <c r="I62" s="2" t="s">
        <v>1565</v>
      </c>
      <c r="J62" s="2">
        <v>10002.0</v>
      </c>
      <c r="K62" s="2" t="s">
        <v>1576</v>
      </c>
      <c r="L62" s="2"/>
      <c r="M62" s="2"/>
      <c r="N62" s="7">
        <v>1.0</v>
      </c>
      <c r="O62" s="12">
        <v>18571.0</v>
      </c>
      <c r="P62" s="11" t="s">
        <v>1649</v>
      </c>
      <c r="Q62" s="12">
        <v>18571.0</v>
      </c>
      <c r="R62" s="11" t="s">
        <v>1649</v>
      </c>
      <c r="S62" s="11" t="s">
        <v>1656</v>
      </c>
      <c r="T62" s="11" t="s">
        <v>1657</v>
      </c>
      <c r="U62" s="2" t="s">
        <v>1574</v>
      </c>
      <c r="V62" s="2" t="s">
        <v>1568</v>
      </c>
      <c r="W62" s="2" t="s">
        <v>1569</v>
      </c>
      <c r="X62" s="2" t="s">
        <v>1570</v>
      </c>
      <c r="AB62" s="2" t="s">
        <v>1571</v>
      </c>
    </row>
    <row r="63">
      <c r="A63" s="2" t="s">
        <v>1653</v>
      </c>
      <c r="B63" s="2">
        <v>14.0</v>
      </c>
      <c r="C63" s="2" t="s">
        <v>11</v>
      </c>
      <c r="D63" s="2" t="s">
        <v>1648</v>
      </c>
      <c r="E63" s="2">
        <v>7.0</v>
      </c>
      <c r="F63" s="2" t="s">
        <v>10</v>
      </c>
      <c r="G63" s="5">
        <v>2792312.0</v>
      </c>
      <c r="H63" s="2" t="s">
        <v>1575</v>
      </c>
      <c r="I63" s="2" t="s">
        <v>1565</v>
      </c>
      <c r="J63" s="2">
        <v>10005.0</v>
      </c>
      <c r="K63" s="2" t="s">
        <v>1595</v>
      </c>
      <c r="L63" s="2"/>
      <c r="M63" s="2"/>
      <c r="N63" s="7">
        <v>1.0</v>
      </c>
      <c r="O63" s="12">
        <v>19524.0</v>
      </c>
      <c r="P63" s="11" t="s">
        <v>1649</v>
      </c>
      <c r="Q63" s="12">
        <v>19524.0</v>
      </c>
      <c r="R63" s="11" t="s">
        <v>1649</v>
      </c>
      <c r="S63" s="11" t="s">
        <v>1676</v>
      </c>
      <c r="T63" s="11" t="s">
        <v>1677</v>
      </c>
      <c r="U63" s="2" t="s">
        <v>1574</v>
      </c>
      <c r="V63" s="2" t="s">
        <v>1568</v>
      </c>
      <c r="W63" s="2" t="s">
        <v>1569</v>
      </c>
      <c r="X63" s="2" t="s">
        <v>1570</v>
      </c>
      <c r="AB63" s="2" t="s">
        <v>1571</v>
      </c>
    </row>
    <row r="64">
      <c r="A64" s="2" t="s">
        <v>1653</v>
      </c>
      <c r="B64" s="2">
        <v>14.0</v>
      </c>
      <c r="C64" s="2" t="s">
        <v>11</v>
      </c>
      <c r="D64" s="2" t="s">
        <v>1648</v>
      </c>
      <c r="E64" s="2">
        <v>7.0</v>
      </c>
      <c r="F64" s="2" t="s">
        <v>10</v>
      </c>
      <c r="G64" s="5">
        <v>2792312.0</v>
      </c>
      <c r="H64" s="2" t="s">
        <v>1575</v>
      </c>
      <c r="I64" s="2" t="s">
        <v>1572</v>
      </c>
      <c r="J64" s="2">
        <v>10128.0</v>
      </c>
      <c r="K64" s="2" t="s">
        <v>1588</v>
      </c>
      <c r="L64" s="2"/>
      <c r="M64" s="2"/>
      <c r="N64" s="7">
        <v>1.0</v>
      </c>
      <c r="O64" s="12">
        <v>23333.0</v>
      </c>
      <c r="P64" s="11" t="s">
        <v>1649</v>
      </c>
      <c r="Q64" s="12">
        <v>23333.0</v>
      </c>
      <c r="R64" s="11" t="s">
        <v>1649</v>
      </c>
      <c r="S64" s="11" t="s">
        <v>1681</v>
      </c>
      <c r="T64" s="11" t="s">
        <v>1715</v>
      </c>
      <c r="U64" s="2" t="s">
        <v>1574</v>
      </c>
      <c r="V64" s="2" t="s">
        <v>1568</v>
      </c>
      <c r="W64" s="2" t="s">
        <v>1569</v>
      </c>
      <c r="X64" s="2" t="s">
        <v>1570</v>
      </c>
      <c r="AB64" s="2" t="s">
        <v>1571</v>
      </c>
    </row>
    <row r="65">
      <c r="A65" s="2" t="s">
        <v>1653</v>
      </c>
      <c r="B65" s="2">
        <v>14.0</v>
      </c>
      <c r="C65" s="2" t="s">
        <v>11</v>
      </c>
      <c r="D65" s="2" t="s">
        <v>1648</v>
      </c>
      <c r="E65" s="2">
        <v>7.0</v>
      </c>
      <c r="F65" s="2" t="s">
        <v>10</v>
      </c>
      <c r="G65" s="5">
        <v>2792312.0</v>
      </c>
      <c r="H65" s="2" t="s">
        <v>1575</v>
      </c>
      <c r="I65" s="2" t="s">
        <v>1572</v>
      </c>
      <c r="J65" s="2">
        <v>10125.0</v>
      </c>
      <c r="K65" s="2" t="s">
        <v>1601</v>
      </c>
      <c r="L65" s="2"/>
      <c r="M65" s="2"/>
      <c r="N65" s="7">
        <v>1.0</v>
      </c>
      <c r="O65" s="12">
        <v>20476.0</v>
      </c>
      <c r="P65" s="11" t="s">
        <v>1649</v>
      </c>
      <c r="Q65" s="12">
        <v>20476.0</v>
      </c>
      <c r="R65" s="11" t="s">
        <v>1649</v>
      </c>
      <c r="S65" s="11" t="s">
        <v>1716</v>
      </c>
      <c r="T65" s="11" t="s">
        <v>1717</v>
      </c>
      <c r="U65" s="2" t="s">
        <v>1574</v>
      </c>
      <c r="V65" s="2" t="s">
        <v>1568</v>
      </c>
      <c r="W65" s="2" t="s">
        <v>1569</v>
      </c>
      <c r="X65" s="2" t="s">
        <v>1570</v>
      </c>
      <c r="AB65" s="2" t="s">
        <v>1571</v>
      </c>
    </row>
    <row r="66">
      <c r="A66" s="2" t="s">
        <v>1653</v>
      </c>
      <c r="B66" s="2">
        <v>14.0</v>
      </c>
      <c r="C66" s="2" t="s">
        <v>11</v>
      </c>
      <c r="D66" s="2" t="s">
        <v>1648</v>
      </c>
      <c r="E66" s="2">
        <v>7.0</v>
      </c>
      <c r="F66" s="2" t="s">
        <v>10</v>
      </c>
      <c r="G66" s="5">
        <v>2791946.0</v>
      </c>
      <c r="H66" s="2" t="s">
        <v>1575</v>
      </c>
      <c r="I66" s="2" t="s">
        <v>1572</v>
      </c>
      <c r="J66" s="2">
        <v>10125.0</v>
      </c>
      <c r="K66" s="2" t="s">
        <v>1601</v>
      </c>
      <c r="L66" s="2"/>
      <c r="M66" s="2"/>
      <c r="N66" s="7">
        <v>1.0</v>
      </c>
      <c r="O66" s="12">
        <v>20476.0</v>
      </c>
      <c r="P66" s="11" t="s">
        <v>1649</v>
      </c>
      <c r="Q66" s="12">
        <v>20476.0</v>
      </c>
      <c r="R66" s="11" t="s">
        <v>1649</v>
      </c>
      <c r="S66" s="11" t="s">
        <v>1716</v>
      </c>
      <c r="T66" s="11" t="s">
        <v>1717</v>
      </c>
      <c r="U66" s="2" t="s">
        <v>1574</v>
      </c>
      <c r="V66" s="2" t="s">
        <v>1568</v>
      </c>
      <c r="W66" s="2" t="s">
        <v>1569</v>
      </c>
      <c r="X66" s="2" t="s">
        <v>1570</v>
      </c>
      <c r="AB66" s="2" t="s">
        <v>1571</v>
      </c>
    </row>
    <row r="67">
      <c r="A67" s="2" t="s">
        <v>1653</v>
      </c>
      <c r="B67" s="2">
        <v>14.0</v>
      </c>
      <c r="C67" s="2" t="s">
        <v>11</v>
      </c>
      <c r="D67" s="2" t="s">
        <v>1648</v>
      </c>
      <c r="E67" s="2">
        <v>7.0</v>
      </c>
      <c r="F67" s="2" t="s">
        <v>10</v>
      </c>
      <c r="G67" s="5">
        <v>2791946.0</v>
      </c>
      <c r="H67" s="2" t="s">
        <v>1575</v>
      </c>
      <c r="I67" s="2" t="s">
        <v>1572</v>
      </c>
      <c r="J67" s="2">
        <v>10128.0</v>
      </c>
      <c r="K67" s="2" t="s">
        <v>1588</v>
      </c>
      <c r="L67" s="2"/>
      <c r="M67" s="2"/>
      <c r="N67" s="7">
        <v>1.0</v>
      </c>
      <c r="O67" s="12">
        <v>23333.0</v>
      </c>
      <c r="P67" s="11" t="s">
        <v>1649</v>
      </c>
      <c r="Q67" s="12">
        <v>23333.0</v>
      </c>
      <c r="R67" s="11" t="s">
        <v>1649</v>
      </c>
      <c r="S67" s="11" t="s">
        <v>1681</v>
      </c>
      <c r="T67" s="11" t="s">
        <v>1715</v>
      </c>
      <c r="U67" s="2" t="s">
        <v>1574</v>
      </c>
      <c r="V67" s="2" t="s">
        <v>1568</v>
      </c>
      <c r="W67" s="2" t="s">
        <v>1569</v>
      </c>
      <c r="X67" s="2" t="s">
        <v>1570</v>
      </c>
      <c r="AB67" s="2" t="s">
        <v>1571</v>
      </c>
    </row>
    <row r="68">
      <c r="A68" s="2" t="s">
        <v>1653</v>
      </c>
      <c r="B68" s="2">
        <v>14.0</v>
      </c>
      <c r="C68" s="2" t="s">
        <v>11</v>
      </c>
      <c r="D68" s="2" t="s">
        <v>1648</v>
      </c>
      <c r="E68" s="2">
        <v>7.0</v>
      </c>
      <c r="F68" s="2" t="s">
        <v>10</v>
      </c>
      <c r="G68" s="5">
        <v>2791946.0</v>
      </c>
      <c r="H68" s="2" t="s">
        <v>1575</v>
      </c>
      <c r="I68" s="2" t="s">
        <v>1565</v>
      </c>
      <c r="J68" s="2">
        <v>10055.0</v>
      </c>
      <c r="K68" s="2" t="s">
        <v>1595</v>
      </c>
      <c r="L68" s="2"/>
      <c r="M68" s="2"/>
      <c r="N68" s="7">
        <v>2.0</v>
      </c>
      <c r="O68" s="12">
        <v>69524.0</v>
      </c>
      <c r="P68" s="11" t="s">
        <v>1649</v>
      </c>
      <c r="Q68" s="12">
        <v>69524.0</v>
      </c>
      <c r="R68" s="11" t="s">
        <v>1649</v>
      </c>
      <c r="S68" s="11" t="s">
        <v>1718</v>
      </c>
      <c r="T68" s="11" t="s">
        <v>1719</v>
      </c>
      <c r="U68" s="2" t="s">
        <v>1574</v>
      </c>
      <c r="V68" s="2" t="s">
        <v>1568</v>
      </c>
      <c r="W68" s="2" t="s">
        <v>1569</v>
      </c>
      <c r="X68" s="2" t="s">
        <v>1570</v>
      </c>
      <c r="AB68" s="2" t="s">
        <v>1571</v>
      </c>
    </row>
    <row r="69">
      <c r="A69" s="2" t="s">
        <v>1653</v>
      </c>
      <c r="B69" s="2">
        <v>13.0</v>
      </c>
      <c r="C69" s="2" t="s">
        <v>11</v>
      </c>
      <c r="D69" s="2" t="s">
        <v>1648</v>
      </c>
      <c r="E69" s="2">
        <v>7.0</v>
      </c>
      <c r="F69" s="2" t="s">
        <v>10</v>
      </c>
      <c r="G69" s="5">
        <v>2791581.0</v>
      </c>
      <c r="H69" s="2" t="s">
        <v>1575</v>
      </c>
      <c r="I69" s="2" t="s">
        <v>1565</v>
      </c>
      <c r="J69" s="2">
        <v>10005.0</v>
      </c>
      <c r="K69" s="2" t="s">
        <v>1595</v>
      </c>
      <c r="L69" s="2"/>
      <c r="M69" s="2"/>
      <c r="N69" s="7">
        <v>1.0</v>
      </c>
      <c r="O69" s="12">
        <v>19524.0</v>
      </c>
      <c r="P69" s="11" t="s">
        <v>1649</v>
      </c>
      <c r="Q69" s="12">
        <v>19524.0</v>
      </c>
      <c r="R69" s="11" t="s">
        <v>1649</v>
      </c>
      <c r="S69" s="11" t="s">
        <v>1676</v>
      </c>
      <c r="T69" s="11" t="s">
        <v>1677</v>
      </c>
      <c r="U69" s="2" t="s">
        <v>1574</v>
      </c>
      <c r="V69" s="2" t="s">
        <v>1568</v>
      </c>
      <c r="W69" s="2" t="s">
        <v>1569</v>
      </c>
      <c r="X69" s="2" t="s">
        <v>1570</v>
      </c>
      <c r="AB69" s="2" t="s">
        <v>1571</v>
      </c>
    </row>
    <row r="70">
      <c r="A70" s="2" t="s">
        <v>1653</v>
      </c>
      <c r="B70" s="2">
        <v>13.0</v>
      </c>
      <c r="C70" s="2" t="s">
        <v>11</v>
      </c>
      <c r="D70" s="2" t="s">
        <v>1648</v>
      </c>
      <c r="E70" s="2">
        <v>7.0</v>
      </c>
      <c r="F70" s="2" t="s">
        <v>10</v>
      </c>
      <c r="G70" s="5">
        <v>2791581.0</v>
      </c>
      <c r="H70" s="2" t="s">
        <v>1575</v>
      </c>
      <c r="I70" s="2" t="s">
        <v>1572</v>
      </c>
      <c r="J70" s="2">
        <v>10128.0</v>
      </c>
      <c r="K70" s="2" t="s">
        <v>1588</v>
      </c>
      <c r="L70" s="2"/>
      <c r="M70" s="2"/>
      <c r="N70" s="7">
        <v>1.0</v>
      </c>
      <c r="O70" s="12">
        <v>23333.0</v>
      </c>
      <c r="P70" s="11" t="s">
        <v>1649</v>
      </c>
      <c r="Q70" s="12">
        <v>23333.0</v>
      </c>
      <c r="R70" s="11" t="s">
        <v>1649</v>
      </c>
      <c r="S70" s="11" t="s">
        <v>1681</v>
      </c>
      <c r="T70" s="11" t="s">
        <v>1682</v>
      </c>
      <c r="U70" s="2" t="s">
        <v>1574</v>
      </c>
      <c r="V70" s="2" t="s">
        <v>1568</v>
      </c>
      <c r="W70" s="2" t="s">
        <v>1569</v>
      </c>
      <c r="X70" s="2" t="s">
        <v>1570</v>
      </c>
      <c r="AB70" s="2" t="s">
        <v>1571</v>
      </c>
    </row>
    <row r="71">
      <c r="A71" s="2" t="s">
        <v>1653</v>
      </c>
      <c r="B71" s="2">
        <v>13.0</v>
      </c>
      <c r="C71" s="2" t="s">
        <v>11</v>
      </c>
      <c r="D71" s="2" t="s">
        <v>1648</v>
      </c>
      <c r="E71" s="2">
        <v>7.0</v>
      </c>
      <c r="F71" s="2" t="s">
        <v>10</v>
      </c>
      <c r="G71" s="5">
        <v>2791581.0</v>
      </c>
      <c r="H71" s="2" t="s">
        <v>1575</v>
      </c>
      <c r="I71" s="2" t="s">
        <v>1565</v>
      </c>
      <c r="J71" s="2">
        <v>10007.0</v>
      </c>
      <c r="K71" s="2" t="s">
        <v>1576</v>
      </c>
      <c r="L71" s="2"/>
      <c r="M71" s="2"/>
      <c r="N71" s="7">
        <v>2.0</v>
      </c>
      <c r="O71" s="12">
        <v>33810.0</v>
      </c>
      <c r="P71" s="11" t="s">
        <v>1649</v>
      </c>
      <c r="Q71" s="12">
        <v>33810.0</v>
      </c>
      <c r="R71" s="11" t="s">
        <v>1649</v>
      </c>
      <c r="S71" s="11" t="s">
        <v>1701</v>
      </c>
      <c r="T71" s="11" t="s">
        <v>1702</v>
      </c>
      <c r="U71" s="2" t="s">
        <v>1574</v>
      </c>
      <c r="V71" s="2" t="s">
        <v>1568</v>
      </c>
      <c r="W71" s="2" t="s">
        <v>1569</v>
      </c>
      <c r="X71" s="2" t="s">
        <v>1570</v>
      </c>
      <c r="AB71" s="2" t="s">
        <v>1571</v>
      </c>
    </row>
    <row r="72">
      <c r="A72" s="2" t="s">
        <v>1653</v>
      </c>
      <c r="B72" s="2">
        <v>12.0</v>
      </c>
      <c r="C72" s="2" t="s">
        <v>11</v>
      </c>
      <c r="D72" s="2" t="s">
        <v>1648</v>
      </c>
      <c r="E72" s="2">
        <v>7.0</v>
      </c>
      <c r="F72" s="2" t="s">
        <v>10</v>
      </c>
      <c r="G72" s="5">
        <v>2791216.0</v>
      </c>
      <c r="H72" s="2" t="s">
        <v>1575</v>
      </c>
      <c r="I72" s="2" t="s">
        <v>1565</v>
      </c>
      <c r="J72" s="2">
        <v>10002.0</v>
      </c>
      <c r="K72" s="2" t="s">
        <v>1576</v>
      </c>
      <c r="L72" s="2"/>
      <c r="M72" s="2"/>
      <c r="N72" s="7">
        <v>1.0</v>
      </c>
      <c r="O72" s="12">
        <v>18571.0</v>
      </c>
      <c r="P72" s="11" t="s">
        <v>1649</v>
      </c>
      <c r="Q72" s="12">
        <v>18571.0</v>
      </c>
      <c r="R72" s="11" t="s">
        <v>1649</v>
      </c>
      <c r="S72" s="11" t="s">
        <v>1656</v>
      </c>
      <c r="T72" s="11" t="s">
        <v>1657</v>
      </c>
      <c r="U72" s="2" t="s">
        <v>1574</v>
      </c>
      <c r="V72" s="2" t="s">
        <v>1568</v>
      </c>
      <c r="W72" s="2" t="s">
        <v>1569</v>
      </c>
      <c r="X72" s="2" t="s">
        <v>1570</v>
      </c>
      <c r="AB72" s="2" t="s">
        <v>1571</v>
      </c>
    </row>
    <row r="73">
      <c r="A73" s="2" t="s">
        <v>1653</v>
      </c>
      <c r="B73" s="2">
        <v>12.0</v>
      </c>
      <c r="C73" s="2" t="s">
        <v>11</v>
      </c>
      <c r="D73" s="2" t="s">
        <v>1648</v>
      </c>
      <c r="E73" s="2">
        <v>7.0</v>
      </c>
      <c r="F73" s="2" t="s">
        <v>10</v>
      </c>
      <c r="G73" s="5">
        <v>2791216.0</v>
      </c>
      <c r="H73" s="2" t="s">
        <v>1575</v>
      </c>
      <c r="I73" s="2" t="s">
        <v>1580</v>
      </c>
      <c r="J73" s="2">
        <v>10012.0</v>
      </c>
      <c r="K73" s="2" t="s">
        <v>1602</v>
      </c>
      <c r="L73" s="2"/>
      <c r="M73" s="2"/>
      <c r="N73" s="7">
        <v>1.0</v>
      </c>
      <c r="O73" s="12">
        <v>29524.0</v>
      </c>
      <c r="P73" s="11" t="s">
        <v>1649</v>
      </c>
      <c r="Q73" s="12">
        <v>29524.0</v>
      </c>
      <c r="R73" s="11" t="s">
        <v>1649</v>
      </c>
      <c r="S73" s="11" t="s">
        <v>1683</v>
      </c>
      <c r="T73" s="11" t="s">
        <v>1684</v>
      </c>
      <c r="U73" s="2" t="s">
        <v>1574</v>
      </c>
      <c r="V73" s="2" t="s">
        <v>1568</v>
      </c>
      <c r="W73" s="2" t="s">
        <v>1569</v>
      </c>
      <c r="X73" s="2" t="s">
        <v>1570</v>
      </c>
      <c r="AB73" s="2" t="s">
        <v>1571</v>
      </c>
    </row>
    <row r="74">
      <c r="A74" s="2" t="s">
        <v>1653</v>
      </c>
      <c r="B74" s="2">
        <v>12.0</v>
      </c>
      <c r="C74" s="2" t="s">
        <v>11</v>
      </c>
      <c r="D74" s="2" t="s">
        <v>1648</v>
      </c>
      <c r="E74" s="2">
        <v>7.0</v>
      </c>
      <c r="F74" s="2" t="s">
        <v>10</v>
      </c>
      <c r="G74" s="5">
        <v>2791216.0</v>
      </c>
      <c r="H74" s="2" t="s">
        <v>1575</v>
      </c>
      <c r="I74" s="2" t="s">
        <v>1572</v>
      </c>
      <c r="J74" s="2">
        <v>10070.0</v>
      </c>
      <c r="K74" s="2" t="s">
        <v>1593</v>
      </c>
      <c r="L74" s="2"/>
      <c r="M74" s="2"/>
      <c r="N74" s="7">
        <v>1.0</v>
      </c>
      <c r="O74" s="12">
        <v>24762.0</v>
      </c>
      <c r="P74" s="11" t="s">
        <v>1649</v>
      </c>
      <c r="Q74" s="12">
        <v>24762.0</v>
      </c>
      <c r="R74" s="11" t="s">
        <v>1649</v>
      </c>
      <c r="S74" s="11" t="s">
        <v>1689</v>
      </c>
      <c r="T74" s="11" t="s">
        <v>1693</v>
      </c>
      <c r="U74" s="2" t="s">
        <v>1574</v>
      </c>
      <c r="V74" s="2" t="s">
        <v>1568</v>
      </c>
      <c r="W74" s="2" t="s">
        <v>1569</v>
      </c>
      <c r="X74" s="2" t="s">
        <v>1570</v>
      </c>
      <c r="AB74" s="2" t="s">
        <v>1571</v>
      </c>
    </row>
    <row r="75">
      <c r="A75" s="2" t="s">
        <v>1653</v>
      </c>
      <c r="B75" s="2">
        <v>12.0</v>
      </c>
      <c r="C75" s="2" t="s">
        <v>11</v>
      </c>
      <c r="D75" s="2" t="s">
        <v>1648</v>
      </c>
      <c r="E75" s="2">
        <v>7.0</v>
      </c>
      <c r="F75" s="2" t="s">
        <v>10</v>
      </c>
      <c r="G75" s="5">
        <v>2791216.0</v>
      </c>
      <c r="H75" s="2" t="s">
        <v>1575</v>
      </c>
      <c r="I75" s="2" t="s">
        <v>1580</v>
      </c>
      <c r="J75" s="2">
        <v>10003.0</v>
      </c>
      <c r="K75" s="2" t="s">
        <v>1603</v>
      </c>
      <c r="L75" s="2"/>
      <c r="M75" s="2"/>
      <c r="N75" s="7">
        <v>1.0</v>
      </c>
      <c r="O75" s="12">
        <v>29524.0</v>
      </c>
      <c r="P75" s="11" t="s">
        <v>1649</v>
      </c>
      <c r="Q75" s="12">
        <v>29524.0</v>
      </c>
      <c r="R75" s="11" t="s">
        <v>1649</v>
      </c>
      <c r="S75" s="11" t="s">
        <v>1683</v>
      </c>
      <c r="T75" s="11" t="s">
        <v>1684</v>
      </c>
      <c r="U75" s="2" t="s">
        <v>1574</v>
      </c>
      <c r="V75" s="2" t="s">
        <v>1568</v>
      </c>
      <c r="W75" s="2" t="s">
        <v>1569</v>
      </c>
      <c r="X75" s="2" t="s">
        <v>1570</v>
      </c>
      <c r="AB75" s="2" t="s">
        <v>1571</v>
      </c>
    </row>
    <row r="76">
      <c r="A76" s="2" t="s">
        <v>1653</v>
      </c>
      <c r="B76" s="2">
        <v>12.0</v>
      </c>
      <c r="C76" s="2" t="s">
        <v>11</v>
      </c>
      <c r="D76" s="2" t="s">
        <v>1648</v>
      </c>
      <c r="E76" s="2">
        <v>7.0</v>
      </c>
      <c r="F76" s="2" t="s">
        <v>10</v>
      </c>
      <c r="G76" s="5">
        <v>2791216.0</v>
      </c>
      <c r="H76" s="2" t="s">
        <v>1575</v>
      </c>
      <c r="I76" s="2" t="s">
        <v>1572</v>
      </c>
      <c r="J76" s="2">
        <v>10118.0</v>
      </c>
      <c r="K76" s="2" t="s">
        <v>1604</v>
      </c>
      <c r="L76" s="2"/>
      <c r="M76" s="2"/>
      <c r="N76" s="7">
        <v>1.0</v>
      </c>
      <c r="O76" s="12">
        <v>7143.0</v>
      </c>
      <c r="P76" s="11" t="s">
        <v>1649</v>
      </c>
      <c r="Q76" s="12">
        <v>7143.0</v>
      </c>
      <c r="R76" s="11" t="s">
        <v>1649</v>
      </c>
      <c r="S76" s="11" t="s">
        <v>1672</v>
      </c>
      <c r="T76" s="11" t="s">
        <v>1673</v>
      </c>
      <c r="U76" s="2" t="s">
        <v>1574</v>
      </c>
      <c r="V76" s="2" t="s">
        <v>1568</v>
      </c>
      <c r="W76" s="2" t="s">
        <v>1569</v>
      </c>
      <c r="X76" s="2" t="s">
        <v>1570</v>
      </c>
      <c r="AB76" s="2" t="s">
        <v>1571</v>
      </c>
    </row>
    <row r="77">
      <c r="A77" s="2" t="s">
        <v>1653</v>
      </c>
      <c r="B77" s="2">
        <v>12.0</v>
      </c>
      <c r="C77" s="2" t="s">
        <v>11</v>
      </c>
      <c r="D77" s="2" t="s">
        <v>1648</v>
      </c>
      <c r="E77" s="2">
        <v>7.0</v>
      </c>
      <c r="F77" s="2" t="s">
        <v>10</v>
      </c>
      <c r="G77" s="5">
        <v>2790851.0</v>
      </c>
      <c r="H77" s="2" t="s">
        <v>1575</v>
      </c>
      <c r="I77" s="2" t="s">
        <v>1565</v>
      </c>
      <c r="J77" s="2">
        <v>10002.0</v>
      </c>
      <c r="K77" s="2" t="s">
        <v>1576</v>
      </c>
      <c r="L77" s="2"/>
      <c r="M77" s="2"/>
      <c r="N77" s="7">
        <v>1.0</v>
      </c>
      <c r="O77" s="12">
        <v>18571.0</v>
      </c>
      <c r="P77" s="11" t="s">
        <v>1649</v>
      </c>
      <c r="Q77" s="12">
        <v>18571.0</v>
      </c>
      <c r="R77" s="11" t="s">
        <v>1649</v>
      </c>
      <c r="S77" s="11" t="s">
        <v>1656</v>
      </c>
      <c r="T77" s="11" t="s">
        <v>1657</v>
      </c>
      <c r="U77" s="2" t="s">
        <v>1574</v>
      </c>
      <c r="V77" s="2" t="s">
        <v>1568</v>
      </c>
      <c r="W77" s="2" t="s">
        <v>1569</v>
      </c>
      <c r="X77" s="2" t="s">
        <v>1570</v>
      </c>
      <c r="AB77" s="2" t="s">
        <v>1571</v>
      </c>
    </row>
    <row r="78">
      <c r="A78" s="2" t="s">
        <v>1653</v>
      </c>
      <c r="B78" s="2">
        <v>12.0</v>
      </c>
      <c r="C78" s="2" t="s">
        <v>11</v>
      </c>
      <c r="D78" s="2" t="s">
        <v>1648</v>
      </c>
      <c r="E78" s="2">
        <v>7.0</v>
      </c>
      <c r="F78" s="2" t="s">
        <v>10</v>
      </c>
      <c r="G78" s="5">
        <v>2790851.0</v>
      </c>
      <c r="H78" s="2" t="s">
        <v>1575</v>
      </c>
      <c r="I78" s="2" t="s">
        <v>1565</v>
      </c>
      <c r="J78" s="2">
        <v>10005.0</v>
      </c>
      <c r="K78" s="2" t="s">
        <v>1595</v>
      </c>
      <c r="L78" s="2"/>
      <c r="M78" s="2"/>
      <c r="N78" s="7">
        <v>1.0</v>
      </c>
      <c r="O78" s="12">
        <v>19524.0</v>
      </c>
      <c r="P78" s="11" t="s">
        <v>1649</v>
      </c>
      <c r="Q78" s="12">
        <v>19524.0</v>
      </c>
      <c r="R78" s="11" t="s">
        <v>1649</v>
      </c>
      <c r="S78" s="11" t="s">
        <v>1676</v>
      </c>
      <c r="T78" s="11" t="s">
        <v>1677</v>
      </c>
      <c r="U78" s="2" t="s">
        <v>1574</v>
      </c>
      <c r="V78" s="2" t="s">
        <v>1568</v>
      </c>
      <c r="W78" s="2" t="s">
        <v>1569</v>
      </c>
      <c r="X78" s="2" t="s">
        <v>1570</v>
      </c>
      <c r="AB78" s="2" t="s">
        <v>1571</v>
      </c>
    </row>
    <row r="79">
      <c r="A79" s="2" t="s">
        <v>1653</v>
      </c>
      <c r="B79" s="2">
        <v>12.0</v>
      </c>
      <c r="C79" s="2" t="s">
        <v>11</v>
      </c>
      <c r="D79" s="2" t="s">
        <v>1648</v>
      </c>
      <c r="E79" s="2">
        <v>7.0</v>
      </c>
      <c r="F79" s="2" t="s">
        <v>10</v>
      </c>
      <c r="G79" s="5">
        <v>2790851.0</v>
      </c>
      <c r="H79" s="2" t="s">
        <v>1575</v>
      </c>
      <c r="I79" s="2" t="s">
        <v>1572</v>
      </c>
      <c r="J79" s="2">
        <v>10128.0</v>
      </c>
      <c r="K79" s="2" t="s">
        <v>1588</v>
      </c>
      <c r="L79" s="2"/>
      <c r="M79" s="2"/>
      <c r="N79" s="7">
        <v>1.0</v>
      </c>
      <c r="O79" s="12">
        <v>23333.0</v>
      </c>
      <c r="P79" s="11" t="s">
        <v>1649</v>
      </c>
      <c r="Q79" s="12">
        <v>23333.0</v>
      </c>
      <c r="R79" s="11" t="s">
        <v>1649</v>
      </c>
      <c r="S79" s="11" t="s">
        <v>1681</v>
      </c>
      <c r="T79" s="11" t="s">
        <v>1715</v>
      </c>
      <c r="U79" s="2" t="s">
        <v>1574</v>
      </c>
      <c r="V79" s="2" t="s">
        <v>1568</v>
      </c>
      <c r="W79" s="2" t="s">
        <v>1569</v>
      </c>
      <c r="X79" s="2" t="s">
        <v>1570</v>
      </c>
      <c r="AB79" s="2" t="s">
        <v>1571</v>
      </c>
    </row>
    <row r="80">
      <c r="A80" s="2" t="s">
        <v>1653</v>
      </c>
      <c r="B80" s="2">
        <v>12.0</v>
      </c>
      <c r="C80" s="2" t="s">
        <v>11</v>
      </c>
      <c r="D80" s="2" t="s">
        <v>1648</v>
      </c>
      <c r="E80" s="2">
        <v>7.0</v>
      </c>
      <c r="F80" s="2" t="s">
        <v>10</v>
      </c>
      <c r="G80" s="5">
        <v>2790851.0</v>
      </c>
      <c r="H80" s="2" t="s">
        <v>1575</v>
      </c>
      <c r="I80" s="2" t="s">
        <v>1572</v>
      </c>
      <c r="J80" s="2">
        <v>10120.0</v>
      </c>
      <c r="K80" s="2" t="s">
        <v>1590</v>
      </c>
      <c r="L80" s="2"/>
      <c r="M80" s="2"/>
      <c r="N80" s="7">
        <v>1.0</v>
      </c>
      <c r="O80" s="12">
        <v>19524.0</v>
      </c>
      <c r="P80" s="11" t="s">
        <v>1649</v>
      </c>
      <c r="Q80" s="12">
        <v>19524.0</v>
      </c>
      <c r="R80" s="11" t="s">
        <v>1649</v>
      </c>
      <c r="S80" s="11" t="s">
        <v>1676</v>
      </c>
      <c r="T80" s="11" t="s">
        <v>1694</v>
      </c>
      <c r="U80" s="2" t="s">
        <v>1574</v>
      </c>
      <c r="V80" s="2" t="s">
        <v>1568</v>
      </c>
      <c r="W80" s="2" t="s">
        <v>1569</v>
      </c>
      <c r="X80" s="2" t="s">
        <v>1570</v>
      </c>
      <c r="AB80" s="2" t="s">
        <v>1571</v>
      </c>
    </row>
    <row r="81">
      <c r="A81" s="2" t="s">
        <v>1653</v>
      </c>
      <c r="B81" s="2">
        <v>12.0</v>
      </c>
      <c r="C81" s="2" t="s">
        <v>11</v>
      </c>
      <c r="D81" s="2" t="s">
        <v>1648</v>
      </c>
      <c r="E81" s="2">
        <v>7.0</v>
      </c>
      <c r="F81" s="2" t="s">
        <v>10</v>
      </c>
      <c r="G81" s="5">
        <v>2790485.0</v>
      </c>
      <c r="H81" s="2" t="s">
        <v>1575</v>
      </c>
      <c r="I81" s="2" t="s">
        <v>1572</v>
      </c>
      <c r="J81" s="2">
        <v>10112.0</v>
      </c>
      <c r="K81" s="2" t="s">
        <v>1573</v>
      </c>
      <c r="L81" s="2"/>
      <c r="M81" s="2"/>
      <c r="N81" s="7">
        <v>2.0</v>
      </c>
      <c r="O81" s="12">
        <v>13334.0</v>
      </c>
      <c r="P81" s="11" t="s">
        <v>1649</v>
      </c>
      <c r="Q81" s="12">
        <v>13334.0</v>
      </c>
      <c r="R81" s="11" t="s">
        <v>1649</v>
      </c>
      <c r="S81" s="11" t="s">
        <v>1720</v>
      </c>
      <c r="T81" s="11" t="s">
        <v>1721</v>
      </c>
      <c r="U81" s="2" t="s">
        <v>1574</v>
      </c>
      <c r="V81" s="2" t="s">
        <v>1568</v>
      </c>
      <c r="W81" s="2" t="s">
        <v>1569</v>
      </c>
      <c r="X81" s="2" t="s">
        <v>1570</v>
      </c>
      <c r="AB81" s="2" t="s">
        <v>1571</v>
      </c>
    </row>
    <row r="82">
      <c r="A82" s="2" t="s">
        <v>1653</v>
      </c>
      <c r="B82" s="2">
        <v>12.0</v>
      </c>
      <c r="C82" s="2" t="s">
        <v>11</v>
      </c>
      <c r="D82" s="2" t="s">
        <v>1648</v>
      </c>
      <c r="E82" s="2">
        <v>7.0</v>
      </c>
      <c r="F82" s="2" t="s">
        <v>10</v>
      </c>
      <c r="G82" s="5">
        <v>2790120.0</v>
      </c>
      <c r="H82" s="2" t="s">
        <v>1575</v>
      </c>
      <c r="I82" s="2" t="s">
        <v>1578</v>
      </c>
      <c r="J82" s="2">
        <v>10011.0</v>
      </c>
      <c r="K82" s="2" t="s">
        <v>1605</v>
      </c>
      <c r="L82" s="2"/>
      <c r="M82" s="2"/>
      <c r="N82" s="7">
        <v>1.0</v>
      </c>
      <c r="O82" s="12">
        <v>25238.0</v>
      </c>
      <c r="P82" s="11" t="s">
        <v>1649</v>
      </c>
      <c r="Q82" s="12">
        <v>25238.0</v>
      </c>
      <c r="R82" s="11" t="s">
        <v>1649</v>
      </c>
      <c r="S82" s="11" t="s">
        <v>1660</v>
      </c>
      <c r="T82" s="11" t="s">
        <v>1680</v>
      </c>
      <c r="U82" s="2" t="s">
        <v>1574</v>
      </c>
      <c r="V82" s="2" t="s">
        <v>1568</v>
      </c>
      <c r="W82" s="2" t="s">
        <v>1569</v>
      </c>
      <c r="X82" s="2" t="s">
        <v>1570</v>
      </c>
      <c r="AB82" s="2" t="s">
        <v>1571</v>
      </c>
    </row>
    <row r="83">
      <c r="A83" s="2" t="s">
        <v>1653</v>
      </c>
      <c r="B83" s="2">
        <v>12.0</v>
      </c>
      <c r="C83" s="2" t="s">
        <v>11</v>
      </c>
      <c r="D83" s="2" t="s">
        <v>1648</v>
      </c>
      <c r="E83" s="2">
        <v>7.0</v>
      </c>
      <c r="F83" s="2" t="s">
        <v>10</v>
      </c>
      <c r="G83" s="5">
        <v>2790120.0</v>
      </c>
      <c r="H83" s="2" t="s">
        <v>1575</v>
      </c>
      <c r="I83" s="2" t="s">
        <v>1578</v>
      </c>
      <c r="J83" s="2">
        <v>10010.0</v>
      </c>
      <c r="K83" s="2" t="s">
        <v>1606</v>
      </c>
      <c r="L83" s="2"/>
      <c r="M83" s="2"/>
      <c r="N83" s="7">
        <v>1.0</v>
      </c>
      <c r="O83" s="12">
        <v>25238.0</v>
      </c>
      <c r="P83" s="11" t="s">
        <v>1649</v>
      </c>
      <c r="Q83" s="12">
        <v>25238.0</v>
      </c>
      <c r="R83" s="11" t="s">
        <v>1649</v>
      </c>
      <c r="S83" s="11" t="s">
        <v>1660</v>
      </c>
      <c r="T83" s="11" t="s">
        <v>1680</v>
      </c>
      <c r="U83" s="2" t="s">
        <v>1574</v>
      </c>
      <c r="V83" s="2" t="s">
        <v>1568</v>
      </c>
      <c r="W83" s="2" t="s">
        <v>1569</v>
      </c>
      <c r="X83" s="2" t="s">
        <v>1570</v>
      </c>
      <c r="AB83" s="2" t="s">
        <v>1571</v>
      </c>
    </row>
    <row r="84">
      <c r="A84" s="2" t="s">
        <v>1653</v>
      </c>
      <c r="B84" s="2">
        <v>12.0</v>
      </c>
      <c r="C84" s="2" t="s">
        <v>11</v>
      </c>
      <c r="D84" s="2" t="s">
        <v>1648</v>
      </c>
      <c r="E84" s="2">
        <v>7.0</v>
      </c>
      <c r="F84" s="2" t="s">
        <v>10</v>
      </c>
      <c r="G84" s="5">
        <v>2789755.0</v>
      </c>
      <c r="H84" s="2" t="s">
        <v>1575</v>
      </c>
      <c r="I84" s="2" t="s">
        <v>1565</v>
      </c>
      <c r="J84" s="2">
        <v>10000.0</v>
      </c>
      <c r="K84" s="2" t="s">
        <v>1566</v>
      </c>
      <c r="L84" s="2"/>
      <c r="M84" s="2"/>
      <c r="N84" s="7">
        <v>1.0</v>
      </c>
      <c r="O84" s="12">
        <v>29524.0</v>
      </c>
      <c r="P84" s="11" t="s">
        <v>1649</v>
      </c>
      <c r="Q84" s="12">
        <v>29524.0</v>
      </c>
      <c r="R84" s="11" t="s">
        <v>1649</v>
      </c>
      <c r="S84" s="11" t="s">
        <v>1683</v>
      </c>
      <c r="T84" s="11" t="s">
        <v>1684</v>
      </c>
      <c r="U84" s="2" t="s">
        <v>1567</v>
      </c>
      <c r="V84" s="2" t="s">
        <v>1568</v>
      </c>
      <c r="W84" s="2" t="s">
        <v>1569</v>
      </c>
      <c r="X84" s="2" t="s">
        <v>1570</v>
      </c>
      <c r="AB84" s="2" t="s">
        <v>1571</v>
      </c>
    </row>
    <row r="85">
      <c r="A85" s="2" t="s">
        <v>1653</v>
      </c>
      <c r="B85" s="2">
        <v>11.0</v>
      </c>
      <c r="C85" s="2" t="s">
        <v>11</v>
      </c>
      <c r="D85" s="2" t="s">
        <v>1648</v>
      </c>
      <c r="E85" s="2">
        <v>7.0</v>
      </c>
      <c r="F85" s="2" t="s">
        <v>10</v>
      </c>
      <c r="G85" s="5">
        <v>2789390.0</v>
      </c>
      <c r="H85" s="2" t="s">
        <v>1575</v>
      </c>
      <c r="I85" s="2" t="s">
        <v>1565</v>
      </c>
      <c r="J85" s="2">
        <v>10000.0</v>
      </c>
      <c r="K85" s="2" t="s">
        <v>1566</v>
      </c>
      <c r="L85" s="2"/>
      <c r="M85" s="2"/>
      <c r="N85" s="7">
        <v>1.0</v>
      </c>
      <c r="O85" s="12">
        <v>29524.0</v>
      </c>
      <c r="P85" s="11" t="s">
        <v>1649</v>
      </c>
      <c r="Q85" s="12">
        <v>29524.0</v>
      </c>
      <c r="R85" s="11" t="s">
        <v>1649</v>
      </c>
      <c r="S85" s="11" t="s">
        <v>1683</v>
      </c>
      <c r="T85" s="11" t="s">
        <v>1684</v>
      </c>
      <c r="U85" s="2" t="s">
        <v>1574</v>
      </c>
      <c r="V85" s="2" t="s">
        <v>1568</v>
      </c>
      <c r="W85" s="2" t="s">
        <v>1569</v>
      </c>
      <c r="X85" s="2" t="s">
        <v>1570</v>
      </c>
      <c r="AB85" s="2" t="s">
        <v>1571</v>
      </c>
    </row>
    <row r="86">
      <c r="A86" s="2" t="s">
        <v>1653</v>
      </c>
      <c r="B86" s="2">
        <v>11.0</v>
      </c>
      <c r="C86" s="2" t="s">
        <v>11</v>
      </c>
      <c r="D86" s="2" t="s">
        <v>1648</v>
      </c>
      <c r="E86" s="2">
        <v>7.0</v>
      </c>
      <c r="F86" s="2" t="s">
        <v>10</v>
      </c>
      <c r="G86" s="5">
        <v>2789024.0</v>
      </c>
      <c r="H86" s="2" t="s">
        <v>1575</v>
      </c>
      <c r="I86" s="2" t="s">
        <v>1572</v>
      </c>
      <c r="J86" s="2">
        <v>10128.0</v>
      </c>
      <c r="K86" s="2" t="s">
        <v>1588</v>
      </c>
      <c r="L86" s="2"/>
      <c r="M86" s="2"/>
      <c r="N86" s="7">
        <v>1.0</v>
      </c>
      <c r="O86" s="12">
        <v>23333.0</v>
      </c>
      <c r="P86" s="11" t="s">
        <v>1649</v>
      </c>
      <c r="Q86" s="12">
        <v>23333.0</v>
      </c>
      <c r="R86" s="11" t="s">
        <v>1649</v>
      </c>
      <c r="S86" s="11" t="s">
        <v>1681</v>
      </c>
      <c r="T86" s="11" t="s">
        <v>1682</v>
      </c>
      <c r="U86" s="2" t="s">
        <v>1574</v>
      </c>
      <c r="V86" s="2" t="s">
        <v>1568</v>
      </c>
      <c r="W86" s="2" t="s">
        <v>1569</v>
      </c>
      <c r="X86" s="2" t="s">
        <v>1570</v>
      </c>
      <c r="AB86" s="2" t="s">
        <v>1571</v>
      </c>
    </row>
    <row r="87">
      <c r="A87" s="2" t="s">
        <v>1653</v>
      </c>
      <c r="B87" s="2">
        <v>11.0</v>
      </c>
      <c r="C87" s="2" t="s">
        <v>11</v>
      </c>
      <c r="D87" s="2" t="s">
        <v>1648</v>
      </c>
      <c r="E87" s="2">
        <v>7.0</v>
      </c>
      <c r="F87" s="2" t="s">
        <v>10</v>
      </c>
      <c r="G87" s="5">
        <v>2789024.0</v>
      </c>
      <c r="H87" s="2" t="s">
        <v>1575</v>
      </c>
      <c r="I87" s="2" t="s">
        <v>1572</v>
      </c>
      <c r="J87" s="2">
        <v>10013.0</v>
      </c>
      <c r="K87" s="2" t="s">
        <v>1591</v>
      </c>
      <c r="L87" s="2"/>
      <c r="M87" s="2"/>
      <c r="N87" s="7">
        <v>1.0</v>
      </c>
      <c r="O87" s="12">
        <v>23333.0</v>
      </c>
      <c r="P87" s="11" t="s">
        <v>1649</v>
      </c>
      <c r="Q87" s="12">
        <v>23333.0</v>
      </c>
      <c r="R87" s="11" t="s">
        <v>1649</v>
      </c>
      <c r="S87" s="11" t="s">
        <v>1681</v>
      </c>
      <c r="T87" s="11" t="s">
        <v>1715</v>
      </c>
      <c r="U87" s="2" t="s">
        <v>1574</v>
      </c>
      <c r="V87" s="2" t="s">
        <v>1568</v>
      </c>
      <c r="W87" s="2" t="s">
        <v>1569</v>
      </c>
      <c r="X87" s="2" t="s">
        <v>1570</v>
      </c>
      <c r="AB87" s="2" t="s">
        <v>1571</v>
      </c>
    </row>
    <row r="88">
      <c r="A88" s="2" t="s">
        <v>1653</v>
      </c>
      <c r="B88" s="2">
        <v>11.0</v>
      </c>
      <c r="C88" s="2" t="s">
        <v>11</v>
      </c>
      <c r="D88" s="2" t="s">
        <v>1648</v>
      </c>
      <c r="E88" s="2">
        <v>7.0</v>
      </c>
      <c r="F88" s="2" t="s">
        <v>10</v>
      </c>
      <c r="G88" s="5">
        <v>2789024.0</v>
      </c>
      <c r="H88" s="2" t="s">
        <v>1575</v>
      </c>
      <c r="I88" s="2" t="s">
        <v>1565</v>
      </c>
      <c r="J88" s="2">
        <v>10007.0</v>
      </c>
      <c r="K88" s="2" t="s">
        <v>1576</v>
      </c>
      <c r="L88" s="2"/>
      <c r="M88" s="2"/>
      <c r="N88" s="7">
        <v>2.0</v>
      </c>
      <c r="O88" s="12">
        <v>33810.0</v>
      </c>
      <c r="P88" s="11" t="s">
        <v>1649</v>
      </c>
      <c r="Q88" s="12">
        <v>33810.0</v>
      </c>
      <c r="R88" s="11" t="s">
        <v>1649</v>
      </c>
      <c r="S88" s="11" t="s">
        <v>1701</v>
      </c>
      <c r="T88" s="11" t="s">
        <v>1703</v>
      </c>
      <c r="U88" s="2" t="s">
        <v>1574</v>
      </c>
      <c r="V88" s="2" t="s">
        <v>1568</v>
      </c>
      <c r="W88" s="2" t="s">
        <v>1569</v>
      </c>
      <c r="X88" s="2" t="s">
        <v>1570</v>
      </c>
      <c r="AB88" s="2" t="s">
        <v>1571</v>
      </c>
    </row>
    <row r="89">
      <c r="A89" s="2" t="s">
        <v>1653</v>
      </c>
      <c r="B89" s="2">
        <v>11.0</v>
      </c>
      <c r="C89" s="2" t="s">
        <v>11</v>
      </c>
      <c r="D89" s="2" t="s">
        <v>1648</v>
      </c>
      <c r="E89" s="2">
        <v>7.0</v>
      </c>
      <c r="F89" s="2" t="s">
        <v>10</v>
      </c>
      <c r="G89" s="5">
        <v>2789024.0</v>
      </c>
      <c r="H89" s="2" t="s">
        <v>1575</v>
      </c>
      <c r="I89" s="2" t="s">
        <v>1572</v>
      </c>
      <c r="J89" s="2">
        <v>10122.0</v>
      </c>
      <c r="K89" s="2" t="s">
        <v>1577</v>
      </c>
      <c r="L89" s="2"/>
      <c r="M89" s="2"/>
      <c r="N89" s="7">
        <v>1.0</v>
      </c>
      <c r="O89" s="12">
        <v>21905.0</v>
      </c>
      <c r="P89" s="11" t="s">
        <v>1649</v>
      </c>
      <c r="Q89" s="12">
        <v>21905.0</v>
      </c>
      <c r="R89" s="11" t="s">
        <v>1649</v>
      </c>
      <c r="S89" s="11" t="s">
        <v>1666</v>
      </c>
      <c r="T89" s="11" t="s">
        <v>1667</v>
      </c>
      <c r="U89" s="2" t="s">
        <v>1574</v>
      </c>
      <c r="V89" s="2" t="s">
        <v>1568</v>
      </c>
      <c r="W89" s="2" t="s">
        <v>1569</v>
      </c>
      <c r="X89" s="2" t="s">
        <v>1570</v>
      </c>
      <c r="AB89" s="2" t="s">
        <v>1571</v>
      </c>
    </row>
    <row r="90">
      <c r="A90" s="2" t="s">
        <v>1653</v>
      </c>
      <c r="B90" s="2">
        <v>11.0</v>
      </c>
      <c r="C90" s="2" t="s">
        <v>11</v>
      </c>
      <c r="D90" s="2" t="s">
        <v>1648</v>
      </c>
      <c r="E90" s="2">
        <v>7.0</v>
      </c>
      <c r="F90" s="2" t="s">
        <v>10</v>
      </c>
      <c r="G90" s="5">
        <v>2788659.0</v>
      </c>
      <c r="H90" s="2" t="s">
        <v>1575</v>
      </c>
      <c r="I90" s="2" t="s">
        <v>1572</v>
      </c>
      <c r="J90" s="2">
        <v>10122.0</v>
      </c>
      <c r="K90" s="2" t="s">
        <v>1577</v>
      </c>
      <c r="L90" s="2"/>
      <c r="M90" s="2"/>
      <c r="N90" s="7">
        <v>1.0</v>
      </c>
      <c r="O90" s="12">
        <v>21905.0</v>
      </c>
      <c r="P90" s="11" t="s">
        <v>1649</v>
      </c>
      <c r="Q90" s="12">
        <v>21905.0</v>
      </c>
      <c r="R90" s="11" t="s">
        <v>1649</v>
      </c>
      <c r="S90" s="11" t="s">
        <v>1666</v>
      </c>
      <c r="T90" s="11" t="s">
        <v>1667</v>
      </c>
      <c r="U90" s="2" t="s">
        <v>1574</v>
      </c>
      <c r="V90" s="2" t="s">
        <v>1568</v>
      </c>
      <c r="W90" s="2" t="s">
        <v>1569</v>
      </c>
      <c r="X90" s="2" t="s">
        <v>1570</v>
      </c>
      <c r="AB90" s="2" t="s">
        <v>1571</v>
      </c>
    </row>
    <row r="91">
      <c r="A91" s="2" t="s">
        <v>1653</v>
      </c>
      <c r="B91" s="2">
        <v>11.0</v>
      </c>
      <c r="C91" s="2" t="s">
        <v>11</v>
      </c>
      <c r="D91" s="2" t="s">
        <v>1648</v>
      </c>
      <c r="E91" s="2">
        <v>7.0</v>
      </c>
      <c r="F91" s="2" t="s">
        <v>10</v>
      </c>
      <c r="G91" s="5">
        <v>2788659.0</v>
      </c>
      <c r="H91" s="2" t="s">
        <v>1575</v>
      </c>
      <c r="I91" s="2" t="s">
        <v>1572</v>
      </c>
      <c r="J91" s="2">
        <v>10128.0</v>
      </c>
      <c r="K91" s="2" t="s">
        <v>1588</v>
      </c>
      <c r="L91" s="2"/>
      <c r="M91" s="2"/>
      <c r="N91" s="7">
        <v>1.0</v>
      </c>
      <c r="O91" s="12">
        <v>23333.0</v>
      </c>
      <c r="P91" s="11" t="s">
        <v>1649</v>
      </c>
      <c r="Q91" s="12">
        <v>23333.0</v>
      </c>
      <c r="R91" s="11" t="s">
        <v>1649</v>
      </c>
      <c r="S91" s="11" t="s">
        <v>1681</v>
      </c>
      <c r="T91" s="11" t="s">
        <v>1682</v>
      </c>
      <c r="U91" s="2" t="s">
        <v>1574</v>
      </c>
      <c r="V91" s="2" t="s">
        <v>1568</v>
      </c>
      <c r="W91" s="2" t="s">
        <v>1569</v>
      </c>
      <c r="X91" s="2" t="s">
        <v>1570</v>
      </c>
      <c r="AB91" s="2" t="s">
        <v>1571</v>
      </c>
    </row>
    <row r="92">
      <c r="A92" s="2" t="s">
        <v>1653</v>
      </c>
      <c r="B92" s="2">
        <v>11.0</v>
      </c>
      <c r="C92" s="2" t="s">
        <v>11</v>
      </c>
      <c r="D92" s="2" t="s">
        <v>1648</v>
      </c>
      <c r="E92" s="2">
        <v>7.0</v>
      </c>
      <c r="F92" s="2" t="s">
        <v>10</v>
      </c>
      <c r="G92" s="5">
        <v>2788659.0</v>
      </c>
      <c r="H92" s="2" t="s">
        <v>1575</v>
      </c>
      <c r="I92" s="2" t="s">
        <v>1572</v>
      </c>
      <c r="J92" s="2">
        <v>10013.0</v>
      </c>
      <c r="K92" s="2" t="s">
        <v>1591</v>
      </c>
      <c r="L92" s="2"/>
      <c r="M92" s="2"/>
      <c r="N92" s="7">
        <v>1.0</v>
      </c>
      <c r="O92" s="12">
        <v>23333.0</v>
      </c>
      <c r="P92" s="11" t="s">
        <v>1649</v>
      </c>
      <c r="Q92" s="12">
        <v>23333.0</v>
      </c>
      <c r="R92" s="11" t="s">
        <v>1649</v>
      </c>
      <c r="S92" s="11" t="s">
        <v>1681</v>
      </c>
      <c r="T92" s="11" t="s">
        <v>1682</v>
      </c>
      <c r="U92" s="2" t="s">
        <v>1574</v>
      </c>
      <c r="V92" s="2" t="s">
        <v>1568</v>
      </c>
      <c r="W92" s="2" t="s">
        <v>1569</v>
      </c>
      <c r="X92" s="2" t="s">
        <v>1570</v>
      </c>
      <c r="AB92" s="2" t="s">
        <v>1571</v>
      </c>
    </row>
    <row r="93">
      <c r="A93" s="2" t="s">
        <v>1653</v>
      </c>
      <c r="B93" s="2">
        <v>11.0</v>
      </c>
      <c r="C93" s="2" t="s">
        <v>11</v>
      </c>
      <c r="D93" s="2" t="s">
        <v>1648</v>
      </c>
      <c r="E93" s="2">
        <v>7.0</v>
      </c>
      <c r="F93" s="2" t="s">
        <v>10</v>
      </c>
      <c r="G93" s="5">
        <v>2788294.0</v>
      </c>
      <c r="H93" s="2" t="s">
        <v>1575</v>
      </c>
      <c r="I93" s="2" t="s">
        <v>1572</v>
      </c>
      <c r="J93" s="2">
        <v>10013.0</v>
      </c>
      <c r="K93" s="2" t="s">
        <v>1591</v>
      </c>
      <c r="L93" s="2"/>
      <c r="M93" s="2"/>
      <c r="N93" s="7">
        <v>1.0</v>
      </c>
      <c r="O93" s="12">
        <v>23333.0</v>
      </c>
      <c r="P93" s="11" t="s">
        <v>1649</v>
      </c>
      <c r="Q93" s="12">
        <v>23333.0</v>
      </c>
      <c r="R93" s="11" t="s">
        <v>1649</v>
      </c>
      <c r="S93" s="11" t="s">
        <v>1681</v>
      </c>
      <c r="T93" s="11" t="s">
        <v>1682</v>
      </c>
      <c r="U93" s="2" t="s">
        <v>1567</v>
      </c>
      <c r="V93" s="2" t="s">
        <v>1568</v>
      </c>
      <c r="W93" s="2" t="s">
        <v>1569</v>
      </c>
      <c r="X93" s="2" t="s">
        <v>1570</v>
      </c>
      <c r="AB93" s="2" t="s">
        <v>1571</v>
      </c>
    </row>
    <row r="94">
      <c r="A94" s="2" t="s">
        <v>1653</v>
      </c>
      <c r="B94" s="2">
        <v>11.0</v>
      </c>
      <c r="C94" s="2" t="s">
        <v>11</v>
      </c>
      <c r="D94" s="2" t="s">
        <v>1648</v>
      </c>
      <c r="E94" s="2">
        <v>7.0</v>
      </c>
      <c r="F94" s="2" t="s">
        <v>10</v>
      </c>
      <c r="G94" s="5">
        <v>2788294.0</v>
      </c>
      <c r="H94" s="2" t="s">
        <v>1575</v>
      </c>
      <c r="I94" s="2" t="s">
        <v>1565</v>
      </c>
      <c r="J94" s="2">
        <v>10007.0</v>
      </c>
      <c r="K94" s="2" t="s">
        <v>1576</v>
      </c>
      <c r="L94" s="2"/>
      <c r="M94" s="2"/>
      <c r="N94" s="7">
        <v>2.0</v>
      </c>
      <c r="O94" s="12">
        <v>33810.0</v>
      </c>
      <c r="P94" s="11" t="s">
        <v>1649</v>
      </c>
      <c r="Q94" s="12">
        <v>33810.0</v>
      </c>
      <c r="R94" s="11" t="s">
        <v>1649</v>
      </c>
      <c r="S94" s="11" t="s">
        <v>1701</v>
      </c>
      <c r="T94" s="11" t="s">
        <v>1702</v>
      </c>
      <c r="U94" s="2" t="s">
        <v>1567</v>
      </c>
      <c r="V94" s="2" t="s">
        <v>1568</v>
      </c>
      <c r="W94" s="2" t="s">
        <v>1569</v>
      </c>
      <c r="X94" s="2" t="s">
        <v>1570</v>
      </c>
      <c r="AB94" s="2" t="s">
        <v>1571</v>
      </c>
    </row>
    <row r="95">
      <c r="A95" s="2" t="s">
        <v>1653</v>
      </c>
      <c r="B95" s="2">
        <v>11.0</v>
      </c>
      <c r="C95" s="2" t="s">
        <v>11</v>
      </c>
      <c r="D95" s="2" t="s">
        <v>1648</v>
      </c>
      <c r="E95" s="2">
        <v>7.0</v>
      </c>
      <c r="F95" s="2" t="s">
        <v>10</v>
      </c>
      <c r="G95" s="5">
        <v>2788294.0</v>
      </c>
      <c r="H95" s="2" t="s">
        <v>1575</v>
      </c>
      <c r="I95" s="2" t="s">
        <v>1565</v>
      </c>
      <c r="J95" s="2">
        <v>10005.0</v>
      </c>
      <c r="K95" s="2" t="s">
        <v>1595</v>
      </c>
      <c r="L95" s="2"/>
      <c r="M95" s="2"/>
      <c r="N95" s="7">
        <v>1.0</v>
      </c>
      <c r="O95" s="12">
        <v>19524.0</v>
      </c>
      <c r="P95" s="11" t="s">
        <v>1649</v>
      </c>
      <c r="Q95" s="12">
        <v>19524.0</v>
      </c>
      <c r="R95" s="11" t="s">
        <v>1649</v>
      </c>
      <c r="S95" s="11" t="s">
        <v>1676</v>
      </c>
      <c r="T95" s="11" t="s">
        <v>1677</v>
      </c>
      <c r="U95" s="2" t="s">
        <v>1567</v>
      </c>
      <c r="V95" s="2" t="s">
        <v>1568</v>
      </c>
      <c r="W95" s="2" t="s">
        <v>1569</v>
      </c>
      <c r="X95" s="2" t="s">
        <v>1570</v>
      </c>
      <c r="AB95" s="2" t="s">
        <v>1571</v>
      </c>
    </row>
    <row r="96">
      <c r="A96" s="2" t="s">
        <v>1653</v>
      </c>
      <c r="B96" s="2">
        <v>11.0</v>
      </c>
      <c r="C96" s="2" t="s">
        <v>11</v>
      </c>
      <c r="D96" s="2" t="s">
        <v>1648</v>
      </c>
      <c r="E96" s="2">
        <v>7.0</v>
      </c>
      <c r="F96" s="2" t="s">
        <v>10</v>
      </c>
      <c r="G96" s="5">
        <v>2788294.0</v>
      </c>
      <c r="H96" s="2" t="s">
        <v>1575</v>
      </c>
      <c r="I96" s="2" t="s">
        <v>1578</v>
      </c>
      <c r="J96" s="2">
        <v>10004.0</v>
      </c>
      <c r="K96" s="2" t="s">
        <v>1607</v>
      </c>
      <c r="L96" s="2"/>
      <c r="M96" s="2"/>
      <c r="N96" s="7">
        <v>1.0</v>
      </c>
      <c r="O96" s="12">
        <v>25238.0</v>
      </c>
      <c r="P96" s="11" t="s">
        <v>1649</v>
      </c>
      <c r="Q96" s="12">
        <v>25238.0</v>
      </c>
      <c r="R96" s="11" t="s">
        <v>1649</v>
      </c>
      <c r="S96" s="11" t="s">
        <v>1660</v>
      </c>
      <c r="T96" s="11" t="s">
        <v>1680</v>
      </c>
      <c r="U96" s="2" t="s">
        <v>1567</v>
      </c>
      <c r="V96" s="2" t="s">
        <v>1568</v>
      </c>
      <c r="W96" s="2" t="s">
        <v>1569</v>
      </c>
      <c r="X96" s="2" t="s">
        <v>1570</v>
      </c>
      <c r="AB96" s="2" t="s">
        <v>1571</v>
      </c>
    </row>
    <row r="97">
      <c r="A97" s="2" t="s">
        <v>1653</v>
      </c>
      <c r="B97" s="2">
        <v>11.0</v>
      </c>
      <c r="C97" s="2" t="s">
        <v>11</v>
      </c>
      <c r="D97" s="2" t="s">
        <v>1648</v>
      </c>
      <c r="E97" s="2">
        <v>7.0</v>
      </c>
      <c r="F97" s="2" t="s">
        <v>10</v>
      </c>
      <c r="G97" s="5">
        <v>2787929.0</v>
      </c>
      <c r="H97" s="2" t="s">
        <v>1575</v>
      </c>
      <c r="I97" s="2" t="s">
        <v>1565</v>
      </c>
      <c r="J97" s="2">
        <v>10007.0</v>
      </c>
      <c r="K97" s="2" t="s">
        <v>1576</v>
      </c>
      <c r="L97" s="2"/>
      <c r="M97" s="2"/>
      <c r="N97" s="7">
        <v>2.0</v>
      </c>
      <c r="O97" s="12">
        <v>33810.0</v>
      </c>
      <c r="P97" s="11" t="s">
        <v>1649</v>
      </c>
      <c r="Q97" s="12">
        <v>33810.0</v>
      </c>
      <c r="R97" s="11" t="s">
        <v>1649</v>
      </c>
      <c r="S97" s="11" t="s">
        <v>1701</v>
      </c>
      <c r="T97" s="11" t="s">
        <v>1703</v>
      </c>
      <c r="U97" s="2" t="s">
        <v>1567</v>
      </c>
      <c r="V97" s="2" t="s">
        <v>1568</v>
      </c>
      <c r="W97" s="2" t="s">
        <v>1569</v>
      </c>
      <c r="X97" s="2" t="s">
        <v>1570</v>
      </c>
      <c r="AB97" s="2" t="s">
        <v>1571</v>
      </c>
    </row>
    <row r="98">
      <c r="A98" s="2" t="s">
        <v>1653</v>
      </c>
      <c r="B98" s="2">
        <v>11.0</v>
      </c>
      <c r="C98" s="2" t="s">
        <v>11</v>
      </c>
      <c r="D98" s="2" t="s">
        <v>1648</v>
      </c>
      <c r="E98" s="2">
        <v>7.0</v>
      </c>
      <c r="F98" s="2" t="s">
        <v>10</v>
      </c>
      <c r="G98" s="5">
        <v>2787929.0</v>
      </c>
      <c r="H98" s="2" t="s">
        <v>1575</v>
      </c>
      <c r="I98" s="2" t="s">
        <v>1565</v>
      </c>
      <c r="J98" s="2">
        <v>10005.0</v>
      </c>
      <c r="K98" s="2" t="s">
        <v>1595</v>
      </c>
      <c r="L98" s="2"/>
      <c r="M98" s="2"/>
      <c r="N98" s="7">
        <v>1.0</v>
      </c>
      <c r="O98" s="12">
        <v>19524.0</v>
      </c>
      <c r="P98" s="11" t="s">
        <v>1649</v>
      </c>
      <c r="Q98" s="12">
        <v>19524.0</v>
      </c>
      <c r="R98" s="11" t="s">
        <v>1649</v>
      </c>
      <c r="S98" s="11" t="s">
        <v>1676</v>
      </c>
      <c r="T98" s="11" t="s">
        <v>1677</v>
      </c>
      <c r="U98" s="2" t="s">
        <v>1567</v>
      </c>
      <c r="V98" s="2" t="s">
        <v>1568</v>
      </c>
      <c r="W98" s="2" t="s">
        <v>1569</v>
      </c>
      <c r="X98" s="2" t="s">
        <v>1570</v>
      </c>
      <c r="AB98" s="2" t="s">
        <v>1571</v>
      </c>
    </row>
    <row r="99">
      <c r="A99" s="2" t="s">
        <v>1653</v>
      </c>
      <c r="B99" s="2">
        <v>11.0</v>
      </c>
      <c r="C99" s="2" t="s">
        <v>11</v>
      </c>
      <c r="D99" s="2" t="s">
        <v>1648</v>
      </c>
      <c r="E99" s="2">
        <v>7.0</v>
      </c>
      <c r="F99" s="2" t="s">
        <v>10</v>
      </c>
      <c r="G99" s="5">
        <v>2787929.0</v>
      </c>
      <c r="H99" s="2" t="s">
        <v>1575</v>
      </c>
      <c r="I99" s="2" t="s">
        <v>1572</v>
      </c>
      <c r="J99" s="2">
        <v>10013.0</v>
      </c>
      <c r="K99" s="2" t="s">
        <v>1591</v>
      </c>
      <c r="L99" s="2"/>
      <c r="M99" s="2"/>
      <c r="N99" s="7">
        <v>1.0</v>
      </c>
      <c r="O99" s="12">
        <v>23333.0</v>
      </c>
      <c r="P99" s="11" t="s">
        <v>1649</v>
      </c>
      <c r="Q99" s="12">
        <v>23333.0</v>
      </c>
      <c r="R99" s="11" t="s">
        <v>1649</v>
      </c>
      <c r="S99" s="11" t="s">
        <v>1681</v>
      </c>
      <c r="T99" s="11" t="s">
        <v>1715</v>
      </c>
      <c r="U99" s="2" t="s">
        <v>1567</v>
      </c>
      <c r="V99" s="2" t="s">
        <v>1568</v>
      </c>
      <c r="W99" s="2" t="s">
        <v>1569</v>
      </c>
      <c r="X99" s="2" t="s">
        <v>1570</v>
      </c>
      <c r="AB99" s="2" t="s">
        <v>1571</v>
      </c>
    </row>
    <row r="100">
      <c r="A100" s="2" t="s">
        <v>1653</v>
      </c>
      <c r="B100" s="2">
        <v>10.0</v>
      </c>
      <c r="C100" s="2" t="s">
        <v>11</v>
      </c>
      <c r="D100" s="2" t="s">
        <v>1648</v>
      </c>
      <c r="E100" s="2">
        <v>7.0</v>
      </c>
      <c r="F100" s="2" t="s">
        <v>10</v>
      </c>
      <c r="G100" s="5">
        <v>2787563.0</v>
      </c>
      <c r="H100" s="2" t="s">
        <v>1575</v>
      </c>
      <c r="I100" s="2" t="s">
        <v>1572</v>
      </c>
      <c r="J100" s="2">
        <v>10026.0</v>
      </c>
      <c r="K100" s="2" t="s">
        <v>1583</v>
      </c>
      <c r="L100" s="2"/>
      <c r="M100" s="2"/>
      <c r="N100" s="7">
        <v>1.0</v>
      </c>
      <c r="O100" s="12">
        <v>21905.0</v>
      </c>
      <c r="P100" s="11" t="s">
        <v>1649</v>
      </c>
      <c r="Q100" s="12">
        <v>21905.0</v>
      </c>
      <c r="R100" s="11" t="s">
        <v>1649</v>
      </c>
      <c r="S100" s="11" t="s">
        <v>1666</v>
      </c>
      <c r="T100" s="11" t="s">
        <v>1667</v>
      </c>
      <c r="U100" s="2" t="s">
        <v>1574</v>
      </c>
      <c r="V100" s="2" t="s">
        <v>1568</v>
      </c>
      <c r="W100" s="2" t="s">
        <v>1569</v>
      </c>
      <c r="X100" s="2" t="s">
        <v>1570</v>
      </c>
      <c r="AB100" s="2" t="s">
        <v>1571</v>
      </c>
    </row>
    <row r="101">
      <c r="A101" s="2" t="s">
        <v>1653</v>
      </c>
      <c r="B101" s="2">
        <v>10.0</v>
      </c>
      <c r="C101" s="2" t="s">
        <v>11</v>
      </c>
      <c r="D101" s="2" t="s">
        <v>1648</v>
      </c>
      <c r="E101" s="2">
        <v>7.0</v>
      </c>
      <c r="F101" s="2" t="s">
        <v>10</v>
      </c>
      <c r="G101" s="5">
        <v>2787563.0</v>
      </c>
      <c r="H101" s="2" t="s">
        <v>1575</v>
      </c>
      <c r="I101" s="2" t="s">
        <v>1572</v>
      </c>
      <c r="J101" s="2">
        <v>10107.0</v>
      </c>
      <c r="K101" s="2" t="s">
        <v>1584</v>
      </c>
      <c r="L101" s="2"/>
      <c r="M101" s="2"/>
      <c r="N101" s="7">
        <v>1.0</v>
      </c>
      <c r="O101" s="12">
        <v>26667.0</v>
      </c>
      <c r="P101" s="11" t="s">
        <v>1649</v>
      </c>
      <c r="Q101" s="12">
        <v>26667.0</v>
      </c>
      <c r="R101" s="11" t="s">
        <v>1649</v>
      </c>
      <c r="S101" s="11" t="s">
        <v>1674</v>
      </c>
      <c r="T101" s="11" t="s">
        <v>1675</v>
      </c>
      <c r="U101" s="2" t="s">
        <v>1574</v>
      </c>
      <c r="V101" s="2" t="s">
        <v>1568</v>
      </c>
      <c r="W101" s="2" t="s">
        <v>1569</v>
      </c>
      <c r="X101" s="2" t="s">
        <v>1570</v>
      </c>
      <c r="AB101" s="2" t="s">
        <v>1571</v>
      </c>
    </row>
    <row r="102">
      <c r="A102" s="2" t="s">
        <v>1653</v>
      </c>
      <c r="B102" s="2">
        <v>10.0</v>
      </c>
      <c r="C102" s="2" t="s">
        <v>11</v>
      </c>
      <c r="D102" s="2" t="s">
        <v>1648</v>
      </c>
      <c r="E102" s="2">
        <v>7.0</v>
      </c>
      <c r="F102" s="2" t="s">
        <v>10</v>
      </c>
      <c r="G102" s="5">
        <v>2787563.0</v>
      </c>
      <c r="H102" s="2" t="s">
        <v>1575</v>
      </c>
      <c r="I102" s="2" t="s">
        <v>1578</v>
      </c>
      <c r="J102" s="2">
        <v>10051.0</v>
      </c>
      <c r="K102" s="2" t="s">
        <v>1579</v>
      </c>
      <c r="L102" s="2"/>
      <c r="M102" s="2"/>
      <c r="N102" s="7">
        <v>1.0</v>
      </c>
      <c r="O102" s="12">
        <v>25238.0</v>
      </c>
      <c r="P102" s="11" t="s">
        <v>1649</v>
      </c>
      <c r="Q102" s="12">
        <v>25238.0</v>
      </c>
      <c r="R102" s="11" t="s">
        <v>1649</v>
      </c>
      <c r="S102" s="11" t="s">
        <v>1660</v>
      </c>
      <c r="T102" s="11" t="s">
        <v>1680</v>
      </c>
      <c r="U102" s="2" t="s">
        <v>1574</v>
      </c>
      <c r="V102" s="2" t="s">
        <v>1568</v>
      </c>
      <c r="W102" s="2" t="s">
        <v>1569</v>
      </c>
      <c r="X102" s="2" t="s">
        <v>1570</v>
      </c>
      <c r="AB102" s="2" t="s">
        <v>1571</v>
      </c>
    </row>
    <row r="103">
      <c r="A103" s="2" t="s">
        <v>1653</v>
      </c>
      <c r="B103" s="2">
        <v>10.0</v>
      </c>
      <c r="C103" s="2" t="s">
        <v>11</v>
      </c>
      <c r="D103" s="2" t="s">
        <v>1648</v>
      </c>
      <c r="E103" s="2">
        <v>7.0</v>
      </c>
      <c r="F103" s="2" t="s">
        <v>10</v>
      </c>
      <c r="G103" s="5">
        <v>2787563.0</v>
      </c>
      <c r="H103" s="2" t="s">
        <v>1575</v>
      </c>
      <c r="I103" s="2" t="s">
        <v>1578</v>
      </c>
      <c r="J103" s="2">
        <v>10010.0</v>
      </c>
      <c r="K103" s="2" t="s">
        <v>1606</v>
      </c>
      <c r="L103" s="2"/>
      <c r="M103" s="2"/>
      <c r="N103" s="7">
        <v>1.0</v>
      </c>
      <c r="O103" s="12">
        <v>25238.0</v>
      </c>
      <c r="P103" s="11" t="s">
        <v>1649</v>
      </c>
      <c r="Q103" s="12">
        <v>25238.0</v>
      </c>
      <c r="R103" s="11" t="s">
        <v>1649</v>
      </c>
      <c r="S103" s="11" t="s">
        <v>1660</v>
      </c>
      <c r="T103" s="11" t="s">
        <v>1661</v>
      </c>
      <c r="U103" s="2" t="s">
        <v>1574</v>
      </c>
      <c r="V103" s="2" t="s">
        <v>1568</v>
      </c>
      <c r="W103" s="2" t="s">
        <v>1569</v>
      </c>
      <c r="X103" s="2" t="s">
        <v>1570</v>
      </c>
      <c r="AB103" s="2" t="s">
        <v>1571</v>
      </c>
    </row>
    <row r="104">
      <c r="A104" s="2" t="s">
        <v>1653</v>
      </c>
      <c r="B104" s="2">
        <v>10.0</v>
      </c>
      <c r="C104" s="2" t="s">
        <v>11</v>
      </c>
      <c r="D104" s="2" t="s">
        <v>1648</v>
      </c>
      <c r="E104" s="2">
        <v>7.0</v>
      </c>
      <c r="F104" s="2" t="s">
        <v>10</v>
      </c>
      <c r="G104" s="5">
        <v>2787563.0</v>
      </c>
      <c r="H104" s="2" t="s">
        <v>1575</v>
      </c>
      <c r="I104" s="2" t="s">
        <v>1572</v>
      </c>
      <c r="J104" s="2">
        <v>10057.0</v>
      </c>
      <c r="K104" s="2" t="s">
        <v>1608</v>
      </c>
      <c r="L104" s="2"/>
      <c r="M104" s="2"/>
      <c r="N104" s="7">
        <v>1.0</v>
      </c>
      <c r="O104" s="12">
        <v>19524.0</v>
      </c>
      <c r="P104" s="11" t="s">
        <v>1649</v>
      </c>
      <c r="Q104" s="12">
        <v>19524.0</v>
      </c>
      <c r="R104" s="11" t="s">
        <v>1649</v>
      </c>
      <c r="S104" s="11" t="s">
        <v>1676</v>
      </c>
      <c r="T104" s="11" t="s">
        <v>1694</v>
      </c>
      <c r="U104" s="2" t="s">
        <v>1574</v>
      </c>
      <c r="V104" s="2" t="s">
        <v>1568</v>
      </c>
      <c r="W104" s="2" t="s">
        <v>1569</v>
      </c>
      <c r="X104" s="2" t="s">
        <v>1570</v>
      </c>
      <c r="AB104" s="2" t="s">
        <v>1571</v>
      </c>
    </row>
    <row r="105">
      <c r="A105" s="2" t="s">
        <v>1653</v>
      </c>
      <c r="B105" s="2">
        <v>10.0</v>
      </c>
      <c r="C105" s="2" t="s">
        <v>11</v>
      </c>
      <c r="D105" s="2" t="s">
        <v>1648</v>
      </c>
      <c r="E105" s="2">
        <v>7.0</v>
      </c>
      <c r="F105" s="2" t="s">
        <v>10</v>
      </c>
      <c r="G105" s="5">
        <v>2787563.0</v>
      </c>
      <c r="H105" s="2" t="s">
        <v>1575</v>
      </c>
      <c r="I105" s="2" t="s">
        <v>1572</v>
      </c>
      <c r="J105" s="2">
        <v>10125.0</v>
      </c>
      <c r="K105" s="2" t="s">
        <v>1601</v>
      </c>
      <c r="L105" s="2"/>
      <c r="M105" s="2"/>
      <c r="N105" s="7">
        <v>1.0</v>
      </c>
      <c r="O105" s="12">
        <v>20476.0</v>
      </c>
      <c r="P105" s="11" t="s">
        <v>1649</v>
      </c>
      <c r="Q105" s="12">
        <v>20476.0</v>
      </c>
      <c r="R105" s="11" t="s">
        <v>1649</v>
      </c>
      <c r="S105" s="11" t="s">
        <v>1716</v>
      </c>
      <c r="T105" s="11" t="s">
        <v>1722</v>
      </c>
      <c r="U105" s="2" t="s">
        <v>1574</v>
      </c>
      <c r="V105" s="2" t="s">
        <v>1568</v>
      </c>
      <c r="W105" s="2" t="s">
        <v>1569</v>
      </c>
      <c r="X105" s="2" t="s">
        <v>1570</v>
      </c>
      <c r="AB105" s="2" t="s">
        <v>1571</v>
      </c>
    </row>
    <row r="106">
      <c r="A106" s="2" t="s">
        <v>1653</v>
      </c>
      <c r="B106" s="2">
        <v>10.0</v>
      </c>
      <c r="C106" s="2" t="s">
        <v>11</v>
      </c>
      <c r="D106" s="2" t="s">
        <v>1648</v>
      </c>
      <c r="E106" s="2">
        <v>7.0</v>
      </c>
      <c r="F106" s="2" t="s">
        <v>10</v>
      </c>
      <c r="G106" s="5">
        <v>2787563.0</v>
      </c>
      <c r="H106" s="2" t="s">
        <v>1575</v>
      </c>
      <c r="I106" s="2" t="s">
        <v>1565</v>
      </c>
      <c r="J106" s="2">
        <v>10007.0</v>
      </c>
      <c r="K106" s="2" t="s">
        <v>1576</v>
      </c>
      <c r="L106" s="2"/>
      <c r="M106" s="2"/>
      <c r="N106" s="7">
        <v>2.0</v>
      </c>
      <c r="O106" s="12">
        <v>33810.0</v>
      </c>
      <c r="P106" s="11" t="s">
        <v>1649</v>
      </c>
      <c r="Q106" s="12">
        <v>33810.0</v>
      </c>
      <c r="R106" s="11" t="s">
        <v>1649</v>
      </c>
      <c r="S106" s="11" t="s">
        <v>1701</v>
      </c>
      <c r="T106" s="11" t="s">
        <v>1703</v>
      </c>
      <c r="U106" s="2" t="s">
        <v>1574</v>
      </c>
      <c r="V106" s="2" t="s">
        <v>1568</v>
      </c>
      <c r="W106" s="2" t="s">
        <v>1569</v>
      </c>
      <c r="X106" s="2" t="s">
        <v>1570</v>
      </c>
      <c r="AB106" s="2" t="s">
        <v>1571</v>
      </c>
    </row>
    <row r="107">
      <c r="A107" s="2" t="s">
        <v>1653</v>
      </c>
      <c r="B107" s="2">
        <v>9.0</v>
      </c>
      <c r="C107" s="2" t="s">
        <v>11</v>
      </c>
      <c r="D107" s="2" t="s">
        <v>1648</v>
      </c>
      <c r="E107" s="2">
        <v>7.0</v>
      </c>
      <c r="F107" s="2" t="s">
        <v>10</v>
      </c>
      <c r="G107" s="5">
        <v>2787198.0</v>
      </c>
      <c r="H107" s="2" t="s">
        <v>1575</v>
      </c>
      <c r="I107" s="2" t="s">
        <v>1572</v>
      </c>
      <c r="J107" s="2">
        <v>10026.0</v>
      </c>
      <c r="K107" s="2" t="s">
        <v>1583</v>
      </c>
      <c r="L107" s="2"/>
      <c r="M107" s="2"/>
      <c r="N107" s="7">
        <v>1.0</v>
      </c>
      <c r="O107" s="12">
        <v>21905.0</v>
      </c>
      <c r="P107" s="11" t="s">
        <v>1649</v>
      </c>
      <c r="Q107" s="12">
        <v>21905.0</v>
      </c>
      <c r="R107" s="11" t="s">
        <v>1649</v>
      </c>
      <c r="S107" s="11" t="s">
        <v>1666</v>
      </c>
      <c r="T107" s="11" t="s">
        <v>1667</v>
      </c>
      <c r="U107" s="2" t="s">
        <v>1574</v>
      </c>
      <c r="V107" s="2" t="s">
        <v>1568</v>
      </c>
      <c r="W107" s="2" t="s">
        <v>1569</v>
      </c>
      <c r="X107" s="2" t="s">
        <v>1570</v>
      </c>
      <c r="AB107" s="2" t="s">
        <v>1571</v>
      </c>
    </row>
    <row r="108">
      <c r="A108" s="2" t="s">
        <v>1653</v>
      </c>
      <c r="B108" s="2">
        <v>9.0</v>
      </c>
      <c r="C108" s="2" t="s">
        <v>11</v>
      </c>
      <c r="D108" s="2" t="s">
        <v>1648</v>
      </c>
      <c r="E108" s="2">
        <v>7.0</v>
      </c>
      <c r="F108" s="2" t="s">
        <v>10</v>
      </c>
      <c r="G108" s="5">
        <v>2787198.0</v>
      </c>
      <c r="H108" s="2" t="s">
        <v>1575</v>
      </c>
      <c r="I108" s="2" t="s">
        <v>1572</v>
      </c>
      <c r="J108" s="2">
        <v>10125.0</v>
      </c>
      <c r="K108" s="2" t="s">
        <v>1601</v>
      </c>
      <c r="L108" s="2"/>
      <c r="M108" s="2"/>
      <c r="N108" s="7">
        <v>1.0</v>
      </c>
      <c r="O108" s="12">
        <v>20476.0</v>
      </c>
      <c r="P108" s="11" t="s">
        <v>1649</v>
      </c>
      <c r="Q108" s="12">
        <v>20476.0</v>
      </c>
      <c r="R108" s="11" t="s">
        <v>1649</v>
      </c>
      <c r="S108" s="11" t="s">
        <v>1716</v>
      </c>
      <c r="T108" s="11" t="s">
        <v>1717</v>
      </c>
      <c r="U108" s="2" t="s">
        <v>1574</v>
      </c>
      <c r="V108" s="2" t="s">
        <v>1568</v>
      </c>
      <c r="W108" s="2" t="s">
        <v>1569</v>
      </c>
      <c r="X108" s="2" t="s">
        <v>1570</v>
      </c>
      <c r="AB108" s="2" t="s">
        <v>1571</v>
      </c>
    </row>
    <row r="109">
      <c r="A109" s="2" t="s">
        <v>1653</v>
      </c>
      <c r="B109" s="2">
        <v>9.0</v>
      </c>
      <c r="C109" s="2" t="s">
        <v>11</v>
      </c>
      <c r="D109" s="2" t="s">
        <v>1648</v>
      </c>
      <c r="E109" s="2">
        <v>7.0</v>
      </c>
      <c r="F109" s="2" t="s">
        <v>10</v>
      </c>
      <c r="G109" s="5">
        <v>2787198.0</v>
      </c>
      <c r="H109" s="2" t="s">
        <v>1575</v>
      </c>
      <c r="I109" s="2" t="s">
        <v>1572</v>
      </c>
      <c r="J109" s="2">
        <v>10128.0</v>
      </c>
      <c r="K109" s="2" t="s">
        <v>1588</v>
      </c>
      <c r="L109" s="2"/>
      <c r="M109" s="2"/>
      <c r="N109" s="7">
        <v>1.0</v>
      </c>
      <c r="O109" s="12">
        <v>23333.0</v>
      </c>
      <c r="P109" s="11" t="s">
        <v>1649</v>
      </c>
      <c r="Q109" s="12">
        <v>23333.0</v>
      </c>
      <c r="R109" s="11" t="s">
        <v>1649</v>
      </c>
      <c r="S109" s="11" t="s">
        <v>1681</v>
      </c>
      <c r="T109" s="11" t="s">
        <v>1682</v>
      </c>
      <c r="U109" s="2" t="s">
        <v>1574</v>
      </c>
      <c r="V109" s="2" t="s">
        <v>1568</v>
      </c>
      <c r="W109" s="2" t="s">
        <v>1569</v>
      </c>
      <c r="X109" s="2" t="s">
        <v>1570</v>
      </c>
      <c r="AB109" s="2" t="s">
        <v>1571</v>
      </c>
    </row>
    <row r="110">
      <c r="A110" s="2" t="s">
        <v>1653</v>
      </c>
      <c r="B110" s="2">
        <v>9.0</v>
      </c>
      <c r="C110" s="2" t="s">
        <v>11</v>
      </c>
      <c r="D110" s="2" t="s">
        <v>1648</v>
      </c>
      <c r="E110" s="2">
        <v>7.0</v>
      </c>
      <c r="F110" s="2" t="s">
        <v>10</v>
      </c>
      <c r="G110" s="5">
        <v>2787198.0</v>
      </c>
      <c r="H110" s="2" t="s">
        <v>1575</v>
      </c>
      <c r="I110" s="2" t="s">
        <v>1578</v>
      </c>
      <c r="J110" s="2">
        <v>10014.0</v>
      </c>
      <c r="K110" s="2" t="s">
        <v>1609</v>
      </c>
      <c r="L110" s="2"/>
      <c r="M110" s="2"/>
      <c r="N110" s="7">
        <v>1.0</v>
      </c>
      <c r="O110" s="12">
        <v>25238.0</v>
      </c>
      <c r="P110" s="11" t="s">
        <v>1649</v>
      </c>
      <c r="Q110" s="12">
        <v>25238.0</v>
      </c>
      <c r="R110" s="11" t="s">
        <v>1649</v>
      </c>
      <c r="S110" s="11" t="s">
        <v>1660</v>
      </c>
      <c r="T110" s="11" t="s">
        <v>1680</v>
      </c>
      <c r="U110" s="2" t="s">
        <v>1574</v>
      </c>
      <c r="V110" s="2" t="s">
        <v>1568</v>
      </c>
      <c r="W110" s="2" t="s">
        <v>1569</v>
      </c>
      <c r="X110" s="2" t="s">
        <v>1570</v>
      </c>
      <c r="AB110" s="2" t="s">
        <v>1571</v>
      </c>
    </row>
    <row r="111">
      <c r="A111" s="2" t="s">
        <v>1653</v>
      </c>
      <c r="B111" s="2">
        <v>9.0</v>
      </c>
      <c r="C111" s="2" t="s">
        <v>11</v>
      </c>
      <c r="D111" s="2" t="s">
        <v>1648</v>
      </c>
      <c r="E111" s="2">
        <v>7.0</v>
      </c>
      <c r="F111" s="2" t="s">
        <v>10</v>
      </c>
      <c r="G111" s="5">
        <v>2787198.0</v>
      </c>
      <c r="H111" s="2" t="s">
        <v>1575</v>
      </c>
      <c r="I111" s="2" t="s">
        <v>1565</v>
      </c>
      <c r="J111" s="2">
        <v>10007.0</v>
      </c>
      <c r="K111" s="2" t="s">
        <v>1576</v>
      </c>
      <c r="L111" s="2"/>
      <c r="M111" s="2"/>
      <c r="N111" s="7">
        <v>2.0</v>
      </c>
      <c r="O111" s="12">
        <v>67620.0</v>
      </c>
      <c r="P111" s="11" t="s">
        <v>1649</v>
      </c>
      <c r="Q111" s="12">
        <v>67620.0</v>
      </c>
      <c r="R111" s="11" t="s">
        <v>1649</v>
      </c>
      <c r="S111" s="11" t="s">
        <v>1723</v>
      </c>
      <c r="T111" s="11" t="s">
        <v>1724</v>
      </c>
      <c r="U111" s="2" t="s">
        <v>1574</v>
      </c>
      <c r="V111" s="2" t="s">
        <v>1568</v>
      </c>
      <c r="W111" s="2" t="s">
        <v>1569</v>
      </c>
      <c r="X111" s="2" t="s">
        <v>1570</v>
      </c>
      <c r="AB111" s="2" t="s">
        <v>1571</v>
      </c>
    </row>
    <row r="112">
      <c r="A112" s="2" t="s">
        <v>1653</v>
      </c>
      <c r="B112" s="2">
        <v>9.0</v>
      </c>
      <c r="C112" s="2" t="s">
        <v>11</v>
      </c>
      <c r="D112" s="2" t="s">
        <v>1648</v>
      </c>
      <c r="E112" s="2">
        <v>7.0</v>
      </c>
      <c r="F112" s="2" t="s">
        <v>10</v>
      </c>
      <c r="G112" s="5">
        <v>2786833.0</v>
      </c>
      <c r="H112" s="2" t="s">
        <v>1575</v>
      </c>
      <c r="I112" s="2" t="s">
        <v>1565</v>
      </c>
      <c r="J112" s="2">
        <v>10000.0</v>
      </c>
      <c r="K112" s="2" t="s">
        <v>1566</v>
      </c>
      <c r="L112" s="2"/>
      <c r="M112" s="2"/>
      <c r="N112" s="7">
        <v>1.0</v>
      </c>
      <c r="O112" s="12">
        <v>29524.0</v>
      </c>
      <c r="P112" s="11" t="s">
        <v>1649</v>
      </c>
      <c r="Q112" s="12">
        <v>29524.0</v>
      </c>
      <c r="R112" s="11" t="s">
        <v>1649</v>
      </c>
      <c r="S112" s="11" t="s">
        <v>1683</v>
      </c>
      <c r="T112" s="11" t="s">
        <v>1684</v>
      </c>
      <c r="U112" s="2" t="s">
        <v>1567</v>
      </c>
      <c r="V112" s="2" t="s">
        <v>1568</v>
      </c>
      <c r="W112" s="2" t="s">
        <v>1569</v>
      </c>
      <c r="X112" s="2" t="s">
        <v>1570</v>
      </c>
      <c r="AB112" s="2" t="s">
        <v>1571</v>
      </c>
    </row>
    <row r="113">
      <c r="A113" s="2" t="s">
        <v>1653</v>
      </c>
      <c r="B113" s="2">
        <v>8.0</v>
      </c>
      <c r="C113" s="2" t="s">
        <v>11</v>
      </c>
      <c r="D113" s="2" t="s">
        <v>1648</v>
      </c>
      <c r="E113" s="2">
        <v>7.0</v>
      </c>
      <c r="F113" s="2" t="s">
        <v>10</v>
      </c>
      <c r="G113" s="5">
        <v>2786468.0</v>
      </c>
      <c r="H113" s="2" t="s">
        <v>1564</v>
      </c>
      <c r="I113" s="2" t="s">
        <v>1565</v>
      </c>
      <c r="J113" s="2">
        <v>10005.0</v>
      </c>
      <c r="K113" s="2" t="s">
        <v>1595</v>
      </c>
      <c r="L113" s="2"/>
      <c r="M113" s="2"/>
      <c r="N113" s="7">
        <v>-1.0</v>
      </c>
      <c r="O113" s="12">
        <v>-19524.0</v>
      </c>
      <c r="P113" s="11" t="s">
        <v>1649</v>
      </c>
      <c r="Q113" s="12">
        <v>-19524.0</v>
      </c>
      <c r="R113" s="11" t="s">
        <v>1650</v>
      </c>
      <c r="S113" s="11" t="s">
        <v>1704</v>
      </c>
      <c r="T113" s="11" t="s">
        <v>1705</v>
      </c>
      <c r="U113" s="2" t="s">
        <v>1574</v>
      </c>
      <c r="V113" s="2" t="s">
        <v>1568</v>
      </c>
      <c r="W113" s="2" t="s">
        <v>1569</v>
      </c>
      <c r="X113" s="2" t="s">
        <v>1570</v>
      </c>
      <c r="AB113" s="2" t="s">
        <v>1571</v>
      </c>
    </row>
    <row r="114">
      <c r="A114" s="2" t="s">
        <v>1653</v>
      </c>
      <c r="B114" s="2">
        <v>8.0</v>
      </c>
      <c r="C114" s="2" t="s">
        <v>11</v>
      </c>
      <c r="D114" s="2" t="s">
        <v>1648</v>
      </c>
      <c r="E114" s="2">
        <v>7.0</v>
      </c>
      <c r="F114" s="2" t="s">
        <v>10</v>
      </c>
      <c r="G114" s="5">
        <v>2786468.0</v>
      </c>
      <c r="H114" s="2" t="s">
        <v>1564</v>
      </c>
      <c r="I114" s="2" t="s">
        <v>1565</v>
      </c>
      <c r="J114" s="2">
        <v>10007.0</v>
      </c>
      <c r="K114" s="2" t="s">
        <v>1576</v>
      </c>
      <c r="L114" s="2"/>
      <c r="M114" s="2"/>
      <c r="N114" s="7">
        <v>2.0</v>
      </c>
      <c r="O114" s="12">
        <v>-33810.0</v>
      </c>
      <c r="P114" s="11" t="s">
        <v>1649</v>
      </c>
      <c r="Q114" s="12">
        <v>-33810.0</v>
      </c>
      <c r="R114" s="11" t="s">
        <v>1650</v>
      </c>
      <c r="S114" s="11" t="s">
        <v>1695</v>
      </c>
      <c r="T114" s="11" t="s">
        <v>1696</v>
      </c>
      <c r="U114" s="2" t="s">
        <v>1574</v>
      </c>
      <c r="V114" s="2" t="s">
        <v>1568</v>
      </c>
      <c r="W114" s="2" t="s">
        <v>1569</v>
      </c>
      <c r="X114" s="2" t="s">
        <v>1570</v>
      </c>
      <c r="AB114" s="2" t="s">
        <v>1571</v>
      </c>
    </row>
    <row r="115">
      <c r="A115" s="2" t="s">
        <v>1653</v>
      </c>
      <c r="B115" s="2">
        <v>8.0</v>
      </c>
      <c r="C115" s="2" t="s">
        <v>11</v>
      </c>
      <c r="D115" s="2" t="s">
        <v>1648</v>
      </c>
      <c r="E115" s="2">
        <v>7.0</v>
      </c>
      <c r="F115" s="2" t="s">
        <v>10</v>
      </c>
      <c r="G115" s="5">
        <v>2786102.0</v>
      </c>
      <c r="H115" s="2" t="s">
        <v>1575</v>
      </c>
      <c r="I115" s="2" t="s">
        <v>1565</v>
      </c>
      <c r="J115" s="2">
        <v>10005.0</v>
      </c>
      <c r="K115" s="2" t="s">
        <v>1595</v>
      </c>
      <c r="L115" s="2"/>
      <c r="M115" s="2"/>
      <c r="N115" s="7">
        <v>1.0</v>
      </c>
      <c r="O115" s="12">
        <v>19524.0</v>
      </c>
      <c r="P115" s="11" t="s">
        <v>1649</v>
      </c>
      <c r="Q115" s="12">
        <v>19524.0</v>
      </c>
      <c r="R115" s="11" t="s">
        <v>1649</v>
      </c>
      <c r="S115" s="11" t="s">
        <v>1676</v>
      </c>
      <c r="T115" s="11" t="s">
        <v>1677</v>
      </c>
      <c r="U115" s="2" t="s">
        <v>1574</v>
      </c>
      <c r="V115" s="2" t="s">
        <v>1568</v>
      </c>
      <c r="W115" s="2" t="s">
        <v>1569</v>
      </c>
      <c r="X115" s="2" t="s">
        <v>1570</v>
      </c>
      <c r="AB115" s="2" t="s">
        <v>1571</v>
      </c>
    </row>
    <row r="116">
      <c r="A116" s="2" t="s">
        <v>1653</v>
      </c>
      <c r="B116" s="2">
        <v>8.0</v>
      </c>
      <c r="C116" s="2" t="s">
        <v>11</v>
      </c>
      <c r="D116" s="2" t="s">
        <v>1648</v>
      </c>
      <c r="E116" s="2">
        <v>7.0</v>
      </c>
      <c r="F116" s="2" t="s">
        <v>10</v>
      </c>
      <c r="G116" s="5">
        <v>2786102.0</v>
      </c>
      <c r="H116" s="2" t="s">
        <v>1575</v>
      </c>
      <c r="I116" s="2" t="s">
        <v>1565</v>
      </c>
      <c r="J116" s="2">
        <v>10007.0</v>
      </c>
      <c r="K116" s="2" t="s">
        <v>1576</v>
      </c>
      <c r="L116" s="2"/>
      <c r="M116" s="2"/>
      <c r="N116" s="7">
        <v>2.0</v>
      </c>
      <c r="O116" s="12">
        <v>33810.0</v>
      </c>
      <c r="P116" s="11" t="s">
        <v>1649</v>
      </c>
      <c r="Q116" s="12">
        <v>33810.0</v>
      </c>
      <c r="R116" s="11" t="s">
        <v>1649</v>
      </c>
      <c r="S116" s="11" t="s">
        <v>1701</v>
      </c>
      <c r="T116" s="11" t="s">
        <v>1703</v>
      </c>
      <c r="U116" s="2" t="s">
        <v>1574</v>
      </c>
      <c r="V116" s="2" t="s">
        <v>1568</v>
      </c>
      <c r="W116" s="2" t="s">
        <v>1569</v>
      </c>
      <c r="X116" s="2" t="s">
        <v>1570</v>
      </c>
      <c r="AB116" s="2" t="s">
        <v>1571</v>
      </c>
    </row>
    <row r="117">
      <c r="A117" s="2" t="s">
        <v>1725</v>
      </c>
      <c r="B117" s="2">
        <v>21.0</v>
      </c>
      <c r="C117" s="2" t="s">
        <v>9</v>
      </c>
      <c r="D117" s="2" t="s">
        <v>1726</v>
      </c>
      <c r="E117" s="2">
        <v>6.0</v>
      </c>
      <c r="F117" s="2" t="s">
        <v>10</v>
      </c>
      <c r="G117" s="5">
        <v>2785737.0</v>
      </c>
      <c r="H117" s="2" t="s">
        <v>1575</v>
      </c>
      <c r="I117" s="2" t="s">
        <v>1578</v>
      </c>
      <c r="J117" s="2">
        <v>10004.0</v>
      </c>
      <c r="K117" s="2" t="s">
        <v>1607</v>
      </c>
      <c r="L117" s="2"/>
      <c r="M117" s="2"/>
      <c r="N117" s="7">
        <v>1.0</v>
      </c>
      <c r="O117" s="12">
        <v>25238.0</v>
      </c>
      <c r="P117" s="11" t="s">
        <v>1649</v>
      </c>
      <c r="Q117" s="12">
        <v>25238.0</v>
      </c>
      <c r="R117" s="11" t="s">
        <v>1649</v>
      </c>
      <c r="S117" s="11" t="s">
        <v>1660</v>
      </c>
      <c r="T117" s="11" t="s">
        <v>1680</v>
      </c>
      <c r="U117" s="2" t="s">
        <v>1574</v>
      </c>
      <c r="V117" s="2" t="s">
        <v>1568</v>
      </c>
      <c r="W117" s="2" t="s">
        <v>1569</v>
      </c>
      <c r="X117" s="2" t="s">
        <v>1570</v>
      </c>
      <c r="AB117" s="2" t="s">
        <v>1571</v>
      </c>
    </row>
    <row r="118">
      <c r="A118" s="2" t="s">
        <v>1725</v>
      </c>
      <c r="B118" s="2">
        <v>19.0</v>
      </c>
      <c r="C118" s="2" t="s">
        <v>9</v>
      </c>
      <c r="D118" s="2" t="s">
        <v>1726</v>
      </c>
      <c r="E118" s="2">
        <v>6.0</v>
      </c>
      <c r="F118" s="2" t="s">
        <v>10</v>
      </c>
      <c r="G118" s="5">
        <v>2785372.0</v>
      </c>
      <c r="H118" s="2" t="s">
        <v>1575</v>
      </c>
      <c r="I118" s="2" t="s">
        <v>1572</v>
      </c>
      <c r="J118" s="2">
        <v>10013.0</v>
      </c>
      <c r="K118" s="2" t="s">
        <v>1591</v>
      </c>
      <c r="L118" s="2"/>
      <c r="M118" s="2"/>
      <c r="N118" s="7">
        <v>1.0</v>
      </c>
      <c r="O118" s="12">
        <v>23333.0</v>
      </c>
      <c r="P118" s="11" t="s">
        <v>1649</v>
      </c>
      <c r="Q118" s="12">
        <v>23333.0</v>
      </c>
      <c r="R118" s="11" t="s">
        <v>1649</v>
      </c>
      <c r="S118" s="11" t="s">
        <v>1681</v>
      </c>
      <c r="T118" s="11" t="s">
        <v>1682</v>
      </c>
      <c r="U118" s="2" t="s">
        <v>1574</v>
      </c>
      <c r="V118" s="2" t="s">
        <v>1568</v>
      </c>
      <c r="W118" s="2" t="s">
        <v>1569</v>
      </c>
      <c r="X118" s="2" t="s">
        <v>1570</v>
      </c>
      <c r="AB118" s="2" t="s">
        <v>1571</v>
      </c>
    </row>
    <row r="119">
      <c r="A119" s="2" t="s">
        <v>1725</v>
      </c>
      <c r="B119" s="2">
        <v>19.0</v>
      </c>
      <c r="C119" s="2" t="s">
        <v>9</v>
      </c>
      <c r="D119" s="2" t="s">
        <v>1726</v>
      </c>
      <c r="E119" s="2">
        <v>6.0</v>
      </c>
      <c r="F119" s="2" t="s">
        <v>10</v>
      </c>
      <c r="G119" s="5">
        <v>2785372.0</v>
      </c>
      <c r="H119" s="2" t="s">
        <v>1575</v>
      </c>
      <c r="I119" s="2" t="s">
        <v>1572</v>
      </c>
      <c r="J119" s="2">
        <v>10070.0</v>
      </c>
      <c r="K119" s="2" t="s">
        <v>1593</v>
      </c>
      <c r="L119" s="2"/>
      <c r="M119" s="2"/>
      <c r="N119" s="7">
        <v>1.0</v>
      </c>
      <c r="O119" s="12">
        <v>24762.0</v>
      </c>
      <c r="P119" s="11" t="s">
        <v>1649</v>
      </c>
      <c r="Q119" s="12">
        <v>24762.0</v>
      </c>
      <c r="R119" s="11" t="s">
        <v>1649</v>
      </c>
      <c r="S119" s="11" t="s">
        <v>1689</v>
      </c>
      <c r="T119" s="11" t="s">
        <v>1693</v>
      </c>
      <c r="U119" s="2" t="s">
        <v>1574</v>
      </c>
      <c r="V119" s="2" t="s">
        <v>1568</v>
      </c>
      <c r="W119" s="2" t="s">
        <v>1569</v>
      </c>
      <c r="X119" s="2" t="s">
        <v>1570</v>
      </c>
      <c r="AB119" s="2" t="s">
        <v>1571</v>
      </c>
    </row>
    <row r="120">
      <c r="A120" s="2" t="s">
        <v>1725</v>
      </c>
      <c r="B120" s="2">
        <v>19.0</v>
      </c>
      <c r="C120" s="2" t="s">
        <v>9</v>
      </c>
      <c r="D120" s="2" t="s">
        <v>1726</v>
      </c>
      <c r="E120" s="2">
        <v>6.0</v>
      </c>
      <c r="F120" s="2" t="s">
        <v>10</v>
      </c>
      <c r="G120" s="5">
        <v>2785372.0</v>
      </c>
      <c r="H120" s="2" t="s">
        <v>1575</v>
      </c>
      <c r="I120" s="2" t="s">
        <v>1565</v>
      </c>
      <c r="J120" s="2">
        <v>10000.0</v>
      </c>
      <c r="K120" s="2" t="s">
        <v>1566</v>
      </c>
      <c r="L120" s="2"/>
      <c r="M120" s="2"/>
      <c r="N120" s="7">
        <v>1.0</v>
      </c>
      <c r="O120" s="12">
        <v>29524.0</v>
      </c>
      <c r="P120" s="11" t="s">
        <v>1649</v>
      </c>
      <c r="Q120" s="12">
        <v>29524.0</v>
      </c>
      <c r="R120" s="11" t="s">
        <v>1649</v>
      </c>
      <c r="S120" s="11" t="s">
        <v>1683</v>
      </c>
      <c r="T120" s="11" t="s">
        <v>1684</v>
      </c>
      <c r="U120" s="2" t="s">
        <v>1574</v>
      </c>
      <c r="V120" s="2" t="s">
        <v>1568</v>
      </c>
      <c r="W120" s="2" t="s">
        <v>1569</v>
      </c>
      <c r="X120" s="2" t="s">
        <v>1570</v>
      </c>
      <c r="AB120" s="2" t="s">
        <v>1571</v>
      </c>
    </row>
    <row r="121">
      <c r="A121" s="2" t="s">
        <v>1725</v>
      </c>
      <c r="B121" s="2">
        <v>19.0</v>
      </c>
      <c r="C121" s="2" t="s">
        <v>9</v>
      </c>
      <c r="D121" s="2" t="s">
        <v>1726</v>
      </c>
      <c r="E121" s="2">
        <v>6.0</v>
      </c>
      <c r="F121" s="2" t="s">
        <v>10</v>
      </c>
      <c r="G121" s="5">
        <v>2785007.0</v>
      </c>
      <c r="H121" s="2" t="s">
        <v>1575</v>
      </c>
      <c r="I121" s="2" t="s">
        <v>1565</v>
      </c>
      <c r="J121" s="2">
        <v>10054.0</v>
      </c>
      <c r="K121" s="2" t="s">
        <v>1610</v>
      </c>
      <c r="L121" s="2"/>
      <c r="M121" s="2"/>
      <c r="N121" s="7">
        <v>1.0</v>
      </c>
      <c r="O121" s="12">
        <v>25238.0</v>
      </c>
      <c r="P121" s="11" t="s">
        <v>1649</v>
      </c>
      <c r="Q121" s="12">
        <v>25238.0</v>
      </c>
      <c r="R121" s="11" t="s">
        <v>1649</v>
      </c>
      <c r="S121" s="11" t="s">
        <v>1660</v>
      </c>
      <c r="T121" s="11" t="s">
        <v>1680</v>
      </c>
      <c r="U121" s="2" t="s">
        <v>1574</v>
      </c>
      <c r="V121" s="2" t="s">
        <v>1568</v>
      </c>
      <c r="W121" s="2" t="s">
        <v>1569</v>
      </c>
      <c r="X121" s="2" t="s">
        <v>1570</v>
      </c>
      <c r="AB121" s="2" t="s">
        <v>1571</v>
      </c>
    </row>
    <row r="122">
      <c r="A122" s="2" t="s">
        <v>1725</v>
      </c>
      <c r="B122" s="2">
        <v>19.0</v>
      </c>
      <c r="C122" s="2" t="s">
        <v>9</v>
      </c>
      <c r="D122" s="2" t="s">
        <v>1726</v>
      </c>
      <c r="E122" s="2">
        <v>6.0</v>
      </c>
      <c r="F122" s="2" t="s">
        <v>10</v>
      </c>
      <c r="G122" s="5">
        <v>2785007.0</v>
      </c>
      <c r="H122" s="2" t="s">
        <v>1575</v>
      </c>
      <c r="I122" s="2" t="s">
        <v>1578</v>
      </c>
      <c r="J122" s="2">
        <v>10051.0</v>
      </c>
      <c r="K122" s="2" t="s">
        <v>1579</v>
      </c>
      <c r="L122" s="2"/>
      <c r="M122" s="2"/>
      <c r="N122" s="7">
        <v>1.0</v>
      </c>
      <c r="O122" s="12">
        <v>25238.0</v>
      </c>
      <c r="P122" s="11" t="s">
        <v>1649</v>
      </c>
      <c r="Q122" s="12">
        <v>25238.0</v>
      </c>
      <c r="R122" s="11" t="s">
        <v>1649</v>
      </c>
      <c r="S122" s="11" t="s">
        <v>1660</v>
      </c>
      <c r="T122" s="11" t="s">
        <v>1680</v>
      </c>
      <c r="U122" s="2" t="s">
        <v>1574</v>
      </c>
      <c r="V122" s="2" t="s">
        <v>1568</v>
      </c>
      <c r="W122" s="2" t="s">
        <v>1569</v>
      </c>
      <c r="X122" s="2" t="s">
        <v>1570</v>
      </c>
      <c r="AB122" s="2" t="s">
        <v>1571</v>
      </c>
    </row>
    <row r="123">
      <c r="A123" s="2" t="s">
        <v>1725</v>
      </c>
      <c r="B123" s="2">
        <v>18.0</v>
      </c>
      <c r="C123" s="2" t="s">
        <v>9</v>
      </c>
      <c r="D123" s="2" t="s">
        <v>1726</v>
      </c>
      <c r="E123" s="2">
        <v>6.0</v>
      </c>
      <c r="F123" s="2" t="s">
        <v>10</v>
      </c>
      <c r="G123" s="5">
        <v>2784641.0</v>
      </c>
      <c r="H123" s="2" t="s">
        <v>1575</v>
      </c>
      <c r="I123" s="2" t="s">
        <v>1572</v>
      </c>
      <c r="J123" s="2">
        <v>10106.0</v>
      </c>
      <c r="K123" s="2" t="s">
        <v>1598</v>
      </c>
      <c r="L123" s="2"/>
      <c r="M123" s="2"/>
      <c r="N123" s="7">
        <v>1.0</v>
      </c>
      <c r="O123" s="12">
        <v>26667.0</v>
      </c>
      <c r="P123" s="11" t="s">
        <v>1649</v>
      </c>
      <c r="Q123" s="12">
        <v>26667.0</v>
      </c>
      <c r="R123" s="11" t="s">
        <v>1649</v>
      </c>
      <c r="S123" s="11" t="s">
        <v>1674</v>
      </c>
      <c r="T123" s="11" t="s">
        <v>1679</v>
      </c>
      <c r="U123" s="2" t="s">
        <v>1574</v>
      </c>
      <c r="V123" s="2" t="s">
        <v>1568</v>
      </c>
      <c r="W123" s="2" t="s">
        <v>1569</v>
      </c>
      <c r="X123" s="2" t="s">
        <v>1570</v>
      </c>
      <c r="AB123" s="2" t="s">
        <v>1571</v>
      </c>
    </row>
    <row r="124">
      <c r="A124" s="2" t="s">
        <v>1725</v>
      </c>
      <c r="B124" s="2">
        <v>18.0</v>
      </c>
      <c r="C124" s="2" t="s">
        <v>9</v>
      </c>
      <c r="D124" s="2" t="s">
        <v>1726</v>
      </c>
      <c r="E124" s="2">
        <v>6.0</v>
      </c>
      <c r="F124" s="2" t="s">
        <v>10</v>
      </c>
      <c r="G124" s="5">
        <v>2784641.0</v>
      </c>
      <c r="H124" s="2" t="s">
        <v>1575</v>
      </c>
      <c r="I124" s="2" t="s">
        <v>1580</v>
      </c>
      <c r="J124" s="2">
        <v>10104.0</v>
      </c>
      <c r="K124" s="2" t="s">
        <v>1581</v>
      </c>
      <c r="L124" s="2"/>
      <c r="M124" s="2"/>
      <c r="N124" s="7">
        <v>1.0</v>
      </c>
      <c r="O124" s="12">
        <v>34762.0</v>
      </c>
      <c r="P124" s="11" t="s">
        <v>1649</v>
      </c>
      <c r="Q124" s="12">
        <v>34762.0</v>
      </c>
      <c r="R124" s="11" t="s">
        <v>1649</v>
      </c>
      <c r="S124" s="11" t="s">
        <v>1670</v>
      </c>
      <c r="T124" s="11" t="s">
        <v>1671</v>
      </c>
      <c r="U124" s="2" t="s">
        <v>1574</v>
      </c>
      <c r="V124" s="2" t="s">
        <v>1568</v>
      </c>
      <c r="W124" s="2" t="s">
        <v>1569</v>
      </c>
      <c r="X124" s="2" t="s">
        <v>1570</v>
      </c>
      <c r="AB124" s="2" t="s">
        <v>1571</v>
      </c>
    </row>
    <row r="125">
      <c r="A125" s="2" t="s">
        <v>1725</v>
      </c>
      <c r="B125" s="2">
        <v>18.0</v>
      </c>
      <c r="C125" s="2" t="s">
        <v>9</v>
      </c>
      <c r="D125" s="2" t="s">
        <v>1726</v>
      </c>
      <c r="E125" s="2">
        <v>6.0</v>
      </c>
      <c r="F125" s="2" t="s">
        <v>10</v>
      </c>
      <c r="G125" s="5">
        <v>2784641.0</v>
      </c>
      <c r="H125" s="2" t="s">
        <v>1575</v>
      </c>
      <c r="I125" s="2" t="s">
        <v>1580</v>
      </c>
      <c r="J125" s="2">
        <v>10105.0</v>
      </c>
      <c r="K125" s="2" t="s">
        <v>1611</v>
      </c>
      <c r="L125" s="2"/>
      <c r="M125" s="2"/>
      <c r="N125" s="7">
        <v>1.0</v>
      </c>
      <c r="O125" s="12">
        <v>38095.0</v>
      </c>
      <c r="P125" s="11" t="s">
        <v>1649</v>
      </c>
      <c r="Q125" s="12">
        <v>38095.0</v>
      </c>
      <c r="R125" s="11" t="s">
        <v>1649</v>
      </c>
      <c r="S125" s="11" t="s">
        <v>1727</v>
      </c>
      <c r="T125" s="11" t="s">
        <v>1728</v>
      </c>
      <c r="U125" s="2" t="s">
        <v>1574</v>
      </c>
      <c r="V125" s="2" t="s">
        <v>1568</v>
      </c>
      <c r="W125" s="2" t="s">
        <v>1569</v>
      </c>
      <c r="X125" s="2" t="s">
        <v>1570</v>
      </c>
      <c r="AB125" s="2" t="s">
        <v>1571</v>
      </c>
    </row>
    <row r="126">
      <c r="A126" s="2" t="s">
        <v>1725</v>
      </c>
      <c r="B126" s="2">
        <v>18.0</v>
      </c>
      <c r="C126" s="2" t="s">
        <v>9</v>
      </c>
      <c r="D126" s="2" t="s">
        <v>1726</v>
      </c>
      <c r="E126" s="2">
        <v>6.0</v>
      </c>
      <c r="F126" s="2" t="s">
        <v>10</v>
      </c>
      <c r="G126" s="5">
        <v>2784641.0</v>
      </c>
      <c r="H126" s="2" t="s">
        <v>1575</v>
      </c>
      <c r="I126" s="2" t="s">
        <v>1578</v>
      </c>
      <c r="J126" s="2">
        <v>10014.0</v>
      </c>
      <c r="K126" s="2" t="s">
        <v>1609</v>
      </c>
      <c r="L126" s="2"/>
      <c r="M126" s="2"/>
      <c r="N126" s="7">
        <v>1.0</v>
      </c>
      <c r="O126" s="12">
        <v>25238.0</v>
      </c>
      <c r="P126" s="11" t="s">
        <v>1649</v>
      </c>
      <c r="Q126" s="12">
        <v>25238.0</v>
      </c>
      <c r="R126" s="11" t="s">
        <v>1649</v>
      </c>
      <c r="S126" s="11" t="s">
        <v>1660</v>
      </c>
      <c r="T126" s="11" t="s">
        <v>1680</v>
      </c>
      <c r="U126" s="2" t="s">
        <v>1574</v>
      </c>
      <c r="V126" s="2" t="s">
        <v>1568</v>
      </c>
      <c r="W126" s="2" t="s">
        <v>1569</v>
      </c>
      <c r="X126" s="2" t="s">
        <v>1570</v>
      </c>
      <c r="AB126" s="2" t="s">
        <v>1571</v>
      </c>
    </row>
    <row r="127">
      <c r="A127" s="2" t="s">
        <v>1725</v>
      </c>
      <c r="B127" s="2">
        <v>18.0</v>
      </c>
      <c r="C127" s="2" t="s">
        <v>9</v>
      </c>
      <c r="D127" s="2" t="s">
        <v>1726</v>
      </c>
      <c r="E127" s="2">
        <v>6.0</v>
      </c>
      <c r="F127" s="2" t="s">
        <v>10</v>
      </c>
      <c r="G127" s="5">
        <v>2784641.0</v>
      </c>
      <c r="H127" s="2" t="s">
        <v>1575</v>
      </c>
      <c r="I127" s="2" t="s">
        <v>1580</v>
      </c>
      <c r="J127" s="2">
        <v>10003.0</v>
      </c>
      <c r="K127" s="2" t="s">
        <v>1603</v>
      </c>
      <c r="L127" s="2"/>
      <c r="M127" s="2"/>
      <c r="N127" s="7">
        <v>1.0</v>
      </c>
      <c r="O127" s="12">
        <v>29524.0</v>
      </c>
      <c r="P127" s="11" t="s">
        <v>1649</v>
      </c>
      <c r="Q127" s="12">
        <v>29524.0</v>
      </c>
      <c r="R127" s="11" t="s">
        <v>1649</v>
      </c>
      <c r="S127" s="11" t="s">
        <v>1683</v>
      </c>
      <c r="T127" s="11" t="s">
        <v>1684</v>
      </c>
      <c r="U127" s="2" t="s">
        <v>1574</v>
      </c>
      <c r="V127" s="2" t="s">
        <v>1568</v>
      </c>
      <c r="W127" s="2" t="s">
        <v>1569</v>
      </c>
      <c r="X127" s="2" t="s">
        <v>1570</v>
      </c>
      <c r="AB127" s="2" t="s">
        <v>1571</v>
      </c>
    </row>
    <row r="128">
      <c r="A128" s="2" t="s">
        <v>1725</v>
      </c>
      <c r="B128" s="2">
        <v>18.0</v>
      </c>
      <c r="C128" s="2" t="s">
        <v>9</v>
      </c>
      <c r="D128" s="2" t="s">
        <v>1726</v>
      </c>
      <c r="E128" s="2">
        <v>6.0</v>
      </c>
      <c r="F128" s="2" t="s">
        <v>10</v>
      </c>
      <c r="G128" s="5">
        <v>2784276.0</v>
      </c>
      <c r="H128" s="2" t="s">
        <v>1575</v>
      </c>
      <c r="I128" s="2" t="s">
        <v>1572</v>
      </c>
      <c r="J128" s="2">
        <v>10118.0</v>
      </c>
      <c r="K128" s="2" t="s">
        <v>1604</v>
      </c>
      <c r="L128" s="2"/>
      <c r="M128" s="2"/>
      <c r="N128" s="7">
        <v>1.0</v>
      </c>
      <c r="O128" s="12">
        <v>7143.0</v>
      </c>
      <c r="P128" s="11" t="s">
        <v>1649</v>
      </c>
      <c r="Q128" s="12">
        <v>7143.0</v>
      </c>
      <c r="R128" s="11" t="s">
        <v>1649</v>
      </c>
      <c r="S128" s="11" t="s">
        <v>1672</v>
      </c>
      <c r="T128" s="11" t="s">
        <v>1673</v>
      </c>
      <c r="U128" s="2" t="s">
        <v>1574</v>
      </c>
      <c r="V128" s="2" t="s">
        <v>1568</v>
      </c>
      <c r="W128" s="2" t="s">
        <v>1569</v>
      </c>
      <c r="X128" s="2" t="s">
        <v>1570</v>
      </c>
      <c r="AB128" s="2" t="s">
        <v>1571</v>
      </c>
    </row>
    <row r="129">
      <c r="A129" s="2" t="s">
        <v>1725</v>
      </c>
      <c r="B129" s="2">
        <v>18.0</v>
      </c>
      <c r="C129" s="2" t="s">
        <v>9</v>
      </c>
      <c r="D129" s="2" t="s">
        <v>1726</v>
      </c>
      <c r="E129" s="2">
        <v>6.0</v>
      </c>
      <c r="F129" s="2" t="s">
        <v>10</v>
      </c>
      <c r="G129" s="5">
        <v>2783911.0</v>
      </c>
      <c r="H129" s="2" t="s">
        <v>1575</v>
      </c>
      <c r="I129" s="2" t="s">
        <v>1580</v>
      </c>
      <c r="J129" s="2">
        <v>10003.0</v>
      </c>
      <c r="K129" s="2" t="s">
        <v>1603</v>
      </c>
      <c r="L129" s="2"/>
      <c r="M129" s="2"/>
      <c r="N129" s="7">
        <v>1.0</v>
      </c>
      <c r="O129" s="12">
        <v>29524.0</v>
      </c>
      <c r="P129" s="11" t="s">
        <v>1649</v>
      </c>
      <c r="Q129" s="12">
        <v>29524.0</v>
      </c>
      <c r="R129" s="11" t="s">
        <v>1649</v>
      </c>
      <c r="S129" s="11" t="s">
        <v>1683</v>
      </c>
      <c r="T129" s="11" t="s">
        <v>1684</v>
      </c>
      <c r="U129" s="2" t="s">
        <v>1574</v>
      </c>
      <c r="V129" s="2" t="s">
        <v>1568</v>
      </c>
      <c r="W129" s="2" t="s">
        <v>1569</v>
      </c>
      <c r="X129" s="2" t="s">
        <v>1570</v>
      </c>
      <c r="AB129" s="2" t="s">
        <v>1571</v>
      </c>
    </row>
    <row r="130">
      <c r="A130" s="2" t="s">
        <v>1725</v>
      </c>
      <c r="B130" s="2">
        <v>18.0</v>
      </c>
      <c r="C130" s="2" t="s">
        <v>9</v>
      </c>
      <c r="D130" s="2" t="s">
        <v>1726</v>
      </c>
      <c r="E130" s="2">
        <v>6.0</v>
      </c>
      <c r="F130" s="2" t="s">
        <v>10</v>
      </c>
      <c r="G130" s="5">
        <v>2783911.0</v>
      </c>
      <c r="H130" s="2" t="s">
        <v>1575</v>
      </c>
      <c r="I130" s="2" t="s">
        <v>1572</v>
      </c>
      <c r="J130" s="2">
        <v>10128.0</v>
      </c>
      <c r="K130" s="2" t="s">
        <v>1588</v>
      </c>
      <c r="L130" s="2"/>
      <c r="M130" s="2"/>
      <c r="N130" s="7">
        <v>1.0</v>
      </c>
      <c r="O130" s="12">
        <v>23333.0</v>
      </c>
      <c r="P130" s="11" t="s">
        <v>1649</v>
      </c>
      <c r="Q130" s="12">
        <v>23333.0</v>
      </c>
      <c r="R130" s="11" t="s">
        <v>1649</v>
      </c>
      <c r="S130" s="11" t="s">
        <v>1681</v>
      </c>
      <c r="T130" s="11" t="s">
        <v>1682</v>
      </c>
      <c r="U130" s="2" t="s">
        <v>1574</v>
      </c>
      <c r="V130" s="2" t="s">
        <v>1568</v>
      </c>
      <c r="W130" s="2" t="s">
        <v>1569</v>
      </c>
      <c r="X130" s="2" t="s">
        <v>1570</v>
      </c>
      <c r="AB130" s="2" t="s">
        <v>1571</v>
      </c>
    </row>
    <row r="131">
      <c r="A131" s="2" t="s">
        <v>1725</v>
      </c>
      <c r="B131" s="2">
        <v>17.0</v>
      </c>
      <c r="C131" s="2" t="s">
        <v>9</v>
      </c>
      <c r="D131" s="2" t="s">
        <v>1726</v>
      </c>
      <c r="E131" s="2">
        <v>6.0</v>
      </c>
      <c r="F131" s="2" t="s">
        <v>10</v>
      </c>
      <c r="G131" s="5">
        <v>2783546.0</v>
      </c>
      <c r="H131" s="2" t="s">
        <v>1575</v>
      </c>
      <c r="I131" s="2" t="s">
        <v>1572</v>
      </c>
      <c r="J131" s="2">
        <v>10128.0</v>
      </c>
      <c r="K131" s="2" t="s">
        <v>1588</v>
      </c>
      <c r="L131" s="2"/>
      <c r="M131" s="2"/>
      <c r="N131" s="7">
        <v>1.0</v>
      </c>
      <c r="O131" s="12">
        <v>23333.0</v>
      </c>
      <c r="P131" s="11" t="s">
        <v>1649</v>
      </c>
      <c r="Q131" s="12">
        <v>23333.0</v>
      </c>
      <c r="R131" s="11" t="s">
        <v>1649</v>
      </c>
      <c r="S131" s="11" t="s">
        <v>1681</v>
      </c>
      <c r="T131" s="11" t="s">
        <v>1682</v>
      </c>
      <c r="U131" s="2" t="s">
        <v>1574</v>
      </c>
      <c r="V131" s="2" t="s">
        <v>1568</v>
      </c>
      <c r="W131" s="2" t="s">
        <v>1569</v>
      </c>
      <c r="X131" s="2" t="s">
        <v>1570</v>
      </c>
      <c r="AB131" s="2" t="s">
        <v>1571</v>
      </c>
    </row>
    <row r="132">
      <c r="A132" s="2" t="s">
        <v>1725</v>
      </c>
      <c r="B132" s="2">
        <v>17.0</v>
      </c>
      <c r="C132" s="2" t="s">
        <v>9</v>
      </c>
      <c r="D132" s="2" t="s">
        <v>1726</v>
      </c>
      <c r="E132" s="2">
        <v>6.0</v>
      </c>
      <c r="F132" s="2" t="s">
        <v>10</v>
      </c>
      <c r="G132" s="5">
        <v>2783546.0</v>
      </c>
      <c r="H132" s="2" t="s">
        <v>1575</v>
      </c>
      <c r="I132" s="2" t="s">
        <v>1580</v>
      </c>
      <c r="J132" s="2">
        <v>10053.0</v>
      </c>
      <c r="K132" s="2" t="s">
        <v>1612</v>
      </c>
      <c r="L132" s="2"/>
      <c r="M132" s="2"/>
      <c r="N132" s="7">
        <v>1.0</v>
      </c>
      <c r="O132" s="12">
        <v>25238.0</v>
      </c>
      <c r="P132" s="11" t="s">
        <v>1649</v>
      </c>
      <c r="Q132" s="12">
        <v>25238.0</v>
      </c>
      <c r="R132" s="11" t="s">
        <v>1649</v>
      </c>
      <c r="S132" s="11" t="s">
        <v>1660</v>
      </c>
      <c r="T132" s="11" t="s">
        <v>1680</v>
      </c>
      <c r="U132" s="2" t="s">
        <v>1574</v>
      </c>
      <c r="V132" s="2" t="s">
        <v>1568</v>
      </c>
      <c r="W132" s="2" t="s">
        <v>1569</v>
      </c>
      <c r="X132" s="2" t="s">
        <v>1570</v>
      </c>
      <c r="AB132" s="2" t="s">
        <v>1571</v>
      </c>
    </row>
    <row r="133">
      <c r="A133" s="2" t="s">
        <v>1725</v>
      </c>
      <c r="B133" s="2">
        <v>17.0</v>
      </c>
      <c r="C133" s="2" t="s">
        <v>9</v>
      </c>
      <c r="D133" s="2" t="s">
        <v>1726</v>
      </c>
      <c r="E133" s="2">
        <v>6.0</v>
      </c>
      <c r="F133" s="2" t="s">
        <v>10</v>
      </c>
      <c r="G133" s="5">
        <v>2783180.0</v>
      </c>
      <c r="H133" s="2" t="s">
        <v>1564</v>
      </c>
      <c r="I133" s="2" t="s">
        <v>1572</v>
      </c>
      <c r="J133" s="2">
        <v>10128.0</v>
      </c>
      <c r="K133" s="2" t="s">
        <v>1588</v>
      </c>
      <c r="L133" s="2"/>
      <c r="M133" s="2"/>
      <c r="N133" s="7">
        <v>-1.0</v>
      </c>
      <c r="O133" s="12">
        <v>-23333.0</v>
      </c>
      <c r="P133" s="11" t="s">
        <v>1649</v>
      </c>
      <c r="Q133" s="12">
        <v>-23333.0</v>
      </c>
      <c r="R133" s="11" t="s">
        <v>1650</v>
      </c>
      <c r="S133" s="11" t="s">
        <v>1706</v>
      </c>
      <c r="T133" s="11" t="s">
        <v>1729</v>
      </c>
      <c r="U133" s="2" t="s">
        <v>1574</v>
      </c>
      <c r="V133" s="2" t="s">
        <v>1568</v>
      </c>
      <c r="W133" s="2" t="s">
        <v>1569</v>
      </c>
      <c r="X133" s="2" t="s">
        <v>1570</v>
      </c>
      <c r="AB133" s="2" t="s">
        <v>1571</v>
      </c>
    </row>
    <row r="134">
      <c r="A134" s="2" t="s">
        <v>1725</v>
      </c>
      <c r="B134" s="2">
        <v>17.0</v>
      </c>
      <c r="C134" s="2" t="s">
        <v>9</v>
      </c>
      <c r="D134" s="2" t="s">
        <v>1726</v>
      </c>
      <c r="E134" s="2">
        <v>6.0</v>
      </c>
      <c r="F134" s="2" t="s">
        <v>10</v>
      </c>
      <c r="G134" s="5">
        <v>2783180.0</v>
      </c>
      <c r="H134" s="2" t="s">
        <v>1564</v>
      </c>
      <c r="I134" s="2" t="s">
        <v>1580</v>
      </c>
      <c r="J134" s="2">
        <v>10053.0</v>
      </c>
      <c r="K134" s="2" t="s">
        <v>1612</v>
      </c>
      <c r="L134" s="2"/>
      <c r="M134" s="2"/>
      <c r="N134" s="7">
        <v>-1.0</v>
      </c>
      <c r="O134" s="12">
        <v>-25238.0</v>
      </c>
      <c r="P134" s="11" t="s">
        <v>1649</v>
      </c>
      <c r="Q134" s="12">
        <v>-25238.0</v>
      </c>
      <c r="R134" s="11" t="s">
        <v>1650</v>
      </c>
      <c r="S134" s="11" t="s">
        <v>1730</v>
      </c>
      <c r="T134" s="11" t="s">
        <v>1731</v>
      </c>
      <c r="U134" s="2" t="s">
        <v>1574</v>
      </c>
      <c r="V134" s="2" t="s">
        <v>1568</v>
      </c>
      <c r="W134" s="2" t="s">
        <v>1569</v>
      </c>
      <c r="X134" s="2" t="s">
        <v>1570</v>
      </c>
      <c r="AB134" s="2" t="s">
        <v>1571</v>
      </c>
    </row>
    <row r="135">
      <c r="A135" s="2" t="s">
        <v>1725</v>
      </c>
      <c r="B135" s="2">
        <v>16.0</v>
      </c>
      <c r="C135" s="2" t="s">
        <v>9</v>
      </c>
      <c r="D135" s="2" t="s">
        <v>1726</v>
      </c>
      <c r="E135" s="2">
        <v>6.0</v>
      </c>
      <c r="F135" s="2" t="s">
        <v>10</v>
      </c>
      <c r="G135" s="5">
        <v>2782815.0</v>
      </c>
      <c r="H135" s="2" t="s">
        <v>1575</v>
      </c>
      <c r="I135" s="2" t="s">
        <v>1572</v>
      </c>
      <c r="J135" s="2">
        <v>10122.0</v>
      </c>
      <c r="K135" s="2" t="s">
        <v>1577</v>
      </c>
      <c r="L135" s="2"/>
      <c r="M135" s="2"/>
      <c r="N135" s="7">
        <v>1.0</v>
      </c>
      <c r="O135" s="12">
        <v>21905.0</v>
      </c>
      <c r="P135" s="11" t="s">
        <v>1649</v>
      </c>
      <c r="Q135" s="12">
        <v>21905.0</v>
      </c>
      <c r="R135" s="11" t="s">
        <v>1649</v>
      </c>
      <c r="S135" s="11" t="s">
        <v>1666</v>
      </c>
      <c r="T135" s="11" t="s">
        <v>1667</v>
      </c>
      <c r="U135" s="2" t="s">
        <v>1574</v>
      </c>
      <c r="V135" s="2" t="s">
        <v>1568</v>
      </c>
      <c r="W135" s="2" t="s">
        <v>1569</v>
      </c>
      <c r="X135" s="2" t="s">
        <v>1570</v>
      </c>
      <c r="AB135" s="2" t="s">
        <v>1571</v>
      </c>
    </row>
    <row r="136">
      <c r="A136" s="2" t="s">
        <v>1725</v>
      </c>
      <c r="B136" s="2">
        <v>16.0</v>
      </c>
      <c r="C136" s="2" t="s">
        <v>9</v>
      </c>
      <c r="D136" s="2" t="s">
        <v>1726</v>
      </c>
      <c r="E136" s="2">
        <v>6.0</v>
      </c>
      <c r="F136" s="2" t="s">
        <v>10</v>
      </c>
      <c r="G136" s="5">
        <v>2782815.0</v>
      </c>
      <c r="H136" s="2" t="s">
        <v>1575</v>
      </c>
      <c r="I136" s="2" t="s">
        <v>1572</v>
      </c>
      <c r="J136" s="2">
        <v>10125.0</v>
      </c>
      <c r="K136" s="2" t="s">
        <v>1601</v>
      </c>
      <c r="L136" s="2"/>
      <c r="M136" s="2"/>
      <c r="N136" s="7">
        <v>1.0</v>
      </c>
      <c r="O136" s="12">
        <v>20476.0</v>
      </c>
      <c r="P136" s="11" t="s">
        <v>1649</v>
      </c>
      <c r="Q136" s="12">
        <v>20476.0</v>
      </c>
      <c r="R136" s="11" t="s">
        <v>1649</v>
      </c>
      <c r="S136" s="11" t="s">
        <v>1716</v>
      </c>
      <c r="T136" s="11" t="s">
        <v>1717</v>
      </c>
      <c r="U136" s="2" t="s">
        <v>1574</v>
      </c>
      <c r="V136" s="2" t="s">
        <v>1568</v>
      </c>
      <c r="W136" s="2" t="s">
        <v>1569</v>
      </c>
      <c r="X136" s="2" t="s">
        <v>1570</v>
      </c>
      <c r="AB136" s="2" t="s">
        <v>1571</v>
      </c>
    </row>
    <row r="137">
      <c r="A137" s="2" t="s">
        <v>1725</v>
      </c>
      <c r="B137" s="2">
        <v>16.0</v>
      </c>
      <c r="C137" s="2" t="s">
        <v>9</v>
      </c>
      <c r="D137" s="2" t="s">
        <v>1726</v>
      </c>
      <c r="E137" s="2">
        <v>6.0</v>
      </c>
      <c r="F137" s="2" t="s">
        <v>10</v>
      </c>
      <c r="G137" s="5">
        <v>2782450.0</v>
      </c>
      <c r="H137" s="2" t="s">
        <v>1575</v>
      </c>
      <c r="I137" s="2" t="s">
        <v>1572</v>
      </c>
      <c r="J137" s="2">
        <v>10057.0</v>
      </c>
      <c r="K137" s="2" t="s">
        <v>1608</v>
      </c>
      <c r="L137" s="2"/>
      <c r="M137" s="2"/>
      <c r="N137" s="7">
        <v>1.0</v>
      </c>
      <c r="O137" s="12">
        <v>19524.0</v>
      </c>
      <c r="P137" s="11" t="s">
        <v>1649</v>
      </c>
      <c r="Q137" s="12">
        <v>19524.0</v>
      </c>
      <c r="R137" s="11" t="s">
        <v>1649</v>
      </c>
      <c r="S137" s="11" t="s">
        <v>1676</v>
      </c>
      <c r="T137" s="11" t="s">
        <v>1677</v>
      </c>
      <c r="U137" s="2" t="s">
        <v>1574</v>
      </c>
      <c r="V137" s="2" t="s">
        <v>1568</v>
      </c>
      <c r="W137" s="2" t="s">
        <v>1569</v>
      </c>
      <c r="X137" s="2" t="s">
        <v>1570</v>
      </c>
      <c r="AB137" s="2" t="s">
        <v>1571</v>
      </c>
    </row>
    <row r="138">
      <c r="A138" s="2" t="s">
        <v>1725</v>
      </c>
      <c r="B138" s="2">
        <v>16.0</v>
      </c>
      <c r="C138" s="2" t="s">
        <v>9</v>
      </c>
      <c r="D138" s="2" t="s">
        <v>1726</v>
      </c>
      <c r="E138" s="2">
        <v>6.0</v>
      </c>
      <c r="F138" s="2" t="s">
        <v>10</v>
      </c>
      <c r="G138" s="5">
        <v>2782450.0</v>
      </c>
      <c r="H138" s="2" t="s">
        <v>1575</v>
      </c>
      <c r="I138" s="2" t="s">
        <v>1565</v>
      </c>
      <c r="J138" s="2">
        <v>10035.0</v>
      </c>
      <c r="K138" s="2" t="s">
        <v>1613</v>
      </c>
      <c r="L138" s="2"/>
      <c r="M138" s="2"/>
      <c r="N138" s="7">
        <v>1.0</v>
      </c>
      <c r="O138" s="12">
        <v>21905.0</v>
      </c>
      <c r="P138" s="11" t="s">
        <v>1649</v>
      </c>
      <c r="Q138" s="12">
        <v>21905.0</v>
      </c>
      <c r="R138" s="11" t="s">
        <v>1649</v>
      </c>
      <c r="S138" s="11" t="s">
        <v>1666</v>
      </c>
      <c r="T138" s="11" t="s">
        <v>1667</v>
      </c>
      <c r="U138" s="2" t="s">
        <v>1574</v>
      </c>
      <c r="V138" s="2" t="s">
        <v>1568</v>
      </c>
      <c r="W138" s="2" t="s">
        <v>1569</v>
      </c>
      <c r="X138" s="2" t="s">
        <v>1570</v>
      </c>
      <c r="AB138" s="2" t="s">
        <v>1571</v>
      </c>
    </row>
    <row r="139">
      <c r="A139" s="2" t="s">
        <v>1725</v>
      </c>
      <c r="B139" s="2">
        <v>16.0</v>
      </c>
      <c r="C139" s="2" t="s">
        <v>9</v>
      </c>
      <c r="D139" s="2" t="s">
        <v>1726</v>
      </c>
      <c r="E139" s="2">
        <v>6.0</v>
      </c>
      <c r="F139" s="2" t="s">
        <v>10</v>
      </c>
      <c r="G139" s="5">
        <v>2782085.0</v>
      </c>
      <c r="H139" s="2" t="s">
        <v>1575</v>
      </c>
      <c r="I139" s="2" t="s">
        <v>1565</v>
      </c>
      <c r="J139" s="2">
        <v>10000.0</v>
      </c>
      <c r="K139" s="2" t="s">
        <v>1566</v>
      </c>
      <c r="L139" s="2"/>
      <c r="M139" s="2"/>
      <c r="N139" s="7">
        <v>2.0</v>
      </c>
      <c r="O139" s="12">
        <v>59048.0</v>
      </c>
      <c r="P139" s="11" t="s">
        <v>1649</v>
      </c>
      <c r="Q139" s="12">
        <v>59048.0</v>
      </c>
      <c r="R139" s="11" t="s">
        <v>1649</v>
      </c>
      <c r="S139" s="11" t="s">
        <v>1732</v>
      </c>
      <c r="T139" s="11" t="s">
        <v>1733</v>
      </c>
      <c r="U139" s="2" t="s">
        <v>1574</v>
      </c>
      <c r="V139" s="2" t="s">
        <v>1568</v>
      </c>
      <c r="W139" s="2" t="s">
        <v>1569</v>
      </c>
      <c r="X139" s="2" t="s">
        <v>1570</v>
      </c>
      <c r="AB139" s="2" t="s">
        <v>1571</v>
      </c>
    </row>
    <row r="140">
      <c r="A140" s="2" t="s">
        <v>1725</v>
      </c>
      <c r="B140" s="2">
        <v>15.0</v>
      </c>
      <c r="C140" s="2" t="s">
        <v>9</v>
      </c>
      <c r="D140" s="2" t="s">
        <v>1726</v>
      </c>
      <c r="E140" s="2">
        <v>6.0</v>
      </c>
      <c r="F140" s="2" t="s">
        <v>10</v>
      </c>
      <c r="G140" s="5">
        <v>2781719.0</v>
      </c>
      <c r="H140" s="2" t="s">
        <v>1575</v>
      </c>
      <c r="I140" s="2" t="s">
        <v>1580</v>
      </c>
      <c r="J140" s="2">
        <v>10003.0</v>
      </c>
      <c r="K140" s="2" t="s">
        <v>1603</v>
      </c>
      <c r="L140" s="2"/>
      <c r="M140" s="2"/>
      <c r="N140" s="7">
        <v>1.0</v>
      </c>
      <c r="O140" s="12">
        <v>29524.0</v>
      </c>
      <c r="P140" s="11" t="s">
        <v>1649</v>
      </c>
      <c r="Q140" s="12">
        <v>29524.0</v>
      </c>
      <c r="R140" s="11" t="s">
        <v>1649</v>
      </c>
      <c r="S140" s="11" t="s">
        <v>1683</v>
      </c>
      <c r="T140" s="11" t="s">
        <v>1684</v>
      </c>
      <c r="U140" s="2" t="s">
        <v>1574</v>
      </c>
      <c r="V140" s="2" t="s">
        <v>1568</v>
      </c>
      <c r="W140" s="2" t="s">
        <v>1569</v>
      </c>
      <c r="X140" s="2" t="s">
        <v>1570</v>
      </c>
      <c r="AB140" s="2" t="s">
        <v>1571</v>
      </c>
    </row>
    <row r="141">
      <c r="A141" s="2" t="s">
        <v>1725</v>
      </c>
      <c r="B141" s="2">
        <v>15.0</v>
      </c>
      <c r="C141" s="2" t="s">
        <v>9</v>
      </c>
      <c r="D141" s="2" t="s">
        <v>1726</v>
      </c>
      <c r="E141" s="2">
        <v>6.0</v>
      </c>
      <c r="F141" s="2" t="s">
        <v>10</v>
      </c>
      <c r="G141" s="5">
        <v>2781719.0</v>
      </c>
      <c r="H141" s="2" t="s">
        <v>1575</v>
      </c>
      <c r="I141" s="2" t="s">
        <v>1572</v>
      </c>
      <c r="J141" s="2">
        <v>10112.0</v>
      </c>
      <c r="K141" s="2" t="s">
        <v>1573</v>
      </c>
      <c r="L141" s="2"/>
      <c r="M141" s="2"/>
      <c r="N141" s="7">
        <v>1.0</v>
      </c>
      <c r="O141" s="12">
        <v>6667.0</v>
      </c>
      <c r="P141" s="11" t="s">
        <v>1649</v>
      </c>
      <c r="Q141" s="12">
        <v>6667.0</v>
      </c>
      <c r="R141" s="11" t="s">
        <v>1649</v>
      </c>
      <c r="S141" s="11" t="s">
        <v>1734</v>
      </c>
      <c r="T141" s="11" t="s">
        <v>1735</v>
      </c>
      <c r="U141" s="2" t="s">
        <v>1574</v>
      </c>
      <c r="V141" s="2" t="s">
        <v>1568</v>
      </c>
      <c r="W141" s="2" t="s">
        <v>1569</v>
      </c>
      <c r="X141" s="2" t="s">
        <v>1570</v>
      </c>
      <c r="AB141" s="2" t="s">
        <v>1571</v>
      </c>
    </row>
    <row r="142">
      <c r="A142" s="2" t="s">
        <v>1725</v>
      </c>
      <c r="B142" s="2">
        <v>15.0</v>
      </c>
      <c r="C142" s="2" t="s">
        <v>9</v>
      </c>
      <c r="D142" s="2" t="s">
        <v>1726</v>
      </c>
      <c r="E142" s="2">
        <v>6.0</v>
      </c>
      <c r="F142" s="2" t="s">
        <v>10</v>
      </c>
      <c r="G142" s="5">
        <v>2781354.0</v>
      </c>
      <c r="H142" s="2" t="s">
        <v>1575</v>
      </c>
      <c r="I142" s="2" t="s">
        <v>1565</v>
      </c>
      <c r="J142" s="2">
        <v>10002.0</v>
      </c>
      <c r="K142" s="2" t="s">
        <v>1576</v>
      </c>
      <c r="L142" s="2"/>
      <c r="M142" s="2"/>
      <c r="N142" s="7">
        <v>1.0</v>
      </c>
      <c r="O142" s="12">
        <v>18571.0</v>
      </c>
      <c r="P142" s="11" t="s">
        <v>1649</v>
      </c>
      <c r="Q142" s="12">
        <v>18571.0</v>
      </c>
      <c r="R142" s="11" t="s">
        <v>1649</v>
      </c>
      <c r="S142" s="11" t="s">
        <v>1656</v>
      </c>
      <c r="T142" s="11" t="s">
        <v>1657</v>
      </c>
      <c r="U142" s="2" t="s">
        <v>1574</v>
      </c>
      <c r="V142" s="2" t="s">
        <v>1568</v>
      </c>
      <c r="W142" s="2" t="s">
        <v>1569</v>
      </c>
      <c r="X142" s="2" t="s">
        <v>1570</v>
      </c>
      <c r="AB142" s="2" t="s">
        <v>1571</v>
      </c>
    </row>
    <row r="143">
      <c r="A143" s="2" t="s">
        <v>1725</v>
      </c>
      <c r="B143" s="2">
        <v>15.0</v>
      </c>
      <c r="C143" s="2" t="s">
        <v>9</v>
      </c>
      <c r="D143" s="2" t="s">
        <v>1726</v>
      </c>
      <c r="E143" s="2">
        <v>6.0</v>
      </c>
      <c r="F143" s="2" t="s">
        <v>10</v>
      </c>
      <c r="G143" s="5">
        <v>2781354.0</v>
      </c>
      <c r="H143" s="2" t="s">
        <v>1575</v>
      </c>
      <c r="I143" s="2" t="s">
        <v>1572</v>
      </c>
      <c r="J143" s="2">
        <v>10128.0</v>
      </c>
      <c r="K143" s="2" t="s">
        <v>1588</v>
      </c>
      <c r="L143" s="2"/>
      <c r="M143" s="2"/>
      <c r="N143" s="7">
        <v>1.0</v>
      </c>
      <c r="O143" s="12">
        <v>23333.0</v>
      </c>
      <c r="P143" s="11" t="s">
        <v>1649</v>
      </c>
      <c r="Q143" s="12">
        <v>23333.0</v>
      </c>
      <c r="R143" s="11" t="s">
        <v>1649</v>
      </c>
      <c r="S143" s="11" t="s">
        <v>1681</v>
      </c>
      <c r="T143" s="11" t="s">
        <v>1715</v>
      </c>
      <c r="U143" s="2" t="s">
        <v>1574</v>
      </c>
      <c r="V143" s="2" t="s">
        <v>1568</v>
      </c>
      <c r="W143" s="2" t="s">
        <v>1569</v>
      </c>
      <c r="X143" s="2" t="s">
        <v>1570</v>
      </c>
      <c r="AB143" s="2" t="s">
        <v>1571</v>
      </c>
    </row>
    <row r="144">
      <c r="A144" s="2" t="s">
        <v>1725</v>
      </c>
      <c r="B144" s="2">
        <v>15.0</v>
      </c>
      <c r="C144" s="2" t="s">
        <v>9</v>
      </c>
      <c r="D144" s="2" t="s">
        <v>1726</v>
      </c>
      <c r="E144" s="2">
        <v>6.0</v>
      </c>
      <c r="F144" s="2" t="s">
        <v>10</v>
      </c>
      <c r="G144" s="5">
        <v>2781354.0</v>
      </c>
      <c r="H144" s="2" t="s">
        <v>1575</v>
      </c>
      <c r="I144" s="2" t="s">
        <v>1572</v>
      </c>
      <c r="J144" s="2">
        <v>10112.0</v>
      </c>
      <c r="K144" s="2" t="s">
        <v>1573</v>
      </c>
      <c r="L144" s="2"/>
      <c r="M144" s="2"/>
      <c r="N144" s="7">
        <v>2.0</v>
      </c>
      <c r="O144" s="12">
        <v>13334.0</v>
      </c>
      <c r="P144" s="11" t="s">
        <v>1649</v>
      </c>
      <c r="Q144" s="12">
        <v>13334.0</v>
      </c>
      <c r="R144" s="11" t="s">
        <v>1649</v>
      </c>
      <c r="S144" s="11" t="s">
        <v>1720</v>
      </c>
      <c r="T144" s="11" t="s">
        <v>1721</v>
      </c>
      <c r="U144" s="2" t="s">
        <v>1574</v>
      </c>
      <c r="V144" s="2" t="s">
        <v>1568</v>
      </c>
      <c r="W144" s="2" t="s">
        <v>1569</v>
      </c>
      <c r="X144" s="2" t="s">
        <v>1570</v>
      </c>
      <c r="AB144" s="2" t="s">
        <v>1571</v>
      </c>
    </row>
    <row r="145">
      <c r="A145" s="2" t="s">
        <v>1725</v>
      </c>
      <c r="B145" s="2">
        <v>15.0</v>
      </c>
      <c r="C145" s="2" t="s">
        <v>9</v>
      </c>
      <c r="D145" s="2" t="s">
        <v>1726</v>
      </c>
      <c r="E145" s="2">
        <v>6.0</v>
      </c>
      <c r="F145" s="2" t="s">
        <v>10</v>
      </c>
      <c r="G145" s="5">
        <v>2780989.0</v>
      </c>
      <c r="H145" s="2" t="s">
        <v>1575</v>
      </c>
      <c r="I145" s="2" t="s">
        <v>1572</v>
      </c>
      <c r="J145" s="2">
        <v>10026.0</v>
      </c>
      <c r="K145" s="2" t="s">
        <v>1583</v>
      </c>
      <c r="L145" s="2"/>
      <c r="M145" s="2"/>
      <c r="N145" s="7">
        <v>1.0</v>
      </c>
      <c r="O145" s="12">
        <v>21905.0</v>
      </c>
      <c r="P145" s="11" t="s">
        <v>1649</v>
      </c>
      <c r="Q145" s="12">
        <v>21905.0</v>
      </c>
      <c r="R145" s="11" t="s">
        <v>1649</v>
      </c>
      <c r="S145" s="11" t="s">
        <v>1666</v>
      </c>
      <c r="T145" s="11" t="s">
        <v>1667</v>
      </c>
      <c r="U145" s="2" t="s">
        <v>1574</v>
      </c>
      <c r="V145" s="2" t="s">
        <v>1568</v>
      </c>
      <c r="W145" s="2" t="s">
        <v>1569</v>
      </c>
      <c r="X145" s="2" t="s">
        <v>1570</v>
      </c>
      <c r="AB145" s="2" t="s">
        <v>1571</v>
      </c>
    </row>
    <row r="146">
      <c r="A146" s="2" t="s">
        <v>1725</v>
      </c>
      <c r="B146" s="2">
        <v>15.0</v>
      </c>
      <c r="C146" s="2" t="s">
        <v>9</v>
      </c>
      <c r="D146" s="2" t="s">
        <v>1726</v>
      </c>
      <c r="E146" s="2">
        <v>6.0</v>
      </c>
      <c r="F146" s="2" t="s">
        <v>10</v>
      </c>
      <c r="G146" s="5">
        <v>2780989.0</v>
      </c>
      <c r="H146" s="2" t="s">
        <v>1575</v>
      </c>
      <c r="I146" s="2" t="s">
        <v>1572</v>
      </c>
      <c r="J146" s="2">
        <v>10013.0</v>
      </c>
      <c r="K146" s="2" t="s">
        <v>1591</v>
      </c>
      <c r="L146" s="2"/>
      <c r="M146" s="2"/>
      <c r="N146" s="7">
        <v>1.0</v>
      </c>
      <c r="O146" s="12">
        <v>23333.0</v>
      </c>
      <c r="P146" s="11" t="s">
        <v>1649</v>
      </c>
      <c r="Q146" s="12">
        <v>23333.0</v>
      </c>
      <c r="R146" s="11" t="s">
        <v>1649</v>
      </c>
      <c r="S146" s="11" t="s">
        <v>1681</v>
      </c>
      <c r="T146" s="11" t="s">
        <v>1682</v>
      </c>
      <c r="U146" s="2" t="s">
        <v>1574</v>
      </c>
      <c r="V146" s="2" t="s">
        <v>1568</v>
      </c>
      <c r="W146" s="2" t="s">
        <v>1569</v>
      </c>
      <c r="X146" s="2" t="s">
        <v>1570</v>
      </c>
      <c r="AB146" s="2" t="s">
        <v>1571</v>
      </c>
    </row>
    <row r="147">
      <c r="A147" s="2" t="s">
        <v>1725</v>
      </c>
      <c r="B147" s="2">
        <v>15.0</v>
      </c>
      <c r="C147" s="2" t="s">
        <v>9</v>
      </c>
      <c r="D147" s="2" t="s">
        <v>1726</v>
      </c>
      <c r="E147" s="2">
        <v>6.0</v>
      </c>
      <c r="F147" s="2" t="s">
        <v>10</v>
      </c>
      <c r="G147" s="5">
        <v>2780989.0</v>
      </c>
      <c r="H147" s="2" t="s">
        <v>1575</v>
      </c>
      <c r="I147" s="2" t="s">
        <v>1565</v>
      </c>
      <c r="J147" s="2">
        <v>10002.0</v>
      </c>
      <c r="K147" s="2" t="s">
        <v>1576</v>
      </c>
      <c r="L147" s="2"/>
      <c r="M147" s="2"/>
      <c r="N147" s="7">
        <v>1.0</v>
      </c>
      <c r="O147" s="12">
        <v>18571.0</v>
      </c>
      <c r="P147" s="11" t="s">
        <v>1649</v>
      </c>
      <c r="Q147" s="12">
        <v>18571.0</v>
      </c>
      <c r="R147" s="11" t="s">
        <v>1649</v>
      </c>
      <c r="S147" s="11" t="s">
        <v>1656</v>
      </c>
      <c r="T147" s="11" t="s">
        <v>1688</v>
      </c>
      <c r="U147" s="2" t="s">
        <v>1574</v>
      </c>
      <c r="V147" s="2" t="s">
        <v>1568</v>
      </c>
      <c r="W147" s="2" t="s">
        <v>1569</v>
      </c>
      <c r="X147" s="2" t="s">
        <v>1570</v>
      </c>
      <c r="AB147" s="2" t="s">
        <v>1571</v>
      </c>
    </row>
    <row r="148">
      <c r="A148" s="2" t="s">
        <v>1725</v>
      </c>
      <c r="B148" s="2">
        <v>15.0</v>
      </c>
      <c r="C148" s="2" t="s">
        <v>9</v>
      </c>
      <c r="D148" s="2" t="s">
        <v>1726</v>
      </c>
      <c r="E148" s="2">
        <v>6.0</v>
      </c>
      <c r="F148" s="2" t="s">
        <v>10</v>
      </c>
      <c r="G148" s="5">
        <v>2780624.0</v>
      </c>
      <c r="H148" s="2" t="s">
        <v>1575</v>
      </c>
      <c r="I148" s="2" t="s">
        <v>1565</v>
      </c>
      <c r="J148" s="2">
        <v>10054.0</v>
      </c>
      <c r="K148" s="2" t="s">
        <v>1610</v>
      </c>
      <c r="L148" s="2"/>
      <c r="M148" s="2"/>
      <c r="N148" s="7">
        <v>1.0</v>
      </c>
      <c r="O148" s="12">
        <v>25238.0</v>
      </c>
      <c r="P148" s="11" t="s">
        <v>1649</v>
      </c>
      <c r="Q148" s="12">
        <v>25238.0</v>
      </c>
      <c r="R148" s="11" t="s">
        <v>1649</v>
      </c>
      <c r="S148" s="11" t="s">
        <v>1660</v>
      </c>
      <c r="T148" s="11" t="s">
        <v>1680</v>
      </c>
      <c r="U148" s="2" t="s">
        <v>1574</v>
      </c>
      <c r="V148" s="2" t="s">
        <v>1568</v>
      </c>
      <c r="W148" s="2" t="s">
        <v>1569</v>
      </c>
      <c r="X148" s="2" t="s">
        <v>1570</v>
      </c>
      <c r="AB148" s="2" t="s">
        <v>1571</v>
      </c>
    </row>
    <row r="149">
      <c r="A149" s="2" t="s">
        <v>1725</v>
      </c>
      <c r="B149" s="2">
        <v>15.0</v>
      </c>
      <c r="C149" s="2" t="s">
        <v>9</v>
      </c>
      <c r="D149" s="2" t="s">
        <v>1726</v>
      </c>
      <c r="E149" s="2">
        <v>6.0</v>
      </c>
      <c r="F149" s="2" t="s">
        <v>10</v>
      </c>
      <c r="G149" s="5">
        <v>2780624.0</v>
      </c>
      <c r="H149" s="2" t="s">
        <v>1575</v>
      </c>
      <c r="I149" s="2" t="s">
        <v>1572</v>
      </c>
      <c r="J149" s="2">
        <v>10013.0</v>
      </c>
      <c r="K149" s="2" t="s">
        <v>1591</v>
      </c>
      <c r="L149" s="2"/>
      <c r="M149" s="2"/>
      <c r="N149" s="7">
        <v>1.0</v>
      </c>
      <c r="O149" s="12">
        <v>23333.0</v>
      </c>
      <c r="P149" s="11" t="s">
        <v>1649</v>
      </c>
      <c r="Q149" s="12">
        <v>23333.0</v>
      </c>
      <c r="R149" s="11" t="s">
        <v>1649</v>
      </c>
      <c r="S149" s="11" t="s">
        <v>1681</v>
      </c>
      <c r="T149" s="11" t="s">
        <v>1682</v>
      </c>
      <c r="U149" s="2" t="s">
        <v>1574</v>
      </c>
      <c r="V149" s="2" t="s">
        <v>1568</v>
      </c>
      <c r="W149" s="2" t="s">
        <v>1569</v>
      </c>
      <c r="X149" s="2" t="s">
        <v>1570</v>
      </c>
      <c r="AB149" s="2" t="s">
        <v>1571</v>
      </c>
    </row>
    <row r="150">
      <c r="A150" s="2" t="s">
        <v>1725</v>
      </c>
      <c r="B150" s="2">
        <v>15.0</v>
      </c>
      <c r="C150" s="2" t="s">
        <v>9</v>
      </c>
      <c r="D150" s="2" t="s">
        <v>1726</v>
      </c>
      <c r="E150" s="2">
        <v>6.0</v>
      </c>
      <c r="F150" s="2" t="s">
        <v>10</v>
      </c>
      <c r="G150" s="5">
        <v>2780258.0</v>
      </c>
      <c r="H150" s="2" t="s">
        <v>1575</v>
      </c>
      <c r="I150" s="2" t="s">
        <v>1572</v>
      </c>
      <c r="J150" s="2">
        <v>10123.0</v>
      </c>
      <c r="K150" s="2" t="s">
        <v>1599</v>
      </c>
      <c r="L150" s="2"/>
      <c r="M150" s="2"/>
      <c r="N150" s="7">
        <v>1.0</v>
      </c>
      <c r="O150" s="12">
        <v>21905.0</v>
      </c>
      <c r="P150" s="11" t="s">
        <v>1649</v>
      </c>
      <c r="Q150" s="12">
        <v>21905.0</v>
      </c>
      <c r="R150" s="11" t="s">
        <v>1649</v>
      </c>
      <c r="S150" s="11" t="s">
        <v>1666</v>
      </c>
      <c r="T150" s="11" t="s">
        <v>1667</v>
      </c>
      <c r="U150" s="2" t="s">
        <v>1574</v>
      </c>
      <c r="V150" s="2" t="s">
        <v>1568</v>
      </c>
      <c r="W150" s="2" t="s">
        <v>1569</v>
      </c>
      <c r="X150" s="2" t="s">
        <v>1570</v>
      </c>
      <c r="AB150" s="2" t="s">
        <v>1571</v>
      </c>
    </row>
    <row r="151">
      <c r="A151" s="2" t="s">
        <v>1725</v>
      </c>
      <c r="B151" s="2">
        <v>15.0</v>
      </c>
      <c r="C151" s="2" t="s">
        <v>9</v>
      </c>
      <c r="D151" s="2" t="s">
        <v>1726</v>
      </c>
      <c r="E151" s="2">
        <v>6.0</v>
      </c>
      <c r="F151" s="2" t="s">
        <v>10</v>
      </c>
      <c r="G151" s="5">
        <v>2779893.0</v>
      </c>
      <c r="H151" s="2" t="s">
        <v>1575</v>
      </c>
      <c r="I151" s="2" t="s">
        <v>1565</v>
      </c>
      <c r="J151" s="2">
        <v>10007.0</v>
      </c>
      <c r="K151" s="2" t="s">
        <v>1576</v>
      </c>
      <c r="L151" s="2"/>
      <c r="M151" s="2"/>
      <c r="N151" s="7">
        <v>2.0</v>
      </c>
      <c r="O151" s="12">
        <v>33810.0</v>
      </c>
      <c r="P151" s="11" t="s">
        <v>1649</v>
      </c>
      <c r="Q151" s="12">
        <v>33810.0</v>
      </c>
      <c r="R151" s="11" t="s">
        <v>1649</v>
      </c>
      <c r="S151" s="11" t="s">
        <v>1701</v>
      </c>
      <c r="T151" s="11" t="s">
        <v>1703</v>
      </c>
      <c r="U151" s="2" t="s">
        <v>1574</v>
      </c>
      <c r="V151" s="2" t="s">
        <v>1568</v>
      </c>
      <c r="W151" s="2" t="s">
        <v>1569</v>
      </c>
      <c r="X151" s="2" t="s">
        <v>1570</v>
      </c>
      <c r="AB151" s="2" t="s">
        <v>1571</v>
      </c>
    </row>
    <row r="152">
      <c r="A152" s="2" t="s">
        <v>1725</v>
      </c>
      <c r="B152" s="2">
        <v>15.0</v>
      </c>
      <c r="C152" s="2" t="s">
        <v>9</v>
      </c>
      <c r="D152" s="2" t="s">
        <v>1726</v>
      </c>
      <c r="E152" s="2">
        <v>6.0</v>
      </c>
      <c r="F152" s="2" t="s">
        <v>10</v>
      </c>
      <c r="G152" s="5">
        <v>2779893.0</v>
      </c>
      <c r="H152" s="2" t="s">
        <v>1575</v>
      </c>
      <c r="I152" s="2" t="s">
        <v>1565</v>
      </c>
      <c r="J152" s="2">
        <v>10055.0</v>
      </c>
      <c r="K152" s="2" t="s">
        <v>1595</v>
      </c>
      <c r="L152" s="2"/>
      <c r="M152" s="2"/>
      <c r="N152" s="7">
        <v>2.0</v>
      </c>
      <c r="O152" s="12">
        <v>69524.0</v>
      </c>
      <c r="P152" s="11" t="s">
        <v>1649</v>
      </c>
      <c r="Q152" s="12">
        <v>69524.0</v>
      </c>
      <c r="R152" s="11" t="s">
        <v>1649</v>
      </c>
      <c r="S152" s="11" t="s">
        <v>1718</v>
      </c>
      <c r="T152" s="11" t="s">
        <v>1736</v>
      </c>
      <c r="U152" s="2" t="s">
        <v>1574</v>
      </c>
      <c r="V152" s="2" t="s">
        <v>1568</v>
      </c>
      <c r="W152" s="2" t="s">
        <v>1569</v>
      </c>
      <c r="X152" s="2" t="s">
        <v>1570</v>
      </c>
      <c r="AB152" s="2" t="s">
        <v>1571</v>
      </c>
    </row>
    <row r="153">
      <c r="A153" s="2" t="s">
        <v>1725</v>
      </c>
      <c r="B153" s="2">
        <v>15.0</v>
      </c>
      <c r="C153" s="2" t="s">
        <v>9</v>
      </c>
      <c r="D153" s="2" t="s">
        <v>1726</v>
      </c>
      <c r="E153" s="2">
        <v>6.0</v>
      </c>
      <c r="F153" s="2" t="s">
        <v>10</v>
      </c>
      <c r="G153" s="5">
        <v>2779528.0</v>
      </c>
      <c r="H153" s="2" t="s">
        <v>1575</v>
      </c>
      <c r="I153" s="2" t="s">
        <v>1565</v>
      </c>
      <c r="J153" s="2">
        <v>10055.0</v>
      </c>
      <c r="K153" s="2" t="s">
        <v>1595</v>
      </c>
      <c r="L153" s="2"/>
      <c r="M153" s="2"/>
      <c r="N153" s="7">
        <v>2.0</v>
      </c>
      <c r="O153" s="12">
        <v>34762.0</v>
      </c>
      <c r="P153" s="11" t="s">
        <v>1649</v>
      </c>
      <c r="Q153" s="12">
        <v>34762.0</v>
      </c>
      <c r="R153" s="11" t="s">
        <v>1649</v>
      </c>
      <c r="S153" s="11" t="s">
        <v>1670</v>
      </c>
      <c r="T153" s="11" t="s">
        <v>1671</v>
      </c>
      <c r="U153" s="2" t="s">
        <v>1574</v>
      </c>
      <c r="V153" s="2" t="s">
        <v>1568</v>
      </c>
      <c r="W153" s="2" t="s">
        <v>1569</v>
      </c>
      <c r="X153" s="2" t="s">
        <v>1570</v>
      </c>
      <c r="AB153" s="2" t="s">
        <v>1571</v>
      </c>
    </row>
    <row r="154">
      <c r="A154" s="2" t="s">
        <v>1725</v>
      </c>
      <c r="B154" s="2">
        <v>15.0</v>
      </c>
      <c r="C154" s="2" t="s">
        <v>9</v>
      </c>
      <c r="D154" s="2" t="s">
        <v>1726</v>
      </c>
      <c r="E154" s="2">
        <v>6.0</v>
      </c>
      <c r="F154" s="2" t="s">
        <v>10</v>
      </c>
      <c r="G154" s="5">
        <v>2779163.0</v>
      </c>
      <c r="H154" s="2" t="s">
        <v>1575</v>
      </c>
      <c r="I154" s="2" t="s">
        <v>1565</v>
      </c>
      <c r="J154" s="2">
        <v>10002.0</v>
      </c>
      <c r="K154" s="2" t="s">
        <v>1576</v>
      </c>
      <c r="L154" s="2"/>
      <c r="M154" s="2"/>
      <c r="N154" s="7">
        <v>1.0</v>
      </c>
      <c r="O154" s="12">
        <v>18571.0</v>
      </c>
      <c r="P154" s="11" t="s">
        <v>1649</v>
      </c>
      <c r="Q154" s="12">
        <v>18571.0</v>
      </c>
      <c r="R154" s="11" t="s">
        <v>1649</v>
      </c>
      <c r="S154" s="11" t="s">
        <v>1656</v>
      </c>
      <c r="T154" s="11" t="s">
        <v>1657</v>
      </c>
      <c r="U154" s="2" t="s">
        <v>1574</v>
      </c>
      <c r="V154" s="2" t="s">
        <v>1568</v>
      </c>
      <c r="W154" s="2" t="s">
        <v>1569</v>
      </c>
      <c r="X154" s="2" t="s">
        <v>1570</v>
      </c>
      <c r="AB154" s="2" t="s">
        <v>1571</v>
      </c>
    </row>
    <row r="155">
      <c r="A155" s="2" t="s">
        <v>1725</v>
      </c>
      <c r="B155" s="2">
        <v>15.0</v>
      </c>
      <c r="C155" s="2" t="s">
        <v>9</v>
      </c>
      <c r="D155" s="2" t="s">
        <v>1726</v>
      </c>
      <c r="E155" s="2">
        <v>6.0</v>
      </c>
      <c r="F155" s="2" t="s">
        <v>10</v>
      </c>
      <c r="G155" s="5">
        <v>2779163.0</v>
      </c>
      <c r="H155" s="2" t="s">
        <v>1575</v>
      </c>
      <c r="I155" s="2" t="s">
        <v>1565</v>
      </c>
      <c r="J155" s="2">
        <v>10005.0</v>
      </c>
      <c r="K155" s="2" t="s">
        <v>1595</v>
      </c>
      <c r="L155" s="2"/>
      <c r="M155" s="2"/>
      <c r="N155" s="7">
        <v>1.0</v>
      </c>
      <c r="O155" s="12">
        <v>19524.0</v>
      </c>
      <c r="P155" s="11" t="s">
        <v>1649</v>
      </c>
      <c r="Q155" s="12">
        <v>19524.0</v>
      </c>
      <c r="R155" s="11" t="s">
        <v>1649</v>
      </c>
      <c r="S155" s="11" t="s">
        <v>1676</v>
      </c>
      <c r="T155" s="11" t="s">
        <v>1677</v>
      </c>
      <c r="U155" s="2" t="s">
        <v>1574</v>
      </c>
      <c r="V155" s="2" t="s">
        <v>1568</v>
      </c>
      <c r="W155" s="2" t="s">
        <v>1569</v>
      </c>
      <c r="X155" s="2" t="s">
        <v>1570</v>
      </c>
      <c r="AB155" s="2" t="s">
        <v>1571</v>
      </c>
    </row>
    <row r="156">
      <c r="A156" s="2" t="s">
        <v>1725</v>
      </c>
      <c r="B156" s="2">
        <v>14.0</v>
      </c>
      <c r="C156" s="2" t="s">
        <v>9</v>
      </c>
      <c r="D156" s="2" t="s">
        <v>1726</v>
      </c>
      <c r="E156" s="2">
        <v>6.0</v>
      </c>
      <c r="F156" s="2" t="s">
        <v>10</v>
      </c>
      <c r="G156" s="5">
        <v>2778797.0</v>
      </c>
      <c r="H156" s="2" t="s">
        <v>1575</v>
      </c>
      <c r="I156" s="2" t="s">
        <v>1565</v>
      </c>
      <c r="J156" s="2">
        <v>10007.0</v>
      </c>
      <c r="K156" s="2" t="s">
        <v>1576</v>
      </c>
      <c r="L156" s="2"/>
      <c r="M156" s="2"/>
      <c r="N156" s="7">
        <v>2.0</v>
      </c>
      <c r="O156" s="12">
        <v>33810.0</v>
      </c>
      <c r="P156" s="11" t="s">
        <v>1649</v>
      </c>
      <c r="Q156" s="12">
        <v>33810.0</v>
      </c>
      <c r="R156" s="11" t="s">
        <v>1649</v>
      </c>
      <c r="S156" s="11" t="s">
        <v>1701</v>
      </c>
      <c r="T156" s="11" t="s">
        <v>1703</v>
      </c>
      <c r="U156" s="2" t="s">
        <v>1574</v>
      </c>
      <c r="V156" s="2" t="s">
        <v>1568</v>
      </c>
      <c r="W156" s="2" t="s">
        <v>1569</v>
      </c>
      <c r="X156" s="2" t="s">
        <v>1570</v>
      </c>
      <c r="AB156" s="2" t="s">
        <v>1571</v>
      </c>
    </row>
    <row r="157">
      <c r="A157" s="2" t="s">
        <v>1725</v>
      </c>
      <c r="B157" s="2">
        <v>14.0</v>
      </c>
      <c r="C157" s="2" t="s">
        <v>9</v>
      </c>
      <c r="D157" s="2" t="s">
        <v>1726</v>
      </c>
      <c r="E157" s="2">
        <v>6.0</v>
      </c>
      <c r="F157" s="2" t="s">
        <v>10</v>
      </c>
      <c r="G157" s="5">
        <v>2778797.0</v>
      </c>
      <c r="H157" s="2" t="s">
        <v>1575</v>
      </c>
      <c r="I157" s="2" t="s">
        <v>1572</v>
      </c>
      <c r="J157" s="2">
        <v>10126.0</v>
      </c>
      <c r="K157" s="2" t="s">
        <v>1600</v>
      </c>
      <c r="L157" s="2"/>
      <c r="M157" s="2"/>
      <c r="N157" s="7">
        <v>1.0</v>
      </c>
      <c r="O157" s="12">
        <v>23810.0</v>
      </c>
      <c r="P157" s="11" t="s">
        <v>1649</v>
      </c>
      <c r="Q157" s="12">
        <v>23810.0</v>
      </c>
      <c r="R157" s="11" t="s">
        <v>1649</v>
      </c>
      <c r="S157" s="11" t="s">
        <v>1709</v>
      </c>
      <c r="T157" s="11" t="s">
        <v>1737</v>
      </c>
      <c r="U157" s="2" t="s">
        <v>1574</v>
      </c>
      <c r="V157" s="2" t="s">
        <v>1568</v>
      </c>
      <c r="W157" s="2" t="s">
        <v>1569</v>
      </c>
      <c r="X157" s="2" t="s">
        <v>1570</v>
      </c>
      <c r="AB157" s="2" t="s">
        <v>1571</v>
      </c>
    </row>
    <row r="158">
      <c r="A158" s="2" t="s">
        <v>1725</v>
      </c>
      <c r="B158" s="2">
        <v>14.0</v>
      </c>
      <c r="C158" s="2" t="s">
        <v>9</v>
      </c>
      <c r="D158" s="2" t="s">
        <v>1726</v>
      </c>
      <c r="E158" s="2">
        <v>6.0</v>
      </c>
      <c r="F158" s="2" t="s">
        <v>10</v>
      </c>
      <c r="G158" s="5">
        <v>2778797.0</v>
      </c>
      <c r="H158" s="2" t="s">
        <v>1575</v>
      </c>
      <c r="I158" s="2" t="s">
        <v>1572</v>
      </c>
      <c r="J158" s="2">
        <v>10013.0</v>
      </c>
      <c r="K158" s="2" t="s">
        <v>1591</v>
      </c>
      <c r="L158" s="2"/>
      <c r="M158" s="2"/>
      <c r="N158" s="7">
        <v>1.0</v>
      </c>
      <c r="O158" s="12">
        <v>23333.0</v>
      </c>
      <c r="P158" s="11" t="s">
        <v>1649</v>
      </c>
      <c r="Q158" s="12">
        <v>23333.0</v>
      </c>
      <c r="R158" s="11" t="s">
        <v>1649</v>
      </c>
      <c r="S158" s="11" t="s">
        <v>1681</v>
      </c>
      <c r="T158" s="11" t="s">
        <v>1682</v>
      </c>
      <c r="U158" s="2" t="s">
        <v>1574</v>
      </c>
      <c r="V158" s="2" t="s">
        <v>1568</v>
      </c>
      <c r="W158" s="2" t="s">
        <v>1569</v>
      </c>
      <c r="X158" s="2" t="s">
        <v>1570</v>
      </c>
      <c r="AB158" s="2" t="s">
        <v>1571</v>
      </c>
    </row>
    <row r="159">
      <c r="A159" s="2" t="s">
        <v>1725</v>
      </c>
      <c r="B159" s="2">
        <v>13.0</v>
      </c>
      <c r="C159" s="2" t="s">
        <v>9</v>
      </c>
      <c r="D159" s="2" t="s">
        <v>1726</v>
      </c>
      <c r="E159" s="2">
        <v>6.0</v>
      </c>
      <c r="F159" s="2" t="s">
        <v>10</v>
      </c>
      <c r="G159" s="5">
        <v>2778432.0</v>
      </c>
      <c r="H159" s="2" t="s">
        <v>1575</v>
      </c>
      <c r="I159" s="2" t="s">
        <v>1565</v>
      </c>
      <c r="J159" s="2">
        <v>10055.0</v>
      </c>
      <c r="K159" s="2" t="s">
        <v>1595</v>
      </c>
      <c r="L159" s="2"/>
      <c r="M159" s="2"/>
      <c r="N159" s="7">
        <v>2.0</v>
      </c>
      <c r="O159" s="12">
        <v>69524.0</v>
      </c>
      <c r="P159" s="11" t="s">
        <v>1649</v>
      </c>
      <c r="Q159" s="12">
        <v>69524.0</v>
      </c>
      <c r="R159" s="11" t="s">
        <v>1649</v>
      </c>
      <c r="S159" s="11" t="s">
        <v>1718</v>
      </c>
      <c r="T159" s="11" t="s">
        <v>1736</v>
      </c>
      <c r="U159" s="2" t="s">
        <v>1567</v>
      </c>
      <c r="V159" s="2" t="s">
        <v>1568</v>
      </c>
      <c r="W159" s="2" t="s">
        <v>1569</v>
      </c>
      <c r="X159" s="2" t="s">
        <v>1570</v>
      </c>
      <c r="AB159" s="2" t="s">
        <v>1571</v>
      </c>
    </row>
    <row r="160">
      <c r="A160" s="2" t="s">
        <v>1725</v>
      </c>
      <c r="B160" s="2">
        <v>13.0</v>
      </c>
      <c r="C160" s="2" t="s">
        <v>9</v>
      </c>
      <c r="D160" s="2" t="s">
        <v>1726</v>
      </c>
      <c r="E160" s="2">
        <v>6.0</v>
      </c>
      <c r="F160" s="2" t="s">
        <v>10</v>
      </c>
      <c r="G160" s="5">
        <v>2778432.0</v>
      </c>
      <c r="H160" s="2" t="s">
        <v>1575</v>
      </c>
      <c r="I160" s="2" t="s">
        <v>1565</v>
      </c>
      <c r="J160" s="2">
        <v>10000.0</v>
      </c>
      <c r="K160" s="2" t="s">
        <v>1566</v>
      </c>
      <c r="L160" s="2"/>
      <c r="M160" s="2"/>
      <c r="N160" s="7">
        <v>1.0</v>
      </c>
      <c r="O160" s="12">
        <v>29524.0</v>
      </c>
      <c r="P160" s="11" t="s">
        <v>1649</v>
      </c>
      <c r="Q160" s="12">
        <v>29524.0</v>
      </c>
      <c r="R160" s="11" t="s">
        <v>1649</v>
      </c>
      <c r="S160" s="11" t="s">
        <v>1683</v>
      </c>
      <c r="T160" s="11" t="s">
        <v>1684</v>
      </c>
      <c r="U160" s="2" t="s">
        <v>1567</v>
      </c>
      <c r="V160" s="2" t="s">
        <v>1568</v>
      </c>
      <c r="W160" s="2" t="s">
        <v>1569</v>
      </c>
      <c r="X160" s="2" t="s">
        <v>1570</v>
      </c>
      <c r="AB160" s="2" t="s">
        <v>1571</v>
      </c>
    </row>
    <row r="161">
      <c r="A161" s="2" t="s">
        <v>1725</v>
      </c>
      <c r="B161" s="2">
        <v>13.0</v>
      </c>
      <c r="C161" s="2" t="s">
        <v>9</v>
      </c>
      <c r="D161" s="2" t="s">
        <v>1726</v>
      </c>
      <c r="E161" s="2">
        <v>6.0</v>
      </c>
      <c r="F161" s="2" t="s">
        <v>10</v>
      </c>
      <c r="G161" s="5">
        <v>2778432.0</v>
      </c>
      <c r="H161" s="2" t="s">
        <v>1575</v>
      </c>
      <c r="I161" s="2" t="s">
        <v>1565</v>
      </c>
      <c r="J161" s="2">
        <v>10007.0</v>
      </c>
      <c r="K161" s="2" t="s">
        <v>1576</v>
      </c>
      <c r="L161" s="2"/>
      <c r="M161" s="2"/>
      <c r="N161" s="7">
        <v>2.0</v>
      </c>
      <c r="O161" s="12">
        <v>33810.0</v>
      </c>
      <c r="P161" s="11" t="s">
        <v>1649</v>
      </c>
      <c r="Q161" s="12">
        <v>33810.0</v>
      </c>
      <c r="R161" s="11" t="s">
        <v>1649</v>
      </c>
      <c r="S161" s="11" t="s">
        <v>1701</v>
      </c>
      <c r="T161" s="11" t="s">
        <v>1703</v>
      </c>
      <c r="U161" s="2" t="s">
        <v>1567</v>
      </c>
      <c r="V161" s="2" t="s">
        <v>1568</v>
      </c>
      <c r="W161" s="2" t="s">
        <v>1569</v>
      </c>
      <c r="X161" s="2" t="s">
        <v>1570</v>
      </c>
      <c r="AB161" s="2" t="s">
        <v>1571</v>
      </c>
    </row>
    <row r="162">
      <c r="A162" s="2" t="s">
        <v>1725</v>
      </c>
      <c r="B162" s="2">
        <v>13.0</v>
      </c>
      <c r="C162" s="2" t="s">
        <v>9</v>
      </c>
      <c r="D162" s="2" t="s">
        <v>1726</v>
      </c>
      <c r="E162" s="2">
        <v>6.0</v>
      </c>
      <c r="F162" s="2" t="s">
        <v>10</v>
      </c>
      <c r="G162" s="5">
        <v>2778067.0</v>
      </c>
      <c r="H162" s="2" t="s">
        <v>1575</v>
      </c>
      <c r="I162" s="2" t="s">
        <v>1572</v>
      </c>
      <c r="J162" s="2">
        <v>10127.0</v>
      </c>
      <c r="K162" s="2" t="s">
        <v>1592</v>
      </c>
      <c r="L162" s="2"/>
      <c r="M162" s="2"/>
      <c r="N162" s="7">
        <v>1.0</v>
      </c>
      <c r="O162" s="12">
        <v>18571.0</v>
      </c>
      <c r="P162" s="11" t="s">
        <v>1649</v>
      </c>
      <c r="Q162" s="12">
        <v>18571.0</v>
      </c>
      <c r="R162" s="11" t="s">
        <v>1649</v>
      </c>
      <c r="S162" s="11" t="s">
        <v>1656</v>
      </c>
      <c r="T162" s="11" t="s">
        <v>1657</v>
      </c>
      <c r="U162" s="2" t="s">
        <v>1574</v>
      </c>
      <c r="V162" s="2" t="s">
        <v>1568</v>
      </c>
      <c r="W162" s="2" t="s">
        <v>1569</v>
      </c>
      <c r="X162" s="2" t="s">
        <v>1570</v>
      </c>
      <c r="AB162" s="2" t="s">
        <v>1571</v>
      </c>
    </row>
    <row r="163">
      <c r="A163" s="2" t="s">
        <v>1725</v>
      </c>
      <c r="B163" s="2">
        <v>13.0</v>
      </c>
      <c r="C163" s="2" t="s">
        <v>9</v>
      </c>
      <c r="D163" s="2" t="s">
        <v>1726</v>
      </c>
      <c r="E163" s="2">
        <v>6.0</v>
      </c>
      <c r="F163" s="2" t="s">
        <v>10</v>
      </c>
      <c r="G163" s="5">
        <v>2778067.0</v>
      </c>
      <c r="H163" s="2" t="s">
        <v>1575</v>
      </c>
      <c r="I163" s="2" t="s">
        <v>1572</v>
      </c>
      <c r="J163" s="2">
        <v>10112.0</v>
      </c>
      <c r="K163" s="2" t="s">
        <v>1573</v>
      </c>
      <c r="L163" s="2"/>
      <c r="M163" s="2"/>
      <c r="N163" s="7">
        <v>1.0</v>
      </c>
      <c r="O163" s="12">
        <v>6667.0</v>
      </c>
      <c r="P163" s="11" t="s">
        <v>1649</v>
      </c>
      <c r="Q163" s="12">
        <v>6667.0</v>
      </c>
      <c r="R163" s="11" t="s">
        <v>1649</v>
      </c>
      <c r="S163" s="11" t="s">
        <v>1734</v>
      </c>
      <c r="T163" s="11" t="s">
        <v>1738</v>
      </c>
      <c r="U163" s="2" t="s">
        <v>1574</v>
      </c>
      <c r="V163" s="2" t="s">
        <v>1568</v>
      </c>
      <c r="W163" s="2" t="s">
        <v>1569</v>
      </c>
      <c r="X163" s="2" t="s">
        <v>1570</v>
      </c>
      <c r="AB163" s="2" t="s">
        <v>1571</v>
      </c>
    </row>
    <row r="164">
      <c r="A164" s="2" t="s">
        <v>1725</v>
      </c>
      <c r="B164" s="2">
        <v>13.0</v>
      </c>
      <c r="C164" s="2" t="s">
        <v>9</v>
      </c>
      <c r="D164" s="2" t="s">
        <v>1726</v>
      </c>
      <c r="E164" s="2">
        <v>6.0</v>
      </c>
      <c r="F164" s="2" t="s">
        <v>10</v>
      </c>
      <c r="G164" s="5">
        <v>2777702.0</v>
      </c>
      <c r="H164" s="2" t="s">
        <v>1575</v>
      </c>
      <c r="I164" s="2" t="s">
        <v>1572</v>
      </c>
      <c r="J164" s="2">
        <v>10123.0</v>
      </c>
      <c r="K164" s="2" t="s">
        <v>1599</v>
      </c>
      <c r="L164" s="2"/>
      <c r="M164" s="2"/>
      <c r="N164" s="7">
        <v>1.0</v>
      </c>
      <c r="O164" s="12">
        <v>21905.0</v>
      </c>
      <c r="P164" s="11" t="s">
        <v>1649</v>
      </c>
      <c r="Q164" s="12">
        <v>21905.0</v>
      </c>
      <c r="R164" s="11" t="s">
        <v>1649</v>
      </c>
      <c r="S164" s="11" t="s">
        <v>1666</v>
      </c>
      <c r="T164" s="11" t="s">
        <v>1667</v>
      </c>
      <c r="U164" s="2" t="s">
        <v>1574</v>
      </c>
      <c r="V164" s="2" t="s">
        <v>1568</v>
      </c>
      <c r="W164" s="2" t="s">
        <v>1569</v>
      </c>
      <c r="X164" s="2" t="s">
        <v>1570</v>
      </c>
      <c r="AB164" s="2" t="s">
        <v>1571</v>
      </c>
    </row>
    <row r="165">
      <c r="A165" s="2" t="s">
        <v>1725</v>
      </c>
      <c r="B165" s="2">
        <v>13.0</v>
      </c>
      <c r="C165" s="2" t="s">
        <v>9</v>
      </c>
      <c r="D165" s="2" t="s">
        <v>1726</v>
      </c>
      <c r="E165" s="2">
        <v>6.0</v>
      </c>
      <c r="F165" s="2" t="s">
        <v>10</v>
      </c>
      <c r="G165" s="5">
        <v>2777702.0</v>
      </c>
      <c r="H165" s="2" t="s">
        <v>1575</v>
      </c>
      <c r="I165" s="2" t="s">
        <v>1572</v>
      </c>
      <c r="J165" s="2">
        <v>10026.0</v>
      </c>
      <c r="K165" s="2" t="s">
        <v>1583</v>
      </c>
      <c r="L165" s="2"/>
      <c r="M165" s="2"/>
      <c r="N165" s="7">
        <v>1.0</v>
      </c>
      <c r="O165" s="12">
        <v>21905.0</v>
      </c>
      <c r="P165" s="11" t="s">
        <v>1649</v>
      </c>
      <c r="Q165" s="12">
        <v>21905.0</v>
      </c>
      <c r="R165" s="11" t="s">
        <v>1649</v>
      </c>
      <c r="S165" s="11" t="s">
        <v>1666</v>
      </c>
      <c r="T165" s="11" t="s">
        <v>1687</v>
      </c>
      <c r="U165" s="2" t="s">
        <v>1574</v>
      </c>
      <c r="V165" s="2" t="s">
        <v>1568</v>
      </c>
      <c r="W165" s="2" t="s">
        <v>1569</v>
      </c>
      <c r="X165" s="2" t="s">
        <v>1570</v>
      </c>
      <c r="AB165" s="2" t="s">
        <v>1571</v>
      </c>
    </row>
    <row r="166">
      <c r="A166" s="2" t="s">
        <v>1725</v>
      </c>
      <c r="B166" s="2">
        <v>13.0</v>
      </c>
      <c r="C166" s="2" t="s">
        <v>9</v>
      </c>
      <c r="D166" s="2" t="s">
        <v>1726</v>
      </c>
      <c r="E166" s="2">
        <v>6.0</v>
      </c>
      <c r="F166" s="2" t="s">
        <v>10</v>
      </c>
      <c r="G166" s="5">
        <v>2777702.0</v>
      </c>
      <c r="H166" s="2" t="s">
        <v>1575</v>
      </c>
      <c r="I166" s="2" t="s">
        <v>1565</v>
      </c>
      <c r="J166" s="2">
        <v>10002.0</v>
      </c>
      <c r="K166" s="2" t="s">
        <v>1576</v>
      </c>
      <c r="L166" s="2"/>
      <c r="M166" s="2"/>
      <c r="N166" s="7">
        <v>1.0</v>
      </c>
      <c r="O166" s="12">
        <v>18571.0</v>
      </c>
      <c r="P166" s="11" t="s">
        <v>1649</v>
      </c>
      <c r="Q166" s="12">
        <v>18571.0</v>
      </c>
      <c r="R166" s="11" t="s">
        <v>1649</v>
      </c>
      <c r="S166" s="11" t="s">
        <v>1656</v>
      </c>
      <c r="T166" s="11" t="s">
        <v>1688</v>
      </c>
      <c r="U166" s="2" t="s">
        <v>1574</v>
      </c>
      <c r="V166" s="2" t="s">
        <v>1568</v>
      </c>
      <c r="W166" s="2" t="s">
        <v>1569</v>
      </c>
      <c r="X166" s="2" t="s">
        <v>1570</v>
      </c>
      <c r="AB166" s="2" t="s">
        <v>1571</v>
      </c>
    </row>
    <row r="167">
      <c r="A167" s="2" t="s">
        <v>1725</v>
      </c>
      <c r="B167" s="2">
        <v>13.0</v>
      </c>
      <c r="C167" s="2" t="s">
        <v>9</v>
      </c>
      <c r="D167" s="2" t="s">
        <v>1726</v>
      </c>
      <c r="E167" s="2">
        <v>6.0</v>
      </c>
      <c r="F167" s="2" t="s">
        <v>10</v>
      </c>
      <c r="G167" s="5">
        <v>2777702.0</v>
      </c>
      <c r="H167" s="2" t="s">
        <v>1575</v>
      </c>
      <c r="I167" s="2" t="s">
        <v>1565</v>
      </c>
      <c r="J167" s="2">
        <v>10005.0</v>
      </c>
      <c r="K167" s="2" t="s">
        <v>1595</v>
      </c>
      <c r="L167" s="2"/>
      <c r="M167" s="2"/>
      <c r="N167" s="7">
        <v>1.0</v>
      </c>
      <c r="O167" s="12">
        <v>19524.0</v>
      </c>
      <c r="P167" s="11" t="s">
        <v>1649</v>
      </c>
      <c r="Q167" s="12">
        <v>19524.0</v>
      </c>
      <c r="R167" s="11" t="s">
        <v>1649</v>
      </c>
      <c r="S167" s="11" t="s">
        <v>1676</v>
      </c>
      <c r="T167" s="11" t="s">
        <v>1677</v>
      </c>
      <c r="U167" s="2" t="s">
        <v>1574</v>
      </c>
      <c r="V167" s="2" t="s">
        <v>1568</v>
      </c>
      <c r="W167" s="2" t="s">
        <v>1569</v>
      </c>
      <c r="X167" s="2" t="s">
        <v>1570</v>
      </c>
      <c r="AB167" s="2" t="s">
        <v>1571</v>
      </c>
    </row>
    <row r="168">
      <c r="A168" s="2" t="s">
        <v>1725</v>
      </c>
      <c r="B168" s="2">
        <v>12.0</v>
      </c>
      <c r="C168" s="2" t="s">
        <v>9</v>
      </c>
      <c r="D168" s="2" t="s">
        <v>1726</v>
      </c>
      <c r="E168" s="2">
        <v>6.0</v>
      </c>
      <c r="F168" s="2" t="s">
        <v>10</v>
      </c>
      <c r="G168" s="5">
        <v>2777336.0</v>
      </c>
      <c r="H168" s="2" t="s">
        <v>1575</v>
      </c>
      <c r="I168" s="2" t="s">
        <v>1565</v>
      </c>
      <c r="J168" s="2">
        <v>10007.0</v>
      </c>
      <c r="K168" s="2" t="s">
        <v>1576</v>
      </c>
      <c r="L168" s="2"/>
      <c r="M168" s="2"/>
      <c r="N168" s="7">
        <v>2.0</v>
      </c>
      <c r="O168" s="12">
        <v>33810.0</v>
      </c>
      <c r="P168" s="11" t="s">
        <v>1649</v>
      </c>
      <c r="Q168" s="12">
        <v>33810.0</v>
      </c>
      <c r="R168" s="11" t="s">
        <v>1649</v>
      </c>
      <c r="S168" s="11" t="s">
        <v>1701</v>
      </c>
      <c r="T168" s="11" t="s">
        <v>1703</v>
      </c>
      <c r="U168" s="2" t="s">
        <v>1567</v>
      </c>
      <c r="V168" s="2" t="s">
        <v>1568</v>
      </c>
      <c r="W168" s="2" t="s">
        <v>1569</v>
      </c>
      <c r="X168" s="2" t="s">
        <v>1570</v>
      </c>
      <c r="AB168" s="2" t="s">
        <v>1571</v>
      </c>
    </row>
    <row r="169">
      <c r="A169" s="2" t="s">
        <v>1725</v>
      </c>
      <c r="B169" s="2">
        <v>12.0</v>
      </c>
      <c r="C169" s="2" t="s">
        <v>9</v>
      </c>
      <c r="D169" s="2" t="s">
        <v>1726</v>
      </c>
      <c r="E169" s="2">
        <v>6.0</v>
      </c>
      <c r="F169" s="2" t="s">
        <v>10</v>
      </c>
      <c r="G169" s="5">
        <v>2777336.0</v>
      </c>
      <c r="H169" s="2" t="s">
        <v>1575</v>
      </c>
      <c r="I169" s="2" t="s">
        <v>1565</v>
      </c>
      <c r="J169" s="2">
        <v>10055.0</v>
      </c>
      <c r="K169" s="2" t="s">
        <v>1595</v>
      </c>
      <c r="L169" s="2"/>
      <c r="M169" s="2"/>
      <c r="N169" s="7">
        <v>2.0</v>
      </c>
      <c r="O169" s="12">
        <v>34762.0</v>
      </c>
      <c r="P169" s="11" t="s">
        <v>1649</v>
      </c>
      <c r="Q169" s="12">
        <v>34762.0</v>
      </c>
      <c r="R169" s="11" t="s">
        <v>1649</v>
      </c>
      <c r="S169" s="11" t="s">
        <v>1670</v>
      </c>
      <c r="T169" s="11" t="s">
        <v>1671</v>
      </c>
      <c r="U169" s="2" t="s">
        <v>1567</v>
      </c>
      <c r="V169" s="2" t="s">
        <v>1568</v>
      </c>
      <c r="W169" s="2" t="s">
        <v>1569</v>
      </c>
      <c r="X169" s="2" t="s">
        <v>1570</v>
      </c>
      <c r="AB169" s="2" t="s">
        <v>1571</v>
      </c>
    </row>
    <row r="170">
      <c r="A170" s="2" t="s">
        <v>1725</v>
      </c>
      <c r="B170" s="2">
        <v>12.0</v>
      </c>
      <c r="C170" s="2" t="s">
        <v>9</v>
      </c>
      <c r="D170" s="2" t="s">
        <v>1726</v>
      </c>
      <c r="E170" s="2">
        <v>6.0</v>
      </c>
      <c r="F170" s="2" t="s">
        <v>10</v>
      </c>
      <c r="G170" s="5">
        <v>2777336.0</v>
      </c>
      <c r="H170" s="2" t="s">
        <v>1575</v>
      </c>
      <c r="I170" s="2" t="s">
        <v>1565</v>
      </c>
      <c r="J170" s="2">
        <v>10000.0</v>
      </c>
      <c r="K170" s="2" t="s">
        <v>1566</v>
      </c>
      <c r="L170" s="2"/>
      <c r="M170" s="2"/>
      <c r="N170" s="7">
        <v>1.0</v>
      </c>
      <c r="O170" s="12">
        <v>29524.0</v>
      </c>
      <c r="P170" s="11" t="s">
        <v>1649</v>
      </c>
      <c r="Q170" s="12">
        <v>29524.0</v>
      </c>
      <c r="R170" s="11" t="s">
        <v>1649</v>
      </c>
      <c r="S170" s="11" t="s">
        <v>1683</v>
      </c>
      <c r="T170" s="11" t="s">
        <v>1684</v>
      </c>
      <c r="U170" s="2" t="s">
        <v>1567</v>
      </c>
      <c r="V170" s="2" t="s">
        <v>1568</v>
      </c>
      <c r="W170" s="2" t="s">
        <v>1569</v>
      </c>
      <c r="X170" s="2" t="s">
        <v>1570</v>
      </c>
      <c r="AB170" s="2" t="s">
        <v>1571</v>
      </c>
    </row>
    <row r="171">
      <c r="A171" s="2" t="s">
        <v>1725</v>
      </c>
      <c r="B171" s="2">
        <v>12.0</v>
      </c>
      <c r="C171" s="2" t="s">
        <v>9</v>
      </c>
      <c r="D171" s="2" t="s">
        <v>1726</v>
      </c>
      <c r="E171" s="2">
        <v>6.0</v>
      </c>
      <c r="F171" s="2" t="s">
        <v>10</v>
      </c>
      <c r="G171" s="5">
        <v>2777336.0</v>
      </c>
      <c r="H171" s="2" t="s">
        <v>1575</v>
      </c>
      <c r="I171" s="2" t="s">
        <v>1565</v>
      </c>
      <c r="J171" s="2">
        <v>10007.0</v>
      </c>
      <c r="K171" s="2" t="s">
        <v>1576</v>
      </c>
      <c r="L171" s="2"/>
      <c r="M171" s="2"/>
      <c r="N171" s="7">
        <v>2.0</v>
      </c>
      <c r="O171" s="12">
        <v>33810.0</v>
      </c>
      <c r="P171" s="11" t="s">
        <v>1649</v>
      </c>
      <c r="Q171" s="12">
        <v>33810.0</v>
      </c>
      <c r="R171" s="11" t="s">
        <v>1649</v>
      </c>
      <c r="S171" s="11" t="s">
        <v>1701</v>
      </c>
      <c r="T171" s="11" t="s">
        <v>1702</v>
      </c>
      <c r="U171" s="2" t="s">
        <v>1567</v>
      </c>
      <c r="V171" s="2" t="s">
        <v>1568</v>
      </c>
      <c r="W171" s="2" t="s">
        <v>1569</v>
      </c>
      <c r="X171" s="2" t="s">
        <v>1570</v>
      </c>
      <c r="AB171" s="2" t="s">
        <v>1571</v>
      </c>
    </row>
    <row r="172">
      <c r="A172" s="2" t="s">
        <v>1725</v>
      </c>
      <c r="B172" s="2">
        <v>12.0</v>
      </c>
      <c r="C172" s="2" t="s">
        <v>9</v>
      </c>
      <c r="D172" s="2" t="s">
        <v>1726</v>
      </c>
      <c r="E172" s="2">
        <v>6.0</v>
      </c>
      <c r="F172" s="2" t="s">
        <v>10</v>
      </c>
      <c r="G172" s="5">
        <v>2776971.0</v>
      </c>
      <c r="H172" s="2" t="s">
        <v>1575</v>
      </c>
      <c r="I172" s="2" t="s">
        <v>1572</v>
      </c>
      <c r="J172" s="2">
        <v>10063.0</v>
      </c>
      <c r="K172" s="2" t="s">
        <v>1594</v>
      </c>
      <c r="L172" s="2"/>
      <c r="M172" s="2"/>
      <c r="N172" s="7">
        <v>1.0</v>
      </c>
      <c r="O172" s="12">
        <v>24762.0</v>
      </c>
      <c r="P172" s="11" t="s">
        <v>1649</v>
      </c>
      <c r="Q172" s="12">
        <v>24762.0</v>
      </c>
      <c r="R172" s="11" t="s">
        <v>1649</v>
      </c>
      <c r="S172" s="11" t="s">
        <v>1689</v>
      </c>
      <c r="T172" s="11" t="s">
        <v>1693</v>
      </c>
      <c r="U172" s="2" t="s">
        <v>1574</v>
      </c>
      <c r="V172" s="2" t="s">
        <v>1568</v>
      </c>
      <c r="W172" s="2" t="s">
        <v>1569</v>
      </c>
      <c r="X172" s="2" t="s">
        <v>1570</v>
      </c>
      <c r="AB172" s="2" t="s">
        <v>1571</v>
      </c>
    </row>
    <row r="173">
      <c r="A173" s="2" t="s">
        <v>1725</v>
      </c>
      <c r="B173" s="2">
        <v>12.0</v>
      </c>
      <c r="C173" s="2" t="s">
        <v>9</v>
      </c>
      <c r="D173" s="2" t="s">
        <v>1726</v>
      </c>
      <c r="E173" s="2">
        <v>6.0</v>
      </c>
      <c r="F173" s="2" t="s">
        <v>10</v>
      </c>
      <c r="G173" s="5">
        <v>2776971.0</v>
      </c>
      <c r="H173" s="2" t="s">
        <v>1575</v>
      </c>
      <c r="I173" s="2" t="s">
        <v>1572</v>
      </c>
      <c r="J173" s="2">
        <v>10070.0</v>
      </c>
      <c r="K173" s="2" t="s">
        <v>1593</v>
      </c>
      <c r="L173" s="2"/>
      <c r="M173" s="2"/>
      <c r="N173" s="7">
        <v>1.0</v>
      </c>
      <c r="O173" s="12">
        <v>24762.0</v>
      </c>
      <c r="P173" s="11" t="s">
        <v>1649</v>
      </c>
      <c r="Q173" s="12">
        <v>24762.0</v>
      </c>
      <c r="R173" s="11" t="s">
        <v>1649</v>
      </c>
      <c r="S173" s="11" t="s">
        <v>1689</v>
      </c>
      <c r="T173" s="11" t="s">
        <v>1693</v>
      </c>
      <c r="U173" s="2" t="s">
        <v>1574</v>
      </c>
      <c r="V173" s="2" t="s">
        <v>1568</v>
      </c>
      <c r="W173" s="2" t="s">
        <v>1569</v>
      </c>
      <c r="X173" s="2" t="s">
        <v>1570</v>
      </c>
      <c r="AB173" s="2" t="s">
        <v>1571</v>
      </c>
    </row>
    <row r="174">
      <c r="A174" s="2" t="s">
        <v>1725</v>
      </c>
      <c r="B174" s="2">
        <v>12.0</v>
      </c>
      <c r="C174" s="2" t="s">
        <v>9</v>
      </c>
      <c r="D174" s="2" t="s">
        <v>1726</v>
      </c>
      <c r="E174" s="2">
        <v>6.0</v>
      </c>
      <c r="F174" s="2" t="s">
        <v>10</v>
      </c>
      <c r="G174" s="5">
        <v>2776971.0</v>
      </c>
      <c r="H174" s="2" t="s">
        <v>1575</v>
      </c>
      <c r="I174" s="2" t="s">
        <v>1565</v>
      </c>
      <c r="J174" s="2">
        <v>10002.0</v>
      </c>
      <c r="K174" s="2" t="s">
        <v>1576</v>
      </c>
      <c r="L174" s="2"/>
      <c r="M174" s="2"/>
      <c r="N174" s="7">
        <v>1.0</v>
      </c>
      <c r="O174" s="12">
        <v>18571.0</v>
      </c>
      <c r="P174" s="11" t="s">
        <v>1649</v>
      </c>
      <c r="Q174" s="12">
        <v>18571.0</v>
      </c>
      <c r="R174" s="11" t="s">
        <v>1649</v>
      </c>
      <c r="S174" s="11" t="s">
        <v>1656</v>
      </c>
      <c r="T174" s="11" t="s">
        <v>1657</v>
      </c>
      <c r="U174" s="2" t="s">
        <v>1574</v>
      </c>
      <c r="V174" s="2" t="s">
        <v>1568</v>
      </c>
      <c r="W174" s="2" t="s">
        <v>1569</v>
      </c>
      <c r="X174" s="2" t="s">
        <v>1570</v>
      </c>
      <c r="AB174" s="2" t="s">
        <v>1571</v>
      </c>
    </row>
    <row r="175">
      <c r="A175" s="2" t="s">
        <v>1725</v>
      </c>
      <c r="B175" s="2">
        <v>11.0</v>
      </c>
      <c r="C175" s="2" t="s">
        <v>9</v>
      </c>
      <c r="D175" s="2" t="s">
        <v>1726</v>
      </c>
      <c r="E175" s="2">
        <v>6.0</v>
      </c>
      <c r="F175" s="2" t="s">
        <v>10</v>
      </c>
      <c r="G175" s="5">
        <v>2776606.0</v>
      </c>
      <c r="H175" s="2" t="s">
        <v>1575</v>
      </c>
      <c r="I175" s="2" t="s">
        <v>1572</v>
      </c>
      <c r="J175" s="2">
        <v>10128.0</v>
      </c>
      <c r="K175" s="2" t="s">
        <v>1588</v>
      </c>
      <c r="L175" s="2"/>
      <c r="M175" s="2"/>
      <c r="N175" s="7">
        <v>1.0</v>
      </c>
      <c r="O175" s="12">
        <v>23333.0</v>
      </c>
      <c r="P175" s="11" t="s">
        <v>1649</v>
      </c>
      <c r="Q175" s="12">
        <v>23333.0</v>
      </c>
      <c r="R175" s="11" t="s">
        <v>1649</v>
      </c>
      <c r="S175" s="11" t="s">
        <v>1681</v>
      </c>
      <c r="T175" s="11" t="s">
        <v>1682</v>
      </c>
      <c r="U175" s="2" t="s">
        <v>1574</v>
      </c>
      <c r="V175" s="2" t="s">
        <v>1568</v>
      </c>
      <c r="W175" s="2" t="s">
        <v>1569</v>
      </c>
      <c r="X175" s="2" t="s">
        <v>1570</v>
      </c>
      <c r="AB175" s="2" t="s">
        <v>1571</v>
      </c>
    </row>
    <row r="176">
      <c r="A176" s="2" t="s">
        <v>1725</v>
      </c>
      <c r="B176" s="2">
        <v>11.0</v>
      </c>
      <c r="C176" s="2" t="s">
        <v>9</v>
      </c>
      <c r="D176" s="2" t="s">
        <v>1726</v>
      </c>
      <c r="E176" s="2">
        <v>6.0</v>
      </c>
      <c r="F176" s="2" t="s">
        <v>10</v>
      </c>
      <c r="G176" s="5">
        <v>2776606.0</v>
      </c>
      <c r="H176" s="2" t="s">
        <v>1575</v>
      </c>
      <c r="I176" s="2" t="s">
        <v>1580</v>
      </c>
      <c r="J176" s="2">
        <v>10053.0</v>
      </c>
      <c r="K176" s="2" t="s">
        <v>1612</v>
      </c>
      <c r="L176" s="2"/>
      <c r="M176" s="2"/>
      <c r="N176" s="7">
        <v>1.0</v>
      </c>
      <c r="O176" s="12">
        <v>25238.0</v>
      </c>
      <c r="P176" s="11" t="s">
        <v>1649</v>
      </c>
      <c r="Q176" s="12">
        <v>25238.0</v>
      </c>
      <c r="R176" s="11" t="s">
        <v>1649</v>
      </c>
      <c r="S176" s="11" t="s">
        <v>1660</v>
      </c>
      <c r="T176" s="11" t="s">
        <v>1680</v>
      </c>
      <c r="U176" s="2" t="s">
        <v>1574</v>
      </c>
      <c r="V176" s="2" t="s">
        <v>1568</v>
      </c>
      <c r="W176" s="2" t="s">
        <v>1569</v>
      </c>
      <c r="X176" s="2" t="s">
        <v>1570</v>
      </c>
      <c r="AB176" s="2" t="s">
        <v>1571</v>
      </c>
    </row>
    <row r="177">
      <c r="A177" s="2" t="s">
        <v>1725</v>
      </c>
      <c r="B177" s="2">
        <v>11.0</v>
      </c>
      <c r="C177" s="2" t="s">
        <v>9</v>
      </c>
      <c r="D177" s="2" t="s">
        <v>1726</v>
      </c>
      <c r="E177" s="2">
        <v>6.0</v>
      </c>
      <c r="F177" s="2" t="s">
        <v>10</v>
      </c>
      <c r="G177" s="5">
        <v>2776241.0</v>
      </c>
      <c r="H177" s="2" t="s">
        <v>1575</v>
      </c>
      <c r="I177" s="2" t="s">
        <v>1572</v>
      </c>
      <c r="J177" s="2">
        <v>10128.0</v>
      </c>
      <c r="K177" s="2" t="s">
        <v>1588</v>
      </c>
      <c r="L177" s="2"/>
      <c r="M177" s="2"/>
      <c r="N177" s="7">
        <v>1.0</v>
      </c>
      <c r="O177" s="12">
        <v>23333.0</v>
      </c>
      <c r="P177" s="11" t="s">
        <v>1649</v>
      </c>
      <c r="Q177" s="12">
        <v>23333.0</v>
      </c>
      <c r="R177" s="11" t="s">
        <v>1649</v>
      </c>
      <c r="S177" s="11" t="s">
        <v>1681</v>
      </c>
      <c r="T177" s="11" t="s">
        <v>1682</v>
      </c>
      <c r="U177" s="2" t="s">
        <v>1574</v>
      </c>
      <c r="V177" s="2" t="s">
        <v>1568</v>
      </c>
      <c r="W177" s="2" t="s">
        <v>1569</v>
      </c>
      <c r="X177" s="2" t="s">
        <v>1570</v>
      </c>
      <c r="AB177" s="2" t="s">
        <v>1571</v>
      </c>
    </row>
    <row r="178">
      <c r="A178" s="2" t="s">
        <v>1725</v>
      </c>
      <c r="B178" s="2">
        <v>11.0</v>
      </c>
      <c r="C178" s="2" t="s">
        <v>9</v>
      </c>
      <c r="D178" s="2" t="s">
        <v>1726</v>
      </c>
      <c r="E178" s="2">
        <v>6.0</v>
      </c>
      <c r="F178" s="2" t="s">
        <v>10</v>
      </c>
      <c r="G178" s="5">
        <v>2776241.0</v>
      </c>
      <c r="H178" s="2" t="s">
        <v>1575</v>
      </c>
      <c r="I178" s="2" t="s">
        <v>1580</v>
      </c>
      <c r="J178" s="2">
        <v>10053.0</v>
      </c>
      <c r="K178" s="2" t="s">
        <v>1612</v>
      </c>
      <c r="L178" s="2"/>
      <c r="M178" s="2"/>
      <c r="N178" s="7">
        <v>1.0</v>
      </c>
      <c r="O178" s="12">
        <v>25238.0</v>
      </c>
      <c r="P178" s="11" t="s">
        <v>1649</v>
      </c>
      <c r="Q178" s="12">
        <v>25238.0</v>
      </c>
      <c r="R178" s="11" t="s">
        <v>1649</v>
      </c>
      <c r="S178" s="11" t="s">
        <v>1660</v>
      </c>
      <c r="T178" s="11" t="s">
        <v>1680</v>
      </c>
      <c r="U178" s="2" t="s">
        <v>1574</v>
      </c>
      <c r="V178" s="2" t="s">
        <v>1568</v>
      </c>
      <c r="W178" s="2" t="s">
        <v>1569</v>
      </c>
      <c r="X178" s="2" t="s">
        <v>1570</v>
      </c>
      <c r="AB178" s="2" t="s">
        <v>1571</v>
      </c>
    </row>
    <row r="179">
      <c r="A179" s="2" t="s">
        <v>1725</v>
      </c>
      <c r="B179" s="2">
        <v>11.0</v>
      </c>
      <c r="C179" s="2" t="s">
        <v>9</v>
      </c>
      <c r="D179" s="2" t="s">
        <v>1726</v>
      </c>
      <c r="E179" s="2">
        <v>6.0</v>
      </c>
      <c r="F179" s="2" t="s">
        <v>10</v>
      </c>
      <c r="G179" s="5">
        <v>2775876.0</v>
      </c>
      <c r="H179" s="2" t="s">
        <v>1575</v>
      </c>
      <c r="I179" s="2" t="s">
        <v>1572</v>
      </c>
      <c r="J179" s="2">
        <v>10130.0</v>
      </c>
      <c r="K179" s="2" t="s">
        <v>1614</v>
      </c>
      <c r="L179" s="2"/>
      <c r="M179" s="2"/>
      <c r="N179" s="7">
        <v>1.0</v>
      </c>
      <c r="O179" s="12">
        <v>23333.0</v>
      </c>
      <c r="P179" s="11" t="s">
        <v>1649</v>
      </c>
      <c r="Q179" s="12">
        <v>23333.0</v>
      </c>
      <c r="R179" s="11" t="s">
        <v>1649</v>
      </c>
      <c r="S179" s="11" t="s">
        <v>1681</v>
      </c>
      <c r="T179" s="11" t="s">
        <v>1682</v>
      </c>
      <c r="U179" s="2" t="s">
        <v>1574</v>
      </c>
      <c r="V179" s="2" t="s">
        <v>1568</v>
      </c>
      <c r="W179" s="2" t="s">
        <v>1569</v>
      </c>
      <c r="X179" s="2" t="s">
        <v>1570</v>
      </c>
      <c r="AB179" s="2" t="s">
        <v>1571</v>
      </c>
    </row>
    <row r="180">
      <c r="A180" s="2" t="s">
        <v>1725</v>
      </c>
      <c r="B180" s="2">
        <v>11.0</v>
      </c>
      <c r="C180" s="2" t="s">
        <v>9</v>
      </c>
      <c r="D180" s="2" t="s">
        <v>1726</v>
      </c>
      <c r="E180" s="2">
        <v>6.0</v>
      </c>
      <c r="F180" s="2" t="s">
        <v>10</v>
      </c>
      <c r="G180" s="5">
        <v>2775876.0</v>
      </c>
      <c r="H180" s="2" t="s">
        <v>1575</v>
      </c>
      <c r="I180" s="2" t="s">
        <v>1572</v>
      </c>
      <c r="J180" s="2">
        <v>10119.0</v>
      </c>
      <c r="K180" s="2" t="s">
        <v>1582</v>
      </c>
      <c r="L180" s="2"/>
      <c r="M180" s="2"/>
      <c r="N180" s="7">
        <v>1.0</v>
      </c>
      <c r="O180" s="12">
        <v>7143.0</v>
      </c>
      <c r="P180" s="11" t="s">
        <v>1649</v>
      </c>
      <c r="Q180" s="12">
        <v>7143.0</v>
      </c>
      <c r="R180" s="11" t="s">
        <v>1649</v>
      </c>
      <c r="S180" s="11" t="s">
        <v>1672</v>
      </c>
      <c r="T180" s="11" t="s">
        <v>1673</v>
      </c>
      <c r="U180" s="2" t="s">
        <v>1574</v>
      </c>
      <c r="V180" s="2" t="s">
        <v>1568</v>
      </c>
      <c r="W180" s="2" t="s">
        <v>1569</v>
      </c>
      <c r="X180" s="2" t="s">
        <v>1570</v>
      </c>
      <c r="AB180" s="2" t="s">
        <v>1571</v>
      </c>
    </row>
    <row r="181">
      <c r="A181" s="2" t="s">
        <v>1725</v>
      </c>
      <c r="B181" s="2">
        <v>11.0</v>
      </c>
      <c r="C181" s="2" t="s">
        <v>9</v>
      </c>
      <c r="D181" s="2" t="s">
        <v>1726</v>
      </c>
      <c r="E181" s="2">
        <v>6.0</v>
      </c>
      <c r="F181" s="2" t="s">
        <v>10</v>
      </c>
      <c r="G181" s="5">
        <v>2775876.0</v>
      </c>
      <c r="H181" s="2" t="s">
        <v>1575</v>
      </c>
      <c r="I181" s="2" t="s">
        <v>1565</v>
      </c>
      <c r="J181" s="2">
        <v>10002.0</v>
      </c>
      <c r="K181" s="2" t="s">
        <v>1576</v>
      </c>
      <c r="L181" s="2"/>
      <c r="M181" s="2"/>
      <c r="N181" s="7">
        <v>1.0</v>
      </c>
      <c r="O181" s="12">
        <v>18571.0</v>
      </c>
      <c r="P181" s="11" t="s">
        <v>1649</v>
      </c>
      <c r="Q181" s="12">
        <v>18571.0</v>
      </c>
      <c r="R181" s="11" t="s">
        <v>1649</v>
      </c>
      <c r="S181" s="11" t="s">
        <v>1656</v>
      </c>
      <c r="T181" s="11" t="s">
        <v>1688</v>
      </c>
      <c r="U181" s="2" t="s">
        <v>1574</v>
      </c>
      <c r="V181" s="2" t="s">
        <v>1568</v>
      </c>
      <c r="W181" s="2" t="s">
        <v>1569</v>
      </c>
      <c r="X181" s="2" t="s">
        <v>1570</v>
      </c>
      <c r="AB181" s="2" t="s">
        <v>1571</v>
      </c>
    </row>
    <row r="182">
      <c r="A182" s="2" t="s">
        <v>1725</v>
      </c>
      <c r="B182" s="2">
        <v>11.0</v>
      </c>
      <c r="C182" s="2" t="s">
        <v>9</v>
      </c>
      <c r="D182" s="2" t="s">
        <v>1726</v>
      </c>
      <c r="E182" s="2">
        <v>6.0</v>
      </c>
      <c r="F182" s="2" t="s">
        <v>10</v>
      </c>
      <c r="G182" s="5">
        <v>2775876.0</v>
      </c>
      <c r="H182" s="2" t="s">
        <v>1575</v>
      </c>
      <c r="I182" s="2" t="s">
        <v>1572</v>
      </c>
      <c r="J182" s="2">
        <v>10125.0</v>
      </c>
      <c r="K182" s="2" t="s">
        <v>1601</v>
      </c>
      <c r="L182" s="2"/>
      <c r="M182" s="2"/>
      <c r="N182" s="7">
        <v>1.0</v>
      </c>
      <c r="O182" s="12">
        <v>20476.0</v>
      </c>
      <c r="P182" s="11" t="s">
        <v>1649</v>
      </c>
      <c r="Q182" s="12">
        <v>20476.0</v>
      </c>
      <c r="R182" s="11" t="s">
        <v>1649</v>
      </c>
      <c r="S182" s="11" t="s">
        <v>1716</v>
      </c>
      <c r="T182" s="11" t="s">
        <v>1717</v>
      </c>
      <c r="U182" s="2" t="s">
        <v>1574</v>
      </c>
      <c r="V182" s="2" t="s">
        <v>1568</v>
      </c>
      <c r="W182" s="2" t="s">
        <v>1569</v>
      </c>
      <c r="X182" s="2" t="s">
        <v>1570</v>
      </c>
      <c r="AB182" s="2" t="s">
        <v>1571</v>
      </c>
    </row>
    <row r="183">
      <c r="A183" s="2" t="s">
        <v>1725</v>
      </c>
      <c r="B183" s="2">
        <v>10.0</v>
      </c>
      <c r="C183" s="2" t="s">
        <v>9</v>
      </c>
      <c r="D183" s="2" t="s">
        <v>1726</v>
      </c>
      <c r="E183" s="2">
        <v>6.0</v>
      </c>
      <c r="F183" s="2" t="s">
        <v>10</v>
      </c>
      <c r="G183" s="5">
        <v>2775511.0</v>
      </c>
      <c r="H183" s="2" t="s">
        <v>1575</v>
      </c>
      <c r="I183" s="2" t="s">
        <v>1565</v>
      </c>
      <c r="J183" s="2">
        <v>10007.0</v>
      </c>
      <c r="K183" s="2" t="s">
        <v>1576</v>
      </c>
      <c r="L183" s="2"/>
      <c r="M183" s="2"/>
      <c r="N183" s="7">
        <v>2.0</v>
      </c>
      <c r="O183" s="12">
        <v>33810.0</v>
      </c>
      <c r="P183" s="11" t="s">
        <v>1649</v>
      </c>
      <c r="Q183" s="12">
        <v>33810.0</v>
      </c>
      <c r="R183" s="11" t="s">
        <v>1649</v>
      </c>
      <c r="S183" s="11" t="s">
        <v>1701</v>
      </c>
      <c r="T183" s="11" t="s">
        <v>1703</v>
      </c>
      <c r="U183" s="2" t="s">
        <v>1567</v>
      </c>
      <c r="V183" s="2" t="s">
        <v>1568</v>
      </c>
      <c r="W183" s="2" t="s">
        <v>1569</v>
      </c>
      <c r="X183" s="2" t="s">
        <v>1570</v>
      </c>
      <c r="AB183" s="2" t="s">
        <v>1571</v>
      </c>
    </row>
    <row r="184">
      <c r="A184" s="2" t="s">
        <v>1725</v>
      </c>
      <c r="B184" s="2">
        <v>10.0</v>
      </c>
      <c r="C184" s="2" t="s">
        <v>9</v>
      </c>
      <c r="D184" s="2" t="s">
        <v>1726</v>
      </c>
      <c r="E184" s="2">
        <v>6.0</v>
      </c>
      <c r="F184" s="2" t="s">
        <v>10</v>
      </c>
      <c r="G184" s="5">
        <v>2775146.0</v>
      </c>
      <c r="H184" s="2" t="s">
        <v>1575</v>
      </c>
      <c r="I184" s="2" t="s">
        <v>1565</v>
      </c>
      <c r="J184" s="2">
        <v>10007.0</v>
      </c>
      <c r="K184" s="2" t="s">
        <v>1576</v>
      </c>
      <c r="L184" s="2"/>
      <c r="M184" s="2"/>
      <c r="N184" s="7">
        <v>2.0</v>
      </c>
      <c r="O184" s="12">
        <v>33810.0</v>
      </c>
      <c r="P184" s="11" t="s">
        <v>1649</v>
      </c>
      <c r="Q184" s="12">
        <v>33810.0</v>
      </c>
      <c r="R184" s="11" t="s">
        <v>1649</v>
      </c>
      <c r="S184" s="11" t="s">
        <v>1701</v>
      </c>
      <c r="T184" s="11" t="s">
        <v>1703</v>
      </c>
      <c r="U184" s="2" t="s">
        <v>1567</v>
      </c>
      <c r="V184" s="2" t="s">
        <v>1568</v>
      </c>
      <c r="W184" s="2" t="s">
        <v>1569</v>
      </c>
      <c r="X184" s="2" t="s">
        <v>1570</v>
      </c>
      <c r="AB184" s="2" t="s">
        <v>1571</v>
      </c>
    </row>
    <row r="185">
      <c r="A185" s="2" t="s">
        <v>1725</v>
      </c>
      <c r="B185" s="2">
        <v>10.0</v>
      </c>
      <c r="C185" s="2" t="s">
        <v>9</v>
      </c>
      <c r="D185" s="2" t="s">
        <v>1726</v>
      </c>
      <c r="E185" s="2">
        <v>6.0</v>
      </c>
      <c r="F185" s="2" t="s">
        <v>10</v>
      </c>
      <c r="G185" s="5">
        <v>2775146.0</v>
      </c>
      <c r="H185" s="2" t="s">
        <v>1575</v>
      </c>
      <c r="I185" s="2" t="s">
        <v>1565</v>
      </c>
      <c r="J185" s="2">
        <v>10000.0</v>
      </c>
      <c r="K185" s="2" t="s">
        <v>1566</v>
      </c>
      <c r="L185" s="2"/>
      <c r="M185" s="2"/>
      <c r="N185" s="7">
        <v>1.0</v>
      </c>
      <c r="O185" s="12">
        <v>29524.0</v>
      </c>
      <c r="P185" s="11" t="s">
        <v>1649</v>
      </c>
      <c r="Q185" s="12">
        <v>29524.0</v>
      </c>
      <c r="R185" s="11" t="s">
        <v>1649</v>
      </c>
      <c r="S185" s="11" t="s">
        <v>1683</v>
      </c>
      <c r="T185" s="11" t="s">
        <v>1684</v>
      </c>
      <c r="U185" s="2" t="s">
        <v>1567</v>
      </c>
      <c r="V185" s="2" t="s">
        <v>1568</v>
      </c>
      <c r="W185" s="2" t="s">
        <v>1569</v>
      </c>
      <c r="X185" s="2" t="s">
        <v>1570</v>
      </c>
      <c r="AB185" s="2" t="s">
        <v>1571</v>
      </c>
    </row>
    <row r="186">
      <c r="A186" s="2" t="s">
        <v>1725</v>
      </c>
      <c r="B186" s="2">
        <v>10.0</v>
      </c>
      <c r="C186" s="2" t="s">
        <v>9</v>
      </c>
      <c r="D186" s="2" t="s">
        <v>1726</v>
      </c>
      <c r="E186" s="2">
        <v>6.0</v>
      </c>
      <c r="F186" s="2" t="s">
        <v>10</v>
      </c>
      <c r="G186" s="5">
        <v>2775146.0</v>
      </c>
      <c r="H186" s="2" t="s">
        <v>1575</v>
      </c>
      <c r="I186" s="2" t="s">
        <v>1565</v>
      </c>
      <c r="J186" s="2">
        <v>10055.0</v>
      </c>
      <c r="K186" s="2" t="s">
        <v>1595</v>
      </c>
      <c r="L186" s="2"/>
      <c r="M186" s="2"/>
      <c r="N186" s="7">
        <v>2.0</v>
      </c>
      <c r="O186" s="12">
        <v>34762.0</v>
      </c>
      <c r="P186" s="11" t="s">
        <v>1649</v>
      </c>
      <c r="Q186" s="12">
        <v>34762.0</v>
      </c>
      <c r="R186" s="11" t="s">
        <v>1649</v>
      </c>
      <c r="S186" s="11" t="s">
        <v>1670</v>
      </c>
      <c r="T186" s="11" t="s">
        <v>1671</v>
      </c>
      <c r="U186" s="2" t="s">
        <v>1567</v>
      </c>
      <c r="V186" s="2" t="s">
        <v>1568</v>
      </c>
      <c r="W186" s="2" t="s">
        <v>1569</v>
      </c>
      <c r="X186" s="2" t="s">
        <v>1570</v>
      </c>
      <c r="AB186" s="2" t="s">
        <v>1571</v>
      </c>
    </row>
    <row r="187">
      <c r="A187" s="2" t="s">
        <v>1725</v>
      </c>
      <c r="B187" s="2">
        <v>10.0</v>
      </c>
      <c r="C187" s="2" t="s">
        <v>9</v>
      </c>
      <c r="D187" s="2" t="s">
        <v>1726</v>
      </c>
      <c r="E187" s="2">
        <v>6.0</v>
      </c>
      <c r="F187" s="2" t="s">
        <v>10</v>
      </c>
      <c r="G187" s="5">
        <v>2774781.0</v>
      </c>
      <c r="H187" s="2" t="s">
        <v>1575</v>
      </c>
      <c r="I187" s="2" t="s">
        <v>1565</v>
      </c>
      <c r="J187" s="2">
        <v>10000.0</v>
      </c>
      <c r="K187" s="2" t="s">
        <v>1566</v>
      </c>
      <c r="L187" s="2"/>
      <c r="M187" s="2"/>
      <c r="N187" s="7">
        <v>1.0</v>
      </c>
      <c r="O187" s="12">
        <v>29524.0</v>
      </c>
      <c r="P187" s="11" t="s">
        <v>1649</v>
      </c>
      <c r="Q187" s="12">
        <v>29524.0</v>
      </c>
      <c r="R187" s="11" t="s">
        <v>1649</v>
      </c>
      <c r="S187" s="11" t="s">
        <v>1683</v>
      </c>
      <c r="T187" s="11" t="s">
        <v>1684</v>
      </c>
      <c r="U187" s="2" t="s">
        <v>1574</v>
      </c>
      <c r="V187" s="2" t="s">
        <v>1568</v>
      </c>
      <c r="W187" s="2" t="s">
        <v>1569</v>
      </c>
      <c r="X187" s="2" t="s">
        <v>1570</v>
      </c>
      <c r="AB187" s="2" t="s">
        <v>1571</v>
      </c>
    </row>
    <row r="188">
      <c r="A188" s="2" t="s">
        <v>1725</v>
      </c>
      <c r="B188" s="2">
        <v>10.0</v>
      </c>
      <c r="C188" s="2" t="s">
        <v>9</v>
      </c>
      <c r="D188" s="2" t="s">
        <v>1726</v>
      </c>
      <c r="E188" s="2">
        <v>6.0</v>
      </c>
      <c r="F188" s="2" t="s">
        <v>10</v>
      </c>
      <c r="G188" s="5">
        <v>2774781.0</v>
      </c>
      <c r="H188" s="2" t="s">
        <v>1575</v>
      </c>
      <c r="I188" s="2" t="s">
        <v>1578</v>
      </c>
      <c r="J188" s="2">
        <v>10051.0</v>
      </c>
      <c r="K188" s="2" t="s">
        <v>1579</v>
      </c>
      <c r="L188" s="2"/>
      <c r="M188" s="2"/>
      <c r="N188" s="7">
        <v>1.0</v>
      </c>
      <c r="O188" s="12">
        <v>25238.0</v>
      </c>
      <c r="P188" s="11" t="s">
        <v>1649</v>
      </c>
      <c r="Q188" s="12">
        <v>25238.0</v>
      </c>
      <c r="R188" s="11" t="s">
        <v>1649</v>
      </c>
      <c r="S188" s="11" t="s">
        <v>1660</v>
      </c>
      <c r="T188" s="11" t="s">
        <v>1680</v>
      </c>
      <c r="U188" s="2" t="s">
        <v>1574</v>
      </c>
      <c r="V188" s="2" t="s">
        <v>1568</v>
      </c>
      <c r="W188" s="2" t="s">
        <v>1569</v>
      </c>
      <c r="X188" s="2" t="s">
        <v>1570</v>
      </c>
      <c r="AB188" s="2" t="s">
        <v>1571</v>
      </c>
    </row>
    <row r="189">
      <c r="A189" s="2" t="s">
        <v>1725</v>
      </c>
      <c r="B189" s="2">
        <v>10.0</v>
      </c>
      <c r="C189" s="2" t="s">
        <v>9</v>
      </c>
      <c r="D189" s="2" t="s">
        <v>1726</v>
      </c>
      <c r="E189" s="2">
        <v>6.0</v>
      </c>
      <c r="F189" s="2" t="s">
        <v>10</v>
      </c>
      <c r="G189" s="5">
        <v>2774781.0</v>
      </c>
      <c r="H189" s="2" t="s">
        <v>1575</v>
      </c>
      <c r="I189" s="2" t="s">
        <v>1572</v>
      </c>
      <c r="J189" s="2">
        <v>10128.0</v>
      </c>
      <c r="K189" s="2" t="s">
        <v>1588</v>
      </c>
      <c r="L189" s="2"/>
      <c r="M189" s="2"/>
      <c r="N189" s="7">
        <v>1.0</v>
      </c>
      <c r="O189" s="12">
        <v>23333.0</v>
      </c>
      <c r="P189" s="11" t="s">
        <v>1649</v>
      </c>
      <c r="Q189" s="12">
        <v>23333.0</v>
      </c>
      <c r="R189" s="11" t="s">
        <v>1649</v>
      </c>
      <c r="S189" s="11" t="s">
        <v>1681</v>
      </c>
      <c r="T189" s="11" t="s">
        <v>1682</v>
      </c>
      <c r="U189" s="2" t="s">
        <v>1574</v>
      </c>
      <c r="V189" s="2" t="s">
        <v>1568</v>
      </c>
      <c r="W189" s="2" t="s">
        <v>1569</v>
      </c>
      <c r="X189" s="2" t="s">
        <v>1570</v>
      </c>
      <c r="AB189" s="2" t="s">
        <v>1571</v>
      </c>
    </row>
    <row r="190">
      <c r="A190" s="2" t="s">
        <v>1725</v>
      </c>
      <c r="B190" s="2">
        <v>10.0</v>
      </c>
      <c r="C190" s="2" t="s">
        <v>9</v>
      </c>
      <c r="D190" s="2" t="s">
        <v>1726</v>
      </c>
      <c r="E190" s="2">
        <v>6.0</v>
      </c>
      <c r="F190" s="2" t="s">
        <v>10</v>
      </c>
      <c r="G190" s="5">
        <v>2774781.0</v>
      </c>
      <c r="H190" s="2" t="s">
        <v>1575</v>
      </c>
      <c r="I190" s="2" t="s">
        <v>1572</v>
      </c>
      <c r="J190" s="2">
        <v>10013.0</v>
      </c>
      <c r="K190" s="2" t="s">
        <v>1591</v>
      </c>
      <c r="L190" s="2"/>
      <c r="M190" s="2"/>
      <c r="N190" s="7">
        <v>1.0</v>
      </c>
      <c r="O190" s="12">
        <v>23333.0</v>
      </c>
      <c r="P190" s="11" t="s">
        <v>1649</v>
      </c>
      <c r="Q190" s="12">
        <v>23333.0</v>
      </c>
      <c r="R190" s="11" t="s">
        <v>1649</v>
      </c>
      <c r="S190" s="11" t="s">
        <v>1681</v>
      </c>
      <c r="T190" s="11" t="s">
        <v>1715</v>
      </c>
      <c r="U190" s="2" t="s">
        <v>1574</v>
      </c>
      <c r="V190" s="2" t="s">
        <v>1568</v>
      </c>
      <c r="W190" s="2" t="s">
        <v>1569</v>
      </c>
      <c r="X190" s="2" t="s">
        <v>1570</v>
      </c>
      <c r="AB190" s="2" t="s">
        <v>1571</v>
      </c>
    </row>
    <row r="191">
      <c r="A191" s="2" t="s">
        <v>1725</v>
      </c>
      <c r="B191" s="2">
        <v>10.0</v>
      </c>
      <c r="C191" s="2" t="s">
        <v>9</v>
      </c>
      <c r="D191" s="2" t="s">
        <v>1726</v>
      </c>
      <c r="E191" s="2">
        <v>6.0</v>
      </c>
      <c r="F191" s="2" t="s">
        <v>10</v>
      </c>
      <c r="G191" s="5">
        <v>2774781.0</v>
      </c>
      <c r="H191" s="2" t="s">
        <v>1575</v>
      </c>
      <c r="I191" s="2" t="s">
        <v>1565</v>
      </c>
      <c r="J191" s="2">
        <v>10033.0</v>
      </c>
      <c r="K191" s="2" t="s">
        <v>1615</v>
      </c>
      <c r="L191" s="2"/>
      <c r="M191" s="2"/>
      <c r="N191" s="7">
        <v>1.0</v>
      </c>
      <c r="O191" s="12">
        <v>21905.0</v>
      </c>
      <c r="P191" s="11" t="s">
        <v>1649</v>
      </c>
      <c r="Q191" s="12">
        <v>21905.0</v>
      </c>
      <c r="R191" s="11" t="s">
        <v>1649</v>
      </c>
      <c r="S191" s="11" t="s">
        <v>1666</v>
      </c>
      <c r="T191" s="11" t="s">
        <v>1687</v>
      </c>
      <c r="U191" s="2" t="s">
        <v>1574</v>
      </c>
      <c r="V191" s="2" t="s">
        <v>1568</v>
      </c>
      <c r="W191" s="2" t="s">
        <v>1569</v>
      </c>
      <c r="X191" s="2" t="s">
        <v>1570</v>
      </c>
      <c r="AB191" s="2" t="s">
        <v>1571</v>
      </c>
    </row>
    <row r="192">
      <c r="A192" s="2" t="s">
        <v>1725</v>
      </c>
      <c r="B192" s="2">
        <v>10.0</v>
      </c>
      <c r="C192" s="2" t="s">
        <v>9</v>
      </c>
      <c r="D192" s="2" t="s">
        <v>1726</v>
      </c>
      <c r="E192" s="2">
        <v>6.0</v>
      </c>
      <c r="F192" s="2" t="s">
        <v>10</v>
      </c>
      <c r="G192" s="5">
        <v>2774781.0</v>
      </c>
      <c r="H192" s="2" t="s">
        <v>1575</v>
      </c>
      <c r="I192" s="2" t="s">
        <v>1565</v>
      </c>
      <c r="J192" s="2">
        <v>10034.0</v>
      </c>
      <c r="K192" s="2" t="s">
        <v>1616</v>
      </c>
      <c r="L192" s="2"/>
      <c r="M192" s="2"/>
      <c r="N192" s="7">
        <v>1.0</v>
      </c>
      <c r="O192" s="12">
        <v>21905.0</v>
      </c>
      <c r="P192" s="11" t="s">
        <v>1649</v>
      </c>
      <c r="Q192" s="12">
        <v>21905.0</v>
      </c>
      <c r="R192" s="11" t="s">
        <v>1649</v>
      </c>
      <c r="S192" s="11" t="s">
        <v>1666</v>
      </c>
      <c r="T192" s="11" t="s">
        <v>1667</v>
      </c>
      <c r="U192" s="2" t="s">
        <v>1574</v>
      </c>
      <c r="V192" s="2" t="s">
        <v>1568</v>
      </c>
      <c r="W192" s="2" t="s">
        <v>1569</v>
      </c>
      <c r="X192" s="2" t="s">
        <v>1570</v>
      </c>
      <c r="AB192" s="2" t="s">
        <v>1571</v>
      </c>
    </row>
    <row r="193">
      <c r="A193" s="2" t="s">
        <v>1725</v>
      </c>
      <c r="B193" s="2">
        <v>10.0</v>
      </c>
      <c r="C193" s="2" t="s">
        <v>9</v>
      </c>
      <c r="D193" s="2" t="s">
        <v>1726</v>
      </c>
      <c r="E193" s="2">
        <v>6.0</v>
      </c>
      <c r="F193" s="2" t="s">
        <v>10</v>
      </c>
      <c r="G193" s="5">
        <v>2774781.0</v>
      </c>
      <c r="H193" s="2" t="s">
        <v>1575</v>
      </c>
      <c r="I193" s="2" t="s">
        <v>1572</v>
      </c>
      <c r="J193" s="2">
        <v>10107.0</v>
      </c>
      <c r="K193" s="2" t="s">
        <v>1584</v>
      </c>
      <c r="L193" s="2"/>
      <c r="M193" s="2"/>
      <c r="N193" s="7">
        <v>1.0</v>
      </c>
      <c r="O193" s="12">
        <v>26667.0</v>
      </c>
      <c r="P193" s="11" t="s">
        <v>1649</v>
      </c>
      <c r="Q193" s="12">
        <v>26667.0</v>
      </c>
      <c r="R193" s="11" t="s">
        <v>1649</v>
      </c>
      <c r="S193" s="11" t="s">
        <v>1674</v>
      </c>
      <c r="T193" s="11" t="s">
        <v>1679</v>
      </c>
      <c r="U193" s="2" t="s">
        <v>1574</v>
      </c>
      <c r="V193" s="2" t="s">
        <v>1568</v>
      </c>
      <c r="W193" s="2" t="s">
        <v>1569</v>
      </c>
      <c r="X193" s="2" t="s">
        <v>1570</v>
      </c>
      <c r="AB193" s="2" t="s">
        <v>1571</v>
      </c>
    </row>
    <row r="194">
      <c r="A194" s="2" t="s">
        <v>1725</v>
      </c>
      <c r="B194" s="2">
        <v>10.0</v>
      </c>
      <c r="C194" s="2" t="s">
        <v>9</v>
      </c>
      <c r="D194" s="2" t="s">
        <v>1726</v>
      </c>
      <c r="E194" s="2">
        <v>6.0</v>
      </c>
      <c r="F194" s="2" t="s">
        <v>10</v>
      </c>
      <c r="G194" s="5">
        <v>2774781.0</v>
      </c>
      <c r="H194" s="2" t="s">
        <v>1575</v>
      </c>
      <c r="I194" s="2" t="s">
        <v>1572</v>
      </c>
      <c r="J194" s="2">
        <v>10106.0</v>
      </c>
      <c r="K194" s="2" t="s">
        <v>1598</v>
      </c>
      <c r="L194" s="2"/>
      <c r="M194" s="2"/>
      <c r="N194" s="7">
        <v>1.0</v>
      </c>
      <c r="O194" s="12">
        <v>26667.0</v>
      </c>
      <c r="P194" s="11" t="s">
        <v>1649</v>
      </c>
      <c r="Q194" s="12">
        <v>26667.0</v>
      </c>
      <c r="R194" s="11" t="s">
        <v>1649</v>
      </c>
      <c r="S194" s="11" t="s">
        <v>1674</v>
      </c>
      <c r="T194" s="11" t="s">
        <v>1675</v>
      </c>
      <c r="U194" s="2" t="s">
        <v>1574</v>
      </c>
      <c r="V194" s="2" t="s">
        <v>1568</v>
      </c>
      <c r="W194" s="2" t="s">
        <v>1569</v>
      </c>
      <c r="X194" s="2" t="s">
        <v>1570</v>
      </c>
      <c r="AB194" s="2" t="s">
        <v>1571</v>
      </c>
    </row>
    <row r="195">
      <c r="A195" s="2" t="s">
        <v>1725</v>
      </c>
      <c r="B195" s="2">
        <v>10.0</v>
      </c>
      <c r="C195" s="2" t="s">
        <v>9</v>
      </c>
      <c r="D195" s="2" t="s">
        <v>1726</v>
      </c>
      <c r="E195" s="2">
        <v>6.0</v>
      </c>
      <c r="F195" s="2" t="s">
        <v>10</v>
      </c>
      <c r="G195" s="5">
        <v>2774781.0</v>
      </c>
      <c r="H195" s="2" t="s">
        <v>1575</v>
      </c>
      <c r="I195" s="2" t="s">
        <v>1565</v>
      </c>
      <c r="J195" s="2">
        <v>10055.0</v>
      </c>
      <c r="K195" s="2" t="s">
        <v>1595</v>
      </c>
      <c r="L195" s="2"/>
      <c r="M195" s="2"/>
      <c r="N195" s="7">
        <v>2.0</v>
      </c>
      <c r="O195" s="12">
        <v>34762.0</v>
      </c>
      <c r="P195" s="11" t="s">
        <v>1649</v>
      </c>
      <c r="Q195" s="12">
        <v>34762.0</v>
      </c>
      <c r="R195" s="11" t="s">
        <v>1649</v>
      </c>
      <c r="S195" s="11" t="s">
        <v>1670</v>
      </c>
      <c r="T195" s="11" t="s">
        <v>1671</v>
      </c>
      <c r="U195" s="2" t="s">
        <v>1574</v>
      </c>
      <c r="V195" s="2" t="s">
        <v>1568</v>
      </c>
      <c r="W195" s="2" t="s">
        <v>1569</v>
      </c>
      <c r="X195" s="2" t="s">
        <v>1570</v>
      </c>
      <c r="AB195" s="2" t="s">
        <v>1571</v>
      </c>
    </row>
    <row r="196">
      <c r="A196" s="2" t="s">
        <v>1725</v>
      </c>
      <c r="B196" s="2">
        <v>10.0</v>
      </c>
      <c r="C196" s="2" t="s">
        <v>9</v>
      </c>
      <c r="D196" s="2" t="s">
        <v>1726</v>
      </c>
      <c r="E196" s="2">
        <v>6.0</v>
      </c>
      <c r="F196" s="2" t="s">
        <v>10</v>
      </c>
      <c r="G196" s="5">
        <v>2774781.0</v>
      </c>
      <c r="H196" s="2" t="s">
        <v>1575</v>
      </c>
      <c r="I196" s="2" t="s">
        <v>1572</v>
      </c>
      <c r="J196" s="2">
        <v>10128.0</v>
      </c>
      <c r="K196" s="2" t="s">
        <v>1588</v>
      </c>
      <c r="L196" s="2"/>
      <c r="M196" s="2"/>
      <c r="N196" s="7">
        <v>1.0</v>
      </c>
      <c r="O196" s="12">
        <v>23333.0</v>
      </c>
      <c r="P196" s="11" t="s">
        <v>1649</v>
      </c>
      <c r="Q196" s="12">
        <v>23333.0</v>
      </c>
      <c r="R196" s="11" t="s">
        <v>1649</v>
      </c>
      <c r="S196" s="11" t="s">
        <v>1681</v>
      </c>
      <c r="T196" s="11" t="s">
        <v>1715</v>
      </c>
      <c r="U196" s="2" t="s">
        <v>1574</v>
      </c>
      <c r="V196" s="2" t="s">
        <v>1568</v>
      </c>
      <c r="W196" s="2" t="s">
        <v>1569</v>
      </c>
      <c r="X196" s="2" t="s">
        <v>1570</v>
      </c>
      <c r="AB196" s="2" t="s">
        <v>1571</v>
      </c>
    </row>
    <row r="197">
      <c r="A197" s="2" t="s">
        <v>1725</v>
      </c>
      <c r="B197" s="2">
        <v>10.0</v>
      </c>
      <c r="C197" s="2" t="s">
        <v>9</v>
      </c>
      <c r="D197" s="2" t="s">
        <v>1726</v>
      </c>
      <c r="E197" s="2">
        <v>6.0</v>
      </c>
      <c r="F197" s="2" t="s">
        <v>10</v>
      </c>
      <c r="G197" s="5">
        <v>2774781.0</v>
      </c>
      <c r="H197" s="2" t="s">
        <v>1575</v>
      </c>
      <c r="I197" s="2" t="s">
        <v>1572</v>
      </c>
      <c r="J197" s="2">
        <v>10106.0</v>
      </c>
      <c r="K197" s="2" t="s">
        <v>1598</v>
      </c>
      <c r="L197" s="2"/>
      <c r="M197" s="2"/>
      <c r="N197" s="7">
        <v>1.0</v>
      </c>
      <c r="O197" s="12">
        <v>26667.0</v>
      </c>
      <c r="P197" s="11" t="s">
        <v>1649</v>
      </c>
      <c r="Q197" s="12">
        <v>26667.0</v>
      </c>
      <c r="R197" s="11" t="s">
        <v>1649</v>
      </c>
      <c r="S197" s="11" t="s">
        <v>1674</v>
      </c>
      <c r="T197" s="11" t="s">
        <v>1675</v>
      </c>
      <c r="U197" s="2" t="s">
        <v>1574</v>
      </c>
      <c r="V197" s="2" t="s">
        <v>1568</v>
      </c>
      <c r="W197" s="2" t="s">
        <v>1569</v>
      </c>
      <c r="X197" s="2" t="s">
        <v>1570</v>
      </c>
      <c r="AB197" s="2" t="s">
        <v>1571</v>
      </c>
    </row>
    <row r="198">
      <c r="A198" s="2" t="s">
        <v>1725</v>
      </c>
      <c r="B198" s="2">
        <v>10.0</v>
      </c>
      <c r="C198" s="2" t="s">
        <v>9</v>
      </c>
      <c r="D198" s="2" t="s">
        <v>1726</v>
      </c>
      <c r="E198" s="2">
        <v>6.0</v>
      </c>
      <c r="F198" s="2" t="s">
        <v>10</v>
      </c>
      <c r="G198" s="5">
        <v>2774415.0</v>
      </c>
      <c r="H198" s="2" t="s">
        <v>1575</v>
      </c>
      <c r="I198" s="2" t="s">
        <v>1572</v>
      </c>
      <c r="J198" s="2">
        <v>10107.0</v>
      </c>
      <c r="K198" s="2" t="s">
        <v>1584</v>
      </c>
      <c r="L198" s="2"/>
      <c r="M198" s="2"/>
      <c r="N198" s="7">
        <v>1.0</v>
      </c>
      <c r="O198" s="12">
        <v>26667.0</v>
      </c>
      <c r="P198" s="11" t="s">
        <v>1649</v>
      </c>
      <c r="Q198" s="12">
        <v>26667.0</v>
      </c>
      <c r="R198" s="11" t="s">
        <v>1649</v>
      </c>
      <c r="S198" s="11" t="s">
        <v>1674</v>
      </c>
      <c r="T198" s="11" t="s">
        <v>1679</v>
      </c>
      <c r="U198" s="2" t="s">
        <v>1574</v>
      </c>
      <c r="V198" s="2" t="s">
        <v>1568</v>
      </c>
      <c r="W198" s="2" t="s">
        <v>1569</v>
      </c>
      <c r="X198" s="2" t="s">
        <v>1570</v>
      </c>
      <c r="AB198" s="2" t="s">
        <v>1571</v>
      </c>
    </row>
    <row r="199">
      <c r="A199" s="2" t="s">
        <v>1725</v>
      </c>
      <c r="B199" s="2">
        <v>10.0</v>
      </c>
      <c r="C199" s="2" t="s">
        <v>9</v>
      </c>
      <c r="D199" s="2" t="s">
        <v>1726</v>
      </c>
      <c r="E199" s="2">
        <v>6.0</v>
      </c>
      <c r="F199" s="2" t="s">
        <v>10</v>
      </c>
      <c r="G199" s="5">
        <v>2774415.0</v>
      </c>
      <c r="H199" s="2" t="s">
        <v>1575</v>
      </c>
      <c r="I199" s="2" t="s">
        <v>1572</v>
      </c>
      <c r="J199" s="2">
        <v>10106.0</v>
      </c>
      <c r="K199" s="2" t="s">
        <v>1598</v>
      </c>
      <c r="L199" s="2"/>
      <c r="M199" s="2"/>
      <c r="N199" s="7">
        <v>1.0</v>
      </c>
      <c r="O199" s="12">
        <v>26667.0</v>
      </c>
      <c r="P199" s="11" t="s">
        <v>1649</v>
      </c>
      <c r="Q199" s="12">
        <v>26667.0</v>
      </c>
      <c r="R199" s="11" t="s">
        <v>1649</v>
      </c>
      <c r="S199" s="11" t="s">
        <v>1674</v>
      </c>
      <c r="T199" s="11" t="s">
        <v>1675</v>
      </c>
      <c r="U199" s="2" t="s">
        <v>1574</v>
      </c>
      <c r="V199" s="2" t="s">
        <v>1568</v>
      </c>
      <c r="W199" s="2" t="s">
        <v>1569</v>
      </c>
      <c r="X199" s="2" t="s">
        <v>1570</v>
      </c>
      <c r="AB199" s="2" t="s">
        <v>1571</v>
      </c>
    </row>
    <row r="200">
      <c r="A200" s="2" t="s">
        <v>1725</v>
      </c>
      <c r="B200" s="2">
        <v>9.0</v>
      </c>
      <c r="C200" s="2" t="s">
        <v>9</v>
      </c>
      <c r="D200" s="2" t="s">
        <v>1726</v>
      </c>
      <c r="E200" s="2">
        <v>6.0</v>
      </c>
      <c r="F200" s="2" t="s">
        <v>10</v>
      </c>
      <c r="G200" s="5">
        <v>2774050.0</v>
      </c>
      <c r="H200" s="2" t="s">
        <v>1575</v>
      </c>
      <c r="I200" s="2" t="s">
        <v>1565</v>
      </c>
      <c r="J200" s="2">
        <v>10007.0</v>
      </c>
      <c r="K200" s="2" t="s">
        <v>1576</v>
      </c>
      <c r="L200" s="2"/>
      <c r="M200" s="2"/>
      <c r="N200" s="7">
        <v>2.0</v>
      </c>
      <c r="O200" s="12">
        <v>33810.0</v>
      </c>
      <c r="P200" s="11" t="s">
        <v>1649</v>
      </c>
      <c r="Q200" s="12">
        <v>33810.0</v>
      </c>
      <c r="R200" s="11" t="s">
        <v>1649</v>
      </c>
      <c r="S200" s="11" t="s">
        <v>1701</v>
      </c>
      <c r="T200" s="11" t="s">
        <v>1703</v>
      </c>
      <c r="U200" s="2" t="s">
        <v>1574</v>
      </c>
      <c r="V200" s="2" t="s">
        <v>1568</v>
      </c>
      <c r="W200" s="2" t="s">
        <v>1569</v>
      </c>
      <c r="X200" s="2" t="s">
        <v>1570</v>
      </c>
      <c r="AB200" s="2" t="s">
        <v>1571</v>
      </c>
    </row>
    <row r="201">
      <c r="A201" s="2" t="s">
        <v>1725</v>
      </c>
      <c r="B201" s="2">
        <v>9.0</v>
      </c>
      <c r="C201" s="2" t="s">
        <v>9</v>
      </c>
      <c r="D201" s="2" t="s">
        <v>1726</v>
      </c>
      <c r="E201" s="2">
        <v>6.0</v>
      </c>
      <c r="F201" s="2" t="s">
        <v>10</v>
      </c>
      <c r="G201" s="5">
        <v>2774050.0</v>
      </c>
      <c r="H201" s="2" t="s">
        <v>1575</v>
      </c>
      <c r="I201" s="2" t="s">
        <v>1572</v>
      </c>
      <c r="J201" s="2">
        <v>10119.0</v>
      </c>
      <c r="K201" s="2" t="s">
        <v>1582</v>
      </c>
      <c r="L201" s="2"/>
      <c r="M201" s="2"/>
      <c r="N201" s="7">
        <v>1.0</v>
      </c>
      <c r="O201" s="12">
        <v>7143.0</v>
      </c>
      <c r="P201" s="11" t="s">
        <v>1649</v>
      </c>
      <c r="Q201" s="12">
        <v>7143.0</v>
      </c>
      <c r="R201" s="11" t="s">
        <v>1649</v>
      </c>
      <c r="S201" s="11" t="s">
        <v>1672</v>
      </c>
      <c r="T201" s="11" t="s">
        <v>1673</v>
      </c>
      <c r="U201" s="2" t="s">
        <v>1574</v>
      </c>
      <c r="V201" s="2" t="s">
        <v>1568</v>
      </c>
      <c r="W201" s="2" t="s">
        <v>1569</v>
      </c>
      <c r="X201" s="2" t="s">
        <v>1570</v>
      </c>
      <c r="AB201" s="2" t="s">
        <v>1571</v>
      </c>
    </row>
    <row r="202">
      <c r="A202" s="2" t="s">
        <v>1725</v>
      </c>
      <c r="B202" s="2">
        <v>9.0</v>
      </c>
      <c r="C202" s="2" t="s">
        <v>9</v>
      </c>
      <c r="D202" s="2" t="s">
        <v>1726</v>
      </c>
      <c r="E202" s="2">
        <v>6.0</v>
      </c>
      <c r="F202" s="2" t="s">
        <v>10</v>
      </c>
      <c r="G202" s="5">
        <v>2774050.0</v>
      </c>
      <c r="H202" s="2" t="s">
        <v>1575</v>
      </c>
      <c r="I202" s="2" t="s">
        <v>1572</v>
      </c>
      <c r="J202" s="2">
        <v>10056.0</v>
      </c>
      <c r="K202" s="2" t="s">
        <v>1585</v>
      </c>
      <c r="L202" s="2"/>
      <c r="M202" s="2"/>
      <c r="N202" s="7">
        <v>1.0</v>
      </c>
      <c r="O202" s="12">
        <v>19524.0</v>
      </c>
      <c r="P202" s="11" t="s">
        <v>1649</v>
      </c>
      <c r="Q202" s="12">
        <v>19524.0</v>
      </c>
      <c r="R202" s="11" t="s">
        <v>1649</v>
      </c>
      <c r="S202" s="11" t="s">
        <v>1676</v>
      </c>
      <c r="T202" s="11" t="s">
        <v>1677</v>
      </c>
      <c r="U202" s="2" t="s">
        <v>1574</v>
      </c>
      <c r="V202" s="2" t="s">
        <v>1568</v>
      </c>
      <c r="W202" s="2" t="s">
        <v>1569</v>
      </c>
      <c r="X202" s="2" t="s">
        <v>1570</v>
      </c>
      <c r="AB202" s="2" t="s">
        <v>1571</v>
      </c>
    </row>
    <row r="203">
      <c r="A203" s="2" t="s">
        <v>1725</v>
      </c>
      <c r="B203" s="2">
        <v>9.0</v>
      </c>
      <c r="C203" s="2" t="s">
        <v>9</v>
      </c>
      <c r="D203" s="2" t="s">
        <v>1726</v>
      </c>
      <c r="E203" s="2">
        <v>6.0</v>
      </c>
      <c r="F203" s="2" t="s">
        <v>10</v>
      </c>
      <c r="G203" s="5">
        <v>2773685.0</v>
      </c>
      <c r="H203" s="2" t="s">
        <v>1575</v>
      </c>
      <c r="I203" s="2" t="s">
        <v>1572</v>
      </c>
      <c r="J203" s="2">
        <v>10107.0</v>
      </c>
      <c r="K203" s="2" t="s">
        <v>1584</v>
      </c>
      <c r="L203" s="2"/>
      <c r="M203" s="2"/>
      <c r="N203" s="7">
        <v>1.0</v>
      </c>
      <c r="O203" s="12">
        <v>26667.0</v>
      </c>
      <c r="P203" s="11" t="s">
        <v>1649</v>
      </c>
      <c r="Q203" s="12">
        <v>26667.0</v>
      </c>
      <c r="R203" s="11" t="s">
        <v>1649</v>
      </c>
      <c r="S203" s="11" t="s">
        <v>1674</v>
      </c>
      <c r="T203" s="11" t="s">
        <v>1679</v>
      </c>
      <c r="U203" s="2" t="s">
        <v>1574</v>
      </c>
      <c r="V203" s="2" t="s">
        <v>1568</v>
      </c>
      <c r="W203" s="2" t="s">
        <v>1569</v>
      </c>
      <c r="X203" s="2" t="s">
        <v>1570</v>
      </c>
      <c r="AB203" s="2" t="s">
        <v>1571</v>
      </c>
    </row>
    <row r="204">
      <c r="A204" s="2" t="s">
        <v>1725</v>
      </c>
      <c r="B204" s="2">
        <v>9.0</v>
      </c>
      <c r="C204" s="2" t="s">
        <v>9</v>
      </c>
      <c r="D204" s="2" t="s">
        <v>1726</v>
      </c>
      <c r="E204" s="2">
        <v>6.0</v>
      </c>
      <c r="F204" s="2" t="s">
        <v>10</v>
      </c>
      <c r="G204" s="5">
        <v>2773685.0</v>
      </c>
      <c r="H204" s="2" t="s">
        <v>1575</v>
      </c>
      <c r="I204" s="2" t="s">
        <v>1572</v>
      </c>
      <c r="J204" s="2">
        <v>10121.0</v>
      </c>
      <c r="K204" s="2" t="s">
        <v>1617</v>
      </c>
      <c r="L204" s="2"/>
      <c r="M204" s="2"/>
      <c r="N204" s="7">
        <v>1.0</v>
      </c>
      <c r="O204" s="12">
        <v>19524.0</v>
      </c>
      <c r="P204" s="11" t="s">
        <v>1649</v>
      </c>
      <c r="Q204" s="12">
        <v>19524.0</v>
      </c>
      <c r="R204" s="11" t="s">
        <v>1649</v>
      </c>
      <c r="S204" s="11" t="s">
        <v>1676</v>
      </c>
      <c r="T204" s="11" t="s">
        <v>1694</v>
      </c>
      <c r="U204" s="2" t="s">
        <v>1574</v>
      </c>
      <c r="V204" s="2" t="s">
        <v>1568</v>
      </c>
      <c r="W204" s="2" t="s">
        <v>1569</v>
      </c>
      <c r="X204" s="2" t="s">
        <v>1570</v>
      </c>
      <c r="AB204" s="2" t="s">
        <v>1571</v>
      </c>
    </row>
    <row r="205">
      <c r="A205" s="2" t="s">
        <v>1739</v>
      </c>
      <c r="B205" s="2">
        <v>21.0</v>
      </c>
      <c r="C205" s="2" t="s">
        <v>8</v>
      </c>
      <c r="D205" s="2" t="s">
        <v>1740</v>
      </c>
      <c r="E205" s="2">
        <v>5.0</v>
      </c>
      <c r="F205" s="2" t="s">
        <v>4</v>
      </c>
      <c r="G205" s="5">
        <v>2773320.0</v>
      </c>
      <c r="H205" s="2" t="s">
        <v>1575</v>
      </c>
      <c r="I205" s="2" t="s">
        <v>1572</v>
      </c>
      <c r="J205" s="2">
        <v>10122.0</v>
      </c>
      <c r="K205" s="2" t="s">
        <v>1577</v>
      </c>
      <c r="L205" s="2"/>
      <c r="M205" s="2"/>
      <c r="N205" s="7">
        <v>1.0</v>
      </c>
      <c r="O205" s="12">
        <v>21905.0</v>
      </c>
      <c r="P205" s="11" t="s">
        <v>1649</v>
      </c>
      <c r="Q205" s="12">
        <v>21905.0</v>
      </c>
      <c r="R205" s="11" t="s">
        <v>1649</v>
      </c>
      <c r="S205" s="11" t="s">
        <v>1666</v>
      </c>
      <c r="T205" s="11" t="s">
        <v>1667</v>
      </c>
      <c r="U205" s="2" t="s">
        <v>1574</v>
      </c>
      <c r="V205" s="2" t="s">
        <v>1568</v>
      </c>
      <c r="W205" s="2" t="s">
        <v>1569</v>
      </c>
      <c r="X205" s="2" t="s">
        <v>1570</v>
      </c>
      <c r="AB205" s="2" t="s">
        <v>1571</v>
      </c>
    </row>
    <row r="206">
      <c r="A206" s="2" t="s">
        <v>1739</v>
      </c>
      <c r="B206" s="2">
        <v>21.0</v>
      </c>
      <c r="C206" s="2" t="s">
        <v>8</v>
      </c>
      <c r="D206" s="2" t="s">
        <v>1740</v>
      </c>
      <c r="E206" s="2">
        <v>5.0</v>
      </c>
      <c r="F206" s="2" t="s">
        <v>4</v>
      </c>
      <c r="G206" s="5">
        <v>2773320.0</v>
      </c>
      <c r="H206" s="2" t="s">
        <v>1575</v>
      </c>
      <c r="I206" s="2" t="s">
        <v>1572</v>
      </c>
      <c r="J206" s="2">
        <v>10058.0</v>
      </c>
      <c r="K206" s="2" t="s">
        <v>1618</v>
      </c>
      <c r="L206" s="2"/>
      <c r="M206" s="2"/>
      <c r="N206" s="7">
        <v>1.0</v>
      </c>
      <c r="O206" s="12">
        <v>19524.0</v>
      </c>
      <c r="P206" s="11" t="s">
        <v>1649</v>
      </c>
      <c r="Q206" s="12">
        <v>19524.0</v>
      </c>
      <c r="R206" s="11" t="s">
        <v>1649</v>
      </c>
      <c r="S206" s="11" t="s">
        <v>1676</v>
      </c>
      <c r="T206" s="11" t="s">
        <v>1677</v>
      </c>
      <c r="U206" s="2" t="s">
        <v>1574</v>
      </c>
      <c r="V206" s="2" t="s">
        <v>1568</v>
      </c>
      <c r="W206" s="2" t="s">
        <v>1569</v>
      </c>
      <c r="X206" s="2" t="s">
        <v>1570</v>
      </c>
      <c r="AB206" s="2" t="s">
        <v>1571</v>
      </c>
    </row>
    <row r="207">
      <c r="A207" s="2" t="s">
        <v>1739</v>
      </c>
      <c r="B207" s="2">
        <v>21.0</v>
      </c>
      <c r="C207" s="2" t="s">
        <v>8</v>
      </c>
      <c r="D207" s="2" t="s">
        <v>1740</v>
      </c>
      <c r="E207" s="2">
        <v>5.0</v>
      </c>
      <c r="F207" s="2" t="s">
        <v>4</v>
      </c>
      <c r="G207" s="5">
        <v>2773320.0</v>
      </c>
      <c r="H207" s="2" t="s">
        <v>1575</v>
      </c>
      <c r="I207" s="2" t="s">
        <v>1565</v>
      </c>
      <c r="J207" s="2">
        <v>10033.0</v>
      </c>
      <c r="K207" s="2" t="s">
        <v>1615</v>
      </c>
      <c r="L207" s="2"/>
      <c r="M207" s="2"/>
      <c r="N207" s="7">
        <v>1.0</v>
      </c>
      <c r="O207" s="12">
        <v>21905.0</v>
      </c>
      <c r="P207" s="11" t="s">
        <v>1649</v>
      </c>
      <c r="Q207" s="12">
        <v>21905.0</v>
      </c>
      <c r="R207" s="11" t="s">
        <v>1649</v>
      </c>
      <c r="S207" s="11" t="s">
        <v>1666</v>
      </c>
      <c r="T207" s="11" t="s">
        <v>1687</v>
      </c>
      <c r="U207" s="2" t="s">
        <v>1574</v>
      </c>
      <c r="V207" s="2" t="s">
        <v>1568</v>
      </c>
      <c r="W207" s="2" t="s">
        <v>1569</v>
      </c>
      <c r="X207" s="2" t="s">
        <v>1570</v>
      </c>
      <c r="AB207" s="2" t="s">
        <v>1571</v>
      </c>
    </row>
    <row r="208">
      <c r="A208" s="2" t="s">
        <v>1739</v>
      </c>
      <c r="B208" s="2">
        <v>21.0</v>
      </c>
      <c r="C208" s="2" t="s">
        <v>8</v>
      </c>
      <c r="D208" s="2" t="s">
        <v>1740</v>
      </c>
      <c r="E208" s="2">
        <v>5.0</v>
      </c>
      <c r="F208" s="2" t="s">
        <v>4</v>
      </c>
      <c r="G208" s="5">
        <v>2773320.0</v>
      </c>
      <c r="H208" s="2" t="s">
        <v>1575</v>
      </c>
      <c r="I208" s="2" t="s">
        <v>1578</v>
      </c>
      <c r="J208" s="2">
        <v>10051.0</v>
      </c>
      <c r="K208" s="2" t="s">
        <v>1579</v>
      </c>
      <c r="L208" s="2"/>
      <c r="M208" s="2"/>
      <c r="N208" s="7">
        <v>1.0</v>
      </c>
      <c r="O208" s="12">
        <v>25238.0</v>
      </c>
      <c r="P208" s="11" t="s">
        <v>1649</v>
      </c>
      <c r="Q208" s="12">
        <v>25238.0</v>
      </c>
      <c r="R208" s="11" t="s">
        <v>1649</v>
      </c>
      <c r="S208" s="11" t="s">
        <v>1660</v>
      </c>
      <c r="T208" s="11" t="s">
        <v>1680</v>
      </c>
      <c r="U208" s="2" t="s">
        <v>1574</v>
      </c>
      <c r="V208" s="2" t="s">
        <v>1568</v>
      </c>
      <c r="W208" s="2" t="s">
        <v>1569</v>
      </c>
      <c r="X208" s="2" t="s">
        <v>1570</v>
      </c>
      <c r="AB208" s="2" t="s">
        <v>1571</v>
      </c>
    </row>
    <row r="209">
      <c r="A209" s="2" t="s">
        <v>1739</v>
      </c>
      <c r="B209" s="2">
        <v>21.0</v>
      </c>
      <c r="C209" s="2" t="s">
        <v>8</v>
      </c>
      <c r="D209" s="2" t="s">
        <v>1740</v>
      </c>
      <c r="E209" s="2">
        <v>5.0</v>
      </c>
      <c r="F209" s="2" t="s">
        <v>4</v>
      </c>
      <c r="G209" s="5">
        <v>2773320.0</v>
      </c>
      <c r="H209" s="2" t="s">
        <v>1575</v>
      </c>
      <c r="I209" s="2" t="s">
        <v>1565</v>
      </c>
      <c r="J209" s="2">
        <v>10002.0</v>
      </c>
      <c r="K209" s="2" t="s">
        <v>1576</v>
      </c>
      <c r="L209" s="2"/>
      <c r="M209" s="2"/>
      <c r="N209" s="7">
        <v>1.0</v>
      </c>
      <c r="O209" s="12">
        <v>18571.0</v>
      </c>
      <c r="P209" s="11" t="s">
        <v>1649</v>
      </c>
      <c r="Q209" s="12">
        <v>18571.0</v>
      </c>
      <c r="R209" s="11" t="s">
        <v>1649</v>
      </c>
      <c r="S209" s="11" t="s">
        <v>1656</v>
      </c>
      <c r="T209" s="11" t="s">
        <v>1688</v>
      </c>
      <c r="U209" s="2" t="s">
        <v>1574</v>
      </c>
      <c r="V209" s="2" t="s">
        <v>1568</v>
      </c>
      <c r="W209" s="2" t="s">
        <v>1569</v>
      </c>
      <c r="X209" s="2" t="s">
        <v>1570</v>
      </c>
      <c r="AB209" s="2" t="s">
        <v>1571</v>
      </c>
    </row>
    <row r="210">
      <c r="A210" s="2" t="s">
        <v>1739</v>
      </c>
      <c r="B210" s="2">
        <v>21.0</v>
      </c>
      <c r="C210" s="2" t="s">
        <v>8</v>
      </c>
      <c r="D210" s="2" t="s">
        <v>1740</v>
      </c>
      <c r="E210" s="2">
        <v>5.0</v>
      </c>
      <c r="F210" s="2" t="s">
        <v>4</v>
      </c>
      <c r="G210" s="5">
        <v>2773320.0</v>
      </c>
      <c r="H210" s="2" t="s">
        <v>1575</v>
      </c>
      <c r="I210" s="2" t="s">
        <v>1572</v>
      </c>
      <c r="J210" s="2">
        <v>10119.0</v>
      </c>
      <c r="K210" s="2" t="s">
        <v>1582</v>
      </c>
      <c r="L210" s="2"/>
      <c r="M210" s="2"/>
      <c r="N210" s="7">
        <v>1.0</v>
      </c>
      <c r="O210" s="12">
        <v>7143.0</v>
      </c>
      <c r="P210" s="11" t="s">
        <v>1649</v>
      </c>
      <c r="Q210" s="12">
        <v>7143.0</v>
      </c>
      <c r="R210" s="11" t="s">
        <v>1649</v>
      </c>
      <c r="S210" s="11" t="s">
        <v>1672</v>
      </c>
      <c r="T210" s="11" t="s">
        <v>1673</v>
      </c>
      <c r="U210" s="2" t="s">
        <v>1574</v>
      </c>
      <c r="V210" s="2" t="s">
        <v>1568</v>
      </c>
      <c r="W210" s="2" t="s">
        <v>1569</v>
      </c>
      <c r="X210" s="2" t="s">
        <v>1570</v>
      </c>
      <c r="AB210" s="2" t="s">
        <v>1571</v>
      </c>
    </row>
    <row r="211">
      <c r="A211" s="2" t="s">
        <v>1739</v>
      </c>
      <c r="B211" s="2">
        <v>21.0</v>
      </c>
      <c r="C211" s="2" t="s">
        <v>8</v>
      </c>
      <c r="D211" s="2" t="s">
        <v>1740</v>
      </c>
      <c r="E211" s="2">
        <v>5.0</v>
      </c>
      <c r="F211" s="2" t="s">
        <v>4</v>
      </c>
      <c r="G211" s="5">
        <v>2773320.0</v>
      </c>
      <c r="H211" s="2" t="s">
        <v>1575</v>
      </c>
      <c r="I211" s="2" t="s">
        <v>1578</v>
      </c>
      <c r="J211" s="2">
        <v>10014.0</v>
      </c>
      <c r="K211" s="2" t="s">
        <v>1609</v>
      </c>
      <c r="L211" s="2"/>
      <c r="M211" s="2"/>
      <c r="N211" s="7">
        <v>1.0</v>
      </c>
      <c r="O211" s="12">
        <v>25238.0</v>
      </c>
      <c r="P211" s="11" t="s">
        <v>1649</v>
      </c>
      <c r="Q211" s="12">
        <v>25238.0</v>
      </c>
      <c r="R211" s="11" t="s">
        <v>1649</v>
      </c>
      <c r="S211" s="11" t="s">
        <v>1660</v>
      </c>
      <c r="T211" s="11" t="s">
        <v>1680</v>
      </c>
      <c r="U211" s="2" t="s">
        <v>1574</v>
      </c>
      <c r="V211" s="2" t="s">
        <v>1568</v>
      </c>
      <c r="W211" s="2" t="s">
        <v>1569</v>
      </c>
      <c r="X211" s="2" t="s">
        <v>1570</v>
      </c>
      <c r="AB211" s="2" t="s">
        <v>1571</v>
      </c>
    </row>
    <row r="212">
      <c r="A212" s="2" t="s">
        <v>1739</v>
      </c>
      <c r="B212" s="2">
        <v>21.0</v>
      </c>
      <c r="C212" s="2" t="s">
        <v>8</v>
      </c>
      <c r="D212" s="2" t="s">
        <v>1740</v>
      </c>
      <c r="E212" s="2">
        <v>5.0</v>
      </c>
      <c r="F212" s="2" t="s">
        <v>4</v>
      </c>
      <c r="G212" s="5">
        <v>2773320.0</v>
      </c>
      <c r="H212" s="2" t="s">
        <v>1575</v>
      </c>
      <c r="I212" s="2" t="s">
        <v>1572</v>
      </c>
      <c r="J212" s="2">
        <v>10119.0</v>
      </c>
      <c r="K212" s="2" t="s">
        <v>1582</v>
      </c>
      <c r="L212" s="2"/>
      <c r="M212" s="2"/>
      <c r="N212" s="7">
        <v>1.0</v>
      </c>
      <c r="O212" s="12">
        <v>7143.0</v>
      </c>
      <c r="P212" s="11" t="s">
        <v>1649</v>
      </c>
      <c r="Q212" s="12">
        <v>7143.0</v>
      </c>
      <c r="R212" s="11" t="s">
        <v>1649</v>
      </c>
      <c r="S212" s="11" t="s">
        <v>1672</v>
      </c>
      <c r="T212" s="11" t="s">
        <v>1673</v>
      </c>
      <c r="U212" s="2" t="s">
        <v>1574</v>
      </c>
      <c r="V212" s="2" t="s">
        <v>1568</v>
      </c>
      <c r="W212" s="2" t="s">
        <v>1569</v>
      </c>
      <c r="X212" s="2" t="s">
        <v>1570</v>
      </c>
      <c r="AB212" s="2" t="s">
        <v>1571</v>
      </c>
    </row>
    <row r="213">
      <c r="A213" s="2" t="s">
        <v>1739</v>
      </c>
      <c r="B213" s="2">
        <v>21.0</v>
      </c>
      <c r="C213" s="2" t="s">
        <v>8</v>
      </c>
      <c r="D213" s="2" t="s">
        <v>1740</v>
      </c>
      <c r="E213" s="2">
        <v>5.0</v>
      </c>
      <c r="F213" s="2" t="s">
        <v>4</v>
      </c>
      <c r="G213" s="5">
        <v>2772954.0</v>
      </c>
      <c r="H213" s="2" t="s">
        <v>1575</v>
      </c>
      <c r="I213" s="2" t="s">
        <v>1572</v>
      </c>
      <c r="J213" s="2">
        <v>10117.0</v>
      </c>
      <c r="K213" s="2" t="s">
        <v>1589</v>
      </c>
      <c r="L213" s="2"/>
      <c r="M213" s="2"/>
      <c r="N213" s="7">
        <v>1.0</v>
      </c>
      <c r="O213" s="12">
        <v>14286.0</v>
      </c>
      <c r="P213" s="11" t="s">
        <v>1649</v>
      </c>
      <c r="Q213" s="12">
        <v>14286.0</v>
      </c>
      <c r="R213" s="11" t="s">
        <v>1649</v>
      </c>
      <c r="S213" s="11" t="s">
        <v>1685</v>
      </c>
      <c r="T213" s="11" t="s">
        <v>1686</v>
      </c>
      <c r="U213" s="2" t="s">
        <v>1574</v>
      </c>
      <c r="V213" s="2" t="s">
        <v>1568</v>
      </c>
      <c r="W213" s="2" t="s">
        <v>1569</v>
      </c>
      <c r="X213" s="2" t="s">
        <v>1570</v>
      </c>
      <c r="AB213" s="2" t="s">
        <v>1571</v>
      </c>
    </row>
    <row r="214">
      <c r="A214" s="2" t="s">
        <v>1739</v>
      </c>
      <c r="B214" s="2">
        <v>21.0</v>
      </c>
      <c r="C214" s="2" t="s">
        <v>8</v>
      </c>
      <c r="D214" s="2" t="s">
        <v>1740</v>
      </c>
      <c r="E214" s="2">
        <v>5.0</v>
      </c>
      <c r="F214" s="2" t="s">
        <v>4</v>
      </c>
      <c r="G214" s="5">
        <v>2772954.0</v>
      </c>
      <c r="H214" s="2" t="s">
        <v>1575</v>
      </c>
      <c r="I214" s="2" t="s">
        <v>1572</v>
      </c>
      <c r="J214" s="2">
        <v>10116.0</v>
      </c>
      <c r="K214" s="2" t="s">
        <v>1619</v>
      </c>
      <c r="L214" s="2"/>
      <c r="M214" s="2"/>
      <c r="N214" s="7">
        <v>1.0</v>
      </c>
      <c r="O214" s="12">
        <v>14286.0</v>
      </c>
      <c r="P214" s="11" t="s">
        <v>1649</v>
      </c>
      <c r="Q214" s="12">
        <v>14286.0</v>
      </c>
      <c r="R214" s="11" t="s">
        <v>1649</v>
      </c>
      <c r="S214" s="11" t="s">
        <v>1685</v>
      </c>
      <c r="T214" s="11" t="s">
        <v>1708</v>
      </c>
      <c r="U214" s="2" t="s">
        <v>1574</v>
      </c>
      <c r="V214" s="2" t="s">
        <v>1568</v>
      </c>
      <c r="W214" s="2" t="s">
        <v>1569</v>
      </c>
      <c r="X214" s="2" t="s">
        <v>1570</v>
      </c>
      <c r="AB214" s="2" t="s">
        <v>1571</v>
      </c>
    </row>
    <row r="215">
      <c r="A215" s="2" t="s">
        <v>1739</v>
      </c>
      <c r="B215" s="2">
        <v>21.0</v>
      </c>
      <c r="C215" s="2" t="s">
        <v>8</v>
      </c>
      <c r="D215" s="2" t="s">
        <v>1740</v>
      </c>
      <c r="E215" s="2">
        <v>5.0</v>
      </c>
      <c r="F215" s="2" t="s">
        <v>4</v>
      </c>
      <c r="G215" s="5">
        <v>2772954.0</v>
      </c>
      <c r="H215" s="2" t="s">
        <v>1575</v>
      </c>
      <c r="I215" s="2" t="s">
        <v>1578</v>
      </c>
      <c r="J215" s="2">
        <v>10011.0</v>
      </c>
      <c r="K215" s="2" t="s">
        <v>1605</v>
      </c>
      <c r="L215" s="2"/>
      <c r="M215" s="2"/>
      <c r="N215" s="7">
        <v>1.0</v>
      </c>
      <c r="O215" s="12">
        <v>25238.0</v>
      </c>
      <c r="P215" s="11" t="s">
        <v>1649</v>
      </c>
      <c r="Q215" s="12">
        <v>25238.0</v>
      </c>
      <c r="R215" s="11" t="s">
        <v>1649</v>
      </c>
      <c r="S215" s="11" t="s">
        <v>1660</v>
      </c>
      <c r="T215" s="11" t="s">
        <v>1680</v>
      </c>
      <c r="U215" s="2" t="s">
        <v>1574</v>
      </c>
      <c r="V215" s="2" t="s">
        <v>1568</v>
      </c>
      <c r="W215" s="2" t="s">
        <v>1569</v>
      </c>
      <c r="X215" s="2" t="s">
        <v>1570</v>
      </c>
      <c r="AB215" s="2" t="s">
        <v>1571</v>
      </c>
    </row>
    <row r="216">
      <c r="A216" s="2" t="s">
        <v>1739</v>
      </c>
      <c r="B216" s="2">
        <v>19.0</v>
      </c>
      <c r="C216" s="2" t="s">
        <v>8</v>
      </c>
      <c r="D216" s="2" t="s">
        <v>1740</v>
      </c>
      <c r="E216" s="2">
        <v>5.0</v>
      </c>
      <c r="F216" s="2" t="s">
        <v>4</v>
      </c>
      <c r="G216" s="5">
        <v>2772589.0</v>
      </c>
      <c r="H216" s="2" t="s">
        <v>1575</v>
      </c>
      <c r="I216" s="2" t="s">
        <v>1572</v>
      </c>
      <c r="J216" s="2">
        <v>10058.0</v>
      </c>
      <c r="K216" s="2" t="s">
        <v>1618</v>
      </c>
      <c r="L216" s="2"/>
      <c r="M216" s="2"/>
      <c r="N216" s="7">
        <v>1.0</v>
      </c>
      <c r="O216" s="12">
        <v>19524.0</v>
      </c>
      <c r="P216" s="11" t="s">
        <v>1649</v>
      </c>
      <c r="Q216" s="12">
        <v>19524.0</v>
      </c>
      <c r="R216" s="11" t="s">
        <v>1649</v>
      </c>
      <c r="S216" s="11" t="s">
        <v>1676</v>
      </c>
      <c r="T216" s="11" t="s">
        <v>1677</v>
      </c>
      <c r="U216" s="2" t="s">
        <v>1574</v>
      </c>
      <c r="V216" s="2" t="s">
        <v>1568</v>
      </c>
      <c r="W216" s="2" t="s">
        <v>1569</v>
      </c>
      <c r="X216" s="2" t="s">
        <v>1570</v>
      </c>
      <c r="AB216" s="2" t="s">
        <v>1571</v>
      </c>
    </row>
    <row r="217">
      <c r="A217" s="2" t="s">
        <v>1739</v>
      </c>
      <c r="B217" s="2">
        <v>19.0</v>
      </c>
      <c r="C217" s="2" t="s">
        <v>8</v>
      </c>
      <c r="D217" s="2" t="s">
        <v>1740</v>
      </c>
      <c r="E217" s="2">
        <v>5.0</v>
      </c>
      <c r="F217" s="2" t="s">
        <v>4</v>
      </c>
      <c r="G217" s="5">
        <v>2772589.0</v>
      </c>
      <c r="H217" s="2" t="s">
        <v>1575</v>
      </c>
      <c r="I217" s="2" t="s">
        <v>1572</v>
      </c>
      <c r="J217" s="2">
        <v>10119.0</v>
      </c>
      <c r="K217" s="2" t="s">
        <v>1582</v>
      </c>
      <c r="L217" s="2"/>
      <c r="M217" s="2"/>
      <c r="N217" s="7">
        <v>1.0</v>
      </c>
      <c r="O217" s="12">
        <v>7143.0</v>
      </c>
      <c r="P217" s="11" t="s">
        <v>1649</v>
      </c>
      <c r="Q217" s="12">
        <v>7143.0</v>
      </c>
      <c r="R217" s="11" t="s">
        <v>1649</v>
      </c>
      <c r="S217" s="11" t="s">
        <v>1672</v>
      </c>
      <c r="T217" s="11" t="s">
        <v>1673</v>
      </c>
      <c r="U217" s="2" t="s">
        <v>1574</v>
      </c>
      <c r="V217" s="2" t="s">
        <v>1568</v>
      </c>
      <c r="W217" s="2" t="s">
        <v>1569</v>
      </c>
      <c r="X217" s="2" t="s">
        <v>1570</v>
      </c>
      <c r="AB217" s="2" t="s">
        <v>1571</v>
      </c>
    </row>
    <row r="218">
      <c r="A218" s="2" t="s">
        <v>1739</v>
      </c>
      <c r="B218" s="2">
        <v>19.0</v>
      </c>
      <c r="C218" s="2" t="s">
        <v>8</v>
      </c>
      <c r="D218" s="2" t="s">
        <v>1740</v>
      </c>
      <c r="E218" s="2">
        <v>5.0</v>
      </c>
      <c r="F218" s="2" t="s">
        <v>4</v>
      </c>
      <c r="G218" s="5">
        <v>2772589.0</v>
      </c>
      <c r="H218" s="2" t="s">
        <v>1575</v>
      </c>
      <c r="I218" s="2" t="s">
        <v>1565</v>
      </c>
      <c r="J218" s="2">
        <v>10005.0</v>
      </c>
      <c r="K218" s="2" t="s">
        <v>1595</v>
      </c>
      <c r="L218" s="2"/>
      <c r="M218" s="2"/>
      <c r="N218" s="7">
        <v>1.0</v>
      </c>
      <c r="O218" s="12">
        <v>19524.0</v>
      </c>
      <c r="P218" s="11" t="s">
        <v>1649</v>
      </c>
      <c r="Q218" s="12">
        <v>19524.0</v>
      </c>
      <c r="R218" s="11" t="s">
        <v>1649</v>
      </c>
      <c r="S218" s="11" t="s">
        <v>1676</v>
      </c>
      <c r="T218" s="11" t="s">
        <v>1694</v>
      </c>
      <c r="U218" s="2" t="s">
        <v>1574</v>
      </c>
      <c r="V218" s="2" t="s">
        <v>1568</v>
      </c>
      <c r="W218" s="2" t="s">
        <v>1569</v>
      </c>
      <c r="X218" s="2" t="s">
        <v>1570</v>
      </c>
      <c r="AB218" s="2" t="s">
        <v>1571</v>
      </c>
    </row>
    <row r="219">
      <c r="A219" s="2" t="s">
        <v>1739</v>
      </c>
      <c r="B219" s="2">
        <v>19.0</v>
      </c>
      <c r="C219" s="2" t="s">
        <v>8</v>
      </c>
      <c r="D219" s="2" t="s">
        <v>1740</v>
      </c>
      <c r="E219" s="2">
        <v>5.0</v>
      </c>
      <c r="F219" s="2" t="s">
        <v>4</v>
      </c>
      <c r="G219" s="5">
        <v>2772589.0</v>
      </c>
      <c r="H219" s="2" t="s">
        <v>1575</v>
      </c>
      <c r="I219" s="2" t="s">
        <v>1572</v>
      </c>
      <c r="J219" s="2">
        <v>10112.0</v>
      </c>
      <c r="K219" s="2" t="s">
        <v>1573</v>
      </c>
      <c r="L219" s="2"/>
      <c r="M219" s="2"/>
      <c r="N219" s="7">
        <v>1.0</v>
      </c>
      <c r="O219" s="12">
        <v>6667.0</v>
      </c>
      <c r="P219" s="11" t="s">
        <v>1649</v>
      </c>
      <c r="Q219" s="12">
        <v>6667.0</v>
      </c>
      <c r="R219" s="11" t="s">
        <v>1649</v>
      </c>
      <c r="S219" s="11" t="s">
        <v>1734</v>
      </c>
      <c r="T219" s="11" t="s">
        <v>1738</v>
      </c>
      <c r="U219" s="2" t="s">
        <v>1574</v>
      </c>
      <c r="V219" s="2" t="s">
        <v>1568</v>
      </c>
      <c r="W219" s="2" t="s">
        <v>1569</v>
      </c>
      <c r="X219" s="2" t="s">
        <v>1570</v>
      </c>
      <c r="AB219" s="2" t="s">
        <v>1571</v>
      </c>
    </row>
    <row r="220">
      <c r="A220" s="2" t="s">
        <v>1739</v>
      </c>
      <c r="B220" s="2">
        <v>19.0</v>
      </c>
      <c r="C220" s="2" t="s">
        <v>8</v>
      </c>
      <c r="D220" s="2" t="s">
        <v>1740</v>
      </c>
      <c r="E220" s="2">
        <v>5.0</v>
      </c>
      <c r="F220" s="2" t="s">
        <v>4</v>
      </c>
      <c r="G220" s="5">
        <v>2772224.0</v>
      </c>
      <c r="H220" s="2" t="s">
        <v>1575</v>
      </c>
      <c r="I220" s="2" t="s">
        <v>1572</v>
      </c>
      <c r="J220" s="2">
        <v>10013.0</v>
      </c>
      <c r="K220" s="2" t="s">
        <v>1591</v>
      </c>
      <c r="L220" s="2"/>
      <c r="M220" s="2"/>
      <c r="N220" s="7">
        <v>1.0</v>
      </c>
      <c r="O220" s="12">
        <v>23333.0</v>
      </c>
      <c r="P220" s="11" t="s">
        <v>1649</v>
      </c>
      <c r="Q220" s="12">
        <v>23333.0</v>
      </c>
      <c r="R220" s="11" t="s">
        <v>1649</v>
      </c>
      <c r="S220" s="11" t="s">
        <v>1681</v>
      </c>
      <c r="T220" s="11" t="s">
        <v>1682</v>
      </c>
      <c r="U220" s="2" t="s">
        <v>1574</v>
      </c>
      <c r="V220" s="2" t="s">
        <v>1568</v>
      </c>
      <c r="W220" s="2" t="s">
        <v>1569</v>
      </c>
      <c r="X220" s="2" t="s">
        <v>1570</v>
      </c>
      <c r="AB220" s="2" t="s">
        <v>1571</v>
      </c>
    </row>
    <row r="221">
      <c r="A221" s="2" t="s">
        <v>1739</v>
      </c>
      <c r="B221" s="2">
        <v>19.0</v>
      </c>
      <c r="C221" s="2" t="s">
        <v>8</v>
      </c>
      <c r="D221" s="2" t="s">
        <v>1740</v>
      </c>
      <c r="E221" s="2">
        <v>5.0</v>
      </c>
      <c r="F221" s="2" t="s">
        <v>4</v>
      </c>
      <c r="G221" s="5">
        <v>2771859.0</v>
      </c>
      <c r="H221" s="2" t="s">
        <v>1575</v>
      </c>
      <c r="I221" s="2" t="s">
        <v>1572</v>
      </c>
      <c r="J221" s="2">
        <v>10112.0</v>
      </c>
      <c r="K221" s="2" t="s">
        <v>1573</v>
      </c>
      <c r="L221" s="2"/>
      <c r="M221" s="2"/>
      <c r="N221" s="7">
        <v>1.0</v>
      </c>
      <c r="O221" s="12">
        <v>6667.0</v>
      </c>
      <c r="P221" s="11" t="s">
        <v>1649</v>
      </c>
      <c r="Q221" s="12">
        <v>6667.0</v>
      </c>
      <c r="R221" s="11" t="s">
        <v>1649</v>
      </c>
      <c r="S221" s="11" t="s">
        <v>1734</v>
      </c>
      <c r="T221" s="11" t="s">
        <v>1738</v>
      </c>
      <c r="U221" s="2" t="s">
        <v>1574</v>
      </c>
      <c r="V221" s="2" t="s">
        <v>1568</v>
      </c>
      <c r="W221" s="2" t="s">
        <v>1569</v>
      </c>
      <c r="X221" s="2" t="s">
        <v>1570</v>
      </c>
      <c r="AB221" s="2" t="s">
        <v>1571</v>
      </c>
    </row>
    <row r="222">
      <c r="A222" s="2" t="s">
        <v>1739</v>
      </c>
      <c r="B222" s="2">
        <v>16.0</v>
      </c>
      <c r="C222" s="2" t="s">
        <v>8</v>
      </c>
      <c r="D222" s="2" t="s">
        <v>1740</v>
      </c>
      <c r="E222" s="2">
        <v>5.0</v>
      </c>
      <c r="F222" s="2" t="s">
        <v>4</v>
      </c>
      <c r="G222" s="5">
        <v>2771493.0</v>
      </c>
      <c r="H222" s="2" t="s">
        <v>1575</v>
      </c>
      <c r="I222" s="2" t="s">
        <v>1572</v>
      </c>
      <c r="J222" s="2">
        <v>10107.0</v>
      </c>
      <c r="K222" s="2" t="s">
        <v>1584</v>
      </c>
      <c r="L222" s="2"/>
      <c r="M222" s="2"/>
      <c r="N222" s="7">
        <v>1.0</v>
      </c>
      <c r="O222" s="12">
        <v>26667.0</v>
      </c>
      <c r="P222" s="11" t="s">
        <v>1649</v>
      </c>
      <c r="Q222" s="12">
        <v>26667.0</v>
      </c>
      <c r="R222" s="11" t="s">
        <v>1649</v>
      </c>
      <c r="S222" s="11" t="s">
        <v>1674</v>
      </c>
      <c r="T222" s="11" t="s">
        <v>1679</v>
      </c>
      <c r="U222" s="2" t="s">
        <v>1574</v>
      </c>
      <c r="V222" s="2" t="s">
        <v>1568</v>
      </c>
      <c r="W222" s="2" t="s">
        <v>1569</v>
      </c>
      <c r="X222" s="2" t="s">
        <v>1570</v>
      </c>
      <c r="AB222" s="2" t="s">
        <v>1571</v>
      </c>
    </row>
    <row r="223">
      <c r="A223" s="2" t="s">
        <v>1739</v>
      </c>
      <c r="B223" s="2">
        <v>16.0</v>
      </c>
      <c r="C223" s="2" t="s">
        <v>8</v>
      </c>
      <c r="D223" s="2" t="s">
        <v>1740</v>
      </c>
      <c r="E223" s="2">
        <v>5.0</v>
      </c>
      <c r="F223" s="2" t="s">
        <v>4</v>
      </c>
      <c r="G223" s="5">
        <v>2771493.0</v>
      </c>
      <c r="H223" s="2" t="s">
        <v>1575</v>
      </c>
      <c r="I223" s="2" t="s">
        <v>1565</v>
      </c>
      <c r="J223" s="2">
        <v>10005.0</v>
      </c>
      <c r="K223" s="2" t="s">
        <v>1595</v>
      </c>
      <c r="L223" s="2"/>
      <c r="M223" s="2"/>
      <c r="N223" s="7">
        <v>1.0</v>
      </c>
      <c r="O223" s="12">
        <v>19524.0</v>
      </c>
      <c r="P223" s="11" t="s">
        <v>1649</v>
      </c>
      <c r="Q223" s="12">
        <v>19524.0</v>
      </c>
      <c r="R223" s="11" t="s">
        <v>1649</v>
      </c>
      <c r="S223" s="11" t="s">
        <v>1676</v>
      </c>
      <c r="T223" s="11" t="s">
        <v>1694</v>
      </c>
      <c r="U223" s="2" t="s">
        <v>1574</v>
      </c>
      <c r="V223" s="2" t="s">
        <v>1568</v>
      </c>
      <c r="W223" s="2" t="s">
        <v>1569</v>
      </c>
      <c r="X223" s="2" t="s">
        <v>1570</v>
      </c>
      <c r="AB223" s="2" t="s">
        <v>1571</v>
      </c>
    </row>
    <row r="224">
      <c r="A224" s="2" t="s">
        <v>1739</v>
      </c>
      <c r="B224" s="2">
        <v>16.0</v>
      </c>
      <c r="C224" s="2" t="s">
        <v>8</v>
      </c>
      <c r="D224" s="2" t="s">
        <v>1740</v>
      </c>
      <c r="E224" s="2">
        <v>5.0</v>
      </c>
      <c r="F224" s="2" t="s">
        <v>4</v>
      </c>
      <c r="G224" s="5">
        <v>2771493.0</v>
      </c>
      <c r="H224" s="2" t="s">
        <v>1575</v>
      </c>
      <c r="I224" s="2" t="s">
        <v>1572</v>
      </c>
      <c r="J224" s="2">
        <v>10063.0</v>
      </c>
      <c r="K224" s="2" t="s">
        <v>1594</v>
      </c>
      <c r="L224" s="2"/>
      <c r="M224" s="2"/>
      <c r="N224" s="7">
        <v>1.0</v>
      </c>
      <c r="O224" s="12">
        <v>24762.0</v>
      </c>
      <c r="P224" s="11" t="s">
        <v>1649</v>
      </c>
      <c r="Q224" s="12">
        <v>24762.0</v>
      </c>
      <c r="R224" s="11" t="s">
        <v>1649</v>
      </c>
      <c r="S224" s="11" t="s">
        <v>1689</v>
      </c>
      <c r="T224" s="11" t="s">
        <v>1693</v>
      </c>
      <c r="U224" s="2" t="s">
        <v>1574</v>
      </c>
      <c r="V224" s="2" t="s">
        <v>1568</v>
      </c>
      <c r="W224" s="2" t="s">
        <v>1569</v>
      </c>
      <c r="X224" s="2" t="s">
        <v>1570</v>
      </c>
      <c r="AB224" s="2" t="s">
        <v>1571</v>
      </c>
    </row>
    <row r="225">
      <c r="A225" s="2" t="s">
        <v>1739</v>
      </c>
      <c r="B225" s="2">
        <v>16.0</v>
      </c>
      <c r="C225" s="2" t="s">
        <v>8</v>
      </c>
      <c r="D225" s="2" t="s">
        <v>1740</v>
      </c>
      <c r="E225" s="2">
        <v>5.0</v>
      </c>
      <c r="F225" s="2" t="s">
        <v>4</v>
      </c>
      <c r="G225" s="5">
        <v>2771493.0</v>
      </c>
      <c r="H225" s="2" t="s">
        <v>1575</v>
      </c>
      <c r="I225" s="2" t="s">
        <v>1565</v>
      </c>
      <c r="J225" s="2">
        <v>10002.0</v>
      </c>
      <c r="K225" s="2" t="s">
        <v>1576</v>
      </c>
      <c r="L225" s="2"/>
      <c r="M225" s="2"/>
      <c r="N225" s="7">
        <v>1.0</v>
      </c>
      <c r="O225" s="12">
        <v>18571.0</v>
      </c>
      <c r="P225" s="11" t="s">
        <v>1649</v>
      </c>
      <c r="Q225" s="12">
        <v>18571.0</v>
      </c>
      <c r="R225" s="11" t="s">
        <v>1649</v>
      </c>
      <c r="S225" s="11" t="s">
        <v>1656</v>
      </c>
      <c r="T225" s="11" t="s">
        <v>1688</v>
      </c>
      <c r="U225" s="2" t="s">
        <v>1574</v>
      </c>
      <c r="V225" s="2" t="s">
        <v>1568</v>
      </c>
      <c r="W225" s="2" t="s">
        <v>1569</v>
      </c>
      <c r="X225" s="2" t="s">
        <v>1570</v>
      </c>
      <c r="AB225" s="2" t="s">
        <v>1571</v>
      </c>
    </row>
    <row r="226">
      <c r="A226" s="2" t="s">
        <v>1739</v>
      </c>
      <c r="B226" s="2">
        <v>16.0</v>
      </c>
      <c r="C226" s="2" t="s">
        <v>8</v>
      </c>
      <c r="D226" s="2" t="s">
        <v>1740</v>
      </c>
      <c r="E226" s="2">
        <v>5.0</v>
      </c>
      <c r="F226" s="2" t="s">
        <v>4</v>
      </c>
      <c r="G226" s="5">
        <v>2771493.0</v>
      </c>
      <c r="H226" s="2" t="s">
        <v>1575</v>
      </c>
      <c r="I226" s="2" t="s">
        <v>1572</v>
      </c>
      <c r="J226" s="2">
        <v>10128.0</v>
      </c>
      <c r="K226" s="2" t="s">
        <v>1588</v>
      </c>
      <c r="L226" s="2"/>
      <c r="M226" s="2"/>
      <c r="N226" s="7">
        <v>1.0</v>
      </c>
      <c r="O226" s="12">
        <v>23333.0</v>
      </c>
      <c r="P226" s="11" t="s">
        <v>1649</v>
      </c>
      <c r="Q226" s="12">
        <v>23333.0</v>
      </c>
      <c r="R226" s="11" t="s">
        <v>1649</v>
      </c>
      <c r="S226" s="11" t="s">
        <v>1681</v>
      </c>
      <c r="T226" s="11" t="s">
        <v>1682</v>
      </c>
      <c r="U226" s="2" t="s">
        <v>1574</v>
      </c>
      <c r="V226" s="2" t="s">
        <v>1568</v>
      </c>
      <c r="W226" s="2" t="s">
        <v>1569</v>
      </c>
      <c r="X226" s="2" t="s">
        <v>1570</v>
      </c>
      <c r="AB226" s="2" t="s">
        <v>1571</v>
      </c>
    </row>
    <row r="227">
      <c r="A227" s="2" t="s">
        <v>1739</v>
      </c>
      <c r="B227" s="2">
        <v>16.0</v>
      </c>
      <c r="C227" s="2" t="s">
        <v>8</v>
      </c>
      <c r="D227" s="2" t="s">
        <v>1740</v>
      </c>
      <c r="E227" s="2">
        <v>5.0</v>
      </c>
      <c r="F227" s="2" t="s">
        <v>4</v>
      </c>
      <c r="G227" s="5">
        <v>2771128.0</v>
      </c>
      <c r="H227" s="2" t="s">
        <v>1575</v>
      </c>
      <c r="I227" s="2" t="s">
        <v>1565</v>
      </c>
      <c r="J227" s="2">
        <v>10033.0</v>
      </c>
      <c r="K227" s="2" t="s">
        <v>1615</v>
      </c>
      <c r="L227" s="2"/>
      <c r="M227" s="2"/>
      <c r="N227" s="7">
        <v>1.0</v>
      </c>
      <c r="O227" s="12">
        <v>21905.0</v>
      </c>
      <c r="P227" s="11" t="s">
        <v>1649</v>
      </c>
      <c r="Q227" s="12">
        <v>21905.0</v>
      </c>
      <c r="R227" s="11" t="s">
        <v>1649</v>
      </c>
      <c r="S227" s="11" t="s">
        <v>1666</v>
      </c>
      <c r="T227" s="11" t="s">
        <v>1667</v>
      </c>
      <c r="U227" s="2" t="s">
        <v>1574</v>
      </c>
      <c r="V227" s="2" t="s">
        <v>1568</v>
      </c>
      <c r="W227" s="2" t="s">
        <v>1569</v>
      </c>
      <c r="X227" s="2" t="s">
        <v>1570</v>
      </c>
      <c r="AB227" s="2" t="s">
        <v>1571</v>
      </c>
    </row>
    <row r="228">
      <c r="A228" s="2" t="s">
        <v>1739</v>
      </c>
      <c r="B228" s="2">
        <v>16.0</v>
      </c>
      <c r="C228" s="2" t="s">
        <v>8</v>
      </c>
      <c r="D228" s="2" t="s">
        <v>1740</v>
      </c>
      <c r="E228" s="2">
        <v>5.0</v>
      </c>
      <c r="F228" s="2" t="s">
        <v>4</v>
      </c>
      <c r="G228" s="5">
        <v>2771128.0</v>
      </c>
      <c r="H228" s="2" t="s">
        <v>1575</v>
      </c>
      <c r="I228" s="2" t="s">
        <v>1578</v>
      </c>
      <c r="J228" s="2">
        <v>10014.0</v>
      </c>
      <c r="K228" s="2" t="s">
        <v>1609</v>
      </c>
      <c r="L228" s="2"/>
      <c r="M228" s="2"/>
      <c r="N228" s="7">
        <v>1.0</v>
      </c>
      <c r="O228" s="12">
        <v>25238.0</v>
      </c>
      <c r="P228" s="11" t="s">
        <v>1649</v>
      </c>
      <c r="Q228" s="12">
        <v>25238.0</v>
      </c>
      <c r="R228" s="11" t="s">
        <v>1649</v>
      </c>
      <c r="S228" s="11" t="s">
        <v>1660</v>
      </c>
      <c r="T228" s="11" t="s">
        <v>1680</v>
      </c>
      <c r="U228" s="2" t="s">
        <v>1574</v>
      </c>
      <c r="V228" s="2" t="s">
        <v>1568</v>
      </c>
      <c r="W228" s="2" t="s">
        <v>1569</v>
      </c>
      <c r="X228" s="2" t="s">
        <v>1570</v>
      </c>
      <c r="AB228" s="2" t="s">
        <v>1571</v>
      </c>
    </row>
    <row r="229">
      <c r="A229" s="2" t="s">
        <v>1739</v>
      </c>
      <c r="B229" s="2">
        <v>15.0</v>
      </c>
      <c r="C229" s="2" t="s">
        <v>8</v>
      </c>
      <c r="D229" s="2" t="s">
        <v>1740</v>
      </c>
      <c r="E229" s="2">
        <v>5.0</v>
      </c>
      <c r="F229" s="2" t="s">
        <v>4</v>
      </c>
      <c r="G229" s="5">
        <v>2770763.0</v>
      </c>
      <c r="H229" s="2" t="s">
        <v>1575</v>
      </c>
      <c r="I229" s="2" t="s">
        <v>1580</v>
      </c>
      <c r="J229" s="2">
        <v>10012.0</v>
      </c>
      <c r="K229" s="2" t="s">
        <v>1602</v>
      </c>
      <c r="L229" s="2"/>
      <c r="M229" s="2"/>
      <c r="N229" s="7">
        <v>1.0</v>
      </c>
      <c r="O229" s="12">
        <v>29524.0</v>
      </c>
      <c r="P229" s="11" t="s">
        <v>1649</v>
      </c>
      <c r="Q229" s="12">
        <v>29524.0</v>
      </c>
      <c r="R229" s="11" t="s">
        <v>1649</v>
      </c>
      <c r="S229" s="11" t="s">
        <v>1683</v>
      </c>
      <c r="T229" s="11" t="s">
        <v>1684</v>
      </c>
      <c r="U229" s="2" t="s">
        <v>1574</v>
      </c>
      <c r="V229" s="2" t="s">
        <v>1568</v>
      </c>
      <c r="W229" s="2" t="s">
        <v>1569</v>
      </c>
      <c r="X229" s="2" t="s">
        <v>1570</v>
      </c>
      <c r="AB229" s="2" t="s">
        <v>1571</v>
      </c>
    </row>
    <row r="230">
      <c r="A230" s="2" t="s">
        <v>1739</v>
      </c>
      <c r="B230" s="2">
        <v>15.0</v>
      </c>
      <c r="C230" s="2" t="s">
        <v>8</v>
      </c>
      <c r="D230" s="2" t="s">
        <v>1740</v>
      </c>
      <c r="E230" s="2">
        <v>5.0</v>
      </c>
      <c r="F230" s="2" t="s">
        <v>4</v>
      </c>
      <c r="G230" s="5">
        <v>2770763.0</v>
      </c>
      <c r="H230" s="2" t="s">
        <v>1575</v>
      </c>
      <c r="I230" s="2" t="s">
        <v>1572</v>
      </c>
      <c r="J230" s="2">
        <v>10058.0</v>
      </c>
      <c r="K230" s="2" t="s">
        <v>1618</v>
      </c>
      <c r="L230" s="2"/>
      <c r="M230" s="2"/>
      <c r="N230" s="7">
        <v>1.0</v>
      </c>
      <c r="O230" s="12">
        <v>19524.0</v>
      </c>
      <c r="P230" s="11" t="s">
        <v>1649</v>
      </c>
      <c r="Q230" s="12">
        <v>19524.0</v>
      </c>
      <c r="R230" s="11" t="s">
        <v>1649</v>
      </c>
      <c r="S230" s="11" t="s">
        <v>1676</v>
      </c>
      <c r="T230" s="11" t="s">
        <v>1677</v>
      </c>
      <c r="U230" s="2" t="s">
        <v>1574</v>
      </c>
      <c r="V230" s="2" t="s">
        <v>1568</v>
      </c>
      <c r="W230" s="2" t="s">
        <v>1569</v>
      </c>
      <c r="X230" s="2" t="s">
        <v>1570</v>
      </c>
      <c r="AB230" s="2" t="s">
        <v>1571</v>
      </c>
    </row>
    <row r="231">
      <c r="A231" s="2" t="s">
        <v>1739</v>
      </c>
      <c r="B231" s="2">
        <v>15.0</v>
      </c>
      <c r="C231" s="2" t="s">
        <v>8</v>
      </c>
      <c r="D231" s="2" t="s">
        <v>1740</v>
      </c>
      <c r="E231" s="2">
        <v>5.0</v>
      </c>
      <c r="F231" s="2" t="s">
        <v>4</v>
      </c>
      <c r="G231" s="5">
        <v>2770763.0</v>
      </c>
      <c r="H231" s="2" t="s">
        <v>1575</v>
      </c>
      <c r="I231" s="2" t="s">
        <v>1572</v>
      </c>
      <c r="J231" s="2">
        <v>10128.0</v>
      </c>
      <c r="K231" s="2" t="s">
        <v>1588</v>
      </c>
      <c r="L231" s="2"/>
      <c r="M231" s="2"/>
      <c r="N231" s="7">
        <v>1.0</v>
      </c>
      <c r="O231" s="12">
        <v>23333.0</v>
      </c>
      <c r="P231" s="11" t="s">
        <v>1649</v>
      </c>
      <c r="Q231" s="12">
        <v>23333.0</v>
      </c>
      <c r="R231" s="11" t="s">
        <v>1649</v>
      </c>
      <c r="S231" s="11" t="s">
        <v>1681</v>
      </c>
      <c r="T231" s="11" t="s">
        <v>1682</v>
      </c>
      <c r="U231" s="2" t="s">
        <v>1574</v>
      </c>
      <c r="V231" s="2" t="s">
        <v>1568</v>
      </c>
      <c r="W231" s="2" t="s">
        <v>1569</v>
      </c>
      <c r="X231" s="2" t="s">
        <v>1570</v>
      </c>
      <c r="AB231" s="2" t="s">
        <v>1571</v>
      </c>
    </row>
    <row r="232">
      <c r="A232" s="2" t="s">
        <v>1739</v>
      </c>
      <c r="B232" s="2">
        <v>15.0</v>
      </c>
      <c r="C232" s="2" t="s">
        <v>8</v>
      </c>
      <c r="D232" s="2" t="s">
        <v>1740</v>
      </c>
      <c r="E232" s="2">
        <v>5.0</v>
      </c>
      <c r="F232" s="2" t="s">
        <v>4</v>
      </c>
      <c r="G232" s="5">
        <v>2770763.0</v>
      </c>
      <c r="H232" s="2" t="s">
        <v>1575</v>
      </c>
      <c r="I232" s="2" t="s">
        <v>1580</v>
      </c>
      <c r="J232" s="2">
        <v>10003.0</v>
      </c>
      <c r="K232" s="2" t="s">
        <v>1603</v>
      </c>
      <c r="L232" s="2"/>
      <c r="M232" s="2"/>
      <c r="N232" s="7">
        <v>1.0</v>
      </c>
      <c r="O232" s="12">
        <v>29524.0</v>
      </c>
      <c r="P232" s="11" t="s">
        <v>1649</v>
      </c>
      <c r="Q232" s="12">
        <v>29524.0</v>
      </c>
      <c r="R232" s="11" t="s">
        <v>1649</v>
      </c>
      <c r="S232" s="11" t="s">
        <v>1683</v>
      </c>
      <c r="T232" s="11" t="s">
        <v>1684</v>
      </c>
      <c r="U232" s="2" t="s">
        <v>1574</v>
      </c>
      <c r="V232" s="2" t="s">
        <v>1568</v>
      </c>
      <c r="W232" s="2" t="s">
        <v>1569</v>
      </c>
      <c r="X232" s="2" t="s">
        <v>1570</v>
      </c>
      <c r="AB232" s="2" t="s">
        <v>1571</v>
      </c>
    </row>
    <row r="233">
      <c r="A233" s="2" t="s">
        <v>1739</v>
      </c>
      <c r="B233" s="2">
        <v>14.0</v>
      </c>
      <c r="C233" s="2" t="s">
        <v>8</v>
      </c>
      <c r="D233" s="2" t="s">
        <v>1740</v>
      </c>
      <c r="E233" s="2">
        <v>5.0</v>
      </c>
      <c r="F233" s="2" t="s">
        <v>4</v>
      </c>
      <c r="G233" s="5">
        <v>2770398.0</v>
      </c>
      <c r="H233" s="2" t="s">
        <v>1575</v>
      </c>
      <c r="I233" s="2" t="s">
        <v>1578</v>
      </c>
      <c r="J233" s="2">
        <v>10010.0</v>
      </c>
      <c r="K233" s="2" t="s">
        <v>1606</v>
      </c>
      <c r="L233" s="2"/>
      <c r="M233" s="2"/>
      <c r="N233" s="7">
        <v>1.0</v>
      </c>
      <c r="O233" s="12">
        <v>25238.0</v>
      </c>
      <c r="P233" s="11" t="s">
        <v>1649</v>
      </c>
      <c r="Q233" s="12">
        <v>25238.0</v>
      </c>
      <c r="R233" s="11" t="s">
        <v>1649</v>
      </c>
      <c r="S233" s="11" t="s">
        <v>1660</v>
      </c>
      <c r="T233" s="11" t="s">
        <v>1680</v>
      </c>
      <c r="U233" s="2" t="s">
        <v>1574</v>
      </c>
      <c r="V233" s="2" t="s">
        <v>1568</v>
      </c>
      <c r="W233" s="2" t="s">
        <v>1569</v>
      </c>
      <c r="X233" s="2" t="s">
        <v>1570</v>
      </c>
      <c r="AB233" s="2" t="s">
        <v>1571</v>
      </c>
    </row>
    <row r="234">
      <c r="A234" s="2" t="s">
        <v>1739</v>
      </c>
      <c r="B234" s="2">
        <v>14.0</v>
      </c>
      <c r="C234" s="2" t="s">
        <v>8</v>
      </c>
      <c r="D234" s="2" t="s">
        <v>1740</v>
      </c>
      <c r="E234" s="2">
        <v>5.0</v>
      </c>
      <c r="F234" s="2" t="s">
        <v>4</v>
      </c>
      <c r="G234" s="5">
        <v>2770032.0</v>
      </c>
      <c r="H234" s="2" t="s">
        <v>1575</v>
      </c>
      <c r="I234" s="2" t="s">
        <v>1565</v>
      </c>
      <c r="J234" s="2">
        <v>10007.0</v>
      </c>
      <c r="K234" s="2" t="s">
        <v>1576</v>
      </c>
      <c r="L234" s="2"/>
      <c r="M234" s="2"/>
      <c r="N234" s="7">
        <v>2.0</v>
      </c>
      <c r="O234" s="12">
        <v>67620.0</v>
      </c>
      <c r="P234" s="11" t="s">
        <v>1649</v>
      </c>
      <c r="Q234" s="12">
        <v>67620.0</v>
      </c>
      <c r="R234" s="11" t="s">
        <v>1649</v>
      </c>
      <c r="S234" s="11" t="s">
        <v>1723</v>
      </c>
      <c r="T234" s="11" t="s">
        <v>1724</v>
      </c>
      <c r="U234" s="2" t="s">
        <v>1567</v>
      </c>
      <c r="V234" s="2" t="s">
        <v>1568</v>
      </c>
      <c r="W234" s="2" t="s">
        <v>1569</v>
      </c>
      <c r="X234" s="2" t="s">
        <v>1570</v>
      </c>
      <c r="AB234" s="2" t="s">
        <v>1571</v>
      </c>
    </row>
    <row r="235">
      <c r="A235" s="2" t="s">
        <v>1739</v>
      </c>
      <c r="B235" s="2">
        <v>14.0</v>
      </c>
      <c r="C235" s="2" t="s">
        <v>8</v>
      </c>
      <c r="D235" s="2" t="s">
        <v>1740</v>
      </c>
      <c r="E235" s="2">
        <v>5.0</v>
      </c>
      <c r="F235" s="2" t="s">
        <v>4</v>
      </c>
      <c r="G235" s="5">
        <v>2769667.0</v>
      </c>
      <c r="H235" s="2" t="s">
        <v>1575</v>
      </c>
      <c r="I235" s="2" t="s">
        <v>1565</v>
      </c>
      <c r="J235" s="2">
        <v>10007.0</v>
      </c>
      <c r="K235" s="2" t="s">
        <v>1576</v>
      </c>
      <c r="L235" s="2"/>
      <c r="M235" s="2"/>
      <c r="N235" s="7">
        <v>2.0</v>
      </c>
      <c r="O235" s="12">
        <v>33810.0</v>
      </c>
      <c r="P235" s="11" t="s">
        <v>1649</v>
      </c>
      <c r="Q235" s="12">
        <v>33810.0</v>
      </c>
      <c r="R235" s="11" t="s">
        <v>1649</v>
      </c>
      <c r="S235" s="11" t="s">
        <v>1701</v>
      </c>
      <c r="T235" s="11" t="s">
        <v>1703</v>
      </c>
      <c r="U235" s="2" t="s">
        <v>1574</v>
      </c>
      <c r="V235" s="2" t="s">
        <v>1568</v>
      </c>
      <c r="W235" s="2" t="s">
        <v>1569</v>
      </c>
      <c r="X235" s="2" t="s">
        <v>1570</v>
      </c>
      <c r="AB235" s="2" t="s">
        <v>1571</v>
      </c>
    </row>
    <row r="236">
      <c r="A236" s="2" t="s">
        <v>1739</v>
      </c>
      <c r="B236" s="2">
        <v>14.0</v>
      </c>
      <c r="C236" s="2" t="s">
        <v>8</v>
      </c>
      <c r="D236" s="2" t="s">
        <v>1740</v>
      </c>
      <c r="E236" s="2">
        <v>5.0</v>
      </c>
      <c r="F236" s="2" t="s">
        <v>4</v>
      </c>
      <c r="G236" s="5">
        <v>2769667.0</v>
      </c>
      <c r="H236" s="2" t="s">
        <v>1575</v>
      </c>
      <c r="I236" s="2" t="s">
        <v>1565</v>
      </c>
      <c r="J236" s="2">
        <v>10035.0</v>
      </c>
      <c r="K236" s="2" t="s">
        <v>1613</v>
      </c>
      <c r="L236" s="2"/>
      <c r="M236" s="2"/>
      <c r="N236" s="7">
        <v>1.0</v>
      </c>
      <c r="O236" s="12">
        <v>21905.0</v>
      </c>
      <c r="P236" s="11" t="s">
        <v>1649</v>
      </c>
      <c r="Q236" s="12">
        <v>21905.0</v>
      </c>
      <c r="R236" s="11" t="s">
        <v>1649</v>
      </c>
      <c r="S236" s="11" t="s">
        <v>1666</v>
      </c>
      <c r="T236" s="11" t="s">
        <v>1667</v>
      </c>
      <c r="U236" s="2" t="s">
        <v>1574</v>
      </c>
      <c r="V236" s="2" t="s">
        <v>1568</v>
      </c>
      <c r="W236" s="2" t="s">
        <v>1569</v>
      </c>
      <c r="X236" s="2" t="s">
        <v>1570</v>
      </c>
      <c r="AB236" s="2" t="s">
        <v>1571</v>
      </c>
    </row>
    <row r="237">
      <c r="A237" s="2" t="s">
        <v>1739</v>
      </c>
      <c r="B237" s="2">
        <v>14.0</v>
      </c>
      <c r="C237" s="2" t="s">
        <v>8</v>
      </c>
      <c r="D237" s="2" t="s">
        <v>1740</v>
      </c>
      <c r="E237" s="2">
        <v>5.0</v>
      </c>
      <c r="F237" s="2" t="s">
        <v>4</v>
      </c>
      <c r="G237" s="5">
        <v>2769667.0</v>
      </c>
      <c r="H237" s="2" t="s">
        <v>1575</v>
      </c>
      <c r="I237" s="2" t="s">
        <v>1572</v>
      </c>
      <c r="J237" s="2">
        <v>10128.0</v>
      </c>
      <c r="K237" s="2" t="s">
        <v>1588</v>
      </c>
      <c r="L237" s="2"/>
      <c r="M237" s="2"/>
      <c r="N237" s="7">
        <v>1.0</v>
      </c>
      <c r="O237" s="12">
        <v>23333.0</v>
      </c>
      <c r="P237" s="11" t="s">
        <v>1649</v>
      </c>
      <c r="Q237" s="12">
        <v>23333.0</v>
      </c>
      <c r="R237" s="11" t="s">
        <v>1649</v>
      </c>
      <c r="S237" s="11" t="s">
        <v>1681</v>
      </c>
      <c r="T237" s="11" t="s">
        <v>1715</v>
      </c>
      <c r="U237" s="2" t="s">
        <v>1574</v>
      </c>
      <c r="V237" s="2" t="s">
        <v>1568</v>
      </c>
      <c r="W237" s="2" t="s">
        <v>1569</v>
      </c>
      <c r="X237" s="2" t="s">
        <v>1570</v>
      </c>
      <c r="AB237" s="2" t="s">
        <v>1571</v>
      </c>
    </row>
    <row r="238">
      <c r="A238" s="2" t="s">
        <v>1739</v>
      </c>
      <c r="B238" s="2">
        <v>12.0</v>
      </c>
      <c r="C238" s="2" t="s">
        <v>8</v>
      </c>
      <c r="D238" s="2" t="s">
        <v>1740</v>
      </c>
      <c r="E238" s="2">
        <v>5.0</v>
      </c>
      <c r="F238" s="2" t="s">
        <v>4</v>
      </c>
      <c r="G238" s="5">
        <v>2769302.0</v>
      </c>
      <c r="H238" s="2" t="s">
        <v>1575</v>
      </c>
      <c r="I238" s="2" t="s">
        <v>1580</v>
      </c>
      <c r="J238" s="2">
        <v>10105.0</v>
      </c>
      <c r="K238" s="2" t="s">
        <v>1611</v>
      </c>
      <c r="L238" s="2"/>
      <c r="M238" s="2"/>
      <c r="N238" s="7">
        <v>1.0</v>
      </c>
      <c r="O238" s="12">
        <v>38095.0</v>
      </c>
      <c r="P238" s="11" t="s">
        <v>1649</v>
      </c>
      <c r="Q238" s="12">
        <v>38095.0</v>
      </c>
      <c r="R238" s="11" t="s">
        <v>1649</v>
      </c>
      <c r="S238" s="11" t="s">
        <v>1727</v>
      </c>
      <c r="T238" s="11" t="s">
        <v>1728</v>
      </c>
      <c r="U238" s="2" t="s">
        <v>1574</v>
      </c>
      <c r="V238" s="2" t="s">
        <v>1568</v>
      </c>
      <c r="W238" s="2" t="s">
        <v>1569</v>
      </c>
      <c r="X238" s="2" t="s">
        <v>1570</v>
      </c>
      <c r="AB238" s="2" t="s">
        <v>1571</v>
      </c>
    </row>
    <row r="239">
      <c r="A239" s="2" t="s">
        <v>1739</v>
      </c>
      <c r="B239" s="2">
        <v>12.0</v>
      </c>
      <c r="C239" s="2" t="s">
        <v>8</v>
      </c>
      <c r="D239" s="2" t="s">
        <v>1740</v>
      </c>
      <c r="E239" s="2">
        <v>5.0</v>
      </c>
      <c r="F239" s="2" t="s">
        <v>4</v>
      </c>
      <c r="G239" s="5">
        <v>2769302.0</v>
      </c>
      <c r="H239" s="2" t="s">
        <v>1575</v>
      </c>
      <c r="I239" s="2" t="s">
        <v>1572</v>
      </c>
      <c r="J239" s="2">
        <v>10112.0</v>
      </c>
      <c r="K239" s="2" t="s">
        <v>1573</v>
      </c>
      <c r="L239" s="2"/>
      <c r="M239" s="2"/>
      <c r="N239" s="7">
        <v>1.0</v>
      </c>
      <c r="O239" s="12">
        <v>6667.0</v>
      </c>
      <c r="P239" s="11" t="s">
        <v>1649</v>
      </c>
      <c r="Q239" s="12">
        <v>6667.0</v>
      </c>
      <c r="R239" s="11" t="s">
        <v>1649</v>
      </c>
      <c r="S239" s="11" t="s">
        <v>1734</v>
      </c>
      <c r="T239" s="11" t="s">
        <v>1738</v>
      </c>
      <c r="U239" s="2" t="s">
        <v>1574</v>
      </c>
      <c r="V239" s="2" t="s">
        <v>1568</v>
      </c>
      <c r="W239" s="2" t="s">
        <v>1569</v>
      </c>
      <c r="X239" s="2" t="s">
        <v>1570</v>
      </c>
      <c r="AB239" s="2" t="s">
        <v>1571</v>
      </c>
    </row>
    <row r="240">
      <c r="A240" s="2" t="s">
        <v>1739</v>
      </c>
      <c r="B240" s="2">
        <v>12.0</v>
      </c>
      <c r="C240" s="2" t="s">
        <v>8</v>
      </c>
      <c r="D240" s="2" t="s">
        <v>1740</v>
      </c>
      <c r="E240" s="2">
        <v>5.0</v>
      </c>
      <c r="F240" s="2" t="s">
        <v>4</v>
      </c>
      <c r="G240" s="5">
        <v>2768937.0</v>
      </c>
      <c r="H240" s="2" t="s">
        <v>1575</v>
      </c>
      <c r="I240" s="2" t="s">
        <v>1565</v>
      </c>
      <c r="J240" s="2">
        <v>10055.0</v>
      </c>
      <c r="K240" s="2" t="s">
        <v>1595</v>
      </c>
      <c r="L240" s="2"/>
      <c r="M240" s="2"/>
      <c r="N240" s="7">
        <v>2.0</v>
      </c>
      <c r="O240" s="12">
        <v>34762.0</v>
      </c>
      <c r="P240" s="11" t="s">
        <v>1649</v>
      </c>
      <c r="Q240" s="12">
        <v>34762.0</v>
      </c>
      <c r="R240" s="11" t="s">
        <v>1649</v>
      </c>
      <c r="S240" s="11" t="s">
        <v>1670</v>
      </c>
      <c r="T240" s="11" t="s">
        <v>1671</v>
      </c>
      <c r="U240" s="2" t="s">
        <v>1574</v>
      </c>
      <c r="V240" s="2" t="s">
        <v>1568</v>
      </c>
      <c r="W240" s="2" t="s">
        <v>1569</v>
      </c>
      <c r="X240" s="2" t="s">
        <v>1570</v>
      </c>
      <c r="AB240" s="2" t="s">
        <v>1571</v>
      </c>
    </row>
    <row r="241">
      <c r="A241" s="2" t="s">
        <v>1739</v>
      </c>
      <c r="B241" s="2">
        <v>11.0</v>
      </c>
      <c r="C241" s="2" t="s">
        <v>8</v>
      </c>
      <c r="D241" s="2" t="s">
        <v>1740</v>
      </c>
      <c r="E241" s="2">
        <v>5.0</v>
      </c>
      <c r="F241" s="2" t="s">
        <v>4</v>
      </c>
      <c r="G241" s="5">
        <v>2768571.0</v>
      </c>
      <c r="H241" s="2" t="s">
        <v>1575</v>
      </c>
      <c r="I241" s="2" t="s">
        <v>1565</v>
      </c>
      <c r="J241" s="2">
        <v>10002.0</v>
      </c>
      <c r="K241" s="2" t="s">
        <v>1576</v>
      </c>
      <c r="L241" s="2"/>
      <c r="M241" s="2"/>
      <c r="N241" s="7">
        <v>1.0</v>
      </c>
      <c r="O241" s="12">
        <v>18571.0</v>
      </c>
      <c r="P241" s="11" t="s">
        <v>1649</v>
      </c>
      <c r="Q241" s="12">
        <v>18571.0</v>
      </c>
      <c r="R241" s="11" t="s">
        <v>1649</v>
      </c>
      <c r="S241" s="11" t="s">
        <v>1656</v>
      </c>
      <c r="T241" s="11" t="s">
        <v>1657</v>
      </c>
      <c r="U241" s="2" t="s">
        <v>1574</v>
      </c>
      <c r="V241" s="2" t="s">
        <v>1568</v>
      </c>
      <c r="W241" s="2" t="s">
        <v>1569</v>
      </c>
      <c r="X241" s="2" t="s">
        <v>1570</v>
      </c>
      <c r="AB241" s="2" t="s">
        <v>1571</v>
      </c>
    </row>
    <row r="242">
      <c r="A242" s="2" t="s">
        <v>1739</v>
      </c>
      <c r="B242" s="2">
        <v>11.0</v>
      </c>
      <c r="C242" s="2" t="s">
        <v>8</v>
      </c>
      <c r="D242" s="2" t="s">
        <v>1740</v>
      </c>
      <c r="E242" s="2">
        <v>5.0</v>
      </c>
      <c r="F242" s="2" t="s">
        <v>4</v>
      </c>
      <c r="G242" s="5">
        <v>2768571.0</v>
      </c>
      <c r="H242" s="2" t="s">
        <v>1575</v>
      </c>
      <c r="I242" s="2" t="s">
        <v>1578</v>
      </c>
      <c r="J242" s="2">
        <v>10051.0</v>
      </c>
      <c r="K242" s="2" t="s">
        <v>1579</v>
      </c>
      <c r="L242" s="2"/>
      <c r="M242" s="2"/>
      <c r="N242" s="7">
        <v>1.0</v>
      </c>
      <c r="O242" s="12">
        <v>25238.0</v>
      </c>
      <c r="P242" s="11" t="s">
        <v>1649</v>
      </c>
      <c r="Q242" s="12">
        <v>25238.0</v>
      </c>
      <c r="R242" s="11" t="s">
        <v>1649</v>
      </c>
      <c r="S242" s="11" t="s">
        <v>1660</v>
      </c>
      <c r="T242" s="11" t="s">
        <v>1661</v>
      </c>
      <c r="U242" s="2" t="s">
        <v>1574</v>
      </c>
      <c r="V242" s="2" t="s">
        <v>1568</v>
      </c>
      <c r="W242" s="2" t="s">
        <v>1569</v>
      </c>
      <c r="X242" s="2" t="s">
        <v>1570</v>
      </c>
      <c r="AB242" s="2" t="s">
        <v>1571</v>
      </c>
    </row>
    <row r="243">
      <c r="A243" s="2" t="s">
        <v>1739</v>
      </c>
      <c r="B243" s="2">
        <v>11.0</v>
      </c>
      <c r="C243" s="2" t="s">
        <v>8</v>
      </c>
      <c r="D243" s="2" t="s">
        <v>1740</v>
      </c>
      <c r="E243" s="2">
        <v>5.0</v>
      </c>
      <c r="F243" s="2" t="s">
        <v>4</v>
      </c>
      <c r="G243" s="5">
        <v>2768571.0</v>
      </c>
      <c r="H243" s="2" t="s">
        <v>1575</v>
      </c>
      <c r="I243" s="2" t="s">
        <v>1572</v>
      </c>
      <c r="J243" s="2">
        <v>10125.0</v>
      </c>
      <c r="K243" s="2" t="s">
        <v>1601</v>
      </c>
      <c r="L243" s="2"/>
      <c r="M243" s="2"/>
      <c r="N243" s="7">
        <v>1.0</v>
      </c>
      <c r="O243" s="12">
        <v>20476.0</v>
      </c>
      <c r="P243" s="11" t="s">
        <v>1649</v>
      </c>
      <c r="Q243" s="12">
        <v>20476.0</v>
      </c>
      <c r="R243" s="11" t="s">
        <v>1649</v>
      </c>
      <c r="S243" s="11" t="s">
        <v>1716</v>
      </c>
      <c r="T243" s="11" t="s">
        <v>1717</v>
      </c>
      <c r="U243" s="2" t="s">
        <v>1574</v>
      </c>
      <c r="V243" s="2" t="s">
        <v>1568</v>
      </c>
      <c r="W243" s="2" t="s">
        <v>1569</v>
      </c>
      <c r="X243" s="2" t="s">
        <v>1570</v>
      </c>
      <c r="AB243" s="2" t="s">
        <v>1571</v>
      </c>
    </row>
    <row r="244">
      <c r="A244" s="2" t="s">
        <v>1739</v>
      </c>
      <c r="B244" s="2">
        <v>11.0</v>
      </c>
      <c r="C244" s="2" t="s">
        <v>8</v>
      </c>
      <c r="D244" s="2" t="s">
        <v>1740</v>
      </c>
      <c r="E244" s="2">
        <v>5.0</v>
      </c>
      <c r="F244" s="2" t="s">
        <v>4</v>
      </c>
      <c r="G244" s="5">
        <v>2768571.0</v>
      </c>
      <c r="H244" s="2" t="s">
        <v>1575</v>
      </c>
      <c r="I244" s="2" t="s">
        <v>1572</v>
      </c>
      <c r="J244" s="2">
        <v>10127.0</v>
      </c>
      <c r="K244" s="2" t="s">
        <v>1592</v>
      </c>
      <c r="L244" s="2"/>
      <c r="M244" s="2"/>
      <c r="N244" s="7">
        <v>1.0</v>
      </c>
      <c r="O244" s="12">
        <v>18571.0</v>
      </c>
      <c r="P244" s="11" t="s">
        <v>1649</v>
      </c>
      <c r="Q244" s="12">
        <v>18571.0</v>
      </c>
      <c r="R244" s="11" t="s">
        <v>1649</v>
      </c>
      <c r="S244" s="11" t="s">
        <v>1656</v>
      </c>
      <c r="T244" s="11" t="s">
        <v>1657</v>
      </c>
      <c r="U244" s="2" t="s">
        <v>1574</v>
      </c>
      <c r="V244" s="2" t="s">
        <v>1568</v>
      </c>
      <c r="W244" s="2" t="s">
        <v>1569</v>
      </c>
      <c r="X244" s="2" t="s">
        <v>1570</v>
      </c>
      <c r="AB244" s="2" t="s">
        <v>1571</v>
      </c>
    </row>
    <row r="245">
      <c r="A245" s="2" t="s">
        <v>1739</v>
      </c>
      <c r="B245" s="2">
        <v>11.0</v>
      </c>
      <c r="C245" s="2" t="s">
        <v>8</v>
      </c>
      <c r="D245" s="2" t="s">
        <v>1740</v>
      </c>
      <c r="E245" s="2">
        <v>5.0</v>
      </c>
      <c r="F245" s="2" t="s">
        <v>4</v>
      </c>
      <c r="G245" s="5">
        <v>2768571.0</v>
      </c>
      <c r="H245" s="2" t="s">
        <v>1575</v>
      </c>
      <c r="I245" s="2" t="s">
        <v>1578</v>
      </c>
      <c r="J245" s="2">
        <v>10010.0</v>
      </c>
      <c r="K245" s="2" t="s">
        <v>1606</v>
      </c>
      <c r="L245" s="2"/>
      <c r="M245" s="2"/>
      <c r="N245" s="7">
        <v>1.0</v>
      </c>
      <c r="O245" s="12">
        <v>25238.0</v>
      </c>
      <c r="P245" s="11" t="s">
        <v>1649</v>
      </c>
      <c r="Q245" s="12">
        <v>25238.0</v>
      </c>
      <c r="R245" s="11" t="s">
        <v>1649</v>
      </c>
      <c r="S245" s="11" t="s">
        <v>1660</v>
      </c>
      <c r="T245" s="11" t="s">
        <v>1680</v>
      </c>
      <c r="U245" s="2" t="s">
        <v>1574</v>
      </c>
      <c r="V245" s="2" t="s">
        <v>1568</v>
      </c>
      <c r="W245" s="2" t="s">
        <v>1569</v>
      </c>
      <c r="X245" s="2" t="s">
        <v>1570</v>
      </c>
      <c r="AB245" s="2" t="s">
        <v>1571</v>
      </c>
    </row>
    <row r="246">
      <c r="A246" s="2" t="s">
        <v>1741</v>
      </c>
      <c r="B246" s="2">
        <v>20.0</v>
      </c>
      <c r="C246" s="2" t="s">
        <v>7</v>
      </c>
      <c r="D246" s="2" t="s">
        <v>1742</v>
      </c>
      <c r="E246" s="2">
        <v>4.0</v>
      </c>
      <c r="F246" s="2" t="s">
        <v>4</v>
      </c>
      <c r="G246" s="5">
        <v>2768206.0</v>
      </c>
      <c r="H246" s="2" t="s">
        <v>1575</v>
      </c>
      <c r="I246" s="2" t="s">
        <v>1565</v>
      </c>
      <c r="J246" s="2">
        <v>10007.0</v>
      </c>
      <c r="K246" s="2" t="s">
        <v>1576</v>
      </c>
      <c r="L246" s="2"/>
      <c r="M246" s="2"/>
      <c r="N246" s="7">
        <v>2.0</v>
      </c>
      <c r="O246" s="12">
        <v>33810.0</v>
      </c>
      <c r="P246" s="11" t="s">
        <v>1649</v>
      </c>
      <c r="Q246" s="12">
        <v>33810.0</v>
      </c>
      <c r="R246" s="11" t="s">
        <v>1649</v>
      </c>
      <c r="S246" s="11" t="s">
        <v>1701</v>
      </c>
      <c r="T246" s="11" t="s">
        <v>1703</v>
      </c>
      <c r="U246" s="2" t="s">
        <v>1574</v>
      </c>
      <c r="V246" s="2" t="s">
        <v>1568</v>
      </c>
      <c r="W246" s="2" t="s">
        <v>1569</v>
      </c>
      <c r="X246" s="2" t="s">
        <v>1570</v>
      </c>
      <c r="AB246" s="2" t="s">
        <v>1571</v>
      </c>
    </row>
    <row r="247">
      <c r="A247" s="2" t="s">
        <v>1741</v>
      </c>
      <c r="B247" s="2">
        <v>18.0</v>
      </c>
      <c r="C247" s="2" t="s">
        <v>7</v>
      </c>
      <c r="D247" s="2" t="s">
        <v>1742</v>
      </c>
      <c r="E247" s="2">
        <v>4.0</v>
      </c>
      <c r="F247" s="2" t="s">
        <v>4</v>
      </c>
      <c r="G247" s="5">
        <v>2767841.0</v>
      </c>
      <c r="H247" s="2" t="s">
        <v>1575</v>
      </c>
      <c r="I247" s="2" t="s">
        <v>1580</v>
      </c>
      <c r="J247" s="2">
        <v>10104.0</v>
      </c>
      <c r="K247" s="2" t="s">
        <v>1581</v>
      </c>
      <c r="L247" s="2"/>
      <c r="M247" s="2"/>
      <c r="N247" s="7">
        <v>1.0</v>
      </c>
      <c r="O247" s="12">
        <v>34762.0</v>
      </c>
      <c r="P247" s="11" t="s">
        <v>1649</v>
      </c>
      <c r="Q247" s="12">
        <v>34762.0</v>
      </c>
      <c r="R247" s="11" t="s">
        <v>1649</v>
      </c>
      <c r="S247" s="11" t="s">
        <v>1670</v>
      </c>
      <c r="T247" s="11" t="s">
        <v>1671</v>
      </c>
      <c r="U247" s="2" t="s">
        <v>1574</v>
      </c>
      <c r="V247" s="2" t="s">
        <v>1568</v>
      </c>
      <c r="W247" s="2" t="s">
        <v>1569</v>
      </c>
      <c r="X247" s="2" t="s">
        <v>1570</v>
      </c>
      <c r="AB247" s="2" t="s">
        <v>1571</v>
      </c>
    </row>
    <row r="248">
      <c r="A248" s="2" t="s">
        <v>1741</v>
      </c>
      <c r="B248" s="2">
        <v>18.0</v>
      </c>
      <c r="C248" s="2" t="s">
        <v>7</v>
      </c>
      <c r="D248" s="2" t="s">
        <v>1742</v>
      </c>
      <c r="E248" s="2">
        <v>4.0</v>
      </c>
      <c r="F248" s="2" t="s">
        <v>4</v>
      </c>
      <c r="G248" s="5">
        <v>2767841.0</v>
      </c>
      <c r="H248" s="2" t="s">
        <v>1575</v>
      </c>
      <c r="I248" s="2" t="s">
        <v>1580</v>
      </c>
      <c r="J248" s="2">
        <v>10012.0</v>
      </c>
      <c r="K248" s="2" t="s">
        <v>1602</v>
      </c>
      <c r="L248" s="2"/>
      <c r="M248" s="2"/>
      <c r="N248" s="7">
        <v>1.0</v>
      </c>
      <c r="O248" s="12">
        <v>29524.0</v>
      </c>
      <c r="P248" s="11" t="s">
        <v>1649</v>
      </c>
      <c r="Q248" s="12">
        <v>29524.0</v>
      </c>
      <c r="R248" s="11" t="s">
        <v>1649</v>
      </c>
      <c r="S248" s="11" t="s">
        <v>1683</v>
      </c>
      <c r="T248" s="11" t="s">
        <v>1684</v>
      </c>
      <c r="U248" s="2" t="s">
        <v>1574</v>
      </c>
      <c r="V248" s="2" t="s">
        <v>1568</v>
      </c>
      <c r="W248" s="2" t="s">
        <v>1569</v>
      </c>
      <c r="X248" s="2" t="s">
        <v>1570</v>
      </c>
      <c r="AB248" s="2" t="s">
        <v>1571</v>
      </c>
    </row>
    <row r="249">
      <c r="A249" s="2" t="s">
        <v>1741</v>
      </c>
      <c r="B249" s="2">
        <v>18.0</v>
      </c>
      <c r="C249" s="2" t="s">
        <v>7</v>
      </c>
      <c r="D249" s="2" t="s">
        <v>1742</v>
      </c>
      <c r="E249" s="2">
        <v>4.0</v>
      </c>
      <c r="F249" s="2" t="s">
        <v>4</v>
      </c>
      <c r="G249" s="5">
        <v>2767841.0</v>
      </c>
      <c r="H249" s="2" t="s">
        <v>1575</v>
      </c>
      <c r="I249" s="2" t="s">
        <v>1565</v>
      </c>
      <c r="J249" s="2">
        <v>10002.0</v>
      </c>
      <c r="K249" s="2" t="s">
        <v>1576</v>
      </c>
      <c r="L249" s="2"/>
      <c r="M249" s="2"/>
      <c r="N249" s="7">
        <v>1.0</v>
      </c>
      <c r="O249" s="12">
        <v>18571.0</v>
      </c>
      <c r="P249" s="11" t="s">
        <v>1649</v>
      </c>
      <c r="Q249" s="12">
        <v>18571.0</v>
      </c>
      <c r="R249" s="11" t="s">
        <v>1649</v>
      </c>
      <c r="S249" s="11" t="s">
        <v>1656</v>
      </c>
      <c r="T249" s="11" t="s">
        <v>1657</v>
      </c>
      <c r="U249" s="2" t="s">
        <v>1574</v>
      </c>
      <c r="V249" s="2" t="s">
        <v>1568</v>
      </c>
      <c r="W249" s="2" t="s">
        <v>1569</v>
      </c>
      <c r="X249" s="2" t="s">
        <v>1570</v>
      </c>
      <c r="AB249" s="2" t="s">
        <v>1571</v>
      </c>
    </row>
    <row r="250">
      <c r="A250" s="2" t="s">
        <v>1741</v>
      </c>
      <c r="B250" s="2">
        <v>18.0</v>
      </c>
      <c r="C250" s="2" t="s">
        <v>7</v>
      </c>
      <c r="D250" s="2" t="s">
        <v>1742</v>
      </c>
      <c r="E250" s="2">
        <v>4.0</v>
      </c>
      <c r="F250" s="2" t="s">
        <v>4</v>
      </c>
      <c r="G250" s="5">
        <v>2767841.0</v>
      </c>
      <c r="H250" s="2" t="s">
        <v>1575</v>
      </c>
      <c r="I250" s="2" t="s">
        <v>1572</v>
      </c>
      <c r="J250" s="2">
        <v>10122.0</v>
      </c>
      <c r="K250" s="2" t="s">
        <v>1577</v>
      </c>
      <c r="L250" s="2"/>
      <c r="M250" s="2"/>
      <c r="N250" s="7">
        <v>1.0</v>
      </c>
      <c r="O250" s="12">
        <v>21905.0</v>
      </c>
      <c r="P250" s="11" t="s">
        <v>1649</v>
      </c>
      <c r="Q250" s="12">
        <v>21905.0</v>
      </c>
      <c r="R250" s="11" t="s">
        <v>1649</v>
      </c>
      <c r="S250" s="11" t="s">
        <v>1666</v>
      </c>
      <c r="T250" s="11" t="s">
        <v>1667</v>
      </c>
      <c r="U250" s="2" t="s">
        <v>1574</v>
      </c>
      <c r="V250" s="2" t="s">
        <v>1568</v>
      </c>
      <c r="W250" s="2" t="s">
        <v>1569</v>
      </c>
      <c r="X250" s="2" t="s">
        <v>1570</v>
      </c>
      <c r="AB250" s="2" t="s">
        <v>1571</v>
      </c>
    </row>
    <row r="251">
      <c r="A251" s="2" t="s">
        <v>1741</v>
      </c>
      <c r="B251" s="2">
        <v>18.0</v>
      </c>
      <c r="C251" s="2" t="s">
        <v>7</v>
      </c>
      <c r="D251" s="2" t="s">
        <v>1742</v>
      </c>
      <c r="E251" s="2">
        <v>4.0</v>
      </c>
      <c r="F251" s="2" t="s">
        <v>4</v>
      </c>
      <c r="G251" s="5">
        <v>2767841.0</v>
      </c>
      <c r="H251" s="2" t="s">
        <v>1575</v>
      </c>
      <c r="I251" s="2" t="s">
        <v>1572</v>
      </c>
      <c r="J251" s="2">
        <v>10069.0</v>
      </c>
      <c r="K251" s="2" t="s">
        <v>1620</v>
      </c>
      <c r="L251" s="2"/>
      <c r="M251" s="2"/>
      <c r="N251" s="7">
        <v>1.0</v>
      </c>
      <c r="O251" s="12">
        <v>24762.0</v>
      </c>
      <c r="P251" s="11" t="s">
        <v>1649</v>
      </c>
      <c r="Q251" s="12">
        <v>24762.0</v>
      </c>
      <c r="R251" s="11" t="s">
        <v>1649</v>
      </c>
      <c r="S251" s="11" t="s">
        <v>1689</v>
      </c>
      <c r="T251" s="11" t="s">
        <v>1693</v>
      </c>
      <c r="U251" s="2" t="s">
        <v>1574</v>
      </c>
      <c r="V251" s="2" t="s">
        <v>1568</v>
      </c>
      <c r="W251" s="2" t="s">
        <v>1569</v>
      </c>
      <c r="X251" s="2" t="s">
        <v>1570</v>
      </c>
      <c r="AB251" s="2" t="s">
        <v>1571</v>
      </c>
    </row>
    <row r="252">
      <c r="A252" s="2" t="s">
        <v>1741</v>
      </c>
      <c r="B252" s="2">
        <v>17.0</v>
      </c>
      <c r="C252" s="2" t="s">
        <v>7</v>
      </c>
      <c r="D252" s="2" t="s">
        <v>1742</v>
      </c>
      <c r="E252" s="2">
        <v>4.0</v>
      </c>
      <c r="F252" s="2" t="s">
        <v>4</v>
      </c>
      <c r="G252" s="5">
        <v>2767476.0</v>
      </c>
      <c r="H252" s="2" t="s">
        <v>1575</v>
      </c>
      <c r="I252" s="2" t="s">
        <v>1572</v>
      </c>
      <c r="J252" s="2">
        <v>10127.0</v>
      </c>
      <c r="K252" s="2" t="s">
        <v>1592</v>
      </c>
      <c r="L252" s="2"/>
      <c r="M252" s="2"/>
      <c r="N252" s="7">
        <v>1.0</v>
      </c>
      <c r="O252" s="12">
        <v>18571.0</v>
      </c>
      <c r="P252" s="11" t="s">
        <v>1649</v>
      </c>
      <c r="Q252" s="12">
        <v>18571.0</v>
      </c>
      <c r="R252" s="11" t="s">
        <v>1649</v>
      </c>
      <c r="S252" s="11" t="s">
        <v>1656</v>
      </c>
      <c r="T252" s="11" t="s">
        <v>1657</v>
      </c>
      <c r="U252" s="2" t="s">
        <v>1574</v>
      </c>
      <c r="V252" s="2" t="s">
        <v>1568</v>
      </c>
      <c r="W252" s="2" t="s">
        <v>1569</v>
      </c>
      <c r="X252" s="2" t="s">
        <v>1570</v>
      </c>
      <c r="AB252" s="2" t="s">
        <v>1571</v>
      </c>
    </row>
    <row r="253">
      <c r="A253" s="2" t="s">
        <v>1741</v>
      </c>
      <c r="B253" s="2">
        <v>17.0</v>
      </c>
      <c r="C253" s="2" t="s">
        <v>7</v>
      </c>
      <c r="D253" s="2" t="s">
        <v>1742</v>
      </c>
      <c r="E253" s="2">
        <v>4.0</v>
      </c>
      <c r="F253" s="2" t="s">
        <v>4</v>
      </c>
      <c r="G253" s="5">
        <v>2767110.0</v>
      </c>
      <c r="H253" s="2" t="s">
        <v>1575</v>
      </c>
      <c r="I253" s="2" t="s">
        <v>1565</v>
      </c>
      <c r="J253" s="2">
        <v>10002.0</v>
      </c>
      <c r="K253" s="2" t="s">
        <v>1576</v>
      </c>
      <c r="L253" s="2"/>
      <c r="M253" s="2"/>
      <c r="N253" s="7">
        <v>1.0</v>
      </c>
      <c r="O253" s="12">
        <v>18571.0</v>
      </c>
      <c r="P253" s="11" t="s">
        <v>1649</v>
      </c>
      <c r="Q253" s="12">
        <v>18571.0</v>
      </c>
      <c r="R253" s="11" t="s">
        <v>1649</v>
      </c>
      <c r="S253" s="11" t="s">
        <v>1656</v>
      </c>
      <c r="T253" s="11" t="s">
        <v>1657</v>
      </c>
      <c r="U253" s="2" t="s">
        <v>1574</v>
      </c>
      <c r="V253" s="2" t="s">
        <v>1568</v>
      </c>
      <c r="W253" s="2" t="s">
        <v>1569</v>
      </c>
      <c r="X253" s="2" t="s">
        <v>1570</v>
      </c>
      <c r="AB253" s="2" t="s">
        <v>1571</v>
      </c>
    </row>
    <row r="254">
      <c r="A254" s="2" t="s">
        <v>1741</v>
      </c>
      <c r="B254" s="2">
        <v>17.0</v>
      </c>
      <c r="C254" s="2" t="s">
        <v>7</v>
      </c>
      <c r="D254" s="2" t="s">
        <v>1742</v>
      </c>
      <c r="E254" s="2">
        <v>4.0</v>
      </c>
      <c r="F254" s="2" t="s">
        <v>4</v>
      </c>
      <c r="G254" s="5">
        <v>2766745.0</v>
      </c>
      <c r="H254" s="2" t="s">
        <v>1564</v>
      </c>
      <c r="I254" s="2" t="s">
        <v>1565</v>
      </c>
      <c r="J254" s="2">
        <v>10002.0</v>
      </c>
      <c r="K254" s="2" t="s">
        <v>1576</v>
      </c>
      <c r="L254" s="2"/>
      <c r="M254" s="2"/>
      <c r="N254" s="7">
        <v>-1.0</v>
      </c>
      <c r="O254" s="12">
        <v>-18571.0</v>
      </c>
      <c r="P254" s="11" t="s">
        <v>1649</v>
      </c>
      <c r="Q254" s="12">
        <v>-18571.0</v>
      </c>
      <c r="R254" s="11" t="s">
        <v>1650</v>
      </c>
      <c r="S254" s="11" t="s">
        <v>1743</v>
      </c>
      <c r="T254" s="11" t="s">
        <v>1744</v>
      </c>
      <c r="U254" s="2" t="s">
        <v>1574</v>
      </c>
      <c r="V254" s="2" t="s">
        <v>1568</v>
      </c>
      <c r="W254" s="2" t="s">
        <v>1569</v>
      </c>
      <c r="X254" s="2" t="s">
        <v>1570</v>
      </c>
      <c r="AB254" s="2" t="s">
        <v>1571</v>
      </c>
    </row>
    <row r="255">
      <c r="A255" s="2" t="s">
        <v>1741</v>
      </c>
      <c r="B255" s="2">
        <v>17.0</v>
      </c>
      <c r="C255" s="2" t="s">
        <v>7</v>
      </c>
      <c r="D255" s="2" t="s">
        <v>1742</v>
      </c>
      <c r="E255" s="2">
        <v>4.0</v>
      </c>
      <c r="F255" s="2" t="s">
        <v>4</v>
      </c>
      <c r="G255" s="5">
        <v>2766380.0</v>
      </c>
      <c r="H255" s="2" t="s">
        <v>1575</v>
      </c>
      <c r="I255" s="2" t="s">
        <v>1565</v>
      </c>
      <c r="J255" s="2">
        <v>10002.0</v>
      </c>
      <c r="K255" s="2" t="s">
        <v>1576</v>
      </c>
      <c r="L255" s="2"/>
      <c r="M255" s="2"/>
      <c r="N255" s="7">
        <v>1.0</v>
      </c>
      <c r="O255" s="12">
        <v>18571.0</v>
      </c>
      <c r="P255" s="11" t="s">
        <v>1649</v>
      </c>
      <c r="Q255" s="12">
        <v>18571.0</v>
      </c>
      <c r="R255" s="11" t="s">
        <v>1649</v>
      </c>
      <c r="S255" s="11" t="s">
        <v>1656</v>
      </c>
      <c r="T255" s="11" t="s">
        <v>1657</v>
      </c>
      <c r="U255" s="2" t="s">
        <v>1574</v>
      </c>
      <c r="V255" s="2" t="s">
        <v>1568</v>
      </c>
      <c r="W255" s="2" t="s">
        <v>1569</v>
      </c>
      <c r="X255" s="2" t="s">
        <v>1570</v>
      </c>
      <c r="AB255" s="2" t="s">
        <v>1571</v>
      </c>
    </row>
    <row r="256">
      <c r="A256" s="2" t="s">
        <v>1741</v>
      </c>
      <c r="B256" s="2">
        <v>17.0</v>
      </c>
      <c r="C256" s="2" t="s">
        <v>7</v>
      </c>
      <c r="D256" s="2" t="s">
        <v>1742</v>
      </c>
      <c r="E256" s="2">
        <v>4.0</v>
      </c>
      <c r="F256" s="2" t="s">
        <v>4</v>
      </c>
      <c r="G256" s="5">
        <v>2766015.0</v>
      </c>
      <c r="H256" s="2" t="s">
        <v>1575</v>
      </c>
      <c r="I256" s="2" t="s">
        <v>1565</v>
      </c>
      <c r="J256" s="2">
        <v>10002.0</v>
      </c>
      <c r="K256" s="2" t="s">
        <v>1576</v>
      </c>
      <c r="L256" s="2"/>
      <c r="M256" s="2"/>
      <c r="N256" s="7">
        <v>1.0</v>
      </c>
      <c r="O256" s="12">
        <v>18571.0</v>
      </c>
      <c r="P256" s="11" t="s">
        <v>1649</v>
      </c>
      <c r="Q256" s="12">
        <v>18571.0</v>
      </c>
      <c r="R256" s="11" t="s">
        <v>1649</v>
      </c>
      <c r="S256" s="11" t="s">
        <v>1656</v>
      </c>
      <c r="T256" s="11" t="s">
        <v>1657</v>
      </c>
      <c r="U256" s="2" t="s">
        <v>1574</v>
      </c>
      <c r="V256" s="2" t="s">
        <v>1568</v>
      </c>
      <c r="W256" s="2" t="s">
        <v>1569</v>
      </c>
      <c r="X256" s="2" t="s">
        <v>1570</v>
      </c>
      <c r="AB256" s="2" t="s">
        <v>1571</v>
      </c>
    </row>
    <row r="257">
      <c r="A257" s="2" t="s">
        <v>1741</v>
      </c>
      <c r="B257" s="2">
        <v>17.0</v>
      </c>
      <c r="C257" s="2" t="s">
        <v>7</v>
      </c>
      <c r="D257" s="2" t="s">
        <v>1742</v>
      </c>
      <c r="E257" s="2">
        <v>4.0</v>
      </c>
      <c r="F257" s="2" t="s">
        <v>4</v>
      </c>
      <c r="G257" s="5">
        <v>2766015.0</v>
      </c>
      <c r="H257" s="2" t="s">
        <v>1575</v>
      </c>
      <c r="I257" s="2" t="s">
        <v>1572</v>
      </c>
      <c r="J257" s="2">
        <v>10128.0</v>
      </c>
      <c r="K257" s="2" t="s">
        <v>1588</v>
      </c>
      <c r="L257" s="2"/>
      <c r="M257" s="2"/>
      <c r="N257" s="7">
        <v>2.0</v>
      </c>
      <c r="O257" s="12">
        <v>46666.0</v>
      </c>
      <c r="P257" s="11" t="s">
        <v>1649</v>
      </c>
      <c r="Q257" s="12">
        <v>46666.0</v>
      </c>
      <c r="R257" s="11" t="s">
        <v>1649</v>
      </c>
      <c r="S257" s="11" t="s">
        <v>1691</v>
      </c>
      <c r="T257" s="11" t="s">
        <v>1692</v>
      </c>
      <c r="U257" s="2" t="s">
        <v>1574</v>
      </c>
      <c r="V257" s="2" t="s">
        <v>1568</v>
      </c>
      <c r="W257" s="2" t="s">
        <v>1569</v>
      </c>
      <c r="X257" s="2" t="s">
        <v>1570</v>
      </c>
      <c r="AB257" s="2" t="s">
        <v>1571</v>
      </c>
    </row>
    <row r="258">
      <c r="A258" s="2" t="s">
        <v>1741</v>
      </c>
      <c r="B258" s="2">
        <v>15.0</v>
      </c>
      <c r="C258" s="2" t="s">
        <v>7</v>
      </c>
      <c r="D258" s="2" t="s">
        <v>1742</v>
      </c>
      <c r="E258" s="2">
        <v>4.0</v>
      </c>
      <c r="F258" s="2" t="s">
        <v>4</v>
      </c>
      <c r="G258" s="5">
        <v>2765649.0</v>
      </c>
      <c r="H258" s="2" t="s">
        <v>1575</v>
      </c>
      <c r="I258" s="2" t="s">
        <v>1565</v>
      </c>
      <c r="J258" s="2">
        <v>10005.0</v>
      </c>
      <c r="K258" s="2" t="s">
        <v>1595</v>
      </c>
      <c r="L258" s="2"/>
      <c r="M258" s="2"/>
      <c r="N258" s="7">
        <v>1.0</v>
      </c>
      <c r="O258" s="12">
        <v>19524.0</v>
      </c>
      <c r="P258" s="11" t="s">
        <v>1649</v>
      </c>
      <c r="Q258" s="12">
        <v>19524.0</v>
      </c>
      <c r="R258" s="11" t="s">
        <v>1649</v>
      </c>
      <c r="S258" s="11" t="s">
        <v>1676</v>
      </c>
      <c r="T258" s="11" t="s">
        <v>1677</v>
      </c>
      <c r="U258" s="2" t="s">
        <v>1574</v>
      </c>
      <c r="V258" s="2" t="s">
        <v>1568</v>
      </c>
      <c r="W258" s="2" t="s">
        <v>1569</v>
      </c>
      <c r="X258" s="2" t="s">
        <v>1570</v>
      </c>
      <c r="AB258" s="2" t="s">
        <v>1571</v>
      </c>
    </row>
    <row r="259">
      <c r="A259" s="2" t="s">
        <v>1741</v>
      </c>
      <c r="B259" s="2">
        <v>15.0</v>
      </c>
      <c r="C259" s="2" t="s">
        <v>7</v>
      </c>
      <c r="D259" s="2" t="s">
        <v>1742</v>
      </c>
      <c r="E259" s="2">
        <v>4.0</v>
      </c>
      <c r="F259" s="2" t="s">
        <v>4</v>
      </c>
      <c r="G259" s="5">
        <v>2765649.0</v>
      </c>
      <c r="H259" s="2" t="s">
        <v>1575</v>
      </c>
      <c r="I259" s="2" t="s">
        <v>1572</v>
      </c>
      <c r="J259" s="2">
        <v>10122.0</v>
      </c>
      <c r="K259" s="2" t="s">
        <v>1577</v>
      </c>
      <c r="L259" s="2"/>
      <c r="M259" s="2"/>
      <c r="N259" s="7">
        <v>1.0</v>
      </c>
      <c r="O259" s="12">
        <v>21905.0</v>
      </c>
      <c r="P259" s="11" t="s">
        <v>1649</v>
      </c>
      <c r="Q259" s="12">
        <v>21905.0</v>
      </c>
      <c r="R259" s="11" t="s">
        <v>1649</v>
      </c>
      <c r="S259" s="11" t="s">
        <v>1666</v>
      </c>
      <c r="T259" s="11" t="s">
        <v>1667</v>
      </c>
      <c r="U259" s="2" t="s">
        <v>1574</v>
      </c>
      <c r="V259" s="2" t="s">
        <v>1568</v>
      </c>
      <c r="W259" s="2" t="s">
        <v>1569</v>
      </c>
      <c r="X259" s="2" t="s">
        <v>1570</v>
      </c>
      <c r="AB259" s="2" t="s">
        <v>1571</v>
      </c>
    </row>
    <row r="260">
      <c r="A260" s="2" t="s">
        <v>1741</v>
      </c>
      <c r="B260" s="2">
        <v>12.0</v>
      </c>
      <c r="C260" s="2" t="s">
        <v>7</v>
      </c>
      <c r="D260" s="2" t="s">
        <v>1742</v>
      </c>
      <c r="E260" s="2">
        <v>4.0</v>
      </c>
      <c r="F260" s="2" t="s">
        <v>4</v>
      </c>
      <c r="G260" s="5">
        <v>2765284.0</v>
      </c>
      <c r="H260" s="2" t="s">
        <v>1575</v>
      </c>
      <c r="I260" s="2" t="s">
        <v>1580</v>
      </c>
      <c r="J260" s="2">
        <v>10003.0</v>
      </c>
      <c r="K260" s="2" t="s">
        <v>1603</v>
      </c>
      <c r="L260" s="2"/>
      <c r="M260" s="2"/>
      <c r="N260" s="7">
        <v>2.0</v>
      </c>
      <c r="O260" s="12">
        <v>59048.0</v>
      </c>
      <c r="P260" s="11" t="s">
        <v>1649</v>
      </c>
      <c r="Q260" s="12">
        <v>59048.0</v>
      </c>
      <c r="R260" s="11" t="s">
        <v>1649</v>
      </c>
      <c r="S260" s="11" t="s">
        <v>1732</v>
      </c>
      <c r="T260" s="11" t="s">
        <v>1733</v>
      </c>
      <c r="U260" s="2" t="s">
        <v>1574</v>
      </c>
      <c r="V260" s="2" t="s">
        <v>1568</v>
      </c>
      <c r="W260" s="2" t="s">
        <v>1569</v>
      </c>
      <c r="X260" s="2" t="s">
        <v>1570</v>
      </c>
      <c r="AB260" s="2" t="s">
        <v>1571</v>
      </c>
    </row>
    <row r="261">
      <c r="A261" s="2" t="s">
        <v>1741</v>
      </c>
      <c r="B261" s="2">
        <v>12.0</v>
      </c>
      <c r="C261" s="2" t="s">
        <v>7</v>
      </c>
      <c r="D261" s="2" t="s">
        <v>1742</v>
      </c>
      <c r="E261" s="2">
        <v>4.0</v>
      </c>
      <c r="F261" s="2" t="s">
        <v>4</v>
      </c>
      <c r="G261" s="5">
        <v>2765284.0</v>
      </c>
      <c r="H261" s="2" t="s">
        <v>1575</v>
      </c>
      <c r="I261" s="2" t="s">
        <v>1580</v>
      </c>
      <c r="J261" s="2">
        <v>10012.0</v>
      </c>
      <c r="K261" s="2" t="s">
        <v>1602</v>
      </c>
      <c r="L261" s="2"/>
      <c r="M261" s="2"/>
      <c r="N261" s="7">
        <v>1.0</v>
      </c>
      <c r="O261" s="12">
        <v>29524.0</v>
      </c>
      <c r="P261" s="11" t="s">
        <v>1649</v>
      </c>
      <c r="Q261" s="12">
        <v>29524.0</v>
      </c>
      <c r="R261" s="11" t="s">
        <v>1649</v>
      </c>
      <c r="S261" s="11" t="s">
        <v>1683</v>
      </c>
      <c r="T261" s="11" t="s">
        <v>1745</v>
      </c>
      <c r="U261" s="2" t="s">
        <v>1574</v>
      </c>
      <c r="V261" s="2" t="s">
        <v>1568</v>
      </c>
      <c r="W261" s="2" t="s">
        <v>1569</v>
      </c>
      <c r="X261" s="2" t="s">
        <v>1570</v>
      </c>
      <c r="AB261" s="2" t="s">
        <v>1571</v>
      </c>
    </row>
    <row r="262">
      <c r="A262" s="2" t="s">
        <v>1741</v>
      </c>
      <c r="B262" s="2">
        <v>12.0</v>
      </c>
      <c r="C262" s="2" t="s">
        <v>7</v>
      </c>
      <c r="D262" s="2" t="s">
        <v>1742</v>
      </c>
      <c r="E262" s="2">
        <v>4.0</v>
      </c>
      <c r="F262" s="2" t="s">
        <v>4</v>
      </c>
      <c r="G262" s="5">
        <v>2764919.0</v>
      </c>
      <c r="H262" s="2" t="s">
        <v>1575</v>
      </c>
      <c r="I262" s="2" t="s">
        <v>1565</v>
      </c>
      <c r="J262" s="2">
        <v>10000.0</v>
      </c>
      <c r="K262" s="2" t="s">
        <v>1566</v>
      </c>
      <c r="L262" s="2"/>
      <c r="M262" s="2"/>
      <c r="N262" s="7">
        <v>1.0</v>
      </c>
      <c r="O262" s="12">
        <v>29524.0</v>
      </c>
      <c r="P262" s="11" t="s">
        <v>1649</v>
      </c>
      <c r="Q262" s="12">
        <v>29524.0</v>
      </c>
      <c r="R262" s="11" t="s">
        <v>1649</v>
      </c>
      <c r="S262" s="11" t="s">
        <v>1683</v>
      </c>
      <c r="T262" s="11" t="s">
        <v>1684</v>
      </c>
      <c r="U262" s="2" t="s">
        <v>1574</v>
      </c>
      <c r="V262" s="2" t="s">
        <v>1568</v>
      </c>
      <c r="W262" s="2" t="s">
        <v>1569</v>
      </c>
      <c r="X262" s="2" t="s">
        <v>1570</v>
      </c>
      <c r="AB262" s="2" t="s">
        <v>1571</v>
      </c>
    </row>
    <row r="263">
      <c r="A263" s="2" t="s">
        <v>1741</v>
      </c>
      <c r="B263" s="2">
        <v>12.0</v>
      </c>
      <c r="C263" s="2" t="s">
        <v>7</v>
      </c>
      <c r="D263" s="2" t="s">
        <v>1742</v>
      </c>
      <c r="E263" s="2">
        <v>4.0</v>
      </c>
      <c r="F263" s="2" t="s">
        <v>4</v>
      </c>
      <c r="G263" s="5">
        <v>2764919.0</v>
      </c>
      <c r="H263" s="2" t="s">
        <v>1575</v>
      </c>
      <c r="I263" s="2" t="s">
        <v>1565</v>
      </c>
      <c r="J263" s="2">
        <v>10005.0</v>
      </c>
      <c r="K263" s="2" t="s">
        <v>1595</v>
      </c>
      <c r="L263" s="2"/>
      <c r="M263" s="2"/>
      <c r="N263" s="7">
        <v>1.0</v>
      </c>
      <c r="O263" s="12">
        <v>19524.0</v>
      </c>
      <c r="P263" s="11" t="s">
        <v>1649</v>
      </c>
      <c r="Q263" s="12">
        <v>19524.0</v>
      </c>
      <c r="R263" s="11" t="s">
        <v>1649</v>
      </c>
      <c r="S263" s="11" t="s">
        <v>1676</v>
      </c>
      <c r="T263" s="11" t="s">
        <v>1677</v>
      </c>
      <c r="U263" s="2" t="s">
        <v>1574</v>
      </c>
      <c r="V263" s="2" t="s">
        <v>1568</v>
      </c>
      <c r="W263" s="2" t="s">
        <v>1569</v>
      </c>
      <c r="X263" s="2" t="s">
        <v>1570</v>
      </c>
      <c r="AB263" s="2" t="s">
        <v>1571</v>
      </c>
    </row>
    <row r="264">
      <c r="A264" s="2" t="s">
        <v>1741</v>
      </c>
      <c r="B264" s="2">
        <v>12.0</v>
      </c>
      <c r="C264" s="2" t="s">
        <v>7</v>
      </c>
      <c r="D264" s="2" t="s">
        <v>1742</v>
      </c>
      <c r="E264" s="2">
        <v>4.0</v>
      </c>
      <c r="F264" s="2" t="s">
        <v>4</v>
      </c>
      <c r="G264" s="5">
        <v>2764919.0</v>
      </c>
      <c r="H264" s="2" t="s">
        <v>1575</v>
      </c>
      <c r="I264" s="2" t="s">
        <v>1572</v>
      </c>
      <c r="J264" s="2">
        <v>10128.0</v>
      </c>
      <c r="K264" s="2" t="s">
        <v>1588</v>
      </c>
      <c r="L264" s="2"/>
      <c r="M264" s="2"/>
      <c r="N264" s="7">
        <v>1.0</v>
      </c>
      <c r="O264" s="12">
        <v>23333.0</v>
      </c>
      <c r="P264" s="11" t="s">
        <v>1649</v>
      </c>
      <c r="Q264" s="12">
        <v>23333.0</v>
      </c>
      <c r="R264" s="11" t="s">
        <v>1649</v>
      </c>
      <c r="S264" s="11" t="s">
        <v>1681</v>
      </c>
      <c r="T264" s="11" t="s">
        <v>1682</v>
      </c>
      <c r="U264" s="2" t="s">
        <v>1574</v>
      </c>
      <c r="V264" s="2" t="s">
        <v>1568</v>
      </c>
      <c r="W264" s="2" t="s">
        <v>1569</v>
      </c>
      <c r="X264" s="2" t="s">
        <v>1570</v>
      </c>
      <c r="AB264" s="2" t="s">
        <v>1571</v>
      </c>
    </row>
    <row r="265">
      <c r="A265" s="2" t="s">
        <v>1741</v>
      </c>
      <c r="B265" s="2">
        <v>12.0</v>
      </c>
      <c r="C265" s="2" t="s">
        <v>7</v>
      </c>
      <c r="D265" s="2" t="s">
        <v>1742</v>
      </c>
      <c r="E265" s="2">
        <v>4.0</v>
      </c>
      <c r="F265" s="2" t="s">
        <v>4</v>
      </c>
      <c r="G265" s="5">
        <v>2764554.0</v>
      </c>
      <c r="H265" s="2" t="s">
        <v>1575</v>
      </c>
      <c r="I265" s="2" t="s">
        <v>1572</v>
      </c>
      <c r="J265" s="2">
        <v>10119.0</v>
      </c>
      <c r="K265" s="2" t="s">
        <v>1582</v>
      </c>
      <c r="L265" s="2"/>
      <c r="M265" s="2"/>
      <c r="N265" s="7">
        <v>1.0</v>
      </c>
      <c r="O265" s="12">
        <v>7143.0</v>
      </c>
      <c r="P265" s="11" t="s">
        <v>1649</v>
      </c>
      <c r="Q265" s="12">
        <v>7143.0</v>
      </c>
      <c r="R265" s="11" t="s">
        <v>1649</v>
      </c>
      <c r="S265" s="11" t="s">
        <v>1672</v>
      </c>
      <c r="T265" s="11" t="s">
        <v>1673</v>
      </c>
      <c r="U265" s="2" t="s">
        <v>1574</v>
      </c>
      <c r="V265" s="2" t="s">
        <v>1568</v>
      </c>
      <c r="W265" s="2" t="s">
        <v>1569</v>
      </c>
      <c r="X265" s="2" t="s">
        <v>1570</v>
      </c>
      <c r="AB265" s="2" t="s">
        <v>1571</v>
      </c>
    </row>
    <row r="266">
      <c r="A266" s="2" t="s">
        <v>1741</v>
      </c>
      <c r="B266" s="2">
        <v>10.0</v>
      </c>
      <c r="C266" s="2" t="s">
        <v>7</v>
      </c>
      <c r="D266" s="2" t="s">
        <v>1742</v>
      </c>
      <c r="E266" s="2">
        <v>4.0</v>
      </c>
      <c r="F266" s="2" t="s">
        <v>4</v>
      </c>
      <c r="G266" s="5">
        <v>2764188.0</v>
      </c>
      <c r="H266" s="2" t="s">
        <v>1575</v>
      </c>
      <c r="I266" s="2" t="s">
        <v>1565</v>
      </c>
      <c r="J266" s="2">
        <v>10000.0</v>
      </c>
      <c r="K266" s="2" t="s">
        <v>1566</v>
      </c>
      <c r="L266" s="2"/>
      <c r="M266" s="2"/>
      <c r="N266" s="7">
        <v>1.0</v>
      </c>
      <c r="O266" s="12">
        <v>29524.0</v>
      </c>
      <c r="P266" s="11" t="s">
        <v>1649</v>
      </c>
      <c r="Q266" s="12">
        <v>29524.0</v>
      </c>
      <c r="R266" s="11" t="s">
        <v>1649</v>
      </c>
      <c r="S266" s="11" t="s">
        <v>1683</v>
      </c>
      <c r="T266" s="11" t="s">
        <v>1684</v>
      </c>
      <c r="U266" s="2" t="s">
        <v>1574</v>
      </c>
      <c r="V266" s="2" t="s">
        <v>1568</v>
      </c>
      <c r="W266" s="2" t="s">
        <v>1569</v>
      </c>
      <c r="X266" s="2" t="s">
        <v>1570</v>
      </c>
      <c r="AB266" s="2" t="s">
        <v>1571</v>
      </c>
    </row>
    <row r="267">
      <c r="A267" s="2" t="s">
        <v>1741</v>
      </c>
      <c r="B267" s="2">
        <v>10.0</v>
      </c>
      <c r="C267" s="2" t="s">
        <v>7</v>
      </c>
      <c r="D267" s="2" t="s">
        <v>1742</v>
      </c>
      <c r="E267" s="2">
        <v>4.0</v>
      </c>
      <c r="F267" s="2" t="s">
        <v>4</v>
      </c>
      <c r="G267" s="5">
        <v>2764188.0</v>
      </c>
      <c r="H267" s="2" t="s">
        <v>1575</v>
      </c>
      <c r="I267" s="2" t="s">
        <v>1565</v>
      </c>
      <c r="J267" s="2">
        <v>10005.0</v>
      </c>
      <c r="K267" s="2" t="s">
        <v>1595</v>
      </c>
      <c r="L267" s="2"/>
      <c r="M267" s="2"/>
      <c r="N267" s="7">
        <v>1.0</v>
      </c>
      <c r="O267" s="12">
        <v>19524.0</v>
      </c>
      <c r="P267" s="11" t="s">
        <v>1649</v>
      </c>
      <c r="Q267" s="12">
        <v>19524.0</v>
      </c>
      <c r="R267" s="11" t="s">
        <v>1649</v>
      </c>
      <c r="S267" s="11" t="s">
        <v>1676</v>
      </c>
      <c r="T267" s="11" t="s">
        <v>1677</v>
      </c>
      <c r="U267" s="2" t="s">
        <v>1574</v>
      </c>
      <c r="V267" s="2" t="s">
        <v>1568</v>
      </c>
      <c r="W267" s="2" t="s">
        <v>1569</v>
      </c>
      <c r="X267" s="2" t="s">
        <v>1570</v>
      </c>
      <c r="AB267" s="2" t="s">
        <v>1571</v>
      </c>
    </row>
    <row r="268">
      <c r="A268" s="2" t="s">
        <v>1741</v>
      </c>
      <c r="B268" s="2">
        <v>10.0</v>
      </c>
      <c r="C268" s="2" t="s">
        <v>7</v>
      </c>
      <c r="D268" s="2" t="s">
        <v>1742</v>
      </c>
      <c r="E268" s="2">
        <v>4.0</v>
      </c>
      <c r="F268" s="2" t="s">
        <v>4</v>
      </c>
      <c r="G268" s="5">
        <v>2764188.0</v>
      </c>
      <c r="H268" s="2" t="s">
        <v>1575</v>
      </c>
      <c r="I268" s="2" t="s">
        <v>1565</v>
      </c>
      <c r="J268" s="2">
        <v>10002.0</v>
      </c>
      <c r="K268" s="2" t="s">
        <v>1576</v>
      </c>
      <c r="L268" s="2"/>
      <c r="M268" s="2"/>
      <c r="N268" s="7">
        <v>1.0</v>
      </c>
      <c r="O268" s="12">
        <v>18571.0</v>
      </c>
      <c r="P268" s="11" t="s">
        <v>1649</v>
      </c>
      <c r="Q268" s="12">
        <v>18571.0</v>
      </c>
      <c r="R268" s="11" t="s">
        <v>1649</v>
      </c>
      <c r="S268" s="11" t="s">
        <v>1656</v>
      </c>
      <c r="T268" s="11" t="s">
        <v>1657</v>
      </c>
      <c r="U268" s="2" t="s">
        <v>1574</v>
      </c>
      <c r="V268" s="2" t="s">
        <v>1568</v>
      </c>
      <c r="W268" s="2" t="s">
        <v>1569</v>
      </c>
      <c r="X268" s="2" t="s">
        <v>1570</v>
      </c>
      <c r="AB268" s="2" t="s">
        <v>1571</v>
      </c>
    </row>
    <row r="269">
      <c r="A269" s="2" t="s">
        <v>1741</v>
      </c>
      <c r="B269" s="2">
        <v>10.0</v>
      </c>
      <c r="C269" s="2" t="s">
        <v>7</v>
      </c>
      <c r="D269" s="2" t="s">
        <v>1742</v>
      </c>
      <c r="E269" s="2">
        <v>4.0</v>
      </c>
      <c r="F269" s="2" t="s">
        <v>4</v>
      </c>
      <c r="G269" s="5">
        <v>2764188.0</v>
      </c>
      <c r="H269" s="2" t="s">
        <v>1575</v>
      </c>
      <c r="I269" s="2" t="s">
        <v>1572</v>
      </c>
      <c r="J269" s="2">
        <v>10128.0</v>
      </c>
      <c r="K269" s="2" t="s">
        <v>1588</v>
      </c>
      <c r="L269" s="2"/>
      <c r="M269" s="2"/>
      <c r="N269" s="7">
        <v>2.0</v>
      </c>
      <c r="O269" s="12">
        <v>46666.0</v>
      </c>
      <c r="P269" s="11" t="s">
        <v>1649</v>
      </c>
      <c r="Q269" s="12">
        <v>46666.0</v>
      </c>
      <c r="R269" s="11" t="s">
        <v>1649</v>
      </c>
      <c r="S269" s="11" t="s">
        <v>1691</v>
      </c>
      <c r="T269" s="11" t="s">
        <v>1692</v>
      </c>
      <c r="U269" s="2" t="s">
        <v>1574</v>
      </c>
      <c r="V269" s="2" t="s">
        <v>1568</v>
      </c>
      <c r="W269" s="2" t="s">
        <v>1569</v>
      </c>
      <c r="X269" s="2" t="s">
        <v>1570</v>
      </c>
      <c r="AB269" s="2" t="s">
        <v>1571</v>
      </c>
    </row>
    <row r="270">
      <c r="A270" s="2" t="s">
        <v>1741</v>
      </c>
      <c r="B270" s="2">
        <v>10.0</v>
      </c>
      <c r="C270" s="2" t="s">
        <v>7</v>
      </c>
      <c r="D270" s="2" t="s">
        <v>1742</v>
      </c>
      <c r="E270" s="2">
        <v>4.0</v>
      </c>
      <c r="F270" s="2" t="s">
        <v>4</v>
      </c>
      <c r="G270" s="5">
        <v>2764188.0</v>
      </c>
      <c r="H270" s="2" t="s">
        <v>1575</v>
      </c>
      <c r="I270" s="2" t="s">
        <v>1572</v>
      </c>
      <c r="J270" s="2">
        <v>10106.0</v>
      </c>
      <c r="K270" s="2" t="s">
        <v>1598</v>
      </c>
      <c r="L270" s="2"/>
      <c r="M270" s="2"/>
      <c r="N270" s="7">
        <v>1.0</v>
      </c>
      <c r="O270" s="12">
        <v>26667.0</v>
      </c>
      <c r="P270" s="11" t="s">
        <v>1649</v>
      </c>
      <c r="Q270" s="12">
        <v>26667.0</v>
      </c>
      <c r="R270" s="11" t="s">
        <v>1649</v>
      </c>
      <c r="S270" s="11" t="s">
        <v>1674</v>
      </c>
      <c r="T270" s="11" t="s">
        <v>1675</v>
      </c>
      <c r="U270" s="2" t="s">
        <v>1574</v>
      </c>
      <c r="V270" s="2" t="s">
        <v>1568</v>
      </c>
      <c r="W270" s="2" t="s">
        <v>1569</v>
      </c>
      <c r="X270" s="2" t="s">
        <v>1570</v>
      </c>
      <c r="AB270" s="2" t="s">
        <v>1571</v>
      </c>
    </row>
    <row r="271">
      <c r="A271" s="2" t="s">
        <v>1741</v>
      </c>
      <c r="B271" s="2">
        <v>10.0</v>
      </c>
      <c r="C271" s="2" t="s">
        <v>7</v>
      </c>
      <c r="D271" s="2" t="s">
        <v>1742</v>
      </c>
      <c r="E271" s="2">
        <v>4.0</v>
      </c>
      <c r="F271" s="2" t="s">
        <v>4</v>
      </c>
      <c r="G271" s="5">
        <v>2764188.0</v>
      </c>
      <c r="H271" s="2" t="s">
        <v>1575</v>
      </c>
      <c r="I271" s="2" t="s">
        <v>1572</v>
      </c>
      <c r="J271" s="2">
        <v>10069.0</v>
      </c>
      <c r="K271" s="2" t="s">
        <v>1620</v>
      </c>
      <c r="L271" s="2"/>
      <c r="M271" s="2"/>
      <c r="N271" s="7">
        <v>1.0</v>
      </c>
      <c r="O271" s="12">
        <v>24762.0</v>
      </c>
      <c r="P271" s="11" t="s">
        <v>1649</v>
      </c>
      <c r="Q271" s="12">
        <v>24762.0</v>
      </c>
      <c r="R271" s="11" t="s">
        <v>1649</v>
      </c>
      <c r="S271" s="11" t="s">
        <v>1689</v>
      </c>
      <c r="T271" s="11" t="s">
        <v>1693</v>
      </c>
      <c r="U271" s="2" t="s">
        <v>1574</v>
      </c>
      <c r="V271" s="2" t="s">
        <v>1568</v>
      </c>
      <c r="W271" s="2" t="s">
        <v>1569</v>
      </c>
      <c r="X271" s="2" t="s">
        <v>1570</v>
      </c>
      <c r="AB271" s="2" t="s">
        <v>1571</v>
      </c>
    </row>
    <row r="272">
      <c r="A272" s="2" t="s">
        <v>1741</v>
      </c>
      <c r="B272" s="2">
        <v>9.0</v>
      </c>
      <c r="C272" s="2" t="s">
        <v>7</v>
      </c>
      <c r="D272" s="2" t="s">
        <v>1742</v>
      </c>
      <c r="E272" s="2">
        <v>4.0</v>
      </c>
      <c r="F272" s="2" t="s">
        <v>4</v>
      </c>
      <c r="G272" s="5">
        <v>2763823.0</v>
      </c>
      <c r="H272" s="2" t="s">
        <v>1575</v>
      </c>
      <c r="I272" s="2" t="s">
        <v>1565</v>
      </c>
      <c r="J272" s="2">
        <v>10005.0</v>
      </c>
      <c r="K272" s="2" t="s">
        <v>1595</v>
      </c>
      <c r="L272" s="2"/>
      <c r="M272" s="2"/>
      <c r="N272" s="7">
        <v>1.0</v>
      </c>
      <c r="O272" s="12">
        <v>19524.0</v>
      </c>
      <c r="P272" s="11" t="s">
        <v>1649</v>
      </c>
      <c r="Q272" s="12">
        <v>19524.0</v>
      </c>
      <c r="R272" s="11" t="s">
        <v>1649</v>
      </c>
      <c r="S272" s="11" t="s">
        <v>1676</v>
      </c>
      <c r="T272" s="11" t="s">
        <v>1677</v>
      </c>
      <c r="U272" s="2" t="s">
        <v>1574</v>
      </c>
      <c r="V272" s="2" t="s">
        <v>1568</v>
      </c>
      <c r="W272" s="2" t="s">
        <v>1569</v>
      </c>
      <c r="X272" s="2" t="s">
        <v>1570</v>
      </c>
      <c r="AB272" s="2" t="s">
        <v>1571</v>
      </c>
    </row>
    <row r="273">
      <c r="A273" s="2" t="s">
        <v>1741</v>
      </c>
      <c r="B273" s="2">
        <v>9.0</v>
      </c>
      <c r="C273" s="2" t="s">
        <v>7</v>
      </c>
      <c r="D273" s="2" t="s">
        <v>1742</v>
      </c>
      <c r="E273" s="2">
        <v>4.0</v>
      </c>
      <c r="F273" s="2" t="s">
        <v>4</v>
      </c>
      <c r="G273" s="5">
        <v>2763823.0</v>
      </c>
      <c r="H273" s="2" t="s">
        <v>1575</v>
      </c>
      <c r="I273" s="2" t="s">
        <v>1565</v>
      </c>
      <c r="J273" s="2">
        <v>10002.0</v>
      </c>
      <c r="K273" s="2" t="s">
        <v>1576</v>
      </c>
      <c r="L273" s="2"/>
      <c r="M273" s="2"/>
      <c r="N273" s="7">
        <v>1.0</v>
      </c>
      <c r="O273" s="12">
        <v>18571.0</v>
      </c>
      <c r="P273" s="11" t="s">
        <v>1649</v>
      </c>
      <c r="Q273" s="12">
        <v>18571.0</v>
      </c>
      <c r="R273" s="11" t="s">
        <v>1649</v>
      </c>
      <c r="S273" s="11" t="s">
        <v>1656</v>
      </c>
      <c r="T273" s="11" t="s">
        <v>1657</v>
      </c>
      <c r="U273" s="2" t="s">
        <v>1574</v>
      </c>
      <c r="V273" s="2" t="s">
        <v>1568</v>
      </c>
      <c r="W273" s="2" t="s">
        <v>1569</v>
      </c>
      <c r="X273" s="2" t="s">
        <v>1570</v>
      </c>
      <c r="AB273" s="2" t="s">
        <v>1571</v>
      </c>
    </row>
    <row r="274">
      <c r="A274" s="2" t="s">
        <v>1741</v>
      </c>
      <c r="B274" s="2">
        <v>9.0</v>
      </c>
      <c r="C274" s="2" t="s">
        <v>7</v>
      </c>
      <c r="D274" s="2" t="s">
        <v>1742</v>
      </c>
      <c r="E274" s="2">
        <v>4.0</v>
      </c>
      <c r="F274" s="2" t="s">
        <v>4</v>
      </c>
      <c r="G274" s="5">
        <v>2763458.0</v>
      </c>
      <c r="H274" s="2" t="s">
        <v>1575</v>
      </c>
      <c r="I274" s="2" t="s">
        <v>1572</v>
      </c>
      <c r="J274" s="2">
        <v>10067.0</v>
      </c>
      <c r="K274" s="2" t="s">
        <v>1621</v>
      </c>
      <c r="L274" s="2"/>
      <c r="M274" s="2"/>
      <c r="N274" s="7">
        <v>1.0</v>
      </c>
      <c r="O274" s="12">
        <v>24762.0</v>
      </c>
      <c r="P274" s="11" t="s">
        <v>1649</v>
      </c>
      <c r="Q274" s="12">
        <v>24762.0</v>
      </c>
      <c r="R274" s="11" t="s">
        <v>1649</v>
      </c>
      <c r="S274" s="11" t="s">
        <v>1689</v>
      </c>
      <c r="T274" s="11" t="s">
        <v>1693</v>
      </c>
      <c r="U274" s="2" t="s">
        <v>1574</v>
      </c>
      <c r="V274" s="2" t="s">
        <v>1568</v>
      </c>
      <c r="W274" s="2" t="s">
        <v>1569</v>
      </c>
      <c r="X274" s="2" t="s">
        <v>1570</v>
      </c>
      <c r="AB274" s="2" t="s">
        <v>1571</v>
      </c>
    </row>
    <row r="275">
      <c r="A275" s="2" t="s">
        <v>1741</v>
      </c>
      <c r="B275" s="2">
        <v>9.0</v>
      </c>
      <c r="C275" s="2" t="s">
        <v>7</v>
      </c>
      <c r="D275" s="2" t="s">
        <v>1742</v>
      </c>
      <c r="E275" s="2">
        <v>4.0</v>
      </c>
      <c r="F275" s="2" t="s">
        <v>4</v>
      </c>
      <c r="G275" s="5">
        <v>2763458.0</v>
      </c>
      <c r="H275" s="2" t="s">
        <v>1575</v>
      </c>
      <c r="I275" s="2" t="s">
        <v>1572</v>
      </c>
      <c r="J275" s="2">
        <v>10128.0</v>
      </c>
      <c r="K275" s="2" t="s">
        <v>1588</v>
      </c>
      <c r="L275" s="2"/>
      <c r="M275" s="2"/>
      <c r="N275" s="7">
        <v>1.0</v>
      </c>
      <c r="O275" s="12">
        <v>23333.0</v>
      </c>
      <c r="P275" s="11" t="s">
        <v>1649</v>
      </c>
      <c r="Q275" s="12">
        <v>23333.0</v>
      </c>
      <c r="R275" s="11" t="s">
        <v>1649</v>
      </c>
      <c r="S275" s="11" t="s">
        <v>1681</v>
      </c>
      <c r="T275" s="11" t="s">
        <v>1682</v>
      </c>
      <c r="U275" s="2" t="s">
        <v>1574</v>
      </c>
      <c r="V275" s="2" t="s">
        <v>1568</v>
      </c>
      <c r="W275" s="2" t="s">
        <v>1569</v>
      </c>
      <c r="X275" s="2" t="s">
        <v>1570</v>
      </c>
      <c r="AB275" s="2" t="s">
        <v>1571</v>
      </c>
    </row>
    <row r="276">
      <c r="A276" s="2" t="s">
        <v>1741</v>
      </c>
      <c r="B276" s="2">
        <v>9.0</v>
      </c>
      <c r="C276" s="2" t="s">
        <v>7</v>
      </c>
      <c r="D276" s="2" t="s">
        <v>1742</v>
      </c>
      <c r="E276" s="2">
        <v>4.0</v>
      </c>
      <c r="F276" s="2" t="s">
        <v>4</v>
      </c>
      <c r="G276" s="5">
        <v>2763458.0</v>
      </c>
      <c r="H276" s="2" t="s">
        <v>1575</v>
      </c>
      <c r="I276" s="2" t="s">
        <v>1565</v>
      </c>
      <c r="J276" s="2">
        <v>10007.0</v>
      </c>
      <c r="K276" s="2" t="s">
        <v>1576</v>
      </c>
      <c r="L276" s="2"/>
      <c r="M276" s="2"/>
      <c r="N276" s="7">
        <v>2.0</v>
      </c>
      <c r="O276" s="12">
        <v>33810.0</v>
      </c>
      <c r="P276" s="11" t="s">
        <v>1649</v>
      </c>
      <c r="Q276" s="12">
        <v>33810.0</v>
      </c>
      <c r="R276" s="11" t="s">
        <v>1649</v>
      </c>
      <c r="S276" s="11" t="s">
        <v>1701</v>
      </c>
      <c r="T276" s="11" t="s">
        <v>1702</v>
      </c>
      <c r="U276" s="2" t="s">
        <v>1574</v>
      </c>
      <c r="V276" s="2" t="s">
        <v>1568</v>
      </c>
      <c r="W276" s="2" t="s">
        <v>1569</v>
      </c>
      <c r="X276" s="2" t="s">
        <v>1570</v>
      </c>
      <c r="AB276" s="2" t="s">
        <v>1571</v>
      </c>
    </row>
    <row r="277">
      <c r="A277" s="2" t="s">
        <v>1746</v>
      </c>
      <c r="B277" s="2">
        <v>21.0</v>
      </c>
      <c r="C277" s="2" t="s">
        <v>6</v>
      </c>
      <c r="D277" s="2" t="s">
        <v>1747</v>
      </c>
      <c r="E277" s="2">
        <v>3.0</v>
      </c>
      <c r="F277" s="2" t="s">
        <v>4</v>
      </c>
      <c r="G277" s="5">
        <v>2763093.0</v>
      </c>
      <c r="H277" s="2" t="s">
        <v>1575</v>
      </c>
      <c r="I277" s="2" t="s">
        <v>1565</v>
      </c>
      <c r="J277" s="2">
        <v>10002.0</v>
      </c>
      <c r="K277" s="2" t="s">
        <v>1576</v>
      </c>
      <c r="L277" s="2"/>
      <c r="M277" s="2"/>
      <c r="N277" s="7">
        <v>1.0</v>
      </c>
      <c r="O277" s="12">
        <v>18571.0</v>
      </c>
      <c r="P277" s="11" t="s">
        <v>1649</v>
      </c>
      <c r="Q277" s="12">
        <v>18571.0</v>
      </c>
      <c r="R277" s="11" t="s">
        <v>1649</v>
      </c>
      <c r="S277" s="11" t="s">
        <v>1656</v>
      </c>
      <c r="T277" s="11" t="s">
        <v>1657</v>
      </c>
      <c r="U277" s="2" t="s">
        <v>1574</v>
      </c>
      <c r="V277" s="2" t="s">
        <v>1568</v>
      </c>
      <c r="W277" s="2" t="s">
        <v>1569</v>
      </c>
      <c r="X277" s="2" t="s">
        <v>1570</v>
      </c>
      <c r="AB277" s="2" t="s">
        <v>1571</v>
      </c>
    </row>
    <row r="278">
      <c r="A278" s="2" t="s">
        <v>1746</v>
      </c>
      <c r="B278" s="2">
        <v>19.0</v>
      </c>
      <c r="C278" s="2" t="s">
        <v>6</v>
      </c>
      <c r="D278" s="2" t="s">
        <v>1747</v>
      </c>
      <c r="E278" s="2">
        <v>3.0</v>
      </c>
      <c r="F278" s="2" t="s">
        <v>4</v>
      </c>
      <c r="G278" s="5">
        <v>2762727.0</v>
      </c>
      <c r="H278" s="2" t="s">
        <v>1575</v>
      </c>
      <c r="I278" s="2" t="s">
        <v>1572</v>
      </c>
      <c r="J278" s="2">
        <v>10122.0</v>
      </c>
      <c r="K278" s="2" t="s">
        <v>1577</v>
      </c>
      <c r="L278" s="2"/>
      <c r="M278" s="2"/>
      <c r="N278" s="7">
        <v>1.0</v>
      </c>
      <c r="O278" s="12">
        <v>21905.0</v>
      </c>
      <c r="P278" s="11" t="s">
        <v>1649</v>
      </c>
      <c r="Q278" s="12">
        <v>21905.0</v>
      </c>
      <c r="R278" s="11" t="s">
        <v>1649</v>
      </c>
      <c r="S278" s="11" t="s">
        <v>1666</v>
      </c>
      <c r="T278" s="11" t="s">
        <v>1667</v>
      </c>
      <c r="U278" s="2" t="s">
        <v>1574</v>
      </c>
      <c r="V278" s="2" t="s">
        <v>1568</v>
      </c>
      <c r="W278" s="2" t="s">
        <v>1569</v>
      </c>
      <c r="X278" s="2" t="s">
        <v>1570</v>
      </c>
      <c r="AB278" s="2" t="s">
        <v>1571</v>
      </c>
    </row>
    <row r="279">
      <c r="A279" s="2" t="s">
        <v>1746</v>
      </c>
      <c r="B279" s="2">
        <v>19.0</v>
      </c>
      <c r="C279" s="2" t="s">
        <v>6</v>
      </c>
      <c r="D279" s="2" t="s">
        <v>1747</v>
      </c>
      <c r="E279" s="2">
        <v>3.0</v>
      </c>
      <c r="F279" s="2" t="s">
        <v>4</v>
      </c>
      <c r="G279" s="5">
        <v>2762727.0</v>
      </c>
      <c r="H279" s="2" t="s">
        <v>1575</v>
      </c>
      <c r="I279" s="2" t="s">
        <v>1572</v>
      </c>
      <c r="J279" s="2">
        <v>10070.0</v>
      </c>
      <c r="K279" s="2" t="s">
        <v>1593</v>
      </c>
      <c r="L279" s="2"/>
      <c r="M279" s="2"/>
      <c r="N279" s="7">
        <v>1.0</v>
      </c>
      <c r="O279" s="12">
        <v>24762.0</v>
      </c>
      <c r="P279" s="11" t="s">
        <v>1649</v>
      </c>
      <c r="Q279" s="12">
        <v>24762.0</v>
      </c>
      <c r="R279" s="11" t="s">
        <v>1649</v>
      </c>
      <c r="S279" s="11" t="s">
        <v>1689</v>
      </c>
      <c r="T279" s="11" t="s">
        <v>1693</v>
      </c>
      <c r="U279" s="2" t="s">
        <v>1574</v>
      </c>
      <c r="V279" s="2" t="s">
        <v>1568</v>
      </c>
      <c r="W279" s="2" t="s">
        <v>1569</v>
      </c>
      <c r="X279" s="2" t="s">
        <v>1570</v>
      </c>
      <c r="AB279" s="2" t="s">
        <v>1571</v>
      </c>
    </row>
    <row r="280">
      <c r="A280" s="2" t="s">
        <v>1746</v>
      </c>
      <c r="B280" s="2">
        <v>18.0</v>
      </c>
      <c r="C280" s="2" t="s">
        <v>6</v>
      </c>
      <c r="D280" s="2" t="s">
        <v>1747</v>
      </c>
      <c r="E280" s="2">
        <v>3.0</v>
      </c>
      <c r="F280" s="2" t="s">
        <v>4</v>
      </c>
      <c r="G280" s="5">
        <v>2762362.0</v>
      </c>
      <c r="H280" s="2" t="s">
        <v>1575</v>
      </c>
      <c r="I280" s="2" t="s">
        <v>1565</v>
      </c>
      <c r="J280" s="2">
        <v>10000.0</v>
      </c>
      <c r="K280" s="2" t="s">
        <v>1566</v>
      </c>
      <c r="L280" s="2"/>
      <c r="M280" s="2"/>
      <c r="N280" s="7">
        <v>1.0</v>
      </c>
      <c r="O280" s="12">
        <v>29524.0</v>
      </c>
      <c r="P280" s="11" t="s">
        <v>1649</v>
      </c>
      <c r="Q280" s="12">
        <v>29524.0</v>
      </c>
      <c r="R280" s="11" t="s">
        <v>1649</v>
      </c>
      <c r="S280" s="11" t="s">
        <v>1683</v>
      </c>
      <c r="T280" s="11" t="s">
        <v>1684</v>
      </c>
      <c r="U280" s="2" t="s">
        <v>1574</v>
      </c>
      <c r="V280" s="2" t="s">
        <v>1568</v>
      </c>
      <c r="W280" s="2" t="s">
        <v>1569</v>
      </c>
      <c r="X280" s="2" t="s">
        <v>1570</v>
      </c>
      <c r="AB280" s="2" t="s">
        <v>1571</v>
      </c>
    </row>
    <row r="281">
      <c r="A281" s="2" t="s">
        <v>1746</v>
      </c>
      <c r="B281" s="2">
        <v>18.0</v>
      </c>
      <c r="C281" s="2" t="s">
        <v>6</v>
      </c>
      <c r="D281" s="2" t="s">
        <v>1747</v>
      </c>
      <c r="E281" s="2">
        <v>3.0</v>
      </c>
      <c r="F281" s="2" t="s">
        <v>4</v>
      </c>
      <c r="G281" s="5">
        <v>2762362.0</v>
      </c>
      <c r="H281" s="2" t="s">
        <v>1575</v>
      </c>
      <c r="I281" s="2" t="s">
        <v>1572</v>
      </c>
      <c r="J281" s="2">
        <v>10117.0</v>
      </c>
      <c r="K281" s="2" t="s">
        <v>1589</v>
      </c>
      <c r="L281" s="2"/>
      <c r="M281" s="2"/>
      <c r="N281" s="7">
        <v>1.0</v>
      </c>
      <c r="O281" s="12">
        <v>14286.0</v>
      </c>
      <c r="P281" s="11" t="s">
        <v>1649</v>
      </c>
      <c r="Q281" s="12">
        <v>14286.0</v>
      </c>
      <c r="R281" s="11" t="s">
        <v>1649</v>
      </c>
      <c r="S281" s="11" t="s">
        <v>1685</v>
      </c>
      <c r="T281" s="11" t="s">
        <v>1708</v>
      </c>
      <c r="U281" s="2" t="s">
        <v>1574</v>
      </c>
      <c r="V281" s="2" t="s">
        <v>1568</v>
      </c>
      <c r="W281" s="2" t="s">
        <v>1569</v>
      </c>
      <c r="X281" s="2" t="s">
        <v>1570</v>
      </c>
      <c r="AB281" s="2" t="s">
        <v>1571</v>
      </c>
    </row>
    <row r="282">
      <c r="A282" s="2" t="s">
        <v>1746</v>
      </c>
      <c r="B282" s="2">
        <v>18.0</v>
      </c>
      <c r="C282" s="2" t="s">
        <v>6</v>
      </c>
      <c r="D282" s="2" t="s">
        <v>1747</v>
      </c>
      <c r="E282" s="2">
        <v>3.0</v>
      </c>
      <c r="F282" s="2" t="s">
        <v>4</v>
      </c>
      <c r="G282" s="5">
        <v>2762362.0</v>
      </c>
      <c r="H282" s="2" t="s">
        <v>1575</v>
      </c>
      <c r="I282" s="2" t="s">
        <v>1572</v>
      </c>
      <c r="J282" s="2">
        <v>10118.0</v>
      </c>
      <c r="K282" s="2" t="s">
        <v>1604</v>
      </c>
      <c r="L282" s="2"/>
      <c r="M282" s="2"/>
      <c r="N282" s="7">
        <v>1.0</v>
      </c>
      <c r="O282" s="12">
        <v>7143.0</v>
      </c>
      <c r="P282" s="11" t="s">
        <v>1649</v>
      </c>
      <c r="Q282" s="12">
        <v>7143.0</v>
      </c>
      <c r="R282" s="11" t="s">
        <v>1649</v>
      </c>
      <c r="S282" s="11" t="s">
        <v>1672</v>
      </c>
      <c r="T282" s="11" t="s">
        <v>1673</v>
      </c>
      <c r="U282" s="2" t="s">
        <v>1574</v>
      </c>
      <c r="V282" s="2" t="s">
        <v>1568</v>
      </c>
      <c r="W282" s="2" t="s">
        <v>1569</v>
      </c>
      <c r="X282" s="2" t="s">
        <v>1570</v>
      </c>
      <c r="AB282" s="2" t="s">
        <v>1571</v>
      </c>
    </row>
    <row r="283">
      <c r="A283" s="2" t="s">
        <v>1746</v>
      </c>
      <c r="B283" s="2">
        <v>18.0</v>
      </c>
      <c r="C283" s="2" t="s">
        <v>6</v>
      </c>
      <c r="D283" s="2" t="s">
        <v>1747</v>
      </c>
      <c r="E283" s="2">
        <v>3.0</v>
      </c>
      <c r="F283" s="2" t="s">
        <v>4</v>
      </c>
      <c r="G283" s="5">
        <v>2762362.0</v>
      </c>
      <c r="H283" s="2" t="s">
        <v>1575</v>
      </c>
      <c r="I283" s="2" t="s">
        <v>1572</v>
      </c>
      <c r="J283" s="2">
        <v>10120.0</v>
      </c>
      <c r="K283" s="2" t="s">
        <v>1590</v>
      </c>
      <c r="L283" s="2"/>
      <c r="M283" s="2"/>
      <c r="N283" s="7">
        <v>2.0</v>
      </c>
      <c r="O283" s="12">
        <v>39048.0</v>
      </c>
      <c r="P283" s="11" t="s">
        <v>1649</v>
      </c>
      <c r="Q283" s="12">
        <v>39048.0</v>
      </c>
      <c r="R283" s="11" t="s">
        <v>1649</v>
      </c>
      <c r="S283" s="11" t="s">
        <v>1748</v>
      </c>
      <c r="T283" s="11" t="s">
        <v>1749</v>
      </c>
      <c r="U283" s="2" t="s">
        <v>1574</v>
      </c>
      <c r="V283" s="2" t="s">
        <v>1568</v>
      </c>
      <c r="W283" s="2" t="s">
        <v>1569</v>
      </c>
      <c r="X283" s="2" t="s">
        <v>1570</v>
      </c>
      <c r="AB283" s="2" t="s">
        <v>1571</v>
      </c>
    </row>
    <row r="284">
      <c r="A284" s="2" t="s">
        <v>1746</v>
      </c>
      <c r="B284" s="2">
        <v>18.0</v>
      </c>
      <c r="C284" s="2" t="s">
        <v>6</v>
      </c>
      <c r="D284" s="2" t="s">
        <v>1747</v>
      </c>
      <c r="E284" s="2">
        <v>3.0</v>
      </c>
      <c r="F284" s="2" t="s">
        <v>4</v>
      </c>
      <c r="G284" s="5">
        <v>2762362.0</v>
      </c>
      <c r="H284" s="2" t="s">
        <v>1575</v>
      </c>
      <c r="I284" s="2" t="s">
        <v>1572</v>
      </c>
      <c r="J284" s="2">
        <v>10122.0</v>
      </c>
      <c r="K284" s="2" t="s">
        <v>1577</v>
      </c>
      <c r="L284" s="2"/>
      <c r="M284" s="2"/>
      <c r="N284" s="7">
        <v>1.0</v>
      </c>
      <c r="O284" s="12">
        <v>21905.0</v>
      </c>
      <c r="P284" s="11" t="s">
        <v>1649</v>
      </c>
      <c r="Q284" s="12">
        <v>21905.0</v>
      </c>
      <c r="R284" s="11" t="s">
        <v>1649</v>
      </c>
      <c r="S284" s="11" t="s">
        <v>1666</v>
      </c>
      <c r="T284" s="11" t="s">
        <v>1667</v>
      </c>
      <c r="U284" s="2" t="s">
        <v>1574</v>
      </c>
      <c r="V284" s="2" t="s">
        <v>1568</v>
      </c>
      <c r="W284" s="2" t="s">
        <v>1569</v>
      </c>
      <c r="X284" s="2" t="s">
        <v>1570</v>
      </c>
      <c r="AB284" s="2" t="s">
        <v>1571</v>
      </c>
    </row>
    <row r="285">
      <c r="A285" s="2" t="s">
        <v>1746</v>
      </c>
      <c r="B285" s="2">
        <v>18.0</v>
      </c>
      <c r="C285" s="2" t="s">
        <v>6</v>
      </c>
      <c r="D285" s="2" t="s">
        <v>1747</v>
      </c>
      <c r="E285" s="2">
        <v>3.0</v>
      </c>
      <c r="F285" s="2" t="s">
        <v>4</v>
      </c>
      <c r="G285" s="5">
        <v>2762362.0</v>
      </c>
      <c r="H285" s="2" t="s">
        <v>1575</v>
      </c>
      <c r="I285" s="2" t="s">
        <v>1578</v>
      </c>
      <c r="J285" s="2">
        <v>10010.0</v>
      </c>
      <c r="K285" s="2" t="s">
        <v>1606</v>
      </c>
      <c r="L285" s="2"/>
      <c r="M285" s="2"/>
      <c r="N285" s="7">
        <v>1.0</v>
      </c>
      <c r="O285" s="12">
        <v>25238.0</v>
      </c>
      <c r="P285" s="11" t="s">
        <v>1649</v>
      </c>
      <c r="Q285" s="12">
        <v>25238.0</v>
      </c>
      <c r="R285" s="11" t="s">
        <v>1649</v>
      </c>
      <c r="S285" s="11" t="s">
        <v>1660</v>
      </c>
      <c r="T285" s="11" t="s">
        <v>1680</v>
      </c>
      <c r="U285" s="2" t="s">
        <v>1574</v>
      </c>
      <c r="V285" s="2" t="s">
        <v>1568</v>
      </c>
      <c r="W285" s="2" t="s">
        <v>1569</v>
      </c>
      <c r="X285" s="2" t="s">
        <v>1570</v>
      </c>
      <c r="AB285" s="2" t="s">
        <v>1571</v>
      </c>
    </row>
    <row r="286">
      <c r="A286" s="2" t="s">
        <v>1746</v>
      </c>
      <c r="B286" s="2">
        <v>18.0</v>
      </c>
      <c r="C286" s="2" t="s">
        <v>6</v>
      </c>
      <c r="D286" s="2" t="s">
        <v>1747</v>
      </c>
      <c r="E286" s="2">
        <v>3.0</v>
      </c>
      <c r="F286" s="2" t="s">
        <v>4</v>
      </c>
      <c r="G286" s="5">
        <v>2762362.0</v>
      </c>
      <c r="H286" s="2" t="s">
        <v>1575</v>
      </c>
      <c r="I286" s="2" t="s">
        <v>1578</v>
      </c>
      <c r="J286" s="2">
        <v>10004.0</v>
      </c>
      <c r="K286" s="2" t="s">
        <v>1607</v>
      </c>
      <c r="L286" s="2"/>
      <c r="M286" s="2"/>
      <c r="N286" s="7">
        <v>1.0</v>
      </c>
      <c r="O286" s="12">
        <v>25238.0</v>
      </c>
      <c r="P286" s="11" t="s">
        <v>1649</v>
      </c>
      <c r="Q286" s="12">
        <v>25238.0</v>
      </c>
      <c r="R286" s="11" t="s">
        <v>1649</v>
      </c>
      <c r="S286" s="11" t="s">
        <v>1660</v>
      </c>
      <c r="T286" s="11" t="s">
        <v>1680</v>
      </c>
      <c r="U286" s="2" t="s">
        <v>1574</v>
      </c>
      <c r="V286" s="2" t="s">
        <v>1568</v>
      </c>
      <c r="W286" s="2" t="s">
        <v>1569</v>
      </c>
      <c r="X286" s="2" t="s">
        <v>1570</v>
      </c>
      <c r="AB286" s="2" t="s">
        <v>1571</v>
      </c>
    </row>
    <row r="287">
      <c r="A287" s="2" t="s">
        <v>1746</v>
      </c>
      <c r="B287" s="2">
        <v>18.0</v>
      </c>
      <c r="C287" s="2" t="s">
        <v>6</v>
      </c>
      <c r="D287" s="2" t="s">
        <v>1747</v>
      </c>
      <c r="E287" s="2">
        <v>3.0</v>
      </c>
      <c r="F287" s="2" t="s">
        <v>4</v>
      </c>
      <c r="G287" s="5">
        <v>2762362.0</v>
      </c>
      <c r="H287" s="2" t="s">
        <v>1575</v>
      </c>
      <c r="I287" s="2" t="s">
        <v>1572</v>
      </c>
      <c r="J287" s="2">
        <v>10112.0</v>
      </c>
      <c r="K287" s="2" t="s">
        <v>1573</v>
      </c>
      <c r="L287" s="2"/>
      <c r="M287" s="2"/>
      <c r="N287" s="7">
        <v>1.0</v>
      </c>
      <c r="O287" s="12">
        <v>6667.0</v>
      </c>
      <c r="P287" s="11" t="s">
        <v>1649</v>
      </c>
      <c r="Q287" s="12">
        <v>6667.0</v>
      </c>
      <c r="R287" s="11" t="s">
        <v>1649</v>
      </c>
      <c r="S287" s="11" t="s">
        <v>1734</v>
      </c>
      <c r="T287" s="11" t="s">
        <v>1738</v>
      </c>
      <c r="U287" s="2" t="s">
        <v>1574</v>
      </c>
      <c r="V287" s="2" t="s">
        <v>1568</v>
      </c>
      <c r="W287" s="2" t="s">
        <v>1569</v>
      </c>
      <c r="X287" s="2" t="s">
        <v>1570</v>
      </c>
      <c r="AB287" s="2" t="s">
        <v>1571</v>
      </c>
    </row>
    <row r="288">
      <c r="A288" s="2" t="s">
        <v>1746</v>
      </c>
      <c r="B288" s="2">
        <v>18.0</v>
      </c>
      <c r="C288" s="2" t="s">
        <v>6</v>
      </c>
      <c r="D288" s="2" t="s">
        <v>1747</v>
      </c>
      <c r="E288" s="2">
        <v>3.0</v>
      </c>
      <c r="F288" s="2" t="s">
        <v>4</v>
      </c>
      <c r="G288" s="5">
        <v>2762362.0</v>
      </c>
      <c r="H288" s="2" t="s">
        <v>1575</v>
      </c>
      <c r="I288" s="2" t="s">
        <v>1578</v>
      </c>
      <c r="J288" s="2">
        <v>10014.0</v>
      </c>
      <c r="K288" s="2" t="s">
        <v>1609</v>
      </c>
      <c r="L288" s="2"/>
      <c r="M288" s="2"/>
      <c r="N288" s="7">
        <v>1.0</v>
      </c>
      <c r="O288" s="12">
        <v>25238.0</v>
      </c>
      <c r="P288" s="11" t="s">
        <v>1649</v>
      </c>
      <c r="Q288" s="12">
        <v>25238.0</v>
      </c>
      <c r="R288" s="11" t="s">
        <v>1649</v>
      </c>
      <c r="S288" s="11" t="s">
        <v>1660</v>
      </c>
      <c r="T288" s="11" t="s">
        <v>1680</v>
      </c>
      <c r="U288" s="2" t="s">
        <v>1574</v>
      </c>
      <c r="V288" s="2" t="s">
        <v>1568</v>
      </c>
      <c r="W288" s="2" t="s">
        <v>1569</v>
      </c>
      <c r="X288" s="2" t="s">
        <v>1570</v>
      </c>
      <c r="AB288" s="2" t="s">
        <v>1571</v>
      </c>
    </row>
    <row r="289">
      <c r="A289" s="2" t="s">
        <v>1746</v>
      </c>
      <c r="B289" s="2">
        <v>18.0</v>
      </c>
      <c r="C289" s="2" t="s">
        <v>6</v>
      </c>
      <c r="D289" s="2" t="s">
        <v>1747</v>
      </c>
      <c r="E289" s="2">
        <v>3.0</v>
      </c>
      <c r="F289" s="2" t="s">
        <v>4</v>
      </c>
      <c r="G289" s="5">
        <v>2762362.0</v>
      </c>
      <c r="H289" s="2" t="s">
        <v>1575</v>
      </c>
      <c r="I289" s="2" t="s">
        <v>1565</v>
      </c>
      <c r="J289" s="2">
        <v>10039.0</v>
      </c>
      <c r="K289" s="2" t="s">
        <v>1622</v>
      </c>
      <c r="L289" s="2"/>
      <c r="M289" s="2"/>
      <c r="N289" s="7">
        <v>1.0</v>
      </c>
      <c r="O289" s="12">
        <v>21905.0</v>
      </c>
      <c r="P289" s="11" t="s">
        <v>1649</v>
      </c>
      <c r="Q289" s="12">
        <v>21905.0</v>
      </c>
      <c r="R289" s="11" t="s">
        <v>1649</v>
      </c>
      <c r="S289" s="11" t="s">
        <v>1666</v>
      </c>
      <c r="T289" s="11" t="s">
        <v>1687</v>
      </c>
      <c r="U289" s="2" t="s">
        <v>1574</v>
      </c>
      <c r="V289" s="2" t="s">
        <v>1568</v>
      </c>
      <c r="W289" s="2" t="s">
        <v>1569</v>
      </c>
      <c r="X289" s="2" t="s">
        <v>1570</v>
      </c>
      <c r="AB289" s="2" t="s">
        <v>1571</v>
      </c>
    </row>
    <row r="290">
      <c r="A290" s="2" t="s">
        <v>1750</v>
      </c>
      <c r="B290" s="2">
        <v>20.0</v>
      </c>
      <c r="C290" s="2" t="s">
        <v>5</v>
      </c>
      <c r="D290" s="2" t="s">
        <v>1751</v>
      </c>
      <c r="E290" s="2">
        <v>2.0</v>
      </c>
      <c r="F290" s="2" t="s">
        <v>4</v>
      </c>
      <c r="G290" s="5">
        <v>2761997.0</v>
      </c>
      <c r="H290" s="2" t="s">
        <v>1575</v>
      </c>
      <c r="I290" s="2" t="s">
        <v>1565</v>
      </c>
      <c r="J290" s="2">
        <v>10034.0</v>
      </c>
      <c r="K290" s="2" t="s">
        <v>1616</v>
      </c>
      <c r="L290" s="2"/>
      <c r="M290" s="2"/>
      <c r="N290" s="7">
        <v>1.0</v>
      </c>
      <c r="O290" s="12">
        <v>21905.0</v>
      </c>
      <c r="P290" s="11" t="s">
        <v>1649</v>
      </c>
      <c r="Q290" s="12">
        <v>21905.0</v>
      </c>
      <c r="R290" s="11" t="s">
        <v>1649</v>
      </c>
      <c r="S290" s="11" t="s">
        <v>1666</v>
      </c>
      <c r="T290" s="11" t="s">
        <v>1667</v>
      </c>
      <c r="U290" s="2" t="s">
        <v>1574</v>
      </c>
      <c r="V290" s="2" t="s">
        <v>1568</v>
      </c>
      <c r="W290" s="2" t="s">
        <v>1569</v>
      </c>
      <c r="X290" s="2" t="s">
        <v>1570</v>
      </c>
      <c r="AB290" s="2" t="s">
        <v>1571</v>
      </c>
    </row>
    <row r="291">
      <c r="A291" s="2" t="s">
        <v>1750</v>
      </c>
      <c r="B291" s="2">
        <v>20.0</v>
      </c>
      <c r="C291" s="2" t="s">
        <v>5</v>
      </c>
      <c r="D291" s="2" t="s">
        <v>1751</v>
      </c>
      <c r="E291" s="2">
        <v>2.0</v>
      </c>
      <c r="F291" s="2" t="s">
        <v>4</v>
      </c>
      <c r="G291" s="5">
        <v>2761632.0</v>
      </c>
      <c r="H291" s="2" t="s">
        <v>1575</v>
      </c>
      <c r="I291" s="2" t="s">
        <v>1565</v>
      </c>
      <c r="J291" s="2">
        <v>10033.0</v>
      </c>
      <c r="K291" s="2" t="s">
        <v>1615</v>
      </c>
      <c r="L291" s="2"/>
      <c r="M291" s="2"/>
      <c r="N291" s="7">
        <v>1.0</v>
      </c>
      <c r="O291" s="12">
        <v>21905.0</v>
      </c>
      <c r="P291" s="11" t="s">
        <v>1649</v>
      </c>
      <c r="Q291" s="12">
        <v>21905.0</v>
      </c>
      <c r="R291" s="11" t="s">
        <v>1649</v>
      </c>
      <c r="S291" s="11" t="s">
        <v>1666</v>
      </c>
      <c r="T291" s="11" t="s">
        <v>1667</v>
      </c>
      <c r="U291" s="2" t="s">
        <v>1574</v>
      </c>
      <c r="V291" s="2" t="s">
        <v>1568</v>
      </c>
      <c r="W291" s="2" t="s">
        <v>1569</v>
      </c>
      <c r="X291" s="2" t="s">
        <v>1570</v>
      </c>
      <c r="AB291" s="2" t="s">
        <v>1571</v>
      </c>
    </row>
    <row r="292">
      <c r="A292" s="2" t="s">
        <v>1750</v>
      </c>
      <c r="B292" s="2">
        <v>20.0</v>
      </c>
      <c r="C292" s="2" t="s">
        <v>5</v>
      </c>
      <c r="D292" s="2" t="s">
        <v>1751</v>
      </c>
      <c r="E292" s="2">
        <v>2.0</v>
      </c>
      <c r="F292" s="2" t="s">
        <v>4</v>
      </c>
      <c r="G292" s="5">
        <v>2761266.0</v>
      </c>
      <c r="H292" s="2" t="s">
        <v>1575</v>
      </c>
      <c r="I292" s="2" t="s">
        <v>1565</v>
      </c>
      <c r="J292" s="2">
        <v>10007.0</v>
      </c>
      <c r="K292" s="2" t="s">
        <v>1576</v>
      </c>
      <c r="L292" s="2"/>
      <c r="M292" s="2"/>
      <c r="N292" s="7">
        <v>2.0</v>
      </c>
      <c r="O292" s="12">
        <v>67620.0</v>
      </c>
      <c r="P292" s="11" t="s">
        <v>1649</v>
      </c>
      <c r="Q292" s="12">
        <v>67620.0</v>
      </c>
      <c r="R292" s="11" t="s">
        <v>1649</v>
      </c>
      <c r="S292" s="11" t="s">
        <v>1723</v>
      </c>
      <c r="T292" s="11" t="s">
        <v>1724</v>
      </c>
      <c r="U292" s="2" t="s">
        <v>1574</v>
      </c>
      <c r="V292" s="2" t="s">
        <v>1568</v>
      </c>
      <c r="W292" s="2" t="s">
        <v>1569</v>
      </c>
      <c r="X292" s="2" t="s">
        <v>1570</v>
      </c>
      <c r="AB292" s="2" t="s">
        <v>1571</v>
      </c>
    </row>
    <row r="293">
      <c r="A293" s="2" t="s">
        <v>1750</v>
      </c>
      <c r="B293" s="2">
        <v>19.0</v>
      </c>
      <c r="C293" s="2" t="s">
        <v>5</v>
      </c>
      <c r="D293" s="2" t="s">
        <v>1751</v>
      </c>
      <c r="E293" s="2">
        <v>2.0</v>
      </c>
      <c r="F293" s="2" t="s">
        <v>4</v>
      </c>
      <c r="G293" s="5">
        <v>2760901.0</v>
      </c>
      <c r="H293" s="2" t="s">
        <v>1575</v>
      </c>
      <c r="I293" s="2" t="s">
        <v>1572</v>
      </c>
      <c r="J293" s="2">
        <v>10125.0</v>
      </c>
      <c r="K293" s="2" t="s">
        <v>1601</v>
      </c>
      <c r="L293" s="2"/>
      <c r="M293" s="2"/>
      <c r="N293" s="7">
        <v>1.0</v>
      </c>
      <c r="O293" s="12">
        <v>20476.0</v>
      </c>
      <c r="P293" s="11" t="s">
        <v>1649</v>
      </c>
      <c r="Q293" s="12">
        <v>20476.0</v>
      </c>
      <c r="R293" s="11" t="s">
        <v>1649</v>
      </c>
      <c r="S293" s="11" t="s">
        <v>1716</v>
      </c>
      <c r="T293" s="11" t="s">
        <v>1717</v>
      </c>
      <c r="U293" s="2" t="s">
        <v>1574</v>
      </c>
      <c r="V293" s="2" t="s">
        <v>1568</v>
      </c>
      <c r="W293" s="2" t="s">
        <v>1569</v>
      </c>
      <c r="X293" s="2" t="s">
        <v>1570</v>
      </c>
      <c r="AB293" s="2" t="s">
        <v>1571</v>
      </c>
    </row>
    <row r="294">
      <c r="A294" s="2" t="s">
        <v>1750</v>
      </c>
      <c r="B294" s="2">
        <v>19.0</v>
      </c>
      <c r="C294" s="2" t="s">
        <v>5</v>
      </c>
      <c r="D294" s="2" t="s">
        <v>1751</v>
      </c>
      <c r="E294" s="2">
        <v>2.0</v>
      </c>
      <c r="F294" s="2" t="s">
        <v>4</v>
      </c>
      <c r="G294" s="5">
        <v>2760901.0</v>
      </c>
      <c r="H294" s="2" t="s">
        <v>1575</v>
      </c>
      <c r="I294" s="2" t="s">
        <v>1572</v>
      </c>
      <c r="J294" s="2">
        <v>10122.0</v>
      </c>
      <c r="K294" s="2" t="s">
        <v>1577</v>
      </c>
      <c r="L294" s="2"/>
      <c r="M294" s="2"/>
      <c r="N294" s="7">
        <v>1.0</v>
      </c>
      <c r="O294" s="12">
        <v>21905.0</v>
      </c>
      <c r="P294" s="11" t="s">
        <v>1649</v>
      </c>
      <c r="Q294" s="12">
        <v>21905.0</v>
      </c>
      <c r="R294" s="11" t="s">
        <v>1649</v>
      </c>
      <c r="S294" s="11" t="s">
        <v>1666</v>
      </c>
      <c r="T294" s="11" t="s">
        <v>1667</v>
      </c>
      <c r="U294" s="2" t="s">
        <v>1574</v>
      </c>
      <c r="V294" s="2" t="s">
        <v>1568</v>
      </c>
      <c r="W294" s="2" t="s">
        <v>1569</v>
      </c>
      <c r="X294" s="2" t="s">
        <v>1570</v>
      </c>
      <c r="AB294" s="2" t="s">
        <v>1571</v>
      </c>
    </row>
    <row r="295">
      <c r="A295" s="2" t="s">
        <v>1750</v>
      </c>
      <c r="B295" s="2">
        <v>19.0</v>
      </c>
      <c r="C295" s="2" t="s">
        <v>5</v>
      </c>
      <c r="D295" s="2" t="s">
        <v>1751</v>
      </c>
      <c r="E295" s="2">
        <v>2.0</v>
      </c>
      <c r="F295" s="2" t="s">
        <v>4</v>
      </c>
      <c r="G295" s="5">
        <v>2760901.0</v>
      </c>
      <c r="H295" s="2" t="s">
        <v>1575</v>
      </c>
      <c r="I295" s="2" t="s">
        <v>1565</v>
      </c>
      <c r="J295" s="2">
        <v>10025.0</v>
      </c>
      <c r="K295" s="2" t="s">
        <v>1623</v>
      </c>
      <c r="L295" s="2"/>
      <c r="M295" s="2"/>
      <c r="N295" s="7">
        <v>1.0</v>
      </c>
      <c r="O295" s="12">
        <v>24762.0</v>
      </c>
      <c r="P295" s="11" t="s">
        <v>1649</v>
      </c>
      <c r="Q295" s="12">
        <v>24762.0</v>
      </c>
      <c r="R295" s="11" t="s">
        <v>1649</v>
      </c>
      <c r="S295" s="11" t="s">
        <v>1689</v>
      </c>
      <c r="T295" s="11" t="s">
        <v>1693</v>
      </c>
      <c r="U295" s="2" t="s">
        <v>1574</v>
      </c>
      <c r="V295" s="2" t="s">
        <v>1568</v>
      </c>
      <c r="W295" s="2" t="s">
        <v>1569</v>
      </c>
      <c r="X295" s="2" t="s">
        <v>1570</v>
      </c>
      <c r="AB295" s="2" t="s">
        <v>1571</v>
      </c>
    </row>
    <row r="296">
      <c r="A296" s="2" t="s">
        <v>1750</v>
      </c>
      <c r="B296" s="2">
        <v>19.0</v>
      </c>
      <c r="C296" s="2" t="s">
        <v>5</v>
      </c>
      <c r="D296" s="2" t="s">
        <v>1751</v>
      </c>
      <c r="E296" s="2">
        <v>2.0</v>
      </c>
      <c r="F296" s="2" t="s">
        <v>4</v>
      </c>
      <c r="G296" s="5">
        <v>2760901.0</v>
      </c>
      <c r="H296" s="2" t="s">
        <v>1575</v>
      </c>
      <c r="I296" s="2" t="s">
        <v>1578</v>
      </c>
      <c r="J296" s="2">
        <v>10004.0</v>
      </c>
      <c r="K296" s="2" t="s">
        <v>1607</v>
      </c>
      <c r="L296" s="2"/>
      <c r="M296" s="2"/>
      <c r="N296" s="7">
        <v>1.0</v>
      </c>
      <c r="O296" s="12">
        <v>25238.0</v>
      </c>
      <c r="P296" s="11" t="s">
        <v>1649</v>
      </c>
      <c r="Q296" s="12">
        <v>25238.0</v>
      </c>
      <c r="R296" s="11" t="s">
        <v>1649</v>
      </c>
      <c r="S296" s="11" t="s">
        <v>1660</v>
      </c>
      <c r="T296" s="11" t="s">
        <v>1680</v>
      </c>
      <c r="U296" s="2" t="s">
        <v>1574</v>
      </c>
      <c r="V296" s="2" t="s">
        <v>1568</v>
      </c>
      <c r="W296" s="2" t="s">
        <v>1569</v>
      </c>
      <c r="X296" s="2" t="s">
        <v>1570</v>
      </c>
      <c r="AB296" s="2" t="s">
        <v>1571</v>
      </c>
    </row>
    <row r="297">
      <c r="A297" s="2" t="s">
        <v>1750</v>
      </c>
      <c r="B297" s="2">
        <v>19.0</v>
      </c>
      <c r="C297" s="2" t="s">
        <v>5</v>
      </c>
      <c r="D297" s="2" t="s">
        <v>1751</v>
      </c>
      <c r="E297" s="2">
        <v>2.0</v>
      </c>
      <c r="F297" s="2" t="s">
        <v>4</v>
      </c>
      <c r="G297" s="5">
        <v>2760536.0</v>
      </c>
      <c r="H297" s="2" t="s">
        <v>1575</v>
      </c>
      <c r="I297" s="2" t="s">
        <v>1572</v>
      </c>
      <c r="J297" s="2">
        <v>10026.0</v>
      </c>
      <c r="K297" s="2" t="s">
        <v>1583</v>
      </c>
      <c r="L297" s="2"/>
      <c r="M297" s="2"/>
      <c r="N297" s="7">
        <v>1.0</v>
      </c>
      <c r="O297" s="12">
        <v>21905.0</v>
      </c>
      <c r="P297" s="11" t="s">
        <v>1649</v>
      </c>
      <c r="Q297" s="12">
        <v>21905.0</v>
      </c>
      <c r="R297" s="11" t="s">
        <v>1649</v>
      </c>
      <c r="S297" s="11" t="s">
        <v>1666</v>
      </c>
      <c r="T297" s="11" t="s">
        <v>1667</v>
      </c>
      <c r="U297" s="2" t="s">
        <v>1574</v>
      </c>
      <c r="V297" s="2" t="s">
        <v>1568</v>
      </c>
      <c r="W297" s="2" t="s">
        <v>1569</v>
      </c>
      <c r="X297" s="2" t="s">
        <v>1570</v>
      </c>
      <c r="AB297" s="2" t="s">
        <v>1571</v>
      </c>
    </row>
    <row r="298">
      <c r="A298" s="2" t="s">
        <v>1750</v>
      </c>
      <c r="B298" s="2">
        <v>19.0</v>
      </c>
      <c r="C298" s="2" t="s">
        <v>5</v>
      </c>
      <c r="D298" s="2" t="s">
        <v>1751</v>
      </c>
      <c r="E298" s="2">
        <v>2.0</v>
      </c>
      <c r="F298" s="2" t="s">
        <v>4</v>
      </c>
      <c r="G298" s="5">
        <v>2760536.0</v>
      </c>
      <c r="H298" s="2" t="s">
        <v>1575</v>
      </c>
      <c r="I298" s="2" t="s">
        <v>1572</v>
      </c>
      <c r="J298" s="2">
        <v>10057.0</v>
      </c>
      <c r="K298" s="2" t="s">
        <v>1608</v>
      </c>
      <c r="L298" s="2"/>
      <c r="M298" s="2"/>
      <c r="N298" s="7">
        <v>1.0</v>
      </c>
      <c r="O298" s="12">
        <v>19524.0</v>
      </c>
      <c r="P298" s="11" t="s">
        <v>1649</v>
      </c>
      <c r="Q298" s="12">
        <v>19524.0</v>
      </c>
      <c r="R298" s="11" t="s">
        <v>1649</v>
      </c>
      <c r="S298" s="11" t="s">
        <v>1676</v>
      </c>
      <c r="T298" s="11" t="s">
        <v>1677</v>
      </c>
      <c r="U298" s="2" t="s">
        <v>1574</v>
      </c>
      <c r="V298" s="2" t="s">
        <v>1568</v>
      </c>
      <c r="W298" s="2" t="s">
        <v>1569</v>
      </c>
      <c r="X298" s="2" t="s">
        <v>1570</v>
      </c>
      <c r="AB298" s="2" t="s">
        <v>1571</v>
      </c>
    </row>
    <row r="299">
      <c r="A299" s="2" t="s">
        <v>1750</v>
      </c>
      <c r="B299" s="2">
        <v>19.0</v>
      </c>
      <c r="C299" s="2" t="s">
        <v>5</v>
      </c>
      <c r="D299" s="2" t="s">
        <v>1751</v>
      </c>
      <c r="E299" s="2">
        <v>2.0</v>
      </c>
      <c r="F299" s="2" t="s">
        <v>4</v>
      </c>
      <c r="G299" s="5">
        <v>2760171.0</v>
      </c>
      <c r="H299" s="2" t="s">
        <v>1564</v>
      </c>
      <c r="I299" s="2" t="s">
        <v>1572</v>
      </c>
      <c r="J299" s="2">
        <v>10026.0</v>
      </c>
      <c r="K299" s="2" t="s">
        <v>1583</v>
      </c>
      <c r="L299" s="2"/>
      <c r="M299" s="2"/>
      <c r="N299" s="7">
        <v>-1.0</v>
      </c>
      <c r="O299" s="12">
        <v>-21905.0</v>
      </c>
      <c r="P299" s="11" t="s">
        <v>1649</v>
      </c>
      <c r="Q299" s="12">
        <v>-21905.0</v>
      </c>
      <c r="R299" s="11" t="s">
        <v>1650</v>
      </c>
      <c r="S299" s="11" t="s">
        <v>1662</v>
      </c>
      <c r="T299" s="11" t="s">
        <v>1663</v>
      </c>
      <c r="U299" s="2" t="s">
        <v>1574</v>
      </c>
      <c r="V299" s="2" t="s">
        <v>1568</v>
      </c>
      <c r="W299" s="2" t="s">
        <v>1569</v>
      </c>
      <c r="X299" s="2" t="s">
        <v>1570</v>
      </c>
      <c r="AB299" s="2" t="s">
        <v>1571</v>
      </c>
    </row>
    <row r="300">
      <c r="A300" s="2" t="s">
        <v>1750</v>
      </c>
      <c r="B300" s="2">
        <v>19.0</v>
      </c>
      <c r="C300" s="2" t="s">
        <v>5</v>
      </c>
      <c r="D300" s="2" t="s">
        <v>1751</v>
      </c>
      <c r="E300" s="2">
        <v>2.0</v>
      </c>
      <c r="F300" s="2" t="s">
        <v>4</v>
      </c>
      <c r="G300" s="5">
        <v>2760171.0</v>
      </c>
      <c r="H300" s="2" t="s">
        <v>1564</v>
      </c>
      <c r="I300" s="2" t="s">
        <v>1572</v>
      </c>
      <c r="J300" s="2">
        <v>10057.0</v>
      </c>
      <c r="K300" s="2" t="s">
        <v>1608</v>
      </c>
      <c r="L300" s="2"/>
      <c r="M300" s="2"/>
      <c r="N300" s="7">
        <v>-1.0</v>
      </c>
      <c r="O300" s="12">
        <v>-19524.0</v>
      </c>
      <c r="P300" s="11" t="s">
        <v>1649</v>
      </c>
      <c r="Q300" s="12">
        <v>-19524.0</v>
      </c>
      <c r="R300" s="11" t="s">
        <v>1650</v>
      </c>
      <c r="S300" s="11" t="s">
        <v>1704</v>
      </c>
      <c r="T300" s="11" t="s">
        <v>1705</v>
      </c>
      <c r="U300" s="2" t="s">
        <v>1574</v>
      </c>
      <c r="V300" s="2" t="s">
        <v>1568</v>
      </c>
      <c r="W300" s="2" t="s">
        <v>1569</v>
      </c>
      <c r="X300" s="2" t="s">
        <v>1570</v>
      </c>
      <c r="AB300" s="2" t="s">
        <v>1571</v>
      </c>
    </row>
    <row r="301">
      <c r="A301" s="2" t="s">
        <v>1750</v>
      </c>
      <c r="B301" s="2">
        <v>19.0</v>
      </c>
      <c r="C301" s="2" t="s">
        <v>5</v>
      </c>
      <c r="D301" s="2" t="s">
        <v>1751</v>
      </c>
      <c r="E301" s="2">
        <v>2.0</v>
      </c>
      <c r="F301" s="2" t="s">
        <v>4</v>
      </c>
      <c r="G301" s="5">
        <v>2759805.0</v>
      </c>
      <c r="H301" s="2" t="s">
        <v>1575</v>
      </c>
      <c r="I301" s="2" t="s">
        <v>1572</v>
      </c>
      <c r="J301" s="2">
        <v>10026.0</v>
      </c>
      <c r="K301" s="2" t="s">
        <v>1583</v>
      </c>
      <c r="L301" s="2"/>
      <c r="M301" s="2"/>
      <c r="N301" s="7">
        <v>1.0</v>
      </c>
      <c r="O301" s="12">
        <v>21905.0</v>
      </c>
      <c r="P301" s="11" t="s">
        <v>1649</v>
      </c>
      <c r="Q301" s="12">
        <v>21905.0</v>
      </c>
      <c r="R301" s="11" t="s">
        <v>1649</v>
      </c>
      <c r="S301" s="11" t="s">
        <v>1666</v>
      </c>
      <c r="T301" s="11" t="s">
        <v>1667</v>
      </c>
      <c r="U301" s="2" t="s">
        <v>1574</v>
      </c>
      <c r="V301" s="2" t="s">
        <v>1568</v>
      </c>
      <c r="W301" s="2" t="s">
        <v>1569</v>
      </c>
      <c r="X301" s="2" t="s">
        <v>1570</v>
      </c>
      <c r="AB301" s="2" t="s">
        <v>1571</v>
      </c>
    </row>
    <row r="302">
      <c r="A302" s="2" t="s">
        <v>1750</v>
      </c>
      <c r="B302" s="2">
        <v>19.0</v>
      </c>
      <c r="C302" s="2" t="s">
        <v>5</v>
      </c>
      <c r="D302" s="2" t="s">
        <v>1751</v>
      </c>
      <c r="E302" s="2">
        <v>2.0</v>
      </c>
      <c r="F302" s="2" t="s">
        <v>4</v>
      </c>
      <c r="G302" s="5">
        <v>2759805.0</v>
      </c>
      <c r="H302" s="2" t="s">
        <v>1575</v>
      </c>
      <c r="I302" s="2" t="s">
        <v>1572</v>
      </c>
      <c r="J302" s="2">
        <v>10057.0</v>
      </c>
      <c r="K302" s="2" t="s">
        <v>1608</v>
      </c>
      <c r="L302" s="2"/>
      <c r="M302" s="2"/>
      <c r="N302" s="7">
        <v>1.0</v>
      </c>
      <c r="O302" s="12">
        <v>19524.0</v>
      </c>
      <c r="P302" s="11" t="s">
        <v>1649</v>
      </c>
      <c r="Q302" s="12">
        <v>19524.0</v>
      </c>
      <c r="R302" s="11" t="s">
        <v>1649</v>
      </c>
      <c r="S302" s="11" t="s">
        <v>1676</v>
      </c>
      <c r="T302" s="11" t="s">
        <v>1677</v>
      </c>
      <c r="U302" s="2" t="s">
        <v>1574</v>
      </c>
      <c r="V302" s="2" t="s">
        <v>1568</v>
      </c>
      <c r="W302" s="2" t="s">
        <v>1569</v>
      </c>
      <c r="X302" s="2" t="s">
        <v>1570</v>
      </c>
      <c r="AB302" s="2" t="s">
        <v>1571</v>
      </c>
    </row>
    <row r="303">
      <c r="A303" s="2" t="s">
        <v>1750</v>
      </c>
      <c r="B303" s="2">
        <v>17.0</v>
      </c>
      <c r="C303" s="2" t="s">
        <v>5</v>
      </c>
      <c r="D303" s="2" t="s">
        <v>1751</v>
      </c>
      <c r="E303" s="2">
        <v>2.0</v>
      </c>
      <c r="F303" s="2" t="s">
        <v>4</v>
      </c>
      <c r="G303" s="5">
        <v>2759440.0</v>
      </c>
      <c r="H303" s="2" t="s">
        <v>1575</v>
      </c>
      <c r="I303" s="2" t="s">
        <v>1565</v>
      </c>
      <c r="J303" s="2">
        <v>10005.0</v>
      </c>
      <c r="K303" s="2" t="s">
        <v>1595</v>
      </c>
      <c r="L303" s="2"/>
      <c r="M303" s="2"/>
      <c r="N303" s="7">
        <v>1.0</v>
      </c>
      <c r="O303" s="12">
        <v>19524.0</v>
      </c>
      <c r="P303" s="11" t="s">
        <v>1649</v>
      </c>
      <c r="Q303" s="12">
        <v>19524.0</v>
      </c>
      <c r="R303" s="11" t="s">
        <v>1649</v>
      </c>
      <c r="S303" s="11" t="s">
        <v>1676</v>
      </c>
      <c r="T303" s="11" t="s">
        <v>1677</v>
      </c>
      <c r="U303" s="2" t="s">
        <v>1574</v>
      </c>
      <c r="V303" s="2" t="s">
        <v>1568</v>
      </c>
      <c r="W303" s="2" t="s">
        <v>1569</v>
      </c>
      <c r="X303" s="2" t="s">
        <v>1570</v>
      </c>
      <c r="AB303" s="2" t="s">
        <v>1571</v>
      </c>
    </row>
    <row r="304">
      <c r="A304" s="2" t="s">
        <v>1750</v>
      </c>
      <c r="B304" s="2">
        <v>17.0</v>
      </c>
      <c r="C304" s="2" t="s">
        <v>5</v>
      </c>
      <c r="D304" s="2" t="s">
        <v>1751</v>
      </c>
      <c r="E304" s="2">
        <v>2.0</v>
      </c>
      <c r="F304" s="2" t="s">
        <v>4</v>
      </c>
      <c r="G304" s="5">
        <v>2759440.0</v>
      </c>
      <c r="H304" s="2" t="s">
        <v>1575</v>
      </c>
      <c r="I304" s="2" t="s">
        <v>1578</v>
      </c>
      <c r="J304" s="2">
        <v>10004.0</v>
      </c>
      <c r="K304" s="2" t="s">
        <v>1607</v>
      </c>
      <c r="L304" s="2"/>
      <c r="M304" s="2"/>
      <c r="N304" s="7">
        <v>1.0</v>
      </c>
      <c r="O304" s="12">
        <v>25238.0</v>
      </c>
      <c r="P304" s="11" t="s">
        <v>1649</v>
      </c>
      <c r="Q304" s="12">
        <v>25238.0</v>
      </c>
      <c r="R304" s="11" t="s">
        <v>1649</v>
      </c>
      <c r="S304" s="11" t="s">
        <v>1660</v>
      </c>
      <c r="T304" s="11" t="s">
        <v>1680</v>
      </c>
      <c r="U304" s="2" t="s">
        <v>1574</v>
      </c>
      <c r="V304" s="2" t="s">
        <v>1568</v>
      </c>
      <c r="W304" s="2" t="s">
        <v>1569</v>
      </c>
      <c r="X304" s="2" t="s">
        <v>1570</v>
      </c>
      <c r="AB304" s="2" t="s">
        <v>1571</v>
      </c>
    </row>
    <row r="305">
      <c r="A305" s="2" t="s">
        <v>1750</v>
      </c>
      <c r="B305" s="2">
        <v>17.0</v>
      </c>
      <c r="C305" s="2" t="s">
        <v>5</v>
      </c>
      <c r="D305" s="2" t="s">
        <v>1751</v>
      </c>
      <c r="E305" s="2">
        <v>2.0</v>
      </c>
      <c r="F305" s="2" t="s">
        <v>4</v>
      </c>
      <c r="G305" s="5">
        <v>2759075.0</v>
      </c>
      <c r="H305" s="2" t="s">
        <v>1575</v>
      </c>
      <c r="I305" s="2" t="s">
        <v>1565</v>
      </c>
      <c r="J305" s="2">
        <v>10002.0</v>
      </c>
      <c r="K305" s="2" t="s">
        <v>1576</v>
      </c>
      <c r="L305" s="2"/>
      <c r="M305" s="2"/>
      <c r="N305" s="7">
        <v>1.0</v>
      </c>
      <c r="O305" s="12">
        <v>18571.0</v>
      </c>
      <c r="P305" s="11" t="s">
        <v>1649</v>
      </c>
      <c r="Q305" s="12">
        <v>18571.0</v>
      </c>
      <c r="R305" s="11" t="s">
        <v>1649</v>
      </c>
      <c r="S305" s="11" t="s">
        <v>1656</v>
      </c>
      <c r="T305" s="11" t="s">
        <v>1657</v>
      </c>
      <c r="U305" s="2" t="s">
        <v>1574</v>
      </c>
      <c r="V305" s="2" t="s">
        <v>1568</v>
      </c>
      <c r="W305" s="2" t="s">
        <v>1569</v>
      </c>
      <c r="X305" s="2" t="s">
        <v>1570</v>
      </c>
      <c r="AB305" s="2" t="s">
        <v>1571</v>
      </c>
    </row>
    <row r="306">
      <c r="A306" s="2" t="s">
        <v>1750</v>
      </c>
      <c r="B306" s="2">
        <v>17.0</v>
      </c>
      <c r="C306" s="2" t="s">
        <v>5</v>
      </c>
      <c r="D306" s="2" t="s">
        <v>1751</v>
      </c>
      <c r="E306" s="2">
        <v>2.0</v>
      </c>
      <c r="F306" s="2" t="s">
        <v>4</v>
      </c>
      <c r="G306" s="5">
        <v>2759075.0</v>
      </c>
      <c r="H306" s="2" t="s">
        <v>1575</v>
      </c>
      <c r="I306" s="2" t="s">
        <v>1565</v>
      </c>
      <c r="J306" s="2">
        <v>10005.0</v>
      </c>
      <c r="K306" s="2" t="s">
        <v>1595</v>
      </c>
      <c r="L306" s="2"/>
      <c r="M306" s="2"/>
      <c r="N306" s="7">
        <v>1.0</v>
      </c>
      <c r="O306" s="12">
        <v>19524.0</v>
      </c>
      <c r="P306" s="11" t="s">
        <v>1649</v>
      </c>
      <c r="Q306" s="12">
        <v>19524.0</v>
      </c>
      <c r="R306" s="11" t="s">
        <v>1649</v>
      </c>
      <c r="S306" s="11" t="s">
        <v>1676</v>
      </c>
      <c r="T306" s="11" t="s">
        <v>1677</v>
      </c>
      <c r="U306" s="2" t="s">
        <v>1574</v>
      </c>
      <c r="V306" s="2" t="s">
        <v>1568</v>
      </c>
      <c r="W306" s="2" t="s">
        <v>1569</v>
      </c>
      <c r="X306" s="2" t="s">
        <v>1570</v>
      </c>
      <c r="AB306" s="2" t="s">
        <v>1571</v>
      </c>
    </row>
    <row r="307">
      <c r="A307" s="2" t="s">
        <v>1750</v>
      </c>
      <c r="B307" s="2">
        <v>16.0</v>
      </c>
      <c r="C307" s="2" t="s">
        <v>5</v>
      </c>
      <c r="D307" s="2" t="s">
        <v>1751</v>
      </c>
      <c r="E307" s="2">
        <v>2.0</v>
      </c>
      <c r="F307" s="2" t="s">
        <v>4</v>
      </c>
      <c r="G307" s="5">
        <v>2758710.0</v>
      </c>
      <c r="H307" s="2" t="s">
        <v>1575</v>
      </c>
      <c r="I307" s="2" t="s">
        <v>1580</v>
      </c>
      <c r="J307" s="2">
        <v>10104.0</v>
      </c>
      <c r="K307" s="2" t="s">
        <v>1581</v>
      </c>
      <c r="L307" s="2"/>
      <c r="M307" s="2"/>
      <c r="N307" s="7">
        <v>1.0</v>
      </c>
      <c r="O307" s="12">
        <v>34762.0</v>
      </c>
      <c r="P307" s="11" t="s">
        <v>1649</v>
      </c>
      <c r="Q307" s="12">
        <v>34762.0</v>
      </c>
      <c r="R307" s="11" t="s">
        <v>1649</v>
      </c>
      <c r="S307" s="11" t="s">
        <v>1670</v>
      </c>
      <c r="T307" s="11" t="s">
        <v>1671</v>
      </c>
      <c r="U307" s="2" t="s">
        <v>1574</v>
      </c>
      <c r="V307" s="2" t="s">
        <v>1568</v>
      </c>
      <c r="W307" s="2" t="s">
        <v>1569</v>
      </c>
      <c r="X307" s="2" t="s">
        <v>1570</v>
      </c>
      <c r="AB307" s="2" t="s">
        <v>1571</v>
      </c>
    </row>
    <row r="308">
      <c r="A308" s="2" t="s">
        <v>1750</v>
      </c>
      <c r="B308" s="2">
        <v>16.0</v>
      </c>
      <c r="C308" s="2" t="s">
        <v>5</v>
      </c>
      <c r="D308" s="2" t="s">
        <v>1751</v>
      </c>
      <c r="E308" s="2">
        <v>2.0</v>
      </c>
      <c r="F308" s="2" t="s">
        <v>4</v>
      </c>
      <c r="G308" s="5">
        <v>2758710.0</v>
      </c>
      <c r="H308" s="2" t="s">
        <v>1575</v>
      </c>
      <c r="I308" s="2" t="s">
        <v>1565</v>
      </c>
      <c r="J308" s="2">
        <v>10002.0</v>
      </c>
      <c r="K308" s="2" t="s">
        <v>1576</v>
      </c>
      <c r="L308" s="2"/>
      <c r="M308" s="2"/>
      <c r="N308" s="7">
        <v>1.0</v>
      </c>
      <c r="O308" s="12">
        <v>18571.0</v>
      </c>
      <c r="P308" s="11" t="s">
        <v>1649</v>
      </c>
      <c r="Q308" s="12">
        <v>18571.0</v>
      </c>
      <c r="R308" s="11" t="s">
        <v>1649</v>
      </c>
      <c r="S308" s="11" t="s">
        <v>1656</v>
      </c>
      <c r="T308" s="11" t="s">
        <v>1657</v>
      </c>
      <c r="U308" s="2" t="s">
        <v>1574</v>
      </c>
      <c r="V308" s="2" t="s">
        <v>1568</v>
      </c>
      <c r="W308" s="2" t="s">
        <v>1569</v>
      </c>
      <c r="X308" s="2" t="s">
        <v>1570</v>
      </c>
      <c r="AB308" s="2" t="s">
        <v>1571</v>
      </c>
    </row>
    <row r="309">
      <c r="A309" s="2" t="s">
        <v>1750</v>
      </c>
      <c r="B309" s="2">
        <v>16.0</v>
      </c>
      <c r="C309" s="2" t="s">
        <v>5</v>
      </c>
      <c r="D309" s="2" t="s">
        <v>1751</v>
      </c>
      <c r="E309" s="2">
        <v>2.0</v>
      </c>
      <c r="F309" s="2" t="s">
        <v>4</v>
      </c>
      <c r="G309" s="5">
        <v>2758710.0</v>
      </c>
      <c r="H309" s="2" t="s">
        <v>1575</v>
      </c>
      <c r="I309" s="2" t="s">
        <v>1572</v>
      </c>
      <c r="J309" s="2">
        <v>10057.0</v>
      </c>
      <c r="K309" s="2" t="s">
        <v>1608</v>
      </c>
      <c r="L309" s="2"/>
      <c r="M309" s="2"/>
      <c r="N309" s="7">
        <v>1.0</v>
      </c>
      <c r="O309" s="12">
        <v>19524.0</v>
      </c>
      <c r="P309" s="11" t="s">
        <v>1649</v>
      </c>
      <c r="Q309" s="12">
        <v>19524.0</v>
      </c>
      <c r="R309" s="11" t="s">
        <v>1649</v>
      </c>
      <c r="S309" s="11" t="s">
        <v>1676</v>
      </c>
      <c r="T309" s="11" t="s">
        <v>1677</v>
      </c>
      <c r="U309" s="2" t="s">
        <v>1574</v>
      </c>
      <c r="V309" s="2" t="s">
        <v>1568</v>
      </c>
      <c r="W309" s="2" t="s">
        <v>1569</v>
      </c>
      <c r="X309" s="2" t="s">
        <v>1570</v>
      </c>
      <c r="AB309" s="2" t="s">
        <v>1571</v>
      </c>
    </row>
    <row r="310">
      <c r="A310" s="2" t="s">
        <v>1750</v>
      </c>
      <c r="B310" s="2">
        <v>16.0</v>
      </c>
      <c r="C310" s="2" t="s">
        <v>5</v>
      </c>
      <c r="D310" s="2" t="s">
        <v>1751</v>
      </c>
      <c r="E310" s="2">
        <v>2.0</v>
      </c>
      <c r="F310" s="2" t="s">
        <v>4</v>
      </c>
      <c r="G310" s="5">
        <v>2758710.0</v>
      </c>
      <c r="H310" s="2" t="s">
        <v>1575</v>
      </c>
      <c r="I310" s="2" t="s">
        <v>1572</v>
      </c>
      <c r="J310" s="2">
        <v>10116.0</v>
      </c>
      <c r="K310" s="2" t="s">
        <v>1619</v>
      </c>
      <c r="L310" s="2"/>
      <c r="M310" s="2"/>
      <c r="N310" s="7">
        <v>1.0</v>
      </c>
      <c r="O310" s="12">
        <v>14286.0</v>
      </c>
      <c r="P310" s="11" t="s">
        <v>1649</v>
      </c>
      <c r="Q310" s="12">
        <v>14286.0</v>
      </c>
      <c r="R310" s="11" t="s">
        <v>1649</v>
      </c>
      <c r="S310" s="11" t="s">
        <v>1685</v>
      </c>
      <c r="T310" s="11" t="s">
        <v>1686</v>
      </c>
      <c r="U310" s="2" t="s">
        <v>1574</v>
      </c>
      <c r="V310" s="2" t="s">
        <v>1568</v>
      </c>
      <c r="W310" s="2" t="s">
        <v>1569</v>
      </c>
      <c r="X310" s="2" t="s">
        <v>1570</v>
      </c>
      <c r="AB310" s="2" t="s">
        <v>1571</v>
      </c>
    </row>
    <row r="311">
      <c r="A311" s="2" t="s">
        <v>1750</v>
      </c>
      <c r="B311" s="2">
        <v>16.0</v>
      </c>
      <c r="C311" s="2" t="s">
        <v>5</v>
      </c>
      <c r="D311" s="2" t="s">
        <v>1751</v>
      </c>
      <c r="E311" s="2">
        <v>2.0</v>
      </c>
      <c r="F311" s="2" t="s">
        <v>4</v>
      </c>
      <c r="G311" s="5">
        <v>2758344.0</v>
      </c>
      <c r="H311" s="2" t="s">
        <v>1575</v>
      </c>
      <c r="I311" s="2" t="s">
        <v>1565</v>
      </c>
      <c r="J311" s="2">
        <v>10007.0</v>
      </c>
      <c r="K311" s="2" t="s">
        <v>1576</v>
      </c>
      <c r="L311" s="2"/>
      <c r="M311" s="2"/>
      <c r="N311" s="7">
        <v>2.0</v>
      </c>
      <c r="O311" s="12">
        <v>33810.0</v>
      </c>
      <c r="P311" s="11" t="s">
        <v>1649</v>
      </c>
      <c r="Q311" s="12">
        <v>33810.0</v>
      </c>
      <c r="R311" s="11" t="s">
        <v>1649</v>
      </c>
      <c r="S311" s="11" t="s">
        <v>1701</v>
      </c>
      <c r="T311" s="11" t="s">
        <v>1703</v>
      </c>
      <c r="U311" s="2" t="s">
        <v>1567</v>
      </c>
      <c r="V311" s="2" t="s">
        <v>1568</v>
      </c>
      <c r="W311" s="2" t="s">
        <v>1569</v>
      </c>
      <c r="X311" s="2" t="s">
        <v>1570</v>
      </c>
      <c r="AB311" s="2" t="s">
        <v>1571</v>
      </c>
    </row>
    <row r="312">
      <c r="A312" s="2" t="s">
        <v>1750</v>
      </c>
      <c r="B312" s="2">
        <v>16.0</v>
      </c>
      <c r="C312" s="2" t="s">
        <v>5</v>
      </c>
      <c r="D312" s="2" t="s">
        <v>1751</v>
      </c>
      <c r="E312" s="2">
        <v>2.0</v>
      </c>
      <c r="F312" s="2" t="s">
        <v>4</v>
      </c>
      <c r="G312" s="5">
        <v>2758344.0</v>
      </c>
      <c r="H312" s="2" t="s">
        <v>1575</v>
      </c>
      <c r="I312" s="2" t="s">
        <v>1565</v>
      </c>
      <c r="J312" s="2">
        <v>10002.0</v>
      </c>
      <c r="K312" s="2" t="s">
        <v>1576</v>
      </c>
      <c r="L312" s="2"/>
      <c r="M312" s="2"/>
      <c r="N312" s="7">
        <v>1.0</v>
      </c>
      <c r="O312" s="12">
        <v>18571.0</v>
      </c>
      <c r="P312" s="11" t="s">
        <v>1649</v>
      </c>
      <c r="Q312" s="12">
        <v>18571.0</v>
      </c>
      <c r="R312" s="11" t="s">
        <v>1649</v>
      </c>
      <c r="S312" s="11" t="s">
        <v>1656</v>
      </c>
      <c r="T312" s="11" t="s">
        <v>1688</v>
      </c>
      <c r="U312" s="2" t="s">
        <v>1567</v>
      </c>
      <c r="V312" s="2" t="s">
        <v>1568</v>
      </c>
      <c r="W312" s="2" t="s">
        <v>1569</v>
      </c>
      <c r="X312" s="2" t="s">
        <v>1570</v>
      </c>
      <c r="AB312" s="2" t="s">
        <v>1571</v>
      </c>
    </row>
    <row r="313">
      <c r="A313" s="2" t="s">
        <v>1750</v>
      </c>
      <c r="B313" s="2">
        <v>16.0</v>
      </c>
      <c r="C313" s="2" t="s">
        <v>5</v>
      </c>
      <c r="D313" s="2" t="s">
        <v>1751</v>
      </c>
      <c r="E313" s="2">
        <v>2.0</v>
      </c>
      <c r="F313" s="2" t="s">
        <v>4</v>
      </c>
      <c r="G313" s="5">
        <v>2758344.0</v>
      </c>
      <c r="H313" s="2" t="s">
        <v>1575</v>
      </c>
      <c r="I313" s="2" t="s">
        <v>1565</v>
      </c>
      <c r="J313" s="2">
        <v>10055.0</v>
      </c>
      <c r="K313" s="2" t="s">
        <v>1595</v>
      </c>
      <c r="L313" s="2"/>
      <c r="M313" s="2"/>
      <c r="N313" s="7">
        <v>2.0</v>
      </c>
      <c r="O313" s="12">
        <v>34762.0</v>
      </c>
      <c r="P313" s="11" t="s">
        <v>1649</v>
      </c>
      <c r="Q313" s="12">
        <v>34762.0</v>
      </c>
      <c r="R313" s="11" t="s">
        <v>1649</v>
      </c>
      <c r="S313" s="11" t="s">
        <v>1670</v>
      </c>
      <c r="T313" s="11" t="s">
        <v>1671</v>
      </c>
      <c r="U313" s="2" t="s">
        <v>1567</v>
      </c>
      <c r="V313" s="2" t="s">
        <v>1568</v>
      </c>
      <c r="W313" s="2" t="s">
        <v>1569</v>
      </c>
      <c r="X313" s="2" t="s">
        <v>1570</v>
      </c>
      <c r="AB313" s="2" t="s">
        <v>1571</v>
      </c>
    </row>
    <row r="314">
      <c r="A314" s="2" t="s">
        <v>1750</v>
      </c>
      <c r="B314" s="2">
        <v>16.0</v>
      </c>
      <c r="C314" s="2" t="s">
        <v>5</v>
      </c>
      <c r="D314" s="2" t="s">
        <v>1751</v>
      </c>
      <c r="E314" s="2">
        <v>2.0</v>
      </c>
      <c r="F314" s="2" t="s">
        <v>4</v>
      </c>
      <c r="G314" s="5">
        <v>2758344.0</v>
      </c>
      <c r="H314" s="2" t="s">
        <v>1575</v>
      </c>
      <c r="I314" s="2" t="s">
        <v>1565</v>
      </c>
      <c r="J314" s="2">
        <v>10005.0</v>
      </c>
      <c r="K314" s="2" t="s">
        <v>1595</v>
      </c>
      <c r="L314" s="2"/>
      <c r="M314" s="2"/>
      <c r="N314" s="7">
        <v>1.0</v>
      </c>
      <c r="O314" s="12">
        <v>19524.0</v>
      </c>
      <c r="P314" s="11" t="s">
        <v>1649</v>
      </c>
      <c r="Q314" s="12">
        <v>19524.0</v>
      </c>
      <c r="R314" s="11" t="s">
        <v>1649</v>
      </c>
      <c r="S314" s="11" t="s">
        <v>1676</v>
      </c>
      <c r="T314" s="11" t="s">
        <v>1677</v>
      </c>
      <c r="U314" s="2" t="s">
        <v>1567</v>
      </c>
      <c r="V314" s="2" t="s">
        <v>1568</v>
      </c>
      <c r="W314" s="2" t="s">
        <v>1569</v>
      </c>
      <c r="X314" s="2" t="s">
        <v>1570</v>
      </c>
      <c r="AB314" s="2" t="s">
        <v>1571</v>
      </c>
    </row>
    <row r="315">
      <c r="A315" s="2" t="s">
        <v>1750</v>
      </c>
      <c r="B315" s="2">
        <v>14.0</v>
      </c>
      <c r="C315" s="2" t="s">
        <v>5</v>
      </c>
      <c r="D315" s="2" t="s">
        <v>1751</v>
      </c>
      <c r="E315" s="2">
        <v>2.0</v>
      </c>
      <c r="F315" s="2" t="s">
        <v>4</v>
      </c>
      <c r="G315" s="5">
        <v>2757979.0</v>
      </c>
      <c r="H315" s="2" t="s">
        <v>1575</v>
      </c>
      <c r="I315" s="2" t="s">
        <v>1572</v>
      </c>
      <c r="J315" s="2">
        <v>10128.0</v>
      </c>
      <c r="K315" s="2" t="s">
        <v>1588</v>
      </c>
      <c r="L315" s="2"/>
      <c r="M315" s="2"/>
      <c r="N315" s="7">
        <v>1.0</v>
      </c>
      <c r="O315" s="12">
        <v>23333.0</v>
      </c>
      <c r="P315" s="11" t="s">
        <v>1649</v>
      </c>
      <c r="Q315" s="12">
        <v>23333.0</v>
      </c>
      <c r="R315" s="11" t="s">
        <v>1649</v>
      </c>
      <c r="S315" s="11" t="s">
        <v>1681</v>
      </c>
      <c r="T315" s="11" t="s">
        <v>1682</v>
      </c>
      <c r="U315" s="2" t="s">
        <v>1574</v>
      </c>
      <c r="V315" s="2" t="s">
        <v>1568</v>
      </c>
      <c r="W315" s="2" t="s">
        <v>1569</v>
      </c>
      <c r="X315" s="2" t="s">
        <v>1570</v>
      </c>
      <c r="AB315" s="2" t="s">
        <v>1571</v>
      </c>
    </row>
    <row r="316">
      <c r="A316" s="2" t="s">
        <v>1750</v>
      </c>
      <c r="B316" s="2">
        <v>14.0</v>
      </c>
      <c r="C316" s="2" t="s">
        <v>5</v>
      </c>
      <c r="D316" s="2" t="s">
        <v>1751</v>
      </c>
      <c r="E316" s="2">
        <v>2.0</v>
      </c>
      <c r="F316" s="2" t="s">
        <v>4</v>
      </c>
      <c r="G316" s="5">
        <v>2757979.0</v>
      </c>
      <c r="H316" s="2" t="s">
        <v>1575</v>
      </c>
      <c r="I316" s="2" t="s">
        <v>1565</v>
      </c>
      <c r="J316" s="2">
        <v>10005.0</v>
      </c>
      <c r="K316" s="2" t="s">
        <v>1595</v>
      </c>
      <c r="L316" s="2"/>
      <c r="M316" s="2"/>
      <c r="N316" s="7">
        <v>1.0</v>
      </c>
      <c r="O316" s="12">
        <v>19524.0</v>
      </c>
      <c r="P316" s="11" t="s">
        <v>1649</v>
      </c>
      <c r="Q316" s="12">
        <v>19524.0</v>
      </c>
      <c r="R316" s="11" t="s">
        <v>1649</v>
      </c>
      <c r="S316" s="11" t="s">
        <v>1676</v>
      </c>
      <c r="T316" s="11" t="s">
        <v>1677</v>
      </c>
      <c r="U316" s="2" t="s">
        <v>1574</v>
      </c>
      <c r="V316" s="2" t="s">
        <v>1568</v>
      </c>
      <c r="W316" s="2" t="s">
        <v>1569</v>
      </c>
      <c r="X316" s="2" t="s">
        <v>1570</v>
      </c>
      <c r="AB316" s="2" t="s">
        <v>1571</v>
      </c>
    </row>
    <row r="317">
      <c r="A317" s="2" t="s">
        <v>1750</v>
      </c>
      <c r="B317" s="2">
        <v>14.0</v>
      </c>
      <c r="C317" s="2" t="s">
        <v>5</v>
      </c>
      <c r="D317" s="2" t="s">
        <v>1751</v>
      </c>
      <c r="E317" s="2">
        <v>2.0</v>
      </c>
      <c r="F317" s="2" t="s">
        <v>4</v>
      </c>
      <c r="G317" s="5">
        <v>2757614.0</v>
      </c>
      <c r="H317" s="2" t="s">
        <v>1575</v>
      </c>
      <c r="I317" s="2" t="s">
        <v>1565</v>
      </c>
      <c r="J317" s="2">
        <v>10002.0</v>
      </c>
      <c r="K317" s="2" t="s">
        <v>1576</v>
      </c>
      <c r="L317" s="2"/>
      <c r="M317" s="2"/>
      <c r="N317" s="7">
        <v>1.0</v>
      </c>
      <c r="O317" s="12">
        <v>18571.0</v>
      </c>
      <c r="P317" s="11" t="s">
        <v>1649</v>
      </c>
      <c r="Q317" s="12">
        <v>18571.0</v>
      </c>
      <c r="R317" s="11" t="s">
        <v>1649</v>
      </c>
      <c r="S317" s="11" t="s">
        <v>1656</v>
      </c>
      <c r="T317" s="11" t="s">
        <v>1657</v>
      </c>
      <c r="U317" s="2" t="s">
        <v>1574</v>
      </c>
      <c r="V317" s="2" t="s">
        <v>1568</v>
      </c>
      <c r="W317" s="2" t="s">
        <v>1569</v>
      </c>
      <c r="X317" s="2" t="s">
        <v>1570</v>
      </c>
      <c r="AB317" s="2" t="s">
        <v>1571</v>
      </c>
    </row>
    <row r="318">
      <c r="A318" s="2" t="s">
        <v>1750</v>
      </c>
      <c r="B318" s="2">
        <v>14.0</v>
      </c>
      <c r="C318" s="2" t="s">
        <v>5</v>
      </c>
      <c r="D318" s="2" t="s">
        <v>1751</v>
      </c>
      <c r="E318" s="2">
        <v>2.0</v>
      </c>
      <c r="F318" s="2" t="s">
        <v>4</v>
      </c>
      <c r="G318" s="5">
        <v>2757249.0</v>
      </c>
      <c r="H318" s="2" t="s">
        <v>1575</v>
      </c>
      <c r="I318" s="2" t="s">
        <v>1565</v>
      </c>
      <c r="J318" s="2">
        <v>10007.0</v>
      </c>
      <c r="K318" s="2" t="s">
        <v>1576</v>
      </c>
      <c r="L318" s="2"/>
      <c r="M318" s="2"/>
      <c r="N318" s="7">
        <v>2.0</v>
      </c>
      <c r="O318" s="12">
        <v>33810.0</v>
      </c>
      <c r="P318" s="11" t="s">
        <v>1649</v>
      </c>
      <c r="Q318" s="12">
        <v>33810.0</v>
      </c>
      <c r="R318" s="11" t="s">
        <v>1649</v>
      </c>
      <c r="S318" s="11" t="s">
        <v>1701</v>
      </c>
      <c r="T318" s="11" t="s">
        <v>1703</v>
      </c>
      <c r="U318" s="2" t="s">
        <v>1567</v>
      </c>
      <c r="V318" s="2" t="s">
        <v>1568</v>
      </c>
      <c r="W318" s="2" t="s">
        <v>1569</v>
      </c>
      <c r="X318" s="2" t="s">
        <v>1570</v>
      </c>
      <c r="AB318" s="2" t="s">
        <v>1571</v>
      </c>
    </row>
    <row r="319">
      <c r="A319" s="2" t="s">
        <v>1750</v>
      </c>
      <c r="B319" s="2">
        <v>14.0</v>
      </c>
      <c r="C319" s="2" t="s">
        <v>5</v>
      </c>
      <c r="D319" s="2" t="s">
        <v>1751</v>
      </c>
      <c r="E319" s="2">
        <v>2.0</v>
      </c>
      <c r="F319" s="2" t="s">
        <v>4</v>
      </c>
      <c r="G319" s="5">
        <v>2757249.0</v>
      </c>
      <c r="H319" s="2" t="s">
        <v>1575</v>
      </c>
      <c r="I319" s="2" t="s">
        <v>1565</v>
      </c>
      <c r="J319" s="2">
        <v>10005.0</v>
      </c>
      <c r="K319" s="2" t="s">
        <v>1595</v>
      </c>
      <c r="L319" s="2"/>
      <c r="M319" s="2"/>
      <c r="N319" s="7">
        <v>1.0</v>
      </c>
      <c r="O319" s="12">
        <v>19524.0</v>
      </c>
      <c r="P319" s="11" t="s">
        <v>1649</v>
      </c>
      <c r="Q319" s="12">
        <v>19524.0</v>
      </c>
      <c r="R319" s="11" t="s">
        <v>1649</v>
      </c>
      <c r="S319" s="11" t="s">
        <v>1676</v>
      </c>
      <c r="T319" s="11" t="s">
        <v>1677</v>
      </c>
      <c r="U319" s="2" t="s">
        <v>1567</v>
      </c>
      <c r="V319" s="2" t="s">
        <v>1568</v>
      </c>
      <c r="W319" s="2" t="s">
        <v>1569</v>
      </c>
      <c r="X319" s="2" t="s">
        <v>1570</v>
      </c>
      <c r="AB319" s="2" t="s">
        <v>1571</v>
      </c>
    </row>
    <row r="320">
      <c r="A320" s="2" t="s">
        <v>1750</v>
      </c>
      <c r="B320" s="2">
        <v>10.0</v>
      </c>
      <c r="C320" s="2" t="s">
        <v>5</v>
      </c>
      <c r="D320" s="2" t="s">
        <v>1751</v>
      </c>
      <c r="E320" s="2">
        <v>2.0</v>
      </c>
      <c r="F320" s="2" t="s">
        <v>4</v>
      </c>
      <c r="G320" s="5">
        <v>2756883.0</v>
      </c>
      <c r="H320" s="2" t="s">
        <v>1575</v>
      </c>
      <c r="I320" s="2" t="s">
        <v>1572</v>
      </c>
      <c r="J320" s="2">
        <v>10128.0</v>
      </c>
      <c r="K320" s="2" t="s">
        <v>1588</v>
      </c>
      <c r="L320" s="2"/>
      <c r="M320" s="2"/>
      <c r="N320" s="7">
        <v>1.0</v>
      </c>
      <c r="O320" s="12">
        <v>23333.0</v>
      </c>
      <c r="P320" s="11" t="s">
        <v>1649</v>
      </c>
      <c r="Q320" s="12">
        <v>23333.0</v>
      </c>
      <c r="R320" s="11" t="s">
        <v>1649</v>
      </c>
      <c r="S320" s="11" t="s">
        <v>1681</v>
      </c>
      <c r="T320" s="11" t="s">
        <v>1682</v>
      </c>
      <c r="U320" s="2" t="s">
        <v>1574</v>
      </c>
      <c r="V320" s="2" t="s">
        <v>1568</v>
      </c>
      <c r="W320" s="2" t="s">
        <v>1569</v>
      </c>
      <c r="X320" s="2" t="s">
        <v>1570</v>
      </c>
      <c r="AB320" s="2" t="s">
        <v>1571</v>
      </c>
    </row>
    <row r="321">
      <c r="A321" s="2" t="s">
        <v>1750</v>
      </c>
      <c r="B321" s="2">
        <v>10.0</v>
      </c>
      <c r="C321" s="2" t="s">
        <v>5</v>
      </c>
      <c r="D321" s="2" t="s">
        <v>1751</v>
      </c>
      <c r="E321" s="2">
        <v>2.0</v>
      </c>
      <c r="F321" s="2" t="s">
        <v>4</v>
      </c>
      <c r="G321" s="5">
        <v>2756883.0</v>
      </c>
      <c r="H321" s="2" t="s">
        <v>1575</v>
      </c>
      <c r="I321" s="2" t="s">
        <v>1572</v>
      </c>
      <c r="J321" s="2">
        <v>10069.0</v>
      </c>
      <c r="K321" s="2" t="s">
        <v>1620</v>
      </c>
      <c r="L321" s="2"/>
      <c r="M321" s="2"/>
      <c r="N321" s="7">
        <v>1.0</v>
      </c>
      <c r="O321" s="12">
        <v>24762.0</v>
      </c>
      <c r="P321" s="11" t="s">
        <v>1649</v>
      </c>
      <c r="Q321" s="12">
        <v>24762.0</v>
      </c>
      <c r="R321" s="11" t="s">
        <v>1649</v>
      </c>
      <c r="S321" s="11" t="s">
        <v>1689</v>
      </c>
      <c r="T321" s="11" t="s">
        <v>1693</v>
      </c>
      <c r="U321" s="2" t="s">
        <v>1574</v>
      </c>
      <c r="V321" s="2" t="s">
        <v>1568</v>
      </c>
      <c r="W321" s="2" t="s">
        <v>1569</v>
      </c>
      <c r="X321" s="2" t="s">
        <v>1570</v>
      </c>
      <c r="AB321" s="2" t="s">
        <v>1571</v>
      </c>
    </row>
    <row r="322">
      <c r="A322" s="2" t="s">
        <v>1750</v>
      </c>
      <c r="B322" s="2">
        <v>10.0</v>
      </c>
      <c r="C322" s="2" t="s">
        <v>5</v>
      </c>
      <c r="D322" s="2" t="s">
        <v>1751</v>
      </c>
      <c r="E322" s="2">
        <v>2.0</v>
      </c>
      <c r="F322" s="2" t="s">
        <v>4</v>
      </c>
      <c r="G322" s="5">
        <v>2756883.0</v>
      </c>
      <c r="H322" s="2" t="s">
        <v>1575</v>
      </c>
      <c r="I322" s="2" t="s">
        <v>1565</v>
      </c>
      <c r="J322" s="2">
        <v>10055.0</v>
      </c>
      <c r="K322" s="2" t="s">
        <v>1595</v>
      </c>
      <c r="L322" s="2"/>
      <c r="M322" s="2"/>
      <c r="N322" s="7">
        <v>2.0</v>
      </c>
      <c r="O322" s="12">
        <v>34762.0</v>
      </c>
      <c r="P322" s="11" t="s">
        <v>1649</v>
      </c>
      <c r="Q322" s="12">
        <v>34762.0</v>
      </c>
      <c r="R322" s="11" t="s">
        <v>1649</v>
      </c>
      <c r="S322" s="11" t="s">
        <v>1670</v>
      </c>
      <c r="T322" s="11" t="s">
        <v>1671</v>
      </c>
      <c r="U322" s="2" t="s">
        <v>1574</v>
      </c>
      <c r="V322" s="2" t="s">
        <v>1568</v>
      </c>
      <c r="W322" s="2" t="s">
        <v>1569</v>
      </c>
      <c r="X322" s="2" t="s">
        <v>1570</v>
      </c>
      <c r="AB322" s="2" t="s">
        <v>1571</v>
      </c>
    </row>
    <row r="323">
      <c r="A323" s="2" t="s">
        <v>1750</v>
      </c>
      <c r="B323" s="2">
        <v>10.0</v>
      </c>
      <c r="C323" s="2" t="s">
        <v>5</v>
      </c>
      <c r="D323" s="2" t="s">
        <v>1751</v>
      </c>
      <c r="E323" s="2">
        <v>2.0</v>
      </c>
      <c r="F323" s="2" t="s">
        <v>4</v>
      </c>
      <c r="G323" s="5">
        <v>2756518.0</v>
      </c>
      <c r="H323" s="2" t="s">
        <v>1575</v>
      </c>
      <c r="I323" s="2" t="s">
        <v>1565</v>
      </c>
      <c r="J323" s="2">
        <v>10005.0</v>
      </c>
      <c r="K323" s="2" t="s">
        <v>1595</v>
      </c>
      <c r="L323" s="2"/>
      <c r="M323" s="2"/>
      <c r="N323" s="7">
        <v>1.0</v>
      </c>
      <c r="O323" s="12">
        <v>19524.0</v>
      </c>
      <c r="P323" s="11" t="s">
        <v>1649</v>
      </c>
      <c r="Q323" s="12">
        <v>19524.0</v>
      </c>
      <c r="R323" s="11" t="s">
        <v>1649</v>
      </c>
      <c r="S323" s="11" t="s">
        <v>1676</v>
      </c>
      <c r="T323" s="11" t="s">
        <v>1677</v>
      </c>
      <c r="U323" s="2" t="s">
        <v>1574</v>
      </c>
      <c r="V323" s="2" t="s">
        <v>1568</v>
      </c>
      <c r="W323" s="2" t="s">
        <v>1569</v>
      </c>
      <c r="X323" s="2" t="s">
        <v>1570</v>
      </c>
      <c r="AB323" s="2" t="s">
        <v>1571</v>
      </c>
    </row>
    <row r="324">
      <c r="A324" s="2" t="s">
        <v>1752</v>
      </c>
      <c r="B324" s="2">
        <v>21.0</v>
      </c>
      <c r="C324" s="2" t="s">
        <v>11</v>
      </c>
      <c r="D324" s="2" t="s">
        <v>1753</v>
      </c>
      <c r="E324" s="2">
        <v>7.0</v>
      </c>
      <c r="F324" s="2" t="s">
        <v>10</v>
      </c>
      <c r="G324" s="5">
        <v>2756153.0</v>
      </c>
      <c r="H324" s="2" t="s">
        <v>1575</v>
      </c>
      <c r="I324" s="2" t="s">
        <v>1565</v>
      </c>
      <c r="J324" s="2">
        <v>10005.0</v>
      </c>
      <c r="K324" s="2" t="s">
        <v>1595</v>
      </c>
      <c r="L324" s="2"/>
      <c r="M324" s="2"/>
      <c r="N324" s="7">
        <v>1.0</v>
      </c>
      <c r="O324" s="12">
        <v>19524.0</v>
      </c>
      <c r="P324" s="11" t="s">
        <v>1649</v>
      </c>
      <c r="Q324" s="12">
        <v>19524.0</v>
      </c>
      <c r="R324" s="11" t="s">
        <v>1649</v>
      </c>
      <c r="S324" s="11" t="s">
        <v>1676</v>
      </c>
      <c r="T324" s="11" t="s">
        <v>1677</v>
      </c>
      <c r="U324" s="2" t="s">
        <v>1574</v>
      </c>
      <c r="V324" s="2" t="s">
        <v>1568</v>
      </c>
      <c r="W324" s="2" t="s">
        <v>1569</v>
      </c>
      <c r="X324" s="2" t="s">
        <v>1570</v>
      </c>
      <c r="AB324" s="2" t="s">
        <v>1571</v>
      </c>
    </row>
    <row r="325">
      <c r="A325" s="2" t="s">
        <v>1752</v>
      </c>
      <c r="B325" s="2">
        <v>21.0</v>
      </c>
      <c r="C325" s="2" t="s">
        <v>11</v>
      </c>
      <c r="D325" s="2" t="s">
        <v>1753</v>
      </c>
      <c r="E325" s="2">
        <v>7.0</v>
      </c>
      <c r="F325" s="2" t="s">
        <v>10</v>
      </c>
      <c r="G325" s="5">
        <v>2755788.0</v>
      </c>
      <c r="H325" s="2" t="s">
        <v>1575</v>
      </c>
      <c r="I325" s="2" t="s">
        <v>1572</v>
      </c>
      <c r="J325" s="2">
        <v>10128.0</v>
      </c>
      <c r="K325" s="2" t="s">
        <v>1588</v>
      </c>
      <c r="L325" s="2"/>
      <c r="M325" s="2"/>
      <c r="N325" s="7">
        <v>1.0</v>
      </c>
      <c r="O325" s="12">
        <v>23333.0</v>
      </c>
      <c r="P325" s="11" t="s">
        <v>1649</v>
      </c>
      <c r="Q325" s="12">
        <v>23333.0</v>
      </c>
      <c r="R325" s="11" t="s">
        <v>1649</v>
      </c>
      <c r="S325" s="11" t="s">
        <v>1681</v>
      </c>
      <c r="T325" s="11" t="s">
        <v>1682</v>
      </c>
      <c r="U325" s="2" t="s">
        <v>1574</v>
      </c>
      <c r="V325" s="2" t="s">
        <v>1568</v>
      </c>
      <c r="W325" s="2" t="s">
        <v>1569</v>
      </c>
      <c r="X325" s="2" t="s">
        <v>1570</v>
      </c>
      <c r="AB325" s="2" t="s">
        <v>1571</v>
      </c>
    </row>
    <row r="326">
      <c r="A326" s="2" t="s">
        <v>1752</v>
      </c>
      <c r="B326" s="2">
        <v>21.0</v>
      </c>
      <c r="C326" s="2" t="s">
        <v>11</v>
      </c>
      <c r="D326" s="2" t="s">
        <v>1753</v>
      </c>
      <c r="E326" s="2">
        <v>7.0</v>
      </c>
      <c r="F326" s="2" t="s">
        <v>10</v>
      </c>
      <c r="G326" s="5">
        <v>2755788.0</v>
      </c>
      <c r="H326" s="2" t="s">
        <v>1575</v>
      </c>
      <c r="I326" s="2" t="s">
        <v>1572</v>
      </c>
      <c r="J326" s="2">
        <v>10112.0</v>
      </c>
      <c r="K326" s="2" t="s">
        <v>1573</v>
      </c>
      <c r="L326" s="2"/>
      <c r="M326" s="2"/>
      <c r="N326" s="7">
        <v>1.0</v>
      </c>
      <c r="O326" s="12">
        <v>6667.0</v>
      </c>
      <c r="P326" s="11" t="s">
        <v>1649</v>
      </c>
      <c r="Q326" s="12">
        <v>6667.0</v>
      </c>
      <c r="R326" s="11" t="s">
        <v>1649</v>
      </c>
      <c r="S326" s="11" t="s">
        <v>1734</v>
      </c>
      <c r="T326" s="11" t="s">
        <v>1738</v>
      </c>
      <c r="U326" s="2" t="s">
        <v>1574</v>
      </c>
      <c r="V326" s="2" t="s">
        <v>1568</v>
      </c>
      <c r="W326" s="2" t="s">
        <v>1569</v>
      </c>
      <c r="X326" s="2" t="s">
        <v>1570</v>
      </c>
      <c r="AB326" s="2" t="s">
        <v>1571</v>
      </c>
    </row>
    <row r="327">
      <c r="A327" s="2" t="s">
        <v>1752</v>
      </c>
      <c r="B327" s="2">
        <v>21.0</v>
      </c>
      <c r="C327" s="2" t="s">
        <v>11</v>
      </c>
      <c r="D327" s="2" t="s">
        <v>1753</v>
      </c>
      <c r="E327" s="2">
        <v>7.0</v>
      </c>
      <c r="F327" s="2" t="s">
        <v>10</v>
      </c>
      <c r="G327" s="5">
        <v>2755788.0</v>
      </c>
      <c r="H327" s="2" t="s">
        <v>1575</v>
      </c>
      <c r="I327" s="2" t="s">
        <v>1572</v>
      </c>
      <c r="J327" s="2">
        <v>10128.0</v>
      </c>
      <c r="K327" s="2" t="s">
        <v>1588</v>
      </c>
      <c r="L327" s="2"/>
      <c r="M327" s="2"/>
      <c r="N327" s="7">
        <v>1.0</v>
      </c>
      <c r="O327" s="12">
        <v>23333.0</v>
      </c>
      <c r="P327" s="11" t="s">
        <v>1649</v>
      </c>
      <c r="Q327" s="12">
        <v>23333.0</v>
      </c>
      <c r="R327" s="11" t="s">
        <v>1649</v>
      </c>
      <c r="S327" s="11" t="s">
        <v>1681</v>
      </c>
      <c r="T327" s="11" t="s">
        <v>1682</v>
      </c>
      <c r="U327" s="2" t="s">
        <v>1574</v>
      </c>
      <c r="V327" s="2" t="s">
        <v>1568</v>
      </c>
      <c r="W327" s="2" t="s">
        <v>1569</v>
      </c>
      <c r="X327" s="2" t="s">
        <v>1570</v>
      </c>
      <c r="AB327" s="2" t="s">
        <v>1571</v>
      </c>
    </row>
    <row r="328">
      <c r="A328" s="2" t="s">
        <v>1752</v>
      </c>
      <c r="B328" s="2">
        <v>21.0</v>
      </c>
      <c r="C328" s="2" t="s">
        <v>11</v>
      </c>
      <c r="D328" s="2" t="s">
        <v>1753</v>
      </c>
      <c r="E328" s="2">
        <v>7.0</v>
      </c>
      <c r="F328" s="2" t="s">
        <v>10</v>
      </c>
      <c r="G328" s="5">
        <v>2755788.0</v>
      </c>
      <c r="H328" s="2" t="s">
        <v>1575</v>
      </c>
      <c r="I328" s="2" t="s">
        <v>1565</v>
      </c>
      <c r="J328" s="2">
        <v>10005.0</v>
      </c>
      <c r="K328" s="2" t="s">
        <v>1595</v>
      </c>
      <c r="L328" s="2"/>
      <c r="M328" s="2"/>
      <c r="N328" s="7">
        <v>1.0</v>
      </c>
      <c r="O328" s="12">
        <v>19524.0</v>
      </c>
      <c r="P328" s="11" t="s">
        <v>1649</v>
      </c>
      <c r="Q328" s="12">
        <v>19524.0</v>
      </c>
      <c r="R328" s="11" t="s">
        <v>1649</v>
      </c>
      <c r="S328" s="11" t="s">
        <v>1676</v>
      </c>
      <c r="T328" s="11" t="s">
        <v>1677</v>
      </c>
      <c r="U328" s="2" t="s">
        <v>1574</v>
      </c>
      <c r="V328" s="2" t="s">
        <v>1568</v>
      </c>
      <c r="W328" s="2" t="s">
        <v>1569</v>
      </c>
      <c r="X328" s="2" t="s">
        <v>1570</v>
      </c>
      <c r="AB328" s="2" t="s">
        <v>1571</v>
      </c>
    </row>
    <row r="329">
      <c r="A329" s="2" t="s">
        <v>1752</v>
      </c>
      <c r="B329" s="2">
        <v>20.0</v>
      </c>
      <c r="C329" s="2" t="s">
        <v>11</v>
      </c>
      <c r="D329" s="2" t="s">
        <v>1753</v>
      </c>
      <c r="E329" s="2">
        <v>7.0</v>
      </c>
      <c r="F329" s="2" t="s">
        <v>10</v>
      </c>
      <c r="G329" s="5">
        <v>2755422.0</v>
      </c>
      <c r="H329" s="2" t="s">
        <v>1575</v>
      </c>
      <c r="I329" s="2" t="s">
        <v>1565</v>
      </c>
      <c r="J329" s="2">
        <v>10002.0</v>
      </c>
      <c r="K329" s="2" t="s">
        <v>1576</v>
      </c>
      <c r="L329" s="2"/>
      <c r="M329" s="2"/>
      <c r="N329" s="7">
        <v>1.0</v>
      </c>
      <c r="O329" s="12">
        <v>18571.0</v>
      </c>
      <c r="P329" s="11" t="s">
        <v>1649</v>
      </c>
      <c r="Q329" s="12">
        <v>18571.0</v>
      </c>
      <c r="R329" s="11" t="s">
        <v>1649</v>
      </c>
      <c r="S329" s="11" t="s">
        <v>1656</v>
      </c>
      <c r="T329" s="11" t="s">
        <v>1657</v>
      </c>
      <c r="U329" s="2" t="s">
        <v>1574</v>
      </c>
      <c r="V329" s="2" t="s">
        <v>1568</v>
      </c>
      <c r="W329" s="2" t="s">
        <v>1569</v>
      </c>
      <c r="X329" s="2" t="s">
        <v>1570</v>
      </c>
      <c r="AB329" s="2" t="s">
        <v>1571</v>
      </c>
    </row>
    <row r="330">
      <c r="A330" s="2" t="s">
        <v>1752</v>
      </c>
      <c r="B330" s="2">
        <v>20.0</v>
      </c>
      <c r="C330" s="2" t="s">
        <v>11</v>
      </c>
      <c r="D330" s="2" t="s">
        <v>1753</v>
      </c>
      <c r="E330" s="2">
        <v>7.0</v>
      </c>
      <c r="F330" s="2" t="s">
        <v>10</v>
      </c>
      <c r="G330" s="5">
        <v>2755422.0</v>
      </c>
      <c r="H330" s="2" t="s">
        <v>1575</v>
      </c>
      <c r="I330" s="2" t="s">
        <v>1565</v>
      </c>
      <c r="J330" s="2">
        <v>10005.0</v>
      </c>
      <c r="K330" s="2" t="s">
        <v>1595</v>
      </c>
      <c r="L330" s="2"/>
      <c r="M330" s="2"/>
      <c r="N330" s="7">
        <v>1.0</v>
      </c>
      <c r="O330" s="12">
        <v>19524.0</v>
      </c>
      <c r="P330" s="11" t="s">
        <v>1649</v>
      </c>
      <c r="Q330" s="12">
        <v>19524.0</v>
      </c>
      <c r="R330" s="11" t="s">
        <v>1649</v>
      </c>
      <c r="S330" s="11" t="s">
        <v>1676</v>
      </c>
      <c r="T330" s="11" t="s">
        <v>1677</v>
      </c>
      <c r="U330" s="2" t="s">
        <v>1574</v>
      </c>
      <c r="V330" s="2" t="s">
        <v>1568</v>
      </c>
      <c r="W330" s="2" t="s">
        <v>1569</v>
      </c>
      <c r="X330" s="2" t="s">
        <v>1570</v>
      </c>
      <c r="AB330" s="2" t="s">
        <v>1571</v>
      </c>
    </row>
    <row r="331">
      <c r="A331" s="2" t="s">
        <v>1752</v>
      </c>
      <c r="B331" s="2">
        <v>19.0</v>
      </c>
      <c r="C331" s="2" t="s">
        <v>11</v>
      </c>
      <c r="D331" s="2" t="s">
        <v>1753</v>
      </c>
      <c r="E331" s="2">
        <v>7.0</v>
      </c>
      <c r="F331" s="2" t="s">
        <v>10</v>
      </c>
      <c r="G331" s="5">
        <v>2755057.0</v>
      </c>
      <c r="H331" s="2" t="s">
        <v>1575</v>
      </c>
      <c r="I331" s="2" t="s">
        <v>1572</v>
      </c>
      <c r="J331" s="2">
        <v>10026.0</v>
      </c>
      <c r="K331" s="2" t="s">
        <v>1583</v>
      </c>
      <c r="L331" s="2"/>
      <c r="M331" s="2"/>
      <c r="N331" s="7">
        <v>1.0</v>
      </c>
      <c r="O331" s="12">
        <v>21905.0</v>
      </c>
      <c r="P331" s="11" t="s">
        <v>1649</v>
      </c>
      <c r="Q331" s="12">
        <v>21905.0</v>
      </c>
      <c r="R331" s="11" t="s">
        <v>1649</v>
      </c>
      <c r="S331" s="11" t="s">
        <v>1666</v>
      </c>
      <c r="T331" s="11" t="s">
        <v>1667</v>
      </c>
      <c r="U331" s="2" t="s">
        <v>1574</v>
      </c>
      <c r="V331" s="2" t="s">
        <v>1568</v>
      </c>
      <c r="W331" s="2" t="s">
        <v>1569</v>
      </c>
      <c r="X331" s="2" t="s">
        <v>1570</v>
      </c>
      <c r="AB331" s="2" t="s">
        <v>1571</v>
      </c>
    </row>
    <row r="332">
      <c r="A332" s="2" t="s">
        <v>1752</v>
      </c>
      <c r="B332" s="2">
        <v>19.0</v>
      </c>
      <c r="C332" s="2" t="s">
        <v>11</v>
      </c>
      <c r="D332" s="2" t="s">
        <v>1753</v>
      </c>
      <c r="E332" s="2">
        <v>7.0</v>
      </c>
      <c r="F332" s="2" t="s">
        <v>10</v>
      </c>
      <c r="G332" s="5">
        <v>2755057.0</v>
      </c>
      <c r="H332" s="2" t="s">
        <v>1575</v>
      </c>
      <c r="I332" s="2" t="s">
        <v>1572</v>
      </c>
      <c r="J332" s="2">
        <v>10112.0</v>
      </c>
      <c r="K332" s="2" t="s">
        <v>1573</v>
      </c>
      <c r="L332" s="2"/>
      <c r="M332" s="2"/>
      <c r="N332" s="7">
        <v>1.0</v>
      </c>
      <c r="O332" s="12">
        <v>6667.0</v>
      </c>
      <c r="P332" s="11" t="s">
        <v>1649</v>
      </c>
      <c r="Q332" s="12">
        <v>6667.0</v>
      </c>
      <c r="R332" s="11" t="s">
        <v>1649</v>
      </c>
      <c r="S332" s="11" t="s">
        <v>1734</v>
      </c>
      <c r="T332" s="11" t="s">
        <v>1735</v>
      </c>
      <c r="U332" s="2" t="s">
        <v>1574</v>
      </c>
      <c r="V332" s="2" t="s">
        <v>1568</v>
      </c>
      <c r="W332" s="2" t="s">
        <v>1569</v>
      </c>
      <c r="X332" s="2" t="s">
        <v>1570</v>
      </c>
      <c r="AB332" s="2" t="s">
        <v>1571</v>
      </c>
    </row>
    <row r="333">
      <c r="A333" s="2" t="s">
        <v>1752</v>
      </c>
      <c r="B333" s="2">
        <v>19.0</v>
      </c>
      <c r="C333" s="2" t="s">
        <v>11</v>
      </c>
      <c r="D333" s="2" t="s">
        <v>1753</v>
      </c>
      <c r="E333" s="2">
        <v>7.0</v>
      </c>
      <c r="F333" s="2" t="s">
        <v>10</v>
      </c>
      <c r="G333" s="5">
        <v>2755057.0</v>
      </c>
      <c r="H333" s="2" t="s">
        <v>1575</v>
      </c>
      <c r="I333" s="2" t="s">
        <v>1572</v>
      </c>
      <c r="J333" s="2">
        <v>10127.0</v>
      </c>
      <c r="K333" s="2" t="s">
        <v>1592</v>
      </c>
      <c r="L333" s="2"/>
      <c r="M333" s="2"/>
      <c r="N333" s="7">
        <v>1.0</v>
      </c>
      <c r="O333" s="12">
        <v>18571.0</v>
      </c>
      <c r="P333" s="11" t="s">
        <v>1649</v>
      </c>
      <c r="Q333" s="12">
        <v>18571.0</v>
      </c>
      <c r="R333" s="11" t="s">
        <v>1649</v>
      </c>
      <c r="S333" s="11" t="s">
        <v>1656</v>
      </c>
      <c r="T333" s="11" t="s">
        <v>1688</v>
      </c>
      <c r="U333" s="2" t="s">
        <v>1574</v>
      </c>
      <c r="V333" s="2" t="s">
        <v>1568</v>
      </c>
      <c r="W333" s="2" t="s">
        <v>1569</v>
      </c>
      <c r="X333" s="2" t="s">
        <v>1570</v>
      </c>
      <c r="AB333" s="2" t="s">
        <v>1571</v>
      </c>
    </row>
    <row r="334">
      <c r="A334" s="2" t="s">
        <v>1752</v>
      </c>
      <c r="B334" s="2">
        <v>18.0</v>
      </c>
      <c r="C334" s="2" t="s">
        <v>11</v>
      </c>
      <c r="D334" s="2" t="s">
        <v>1753</v>
      </c>
      <c r="E334" s="2">
        <v>7.0</v>
      </c>
      <c r="F334" s="2" t="s">
        <v>10</v>
      </c>
      <c r="G334" s="5">
        <v>2754692.0</v>
      </c>
      <c r="H334" s="2" t="s">
        <v>1575</v>
      </c>
      <c r="I334" s="2" t="s">
        <v>1565</v>
      </c>
      <c r="J334" s="2">
        <v>10002.0</v>
      </c>
      <c r="K334" s="2" t="s">
        <v>1576</v>
      </c>
      <c r="L334" s="2"/>
      <c r="M334" s="2"/>
      <c r="N334" s="7">
        <v>1.0</v>
      </c>
      <c r="O334" s="12">
        <v>18571.0</v>
      </c>
      <c r="P334" s="11" t="s">
        <v>1649</v>
      </c>
      <c r="Q334" s="12">
        <v>18571.0</v>
      </c>
      <c r="R334" s="11" t="s">
        <v>1649</v>
      </c>
      <c r="S334" s="11" t="s">
        <v>1656</v>
      </c>
      <c r="T334" s="11" t="s">
        <v>1657</v>
      </c>
      <c r="U334" s="2" t="s">
        <v>1574</v>
      </c>
      <c r="V334" s="2" t="s">
        <v>1568</v>
      </c>
      <c r="W334" s="2" t="s">
        <v>1569</v>
      </c>
      <c r="X334" s="2" t="s">
        <v>1570</v>
      </c>
      <c r="AB334" s="2" t="s">
        <v>1571</v>
      </c>
    </row>
    <row r="335">
      <c r="A335" s="2" t="s">
        <v>1752</v>
      </c>
      <c r="B335" s="2">
        <v>16.0</v>
      </c>
      <c r="C335" s="2" t="s">
        <v>11</v>
      </c>
      <c r="D335" s="2" t="s">
        <v>1753</v>
      </c>
      <c r="E335" s="2">
        <v>7.0</v>
      </c>
      <c r="F335" s="2" t="s">
        <v>10</v>
      </c>
      <c r="G335" s="5">
        <v>2754327.0</v>
      </c>
      <c r="H335" s="2" t="s">
        <v>1575</v>
      </c>
      <c r="I335" s="2" t="s">
        <v>1572</v>
      </c>
      <c r="J335" s="2">
        <v>10128.0</v>
      </c>
      <c r="K335" s="2" t="s">
        <v>1588</v>
      </c>
      <c r="L335" s="2"/>
      <c r="M335" s="2"/>
      <c r="N335" s="7">
        <v>2.0</v>
      </c>
      <c r="O335" s="12">
        <v>46666.0</v>
      </c>
      <c r="P335" s="11" t="s">
        <v>1649</v>
      </c>
      <c r="Q335" s="12">
        <v>46666.0</v>
      </c>
      <c r="R335" s="11" t="s">
        <v>1649</v>
      </c>
      <c r="S335" s="11" t="s">
        <v>1691</v>
      </c>
      <c r="T335" s="11" t="s">
        <v>1692</v>
      </c>
      <c r="U335" s="2" t="s">
        <v>1574</v>
      </c>
      <c r="V335" s="2" t="s">
        <v>1568</v>
      </c>
      <c r="W335" s="2" t="s">
        <v>1569</v>
      </c>
      <c r="X335" s="2" t="s">
        <v>1570</v>
      </c>
      <c r="AB335" s="2" t="s">
        <v>1571</v>
      </c>
    </row>
    <row r="336">
      <c r="A336" s="2" t="s">
        <v>1752</v>
      </c>
      <c r="B336" s="2">
        <v>15.0</v>
      </c>
      <c r="C336" s="2" t="s">
        <v>11</v>
      </c>
      <c r="D336" s="2" t="s">
        <v>1753</v>
      </c>
      <c r="E336" s="2">
        <v>7.0</v>
      </c>
      <c r="F336" s="2" t="s">
        <v>10</v>
      </c>
      <c r="G336" s="5">
        <v>2753961.0</v>
      </c>
      <c r="H336" s="2" t="s">
        <v>1575</v>
      </c>
      <c r="I336" s="2" t="s">
        <v>1565</v>
      </c>
      <c r="J336" s="2">
        <v>10007.0</v>
      </c>
      <c r="K336" s="2" t="s">
        <v>1576</v>
      </c>
      <c r="L336" s="2"/>
      <c r="M336" s="2"/>
      <c r="N336" s="7">
        <v>2.0</v>
      </c>
      <c r="O336" s="12">
        <v>67620.0</v>
      </c>
      <c r="P336" s="11" t="s">
        <v>1649</v>
      </c>
      <c r="Q336" s="12">
        <v>67620.0</v>
      </c>
      <c r="R336" s="11" t="s">
        <v>1649</v>
      </c>
      <c r="S336" s="11" t="s">
        <v>1723</v>
      </c>
      <c r="T336" s="11" t="s">
        <v>1724</v>
      </c>
      <c r="U336" s="2" t="s">
        <v>1567</v>
      </c>
      <c r="V336" s="2" t="s">
        <v>1568</v>
      </c>
      <c r="W336" s="2" t="s">
        <v>1569</v>
      </c>
      <c r="X336" s="2" t="s">
        <v>1570</v>
      </c>
      <c r="AB336" s="2" t="s">
        <v>1571</v>
      </c>
    </row>
    <row r="337">
      <c r="A337" s="2" t="s">
        <v>1752</v>
      </c>
      <c r="B337" s="2">
        <v>15.0</v>
      </c>
      <c r="C337" s="2" t="s">
        <v>11</v>
      </c>
      <c r="D337" s="2" t="s">
        <v>1753</v>
      </c>
      <c r="E337" s="2">
        <v>7.0</v>
      </c>
      <c r="F337" s="2" t="s">
        <v>10</v>
      </c>
      <c r="G337" s="5">
        <v>2753961.0</v>
      </c>
      <c r="H337" s="2" t="s">
        <v>1575</v>
      </c>
      <c r="I337" s="2" t="s">
        <v>1565</v>
      </c>
      <c r="J337" s="2">
        <v>10055.0</v>
      </c>
      <c r="K337" s="2" t="s">
        <v>1595</v>
      </c>
      <c r="L337" s="2"/>
      <c r="M337" s="2"/>
      <c r="N337" s="7">
        <v>2.0</v>
      </c>
      <c r="O337" s="12">
        <v>69524.0</v>
      </c>
      <c r="P337" s="11" t="s">
        <v>1649</v>
      </c>
      <c r="Q337" s="12">
        <v>69524.0</v>
      </c>
      <c r="R337" s="11" t="s">
        <v>1649</v>
      </c>
      <c r="S337" s="11" t="s">
        <v>1718</v>
      </c>
      <c r="T337" s="11" t="s">
        <v>1736</v>
      </c>
      <c r="U337" s="2" t="s">
        <v>1567</v>
      </c>
      <c r="V337" s="2" t="s">
        <v>1568</v>
      </c>
      <c r="W337" s="2" t="s">
        <v>1569</v>
      </c>
      <c r="X337" s="2" t="s">
        <v>1570</v>
      </c>
      <c r="AB337" s="2" t="s">
        <v>1571</v>
      </c>
    </row>
    <row r="338">
      <c r="A338" s="2" t="s">
        <v>1752</v>
      </c>
      <c r="B338" s="2">
        <v>14.0</v>
      </c>
      <c r="C338" s="2" t="s">
        <v>11</v>
      </c>
      <c r="D338" s="2" t="s">
        <v>1753</v>
      </c>
      <c r="E338" s="2">
        <v>7.0</v>
      </c>
      <c r="F338" s="2" t="s">
        <v>10</v>
      </c>
      <c r="G338" s="5">
        <v>2753596.0</v>
      </c>
      <c r="H338" s="2" t="s">
        <v>1575</v>
      </c>
      <c r="I338" s="2" t="s">
        <v>1565</v>
      </c>
      <c r="J338" s="2">
        <v>10007.0</v>
      </c>
      <c r="K338" s="2" t="s">
        <v>1576</v>
      </c>
      <c r="L338" s="2"/>
      <c r="M338" s="2"/>
      <c r="N338" s="7">
        <v>2.0</v>
      </c>
      <c r="O338" s="12">
        <v>33810.0</v>
      </c>
      <c r="P338" s="11" t="s">
        <v>1649</v>
      </c>
      <c r="Q338" s="12">
        <v>33810.0</v>
      </c>
      <c r="R338" s="11" t="s">
        <v>1649</v>
      </c>
      <c r="S338" s="11" t="s">
        <v>1701</v>
      </c>
      <c r="T338" s="11" t="s">
        <v>1703</v>
      </c>
      <c r="U338" s="2" t="s">
        <v>1574</v>
      </c>
      <c r="V338" s="2" t="s">
        <v>1568</v>
      </c>
      <c r="W338" s="2" t="s">
        <v>1569</v>
      </c>
      <c r="X338" s="2" t="s">
        <v>1570</v>
      </c>
      <c r="AB338" s="2" t="s">
        <v>1571</v>
      </c>
    </row>
    <row r="339">
      <c r="A339" s="2" t="s">
        <v>1752</v>
      </c>
      <c r="B339" s="2">
        <v>14.0</v>
      </c>
      <c r="C339" s="2" t="s">
        <v>11</v>
      </c>
      <c r="D339" s="2" t="s">
        <v>1753</v>
      </c>
      <c r="E339" s="2">
        <v>7.0</v>
      </c>
      <c r="F339" s="2" t="s">
        <v>10</v>
      </c>
      <c r="G339" s="5">
        <v>2753596.0</v>
      </c>
      <c r="H339" s="2" t="s">
        <v>1575</v>
      </c>
      <c r="I339" s="2" t="s">
        <v>1565</v>
      </c>
      <c r="J339" s="2">
        <v>10005.0</v>
      </c>
      <c r="K339" s="2" t="s">
        <v>1595</v>
      </c>
      <c r="L339" s="2"/>
      <c r="M339" s="2"/>
      <c r="N339" s="7">
        <v>1.0</v>
      </c>
      <c r="O339" s="12">
        <v>19524.0</v>
      </c>
      <c r="P339" s="11" t="s">
        <v>1649</v>
      </c>
      <c r="Q339" s="12">
        <v>19524.0</v>
      </c>
      <c r="R339" s="11" t="s">
        <v>1649</v>
      </c>
      <c r="S339" s="11" t="s">
        <v>1676</v>
      </c>
      <c r="T339" s="11" t="s">
        <v>1677</v>
      </c>
      <c r="U339" s="2" t="s">
        <v>1574</v>
      </c>
      <c r="V339" s="2" t="s">
        <v>1568</v>
      </c>
      <c r="W339" s="2" t="s">
        <v>1569</v>
      </c>
      <c r="X339" s="2" t="s">
        <v>1570</v>
      </c>
      <c r="AB339" s="2" t="s">
        <v>1571</v>
      </c>
    </row>
    <row r="340">
      <c r="A340" s="2" t="s">
        <v>1752</v>
      </c>
      <c r="B340" s="2">
        <v>14.0</v>
      </c>
      <c r="C340" s="2" t="s">
        <v>11</v>
      </c>
      <c r="D340" s="2" t="s">
        <v>1753</v>
      </c>
      <c r="E340" s="2">
        <v>7.0</v>
      </c>
      <c r="F340" s="2" t="s">
        <v>10</v>
      </c>
      <c r="G340" s="5">
        <v>2753231.0</v>
      </c>
      <c r="H340" s="2" t="s">
        <v>1575</v>
      </c>
      <c r="I340" s="2" t="s">
        <v>1580</v>
      </c>
      <c r="J340" s="2">
        <v>10003.0</v>
      </c>
      <c r="K340" s="2" t="s">
        <v>1603</v>
      </c>
      <c r="L340" s="2"/>
      <c r="M340" s="2"/>
      <c r="N340" s="7">
        <v>1.0</v>
      </c>
      <c r="O340" s="12">
        <v>29524.0</v>
      </c>
      <c r="P340" s="11" t="s">
        <v>1649</v>
      </c>
      <c r="Q340" s="12">
        <v>29524.0</v>
      </c>
      <c r="R340" s="11" t="s">
        <v>1649</v>
      </c>
      <c r="S340" s="11" t="s">
        <v>1683</v>
      </c>
      <c r="T340" s="11" t="s">
        <v>1684</v>
      </c>
      <c r="U340" s="2" t="s">
        <v>1574</v>
      </c>
      <c r="V340" s="2" t="s">
        <v>1568</v>
      </c>
      <c r="W340" s="2" t="s">
        <v>1569</v>
      </c>
      <c r="X340" s="2" t="s">
        <v>1570</v>
      </c>
      <c r="AB340" s="2" t="s">
        <v>1571</v>
      </c>
    </row>
    <row r="341">
      <c r="A341" s="2" t="s">
        <v>1752</v>
      </c>
      <c r="B341" s="2">
        <v>14.0</v>
      </c>
      <c r="C341" s="2" t="s">
        <v>11</v>
      </c>
      <c r="D341" s="2" t="s">
        <v>1753</v>
      </c>
      <c r="E341" s="2">
        <v>7.0</v>
      </c>
      <c r="F341" s="2" t="s">
        <v>10</v>
      </c>
      <c r="G341" s="5">
        <v>2753231.0</v>
      </c>
      <c r="H341" s="2" t="s">
        <v>1575</v>
      </c>
      <c r="I341" s="2" t="s">
        <v>1572</v>
      </c>
      <c r="J341" s="2">
        <v>10121.0</v>
      </c>
      <c r="K341" s="2" t="s">
        <v>1617</v>
      </c>
      <c r="L341" s="2"/>
      <c r="M341" s="2"/>
      <c r="N341" s="7">
        <v>1.0</v>
      </c>
      <c r="O341" s="12">
        <v>19524.0</v>
      </c>
      <c r="P341" s="11" t="s">
        <v>1649</v>
      </c>
      <c r="Q341" s="12">
        <v>19524.0</v>
      </c>
      <c r="R341" s="11" t="s">
        <v>1649</v>
      </c>
      <c r="S341" s="11" t="s">
        <v>1676</v>
      </c>
      <c r="T341" s="11" t="s">
        <v>1677</v>
      </c>
      <c r="U341" s="2" t="s">
        <v>1574</v>
      </c>
      <c r="V341" s="2" t="s">
        <v>1568</v>
      </c>
      <c r="W341" s="2" t="s">
        <v>1569</v>
      </c>
      <c r="X341" s="2" t="s">
        <v>1570</v>
      </c>
      <c r="AB341" s="2" t="s">
        <v>1571</v>
      </c>
    </row>
    <row r="342">
      <c r="A342" s="2" t="s">
        <v>1752</v>
      </c>
      <c r="B342" s="2">
        <v>14.0</v>
      </c>
      <c r="C342" s="2" t="s">
        <v>11</v>
      </c>
      <c r="D342" s="2" t="s">
        <v>1753</v>
      </c>
      <c r="E342" s="2">
        <v>7.0</v>
      </c>
      <c r="F342" s="2" t="s">
        <v>10</v>
      </c>
      <c r="G342" s="5">
        <v>2753231.0</v>
      </c>
      <c r="H342" s="2" t="s">
        <v>1575</v>
      </c>
      <c r="I342" s="2" t="s">
        <v>1572</v>
      </c>
      <c r="J342" s="2">
        <v>10128.0</v>
      </c>
      <c r="K342" s="2" t="s">
        <v>1588</v>
      </c>
      <c r="L342" s="2"/>
      <c r="M342" s="2"/>
      <c r="N342" s="7">
        <v>1.0</v>
      </c>
      <c r="O342" s="12">
        <v>23333.0</v>
      </c>
      <c r="P342" s="11" t="s">
        <v>1649</v>
      </c>
      <c r="Q342" s="12">
        <v>23333.0</v>
      </c>
      <c r="R342" s="11" t="s">
        <v>1649</v>
      </c>
      <c r="S342" s="11" t="s">
        <v>1681</v>
      </c>
      <c r="T342" s="11" t="s">
        <v>1682</v>
      </c>
      <c r="U342" s="2" t="s">
        <v>1574</v>
      </c>
      <c r="V342" s="2" t="s">
        <v>1568</v>
      </c>
      <c r="W342" s="2" t="s">
        <v>1569</v>
      </c>
      <c r="X342" s="2" t="s">
        <v>1570</v>
      </c>
      <c r="AB342" s="2" t="s">
        <v>1571</v>
      </c>
    </row>
    <row r="343">
      <c r="A343" s="2" t="s">
        <v>1752</v>
      </c>
      <c r="B343" s="2">
        <v>14.0</v>
      </c>
      <c r="C343" s="2" t="s">
        <v>11</v>
      </c>
      <c r="D343" s="2" t="s">
        <v>1753</v>
      </c>
      <c r="E343" s="2">
        <v>7.0</v>
      </c>
      <c r="F343" s="2" t="s">
        <v>10</v>
      </c>
      <c r="G343" s="5">
        <v>2753231.0</v>
      </c>
      <c r="H343" s="2" t="s">
        <v>1575</v>
      </c>
      <c r="I343" s="2" t="s">
        <v>1565</v>
      </c>
      <c r="J343" s="2">
        <v>10000.0</v>
      </c>
      <c r="K343" s="2" t="s">
        <v>1566</v>
      </c>
      <c r="L343" s="2"/>
      <c r="M343" s="2"/>
      <c r="N343" s="7">
        <v>1.0</v>
      </c>
      <c r="O343" s="12">
        <v>29524.0</v>
      </c>
      <c r="P343" s="11" t="s">
        <v>1649</v>
      </c>
      <c r="Q343" s="12">
        <v>29524.0</v>
      </c>
      <c r="R343" s="11" t="s">
        <v>1649</v>
      </c>
      <c r="S343" s="11" t="s">
        <v>1683</v>
      </c>
      <c r="T343" s="11" t="s">
        <v>1684</v>
      </c>
      <c r="U343" s="2" t="s">
        <v>1574</v>
      </c>
      <c r="V343" s="2" t="s">
        <v>1568</v>
      </c>
      <c r="W343" s="2" t="s">
        <v>1569</v>
      </c>
      <c r="X343" s="2" t="s">
        <v>1570</v>
      </c>
      <c r="AB343" s="2" t="s">
        <v>1571</v>
      </c>
    </row>
    <row r="344">
      <c r="A344" s="2" t="s">
        <v>1752</v>
      </c>
      <c r="B344" s="2">
        <v>13.0</v>
      </c>
      <c r="C344" s="2" t="s">
        <v>11</v>
      </c>
      <c r="D344" s="2" t="s">
        <v>1753</v>
      </c>
      <c r="E344" s="2">
        <v>7.0</v>
      </c>
      <c r="F344" s="2" t="s">
        <v>10</v>
      </c>
      <c r="G344" s="5">
        <v>2752866.0</v>
      </c>
      <c r="H344" s="2" t="s">
        <v>1575</v>
      </c>
      <c r="I344" s="2" t="s">
        <v>1565</v>
      </c>
      <c r="J344" s="2">
        <v>10007.0</v>
      </c>
      <c r="K344" s="2" t="s">
        <v>1576</v>
      </c>
      <c r="L344" s="2"/>
      <c r="M344" s="2"/>
      <c r="N344" s="7">
        <v>2.0</v>
      </c>
      <c r="O344" s="12">
        <v>33810.0</v>
      </c>
      <c r="P344" s="11" t="s">
        <v>1649</v>
      </c>
      <c r="Q344" s="12">
        <v>33810.0</v>
      </c>
      <c r="R344" s="11" t="s">
        <v>1649</v>
      </c>
      <c r="S344" s="11" t="s">
        <v>1701</v>
      </c>
      <c r="T344" s="11" t="s">
        <v>1703</v>
      </c>
      <c r="U344" s="2" t="s">
        <v>1574</v>
      </c>
      <c r="V344" s="2" t="s">
        <v>1568</v>
      </c>
      <c r="W344" s="2" t="s">
        <v>1569</v>
      </c>
      <c r="X344" s="2" t="s">
        <v>1570</v>
      </c>
      <c r="AB344" s="2" t="s">
        <v>1571</v>
      </c>
    </row>
    <row r="345">
      <c r="A345" s="2" t="s">
        <v>1752</v>
      </c>
      <c r="B345" s="2">
        <v>13.0</v>
      </c>
      <c r="C345" s="2" t="s">
        <v>11</v>
      </c>
      <c r="D345" s="2" t="s">
        <v>1753</v>
      </c>
      <c r="E345" s="2">
        <v>7.0</v>
      </c>
      <c r="F345" s="2" t="s">
        <v>10</v>
      </c>
      <c r="G345" s="5">
        <v>2752866.0</v>
      </c>
      <c r="H345" s="2" t="s">
        <v>1575</v>
      </c>
      <c r="I345" s="2" t="s">
        <v>1572</v>
      </c>
      <c r="J345" s="2">
        <v>10125.0</v>
      </c>
      <c r="K345" s="2" t="s">
        <v>1601</v>
      </c>
      <c r="L345" s="2"/>
      <c r="M345" s="2"/>
      <c r="N345" s="7">
        <v>1.0</v>
      </c>
      <c r="O345" s="12">
        <v>20476.0</v>
      </c>
      <c r="P345" s="11" t="s">
        <v>1649</v>
      </c>
      <c r="Q345" s="12">
        <v>20476.0</v>
      </c>
      <c r="R345" s="11" t="s">
        <v>1649</v>
      </c>
      <c r="S345" s="11" t="s">
        <v>1716</v>
      </c>
      <c r="T345" s="11" t="s">
        <v>1722</v>
      </c>
      <c r="U345" s="2" t="s">
        <v>1574</v>
      </c>
      <c r="V345" s="2" t="s">
        <v>1568</v>
      </c>
      <c r="W345" s="2" t="s">
        <v>1569</v>
      </c>
      <c r="X345" s="2" t="s">
        <v>1570</v>
      </c>
      <c r="AB345" s="2" t="s">
        <v>1571</v>
      </c>
    </row>
    <row r="346">
      <c r="A346" s="2" t="s">
        <v>1752</v>
      </c>
      <c r="B346" s="2">
        <v>13.0</v>
      </c>
      <c r="C346" s="2" t="s">
        <v>11</v>
      </c>
      <c r="D346" s="2" t="s">
        <v>1753</v>
      </c>
      <c r="E346" s="2">
        <v>7.0</v>
      </c>
      <c r="F346" s="2" t="s">
        <v>10</v>
      </c>
      <c r="G346" s="5">
        <v>2752866.0</v>
      </c>
      <c r="H346" s="2" t="s">
        <v>1575</v>
      </c>
      <c r="I346" s="2" t="s">
        <v>1572</v>
      </c>
      <c r="J346" s="2">
        <v>10121.0</v>
      </c>
      <c r="K346" s="2" t="s">
        <v>1617</v>
      </c>
      <c r="L346" s="2"/>
      <c r="M346" s="2"/>
      <c r="N346" s="7">
        <v>1.0</v>
      </c>
      <c r="O346" s="12">
        <v>19524.0</v>
      </c>
      <c r="P346" s="11" t="s">
        <v>1649</v>
      </c>
      <c r="Q346" s="12">
        <v>19524.0</v>
      </c>
      <c r="R346" s="11" t="s">
        <v>1649</v>
      </c>
      <c r="S346" s="11" t="s">
        <v>1676</v>
      </c>
      <c r="T346" s="11" t="s">
        <v>1694</v>
      </c>
      <c r="U346" s="2" t="s">
        <v>1574</v>
      </c>
      <c r="V346" s="2" t="s">
        <v>1568</v>
      </c>
      <c r="W346" s="2" t="s">
        <v>1569</v>
      </c>
      <c r="X346" s="2" t="s">
        <v>1570</v>
      </c>
      <c r="AB346" s="2" t="s">
        <v>1571</v>
      </c>
    </row>
    <row r="347">
      <c r="A347" s="2" t="s">
        <v>1752</v>
      </c>
      <c r="B347" s="2">
        <v>13.0</v>
      </c>
      <c r="C347" s="2" t="s">
        <v>11</v>
      </c>
      <c r="D347" s="2" t="s">
        <v>1753</v>
      </c>
      <c r="E347" s="2">
        <v>7.0</v>
      </c>
      <c r="F347" s="2" t="s">
        <v>10</v>
      </c>
      <c r="G347" s="5">
        <v>2752866.0</v>
      </c>
      <c r="H347" s="2" t="s">
        <v>1575</v>
      </c>
      <c r="I347" s="2" t="s">
        <v>1572</v>
      </c>
      <c r="J347" s="2">
        <v>10106.0</v>
      </c>
      <c r="K347" s="2" t="s">
        <v>1598</v>
      </c>
      <c r="L347" s="2"/>
      <c r="M347" s="2"/>
      <c r="N347" s="7">
        <v>1.0</v>
      </c>
      <c r="O347" s="12">
        <v>26667.0</v>
      </c>
      <c r="P347" s="11" t="s">
        <v>1649</v>
      </c>
      <c r="Q347" s="12">
        <v>26667.0</v>
      </c>
      <c r="R347" s="11" t="s">
        <v>1649</v>
      </c>
      <c r="S347" s="11" t="s">
        <v>1674</v>
      </c>
      <c r="T347" s="11" t="s">
        <v>1679</v>
      </c>
      <c r="U347" s="2" t="s">
        <v>1574</v>
      </c>
      <c r="V347" s="2" t="s">
        <v>1568</v>
      </c>
      <c r="W347" s="2" t="s">
        <v>1569</v>
      </c>
      <c r="X347" s="2" t="s">
        <v>1570</v>
      </c>
      <c r="AB347" s="2" t="s">
        <v>1571</v>
      </c>
    </row>
    <row r="348">
      <c r="A348" s="2" t="s">
        <v>1752</v>
      </c>
      <c r="B348" s="2">
        <v>13.0</v>
      </c>
      <c r="C348" s="2" t="s">
        <v>11</v>
      </c>
      <c r="D348" s="2" t="s">
        <v>1753</v>
      </c>
      <c r="E348" s="2">
        <v>7.0</v>
      </c>
      <c r="F348" s="2" t="s">
        <v>10</v>
      </c>
      <c r="G348" s="5">
        <v>2752866.0</v>
      </c>
      <c r="H348" s="2" t="s">
        <v>1575</v>
      </c>
      <c r="I348" s="2" t="s">
        <v>1578</v>
      </c>
      <c r="J348" s="2">
        <v>10015.0</v>
      </c>
      <c r="K348" s="2" t="s">
        <v>1587</v>
      </c>
      <c r="L348" s="2"/>
      <c r="M348" s="2"/>
      <c r="N348" s="7">
        <v>1.0</v>
      </c>
      <c r="O348" s="12">
        <v>25238.0</v>
      </c>
      <c r="P348" s="11" t="s">
        <v>1649</v>
      </c>
      <c r="Q348" s="12">
        <v>25238.0</v>
      </c>
      <c r="R348" s="11" t="s">
        <v>1649</v>
      </c>
      <c r="S348" s="11" t="s">
        <v>1660</v>
      </c>
      <c r="T348" s="11" t="s">
        <v>1680</v>
      </c>
      <c r="U348" s="2" t="s">
        <v>1574</v>
      </c>
      <c r="V348" s="2" t="s">
        <v>1568</v>
      </c>
      <c r="W348" s="2" t="s">
        <v>1569</v>
      </c>
      <c r="X348" s="2" t="s">
        <v>1570</v>
      </c>
      <c r="AB348" s="2" t="s">
        <v>1571</v>
      </c>
    </row>
    <row r="349">
      <c r="A349" s="2" t="s">
        <v>1752</v>
      </c>
      <c r="B349" s="2">
        <v>13.0</v>
      </c>
      <c r="C349" s="2" t="s">
        <v>11</v>
      </c>
      <c r="D349" s="2" t="s">
        <v>1753</v>
      </c>
      <c r="E349" s="2">
        <v>7.0</v>
      </c>
      <c r="F349" s="2" t="s">
        <v>10</v>
      </c>
      <c r="G349" s="5">
        <v>2752866.0</v>
      </c>
      <c r="H349" s="2" t="s">
        <v>1575</v>
      </c>
      <c r="I349" s="2" t="s">
        <v>1578</v>
      </c>
      <c r="J349" s="2">
        <v>10014.0</v>
      </c>
      <c r="K349" s="2" t="s">
        <v>1609</v>
      </c>
      <c r="L349" s="2"/>
      <c r="M349" s="2"/>
      <c r="N349" s="7">
        <v>1.0</v>
      </c>
      <c r="O349" s="12">
        <v>25238.0</v>
      </c>
      <c r="P349" s="11" t="s">
        <v>1649</v>
      </c>
      <c r="Q349" s="12">
        <v>25238.0</v>
      </c>
      <c r="R349" s="11" t="s">
        <v>1649</v>
      </c>
      <c r="S349" s="11" t="s">
        <v>1660</v>
      </c>
      <c r="T349" s="11" t="s">
        <v>1680</v>
      </c>
      <c r="U349" s="2" t="s">
        <v>1574</v>
      </c>
      <c r="V349" s="2" t="s">
        <v>1568</v>
      </c>
      <c r="W349" s="2" t="s">
        <v>1569</v>
      </c>
      <c r="X349" s="2" t="s">
        <v>1570</v>
      </c>
      <c r="AB349" s="2" t="s">
        <v>1571</v>
      </c>
    </row>
    <row r="350">
      <c r="A350" s="2" t="s">
        <v>1752</v>
      </c>
      <c r="B350" s="2">
        <v>13.0</v>
      </c>
      <c r="C350" s="2" t="s">
        <v>11</v>
      </c>
      <c r="D350" s="2" t="s">
        <v>1753</v>
      </c>
      <c r="E350" s="2">
        <v>7.0</v>
      </c>
      <c r="F350" s="2" t="s">
        <v>10</v>
      </c>
      <c r="G350" s="5">
        <v>2752500.0</v>
      </c>
      <c r="H350" s="2" t="s">
        <v>1575</v>
      </c>
      <c r="I350" s="2" t="s">
        <v>1565</v>
      </c>
      <c r="J350" s="2">
        <v>10055.0</v>
      </c>
      <c r="K350" s="2" t="s">
        <v>1595</v>
      </c>
      <c r="L350" s="2"/>
      <c r="M350" s="2"/>
      <c r="N350" s="7">
        <v>2.0</v>
      </c>
      <c r="O350" s="12">
        <v>34762.0</v>
      </c>
      <c r="P350" s="11" t="s">
        <v>1649</v>
      </c>
      <c r="Q350" s="12">
        <v>34762.0</v>
      </c>
      <c r="R350" s="11" t="s">
        <v>1649</v>
      </c>
      <c r="S350" s="11" t="s">
        <v>1670</v>
      </c>
      <c r="T350" s="11" t="s">
        <v>1671</v>
      </c>
      <c r="U350" s="2" t="s">
        <v>1574</v>
      </c>
      <c r="V350" s="2" t="s">
        <v>1568</v>
      </c>
      <c r="W350" s="2" t="s">
        <v>1569</v>
      </c>
      <c r="X350" s="2" t="s">
        <v>1570</v>
      </c>
      <c r="AB350" s="2" t="s">
        <v>1571</v>
      </c>
    </row>
    <row r="351">
      <c r="A351" s="2" t="s">
        <v>1752</v>
      </c>
      <c r="B351" s="2">
        <v>13.0</v>
      </c>
      <c r="C351" s="2" t="s">
        <v>11</v>
      </c>
      <c r="D351" s="2" t="s">
        <v>1753</v>
      </c>
      <c r="E351" s="2">
        <v>7.0</v>
      </c>
      <c r="F351" s="2" t="s">
        <v>10</v>
      </c>
      <c r="G351" s="5">
        <v>2752500.0</v>
      </c>
      <c r="H351" s="2" t="s">
        <v>1575</v>
      </c>
      <c r="I351" s="2" t="s">
        <v>1565</v>
      </c>
      <c r="J351" s="2">
        <v>10007.0</v>
      </c>
      <c r="K351" s="2" t="s">
        <v>1576</v>
      </c>
      <c r="L351" s="2"/>
      <c r="M351" s="2"/>
      <c r="N351" s="7">
        <v>2.0</v>
      </c>
      <c r="O351" s="12">
        <v>33810.0</v>
      </c>
      <c r="P351" s="11" t="s">
        <v>1649</v>
      </c>
      <c r="Q351" s="12">
        <v>33810.0</v>
      </c>
      <c r="R351" s="11" t="s">
        <v>1649</v>
      </c>
      <c r="S351" s="11" t="s">
        <v>1701</v>
      </c>
      <c r="T351" s="11" t="s">
        <v>1703</v>
      </c>
      <c r="U351" s="2" t="s">
        <v>1574</v>
      </c>
      <c r="V351" s="2" t="s">
        <v>1568</v>
      </c>
      <c r="W351" s="2" t="s">
        <v>1569</v>
      </c>
      <c r="X351" s="2" t="s">
        <v>1570</v>
      </c>
      <c r="AB351" s="2" t="s">
        <v>1571</v>
      </c>
    </row>
    <row r="352">
      <c r="A352" s="2" t="s">
        <v>1752</v>
      </c>
      <c r="B352" s="2">
        <v>13.0</v>
      </c>
      <c r="C352" s="2" t="s">
        <v>11</v>
      </c>
      <c r="D352" s="2" t="s">
        <v>1753</v>
      </c>
      <c r="E352" s="2">
        <v>7.0</v>
      </c>
      <c r="F352" s="2" t="s">
        <v>10</v>
      </c>
      <c r="G352" s="5">
        <v>2752500.0</v>
      </c>
      <c r="H352" s="2" t="s">
        <v>1575</v>
      </c>
      <c r="I352" s="2" t="s">
        <v>1565</v>
      </c>
      <c r="J352" s="2">
        <v>10005.0</v>
      </c>
      <c r="K352" s="2" t="s">
        <v>1595</v>
      </c>
      <c r="L352" s="2"/>
      <c r="M352" s="2"/>
      <c r="N352" s="7">
        <v>1.0</v>
      </c>
      <c r="O352" s="12">
        <v>19524.0</v>
      </c>
      <c r="P352" s="11" t="s">
        <v>1649</v>
      </c>
      <c r="Q352" s="12">
        <v>19524.0</v>
      </c>
      <c r="R352" s="11" t="s">
        <v>1649</v>
      </c>
      <c r="S352" s="11" t="s">
        <v>1676</v>
      </c>
      <c r="T352" s="11" t="s">
        <v>1677</v>
      </c>
      <c r="U352" s="2" t="s">
        <v>1574</v>
      </c>
      <c r="V352" s="2" t="s">
        <v>1568</v>
      </c>
      <c r="W352" s="2" t="s">
        <v>1569</v>
      </c>
      <c r="X352" s="2" t="s">
        <v>1570</v>
      </c>
      <c r="AB352" s="2" t="s">
        <v>1571</v>
      </c>
    </row>
    <row r="353">
      <c r="A353" s="2" t="s">
        <v>1752</v>
      </c>
      <c r="B353" s="2">
        <v>13.0</v>
      </c>
      <c r="C353" s="2" t="s">
        <v>11</v>
      </c>
      <c r="D353" s="2" t="s">
        <v>1753</v>
      </c>
      <c r="E353" s="2">
        <v>7.0</v>
      </c>
      <c r="F353" s="2" t="s">
        <v>10</v>
      </c>
      <c r="G353" s="5">
        <v>2752135.0</v>
      </c>
      <c r="H353" s="2" t="s">
        <v>1575</v>
      </c>
      <c r="I353" s="2" t="s">
        <v>1572</v>
      </c>
      <c r="J353" s="2">
        <v>10013.0</v>
      </c>
      <c r="K353" s="2" t="s">
        <v>1591</v>
      </c>
      <c r="L353" s="2"/>
      <c r="M353" s="2"/>
      <c r="N353" s="7">
        <v>1.0</v>
      </c>
      <c r="O353" s="12">
        <v>23333.0</v>
      </c>
      <c r="P353" s="11" t="s">
        <v>1649</v>
      </c>
      <c r="Q353" s="12">
        <v>23333.0</v>
      </c>
      <c r="R353" s="11" t="s">
        <v>1649</v>
      </c>
      <c r="S353" s="11" t="s">
        <v>1681</v>
      </c>
      <c r="T353" s="11" t="s">
        <v>1682</v>
      </c>
      <c r="U353" s="2" t="s">
        <v>1574</v>
      </c>
      <c r="V353" s="2" t="s">
        <v>1568</v>
      </c>
      <c r="W353" s="2" t="s">
        <v>1569</v>
      </c>
      <c r="X353" s="2" t="s">
        <v>1570</v>
      </c>
      <c r="AB353" s="2" t="s">
        <v>1571</v>
      </c>
    </row>
    <row r="354">
      <c r="A354" s="2" t="s">
        <v>1752</v>
      </c>
      <c r="B354" s="2">
        <v>13.0</v>
      </c>
      <c r="C354" s="2" t="s">
        <v>11</v>
      </c>
      <c r="D354" s="2" t="s">
        <v>1753</v>
      </c>
      <c r="E354" s="2">
        <v>7.0</v>
      </c>
      <c r="F354" s="2" t="s">
        <v>10</v>
      </c>
      <c r="G354" s="5">
        <v>2752135.0</v>
      </c>
      <c r="H354" s="2" t="s">
        <v>1575</v>
      </c>
      <c r="I354" s="2" t="s">
        <v>1565</v>
      </c>
      <c r="J354" s="2">
        <v>10005.0</v>
      </c>
      <c r="K354" s="2" t="s">
        <v>1595</v>
      </c>
      <c r="L354" s="2"/>
      <c r="M354" s="2"/>
      <c r="N354" s="7">
        <v>1.0</v>
      </c>
      <c r="O354" s="12">
        <v>19524.0</v>
      </c>
      <c r="P354" s="11" t="s">
        <v>1649</v>
      </c>
      <c r="Q354" s="12">
        <v>19524.0</v>
      </c>
      <c r="R354" s="11" t="s">
        <v>1649</v>
      </c>
      <c r="S354" s="11" t="s">
        <v>1676</v>
      </c>
      <c r="T354" s="11" t="s">
        <v>1677</v>
      </c>
      <c r="U354" s="2" t="s">
        <v>1574</v>
      </c>
      <c r="V354" s="2" t="s">
        <v>1568</v>
      </c>
      <c r="W354" s="2" t="s">
        <v>1569</v>
      </c>
      <c r="X354" s="2" t="s">
        <v>1570</v>
      </c>
      <c r="AB354" s="2" t="s">
        <v>1571</v>
      </c>
    </row>
    <row r="355">
      <c r="A355" s="2" t="s">
        <v>1752</v>
      </c>
      <c r="B355" s="2">
        <v>13.0</v>
      </c>
      <c r="C355" s="2" t="s">
        <v>11</v>
      </c>
      <c r="D355" s="2" t="s">
        <v>1753</v>
      </c>
      <c r="E355" s="2">
        <v>7.0</v>
      </c>
      <c r="F355" s="2" t="s">
        <v>10</v>
      </c>
      <c r="G355" s="5">
        <v>2752135.0</v>
      </c>
      <c r="H355" s="2" t="s">
        <v>1575</v>
      </c>
      <c r="I355" s="2" t="s">
        <v>1565</v>
      </c>
      <c r="J355" s="2">
        <v>10002.0</v>
      </c>
      <c r="K355" s="2" t="s">
        <v>1576</v>
      </c>
      <c r="L355" s="2"/>
      <c r="M355" s="2"/>
      <c r="N355" s="7">
        <v>1.0</v>
      </c>
      <c r="O355" s="12">
        <v>18571.0</v>
      </c>
      <c r="P355" s="11" t="s">
        <v>1649</v>
      </c>
      <c r="Q355" s="12">
        <v>18571.0</v>
      </c>
      <c r="R355" s="11" t="s">
        <v>1649</v>
      </c>
      <c r="S355" s="11" t="s">
        <v>1656</v>
      </c>
      <c r="T355" s="11" t="s">
        <v>1688</v>
      </c>
      <c r="U355" s="2" t="s">
        <v>1574</v>
      </c>
      <c r="V355" s="2" t="s">
        <v>1568</v>
      </c>
      <c r="W355" s="2" t="s">
        <v>1569</v>
      </c>
      <c r="X355" s="2" t="s">
        <v>1570</v>
      </c>
      <c r="AB355" s="2" t="s">
        <v>1571</v>
      </c>
    </row>
    <row r="356">
      <c r="A356" s="2" t="s">
        <v>1752</v>
      </c>
      <c r="B356" s="2">
        <v>13.0</v>
      </c>
      <c r="C356" s="2" t="s">
        <v>11</v>
      </c>
      <c r="D356" s="2" t="s">
        <v>1753</v>
      </c>
      <c r="E356" s="2">
        <v>7.0</v>
      </c>
      <c r="F356" s="2" t="s">
        <v>10</v>
      </c>
      <c r="G356" s="5">
        <v>2752135.0</v>
      </c>
      <c r="H356" s="2" t="s">
        <v>1575</v>
      </c>
      <c r="I356" s="2" t="s">
        <v>1572</v>
      </c>
      <c r="J356" s="2">
        <v>10057.0</v>
      </c>
      <c r="K356" s="2" t="s">
        <v>1608</v>
      </c>
      <c r="L356" s="2"/>
      <c r="M356" s="2"/>
      <c r="N356" s="7">
        <v>1.0</v>
      </c>
      <c r="O356" s="12">
        <v>19524.0</v>
      </c>
      <c r="P356" s="11" t="s">
        <v>1649</v>
      </c>
      <c r="Q356" s="12">
        <v>19524.0</v>
      </c>
      <c r="R356" s="11" t="s">
        <v>1649</v>
      </c>
      <c r="S356" s="11" t="s">
        <v>1676</v>
      </c>
      <c r="T356" s="11" t="s">
        <v>1694</v>
      </c>
      <c r="U356" s="2" t="s">
        <v>1574</v>
      </c>
      <c r="V356" s="2" t="s">
        <v>1568</v>
      </c>
      <c r="W356" s="2" t="s">
        <v>1569</v>
      </c>
      <c r="X356" s="2" t="s">
        <v>1570</v>
      </c>
      <c r="AA356" s="2" t="s">
        <v>1624</v>
      </c>
      <c r="AB356" s="2" t="s">
        <v>1571</v>
      </c>
    </row>
    <row r="357">
      <c r="A357" s="2" t="s">
        <v>1752</v>
      </c>
      <c r="B357" s="2">
        <v>13.0</v>
      </c>
      <c r="C357" s="2" t="s">
        <v>11</v>
      </c>
      <c r="D357" s="2" t="s">
        <v>1753</v>
      </c>
      <c r="E357" s="2">
        <v>7.0</v>
      </c>
      <c r="F357" s="2" t="s">
        <v>10</v>
      </c>
      <c r="G357" s="5">
        <v>2751770.0</v>
      </c>
      <c r="H357" s="2" t="s">
        <v>1575</v>
      </c>
      <c r="I357" s="2" t="s">
        <v>1565</v>
      </c>
      <c r="J357" s="2">
        <v>10007.0</v>
      </c>
      <c r="K357" s="2" t="s">
        <v>1576</v>
      </c>
      <c r="L357" s="2"/>
      <c r="M357" s="2"/>
      <c r="N357" s="7">
        <v>2.0</v>
      </c>
      <c r="O357" s="12">
        <v>33810.0</v>
      </c>
      <c r="P357" s="11" t="s">
        <v>1649</v>
      </c>
      <c r="Q357" s="12">
        <v>33810.0</v>
      </c>
      <c r="R357" s="11" t="s">
        <v>1649</v>
      </c>
      <c r="S357" s="11" t="s">
        <v>1701</v>
      </c>
      <c r="T357" s="11" t="s">
        <v>1703</v>
      </c>
      <c r="U357" s="2" t="s">
        <v>1574</v>
      </c>
      <c r="V357" s="2" t="s">
        <v>1568</v>
      </c>
      <c r="W357" s="2" t="s">
        <v>1569</v>
      </c>
      <c r="X357" s="2" t="s">
        <v>1570</v>
      </c>
      <c r="AB357" s="2" t="s">
        <v>1571</v>
      </c>
    </row>
    <row r="358">
      <c r="A358" s="2" t="s">
        <v>1752</v>
      </c>
      <c r="B358" s="2">
        <v>13.0</v>
      </c>
      <c r="C358" s="2" t="s">
        <v>11</v>
      </c>
      <c r="D358" s="2" t="s">
        <v>1753</v>
      </c>
      <c r="E358" s="2">
        <v>7.0</v>
      </c>
      <c r="F358" s="2" t="s">
        <v>10</v>
      </c>
      <c r="G358" s="5">
        <v>2751770.0</v>
      </c>
      <c r="H358" s="2" t="s">
        <v>1575</v>
      </c>
      <c r="I358" s="2" t="s">
        <v>1565</v>
      </c>
      <c r="J358" s="2">
        <v>10055.0</v>
      </c>
      <c r="K358" s="2" t="s">
        <v>1595</v>
      </c>
      <c r="L358" s="2"/>
      <c r="M358" s="2"/>
      <c r="N358" s="7">
        <v>2.0</v>
      </c>
      <c r="O358" s="12">
        <v>34762.0</v>
      </c>
      <c r="P358" s="11" t="s">
        <v>1649</v>
      </c>
      <c r="Q358" s="12">
        <v>34762.0</v>
      </c>
      <c r="R358" s="11" t="s">
        <v>1649</v>
      </c>
      <c r="S358" s="11" t="s">
        <v>1670</v>
      </c>
      <c r="T358" s="11" t="s">
        <v>1671</v>
      </c>
      <c r="U358" s="2" t="s">
        <v>1574</v>
      </c>
      <c r="V358" s="2" t="s">
        <v>1568</v>
      </c>
      <c r="W358" s="2" t="s">
        <v>1569</v>
      </c>
      <c r="X358" s="2" t="s">
        <v>1570</v>
      </c>
      <c r="AB358" s="2" t="s">
        <v>1571</v>
      </c>
    </row>
    <row r="359">
      <c r="A359" s="2" t="s">
        <v>1752</v>
      </c>
      <c r="B359" s="2">
        <v>13.0</v>
      </c>
      <c r="C359" s="2" t="s">
        <v>11</v>
      </c>
      <c r="D359" s="2" t="s">
        <v>1753</v>
      </c>
      <c r="E359" s="2">
        <v>7.0</v>
      </c>
      <c r="F359" s="2" t="s">
        <v>10</v>
      </c>
      <c r="G359" s="5">
        <v>2751770.0</v>
      </c>
      <c r="H359" s="2" t="s">
        <v>1575</v>
      </c>
      <c r="I359" s="2" t="s">
        <v>1565</v>
      </c>
      <c r="J359" s="2">
        <v>10000.0</v>
      </c>
      <c r="K359" s="2" t="s">
        <v>1566</v>
      </c>
      <c r="L359" s="2"/>
      <c r="M359" s="2"/>
      <c r="N359" s="7">
        <v>1.0</v>
      </c>
      <c r="O359" s="12">
        <v>29524.0</v>
      </c>
      <c r="P359" s="11" t="s">
        <v>1649</v>
      </c>
      <c r="Q359" s="12">
        <v>29524.0</v>
      </c>
      <c r="R359" s="11" t="s">
        <v>1649</v>
      </c>
      <c r="S359" s="11" t="s">
        <v>1683</v>
      </c>
      <c r="T359" s="11" t="s">
        <v>1684</v>
      </c>
      <c r="U359" s="2" t="s">
        <v>1574</v>
      </c>
      <c r="V359" s="2" t="s">
        <v>1568</v>
      </c>
      <c r="W359" s="2" t="s">
        <v>1569</v>
      </c>
      <c r="X359" s="2" t="s">
        <v>1570</v>
      </c>
      <c r="AB359" s="2" t="s">
        <v>1571</v>
      </c>
    </row>
    <row r="360">
      <c r="A360" s="2" t="s">
        <v>1752</v>
      </c>
      <c r="B360" s="2">
        <v>13.0</v>
      </c>
      <c r="C360" s="2" t="s">
        <v>11</v>
      </c>
      <c r="D360" s="2" t="s">
        <v>1753</v>
      </c>
      <c r="E360" s="2">
        <v>7.0</v>
      </c>
      <c r="F360" s="2" t="s">
        <v>10</v>
      </c>
      <c r="G360" s="5">
        <v>2751770.0</v>
      </c>
      <c r="H360" s="2" t="s">
        <v>1575</v>
      </c>
      <c r="I360" s="2" t="s">
        <v>1572</v>
      </c>
      <c r="J360" s="2">
        <v>10128.0</v>
      </c>
      <c r="K360" s="2" t="s">
        <v>1588</v>
      </c>
      <c r="L360" s="2"/>
      <c r="M360" s="2"/>
      <c r="N360" s="7">
        <v>2.0</v>
      </c>
      <c r="O360" s="12">
        <v>46666.0</v>
      </c>
      <c r="P360" s="11" t="s">
        <v>1649</v>
      </c>
      <c r="Q360" s="12">
        <v>46666.0</v>
      </c>
      <c r="R360" s="11" t="s">
        <v>1649</v>
      </c>
      <c r="S360" s="11" t="s">
        <v>1691</v>
      </c>
      <c r="T360" s="11" t="s">
        <v>1692</v>
      </c>
      <c r="U360" s="2" t="s">
        <v>1574</v>
      </c>
      <c r="V360" s="2" t="s">
        <v>1568</v>
      </c>
      <c r="W360" s="2" t="s">
        <v>1569</v>
      </c>
      <c r="X360" s="2" t="s">
        <v>1570</v>
      </c>
      <c r="AB360" s="2" t="s">
        <v>1571</v>
      </c>
    </row>
    <row r="361">
      <c r="A361" s="2" t="s">
        <v>1752</v>
      </c>
      <c r="B361" s="2">
        <v>13.0</v>
      </c>
      <c r="C361" s="2" t="s">
        <v>11</v>
      </c>
      <c r="D361" s="2" t="s">
        <v>1753</v>
      </c>
      <c r="E361" s="2">
        <v>7.0</v>
      </c>
      <c r="F361" s="2" t="s">
        <v>10</v>
      </c>
      <c r="G361" s="5">
        <v>2751770.0</v>
      </c>
      <c r="H361" s="2" t="s">
        <v>1575</v>
      </c>
      <c r="I361" s="2" t="s">
        <v>1572</v>
      </c>
      <c r="J361" s="2">
        <v>10107.0</v>
      </c>
      <c r="K361" s="2" t="s">
        <v>1584</v>
      </c>
      <c r="L361" s="2"/>
      <c r="M361" s="2"/>
      <c r="N361" s="7">
        <v>1.0</v>
      </c>
      <c r="O361" s="12">
        <v>26667.0</v>
      </c>
      <c r="P361" s="11" t="s">
        <v>1649</v>
      </c>
      <c r="Q361" s="12">
        <v>26667.0</v>
      </c>
      <c r="R361" s="11" t="s">
        <v>1649</v>
      </c>
      <c r="S361" s="11" t="s">
        <v>1674</v>
      </c>
      <c r="T361" s="11" t="s">
        <v>1679</v>
      </c>
      <c r="U361" s="2" t="s">
        <v>1574</v>
      </c>
      <c r="V361" s="2" t="s">
        <v>1568</v>
      </c>
      <c r="W361" s="2" t="s">
        <v>1569</v>
      </c>
      <c r="X361" s="2" t="s">
        <v>1570</v>
      </c>
      <c r="AB361" s="2" t="s">
        <v>1571</v>
      </c>
    </row>
    <row r="362">
      <c r="A362" s="2" t="s">
        <v>1752</v>
      </c>
      <c r="B362" s="2">
        <v>13.0</v>
      </c>
      <c r="C362" s="2" t="s">
        <v>11</v>
      </c>
      <c r="D362" s="2" t="s">
        <v>1753</v>
      </c>
      <c r="E362" s="2">
        <v>7.0</v>
      </c>
      <c r="F362" s="2" t="s">
        <v>10</v>
      </c>
      <c r="G362" s="5">
        <v>2751405.0</v>
      </c>
      <c r="H362" s="2" t="s">
        <v>1575</v>
      </c>
      <c r="I362" s="2" t="s">
        <v>1565</v>
      </c>
      <c r="J362" s="2">
        <v>10000.0</v>
      </c>
      <c r="K362" s="2" t="s">
        <v>1566</v>
      </c>
      <c r="L362" s="2"/>
      <c r="M362" s="2"/>
      <c r="N362" s="7">
        <v>1.0</v>
      </c>
      <c r="O362" s="12">
        <v>29524.0</v>
      </c>
      <c r="P362" s="11" t="s">
        <v>1649</v>
      </c>
      <c r="Q362" s="12">
        <v>29524.0</v>
      </c>
      <c r="R362" s="11" t="s">
        <v>1649</v>
      </c>
      <c r="S362" s="11" t="s">
        <v>1683</v>
      </c>
      <c r="T362" s="11" t="s">
        <v>1684</v>
      </c>
      <c r="U362" s="2" t="s">
        <v>1574</v>
      </c>
      <c r="V362" s="2" t="s">
        <v>1568</v>
      </c>
      <c r="W362" s="2" t="s">
        <v>1569</v>
      </c>
      <c r="X362" s="2" t="s">
        <v>1570</v>
      </c>
      <c r="AB362" s="2" t="s">
        <v>1571</v>
      </c>
    </row>
    <row r="363">
      <c r="A363" s="2" t="s">
        <v>1752</v>
      </c>
      <c r="B363" s="2">
        <v>13.0</v>
      </c>
      <c r="C363" s="2" t="s">
        <v>11</v>
      </c>
      <c r="D363" s="2" t="s">
        <v>1753</v>
      </c>
      <c r="E363" s="2">
        <v>7.0</v>
      </c>
      <c r="F363" s="2" t="s">
        <v>10</v>
      </c>
      <c r="G363" s="5">
        <v>2751405.0</v>
      </c>
      <c r="H363" s="2" t="s">
        <v>1575</v>
      </c>
      <c r="I363" s="2" t="s">
        <v>1565</v>
      </c>
      <c r="J363" s="2">
        <v>10055.0</v>
      </c>
      <c r="K363" s="2" t="s">
        <v>1595</v>
      </c>
      <c r="L363" s="2"/>
      <c r="M363" s="2"/>
      <c r="N363" s="7">
        <v>2.0</v>
      </c>
      <c r="O363" s="12">
        <v>34762.0</v>
      </c>
      <c r="P363" s="11" t="s">
        <v>1649</v>
      </c>
      <c r="Q363" s="12">
        <v>34762.0</v>
      </c>
      <c r="R363" s="11" t="s">
        <v>1649</v>
      </c>
      <c r="S363" s="11" t="s">
        <v>1670</v>
      </c>
      <c r="T363" s="11" t="s">
        <v>1671</v>
      </c>
      <c r="U363" s="2" t="s">
        <v>1574</v>
      </c>
      <c r="V363" s="2" t="s">
        <v>1568</v>
      </c>
      <c r="W363" s="2" t="s">
        <v>1569</v>
      </c>
      <c r="X363" s="2" t="s">
        <v>1570</v>
      </c>
      <c r="AB363" s="2" t="s">
        <v>1571</v>
      </c>
    </row>
    <row r="364">
      <c r="A364" s="2" t="s">
        <v>1752</v>
      </c>
      <c r="B364" s="2">
        <v>11.0</v>
      </c>
      <c r="C364" s="2" t="s">
        <v>11</v>
      </c>
      <c r="D364" s="2" t="s">
        <v>1753</v>
      </c>
      <c r="E364" s="2">
        <v>7.0</v>
      </c>
      <c r="F364" s="2" t="s">
        <v>10</v>
      </c>
      <c r="G364" s="5">
        <v>2751039.0</v>
      </c>
      <c r="H364" s="2" t="s">
        <v>1575</v>
      </c>
      <c r="I364" s="2" t="s">
        <v>1565</v>
      </c>
      <c r="J364" s="2">
        <v>10007.0</v>
      </c>
      <c r="K364" s="2" t="s">
        <v>1576</v>
      </c>
      <c r="L364" s="2"/>
      <c r="M364" s="2"/>
      <c r="N364" s="7">
        <v>2.0</v>
      </c>
      <c r="O364" s="12">
        <v>33810.0</v>
      </c>
      <c r="P364" s="11" t="s">
        <v>1649</v>
      </c>
      <c r="Q364" s="12">
        <v>33810.0</v>
      </c>
      <c r="R364" s="11" t="s">
        <v>1649</v>
      </c>
      <c r="S364" s="11" t="s">
        <v>1701</v>
      </c>
      <c r="T364" s="11" t="s">
        <v>1703</v>
      </c>
      <c r="U364" s="2" t="s">
        <v>1574</v>
      </c>
      <c r="V364" s="2" t="s">
        <v>1568</v>
      </c>
      <c r="W364" s="2" t="s">
        <v>1569</v>
      </c>
      <c r="X364" s="2" t="s">
        <v>1570</v>
      </c>
      <c r="AB364" s="2" t="s">
        <v>1571</v>
      </c>
    </row>
    <row r="365">
      <c r="A365" s="2" t="s">
        <v>1752</v>
      </c>
      <c r="B365" s="2">
        <v>11.0</v>
      </c>
      <c r="C365" s="2" t="s">
        <v>11</v>
      </c>
      <c r="D365" s="2" t="s">
        <v>1753</v>
      </c>
      <c r="E365" s="2">
        <v>7.0</v>
      </c>
      <c r="F365" s="2" t="s">
        <v>10</v>
      </c>
      <c r="G365" s="5">
        <v>2750674.0</v>
      </c>
      <c r="H365" s="2" t="s">
        <v>1575</v>
      </c>
      <c r="I365" s="2" t="s">
        <v>1572</v>
      </c>
      <c r="J365" s="2">
        <v>10128.0</v>
      </c>
      <c r="K365" s="2" t="s">
        <v>1588</v>
      </c>
      <c r="L365" s="2"/>
      <c r="M365" s="2"/>
      <c r="N365" s="7">
        <v>1.0</v>
      </c>
      <c r="O365" s="12">
        <v>23333.0</v>
      </c>
      <c r="P365" s="11" t="s">
        <v>1649</v>
      </c>
      <c r="Q365" s="12">
        <v>23333.0</v>
      </c>
      <c r="R365" s="11" t="s">
        <v>1649</v>
      </c>
      <c r="S365" s="11" t="s">
        <v>1681</v>
      </c>
      <c r="T365" s="11" t="s">
        <v>1682</v>
      </c>
      <c r="U365" s="2" t="s">
        <v>1574</v>
      </c>
      <c r="V365" s="2" t="s">
        <v>1568</v>
      </c>
      <c r="W365" s="2" t="s">
        <v>1569</v>
      </c>
      <c r="X365" s="2" t="s">
        <v>1570</v>
      </c>
      <c r="AB365" s="2" t="s">
        <v>1571</v>
      </c>
    </row>
    <row r="366">
      <c r="A366" s="2" t="s">
        <v>1752</v>
      </c>
      <c r="B366" s="2">
        <v>11.0</v>
      </c>
      <c r="C366" s="2" t="s">
        <v>11</v>
      </c>
      <c r="D366" s="2" t="s">
        <v>1753</v>
      </c>
      <c r="E366" s="2">
        <v>7.0</v>
      </c>
      <c r="F366" s="2" t="s">
        <v>10</v>
      </c>
      <c r="G366" s="5">
        <v>2750674.0</v>
      </c>
      <c r="H366" s="2" t="s">
        <v>1575</v>
      </c>
      <c r="I366" s="2" t="s">
        <v>1572</v>
      </c>
      <c r="J366" s="2">
        <v>10107.0</v>
      </c>
      <c r="K366" s="2" t="s">
        <v>1584</v>
      </c>
      <c r="L366" s="2"/>
      <c r="M366" s="2"/>
      <c r="N366" s="7">
        <v>1.0</v>
      </c>
      <c r="O366" s="12">
        <v>26667.0</v>
      </c>
      <c r="P366" s="11" t="s">
        <v>1649</v>
      </c>
      <c r="Q366" s="12">
        <v>26667.0</v>
      </c>
      <c r="R366" s="11" t="s">
        <v>1649</v>
      </c>
      <c r="S366" s="11" t="s">
        <v>1674</v>
      </c>
      <c r="T366" s="11" t="s">
        <v>1679</v>
      </c>
      <c r="U366" s="2" t="s">
        <v>1574</v>
      </c>
      <c r="V366" s="2" t="s">
        <v>1568</v>
      </c>
      <c r="W366" s="2" t="s">
        <v>1569</v>
      </c>
      <c r="X366" s="2" t="s">
        <v>1570</v>
      </c>
      <c r="AB366" s="2" t="s">
        <v>1571</v>
      </c>
    </row>
    <row r="367">
      <c r="A367" s="2" t="s">
        <v>1752</v>
      </c>
      <c r="B367" s="2">
        <v>11.0</v>
      </c>
      <c r="C367" s="2" t="s">
        <v>11</v>
      </c>
      <c r="D367" s="2" t="s">
        <v>1753</v>
      </c>
      <c r="E367" s="2">
        <v>7.0</v>
      </c>
      <c r="F367" s="2" t="s">
        <v>10</v>
      </c>
      <c r="G367" s="5">
        <v>2750674.0</v>
      </c>
      <c r="H367" s="2" t="s">
        <v>1575</v>
      </c>
      <c r="I367" s="2" t="s">
        <v>1578</v>
      </c>
      <c r="J367" s="2">
        <v>10004.0</v>
      </c>
      <c r="K367" s="2" t="s">
        <v>1607</v>
      </c>
      <c r="L367" s="2"/>
      <c r="M367" s="2"/>
      <c r="N367" s="7">
        <v>1.0</v>
      </c>
      <c r="O367" s="12">
        <v>25238.0</v>
      </c>
      <c r="P367" s="11" t="s">
        <v>1649</v>
      </c>
      <c r="Q367" s="12">
        <v>25238.0</v>
      </c>
      <c r="R367" s="11" t="s">
        <v>1649</v>
      </c>
      <c r="S367" s="11" t="s">
        <v>1660</v>
      </c>
      <c r="T367" s="11" t="s">
        <v>1680</v>
      </c>
      <c r="U367" s="2" t="s">
        <v>1574</v>
      </c>
      <c r="V367" s="2" t="s">
        <v>1568</v>
      </c>
      <c r="W367" s="2" t="s">
        <v>1569</v>
      </c>
      <c r="X367" s="2" t="s">
        <v>1570</v>
      </c>
      <c r="AB367" s="2" t="s">
        <v>1571</v>
      </c>
    </row>
    <row r="368">
      <c r="A368" s="2" t="s">
        <v>1752</v>
      </c>
      <c r="B368" s="2">
        <v>11.0</v>
      </c>
      <c r="C368" s="2" t="s">
        <v>11</v>
      </c>
      <c r="D368" s="2" t="s">
        <v>1753</v>
      </c>
      <c r="E368" s="2">
        <v>7.0</v>
      </c>
      <c r="F368" s="2" t="s">
        <v>10</v>
      </c>
      <c r="G368" s="5">
        <v>2750309.0</v>
      </c>
      <c r="H368" s="2" t="s">
        <v>1575</v>
      </c>
      <c r="I368" s="2" t="s">
        <v>1572</v>
      </c>
      <c r="J368" s="2">
        <v>10058.0</v>
      </c>
      <c r="K368" s="2" t="s">
        <v>1618</v>
      </c>
      <c r="L368" s="2"/>
      <c r="M368" s="2"/>
      <c r="N368" s="7">
        <v>1.0</v>
      </c>
      <c r="O368" s="12">
        <v>19524.0</v>
      </c>
      <c r="P368" s="11" t="s">
        <v>1649</v>
      </c>
      <c r="Q368" s="12">
        <v>19524.0</v>
      </c>
      <c r="R368" s="11" t="s">
        <v>1649</v>
      </c>
      <c r="S368" s="11" t="s">
        <v>1676</v>
      </c>
      <c r="T368" s="11" t="s">
        <v>1677</v>
      </c>
      <c r="U368" s="2" t="s">
        <v>1574</v>
      </c>
      <c r="V368" s="2" t="s">
        <v>1568</v>
      </c>
      <c r="W368" s="2" t="s">
        <v>1569</v>
      </c>
      <c r="X368" s="2" t="s">
        <v>1570</v>
      </c>
      <c r="AB368" s="2" t="s">
        <v>1571</v>
      </c>
    </row>
    <row r="369">
      <c r="A369" s="2" t="s">
        <v>1752</v>
      </c>
      <c r="B369" s="2">
        <v>11.0</v>
      </c>
      <c r="C369" s="2" t="s">
        <v>11</v>
      </c>
      <c r="D369" s="2" t="s">
        <v>1753</v>
      </c>
      <c r="E369" s="2">
        <v>7.0</v>
      </c>
      <c r="F369" s="2" t="s">
        <v>10</v>
      </c>
      <c r="G369" s="5">
        <v>2750309.0</v>
      </c>
      <c r="H369" s="2" t="s">
        <v>1575</v>
      </c>
      <c r="I369" s="2" t="s">
        <v>1572</v>
      </c>
      <c r="J369" s="2">
        <v>10106.0</v>
      </c>
      <c r="K369" s="2" t="s">
        <v>1598</v>
      </c>
      <c r="L369" s="2"/>
      <c r="M369" s="2"/>
      <c r="N369" s="7">
        <v>1.0</v>
      </c>
      <c r="O369" s="12">
        <v>26667.0</v>
      </c>
      <c r="P369" s="11" t="s">
        <v>1649</v>
      </c>
      <c r="Q369" s="12">
        <v>26667.0</v>
      </c>
      <c r="R369" s="11" t="s">
        <v>1649</v>
      </c>
      <c r="S369" s="11" t="s">
        <v>1674</v>
      </c>
      <c r="T369" s="11" t="s">
        <v>1675</v>
      </c>
      <c r="U369" s="2" t="s">
        <v>1574</v>
      </c>
      <c r="V369" s="2" t="s">
        <v>1568</v>
      </c>
      <c r="W369" s="2" t="s">
        <v>1569</v>
      </c>
      <c r="X369" s="2" t="s">
        <v>1570</v>
      </c>
      <c r="AB369" s="2" t="s">
        <v>1571</v>
      </c>
    </row>
    <row r="370">
      <c r="A370" s="2" t="s">
        <v>1752</v>
      </c>
      <c r="B370" s="2">
        <v>11.0</v>
      </c>
      <c r="C370" s="2" t="s">
        <v>11</v>
      </c>
      <c r="D370" s="2" t="s">
        <v>1753</v>
      </c>
      <c r="E370" s="2">
        <v>7.0</v>
      </c>
      <c r="F370" s="2" t="s">
        <v>10</v>
      </c>
      <c r="G370" s="5">
        <v>2750309.0</v>
      </c>
      <c r="H370" s="2" t="s">
        <v>1575</v>
      </c>
      <c r="I370" s="2" t="s">
        <v>1565</v>
      </c>
      <c r="J370" s="2">
        <v>10000.0</v>
      </c>
      <c r="K370" s="2" t="s">
        <v>1566</v>
      </c>
      <c r="L370" s="2"/>
      <c r="M370" s="2"/>
      <c r="N370" s="7">
        <v>1.0</v>
      </c>
      <c r="O370" s="12">
        <v>29524.0</v>
      </c>
      <c r="P370" s="11" t="s">
        <v>1649</v>
      </c>
      <c r="Q370" s="12">
        <v>29524.0</v>
      </c>
      <c r="R370" s="11" t="s">
        <v>1649</v>
      </c>
      <c r="S370" s="11" t="s">
        <v>1683</v>
      </c>
      <c r="T370" s="11" t="s">
        <v>1684</v>
      </c>
      <c r="U370" s="2" t="s">
        <v>1574</v>
      </c>
      <c r="V370" s="2" t="s">
        <v>1568</v>
      </c>
      <c r="W370" s="2" t="s">
        <v>1569</v>
      </c>
      <c r="X370" s="2" t="s">
        <v>1570</v>
      </c>
      <c r="AB370" s="2" t="s">
        <v>1571</v>
      </c>
    </row>
    <row r="371">
      <c r="A371" s="2" t="s">
        <v>1752</v>
      </c>
      <c r="B371" s="2">
        <v>11.0</v>
      </c>
      <c r="C371" s="2" t="s">
        <v>11</v>
      </c>
      <c r="D371" s="2" t="s">
        <v>1753</v>
      </c>
      <c r="E371" s="2">
        <v>7.0</v>
      </c>
      <c r="F371" s="2" t="s">
        <v>10</v>
      </c>
      <c r="G371" s="5">
        <v>2750309.0</v>
      </c>
      <c r="H371" s="2" t="s">
        <v>1575</v>
      </c>
      <c r="I371" s="2" t="s">
        <v>1578</v>
      </c>
      <c r="J371" s="2">
        <v>10051.0</v>
      </c>
      <c r="K371" s="2" t="s">
        <v>1579</v>
      </c>
      <c r="L371" s="2"/>
      <c r="M371" s="2"/>
      <c r="N371" s="7">
        <v>1.0</v>
      </c>
      <c r="O371" s="12">
        <v>25238.0</v>
      </c>
      <c r="P371" s="11" t="s">
        <v>1649</v>
      </c>
      <c r="Q371" s="12">
        <v>25238.0</v>
      </c>
      <c r="R371" s="11" t="s">
        <v>1649</v>
      </c>
      <c r="S371" s="11" t="s">
        <v>1660</v>
      </c>
      <c r="T371" s="11" t="s">
        <v>1680</v>
      </c>
      <c r="U371" s="2" t="s">
        <v>1574</v>
      </c>
      <c r="V371" s="2" t="s">
        <v>1568</v>
      </c>
      <c r="W371" s="2" t="s">
        <v>1569</v>
      </c>
      <c r="X371" s="2" t="s">
        <v>1570</v>
      </c>
      <c r="AB371" s="2" t="s">
        <v>1571</v>
      </c>
    </row>
    <row r="372">
      <c r="A372" s="2" t="s">
        <v>1752</v>
      </c>
      <c r="B372" s="2">
        <v>11.0</v>
      </c>
      <c r="C372" s="2" t="s">
        <v>11</v>
      </c>
      <c r="D372" s="2" t="s">
        <v>1753</v>
      </c>
      <c r="E372" s="2">
        <v>7.0</v>
      </c>
      <c r="F372" s="2" t="s">
        <v>10</v>
      </c>
      <c r="G372" s="5">
        <v>2750309.0</v>
      </c>
      <c r="H372" s="2" t="s">
        <v>1575</v>
      </c>
      <c r="I372" s="2" t="s">
        <v>1580</v>
      </c>
      <c r="J372" s="2">
        <v>10105.0</v>
      </c>
      <c r="K372" s="2" t="s">
        <v>1611</v>
      </c>
      <c r="L372" s="2"/>
      <c r="M372" s="2"/>
      <c r="N372" s="7">
        <v>1.0</v>
      </c>
      <c r="O372" s="12">
        <v>38095.0</v>
      </c>
      <c r="P372" s="11" t="s">
        <v>1649</v>
      </c>
      <c r="Q372" s="12">
        <v>38095.0</v>
      </c>
      <c r="R372" s="11" t="s">
        <v>1649</v>
      </c>
      <c r="S372" s="11" t="s">
        <v>1727</v>
      </c>
      <c r="T372" s="11" t="s">
        <v>1754</v>
      </c>
      <c r="U372" s="2" t="s">
        <v>1574</v>
      </c>
      <c r="V372" s="2" t="s">
        <v>1568</v>
      </c>
      <c r="W372" s="2" t="s">
        <v>1569</v>
      </c>
      <c r="X372" s="2" t="s">
        <v>1570</v>
      </c>
      <c r="AB372" s="2" t="s">
        <v>1571</v>
      </c>
    </row>
    <row r="373">
      <c r="A373" s="2" t="s">
        <v>1752</v>
      </c>
      <c r="B373" s="2">
        <v>10.0</v>
      </c>
      <c r="C373" s="2" t="s">
        <v>11</v>
      </c>
      <c r="D373" s="2" t="s">
        <v>1753</v>
      </c>
      <c r="E373" s="2">
        <v>7.0</v>
      </c>
      <c r="F373" s="2" t="s">
        <v>10</v>
      </c>
      <c r="G373" s="5">
        <v>2749944.0</v>
      </c>
      <c r="H373" s="2" t="s">
        <v>1575</v>
      </c>
      <c r="I373" s="2" t="s">
        <v>1565</v>
      </c>
      <c r="J373" s="2">
        <v>10007.0</v>
      </c>
      <c r="K373" s="2" t="s">
        <v>1576</v>
      </c>
      <c r="L373" s="2"/>
      <c r="M373" s="2"/>
      <c r="N373" s="7">
        <v>2.0</v>
      </c>
      <c r="O373" s="12">
        <v>33810.0</v>
      </c>
      <c r="P373" s="11" t="s">
        <v>1649</v>
      </c>
      <c r="Q373" s="12">
        <v>33810.0</v>
      </c>
      <c r="R373" s="11" t="s">
        <v>1649</v>
      </c>
      <c r="S373" s="11" t="s">
        <v>1701</v>
      </c>
      <c r="T373" s="11" t="s">
        <v>1703</v>
      </c>
      <c r="U373" s="2" t="s">
        <v>1574</v>
      </c>
      <c r="V373" s="2" t="s">
        <v>1568</v>
      </c>
      <c r="W373" s="2" t="s">
        <v>1569</v>
      </c>
      <c r="X373" s="2" t="s">
        <v>1570</v>
      </c>
      <c r="AB373" s="2" t="s">
        <v>1571</v>
      </c>
    </row>
    <row r="374">
      <c r="A374" s="2" t="s">
        <v>1752</v>
      </c>
      <c r="B374" s="2">
        <v>10.0</v>
      </c>
      <c r="C374" s="2" t="s">
        <v>11</v>
      </c>
      <c r="D374" s="2" t="s">
        <v>1753</v>
      </c>
      <c r="E374" s="2">
        <v>7.0</v>
      </c>
      <c r="F374" s="2" t="s">
        <v>10</v>
      </c>
      <c r="G374" s="5">
        <v>2749944.0</v>
      </c>
      <c r="H374" s="2" t="s">
        <v>1575</v>
      </c>
      <c r="I374" s="2" t="s">
        <v>1565</v>
      </c>
      <c r="J374" s="2">
        <v>10002.0</v>
      </c>
      <c r="K374" s="2" t="s">
        <v>1576</v>
      </c>
      <c r="L374" s="2"/>
      <c r="M374" s="2"/>
      <c r="N374" s="7">
        <v>1.0</v>
      </c>
      <c r="O374" s="12">
        <v>18571.0</v>
      </c>
      <c r="P374" s="11" t="s">
        <v>1649</v>
      </c>
      <c r="Q374" s="12">
        <v>18571.0</v>
      </c>
      <c r="R374" s="11" t="s">
        <v>1649</v>
      </c>
      <c r="S374" s="11" t="s">
        <v>1656</v>
      </c>
      <c r="T374" s="11" t="s">
        <v>1688</v>
      </c>
      <c r="U374" s="2" t="s">
        <v>1574</v>
      </c>
      <c r="V374" s="2" t="s">
        <v>1568</v>
      </c>
      <c r="W374" s="2" t="s">
        <v>1569</v>
      </c>
      <c r="X374" s="2" t="s">
        <v>1570</v>
      </c>
      <c r="AB374" s="2" t="s">
        <v>1571</v>
      </c>
    </row>
    <row r="375">
      <c r="A375" s="2" t="s">
        <v>1752</v>
      </c>
      <c r="B375" s="2">
        <v>10.0</v>
      </c>
      <c r="C375" s="2" t="s">
        <v>11</v>
      </c>
      <c r="D375" s="2" t="s">
        <v>1753</v>
      </c>
      <c r="E375" s="2">
        <v>7.0</v>
      </c>
      <c r="F375" s="2" t="s">
        <v>10</v>
      </c>
      <c r="G375" s="5">
        <v>2749944.0</v>
      </c>
      <c r="H375" s="2" t="s">
        <v>1575</v>
      </c>
      <c r="I375" s="2" t="s">
        <v>1572</v>
      </c>
      <c r="J375" s="2">
        <v>10106.0</v>
      </c>
      <c r="K375" s="2" t="s">
        <v>1598</v>
      </c>
      <c r="L375" s="2"/>
      <c r="M375" s="2"/>
      <c r="N375" s="7">
        <v>1.0</v>
      </c>
      <c r="O375" s="12">
        <v>26667.0</v>
      </c>
      <c r="P375" s="11" t="s">
        <v>1649</v>
      </c>
      <c r="Q375" s="12">
        <v>26667.0</v>
      </c>
      <c r="R375" s="11" t="s">
        <v>1649</v>
      </c>
      <c r="S375" s="11" t="s">
        <v>1674</v>
      </c>
      <c r="T375" s="11" t="s">
        <v>1679</v>
      </c>
      <c r="U375" s="2" t="s">
        <v>1574</v>
      </c>
      <c r="V375" s="2" t="s">
        <v>1568</v>
      </c>
      <c r="W375" s="2" t="s">
        <v>1569</v>
      </c>
      <c r="X375" s="2" t="s">
        <v>1570</v>
      </c>
      <c r="AB375" s="2" t="s">
        <v>1571</v>
      </c>
    </row>
    <row r="376">
      <c r="A376" s="2" t="s">
        <v>1752</v>
      </c>
      <c r="B376" s="2">
        <v>10.0</v>
      </c>
      <c r="C376" s="2" t="s">
        <v>11</v>
      </c>
      <c r="D376" s="2" t="s">
        <v>1753</v>
      </c>
      <c r="E376" s="2">
        <v>7.0</v>
      </c>
      <c r="F376" s="2" t="s">
        <v>10</v>
      </c>
      <c r="G376" s="5">
        <v>2749944.0</v>
      </c>
      <c r="H376" s="2" t="s">
        <v>1575</v>
      </c>
      <c r="I376" s="2" t="s">
        <v>1572</v>
      </c>
      <c r="J376" s="2">
        <v>10107.0</v>
      </c>
      <c r="K376" s="2" t="s">
        <v>1584</v>
      </c>
      <c r="L376" s="2"/>
      <c r="M376" s="2"/>
      <c r="N376" s="7">
        <v>1.0</v>
      </c>
      <c r="O376" s="12">
        <v>26667.0</v>
      </c>
      <c r="P376" s="11" t="s">
        <v>1649</v>
      </c>
      <c r="Q376" s="12">
        <v>26667.0</v>
      </c>
      <c r="R376" s="11" t="s">
        <v>1649</v>
      </c>
      <c r="S376" s="11" t="s">
        <v>1674</v>
      </c>
      <c r="T376" s="11" t="s">
        <v>1675</v>
      </c>
      <c r="U376" s="2" t="s">
        <v>1574</v>
      </c>
      <c r="V376" s="2" t="s">
        <v>1568</v>
      </c>
      <c r="W376" s="2" t="s">
        <v>1569</v>
      </c>
      <c r="X376" s="2" t="s">
        <v>1570</v>
      </c>
      <c r="AB376" s="2" t="s">
        <v>1571</v>
      </c>
    </row>
    <row r="377">
      <c r="A377" s="2" t="s">
        <v>1752</v>
      </c>
      <c r="B377" s="2">
        <v>10.0</v>
      </c>
      <c r="C377" s="2" t="s">
        <v>11</v>
      </c>
      <c r="D377" s="2" t="s">
        <v>1753</v>
      </c>
      <c r="E377" s="2">
        <v>7.0</v>
      </c>
      <c r="F377" s="2" t="s">
        <v>10</v>
      </c>
      <c r="G377" s="5">
        <v>2749944.0</v>
      </c>
      <c r="H377" s="2" t="s">
        <v>1575</v>
      </c>
      <c r="I377" s="2" t="s">
        <v>1572</v>
      </c>
      <c r="J377" s="2">
        <v>10128.0</v>
      </c>
      <c r="K377" s="2" t="s">
        <v>1588</v>
      </c>
      <c r="L377" s="2"/>
      <c r="M377" s="2"/>
      <c r="N377" s="7">
        <v>2.0</v>
      </c>
      <c r="O377" s="12">
        <v>46666.0</v>
      </c>
      <c r="P377" s="11" t="s">
        <v>1649</v>
      </c>
      <c r="Q377" s="12">
        <v>46666.0</v>
      </c>
      <c r="R377" s="11" t="s">
        <v>1649</v>
      </c>
      <c r="S377" s="11" t="s">
        <v>1691</v>
      </c>
      <c r="T377" s="11" t="s">
        <v>1692</v>
      </c>
      <c r="U377" s="2" t="s">
        <v>1574</v>
      </c>
      <c r="V377" s="2" t="s">
        <v>1568</v>
      </c>
      <c r="W377" s="2" t="s">
        <v>1569</v>
      </c>
      <c r="X377" s="2" t="s">
        <v>1570</v>
      </c>
      <c r="AB377" s="2" t="s">
        <v>1571</v>
      </c>
    </row>
    <row r="378">
      <c r="A378" s="2" t="s">
        <v>1752</v>
      </c>
      <c r="B378" s="2">
        <v>10.0</v>
      </c>
      <c r="C378" s="2" t="s">
        <v>11</v>
      </c>
      <c r="D378" s="2" t="s">
        <v>1753</v>
      </c>
      <c r="E378" s="2">
        <v>7.0</v>
      </c>
      <c r="F378" s="2" t="s">
        <v>10</v>
      </c>
      <c r="G378" s="5">
        <v>2749944.0</v>
      </c>
      <c r="H378" s="2" t="s">
        <v>1575</v>
      </c>
      <c r="I378" s="2" t="s">
        <v>1572</v>
      </c>
      <c r="J378" s="2">
        <v>10069.0</v>
      </c>
      <c r="K378" s="2" t="s">
        <v>1620</v>
      </c>
      <c r="L378" s="2"/>
      <c r="M378" s="2"/>
      <c r="N378" s="7">
        <v>1.0</v>
      </c>
      <c r="O378" s="12">
        <v>24762.0</v>
      </c>
      <c r="P378" s="11" t="s">
        <v>1649</v>
      </c>
      <c r="Q378" s="12">
        <v>24762.0</v>
      </c>
      <c r="R378" s="11" t="s">
        <v>1649</v>
      </c>
      <c r="S378" s="11" t="s">
        <v>1689</v>
      </c>
      <c r="T378" s="11" t="s">
        <v>1693</v>
      </c>
      <c r="U378" s="2" t="s">
        <v>1574</v>
      </c>
      <c r="V378" s="2" t="s">
        <v>1568</v>
      </c>
      <c r="W378" s="2" t="s">
        <v>1569</v>
      </c>
      <c r="X378" s="2" t="s">
        <v>1570</v>
      </c>
      <c r="AB378" s="2" t="s">
        <v>1571</v>
      </c>
    </row>
    <row r="379">
      <c r="A379" s="2" t="s">
        <v>1755</v>
      </c>
      <c r="B379" s="2">
        <v>20.0</v>
      </c>
      <c r="C379" s="2" t="s">
        <v>9</v>
      </c>
      <c r="D379" s="2" t="s">
        <v>1756</v>
      </c>
      <c r="E379" s="2">
        <v>6.0</v>
      </c>
      <c r="F379" s="2" t="s">
        <v>10</v>
      </c>
      <c r="G379" s="5">
        <v>2749578.0</v>
      </c>
      <c r="H379" s="2" t="s">
        <v>1575</v>
      </c>
      <c r="I379" s="2" t="s">
        <v>1572</v>
      </c>
      <c r="J379" s="2">
        <v>10128.0</v>
      </c>
      <c r="K379" s="2" t="s">
        <v>1588</v>
      </c>
      <c r="L379" s="2"/>
      <c r="M379" s="2"/>
      <c r="N379" s="7">
        <v>1.0</v>
      </c>
      <c r="O379" s="12">
        <v>23333.0</v>
      </c>
      <c r="P379" s="11" t="s">
        <v>1649</v>
      </c>
      <c r="Q379" s="12">
        <v>23333.0</v>
      </c>
      <c r="R379" s="11" t="s">
        <v>1649</v>
      </c>
      <c r="S379" s="11" t="s">
        <v>1681</v>
      </c>
      <c r="T379" s="11" t="s">
        <v>1682</v>
      </c>
      <c r="U379" s="2" t="s">
        <v>1574</v>
      </c>
      <c r="V379" s="2" t="s">
        <v>1568</v>
      </c>
      <c r="W379" s="2" t="s">
        <v>1569</v>
      </c>
      <c r="X379" s="2" t="s">
        <v>1570</v>
      </c>
      <c r="AB379" s="2" t="s">
        <v>1571</v>
      </c>
    </row>
    <row r="380">
      <c r="A380" s="2" t="s">
        <v>1755</v>
      </c>
      <c r="B380" s="2">
        <v>20.0</v>
      </c>
      <c r="C380" s="2" t="s">
        <v>9</v>
      </c>
      <c r="D380" s="2" t="s">
        <v>1756</v>
      </c>
      <c r="E380" s="2">
        <v>6.0</v>
      </c>
      <c r="F380" s="2" t="s">
        <v>10</v>
      </c>
      <c r="G380" s="5">
        <v>2749213.0</v>
      </c>
      <c r="H380" s="2" t="s">
        <v>1575</v>
      </c>
      <c r="I380" s="2" t="s">
        <v>1572</v>
      </c>
      <c r="J380" s="2">
        <v>10123.0</v>
      </c>
      <c r="K380" s="2" t="s">
        <v>1599</v>
      </c>
      <c r="L380" s="2"/>
      <c r="M380" s="2"/>
      <c r="N380" s="7">
        <v>1.0</v>
      </c>
      <c r="O380" s="12">
        <v>21905.0</v>
      </c>
      <c r="P380" s="11" t="s">
        <v>1649</v>
      </c>
      <c r="Q380" s="12">
        <v>21905.0</v>
      </c>
      <c r="R380" s="11" t="s">
        <v>1649</v>
      </c>
      <c r="S380" s="11" t="s">
        <v>1666</v>
      </c>
      <c r="T380" s="11" t="s">
        <v>1667</v>
      </c>
      <c r="U380" s="2" t="s">
        <v>1574</v>
      </c>
      <c r="V380" s="2" t="s">
        <v>1568</v>
      </c>
      <c r="W380" s="2" t="s">
        <v>1569</v>
      </c>
      <c r="X380" s="2" t="s">
        <v>1570</v>
      </c>
      <c r="AB380" s="2" t="s">
        <v>1571</v>
      </c>
    </row>
    <row r="381">
      <c r="A381" s="2" t="s">
        <v>1755</v>
      </c>
      <c r="B381" s="2">
        <v>20.0</v>
      </c>
      <c r="C381" s="2" t="s">
        <v>9</v>
      </c>
      <c r="D381" s="2" t="s">
        <v>1756</v>
      </c>
      <c r="E381" s="2">
        <v>6.0</v>
      </c>
      <c r="F381" s="2" t="s">
        <v>10</v>
      </c>
      <c r="G381" s="5">
        <v>2748848.0</v>
      </c>
      <c r="H381" s="2" t="s">
        <v>1575</v>
      </c>
      <c r="I381" s="2" t="s">
        <v>1572</v>
      </c>
      <c r="J381" s="2">
        <v>10128.0</v>
      </c>
      <c r="K381" s="2" t="s">
        <v>1588</v>
      </c>
      <c r="L381" s="2"/>
      <c r="M381" s="2"/>
      <c r="N381" s="7">
        <v>2.0</v>
      </c>
      <c r="O381" s="12">
        <v>46666.0</v>
      </c>
      <c r="P381" s="11" t="s">
        <v>1649</v>
      </c>
      <c r="Q381" s="12">
        <v>46666.0</v>
      </c>
      <c r="R381" s="11" t="s">
        <v>1649</v>
      </c>
      <c r="S381" s="11" t="s">
        <v>1691</v>
      </c>
      <c r="T381" s="11" t="s">
        <v>1692</v>
      </c>
      <c r="U381" s="2" t="s">
        <v>1574</v>
      </c>
      <c r="V381" s="2" t="s">
        <v>1568</v>
      </c>
      <c r="W381" s="2" t="s">
        <v>1569</v>
      </c>
      <c r="X381" s="2" t="s">
        <v>1570</v>
      </c>
      <c r="AB381" s="2" t="s">
        <v>1571</v>
      </c>
    </row>
    <row r="382">
      <c r="A382" s="2" t="s">
        <v>1755</v>
      </c>
      <c r="B382" s="2">
        <v>20.0</v>
      </c>
      <c r="C382" s="2" t="s">
        <v>9</v>
      </c>
      <c r="D382" s="2" t="s">
        <v>1756</v>
      </c>
      <c r="E382" s="2">
        <v>6.0</v>
      </c>
      <c r="F382" s="2" t="s">
        <v>10</v>
      </c>
      <c r="G382" s="5">
        <v>2748483.0</v>
      </c>
      <c r="H382" s="2" t="s">
        <v>1564</v>
      </c>
      <c r="I382" s="2" t="s">
        <v>1572</v>
      </c>
      <c r="J382" s="2">
        <v>10128.0</v>
      </c>
      <c r="K382" s="2" t="s">
        <v>1588</v>
      </c>
      <c r="L382" s="2"/>
      <c r="M382" s="2"/>
      <c r="N382" s="7">
        <v>-2.0</v>
      </c>
      <c r="O382" s="12">
        <v>-46666.0</v>
      </c>
      <c r="P382" s="11" t="s">
        <v>1649</v>
      </c>
      <c r="Q382" s="12">
        <v>-46666.0</v>
      </c>
      <c r="R382" s="11" t="s">
        <v>1650</v>
      </c>
      <c r="S382" s="11" t="s">
        <v>1757</v>
      </c>
      <c r="T382" s="11" t="s">
        <v>1758</v>
      </c>
      <c r="U382" s="2" t="s">
        <v>1574</v>
      </c>
      <c r="V382" s="2" t="s">
        <v>1568</v>
      </c>
      <c r="W382" s="2" t="s">
        <v>1569</v>
      </c>
      <c r="X382" s="2" t="s">
        <v>1570</v>
      </c>
      <c r="AB382" s="2" t="s">
        <v>1571</v>
      </c>
    </row>
    <row r="383">
      <c r="A383" s="2" t="s">
        <v>1755</v>
      </c>
      <c r="B383" s="2">
        <v>20.0</v>
      </c>
      <c r="C383" s="2" t="s">
        <v>9</v>
      </c>
      <c r="D383" s="2" t="s">
        <v>1756</v>
      </c>
      <c r="E383" s="2">
        <v>6.0</v>
      </c>
      <c r="F383" s="2" t="s">
        <v>10</v>
      </c>
      <c r="G383" s="5">
        <v>2748117.0</v>
      </c>
      <c r="H383" s="2" t="s">
        <v>1575</v>
      </c>
      <c r="I383" s="2" t="s">
        <v>1572</v>
      </c>
      <c r="J383" s="2">
        <v>10128.0</v>
      </c>
      <c r="K383" s="2" t="s">
        <v>1588</v>
      </c>
      <c r="L383" s="2"/>
      <c r="M383" s="2"/>
      <c r="N383" s="7">
        <v>2.0</v>
      </c>
      <c r="O383" s="12">
        <v>46666.0</v>
      </c>
      <c r="P383" s="11" t="s">
        <v>1649</v>
      </c>
      <c r="Q383" s="12">
        <v>46666.0</v>
      </c>
      <c r="R383" s="11" t="s">
        <v>1649</v>
      </c>
      <c r="S383" s="11" t="s">
        <v>1691</v>
      </c>
      <c r="T383" s="11" t="s">
        <v>1692</v>
      </c>
      <c r="U383" s="2" t="s">
        <v>1574</v>
      </c>
      <c r="V383" s="2" t="s">
        <v>1568</v>
      </c>
      <c r="W383" s="2" t="s">
        <v>1569</v>
      </c>
      <c r="X383" s="2" t="s">
        <v>1570</v>
      </c>
      <c r="AB383" s="2" t="s">
        <v>1571</v>
      </c>
    </row>
    <row r="384">
      <c r="A384" s="2" t="s">
        <v>1755</v>
      </c>
      <c r="B384" s="2">
        <v>19.0</v>
      </c>
      <c r="C384" s="2" t="s">
        <v>9</v>
      </c>
      <c r="D384" s="2" t="s">
        <v>1756</v>
      </c>
      <c r="E384" s="2">
        <v>6.0</v>
      </c>
      <c r="F384" s="2" t="s">
        <v>10</v>
      </c>
      <c r="G384" s="5">
        <v>2747752.0</v>
      </c>
      <c r="H384" s="2" t="s">
        <v>1575</v>
      </c>
      <c r="I384" s="2" t="s">
        <v>1572</v>
      </c>
      <c r="J384" s="2">
        <v>10128.0</v>
      </c>
      <c r="K384" s="2" t="s">
        <v>1588</v>
      </c>
      <c r="L384" s="2"/>
      <c r="M384" s="2"/>
      <c r="N384" s="7">
        <v>1.0</v>
      </c>
      <c r="O384" s="12">
        <v>23333.0</v>
      </c>
      <c r="P384" s="11" t="s">
        <v>1649</v>
      </c>
      <c r="Q384" s="12">
        <v>23333.0</v>
      </c>
      <c r="R384" s="11" t="s">
        <v>1649</v>
      </c>
      <c r="S384" s="11" t="s">
        <v>1681</v>
      </c>
      <c r="T384" s="11" t="s">
        <v>1682</v>
      </c>
      <c r="U384" s="2" t="s">
        <v>1574</v>
      </c>
      <c r="V384" s="2" t="s">
        <v>1568</v>
      </c>
      <c r="W384" s="2" t="s">
        <v>1569</v>
      </c>
      <c r="X384" s="2" t="s">
        <v>1570</v>
      </c>
      <c r="AB384" s="2" t="s">
        <v>1571</v>
      </c>
    </row>
    <row r="385">
      <c r="A385" s="2" t="s">
        <v>1755</v>
      </c>
      <c r="B385" s="2">
        <v>19.0</v>
      </c>
      <c r="C385" s="2" t="s">
        <v>9</v>
      </c>
      <c r="D385" s="2" t="s">
        <v>1756</v>
      </c>
      <c r="E385" s="2">
        <v>6.0</v>
      </c>
      <c r="F385" s="2" t="s">
        <v>10</v>
      </c>
      <c r="G385" s="5">
        <v>2747752.0</v>
      </c>
      <c r="H385" s="2" t="s">
        <v>1575</v>
      </c>
      <c r="I385" s="2" t="s">
        <v>1572</v>
      </c>
      <c r="J385" s="2">
        <v>10107.0</v>
      </c>
      <c r="K385" s="2" t="s">
        <v>1584</v>
      </c>
      <c r="L385" s="2"/>
      <c r="M385" s="2"/>
      <c r="N385" s="7">
        <v>1.0</v>
      </c>
      <c r="O385" s="12">
        <v>26667.0</v>
      </c>
      <c r="P385" s="11" t="s">
        <v>1649</v>
      </c>
      <c r="Q385" s="12">
        <v>26667.0</v>
      </c>
      <c r="R385" s="11" t="s">
        <v>1649</v>
      </c>
      <c r="S385" s="11" t="s">
        <v>1674</v>
      </c>
      <c r="T385" s="11" t="s">
        <v>1679</v>
      </c>
      <c r="U385" s="2" t="s">
        <v>1574</v>
      </c>
      <c r="V385" s="2" t="s">
        <v>1568</v>
      </c>
      <c r="W385" s="2" t="s">
        <v>1569</v>
      </c>
      <c r="X385" s="2" t="s">
        <v>1570</v>
      </c>
      <c r="AB385" s="2" t="s">
        <v>1571</v>
      </c>
    </row>
    <row r="386">
      <c r="A386" s="2" t="s">
        <v>1755</v>
      </c>
      <c r="B386" s="2">
        <v>19.0</v>
      </c>
      <c r="C386" s="2" t="s">
        <v>9</v>
      </c>
      <c r="D386" s="2" t="s">
        <v>1756</v>
      </c>
      <c r="E386" s="2">
        <v>6.0</v>
      </c>
      <c r="F386" s="2" t="s">
        <v>10</v>
      </c>
      <c r="G386" s="5">
        <v>2747387.0</v>
      </c>
      <c r="H386" s="2" t="s">
        <v>1575</v>
      </c>
      <c r="I386" s="2" t="s">
        <v>1565</v>
      </c>
      <c r="J386" s="2">
        <v>10005.0</v>
      </c>
      <c r="K386" s="2" t="s">
        <v>1595</v>
      </c>
      <c r="L386" s="2"/>
      <c r="M386" s="2"/>
      <c r="N386" s="7">
        <v>1.0</v>
      </c>
      <c r="O386" s="12">
        <v>19524.0</v>
      </c>
      <c r="P386" s="11" t="s">
        <v>1649</v>
      </c>
      <c r="Q386" s="12">
        <v>19524.0</v>
      </c>
      <c r="R386" s="11" t="s">
        <v>1649</v>
      </c>
      <c r="S386" s="11" t="s">
        <v>1676</v>
      </c>
      <c r="T386" s="11" t="s">
        <v>1677</v>
      </c>
      <c r="U386" s="2" t="s">
        <v>1574</v>
      </c>
      <c r="V386" s="2" t="s">
        <v>1568</v>
      </c>
      <c r="W386" s="2" t="s">
        <v>1569</v>
      </c>
      <c r="X386" s="2" t="s">
        <v>1570</v>
      </c>
      <c r="AB386" s="2" t="s">
        <v>1571</v>
      </c>
    </row>
    <row r="387">
      <c r="A387" s="2" t="s">
        <v>1755</v>
      </c>
      <c r="B387" s="2">
        <v>19.0</v>
      </c>
      <c r="C387" s="2" t="s">
        <v>9</v>
      </c>
      <c r="D387" s="2" t="s">
        <v>1756</v>
      </c>
      <c r="E387" s="2">
        <v>6.0</v>
      </c>
      <c r="F387" s="2" t="s">
        <v>10</v>
      </c>
      <c r="G387" s="5">
        <v>2747387.0</v>
      </c>
      <c r="H387" s="2" t="s">
        <v>1575</v>
      </c>
      <c r="I387" s="2" t="s">
        <v>1572</v>
      </c>
      <c r="J387" s="2">
        <v>10128.0</v>
      </c>
      <c r="K387" s="2" t="s">
        <v>1588</v>
      </c>
      <c r="L387" s="2"/>
      <c r="M387" s="2"/>
      <c r="N387" s="7">
        <v>1.0</v>
      </c>
      <c r="O387" s="12">
        <v>23333.0</v>
      </c>
      <c r="P387" s="11" t="s">
        <v>1649</v>
      </c>
      <c r="Q387" s="12">
        <v>23333.0</v>
      </c>
      <c r="R387" s="11" t="s">
        <v>1649</v>
      </c>
      <c r="S387" s="11" t="s">
        <v>1681</v>
      </c>
      <c r="T387" s="11" t="s">
        <v>1682</v>
      </c>
      <c r="U387" s="2" t="s">
        <v>1574</v>
      </c>
      <c r="V387" s="2" t="s">
        <v>1568</v>
      </c>
      <c r="W387" s="2" t="s">
        <v>1569</v>
      </c>
      <c r="X387" s="2" t="s">
        <v>1570</v>
      </c>
      <c r="AB387" s="2" t="s">
        <v>1571</v>
      </c>
    </row>
    <row r="388">
      <c r="A388" s="2" t="s">
        <v>1755</v>
      </c>
      <c r="B388" s="2">
        <v>19.0</v>
      </c>
      <c r="C388" s="2" t="s">
        <v>9</v>
      </c>
      <c r="D388" s="2" t="s">
        <v>1756</v>
      </c>
      <c r="E388" s="2">
        <v>6.0</v>
      </c>
      <c r="F388" s="2" t="s">
        <v>10</v>
      </c>
      <c r="G388" s="5">
        <v>2747022.0</v>
      </c>
      <c r="H388" s="2" t="s">
        <v>1575</v>
      </c>
      <c r="I388" s="2" t="s">
        <v>1565</v>
      </c>
      <c r="J388" s="2">
        <v>10033.0</v>
      </c>
      <c r="K388" s="2" t="s">
        <v>1615</v>
      </c>
      <c r="L388" s="2"/>
      <c r="M388" s="2"/>
      <c r="N388" s="7">
        <v>1.0</v>
      </c>
      <c r="O388" s="12">
        <v>21905.0</v>
      </c>
      <c r="P388" s="11" t="s">
        <v>1649</v>
      </c>
      <c r="Q388" s="12">
        <v>21905.0</v>
      </c>
      <c r="R388" s="11" t="s">
        <v>1649</v>
      </c>
      <c r="S388" s="11" t="s">
        <v>1666</v>
      </c>
      <c r="T388" s="11" t="s">
        <v>1667</v>
      </c>
      <c r="U388" s="2" t="s">
        <v>1574</v>
      </c>
      <c r="V388" s="2" t="s">
        <v>1568</v>
      </c>
      <c r="W388" s="2" t="s">
        <v>1569</v>
      </c>
      <c r="X388" s="2" t="s">
        <v>1570</v>
      </c>
      <c r="AB388" s="2" t="s">
        <v>1571</v>
      </c>
    </row>
    <row r="389">
      <c r="A389" s="2" t="s">
        <v>1755</v>
      </c>
      <c r="B389" s="2">
        <v>19.0</v>
      </c>
      <c r="C389" s="2" t="s">
        <v>9</v>
      </c>
      <c r="D389" s="2" t="s">
        <v>1756</v>
      </c>
      <c r="E389" s="2">
        <v>6.0</v>
      </c>
      <c r="F389" s="2" t="s">
        <v>10</v>
      </c>
      <c r="G389" s="5">
        <v>2746656.0</v>
      </c>
      <c r="H389" s="2" t="s">
        <v>1575</v>
      </c>
      <c r="I389" s="2" t="s">
        <v>1565</v>
      </c>
      <c r="J389" s="2">
        <v>10000.0</v>
      </c>
      <c r="K389" s="2" t="s">
        <v>1566</v>
      </c>
      <c r="L389" s="2"/>
      <c r="M389" s="2"/>
      <c r="N389" s="7">
        <v>1.0</v>
      </c>
      <c r="O389" s="12">
        <v>29524.0</v>
      </c>
      <c r="P389" s="11" t="s">
        <v>1649</v>
      </c>
      <c r="Q389" s="12">
        <v>29524.0</v>
      </c>
      <c r="R389" s="11" t="s">
        <v>1649</v>
      </c>
      <c r="S389" s="11" t="s">
        <v>1683</v>
      </c>
      <c r="T389" s="11" t="s">
        <v>1684</v>
      </c>
      <c r="U389" s="2" t="s">
        <v>1574</v>
      </c>
      <c r="V389" s="2" t="s">
        <v>1568</v>
      </c>
      <c r="W389" s="2" t="s">
        <v>1569</v>
      </c>
      <c r="X389" s="2" t="s">
        <v>1570</v>
      </c>
      <c r="AB389" s="2" t="s">
        <v>1571</v>
      </c>
    </row>
    <row r="390">
      <c r="A390" s="2" t="s">
        <v>1755</v>
      </c>
      <c r="B390" s="2">
        <v>19.0</v>
      </c>
      <c r="C390" s="2" t="s">
        <v>9</v>
      </c>
      <c r="D390" s="2" t="s">
        <v>1756</v>
      </c>
      <c r="E390" s="2">
        <v>6.0</v>
      </c>
      <c r="F390" s="2" t="s">
        <v>10</v>
      </c>
      <c r="G390" s="5">
        <v>2746291.0</v>
      </c>
      <c r="H390" s="2" t="s">
        <v>1575</v>
      </c>
      <c r="I390" s="2" t="s">
        <v>1572</v>
      </c>
      <c r="J390" s="2">
        <v>10112.0</v>
      </c>
      <c r="K390" s="2" t="s">
        <v>1573</v>
      </c>
      <c r="L390" s="2"/>
      <c r="M390" s="2"/>
      <c r="N390" s="7">
        <v>1.0</v>
      </c>
      <c r="O390" s="12">
        <v>6667.0</v>
      </c>
      <c r="P390" s="11" t="s">
        <v>1649</v>
      </c>
      <c r="Q390" s="12">
        <v>6667.0</v>
      </c>
      <c r="R390" s="11" t="s">
        <v>1649</v>
      </c>
      <c r="S390" s="11" t="s">
        <v>1734</v>
      </c>
      <c r="T390" s="11" t="s">
        <v>1738</v>
      </c>
      <c r="U390" s="2" t="s">
        <v>1574</v>
      </c>
      <c r="V390" s="2" t="s">
        <v>1568</v>
      </c>
      <c r="W390" s="2" t="s">
        <v>1569</v>
      </c>
      <c r="X390" s="2" t="s">
        <v>1570</v>
      </c>
      <c r="AB390" s="2" t="s">
        <v>1571</v>
      </c>
    </row>
    <row r="391">
      <c r="A391" s="2" t="s">
        <v>1755</v>
      </c>
      <c r="B391" s="2">
        <v>18.0</v>
      </c>
      <c r="C391" s="2" t="s">
        <v>9</v>
      </c>
      <c r="D391" s="2" t="s">
        <v>1756</v>
      </c>
      <c r="E391" s="2">
        <v>6.0</v>
      </c>
      <c r="F391" s="2" t="s">
        <v>10</v>
      </c>
      <c r="G391" s="5">
        <v>2745926.0</v>
      </c>
      <c r="H391" s="2" t="s">
        <v>1575</v>
      </c>
      <c r="I391" s="2" t="s">
        <v>1572</v>
      </c>
      <c r="J391" s="2">
        <v>10122.0</v>
      </c>
      <c r="K391" s="2" t="s">
        <v>1577</v>
      </c>
      <c r="L391" s="2"/>
      <c r="M391" s="2"/>
      <c r="N391" s="7">
        <v>1.0</v>
      </c>
      <c r="O391" s="12">
        <v>21905.0</v>
      </c>
      <c r="P391" s="11" t="s">
        <v>1649</v>
      </c>
      <c r="Q391" s="12">
        <v>21905.0</v>
      </c>
      <c r="R391" s="11" t="s">
        <v>1649</v>
      </c>
      <c r="S391" s="11" t="s">
        <v>1666</v>
      </c>
      <c r="T391" s="11" t="s">
        <v>1667</v>
      </c>
      <c r="U391" s="2" t="s">
        <v>1574</v>
      </c>
      <c r="V391" s="2" t="s">
        <v>1568</v>
      </c>
      <c r="W391" s="2" t="s">
        <v>1569</v>
      </c>
      <c r="X391" s="2" t="s">
        <v>1570</v>
      </c>
      <c r="AB391" s="2" t="s">
        <v>1571</v>
      </c>
    </row>
    <row r="392">
      <c r="A392" s="2" t="s">
        <v>1755</v>
      </c>
      <c r="B392" s="2">
        <v>18.0</v>
      </c>
      <c r="C392" s="2" t="s">
        <v>9</v>
      </c>
      <c r="D392" s="2" t="s">
        <v>1756</v>
      </c>
      <c r="E392" s="2">
        <v>6.0</v>
      </c>
      <c r="F392" s="2" t="s">
        <v>10</v>
      </c>
      <c r="G392" s="5">
        <v>2745926.0</v>
      </c>
      <c r="H392" s="2" t="s">
        <v>1575</v>
      </c>
      <c r="I392" s="2" t="s">
        <v>1565</v>
      </c>
      <c r="J392" s="2">
        <v>10055.0</v>
      </c>
      <c r="K392" s="2" t="s">
        <v>1595</v>
      </c>
      <c r="L392" s="2"/>
      <c r="M392" s="2"/>
      <c r="N392" s="7">
        <v>2.0</v>
      </c>
      <c r="O392" s="12">
        <v>34762.0</v>
      </c>
      <c r="P392" s="11" t="s">
        <v>1649</v>
      </c>
      <c r="Q392" s="12">
        <v>34762.0</v>
      </c>
      <c r="R392" s="11" t="s">
        <v>1649</v>
      </c>
      <c r="S392" s="11" t="s">
        <v>1670</v>
      </c>
      <c r="T392" s="11" t="s">
        <v>1671</v>
      </c>
      <c r="U392" s="2" t="s">
        <v>1574</v>
      </c>
      <c r="V392" s="2" t="s">
        <v>1568</v>
      </c>
      <c r="W392" s="2" t="s">
        <v>1569</v>
      </c>
      <c r="X392" s="2" t="s">
        <v>1570</v>
      </c>
      <c r="AB392" s="2" t="s">
        <v>1571</v>
      </c>
    </row>
    <row r="393">
      <c r="A393" s="2" t="s">
        <v>1755</v>
      </c>
      <c r="B393" s="2">
        <v>17.0</v>
      </c>
      <c r="C393" s="2" t="s">
        <v>9</v>
      </c>
      <c r="D393" s="2" t="s">
        <v>1756</v>
      </c>
      <c r="E393" s="2">
        <v>6.0</v>
      </c>
      <c r="F393" s="2" t="s">
        <v>10</v>
      </c>
      <c r="G393" s="5">
        <v>2745561.0</v>
      </c>
      <c r="H393" s="2" t="s">
        <v>1575</v>
      </c>
      <c r="I393" s="2" t="s">
        <v>1580</v>
      </c>
      <c r="J393" s="2">
        <v>10012.0</v>
      </c>
      <c r="K393" s="2" t="s">
        <v>1602</v>
      </c>
      <c r="L393" s="2"/>
      <c r="M393" s="2"/>
      <c r="N393" s="7">
        <v>1.0</v>
      </c>
      <c r="O393" s="12">
        <v>29524.0</v>
      </c>
      <c r="P393" s="11" t="s">
        <v>1649</v>
      </c>
      <c r="Q393" s="12">
        <v>29524.0</v>
      </c>
      <c r="R393" s="11" t="s">
        <v>1649</v>
      </c>
      <c r="S393" s="11" t="s">
        <v>1683</v>
      </c>
      <c r="T393" s="11" t="s">
        <v>1684</v>
      </c>
      <c r="U393" s="2" t="s">
        <v>1574</v>
      </c>
      <c r="V393" s="2" t="s">
        <v>1568</v>
      </c>
      <c r="W393" s="2" t="s">
        <v>1569</v>
      </c>
      <c r="X393" s="2" t="s">
        <v>1570</v>
      </c>
      <c r="AB393" s="2" t="s">
        <v>1571</v>
      </c>
    </row>
    <row r="394">
      <c r="A394" s="2" t="s">
        <v>1755</v>
      </c>
      <c r="B394" s="2">
        <v>17.0</v>
      </c>
      <c r="C394" s="2" t="s">
        <v>9</v>
      </c>
      <c r="D394" s="2" t="s">
        <v>1756</v>
      </c>
      <c r="E394" s="2">
        <v>6.0</v>
      </c>
      <c r="F394" s="2" t="s">
        <v>10</v>
      </c>
      <c r="G394" s="5">
        <v>2745561.0</v>
      </c>
      <c r="H394" s="2" t="s">
        <v>1575</v>
      </c>
      <c r="I394" s="2" t="s">
        <v>1565</v>
      </c>
      <c r="J394" s="2">
        <v>10002.0</v>
      </c>
      <c r="K394" s="2" t="s">
        <v>1576</v>
      </c>
      <c r="L394" s="2"/>
      <c r="M394" s="2"/>
      <c r="N394" s="7">
        <v>1.0</v>
      </c>
      <c r="O394" s="12">
        <v>18571.0</v>
      </c>
      <c r="P394" s="11" t="s">
        <v>1649</v>
      </c>
      <c r="Q394" s="12">
        <v>18571.0</v>
      </c>
      <c r="R394" s="11" t="s">
        <v>1649</v>
      </c>
      <c r="S394" s="11" t="s">
        <v>1656</v>
      </c>
      <c r="T394" s="11" t="s">
        <v>1657</v>
      </c>
      <c r="U394" s="2" t="s">
        <v>1574</v>
      </c>
      <c r="V394" s="2" t="s">
        <v>1568</v>
      </c>
      <c r="W394" s="2" t="s">
        <v>1569</v>
      </c>
      <c r="X394" s="2" t="s">
        <v>1570</v>
      </c>
      <c r="AB394" s="2" t="s">
        <v>1571</v>
      </c>
    </row>
    <row r="395">
      <c r="A395" s="2" t="s">
        <v>1755</v>
      </c>
      <c r="B395" s="2">
        <v>17.0</v>
      </c>
      <c r="C395" s="2" t="s">
        <v>9</v>
      </c>
      <c r="D395" s="2" t="s">
        <v>1756</v>
      </c>
      <c r="E395" s="2">
        <v>6.0</v>
      </c>
      <c r="F395" s="2" t="s">
        <v>10</v>
      </c>
      <c r="G395" s="5">
        <v>2745561.0</v>
      </c>
      <c r="H395" s="2" t="s">
        <v>1575</v>
      </c>
      <c r="I395" s="2" t="s">
        <v>1565</v>
      </c>
      <c r="J395" s="2">
        <v>10005.0</v>
      </c>
      <c r="K395" s="2" t="s">
        <v>1595</v>
      </c>
      <c r="L395" s="2"/>
      <c r="M395" s="2"/>
      <c r="N395" s="7">
        <v>1.0</v>
      </c>
      <c r="O395" s="12">
        <v>19524.0</v>
      </c>
      <c r="P395" s="11" t="s">
        <v>1649</v>
      </c>
      <c r="Q395" s="12">
        <v>19524.0</v>
      </c>
      <c r="R395" s="11" t="s">
        <v>1649</v>
      </c>
      <c r="S395" s="11" t="s">
        <v>1676</v>
      </c>
      <c r="T395" s="11" t="s">
        <v>1677</v>
      </c>
      <c r="U395" s="2" t="s">
        <v>1574</v>
      </c>
      <c r="V395" s="2" t="s">
        <v>1568</v>
      </c>
      <c r="W395" s="2" t="s">
        <v>1569</v>
      </c>
      <c r="X395" s="2" t="s">
        <v>1570</v>
      </c>
      <c r="AB395" s="2" t="s">
        <v>1571</v>
      </c>
    </row>
    <row r="396">
      <c r="A396" s="2" t="s">
        <v>1755</v>
      </c>
      <c r="B396" s="2">
        <v>17.0</v>
      </c>
      <c r="C396" s="2" t="s">
        <v>9</v>
      </c>
      <c r="D396" s="2" t="s">
        <v>1756</v>
      </c>
      <c r="E396" s="2">
        <v>6.0</v>
      </c>
      <c r="F396" s="2" t="s">
        <v>10</v>
      </c>
      <c r="G396" s="5">
        <v>2745561.0</v>
      </c>
      <c r="H396" s="2" t="s">
        <v>1575</v>
      </c>
      <c r="I396" s="2" t="s">
        <v>1572</v>
      </c>
      <c r="J396" s="2">
        <v>10118.0</v>
      </c>
      <c r="K396" s="2" t="s">
        <v>1604</v>
      </c>
      <c r="L396" s="2"/>
      <c r="M396" s="2"/>
      <c r="N396" s="7">
        <v>1.0</v>
      </c>
      <c r="O396" s="12">
        <v>7143.0</v>
      </c>
      <c r="P396" s="11" t="s">
        <v>1649</v>
      </c>
      <c r="Q396" s="12">
        <v>7143.0</v>
      </c>
      <c r="R396" s="11" t="s">
        <v>1649</v>
      </c>
      <c r="S396" s="11" t="s">
        <v>1672</v>
      </c>
      <c r="T396" s="11" t="s">
        <v>1673</v>
      </c>
      <c r="U396" s="2" t="s">
        <v>1574</v>
      </c>
      <c r="V396" s="2" t="s">
        <v>1568</v>
      </c>
      <c r="W396" s="2" t="s">
        <v>1569</v>
      </c>
      <c r="X396" s="2" t="s">
        <v>1570</v>
      </c>
      <c r="AB396" s="2" t="s">
        <v>1571</v>
      </c>
    </row>
    <row r="397">
      <c r="A397" s="2" t="s">
        <v>1755</v>
      </c>
      <c r="B397" s="2">
        <v>17.0</v>
      </c>
      <c r="C397" s="2" t="s">
        <v>9</v>
      </c>
      <c r="D397" s="2" t="s">
        <v>1756</v>
      </c>
      <c r="E397" s="2">
        <v>6.0</v>
      </c>
      <c r="F397" s="2" t="s">
        <v>10</v>
      </c>
      <c r="G397" s="5">
        <v>2745561.0</v>
      </c>
      <c r="H397" s="2" t="s">
        <v>1575</v>
      </c>
      <c r="I397" s="2" t="s">
        <v>1572</v>
      </c>
      <c r="J397" s="2">
        <v>10122.0</v>
      </c>
      <c r="K397" s="2" t="s">
        <v>1577</v>
      </c>
      <c r="L397" s="2"/>
      <c r="M397" s="2"/>
      <c r="N397" s="7">
        <v>1.0</v>
      </c>
      <c r="O397" s="12">
        <v>21905.0</v>
      </c>
      <c r="P397" s="11" t="s">
        <v>1649</v>
      </c>
      <c r="Q397" s="12">
        <v>21905.0</v>
      </c>
      <c r="R397" s="11" t="s">
        <v>1649</v>
      </c>
      <c r="S397" s="11" t="s">
        <v>1666</v>
      </c>
      <c r="T397" s="11" t="s">
        <v>1667</v>
      </c>
      <c r="U397" s="2" t="s">
        <v>1574</v>
      </c>
      <c r="V397" s="2" t="s">
        <v>1568</v>
      </c>
      <c r="W397" s="2" t="s">
        <v>1569</v>
      </c>
      <c r="X397" s="2" t="s">
        <v>1570</v>
      </c>
      <c r="AB397" s="2" t="s">
        <v>1571</v>
      </c>
    </row>
    <row r="398">
      <c r="A398" s="2" t="s">
        <v>1755</v>
      </c>
      <c r="B398" s="2">
        <v>17.0</v>
      </c>
      <c r="C398" s="2" t="s">
        <v>9</v>
      </c>
      <c r="D398" s="2" t="s">
        <v>1756</v>
      </c>
      <c r="E398" s="2">
        <v>6.0</v>
      </c>
      <c r="F398" s="2" t="s">
        <v>10</v>
      </c>
      <c r="G398" s="5">
        <v>2745195.0</v>
      </c>
      <c r="H398" s="2" t="s">
        <v>1575</v>
      </c>
      <c r="I398" s="2" t="s">
        <v>1572</v>
      </c>
      <c r="J398" s="2">
        <v>10026.0</v>
      </c>
      <c r="K398" s="2" t="s">
        <v>1583</v>
      </c>
      <c r="L398" s="2"/>
      <c r="M398" s="2"/>
      <c r="N398" s="7">
        <v>1.0</v>
      </c>
      <c r="O398" s="12">
        <v>21905.0</v>
      </c>
      <c r="P398" s="11" t="s">
        <v>1649</v>
      </c>
      <c r="Q398" s="12">
        <v>21905.0</v>
      </c>
      <c r="R398" s="11" t="s">
        <v>1649</v>
      </c>
      <c r="S398" s="11" t="s">
        <v>1666</v>
      </c>
      <c r="T398" s="11" t="s">
        <v>1667</v>
      </c>
      <c r="U398" s="2" t="s">
        <v>1574</v>
      </c>
      <c r="V398" s="2" t="s">
        <v>1568</v>
      </c>
      <c r="W398" s="2" t="s">
        <v>1569</v>
      </c>
      <c r="X398" s="2" t="s">
        <v>1570</v>
      </c>
      <c r="AB398" s="2" t="s">
        <v>1571</v>
      </c>
    </row>
    <row r="399">
      <c r="A399" s="2" t="s">
        <v>1755</v>
      </c>
      <c r="B399" s="2">
        <v>17.0</v>
      </c>
      <c r="C399" s="2" t="s">
        <v>9</v>
      </c>
      <c r="D399" s="2" t="s">
        <v>1756</v>
      </c>
      <c r="E399" s="2">
        <v>6.0</v>
      </c>
      <c r="F399" s="2" t="s">
        <v>10</v>
      </c>
      <c r="G399" s="5">
        <v>2745195.0</v>
      </c>
      <c r="H399" s="2" t="s">
        <v>1575</v>
      </c>
      <c r="I399" s="2" t="s">
        <v>1565</v>
      </c>
      <c r="J399" s="2">
        <v>10033.0</v>
      </c>
      <c r="K399" s="2" t="s">
        <v>1615</v>
      </c>
      <c r="L399" s="2"/>
      <c r="M399" s="2"/>
      <c r="N399" s="7">
        <v>1.0</v>
      </c>
      <c r="O399" s="12">
        <v>21905.0</v>
      </c>
      <c r="P399" s="11" t="s">
        <v>1649</v>
      </c>
      <c r="Q399" s="12">
        <v>21905.0</v>
      </c>
      <c r="R399" s="11" t="s">
        <v>1649</v>
      </c>
      <c r="S399" s="11" t="s">
        <v>1666</v>
      </c>
      <c r="T399" s="11" t="s">
        <v>1687</v>
      </c>
      <c r="U399" s="2" t="s">
        <v>1574</v>
      </c>
      <c r="V399" s="2" t="s">
        <v>1568</v>
      </c>
      <c r="W399" s="2" t="s">
        <v>1569</v>
      </c>
      <c r="X399" s="2" t="s">
        <v>1570</v>
      </c>
      <c r="AB399" s="2" t="s">
        <v>1571</v>
      </c>
    </row>
    <row r="400">
      <c r="A400" s="2" t="s">
        <v>1755</v>
      </c>
      <c r="B400" s="2">
        <v>17.0</v>
      </c>
      <c r="C400" s="2" t="s">
        <v>9</v>
      </c>
      <c r="D400" s="2" t="s">
        <v>1756</v>
      </c>
      <c r="E400" s="2">
        <v>6.0</v>
      </c>
      <c r="F400" s="2" t="s">
        <v>10</v>
      </c>
      <c r="G400" s="5">
        <v>2745195.0</v>
      </c>
      <c r="H400" s="2" t="s">
        <v>1575</v>
      </c>
      <c r="I400" s="2" t="s">
        <v>1572</v>
      </c>
      <c r="J400" s="2">
        <v>10128.0</v>
      </c>
      <c r="K400" s="2" t="s">
        <v>1588</v>
      </c>
      <c r="L400" s="2"/>
      <c r="M400" s="2"/>
      <c r="N400" s="7">
        <v>1.0</v>
      </c>
      <c r="O400" s="12">
        <v>23333.0</v>
      </c>
      <c r="P400" s="11" t="s">
        <v>1649</v>
      </c>
      <c r="Q400" s="12">
        <v>23333.0</v>
      </c>
      <c r="R400" s="11" t="s">
        <v>1649</v>
      </c>
      <c r="S400" s="11" t="s">
        <v>1681</v>
      </c>
      <c r="T400" s="11" t="s">
        <v>1715</v>
      </c>
      <c r="U400" s="2" t="s">
        <v>1574</v>
      </c>
      <c r="V400" s="2" t="s">
        <v>1568</v>
      </c>
      <c r="W400" s="2" t="s">
        <v>1569</v>
      </c>
      <c r="X400" s="2" t="s">
        <v>1570</v>
      </c>
      <c r="AB400" s="2" t="s">
        <v>1571</v>
      </c>
    </row>
    <row r="401">
      <c r="A401" s="2" t="s">
        <v>1755</v>
      </c>
      <c r="B401" s="2">
        <v>17.0</v>
      </c>
      <c r="C401" s="2" t="s">
        <v>9</v>
      </c>
      <c r="D401" s="2" t="s">
        <v>1756</v>
      </c>
      <c r="E401" s="2">
        <v>6.0</v>
      </c>
      <c r="F401" s="2" t="s">
        <v>10</v>
      </c>
      <c r="G401" s="5">
        <v>2744830.0</v>
      </c>
      <c r="H401" s="2" t="s">
        <v>1575</v>
      </c>
      <c r="I401" s="2" t="s">
        <v>1565</v>
      </c>
      <c r="J401" s="2">
        <v>10054.0</v>
      </c>
      <c r="K401" s="2" t="s">
        <v>1610</v>
      </c>
      <c r="L401" s="2"/>
      <c r="M401" s="2"/>
      <c r="N401" s="7">
        <v>1.0</v>
      </c>
      <c r="O401" s="12">
        <v>25238.0</v>
      </c>
      <c r="P401" s="11" t="s">
        <v>1649</v>
      </c>
      <c r="Q401" s="12">
        <v>25238.0</v>
      </c>
      <c r="R401" s="11" t="s">
        <v>1649</v>
      </c>
      <c r="S401" s="11" t="s">
        <v>1660</v>
      </c>
      <c r="T401" s="11" t="s">
        <v>1680</v>
      </c>
      <c r="U401" s="2" t="s">
        <v>1574</v>
      </c>
      <c r="V401" s="2" t="s">
        <v>1568</v>
      </c>
      <c r="W401" s="2" t="s">
        <v>1569</v>
      </c>
      <c r="X401" s="2" t="s">
        <v>1570</v>
      </c>
      <c r="AB401" s="2" t="s">
        <v>1571</v>
      </c>
    </row>
    <row r="402">
      <c r="A402" s="2" t="s">
        <v>1755</v>
      </c>
      <c r="B402" s="2">
        <v>17.0</v>
      </c>
      <c r="C402" s="2" t="s">
        <v>9</v>
      </c>
      <c r="D402" s="2" t="s">
        <v>1756</v>
      </c>
      <c r="E402" s="2">
        <v>6.0</v>
      </c>
      <c r="F402" s="2" t="s">
        <v>10</v>
      </c>
      <c r="G402" s="5">
        <v>2744830.0</v>
      </c>
      <c r="H402" s="2" t="s">
        <v>1575</v>
      </c>
      <c r="I402" s="2" t="s">
        <v>1578</v>
      </c>
      <c r="J402" s="2">
        <v>10014.0</v>
      </c>
      <c r="K402" s="2" t="s">
        <v>1609</v>
      </c>
      <c r="L402" s="2"/>
      <c r="M402" s="2"/>
      <c r="N402" s="7">
        <v>1.0</v>
      </c>
      <c r="O402" s="12">
        <v>25238.0</v>
      </c>
      <c r="P402" s="11" t="s">
        <v>1649</v>
      </c>
      <c r="Q402" s="12">
        <v>25238.0</v>
      </c>
      <c r="R402" s="11" t="s">
        <v>1649</v>
      </c>
      <c r="S402" s="11" t="s">
        <v>1660</v>
      </c>
      <c r="T402" s="11" t="s">
        <v>1680</v>
      </c>
      <c r="U402" s="2" t="s">
        <v>1574</v>
      </c>
      <c r="V402" s="2" t="s">
        <v>1568</v>
      </c>
      <c r="W402" s="2" t="s">
        <v>1569</v>
      </c>
      <c r="X402" s="2" t="s">
        <v>1570</v>
      </c>
      <c r="AB402" s="2" t="s">
        <v>1571</v>
      </c>
    </row>
    <row r="403">
      <c r="A403" s="2" t="s">
        <v>1755</v>
      </c>
      <c r="B403" s="2">
        <v>17.0</v>
      </c>
      <c r="C403" s="2" t="s">
        <v>9</v>
      </c>
      <c r="D403" s="2" t="s">
        <v>1756</v>
      </c>
      <c r="E403" s="2">
        <v>6.0</v>
      </c>
      <c r="F403" s="2" t="s">
        <v>10</v>
      </c>
      <c r="G403" s="5">
        <v>2744830.0</v>
      </c>
      <c r="H403" s="2" t="s">
        <v>1575</v>
      </c>
      <c r="I403" s="2" t="s">
        <v>1572</v>
      </c>
      <c r="J403" s="2">
        <v>10119.0</v>
      </c>
      <c r="K403" s="2" t="s">
        <v>1582</v>
      </c>
      <c r="L403" s="2"/>
      <c r="M403" s="2"/>
      <c r="N403" s="7">
        <v>1.0</v>
      </c>
      <c r="O403" s="12">
        <v>7143.0</v>
      </c>
      <c r="P403" s="11" t="s">
        <v>1649</v>
      </c>
      <c r="Q403" s="12">
        <v>7143.0</v>
      </c>
      <c r="R403" s="11" t="s">
        <v>1649</v>
      </c>
      <c r="S403" s="11" t="s">
        <v>1672</v>
      </c>
      <c r="T403" s="11" t="s">
        <v>1673</v>
      </c>
      <c r="U403" s="2" t="s">
        <v>1574</v>
      </c>
      <c r="V403" s="2" t="s">
        <v>1568</v>
      </c>
      <c r="W403" s="2" t="s">
        <v>1569</v>
      </c>
      <c r="X403" s="2" t="s">
        <v>1570</v>
      </c>
      <c r="AB403" s="2" t="s">
        <v>1571</v>
      </c>
    </row>
    <row r="404">
      <c r="A404" s="2" t="s">
        <v>1755</v>
      </c>
      <c r="B404" s="2">
        <v>17.0</v>
      </c>
      <c r="C404" s="2" t="s">
        <v>9</v>
      </c>
      <c r="D404" s="2" t="s">
        <v>1756</v>
      </c>
      <c r="E404" s="2">
        <v>6.0</v>
      </c>
      <c r="F404" s="2" t="s">
        <v>10</v>
      </c>
      <c r="G404" s="5">
        <v>2744465.0</v>
      </c>
      <c r="H404" s="2" t="s">
        <v>1575</v>
      </c>
      <c r="I404" s="2" t="s">
        <v>1565</v>
      </c>
      <c r="J404" s="2">
        <v>10007.0</v>
      </c>
      <c r="K404" s="2" t="s">
        <v>1576</v>
      </c>
      <c r="L404" s="2"/>
      <c r="M404" s="2"/>
      <c r="N404" s="7">
        <v>2.0</v>
      </c>
      <c r="O404" s="12">
        <v>33810.0</v>
      </c>
      <c r="P404" s="11" t="s">
        <v>1649</v>
      </c>
      <c r="Q404" s="12">
        <v>33810.0</v>
      </c>
      <c r="R404" s="11" t="s">
        <v>1649</v>
      </c>
      <c r="S404" s="11" t="s">
        <v>1701</v>
      </c>
      <c r="T404" s="11" t="s">
        <v>1703</v>
      </c>
      <c r="U404" s="2" t="s">
        <v>1574</v>
      </c>
      <c r="V404" s="2" t="s">
        <v>1568</v>
      </c>
      <c r="W404" s="2" t="s">
        <v>1569</v>
      </c>
      <c r="X404" s="2" t="s">
        <v>1570</v>
      </c>
      <c r="AB404" s="2" t="s">
        <v>1571</v>
      </c>
    </row>
    <row r="405">
      <c r="A405" s="2" t="s">
        <v>1755</v>
      </c>
      <c r="B405" s="2">
        <v>16.0</v>
      </c>
      <c r="C405" s="2" t="s">
        <v>9</v>
      </c>
      <c r="D405" s="2" t="s">
        <v>1756</v>
      </c>
      <c r="E405" s="2">
        <v>6.0</v>
      </c>
      <c r="F405" s="2" t="s">
        <v>10</v>
      </c>
      <c r="G405" s="5">
        <v>2744100.0</v>
      </c>
      <c r="H405" s="2" t="s">
        <v>1575</v>
      </c>
      <c r="I405" s="2" t="s">
        <v>1578</v>
      </c>
      <c r="J405" s="2">
        <v>10015.0</v>
      </c>
      <c r="K405" s="2" t="s">
        <v>1587</v>
      </c>
      <c r="L405" s="2"/>
      <c r="M405" s="2"/>
      <c r="N405" s="7">
        <v>1.0</v>
      </c>
      <c r="O405" s="12">
        <v>25238.0</v>
      </c>
      <c r="P405" s="11" t="s">
        <v>1649</v>
      </c>
      <c r="Q405" s="12">
        <v>25238.0</v>
      </c>
      <c r="R405" s="11" t="s">
        <v>1649</v>
      </c>
      <c r="S405" s="11" t="s">
        <v>1660</v>
      </c>
      <c r="T405" s="11" t="s">
        <v>1680</v>
      </c>
      <c r="U405" s="2" t="s">
        <v>1574</v>
      </c>
      <c r="V405" s="2" t="s">
        <v>1568</v>
      </c>
      <c r="W405" s="2" t="s">
        <v>1569</v>
      </c>
      <c r="X405" s="2" t="s">
        <v>1570</v>
      </c>
      <c r="AB405" s="2" t="s">
        <v>1571</v>
      </c>
    </row>
    <row r="406">
      <c r="A406" s="2" t="s">
        <v>1755</v>
      </c>
      <c r="B406" s="2">
        <v>16.0</v>
      </c>
      <c r="C406" s="2" t="s">
        <v>9</v>
      </c>
      <c r="D406" s="2" t="s">
        <v>1756</v>
      </c>
      <c r="E406" s="2">
        <v>6.0</v>
      </c>
      <c r="F406" s="2" t="s">
        <v>10</v>
      </c>
      <c r="G406" s="5">
        <v>2744100.0</v>
      </c>
      <c r="H406" s="2" t="s">
        <v>1575</v>
      </c>
      <c r="I406" s="2" t="s">
        <v>1572</v>
      </c>
      <c r="J406" s="2">
        <v>10128.0</v>
      </c>
      <c r="K406" s="2" t="s">
        <v>1588</v>
      </c>
      <c r="L406" s="2"/>
      <c r="M406" s="2"/>
      <c r="N406" s="7">
        <v>1.0</v>
      </c>
      <c r="O406" s="12">
        <v>23333.0</v>
      </c>
      <c r="P406" s="11" t="s">
        <v>1649</v>
      </c>
      <c r="Q406" s="12">
        <v>23333.0</v>
      </c>
      <c r="R406" s="11" t="s">
        <v>1649</v>
      </c>
      <c r="S406" s="11" t="s">
        <v>1681</v>
      </c>
      <c r="T406" s="11" t="s">
        <v>1682</v>
      </c>
      <c r="U406" s="2" t="s">
        <v>1574</v>
      </c>
      <c r="V406" s="2" t="s">
        <v>1568</v>
      </c>
      <c r="W406" s="2" t="s">
        <v>1569</v>
      </c>
      <c r="X406" s="2" t="s">
        <v>1570</v>
      </c>
      <c r="AB406" s="2" t="s">
        <v>1571</v>
      </c>
    </row>
    <row r="407">
      <c r="A407" s="2" t="s">
        <v>1755</v>
      </c>
      <c r="B407" s="2">
        <v>16.0</v>
      </c>
      <c r="C407" s="2" t="s">
        <v>9</v>
      </c>
      <c r="D407" s="2" t="s">
        <v>1756</v>
      </c>
      <c r="E407" s="2">
        <v>6.0</v>
      </c>
      <c r="F407" s="2" t="s">
        <v>10</v>
      </c>
      <c r="G407" s="5">
        <v>2744100.0</v>
      </c>
      <c r="H407" s="2" t="s">
        <v>1575</v>
      </c>
      <c r="I407" s="2" t="s">
        <v>1572</v>
      </c>
      <c r="J407" s="2">
        <v>10123.0</v>
      </c>
      <c r="K407" s="2" t="s">
        <v>1599</v>
      </c>
      <c r="L407" s="2"/>
      <c r="M407" s="2"/>
      <c r="N407" s="7">
        <v>1.0</v>
      </c>
      <c r="O407" s="12">
        <v>21905.0</v>
      </c>
      <c r="P407" s="11" t="s">
        <v>1649</v>
      </c>
      <c r="Q407" s="12">
        <v>21905.0</v>
      </c>
      <c r="R407" s="11" t="s">
        <v>1649</v>
      </c>
      <c r="S407" s="11" t="s">
        <v>1666</v>
      </c>
      <c r="T407" s="11" t="s">
        <v>1667</v>
      </c>
      <c r="U407" s="2" t="s">
        <v>1574</v>
      </c>
      <c r="V407" s="2" t="s">
        <v>1568</v>
      </c>
      <c r="W407" s="2" t="s">
        <v>1569</v>
      </c>
      <c r="X407" s="2" t="s">
        <v>1570</v>
      </c>
      <c r="AB407" s="2" t="s">
        <v>1571</v>
      </c>
    </row>
    <row r="408">
      <c r="A408" s="2" t="s">
        <v>1755</v>
      </c>
      <c r="B408" s="2">
        <v>16.0</v>
      </c>
      <c r="C408" s="2" t="s">
        <v>9</v>
      </c>
      <c r="D408" s="2" t="s">
        <v>1756</v>
      </c>
      <c r="E408" s="2">
        <v>6.0</v>
      </c>
      <c r="F408" s="2" t="s">
        <v>10</v>
      </c>
      <c r="G408" s="5">
        <v>2744100.0</v>
      </c>
      <c r="H408" s="2" t="s">
        <v>1575</v>
      </c>
      <c r="I408" s="2" t="s">
        <v>1565</v>
      </c>
      <c r="J408" s="2">
        <v>10002.0</v>
      </c>
      <c r="K408" s="2" t="s">
        <v>1576</v>
      </c>
      <c r="L408" s="2"/>
      <c r="M408" s="2"/>
      <c r="N408" s="7">
        <v>1.0</v>
      </c>
      <c r="O408" s="12">
        <v>18571.0</v>
      </c>
      <c r="P408" s="11" t="s">
        <v>1649</v>
      </c>
      <c r="Q408" s="12">
        <v>18571.0</v>
      </c>
      <c r="R408" s="11" t="s">
        <v>1649</v>
      </c>
      <c r="S408" s="11" t="s">
        <v>1656</v>
      </c>
      <c r="T408" s="11" t="s">
        <v>1688</v>
      </c>
      <c r="U408" s="2" t="s">
        <v>1574</v>
      </c>
      <c r="V408" s="2" t="s">
        <v>1568</v>
      </c>
      <c r="W408" s="2" t="s">
        <v>1569</v>
      </c>
      <c r="X408" s="2" t="s">
        <v>1570</v>
      </c>
      <c r="AB408" s="2" t="s">
        <v>1571</v>
      </c>
    </row>
    <row r="409">
      <c r="A409" s="2" t="s">
        <v>1755</v>
      </c>
      <c r="B409" s="2">
        <v>16.0</v>
      </c>
      <c r="C409" s="2" t="s">
        <v>9</v>
      </c>
      <c r="D409" s="2" t="s">
        <v>1756</v>
      </c>
      <c r="E409" s="2">
        <v>6.0</v>
      </c>
      <c r="F409" s="2" t="s">
        <v>10</v>
      </c>
      <c r="G409" s="5">
        <v>2744100.0</v>
      </c>
      <c r="H409" s="2" t="s">
        <v>1575</v>
      </c>
      <c r="I409" s="2" t="s">
        <v>1565</v>
      </c>
      <c r="J409" s="2">
        <v>10005.0</v>
      </c>
      <c r="K409" s="2" t="s">
        <v>1595</v>
      </c>
      <c r="L409" s="2"/>
      <c r="M409" s="2"/>
      <c r="N409" s="7">
        <v>1.0</v>
      </c>
      <c r="O409" s="12">
        <v>19524.0</v>
      </c>
      <c r="P409" s="11" t="s">
        <v>1649</v>
      </c>
      <c r="Q409" s="12">
        <v>19524.0</v>
      </c>
      <c r="R409" s="11" t="s">
        <v>1649</v>
      </c>
      <c r="S409" s="11" t="s">
        <v>1676</v>
      </c>
      <c r="T409" s="11" t="s">
        <v>1694</v>
      </c>
      <c r="U409" s="2" t="s">
        <v>1574</v>
      </c>
      <c r="V409" s="2" t="s">
        <v>1568</v>
      </c>
      <c r="W409" s="2" t="s">
        <v>1569</v>
      </c>
      <c r="X409" s="2" t="s">
        <v>1570</v>
      </c>
      <c r="AB409" s="2" t="s">
        <v>1571</v>
      </c>
    </row>
    <row r="410">
      <c r="A410" s="2" t="s">
        <v>1755</v>
      </c>
      <c r="B410" s="2">
        <v>16.0</v>
      </c>
      <c r="C410" s="2" t="s">
        <v>9</v>
      </c>
      <c r="D410" s="2" t="s">
        <v>1756</v>
      </c>
      <c r="E410" s="2">
        <v>6.0</v>
      </c>
      <c r="F410" s="2" t="s">
        <v>10</v>
      </c>
      <c r="G410" s="5">
        <v>2743734.0</v>
      </c>
      <c r="H410" s="2" t="s">
        <v>1575</v>
      </c>
      <c r="I410" s="2" t="s">
        <v>1572</v>
      </c>
      <c r="J410" s="2">
        <v>10112.0</v>
      </c>
      <c r="K410" s="2" t="s">
        <v>1573</v>
      </c>
      <c r="L410" s="2"/>
      <c r="M410" s="2"/>
      <c r="N410" s="7">
        <v>2.0</v>
      </c>
      <c r="O410" s="12">
        <v>13334.0</v>
      </c>
      <c r="P410" s="11" t="s">
        <v>1649</v>
      </c>
      <c r="Q410" s="12">
        <v>13334.0</v>
      </c>
      <c r="R410" s="11" t="s">
        <v>1649</v>
      </c>
      <c r="S410" s="11" t="s">
        <v>1720</v>
      </c>
      <c r="T410" s="11" t="s">
        <v>1721</v>
      </c>
      <c r="U410" s="2" t="s">
        <v>1574</v>
      </c>
      <c r="V410" s="2" t="s">
        <v>1568</v>
      </c>
      <c r="W410" s="2" t="s">
        <v>1569</v>
      </c>
      <c r="X410" s="2" t="s">
        <v>1570</v>
      </c>
      <c r="AB410" s="2" t="s">
        <v>1571</v>
      </c>
    </row>
    <row r="411">
      <c r="A411" s="2" t="s">
        <v>1755</v>
      </c>
      <c r="B411" s="2">
        <v>16.0</v>
      </c>
      <c r="C411" s="2" t="s">
        <v>9</v>
      </c>
      <c r="D411" s="2" t="s">
        <v>1756</v>
      </c>
      <c r="E411" s="2">
        <v>6.0</v>
      </c>
      <c r="F411" s="2" t="s">
        <v>10</v>
      </c>
      <c r="G411" s="5">
        <v>2743369.0</v>
      </c>
      <c r="H411" s="2" t="s">
        <v>1575</v>
      </c>
      <c r="I411" s="2" t="s">
        <v>1565</v>
      </c>
      <c r="J411" s="2">
        <v>10007.0</v>
      </c>
      <c r="K411" s="2" t="s">
        <v>1576</v>
      </c>
      <c r="L411" s="2"/>
      <c r="M411" s="2"/>
      <c r="N411" s="7">
        <v>2.0</v>
      </c>
      <c r="O411" s="12">
        <v>33810.0</v>
      </c>
      <c r="P411" s="11" t="s">
        <v>1649</v>
      </c>
      <c r="Q411" s="12">
        <v>33810.0</v>
      </c>
      <c r="R411" s="11" t="s">
        <v>1649</v>
      </c>
      <c r="S411" s="11" t="s">
        <v>1701</v>
      </c>
      <c r="T411" s="11" t="s">
        <v>1703</v>
      </c>
      <c r="U411" s="2" t="s">
        <v>1574</v>
      </c>
      <c r="V411" s="2" t="s">
        <v>1568</v>
      </c>
      <c r="W411" s="2" t="s">
        <v>1569</v>
      </c>
      <c r="X411" s="2" t="s">
        <v>1570</v>
      </c>
      <c r="AB411" s="2" t="s">
        <v>1571</v>
      </c>
    </row>
    <row r="412">
      <c r="A412" s="2" t="s">
        <v>1755</v>
      </c>
      <c r="B412" s="2">
        <v>15.0</v>
      </c>
      <c r="C412" s="2" t="s">
        <v>9</v>
      </c>
      <c r="D412" s="2" t="s">
        <v>1756</v>
      </c>
      <c r="E412" s="2">
        <v>6.0</v>
      </c>
      <c r="F412" s="2" t="s">
        <v>10</v>
      </c>
      <c r="G412" s="5">
        <v>2743004.0</v>
      </c>
      <c r="H412" s="2" t="s">
        <v>1575</v>
      </c>
      <c r="I412" s="2" t="s">
        <v>1565</v>
      </c>
      <c r="J412" s="2">
        <v>10002.0</v>
      </c>
      <c r="K412" s="2" t="s">
        <v>1576</v>
      </c>
      <c r="L412" s="2"/>
      <c r="M412" s="2"/>
      <c r="N412" s="7">
        <v>1.0</v>
      </c>
      <c r="O412" s="12">
        <v>18571.0</v>
      </c>
      <c r="P412" s="11" t="s">
        <v>1649</v>
      </c>
      <c r="Q412" s="12">
        <v>18571.0</v>
      </c>
      <c r="R412" s="11" t="s">
        <v>1649</v>
      </c>
      <c r="S412" s="11" t="s">
        <v>1656</v>
      </c>
      <c r="T412" s="11" t="s">
        <v>1657</v>
      </c>
      <c r="U412" s="2" t="s">
        <v>1574</v>
      </c>
      <c r="V412" s="2" t="s">
        <v>1568</v>
      </c>
      <c r="W412" s="2" t="s">
        <v>1569</v>
      </c>
      <c r="X412" s="2" t="s">
        <v>1570</v>
      </c>
      <c r="AB412" s="2" t="s">
        <v>1571</v>
      </c>
    </row>
    <row r="413">
      <c r="A413" s="2" t="s">
        <v>1755</v>
      </c>
      <c r="B413" s="2">
        <v>15.0</v>
      </c>
      <c r="C413" s="2" t="s">
        <v>9</v>
      </c>
      <c r="D413" s="2" t="s">
        <v>1756</v>
      </c>
      <c r="E413" s="2">
        <v>6.0</v>
      </c>
      <c r="F413" s="2" t="s">
        <v>10</v>
      </c>
      <c r="G413" s="5">
        <v>2743004.0</v>
      </c>
      <c r="H413" s="2" t="s">
        <v>1575</v>
      </c>
      <c r="I413" s="2" t="s">
        <v>1565</v>
      </c>
      <c r="J413" s="2">
        <v>10033.0</v>
      </c>
      <c r="K413" s="2" t="s">
        <v>1615</v>
      </c>
      <c r="L413" s="2"/>
      <c r="M413" s="2"/>
      <c r="N413" s="7">
        <v>1.0</v>
      </c>
      <c r="O413" s="12">
        <v>21905.0</v>
      </c>
      <c r="P413" s="11" t="s">
        <v>1649</v>
      </c>
      <c r="Q413" s="12">
        <v>21905.0</v>
      </c>
      <c r="R413" s="11" t="s">
        <v>1649</v>
      </c>
      <c r="S413" s="11" t="s">
        <v>1666</v>
      </c>
      <c r="T413" s="11" t="s">
        <v>1667</v>
      </c>
      <c r="U413" s="2" t="s">
        <v>1574</v>
      </c>
      <c r="V413" s="2" t="s">
        <v>1568</v>
      </c>
      <c r="W413" s="2" t="s">
        <v>1569</v>
      </c>
      <c r="X413" s="2" t="s">
        <v>1570</v>
      </c>
      <c r="AB413" s="2" t="s">
        <v>1571</v>
      </c>
    </row>
    <row r="414">
      <c r="A414" s="2" t="s">
        <v>1755</v>
      </c>
      <c r="B414" s="2">
        <v>15.0</v>
      </c>
      <c r="C414" s="2" t="s">
        <v>9</v>
      </c>
      <c r="D414" s="2" t="s">
        <v>1756</v>
      </c>
      <c r="E414" s="2">
        <v>6.0</v>
      </c>
      <c r="F414" s="2" t="s">
        <v>10</v>
      </c>
      <c r="G414" s="5">
        <v>2743004.0</v>
      </c>
      <c r="H414" s="2" t="s">
        <v>1575</v>
      </c>
      <c r="I414" s="2" t="s">
        <v>1572</v>
      </c>
      <c r="J414" s="2">
        <v>10070.0</v>
      </c>
      <c r="K414" s="2" t="s">
        <v>1593</v>
      </c>
      <c r="L414" s="2"/>
      <c r="M414" s="2"/>
      <c r="N414" s="7">
        <v>1.0</v>
      </c>
      <c r="O414" s="12">
        <v>24762.0</v>
      </c>
      <c r="P414" s="11" t="s">
        <v>1649</v>
      </c>
      <c r="Q414" s="12">
        <v>24762.0</v>
      </c>
      <c r="R414" s="11" t="s">
        <v>1649</v>
      </c>
      <c r="S414" s="11" t="s">
        <v>1689</v>
      </c>
      <c r="T414" s="11" t="s">
        <v>1693</v>
      </c>
      <c r="U414" s="2" t="s">
        <v>1574</v>
      </c>
      <c r="V414" s="2" t="s">
        <v>1568</v>
      </c>
      <c r="W414" s="2" t="s">
        <v>1569</v>
      </c>
      <c r="X414" s="2" t="s">
        <v>1570</v>
      </c>
      <c r="AB414" s="2" t="s">
        <v>1571</v>
      </c>
    </row>
    <row r="415">
      <c r="A415" s="2" t="s">
        <v>1755</v>
      </c>
      <c r="B415" s="2">
        <v>15.0</v>
      </c>
      <c r="C415" s="2" t="s">
        <v>9</v>
      </c>
      <c r="D415" s="2" t="s">
        <v>1756</v>
      </c>
      <c r="E415" s="2">
        <v>6.0</v>
      </c>
      <c r="F415" s="2" t="s">
        <v>10</v>
      </c>
      <c r="G415" s="5">
        <v>2743004.0</v>
      </c>
      <c r="H415" s="2" t="s">
        <v>1575</v>
      </c>
      <c r="I415" s="2" t="s">
        <v>1580</v>
      </c>
      <c r="J415" s="2">
        <v>10003.0</v>
      </c>
      <c r="K415" s="2" t="s">
        <v>1603</v>
      </c>
      <c r="L415" s="2"/>
      <c r="M415" s="2"/>
      <c r="N415" s="7">
        <v>1.0</v>
      </c>
      <c r="O415" s="12">
        <v>29524.0</v>
      </c>
      <c r="P415" s="11" t="s">
        <v>1649</v>
      </c>
      <c r="Q415" s="12">
        <v>29524.0</v>
      </c>
      <c r="R415" s="11" t="s">
        <v>1649</v>
      </c>
      <c r="S415" s="11" t="s">
        <v>1683</v>
      </c>
      <c r="T415" s="11" t="s">
        <v>1684</v>
      </c>
      <c r="U415" s="2" t="s">
        <v>1574</v>
      </c>
      <c r="V415" s="2" t="s">
        <v>1568</v>
      </c>
      <c r="W415" s="2" t="s">
        <v>1569</v>
      </c>
      <c r="X415" s="2" t="s">
        <v>1570</v>
      </c>
      <c r="AB415" s="2" t="s">
        <v>1571</v>
      </c>
    </row>
    <row r="416">
      <c r="A416" s="2" t="s">
        <v>1755</v>
      </c>
      <c r="B416" s="2">
        <v>15.0</v>
      </c>
      <c r="C416" s="2" t="s">
        <v>9</v>
      </c>
      <c r="D416" s="2" t="s">
        <v>1756</v>
      </c>
      <c r="E416" s="2">
        <v>6.0</v>
      </c>
      <c r="F416" s="2" t="s">
        <v>10</v>
      </c>
      <c r="G416" s="5">
        <v>2743004.0</v>
      </c>
      <c r="H416" s="2" t="s">
        <v>1575</v>
      </c>
      <c r="I416" s="2" t="s">
        <v>1565</v>
      </c>
      <c r="J416" s="2">
        <v>10005.0</v>
      </c>
      <c r="K416" s="2" t="s">
        <v>1595</v>
      </c>
      <c r="L416" s="2"/>
      <c r="M416" s="2"/>
      <c r="N416" s="7">
        <v>1.0</v>
      </c>
      <c r="O416" s="12">
        <v>19524.0</v>
      </c>
      <c r="P416" s="11" t="s">
        <v>1649</v>
      </c>
      <c r="Q416" s="12">
        <v>19524.0</v>
      </c>
      <c r="R416" s="11" t="s">
        <v>1649</v>
      </c>
      <c r="S416" s="11" t="s">
        <v>1676</v>
      </c>
      <c r="T416" s="11" t="s">
        <v>1677</v>
      </c>
      <c r="U416" s="2" t="s">
        <v>1574</v>
      </c>
      <c r="V416" s="2" t="s">
        <v>1568</v>
      </c>
      <c r="W416" s="2" t="s">
        <v>1569</v>
      </c>
      <c r="X416" s="2" t="s">
        <v>1570</v>
      </c>
      <c r="AB416" s="2" t="s">
        <v>1571</v>
      </c>
    </row>
    <row r="417">
      <c r="A417" s="2" t="s">
        <v>1755</v>
      </c>
      <c r="B417" s="2">
        <v>15.0</v>
      </c>
      <c r="C417" s="2" t="s">
        <v>9</v>
      </c>
      <c r="D417" s="2" t="s">
        <v>1756</v>
      </c>
      <c r="E417" s="2">
        <v>6.0</v>
      </c>
      <c r="F417" s="2" t="s">
        <v>10</v>
      </c>
      <c r="G417" s="5">
        <v>2742639.0</v>
      </c>
      <c r="H417" s="2" t="s">
        <v>1575</v>
      </c>
      <c r="I417" s="2" t="s">
        <v>1572</v>
      </c>
      <c r="J417" s="2">
        <v>10125.0</v>
      </c>
      <c r="K417" s="2" t="s">
        <v>1601</v>
      </c>
      <c r="L417" s="2"/>
      <c r="M417" s="2"/>
      <c r="N417" s="7">
        <v>5.0</v>
      </c>
      <c r="O417" s="12">
        <v>102380.0</v>
      </c>
      <c r="P417" s="11" t="s">
        <v>1649</v>
      </c>
      <c r="Q417" s="12">
        <v>102380.0</v>
      </c>
      <c r="R417" s="11" t="s">
        <v>1649</v>
      </c>
      <c r="S417" s="11" t="s">
        <v>1759</v>
      </c>
      <c r="T417" s="11" t="s">
        <v>1760</v>
      </c>
      <c r="U417" s="2" t="s">
        <v>1574</v>
      </c>
      <c r="V417" s="2" t="s">
        <v>1568</v>
      </c>
      <c r="W417" s="2" t="s">
        <v>1569</v>
      </c>
      <c r="X417" s="2" t="s">
        <v>1570</v>
      </c>
      <c r="AB417" s="2" t="s">
        <v>1571</v>
      </c>
    </row>
    <row r="418">
      <c r="A418" s="2" t="s">
        <v>1755</v>
      </c>
      <c r="B418" s="2">
        <v>15.0</v>
      </c>
      <c r="C418" s="2" t="s">
        <v>9</v>
      </c>
      <c r="D418" s="2" t="s">
        <v>1756</v>
      </c>
      <c r="E418" s="2">
        <v>6.0</v>
      </c>
      <c r="F418" s="2" t="s">
        <v>10</v>
      </c>
      <c r="G418" s="5">
        <v>2742639.0</v>
      </c>
      <c r="H418" s="2" t="s">
        <v>1575</v>
      </c>
      <c r="I418" s="2" t="s">
        <v>1580</v>
      </c>
      <c r="J418" s="2">
        <v>10053.0</v>
      </c>
      <c r="K418" s="2" t="s">
        <v>1612</v>
      </c>
      <c r="L418" s="2"/>
      <c r="M418" s="2"/>
      <c r="N418" s="7">
        <v>2.0</v>
      </c>
      <c r="O418" s="12">
        <v>50476.0</v>
      </c>
      <c r="P418" s="11" t="s">
        <v>1649</v>
      </c>
      <c r="Q418" s="12">
        <v>50476.0</v>
      </c>
      <c r="R418" s="11" t="s">
        <v>1649</v>
      </c>
      <c r="S418" s="11" t="s">
        <v>1668</v>
      </c>
      <c r="T418" s="11" t="s">
        <v>1669</v>
      </c>
      <c r="U418" s="2" t="s">
        <v>1574</v>
      </c>
      <c r="V418" s="2" t="s">
        <v>1568</v>
      </c>
      <c r="W418" s="2" t="s">
        <v>1569</v>
      </c>
      <c r="X418" s="2" t="s">
        <v>1570</v>
      </c>
      <c r="AB418" s="2" t="s">
        <v>1571</v>
      </c>
    </row>
    <row r="419">
      <c r="A419" s="2" t="s">
        <v>1755</v>
      </c>
      <c r="B419" s="2">
        <v>15.0</v>
      </c>
      <c r="C419" s="2" t="s">
        <v>9</v>
      </c>
      <c r="D419" s="2" t="s">
        <v>1756</v>
      </c>
      <c r="E419" s="2">
        <v>6.0</v>
      </c>
      <c r="F419" s="2" t="s">
        <v>10</v>
      </c>
      <c r="G419" s="5">
        <v>2742639.0</v>
      </c>
      <c r="H419" s="2" t="s">
        <v>1575</v>
      </c>
      <c r="I419" s="2" t="s">
        <v>1580</v>
      </c>
      <c r="J419" s="2">
        <v>10104.0</v>
      </c>
      <c r="K419" s="2" t="s">
        <v>1581</v>
      </c>
      <c r="L419" s="2"/>
      <c r="M419" s="2"/>
      <c r="N419" s="7">
        <v>1.0</v>
      </c>
      <c r="O419" s="12">
        <v>34762.0</v>
      </c>
      <c r="P419" s="11" t="s">
        <v>1649</v>
      </c>
      <c r="Q419" s="12">
        <v>34762.0</v>
      </c>
      <c r="R419" s="11" t="s">
        <v>1649</v>
      </c>
      <c r="S419" s="11" t="s">
        <v>1670</v>
      </c>
      <c r="T419" s="11" t="s">
        <v>1671</v>
      </c>
      <c r="U419" s="2" t="s">
        <v>1574</v>
      </c>
      <c r="V419" s="2" t="s">
        <v>1568</v>
      </c>
      <c r="W419" s="2" t="s">
        <v>1569</v>
      </c>
      <c r="X419" s="2" t="s">
        <v>1570</v>
      </c>
      <c r="AB419" s="2" t="s">
        <v>1571</v>
      </c>
    </row>
    <row r="420">
      <c r="A420" s="2" t="s">
        <v>1755</v>
      </c>
      <c r="B420" s="2">
        <v>15.0</v>
      </c>
      <c r="C420" s="2" t="s">
        <v>9</v>
      </c>
      <c r="D420" s="2" t="s">
        <v>1756</v>
      </c>
      <c r="E420" s="2">
        <v>6.0</v>
      </c>
      <c r="F420" s="2" t="s">
        <v>10</v>
      </c>
      <c r="G420" s="5">
        <v>2742639.0</v>
      </c>
      <c r="H420" s="2" t="s">
        <v>1575</v>
      </c>
      <c r="I420" s="2" t="s">
        <v>1565</v>
      </c>
      <c r="J420" s="2">
        <v>10033.0</v>
      </c>
      <c r="K420" s="2" t="s">
        <v>1615</v>
      </c>
      <c r="L420" s="2"/>
      <c r="M420" s="2"/>
      <c r="N420" s="7">
        <v>1.0</v>
      </c>
      <c r="O420" s="12">
        <v>21905.0</v>
      </c>
      <c r="P420" s="11" t="s">
        <v>1649</v>
      </c>
      <c r="Q420" s="12">
        <v>21905.0</v>
      </c>
      <c r="R420" s="11" t="s">
        <v>1649</v>
      </c>
      <c r="S420" s="11" t="s">
        <v>1666</v>
      </c>
      <c r="T420" s="11" t="s">
        <v>1667</v>
      </c>
      <c r="U420" s="2" t="s">
        <v>1574</v>
      </c>
      <c r="V420" s="2" t="s">
        <v>1568</v>
      </c>
      <c r="W420" s="2" t="s">
        <v>1569</v>
      </c>
      <c r="X420" s="2" t="s">
        <v>1570</v>
      </c>
      <c r="AB420" s="2" t="s">
        <v>1571</v>
      </c>
    </row>
    <row r="421">
      <c r="A421" s="2" t="s">
        <v>1755</v>
      </c>
      <c r="B421" s="2">
        <v>15.0</v>
      </c>
      <c r="C421" s="2" t="s">
        <v>9</v>
      </c>
      <c r="D421" s="2" t="s">
        <v>1756</v>
      </c>
      <c r="E421" s="2">
        <v>6.0</v>
      </c>
      <c r="F421" s="2" t="s">
        <v>10</v>
      </c>
      <c r="G421" s="5">
        <v>2742639.0</v>
      </c>
      <c r="H421" s="2" t="s">
        <v>1575</v>
      </c>
      <c r="I421" s="2" t="s">
        <v>1572</v>
      </c>
      <c r="J421" s="2">
        <v>10112.0</v>
      </c>
      <c r="K421" s="2" t="s">
        <v>1573</v>
      </c>
      <c r="L421" s="2"/>
      <c r="M421" s="2"/>
      <c r="N421" s="7">
        <v>1.0</v>
      </c>
      <c r="O421" s="12">
        <v>6667.0</v>
      </c>
      <c r="P421" s="11" t="s">
        <v>1649</v>
      </c>
      <c r="Q421" s="12">
        <v>6667.0</v>
      </c>
      <c r="R421" s="11" t="s">
        <v>1649</v>
      </c>
      <c r="S421" s="11" t="s">
        <v>1734</v>
      </c>
      <c r="T421" s="11" t="s">
        <v>1735</v>
      </c>
      <c r="U421" s="2" t="s">
        <v>1574</v>
      </c>
      <c r="V421" s="2" t="s">
        <v>1568</v>
      </c>
      <c r="W421" s="2" t="s">
        <v>1569</v>
      </c>
      <c r="X421" s="2" t="s">
        <v>1570</v>
      </c>
      <c r="AB421" s="2" t="s">
        <v>1571</v>
      </c>
    </row>
    <row r="422">
      <c r="A422" s="2" t="s">
        <v>1755</v>
      </c>
      <c r="B422" s="2">
        <v>15.0</v>
      </c>
      <c r="C422" s="2" t="s">
        <v>9</v>
      </c>
      <c r="D422" s="2" t="s">
        <v>1756</v>
      </c>
      <c r="E422" s="2">
        <v>6.0</v>
      </c>
      <c r="F422" s="2" t="s">
        <v>10</v>
      </c>
      <c r="G422" s="5">
        <v>2742639.0</v>
      </c>
      <c r="H422" s="2" t="s">
        <v>1575</v>
      </c>
      <c r="I422" s="2" t="s">
        <v>1565</v>
      </c>
      <c r="J422" s="2">
        <v>10007.0</v>
      </c>
      <c r="K422" s="2" t="s">
        <v>1576</v>
      </c>
      <c r="L422" s="2"/>
      <c r="M422" s="2"/>
      <c r="N422" s="7">
        <v>2.0</v>
      </c>
      <c r="O422" s="12">
        <v>33810.0</v>
      </c>
      <c r="P422" s="11" t="s">
        <v>1649</v>
      </c>
      <c r="Q422" s="12">
        <v>33810.0</v>
      </c>
      <c r="R422" s="11" t="s">
        <v>1649</v>
      </c>
      <c r="S422" s="11" t="s">
        <v>1701</v>
      </c>
      <c r="T422" s="11" t="s">
        <v>1702</v>
      </c>
      <c r="U422" s="2" t="s">
        <v>1574</v>
      </c>
      <c r="V422" s="2" t="s">
        <v>1568</v>
      </c>
      <c r="W422" s="2" t="s">
        <v>1569</v>
      </c>
      <c r="X422" s="2" t="s">
        <v>1570</v>
      </c>
      <c r="AB422" s="2" t="s">
        <v>1571</v>
      </c>
    </row>
    <row r="423">
      <c r="A423" s="2" t="s">
        <v>1755</v>
      </c>
      <c r="B423" s="2">
        <v>15.0</v>
      </c>
      <c r="C423" s="2" t="s">
        <v>9</v>
      </c>
      <c r="D423" s="2" t="s">
        <v>1756</v>
      </c>
      <c r="E423" s="2">
        <v>6.0</v>
      </c>
      <c r="F423" s="2" t="s">
        <v>10</v>
      </c>
      <c r="G423" s="5">
        <v>2742639.0</v>
      </c>
      <c r="H423" s="2" t="s">
        <v>1575</v>
      </c>
      <c r="I423" s="2" t="s">
        <v>1572</v>
      </c>
      <c r="J423" s="2">
        <v>10107.0</v>
      </c>
      <c r="K423" s="2" t="s">
        <v>1584</v>
      </c>
      <c r="L423" s="2"/>
      <c r="M423" s="2"/>
      <c r="N423" s="7">
        <v>1.0</v>
      </c>
      <c r="O423" s="12">
        <v>26667.0</v>
      </c>
      <c r="P423" s="11" t="s">
        <v>1649</v>
      </c>
      <c r="Q423" s="12">
        <v>26667.0</v>
      </c>
      <c r="R423" s="11" t="s">
        <v>1649</v>
      </c>
      <c r="S423" s="11" t="s">
        <v>1674</v>
      </c>
      <c r="T423" s="11" t="s">
        <v>1679</v>
      </c>
      <c r="U423" s="2" t="s">
        <v>1574</v>
      </c>
      <c r="V423" s="2" t="s">
        <v>1568</v>
      </c>
      <c r="W423" s="2" t="s">
        <v>1569</v>
      </c>
      <c r="X423" s="2" t="s">
        <v>1570</v>
      </c>
      <c r="AB423" s="2" t="s">
        <v>1571</v>
      </c>
    </row>
    <row r="424">
      <c r="A424" s="2" t="s">
        <v>1755</v>
      </c>
      <c r="B424" s="2">
        <v>15.0</v>
      </c>
      <c r="C424" s="2" t="s">
        <v>9</v>
      </c>
      <c r="D424" s="2" t="s">
        <v>1756</v>
      </c>
      <c r="E424" s="2">
        <v>6.0</v>
      </c>
      <c r="F424" s="2" t="s">
        <v>10</v>
      </c>
      <c r="G424" s="5">
        <v>2742639.0</v>
      </c>
      <c r="H424" s="2" t="s">
        <v>1575</v>
      </c>
      <c r="I424" s="2" t="s">
        <v>1572</v>
      </c>
      <c r="J424" s="2">
        <v>10106.0</v>
      </c>
      <c r="K424" s="2" t="s">
        <v>1598</v>
      </c>
      <c r="L424" s="2"/>
      <c r="M424" s="2"/>
      <c r="N424" s="7">
        <v>1.0</v>
      </c>
      <c r="O424" s="12">
        <v>26667.0</v>
      </c>
      <c r="P424" s="11" t="s">
        <v>1649</v>
      </c>
      <c r="Q424" s="12">
        <v>26667.0</v>
      </c>
      <c r="R424" s="11" t="s">
        <v>1649</v>
      </c>
      <c r="S424" s="11" t="s">
        <v>1674</v>
      </c>
      <c r="T424" s="11" t="s">
        <v>1675</v>
      </c>
      <c r="U424" s="2" t="s">
        <v>1574</v>
      </c>
      <c r="V424" s="2" t="s">
        <v>1568</v>
      </c>
      <c r="W424" s="2" t="s">
        <v>1569</v>
      </c>
      <c r="X424" s="2" t="s">
        <v>1570</v>
      </c>
      <c r="AB424" s="2" t="s">
        <v>1571</v>
      </c>
    </row>
    <row r="425">
      <c r="A425" s="2" t="s">
        <v>1755</v>
      </c>
      <c r="B425" s="2">
        <v>15.0</v>
      </c>
      <c r="C425" s="2" t="s">
        <v>9</v>
      </c>
      <c r="D425" s="2" t="s">
        <v>1756</v>
      </c>
      <c r="E425" s="2">
        <v>6.0</v>
      </c>
      <c r="F425" s="2" t="s">
        <v>10</v>
      </c>
      <c r="G425" s="5">
        <v>2742639.0</v>
      </c>
      <c r="H425" s="2" t="s">
        <v>1575</v>
      </c>
      <c r="I425" s="2" t="s">
        <v>1580</v>
      </c>
      <c r="J425" s="2">
        <v>10104.0</v>
      </c>
      <c r="K425" s="2" t="s">
        <v>1581</v>
      </c>
      <c r="L425" s="2"/>
      <c r="M425" s="2"/>
      <c r="N425" s="7">
        <v>1.0</v>
      </c>
      <c r="O425" s="12">
        <v>34762.0</v>
      </c>
      <c r="P425" s="11" t="s">
        <v>1649</v>
      </c>
      <c r="Q425" s="12">
        <v>34762.0</v>
      </c>
      <c r="R425" s="11" t="s">
        <v>1649</v>
      </c>
      <c r="S425" s="11" t="s">
        <v>1670</v>
      </c>
      <c r="T425" s="11" t="s">
        <v>1671</v>
      </c>
      <c r="U425" s="2" t="s">
        <v>1574</v>
      </c>
      <c r="V425" s="2" t="s">
        <v>1568</v>
      </c>
      <c r="W425" s="2" t="s">
        <v>1569</v>
      </c>
      <c r="X425" s="2" t="s">
        <v>1570</v>
      </c>
      <c r="AB425" s="2" t="s">
        <v>1571</v>
      </c>
    </row>
    <row r="426">
      <c r="A426" s="2" t="s">
        <v>1755</v>
      </c>
      <c r="B426" s="2">
        <v>15.0</v>
      </c>
      <c r="C426" s="2" t="s">
        <v>9</v>
      </c>
      <c r="D426" s="2" t="s">
        <v>1756</v>
      </c>
      <c r="E426" s="2">
        <v>6.0</v>
      </c>
      <c r="F426" s="2" t="s">
        <v>10</v>
      </c>
      <c r="G426" s="5">
        <v>2742639.0</v>
      </c>
      <c r="H426" s="2" t="s">
        <v>1575</v>
      </c>
      <c r="I426" s="2" t="s">
        <v>1565</v>
      </c>
      <c r="J426" s="2">
        <v>10007.0</v>
      </c>
      <c r="K426" s="2" t="s">
        <v>1576</v>
      </c>
      <c r="L426" s="2"/>
      <c r="M426" s="2"/>
      <c r="N426" s="7">
        <v>2.0</v>
      </c>
      <c r="O426" s="12">
        <v>33810.0</v>
      </c>
      <c r="P426" s="11" t="s">
        <v>1649</v>
      </c>
      <c r="Q426" s="12">
        <v>33810.0</v>
      </c>
      <c r="R426" s="11" t="s">
        <v>1649</v>
      </c>
      <c r="S426" s="11" t="s">
        <v>1701</v>
      </c>
      <c r="T426" s="11" t="s">
        <v>1702</v>
      </c>
      <c r="U426" s="2" t="s">
        <v>1574</v>
      </c>
      <c r="V426" s="2" t="s">
        <v>1568</v>
      </c>
      <c r="W426" s="2" t="s">
        <v>1569</v>
      </c>
      <c r="X426" s="2" t="s">
        <v>1570</v>
      </c>
      <c r="AB426" s="2" t="s">
        <v>1571</v>
      </c>
    </row>
    <row r="427">
      <c r="A427" s="2" t="s">
        <v>1755</v>
      </c>
      <c r="B427" s="2">
        <v>15.0</v>
      </c>
      <c r="C427" s="2" t="s">
        <v>9</v>
      </c>
      <c r="D427" s="2" t="s">
        <v>1756</v>
      </c>
      <c r="E427" s="2">
        <v>6.0</v>
      </c>
      <c r="F427" s="2" t="s">
        <v>10</v>
      </c>
      <c r="G427" s="5">
        <v>2742639.0</v>
      </c>
      <c r="H427" s="2" t="s">
        <v>1575</v>
      </c>
      <c r="I427" s="2" t="s">
        <v>1565</v>
      </c>
      <c r="J427" s="2">
        <v>10005.0</v>
      </c>
      <c r="K427" s="2" t="s">
        <v>1595</v>
      </c>
      <c r="L427" s="2"/>
      <c r="M427" s="2"/>
      <c r="N427" s="7">
        <v>1.0</v>
      </c>
      <c r="O427" s="12">
        <v>19524.0</v>
      </c>
      <c r="P427" s="11" t="s">
        <v>1649</v>
      </c>
      <c r="Q427" s="12">
        <v>19524.0</v>
      </c>
      <c r="R427" s="11" t="s">
        <v>1649</v>
      </c>
      <c r="S427" s="11" t="s">
        <v>1676</v>
      </c>
      <c r="T427" s="11" t="s">
        <v>1694</v>
      </c>
      <c r="U427" s="2" t="s">
        <v>1574</v>
      </c>
      <c r="V427" s="2" t="s">
        <v>1568</v>
      </c>
      <c r="W427" s="2" t="s">
        <v>1569</v>
      </c>
      <c r="X427" s="2" t="s">
        <v>1570</v>
      </c>
      <c r="AB427" s="2" t="s">
        <v>1571</v>
      </c>
    </row>
    <row r="428">
      <c r="A428" s="2" t="s">
        <v>1755</v>
      </c>
      <c r="B428" s="2">
        <v>15.0</v>
      </c>
      <c r="C428" s="2" t="s">
        <v>9</v>
      </c>
      <c r="D428" s="2" t="s">
        <v>1756</v>
      </c>
      <c r="E428" s="2">
        <v>6.0</v>
      </c>
      <c r="F428" s="2" t="s">
        <v>10</v>
      </c>
      <c r="G428" s="5">
        <v>2742273.0</v>
      </c>
      <c r="H428" s="2" t="s">
        <v>1575</v>
      </c>
      <c r="I428" s="2" t="s">
        <v>1578</v>
      </c>
      <c r="J428" s="2">
        <v>10014.0</v>
      </c>
      <c r="K428" s="2" t="s">
        <v>1609</v>
      </c>
      <c r="L428" s="2"/>
      <c r="M428" s="2"/>
      <c r="N428" s="7">
        <v>1.0</v>
      </c>
      <c r="O428" s="12">
        <v>25238.0</v>
      </c>
      <c r="P428" s="11" t="s">
        <v>1649</v>
      </c>
      <c r="Q428" s="12">
        <v>25238.0</v>
      </c>
      <c r="R428" s="11" t="s">
        <v>1649</v>
      </c>
      <c r="S428" s="11" t="s">
        <v>1660</v>
      </c>
      <c r="T428" s="11" t="s">
        <v>1680</v>
      </c>
      <c r="U428" s="2" t="s">
        <v>1574</v>
      </c>
      <c r="V428" s="2" t="s">
        <v>1568</v>
      </c>
      <c r="W428" s="2" t="s">
        <v>1569</v>
      </c>
      <c r="X428" s="2" t="s">
        <v>1570</v>
      </c>
      <c r="AB428" s="2" t="s">
        <v>1571</v>
      </c>
    </row>
    <row r="429">
      <c r="A429" s="2" t="s">
        <v>1755</v>
      </c>
      <c r="B429" s="2">
        <v>13.0</v>
      </c>
      <c r="C429" s="2" t="s">
        <v>9</v>
      </c>
      <c r="D429" s="2" t="s">
        <v>1756</v>
      </c>
      <c r="E429" s="2">
        <v>6.0</v>
      </c>
      <c r="F429" s="2" t="s">
        <v>10</v>
      </c>
      <c r="G429" s="5">
        <v>2741908.0</v>
      </c>
      <c r="H429" s="2" t="s">
        <v>1575</v>
      </c>
      <c r="I429" s="2" t="s">
        <v>1578</v>
      </c>
      <c r="J429" s="2">
        <v>10014.0</v>
      </c>
      <c r="K429" s="2" t="s">
        <v>1609</v>
      </c>
      <c r="L429" s="2"/>
      <c r="M429" s="2"/>
      <c r="N429" s="7">
        <v>1.0</v>
      </c>
      <c r="O429" s="12">
        <v>25238.0</v>
      </c>
      <c r="P429" s="11" t="s">
        <v>1649</v>
      </c>
      <c r="Q429" s="12">
        <v>25238.0</v>
      </c>
      <c r="R429" s="11" t="s">
        <v>1649</v>
      </c>
      <c r="S429" s="11" t="s">
        <v>1660</v>
      </c>
      <c r="T429" s="11" t="s">
        <v>1680</v>
      </c>
      <c r="U429" s="2" t="s">
        <v>1574</v>
      </c>
      <c r="V429" s="2" t="s">
        <v>1568</v>
      </c>
      <c r="W429" s="2" t="s">
        <v>1569</v>
      </c>
      <c r="X429" s="2" t="s">
        <v>1570</v>
      </c>
      <c r="AB429" s="2" t="s">
        <v>1571</v>
      </c>
    </row>
    <row r="430">
      <c r="A430" s="2" t="s">
        <v>1755</v>
      </c>
      <c r="B430" s="2">
        <v>13.0</v>
      </c>
      <c r="C430" s="2" t="s">
        <v>9</v>
      </c>
      <c r="D430" s="2" t="s">
        <v>1756</v>
      </c>
      <c r="E430" s="2">
        <v>6.0</v>
      </c>
      <c r="F430" s="2" t="s">
        <v>10</v>
      </c>
      <c r="G430" s="5">
        <v>2741908.0</v>
      </c>
      <c r="H430" s="2" t="s">
        <v>1575</v>
      </c>
      <c r="I430" s="2" t="s">
        <v>1565</v>
      </c>
      <c r="J430" s="2">
        <v>10054.0</v>
      </c>
      <c r="K430" s="2" t="s">
        <v>1610</v>
      </c>
      <c r="L430" s="2"/>
      <c r="M430" s="2"/>
      <c r="N430" s="7">
        <v>2.0</v>
      </c>
      <c r="O430" s="12">
        <v>50476.0</v>
      </c>
      <c r="P430" s="11" t="s">
        <v>1649</v>
      </c>
      <c r="Q430" s="12">
        <v>50476.0</v>
      </c>
      <c r="R430" s="11" t="s">
        <v>1649</v>
      </c>
      <c r="S430" s="11" t="s">
        <v>1668</v>
      </c>
      <c r="T430" s="11" t="s">
        <v>1669</v>
      </c>
      <c r="U430" s="2" t="s">
        <v>1574</v>
      </c>
      <c r="V430" s="2" t="s">
        <v>1568</v>
      </c>
      <c r="W430" s="2" t="s">
        <v>1569</v>
      </c>
      <c r="X430" s="2" t="s">
        <v>1570</v>
      </c>
      <c r="AB430" s="2" t="s">
        <v>1571</v>
      </c>
    </row>
    <row r="431">
      <c r="A431" s="2" t="s">
        <v>1755</v>
      </c>
      <c r="B431" s="2">
        <v>13.0</v>
      </c>
      <c r="C431" s="2" t="s">
        <v>9</v>
      </c>
      <c r="D431" s="2" t="s">
        <v>1756</v>
      </c>
      <c r="E431" s="2">
        <v>6.0</v>
      </c>
      <c r="F431" s="2" t="s">
        <v>10</v>
      </c>
      <c r="G431" s="5">
        <v>2741908.0</v>
      </c>
      <c r="H431" s="2" t="s">
        <v>1575</v>
      </c>
      <c r="I431" s="2" t="s">
        <v>1572</v>
      </c>
      <c r="J431" s="2">
        <v>10128.0</v>
      </c>
      <c r="K431" s="2" t="s">
        <v>1588</v>
      </c>
      <c r="L431" s="2"/>
      <c r="M431" s="2"/>
      <c r="N431" s="7">
        <v>1.0</v>
      </c>
      <c r="O431" s="12">
        <v>23333.0</v>
      </c>
      <c r="P431" s="11" t="s">
        <v>1649</v>
      </c>
      <c r="Q431" s="12">
        <v>23333.0</v>
      </c>
      <c r="R431" s="11" t="s">
        <v>1649</v>
      </c>
      <c r="S431" s="11" t="s">
        <v>1681</v>
      </c>
      <c r="T431" s="11" t="s">
        <v>1715</v>
      </c>
      <c r="U431" s="2" t="s">
        <v>1574</v>
      </c>
      <c r="V431" s="2" t="s">
        <v>1568</v>
      </c>
      <c r="W431" s="2" t="s">
        <v>1569</v>
      </c>
      <c r="X431" s="2" t="s">
        <v>1570</v>
      </c>
      <c r="AB431" s="2" t="s">
        <v>1571</v>
      </c>
    </row>
    <row r="432">
      <c r="A432" s="2" t="s">
        <v>1755</v>
      </c>
      <c r="B432" s="2">
        <v>13.0</v>
      </c>
      <c r="C432" s="2" t="s">
        <v>9</v>
      </c>
      <c r="D432" s="2" t="s">
        <v>1756</v>
      </c>
      <c r="E432" s="2">
        <v>6.0</v>
      </c>
      <c r="F432" s="2" t="s">
        <v>10</v>
      </c>
      <c r="G432" s="5">
        <v>2741908.0</v>
      </c>
      <c r="H432" s="2" t="s">
        <v>1575</v>
      </c>
      <c r="I432" s="2" t="s">
        <v>1572</v>
      </c>
      <c r="J432" s="2">
        <v>10121.0</v>
      </c>
      <c r="K432" s="2" t="s">
        <v>1617</v>
      </c>
      <c r="L432" s="2"/>
      <c r="M432" s="2"/>
      <c r="N432" s="7">
        <v>1.0</v>
      </c>
      <c r="O432" s="12">
        <v>19524.0</v>
      </c>
      <c r="P432" s="11" t="s">
        <v>1649</v>
      </c>
      <c r="Q432" s="12">
        <v>19524.0</v>
      </c>
      <c r="R432" s="11" t="s">
        <v>1649</v>
      </c>
      <c r="S432" s="11" t="s">
        <v>1676</v>
      </c>
      <c r="T432" s="11" t="s">
        <v>1694</v>
      </c>
      <c r="U432" s="2" t="s">
        <v>1574</v>
      </c>
      <c r="V432" s="2" t="s">
        <v>1568</v>
      </c>
      <c r="W432" s="2" t="s">
        <v>1569</v>
      </c>
      <c r="X432" s="2" t="s">
        <v>1570</v>
      </c>
      <c r="AB432" s="2" t="s">
        <v>1571</v>
      </c>
    </row>
    <row r="433">
      <c r="A433" s="2" t="s">
        <v>1755</v>
      </c>
      <c r="B433" s="2">
        <v>13.0</v>
      </c>
      <c r="C433" s="2" t="s">
        <v>9</v>
      </c>
      <c r="D433" s="2" t="s">
        <v>1756</v>
      </c>
      <c r="E433" s="2">
        <v>6.0</v>
      </c>
      <c r="F433" s="2" t="s">
        <v>10</v>
      </c>
      <c r="G433" s="5">
        <v>2741543.0</v>
      </c>
      <c r="H433" s="2" t="s">
        <v>1575</v>
      </c>
      <c r="I433" s="2" t="s">
        <v>1578</v>
      </c>
      <c r="J433" s="2">
        <v>10010.0</v>
      </c>
      <c r="K433" s="2" t="s">
        <v>1606</v>
      </c>
      <c r="L433" s="2"/>
      <c r="M433" s="2"/>
      <c r="N433" s="7">
        <v>2.0</v>
      </c>
      <c r="O433" s="12">
        <v>50476.0</v>
      </c>
      <c r="P433" s="11" t="s">
        <v>1649</v>
      </c>
      <c r="Q433" s="12">
        <v>50476.0</v>
      </c>
      <c r="R433" s="11" t="s">
        <v>1649</v>
      </c>
      <c r="S433" s="11" t="s">
        <v>1668</v>
      </c>
      <c r="T433" s="11" t="s">
        <v>1669</v>
      </c>
      <c r="U433" s="2" t="s">
        <v>1574</v>
      </c>
      <c r="V433" s="2" t="s">
        <v>1568</v>
      </c>
      <c r="W433" s="2" t="s">
        <v>1569</v>
      </c>
      <c r="X433" s="2" t="s">
        <v>1570</v>
      </c>
      <c r="AB433" s="2" t="s">
        <v>1571</v>
      </c>
    </row>
    <row r="434">
      <c r="A434" s="2" t="s">
        <v>1755</v>
      </c>
      <c r="B434" s="2">
        <v>13.0</v>
      </c>
      <c r="C434" s="2" t="s">
        <v>9</v>
      </c>
      <c r="D434" s="2" t="s">
        <v>1756</v>
      </c>
      <c r="E434" s="2">
        <v>6.0</v>
      </c>
      <c r="F434" s="2" t="s">
        <v>10</v>
      </c>
      <c r="G434" s="5">
        <v>2741543.0</v>
      </c>
      <c r="H434" s="2" t="s">
        <v>1575</v>
      </c>
      <c r="I434" s="2" t="s">
        <v>1578</v>
      </c>
      <c r="J434" s="2">
        <v>10015.0</v>
      </c>
      <c r="K434" s="2" t="s">
        <v>1587</v>
      </c>
      <c r="L434" s="2"/>
      <c r="M434" s="2"/>
      <c r="N434" s="7">
        <v>2.0</v>
      </c>
      <c r="O434" s="12">
        <v>50476.0</v>
      </c>
      <c r="P434" s="11" t="s">
        <v>1649</v>
      </c>
      <c r="Q434" s="12">
        <v>50476.0</v>
      </c>
      <c r="R434" s="11" t="s">
        <v>1649</v>
      </c>
      <c r="S434" s="11" t="s">
        <v>1668</v>
      </c>
      <c r="T434" s="11" t="s">
        <v>1669</v>
      </c>
      <c r="U434" s="2" t="s">
        <v>1574</v>
      </c>
      <c r="V434" s="2" t="s">
        <v>1568</v>
      </c>
      <c r="W434" s="2" t="s">
        <v>1569</v>
      </c>
      <c r="X434" s="2" t="s">
        <v>1570</v>
      </c>
      <c r="AB434" s="2" t="s">
        <v>1571</v>
      </c>
    </row>
    <row r="435">
      <c r="A435" s="2" t="s">
        <v>1755</v>
      </c>
      <c r="B435" s="2">
        <v>13.0</v>
      </c>
      <c r="C435" s="2" t="s">
        <v>9</v>
      </c>
      <c r="D435" s="2" t="s">
        <v>1756</v>
      </c>
      <c r="E435" s="2">
        <v>6.0</v>
      </c>
      <c r="F435" s="2" t="s">
        <v>10</v>
      </c>
      <c r="G435" s="5">
        <v>2741543.0</v>
      </c>
      <c r="H435" s="2" t="s">
        <v>1575</v>
      </c>
      <c r="I435" s="2" t="s">
        <v>1572</v>
      </c>
      <c r="J435" s="2">
        <v>10128.0</v>
      </c>
      <c r="K435" s="2" t="s">
        <v>1588</v>
      </c>
      <c r="L435" s="2"/>
      <c r="M435" s="2"/>
      <c r="N435" s="7">
        <v>6.0</v>
      </c>
      <c r="O435" s="12">
        <v>139998.0</v>
      </c>
      <c r="P435" s="11" t="s">
        <v>1649</v>
      </c>
      <c r="Q435" s="12">
        <v>139998.0</v>
      </c>
      <c r="R435" s="11" t="s">
        <v>1649</v>
      </c>
      <c r="S435" s="11" t="s">
        <v>1761</v>
      </c>
      <c r="T435" s="11" t="s">
        <v>1762</v>
      </c>
      <c r="U435" s="2" t="s">
        <v>1574</v>
      </c>
      <c r="V435" s="2" t="s">
        <v>1568</v>
      </c>
      <c r="W435" s="2" t="s">
        <v>1569</v>
      </c>
      <c r="X435" s="2" t="s">
        <v>1570</v>
      </c>
      <c r="AB435" s="2" t="s">
        <v>1571</v>
      </c>
    </row>
    <row r="436">
      <c r="A436" s="2" t="s">
        <v>1755</v>
      </c>
      <c r="B436" s="2">
        <v>13.0</v>
      </c>
      <c r="C436" s="2" t="s">
        <v>9</v>
      </c>
      <c r="D436" s="2" t="s">
        <v>1756</v>
      </c>
      <c r="E436" s="2">
        <v>6.0</v>
      </c>
      <c r="F436" s="2" t="s">
        <v>10</v>
      </c>
      <c r="G436" s="5">
        <v>2741543.0</v>
      </c>
      <c r="H436" s="2" t="s">
        <v>1575</v>
      </c>
      <c r="I436" s="2" t="s">
        <v>1572</v>
      </c>
      <c r="J436" s="2">
        <v>10122.0</v>
      </c>
      <c r="K436" s="2" t="s">
        <v>1577</v>
      </c>
      <c r="L436" s="2"/>
      <c r="M436" s="2"/>
      <c r="N436" s="7">
        <v>5.0</v>
      </c>
      <c r="O436" s="12">
        <v>109525.0</v>
      </c>
      <c r="P436" s="11" t="s">
        <v>1649</v>
      </c>
      <c r="Q436" s="12">
        <v>109525.0</v>
      </c>
      <c r="R436" s="11" t="s">
        <v>1649</v>
      </c>
      <c r="S436" s="11" t="s">
        <v>1763</v>
      </c>
      <c r="T436" s="11" t="s">
        <v>1764</v>
      </c>
      <c r="U436" s="2" t="s">
        <v>1574</v>
      </c>
      <c r="V436" s="2" t="s">
        <v>1568</v>
      </c>
      <c r="W436" s="2" t="s">
        <v>1569</v>
      </c>
      <c r="X436" s="2" t="s">
        <v>1570</v>
      </c>
      <c r="AB436" s="2" t="s">
        <v>1571</v>
      </c>
    </row>
    <row r="437">
      <c r="A437" s="2" t="s">
        <v>1755</v>
      </c>
      <c r="B437" s="2">
        <v>13.0</v>
      </c>
      <c r="C437" s="2" t="s">
        <v>9</v>
      </c>
      <c r="D437" s="2" t="s">
        <v>1756</v>
      </c>
      <c r="E437" s="2">
        <v>6.0</v>
      </c>
      <c r="F437" s="2" t="s">
        <v>10</v>
      </c>
      <c r="G437" s="5">
        <v>2741543.0</v>
      </c>
      <c r="H437" s="2" t="s">
        <v>1575</v>
      </c>
      <c r="I437" s="2" t="s">
        <v>1572</v>
      </c>
      <c r="J437" s="2">
        <v>10127.0</v>
      </c>
      <c r="K437" s="2" t="s">
        <v>1592</v>
      </c>
      <c r="L437" s="2"/>
      <c r="M437" s="2"/>
      <c r="N437" s="7">
        <v>3.0</v>
      </c>
      <c r="O437" s="12">
        <v>55713.0</v>
      </c>
      <c r="P437" s="11" t="s">
        <v>1649</v>
      </c>
      <c r="Q437" s="12">
        <v>55713.0</v>
      </c>
      <c r="R437" s="11" t="s">
        <v>1649</v>
      </c>
      <c r="S437" s="11" t="s">
        <v>1765</v>
      </c>
      <c r="T437" s="11" t="s">
        <v>1766</v>
      </c>
      <c r="U437" s="2" t="s">
        <v>1574</v>
      </c>
      <c r="V437" s="2" t="s">
        <v>1568</v>
      </c>
      <c r="W437" s="2" t="s">
        <v>1569</v>
      </c>
      <c r="X437" s="2" t="s">
        <v>1570</v>
      </c>
      <c r="AB437" s="2" t="s">
        <v>1571</v>
      </c>
    </row>
    <row r="438">
      <c r="A438" s="2" t="s">
        <v>1755</v>
      </c>
      <c r="B438" s="2">
        <v>13.0</v>
      </c>
      <c r="C438" s="2" t="s">
        <v>9</v>
      </c>
      <c r="D438" s="2" t="s">
        <v>1756</v>
      </c>
      <c r="E438" s="2">
        <v>6.0</v>
      </c>
      <c r="F438" s="2" t="s">
        <v>10</v>
      </c>
      <c r="G438" s="5">
        <v>2741543.0</v>
      </c>
      <c r="H438" s="2" t="s">
        <v>1575</v>
      </c>
      <c r="I438" s="2" t="s">
        <v>1572</v>
      </c>
      <c r="J438" s="2">
        <v>10118.0</v>
      </c>
      <c r="K438" s="2" t="s">
        <v>1604</v>
      </c>
      <c r="L438" s="2"/>
      <c r="M438" s="2"/>
      <c r="N438" s="7">
        <v>1.0</v>
      </c>
      <c r="O438" s="12">
        <v>7143.0</v>
      </c>
      <c r="P438" s="11" t="s">
        <v>1649</v>
      </c>
      <c r="Q438" s="12">
        <v>7143.0</v>
      </c>
      <c r="R438" s="11" t="s">
        <v>1649</v>
      </c>
      <c r="S438" s="11" t="s">
        <v>1672</v>
      </c>
      <c r="T438" s="11" t="s">
        <v>1767</v>
      </c>
      <c r="U438" s="2" t="s">
        <v>1574</v>
      </c>
      <c r="V438" s="2" t="s">
        <v>1568</v>
      </c>
      <c r="W438" s="2" t="s">
        <v>1569</v>
      </c>
      <c r="X438" s="2" t="s">
        <v>1570</v>
      </c>
      <c r="AB438" s="2" t="s">
        <v>1571</v>
      </c>
    </row>
    <row r="439">
      <c r="A439" s="2" t="s">
        <v>1755</v>
      </c>
      <c r="B439" s="2">
        <v>13.0</v>
      </c>
      <c r="C439" s="2" t="s">
        <v>9</v>
      </c>
      <c r="D439" s="2" t="s">
        <v>1756</v>
      </c>
      <c r="E439" s="2">
        <v>6.0</v>
      </c>
      <c r="F439" s="2" t="s">
        <v>10</v>
      </c>
      <c r="G439" s="5">
        <v>2741543.0</v>
      </c>
      <c r="H439" s="2" t="s">
        <v>1575</v>
      </c>
      <c r="I439" s="2" t="s">
        <v>1565</v>
      </c>
      <c r="J439" s="2">
        <v>10055.0</v>
      </c>
      <c r="K439" s="2" t="s">
        <v>1595</v>
      </c>
      <c r="L439" s="2"/>
      <c r="M439" s="2"/>
      <c r="N439" s="7">
        <v>2.0</v>
      </c>
      <c r="O439" s="12">
        <v>34762.0</v>
      </c>
      <c r="P439" s="11" t="s">
        <v>1649</v>
      </c>
      <c r="Q439" s="12">
        <v>34762.0</v>
      </c>
      <c r="R439" s="11" t="s">
        <v>1649</v>
      </c>
      <c r="S439" s="11" t="s">
        <v>1670</v>
      </c>
      <c r="T439" s="11" t="s">
        <v>1671</v>
      </c>
      <c r="U439" s="2" t="s">
        <v>1574</v>
      </c>
      <c r="V439" s="2" t="s">
        <v>1568</v>
      </c>
      <c r="W439" s="2" t="s">
        <v>1569</v>
      </c>
      <c r="X439" s="2" t="s">
        <v>1570</v>
      </c>
      <c r="AB439" s="2" t="s">
        <v>1571</v>
      </c>
    </row>
    <row r="440">
      <c r="A440" s="2" t="s">
        <v>1755</v>
      </c>
      <c r="B440" s="2">
        <v>13.0</v>
      </c>
      <c r="C440" s="2" t="s">
        <v>9</v>
      </c>
      <c r="D440" s="2" t="s">
        <v>1756</v>
      </c>
      <c r="E440" s="2">
        <v>6.0</v>
      </c>
      <c r="F440" s="2" t="s">
        <v>10</v>
      </c>
      <c r="G440" s="5">
        <v>2741543.0</v>
      </c>
      <c r="H440" s="2" t="s">
        <v>1575</v>
      </c>
      <c r="I440" s="2" t="s">
        <v>1572</v>
      </c>
      <c r="J440" s="2">
        <v>10120.0</v>
      </c>
      <c r="K440" s="2" t="s">
        <v>1590</v>
      </c>
      <c r="L440" s="2"/>
      <c r="M440" s="2"/>
      <c r="N440" s="7">
        <v>2.0</v>
      </c>
      <c r="O440" s="12">
        <v>39048.0</v>
      </c>
      <c r="P440" s="11" t="s">
        <v>1649</v>
      </c>
      <c r="Q440" s="12">
        <v>39048.0</v>
      </c>
      <c r="R440" s="11" t="s">
        <v>1649</v>
      </c>
      <c r="S440" s="11" t="s">
        <v>1748</v>
      </c>
      <c r="T440" s="11" t="s">
        <v>1749</v>
      </c>
      <c r="U440" s="2" t="s">
        <v>1574</v>
      </c>
      <c r="V440" s="2" t="s">
        <v>1568</v>
      </c>
      <c r="W440" s="2" t="s">
        <v>1569</v>
      </c>
      <c r="X440" s="2" t="s">
        <v>1570</v>
      </c>
      <c r="AB440" s="2" t="s">
        <v>1571</v>
      </c>
    </row>
    <row r="441">
      <c r="A441" s="2" t="s">
        <v>1755</v>
      </c>
      <c r="B441" s="2">
        <v>13.0</v>
      </c>
      <c r="C441" s="2" t="s">
        <v>9</v>
      </c>
      <c r="D441" s="2" t="s">
        <v>1756</v>
      </c>
      <c r="E441" s="2">
        <v>6.0</v>
      </c>
      <c r="F441" s="2" t="s">
        <v>10</v>
      </c>
      <c r="G441" s="5">
        <v>2741543.0</v>
      </c>
      <c r="H441" s="2" t="s">
        <v>1575</v>
      </c>
      <c r="I441" s="2" t="s">
        <v>1578</v>
      </c>
      <c r="J441" s="2">
        <v>10011.0</v>
      </c>
      <c r="K441" s="2" t="s">
        <v>1605</v>
      </c>
      <c r="L441" s="2"/>
      <c r="M441" s="2"/>
      <c r="N441" s="7">
        <v>2.0</v>
      </c>
      <c r="O441" s="12">
        <v>50476.0</v>
      </c>
      <c r="P441" s="11" t="s">
        <v>1649</v>
      </c>
      <c r="Q441" s="12">
        <v>50476.0</v>
      </c>
      <c r="R441" s="11" t="s">
        <v>1649</v>
      </c>
      <c r="S441" s="11" t="s">
        <v>1668</v>
      </c>
      <c r="T441" s="11" t="s">
        <v>1669</v>
      </c>
      <c r="U441" s="2" t="s">
        <v>1574</v>
      </c>
      <c r="V441" s="2" t="s">
        <v>1568</v>
      </c>
      <c r="W441" s="2" t="s">
        <v>1569</v>
      </c>
      <c r="X441" s="2" t="s">
        <v>1570</v>
      </c>
      <c r="AB441" s="2" t="s">
        <v>1571</v>
      </c>
    </row>
    <row r="442">
      <c r="A442" s="2" t="s">
        <v>1755</v>
      </c>
      <c r="B442" s="2">
        <v>12.0</v>
      </c>
      <c r="C442" s="2" t="s">
        <v>9</v>
      </c>
      <c r="D442" s="2" t="s">
        <v>1756</v>
      </c>
      <c r="E442" s="2">
        <v>6.0</v>
      </c>
      <c r="F442" s="2" t="s">
        <v>10</v>
      </c>
      <c r="G442" s="5">
        <v>2741178.0</v>
      </c>
      <c r="H442" s="2" t="s">
        <v>1575</v>
      </c>
      <c r="I442" s="2" t="s">
        <v>1565</v>
      </c>
      <c r="J442" s="2">
        <v>10002.0</v>
      </c>
      <c r="K442" s="2" t="s">
        <v>1576</v>
      </c>
      <c r="L442" s="2"/>
      <c r="M442" s="2"/>
      <c r="N442" s="7">
        <v>1.0</v>
      </c>
      <c r="O442" s="12">
        <v>18571.0</v>
      </c>
      <c r="P442" s="11" t="s">
        <v>1649</v>
      </c>
      <c r="Q442" s="12">
        <v>18571.0</v>
      </c>
      <c r="R442" s="11" t="s">
        <v>1649</v>
      </c>
      <c r="S442" s="11" t="s">
        <v>1656</v>
      </c>
      <c r="T442" s="11" t="s">
        <v>1657</v>
      </c>
      <c r="U442" s="2" t="s">
        <v>1567</v>
      </c>
      <c r="V442" s="2" t="s">
        <v>1568</v>
      </c>
      <c r="W442" s="2" t="s">
        <v>1569</v>
      </c>
      <c r="X442" s="2" t="s">
        <v>1570</v>
      </c>
      <c r="AB442" s="2" t="s">
        <v>1571</v>
      </c>
    </row>
    <row r="443">
      <c r="A443" s="2" t="s">
        <v>1755</v>
      </c>
      <c r="B443" s="2">
        <v>12.0</v>
      </c>
      <c r="C443" s="2" t="s">
        <v>9</v>
      </c>
      <c r="D443" s="2" t="s">
        <v>1756</v>
      </c>
      <c r="E443" s="2">
        <v>6.0</v>
      </c>
      <c r="F443" s="2" t="s">
        <v>10</v>
      </c>
      <c r="G443" s="5">
        <v>2741178.0</v>
      </c>
      <c r="H443" s="2" t="s">
        <v>1575</v>
      </c>
      <c r="I443" s="2" t="s">
        <v>1565</v>
      </c>
      <c r="J443" s="2">
        <v>10005.0</v>
      </c>
      <c r="K443" s="2" t="s">
        <v>1595</v>
      </c>
      <c r="L443" s="2"/>
      <c r="M443" s="2"/>
      <c r="N443" s="7">
        <v>1.0</v>
      </c>
      <c r="O443" s="12">
        <v>19524.0</v>
      </c>
      <c r="P443" s="11" t="s">
        <v>1649</v>
      </c>
      <c r="Q443" s="12">
        <v>19524.0</v>
      </c>
      <c r="R443" s="11" t="s">
        <v>1649</v>
      </c>
      <c r="S443" s="11" t="s">
        <v>1676</v>
      </c>
      <c r="T443" s="11" t="s">
        <v>1677</v>
      </c>
      <c r="U443" s="2" t="s">
        <v>1567</v>
      </c>
      <c r="V443" s="2" t="s">
        <v>1568</v>
      </c>
      <c r="W443" s="2" t="s">
        <v>1569</v>
      </c>
      <c r="X443" s="2" t="s">
        <v>1570</v>
      </c>
      <c r="AB443" s="2" t="s">
        <v>1571</v>
      </c>
    </row>
    <row r="444">
      <c r="A444" s="2" t="s">
        <v>1755</v>
      </c>
      <c r="B444" s="2">
        <v>12.0</v>
      </c>
      <c r="C444" s="2" t="s">
        <v>9</v>
      </c>
      <c r="D444" s="2" t="s">
        <v>1756</v>
      </c>
      <c r="E444" s="2">
        <v>6.0</v>
      </c>
      <c r="F444" s="2" t="s">
        <v>10</v>
      </c>
      <c r="G444" s="5">
        <v>2740812.0</v>
      </c>
      <c r="H444" s="2" t="s">
        <v>1575</v>
      </c>
      <c r="I444" s="2" t="s">
        <v>1565</v>
      </c>
      <c r="J444" s="2">
        <v>10055.0</v>
      </c>
      <c r="K444" s="2" t="s">
        <v>1595</v>
      </c>
      <c r="L444" s="2"/>
      <c r="M444" s="2"/>
      <c r="N444" s="7">
        <v>2.0</v>
      </c>
      <c r="O444" s="12">
        <v>34762.0</v>
      </c>
      <c r="P444" s="11" t="s">
        <v>1649</v>
      </c>
      <c r="Q444" s="12">
        <v>34762.0</v>
      </c>
      <c r="R444" s="11" t="s">
        <v>1649</v>
      </c>
      <c r="S444" s="11" t="s">
        <v>1670</v>
      </c>
      <c r="T444" s="11" t="s">
        <v>1671</v>
      </c>
      <c r="U444" s="2" t="s">
        <v>1574</v>
      </c>
      <c r="V444" s="2" t="s">
        <v>1568</v>
      </c>
      <c r="W444" s="2" t="s">
        <v>1569</v>
      </c>
      <c r="X444" s="2" t="s">
        <v>1570</v>
      </c>
      <c r="AB444" s="2" t="s">
        <v>1571</v>
      </c>
    </row>
    <row r="445">
      <c r="A445" s="2" t="s">
        <v>1755</v>
      </c>
      <c r="B445" s="2">
        <v>11.0</v>
      </c>
      <c r="C445" s="2" t="s">
        <v>9</v>
      </c>
      <c r="D445" s="2" t="s">
        <v>1756</v>
      </c>
      <c r="E445" s="2">
        <v>6.0</v>
      </c>
      <c r="F445" s="2" t="s">
        <v>10</v>
      </c>
      <c r="G445" s="5">
        <v>2740447.0</v>
      </c>
      <c r="H445" s="2" t="s">
        <v>1575</v>
      </c>
      <c r="I445" s="2" t="s">
        <v>1565</v>
      </c>
      <c r="J445" s="2">
        <v>10002.0</v>
      </c>
      <c r="K445" s="2" t="s">
        <v>1576</v>
      </c>
      <c r="L445" s="2"/>
      <c r="M445" s="2"/>
      <c r="N445" s="7">
        <v>1.0</v>
      </c>
      <c r="O445" s="12">
        <v>18571.0</v>
      </c>
      <c r="P445" s="11" t="s">
        <v>1649</v>
      </c>
      <c r="Q445" s="12">
        <v>18571.0</v>
      </c>
      <c r="R445" s="11" t="s">
        <v>1649</v>
      </c>
      <c r="S445" s="11" t="s">
        <v>1656</v>
      </c>
      <c r="T445" s="11" t="s">
        <v>1657</v>
      </c>
      <c r="U445" s="2" t="s">
        <v>1567</v>
      </c>
      <c r="V445" s="2" t="s">
        <v>1568</v>
      </c>
      <c r="W445" s="2" t="s">
        <v>1569</v>
      </c>
      <c r="X445" s="2" t="s">
        <v>1570</v>
      </c>
      <c r="AB445" s="2" t="s">
        <v>1571</v>
      </c>
    </row>
    <row r="446">
      <c r="A446" s="2" t="s">
        <v>1755</v>
      </c>
      <c r="B446" s="2">
        <v>11.0</v>
      </c>
      <c r="C446" s="2" t="s">
        <v>9</v>
      </c>
      <c r="D446" s="2" t="s">
        <v>1756</v>
      </c>
      <c r="E446" s="2">
        <v>6.0</v>
      </c>
      <c r="F446" s="2" t="s">
        <v>10</v>
      </c>
      <c r="G446" s="5">
        <v>2740447.0</v>
      </c>
      <c r="H446" s="2" t="s">
        <v>1575</v>
      </c>
      <c r="I446" s="2" t="s">
        <v>1565</v>
      </c>
      <c r="J446" s="2">
        <v>10005.0</v>
      </c>
      <c r="K446" s="2" t="s">
        <v>1595</v>
      </c>
      <c r="L446" s="2"/>
      <c r="M446" s="2"/>
      <c r="N446" s="7">
        <v>1.0</v>
      </c>
      <c r="O446" s="12">
        <v>19524.0</v>
      </c>
      <c r="P446" s="11" t="s">
        <v>1649</v>
      </c>
      <c r="Q446" s="12">
        <v>19524.0</v>
      </c>
      <c r="R446" s="11" t="s">
        <v>1649</v>
      </c>
      <c r="S446" s="11" t="s">
        <v>1676</v>
      </c>
      <c r="T446" s="11" t="s">
        <v>1677</v>
      </c>
      <c r="U446" s="2" t="s">
        <v>1567</v>
      </c>
      <c r="V446" s="2" t="s">
        <v>1568</v>
      </c>
      <c r="W446" s="2" t="s">
        <v>1569</v>
      </c>
      <c r="X446" s="2" t="s">
        <v>1570</v>
      </c>
      <c r="AB446" s="2" t="s">
        <v>1571</v>
      </c>
    </row>
    <row r="447">
      <c r="A447" s="2" t="s">
        <v>1755</v>
      </c>
      <c r="B447" s="2">
        <v>11.0</v>
      </c>
      <c r="C447" s="2" t="s">
        <v>9</v>
      </c>
      <c r="D447" s="2" t="s">
        <v>1756</v>
      </c>
      <c r="E447" s="2">
        <v>6.0</v>
      </c>
      <c r="F447" s="2" t="s">
        <v>10</v>
      </c>
      <c r="G447" s="5">
        <v>2740082.0</v>
      </c>
      <c r="H447" s="2" t="s">
        <v>1575</v>
      </c>
      <c r="I447" s="2" t="s">
        <v>1565</v>
      </c>
      <c r="J447" s="2">
        <v>10007.0</v>
      </c>
      <c r="K447" s="2" t="s">
        <v>1576</v>
      </c>
      <c r="L447" s="2"/>
      <c r="M447" s="2"/>
      <c r="N447" s="7">
        <v>2.0</v>
      </c>
      <c r="O447" s="12">
        <v>33810.0</v>
      </c>
      <c r="P447" s="11" t="s">
        <v>1649</v>
      </c>
      <c r="Q447" s="12">
        <v>33810.0</v>
      </c>
      <c r="R447" s="11" t="s">
        <v>1649</v>
      </c>
      <c r="S447" s="11" t="s">
        <v>1701</v>
      </c>
      <c r="T447" s="11" t="s">
        <v>1703</v>
      </c>
      <c r="U447" s="2" t="s">
        <v>1567</v>
      </c>
      <c r="V447" s="2" t="s">
        <v>1568</v>
      </c>
      <c r="W447" s="2" t="s">
        <v>1569</v>
      </c>
      <c r="X447" s="2" t="s">
        <v>1570</v>
      </c>
      <c r="AB447" s="2" t="s">
        <v>1571</v>
      </c>
    </row>
    <row r="448">
      <c r="A448" s="2" t="s">
        <v>1755</v>
      </c>
      <c r="B448" s="2">
        <v>11.0</v>
      </c>
      <c r="C448" s="2" t="s">
        <v>9</v>
      </c>
      <c r="D448" s="2" t="s">
        <v>1756</v>
      </c>
      <c r="E448" s="2">
        <v>6.0</v>
      </c>
      <c r="F448" s="2" t="s">
        <v>10</v>
      </c>
      <c r="G448" s="5">
        <v>2739717.0</v>
      </c>
      <c r="H448" s="2" t="s">
        <v>1575</v>
      </c>
      <c r="I448" s="2" t="s">
        <v>1580</v>
      </c>
      <c r="J448" s="2">
        <v>10003.0</v>
      </c>
      <c r="K448" s="2" t="s">
        <v>1603</v>
      </c>
      <c r="L448" s="2"/>
      <c r="M448" s="2"/>
      <c r="N448" s="7">
        <v>2.0</v>
      </c>
      <c r="O448" s="12">
        <v>59048.0</v>
      </c>
      <c r="P448" s="11" t="s">
        <v>1649</v>
      </c>
      <c r="Q448" s="12">
        <v>59048.0</v>
      </c>
      <c r="R448" s="11" t="s">
        <v>1649</v>
      </c>
      <c r="S448" s="11" t="s">
        <v>1732</v>
      </c>
      <c r="T448" s="11" t="s">
        <v>1733</v>
      </c>
      <c r="U448" s="2" t="s">
        <v>1567</v>
      </c>
      <c r="V448" s="2" t="s">
        <v>1568</v>
      </c>
      <c r="W448" s="2" t="s">
        <v>1569</v>
      </c>
      <c r="X448" s="2" t="s">
        <v>1570</v>
      </c>
      <c r="AB448" s="2" t="s">
        <v>1571</v>
      </c>
    </row>
    <row r="449">
      <c r="A449" s="2" t="s">
        <v>1755</v>
      </c>
      <c r="B449" s="2">
        <v>11.0</v>
      </c>
      <c r="C449" s="2" t="s">
        <v>9</v>
      </c>
      <c r="D449" s="2" t="s">
        <v>1756</v>
      </c>
      <c r="E449" s="2">
        <v>6.0</v>
      </c>
      <c r="F449" s="2" t="s">
        <v>10</v>
      </c>
      <c r="G449" s="5">
        <v>2739717.0</v>
      </c>
      <c r="H449" s="2" t="s">
        <v>1575</v>
      </c>
      <c r="I449" s="2" t="s">
        <v>1578</v>
      </c>
      <c r="J449" s="2">
        <v>10014.0</v>
      </c>
      <c r="K449" s="2" t="s">
        <v>1609</v>
      </c>
      <c r="L449" s="2"/>
      <c r="M449" s="2"/>
      <c r="N449" s="7">
        <v>1.0</v>
      </c>
      <c r="O449" s="12">
        <v>25238.0</v>
      </c>
      <c r="P449" s="11" t="s">
        <v>1649</v>
      </c>
      <c r="Q449" s="12">
        <v>25238.0</v>
      </c>
      <c r="R449" s="11" t="s">
        <v>1649</v>
      </c>
      <c r="S449" s="11" t="s">
        <v>1660</v>
      </c>
      <c r="T449" s="11" t="s">
        <v>1680</v>
      </c>
      <c r="U449" s="2" t="s">
        <v>1567</v>
      </c>
      <c r="V449" s="2" t="s">
        <v>1568</v>
      </c>
      <c r="W449" s="2" t="s">
        <v>1569</v>
      </c>
      <c r="X449" s="2" t="s">
        <v>1570</v>
      </c>
      <c r="AB449" s="2" t="s">
        <v>1571</v>
      </c>
    </row>
    <row r="450">
      <c r="A450" s="2" t="s">
        <v>1755</v>
      </c>
      <c r="B450" s="2">
        <v>11.0</v>
      </c>
      <c r="C450" s="2" t="s">
        <v>9</v>
      </c>
      <c r="D450" s="2" t="s">
        <v>1756</v>
      </c>
      <c r="E450" s="2">
        <v>6.0</v>
      </c>
      <c r="F450" s="2" t="s">
        <v>10</v>
      </c>
      <c r="G450" s="5">
        <v>2739352.0</v>
      </c>
      <c r="H450" s="2" t="s">
        <v>1575</v>
      </c>
      <c r="I450" s="2" t="s">
        <v>1565</v>
      </c>
      <c r="J450" s="2">
        <v>10007.0</v>
      </c>
      <c r="K450" s="2" t="s">
        <v>1576</v>
      </c>
      <c r="L450" s="2"/>
      <c r="M450" s="2"/>
      <c r="N450" s="7">
        <v>2.0</v>
      </c>
      <c r="O450" s="12">
        <v>33810.0</v>
      </c>
      <c r="P450" s="11" t="s">
        <v>1649</v>
      </c>
      <c r="Q450" s="12">
        <v>33810.0</v>
      </c>
      <c r="R450" s="11" t="s">
        <v>1649</v>
      </c>
      <c r="S450" s="11" t="s">
        <v>1701</v>
      </c>
      <c r="T450" s="11" t="s">
        <v>1703</v>
      </c>
      <c r="U450" s="2" t="s">
        <v>1574</v>
      </c>
      <c r="V450" s="2" t="s">
        <v>1568</v>
      </c>
      <c r="W450" s="2" t="s">
        <v>1569</v>
      </c>
      <c r="X450" s="2" t="s">
        <v>1570</v>
      </c>
      <c r="AB450" s="2" t="s">
        <v>1571</v>
      </c>
    </row>
    <row r="451">
      <c r="A451" s="2" t="s">
        <v>1755</v>
      </c>
      <c r="B451" s="2">
        <v>11.0</v>
      </c>
      <c r="C451" s="2" t="s">
        <v>9</v>
      </c>
      <c r="D451" s="2" t="s">
        <v>1756</v>
      </c>
      <c r="E451" s="2">
        <v>6.0</v>
      </c>
      <c r="F451" s="2" t="s">
        <v>10</v>
      </c>
      <c r="G451" s="5">
        <v>2738987.0</v>
      </c>
      <c r="H451" s="2" t="s">
        <v>1575</v>
      </c>
      <c r="I451" s="2" t="s">
        <v>1565</v>
      </c>
      <c r="J451" s="2">
        <v>10000.0</v>
      </c>
      <c r="K451" s="2" t="s">
        <v>1566</v>
      </c>
      <c r="L451" s="2"/>
      <c r="M451" s="2"/>
      <c r="N451" s="7">
        <v>1.0</v>
      </c>
      <c r="O451" s="12">
        <v>29524.0</v>
      </c>
      <c r="P451" s="11" t="s">
        <v>1649</v>
      </c>
      <c r="Q451" s="12">
        <v>29524.0</v>
      </c>
      <c r="R451" s="11" t="s">
        <v>1649</v>
      </c>
      <c r="S451" s="11" t="s">
        <v>1683</v>
      </c>
      <c r="T451" s="11" t="s">
        <v>1684</v>
      </c>
      <c r="U451" s="2" t="s">
        <v>1567</v>
      </c>
      <c r="V451" s="2" t="s">
        <v>1568</v>
      </c>
      <c r="W451" s="2" t="s">
        <v>1569</v>
      </c>
      <c r="X451" s="2" t="s">
        <v>1570</v>
      </c>
      <c r="AB451" s="2" t="s">
        <v>1571</v>
      </c>
    </row>
    <row r="452">
      <c r="A452" s="2" t="s">
        <v>1755</v>
      </c>
      <c r="B452" s="2">
        <v>11.0</v>
      </c>
      <c r="C452" s="2" t="s">
        <v>9</v>
      </c>
      <c r="D452" s="2" t="s">
        <v>1756</v>
      </c>
      <c r="E452" s="2">
        <v>6.0</v>
      </c>
      <c r="F452" s="2" t="s">
        <v>10</v>
      </c>
      <c r="G452" s="5">
        <v>2738987.0</v>
      </c>
      <c r="H452" s="2" t="s">
        <v>1575</v>
      </c>
      <c r="I452" s="2" t="s">
        <v>1565</v>
      </c>
      <c r="J452" s="2">
        <v>10002.0</v>
      </c>
      <c r="K452" s="2" t="s">
        <v>1576</v>
      </c>
      <c r="L452" s="2"/>
      <c r="M452" s="2"/>
      <c r="N452" s="7">
        <v>1.0</v>
      </c>
      <c r="O452" s="12">
        <v>18571.0</v>
      </c>
      <c r="P452" s="11" t="s">
        <v>1649</v>
      </c>
      <c r="Q452" s="12">
        <v>18571.0</v>
      </c>
      <c r="R452" s="11" t="s">
        <v>1649</v>
      </c>
      <c r="S452" s="11" t="s">
        <v>1656</v>
      </c>
      <c r="T452" s="11" t="s">
        <v>1657</v>
      </c>
      <c r="U452" s="2" t="s">
        <v>1567</v>
      </c>
      <c r="V452" s="2" t="s">
        <v>1568</v>
      </c>
      <c r="W452" s="2" t="s">
        <v>1569</v>
      </c>
      <c r="X452" s="2" t="s">
        <v>1570</v>
      </c>
      <c r="AB452" s="2" t="s">
        <v>1571</v>
      </c>
    </row>
    <row r="453">
      <c r="A453" s="2" t="s">
        <v>1755</v>
      </c>
      <c r="B453" s="2">
        <v>11.0</v>
      </c>
      <c r="C453" s="2" t="s">
        <v>9</v>
      </c>
      <c r="D453" s="2" t="s">
        <v>1756</v>
      </c>
      <c r="E453" s="2">
        <v>6.0</v>
      </c>
      <c r="F453" s="2" t="s">
        <v>10</v>
      </c>
      <c r="G453" s="5">
        <v>2738622.0</v>
      </c>
      <c r="H453" s="2" t="s">
        <v>1575</v>
      </c>
      <c r="I453" s="2" t="s">
        <v>1572</v>
      </c>
      <c r="J453" s="2">
        <v>10067.0</v>
      </c>
      <c r="K453" s="2" t="s">
        <v>1621</v>
      </c>
      <c r="L453" s="2"/>
      <c r="M453" s="2"/>
      <c r="N453" s="7">
        <v>3.0</v>
      </c>
      <c r="O453" s="12">
        <v>74286.0</v>
      </c>
      <c r="P453" s="11" t="s">
        <v>1649</v>
      </c>
      <c r="Q453" s="12">
        <v>74286.0</v>
      </c>
      <c r="R453" s="11" t="s">
        <v>1649</v>
      </c>
      <c r="S453" s="11" t="s">
        <v>1768</v>
      </c>
      <c r="T453" s="11" t="s">
        <v>1769</v>
      </c>
      <c r="U453" s="2" t="s">
        <v>1574</v>
      </c>
      <c r="V453" s="2" t="s">
        <v>1568</v>
      </c>
      <c r="W453" s="2" t="s">
        <v>1569</v>
      </c>
      <c r="X453" s="2" t="s">
        <v>1570</v>
      </c>
      <c r="AB453" s="2" t="s">
        <v>1571</v>
      </c>
    </row>
    <row r="454">
      <c r="A454" s="2" t="s">
        <v>1755</v>
      </c>
      <c r="B454" s="2">
        <v>11.0</v>
      </c>
      <c r="C454" s="2" t="s">
        <v>9</v>
      </c>
      <c r="D454" s="2" t="s">
        <v>1756</v>
      </c>
      <c r="E454" s="2">
        <v>6.0</v>
      </c>
      <c r="F454" s="2" t="s">
        <v>10</v>
      </c>
      <c r="G454" s="5">
        <v>2738622.0</v>
      </c>
      <c r="H454" s="2" t="s">
        <v>1575</v>
      </c>
      <c r="I454" s="2" t="s">
        <v>1578</v>
      </c>
      <c r="J454" s="2">
        <v>10010.0</v>
      </c>
      <c r="K454" s="2" t="s">
        <v>1606</v>
      </c>
      <c r="L454" s="2"/>
      <c r="M454" s="2"/>
      <c r="N454" s="7">
        <v>1.0</v>
      </c>
      <c r="O454" s="12">
        <v>25238.0</v>
      </c>
      <c r="P454" s="11" t="s">
        <v>1649</v>
      </c>
      <c r="Q454" s="12">
        <v>25238.0</v>
      </c>
      <c r="R454" s="11" t="s">
        <v>1649</v>
      </c>
      <c r="S454" s="11" t="s">
        <v>1660</v>
      </c>
      <c r="T454" s="11" t="s">
        <v>1680</v>
      </c>
      <c r="U454" s="2" t="s">
        <v>1574</v>
      </c>
      <c r="V454" s="2" t="s">
        <v>1568</v>
      </c>
      <c r="W454" s="2" t="s">
        <v>1569</v>
      </c>
      <c r="X454" s="2" t="s">
        <v>1570</v>
      </c>
      <c r="AB454" s="2" t="s">
        <v>1571</v>
      </c>
    </row>
    <row r="455">
      <c r="A455" s="2" t="s">
        <v>1755</v>
      </c>
      <c r="B455" s="2">
        <v>11.0</v>
      </c>
      <c r="C455" s="2" t="s">
        <v>9</v>
      </c>
      <c r="D455" s="2" t="s">
        <v>1756</v>
      </c>
      <c r="E455" s="2">
        <v>6.0</v>
      </c>
      <c r="F455" s="2" t="s">
        <v>10</v>
      </c>
      <c r="G455" s="5">
        <v>2738622.0</v>
      </c>
      <c r="H455" s="2" t="s">
        <v>1575</v>
      </c>
      <c r="I455" s="2" t="s">
        <v>1572</v>
      </c>
      <c r="J455" s="2">
        <v>10013.0</v>
      </c>
      <c r="K455" s="2" t="s">
        <v>1591</v>
      </c>
      <c r="L455" s="2"/>
      <c r="M455" s="2"/>
      <c r="N455" s="7">
        <v>1.0</v>
      </c>
      <c r="O455" s="12">
        <v>23333.0</v>
      </c>
      <c r="P455" s="11" t="s">
        <v>1649</v>
      </c>
      <c r="Q455" s="12">
        <v>23333.0</v>
      </c>
      <c r="R455" s="11" t="s">
        <v>1649</v>
      </c>
      <c r="S455" s="11" t="s">
        <v>1681</v>
      </c>
      <c r="T455" s="11" t="s">
        <v>1682</v>
      </c>
      <c r="U455" s="2" t="s">
        <v>1574</v>
      </c>
      <c r="V455" s="2" t="s">
        <v>1568</v>
      </c>
      <c r="W455" s="2" t="s">
        <v>1569</v>
      </c>
      <c r="X455" s="2" t="s">
        <v>1570</v>
      </c>
      <c r="AB455" s="2" t="s">
        <v>1571</v>
      </c>
    </row>
    <row r="456">
      <c r="A456" s="2" t="s">
        <v>1755</v>
      </c>
      <c r="B456" s="2">
        <v>11.0</v>
      </c>
      <c r="C456" s="2" t="s">
        <v>9</v>
      </c>
      <c r="D456" s="2" t="s">
        <v>1756</v>
      </c>
      <c r="E456" s="2">
        <v>6.0</v>
      </c>
      <c r="F456" s="2" t="s">
        <v>10</v>
      </c>
      <c r="G456" s="5">
        <v>2738622.0</v>
      </c>
      <c r="H456" s="2" t="s">
        <v>1575</v>
      </c>
      <c r="I456" s="2" t="s">
        <v>1572</v>
      </c>
      <c r="J456" s="2">
        <v>10107.0</v>
      </c>
      <c r="K456" s="2" t="s">
        <v>1584</v>
      </c>
      <c r="L456" s="2"/>
      <c r="M456" s="2"/>
      <c r="N456" s="7">
        <v>1.0</v>
      </c>
      <c r="O456" s="12">
        <v>26667.0</v>
      </c>
      <c r="P456" s="11" t="s">
        <v>1649</v>
      </c>
      <c r="Q456" s="12">
        <v>26667.0</v>
      </c>
      <c r="R456" s="11" t="s">
        <v>1649</v>
      </c>
      <c r="S456" s="11" t="s">
        <v>1674</v>
      </c>
      <c r="T456" s="11" t="s">
        <v>1679</v>
      </c>
      <c r="U456" s="2" t="s">
        <v>1574</v>
      </c>
      <c r="V456" s="2" t="s">
        <v>1568</v>
      </c>
      <c r="W456" s="2" t="s">
        <v>1569</v>
      </c>
      <c r="X456" s="2" t="s">
        <v>1570</v>
      </c>
      <c r="AB456" s="2" t="s">
        <v>1571</v>
      </c>
    </row>
    <row r="457">
      <c r="A457" s="2" t="s">
        <v>1755</v>
      </c>
      <c r="B457" s="2">
        <v>11.0</v>
      </c>
      <c r="C457" s="2" t="s">
        <v>9</v>
      </c>
      <c r="D457" s="2" t="s">
        <v>1756</v>
      </c>
      <c r="E457" s="2">
        <v>6.0</v>
      </c>
      <c r="F457" s="2" t="s">
        <v>10</v>
      </c>
      <c r="G457" s="5">
        <v>2738622.0</v>
      </c>
      <c r="H457" s="2" t="s">
        <v>1575</v>
      </c>
      <c r="I457" s="2" t="s">
        <v>1565</v>
      </c>
      <c r="J457" s="2">
        <v>10005.0</v>
      </c>
      <c r="K457" s="2" t="s">
        <v>1595</v>
      </c>
      <c r="L457" s="2"/>
      <c r="M457" s="2"/>
      <c r="N457" s="7">
        <v>1.0</v>
      </c>
      <c r="O457" s="12">
        <v>19524.0</v>
      </c>
      <c r="P457" s="11" t="s">
        <v>1649</v>
      </c>
      <c r="Q457" s="12">
        <v>19524.0</v>
      </c>
      <c r="R457" s="11" t="s">
        <v>1649</v>
      </c>
      <c r="S457" s="11" t="s">
        <v>1676</v>
      </c>
      <c r="T457" s="11" t="s">
        <v>1677</v>
      </c>
      <c r="U457" s="2" t="s">
        <v>1574</v>
      </c>
      <c r="V457" s="2" t="s">
        <v>1568</v>
      </c>
      <c r="W457" s="2" t="s">
        <v>1569</v>
      </c>
      <c r="X457" s="2" t="s">
        <v>1570</v>
      </c>
      <c r="AB457" s="2" t="s">
        <v>1571</v>
      </c>
    </row>
    <row r="458">
      <c r="A458" s="2" t="s">
        <v>1755</v>
      </c>
      <c r="B458" s="2">
        <v>11.0</v>
      </c>
      <c r="C458" s="2" t="s">
        <v>9</v>
      </c>
      <c r="D458" s="2" t="s">
        <v>1756</v>
      </c>
      <c r="E458" s="2">
        <v>6.0</v>
      </c>
      <c r="F458" s="2" t="s">
        <v>10</v>
      </c>
      <c r="G458" s="5">
        <v>2738622.0</v>
      </c>
      <c r="H458" s="2" t="s">
        <v>1575</v>
      </c>
      <c r="I458" s="2" t="s">
        <v>1565</v>
      </c>
      <c r="J458" s="2">
        <v>10000.0</v>
      </c>
      <c r="K458" s="2" t="s">
        <v>1566</v>
      </c>
      <c r="L458" s="2"/>
      <c r="M458" s="2"/>
      <c r="N458" s="7">
        <v>2.0</v>
      </c>
      <c r="O458" s="12">
        <v>59048.0</v>
      </c>
      <c r="P458" s="11" t="s">
        <v>1649</v>
      </c>
      <c r="Q458" s="12">
        <v>59048.0</v>
      </c>
      <c r="R458" s="11" t="s">
        <v>1649</v>
      </c>
      <c r="S458" s="11" t="s">
        <v>1732</v>
      </c>
      <c r="T458" s="11" t="s">
        <v>1770</v>
      </c>
      <c r="U458" s="2" t="s">
        <v>1574</v>
      </c>
      <c r="V458" s="2" t="s">
        <v>1568</v>
      </c>
      <c r="W458" s="2" t="s">
        <v>1569</v>
      </c>
      <c r="X458" s="2" t="s">
        <v>1570</v>
      </c>
      <c r="AB458" s="2" t="s">
        <v>1571</v>
      </c>
    </row>
    <row r="459">
      <c r="A459" s="2" t="s">
        <v>1755</v>
      </c>
      <c r="B459" s="2">
        <v>11.0</v>
      </c>
      <c r="C459" s="2" t="s">
        <v>9</v>
      </c>
      <c r="D459" s="2" t="s">
        <v>1756</v>
      </c>
      <c r="E459" s="2">
        <v>6.0</v>
      </c>
      <c r="F459" s="2" t="s">
        <v>10</v>
      </c>
      <c r="G459" s="5">
        <v>2738622.0</v>
      </c>
      <c r="H459" s="2" t="s">
        <v>1575</v>
      </c>
      <c r="I459" s="2" t="s">
        <v>1565</v>
      </c>
      <c r="J459" s="2">
        <v>10002.0</v>
      </c>
      <c r="K459" s="2" t="s">
        <v>1576</v>
      </c>
      <c r="L459" s="2"/>
      <c r="M459" s="2"/>
      <c r="N459" s="7">
        <v>1.0</v>
      </c>
      <c r="O459" s="12">
        <v>18571.0</v>
      </c>
      <c r="P459" s="11" t="s">
        <v>1649</v>
      </c>
      <c r="Q459" s="12">
        <v>18571.0</v>
      </c>
      <c r="R459" s="11" t="s">
        <v>1649</v>
      </c>
      <c r="S459" s="11" t="s">
        <v>1656</v>
      </c>
      <c r="T459" s="11" t="s">
        <v>1688</v>
      </c>
      <c r="U459" s="2" t="s">
        <v>1574</v>
      </c>
      <c r="V459" s="2" t="s">
        <v>1568</v>
      </c>
      <c r="W459" s="2" t="s">
        <v>1569</v>
      </c>
      <c r="X459" s="2" t="s">
        <v>1570</v>
      </c>
      <c r="AB459" s="2" t="s">
        <v>1571</v>
      </c>
    </row>
    <row r="460">
      <c r="A460" s="2" t="s">
        <v>1755</v>
      </c>
      <c r="B460" s="2">
        <v>11.0</v>
      </c>
      <c r="C460" s="2" t="s">
        <v>9</v>
      </c>
      <c r="D460" s="2" t="s">
        <v>1756</v>
      </c>
      <c r="E460" s="2">
        <v>6.0</v>
      </c>
      <c r="F460" s="2" t="s">
        <v>10</v>
      </c>
      <c r="G460" s="5">
        <v>2738622.0</v>
      </c>
      <c r="H460" s="2" t="s">
        <v>1575</v>
      </c>
      <c r="I460" s="2" t="s">
        <v>1572</v>
      </c>
      <c r="J460" s="2">
        <v>10058.0</v>
      </c>
      <c r="K460" s="2" t="s">
        <v>1618</v>
      </c>
      <c r="L460" s="2"/>
      <c r="M460" s="2"/>
      <c r="N460" s="7">
        <v>1.0</v>
      </c>
      <c r="O460" s="12">
        <v>19524.0</v>
      </c>
      <c r="P460" s="11" t="s">
        <v>1649</v>
      </c>
      <c r="Q460" s="12">
        <v>19524.0</v>
      </c>
      <c r="R460" s="11" t="s">
        <v>1649</v>
      </c>
      <c r="S460" s="11" t="s">
        <v>1676</v>
      </c>
      <c r="T460" s="11" t="s">
        <v>1694</v>
      </c>
      <c r="U460" s="2" t="s">
        <v>1574</v>
      </c>
      <c r="V460" s="2" t="s">
        <v>1568</v>
      </c>
      <c r="W460" s="2" t="s">
        <v>1569</v>
      </c>
      <c r="X460" s="2" t="s">
        <v>1570</v>
      </c>
      <c r="AB460" s="2" t="s">
        <v>1571</v>
      </c>
    </row>
    <row r="461">
      <c r="A461" s="2" t="s">
        <v>1755</v>
      </c>
      <c r="B461" s="2">
        <v>11.0</v>
      </c>
      <c r="C461" s="2" t="s">
        <v>9</v>
      </c>
      <c r="D461" s="2" t="s">
        <v>1756</v>
      </c>
      <c r="E461" s="2">
        <v>6.0</v>
      </c>
      <c r="F461" s="2" t="s">
        <v>10</v>
      </c>
      <c r="G461" s="5">
        <v>2738622.0</v>
      </c>
      <c r="H461" s="2" t="s">
        <v>1575</v>
      </c>
      <c r="I461" s="2" t="s">
        <v>1572</v>
      </c>
      <c r="J461" s="2">
        <v>10079.0</v>
      </c>
      <c r="K461" s="2" t="s">
        <v>1625</v>
      </c>
      <c r="L461" s="2"/>
      <c r="M461" s="2"/>
      <c r="N461" s="7">
        <v>8.0</v>
      </c>
      <c r="O461" s="12">
        <v>114280.0</v>
      </c>
      <c r="P461" s="11" t="s">
        <v>1649</v>
      </c>
      <c r="Q461" s="12">
        <v>114280.0</v>
      </c>
      <c r="R461" s="11" t="s">
        <v>1649</v>
      </c>
      <c r="S461" s="11" t="s">
        <v>1771</v>
      </c>
      <c r="T461" s="11" t="s">
        <v>1772</v>
      </c>
      <c r="U461" s="2" t="s">
        <v>1574</v>
      </c>
      <c r="V461" s="2" t="s">
        <v>1568</v>
      </c>
      <c r="W461" s="2" t="s">
        <v>1569</v>
      </c>
      <c r="X461" s="2" t="s">
        <v>1570</v>
      </c>
      <c r="AB461" s="2" t="s">
        <v>1571</v>
      </c>
    </row>
    <row r="462">
      <c r="A462" s="2" t="s">
        <v>1755</v>
      </c>
      <c r="B462" s="2">
        <v>10.0</v>
      </c>
      <c r="C462" s="2" t="s">
        <v>9</v>
      </c>
      <c r="D462" s="2" t="s">
        <v>1756</v>
      </c>
      <c r="E462" s="2">
        <v>6.0</v>
      </c>
      <c r="F462" s="2" t="s">
        <v>10</v>
      </c>
      <c r="G462" s="5">
        <v>2738257.0</v>
      </c>
      <c r="H462" s="2" t="s">
        <v>1575</v>
      </c>
      <c r="I462" s="2" t="s">
        <v>1565</v>
      </c>
      <c r="J462" s="2">
        <v>10007.0</v>
      </c>
      <c r="K462" s="2" t="s">
        <v>1576</v>
      </c>
      <c r="L462" s="2"/>
      <c r="M462" s="2"/>
      <c r="N462" s="7">
        <v>2.0</v>
      </c>
      <c r="O462" s="12">
        <v>33810.0</v>
      </c>
      <c r="P462" s="11" t="s">
        <v>1649</v>
      </c>
      <c r="Q462" s="12">
        <v>33810.0</v>
      </c>
      <c r="R462" s="11" t="s">
        <v>1649</v>
      </c>
      <c r="S462" s="11" t="s">
        <v>1701</v>
      </c>
      <c r="T462" s="11" t="s">
        <v>1703</v>
      </c>
      <c r="U462" s="2" t="s">
        <v>1574</v>
      </c>
      <c r="V462" s="2" t="s">
        <v>1568</v>
      </c>
      <c r="W462" s="2" t="s">
        <v>1569</v>
      </c>
      <c r="X462" s="2" t="s">
        <v>1570</v>
      </c>
      <c r="AB462" s="2" t="s">
        <v>1571</v>
      </c>
    </row>
    <row r="463">
      <c r="A463" s="2" t="s">
        <v>1755</v>
      </c>
      <c r="B463" s="2">
        <v>10.0</v>
      </c>
      <c r="C463" s="2" t="s">
        <v>9</v>
      </c>
      <c r="D463" s="2" t="s">
        <v>1756</v>
      </c>
      <c r="E463" s="2">
        <v>6.0</v>
      </c>
      <c r="F463" s="2" t="s">
        <v>10</v>
      </c>
      <c r="G463" s="5">
        <v>2738257.0</v>
      </c>
      <c r="H463" s="2" t="s">
        <v>1575</v>
      </c>
      <c r="I463" s="2" t="s">
        <v>1565</v>
      </c>
      <c r="J463" s="2">
        <v>10002.0</v>
      </c>
      <c r="K463" s="2" t="s">
        <v>1576</v>
      </c>
      <c r="L463" s="2"/>
      <c r="M463" s="2"/>
      <c r="N463" s="7">
        <v>1.0</v>
      </c>
      <c r="O463" s="12">
        <v>18571.0</v>
      </c>
      <c r="P463" s="11" t="s">
        <v>1649</v>
      </c>
      <c r="Q463" s="12">
        <v>18571.0</v>
      </c>
      <c r="R463" s="11" t="s">
        <v>1649</v>
      </c>
      <c r="S463" s="11" t="s">
        <v>1656</v>
      </c>
      <c r="T463" s="11" t="s">
        <v>1688</v>
      </c>
      <c r="U463" s="2" t="s">
        <v>1574</v>
      </c>
      <c r="V463" s="2" t="s">
        <v>1568</v>
      </c>
      <c r="W463" s="2" t="s">
        <v>1569</v>
      </c>
      <c r="X463" s="2" t="s">
        <v>1570</v>
      </c>
      <c r="AB463" s="2" t="s">
        <v>1571</v>
      </c>
    </row>
    <row r="464">
      <c r="A464" s="2" t="s">
        <v>1755</v>
      </c>
      <c r="B464" s="2">
        <v>10.0</v>
      </c>
      <c r="C464" s="2" t="s">
        <v>9</v>
      </c>
      <c r="D464" s="2" t="s">
        <v>1756</v>
      </c>
      <c r="E464" s="2">
        <v>6.0</v>
      </c>
      <c r="F464" s="2" t="s">
        <v>10</v>
      </c>
      <c r="G464" s="5">
        <v>2738257.0</v>
      </c>
      <c r="H464" s="2" t="s">
        <v>1575</v>
      </c>
      <c r="I464" s="2" t="s">
        <v>1578</v>
      </c>
      <c r="J464" s="2">
        <v>10011.0</v>
      </c>
      <c r="K464" s="2" t="s">
        <v>1605</v>
      </c>
      <c r="L464" s="2"/>
      <c r="M464" s="2"/>
      <c r="N464" s="7">
        <v>1.0</v>
      </c>
      <c r="O464" s="12">
        <v>25238.0</v>
      </c>
      <c r="P464" s="11" t="s">
        <v>1649</v>
      </c>
      <c r="Q464" s="12">
        <v>25238.0</v>
      </c>
      <c r="R464" s="11" t="s">
        <v>1649</v>
      </c>
      <c r="S464" s="11" t="s">
        <v>1660</v>
      </c>
      <c r="T464" s="11" t="s">
        <v>1680</v>
      </c>
      <c r="U464" s="2" t="s">
        <v>1574</v>
      </c>
      <c r="V464" s="2" t="s">
        <v>1568</v>
      </c>
      <c r="W464" s="2" t="s">
        <v>1569</v>
      </c>
      <c r="X464" s="2" t="s">
        <v>1570</v>
      </c>
      <c r="AB464" s="2" t="s">
        <v>1571</v>
      </c>
    </row>
    <row r="465">
      <c r="A465" s="2" t="s">
        <v>1755</v>
      </c>
      <c r="B465" s="2">
        <v>10.0</v>
      </c>
      <c r="C465" s="2" t="s">
        <v>9</v>
      </c>
      <c r="D465" s="2" t="s">
        <v>1756</v>
      </c>
      <c r="E465" s="2">
        <v>6.0</v>
      </c>
      <c r="F465" s="2" t="s">
        <v>10</v>
      </c>
      <c r="G465" s="5">
        <v>2738257.0</v>
      </c>
      <c r="H465" s="2" t="s">
        <v>1575</v>
      </c>
      <c r="I465" s="2" t="s">
        <v>1572</v>
      </c>
      <c r="J465" s="2">
        <v>10128.0</v>
      </c>
      <c r="K465" s="2" t="s">
        <v>1588</v>
      </c>
      <c r="L465" s="2"/>
      <c r="M465" s="2"/>
      <c r="N465" s="7">
        <v>1.0</v>
      </c>
      <c r="O465" s="12">
        <v>23333.0</v>
      </c>
      <c r="P465" s="11" t="s">
        <v>1649</v>
      </c>
      <c r="Q465" s="12">
        <v>23333.0</v>
      </c>
      <c r="R465" s="11" t="s">
        <v>1649</v>
      </c>
      <c r="S465" s="11" t="s">
        <v>1681</v>
      </c>
      <c r="T465" s="11" t="s">
        <v>1682</v>
      </c>
      <c r="U465" s="2" t="s">
        <v>1574</v>
      </c>
      <c r="V465" s="2" t="s">
        <v>1568</v>
      </c>
      <c r="W465" s="2" t="s">
        <v>1569</v>
      </c>
      <c r="X465" s="2" t="s">
        <v>1570</v>
      </c>
      <c r="AB465" s="2" t="s">
        <v>1571</v>
      </c>
    </row>
    <row r="466">
      <c r="A466" s="2" t="s">
        <v>1755</v>
      </c>
      <c r="B466" s="2">
        <v>10.0</v>
      </c>
      <c r="C466" s="2" t="s">
        <v>9</v>
      </c>
      <c r="D466" s="2" t="s">
        <v>1756</v>
      </c>
      <c r="E466" s="2">
        <v>6.0</v>
      </c>
      <c r="F466" s="2" t="s">
        <v>10</v>
      </c>
      <c r="G466" s="5">
        <v>2738257.0</v>
      </c>
      <c r="H466" s="2" t="s">
        <v>1575</v>
      </c>
      <c r="I466" s="2" t="s">
        <v>1572</v>
      </c>
      <c r="J466" s="2">
        <v>10063.0</v>
      </c>
      <c r="K466" s="2" t="s">
        <v>1594</v>
      </c>
      <c r="L466" s="2"/>
      <c r="M466" s="2"/>
      <c r="N466" s="7">
        <v>1.0</v>
      </c>
      <c r="O466" s="12">
        <v>24762.0</v>
      </c>
      <c r="P466" s="11" t="s">
        <v>1649</v>
      </c>
      <c r="Q466" s="12">
        <v>24762.0</v>
      </c>
      <c r="R466" s="11" t="s">
        <v>1649</v>
      </c>
      <c r="S466" s="11" t="s">
        <v>1689</v>
      </c>
      <c r="T466" s="11" t="s">
        <v>1693</v>
      </c>
      <c r="U466" s="2" t="s">
        <v>1574</v>
      </c>
      <c r="V466" s="2" t="s">
        <v>1568</v>
      </c>
      <c r="W466" s="2" t="s">
        <v>1569</v>
      </c>
      <c r="X466" s="2" t="s">
        <v>1570</v>
      </c>
      <c r="AB466" s="2" t="s">
        <v>1571</v>
      </c>
    </row>
    <row r="467">
      <c r="A467" s="2" t="s">
        <v>1773</v>
      </c>
      <c r="B467" s="2">
        <v>21.0</v>
      </c>
      <c r="C467" s="2" t="s">
        <v>8</v>
      </c>
      <c r="D467" s="2" t="s">
        <v>1774</v>
      </c>
      <c r="E467" s="2">
        <v>5.0</v>
      </c>
      <c r="F467" s="2" t="s">
        <v>4</v>
      </c>
      <c r="G467" s="5">
        <v>2737891.0</v>
      </c>
      <c r="H467" s="2" t="s">
        <v>1575</v>
      </c>
      <c r="I467" s="2" t="s">
        <v>1565</v>
      </c>
      <c r="J467" s="2">
        <v>10055.0</v>
      </c>
      <c r="K467" s="2" t="s">
        <v>1595</v>
      </c>
      <c r="L467" s="2"/>
      <c r="M467" s="2"/>
      <c r="N467" s="7">
        <v>2.0</v>
      </c>
      <c r="O467" s="12">
        <v>34762.0</v>
      </c>
      <c r="P467" s="11" t="s">
        <v>1649</v>
      </c>
      <c r="Q467" s="12">
        <v>34762.0</v>
      </c>
      <c r="R467" s="11" t="s">
        <v>1649</v>
      </c>
      <c r="S467" s="11" t="s">
        <v>1670</v>
      </c>
      <c r="T467" s="11" t="s">
        <v>1671</v>
      </c>
      <c r="U467" s="2" t="s">
        <v>1574</v>
      </c>
      <c r="V467" s="2" t="s">
        <v>1568</v>
      </c>
      <c r="W467" s="2" t="s">
        <v>1569</v>
      </c>
      <c r="X467" s="2" t="s">
        <v>1570</v>
      </c>
      <c r="AB467" s="2" t="s">
        <v>1571</v>
      </c>
    </row>
    <row r="468">
      <c r="A468" s="2" t="s">
        <v>1773</v>
      </c>
      <c r="B468" s="2">
        <v>21.0</v>
      </c>
      <c r="C468" s="2" t="s">
        <v>8</v>
      </c>
      <c r="D468" s="2" t="s">
        <v>1774</v>
      </c>
      <c r="E468" s="2">
        <v>5.0</v>
      </c>
      <c r="F468" s="2" t="s">
        <v>4</v>
      </c>
      <c r="G468" s="5">
        <v>2737891.0</v>
      </c>
      <c r="H468" s="2" t="s">
        <v>1575</v>
      </c>
      <c r="I468" s="2" t="s">
        <v>1565</v>
      </c>
      <c r="J468" s="2">
        <v>10000.0</v>
      </c>
      <c r="K468" s="2" t="s">
        <v>1566</v>
      </c>
      <c r="L468" s="2"/>
      <c r="M468" s="2"/>
      <c r="N468" s="7">
        <v>2.0</v>
      </c>
      <c r="O468" s="12">
        <v>59048.0</v>
      </c>
      <c r="P468" s="11" t="s">
        <v>1649</v>
      </c>
      <c r="Q468" s="12">
        <v>59048.0</v>
      </c>
      <c r="R468" s="11" t="s">
        <v>1649</v>
      </c>
      <c r="S468" s="11" t="s">
        <v>1732</v>
      </c>
      <c r="T468" s="11" t="s">
        <v>1770</v>
      </c>
      <c r="U468" s="2" t="s">
        <v>1574</v>
      </c>
      <c r="V468" s="2" t="s">
        <v>1568</v>
      </c>
      <c r="W468" s="2" t="s">
        <v>1569</v>
      </c>
      <c r="X468" s="2" t="s">
        <v>1570</v>
      </c>
      <c r="AB468" s="2" t="s">
        <v>1571</v>
      </c>
    </row>
    <row r="469">
      <c r="A469" s="2" t="s">
        <v>1773</v>
      </c>
      <c r="B469" s="2">
        <v>18.0</v>
      </c>
      <c r="C469" s="2" t="s">
        <v>8</v>
      </c>
      <c r="D469" s="2" t="s">
        <v>1774</v>
      </c>
      <c r="E469" s="2">
        <v>5.0</v>
      </c>
      <c r="F469" s="2" t="s">
        <v>4</v>
      </c>
      <c r="G469" s="5">
        <v>2737526.0</v>
      </c>
      <c r="H469" s="2" t="s">
        <v>1575</v>
      </c>
      <c r="I469" s="2" t="s">
        <v>1572</v>
      </c>
      <c r="J469" s="2">
        <v>10106.0</v>
      </c>
      <c r="K469" s="2" t="s">
        <v>1598</v>
      </c>
      <c r="L469" s="2"/>
      <c r="M469" s="2"/>
      <c r="N469" s="7">
        <v>1.0</v>
      </c>
      <c r="O469" s="12">
        <v>26667.0</v>
      </c>
      <c r="P469" s="11" t="s">
        <v>1649</v>
      </c>
      <c r="Q469" s="12">
        <v>26667.0</v>
      </c>
      <c r="R469" s="11" t="s">
        <v>1649</v>
      </c>
      <c r="S469" s="11" t="s">
        <v>1674</v>
      </c>
      <c r="T469" s="11" t="s">
        <v>1679</v>
      </c>
      <c r="U469" s="2" t="s">
        <v>1574</v>
      </c>
      <c r="V469" s="2" t="s">
        <v>1568</v>
      </c>
      <c r="W469" s="2" t="s">
        <v>1569</v>
      </c>
      <c r="X469" s="2" t="s">
        <v>1570</v>
      </c>
      <c r="AB469" s="2" t="s">
        <v>1571</v>
      </c>
    </row>
    <row r="470">
      <c r="A470" s="2" t="s">
        <v>1773</v>
      </c>
      <c r="B470" s="2">
        <v>18.0</v>
      </c>
      <c r="C470" s="2" t="s">
        <v>8</v>
      </c>
      <c r="D470" s="2" t="s">
        <v>1774</v>
      </c>
      <c r="E470" s="2">
        <v>5.0</v>
      </c>
      <c r="F470" s="2" t="s">
        <v>4</v>
      </c>
      <c r="G470" s="5">
        <v>2737526.0</v>
      </c>
      <c r="H470" s="2" t="s">
        <v>1575</v>
      </c>
      <c r="I470" s="2" t="s">
        <v>1572</v>
      </c>
      <c r="J470" s="2">
        <v>10112.0</v>
      </c>
      <c r="K470" s="2" t="s">
        <v>1573</v>
      </c>
      <c r="L470" s="2"/>
      <c r="M470" s="2"/>
      <c r="N470" s="7">
        <v>1.0</v>
      </c>
      <c r="O470" s="12">
        <v>6667.0</v>
      </c>
      <c r="P470" s="11" t="s">
        <v>1649</v>
      </c>
      <c r="Q470" s="12">
        <v>6667.0</v>
      </c>
      <c r="R470" s="11" t="s">
        <v>1649</v>
      </c>
      <c r="S470" s="11" t="s">
        <v>1734</v>
      </c>
      <c r="T470" s="11" t="s">
        <v>1735</v>
      </c>
      <c r="U470" s="2" t="s">
        <v>1574</v>
      </c>
      <c r="V470" s="2" t="s">
        <v>1568</v>
      </c>
      <c r="W470" s="2" t="s">
        <v>1569</v>
      </c>
      <c r="X470" s="2" t="s">
        <v>1570</v>
      </c>
      <c r="AB470" s="2" t="s">
        <v>1571</v>
      </c>
    </row>
    <row r="471">
      <c r="A471" s="2" t="s">
        <v>1773</v>
      </c>
      <c r="B471" s="2">
        <v>18.0</v>
      </c>
      <c r="C471" s="2" t="s">
        <v>8</v>
      </c>
      <c r="D471" s="2" t="s">
        <v>1774</v>
      </c>
      <c r="E471" s="2">
        <v>5.0</v>
      </c>
      <c r="F471" s="2" t="s">
        <v>4</v>
      </c>
      <c r="G471" s="5">
        <v>2737526.0</v>
      </c>
      <c r="H471" s="2" t="s">
        <v>1575</v>
      </c>
      <c r="I471" s="2" t="s">
        <v>1572</v>
      </c>
      <c r="J471" s="2">
        <v>10112.0</v>
      </c>
      <c r="K471" s="2" t="s">
        <v>1573</v>
      </c>
      <c r="L471" s="2"/>
      <c r="M471" s="2"/>
      <c r="N471" s="7">
        <v>1.0</v>
      </c>
      <c r="O471" s="12">
        <v>6667.0</v>
      </c>
      <c r="P471" s="11" t="s">
        <v>1649</v>
      </c>
      <c r="Q471" s="12">
        <v>6667.0</v>
      </c>
      <c r="R471" s="11" t="s">
        <v>1649</v>
      </c>
      <c r="S471" s="11" t="s">
        <v>1734</v>
      </c>
      <c r="T471" s="11" t="s">
        <v>1738</v>
      </c>
      <c r="U471" s="2" t="s">
        <v>1574</v>
      </c>
      <c r="V471" s="2" t="s">
        <v>1568</v>
      </c>
      <c r="W471" s="2" t="s">
        <v>1569</v>
      </c>
      <c r="X471" s="2" t="s">
        <v>1570</v>
      </c>
      <c r="AB471" s="2" t="s">
        <v>1571</v>
      </c>
    </row>
    <row r="472">
      <c r="A472" s="2" t="s">
        <v>1773</v>
      </c>
      <c r="B472" s="2">
        <v>18.0</v>
      </c>
      <c r="C472" s="2" t="s">
        <v>8</v>
      </c>
      <c r="D472" s="2" t="s">
        <v>1774</v>
      </c>
      <c r="E472" s="2">
        <v>5.0</v>
      </c>
      <c r="F472" s="2" t="s">
        <v>4</v>
      </c>
      <c r="G472" s="5">
        <v>2737526.0</v>
      </c>
      <c r="H472" s="2" t="s">
        <v>1575</v>
      </c>
      <c r="I472" s="2" t="s">
        <v>1572</v>
      </c>
      <c r="J472" s="2">
        <v>10112.0</v>
      </c>
      <c r="K472" s="2" t="s">
        <v>1573</v>
      </c>
      <c r="L472" s="2"/>
      <c r="M472" s="2"/>
      <c r="N472" s="7">
        <v>1.0</v>
      </c>
      <c r="O472" s="12">
        <v>6667.0</v>
      </c>
      <c r="P472" s="11" t="s">
        <v>1649</v>
      </c>
      <c r="Q472" s="12">
        <v>6667.0</v>
      </c>
      <c r="R472" s="11" t="s">
        <v>1649</v>
      </c>
      <c r="S472" s="11" t="s">
        <v>1734</v>
      </c>
      <c r="T472" s="11" t="s">
        <v>1738</v>
      </c>
      <c r="U472" s="2" t="s">
        <v>1574</v>
      </c>
      <c r="V472" s="2" t="s">
        <v>1568</v>
      </c>
      <c r="W472" s="2" t="s">
        <v>1569</v>
      </c>
      <c r="X472" s="2" t="s">
        <v>1570</v>
      </c>
      <c r="AB472" s="2" t="s">
        <v>1571</v>
      </c>
    </row>
    <row r="473">
      <c r="A473" s="2" t="s">
        <v>1773</v>
      </c>
      <c r="B473" s="2">
        <v>18.0</v>
      </c>
      <c r="C473" s="2" t="s">
        <v>8</v>
      </c>
      <c r="D473" s="2" t="s">
        <v>1774</v>
      </c>
      <c r="E473" s="2">
        <v>5.0</v>
      </c>
      <c r="F473" s="2" t="s">
        <v>4</v>
      </c>
      <c r="G473" s="5">
        <v>2737526.0</v>
      </c>
      <c r="H473" s="2" t="s">
        <v>1575</v>
      </c>
      <c r="I473" s="2" t="s">
        <v>1578</v>
      </c>
      <c r="J473" s="2">
        <v>10015.0</v>
      </c>
      <c r="K473" s="2" t="s">
        <v>1587</v>
      </c>
      <c r="L473" s="2"/>
      <c r="M473" s="2"/>
      <c r="N473" s="7">
        <v>1.0</v>
      </c>
      <c r="O473" s="12">
        <v>25238.0</v>
      </c>
      <c r="P473" s="11" t="s">
        <v>1649</v>
      </c>
      <c r="Q473" s="12">
        <v>25238.0</v>
      </c>
      <c r="R473" s="11" t="s">
        <v>1649</v>
      </c>
      <c r="S473" s="11" t="s">
        <v>1660</v>
      </c>
      <c r="T473" s="11" t="s">
        <v>1680</v>
      </c>
      <c r="U473" s="2" t="s">
        <v>1574</v>
      </c>
      <c r="V473" s="2" t="s">
        <v>1568</v>
      </c>
      <c r="W473" s="2" t="s">
        <v>1569</v>
      </c>
      <c r="X473" s="2" t="s">
        <v>1570</v>
      </c>
      <c r="AB473" s="2" t="s">
        <v>1571</v>
      </c>
    </row>
    <row r="474">
      <c r="A474" s="2" t="s">
        <v>1773</v>
      </c>
      <c r="B474" s="2">
        <v>18.0</v>
      </c>
      <c r="C474" s="2" t="s">
        <v>8</v>
      </c>
      <c r="D474" s="2" t="s">
        <v>1774</v>
      </c>
      <c r="E474" s="2">
        <v>5.0</v>
      </c>
      <c r="F474" s="2" t="s">
        <v>4</v>
      </c>
      <c r="G474" s="5">
        <v>2737526.0</v>
      </c>
      <c r="H474" s="2" t="s">
        <v>1575</v>
      </c>
      <c r="I474" s="2" t="s">
        <v>1572</v>
      </c>
      <c r="J474" s="2">
        <v>10112.0</v>
      </c>
      <c r="K474" s="2" t="s">
        <v>1573</v>
      </c>
      <c r="L474" s="2"/>
      <c r="M474" s="2"/>
      <c r="N474" s="7">
        <v>1.0</v>
      </c>
      <c r="O474" s="12">
        <v>6667.0</v>
      </c>
      <c r="P474" s="11" t="s">
        <v>1649</v>
      </c>
      <c r="Q474" s="12">
        <v>6667.0</v>
      </c>
      <c r="R474" s="11" t="s">
        <v>1649</v>
      </c>
      <c r="S474" s="11" t="s">
        <v>1734</v>
      </c>
      <c r="T474" s="11" t="s">
        <v>1735</v>
      </c>
      <c r="U474" s="2" t="s">
        <v>1574</v>
      </c>
      <c r="V474" s="2" t="s">
        <v>1568</v>
      </c>
      <c r="W474" s="2" t="s">
        <v>1569</v>
      </c>
      <c r="X474" s="2" t="s">
        <v>1570</v>
      </c>
      <c r="AB474" s="2" t="s">
        <v>1571</v>
      </c>
    </row>
    <row r="475">
      <c r="A475" s="2" t="s">
        <v>1773</v>
      </c>
      <c r="B475" s="2">
        <v>18.0</v>
      </c>
      <c r="C475" s="2" t="s">
        <v>8</v>
      </c>
      <c r="D475" s="2" t="s">
        <v>1774</v>
      </c>
      <c r="E475" s="2">
        <v>5.0</v>
      </c>
      <c r="F475" s="2" t="s">
        <v>4</v>
      </c>
      <c r="G475" s="5">
        <v>2737161.0</v>
      </c>
      <c r="H475" s="2" t="s">
        <v>1575</v>
      </c>
      <c r="I475" s="2" t="s">
        <v>1565</v>
      </c>
      <c r="J475" s="2">
        <v>10002.0</v>
      </c>
      <c r="K475" s="2" t="s">
        <v>1576</v>
      </c>
      <c r="L475" s="2"/>
      <c r="M475" s="2"/>
      <c r="N475" s="7">
        <v>1.0</v>
      </c>
      <c r="O475" s="12">
        <v>18571.0</v>
      </c>
      <c r="P475" s="11" t="s">
        <v>1649</v>
      </c>
      <c r="Q475" s="12">
        <v>18571.0</v>
      </c>
      <c r="R475" s="11" t="s">
        <v>1649</v>
      </c>
      <c r="S475" s="11" t="s">
        <v>1656</v>
      </c>
      <c r="T475" s="11" t="s">
        <v>1657</v>
      </c>
      <c r="U475" s="2" t="s">
        <v>1574</v>
      </c>
      <c r="V475" s="2" t="s">
        <v>1568</v>
      </c>
      <c r="W475" s="2" t="s">
        <v>1569</v>
      </c>
      <c r="X475" s="2" t="s">
        <v>1570</v>
      </c>
      <c r="AB475" s="2" t="s">
        <v>1571</v>
      </c>
    </row>
    <row r="476">
      <c r="A476" s="2" t="s">
        <v>1773</v>
      </c>
      <c r="B476" s="2">
        <v>18.0</v>
      </c>
      <c r="C476" s="2" t="s">
        <v>8</v>
      </c>
      <c r="D476" s="2" t="s">
        <v>1774</v>
      </c>
      <c r="E476" s="2">
        <v>5.0</v>
      </c>
      <c r="F476" s="2" t="s">
        <v>4</v>
      </c>
      <c r="G476" s="5">
        <v>2737161.0</v>
      </c>
      <c r="H476" s="2" t="s">
        <v>1575</v>
      </c>
      <c r="I476" s="2" t="s">
        <v>1565</v>
      </c>
      <c r="J476" s="2">
        <v>10055.0</v>
      </c>
      <c r="K476" s="2" t="s">
        <v>1595</v>
      </c>
      <c r="L476" s="2"/>
      <c r="M476" s="2"/>
      <c r="N476" s="7">
        <v>2.0</v>
      </c>
      <c r="O476" s="12">
        <v>34762.0</v>
      </c>
      <c r="P476" s="11" t="s">
        <v>1649</v>
      </c>
      <c r="Q476" s="12">
        <v>34762.0</v>
      </c>
      <c r="R476" s="11" t="s">
        <v>1649</v>
      </c>
      <c r="S476" s="11" t="s">
        <v>1670</v>
      </c>
      <c r="T476" s="11" t="s">
        <v>1671</v>
      </c>
      <c r="U476" s="2" t="s">
        <v>1574</v>
      </c>
      <c r="V476" s="2" t="s">
        <v>1568</v>
      </c>
      <c r="W476" s="2" t="s">
        <v>1569</v>
      </c>
      <c r="X476" s="2" t="s">
        <v>1570</v>
      </c>
      <c r="AB476" s="2" t="s">
        <v>1571</v>
      </c>
    </row>
    <row r="477">
      <c r="A477" s="2" t="s">
        <v>1773</v>
      </c>
      <c r="B477" s="2">
        <v>18.0</v>
      </c>
      <c r="C477" s="2" t="s">
        <v>8</v>
      </c>
      <c r="D477" s="2" t="s">
        <v>1774</v>
      </c>
      <c r="E477" s="2">
        <v>5.0</v>
      </c>
      <c r="F477" s="2" t="s">
        <v>4</v>
      </c>
      <c r="G477" s="5">
        <v>2737161.0</v>
      </c>
      <c r="H477" s="2" t="s">
        <v>1575</v>
      </c>
      <c r="I477" s="2" t="s">
        <v>1565</v>
      </c>
      <c r="J477" s="2">
        <v>10005.0</v>
      </c>
      <c r="K477" s="2" t="s">
        <v>1595</v>
      </c>
      <c r="L477" s="2"/>
      <c r="M477" s="2"/>
      <c r="N477" s="7">
        <v>1.0</v>
      </c>
      <c r="O477" s="12">
        <v>19524.0</v>
      </c>
      <c r="P477" s="11" t="s">
        <v>1649</v>
      </c>
      <c r="Q477" s="12">
        <v>19524.0</v>
      </c>
      <c r="R477" s="11" t="s">
        <v>1649</v>
      </c>
      <c r="S477" s="11" t="s">
        <v>1676</v>
      </c>
      <c r="T477" s="11" t="s">
        <v>1677</v>
      </c>
      <c r="U477" s="2" t="s">
        <v>1574</v>
      </c>
      <c r="V477" s="2" t="s">
        <v>1568</v>
      </c>
      <c r="W477" s="2" t="s">
        <v>1569</v>
      </c>
      <c r="X477" s="2" t="s">
        <v>1570</v>
      </c>
      <c r="AB477" s="2" t="s">
        <v>1571</v>
      </c>
    </row>
    <row r="478">
      <c r="A478" s="2" t="s">
        <v>1773</v>
      </c>
      <c r="B478" s="2">
        <v>14.0</v>
      </c>
      <c r="C478" s="2" t="s">
        <v>8</v>
      </c>
      <c r="D478" s="2" t="s">
        <v>1774</v>
      </c>
      <c r="E478" s="2">
        <v>5.0</v>
      </c>
      <c r="F478" s="2" t="s">
        <v>4</v>
      </c>
      <c r="G478" s="5">
        <v>2736796.0</v>
      </c>
      <c r="H478" s="2" t="s">
        <v>1575</v>
      </c>
      <c r="I478" s="2" t="s">
        <v>1565</v>
      </c>
      <c r="J478" s="2">
        <v>10000.0</v>
      </c>
      <c r="K478" s="2" t="s">
        <v>1566</v>
      </c>
      <c r="L478" s="2"/>
      <c r="M478" s="2"/>
      <c r="N478" s="7">
        <v>1.0</v>
      </c>
      <c r="O478" s="12">
        <v>29524.0</v>
      </c>
      <c r="P478" s="11" t="s">
        <v>1649</v>
      </c>
      <c r="Q478" s="12">
        <v>29524.0</v>
      </c>
      <c r="R478" s="11" t="s">
        <v>1649</v>
      </c>
      <c r="S478" s="11" t="s">
        <v>1683</v>
      </c>
      <c r="T478" s="11" t="s">
        <v>1684</v>
      </c>
      <c r="U478" s="2" t="s">
        <v>1574</v>
      </c>
      <c r="V478" s="2" t="s">
        <v>1568</v>
      </c>
      <c r="W478" s="2" t="s">
        <v>1569</v>
      </c>
      <c r="X478" s="2" t="s">
        <v>1570</v>
      </c>
      <c r="AB478" s="2" t="s">
        <v>1571</v>
      </c>
    </row>
    <row r="479">
      <c r="A479" s="2" t="s">
        <v>1773</v>
      </c>
      <c r="B479" s="2">
        <v>14.0</v>
      </c>
      <c r="C479" s="2" t="s">
        <v>8</v>
      </c>
      <c r="D479" s="2" t="s">
        <v>1774</v>
      </c>
      <c r="E479" s="2">
        <v>5.0</v>
      </c>
      <c r="F479" s="2" t="s">
        <v>4</v>
      </c>
      <c r="G479" s="5">
        <v>2736796.0</v>
      </c>
      <c r="H479" s="2" t="s">
        <v>1575</v>
      </c>
      <c r="I479" s="2" t="s">
        <v>1565</v>
      </c>
      <c r="J479" s="2">
        <v>10055.0</v>
      </c>
      <c r="K479" s="2" t="s">
        <v>1595</v>
      </c>
      <c r="L479" s="2"/>
      <c r="M479" s="2"/>
      <c r="N479" s="7">
        <v>2.0</v>
      </c>
      <c r="O479" s="12">
        <v>34762.0</v>
      </c>
      <c r="P479" s="11" t="s">
        <v>1649</v>
      </c>
      <c r="Q479" s="12">
        <v>34762.0</v>
      </c>
      <c r="R479" s="11" t="s">
        <v>1649</v>
      </c>
      <c r="S479" s="11" t="s">
        <v>1670</v>
      </c>
      <c r="T479" s="11" t="s">
        <v>1671</v>
      </c>
      <c r="U479" s="2" t="s">
        <v>1574</v>
      </c>
      <c r="V479" s="2" t="s">
        <v>1568</v>
      </c>
      <c r="W479" s="2" t="s">
        <v>1569</v>
      </c>
      <c r="X479" s="2" t="s">
        <v>1570</v>
      </c>
      <c r="AB479" s="2" t="s">
        <v>1571</v>
      </c>
    </row>
    <row r="480">
      <c r="A480" s="2" t="s">
        <v>1773</v>
      </c>
      <c r="B480" s="2">
        <v>14.0</v>
      </c>
      <c r="C480" s="2" t="s">
        <v>8</v>
      </c>
      <c r="D480" s="2" t="s">
        <v>1774</v>
      </c>
      <c r="E480" s="2">
        <v>5.0</v>
      </c>
      <c r="F480" s="2" t="s">
        <v>4</v>
      </c>
      <c r="G480" s="5">
        <v>2736796.0</v>
      </c>
      <c r="H480" s="2" t="s">
        <v>1575</v>
      </c>
      <c r="I480" s="2" t="s">
        <v>1572</v>
      </c>
      <c r="J480" s="2">
        <v>10128.0</v>
      </c>
      <c r="K480" s="2" t="s">
        <v>1588</v>
      </c>
      <c r="L480" s="2"/>
      <c r="M480" s="2"/>
      <c r="N480" s="7">
        <v>1.0</v>
      </c>
      <c r="O480" s="12">
        <v>23333.0</v>
      </c>
      <c r="P480" s="11" t="s">
        <v>1649</v>
      </c>
      <c r="Q480" s="12">
        <v>23333.0</v>
      </c>
      <c r="R480" s="11" t="s">
        <v>1649</v>
      </c>
      <c r="S480" s="11" t="s">
        <v>1681</v>
      </c>
      <c r="T480" s="11" t="s">
        <v>1682</v>
      </c>
      <c r="U480" s="2" t="s">
        <v>1574</v>
      </c>
      <c r="V480" s="2" t="s">
        <v>1568</v>
      </c>
      <c r="W480" s="2" t="s">
        <v>1569</v>
      </c>
      <c r="X480" s="2" t="s">
        <v>1570</v>
      </c>
      <c r="AB480" s="2" t="s">
        <v>1571</v>
      </c>
    </row>
    <row r="481">
      <c r="A481" s="2" t="s">
        <v>1773</v>
      </c>
      <c r="B481" s="2">
        <v>14.0</v>
      </c>
      <c r="C481" s="2" t="s">
        <v>8</v>
      </c>
      <c r="D481" s="2" t="s">
        <v>1774</v>
      </c>
      <c r="E481" s="2">
        <v>5.0</v>
      </c>
      <c r="F481" s="2" t="s">
        <v>4</v>
      </c>
      <c r="G481" s="5">
        <v>2736796.0</v>
      </c>
      <c r="H481" s="2" t="s">
        <v>1575</v>
      </c>
      <c r="I481" s="2" t="s">
        <v>1578</v>
      </c>
      <c r="J481" s="2">
        <v>10014.0</v>
      </c>
      <c r="K481" s="2" t="s">
        <v>1609</v>
      </c>
      <c r="L481" s="2"/>
      <c r="M481" s="2"/>
      <c r="N481" s="7">
        <v>1.0</v>
      </c>
      <c r="O481" s="12">
        <v>25238.0</v>
      </c>
      <c r="P481" s="11" t="s">
        <v>1649</v>
      </c>
      <c r="Q481" s="12">
        <v>25238.0</v>
      </c>
      <c r="R481" s="11" t="s">
        <v>1649</v>
      </c>
      <c r="S481" s="11" t="s">
        <v>1660</v>
      </c>
      <c r="T481" s="11" t="s">
        <v>1680</v>
      </c>
      <c r="U481" s="2" t="s">
        <v>1574</v>
      </c>
      <c r="V481" s="2" t="s">
        <v>1568</v>
      </c>
      <c r="W481" s="2" t="s">
        <v>1569</v>
      </c>
      <c r="X481" s="2" t="s">
        <v>1570</v>
      </c>
      <c r="AB481" s="2" t="s">
        <v>1571</v>
      </c>
    </row>
    <row r="482">
      <c r="A482" s="2" t="s">
        <v>1773</v>
      </c>
      <c r="B482" s="2">
        <v>14.0</v>
      </c>
      <c r="C482" s="2" t="s">
        <v>8</v>
      </c>
      <c r="D482" s="2" t="s">
        <v>1774</v>
      </c>
      <c r="E482" s="2">
        <v>5.0</v>
      </c>
      <c r="F482" s="2" t="s">
        <v>4</v>
      </c>
      <c r="G482" s="5">
        <v>2736796.0</v>
      </c>
      <c r="H482" s="2" t="s">
        <v>1575</v>
      </c>
      <c r="I482" s="2" t="s">
        <v>1565</v>
      </c>
      <c r="J482" s="2">
        <v>10007.0</v>
      </c>
      <c r="K482" s="2" t="s">
        <v>1576</v>
      </c>
      <c r="L482" s="2"/>
      <c r="M482" s="2"/>
      <c r="N482" s="7">
        <v>2.0</v>
      </c>
      <c r="O482" s="12">
        <v>33810.0</v>
      </c>
      <c r="P482" s="11" t="s">
        <v>1649</v>
      </c>
      <c r="Q482" s="12">
        <v>33810.0</v>
      </c>
      <c r="R482" s="11" t="s">
        <v>1649</v>
      </c>
      <c r="S482" s="11" t="s">
        <v>1701</v>
      </c>
      <c r="T482" s="11" t="s">
        <v>1702</v>
      </c>
      <c r="U482" s="2" t="s">
        <v>1574</v>
      </c>
      <c r="V482" s="2" t="s">
        <v>1568</v>
      </c>
      <c r="W482" s="2" t="s">
        <v>1569</v>
      </c>
      <c r="X482" s="2" t="s">
        <v>1570</v>
      </c>
      <c r="AB482" s="2" t="s">
        <v>1571</v>
      </c>
    </row>
    <row r="483">
      <c r="A483" s="2" t="s">
        <v>1773</v>
      </c>
      <c r="B483" s="2">
        <v>14.0</v>
      </c>
      <c r="C483" s="2" t="s">
        <v>8</v>
      </c>
      <c r="D483" s="2" t="s">
        <v>1774</v>
      </c>
      <c r="E483" s="2">
        <v>5.0</v>
      </c>
      <c r="F483" s="2" t="s">
        <v>4</v>
      </c>
      <c r="G483" s="5">
        <v>2736796.0</v>
      </c>
      <c r="H483" s="2" t="s">
        <v>1575</v>
      </c>
      <c r="I483" s="2" t="s">
        <v>1572</v>
      </c>
      <c r="J483" s="2">
        <v>10117.0</v>
      </c>
      <c r="K483" s="2" t="s">
        <v>1589</v>
      </c>
      <c r="L483" s="2"/>
      <c r="M483" s="2"/>
      <c r="N483" s="7">
        <v>1.0</v>
      </c>
      <c r="O483" s="12">
        <v>14286.0</v>
      </c>
      <c r="P483" s="11" t="s">
        <v>1649</v>
      </c>
      <c r="Q483" s="12">
        <v>14286.0</v>
      </c>
      <c r="R483" s="11" t="s">
        <v>1649</v>
      </c>
      <c r="S483" s="11" t="s">
        <v>1685</v>
      </c>
      <c r="T483" s="11" t="s">
        <v>1708</v>
      </c>
      <c r="U483" s="2" t="s">
        <v>1574</v>
      </c>
      <c r="V483" s="2" t="s">
        <v>1568</v>
      </c>
      <c r="W483" s="2" t="s">
        <v>1569</v>
      </c>
      <c r="X483" s="2" t="s">
        <v>1570</v>
      </c>
      <c r="AB483" s="2" t="s">
        <v>1571</v>
      </c>
    </row>
    <row r="484">
      <c r="A484" s="2" t="s">
        <v>1773</v>
      </c>
      <c r="B484" s="2">
        <v>14.0</v>
      </c>
      <c r="C484" s="2" t="s">
        <v>8</v>
      </c>
      <c r="D484" s="2" t="s">
        <v>1774</v>
      </c>
      <c r="E484" s="2">
        <v>5.0</v>
      </c>
      <c r="F484" s="2" t="s">
        <v>4</v>
      </c>
      <c r="G484" s="5">
        <v>2736796.0</v>
      </c>
      <c r="H484" s="2" t="s">
        <v>1575</v>
      </c>
      <c r="I484" s="2" t="s">
        <v>1580</v>
      </c>
      <c r="J484" s="2">
        <v>10003.0</v>
      </c>
      <c r="K484" s="2" t="s">
        <v>1603</v>
      </c>
      <c r="L484" s="2"/>
      <c r="M484" s="2"/>
      <c r="N484" s="7">
        <v>1.0</v>
      </c>
      <c r="O484" s="12">
        <v>29524.0</v>
      </c>
      <c r="P484" s="11" t="s">
        <v>1649</v>
      </c>
      <c r="Q484" s="12">
        <v>29524.0</v>
      </c>
      <c r="R484" s="11" t="s">
        <v>1649</v>
      </c>
      <c r="S484" s="11" t="s">
        <v>1683</v>
      </c>
      <c r="T484" s="11" t="s">
        <v>1684</v>
      </c>
      <c r="U484" s="2" t="s">
        <v>1574</v>
      </c>
      <c r="V484" s="2" t="s">
        <v>1568</v>
      </c>
      <c r="W484" s="2" t="s">
        <v>1569</v>
      </c>
      <c r="X484" s="2" t="s">
        <v>1570</v>
      </c>
      <c r="AB484" s="2" t="s">
        <v>1571</v>
      </c>
    </row>
    <row r="485">
      <c r="A485" s="2" t="s">
        <v>1773</v>
      </c>
      <c r="B485" s="2">
        <v>14.0</v>
      </c>
      <c r="C485" s="2" t="s">
        <v>8</v>
      </c>
      <c r="D485" s="2" t="s">
        <v>1774</v>
      </c>
      <c r="E485" s="2">
        <v>5.0</v>
      </c>
      <c r="F485" s="2" t="s">
        <v>4</v>
      </c>
      <c r="G485" s="5">
        <v>2736796.0</v>
      </c>
      <c r="H485" s="2" t="s">
        <v>1575</v>
      </c>
      <c r="I485" s="2" t="s">
        <v>1572</v>
      </c>
      <c r="J485" s="2">
        <v>10112.0</v>
      </c>
      <c r="K485" s="2" t="s">
        <v>1573</v>
      </c>
      <c r="L485" s="2"/>
      <c r="M485" s="2"/>
      <c r="N485" s="7">
        <v>1.0</v>
      </c>
      <c r="O485" s="12">
        <v>6667.0</v>
      </c>
      <c r="P485" s="11" t="s">
        <v>1649</v>
      </c>
      <c r="Q485" s="12">
        <v>6667.0</v>
      </c>
      <c r="R485" s="11" t="s">
        <v>1649</v>
      </c>
      <c r="S485" s="11" t="s">
        <v>1734</v>
      </c>
      <c r="T485" s="11" t="s">
        <v>1738</v>
      </c>
      <c r="U485" s="2" t="s">
        <v>1574</v>
      </c>
      <c r="V485" s="2" t="s">
        <v>1568</v>
      </c>
      <c r="W485" s="2" t="s">
        <v>1569</v>
      </c>
      <c r="X485" s="2" t="s">
        <v>1570</v>
      </c>
      <c r="AB485" s="2" t="s">
        <v>1571</v>
      </c>
    </row>
    <row r="486">
      <c r="A486" s="2" t="s">
        <v>1773</v>
      </c>
      <c r="B486" s="2">
        <v>14.0</v>
      </c>
      <c r="C486" s="2" t="s">
        <v>8</v>
      </c>
      <c r="D486" s="2" t="s">
        <v>1774</v>
      </c>
      <c r="E486" s="2">
        <v>5.0</v>
      </c>
      <c r="F486" s="2" t="s">
        <v>4</v>
      </c>
      <c r="G486" s="5">
        <v>2736430.0</v>
      </c>
      <c r="H486" s="2" t="s">
        <v>1575</v>
      </c>
      <c r="I486" s="2" t="s">
        <v>1572</v>
      </c>
      <c r="J486" s="2">
        <v>10112.0</v>
      </c>
      <c r="K486" s="2" t="s">
        <v>1573</v>
      </c>
      <c r="L486" s="2"/>
      <c r="M486" s="2"/>
      <c r="N486" s="7">
        <v>2.0</v>
      </c>
      <c r="O486" s="12">
        <v>13334.0</v>
      </c>
      <c r="P486" s="11" t="s">
        <v>1649</v>
      </c>
      <c r="Q486" s="12">
        <v>13334.0</v>
      </c>
      <c r="R486" s="11" t="s">
        <v>1649</v>
      </c>
      <c r="S486" s="11" t="s">
        <v>1720</v>
      </c>
      <c r="T486" s="11" t="s">
        <v>1721</v>
      </c>
      <c r="U486" s="2" t="s">
        <v>1574</v>
      </c>
      <c r="V486" s="2" t="s">
        <v>1568</v>
      </c>
      <c r="W486" s="2" t="s">
        <v>1569</v>
      </c>
      <c r="X486" s="2" t="s">
        <v>1570</v>
      </c>
      <c r="AB486" s="2" t="s">
        <v>1571</v>
      </c>
    </row>
    <row r="487">
      <c r="A487" s="2" t="s">
        <v>1773</v>
      </c>
      <c r="B487" s="2">
        <v>14.0</v>
      </c>
      <c r="C487" s="2" t="s">
        <v>8</v>
      </c>
      <c r="D487" s="2" t="s">
        <v>1774</v>
      </c>
      <c r="E487" s="2">
        <v>5.0</v>
      </c>
      <c r="F487" s="2" t="s">
        <v>4</v>
      </c>
      <c r="G487" s="5">
        <v>2736430.0</v>
      </c>
      <c r="H487" s="2" t="s">
        <v>1575</v>
      </c>
      <c r="I487" s="2" t="s">
        <v>1578</v>
      </c>
      <c r="J487" s="2">
        <v>10014.0</v>
      </c>
      <c r="K487" s="2" t="s">
        <v>1609</v>
      </c>
      <c r="L487" s="2"/>
      <c r="M487" s="2"/>
      <c r="N487" s="7">
        <v>1.0</v>
      </c>
      <c r="O487" s="12">
        <v>25238.0</v>
      </c>
      <c r="P487" s="11" t="s">
        <v>1649</v>
      </c>
      <c r="Q487" s="12">
        <v>25238.0</v>
      </c>
      <c r="R487" s="11" t="s">
        <v>1649</v>
      </c>
      <c r="S487" s="11" t="s">
        <v>1660</v>
      </c>
      <c r="T487" s="11" t="s">
        <v>1680</v>
      </c>
      <c r="U487" s="2" t="s">
        <v>1574</v>
      </c>
      <c r="V487" s="2" t="s">
        <v>1568</v>
      </c>
      <c r="W487" s="2" t="s">
        <v>1569</v>
      </c>
      <c r="X487" s="2" t="s">
        <v>1570</v>
      </c>
      <c r="AB487" s="2" t="s">
        <v>1571</v>
      </c>
    </row>
    <row r="488">
      <c r="A488" s="2" t="s">
        <v>1773</v>
      </c>
      <c r="B488" s="2">
        <v>14.0</v>
      </c>
      <c r="C488" s="2" t="s">
        <v>8</v>
      </c>
      <c r="D488" s="2" t="s">
        <v>1774</v>
      </c>
      <c r="E488" s="2">
        <v>5.0</v>
      </c>
      <c r="F488" s="2" t="s">
        <v>4</v>
      </c>
      <c r="G488" s="5">
        <v>2736430.0</v>
      </c>
      <c r="H488" s="2" t="s">
        <v>1575</v>
      </c>
      <c r="I488" s="2" t="s">
        <v>1578</v>
      </c>
      <c r="J488" s="2">
        <v>10015.0</v>
      </c>
      <c r="K488" s="2" t="s">
        <v>1587</v>
      </c>
      <c r="L488" s="2"/>
      <c r="M488" s="2"/>
      <c r="N488" s="7">
        <v>1.0</v>
      </c>
      <c r="O488" s="12">
        <v>25238.0</v>
      </c>
      <c r="P488" s="11" t="s">
        <v>1649</v>
      </c>
      <c r="Q488" s="12">
        <v>25238.0</v>
      </c>
      <c r="R488" s="11" t="s">
        <v>1649</v>
      </c>
      <c r="S488" s="11" t="s">
        <v>1660</v>
      </c>
      <c r="T488" s="11" t="s">
        <v>1680</v>
      </c>
      <c r="U488" s="2" t="s">
        <v>1574</v>
      </c>
      <c r="V488" s="2" t="s">
        <v>1568</v>
      </c>
      <c r="W488" s="2" t="s">
        <v>1569</v>
      </c>
      <c r="X488" s="2" t="s">
        <v>1570</v>
      </c>
      <c r="AB488" s="2" t="s">
        <v>1571</v>
      </c>
    </row>
    <row r="489">
      <c r="A489" s="2" t="s">
        <v>1773</v>
      </c>
      <c r="B489" s="2">
        <v>14.0</v>
      </c>
      <c r="C489" s="2" t="s">
        <v>8</v>
      </c>
      <c r="D489" s="2" t="s">
        <v>1774</v>
      </c>
      <c r="E489" s="2">
        <v>5.0</v>
      </c>
      <c r="F489" s="2" t="s">
        <v>4</v>
      </c>
      <c r="G489" s="5">
        <v>2736430.0</v>
      </c>
      <c r="H489" s="2" t="s">
        <v>1575</v>
      </c>
      <c r="I489" s="2" t="s">
        <v>1578</v>
      </c>
      <c r="J489" s="2">
        <v>10011.0</v>
      </c>
      <c r="K489" s="2" t="s">
        <v>1605</v>
      </c>
      <c r="L489" s="2"/>
      <c r="M489" s="2"/>
      <c r="N489" s="7">
        <v>1.0</v>
      </c>
      <c r="O489" s="12">
        <v>25238.0</v>
      </c>
      <c r="P489" s="11" t="s">
        <v>1649</v>
      </c>
      <c r="Q489" s="12">
        <v>25238.0</v>
      </c>
      <c r="R489" s="11" t="s">
        <v>1649</v>
      </c>
      <c r="S489" s="11" t="s">
        <v>1660</v>
      </c>
      <c r="T489" s="11" t="s">
        <v>1661</v>
      </c>
      <c r="U489" s="2" t="s">
        <v>1574</v>
      </c>
      <c r="V489" s="2" t="s">
        <v>1568</v>
      </c>
      <c r="W489" s="2" t="s">
        <v>1569</v>
      </c>
      <c r="X489" s="2" t="s">
        <v>1570</v>
      </c>
      <c r="AB489" s="2" t="s">
        <v>1571</v>
      </c>
    </row>
    <row r="490">
      <c r="A490" s="2" t="s">
        <v>1773</v>
      </c>
      <c r="B490" s="2">
        <v>14.0</v>
      </c>
      <c r="C490" s="2" t="s">
        <v>8</v>
      </c>
      <c r="D490" s="2" t="s">
        <v>1774</v>
      </c>
      <c r="E490" s="2">
        <v>5.0</v>
      </c>
      <c r="F490" s="2" t="s">
        <v>4</v>
      </c>
      <c r="G490" s="5">
        <v>2736430.0</v>
      </c>
      <c r="H490" s="2" t="s">
        <v>1575</v>
      </c>
      <c r="I490" s="2" t="s">
        <v>1565</v>
      </c>
      <c r="J490" s="2">
        <v>10055.0</v>
      </c>
      <c r="K490" s="2" t="s">
        <v>1595</v>
      </c>
      <c r="L490" s="2"/>
      <c r="M490" s="2"/>
      <c r="N490" s="7">
        <v>2.0</v>
      </c>
      <c r="O490" s="12">
        <v>34762.0</v>
      </c>
      <c r="P490" s="11" t="s">
        <v>1649</v>
      </c>
      <c r="Q490" s="12">
        <v>34762.0</v>
      </c>
      <c r="R490" s="11" t="s">
        <v>1649</v>
      </c>
      <c r="S490" s="11" t="s">
        <v>1670</v>
      </c>
      <c r="T490" s="11" t="s">
        <v>1775</v>
      </c>
      <c r="U490" s="2" t="s">
        <v>1574</v>
      </c>
      <c r="V490" s="2" t="s">
        <v>1568</v>
      </c>
      <c r="W490" s="2" t="s">
        <v>1569</v>
      </c>
      <c r="X490" s="2" t="s">
        <v>1570</v>
      </c>
      <c r="AB490" s="2" t="s">
        <v>1571</v>
      </c>
    </row>
    <row r="491">
      <c r="A491" s="2" t="s">
        <v>1773</v>
      </c>
      <c r="B491" s="2">
        <v>14.0</v>
      </c>
      <c r="C491" s="2" t="s">
        <v>8</v>
      </c>
      <c r="D491" s="2" t="s">
        <v>1774</v>
      </c>
      <c r="E491" s="2">
        <v>5.0</v>
      </c>
      <c r="F491" s="2" t="s">
        <v>4</v>
      </c>
      <c r="G491" s="5">
        <v>2736430.0</v>
      </c>
      <c r="H491" s="2" t="s">
        <v>1575</v>
      </c>
      <c r="I491" s="2" t="s">
        <v>1565</v>
      </c>
      <c r="J491" s="2">
        <v>10000.0</v>
      </c>
      <c r="K491" s="2" t="s">
        <v>1566</v>
      </c>
      <c r="L491" s="2"/>
      <c r="M491" s="2"/>
      <c r="N491" s="7">
        <v>1.0</v>
      </c>
      <c r="O491" s="12">
        <v>29524.0</v>
      </c>
      <c r="P491" s="11" t="s">
        <v>1649</v>
      </c>
      <c r="Q491" s="12">
        <v>29524.0</v>
      </c>
      <c r="R491" s="11" t="s">
        <v>1649</v>
      </c>
      <c r="S491" s="11" t="s">
        <v>1683</v>
      </c>
      <c r="T491" s="11" t="s">
        <v>1684</v>
      </c>
      <c r="U491" s="2" t="s">
        <v>1574</v>
      </c>
      <c r="V491" s="2" t="s">
        <v>1568</v>
      </c>
      <c r="W491" s="2" t="s">
        <v>1569</v>
      </c>
      <c r="X491" s="2" t="s">
        <v>1570</v>
      </c>
      <c r="AB491" s="2" t="s">
        <v>1571</v>
      </c>
    </row>
    <row r="492">
      <c r="A492" s="2" t="s">
        <v>1773</v>
      </c>
      <c r="B492" s="2">
        <v>14.0</v>
      </c>
      <c r="C492" s="2" t="s">
        <v>8</v>
      </c>
      <c r="D492" s="2" t="s">
        <v>1774</v>
      </c>
      <c r="E492" s="2">
        <v>5.0</v>
      </c>
      <c r="F492" s="2" t="s">
        <v>4</v>
      </c>
      <c r="G492" s="5">
        <v>2736430.0</v>
      </c>
      <c r="H492" s="2" t="s">
        <v>1575</v>
      </c>
      <c r="I492" s="2" t="s">
        <v>1572</v>
      </c>
      <c r="J492" s="2">
        <v>10128.0</v>
      </c>
      <c r="K492" s="2" t="s">
        <v>1588</v>
      </c>
      <c r="L492" s="2"/>
      <c r="M492" s="2"/>
      <c r="N492" s="7">
        <v>4.0</v>
      </c>
      <c r="O492" s="12">
        <v>93332.0</v>
      </c>
      <c r="P492" s="11" t="s">
        <v>1649</v>
      </c>
      <c r="Q492" s="12">
        <v>93332.0</v>
      </c>
      <c r="R492" s="11" t="s">
        <v>1649</v>
      </c>
      <c r="S492" s="11" t="s">
        <v>1776</v>
      </c>
      <c r="T492" s="11" t="s">
        <v>1777</v>
      </c>
      <c r="U492" s="2" t="s">
        <v>1574</v>
      </c>
      <c r="V492" s="2" t="s">
        <v>1568</v>
      </c>
      <c r="W492" s="2" t="s">
        <v>1569</v>
      </c>
      <c r="X492" s="2" t="s">
        <v>1570</v>
      </c>
      <c r="AB492" s="2" t="s">
        <v>1571</v>
      </c>
    </row>
    <row r="493">
      <c r="A493" s="2" t="s">
        <v>1773</v>
      </c>
      <c r="B493" s="2">
        <v>14.0</v>
      </c>
      <c r="C493" s="2" t="s">
        <v>8</v>
      </c>
      <c r="D493" s="2" t="s">
        <v>1774</v>
      </c>
      <c r="E493" s="2">
        <v>5.0</v>
      </c>
      <c r="F493" s="2" t="s">
        <v>4</v>
      </c>
      <c r="G493" s="5">
        <v>2736430.0</v>
      </c>
      <c r="H493" s="2" t="s">
        <v>1575</v>
      </c>
      <c r="I493" s="2" t="s">
        <v>1572</v>
      </c>
      <c r="J493" s="2">
        <v>10026.0</v>
      </c>
      <c r="K493" s="2" t="s">
        <v>1583</v>
      </c>
      <c r="L493" s="2"/>
      <c r="M493" s="2"/>
      <c r="N493" s="7">
        <v>1.0</v>
      </c>
      <c r="O493" s="12">
        <v>21905.0</v>
      </c>
      <c r="P493" s="11" t="s">
        <v>1649</v>
      </c>
      <c r="Q493" s="12">
        <v>21905.0</v>
      </c>
      <c r="R493" s="11" t="s">
        <v>1649</v>
      </c>
      <c r="S493" s="11" t="s">
        <v>1666</v>
      </c>
      <c r="T493" s="11" t="s">
        <v>1687</v>
      </c>
      <c r="U493" s="2" t="s">
        <v>1574</v>
      </c>
      <c r="V493" s="2" t="s">
        <v>1568</v>
      </c>
      <c r="W493" s="2" t="s">
        <v>1569</v>
      </c>
      <c r="X493" s="2" t="s">
        <v>1570</v>
      </c>
      <c r="AB493" s="2" t="s">
        <v>1571</v>
      </c>
    </row>
    <row r="494">
      <c r="A494" s="2" t="s">
        <v>1773</v>
      </c>
      <c r="B494" s="2">
        <v>14.0</v>
      </c>
      <c r="C494" s="2" t="s">
        <v>8</v>
      </c>
      <c r="D494" s="2" t="s">
        <v>1774</v>
      </c>
      <c r="E494" s="2">
        <v>5.0</v>
      </c>
      <c r="F494" s="2" t="s">
        <v>4</v>
      </c>
      <c r="G494" s="5">
        <v>2736430.0</v>
      </c>
      <c r="H494" s="2" t="s">
        <v>1575</v>
      </c>
      <c r="I494" s="2" t="s">
        <v>1565</v>
      </c>
      <c r="J494" s="2">
        <v>10007.0</v>
      </c>
      <c r="K494" s="2" t="s">
        <v>1576</v>
      </c>
      <c r="L494" s="2"/>
      <c r="M494" s="2"/>
      <c r="N494" s="7">
        <v>2.0</v>
      </c>
      <c r="O494" s="12">
        <v>33810.0</v>
      </c>
      <c r="P494" s="11" t="s">
        <v>1649</v>
      </c>
      <c r="Q494" s="12">
        <v>33810.0</v>
      </c>
      <c r="R494" s="11" t="s">
        <v>1649</v>
      </c>
      <c r="S494" s="11" t="s">
        <v>1701</v>
      </c>
      <c r="T494" s="11" t="s">
        <v>1702</v>
      </c>
      <c r="U494" s="2" t="s">
        <v>1574</v>
      </c>
      <c r="V494" s="2" t="s">
        <v>1568</v>
      </c>
      <c r="W494" s="2" t="s">
        <v>1569</v>
      </c>
      <c r="X494" s="2" t="s">
        <v>1570</v>
      </c>
      <c r="AB494" s="2" t="s">
        <v>1571</v>
      </c>
    </row>
    <row r="495">
      <c r="A495" s="2" t="s">
        <v>1773</v>
      </c>
      <c r="B495" s="2">
        <v>14.0</v>
      </c>
      <c r="C495" s="2" t="s">
        <v>8</v>
      </c>
      <c r="D495" s="2" t="s">
        <v>1774</v>
      </c>
      <c r="E495" s="2">
        <v>5.0</v>
      </c>
      <c r="F495" s="2" t="s">
        <v>4</v>
      </c>
      <c r="G495" s="5">
        <v>2736065.0</v>
      </c>
      <c r="H495" s="2" t="s">
        <v>1575</v>
      </c>
      <c r="I495" s="2" t="s">
        <v>1578</v>
      </c>
      <c r="J495" s="2">
        <v>10015.0</v>
      </c>
      <c r="K495" s="2" t="s">
        <v>1587</v>
      </c>
      <c r="L495" s="2"/>
      <c r="M495" s="2"/>
      <c r="N495" s="7">
        <v>1.0</v>
      </c>
      <c r="O495" s="12">
        <v>25238.0</v>
      </c>
      <c r="P495" s="11" t="s">
        <v>1649</v>
      </c>
      <c r="Q495" s="12">
        <v>25238.0</v>
      </c>
      <c r="R495" s="11" t="s">
        <v>1649</v>
      </c>
      <c r="S495" s="11" t="s">
        <v>1660</v>
      </c>
      <c r="T495" s="11" t="s">
        <v>1680</v>
      </c>
      <c r="U495" s="2" t="s">
        <v>1574</v>
      </c>
      <c r="V495" s="2" t="s">
        <v>1568</v>
      </c>
      <c r="W495" s="2" t="s">
        <v>1569</v>
      </c>
      <c r="X495" s="2" t="s">
        <v>1570</v>
      </c>
      <c r="AB495" s="2" t="s">
        <v>1571</v>
      </c>
    </row>
    <row r="496">
      <c r="A496" s="2" t="s">
        <v>1773</v>
      </c>
      <c r="B496" s="2">
        <v>14.0</v>
      </c>
      <c r="C496" s="2" t="s">
        <v>8</v>
      </c>
      <c r="D496" s="2" t="s">
        <v>1774</v>
      </c>
      <c r="E496" s="2">
        <v>5.0</v>
      </c>
      <c r="F496" s="2" t="s">
        <v>4</v>
      </c>
      <c r="G496" s="5">
        <v>2735700.0</v>
      </c>
      <c r="H496" s="2" t="s">
        <v>1575</v>
      </c>
      <c r="I496" s="2" t="s">
        <v>1572</v>
      </c>
      <c r="J496" s="2">
        <v>10112.0</v>
      </c>
      <c r="K496" s="2" t="s">
        <v>1573</v>
      </c>
      <c r="L496" s="2"/>
      <c r="M496" s="2"/>
      <c r="N496" s="7">
        <v>1.0</v>
      </c>
      <c r="O496" s="12">
        <v>6667.0</v>
      </c>
      <c r="P496" s="11" t="s">
        <v>1649</v>
      </c>
      <c r="Q496" s="12">
        <v>6667.0</v>
      </c>
      <c r="R496" s="11" t="s">
        <v>1649</v>
      </c>
      <c r="S496" s="11" t="s">
        <v>1734</v>
      </c>
      <c r="T496" s="11" t="s">
        <v>1738</v>
      </c>
      <c r="U496" s="2" t="s">
        <v>1574</v>
      </c>
      <c r="V496" s="2" t="s">
        <v>1568</v>
      </c>
      <c r="W496" s="2" t="s">
        <v>1569</v>
      </c>
      <c r="X496" s="2" t="s">
        <v>1570</v>
      </c>
      <c r="AB496" s="2" t="s">
        <v>1571</v>
      </c>
    </row>
    <row r="497">
      <c r="A497" s="2" t="s">
        <v>1773</v>
      </c>
      <c r="B497" s="2">
        <v>14.0</v>
      </c>
      <c r="C497" s="2" t="s">
        <v>8</v>
      </c>
      <c r="D497" s="2" t="s">
        <v>1774</v>
      </c>
      <c r="E497" s="2">
        <v>5.0</v>
      </c>
      <c r="F497" s="2" t="s">
        <v>4</v>
      </c>
      <c r="G497" s="5">
        <v>2735335.0</v>
      </c>
      <c r="H497" s="2" t="s">
        <v>1575</v>
      </c>
      <c r="I497" s="2" t="s">
        <v>1565</v>
      </c>
      <c r="J497" s="2">
        <v>10007.0</v>
      </c>
      <c r="K497" s="2" t="s">
        <v>1576</v>
      </c>
      <c r="L497" s="2"/>
      <c r="M497" s="2"/>
      <c r="N497" s="7">
        <v>2.0</v>
      </c>
      <c r="O497" s="12">
        <v>33810.0</v>
      </c>
      <c r="P497" s="11" t="s">
        <v>1649</v>
      </c>
      <c r="Q497" s="12">
        <v>33810.0</v>
      </c>
      <c r="R497" s="11" t="s">
        <v>1649</v>
      </c>
      <c r="S497" s="11" t="s">
        <v>1701</v>
      </c>
      <c r="T497" s="11" t="s">
        <v>1703</v>
      </c>
      <c r="U497" s="2" t="s">
        <v>1574</v>
      </c>
      <c r="V497" s="2" t="s">
        <v>1568</v>
      </c>
      <c r="W497" s="2" t="s">
        <v>1569</v>
      </c>
      <c r="X497" s="2" t="s">
        <v>1570</v>
      </c>
      <c r="AB497" s="2" t="s">
        <v>1571</v>
      </c>
    </row>
    <row r="498">
      <c r="A498" s="2" t="s">
        <v>1773</v>
      </c>
      <c r="B498" s="2">
        <v>14.0</v>
      </c>
      <c r="C498" s="2" t="s">
        <v>8</v>
      </c>
      <c r="D498" s="2" t="s">
        <v>1774</v>
      </c>
      <c r="E498" s="2">
        <v>5.0</v>
      </c>
      <c r="F498" s="2" t="s">
        <v>4</v>
      </c>
      <c r="G498" s="5">
        <v>2734969.0</v>
      </c>
      <c r="H498" s="2" t="s">
        <v>1575</v>
      </c>
      <c r="I498" s="2" t="s">
        <v>1580</v>
      </c>
      <c r="J498" s="2">
        <v>10105.0</v>
      </c>
      <c r="K498" s="2" t="s">
        <v>1611</v>
      </c>
      <c r="L498" s="2"/>
      <c r="M498" s="2"/>
      <c r="N498" s="7">
        <v>1.0</v>
      </c>
      <c r="O498" s="12">
        <v>38095.0</v>
      </c>
      <c r="P498" s="11" t="s">
        <v>1649</v>
      </c>
      <c r="Q498" s="12">
        <v>38095.0</v>
      </c>
      <c r="R498" s="11" t="s">
        <v>1649</v>
      </c>
      <c r="S498" s="11" t="s">
        <v>1727</v>
      </c>
      <c r="T498" s="11" t="s">
        <v>1728</v>
      </c>
      <c r="U498" s="2" t="s">
        <v>1574</v>
      </c>
      <c r="V498" s="2" t="s">
        <v>1568</v>
      </c>
      <c r="W498" s="2" t="s">
        <v>1569</v>
      </c>
      <c r="X498" s="2" t="s">
        <v>1570</v>
      </c>
      <c r="AB498" s="2" t="s">
        <v>1571</v>
      </c>
    </row>
    <row r="499">
      <c r="A499" s="2" t="s">
        <v>1773</v>
      </c>
      <c r="B499" s="2">
        <v>14.0</v>
      </c>
      <c r="C499" s="2" t="s">
        <v>8</v>
      </c>
      <c r="D499" s="2" t="s">
        <v>1774</v>
      </c>
      <c r="E499" s="2">
        <v>5.0</v>
      </c>
      <c r="F499" s="2" t="s">
        <v>4</v>
      </c>
      <c r="G499" s="5">
        <v>2734969.0</v>
      </c>
      <c r="H499" s="2" t="s">
        <v>1575</v>
      </c>
      <c r="I499" s="2" t="s">
        <v>1580</v>
      </c>
      <c r="J499" s="2">
        <v>10003.0</v>
      </c>
      <c r="K499" s="2" t="s">
        <v>1603</v>
      </c>
      <c r="L499" s="2"/>
      <c r="M499" s="2"/>
      <c r="N499" s="7">
        <v>1.0</v>
      </c>
      <c r="O499" s="12">
        <v>29524.0</v>
      </c>
      <c r="P499" s="11" t="s">
        <v>1649</v>
      </c>
      <c r="Q499" s="12">
        <v>29524.0</v>
      </c>
      <c r="R499" s="11" t="s">
        <v>1649</v>
      </c>
      <c r="S499" s="11" t="s">
        <v>1683</v>
      </c>
      <c r="T499" s="11" t="s">
        <v>1684</v>
      </c>
      <c r="U499" s="2" t="s">
        <v>1574</v>
      </c>
      <c r="V499" s="2" t="s">
        <v>1568</v>
      </c>
      <c r="W499" s="2" t="s">
        <v>1569</v>
      </c>
      <c r="X499" s="2" t="s">
        <v>1570</v>
      </c>
      <c r="AB499" s="2" t="s">
        <v>1571</v>
      </c>
    </row>
    <row r="500">
      <c r="A500" s="2" t="s">
        <v>1773</v>
      </c>
      <c r="B500" s="2">
        <v>14.0</v>
      </c>
      <c r="C500" s="2" t="s">
        <v>8</v>
      </c>
      <c r="D500" s="2" t="s">
        <v>1774</v>
      </c>
      <c r="E500" s="2">
        <v>5.0</v>
      </c>
      <c r="F500" s="2" t="s">
        <v>4</v>
      </c>
      <c r="G500" s="5">
        <v>2734969.0</v>
      </c>
      <c r="H500" s="2" t="s">
        <v>1575</v>
      </c>
      <c r="I500" s="2" t="s">
        <v>1572</v>
      </c>
      <c r="J500" s="2">
        <v>10118.0</v>
      </c>
      <c r="K500" s="2" t="s">
        <v>1604</v>
      </c>
      <c r="L500" s="2"/>
      <c r="M500" s="2"/>
      <c r="N500" s="7">
        <v>1.0</v>
      </c>
      <c r="O500" s="12">
        <v>7143.0</v>
      </c>
      <c r="P500" s="11" t="s">
        <v>1649</v>
      </c>
      <c r="Q500" s="12">
        <v>7143.0</v>
      </c>
      <c r="R500" s="11" t="s">
        <v>1649</v>
      </c>
      <c r="S500" s="11" t="s">
        <v>1672</v>
      </c>
      <c r="T500" s="11" t="s">
        <v>1673</v>
      </c>
      <c r="U500" s="2" t="s">
        <v>1574</v>
      </c>
      <c r="V500" s="2" t="s">
        <v>1568</v>
      </c>
      <c r="W500" s="2" t="s">
        <v>1569</v>
      </c>
      <c r="X500" s="2" t="s">
        <v>1570</v>
      </c>
      <c r="AB500" s="2" t="s">
        <v>1571</v>
      </c>
    </row>
    <row r="501">
      <c r="A501" s="2" t="s">
        <v>1773</v>
      </c>
      <c r="B501" s="2">
        <v>14.0</v>
      </c>
      <c r="C501" s="2" t="s">
        <v>8</v>
      </c>
      <c r="D501" s="2" t="s">
        <v>1774</v>
      </c>
      <c r="E501" s="2">
        <v>5.0</v>
      </c>
      <c r="F501" s="2" t="s">
        <v>4</v>
      </c>
      <c r="G501" s="5">
        <v>2734969.0</v>
      </c>
      <c r="H501" s="2" t="s">
        <v>1575</v>
      </c>
      <c r="I501" s="2" t="s">
        <v>1572</v>
      </c>
      <c r="J501" s="2">
        <v>10121.0</v>
      </c>
      <c r="K501" s="2" t="s">
        <v>1617</v>
      </c>
      <c r="L501" s="2"/>
      <c r="M501" s="2"/>
      <c r="N501" s="7">
        <v>1.0</v>
      </c>
      <c r="O501" s="12">
        <v>19524.0</v>
      </c>
      <c r="P501" s="11" t="s">
        <v>1649</v>
      </c>
      <c r="Q501" s="12">
        <v>19524.0</v>
      </c>
      <c r="R501" s="11" t="s">
        <v>1649</v>
      </c>
      <c r="S501" s="11" t="s">
        <v>1676</v>
      </c>
      <c r="T501" s="11" t="s">
        <v>1677</v>
      </c>
      <c r="U501" s="2" t="s">
        <v>1574</v>
      </c>
      <c r="V501" s="2" t="s">
        <v>1568</v>
      </c>
      <c r="W501" s="2" t="s">
        <v>1569</v>
      </c>
      <c r="X501" s="2" t="s">
        <v>1570</v>
      </c>
      <c r="AB501" s="2" t="s">
        <v>1571</v>
      </c>
    </row>
    <row r="502">
      <c r="A502" s="2" t="s">
        <v>1773</v>
      </c>
      <c r="B502" s="2">
        <v>14.0</v>
      </c>
      <c r="C502" s="2" t="s">
        <v>8</v>
      </c>
      <c r="D502" s="2" t="s">
        <v>1774</v>
      </c>
      <c r="E502" s="2">
        <v>5.0</v>
      </c>
      <c r="F502" s="2" t="s">
        <v>4</v>
      </c>
      <c r="G502" s="5">
        <v>2734969.0</v>
      </c>
      <c r="H502" s="2" t="s">
        <v>1575</v>
      </c>
      <c r="I502" s="2" t="s">
        <v>1578</v>
      </c>
      <c r="J502" s="2">
        <v>10015.0</v>
      </c>
      <c r="K502" s="2" t="s">
        <v>1587</v>
      </c>
      <c r="L502" s="2"/>
      <c r="M502" s="2"/>
      <c r="N502" s="7">
        <v>1.0</v>
      </c>
      <c r="O502" s="12">
        <v>25238.0</v>
      </c>
      <c r="P502" s="11" t="s">
        <v>1649</v>
      </c>
      <c r="Q502" s="12">
        <v>25238.0</v>
      </c>
      <c r="R502" s="11" t="s">
        <v>1649</v>
      </c>
      <c r="S502" s="11" t="s">
        <v>1660</v>
      </c>
      <c r="T502" s="11" t="s">
        <v>1680</v>
      </c>
      <c r="U502" s="2" t="s">
        <v>1574</v>
      </c>
      <c r="V502" s="2" t="s">
        <v>1568</v>
      </c>
      <c r="W502" s="2" t="s">
        <v>1569</v>
      </c>
      <c r="X502" s="2" t="s">
        <v>1570</v>
      </c>
      <c r="AB502" s="2" t="s">
        <v>1571</v>
      </c>
    </row>
    <row r="503">
      <c r="A503" s="2" t="s">
        <v>1773</v>
      </c>
      <c r="B503" s="2">
        <v>14.0</v>
      </c>
      <c r="C503" s="2" t="s">
        <v>8</v>
      </c>
      <c r="D503" s="2" t="s">
        <v>1774</v>
      </c>
      <c r="E503" s="2">
        <v>5.0</v>
      </c>
      <c r="F503" s="2" t="s">
        <v>4</v>
      </c>
      <c r="G503" s="5">
        <v>2734604.0</v>
      </c>
      <c r="H503" s="2" t="s">
        <v>1575</v>
      </c>
      <c r="I503" s="2" t="s">
        <v>1572</v>
      </c>
      <c r="J503" s="2">
        <v>10128.0</v>
      </c>
      <c r="K503" s="2" t="s">
        <v>1588</v>
      </c>
      <c r="L503" s="2"/>
      <c r="M503" s="2"/>
      <c r="N503" s="7">
        <v>1.0</v>
      </c>
      <c r="O503" s="12">
        <v>23333.0</v>
      </c>
      <c r="P503" s="11" t="s">
        <v>1649</v>
      </c>
      <c r="Q503" s="12">
        <v>23333.0</v>
      </c>
      <c r="R503" s="11" t="s">
        <v>1649</v>
      </c>
      <c r="S503" s="11" t="s">
        <v>1681</v>
      </c>
      <c r="T503" s="11" t="s">
        <v>1682</v>
      </c>
      <c r="U503" s="2" t="s">
        <v>1574</v>
      </c>
      <c r="V503" s="2" t="s">
        <v>1568</v>
      </c>
      <c r="W503" s="2" t="s">
        <v>1569</v>
      </c>
      <c r="X503" s="2" t="s">
        <v>1570</v>
      </c>
      <c r="AB503" s="2" t="s">
        <v>1571</v>
      </c>
    </row>
    <row r="504">
      <c r="A504" s="2" t="s">
        <v>1773</v>
      </c>
      <c r="B504" s="2">
        <v>14.0</v>
      </c>
      <c r="C504" s="2" t="s">
        <v>8</v>
      </c>
      <c r="D504" s="2" t="s">
        <v>1774</v>
      </c>
      <c r="E504" s="2">
        <v>5.0</v>
      </c>
      <c r="F504" s="2" t="s">
        <v>4</v>
      </c>
      <c r="G504" s="5">
        <v>2734604.0</v>
      </c>
      <c r="H504" s="2" t="s">
        <v>1575</v>
      </c>
      <c r="I504" s="2" t="s">
        <v>1578</v>
      </c>
      <c r="J504" s="2">
        <v>10010.0</v>
      </c>
      <c r="K504" s="2" t="s">
        <v>1606</v>
      </c>
      <c r="L504" s="2"/>
      <c r="M504" s="2"/>
      <c r="N504" s="7">
        <v>1.0</v>
      </c>
      <c r="O504" s="12">
        <v>25238.0</v>
      </c>
      <c r="P504" s="11" t="s">
        <v>1649</v>
      </c>
      <c r="Q504" s="12">
        <v>25238.0</v>
      </c>
      <c r="R504" s="11" t="s">
        <v>1649</v>
      </c>
      <c r="S504" s="11" t="s">
        <v>1660</v>
      </c>
      <c r="T504" s="11" t="s">
        <v>1680</v>
      </c>
      <c r="U504" s="2" t="s">
        <v>1574</v>
      </c>
      <c r="V504" s="2" t="s">
        <v>1568</v>
      </c>
      <c r="W504" s="2" t="s">
        <v>1569</v>
      </c>
      <c r="X504" s="2" t="s">
        <v>1570</v>
      </c>
      <c r="AB504" s="2" t="s">
        <v>1571</v>
      </c>
    </row>
    <row r="505">
      <c r="A505" s="2" t="s">
        <v>1773</v>
      </c>
      <c r="B505" s="2">
        <v>12.0</v>
      </c>
      <c r="C505" s="2" t="s">
        <v>8</v>
      </c>
      <c r="D505" s="2" t="s">
        <v>1774</v>
      </c>
      <c r="E505" s="2">
        <v>5.0</v>
      </c>
      <c r="F505" s="2" t="s">
        <v>4</v>
      </c>
      <c r="G505" s="5">
        <v>2734239.0</v>
      </c>
      <c r="H505" s="2" t="s">
        <v>1575</v>
      </c>
      <c r="I505" s="2" t="s">
        <v>1572</v>
      </c>
      <c r="J505" s="2">
        <v>10128.0</v>
      </c>
      <c r="K505" s="2" t="s">
        <v>1588</v>
      </c>
      <c r="L505" s="2"/>
      <c r="M505" s="2"/>
      <c r="N505" s="7">
        <v>1.0</v>
      </c>
      <c r="O505" s="12">
        <v>23333.0</v>
      </c>
      <c r="P505" s="11" t="s">
        <v>1649</v>
      </c>
      <c r="Q505" s="12">
        <v>23333.0</v>
      </c>
      <c r="R505" s="11" t="s">
        <v>1649</v>
      </c>
      <c r="S505" s="11" t="s">
        <v>1681</v>
      </c>
      <c r="T505" s="11" t="s">
        <v>1682</v>
      </c>
      <c r="U505" s="2" t="s">
        <v>1574</v>
      </c>
      <c r="V505" s="2" t="s">
        <v>1568</v>
      </c>
      <c r="W505" s="2" t="s">
        <v>1569</v>
      </c>
      <c r="X505" s="2" t="s">
        <v>1570</v>
      </c>
      <c r="AB505" s="2" t="s">
        <v>1571</v>
      </c>
    </row>
    <row r="506">
      <c r="A506" s="2" t="s">
        <v>1773</v>
      </c>
      <c r="B506" s="2">
        <v>12.0</v>
      </c>
      <c r="C506" s="2" t="s">
        <v>8</v>
      </c>
      <c r="D506" s="2" t="s">
        <v>1774</v>
      </c>
      <c r="E506" s="2">
        <v>5.0</v>
      </c>
      <c r="F506" s="2" t="s">
        <v>4</v>
      </c>
      <c r="G506" s="5">
        <v>2733874.0</v>
      </c>
      <c r="H506" s="2" t="s">
        <v>1575</v>
      </c>
      <c r="I506" s="2" t="s">
        <v>1565</v>
      </c>
      <c r="J506" s="2">
        <v>10002.0</v>
      </c>
      <c r="K506" s="2" t="s">
        <v>1576</v>
      </c>
      <c r="L506" s="2"/>
      <c r="M506" s="2"/>
      <c r="N506" s="7">
        <v>1.0</v>
      </c>
      <c r="O506" s="12">
        <v>18571.0</v>
      </c>
      <c r="P506" s="11" t="s">
        <v>1649</v>
      </c>
      <c r="Q506" s="12">
        <v>18571.0</v>
      </c>
      <c r="R506" s="11" t="s">
        <v>1649</v>
      </c>
      <c r="S506" s="11" t="s">
        <v>1656</v>
      </c>
      <c r="T506" s="11" t="s">
        <v>1657</v>
      </c>
      <c r="U506" s="2" t="s">
        <v>1567</v>
      </c>
      <c r="V506" s="2" t="s">
        <v>1568</v>
      </c>
      <c r="W506" s="2" t="s">
        <v>1569</v>
      </c>
      <c r="X506" s="2" t="s">
        <v>1570</v>
      </c>
      <c r="AB506" s="2" t="s">
        <v>1571</v>
      </c>
    </row>
    <row r="507">
      <c r="A507" s="2" t="s">
        <v>1773</v>
      </c>
      <c r="B507" s="2">
        <v>12.0</v>
      </c>
      <c r="C507" s="2" t="s">
        <v>8</v>
      </c>
      <c r="D507" s="2" t="s">
        <v>1774</v>
      </c>
      <c r="E507" s="2">
        <v>5.0</v>
      </c>
      <c r="F507" s="2" t="s">
        <v>4</v>
      </c>
      <c r="G507" s="5">
        <v>2733874.0</v>
      </c>
      <c r="H507" s="2" t="s">
        <v>1575</v>
      </c>
      <c r="I507" s="2" t="s">
        <v>1565</v>
      </c>
      <c r="J507" s="2">
        <v>10005.0</v>
      </c>
      <c r="K507" s="2" t="s">
        <v>1595</v>
      </c>
      <c r="L507" s="2"/>
      <c r="M507" s="2"/>
      <c r="N507" s="7">
        <v>1.0</v>
      </c>
      <c r="O507" s="12">
        <v>19524.0</v>
      </c>
      <c r="P507" s="11" t="s">
        <v>1649</v>
      </c>
      <c r="Q507" s="12">
        <v>19524.0</v>
      </c>
      <c r="R507" s="11" t="s">
        <v>1649</v>
      </c>
      <c r="S507" s="11" t="s">
        <v>1676</v>
      </c>
      <c r="T507" s="11" t="s">
        <v>1677</v>
      </c>
      <c r="U507" s="2" t="s">
        <v>1567</v>
      </c>
      <c r="V507" s="2" t="s">
        <v>1568</v>
      </c>
      <c r="W507" s="2" t="s">
        <v>1569</v>
      </c>
      <c r="X507" s="2" t="s">
        <v>1570</v>
      </c>
      <c r="AB507" s="2" t="s">
        <v>1571</v>
      </c>
    </row>
    <row r="508">
      <c r="A508" s="2" t="s">
        <v>1773</v>
      </c>
      <c r="B508" s="2">
        <v>12.0</v>
      </c>
      <c r="C508" s="2" t="s">
        <v>8</v>
      </c>
      <c r="D508" s="2" t="s">
        <v>1774</v>
      </c>
      <c r="E508" s="2">
        <v>5.0</v>
      </c>
      <c r="F508" s="2" t="s">
        <v>4</v>
      </c>
      <c r="G508" s="5">
        <v>2733508.0</v>
      </c>
      <c r="H508" s="2" t="s">
        <v>1575</v>
      </c>
      <c r="I508" s="2" t="s">
        <v>1578</v>
      </c>
      <c r="J508" s="2">
        <v>10051.0</v>
      </c>
      <c r="K508" s="2" t="s">
        <v>1579</v>
      </c>
      <c r="L508" s="2"/>
      <c r="M508" s="2"/>
      <c r="N508" s="7">
        <v>1.0</v>
      </c>
      <c r="O508" s="12">
        <v>25238.0</v>
      </c>
      <c r="P508" s="11" t="s">
        <v>1649</v>
      </c>
      <c r="Q508" s="12">
        <v>25238.0</v>
      </c>
      <c r="R508" s="11" t="s">
        <v>1649</v>
      </c>
      <c r="S508" s="11" t="s">
        <v>1660</v>
      </c>
      <c r="T508" s="11" t="s">
        <v>1680</v>
      </c>
      <c r="U508" s="2" t="s">
        <v>1574</v>
      </c>
      <c r="V508" s="2" t="s">
        <v>1568</v>
      </c>
      <c r="W508" s="2" t="s">
        <v>1569</v>
      </c>
      <c r="X508" s="2" t="s">
        <v>1570</v>
      </c>
      <c r="AB508" s="2" t="s">
        <v>1571</v>
      </c>
    </row>
    <row r="509">
      <c r="A509" s="2" t="s">
        <v>1773</v>
      </c>
      <c r="B509" s="2">
        <v>12.0</v>
      </c>
      <c r="C509" s="2" t="s">
        <v>8</v>
      </c>
      <c r="D509" s="2" t="s">
        <v>1774</v>
      </c>
      <c r="E509" s="2">
        <v>5.0</v>
      </c>
      <c r="F509" s="2" t="s">
        <v>4</v>
      </c>
      <c r="G509" s="5">
        <v>2733508.0</v>
      </c>
      <c r="H509" s="2" t="s">
        <v>1575</v>
      </c>
      <c r="I509" s="2" t="s">
        <v>1572</v>
      </c>
      <c r="J509" s="2">
        <v>10122.0</v>
      </c>
      <c r="K509" s="2" t="s">
        <v>1577</v>
      </c>
      <c r="L509" s="2"/>
      <c r="M509" s="2"/>
      <c r="N509" s="7">
        <v>1.0</v>
      </c>
      <c r="O509" s="12">
        <v>21905.0</v>
      </c>
      <c r="P509" s="11" t="s">
        <v>1649</v>
      </c>
      <c r="Q509" s="12">
        <v>21905.0</v>
      </c>
      <c r="R509" s="11" t="s">
        <v>1649</v>
      </c>
      <c r="S509" s="11" t="s">
        <v>1666</v>
      </c>
      <c r="T509" s="11" t="s">
        <v>1667</v>
      </c>
      <c r="U509" s="2" t="s">
        <v>1574</v>
      </c>
      <c r="V509" s="2" t="s">
        <v>1568</v>
      </c>
      <c r="W509" s="2" t="s">
        <v>1569</v>
      </c>
      <c r="X509" s="2" t="s">
        <v>1570</v>
      </c>
      <c r="AB509" s="2" t="s">
        <v>1571</v>
      </c>
    </row>
    <row r="510">
      <c r="A510" s="2" t="s">
        <v>1773</v>
      </c>
      <c r="B510" s="2">
        <v>12.0</v>
      </c>
      <c r="C510" s="2" t="s">
        <v>8</v>
      </c>
      <c r="D510" s="2" t="s">
        <v>1774</v>
      </c>
      <c r="E510" s="2">
        <v>5.0</v>
      </c>
      <c r="F510" s="2" t="s">
        <v>4</v>
      </c>
      <c r="G510" s="5">
        <v>2733143.0</v>
      </c>
      <c r="H510" s="2" t="s">
        <v>1575</v>
      </c>
      <c r="I510" s="2" t="s">
        <v>1580</v>
      </c>
      <c r="J510" s="2">
        <v>10105.0</v>
      </c>
      <c r="K510" s="2" t="s">
        <v>1611</v>
      </c>
      <c r="L510" s="2"/>
      <c r="M510" s="2"/>
      <c r="N510" s="7">
        <v>2.0</v>
      </c>
      <c r="O510" s="12">
        <v>76190.0</v>
      </c>
      <c r="P510" s="11" t="s">
        <v>1649</v>
      </c>
      <c r="Q510" s="12">
        <v>76190.0</v>
      </c>
      <c r="R510" s="11" t="s">
        <v>1649</v>
      </c>
      <c r="S510" s="11" t="s">
        <v>1778</v>
      </c>
      <c r="T510" s="11" t="s">
        <v>1779</v>
      </c>
      <c r="U510" s="2" t="s">
        <v>1574</v>
      </c>
      <c r="V510" s="2" t="s">
        <v>1568</v>
      </c>
      <c r="W510" s="2" t="s">
        <v>1569</v>
      </c>
      <c r="X510" s="2" t="s">
        <v>1570</v>
      </c>
      <c r="AB510" s="2" t="s">
        <v>1571</v>
      </c>
    </row>
    <row r="511">
      <c r="A511" s="2" t="s">
        <v>1773</v>
      </c>
      <c r="B511" s="2">
        <v>12.0</v>
      </c>
      <c r="C511" s="2" t="s">
        <v>8</v>
      </c>
      <c r="D511" s="2" t="s">
        <v>1774</v>
      </c>
      <c r="E511" s="2">
        <v>5.0</v>
      </c>
      <c r="F511" s="2" t="s">
        <v>4</v>
      </c>
      <c r="G511" s="5">
        <v>2733143.0</v>
      </c>
      <c r="H511" s="2" t="s">
        <v>1575</v>
      </c>
      <c r="I511" s="2" t="s">
        <v>1572</v>
      </c>
      <c r="J511" s="2">
        <v>10125.0</v>
      </c>
      <c r="K511" s="2" t="s">
        <v>1601</v>
      </c>
      <c r="L511" s="2"/>
      <c r="M511" s="2"/>
      <c r="N511" s="7">
        <v>1.0</v>
      </c>
      <c r="O511" s="12">
        <v>20476.0</v>
      </c>
      <c r="P511" s="11" t="s">
        <v>1649</v>
      </c>
      <c r="Q511" s="12">
        <v>20476.0</v>
      </c>
      <c r="R511" s="11" t="s">
        <v>1649</v>
      </c>
      <c r="S511" s="11" t="s">
        <v>1716</v>
      </c>
      <c r="T511" s="11" t="s">
        <v>1722</v>
      </c>
      <c r="U511" s="2" t="s">
        <v>1574</v>
      </c>
      <c r="V511" s="2" t="s">
        <v>1568</v>
      </c>
      <c r="W511" s="2" t="s">
        <v>1569</v>
      </c>
      <c r="X511" s="2" t="s">
        <v>1570</v>
      </c>
      <c r="AB511" s="2" t="s">
        <v>1571</v>
      </c>
    </row>
    <row r="512">
      <c r="A512" s="2" t="s">
        <v>1773</v>
      </c>
      <c r="B512" s="2">
        <v>12.0</v>
      </c>
      <c r="C512" s="2" t="s">
        <v>8</v>
      </c>
      <c r="D512" s="2" t="s">
        <v>1774</v>
      </c>
      <c r="E512" s="2">
        <v>5.0</v>
      </c>
      <c r="F512" s="2" t="s">
        <v>4</v>
      </c>
      <c r="G512" s="5">
        <v>2733143.0</v>
      </c>
      <c r="H512" s="2" t="s">
        <v>1575</v>
      </c>
      <c r="I512" s="2" t="s">
        <v>1572</v>
      </c>
      <c r="J512" s="2">
        <v>10123.0</v>
      </c>
      <c r="K512" s="2" t="s">
        <v>1599</v>
      </c>
      <c r="L512" s="2"/>
      <c r="M512" s="2"/>
      <c r="N512" s="7">
        <v>1.0</v>
      </c>
      <c r="O512" s="12">
        <v>21905.0</v>
      </c>
      <c r="P512" s="11" t="s">
        <v>1649</v>
      </c>
      <c r="Q512" s="12">
        <v>21905.0</v>
      </c>
      <c r="R512" s="11" t="s">
        <v>1649</v>
      </c>
      <c r="S512" s="11" t="s">
        <v>1666</v>
      </c>
      <c r="T512" s="11" t="s">
        <v>1687</v>
      </c>
      <c r="U512" s="2" t="s">
        <v>1574</v>
      </c>
      <c r="V512" s="2" t="s">
        <v>1568</v>
      </c>
      <c r="W512" s="2" t="s">
        <v>1569</v>
      </c>
      <c r="X512" s="2" t="s">
        <v>1570</v>
      </c>
      <c r="AB512" s="2" t="s">
        <v>1571</v>
      </c>
    </row>
    <row r="513">
      <c r="A513" s="2" t="s">
        <v>1773</v>
      </c>
      <c r="B513" s="2">
        <v>10.0</v>
      </c>
      <c r="C513" s="2" t="s">
        <v>8</v>
      </c>
      <c r="D513" s="2" t="s">
        <v>1774</v>
      </c>
      <c r="E513" s="2">
        <v>5.0</v>
      </c>
      <c r="F513" s="2" t="s">
        <v>4</v>
      </c>
      <c r="G513" s="5">
        <v>2732778.0</v>
      </c>
      <c r="H513" s="2" t="s">
        <v>1575</v>
      </c>
      <c r="I513" s="2" t="s">
        <v>1565</v>
      </c>
      <c r="J513" s="2">
        <v>10054.0</v>
      </c>
      <c r="K513" s="2" t="s">
        <v>1610</v>
      </c>
      <c r="L513" s="2"/>
      <c r="M513" s="2"/>
      <c r="N513" s="7">
        <v>1.0</v>
      </c>
      <c r="O513" s="12">
        <v>25238.0</v>
      </c>
      <c r="P513" s="11" t="s">
        <v>1649</v>
      </c>
      <c r="Q513" s="12">
        <v>25238.0</v>
      </c>
      <c r="R513" s="11" t="s">
        <v>1649</v>
      </c>
      <c r="S513" s="11" t="s">
        <v>1660</v>
      </c>
      <c r="T513" s="11" t="s">
        <v>1680</v>
      </c>
      <c r="U513" s="2" t="s">
        <v>1574</v>
      </c>
      <c r="V513" s="2" t="s">
        <v>1568</v>
      </c>
      <c r="W513" s="2" t="s">
        <v>1569</v>
      </c>
      <c r="X513" s="2" t="s">
        <v>1570</v>
      </c>
      <c r="AB513" s="2" t="s">
        <v>1571</v>
      </c>
    </row>
    <row r="514">
      <c r="A514" s="2" t="s">
        <v>1773</v>
      </c>
      <c r="B514" s="2">
        <v>10.0</v>
      </c>
      <c r="C514" s="2" t="s">
        <v>8</v>
      </c>
      <c r="D514" s="2" t="s">
        <v>1774</v>
      </c>
      <c r="E514" s="2">
        <v>5.0</v>
      </c>
      <c r="F514" s="2" t="s">
        <v>4</v>
      </c>
      <c r="G514" s="5">
        <v>2732778.0</v>
      </c>
      <c r="H514" s="2" t="s">
        <v>1575</v>
      </c>
      <c r="I514" s="2" t="s">
        <v>1565</v>
      </c>
      <c r="J514" s="2">
        <v>10002.0</v>
      </c>
      <c r="K514" s="2" t="s">
        <v>1576</v>
      </c>
      <c r="L514" s="2"/>
      <c r="M514" s="2"/>
      <c r="N514" s="7">
        <v>1.0</v>
      </c>
      <c r="O514" s="12">
        <v>18571.0</v>
      </c>
      <c r="P514" s="11" t="s">
        <v>1649</v>
      </c>
      <c r="Q514" s="12">
        <v>18571.0</v>
      </c>
      <c r="R514" s="11" t="s">
        <v>1649</v>
      </c>
      <c r="S514" s="11" t="s">
        <v>1656</v>
      </c>
      <c r="T514" s="11" t="s">
        <v>1688</v>
      </c>
      <c r="U514" s="2" t="s">
        <v>1574</v>
      </c>
      <c r="V514" s="2" t="s">
        <v>1568</v>
      </c>
      <c r="W514" s="2" t="s">
        <v>1569</v>
      </c>
      <c r="X514" s="2" t="s">
        <v>1570</v>
      </c>
      <c r="AB514" s="2" t="s">
        <v>1571</v>
      </c>
    </row>
    <row r="515">
      <c r="A515" s="2" t="s">
        <v>1773</v>
      </c>
      <c r="B515" s="2">
        <v>10.0</v>
      </c>
      <c r="C515" s="2" t="s">
        <v>8</v>
      </c>
      <c r="D515" s="2" t="s">
        <v>1774</v>
      </c>
      <c r="E515" s="2">
        <v>5.0</v>
      </c>
      <c r="F515" s="2" t="s">
        <v>4</v>
      </c>
      <c r="G515" s="5">
        <v>2732778.0</v>
      </c>
      <c r="H515" s="2" t="s">
        <v>1575</v>
      </c>
      <c r="I515" s="2" t="s">
        <v>1572</v>
      </c>
      <c r="J515" s="2">
        <v>10128.0</v>
      </c>
      <c r="K515" s="2" t="s">
        <v>1588</v>
      </c>
      <c r="L515" s="2"/>
      <c r="M515" s="2"/>
      <c r="N515" s="7">
        <v>1.0</v>
      </c>
      <c r="O515" s="12">
        <v>23333.0</v>
      </c>
      <c r="P515" s="11" t="s">
        <v>1649</v>
      </c>
      <c r="Q515" s="12">
        <v>23333.0</v>
      </c>
      <c r="R515" s="11" t="s">
        <v>1649</v>
      </c>
      <c r="S515" s="11" t="s">
        <v>1681</v>
      </c>
      <c r="T515" s="11" t="s">
        <v>1682</v>
      </c>
      <c r="U515" s="2" t="s">
        <v>1574</v>
      </c>
      <c r="V515" s="2" t="s">
        <v>1568</v>
      </c>
      <c r="W515" s="2" t="s">
        <v>1569</v>
      </c>
      <c r="X515" s="2" t="s">
        <v>1570</v>
      </c>
      <c r="AB515" s="2" t="s">
        <v>1571</v>
      </c>
    </row>
    <row r="516">
      <c r="A516" s="2" t="s">
        <v>1773</v>
      </c>
      <c r="B516" s="2">
        <v>10.0</v>
      </c>
      <c r="C516" s="2" t="s">
        <v>8</v>
      </c>
      <c r="D516" s="2" t="s">
        <v>1774</v>
      </c>
      <c r="E516" s="2">
        <v>5.0</v>
      </c>
      <c r="F516" s="2" t="s">
        <v>4</v>
      </c>
      <c r="G516" s="5">
        <v>2732778.0</v>
      </c>
      <c r="H516" s="2" t="s">
        <v>1575</v>
      </c>
      <c r="I516" s="2" t="s">
        <v>1572</v>
      </c>
      <c r="J516" s="2">
        <v>10127.0</v>
      </c>
      <c r="K516" s="2" t="s">
        <v>1592</v>
      </c>
      <c r="L516" s="2"/>
      <c r="M516" s="2"/>
      <c r="N516" s="7">
        <v>1.0</v>
      </c>
      <c r="O516" s="12">
        <v>18571.0</v>
      </c>
      <c r="P516" s="11" t="s">
        <v>1649</v>
      </c>
      <c r="Q516" s="12">
        <v>18571.0</v>
      </c>
      <c r="R516" s="11" t="s">
        <v>1649</v>
      </c>
      <c r="S516" s="11" t="s">
        <v>1656</v>
      </c>
      <c r="T516" s="11" t="s">
        <v>1657</v>
      </c>
      <c r="U516" s="2" t="s">
        <v>1574</v>
      </c>
      <c r="V516" s="2" t="s">
        <v>1568</v>
      </c>
      <c r="W516" s="2" t="s">
        <v>1569</v>
      </c>
      <c r="X516" s="2" t="s">
        <v>1570</v>
      </c>
      <c r="AB516" s="2" t="s">
        <v>1571</v>
      </c>
    </row>
    <row r="517">
      <c r="A517" s="2" t="s">
        <v>1773</v>
      </c>
      <c r="B517" s="2">
        <v>10.0</v>
      </c>
      <c r="C517" s="2" t="s">
        <v>8</v>
      </c>
      <c r="D517" s="2" t="s">
        <v>1774</v>
      </c>
      <c r="E517" s="2">
        <v>5.0</v>
      </c>
      <c r="F517" s="2" t="s">
        <v>4</v>
      </c>
      <c r="G517" s="5">
        <v>2732413.0</v>
      </c>
      <c r="H517" s="2" t="s">
        <v>1575</v>
      </c>
      <c r="I517" s="2" t="s">
        <v>1572</v>
      </c>
      <c r="J517" s="2">
        <v>10117.0</v>
      </c>
      <c r="K517" s="2" t="s">
        <v>1589</v>
      </c>
      <c r="L517" s="2"/>
      <c r="M517" s="2"/>
      <c r="N517" s="7">
        <v>1.0</v>
      </c>
      <c r="O517" s="12">
        <v>14286.0</v>
      </c>
      <c r="P517" s="11" t="s">
        <v>1649</v>
      </c>
      <c r="Q517" s="12">
        <v>14286.0</v>
      </c>
      <c r="R517" s="11" t="s">
        <v>1649</v>
      </c>
      <c r="S517" s="11" t="s">
        <v>1685</v>
      </c>
      <c r="T517" s="11" t="s">
        <v>1686</v>
      </c>
      <c r="U517" s="2" t="s">
        <v>1574</v>
      </c>
      <c r="V517" s="2" t="s">
        <v>1568</v>
      </c>
      <c r="W517" s="2" t="s">
        <v>1569</v>
      </c>
      <c r="X517" s="2" t="s">
        <v>1570</v>
      </c>
      <c r="AB517" s="2" t="s">
        <v>1571</v>
      </c>
    </row>
    <row r="518">
      <c r="A518" s="2" t="s">
        <v>1773</v>
      </c>
      <c r="B518" s="2">
        <v>9.0</v>
      </c>
      <c r="C518" s="2" t="s">
        <v>8</v>
      </c>
      <c r="D518" s="2" t="s">
        <v>1774</v>
      </c>
      <c r="E518" s="2">
        <v>5.0</v>
      </c>
      <c r="F518" s="2" t="s">
        <v>4</v>
      </c>
      <c r="G518" s="5">
        <v>2732047.0</v>
      </c>
      <c r="H518" s="2" t="s">
        <v>1575</v>
      </c>
      <c r="I518" s="2" t="s">
        <v>1565</v>
      </c>
      <c r="J518" s="2">
        <v>10033.0</v>
      </c>
      <c r="K518" s="2" t="s">
        <v>1615</v>
      </c>
      <c r="L518" s="2"/>
      <c r="M518" s="2"/>
      <c r="N518" s="7">
        <v>1.0</v>
      </c>
      <c r="O518" s="12">
        <v>21905.0</v>
      </c>
      <c r="P518" s="11" t="s">
        <v>1649</v>
      </c>
      <c r="Q518" s="12">
        <v>21905.0</v>
      </c>
      <c r="R518" s="11" t="s">
        <v>1649</v>
      </c>
      <c r="S518" s="11" t="s">
        <v>1666</v>
      </c>
      <c r="T518" s="11" t="s">
        <v>1667</v>
      </c>
      <c r="U518" s="2" t="s">
        <v>1574</v>
      </c>
      <c r="V518" s="2" t="s">
        <v>1568</v>
      </c>
      <c r="W518" s="2" t="s">
        <v>1569</v>
      </c>
      <c r="X518" s="2" t="s">
        <v>1570</v>
      </c>
      <c r="AB518" s="2" t="s">
        <v>1571</v>
      </c>
    </row>
    <row r="519">
      <c r="A519" s="2" t="s">
        <v>1773</v>
      </c>
      <c r="B519" s="2">
        <v>9.0</v>
      </c>
      <c r="C519" s="2" t="s">
        <v>8</v>
      </c>
      <c r="D519" s="2" t="s">
        <v>1774</v>
      </c>
      <c r="E519" s="2">
        <v>5.0</v>
      </c>
      <c r="F519" s="2" t="s">
        <v>4</v>
      </c>
      <c r="G519" s="5">
        <v>2732047.0</v>
      </c>
      <c r="H519" s="2" t="s">
        <v>1575</v>
      </c>
      <c r="I519" s="2" t="s">
        <v>1572</v>
      </c>
      <c r="J519" s="2">
        <v>10130.0</v>
      </c>
      <c r="K519" s="2" t="s">
        <v>1614</v>
      </c>
      <c r="L519" s="2"/>
      <c r="M519" s="2"/>
      <c r="N519" s="7">
        <v>1.0</v>
      </c>
      <c r="O519" s="12">
        <v>23333.0</v>
      </c>
      <c r="P519" s="11" t="s">
        <v>1649</v>
      </c>
      <c r="Q519" s="12">
        <v>23333.0</v>
      </c>
      <c r="R519" s="11" t="s">
        <v>1649</v>
      </c>
      <c r="S519" s="11" t="s">
        <v>1681</v>
      </c>
      <c r="T519" s="11" t="s">
        <v>1682</v>
      </c>
      <c r="U519" s="2" t="s">
        <v>1574</v>
      </c>
      <c r="V519" s="2" t="s">
        <v>1568</v>
      </c>
      <c r="W519" s="2" t="s">
        <v>1569</v>
      </c>
      <c r="X519" s="2" t="s">
        <v>1570</v>
      </c>
      <c r="AB519" s="2" t="s">
        <v>1571</v>
      </c>
    </row>
    <row r="520">
      <c r="A520" s="2" t="s">
        <v>1780</v>
      </c>
      <c r="B520" s="2">
        <v>21.0</v>
      </c>
      <c r="C520" s="2" t="s">
        <v>7</v>
      </c>
      <c r="D520" s="2" t="s">
        <v>1781</v>
      </c>
      <c r="E520" s="2">
        <v>4.0</v>
      </c>
      <c r="F520" s="2" t="s">
        <v>4</v>
      </c>
      <c r="G520" s="5">
        <v>2731682.0</v>
      </c>
      <c r="H520" s="2" t="s">
        <v>1575</v>
      </c>
      <c r="I520" s="2" t="s">
        <v>1565</v>
      </c>
      <c r="J520" s="2">
        <v>10055.0</v>
      </c>
      <c r="K520" s="2" t="s">
        <v>1595</v>
      </c>
      <c r="L520" s="2"/>
      <c r="M520" s="2"/>
      <c r="N520" s="7">
        <v>2.0</v>
      </c>
      <c r="O520" s="12">
        <v>34762.0</v>
      </c>
      <c r="P520" s="11" t="s">
        <v>1649</v>
      </c>
      <c r="Q520" s="12">
        <v>34762.0</v>
      </c>
      <c r="R520" s="11" t="s">
        <v>1649</v>
      </c>
      <c r="S520" s="11" t="s">
        <v>1670</v>
      </c>
      <c r="T520" s="11" t="s">
        <v>1671</v>
      </c>
      <c r="U520" s="2" t="s">
        <v>1574</v>
      </c>
      <c r="V520" s="2" t="s">
        <v>1568</v>
      </c>
      <c r="W520" s="2" t="s">
        <v>1569</v>
      </c>
      <c r="X520" s="2" t="s">
        <v>1570</v>
      </c>
      <c r="AB520" s="2" t="s">
        <v>1571</v>
      </c>
    </row>
    <row r="521">
      <c r="A521" s="2" t="s">
        <v>1780</v>
      </c>
      <c r="B521" s="2">
        <v>21.0</v>
      </c>
      <c r="C521" s="2" t="s">
        <v>7</v>
      </c>
      <c r="D521" s="2" t="s">
        <v>1781</v>
      </c>
      <c r="E521" s="2">
        <v>4.0</v>
      </c>
      <c r="F521" s="2" t="s">
        <v>4</v>
      </c>
      <c r="G521" s="5">
        <v>2731682.0</v>
      </c>
      <c r="H521" s="2" t="s">
        <v>1575</v>
      </c>
      <c r="I521" s="2" t="s">
        <v>1565</v>
      </c>
      <c r="J521" s="2">
        <v>10000.0</v>
      </c>
      <c r="K521" s="2" t="s">
        <v>1566</v>
      </c>
      <c r="L521" s="2"/>
      <c r="M521" s="2"/>
      <c r="N521" s="7">
        <v>1.0</v>
      </c>
      <c r="O521" s="12">
        <v>29524.0</v>
      </c>
      <c r="P521" s="11" t="s">
        <v>1649</v>
      </c>
      <c r="Q521" s="12">
        <v>29524.0</v>
      </c>
      <c r="R521" s="11" t="s">
        <v>1649</v>
      </c>
      <c r="S521" s="11" t="s">
        <v>1683</v>
      </c>
      <c r="T521" s="11" t="s">
        <v>1684</v>
      </c>
      <c r="U521" s="2" t="s">
        <v>1574</v>
      </c>
      <c r="V521" s="2" t="s">
        <v>1568</v>
      </c>
      <c r="W521" s="2" t="s">
        <v>1569</v>
      </c>
      <c r="X521" s="2" t="s">
        <v>1570</v>
      </c>
      <c r="AB521" s="2" t="s">
        <v>1571</v>
      </c>
    </row>
    <row r="522">
      <c r="A522" s="2" t="s">
        <v>1780</v>
      </c>
      <c r="B522" s="2">
        <v>21.0</v>
      </c>
      <c r="C522" s="2" t="s">
        <v>7</v>
      </c>
      <c r="D522" s="2" t="s">
        <v>1781</v>
      </c>
      <c r="E522" s="2">
        <v>4.0</v>
      </c>
      <c r="F522" s="2" t="s">
        <v>4</v>
      </c>
      <c r="G522" s="5">
        <v>2731682.0</v>
      </c>
      <c r="H522" s="2" t="s">
        <v>1575</v>
      </c>
      <c r="I522" s="2" t="s">
        <v>1572</v>
      </c>
      <c r="J522" s="2">
        <v>10057.0</v>
      </c>
      <c r="K522" s="2" t="s">
        <v>1608</v>
      </c>
      <c r="L522" s="2"/>
      <c r="M522" s="2"/>
      <c r="N522" s="7">
        <v>2.0</v>
      </c>
      <c r="O522" s="12">
        <v>39048.0</v>
      </c>
      <c r="P522" s="11" t="s">
        <v>1649</v>
      </c>
      <c r="Q522" s="12">
        <v>39048.0</v>
      </c>
      <c r="R522" s="11" t="s">
        <v>1649</v>
      </c>
      <c r="S522" s="11" t="s">
        <v>1748</v>
      </c>
      <c r="T522" s="11" t="s">
        <v>1782</v>
      </c>
      <c r="U522" s="2" t="s">
        <v>1574</v>
      </c>
      <c r="V522" s="2" t="s">
        <v>1568</v>
      </c>
      <c r="W522" s="2" t="s">
        <v>1569</v>
      </c>
      <c r="X522" s="2" t="s">
        <v>1570</v>
      </c>
      <c r="AB522" s="2" t="s">
        <v>1571</v>
      </c>
    </row>
    <row r="523">
      <c r="A523" s="2" t="s">
        <v>1780</v>
      </c>
      <c r="B523" s="2">
        <v>21.0</v>
      </c>
      <c r="C523" s="2" t="s">
        <v>7</v>
      </c>
      <c r="D523" s="2" t="s">
        <v>1781</v>
      </c>
      <c r="E523" s="2">
        <v>4.0</v>
      </c>
      <c r="F523" s="2" t="s">
        <v>4</v>
      </c>
      <c r="G523" s="5">
        <v>2731682.0</v>
      </c>
      <c r="H523" s="2" t="s">
        <v>1575</v>
      </c>
      <c r="I523" s="2" t="s">
        <v>1572</v>
      </c>
      <c r="J523" s="2">
        <v>10056.0</v>
      </c>
      <c r="K523" s="2" t="s">
        <v>1585</v>
      </c>
      <c r="L523" s="2"/>
      <c r="M523" s="2"/>
      <c r="N523" s="7">
        <v>1.0</v>
      </c>
      <c r="O523" s="12">
        <v>19524.0</v>
      </c>
      <c r="P523" s="11" t="s">
        <v>1649</v>
      </c>
      <c r="Q523" s="12">
        <v>19524.0</v>
      </c>
      <c r="R523" s="11" t="s">
        <v>1649</v>
      </c>
      <c r="S523" s="11" t="s">
        <v>1676</v>
      </c>
      <c r="T523" s="11" t="s">
        <v>1677</v>
      </c>
      <c r="U523" s="2" t="s">
        <v>1574</v>
      </c>
      <c r="V523" s="2" t="s">
        <v>1568</v>
      </c>
      <c r="W523" s="2" t="s">
        <v>1569</v>
      </c>
      <c r="X523" s="2" t="s">
        <v>1570</v>
      </c>
      <c r="AB523" s="2" t="s">
        <v>1571</v>
      </c>
    </row>
    <row r="524">
      <c r="A524" s="2" t="s">
        <v>1780</v>
      </c>
      <c r="B524" s="2">
        <v>21.0</v>
      </c>
      <c r="C524" s="2" t="s">
        <v>7</v>
      </c>
      <c r="D524" s="2" t="s">
        <v>1781</v>
      </c>
      <c r="E524" s="2">
        <v>4.0</v>
      </c>
      <c r="F524" s="2" t="s">
        <v>4</v>
      </c>
      <c r="G524" s="5">
        <v>2731682.0</v>
      </c>
      <c r="H524" s="2" t="s">
        <v>1575</v>
      </c>
      <c r="I524" s="2" t="s">
        <v>1565</v>
      </c>
      <c r="J524" s="2">
        <v>10002.0</v>
      </c>
      <c r="K524" s="2" t="s">
        <v>1576</v>
      </c>
      <c r="L524" s="2"/>
      <c r="M524" s="2"/>
      <c r="N524" s="7">
        <v>1.0</v>
      </c>
      <c r="O524" s="12">
        <v>18571.0</v>
      </c>
      <c r="P524" s="11" t="s">
        <v>1649</v>
      </c>
      <c r="Q524" s="12">
        <v>18571.0</v>
      </c>
      <c r="R524" s="11" t="s">
        <v>1649</v>
      </c>
      <c r="S524" s="11" t="s">
        <v>1656</v>
      </c>
      <c r="T524" s="11" t="s">
        <v>1688</v>
      </c>
      <c r="U524" s="2" t="s">
        <v>1574</v>
      </c>
      <c r="V524" s="2" t="s">
        <v>1568</v>
      </c>
      <c r="W524" s="2" t="s">
        <v>1569</v>
      </c>
      <c r="X524" s="2" t="s">
        <v>1570</v>
      </c>
      <c r="AB524" s="2" t="s">
        <v>1571</v>
      </c>
    </row>
    <row r="525">
      <c r="A525" s="2" t="s">
        <v>1780</v>
      </c>
      <c r="B525" s="2">
        <v>21.0</v>
      </c>
      <c r="C525" s="2" t="s">
        <v>7</v>
      </c>
      <c r="D525" s="2" t="s">
        <v>1781</v>
      </c>
      <c r="E525" s="2">
        <v>4.0</v>
      </c>
      <c r="F525" s="2" t="s">
        <v>4</v>
      </c>
      <c r="G525" s="5">
        <v>2731682.0</v>
      </c>
      <c r="H525" s="2" t="s">
        <v>1575</v>
      </c>
      <c r="I525" s="2" t="s">
        <v>1565</v>
      </c>
      <c r="J525" s="2">
        <v>10055.0</v>
      </c>
      <c r="K525" s="2" t="s">
        <v>1595</v>
      </c>
      <c r="L525" s="2"/>
      <c r="M525" s="2"/>
      <c r="N525" s="7">
        <v>2.0</v>
      </c>
      <c r="O525" s="12">
        <v>34762.0</v>
      </c>
      <c r="P525" s="11" t="s">
        <v>1649</v>
      </c>
      <c r="Q525" s="12">
        <v>34762.0</v>
      </c>
      <c r="R525" s="11" t="s">
        <v>1649</v>
      </c>
      <c r="S525" s="11" t="s">
        <v>1670</v>
      </c>
      <c r="T525" s="11" t="s">
        <v>1775</v>
      </c>
      <c r="U525" s="2" t="s">
        <v>1574</v>
      </c>
      <c r="V525" s="2" t="s">
        <v>1568</v>
      </c>
      <c r="W525" s="2" t="s">
        <v>1569</v>
      </c>
      <c r="X525" s="2" t="s">
        <v>1570</v>
      </c>
      <c r="AB525" s="2" t="s">
        <v>1571</v>
      </c>
    </row>
    <row r="526">
      <c r="A526" s="2" t="s">
        <v>1780</v>
      </c>
      <c r="B526" s="2">
        <v>20.0</v>
      </c>
      <c r="C526" s="2" t="s">
        <v>7</v>
      </c>
      <c r="D526" s="2" t="s">
        <v>1781</v>
      </c>
      <c r="E526" s="2">
        <v>4.0</v>
      </c>
      <c r="F526" s="2" t="s">
        <v>4</v>
      </c>
      <c r="G526" s="5">
        <v>2731317.0</v>
      </c>
      <c r="H526" s="2" t="s">
        <v>1575</v>
      </c>
      <c r="I526" s="2" t="s">
        <v>1565</v>
      </c>
      <c r="J526" s="2">
        <v>10007.0</v>
      </c>
      <c r="K526" s="2" t="s">
        <v>1576</v>
      </c>
      <c r="L526" s="2"/>
      <c r="M526" s="2"/>
      <c r="N526" s="7">
        <v>2.0</v>
      </c>
      <c r="O526" s="12">
        <v>33810.0</v>
      </c>
      <c r="P526" s="11" t="s">
        <v>1649</v>
      </c>
      <c r="Q526" s="12">
        <v>33810.0</v>
      </c>
      <c r="R526" s="11" t="s">
        <v>1649</v>
      </c>
      <c r="S526" s="11" t="s">
        <v>1701</v>
      </c>
      <c r="T526" s="11" t="s">
        <v>1703</v>
      </c>
      <c r="U526" s="2" t="s">
        <v>1574</v>
      </c>
      <c r="V526" s="2" t="s">
        <v>1568</v>
      </c>
      <c r="W526" s="2" t="s">
        <v>1569</v>
      </c>
      <c r="X526" s="2" t="s">
        <v>1570</v>
      </c>
      <c r="AB526" s="2" t="s">
        <v>1571</v>
      </c>
    </row>
    <row r="527">
      <c r="A527" s="2" t="s">
        <v>1780</v>
      </c>
      <c r="B527" s="2">
        <v>20.0</v>
      </c>
      <c r="C527" s="2" t="s">
        <v>7</v>
      </c>
      <c r="D527" s="2" t="s">
        <v>1781</v>
      </c>
      <c r="E527" s="2">
        <v>4.0</v>
      </c>
      <c r="F527" s="2" t="s">
        <v>4</v>
      </c>
      <c r="G527" s="5">
        <v>2731317.0</v>
      </c>
      <c r="H527" s="2" t="s">
        <v>1575</v>
      </c>
      <c r="I527" s="2" t="s">
        <v>1565</v>
      </c>
      <c r="J527" s="2">
        <v>10005.0</v>
      </c>
      <c r="K527" s="2" t="s">
        <v>1595</v>
      </c>
      <c r="L527" s="2"/>
      <c r="M527" s="2"/>
      <c r="N527" s="7">
        <v>1.0</v>
      </c>
      <c r="O527" s="12">
        <v>19524.0</v>
      </c>
      <c r="P527" s="11" t="s">
        <v>1649</v>
      </c>
      <c r="Q527" s="12">
        <v>19524.0</v>
      </c>
      <c r="R527" s="11" t="s">
        <v>1649</v>
      </c>
      <c r="S527" s="11" t="s">
        <v>1676</v>
      </c>
      <c r="T527" s="11" t="s">
        <v>1677</v>
      </c>
      <c r="U527" s="2" t="s">
        <v>1574</v>
      </c>
      <c r="V527" s="2" t="s">
        <v>1568</v>
      </c>
      <c r="W527" s="2" t="s">
        <v>1569</v>
      </c>
      <c r="X527" s="2" t="s">
        <v>1570</v>
      </c>
      <c r="AB527" s="2" t="s">
        <v>1571</v>
      </c>
    </row>
    <row r="528">
      <c r="A528" s="2" t="s">
        <v>1780</v>
      </c>
      <c r="B528" s="2">
        <v>20.0</v>
      </c>
      <c r="C528" s="2" t="s">
        <v>7</v>
      </c>
      <c r="D528" s="2" t="s">
        <v>1781</v>
      </c>
      <c r="E528" s="2">
        <v>4.0</v>
      </c>
      <c r="F528" s="2" t="s">
        <v>4</v>
      </c>
      <c r="G528" s="5">
        <v>2731317.0</v>
      </c>
      <c r="H528" s="2" t="s">
        <v>1575</v>
      </c>
      <c r="I528" s="2" t="s">
        <v>1565</v>
      </c>
      <c r="J528" s="2">
        <v>10000.0</v>
      </c>
      <c r="K528" s="2" t="s">
        <v>1566</v>
      </c>
      <c r="L528" s="2"/>
      <c r="M528" s="2"/>
      <c r="N528" s="7">
        <v>1.0</v>
      </c>
      <c r="O528" s="12">
        <v>29524.0</v>
      </c>
      <c r="P528" s="11" t="s">
        <v>1649</v>
      </c>
      <c r="Q528" s="12">
        <v>29524.0</v>
      </c>
      <c r="R528" s="11" t="s">
        <v>1649</v>
      </c>
      <c r="S528" s="11" t="s">
        <v>1683</v>
      </c>
      <c r="T528" s="11" t="s">
        <v>1684</v>
      </c>
      <c r="U528" s="2" t="s">
        <v>1574</v>
      </c>
      <c r="V528" s="2" t="s">
        <v>1568</v>
      </c>
      <c r="W528" s="2" t="s">
        <v>1569</v>
      </c>
      <c r="X528" s="2" t="s">
        <v>1570</v>
      </c>
      <c r="AB528" s="2" t="s">
        <v>1571</v>
      </c>
    </row>
    <row r="529">
      <c r="A529" s="2" t="s">
        <v>1780</v>
      </c>
      <c r="B529" s="2">
        <v>20.0</v>
      </c>
      <c r="C529" s="2" t="s">
        <v>7</v>
      </c>
      <c r="D529" s="2" t="s">
        <v>1781</v>
      </c>
      <c r="E529" s="2">
        <v>4.0</v>
      </c>
      <c r="F529" s="2" t="s">
        <v>4</v>
      </c>
      <c r="G529" s="5">
        <v>2730952.0</v>
      </c>
      <c r="H529" s="2" t="s">
        <v>1575</v>
      </c>
      <c r="I529" s="2" t="s">
        <v>1580</v>
      </c>
      <c r="J529" s="2">
        <v>10012.0</v>
      </c>
      <c r="K529" s="2" t="s">
        <v>1602</v>
      </c>
      <c r="L529" s="2"/>
      <c r="M529" s="2"/>
      <c r="N529" s="7">
        <v>1.0</v>
      </c>
      <c r="O529" s="12">
        <v>29524.0</v>
      </c>
      <c r="P529" s="11" t="s">
        <v>1649</v>
      </c>
      <c r="Q529" s="12">
        <v>29524.0</v>
      </c>
      <c r="R529" s="11" t="s">
        <v>1649</v>
      </c>
      <c r="S529" s="11" t="s">
        <v>1683</v>
      </c>
      <c r="T529" s="11" t="s">
        <v>1684</v>
      </c>
      <c r="U529" s="2" t="s">
        <v>1574</v>
      </c>
      <c r="V529" s="2" t="s">
        <v>1568</v>
      </c>
      <c r="W529" s="2" t="s">
        <v>1569</v>
      </c>
      <c r="X529" s="2" t="s">
        <v>1570</v>
      </c>
      <c r="AB529" s="2" t="s">
        <v>1571</v>
      </c>
    </row>
    <row r="530">
      <c r="A530" s="2" t="s">
        <v>1780</v>
      </c>
      <c r="B530" s="2">
        <v>18.0</v>
      </c>
      <c r="C530" s="2" t="s">
        <v>7</v>
      </c>
      <c r="D530" s="2" t="s">
        <v>1781</v>
      </c>
      <c r="E530" s="2">
        <v>4.0</v>
      </c>
      <c r="F530" s="2" t="s">
        <v>4</v>
      </c>
      <c r="G530" s="5">
        <v>2730586.0</v>
      </c>
      <c r="H530" s="2" t="s">
        <v>1575</v>
      </c>
      <c r="I530" s="2" t="s">
        <v>1565</v>
      </c>
      <c r="J530" s="2">
        <v>10005.0</v>
      </c>
      <c r="K530" s="2" t="s">
        <v>1595</v>
      </c>
      <c r="L530" s="2"/>
      <c r="M530" s="2"/>
      <c r="N530" s="7">
        <v>1.0</v>
      </c>
      <c r="O530" s="12">
        <v>19524.0</v>
      </c>
      <c r="P530" s="11" t="s">
        <v>1649</v>
      </c>
      <c r="Q530" s="12">
        <v>19524.0</v>
      </c>
      <c r="R530" s="11" t="s">
        <v>1649</v>
      </c>
      <c r="S530" s="11" t="s">
        <v>1676</v>
      </c>
      <c r="T530" s="11" t="s">
        <v>1677</v>
      </c>
      <c r="U530" s="2" t="s">
        <v>1574</v>
      </c>
      <c r="V530" s="2" t="s">
        <v>1568</v>
      </c>
      <c r="W530" s="2" t="s">
        <v>1569</v>
      </c>
      <c r="X530" s="2" t="s">
        <v>1570</v>
      </c>
      <c r="AB530" s="2" t="s">
        <v>1571</v>
      </c>
    </row>
    <row r="531">
      <c r="A531" s="2" t="s">
        <v>1780</v>
      </c>
      <c r="B531" s="2">
        <v>18.0</v>
      </c>
      <c r="C531" s="2" t="s">
        <v>7</v>
      </c>
      <c r="D531" s="2" t="s">
        <v>1781</v>
      </c>
      <c r="E531" s="2">
        <v>4.0</v>
      </c>
      <c r="F531" s="2" t="s">
        <v>4</v>
      </c>
      <c r="G531" s="5">
        <v>2730586.0</v>
      </c>
      <c r="H531" s="2" t="s">
        <v>1575</v>
      </c>
      <c r="I531" s="2" t="s">
        <v>1565</v>
      </c>
      <c r="J531" s="2">
        <v>10000.0</v>
      </c>
      <c r="K531" s="2" t="s">
        <v>1566</v>
      </c>
      <c r="L531" s="2"/>
      <c r="M531" s="2"/>
      <c r="N531" s="7">
        <v>1.0</v>
      </c>
      <c r="O531" s="12">
        <v>29524.0</v>
      </c>
      <c r="P531" s="11" t="s">
        <v>1649</v>
      </c>
      <c r="Q531" s="12">
        <v>29524.0</v>
      </c>
      <c r="R531" s="11" t="s">
        <v>1649</v>
      </c>
      <c r="S531" s="11" t="s">
        <v>1683</v>
      </c>
      <c r="T531" s="11" t="s">
        <v>1684</v>
      </c>
      <c r="U531" s="2" t="s">
        <v>1574</v>
      </c>
      <c r="V531" s="2" t="s">
        <v>1568</v>
      </c>
      <c r="W531" s="2" t="s">
        <v>1569</v>
      </c>
      <c r="X531" s="2" t="s">
        <v>1570</v>
      </c>
      <c r="AB531" s="2" t="s">
        <v>1571</v>
      </c>
    </row>
    <row r="532">
      <c r="A532" s="2" t="s">
        <v>1780</v>
      </c>
      <c r="B532" s="2">
        <v>15.0</v>
      </c>
      <c r="C532" s="2" t="s">
        <v>7</v>
      </c>
      <c r="D532" s="2" t="s">
        <v>1781</v>
      </c>
      <c r="E532" s="2">
        <v>4.0</v>
      </c>
      <c r="F532" s="2" t="s">
        <v>4</v>
      </c>
      <c r="G532" s="5">
        <v>2730221.0</v>
      </c>
      <c r="H532" s="2" t="s">
        <v>1575</v>
      </c>
      <c r="I532" s="2" t="s">
        <v>1565</v>
      </c>
      <c r="J532" s="2">
        <v>10000.0</v>
      </c>
      <c r="K532" s="2" t="s">
        <v>1566</v>
      </c>
      <c r="L532" s="2"/>
      <c r="M532" s="2"/>
      <c r="N532" s="7">
        <v>1.0</v>
      </c>
      <c r="O532" s="12">
        <v>29524.0</v>
      </c>
      <c r="P532" s="11" t="s">
        <v>1649</v>
      </c>
      <c r="Q532" s="12">
        <v>29524.0</v>
      </c>
      <c r="R532" s="11" t="s">
        <v>1649</v>
      </c>
      <c r="S532" s="11" t="s">
        <v>1683</v>
      </c>
      <c r="T532" s="11" t="s">
        <v>1684</v>
      </c>
      <c r="U532" s="2" t="s">
        <v>1574</v>
      </c>
      <c r="V532" s="2" t="s">
        <v>1568</v>
      </c>
      <c r="W532" s="2" t="s">
        <v>1569</v>
      </c>
      <c r="X532" s="2" t="s">
        <v>1570</v>
      </c>
      <c r="AB532" s="2" t="s">
        <v>1571</v>
      </c>
    </row>
    <row r="533">
      <c r="A533" s="2" t="s">
        <v>1780</v>
      </c>
      <c r="B533" s="2">
        <v>14.0</v>
      </c>
      <c r="C533" s="2" t="s">
        <v>7</v>
      </c>
      <c r="D533" s="2" t="s">
        <v>1781</v>
      </c>
      <c r="E533" s="2">
        <v>4.0</v>
      </c>
      <c r="F533" s="2" t="s">
        <v>4</v>
      </c>
      <c r="G533" s="5">
        <v>2729856.0</v>
      </c>
      <c r="H533" s="2" t="s">
        <v>1575</v>
      </c>
      <c r="I533" s="2" t="s">
        <v>1565</v>
      </c>
      <c r="J533" s="2">
        <v>10002.0</v>
      </c>
      <c r="K533" s="2" t="s">
        <v>1576</v>
      </c>
      <c r="L533" s="2"/>
      <c r="M533" s="2"/>
      <c r="N533" s="7">
        <v>1.0</v>
      </c>
      <c r="O533" s="12">
        <v>18571.0</v>
      </c>
      <c r="P533" s="11" t="s">
        <v>1649</v>
      </c>
      <c r="Q533" s="12">
        <v>18571.0</v>
      </c>
      <c r="R533" s="11" t="s">
        <v>1649</v>
      </c>
      <c r="S533" s="11" t="s">
        <v>1656</v>
      </c>
      <c r="T533" s="11" t="s">
        <v>1657</v>
      </c>
      <c r="U533" s="2" t="s">
        <v>1574</v>
      </c>
      <c r="V533" s="2" t="s">
        <v>1568</v>
      </c>
      <c r="W533" s="2" t="s">
        <v>1569</v>
      </c>
      <c r="X533" s="2" t="s">
        <v>1570</v>
      </c>
      <c r="AB533" s="2" t="s">
        <v>1571</v>
      </c>
    </row>
    <row r="534">
      <c r="A534" s="2" t="s">
        <v>1780</v>
      </c>
      <c r="B534" s="2">
        <v>14.0</v>
      </c>
      <c r="C534" s="2" t="s">
        <v>7</v>
      </c>
      <c r="D534" s="2" t="s">
        <v>1781</v>
      </c>
      <c r="E534" s="2">
        <v>4.0</v>
      </c>
      <c r="F534" s="2" t="s">
        <v>4</v>
      </c>
      <c r="G534" s="5">
        <v>2729856.0</v>
      </c>
      <c r="H534" s="2" t="s">
        <v>1575</v>
      </c>
      <c r="I534" s="2" t="s">
        <v>1565</v>
      </c>
      <c r="J534" s="2">
        <v>10005.0</v>
      </c>
      <c r="K534" s="2" t="s">
        <v>1595</v>
      </c>
      <c r="L534" s="2"/>
      <c r="M534" s="2"/>
      <c r="N534" s="7">
        <v>1.0</v>
      </c>
      <c r="O534" s="12">
        <v>19524.0</v>
      </c>
      <c r="P534" s="11" t="s">
        <v>1649</v>
      </c>
      <c r="Q534" s="12">
        <v>19524.0</v>
      </c>
      <c r="R534" s="11" t="s">
        <v>1649</v>
      </c>
      <c r="S534" s="11" t="s">
        <v>1676</v>
      </c>
      <c r="T534" s="11" t="s">
        <v>1677</v>
      </c>
      <c r="U534" s="2" t="s">
        <v>1574</v>
      </c>
      <c r="V534" s="2" t="s">
        <v>1568</v>
      </c>
      <c r="W534" s="2" t="s">
        <v>1569</v>
      </c>
      <c r="X534" s="2" t="s">
        <v>1570</v>
      </c>
      <c r="AB534" s="2" t="s">
        <v>1571</v>
      </c>
    </row>
    <row r="535">
      <c r="A535" s="2" t="s">
        <v>1780</v>
      </c>
      <c r="B535" s="2">
        <v>13.0</v>
      </c>
      <c r="C535" s="2" t="s">
        <v>7</v>
      </c>
      <c r="D535" s="2" t="s">
        <v>1781</v>
      </c>
      <c r="E535" s="2">
        <v>4.0</v>
      </c>
      <c r="F535" s="2" t="s">
        <v>4</v>
      </c>
      <c r="G535" s="5">
        <v>2729491.0</v>
      </c>
      <c r="H535" s="2" t="s">
        <v>1575</v>
      </c>
      <c r="I535" s="2" t="s">
        <v>1565</v>
      </c>
      <c r="J535" s="2">
        <v>10000.0</v>
      </c>
      <c r="K535" s="2" t="s">
        <v>1566</v>
      </c>
      <c r="L535" s="2"/>
      <c r="M535" s="2"/>
      <c r="N535" s="7">
        <v>1.0</v>
      </c>
      <c r="O535" s="12">
        <v>29524.0</v>
      </c>
      <c r="P535" s="11" t="s">
        <v>1649</v>
      </c>
      <c r="Q535" s="12">
        <v>29524.0</v>
      </c>
      <c r="R535" s="11" t="s">
        <v>1649</v>
      </c>
      <c r="S535" s="11" t="s">
        <v>1683</v>
      </c>
      <c r="T535" s="11" t="s">
        <v>1684</v>
      </c>
      <c r="U535" s="2" t="s">
        <v>1574</v>
      </c>
      <c r="V535" s="2" t="s">
        <v>1568</v>
      </c>
      <c r="W535" s="2" t="s">
        <v>1569</v>
      </c>
      <c r="X535" s="2" t="s">
        <v>1570</v>
      </c>
      <c r="AB535" s="2" t="s">
        <v>1571</v>
      </c>
    </row>
    <row r="536">
      <c r="A536" s="2" t="s">
        <v>1780</v>
      </c>
      <c r="B536" s="2">
        <v>13.0</v>
      </c>
      <c r="C536" s="2" t="s">
        <v>7</v>
      </c>
      <c r="D536" s="2" t="s">
        <v>1781</v>
      </c>
      <c r="E536" s="2">
        <v>4.0</v>
      </c>
      <c r="F536" s="2" t="s">
        <v>4</v>
      </c>
      <c r="G536" s="5">
        <v>2729491.0</v>
      </c>
      <c r="H536" s="2" t="s">
        <v>1575</v>
      </c>
      <c r="I536" s="2" t="s">
        <v>1565</v>
      </c>
      <c r="J536" s="2">
        <v>10002.0</v>
      </c>
      <c r="K536" s="2" t="s">
        <v>1576</v>
      </c>
      <c r="L536" s="2"/>
      <c r="M536" s="2"/>
      <c r="N536" s="7">
        <v>1.0</v>
      </c>
      <c r="O536" s="12">
        <v>18571.0</v>
      </c>
      <c r="P536" s="11" t="s">
        <v>1649</v>
      </c>
      <c r="Q536" s="12">
        <v>18571.0</v>
      </c>
      <c r="R536" s="11" t="s">
        <v>1649</v>
      </c>
      <c r="S536" s="11" t="s">
        <v>1656</v>
      </c>
      <c r="T536" s="11" t="s">
        <v>1657</v>
      </c>
      <c r="U536" s="2" t="s">
        <v>1574</v>
      </c>
      <c r="V536" s="2" t="s">
        <v>1568</v>
      </c>
      <c r="W536" s="2" t="s">
        <v>1569</v>
      </c>
      <c r="X536" s="2" t="s">
        <v>1570</v>
      </c>
      <c r="AB536" s="2" t="s">
        <v>1571</v>
      </c>
    </row>
    <row r="537">
      <c r="A537" s="2" t="s">
        <v>1780</v>
      </c>
      <c r="B537" s="2">
        <v>13.0</v>
      </c>
      <c r="C537" s="2" t="s">
        <v>7</v>
      </c>
      <c r="D537" s="2" t="s">
        <v>1781</v>
      </c>
      <c r="E537" s="2">
        <v>4.0</v>
      </c>
      <c r="F537" s="2" t="s">
        <v>4</v>
      </c>
      <c r="G537" s="5">
        <v>2729491.0</v>
      </c>
      <c r="H537" s="2" t="s">
        <v>1575</v>
      </c>
      <c r="I537" s="2" t="s">
        <v>1565</v>
      </c>
      <c r="J537" s="2">
        <v>10005.0</v>
      </c>
      <c r="K537" s="2" t="s">
        <v>1595</v>
      </c>
      <c r="L537" s="2"/>
      <c r="M537" s="2"/>
      <c r="N537" s="7">
        <v>1.0</v>
      </c>
      <c r="O537" s="12">
        <v>19524.0</v>
      </c>
      <c r="P537" s="11" t="s">
        <v>1649</v>
      </c>
      <c r="Q537" s="12">
        <v>19524.0</v>
      </c>
      <c r="R537" s="11" t="s">
        <v>1649</v>
      </c>
      <c r="S537" s="11" t="s">
        <v>1676</v>
      </c>
      <c r="T537" s="11" t="s">
        <v>1677</v>
      </c>
      <c r="U537" s="2" t="s">
        <v>1574</v>
      </c>
      <c r="V537" s="2" t="s">
        <v>1568</v>
      </c>
      <c r="W537" s="2" t="s">
        <v>1569</v>
      </c>
      <c r="X537" s="2" t="s">
        <v>1570</v>
      </c>
      <c r="AB537" s="2" t="s">
        <v>1571</v>
      </c>
    </row>
    <row r="538">
      <c r="A538" s="2" t="s">
        <v>1780</v>
      </c>
      <c r="B538" s="2">
        <v>13.0</v>
      </c>
      <c r="C538" s="2" t="s">
        <v>7</v>
      </c>
      <c r="D538" s="2" t="s">
        <v>1781</v>
      </c>
      <c r="E538" s="2">
        <v>4.0</v>
      </c>
      <c r="F538" s="2" t="s">
        <v>4</v>
      </c>
      <c r="G538" s="5">
        <v>2729125.0</v>
      </c>
      <c r="H538" s="2" t="s">
        <v>1575</v>
      </c>
      <c r="I538" s="2" t="s">
        <v>1580</v>
      </c>
      <c r="J538" s="2">
        <v>10104.0</v>
      </c>
      <c r="K538" s="2" t="s">
        <v>1581</v>
      </c>
      <c r="L538" s="2"/>
      <c r="M538" s="2"/>
      <c r="N538" s="7">
        <v>1.0</v>
      </c>
      <c r="O538" s="12">
        <v>34762.0</v>
      </c>
      <c r="P538" s="11" t="s">
        <v>1649</v>
      </c>
      <c r="Q538" s="12">
        <v>34762.0</v>
      </c>
      <c r="R538" s="11" t="s">
        <v>1649</v>
      </c>
      <c r="S538" s="11" t="s">
        <v>1670</v>
      </c>
      <c r="T538" s="11" t="s">
        <v>1671</v>
      </c>
      <c r="U538" s="2" t="s">
        <v>1574</v>
      </c>
      <c r="V538" s="2" t="s">
        <v>1568</v>
      </c>
      <c r="W538" s="2" t="s">
        <v>1569</v>
      </c>
      <c r="X538" s="2" t="s">
        <v>1570</v>
      </c>
      <c r="AB538" s="2" t="s">
        <v>1571</v>
      </c>
    </row>
    <row r="539">
      <c r="A539" s="2" t="s">
        <v>1780</v>
      </c>
      <c r="B539" s="2">
        <v>13.0</v>
      </c>
      <c r="C539" s="2" t="s">
        <v>7</v>
      </c>
      <c r="D539" s="2" t="s">
        <v>1781</v>
      </c>
      <c r="E539" s="2">
        <v>4.0</v>
      </c>
      <c r="F539" s="2" t="s">
        <v>4</v>
      </c>
      <c r="G539" s="5">
        <v>2729125.0</v>
      </c>
      <c r="H539" s="2" t="s">
        <v>1575</v>
      </c>
      <c r="I539" s="2" t="s">
        <v>1572</v>
      </c>
      <c r="J539" s="2">
        <v>10106.0</v>
      </c>
      <c r="K539" s="2" t="s">
        <v>1598</v>
      </c>
      <c r="L539" s="2"/>
      <c r="M539" s="2"/>
      <c r="N539" s="7">
        <v>2.0</v>
      </c>
      <c r="O539" s="12">
        <v>53334.0</v>
      </c>
      <c r="P539" s="11" t="s">
        <v>1649</v>
      </c>
      <c r="Q539" s="12">
        <v>53334.0</v>
      </c>
      <c r="R539" s="11" t="s">
        <v>1649</v>
      </c>
      <c r="S539" s="11" t="s">
        <v>1783</v>
      </c>
      <c r="T539" s="11" t="s">
        <v>1784</v>
      </c>
      <c r="U539" s="2" t="s">
        <v>1574</v>
      </c>
      <c r="V539" s="2" t="s">
        <v>1568</v>
      </c>
      <c r="W539" s="2" t="s">
        <v>1569</v>
      </c>
      <c r="X539" s="2" t="s">
        <v>1570</v>
      </c>
      <c r="AB539" s="2" t="s">
        <v>1571</v>
      </c>
    </row>
    <row r="540">
      <c r="A540" s="2" t="s">
        <v>1780</v>
      </c>
      <c r="B540" s="2">
        <v>13.0</v>
      </c>
      <c r="C540" s="2" t="s">
        <v>7</v>
      </c>
      <c r="D540" s="2" t="s">
        <v>1781</v>
      </c>
      <c r="E540" s="2">
        <v>4.0</v>
      </c>
      <c r="F540" s="2" t="s">
        <v>4</v>
      </c>
      <c r="G540" s="5">
        <v>2729125.0</v>
      </c>
      <c r="H540" s="2" t="s">
        <v>1575</v>
      </c>
      <c r="I540" s="2" t="s">
        <v>1572</v>
      </c>
      <c r="J540" s="2">
        <v>10112.0</v>
      </c>
      <c r="K540" s="2" t="s">
        <v>1573</v>
      </c>
      <c r="L540" s="2"/>
      <c r="M540" s="2"/>
      <c r="N540" s="7">
        <v>2.0</v>
      </c>
      <c r="O540" s="12">
        <v>13334.0</v>
      </c>
      <c r="P540" s="11" t="s">
        <v>1649</v>
      </c>
      <c r="Q540" s="12">
        <v>13334.0</v>
      </c>
      <c r="R540" s="11" t="s">
        <v>1649</v>
      </c>
      <c r="S540" s="11" t="s">
        <v>1720</v>
      </c>
      <c r="T540" s="11" t="s">
        <v>1721</v>
      </c>
      <c r="U540" s="2" t="s">
        <v>1574</v>
      </c>
      <c r="V540" s="2" t="s">
        <v>1568</v>
      </c>
      <c r="W540" s="2" t="s">
        <v>1569</v>
      </c>
      <c r="X540" s="2" t="s">
        <v>1570</v>
      </c>
      <c r="AB540" s="2" t="s">
        <v>1571</v>
      </c>
    </row>
    <row r="541">
      <c r="A541" s="2" t="s">
        <v>1780</v>
      </c>
      <c r="B541" s="2">
        <v>13.0</v>
      </c>
      <c r="C541" s="2" t="s">
        <v>7</v>
      </c>
      <c r="D541" s="2" t="s">
        <v>1781</v>
      </c>
      <c r="E541" s="2">
        <v>4.0</v>
      </c>
      <c r="F541" s="2" t="s">
        <v>4</v>
      </c>
      <c r="G541" s="5">
        <v>2729125.0</v>
      </c>
      <c r="H541" s="2" t="s">
        <v>1575</v>
      </c>
      <c r="I541" s="2" t="s">
        <v>1580</v>
      </c>
      <c r="J541" s="2">
        <v>10105.0</v>
      </c>
      <c r="K541" s="2" t="s">
        <v>1611</v>
      </c>
      <c r="L541" s="2"/>
      <c r="M541" s="2"/>
      <c r="N541" s="7">
        <v>2.0</v>
      </c>
      <c r="O541" s="12">
        <v>76190.0</v>
      </c>
      <c r="P541" s="11" t="s">
        <v>1649</v>
      </c>
      <c r="Q541" s="12">
        <v>76190.0</v>
      </c>
      <c r="R541" s="11" t="s">
        <v>1649</v>
      </c>
      <c r="S541" s="11" t="s">
        <v>1778</v>
      </c>
      <c r="T541" s="11" t="s">
        <v>1785</v>
      </c>
      <c r="U541" s="2" t="s">
        <v>1574</v>
      </c>
      <c r="V541" s="2" t="s">
        <v>1568</v>
      </c>
      <c r="W541" s="2" t="s">
        <v>1569</v>
      </c>
      <c r="X541" s="2" t="s">
        <v>1570</v>
      </c>
      <c r="AB541" s="2" t="s">
        <v>1571</v>
      </c>
    </row>
    <row r="542">
      <c r="A542" s="2" t="s">
        <v>1780</v>
      </c>
      <c r="B542" s="2">
        <v>13.0</v>
      </c>
      <c r="C542" s="2" t="s">
        <v>7</v>
      </c>
      <c r="D542" s="2" t="s">
        <v>1781</v>
      </c>
      <c r="E542" s="2">
        <v>4.0</v>
      </c>
      <c r="F542" s="2" t="s">
        <v>4</v>
      </c>
      <c r="G542" s="5">
        <v>2729125.0</v>
      </c>
      <c r="H542" s="2" t="s">
        <v>1575</v>
      </c>
      <c r="I542" s="2" t="s">
        <v>1580</v>
      </c>
      <c r="J542" s="2">
        <v>10003.0</v>
      </c>
      <c r="K542" s="2" t="s">
        <v>1603</v>
      </c>
      <c r="L542" s="2"/>
      <c r="M542" s="2"/>
      <c r="N542" s="7">
        <v>3.0</v>
      </c>
      <c r="O542" s="12">
        <v>88572.0</v>
      </c>
      <c r="P542" s="11" t="s">
        <v>1649</v>
      </c>
      <c r="Q542" s="12">
        <v>88572.0</v>
      </c>
      <c r="R542" s="11" t="s">
        <v>1649</v>
      </c>
      <c r="S542" s="11" t="s">
        <v>1786</v>
      </c>
      <c r="T542" s="11" t="s">
        <v>1787</v>
      </c>
      <c r="U542" s="2" t="s">
        <v>1574</v>
      </c>
      <c r="V542" s="2" t="s">
        <v>1568</v>
      </c>
      <c r="W542" s="2" t="s">
        <v>1569</v>
      </c>
      <c r="X542" s="2" t="s">
        <v>1570</v>
      </c>
      <c r="AB542" s="2" t="s">
        <v>1571</v>
      </c>
    </row>
    <row r="543">
      <c r="A543" s="2" t="s">
        <v>1780</v>
      </c>
      <c r="B543" s="2">
        <v>13.0</v>
      </c>
      <c r="C543" s="2" t="s">
        <v>7</v>
      </c>
      <c r="D543" s="2" t="s">
        <v>1781</v>
      </c>
      <c r="E543" s="2">
        <v>4.0</v>
      </c>
      <c r="F543" s="2" t="s">
        <v>4</v>
      </c>
      <c r="G543" s="5">
        <v>2729125.0</v>
      </c>
      <c r="H543" s="2" t="s">
        <v>1575</v>
      </c>
      <c r="I543" s="2" t="s">
        <v>1572</v>
      </c>
      <c r="J543" s="2">
        <v>10128.0</v>
      </c>
      <c r="K543" s="2" t="s">
        <v>1588</v>
      </c>
      <c r="L543" s="2"/>
      <c r="M543" s="2"/>
      <c r="N543" s="7">
        <v>5.0</v>
      </c>
      <c r="O543" s="12">
        <v>116665.0</v>
      </c>
      <c r="P543" s="11" t="s">
        <v>1649</v>
      </c>
      <c r="Q543" s="12">
        <v>116665.0</v>
      </c>
      <c r="R543" s="11" t="s">
        <v>1649</v>
      </c>
      <c r="S543" s="11" t="s">
        <v>1788</v>
      </c>
      <c r="T543" s="11" t="s">
        <v>1789</v>
      </c>
      <c r="U543" s="2" t="s">
        <v>1574</v>
      </c>
      <c r="V543" s="2" t="s">
        <v>1568</v>
      </c>
      <c r="W543" s="2" t="s">
        <v>1569</v>
      </c>
      <c r="X543" s="2" t="s">
        <v>1570</v>
      </c>
      <c r="AB543" s="2" t="s">
        <v>1571</v>
      </c>
    </row>
    <row r="544">
      <c r="A544" s="2" t="s">
        <v>1780</v>
      </c>
      <c r="B544" s="2">
        <v>11.0</v>
      </c>
      <c r="C544" s="2" t="s">
        <v>7</v>
      </c>
      <c r="D544" s="2" t="s">
        <v>1781</v>
      </c>
      <c r="E544" s="2">
        <v>4.0</v>
      </c>
      <c r="F544" s="2" t="s">
        <v>4</v>
      </c>
      <c r="G544" s="5">
        <v>2728760.0</v>
      </c>
      <c r="H544" s="2" t="s">
        <v>1575</v>
      </c>
      <c r="I544" s="2" t="s">
        <v>1580</v>
      </c>
      <c r="J544" s="2">
        <v>10003.0</v>
      </c>
      <c r="K544" s="2" t="s">
        <v>1603</v>
      </c>
      <c r="L544" s="2"/>
      <c r="M544" s="2"/>
      <c r="N544" s="7">
        <v>1.0</v>
      </c>
      <c r="O544" s="12">
        <v>29524.0</v>
      </c>
      <c r="P544" s="11" t="s">
        <v>1649</v>
      </c>
      <c r="Q544" s="12">
        <v>29524.0</v>
      </c>
      <c r="R544" s="11" t="s">
        <v>1649</v>
      </c>
      <c r="S544" s="11" t="s">
        <v>1683</v>
      </c>
      <c r="T544" s="11" t="s">
        <v>1684</v>
      </c>
      <c r="U544" s="2" t="s">
        <v>1574</v>
      </c>
      <c r="V544" s="2" t="s">
        <v>1568</v>
      </c>
      <c r="W544" s="2" t="s">
        <v>1569</v>
      </c>
      <c r="X544" s="2" t="s">
        <v>1570</v>
      </c>
      <c r="AB544" s="2" t="s">
        <v>1571</v>
      </c>
    </row>
    <row r="545">
      <c r="A545" s="2" t="s">
        <v>1780</v>
      </c>
      <c r="B545" s="2">
        <v>11.0</v>
      </c>
      <c r="C545" s="2" t="s">
        <v>7</v>
      </c>
      <c r="D545" s="2" t="s">
        <v>1781</v>
      </c>
      <c r="E545" s="2">
        <v>4.0</v>
      </c>
      <c r="F545" s="2" t="s">
        <v>4</v>
      </c>
      <c r="G545" s="5">
        <v>2728760.0</v>
      </c>
      <c r="H545" s="2" t="s">
        <v>1575</v>
      </c>
      <c r="I545" s="2" t="s">
        <v>1572</v>
      </c>
      <c r="J545" s="2">
        <v>10128.0</v>
      </c>
      <c r="K545" s="2" t="s">
        <v>1588</v>
      </c>
      <c r="L545" s="2"/>
      <c r="M545" s="2"/>
      <c r="N545" s="7">
        <v>1.0</v>
      </c>
      <c r="O545" s="12">
        <v>23333.0</v>
      </c>
      <c r="P545" s="11" t="s">
        <v>1649</v>
      </c>
      <c r="Q545" s="12">
        <v>23333.0</v>
      </c>
      <c r="R545" s="11" t="s">
        <v>1649</v>
      </c>
      <c r="S545" s="11" t="s">
        <v>1681</v>
      </c>
      <c r="T545" s="11" t="s">
        <v>1682</v>
      </c>
      <c r="U545" s="2" t="s">
        <v>1574</v>
      </c>
      <c r="V545" s="2" t="s">
        <v>1568</v>
      </c>
      <c r="W545" s="2" t="s">
        <v>1569</v>
      </c>
      <c r="X545" s="2" t="s">
        <v>1570</v>
      </c>
      <c r="AB545" s="2" t="s">
        <v>1571</v>
      </c>
    </row>
    <row r="546">
      <c r="A546" s="2" t="s">
        <v>1790</v>
      </c>
      <c r="B546" s="2">
        <v>19.0</v>
      </c>
      <c r="C546" s="2" t="s">
        <v>6</v>
      </c>
      <c r="D546" s="2" t="s">
        <v>1791</v>
      </c>
      <c r="E546" s="2">
        <v>3.0</v>
      </c>
      <c r="F546" s="2" t="s">
        <v>4</v>
      </c>
      <c r="G546" s="5">
        <v>2728395.0</v>
      </c>
      <c r="H546" s="2" t="s">
        <v>1575</v>
      </c>
      <c r="I546" s="2" t="s">
        <v>1572</v>
      </c>
      <c r="J546" s="2">
        <v>10119.0</v>
      </c>
      <c r="K546" s="2" t="s">
        <v>1582</v>
      </c>
      <c r="L546" s="2"/>
      <c r="M546" s="2"/>
      <c r="N546" s="7">
        <v>1.0</v>
      </c>
      <c r="O546" s="12">
        <v>7143.0</v>
      </c>
      <c r="P546" s="11" t="s">
        <v>1649</v>
      </c>
      <c r="Q546" s="12">
        <v>7143.0</v>
      </c>
      <c r="R546" s="11" t="s">
        <v>1649</v>
      </c>
      <c r="S546" s="11" t="s">
        <v>1672</v>
      </c>
      <c r="T546" s="11" t="s">
        <v>1673</v>
      </c>
      <c r="U546" s="2" t="s">
        <v>1574</v>
      </c>
      <c r="V546" s="2" t="s">
        <v>1568</v>
      </c>
      <c r="W546" s="2" t="s">
        <v>1569</v>
      </c>
      <c r="X546" s="2" t="s">
        <v>1570</v>
      </c>
      <c r="AB546" s="2" t="s">
        <v>1571</v>
      </c>
    </row>
    <row r="547">
      <c r="A547" s="2" t="s">
        <v>1790</v>
      </c>
      <c r="B547" s="2">
        <v>19.0</v>
      </c>
      <c r="C547" s="2" t="s">
        <v>6</v>
      </c>
      <c r="D547" s="2" t="s">
        <v>1791</v>
      </c>
      <c r="E547" s="2">
        <v>3.0</v>
      </c>
      <c r="F547" s="2" t="s">
        <v>4</v>
      </c>
      <c r="G547" s="5">
        <v>2728395.0</v>
      </c>
      <c r="H547" s="2" t="s">
        <v>1575</v>
      </c>
      <c r="I547" s="2" t="s">
        <v>1572</v>
      </c>
      <c r="J547" s="2">
        <v>10058.0</v>
      </c>
      <c r="K547" s="2" t="s">
        <v>1618</v>
      </c>
      <c r="L547" s="2"/>
      <c r="M547" s="2"/>
      <c r="N547" s="7">
        <v>1.0</v>
      </c>
      <c r="O547" s="12">
        <v>19524.0</v>
      </c>
      <c r="P547" s="11" t="s">
        <v>1649</v>
      </c>
      <c r="Q547" s="12">
        <v>19524.0</v>
      </c>
      <c r="R547" s="11" t="s">
        <v>1649</v>
      </c>
      <c r="S547" s="11" t="s">
        <v>1676</v>
      </c>
      <c r="T547" s="11" t="s">
        <v>1677</v>
      </c>
      <c r="U547" s="2" t="s">
        <v>1574</v>
      </c>
      <c r="V547" s="2" t="s">
        <v>1568</v>
      </c>
      <c r="W547" s="2" t="s">
        <v>1569</v>
      </c>
      <c r="X547" s="2" t="s">
        <v>1570</v>
      </c>
      <c r="AB547" s="2" t="s">
        <v>1571</v>
      </c>
    </row>
    <row r="548">
      <c r="A548" s="2" t="s">
        <v>1790</v>
      </c>
      <c r="B548" s="2">
        <v>19.0</v>
      </c>
      <c r="C548" s="2" t="s">
        <v>6</v>
      </c>
      <c r="D548" s="2" t="s">
        <v>1791</v>
      </c>
      <c r="E548" s="2">
        <v>3.0</v>
      </c>
      <c r="F548" s="2" t="s">
        <v>4</v>
      </c>
      <c r="G548" s="5">
        <v>2728395.0</v>
      </c>
      <c r="H548" s="2" t="s">
        <v>1575</v>
      </c>
      <c r="I548" s="2" t="s">
        <v>1578</v>
      </c>
      <c r="J548" s="2">
        <v>10015.0</v>
      </c>
      <c r="K548" s="2" t="s">
        <v>1587</v>
      </c>
      <c r="L548" s="2"/>
      <c r="M548" s="2"/>
      <c r="N548" s="7">
        <v>1.0</v>
      </c>
      <c r="O548" s="12">
        <v>25238.0</v>
      </c>
      <c r="P548" s="11" t="s">
        <v>1649</v>
      </c>
      <c r="Q548" s="12">
        <v>25238.0</v>
      </c>
      <c r="R548" s="11" t="s">
        <v>1649</v>
      </c>
      <c r="S548" s="11" t="s">
        <v>1660</v>
      </c>
      <c r="T548" s="11" t="s">
        <v>1680</v>
      </c>
      <c r="U548" s="2" t="s">
        <v>1574</v>
      </c>
      <c r="V548" s="2" t="s">
        <v>1568</v>
      </c>
      <c r="W548" s="2" t="s">
        <v>1569</v>
      </c>
      <c r="X548" s="2" t="s">
        <v>1570</v>
      </c>
      <c r="AB548" s="2" t="s">
        <v>1571</v>
      </c>
    </row>
    <row r="549">
      <c r="A549" s="2" t="s">
        <v>1790</v>
      </c>
      <c r="B549" s="2">
        <v>17.0</v>
      </c>
      <c r="C549" s="2" t="s">
        <v>6</v>
      </c>
      <c r="D549" s="2" t="s">
        <v>1791</v>
      </c>
      <c r="E549" s="2">
        <v>3.0</v>
      </c>
      <c r="F549" s="2" t="s">
        <v>4</v>
      </c>
      <c r="G549" s="5">
        <v>2728030.0</v>
      </c>
      <c r="H549" s="2" t="s">
        <v>1575</v>
      </c>
      <c r="I549" s="2" t="s">
        <v>1565</v>
      </c>
      <c r="J549" s="2">
        <v>10055.0</v>
      </c>
      <c r="K549" s="2" t="s">
        <v>1595</v>
      </c>
      <c r="L549" s="2"/>
      <c r="M549" s="2"/>
      <c r="N549" s="7">
        <v>2.0</v>
      </c>
      <c r="O549" s="12">
        <v>34762.0</v>
      </c>
      <c r="P549" s="11" t="s">
        <v>1649</v>
      </c>
      <c r="Q549" s="12">
        <v>34762.0</v>
      </c>
      <c r="R549" s="11" t="s">
        <v>1649</v>
      </c>
      <c r="S549" s="11" t="s">
        <v>1670</v>
      </c>
      <c r="T549" s="11" t="s">
        <v>1671</v>
      </c>
      <c r="U549" s="2" t="s">
        <v>1574</v>
      </c>
      <c r="V549" s="2" t="s">
        <v>1568</v>
      </c>
      <c r="W549" s="2" t="s">
        <v>1569</v>
      </c>
      <c r="X549" s="2" t="s">
        <v>1570</v>
      </c>
      <c r="AB549" s="2" t="s">
        <v>1571</v>
      </c>
    </row>
    <row r="550">
      <c r="A550" s="2" t="s">
        <v>1790</v>
      </c>
      <c r="B550" s="2">
        <v>16.0</v>
      </c>
      <c r="C550" s="2" t="s">
        <v>6</v>
      </c>
      <c r="D550" s="2" t="s">
        <v>1791</v>
      </c>
      <c r="E550" s="2">
        <v>3.0</v>
      </c>
      <c r="F550" s="2" t="s">
        <v>4</v>
      </c>
      <c r="G550" s="5">
        <v>2727664.0</v>
      </c>
      <c r="H550" s="2" t="s">
        <v>1575</v>
      </c>
      <c r="I550" s="2" t="s">
        <v>1565</v>
      </c>
      <c r="J550" s="2">
        <v>10002.0</v>
      </c>
      <c r="K550" s="2" t="s">
        <v>1576</v>
      </c>
      <c r="L550" s="2"/>
      <c r="M550" s="2"/>
      <c r="N550" s="7">
        <v>1.0</v>
      </c>
      <c r="O550" s="12">
        <v>18571.0</v>
      </c>
      <c r="P550" s="11" t="s">
        <v>1649</v>
      </c>
      <c r="Q550" s="12">
        <v>18571.0</v>
      </c>
      <c r="R550" s="11" t="s">
        <v>1649</v>
      </c>
      <c r="S550" s="11" t="s">
        <v>1656</v>
      </c>
      <c r="T550" s="11" t="s">
        <v>1657</v>
      </c>
      <c r="U550" s="2" t="s">
        <v>1574</v>
      </c>
      <c r="V550" s="2" t="s">
        <v>1568</v>
      </c>
      <c r="W550" s="2" t="s">
        <v>1569</v>
      </c>
      <c r="X550" s="2" t="s">
        <v>1570</v>
      </c>
      <c r="AB550" s="2" t="s">
        <v>1571</v>
      </c>
    </row>
    <row r="551">
      <c r="A551" s="2" t="s">
        <v>1790</v>
      </c>
      <c r="B551" s="2">
        <v>16.0</v>
      </c>
      <c r="C551" s="2" t="s">
        <v>6</v>
      </c>
      <c r="D551" s="2" t="s">
        <v>1791</v>
      </c>
      <c r="E551" s="2">
        <v>3.0</v>
      </c>
      <c r="F551" s="2" t="s">
        <v>4</v>
      </c>
      <c r="G551" s="5">
        <v>2727664.0</v>
      </c>
      <c r="H551" s="2" t="s">
        <v>1575</v>
      </c>
      <c r="I551" s="2" t="s">
        <v>1565</v>
      </c>
      <c r="J551" s="2">
        <v>10005.0</v>
      </c>
      <c r="K551" s="2" t="s">
        <v>1595</v>
      </c>
      <c r="L551" s="2"/>
      <c r="M551" s="2"/>
      <c r="N551" s="7">
        <v>1.0</v>
      </c>
      <c r="O551" s="12">
        <v>19524.0</v>
      </c>
      <c r="P551" s="11" t="s">
        <v>1649</v>
      </c>
      <c r="Q551" s="12">
        <v>19524.0</v>
      </c>
      <c r="R551" s="11" t="s">
        <v>1649</v>
      </c>
      <c r="S551" s="11" t="s">
        <v>1676</v>
      </c>
      <c r="T551" s="11" t="s">
        <v>1677</v>
      </c>
      <c r="U551" s="2" t="s">
        <v>1574</v>
      </c>
      <c r="V551" s="2" t="s">
        <v>1568</v>
      </c>
      <c r="W551" s="2" t="s">
        <v>1569</v>
      </c>
      <c r="X551" s="2" t="s">
        <v>1570</v>
      </c>
      <c r="AB551" s="2" t="s">
        <v>1571</v>
      </c>
    </row>
    <row r="552">
      <c r="A552" s="2" t="s">
        <v>1790</v>
      </c>
      <c r="B552" s="2">
        <v>16.0</v>
      </c>
      <c r="C552" s="2" t="s">
        <v>6</v>
      </c>
      <c r="D552" s="2" t="s">
        <v>1791</v>
      </c>
      <c r="E552" s="2">
        <v>3.0</v>
      </c>
      <c r="F552" s="2" t="s">
        <v>4</v>
      </c>
      <c r="G552" s="5">
        <v>2727299.0</v>
      </c>
      <c r="H552" s="2" t="s">
        <v>1575</v>
      </c>
      <c r="I552" s="2" t="s">
        <v>1565</v>
      </c>
      <c r="J552" s="2">
        <v>10000.0</v>
      </c>
      <c r="K552" s="2" t="s">
        <v>1566</v>
      </c>
      <c r="L552" s="2"/>
      <c r="M552" s="2"/>
      <c r="N552" s="7">
        <v>1.0</v>
      </c>
      <c r="O552" s="12">
        <v>29524.0</v>
      </c>
      <c r="P552" s="11" t="s">
        <v>1649</v>
      </c>
      <c r="Q552" s="12">
        <v>29524.0</v>
      </c>
      <c r="R552" s="11" t="s">
        <v>1649</v>
      </c>
      <c r="S552" s="11" t="s">
        <v>1683</v>
      </c>
      <c r="T552" s="11" t="s">
        <v>1684</v>
      </c>
      <c r="U552" s="2" t="s">
        <v>1574</v>
      </c>
      <c r="V552" s="2" t="s">
        <v>1568</v>
      </c>
      <c r="W552" s="2" t="s">
        <v>1569</v>
      </c>
      <c r="X552" s="2" t="s">
        <v>1570</v>
      </c>
      <c r="AB552" s="2" t="s">
        <v>1571</v>
      </c>
    </row>
    <row r="553">
      <c r="A553" s="2" t="s">
        <v>1790</v>
      </c>
      <c r="B553" s="2">
        <v>16.0</v>
      </c>
      <c r="C553" s="2" t="s">
        <v>6</v>
      </c>
      <c r="D553" s="2" t="s">
        <v>1791</v>
      </c>
      <c r="E553" s="2">
        <v>3.0</v>
      </c>
      <c r="F553" s="2" t="s">
        <v>4</v>
      </c>
      <c r="G553" s="5">
        <v>2727299.0</v>
      </c>
      <c r="H553" s="2" t="s">
        <v>1575</v>
      </c>
      <c r="I553" s="2" t="s">
        <v>1565</v>
      </c>
      <c r="J553" s="2">
        <v>10034.0</v>
      </c>
      <c r="K553" s="2" t="s">
        <v>1616</v>
      </c>
      <c r="L553" s="2"/>
      <c r="M553" s="2"/>
      <c r="N553" s="7">
        <v>1.0</v>
      </c>
      <c r="O553" s="12">
        <v>21905.0</v>
      </c>
      <c r="P553" s="11" t="s">
        <v>1649</v>
      </c>
      <c r="Q553" s="12">
        <v>21905.0</v>
      </c>
      <c r="R553" s="11" t="s">
        <v>1649</v>
      </c>
      <c r="S553" s="11" t="s">
        <v>1666</v>
      </c>
      <c r="T553" s="11" t="s">
        <v>1667</v>
      </c>
      <c r="U553" s="2" t="s">
        <v>1574</v>
      </c>
      <c r="V553" s="2" t="s">
        <v>1568</v>
      </c>
      <c r="W553" s="2" t="s">
        <v>1569</v>
      </c>
      <c r="X553" s="2" t="s">
        <v>1570</v>
      </c>
      <c r="AB553" s="2" t="s">
        <v>1571</v>
      </c>
    </row>
    <row r="554">
      <c r="A554" s="2" t="s">
        <v>1790</v>
      </c>
      <c r="B554" s="2">
        <v>16.0</v>
      </c>
      <c r="C554" s="2" t="s">
        <v>6</v>
      </c>
      <c r="D554" s="2" t="s">
        <v>1791</v>
      </c>
      <c r="E554" s="2">
        <v>3.0</v>
      </c>
      <c r="F554" s="2" t="s">
        <v>4</v>
      </c>
      <c r="G554" s="5">
        <v>2727299.0</v>
      </c>
      <c r="H554" s="2" t="s">
        <v>1575</v>
      </c>
      <c r="I554" s="2" t="s">
        <v>1578</v>
      </c>
      <c r="J554" s="2">
        <v>10051.0</v>
      </c>
      <c r="K554" s="2" t="s">
        <v>1579</v>
      </c>
      <c r="L554" s="2"/>
      <c r="M554" s="2"/>
      <c r="N554" s="7">
        <v>1.0</v>
      </c>
      <c r="O554" s="12">
        <v>25238.0</v>
      </c>
      <c r="P554" s="11" t="s">
        <v>1649</v>
      </c>
      <c r="Q554" s="12">
        <v>25238.0</v>
      </c>
      <c r="R554" s="11" t="s">
        <v>1649</v>
      </c>
      <c r="S554" s="11" t="s">
        <v>1660</v>
      </c>
      <c r="T554" s="11" t="s">
        <v>1680</v>
      </c>
      <c r="U554" s="2" t="s">
        <v>1574</v>
      </c>
      <c r="V554" s="2" t="s">
        <v>1568</v>
      </c>
      <c r="W554" s="2" t="s">
        <v>1569</v>
      </c>
      <c r="X554" s="2" t="s">
        <v>1570</v>
      </c>
      <c r="AB554" s="2" t="s">
        <v>1571</v>
      </c>
    </row>
    <row r="555">
      <c r="A555" s="2" t="s">
        <v>1790</v>
      </c>
      <c r="B555" s="2">
        <v>16.0</v>
      </c>
      <c r="C555" s="2" t="s">
        <v>6</v>
      </c>
      <c r="D555" s="2" t="s">
        <v>1791</v>
      </c>
      <c r="E555" s="2">
        <v>3.0</v>
      </c>
      <c r="F555" s="2" t="s">
        <v>4</v>
      </c>
      <c r="G555" s="5">
        <v>2727299.0</v>
      </c>
      <c r="H555" s="2" t="s">
        <v>1575</v>
      </c>
      <c r="I555" s="2" t="s">
        <v>1572</v>
      </c>
      <c r="J555" s="2">
        <v>10117.0</v>
      </c>
      <c r="K555" s="2" t="s">
        <v>1589</v>
      </c>
      <c r="L555" s="2"/>
      <c r="M555" s="2"/>
      <c r="N555" s="7">
        <v>1.0</v>
      </c>
      <c r="O555" s="12">
        <v>14286.0</v>
      </c>
      <c r="P555" s="11" t="s">
        <v>1649</v>
      </c>
      <c r="Q555" s="12">
        <v>14286.0</v>
      </c>
      <c r="R555" s="11" t="s">
        <v>1649</v>
      </c>
      <c r="S555" s="11" t="s">
        <v>1685</v>
      </c>
      <c r="T555" s="11" t="s">
        <v>1708</v>
      </c>
      <c r="U555" s="2" t="s">
        <v>1574</v>
      </c>
      <c r="V555" s="2" t="s">
        <v>1568</v>
      </c>
      <c r="W555" s="2" t="s">
        <v>1569</v>
      </c>
      <c r="X555" s="2" t="s">
        <v>1570</v>
      </c>
      <c r="AB555" s="2" t="s">
        <v>1571</v>
      </c>
    </row>
    <row r="556">
      <c r="A556" s="2" t="s">
        <v>1790</v>
      </c>
      <c r="B556" s="2">
        <v>16.0</v>
      </c>
      <c r="C556" s="2" t="s">
        <v>6</v>
      </c>
      <c r="D556" s="2" t="s">
        <v>1791</v>
      </c>
      <c r="E556" s="2">
        <v>3.0</v>
      </c>
      <c r="F556" s="2" t="s">
        <v>4</v>
      </c>
      <c r="G556" s="5">
        <v>2727299.0</v>
      </c>
      <c r="H556" s="2" t="s">
        <v>1575</v>
      </c>
      <c r="I556" s="2" t="s">
        <v>1572</v>
      </c>
      <c r="J556" s="2">
        <v>10128.0</v>
      </c>
      <c r="K556" s="2" t="s">
        <v>1588</v>
      </c>
      <c r="L556" s="2"/>
      <c r="M556" s="2"/>
      <c r="N556" s="7">
        <v>1.0</v>
      </c>
      <c r="O556" s="12">
        <v>23333.0</v>
      </c>
      <c r="P556" s="11" t="s">
        <v>1649</v>
      </c>
      <c r="Q556" s="12">
        <v>23333.0</v>
      </c>
      <c r="R556" s="11" t="s">
        <v>1649</v>
      </c>
      <c r="S556" s="11" t="s">
        <v>1681</v>
      </c>
      <c r="T556" s="11" t="s">
        <v>1715</v>
      </c>
      <c r="U556" s="2" t="s">
        <v>1574</v>
      </c>
      <c r="V556" s="2" t="s">
        <v>1568</v>
      </c>
      <c r="W556" s="2" t="s">
        <v>1569</v>
      </c>
      <c r="X556" s="2" t="s">
        <v>1570</v>
      </c>
      <c r="AB556" s="2" t="s">
        <v>1571</v>
      </c>
    </row>
    <row r="557">
      <c r="A557" s="2" t="s">
        <v>1790</v>
      </c>
      <c r="B557" s="2">
        <v>16.0</v>
      </c>
      <c r="C557" s="2" t="s">
        <v>6</v>
      </c>
      <c r="D557" s="2" t="s">
        <v>1791</v>
      </c>
      <c r="E557" s="2">
        <v>3.0</v>
      </c>
      <c r="F557" s="2" t="s">
        <v>4</v>
      </c>
      <c r="G557" s="5">
        <v>2726934.0</v>
      </c>
      <c r="H557" s="2" t="s">
        <v>1575</v>
      </c>
      <c r="I557" s="2" t="s">
        <v>1565</v>
      </c>
      <c r="J557" s="2">
        <v>10007.0</v>
      </c>
      <c r="K557" s="2" t="s">
        <v>1576</v>
      </c>
      <c r="L557" s="2"/>
      <c r="M557" s="2"/>
      <c r="N557" s="7">
        <v>2.0</v>
      </c>
      <c r="O557" s="12">
        <v>33810.0</v>
      </c>
      <c r="P557" s="11" t="s">
        <v>1649</v>
      </c>
      <c r="Q557" s="12">
        <v>33810.0</v>
      </c>
      <c r="R557" s="11" t="s">
        <v>1649</v>
      </c>
      <c r="S557" s="11" t="s">
        <v>1701</v>
      </c>
      <c r="T557" s="11" t="s">
        <v>1703</v>
      </c>
      <c r="U557" s="2" t="s">
        <v>1574</v>
      </c>
      <c r="V557" s="2" t="s">
        <v>1568</v>
      </c>
      <c r="W557" s="2" t="s">
        <v>1569</v>
      </c>
      <c r="X557" s="2" t="s">
        <v>1570</v>
      </c>
      <c r="AB557" s="2" t="s">
        <v>1571</v>
      </c>
    </row>
    <row r="558">
      <c r="A558" s="2" t="s">
        <v>1790</v>
      </c>
      <c r="B558" s="2">
        <v>16.0</v>
      </c>
      <c r="C558" s="2" t="s">
        <v>6</v>
      </c>
      <c r="D558" s="2" t="s">
        <v>1791</v>
      </c>
      <c r="E558" s="2">
        <v>3.0</v>
      </c>
      <c r="F558" s="2" t="s">
        <v>4</v>
      </c>
      <c r="G558" s="5">
        <v>2726934.0</v>
      </c>
      <c r="H558" s="2" t="s">
        <v>1575</v>
      </c>
      <c r="I558" s="2" t="s">
        <v>1572</v>
      </c>
      <c r="J558" s="2">
        <v>10128.0</v>
      </c>
      <c r="K558" s="2" t="s">
        <v>1588</v>
      </c>
      <c r="L558" s="2"/>
      <c r="M558" s="2"/>
      <c r="N558" s="7">
        <v>1.0</v>
      </c>
      <c r="O558" s="12">
        <v>23333.0</v>
      </c>
      <c r="P558" s="11" t="s">
        <v>1649</v>
      </c>
      <c r="Q558" s="12">
        <v>23333.0</v>
      </c>
      <c r="R558" s="11" t="s">
        <v>1649</v>
      </c>
      <c r="S558" s="11" t="s">
        <v>1681</v>
      </c>
      <c r="T558" s="11" t="s">
        <v>1715</v>
      </c>
      <c r="U558" s="2" t="s">
        <v>1574</v>
      </c>
      <c r="V558" s="2" t="s">
        <v>1568</v>
      </c>
      <c r="W558" s="2" t="s">
        <v>1569</v>
      </c>
      <c r="X558" s="2" t="s">
        <v>1570</v>
      </c>
      <c r="AB558" s="2" t="s">
        <v>1571</v>
      </c>
    </row>
    <row r="559">
      <c r="A559" s="2" t="s">
        <v>1790</v>
      </c>
      <c r="B559" s="2">
        <v>16.0</v>
      </c>
      <c r="C559" s="2" t="s">
        <v>6</v>
      </c>
      <c r="D559" s="2" t="s">
        <v>1791</v>
      </c>
      <c r="E559" s="2">
        <v>3.0</v>
      </c>
      <c r="F559" s="2" t="s">
        <v>4</v>
      </c>
      <c r="G559" s="5">
        <v>2726934.0</v>
      </c>
      <c r="H559" s="2" t="s">
        <v>1575</v>
      </c>
      <c r="I559" s="2" t="s">
        <v>1572</v>
      </c>
      <c r="J559" s="2">
        <v>10107.0</v>
      </c>
      <c r="K559" s="2" t="s">
        <v>1584</v>
      </c>
      <c r="L559" s="2"/>
      <c r="M559" s="2"/>
      <c r="N559" s="7">
        <v>1.0</v>
      </c>
      <c r="O559" s="12">
        <v>26667.0</v>
      </c>
      <c r="P559" s="11" t="s">
        <v>1649</v>
      </c>
      <c r="Q559" s="12">
        <v>26667.0</v>
      </c>
      <c r="R559" s="11" t="s">
        <v>1649</v>
      </c>
      <c r="S559" s="11" t="s">
        <v>1674</v>
      </c>
      <c r="T559" s="11" t="s">
        <v>1675</v>
      </c>
      <c r="U559" s="2" t="s">
        <v>1574</v>
      </c>
      <c r="V559" s="2" t="s">
        <v>1568</v>
      </c>
      <c r="W559" s="2" t="s">
        <v>1569</v>
      </c>
      <c r="X559" s="2" t="s">
        <v>1570</v>
      </c>
      <c r="AB559" s="2" t="s">
        <v>1571</v>
      </c>
    </row>
    <row r="560">
      <c r="A560" s="2" t="s">
        <v>1790</v>
      </c>
      <c r="B560" s="2">
        <v>16.0</v>
      </c>
      <c r="C560" s="2" t="s">
        <v>6</v>
      </c>
      <c r="D560" s="2" t="s">
        <v>1791</v>
      </c>
      <c r="E560" s="2">
        <v>3.0</v>
      </c>
      <c r="F560" s="2" t="s">
        <v>4</v>
      </c>
      <c r="G560" s="5">
        <v>2726569.0</v>
      </c>
      <c r="H560" s="2" t="s">
        <v>1575</v>
      </c>
      <c r="I560" s="2" t="s">
        <v>1565</v>
      </c>
      <c r="J560" s="2">
        <v>10000.0</v>
      </c>
      <c r="K560" s="2" t="s">
        <v>1566</v>
      </c>
      <c r="L560" s="2"/>
      <c r="M560" s="2"/>
      <c r="N560" s="7">
        <v>1.0</v>
      </c>
      <c r="O560" s="12">
        <v>29524.0</v>
      </c>
      <c r="P560" s="11" t="s">
        <v>1649</v>
      </c>
      <c r="Q560" s="12">
        <v>29524.0</v>
      </c>
      <c r="R560" s="11" t="s">
        <v>1649</v>
      </c>
      <c r="S560" s="11" t="s">
        <v>1683</v>
      </c>
      <c r="T560" s="11" t="s">
        <v>1684</v>
      </c>
      <c r="U560" s="2" t="s">
        <v>1574</v>
      </c>
      <c r="V560" s="2" t="s">
        <v>1568</v>
      </c>
      <c r="W560" s="2" t="s">
        <v>1569</v>
      </c>
      <c r="X560" s="2" t="s">
        <v>1570</v>
      </c>
      <c r="AB560" s="2" t="s">
        <v>1571</v>
      </c>
    </row>
    <row r="561">
      <c r="A561" s="2" t="s">
        <v>1790</v>
      </c>
      <c r="B561" s="2">
        <v>16.0</v>
      </c>
      <c r="C561" s="2" t="s">
        <v>6</v>
      </c>
      <c r="D561" s="2" t="s">
        <v>1791</v>
      </c>
      <c r="E561" s="2">
        <v>3.0</v>
      </c>
      <c r="F561" s="2" t="s">
        <v>4</v>
      </c>
      <c r="G561" s="5">
        <v>2726569.0</v>
      </c>
      <c r="H561" s="2" t="s">
        <v>1575</v>
      </c>
      <c r="I561" s="2" t="s">
        <v>1578</v>
      </c>
      <c r="J561" s="2">
        <v>10010.0</v>
      </c>
      <c r="K561" s="2" t="s">
        <v>1606</v>
      </c>
      <c r="L561" s="2"/>
      <c r="M561" s="2"/>
      <c r="N561" s="7">
        <v>1.0</v>
      </c>
      <c r="O561" s="12">
        <v>25238.0</v>
      </c>
      <c r="P561" s="11" t="s">
        <v>1649</v>
      </c>
      <c r="Q561" s="12">
        <v>25238.0</v>
      </c>
      <c r="R561" s="11" t="s">
        <v>1649</v>
      </c>
      <c r="S561" s="11" t="s">
        <v>1660</v>
      </c>
      <c r="T561" s="11" t="s">
        <v>1680</v>
      </c>
      <c r="U561" s="2" t="s">
        <v>1574</v>
      </c>
      <c r="V561" s="2" t="s">
        <v>1568</v>
      </c>
      <c r="W561" s="2" t="s">
        <v>1569</v>
      </c>
      <c r="X561" s="2" t="s">
        <v>1570</v>
      </c>
      <c r="AB561" s="2" t="s">
        <v>1571</v>
      </c>
    </row>
    <row r="562">
      <c r="A562" s="2" t="s">
        <v>1790</v>
      </c>
      <c r="B562" s="2">
        <v>16.0</v>
      </c>
      <c r="C562" s="2" t="s">
        <v>6</v>
      </c>
      <c r="D562" s="2" t="s">
        <v>1791</v>
      </c>
      <c r="E562" s="2">
        <v>3.0</v>
      </c>
      <c r="F562" s="2" t="s">
        <v>4</v>
      </c>
      <c r="G562" s="5">
        <v>2726569.0</v>
      </c>
      <c r="H562" s="2" t="s">
        <v>1575</v>
      </c>
      <c r="I562" s="2" t="s">
        <v>1578</v>
      </c>
      <c r="J562" s="2">
        <v>10015.0</v>
      </c>
      <c r="K562" s="2" t="s">
        <v>1587</v>
      </c>
      <c r="L562" s="2"/>
      <c r="M562" s="2"/>
      <c r="N562" s="7">
        <v>1.0</v>
      </c>
      <c r="O562" s="12">
        <v>25238.0</v>
      </c>
      <c r="P562" s="11" t="s">
        <v>1649</v>
      </c>
      <c r="Q562" s="12">
        <v>25238.0</v>
      </c>
      <c r="R562" s="11" t="s">
        <v>1649</v>
      </c>
      <c r="S562" s="11" t="s">
        <v>1660</v>
      </c>
      <c r="T562" s="11" t="s">
        <v>1680</v>
      </c>
      <c r="U562" s="2" t="s">
        <v>1574</v>
      </c>
      <c r="V562" s="2" t="s">
        <v>1568</v>
      </c>
      <c r="W562" s="2" t="s">
        <v>1569</v>
      </c>
      <c r="X562" s="2" t="s">
        <v>1570</v>
      </c>
      <c r="AB562" s="2" t="s">
        <v>1571</v>
      </c>
    </row>
    <row r="563">
      <c r="A563" s="2" t="s">
        <v>1790</v>
      </c>
      <c r="B563" s="2">
        <v>16.0</v>
      </c>
      <c r="C563" s="2" t="s">
        <v>6</v>
      </c>
      <c r="D563" s="2" t="s">
        <v>1791</v>
      </c>
      <c r="E563" s="2">
        <v>3.0</v>
      </c>
      <c r="F563" s="2" t="s">
        <v>4</v>
      </c>
      <c r="G563" s="5">
        <v>2726569.0</v>
      </c>
      <c r="H563" s="2" t="s">
        <v>1575</v>
      </c>
      <c r="I563" s="2" t="s">
        <v>1578</v>
      </c>
      <c r="J563" s="2">
        <v>10014.0</v>
      </c>
      <c r="K563" s="2" t="s">
        <v>1609</v>
      </c>
      <c r="L563" s="2"/>
      <c r="M563" s="2"/>
      <c r="N563" s="7">
        <v>1.0</v>
      </c>
      <c r="O563" s="12">
        <v>25238.0</v>
      </c>
      <c r="P563" s="11" t="s">
        <v>1649</v>
      </c>
      <c r="Q563" s="12">
        <v>25238.0</v>
      </c>
      <c r="R563" s="11" t="s">
        <v>1649</v>
      </c>
      <c r="S563" s="11" t="s">
        <v>1660</v>
      </c>
      <c r="T563" s="11" t="s">
        <v>1680</v>
      </c>
      <c r="U563" s="2" t="s">
        <v>1574</v>
      </c>
      <c r="V563" s="2" t="s">
        <v>1568</v>
      </c>
      <c r="W563" s="2" t="s">
        <v>1569</v>
      </c>
      <c r="X563" s="2" t="s">
        <v>1570</v>
      </c>
      <c r="AB563" s="2" t="s">
        <v>1571</v>
      </c>
    </row>
    <row r="564">
      <c r="A564" s="2" t="s">
        <v>1790</v>
      </c>
      <c r="B564" s="2">
        <v>16.0</v>
      </c>
      <c r="C564" s="2" t="s">
        <v>6</v>
      </c>
      <c r="D564" s="2" t="s">
        <v>1791</v>
      </c>
      <c r="E564" s="2">
        <v>3.0</v>
      </c>
      <c r="F564" s="2" t="s">
        <v>4</v>
      </c>
      <c r="G564" s="5">
        <v>2726203.0</v>
      </c>
      <c r="H564" s="2" t="s">
        <v>1575</v>
      </c>
      <c r="I564" s="2" t="s">
        <v>1565</v>
      </c>
      <c r="J564" s="2">
        <v>10002.0</v>
      </c>
      <c r="K564" s="2" t="s">
        <v>1576</v>
      </c>
      <c r="L564" s="2"/>
      <c r="M564" s="2"/>
      <c r="N564" s="7">
        <v>1.0</v>
      </c>
      <c r="O564" s="12">
        <v>18571.0</v>
      </c>
      <c r="P564" s="11" t="s">
        <v>1649</v>
      </c>
      <c r="Q564" s="12">
        <v>18571.0</v>
      </c>
      <c r="R564" s="11" t="s">
        <v>1649</v>
      </c>
      <c r="S564" s="11" t="s">
        <v>1656</v>
      </c>
      <c r="T564" s="11" t="s">
        <v>1657</v>
      </c>
      <c r="U564" s="2" t="s">
        <v>1574</v>
      </c>
      <c r="V564" s="2" t="s">
        <v>1568</v>
      </c>
      <c r="W564" s="2" t="s">
        <v>1569</v>
      </c>
      <c r="X564" s="2" t="s">
        <v>1570</v>
      </c>
      <c r="AB564" s="2" t="s">
        <v>1571</v>
      </c>
    </row>
    <row r="565">
      <c r="A565" s="2" t="s">
        <v>1790</v>
      </c>
      <c r="B565" s="2">
        <v>15.0</v>
      </c>
      <c r="C565" s="2" t="s">
        <v>6</v>
      </c>
      <c r="D565" s="2" t="s">
        <v>1791</v>
      </c>
      <c r="E565" s="2">
        <v>3.0</v>
      </c>
      <c r="F565" s="2" t="s">
        <v>4</v>
      </c>
      <c r="G565" s="5">
        <v>2725838.0</v>
      </c>
      <c r="H565" s="2" t="s">
        <v>1575</v>
      </c>
      <c r="I565" s="2" t="s">
        <v>1572</v>
      </c>
      <c r="J565" s="2">
        <v>10128.0</v>
      </c>
      <c r="K565" s="2" t="s">
        <v>1588</v>
      </c>
      <c r="L565" s="2"/>
      <c r="M565" s="2"/>
      <c r="N565" s="7">
        <v>1.0</v>
      </c>
      <c r="O565" s="12">
        <v>23333.0</v>
      </c>
      <c r="P565" s="11" t="s">
        <v>1649</v>
      </c>
      <c r="Q565" s="12">
        <v>23333.0</v>
      </c>
      <c r="R565" s="11" t="s">
        <v>1649</v>
      </c>
      <c r="S565" s="11" t="s">
        <v>1681</v>
      </c>
      <c r="T565" s="11" t="s">
        <v>1682</v>
      </c>
      <c r="U565" s="2" t="s">
        <v>1574</v>
      </c>
      <c r="V565" s="2" t="s">
        <v>1568</v>
      </c>
      <c r="W565" s="2" t="s">
        <v>1569</v>
      </c>
      <c r="X565" s="2" t="s">
        <v>1570</v>
      </c>
      <c r="AB565" s="2" t="s">
        <v>1571</v>
      </c>
    </row>
    <row r="566">
      <c r="A566" s="2" t="s">
        <v>1790</v>
      </c>
      <c r="B566" s="2">
        <v>15.0</v>
      </c>
      <c r="C566" s="2" t="s">
        <v>6</v>
      </c>
      <c r="D566" s="2" t="s">
        <v>1791</v>
      </c>
      <c r="E566" s="2">
        <v>3.0</v>
      </c>
      <c r="F566" s="2" t="s">
        <v>4</v>
      </c>
      <c r="G566" s="5">
        <v>2725473.0</v>
      </c>
      <c r="H566" s="2" t="s">
        <v>1575</v>
      </c>
      <c r="I566" s="2" t="s">
        <v>1565</v>
      </c>
      <c r="J566" s="2">
        <v>10002.0</v>
      </c>
      <c r="K566" s="2" t="s">
        <v>1576</v>
      </c>
      <c r="L566" s="2"/>
      <c r="M566" s="2"/>
      <c r="N566" s="7">
        <v>1.0</v>
      </c>
      <c r="O566" s="12">
        <v>18571.0</v>
      </c>
      <c r="P566" s="11" t="s">
        <v>1649</v>
      </c>
      <c r="Q566" s="12">
        <v>18571.0</v>
      </c>
      <c r="R566" s="11" t="s">
        <v>1649</v>
      </c>
      <c r="S566" s="11" t="s">
        <v>1656</v>
      </c>
      <c r="T566" s="11" t="s">
        <v>1657</v>
      </c>
      <c r="U566" s="2" t="s">
        <v>1574</v>
      </c>
      <c r="V566" s="2" t="s">
        <v>1568</v>
      </c>
      <c r="W566" s="2" t="s">
        <v>1569</v>
      </c>
      <c r="X566" s="2" t="s">
        <v>1570</v>
      </c>
      <c r="AB566" s="2" t="s">
        <v>1571</v>
      </c>
    </row>
    <row r="567">
      <c r="A567" s="2" t="s">
        <v>1790</v>
      </c>
      <c r="B567" s="2">
        <v>15.0</v>
      </c>
      <c r="C567" s="2" t="s">
        <v>6</v>
      </c>
      <c r="D567" s="2" t="s">
        <v>1791</v>
      </c>
      <c r="E567" s="2">
        <v>3.0</v>
      </c>
      <c r="F567" s="2" t="s">
        <v>4</v>
      </c>
      <c r="G567" s="5">
        <v>2725473.0</v>
      </c>
      <c r="H567" s="2" t="s">
        <v>1575</v>
      </c>
      <c r="I567" s="2" t="s">
        <v>1565</v>
      </c>
      <c r="J567" s="2">
        <v>10005.0</v>
      </c>
      <c r="K567" s="2" t="s">
        <v>1595</v>
      </c>
      <c r="L567" s="2"/>
      <c r="M567" s="2"/>
      <c r="N567" s="7">
        <v>1.0</v>
      </c>
      <c r="O567" s="12">
        <v>19524.0</v>
      </c>
      <c r="P567" s="11" t="s">
        <v>1649</v>
      </c>
      <c r="Q567" s="12">
        <v>19524.0</v>
      </c>
      <c r="R567" s="11" t="s">
        <v>1649</v>
      </c>
      <c r="S567" s="11" t="s">
        <v>1676</v>
      </c>
      <c r="T567" s="11" t="s">
        <v>1677</v>
      </c>
      <c r="U567" s="2" t="s">
        <v>1574</v>
      </c>
      <c r="V567" s="2" t="s">
        <v>1568</v>
      </c>
      <c r="W567" s="2" t="s">
        <v>1569</v>
      </c>
      <c r="X567" s="2" t="s">
        <v>1570</v>
      </c>
      <c r="AB567" s="2" t="s">
        <v>1571</v>
      </c>
    </row>
    <row r="568">
      <c r="A568" s="2" t="s">
        <v>1790</v>
      </c>
      <c r="B568" s="2">
        <v>14.0</v>
      </c>
      <c r="C568" s="2" t="s">
        <v>6</v>
      </c>
      <c r="D568" s="2" t="s">
        <v>1791</v>
      </c>
      <c r="E568" s="2">
        <v>3.0</v>
      </c>
      <c r="F568" s="2" t="s">
        <v>4</v>
      </c>
      <c r="G568" s="5">
        <v>2725108.0</v>
      </c>
      <c r="H568" s="2" t="s">
        <v>1575</v>
      </c>
      <c r="I568" s="2" t="s">
        <v>1572</v>
      </c>
      <c r="J568" s="2">
        <v>10067.0</v>
      </c>
      <c r="K568" s="2" t="s">
        <v>1621</v>
      </c>
      <c r="L568" s="2"/>
      <c r="M568" s="2"/>
      <c r="N568" s="7">
        <v>1.0</v>
      </c>
      <c r="O568" s="12">
        <v>24762.0</v>
      </c>
      <c r="P568" s="11" t="s">
        <v>1649</v>
      </c>
      <c r="Q568" s="12">
        <v>24762.0</v>
      </c>
      <c r="R568" s="11" t="s">
        <v>1649</v>
      </c>
      <c r="S568" s="11" t="s">
        <v>1689</v>
      </c>
      <c r="T568" s="11" t="s">
        <v>1693</v>
      </c>
      <c r="U568" s="2" t="s">
        <v>1574</v>
      </c>
      <c r="V568" s="2" t="s">
        <v>1568</v>
      </c>
      <c r="W568" s="2" t="s">
        <v>1569</v>
      </c>
      <c r="X568" s="2" t="s">
        <v>1570</v>
      </c>
      <c r="AB568" s="2" t="s">
        <v>1571</v>
      </c>
    </row>
    <row r="569">
      <c r="A569" s="2" t="s">
        <v>1790</v>
      </c>
      <c r="B569" s="2">
        <v>14.0</v>
      </c>
      <c r="C569" s="2" t="s">
        <v>6</v>
      </c>
      <c r="D569" s="2" t="s">
        <v>1791</v>
      </c>
      <c r="E569" s="2">
        <v>3.0</v>
      </c>
      <c r="F569" s="2" t="s">
        <v>4</v>
      </c>
      <c r="G569" s="5">
        <v>2724742.0</v>
      </c>
      <c r="H569" s="2" t="s">
        <v>1575</v>
      </c>
      <c r="I569" s="2" t="s">
        <v>1572</v>
      </c>
      <c r="J569" s="2">
        <v>10069.0</v>
      </c>
      <c r="K569" s="2" t="s">
        <v>1620</v>
      </c>
      <c r="L569" s="2"/>
      <c r="M569" s="2"/>
      <c r="N569" s="7">
        <v>1.0</v>
      </c>
      <c r="O569" s="12">
        <v>24762.0</v>
      </c>
      <c r="P569" s="11" t="s">
        <v>1649</v>
      </c>
      <c r="Q569" s="12">
        <v>24762.0</v>
      </c>
      <c r="R569" s="11" t="s">
        <v>1649</v>
      </c>
      <c r="S569" s="11" t="s">
        <v>1689</v>
      </c>
      <c r="T569" s="11" t="s">
        <v>1693</v>
      </c>
      <c r="U569" s="2" t="s">
        <v>1574</v>
      </c>
      <c r="V569" s="2" t="s">
        <v>1568</v>
      </c>
      <c r="W569" s="2" t="s">
        <v>1569</v>
      </c>
      <c r="X569" s="2" t="s">
        <v>1570</v>
      </c>
      <c r="AB569" s="2" t="s">
        <v>1571</v>
      </c>
    </row>
    <row r="570">
      <c r="A570" s="2" t="s">
        <v>1790</v>
      </c>
      <c r="B570" s="2">
        <v>14.0</v>
      </c>
      <c r="C570" s="2" t="s">
        <v>6</v>
      </c>
      <c r="D570" s="2" t="s">
        <v>1791</v>
      </c>
      <c r="E570" s="2">
        <v>3.0</v>
      </c>
      <c r="F570" s="2" t="s">
        <v>4</v>
      </c>
      <c r="G570" s="5">
        <v>2724742.0</v>
      </c>
      <c r="H570" s="2" t="s">
        <v>1575</v>
      </c>
      <c r="I570" s="2" t="s">
        <v>1572</v>
      </c>
      <c r="J570" s="2">
        <v>10063.0</v>
      </c>
      <c r="K570" s="2" t="s">
        <v>1594</v>
      </c>
      <c r="L570" s="2"/>
      <c r="M570" s="2"/>
      <c r="N570" s="7">
        <v>1.0</v>
      </c>
      <c r="O570" s="12">
        <v>24762.0</v>
      </c>
      <c r="P570" s="11" t="s">
        <v>1649</v>
      </c>
      <c r="Q570" s="12">
        <v>24762.0</v>
      </c>
      <c r="R570" s="11" t="s">
        <v>1649</v>
      </c>
      <c r="S570" s="11" t="s">
        <v>1689</v>
      </c>
      <c r="T570" s="11" t="s">
        <v>1693</v>
      </c>
      <c r="U570" s="2" t="s">
        <v>1574</v>
      </c>
      <c r="V570" s="2" t="s">
        <v>1568</v>
      </c>
      <c r="W570" s="2" t="s">
        <v>1569</v>
      </c>
      <c r="X570" s="2" t="s">
        <v>1570</v>
      </c>
      <c r="AB570" s="2" t="s">
        <v>1571</v>
      </c>
    </row>
    <row r="571">
      <c r="A571" s="2" t="s">
        <v>1790</v>
      </c>
      <c r="B571" s="2">
        <v>14.0</v>
      </c>
      <c r="C571" s="2" t="s">
        <v>6</v>
      </c>
      <c r="D571" s="2" t="s">
        <v>1791</v>
      </c>
      <c r="E571" s="2">
        <v>3.0</v>
      </c>
      <c r="F571" s="2" t="s">
        <v>4</v>
      </c>
      <c r="G571" s="5">
        <v>2724742.0</v>
      </c>
      <c r="H571" s="2" t="s">
        <v>1575</v>
      </c>
      <c r="I571" s="2" t="s">
        <v>1565</v>
      </c>
      <c r="J571" s="2">
        <v>10000.0</v>
      </c>
      <c r="K571" s="2" t="s">
        <v>1566</v>
      </c>
      <c r="L571" s="2"/>
      <c r="M571" s="2"/>
      <c r="N571" s="7">
        <v>1.0</v>
      </c>
      <c r="O571" s="12">
        <v>29524.0</v>
      </c>
      <c r="P571" s="11" t="s">
        <v>1649</v>
      </c>
      <c r="Q571" s="12">
        <v>29524.0</v>
      </c>
      <c r="R571" s="11" t="s">
        <v>1649</v>
      </c>
      <c r="S571" s="11" t="s">
        <v>1683</v>
      </c>
      <c r="T571" s="11" t="s">
        <v>1684</v>
      </c>
      <c r="U571" s="2" t="s">
        <v>1574</v>
      </c>
      <c r="V571" s="2" t="s">
        <v>1568</v>
      </c>
      <c r="W571" s="2" t="s">
        <v>1569</v>
      </c>
      <c r="X571" s="2" t="s">
        <v>1570</v>
      </c>
      <c r="AB571" s="2" t="s">
        <v>1571</v>
      </c>
    </row>
    <row r="572">
      <c r="A572" s="2" t="s">
        <v>1790</v>
      </c>
      <c r="B572" s="2">
        <v>13.0</v>
      </c>
      <c r="C572" s="2" t="s">
        <v>6</v>
      </c>
      <c r="D572" s="2" t="s">
        <v>1791</v>
      </c>
      <c r="E572" s="2">
        <v>3.0</v>
      </c>
      <c r="F572" s="2" t="s">
        <v>4</v>
      </c>
      <c r="G572" s="5">
        <v>2724377.0</v>
      </c>
      <c r="H572" s="2" t="s">
        <v>1575</v>
      </c>
      <c r="I572" s="2" t="s">
        <v>1578</v>
      </c>
      <c r="J572" s="2">
        <v>10051.0</v>
      </c>
      <c r="K572" s="2" t="s">
        <v>1579</v>
      </c>
      <c r="L572" s="2"/>
      <c r="M572" s="2"/>
      <c r="N572" s="7">
        <v>1.0</v>
      </c>
      <c r="O572" s="12">
        <v>25238.0</v>
      </c>
      <c r="P572" s="11" t="s">
        <v>1649</v>
      </c>
      <c r="Q572" s="12">
        <v>25238.0</v>
      </c>
      <c r="R572" s="11" t="s">
        <v>1649</v>
      </c>
      <c r="S572" s="11" t="s">
        <v>1660</v>
      </c>
      <c r="T572" s="11" t="s">
        <v>1680</v>
      </c>
      <c r="U572" s="2" t="s">
        <v>1574</v>
      </c>
      <c r="V572" s="2" t="s">
        <v>1568</v>
      </c>
      <c r="W572" s="2" t="s">
        <v>1569</v>
      </c>
      <c r="X572" s="2" t="s">
        <v>1570</v>
      </c>
      <c r="AB572" s="2" t="s">
        <v>1571</v>
      </c>
    </row>
    <row r="573">
      <c r="A573" s="2" t="s">
        <v>1790</v>
      </c>
      <c r="B573" s="2">
        <v>13.0</v>
      </c>
      <c r="C573" s="2" t="s">
        <v>6</v>
      </c>
      <c r="D573" s="2" t="s">
        <v>1791</v>
      </c>
      <c r="E573" s="2">
        <v>3.0</v>
      </c>
      <c r="F573" s="2" t="s">
        <v>4</v>
      </c>
      <c r="G573" s="5">
        <v>2724377.0</v>
      </c>
      <c r="H573" s="2" t="s">
        <v>1575</v>
      </c>
      <c r="I573" s="2" t="s">
        <v>1565</v>
      </c>
      <c r="J573" s="2">
        <v>10007.0</v>
      </c>
      <c r="K573" s="2" t="s">
        <v>1576</v>
      </c>
      <c r="L573" s="2"/>
      <c r="M573" s="2"/>
      <c r="N573" s="7">
        <v>2.0</v>
      </c>
      <c r="O573" s="12">
        <v>33810.0</v>
      </c>
      <c r="P573" s="11" t="s">
        <v>1649</v>
      </c>
      <c r="Q573" s="12">
        <v>33810.0</v>
      </c>
      <c r="R573" s="11" t="s">
        <v>1649</v>
      </c>
      <c r="S573" s="11" t="s">
        <v>1701</v>
      </c>
      <c r="T573" s="11" t="s">
        <v>1702</v>
      </c>
      <c r="U573" s="2" t="s">
        <v>1574</v>
      </c>
      <c r="V573" s="2" t="s">
        <v>1568</v>
      </c>
      <c r="W573" s="2" t="s">
        <v>1569</v>
      </c>
      <c r="X573" s="2" t="s">
        <v>1570</v>
      </c>
      <c r="AB573" s="2" t="s">
        <v>1571</v>
      </c>
    </row>
    <row r="574">
      <c r="A574" s="2" t="s">
        <v>1790</v>
      </c>
      <c r="B574" s="2">
        <v>13.0</v>
      </c>
      <c r="C574" s="2" t="s">
        <v>6</v>
      </c>
      <c r="D574" s="2" t="s">
        <v>1791</v>
      </c>
      <c r="E574" s="2">
        <v>3.0</v>
      </c>
      <c r="F574" s="2" t="s">
        <v>4</v>
      </c>
      <c r="G574" s="5">
        <v>2724012.0</v>
      </c>
      <c r="H574" s="2" t="s">
        <v>1575</v>
      </c>
      <c r="I574" s="2" t="s">
        <v>1565</v>
      </c>
      <c r="J574" s="2">
        <v>10007.0</v>
      </c>
      <c r="K574" s="2" t="s">
        <v>1576</v>
      </c>
      <c r="L574" s="2"/>
      <c r="M574" s="2"/>
      <c r="N574" s="7">
        <v>2.0</v>
      </c>
      <c r="O574" s="12">
        <v>33810.0</v>
      </c>
      <c r="P574" s="11" t="s">
        <v>1649</v>
      </c>
      <c r="Q574" s="12">
        <v>33810.0</v>
      </c>
      <c r="R574" s="11" t="s">
        <v>1649</v>
      </c>
      <c r="S574" s="11" t="s">
        <v>1701</v>
      </c>
      <c r="T574" s="11" t="s">
        <v>1703</v>
      </c>
      <c r="U574" s="2" t="s">
        <v>1574</v>
      </c>
      <c r="V574" s="2" t="s">
        <v>1568</v>
      </c>
      <c r="W574" s="2" t="s">
        <v>1569</v>
      </c>
      <c r="X574" s="2" t="s">
        <v>1570</v>
      </c>
      <c r="AB574" s="2" t="s">
        <v>1571</v>
      </c>
    </row>
    <row r="575">
      <c r="A575" s="2" t="s">
        <v>1790</v>
      </c>
      <c r="B575" s="2">
        <v>13.0</v>
      </c>
      <c r="C575" s="2" t="s">
        <v>6</v>
      </c>
      <c r="D575" s="2" t="s">
        <v>1791</v>
      </c>
      <c r="E575" s="2">
        <v>3.0</v>
      </c>
      <c r="F575" s="2" t="s">
        <v>4</v>
      </c>
      <c r="G575" s="5">
        <v>2724012.0</v>
      </c>
      <c r="H575" s="2" t="s">
        <v>1575</v>
      </c>
      <c r="I575" s="2" t="s">
        <v>1572</v>
      </c>
      <c r="J575" s="2">
        <v>10128.0</v>
      </c>
      <c r="K575" s="2" t="s">
        <v>1588</v>
      </c>
      <c r="L575" s="2"/>
      <c r="M575" s="2"/>
      <c r="N575" s="7">
        <v>1.0</v>
      </c>
      <c r="O575" s="12">
        <v>23333.0</v>
      </c>
      <c r="P575" s="11" t="s">
        <v>1649</v>
      </c>
      <c r="Q575" s="12">
        <v>23333.0</v>
      </c>
      <c r="R575" s="11" t="s">
        <v>1649</v>
      </c>
      <c r="S575" s="11" t="s">
        <v>1681</v>
      </c>
      <c r="T575" s="11" t="s">
        <v>1715</v>
      </c>
      <c r="U575" s="2" t="s">
        <v>1574</v>
      </c>
      <c r="V575" s="2" t="s">
        <v>1568</v>
      </c>
      <c r="W575" s="2" t="s">
        <v>1569</v>
      </c>
      <c r="X575" s="2" t="s">
        <v>1570</v>
      </c>
      <c r="AB575" s="2" t="s">
        <v>1571</v>
      </c>
    </row>
    <row r="576">
      <c r="A576" s="2" t="s">
        <v>1790</v>
      </c>
      <c r="B576" s="2">
        <v>13.0</v>
      </c>
      <c r="C576" s="2" t="s">
        <v>6</v>
      </c>
      <c r="D576" s="2" t="s">
        <v>1791</v>
      </c>
      <c r="E576" s="2">
        <v>3.0</v>
      </c>
      <c r="F576" s="2" t="s">
        <v>4</v>
      </c>
      <c r="G576" s="5">
        <v>2723647.0</v>
      </c>
      <c r="H576" s="2" t="s">
        <v>1575</v>
      </c>
      <c r="I576" s="2" t="s">
        <v>1578</v>
      </c>
      <c r="J576" s="2">
        <v>10004.0</v>
      </c>
      <c r="K576" s="2" t="s">
        <v>1607</v>
      </c>
      <c r="L576" s="2"/>
      <c r="M576" s="2"/>
      <c r="N576" s="7">
        <v>1.0</v>
      </c>
      <c r="O576" s="12">
        <v>25238.0</v>
      </c>
      <c r="P576" s="11" t="s">
        <v>1649</v>
      </c>
      <c r="Q576" s="12">
        <v>25238.0</v>
      </c>
      <c r="R576" s="11" t="s">
        <v>1649</v>
      </c>
      <c r="S576" s="11" t="s">
        <v>1660</v>
      </c>
      <c r="T576" s="11" t="s">
        <v>1680</v>
      </c>
      <c r="U576" s="2" t="s">
        <v>1574</v>
      </c>
      <c r="V576" s="2" t="s">
        <v>1568</v>
      </c>
      <c r="W576" s="2" t="s">
        <v>1569</v>
      </c>
      <c r="X576" s="2" t="s">
        <v>1570</v>
      </c>
      <c r="AB576" s="2" t="s">
        <v>1571</v>
      </c>
    </row>
    <row r="577">
      <c r="A577" s="2" t="s">
        <v>1790</v>
      </c>
      <c r="B577" s="2">
        <v>13.0</v>
      </c>
      <c r="C577" s="2" t="s">
        <v>6</v>
      </c>
      <c r="D577" s="2" t="s">
        <v>1791</v>
      </c>
      <c r="E577" s="2">
        <v>3.0</v>
      </c>
      <c r="F577" s="2" t="s">
        <v>4</v>
      </c>
      <c r="G577" s="5">
        <v>2723647.0</v>
      </c>
      <c r="H577" s="2" t="s">
        <v>1575</v>
      </c>
      <c r="I577" s="2" t="s">
        <v>1572</v>
      </c>
      <c r="J577" s="2">
        <v>10112.0</v>
      </c>
      <c r="K577" s="2" t="s">
        <v>1573</v>
      </c>
      <c r="L577" s="2"/>
      <c r="M577" s="2"/>
      <c r="N577" s="7">
        <v>1.0</v>
      </c>
      <c r="O577" s="12">
        <v>6667.0</v>
      </c>
      <c r="P577" s="11" t="s">
        <v>1649</v>
      </c>
      <c r="Q577" s="12">
        <v>6667.0</v>
      </c>
      <c r="R577" s="11" t="s">
        <v>1649</v>
      </c>
      <c r="S577" s="11" t="s">
        <v>1734</v>
      </c>
      <c r="T577" s="11" t="s">
        <v>1738</v>
      </c>
      <c r="U577" s="2" t="s">
        <v>1574</v>
      </c>
      <c r="V577" s="2" t="s">
        <v>1568</v>
      </c>
      <c r="W577" s="2" t="s">
        <v>1569</v>
      </c>
      <c r="X577" s="2" t="s">
        <v>1570</v>
      </c>
      <c r="AB577" s="2" t="s">
        <v>1571</v>
      </c>
    </row>
    <row r="578">
      <c r="A578" s="2" t="s">
        <v>1790</v>
      </c>
      <c r="B578" s="2">
        <v>13.0</v>
      </c>
      <c r="C578" s="2" t="s">
        <v>6</v>
      </c>
      <c r="D578" s="2" t="s">
        <v>1791</v>
      </c>
      <c r="E578" s="2">
        <v>3.0</v>
      </c>
      <c r="F578" s="2" t="s">
        <v>4</v>
      </c>
      <c r="G578" s="5">
        <v>2723647.0</v>
      </c>
      <c r="H578" s="2" t="s">
        <v>1575</v>
      </c>
      <c r="I578" s="2" t="s">
        <v>1572</v>
      </c>
      <c r="J578" s="2">
        <v>10125.0</v>
      </c>
      <c r="K578" s="2" t="s">
        <v>1601</v>
      </c>
      <c r="L578" s="2"/>
      <c r="M578" s="2"/>
      <c r="N578" s="7">
        <v>1.0</v>
      </c>
      <c r="O578" s="12">
        <v>20476.0</v>
      </c>
      <c r="P578" s="11" t="s">
        <v>1649</v>
      </c>
      <c r="Q578" s="12">
        <v>20476.0</v>
      </c>
      <c r="R578" s="11" t="s">
        <v>1649</v>
      </c>
      <c r="S578" s="11" t="s">
        <v>1716</v>
      </c>
      <c r="T578" s="11" t="s">
        <v>1717</v>
      </c>
      <c r="U578" s="2" t="s">
        <v>1574</v>
      </c>
      <c r="V578" s="2" t="s">
        <v>1568</v>
      </c>
      <c r="W578" s="2" t="s">
        <v>1569</v>
      </c>
      <c r="X578" s="2" t="s">
        <v>1570</v>
      </c>
      <c r="AB578" s="2" t="s">
        <v>1571</v>
      </c>
    </row>
    <row r="579">
      <c r="A579" s="2" t="s">
        <v>1790</v>
      </c>
      <c r="B579" s="2">
        <v>13.0</v>
      </c>
      <c r="C579" s="2" t="s">
        <v>6</v>
      </c>
      <c r="D579" s="2" t="s">
        <v>1791</v>
      </c>
      <c r="E579" s="2">
        <v>3.0</v>
      </c>
      <c r="F579" s="2" t="s">
        <v>4</v>
      </c>
      <c r="G579" s="5">
        <v>2723647.0</v>
      </c>
      <c r="H579" s="2" t="s">
        <v>1575</v>
      </c>
      <c r="I579" s="2" t="s">
        <v>1572</v>
      </c>
      <c r="J579" s="2">
        <v>10123.0</v>
      </c>
      <c r="K579" s="2" t="s">
        <v>1599</v>
      </c>
      <c r="L579" s="2"/>
      <c r="M579" s="2"/>
      <c r="N579" s="7">
        <v>1.0</v>
      </c>
      <c r="O579" s="12">
        <v>21905.0</v>
      </c>
      <c r="P579" s="11" t="s">
        <v>1649</v>
      </c>
      <c r="Q579" s="12">
        <v>21905.0</v>
      </c>
      <c r="R579" s="11" t="s">
        <v>1649</v>
      </c>
      <c r="S579" s="11" t="s">
        <v>1666</v>
      </c>
      <c r="T579" s="11" t="s">
        <v>1667</v>
      </c>
      <c r="U579" s="2" t="s">
        <v>1574</v>
      </c>
      <c r="V579" s="2" t="s">
        <v>1568</v>
      </c>
      <c r="W579" s="2" t="s">
        <v>1569</v>
      </c>
      <c r="X579" s="2" t="s">
        <v>1570</v>
      </c>
      <c r="AB579" s="2" t="s">
        <v>1571</v>
      </c>
    </row>
    <row r="580">
      <c r="A580" s="2" t="s">
        <v>1790</v>
      </c>
      <c r="B580" s="2">
        <v>13.0</v>
      </c>
      <c r="C580" s="2" t="s">
        <v>6</v>
      </c>
      <c r="D580" s="2" t="s">
        <v>1791</v>
      </c>
      <c r="E580" s="2">
        <v>3.0</v>
      </c>
      <c r="F580" s="2" t="s">
        <v>4</v>
      </c>
      <c r="G580" s="5">
        <v>2723647.0</v>
      </c>
      <c r="H580" s="2" t="s">
        <v>1575</v>
      </c>
      <c r="I580" s="2" t="s">
        <v>1580</v>
      </c>
      <c r="J580" s="2">
        <v>10012.0</v>
      </c>
      <c r="K580" s="2" t="s">
        <v>1602</v>
      </c>
      <c r="L580" s="2"/>
      <c r="M580" s="2"/>
      <c r="N580" s="7">
        <v>2.0</v>
      </c>
      <c r="O580" s="12">
        <v>59048.0</v>
      </c>
      <c r="P580" s="11" t="s">
        <v>1649</v>
      </c>
      <c r="Q580" s="12">
        <v>59048.0</v>
      </c>
      <c r="R580" s="11" t="s">
        <v>1649</v>
      </c>
      <c r="S580" s="11" t="s">
        <v>1732</v>
      </c>
      <c r="T580" s="11" t="s">
        <v>1770</v>
      </c>
      <c r="U580" s="2" t="s">
        <v>1574</v>
      </c>
      <c r="V580" s="2" t="s">
        <v>1568</v>
      </c>
      <c r="W580" s="2" t="s">
        <v>1569</v>
      </c>
      <c r="X580" s="2" t="s">
        <v>1570</v>
      </c>
      <c r="AB580" s="2" t="s">
        <v>1571</v>
      </c>
    </row>
    <row r="581">
      <c r="A581" s="2" t="s">
        <v>1790</v>
      </c>
      <c r="B581" s="2">
        <v>13.0</v>
      </c>
      <c r="C581" s="2" t="s">
        <v>6</v>
      </c>
      <c r="D581" s="2" t="s">
        <v>1791</v>
      </c>
      <c r="E581" s="2">
        <v>3.0</v>
      </c>
      <c r="F581" s="2" t="s">
        <v>4</v>
      </c>
      <c r="G581" s="5">
        <v>2723647.0</v>
      </c>
      <c r="H581" s="2" t="s">
        <v>1575</v>
      </c>
      <c r="I581" s="2" t="s">
        <v>1578</v>
      </c>
      <c r="J581" s="2">
        <v>10014.0</v>
      </c>
      <c r="K581" s="2" t="s">
        <v>1609</v>
      </c>
      <c r="L581" s="2"/>
      <c r="M581" s="2"/>
      <c r="N581" s="7">
        <v>1.0</v>
      </c>
      <c r="O581" s="12">
        <v>25238.0</v>
      </c>
      <c r="P581" s="11" t="s">
        <v>1649</v>
      </c>
      <c r="Q581" s="12">
        <v>25238.0</v>
      </c>
      <c r="R581" s="11" t="s">
        <v>1649</v>
      </c>
      <c r="S581" s="11" t="s">
        <v>1660</v>
      </c>
      <c r="T581" s="11" t="s">
        <v>1680</v>
      </c>
      <c r="U581" s="2" t="s">
        <v>1574</v>
      </c>
      <c r="V581" s="2" t="s">
        <v>1568</v>
      </c>
      <c r="W581" s="2" t="s">
        <v>1569</v>
      </c>
      <c r="X581" s="2" t="s">
        <v>1570</v>
      </c>
      <c r="AB581" s="2" t="s">
        <v>1571</v>
      </c>
    </row>
    <row r="582">
      <c r="A582" s="2" t="s">
        <v>1790</v>
      </c>
      <c r="B582" s="2">
        <v>12.0</v>
      </c>
      <c r="C582" s="2" t="s">
        <v>6</v>
      </c>
      <c r="D582" s="2" t="s">
        <v>1791</v>
      </c>
      <c r="E582" s="2">
        <v>3.0</v>
      </c>
      <c r="F582" s="2" t="s">
        <v>4</v>
      </c>
      <c r="G582" s="5">
        <v>2723281.0</v>
      </c>
      <c r="H582" s="2" t="s">
        <v>1575</v>
      </c>
      <c r="I582" s="2" t="s">
        <v>1565</v>
      </c>
      <c r="J582" s="2">
        <v>10007.0</v>
      </c>
      <c r="K582" s="2" t="s">
        <v>1576</v>
      </c>
      <c r="L582" s="2"/>
      <c r="M582" s="2"/>
      <c r="N582" s="7">
        <v>2.0</v>
      </c>
      <c r="O582" s="12">
        <v>33810.0</v>
      </c>
      <c r="P582" s="11" t="s">
        <v>1649</v>
      </c>
      <c r="Q582" s="12">
        <v>33810.0</v>
      </c>
      <c r="R582" s="11" t="s">
        <v>1649</v>
      </c>
      <c r="S582" s="11" t="s">
        <v>1701</v>
      </c>
      <c r="T582" s="11" t="s">
        <v>1703</v>
      </c>
      <c r="U582" s="2" t="s">
        <v>1574</v>
      </c>
      <c r="V582" s="2" t="s">
        <v>1568</v>
      </c>
      <c r="W582" s="2" t="s">
        <v>1569</v>
      </c>
      <c r="X582" s="2" t="s">
        <v>1570</v>
      </c>
      <c r="AB582" s="2" t="s">
        <v>1571</v>
      </c>
    </row>
    <row r="583">
      <c r="A583" s="2" t="s">
        <v>1790</v>
      </c>
      <c r="B583" s="2">
        <v>12.0</v>
      </c>
      <c r="C583" s="2" t="s">
        <v>6</v>
      </c>
      <c r="D583" s="2" t="s">
        <v>1791</v>
      </c>
      <c r="E583" s="2">
        <v>3.0</v>
      </c>
      <c r="F583" s="2" t="s">
        <v>4</v>
      </c>
      <c r="G583" s="5">
        <v>2722916.0</v>
      </c>
      <c r="H583" s="2" t="s">
        <v>1575</v>
      </c>
      <c r="I583" s="2" t="s">
        <v>1572</v>
      </c>
      <c r="J583" s="2">
        <v>10128.0</v>
      </c>
      <c r="K583" s="2" t="s">
        <v>1588</v>
      </c>
      <c r="L583" s="2"/>
      <c r="M583" s="2"/>
      <c r="N583" s="7">
        <v>1.0</v>
      </c>
      <c r="O583" s="12">
        <v>23333.0</v>
      </c>
      <c r="P583" s="11" t="s">
        <v>1649</v>
      </c>
      <c r="Q583" s="12">
        <v>23333.0</v>
      </c>
      <c r="R583" s="11" t="s">
        <v>1649</v>
      </c>
      <c r="S583" s="11" t="s">
        <v>1681</v>
      </c>
      <c r="T583" s="11" t="s">
        <v>1682</v>
      </c>
      <c r="U583" s="2" t="s">
        <v>1574</v>
      </c>
      <c r="V583" s="2" t="s">
        <v>1568</v>
      </c>
      <c r="W583" s="2" t="s">
        <v>1569</v>
      </c>
      <c r="X583" s="2" t="s">
        <v>1570</v>
      </c>
      <c r="AB583" s="2" t="s">
        <v>1571</v>
      </c>
    </row>
    <row r="584">
      <c r="A584" s="2" t="s">
        <v>1790</v>
      </c>
      <c r="B584" s="2">
        <v>12.0</v>
      </c>
      <c r="C584" s="2" t="s">
        <v>6</v>
      </c>
      <c r="D584" s="2" t="s">
        <v>1791</v>
      </c>
      <c r="E584" s="2">
        <v>3.0</v>
      </c>
      <c r="F584" s="2" t="s">
        <v>4</v>
      </c>
      <c r="G584" s="5">
        <v>2722916.0</v>
      </c>
      <c r="H584" s="2" t="s">
        <v>1575</v>
      </c>
      <c r="I584" s="2" t="s">
        <v>1572</v>
      </c>
      <c r="J584" s="2">
        <v>10069.0</v>
      </c>
      <c r="K584" s="2" t="s">
        <v>1620</v>
      </c>
      <c r="L584" s="2"/>
      <c r="M584" s="2"/>
      <c r="N584" s="7">
        <v>1.0</v>
      </c>
      <c r="O584" s="12">
        <v>24762.0</v>
      </c>
      <c r="P584" s="11" t="s">
        <v>1649</v>
      </c>
      <c r="Q584" s="12">
        <v>24762.0</v>
      </c>
      <c r="R584" s="11" t="s">
        <v>1649</v>
      </c>
      <c r="S584" s="11" t="s">
        <v>1689</v>
      </c>
      <c r="T584" s="11" t="s">
        <v>1693</v>
      </c>
      <c r="U584" s="2" t="s">
        <v>1574</v>
      </c>
      <c r="V584" s="2" t="s">
        <v>1568</v>
      </c>
      <c r="W584" s="2" t="s">
        <v>1569</v>
      </c>
      <c r="X584" s="2" t="s">
        <v>1570</v>
      </c>
      <c r="AB584" s="2" t="s">
        <v>1571</v>
      </c>
    </row>
    <row r="585">
      <c r="A585" s="2" t="s">
        <v>1790</v>
      </c>
      <c r="B585" s="2">
        <v>12.0</v>
      </c>
      <c r="C585" s="2" t="s">
        <v>6</v>
      </c>
      <c r="D585" s="2" t="s">
        <v>1791</v>
      </c>
      <c r="E585" s="2">
        <v>3.0</v>
      </c>
      <c r="F585" s="2" t="s">
        <v>4</v>
      </c>
      <c r="G585" s="5">
        <v>2722916.0</v>
      </c>
      <c r="H585" s="2" t="s">
        <v>1575</v>
      </c>
      <c r="I585" s="2" t="s">
        <v>1565</v>
      </c>
      <c r="J585" s="2">
        <v>10039.0</v>
      </c>
      <c r="K585" s="2" t="s">
        <v>1622</v>
      </c>
      <c r="L585" s="2"/>
      <c r="M585" s="2"/>
      <c r="N585" s="7">
        <v>1.0</v>
      </c>
      <c r="O585" s="12">
        <v>21905.0</v>
      </c>
      <c r="P585" s="11" t="s">
        <v>1649</v>
      </c>
      <c r="Q585" s="12">
        <v>21905.0</v>
      </c>
      <c r="R585" s="11" t="s">
        <v>1649</v>
      </c>
      <c r="S585" s="11" t="s">
        <v>1666</v>
      </c>
      <c r="T585" s="11" t="s">
        <v>1667</v>
      </c>
      <c r="U585" s="2" t="s">
        <v>1574</v>
      </c>
      <c r="V585" s="2" t="s">
        <v>1568</v>
      </c>
      <c r="W585" s="2" t="s">
        <v>1569</v>
      </c>
      <c r="X585" s="2" t="s">
        <v>1570</v>
      </c>
      <c r="AB585" s="2" t="s">
        <v>1571</v>
      </c>
    </row>
    <row r="586">
      <c r="A586" s="2" t="s">
        <v>1790</v>
      </c>
      <c r="B586" s="2">
        <v>12.0</v>
      </c>
      <c r="C586" s="2" t="s">
        <v>6</v>
      </c>
      <c r="D586" s="2" t="s">
        <v>1791</v>
      </c>
      <c r="E586" s="2">
        <v>3.0</v>
      </c>
      <c r="F586" s="2" t="s">
        <v>4</v>
      </c>
      <c r="G586" s="5">
        <v>2722916.0</v>
      </c>
      <c r="H586" s="2" t="s">
        <v>1575</v>
      </c>
      <c r="I586" s="2" t="s">
        <v>1565</v>
      </c>
      <c r="J586" s="2">
        <v>10002.0</v>
      </c>
      <c r="K586" s="2" t="s">
        <v>1576</v>
      </c>
      <c r="L586" s="2"/>
      <c r="M586" s="2"/>
      <c r="N586" s="7">
        <v>1.0</v>
      </c>
      <c r="O586" s="12">
        <v>18571.0</v>
      </c>
      <c r="P586" s="11" t="s">
        <v>1649</v>
      </c>
      <c r="Q586" s="12">
        <v>18571.0</v>
      </c>
      <c r="R586" s="11" t="s">
        <v>1649</v>
      </c>
      <c r="S586" s="11" t="s">
        <v>1656</v>
      </c>
      <c r="T586" s="11" t="s">
        <v>1657</v>
      </c>
      <c r="U586" s="2" t="s">
        <v>1574</v>
      </c>
      <c r="V586" s="2" t="s">
        <v>1568</v>
      </c>
      <c r="W586" s="2" t="s">
        <v>1569</v>
      </c>
      <c r="X586" s="2" t="s">
        <v>1570</v>
      </c>
      <c r="AB586" s="2" t="s">
        <v>1571</v>
      </c>
    </row>
    <row r="587">
      <c r="A587" s="2" t="s">
        <v>1790</v>
      </c>
      <c r="B587" s="2">
        <v>11.0</v>
      </c>
      <c r="C587" s="2" t="s">
        <v>6</v>
      </c>
      <c r="D587" s="2" t="s">
        <v>1791</v>
      </c>
      <c r="E587" s="2">
        <v>3.0</v>
      </c>
      <c r="F587" s="2" t="s">
        <v>4</v>
      </c>
      <c r="G587" s="5">
        <v>2722551.0</v>
      </c>
      <c r="H587" s="2" t="s">
        <v>1575</v>
      </c>
      <c r="I587" s="2" t="s">
        <v>1565</v>
      </c>
      <c r="J587" s="2">
        <v>10002.0</v>
      </c>
      <c r="K587" s="2" t="s">
        <v>1576</v>
      </c>
      <c r="L587" s="2"/>
      <c r="M587" s="2"/>
      <c r="N587" s="7">
        <v>1.0</v>
      </c>
      <c r="O587" s="12">
        <v>18571.0</v>
      </c>
      <c r="P587" s="11" t="s">
        <v>1649</v>
      </c>
      <c r="Q587" s="12">
        <v>18571.0</v>
      </c>
      <c r="R587" s="11" t="s">
        <v>1649</v>
      </c>
      <c r="S587" s="11" t="s">
        <v>1656</v>
      </c>
      <c r="T587" s="11" t="s">
        <v>1657</v>
      </c>
      <c r="U587" s="2" t="s">
        <v>1574</v>
      </c>
      <c r="V587" s="2" t="s">
        <v>1568</v>
      </c>
      <c r="W587" s="2" t="s">
        <v>1569</v>
      </c>
      <c r="X587" s="2" t="s">
        <v>1570</v>
      </c>
      <c r="AB587" s="2" t="s">
        <v>1571</v>
      </c>
    </row>
    <row r="588">
      <c r="A588" s="2" t="s">
        <v>1790</v>
      </c>
      <c r="B588" s="2">
        <v>11.0</v>
      </c>
      <c r="C588" s="2" t="s">
        <v>6</v>
      </c>
      <c r="D588" s="2" t="s">
        <v>1791</v>
      </c>
      <c r="E588" s="2">
        <v>3.0</v>
      </c>
      <c r="F588" s="2" t="s">
        <v>4</v>
      </c>
      <c r="G588" s="5">
        <v>2722551.0</v>
      </c>
      <c r="H588" s="2" t="s">
        <v>1575</v>
      </c>
      <c r="I588" s="2" t="s">
        <v>1565</v>
      </c>
      <c r="J588" s="2">
        <v>10005.0</v>
      </c>
      <c r="K588" s="2" t="s">
        <v>1595</v>
      </c>
      <c r="L588" s="2"/>
      <c r="M588" s="2"/>
      <c r="N588" s="7">
        <v>1.0</v>
      </c>
      <c r="O588" s="12">
        <v>19524.0</v>
      </c>
      <c r="P588" s="11" t="s">
        <v>1649</v>
      </c>
      <c r="Q588" s="12">
        <v>19524.0</v>
      </c>
      <c r="R588" s="11" t="s">
        <v>1649</v>
      </c>
      <c r="S588" s="11" t="s">
        <v>1676</v>
      </c>
      <c r="T588" s="11" t="s">
        <v>1677</v>
      </c>
      <c r="U588" s="2" t="s">
        <v>1574</v>
      </c>
      <c r="V588" s="2" t="s">
        <v>1568</v>
      </c>
      <c r="W588" s="2" t="s">
        <v>1569</v>
      </c>
      <c r="X588" s="2" t="s">
        <v>1570</v>
      </c>
      <c r="AB588" s="2" t="s">
        <v>1571</v>
      </c>
    </row>
    <row r="589">
      <c r="A589" s="2" t="s">
        <v>1790</v>
      </c>
      <c r="B589" s="2">
        <v>10.0</v>
      </c>
      <c r="C589" s="2" t="s">
        <v>6</v>
      </c>
      <c r="D589" s="2" t="s">
        <v>1791</v>
      </c>
      <c r="E589" s="2">
        <v>3.0</v>
      </c>
      <c r="F589" s="2" t="s">
        <v>4</v>
      </c>
      <c r="G589" s="5">
        <v>2722186.0</v>
      </c>
      <c r="H589" s="2" t="s">
        <v>1575</v>
      </c>
      <c r="I589" s="2" t="s">
        <v>1572</v>
      </c>
      <c r="J589" s="2">
        <v>10067.0</v>
      </c>
      <c r="K589" s="2" t="s">
        <v>1621</v>
      </c>
      <c r="L589" s="2"/>
      <c r="M589" s="2"/>
      <c r="N589" s="7">
        <v>1.0</v>
      </c>
      <c r="O589" s="12">
        <v>24762.0</v>
      </c>
      <c r="P589" s="11" t="s">
        <v>1649</v>
      </c>
      <c r="Q589" s="12">
        <v>24762.0</v>
      </c>
      <c r="R589" s="11" t="s">
        <v>1649</v>
      </c>
      <c r="S589" s="11" t="s">
        <v>1689</v>
      </c>
      <c r="T589" s="11" t="s">
        <v>1693</v>
      </c>
      <c r="U589" s="2" t="s">
        <v>1574</v>
      </c>
      <c r="V589" s="2" t="s">
        <v>1568</v>
      </c>
      <c r="W589" s="2" t="s">
        <v>1569</v>
      </c>
      <c r="X589" s="2" t="s">
        <v>1570</v>
      </c>
      <c r="AB589" s="2" t="s">
        <v>1571</v>
      </c>
    </row>
    <row r="590">
      <c r="A590" s="2" t="s">
        <v>1790</v>
      </c>
      <c r="B590" s="2">
        <v>9.0</v>
      </c>
      <c r="C590" s="2" t="s">
        <v>6</v>
      </c>
      <c r="D590" s="2" t="s">
        <v>1791</v>
      </c>
      <c r="E590" s="2">
        <v>3.0</v>
      </c>
      <c r="F590" s="2" t="s">
        <v>4</v>
      </c>
      <c r="G590" s="5">
        <v>2721820.0</v>
      </c>
      <c r="H590" s="2" t="s">
        <v>1575</v>
      </c>
      <c r="I590" s="2" t="s">
        <v>1572</v>
      </c>
      <c r="J590" s="2">
        <v>10106.0</v>
      </c>
      <c r="K590" s="2" t="s">
        <v>1598</v>
      </c>
      <c r="L590" s="2"/>
      <c r="M590" s="2"/>
      <c r="N590" s="7">
        <v>1.0</v>
      </c>
      <c r="O590" s="12">
        <v>26667.0</v>
      </c>
      <c r="P590" s="11" t="s">
        <v>1649</v>
      </c>
      <c r="Q590" s="12">
        <v>26667.0</v>
      </c>
      <c r="R590" s="11" t="s">
        <v>1649</v>
      </c>
      <c r="S590" s="11" t="s">
        <v>1674</v>
      </c>
      <c r="T590" s="11" t="s">
        <v>1679</v>
      </c>
      <c r="U590" s="2" t="s">
        <v>1574</v>
      </c>
      <c r="V590" s="2" t="s">
        <v>1568</v>
      </c>
      <c r="W590" s="2" t="s">
        <v>1569</v>
      </c>
      <c r="X590" s="2" t="s">
        <v>1570</v>
      </c>
      <c r="AB590" s="2" t="s">
        <v>1571</v>
      </c>
    </row>
    <row r="591">
      <c r="A591" s="2" t="s">
        <v>1790</v>
      </c>
      <c r="B591" s="2">
        <v>9.0</v>
      </c>
      <c r="C591" s="2" t="s">
        <v>6</v>
      </c>
      <c r="D591" s="2" t="s">
        <v>1791</v>
      </c>
      <c r="E591" s="2">
        <v>3.0</v>
      </c>
      <c r="F591" s="2" t="s">
        <v>4</v>
      </c>
      <c r="G591" s="5">
        <v>2721820.0</v>
      </c>
      <c r="H591" s="2" t="s">
        <v>1575</v>
      </c>
      <c r="I591" s="2" t="s">
        <v>1565</v>
      </c>
      <c r="J591" s="2">
        <v>10034.0</v>
      </c>
      <c r="K591" s="2" t="s">
        <v>1616</v>
      </c>
      <c r="L591" s="2"/>
      <c r="M591" s="2"/>
      <c r="N591" s="7">
        <v>1.0</v>
      </c>
      <c r="O591" s="12">
        <v>21905.0</v>
      </c>
      <c r="P591" s="11" t="s">
        <v>1649</v>
      </c>
      <c r="Q591" s="12">
        <v>21905.0</v>
      </c>
      <c r="R591" s="11" t="s">
        <v>1649</v>
      </c>
      <c r="S591" s="11" t="s">
        <v>1666</v>
      </c>
      <c r="T591" s="11" t="s">
        <v>1687</v>
      </c>
      <c r="U591" s="2" t="s">
        <v>1574</v>
      </c>
      <c r="V591" s="2" t="s">
        <v>1568</v>
      </c>
      <c r="W591" s="2" t="s">
        <v>1569</v>
      </c>
      <c r="X591" s="2" t="s">
        <v>1570</v>
      </c>
      <c r="AB591" s="2" t="s">
        <v>1571</v>
      </c>
    </row>
    <row r="592">
      <c r="A592" s="2" t="s">
        <v>1790</v>
      </c>
      <c r="B592" s="2">
        <v>9.0</v>
      </c>
      <c r="C592" s="2" t="s">
        <v>6</v>
      </c>
      <c r="D592" s="2" t="s">
        <v>1791</v>
      </c>
      <c r="E592" s="2">
        <v>3.0</v>
      </c>
      <c r="F592" s="2" t="s">
        <v>4</v>
      </c>
      <c r="G592" s="5">
        <v>2721455.0</v>
      </c>
      <c r="H592" s="2" t="s">
        <v>1575</v>
      </c>
      <c r="I592" s="2" t="s">
        <v>1565</v>
      </c>
      <c r="J592" s="2">
        <v>10055.0</v>
      </c>
      <c r="K592" s="2" t="s">
        <v>1595</v>
      </c>
      <c r="L592" s="2"/>
      <c r="M592" s="2"/>
      <c r="N592" s="7">
        <v>2.0</v>
      </c>
      <c r="O592" s="12">
        <v>34762.0</v>
      </c>
      <c r="P592" s="11" t="s">
        <v>1649</v>
      </c>
      <c r="Q592" s="12">
        <v>34762.0</v>
      </c>
      <c r="R592" s="11" t="s">
        <v>1649</v>
      </c>
      <c r="S592" s="11" t="s">
        <v>1670</v>
      </c>
      <c r="T592" s="11" t="s">
        <v>1671</v>
      </c>
      <c r="U592" s="2" t="s">
        <v>1574</v>
      </c>
      <c r="V592" s="2" t="s">
        <v>1568</v>
      </c>
      <c r="W592" s="2" t="s">
        <v>1569</v>
      </c>
      <c r="X592" s="2" t="s">
        <v>1570</v>
      </c>
      <c r="AB592" s="2" t="s">
        <v>1571</v>
      </c>
    </row>
    <row r="593">
      <c r="A593" s="2" t="s">
        <v>1792</v>
      </c>
      <c r="B593" s="2">
        <v>19.0</v>
      </c>
      <c r="C593" s="2" t="s">
        <v>5</v>
      </c>
      <c r="D593" s="2" t="s">
        <v>1793</v>
      </c>
      <c r="E593" s="2">
        <v>2.0</v>
      </c>
      <c r="F593" s="2" t="s">
        <v>4</v>
      </c>
      <c r="G593" s="5">
        <v>2721090.0</v>
      </c>
      <c r="H593" s="2" t="s">
        <v>1575</v>
      </c>
      <c r="I593" s="2" t="s">
        <v>1565</v>
      </c>
      <c r="J593" s="2">
        <v>10002.0</v>
      </c>
      <c r="K593" s="2" t="s">
        <v>1576</v>
      </c>
      <c r="L593" s="2"/>
      <c r="M593" s="2"/>
      <c r="N593" s="7">
        <v>1.0</v>
      </c>
      <c r="O593" s="12">
        <v>18571.0</v>
      </c>
      <c r="P593" s="11" t="s">
        <v>1649</v>
      </c>
      <c r="Q593" s="12">
        <v>18571.0</v>
      </c>
      <c r="R593" s="11" t="s">
        <v>1649</v>
      </c>
      <c r="S593" s="11" t="s">
        <v>1656</v>
      </c>
      <c r="T593" s="11" t="s">
        <v>1657</v>
      </c>
      <c r="U593" s="2" t="s">
        <v>1574</v>
      </c>
      <c r="V593" s="2" t="s">
        <v>1568</v>
      </c>
      <c r="W593" s="2" t="s">
        <v>1569</v>
      </c>
      <c r="X593" s="2" t="s">
        <v>1570</v>
      </c>
      <c r="AB593" s="2" t="s">
        <v>1571</v>
      </c>
    </row>
    <row r="594">
      <c r="A594" s="2" t="s">
        <v>1792</v>
      </c>
      <c r="B594" s="2">
        <v>18.0</v>
      </c>
      <c r="C594" s="2" t="s">
        <v>5</v>
      </c>
      <c r="D594" s="2" t="s">
        <v>1793</v>
      </c>
      <c r="E594" s="2">
        <v>2.0</v>
      </c>
      <c r="F594" s="2" t="s">
        <v>4</v>
      </c>
      <c r="G594" s="5">
        <v>2720725.0</v>
      </c>
      <c r="H594" s="2" t="s">
        <v>1575</v>
      </c>
      <c r="I594" s="2" t="s">
        <v>1572</v>
      </c>
      <c r="J594" s="2">
        <v>10112.0</v>
      </c>
      <c r="K594" s="2" t="s">
        <v>1573</v>
      </c>
      <c r="L594" s="2"/>
      <c r="M594" s="2"/>
      <c r="N594" s="7">
        <v>1.0</v>
      </c>
      <c r="O594" s="12">
        <v>6667.0</v>
      </c>
      <c r="P594" s="11" t="s">
        <v>1649</v>
      </c>
      <c r="Q594" s="12">
        <v>6667.0</v>
      </c>
      <c r="R594" s="11" t="s">
        <v>1649</v>
      </c>
      <c r="S594" s="11" t="s">
        <v>1734</v>
      </c>
      <c r="T594" s="11" t="s">
        <v>1738</v>
      </c>
      <c r="U594" s="2" t="s">
        <v>1574</v>
      </c>
      <c r="V594" s="2" t="s">
        <v>1568</v>
      </c>
      <c r="W594" s="2" t="s">
        <v>1569</v>
      </c>
      <c r="X594" s="2" t="s">
        <v>1570</v>
      </c>
      <c r="AB594" s="2" t="s">
        <v>1571</v>
      </c>
    </row>
    <row r="595">
      <c r="A595" s="2" t="s">
        <v>1792</v>
      </c>
      <c r="B595" s="2">
        <v>18.0</v>
      </c>
      <c r="C595" s="2" t="s">
        <v>5</v>
      </c>
      <c r="D595" s="2" t="s">
        <v>1793</v>
      </c>
      <c r="E595" s="2">
        <v>2.0</v>
      </c>
      <c r="F595" s="2" t="s">
        <v>4</v>
      </c>
      <c r="G595" s="5">
        <v>2720359.0</v>
      </c>
      <c r="H595" s="2" t="s">
        <v>1575</v>
      </c>
      <c r="I595" s="2" t="s">
        <v>1565</v>
      </c>
      <c r="J595" s="2">
        <v>10000.0</v>
      </c>
      <c r="K595" s="2" t="s">
        <v>1566</v>
      </c>
      <c r="L595" s="2"/>
      <c r="M595" s="2"/>
      <c r="N595" s="7">
        <v>1.0</v>
      </c>
      <c r="O595" s="12">
        <v>29524.0</v>
      </c>
      <c r="P595" s="11" t="s">
        <v>1649</v>
      </c>
      <c r="Q595" s="12">
        <v>29524.0</v>
      </c>
      <c r="R595" s="11" t="s">
        <v>1649</v>
      </c>
      <c r="S595" s="11" t="s">
        <v>1683</v>
      </c>
      <c r="T595" s="11" t="s">
        <v>1684</v>
      </c>
      <c r="U595" s="2" t="s">
        <v>1574</v>
      </c>
      <c r="V595" s="2" t="s">
        <v>1568</v>
      </c>
      <c r="W595" s="2" t="s">
        <v>1569</v>
      </c>
      <c r="X595" s="2" t="s">
        <v>1570</v>
      </c>
      <c r="AB595" s="2" t="s">
        <v>1571</v>
      </c>
    </row>
    <row r="596">
      <c r="A596" s="2" t="s">
        <v>1792</v>
      </c>
      <c r="B596" s="2">
        <v>18.0</v>
      </c>
      <c r="C596" s="2" t="s">
        <v>5</v>
      </c>
      <c r="D596" s="2" t="s">
        <v>1793</v>
      </c>
      <c r="E596" s="2">
        <v>2.0</v>
      </c>
      <c r="F596" s="2" t="s">
        <v>4</v>
      </c>
      <c r="G596" s="5">
        <v>2720359.0</v>
      </c>
      <c r="H596" s="2" t="s">
        <v>1575</v>
      </c>
      <c r="I596" s="2" t="s">
        <v>1572</v>
      </c>
      <c r="J596" s="2">
        <v>10069.0</v>
      </c>
      <c r="K596" s="2" t="s">
        <v>1620</v>
      </c>
      <c r="L596" s="2"/>
      <c r="M596" s="2"/>
      <c r="N596" s="7">
        <v>1.0</v>
      </c>
      <c r="O596" s="12">
        <v>24762.0</v>
      </c>
      <c r="P596" s="11" t="s">
        <v>1649</v>
      </c>
      <c r="Q596" s="12">
        <v>24762.0</v>
      </c>
      <c r="R596" s="11" t="s">
        <v>1649</v>
      </c>
      <c r="S596" s="11" t="s">
        <v>1689</v>
      </c>
      <c r="T596" s="11" t="s">
        <v>1693</v>
      </c>
      <c r="U596" s="2" t="s">
        <v>1574</v>
      </c>
      <c r="V596" s="2" t="s">
        <v>1568</v>
      </c>
      <c r="W596" s="2" t="s">
        <v>1569</v>
      </c>
      <c r="X596" s="2" t="s">
        <v>1570</v>
      </c>
      <c r="AB596" s="2" t="s">
        <v>1571</v>
      </c>
    </row>
    <row r="597">
      <c r="A597" s="2" t="s">
        <v>1792</v>
      </c>
      <c r="B597" s="2">
        <v>18.0</v>
      </c>
      <c r="C597" s="2" t="s">
        <v>5</v>
      </c>
      <c r="D597" s="2" t="s">
        <v>1793</v>
      </c>
      <c r="E597" s="2">
        <v>2.0</v>
      </c>
      <c r="F597" s="2" t="s">
        <v>4</v>
      </c>
      <c r="G597" s="5">
        <v>2720359.0</v>
      </c>
      <c r="H597" s="2" t="s">
        <v>1575</v>
      </c>
      <c r="I597" s="2" t="s">
        <v>1572</v>
      </c>
      <c r="J597" s="2">
        <v>10063.0</v>
      </c>
      <c r="K597" s="2" t="s">
        <v>1594</v>
      </c>
      <c r="L597" s="2"/>
      <c r="M597" s="2"/>
      <c r="N597" s="7">
        <v>1.0</v>
      </c>
      <c r="O597" s="12">
        <v>24762.0</v>
      </c>
      <c r="P597" s="11" t="s">
        <v>1649</v>
      </c>
      <c r="Q597" s="12">
        <v>24762.0</v>
      </c>
      <c r="R597" s="11" t="s">
        <v>1649</v>
      </c>
      <c r="S597" s="11" t="s">
        <v>1689</v>
      </c>
      <c r="T597" s="11" t="s">
        <v>1693</v>
      </c>
      <c r="U597" s="2" t="s">
        <v>1574</v>
      </c>
      <c r="V597" s="2" t="s">
        <v>1568</v>
      </c>
      <c r="W597" s="2" t="s">
        <v>1569</v>
      </c>
      <c r="X597" s="2" t="s">
        <v>1570</v>
      </c>
      <c r="AB597" s="2" t="s">
        <v>1571</v>
      </c>
    </row>
    <row r="598">
      <c r="A598" s="2" t="s">
        <v>1792</v>
      </c>
      <c r="B598" s="2">
        <v>18.0</v>
      </c>
      <c r="C598" s="2" t="s">
        <v>5</v>
      </c>
      <c r="D598" s="2" t="s">
        <v>1793</v>
      </c>
      <c r="E598" s="2">
        <v>2.0</v>
      </c>
      <c r="F598" s="2" t="s">
        <v>4</v>
      </c>
      <c r="G598" s="5">
        <v>2719994.0</v>
      </c>
      <c r="H598" s="2" t="s">
        <v>1575</v>
      </c>
      <c r="I598" s="2" t="s">
        <v>1572</v>
      </c>
      <c r="J598" s="2">
        <v>10128.0</v>
      </c>
      <c r="K598" s="2" t="s">
        <v>1588</v>
      </c>
      <c r="L598" s="2"/>
      <c r="M598" s="2"/>
      <c r="N598" s="7">
        <v>1.0</v>
      </c>
      <c r="O598" s="12">
        <v>23333.0</v>
      </c>
      <c r="P598" s="11" t="s">
        <v>1649</v>
      </c>
      <c r="Q598" s="12">
        <v>23333.0</v>
      </c>
      <c r="R598" s="11" t="s">
        <v>1649</v>
      </c>
      <c r="S598" s="11" t="s">
        <v>1681</v>
      </c>
      <c r="T598" s="11" t="s">
        <v>1682</v>
      </c>
      <c r="U598" s="2" t="s">
        <v>1574</v>
      </c>
      <c r="V598" s="2" t="s">
        <v>1568</v>
      </c>
      <c r="W598" s="2" t="s">
        <v>1569</v>
      </c>
      <c r="X598" s="2" t="s">
        <v>1570</v>
      </c>
      <c r="AB598" s="2" t="s">
        <v>1571</v>
      </c>
    </row>
    <row r="599">
      <c r="A599" s="2" t="s">
        <v>1792</v>
      </c>
      <c r="B599" s="2">
        <v>18.0</v>
      </c>
      <c r="C599" s="2" t="s">
        <v>5</v>
      </c>
      <c r="D599" s="2" t="s">
        <v>1793</v>
      </c>
      <c r="E599" s="2">
        <v>2.0</v>
      </c>
      <c r="F599" s="2" t="s">
        <v>4</v>
      </c>
      <c r="G599" s="5">
        <v>2719994.0</v>
      </c>
      <c r="H599" s="2" t="s">
        <v>1575</v>
      </c>
      <c r="I599" s="2" t="s">
        <v>1572</v>
      </c>
      <c r="J599" s="2">
        <v>10112.0</v>
      </c>
      <c r="K599" s="2" t="s">
        <v>1573</v>
      </c>
      <c r="L599" s="2"/>
      <c r="M599" s="2"/>
      <c r="N599" s="7">
        <v>1.0</v>
      </c>
      <c r="O599" s="12">
        <v>6667.0</v>
      </c>
      <c r="P599" s="11" t="s">
        <v>1649</v>
      </c>
      <c r="Q599" s="12">
        <v>6667.0</v>
      </c>
      <c r="R599" s="11" t="s">
        <v>1649</v>
      </c>
      <c r="S599" s="11" t="s">
        <v>1734</v>
      </c>
      <c r="T599" s="11" t="s">
        <v>1738</v>
      </c>
      <c r="U599" s="2" t="s">
        <v>1574</v>
      </c>
      <c r="V599" s="2" t="s">
        <v>1568</v>
      </c>
      <c r="W599" s="2" t="s">
        <v>1569</v>
      </c>
      <c r="X599" s="2" t="s">
        <v>1570</v>
      </c>
      <c r="AB599" s="2" t="s">
        <v>1571</v>
      </c>
    </row>
    <row r="600">
      <c r="A600" s="2" t="s">
        <v>1792</v>
      </c>
      <c r="B600" s="2">
        <v>17.0</v>
      </c>
      <c r="C600" s="2" t="s">
        <v>5</v>
      </c>
      <c r="D600" s="2" t="s">
        <v>1793</v>
      </c>
      <c r="E600" s="2">
        <v>2.0</v>
      </c>
      <c r="F600" s="2" t="s">
        <v>4</v>
      </c>
      <c r="G600" s="5">
        <v>2719629.0</v>
      </c>
      <c r="H600" s="2" t="s">
        <v>1575</v>
      </c>
      <c r="I600" s="2" t="s">
        <v>1578</v>
      </c>
      <c r="J600" s="2">
        <v>10015.0</v>
      </c>
      <c r="K600" s="2" t="s">
        <v>1587</v>
      </c>
      <c r="L600" s="2"/>
      <c r="M600" s="2"/>
      <c r="N600" s="7">
        <v>1.0</v>
      </c>
      <c r="O600" s="12">
        <v>25238.0</v>
      </c>
      <c r="P600" s="11" t="s">
        <v>1649</v>
      </c>
      <c r="Q600" s="12">
        <v>25238.0</v>
      </c>
      <c r="R600" s="11" t="s">
        <v>1649</v>
      </c>
      <c r="S600" s="11" t="s">
        <v>1660</v>
      </c>
      <c r="T600" s="11" t="s">
        <v>1680</v>
      </c>
      <c r="U600" s="2" t="s">
        <v>1574</v>
      </c>
      <c r="V600" s="2" t="s">
        <v>1568</v>
      </c>
      <c r="W600" s="2" t="s">
        <v>1569</v>
      </c>
      <c r="X600" s="2" t="s">
        <v>1570</v>
      </c>
      <c r="AB600" s="2" t="s">
        <v>1571</v>
      </c>
    </row>
    <row r="601">
      <c r="A601" s="2" t="s">
        <v>1792</v>
      </c>
      <c r="B601" s="2">
        <v>16.0</v>
      </c>
      <c r="C601" s="2" t="s">
        <v>5</v>
      </c>
      <c r="D601" s="2" t="s">
        <v>1793</v>
      </c>
      <c r="E601" s="2">
        <v>2.0</v>
      </c>
      <c r="F601" s="2" t="s">
        <v>4</v>
      </c>
      <c r="G601" s="5">
        <v>2719264.0</v>
      </c>
      <c r="H601" s="2" t="s">
        <v>1575</v>
      </c>
      <c r="I601" s="2" t="s">
        <v>1572</v>
      </c>
      <c r="J601" s="2">
        <v>10128.0</v>
      </c>
      <c r="K601" s="2" t="s">
        <v>1588</v>
      </c>
      <c r="L601" s="2"/>
      <c r="M601" s="2"/>
      <c r="N601" s="7">
        <v>1.0</v>
      </c>
      <c r="O601" s="12">
        <v>23333.0</v>
      </c>
      <c r="P601" s="11" t="s">
        <v>1649</v>
      </c>
      <c r="Q601" s="12">
        <v>23333.0</v>
      </c>
      <c r="R601" s="11" t="s">
        <v>1649</v>
      </c>
      <c r="S601" s="11" t="s">
        <v>1681</v>
      </c>
      <c r="T601" s="11" t="s">
        <v>1682</v>
      </c>
      <c r="U601" s="2" t="s">
        <v>1574</v>
      </c>
      <c r="V601" s="2" t="s">
        <v>1568</v>
      </c>
      <c r="W601" s="2" t="s">
        <v>1569</v>
      </c>
      <c r="X601" s="2" t="s">
        <v>1570</v>
      </c>
      <c r="AB601" s="2" t="s">
        <v>1571</v>
      </c>
    </row>
    <row r="602">
      <c r="A602" s="2" t="s">
        <v>1792</v>
      </c>
      <c r="B602" s="2">
        <v>16.0</v>
      </c>
      <c r="C602" s="2" t="s">
        <v>5</v>
      </c>
      <c r="D602" s="2" t="s">
        <v>1793</v>
      </c>
      <c r="E602" s="2">
        <v>2.0</v>
      </c>
      <c r="F602" s="2" t="s">
        <v>4</v>
      </c>
      <c r="G602" s="5">
        <v>2719264.0</v>
      </c>
      <c r="H602" s="2" t="s">
        <v>1575</v>
      </c>
      <c r="I602" s="2" t="s">
        <v>1565</v>
      </c>
      <c r="J602" s="2">
        <v>10000.0</v>
      </c>
      <c r="K602" s="2" t="s">
        <v>1566</v>
      </c>
      <c r="L602" s="2"/>
      <c r="M602" s="2"/>
      <c r="N602" s="7">
        <v>1.0</v>
      </c>
      <c r="O602" s="12">
        <v>29524.0</v>
      </c>
      <c r="P602" s="11" t="s">
        <v>1649</v>
      </c>
      <c r="Q602" s="12">
        <v>29524.0</v>
      </c>
      <c r="R602" s="11" t="s">
        <v>1649</v>
      </c>
      <c r="S602" s="11" t="s">
        <v>1683</v>
      </c>
      <c r="T602" s="11" t="s">
        <v>1684</v>
      </c>
      <c r="U602" s="2" t="s">
        <v>1574</v>
      </c>
      <c r="V602" s="2" t="s">
        <v>1568</v>
      </c>
      <c r="W602" s="2" t="s">
        <v>1569</v>
      </c>
      <c r="X602" s="2" t="s">
        <v>1570</v>
      </c>
      <c r="AB602" s="2" t="s">
        <v>1571</v>
      </c>
    </row>
    <row r="603">
      <c r="A603" s="2" t="s">
        <v>1792</v>
      </c>
      <c r="B603" s="2">
        <v>16.0</v>
      </c>
      <c r="C603" s="2" t="s">
        <v>5</v>
      </c>
      <c r="D603" s="2" t="s">
        <v>1793</v>
      </c>
      <c r="E603" s="2">
        <v>2.0</v>
      </c>
      <c r="F603" s="2" t="s">
        <v>4</v>
      </c>
      <c r="G603" s="5">
        <v>2718898.0</v>
      </c>
      <c r="H603" s="2" t="s">
        <v>1575</v>
      </c>
      <c r="I603" s="2" t="s">
        <v>1572</v>
      </c>
      <c r="J603" s="2">
        <v>10069.0</v>
      </c>
      <c r="K603" s="2" t="s">
        <v>1620</v>
      </c>
      <c r="L603" s="2"/>
      <c r="M603" s="2"/>
      <c r="N603" s="7">
        <v>1.0</v>
      </c>
      <c r="O603" s="12">
        <v>24762.0</v>
      </c>
      <c r="P603" s="11" t="s">
        <v>1649</v>
      </c>
      <c r="Q603" s="12">
        <v>24762.0</v>
      </c>
      <c r="R603" s="11" t="s">
        <v>1649</v>
      </c>
      <c r="S603" s="11" t="s">
        <v>1689</v>
      </c>
      <c r="T603" s="11" t="s">
        <v>1693</v>
      </c>
      <c r="U603" s="2" t="s">
        <v>1574</v>
      </c>
      <c r="V603" s="2" t="s">
        <v>1568</v>
      </c>
      <c r="W603" s="2" t="s">
        <v>1569</v>
      </c>
      <c r="X603" s="2" t="s">
        <v>1570</v>
      </c>
      <c r="AB603" s="2" t="s">
        <v>1571</v>
      </c>
    </row>
    <row r="604">
      <c r="A604" s="2" t="s">
        <v>1792</v>
      </c>
      <c r="B604" s="2">
        <v>13.0</v>
      </c>
      <c r="C604" s="2" t="s">
        <v>5</v>
      </c>
      <c r="D604" s="2" t="s">
        <v>1793</v>
      </c>
      <c r="E604" s="2">
        <v>2.0</v>
      </c>
      <c r="F604" s="2" t="s">
        <v>4</v>
      </c>
      <c r="G604" s="5">
        <v>2718533.0</v>
      </c>
      <c r="H604" s="2" t="s">
        <v>1575</v>
      </c>
      <c r="I604" s="2" t="s">
        <v>1565</v>
      </c>
      <c r="J604" s="2">
        <v>10000.0</v>
      </c>
      <c r="K604" s="2" t="s">
        <v>1566</v>
      </c>
      <c r="L604" s="2"/>
      <c r="M604" s="2"/>
      <c r="N604" s="7">
        <v>1.0</v>
      </c>
      <c r="O604" s="12">
        <v>29524.0</v>
      </c>
      <c r="P604" s="11" t="s">
        <v>1649</v>
      </c>
      <c r="Q604" s="12">
        <v>29524.0</v>
      </c>
      <c r="R604" s="11" t="s">
        <v>1649</v>
      </c>
      <c r="S604" s="11" t="s">
        <v>1683</v>
      </c>
      <c r="T604" s="11" t="s">
        <v>1684</v>
      </c>
      <c r="U604" s="2" t="s">
        <v>1574</v>
      </c>
      <c r="V604" s="2" t="s">
        <v>1568</v>
      </c>
      <c r="W604" s="2" t="s">
        <v>1569</v>
      </c>
      <c r="X604" s="2" t="s">
        <v>1570</v>
      </c>
      <c r="AB604" s="2" t="s">
        <v>1571</v>
      </c>
    </row>
    <row r="605">
      <c r="A605" s="2" t="s">
        <v>1792</v>
      </c>
      <c r="B605" s="2">
        <v>13.0</v>
      </c>
      <c r="C605" s="2" t="s">
        <v>5</v>
      </c>
      <c r="D605" s="2" t="s">
        <v>1793</v>
      </c>
      <c r="E605" s="2">
        <v>2.0</v>
      </c>
      <c r="F605" s="2" t="s">
        <v>4</v>
      </c>
      <c r="G605" s="5">
        <v>2718533.0</v>
      </c>
      <c r="H605" s="2" t="s">
        <v>1575</v>
      </c>
      <c r="I605" s="2" t="s">
        <v>1572</v>
      </c>
      <c r="J605" s="2">
        <v>10112.0</v>
      </c>
      <c r="K605" s="2" t="s">
        <v>1573</v>
      </c>
      <c r="L605" s="2"/>
      <c r="M605" s="2"/>
      <c r="N605" s="7">
        <v>1.0</v>
      </c>
      <c r="O605" s="12">
        <v>6667.0</v>
      </c>
      <c r="P605" s="11" t="s">
        <v>1649</v>
      </c>
      <c r="Q605" s="12">
        <v>6667.0</v>
      </c>
      <c r="R605" s="11" t="s">
        <v>1649</v>
      </c>
      <c r="S605" s="11" t="s">
        <v>1734</v>
      </c>
      <c r="T605" s="11" t="s">
        <v>1735</v>
      </c>
      <c r="U605" s="2" t="s">
        <v>1574</v>
      </c>
      <c r="V605" s="2" t="s">
        <v>1568</v>
      </c>
      <c r="W605" s="2" t="s">
        <v>1569</v>
      </c>
      <c r="X605" s="2" t="s">
        <v>1570</v>
      </c>
      <c r="AB605" s="2" t="s">
        <v>1571</v>
      </c>
    </row>
    <row r="606">
      <c r="A606" s="2" t="s">
        <v>1792</v>
      </c>
      <c r="B606" s="2">
        <v>13.0</v>
      </c>
      <c r="C606" s="2" t="s">
        <v>5</v>
      </c>
      <c r="D606" s="2" t="s">
        <v>1793</v>
      </c>
      <c r="E606" s="2">
        <v>2.0</v>
      </c>
      <c r="F606" s="2" t="s">
        <v>4</v>
      </c>
      <c r="G606" s="5">
        <v>2718168.0</v>
      </c>
      <c r="H606" s="2" t="s">
        <v>1575</v>
      </c>
      <c r="I606" s="2" t="s">
        <v>1578</v>
      </c>
      <c r="J606" s="2">
        <v>10004.0</v>
      </c>
      <c r="K606" s="2" t="s">
        <v>1607</v>
      </c>
      <c r="L606" s="2"/>
      <c r="M606" s="2"/>
      <c r="N606" s="7">
        <v>1.0</v>
      </c>
      <c r="O606" s="12">
        <v>25238.0</v>
      </c>
      <c r="P606" s="11" t="s">
        <v>1649</v>
      </c>
      <c r="Q606" s="12">
        <v>25238.0</v>
      </c>
      <c r="R606" s="11" t="s">
        <v>1649</v>
      </c>
      <c r="S606" s="11" t="s">
        <v>1660</v>
      </c>
      <c r="T606" s="11" t="s">
        <v>1680</v>
      </c>
      <c r="U606" s="2" t="s">
        <v>1574</v>
      </c>
      <c r="V606" s="2" t="s">
        <v>1568</v>
      </c>
      <c r="W606" s="2" t="s">
        <v>1569</v>
      </c>
      <c r="X606" s="2" t="s">
        <v>1570</v>
      </c>
      <c r="AB606" s="2" t="s">
        <v>1571</v>
      </c>
    </row>
    <row r="607">
      <c r="A607" s="2" t="s">
        <v>1792</v>
      </c>
      <c r="B607" s="2">
        <v>13.0</v>
      </c>
      <c r="C607" s="2" t="s">
        <v>5</v>
      </c>
      <c r="D607" s="2" t="s">
        <v>1793</v>
      </c>
      <c r="E607" s="2">
        <v>2.0</v>
      </c>
      <c r="F607" s="2" t="s">
        <v>4</v>
      </c>
      <c r="G607" s="5">
        <v>2718168.0</v>
      </c>
      <c r="H607" s="2" t="s">
        <v>1575</v>
      </c>
      <c r="I607" s="2" t="s">
        <v>1565</v>
      </c>
      <c r="J607" s="2">
        <v>10002.0</v>
      </c>
      <c r="K607" s="2" t="s">
        <v>1576</v>
      </c>
      <c r="L607" s="2"/>
      <c r="M607" s="2"/>
      <c r="N607" s="7">
        <v>1.0</v>
      </c>
      <c r="O607" s="12">
        <v>18571.0</v>
      </c>
      <c r="P607" s="11" t="s">
        <v>1649</v>
      </c>
      <c r="Q607" s="12">
        <v>18571.0</v>
      </c>
      <c r="R607" s="11" t="s">
        <v>1649</v>
      </c>
      <c r="S607" s="11" t="s">
        <v>1656</v>
      </c>
      <c r="T607" s="11" t="s">
        <v>1688</v>
      </c>
      <c r="U607" s="2" t="s">
        <v>1574</v>
      </c>
      <c r="V607" s="2" t="s">
        <v>1568</v>
      </c>
      <c r="W607" s="2" t="s">
        <v>1569</v>
      </c>
      <c r="X607" s="2" t="s">
        <v>1570</v>
      </c>
      <c r="AB607" s="2" t="s">
        <v>1571</v>
      </c>
    </row>
    <row r="608">
      <c r="A608" s="2" t="s">
        <v>1792</v>
      </c>
      <c r="B608" s="2">
        <v>13.0</v>
      </c>
      <c r="C608" s="2" t="s">
        <v>5</v>
      </c>
      <c r="D608" s="2" t="s">
        <v>1793</v>
      </c>
      <c r="E608" s="2">
        <v>2.0</v>
      </c>
      <c r="F608" s="2" t="s">
        <v>4</v>
      </c>
      <c r="G608" s="5">
        <v>2717803.0</v>
      </c>
      <c r="H608" s="2" t="s">
        <v>1575</v>
      </c>
      <c r="I608" s="2" t="s">
        <v>1565</v>
      </c>
      <c r="J608" s="2">
        <v>10007.0</v>
      </c>
      <c r="K608" s="2" t="s">
        <v>1576</v>
      </c>
      <c r="L608" s="2"/>
      <c r="M608" s="2"/>
      <c r="N608" s="7">
        <v>2.0</v>
      </c>
      <c r="O608" s="12">
        <v>33810.0</v>
      </c>
      <c r="P608" s="11" t="s">
        <v>1649</v>
      </c>
      <c r="Q608" s="12">
        <v>33810.0</v>
      </c>
      <c r="R608" s="11" t="s">
        <v>1649</v>
      </c>
      <c r="S608" s="11" t="s">
        <v>1701</v>
      </c>
      <c r="T608" s="11" t="s">
        <v>1703</v>
      </c>
      <c r="U608" s="2" t="s">
        <v>1574</v>
      </c>
      <c r="V608" s="2" t="s">
        <v>1568</v>
      </c>
      <c r="W608" s="2" t="s">
        <v>1569</v>
      </c>
      <c r="X608" s="2" t="s">
        <v>1570</v>
      </c>
      <c r="AB608" s="2" t="s">
        <v>1571</v>
      </c>
    </row>
    <row r="609">
      <c r="A609" s="2" t="s">
        <v>1792</v>
      </c>
      <c r="B609" s="2">
        <v>13.0</v>
      </c>
      <c r="C609" s="2" t="s">
        <v>5</v>
      </c>
      <c r="D609" s="2" t="s">
        <v>1793</v>
      </c>
      <c r="E609" s="2">
        <v>2.0</v>
      </c>
      <c r="F609" s="2" t="s">
        <v>4</v>
      </c>
      <c r="G609" s="5">
        <v>2717803.0</v>
      </c>
      <c r="H609" s="2" t="s">
        <v>1575</v>
      </c>
      <c r="I609" s="2" t="s">
        <v>1565</v>
      </c>
      <c r="J609" s="2">
        <v>10000.0</v>
      </c>
      <c r="K609" s="2" t="s">
        <v>1566</v>
      </c>
      <c r="L609" s="2"/>
      <c r="M609" s="2"/>
      <c r="N609" s="7">
        <v>1.0</v>
      </c>
      <c r="O609" s="12">
        <v>29524.0</v>
      </c>
      <c r="P609" s="11" t="s">
        <v>1649</v>
      </c>
      <c r="Q609" s="12">
        <v>29524.0</v>
      </c>
      <c r="R609" s="11" t="s">
        <v>1649</v>
      </c>
      <c r="S609" s="11" t="s">
        <v>1683</v>
      </c>
      <c r="T609" s="11" t="s">
        <v>1684</v>
      </c>
      <c r="U609" s="2" t="s">
        <v>1574</v>
      </c>
      <c r="V609" s="2" t="s">
        <v>1568</v>
      </c>
      <c r="W609" s="2" t="s">
        <v>1569</v>
      </c>
      <c r="X609" s="2" t="s">
        <v>1570</v>
      </c>
      <c r="AB609" s="2" t="s">
        <v>1571</v>
      </c>
    </row>
    <row r="610">
      <c r="A610" s="2" t="s">
        <v>1792</v>
      </c>
      <c r="B610" s="2">
        <v>13.0</v>
      </c>
      <c r="C610" s="2" t="s">
        <v>5</v>
      </c>
      <c r="D610" s="2" t="s">
        <v>1793</v>
      </c>
      <c r="E610" s="2">
        <v>2.0</v>
      </c>
      <c r="F610" s="2" t="s">
        <v>4</v>
      </c>
      <c r="G610" s="5">
        <v>2717803.0</v>
      </c>
      <c r="H610" s="2" t="s">
        <v>1575</v>
      </c>
      <c r="I610" s="2" t="s">
        <v>1565</v>
      </c>
      <c r="J610" s="2">
        <v>10005.0</v>
      </c>
      <c r="K610" s="2" t="s">
        <v>1595</v>
      </c>
      <c r="L610" s="2"/>
      <c r="M610" s="2"/>
      <c r="N610" s="7">
        <v>1.0</v>
      </c>
      <c r="O610" s="12">
        <v>19524.0</v>
      </c>
      <c r="P610" s="11" t="s">
        <v>1649</v>
      </c>
      <c r="Q610" s="12">
        <v>19524.0</v>
      </c>
      <c r="R610" s="11" t="s">
        <v>1649</v>
      </c>
      <c r="S610" s="11" t="s">
        <v>1676</v>
      </c>
      <c r="T610" s="11" t="s">
        <v>1677</v>
      </c>
      <c r="U610" s="2" t="s">
        <v>1574</v>
      </c>
      <c r="V610" s="2" t="s">
        <v>1568</v>
      </c>
      <c r="W610" s="2" t="s">
        <v>1569</v>
      </c>
      <c r="X610" s="2" t="s">
        <v>1570</v>
      </c>
      <c r="AB610" s="2" t="s">
        <v>1571</v>
      </c>
    </row>
    <row r="611">
      <c r="A611" s="2" t="s">
        <v>1792</v>
      </c>
      <c r="B611" s="2">
        <v>13.0</v>
      </c>
      <c r="C611" s="2" t="s">
        <v>5</v>
      </c>
      <c r="D611" s="2" t="s">
        <v>1793</v>
      </c>
      <c r="E611" s="2">
        <v>2.0</v>
      </c>
      <c r="F611" s="2" t="s">
        <v>4</v>
      </c>
      <c r="G611" s="5">
        <v>2717437.0</v>
      </c>
      <c r="H611" s="2" t="s">
        <v>1575</v>
      </c>
      <c r="I611" s="2" t="s">
        <v>1572</v>
      </c>
      <c r="J611" s="2">
        <v>10026.0</v>
      </c>
      <c r="K611" s="2" t="s">
        <v>1583</v>
      </c>
      <c r="L611" s="2"/>
      <c r="M611" s="2"/>
      <c r="N611" s="7">
        <v>1.0</v>
      </c>
      <c r="O611" s="12">
        <v>21905.0</v>
      </c>
      <c r="P611" s="11" t="s">
        <v>1649</v>
      </c>
      <c r="Q611" s="12">
        <v>21905.0</v>
      </c>
      <c r="R611" s="11" t="s">
        <v>1649</v>
      </c>
      <c r="S611" s="11" t="s">
        <v>1666</v>
      </c>
      <c r="T611" s="11" t="s">
        <v>1667</v>
      </c>
      <c r="U611" s="2" t="s">
        <v>1574</v>
      </c>
      <c r="V611" s="2" t="s">
        <v>1568</v>
      </c>
      <c r="W611" s="2" t="s">
        <v>1569</v>
      </c>
      <c r="X611" s="2" t="s">
        <v>1570</v>
      </c>
      <c r="AB611" s="2" t="s">
        <v>1571</v>
      </c>
    </row>
    <row r="612">
      <c r="A612" s="2" t="s">
        <v>1792</v>
      </c>
      <c r="B612" s="2">
        <v>13.0</v>
      </c>
      <c r="C612" s="2" t="s">
        <v>5</v>
      </c>
      <c r="D612" s="2" t="s">
        <v>1793</v>
      </c>
      <c r="E612" s="2">
        <v>2.0</v>
      </c>
      <c r="F612" s="2" t="s">
        <v>4</v>
      </c>
      <c r="G612" s="5">
        <v>2717437.0</v>
      </c>
      <c r="H612" s="2" t="s">
        <v>1575</v>
      </c>
      <c r="I612" s="2" t="s">
        <v>1572</v>
      </c>
      <c r="J612" s="2">
        <v>10123.0</v>
      </c>
      <c r="K612" s="2" t="s">
        <v>1599</v>
      </c>
      <c r="L612" s="2"/>
      <c r="M612" s="2"/>
      <c r="N612" s="7">
        <v>1.0</v>
      </c>
      <c r="O612" s="12">
        <v>21905.0</v>
      </c>
      <c r="P612" s="11" t="s">
        <v>1649</v>
      </c>
      <c r="Q612" s="12">
        <v>21905.0</v>
      </c>
      <c r="R612" s="11" t="s">
        <v>1649</v>
      </c>
      <c r="S612" s="11" t="s">
        <v>1666</v>
      </c>
      <c r="T612" s="11" t="s">
        <v>1687</v>
      </c>
      <c r="U612" s="2" t="s">
        <v>1574</v>
      </c>
      <c r="V612" s="2" t="s">
        <v>1568</v>
      </c>
      <c r="W612" s="2" t="s">
        <v>1569</v>
      </c>
      <c r="X612" s="2" t="s">
        <v>1570</v>
      </c>
      <c r="AB612" s="2" t="s">
        <v>1571</v>
      </c>
    </row>
    <row r="613">
      <c r="A613" s="2" t="s">
        <v>1792</v>
      </c>
      <c r="B613" s="2">
        <v>13.0</v>
      </c>
      <c r="C613" s="2" t="s">
        <v>5</v>
      </c>
      <c r="D613" s="2" t="s">
        <v>1793</v>
      </c>
      <c r="E613" s="2">
        <v>2.0</v>
      </c>
      <c r="F613" s="2" t="s">
        <v>4</v>
      </c>
      <c r="G613" s="5">
        <v>2717437.0</v>
      </c>
      <c r="H613" s="2" t="s">
        <v>1575</v>
      </c>
      <c r="I613" s="2" t="s">
        <v>1578</v>
      </c>
      <c r="J613" s="2">
        <v>10004.0</v>
      </c>
      <c r="K613" s="2" t="s">
        <v>1607</v>
      </c>
      <c r="L613" s="2"/>
      <c r="M613" s="2"/>
      <c r="N613" s="7">
        <v>1.0</v>
      </c>
      <c r="O613" s="12">
        <v>25238.0</v>
      </c>
      <c r="P613" s="11" t="s">
        <v>1649</v>
      </c>
      <c r="Q613" s="12">
        <v>25238.0</v>
      </c>
      <c r="R613" s="11" t="s">
        <v>1649</v>
      </c>
      <c r="S613" s="11" t="s">
        <v>1660</v>
      </c>
      <c r="T613" s="11" t="s">
        <v>1661</v>
      </c>
      <c r="U613" s="2" t="s">
        <v>1574</v>
      </c>
      <c r="V613" s="2" t="s">
        <v>1568</v>
      </c>
      <c r="W613" s="2" t="s">
        <v>1569</v>
      </c>
      <c r="X613" s="2" t="s">
        <v>1570</v>
      </c>
      <c r="AB613" s="2" t="s">
        <v>1571</v>
      </c>
    </row>
    <row r="614">
      <c r="A614" s="2" t="s">
        <v>1792</v>
      </c>
      <c r="B614" s="2">
        <v>13.0</v>
      </c>
      <c r="C614" s="2" t="s">
        <v>5</v>
      </c>
      <c r="D614" s="2" t="s">
        <v>1793</v>
      </c>
      <c r="E614" s="2">
        <v>2.0</v>
      </c>
      <c r="F614" s="2" t="s">
        <v>4</v>
      </c>
      <c r="G614" s="5">
        <v>2717437.0</v>
      </c>
      <c r="H614" s="2" t="s">
        <v>1575</v>
      </c>
      <c r="I614" s="2" t="s">
        <v>1565</v>
      </c>
      <c r="J614" s="2">
        <v>10000.0</v>
      </c>
      <c r="K614" s="2" t="s">
        <v>1566</v>
      </c>
      <c r="L614" s="2"/>
      <c r="M614" s="2"/>
      <c r="N614" s="7">
        <v>1.0</v>
      </c>
      <c r="O614" s="12">
        <v>29524.0</v>
      </c>
      <c r="P614" s="11" t="s">
        <v>1649</v>
      </c>
      <c r="Q614" s="12">
        <v>29524.0</v>
      </c>
      <c r="R614" s="11" t="s">
        <v>1649</v>
      </c>
      <c r="S614" s="11" t="s">
        <v>1683</v>
      </c>
      <c r="T614" s="11" t="s">
        <v>1745</v>
      </c>
      <c r="U614" s="2" t="s">
        <v>1574</v>
      </c>
      <c r="V614" s="2" t="s">
        <v>1568</v>
      </c>
      <c r="W614" s="2" t="s">
        <v>1569</v>
      </c>
      <c r="X614" s="2" t="s">
        <v>1570</v>
      </c>
      <c r="AB614" s="2" t="s">
        <v>1571</v>
      </c>
    </row>
    <row r="615">
      <c r="A615" s="2" t="s">
        <v>1792</v>
      </c>
      <c r="B615" s="2">
        <v>12.0</v>
      </c>
      <c r="C615" s="2" t="s">
        <v>5</v>
      </c>
      <c r="D615" s="2" t="s">
        <v>1793</v>
      </c>
      <c r="E615" s="2">
        <v>2.0</v>
      </c>
      <c r="F615" s="2" t="s">
        <v>4</v>
      </c>
      <c r="G615" s="5">
        <v>2717072.0</v>
      </c>
      <c r="H615" s="2" t="s">
        <v>1575</v>
      </c>
      <c r="I615" s="2" t="s">
        <v>1565</v>
      </c>
      <c r="J615" s="2">
        <v>10000.0</v>
      </c>
      <c r="K615" s="2" t="s">
        <v>1566</v>
      </c>
      <c r="L615" s="2"/>
      <c r="M615" s="2"/>
      <c r="N615" s="7">
        <v>1.0</v>
      </c>
      <c r="O615" s="12">
        <v>29524.0</v>
      </c>
      <c r="P615" s="11" t="s">
        <v>1649</v>
      </c>
      <c r="Q615" s="12">
        <v>29524.0</v>
      </c>
      <c r="R615" s="11" t="s">
        <v>1649</v>
      </c>
      <c r="S615" s="11" t="s">
        <v>1683</v>
      </c>
      <c r="T615" s="11" t="s">
        <v>1684</v>
      </c>
      <c r="U615" s="2" t="s">
        <v>1574</v>
      </c>
      <c r="V615" s="2" t="s">
        <v>1568</v>
      </c>
      <c r="W615" s="2" t="s">
        <v>1569</v>
      </c>
      <c r="X615" s="2" t="s">
        <v>1570</v>
      </c>
      <c r="AB615" s="2" t="s">
        <v>1571</v>
      </c>
    </row>
    <row r="616">
      <c r="A616" s="2" t="s">
        <v>1792</v>
      </c>
      <c r="B616" s="2">
        <v>11.0</v>
      </c>
      <c r="C616" s="2" t="s">
        <v>5</v>
      </c>
      <c r="D616" s="2" t="s">
        <v>1793</v>
      </c>
      <c r="E616" s="2">
        <v>2.0</v>
      </c>
      <c r="F616" s="2" t="s">
        <v>4</v>
      </c>
      <c r="G616" s="5">
        <v>2716707.0</v>
      </c>
      <c r="H616" s="2" t="s">
        <v>1575</v>
      </c>
      <c r="I616" s="2" t="s">
        <v>1565</v>
      </c>
      <c r="J616" s="2">
        <v>10005.0</v>
      </c>
      <c r="K616" s="2" t="s">
        <v>1595</v>
      </c>
      <c r="L616" s="2"/>
      <c r="M616" s="2"/>
      <c r="N616" s="7">
        <v>1.0</v>
      </c>
      <c r="O616" s="12">
        <v>19524.0</v>
      </c>
      <c r="P616" s="11" t="s">
        <v>1649</v>
      </c>
      <c r="Q616" s="12">
        <v>19524.0</v>
      </c>
      <c r="R616" s="11" t="s">
        <v>1649</v>
      </c>
      <c r="S616" s="11" t="s">
        <v>1676</v>
      </c>
      <c r="T616" s="11" t="s">
        <v>1677</v>
      </c>
      <c r="U616" s="2" t="s">
        <v>1574</v>
      </c>
      <c r="V616" s="2" t="s">
        <v>1568</v>
      </c>
      <c r="W616" s="2" t="s">
        <v>1569</v>
      </c>
      <c r="X616" s="2" t="s">
        <v>1570</v>
      </c>
      <c r="AB616" s="2" t="s">
        <v>1571</v>
      </c>
    </row>
    <row r="617">
      <c r="A617" s="2" t="s">
        <v>1792</v>
      </c>
      <c r="B617" s="2">
        <v>11.0</v>
      </c>
      <c r="C617" s="2" t="s">
        <v>5</v>
      </c>
      <c r="D617" s="2" t="s">
        <v>1793</v>
      </c>
      <c r="E617" s="2">
        <v>2.0</v>
      </c>
      <c r="F617" s="2" t="s">
        <v>4</v>
      </c>
      <c r="G617" s="5">
        <v>2716707.0</v>
      </c>
      <c r="H617" s="2" t="s">
        <v>1575</v>
      </c>
      <c r="I617" s="2" t="s">
        <v>1565</v>
      </c>
      <c r="J617" s="2">
        <v>10002.0</v>
      </c>
      <c r="K617" s="2" t="s">
        <v>1576</v>
      </c>
      <c r="L617" s="2"/>
      <c r="M617" s="2"/>
      <c r="N617" s="7">
        <v>1.0</v>
      </c>
      <c r="O617" s="12">
        <v>18571.0</v>
      </c>
      <c r="P617" s="11" t="s">
        <v>1649</v>
      </c>
      <c r="Q617" s="12">
        <v>18571.0</v>
      </c>
      <c r="R617" s="11" t="s">
        <v>1649</v>
      </c>
      <c r="S617" s="11" t="s">
        <v>1656</v>
      </c>
      <c r="T617" s="11" t="s">
        <v>1657</v>
      </c>
      <c r="U617" s="2" t="s">
        <v>1574</v>
      </c>
      <c r="V617" s="2" t="s">
        <v>1568</v>
      </c>
      <c r="W617" s="2" t="s">
        <v>1569</v>
      </c>
      <c r="X617" s="2" t="s">
        <v>1570</v>
      </c>
      <c r="AB617" s="2" t="s">
        <v>1571</v>
      </c>
    </row>
    <row r="618">
      <c r="A618" s="2" t="s">
        <v>1792</v>
      </c>
      <c r="B618" s="2">
        <v>10.0</v>
      </c>
      <c r="C618" s="2" t="s">
        <v>5</v>
      </c>
      <c r="D618" s="2" t="s">
        <v>1793</v>
      </c>
      <c r="E618" s="2">
        <v>2.0</v>
      </c>
      <c r="F618" s="2" t="s">
        <v>4</v>
      </c>
      <c r="G618" s="5">
        <v>2716342.0</v>
      </c>
      <c r="H618" s="2" t="s">
        <v>1575</v>
      </c>
      <c r="I618" s="2" t="s">
        <v>1565</v>
      </c>
      <c r="J618" s="2">
        <v>10000.0</v>
      </c>
      <c r="K618" s="2" t="s">
        <v>1566</v>
      </c>
      <c r="L618" s="2"/>
      <c r="M618" s="2"/>
      <c r="N618" s="7">
        <v>1.0</v>
      </c>
      <c r="O618" s="12">
        <v>29524.0</v>
      </c>
      <c r="P618" s="11" t="s">
        <v>1649</v>
      </c>
      <c r="Q618" s="12">
        <v>29524.0</v>
      </c>
      <c r="R618" s="11" t="s">
        <v>1649</v>
      </c>
      <c r="S618" s="11" t="s">
        <v>1683</v>
      </c>
      <c r="T618" s="11" t="s">
        <v>1684</v>
      </c>
      <c r="U618" s="2" t="s">
        <v>1574</v>
      </c>
      <c r="V618" s="2" t="s">
        <v>1568</v>
      </c>
      <c r="W618" s="2" t="s">
        <v>1569</v>
      </c>
      <c r="X618" s="2" t="s">
        <v>1570</v>
      </c>
      <c r="AB618" s="2" t="s">
        <v>1571</v>
      </c>
    </row>
    <row r="619">
      <c r="A619" s="2" t="s">
        <v>1792</v>
      </c>
      <c r="B619" s="2">
        <v>10.0</v>
      </c>
      <c r="C619" s="2" t="s">
        <v>5</v>
      </c>
      <c r="D619" s="2" t="s">
        <v>1793</v>
      </c>
      <c r="E619" s="2">
        <v>2.0</v>
      </c>
      <c r="F619" s="2" t="s">
        <v>4</v>
      </c>
      <c r="G619" s="5">
        <v>2716342.0</v>
      </c>
      <c r="H619" s="2" t="s">
        <v>1575</v>
      </c>
      <c r="I619" s="2" t="s">
        <v>1572</v>
      </c>
      <c r="J619" s="2">
        <v>10070.0</v>
      </c>
      <c r="K619" s="2" t="s">
        <v>1593</v>
      </c>
      <c r="L619" s="2"/>
      <c r="M619" s="2"/>
      <c r="N619" s="7">
        <v>1.0</v>
      </c>
      <c r="O619" s="12">
        <v>24762.0</v>
      </c>
      <c r="P619" s="11" t="s">
        <v>1649</v>
      </c>
      <c r="Q619" s="12">
        <v>24762.0</v>
      </c>
      <c r="R619" s="11" t="s">
        <v>1649</v>
      </c>
      <c r="S619" s="11" t="s">
        <v>1689</v>
      </c>
      <c r="T619" s="11" t="s">
        <v>1693</v>
      </c>
      <c r="U619" s="2" t="s">
        <v>1574</v>
      </c>
      <c r="V619" s="2" t="s">
        <v>1568</v>
      </c>
      <c r="W619" s="2" t="s">
        <v>1569</v>
      </c>
      <c r="X619" s="2" t="s">
        <v>1570</v>
      </c>
      <c r="AB619" s="2" t="s">
        <v>1571</v>
      </c>
    </row>
    <row r="620">
      <c r="A620" s="2" t="s">
        <v>1792</v>
      </c>
      <c r="B620" s="2">
        <v>9.0</v>
      </c>
      <c r="C620" s="2" t="s">
        <v>5</v>
      </c>
      <c r="D620" s="2" t="s">
        <v>1793</v>
      </c>
      <c r="E620" s="2">
        <v>2.0</v>
      </c>
      <c r="F620" s="2" t="s">
        <v>4</v>
      </c>
      <c r="G620" s="5">
        <v>2715976.0</v>
      </c>
      <c r="H620" s="2" t="s">
        <v>1575</v>
      </c>
      <c r="I620" s="2" t="s">
        <v>1565</v>
      </c>
      <c r="J620" s="2">
        <v>10007.0</v>
      </c>
      <c r="K620" s="2" t="s">
        <v>1576</v>
      </c>
      <c r="L620" s="2"/>
      <c r="M620" s="2"/>
      <c r="N620" s="7">
        <v>2.0</v>
      </c>
      <c r="O620" s="12">
        <v>33810.0</v>
      </c>
      <c r="P620" s="11" t="s">
        <v>1794</v>
      </c>
      <c r="Q620" s="12">
        <v>23667.0</v>
      </c>
      <c r="R620" s="11" t="s">
        <v>1649</v>
      </c>
      <c r="S620" s="11" t="s">
        <v>1795</v>
      </c>
      <c r="T620" s="11" t="s">
        <v>1796</v>
      </c>
      <c r="U620" s="2" t="s">
        <v>1574</v>
      </c>
      <c r="V620" s="2" t="s">
        <v>1568</v>
      </c>
      <c r="W620" s="2" t="s">
        <v>1569</v>
      </c>
      <c r="X620" s="2" t="s">
        <v>1570</v>
      </c>
      <c r="AB620" s="2" t="s">
        <v>1571</v>
      </c>
    </row>
    <row r="621">
      <c r="A621" s="2" t="s">
        <v>1792</v>
      </c>
      <c r="B621" s="2">
        <v>9.0</v>
      </c>
      <c r="C621" s="2" t="s">
        <v>5</v>
      </c>
      <c r="D621" s="2" t="s">
        <v>1793</v>
      </c>
      <c r="E621" s="2">
        <v>2.0</v>
      </c>
      <c r="F621" s="2" t="s">
        <v>4</v>
      </c>
      <c r="G621" s="5">
        <v>2715611.0</v>
      </c>
      <c r="H621" s="2" t="s">
        <v>1575</v>
      </c>
      <c r="I621" s="2" t="s">
        <v>1572</v>
      </c>
      <c r="J621" s="2">
        <v>10128.0</v>
      </c>
      <c r="K621" s="2" t="s">
        <v>1588</v>
      </c>
      <c r="L621" s="2"/>
      <c r="M621" s="2"/>
      <c r="N621" s="7">
        <v>1.0</v>
      </c>
      <c r="O621" s="12">
        <v>23333.0</v>
      </c>
      <c r="P621" s="11" t="s">
        <v>1649</v>
      </c>
      <c r="Q621" s="12">
        <v>23333.0</v>
      </c>
      <c r="R621" s="11" t="s">
        <v>1649</v>
      </c>
      <c r="S621" s="11" t="s">
        <v>1681</v>
      </c>
      <c r="T621" s="11" t="s">
        <v>1682</v>
      </c>
      <c r="U621" s="2" t="s">
        <v>1574</v>
      </c>
      <c r="V621" s="2" t="s">
        <v>1568</v>
      </c>
      <c r="W621" s="2" t="s">
        <v>1569</v>
      </c>
      <c r="X621" s="2" t="s">
        <v>1570</v>
      </c>
      <c r="AB621" s="2" t="s">
        <v>1571</v>
      </c>
    </row>
    <row r="622">
      <c r="A622" s="2" t="s">
        <v>1792</v>
      </c>
      <c r="B622" s="2">
        <v>9.0</v>
      </c>
      <c r="C622" s="2" t="s">
        <v>5</v>
      </c>
      <c r="D622" s="2" t="s">
        <v>1793</v>
      </c>
      <c r="E622" s="2">
        <v>2.0</v>
      </c>
      <c r="F622" s="2" t="s">
        <v>4</v>
      </c>
      <c r="G622" s="5">
        <v>2715246.0</v>
      </c>
      <c r="H622" s="2" t="s">
        <v>1575</v>
      </c>
      <c r="I622" s="2" t="s">
        <v>1565</v>
      </c>
      <c r="J622" s="2">
        <v>10002.0</v>
      </c>
      <c r="K622" s="2" t="s">
        <v>1576</v>
      </c>
      <c r="L622" s="2"/>
      <c r="M622" s="2"/>
      <c r="N622" s="7">
        <v>1.0</v>
      </c>
      <c r="O622" s="12">
        <v>18571.0</v>
      </c>
      <c r="P622" s="11" t="s">
        <v>1649</v>
      </c>
      <c r="Q622" s="12">
        <v>18571.0</v>
      </c>
      <c r="R622" s="11" t="s">
        <v>1649</v>
      </c>
      <c r="S622" s="11" t="s">
        <v>1656</v>
      </c>
      <c r="T622" s="11" t="s">
        <v>1657</v>
      </c>
      <c r="U622" s="2" t="s">
        <v>1574</v>
      </c>
      <c r="V622" s="2" t="s">
        <v>1568</v>
      </c>
      <c r="W622" s="2" t="s">
        <v>1569</v>
      </c>
      <c r="X622" s="2" t="s">
        <v>1570</v>
      </c>
      <c r="AB622" s="2" t="s">
        <v>1571</v>
      </c>
    </row>
    <row r="623">
      <c r="A623" s="2" t="s">
        <v>1792</v>
      </c>
      <c r="B623" s="2">
        <v>9.0</v>
      </c>
      <c r="C623" s="2" t="s">
        <v>5</v>
      </c>
      <c r="D623" s="2" t="s">
        <v>1793</v>
      </c>
      <c r="E623" s="2">
        <v>2.0</v>
      </c>
      <c r="F623" s="2" t="s">
        <v>4</v>
      </c>
      <c r="G623" s="5">
        <v>2715246.0</v>
      </c>
      <c r="H623" s="2" t="s">
        <v>1575</v>
      </c>
      <c r="I623" s="2" t="s">
        <v>1572</v>
      </c>
      <c r="J623" s="2">
        <v>10122.0</v>
      </c>
      <c r="K623" s="2" t="s">
        <v>1577</v>
      </c>
      <c r="L623" s="2"/>
      <c r="M623" s="2"/>
      <c r="N623" s="7">
        <v>1.0</v>
      </c>
      <c r="O623" s="12">
        <v>21905.0</v>
      </c>
      <c r="P623" s="11" t="s">
        <v>1649</v>
      </c>
      <c r="Q623" s="12">
        <v>21905.0</v>
      </c>
      <c r="R623" s="11" t="s">
        <v>1649</v>
      </c>
      <c r="S623" s="11" t="s">
        <v>1666</v>
      </c>
      <c r="T623" s="11" t="s">
        <v>1667</v>
      </c>
      <c r="U623" s="2" t="s">
        <v>1574</v>
      </c>
      <c r="V623" s="2" t="s">
        <v>1568</v>
      </c>
      <c r="W623" s="2" t="s">
        <v>1569</v>
      </c>
      <c r="X623" s="2" t="s">
        <v>1570</v>
      </c>
      <c r="AB623" s="2" t="s">
        <v>1571</v>
      </c>
    </row>
    <row r="624">
      <c r="A624" s="2" t="s">
        <v>1797</v>
      </c>
      <c r="B624" s="2">
        <v>21.0</v>
      </c>
      <c r="C624" s="2" t="s">
        <v>11</v>
      </c>
      <c r="D624" s="2" t="s">
        <v>1798</v>
      </c>
      <c r="E624" s="2">
        <v>7.0</v>
      </c>
      <c r="F624" s="2" t="s">
        <v>10</v>
      </c>
      <c r="G624" s="5">
        <v>2714881.0</v>
      </c>
      <c r="H624" s="2" t="s">
        <v>1575</v>
      </c>
      <c r="I624" s="2" t="s">
        <v>1572</v>
      </c>
      <c r="J624" s="2">
        <v>10070.0</v>
      </c>
      <c r="K624" s="2" t="s">
        <v>1593</v>
      </c>
      <c r="L624" s="2"/>
      <c r="M624" s="2"/>
      <c r="N624" s="7">
        <v>1.0</v>
      </c>
      <c r="O624" s="12">
        <v>24762.0</v>
      </c>
      <c r="P624" s="11" t="s">
        <v>1649</v>
      </c>
      <c r="Q624" s="12">
        <v>24762.0</v>
      </c>
      <c r="R624" s="11" t="s">
        <v>1649</v>
      </c>
      <c r="S624" s="11" t="s">
        <v>1689</v>
      </c>
      <c r="T624" s="11" t="s">
        <v>1693</v>
      </c>
      <c r="U624" s="2" t="s">
        <v>1574</v>
      </c>
      <c r="V624" s="2" t="s">
        <v>1568</v>
      </c>
      <c r="W624" s="2" t="s">
        <v>1569</v>
      </c>
      <c r="X624" s="2" t="s">
        <v>1570</v>
      </c>
      <c r="AB624" s="2" t="s">
        <v>1571</v>
      </c>
    </row>
    <row r="625">
      <c r="A625" s="2" t="s">
        <v>1797</v>
      </c>
      <c r="B625" s="2">
        <v>21.0</v>
      </c>
      <c r="C625" s="2" t="s">
        <v>11</v>
      </c>
      <c r="D625" s="2" t="s">
        <v>1798</v>
      </c>
      <c r="E625" s="2">
        <v>7.0</v>
      </c>
      <c r="F625" s="2" t="s">
        <v>10</v>
      </c>
      <c r="G625" s="5">
        <v>2714881.0</v>
      </c>
      <c r="H625" s="2" t="s">
        <v>1575</v>
      </c>
      <c r="I625" s="2" t="s">
        <v>1572</v>
      </c>
      <c r="J625" s="2">
        <v>10128.0</v>
      </c>
      <c r="K625" s="2" t="s">
        <v>1588</v>
      </c>
      <c r="L625" s="2"/>
      <c r="M625" s="2"/>
      <c r="N625" s="7">
        <v>1.0</v>
      </c>
      <c r="O625" s="12">
        <v>23333.0</v>
      </c>
      <c r="P625" s="11" t="s">
        <v>1649</v>
      </c>
      <c r="Q625" s="12">
        <v>23333.0</v>
      </c>
      <c r="R625" s="11" t="s">
        <v>1649</v>
      </c>
      <c r="S625" s="11" t="s">
        <v>1681</v>
      </c>
      <c r="T625" s="11" t="s">
        <v>1682</v>
      </c>
      <c r="U625" s="2" t="s">
        <v>1574</v>
      </c>
      <c r="V625" s="2" t="s">
        <v>1568</v>
      </c>
      <c r="W625" s="2" t="s">
        <v>1569</v>
      </c>
      <c r="X625" s="2" t="s">
        <v>1570</v>
      </c>
      <c r="AB625" s="2" t="s">
        <v>1571</v>
      </c>
    </row>
    <row r="626">
      <c r="A626" s="2" t="s">
        <v>1797</v>
      </c>
      <c r="B626" s="2">
        <v>21.0</v>
      </c>
      <c r="C626" s="2" t="s">
        <v>11</v>
      </c>
      <c r="D626" s="2" t="s">
        <v>1798</v>
      </c>
      <c r="E626" s="2">
        <v>7.0</v>
      </c>
      <c r="F626" s="2" t="s">
        <v>10</v>
      </c>
      <c r="G626" s="5">
        <v>2714881.0</v>
      </c>
      <c r="H626" s="2" t="s">
        <v>1575</v>
      </c>
      <c r="I626" s="2" t="s">
        <v>1572</v>
      </c>
      <c r="J626" s="2">
        <v>10013.0</v>
      </c>
      <c r="K626" s="2" t="s">
        <v>1591</v>
      </c>
      <c r="L626" s="2"/>
      <c r="M626" s="2"/>
      <c r="N626" s="7">
        <v>1.0</v>
      </c>
      <c r="O626" s="12">
        <v>23333.0</v>
      </c>
      <c r="P626" s="11" t="s">
        <v>1649</v>
      </c>
      <c r="Q626" s="12">
        <v>23333.0</v>
      </c>
      <c r="R626" s="11" t="s">
        <v>1649</v>
      </c>
      <c r="S626" s="11" t="s">
        <v>1681</v>
      </c>
      <c r="T626" s="11" t="s">
        <v>1715</v>
      </c>
      <c r="U626" s="2" t="s">
        <v>1574</v>
      </c>
      <c r="V626" s="2" t="s">
        <v>1568</v>
      </c>
      <c r="W626" s="2" t="s">
        <v>1569</v>
      </c>
      <c r="X626" s="2" t="s">
        <v>1570</v>
      </c>
      <c r="AB626" s="2" t="s">
        <v>1571</v>
      </c>
    </row>
    <row r="627">
      <c r="A627" s="2" t="s">
        <v>1797</v>
      </c>
      <c r="B627" s="2">
        <v>21.0</v>
      </c>
      <c r="C627" s="2" t="s">
        <v>11</v>
      </c>
      <c r="D627" s="2" t="s">
        <v>1798</v>
      </c>
      <c r="E627" s="2">
        <v>7.0</v>
      </c>
      <c r="F627" s="2" t="s">
        <v>10</v>
      </c>
      <c r="G627" s="5">
        <v>2714881.0</v>
      </c>
      <c r="H627" s="2" t="s">
        <v>1575</v>
      </c>
      <c r="I627" s="2" t="s">
        <v>1578</v>
      </c>
      <c r="J627" s="2">
        <v>10011.0</v>
      </c>
      <c r="K627" s="2" t="s">
        <v>1605</v>
      </c>
      <c r="L627" s="2"/>
      <c r="M627" s="2"/>
      <c r="N627" s="7">
        <v>1.0</v>
      </c>
      <c r="O627" s="12">
        <v>25238.0</v>
      </c>
      <c r="P627" s="11" t="s">
        <v>1649</v>
      </c>
      <c r="Q627" s="12">
        <v>25238.0</v>
      </c>
      <c r="R627" s="11" t="s">
        <v>1649</v>
      </c>
      <c r="S627" s="11" t="s">
        <v>1660</v>
      </c>
      <c r="T627" s="11" t="s">
        <v>1680</v>
      </c>
      <c r="U627" s="2" t="s">
        <v>1574</v>
      </c>
      <c r="V627" s="2" t="s">
        <v>1568</v>
      </c>
      <c r="W627" s="2" t="s">
        <v>1569</v>
      </c>
      <c r="X627" s="2" t="s">
        <v>1570</v>
      </c>
      <c r="AB627" s="2" t="s">
        <v>1571</v>
      </c>
    </row>
    <row r="628">
      <c r="A628" s="2" t="s">
        <v>1797</v>
      </c>
      <c r="B628" s="2">
        <v>21.0</v>
      </c>
      <c r="C628" s="2" t="s">
        <v>11</v>
      </c>
      <c r="D628" s="2" t="s">
        <v>1798</v>
      </c>
      <c r="E628" s="2">
        <v>7.0</v>
      </c>
      <c r="F628" s="2" t="s">
        <v>10</v>
      </c>
      <c r="G628" s="5">
        <v>2714515.0</v>
      </c>
      <c r="H628" s="2" t="s">
        <v>1575</v>
      </c>
      <c r="I628" s="2" t="s">
        <v>1578</v>
      </c>
      <c r="J628" s="2">
        <v>10004.0</v>
      </c>
      <c r="K628" s="2" t="s">
        <v>1607</v>
      </c>
      <c r="L628" s="2"/>
      <c r="M628" s="2"/>
      <c r="N628" s="7">
        <v>1.0</v>
      </c>
      <c r="O628" s="12">
        <v>25238.0</v>
      </c>
      <c r="P628" s="11" t="s">
        <v>1649</v>
      </c>
      <c r="Q628" s="12">
        <v>25238.0</v>
      </c>
      <c r="R628" s="11" t="s">
        <v>1649</v>
      </c>
      <c r="S628" s="11" t="s">
        <v>1660</v>
      </c>
      <c r="T628" s="11" t="s">
        <v>1680</v>
      </c>
      <c r="U628" s="2" t="s">
        <v>1574</v>
      </c>
      <c r="V628" s="2" t="s">
        <v>1568</v>
      </c>
      <c r="W628" s="2" t="s">
        <v>1569</v>
      </c>
      <c r="X628" s="2" t="s">
        <v>1570</v>
      </c>
      <c r="AB628" s="2" t="s">
        <v>1571</v>
      </c>
    </row>
    <row r="629">
      <c r="A629" s="2" t="s">
        <v>1797</v>
      </c>
      <c r="B629" s="2">
        <v>20.0</v>
      </c>
      <c r="C629" s="2" t="s">
        <v>11</v>
      </c>
      <c r="D629" s="2" t="s">
        <v>1798</v>
      </c>
      <c r="E629" s="2">
        <v>7.0</v>
      </c>
      <c r="F629" s="2" t="s">
        <v>10</v>
      </c>
      <c r="G629" s="5">
        <v>2714150.0</v>
      </c>
      <c r="H629" s="2" t="s">
        <v>1575</v>
      </c>
      <c r="I629" s="2" t="s">
        <v>1580</v>
      </c>
      <c r="J629" s="2">
        <v>10104.0</v>
      </c>
      <c r="K629" s="2" t="s">
        <v>1581</v>
      </c>
      <c r="L629" s="2"/>
      <c r="M629" s="2"/>
      <c r="N629" s="7">
        <v>1.0</v>
      </c>
      <c r="O629" s="12">
        <v>34762.0</v>
      </c>
      <c r="P629" s="11" t="s">
        <v>1649</v>
      </c>
      <c r="Q629" s="12">
        <v>34762.0</v>
      </c>
      <c r="R629" s="11" t="s">
        <v>1649</v>
      </c>
      <c r="S629" s="11" t="s">
        <v>1670</v>
      </c>
      <c r="T629" s="11" t="s">
        <v>1671</v>
      </c>
      <c r="U629" s="2" t="s">
        <v>1574</v>
      </c>
      <c r="V629" s="2" t="s">
        <v>1568</v>
      </c>
      <c r="W629" s="2" t="s">
        <v>1569</v>
      </c>
      <c r="X629" s="2" t="s">
        <v>1570</v>
      </c>
      <c r="AB629" s="2" t="s">
        <v>1571</v>
      </c>
    </row>
    <row r="630">
      <c r="A630" s="2" t="s">
        <v>1797</v>
      </c>
      <c r="B630" s="2">
        <v>18.0</v>
      </c>
      <c r="C630" s="2" t="s">
        <v>11</v>
      </c>
      <c r="D630" s="2" t="s">
        <v>1798</v>
      </c>
      <c r="E630" s="2">
        <v>7.0</v>
      </c>
      <c r="F630" s="2" t="s">
        <v>10</v>
      </c>
      <c r="G630" s="5">
        <v>2713785.0</v>
      </c>
      <c r="H630" s="2" t="s">
        <v>1575</v>
      </c>
      <c r="I630" s="2" t="s">
        <v>1572</v>
      </c>
      <c r="J630" s="2">
        <v>10120.0</v>
      </c>
      <c r="K630" s="2" t="s">
        <v>1590</v>
      </c>
      <c r="L630" s="2"/>
      <c r="M630" s="2"/>
      <c r="N630" s="7">
        <v>1.0</v>
      </c>
      <c r="O630" s="12">
        <v>19524.0</v>
      </c>
      <c r="P630" s="11" t="s">
        <v>1649</v>
      </c>
      <c r="Q630" s="12">
        <v>19524.0</v>
      </c>
      <c r="R630" s="11" t="s">
        <v>1649</v>
      </c>
      <c r="S630" s="11" t="s">
        <v>1676</v>
      </c>
      <c r="T630" s="11" t="s">
        <v>1677</v>
      </c>
      <c r="U630" s="2" t="s">
        <v>1574</v>
      </c>
      <c r="V630" s="2" t="s">
        <v>1568</v>
      </c>
      <c r="W630" s="2" t="s">
        <v>1569</v>
      </c>
      <c r="X630" s="2" t="s">
        <v>1570</v>
      </c>
      <c r="AB630" s="2" t="s">
        <v>1571</v>
      </c>
    </row>
    <row r="631">
      <c r="A631" s="2" t="s">
        <v>1797</v>
      </c>
      <c r="B631" s="2">
        <v>18.0</v>
      </c>
      <c r="C631" s="2" t="s">
        <v>11</v>
      </c>
      <c r="D631" s="2" t="s">
        <v>1798</v>
      </c>
      <c r="E631" s="2">
        <v>7.0</v>
      </c>
      <c r="F631" s="2" t="s">
        <v>10</v>
      </c>
      <c r="G631" s="5">
        <v>2713420.0</v>
      </c>
      <c r="H631" s="2" t="s">
        <v>1575</v>
      </c>
      <c r="I631" s="2" t="s">
        <v>1565</v>
      </c>
      <c r="J631" s="2">
        <v>10005.0</v>
      </c>
      <c r="K631" s="2" t="s">
        <v>1595</v>
      </c>
      <c r="L631" s="2"/>
      <c r="M631" s="2"/>
      <c r="N631" s="7">
        <v>1.0</v>
      </c>
      <c r="O631" s="12">
        <v>19524.0</v>
      </c>
      <c r="P631" s="11" t="s">
        <v>1649</v>
      </c>
      <c r="Q631" s="12">
        <v>19524.0</v>
      </c>
      <c r="R631" s="11" t="s">
        <v>1649</v>
      </c>
      <c r="S631" s="11" t="s">
        <v>1676</v>
      </c>
      <c r="T631" s="11" t="s">
        <v>1677</v>
      </c>
      <c r="U631" s="2" t="s">
        <v>1574</v>
      </c>
      <c r="V631" s="2" t="s">
        <v>1568</v>
      </c>
      <c r="W631" s="2" t="s">
        <v>1569</v>
      </c>
      <c r="X631" s="2" t="s">
        <v>1570</v>
      </c>
      <c r="AB631" s="2" t="s">
        <v>1571</v>
      </c>
    </row>
    <row r="632">
      <c r="A632" s="2" t="s">
        <v>1797</v>
      </c>
      <c r="B632" s="2">
        <v>18.0</v>
      </c>
      <c r="C632" s="2" t="s">
        <v>11</v>
      </c>
      <c r="D632" s="2" t="s">
        <v>1798</v>
      </c>
      <c r="E632" s="2">
        <v>7.0</v>
      </c>
      <c r="F632" s="2" t="s">
        <v>10</v>
      </c>
      <c r="G632" s="5">
        <v>2713054.0</v>
      </c>
      <c r="H632" s="2" t="s">
        <v>1575</v>
      </c>
      <c r="I632" s="2" t="s">
        <v>1580</v>
      </c>
      <c r="J632" s="2">
        <v>10012.0</v>
      </c>
      <c r="K632" s="2" t="s">
        <v>1602</v>
      </c>
      <c r="L632" s="2"/>
      <c r="M632" s="2"/>
      <c r="N632" s="7">
        <v>1.0</v>
      </c>
      <c r="O632" s="12">
        <v>29524.0</v>
      </c>
      <c r="P632" s="11" t="s">
        <v>1649</v>
      </c>
      <c r="Q632" s="12">
        <v>29524.0</v>
      </c>
      <c r="R632" s="11" t="s">
        <v>1649</v>
      </c>
      <c r="S632" s="11" t="s">
        <v>1683</v>
      </c>
      <c r="T632" s="11" t="s">
        <v>1684</v>
      </c>
      <c r="U632" s="2" t="s">
        <v>1574</v>
      </c>
      <c r="V632" s="2" t="s">
        <v>1568</v>
      </c>
      <c r="W632" s="2" t="s">
        <v>1569</v>
      </c>
      <c r="X632" s="2" t="s">
        <v>1570</v>
      </c>
      <c r="AB632" s="2" t="s">
        <v>1571</v>
      </c>
    </row>
    <row r="633">
      <c r="A633" s="2" t="s">
        <v>1797</v>
      </c>
      <c r="B633" s="2">
        <v>18.0</v>
      </c>
      <c r="C633" s="2" t="s">
        <v>11</v>
      </c>
      <c r="D633" s="2" t="s">
        <v>1798</v>
      </c>
      <c r="E633" s="2">
        <v>7.0</v>
      </c>
      <c r="F633" s="2" t="s">
        <v>10</v>
      </c>
      <c r="G633" s="5">
        <v>2713054.0</v>
      </c>
      <c r="H633" s="2" t="s">
        <v>1575</v>
      </c>
      <c r="I633" s="2" t="s">
        <v>1565</v>
      </c>
      <c r="J633" s="2">
        <v>10005.0</v>
      </c>
      <c r="K633" s="2" t="s">
        <v>1595</v>
      </c>
      <c r="L633" s="2"/>
      <c r="M633" s="2"/>
      <c r="N633" s="7">
        <v>1.0</v>
      </c>
      <c r="O633" s="12">
        <v>19524.0</v>
      </c>
      <c r="P633" s="11" t="s">
        <v>1649</v>
      </c>
      <c r="Q633" s="12">
        <v>19524.0</v>
      </c>
      <c r="R633" s="11" t="s">
        <v>1649</v>
      </c>
      <c r="S633" s="11" t="s">
        <v>1676</v>
      </c>
      <c r="T633" s="11" t="s">
        <v>1677</v>
      </c>
      <c r="U633" s="2" t="s">
        <v>1574</v>
      </c>
      <c r="V633" s="2" t="s">
        <v>1568</v>
      </c>
      <c r="W633" s="2" t="s">
        <v>1569</v>
      </c>
      <c r="X633" s="2" t="s">
        <v>1570</v>
      </c>
      <c r="AB633" s="2" t="s">
        <v>1571</v>
      </c>
    </row>
    <row r="634">
      <c r="A634" s="2" t="s">
        <v>1797</v>
      </c>
      <c r="B634" s="2">
        <v>18.0</v>
      </c>
      <c r="C634" s="2" t="s">
        <v>11</v>
      </c>
      <c r="D634" s="2" t="s">
        <v>1798</v>
      </c>
      <c r="E634" s="2">
        <v>7.0</v>
      </c>
      <c r="F634" s="2" t="s">
        <v>10</v>
      </c>
      <c r="G634" s="5">
        <v>2713054.0</v>
      </c>
      <c r="H634" s="2" t="s">
        <v>1575</v>
      </c>
      <c r="I634" s="2" t="s">
        <v>1578</v>
      </c>
      <c r="J634" s="2">
        <v>10051.0</v>
      </c>
      <c r="K634" s="2" t="s">
        <v>1579</v>
      </c>
      <c r="L634" s="2"/>
      <c r="M634" s="2"/>
      <c r="N634" s="7">
        <v>1.0</v>
      </c>
      <c r="O634" s="12">
        <v>25238.0</v>
      </c>
      <c r="P634" s="11" t="s">
        <v>1649</v>
      </c>
      <c r="Q634" s="12">
        <v>25238.0</v>
      </c>
      <c r="R634" s="11" t="s">
        <v>1649</v>
      </c>
      <c r="S634" s="11" t="s">
        <v>1660</v>
      </c>
      <c r="T634" s="11" t="s">
        <v>1680</v>
      </c>
      <c r="U634" s="2" t="s">
        <v>1574</v>
      </c>
      <c r="V634" s="2" t="s">
        <v>1568</v>
      </c>
      <c r="W634" s="2" t="s">
        <v>1569</v>
      </c>
      <c r="X634" s="2" t="s">
        <v>1570</v>
      </c>
      <c r="AB634" s="2" t="s">
        <v>1571</v>
      </c>
    </row>
    <row r="635">
      <c r="A635" s="2" t="s">
        <v>1797</v>
      </c>
      <c r="B635" s="2">
        <v>18.0</v>
      </c>
      <c r="C635" s="2" t="s">
        <v>11</v>
      </c>
      <c r="D635" s="2" t="s">
        <v>1798</v>
      </c>
      <c r="E635" s="2">
        <v>7.0</v>
      </c>
      <c r="F635" s="2" t="s">
        <v>10</v>
      </c>
      <c r="G635" s="5">
        <v>2712689.0</v>
      </c>
      <c r="H635" s="2" t="s">
        <v>1564</v>
      </c>
      <c r="I635" s="2" t="s">
        <v>1580</v>
      </c>
      <c r="J635" s="2">
        <v>10012.0</v>
      </c>
      <c r="K635" s="2" t="s">
        <v>1602</v>
      </c>
      <c r="L635" s="2"/>
      <c r="M635" s="2"/>
      <c r="N635" s="7">
        <v>-1.0</v>
      </c>
      <c r="O635" s="12">
        <v>-29524.0</v>
      </c>
      <c r="P635" s="11" t="s">
        <v>1649</v>
      </c>
      <c r="Q635" s="12">
        <v>-29524.0</v>
      </c>
      <c r="R635" s="11" t="s">
        <v>1650</v>
      </c>
      <c r="S635" s="11" t="s">
        <v>1651</v>
      </c>
      <c r="T635" s="11" t="s">
        <v>1652</v>
      </c>
      <c r="U635" s="2" t="s">
        <v>1574</v>
      </c>
      <c r="V635" s="2" t="s">
        <v>1568</v>
      </c>
      <c r="W635" s="2" t="s">
        <v>1569</v>
      </c>
      <c r="X635" s="2" t="s">
        <v>1570</v>
      </c>
      <c r="AB635" s="2" t="s">
        <v>1571</v>
      </c>
    </row>
    <row r="636">
      <c r="A636" s="2" t="s">
        <v>1797</v>
      </c>
      <c r="B636" s="2">
        <v>18.0</v>
      </c>
      <c r="C636" s="2" t="s">
        <v>11</v>
      </c>
      <c r="D636" s="2" t="s">
        <v>1798</v>
      </c>
      <c r="E636" s="2">
        <v>7.0</v>
      </c>
      <c r="F636" s="2" t="s">
        <v>10</v>
      </c>
      <c r="G636" s="5">
        <v>2712689.0</v>
      </c>
      <c r="H636" s="2" t="s">
        <v>1564</v>
      </c>
      <c r="I636" s="2" t="s">
        <v>1578</v>
      </c>
      <c r="J636" s="2">
        <v>10051.0</v>
      </c>
      <c r="K636" s="2" t="s">
        <v>1579</v>
      </c>
      <c r="L636" s="2"/>
      <c r="M636" s="2"/>
      <c r="N636" s="7">
        <v>-1.0</v>
      </c>
      <c r="O636" s="12">
        <v>-25238.0</v>
      </c>
      <c r="P636" s="11" t="s">
        <v>1649</v>
      </c>
      <c r="Q636" s="12">
        <v>-25238.0</v>
      </c>
      <c r="R636" s="11" t="s">
        <v>1650</v>
      </c>
      <c r="S636" s="11" t="s">
        <v>1730</v>
      </c>
      <c r="T636" s="11" t="s">
        <v>1731</v>
      </c>
      <c r="U636" s="2" t="s">
        <v>1574</v>
      </c>
      <c r="V636" s="2" t="s">
        <v>1568</v>
      </c>
      <c r="W636" s="2" t="s">
        <v>1569</v>
      </c>
      <c r="X636" s="2" t="s">
        <v>1570</v>
      </c>
      <c r="AB636" s="2" t="s">
        <v>1571</v>
      </c>
    </row>
    <row r="637">
      <c r="A637" s="2" t="s">
        <v>1797</v>
      </c>
      <c r="B637" s="2">
        <v>18.0</v>
      </c>
      <c r="C637" s="2" t="s">
        <v>11</v>
      </c>
      <c r="D637" s="2" t="s">
        <v>1798</v>
      </c>
      <c r="E637" s="2">
        <v>7.0</v>
      </c>
      <c r="F637" s="2" t="s">
        <v>10</v>
      </c>
      <c r="G637" s="5">
        <v>2712689.0</v>
      </c>
      <c r="H637" s="2" t="s">
        <v>1564</v>
      </c>
      <c r="I637" s="2" t="s">
        <v>1565</v>
      </c>
      <c r="J637" s="2">
        <v>10005.0</v>
      </c>
      <c r="K637" s="2" t="s">
        <v>1595</v>
      </c>
      <c r="L637" s="2"/>
      <c r="M637" s="2"/>
      <c r="N637" s="7">
        <v>-1.0</v>
      </c>
      <c r="O637" s="12">
        <v>-19524.0</v>
      </c>
      <c r="P637" s="11" t="s">
        <v>1649</v>
      </c>
      <c r="Q637" s="12">
        <v>-19524.0</v>
      </c>
      <c r="R637" s="11" t="s">
        <v>1650</v>
      </c>
      <c r="S637" s="11" t="s">
        <v>1704</v>
      </c>
      <c r="T637" s="11" t="s">
        <v>1705</v>
      </c>
      <c r="U637" s="2" t="s">
        <v>1574</v>
      </c>
      <c r="V637" s="2" t="s">
        <v>1568</v>
      </c>
      <c r="W637" s="2" t="s">
        <v>1569</v>
      </c>
      <c r="X637" s="2" t="s">
        <v>1570</v>
      </c>
      <c r="AB637" s="2" t="s">
        <v>1571</v>
      </c>
    </row>
    <row r="638">
      <c r="A638" s="2" t="s">
        <v>1797</v>
      </c>
      <c r="B638" s="2">
        <v>17.0</v>
      </c>
      <c r="C638" s="2" t="s">
        <v>11</v>
      </c>
      <c r="D638" s="2" t="s">
        <v>1798</v>
      </c>
      <c r="E638" s="2">
        <v>7.0</v>
      </c>
      <c r="F638" s="2" t="s">
        <v>10</v>
      </c>
      <c r="G638" s="5">
        <v>2712324.0</v>
      </c>
      <c r="H638" s="2" t="s">
        <v>1575</v>
      </c>
      <c r="I638" s="2" t="s">
        <v>1565</v>
      </c>
      <c r="J638" s="2">
        <v>10000.0</v>
      </c>
      <c r="K638" s="2" t="s">
        <v>1566</v>
      </c>
      <c r="L638" s="2"/>
      <c r="M638" s="2"/>
      <c r="N638" s="7">
        <v>1.0</v>
      </c>
      <c r="O638" s="12">
        <v>29524.0</v>
      </c>
      <c r="P638" s="11" t="s">
        <v>1649</v>
      </c>
      <c r="Q638" s="12">
        <v>29524.0</v>
      </c>
      <c r="R638" s="11" t="s">
        <v>1649</v>
      </c>
      <c r="S638" s="11" t="s">
        <v>1683</v>
      </c>
      <c r="T638" s="11" t="s">
        <v>1684</v>
      </c>
      <c r="U638" s="2" t="s">
        <v>1574</v>
      </c>
      <c r="V638" s="2" t="s">
        <v>1568</v>
      </c>
      <c r="W638" s="2" t="s">
        <v>1569</v>
      </c>
      <c r="X638" s="2" t="s">
        <v>1570</v>
      </c>
      <c r="AB638" s="2" t="s">
        <v>1571</v>
      </c>
    </row>
    <row r="639">
      <c r="A639" s="2" t="s">
        <v>1797</v>
      </c>
      <c r="B639" s="2">
        <v>17.0</v>
      </c>
      <c r="C639" s="2" t="s">
        <v>11</v>
      </c>
      <c r="D639" s="2" t="s">
        <v>1798</v>
      </c>
      <c r="E639" s="2">
        <v>7.0</v>
      </c>
      <c r="F639" s="2" t="s">
        <v>10</v>
      </c>
      <c r="G639" s="5">
        <v>2712324.0</v>
      </c>
      <c r="H639" s="2" t="s">
        <v>1575</v>
      </c>
      <c r="I639" s="2" t="s">
        <v>1565</v>
      </c>
      <c r="J639" s="2">
        <v>10055.0</v>
      </c>
      <c r="K639" s="2" t="s">
        <v>1595</v>
      </c>
      <c r="L639" s="2"/>
      <c r="M639" s="2"/>
      <c r="N639" s="7">
        <v>2.0</v>
      </c>
      <c r="O639" s="12">
        <v>34762.0</v>
      </c>
      <c r="P639" s="11" t="s">
        <v>1649</v>
      </c>
      <c r="Q639" s="12">
        <v>34762.0</v>
      </c>
      <c r="R639" s="11" t="s">
        <v>1649</v>
      </c>
      <c r="S639" s="11" t="s">
        <v>1670</v>
      </c>
      <c r="T639" s="11" t="s">
        <v>1671</v>
      </c>
      <c r="U639" s="2" t="s">
        <v>1574</v>
      </c>
      <c r="V639" s="2" t="s">
        <v>1568</v>
      </c>
      <c r="W639" s="2" t="s">
        <v>1569</v>
      </c>
      <c r="X639" s="2" t="s">
        <v>1570</v>
      </c>
      <c r="AB639" s="2" t="s">
        <v>1571</v>
      </c>
    </row>
    <row r="640">
      <c r="A640" s="2" t="s">
        <v>1797</v>
      </c>
      <c r="B640" s="2">
        <v>17.0</v>
      </c>
      <c r="C640" s="2" t="s">
        <v>11</v>
      </c>
      <c r="D640" s="2" t="s">
        <v>1798</v>
      </c>
      <c r="E640" s="2">
        <v>7.0</v>
      </c>
      <c r="F640" s="2" t="s">
        <v>10</v>
      </c>
      <c r="G640" s="5">
        <v>2711959.0</v>
      </c>
      <c r="H640" s="2" t="s">
        <v>1575</v>
      </c>
      <c r="I640" s="2" t="s">
        <v>1572</v>
      </c>
      <c r="J640" s="2">
        <v>10120.0</v>
      </c>
      <c r="K640" s="2" t="s">
        <v>1590</v>
      </c>
      <c r="L640" s="2"/>
      <c r="M640" s="2"/>
      <c r="N640" s="7">
        <v>1.0</v>
      </c>
      <c r="O640" s="12">
        <v>19524.0</v>
      </c>
      <c r="P640" s="11" t="s">
        <v>1649</v>
      </c>
      <c r="Q640" s="12">
        <v>19524.0</v>
      </c>
      <c r="R640" s="11" t="s">
        <v>1649</v>
      </c>
      <c r="S640" s="11" t="s">
        <v>1676</v>
      </c>
      <c r="T640" s="11" t="s">
        <v>1677</v>
      </c>
      <c r="U640" s="2" t="s">
        <v>1574</v>
      </c>
      <c r="V640" s="2" t="s">
        <v>1568</v>
      </c>
      <c r="W640" s="2" t="s">
        <v>1569</v>
      </c>
      <c r="X640" s="2" t="s">
        <v>1570</v>
      </c>
      <c r="AB640" s="2" t="s">
        <v>1571</v>
      </c>
    </row>
    <row r="641">
      <c r="A641" s="2" t="s">
        <v>1797</v>
      </c>
      <c r="B641" s="2">
        <v>17.0</v>
      </c>
      <c r="C641" s="2" t="s">
        <v>11</v>
      </c>
      <c r="D641" s="2" t="s">
        <v>1798</v>
      </c>
      <c r="E641" s="2">
        <v>7.0</v>
      </c>
      <c r="F641" s="2" t="s">
        <v>10</v>
      </c>
      <c r="G641" s="5">
        <v>2711593.0</v>
      </c>
      <c r="H641" s="2" t="s">
        <v>1575</v>
      </c>
      <c r="I641" s="2" t="s">
        <v>1565</v>
      </c>
      <c r="J641" s="2">
        <v>10002.0</v>
      </c>
      <c r="K641" s="2" t="s">
        <v>1576</v>
      </c>
      <c r="L641" s="2"/>
      <c r="M641" s="2"/>
      <c r="N641" s="7">
        <v>1.0</v>
      </c>
      <c r="O641" s="12">
        <v>18571.0</v>
      </c>
      <c r="P641" s="11" t="s">
        <v>1649</v>
      </c>
      <c r="Q641" s="12">
        <v>18571.0</v>
      </c>
      <c r="R641" s="11" t="s">
        <v>1649</v>
      </c>
      <c r="S641" s="11" t="s">
        <v>1656</v>
      </c>
      <c r="T641" s="11" t="s">
        <v>1657</v>
      </c>
      <c r="U641" s="2" t="s">
        <v>1574</v>
      </c>
      <c r="V641" s="2" t="s">
        <v>1568</v>
      </c>
      <c r="W641" s="2" t="s">
        <v>1569</v>
      </c>
      <c r="X641" s="2" t="s">
        <v>1570</v>
      </c>
      <c r="AB641" s="2" t="s">
        <v>1571</v>
      </c>
    </row>
    <row r="642">
      <c r="A642" s="2" t="s">
        <v>1797</v>
      </c>
      <c r="B642" s="2">
        <v>17.0</v>
      </c>
      <c r="C642" s="2" t="s">
        <v>11</v>
      </c>
      <c r="D642" s="2" t="s">
        <v>1798</v>
      </c>
      <c r="E642" s="2">
        <v>7.0</v>
      </c>
      <c r="F642" s="2" t="s">
        <v>10</v>
      </c>
      <c r="G642" s="5">
        <v>2711593.0</v>
      </c>
      <c r="H642" s="2" t="s">
        <v>1575</v>
      </c>
      <c r="I642" s="2" t="s">
        <v>1572</v>
      </c>
      <c r="J642" s="2">
        <v>10128.0</v>
      </c>
      <c r="K642" s="2" t="s">
        <v>1588</v>
      </c>
      <c r="L642" s="2"/>
      <c r="M642" s="2"/>
      <c r="N642" s="7">
        <v>1.0</v>
      </c>
      <c r="O642" s="12">
        <v>23333.0</v>
      </c>
      <c r="P642" s="11" t="s">
        <v>1649</v>
      </c>
      <c r="Q642" s="12">
        <v>23333.0</v>
      </c>
      <c r="R642" s="11" t="s">
        <v>1649</v>
      </c>
      <c r="S642" s="11" t="s">
        <v>1681</v>
      </c>
      <c r="T642" s="11" t="s">
        <v>1715</v>
      </c>
      <c r="U642" s="2" t="s">
        <v>1574</v>
      </c>
      <c r="V642" s="2" t="s">
        <v>1568</v>
      </c>
      <c r="W642" s="2" t="s">
        <v>1569</v>
      </c>
      <c r="X642" s="2" t="s">
        <v>1570</v>
      </c>
      <c r="AB642" s="2" t="s">
        <v>1571</v>
      </c>
    </row>
    <row r="643">
      <c r="A643" s="2" t="s">
        <v>1797</v>
      </c>
      <c r="B643" s="2">
        <v>17.0</v>
      </c>
      <c r="C643" s="2" t="s">
        <v>11</v>
      </c>
      <c r="D643" s="2" t="s">
        <v>1798</v>
      </c>
      <c r="E643" s="2">
        <v>7.0</v>
      </c>
      <c r="F643" s="2" t="s">
        <v>10</v>
      </c>
      <c r="G643" s="5">
        <v>2711593.0</v>
      </c>
      <c r="H643" s="2" t="s">
        <v>1575</v>
      </c>
      <c r="I643" s="2" t="s">
        <v>1578</v>
      </c>
      <c r="J643" s="2">
        <v>10015.0</v>
      </c>
      <c r="K643" s="2" t="s">
        <v>1587</v>
      </c>
      <c r="L643" s="2"/>
      <c r="M643" s="2"/>
      <c r="N643" s="7">
        <v>1.0</v>
      </c>
      <c r="O643" s="12">
        <v>25238.0</v>
      </c>
      <c r="P643" s="11" t="s">
        <v>1649</v>
      </c>
      <c r="Q643" s="12">
        <v>25238.0</v>
      </c>
      <c r="R643" s="11" t="s">
        <v>1649</v>
      </c>
      <c r="S643" s="11" t="s">
        <v>1660</v>
      </c>
      <c r="T643" s="11" t="s">
        <v>1680</v>
      </c>
      <c r="U643" s="2" t="s">
        <v>1574</v>
      </c>
      <c r="V643" s="2" t="s">
        <v>1568</v>
      </c>
      <c r="W643" s="2" t="s">
        <v>1569</v>
      </c>
      <c r="X643" s="2" t="s">
        <v>1570</v>
      </c>
      <c r="AB643" s="2" t="s">
        <v>1571</v>
      </c>
    </row>
    <row r="644">
      <c r="A644" s="2" t="s">
        <v>1797</v>
      </c>
      <c r="B644" s="2">
        <v>17.0</v>
      </c>
      <c r="C644" s="2" t="s">
        <v>11</v>
      </c>
      <c r="D644" s="2" t="s">
        <v>1798</v>
      </c>
      <c r="E644" s="2">
        <v>7.0</v>
      </c>
      <c r="F644" s="2" t="s">
        <v>10</v>
      </c>
      <c r="G644" s="5">
        <v>2711593.0</v>
      </c>
      <c r="H644" s="2" t="s">
        <v>1575</v>
      </c>
      <c r="I644" s="2" t="s">
        <v>1580</v>
      </c>
      <c r="J644" s="2">
        <v>10012.0</v>
      </c>
      <c r="K644" s="2" t="s">
        <v>1602</v>
      </c>
      <c r="L644" s="2"/>
      <c r="M644" s="2"/>
      <c r="N644" s="7">
        <v>1.0</v>
      </c>
      <c r="O644" s="12">
        <v>29524.0</v>
      </c>
      <c r="P644" s="11" t="s">
        <v>1649</v>
      </c>
      <c r="Q644" s="12">
        <v>29524.0</v>
      </c>
      <c r="R644" s="11" t="s">
        <v>1649</v>
      </c>
      <c r="S644" s="11" t="s">
        <v>1683</v>
      </c>
      <c r="T644" s="11" t="s">
        <v>1684</v>
      </c>
      <c r="U644" s="2" t="s">
        <v>1574</v>
      </c>
      <c r="V644" s="2" t="s">
        <v>1568</v>
      </c>
      <c r="W644" s="2" t="s">
        <v>1569</v>
      </c>
      <c r="X644" s="2" t="s">
        <v>1570</v>
      </c>
      <c r="AB644" s="2" t="s">
        <v>1571</v>
      </c>
    </row>
    <row r="645">
      <c r="A645" s="2" t="s">
        <v>1797</v>
      </c>
      <c r="B645" s="2">
        <v>17.0</v>
      </c>
      <c r="C645" s="2" t="s">
        <v>11</v>
      </c>
      <c r="D645" s="2" t="s">
        <v>1798</v>
      </c>
      <c r="E645" s="2">
        <v>7.0</v>
      </c>
      <c r="F645" s="2" t="s">
        <v>10</v>
      </c>
      <c r="G645" s="5">
        <v>2711593.0</v>
      </c>
      <c r="H645" s="2" t="s">
        <v>1575</v>
      </c>
      <c r="I645" s="2" t="s">
        <v>1572</v>
      </c>
      <c r="J645" s="2">
        <v>10069.0</v>
      </c>
      <c r="K645" s="2" t="s">
        <v>1620</v>
      </c>
      <c r="L645" s="2"/>
      <c r="M645" s="2"/>
      <c r="N645" s="7">
        <v>1.0</v>
      </c>
      <c r="O645" s="12">
        <v>24762.0</v>
      </c>
      <c r="P645" s="11" t="s">
        <v>1649</v>
      </c>
      <c r="Q645" s="12">
        <v>24762.0</v>
      </c>
      <c r="R645" s="11" t="s">
        <v>1649</v>
      </c>
      <c r="S645" s="11" t="s">
        <v>1689</v>
      </c>
      <c r="T645" s="11" t="s">
        <v>1693</v>
      </c>
      <c r="U645" s="2" t="s">
        <v>1574</v>
      </c>
      <c r="V645" s="2" t="s">
        <v>1568</v>
      </c>
      <c r="W645" s="2" t="s">
        <v>1569</v>
      </c>
      <c r="X645" s="2" t="s">
        <v>1570</v>
      </c>
      <c r="AB645" s="2" t="s">
        <v>1571</v>
      </c>
    </row>
    <row r="646">
      <c r="A646" s="2" t="s">
        <v>1797</v>
      </c>
      <c r="B646" s="2">
        <v>17.0</v>
      </c>
      <c r="C646" s="2" t="s">
        <v>11</v>
      </c>
      <c r="D646" s="2" t="s">
        <v>1798</v>
      </c>
      <c r="E646" s="2">
        <v>7.0</v>
      </c>
      <c r="F646" s="2" t="s">
        <v>10</v>
      </c>
      <c r="G646" s="5">
        <v>2711593.0</v>
      </c>
      <c r="H646" s="2" t="s">
        <v>1575</v>
      </c>
      <c r="I646" s="2" t="s">
        <v>1572</v>
      </c>
      <c r="J646" s="2">
        <v>10063.0</v>
      </c>
      <c r="K646" s="2" t="s">
        <v>1594</v>
      </c>
      <c r="L646" s="2"/>
      <c r="M646" s="2"/>
      <c r="N646" s="7">
        <v>1.0</v>
      </c>
      <c r="O646" s="12">
        <v>24762.0</v>
      </c>
      <c r="P646" s="11" t="s">
        <v>1649</v>
      </c>
      <c r="Q646" s="12">
        <v>24762.0</v>
      </c>
      <c r="R646" s="11" t="s">
        <v>1649</v>
      </c>
      <c r="S646" s="11" t="s">
        <v>1689</v>
      </c>
      <c r="T646" s="11" t="s">
        <v>1690</v>
      </c>
      <c r="U646" s="2" t="s">
        <v>1574</v>
      </c>
      <c r="V646" s="2" t="s">
        <v>1568</v>
      </c>
      <c r="W646" s="2" t="s">
        <v>1569</v>
      </c>
      <c r="X646" s="2" t="s">
        <v>1570</v>
      </c>
      <c r="AB646" s="2" t="s">
        <v>1571</v>
      </c>
    </row>
    <row r="647">
      <c r="A647" s="2" t="s">
        <v>1797</v>
      </c>
      <c r="B647" s="2">
        <v>17.0</v>
      </c>
      <c r="C647" s="2" t="s">
        <v>11</v>
      </c>
      <c r="D647" s="2" t="s">
        <v>1798</v>
      </c>
      <c r="E647" s="2">
        <v>7.0</v>
      </c>
      <c r="F647" s="2" t="s">
        <v>10</v>
      </c>
      <c r="G647" s="5">
        <v>2711593.0</v>
      </c>
      <c r="H647" s="2" t="s">
        <v>1575</v>
      </c>
      <c r="I647" s="2" t="s">
        <v>1572</v>
      </c>
      <c r="J647" s="2">
        <v>10112.0</v>
      </c>
      <c r="K647" s="2" t="s">
        <v>1573</v>
      </c>
      <c r="L647" s="2"/>
      <c r="M647" s="2"/>
      <c r="N647" s="7">
        <v>1.0</v>
      </c>
      <c r="O647" s="12">
        <v>6667.0</v>
      </c>
      <c r="P647" s="11" t="s">
        <v>1649</v>
      </c>
      <c r="Q647" s="12">
        <v>6667.0</v>
      </c>
      <c r="R647" s="11" t="s">
        <v>1649</v>
      </c>
      <c r="S647" s="11" t="s">
        <v>1734</v>
      </c>
      <c r="T647" s="11" t="s">
        <v>1738</v>
      </c>
      <c r="U647" s="2" t="s">
        <v>1574</v>
      </c>
      <c r="V647" s="2" t="s">
        <v>1568</v>
      </c>
      <c r="W647" s="2" t="s">
        <v>1569</v>
      </c>
      <c r="X647" s="2" t="s">
        <v>1570</v>
      </c>
      <c r="AB647" s="2" t="s">
        <v>1571</v>
      </c>
    </row>
    <row r="648">
      <c r="A648" s="2" t="s">
        <v>1797</v>
      </c>
      <c r="B648" s="2">
        <v>17.0</v>
      </c>
      <c r="C648" s="2" t="s">
        <v>11</v>
      </c>
      <c r="D648" s="2" t="s">
        <v>1798</v>
      </c>
      <c r="E648" s="2">
        <v>7.0</v>
      </c>
      <c r="F648" s="2" t="s">
        <v>10</v>
      </c>
      <c r="G648" s="5">
        <v>2711228.0</v>
      </c>
      <c r="H648" s="2" t="s">
        <v>1575</v>
      </c>
      <c r="I648" s="2" t="s">
        <v>1565</v>
      </c>
      <c r="J648" s="2">
        <v>10002.0</v>
      </c>
      <c r="K648" s="2" t="s">
        <v>1576</v>
      </c>
      <c r="L648" s="2"/>
      <c r="M648" s="2"/>
      <c r="N648" s="7">
        <v>1.0</v>
      </c>
      <c r="O648" s="12">
        <v>18571.0</v>
      </c>
      <c r="P648" s="11" t="s">
        <v>1649</v>
      </c>
      <c r="Q648" s="12">
        <v>18571.0</v>
      </c>
      <c r="R648" s="11" t="s">
        <v>1649</v>
      </c>
      <c r="S648" s="11" t="s">
        <v>1656</v>
      </c>
      <c r="T648" s="11" t="s">
        <v>1657</v>
      </c>
      <c r="U648" s="2" t="s">
        <v>1574</v>
      </c>
      <c r="V648" s="2" t="s">
        <v>1568</v>
      </c>
      <c r="W648" s="2" t="s">
        <v>1569</v>
      </c>
      <c r="X648" s="2" t="s">
        <v>1570</v>
      </c>
      <c r="AB648" s="2" t="s">
        <v>1571</v>
      </c>
    </row>
    <row r="649">
      <c r="A649" s="2" t="s">
        <v>1797</v>
      </c>
      <c r="B649" s="2">
        <v>17.0</v>
      </c>
      <c r="C649" s="2" t="s">
        <v>11</v>
      </c>
      <c r="D649" s="2" t="s">
        <v>1798</v>
      </c>
      <c r="E649" s="2">
        <v>7.0</v>
      </c>
      <c r="F649" s="2" t="s">
        <v>10</v>
      </c>
      <c r="G649" s="5">
        <v>2710863.0</v>
      </c>
      <c r="H649" s="2" t="s">
        <v>1575</v>
      </c>
      <c r="I649" s="2" t="s">
        <v>1565</v>
      </c>
      <c r="J649" s="2">
        <v>10000.0</v>
      </c>
      <c r="K649" s="2" t="s">
        <v>1566</v>
      </c>
      <c r="L649" s="2"/>
      <c r="M649" s="2"/>
      <c r="N649" s="7">
        <v>1.0</v>
      </c>
      <c r="O649" s="12">
        <v>29524.0</v>
      </c>
      <c r="P649" s="11" t="s">
        <v>1649</v>
      </c>
      <c r="Q649" s="12">
        <v>29524.0</v>
      </c>
      <c r="R649" s="11" t="s">
        <v>1649</v>
      </c>
      <c r="S649" s="11" t="s">
        <v>1683</v>
      </c>
      <c r="T649" s="11" t="s">
        <v>1684</v>
      </c>
      <c r="U649" s="2" t="s">
        <v>1574</v>
      </c>
      <c r="V649" s="2" t="s">
        <v>1568</v>
      </c>
      <c r="W649" s="2" t="s">
        <v>1569</v>
      </c>
      <c r="X649" s="2" t="s">
        <v>1570</v>
      </c>
      <c r="AB649" s="2" t="s">
        <v>1571</v>
      </c>
    </row>
    <row r="650">
      <c r="A650" s="2" t="s">
        <v>1797</v>
      </c>
      <c r="B650" s="2">
        <v>17.0</v>
      </c>
      <c r="C650" s="2" t="s">
        <v>11</v>
      </c>
      <c r="D650" s="2" t="s">
        <v>1798</v>
      </c>
      <c r="E650" s="2">
        <v>7.0</v>
      </c>
      <c r="F650" s="2" t="s">
        <v>10</v>
      </c>
      <c r="G650" s="5">
        <v>2710863.0</v>
      </c>
      <c r="H650" s="2" t="s">
        <v>1575</v>
      </c>
      <c r="I650" s="2" t="s">
        <v>1565</v>
      </c>
      <c r="J650" s="2">
        <v>10005.0</v>
      </c>
      <c r="K650" s="2" t="s">
        <v>1595</v>
      </c>
      <c r="L650" s="2"/>
      <c r="M650" s="2"/>
      <c r="N650" s="7">
        <v>1.0</v>
      </c>
      <c r="O650" s="12">
        <v>19524.0</v>
      </c>
      <c r="P650" s="11" t="s">
        <v>1649</v>
      </c>
      <c r="Q650" s="12">
        <v>19524.0</v>
      </c>
      <c r="R650" s="11" t="s">
        <v>1649</v>
      </c>
      <c r="S650" s="11" t="s">
        <v>1676</v>
      </c>
      <c r="T650" s="11" t="s">
        <v>1677</v>
      </c>
      <c r="U650" s="2" t="s">
        <v>1574</v>
      </c>
      <c r="V650" s="2" t="s">
        <v>1568</v>
      </c>
      <c r="W650" s="2" t="s">
        <v>1569</v>
      </c>
      <c r="X650" s="2" t="s">
        <v>1570</v>
      </c>
      <c r="AB650" s="2" t="s">
        <v>1571</v>
      </c>
    </row>
    <row r="651">
      <c r="A651" s="2" t="s">
        <v>1797</v>
      </c>
      <c r="B651" s="2">
        <v>17.0</v>
      </c>
      <c r="C651" s="2" t="s">
        <v>11</v>
      </c>
      <c r="D651" s="2" t="s">
        <v>1798</v>
      </c>
      <c r="E651" s="2">
        <v>7.0</v>
      </c>
      <c r="F651" s="2" t="s">
        <v>10</v>
      </c>
      <c r="G651" s="5">
        <v>2710498.0</v>
      </c>
      <c r="H651" s="2" t="s">
        <v>1575</v>
      </c>
      <c r="I651" s="2" t="s">
        <v>1578</v>
      </c>
      <c r="J651" s="2">
        <v>10010.0</v>
      </c>
      <c r="K651" s="2" t="s">
        <v>1606</v>
      </c>
      <c r="L651" s="2"/>
      <c r="M651" s="2"/>
      <c r="N651" s="7">
        <v>1.0</v>
      </c>
      <c r="O651" s="12">
        <v>25238.0</v>
      </c>
      <c r="P651" s="11" t="s">
        <v>1649</v>
      </c>
      <c r="Q651" s="12">
        <v>25238.0</v>
      </c>
      <c r="R651" s="11" t="s">
        <v>1649</v>
      </c>
      <c r="S651" s="11" t="s">
        <v>1660</v>
      </c>
      <c r="T651" s="11" t="s">
        <v>1680</v>
      </c>
      <c r="U651" s="2" t="s">
        <v>1574</v>
      </c>
      <c r="V651" s="2" t="s">
        <v>1568</v>
      </c>
      <c r="W651" s="2" t="s">
        <v>1569</v>
      </c>
      <c r="X651" s="2" t="s">
        <v>1570</v>
      </c>
      <c r="AB651" s="2" t="s">
        <v>1571</v>
      </c>
    </row>
    <row r="652">
      <c r="A652" s="2" t="s">
        <v>1797</v>
      </c>
      <c r="B652" s="2">
        <v>17.0</v>
      </c>
      <c r="C652" s="2" t="s">
        <v>11</v>
      </c>
      <c r="D652" s="2" t="s">
        <v>1798</v>
      </c>
      <c r="E652" s="2">
        <v>7.0</v>
      </c>
      <c r="F652" s="2" t="s">
        <v>10</v>
      </c>
      <c r="G652" s="5">
        <v>2710498.0</v>
      </c>
      <c r="H652" s="2" t="s">
        <v>1575</v>
      </c>
      <c r="I652" s="2" t="s">
        <v>1572</v>
      </c>
      <c r="J652" s="2">
        <v>10120.0</v>
      </c>
      <c r="K652" s="2" t="s">
        <v>1590</v>
      </c>
      <c r="L652" s="2"/>
      <c r="M652" s="2"/>
      <c r="N652" s="7">
        <v>1.0</v>
      </c>
      <c r="O652" s="12">
        <v>19524.0</v>
      </c>
      <c r="P652" s="11" t="s">
        <v>1649</v>
      </c>
      <c r="Q652" s="12">
        <v>19524.0</v>
      </c>
      <c r="R652" s="11" t="s">
        <v>1649</v>
      </c>
      <c r="S652" s="11" t="s">
        <v>1676</v>
      </c>
      <c r="T652" s="11" t="s">
        <v>1677</v>
      </c>
      <c r="U652" s="2" t="s">
        <v>1574</v>
      </c>
      <c r="V652" s="2" t="s">
        <v>1568</v>
      </c>
      <c r="W652" s="2" t="s">
        <v>1569</v>
      </c>
      <c r="X652" s="2" t="s">
        <v>1570</v>
      </c>
      <c r="AB652" s="2" t="s">
        <v>1571</v>
      </c>
    </row>
    <row r="653">
      <c r="A653" s="2" t="s">
        <v>1797</v>
      </c>
      <c r="B653" s="2">
        <v>17.0</v>
      </c>
      <c r="C653" s="2" t="s">
        <v>11</v>
      </c>
      <c r="D653" s="2" t="s">
        <v>1798</v>
      </c>
      <c r="E653" s="2">
        <v>7.0</v>
      </c>
      <c r="F653" s="2" t="s">
        <v>10</v>
      </c>
      <c r="G653" s="5">
        <v>2710498.0</v>
      </c>
      <c r="H653" s="2" t="s">
        <v>1575</v>
      </c>
      <c r="I653" s="2" t="s">
        <v>1572</v>
      </c>
      <c r="J653" s="2">
        <v>10128.0</v>
      </c>
      <c r="K653" s="2" t="s">
        <v>1588</v>
      </c>
      <c r="L653" s="2"/>
      <c r="M653" s="2"/>
      <c r="N653" s="7">
        <v>1.0</v>
      </c>
      <c r="O653" s="12">
        <v>23333.0</v>
      </c>
      <c r="P653" s="11" t="s">
        <v>1649</v>
      </c>
      <c r="Q653" s="12">
        <v>23333.0</v>
      </c>
      <c r="R653" s="11" t="s">
        <v>1649</v>
      </c>
      <c r="S653" s="11" t="s">
        <v>1681</v>
      </c>
      <c r="T653" s="11" t="s">
        <v>1682</v>
      </c>
      <c r="U653" s="2" t="s">
        <v>1574</v>
      </c>
      <c r="V653" s="2" t="s">
        <v>1568</v>
      </c>
      <c r="W653" s="2" t="s">
        <v>1569</v>
      </c>
      <c r="X653" s="2" t="s">
        <v>1570</v>
      </c>
      <c r="AB653" s="2" t="s">
        <v>1571</v>
      </c>
    </row>
    <row r="654">
      <c r="A654" s="2" t="s">
        <v>1797</v>
      </c>
      <c r="B654" s="2">
        <v>17.0</v>
      </c>
      <c r="C654" s="2" t="s">
        <v>11</v>
      </c>
      <c r="D654" s="2" t="s">
        <v>1798</v>
      </c>
      <c r="E654" s="2">
        <v>7.0</v>
      </c>
      <c r="F654" s="2" t="s">
        <v>10</v>
      </c>
      <c r="G654" s="5">
        <v>2710498.0</v>
      </c>
      <c r="H654" s="2" t="s">
        <v>1575</v>
      </c>
      <c r="I654" s="2" t="s">
        <v>1565</v>
      </c>
      <c r="J654" s="2">
        <v>10002.0</v>
      </c>
      <c r="K654" s="2" t="s">
        <v>1576</v>
      </c>
      <c r="L654" s="2"/>
      <c r="M654" s="2"/>
      <c r="N654" s="7">
        <v>1.0</v>
      </c>
      <c r="O654" s="12">
        <v>18571.0</v>
      </c>
      <c r="P654" s="11" t="s">
        <v>1649</v>
      </c>
      <c r="Q654" s="12">
        <v>18571.0</v>
      </c>
      <c r="R654" s="11" t="s">
        <v>1649</v>
      </c>
      <c r="S654" s="11" t="s">
        <v>1656</v>
      </c>
      <c r="T654" s="11" t="s">
        <v>1688</v>
      </c>
      <c r="U654" s="2" t="s">
        <v>1574</v>
      </c>
      <c r="V654" s="2" t="s">
        <v>1568</v>
      </c>
      <c r="W654" s="2" t="s">
        <v>1569</v>
      </c>
      <c r="X654" s="2" t="s">
        <v>1570</v>
      </c>
      <c r="AB654" s="2" t="s">
        <v>1571</v>
      </c>
    </row>
    <row r="655">
      <c r="A655" s="2" t="s">
        <v>1797</v>
      </c>
      <c r="B655" s="2">
        <v>17.0</v>
      </c>
      <c r="C655" s="2" t="s">
        <v>11</v>
      </c>
      <c r="D655" s="2" t="s">
        <v>1798</v>
      </c>
      <c r="E655" s="2">
        <v>7.0</v>
      </c>
      <c r="F655" s="2" t="s">
        <v>10</v>
      </c>
      <c r="G655" s="5">
        <v>2710132.0</v>
      </c>
      <c r="H655" s="2" t="s">
        <v>1575</v>
      </c>
      <c r="I655" s="2" t="s">
        <v>1580</v>
      </c>
      <c r="J655" s="2">
        <v>10003.0</v>
      </c>
      <c r="K655" s="2" t="s">
        <v>1603</v>
      </c>
      <c r="L655" s="2"/>
      <c r="M655" s="2"/>
      <c r="N655" s="7">
        <v>1.0</v>
      </c>
      <c r="O655" s="12">
        <v>29524.0</v>
      </c>
      <c r="P655" s="11" t="s">
        <v>1649</v>
      </c>
      <c r="Q655" s="12">
        <v>29524.0</v>
      </c>
      <c r="R655" s="11" t="s">
        <v>1649</v>
      </c>
      <c r="S655" s="11" t="s">
        <v>1683</v>
      </c>
      <c r="T655" s="11" t="s">
        <v>1684</v>
      </c>
      <c r="U655" s="2" t="s">
        <v>1574</v>
      </c>
      <c r="V655" s="2" t="s">
        <v>1568</v>
      </c>
      <c r="W655" s="2" t="s">
        <v>1569</v>
      </c>
      <c r="X655" s="2" t="s">
        <v>1570</v>
      </c>
      <c r="AB655" s="2" t="s">
        <v>1571</v>
      </c>
    </row>
    <row r="656">
      <c r="A656" s="2" t="s">
        <v>1797</v>
      </c>
      <c r="B656" s="2">
        <v>17.0</v>
      </c>
      <c r="C656" s="2" t="s">
        <v>11</v>
      </c>
      <c r="D656" s="2" t="s">
        <v>1798</v>
      </c>
      <c r="E656" s="2">
        <v>7.0</v>
      </c>
      <c r="F656" s="2" t="s">
        <v>10</v>
      </c>
      <c r="G656" s="5">
        <v>2710132.0</v>
      </c>
      <c r="H656" s="2" t="s">
        <v>1575</v>
      </c>
      <c r="I656" s="2" t="s">
        <v>1572</v>
      </c>
      <c r="J656" s="2">
        <v>10026.0</v>
      </c>
      <c r="K656" s="2" t="s">
        <v>1583</v>
      </c>
      <c r="L656" s="2"/>
      <c r="M656" s="2"/>
      <c r="N656" s="7">
        <v>1.0</v>
      </c>
      <c r="O656" s="12">
        <v>21905.0</v>
      </c>
      <c r="P656" s="11" t="s">
        <v>1649</v>
      </c>
      <c r="Q656" s="12">
        <v>21905.0</v>
      </c>
      <c r="R656" s="11" t="s">
        <v>1649</v>
      </c>
      <c r="S656" s="11" t="s">
        <v>1666</v>
      </c>
      <c r="T656" s="11" t="s">
        <v>1667</v>
      </c>
      <c r="U656" s="2" t="s">
        <v>1574</v>
      </c>
      <c r="V656" s="2" t="s">
        <v>1568</v>
      </c>
      <c r="W656" s="2" t="s">
        <v>1569</v>
      </c>
      <c r="X656" s="2" t="s">
        <v>1570</v>
      </c>
      <c r="AB656" s="2" t="s">
        <v>1571</v>
      </c>
    </row>
    <row r="657">
      <c r="A657" s="2" t="s">
        <v>1797</v>
      </c>
      <c r="B657" s="2">
        <v>17.0</v>
      </c>
      <c r="C657" s="2" t="s">
        <v>11</v>
      </c>
      <c r="D657" s="2" t="s">
        <v>1798</v>
      </c>
      <c r="E657" s="2">
        <v>7.0</v>
      </c>
      <c r="F657" s="2" t="s">
        <v>10</v>
      </c>
      <c r="G657" s="5">
        <v>2710132.0</v>
      </c>
      <c r="H657" s="2" t="s">
        <v>1575</v>
      </c>
      <c r="I657" s="2" t="s">
        <v>1572</v>
      </c>
      <c r="J657" s="2">
        <v>10070.0</v>
      </c>
      <c r="K657" s="2" t="s">
        <v>1593</v>
      </c>
      <c r="L657" s="2"/>
      <c r="M657" s="2"/>
      <c r="N657" s="7">
        <v>1.0</v>
      </c>
      <c r="O657" s="12">
        <v>24762.0</v>
      </c>
      <c r="P657" s="11" t="s">
        <v>1649</v>
      </c>
      <c r="Q657" s="12">
        <v>24762.0</v>
      </c>
      <c r="R657" s="11" t="s">
        <v>1649</v>
      </c>
      <c r="S657" s="11" t="s">
        <v>1689</v>
      </c>
      <c r="T657" s="11" t="s">
        <v>1690</v>
      </c>
      <c r="U657" s="2" t="s">
        <v>1574</v>
      </c>
      <c r="V657" s="2" t="s">
        <v>1568</v>
      </c>
      <c r="W657" s="2" t="s">
        <v>1569</v>
      </c>
      <c r="X657" s="2" t="s">
        <v>1570</v>
      </c>
      <c r="AB657" s="2" t="s">
        <v>1571</v>
      </c>
    </row>
    <row r="658">
      <c r="A658" s="2" t="s">
        <v>1797</v>
      </c>
      <c r="B658" s="2">
        <v>17.0</v>
      </c>
      <c r="C658" s="2" t="s">
        <v>11</v>
      </c>
      <c r="D658" s="2" t="s">
        <v>1798</v>
      </c>
      <c r="E658" s="2">
        <v>7.0</v>
      </c>
      <c r="F658" s="2" t="s">
        <v>10</v>
      </c>
      <c r="G658" s="5">
        <v>2709767.0</v>
      </c>
      <c r="H658" s="2" t="s">
        <v>1575</v>
      </c>
      <c r="I658" s="2" t="s">
        <v>1565</v>
      </c>
      <c r="J658" s="2">
        <v>10002.0</v>
      </c>
      <c r="K658" s="2" t="s">
        <v>1576</v>
      </c>
      <c r="L658" s="2"/>
      <c r="M658" s="2"/>
      <c r="N658" s="7">
        <v>1.0</v>
      </c>
      <c r="O658" s="12">
        <v>18571.0</v>
      </c>
      <c r="P658" s="11" t="s">
        <v>1649</v>
      </c>
      <c r="Q658" s="12">
        <v>18571.0</v>
      </c>
      <c r="R658" s="11" t="s">
        <v>1649</v>
      </c>
      <c r="S658" s="11" t="s">
        <v>1656</v>
      </c>
      <c r="T658" s="11" t="s">
        <v>1657</v>
      </c>
      <c r="U658" s="2" t="s">
        <v>1574</v>
      </c>
      <c r="V658" s="2" t="s">
        <v>1568</v>
      </c>
      <c r="W658" s="2" t="s">
        <v>1569</v>
      </c>
      <c r="X658" s="2" t="s">
        <v>1570</v>
      </c>
      <c r="AB658" s="2" t="s">
        <v>1571</v>
      </c>
    </row>
    <row r="659">
      <c r="A659" s="2" t="s">
        <v>1797</v>
      </c>
      <c r="B659" s="2">
        <v>17.0</v>
      </c>
      <c r="C659" s="2" t="s">
        <v>11</v>
      </c>
      <c r="D659" s="2" t="s">
        <v>1798</v>
      </c>
      <c r="E659" s="2">
        <v>7.0</v>
      </c>
      <c r="F659" s="2" t="s">
        <v>10</v>
      </c>
      <c r="G659" s="5">
        <v>2709767.0</v>
      </c>
      <c r="H659" s="2" t="s">
        <v>1575</v>
      </c>
      <c r="I659" s="2" t="s">
        <v>1565</v>
      </c>
      <c r="J659" s="2">
        <v>10005.0</v>
      </c>
      <c r="K659" s="2" t="s">
        <v>1595</v>
      </c>
      <c r="L659" s="2"/>
      <c r="M659" s="2"/>
      <c r="N659" s="7">
        <v>1.0</v>
      </c>
      <c r="O659" s="12">
        <v>19524.0</v>
      </c>
      <c r="P659" s="11" t="s">
        <v>1649</v>
      </c>
      <c r="Q659" s="12">
        <v>19524.0</v>
      </c>
      <c r="R659" s="11" t="s">
        <v>1649</v>
      </c>
      <c r="S659" s="11" t="s">
        <v>1676</v>
      </c>
      <c r="T659" s="11" t="s">
        <v>1677</v>
      </c>
      <c r="U659" s="2" t="s">
        <v>1574</v>
      </c>
      <c r="V659" s="2" t="s">
        <v>1568</v>
      </c>
      <c r="W659" s="2" t="s">
        <v>1569</v>
      </c>
      <c r="X659" s="2" t="s">
        <v>1570</v>
      </c>
      <c r="AB659" s="2" t="s">
        <v>1571</v>
      </c>
    </row>
    <row r="660">
      <c r="A660" s="2" t="s">
        <v>1797</v>
      </c>
      <c r="B660" s="2">
        <v>16.0</v>
      </c>
      <c r="C660" s="2" t="s">
        <v>11</v>
      </c>
      <c r="D660" s="2" t="s">
        <v>1798</v>
      </c>
      <c r="E660" s="2">
        <v>7.0</v>
      </c>
      <c r="F660" s="2" t="s">
        <v>10</v>
      </c>
      <c r="G660" s="5">
        <v>2709402.0</v>
      </c>
      <c r="H660" s="2" t="s">
        <v>1575</v>
      </c>
      <c r="I660" s="2" t="s">
        <v>1578</v>
      </c>
      <c r="J660" s="2">
        <v>10010.0</v>
      </c>
      <c r="K660" s="2" t="s">
        <v>1606</v>
      </c>
      <c r="L660" s="2"/>
      <c r="M660" s="2"/>
      <c r="N660" s="7">
        <v>1.0</v>
      </c>
      <c r="O660" s="12">
        <v>25238.0</v>
      </c>
      <c r="P660" s="11" t="s">
        <v>1649</v>
      </c>
      <c r="Q660" s="12">
        <v>25238.0</v>
      </c>
      <c r="R660" s="11" t="s">
        <v>1649</v>
      </c>
      <c r="S660" s="11" t="s">
        <v>1660</v>
      </c>
      <c r="T660" s="11" t="s">
        <v>1680</v>
      </c>
      <c r="U660" s="2" t="s">
        <v>1574</v>
      </c>
      <c r="V660" s="2" t="s">
        <v>1568</v>
      </c>
      <c r="W660" s="2" t="s">
        <v>1569</v>
      </c>
      <c r="X660" s="2" t="s">
        <v>1570</v>
      </c>
      <c r="AB660" s="2" t="s">
        <v>1571</v>
      </c>
    </row>
    <row r="661">
      <c r="A661" s="2" t="s">
        <v>1797</v>
      </c>
      <c r="B661" s="2">
        <v>16.0</v>
      </c>
      <c r="C661" s="2" t="s">
        <v>11</v>
      </c>
      <c r="D661" s="2" t="s">
        <v>1798</v>
      </c>
      <c r="E661" s="2">
        <v>7.0</v>
      </c>
      <c r="F661" s="2" t="s">
        <v>10</v>
      </c>
      <c r="G661" s="5">
        <v>2709402.0</v>
      </c>
      <c r="H661" s="2" t="s">
        <v>1575</v>
      </c>
      <c r="I661" s="2" t="s">
        <v>1578</v>
      </c>
      <c r="J661" s="2">
        <v>10014.0</v>
      </c>
      <c r="K661" s="2" t="s">
        <v>1609</v>
      </c>
      <c r="L661" s="2"/>
      <c r="M661" s="2"/>
      <c r="N661" s="7">
        <v>1.0</v>
      </c>
      <c r="O661" s="12">
        <v>25238.0</v>
      </c>
      <c r="P661" s="11" t="s">
        <v>1649</v>
      </c>
      <c r="Q661" s="12">
        <v>25238.0</v>
      </c>
      <c r="R661" s="11" t="s">
        <v>1649</v>
      </c>
      <c r="S661" s="11" t="s">
        <v>1660</v>
      </c>
      <c r="T661" s="11" t="s">
        <v>1680</v>
      </c>
      <c r="U661" s="2" t="s">
        <v>1574</v>
      </c>
      <c r="V661" s="2" t="s">
        <v>1568</v>
      </c>
      <c r="W661" s="2" t="s">
        <v>1569</v>
      </c>
      <c r="X661" s="2" t="s">
        <v>1570</v>
      </c>
      <c r="AB661" s="2" t="s">
        <v>1571</v>
      </c>
    </row>
    <row r="662">
      <c r="A662" s="2" t="s">
        <v>1797</v>
      </c>
      <c r="B662" s="2">
        <v>16.0</v>
      </c>
      <c r="C662" s="2" t="s">
        <v>11</v>
      </c>
      <c r="D662" s="2" t="s">
        <v>1798</v>
      </c>
      <c r="E662" s="2">
        <v>7.0</v>
      </c>
      <c r="F662" s="2" t="s">
        <v>10</v>
      </c>
      <c r="G662" s="5">
        <v>2709037.0</v>
      </c>
      <c r="H662" s="2" t="s">
        <v>1575</v>
      </c>
      <c r="I662" s="2" t="s">
        <v>1565</v>
      </c>
      <c r="J662" s="2">
        <v>10002.0</v>
      </c>
      <c r="K662" s="2" t="s">
        <v>1576</v>
      </c>
      <c r="L662" s="2"/>
      <c r="M662" s="2"/>
      <c r="N662" s="7">
        <v>1.0</v>
      </c>
      <c r="O662" s="12">
        <v>18571.0</v>
      </c>
      <c r="P662" s="11" t="s">
        <v>1649</v>
      </c>
      <c r="Q662" s="12">
        <v>18571.0</v>
      </c>
      <c r="R662" s="11" t="s">
        <v>1649</v>
      </c>
      <c r="S662" s="11" t="s">
        <v>1656</v>
      </c>
      <c r="T662" s="11" t="s">
        <v>1657</v>
      </c>
      <c r="U662" s="2" t="s">
        <v>1574</v>
      </c>
      <c r="V662" s="2" t="s">
        <v>1568</v>
      </c>
      <c r="W662" s="2" t="s">
        <v>1569</v>
      </c>
      <c r="X662" s="2" t="s">
        <v>1570</v>
      </c>
      <c r="AB662" s="2" t="s">
        <v>1571</v>
      </c>
    </row>
    <row r="663">
      <c r="A663" s="2" t="s">
        <v>1797</v>
      </c>
      <c r="B663" s="2">
        <v>16.0</v>
      </c>
      <c r="C663" s="2" t="s">
        <v>11</v>
      </c>
      <c r="D663" s="2" t="s">
        <v>1798</v>
      </c>
      <c r="E663" s="2">
        <v>7.0</v>
      </c>
      <c r="F663" s="2" t="s">
        <v>10</v>
      </c>
      <c r="G663" s="5">
        <v>2708671.0</v>
      </c>
      <c r="H663" s="2" t="s">
        <v>1575</v>
      </c>
      <c r="I663" s="2" t="s">
        <v>1565</v>
      </c>
      <c r="J663" s="2">
        <v>10005.0</v>
      </c>
      <c r="K663" s="2" t="s">
        <v>1595</v>
      </c>
      <c r="L663" s="2"/>
      <c r="M663" s="2"/>
      <c r="N663" s="7">
        <v>1.0</v>
      </c>
      <c r="O663" s="12">
        <v>19524.0</v>
      </c>
      <c r="P663" s="11" t="s">
        <v>1649</v>
      </c>
      <c r="Q663" s="12">
        <v>19524.0</v>
      </c>
      <c r="R663" s="11" t="s">
        <v>1649</v>
      </c>
      <c r="S663" s="11" t="s">
        <v>1676</v>
      </c>
      <c r="T663" s="11" t="s">
        <v>1677</v>
      </c>
      <c r="U663" s="2" t="s">
        <v>1574</v>
      </c>
      <c r="V663" s="2" t="s">
        <v>1568</v>
      </c>
      <c r="W663" s="2" t="s">
        <v>1569</v>
      </c>
      <c r="X663" s="2" t="s">
        <v>1570</v>
      </c>
      <c r="AB663" s="2" t="s">
        <v>1571</v>
      </c>
    </row>
    <row r="664">
      <c r="A664" s="2" t="s">
        <v>1797</v>
      </c>
      <c r="B664" s="2">
        <v>16.0</v>
      </c>
      <c r="C664" s="2" t="s">
        <v>11</v>
      </c>
      <c r="D664" s="2" t="s">
        <v>1798</v>
      </c>
      <c r="E664" s="2">
        <v>7.0</v>
      </c>
      <c r="F664" s="2" t="s">
        <v>10</v>
      </c>
      <c r="G664" s="5">
        <v>2708671.0</v>
      </c>
      <c r="H664" s="2" t="s">
        <v>1575</v>
      </c>
      <c r="I664" s="2" t="s">
        <v>1565</v>
      </c>
      <c r="J664" s="2">
        <v>10007.0</v>
      </c>
      <c r="K664" s="2" t="s">
        <v>1576</v>
      </c>
      <c r="L664" s="2"/>
      <c r="M664" s="2"/>
      <c r="N664" s="7">
        <v>2.0</v>
      </c>
      <c r="O664" s="12">
        <v>33810.0</v>
      </c>
      <c r="P664" s="11" t="s">
        <v>1649</v>
      </c>
      <c r="Q664" s="12">
        <v>33810.0</v>
      </c>
      <c r="R664" s="11" t="s">
        <v>1649</v>
      </c>
      <c r="S664" s="11" t="s">
        <v>1701</v>
      </c>
      <c r="T664" s="11" t="s">
        <v>1703</v>
      </c>
      <c r="U664" s="2" t="s">
        <v>1574</v>
      </c>
      <c r="V664" s="2" t="s">
        <v>1568</v>
      </c>
      <c r="W664" s="2" t="s">
        <v>1569</v>
      </c>
      <c r="X664" s="2" t="s">
        <v>1570</v>
      </c>
      <c r="AB664" s="2" t="s">
        <v>1571</v>
      </c>
    </row>
    <row r="665">
      <c r="A665" s="2" t="s">
        <v>1797</v>
      </c>
      <c r="B665" s="2">
        <v>16.0</v>
      </c>
      <c r="C665" s="2" t="s">
        <v>11</v>
      </c>
      <c r="D665" s="2" t="s">
        <v>1798</v>
      </c>
      <c r="E665" s="2">
        <v>7.0</v>
      </c>
      <c r="F665" s="2" t="s">
        <v>10</v>
      </c>
      <c r="G665" s="5">
        <v>2708671.0</v>
      </c>
      <c r="H665" s="2" t="s">
        <v>1575</v>
      </c>
      <c r="I665" s="2" t="s">
        <v>1565</v>
      </c>
      <c r="J665" s="2">
        <v>10000.0</v>
      </c>
      <c r="K665" s="2" t="s">
        <v>1566</v>
      </c>
      <c r="L665" s="2"/>
      <c r="M665" s="2"/>
      <c r="N665" s="7">
        <v>1.0</v>
      </c>
      <c r="O665" s="12">
        <v>29524.0</v>
      </c>
      <c r="P665" s="11" t="s">
        <v>1649</v>
      </c>
      <c r="Q665" s="12">
        <v>29524.0</v>
      </c>
      <c r="R665" s="11" t="s">
        <v>1649</v>
      </c>
      <c r="S665" s="11" t="s">
        <v>1683</v>
      </c>
      <c r="T665" s="11" t="s">
        <v>1684</v>
      </c>
      <c r="U665" s="2" t="s">
        <v>1574</v>
      </c>
      <c r="V665" s="2" t="s">
        <v>1568</v>
      </c>
      <c r="W665" s="2" t="s">
        <v>1569</v>
      </c>
      <c r="X665" s="2" t="s">
        <v>1570</v>
      </c>
      <c r="AB665" s="2" t="s">
        <v>1571</v>
      </c>
    </row>
    <row r="666">
      <c r="A666" s="2" t="s">
        <v>1797</v>
      </c>
      <c r="B666" s="2">
        <v>16.0</v>
      </c>
      <c r="C666" s="2" t="s">
        <v>11</v>
      </c>
      <c r="D666" s="2" t="s">
        <v>1798</v>
      </c>
      <c r="E666" s="2">
        <v>7.0</v>
      </c>
      <c r="F666" s="2" t="s">
        <v>10</v>
      </c>
      <c r="G666" s="5">
        <v>2708671.0</v>
      </c>
      <c r="H666" s="2" t="s">
        <v>1575</v>
      </c>
      <c r="I666" s="2" t="s">
        <v>1572</v>
      </c>
      <c r="J666" s="2">
        <v>10107.0</v>
      </c>
      <c r="K666" s="2" t="s">
        <v>1584</v>
      </c>
      <c r="L666" s="2"/>
      <c r="M666" s="2"/>
      <c r="N666" s="7">
        <v>1.0</v>
      </c>
      <c r="O666" s="12">
        <v>26667.0</v>
      </c>
      <c r="P666" s="11" t="s">
        <v>1649</v>
      </c>
      <c r="Q666" s="12">
        <v>26667.0</v>
      </c>
      <c r="R666" s="11" t="s">
        <v>1649</v>
      </c>
      <c r="S666" s="11" t="s">
        <v>1674</v>
      </c>
      <c r="T666" s="11" t="s">
        <v>1679</v>
      </c>
      <c r="U666" s="2" t="s">
        <v>1574</v>
      </c>
      <c r="V666" s="2" t="s">
        <v>1568</v>
      </c>
      <c r="W666" s="2" t="s">
        <v>1569</v>
      </c>
      <c r="X666" s="2" t="s">
        <v>1570</v>
      </c>
      <c r="AB666" s="2" t="s">
        <v>1571</v>
      </c>
    </row>
    <row r="667">
      <c r="A667" s="2" t="s">
        <v>1797</v>
      </c>
      <c r="B667" s="2">
        <v>16.0</v>
      </c>
      <c r="C667" s="2" t="s">
        <v>11</v>
      </c>
      <c r="D667" s="2" t="s">
        <v>1798</v>
      </c>
      <c r="E667" s="2">
        <v>7.0</v>
      </c>
      <c r="F667" s="2" t="s">
        <v>10</v>
      </c>
      <c r="G667" s="5">
        <v>2708671.0</v>
      </c>
      <c r="H667" s="2" t="s">
        <v>1575</v>
      </c>
      <c r="I667" s="2" t="s">
        <v>1572</v>
      </c>
      <c r="J667" s="2">
        <v>10128.0</v>
      </c>
      <c r="K667" s="2" t="s">
        <v>1588</v>
      </c>
      <c r="L667" s="2"/>
      <c r="M667" s="2"/>
      <c r="N667" s="7">
        <v>1.0</v>
      </c>
      <c r="O667" s="12">
        <v>23333.0</v>
      </c>
      <c r="P667" s="11" t="s">
        <v>1649</v>
      </c>
      <c r="Q667" s="12">
        <v>23333.0</v>
      </c>
      <c r="R667" s="11" t="s">
        <v>1649</v>
      </c>
      <c r="S667" s="11" t="s">
        <v>1681</v>
      </c>
      <c r="T667" s="11" t="s">
        <v>1682</v>
      </c>
      <c r="U667" s="2" t="s">
        <v>1574</v>
      </c>
      <c r="V667" s="2" t="s">
        <v>1568</v>
      </c>
      <c r="W667" s="2" t="s">
        <v>1569</v>
      </c>
      <c r="X667" s="2" t="s">
        <v>1570</v>
      </c>
      <c r="AB667" s="2" t="s">
        <v>1571</v>
      </c>
    </row>
    <row r="668">
      <c r="A668" s="2" t="s">
        <v>1797</v>
      </c>
      <c r="B668" s="2">
        <v>16.0</v>
      </c>
      <c r="C668" s="2" t="s">
        <v>11</v>
      </c>
      <c r="D668" s="2" t="s">
        <v>1798</v>
      </c>
      <c r="E668" s="2">
        <v>7.0</v>
      </c>
      <c r="F668" s="2" t="s">
        <v>10</v>
      </c>
      <c r="G668" s="5">
        <v>2708671.0</v>
      </c>
      <c r="H668" s="2" t="s">
        <v>1575</v>
      </c>
      <c r="I668" s="2" t="s">
        <v>1572</v>
      </c>
      <c r="J668" s="2">
        <v>10058.0</v>
      </c>
      <c r="K668" s="2" t="s">
        <v>1618</v>
      </c>
      <c r="L668" s="2"/>
      <c r="M668" s="2"/>
      <c r="N668" s="7">
        <v>1.0</v>
      </c>
      <c r="O668" s="12">
        <v>19524.0</v>
      </c>
      <c r="P668" s="11" t="s">
        <v>1649</v>
      </c>
      <c r="Q668" s="12">
        <v>19524.0</v>
      </c>
      <c r="R668" s="11" t="s">
        <v>1649</v>
      </c>
      <c r="S668" s="11" t="s">
        <v>1676</v>
      </c>
      <c r="T668" s="11" t="s">
        <v>1677</v>
      </c>
      <c r="U668" s="2" t="s">
        <v>1574</v>
      </c>
      <c r="V668" s="2" t="s">
        <v>1568</v>
      </c>
      <c r="W668" s="2" t="s">
        <v>1569</v>
      </c>
      <c r="X668" s="2" t="s">
        <v>1570</v>
      </c>
      <c r="AB668" s="2" t="s">
        <v>1571</v>
      </c>
    </row>
    <row r="669">
      <c r="A669" s="2" t="s">
        <v>1797</v>
      </c>
      <c r="B669" s="2">
        <v>16.0</v>
      </c>
      <c r="C669" s="2" t="s">
        <v>11</v>
      </c>
      <c r="D669" s="2" t="s">
        <v>1798</v>
      </c>
      <c r="E669" s="2">
        <v>7.0</v>
      </c>
      <c r="F669" s="2" t="s">
        <v>10</v>
      </c>
      <c r="G669" s="5">
        <v>2708306.0</v>
      </c>
      <c r="H669" s="2" t="s">
        <v>1575</v>
      </c>
      <c r="I669" s="2" t="s">
        <v>1565</v>
      </c>
      <c r="J669" s="2">
        <v>10007.0</v>
      </c>
      <c r="K669" s="2" t="s">
        <v>1576</v>
      </c>
      <c r="L669" s="2"/>
      <c r="M669" s="2"/>
      <c r="N669" s="7">
        <v>2.0</v>
      </c>
      <c r="O669" s="12">
        <v>33810.0</v>
      </c>
      <c r="P669" s="11" t="s">
        <v>1649</v>
      </c>
      <c r="Q669" s="12">
        <v>33810.0</v>
      </c>
      <c r="R669" s="11" t="s">
        <v>1649</v>
      </c>
      <c r="S669" s="11" t="s">
        <v>1701</v>
      </c>
      <c r="T669" s="11" t="s">
        <v>1703</v>
      </c>
      <c r="U669" s="2" t="s">
        <v>1574</v>
      </c>
      <c r="V669" s="2" t="s">
        <v>1568</v>
      </c>
      <c r="W669" s="2" t="s">
        <v>1569</v>
      </c>
      <c r="X669" s="2" t="s">
        <v>1570</v>
      </c>
      <c r="AB669" s="2" t="s">
        <v>1571</v>
      </c>
    </row>
    <row r="670">
      <c r="A670" s="2" t="s">
        <v>1797</v>
      </c>
      <c r="B670" s="2">
        <v>16.0</v>
      </c>
      <c r="C670" s="2" t="s">
        <v>11</v>
      </c>
      <c r="D670" s="2" t="s">
        <v>1798</v>
      </c>
      <c r="E670" s="2">
        <v>7.0</v>
      </c>
      <c r="F670" s="2" t="s">
        <v>10</v>
      </c>
      <c r="G670" s="5">
        <v>2708306.0</v>
      </c>
      <c r="H670" s="2" t="s">
        <v>1575</v>
      </c>
      <c r="I670" s="2" t="s">
        <v>1565</v>
      </c>
      <c r="J670" s="2">
        <v>10055.0</v>
      </c>
      <c r="K670" s="2" t="s">
        <v>1595</v>
      </c>
      <c r="L670" s="2"/>
      <c r="M670" s="2"/>
      <c r="N670" s="7">
        <v>2.0</v>
      </c>
      <c r="O670" s="12">
        <v>34762.0</v>
      </c>
      <c r="P670" s="11" t="s">
        <v>1649</v>
      </c>
      <c r="Q670" s="12">
        <v>34762.0</v>
      </c>
      <c r="R670" s="11" t="s">
        <v>1649</v>
      </c>
      <c r="S670" s="11" t="s">
        <v>1670</v>
      </c>
      <c r="T670" s="11" t="s">
        <v>1671</v>
      </c>
      <c r="U670" s="2" t="s">
        <v>1574</v>
      </c>
      <c r="V670" s="2" t="s">
        <v>1568</v>
      </c>
      <c r="W670" s="2" t="s">
        <v>1569</v>
      </c>
      <c r="X670" s="2" t="s">
        <v>1570</v>
      </c>
      <c r="AB670" s="2" t="s">
        <v>1571</v>
      </c>
    </row>
    <row r="671">
      <c r="A671" s="2" t="s">
        <v>1797</v>
      </c>
      <c r="B671" s="2">
        <v>16.0</v>
      </c>
      <c r="C671" s="2" t="s">
        <v>11</v>
      </c>
      <c r="D671" s="2" t="s">
        <v>1798</v>
      </c>
      <c r="E671" s="2">
        <v>7.0</v>
      </c>
      <c r="F671" s="2" t="s">
        <v>10</v>
      </c>
      <c r="G671" s="5">
        <v>2707941.0</v>
      </c>
      <c r="H671" s="2" t="s">
        <v>1575</v>
      </c>
      <c r="I671" s="2" t="s">
        <v>1580</v>
      </c>
      <c r="J671" s="2">
        <v>10003.0</v>
      </c>
      <c r="K671" s="2" t="s">
        <v>1603</v>
      </c>
      <c r="L671" s="2"/>
      <c r="M671" s="2"/>
      <c r="N671" s="7">
        <v>1.0</v>
      </c>
      <c r="O671" s="12">
        <v>29524.0</v>
      </c>
      <c r="P671" s="11" t="s">
        <v>1649</v>
      </c>
      <c r="Q671" s="12">
        <v>29524.0</v>
      </c>
      <c r="R671" s="11" t="s">
        <v>1649</v>
      </c>
      <c r="S671" s="11" t="s">
        <v>1683</v>
      </c>
      <c r="T671" s="11" t="s">
        <v>1684</v>
      </c>
      <c r="U671" s="2" t="s">
        <v>1574</v>
      </c>
      <c r="V671" s="2" t="s">
        <v>1568</v>
      </c>
      <c r="W671" s="2" t="s">
        <v>1569</v>
      </c>
      <c r="X671" s="2" t="s">
        <v>1570</v>
      </c>
      <c r="AB671" s="2" t="s">
        <v>1571</v>
      </c>
    </row>
    <row r="672">
      <c r="A672" s="2" t="s">
        <v>1797</v>
      </c>
      <c r="B672" s="2">
        <v>16.0</v>
      </c>
      <c r="C672" s="2" t="s">
        <v>11</v>
      </c>
      <c r="D672" s="2" t="s">
        <v>1798</v>
      </c>
      <c r="E672" s="2">
        <v>7.0</v>
      </c>
      <c r="F672" s="2" t="s">
        <v>10</v>
      </c>
      <c r="G672" s="5">
        <v>2707941.0</v>
      </c>
      <c r="H672" s="2" t="s">
        <v>1575</v>
      </c>
      <c r="I672" s="2" t="s">
        <v>1572</v>
      </c>
      <c r="J672" s="2">
        <v>10112.0</v>
      </c>
      <c r="K672" s="2" t="s">
        <v>1573</v>
      </c>
      <c r="L672" s="2"/>
      <c r="M672" s="2"/>
      <c r="N672" s="7">
        <v>1.0</v>
      </c>
      <c r="O672" s="12">
        <v>6667.0</v>
      </c>
      <c r="P672" s="11" t="s">
        <v>1649</v>
      </c>
      <c r="Q672" s="12">
        <v>6667.0</v>
      </c>
      <c r="R672" s="11" t="s">
        <v>1649</v>
      </c>
      <c r="S672" s="11" t="s">
        <v>1734</v>
      </c>
      <c r="T672" s="11" t="s">
        <v>1735</v>
      </c>
      <c r="U672" s="2" t="s">
        <v>1574</v>
      </c>
      <c r="V672" s="2" t="s">
        <v>1568</v>
      </c>
      <c r="W672" s="2" t="s">
        <v>1569</v>
      </c>
      <c r="X672" s="2" t="s">
        <v>1570</v>
      </c>
      <c r="AB672" s="2" t="s">
        <v>1571</v>
      </c>
    </row>
    <row r="673">
      <c r="A673" s="2" t="s">
        <v>1797</v>
      </c>
      <c r="B673" s="2">
        <v>16.0</v>
      </c>
      <c r="C673" s="2" t="s">
        <v>11</v>
      </c>
      <c r="D673" s="2" t="s">
        <v>1798</v>
      </c>
      <c r="E673" s="2">
        <v>7.0</v>
      </c>
      <c r="F673" s="2" t="s">
        <v>10</v>
      </c>
      <c r="G673" s="5">
        <v>2707941.0</v>
      </c>
      <c r="H673" s="2" t="s">
        <v>1575</v>
      </c>
      <c r="I673" s="2" t="s">
        <v>1565</v>
      </c>
      <c r="J673" s="2">
        <v>10002.0</v>
      </c>
      <c r="K673" s="2" t="s">
        <v>1576</v>
      </c>
      <c r="L673" s="2"/>
      <c r="M673" s="2"/>
      <c r="N673" s="7">
        <v>1.0</v>
      </c>
      <c r="O673" s="12">
        <v>18571.0</v>
      </c>
      <c r="P673" s="11" t="s">
        <v>1649</v>
      </c>
      <c r="Q673" s="12">
        <v>18571.0</v>
      </c>
      <c r="R673" s="11" t="s">
        <v>1649</v>
      </c>
      <c r="S673" s="11" t="s">
        <v>1656</v>
      </c>
      <c r="T673" s="11" t="s">
        <v>1688</v>
      </c>
      <c r="U673" s="2" t="s">
        <v>1574</v>
      </c>
      <c r="V673" s="2" t="s">
        <v>1568</v>
      </c>
      <c r="W673" s="2" t="s">
        <v>1569</v>
      </c>
      <c r="X673" s="2" t="s">
        <v>1570</v>
      </c>
      <c r="AB673" s="2" t="s">
        <v>1571</v>
      </c>
    </row>
    <row r="674">
      <c r="A674" s="2" t="s">
        <v>1797</v>
      </c>
      <c r="B674" s="2">
        <v>16.0</v>
      </c>
      <c r="C674" s="2" t="s">
        <v>11</v>
      </c>
      <c r="D674" s="2" t="s">
        <v>1798</v>
      </c>
      <c r="E674" s="2">
        <v>7.0</v>
      </c>
      <c r="F674" s="2" t="s">
        <v>10</v>
      </c>
      <c r="G674" s="5">
        <v>2707576.0</v>
      </c>
      <c r="H674" s="2" t="s">
        <v>1575</v>
      </c>
      <c r="I674" s="2" t="s">
        <v>1578</v>
      </c>
      <c r="J674" s="2">
        <v>10010.0</v>
      </c>
      <c r="K674" s="2" t="s">
        <v>1606</v>
      </c>
      <c r="L674" s="2"/>
      <c r="M674" s="2"/>
      <c r="N674" s="7">
        <v>1.0</v>
      </c>
      <c r="O674" s="12">
        <v>25238.0</v>
      </c>
      <c r="P674" s="11" t="s">
        <v>1649</v>
      </c>
      <c r="Q674" s="12">
        <v>25238.0</v>
      </c>
      <c r="R674" s="11" t="s">
        <v>1649</v>
      </c>
      <c r="S674" s="11" t="s">
        <v>1660</v>
      </c>
      <c r="T674" s="11" t="s">
        <v>1680</v>
      </c>
      <c r="U674" s="2" t="s">
        <v>1574</v>
      </c>
      <c r="V674" s="2" t="s">
        <v>1568</v>
      </c>
      <c r="W674" s="2" t="s">
        <v>1569</v>
      </c>
      <c r="X674" s="2" t="s">
        <v>1570</v>
      </c>
      <c r="AB674" s="2" t="s">
        <v>1571</v>
      </c>
    </row>
    <row r="675">
      <c r="A675" s="2" t="s">
        <v>1797</v>
      </c>
      <c r="B675" s="2">
        <v>16.0</v>
      </c>
      <c r="C675" s="2" t="s">
        <v>11</v>
      </c>
      <c r="D675" s="2" t="s">
        <v>1798</v>
      </c>
      <c r="E675" s="2">
        <v>7.0</v>
      </c>
      <c r="F675" s="2" t="s">
        <v>10</v>
      </c>
      <c r="G675" s="5">
        <v>2707576.0</v>
      </c>
      <c r="H675" s="2" t="s">
        <v>1575</v>
      </c>
      <c r="I675" s="2" t="s">
        <v>1578</v>
      </c>
      <c r="J675" s="2">
        <v>10004.0</v>
      </c>
      <c r="K675" s="2" t="s">
        <v>1607</v>
      </c>
      <c r="L675" s="2"/>
      <c r="M675" s="2"/>
      <c r="N675" s="7">
        <v>1.0</v>
      </c>
      <c r="O675" s="12">
        <v>25238.0</v>
      </c>
      <c r="P675" s="11" t="s">
        <v>1649</v>
      </c>
      <c r="Q675" s="12">
        <v>25238.0</v>
      </c>
      <c r="R675" s="11" t="s">
        <v>1649</v>
      </c>
      <c r="S675" s="11" t="s">
        <v>1660</v>
      </c>
      <c r="T675" s="11" t="s">
        <v>1680</v>
      </c>
      <c r="U675" s="2" t="s">
        <v>1574</v>
      </c>
      <c r="V675" s="2" t="s">
        <v>1568</v>
      </c>
      <c r="W675" s="2" t="s">
        <v>1569</v>
      </c>
      <c r="X675" s="2" t="s">
        <v>1570</v>
      </c>
      <c r="AB675" s="2" t="s">
        <v>1571</v>
      </c>
    </row>
    <row r="676">
      <c r="A676" s="2" t="s">
        <v>1797</v>
      </c>
      <c r="B676" s="2">
        <v>16.0</v>
      </c>
      <c r="C676" s="2" t="s">
        <v>11</v>
      </c>
      <c r="D676" s="2" t="s">
        <v>1798</v>
      </c>
      <c r="E676" s="2">
        <v>7.0</v>
      </c>
      <c r="F676" s="2" t="s">
        <v>10</v>
      </c>
      <c r="G676" s="5">
        <v>2707576.0</v>
      </c>
      <c r="H676" s="2" t="s">
        <v>1575</v>
      </c>
      <c r="I676" s="2" t="s">
        <v>1578</v>
      </c>
      <c r="J676" s="2">
        <v>10014.0</v>
      </c>
      <c r="K676" s="2" t="s">
        <v>1609</v>
      </c>
      <c r="L676" s="2"/>
      <c r="M676" s="2"/>
      <c r="N676" s="7">
        <v>1.0</v>
      </c>
      <c r="O676" s="12">
        <v>25238.0</v>
      </c>
      <c r="P676" s="11" t="s">
        <v>1649</v>
      </c>
      <c r="Q676" s="12">
        <v>25238.0</v>
      </c>
      <c r="R676" s="11" t="s">
        <v>1649</v>
      </c>
      <c r="S676" s="11" t="s">
        <v>1660</v>
      </c>
      <c r="T676" s="11" t="s">
        <v>1680</v>
      </c>
      <c r="U676" s="2" t="s">
        <v>1574</v>
      </c>
      <c r="V676" s="2" t="s">
        <v>1568</v>
      </c>
      <c r="W676" s="2" t="s">
        <v>1569</v>
      </c>
      <c r="X676" s="2" t="s">
        <v>1570</v>
      </c>
      <c r="AB676" s="2" t="s">
        <v>1571</v>
      </c>
    </row>
    <row r="677">
      <c r="A677" s="2" t="s">
        <v>1797</v>
      </c>
      <c r="B677" s="2">
        <v>16.0</v>
      </c>
      <c r="C677" s="2" t="s">
        <v>11</v>
      </c>
      <c r="D677" s="2" t="s">
        <v>1798</v>
      </c>
      <c r="E677" s="2">
        <v>7.0</v>
      </c>
      <c r="F677" s="2" t="s">
        <v>10</v>
      </c>
      <c r="G677" s="5">
        <v>2707576.0</v>
      </c>
      <c r="H677" s="2" t="s">
        <v>1575</v>
      </c>
      <c r="I677" s="2" t="s">
        <v>1572</v>
      </c>
      <c r="J677" s="2">
        <v>10119.0</v>
      </c>
      <c r="K677" s="2" t="s">
        <v>1582</v>
      </c>
      <c r="L677" s="2"/>
      <c r="M677" s="2"/>
      <c r="N677" s="7">
        <v>1.0</v>
      </c>
      <c r="O677" s="12">
        <v>7143.0</v>
      </c>
      <c r="P677" s="11" t="s">
        <v>1649</v>
      </c>
      <c r="Q677" s="12">
        <v>7143.0</v>
      </c>
      <c r="R677" s="11" t="s">
        <v>1649</v>
      </c>
      <c r="S677" s="11" t="s">
        <v>1672</v>
      </c>
      <c r="T677" s="11" t="s">
        <v>1673</v>
      </c>
      <c r="U677" s="2" t="s">
        <v>1574</v>
      </c>
      <c r="V677" s="2" t="s">
        <v>1568</v>
      </c>
      <c r="W677" s="2" t="s">
        <v>1569</v>
      </c>
      <c r="X677" s="2" t="s">
        <v>1570</v>
      </c>
      <c r="AB677" s="2" t="s">
        <v>1571</v>
      </c>
    </row>
    <row r="678">
      <c r="A678" s="2" t="s">
        <v>1797</v>
      </c>
      <c r="B678" s="2">
        <v>16.0</v>
      </c>
      <c r="C678" s="2" t="s">
        <v>11</v>
      </c>
      <c r="D678" s="2" t="s">
        <v>1798</v>
      </c>
      <c r="E678" s="2">
        <v>7.0</v>
      </c>
      <c r="F678" s="2" t="s">
        <v>10</v>
      </c>
      <c r="G678" s="5">
        <v>2707576.0</v>
      </c>
      <c r="H678" s="2" t="s">
        <v>1575</v>
      </c>
      <c r="I678" s="2" t="s">
        <v>1572</v>
      </c>
      <c r="J678" s="2">
        <v>10056.0</v>
      </c>
      <c r="K678" s="2" t="s">
        <v>1585</v>
      </c>
      <c r="L678" s="2"/>
      <c r="M678" s="2"/>
      <c r="N678" s="7">
        <v>1.0</v>
      </c>
      <c r="O678" s="12">
        <v>19524.0</v>
      </c>
      <c r="P678" s="11" t="s">
        <v>1649</v>
      </c>
      <c r="Q678" s="12">
        <v>19524.0</v>
      </c>
      <c r="R678" s="11" t="s">
        <v>1649</v>
      </c>
      <c r="S678" s="11" t="s">
        <v>1676</v>
      </c>
      <c r="T678" s="11" t="s">
        <v>1677</v>
      </c>
      <c r="U678" s="2" t="s">
        <v>1574</v>
      </c>
      <c r="V678" s="2" t="s">
        <v>1568</v>
      </c>
      <c r="W678" s="2" t="s">
        <v>1569</v>
      </c>
      <c r="X678" s="2" t="s">
        <v>1570</v>
      </c>
      <c r="AB678" s="2" t="s">
        <v>1571</v>
      </c>
    </row>
    <row r="679">
      <c r="A679" s="2" t="s">
        <v>1797</v>
      </c>
      <c r="B679" s="2">
        <v>16.0</v>
      </c>
      <c r="C679" s="2" t="s">
        <v>11</v>
      </c>
      <c r="D679" s="2" t="s">
        <v>1798</v>
      </c>
      <c r="E679" s="2">
        <v>7.0</v>
      </c>
      <c r="F679" s="2" t="s">
        <v>10</v>
      </c>
      <c r="G679" s="5">
        <v>2707210.0</v>
      </c>
      <c r="H679" s="2" t="s">
        <v>1575</v>
      </c>
      <c r="I679" s="2" t="s">
        <v>1572</v>
      </c>
      <c r="J679" s="2">
        <v>10128.0</v>
      </c>
      <c r="K679" s="2" t="s">
        <v>1588</v>
      </c>
      <c r="L679" s="2"/>
      <c r="M679" s="2"/>
      <c r="N679" s="7">
        <v>2.0</v>
      </c>
      <c r="O679" s="12">
        <v>46666.0</v>
      </c>
      <c r="P679" s="11" t="s">
        <v>1649</v>
      </c>
      <c r="Q679" s="12">
        <v>46666.0</v>
      </c>
      <c r="R679" s="11" t="s">
        <v>1649</v>
      </c>
      <c r="S679" s="11" t="s">
        <v>1691</v>
      </c>
      <c r="T679" s="11" t="s">
        <v>1692</v>
      </c>
      <c r="U679" s="2" t="s">
        <v>1574</v>
      </c>
      <c r="V679" s="2" t="s">
        <v>1568</v>
      </c>
      <c r="W679" s="2" t="s">
        <v>1569</v>
      </c>
      <c r="X679" s="2" t="s">
        <v>1570</v>
      </c>
      <c r="AB679" s="2" t="s">
        <v>1571</v>
      </c>
    </row>
    <row r="680">
      <c r="A680" s="2" t="s">
        <v>1797</v>
      </c>
      <c r="B680" s="2">
        <v>16.0</v>
      </c>
      <c r="C680" s="2" t="s">
        <v>11</v>
      </c>
      <c r="D680" s="2" t="s">
        <v>1798</v>
      </c>
      <c r="E680" s="2">
        <v>7.0</v>
      </c>
      <c r="F680" s="2" t="s">
        <v>10</v>
      </c>
      <c r="G680" s="5">
        <v>2707210.0</v>
      </c>
      <c r="H680" s="2" t="s">
        <v>1575</v>
      </c>
      <c r="I680" s="2" t="s">
        <v>1565</v>
      </c>
      <c r="J680" s="2">
        <v>10002.0</v>
      </c>
      <c r="K680" s="2" t="s">
        <v>1576</v>
      </c>
      <c r="L680" s="2"/>
      <c r="M680" s="2"/>
      <c r="N680" s="7">
        <v>1.0</v>
      </c>
      <c r="O680" s="12">
        <v>18571.0</v>
      </c>
      <c r="P680" s="11" t="s">
        <v>1649</v>
      </c>
      <c r="Q680" s="12">
        <v>18571.0</v>
      </c>
      <c r="R680" s="11" t="s">
        <v>1649</v>
      </c>
      <c r="S680" s="11" t="s">
        <v>1656</v>
      </c>
      <c r="T680" s="11" t="s">
        <v>1657</v>
      </c>
      <c r="U680" s="2" t="s">
        <v>1574</v>
      </c>
      <c r="V680" s="2" t="s">
        <v>1568</v>
      </c>
      <c r="W680" s="2" t="s">
        <v>1569</v>
      </c>
      <c r="X680" s="2" t="s">
        <v>1570</v>
      </c>
      <c r="AB680" s="2" t="s">
        <v>1571</v>
      </c>
    </row>
    <row r="681">
      <c r="A681" s="2" t="s">
        <v>1797</v>
      </c>
      <c r="B681" s="2">
        <v>16.0</v>
      </c>
      <c r="C681" s="2" t="s">
        <v>11</v>
      </c>
      <c r="D681" s="2" t="s">
        <v>1798</v>
      </c>
      <c r="E681" s="2">
        <v>7.0</v>
      </c>
      <c r="F681" s="2" t="s">
        <v>10</v>
      </c>
      <c r="G681" s="5">
        <v>2707210.0</v>
      </c>
      <c r="H681" s="2" t="s">
        <v>1575</v>
      </c>
      <c r="I681" s="2" t="s">
        <v>1565</v>
      </c>
      <c r="J681" s="2">
        <v>10000.0</v>
      </c>
      <c r="K681" s="2" t="s">
        <v>1566</v>
      </c>
      <c r="L681" s="2"/>
      <c r="M681" s="2"/>
      <c r="N681" s="7">
        <v>1.0</v>
      </c>
      <c r="O681" s="12">
        <v>29524.0</v>
      </c>
      <c r="P681" s="11" t="s">
        <v>1649</v>
      </c>
      <c r="Q681" s="12">
        <v>29524.0</v>
      </c>
      <c r="R681" s="11" t="s">
        <v>1649</v>
      </c>
      <c r="S681" s="11" t="s">
        <v>1683</v>
      </c>
      <c r="T681" s="11" t="s">
        <v>1684</v>
      </c>
      <c r="U681" s="2" t="s">
        <v>1574</v>
      </c>
      <c r="V681" s="2" t="s">
        <v>1568</v>
      </c>
      <c r="W681" s="2" t="s">
        <v>1569</v>
      </c>
      <c r="X681" s="2" t="s">
        <v>1570</v>
      </c>
      <c r="AB681" s="2" t="s">
        <v>1571</v>
      </c>
    </row>
    <row r="682">
      <c r="A682" s="2" t="s">
        <v>1797</v>
      </c>
      <c r="B682" s="2">
        <v>15.0</v>
      </c>
      <c r="C682" s="2" t="s">
        <v>11</v>
      </c>
      <c r="D682" s="2" t="s">
        <v>1798</v>
      </c>
      <c r="E682" s="2">
        <v>7.0</v>
      </c>
      <c r="F682" s="2" t="s">
        <v>10</v>
      </c>
      <c r="G682" s="5">
        <v>2706845.0</v>
      </c>
      <c r="H682" s="2" t="s">
        <v>1575</v>
      </c>
      <c r="I682" s="2" t="s">
        <v>1565</v>
      </c>
      <c r="J682" s="2">
        <v>10007.0</v>
      </c>
      <c r="K682" s="2" t="s">
        <v>1576</v>
      </c>
      <c r="L682" s="2"/>
      <c r="M682" s="2"/>
      <c r="N682" s="7">
        <v>2.0</v>
      </c>
      <c r="O682" s="12">
        <v>67620.0</v>
      </c>
      <c r="P682" s="11" t="s">
        <v>1649</v>
      </c>
      <c r="Q682" s="12">
        <v>67620.0</v>
      </c>
      <c r="R682" s="11" t="s">
        <v>1649</v>
      </c>
      <c r="S682" s="11" t="s">
        <v>1723</v>
      </c>
      <c r="T682" s="11" t="s">
        <v>1724</v>
      </c>
      <c r="U682" s="2" t="s">
        <v>1567</v>
      </c>
      <c r="V682" s="2" t="s">
        <v>1568</v>
      </c>
      <c r="W682" s="2" t="s">
        <v>1569</v>
      </c>
      <c r="X682" s="2" t="s">
        <v>1570</v>
      </c>
      <c r="AB682" s="2" t="s">
        <v>1571</v>
      </c>
    </row>
    <row r="683">
      <c r="A683" s="2" t="s">
        <v>1797</v>
      </c>
      <c r="B683" s="2">
        <v>15.0</v>
      </c>
      <c r="C683" s="2" t="s">
        <v>11</v>
      </c>
      <c r="D683" s="2" t="s">
        <v>1798</v>
      </c>
      <c r="E683" s="2">
        <v>7.0</v>
      </c>
      <c r="F683" s="2" t="s">
        <v>10</v>
      </c>
      <c r="G683" s="5">
        <v>2706480.0</v>
      </c>
      <c r="H683" s="2" t="s">
        <v>1575</v>
      </c>
      <c r="I683" s="2" t="s">
        <v>1580</v>
      </c>
      <c r="J683" s="2">
        <v>10003.0</v>
      </c>
      <c r="K683" s="2" t="s">
        <v>1603</v>
      </c>
      <c r="L683" s="2"/>
      <c r="M683" s="2"/>
      <c r="N683" s="7">
        <v>1.0</v>
      </c>
      <c r="O683" s="12">
        <v>29524.0</v>
      </c>
      <c r="P683" s="11" t="s">
        <v>1649</v>
      </c>
      <c r="Q683" s="12">
        <v>29524.0</v>
      </c>
      <c r="R683" s="11" t="s">
        <v>1649</v>
      </c>
      <c r="S683" s="11" t="s">
        <v>1683</v>
      </c>
      <c r="T683" s="11" t="s">
        <v>1684</v>
      </c>
      <c r="U683" s="2" t="s">
        <v>1574</v>
      </c>
      <c r="V683" s="2" t="s">
        <v>1568</v>
      </c>
      <c r="W683" s="2" t="s">
        <v>1569</v>
      </c>
      <c r="X683" s="2" t="s">
        <v>1570</v>
      </c>
      <c r="AB683" s="2" t="s">
        <v>1571</v>
      </c>
    </row>
    <row r="684">
      <c r="A684" s="2" t="s">
        <v>1797</v>
      </c>
      <c r="B684" s="2">
        <v>15.0</v>
      </c>
      <c r="C684" s="2" t="s">
        <v>11</v>
      </c>
      <c r="D684" s="2" t="s">
        <v>1798</v>
      </c>
      <c r="E684" s="2">
        <v>7.0</v>
      </c>
      <c r="F684" s="2" t="s">
        <v>10</v>
      </c>
      <c r="G684" s="5">
        <v>2706480.0</v>
      </c>
      <c r="H684" s="2" t="s">
        <v>1575</v>
      </c>
      <c r="I684" s="2" t="s">
        <v>1572</v>
      </c>
      <c r="J684" s="2">
        <v>10112.0</v>
      </c>
      <c r="K684" s="2" t="s">
        <v>1573</v>
      </c>
      <c r="L684" s="2"/>
      <c r="M684" s="2"/>
      <c r="N684" s="7">
        <v>1.0</v>
      </c>
      <c r="O684" s="12">
        <v>6667.0</v>
      </c>
      <c r="P684" s="11" t="s">
        <v>1649</v>
      </c>
      <c r="Q684" s="12">
        <v>6667.0</v>
      </c>
      <c r="R684" s="11" t="s">
        <v>1649</v>
      </c>
      <c r="S684" s="11" t="s">
        <v>1734</v>
      </c>
      <c r="T684" s="11" t="s">
        <v>1735</v>
      </c>
      <c r="U684" s="2" t="s">
        <v>1574</v>
      </c>
      <c r="V684" s="2" t="s">
        <v>1568</v>
      </c>
      <c r="W684" s="2" t="s">
        <v>1569</v>
      </c>
      <c r="X684" s="2" t="s">
        <v>1570</v>
      </c>
      <c r="AB684" s="2" t="s">
        <v>1571</v>
      </c>
    </row>
    <row r="685">
      <c r="A685" s="2" t="s">
        <v>1797</v>
      </c>
      <c r="B685" s="2">
        <v>15.0</v>
      </c>
      <c r="C685" s="2" t="s">
        <v>11</v>
      </c>
      <c r="D685" s="2" t="s">
        <v>1798</v>
      </c>
      <c r="E685" s="2">
        <v>7.0</v>
      </c>
      <c r="F685" s="2" t="s">
        <v>10</v>
      </c>
      <c r="G685" s="5">
        <v>2706115.0</v>
      </c>
      <c r="H685" s="2" t="s">
        <v>1575</v>
      </c>
      <c r="I685" s="2" t="s">
        <v>1578</v>
      </c>
      <c r="J685" s="2">
        <v>10011.0</v>
      </c>
      <c r="K685" s="2" t="s">
        <v>1605</v>
      </c>
      <c r="L685" s="2"/>
      <c r="M685" s="2"/>
      <c r="N685" s="7">
        <v>1.0</v>
      </c>
      <c r="O685" s="12">
        <v>25238.0</v>
      </c>
      <c r="P685" s="11" t="s">
        <v>1649</v>
      </c>
      <c r="Q685" s="12">
        <v>25238.0</v>
      </c>
      <c r="R685" s="11" t="s">
        <v>1649</v>
      </c>
      <c r="S685" s="11" t="s">
        <v>1660</v>
      </c>
      <c r="T685" s="11" t="s">
        <v>1680</v>
      </c>
      <c r="U685" s="2" t="s">
        <v>1574</v>
      </c>
      <c r="V685" s="2" t="s">
        <v>1568</v>
      </c>
      <c r="W685" s="2" t="s">
        <v>1569</v>
      </c>
      <c r="X685" s="2" t="s">
        <v>1570</v>
      </c>
      <c r="AB685" s="2" t="s">
        <v>1571</v>
      </c>
    </row>
    <row r="686">
      <c r="A686" s="2" t="s">
        <v>1797</v>
      </c>
      <c r="B686" s="2">
        <v>15.0</v>
      </c>
      <c r="C686" s="2" t="s">
        <v>11</v>
      </c>
      <c r="D686" s="2" t="s">
        <v>1798</v>
      </c>
      <c r="E686" s="2">
        <v>7.0</v>
      </c>
      <c r="F686" s="2" t="s">
        <v>10</v>
      </c>
      <c r="G686" s="5">
        <v>2706115.0</v>
      </c>
      <c r="H686" s="2" t="s">
        <v>1575</v>
      </c>
      <c r="I686" s="2" t="s">
        <v>1578</v>
      </c>
      <c r="J686" s="2">
        <v>10014.0</v>
      </c>
      <c r="K686" s="2" t="s">
        <v>1609</v>
      </c>
      <c r="L686" s="2"/>
      <c r="M686" s="2"/>
      <c r="N686" s="7">
        <v>1.0</v>
      </c>
      <c r="O686" s="12">
        <v>25238.0</v>
      </c>
      <c r="P686" s="11" t="s">
        <v>1649</v>
      </c>
      <c r="Q686" s="12">
        <v>25238.0</v>
      </c>
      <c r="R686" s="11" t="s">
        <v>1649</v>
      </c>
      <c r="S686" s="11" t="s">
        <v>1660</v>
      </c>
      <c r="T686" s="11" t="s">
        <v>1680</v>
      </c>
      <c r="U686" s="2" t="s">
        <v>1574</v>
      </c>
      <c r="V686" s="2" t="s">
        <v>1568</v>
      </c>
      <c r="W686" s="2" t="s">
        <v>1569</v>
      </c>
      <c r="X686" s="2" t="s">
        <v>1570</v>
      </c>
      <c r="AB686" s="2" t="s">
        <v>1571</v>
      </c>
    </row>
    <row r="687">
      <c r="A687" s="2" t="s">
        <v>1797</v>
      </c>
      <c r="B687" s="2">
        <v>15.0</v>
      </c>
      <c r="C687" s="2" t="s">
        <v>11</v>
      </c>
      <c r="D687" s="2" t="s">
        <v>1798</v>
      </c>
      <c r="E687" s="2">
        <v>7.0</v>
      </c>
      <c r="F687" s="2" t="s">
        <v>10</v>
      </c>
      <c r="G687" s="5">
        <v>2706115.0</v>
      </c>
      <c r="H687" s="2" t="s">
        <v>1575</v>
      </c>
      <c r="I687" s="2" t="s">
        <v>1565</v>
      </c>
      <c r="J687" s="2">
        <v>10007.0</v>
      </c>
      <c r="K687" s="2" t="s">
        <v>1576</v>
      </c>
      <c r="L687" s="2"/>
      <c r="M687" s="2"/>
      <c r="N687" s="7">
        <v>2.0</v>
      </c>
      <c r="O687" s="12">
        <v>33810.0</v>
      </c>
      <c r="P687" s="11" t="s">
        <v>1649</v>
      </c>
      <c r="Q687" s="12">
        <v>33810.0</v>
      </c>
      <c r="R687" s="11" t="s">
        <v>1649</v>
      </c>
      <c r="S687" s="11" t="s">
        <v>1701</v>
      </c>
      <c r="T687" s="11" t="s">
        <v>1702</v>
      </c>
      <c r="U687" s="2" t="s">
        <v>1574</v>
      </c>
      <c r="V687" s="2" t="s">
        <v>1568</v>
      </c>
      <c r="W687" s="2" t="s">
        <v>1569</v>
      </c>
      <c r="X687" s="2" t="s">
        <v>1570</v>
      </c>
      <c r="AB687" s="2" t="s">
        <v>1571</v>
      </c>
    </row>
    <row r="688">
      <c r="A688" s="2" t="s">
        <v>1797</v>
      </c>
      <c r="B688" s="2">
        <v>15.0</v>
      </c>
      <c r="C688" s="2" t="s">
        <v>11</v>
      </c>
      <c r="D688" s="2" t="s">
        <v>1798</v>
      </c>
      <c r="E688" s="2">
        <v>7.0</v>
      </c>
      <c r="F688" s="2" t="s">
        <v>10</v>
      </c>
      <c r="G688" s="5">
        <v>2705749.0</v>
      </c>
      <c r="H688" s="2" t="s">
        <v>1575</v>
      </c>
      <c r="I688" s="2" t="s">
        <v>1580</v>
      </c>
      <c r="J688" s="2">
        <v>10105.0</v>
      </c>
      <c r="K688" s="2" t="s">
        <v>1611</v>
      </c>
      <c r="L688" s="2"/>
      <c r="M688" s="2"/>
      <c r="N688" s="7">
        <v>3.0</v>
      </c>
      <c r="O688" s="12">
        <v>114285.0</v>
      </c>
      <c r="P688" s="11" t="s">
        <v>1649</v>
      </c>
      <c r="Q688" s="12">
        <v>114285.0</v>
      </c>
      <c r="R688" s="11" t="s">
        <v>1649</v>
      </c>
      <c r="S688" s="11" t="s">
        <v>1799</v>
      </c>
      <c r="T688" s="11" t="s">
        <v>1772</v>
      </c>
      <c r="U688" s="2" t="s">
        <v>1574</v>
      </c>
      <c r="V688" s="2" t="s">
        <v>1568</v>
      </c>
      <c r="W688" s="2" t="s">
        <v>1569</v>
      </c>
      <c r="X688" s="2" t="s">
        <v>1570</v>
      </c>
      <c r="AB688" s="2" t="s">
        <v>1571</v>
      </c>
    </row>
    <row r="689">
      <c r="A689" s="2" t="s">
        <v>1797</v>
      </c>
      <c r="B689" s="2">
        <v>15.0</v>
      </c>
      <c r="C689" s="2" t="s">
        <v>11</v>
      </c>
      <c r="D689" s="2" t="s">
        <v>1798</v>
      </c>
      <c r="E689" s="2">
        <v>7.0</v>
      </c>
      <c r="F689" s="2" t="s">
        <v>10</v>
      </c>
      <c r="G689" s="5">
        <v>2705749.0</v>
      </c>
      <c r="H689" s="2" t="s">
        <v>1575</v>
      </c>
      <c r="I689" s="2" t="s">
        <v>1578</v>
      </c>
      <c r="J689" s="2">
        <v>10014.0</v>
      </c>
      <c r="K689" s="2" t="s">
        <v>1609</v>
      </c>
      <c r="L689" s="2"/>
      <c r="M689" s="2"/>
      <c r="N689" s="7">
        <v>1.0</v>
      </c>
      <c r="O689" s="12">
        <v>25238.0</v>
      </c>
      <c r="P689" s="11" t="s">
        <v>1649</v>
      </c>
      <c r="Q689" s="12">
        <v>25238.0</v>
      </c>
      <c r="R689" s="11" t="s">
        <v>1649</v>
      </c>
      <c r="S689" s="11" t="s">
        <v>1660</v>
      </c>
      <c r="T689" s="11" t="s">
        <v>1680</v>
      </c>
      <c r="U689" s="2" t="s">
        <v>1574</v>
      </c>
      <c r="V689" s="2" t="s">
        <v>1568</v>
      </c>
      <c r="W689" s="2" t="s">
        <v>1569</v>
      </c>
      <c r="X689" s="2" t="s">
        <v>1570</v>
      </c>
      <c r="AB689" s="2" t="s">
        <v>1571</v>
      </c>
    </row>
    <row r="690">
      <c r="A690" s="2" t="s">
        <v>1797</v>
      </c>
      <c r="B690" s="2">
        <v>15.0</v>
      </c>
      <c r="C690" s="2" t="s">
        <v>11</v>
      </c>
      <c r="D690" s="2" t="s">
        <v>1798</v>
      </c>
      <c r="E690" s="2">
        <v>7.0</v>
      </c>
      <c r="F690" s="2" t="s">
        <v>10</v>
      </c>
      <c r="G690" s="5">
        <v>2705749.0</v>
      </c>
      <c r="H690" s="2" t="s">
        <v>1575</v>
      </c>
      <c r="I690" s="2" t="s">
        <v>1572</v>
      </c>
      <c r="J690" s="2">
        <v>10119.0</v>
      </c>
      <c r="K690" s="2" t="s">
        <v>1582</v>
      </c>
      <c r="L690" s="2"/>
      <c r="M690" s="2"/>
      <c r="N690" s="7">
        <v>1.0</v>
      </c>
      <c r="O690" s="12">
        <v>7143.0</v>
      </c>
      <c r="P690" s="11" t="s">
        <v>1649</v>
      </c>
      <c r="Q690" s="12">
        <v>7143.0</v>
      </c>
      <c r="R690" s="11" t="s">
        <v>1649</v>
      </c>
      <c r="S690" s="11" t="s">
        <v>1672</v>
      </c>
      <c r="T690" s="11" t="s">
        <v>1673</v>
      </c>
      <c r="U690" s="2" t="s">
        <v>1574</v>
      </c>
      <c r="V690" s="2" t="s">
        <v>1568</v>
      </c>
      <c r="W690" s="2" t="s">
        <v>1569</v>
      </c>
      <c r="X690" s="2" t="s">
        <v>1570</v>
      </c>
      <c r="AB690" s="2" t="s">
        <v>1571</v>
      </c>
    </row>
    <row r="691">
      <c r="A691" s="2" t="s">
        <v>1797</v>
      </c>
      <c r="B691" s="2">
        <v>15.0</v>
      </c>
      <c r="C691" s="2" t="s">
        <v>11</v>
      </c>
      <c r="D691" s="2" t="s">
        <v>1798</v>
      </c>
      <c r="E691" s="2">
        <v>7.0</v>
      </c>
      <c r="F691" s="2" t="s">
        <v>10</v>
      </c>
      <c r="G691" s="5">
        <v>2705749.0</v>
      </c>
      <c r="H691" s="2" t="s">
        <v>1575</v>
      </c>
      <c r="I691" s="2" t="s">
        <v>1572</v>
      </c>
      <c r="J691" s="2">
        <v>10118.0</v>
      </c>
      <c r="K691" s="2" t="s">
        <v>1604</v>
      </c>
      <c r="L691" s="2"/>
      <c r="M691" s="2"/>
      <c r="N691" s="7">
        <v>1.0</v>
      </c>
      <c r="O691" s="12">
        <v>7143.0</v>
      </c>
      <c r="P691" s="11" t="s">
        <v>1649</v>
      </c>
      <c r="Q691" s="12">
        <v>7143.0</v>
      </c>
      <c r="R691" s="11" t="s">
        <v>1649</v>
      </c>
      <c r="S691" s="11" t="s">
        <v>1672</v>
      </c>
      <c r="T691" s="11" t="s">
        <v>1673</v>
      </c>
      <c r="U691" s="2" t="s">
        <v>1574</v>
      </c>
      <c r="V691" s="2" t="s">
        <v>1568</v>
      </c>
      <c r="W691" s="2" t="s">
        <v>1569</v>
      </c>
      <c r="X691" s="2" t="s">
        <v>1570</v>
      </c>
      <c r="AB691" s="2" t="s">
        <v>1571</v>
      </c>
    </row>
    <row r="692">
      <c r="A692" s="2" t="s">
        <v>1797</v>
      </c>
      <c r="B692" s="2">
        <v>15.0</v>
      </c>
      <c r="C692" s="2" t="s">
        <v>11</v>
      </c>
      <c r="D692" s="2" t="s">
        <v>1798</v>
      </c>
      <c r="E692" s="2">
        <v>7.0</v>
      </c>
      <c r="F692" s="2" t="s">
        <v>10</v>
      </c>
      <c r="G692" s="5">
        <v>2705384.0</v>
      </c>
      <c r="H692" s="2" t="s">
        <v>1575</v>
      </c>
      <c r="I692" s="2" t="s">
        <v>1572</v>
      </c>
      <c r="J692" s="2">
        <v>10013.0</v>
      </c>
      <c r="K692" s="2" t="s">
        <v>1591</v>
      </c>
      <c r="L692" s="2"/>
      <c r="M692" s="2"/>
      <c r="N692" s="7">
        <v>1.0</v>
      </c>
      <c r="O692" s="12">
        <v>23333.0</v>
      </c>
      <c r="P692" s="11" t="s">
        <v>1649</v>
      </c>
      <c r="Q692" s="12">
        <v>23333.0</v>
      </c>
      <c r="R692" s="11" t="s">
        <v>1649</v>
      </c>
      <c r="S692" s="11" t="s">
        <v>1681</v>
      </c>
      <c r="T692" s="11" t="s">
        <v>1682</v>
      </c>
      <c r="U692" s="2" t="s">
        <v>1574</v>
      </c>
      <c r="V692" s="2" t="s">
        <v>1568</v>
      </c>
      <c r="W692" s="2" t="s">
        <v>1569</v>
      </c>
      <c r="X692" s="2" t="s">
        <v>1570</v>
      </c>
      <c r="AB692" s="2" t="s">
        <v>1571</v>
      </c>
    </row>
    <row r="693">
      <c r="A693" s="2" t="s">
        <v>1797</v>
      </c>
      <c r="B693" s="2">
        <v>15.0</v>
      </c>
      <c r="C693" s="2" t="s">
        <v>11</v>
      </c>
      <c r="D693" s="2" t="s">
        <v>1798</v>
      </c>
      <c r="E693" s="2">
        <v>7.0</v>
      </c>
      <c r="F693" s="2" t="s">
        <v>10</v>
      </c>
      <c r="G693" s="5">
        <v>2705384.0</v>
      </c>
      <c r="H693" s="2" t="s">
        <v>1575</v>
      </c>
      <c r="I693" s="2" t="s">
        <v>1572</v>
      </c>
      <c r="J693" s="2">
        <v>10122.0</v>
      </c>
      <c r="K693" s="2" t="s">
        <v>1577</v>
      </c>
      <c r="L693" s="2"/>
      <c r="M693" s="2"/>
      <c r="N693" s="7">
        <v>1.0</v>
      </c>
      <c r="O693" s="12">
        <v>21905.0</v>
      </c>
      <c r="P693" s="11" t="s">
        <v>1649</v>
      </c>
      <c r="Q693" s="12">
        <v>21905.0</v>
      </c>
      <c r="R693" s="11" t="s">
        <v>1649</v>
      </c>
      <c r="S693" s="11" t="s">
        <v>1666</v>
      </c>
      <c r="T693" s="11" t="s">
        <v>1667</v>
      </c>
      <c r="U693" s="2" t="s">
        <v>1574</v>
      </c>
      <c r="V693" s="2" t="s">
        <v>1568</v>
      </c>
      <c r="W693" s="2" t="s">
        <v>1569</v>
      </c>
      <c r="X693" s="2" t="s">
        <v>1570</v>
      </c>
      <c r="AB693" s="2" t="s">
        <v>1571</v>
      </c>
    </row>
    <row r="694">
      <c r="A694" s="2" t="s">
        <v>1797</v>
      </c>
      <c r="B694" s="2">
        <v>15.0</v>
      </c>
      <c r="C694" s="2" t="s">
        <v>11</v>
      </c>
      <c r="D694" s="2" t="s">
        <v>1798</v>
      </c>
      <c r="E694" s="2">
        <v>7.0</v>
      </c>
      <c r="F694" s="2" t="s">
        <v>10</v>
      </c>
      <c r="G694" s="5">
        <v>2705384.0</v>
      </c>
      <c r="H694" s="2" t="s">
        <v>1575</v>
      </c>
      <c r="I694" s="2" t="s">
        <v>1565</v>
      </c>
      <c r="J694" s="2">
        <v>10055.0</v>
      </c>
      <c r="K694" s="2" t="s">
        <v>1595</v>
      </c>
      <c r="L694" s="2"/>
      <c r="M694" s="2"/>
      <c r="N694" s="7">
        <v>2.0</v>
      </c>
      <c r="O694" s="12">
        <v>34762.0</v>
      </c>
      <c r="P694" s="11" t="s">
        <v>1649</v>
      </c>
      <c r="Q694" s="12">
        <v>34762.0</v>
      </c>
      <c r="R694" s="11" t="s">
        <v>1649</v>
      </c>
      <c r="S694" s="11" t="s">
        <v>1670</v>
      </c>
      <c r="T694" s="11" t="s">
        <v>1671</v>
      </c>
      <c r="U694" s="2" t="s">
        <v>1574</v>
      </c>
      <c r="V694" s="2" t="s">
        <v>1568</v>
      </c>
      <c r="W694" s="2" t="s">
        <v>1569</v>
      </c>
      <c r="X694" s="2" t="s">
        <v>1570</v>
      </c>
      <c r="AB694" s="2" t="s">
        <v>1571</v>
      </c>
    </row>
    <row r="695">
      <c r="A695" s="2" t="s">
        <v>1797</v>
      </c>
      <c r="B695" s="2">
        <v>14.0</v>
      </c>
      <c r="C695" s="2" t="s">
        <v>11</v>
      </c>
      <c r="D695" s="2" t="s">
        <v>1798</v>
      </c>
      <c r="E695" s="2">
        <v>7.0</v>
      </c>
      <c r="F695" s="2" t="s">
        <v>10</v>
      </c>
      <c r="G695" s="5">
        <v>2705019.0</v>
      </c>
      <c r="H695" s="2" t="s">
        <v>1575</v>
      </c>
      <c r="I695" s="2" t="s">
        <v>1565</v>
      </c>
      <c r="J695" s="2">
        <v>10002.0</v>
      </c>
      <c r="K695" s="2" t="s">
        <v>1576</v>
      </c>
      <c r="L695" s="2"/>
      <c r="M695" s="2"/>
      <c r="N695" s="7">
        <v>1.0</v>
      </c>
      <c r="O695" s="12">
        <v>18571.0</v>
      </c>
      <c r="P695" s="11" t="s">
        <v>1649</v>
      </c>
      <c r="Q695" s="12">
        <v>18571.0</v>
      </c>
      <c r="R695" s="11" t="s">
        <v>1649</v>
      </c>
      <c r="S695" s="11" t="s">
        <v>1656</v>
      </c>
      <c r="T695" s="11" t="s">
        <v>1657</v>
      </c>
      <c r="U695" s="2" t="s">
        <v>1567</v>
      </c>
      <c r="V695" s="2" t="s">
        <v>1568</v>
      </c>
      <c r="W695" s="2" t="s">
        <v>1569</v>
      </c>
      <c r="X695" s="2" t="s">
        <v>1570</v>
      </c>
      <c r="AB695" s="2" t="s">
        <v>1571</v>
      </c>
    </row>
    <row r="696">
      <c r="A696" s="2" t="s">
        <v>1797</v>
      </c>
      <c r="B696" s="2">
        <v>14.0</v>
      </c>
      <c r="C696" s="2" t="s">
        <v>11</v>
      </c>
      <c r="D696" s="2" t="s">
        <v>1798</v>
      </c>
      <c r="E696" s="2">
        <v>7.0</v>
      </c>
      <c r="F696" s="2" t="s">
        <v>10</v>
      </c>
      <c r="G696" s="5">
        <v>2705019.0</v>
      </c>
      <c r="H696" s="2" t="s">
        <v>1575</v>
      </c>
      <c r="I696" s="2" t="s">
        <v>1572</v>
      </c>
      <c r="J696" s="2">
        <v>10026.0</v>
      </c>
      <c r="K696" s="2" t="s">
        <v>1583</v>
      </c>
      <c r="L696" s="2"/>
      <c r="M696" s="2"/>
      <c r="N696" s="7">
        <v>2.0</v>
      </c>
      <c r="O696" s="12">
        <v>43810.0</v>
      </c>
      <c r="P696" s="11" t="s">
        <v>1649</v>
      </c>
      <c r="Q696" s="12">
        <v>43810.0</v>
      </c>
      <c r="R696" s="11" t="s">
        <v>1649</v>
      </c>
      <c r="S696" s="11" t="s">
        <v>1658</v>
      </c>
      <c r="T696" s="11" t="s">
        <v>1800</v>
      </c>
      <c r="U696" s="2" t="s">
        <v>1567</v>
      </c>
      <c r="V696" s="2" t="s">
        <v>1568</v>
      </c>
      <c r="W696" s="2" t="s">
        <v>1569</v>
      </c>
      <c r="X696" s="2" t="s">
        <v>1570</v>
      </c>
      <c r="AB696" s="2" t="s">
        <v>1571</v>
      </c>
    </row>
    <row r="697">
      <c r="A697" s="2" t="s">
        <v>1797</v>
      </c>
      <c r="B697" s="2">
        <v>13.0</v>
      </c>
      <c r="C697" s="2" t="s">
        <v>11</v>
      </c>
      <c r="D697" s="2" t="s">
        <v>1798</v>
      </c>
      <c r="E697" s="2">
        <v>7.0</v>
      </c>
      <c r="F697" s="2" t="s">
        <v>10</v>
      </c>
      <c r="G697" s="5">
        <v>2704654.0</v>
      </c>
      <c r="H697" s="2" t="s">
        <v>1575</v>
      </c>
      <c r="I697" s="2" t="s">
        <v>1572</v>
      </c>
      <c r="J697" s="2">
        <v>10121.0</v>
      </c>
      <c r="K697" s="2" t="s">
        <v>1617</v>
      </c>
      <c r="L697" s="2"/>
      <c r="M697" s="2"/>
      <c r="N697" s="7">
        <v>1.0</v>
      </c>
      <c r="O697" s="12">
        <v>19524.0</v>
      </c>
      <c r="P697" s="11" t="s">
        <v>1649</v>
      </c>
      <c r="Q697" s="12">
        <v>19524.0</v>
      </c>
      <c r="R697" s="11" t="s">
        <v>1649</v>
      </c>
      <c r="S697" s="11" t="s">
        <v>1676</v>
      </c>
      <c r="T697" s="11" t="s">
        <v>1677</v>
      </c>
      <c r="U697" s="2" t="s">
        <v>1574</v>
      </c>
      <c r="V697" s="2" t="s">
        <v>1568</v>
      </c>
      <c r="W697" s="2" t="s">
        <v>1569</v>
      </c>
      <c r="X697" s="2" t="s">
        <v>1570</v>
      </c>
      <c r="AB697" s="2" t="s">
        <v>1571</v>
      </c>
    </row>
    <row r="698">
      <c r="A698" s="2" t="s">
        <v>1797</v>
      </c>
      <c r="B698" s="2">
        <v>13.0</v>
      </c>
      <c r="C698" s="2" t="s">
        <v>11</v>
      </c>
      <c r="D698" s="2" t="s">
        <v>1798</v>
      </c>
      <c r="E698" s="2">
        <v>7.0</v>
      </c>
      <c r="F698" s="2" t="s">
        <v>10</v>
      </c>
      <c r="G698" s="5">
        <v>2704654.0</v>
      </c>
      <c r="H698" s="2" t="s">
        <v>1575</v>
      </c>
      <c r="I698" s="2" t="s">
        <v>1572</v>
      </c>
      <c r="J698" s="2">
        <v>10106.0</v>
      </c>
      <c r="K698" s="2" t="s">
        <v>1598</v>
      </c>
      <c r="L698" s="2"/>
      <c r="M698" s="2"/>
      <c r="N698" s="7">
        <v>1.0</v>
      </c>
      <c r="O698" s="12">
        <v>26667.0</v>
      </c>
      <c r="P698" s="11" t="s">
        <v>1649</v>
      </c>
      <c r="Q698" s="12">
        <v>26667.0</v>
      </c>
      <c r="R698" s="11" t="s">
        <v>1649</v>
      </c>
      <c r="S698" s="11" t="s">
        <v>1674</v>
      </c>
      <c r="T698" s="11" t="s">
        <v>1675</v>
      </c>
      <c r="U698" s="2" t="s">
        <v>1574</v>
      </c>
      <c r="V698" s="2" t="s">
        <v>1568</v>
      </c>
      <c r="W698" s="2" t="s">
        <v>1569</v>
      </c>
      <c r="X698" s="2" t="s">
        <v>1570</v>
      </c>
      <c r="AB698" s="2" t="s">
        <v>1571</v>
      </c>
    </row>
    <row r="699">
      <c r="A699" s="2" t="s">
        <v>1797</v>
      </c>
      <c r="B699" s="2">
        <v>13.0</v>
      </c>
      <c r="C699" s="2" t="s">
        <v>11</v>
      </c>
      <c r="D699" s="2" t="s">
        <v>1798</v>
      </c>
      <c r="E699" s="2">
        <v>7.0</v>
      </c>
      <c r="F699" s="2" t="s">
        <v>10</v>
      </c>
      <c r="G699" s="5">
        <v>2704654.0</v>
      </c>
      <c r="H699" s="2" t="s">
        <v>1575</v>
      </c>
      <c r="I699" s="2" t="s">
        <v>1572</v>
      </c>
      <c r="J699" s="2">
        <v>10112.0</v>
      </c>
      <c r="K699" s="2" t="s">
        <v>1573</v>
      </c>
      <c r="L699" s="2"/>
      <c r="M699" s="2"/>
      <c r="N699" s="7">
        <v>1.0</v>
      </c>
      <c r="O699" s="12">
        <v>6667.0</v>
      </c>
      <c r="P699" s="11" t="s">
        <v>1649</v>
      </c>
      <c r="Q699" s="12">
        <v>6667.0</v>
      </c>
      <c r="R699" s="11" t="s">
        <v>1649</v>
      </c>
      <c r="S699" s="11" t="s">
        <v>1734</v>
      </c>
      <c r="T699" s="11" t="s">
        <v>1738</v>
      </c>
      <c r="U699" s="2" t="s">
        <v>1574</v>
      </c>
      <c r="V699" s="2" t="s">
        <v>1568</v>
      </c>
      <c r="W699" s="2" t="s">
        <v>1569</v>
      </c>
      <c r="X699" s="2" t="s">
        <v>1570</v>
      </c>
      <c r="AB699" s="2" t="s">
        <v>1571</v>
      </c>
    </row>
    <row r="700">
      <c r="A700" s="2" t="s">
        <v>1797</v>
      </c>
      <c r="B700" s="2">
        <v>13.0</v>
      </c>
      <c r="C700" s="2" t="s">
        <v>11</v>
      </c>
      <c r="D700" s="2" t="s">
        <v>1798</v>
      </c>
      <c r="E700" s="2">
        <v>7.0</v>
      </c>
      <c r="F700" s="2" t="s">
        <v>10</v>
      </c>
      <c r="G700" s="5">
        <v>2704654.0</v>
      </c>
      <c r="H700" s="2" t="s">
        <v>1575</v>
      </c>
      <c r="I700" s="2" t="s">
        <v>1578</v>
      </c>
      <c r="J700" s="2">
        <v>10015.0</v>
      </c>
      <c r="K700" s="2" t="s">
        <v>1587</v>
      </c>
      <c r="L700" s="2"/>
      <c r="M700" s="2"/>
      <c r="N700" s="7">
        <v>1.0</v>
      </c>
      <c r="O700" s="12">
        <v>25238.0</v>
      </c>
      <c r="P700" s="11" t="s">
        <v>1649</v>
      </c>
      <c r="Q700" s="12">
        <v>25238.0</v>
      </c>
      <c r="R700" s="11" t="s">
        <v>1649</v>
      </c>
      <c r="S700" s="11" t="s">
        <v>1660</v>
      </c>
      <c r="T700" s="11" t="s">
        <v>1680</v>
      </c>
      <c r="U700" s="2" t="s">
        <v>1574</v>
      </c>
      <c r="V700" s="2" t="s">
        <v>1568</v>
      </c>
      <c r="W700" s="2" t="s">
        <v>1569</v>
      </c>
      <c r="X700" s="2" t="s">
        <v>1570</v>
      </c>
      <c r="AB700" s="2" t="s">
        <v>1571</v>
      </c>
    </row>
    <row r="701">
      <c r="A701" s="2" t="s">
        <v>1797</v>
      </c>
      <c r="B701" s="2">
        <v>13.0</v>
      </c>
      <c r="C701" s="2" t="s">
        <v>11</v>
      </c>
      <c r="D701" s="2" t="s">
        <v>1798</v>
      </c>
      <c r="E701" s="2">
        <v>7.0</v>
      </c>
      <c r="F701" s="2" t="s">
        <v>10</v>
      </c>
      <c r="G701" s="5">
        <v>2704654.0</v>
      </c>
      <c r="H701" s="2" t="s">
        <v>1575</v>
      </c>
      <c r="I701" s="2" t="s">
        <v>1578</v>
      </c>
      <c r="J701" s="2">
        <v>10009.0</v>
      </c>
      <c r="K701" s="2" t="s">
        <v>1586</v>
      </c>
      <c r="L701" s="2"/>
      <c r="M701" s="2"/>
      <c r="N701" s="7">
        <v>1.0</v>
      </c>
      <c r="O701" s="12">
        <v>26667.0</v>
      </c>
      <c r="P701" s="11" t="s">
        <v>1649</v>
      </c>
      <c r="Q701" s="12">
        <v>26667.0</v>
      </c>
      <c r="R701" s="11" t="s">
        <v>1649</v>
      </c>
      <c r="S701" s="11" t="s">
        <v>1674</v>
      </c>
      <c r="T701" s="11" t="s">
        <v>1679</v>
      </c>
      <c r="U701" s="2" t="s">
        <v>1574</v>
      </c>
      <c r="V701" s="2" t="s">
        <v>1568</v>
      </c>
      <c r="W701" s="2" t="s">
        <v>1569</v>
      </c>
      <c r="X701" s="2" t="s">
        <v>1570</v>
      </c>
      <c r="AB701" s="2" t="s">
        <v>1571</v>
      </c>
    </row>
    <row r="702">
      <c r="A702" s="2" t="s">
        <v>1797</v>
      </c>
      <c r="B702" s="2">
        <v>12.0</v>
      </c>
      <c r="C702" s="2" t="s">
        <v>11</v>
      </c>
      <c r="D702" s="2" t="s">
        <v>1798</v>
      </c>
      <c r="E702" s="2">
        <v>7.0</v>
      </c>
      <c r="F702" s="2" t="s">
        <v>10</v>
      </c>
      <c r="G702" s="5">
        <v>2704288.0</v>
      </c>
      <c r="H702" s="2" t="s">
        <v>1575</v>
      </c>
      <c r="I702" s="2" t="s">
        <v>1572</v>
      </c>
      <c r="J702" s="2">
        <v>10016.0</v>
      </c>
      <c r="K702" s="2" t="s">
        <v>1626</v>
      </c>
      <c r="L702" s="2"/>
      <c r="M702" s="2"/>
      <c r="N702" s="7">
        <v>1.0</v>
      </c>
      <c r="O702" s="12">
        <v>70000.0</v>
      </c>
      <c r="P702" s="11" t="s">
        <v>1649</v>
      </c>
      <c r="Q702" s="12">
        <v>70000.0</v>
      </c>
      <c r="R702" s="11" t="s">
        <v>1801</v>
      </c>
      <c r="S702" s="11" t="s">
        <v>1649</v>
      </c>
      <c r="T702" s="11" t="s">
        <v>1649</v>
      </c>
      <c r="U702" s="2" t="s">
        <v>1574</v>
      </c>
      <c r="V702" s="2" t="s">
        <v>1568</v>
      </c>
      <c r="W702" s="2" t="s">
        <v>1569</v>
      </c>
      <c r="X702" s="2" t="s">
        <v>1570</v>
      </c>
      <c r="AB702" s="2" t="s">
        <v>1571</v>
      </c>
    </row>
    <row r="703">
      <c r="A703" s="2" t="s">
        <v>1797</v>
      </c>
      <c r="B703" s="2">
        <v>12.0</v>
      </c>
      <c r="C703" s="2" t="s">
        <v>11</v>
      </c>
      <c r="D703" s="2" t="s">
        <v>1798</v>
      </c>
      <c r="E703" s="2">
        <v>7.0</v>
      </c>
      <c r="F703" s="2" t="s">
        <v>10</v>
      </c>
      <c r="G703" s="5">
        <v>2703923.0</v>
      </c>
      <c r="H703" s="2" t="s">
        <v>1575</v>
      </c>
      <c r="I703" s="2" t="s">
        <v>1565</v>
      </c>
      <c r="J703" s="2">
        <v>10002.0</v>
      </c>
      <c r="K703" s="2" t="s">
        <v>1576</v>
      </c>
      <c r="L703" s="2"/>
      <c r="M703" s="2"/>
      <c r="N703" s="7">
        <v>1.0</v>
      </c>
      <c r="O703" s="12">
        <v>18571.0</v>
      </c>
      <c r="P703" s="11" t="s">
        <v>1649</v>
      </c>
      <c r="Q703" s="12">
        <v>18571.0</v>
      </c>
      <c r="R703" s="11" t="s">
        <v>1649</v>
      </c>
      <c r="S703" s="11" t="s">
        <v>1656</v>
      </c>
      <c r="T703" s="11" t="s">
        <v>1657</v>
      </c>
      <c r="U703" s="2" t="s">
        <v>1574</v>
      </c>
      <c r="V703" s="2" t="s">
        <v>1568</v>
      </c>
      <c r="W703" s="2" t="s">
        <v>1569</v>
      </c>
      <c r="X703" s="2" t="s">
        <v>1570</v>
      </c>
      <c r="AB703" s="2" t="s">
        <v>1571</v>
      </c>
    </row>
    <row r="704">
      <c r="A704" s="2" t="s">
        <v>1797</v>
      </c>
      <c r="B704" s="2">
        <v>12.0</v>
      </c>
      <c r="C704" s="2" t="s">
        <v>11</v>
      </c>
      <c r="D704" s="2" t="s">
        <v>1798</v>
      </c>
      <c r="E704" s="2">
        <v>7.0</v>
      </c>
      <c r="F704" s="2" t="s">
        <v>10</v>
      </c>
      <c r="G704" s="5">
        <v>2703558.0</v>
      </c>
      <c r="H704" s="2" t="s">
        <v>1575</v>
      </c>
      <c r="I704" s="2" t="s">
        <v>1565</v>
      </c>
      <c r="J704" s="2">
        <v>10002.0</v>
      </c>
      <c r="K704" s="2" t="s">
        <v>1576</v>
      </c>
      <c r="L704" s="2"/>
      <c r="M704" s="2"/>
      <c r="N704" s="7">
        <v>1.0</v>
      </c>
      <c r="O704" s="12">
        <v>18571.0</v>
      </c>
      <c r="P704" s="11" t="s">
        <v>1649</v>
      </c>
      <c r="Q704" s="12">
        <v>18571.0</v>
      </c>
      <c r="R704" s="11" t="s">
        <v>1649</v>
      </c>
      <c r="S704" s="11" t="s">
        <v>1656</v>
      </c>
      <c r="T704" s="11" t="s">
        <v>1657</v>
      </c>
      <c r="U704" s="2" t="s">
        <v>1574</v>
      </c>
      <c r="V704" s="2" t="s">
        <v>1568</v>
      </c>
      <c r="W704" s="2" t="s">
        <v>1569</v>
      </c>
      <c r="X704" s="2" t="s">
        <v>1570</v>
      </c>
      <c r="AB704" s="2" t="s">
        <v>1571</v>
      </c>
    </row>
    <row r="705">
      <c r="A705" s="2" t="s">
        <v>1797</v>
      </c>
      <c r="B705" s="2">
        <v>12.0</v>
      </c>
      <c r="C705" s="2" t="s">
        <v>11</v>
      </c>
      <c r="D705" s="2" t="s">
        <v>1798</v>
      </c>
      <c r="E705" s="2">
        <v>7.0</v>
      </c>
      <c r="F705" s="2" t="s">
        <v>10</v>
      </c>
      <c r="G705" s="5">
        <v>2703558.0</v>
      </c>
      <c r="H705" s="2" t="s">
        <v>1575</v>
      </c>
      <c r="I705" s="2" t="s">
        <v>1565</v>
      </c>
      <c r="J705" s="2">
        <v>10005.0</v>
      </c>
      <c r="K705" s="2" t="s">
        <v>1595</v>
      </c>
      <c r="L705" s="2"/>
      <c r="M705" s="2"/>
      <c r="N705" s="7">
        <v>1.0</v>
      </c>
      <c r="O705" s="12">
        <v>19524.0</v>
      </c>
      <c r="P705" s="11" t="s">
        <v>1649</v>
      </c>
      <c r="Q705" s="12">
        <v>19524.0</v>
      </c>
      <c r="R705" s="11" t="s">
        <v>1649</v>
      </c>
      <c r="S705" s="11" t="s">
        <v>1676</v>
      </c>
      <c r="T705" s="11" t="s">
        <v>1677</v>
      </c>
      <c r="U705" s="2" t="s">
        <v>1574</v>
      </c>
      <c r="V705" s="2" t="s">
        <v>1568</v>
      </c>
      <c r="W705" s="2" t="s">
        <v>1569</v>
      </c>
      <c r="X705" s="2" t="s">
        <v>1570</v>
      </c>
      <c r="AB705" s="2" t="s">
        <v>1571</v>
      </c>
    </row>
    <row r="706">
      <c r="A706" s="2" t="s">
        <v>1797</v>
      </c>
      <c r="B706" s="2">
        <v>12.0</v>
      </c>
      <c r="C706" s="2" t="s">
        <v>11</v>
      </c>
      <c r="D706" s="2" t="s">
        <v>1798</v>
      </c>
      <c r="E706" s="2">
        <v>7.0</v>
      </c>
      <c r="F706" s="2" t="s">
        <v>10</v>
      </c>
      <c r="G706" s="5">
        <v>2703558.0</v>
      </c>
      <c r="H706" s="2" t="s">
        <v>1575</v>
      </c>
      <c r="I706" s="2" t="s">
        <v>1572</v>
      </c>
      <c r="J706" s="2">
        <v>10128.0</v>
      </c>
      <c r="K706" s="2" t="s">
        <v>1588</v>
      </c>
      <c r="L706" s="2"/>
      <c r="M706" s="2"/>
      <c r="N706" s="7">
        <v>1.0</v>
      </c>
      <c r="O706" s="12">
        <v>23333.0</v>
      </c>
      <c r="P706" s="11" t="s">
        <v>1649</v>
      </c>
      <c r="Q706" s="12">
        <v>23333.0</v>
      </c>
      <c r="R706" s="11" t="s">
        <v>1649</v>
      </c>
      <c r="S706" s="11" t="s">
        <v>1681</v>
      </c>
      <c r="T706" s="11" t="s">
        <v>1715</v>
      </c>
      <c r="U706" s="2" t="s">
        <v>1574</v>
      </c>
      <c r="V706" s="2" t="s">
        <v>1568</v>
      </c>
      <c r="W706" s="2" t="s">
        <v>1569</v>
      </c>
      <c r="X706" s="2" t="s">
        <v>1570</v>
      </c>
      <c r="AB706" s="2" t="s">
        <v>1571</v>
      </c>
    </row>
    <row r="707">
      <c r="A707" s="2" t="s">
        <v>1797</v>
      </c>
      <c r="B707" s="2">
        <v>12.0</v>
      </c>
      <c r="C707" s="2" t="s">
        <v>11</v>
      </c>
      <c r="D707" s="2" t="s">
        <v>1798</v>
      </c>
      <c r="E707" s="2">
        <v>7.0</v>
      </c>
      <c r="F707" s="2" t="s">
        <v>10</v>
      </c>
      <c r="G707" s="5">
        <v>2703558.0</v>
      </c>
      <c r="H707" s="2" t="s">
        <v>1575</v>
      </c>
      <c r="I707" s="2" t="s">
        <v>1572</v>
      </c>
      <c r="J707" s="2">
        <v>10058.0</v>
      </c>
      <c r="K707" s="2" t="s">
        <v>1618</v>
      </c>
      <c r="L707" s="2"/>
      <c r="M707" s="2"/>
      <c r="N707" s="7">
        <v>1.0</v>
      </c>
      <c r="O707" s="12">
        <v>19524.0</v>
      </c>
      <c r="P707" s="11" t="s">
        <v>1649</v>
      </c>
      <c r="Q707" s="12">
        <v>19524.0</v>
      </c>
      <c r="R707" s="11" t="s">
        <v>1649</v>
      </c>
      <c r="S707" s="11" t="s">
        <v>1676</v>
      </c>
      <c r="T707" s="11" t="s">
        <v>1694</v>
      </c>
      <c r="U707" s="2" t="s">
        <v>1574</v>
      </c>
      <c r="V707" s="2" t="s">
        <v>1568</v>
      </c>
      <c r="W707" s="2" t="s">
        <v>1569</v>
      </c>
      <c r="X707" s="2" t="s">
        <v>1570</v>
      </c>
      <c r="AB707" s="2" t="s">
        <v>1571</v>
      </c>
    </row>
    <row r="708">
      <c r="A708" s="2" t="s">
        <v>1797</v>
      </c>
      <c r="B708" s="2">
        <v>11.0</v>
      </c>
      <c r="C708" s="2" t="s">
        <v>11</v>
      </c>
      <c r="D708" s="2" t="s">
        <v>1798</v>
      </c>
      <c r="E708" s="2">
        <v>7.0</v>
      </c>
      <c r="F708" s="2" t="s">
        <v>10</v>
      </c>
      <c r="G708" s="5">
        <v>2703193.0</v>
      </c>
      <c r="H708" s="2" t="s">
        <v>1575</v>
      </c>
      <c r="I708" s="2" t="s">
        <v>1572</v>
      </c>
      <c r="J708" s="2">
        <v>10106.0</v>
      </c>
      <c r="K708" s="2" t="s">
        <v>1598</v>
      </c>
      <c r="L708" s="2"/>
      <c r="M708" s="2"/>
      <c r="N708" s="7">
        <v>1.0</v>
      </c>
      <c r="O708" s="12">
        <v>26667.0</v>
      </c>
      <c r="P708" s="11" t="s">
        <v>1649</v>
      </c>
      <c r="Q708" s="12">
        <v>26667.0</v>
      </c>
      <c r="R708" s="11" t="s">
        <v>1649</v>
      </c>
      <c r="S708" s="11" t="s">
        <v>1674</v>
      </c>
      <c r="T708" s="11" t="s">
        <v>1679</v>
      </c>
      <c r="U708" s="2" t="s">
        <v>1574</v>
      </c>
      <c r="V708" s="2" t="s">
        <v>1568</v>
      </c>
      <c r="W708" s="2" t="s">
        <v>1569</v>
      </c>
      <c r="X708" s="2" t="s">
        <v>1570</v>
      </c>
      <c r="AB708" s="2" t="s">
        <v>1571</v>
      </c>
    </row>
    <row r="709">
      <c r="A709" s="2" t="s">
        <v>1797</v>
      </c>
      <c r="B709" s="2">
        <v>11.0</v>
      </c>
      <c r="C709" s="2" t="s">
        <v>11</v>
      </c>
      <c r="D709" s="2" t="s">
        <v>1798</v>
      </c>
      <c r="E709" s="2">
        <v>7.0</v>
      </c>
      <c r="F709" s="2" t="s">
        <v>10</v>
      </c>
      <c r="G709" s="5">
        <v>2703193.0</v>
      </c>
      <c r="H709" s="2" t="s">
        <v>1575</v>
      </c>
      <c r="I709" s="2" t="s">
        <v>1565</v>
      </c>
      <c r="J709" s="2">
        <v>10007.0</v>
      </c>
      <c r="K709" s="2" t="s">
        <v>1576</v>
      </c>
      <c r="L709" s="2"/>
      <c r="M709" s="2"/>
      <c r="N709" s="7">
        <v>2.0</v>
      </c>
      <c r="O709" s="12">
        <v>33810.0</v>
      </c>
      <c r="P709" s="11" t="s">
        <v>1649</v>
      </c>
      <c r="Q709" s="12">
        <v>33810.0</v>
      </c>
      <c r="R709" s="11" t="s">
        <v>1649</v>
      </c>
      <c r="S709" s="11" t="s">
        <v>1701</v>
      </c>
      <c r="T709" s="11" t="s">
        <v>1703</v>
      </c>
      <c r="U709" s="2" t="s">
        <v>1574</v>
      </c>
      <c r="V709" s="2" t="s">
        <v>1568</v>
      </c>
      <c r="W709" s="2" t="s">
        <v>1569</v>
      </c>
      <c r="X709" s="2" t="s">
        <v>1570</v>
      </c>
      <c r="AB709" s="2" t="s">
        <v>1571</v>
      </c>
    </row>
    <row r="710">
      <c r="A710" s="2" t="s">
        <v>1797</v>
      </c>
      <c r="B710" s="2">
        <v>11.0</v>
      </c>
      <c r="C710" s="2" t="s">
        <v>11</v>
      </c>
      <c r="D710" s="2" t="s">
        <v>1798</v>
      </c>
      <c r="E710" s="2">
        <v>7.0</v>
      </c>
      <c r="F710" s="2" t="s">
        <v>10</v>
      </c>
      <c r="G710" s="5">
        <v>2702828.0</v>
      </c>
      <c r="H710" s="2" t="s">
        <v>1575</v>
      </c>
      <c r="I710" s="2" t="s">
        <v>1572</v>
      </c>
      <c r="J710" s="2">
        <v>10121.0</v>
      </c>
      <c r="K710" s="2" t="s">
        <v>1617</v>
      </c>
      <c r="L710" s="2"/>
      <c r="M710" s="2"/>
      <c r="N710" s="7">
        <v>1.0</v>
      </c>
      <c r="O710" s="12">
        <v>19524.0</v>
      </c>
      <c r="P710" s="11" t="s">
        <v>1649</v>
      </c>
      <c r="Q710" s="12">
        <v>19524.0</v>
      </c>
      <c r="R710" s="11" t="s">
        <v>1649</v>
      </c>
      <c r="S710" s="11" t="s">
        <v>1676</v>
      </c>
      <c r="T710" s="11" t="s">
        <v>1677</v>
      </c>
      <c r="U710" s="2" t="s">
        <v>1574</v>
      </c>
      <c r="V710" s="2" t="s">
        <v>1568</v>
      </c>
      <c r="W710" s="2" t="s">
        <v>1569</v>
      </c>
      <c r="X710" s="2" t="s">
        <v>1570</v>
      </c>
      <c r="AB710" s="2" t="s">
        <v>1571</v>
      </c>
    </row>
    <row r="711">
      <c r="A711" s="2" t="s">
        <v>1797</v>
      </c>
      <c r="B711" s="2">
        <v>11.0</v>
      </c>
      <c r="C711" s="2" t="s">
        <v>11</v>
      </c>
      <c r="D711" s="2" t="s">
        <v>1798</v>
      </c>
      <c r="E711" s="2">
        <v>7.0</v>
      </c>
      <c r="F711" s="2" t="s">
        <v>10</v>
      </c>
      <c r="G711" s="5">
        <v>2702828.0</v>
      </c>
      <c r="H711" s="2" t="s">
        <v>1575</v>
      </c>
      <c r="I711" s="2" t="s">
        <v>1572</v>
      </c>
      <c r="J711" s="2">
        <v>10128.0</v>
      </c>
      <c r="K711" s="2" t="s">
        <v>1588</v>
      </c>
      <c r="L711" s="2"/>
      <c r="M711" s="2"/>
      <c r="N711" s="7">
        <v>1.0</v>
      </c>
      <c r="O711" s="12">
        <v>23333.0</v>
      </c>
      <c r="P711" s="11" t="s">
        <v>1649</v>
      </c>
      <c r="Q711" s="12">
        <v>23333.0</v>
      </c>
      <c r="R711" s="11" t="s">
        <v>1649</v>
      </c>
      <c r="S711" s="11" t="s">
        <v>1681</v>
      </c>
      <c r="T711" s="11" t="s">
        <v>1682</v>
      </c>
      <c r="U711" s="2" t="s">
        <v>1574</v>
      </c>
      <c r="V711" s="2" t="s">
        <v>1568</v>
      </c>
      <c r="W711" s="2" t="s">
        <v>1569</v>
      </c>
      <c r="X711" s="2" t="s">
        <v>1570</v>
      </c>
      <c r="AB711" s="2" t="s">
        <v>1571</v>
      </c>
    </row>
    <row r="712">
      <c r="A712" s="2" t="s">
        <v>1797</v>
      </c>
      <c r="B712" s="2">
        <v>11.0</v>
      </c>
      <c r="C712" s="2" t="s">
        <v>11</v>
      </c>
      <c r="D712" s="2" t="s">
        <v>1798</v>
      </c>
      <c r="E712" s="2">
        <v>7.0</v>
      </c>
      <c r="F712" s="2" t="s">
        <v>10</v>
      </c>
      <c r="G712" s="5">
        <v>2702828.0</v>
      </c>
      <c r="H712" s="2" t="s">
        <v>1575</v>
      </c>
      <c r="I712" s="2" t="s">
        <v>1565</v>
      </c>
      <c r="J712" s="2">
        <v>10000.0</v>
      </c>
      <c r="K712" s="2" t="s">
        <v>1566</v>
      </c>
      <c r="L712" s="2"/>
      <c r="M712" s="2"/>
      <c r="N712" s="7">
        <v>1.0</v>
      </c>
      <c r="O712" s="12">
        <v>29524.0</v>
      </c>
      <c r="P712" s="11" t="s">
        <v>1649</v>
      </c>
      <c r="Q712" s="12">
        <v>29524.0</v>
      </c>
      <c r="R712" s="11" t="s">
        <v>1649</v>
      </c>
      <c r="S712" s="11" t="s">
        <v>1683</v>
      </c>
      <c r="T712" s="11" t="s">
        <v>1684</v>
      </c>
      <c r="U712" s="2" t="s">
        <v>1574</v>
      </c>
      <c r="V712" s="2" t="s">
        <v>1568</v>
      </c>
      <c r="W712" s="2" t="s">
        <v>1569</v>
      </c>
      <c r="X712" s="2" t="s">
        <v>1570</v>
      </c>
      <c r="AB712" s="2" t="s">
        <v>1571</v>
      </c>
    </row>
    <row r="713">
      <c r="A713" s="2" t="s">
        <v>1797</v>
      </c>
      <c r="B713" s="2">
        <v>10.0</v>
      </c>
      <c r="C713" s="2" t="s">
        <v>11</v>
      </c>
      <c r="D713" s="2" t="s">
        <v>1798</v>
      </c>
      <c r="E713" s="2">
        <v>7.0</v>
      </c>
      <c r="F713" s="2" t="s">
        <v>10</v>
      </c>
      <c r="G713" s="5">
        <v>2702463.0</v>
      </c>
      <c r="H713" s="2" t="s">
        <v>1575</v>
      </c>
      <c r="I713" s="2" t="s">
        <v>1580</v>
      </c>
      <c r="J713" s="2">
        <v>10012.0</v>
      </c>
      <c r="K713" s="2" t="s">
        <v>1602</v>
      </c>
      <c r="L713" s="2"/>
      <c r="M713" s="2"/>
      <c r="N713" s="7">
        <v>1.0</v>
      </c>
      <c r="O713" s="12">
        <v>29524.0</v>
      </c>
      <c r="P713" s="11" t="s">
        <v>1649</v>
      </c>
      <c r="Q713" s="12">
        <v>29524.0</v>
      </c>
      <c r="R713" s="11" t="s">
        <v>1649</v>
      </c>
      <c r="S713" s="11" t="s">
        <v>1683</v>
      </c>
      <c r="T713" s="11" t="s">
        <v>1684</v>
      </c>
      <c r="U713" s="2" t="s">
        <v>1574</v>
      </c>
      <c r="V713" s="2" t="s">
        <v>1568</v>
      </c>
      <c r="W713" s="2" t="s">
        <v>1569</v>
      </c>
      <c r="X713" s="2" t="s">
        <v>1570</v>
      </c>
      <c r="AB713" s="2" t="s">
        <v>1571</v>
      </c>
    </row>
    <row r="714">
      <c r="A714" s="2" t="s">
        <v>1797</v>
      </c>
      <c r="B714" s="2">
        <v>10.0</v>
      </c>
      <c r="C714" s="2" t="s">
        <v>11</v>
      </c>
      <c r="D714" s="2" t="s">
        <v>1798</v>
      </c>
      <c r="E714" s="2">
        <v>7.0</v>
      </c>
      <c r="F714" s="2" t="s">
        <v>10</v>
      </c>
      <c r="G714" s="5">
        <v>2702463.0</v>
      </c>
      <c r="H714" s="2" t="s">
        <v>1575</v>
      </c>
      <c r="I714" s="2" t="s">
        <v>1578</v>
      </c>
      <c r="J714" s="2">
        <v>10051.0</v>
      </c>
      <c r="K714" s="2" t="s">
        <v>1579</v>
      </c>
      <c r="L714" s="2"/>
      <c r="M714" s="2"/>
      <c r="N714" s="7">
        <v>1.0</v>
      </c>
      <c r="O714" s="12">
        <v>25238.0</v>
      </c>
      <c r="P714" s="11" t="s">
        <v>1649</v>
      </c>
      <c r="Q714" s="12">
        <v>25238.0</v>
      </c>
      <c r="R714" s="11" t="s">
        <v>1649</v>
      </c>
      <c r="S714" s="11" t="s">
        <v>1660</v>
      </c>
      <c r="T714" s="11" t="s">
        <v>1680</v>
      </c>
      <c r="U714" s="2" t="s">
        <v>1574</v>
      </c>
      <c r="V714" s="2" t="s">
        <v>1568</v>
      </c>
      <c r="W714" s="2" t="s">
        <v>1569</v>
      </c>
      <c r="X714" s="2" t="s">
        <v>1570</v>
      </c>
      <c r="AB714" s="2" t="s">
        <v>1571</v>
      </c>
    </row>
    <row r="715">
      <c r="A715" s="2" t="s">
        <v>1797</v>
      </c>
      <c r="B715" s="2">
        <v>10.0</v>
      </c>
      <c r="C715" s="2" t="s">
        <v>11</v>
      </c>
      <c r="D715" s="2" t="s">
        <v>1798</v>
      </c>
      <c r="E715" s="2">
        <v>7.0</v>
      </c>
      <c r="F715" s="2" t="s">
        <v>10</v>
      </c>
      <c r="G715" s="5">
        <v>2702463.0</v>
      </c>
      <c r="H715" s="2" t="s">
        <v>1575</v>
      </c>
      <c r="I715" s="2" t="s">
        <v>1565</v>
      </c>
      <c r="J715" s="2">
        <v>10005.0</v>
      </c>
      <c r="K715" s="2" t="s">
        <v>1595</v>
      </c>
      <c r="L715" s="2"/>
      <c r="M715" s="2"/>
      <c r="N715" s="7">
        <v>1.0</v>
      </c>
      <c r="O715" s="12">
        <v>19524.0</v>
      </c>
      <c r="P715" s="11" t="s">
        <v>1649</v>
      </c>
      <c r="Q715" s="12">
        <v>19524.0</v>
      </c>
      <c r="R715" s="11" t="s">
        <v>1649</v>
      </c>
      <c r="S715" s="11" t="s">
        <v>1676</v>
      </c>
      <c r="T715" s="11" t="s">
        <v>1677</v>
      </c>
      <c r="U715" s="2" t="s">
        <v>1574</v>
      </c>
      <c r="V715" s="2" t="s">
        <v>1568</v>
      </c>
      <c r="W715" s="2" t="s">
        <v>1569</v>
      </c>
      <c r="X715" s="2" t="s">
        <v>1570</v>
      </c>
      <c r="AB715" s="2" t="s">
        <v>1571</v>
      </c>
    </row>
    <row r="716">
      <c r="A716" s="2" t="s">
        <v>1797</v>
      </c>
      <c r="B716" s="2">
        <v>10.0</v>
      </c>
      <c r="C716" s="2" t="s">
        <v>11</v>
      </c>
      <c r="D716" s="2" t="s">
        <v>1798</v>
      </c>
      <c r="E716" s="2">
        <v>7.0</v>
      </c>
      <c r="F716" s="2" t="s">
        <v>10</v>
      </c>
      <c r="G716" s="5">
        <v>2702098.0</v>
      </c>
      <c r="H716" s="2" t="s">
        <v>1575</v>
      </c>
      <c r="I716" s="2" t="s">
        <v>1572</v>
      </c>
      <c r="J716" s="2">
        <v>10070.0</v>
      </c>
      <c r="K716" s="2" t="s">
        <v>1593</v>
      </c>
      <c r="L716" s="2"/>
      <c r="M716" s="2"/>
      <c r="N716" s="7">
        <v>1.0</v>
      </c>
      <c r="O716" s="12">
        <v>24762.0</v>
      </c>
      <c r="P716" s="11" t="s">
        <v>1649</v>
      </c>
      <c r="Q716" s="12">
        <v>24762.0</v>
      </c>
      <c r="R716" s="11" t="s">
        <v>1649</v>
      </c>
      <c r="S716" s="11" t="s">
        <v>1689</v>
      </c>
      <c r="T716" s="11" t="s">
        <v>1693</v>
      </c>
      <c r="U716" s="2" t="s">
        <v>1574</v>
      </c>
      <c r="V716" s="2" t="s">
        <v>1568</v>
      </c>
      <c r="W716" s="2" t="s">
        <v>1569</v>
      </c>
      <c r="X716" s="2" t="s">
        <v>1570</v>
      </c>
      <c r="AB716" s="2" t="s">
        <v>1571</v>
      </c>
    </row>
    <row r="717">
      <c r="A717" s="2" t="s">
        <v>1797</v>
      </c>
      <c r="B717" s="2">
        <v>10.0</v>
      </c>
      <c r="C717" s="2" t="s">
        <v>11</v>
      </c>
      <c r="D717" s="2" t="s">
        <v>1798</v>
      </c>
      <c r="E717" s="2">
        <v>7.0</v>
      </c>
      <c r="F717" s="2" t="s">
        <v>10</v>
      </c>
      <c r="G717" s="5">
        <v>2702098.0</v>
      </c>
      <c r="H717" s="2" t="s">
        <v>1575</v>
      </c>
      <c r="I717" s="2" t="s">
        <v>1578</v>
      </c>
      <c r="J717" s="2">
        <v>10004.0</v>
      </c>
      <c r="K717" s="2" t="s">
        <v>1607</v>
      </c>
      <c r="L717" s="2"/>
      <c r="M717" s="2"/>
      <c r="N717" s="7">
        <v>1.0</v>
      </c>
      <c r="O717" s="12">
        <v>25238.0</v>
      </c>
      <c r="P717" s="11" t="s">
        <v>1649</v>
      </c>
      <c r="Q717" s="12">
        <v>25238.0</v>
      </c>
      <c r="R717" s="11" t="s">
        <v>1649</v>
      </c>
      <c r="S717" s="11" t="s">
        <v>1660</v>
      </c>
      <c r="T717" s="11" t="s">
        <v>1680</v>
      </c>
      <c r="U717" s="2" t="s">
        <v>1574</v>
      </c>
      <c r="V717" s="2" t="s">
        <v>1568</v>
      </c>
      <c r="W717" s="2" t="s">
        <v>1569</v>
      </c>
      <c r="X717" s="2" t="s">
        <v>1570</v>
      </c>
      <c r="AB717" s="2" t="s">
        <v>1571</v>
      </c>
    </row>
    <row r="718">
      <c r="A718" s="2" t="s">
        <v>1797</v>
      </c>
      <c r="B718" s="2">
        <v>10.0</v>
      </c>
      <c r="C718" s="2" t="s">
        <v>11</v>
      </c>
      <c r="D718" s="2" t="s">
        <v>1798</v>
      </c>
      <c r="E718" s="2">
        <v>7.0</v>
      </c>
      <c r="F718" s="2" t="s">
        <v>10</v>
      </c>
      <c r="G718" s="5">
        <v>2701733.0</v>
      </c>
      <c r="H718" s="2" t="s">
        <v>1575</v>
      </c>
      <c r="I718" s="2" t="s">
        <v>1572</v>
      </c>
      <c r="J718" s="2">
        <v>10013.0</v>
      </c>
      <c r="K718" s="2" t="s">
        <v>1591</v>
      </c>
      <c r="L718" s="2"/>
      <c r="M718" s="2"/>
      <c r="N718" s="7">
        <v>1.0</v>
      </c>
      <c r="O718" s="12">
        <v>23333.0</v>
      </c>
      <c r="P718" s="11" t="s">
        <v>1649</v>
      </c>
      <c r="Q718" s="12">
        <v>23333.0</v>
      </c>
      <c r="R718" s="11" t="s">
        <v>1649</v>
      </c>
      <c r="S718" s="11" t="s">
        <v>1681</v>
      </c>
      <c r="T718" s="11" t="s">
        <v>1682</v>
      </c>
      <c r="U718" s="2" t="s">
        <v>1574</v>
      </c>
      <c r="V718" s="2" t="s">
        <v>1568</v>
      </c>
      <c r="W718" s="2" t="s">
        <v>1569</v>
      </c>
      <c r="X718" s="2" t="s">
        <v>1570</v>
      </c>
      <c r="AB718" s="2" t="s">
        <v>1571</v>
      </c>
    </row>
    <row r="719">
      <c r="A719" s="2" t="s">
        <v>1797</v>
      </c>
      <c r="B719" s="2">
        <v>10.0</v>
      </c>
      <c r="C719" s="2" t="s">
        <v>11</v>
      </c>
      <c r="D719" s="2" t="s">
        <v>1798</v>
      </c>
      <c r="E719" s="2">
        <v>7.0</v>
      </c>
      <c r="F719" s="2" t="s">
        <v>10</v>
      </c>
      <c r="G719" s="5">
        <v>2701733.0</v>
      </c>
      <c r="H719" s="2" t="s">
        <v>1575</v>
      </c>
      <c r="I719" s="2" t="s">
        <v>1578</v>
      </c>
      <c r="J719" s="2">
        <v>10014.0</v>
      </c>
      <c r="K719" s="2" t="s">
        <v>1609</v>
      </c>
      <c r="L719" s="2"/>
      <c r="M719" s="2"/>
      <c r="N719" s="7">
        <v>1.0</v>
      </c>
      <c r="O719" s="12">
        <v>25238.0</v>
      </c>
      <c r="P719" s="11" t="s">
        <v>1649</v>
      </c>
      <c r="Q719" s="12">
        <v>25238.0</v>
      </c>
      <c r="R719" s="11" t="s">
        <v>1649</v>
      </c>
      <c r="S719" s="11" t="s">
        <v>1660</v>
      </c>
      <c r="T719" s="11" t="s">
        <v>1680</v>
      </c>
      <c r="U719" s="2" t="s">
        <v>1574</v>
      </c>
      <c r="V719" s="2" t="s">
        <v>1568</v>
      </c>
      <c r="W719" s="2" t="s">
        <v>1569</v>
      </c>
      <c r="X719" s="2" t="s">
        <v>1570</v>
      </c>
      <c r="AB719" s="2" t="s">
        <v>1571</v>
      </c>
    </row>
    <row r="720">
      <c r="A720" s="2" t="s">
        <v>1797</v>
      </c>
      <c r="B720" s="2">
        <v>10.0</v>
      </c>
      <c r="C720" s="2" t="s">
        <v>11</v>
      </c>
      <c r="D720" s="2" t="s">
        <v>1798</v>
      </c>
      <c r="E720" s="2">
        <v>7.0</v>
      </c>
      <c r="F720" s="2" t="s">
        <v>10</v>
      </c>
      <c r="G720" s="5">
        <v>2701733.0</v>
      </c>
      <c r="H720" s="2" t="s">
        <v>1575</v>
      </c>
      <c r="I720" s="2" t="s">
        <v>1572</v>
      </c>
      <c r="J720" s="2">
        <v>10068.0</v>
      </c>
      <c r="K720" s="2" t="s">
        <v>1627</v>
      </c>
      <c r="L720" s="2"/>
      <c r="M720" s="2"/>
      <c r="N720" s="7">
        <v>1.0</v>
      </c>
      <c r="O720" s="12">
        <v>24762.0</v>
      </c>
      <c r="P720" s="11" t="s">
        <v>1649</v>
      </c>
      <c r="Q720" s="12">
        <v>24762.0</v>
      </c>
      <c r="R720" s="11" t="s">
        <v>1649</v>
      </c>
      <c r="S720" s="11" t="s">
        <v>1689</v>
      </c>
      <c r="T720" s="11" t="s">
        <v>1693</v>
      </c>
      <c r="U720" s="2" t="s">
        <v>1574</v>
      </c>
      <c r="V720" s="2" t="s">
        <v>1568</v>
      </c>
      <c r="W720" s="2" t="s">
        <v>1569</v>
      </c>
      <c r="X720" s="2" t="s">
        <v>1570</v>
      </c>
      <c r="AB720" s="2" t="s">
        <v>1571</v>
      </c>
    </row>
    <row r="721">
      <c r="A721" s="2" t="s">
        <v>1797</v>
      </c>
      <c r="B721" s="2">
        <v>9.0</v>
      </c>
      <c r="C721" s="2" t="s">
        <v>11</v>
      </c>
      <c r="D721" s="2" t="s">
        <v>1798</v>
      </c>
      <c r="E721" s="2">
        <v>7.0</v>
      </c>
      <c r="F721" s="2" t="s">
        <v>10</v>
      </c>
      <c r="G721" s="5">
        <v>2701367.0</v>
      </c>
      <c r="H721" s="2" t="s">
        <v>1575</v>
      </c>
      <c r="I721" s="2" t="s">
        <v>1565</v>
      </c>
      <c r="J721" s="2">
        <v>10007.0</v>
      </c>
      <c r="K721" s="2" t="s">
        <v>1576</v>
      </c>
      <c r="L721" s="2"/>
      <c r="M721" s="2"/>
      <c r="N721" s="7">
        <v>2.0</v>
      </c>
      <c r="O721" s="12">
        <v>33810.0</v>
      </c>
      <c r="P721" s="11" t="s">
        <v>1649</v>
      </c>
      <c r="Q721" s="12">
        <v>33810.0</v>
      </c>
      <c r="R721" s="11" t="s">
        <v>1649</v>
      </c>
      <c r="S721" s="11" t="s">
        <v>1701</v>
      </c>
      <c r="T721" s="11" t="s">
        <v>1703</v>
      </c>
      <c r="U721" s="2" t="s">
        <v>1574</v>
      </c>
      <c r="V721" s="2" t="s">
        <v>1568</v>
      </c>
      <c r="W721" s="2" t="s">
        <v>1569</v>
      </c>
      <c r="X721" s="2" t="s">
        <v>1570</v>
      </c>
      <c r="AB721" s="2" t="s">
        <v>1571</v>
      </c>
    </row>
    <row r="722">
      <c r="A722" s="2" t="s">
        <v>1797</v>
      </c>
      <c r="B722" s="2">
        <v>9.0</v>
      </c>
      <c r="C722" s="2" t="s">
        <v>11</v>
      </c>
      <c r="D722" s="2" t="s">
        <v>1798</v>
      </c>
      <c r="E722" s="2">
        <v>7.0</v>
      </c>
      <c r="F722" s="2" t="s">
        <v>10</v>
      </c>
      <c r="G722" s="5">
        <v>2701367.0</v>
      </c>
      <c r="H722" s="2" t="s">
        <v>1575</v>
      </c>
      <c r="I722" s="2" t="s">
        <v>1572</v>
      </c>
      <c r="J722" s="2">
        <v>10128.0</v>
      </c>
      <c r="K722" s="2" t="s">
        <v>1588</v>
      </c>
      <c r="L722" s="2"/>
      <c r="M722" s="2"/>
      <c r="N722" s="7">
        <v>1.0</v>
      </c>
      <c r="O722" s="12">
        <v>23333.0</v>
      </c>
      <c r="P722" s="11" t="s">
        <v>1649</v>
      </c>
      <c r="Q722" s="12">
        <v>23333.0</v>
      </c>
      <c r="R722" s="11" t="s">
        <v>1649</v>
      </c>
      <c r="S722" s="11" t="s">
        <v>1681</v>
      </c>
      <c r="T722" s="11" t="s">
        <v>1715</v>
      </c>
      <c r="U722" s="2" t="s">
        <v>1574</v>
      </c>
      <c r="V722" s="2" t="s">
        <v>1568</v>
      </c>
      <c r="W722" s="2" t="s">
        <v>1569</v>
      </c>
      <c r="X722" s="2" t="s">
        <v>1570</v>
      </c>
      <c r="AB722" s="2" t="s">
        <v>1571</v>
      </c>
    </row>
    <row r="723">
      <c r="A723" s="2" t="s">
        <v>1797</v>
      </c>
      <c r="B723" s="2">
        <v>9.0</v>
      </c>
      <c r="C723" s="2" t="s">
        <v>11</v>
      </c>
      <c r="D723" s="2" t="s">
        <v>1798</v>
      </c>
      <c r="E723" s="2">
        <v>7.0</v>
      </c>
      <c r="F723" s="2" t="s">
        <v>10</v>
      </c>
      <c r="G723" s="5">
        <v>2701367.0</v>
      </c>
      <c r="H723" s="2" t="s">
        <v>1575</v>
      </c>
      <c r="I723" s="2" t="s">
        <v>1578</v>
      </c>
      <c r="J723" s="2">
        <v>10015.0</v>
      </c>
      <c r="K723" s="2" t="s">
        <v>1587</v>
      </c>
      <c r="L723" s="2"/>
      <c r="M723" s="2"/>
      <c r="N723" s="7">
        <v>1.0</v>
      </c>
      <c r="O723" s="12">
        <v>25238.0</v>
      </c>
      <c r="P723" s="11" t="s">
        <v>1649</v>
      </c>
      <c r="Q723" s="12">
        <v>25238.0</v>
      </c>
      <c r="R723" s="11" t="s">
        <v>1649</v>
      </c>
      <c r="S723" s="11" t="s">
        <v>1660</v>
      </c>
      <c r="T723" s="11" t="s">
        <v>1680</v>
      </c>
      <c r="U723" s="2" t="s">
        <v>1574</v>
      </c>
      <c r="V723" s="2" t="s">
        <v>1568</v>
      </c>
      <c r="W723" s="2" t="s">
        <v>1569</v>
      </c>
      <c r="X723" s="2" t="s">
        <v>1570</v>
      </c>
      <c r="AB723" s="2" t="s">
        <v>1571</v>
      </c>
    </row>
    <row r="724">
      <c r="A724" s="2" t="s">
        <v>1797</v>
      </c>
      <c r="B724" s="2">
        <v>9.0</v>
      </c>
      <c r="C724" s="2" t="s">
        <v>11</v>
      </c>
      <c r="D724" s="2" t="s">
        <v>1798</v>
      </c>
      <c r="E724" s="2">
        <v>7.0</v>
      </c>
      <c r="F724" s="2" t="s">
        <v>10</v>
      </c>
      <c r="G724" s="5">
        <v>2701002.0</v>
      </c>
      <c r="H724" s="2" t="s">
        <v>1575</v>
      </c>
      <c r="I724" s="2" t="s">
        <v>1565</v>
      </c>
      <c r="J724" s="2">
        <v>10002.0</v>
      </c>
      <c r="K724" s="2" t="s">
        <v>1576</v>
      </c>
      <c r="L724" s="2"/>
      <c r="M724" s="2"/>
      <c r="N724" s="7">
        <v>1.0</v>
      </c>
      <c r="O724" s="12">
        <v>18571.0</v>
      </c>
      <c r="P724" s="11" t="s">
        <v>1649</v>
      </c>
      <c r="Q724" s="12">
        <v>18571.0</v>
      </c>
      <c r="R724" s="11" t="s">
        <v>1649</v>
      </c>
      <c r="S724" s="11" t="s">
        <v>1656</v>
      </c>
      <c r="T724" s="11" t="s">
        <v>1657</v>
      </c>
      <c r="U724" s="2" t="s">
        <v>1574</v>
      </c>
      <c r="V724" s="2" t="s">
        <v>1568</v>
      </c>
      <c r="W724" s="2" t="s">
        <v>1569</v>
      </c>
      <c r="X724" s="2" t="s">
        <v>1570</v>
      </c>
      <c r="AB724" s="2" t="s">
        <v>1571</v>
      </c>
    </row>
    <row r="725">
      <c r="A725" s="2" t="s">
        <v>1797</v>
      </c>
      <c r="B725" s="2">
        <v>9.0</v>
      </c>
      <c r="C725" s="2" t="s">
        <v>11</v>
      </c>
      <c r="D725" s="2" t="s">
        <v>1798</v>
      </c>
      <c r="E725" s="2">
        <v>7.0</v>
      </c>
      <c r="F725" s="2" t="s">
        <v>10</v>
      </c>
      <c r="G725" s="5">
        <v>2701002.0</v>
      </c>
      <c r="H725" s="2" t="s">
        <v>1575</v>
      </c>
      <c r="I725" s="2" t="s">
        <v>1572</v>
      </c>
      <c r="J725" s="2">
        <v>10125.0</v>
      </c>
      <c r="K725" s="2" t="s">
        <v>1601</v>
      </c>
      <c r="L725" s="2"/>
      <c r="M725" s="2"/>
      <c r="N725" s="7">
        <v>1.0</v>
      </c>
      <c r="O725" s="12">
        <v>20476.0</v>
      </c>
      <c r="P725" s="11" t="s">
        <v>1649</v>
      </c>
      <c r="Q725" s="12">
        <v>20476.0</v>
      </c>
      <c r="R725" s="11" t="s">
        <v>1649</v>
      </c>
      <c r="S725" s="11" t="s">
        <v>1716</v>
      </c>
      <c r="T725" s="11" t="s">
        <v>1722</v>
      </c>
      <c r="U725" s="2" t="s">
        <v>1574</v>
      </c>
      <c r="V725" s="2" t="s">
        <v>1568</v>
      </c>
      <c r="W725" s="2" t="s">
        <v>1569</v>
      </c>
      <c r="X725" s="2" t="s">
        <v>1570</v>
      </c>
      <c r="AB725" s="2" t="s">
        <v>1571</v>
      </c>
    </row>
    <row r="726">
      <c r="A726" s="2" t="s">
        <v>1797</v>
      </c>
      <c r="B726" s="2">
        <v>9.0</v>
      </c>
      <c r="C726" s="2" t="s">
        <v>11</v>
      </c>
      <c r="D726" s="2" t="s">
        <v>1798</v>
      </c>
      <c r="E726" s="2">
        <v>7.0</v>
      </c>
      <c r="F726" s="2" t="s">
        <v>10</v>
      </c>
      <c r="G726" s="5">
        <v>2700637.0</v>
      </c>
      <c r="H726" s="2" t="s">
        <v>1575</v>
      </c>
      <c r="I726" s="2" t="s">
        <v>1565</v>
      </c>
      <c r="J726" s="2">
        <v>10033.0</v>
      </c>
      <c r="K726" s="2" t="s">
        <v>1615</v>
      </c>
      <c r="L726" s="2"/>
      <c r="M726" s="2"/>
      <c r="N726" s="7">
        <v>1.0</v>
      </c>
      <c r="O726" s="12">
        <v>21905.0</v>
      </c>
      <c r="P726" s="11" t="s">
        <v>1649</v>
      </c>
      <c r="Q726" s="12">
        <v>21905.0</v>
      </c>
      <c r="R726" s="11" t="s">
        <v>1649</v>
      </c>
      <c r="S726" s="11" t="s">
        <v>1666</v>
      </c>
      <c r="T726" s="11" t="s">
        <v>1667</v>
      </c>
      <c r="U726" s="2" t="s">
        <v>1574</v>
      </c>
      <c r="V726" s="2" t="s">
        <v>1568</v>
      </c>
      <c r="W726" s="2" t="s">
        <v>1569</v>
      </c>
      <c r="X726" s="2" t="s">
        <v>1570</v>
      </c>
      <c r="AB726" s="2" t="s">
        <v>1571</v>
      </c>
    </row>
    <row r="727">
      <c r="A727" s="2" t="s">
        <v>1797</v>
      </c>
      <c r="B727" s="2">
        <v>9.0</v>
      </c>
      <c r="C727" s="2" t="s">
        <v>11</v>
      </c>
      <c r="D727" s="2" t="s">
        <v>1798</v>
      </c>
      <c r="E727" s="2">
        <v>7.0</v>
      </c>
      <c r="F727" s="2" t="s">
        <v>10</v>
      </c>
      <c r="G727" s="5">
        <v>2700637.0</v>
      </c>
      <c r="H727" s="2" t="s">
        <v>1575</v>
      </c>
      <c r="I727" s="2" t="s">
        <v>1572</v>
      </c>
      <c r="J727" s="2">
        <v>10127.0</v>
      </c>
      <c r="K727" s="2" t="s">
        <v>1592</v>
      </c>
      <c r="L727" s="2"/>
      <c r="M727" s="2"/>
      <c r="N727" s="7">
        <v>1.0</v>
      </c>
      <c r="O727" s="12">
        <v>18571.0</v>
      </c>
      <c r="P727" s="11" t="s">
        <v>1649</v>
      </c>
      <c r="Q727" s="12">
        <v>18571.0</v>
      </c>
      <c r="R727" s="11" t="s">
        <v>1649</v>
      </c>
      <c r="S727" s="11" t="s">
        <v>1656</v>
      </c>
      <c r="T727" s="11" t="s">
        <v>1657</v>
      </c>
      <c r="U727" s="2" t="s">
        <v>1574</v>
      </c>
      <c r="V727" s="2" t="s">
        <v>1568</v>
      </c>
      <c r="W727" s="2" t="s">
        <v>1569</v>
      </c>
      <c r="X727" s="2" t="s">
        <v>1570</v>
      </c>
      <c r="AB727" s="2" t="s">
        <v>1571</v>
      </c>
    </row>
    <row r="728">
      <c r="A728" s="2" t="s">
        <v>1802</v>
      </c>
      <c r="B728" s="2">
        <v>20.0</v>
      </c>
      <c r="C728" s="2" t="s">
        <v>9</v>
      </c>
      <c r="D728" s="2" t="s">
        <v>1803</v>
      </c>
      <c r="E728" s="2">
        <v>6.0</v>
      </c>
      <c r="F728" s="2" t="s">
        <v>10</v>
      </c>
      <c r="G728" s="5">
        <v>2700272.0</v>
      </c>
      <c r="H728" s="2" t="s">
        <v>1575</v>
      </c>
      <c r="I728" s="2" t="s">
        <v>1578</v>
      </c>
      <c r="J728" s="2">
        <v>10015.0</v>
      </c>
      <c r="K728" s="2" t="s">
        <v>1587</v>
      </c>
      <c r="L728" s="2"/>
      <c r="M728" s="2"/>
      <c r="N728" s="7">
        <v>1.0</v>
      </c>
      <c r="O728" s="12">
        <v>25238.0</v>
      </c>
      <c r="P728" s="11" t="s">
        <v>1649</v>
      </c>
      <c r="Q728" s="12">
        <v>25238.0</v>
      </c>
      <c r="R728" s="11" t="s">
        <v>1649</v>
      </c>
      <c r="S728" s="11" t="s">
        <v>1660</v>
      </c>
      <c r="T728" s="11" t="s">
        <v>1680</v>
      </c>
      <c r="U728" s="2" t="s">
        <v>1574</v>
      </c>
      <c r="V728" s="2" t="s">
        <v>1568</v>
      </c>
      <c r="W728" s="2" t="s">
        <v>1569</v>
      </c>
      <c r="X728" s="2" t="s">
        <v>1570</v>
      </c>
      <c r="AB728" s="2" t="s">
        <v>1571</v>
      </c>
    </row>
    <row r="729">
      <c r="A729" s="2" t="s">
        <v>1802</v>
      </c>
      <c r="B729" s="2">
        <v>20.0</v>
      </c>
      <c r="C729" s="2" t="s">
        <v>9</v>
      </c>
      <c r="D729" s="2" t="s">
        <v>1803</v>
      </c>
      <c r="E729" s="2">
        <v>6.0</v>
      </c>
      <c r="F729" s="2" t="s">
        <v>10</v>
      </c>
      <c r="G729" s="5">
        <v>2700272.0</v>
      </c>
      <c r="H729" s="2" t="s">
        <v>1575</v>
      </c>
      <c r="I729" s="2" t="s">
        <v>1578</v>
      </c>
      <c r="J729" s="2">
        <v>10014.0</v>
      </c>
      <c r="K729" s="2" t="s">
        <v>1609</v>
      </c>
      <c r="L729" s="2"/>
      <c r="M729" s="2"/>
      <c r="N729" s="7">
        <v>1.0</v>
      </c>
      <c r="O729" s="12">
        <v>25238.0</v>
      </c>
      <c r="P729" s="11" t="s">
        <v>1649</v>
      </c>
      <c r="Q729" s="12">
        <v>25238.0</v>
      </c>
      <c r="R729" s="11" t="s">
        <v>1649</v>
      </c>
      <c r="S729" s="11" t="s">
        <v>1660</v>
      </c>
      <c r="T729" s="11" t="s">
        <v>1680</v>
      </c>
      <c r="U729" s="2" t="s">
        <v>1574</v>
      </c>
      <c r="V729" s="2" t="s">
        <v>1568</v>
      </c>
      <c r="W729" s="2" t="s">
        <v>1569</v>
      </c>
      <c r="X729" s="2" t="s">
        <v>1570</v>
      </c>
      <c r="AB729" s="2" t="s">
        <v>1571</v>
      </c>
    </row>
    <row r="730">
      <c r="A730" s="2" t="s">
        <v>1802</v>
      </c>
      <c r="B730" s="2">
        <v>20.0</v>
      </c>
      <c r="C730" s="2" t="s">
        <v>9</v>
      </c>
      <c r="D730" s="2" t="s">
        <v>1803</v>
      </c>
      <c r="E730" s="2">
        <v>6.0</v>
      </c>
      <c r="F730" s="2" t="s">
        <v>10</v>
      </c>
      <c r="G730" s="5">
        <v>2699906.0</v>
      </c>
      <c r="H730" s="2" t="s">
        <v>1575</v>
      </c>
      <c r="I730" s="2" t="s">
        <v>1572</v>
      </c>
      <c r="J730" s="2">
        <v>10128.0</v>
      </c>
      <c r="K730" s="2" t="s">
        <v>1588</v>
      </c>
      <c r="L730" s="2"/>
      <c r="M730" s="2"/>
      <c r="N730" s="7">
        <v>1.0</v>
      </c>
      <c r="O730" s="12">
        <v>23333.0</v>
      </c>
      <c r="P730" s="11" t="s">
        <v>1649</v>
      </c>
      <c r="Q730" s="12">
        <v>23333.0</v>
      </c>
      <c r="R730" s="11" t="s">
        <v>1649</v>
      </c>
      <c r="S730" s="11" t="s">
        <v>1681</v>
      </c>
      <c r="T730" s="11" t="s">
        <v>1682</v>
      </c>
      <c r="U730" s="2" t="s">
        <v>1574</v>
      </c>
      <c r="V730" s="2" t="s">
        <v>1568</v>
      </c>
      <c r="W730" s="2" t="s">
        <v>1569</v>
      </c>
      <c r="X730" s="2" t="s">
        <v>1570</v>
      </c>
      <c r="AB730" s="2" t="s">
        <v>1571</v>
      </c>
    </row>
    <row r="731">
      <c r="A731" s="2" t="s">
        <v>1802</v>
      </c>
      <c r="B731" s="2">
        <v>20.0</v>
      </c>
      <c r="C731" s="2" t="s">
        <v>9</v>
      </c>
      <c r="D731" s="2" t="s">
        <v>1803</v>
      </c>
      <c r="E731" s="2">
        <v>6.0</v>
      </c>
      <c r="F731" s="2" t="s">
        <v>10</v>
      </c>
      <c r="G731" s="5">
        <v>2699906.0</v>
      </c>
      <c r="H731" s="2" t="s">
        <v>1575</v>
      </c>
      <c r="I731" s="2" t="s">
        <v>1578</v>
      </c>
      <c r="J731" s="2">
        <v>10011.0</v>
      </c>
      <c r="K731" s="2" t="s">
        <v>1605</v>
      </c>
      <c r="L731" s="2"/>
      <c r="M731" s="2"/>
      <c r="N731" s="7">
        <v>1.0</v>
      </c>
      <c r="O731" s="12">
        <v>25238.0</v>
      </c>
      <c r="P731" s="11" t="s">
        <v>1649</v>
      </c>
      <c r="Q731" s="12">
        <v>25238.0</v>
      </c>
      <c r="R731" s="11" t="s">
        <v>1649</v>
      </c>
      <c r="S731" s="11" t="s">
        <v>1660</v>
      </c>
      <c r="T731" s="11" t="s">
        <v>1680</v>
      </c>
      <c r="U731" s="2" t="s">
        <v>1574</v>
      </c>
      <c r="V731" s="2" t="s">
        <v>1568</v>
      </c>
      <c r="W731" s="2" t="s">
        <v>1569</v>
      </c>
      <c r="X731" s="2" t="s">
        <v>1570</v>
      </c>
      <c r="AB731" s="2" t="s">
        <v>1571</v>
      </c>
    </row>
    <row r="732">
      <c r="A732" s="2" t="s">
        <v>1802</v>
      </c>
      <c r="B732" s="2">
        <v>20.0</v>
      </c>
      <c r="C732" s="2" t="s">
        <v>9</v>
      </c>
      <c r="D732" s="2" t="s">
        <v>1803</v>
      </c>
      <c r="E732" s="2">
        <v>6.0</v>
      </c>
      <c r="F732" s="2" t="s">
        <v>10</v>
      </c>
      <c r="G732" s="5">
        <v>2699906.0</v>
      </c>
      <c r="H732" s="2" t="s">
        <v>1575</v>
      </c>
      <c r="I732" s="2" t="s">
        <v>1572</v>
      </c>
      <c r="J732" s="2">
        <v>10107.0</v>
      </c>
      <c r="K732" s="2" t="s">
        <v>1584</v>
      </c>
      <c r="L732" s="2"/>
      <c r="M732" s="2"/>
      <c r="N732" s="7">
        <v>1.0</v>
      </c>
      <c r="O732" s="12">
        <v>26667.0</v>
      </c>
      <c r="P732" s="11" t="s">
        <v>1649</v>
      </c>
      <c r="Q732" s="12">
        <v>26667.0</v>
      </c>
      <c r="R732" s="11" t="s">
        <v>1649</v>
      </c>
      <c r="S732" s="11" t="s">
        <v>1674</v>
      </c>
      <c r="T732" s="11" t="s">
        <v>1679</v>
      </c>
      <c r="U732" s="2" t="s">
        <v>1574</v>
      </c>
      <c r="V732" s="2" t="s">
        <v>1568</v>
      </c>
      <c r="W732" s="2" t="s">
        <v>1569</v>
      </c>
      <c r="X732" s="2" t="s">
        <v>1570</v>
      </c>
      <c r="AB732" s="2" t="s">
        <v>1571</v>
      </c>
    </row>
    <row r="733">
      <c r="A733" s="2" t="s">
        <v>1802</v>
      </c>
      <c r="B733" s="2">
        <v>19.0</v>
      </c>
      <c r="C733" s="2" t="s">
        <v>9</v>
      </c>
      <c r="D733" s="2" t="s">
        <v>1803</v>
      </c>
      <c r="E733" s="2">
        <v>6.0</v>
      </c>
      <c r="F733" s="2" t="s">
        <v>10</v>
      </c>
      <c r="G733" s="5">
        <v>2699541.0</v>
      </c>
      <c r="H733" s="2" t="s">
        <v>1575</v>
      </c>
      <c r="I733" s="2" t="s">
        <v>1565</v>
      </c>
      <c r="J733" s="2">
        <v>10054.0</v>
      </c>
      <c r="K733" s="2" t="s">
        <v>1610</v>
      </c>
      <c r="L733" s="2"/>
      <c r="M733" s="2"/>
      <c r="N733" s="7">
        <v>1.0</v>
      </c>
      <c r="O733" s="12">
        <v>25238.0</v>
      </c>
      <c r="P733" s="11" t="s">
        <v>1649</v>
      </c>
      <c r="Q733" s="12">
        <v>25238.0</v>
      </c>
      <c r="R733" s="11" t="s">
        <v>1649</v>
      </c>
      <c r="S733" s="11" t="s">
        <v>1660</v>
      </c>
      <c r="T733" s="11" t="s">
        <v>1680</v>
      </c>
      <c r="U733" s="2" t="s">
        <v>1574</v>
      </c>
      <c r="V733" s="2" t="s">
        <v>1568</v>
      </c>
      <c r="W733" s="2" t="s">
        <v>1569</v>
      </c>
      <c r="X733" s="2" t="s">
        <v>1570</v>
      </c>
      <c r="AB733" s="2" t="s">
        <v>1571</v>
      </c>
    </row>
    <row r="734">
      <c r="A734" s="2" t="s">
        <v>1802</v>
      </c>
      <c r="B734" s="2">
        <v>18.0</v>
      </c>
      <c r="C734" s="2" t="s">
        <v>9</v>
      </c>
      <c r="D734" s="2" t="s">
        <v>1803</v>
      </c>
      <c r="E734" s="2">
        <v>6.0</v>
      </c>
      <c r="F734" s="2" t="s">
        <v>10</v>
      </c>
      <c r="G734" s="5">
        <v>2699176.0</v>
      </c>
      <c r="H734" s="2" t="s">
        <v>1575</v>
      </c>
      <c r="I734" s="2" t="s">
        <v>1572</v>
      </c>
      <c r="J734" s="2">
        <v>10112.0</v>
      </c>
      <c r="K734" s="2" t="s">
        <v>1573</v>
      </c>
      <c r="L734" s="2"/>
      <c r="M734" s="2"/>
      <c r="N734" s="7">
        <v>1.0</v>
      </c>
      <c r="O734" s="12">
        <v>6667.0</v>
      </c>
      <c r="P734" s="11" t="s">
        <v>1649</v>
      </c>
      <c r="Q734" s="12">
        <v>6667.0</v>
      </c>
      <c r="R734" s="11" t="s">
        <v>1649</v>
      </c>
      <c r="S734" s="11" t="s">
        <v>1734</v>
      </c>
      <c r="T734" s="11" t="s">
        <v>1738</v>
      </c>
      <c r="U734" s="2" t="s">
        <v>1574</v>
      </c>
      <c r="V734" s="2" t="s">
        <v>1568</v>
      </c>
      <c r="W734" s="2" t="s">
        <v>1569</v>
      </c>
      <c r="X734" s="2" t="s">
        <v>1570</v>
      </c>
      <c r="AB734" s="2" t="s">
        <v>1571</v>
      </c>
    </row>
    <row r="735">
      <c r="A735" s="2" t="s">
        <v>1802</v>
      </c>
      <c r="B735" s="2">
        <v>18.0</v>
      </c>
      <c r="C735" s="2" t="s">
        <v>9</v>
      </c>
      <c r="D735" s="2" t="s">
        <v>1803</v>
      </c>
      <c r="E735" s="2">
        <v>6.0</v>
      </c>
      <c r="F735" s="2" t="s">
        <v>10</v>
      </c>
      <c r="G735" s="5">
        <v>2698811.0</v>
      </c>
      <c r="H735" s="2" t="s">
        <v>1575</v>
      </c>
      <c r="I735" s="2" t="s">
        <v>1578</v>
      </c>
      <c r="J735" s="2">
        <v>10010.0</v>
      </c>
      <c r="K735" s="2" t="s">
        <v>1606</v>
      </c>
      <c r="L735" s="2"/>
      <c r="M735" s="2"/>
      <c r="N735" s="7">
        <v>1.0</v>
      </c>
      <c r="O735" s="12">
        <v>25238.0</v>
      </c>
      <c r="P735" s="11" t="s">
        <v>1649</v>
      </c>
      <c r="Q735" s="12">
        <v>25238.0</v>
      </c>
      <c r="R735" s="11" t="s">
        <v>1649</v>
      </c>
      <c r="S735" s="11" t="s">
        <v>1660</v>
      </c>
      <c r="T735" s="11" t="s">
        <v>1680</v>
      </c>
      <c r="U735" s="2" t="s">
        <v>1574</v>
      </c>
      <c r="V735" s="2" t="s">
        <v>1568</v>
      </c>
      <c r="W735" s="2" t="s">
        <v>1569</v>
      </c>
      <c r="X735" s="2" t="s">
        <v>1570</v>
      </c>
      <c r="AB735" s="2" t="s">
        <v>1571</v>
      </c>
    </row>
    <row r="736">
      <c r="A736" s="2" t="s">
        <v>1802</v>
      </c>
      <c r="B736" s="2">
        <v>18.0</v>
      </c>
      <c r="C736" s="2" t="s">
        <v>9</v>
      </c>
      <c r="D736" s="2" t="s">
        <v>1803</v>
      </c>
      <c r="E736" s="2">
        <v>6.0</v>
      </c>
      <c r="F736" s="2" t="s">
        <v>10</v>
      </c>
      <c r="G736" s="5">
        <v>2698811.0</v>
      </c>
      <c r="H736" s="2" t="s">
        <v>1575</v>
      </c>
      <c r="I736" s="2" t="s">
        <v>1565</v>
      </c>
      <c r="J736" s="2">
        <v>10000.0</v>
      </c>
      <c r="K736" s="2" t="s">
        <v>1566</v>
      </c>
      <c r="L736" s="2"/>
      <c r="M736" s="2"/>
      <c r="N736" s="7">
        <v>1.0</v>
      </c>
      <c r="O736" s="12">
        <v>29524.0</v>
      </c>
      <c r="P736" s="11" t="s">
        <v>1649</v>
      </c>
      <c r="Q736" s="12">
        <v>29524.0</v>
      </c>
      <c r="R736" s="11" t="s">
        <v>1649</v>
      </c>
      <c r="S736" s="11" t="s">
        <v>1683</v>
      </c>
      <c r="T736" s="11" t="s">
        <v>1684</v>
      </c>
      <c r="U736" s="2" t="s">
        <v>1574</v>
      </c>
      <c r="V736" s="2" t="s">
        <v>1568</v>
      </c>
      <c r="W736" s="2" t="s">
        <v>1569</v>
      </c>
      <c r="X736" s="2" t="s">
        <v>1570</v>
      </c>
      <c r="AB736" s="2" t="s">
        <v>1571</v>
      </c>
    </row>
    <row r="737">
      <c r="A737" s="2" t="s">
        <v>1802</v>
      </c>
      <c r="B737" s="2">
        <v>18.0</v>
      </c>
      <c r="C737" s="2" t="s">
        <v>9</v>
      </c>
      <c r="D737" s="2" t="s">
        <v>1803</v>
      </c>
      <c r="E737" s="2">
        <v>6.0</v>
      </c>
      <c r="F737" s="2" t="s">
        <v>10</v>
      </c>
      <c r="G737" s="5">
        <v>2698811.0</v>
      </c>
      <c r="H737" s="2" t="s">
        <v>1575</v>
      </c>
      <c r="I737" s="2" t="s">
        <v>1572</v>
      </c>
      <c r="J737" s="2">
        <v>10128.0</v>
      </c>
      <c r="K737" s="2" t="s">
        <v>1588</v>
      </c>
      <c r="L737" s="2"/>
      <c r="M737" s="2"/>
      <c r="N737" s="7">
        <v>1.0</v>
      </c>
      <c r="O737" s="12">
        <v>23333.0</v>
      </c>
      <c r="P737" s="11" t="s">
        <v>1649</v>
      </c>
      <c r="Q737" s="12">
        <v>23333.0</v>
      </c>
      <c r="R737" s="11" t="s">
        <v>1649</v>
      </c>
      <c r="S737" s="11" t="s">
        <v>1681</v>
      </c>
      <c r="T737" s="11" t="s">
        <v>1682</v>
      </c>
      <c r="U737" s="2" t="s">
        <v>1574</v>
      </c>
      <c r="V737" s="2" t="s">
        <v>1568</v>
      </c>
      <c r="W737" s="2" t="s">
        <v>1569</v>
      </c>
      <c r="X737" s="2" t="s">
        <v>1570</v>
      </c>
      <c r="AB737" s="2" t="s">
        <v>1571</v>
      </c>
    </row>
    <row r="738">
      <c r="A738" s="2" t="s">
        <v>1802</v>
      </c>
      <c r="B738" s="2">
        <v>18.0</v>
      </c>
      <c r="C738" s="2" t="s">
        <v>9</v>
      </c>
      <c r="D738" s="2" t="s">
        <v>1803</v>
      </c>
      <c r="E738" s="2">
        <v>6.0</v>
      </c>
      <c r="F738" s="2" t="s">
        <v>10</v>
      </c>
      <c r="G738" s="5">
        <v>2698811.0</v>
      </c>
      <c r="H738" s="2" t="s">
        <v>1575</v>
      </c>
      <c r="I738" s="2" t="s">
        <v>1572</v>
      </c>
      <c r="J738" s="2">
        <v>10119.0</v>
      </c>
      <c r="K738" s="2" t="s">
        <v>1582</v>
      </c>
      <c r="L738" s="2"/>
      <c r="M738" s="2"/>
      <c r="N738" s="7">
        <v>1.0</v>
      </c>
      <c r="O738" s="12">
        <v>7143.0</v>
      </c>
      <c r="P738" s="11" t="s">
        <v>1649</v>
      </c>
      <c r="Q738" s="12">
        <v>7143.0</v>
      </c>
      <c r="R738" s="11" t="s">
        <v>1649</v>
      </c>
      <c r="S738" s="11" t="s">
        <v>1672</v>
      </c>
      <c r="T738" s="11" t="s">
        <v>1673</v>
      </c>
      <c r="U738" s="2" t="s">
        <v>1574</v>
      </c>
      <c r="V738" s="2" t="s">
        <v>1568</v>
      </c>
      <c r="W738" s="2" t="s">
        <v>1569</v>
      </c>
      <c r="X738" s="2" t="s">
        <v>1570</v>
      </c>
      <c r="AB738" s="2" t="s">
        <v>1571</v>
      </c>
    </row>
    <row r="739">
      <c r="A739" s="2" t="s">
        <v>1802</v>
      </c>
      <c r="B739" s="2">
        <v>18.0</v>
      </c>
      <c r="C739" s="2" t="s">
        <v>9</v>
      </c>
      <c r="D739" s="2" t="s">
        <v>1803</v>
      </c>
      <c r="E739" s="2">
        <v>6.0</v>
      </c>
      <c r="F739" s="2" t="s">
        <v>10</v>
      </c>
      <c r="G739" s="5">
        <v>2698445.0</v>
      </c>
      <c r="H739" s="2" t="s">
        <v>1575</v>
      </c>
      <c r="I739" s="2" t="s">
        <v>1572</v>
      </c>
      <c r="J739" s="2">
        <v>10128.0</v>
      </c>
      <c r="K739" s="2" t="s">
        <v>1588</v>
      </c>
      <c r="L739" s="2"/>
      <c r="M739" s="2"/>
      <c r="N739" s="7">
        <v>1.0</v>
      </c>
      <c r="O739" s="12">
        <v>23333.0</v>
      </c>
      <c r="P739" s="11" t="s">
        <v>1649</v>
      </c>
      <c r="Q739" s="12">
        <v>23333.0</v>
      </c>
      <c r="R739" s="11" t="s">
        <v>1649</v>
      </c>
      <c r="S739" s="11" t="s">
        <v>1681</v>
      </c>
      <c r="T739" s="11" t="s">
        <v>1682</v>
      </c>
      <c r="U739" s="2" t="s">
        <v>1574</v>
      </c>
      <c r="V739" s="2" t="s">
        <v>1568</v>
      </c>
      <c r="W739" s="2" t="s">
        <v>1569</v>
      </c>
      <c r="X739" s="2" t="s">
        <v>1570</v>
      </c>
      <c r="AB739" s="2" t="s">
        <v>1571</v>
      </c>
    </row>
    <row r="740">
      <c r="A740" s="2" t="s">
        <v>1802</v>
      </c>
      <c r="B740" s="2">
        <v>18.0</v>
      </c>
      <c r="C740" s="2" t="s">
        <v>9</v>
      </c>
      <c r="D740" s="2" t="s">
        <v>1803</v>
      </c>
      <c r="E740" s="2">
        <v>6.0</v>
      </c>
      <c r="F740" s="2" t="s">
        <v>10</v>
      </c>
      <c r="G740" s="5">
        <v>2698445.0</v>
      </c>
      <c r="H740" s="2" t="s">
        <v>1575</v>
      </c>
      <c r="I740" s="2" t="s">
        <v>1578</v>
      </c>
      <c r="J740" s="2">
        <v>10009.0</v>
      </c>
      <c r="K740" s="2" t="s">
        <v>1586</v>
      </c>
      <c r="L740" s="2"/>
      <c r="M740" s="2"/>
      <c r="N740" s="7">
        <v>1.0</v>
      </c>
      <c r="O740" s="12">
        <v>26667.0</v>
      </c>
      <c r="P740" s="11" t="s">
        <v>1649</v>
      </c>
      <c r="Q740" s="12">
        <v>26667.0</v>
      </c>
      <c r="R740" s="11" t="s">
        <v>1649</v>
      </c>
      <c r="S740" s="11" t="s">
        <v>1674</v>
      </c>
      <c r="T740" s="11" t="s">
        <v>1679</v>
      </c>
      <c r="U740" s="2" t="s">
        <v>1574</v>
      </c>
      <c r="V740" s="2" t="s">
        <v>1568</v>
      </c>
      <c r="W740" s="2" t="s">
        <v>1569</v>
      </c>
      <c r="X740" s="2" t="s">
        <v>1570</v>
      </c>
      <c r="AB740" s="2" t="s">
        <v>1571</v>
      </c>
    </row>
    <row r="741">
      <c r="A741" s="2" t="s">
        <v>1802</v>
      </c>
      <c r="B741" s="2">
        <v>18.0</v>
      </c>
      <c r="C741" s="2" t="s">
        <v>9</v>
      </c>
      <c r="D741" s="2" t="s">
        <v>1803</v>
      </c>
      <c r="E741" s="2">
        <v>6.0</v>
      </c>
      <c r="F741" s="2" t="s">
        <v>10</v>
      </c>
      <c r="G741" s="5">
        <v>2698445.0</v>
      </c>
      <c r="H741" s="2" t="s">
        <v>1575</v>
      </c>
      <c r="I741" s="2" t="s">
        <v>1572</v>
      </c>
      <c r="J741" s="2">
        <v>10056.0</v>
      </c>
      <c r="K741" s="2" t="s">
        <v>1585</v>
      </c>
      <c r="L741" s="2"/>
      <c r="M741" s="2"/>
      <c r="N741" s="7">
        <v>1.0</v>
      </c>
      <c r="O741" s="12">
        <v>19524.0</v>
      </c>
      <c r="P741" s="11" t="s">
        <v>1649</v>
      </c>
      <c r="Q741" s="12">
        <v>19524.0</v>
      </c>
      <c r="R741" s="11" t="s">
        <v>1649</v>
      </c>
      <c r="S741" s="11" t="s">
        <v>1676</v>
      </c>
      <c r="T741" s="11" t="s">
        <v>1677</v>
      </c>
      <c r="U741" s="2" t="s">
        <v>1574</v>
      </c>
      <c r="V741" s="2" t="s">
        <v>1568</v>
      </c>
      <c r="W741" s="2" t="s">
        <v>1569</v>
      </c>
      <c r="X741" s="2" t="s">
        <v>1570</v>
      </c>
      <c r="AB741" s="2" t="s">
        <v>1571</v>
      </c>
    </row>
    <row r="742">
      <c r="A742" s="2" t="s">
        <v>1802</v>
      </c>
      <c r="B742" s="2">
        <v>17.0</v>
      </c>
      <c r="C742" s="2" t="s">
        <v>9</v>
      </c>
      <c r="D742" s="2" t="s">
        <v>1803</v>
      </c>
      <c r="E742" s="2">
        <v>6.0</v>
      </c>
      <c r="F742" s="2" t="s">
        <v>10</v>
      </c>
      <c r="G742" s="5">
        <v>2698080.0</v>
      </c>
      <c r="H742" s="2" t="s">
        <v>1575</v>
      </c>
      <c r="I742" s="2" t="s">
        <v>1578</v>
      </c>
      <c r="J742" s="2">
        <v>10014.0</v>
      </c>
      <c r="K742" s="2" t="s">
        <v>1609</v>
      </c>
      <c r="L742" s="2"/>
      <c r="M742" s="2"/>
      <c r="N742" s="7">
        <v>1.0</v>
      </c>
      <c r="O742" s="12">
        <v>25238.0</v>
      </c>
      <c r="P742" s="11" t="s">
        <v>1649</v>
      </c>
      <c r="Q742" s="12">
        <v>25238.0</v>
      </c>
      <c r="R742" s="11" t="s">
        <v>1649</v>
      </c>
      <c r="S742" s="11" t="s">
        <v>1660</v>
      </c>
      <c r="T742" s="11" t="s">
        <v>1680</v>
      </c>
      <c r="U742" s="2" t="s">
        <v>1574</v>
      </c>
      <c r="V742" s="2" t="s">
        <v>1568</v>
      </c>
      <c r="W742" s="2" t="s">
        <v>1569</v>
      </c>
      <c r="X742" s="2" t="s">
        <v>1570</v>
      </c>
      <c r="AB742" s="2" t="s">
        <v>1571</v>
      </c>
    </row>
    <row r="743">
      <c r="A743" s="2" t="s">
        <v>1802</v>
      </c>
      <c r="B743" s="2">
        <v>17.0</v>
      </c>
      <c r="C743" s="2" t="s">
        <v>9</v>
      </c>
      <c r="D743" s="2" t="s">
        <v>1803</v>
      </c>
      <c r="E743" s="2">
        <v>6.0</v>
      </c>
      <c r="F743" s="2" t="s">
        <v>10</v>
      </c>
      <c r="G743" s="5">
        <v>2697715.0</v>
      </c>
      <c r="H743" s="2" t="s">
        <v>1575</v>
      </c>
      <c r="I743" s="2" t="s">
        <v>1578</v>
      </c>
      <c r="J743" s="2">
        <v>10010.0</v>
      </c>
      <c r="K743" s="2" t="s">
        <v>1606</v>
      </c>
      <c r="L743" s="2"/>
      <c r="M743" s="2"/>
      <c r="N743" s="7">
        <v>1.0</v>
      </c>
      <c r="O743" s="12">
        <v>25238.0</v>
      </c>
      <c r="P743" s="11" t="s">
        <v>1649</v>
      </c>
      <c r="Q743" s="12">
        <v>25238.0</v>
      </c>
      <c r="R743" s="11" t="s">
        <v>1649</v>
      </c>
      <c r="S743" s="11" t="s">
        <v>1660</v>
      </c>
      <c r="T743" s="11" t="s">
        <v>1680</v>
      </c>
      <c r="U743" s="2" t="s">
        <v>1574</v>
      </c>
      <c r="V743" s="2" t="s">
        <v>1568</v>
      </c>
      <c r="W743" s="2" t="s">
        <v>1569</v>
      </c>
      <c r="X743" s="2" t="s">
        <v>1570</v>
      </c>
      <c r="AB743" s="2" t="s">
        <v>1571</v>
      </c>
    </row>
    <row r="744">
      <c r="A744" s="2" t="s">
        <v>1802</v>
      </c>
      <c r="B744" s="2">
        <v>17.0</v>
      </c>
      <c r="C744" s="2" t="s">
        <v>9</v>
      </c>
      <c r="D744" s="2" t="s">
        <v>1803</v>
      </c>
      <c r="E744" s="2">
        <v>6.0</v>
      </c>
      <c r="F744" s="2" t="s">
        <v>10</v>
      </c>
      <c r="G744" s="5">
        <v>2697715.0</v>
      </c>
      <c r="H744" s="2" t="s">
        <v>1575</v>
      </c>
      <c r="I744" s="2" t="s">
        <v>1578</v>
      </c>
      <c r="J744" s="2">
        <v>10051.0</v>
      </c>
      <c r="K744" s="2" t="s">
        <v>1579</v>
      </c>
      <c r="L744" s="2"/>
      <c r="M744" s="2"/>
      <c r="N744" s="7">
        <v>1.0</v>
      </c>
      <c r="O744" s="12">
        <v>25238.0</v>
      </c>
      <c r="P744" s="11" t="s">
        <v>1649</v>
      </c>
      <c r="Q744" s="12">
        <v>25238.0</v>
      </c>
      <c r="R744" s="11" t="s">
        <v>1649</v>
      </c>
      <c r="S744" s="11" t="s">
        <v>1660</v>
      </c>
      <c r="T744" s="11" t="s">
        <v>1680</v>
      </c>
      <c r="U744" s="2" t="s">
        <v>1574</v>
      </c>
      <c r="V744" s="2" t="s">
        <v>1568</v>
      </c>
      <c r="W744" s="2" t="s">
        <v>1569</v>
      </c>
      <c r="X744" s="2" t="s">
        <v>1570</v>
      </c>
      <c r="AB744" s="2" t="s">
        <v>1571</v>
      </c>
    </row>
    <row r="745">
      <c r="A745" s="2" t="s">
        <v>1802</v>
      </c>
      <c r="B745" s="2">
        <v>16.0</v>
      </c>
      <c r="C745" s="2" t="s">
        <v>9</v>
      </c>
      <c r="D745" s="2" t="s">
        <v>1803</v>
      </c>
      <c r="E745" s="2">
        <v>6.0</v>
      </c>
      <c r="F745" s="2" t="s">
        <v>10</v>
      </c>
      <c r="G745" s="5">
        <v>2697350.0</v>
      </c>
      <c r="H745" s="2" t="s">
        <v>1575</v>
      </c>
      <c r="I745" s="2" t="s">
        <v>1578</v>
      </c>
      <c r="J745" s="2">
        <v>10009.0</v>
      </c>
      <c r="K745" s="2" t="s">
        <v>1586</v>
      </c>
      <c r="L745" s="2"/>
      <c r="M745" s="2"/>
      <c r="N745" s="7">
        <v>1.0</v>
      </c>
      <c r="O745" s="12">
        <v>26667.0</v>
      </c>
      <c r="P745" s="11" t="s">
        <v>1649</v>
      </c>
      <c r="Q745" s="12">
        <v>26667.0</v>
      </c>
      <c r="R745" s="11" t="s">
        <v>1649</v>
      </c>
      <c r="S745" s="11" t="s">
        <v>1674</v>
      </c>
      <c r="T745" s="11" t="s">
        <v>1679</v>
      </c>
      <c r="U745" s="2" t="s">
        <v>1574</v>
      </c>
      <c r="V745" s="2" t="s">
        <v>1568</v>
      </c>
      <c r="W745" s="2" t="s">
        <v>1569</v>
      </c>
      <c r="X745" s="2" t="s">
        <v>1570</v>
      </c>
      <c r="AB745" s="2" t="s">
        <v>1571</v>
      </c>
    </row>
    <row r="746">
      <c r="A746" s="2" t="s">
        <v>1802</v>
      </c>
      <c r="B746" s="2">
        <v>16.0</v>
      </c>
      <c r="C746" s="2" t="s">
        <v>9</v>
      </c>
      <c r="D746" s="2" t="s">
        <v>1803</v>
      </c>
      <c r="E746" s="2">
        <v>6.0</v>
      </c>
      <c r="F746" s="2" t="s">
        <v>10</v>
      </c>
      <c r="G746" s="5">
        <v>2696984.0</v>
      </c>
      <c r="H746" s="2" t="s">
        <v>1575</v>
      </c>
      <c r="I746" s="2" t="s">
        <v>1572</v>
      </c>
      <c r="J746" s="2">
        <v>10128.0</v>
      </c>
      <c r="K746" s="2" t="s">
        <v>1588</v>
      </c>
      <c r="L746" s="2"/>
      <c r="M746" s="2"/>
      <c r="N746" s="7">
        <v>1.0</v>
      </c>
      <c r="O746" s="12">
        <v>23333.0</v>
      </c>
      <c r="P746" s="11" t="s">
        <v>1649</v>
      </c>
      <c r="Q746" s="12">
        <v>23333.0</v>
      </c>
      <c r="R746" s="11" t="s">
        <v>1649</v>
      </c>
      <c r="S746" s="11" t="s">
        <v>1681</v>
      </c>
      <c r="T746" s="11" t="s">
        <v>1682</v>
      </c>
      <c r="U746" s="2" t="s">
        <v>1574</v>
      </c>
      <c r="V746" s="2" t="s">
        <v>1568</v>
      </c>
      <c r="W746" s="2" t="s">
        <v>1569</v>
      </c>
      <c r="X746" s="2" t="s">
        <v>1570</v>
      </c>
      <c r="AB746" s="2" t="s">
        <v>1571</v>
      </c>
    </row>
    <row r="747">
      <c r="A747" s="2" t="s">
        <v>1802</v>
      </c>
      <c r="B747" s="2">
        <v>16.0</v>
      </c>
      <c r="C747" s="2" t="s">
        <v>9</v>
      </c>
      <c r="D747" s="2" t="s">
        <v>1803</v>
      </c>
      <c r="E747" s="2">
        <v>6.0</v>
      </c>
      <c r="F747" s="2" t="s">
        <v>10</v>
      </c>
      <c r="G747" s="5">
        <v>2696984.0</v>
      </c>
      <c r="H747" s="2" t="s">
        <v>1575</v>
      </c>
      <c r="I747" s="2" t="s">
        <v>1578</v>
      </c>
      <c r="J747" s="2">
        <v>10051.0</v>
      </c>
      <c r="K747" s="2" t="s">
        <v>1579</v>
      </c>
      <c r="L747" s="2"/>
      <c r="M747" s="2"/>
      <c r="N747" s="7">
        <v>1.0</v>
      </c>
      <c r="O747" s="12">
        <v>25238.0</v>
      </c>
      <c r="P747" s="11" t="s">
        <v>1649</v>
      </c>
      <c r="Q747" s="12">
        <v>25238.0</v>
      </c>
      <c r="R747" s="11" t="s">
        <v>1649</v>
      </c>
      <c r="S747" s="11" t="s">
        <v>1660</v>
      </c>
      <c r="T747" s="11" t="s">
        <v>1680</v>
      </c>
      <c r="U747" s="2" t="s">
        <v>1574</v>
      </c>
      <c r="V747" s="2" t="s">
        <v>1568</v>
      </c>
      <c r="W747" s="2" t="s">
        <v>1569</v>
      </c>
      <c r="X747" s="2" t="s">
        <v>1570</v>
      </c>
      <c r="AB747" s="2" t="s">
        <v>1571</v>
      </c>
    </row>
    <row r="748">
      <c r="A748" s="2" t="s">
        <v>1802</v>
      </c>
      <c r="B748" s="2">
        <v>16.0</v>
      </c>
      <c r="C748" s="2" t="s">
        <v>9</v>
      </c>
      <c r="D748" s="2" t="s">
        <v>1803</v>
      </c>
      <c r="E748" s="2">
        <v>6.0</v>
      </c>
      <c r="F748" s="2" t="s">
        <v>10</v>
      </c>
      <c r="G748" s="5">
        <v>2696619.0</v>
      </c>
      <c r="H748" s="2" t="s">
        <v>1575</v>
      </c>
      <c r="I748" s="2" t="s">
        <v>1565</v>
      </c>
      <c r="J748" s="2">
        <v>10002.0</v>
      </c>
      <c r="K748" s="2" t="s">
        <v>1576</v>
      </c>
      <c r="L748" s="2"/>
      <c r="M748" s="2"/>
      <c r="N748" s="7">
        <v>1.0</v>
      </c>
      <c r="O748" s="12">
        <v>18571.0</v>
      </c>
      <c r="P748" s="11" t="s">
        <v>1649</v>
      </c>
      <c r="Q748" s="12">
        <v>18571.0</v>
      </c>
      <c r="R748" s="11" t="s">
        <v>1649</v>
      </c>
      <c r="S748" s="11" t="s">
        <v>1656</v>
      </c>
      <c r="T748" s="11" t="s">
        <v>1657</v>
      </c>
      <c r="U748" s="2" t="s">
        <v>1574</v>
      </c>
      <c r="V748" s="2" t="s">
        <v>1568</v>
      </c>
      <c r="W748" s="2" t="s">
        <v>1569</v>
      </c>
      <c r="X748" s="2" t="s">
        <v>1570</v>
      </c>
      <c r="AB748" s="2" t="s">
        <v>1571</v>
      </c>
    </row>
    <row r="749">
      <c r="A749" s="2" t="s">
        <v>1802</v>
      </c>
      <c r="B749" s="2">
        <v>16.0</v>
      </c>
      <c r="C749" s="2" t="s">
        <v>9</v>
      </c>
      <c r="D749" s="2" t="s">
        <v>1803</v>
      </c>
      <c r="E749" s="2">
        <v>6.0</v>
      </c>
      <c r="F749" s="2" t="s">
        <v>10</v>
      </c>
      <c r="G749" s="5">
        <v>2696619.0</v>
      </c>
      <c r="H749" s="2" t="s">
        <v>1575</v>
      </c>
      <c r="I749" s="2" t="s">
        <v>1572</v>
      </c>
      <c r="J749" s="2">
        <v>10128.0</v>
      </c>
      <c r="K749" s="2" t="s">
        <v>1588</v>
      </c>
      <c r="L749" s="2"/>
      <c r="M749" s="2"/>
      <c r="N749" s="7">
        <v>1.0</v>
      </c>
      <c r="O749" s="12">
        <v>23333.0</v>
      </c>
      <c r="P749" s="11" t="s">
        <v>1649</v>
      </c>
      <c r="Q749" s="12">
        <v>23333.0</v>
      </c>
      <c r="R749" s="11" t="s">
        <v>1649</v>
      </c>
      <c r="S749" s="11" t="s">
        <v>1681</v>
      </c>
      <c r="T749" s="11" t="s">
        <v>1715</v>
      </c>
      <c r="U749" s="2" t="s">
        <v>1574</v>
      </c>
      <c r="V749" s="2" t="s">
        <v>1568</v>
      </c>
      <c r="W749" s="2" t="s">
        <v>1569</v>
      </c>
      <c r="X749" s="2" t="s">
        <v>1570</v>
      </c>
      <c r="AB749" s="2" t="s">
        <v>1571</v>
      </c>
    </row>
    <row r="750">
      <c r="A750" s="2" t="s">
        <v>1802</v>
      </c>
      <c r="B750" s="2">
        <v>16.0</v>
      </c>
      <c r="C750" s="2" t="s">
        <v>9</v>
      </c>
      <c r="D750" s="2" t="s">
        <v>1803</v>
      </c>
      <c r="E750" s="2">
        <v>6.0</v>
      </c>
      <c r="F750" s="2" t="s">
        <v>10</v>
      </c>
      <c r="G750" s="5">
        <v>2696619.0</v>
      </c>
      <c r="H750" s="2" t="s">
        <v>1575</v>
      </c>
      <c r="I750" s="2" t="s">
        <v>1572</v>
      </c>
      <c r="J750" s="2">
        <v>10121.0</v>
      </c>
      <c r="K750" s="2" t="s">
        <v>1617</v>
      </c>
      <c r="L750" s="2"/>
      <c r="M750" s="2"/>
      <c r="N750" s="7">
        <v>1.0</v>
      </c>
      <c r="O750" s="12">
        <v>19524.0</v>
      </c>
      <c r="P750" s="11" t="s">
        <v>1649</v>
      </c>
      <c r="Q750" s="12">
        <v>19524.0</v>
      </c>
      <c r="R750" s="11" t="s">
        <v>1649</v>
      </c>
      <c r="S750" s="11" t="s">
        <v>1676</v>
      </c>
      <c r="T750" s="11" t="s">
        <v>1677</v>
      </c>
      <c r="U750" s="2" t="s">
        <v>1574</v>
      </c>
      <c r="V750" s="2" t="s">
        <v>1568</v>
      </c>
      <c r="W750" s="2" t="s">
        <v>1569</v>
      </c>
      <c r="X750" s="2" t="s">
        <v>1570</v>
      </c>
      <c r="AB750" s="2" t="s">
        <v>1571</v>
      </c>
    </row>
    <row r="751">
      <c r="A751" s="2" t="s">
        <v>1802</v>
      </c>
      <c r="B751" s="2">
        <v>16.0</v>
      </c>
      <c r="C751" s="2" t="s">
        <v>9</v>
      </c>
      <c r="D751" s="2" t="s">
        <v>1803</v>
      </c>
      <c r="E751" s="2">
        <v>6.0</v>
      </c>
      <c r="F751" s="2" t="s">
        <v>10</v>
      </c>
      <c r="G751" s="5">
        <v>2696254.0</v>
      </c>
      <c r="H751" s="2" t="s">
        <v>1575</v>
      </c>
      <c r="I751" s="2" t="s">
        <v>1565</v>
      </c>
      <c r="J751" s="2">
        <v>10033.0</v>
      </c>
      <c r="K751" s="2" t="s">
        <v>1615</v>
      </c>
      <c r="L751" s="2"/>
      <c r="M751" s="2"/>
      <c r="N751" s="7">
        <v>1.0</v>
      </c>
      <c r="O751" s="12">
        <v>21905.0</v>
      </c>
      <c r="P751" s="11" t="s">
        <v>1649</v>
      </c>
      <c r="Q751" s="12">
        <v>21905.0</v>
      </c>
      <c r="R751" s="11" t="s">
        <v>1649</v>
      </c>
      <c r="S751" s="11" t="s">
        <v>1666</v>
      </c>
      <c r="T751" s="11" t="s">
        <v>1667</v>
      </c>
      <c r="U751" s="2" t="s">
        <v>1574</v>
      </c>
      <c r="V751" s="2" t="s">
        <v>1568</v>
      </c>
      <c r="W751" s="2" t="s">
        <v>1569</v>
      </c>
      <c r="X751" s="2" t="s">
        <v>1570</v>
      </c>
      <c r="AB751" s="2" t="s">
        <v>1571</v>
      </c>
    </row>
    <row r="752">
      <c r="A752" s="2" t="s">
        <v>1802</v>
      </c>
      <c r="B752" s="2">
        <v>16.0</v>
      </c>
      <c r="C752" s="2" t="s">
        <v>9</v>
      </c>
      <c r="D752" s="2" t="s">
        <v>1803</v>
      </c>
      <c r="E752" s="2">
        <v>6.0</v>
      </c>
      <c r="F752" s="2" t="s">
        <v>10</v>
      </c>
      <c r="G752" s="5">
        <v>2696254.0</v>
      </c>
      <c r="H752" s="2" t="s">
        <v>1575</v>
      </c>
      <c r="I752" s="2" t="s">
        <v>1565</v>
      </c>
      <c r="J752" s="2">
        <v>10002.0</v>
      </c>
      <c r="K752" s="2" t="s">
        <v>1576</v>
      </c>
      <c r="L752" s="2"/>
      <c r="M752" s="2"/>
      <c r="N752" s="7">
        <v>1.0</v>
      </c>
      <c r="O752" s="12">
        <v>18571.0</v>
      </c>
      <c r="P752" s="11" t="s">
        <v>1649</v>
      </c>
      <c r="Q752" s="12">
        <v>18571.0</v>
      </c>
      <c r="R752" s="11" t="s">
        <v>1649</v>
      </c>
      <c r="S752" s="11" t="s">
        <v>1656</v>
      </c>
      <c r="T752" s="11" t="s">
        <v>1657</v>
      </c>
      <c r="U752" s="2" t="s">
        <v>1574</v>
      </c>
      <c r="V752" s="2" t="s">
        <v>1568</v>
      </c>
      <c r="W752" s="2" t="s">
        <v>1569</v>
      </c>
      <c r="X752" s="2" t="s">
        <v>1570</v>
      </c>
      <c r="AB752" s="2" t="s">
        <v>1571</v>
      </c>
    </row>
    <row r="753">
      <c r="A753" s="2" t="s">
        <v>1802</v>
      </c>
      <c r="B753" s="2">
        <v>16.0</v>
      </c>
      <c r="C753" s="2" t="s">
        <v>9</v>
      </c>
      <c r="D753" s="2" t="s">
        <v>1803</v>
      </c>
      <c r="E753" s="2">
        <v>6.0</v>
      </c>
      <c r="F753" s="2" t="s">
        <v>10</v>
      </c>
      <c r="G753" s="5">
        <v>2696254.0</v>
      </c>
      <c r="H753" s="2" t="s">
        <v>1575</v>
      </c>
      <c r="I753" s="2" t="s">
        <v>1572</v>
      </c>
      <c r="J753" s="2">
        <v>10123.0</v>
      </c>
      <c r="K753" s="2" t="s">
        <v>1599</v>
      </c>
      <c r="L753" s="2"/>
      <c r="M753" s="2"/>
      <c r="N753" s="7">
        <v>1.0</v>
      </c>
      <c r="O753" s="12">
        <v>21905.0</v>
      </c>
      <c r="P753" s="11" t="s">
        <v>1649</v>
      </c>
      <c r="Q753" s="12">
        <v>21905.0</v>
      </c>
      <c r="R753" s="11" t="s">
        <v>1649</v>
      </c>
      <c r="S753" s="11" t="s">
        <v>1666</v>
      </c>
      <c r="T753" s="11" t="s">
        <v>1667</v>
      </c>
      <c r="U753" s="2" t="s">
        <v>1574</v>
      </c>
      <c r="V753" s="2" t="s">
        <v>1568</v>
      </c>
      <c r="W753" s="2" t="s">
        <v>1569</v>
      </c>
      <c r="X753" s="2" t="s">
        <v>1570</v>
      </c>
      <c r="AB753" s="2" t="s">
        <v>1571</v>
      </c>
    </row>
    <row r="754">
      <c r="A754" s="2" t="s">
        <v>1802</v>
      </c>
      <c r="B754" s="2">
        <v>16.0</v>
      </c>
      <c r="C754" s="2" t="s">
        <v>9</v>
      </c>
      <c r="D754" s="2" t="s">
        <v>1803</v>
      </c>
      <c r="E754" s="2">
        <v>6.0</v>
      </c>
      <c r="F754" s="2" t="s">
        <v>10</v>
      </c>
      <c r="G754" s="5">
        <v>2696254.0</v>
      </c>
      <c r="H754" s="2" t="s">
        <v>1575</v>
      </c>
      <c r="I754" s="2" t="s">
        <v>1578</v>
      </c>
      <c r="J754" s="2">
        <v>10015.0</v>
      </c>
      <c r="K754" s="2" t="s">
        <v>1587</v>
      </c>
      <c r="L754" s="2"/>
      <c r="M754" s="2"/>
      <c r="N754" s="7">
        <v>1.0</v>
      </c>
      <c r="O754" s="12">
        <v>25238.0</v>
      </c>
      <c r="P754" s="11" t="s">
        <v>1649</v>
      </c>
      <c r="Q754" s="12">
        <v>25238.0</v>
      </c>
      <c r="R754" s="11" t="s">
        <v>1649</v>
      </c>
      <c r="S754" s="11" t="s">
        <v>1660</v>
      </c>
      <c r="T754" s="11" t="s">
        <v>1680</v>
      </c>
      <c r="U754" s="2" t="s">
        <v>1574</v>
      </c>
      <c r="V754" s="2" t="s">
        <v>1568</v>
      </c>
      <c r="W754" s="2" t="s">
        <v>1569</v>
      </c>
      <c r="X754" s="2" t="s">
        <v>1570</v>
      </c>
      <c r="AB754" s="2" t="s">
        <v>1571</v>
      </c>
    </row>
    <row r="755">
      <c r="A755" s="2" t="s">
        <v>1802</v>
      </c>
      <c r="B755" s="2">
        <v>16.0</v>
      </c>
      <c r="C755" s="2" t="s">
        <v>9</v>
      </c>
      <c r="D755" s="2" t="s">
        <v>1803</v>
      </c>
      <c r="E755" s="2">
        <v>6.0</v>
      </c>
      <c r="F755" s="2" t="s">
        <v>10</v>
      </c>
      <c r="G755" s="5">
        <v>2696254.0</v>
      </c>
      <c r="H755" s="2" t="s">
        <v>1575</v>
      </c>
      <c r="I755" s="2" t="s">
        <v>1572</v>
      </c>
      <c r="J755" s="2">
        <v>10057.0</v>
      </c>
      <c r="K755" s="2" t="s">
        <v>1608</v>
      </c>
      <c r="L755" s="2"/>
      <c r="M755" s="2"/>
      <c r="N755" s="7">
        <v>1.0</v>
      </c>
      <c r="O755" s="12">
        <v>19524.0</v>
      </c>
      <c r="P755" s="11" t="s">
        <v>1649</v>
      </c>
      <c r="Q755" s="12">
        <v>19524.0</v>
      </c>
      <c r="R755" s="11" t="s">
        <v>1649</v>
      </c>
      <c r="S755" s="11" t="s">
        <v>1676</v>
      </c>
      <c r="T755" s="11" t="s">
        <v>1677</v>
      </c>
      <c r="U755" s="2" t="s">
        <v>1574</v>
      </c>
      <c r="V755" s="2" t="s">
        <v>1568</v>
      </c>
      <c r="W755" s="2" t="s">
        <v>1569</v>
      </c>
      <c r="X755" s="2" t="s">
        <v>1570</v>
      </c>
      <c r="AB755" s="2" t="s">
        <v>1571</v>
      </c>
    </row>
    <row r="756">
      <c r="A756" s="2" t="s">
        <v>1802</v>
      </c>
      <c r="B756" s="2">
        <v>16.0</v>
      </c>
      <c r="C756" s="2" t="s">
        <v>9</v>
      </c>
      <c r="D756" s="2" t="s">
        <v>1803</v>
      </c>
      <c r="E756" s="2">
        <v>6.0</v>
      </c>
      <c r="F756" s="2" t="s">
        <v>10</v>
      </c>
      <c r="G756" s="5">
        <v>2695889.0</v>
      </c>
      <c r="H756" s="2" t="s">
        <v>1575</v>
      </c>
      <c r="I756" s="2" t="s">
        <v>1565</v>
      </c>
      <c r="J756" s="2">
        <v>10000.0</v>
      </c>
      <c r="K756" s="2" t="s">
        <v>1566</v>
      </c>
      <c r="L756" s="2"/>
      <c r="M756" s="2"/>
      <c r="N756" s="7">
        <v>1.0</v>
      </c>
      <c r="O756" s="12">
        <v>29524.0</v>
      </c>
      <c r="P756" s="11" t="s">
        <v>1649</v>
      </c>
      <c r="Q756" s="12">
        <v>29524.0</v>
      </c>
      <c r="R756" s="11" t="s">
        <v>1649</v>
      </c>
      <c r="S756" s="11" t="s">
        <v>1683</v>
      </c>
      <c r="T756" s="11" t="s">
        <v>1684</v>
      </c>
      <c r="U756" s="2" t="s">
        <v>1574</v>
      </c>
      <c r="V756" s="2" t="s">
        <v>1568</v>
      </c>
      <c r="W756" s="2" t="s">
        <v>1569</v>
      </c>
      <c r="X756" s="2" t="s">
        <v>1570</v>
      </c>
      <c r="AB756" s="2" t="s">
        <v>1571</v>
      </c>
    </row>
    <row r="757">
      <c r="A757" s="2" t="s">
        <v>1802</v>
      </c>
      <c r="B757" s="2">
        <v>16.0</v>
      </c>
      <c r="C757" s="2" t="s">
        <v>9</v>
      </c>
      <c r="D757" s="2" t="s">
        <v>1803</v>
      </c>
      <c r="E757" s="2">
        <v>6.0</v>
      </c>
      <c r="F757" s="2" t="s">
        <v>10</v>
      </c>
      <c r="G757" s="5">
        <v>2695889.0</v>
      </c>
      <c r="H757" s="2" t="s">
        <v>1575</v>
      </c>
      <c r="I757" s="2" t="s">
        <v>1565</v>
      </c>
      <c r="J757" s="2">
        <v>10007.0</v>
      </c>
      <c r="K757" s="2" t="s">
        <v>1576</v>
      </c>
      <c r="L757" s="2"/>
      <c r="M757" s="2"/>
      <c r="N757" s="7">
        <v>2.0</v>
      </c>
      <c r="O757" s="12">
        <v>33810.0</v>
      </c>
      <c r="P757" s="11" t="s">
        <v>1649</v>
      </c>
      <c r="Q757" s="12">
        <v>33810.0</v>
      </c>
      <c r="R757" s="11" t="s">
        <v>1649</v>
      </c>
      <c r="S757" s="11" t="s">
        <v>1701</v>
      </c>
      <c r="T757" s="11" t="s">
        <v>1703</v>
      </c>
      <c r="U757" s="2" t="s">
        <v>1574</v>
      </c>
      <c r="V757" s="2" t="s">
        <v>1568</v>
      </c>
      <c r="W757" s="2" t="s">
        <v>1569</v>
      </c>
      <c r="X757" s="2" t="s">
        <v>1570</v>
      </c>
      <c r="AB757" s="2" t="s">
        <v>1571</v>
      </c>
    </row>
    <row r="758">
      <c r="A758" s="2" t="s">
        <v>1802</v>
      </c>
      <c r="B758" s="2">
        <v>16.0</v>
      </c>
      <c r="C758" s="2" t="s">
        <v>9</v>
      </c>
      <c r="D758" s="2" t="s">
        <v>1803</v>
      </c>
      <c r="E758" s="2">
        <v>6.0</v>
      </c>
      <c r="F758" s="2" t="s">
        <v>10</v>
      </c>
      <c r="G758" s="5">
        <v>2695889.0</v>
      </c>
      <c r="H758" s="2" t="s">
        <v>1575</v>
      </c>
      <c r="I758" s="2" t="s">
        <v>1578</v>
      </c>
      <c r="J758" s="2">
        <v>10010.0</v>
      </c>
      <c r="K758" s="2" t="s">
        <v>1606</v>
      </c>
      <c r="L758" s="2"/>
      <c r="M758" s="2"/>
      <c r="N758" s="7">
        <v>1.0</v>
      </c>
      <c r="O758" s="12">
        <v>25238.0</v>
      </c>
      <c r="P758" s="11" t="s">
        <v>1649</v>
      </c>
      <c r="Q758" s="12">
        <v>25238.0</v>
      </c>
      <c r="R758" s="11" t="s">
        <v>1649</v>
      </c>
      <c r="S758" s="11" t="s">
        <v>1660</v>
      </c>
      <c r="T758" s="11" t="s">
        <v>1680</v>
      </c>
      <c r="U758" s="2" t="s">
        <v>1574</v>
      </c>
      <c r="V758" s="2" t="s">
        <v>1568</v>
      </c>
      <c r="W758" s="2" t="s">
        <v>1569</v>
      </c>
      <c r="X758" s="2" t="s">
        <v>1570</v>
      </c>
      <c r="AB758" s="2" t="s">
        <v>1571</v>
      </c>
    </row>
    <row r="759">
      <c r="A759" s="2" t="s">
        <v>1802</v>
      </c>
      <c r="B759" s="2">
        <v>16.0</v>
      </c>
      <c r="C759" s="2" t="s">
        <v>9</v>
      </c>
      <c r="D759" s="2" t="s">
        <v>1803</v>
      </c>
      <c r="E759" s="2">
        <v>6.0</v>
      </c>
      <c r="F759" s="2" t="s">
        <v>10</v>
      </c>
      <c r="G759" s="5">
        <v>2695889.0</v>
      </c>
      <c r="H759" s="2" t="s">
        <v>1575</v>
      </c>
      <c r="I759" s="2" t="s">
        <v>1578</v>
      </c>
      <c r="J759" s="2">
        <v>10004.0</v>
      </c>
      <c r="K759" s="2" t="s">
        <v>1607</v>
      </c>
      <c r="L759" s="2"/>
      <c r="M759" s="2"/>
      <c r="N759" s="7">
        <v>1.0</v>
      </c>
      <c r="O759" s="12">
        <v>25238.0</v>
      </c>
      <c r="P759" s="11" t="s">
        <v>1649</v>
      </c>
      <c r="Q759" s="12">
        <v>25238.0</v>
      </c>
      <c r="R759" s="11" t="s">
        <v>1649</v>
      </c>
      <c r="S759" s="11" t="s">
        <v>1660</v>
      </c>
      <c r="T759" s="11" t="s">
        <v>1680</v>
      </c>
      <c r="U759" s="2" t="s">
        <v>1574</v>
      </c>
      <c r="V759" s="2" t="s">
        <v>1568</v>
      </c>
      <c r="W759" s="2" t="s">
        <v>1569</v>
      </c>
      <c r="X759" s="2" t="s">
        <v>1570</v>
      </c>
      <c r="AB759" s="2" t="s">
        <v>1571</v>
      </c>
    </row>
    <row r="760">
      <c r="A760" s="2" t="s">
        <v>1802</v>
      </c>
      <c r="B760" s="2">
        <v>16.0</v>
      </c>
      <c r="C760" s="2" t="s">
        <v>9</v>
      </c>
      <c r="D760" s="2" t="s">
        <v>1803</v>
      </c>
      <c r="E760" s="2">
        <v>6.0</v>
      </c>
      <c r="F760" s="2" t="s">
        <v>10</v>
      </c>
      <c r="G760" s="5">
        <v>2695889.0</v>
      </c>
      <c r="H760" s="2" t="s">
        <v>1575</v>
      </c>
      <c r="I760" s="2" t="s">
        <v>1565</v>
      </c>
      <c r="J760" s="2">
        <v>10005.0</v>
      </c>
      <c r="K760" s="2" t="s">
        <v>1595</v>
      </c>
      <c r="L760" s="2"/>
      <c r="M760" s="2"/>
      <c r="N760" s="7">
        <v>1.0</v>
      </c>
      <c r="O760" s="12">
        <v>19524.0</v>
      </c>
      <c r="P760" s="11" t="s">
        <v>1649</v>
      </c>
      <c r="Q760" s="12">
        <v>19524.0</v>
      </c>
      <c r="R760" s="11" t="s">
        <v>1649</v>
      </c>
      <c r="S760" s="11" t="s">
        <v>1676</v>
      </c>
      <c r="T760" s="11" t="s">
        <v>1677</v>
      </c>
      <c r="U760" s="2" t="s">
        <v>1574</v>
      </c>
      <c r="V760" s="2" t="s">
        <v>1568</v>
      </c>
      <c r="W760" s="2" t="s">
        <v>1569</v>
      </c>
      <c r="X760" s="2" t="s">
        <v>1570</v>
      </c>
      <c r="AB760" s="2" t="s">
        <v>1571</v>
      </c>
    </row>
    <row r="761">
      <c r="A761" s="2" t="s">
        <v>1802</v>
      </c>
      <c r="B761" s="2">
        <v>16.0</v>
      </c>
      <c r="C761" s="2" t="s">
        <v>9</v>
      </c>
      <c r="D761" s="2" t="s">
        <v>1803</v>
      </c>
      <c r="E761" s="2">
        <v>6.0</v>
      </c>
      <c r="F761" s="2" t="s">
        <v>10</v>
      </c>
      <c r="G761" s="5">
        <v>2695889.0</v>
      </c>
      <c r="H761" s="2" t="s">
        <v>1575</v>
      </c>
      <c r="I761" s="2" t="s">
        <v>1572</v>
      </c>
      <c r="J761" s="2">
        <v>10069.0</v>
      </c>
      <c r="K761" s="2" t="s">
        <v>1620</v>
      </c>
      <c r="L761" s="2"/>
      <c r="M761" s="2"/>
      <c r="N761" s="7">
        <v>1.0</v>
      </c>
      <c r="O761" s="12">
        <v>24762.0</v>
      </c>
      <c r="P761" s="11" t="s">
        <v>1649</v>
      </c>
      <c r="Q761" s="12">
        <v>24762.0</v>
      </c>
      <c r="R761" s="11" t="s">
        <v>1649</v>
      </c>
      <c r="S761" s="11" t="s">
        <v>1689</v>
      </c>
      <c r="T761" s="11" t="s">
        <v>1693</v>
      </c>
      <c r="U761" s="2" t="s">
        <v>1574</v>
      </c>
      <c r="V761" s="2" t="s">
        <v>1568</v>
      </c>
      <c r="W761" s="2" t="s">
        <v>1569</v>
      </c>
      <c r="X761" s="2" t="s">
        <v>1570</v>
      </c>
      <c r="AB761" s="2" t="s">
        <v>1571</v>
      </c>
    </row>
    <row r="762">
      <c r="A762" s="2" t="s">
        <v>1802</v>
      </c>
      <c r="B762" s="2">
        <v>16.0</v>
      </c>
      <c r="C762" s="2" t="s">
        <v>9</v>
      </c>
      <c r="D762" s="2" t="s">
        <v>1803</v>
      </c>
      <c r="E762" s="2">
        <v>6.0</v>
      </c>
      <c r="F762" s="2" t="s">
        <v>10</v>
      </c>
      <c r="G762" s="5">
        <v>2695889.0</v>
      </c>
      <c r="H762" s="2" t="s">
        <v>1575</v>
      </c>
      <c r="I762" s="2" t="s">
        <v>1565</v>
      </c>
      <c r="J762" s="2">
        <v>10007.0</v>
      </c>
      <c r="K762" s="2" t="s">
        <v>1576</v>
      </c>
      <c r="L762" s="2"/>
      <c r="M762" s="2"/>
      <c r="N762" s="7">
        <v>2.0</v>
      </c>
      <c r="O762" s="12">
        <v>33810.0</v>
      </c>
      <c r="P762" s="11" t="s">
        <v>1649</v>
      </c>
      <c r="Q762" s="12">
        <v>33810.0</v>
      </c>
      <c r="R762" s="11" t="s">
        <v>1649</v>
      </c>
      <c r="S762" s="11" t="s">
        <v>1701</v>
      </c>
      <c r="T762" s="11" t="s">
        <v>1702</v>
      </c>
      <c r="U762" s="2" t="s">
        <v>1574</v>
      </c>
      <c r="V762" s="2" t="s">
        <v>1568</v>
      </c>
      <c r="W762" s="2" t="s">
        <v>1569</v>
      </c>
      <c r="X762" s="2" t="s">
        <v>1570</v>
      </c>
      <c r="AB762" s="2" t="s">
        <v>1571</v>
      </c>
    </row>
    <row r="763">
      <c r="A763" s="2" t="s">
        <v>1802</v>
      </c>
      <c r="B763" s="2">
        <v>16.0</v>
      </c>
      <c r="C763" s="2" t="s">
        <v>9</v>
      </c>
      <c r="D763" s="2" t="s">
        <v>1803</v>
      </c>
      <c r="E763" s="2">
        <v>6.0</v>
      </c>
      <c r="F763" s="2" t="s">
        <v>10</v>
      </c>
      <c r="G763" s="5">
        <v>2695889.0</v>
      </c>
      <c r="H763" s="2" t="s">
        <v>1575</v>
      </c>
      <c r="I763" s="2" t="s">
        <v>1565</v>
      </c>
      <c r="J763" s="2">
        <v>10055.0</v>
      </c>
      <c r="K763" s="2" t="s">
        <v>1595</v>
      </c>
      <c r="L763" s="2"/>
      <c r="M763" s="2"/>
      <c r="N763" s="7">
        <v>2.0</v>
      </c>
      <c r="O763" s="12">
        <v>34762.0</v>
      </c>
      <c r="P763" s="11" t="s">
        <v>1649</v>
      </c>
      <c r="Q763" s="12">
        <v>34762.0</v>
      </c>
      <c r="R763" s="11" t="s">
        <v>1649</v>
      </c>
      <c r="S763" s="11" t="s">
        <v>1670</v>
      </c>
      <c r="T763" s="11" t="s">
        <v>1671</v>
      </c>
      <c r="U763" s="2" t="s">
        <v>1574</v>
      </c>
      <c r="V763" s="2" t="s">
        <v>1568</v>
      </c>
      <c r="W763" s="2" t="s">
        <v>1569</v>
      </c>
      <c r="X763" s="2" t="s">
        <v>1570</v>
      </c>
      <c r="AB763" s="2" t="s">
        <v>1571</v>
      </c>
    </row>
    <row r="764">
      <c r="A764" s="2" t="s">
        <v>1802</v>
      </c>
      <c r="B764" s="2">
        <v>16.0</v>
      </c>
      <c r="C764" s="2" t="s">
        <v>9</v>
      </c>
      <c r="D764" s="2" t="s">
        <v>1803</v>
      </c>
      <c r="E764" s="2">
        <v>6.0</v>
      </c>
      <c r="F764" s="2" t="s">
        <v>10</v>
      </c>
      <c r="G764" s="5">
        <v>2695889.0</v>
      </c>
      <c r="H764" s="2" t="s">
        <v>1575</v>
      </c>
      <c r="I764" s="2" t="s">
        <v>1565</v>
      </c>
      <c r="J764" s="2">
        <v>10007.0</v>
      </c>
      <c r="K764" s="2" t="s">
        <v>1576</v>
      </c>
      <c r="L764" s="2"/>
      <c r="M764" s="2"/>
      <c r="N764" s="7">
        <v>2.0</v>
      </c>
      <c r="O764" s="12">
        <v>33810.0</v>
      </c>
      <c r="P764" s="11" t="s">
        <v>1649</v>
      </c>
      <c r="Q764" s="12">
        <v>33810.0</v>
      </c>
      <c r="R764" s="11" t="s">
        <v>1649</v>
      </c>
      <c r="S764" s="11" t="s">
        <v>1701</v>
      </c>
      <c r="T764" s="11" t="s">
        <v>1703</v>
      </c>
      <c r="U764" s="2" t="s">
        <v>1574</v>
      </c>
      <c r="V764" s="2" t="s">
        <v>1568</v>
      </c>
      <c r="W764" s="2" t="s">
        <v>1569</v>
      </c>
      <c r="X764" s="2" t="s">
        <v>1570</v>
      </c>
      <c r="AB764" s="2" t="s">
        <v>1571</v>
      </c>
    </row>
    <row r="765">
      <c r="A765" s="2" t="s">
        <v>1802</v>
      </c>
      <c r="B765" s="2">
        <v>16.0</v>
      </c>
      <c r="C765" s="2" t="s">
        <v>9</v>
      </c>
      <c r="D765" s="2" t="s">
        <v>1803</v>
      </c>
      <c r="E765" s="2">
        <v>6.0</v>
      </c>
      <c r="F765" s="2" t="s">
        <v>10</v>
      </c>
      <c r="G765" s="5">
        <v>2695889.0</v>
      </c>
      <c r="H765" s="2" t="s">
        <v>1575</v>
      </c>
      <c r="I765" s="2" t="s">
        <v>1565</v>
      </c>
      <c r="J765" s="2">
        <v>10000.0</v>
      </c>
      <c r="K765" s="2" t="s">
        <v>1566</v>
      </c>
      <c r="L765" s="2"/>
      <c r="M765" s="2"/>
      <c r="N765" s="7">
        <v>2.0</v>
      </c>
      <c r="O765" s="12">
        <v>59048.0</v>
      </c>
      <c r="P765" s="11" t="s">
        <v>1649</v>
      </c>
      <c r="Q765" s="12">
        <v>59048.0</v>
      </c>
      <c r="R765" s="11" t="s">
        <v>1649</v>
      </c>
      <c r="S765" s="11" t="s">
        <v>1732</v>
      </c>
      <c r="T765" s="11" t="s">
        <v>1733</v>
      </c>
      <c r="U765" s="2" t="s">
        <v>1574</v>
      </c>
      <c r="V765" s="2" t="s">
        <v>1568</v>
      </c>
      <c r="W765" s="2" t="s">
        <v>1569</v>
      </c>
      <c r="X765" s="2" t="s">
        <v>1570</v>
      </c>
      <c r="AB765" s="2" t="s">
        <v>1571</v>
      </c>
    </row>
    <row r="766">
      <c r="A766" s="2" t="s">
        <v>1802</v>
      </c>
      <c r="B766" s="2">
        <v>16.0</v>
      </c>
      <c r="C766" s="2" t="s">
        <v>9</v>
      </c>
      <c r="D766" s="2" t="s">
        <v>1803</v>
      </c>
      <c r="E766" s="2">
        <v>6.0</v>
      </c>
      <c r="F766" s="2" t="s">
        <v>10</v>
      </c>
      <c r="G766" s="5">
        <v>2695889.0</v>
      </c>
      <c r="H766" s="2" t="s">
        <v>1575</v>
      </c>
      <c r="I766" s="2" t="s">
        <v>1578</v>
      </c>
      <c r="J766" s="2">
        <v>10011.0</v>
      </c>
      <c r="K766" s="2" t="s">
        <v>1605</v>
      </c>
      <c r="L766" s="2"/>
      <c r="M766" s="2"/>
      <c r="N766" s="7">
        <v>1.0</v>
      </c>
      <c r="O766" s="12">
        <v>25238.0</v>
      </c>
      <c r="P766" s="11" t="s">
        <v>1649</v>
      </c>
      <c r="Q766" s="12">
        <v>25238.0</v>
      </c>
      <c r="R766" s="11" t="s">
        <v>1649</v>
      </c>
      <c r="S766" s="11" t="s">
        <v>1660</v>
      </c>
      <c r="T766" s="11" t="s">
        <v>1680</v>
      </c>
      <c r="U766" s="2" t="s">
        <v>1574</v>
      </c>
      <c r="V766" s="2" t="s">
        <v>1568</v>
      </c>
      <c r="W766" s="2" t="s">
        <v>1569</v>
      </c>
      <c r="X766" s="2" t="s">
        <v>1570</v>
      </c>
      <c r="AB766" s="2" t="s">
        <v>1571</v>
      </c>
    </row>
    <row r="767">
      <c r="A767" s="2" t="s">
        <v>1802</v>
      </c>
      <c r="B767" s="2">
        <v>16.0</v>
      </c>
      <c r="C767" s="2" t="s">
        <v>9</v>
      </c>
      <c r="D767" s="2" t="s">
        <v>1803</v>
      </c>
      <c r="E767" s="2">
        <v>6.0</v>
      </c>
      <c r="F767" s="2" t="s">
        <v>10</v>
      </c>
      <c r="G767" s="5">
        <v>2695523.0</v>
      </c>
      <c r="H767" s="2" t="s">
        <v>1575</v>
      </c>
      <c r="I767" s="2" t="s">
        <v>1580</v>
      </c>
      <c r="J767" s="2">
        <v>10105.0</v>
      </c>
      <c r="K767" s="2" t="s">
        <v>1611</v>
      </c>
      <c r="L767" s="2"/>
      <c r="M767" s="2"/>
      <c r="N767" s="7">
        <v>1.0</v>
      </c>
      <c r="O767" s="12">
        <v>38095.0</v>
      </c>
      <c r="P767" s="11" t="s">
        <v>1649</v>
      </c>
      <c r="Q767" s="12">
        <v>38095.0</v>
      </c>
      <c r="R767" s="11" t="s">
        <v>1649</v>
      </c>
      <c r="S767" s="11" t="s">
        <v>1727</v>
      </c>
      <c r="T767" s="11" t="s">
        <v>1728</v>
      </c>
      <c r="U767" s="2" t="s">
        <v>1574</v>
      </c>
      <c r="V767" s="2" t="s">
        <v>1568</v>
      </c>
      <c r="W767" s="2" t="s">
        <v>1569</v>
      </c>
      <c r="X767" s="2" t="s">
        <v>1570</v>
      </c>
      <c r="AB767" s="2" t="s">
        <v>1571</v>
      </c>
    </row>
    <row r="768">
      <c r="A768" s="2" t="s">
        <v>1802</v>
      </c>
      <c r="B768" s="2">
        <v>16.0</v>
      </c>
      <c r="C768" s="2" t="s">
        <v>9</v>
      </c>
      <c r="D768" s="2" t="s">
        <v>1803</v>
      </c>
      <c r="E768" s="2">
        <v>6.0</v>
      </c>
      <c r="F768" s="2" t="s">
        <v>10</v>
      </c>
      <c r="G768" s="5">
        <v>2695523.0</v>
      </c>
      <c r="H768" s="2" t="s">
        <v>1575</v>
      </c>
      <c r="I768" s="2" t="s">
        <v>1572</v>
      </c>
      <c r="J768" s="2">
        <v>10119.0</v>
      </c>
      <c r="K768" s="2" t="s">
        <v>1582</v>
      </c>
      <c r="L768" s="2"/>
      <c r="M768" s="2"/>
      <c r="N768" s="7">
        <v>1.0</v>
      </c>
      <c r="O768" s="12">
        <v>7143.0</v>
      </c>
      <c r="P768" s="11" t="s">
        <v>1649</v>
      </c>
      <c r="Q768" s="12">
        <v>7143.0</v>
      </c>
      <c r="R768" s="11" t="s">
        <v>1649</v>
      </c>
      <c r="S768" s="11" t="s">
        <v>1672</v>
      </c>
      <c r="T768" s="11" t="s">
        <v>1673</v>
      </c>
      <c r="U768" s="2" t="s">
        <v>1574</v>
      </c>
      <c r="V768" s="2" t="s">
        <v>1568</v>
      </c>
      <c r="W768" s="2" t="s">
        <v>1569</v>
      </c>
      <c r="X768" s="2" t="s">
        <v>1570</v>
      </c>
      <c r="AB768" s="2" t="s">
        <v>1571</v>
      </c>
    </row>
    <row r="769">
      <c r="A769" s="2" t="s">
        <v>1802</v>
      </c>
      <c r="B769" s="2">
        <v>15.0</v>
      </c>
      <c r="C769" s="2" t="s">
        <v>9</v>
      </c>
      <c r="D769" s="2" t="s">
        <v>1803</v>
      </c>
      <c r="E769" s="2">
        <v>6.0</v>
      </c>
      <c r="F769" s="2" t="s">
        <v>10</v>
      </c>
      <c r="G769" s="5">
        <v>2695158.0</v>
      </c>
      <c r="H769" s="2" t="s">
        <v>1575</v>
      </c>
      <c r="I769" s="2" t="s">
        <v>1565</v>
      </c>
      <c r="J769" s="2">
        <v>10002.0</v>
      </c>
      <c r="K769" s="2" t="s">
        <v>1576</v>
      </c>
      <c r="L769" s="2"/>
      <c r="M769" s="2"/>
      <c r="N769" s="7">
        <v>1.0</v>
      </c>
      <c r="O769" s="12">
        <v>18571.0</v>
      </c>
      <c r="P769" s="11" t="s">
        <v>1649</v>
      </c>
      <c r="Q769" s="12">
        <v>18571.0</v>
      </c>
      <c r="R769" s="11" t="s">
        <v>1649</v>
      </c>
      <c r="S769" s="11" t="s">
        <v>1656</v>
      </c>
      <c r="T769" s="11" t="s">
        <v>1657</v>
      </c>
      <c r="U769" s="2" t="s">
        <v>1574</v>
      </c>
      <c r="V769" s="2" t="s">
        <v>1568</v>
      </c>
      <c r="W769" s="2" t="s">
        <v>1569</v>
      </c>
      <c r="X769" s="2" t="s">
        <v>1570</v>
      </c>
      <c r="AB769" s="2" t="s">
        <v>1571</v>
      </c>
    </row>
    <row r="770">
      <c r="A770" s="2" t="s">
        <v>1802</v>
      </c>
      <c r="B770" s="2">
        <v>15.0</v>
      </c>
      <c r="C770" s="2" t="s">
        <v>9</v>
      </c>
      <c r="D770" s="2" t="s">
        <v>1803</v>
      </c>
      <c r="E770" s="2">
        <v>6.0</v>
      </c>
      <c r="F770" s="2" t="s">
        <v>10</v>
      </c>
      <c r="G770" s="5">
        <v>2694793.0</v>
      </c>
      <c r="H770" s="2" t="s">
        <v>1575</v>
      </c>
      <c r="I770" s="2" t="s">
        <v>1580</v>
      </c>
      <c r="J770" s="2">
        <v>10104.0</v>
      </c>
      <c r="K770" s="2" t="s">
        <v>1581</v>
      </c>
      <c r="L770" s="2"/>
      <c r="M770" s="2"/>
      <c r="N770" s="7">
        <v>1.0</v>
      </c>
      <c r="O770" s="12">
        <v>34762.0</v>
      </c>
      <c r="P770" s="11" t="s">
        <v>1649</v>
      </c>
      <c r="Q770" s="12">
        <v>34762.0</v>
      </c>
      <c r="R770" s="11" t="s">
        <v>1649</v>
      </c>
      <c r="S770" s="11" t="s">
        <v>1670</v>
      </c>
      <c r="T770" s="11" t="s">
        <v>1671</v>
      </c>
      <c r="U770" s="2" t="s">
        <v>1574</v>
      </c>
      <c r="V770" s="2" t="s">
        <v>1568</v>
      </c>
      <c r="W770" s="2" t="s">
        <v>1569</v>
      </c>
      <c r="X770" s="2" t="s">
        <v>1570</v>
      </c>
      <c r="AB770" s="2" t="s">
        <v>1571</v>
      </c>
    </row>
    <row r="771">
      <c r="A771" s="2" t="s">
        <v>1802</v>
      </c>
      <c r="B771" s="2">
        <v>15.0</v>
      </c>
      <c r="C771" s="2" t="s">
        <v>9</v>
      </c>
      <c r="D771" s="2" t="s">
        <v>1803</v>
      </c>
      <c r="E771" s="2">
        <v>6.0</v>
      </c>
      <c r="F771" s="2" t="s">
        <v>10</v>
      </c>
      <c r="G771" s="5">
        <v>2694793.0</v>
      </c>
      <c r="H771" s="2" t="s">
        <v>1575</v>
      </c>
      <c r="I771" s="2" t="s">
        <v>1580</v>
      </c>
      <c r="J771" s="2">
        <v>10006.0</v>
      </c>
      <c r="K771" s="2" t="s">
        <v>1628</v>
      </c>
      <c r="L771" s="2"/>
      <c r="M771" s="2"/>
      <c r="N771" s="7">
        <v>1.0</v>
      </c>
      <c r="O771" s="12">
        <v>7000.0</v>
      </c>
      <c r="P771" s="11" t="s">
        <v>1649</v>
      </c>
      <c r="Q771" s="12">
        <v>7000.0</v>
      </c>
      <c r="R771" s="11" t="s">
        <v>1649</v>
      </c>
      <c r="S771" s="11" t="s">
        <v>1762</v>
      </c>
      <c r="T771" s="11" t="s">
        <v>1804</v>
      </c>
      <c r="U771" s="2" t="s">
        <v>1574</v>
      </c>
      <c r="V771" s="2" t="s">
        <v>1568</v>
      </c>
      <c r="W771" s="2" t="s">
        <v>1569</v>
      </c>
      <c r="X771" s="2" t="s">
        <v>1570</v>
      </c>
      <c r="AB771" s="2" t="s">
        <v>1571</v>
      </c>
    </row>
    <row r="772">
      <c r="A772" s="2" t="s">
        <v>1802</v>
      </c>
      <c r="B772" s="2">
        <v>15.0</v>
      </c>
      <c r="C772" s="2" t="s">
        <v>9</v>
      </c>
      <c r="D772" s="2" t="s">
        <v>1803</v>
      </c>
      <c r="E772" s="2">
        <v>6.0</v>
      </c>
      <c r="F772" s="2" t="s">
        <v>10</v>
      </c>
      <c r="G772" s="5">
        <v>2694428.0</v>
      </c>
      <c r="H772" s="2" t="s">
        <v>1575</v>
      </c>
      <c r="I772" s="2" t="s">
        <v>1580</v>
      </c>
      <c r="J772" s="2">
        <v>10053.0</v>
      </c>
      <c r="K772" s="2" t="s">
        <v>1612</v>
      </c>
      <c r="L772" s="2"/>
      <c r="M772" s="2"/>
      <c r="N772" s="7">
        <v>1.0</v>
      </c>
      <c r="O772" s="12">
        <v>25238.0</v>
      </c>
      <c r="P772" s="11" t="s">
        <v>1649</v>
      </c>
      <c r="Q772" s="12">
        <v>25238.0</v>
      </c>
      <c r="R772" s="11" t="s">
        <v>1649</v>
      </c>
      <c r="S772" s="11" t="s">
        <v>1660</v>
      </c>
      <c r="T772" s="11" t="s">
        <v>1680</v>
      </c>
      <c r="U772" s="2" t="s">
        <v>1574</v>
      </c>
      <c r="V772" s="2" t="s">
        <v>1568</v>
      </c>
      <c r="W772" s="2" t="s">
        <v>1569</v>
      </c>
      <c r="X772" s="2" t="s">
        <v>1570</v>
      </c>
      <c r="AB772" s="2" t="s">
        <v>1571</v>
      </c>
    </row>
    <row r="773">
      <c r="A773" s="2" t="s">
        <v>1802</v>
      </c>
      <c r="B773" s="2">
        <v>15.0</v>
      </c>
      <c r="C773" s="2" t="s">
        <v>9</v>
      </c>
      <c r="D773" s="2" t="s">
        <v>1803</v>
      </c>
      <c r="E773" s="2">
        <v>6.0</v>
      </c>
      <c r="F773" s="2" t="s">
        <v>10</v>
      </c>
      <c r="G773" s="5">
        <v>2694428.0</v>
      </c>
      <c r="H773" s="2" t="s">
        <v>1575</v>
      </c>
      <c r="I773" s="2" t="s">
        <v>1580</v>
      </c>
      <c r="J773" s="2">
        <v>10012.0</v>
      </c>
      <c r="K773" s="2" t="s">
        <v>1602</v>
      </c>
      <c r="L773" s="2"/>
      <c r="M773" s="2"/>
      <c r="N773" s="7">
        <v>2.0</v>
      </c>
      <c r="O773" s="12">
        <v>59048.0</v>
      </c>
      <c r="P773" s="11" t="s">
        <v>1649</v>
      </c>
      <c r="Q773" s="12">
        <v>59048.0</v>
      </c>
      <c r="R773" s="11" t="s">
        <v>1649</v>
      </c>
      <c r="S773" s="11" t="s">
        <v>1732</v>
      </c>
      <c r="T773" s="11" t="s">
        <v>1733</v>
      </c>
      <c r="U773" s="2" t="s">
        <v>1574</v>
      </c>
      <c r="V773" s="2" t="s">
        <v>1568</v>
      </c>
      <c r="W773" s="2" t="s">
        <v>1569</v>
      </c>
      <c r="X773" s="2" t="s">
        <v>1570</v>
      </c>
      <c r="AB773" s="2" t="s">
        <v>1571</v>
      </c>
    </row>
    <row r="774">
      <c r="A774" s="2" t="s">
        <v>1802</v>
      </c>
      <c r="B774" s="2">
        <v>15.0</v>
      </c>
      <c r="C774" s="2" t="s">
        <v>9</v>
      </c>
      <c r="D774" s="2" t="s">
        <v>1803</v>
      </c>
      <c r="E774" s="2">
        <v>6.0</v>
      </c>
      <c r="F774" s="2" t="s">
        <v>10</v>
      </c>
      <c r="G774" s="5">
        <v>2694428.0</v>
      </c>
      <c r="H774" s="2" t="s">
        <v>1575</v>
      </c>
      <c r="I774" s="2" t="s">
        <v>1580</v>
      </c>
      <c r="J774" s="2">
        <v>10105.0</v>
      </c>
      <c r="K774" s="2" t="s">
        <v>1611</v>
      </c>
      <c r="L774" s="2"/>
      <c r="M774" s="2"/>
      <c r="N774" s="7">
        <v>1.0</v>
      </c>
      <c r="O774" s="12">
        <v>38095.0</v>
      </c>
      <c r="P774" s="11" t="s">
        <v>1649</v>
      </c>
      <c r="Q774" s="12">
        <v>38095.0</v>
      </c>
      <c r="R774" s="11" t="s">
        <v>1649</v>
      </c>
      <c r="S774" s="11" t="s">
        <v>1727</v>
      </c>
      <c r="T774" s="11" t="s">
        <v>1728</v>
      </c>
      <c r="U774" s="2" t="s">
        <v>1574</v>
      </c>
      <c r="V774" s="2" t="s">
        <v>1568</v>
      </c>
      <c r="W774" s="2" t="s">
        <v>1569</v>
      </c>
      <c r="X774" s="2" t="s">
        <v>1570</v>
      </c>
      <c r="AB774" s="2" t="s">
        <v>1571</v>
      </c>
    </row>
    <row r="775">
      <c r="A775" s="2" t="s">
        <v>1802</v>
      </c>
      <c r="B775" s="2">
        <v>15.0</v>
      </c>
      <c r="C775" s="2" t="s">
        <v>9</v>
      </c>
      <c r="D775" s="2" t="s">
        <v>1803</v>
      </c>
      <c r="E775" s="2">
        <v>6.0</v>
      </c>
      <c r="F775" s="2" t="s">
        <v>10</v>
      </c>
      <c r="G775" s="5">
        <v>2694428.0</v>
      </c>
      <c r="H775" s="2" t="s">
        <v>1575</v>
      </c>
      <c r="I775" s="2" t="s">
        <v>1572</v>
      </c>
      <c r="J775" s="2">
        <v>10128.0</v>
      </c>
      <c r="K775" s="2" t="s">
        <v>1588</v>
      </c>
      <c r="L775" s="2"/>
      <c r="M775" s="2"/>
      <c r="N775" s="7">
        <v>1.0</v>
      </c>
      <c r="O775" s="12">
        <v>23333.0</v>
      </c>
      <c r="P775" s="11" t="s">
        <v>1649</v>
      </c>
      <c r="Q775" s="12">
        <v>23333.0</v>
      </c>
      <c r="R775" s="11" t="s">
        <v>1649</v>
      </c>
      <c r="S775" s="11" t="s">
        <v>1681</v>
      </c>
      <c r="T775" s="11" t="s">
        <v>1682</v>
      </c>
      <c r="U775" s="2" t="s">
        <v>1574</v>
      </c>
      <c r="V775" s="2" t="s">
        <v>1568</v>
      </c>
      <c r="W775" s="2" t="s">
        <v>1569</v>
      </c>
      <c r="X775" s="2" t="s">
        <v>1570</v>
      </c>
      <c r="AB775" s="2" t="s">
        <v>1571</v>
      </c>
    </row>
    <row r="776">
      <c r="A776" s="2" t="s">
        <v>1802</v>
      </c>
      <c r="B776" s="2">
        <v>15.0</v>
      </c>
      <c r="C776" s="2" t="s">
        <v>9</v>
      </c>
      <c r="D776" s="2" t="s">
        <v>1803</v>
      </c>
      <c r="E776" s="2">
        <v>6.0</v>
      </c>
      <c r="F776" s="2" t="s">
        <v>10</v>
      </c>
      <c r="G776" s="5">
        <v>2694428.0</v>
      </c>
      <c r="H776" s="2" t="s">
        <v>1575</v>
      </c>
      <c r="I776" s="2" t="s">
        <v>1572</v>
      </c>
      <c r="J776" s="2">
        <v>10112.0</v>
      </c>
      <c r="K776" s="2" t="s">
        <v>1573</v>
      </c>
      <c r="L776" s="2"/>
      <c r="M776" s="2"/>
      <c r="N776" s="7">
        <v>2.0</v>
      </c>
      <c r="O776" s="12">
        <v>13334.0</v>
      </c>
      <c r="P776" s="11" t="s">
        <v>1649</v>
      </c>
      <c r="Q776" s="12">
        <v>13334.0</v>
      </c>
      <c r="R776" s="11" t="s">
        <v>1649</v>
      </c>
      <c r="S776" s="11" t="s">
        <v>1720</v>
      </c>
      <c r="T776" s="11" t="s">
        <v>1805</v>
      </c>
      <c r="U776" s="2" t="s">
        <v>1574</v>
      </c>
      <c r="V776" s="2" t="s">
        <v>1568</v>
      </c>
      <c r="W776" s="2" t="s">
        <v>1569</v>
      </c>
      <c r="X776" s="2" t="s">
        <v>1570</v>
      </c>
      <c r="AB776" s="2" t="s">
        <v>1571</v>
      </c>
    </row>
    <row r="777">
      <c r="A777" s="2" t="s">
        <v>1802</v>
      </c>
      <c r="B777" s="2">
        <v>15.0</v>
      </c>
      <c r="C777" s="2" t="s">
        <v>9</v>
      </c>
      <c r="D777" s="2" t="s">
        <v>1803</v>
      </c>
      <c r="E777" s="2">
        <v>6.0</v>
      </c>
      <c r="F777" s="2" t="s">
        <v>10</v>
      </c>
      <c r="G777" s="5">
        <v>2694428.0</v>
      </c>
      <c r="H777" s="2" t="s">
        <v>1575</v>
      </c>
      <c r="I777" s="2" t="s">
        <v>1578</v>
      </c>
      <c r="J777" s="2">
        <v>10051.0</v>
      </c>
      <c r="K777" s="2" t="s">
        <v>1579</v>
      </c>
      <c r="L777" s="2"/>
      <c r="M777" s="2"/>
      <c r="N777" s="7">
        <v>1.0</v>
      </c>
      <c r="O777" s="12">
        <v>25238.0</v>
      </c>
      <c r="P777" s="11" t="s">
        <v>1649</v>
      </c>
      <c r="Q777" s="12">
        <v>25238.0</v>
      </c>
      <c r="R777" s="11" t="s">
        <v>1649</v>
      </c>
      <c r="S777" s="11" t="s">
        <v>1660</v>
      </c>
      <c r="T777" s="11" t="s">
        <v>1680</v>
      </c>
      <c r="U777" s="2" t="s">
        <v>1574</v>
      </c>
      <c r="V777" s="2" t="s">
        <v>1568</v>
      </c>
      <c r="W777" s="2" t="s">
        <v>1569</v>
      </c>
      <c r="X777" s="2" t="s">
        <v>1570</v>
      </c>
      <c r="AB777" s="2" t="s">
        <v>1571</v>
      </c>
    </row>
    <row r="778">
      <c r="A778" s="2" t="s">
        <v>1802</v>
      </c>
      <c r="B778" s="2">
        <v>15.0</v>
      </c>
      <c r="C778" s="2" t="s">
        <v>9</v>
      </c>
      <c r="D778" s="2" t="s">
        <v>1803</v>
      </c>
      <c r="E778" s="2">
        <v>6.0</v>
      </c>
      <c r="F778" s="2" t="s">
        <v>10</v>
      </c>
      <c r="G778" s="5">
        <v>2694062.0</v>
      </c>
      <c r="H778" s="2" t="s">
        <v>1575</v>
      </c>
      <c r="I778" s="2" t="s">
        <v>1565</v>
      </c>
      <c r="J778" s="2">
        <v>10002.0</v>
      </c>
      <c r="K778" s="2" t="s">
        <v>1576</v>
      </c>
      <c r="L778" s="2"/>
      <c r="M778" s="2"/>
      <c r="N778" s="7">
        <v>1.0</v>
      </c>
      <c r="O778" s="12">
        <v>18571.0</v>
      </c>
      <c r="P778" s="11" t="s">
        <v>1649</v>
      </c>
      <c r="Q778" s="12">
        <v>18571.0</v>
      </c>
      <c r="R778" s="11" t="s">
        <v>1649</v>
      </c>
      <c r="S778" s="11" t="s">
        <v>1656</v>
      </c>
      <c r="T778" s="11" t="s">
        <v>1657</v>
      </c>
      <c r="U778" s="2" t="s">
        <v>1567</v>
      </c>
      <c r="V778" s="2" t="s">
        <v>1568</v>
      </c>
      <c r="W778" s="2" t="s">
        <v>1569</v>
      </c>
      <c r="X778" s="2" t="s">
        <v>1570</v>
      </c>
      <c r="AB778" s="2" t="s">
        <v>1571</v>
      </c>
    </row>
    <row r="779">
      <c r="A779" s="2" t="s">
        <v>1802</v>
      </c>
      <c r="B779" s="2">
        <v>14.0</v>
      </c>
      <c r="C779" s="2" t="s">
        <v>9</v>
      </c>
      <c r="D779" s="2" t="s">
        <v>1803</v>
      </c>
      <c r="E779" s="2">
        <v>6.0</v>
      </c>
      <c r="F779" s="2" t="s">
        <v>10</v>
      </c>
      <c r="G779" s="5">
        <v>2693697.0</v>
      </c>
      <c r="H779" s="2" t="s">
        <v>1575</v>
      </c>
      <c r="I779" s="2" t="s">
        <v>1578</v>
      </c>
      <c r="J779" s="2">
        <v>10011.0</v>
      </c>
      <c r="K779" s="2" t="s">
        <v>1605</v>
      </c>
      <c r="L779" s="2"/>
      <c r="M779" s="2"/>
      <c r="N779" s="7">
        <v>1.0</v>
      </c>
      <c r="O779" s="12">
        <v>25238.0</v>
      </c>
      <c r="P779" s="11" t="s">
        <v>1649</v>
      </c>
      <c r="Q779" s="12">
        <v>25238.0</v>
      </c>
      <c r="R779" s="11" t="s">
        <v>1649</v>
      </c>
      <c r="S779" s="11" t="s">
        <v>1660</v>
      </c>
      <c r="T779" s="11" t="s">
        <v>1680</v>
      </c>
      <c r="U779" s="2" t="s">
        <v>1574</v>
      </c>
      <c r="V779" s="2" t="s">
        <v>1568</v>
      </c>
      <c r="W779" s="2" t="s">
        <v>1569</v>
      </c>
      <c r="X779" s="2" t="s">
        <v>1570</v>
      </c>
      <c r="AB779" s="2" t="s">
        <v>1571</v>
      </c>
    </row>
    <row r="780">
      <c r="A780" s="2" t="s">
        <v>1802</v>
      </c>
      <c r="B780" s="2">
        <v>14.0</v>
      </c>
      <c r="C780" s="2" t="s">
        <v>9</v>
      </c>
      <c r="D780" s="2" t="s">
        <v>1803</v>
      </c>
      <c r="E780" s="2">
        <v>6.0</v>
      </c>
      <c r="F780" s="2" t="s">
        <v>10</v>
      </c>
      <c r="G780" s="5">
        <v>2693332.0</v>
      </c>
      <c r="H780" s="2" t="s">
        <v>1575</v>
      </c>
      <c r="I780" s="2" t="s">
        <v>1565</v>
      </c>
      <c r="J780" s="2">
        <v>10007.0</v>
      </c>
      <c r="K780" s="2" t="s">
        <v>1576</v>
      </c>
      <c r="L780" s="2"/>
      <c r="M780" s="2"/>
      <c r="N780" s="7">
        <v>2.0</v>
      </c>
      <c r="O780" s="12">
        <v>33810.0</v>
      </c>
      <c r="P780" s="11" t="s">
        <v>1649</v>
      </c>
      <c r="Q780" s="12">
        <v>33810.0</v>
      </c>
      <c r="R780" s="11" t="s">
        <v>1649</v>
      </c>
      <c r="S780" s="11" t="s">
        <v>1701</v>
      </c>
      <c r="T780" s="11" t="s">
        <v>1703</v>
      </c>
      <c r="U780" s="2" t="s">
        <v>1574</v>
      </c>
      <c r="V780" s="2" t="s">
        <v>1568</v>
      </c>
      <c r="W780" s="2" t="s">
        <v>1569</v>
      </c>
      <c r="X780" s="2" t="s">
        <v>1570</v>
      </c>
      <c r="AB780" s="2" t="s">
        <v>1571</v>
      </c>
    </row>
    <row r="781">
      <c r="A781" s="2" t="s">
        <v>1802</v>
      </c>
      <c r="B781" s="2">
        <v>14.0</v>
      </c>
      <c r="C781" s="2" t="s">
        <v>9</v>
      </c>
      <c r="D781" s="2" t="s">
        <v>1803</v>
      </c>
      <c r="E781" s="2">
        <v>6.0</v>
      </c>
      <c r="F781" s="2" t="s">
        <v>10</v>
      </c>
      <c r="G781" s="5">
        <v>2693332.0</v>
      </c>
      <c r="H781" s="2" t="s">
        <v>1575</v>
      </c>
      <c r="I781" s="2" t="s">
        <v>1572</v>
      </c>
      <c r="J781" s="2">
        <v>10128.0</v>
      </c>
      <c r="K781" s="2" t="s">
        <v>1588</v>
      </c>
      <c r="L781" s="2"/>
      <c r="M781" s="2"/>
      <c r="N781" s="7">
        <v>1.0</v>
      </c>
      <c r="O781" s="12">
        <v>23333.0</v>
      </c>
      <c r="P781" s="11" t="s">
        <v>1649</v>
      </c>
      <c r="Q781" s="12">
        <v>23333.0</v>
      </c>
      <c r="R781" s="11" t="s">
        <v>1649</v>
      </c>
      <c r="S781" s="11" t="s">
        <v>1681</v>
      </c>
      <c r="T781" s="11" t="s">
        <v>1715</v>
      </c>
      <c r="U781" s="2" t="s">
        <v>1574</v>
      </c>
      <c r="V781" s="2" t="s">
        <v>1568</v>
      </c>
      <c r="W781" s="2" t="s">
        <v>1569</v>
      </c>
      <c r="X781" s="2" t="s">
        <v>1570</v>
      </c>
      <c r="AB781" s="2" t="s">
        <v>1571</v>
      </c>
    </row>
    <row r="782">
      <c r="A782" s="2" t="s">
        <v>1802</v>
      </c>
      <c r="B782" s="2">
        <v>14.0</v>
      </c>
      <c r="C782" s="2" t="s">
        <v>9</v>
      </c>
      <c r="D782" s="2" t="s">
        <v>1803</v>
      </c>
      <c r="E782" s="2">
        <v>6.0</v>
      </c>
      <c r="F782" s="2" t="s">
        <v>10</v>
      </c>
      <c r="G782" s="5">
        <v>2693332.0</v>
      </c>
      <c r="H782" s="2" t="s">
        <v>1575</v>
      </c>
      <c r="I782" s="2" t="s">
        <v>1572</v>
      </c>
      <c r="J782" s="2">
        <v>10121.0</v>
      </c>
      <c r="K782" s="2" t="s">
        <v>1617</v>
      </c>
      <c r="L782" s="2"/>
      <c r="M782" s="2"/>
      <c r="N782" s="7">
        <v>1.0</v>
      </c>
      <c r="O782" s="12">
        <v>19524.0</v>
      </c>
      <c r="P782" s="11" t="s">
        <v>1649</v>
      </c>
      <c r="Q782" s="12">
        <v>19524.0</v>
      </c>
      <c r="R782" s="11" t="s">
        <v>1649</v>
      </c>
      <c r="S782" s="11" t="s">
        <v>1676</v>
      </c>
      <c r="T782" s="11" t="s">
        <v>1677</v>
      </c>
      <c r="U782" s="2" t="s">
        <v>1574</v>
      </c>
      <c r="V782" s="2" t="s">
        <v>1568</v>
      </c>
      <c r="W782" s="2" t="s">
        <v>1569</v>
      </c>
      <c r="X782" s="2" t="s">
        <v>1570</v>
      </c>
      <c r="AB782" s="2" t="s">
        <v>1571</v>
      </c>
    </row>
    <row r="783">
      <c r="A783" s="2" t="s">
        <v>1802</v>
      </c>
      <c r="B783" s="2">
        <v>14.0</v>
      </c>
      <c r="C783" s="2" t="s">
        <v>9</v>
      </c>
      <c r="D783" s="2" t="s">
        <v>1803</v>
      </c>
      <c r="E783" s="2">
        <v>6.0</v>
      </c>
      <c r="F783" s="2" t="s">
        <v>10</v>
      </c>
      <c r="G783" s="5">
        <v>2693332.0</v>
      </c>
      <c r="H783" s="2" t="s">
        <v>1575</v>
      </c>
      <c r="I783" s="2" t="s">
        <v>1578</v>
      </c>
      <c r="J783" s="2">
        <v>10051.0</v>
      </c>
      <c r="K783" s="2" t="s">
        <v>1579</v>
      </c>
      <c r="L783" s="2"/>
      <c r="M783" s="2"/>
      <c r="N783" s="7">
        <v>1.0</v>
      </c>
      <c r="O783" s="12">
        <v>25238.0</v>
      </c>
      <c r="P783" s="11" t="s">
        <v>1649</v>
      </c>
      <c r="Q783" s="12">
        <v>25238.0</v>
      </c>
      <c r="R783" s="11" t="s">
        <v>1649</v>
      </c>
      <c r="S783" s="11" t="s">
        <v>1660</v>
      </c>
      <c r="T783" s="11" t="s">
        <v>1680</v>
      </c>
      <c r="U783" s="2" t="s">
        <v>1574</v>
      </c>
      <c r="V783" s="2" t="s">
        <v>1568</v>
      </c>
      <c r="W783" s="2" t="s">
        <v>1569</v>
      </c>
      <c r="X783" s="2" t="s">
        <v>1570</v>
      </c>
      <c r="AB783" s="2" t="s">
        <v>1571</v>
      </c>
    </row>
    <row r="784">
      <c r="A784" s="2" t="s">
        <v>1802</v>
      </c>
      <c r="B784" s="2">
        <v>14.0</v>
      </c>
      <c r="C784" s="2" t="s">
        <v>9</v>
      </c>
      <c r="D784" s="2" t="s">
        <v>1803</v>
      </c>
      <c r="E784" s="2">
        <v>6.0</v>
      </c>
      <c r="F784" s="2" t="s">
        <v>10</v>
      </c>
      <c r="G784" s="5">
        <v>2692967.0</v>
      </c>
      <c r="H784" s="2" t="s">
        <v>1575</v>
      </c>
      <c r="I784" s="2" t="s">
        <v>1565</v>
      </c>
      <c r="J784" s="2">
        <v>10005.0</v>
      </c>
      <c r="K784" s="2" t="s">
        <v>1595</v>
      </c>
      <c r="L784" s="2"/>
      <c r="M784" s="2"/>
      <c r="N784" s="7">
        <v>1.0</v>
      </c>
      <c r="O784" s="12">
        <v>19524.0</v>
      </c>
      <c r="P784" s="11" t="s">
        <v>1649</v>
      </c>
      <c r="Q784" s="12">
        <v>19524.0</v>
      </c>
      <c r="R784" s="11" t="s">
        <v>1649</v>
      </c>
      <c r="S784" s="11" t="s">
        <v>1676</v>
      </c>
      <c r="T784" s="11" t="s">
        <v>1677</v>
      </c>
      <c r="U784" s="2" t="s">
        <v>1574</v>
      </c>
      <c r="V784" s="2" t="s">
        <v>1568</v>
      </c>
      <c r="W784" s="2" t="s">
        <v>1569</v>
      </c>
      <c r="X784" s="2" t="s">
        <v>1570</v>
      </c>
      <c r="AB784" s="2" t="s">
        <v>1571</v>
      </c>
    </row>
    <row r="785">
      <c r="A785" s="2" t="s">
        <v>1802</v>
      </c>
      <c r="B785" s="2">
        <v>13.0</v>
      </c>
      <c r="C785" s="2" t="s">
        <v>9</v>
      </c>
      <c r="D785" s="2" t="s">
        <v>1803</v>
      </c>
      <c r="E785" s="2">
        <v>6.0</v>
      </c>
      <c r="F785" s="2" t="s">
        <v>10</v>
      </c>
      <c r="G785" s="5">
        <v>2692601.0</v>
      </c>
      <c r="H785" s="2" t="s">
        <v>1575</v>
      </c>
      <c r="I785" s="2" t="s">
        <v>1565</v>
      </c>
      <c r="J785" s="2">
        <v>10002.0</v>
      </c>
      <c r="K785" s="2" t="s">
        <v>1576</v>
      </c>
      <c r="L785" s="2"/>
      <c r="M785" s="2"/>
      <c r="N785" s="7">
        <v>1.0</v>
      </c>
      <c r="O785" s="12">
        <v>18571.0</v>
      </c>
      <c r="P785" s="11" t="s">
        <v>1649</v>
      </c>
      <c r="Q785" s="12">
        <v>18571.0</v>
      </c>
      <c r="R785" s="11" t="s">
        <v>1649</v>
      </c>
      <c r="S785" s="11" t="s">
        <v>1656</v>
      </c>
      <c r="T785" s="11" t="s">
        <v>1657</v>
      </c>
      <c r="U785" s="2" t="s">
        <v>1574</v>
      </c>
      <c r="V785" s="2" t="s">
        <v>1568</v>
      </c>
      <c r="W785" s="2" t="s">
        <v>1569</v>
      </c>
      <c r="X785" s="2" t="s">
        <v>1570</v>
      </c>
      <c r="AB785" s="2" t="s">
        <v>1571</v>
      </c>
    </row>
    <row r="786">
      <c r="A786" s="2" t="s">
        <v>1802</v>
      </c>
      <c r="B786" s="2">
        <v>13.0</v>
      </c>
      <c r="C786" s="2" t="s">
        <v>9</v>
      </c>
      <c r="D786" s="2" t="s">
        <v>1803</v>
      </c>
      <c r="E786" s="2">
        <v>6.0</v>
      </c>
      <c r="F786" s="2" t="s">
        <v>10</v>
      </c>
      <c r="G786" s="5">
        <v>2692236.0</v>
      </c>
      <c r="H786" s="2" t="s">
        <v>1575</v>
      </c>
      <c r="I786" s="2" t="s">
        <v>1572</v>
      </c>
      <c r="J786" s="2">
        <v>10112.0</v>
      </c>
      <c r="K786" s="2" t="s">
        <v>1573</v>
      </c>
      <c r="L786" s="2"/>
      <c r="M786" s="2"/>
      <c r="N786" s="7">
        <v>1.0</v>
      </c>
      <c r="O786" s="12">
        <v>6667.0</v>
      </c>
      <c r="P786" s="11" t="s">
        <v>1649</v>
      </c>
      <c r="Q786" s="12">
        <v>6667.0</v>
      </c>
      <c r="R786" s="11" t="s">
        <v>1649</v>
      </c>
      <c r="S786" s="11" t="s">
        <v>1734</v>
      </c>
      <c r="T786" s="11" t="s">
        <v>1738</v>
      </c>
      <c r="U786" s="2" t="s">
        <v>1574</v>
      </c>
      <c r="V786" s="2" t="s">
        <v>1568</v>
      </c>
      <c r="W786" s="2" t="s">
        <v>1569</v>
      </c>
      <c r="X786" s="2" t="s">
        <v>1570</v>
      </c>
      <c r="AB786" s="2" t="s">
        <v>1571</v>
      </c>
    </row>
    <row r="787">
      <c r="A787" s="2" t="s">
        <v>1802</v>
      </c>
      <c r="B787" s="2">
        <v>13.0</v>
      </c>
      <c r="C787" s="2" t="s">
        <v>9</v>
      </c>
      <c r="D787" s="2" t="s">
        <v>1803</v>
      </c>
      <c r="E787" s="2">
        <v>6.0</v>
      </c>
      <c r="F787" s="2" t="s">
        <v>10</v>
      </c>
      <c r="G787" s="5">
        <v>2692236.0</v>
      </c>
      <c r="H787" s="2" t="s">
        <v>1575</v>
      </c>
      <c r="I787" s="2" t="s">
        <v>1565</v>
      </c>
      <c r="J787" s="2">
        <v>10002.0</v>
      </c>
      <c r="K787" s="2" t="s">
        <v>1576</v>
      </c>
      <c r="L787" s="2"/>
      <c r="M787" s="2"/>
      <c r="N787" s="7">
        <v>1.0</v>
      </c>
      <c r="O787" s="12">
        <v>18571.0</v>
      </c>
      <c r="P787" s="11" t="s">
        <v>1649</v>
      </c>
      <c r="Q787" s="12">
        <v>18571.0</v>
      </c>
      <c r="R787" s="11" t="s">
        <v>1649</v>
      </c>
      <c r="S787" s="11" t="s">
        <v>1656</v>
      </c>
      <c r="T787" s="11" t="s">
        <v>1657</v>
      </c>
      <c r="U787" s="2" t="s">
        <v>1574</v>
      </c>
      <c r="V787" s="2" t="s">
        <v>1568</v>
      </c>
      <c r="W787" s="2" t="s">
        <v>1569</v>
      </c>
      <c r="X787" s="2" t="s">
        <v>1570</v>
      </c>
      <c r="AB787" s="2" t="s">
        <v>1571</v>
      </c>
    </row>
    <row r="788">
      <c r="A788" s="2" t="s">
        <v>1802</v>
      </c>
      <c r="B788" s="2">
        <v>13.0</v>
      </c>
      <c r="C788" s="2" t="s">
        <v>9</v>
      </c>
      <c r="D788" s="2" t="s">
        <v>1803</v>
      </c>
      <c r="E788" s="2">
        <v>6.0</v>
      </c>
      <c r="F788" s="2" t="s">
        <v>10</v>
      </c>
      <c r="G788" s="5">
        <v>2691871.0</v>
      </c>
      <c r="H788" s="2" t="s">
        <v>1575</v>
      </c>
      <c r="I788" s="2" t="s">
        <v>1580</v>
      </c>
      <c r="J788" s="2">
        <v>10105.0</v>
      </c>
      <c r="K788" s="2" t="s">
        <v>1611</v>
      </c>
      <c r="L788" s="2"/>
      <c r="M788" s="2"/>
      <c r="N788" s="7">
        <v>1.0</v>
      </c>
      <c r="O788" s="12">
        <v>38095.0</v>
      </c>
      <c r="P788" s="11" t="s">
        <v>1649</v>
      </c>
      <c r="Q788" s="12">
        <v>38095.0</v>
      </c>
      <c r="R788" s="11" t="s">
        <v>1649</v>
      </c>
      <c r="S788" s="11" t="s">
        <v>1727</v>
      </c>
      <c r="T788" s="11" t="s">
        <v>1728</v>
      </c>
      <c r="U788" s="2" t="s">
        <v>1574</v>
      </c>
      <c r="V788" s="2" t="s">
        <v>1568</v>
      </c>
      <c r="W788" s="2" t="s">
        <v>1569</v>
      </c>
      <c r="X788" s="2" t="s">
        <v>1570</v>
      </c>
      <c r="AB788" s="2" t="s">
        <v>1571</v>
      </c>
    </row>
    <row r="789">
      <c r="A789" s="2" t="s">
        <v>1802</v>
      </c>
      <c r="B789" s="2">
        <v>13.0</v>
      </c>
      <c r="C789" s="2" t="s">
        <v>9</v>
      </c>
      <c r="D789" s="2" t="s">
        <v>1803</v>
      </c>
      <c r="E789" s="2">
        <v>6.0</v>
      </c>
      <c r="F789" s="2" t="s">
        <v>10</v>
      </c>
      <c r="G789" s="5">
        <v>2691871.0</v>
      </c>
      <c r="H789" s="2" t="s">
        <v>1575</v>
      </c>
      <c r="I789" s="2" t="s">
        <v>1580</v>
      </c>
      <c r="J789" s="2">
        <v>10012.0</v>
      </c>
      <c r="K789" s="2" t="s">
        <v>1602</v>
      </c>
      <c r="L789" s="2"/>
      <c r="M789" s="2"/>
      <c r="N789" s="7">
        <v>1.0</v>
      </c>
      <c r="O789" s="12">
        <v>29524.0</v>
      </c>
      <c r="P789" s="11" t="s">
        <v>1649</v>
      </c>
      <c r="Q789" s="12">
        <v>29524.0</v>
      </c>
      <c r="R789" s="11" t="s">
        <v>1649</v>
      </c>
      <c r="S789" s="11" t="s">
        <v>1683</v>
      </c>
      <c r="T789" s="11" t="s">
        <v>1684</v>
      </c>
      <c r="U789" s="2" t="s">
        <v>1574</v>
      </c>
      <c r="V789" s="2" t="s">
        <v>1568</v>
      </c>
      <c r="W789" s="2" t="s">
        <v>1569</v>
      </c>
      <c r="X789" s="2" t="s">
        <v>1570</v>
      </c>
      <c r="AB789" s="2" t="s">
        <v>1571</v>
      </c>
    </row>
    <row r="790">
      <c r="A790" s="2" t="s">
        <v>1802</v>
      </c>
      <c r="B790" s="2">
        <v>13.0</v>
      </c>
      <c r="C790" s="2" t="s">
        <v>9</v>
      </c>
      <c r="D790" s="2" t="s">
        <v>1803</v>
      </c>
      <c r="E790" s="2">
        <v>6.0</v>
      </c>
      <c r="F790" s="2" t="s">
        <v>10</v>
      </c>
      <c r="G790" s="5">
        <v>2691871.0</v>
      </c>
      <c r="H790" s="2" t="s">
        <v>1575</v>
      </c>
      <c r="I790" s="2" t="s">
        <v>1572</v>
      </c>
      <c r="J790" s="2">
        <v>10128.0</v>
      </c>
      <c r="K790" s="2" t="s">
        <v>1588</v>
      </c>
      <c r="L790" s="2"/>
      <c r="M790" s="2"/>
      <c r="N790" s="7">
        <v>1.0</v>
      </c>
      <c r="O790" s="12">
        <v>23333.0</v>
      </c>
      <c r="P790" s="11" t="s">
        <v>1649</v>
      </c>
      <c r="Q790" s="12">
        <v>23333.0</v>
      </c>
      <c r="R790" s="11" t="s">
        <v>1649</v>
      </c>
      <c r="S790" s="11" t="s">
        <v>1681</v>
      </c>
      <c r="T790" s="11" t="s">
        <v>1682</v>
      </c>
      <c r="U790" s="2" t="s">
        <v>1574</v>
      </c>
      <c r="V790" s="2" t="s">
        <v>1568</v>
      </c>
      <c r="W790" s="2" t="s">
        <v>1569</v>
      </c>
      <c r="X790" s="2" t="s">
        <v>1570</v>
      </c>
      <c r="AB790" s="2" t="s">
        <v>1571</v>
      </c>
    </row>
    <row r="791">
      <c r="A791" s="2" t="s">
        <v>1802</v>
      </c>
      <c r="B791" s="2">
        <v>13.0</v>
      </c>
      <c r="C791" s="2" t="s">
        <v>9</v>
      </c>
      <c r="D791" s="2" t="s">
        <v>1803</v>
      </c>
      <c r="E791" s="2">
        <v>6.0</v>
      </c>
      <c r="F791" s="2" t="s">
        <v>10</v>
      </c>
      <c r="G791" s="5">
        <v>2691506.0</v>
      </c>
      <c r="H791" s="2" t="s">
        <v>1575</v>
      </c>
      <c r="I791" s="2" t="s">
        <v>1565</v>
      </c>
      <c r="J791" s="2">
        <v>10002.0</v>
      </c>
      <c r="K791" s="2" t="s">
        <v>1576</v>
      </c>
      <c r="L791" s="2"/>
      <c r="M791" s="2"/>
      <c r="N791" s="7">
        <v>1.0</v>
      </c>
      <c r="O791" s="12">
        <v>18571.0</v>
      </c>
      <c r="P791" s="11" t="s">
        <v>1649</v>
      </c>
      <c r="Q791" s="12">
        <v>18571.0</v>
      </c>
      <c r="R791" s="11" t="s">
        <v>1649</v>
      </c>
      <c r="S791" s="11" t="s">
        <v>1656</v>
      </c>
      <c r="T791" s="11" t="s">
        <v>1657</v>
      </c>
      <c r="U791" s="2" t="s">
        <v>1574</v>
      </c>
      <c r="V791" s="2" t="s">
        <v>1568</v>
      </c>
      <c r="W791" s="2" t="s">
        <v>1569</v>
      </c>
      <c r="X791" s="2" t="s">
        <v>1570</v>
      </c>
      <c r="AB791" s="2" t="s">
        <v>1571</v>
      </c>
    </row>
    <row r="792">
      <c r="A792" s="2" t="s">
        <v>1802</v>
      </c>
      <c r="B792" s="2">
        <v>13.0</v>
      </c>
      <c r="C792" s="2" t="s">
        <v>9</v>
      </c>
      <c r="D792" s="2" t="s">
        <v>1803</v>
      </c>
      <c r="E792" s="2">
        <v>6.0</v>
      </c>
      <c r="F792" s="2" t="s">
        <v>10</v>
      </c>
      <c r="G792" s="5">
        <v>2691140.0</v>
      </c>
      <c r="H792" s="2" t="s">
        <v>1575</v>
      </c>
      <c r="I792" s="2" t="s">
        <v>1565</v>
      </c>
      <c r="J792" s="2">
        <v>10055.0</v>
      </c>
      <c r="K792" s="2" t="s">
        <v>1595</v>
      </c>
      <c r="L792" s="2"/>
      <c r="M792" s="2"/>
      <c r="N792" s="7">
        <v>2.0</v>
      </c>
      <c r="O792" s="12">
        <v>34762.0</v>
      </c>
      <c r="P792" s="11" t="s">
        <v>1649</v>
      </c>
      <c r="Q792" s="12">
        <v>34762.0</v>
      </c>
      <c r="R792" s="11" t="s">
        <v>1649</v>
      </c>
      <c r="S792" s="11" t="s">
        <v>1670</v>
      </c>
      <c r="T792" s="11" t="s">
        <v>1671</v>
      </c>
      <c r="U792" s="2" t="s">
        <v>1574</v>
      </c>
      <c r="V792" s="2" t="s">
        <v>1568</v>
      </c>
      <c r="W792" s="2" t="s">
        <v>1569</v>
      </c>
      <c r="X792" s="2" t="s">
        <v>1570</v>
      </c>
      <c r="AB792" s="2" t="s">
        <v>1571</v>
      </c>
    </row>
    <row r="793">
      <c r="A793" s="2" t="s">
        <v>1802</v>
      </c>
      <c r="B793" s="2">
        <v>13.0</v>
      </c>
      <c r="C793" s="2" t="s">
        <v>9</v>
      </c>
      <c r="D793" s="2" t="s">
        <v>1803</v>
      </c>
      <c r="E793" s="2">
        <v>6.0</v>
      </c>
      <c r="F793" s="2" t="s">
        <v>10</v>
      </c>
      <c r="G793" s="5">
        <v>2690775.0</v>
      </c>
      <c r="H793" s="2" t="s">
        <v>1575</v>
      </c>
      <c r="I793" s="2" t="s">
        <v>1565</v>
      </c>
      <c r="J793" s="2">
        <v>10002.0</v>
      </c>
      <c r="K793" s="2" t="s">
        <v>1576</v>
      </c>
      <c r="L793" s="2"/>
      <c r="M793" s="2"/>
      <c r="N793" s="7">
        <v>1.0</v>
      </c>
      <c r="O793" s="12">
        <v>18571.0</v>
      </c>
      <c r="P793" s="11" t="s">
        <v>1649</v>
      </c>
      <c r="Q793" s="12">
        <v>18571.0</v>
      </c>
      <c r="R793" s="11" t="s">
        <v>1649</v>
      </c>
      <c r="S793" s="11" t="s">
        <v>1656</v>
      </c>
      <c r="T793" s="11" t="s">
        <v>1657</v>
      </c>
      <c r="U793" s="2" t="s">
        <v>1574</v>
      </c>
      <c r="V793" s="2" t="s">
        <v>1568</v>
      </c>
      <c r="W793" s="2" t="s">
        <v>1569</v>
      </c>
      <c r="X793" s="2" t="s">
        <v>1570</v>
      </c>
      <c r="AB793" s="2" t="s">
        <v>1571</v>
      </c>
    </row>
    <row r="794">
      <c r="A794" s="2" t="s">
        <v>1802</v>
      </c>
      <c r="B794" s="2">
        <v>13.0</v>
      </c>
      <c r="C794" s="2" t="s">
        <v>9</v>
      </c>
      <c r="D794" s="2" t="s">
        <v>1803</v>
      </c>
      <c r="E794" s="2">
        <v>6.0</v>
      </c>
      <c r="F794" s="2" t="s">
        <v>10</v>
      </c>
      <c r="G794" s="5">
        <v>2690775.0</v>
      </c>
      <c r="H794" s="2" t="s">
        <v>1575</v>
      </c>
      <c r="I794" s="2" t="s">
        <v>1572</v>
      </c>
      <c r="J794" s="2">
        <v>10128.0</v>
      </c>
      <c r="K794" s="2" t="s">
        <v>1588</v>
      </c>
      <c r="L794" s="2"/>
      <c r="M794" s="2"/>
      <c r="N794" s="7">
        <v>1.0</v>
      </c>
      <c r="O794" s="12">
        <v>23333.0</v>
      </c>
      <c r="P794" s="11" t="s">
        <v>1649</v>
      </c>
      <c r="Q794" s="12">
        <v>23333.0</v>
      </c>
      <c r="R794" s="11" t="s">
        <v>1649</v>
      </c>
      <c r="S794" s="11" t="s">
        <v>1681</v>
      </c>
      <c r="T794" s="11" t="s">
        <v>1715</v>
      </c>
      <c r="U794" s="2" t="s">
        <v>1574</v>
      </c>
      <c r="V794" s="2" t="s">
        <v>1568</v>
      </c>
      <c r="W794" s="2" t="s">
        <v>1569</v>
      </c>
      <c r="X794" s="2" t="s">
        <v>1570</v>
      </c>
      <c r="AB794" s="2" t="s">
        <v>1571</v>
      </c>
    </row>
    <row r="795">
      <c r="A795" s="2" t="s">
        <v>1802</v>
      </c>
      <c r="B795" s="2">
        <v>13.0</v>
      </c>
      <c r="C795" s="2" t="s">
        <v>9</v>
      </c>
      <c r="D795" s="2" t="s">
        <v>1803</v>
      </c>
      <c r="E795" s="2">
        <v>6.0</v>
      </c>
      <c r="F795" s="2" t="s">
        <v>10</v>
      </c>
      <c r="G795" s="5">
        <v>2690775.0</v>
      </c>
      <c r="H795" s="2" t="s">
        <v>1575</v>
      </c>
      <c r="I795" s="2" t="s">
        <v>1580</v>
      </c>
      <c r="J795" s="2">
        <v>10105.0</v>
      </c>
      <c r="K795" s="2" t="s">
        <v>1611</v>
      </c>
      <c r="L795" s="2"/>
      <c r="M795" s="2"/>
      <c r="N795" s="7">
        <v>1.0</v>
      </c>
      <c r="O795" s="12">
        <v>38095.0</v>
      </c>
      <c r="P795" s="11" t="s">
        <v>1649</v>
      </c>
      <c r="Q795" s="12">
        <v>38095.0</v>
      </c>
      <c r="R795" s="11" t="s">
        <v>1649</v>
      </c>
      <c r="S795" s="11" t="s">
        <v>1727</v>
      </c>
      <c r="T795" s="11" t="s">
        <v>1728</v>
      </c>
      <c r="U795" s="2" t="s">
        <v>1574</v>
      </c>
      <c r="V795" s="2" t="s">
        <v>1568</v>
      </c>
      <c r="W795" s="2" t="s">
        <v>1569</v>
      </c>
      <c r="X795" s="2" t="s">
        <v>1570</v>
      </c>
      <c r="AB795" s="2" t="s">
        <v>1571</v>
      </c>
    </row>
    <row r="796">
      <c r="A796" s="2" t="s">
        <v>1802</v>
      </c>
      <c r="B796" s="2">
        <v>13.0</v>
      </c>
      <c r="C796" s="2" t="s">
        <v>9</v>
      </c>
      <c r="D796" s="2" t="s">
        <v>1803</v>
      </c>
      <c r="E796" s="2">
        <v>6.0</v>
      </c>
      <c r="F796" s="2" t="s">
        <v>10</v>
      </c>
      <c r="G796" s="5">
        <v>2690410.0</v>
      </c>
      <c r="H796" s="2" t="s">
        <v>1575</v>
      </c>
      <c r="I796" s="2" t="s">
        <v>1580</v>
      </c>
      <c r="J796" s="2">
        <v>10012.0</v>
      </c>
      <c r="K796" s="2" t="s">
        <v>1602</v>
      </c>
      <c r="L796" s="2"/>
      <c r="M796" s="2"/>
      <c r="N796" s="7">
        <v>1.0</v>
      </c>
      <c r="O796" s="12">
        <v>29524.0</v>
      </c>
      <c r="P796" s="11" t="s">
        <v>1649</v>
      </c>
      <c r="Q796" s="12">
        <v>29524.0</v>
      </c>
      <c r="R796" s="11" t="s">
        <v>1649</v>
      </c>
      <c r="S796" s="11" t="s">
        <v>1683</v>
      </c>
      <c r="T796" s="11" t="s">
        <v>1684</v>
      </c>
      <c r="U796" s="2" t="s">
        <v>1574</v>
      </c>
      <c r="V796" s="2" t="s">
        <v>1568</v>
      </c>
      <c r="W796" s="2" t="s">
        <v>1569</v>
      </c>
      <c r="X796" s="2" t="s">
        <v>1570</v>
      </c>
      <c r="AB796" s="2" t="s">
        <v>1571</v>
      </c>
    </row>
    <row r="797">
      <c r="A797" s="2" t="s">
        <v>1802</v>
      </c>
      <c r="B797" s="2">
        <v>13.0</v>
      </c>
      <c r="C797" s="2" t="s">
        <v>9</v>
      </c>
      <c r="D797" s="2" t="s">
        <v>1803</v>
      </c>
      <c r="E797" s="2">
        <v>6.0</v>
      </c>
      <c r="F797" s="2" t="s">
        <v>10</v>
      </c>
      <c r="G797" s="5">
        <v>2690410.0</v>
      </c>
      <c r="H797" s="2" t="s">
        <v>1575</v>
      </c>
      <c r="I797" s="2" t="s">
        <v>1578</v>
      </c>
      <c r="J797" s="2">
        <v>10004.0</v>
      </c>
      <c r="K797" s="2" t="s">
        <v>1607</v>
      </c>
      <c r="L797" s="2"/>
      <c r="M797" s="2"/>
      <c r="N797" s="7">
        <v>1.0</v>
      </c>
      <c r="O797" s="12">
        <v>25238.0</v>
      </c>
      <c r="P797" s="11" t="s">
        <v>1649</v>
      </c>
      <c r="Q797" s="12">
        <v>25238.0</v>
      </c>
      <c r="R797" s="11" t="s">
        <v>1649</v>
      </c>
      <c r="S797" s="11" t="s">
        <v>1660</v>
      </c>
      <c r="T797" s="11" t="s">
        <v>1680</v>
      </c>
      <c r="U797" s="2" t="s">
        <v>1574</v>
      </c>
      <c r="V797" s="2" t="s">
        <v>1568</v>
      </c>
      <c r="W797" s="2" t="s">
        <v>1569</v>
      </c>
      <c r="X797" s="2" t="s">
        <v>1570</v>
      </c>
      <c r="AB797" s="2" t="s">
        <v>1571</v>
      </c>
    </row>
    <row r="798">
      <c r="A798" s="2" t="s">
        <v>1802</v>
      </c>
      <c r="B798" s="2">
        <v>12.0</v>
      </c>
      <c r="C798" s="2" t="s">
        <v>9</v>
      </c>
      <c r="D798" s="2" t="s">
        <v>1803</v>
      </c>
      <c r="E798" s="2">
        <v>6.0</v>
      </c>
      <c r="F798" s="2" t="s">
        <v>10</v>
      </c>
      <c r="G798" s="5">
        <v>2690045.0</v>
      </c>
      <c r="H798" s="2" t="s">
        <v>1575</v>
      </c>
      <c r="I798" s="2" t="s">
        <v>1580</v>
      </c>
      <c r="J798" s="2">
        <v>10012.0</v>
      </c>
      <c r="K798" s="2" t="s">
        <v>1602</v>
      </c>
      <c r="L798" s="2"/>
      <c r="M798" s="2"/>
      <c r="N798" s="7">
        <v>1.0</v>
      </c>
      <c r="O798" s="12">
        <v>29524.0</v>
      </c>
      <c r="P798" s="11" t="s">
        <v>1649</v>
      </c>
      <c r="Q798" s="12">
        <v>29524.0</v>
      </c>
      <c r="R798" s="11" t="s">
        <v>1649</v>
      </c>
      <c r="S798" s="11" t="s">
        <v>1683</v>
      </c>
      <c r="T798" s="11" t="s">
        <v>1684</v>
      </c>
      <c r="U798" s="2" t="s">
        <v>1574</v>
      </c>
      <c r="V798" s="2" t="s">
        <v>1568</v>
      </c>
      <c r="W798" s="2" t="s">
        <v>1569</v>
      </c>
      <c r="X798" s="2" t="s">
        <v>1570</v>
      </c>
      <c r="AB798" s="2" t="s">
        <v>1571</v>
      </c>
    </row>
    <row r="799">
      <c r="A799" s="2" t="s">
        <v>1802</v>
      </c>
      <c r="B799" s="2">
        <v>12.0</v>
      </c>
      <c r="C799" s="2" t="s">
        <v>9</v>
      </c>
      <c r="D799" s="2" t="s">
        <v>1803</v>
      </c>
      <c r="E799" s="2">
        <v>6.0</v>
      </c>
      <c r="F799" s="2" t="s">
        <v>10</v>
      </c>
      <c r="G799" s="5">
        <v>2690045.0</v>
      </c>
      <c r="H799" s="2" t="s">
        <v>1575</v>
      </c>
      <c r="I799" s="2" t="s">
        <v>1578</v>
      </c>
      <c r="J799" s="2">
        <v>10014.0</v>
      </c>
      <c r="K799" s="2" t="s">
        <v>1609</v>
      </c>
      <c r="L799" s="2"/>
      <c r="M799" s="2"/>
      <c r="N799" s="7">
        <v>1.0</v>
      </c>
      <c r="O799" s="12">
        <v>25238.0</v>
      </c>
      <c r="P799" s="11" t="s">
        <v>1649</v>
      </c>
      <c r="Q799" s="12">
        <v>25238.0</v>
      </c>
      <c r="R799" s="11" t="s">
        <v>1649</v>
      </c>
      <c r="S799" s="11" t="s">
        <v>1660</v>
      </c>
      <c r="T799" s="11" t="s">
        <v>1680</v>
      </c>
      <c r="U799" s="2" t="s">
        <v>1574</v>
      </c>
      <c r="V799" s="2" t="s">
        <v>1568</v>
      </c>
      <c r="W799" s="2" t="s">
        <v>1569</v>
      </c>
      <c r="X799" s="2" t="s">
        <v>1570</v>
      </c>
      <c r="AB799" s="2" t="s">
        <v>1571</v>
      </c>
    </row>
    <row r="800">
      <c r="A800" s="2" t="s">
        <v>1802</v>
      </c>
      <c r="B800" s="2">
        <v>12.0</v>
      </c>
      <c r="C800" s="2" t="s">
        <v>9</v>
      </c>
      <c r="D800" s="2" t="s">
        <v>1803</v>
      </c>
      <c r="E800" s="2">
        <v>6.0</v>
      </c>
      <c r="F800" s="2" t="s">
        <v>10</v>
      </c>
      <c r="G800" s="5">
        <v>2690045.0</v>
      </c>
      <c r="H800" s="2" t="s">
        <v>1575</v>
      </c>
      <c r="I800" s="2" t="s">
        <v>1572</v>
      </c>
      <c r="J800" s="2">
        <v>10122.0</v>
      </c>
      <c r="K800" s="2" t="s">
        <v>1577</v>
      </c>
      <c r="L800" s="2"/>
      <c r="M800" s="2"/>
      <c r="N800" s="7">
        <v>1.0</v>
      </c>
      <c r="O800" s="12">
        <v>21905.0</v>
      </c>
      <c r="P800" s="11" t="s">
        <v>1649</v>
      </c>
      <c r="Q800" s="12">
        <v>21905.0</v>
      </c>
      <c r="R800" s="11" t="s">
        <v>1649</v>
      </c>
      <c r="S800" s="11" t="s">
        <v>1666</v>
      </c>
      <c r="T800" s="11" t="s">
        <v>1667</v>
      </c>
      <c r="U800" s="2" t="s">
        <v>1574</v>
      </c>
      <c r="V800" s="2" t="s">
        <v>1568</v>
      </c>
      <c r="W800" s="2" t="s">
        <v>1569</v>
      </c>
      <c r="X800" s="2" t="s">
        <v>1570</v>
      </c>
      <c r="AB800" s="2" t="s">
        <v>1571</v>
      </c>
    </row>
    <row r="801">
      <c r="A801" s="2" t="s">
        <v>1802</v>
      </c>
      <c r="B801" s="2">
        <v>12.0</v>
      </c>
      <c r="C801" s="2" t="s">
        <v>9</v>
      </c>
      <c r="D801" s="2" t="s">
        <v>1803</v>
      </c>
      <c r="E801" s="2">
        <v>6.0</v>
      </c>
      <c r="F801" s="2" t="s">
        <v>10</v>
      </c>
      <c r="G801" s="5">
        <v>2690045.0</v>
      </c>
      <c r="H801" s="2" t="s">
        <v>1575</v>
      </c>
      <c r="I801" s="2" t="s">
        <v>1572</v>
      </c>
      <c r="J801" s="2">
        <v>10116.0</v>
      </c>
      <c r="K801" s="2" t="s">
        <v>1619</v>
      </c>
      <c r="L801" s="2"/>
      <c r="M801" s="2"/>
      <c r="N801" s="7">
        <v>1.0</v>
      </c>
      <c r="O801" s="12">
        <v>14286.0</v>
      </c>
      <c r="P801" s="11" t="s">
        <v>1649</v>
      </c>
      <c r="Q801" s="12">
        <v>14286.0</v>
      </c>
      <c r="R801" s="11" t="s">
        <v>1649</v>
      </c>
      <c r="S801" s="11" t="s">
        <v>1685</v>
      </c>
      <c r="T801" s="11" t="s">
        <v>1708</v>
      </c>
      <c r="U801" s="2" t="s">
        <v>1574</v>
      </c>
      <c r="V801" s="2" t="s">
        <v>1568</v>
      </c>
      <c r="W801" s="2" t="s">
        <v>1569</v>
      </c>
      <c r="X801" s="2" t="s">
        <v>1570</v>
      </c>
      <c r="AB801" s="2" t="s">
        <v>1571</v>
      </c>
    </row>
    <row r="802">
      <c r="A802" s="2" t="s">
        <v>1802</v>
      </c>
      <c r="B802" s="2">
        <v>12.0</v>
      </c>
      <c r="C802" s="2" t="s">
        <v>9</v>
      </c>
      <c r="D802" s="2" t="s">
        <v>1803</v>
      </c>
      <c r="E802" s="2">
        <v>6.0</v>
      </c>
      <c r="F802" s="2" t="s">
        <v>10</v>
      </c>
      <c r="G802" s="5">
        <v>2689679.0</v>
      </c>
      <c r="H802" s="2" t="s">
        <v>1575</v>
      </c>
      <c r="I802" s="2" t="s">
        <v>1565</v>
      </c>
      <c r="J802" s="2">
        <v>10002.0</v>
      </c>
      <c r="K802" s="2" t="s">
        <v>1576</v>
      </c>
      <c r="L802" s="2"/>
      <c r="M802" s="2"/>
      <c r="N802" s="7">
        <v>1.0</v>
      </c>
      <c r="O802" s="12">
        <v>18571.0</v>
      </c>
      <c r="P802" s="11" t="s">
        <v>1649</v>
      </c>
      <c r="Q802" s="12">
        <v>18571.0</v>
      </c>
      <c r="R802" s="11" t="s">
        <v>1649</v>
      </c>
      <c r="S802" s="11" t="s">
        <v>1656</v>
      </c>
      <c r="T802" s="11" t="s">
        <v>1657</v>
      </c>
      <c r="U802" s="2" t="s">
        <v>1574</v>
      </c>
      <c r="V802" s="2" t="s">
        <v>1568</v>
      </c>
      <c r="W802" s="2" t="s">
        <v>1569</v>
      </c>
      <c r="X802" s="2" t="s">
        <v>1570</v>
      </c>
      <c r="AB802" s="2" t="s">
        <v>1571</v>
      </c>
    </row>
    <row r="803">
      <c r="A803" s="2" t="s">
        <v>1802</v>
      </c>
      <c r="B803" s="2">
        <v>12.0</v>
      </c>
      <c r="C803" s="2" t="s">
        <v>9</v>
      </c>
      <c r="D803" s="2" t="s">
        <v>1803</v>
      </c>
      <c r="E803" s="2">
        <v>6.0</v>
      </c>
      <c r="F803" s="2" t="s">
        <v>10</v>
      </c>
      <c r="G803" s="5">
        <v>2689679.0</v>
      </c>
      <c r="H803" s="2" t="s">
        <v>1575</v>
      </c>
      <c r="I803" s="2" t="s">
        <v>1565</v>
      </c>
      <c r="J803" s="2">
        <v>10000.0</v>
      </c>
      <c r="K803" s="2" t="s">
        <v>1566</v>
      </c>
      <c r="L803" s="2"/>
      <c r="M803" s="2"/>
      <c r="N803" s="7">
        <v>1.0</v>
      </c>
      <c r="O803" s="12">
        <v>29524.0</v>
      </c>
      <c r="P803" s="11" t="s">
        <v>1649</v>
      </c>
      <c r="Q803" s="12">
        <v>29524.0</v>
      </c>
      <c r="R803" s="11" t="s">
        <v>1649</v>
      </c>
      <c r="S803" s="11" t="s">
        <v>1683</v>
      </c>
      <c r="T803" s="11" t="s">
        <v>1684</v>
      </c>
      <c r="U803" s="2" t="s">
        <v>1574</v>
      </c>
      <c r="V803" s="2" t="s">
        <v>1568</v>
      </c>
      <c r="W803" s="2" t="s">
        <v>1569</v>
      </c>
      <c r="X803" s="2" t="s">
        <v>1570</v>
      </c>
      <c r="AB803" s="2" t="s">
        <v>1571</v>
      </c>
    </row>
    <row r="804">
      <c r="A804" s="2" t="s">
        <v>1802</v>
      </c>
      <c r="B804" s="2">
        <v>12.0</v>
      </c>
      <c r="C804" s="2" t="s">
        <v>9</v>
      </c>
      <c r="D804" s="2" t="s">
        <v>1803</v>
      </c>
      <c r="E804" s="2">
        <v>6.0</v>
      </c>
      <c r="F804" s="2" t="s">
        <v>10</v>
      </c>
      <c r="G804" s="5">
        <v>2689314.0</v>
      </c>
      <c r="H804" s="2" t="s">
        <v>1575</v>
      </c>
      <c r="I804" s="2" t="s">
        <v>1565</v>
      </c>
      <c r="J804" s="2">
        <v>10002.0</v>
      </c>
      <c r="K804" s="2" t="s">
        <v>1576</v>
      </c>
      <c r="L804" s="2"/>
      <c r="M804" s="2"/>
      <c r="N804" s="7">
        <v>1.0</v>
      </c>
      <c r="O804" s="12">
        <v>18571.0</v>
      </c>
      <c r="P804" s="11" t="s">
        <v>1649</v>
      </c>
      <c r="Q804" s="12">
        <v>18571.0</v>
      </c>
      <c r="R804" s="11" t="s">
        <v>1649</v>
      </c>
      <c r="S804" s="11" t="s">
        <v>1656</v>
      </c>
      <c r="T804" s="11" t="s">
        <v>1657</v>
      </c>
      <c r="U804" s="2" t="s">
        <v>1574</v>
      </c>
      <c r="V804" s="2" t="s">
        <v>1568</v>
      </c>
      <c r="W804" s="2" t="s">
        <v>1569</v>
      </c>
      <c r="X804" s="2" t="s">
        <v>1570</v>
      </c>
      <c r="AB804" s="2" t="s">
        <v>1571</v>
      </c>
    </row>
    <row r="805">
      <c r="A805" s="2" t="s">
        <v>1802</v>
      </c>
      <c r="B805" s="2">
        <v>12.0</v>
      </c>
      <c r="C805" s="2" t="s">
        <v>9</v>
      </c>
      <c r="D805" s="2" t="s">
        <v>1803</v>
      </c>
      <c r="E805" s="2">
        <v>6.0</v>
      </c>
      <c r="F805" s="2" t="s">
        <v>10</v>
      </c>
      <c r="G805" s="5">
        <v>2689314.0</v>
      </c>
      <c r="H805" s="2" t="s">
        <v>1575</v>
      </c>
      <c r="I805" s="2" t="s">
        <v>1572</v>
      </c>
      <c r="J805" s="2">
        <v>10121.0</v>
      </c>
      <c r="K805" s="2" t="s">
        <v>1617</v>
      </c>
      <c r="L805" s="2"/>
      <c r="M805" s="2"/>
      <c r="N805" s="7">
        <v>1.0</v>
      </c>
      <c r="O805" s="12">
        <v>19524.0</v>
      </c>
      <c r="P805" s="11" t="s">
        <v>1649</v>
      </c>
      <c r="Q805" s="12">
        <v>19524.0</v>
      </c>
      <c r="R805" s="11" t="s">
        <v>1649</v>
      </c>
      <c r="S805" s="11" t="s">
        <v>1676</v>
      </c>
      <c r="T805" s="11" t="s">
        <v>1677</v>
      </c>
      <c r="U805" s="2" t="s">
        <v>1574</v>
      </c>
      <c r="V805" s="2" t="s">
        <v>1568</v>
      </c>
      <c r="W805" s="2" t="s">
        <v>1569</v>
      </c>
      <c r="X805" s="2" t="s">
        <v>1570</v>
      </c>
      <c r="AB805" s="2" t="s">
        <v>1571</v>
      </c>
    </row>
    <row r="806">
      <c r="A806" s="2" t="s">
        <v>1802</v>
      </c>
      <c r="B806" s="2">
        <v>11.0</v>
      </c>
      <c r="C806" s="2" t="s">
        <v>9</v>
      </c>
      <c r="D806" s="2" t="s">
        <v>1803</v>
      </c>
      <c r="E806" s="2">
        <v>6.0</v>
      </c>
      <c r="F806" s="2" t="s">
        <v>10</v>
      </c>
      <c r="G806" s="5">
        <v>2688949.0</v>
      </c>
      <c r="H806" s="2" t="s">
        <v>1575</v>
      </c>
      <c r="I806" s="2" t="s">
        <v>1565</v>
      </c>
      <c r="J806" s="2">
        <v>10034.0</v>
      </c>
      <c r="K806" s="2" t="s">
        <v>1616</v>
      </c>
      <c r="L806" s="2"/>
      <c r="M806" s="2"/>
      <c r="N806" s="7">
        <v>1.0</v>
      </c>
      <c r="O806" s="12">
        <v>21905.0</v>
      </c>
      <c r="P806" s="11" t="s">
        <v>1649</v>
      </c>
      <c r="Q806" s="12">
        <v>21905.0</v>
      </c>
      <c r="R806" s="11" t="s">
        <v>1649</v>
      </c>
      <c r="S806" s="11" t="s">
        <v>1666</v>
      </c>
      <c r="T806" s="11" t="s">
        <v>1667</v>
      </c>
      <c r="U806" s="2" t="s">
        <v>1574</v>
      </c>
      <c r="V806" s="2" t="s">
        <v>1568</v>
      </c>
      <c r="W806" s="2" t="s">
        <v>1569</v>
      </c>
      <c r="X806" s="2" t="s">
        <v>1570</v>
      </c>
      <c r="AB806" s="2" t="s">
        <v>1571</v>
      </c>
    </row>
    <row r="807">
      <c r="A807" s="2" t="s">
        <v>1802</v>
      </c>
      <c r="B807" s="2">
        <v>11.0</v>
      </c>
      <c r="C807" s="2" t="s">
        <v>9</v>
      </c>
      <c r="D807" s="2" t="s">
        <v>1803</v>
      </c>
      <c r="E807" s="2">
        <v>6.0</v>
      </c>
      <c r="F807" s="2" t="s">
        <v>10</v>
      </c>
      <c r="G807" s="5">
        <v>2688949.0</v>
      </c>
      <c r="H807" s="2" t="s">
        <v>1575</v>
      </c>
      <c r="I807" s="2" t="s">
        <v>1572</v>
      </c>
      <c r="J807" s="2">
        <v>10128.0</v>
      </c>
      <c r="K807" s="2" t="s">
        <v>1588</v>
      </c>
      <c r="L807" s="2"/>
      <c r="M807" s="2"/>
      <c r="N807" s="7">
        <v>1.0</v>
      </c>
      <c r="O807" s="12">
        <v>23333.0</v>
      </c>
      <c r="P807" s="11" t="s">
        <v>1649</v>
      </c>
      <c r="Q807" s="12">
        <v>23333.0</v>
      </c>
      <c r="R807" s="11" t="s">
        <v>1649</v>
      </c>
      <c r="S807" s="11" t="s">
        <v>1681</v>
      </c>
      <c r="T807" s="11" t="s">
        <v>1682</v>
      </c>
      <c r="U807" s="2" t="s">
        <v>1574</v>
      </c>
      <c r="V807" s="2" t="s">
        <v>1568</v>
      </c>
      <c r="W807" s="2" t="s">
        <v>1569</v>
      </c>
      <c r="X807" s="2" t="s">
        <v>1570</v>
      </c>
      <c r="AB807" s="2" t="s">
        <v>1571</v>
      </c>
    </row>
    <row r="808">
      <c r="A808" s="2" t="s">
        <v>1802</v>
      </c>
      <c r="B808" s="2">
        <v>11.0</v>
      </c>
      <c r="C808" s="2" t="s">
        <v>9</v>
      </c>
      <c r="D808" s="2" t="s">
        <v>1803</v>
      </c>
      <c r="E808" s="2">
        <v>6.0</v>
      </c>
      <c r="F808" s="2" t="s">
        <v>10</v>
      </c>
      <c r="G808" s="5">
        <v>2688949.0</v>
      </c>
      <c r="H808" s="2" t="s">
        <v>1575</v>
      </c>
      <c r="I808" s="2" t="s">
        <v>1572</v>
      </c>
      <c r="J808" s="2">
        <v>10117.0</v>
      </c>
      <c r="K808" s="2" t="s">
        <v>1589</v>
      </c>
      <c r="L808" s="2"/>
      <c r="M808" s="2"/>
      <c r="N808" s="7">
        <v>1.0</v>
      </c>
      <c r="O808" s="12">
        <v>14286.0</v>
      </c>
      <c r="P808" s="11" t="s">
        <v>1649</v>
      </c>
      <c r="Q808" s="12">
        <v>14286.0</v>
      </c>
      <c r="R808" s="11" t="s">
        <v>1649</v>
      </c>
      <c r="S808" s="11" t="s">
        <v>1685</v>
      </c>
      <c r="T808" s="11" t="s">
        <v>1686</v>
      </c>
      <c r="U808" s="2" t="s">
        <v>1574</v>
      </c>
      <c r="V808" s="2" t="s">
        <v>1568</v>
      </c>
      <c r="W808" s="2" t="s">
        <v>1569</v>
      </c>
      <c r="X808" s="2" t="s">
        <v>1570</v>
      </c>
      <c r="AB808" s="2" t="s">
        <v>1571</v>
      </c>
    </row>
    <row r="809">
      <c r="A809" s="2" t="s">
        <v>1802</v>
      </c>
      <c r="B809" s="2">
        <v>11.0</v>
      </c>
      <c r="C809" s="2" t="s">
        <v>9</v>
      </c>
      <c r="D809" s="2" t="s">
        <v>1803</v>
      </c>
      <c r="E809" s="2">
        <v>6.0</v>
      </c>
      <c r="F809" s="2" t="s">
        <v>10</v>
      </c>
      <c r="G809" s="5">
        <v>2688584.0</v>
      </c>
      <c r="H809" s="2" t="s">
        <v>1575</v>
      </c>
      <c r="I809" s="2" t="s">
        <v>1565</v>
      </c>
      <c r="J809" s="2">
        <v>10055.0</v>
      </c>
      <c r="K809" s="2" t="s">
        <v>1595</v>
      </c>
      <c r="L809" s="2"/>
      <c r="M809" s="2"/>
      <c r="N809" s="7">
        <v>2.0</v>
      </c>
      <c r="O809" s="12">
        <v>34762.0</v>
      </c>
      <c r="P809" s="11" t="s">
        <v>1649</v>
      </c>
      <c r="Q809" s="12">
        <v>34762.0</v>
      </c>
      <c r="R809" s="11" t="s">
        <v>1649</v>
      </c>
      <c r="S809" s="11" t="s">
        <v>1670</v>
      </c>
      <c r="T809" s="11" t="s">
        <v>1671</v>
      </c>
      <c r="U809" s="2" t="s">
        <v>1574</v>
      </c>
      <c r="V809" s="2" t="s">
        <v>1568</v>
      </c>
      <c r="W809" s="2" t="s">
        <v>1569</v>
      </c>
      <c r="X809" s="2" t="s">
        <v>1570</v>
      </c>
      <c r="AB809" s="2" t="s">
        <v>1571</v>
      </c>
    </row>
    <row r="810">
      <c r="A810" s="2" t="s">
        <v>1802</v>
      </c>
      <c r="B810" s="2">
        <v>11.0</v>
      </c>
      <c r="C810" s="2" t="s">
        <v>9</v>
      </c>
      <c r="D810" s="2" t="s">
        <v>1803</v>
      </c>
      <c r="E810" s="2">
        <v>6.0</v>
      </c>
      <c r="F810" s="2" t="s">
        <v>10</v>
      </c>
      <c r="G810" s="5">
        <v>2688584.0</v>
      </c>
      <c r="H810" s="2" t="s">
        <v>1575</v>
      </c>
      <c r="I810" s="2" t="s">
        <v>1565</v>
      </c>
      <c r="J810" s="2">
        <v>10005.0</v>
      </c>
      <c r="K810" s="2" t="s">
        <v>1595</v>
      </c>
      <c r="L810" s="2"/>
      <c r="M810" s="2"/>
      <c r="N810" s="7">
        <v>1.0</v>
      </c>
      <c r="O810" s="12">
        <v>19524.0</v>
      </c>
      <c r="P810" s="11" t="s">
        <v>1649</v>
      </c>
      <c r="Q810" s="12">
        <v>19524.0</v>
      </c>
      <c r="R810" s="11" t="s">
        <v>1649</v>
      </c>
      <c r="S810" s="11" t="s">
        <v>1676</v>
      </c>
      <c r="T810" s="11" t="s">
        <v>1677</v>
      </c>
      <c r="U810" s="2" t="s">
        <v>1574</v>
      </c>
      <c r="V810" s="2" t="s">
        <v>1568</v>
      </c>
      <c r="W810" s="2" t="s">
        <v>1569</v>
      </c>
      <c r="X810" s="2" t="s">
        <v>1570</v>
      </c>
      <c r="AB810" s="2" t="s">
        <v>1571</v>
      </c>
    </row>
    <row r="811">
      <c r="A811" s="2" t="s">
        <v>1802</v>
      </c>
      <c r="B811" s="2">
        <v>11.0</v>
      </c>
      <c r="C811" s="2" t="s">
        <v>9</v>
      </c>
      <c r="D811" s="2" t="s">
        <v>1803</v>
      </c>
      <c r="E811" s="2">
        <v>6.0</v>
      </c>
      <c r="F811" s="2" t="s">
        <v>10</v>
      </c>
      <c r="G811" s="5">
        <v>2688584.0</v>
      </c>
      <c r="H811" s="2" t="s">
        <v>1575</v>
      </c>
      <c r="I811" s="2" t="s">
        <v>1565</v>
      </c>
      <c r="J811" s="2">
        <v>10000.0</v>
      </c>
      <c r="K811" s="2" t="s">
        <v>1566</v>
      </c>
      <c r="L811" s="2"/>
      <c r="M811" s="2"/>
      <c r="N811" s="7">
        <v>1.0</v>
      </c>
      <c r="O811" s="12">
        <v>29524.0</v>
      </c>
      <c r="P811" s="11" t="s">
        <v>1649</v>
      </c>
      <c r="Q811" s="12">
        <v>29524.0</v>
      </c>
      <c r="R811" s="11" t="s">
        <v>1649</v>
      </c>
      <c r="S811" s="11" t="s">
        <v>1683</v>
      </c>
      <c r="T811" s="11" t="s">
        <v>1745</v>
      </c>
      <c r="U811" s="2" t="s">
        <v>1574</v>
      </c>
      <c r="V811" s="2" t="s">
        <v>1568</v>
      </c>
      <c r="W811" s="2" t="s">
        <v>1569</v>
      </c>
      <c r="X811" s="2" t="s">
        <v>1570</v>
      </c>
      <c r="AB811" s="2" t="s">
        <v>1571</v>
      </c>
    </row>
    <row r="812">
      <c r="A812" s="2" t="s">
        <v>1802</v>
      </c>
      <c r="B812" s="2">
        <v>11.0</v>
      </c>
      <c r="C812" s="2" t="s">
        <v>9</v>
      </c>
      <c r="D812" s="2" t="s">
        <v>1803</v>
      </c>
      <c r="E812" s="2">
        <v>6.0</v>
      </c>
      <c r="F812" s="2" t="s">
        <v>10</v>
      </c>
      <c r="G812" s="5">
        <v>2688584.0</v>
      </c>
      <c r="H812" s="2" t="s">
        <v>1575</v>
      </c>
      <c r="I812" s="2" t="s">
        <v>1565</v>
      </c>
      <c r="J812" s="2">
        <v>10007.0</v>
      </c>
      <c r="K812" s="2" t="s">
        <v>1576</v>
      </c>
      <c r="L812" s="2"/>
      <c r="M812" s="2"/>
      <c r="N812" s="7">
        <v>2.0</v>
      </c>
      <c r="O812" s="12">
        <v>33810.0</v>
      </c>
      <c r="P812" s="11" t="s">
        <v>1649</v>
      </c>
      <c r="Q812" s="12">
        <v>33810.0</v>
      </c>
      <c r="R812" s="11" t="s">
        <v>1649</v>
      </c>
      <c r="S812" s="11" t="s">
        <v>1701</v>
      </c>
      <c r="T812" s="11" t="s">
        <v>1702</v>
      </c>
      <c r="U812" s="2" t="s">
        <v>1574</v>
      </c>
      <c r="V812" s="2" t="s">
        <v>1568</v>
      </c>
      <c r="W812" s="2" t="s">
        <v>1569</v>
      </c>
      <c r="X812" s="2" t="s">
        <v>1570</v>
      </c>
      <c r="AB812" s="2" t="s">
        <v>1571</v>
      </c>
    </row>
    <row r="813">
      <c r="A813" s="2" t="s">
        <v>1802</v>
      </c>
      <c r="B813" s="2">
        <v>11.0</v>
      </c>
      <c r="C813" s="2" t="s">
        <v>9</v>
      </c>
      <c r="D813" s="2" t="s">
        <v>1803</v>
      </c>
      <c r="E813" s="2">
        <v>6.0</v>
      </c>
      <c r="F813" s="2" t="s">
        <v>10</v>
      </c>
      <c r="G813" s="5">
        <v>2688584.0</v>
      </c>
      <c r="H813" s="2" t="s">
        <v>1575</v>
      </c>
      <c r="I813" s="2" t="s">
        <v>1565</v>
      </c>
      <c r="J813" s="2">
        <v>10033.0</v>
      </c>
      <c r="K813" s="2" t="s">
        <v>1615</v>
      </c>
      <c r="L813" s="2"/>
      <c r="M813" s="2"/>
      <c r="N813" s="7">
        <v>1.0</v>
      </c>
      <c r="O813" s="12">
        <v>21905.0</v>
      </c>
      <c r="P813" s="11" t="s">
        <v>1649</v>
      </c>
      <c r="Q813" s="12">
        <v>21905.0</v>
      </c>
      <c r="R813" s="11" t="s">
        <v>1649</v>
      </c>
      <c r="S813" s="11" t="s">
        <v>1666</v>
      </c>
      <c r="T813" s="11" t="s">
        <v>1667</v>
      </c>
      <c r="U813" s="2" t="s">
        <v>1574</v>
      </c>
      <c r="V813" s="2" t="s">
        <v>1568</v>
      </c>
      <c r="W813" s="2" t="s">
        <v>1569</v>
      </c>
      <c r="X813" s="2" t="s">
        <v>1570</v>
      </c>
      <c r="AB813" s="2" t="s">
        <v>1571</v>
      </c>
    </row>
    <row r="814">
      <c r="A814" s="2" t="s">
        <v>1802</v>
      </c>
      <c r="B814" s="2">
        <v>11.0</v>
      </c>
      <c r="C814" s="2" t="s">
        <v>9</v>
      </c>
      <c r="D814" s="2" t="s">
        <v>1803</v>
      </c>
      <c r="E814" s="2">
        <v>6.0</v>
      </c>
      <c r="F814" s="2" t="s">
        <v>10</v>
      </c>
      <c r="G814" s="5">
        <v>2688218.0</v>
      </c>
      <c r="H814" s="2" t="s">
        <v>1575</v>
      </c>
      <c r="I814" s="2" t="s">
        <v>1565</v>
      </c>
      <c r="J814" s="2">
        <v>10002.0</v>
      </c>
      <c r="K814" s="2" t="s">
        <v>1576</v>
      </c>
      <c r="L814" s="2"/>
      <c r="M814" s="2"/>
      <c r="N814" s="7">
        <v>1.0</v>
      </c>
      <c r="O814" s="12">
        <v>18571.0</v>
      </c>
      <c r="P814" s="11" t="s">
        <v>1649</v>
      </c>
      <c r="Q814" s="12">
        <v>18571.0</v>
      </c>
      <c r="R814" s="11" t="s">
        <v>1649</v>
      </c>
      <c r="S814" s="11" t="s">
        <v>1656</v>
      </c>
      <c r="T814" s="11" t="s">
        <v>1657</v>
      </c>
      <c r="U814" s="2" t="s">
        <v>1574</v>
      </c>
      <c r="V814" s="2" t="s">
        <v>1568</v>
      </c>
      <c r="W814" s="2" t="s">
        <v>1569</v>
      </c>
      <c r="X814" s="2" t="s">
        <v>1570</v>
      </c>
      <c r="AB814" s="2" t="s">
        <v>1571</v>
      </c>
    </row>
    <row r="815">
      <c r="A815" s="2" t="s">
        <v>1802</v>
      </c>
      <c r="B815" s="2">
        <v>11.0</v>
      </c>
      <c r="C815" s="2" t="s">
        <v>9</v>
      </c>
      <c r="D815" s="2" t="s">
        <v>1803</v>
      </c>
      <c r="E815" s="2">
        <v>6.0</v>
      </c>
      <c r="F815" s="2" t="s">
        <v>10</v>
      </c>
      <c r="G815" s="5">
        <v>2687853.0</v>
      </c>
      <c r="H815" s="2" t="s">
        <v>1575</v>
      </c>
      <c r="I815" s="2" t="s">
        <v>1572</v>
      </c>
      <c r="J815" s="2">
        <v>10123.0</v>
      </c>
      <c r="K815" s="2" t="s">
        <v>1599</v>
      </c>
      <c r="L815" s="2"/>
      <c r="M815" s="2"/>
      <c r="N815" s="7">
        <v>3.0</v>
      </c>
      <c r="O815" s="12">
        <v>65715.0</v>
      </c>
      <c r="P815" s="11" t="s">
        <v>1649</v>
      </c>
      <c r="Q815" s="12">
        <v>65715.0</v>
      </c>
      <c r="R815" s="11" t="s">
        <v>1649</v>
      </c>
      <c r="S815" s="11" t="s">
        <v>1806</v>
      </c>
      <c r="T815" s="11" t="s">
        <v>1807</v>
      </c>
      <c r="U815" s="2" t="s">
        <v>1574</v>
      </c>
      <c r="V815" s="2" t="s">
        <v>1568</v>
      </c>
      <c r="W815" s="2" t="s">
        <v>1569</v>
      </c>
      <c r="X815" s="2" t="s">
        <v>1570</v>
      </c>
      <c r="AB815" s="2" t="s">
        <v>1571</v>
      </c>
    </row>
    <row r="816">
      <c r="A816" s="2" t="s">
        <v>1802</v>
      </c>
      <c r="B816" s="2">
        <v>10.0</v>
      </c>
      <c r="C816" s="2" t="s">
        <v>9</v>
      </c>
      <c r="D816" s="2" t="s">
        <v>1803</v>
      </c>
      <c r="E816" s="2">
        <v>6.0</v>
      </c>
      <c r="F816" s="2" t="s">
        <v>10</v>
      </c>
      <c r="G816" s="5">
        <v>2687488.0</v>
      </c>
      <c r="H816" s="2" t="s">
        <v>1575</v>
      </c>
      <c r="I816" s="2" t="s">
        <v>1572</v>
      </c>
      <c r="J816" s="2">
        <v>10056.0</v>
      </c>
      <c r="K816" s="2" t="s">
        <v>1585</v>
      </c>
      <c r="L816" s="2"/>
      <c r="M816" s="2"/>
      <c r="N816" s="7">
        <v>1.0</v>
      </c>
      <c r="O816" s="12">
        <v>19524.0</v>
      </c>
      <c r="P816" s="11" t="s">
        <v>1649</v>
      </c>
      <c r="Q816" s="12">
        <v>19524.0</v>
      </c>
      <c r="R816" s="11" t="s">
        <v>1649</v>
      </c>
      <c r="S816" s="11" t="s">
        <v>1676</v>
      </c>
      <c r="T816" s="11" t="s">
        <v>1677</v>
      </c>
      <c r="U816" s="2" t="s">
        <v>1574</v>
      </c>
      <c r="V816" s="2" t="s">
        <v>1568</v>
      </c>
      <c r="W816" s="2" t="s">
        <v>1569</v>
      </c>
      <c r="X816" s="2" t="s">
        <v>1570</v>
      </c>
      <c r="AB816" s="2" t="s">
        <v>1571</v>
      </c>
    </row>
    <row r="817">
      <c r="A817" s="2" t="s">
        <v>1802</v>
      </c>
      <c r="B817" s="2">
        <v>10.0</v>
      </c>
      <c r="C817" s="2" t="s">
        <v>9</v>
      </c>
      <c r="D817" s="2" t="s">
        <v>1803</v>
      </c>
      <c r="E817" s="2">
        <v>6.0</v>
      </c>
      <c r="F817" s="2" t="s">
        <v>10</v>
      </c>
      <c r="G817" s="5">
        <v>2687488.0</v>
      </c>
      <c r="H817" s="2" t="s">
        <v>1575</v>
      </c>
      <c r="I817" s="2" t="s">
        <v>1572</v>
      </c>
      <c r="J817" s="2">
        <v>10122.0</v>
      </c>
      <c r="K817" s="2" t="s">
        <v>1577</v>
      </c>
      <c r="L817" s="2"/>
      <c r="M817" s="2"/>
      <c r="N817" s="7">
        <v>1.0</v>
      </c>
      <c r="O817" s="12">
        <v>21905.0</v>
      </c>
      <c r="P817" s="11" t="s">
        <v>1649</v>
      </c>
      <c r="Q817" s="12">
        <v>21905.0</v>
      </c>
      <c r="R817" s="11" t="s">
        <v>1649</v>
      </c>
      <c r="S817" s="11" t="s">
        <v>1666</v>
      </c>
      <c r="T817" s="11" t="s">
        <v>1667</v>
      </c>
      <c r="U817" s="2" t="s">
        <v>1574</v>
      </c>
      <c r="V817" s="2" t="s">
        <v>1568</v>
      </c>
      <c r="W817" s="2" t="s">
        <v>1569</v>
      </c>
      <c r="X817" s="2" t="s">
        <v>1570</v>
      </c>
      <c r="AB817" s="2" t="s">
        <v>1571</v>
      </c>
    </row>
    <row r="818">
      <c r="A818" s="2" t="s">
        <v>1802</v>
      </c>
      <c r="B818" s="2">
        <v>10.0</v>
      </c>
      <c r="C818" s="2" t="s">
        <v>9</v>
      </c>
      <c r="D818" s="2" t="s">
        <v>1803</v>
      </c>
      <c r="E818" s="2">
        <v>6.0</v>
      </c>
      <c r="F818" s="2" t="s">
        <v>10</v>
      </c>
      <c r="G818" s="5">
        <v>2687488.0</v>
      </c>
      <c r="H818" s="2" t="s">
        <v>1575</v>
      </c>
      <c r="I818" s="2" t="s">
        <v>1565</v>
      </c>
      <c r="J818" s="2">
        <v>10000.0</v>
      </c>
      <c r="K818" s="2" t="s">
        <v>1566</v>
      </c>
      <c r="L818" s="2"/>
      <c r="M818" s="2"/>
      <c r="N818" s="7">
        <v>1.0</v>
      </c>
      <c r="O818" s="12">
        <v>29524.0</v>
      </c>
      <c r="P818" s="11" t="s">
        <v>1649</v>
      </c>
      <c r="Q818" s="12">
        <v>29524.0</v>
      </c>
      <c r="R818" s="11" t="s">
        <v>1649</v>
      </c>
      <c r="S818" s="11" t="s">
        <v>1683</v>
      </c>
      <c r="T818" s="11" t="s">
        <v>1745</v>
      </c>
      <c r="U818" s="2" t="s">
        <v>1574</v>
      </c>
      <c r="V818" s="2" t="s">
        <v>1568</v>
      </c>
      <c r="W818" s="2" t="s">
        <v>1569</v>
      </c>
      <c r="X818" s="2" t="s">
        <v>1570</v>
      </c>
      <c r="AB818" s="2" t="s">
        <v>1571</v>
      </c>
    </row>
    <row r="819">
      <c r="A819" s="2" t="s">
        <v>1802</v>
      </c>
      <c r="B819" s="2">
        <v>10.0</v>
      </c>
      <c r="C819" s="2" t="s">
        <v>9</v>
      </c>
      <c r="D819" s="2" t="s">
        <v>1803</v>
      </c>
      <c r="E819" s="2">
        <v>6.0</v>
      </c>
      <c r="F819" s="2" t="s">
        <v>10</v>
      </c>
      <c r="G819" s="5">
        <v>2687488.0</v>
      </c>
      <c r="H819" s="2" t="s">
        <v>1575</v>
      </c>
      <c r="I819" s="2" t="s">
        <v>1565</v>
      </c>
      <c r="J819" s="2">
        <v>10007.0</v>
      </c>
      <c r="K819" s="2" t="s">
        <v>1576</v>
      </c>
      <c r="L819" s="2"/>
      <c r="M819" s="2"/>
      <c r="N819" s="7">
        <v>2.0</v>
      </c>
      <c r="O819" s="12">
        <v>33810.0</v>
      </c>
      <c r="P819" s="11" t="s">
        <v>1649</v>
      </c>
      <c r="Q819" s="12">
        <v>33810.0</v>
      </c>
      <c r="R819" s="11" t="s">
        <v>1649</v>
      </c>
      <c r="S819" s="11" t="s">
        <v>1701</v>
      </c>
      <c r="T819" s="11" t="s">
        <v>1702</v>
      </c>
      <c r="U819" s="2" t="s">
        <v>1574</v>
      </c>
      <c r="V819" s="2" t="s">
        <v>1568</v>
      </c>
      <c r="W819" s="2" t="s">
        <v>1569</v>
      </c>
      <c r="X819" s="2" t="s">
        <v>1570</v>
      </c>
      <c r="AB819" s="2" t="s">
        <v>1571</v>
      </c>
    </row>
    <row r="820">
      <c r="A820" s="2" t="s">
        <v>1802</v>
      </c>
      <c r="B820" s="2">
        <v>10.0</v>
      </c>
      <c r="C820" s="2" t="s">
        <v>9</v>
      </c>
      <c r="D820" s="2" t="s">
        <v>1803</v>
      </c>
      <c r="E820" s="2">
        <v>6.0</v>
      </c>
      <c r="F820" s="2" t="s">
        <v>10</v>
      </c>
      <c r="G820" s="5">
        <v>2687488.0</v>
      </c>
      <c r="H820" s="2" t="s">
        <v>1575</v>
      </c>
      <c r="I820" s="2" t="s">
        <v>1565</v>
      </c>
      <c r="J820" s="2">
        <v>10055.0</v>
      </c>
      <c r="K820" s="2" t="s">
        <v>1595</v>
      </c>
      <c r="L820" s="2"/>
      <c r="M820" s="2"/>
      <c r="N820" s="7">
        <v>2.0</v>
      </c>
      <c r="O820" s="12">
        <v>34762.0</v>
      </c>
      <c r="P820" s="11" t="s">
        <v>1649</v>
      </c>
      <c r="Q820" s="12">
        <v>34762.0</v>
      </c>
      <c r="R820" s="11" t="s">
        <v>1649</v>
      </c>
      <c r="S820" s="11" t="s">
        <v>1670</v>
      </c>
      <c r="T820" s="11" t="s">
        <v>1671</v>
      </c>
      <c r="U820" s="2" t="s">
        <v>1574</v>
      </c>
      <c r="V820" s="2" t="s">
        <v>1568</v>
      </c>
      <c r="W820" s="2" t="s">
        <v>1569</v>
      </c>
      <c r="X820" s="2" t="s">
        <v>1570</v>
      </c>
      <c r="AB820" s="2" t="s">
        <v>1571</v>
      </c>
    </row>
    <row r="821">
      <c r="A821" s="2" t="s">
        <v>1802</v>
      </c>
      <c r="B821" s="2">
        <v>10.0</v>
      </c>
      <c r="C821" s="2" t="s">
        <v>9</v>
      </c>
      <c r="D821" s="2" t="s">
        <v>1803</v>
      </c>
      <c r="E821" s="2">
        <v>6.0</v>
      </c>
      <c r="F821" s="2" t="s">
        <v>10</v>
      </c>
      <c r="G821" s="5">
        <v>2687123.0</v>
      </c>
      <c r="H821" s="2" t="s">
        <v>1575</v>
      </c>
      <c r="I821" s="2" t="s">
        <v>1565</v>
      </c>
      <c r="J821" s="2">
        <v>10002.0</v>
      </c>
      <c r="K821" s="2" t="s">
        <v>1576</v>
      </c>
      <c r="L821" s="2"/>
      <c r="M821" s="2"/>
      <c r="N821" s="7">
        <v>1.0</v>
      </c>
      <c r="O821" s="12">
        <v>18571.0</v>
      </c>
      <c r="P821" s="11" t="s">
        <v>1649</v>
      </c>
      <c r="Q821" s="12">
        <v>18571.0</v>
      </c>
      <c r="R821" s="11" t="s">
        <v>1649</v>
      </c>
      <c r="S821" s="11" t="s">
        <v>1656</v>
      </c>
      <c r="T821" s="11" t="s">
        <v>1657</v>
      </c>
      <c r="U821" s="2" t="s">
        <v>1574</v>
      </c>
      <c r="V821" s="2" t="s">
        <v>1568</v>
      </c>
      <c r="W821" s="2" t="s">
        <v>1569</v>
      </c>
      <c r="X821" s="2" t="s">
        <v>1570</v>
      </c>
      <c r="AB821" s="2" t="s">
        <v>1571</v>
      </c>
    </row>
    <row r="822">
      <c r="A822" s="2" t="s">
        <v>1808</v>
      </c>
      <c r="B822" s="2">
        <v>21.0</v>
      </c>
      <c r="C822" s="2" t="s">
        <v>8</v>
      </c>
      <c r="D822" s="2" t="s">
        <v>1809</v>
      </c>
      <c r="E822" s="2">
        <v>5.0</v>
      </c>
      <c r="F822" s="2" t="s">
        <v>4</v>
      </c>
      <c r="G822" s="5">
        <v>2686757.0</v>
      </c>
      <c r="H822" s="2" t="s">
        <v>1575</v>
      </c>
      <c r="I822" s="2" t="s">
        <v>1572</v>
      </c>
      <c r="J822" s="2">
        <v>10106.0</v>
      </c>
      <c r="K822" s="2" t="s">
        <v>1598</v>
      </c>
      <c r="L822" s="2"/>
      <c r="M822" s="2"/>
      <c r="N822" s="7">
        <v>1.0</v>
      </c>
      <c r="O822" s="12">
        <v>26667.0</v>
      </c>
      <c r="P822" s="11" t="s">
        <v>1649</v>
      </c>
      <c r="Q822" s="12">
        <v>26667.0</v>
      </c>
      <c r="R822" s="11" t="s">
        <v>1649</v>
      </c>
      <c r="S822" s="11" t="s">
        <v>1674</v>
      </c>
      <c r="T822" s="11" t="s">
        <v>1679</v>
      </c>
      <c r="U822" s="2" t="s">
        <v>1574</v>
      </c>
      <c r="V822" s="2" t="s">
        <v>1568</v>
      </c>
      <c r="W822" s="2" t="s">
        <v>1569</v>
      </c>
      <c r="X822" s="2" t="s">
        <v>1570</v>
      </c>
      <c r="AB822" s="2" t="s">
        <v>1571</v>
      </c>
    </row>
    <row r="823">
      <c r="A823" s="2" t="s">
        <v>1808</v>
      </c>
      <c r="B823" s="2">
        <v>21.0</v>
      </c>
      <c r="C823" s="2" t="s">
        <v>8</v>
      </c>
      <c r="D823" s="2" t="s">
        <v>1809</v>
      </c>
      <c r="E823" s="2">
        <v>5.0</v>
      </c>
      <c r="F823" s="2" t="s">
        <v>4</v>
      </c>
      <c r="G823" s="5">
        <v>2686757.0</v>
      </c>
      <c r="H823" s="2" t="s">
        <v>1575</v>
      </c>
      <c r="I823" s="2" t="s">
        <v>1572</v>
      </c>
      <c r="J823" s="2">
        <v>10026.0</v>
      </c>
      <c r="K823" s="2" t="s">
        <v>1583</v>
      </c>
      <c r="L823" s="2"/>
      <c r="M823" s="2"/>
      <c r="N823" s="7">
        <v>1.0</v>
      </c>
      <c r="O823" s="12">
        <v>21905.0</v>
      </c>
      <c r="P823" s="11" t="s">
        <v>1649</v>
      </c>
      <c r="Q823" s="12">
        <v>21905.0</v>
      </c>
      <c r="R823" s="11" t="s">
        <v>1649</v>
      </c>
      <c r="S823" s="11" t="s">
        <v>1666</v>
      </c>
      <c r="T823" s="11" t="s">
        <v>1687</v>
      </c>
      <c r="U823" s="2" t="s">
        <v>1574</v>
      </c>
      <c r="V823" s="2" t="s">
        <v>1568</v>
      </c>
      <c r="W823" s="2" t="s">
        <v>1569</v>
      </c>
      <c r="X823" s="2" t="s">
        <v>1570</v>
      </c>
      <c r="AB823" s="2" t="s">
        <v>1571</v>
      </c>
    </row>
    <row r="824">
      <c r="A824" s="2" t="s">
        <v>1808</v>
      </c>
      <c r="B824" s="2">
        <v>21.0</v>
      </c>
      <c r="C824" s="2" t="s">
        <v>8</v>
      </c>
      <c r="D824" s="2" t="s">
        <v>1809</v>
      </c>
      <c r="E824" s="2">
        <v>5.0</v>
      </c>
      <c r="F824" s="2" t="s">
        <v>4</v>
      </c>
      <c r="G824" s="5">
        <v>2686757.0</v>
      </c>
      <c r="H824" s="2" t="s">
        <v>1575</v>
      </c>
      <c r="I824" s="2" t="s">
        <v>1580</v>
      </c>
      <c r="J824" s="2">
        <v>10003.0</v>
      </c>
      <c r="K824" s="2" t="s">
        <v>1603</v>
      </c>
      <c r="L824" s="2"/>
      <c r="M824" s="2"/>
      <c r="N824" s="7">
        <v>2.0</v>
      </c>
      <c r="O824" s="12">
        <v>59048.0</v>
      </c>
      <c r="P824" s="11" t="s">
        <v>1649</v>
      </c>
      <c r="Q824" s="12">
        <v>59048.0</v>
      </c>
      <c r="R824" s="11" t="s">
        <v>1649</v>
      </c>
      <c r="S824" s="11" t="s">
        <v>1732</v>
      </c>
      <c r="T824" s="11" t="s">
        <v>1733</v>
      </c>
      <c r="U824" s="2" t="s">
        <v>1574</v>
      </c>
      <c r="V824" s="2" t="s">
        <v>1568</v>
      </c>
      <c r="W824" s="2" t="s">
        <v>1569</v>
      </c>
      <c r="X824" s="2" t="s">
        <v>1570</v>
      </c>
      <c r="AB824" s="2" t="s">
        <v>1571</v>
      </c>
    </row>
    <row r="825">
      <c r="A825" s="2" t="s">
        <v>1808</v>
      </c>
      <c r="B825" s="2">
        <v>21.0</v>
      </c>
      <c r="C825" s="2" t="s">
        <v>8</v>
      </c>
      <c r="D825" s="2" t="s">
        <v>1809</v>
      </c>
      <c r="E825" s="2">
        <v>5.0</v>
      </c>
      <c r="F825" s="2" t="s">
        <v>4</v>
      </c>
      <c r="G825" s="5">
        <v>2686757.0</v>
      </c>
      <c r="H825" s="2" t="s">
        <v>1575</v>
      </c>
      <c r="I825" s="2" t="s">
        <v>1578</v>
      </c>
      <c r="J825" s="2">
        <v>10004.0</v>
      </c>
      <c r="K825" s="2" t="s">
        <v>1607</v>
      </c>
      <c r="L825" s="2"/>
      <c r="M825" s="2"/>
      <c r="N825" s="7">
        <v>1.0</v>
      </c>
      <c r="O825" s="12">
        <v>25238.0</v>
      </c>
      <c r="P825" s="11" t="s">
        <v>1649</v>
      </c>
      <c r="Q825" s="12">
        <v>25238.0</v>
      </c>
      <c r="R825" s="11" t="s">
        <v>1649</v>
      </c>
      <c r="S825" s="11" t="s">
        <v>1660</v>
      </c>
      <c r="T825" s="11" t="s">
        <v>1680</v>
      </c>
      <c r="U825" s="2" t="s">
        <v>1574</v>
      </c>
      <c r="V825" s="2" t="s">
        <v>1568</v>
      </c>
      <c r="W825" s="2" t="s">
        <v>1569</v>
      </c>
      <c r="X825" s="2" t="s">
        <v>1570</v>
      </c>
      <c r="AB825" s="2" t="s">
        <v>1571</v>
      </c>
    </row>
    <row r="826">
      <c r="A826" s="2" t="s">
        <v>1808</v>
      </c>
      <c r="B826" s="2">
        <v>21.0</v>
      </c>
      <c r="C826" s="2" t="s">
        <v>8</v>
      </c>
      <c r="D826" s="2" t="s">
        <v>1809</v>
      </c>
      <c r="E826" s="2">
        <v>5.0</v>
      </c>
      <c r="F826" s="2" t="s">
        <v>4</v>
      </c>
      <c r="G826" s="5">
        <v>2686757.0</v>
      </c>
      <c r="H826" s="2" t="s">
        <v>1575</v>
      </c>
      <c r="I826" s="2" t="s">
        <v>1572</v>
      </c>
      <c r="J826" s="2">
        <v>10117.0</v>
      </c>
      <c r="K826" s="2" t="s">
        <v>1589</v>
      </c>
      <c r="L826" s="2"/>
      <c r="M826" s="2"/>
      <c r="N826" s="7">
        <v>1.0</v>
      </c>
      <c r="O826" s="12">
        <v>14286.0</v>
      </c>
      <c r="P826" s="11" t="s">
        <v>1649</v>
      </c>
      <c r="Q826" s="12">
        <v>14286.0</v>
      </c>
      <c r="R826" s="11" t="s">
        <v>1649</v>
      </c>
      <c r="S826" s="11" t="s">
        <v>1685</v>
      </c>
      <c r="T826" s="11" t="s">
        <v>1686</v>
      </c>
      <c r="U826" s="2" t="s">
        <v>1574</v>
      </c>
      <c r="V826" s="2" t="s">
        <v>1568</v>
      </c>
      <c r="W826" s="2" t="s">
        <v>1569</v>
      </c>
      <c r="X826" s="2" t="s">
        <v>1570</v>
      </c>
      <c r="AB826" s="2" t="s">
        <v>1571</v>
      </c>
    </row>
    <row r="827">
      <c r="A827" s="2" t="s">
        <v>1808</v>
      </c>
      <c r="B827" s="2">
        <v>21.0</v>
      </c>
      <c r="C827" s="2" t="s">
        <v>8</v>
      </c>
      <c r="D827" s="2" t="s">
        <v>1809</v>
      </c>
      <c r="E827" s="2">
        <v>5.0</v>
      </c>
      <c r="F827" s="2" t="s">
        <v>4</v>
      </c>
      <c r="G827" s="5">
        <v>2686757.0</v>
      </c>
      <c r="H827" s="2" t="s">
        <v>1575</v>
      </c>
      <c r="I827" s="2" t="s">
        <v>1572</v>
      </c>
      <c r="J827" s="2">
        <v>10106.0</v>
      </c>
      <c r="K827" s="2" t="s">
        <v>1598</v>
      </c>
      <c r="L827" s="2"/>
      <c r="M827" s="2"/>
      <c r="N827" s="7">
        <v>1.0</v>
      </c>
      <c r="O827" s="12">
        <v>26667.0</v>
      </c>
      <c r="P827" s="11" t="s">
        <v>1649</v>
      </c>
      <c r="Q827" s="12">
        <v>26667.0</v>
      </c>
      <c r="R827" s="11" t="s">
        <v>1649</v>
      </c>
      <c r="S827" s="11" t="s">
        <v>1674</v>
      </c>
      <c r="T827" s="11" t="s">
        <v>1675</v>
      </c>
      <c r="U827" s="2" t="s">
        <v>1574</v>
      </c>
      <c r="V827" s="2" t="s">
        <v>1568</v>
      </c>
      <c r="W827" s="2" t="s">
        <v>1569</v>
      </c>
      <c r="X827" s="2" t="s">
        <v>1570</v>
      </c>
      <c r="AB827" s="2" t="s">
        <v>1571</v>
      </c>
    </row>
    <row r="828">
      <c r="A828" s="2" t="s">
        <v>1808</v>
      </c>
      <c r="B828" s="2">
        <v>21.0</v>
      </c>
      <c r="C828" s="2" t="s">
        <v>8</v>
      </c>
      <c r="D828" s="2" t="s">
        <v>1809</v>
      </c>
      <c r="E828" s="2">
        <v>5.0</v>
      </c>
      <c r="F828" s="2" t="s">
        <v>4</v>
      </c>
      <c r="G828" s="5">
        <v>2686392.0</v>
      </c>
      <c r="H828" s="2" t="s">
        <v>1564</v>
      </c>
      <c r="I828" s="2" t="s">
        <v>1572</v>
      </c>
      <c r="J828" s="2">
        <v>10106.0</v>
      </c>
      <c r="K828" s="2" t="s">
        <v>1598</v>
      </c>
      <c r="L828" s="2"/>
      <c r="M828" s="2"/>
      <c r="N828" s="7">
        <v>-1.0</v>
      </c>
      <c r="O828" s="12">
        <v>-26667.0</v>
      </c>
      <c r="P828" s="11" t="s">
        <v>1649</v>
      </c>
      <c r="Q828" s="12">
        <v>-26667.0</v>
      </c>
      <c r="R828" s="11" t="s">
        <v>1650</v>
      </c>
      <c r="S828" s="11" t="s">
        <v>1699</v>
      </c>
      <c r="T828" s="11" t="s">
        <v>1700</v>
      </c>
      <c r="U828" s="2" t="s">
        <v>1574</v>
      </c>
      <c r="V828" s="2" t="s">
        <v>1568</v>
      </c>
      <c r="W828" s="2" t="s">
        <v>1569</v>
      </c>
      <c r="X828" s="2" t="s">
        <v>1570</v>
      </c>
      <c r="AB828" s="2" t="s">
        <v>1571</v>
      </c>
    </row>
    <row r="829">
      <c r="A829" s="2" t="s">
        <v>1808</v>
      </c>
      <c r="B829" s="2">
        <v>21.0</v>
      </c>
      <c r="C829" s="2" t="s">
        <v>8</v>
      </c>
      <c r="D829" s="2" t="s">
        <v>1809</v>
      </c>
      <c r="E829" s="2">
        <v>5.0</v>
      </c>
      <c r="F829" s="2" t="s">
        <v>4</v>
      </c>
      <c r="G829" s="5">
        <v>2686392.0</v>
      </c>
      <c r="H829" s="2" t="s">
        <v>1564</v>
      </c>
      <c r="I829" s="2" t="s">
        <v>1572</v>
      </c>
      <c r="J829" s="2">
        <v>10026.0</v>
      </c>
      <c r="K829" s="2" t="s">
        <v>1583</v>
      </c>
      <c r="L829" s="2"/>
      <c r="M829" s="2"/>
      <c r="N829" s="7">
        <v>-1.0</v>
      </c>
      <c r="O829" s="12">
        <v>-21905.0</v>
      </c>
      <c r="P829" s="11" t="s">
        <v>1649</v>
      </c>
      <c r="Q829" s="12">
        <v>-21905.0</v>
      </c>
      <c r="R829" s="11" t="s">
        <v>1650</v>
      </c>
      <c r="S829" s="11" t="s">
        <v>1662</v>
      </c>
      <c r="T829" s="11" t="s">
        <v>1810</v>
      </c>
      <c r="U829" s="2" t="s">
        <v>1574</v>
      </c>
      <c r="V829" s="2" t="s">
        <v>1568</v>
      </c>
      <c r="W829" s="2" t="s">
        <v>1569</v>
      </c>
      <c r="X829" s="2" t="s">
        <v>1570</v>
      </c>
      <c r="AB829" s="2" t="s">
        <v>1571</v>
      </c>
    </row>
    <row r="830">
      <c r="A830" s="2" t="s">
        <v>1808</v>
      </c>
      <c r="B830" s="2">
        <v>21.0</v>
      </c>
      <c r="C830" s="2" t="s">
        <v>8</v>
      </c>
      <c r="D830" s="2" t="s">
        <v>1809</v>
      </c>
      <c r="E830" s="2">
        <v>5.0</v>
      </c>
      <c r="F830" s="2" t="s">
        <v>4</v>
      </c>
      <c r="G830" s="5">
        <v>2686392.0</v>
      </c>
      <c r="H830" s="2" t="s">
        <v>1564</v>
      </c>
      <c r="I830" s="2" t="s">
        <v>1580</v>
      </c>
      <c r="J830" s="2">
        <v>10003.0</v>
      </c>
      <c r="K830" s="2" t="s">
        <v>1603</v>
      </c>
      <c r="L830" s="2"/>
      <c r="M830" s="2"/>
      <c r="N830" s="7">
        <v>-2.0</v>
      </c>
      <c r="O830" s="12">
        <v>-59048.0</v>
      </c>
      <c r="P830" s="11" t="s">
        <v>1649</v>
      </c>
      <c r="Q830" s="12">
        <v>-59048.0</v>
      </c>
      <c r="R830" s="11" t="s">
        <v>1650</v>
      </c>
      <c r="S830" s="11" t="s">
        <v>1811</v>
      </c>
      <c r="T830" s="11" t="s">
        <v>1812</v>
      </c>
      <c r="U830" s="2" t="s">
        <v>1574</v>
      </c>
      <c r="V830" s="2" t="s">
        <v>1568</v>
      </c>
      <c r="W830" s="2" t="s">
        <v>1569</v>
      </c>
      <c r="X830" s="2" t="s">
        <v>1570</v>
      </c>
      <c r="AB830" s="2" t="s">
        <v>1571</v>
      </c>
    </row>
    <row r="831">
      <c r="A831" s="2" t="s">
        <v>1808</v>
      </c>
      <c r="B831" s="2">
        <v>21.0</v>
      </c>
      <c r="C831" s="2" t="s">
        <v>8</v>
      </c>
      <c r="D831" s="2" t="s">
        <v>1809</v>
      </c>
      <c r="E831" s="2">
        <v>5.0</v>
      </c>
      <c r="F831" s="2" t="s">
        <v>4</v>
      </c>
      <c r="G831" s="5">
        <v>2686392.0</v>
      </c>
      <c r="H831" s="2" t="s">
        <v>1564</v>
      </c>
      <c r="I831" s="2" t="s">
        <v>1578</v>
      </c>
      <c r="J831" s="2">
        <v>10004.0</v>
      </c>
      <c r="K831" s="2" t="s">
        <v>1607</v>
      </c>
      <c r="L831" s="2"/>
      <c r="M831" s="2"/>
      <c r="N831" s="7">
        <v>-1.0</v>
      </c>
      <c r="O831" s="12">
        <v>-25238.0</v>
      </c>
      <c r="P831" s="11" t="s">
        <v>1649</v>
      </c>
      <c r="Q831" s="12">
        <v>-25238.0</v>
      </c>
      <c r="R831" s="11" t="s">
        <v>1650</v>
      </c>
      <c r="S831" s="11" t="s">
        <v>1730</v>
      </c>
      <c r="T831" s="11" t="s">
        <v>1731</v>
      </c>
      <c r="U831" s="2" t="s">
        <v>1574</v>
      </c>
      <c r="V831" s="2" t="s">
        <v>1568</v>
      </c>
      <c r="W831" s="2" t="s">
        <v>1569</v>
      </c>
      <c r="X831" s="2" t="s">
        <v>1570</v>
      </c>
      <c r="AB831" s="2" t="s">
        <v>1571</v>
      </c>
    </row>
    <row r="832">
      <c r="A832" s="2" t="s">
        <v>1808</v>
      </c>
      <c r="B832" s="2">
        <v>21.0</v>
      </c>
      <c r="C832" s="2" t="s">
        <v>8</v>
      </c>
      <c r="D832" s="2" t="s">
        <v>1809</v>
      </c>
      <c r="E832" s="2">
        <v>5.0</v>
      </c>
      <c r="F832" s="2" t="s">
        <v>4</v>
      </c>
      <c r="G832" s="5">
        <v>2686392.0</v>
      </c>
      <c r="H832" s="2" t="s">
        <v>1564</v>
      </c>
      <c r="I832" s="2" t="s">
        <v>1572</v>
      </c>
      <c r="J832" s="2">
        <v>10117.0</v>
      </c>
      <c r="K832" s="2" t="s">
        <v>1589</v>
      </c>
      <c r="L832" s="2"/>
      <c r="M832" s="2"/>
      <c r="N832" s="7">
        <v>-1.0</v>
      </c>
      <c r="O832" s="12">
        <v>-14286.0</v>
      </c>
      <c r="P832" s="11" t="s">
        <v>1649</v>
      </c>
      <c r="Q832" s="12">
        <v>-14286.0</v>
      </c>
      <c r="R832" s="11" t="s">
        <v>1650</v>
      </c>
      <c r="S832" s="11" t="s">
        <v>1813</v>
      </c>
      <c r="T832" s="11" t="s">
        <v>1814</v>
      </c>
      <c r="U832" s="2" t="s">
        <v>1574</v>
      </c>
      <c r="V832" s="2" t="s">
        <v>1568</v>
      </c>
      <c r="W832" s="2" t="s">
        <v>1569</v>
      </c>
      <c r="X832" s="2" t="s">
        <v>1570</v>
      </c>
      <c r="AB832" s="2" t="s">
        <v>1571</v>
      </c>
    </row>
    <row r="833">
      <c r="A833" s="2" t="s">
        <v>1808</v>
      </c>
      <c r="B833" s="2">
        <v>21.0</v>
      </c>
      <c r="C833" s="2" t="s">
        <v>8</v>
      </c>
      <c r="D833" s="2" t="s">
        <v>1809</v>
      </c>
      <c r="E833" s="2">
        <v>5.0</v>
      </c>
      <c r="F833" s="2" t="s">
        <v>4</v>
      </c>
      <c r="G833" s="5">
        <v>2686392.0</v>
      </c>
      <c r="H833" s="2" t="s">
        <v>1564</v>
      </c>
      <c r="I833" s="2" t="s">
        <v>1572</v>
      </c>
      <c r="J833" s="2">
        <v>10107.0</v>
      </c>
      <c r="K833" s="2" t="s">
        <v>1584</v>
      </c>
      <c r="L833" s="2"/>
      <c r="M833" s="2"/>
      <c r="N833" s="7">
        <v>-1.0</v>
      </c>
      <c r="O833" s="12">
        <v>-26667.0</v>
      </c>
      <c r="P833" s="11" t="s">
        <v>1649</v>
      </c>
      <c r="Q833" s="12">
        <v>-26667.0</v>
      </c>
      <c r="R833" s="11" t="s">
        <v>1650</v>
      </c>
      <c r="S833" s="11" t="s">
        <v>1699</v>
      </c>
      <c r="T833" s="11" t="s">
        <v>1815</v>
      </c>
      <c r="U833" s="2" t="s">
        <v>1574</v>
      </c>
      <c r="V833" s="2" t="s">
        <v>1568</v>
      </c>
      <c r="W833" s="2" t="s">
        <v>1569</v>
      </c>
      <c r="X833" s="2" t="s">
        <v>1570</v>
      </c>
      <c r="AB833" s="2" t="s">
        <v>1571</v>
      </c>
    </row>
    <row r="834">
      <c r="A834" s="2" t="s">
        <v>1808</v>
      </c>
      <c r="B834" s="2">
        <v>19.0</v>
      </c>
      <c r="C834" s="2" t="s">
        <v>8</v>
      </c>
      <c r="D834" s="2" t="s">
        <v>1809</v>
      </c>
      <c r="E834" s="2">
        <v>5.0</v>
      </c>
      <c r="F834" s="2" t="s">
        <v>4</v>
      </c>
      <c r="G834" s="5">
        <v>2686027.0</v>
      </c>
      <c r="H834" s="2" t="s">
        <v>1575</v>
      </c>
      <c r="I834" s="2" t="s">
        <v>1565</v>
      </c>
      <c r="J834" s="2">
        <v>10005.0</v>
      </c>
      <c r="K834" s="2" t="s">
        <v>1595</v>
      </c>
      <c r="L834" s="2"/>
      <c r="M834" s="2"/>
      <c r="N834" s="7">
        <v>1.0</v>
      </c>
      <c r="O834" s="12">
        <v>19524.0</v>
      </c>
      <c r="P834" s="11" t="s">
        <v>1649</v>
      </c>
      <c r="Q834" s="12">
        <v>19524.0</v>
      </c>
      <c r="R834" s="11" t="s">
        <v>1649</v>
      </c>
      <c r="S834" s="11" t="s">
        <v>1676</v>
      </c>
      <c r="T834" s="11" t="s">
        <v>1677</v>
      </c>
      <c r="U834" s="2" t="s">
        <v>1574</v>
      </c>
      <c r="V834" s="2" t="s">
        <v>1568</v>
      </c>
      <c r="W834" s="2" t="s">
        <v>1569</v>
      </c>
      <c r="X834" s="2" t="s">
        <v>1570</v>
      </c>
      <c r="AB834" s="2" t="s">
        <v>1571</v>
      </c>
    </row>
    <row r="835">
      <c r="A835" s="2" t="s">
        <v>1808</v>
      </c>
      <c r="B835" s="2">
        <v>19.0</v>
      </c>
      <c r="C835" s="2" t="s">
        <v>8</v>
      </c>
      <c r="D835" s="2" t="s">
        <v>1809</v>
      </c>
      <c r="E835" s="2">
        <v>5.0</v>
      </c>
      <c r="F835" s="2" t="s">
        <v>4</v>
      </c>
      <c r="G835" s="5">
        <v>2686027.0</v>
      </c>
      <c r="H835" s="2" t="s">
        <v>1575</v>
      </c>
      <c r="I835" s="2" t="s">
        <v>1572</v>
      </c>
      <c r="J835" s="2">
        <v>10125.0</v>
      </c>
      <c r="K835" s="2" t="s">
        <v>1601</v>
      </c>
      <c r="L835" s="2"/>
      <c r="M835" s="2"/>
      <c r="N835" s="7">
        <v>1.0</v>
      </c>
      <c r="O835" s="12">
        <v>20476.0</v>
      </c>
      <c r="P835" s="11" t="s">
        <v>1649</v>
      </c>
      <c r="Q835" s="12">
        <v>20476.0</v>
      </c>
      <c r="R835" s="11" t="s">
        <v>1649</v>
      </c>
      <c r="S835" s="11" t="s">
        <v>1716</v>
      </c>
      <c r="T835" s="11" t="s">
        <v>1717</v>
      </c>
      <c r="U835" s="2" t="s">
        <v>1574</v>
      </c>
      <c r="V835" s="2" t="s">
        <v>1568</v>
      </c>
      <c r="W835" s="2" t="s">
        <v>1569</v>
      </c>
      <c r="X835" s="2" t="s">
        <v>1570</v>
      </c>
      <c r="AB835" s="2" t="s">
        <v>1571</v>
      </c>
    </row>
    <row r="836">
      <c r="A836" s="2" t="s">
        <v>1808</v>
      </c>
      <c r="B836" s="2">
        <v>19.0</v>
      </c>
      <c r="C836" s="2" t="s">
        <v>8</v>
      </c>
      <c r="D836" s="2" t="s">
        <v>1809</v>
      </c>
      <c r="E836" s="2">
        <v>5.0</v>
      </c>
      <c r="F836" s="2" t="s">
        <v>4</v>
      </c>
      <c r="G836" s="5">
        <v>2685662.0</v>
      </c>
      <c r="H836" s="2" t="s">
        <v>1575</v>
      </c>
      <c r="I836" s="2" t="s">
        <v>1565</v>
      </c>
      <c r="J836" s="2">
        <v>10055.0</v>
      </c>
      <c r="K836" s="2" t="s">
        <v>1595</v>
      </c>
      <c r="L836" s="2"/>
      <c r="M836" s="2"/>
      <c r="N836" s="7">
        <v>2.0</v>
      </c>
      <c r="O836" s="12">
        <v>34762.0</v>
      </c>
      <c r="P836" s="11" t="s">
        <v>1649</v>
      </c>
      <c r="Q836" s="12">
        <v>34762.0</v>
      </c>
      <c r="R836" s="11" t="s">
        <v>1649</v>
      </c>
      <c r="S836" s="11" t="s">
        <v>1670</v>
      </c>
      <c r="T836" s="11" t="s">
        <v>1671</v>
      </c>
      <c r="U836" s="2" t="s">
        <v>1574</v>
      </c>
      <c r="V836" s="2" t="s">
        <v>1568</v>
      </c>
      <c r="W836" s="2" t="s">
        <v>1569</v>
      </c>
      <c r="X836" s="2" t="s">
        <v>1570</v>
      </c>
      <c r="AB836" s="2" t="s">
        <v>1571</v>
      </c>
    </row>
    <row r="837">
      <c r="A837" s="2" t="s">
        <v>1808</v>
      </c>
      <c r="B837" s="2">
        <v>19.0</v>
      </c>
      <c r="C837" s="2" t="s">
        <v>8</v>
      </c>
      <c r="D837" s="2" t="s">
        <v>1809</v>
      </c>
      <c r="E837" s="2">
        <v>5.0</v>
      </c>
      <c r="F837" s="2" t="s">
        <v>4</v>
      </c>
      <c r="G837" s="5">
        <v>2685662.0</v>
      </c>
      <c r="H837" s="2" t="s">
        <v>1575</v>
      </c>
      <c r="I837" s="2" t="s">
        <v>1565</v>
      </c>
      <c r="J837" s="2">
        <v>10000.0</v>
      </c>
      <c r="K837" s="2" t="s">
        <v>1566</v>
      </c>
      <c r="L837" s="2"/>
      <c r="M837" s="2"/>
      <c r="N837" s="7">
        <v>1.0</v>
      </c>
      <c r="O837" s="12">
        <v>29524.0</v>
      </c>
      <c r="P837" s="11" t="s">
        <v>1649</v>
      </c>
      <c r="Q837" s="12">
        <v>29524.0</v>
      </c>
      <c r="R837" s="11" t="s">
        <v>1649</v>
      </c>
      <c r="S837" s="11" t="s">
        <v>1683</v>
      </c>
      <c r="T837" s="11" t="s">
        <v>1684</v>
      </c>
      <c r="U837" s="2" t="s">
        <v>1574</v>
      </c>
      <c r="V837" s="2" t="s">
        <v>1568</v>
      </c>
      <c r="W837" s="2" t="s">
        <v>1569</v>
      </c>
      <c r="X837" s="2" t="s">
        <v>1570</v>
      </c>
      <c r="AB837" s="2" t="s">
        <v>1571</v>
      </c>
    </row>
    <row r="838">
      <c r="A838" s="2" t="s">
        <v>1808</v>
      </c>
      <c r="B838" s="2">
        <v>19.0</v>
      </c>
      <c r="C838" s="2" t="s">
        <v>8</v>
      </c>
      <c r="D838" s="2" t="s">
        <v>1809</v>
      </c>
      <c r="E838" s="2">
        <v>5.0</v>
      </c>
      <c r="F838" s="2" t="s">
        <v>4</v>
      </c>
      <c r="G838" s="5">
        <v>2685296.0</v>
      </c>
      <c r="H838" s="2" t="s">
        <v>1575</v>
      </c>
      <c r="I838" s="2" t="s">
        <v>1565</v>
      </c>
      <c r="J838" s="2">
        <v>10000.0</v>
      </c>
      <c r="K838" s="2" t="s">
        <v>1566</v>
      </c>
      <c r="L838" s="2"/>
      <c r="M838" s="2"/>
      <c r="N838" s="7">
        <v>1.0</v>
      </c>
      <c r="O838" s="12">
        <v>29524.0</v>
      </c>
      <c r="P838" s="11" t="s">
        <v>1649</v>
      </c>
      <c r="Q838" s="12">
        <v>29524.0</v>
      </c>
      <c r="R838" s="11" t="s">
        <v>1649</v>
      </c>
      <c r="S838" s="11" t="s">
        <v>1683</v>
      </c>
      <c r="T838" s="11" t="s">
        <v>1684</v>
      </c>
      <c r="U838" s="2" t="s">
        <v>1574</v>
      </c>
      <c r="V838" s="2" t="s">
        <v>1568</v>
      </c>
      <c r="W838" s="2" t="s">
        <v>1569</v>
      </c>
      <c r="X838" s="2" t="s">
        <v>1570</v>
      </c>
      <c r="AB838" s="2" t="s">
        <v>1571</v>
      </c>
    </row>
    <row r="839">
      <c r="A839" s="2" t="s">
        <v>1808</v>
      </c>
      <c r="B839" s="2">
        <v>18.0</v>
      </c>
      <c r="C839" s="2" t="s">
        <v>8</v>
      </c>
      <c r="D839" s="2" t="s">
        <v>1809</v>
      </c>
      <c r="E839" s="2">
        <v>5.0</v>
      </c>
      <c r="F839" s="2" t="s">
        <v>4</v>
      </c>
      <c r="G839" s="5">
        <v>2684931.0</v>
      </c>
      <c r="H839" s="2" t="s">
        <v>1575</v>
      </c>
      <c r="I839" s="2" t="s">
        <v>1572</v>
      </c>
      <c r="J839" s="2">
        <v>10122.0</v>
      </c>
      <c r="K839" s="2" t="s">
        <v>1577</v>
      </c>
      <c r="L839" s="2"/>
      <c r="M839" s="2"/>
      <c r="N839" s="7">
        <v>2.0</v>
      </c>
      <c r="O839" s="12">
        <v>43810.0</v>
      </c>
      <c r="P839" s="11" t="s">
        <v>1649</v>
      </c>
      <c r="Q839" s="12">
        <v>43810.0</v>
      </c>
      <c r="R839" s="11" t="s">
        <v>1649</v>
      </c>
      <c r="S839" s="11" t="s">
        <v>1658</v>
      </c>
      <c r="T839" s="11" t="s">
        <v>1659</v>
      </c>
      <c r="U839" s="2" t="s">
        <v>1574</v>
      </c>
      <c r="V839" s="2" t="s">
        <v>1568</v>
      </c>
      <c r="W839" s="2" t="s">
        <v>1569</v>
      </c>
      <c r="X839" s="2" t="s">
        <v>1570</v>
      </c>
      <c r="AB839" s="2" t="s">
        <v>1571</v>
      </c>
    </row>
    <row r="840">
      <c r="A840" s="2" t="s">
        <v>1808</v>
      </c>
      <c r="B840" s="2">
        <v>18.0</v>
      </c>
      <c r="C840" s="2" t="s">
        <v>8</v>
      </c>
      <c r="D840" s="2" t="s">
        <v>1809</v>
      </c>
      <c r="E840" s="2">
        <v>5.0</v>
      </c>
      <c r="F840" s="2" t="s">
        <v>4</v>
      </c>
      <c r="G840" s="5">
        <v>2684931.0</v>
      </c>
      <c r="H840" s="2" t="s">
        <v>1575</v>
      </c>
      <c r="I840" s="2" t="s">
        <v>1565</v>
      </c>
      <c r="J840" s="2">
        <v>10034.0</v>
      </c>
      <c r="K840" s="2" t="s">
        <v>1616</v>
      </c>
      <c r="L840" s="2"/>
      <c r="M840" s="2"/>
      <c r="N840" s="7">
        <v>1.0</v>
      </c>
      <c r="O840" s="12">
        <v>21905.0</v>
      </c>
      <c r="P840" s="11" t="s">
        <v>1649</v>
      </c>
      <c r="Q840" s="12">
        <v>21905.0</v>
      </c>
      <c r="R840" s="11" t="s">
        <v>1649</v>
      </c>
      <c r="S840" s="11" t="s">
        <v>1666</v>
      </c>
      <c r="T840" s="11" t="s">
        <v>1667</v>
      </c>
      <c r="U840" s="2" t="s">
        <v>1574</v>
      </c>
      <c r="V840" s="2" t="s">
        <v>1568</v>
      </c>
      <c r="W840" s="2" t="s">
        <v>1569</v>
      </c>
      <c r="X840" s="2" t="s">
        <v>1570</v>
      </c>
      <c r="AB840" s="2" t="s">
        <v>1571</v>
      </c>
    </row>
    <row r="841">
      <c r="A841" s="2" t="s">
        <v>1808</v>
      </c>
      <c r="B841" s="2">
        <v>18.0</v>
      </c>
      <c r="C841" s="2" t="s">
        <v>8</v>
      </c>
      <c r="D841" s="2" t="s">
        <v>1809</v>
      </c>
      <c r="E841" s="2">
        <v>5.0</v>
      </c>
      <c r="F841" s="2" t="s">
        <v>4</v>
      </c>
      <c r="G841" s="5">
        <v>2684566.0</v>
      </c>
      <c r="H841" s="2" t="s">
        <v>1564</v>
      </c>
      <c r="I841" s="2" t="s">
        <v>1565</v>
      </c>
      <c r="J841" s="2">
        <v>10005.0</v>
      </c>
      <c r="K841" s="2" t="s">
        <v>1595</v>
      </c>
      <c r="L841" s="2"/>
      <c r="M841" s="2"/>
      <c r="N841" s="7">
        <v>-1.0</v>
      </c>
      <c r="O841" s="12">
        <v>-19524.0</v>
      </c>
      <c r="P841" s="11" t="s">
        <v>1649</v>
      </c>
      <c r="Q841" s="12">
        <v>-19524.0</v>
      </c>
      <c r="R841" s="11" t="s">
        <v>1650</v>
      </c>
      <c r="S841" s="11" t="s">
        <v>1704</v>
      </c>
      <c r="T841" s="11" t="s">
        <v>1705</v>
      </c>
      <c r="U841" s="2" t="s">
        <v>1574</v>
      </c>
      <c r="V841" s="2" t="s">
        <v>1568</v>
      </c>
      <c r="W841" s="2" t="s">
        <v>1569</v>
      </c>
      <c r="X841" s="2" t="s">
        <v>1570</v>
      </c>
      <c r="AB841" s="2" t="s">
        <v>1571</v>
      </c>
    </row>
    <row r="842">
      <c r="A842" s="2" t="s">
        <v>1808</v>
      </c>
      <c r="B842" s="2">
        <v>18.0</v>
      </c>
      <c r="C842" s="2" t="s">
        <v>8</v>
      </c>
      <c r="D842" s="2" t="s">
        <v>1809</v>
      </c>
      <c r="E842" s="2">
        <v>5.0</v>
      </c>
      <c r="F842" s="2" t="s">
        <v>4</v>
      </c>
      <c r="G842" s="5">
        <v>2684566.0</v>
      </c>
      <c r="H842" s="2" t="s">
        <v>1564</v>
      </c>
      <c r="I842" s="2" t="s">
        <v>1572</v>
      </c>
      <c r="J842" s="2">
        <v>10122.0</v>
      </c>
      <c r="K842" s="2" t="s">
        <v>1577</v>
      </c>
      <c r="L842" s="2"/>
      <c r="M842" s="2"/>
      <c r="N842" s="7">
        <v>-2.0</v>
      </c>
      <c r="O842" s="12">
        <v>-43810.0</v>
      </c>
      <c r="P842" s="11" t="s">
        <v>1649</v>
      </c>
      <c r="Q842" s="12">
        <v>-43810.0</v>
      </c>
      <c r="R842" s="11" t="s">
        <v>1650</v>
      </c>
      <c r="S842" s="11" t="s">
        <v>1816</v>
      </c>
      <c r="T842" s="11" t="s">
        <v>1817</v>
      </c>
      <c r="U842" s="2" t="s">
        <v>1574</v>
      </c>
      <c r="V842" s="2" t="s">
        <v>1568</v>
      </c>
      <c r="W842" s="2" t="s">
        <v>1569</v>
      </c>
      <c r="X842" s="2" t="s">
        <v>1570</v>
      </c>
      <c r="AB842" s="2" t="s">
        <v>1571</v>
      </c>
    </row>
    <row r="843">
      <c r="A843" s="2" t="s">
        <v>1808</v>
      </c>
      <c r="B843" s="2">
        <v>18.0</v>
      </c>
      <c r="C843" s="2" t="s">
        <v>8</v>
      </c>
      <c r="D843" s="2" t="s">
        <v>1809</v>
      </c>
      <c r="E843" s="2">
        <v>5.0</v>
      </c>
      <c r="F843" s="2" t="s">
        <v>4</v>
      </c>
      <c r="G843" s="5">
        <v>2684201.0</v>
      </c>
      <c r="H843" s="2" t="s">
        <v>1575</v>
      </c>
      <c r="I843" s="2" t="s">
        <v>1572</v>
      </c>
      <c r="J843" s="2">
        <v>10106.0</v>
      </c>
      <c r="K843" s="2" t="s">
        <v>1598</v>
      </c>
      <c r="L843" s="2"/>
      <c r="M843" s="2"/>
      <c r="N843" s="7">
        <v>1.0</v>
      </c>
      <c r="O843" s="12">
        <v>26667.0</v>
      </c>
      <c r="P843" s="11" t="s">
        <v>1649</v>
      </c>
      <c r="Q843" s="12">
        <v>26667.0</v>
      </c>
      <c r="R843" s="11" t="s">
        <v>1649</v>
      </c>
      <c r="S843" s="11" t="s">
        <v>1674</v>
      </c>
      <c r="T843" s="11" t="s">
        <v>1679</v>
      </c>
      <c r="U843" s="2" t="s">
        <v>1574</v>
      </c>
      <c r="V843" s="2" t="s">
        <v>1568</v>
      </c>
      <c r="W843" s="2" t="s">
        <v>1569</v>
      </c>
      <c r="X843" s="2" t="s">
        <v>1570</v>
      </c>
      <c r="AB843" s="2" t="s">
        <v>1571</v>
      </c>
    </row>
    <row r="844">
      <c r="A844" s="2" t="s">
        <v>1808</v>
      </c>
      <c r="B844" s="2">
        <v>18.0</v>
      </c>
      <c r="C844" s="2" t="s">
        <v>8</v>
      </c>
      <c r="D844" s="2" t="s">
        <v>1809</v>
      </c>
      <c r="E844" s="2">
        <v>5.0</v>
      </c>
      <c r="F844" s="2" t="s">
        <v>4</v>
      </c>
      <c r="G844" s="5">
        <v>2684201.0</v>
      </c>
      <c r="H844" s="2" t="s">
        <v>1575</v>
      </c>
      <c r="I844" s="2" t="s">
        <v>1572</v>
      </c>
      <c r="J844" s="2">
        <v>10026.0</v>
      </c>
      <c r="K844" s="2" t="s">
        <v>1583</v>
      </c>
      <c r="L844" s="2"/>
      <c r="M844" s="2"/>
      <c r="N844" s="7">
        <v>1.0</v>
      </c>
      <c r="O844" s="12">
        <v>21905.0</v>
      </c>
      <c r="P844" s="11" t="s">
        <v>1649</v>
      </c>
      <c r="Q844" s="12">
        <v>21905.0</v>
      </c>
      <c r="R844" s="11" t="s">
        <v>1649</v>
      </c>
      <c r="S844" s="11" t="s">
        <v>1666</v>
      </c>
      <c r="T844" s="11" t="s">
        <v>1687</v>
      </c>
      <c r="U844" s="2" t="s">
        <v>1574</v>
      </c>
      <c r="V844" s="2" t="s">
        <v>1568</v>
      </c>
      <c r="W844" s="2" t="s">
        <v>1569</v>
      </c>
      <c r="X844" s="2" t="s">
        <v>1570</v>
      </c>
      <c r="AB844" s="2" t="s">
        <v>1571</v>
      </c>
    </row>
    <row r="845">
      <c r="A845" s="2" t="s">
        <v>1808</v>
      </c>
      <c r="B845" s="2">
        <v>18.0</v>
      </c>
      <c r="C845" s="2" t="s">
        <v>8</v>
      </c>
      <c r="D845" s="2" t="s">
        <v>1809</v>
      </c>
      <c r="E845" s="2">
        <v>5.0</v>
      </c>
      <c r="F845" s="2" t="s">
        <v>4</v>
      </c>
      <c r="G845" s="5">
        <v>2684201.0</v>
      </c>
      <c r="H845" s="2" t="s">
        <v>1575</v>
      </c>
      <c r="I845" s="2" t="s">
        <v>1580</v>
      </c>
      <c r="J845" s="2">
        <v>10003.0</v>
      </c>
      <c r="K845" s="2" t="s">
        <v>1603</v>
      </c>
      <c r="L845" s="2"/>
      <c r="M845" s="2"/>
      <c r="N845" s="7">
        <v>2.0</v>
      </c>
      <c r="O845" s="12">
        <v>59048.0</v>
      </c>
      <c r="P845" s="11" t="s">
        <v>1649</v>
      </c>
      <c r="Q845" s="12">
        <v>59048.0</v>
      </c>
      <c r="R845" s="11" t="s">
        <v>1649</v>
      </c>
      <c r="S845" s="11" t="s">
        <v>1732</v>
      </c>
      <c r="T845" s="11" t="s">
        <v>1733</v>
      </c>
      <c r="U845" s="2" t="s">
        <v>1574</v>
      </c>
      <c r="V845" s="2" t="s">
        <v>1568</v>
      </c>
      <c r="W845" s="2" t="s">
        <v>1569</v>
      </c>
      <c r="X845" s="2" t="s">
        <v>1570</v>
      </c>
      <c r="AB845" s="2" t="s">
        <v>1571</v>
      </c>
    </row>
    <row r="846">
      <c r="A846" s="2" t="s">
        <v>1808</v>
      </c>
      <c r="B846" s="2">
        <v>18.0</v>
      </c>
      <c r="C846" s="2" t="s">
        <v>8</v>
      </c>
      <c r="D846" s="2" t="s">
        <v>1809</v>
      </c>
      <c r="E846" s="2">
        <v>5.0</v>
      </c>
      <c r="F846" s="2" t="s">
        <v>4</v>
      </c>
      <c r="G846" s="5">
        <v>2684201.0</v>
      </c>
      <c r="H846" s="2" t="s">
        <v>1575</v>
      </c>
      <c r="I846" s="2" t="s">
        <v>1578</v>
      </c>
      <c r="J846" s="2">
        <v>10004.0</v>
      </c>
      <c r="K846" s="2" t="s">
        <v>1607</v>
      </c>
      <c r="L846" s="2"/>
      <c r="M846" s="2"/>
      <c r="N846" s="7">
        <v>1.0</v>
      </c>
      <c r="O846" s="12">
        <v>25238.0</v>
      </c>
      <c r="P846" s="11" t="s">
        <v>1649</v>
      </c>
      <c r="Q846" s="12">
        <v>25238.0</v>
      </c>
      <c r="R846" s="11" t="s">
        <v>1649</v>
      </c>
      <c r="S846" s="11" t="s">
        <v>1660</v>
      </c>
      <c r="T846" s="11" t="s">
        <v>1680</v>
      </c>
      <c r="U846" s="2" t="s">
        <v>1574</v>
      </c>
      <c r="V846" s="2" t="s">
        <v>1568</v>
      </c>
      <c r="W846" s="2" t="s">
        <v>1569</v>
      </c>
      <c r="X846" s="2" t="s">
        <v>1570</v>
      </c>
      <c r="AB846" s="2" t="s">
        <v>1571</v>
      </c>
    </row>
    <row r="847">
      <c r="A847" s="2" t="s">
        <v>1808</v>
      </c>
      <c r="B847" s="2">
        <v>18.0</v>
      </c>
      <c r="C847" s="2" t="s">
        <v>8</v>
      </c>
      <c r="D847" s="2" t="s">
        <v>1809</v>
      </c>
      <c r="E847" s="2">
        <v>5.0</v>
      </c>
      <c r="F847" s="2" t="s">
        <v>4</v>
      </c>
      <c r="G847" s="5">
        <v>2684201.0</v>
      </c>
      <c r="H847" s="2" t="s">
        <v>1575</v>
      </c>
      <c r="I847" s="2" t="s">
        <v>1572</v>
      </c>
      <c r="J847" s="2">
        <v>10117.0</v>
      </c>
      <c r="K847" s="2" t="s">
        <v>1589</v>
      </c>
      <c r="L847" s="2"/>
      <c r="M847" s="2"/>
      <c r="N847" s="7">
        <v>1.0</v>
      </c>
      <c r="O847" s="12">
        <v>14286.0</v>
      </c>
      <c r="P847" s="11" t="s">
        <v>1649</v>
      </c>
      <c r="Q847" s="12">
        <v>14286.0</v>
      </c>
      <c r="R847" s="11" t="s">
        <v>1649</v>
      </c>
      <c r="S847" s="11" t="s">
        <v>1685</v>
      </c>
      <c r="T847" s="11" t="s">
        <v>1686</v>
      </c>
      <c r="U847" s="2" t="s">
        <v>1574</v>
      </c>
      <c r="V847" s="2" t="s">
        <v>1568</v>
      </c>
      <c r="W847" s="2" t="s">
        <v>1569</v>
      </c>
      <c r="X847" s="2" t="s">
        <v>1570</v>
      </c>
      <c r="AB847" s="2" t="s">
        <v>1571</v>
      </c>
    </row>
    <row r="848">
      <c r="A848" s="2" t="s">
        <v>1808</v>
      </c>
      <c r="B848" s="2">
        <v>18.0</v>
      </c>
      <c r="C848" s="2" t="s">
        <v>8</v>
      </c>
      <c r="D848" s="2" t="s">
        <v>1809</v>
      </c>
      <c r="E848" s="2">
        <v>5.0</v>
      </c>
      <c r="F848" s="2" t="s">
        <v>4</v>
      </c>
      <c r="G848" s="5">
        <v>2684201.0</v>
      </c>
      <c r="H848" s="2" t="s">
        <v>1575</v>
      </c>
      <c r="I848" s="2" t="s">
        <v>1572</v>
      </c>
      <c r="J848" s="2">
        <v>10107.0</v>
      </c>
      <c r="K848" s="2" t="s">
        <v>1584</v>
      </c>
      <c r="L848" s="2"/>
      <c r="M848" s="2"/>
      <c r="N848" s="7">
        <v>1.0</v>
      </c>
      <c r="O848" s="12">
        <v>26667.0</v>
      </c>
      <c r="P848" s="11" t="s">
        <v>1649</v>
      </c>
      <c r="Q848" s="12">
        <v>26667.0</v>
      </c>
      <c r="R848" s="11" t="s">
        <v>1649</v>
      </c>
      <c r="S848" s="11" t="s">
        <v>1674</v>
      </c>
      <c r="T848" s="11" t="s">
        <v>1675</v>
      </c>
      <c r="U848" s="2" t="s">
        <v>1574</v>
      </c>
      <c r="V848" s="2" t="s">
        <v>1568</v>
      </c>
      <c r="W848" s="2" t="s">
        <v>1569</v>
      </c>
      <c r="X848" s="2" t="s">
        <v>1570</v>
      </c>
      <c r="AB848" s="2" t="s">
        <v>1571</v>
      </c>
    </row>
    <row r="849">
      <c r="A849" s="2" t="s">
        <v>1808</v>
      </c>
      <c r="B849" s="2">
        <v>18.0</v>
      </c>
      <c r="C849" s="2" t="s">
        <v>8</v>
      </c>
      <c r="D849" s="2" t="s">
        <v>1809</v>
      </c>
      <c r="E849" s="2">
        <v>5.0</v>
      </c>
      <c r="F849" s="2" t="s">
        <v>4</v>
      </c>
      <c r="G849" s="5">
        <v>2683835.0</v>
      </c>
      <c r="H849" s="2" t="s">
        <v>1575</v>
      </c>
      <c r="I849" s="2" t="s">
        <v>1565</v>
      </c>
      <c r="J849" s="2">
        <v>10005.0</v>
      </c>
      <c r="K849" s="2" t="s">
        <v>1595</v>
      </c>
      <c r="L849" s="2"/>
      <c r="M849" s="2"/>
      <c r="N849" s="7">
        <v>1.0</v>
      </c>
      <c r="O849" s="12">
        <v>19524.0</v>
      </c>
      <c r="P849" s="11" t="s">
        <v>1649</v>
      </c>
      <c r="Q849" s="12">
        <v>19524.0</v>
      </c>
      <c r="R849" s="11" t="s">
        <v>1649</v>
      </c>
      <c r="S849" s="11" t="s">
        <v>1676</v>
      </c>
      <c r="T849" s="11" t="s">
        <v>1677</v>
      </c>
      <c r="U849" s="2" t="s">
        <v>1574</v>
      </c>
      <c r="V849" s="2" t="s">
        <v>1568</v>
      </c>
      <c r="W849" s="2" t="s">
        <v>1569</v>
      </c>
      <c r="X849" s="2" t="s">
        <v>1570</v>
      </c>
      <c r="AB849" s="2" t="s">
        <v>1571</v>
      </c>
    </row>
    <row r="850">
      <c r="A850" s="2" t="s">
        <v>1808</v>
      </c>
      <c r="B850" s="2">
        <v>18.0</v>
      </c>
      <c r="C850" s="2" t="s">
        <v>8</v>
      </c>
      <c r="D850" s="2" t="s">
        <v>1809</v>
      </c>
      <c r="E850" s="2">
        <v>5.0</v>
      </c>
      <c r="F850" s="2" t="s">
        <v>4</v>
      </c>
      <c r="G850" s="5">
        <v>2683835.0</v>
      </c>
      <c r="H850" s="2" t="s">
        <v>1575</v>
      </c>
      <c r="I850" s="2" t="s">
        <v>1572</v>
      </c>
      <c r="J850" s="2">
        <v>10122.0</v>
      </c>
      <c r="K850" s="2" t="s">
        <v>1577</v>
      </c>
      <c r="L850" s="2"/>
      <c r="M850" s="2"/>
      <c r="N850" s="7">
        <v>2.0</v>
      </c>
      <c r="O850" s="12">
        <v>43810.0</v>
      </c>
      <c r="P850" s="11" t="s">
        <v>1649</v>
      </c>
      <c r="Q850" s="12">
        <v>43810.0</v>
      </c>
      <c r="R850" s="11" t="s">
        <v>1649</v>
      </c>
      <c r="S850" s="11" t="s">
        <v>1658</v>
      </c>
      <c r="T850" s="11" t="s">
        <v>1659</v>
      </c>
      <c r="U850" s="2" t="s">
        <v>1574</v>
      </c>
      <c r="V850" s="2" t="s">
        <v>1568</v>
      </c>
      <c r="W850" s="2" t="s">
        <v>1569</v>
      </c>
      <c r="X850" s="2" t="s">
        <v>1570</v>
      </c>
      <c r="AB850" s="2" t="s">
        <v>1571</v>
      </c>
    </row>
    <row r="851">
      <c r="A851" s="2" t="s">
        <v>1808</v>
      </c>
      <c r="B851" s="2">
        <v>18.0</v>
      </c>
      <c r="C851" s="2" t="s">
        <v>8</v>
      </c>
      <c r="D851" s="2" t="s">
        <v>1809</v>
      </c>
      <c r="E851" s="2">
        <v>5.0</v>
      </c>
      <c r="F851" s="2" t="s">
        <v>4</v>
      </c>
      <c r="G851" s="5">
        <v>2683470.0</v>
      </c>
      <c r="H851" s="2" t="s">
        <v>1564</v>
      </c>
      <c r="I851" s="2" t="s">
        <v>1565</v>
      </c>
      <c r="J851" s="2">
        <v>10034.0</v>
      </c>
      <c r="K851" s="2" t="s">
        <v>1616</v>
      </c>
      <c r="L851" s="2"/>
      <c r="M851" s="2"/>
      <c r="N851" s="7">
        <v>-1.0</v>
      </c>
      <c r="O851" s="12">
        <v>-21905.0</v>
      </c>
      <c r="P851" s="11" t="s">
        <v>1649</v>
      </c>
      <c r="Q851" s="12">
        <v>-21905.0</v>
      </c>
      <c r="R851" s="11" t="s">
        <v>1650</v>
      </c>
      <c r="S851" s="11" t="s">
        <v>1662</v>
      </c>
      <c r="T851" s="11" t="s">
        <v>1663</v>
      </c>
      <c r="U851" s="2" t="s">
        <v>1574</v>
      </c>
      <c r="V851" s="2" t="s">
        <v>1568</v>
      </c>
      <c r="W851" s="2" t="s">
        <v>1569</v>
      </c>
      <c r="X851" s="2" t="s">
        <v>1570</v>
      </c>
      <c r="AB851" s="2" t="s">
        <v>1571</v>
      </c>
    </row>
    <row r="852">
      <c r="A852" s="2" t="s">
        <v>1808</v>
      </c>
      <c r="B852" s="2">
        <v>18.0</v>
      </c>
      <c r="C852" s="2" t="s">
        <v>8</v>
      </c>
      <c r="D852" s="2" t="s">
        <v>1809</v>
      </c>
      <c r="E852" s="2">
        <v>5.0</v>
      </c>
      <c r="F852" s="2" t="s">
        <v>4</v>
      </c>
      <c r="G852" s="5">
        <v>2683105.0</v>
      </c>
      <c r="H852" s="2" t="s">
        <v>1575</v>
      </c>
      <c r="I852" s="2" t="s">
        <v>1572</v>
      </c>
      <c r="J852" s="2">
        <v>10122.0</v>
      </c>
      <c r="K852" s="2" t="s">
        <v>1577</v>
      </c>
      <c r="L852" s="2"/>
      <c r="M852" s="2"/>
      <c r="N852" s="7">
        <v>2.0</v>
      </c>
      <c r="O852" s="12">
        <v>43810.0</v>
      </c>
      <c r="P852" s="11" t="s">
        <v>1649</v>
      </c>
      <c r="Q852" s="12">
        <v>43810.0</v>
      </c>
      <c r="R852" s="11" t="s">
        <v>1649</v>
      </c>
      <c r="S852" s="11" t="s">
        <v>1658</v>
      </c>
      <c r="T852" s="11" t="s">
        <v>1659</v>
      </c>
      <c r="U852" s="2" t="s">
        <v>1574</v>
      </c>
      <c r="V852" s="2" t="s">
        <v>1568</v>
      </c>
      <c r="W852" s="2" t="s">
        <v>1569</v>
      </c>
      <c r="X852" s="2" t="s">
        <v>1570</v>
      </c>
      <c r="AB852" s="2" t="s">
        <v>1571</v>
      </c>
    </row>
    <row r="853">
      <c r="A853" s="2" t="s">
        <v>1808</v>
      </c>
      <c r="B853" s="2">
        <v>18.0</v>
      </c>
      <c r="C853" s="2" t="s">
        <v>8</v>
      </c>
      <c r="D853" s="2" t="s">
        <v>1809</v>
      </c>
      <c r="E853" s="2">
        <v>5.0</v>
      </c>
      <c r="F853" s="2" t="s">
        <v>4</v>
      </c>
      <c r="G853" s="5">
        <v>2683105.0</v>
      </c>
      <c r="H853" s="2" t="s">
        <v>1575</v>
      </c>
      <c r="I853" s="2" t="s">
        <v>1565</v>
      </c>
      <c r="J853" s="2">
        <v>10034.0</v>
      </c>
      <c r="K853" s="2" t="s">
        <v>1616</v>
      </c>
      <c r="L853" s="2"/>
      <c r="M853" s="2"/>
      <c r="N853" s="7">
        <v>1.0</v>
      </c>
      <c r="O853" s="12">
        <v>21905.0</v>
      </c>
      <c r="P853" s="11" t="s">
        <v>1649</v>
      </c>
      <c r="Q853" s="12">
        <v>21905.0</v>
      </c>
      <c r="R853" s="11" t="s">
        <v>1649</v>
      </c>
      <c r="S853" s="11" t="s">
        <v>1666</v>
      </c>
      <c r="T853" s="11" t="s">
        <v>1667</v>
      </c>
      <c r="U853" s="2" t="s">
        <v>1574</v>
      </c>
      <c r="V853" s="2" t="s">
        <v>1568</v>
      </c>
      <c r="W853" s="2" t="s">
        <v>1569</v>
      </c>
      <c r="X853" s="2" t="s">
        <v>1570</v>
      </c>
      <c r="AB853" s="2" t="s">
        <v>1571</v>
      </c>
    </row>
    <row r="854">
      <c r="A854" s="2" t="s">
        <v>1808</v>
      </c>
      <c r="B854" s="2">
        <v>18.0</v>
      </c>
      <c r="C854" s="2" t="s">
        <v>8</v>
      </c>
      <c r="D854" s="2" t="s">
        <v>1809</v>
      </c>
      <c r="E854" s="2">
        <v>5.0</v>
      </c>
      <c r="F854" s="2" t="s">
        <v>4</v>
      </c>
      <c r="G854" s="5">
        <v>2682740.0</v>
      </c>
      <c r="H854" s="2" t="s">
        <v>1575</v>
      </c>
      <c r="I854" s="2" t="s">
        <v>1565</v>
      </c>
      <c r="J854" s="2">
        <v>10005.0</v>
      </c>
      <c r="K854" s="2" t="s">
        <v>1595</v>
      </c>
      <c r="L854" s="2"/>
      <c r="M854" s="2"/>
      <c r="N854" s="7">
        <v>1.0</v>
      </c>
      <c r="O854" s="12">
        <v>19524.0</v>
      </c>
      <c r="P854" s="11" t="s">
        <v>1649</v>
      </c>
      <c r="Q854" s="12">
        <v>19524.0</v>
      </c>
      <c r="R854" s="11" t="s">
        <v>1649</v>
      </c>
      <c r="S854" s="11" t="s">
        <v>1676</v>
      </c>
      <c r="T854" s="11" t="s">
        <v>1677</v>
      </c>
      <c r="U854" s="2" t="s">
        <v>1574</v>
      </c>
      <c r="V854" s="2" t="s">
        <v>1568</v>
      </c>
      <c r="W854" s="2" t="s">
        <v>1569</v>
      </c>
      <c r="X854" s="2" t="s">
        <v>1570</v>
      </c>
      <c r="AB854" s="2" t="s">
        <v>1571</v>
      </c>
    </row>
    <row r="855">
      <c r="A855" s="2" t="s">
        <v>1808</v>
      </c>
      <c r="B855" s="2">
        <v>18.0</v>
      </c>
      <c r="C855" s="2" t="s">
        <v>8</v>
      </c>
      <c r="D855" s="2" t="s">
        <v>1809</v>
      </c>
      <c r="E855" s="2">
        <v>5.0</v>
      </c>
      <c r="F855" s="2" t="s">
        <v>4</v>
      </c>
      <c r="G855" s="5">
        <v>2682374.0</v>
      </c>
      <c r="H855" s="2" t="s">
        <v>1575</v>
      </c>
      <c r="I855" s="2" t="s">
        <v>1565</v>
      </c>
      <c r="J855" s="2">
        <v>10000.0</v>
      </c>
      <c r="K855" s="2" t="s">
        <v>1566</v>
      </c>
      <c r="L855" s="2"/>
      <c r="M855" s="2"/>
      <c r="N855" s="7">
        <v>1.0</v>
      </c>
      <c r="O855" s="12">
        <v>29524.0</v>
      </c>
      <c r="P855" s="11" t="s">
        <v>1649</v>
      </c>
      <c r="Q855" s="12">
        <v>29524.0</v>
      </c>
      <c r="R855" s="11" t="s">
        <v>1649</v>
      </c>
      <c r="S855" s="11" t="s">
        <v>1683</v>
      </c>
      <c r="T855" s="11" t="s">
        <v>1684</v>
      </c>
      <c r="U855" s="2" t="s">
        <v>1574</v>
      </c>
      <c r="V855" s="2" t="s">
        <v>1568</v>
      </c>
      <c r="W855" s="2" t="s">
        <v>1569</v>
      </c>
      <c r="X855" s="2" t="s">
        <v>1570</v>
      </c>
      <c r="AB855" s="2" t="s">
        <v>1571</v>
      </c>
    </row>
    <row r="856">
      <c r="A856" s="2" t="s">
        <v>1808</v>
      </c>
      <c r="B856" s="2">
        <v>17.0</v>
      </c>
      <c r="C856" s="2" t="s">
        <v>8</v>
      </c>
      <c r="D856" s="2" t="s">
        <v>1809</v>
      </c>
      <c r="E856" s="2">
        <v>5.0</v>
      </c>
      <c r="F856" s="2" t="s">
        <v>4</v>
      </c>
      <c r="G856" s="5">
        <v>2682009.0</v>
      </c>
      <c r="H856" s="2" t="s">
        <v>1575</v>
      </c>
      <c r="I856" s="2" t="s">
        <v>1565</v>
      </c>
      <c r="J856" s="2">
        <v>10000.0</v>
      </c>
      <c r="K856" s="2" t="s">
        <v>1566</v>
      </c>
      <c r="L856" s="2"/>
      <c r="M856" s="2"/>
      <c r="N856" s="7">
        <v>1.0</v>
      </c>
      <c r="O856" s="12">
        <v>29524.0</v>
      </c>
      <c r="P856" s="11" t="s">
        <v>1649</v>
      </c>
      <c r="Q856" s="12">
        <v>29524.0</v>
      </c>
      <c r="R856" s="11" t="s">
        <v>1649</v>
      </c>
      <c r="S856" s="11" t="s">
        <v>1683</v>
      </c>
      <c r="T856" s="11" t="s">
        <v>1684</v>
      </c>
      <c r="U856" s="2" t="s">
        <v>1574</v>
      </c>
      <c r="V856" s="2" t="s">
        <v>1568</v>
      </c>
      <c r="W856" s="2" t="s">
        <v>1569</v>
      </c>
      <c r="X856" s="2" t="s">
        <v>1570</v>
      </c>
      <c r="AB856" s="2" t="s">
        <v>1571</v>
      </c>
    </row>
    <row r="857">
      <c r="A857" s="2" t="s">
        <v>1808</v>
      </c>
      <c r="B857" s="2">
        <v>17.0</v>
      </c>
      <c r="C857" s="2" t="s">
        <v>8</v>
      </c>
      <c r="D857" s="2" t="s">
        <v>1809</v>
      </c>
      <c r="E857" s="2">
        <v>5.0</v>
      </c>
      <c r="F857" s="2" t="s">
        <v>4</v>
      </c>
      <c r="G857" s="5">
        <v>2681644.0</v>
      </c>
      <c r="H857" s="2" t="s">
        <v>1575</v>
      </c>
      <c r="I857" s="2" t="s">
        <v>1565</v>
      </c>
      <c r="J857" s="2">
        <v>10033.0</v>
      </c>
      <c r="K857" s="2" t="s">
        <v>1615</v>
      </c>
      <c r="L857" s="2"/>
      <c r="M857" s="2"/>
      <c r="N857" s="7">
        <v>1.0</v>
      </c>
      <c r="O857" s="12">
        <v>21905.0</v>
      </c>
      <c r="P857" s="11" t="s">
        <v>1649</v>
      </c>
      <c r="Q857" s="12">
        <v>21905.0</v>
      </c>
      <c r="R857" s="11" t="s">
        <v>1649</v>
      </c>
      <c r="S857" s="11" t="s">
        <v>1666</v>
      </c>
      <c r="T857" s="11" t="s">
        <v>1667</v>
      </c>
      <c r="U857" s="2" t="s">
        <v>1574</v>
      </c>
      <c r="V857" s="2" t="s">
        <v>1568</v>
      </c>
      <c r="W857" s="2" t="s">
        <v>1569</v>
      </c>
      <c r="X857" s="2" t="s">
        <v>1570</v>
      </c>
      <c r="AB857" s="2" t="s">
        <v>1571</v>
      </c>
    </row>
    <row r="858">
      <c r="A858" s="2" t="s">
        <v>1808</v>
      </c>
      <c r="B858" s="2">
        <v>17.0</v>
      </c>
      <c r="C858" s="2" t="s">
        <v>8</v>
      </c>
      <c r="D858" s="2" t="s">
        <v>1809</v>
      </c>
      <c r="E858" s="2">
        <v>5.0</v>
      </c>
      <c r="F858" s="2" t="s">
        <v>4</v>
      </c>
      <c r="G858" s="5">
        <v>2681644.0</v>
      </c>
      <c r="H858" s="2" t="s">
        <v>1575</v>
      </c>
      <c r="I858" s="2" t="s">
        <v>1565</v>
      </c>
      <c r="J858" s="2">
        <v>10002.0</v>
      </c>
      <c r="K858" s="2" t="s">
        <v>1576</v>
      </c>
      <c r="L858" s="2"/>
      <c r="M858" s="2"/>
      <c r="N858" s="7">
        <v>1.0</v>
      </c>
      <c r="O858" s="12">
        <v>18571.0</v>
      </c>
      <c r="P858" s="11" t="s">
        <v>1649</v>
      </c>
      <c r="Q858" s="12">
        <v>18571.0</v>
      </c>
      <c r="R858" s="11" t="s">
        <v>1649</v>
      </c>
      <c r="S858" s="11" t="s">
        <v>1656</v>
      </c>
      <c r="T858" s="11" t="s">
        <v>1657</v>
      </c>
      <c r="U858" s="2" t="s">
        <v>1574</v>
      </c>
      <c r="V858" s="2" t="s">
        <v>1568</v>
      </c>
      <c r="W858" s="2" t="s">
        <v>1569</v>
      </c>
      <c r="X858" s="2" t="s">
        <v>1570</v>
      </c>
      <c r="AB858" s="2" t="s">
        <v>1571</v>
      </c>
    </row>
    <row r="859">
      <c r="A859" s="2" t="s">
        <v>1808</v>
      </c>
      <c r="B859" s="2">
        <v>17.0</v>
      </c>
      <c r="C859" s="2" t="s">
        <v>8</v>
      </c>
      <c r="D859" s="2" t="s">
        <v>1809</v>
      </c>
      <c r="E859" s="2">
        <v>5.0</v>
      </c>
      <c r="F859" s="2" t="s">
        <v>4</v>
      </c>
      <c r="G859" s="5">
        <v>2681644.0</v>
      </c>
      <c r="H859" s="2" t="s">
        <v>1575</v>
      </c>
      <c r="I859" s="2" t="s">
        <v>1572</v>
      </c>
      <c r="J859" s="2">
        <v>10128.0</v>
      </c>
      <c r="K859" s="2" t="s">
        <v>1588</v>
      </c>
      <c r="L859" s="2"/>
      <c r="M859" s="2"/>
      <c r="N859" s="7">
        <v>1.0</v>
      </c>
      <c r="O859" s="12">
        <v>23333.0</v>
      </c>
      <c r="P859" s="11" t="s">
        <v>1649</v>
      </c>
      <c r="Q859" s="12">
        <v>23333.0</v>
      </c>
      <c r="R859" s="11" t="s">
        <v>1649</v>
      </c>
      <c r="S859" s="11" t="s">
        <v>1681</v>
      </c>
      <c r="T859" s="11" t="s">
        <v>1715</v>
      </c>
      <c r="U859" s="2" t="s">
        <v>1574</v>
      </c>
      <c r="V859" s="2" t="s">
        <v>1568</v>
      </c>
      <c r="W859" s="2" t="s">
        <v>1569</v>
      </c>
      <c r="X859" s="2" t="s">
        <v>1570</v>
      </c>
      <c r="AB859" s="2" t="s">
        <v>1571</v>
      </c>
    </row>
    <row r="860">
      <c r="A860" s="2" t="s">
        <v>1808</v>
      </c>
      <c r="B860" s="2">
        <v>17.0</v>
      </c>
      <c r="C860" s="2" t="s">
        <v>8</v>
      </c>
      <c r="D860" s="2" t="s">
        <v>1809</v>
      </c>
      <c r="E860" s="2">
        <v>5.0</v>
      </c>
      <c r="F860" s="2" t="s">
        <v>4</v>
      </c>
      <c r="G860" s="5">
        <v>2681644.0</v>
      </c>
      <c r="H860" s="2" t="s">
        <v>1575</v>
      </c>
      <c r="I860" s="2" t="s">
        <v>1572</v>
      </c>
      <c r="J860" s="2">
        <v>10120.0</v>
      </c>
      <c r="K860" s="2" t="s">
        <v>1590</v>
      </c>
      <c r="L860" s="2"/>
      <c r="M860" s="2"/>
      <c r="N860" s="7">
        <v>1.0</v>
      </c>
      <c r="O860" s="12">
        <v>19524.0</v>
      </c>
      <c r="P860" s="11" t="s">
        <v>1649</v>
      </c>
      <c r="Q860" s="12">
        <v>19524.0</v>
      </c>
      <c r="R860" s="11" t="s">
        <v>1649</v>
      </c>
      <c r="S860" s="11" t="s">
        <v>1676</v>
      </c>
      <c r="T860" s="11" t="s">
        <v>1694</v>
      </c>
      <c r="U860" s="2" t="s">
        <v>1574</v>
      </c>
      <c r="V860" s="2" t="s">
        <v>1568</v>
      </c>
      <c r="W860" s="2" t="s">
        <v>1569</v>
      </c>
      <c r="X860" s="2" t="s">
        <v>1570</v>
      </c>
      <c r="AB860" s="2" t="s">
        <v>1571</v>
      </c>
    </row>
    <row r="861">
      <c r="A861" s="2" t="s">
        <v>1808</v>
      </c>
      <c r="B861" s="2">
        <v>16.0</v>
      </c>
      <c r="C861" s="2" t="s">
        <v>8</v>
      </c>
      <c r="D861" s="2" t="s">
        <v>1809</v>
      </c>
      <c r="E861" s="2">
        <v>5.0</v>
      </c>
      <c r="F861" s="2" t="s">
        <v>4</v>
      </c>
      <c r="G861" s="5">
        <v>2681279.0</v>
      </c>
      <c r="H861" s="2" t="s">
        <v>1575</v>
      </c>
      <c r="I861" s="2" t="s">
        <v>1565</v>
      </c>
      <c r="J861" s="2">
        <v>10002.0</v>
      </c>
      <c r="K861" s="2" t="s">
        <v>1576</v>
      </c>
      <c r="L861" s="2"/>
      <c r="M861" s="2"/>
      <c r="N861" s="7">
        <v>1.0</v>
      </c>
      <c r="O861" s="12">
        <v>18571.0</v>
      </c>
      <c r="P861" s="11" t="s">
        <v>1649</v>
      </c>
      <c r="Q861" s="12">
        <v>18571.0</v>
      </c>
      <c r="R861" s="11" t="s">
        <v>1649</v>
      </c>
      <c r="S861" s="11" t="s">
        <v>1656</v>
      </c>
      <c r="T861" s="11" t="s">
        <v>1657</v>
      </c>
      <c r="U861" s="2" t="s">
        <v>1574</v>
      </c>
      <c r="V861" s="2" t="s">
        <v>1568</v>
      </c>
      <c r="W861" s="2" t="s">
        <v>1569</v>
      </c>
      <c r="X861" s="2" t="s">
        <v>1570</v>
      </c>
      <c r="AB861" s="2" t="s">
        <v>1571</v>
      </c>
    </row>
    <row r="862">
      <c r="A862" s="2" t="s">
        <v>1808</v>
      </c>
      <c r="B862" s="2">
        <v>16.0</v>
      </c>
      <c r="C862" s="2" t="s">
        <v>8</v>
      </c>
      <c r="D862" s="2" t="s">
        <v>1809</v>
      </c>
      <c r="E862" s="2">
        <v>5.0</v>
      </c>
      <c r="F862" s="2" t="s">
        <v>4</v>
      </c>
      <c r="G862" s="5">
        <v>2680913.0</v>
      </c>
      <c r="H862" s="2" t="s">
        <v>1575</v>
      </c>
      <c r="I862" s="2" t="s">
        <v>1565</v>
      </c>
      <c r="J862" s="2">
        <v>10002.0</v>
      </c>
      <c r="K862" s="2" t="s">
        <v>1576</v>
      </c>
      <c r="L862" s="2"/>
      <c r="M862" s="2"/>
      <c r="N862" s="7">
        <v>1.0</v>
      </c>
      <c r="O862" s="12">
        <v>18571.0</v>
      </c>
      <c r="P862" s="11" t="s">
        <v>1649</v>
      </c>
      <c r="Q862" s="12">
        <v>18571.0</v>
      </c>
      <c r="R862" s="11" t="s">
        <v>1649</v>
      </c>
      <c r="S862" s="11" t="s">
        <v>1656</v>
      </c>
      <c r="T862" s="11" t="s">
        <v>1657</v>
      </c>
      <c r="U862" s="2" t="s">
        <v>1574</v>
      </c>
      <c r="V862" s="2" t="s">
        <v>1568</v>
      </c>
      <c r="W862" s="2" t="s">
        <v>1569</v>
      </c>
      <c r="X862" s="2" t="s">
        <v>1570</v>
      </c>
      <c r="AB862" s="2" t="s">
        <v>1571</v>
      </c>
    </row>
    <row r="863">
      <c r="A863" s="2" t="s">
        <v>1808</v>
      </c>
      <c r="B863" s="2">
        <v>16.0</v>
      </c>
      <c r="C863" s="2" t="s">
        <v>8</v>
      </c>
      <c r="D863" s="2" t="s">
        <v>1809</v>
      </c>
      <c r="E863" s="2">
        <v>5.0</v>
      </c>
      <c r="F863" s="2" t="s">
        <v>4</v>
      </c>
      <c r="G863" s="5">
        <v>2680913.0</v>
      </c>
      <c r="H863" s="2" t="s">
        <v>1575</v>
      </c>
      <c r="I863" s="2" t="s">
        <v>1565</v>
      </c>
      <c r="J863" s="2">
        <v>10005.0</v>
      </c>
      <c r="K863" s="2" t="s">
        <v>1595</v>
      </c>
      <c r="L863" s="2"/>
      <c r="M863" s="2"/>
      <c r="N863" s="7">
        <v>1.0</v>
      </c>
      <c r="O863" s="12">
        <v>19524.0</v>
      </c>
      <c r="P863" s="11" t="s">
        <v>1649</v>
      </c>
      <c r="Q863" s="12">
        <v>19524.0</v>
      </c>
      <c r="R863" s="11" t="s">
        <v>1649</v>
      </c>
      <c r="S863" s="11" t="s">
        <v>1676</v>
      </c>
      <c r="T863" s="11" t="s">
        <v>1677</v>
      </c>
      <c r="U863" s="2" t="s">
        <v>1574</v>
      </c>
      <c r="V863" s="2" t="s">
        <v>1568</v>
      </c>
      <c r="W863" s="2" t="s">
        <v>1569</v>
      </c>
      <c r="X863" s="2" t="s">
        <v>1570</v>
      </c>
      <c r="AB863" s="2" t="s">
        <v>1571</v>
      </c>
    </row>
    <row r="864">
      <c r="A864" s="2" t="s">
        <v>1808</v>
      </c>
      <c r="B864" s="2">
        <v>16.0</v>
      </c>
      <c r="C864" s="2" t="s">
        <v>8</v>
      </c>
      <c r="D864" s="2" t="s">
        <v>1809</v>
      </c>
      <c r="E864" s="2">
        <v>5.0</v>
      </c>
      <c r="F864" s="2" t="s">
        <v>4</v>
      </c>
      <c r="G864" s="5">
        <v>2680913.0</v>
      </c>
      <c r="H864" s="2" t="s">
        <v>1575</v>
      </c>
      <c r="I864" s="2" t="s">
        <v>1580</v>
      </c>
      <c r="J864" s="2">
        <v>10053.0</v>
      </c>
      <c r="K864" s="2" t="s">
        <v>1612</v>
      </c>
      <c r="L864" s="2"/>
      <c r="M864" s="2"/>
      <c r="N864" s="7">
        <v>1.0</v>
      </c>
      <c r="O864" s="12">
        <v>25238.0</v>
      </c>
      <c r="P864" s="11" t="s">
        <v>1649</v>
      </c>
      <c r="Q864" s="12">
        <v>25238.0</v>
      </c>
      <c r="R864" s="11" t="s">
        <v>1649</v>
      </c>
      <c r="S864" s="11" t="s">
        <v>1660</v>
      </c>
      <c r="T864" s="11" t="s">
        <v>1680</v>
      </c>
      <c r="U864" s="2" t="s">
        <v>1574</v>
      </c>
      <c r="V864" s="2" t="s">
        <v>1568</v>
      </c>
      <c r="W864" s="2" t="s">
        <v>1569</v>
      </c>
      <c r="X864" s="2" t="s">
        <v>1570</v>
      </c>
      <c r="AB864" s="2" t="s">
        <v>1571</v>
      </c>
    </row>
    <row r="865">
      <c r="A865" s="2" t="s">
        <v>1808</v>
      </c>
      <c r="B865" s="2">
        <v>16.0</v>
      </c>
      <c r="C865" s="2" t="s">
        <v>8</v>
      </c>
      <c r="D865" s="2" t="s">
        <v>1809</v>
      </c>
      <c r="E865" s="2">
        <v>5.0</v>
      </c>
      <c r="F865" s="2" t="s">
        <v>4</v>
      </c>
      <c r="G865" s="5">
        <v>2680913.0</v>
      </c>
      <c r="H865" s="2" t="s">
        <v>1575</v>
      </c>
      <c r="I865" s="2" t="s">
        <v>1580</v>
      </c>
      <c r="J865" s="2">
        <v>10104.0</v>
      </c>
      <c r="K865" s="2" t="s">
        <v>1581</v>
      </c>
      <c r="L865" s="2"/>
      <c r="M865" s="2"/>
      <c r="N865" s="7">
        <v>1.0</v>
      </c>
      <c r="O865" s="12">
        <v>34762.0</v>
      </c>
      <c r="P865" s="11" t="s">
        <v>1649</v>
      </c>
      <c r="Q865" s="12">
        <v>34762.0</v>
      </c>
      <c r="R865" s="11" t="s">
        <v>1649</v>
      </c>
      <c r="S865" s="11" t="s">
        <v>1670</v>
      </c>
      <c r="T865" s="11" t="s">
        <v>1671</v>
      </c>
      <c r="U865" s="2" t="s">
        <v>1574</v>
      </c>
      <c r="V865" s="2" t="s">
        <v>1568</v>
      </c>
      <c r="W865" s="2" t="s">
        <v>1569</v>
      </c>
      <c r="X865" s="2" t="s">
        <v>1570</v>
      </c>
      <c r="AB865" s="2" t="s">
        <v>1571</v>
      </c>
    </row>
    <row r="866">
      <c r="A866" s="2" t="s">
        <v>1808</v>
      </c>
      <c r="B866" s="2">
        <v>16.0</v>
      </c>
      <c r="C866" s="2" t="s">
        <v>8</v>
      </c>
      <c r="D866" s="2" t="s">
        <v>1809</v>
      </c>
      <c r="E866" s="2">
        <v>5.0</v>
      </c>
      <c r="F866" s="2" t="s">
        <v>4</v>
      </c>
      <c r="G866" s="5">
        <v>2680913.0</v>
      </c>
      <c r="H866" s="2" t="s">
        <v>1575</v>
      </c>
      <c r="I866" s="2" t="s">
        <v>1578</v>
      </c>
      <c r="J866" s="2">
        <v>10014.0</v>
      </c>
      <c r="K866" s="2" t="s">
        <v>1609</v>
      </c>
      <c r="L866" s="2"/>
      <c r="M866" s="2"/>
      <c r="N866" s="7">
        <v>1.0</v>
      </c>
      <c r="O866" s="12">
        <v>25238.0</v>
      </c>
      <c r="P866" s="11" t="s">
        <v>1649</v>
      </c>
      <c r="Q866" s="12">
        <v>25238.0</v>
      </c>
      <c r="R866" s="11" t="s">
        <v>1649</v>
      </c>
      <c r="S866" s="11" t="s">
        <v>1660</v>
      </c>
      <c r="T866" s="11" t="s">
        <v>1680</v>
      </c>
      <c r="U866" s="2" t="s">
        <v>1574</v>
      </c>
      <c r="V866" s="2" t="s">
        <v>1568</v>
      </c>
      <c r="W866" s="2" t="s">
        <v>1569</v>
      </c>
      <c r="X866" s="2" t="s">
        <v>1570</v>
      </c>
      <c r="AB866" s="2" t="s">
        <v>1571</v>
      </c>
    </row>
    <row r="867">
      <c r="A867" s="2" t="s">
        <v>1808</v>
      </c>
      <c r="B867" s="2">
        <v>15.0</v>
      </c>
      <c r="C867" s="2" t="s">
        <v>8</v>
      </c>
      <c r="D867" s="2" t="s">
        <v>1809</v>
      </c>
      <c r="E867" s="2">
        <v>5.0</v>
      </c>
      <c r="F867" s="2" t="s">
        <v>4</v>
      </c>
      <c r="G867" s="5">
        <v>2680548.0</v>
      </c>
      <c r="H867" s="2" t="s">
        <v>1575</v>
      </c>
      <c r="I867" s="2" t="s">
        <v>1565</v>
      </c>
      <c r="J867" s="2">
        <v>10000.0</v>
      </c>
      <c r="K867" s="2" t="s">
        <v>1566</v>
      </c>
      <c r="L867" s="2"/>
      <c r="M867" s="2"/>
      <c r="N867" s="7">
        <v>1.0</v>
      </c>
      <c r="O867" s="12">
        <v>29524.0</v>
      </c>
      <c r="P867" s="11" t="s">
        <v>1649</v>
      </c>
      <c r="Q867" s="12">
        <v>29524.0</v>
      </c>
      <c r="R867" s="11" t="s">
        <v>1649</v>
      </c>
      <c r="S867" s="11" t="s">
        <v>1683</v>
      </c>
      <c r="T867" s="11" t="s">
        <v>1684</v>
      </c>
      <c r="U867" s="2" t="s">
        <v>1574</v>
      </c>
      <c r="V867" s="2" t="s">
        <v>1568</v>
      </c>
      <c r="W867" s="2" t="s">
        <v>1569</v>
      </c>
      <c r="X867" s="2" t="s">
        <v>1570</v>
      </c>
      <c r="AB867" s="2" t="s">
        <v>1571</v>
      </c>
    </row>
    <row r="868">
      <c r="A868" s="2" t="s">
        <v>1808</v>
      </c>
      <c r="B868" s="2">
        <v>15.0</v>
      </c>
      <c r="C868" s="2" t="s">
        <v>8</v>
      </c>
      <c r="D868" s="2" t="s">
        <v>1809</v>
      </c>
      <c r="E868" s="2">
        <v>5.0</v>
      </c>
      <c r="F868" s="2" t="s">
        <v>4</v>
      </c>
      <c r="G868" s="5">
        <v>2680548.0</v>
      </c>
      <c r="H868" s="2" t="s">
        <v>1575</v>
      </c>
      <c r="I868" s="2" t="s">
        <v>1572</v>
      </c>
      <c r="J868" s="2">
        <v>10119.0</v>
      </c>
      <c r="K868" s="2" t="s">
        <v>1582</v>
      </c>
      <c r="L868" s="2"/>
      <c r="M868" s="2"/>
      <c r="N868" s="7">
        <v>1.0</v>
      </c>
      <c r="O868" s="12">
        <v>7143.0</v>
      </c>
      <c r="P868" s="11" t="s">
        <v>1649</v>
      </c>
      <c r="Q868" s="12">
        <v>7143.0</v>
      </c>
      <c r="R868" s="11" t="s">
        <v>1649</v>
      </c>
      <c r="S868" s="11" t="s">
        <v>1672</v>
      </c>
      <c r="T868" s="11" t="s">
        <v>1673</v>
      </c>
      <c r="U868" s="2" t="s">
        <v>1574</v>
      </c>
      <c r="V868" s="2" t="s">
        <v>1568</v>
      </c>
      <c r="W868" s="2" t="s">
        <v>1569</v>
      </c>
      <c r="X868" s="2" t="s">
        <v>1570</v>
      </c>
      <c r="AB868" s="2" t="s">
        <v>1571</v>
      </c>
    </row>
    <row r="869">
      <c r="A869" s="2" t="s">
        <v>1808</v>
      </c>
      <c r="B869" s="2">
        <v>15.0</v>
      </c>
      <c r="C869" s="2" t="s">
        <v>8</v>
      </c>
      <c r="D869" s="2" t="s">
        <v>1809</v>
      </c>
      <c r="E869" s="2">
        <v>5.0</v>
      </c>
      <c r="F869" s="2" t="s">
        <v>4</v>
      </c>
      <c r="G869" s="5">
        <v>2680548.0</v>
      </c>
      <c r="H869" s="2" t="s">
        <v>1575</v>
      </c>
      <c r="I869" s="2" t="s">
        <v>1572</v>
      </c>
      <c r="J869" s="2">
        <v>10107.0</v>
      </c>
      <c r="K869" s="2" t="s">
        <v>1584</v>
      </c>
      <c r="L869" s="2"/>
      <c r="M869" s="2"/>
      <c r="N869" s="7">
        <v>1.0</v>
      </c>
      <c r="O869" s="12">
        <v>26667.0</v>
      </c>
      <c r="P869" s="11" t="s">
        <v>1649</v>
      </c>
      <c r="Q869" s="12">
        <v>26667.0</v>
      </c>
      <c r="R869" s="11" t="s">
        <v>1649</v>
      </c>
      <c r="S869" s="11" t="s">
        <v>1674</v>
      </c>
      <c r="T869" s="11" t="s">
        <v>1675</v>
      </c>
      <c r="U869" s="2" t="s">
        <v>1574</v>
      </c>
      <c r="V869" s="2" t="s">
        <v>1568</v>
      </c>
      <c r="W869" s="2" t="s">
        <v>1569</v>
      </c>
      <c r="X869" s="2" t="s">
        <v>1570</v>
      </c>
      <c r="AB869" s="2" t="s">
        <v>1571</v>
      </c>
    </row>
    <row r="870">
      <c r="A870" s="2" t="s">
        <v>1808</v>
      </c>
      <c r="B870" s="2">
        <v>15.0</v>
      </c>
      <c r="C870" s="2" t="s">
        <v>8</v>
      </c>
      <c r="D870" s="2" t="s">
        <v>1809</v>
      </c>
      <c r="E870" s="2">
        <v>5.0</v>
      </c>
      <c r="F870" s="2" t="s">
        <v>4</v>
      </c>
      <c r="G870" s="5">
        <v>2680548.0</v>
      </c>
      <c r="H870" s="2" t="s">
        <v>1575</v>
      </c>
      <c r="I870" s="2" t="s">
        <v>1578</v>
      </c>
      <c r="J870" s="2">
        <v>10014.0</v>
      </c>
      <c r="K870" s="2" t="s">
        <v>1609</v>
      </c>
      <c r="L870" s="2"/>
      <c r="M870" s="2"/>
      <c r="N870" s="7">
        <v>1.0</v>
      </c>
      <c r="O870" s="12">
        <v>25238.0</v>
      </c>
      <c r="P870" s="11" t="s">
        <v>1649</v>
      </c>
      <c r="Q870" s="12">
        <v>25238.0</v>
      </c>
      <c r="R870" s="11" t="s">
        <v>1649</v>
      </c>
      <c r="S870" s="11" t="s">
        <v>1660</v>
      </c>
      <c r="T870" s="11" t="s">
        <v>1680</v>
      </c>
      <c r="U870" s="2" t="s">
        <v>1574</v>
      </c>
      <c r="V870" s="2" t="s">
        <v>1568</v>
      </c>
      <c r="W870" s="2" t="s">
        <v>1569</v>
      </c>
      <c r="X870" s="2" t="s">
        <v>1570</v>
      </c>
      <c r="AB870" s="2" t="s">
        <v>1571</v>
      </c>
    </row>
    <row r="871">
      <c r="A871" s="2" t="s">
        <v>1808</v>
      </c>
      <c r="B871" s="2">
        <v>14.0</v>
      </c>
      <c r="C871" s="2" t="s">
        <v>8</v>
      </c>
      <c r="D871" s="2" t="s">
        <v>1809</v>
      </c>
      <c r="E871" s="2">
        <v>5.0</v>
      </c>
      <c r="F871" s="2" t="s">
        <v>4</v>
      </c>
      <c r="G871" s="5">
        <v>2680183.0</v>
      </c>
      <c r="H871" s="2" t="s">
        <v>1575</v>
      </c>
      <c r="I871" s="2" t="s">
        <v>1565</v>
      </c>
      <c r="J871" s="2">
        <v>10005.0</v>
      </c>
      <c r="K871" s="2" t="s">
        <v>1595</v>
      </c>
      <c r="L871" s="2"/>
      <c r="M871" s="2"/>
      <c r="N871" s="7">
        <v>1.0</v>
      </c>
      <c r="O871" s="12">
        <v>19524.0</v>
      </c>
      <c r="P871" s="11" t="s">
        <v>1649</v>
      </c>
      <c r="Q871" s="12">
        <v>19524.0</v>
      </c>
      <c r="R871" s="11" t="s">
        <v>1649</v>
      </c>
      <c r="S871" s="11" t="s">
        <v>1676</v>
      </c>
      <c r="T871" s="11" t="s">
        <v>1677</v>
      </c>
      <c r="U871" s="2" t="s">
        <v>1574</v>
      </c>
      <c r="V871" s="2" t="s">
        <v>1568</v>
      </c>
      <c r="W871" s="2" t="s">
        <v>1569</v>
      </c>
      <c r="X871" s="2" t="s">
        <v>1570</v>
      </c>
      <c r="AB871" s="2" t="s">
        <v>1571</v>
      </c>
    </row>
    <row r="872">
      <c r="A872" s="2" t="s">
        <v>1808</v>
      </c>
      <c r="B872" s="2">
        <v>14.0</v>
      </c>
      <c r="C872" s="2" t="s">
        <v>8</v>
      </c>
      <c r="D872" s="2" t="s">
        <v>1809</v>
      </c>
      <c r="E872" s="2">
        <v>5.0</v>
      </c>
      <c r="F872" s="2" t="s">
        <v>4</v>
      </c>
      <c r="G872" s="5">
        <v>2680183.0</v>
      </c>
      <c r="H872" s="2" t="s">
        <v>1575</v>
      </c>
      <c r="I872" s="2" t="s">
        <v>1565</v>
      </c>
      <c r="J872" s="2">
        <v>10002.0</v>
      </c>
      <c r="K872" s="2" t="s">
        <v>1576</v>
      </c>
      <c r="L872" s="2"/>
      <c r="M872" s="2"/>
      <c r="N872" s="7">
        <v>1.0</v>
      </c>
      <c r="O872" s="12">
        <v>18571.0</v>
      </c>
      <c r="P872" s="11" t="s">
        <v>1649</v>
      </c>
      <c r="Q872" s="12">
        <v>18571.0</v>
      </c>
      <c r="R872" s="11" t="s">
        <v>1649</v>
      </c>
      <c r="S872" s="11" t="s">
        <v>1656</v>
      </c>
      <c r="T872" s="11" t="s">
        <v>1657</v>
      </c>
      <c r="U872" s="2" t="s">
        <v>1574</v>
      </c>
      <c r="V872" s="2" t="s">
        <v>1568</v>
      </c>
      <c r="W872" s="2" t="s">
        <v>1569</v>
      </c>
      <c r="X872" s="2" t="s">
        <v>1570</v>
      </c>
      <c r="AB872" s="2" t="s">
        <v>1571</v>
      </c>
    </row>
    <row r="873">
      <c r="A873" s="2" t="s">
        <v>1808</v>
      </c>
      <c r="B873" s="2">
        <v>14.0</v>
      </c>
      <c r="C873" s="2" t="s">
        <v>8</v>
      </c>
      <c r="D873" s="2" t="s">
        <v>1809</v>
      </c>
      <c r="E873" s="2">
        <v>5.0</v>
      </c>
      <c r="F873" s="2" t="s">
        <v>4</v>
      </c>
      <c r="G873" s="5">
        <v>2679818.0</v>
      </c>
      <c r="H873" s="2" t="s">
        <v>1575</v>
      </c>
      <c r="I873" s="2" t="s">
        <v>1572</v>
      </c>
      <c r="J873" s="2">
        <v>10128.0</v>
      </c>
      <c r="K873" s="2" t="s">
        <v>1588</v>
      </c>
      <c r="L873" s="2"/>
      <c r="M873" s="2"/>
      <c r="N873" s="7">
        <v>1.0</v>
      </c>
      <c r="O873" s="12">
        <v>23333.0</v>
      </c>
      <c r="P873" s="11" t="s">
        <v>1649</v>
      </c>
      <c r="Q873" s="12">
        <v>23333.0</v>
      </c>
      <c r="R873" s="11" t="s">
        <v>1649</v>
      </c>
      <c r="S873" s="11" t="s">
        <v>1681</v>
      </c>
      <c r="T873" s="11" t="s">
        <v>1682</v>
      </c>
      <c r="U873" s="2" t="s">
        <v>1574</v>
      </c>
      <c r="V873" s="2" t="s">
        <v>1568</v>
      </c>
      <c r="W873" s="2" t="s">
        <v>1569</v>
      </c>
      <c r="X873" s="2" t="s">
        <v>1570</v>
      </c>
      <c r="AB873" s="2" t="s">
        <v>1571</v>
      </c>
    </row>
    <row r="874">
      <c r="A874" s="2" t="s">
        <v>1808</v>
      </c>
      <c r="B874" s="2">
        <v>14.0</v>
      </c>
      <c r="C874" s="2" t="s">
        <v>8</v>
      </c>
      <c r="D874" s="2" t="s">
        <v>1809</v>
      </c>
      <c r="E874" s="2">
        <v>5.0</v>
      </c>
      <c r="F874" s="2" t="s">
        <v>4</v>
      </c>
      <c r="G874" s="5">
        <v>2679818.0</v>
      </c>
      <c r="H874" s="2" t="s">
        <v>1575</v>
      </c>
      <c r="I874" s="2" t="s">
        <v>1565</v>
      </c>
      <c r="J874" s="2">
        <v>10002.0</v>
      </c>
      <c r="K874" s="2" t="s">
        <v>1576</v>
      </c>
      <c r="L874" s="2"/>
      <c r="M874" s="2"/>
      <c r="N874" s="7">
        <v>1.0</v>
      </c>
      <c r="O874" s="12">
        <v>18571.0</v>
      </c>
      <c r="P874" s="11" t="s">
        <v>1649</v>
      </c>
      <c r="Q874" s="12">
        <v>18571.0</v>
      </c>
      <c r="R874" s="11" t="s">
        <v>1649</v>
      </c>
      <c r="S874" s="11" t="s">
        <v>1656</v>
      </c>
      <c r="T874" s="11" t="s">
        <v>1688</v>
      </c>
      <c r="U874" s="2" t="s">
        <v>1574</v>
      </c>
      <c r="V874" s="2" t="s">
        <v>1568</v>
      </c>
      <c r="W874" s="2" t="s">
        <v>1569</v>
      </c>
      <c r="X874" s="2" t="s">
        <v>1570</v>
      </c>
      <c r="AB874" s="2" t="s">
        <v>1571</v>
      </c>
    </row>
    <row r="875">
      <c r="A875" s="2" t="s">
        <v>1808</v>
      </c>
      <c r="B875" s="2">
        <v>14.0</v>
      </c>
      <c r="C875" s="2" t="s">
        <v>8</v>
      </c>
      <c r="D875" s="2" t="s">
        <v>1809</v>
      </c>
      <c r="E875" s="2">
        <v>5.0</v>
      </c>
      <c r="F875" s="2" t="s">
        <v>4</v>
      </c>
      <c r="G875" s="5">
        <v>2679452.0</v>
      </c>
      <c r="H875" s="2" t="s">
        <v>1575</v>
      </c>
      <c r="I875" s="2" t="s">
        <v>1629</v>
      </c>
      <c r="J875" s="2">
        <v>10023.0</v>
      </c>
      <c r="K875" s="2" t="s">
        <v>1630</v>
      </c>
      <c r="L875" s="2"/>
      <c r="M875" s="2"/>
      <c r="N875" s="7">
        <v>3.0</v>
      </c>
      <c r="O875" s="12">
        <v>0.0</v>
      </c>
      <c r="P875" s="11" t="s">
        <v>1649</v>
      </c>
      <c r="Q875" s="12">
        <v>0.0</v>
      </c>
      <c r="R875" s="11" t="s">
        <v>1649</v>
      </c>
      <c r="S875" s="11" t="s">
        <v>1649</v>
      </c>
      <c r="T875" s="11" t="s">
        <v>1649</v>
      </c>
      <c r="U875" s="2" t="s">
        <v>1574</v>
      </c>
      <c r="V875" s="2" t="s">
        <v>1568</v>
      </c>
      <c r="W875" s="2" t="s">
        <v>1569</v>
      </c>
      <c r="X875" s="2" t="s">
        <v>1570</v>
      </c>
      <c r="AB875" s="2" t="s">
        <v>1571</v>
      </c>
    </row>
    <row r="876">
      <c r="A876" s="2" t="s">
        <v>1808</v>
      </c>
      <c r="B876" s="2">
        <v>14.0</v>
      </c>
      <c r="C876" s="2" t="s">
        <v>8</v>
      </c>
      <c r="D876" s="2" t="s">
        <v>1809</v>
      </c>
      <c r="E876" s="2">
        <v>5.0</v>
      </c>
      <c r="F876" s="2" t="s">
        <v>4</v>
      </c>
      <c r="G876" s="5">
        <v>2679452.0</v>
      </c>
      <c r="H876" s="2" t="s">
        <v>1575</v>
      </c>
      <c r="I876" s="2" t="s">
        <v>1629</v>
      </c>
      <c r="J876" s="2">
        <v>10021.0</v>
      </c>
      <c r="K876" s="2" t="s">
        <v>1631</v>
      </c>
      <c r="L876" s="2"/>
      <c r="M876" s="2"/>
      <c r="N876" s="7">
        <v>2.0</v>
      </c>
      <c r="O876" s="12">
        <v>0.0</v>
      </c>
      <c r="P876" s="11" t="s">
        <v>1649</v>
      </c>
      <c r="Q876" s="12">
        <v>0.0</v>
      </c>
      <c r="R876" s="11" t="s">
        <v>1649</v>
      </c>
      <c r="S876" s="11" t="s">
        <v>1649</v>
      </c>
      <c r="T876" s="11" t="s">
        <v>1649</v>
      </c>
      <c r="U876" s="2" t="s">
        <v>1574</v>
      </c>
      <c r="V876" s="2" t="s">
        <v>1568</v>
      </c>
      <c r="W876" s="2" t="s">
        <v>1569</v>
      </c>
      <c r="X876" s="2" t="s">
        <v>1570</v>
      </c>
      <c r="AB876" s="2" t="s">
        <v>1571</v>
      </c>
    </row>
    <row r="877">
      <c r="A877" s="2" t="s">
        <v>1808</v>
      </c>
      <c r="B877" s="2">
        <v>14.0</v>
      </c>
      <c r="C877" s="2" t="s">
        <v>8</v>
      </c>
      <c r="D877" s="2" t="s">
        <v>1809</v>
      </c>
      <c r="E877" s="2">
        <v>5.0</v>
      </c>
      <c r="F877" s="2" t="s">
        <v>4</v>
      </c>
      <c r="G877" s="5">
        <v>2679452.0</v>
      </c>
      <c r="H877" s="2" t="s">
        <v>1575</v>
      </c>
      <c r="I877" s="2" t="s">
        <v>1629</v>
      </c>
      <c r="J877" s="2">
        <v>10022.0</v>
      </c>
      <c r="K877" s="2" t="s">
        <v>1632</v>
      </c>
      <c r="L877" s="2"/>
      <c r="M877" s="2"/>
      <c r="N877" s="7">
        <v>1.0</v>
      </c>
      <c r="O877" s="12">
        <v>0.0</v>
      </c>
      <c r="P877" s="11" t="s">
        <v>1649</v>
      </c>
      <c r="Q877" s="12">
        <v>0.0</v>
      </c>
      <c r="R877" s="11" t="s">
        <v>1649</v>
      </c>
      <c r="S877" s="11" t="s">
        <v>1649</v>
      </c>
      <c r="T877" s="11" t="s">
        <v>1649</v>
      </c>
      <c r="U877" s="2" t="s">
        <v>1574</v>
      </c>
      <c r="V877" s="2" t="s">
        <v>1568</v>
      </c>
      <c r="W877" s="2" t="s">
        <v>1569</v>
      </c>
      <c r="X877" s="2" t="s">
        <v>1570</v>
      </c>
      <c r="AB877" s="2" t="s">
        <v>1571</v>
      </c>
    </row>
    <row r="878">
      <c r="A878" s="2" t="s">
        <v>1808</v>
      </c>
      <c r="B878" s="2">
        <v>13.0</v>
      </c>
      <c r="C878" s="2" t="s">
        <v>8</v>
      </c>
      <c r="D878" s="2" t="s">
        <v>1809</v>
      </c>
      <c r="E878" s="2">
        <v>5.0</v>
      </c>
      <c r="F878" s="2" t="s">
        <v>4</v>
      </c>
      <c r="G878" s="5">
        <v>2679087.0</v>
      </c>
      <c r="H878" s="2" t="s">
        <v>1575</v>
      </c>
      <c r="I878" s="2" t="s">
        <v>1578</v>
      </c>
      <c r="J878" s="2">
        <v>10011.0</v>
      </c>
      <c r="K878" s="2" t="s">
        <v>1605</v>
      </c>
      <c r="L878" s="2"/>
      <c r="M878" s="2"/>
      <c r="N878" s="7">
        <v>1.0</v>
      </c>
      <c r="O878" s="12">
        <v>25238.0</v>
      </c>
      <c r="P878" s="11" t="s">
        <v>1649</v>
      </c>
      <c r="Q878" s="12">
        <v>25238.0</v>
      </c>
      <c r="R878" s="11" t="s">
        <v>1649</v>
      </c>
      <c r="S878" s="11" t="s">
        <v>1660</v>
      </c>
      <c r="T878" s="11" t="s">
        <v>1680</v>
      </c>
      <c r="U878" s="2" t="s">
        <v>1574</v>
      </c>
      <c r="V878" s="2" t="s">
        <v>1568</v>
      </c>
      <c r="W878" s="2" t="s">
        <v>1569</v>
      </c>
      <c r="X878" s="2" t="s">
        <v>1570</v>
      </c>
      <c r="AB878" s="2" t="s">
        <v>1571</v>
      </c>
    </row>
    <row r="879">
      <c r="A879" s="2" t="s">
        <v>1808</v>
      </c>
      <c r="B879" s="2">
        <v>13.0</v>
      </c>
      <c r="C879" s="2" t="s">
        <v>8</v>
      </c>
      <c r="D879" s="2" t="s">
        <v>1809</v>
      </c>
      <c r="E879" s="2">
        <v>5.0</v>
      </c>
      <c r="F879" s="2" t="s">
        <v>4</v>
      </c>
      <c r="G879" s="5">
        <v>2679087.0</v>
      </c>
      <c r="H879" s="2" t="s">
        <v>1575</v>
      </c>
      <c r="I879" s="2" t="s">
        <v>1572</v>
      </c>
      <c r="J879" s="2">
        <v>10128.0</v>
      </c>
      <c r="K879" s="2" t="s">
        <v>1588</v>
      </c>
      <c r="L879" s="2"/>
      <c r="M879" s="2"/>
      <c r="N879" s="7">
        <v>1.0</v>
      </c>
      <c r="O879" s="12">
        <v>23333.0</v>
      </c>
      <c r="P879" s="11" t="s">
        <v>1649</v>
      </c>
      <c r="Q879" s="12">
        <v>23333.0</v>
      </c>
      <c r="R879" s="11" t="s">
        <v>1649</v>
      </c>
      <c r="S879" s="11" t="s">
        <v>1681</v>
      </c>
      <c r="T879" s="11" t="s">
        <v>1682</v>
      </c>
      <c r="U879" s="2" t="s">
        <v>1574</v>
      </c>
      <c r="V879" s="2" t="s">
        <v>1568</v>
      </c>
      <c r="W879" s="2" t="s">
        <v>1569</v>
      </c>
      <c r="X879" s="2" t="s">
        <v>1570</v>
      </c>
      <c r="AB879" s="2" t="s">
        <v>1571</v>
      </c>
    </row>
    <row r="880">
      <c r="A880" s="2" t="s">
        <v>1808</v>
      </c>
      <c r="B880" s="2">
        <v>13.0</v>
      </c>
      <c r="C880" s="2" t="s">
        <v>8</v>
      </c>
      <c r="D880" s="2" t="s">
        <v>1809</v>
      </c>
      <c r="E880" s="2">
        <v>5.0</v>
      </c>
      <c r="F880" s="2" t="s">
        <v>4</v>
      </c>
      <c r="G880" s="5">
        <v>2679087.0</v>
      </c>
      <c r="H880" s="2" t="s">
        <v>1575</v>
      </c>
      <c r="I880" s="2" t="s">
        <v>1565</v>
      </c>
      <c r="J880" s="2">
        <v>10007.0</v>
      </c>
      <c r="K880" s="2" t="s">
        <v>1576</v>
      </c>
      <c r="L880" s="2"/>
      <c r="M880" s="2"/>
      <c r="N880" s="7">
        <v>2.0</v>
      </c>
      <c r="O880" s="12">
        <v>67620.0</v>
      </c>
      <c r="P880" s="11" t="s">
        <v>1649</v>
      </c>
      <c r="Q880" s="12">
        <v>67620.0</v>
      </c>
      <c r="R880" s="11" t="s">
        <v>1649</v>
      </c>
      <c r="S880" s="11" t="s">
        <v>1723</v>
      </c>
      <c r="T880" s="11" t="s">
        <v>1724</v>
      </c>
      <c r="U880" s="2" t="s">
        <v>1574</v>
      </c>
      <c r="V880" s="2" t="s">
        <v>1568</v>
      </c>
      <c r="W880" s="2" t="s">
        <v>1569</v>
      </c>
      <c r="X880" s="2" t="s">
        <v>1570</v>
      </c>
      <c r="AB880" s="2" t="s">
        <v>1571</v>
      </c>
    </row>
    <row r="881">
      <c r="A881" s="2" t="s">
        <v>1818</v>
      </c>
      <c r="B881" s="2">
        <v>21.0</v>
      </c>
      <c r="C881" s="2" t="s">
        <v>7</v>
      </c>
      <c r="D881" s="2" t="s">
        <v>1819</v>
      </c>
      <c r="E881" s="2">
        <v>4.0</v>
      </c>
      <c r="F881" s="2" t="s">
        <v>4</v>
      </c>
      <c r="G881" s="5">
        <v>2678722.0</v>
      </c>
      <c r="H881" s="2" t="s">
        <v>1575</v>
      </c>
      <c r="I881" s="2" t="s">
        <v>1565</v>
      </c>
      <c r="J881" s="2">
        <v>10005.0</v>
      </c>
      <c r="K881" s="2" t="s">
        <v>1595</v>
      </c>
      <c r="L881" s="2"/>
      <c r="M881" s="2"/>
      <c r="N881" s="7">
        <v>2.0</v>
      </c>
      <c r="O881" s="12">
        <v>39048.0</v>
      </c>
      <c r="P881" s="11" t="s">
        <v>1649</v>
      </c>
      <c r="Q881" s="12">
        <v>39048.0</v>
      </c>
      <c r="R881" s="11" t="s">
        <v>1649</v>
      </c>
      <c r="S881" s="11" t="s">
        <v>1748</v>
      </c>
      <c r="T881" s="11" t="s">
        <v>1749</v>
      </c>
      <c r="U881" s="2" t="s">
        <v>1574</v>
      </c>
      <c r="V881" s="2" t="s">
        <v>1568</v>
      </c>
      <c r="W881" s="2" t="s">
        <v>1569</v>
      </c>
      <c r="X881" s="2" t="s">
        <v>1570</v>
      </c>
      <c r="AB881" s="2" t="s">
        <v>1571</v>
      </c>
    </row>
    <row r="882">
      <c r="A882" s="2" t="s">
        <v>1818</v>
      </c>
      <c r="B882" s="2">
        <v>20.0</v>
      </c>
      <c r="C882" s="2" t="s">
        <v>7</v>
      </c>
      <c r="D882" s="2" t="s">
        <v>1819</v>
      </c>
      <c r="E882" s="2">
        <v>4.0</v>
      </c>
      <c r="F882" s="2" t="s">
        <v>4</v>
      </c>
      <c r="G882" s="5">
        <v>2678357.0</v>
      </c>
      <c r="H882" s="2" t="s">
        <v>1575</v>
      </c>
      <c r="I882" s="2" t="s">
        <v>1565</v>
      </c>
      <c r="J882" s="2">
        <v>10005.0</v>
      </c>
      <c r="K882" s="2" t="s">
        <v>1595</v>
      </c>
      <c r="L882" s="2"/>
      <c r="M882" s="2"/>
      <c r="N882" s="7">
        <v>1.0</v>
      </c>
      <c r="O882" s="12">
        <v>19524.0</v>
      </c>
      <c r="P882" s="11" t="s">
        <v>1649</v>
      </c>
      <c r="Q882" s="12">
        <v>19524.0</v>
      </c>
      <c r="R882" s="11" t="s">
        <v>1649</v>
      </c>
      <c r="S882" s="11" t="s">
        <v>1676</v>
      </c>
      <c r="T882" s="11" t="s">
        <v>1677</v>
      </c>
      <c r="U882" s="2" t="s">
        <v>1574</v>
      </c>
      <c r="V882" s="2" t="s">
        <v>1568</v>
      </c>
      <c r="W882" s="2" t="s">
        <v>1569</v>
      </c>
      <c r="X882" s="2" t="s">
        <v>1570</v>
      </c>
      <c r="AB882" s="2" t="s">
        <v>1571</v>
      </c>
    </row>
    <row r="883">
      <c r="A883" s="2" t="s">
        <v>1818</v>
      </c>
      <c r="B883" s="2">
        <v>19.0</v>
      </c>
      <c r="C883" s="2" t="s">
        <v>7</v>
      </c>
      <c r="D883" s="2" t="s">
        <v>1819</v>
      </c>
      <c r="E883" s="2">
        <v>4.0</v>
      </c>
      <c r="F883" s="2" t="s">
        <v>4</v>
      </c>
      <c r="G883" s="5">
        <v>2677991.0</v>
      </c>
      <c r="H883" s="2" t="s">
        <v>1575</v>
      </c>
      <c r="I883" s="2" t="s">
        <v>1572</v>
      </c>
      <c r="J883" s="2">
        <v>10119.0</v>
      </c>
      <c r="K883" s="2" t="s">
        <v>1582</v>
      </c>
      <c r="L883" s="2"/>
      <c r="M883" s="2"/>
      <c r="N883" s="7">
        <v>1.0</v>
      </c>
      <c r="O883" s="12">
        <v>7143.0</v>
      </c>
      <c r="P883" s="11" t="s">
        <v>1649</v>
      </c>
      <c r="Q883" s="12">
        <v>7143.0</v>
      </c>
      <c r="R883" s="11" t="s">
        <v>1649</v>
      </c>
      <c r="S883" s="11" t="s">
        <v>1672</v>
      </c>
      <c r="T883" s="11" t="s">
        <v>1673</v>
      </c>
      <c r="U883" s="2" t="s">
        <v>1574</v>
      </c>
      <c r="V883" s="2" t="s">
        <v>1568</v>
      </c>
      <c r="W883" s="2" t="s">
        <v>1569</v>
      </c>
      <c r="X883" s="2" t="s">
        <v>1570</v>
      </c>
      <c r="AB883" s="2" t="s">
        <v>1571</v>
      </c>
    </row>
    <row r="884">
      <c r="A884" s="2" t="s">
        <v>1818</v>
      </c>
      <c r="B884" s="2">
        <v>19.0</v>
      </c>
      <c r="C884" s="2" t="s">
        <v>7</v>
      </c>
      <c r="D884" s="2" t="s">
        <v>1819</v>
      </c>
      <c r="E884" s="2">
        <v>4.0</v>
      </c>
      <c r="F884" s="2" t="s">
        <v>4</v>
      </c>
      <c r="G884" s="5">
        <v>2677991.0</v>
      </c>
      <c r="H884" s="2" t="s">
        <v>1575</v>
      </c>
      <c r="I884" s="2" t="s">
        <v>1565</v>
      </c>
      <c r="J884" s="2">
        <v>10000.0</v>
      </c>
      <c r="K884" s="2" t="s">
        <v>1566</v>
      </c>
      <c r="L884" s="2"/>
      <c r="M884" s="2"/>
      <c r="N884" s="7">
        <v>1.0</v>
      </c>
      <c r="O884" s="12">
        <v>29524.0</v>
      </c>
      <c r="P884" s="11" t="s">
        <v>1649</v>
      </c>
      <c r="Q884" s="12">
        <v>29524.0</v>
      </c>
      <c r="R884" s="11" t="s">
        <v>1649</v>
      </c>
      <c r="S884" s="11" t="s">
        <v>1683</v>
      </c>
      <c r="T884" s="11" t="s">
        <v>1684</v>
      </c>
      <c r="U884" s="2" t="s">
        <v>1574</v>
      </c>
      <c r="V884" s="2" t="s">
        <v>1568</v>
      </c>
      <c r="W884" s="2" t="s">
        <v>1569</v>
      </c>
      <c r="X884" s="2" t="s">
        <v>1570</v>
      </c>
      <c r="AB884" s="2" t="s">
        <v>1571</v>
      </c>
    </row>
    <row r="885">
      <c r="A885" s="2" t="s">
        <v>1818</v>
      </c>
      <c r="B885" s="2">
        <v>19.0</v>
      </c>
      <c r="C885" s="2" t="s">
        <v>7</v>
      </c>
      <c r="D885" s="2" t="s">
        <v>1819</v>
      </c>
      <c r="E885" s="2">
        <v>4.0</v>
      </c>
      <c r="F885" s="2" t="s">
        <v>4</v>
      </c>
      <c r="G885" s="5">
        <v>2677991.0</v>
      </c>
      <c r="H885" s="2" t="s">
        <v>1575</v>
      </c>
      <c r="I885" s="2" t="s">
        <v>1572</v>
      </c>
      <c r="J885" s="2">
        <v>10058.0</v>
      </c>
      <c r="K885" s="2" t="s">
        <v>1618</v>
      </c>
      <c r="L885" s="2"/>
      <c r="M885" s="2"/>
      <c r="N885" s="7">
        <v>1.0</v>
      </c>
      <c r="O885" s="12">
        <v>19524.0</v>
      </c>
      <c r="P885" s="11" t="s">
        <v>1649</v>
      </c>
      <c r="Q885" s="12">
        <v>19524.0</v>
      </c>
      <c r="R885" s="11" t="s">
        <v>1649</v>
      </c>
      <c r="S885" s="11" t="s">
        <v>1676</v>
      </c>
      <c r="T885" s="11" t="s">
        <v>1694</v>
      </c>
      <c r="U885" s="2" t="s">
        <v>1574</v>
      </c>
      <c r="V885" s="2" t="s">
        <v>1568</v>
      </c>
      <c r="W885" s="2" t="s">
        <v>1569</v>
      </c>
      <c r="X885" s="2" t="s">
        <v>1570</v>
      </c>
      <c r="AB885" s="2" t="s">
        <v>1571</v>
      </c>
    </row>
    <row r="886">
      <c r="A886" s="2" t="s">
        <v>1818</v>
      </c>
      <c r="B886" s="2">
        <v>19.0</v>
      </c>
      <c r="C886" s="2" t="s">
        <v>7</v>
      </c>
      <c r="D886" s="2" t="s">
        <v>1819</v>
      </c>
      <c r="E886" s="2">
        <v>4.0</v>
      </c>
      <c r="F886" s="2" t="s">
        <v>4</v>
      </c>
      <c r="G886" s="5">
        <v>2677991.0</v>
      </c>
      <c r="H886" s="2" t="s">
        <v>1575</v>
      </c>
      <c r="I886" s="2" t="s">
        <v>1578</v>
      </c>
      <c r="J886" s="2">
        <v>10015.0</v>
      </c>
      <c r="K886" s="2" t="s">
        <v>1587</v>
      </c>
      <c r="L886" s="2"/>
      <c r="M886" s="2"/>
      <c r="N886" s="7">
        <v>1.0</v>
      </c>
      <c r="O886" s="12">
        <v>25238.0</v>
      </c>
      <c r="P886" s="11" t="s">
        <v>1649</v>
      </c>
      <c r="Q886" s="12">
        <v>25238.0</v>
      </c>
      <c r="R886" s="11" t="s">
        <v>1649</v>
      </c>
      <c r="S886" s="11" t="s">
        <v>1660</v>
      </c>
      <c r="T886" s="11" t="s">
        <v>1661</v>
      </c>
      <c r="U886" s="2" t="s">
        <v>1574</v>
      </c>
      <c r="V886" s="2" t="s">
        <v>1568</v>
      </c>
      <c r="W886" s="2" t="s">
        <v>1569</v>
      </c>
      <c r="X886" s="2" t="s">
        <v>1570</v>
      </c>
      <c r="AB886" s="2" t="s">
        <v>1571</v>
      </c>
    </row>
    <row r="887">
      <c r="A887" s="2" t="s">
        <v>1818</v>
      </c>
      <c r="B887" s="2">
        <v>19.0</v>
      </c>
      <c r="C887" s="2" t="s">
        <v>7</v>
      </c>
      <c r="D887" s="2" t="s">
        <v>1819</v>
      </c>
      <c r="E887" s="2">
        <v>4.0</v>
      </c>
      <c r="F887" s="2" t="s">
        <v>4</v>
      </c>
      <c r="G887" s="5">
        <v>2677991.0</v>
      </c>
      <c r="H887" s="2" t="s">
        <v>1575</v>
      </c>
      <c r="I887" s="2" t="s">
        <v>1572</v>
      </c>
      <c r="J887" s="2">
        <v>10112.0</v>
      </c>
      <c r="K887" s="2" t="s">
        <v>1573</v>
      </c>
      <c r="L887" s="2"/>
      <c r="M887" s="2"/>
      <c r="N887" s="7">
        <v>2.0</v>
      </c>
      <c r="O887" s="12">
        <v>13334.0</v>
      </c>
      <c r="P887" s="11" t="s">
        <v>1649</v>
      </c>
      <c r="Q887" s="12">
        <v>13334.0</v>
      </c>
      <c r="R887" s="11" t="s">
        <v>1649</v>
      </c>
      <c r="S887" s="11" t="s">
        <v>1720</v>
      </c>
      <c r="T887" s="11" t="s">
        <v>1721</v>
      </c>
      <c r="U887" s="2" t="s">
        <v>1574</v>
      </c>
      <c r="V887" s="2" t="s">
        <v>1568</v>
      </c>
      <c r="W887" s="2" t="s">
        <v>1569</v>
      </c>
      <c r="X887" s="2" t="s">
        <v>1570</v>
      </c>
      <c r="AB887" s="2" t="s">
        <v>1571</v>
      </c>
    </row>
    <row r="888">
      <c r="A888" s="2" t="s">
        <v>1818</v>
      </c>
      <c r="B888" s="2">
        <v>18.0</v>
      </c>
      <c r="C888" s="2" t="s">
        <v>7</v>
      </c>
      <c r="D888" s="2" t="s">
        <v>1819</v>
      </c>
      <c r="E888" s="2">
        <v>4.0</v>
      </c>
      <c r="F888" s="2" t="s">
        <v>4</v>
      </c>
      <c r="G888" s="5">
        <v>2677626.0</v>
      </c>
      <c r="H888" s="2" t="s">
        <v>1575</v>
      </c>
      <c r="I888" s="2" t="s">
        <v>1565</v>
      </c>
      <c r="J888" s="2">
        <v>10055.0</v>
      </c>
      <c r="K888" s="2" t="s">
        <v>1595</v>
      </c>
      <c r="L888" s="2"/>
      <c r="M888" s="2"/>
      <c r="N888" s="7">
        <v>2.0</v>
      </c>
      <c r="O888" s="12">
        <v>69524.0</v>
      </c>
      <c r="P888" s="11" t="s">
        <v>1649</v>
      </c>
      <c r="Q888" s="12">
        <v>69524.0</v>
      </c>
      <c r="R888" s="11" t="s">
        <v>1649</v>
      </c>
      <c r="S888" s="11" t="s">
        <v>1718</v>
      </c>
      <c r="T888" s="11" t="s">
        <v>1736</v>
      </c>
      <c r="U888" s="2" t="s">
        <v>1574</v>
      </c>
      <c r="V888" s="2" t="s">
        <v>1568</v>
      </c>
      <c r="W888" s="2" t="s">
        <v>1569</v>
      </c>
      <c r="X888" s="2" t="s">
        <v>1570</v>
      </c>
      <c r="AB888" s="2" t="s">
        <v>1571</v>
      </c>
    </row>
    <row r="889">
      <c r="A889" s="2" t="s">
        <v>1818</v>
      </c>
      <c r="B889" s="2">
        <v>17.0</v>
      </c>
      <c r="C889" s="2" t="s">
        <v>7</v>
      </c>
      <c r="D889" s="2" t="s">
        <v>1819</v>
      </c>
      <c r="E889" s="2">
        <v>4.0</v>
      </c>
      <c r="F889" s="2" t="s">
        <v>4</v>
      </c>
      <c r="G889" s="5">
        <v>2677261.0</v>
      </c>
      <c r="H889" s="2" t="s">
        <v>1575</v>
      </c>
      <c r="I889" s="2" t="s">
        <v>1572</v>
      </c>
      <c r="J889" s="2">
        <v>10128.0</v>
      </c>
      <c r="K889" s="2" t="s">
        <v>1588</v>
      </c>
      <c r="L889" s="2"/>
      <c r="M889" s="2"/>
      <c r="N889" s="7">
        <v>1.0</v>
      </c>
      <c r="O889" s="12">
        <v>23333.0</v>
      </c>
      <c r="P889" s="11" t="s">
        <v>1649</v>
      </c>
      <c r="Q889" s="12">
        <v>23333.0</v>
      </c>
      <c r="R889" s="11" t="s">
        <v>1649</v>
      </c>
      <c r="S889" s="11" t="s">
        <v>1681</v>
      </c>
      <c r="T889" s="11" t="s">
        <v>1682</v>
      </c>
      <c r="U889" s="2" t="s">
        <v>1574</v>
      </c>
      <c r="V889" s="2" t="s">
        <v>1568</v>
      </c>
      <c r="W889" s="2" t="s">
        <v>1569</v>
      </c>
      <c r="X889" s="2" t="s">
        <v>1570</v>
      </c>
      <c r="AB889" s="2" t="s">
        <v>1571</v>
      </c>
    </row>
    <row r="890">
      <c r="A890" s="2" t="s">
        <v>1818</v>
      </c>
      <c r="B890" s="2">
        <v>17.0</v>
      </c>
      <c r="C890" s="2" t="s">
        <v>7</v>
      </c>
      <c r="D890" s="2" t="s">
        <v>1819</v>
      </c>
      <c r="E890" s="2">
        <v>4.0</v>
      </c>
      <c r="F890" s="2" t="s">
        <v>4</v>
      </c>
      <c r="G890" s="5">
        <v>2677261.0</v>
      </c>
      <c r="H890" s="2" t="s">
        <v>1575</v>
      </c>
      <c r="I890" s="2" t="s">
        <v>1565</v>
      </c>
      <c r="J890" s="2">
        <v>10034.0</v>
      </c>
      <c r="K890" s="2" t="s">
        <v>1616</v>
      </c>
      <c r="L890" s="2"/>
      <c r="M890" s="2"/>
      <c r="N890" s="7">
        <v>1.0</v>
      </c>
      <c r="O890" s="12">
        <v>21905.0</v>
      </c>
      <c r="P890" s="11" t="s">
        <v>1649</v>
      </c>
      <c r="Q890" s="12">
        <v>21905.0</v>
      </c>
      <c r="R890" s="11" t="s">
        <v>1649</v>
      </c>
      <c r="S890" s="11" t="s">
        <v>1666</v>
      </c>
      <c r="T890" s="11" t="s">
        <v>1667</v>
      </c>
      <c r="U890" s="2" t="s">
        <v>1574</v>
      </c>
      <c r="V890" s="2" t="s">
        <v>1568</v>
      </c>
      <c r="W890" s="2" t="s">
        <v>1569</v>
      </c>
      <c r="X890" s="2" t="s">
        <v>1570</v>
      </c>
      <c r="AB890" s="2" t="s">
        <v>1571</v>
      </c>
    </row>
    <row r="891">
      <c r="A891" s="2" t="s">
        <v>1818</v>
      </c>
      <c r="B891" s="2">
        <v>17.0</v>
      </c>
      <c r="C891" s="2" t="s">
        <v>7</v>
      </c>
      <c r="D891" s="2" t="s">
        <v>1819</v>
      </c>
      <c r="E891" s="2">
        <v>4.0</v>
      </c>
      <c r="F891" s="2" t="s">
        <v>4</v>
      </c>
      <c r="G891" s="5">
        <v>2676896.0</v>
      </c>
      <c r="H891" s="2" t="s">
        <v>1575</v>
      </c>
      <c r="I891" s="2" t="s">
        <v>1565</v>
      </c>
      <c r="J891" s="2">
        <v>10002.0</v>
      </c>
      <c r="K891" s="2" t="s">
        <v>1576</v>
      </c>
      <c r="L891" s="2"/>
      <c r="M891" s="2"/>
      <c r="N891" s="7">
        <v>1.0</v>
      </c>
      <c r="O891" s="12">
        <v>18571.0</v>
      </c>
      <c r="P891" s="11" t="s">
        <v>1649</v>
      </c>
      <c r="Q891" s="12">
        <v>18571.0</v>
      </c>
      <c r="R891" s="11" t="s">
        <v>1649</v>
      </c>
      <c r="S891" s="11" t="s">
        <v>1656</v>
      </c>
      <c r="T891" s="11" t="s">
        <v>1657</v>
      </c>
      <c r="U891" s="2" t="s">
        <v>1574</v>
      </c>
      <c r="V891" s="2" t="s">
        <v>1568</v>
      </c>
      <c r="W891" s="2" t="s">
        <v>1569</v>
      </c>
      <c r="X891" s="2" t="s">
        <v>1570</v>
      </c>
      <c r="AB891" s="2" t="s">
        <v>1571</v>
      </c>
    </row>
    <row r="892">
      <c r="A892" s="2" t="s">
        <v>1818</v>
      </c>
      <c r="B892" s="2">
        <v>17.0</v>
      </c>
      <c r="C892" s="2" t="s">
        <v>7</v>
      </c>
      <c r="D892" s="2" t="s">
        <v>1819</v>
      </c>
      <c r="E892" s="2">
        <v>4.0</v>
      </c>
      <c r="F892" s="2" t="s">
        <v>4</v>
      </c>
      <c r="G892" s="5">
        <v>2676896.0</v>
      </c>
      <c r="H892" s="2" t="s">
        <v>1575</v>
      </c>
      <c r="I892" s="2" t="s">
        <v>1565</v>
      </c>
      <c r="J892" s="2">
        <v>10005.0</v>
      </c>
      <c r="K892" s="2" t="s">
        <v>1595</v>
      </c>
      <c r="L892" s="2"/>
      <c r="M892" s="2"/>
      <c r="N892" s="7">
        <v>1.0</v>
      </c>
      <c r="O892" s="12">
        <v>19524.0</v>
      </c>
      <c r="P892" s="11" t="s">
        <v>1649</v>
      </c>
      <c r="Q892" s="12">
        <v>19524.0</v>
      </c>
      <c r="R892" s="11" t="s">
        <v>1649</v>
      </c>
      <c r="S892" s="11" t="s">
        <v>1676</v>
      </c>
      <c r="T892" s="11" t="s">
        <v>1677</v>
      </c>
      <c r="U892" s="2" t="s">
        <v>1574</v>
      </c>
      <c r="V892" s="2" t="s">
        <v>1568</v>
      </c>
      <c r="W892" s="2" t="s">
        <v>1569</v>
      </c>
      <c r="X892" s="2" t="s">
        <v>1570</v>
      </c>
      <c r="AB892" s="2" t="s">
        <v>1571</v>
      </c>
    </row>
    <row r="893">
      <c r="A893" s="2" t="s">
        <v>1818</v>
      </c>
      <c r="B893" s="2">
        <v>17.0</v>
      </c>
      <c r="C893" s="2" t="s">
        <v>7</v>
      </c>
      <c r="D893" s="2" t="s">
        <v>1819</v>
      </c>
      <c r="E893" s="2">
        <v>4.0</v>
      </c>
      <c r="F893" s="2" t="s">
        <v>4</v>
      </c>
      <c r="G893" s="5">
        <v>2676896.0</v>
      </c>
      <c r="H893" s="2" t="s">
        <v>1575</v>
      </c>
      <c r="I893" s="2" t="s">
        <v>1578</v>
      </c>
      <c r="J893" s="2">
        <v>10004.0</v>
      </c>
      <c r="K893" s="2" t="s">
        <v>1607</v>
      </c>
      <c r="L893" s="2"/>
      <c r="M893" s="2"/>
      <c r="N893" s="7">
        <v>1.0</v>
      </c>
      <c r="O893" s="12">
        <v>25238.0</v>
      </c>
      <c r="P893" s="11" t="s">
        <v>1649</v>
      </c>
      <c r="Q893" s="12">
        <v>25238.0</v>
      </c>
      <c r="R893" s="11" t="s">
        <v>1649</v>
      </c>
      <c r="S893" s="11" t="s">
        <v>1660</v>
      </c>
      <c r="T893" s="11" t="s">
        <v>1680</v>
      </c>
      <c r="U893" s="2" t="s">
        <v>1574</v>
      </c>
      <c r="V893" s="2" t="s">
        <v>1568</v>
      </c>
      <c r="W893" s="2" t="s">
        <v>1569</v>
      </c>
      <c r="X893" s="2" t="s">
        <v>1570</v>
      </c>
      <c r="AB893" s="2" t="s">
        <v>1571</v>
      </c>
    </row>
    <row r="894">
      <c r="A894" s="2" t="s">
        <v>1818</v>
      </c>
      <c r="B894" s="2">
        <v>17.0</v>
      </c>
      <c r="C894" s="2" t="s">
        <v>7</v>
      </c>
      <c r="D894" s="2" t="s">
        <v>1819</v>
      </c>
      <c r="E894" s="2">
        <v>4.0</v>
      </c>
      <c r="F894" s="2" t="s">
        <v>4</v>
      </c>
      <c r="G894" s="5">
        <v>2676530.0</v>
      </c>
      <c r="H894" s="2" t="s">
        <v>1575</v>
      </c>
      <c r="I894" s="2" t="s">
        <v>1565</v>
      </c>
      <c r="J894" s="2">
        <v>10000.0</v>
      </c>
      <c r="K894" s="2" t="s">
        <v>1566</v>
      </c>
      <c r="L894" s="2"/>
      <c r="M894" s="2"/>
      <c r="N894" s="7">
        <v>1.0</v>
      </c>
      <c r="O894" s="12">
        <v>29524.0</v>
      </c>
      <c r="P894" s="11" t="s">
        <v>1649</v>
      </c>
      <c r="Q894" s="12">
        <v>29524.0</v>
      </c>
      <c r="R894" s="11" t="s">
        <v>1649</v>
      </c>
      <c r="S894" s="11" t="s">
        <v>1683</v>
      </c>
      <c r="T894" s="11" t="s">
        <v>1684</v>
      </c>
      <c r="U894" s="2" t="s">
        <v>1574</v>
      </c>
      <c r="V894" s="2" t="s">
        <v>1568</v>
      </c>
      <c r="W894" s="2" t="s">
        <v>1569</v>
      </c>
      <c r="X894" s="2" t="s">
        <v>1570</v>
      </c>
      <c r="AB894" s="2" t="s">
        <v>1571</v>
      </c>
    </row>
    <row r="895">
      <c r="A895" s="2" t="s">
        <v>1818</v>
      </c>
      <c r="B895" s="2">
        <v>17.0</v>
      </c>
      <c r="C895" s="2" t="s">
        <v>7</v>
      </c>
      <c r="D895" s="2" t="s">
        <v>1819</v>
      </c>
      <c r="E895" s="2">
        <v>4.0</v>
      </c>
      <c r="F895" s="2" t="s">
        <v>4</v>
      </c>
      <c r="G895" s="5">
        <v>2676530.0</v>
      </c>
      <c r="H895" s="2" t="s">
        <v>1575</v>
      </c>
      <c r="I895" s="2" t="s">
        <v>1565</v>
      </c>
      <c r="J895" s="2">
        <v>10007.0</v>
      </c>
      <c r="K895" s="2" t="s">
        <v>1576</v>
      </c>
      <c r="L895" s="2"/>
      <c r="M895" s="2"/>
      <c r="N895" s="7">
        <v>2.0</v>
      </c>
      <c r="O895" s="12">
        <v>33810.0</v>
      </c>
      <c r="P895" s="11" t="s">
        <v>1649</v>
      </c>
      <c r="Q895" s="12">
        <v>33810.0</v>
      </c>
      <c r="R895" s="11" t="s">
        <v>1649</v>
      </c>
      <c r="S895" s="11" t="s">
        <v>1701</v>
      </c>
      <c r="T895" s="11" t="s">
        <v>1703</v>
      </c>
      <c r="U895" s="2" t="s">
        <v>1574</v>
      </c>
      <c r="V895" s="2" t="s">
        <v>1568</v>
      </c>
      <c r="W895" s="2" t="s">
        <v>1569</v>
      </c>
      <c r="X895" s="2" t="s">
        <v>1570</v>
      </c>
      <c r="AB895" s="2" t="s">
        <v>1571</v>
      </c>
    </row>
    <row r="896">
      <c r="A896" s="2" t="s">
        <v>1818</v>
      </c>
      <c r="B896" s="2">
        <v>17.0</v>
      </c>
      <c r="C896" s="2" t="s">
        <v>7</v>
      </c>
      <c r="D896" s="2" t="s">
        <v>1819</v>
      </c>
      <c r="E896" s="2">
        <v>4.0</v>
      </c>
      <c r="F896" s="2" t="s">
        <v>4</v>
      </c>
      <c r="G896" s="5">
        <v>2676165.0</v>
      </c>
      <c r="H896" s="2" t="s">
        <v>1575</v>
      </c>
      <c r="I896" s="2" t="s">
        <v>1565</v>
      </c>
      <c r="J896" s="2">
        <v>10000.0</v>
      </c>
      <c r="K896" s="2" t="s">
        <v>1566</v>
      </c>
      <c r="L896" s="2"/>
      <c r="M896" s="2"/>
      <c r="N896" s="7">
        <v>1.0</v>
      </c>
      <c r="O896" s="12">
        <v>29524.0</v>
      </c>
      <c r="P896" s="11" t="s">
        <v>1649</v>
      </c>
      <c r="Q896" s="12">
        <v>29524.0</v>
      </c>
      <c r="R896" s="11" t="s">
        <v>1649</v>
      </c>
      <c r="S896" s="11" t="s">
        <v>1683</v>
      </c>
      <c r="T896" s="11" t="s">
        <v>1684</v>
      </c>
      <c r="U896" s="2" t="s">
        <v>1574</v>
      </c>
      <c r="V896" s="2" t="s">
        <v>1568</v>
      </c>
      <c r="W896" s="2" t="s">
        <v>1569</v>
      </c>
      <c r="X896" s="2" t="s">
        <v>1570</v>
      </c>
      <c r="AB896" s="2" t="s">
        <v>1571</v>
      </c>
    </row>
    <row r="897">
      <c r="A897" s="2" t="s">
        <v>1818</v>
      </c>
      <c r="B897" s="2">
        <v>16.0</v>
      </c>
      <c r="C897" s="2" t="s">
        <v>7</v>
      </c>
      <c r="D897" s="2" t="s">
        <v>1819</v>
      </c>
      <c r="E897" s="2">
        <v>4.0</v>
      </c>
      <c r="F897" s="2" t="s">
        <v>4</v>
      </c>
      <c r="G897" s="5">
        <v>2675800.0</v>
      </c>
      <c r="H897" s="2" t="s">
        <v>1575</v>
      </c>
      <c r="I897" s="2" t="s">
        <v>1572</v>
      </c>
      <c r="J897" s="2">
        <v>10128.0</v>
      </c>
      <c r="K897" s="2" t="s">
        <v>1588</v>
      </c>
      <c r="L897" s="2"/>
      <c r="M897" s="2"/>
      <c r="N897" s="7">
        <v>1.0</v>
      </c>
      <c r="O897" s="12">
        <v>23333.0</v>
      </c>
      <c r="P897" s="11" t="s">
        <v>1649</v>
      </c>
      <c r="Q897" s="12">
        <v>23333.0</v>
      </c>
      <c r="R897" s="11" t="s">
        <v>1649</v>
      </c>
      <c r="S897" s="11" t="s">
        <v>1681</v>
      </c>
      <c r="T897" s="11" t="s">
        <v>1682</v>
      </c>
      <c r="U897" s="2" t="s">
        <v>1574</v>
      </c>
      <c r="V897" s="2" t="s">
        <v>1568</v>
      </c>
      <c r="W897" s="2" t="s">
        <v>1569</v>
      </c>
      <c r="X897" s="2" t="s">
        <v>1570</v>
      </c>
      <c r="AB897" s="2" t="s">
        <v>1571</v>
      </c>
    </row>
    <row r="898">
      <c r="A898" s="2" t="s">
        <v>1818</v>
      </c>
      <c r="B898" s="2">
        <v>16.0</v>
      </c>
      <c r="C898" s="2" t="s">
        <v>7</v>
      </c>
      <c r="D898" s="2" t="s">
        <v>1819</v>
      </c>
      <c r="E898" s="2">
        <v>4.0</v>
      </c>
      <c r="F898" s="2" t="s">
        <v>4</v>
      </c>
      <c r="G898" s="5">
        <v>2675800.0</v>
      </c>
      <c r="H898" s="2" t="s">
        <v>1575</v>
      </c>
      <c r="I898" s="2" t="s">
        <v>1565</v>
      </c>
      <c r="J898" s="2">
        <v>10002.0</v>
      </c>
      <c r="K898" s="2" t="s">
        <v>1576</v>
      </c>
      <c r="L898" s="2"/>
      <c r="M898" s="2"/>
      <c r="N898" s="7">
        <v>1.0</v>
      </c>
      <c r="O898" s="12">
        <v>18571.0</v>
      </c>
      <c r="P898" s="11" t="s">
        <v>1649</v>
      </c>
      <c r="Q898" s="12">
        <v>18571.0</v>
      </c>
      <c r="R898" s="11" t="s">
        <v>1649</v>
      </c>
      <c r="S898" s="11" t="s">
        <v>1656</v>
      </c>
      <c r="T898" s="11" t="s">
        <v>1688</v>
      </c>
      <c r="U898" s="2" t="s">
        <v>1574</v>
      </c>
      <c r="V898" s="2" t="s">
        <v>1568</v>
      </c>
      <c r="W898" s="2" t="s">
        <v>1569</v>
      </c>
      <c r="X898" s="2" t="s">
        <v>1570</v>
      </c>
      <c r="AB898" s="2" t="s">
        <v>1571</v>
      </c>
    </row>
    <row r="899">
      <c r="A899" s="2" t="s">
        <v>1818</v>
      </c>
      <c r="B899" s="2">
        <v>16.0</v>
      </c>
      <c r="C899" s="2" t="s">
        <v>7</v>
      </c>
      <c r="D899" s="2" t="s">
        <v>1819</v>
      </c>
      <c r="E899" s="2">
        <v>4.0</v>
      </c>
      <c r="F899" s="2" t="s">
        <v>4</v>
      </c>
      <c r="G899" s="5">
        <v>2675435.0</v>
      </c>
      <c r="H899" s="2" t="s">
        <v>1575</v>
      </c>
      <c r="I899" s="2" t="s">
        <v>1572</v>
      </c>
      <c r="J899" s="2">
        <v>10123.0</v>
      </c>
      <c r="K899" s="2" t="s">
        <v>1599</v>
      </c>
      <c r="L899" s="2"/>
      <c r="M899" s="2"/>
      <c r="N899" s="7">
        <v>1.0</v>
      </c>
      <c r="O899" s="12">
        <v>21905.0</v>
      </c>
      <c r="P899" s="11" t="s">
        <v>1649</v>
      </c>
      <c r="Q899" s="12">
        <v>21905.0</v>
      </c>
      <c r="R899" s="11" t="s">
        <v>1649</v>
      </c>
      <c r="S899" s="11" t="s">
        <v>1666</v>
      </c>
      <c r="T899" s="11" t="s">
        <v>1667</v>
      </c>
      <c r="U899" s="2" t="s">
        <v>1574</v>
      </c>
      <c r="V899" s="2" t="s">
        <v>1568</v>
      </c>
      <c r="W899" s="2" t="s">
        <v>1569</v>
      </c>
      <c r="X899" s="2" t="s">
        <v>1570</v>
      </c>
      <c r="AB899" s="2" t="s">
        <v>1571</v>
      </c>
    </row>
    <row r="900">
      <c r="A900" s="2" t="s">
        <v>1818</v>
      </c>
      <c r="B900" s="2">
        <v>16.0</v>
      </c>
      <c r="C900" s="2" t="s">
        <v>7</v>
      </c>
      <c r="D900" s="2" t="s">
        <v>1819</v>
      </c>
      <c r="E900" s="2">
        <v>4.0</v>
      </c>
      <c r="F900" s="2" t="s">
        <v>4</v>
      </c>
      <c r="G900" s="5">
        <v>2675435.0</v>
      </c>
      <c r="H900" s="2" t="s">
        <v>1575</v>
      </c>
      <c r="I900" s="2" t="s">
        <v>1578</v>
      </c>
      <c r="J900" s="2">
        <v>10014.0</v>
      </c>
      <c r="K900" s="2" t="s">
        <v>1609</v>
      </c>
      <c r="L900" s="2"/>
      <c r="M900" s="2"/>
      <c r="N900" s="7">
        <v>1.0</v>
      </c>
      <c r="O900" s="12">
        <v>25238.0</v>
      </c>
      <c r="P900" s="11" t="s">
        <v>1649</v>
      </c>
      <c r="Q900" s="12">
        <v>25238.0</v>
      </c>
      <c r="R900" s="11" t="s">
        <v>1649</v>
      </c>
      <c r="S900" s="11" t="s">
        <v>1660</v>
      </c>
      <c r="T900" s="11" t="s">
        <v>1680</v>
      </c>
      <c r="U900" s="2" t="s">
        <v>1574</v>
      </c>
      <c r="V900" s="2" t="s">
        <v>1568</v>
      </c>
      <c r="W900" s="2" t="s">
        <v>1569</v>
      </c>
      <c r="X900" s="2" t="s">
        <v>1570</v>
      </c>
      <c r="AB900" s="2" t="s">
        <v>1571</v>
      </c>
    </row>
    <row r="901">
      <c r="A901" s="2" t="s">
        <v>1818</v>
      </c>
      <c r="B901" s="2">
        <v>16.0</v>
      </c>
      <c r="C901" s="2" t="s">
        <v>7</v>
      </c>
      <c r="D901" s="2" t="s">
        <v>1819</v>
      </c>
      <c r="E901" s="2">
        <v>4.0</v>
      </c>
      <c r="F901" s="2" t="s">
        <v>4</v>
      </c>
      <c r="G901" s="5">
        <v>2675435.0</v>
      </c>
      <c r="H901" s="2" t="s">
        <v>1575</v>
      </c>
      <c r="I901" s="2" t="s">
        <v>1565</v>
      </c>
      <c r="J901" s="2">
        <v>10000.0</v>
      </c>
      <c r="K901" s="2" t="s">
        <v>1566</v>
      </c>
      <c r="L901" s="2"/>
      <c r="M901" s="2"/>
      <c r="N901" s="7">
        <v>1.0</v>
      </c>
      <c r="O901" s="12">
        <v>29524.0</v>
      </c>
      <c r="P901" s="11" t="s">
        <v>1649</v>
      </c>
      <c r="Q901" s="12">
        <v>29524.0</v>
      </c>
      <c r="R901" s="11" t="s">
        <v>1649</v>
      </c>
      <c r="S901" s="11" t="s">
        <v>1683</v>
      </c>
      <c r="T901" s="11" t="s">
        <v>1684</v>
      </c>
      <c r="U901" s="2" t="s">
        <v>1574</v>
      </c>
      <c r="V901" s="2" t="s">
        <v>1568</v>
      </c>
      <c r="W901" s="2" t="s">
        <v>1569</v>
      </c>
      <c r="X901" s="2" t="s">
        <v>1570</v>
      </c>
      <c r="AB901" s="2" t="s">
        <v>1571</v>
      </c>
    </row>
    <row r="902">
      <c r="A902" s="2" t="s">
        <v>1818</v>
      </c>
      <c r="B902" s="2">
        <v>15.0</v>
      </c>
      <c r="C902" s="2" t="s">
        <v>7</v>
      </c>
      <c r="D902" s="2" t="s">
        <v>1819</v>
      </c>
      <c r="E902" s="2">
        <v>4.0</v>
      </c>
      <c r="F902" s="2" t="s">
        <v>4</v>
      </c>
      <c r="G902" s="5">
        <v>2675069.0</v>
      </c>
      <c r="H902" s="2" t="s">
        <v>1575</v>
      </c>
      <c r="I902" s="2" t="s">
        <v>1565</v>
      </c>
      <c r="J902" s="2">
        <v>10000.0</v>
      </c>
      <c r="K902" s="2" t="s">
        <v>1566</v>
      </c>
      <c r="L902" s="2"/>
      <c r="M902" s="2"/>
      <c r="N902" s="7">
        <v>1.0</v>
      </c>
      <c r="O902" s="12">
        <v>29524.0</v>
      </c>
      <c r="P902" s="11" t="s">
        <v>1649</v>
      </c>
      <c r="Q902" s="12">
        <v>29524.0</v>
      </c>
      <c r="R902" s="11" t="s">
        <v>1649</v>
      </c>
      <c r="S902" s="11" t="s">
        <v>1683</v>
      </c>
      <c r="T902" s="11" t="s">
        <v>1684</v>
      </c>
      <c r="U902" s="2" t="s">
        <v>1574</v>
      </c>
      <c r="V902" s="2" t="s">
        <v>1568</v>
      </c>
      <c r="W902" s="2" t="s">
        <v>1569</v>
      </c>
      <c r="X902" s="2" t="s">
        <v>1570</v>
      </c>
      <c r="AB902" s="2" t="s">
        <v>1571</v>
      </c>
    </row>
    <row r="903">
      <c r="A903" s="2" t="s">
        <v>1818</v>
      </c>
      <c r="B903" s="2">
        <v>15.0</v>
      </c>
      <c r="C903" s="2" t="s">
        <v>7</v>
      </c>
      <c r="D903" s="2" t="s">
        <v>1819</v>
      </c>
      <c r="E903" s="2">
        <v>4.0</v>
      </c>
      <c r="F903" s="2" t="s">
        <v>4</v>
      </c>
      <c r="G903" s="5">
        <v>2675069.0</v>
      </c>
      <c r="H903" s="2" t="s">
        <v>1575</v>
      </c>
      <c r="I903" s="2" t="s">
        <v>1572</v>
      </c>
      <c r="J903" s="2">
        <v>10128.0</v>
      </c>
      <c r="K903" s="2" t="s">
        <v>1588</v>
      </c>
      <c r="L903" s="2"/>
      <c r="M903" s="2"/>
      <c r="N903" s="7">
        <v>1.0</v>
      </c>
      <c r="O903" s="12">
        <v>23333.0</v>
      </c>
      <c r="P903" s="11" t="s">
        <v>1649</v>
      </c>
      <c r="Q903" s="12">
        <v>23333.0</v>
      </c>
      <c r="R903" s="11" t="s">
        <v>1649</v>
      </c>
      <c r="S903" s="11" t="s">
        <v>1681</v>
      </c>
      <c r="T903" s="11" t="s">
        <v>1682</v>
      </c>
      <c r="U903" s="2" t="s">
        <v>1574</v>
      </c>
      <c r="V903" s="2" t="s">
        <v>1568</v>
      </c>
      <c r="W903" s="2" t="s">
        <v>1569</v>
      </c>
      <c r="X903" s="2" t="s">
        <v>1570</v>
      </c>
      <c r="AB903" s="2" t="s">
        <v>1571</v>
      </c>
    </row>
    <row r="904">
      <c r="A904" s="2" t="s">
        <v>1818</v>
      </c>
      <c r="B904" s="2">
        <v>15.0</v>
      </c>
      <c r="C904" s="2" t="s">
        <v>7</v>
      </c>
      <c r="D904" s="2" t="s">
        <v>1819</v>
      </c>
      <c r="E904" s="2">
        <v>4.0</v>
      </c>
      <c r="F904" s="2" t="s">
        <v>4</v>
      </c>
      <c r="G904" s="5">
        <v>2675069.0</v>
      </c>
      <c r="H904" s="2" t="s">
        <v>1575</v>
      </c>
      <c r="I904" s="2" t="s">
        <v>1572</v>
      </c>
      <c r="J904" s="2">
        <v>10057.0</v>
      </c>
      <c r="K904" s="2" t="s">
        <v>1608</v>
      </c>
      <c r="L904" s="2"/>
      <c r="M904" s="2"/>
      <c r="N904" s="7">
        <v>1.0</v>
      </c>
      <c r="O904" s="12">
        <v>19524.0</v>
      </c>
      <c r="P904" s="11" t="s">
        <v>1649</v>
      </c>
      <c r="Q904" s="12">
        <v>19524.0</v>
      </c>
      <c r="R904" s="11" t="s">
        <v>1649</v>
      </c>
      <c r="S904" s="11" t="s">
        <v>1676</v>
      </c>
      <c r="T904" s="11" t="s">
        <v>1677</v>
      </c>
      <c r="U904" s="2" t="s">
        <v>1574</v>
      </c>
      <c r="V904" s="2" t="s">
        <v>1568</v>
      </c>
      <c r="W904" s="2" t="s">
        <v>1569</v>
      </c>
      <c r="X904" s="2" t="s">
        <v>1570</v>
      </c>
      <c r="AB904" s="2" t="s">
        <v>1571</v>
      </c>
    </row>
    <row r="905">
      <c r="A905" s="2" t="s">
        <v>1818</v>
      </c>
      <c r="B905" s="2">
        <v>14.0</v>
      </c>
      <c r="C905" s="2" t="s">
        <v>7</v>
      </c>
      <c r="D905" s="2" t="s">
        <v>1819</v>
      </c>
      <c r="E905" s="2">
        <v>4.0</v>
      </c>
      <c r="F905" s="2" t="s">
        <v>4</v>
      </c>
      <c r="G905" s="5">
        <v>2674704.0</v>
      </c>
      <c r="H905" s="2" t="s">
        <v>1575</v>
      </c>
      <c r="I905" s="2" t="s">
        <v>1572</v>
      </c>
      <c r="J905" s="2">
        <v>10121.0</v>
      </c>
      <c r="K905" s="2" t="s">
        <v>1617</v>
      </c>
      <c r="L905" s="2"/>
      <c r="M905" s="2"/>
      <c r="N905" s="7">
        <v>1.0</v>
      </c>
      <c r="O905" s="12">
        <v>19524.0</v>
      </c>
      <c r="P905" s="11" t="s">
        <v>1649</v>
      </c>
      <c r="Q905" s="12">
        <v>19524.0</v>
      </c>
      <c r="R905" s="11" t="s">
        <v>1649</v>
      </c>
      <c r="S905" s="11" t="s">
        <v>1676</v>
      </c>
      <c r="T905" s="11" t="s">
        <v>1677</v>
      </c>
      <c r="U905" s="2" t="s">
        <v>1574</v>
      </c>
      <c r="V905" s="2" t="s">
        <v>1568</v>
      </c>
      <c r="W905" s="2" t="s">
        <v>1569</v>
      </c>
      <c r="X905" s="2" t="s">
        <v>1570</v>
      </c>
      <c r="AB905" s="2" t="s">
        <v>1571</v>
      </c>
    </row>
    <row r="906">
      <c r="A906" s="2" t="s">
        <v>1818</v>
      </c>
      <c r="B906" s="2">
        <v>14.0</v>
      </c>
      <c r="C906" s="2" t="s">
        <v>7</v>
      </c>
      <c r="D906" s="2" t="s">
        <v>1819</v>
      </c>
      <c r="E906" s="2">
        <v>4.0</v>
      </c>
      <c r="F906" s="2" t="s">
        <v>4</v>
      </c>
      <c r="G906" s="5">
        <v>2674704.0</v>
      </c>
      <c r="H906" s="2" t="s">
        <v>1575</v>
      </c>
      <c r="I906" s="2" t="s">
        <v>1565</v>
      </c>
      <c r="J906" s="2">
        <v>10034.0</v>
      </c>
      <c r="K906" s="2" t="s">
        <v>1616</v>
      </c>
      <c r="L906" s="2"/>
      <c r="M906" s="2"/>
      <c r="N906" s="7">
        <v>1.0</v>
      </c>
      <c r="O906" s="12">
        <v>21905.0</v>
      </c>
      <c r="P906" s="11" t="s">
        <v>1649</v>
      </c>
      <c r="Q906" s="12">
        <v>21905.0</v>
      </c>
      <c r="R906" s="11" t="s">
        <v>1649</v>
      </c>
      <c r="S906" s="11" t="s">
        <v>1666</v>
      </c>
      <c r="T906" s="11" t="s">
        <v>1667</v>
      </c>
      <c r="U906" s="2" t="s">
        <v>1574</v>
      </c>
      <c r="V906" s="2" t="s">
        <v>1568</v>
      </c>
      <c r="W906" s="2" t="s">
        <v>1569</v>
      </c>
      <c r="X906" s="2" t="s">
        <v>1570</v>
      </c>
      <c r="AB906" s="2" t="s">
        <v>1571</v>
      </c>
    </row>
    <row r="907">
      <c r="A907" s="2" t="s">
        <v>1818</v>
      </c>
      <c r="B907" s="2">
        <v>14.0</v>
      </c>
      <c r="C907" s="2" t="s">
        <v>7</v>
      </c>
      <c r="D907" s="2" t="s">
        <v>1819</v>
      </c>
      <c r="E907" s="2">
        <v>4.0</v>
      </c>
      <c r="F907" s="2" t="s">
        <v>4</v>
      </c>
      <c r="G907" s="5">
        <v>2674704.0</v>
      </c>
      <c r="H907" s="2" t="s">
        <v>1575</v>
      </c>
      <c r="I907" s="2" t="s">
        <v>1580</v>
      </c>
      <c r="J907" s="2">
        <v>10104.0</v>
      </c>
      <c r="K907" s="2" t="s">
        <v>1581</v>
      </c>
      <c r="L907" s="2"/>
      <c r="M907" s="2"/>
      <c r="N907" s="7">
        <v>1.0</v>
      </c>
      <c r="O907" s="12">
        <v>34762.0</v>
      </c>
      <c r="P907" s="11" t="s">
        <v>1649</v>
      </c>
      <c r="Q907" s="12">
        <v>34762.0</v>
      </c>
      <c r="R907" s="11" t="s">
        <v>1649</v>
      </c>
      <c r="S907" s="11" t="s">
        <v>1670</v>
      </c>
      <c r="T907" s="11" t="s">
        <v>1775</v>
      </c>
      <c r="U907" s="2" t="s">
        <v>1574</v>
      </c>
      <c r="V907" s="2" t="s">
        <v>1568</v>
      </c>
      <c r="W907" s="2" t="s">
        <v>1569</v>
      </c>
      <c r="X907" s="2" t="s">
        <v>1570</v>
      </c>
      <c r="AB907" s="2" t="s">
        <v>1571</v>
      </c>
    </row>
    <row r="908">
      <c r="A908" s="2" t="s">
        <v>1818</v>
      </c>
      <c r="B908" s="2">
        <v>14.0</v>
      </c>
      <c r="C908" s="2" t="s">
        <v>7</v>
      </c>
      <c r="D908" s="2" t="s">
        <v>1819</v>
      </c>
      <c r="E908" s="2">
        <v>4.0</v>
      </c>
      <c r="F908" s="2" t="s">
        <v>4</v>
      </c>
      <c r="G908" s="5">
        <v>2674339.0</v>
      </c>
      <c r="H908" s="2" t="s">
        <v>1564</v>
      </c>
      <c r="I908" s="2" t="s">
        <v>1572</v>
      </c>
      <c r="J908" s="2">
        <v>10112.0</v>
      </c>
      <c r="K908" s="2" t="s">
        <v>1573</v>
      </c>
      <c r="L908" s="2"/>
      <c r="M908" s="2"/>
      <c r="N908" s="7">
        <v>-2.0</v>
      </c>
      <c r="O908" s="12">
        <v>-13334.0</v>
      </c>
      <c r="P908" s="11" t="s">
        <v>1649</v>
      </c>
      <c r="Q908" s="12">
        <v>-13334.0</v>
      </c>
      <c r="R908" s="11" t="s">
        <v>1650</v>
      </c>
      <c r="S908" s="11" t="s">
        <v>1654</v>
      </c>
      <c r="T908" s="11" t="s">
        <v>1655</v>
      </c>
      <c r="U908" s="2" t="s">
        <v>1574</v>
      </c>
      <c r="V908" s="2" t="s">
        <v>1568</v>
      </c>
      <c r="W908" s="2" t="s">
        <v>1569</v>
      </c>
      <c r="X908" s="2" t="s">
        <v>1570</v>
      </c>
      <c r="AB908" s="2" t="s">
        <v>1571</v>
      </c>
    </row>
    <row r="909">
      <c r="A909" s="2" t="s">
        <v>1818</v>
      </c>
      <c r="B909" s="2">
        <v>14.0</v>
      </c>
      <c r="C909" s="2" t="s">
        <v>7</v>
      </c>
      <c r="D909" s="2" t="s">
        <v>1819</v>
      </c>
      <c r="E909" s="2">
        <v>4.0</v>
      </c>
      <c r="F909" s="2" t="s">
        <v>4</v>
      </c>
      <c r="G909" s="5">
        <v>2674339.0</v>
      </c>
      <c r="H909" s="2" t="s">
        <v>1564</v>
      </c>
      <c r="I909" s="2" t="s">
        <v>1572</v>
      </c>
      <c r="J909" s="2">
        <v>10117.0</v>
      </c>
      <c r="K909" s="2" t="s">
        <v>1589</v>
      </c>
      <c r="L909" s="2"/>
      <c r="M909" s="2"/>
      <c r="N909" s="7">
        <v>-1.0</v>
      </c>
      <c r="O909" s="12">
        <v>-14286.0</v>
      </c>
      <c r="P909" s="11" t="s">
        <v>1649</v>
      </c>
      <c r="Q909" s="12">
        <v>-14286.0</v>
      </c>
      <c r="R909" s="11" t="s">
        <v>1650</v>
      </c>
      <c r="S909" s="11" t="s">
        <v>1813</v>
      </c>
      <c r="T909" s="11" t="s">
        <v>1814</v>
      </c>
      <c r="U909" s="2" t="s">
        <v>1574</v>
      </c>
      <c r="V909" s="2" t="s">
        <v>1568</v>
      </c>
      <c r="W909" s="2" t="s">
        <v>1569</v>
      </c>
      <c r="X909" s="2" t="s">
        <v>1570</v>
      </c>
      <c r="AB909" s="2" t="s">
        <v>1571</v>
      </c>
    </row>
    <row r="910">
      <c r="A910" s="2" t="s">
        <v>1818</v>
      </c>
      <c r="B910" s="2">
        <v>14.0</v>
      </c>
      <c r="C910" s="2" t="s">
        <v>7</v>
      </c>
      <c r="D910" s="2" t="s">
        <v>1819</v>
      </c>
      <c r="E910" s="2">
        <v>4.0</v>
      </c>
      <c r="F910" s="2" t="s">
        <v>4</v>
      </c>
      <c r="G910" s="5">
        <v>2674339.0</v>
      </c>
      <c r="H910" s="2" t="s">
        <v>1564</v>
      </c>
      <c r="I910" s="2" t="s">
        <v>1572</v>
      </c>
      <c r="J910" s="2">
        <v>10128.0</v>
      </c>
      <c r="K910" s="2" t="s">
        <v>1588</v>
      </c>
      <c r="L910" s="2"/>
      <c r="M910" s="2"/>
      <c r="N910" s="7">
        <v>-1.0</v>
      </c>
      <c r="O910" s="12">
        <v>-23333.0</v>
      </c>
      <c r="P910" s="11" t="s">
        <v>1649</v>
      </c>
      <c r="Q910" s="12">
        <v>-23333.0</v>
      </c>
      <c r="R910" s="11" t="s">
        <v>1650</v>
      </c>
      <c r="S910" s="11" t="s">
        <v>1706</v>
      </c>
      <c r="T910" s="11" t="s">
        <v>1729</v>
      </c>
      <c r="U910" s="2" t="s">
        <v>1574</v>
      </c>
      <c r="V910" s="2" t="s">
        <v>1568</v>
      </c>
      <c r="W910" s="2" t="s">
        <v>1569</v>
      </c>
      <c r="X910" s="2" t="s">
        <v>1570</v>
      </c>
      <c r="AB910" s="2" t="s">
        <v>1571</v>
      </c>
    </row>
    <row r="911">
      <c r="A911" s="2" t="s">
        <v>1818</v>
      </c>
      <c r="B911" s="2">
        <v>14.0</v>
      </c>
      <c r="C911" s="2" t="s">
        <v>7</v>
      </c>
      <c r="D911" s="2" t="s">
        <v>1819</v>
      </c>
      <c r="E911" s="2">
        <v>4.0</v>
      </c>
      <c r="F911" s="2" t="s">
        <v>4</v>
      </c>
      <c r="G911" s="5">
        <v>2673974.0</v>
      </c>
      <c r="H911" s="2" t="s">
        <v>1575</v>
      </c>
      <c r="I911" s="2" t="s">
        <v>1572</v>
      </c>
      <c r="J911" s="2">
        <v>10128.0</v>
      </c>
      <c r="K911" s="2" t="s">
        <v>1588</v>
      </c>
      <c r="L911" s="2"/>
      <c r="M911" s="2"/>
      <c r="N911" s="7">
        <v>1.0</v>
      </c>
      <c r="O911" s="12">
        <v>23333.0</v>
      </c>
      <c r="P911" s="11" t="s">
        <v>1649</v>
      </c>
      <c r="Q911" s="12">
        <v>23333.0</v>
      </c>
      <c r="R911" s="11" t="s">
        <v>1649</v>
      </c>
      <c r="S911" s="11" t="s">
        <v>1681</v>
      </c>
      <c r="T911" s="11" t="s">
        <v>1682</v>
      </c>
      <c r="U911" s="2" t="s">
        <v>1574</v>
      </c>
      <c r="V911" s="2" t="s">
        <v>1568</v>
      </c>
      <c r="W911" s="2" t="s">
        <v>1569</v>
      </c>
      <c r="X911" s="2" t="s">
        <v>1570</v>
      </c>
      <c r="AB911" s="2" t="s">
        <v>1571</v>
      </c>
    </row>
    <row r="912">
      <c r="A912" s="2" t="s">
        <v>1818</v>
      </c>
      <c r="B912" s="2">
        <v>14.0</v>
      </c>
      <c r="C912" s="2" t="s">
        <v>7</v>
      </c>
      <c r="D912" s="2" t="s">
        <v>1819</v>
      </c>
      <c r="E912" s="2">
        <v>4.0</v>
      </c>
      <c r="F912" s="2" t="s">
        <v>4</v>
      </c>
      <c r="G912" s="5">
        <v>2673974.0</v>
      </c>
      <c r="H912" s="2" t="s">
        <v>1575</v>
      </c>
      <c r="I912" s="2" t="s">
        <v>1572</v>
      </c>
      <c r="J912" s="2">
        <v>10117.0</v>
      </c>
      <c r="K912" s="2" t="s">
        <v>1589</v>
      </c>
      <c r="L912" s="2"/>
      <c r="M912" s="2"/>
      <c r="N912" s="7">
        <v>1.0</v>
      </c>
      <c r="O912" s="12">
        <v>14286.0</v>
      </c>
      <c r="P912" s="11" t="s">
        <v>1649</v>
      </c>
      <c r="Q912" s="12">
        <v>14286.0</v>
      </c>
      <c r="R912" s="11" t="s">
        <v>1649</v>
      </c>
      <c r="S912" s="11" t="s">
        <v>1685</v>
      </c>
      <c r="T912" s="11" t="s">
        <v>1686</v>
      </c>
      <c r="U912" s="2" t="s">
        <v>1574</v>
      </c>
      <c r="V912" s="2" t="s">
        <v>1568</v>
      </c>
      <c r="W912" s="2" t="s">
        <v>1569</v>
      </c>
      <c r="X912" s="2" t="s">
        <v>1570</v>
      </c>
      <c r="AB912" s="2" t="s">
        <v>1571</v>
      </c>
    </row>
    <row r="913">
      <c r="A913" s="2" t="s">
        <v>1818</v>
      </c>
      <c r="B913" s="2">
        <v>14.0</v>
      </c>
      <c r="C913" s="2" t="s">
        <v>7</v>
      </c>
      <c r="D913" s="2" t="s">
        <v>1819</v>
      </c>
      <c r="E913" s="2">
        <v>4.0</v>
      </c>
      <c r="F913" s="2" t="s">
        <v>4</v>
      </c>
      <c r="G913" s="5">
        <v>2673974.0</v>
      </c>
      <c r="H913" s="2" t="s">
        <v>1575</v>
      </c>
      <c r="I913" s="2" t="s">
        <v>1572</v>
      </c>
      <c r="J913" s="2">
        <v>10112.0</v>
      </c>
      <c r="K913" s="2" t="s">
        <v>1573</v>
      </c>
      <c r="L913" s="2"/>
      <c r="M913" s="2"/>
      <c r="N913" s="7">
        <v>2.0</v>
      </c>
      <c r="O913" s="12">
        <v>13334.0</v>
      </c>
      <c r="P913" s="11" t="s">
        <v>1649</v>
      </c>
      <c r="Q913" s="12">
        <v>13334.0</v>
      </c>
      <c r="R913" s="11" t="s">
        <v>1649</v>
      </c>
      <c r="S913" s="11" t="s">
        <v>1720</v>
      </c>
      <c r="T913" s="11" t="s">
        <v>1721</v>
      </c>
      <c r="U913" s="2" t="s">
        <v>1574</v>
      </c>
      <c r="V913" s="2" t="s">
        <v>1568</v>
      </c>
      <c r="W913" s="2" t="s">
        <v>1569</v>
      </c>
      <c r="X913" s="2" t="s">
        <v>1570</v>
      </c>
      <c r="AB913" s="2" t="s">
        <v>1571</v>
      </c>
    </row>
    <row r="914">
      <c r="A914" s="2" t="s">
        <v>1818</v>
      </c>
      <c r="B914" s="2">
        <v>14.0</v>
      </c>
      <c r="C914" s="2" t="s">
        <v>7</v>
      </c>
      <c r="D914" s="2" t="s">
        <v>1819</v>
      </c>
      <c r="E914" s="2">
        <v>4.0</v>
      </c>
      <c r="F914" s="2" t="s">
        <v>4</v>
      </c>
      <c r="G914" s="5">
        <v>2673608.0</v>
      </c>
      <c r="H914" s="2" t="s">
        <v>1575</v>
      </c>
      <c r="I914" s="2" t="s">
        <v>1572</v>
      </c>
      <c r="J914" s="2">
        <v>10112.0</v>
      </c>
      <c r="K914" s="2" t="s">
        <v>1573</v>
      </c>
      <c r="L914" s="2"/>
      <c r="M914" s="2"/>
      <c r="N914" s="7">
        <v>2.0</v>
      </c>
      <c r="O914" s="12">
        <v>13334.0</v>
      </c>
      <c r="P914" s="11" t="s">
        <v>1649</v>
      </c>
      <c r="Q914" s="12">
        <v>13334.0</v>
      </c>
      <c r="R914" s="11" t="s">
        <v>1649</v>
      </c>
      <c r="S914" s="11" t="s">
        <v>1720</v>
      </c>
      <c r="T914" s="11" t="s">
        <v>1721</v>
      </c>
      <c r="U914" s="2" t="s">
        <v>1574</v>
      </c>
      <c r="V914" s="2" t="s">
        <v>1568</v>
      </c>
      <c r="W914" s="2" t="s">
        <v>1569</v>
      </c>
      <c r="X914" s="2" t="s">
        <v>1570</v>
      </c>
      <c r="AB914" s="2" t="s">
        <v>1571</v>
      </c>
    </row>
    <row r="915">
      <c r="A915" s="2" t="s">
        <v>1818</v>
      </c>
      <c r="B915" s="2">
        <v>14.0</v>
      </c>
      <c r="C915" s="2" t="s">
        <v>7</v>
      </c>
      <c r="D915" s="2" t="s">
        <v>1819</v>
      </c>
      <c r="E915" s="2">
        <v>4.0</v>
      </c>
      <c r="F915" s="2" t="s">
        <v>4</v>
      </c>
      <c r="G915" s="5">
        <v>2673608.0</v>
      </c>
      <c r="H915" s="2" t="s">
        <v>1575</v>
      </c>
      <c r="I915" s="2" t="s">
        <v>1572</v>
      </c>
      <c r="J915" s="2">
        <v>10117.0</v>
      </c>
      <c r="K915" s="2" t="s">
        <v>1589</v>
      </c>
      <c r="L915" s="2"/>
      <c r="M915" s="2"/>
      <c r="N915" s="7">
        <v>1.0</v>
      </c>
      <c r="O915" s="12">
        <v>14286.0</v>
      </c>
      <c r="P915" s="11" t="s">
        <v>1649</v>
      </c>
      <c r="Q915" s="12">
        <v>14286.0</v>
      </c>
      <c r="R915" s="11" t="s">
        <v>1649</v>
      </c>
      <c r="S915" s="11" t="s">
        <v>1685</v>
      </c>
      <c r="T915" s="11" t="s">
        <v>1686</v>
      </c>
      <c r="U915" s="2" t="s">
        <v>1574</v>
      </c>
      <c r="V915" s="2" t="s">
        <v>1568</v>
      </c>
      <c r="W915" s="2" t="s">
        <v>1569</v>
      </c>
      <c r="X915" s="2" t="s">
        <v>1570</v>
      </c>
      <c r="AB915" s="2" t="s">
        <v>1571</v>
      </c>
    </row>
    <row r="916">
      <c r="A916" s="2" t="s">
        <v>1818</v>
      </c>
      <c r="B916" s="2">
        <v>14.0</v>
      </c>
      <c r="C916" s="2" t="s">
        <v>7</v>
      </c>
      <c r="D916" s="2" t="s">
        <v>1819</v>
      </c>
      <c r="E916" s="2">
        <v>4.0</v>
      </c>
      <c r="F916" s="2" t="s">
        <v>4</v>
      </c>
      <c r="G916" s="5">
        <v>2673608.0</v>
      </c>
      <c r="H916" s="2" t="s">
        <v>1575</v>
      </c>
      <c r="I916" s="2" t="s">
        <v>1572</v>
      </c>
      <c r="J916" s="2">
        <v>10128.0</v>
      </c>
      <c r="K916" s="2" t="s">
        <v>1588</v>
      </c>
      <c r="L916" s="2"/>
      <c r="M916" s="2"/>
      <c r="N916" s="7">
        <v>1.0</v>
      </c>
      <c r="O916" s="12">
        <v>23333.0</v>
      </c>
      <c r="P916" s="11" t="s">
        <v>1649</v>
      </c>
      <c r="Q916" s="12">
        <v>23333.0</v>
      </c>
      <c r="R916" s="11" t="s">
        <v>1649</v>
      </c>
      <c r="S916" s="11" t="s">
        <v>1681</v>
      </c>
      <c r="T916" s="11" t="s">
        <v>1682</v>
      </c>
      <c r="U916" s="2" t="s">
        <v>1574</v>
      </c>
      <c r="V916" s="2" t="s">
        <v>1568</v>
      </c>
      <c r="W916" s="2" t="s">
        <v>1569</v>
      </c>
      <c r="X916" s="2" t="s">
        <v>1570</v>
      </c>
      <c r="AB916" s="2" t="s">
        <v>1571</v>
      </c>
    </row>
    <row r="917">
      <c r="A917" s="2" t="s">
        <v>1818</v>
      </c>
      <c r="B917" s="2">
        <v>13.0</v>
      </c>
      <c r="C917" s="2" t="s">
        <v>7</v>
      </c>
      <c r="D917" s="2" t="s">
        <v>1819</v>
      </c>
      <c r="E917" s="2">
        <v>4.0</v>
      </c>
      <c r="F917" s="2" t="s">
        <v>4</v>
      </c>
      <c r="G917" s="5">
        <v>2673243.0</v>
      </c>
      <c r="H917" s="2" t="s">
        <v>1575</v>
      </c>
      <c r="I917" s="2" t="s">
        <v>1578</v>
      </c>
      <c r="J917" s="2">
        <v>10009.0</v>
      </c>
      <c r="K917" s="2" t="s">
        <v>1586</v>
      </c>
      <c r="L917" s="2"/>
      <c r="M917" s="2"/>
      <c r="N917" s="7">
        <v>1.0</v>
      </c>
      <c r="O917" s="12">
        <v>26667.0</v>
      </c>
      <c r="P917" s="11" t="s">
        <v>1649</v>
      </c>
      <c r="Q917" s="12">
        <v>26667.0</v>
      </c>
      <c r="R917" s="11" t="s">
        <v>1649</v>
      </c>
      <c r="S917" s="11" t="s">
        <v>1674</v>
      </c>
      <c r="T917" s="11" t="s">
        <v>1679</v>
      </c>
      <c r="U917" s="2" t="s">
        <v>1574</v>
      </c>
      <c r="V917" s="2" t="s">
        <v>1568</v>
      </c>
      <c r="W917" s="2" t="s">
        <v>1569</v>
      </c>
      <c r="X917" s="2" t="s">
        <v>1570</v>
      </c>
      <c r="AB917" s="2" t="s">
        <v>1571</v>
      </c>
    </row>
    <row r="918">
      <c r="A918" s="2" t="s">
        <v>1818</v>
      </c>
      <c r="B918" s="2">
        <v>13.0</v>
      </c>
      <c r="C918" s="2" t="s">
        <v>7</v>
      </c>
      <c r="D918" s="2" t="s">
        <v>1819</v>
      </c>
      <c r="E918" s="2">
        <v>4.0</v>
      </c>
      <c r="F918" s="2" t="s">
        <v>4</v>
      </c>
      <c r="G918" s="5">
        <v>2673243.0</v>
      </c>
      <c r="H918" s="2" t="s">
        <v>1575</v>
      </c>
      <c r="I918" s="2" t="s">
        <v>1572</v>
      </c>
      <c r="J918" s="2">
        <v>10106.0</v>
      </c>
      <c r="K918" s="2" t="s">
        <v>1598</v>
      </c>
      <c r="L918" s="2"/>
      <c r="M918" s="2"/>
      <c r="N918" s="7">
        <v>1.0</v>
      </c>
      <c r="O918" s="12">
        <v>26667.0</v>
      </c>
      <c r="P918" s="11" t="s">
        <v>1649</v>
      </c>
      <c r="Q918" s="12">
        <v>26667.0</v>
      </c>
      <c r="R918" s="11" t="s">
        <v>1649</v>
      </c>
      <c r="S918" s="11" t="s">
        <v>1674</v>
      </c>
      <c r="T918" s="11" t="s">
        <v>1675</v>
      </c>
      <c r="U918" s="2" t="s">
        <v>1574</v>
      </c>
      <c r="V918" s="2" t="s">
        <v>1568</v>
      </c>
      <c r="W918" s="2" t="s">
        <v>1569</v>
      </c>
      <c r="X918" s="2" t="s">
        <v>1570</v>
      </c>
      <c r="AB918" s="2" t="s">
        <v>1571</v>
      </c>
    </row>
    <row r="919">
      <c r="A919" s="2" t="s">
        <v>1818</v>
      </c>
      <c r="B919" s="2">
        <v>13.0</v>
      </c>
      <c r="C919" s="2" t="s">
        <v>7</v>
      </c>
      <c r="D919" s="2" t="s">
        <v>1819</v>
      </c>
      <c r="E919" s="2">
        <v>4.0</v>
      </c>
      <c r="F919" s="2" t="s">
        <v>4</v>
      </c>
      <c r="G919" s="5">
        <v>2672878.0</v>
      </c>
      <c r="H919" s="2" t="s">
        <v>1575</v>
      </c>
      <c r="I919" s="2" t="s">
        <v>1565</v>
      </c>
      <c r="J919" s="2">
        <v>10033.0</v>
      </c>
      <c r="K919" s="2" t="s">
        <v>1615</v>
      </c>
      <c r="L919" s="2"/>
      <c r="M919" s="2"/>
      <c r="N919" s="7">
        <v>1.0</v>
      </c>
      <c r="O919" s="12">
        <v>21905.0</v>
      </c>
      <c r="P919" s="11" t="s">
        <v>1649</v>
      </c>
      <c r="Q919" s="12">
        <v>21905.0</v>
      </c>
      <c r="R919" s="11" t="s">
        <v>1649</v>
      </c>
      <c r="S919" s="11" t="s">
        <v>1666</v>
      </c>
      <c r="T919" s="11" t="s">
        <v>1667</v>
      </c>
      <c r="U919" s="2" t="s">
        <v>1574</v>
      </c>
      <c r="V919" s="2" t="s">
        <v>1568</v>
      </c>
      <c r="W919" s="2" t="s">
        <v>1569</v>
      </c>
      <c r="X919" s="2" t="s">
        <v>1570</v>
      </c>
      <c r="AB919" s="2" t="s">
        <v>1571</v>
      </c>
    </row>
    <row r="920">
      <c r="A920" s="2" t="s">
        <v>1818</v>
      </c>
      <c r="B920" s="2">
        <v>13.0</v>
      </c>
      <c r="C920" s="2" t="s">
        <v>7</v>
      </c>
      <c r="D920" s="2" t="s">
        <v>1819</v>
      </c>
      <c r="E920" s="2">
        <v>4.0</v>
      </c>
      <c r="F920" s="2" t="s">
        <v>4</v>
      </c>
      <c r="G920" s="5">
        <v>2672878.0</v>
      </c>
      <c r="H920" s="2" t="s">
        <v>1575</v>
      </c>
      <c r="I920" s="2" t="s">
        <v>1565</v>
      </c>
      <c r="J920" s="2">
        <v>10039.0</v>
      </c>
      <c r="K920" s="2" t="s">
        <v>1622</v>
      </c>
      <c r="L920" s="2"/>
      <c r="M920" s="2"/>
      <c r="N920" s="7">
        <v>1.0</v>
      </c>
      <c r="O920" s="12">
        <v>21905.0</v>
      </c>
      <c r="P920" s="11" t="s">
        <v>1649</v>
      </c>
      <c r="Q920" s="12">
        <v>21905.0</v>
      </c>
      <c r="R920" s="11" t="s">
        <v>1649</v>
      </c>
      <c r="S920" s="11" t="s">
        <v>1666</v>
      </c>
      <c r="T920" s="11" t="s">
        <v>1687</v>
      </c>
      <c r="U920" s="2" t="s">
        <v>1574</v>
      </c>
      <c r="V920" s="2" t="s">
        <v>1568</v>
      </c>
      <c r="W920" s="2" t="s">
        <v>1569</v>
      </c>
      <c r="X920" s="2" t="s">
        <v>1570</v>
      </c>
      <c r="AB920" s="2" t="s">
        <v>1571</v>
      </c>
    </row>
    <row r="921">
      <c r="A921" s="2" t="s">
        <v>1818</v>
      </c>
      <c r="B921" s="2">
        <v>13.0</v>
      </c>
      <c r="C921" s="2" t="s">
        <v>7</v>
      </c>
      <c r="D921" s="2" t="s">
        <v>1819</v>
      </c>
      <c r="E921" s="2">
        <v>4.0</v>
      </c>
      <c r="F921" s="2" t="s">
        <v>4</v>
      </c>
      <c r="G921" s="5">
        <v>2672878.0</v>
      </c>
      <c r="H921" s="2" t="s">
        <v>1575</v>
      </c>
      <c r="I921" s="2" t="s">
        <v>1572</v>
      </c>
      <c r="J921" s="2">
        <v>10128.0</v>
      </c>
      <c r="K921" s="2" t="s">
        <v>1588</v>
      </c>
      <c r="L921" s="2"/>
      <c r="M921" s="2"/>
      <c r="N921" s="7">
        <v>2.0</v>
      </c>
      <c r="O921" s="12">
        <v>46666.0</v>
      </c>
      <c r="P921" s="11" t="s">
        <v>1649</v>
      </c>
      <c r="Q921" s="12">
        <v>46666.0</v>
      </c>
      <c r="R921" s="11" t="s">
        <v>1649</v>
      </c>
      <c r="S921" s="11" t="s">
        <v>1691</v>
      </c>
      <c r="T921" s="11" t="s">
        <v>1692</v>
      </c>
      <c r="U921" s="2" t="s">
        <v>1574</v>
      </c>
      <c r="V921" s="2" t="s">
        <v>1568</v>
      </c>
      <c r="W921" s="2" t="s">
        <v>1569</v>
      </c>
      <c r="X921" s="2" t="s">
        <v>1570</v>
      </c>
      <c r="AB921" s="2" t="s">
        <v>1571</v>
      </c>
    </row>
    <row r="922">
      <c r="A922" s="2" t="s">
        <v>1818</v>
      </c>
      <c r="B922" s="2">
        <v>13.0</v>
      </c>
      <c r="C922" s="2" t="s">
        <v>7</v>
      </c>
      <c r="D922" s="2" t="s">
        <v>1819</v>
      </c>
      <c r="E922" s="2">
        <v>4.0</v>
      </c>
      <c r="F922" s="2" t="s">
        <v>4</v>
      </c>
      <c r="G922" s="5">
        <v>2672513.0</v>
      </c>
      <c r="H922" s="2" t="s">
        <v>1575</v>
      </c>
      <c r="I922" s="2" t="s">
        <v>1565</v>
      </c>
      <c r="J922" s="2">
        <v>10007.0</v>
      </c>
      <c r="K922" s="2" t="s">
        <v>1576</v>
      </c>
      <c r="L922" s="2"/>
      <c r="M922" s="2"/>
      <c r="N922" s="7">
        <v>2.0</v>
      </c>
      <c r="O922" s="12">
        <v>33810.0</v>
      </c>
      <c r="P922" s="11" t="s">
        <v>1649</v>
      </c>
      <c r="Q922" s="12">
        <v>33810.0</v>
      </c>
      <c r="R922" s="11" t="s">
        <v>1649</v>
      </c>
      <c r="S922" s="11" t="s">
        <v>1701</v>
      </c>
      <c r="T922" s="11" t="s">
        <v>1703</v>
      </c>
      <c r="U922" s="2" t="s">
        <v>1574</v>
      </c>
      <c r="V922" s="2" t="s">
        <v>1568</v>
      </c>
      <c r="W922" s="2" t="s">
        <v>1569</v>
      </c>
      <c r="X922" s="2" t="s">
        <v>1570</v>
      </c>
      <c r="AB922" s="2" t="s">
        <v>1571</v>
      </c>
    </row>
    <row r="923">
      <c r="A923" s="2" t="s">
        <v>1818</v>
      </c>
      <c r="B923" s="2">
        <v>12.0</v>
      </c>
      <c r="C923" s="2" t="s">
        <v>7</v>
      </c>
      <c r="D923" s="2" t="s">
        <v>1819</v>
      </c>
      <c r="E923" s="2">
        <v>4.0</v>
      </c>
      <c r="F923" s="2" t="s">
        <v>4</v>
      </c>
      <c r="G923" s="5">
        <v>2672147.0</v>
      </c>
      <c r="H923" s="2" t="s">
        <v>1575</v>
      </c>
      <c r="I923" s="2" t="s">
        <v>1565</v>
      </c>
      <c r="J923" s="2">
        <v>10005.0</v>
      </c>
      <c r="K923" s="2" t="s">
        <v>1595</v>
      </c>
      <c r="L923" s="2"/>
      <c r="M923" s="2"/>
      <c r="N923" s="7">
        <v>1.0</v>
      </c>
      <c r="O923" s="12">
        <v>19524.0</v>
      </c>
      <c r="P923" s="11" t="s">
        <v>1649</v>
      </c>
      <c r="Q923" s="12">
        <v>19524.0</v>
      </c>
      <c r="R923" s="11" t="s">
        <v>1649</v>
      </c>
      <c r="S923" s="11" t="s">
        <v>1676</v>
      </c>
      <c r="T923" s="11" t="s">
        <v>1677</v>
      </c>
      <c r="U923" s="2" t="s">
        <v>1574</v>
      </c>
      <c r="V923" s="2" t="s">
        <v>1568</v>
      </c>
      <c r="W923" s="2" t="s">
        <v>1569</v>
      </c>
      <c r="X923" s="2" t="s">
        <v>1570</v>
      </c>
      <c r="AB923" s="2" t="s">
        <v>1571</v>
      </c>
    </row>
    <row r="924">
      <c r="A924" s="2" t="s">
        <v>1818</v>
      </c>
      <c r="B924" s="2">
        <v>12.0</v>
      </c>
      <c r="C924" s="2" t="s">
        <v>7</v>
      </c>
      <c r="D924" s="2" t="s">
        <v>1819</v>
      </c>
      <c r="E924" s="2">
        <v>4.0</v>
      </c>
      <c r="F924" s="2" t="s">
        <v>4</v>
      </c>
      <c r="G924" s="5">
        <v>2672147.0</v>
      </c>
      <c r="H924" s="2" t="s">
        <v>1575</v>
      </c>
      <c r="I924" s="2" t="s">
        <v>1572</v>
      </c>
      <c r="J924" s="2">
        <v>10128.0</v>
      </c>
      <c r="K924" s="2" t="s">
        <v>1588</v>
      </c>
      <c r="L924" s="2"/>
      <c r="M924" s="2"/>
      <c r="N924" s="7">
        <v>1.0</v>
      </c>
      <c r="O924" s="12">
        <v>23333.0</v>
      </c>
      <c r="P924" s="11" t="s">
        <v>1649</v>
      </c>
      <c r="Q924" s="12">
        <v>23333.0</v>
      </c>
      <c r="R924" s="11" t="s">
        <v>1649</v>
      </c>
      <c r="S924" s="11" t="s">
        <v>1681</v>
      </c>
      <c r="T924" s="11" t="s">
        <v>1682</v>
      </c>
      <c r="U924" s="2" t="s">
        <v>1574</v>
      </c>
      <c r="V924" s="2" t="s">
        <v>1568</v>
      </c>
      <c r="W924" s="2" t="s">
        <v>1569</v>
      </c>
      <c r="X924" s="2" t="s">
        <v>1570</v>
      </c>
      <c r="AB924" s="2" t="s">
        <v>1571</v>
      </c>
    </row>
    <row r="925">
      <c r="A925" s="2" t="s">
        <v>1818</v>
      </c>
      <c r="B925" s="2">
        <v>12.0</v>
      </c>
      <c r="C925" s="2" t="s">
        <v>7</v>
      </c>
      <c r="D925" s="2" t="s">
        <v>1819</v>
      </c>
      <c r="E925" s="2">
        <v>4.0</v>
      </c>
      <c r="F925" s="2" t="s">
        <v>4</v>
      </c>
      <c r="G925" s="5">
        <v>2671782.0</v>
      </c>
      <c r="H925" s="2" t="s">
        <v>1575</v>
      </c>
      <c r="I925" s="2" t="s">
        <v>1565</v>
      </c>
      <c r="J925" s="2">
        <v>10000.0</v>
      </c>
      <c r="K925" s="2" t="s">
        <v>1566</v>
      </c>
      <c r="L925" s="2"/>
      <c r="M925" s="2"/>
      <c r="N925" s="7">
        <v>1.0</v>
      </c>
      <c r="O925" s="12">
        <v>29524.0</v>
      </c>
      <c r="P925" s="11" t="s">
        <v>1649</v>
      </c>
      <c r="Q925" s="12">
        <v>29524.0</v>
      </c>
      <c r="R925" s="11" t="s">
        <v>1649</v>
      </c>
      <c r="S925" s="11" t="s">
        <v>1683</v>
      </c>
      <c r="T925" s="11" t="s">
        <v>1684</v>
      </c>
      <c r="U925" s="2" t="s">
        <v>1574</v>
      </c>
      <c r="V925" s="2" t="s">
        <v>1568</v>
      </c>
      <c r="W925" s="2" t="s">
        <v>1569</v>
      </c>
      <c r="X925" s="2" t="s">
        <v>1570</v>
      </c>
      <c r="AB925" s="2" t="s">
        <v>1571</v>
      </c>
    </row>
    <row r="926">
      <c r="A926" s="2" t="s">
        <v>1818</v>
      </c>
      <c r="B926" s="2">
        <v>12.0</v>
      </c>
      <c r="C926" s="2" t="s">
        <v>7</v>
      </c>
      <c r="D926" s="2" t="s">
        <v>1819</v>
      </c>
      <c r="E926" s="2">
        <v>4.0</v>
      </c>
      <c r="F926" s="2" t="s">
        <v>4</v>
      </c>
      <c r="G926" s="5">
        <v>2671782.0</v>
      </c>
      <c r="H926" s="2" t="s">
        <v>1575</v>
      </c>
      <c r="I926" s="2" t="s">
        <v>1565</v>
      </c>
      <c r="J926" s="2">
        <v>10002.0</v>
      </c>
      <c r="K926" s="2" t="s">
        <v>1576</v>
      </c>
      <c r="L926" s="2"/>
      <c r="M926" s="2"/>
      <c r="N926" s="7">
        <v>1.0</v>
      </c>
      <c r="O926" s="12">
        <v>18571.0</v>
      </c>
      <c r="P926" s="11" t="s">
        <v>1649</v>
      </c>
      <c r="Q926" s="12">
        <v>18571.0</v>
      </c>
      <c r="R926" s="11" t="s">
        <v>1649</v>
      </c>
      <c r="S926" s="11" t="s">
        <v>1656</v>
      </c>
      <c r="T926" s="11" t="s">
        <v>1657</v>
      </c>
      <c r="U926" s="2" t="s">
        <v>1574</v>
      </c>
      <c r="V926" s="2" t="s">
        <v>1568</v>
      </c>
      <c r="W926" s="2" t="s">
        <v>1569</v>
      </c>
      <c r="X926" s="2" t="s">
        <v>1570</v>
      </c>
      <c r="AB926" s="2" t="s">
        <v>1571</v>
      </c>
    </row>
    <row r="927">
      <c r="A927" s="2" t="s">
        <v>1818</v>
      </c>
      <c r="B927" s="2">
        <v>12.0</v>
      </c>
      <c r="C927" s="2" t="s">
        <v>7</v>
      </c>
      <c r="D927" s="2" t="s">
        <v>1819</v>
      </c>
      <c r="E927" s="2">
        <v>4.0</v>
      </c>
      <c r="F927" s="2" t="s">
        <v>4</v>
      </c>
      <c r="G927" s="5">
        <v>2671782.0</v>
      </c>
      <c r="H927" s="2" t="s">
        <v>1575</v>
      </c>
      <c r="I927" s="2" t="s">
        <v>1572</v>
      </c>
      <c r="J927" s="2">
        <v>10128.0</v>
      </c>
      <c r="K927" s="2" t="s">
        <v>1588</v>
      </c>
      <c r="L927" s="2"/>
      <c r="M927" s="2"/>
      <c r="N927" s="7">
        <v>1.0</v>
      </c>
      <c r="O927" s="12">
        <v>23333.0</v>
      </c>
      <c r="P927" s="11" t="s">
        <v>1649</v>
      </c>
      <c r="Q927" s="12">
        <v>23333.0</v>
      </c>
      <c r="R927" s="11" t="s">
        <v>1649</v>
      </c>
      <c r="S927" s="11" t="s">
        <v>1681</v>
      </c>
      <c r="T927" s="11" t="s">
        <v>1715</v>
      </c>
      <c r="U927" s="2" t="s">
        <v>1574</v>
      </c>
      <c r="V927" s="2" t="s">
        <v>1568</v>
      </c>
      <c r="W927" s="2" t="s">
        <v>1569</v>
      </c>
      <c r="X927" s="2" t="s">
        <v>1570</v>
      </c>
      <c r="AB927" s="2" t="s">
        <v>1571</v>
      </c>
    </row>
    <row r="928">
      <c r="A928" s="2" t="s">
        <v>1818</v>
      </c>
      <c r="B928" s="2">
        <v>11.0</v>
      </c>
      <c r="C928" s="2" t="s">
        <v>7</v>
      </c>
      <c r="D928" s="2" t="s">
        <v>1819</v>
      </c>
      <c r="E928" s="2">
        <v>4.0</v>
      </c>
      <c r="F928" s="2" t="s">
        <v>4</v>
      </c>
      <c r="G928" s="5">
        <v>2671417.0</v>
      </c>
      <c r="H928" s="2" t="s">
        <v>1575</v>
      </c>
      <c r="I928" s="2" t="s">
        <v>1565</v>
      </c>
      <c r="J928" s="2">
        <v>10000.0</v>
      </c>
      <c r="K928" s="2" t="s">
        <v>1566</v>
      </c>
      <c r="L928" s="2"/>
      <c r="M928" s="2"/>
      <c r="N928" s="7">
        <v>1.0</v>
      </c>
      <c r="O928" s="12">
        <v>29524.0</v>
      </c>
      <c r="P928" s="11" t="s">
        <v>1649</v>
      </c>
      <c r="Q928" s="12">
        <v>29524.0</v>
      </c>
      <c r="R928" s="11" t="s">
        <v>1649</v>
      </c>
      <c r="S928" s="11" t="s">
        <v>1683</v>
      </c>
      <c r="T928" s="11" t="s">
        <v>1684</v>
      </c>
      <c r="U928" s="2" t="s">
        <v>1574</v>
      </c>
      <c r="V928" s="2" t="s">
        <v>1568</v>
      </c>
      <c r="W928" s="2" t="s">
        <v>1569</v>
      </c>
      <c r="X928" s="2" t="s">
        <v>1570</v>
      </c>
      <c r="AB928" s="2" t="s">
        <v>1571</v>
      </c>
    </row>
    <row r="929">
      <c r="A929" s="2" t="s">
        <v>1818</v>
      </c>
      <c r="B929" s="2">
        <v>11.0</v>
      </c>
      <c r="C929" s="2" t="s">
        <v>7</v>
      </c>
      <c r="D929" s="2" t="s">
        <v>1819</v>
      </c>
      <c r="E929" s="2">
        <v>4.0</v>
      </c>
      <c r="F929" s="2" t="s">
        <v>4</v>
      </c>
      <c r="G929" s="5">
        <v>2671417.0</v>
      </c>
      <c r="H929" s="2" t="s">
        <v>1575</v>
      </c>
      <c r="I929" s="2" t="s">
        <v>1578</v>
      </c>
      <c r="J929" s="2">
        <v>10009.0</v>
      </c>
      <c r="K929" s="2" t="s">
        <v>1586</v>
      </c>
      <c r="L929" s="2"/>
      <c r="M929" s="2"/>
      <c r="N929" s="7">
        <v>1.0</v>
      </c>
      <c r="O929" s="12">
        <v>26667.0</v>
      </c>
      <c r="P929" s="11" t="s">
        <v>1649</v>
      </c>
      <c r="Q929" s="12">
        <v>26667.0</v>
      </c>
      <c r="R929" s="11" t="s">
        <v>1649</v>
      </c>
      <c r="S929" s="11" t="s">
        <v>1674</v>
      </c>
      <c r="T929" s="11" t="s">
        <v>1675</v>
      </c>
      <c r="U929" s="2" t="s">
        <v>1574</v>
      </c>
      <c r="V929" s="2" t="s">
        <v>1568</v>
      </c>
      <c r="W929" s="2" t="s">
        <v>1569</v>
      </c>
      <c r="X929" s="2" t="s">
        <v>1570</v>
      </c>
      <c r="AB929" s="2" t="s">
        <v>1571</v>
      </c>
    </row>
    <row r="930">
      <c r="A930" s="2" t="s">
        <v>1818</v>
      </c>
      <c r="B930" s="2">
        <v>11.0</v>
      </c>
      <c r="C930" s="2" t="s">
        <v>7</v>
      </c>
      <c r="D930" s="2" t="s">
        <v>1819</v>
      </c>
      <c r="E930" s="2">
        <v>4.0</v>
      </c>
      <c r="F930" s="2" t="s">
        <v>4</v>
      </c>
      <c r="G930" s="5">
        <v>2671417.0</v>
      </c>
      <c r="H930" s="2" t="s">
        <v>1575</v>
      </c>
      <c r="I930" s="2" t="s">
        <v>1572</v>
      </c>
      <c r="J930" s="2">
        <v>10128.0</v>
      </c>
      <c r="K930" s="2" t="s">
        <v>1588</v>
      </c>
      <c r="L930" s="2"/>
      <c r="M930" s="2"/>
      <c r="N930" s="7">
        <v>2.0</v>
      </c>
      <c r="O930" s="12">
        <v>46666.0</v>
      </c>
      <c r="P930" s="11" t="s">
        <v>1649</v>
      </c>
      <c r="Q930" s="12">
        <v>46666.0</v>
      </c>
      <c r="R930" s="11" t="s">
        <v>1649</v>
      </c>
      <c r="S930" s="11" t="s">
        <v>1691</v>
      </c>
      <c r="T930" s="11" t="s">
        <v>1692</v>
      </c>
      <c r="U930" s="2" t="s">
        <v>1574</v>
      </c>
      <c r="V930" s="2" t="s">
        <v>1568</v>
      </c>
      <c r="W930" s="2" t="s">
        <v>1569</v>
      </c>
      <c r="X930" s="2" t="s">
        <v>1570</v>
      </c>
      <c r="AB930" s="2" t="s">
        <v>1571</v>
      </c>
    </row>
    <row r="931">
      <c r="A931" s="2" t="s">
        <v>1818</v>
      </c>
      <c r="B931" s="2">
        <v>11.0</v>
      </c>
      <c r="C931" s="2" t="s">
        <v>7</v>
      </c>
      <c r="D931" s="2" t="s">
        <v>1819</v>
      </c>
      <c r="E931" s="2">
        <v>4.0</v>
      </c>
      <c r="F931" s="2" t="s">
        <v>4</v>
      </c>
      <c r="G931" s="5">
        <v>2671417.0</v>
      </c>
      <c r="H931" s="2" t="s">
        <v>1575</v>
      </c>
      <c r="I931" s="2" t="s">
        <v>1565</v>
      </c>
      <c r="J931" s="2">
        <v>10002.0</v>
      </c>
      <c r="K931" s="2" t="s">
        <v>1576</v>
      </c>
      <c r="L931" s="2"/>
      <c r="M931" s="2"/>
      <c r="N931" s="7">
        <v>1.0</v>
      </c>
      <c r="O931" s="12">
        <v>18571.0</v>
      </c>
      <c r="P931" s="11" t="s">
        <v>1649</v>
      </c>
      <c r="Q931" s="12">
        <v>18571.0</v>
      </c>
      <c r="R931" s="11" t="s">
        <v>1649</v>
      </c>
      <c r="S931" s="11" t="s">
        <v>1656</v>
      </c>
      <c r="T931" s="11" t="s">
        <v>1688</v>
      </c>
      <c r="U931" s="2" t="s">
        <v>1574</v>
      </c>
      <c r="V931" s="2" t="s">
        <v>1568</v>
      </c>
      <c r="W931" s="2" t="s">
        <v>1569</v>
      </c>
      <c r="X931" s="2" t="s">
        <v>1570</v>
      </c>
      <c r="AB931" s="2" t="s">
        <v>1571</v>
      </c>
    </row>
    <row r="932">
      <c r="A932" s="2" t="s">
        <v>1818</v>
      </c>
      <c r="B932" s="2">
        <v>11.0</v>
      </c>
      <c r="C932" s="2" t="s">
        <v>7</v>
      </c>
      <c r="D932" s="2" t="s">
        <v>1819</v>
      </c>
      <c r="E932" s="2">
        <v>4.0</v>
      </c>
      <c r="F932" s="2" t="s">
        <v>4</v>
      </c>
      <c r="G932" s="5">
        <v>2671052.0</v>
      </c>
      <c r="H932" s="2" t="s">
        <v>1575</v>
      </c>
      <c r="I932" s="2" t="s">
        <v>1565</v>
      </c>
      <c r="J932" s="2">
        <v>10002.0</v>
      </c>
      <c r="K932" s="2" t="s">
        <v>1576</v>
      </c>
      <c r="L932" s="2"/>
      <c r="M932" s="2"/>
      <c r="N932" s="7">
        <v>1.0</v>
      </c>
      <c r="O932" s="12">
        <v>18571.0</v>
      </c>
      <c r="P932" s="11" t="s">
        <v>1649</v>
      </c>
      <c r="Q932" s="12">
        <v>18571.0</v>
      </c>
      <c r="R932" s="11" t="s">
        <v>1649</v>
      </c>
      <c r="S932" s="11" t="s">
        <v>1656</v>
      </c>
      <c r="T932" s="11" t="s">
        <v>1657</v>
      </c>
      <c r="U932" s="2" t="s">
        <v>1574</v>
      </c>
      <c r="V932" s="2" t="s">
        <v>1568</v>
      </c>
      <c r="W932" s="2" t="s">
        <v>1569</v>
      </c>
      <c r="X932" s="2" t="s">
        <v>1570</v>
      </c>
      <c r="AB932" s="2" t="s">
        <v>1571</v>
      </c>
    </row>
    <row r="933">
      <c r="A933" s="2" t="s">
        <v>1818</v>
      </c>
      <c r="B933" s="2">
        <v>11.0</v>
      </c>
      <c r="C933" s="2" t="s">
        <v>7</v>
      </c>
      <c r="D933" s="2" t="s">
        <v>1819</v>
      </c>
      <c r="E933" s="2">
        <v>4.0</v>
      </c>
      <c r="F933" s="2" t="s">
        <v>4</v>
      </c>
      <c r="G933" s="5">
        <v>2671052.0</v>
      </c>
      <c r="H933" s="2" t="s">
        <v>1575</v>
      </c>
      <c r="I933" s="2" t="s">
        <v>1565</v>
      </c>
      <c r="J933" s="2">
        <v>10005.0</v>
      </c>
      <c r="K933" s="2" t="s">
        <v>1595</v>
      </c>
      <c r="L933" s="2"/>
      <c r="M933" s="2"/>
      <c r="N933" s="7">
        <v>1.0</v>
      </c>
      <c r="O933" s="12">
        <v>19524.0</v>
      </c>
      <c r="P933" s="11" t="s">
        <v>1649</v>
      </c>
      <c r="Q933" s="12">
        <v>19524.0</v>
      </c>
      <c r="R933" s="11" t="s">
        <v>1649</v>
      </c>
      <c r="S933" s="11" t="s">
        <v>1676</v>
      </c>
      <c r="T933" s="11" t="s">
        <v>1677</v>
      </c>
      <c r="U933" s="2" t="s">
        <v>1574</v>
      </c>
      <c r="V933" s="2" t="s">
        <v>1568</v>
      </c>
      <c r="W933" s="2" t="s">
        <v>1569</v>
      </c>
      <c r="X933" s="2" t="s">
        <v>1570</v>
      </c>
      <c r="AB933" s="2" t="s">
        <v>1571</v>
      </c>
    </row>
    <row r="934">
      <c r="A934" s="2" t="s">
        <v>1818</v>
      </c>
      <c r="B934" s="2">
        <v>11.0</v>
      </c>
      <c r="C934" s="2" t="s">
        <v>7</v>
      </c>
      <c r="D934" s="2" t="s">
        <v>1819</v>
      </c>
      <c r="E934" s="2">
        <v>4.0</v>
      </c>
      <c r="F934" s="2" t="s">
        <v>4</v>
      </c>
      <c r="G934" s="5">
        <v>2671052.0</v>
      </c>
      <c r="H934" s="2" t="s">
        <v>1575</v>
      </c>
      <c r="I934" s="2" t="s">
        <v>1578</v>
      </c>
      <c r="J934" s="2">
        <v>10051.0</v>
      </c>
      <c r="K934" s="2" t="s">
        <v>1579</v>
      </c>
      <c r="L934" s="2"/>
      <c r="M934" s="2"/>
      <c r="N934" s="7">
        <v>1.0</v>
      </c>
      <c r="O934" s="12">
        <v>25238.0</v>
      </c>
      <c r="P934" s="11" t="s">
        <v>1649</v>
      </c>
      <c r="Q934" s="12">
        <v>25238.0</v>
      </c>
      <c r="R934" s="11" t="s">
        <v>1649</v>
      </c>
      <c r="S934" s="11" t="s">
        <v>1660</v>
      </c>
      <c r="T934" s="11" t="s">
        <v>1680</v>
      </c>
      <c r="U934" s="2" t="s">
        <v>1574</v>
      </c>
      <c r="V934" s="2" t="s">
        <v>1568</v>
      </c>
      <c r="W934" s="2" t="s">
        <v>1569</v>
      </c>
      <c r="X934" s="2" t="s">
        <v>1570</v>
      </c>
      <c r="AB934" s="2" t="s">
        <v>1571</v>
      </c>
    </row>
    <row r="935">
      <c r="A935" s="2" t="s">
        <v>1818</v>
      </c>
      <c r="B935" s="2">
        <v>11.0</v>
      </c>
      <c r="C935" s="2" t="s">
        <v>7</v>
      </c>
      <c r="D935" s="2" t="s">
        <v>1819</v>
      </c>
      <c r="E935" s="2">
        <v>4.0</v>
      </c>
      <c r="F935" s="2" t="s">
        <v>4</v>
      </c>
      <c r="G935" s="5">
        <v>2670686.0</v>
      </c>
      <c r="H935" s="2" t="s">
        <v>1575</v>
      </c>
      <c r="I935" s="2" t="s">
        <v>1565</v>
      </c>
      <c r="J935" s="2">
        <v>10007.0</v>
      </c>
      <c r="K935" s="2" t="s">
        <v>1576</v>
      </c>
      <c r="L935" s="2"/>
      <c r="M935" s="2"/>
      <c r="N935" s="7">
        <v>2.0</v>
      </c>
      <c r="O935" s="12">
        <v>33810.0</v>
      </c>
      <c r="P935" s="11" t="s">
        <v>1649</v>
      </c>
      <c r="Q935" s="12">
        <v>33810.0</v>
      </c>
      <c r="R935" s="11" t="s">
        <v>1649</v>
      </c>
      <c r="S935" s="11" t="s">
        <v>1701</v>
      </c>
      <c r="T935" s="11" t="s">
        <v>1703</v>
      </c>
      <c r="U935" s="2" t="s">
        <v>1574</v>
      </c>
      <c r="V935" s="2" t="s">
        <v>1568</v>
      </c>
      <c r="W935" s="2" t="s">
        <v>1569</v>
      </c>
      <c r="X935" s="2" t="s">
        <v>1570</v>
      </c>
      <c r="AB935" s="2" t="s">
        <v>1571</v>
      </c>
    </row>
    <row r="936">
      <c r="A936" s="2" t="s">
        <v>1818</v>
      </c>
      <c r="B936" s="2">
        <v>11.0</v>
      </c>
      <c r="C936" s="2" t="s">
        <v>7</v>
      </c>
      <c r="D936" s="2" t="s">
        <v>1819</v>
      </c>
      <c r="E936" s="2">
        <v>4.0</v>
      </c>
      <c r="F936" s="2" t="s">
        <v>4</v>
      </c>
      <c r="G936" s="5">
        <v>2670686.0</v>
      </c>
      <c r="H936" s="2" t="s">
        <v>1575</v>
      </c>
      <c r="I936" s="2" t="s">
        <v>1572</v>
      </c>
      <c r="J936" s="2">
        <v>10128.0</v>
      </c>
      <c r="K936" s="2" t="s">
        <v>1588</v>
      </c>
      <c r="L936" s="2"/>
      <c r="M936" s="2"/>
      <c r="N936" s="7">
        <v>2.0</v>
      </c>
      <c r="O936" s="12">
        <v>46666.0</v>
      </c>
      <c r="P936" s="11" t="s">
        <v>1649</v>
      </c>
      <c r="Q936" s="12">
        <v>46666.0</v>
      </c>
      <c r="R936" s="11" t="s">
        <v>1649</v>
      </c>
      <c r="S936" s="11" t="s">
        <v>1691</v>
      </c>
      <c r="T936" s="11" t="s">
        <v>1692</v>
      </c>
      <c r="U936" s="2" t="s">
        <v>1574</v>
      </c>
      <c r="V936" s="2" t="s">
        <v>1568</v>
      </c>
      <c r="W936" s="2" t="s">
        <v>1569</v>
      </c>
      <c r="X936" s="2" t="s">
        <v>1570</v>
      </c>
      <c r="AB936" s="2" t="s">
        <v>1571</v>
      </c>
    </row>
    <row r="937">
      <c r="A937" s="2" t="s">
        <v>1818</v>
      </c>
      <c r="B937" s="2">
        <v>11.0</v>
      </c>
      <c r="C937" s="2" t="s">
        <v>7</v>
      </c>
      <c r="D937" s="2" t="s">
        <v>1819</v>
      </c>
      <c r="E937" s="2">
        <v>4.0</v>
      </c>
      <c r="F937" s="2" t="s">
        <v>4</v>
      </c>
      <c r="G937" s="5">
        <v>2670686.0</v>
      </c>
      <c r="H937" s="2" t="s">
        <v>1575</v>
      </c>
      <c r="I937" s="2" t="s">
        <v>1580</v>
      </c>
      <c r="J937" s="2">
        <v>10012.0</v>
      </c>
      <c r="K937" s="2" t="s">
        <v>1602</v>
      </c>
      <c r="L937" s="2"/>
      <c r="M937" s="2"/>
      <c r="N937" s="7">
        <v>1.0</v>
      </c>
      <c r="O937" s="12">
        <v>29524.0</v>
      </c>
      <c r="P937" s="11" t="s">
        <v>1649</v>
      </c>
      <c r="Q937" s="12">
        <v>29524.0</v>
      </c>
      <c r="R937" s="11" t="s">
        <v>1649</v>
      </c>
      <c r="S937" s="11" t="s">
        <v>1683</v>
      </c>
      <c r="T937" s="11" t="s">
        <v>1684</v>
      </c>
      <c r="U937" s="2" t="s">
        <v>1574</v>
      </c>
      <c r="V937" s="2" t="s">
        <v>1568</v>
      </c>
      <c r="W937" s="2" t="s">
        <v>1569</v>
      </c>
      <c r="X937" s="2" t="s">
        <v>1570</v>
      </c>
      <c r="AB937" s="2" t="s">
        <v>1571</v>
      </c>
    </row>
    <row r="938">
      <c r="A938" s="2" t="s">
        <v>1818</v>
      </c>
      <c r="B938" s="2">
        <v>9.0</v>
      </c>
      <c r="C938" s="2" t="s">
        <v>7</v>
      </c>
      <c r="D938" s="2" t="s">
        <v>1819</v>
      </c>
      <c r="E938" s="2">
        <v>4.0</v>
      </c>
      <c r="F938" s="2" t="s">
        <v>4</v>
      </c>
      <c r="G938" s="5">
        <v>2670321.0</v>
      </c>
      <c r="H938" s="2" t="s">
        <v>1575</v>
      </c>
      <c r="I938" s="2" t="s">
        <v>1565</v>
      </c>
      <c r="J938" s="2">
        <v>10005.0</v>
      </c>
      <c r="K938" s="2" t="s">
        <v>1595</v>
      </c>
      <c r="L938" s="2"/>
      <c r="M938" s="2"/>
      <c r="N938" s="7">
        <v>1.0</v>
      </c>
      <c r="O938" s="12">
        <v>19524.0</v>
      </c>
      <c r="P938" s="11" t="s">
        <v>1649</v>
      </c>
      <c r="Q938" s="12">
        <v>19524.0</v>
      </c>
      <c r="R938" s="11" t="s">
        <v>1649</v>
      </c>
      <c r="S938" s="11" t="s">
        <v>1676</v>
      </c>
      <c r="T938" s="11" t="s">
        <v>1677</v>
      </c>
      <c r="U938" s="2" t="s">
        <v>1574</v>
      </c>
      <c r="V938" s="2" t="s">
        <v>1568</v>
      </c>
      <c r="W938" s="2" t="s">
        <v>1569</v>
      </c>
      <c r="X938" s="2" t="s">
        <v>1570</v>
      </c>
      <c r="AB938" s="2" t="s">
        <v>1571</v>
      </c>
    </row>
    <row r="939">
      <c r="A939" s="2" t="s">
        <v>1818</v>
      </c>
      <c r="B939" s="2">
        <v>9.0</v>
      </c>
      <c r="C939" s="2" t="s">
        <v>7</v>
      </c>
      <c r="D939" s="2" t="s">
        <v>1819</v>
      </c>
      <c r="E939" s="2">
        <v>4.0</v>
      </c>
      <c r="F939" s="2" t="s">
        <v>4</v>
      </c>
      <c r="G939" s="5">
        <v>2670321.0</v>
      </c>
      <c r="H939" s="2" t="s">
        <v>1575</v>
      </c>
      <c r="I939" s="2" t="s">
        <v>1565</v>
      </c>
      <c r="J939" s="2">
        <v>10033.0</v>
      </c>
      <c r="K939" s="2" t="s">
        <v>1615</v>
      </c>
      <c r="L939" s="2"/>
      <c r="M939" s="2"/>
      <c r="N939" s="7">
        <v>1.0</v>
      </c>
      <c r="O939" s="12">
        <v>21905.0</v>
      </c>
      <c r="P939" s="11" t="s">
        <v>1649</v>
      </c>
      <c r="Q939" s="12">
        <v>21905.0</v>
      </c>
      <c r="R939" s="11" t="s">
        <v>1649</v>
      </c>
      <c r="S939" s="11" t="s">
        <v>1666</v>
      </c>
      <c r="T939" s="11" t="s">
        <v>1667</v>
      </c>
      <c r="U939" s="2" t="s">
        <v>1574</v>
      </c>
      <c r="V939" s="2" t="s">
        <v>1568</v>
      </c>
      <c r="W939" s="2" t="s">
        <v>1569</v>
      </c>
      <c r="X939" s="2" t="s">
        <v>1570</v>
      </c>
      <c r="AB939" s="2" t="s">
        <v>1571</v>
      </c>
    </row>
    <row r="940">
      <c r="A940" s="2" t="s">
        <v>1818</v>
      </c>
      <c r="B940" s="2">
        <v>9.0</v>
      </c>
      <c r="C940" s="2" t="s">
        <v>7</v>
      </c>
      <c r="D940" s="2" t="s">
        <v>1819</v>
      </c>
      <c r="E940" s="2">
        <v>4.0</v>
      </c>
      <c r="F940" s="2" t="s">
        <v>4</v>
      </c>
      <c r="G940" s="5">
        <v>2670321.0</v>
      </c>
      <c r="H940" s="2" t="s">
        <v>1575</v>
      </c>
      <c r="I940" s="2" t="s">
        <v>1572</v>
      </c>
      <c r="J940" s="2">
        <v>10106.0</v>
      </c>
      <c r="K940" s="2" t="s">
        <v>1598</v>
      </c>
      <c r="L940" s="2"/>
      <c r="M940" s="2"/>
      <c r="N940" s="7">
        <v>1.0</v>
      </c>
      <c r="O940" s="12">
        <v>26667.0</v>
      </c>
      <c r="P940" s="11" t="s">
        <v>1649</v>
      </c>
      <c r="Q940" s="12">
        <v>26667.0</v>
      </c>
      <c r="R940" s="11" t="s">
        <v>1649</v>
      </c>
      <c r="S940" s="11" t="s">
        <v>1674</v>
      </c>
      <c r="T940" s="11" t="s">
        <v>1675</v>
      </c>
      <c r="U940" s="2" t="s">
        <v>1574</v>
      </c>
      <c r="V940" s="2" t="s">
        <v>1568</v>
      </c>
      <c r="W940" s="2" t="s">
        <v>1569</v>
      </c>
      <c r="X940" s="2" t="s">
        <v>1570</v>
      </c>
      <c r="AB940" s="2" t="s">
        <v>1571</v>
      </c>
    </row>
    <row r="941">
      <c r="A941" s="2" t="s">
        <v>1818</v>
      </c>
      <c r="B941" s="2">
        <v>9.0</v>
      </c>
      <c r="C941" s="2" t="s">
        <v>7</v>
      </c>
      <c r="D941" s="2" t="s">
        <v>1819</v>
      </c>
      <c r="E941" s="2">
        <v>4.0</v>
      </c>
      <c r="F941" s="2" t="s">
        <v>4</v>
      </c>
      <c r="G941" s="5">
        <v>2670321.0</v>
      </c>
      <c r="H941" s="2" t="s">
        <v>1575</v>
      </c>
      <c r="I941" s="2" t="s">
        <v>1572</v>
      </c>
      <c r="J941" s="2">
        <v>10122.0</v>
      </c>
      <c r="K941" s="2" t="s">
        <v>1577</v>
      </c>
      <c r="L941" s="2"/>
      <c r="M941" s="2"/>
      <c r="N941" s="7">
        <v>2.0</v>
      </c>
      <c r="O941" s="12">
        <v>43810.0</v>
      </c>
      <c r="P941" s="11" t="s">
        <v>1649</v>
      </c>
      <c r="Q941" s="12">
        <v>43810.0</v>
      </c>
      <c r="R941" s="11" t="s">
        <v>1649</v>
      </c>
      <c r="S941" s="11" t="s">
        <v>1658</v>
      </c>
      <c r="T941" s="11" t="s">
        <v>1800</v>
      </c>
      <c r="U941" s="2" t="s">
        <v>1574</v>
      </c>
      <c r="V941" s="2" t="s">
        <v>1568</v>
      </c>
      <c r="W941" s="2" t="s">
        <v>1569</v>
      </c>
      <c r="X941" s="2" t="s">
        <v>1570</v>
      </c>
      <c r="AB941" s="2" t="s">
        <v>1571</v>
      </c>
    </row>
    <row r="942">
      <c r="A942" s="2" t="s">
        <v>1818</v>
      </c>
      <c r="B942" s="2">
        <v>9.0</v>
      </c>
      <c r="C942" s="2" t="s">
        <v>7</v>
      </c>
      <c r="D942" s="2" t="s">
        <v>1819</v>
      </c>
      <c r="E942" s="2">
        <v>4.0</v>
      </c>
      <c r="F942" s="2" t="s">
        <v>4</v>
      </c>
      <c r="G942" s="5">
        <v>2670321.0</v>
      </c>
      <c r="H942" s="2" t="s">
        <v>1575</v>
      </c>
      <c r="I942" s="2" t="s">
        <v>1578</v>
      </c>
      <c r="J942" s="2">
        <v>10051.0</v>
      </c>
      <c r="K942" s="2" t="s">
        <v>1579</v>
      </c>
      <c r="L942" s="2"/>
      <c r="M942" s="2"/>
      <c r="N942" s="7">
        <v>1.0</v>
      </c>
      <c r="O942" s="12">
        <v>25238.0</v>
      </c>
      <c r="P942" s="11" t="s">
        <v>1649</v>
      </c>
      <c r="Q942" s="12">
        <v>25238.0</v>
      </c>
      <c r="R942" s="11" t="s">
        <v>1649</v>
      </c>
      <c r="S942" s="11" t="s">
        <v>1660</v>
      </c>
      <c r="T942" s="11" t="s">
        <v>1680</v>
      </c>
      <c r="U942" s="2" t="s">
        <v>1574</v>
      </c>
      <c r="V942" s="2" t="s">
        <v>1568</v>
      </c>
      <c r="W942" s="2" t="s">
        <v>1569</v>
      </c>
      <c r="X942" s="2" t="s">
        <v>1570</v>
      </c>
      <c r="AB942" s="2" t="s">
        <v>1571</v>
      </c>
    </row>
    <row r="943">
      <c r="A943" s="2" t="s">
        <v>1818</v>
      </c>
      <c r="B943" s="2">
        <v>9.0</v>
      </c>
      <c r="C943" s="2" t="s">
        <v>7</v>
      </c>
      <c r="D943" s="2" t="s">
        <v>1819</v>
      </c>
      <c r="E943" s="2">
        <v>4.0</v>
      </c>
      <c r="F943" s="2" t="s">
        <v>4</v>
      </c>
      <c r="G943" s="5">
        <v>2670321.0</v>
      </c>
      <c r="H943" s="2" t="s">
        <v>1575</v>
      </c>
      <c r="I943" s="2" t="s">
        <v>1578</v>
      </c>
      <c r="J943" s="2">
        <v>10014.0</v>
      </c>
      <c r="K943" s="2" t="s">
        <v>1609</v>
      </c>
      <c r="L943" s="2"/>
      <c r="M943" s="2"/>
      <c r="N943" s="7">
        <v>1.0</v>
      </c>
      <c r="O943" s="12">
        <v>25238.0</v>
      </c>
      <c r="P943" s="11" t="s">
        <v>1649</v>
      </c>
      <c r="Q943" s="12">
        <v>25238.0</v>
      </c>
      <c r="R943" s="11" t="s">
        <v>1649</v>
      </c>
      <c r="S943" s="11" t="s">
        <v>1660</v>
      </c>
      <c r="T943" s="11" t="s">
        <v>1680</v>
      </c>
      <c r="U943" s="2" t="s">
        <v>1574</v>
      </c>
      <c r="V943" s="2" t="s">
        <v>1568</v>
      </c>
      <c r="W943" s="2" t="s">
        <v>1569</v>
      </c>
      <c r="X943" s="2" t="s">
        <v>1570</v>
      </c>
      <c r="AB943" s="2" t="s">
        <v>1571</v>
      </c>
    </row>
    <row r="944">
      <c r="A944" s="2" t="s">
        <v>1818</v>
      </c>
      <c r="B944" s="2">
        <v>9.0</v>
      </c>
      <c r="C944" s="2" t="s">
        <v>7</v>
      </c>
      <c r="D944" s="2" t="s">
        <v>1819</v>
      </c>
      <c r="E944" s="2">
        <v>4.0</v>
      </c>
      <c r="F944" s="2" t="s">
        <v>4</v>
      </c>
      <c r="G944" s="5">
        <v>2669956.0</v>
      </c>
      <c r="H944" s="2" t="s">
        <v>1575</v>
      </c>
      <c r="I944" s="2" t="s">
        <v>1565</v>
      </c>
      <c r="J944" s="2">
        <v>10007.0</v>
      </c>
      <c r="K944" s="2" t="s">
        <v>1576</v>
      </c>
      <c r="L944" s="2"/>
      <c r="M944" s="2"/>
      <c r="N944" s="7">
        <v>2.0</v>
      </c>
      <c r="O944" s="12">
        <v>33810.0</v>
      </c>
      <c r="P944" s="11" t="s">
        <v>1649</v>
      </c>
      <c r="Q944" s="12">
        <v>33810.0</v>
      </c>
      <c r="R944" s="11" t="s">
        <v>1649</v>
      </c>
      <c r="S944" s="11" t="s">
        <v>1701</v>
      </c>
      <c r="T944" s="11" t="s">
        <v>1703</v>
      </c>
      <c r="U944" s="2" t="s">
        <v>1574</v>
      </c>
      <c r="V944" s="2" t="s">
        <v>1568</v>
      </c>
      <c r="W944" s="2" t="s">
        <v>1569</v>
      </c>
      <c r="X944" s="2" t="s">
        <v>1570</v>
      </c>
      <c r="AB944" s="2" t="s">
        <v>1571</v>
      </c>
    </row>
    <row r="945">
      <c r="A945" s="2" t="s">
        <v>1818</v>
      </c>
      <c r="B945" s="2">
        <v>9.0</v>
      </c>
      <c r="C945" s="2" t="s">
        <v>7</v>
      </c>
      <c r="D945" s="2" t="s">
        <v>1819</v>
      </c>
      <c r="E945" s="2">
        <v>4.0</v>
      </c>
      <c r="F945" s="2" t="s">
        <v>4</v>
      </c>
      <c r="G945" s="5">
        <v>2669956.0</v>
      </c>
      <c r="H945" s="2" t="s">
        <v>1575</v>
      </c>
      <c r="I945" s="2" t="s">
        <v>1572</v>
      </c>
      <c r="J945" s="2">
        <v>10127.0</v>
      </c>
      <c r="K945" s="2" t="s">
        <v>1592</v>
      </c>
      <c r="L945" s="2"/>
      <c r="M945" s="2"/>
      <c r="N945" s="7">
        <v>1.0</v>
      </c>
      <c r="O945" s="12">
        <v>18571.0</v>
      </c>
      <c r="P945" s="11" t="s">
        <v>1649</v>
      </c>
      <c r="Q945" s="12">
        <v>18571.0</v>
      </c>
      <c r="R945" s="11" t="s">
        <v>1649</v>
      </c>
      <c r="S945" s="11" t="s">
        <v>1656</v>
      </c>
      <c r="T945" s="11" t="s">
        <v>1688</v>
      </c>
      <c r="U945" s="2" t="s">
        <v>1574</v>
      </c>
      <c r="V945" s="2" t="s">
        <v>1568</v>
      </c>
      <c r="W945" s="2" t="s">
        <v>1569</v>
      </c>
      <c r="X945" s="2" t="s">
        <v>1570</v>
      </c>
      <c r="AB945" s="2" t="s">
        <v>1571</v>
      </c>
    </row>
    <row r="946">
      <c r="A946" s="2" t="s">
        <v>1818</v>
      </c>
      <c r="B946" s="2">
        <v>9.0</v>
      </c>
      <c r="C946" s="2" t="s">
        <v>7</v>
      </c>
      <c r="D946" s="2" t="s">
        <v>1819</v>
      </c>
      <c r="E946" s="2">
        <v>4.0</v>
      </c>
      <c r="F946" s="2" t="s">
        <v>4</v>
      </c>
      <c r="G946" s="5">
        <v>2669956.0</v>
      </c>
      <c r="H946" s="2" t="s">
        <v>1575</v>
      </c>
      <c r="I946" s="2" t="s">
        <v>1572</v>
      </c>
      <c r="J946" s="2">
        <v>10118.0</v>
      </c>
      <c r="K946" s="2" t="s">
        <v>1604</v>
      </c>
      <c r="L946" s="2"/>
      <c r="M946" s="2"/>
      <c r="N946" s="7">
        <v>1.0</v>
      </c>
      <c r="O946" s="12">
        <v>7143.0</v>
      </c>
      <c r="P946" s="11" t="s">
        <v>1649</v>
      </c>
      <c r="Q946" s="12">
        <v>7143.0</v>
      </c>
      <c r="R946" s="11" t="s">
        <v>1649</v>
      </c>
      <c r="S946" s="11" t="s">
        <v>1672</v>
      </c>
      <c r="T946" s="11" t="s">
        <v>1673</v>
      </c>
      <c r="U946" s="2" t="s">
        <v>1574</v>
      </c>
      <c r="V946" s="2" t="s">
        <v>1568</v>
      </c>
      <c r="W946" s="2" t="s">
        <v>1569</v>
      </c>
      <c r="X946" s="2" t="s">
        <v>1570</v>
      </c>
      <c r="AB946" s="2" t="s">
        <v>1571</v>
      </c>
    </row>
    <row r="947">
      <c r="A947" s="2" t="s">
        <v>1818</v>
      </c>
      <c r="B947" s="2">
        <v>9.0</v>
      </c>
      <c r="C947" s="2" t="s">
        <v>7</v>
      </c>
      <c r="D947" s="2" t="s">
        <v>1819</v>
      </c>
      <c r="E947" s="2">
        <v>4.0</v>
      </c>
      <c r="F947" s="2" t="s">
        <v>4</v>
      </c>
      <c r="G947" s="5">
        <v>2669956.0</v>
      </c>
      <c r="H947" s="2" t="s">
        <v>1575</v>
      </c>
      <c r="I947" s="2" t="s">
        <v>1578</v>
      </c>
      <c r="J947" s="2">
        <v>10014.0</v>
      </c>
      <c r="K947" s="2" t="s">
        <v>1609</v>
      </c>
      <c r="L947" s="2"/>
      <c r="M947" s="2"/>
      <c r="N947" s="7">
        <v>1.0</v>
      </c>
      <c r="O947" s="12">
        <v>25238.0</v>
      </c>
      <c r="P947" s="11" t="s">
        <v>1649</v>
      </c>
      <c r="Q947" s="12">
        <v>25238.0</v>
      </c>
      <c r="R947" s="11" t="s">
        <v>1649</v>
      </c>
      <c r="S947" s="11" t="s">
        <v>1660</v>
      </c>
      <c r="T947" s="11" t="s">
        <v>1680</v>
      </c>
      <c r="U947" s="2" t="s">
        <v>1574</v>
      </c>
      <c r="V947" s="2" t="s">
        <v>1568</v>
      </c>
      <c r="W947" s="2" t="s">
        <v>1569</v>
      </c>
      <c r="X947" s="2" t="s">
        <v>1570</v>
      </c>
      <c r="AB947" s="2" t="s">
        <v>1571</v>
      </c>
    </row>
    <row r="948">
      <c r="A948" s="2" t="s">
        <v>1818</v>
      </c>
      <c r="B948" s="2">
        <v>9.0</v>
      </c>
      <c r="C948" s="2" t="s">
        <v>7</v>
      </c>
      <c r="D948" s="2" t="s">
        <v>1819</v>
      </c>
      <c r="E948" s="2">
        <v>4.0</v>
      </c>
      <c r="F948" s="2" t="s">
        <v>4</v>
      </c>
      <c r="G948" s="5">
        <v>2669956.0</v>
      </c>
      <c r="H948" s="2" t="s">
        <v>1575</v>
      </c>
      <c r="I948" s="2" t="s">
        <v>1565</v>
      </c>
      <c r="J948" s="2">
        <v>10005.0</v>
      </c>
      <c r="K948" s="2" t="s">
        <v>1595</v>
      </c>
      <c r="L948" s="2"/>
      <c r="M948" s="2"/>
      <c r="N948" s="7">
        <v>1.0</v>
      </c>
      <c r="O948" s="12">
        <v>19524.0</v>
      </c>
      <c r="P948" s="11" t="s">
        <v>1649</v>
      </c>
      <c r="Q948" s="12">
        <v>19524.0</v>
      </c>
      <c r="R948" s="11" t="s">
        <v>1649</v>
      </c>
      <c r="S948" s="11" t="s">
        <v>1676</v>
      </c>
      <c r="T948" s="11" t="s">
        <v>1677</v>
      </c>
      <c r="U948" s="2" t="s">
        <v>1574</v>
      </c>
      <c r="V948" s="2" t="s">
        <v>1568</v>
      </c>
      <c r="W948" s="2" t="s">
        <v>1569</v>
      </c>
      <c r="X948" s="2" t="s">
        <v>1570</v>
      </c>
      <c r="AB948" s="2" t="s">
        <v>1571</v>
      </c>
    </row>
    <row r="949">
      <c r="A949" s="2" t="s">
        <v>1820</v>
      </c>
      <c r="B949" s="2">
        <v>19.0</v>
      </c>
      <c r="C949" s="2" t="s">
        <v>6</v>
      </c>
      <c r="D949" s="2" t="s">
        <v>1821</v>
      </c>
      <c r="E949" s="2">
        <v>3.0</v>
      </c>
      <c r="F949" s="2" t="s">
        <v>4</v>
      </c>
      <c r="G949" s="5">
        <v>2669591.0</v>
      </c>
      <c r="H949" s="2" t="s">
        <v>1575</v>
      </c>
      <c r="I949" s="2" t="s">
        <v>1572</v>
      </c>
      <c r="J949" s="2">
        <v>10128.0</v>
      </c>
      <c r="K949" s="2" t="s">
        <v>1588</v>
      </c>
      <c r="L949" s="2"/>
      <c r="M949" s="2"/>
      <c r="N949" s="7">
        <v>1.0</v>
      </c>
      <c r="O949" s="12">
        <v>23333.0</v>
      </c>
      <c r="P949" s="11" t="s">
        <v>1649</v>
      </c>
      <c r="Q949" s="12">
        <v>23333.0</v>
      </c>
      <c r="R949" s="11" t="s">
        <v>1649</v>
      </c>
      <c r="S949" s="11" t="s">
        <v>1681</v>
      </c>
      <c r="T949" s="11" t="s">
        <v>1682</v>
      </c>
      <c r="U949" s="2" t="s">
        <v>1574</v>
      </c>
      <c r="V949" s="2" t="s">
        <v>1568</v>
      </c>
      <c r="W949" s="2" t="s">
        <v>1569</v>
      </c>
      <c r="X949" s="2" t="s">
        <v>1570</v>
      </c>
      <c r="AB949" s="2" t="s">
        <v>1571</v>
      </c>
    </row>
    <row r="950">
      <c r="A950" s="2" t="s">
        <v>1820</v>
      </c>
      <c r="B950" s="2">
        <v>19.0</v>
      </c>
      <c r="C950" s="2" t="s">
        <v>6</v>
      </c>
      <c r="D950" s="2" t="s">
        <v>1821</v>
      </c>
      <c r="E950" s="2">
        <v>3.0</v>
      </c>
      <c r="F950" s="2" t="s">
        <v>4</v>
      </c>
      <c r="G950" s="5">
        <v>2669591.0</v>
      </c>
      <c r="H950" s="2" t="s">
        <v>1575</v>
      </c>
      <c r="I950" s="2" t="s">
        <v>1578</v>
      </c>
      <c r="J950" s="2">
        <v>10015.0</v>
      </c>
      <c r="K950" s="2" t="s">
        <v>1587</v>
      </c>
      <c r="L950" s="2"/>
      <c r="M950" s="2"/>
      <c r="N950" s="7">
        <v>1.0</v>
      </c>
      <c r="O950" s="12">
        <v>25238.0</v>
      </c>
      <c r="P950" s="11" t="s">
        <v>1649</v>
      </c>
      <c r="Q950" s="12">
        <v>25238.0</v>
      </c>
      <c r="R950" s="11" t="s">
        <v>1649</v>
      </c>
      <c r="S950" s="11" t="s">
        <v>1660</v>
      </c>
      <c r="T950" s="11" t="s">
        <v>1680</v>
      </c>
      <c r="U950" s="2" t="s">
        <v>1574</v>
      </c>
      <c r="V950" s="2" t="s">
        <v>1568</v>
      </c>
      <c r="W950" s="2" t="s">
        <v>1569</v>
      </c>
      <c r="X950" s="2" t="s">
        <v>1570</v>
      </c>
      <c r="AB950" s="2" t="s">
        <v>1571</v>
      </c>
    </row>
    <row r="951">
      <c r="A951" s="2" t="s">
        <v>1820</v>
      </c>
      <c r="B951" s="2">
        <v>19.0</v>
      </c>
      <c r="C951" s="2" t="s">
        <v>6</v>
      </c>
      <c r="D951" s="2" t="s">
        <v>1821</v>
      </c>
      <c r="E951" s="2">
        <v>3.0</v>
      </c>
      <c r="F951" s="2" t="s">
        <v>4</v>
      </c>
      <c r="G951" s="5">
        <v>2669225.0</v>
      </c>
      <c r="H951" s="2" t="s">
        <v>1575</v>
      </c>
      <c r="I951" s="2" t="s">
        <v>1565</v>
      </c>
      <c r="J951" s="2">
        <v>10005.0</v>
      </c>
      <c r="K951" s="2" t="s">
        <v>1595</v>
      </c>
      <c r="L951" s="2"/>
      <c r="M951" s="2"/>
      <c r="N951" s="7">
        <v>1.0</v>
      </c>
      <c r="O951" s="12">
        <v>19524.0</v>
      </c>
      <c r="P951" s="11" t="s">
        <v>1649</v>
      </c>
      <c r="Q951" s="12">
        <v>19524.0</v>
      </c>
      <c r="R951" s="11" t="s">
        <v>1649</v>
      </c>
      <c r="S951" s="11" t="s">
        <v>1676</v>
      </c>
      <c r="T951" s="11" t="s">
        <v>1677</v>
      </c>
      <c r="U951" s="2" t="s">
        <v>1574</v>
      </c>
      <c r="V951" s="2" t="s">
        <v>1568</v>
      </c>
      <c r="W951" s="2" t="s">
        <v>1569</v>
      </c>
      <c r="X951" s="2" t="s">
        <v>1570</v>
      </c>
      <c r="AB951" s="2" t="s">
        <v>1571</v>
      </c>
    </row>
    <row r="952">
      <c r="A952" s="2" t="s">
        <v>1820</v>
      </c>
      <c r="B952" s="2">
        <v>19.0</v>
      </c>
      <c r="C952" s="2" t="s">
        <v>6</v>
      </c>
      <c r="D952" s="2" t="s">
        <v>1821</v>
      </c>
      <c r="E952" s="2">
        <v>3.0</v>
      </c>
      <c r="F952" s="2" t="s">
        <v>4</v>
      </c>
      <c r="G952" s="5">
        <v>2668860.0</v>
      </c>
      <c r="H952" s="2" t="s">
        <v>1575</v>
      </c>
      <c r="I952" s="2" t="s">
        <v>1572</v>
      </c>
      <c r="J952" s="2">
        <v>10107.0</v>
      </c>
      <c r="K952" s="2" t="s">
        <v>1584</v>
      </c>
      <c r="L952" s="2"/>
      <c r="M952" s="2"/>
      <c r="N952" s="7">
        <v>1.0</v>
      </c>
      <c r="O952" s="12">
        <v>26667.0</v>
      </c>
      <c r="P952" s="11" t="s">
        <v>1649</v>
      </c>
      <c r="Q952" s="12">
        <v>26667.0</v>
      </c>
      <c r="R952" s="11" t="s">
        <v>1649</v>
      </c>
      <c r="S952" s="11" t="s">
        <v>1674</v>
      </c>
      <c r="T952" s="11" t="s">
        <v>1679</v>
      </c>
      <c r="U952" s="2" t="s">
        <v>1574</v>
      </c>
      <c r="V952" s="2" t="s">
        <v>1568</v>
      </c>
      <c r="W952" s="2" t="s">
        <v>1569</v>
      </c>
      <c r="X952" s="2" t="s">
        <v>1570</v>
      </c>
      <c r="AB952" s="2" t="s">
        <v>1571</v>
      </c>
    </row>
    <row r="953">
      <c r="A953" s="2" t="s">
        <v>1820</v>
      </c>
      <c r="B953" s="2">
        <v>19.0</v>
      </c>
      <c r="C953" s="2" t="s">
        <v>6</v>
      </c>
      <c r="D953" s="2" t="s">
        <v>1821</v>
      </c>
      <c r="E953" s="2">
        <v>3.0</v>
      </c>
      <c r="F953" s="2" t="s">
        <v>4</v>
      </c>
      <c r="G953" s="5">
        <v>2668860.0</v>
      </c>
      <c r="H953" s="2" t="s">
        <v>1575</v>
      </c>
      <c r="I953" s="2" t="s">
        <v>1572</v>
      </c>
      <c r="J953" s="2">
        <v>10069.0</v>
      </c>
      <c r="K953" s="2" t="s">
        <v>1620</v>
      </c>
      <c r="L953" s="2"/>
      <c r="M953" s="2"/>
      <c r="N953" s="7">
        <v>1.0</v>
      </c>
      <c r="O953" s="12">
        <v>24762.0</v>
      </c>
      <c r="P953" s="11" t="s">
        <v>1649</v>
      </c>
      <c r="Q953" s="12">
        <v>24762.0</v>
      </c>
      <c r="R953" s="11" t="s">
        <v>1649</v>
      </c>
      <c r="S953" s="11" t="s">
        <v>1689</v>
      </c>
      <c r="T953" s="11" t="s">
        <v>1693</v>
      </c>
      <c r="U953" s="2" t="s">
        <v>1574</v>
      </c>
      <c r="V953" s="2" t="s">
        <v>1568</v>
      </c>
      <c r="W953" s="2" t="s">
        <v>1569</v>
      </c>
      <c r="X953" s="2" t="s">
        <v>1570</v>
      </c>
      <c r="AB953" s="2" t="s">
        <v>1571</v>
      </c>
    </row>
    <row r="954">
      <c r="A954" s="2" t="s">
        <v>1820</v>
      </c>
      <c r="B954" s="2">
        <v>18.0</v>
      </c>
      <c r="C954" s="2" t="s">
        <v>6</v>
      </c>
      <c r="D954" s="2" t="s">
        <v>1821</v>
      </c>
      <c r="E954" s="2">
        <v>3.0</v>
      </c>
      <c r="F954" s="2" t="s">
        <v>4</v>
      </c>
      <c r="G954" s="5">
        <v>2668495.0</v>
      </c>
      <c r="H954" s="2" t="s">
        <v>1575</v>
      </c>
      <c r="I954" s="2" t="s">
        <v>1565</v>
      </c>
      <c r="J954" s="2">
        <v>10000.0</v>
      </c>
      <c r="K954" s="2" t="s">
        <v>1566</v>
      </c>
      <c r="L954" s="2"/>
      <c r="M954" s="2"/>
      <c r="N954" s="7">
        <v>1.0</v>
      </c>
      <c r="O954" s="12">
        <v>29524.0</v>
      </c>
      <c r="P954" s="11" t="s">
        <v>1649</v>
      </c>
      <c r="Q954" s="12">
        <v>29524.0</v>
      </c>
      <c r="R954" s="11" t="s">
        <v>1649</v>
      </c>
      <c r="S954" s="11" t="s">
        <v>1683</v>
      </c>
      <c r="T954" s="11" t="s">
        <v>1684</v>
      </c>
      <c r="U954" s="2" t="s">
        <v>1574</v>
      </c>
      <c r="V954" s="2" t="s">
        <v>1568</v>
      </c>
      <c r="W954" s="2" t="s">
        <v>1569</v>
      </c>
      <c r="X954" s="2" t="s">
        <v>1570</v>
      </c>
      <c r="AB954" s="2" t="s">
        <v>1571</v>
      </c>
    </row>
    <row r="955">
      <c r="A955" s="2" t="s">
        <v>1820</v>
      </c>
      <c r="B955" s="2">
        <v>18.0</v>
      </c>
      <c r="C955" s="2" t="s">
        <v>6</v>
      </c>
      <c r="D955" s="2" t="s">
        <v>1821</v>
      </c>
      <c r="E955" s="2">
        <v>3.0</v>
      </c>
      <c r="F955" s="2" t="s">
        <v>4</v>
      </c>
      <c r="G955" s="5">
        <v>2668495.0</v>
      </c>
      <c r="H955" s="2" t="s">
        <v>1575</v>
      </c>
      <c r="I955" s="2" t="s">
        <v>1565</v>
      </c>
      <c r="J955" s="2">
        <v>10007.0</v>
      </c>
      <c r="K955" s="2" t="s">
        <v>1576</v>
      </c>
      <c r="L955" s="2"/>
      <c r="M955" s="2"/>
      <c r="N955" s="7">
        <v>2.0</v>
      </c>
      <c r="O955" s="12">
        <v>33810.0</v>
      </c>
      <c r="P955" s="11" t="s">
        <v>1649</v>
      </c>
      <c r="Q955" s="12">
        <v>33810.0</v>
      </c>
      <c r="R955" s="11" t="s">
        <v>1649</v>
      </c>
      <c r="S955" s="11" t="s">
        <v>1701</v>
      </c>
      <c r="T955" s="11" t="s">
        <v>1703</v>
      </c>
      <c r="U955" s="2" t="s">
        <v>1574</v>
      </c>
      <c r="V955" s="2" t="s">
        <v>1568</v>
      </c>
      <c r="W955" s="2" t="s">
        <v>1569</v>
      </c>
      <c r="X955" s="2" t="s">
        <v>1570</v>
      </c>
      <c r="AB955" s="2" t="s">
        <v>1571</v>
      </c>
    </row>
    <row r="956">
      <c r="A956" s="2" t="s">
        <v>1820</v>
      </c>
      <c r="B956" s="2">
        <v>17.0</v>
      </c>
      <c r="C956" s="2" t="s">
        <v>6</v>
      </c>
      <c r="D956" s="2" t="s">
        <v>1821</v>
      </c>
      <c r="E956" s="2">
        <v>3.0</v>
      </c>
      <c r="F956" s="2" t="s">
        <v>4</v>
      </c>
      <c r="G956" s="5">
        <v>2668130.0</v>
      </c>
      <c r="H956" s="2" t="s">
        <v>1575</v>
      </c>
      <c r="I956" s="2" t="s">
        <v>1572</v>
      </c>
      <c r="J956" s="2">
        <v>10125.0</v>
      </c>
      <c r="K956" s="2" t="s">
        <v>1601</v>
      </c>
      <c r="L956" s="2"/>
      <c r="M956" s="2"/>
      <c r="N956" s="7">
        <v>1.0</v>
      </c>
      <c r="O956" s="12">
        <v>20476.0</v>
      </c>
      <c r="P956" s="11" t="s">
        <v>1649</v>
      </c>
      <c r="Q956" s="12">
        <v>20476.0</v>
      </c>
      <c r="R956" s="11" t="s">
        <v>1649</v>
      </c>
      <c r="S956" s="11" t="s">
        <v>1716</v>
      </c>
      <c r="T956" s="11" t="s">
        <v>1717</v>
      </c>
      <c r="U956" s="2" t="s">
        <v>1574</v>
      </c>
      <c r="V956" s="2" t="s">
        <v>1568</v>
      </c>
      <c r="W956" s="2" t="s">
        <v>1569</v>
      </c>
      <c r="X956" s="2" t="s">
        <v>1570</v>
      </c>
      <c r="AB956" s="2" t="s">
        <v>1571</v>
      </c>
    </row>
    <row r="957">
      <c r="A957" s="2" t="s">
        <v>1820</v>
      </c>
      <c r="B957" s="2">
        <v>17.0</v>
      </c>
      <c r="C957" s="2" t="s">
        <v>6</v>
      </c>
      <c r="D957" s="2" t="s">
        <v>1821</v>
      </c>
      <c r="E957" s="2">
        <v>3.0</v>
      </c>
      <c r="F957" s="2" t="s">
        <v>4</v>
      </c>
      <c r="G957" s="5">
        <v>2668130.0</v>
      </c>
      <c r="H957" s="2" t="s">
        <v>1575</v>
      </c>
      <c r="I957" s="2" t="s">
        <v>1572</v>
      </c>
      <c r="J957" s="2">
        <v>10056.0</v>
      </c>
      <c r="K957" s="2" t="s">
        <v>1585</v>
      </c>
      <c r="L957" s="2"/>
      <c r="M957" s="2"/>
      <c r="N957" s="7">
        <v>1.0</v>
      </c>
      <c r="O957" s="12">
        <v>19524.0</v>
      </c>
      <c r="P957" s="11" t="s">
        <v>1649</v>
      </c>
      <c r="Q957" s="12">
        <v>19524.0</v>
      </c>
      <c r="R957" s="11" t="s">
        <v>1649</v>
      </c>
      <c r="S957" s="11" t="s">
        <v>1676</v>
      </c>
      <c r="T957" s="11" t="s">
        <v>1677</v>
      </c>
      <c r="U957" s="2" t="s">
        <v>1574</v>
      </c>
      <c r="V957" s="2" t="s">
        <v>1568</v>
      </c>
      <c r="W957" s="2" t="s">
        <v>1569</v>
      </c>
      <c r="X957" s="2" t="s">
        <v>1570</v>
      </c>
      <c r="AB957" s="2" t="s">
        <v>1571</v>
      </c>
    </row>
    <row r="958">
      <c r="A958" s="2" t="s">
        <v>1820</v>
      </c>
      <c r="B958" s="2">
        <v>17.0</v>
      </c>
      <c r="C958" s="2" t="s">
        <v>6</v>
      </c>
      <c r="D958" s="2" t="s">
        <v>1821</v>
      </c>
      <c r="E958" s="2">
        <v>3.0</v>
      </c>
      <c r="F958" s="2" t="s">
        <v>4</v>
      </c>
      <c r="G958" s="5">
        <v>2668130.0</v>
      </c>
      <c r="H958" s="2" t="s">
        <v>1575</v>
      </c>
      <c r="I958" s="2" t="s">
        <v>1572</v>
      </c>
      <c r="J958" s="2">
        <v>10070.0</v>
      </c>
      <c r="K958" s="2" t="s">
        <v>1593</v>
      </c>
      <c r="L958" s="2"/>
      <c r="M958" s="2"/>
      <c r="N958" s="7">
        <v>1.0</v>
      </c>
      <c r="O958" s="12">
        <v>24762.0</v>
      </c>
      <c r="P958" s="11" t="s">
        <v>1649</v>
      </c>
      <c r="Q958" s="12">
        <v>24762.0</v>
      </c>
      <c r="R958" s="11" t="s">
        <v>1649</v>
      </c>
      <c r="S958" s="11" t="s">
        <v>1689</v>
      </c>
      <c r="T958" s="11" t="s">
        <v>1693</v>
      </c>
      <c r="U958" s="2" t="s">
        <v>1574</v>
      </c>
      <c r="V958" s="2" t="s">
        <v>1568</v>
      </c>
      <c r="W958" s="2" t="s">
        <v>1569</v>
      </c>
      <c r="X958" s="2" t="s">
        <v>1570</v>
      </c>
      <c r="AB958" s="2" t="s">
        <v>1571</v>
      </c>
    </row>
    <row r="959">
      <c r="A959" s="2" t="s">
        <v>1820</v>
      </c>
      <c r="B959" s="2">
        <v>17.0</v>
      </c>
      <c r="C959" s="2" t="s">
        <v>6</v>
      </c>
      <c r="D959" s="2" t="s">
        <v>1821</v>
      </c>
      <c r="E959" s="2">
        <v>3.0</v>
      </c>
      <c r="F959" s="2" t="s">
        <v>4</v>
      </c>
      <c r="G959" s="5">
        <v>2668130.0</v>
      </c>
      <c r="H959" s="2" t="s">
        <v>1575</v>
      </c>
      <c r="I959" s="2" t="s">
        <v>1565</v>
      </c>
      <c r="J959" s="2">
        <v>10000.0</v>
      </c>
      <c r="K959" s="2" t="s">
        <v>1566</v>
      </c>
      <c r="L959" s="2"/>
      <c r="M959" s="2"/>
      <c r="N959" s="7">
        <v>1.0</v>
      </c>
      <c r="O959" s="12">
        <v>29524.0</v>
      </c>
      <c r="P959" s="11" t="s">
        <v>1649</v>
      </c>
      <c r="Q959" s="12">
        <v>29524.0</v>
      </c>
      <c r="R959" s="11" t="s">
        <v>1649</v>
      </c>
      <c r="S959" s="11" t="s">
        <v>1683</v>
      </c>
      <c r="T959" s="11" t="s">
        <v>1684</v>
      </c>
      <c r="U959" s="2" t="s">
        <v>1574</v>
      </c>
      <c r="V959" s="2" t="s">
        <v>1568</v>
      </c>
      <c r="W959" s="2" t="s">
        <v>1569</v>
      </c>
      <c r="X959" s="2" t="s">
        <v>1570</v>
      </c>
      <c r="AB959" s="2" t="s">
        <v>1571</v>
      </c>
    </row>
    <row r="960">
      <c r="A960" s="2" t="s">
        <v>1820</v>
      </c>
      <c r="B960" s="2">
        <v>17.0</v>
      </c>
      <c r="C960" s="2" t="s">
        <v>6</v>
      </c>
      <c r="D960" s="2" t="s">
        <v>1821</v>
      </c>
      <c r="E960" s="2">
        <v>3.0</v>
      </c>
      <c r="F960" s="2" t="s">
        <v>4</v>
      </c>
      <c r="G960" s="5">
        <v>2667764.0</v>
      </c>
      <c r="H960" s="2" t="s">
        <v>1575</v>
      </c>
      <c r="I960" s="2" t="s">
        <v>1578</v>
      </c>
      <c r="J960" s="2">
        <v>10009.0</v>
      </c>
      <c r="K960" s="2" t="s">
        <v>1586</v>
      </c>
      <c r="L960" s="2"/>
      <c r="M960" s="2"/>
      <c r="N960" s="7">
        <v>1.0</v>
      </c>
      <c r="O960" s="12">
        <v>26667.0</v>
      </c>
      <c r="P960" s="11" t="s">
        <v>1649</v>
      </c>
      <c r="Q960" s="12">
        <v>26667.0</v>
      </c>
      <c r="R960" s="11" t="s">
        <v>1649</v>
      </c>
      <c r="S960" s="11" t="s">
        <v>1674</v>
      </c>
      <c r="T960" s="11" t="s">
        <v>1679</v>
      </c>
      <c r="U960" s="2" t="s">
        <v>1574</v>
      </c>
      <c r="V960" s="2" t="s">
        <v>1568</v>
      </c>
      <c r="W960" s="2" t="s">
        <v>1569</v>
      </c>
      <c r="X960" s="2" t="s">
        <v>1570</v>
      </c>
      <c r="AB960" s="2" t="s">
        <v>1571</v>
      </c>
    </row>
    <row r="961">
      <c r="A961" s="2" t="s">
        <v>1820</v>
      </c>
      <c r="B961" s="2">
        <v>17.0</v>
      </c>
      <c r="C961" s="2" t="s">
        <v>6</v>
      </c>
      <c r="D961" s="2" t="s">
        <v>1821</v>
      </c>
      <c r="E961" s="2">
        <v>3.0</v>
      </c>
      <c r="F961" s="2" t="s">
        <v>4</v>
      </c>
      <c r="G961" s="5">
        <v>2667764.0</v>
      </c>
      <c r="H961" s="2" t="s">
        <v>1575</v>
      </c>
      <c r="I961" s="2" t="s">
        <v>1565</v>
      </c>
      <c r="J961" s="2">
        <v>10033.0</v>
      </c>
      <c r="K961" s="2" t="s">
        <v>1615</v>
      </c>
      <c r="L961" s="2"/>
      <c r="M961" s="2"/>
      <c r="N961" s="7">
        <v>1.0</v>
      </c>
      <c r="O961" s="12">
        <v>21905.0</v>
      </c>
      <c r="P961" s="11" t="s">
        <v>1649</v>
      </c>
      <c r="Q961" s="12">
        <v>21905.0</v>
      </c>
      <c r="R961" s="11" t="s">
        <v>1649</v>
      </c>
      <c r="S961" s="11" t="s">
        <v>1666</v>
      </c>
      <c r="T961" s="11" t="s">
        <v>1687</v>
      </c>
      <c r="U961" s="2" t="s">
        <v>1574</v>
      </c>
      <c r="V961" s="2" t="s">
        <v>1568</v>
      </c>
      <c r="W961" s="2" t="s">
        <v>1569</v>
      </c>
      <c r="X961" s="2" t="s">
        <v>1570</v>
      </c>
      <c r="AB961" s="2" t="s">
        <v>1571</v>
      </c>
    </row>
    <row r="962">
      <c r="A962" s="2" t="s">
        <v>1820</v>
      </c>
      <c r="B962" s="2">
        <v>17.0</v>
      </c>
      <c r="C962" s="2" t="s">
        <v>6</v>
      </c>
      <c r="D962" s="2" t="s">
        <v>1821</v>
      </c>
      <c r="E962" s="2">
        <v>3.0</v>
      </c>
      <c r="F962" s="2" t="s">
        <v>4</v>
      </c>
      <c r="G962" s="5">
        <v>2667764.0</v>
      </c>
      <c r="H962" s="2" t="s">
        <v>1575</v>
      </c>
      <c r="I962" s="2" t="s">
        <v>1572</v>
      </c>
      <c r="J962" s="2">
        <v>10119.0</v>
      </c>
      <c r="K962" s="2" t="s">
        <v>1582</v>
      </c>
      <c r="L962" s="2"/>
      <c r="M962" s="2"/>
      <c r="N962" s="7">
        <v>2.0</v>
      </c>
      <c r="O962" s="12">
        <v>14286.0</v>
      </c>
      <c r="P962" s="11" t="s">
        <v>1649</v>
      </c>
      <c r="Q962" s="12">
        <v>14286.0</v>
      </c>
      <c r="R962" s="11" t="s">
        <v>1649</v>
      </c>
      <c r="S962" s="11" t="s">
        <v>1685</v>
      </c>
      <c r="T962" s="11" t="s">
        <v>1686</v>
      </c>
      <c r="U962" s="2" t="s">
        <v>1574</v>
      </c>
      <c r="V962" s="2" t="s">
        <v>1568</v>
      </c>
      <c r="W962" s="2" t="s">
        <v>1569</v>
      </c>
      <c r="X962" s="2" t="s">
        <v>1570</v>
      </c>
      <c r="AB962" s="2" t="s">
        <v>1571</v>
      </c>
    </row>
    <row r="963">
      <c r="A963" s="2" t="s">
        <v>1820</v>
      </c>
      <c r="B963" s="2">
        <v>17.0</v>
      </c>
      <c r="C963" s="2" t="s">
        <v>6</v>
      </c>
      <c r="D963" s="2" t="s">
        <v>1821</v>
      </c>
      <c r="E963" s="2">
        <v>3.0</v>
      </c>
      <c r="F963" s="2" t="s">
        <v>4</v>
      </c>
      <c r="G963" s="5">
        <v>2667399.0</v>
      </c>
      <c r="H963" s="2" t="s">
        <v>1575</v>
      </c>
      <c r="I963" s="2" t="s">
        <v>1565</v>
      </c>
      <c r="J963" s="2">
        <v>10033.0</v>
      </c>
      <c r="K963" s="2" t="s">
        <v>1615</v>
      </c>
      <c r="L963" s="2"/>
      <c r="M963" s="2"/>
      <c r="N963" s="7">
        <v>1.0</v>
      </c>
      <c r="O963" s="12">
        <v>21905.0</v>
      </c>
      <c r="P963" s="11" t="s">
        <v>1649</v>
      </c>
      <c r="Q963" s="12">
        <v>21905.0</v>
      </c>
      <c r="R963" s="11" t="s">
        <v>1649</v>
      </c>
      <c r="S963" s="11" t="s">
        <v>1666</v>
      </c>
      <c r="T963" s="11" t="s">
        <v>1667</v>
      </c>
      <c r="U963" s="2" t="s">
        <v>1574</v>
      </c>
      <c r="V963" s="2" t="s">
        <v>1568</v>
      </c>
      <c r="W963" s="2" t="s">
        <v>1569</v>
      </c>
      <c r="X963" s="2" t="s">
        <v>1570</v>
      </c>
      <c r="AB963" s="2" t="s">
        <v>1571</v>
      </c>
    </row>
    <row r="964">
      <c r="A964" s="2" t="s">
        <v>1820</v>
      </c>
      <c r="B964" s="2">
        <v>17.0</v>
      </c>
      <c r="C964" s="2" t="s">
        <v>6</v>
      </c>
      <c r="D964" s="2" t="s">
        <v>1821</v>
      </c>
      <c r="E964" s="2">
        <v>3.0</v>
      </c>
      <c r="F964" s="2" t="s">
        <v>4</v>
      </c>
      <c r="G964" s="5">
        <v>2667399.0</v>
      </c>
      <c r="H964" s="2" t="s">
        <v>1575</v>
      </c>
      <c r="I964" s="2" t="s">
        <v>1572</v>
      </c>
      <c r="J964" s="2">
        <v>10122.0</v>
      </c>
      <c r="K964" s="2" t="s">
        <v>1577</v>
      </c>
      <c r="L964" s="2"/>
      <c r="M964" s="2"/>
      <c r="N964" s="7">
        <v>1.0</v>
      </c>
      <c r="O964" s="12">
        <v>21905.0</v>
      </c>
      <c r="P964" s="11" t="s">
        <v>1649</v>
      </c>
      <c r="Q964" s="12">
        <v>21905.0</v>
      </c>
      <c r="R964" s="11" t="s">
        <v>1649</v>
      </c>
      <c r="S964" s="11" t="s">
        <v>1666</v>
      </c>
      <c r="T964" s="11" t="s">
        <v>1687</v>
      </c>
      <c r="U964" s="2" t="s">
        <v>1574</v>
      </c>
      <c r="V964" s="2" t="s">
        <v>1568</v>
      </c>
      <c r="W964" s="2" t="s">
        <v>1569</v>
      </c>
      <c r="X964" s="2" t="s">
        <v>1570</v>
      </c>
      <c r="AB964" s="2" t="s">
        <v>1571</v>
      </c>
    </row>
    <row r="965">
      <c r="A965" s="2" t="s">
        <v>1820</v>
      </c>
      <c r="B965" s="2">
        <v>17.0</v>
      </c>
      <c r="C965" s="2" t="s">
        <v>6</v>
      </c>
      <c r="D965" s="2" t="s">
        <v>1821</v>
      </c>
      <c r="E965" s="2">
        <v>3.0</v>
      </c>
      <c r="F965" s="2" t="s">
        <v>4</v>
      </c>
      <c r="G965" s="5">
        <v>2667034.0</v>
      </c>
      <c r="H965" s="2" t="s">
        <v>1575</v>
      </c>
      <c r="I965" s="2" t="s">
        <v>1572</v>
      </c>
      <c r="J965" s="2">
        <v>10128.0</v>
      </c>
      <c r="K965" s="2" t="s">
        <v>1588</v>
      </c>
      <c r="L965" s="2"/>
      <c r="M965" s="2"/>
      <c r="N965" s="7">
        <v>2.0</v>
      </c>
      <c r="O965" s="12">
        <v>46666.0</v>
      </c>
      <c r="P965" s="11" t="s">
        <v>1649</v>
      </c>
      <c r="Q965" s="12">
        <v>46666.0</v>
      </c>
      <c r="R965" s="11" t="s">
        <v>1649</v>
      </c>
      <c r="S965" s="11" t="s">
        <v>1691</v>
      </c>
      <c r="T965" s="11" t="s">
        <v>1692</v>
      </c>
      <c r="U965" s="2" t="s">
        <v>1574</v>
      </c>
      <c r="V965" s="2" t="s">
        <v>1568</v>
      </c>
      <c r="W965" s="2" t="s">
        <v>1569</v>
      </c>
      <c r="X965" s="2" t="s">
        <v>1570</v>
      </c>
      <c r="AB965" s="2" t="s">
        <v>1571</v>
      </c>
    </row>
    <row r="966">
      <c r="A966" s="2" t="s">
        <v>1820</v>
      </c>
      <c r="B966" s="2">
        <v>17.0</v>
      </c>
      <c r="C966" s="2" t="s">
        <v>6</v>
      </c>
      <c r="D966" s="2" t="s">
        <v>1821</v>
      </c>
      <c r="E966" s="2">
        <v>3.0</v>
      </c>
      <c r="F966" s="2" t="s">
        <v>4</v>
      </c>
      <c r="G966" s="5">
        <v>2667034.0</v>
      </c>
      <c r="H966" s="2" t="s">
        <v>1575</v>
      </c>
      <c r="I966" s="2" t="s">
        <v>1565</v>
      </c>
      <c r="J966" s="2">
        <v>10005.0</v>
      </c>
      <c r="K966" s="2" t="s">
        <v>1595</v>
      </c>
      <c r="L966" s="2"/>
      <c r="M966" s="2"/>
      <c r="N966" s="7">
        <v>1.0</v>
      </c>
      <c r="O966" s="12">
        <v>19524.0</v>
      </c>
      <c r="P966" s="11" t="s">
        <v>1649</v>
      </c>
      <c r="Q966" s="12">
        <v>19524.0</v>
      </c>
      <c r="R966" s="11" t="s">
        <v>1649</v>
      </c>
      <c r="S966" s="11" t="s">
        <v>1676</v>
      </c>
      <c r="T966" s="11" t="s">
        <v>1694</v>
      </c>
      <c r="U966" s="2" t="s">
        <v>1574</v>
      </c>
      <c r="V966" s="2" t="s">
        <v>1568</v>
      </c>
      <c r="W966" s="2" t="s">
        <v>1569</v>
      </c>
      <c r="X966" s="2" t="s">
        <v>1570</v>
      </c>
      <c r="AB966" s="2" t="s">
        <v>1571</v>
      </c>
    </row>
    <row r="967">
      <c r="A967" s="2" t="s">
        <v>1820</v>
      </c>
      <c r="B967" s="2">
        <v>17.0</v>
      </c>
      <c r="C967" s="2" t="s">
        <v>6</v>
      </c>
      <c r="D967" s="2" t="s">
        <v>1821</v>
      </c>
      <c r="E967" s="2">
        <v>3.0</v>
      </c>
      <c r="F967" s="2" t="s">
        <v>4</v>
      </c>
      <c r="G967" s="5">
        <v>2666669.0</v>
      </c>
      <c r="H967" s="2" t="s">
        <v>1575</v>
      </c>
      <c r="I967" s="2" t="s">
        <v>1565</v>
      </c>
      <c r="J967" s="2">
        <v>10002.0</v>
      </c>
      <c r="K967" s="2" t="s">
        <v>1576</v>
      </c>
      <c r="L967" s="2"/>
      <c r="M967" s="2"/>
      <c r="N967" s="7">
        <v>1.0</v>
      </c>
      <c r="O967" s="12">
        <v>18571.0</v>
      </c>
      <c r="P967" s="11" t="s">
        <v>1649</v>
      </c>
      <c r="Q967" s="12">
        <v>18571.0</v>
      </c>
      <c r="R967" s="11" t="s">
        <v>1649</v>
      </c>
      <c r="S967" s="11" t="s">
        <v>1656</v>
      </c>
      <c r="T967" s="11" t="s">
        <v>1657</v>
      </c>
      <c r="U967" s="2" t="s">
        <v>1574</v>
      </c>
      <c r="V967" s="2" t="s">
        <v>1568</v>
      </c>
      <c r="W967" s="2" t="s">
        <v>1569</v>
      </c>
      <c r="X967" s="2" t="s">
        <v>1570</v>
      </c>
      <c r="AB967" s="2" t="s">
        <v>1571</v>
      </c>
    </row>
    <row r="968">
      <c r="A968" s="2" t="s">
        <v>1820</v>
      </c>
      <c r="B968" s="2">
        <v>17.0</v>
      </c>
      <c r="C968" s="2" t="s">
        <v>6</v>
      </c>
      <c r="D968" s="2" t="s">
        <v>1821</v>
      </c>
      <c r="E968" s="2">
        <v>3.0</v>
      </c>
      <c r="F968" s="2" t="s">
        <v>4</v>
      </c>
      <c r="G968" s="5">
        <v>2666669.0</v>
      </c>
      <c r="H968" s="2" t="s">
        <v>1575</v>
      </c>
      <c r="I968" s="2" t="s">
        <v>1565</v>
      </c>
      <c r="J968" s="2">
        <v>10005.0</v>
      </c>
      <c r="K968" s="2" t="s">
        <v>1595</v>
      </c>
      <c r="L968" s="2"/>
      <c r="M968" s="2"/>
      <c r="N968" s="7">
        <v>1.0</v>
      </c>
      <c r="O968" s="12">
        <v>19524.0</v>
      </c>
      <c r="P968" s="11" t="s">
        <v>1649</v>
      </c>
      <c r="Q968" s="12">
        <v>19524.0</v>
      </c>
      <c r="R968" s="11" t="s">
        <v>1649</v>
      </c>
      <c r="S968" s="11" t="s">
        <v>1676</v>
      </c>
      <c r="T968" s="11" t="s">
        <v>1677</v>
      </c>
      <c r="U968" s="2" t="s">
        <v>1574</v>
      </c>
      <c r="V968" s="2" t="s">
        <v>1568</v>
      </c>
      <c r="W968" s="2" t="s">
        <v>1569</v>
      </c>
      <c r="X968" s="2" t="s">
        <v>1570</v>
      </c>
      <c r="AB968" s="2" t="s">
        <v>1571</v>
      </c>
    </row>
    <row r="969">
      <c r="A969" s="2" t="s">
        <v>1820</v>
      </c>
      <c r="B969" s="2">
        <v>17.0</v>
      </c>
      <c r="C969" s="2" t="s">
        <v>6</v>
      </c>
      <c r="D969" s="2" t="s">
        <v>1821</v>
      </c>
      <c r="E969" s="2">
        <v>3.0</v>
      </c>
      <c r="F969" s="2" t="s">
        <v>4</v>
      </c>
      <c r="G969" s="5">
        <v>2666303.0</v>
      </c>
      <c r="H969" s="2" t="s">
        <v>1564</v>
      </c>
      <c r="I969" s="2" t="s">
        <v>1565</v>
      </c>
      <c r="J969" s="2">
        <v>10005.0</v>
      </c>
      <c r="K969" s="2" t="s">
        <v>1595</v>
      </c>
      <c r="L969" s="2"/>
      <c r="M969" s="2"/>
      <c r="N969" s="7">
        <v>-1.0</v>
      </c>
      <c r="O969" s="12">
        <v>-19524.0</v>
      </c>
      <c r="P969" s="11" t="s">
        <v>1649</v>
      </c>
      <c r="Q969" s="12">
        <v>-19524.0</v>
      </c>
      <c r="R969" s="11" t="s">
        <v>1650</v>
      </c>
      <c r="S969" s="11" t="s">
        <v>1704</v>
      </c>
      <c r="T969" s="11" t="s">
        <v>1705</v>
      </c>
      <c r="U969" s="2" t="s">
        <v>1574</v>
      </c>
      <c r="V969" s="2" t="s">
        <v>1568</v>
      </c>
      <c r="W969" s="2" t="s">
        <v>1569</v>
      </c>
      <c r="X969" s="2" t="s">
        <v>1570</v>
      </c>
      <c r="AB969" s="2" t="s">
        <v>1571</v>
      </c>
    </row>
    <row r="970">
      <c r="A970" s="2" t="s">
        <v>1820</v>
      </c>
      <c r="B970" s="2">
        <v>17.0</v>
      </c>
      <c r="C970" s="2" t="s">
        <v>6</v>
      </c>
      <c r="D970" s="2" t="s">
        <v>1821</v>
      </c>
      <c r="E970" s="2">
        <v>3.0</v>
      </c>
      <c r="F970" s="2" t="s">
        <v>4</v>
      </c>
      <c r="G970" s="5">
        <v>2666303.0</v>
      </c>
      <c r="H970" s="2" t="s">
        <v>1564</v>
      </c>
      <c r="I970" s="2" t="s">
        <v>1565</v>
      </c>
      <c r="J970" s="2">
        <v>10002.0</v>
      </c>
      <c r="K970" s="2" t="s">
        <v>1576</v>
      </c>
      <c r="L970" s="2"/>
      <c r="M970" s="2"/>
      <c r="N970" s="7">
        <v>-1.0</v>
      </c>
      <c r="O970" s="12">
        <v>-18571.0</v>
      </c>
      <c r="P970" s="11" t="s">
        <v>1649</v>
      </c>
      <c r="Q970" s="12">
        <v>-18571.0</v>
      </c>
      <c r="R970" s="11" t="s">
        <v>1650</v>
      </c>
      <c r="S970" s="11" t="s">
        <v>1743</v>
      </c>
      <c r="T970" s="11" t="s">
        <v>1744</v>
      </c>
      <c r="U970" s="2" t="s">
        <v>1574</v>
      </c>
      <c r="V970" s="2" t="s">
        <v>1568</v>
      </c>
      <c r="W970" s="2" t="s">
        <v>1569</v>
      </c>
      <c r="X970" s="2" t="s">
        <v>1570</v>
      </c>
      <c r="AB970" s="2" t="s">
        <v>1571</v>
      </c>
    </row>
    <row r="971">
      <c r="A971" s="2" t="s">
        <v>1820</v>
      </c>
      <c r="B971" s="2">
        <v>17.0</v>
      </c>
      <c r="C971" s="2" t="s">
        <v>6</v>
      </c>
      <c r="D971" s="2" t="s">
        <v>1821</v>
      </c>
      <c r="E971" s="2">
        <v>3.0</v>
      </c>
      <c r="F971" s="2" t="s">
        <v>4</v>
      </c>
      <c r="G971" s="5">
        <v>2665938.0</v>
      </c>
      <c r="H971" s="2" t="s">
        <v>1575</v>
      </c>
      <c r="I971" s="2" t="s">
        <v>1565</v>
      </c>
      <c r="J971" s="2">
        <v>10005.0</v>
      </c>
      <c r="K971" s="2" t="s">
        <v>1595</v>
      </c>
      <c r="L971" s="2"/>
      <c r="M971" s="2"/>
      <c r="N971" s="7">
        <v>1.0</v>
      </c>
      <c r="O971" s="12">
        <v>19524.0</v>
      </c>
      <c r="P971" s="11" t="s">
        <v>1649</v>
      </c>
      <c r="Q971" s="12">
        <v>19524.0</v>
      </c>
      <c r="R971" s="11" t="s">
        <v>1649</v>
      </c>
      <c r="S971" s="11" t="s">
        <v>1676</v>
      </c>
      <c r="T971" s="11" t="s">
        <v>1677</v>
      </c>
      <c r="U971" s="2" t="s">
        <v>1574</v>
      </c>
      <c r="V971" s="2" t="s">
        <v>1568</v>
      </c>
      <c r="W971" s="2" t="s">
        <v>1569</v>
      </c>
      <c r="X971" s="2" t="s">
        <v>1570</v>
      </c>
      <c r="AB971" s="2" t="s">
        <v>1571</v>
      </c>
    </row>
    <row r="972">
      <c r="A972" s="2" t="s">
        <v>1820</v>
      </c>
      <c r="B972" s="2">
        <v>17.0</v>
      </c>
      <c r="C972" s="2" t="s">
        <v>6</v>
      </c>
      <c r="D972" s="2" t="s">
        <v>1821</v>
      </c>
      <c r="E972" s="2">
        <v>3.0</v>
      </c>
      <c r="F972" s="2" t="s">
        <v>4</v>
      </c>
      <c r="G972" s="5">
        <v>2665938.0</v>
      </c>
      <c r="H972" s="2" t="s">
        <v>1575</v>
      </c>
      <c r="I972" s="2" t="s">
        <v>1565</v>
      </c>
      <c r="J972" s="2">
        <v>10002.0</v>
      </c>
      <c r="K972" s="2" t="s">
        <v>1576</v>
      </c>
      <c r="L972" s="2"/>
      <c r="M972" s="2"/>
      <c r="N972" s="7">
        <v>1.0</v>
      </c>
      <c r="O972" s="12">
        <v>18571.0</v>
      </c>
      <c r="P972" s="11" t="s">
        <v>1649</v>
      </c>
      <c r="Q972" s="12">
        <v>18571.0</v>
      </c>
      <c r="R972" s="11" t="s">
        <v>1649</v>
      </c>
      <c r="S972" s="11" t="s">
        <v>1656</v>
      </c>
      <c r="T972" s="11" t="s">
        <v>1657</v>
      </c>
      <c r="U972" s="2" t="s">
        <v>1574</v>
      </c>
      <c r="V972" s="2" t="s">
        <v>1568</v>
      </c>
      <c r="W972" s="2" t="s">
        <v>1569</v>
      </c>
      <c r="X972" s="2" t="s">
        <v>1570</v>
      </c>
      <c r="AB972" s="2" t="s">
        <v>1571</v>
      </c>
    </row>
    <row r="973">
      <c r="A973" s="2" t="s">
        <v>1820</v>
      </c>
      <c r="B973" s="2">
        <v>17.0</v>
      </c>
      <c r="C973" s="2" t="s">
        <v>6</v>
      </c>
      <c r="D973" s="2" t="s">
        <v>1821</v>
      </c>
      <c r="E973" s="2">
        <v>3.0</v>
      </c>
      <c r="F973" s="2" t="s">
        <v>4</v>
      </c>
      <c r="G973" s="5">
        <v>2665573.0</v>
      </c>
      <c r="H973" s="2" t="s">
        <v>1575</v>
      </c>
      <c r="I973" s="2" t="s">
        <v>1565</v>
      </c>
      <c r="J973" s="2">
        <v>10002.0</v>
      </c>
      <c r="K973" s="2" t="s">
        <v>1576</v>
      </c>
      <c r="L973" s="2"/>
      <c r="M973" s="2"/>
      <c r="N973" s="7">
        <v>1.0</v>
      </c>
      <c r="O973" s="12">
        <v>18571.0</v>
      </c>
      <c r="P973" s="11" t="s">
        <v>1649</v>
      </c>
      <c r="Q973" s="12">
        <v>18571.0</v>
      </c>
      <c r="R973" s="11" t="s">
        <v>1649</v>
      </c>
      <c r="S973" s="11" t="s">
        <v>1656</v>
      </c>
      <c r="T973" s="11" t="s">
        <v>1657</v>
      </c>
      <c r="U973" s="2" t="s">
        <v>1574</v>
      </c>
      <c r="V973" s="2" t="s">
        <v>1568</v>
      </c>
      <c r="W973" s="2" t="s">
        <v>1569</v>
      </c>
      <c r="X973" s="2" t="s">
        <v>1570</v>
      </c>
      <c r="AB973" s="2" t="s">
        <v>1571</v>
      </c>
    </row>
    <row r="974">
      <c r="A974" s="2" t="s">
        <v>1820</v>
      </c>
      <c r="B974" s="2">
        <v>17.0</v>
      </c>
      <c r="C974" s="2" t="s">
        <v>6</v>
      </c>
      <c r="D974" s="2" t="s">
        <v>1821</v>
      </c>
      <c r="E974" s="2">
        <v>3.0</v>
      </c>
      <c r="F974" s="2" t="s">
        <v>4</v>
      </c>
      <c r="G974" s="5">
        <v>2665573.0</v>
      </c>
      <c r="H974" s="2" t="s">
        <v>1575</v>
      </c>
      <c r="I974" s="2" t="s">
        <v>1565</v>
      </c>
      <c r="J974" s="2">
        <v>10005.0</v>
      </c>
      <c r="K974" s="2" t="s">
        <v>1595</v>
      </c>
      <c r="L974" s="2"/>
      <c r="M974" s="2"/>
      <c r="N974" s="7">
        <v>1.0</v>
      </c>
      <c r="O974" s="12">
        <v>19524.0</v>
      </c>
      <c r="P974" s="11" t="s">
        <v>1649</v>
      </c>
      <c r="Q974" s="12">
        <v>19524.0</v>
      </c>
      <c r="R974" s="11" t="s">
        <v>1649</v>
      </c>
      <c r="S974" s="11" t="s">
        <v>1676</v>
      </c>
      <c r="T974" s="11" t="s">
        <v>1677</v>
      </c>
      <c r="U974" s="2" t="s">
        <v>1574</v>
      </c>
      <c r="V974" s="2" t="s">
        <v>1568</v>
      </c>
      <c r="W974" s="2" t="s">
        <v>1569</v>
      </c>
      <c r="X974" s="2" t="s">
        <v>1570</v>
      </c>
      <c r="AB974" s="2" t="s">
        <v>1571</v>
      </c>
    </row>
    <row r="975">
      <c r="A975" s="2" t="s">
        <v>1820</v>
      </c>
      <c r="B975" s="2">
        <v>16.0</v>
      </c>
      <c r="C975" s="2" t="s">
        <v>6</v>
      </c>
      <c r="D975" s="2" t="s">
        <v>1821</v>
      </c>
      <c r="E975" s="2">
        <v>3.0</v>
      </c>
      <c r="F975" s="2" t="s">
        <v>4</v>
      </c>
      <c r="G975" s="5">
        <v>2665208.0</v>
      </c>
      <c r="H975" s="2" t="s">
        <v>1575</v>
      </c>
      <c r="I975" s="2" t="s">
        <v>1572</v>
      </c>
      <c r="J975" s="2">
        <v>10128.0</v>
      </c>
      <c r="K975" s="2" t="s">
        <v>1588</v>
      </c>
      <c r="L975" s="2"/>
      <c r="M975" s="2"/>
      <c r="N975" s="7">
        <v>1.0</v>
      </c>
      <c r="O975" s="12">
        <v>23333.0</v>
      </c>
      <c r="P975" s="11" t="s">
        <v>1649</v>
      </c>
      <c r="Q975" s="12">
        <v>23333.0</v>
      </c>
      <c r="R975" s="11" t="s">
        <v>1649</v>
      </c>
      <c r="S975" s="11" t="s">
        <v>1681</v>
      </c>
      <c r="T975" s="11" t="s">
        <v>1682</v>
      </c>
      <c r="U975" s="2" t="s">
        <v>1574</v>
      </c>
      <c r="V975" s="2" t="s">
        <v>1568</v>
      </c>
      <c r="W975" s="2" t="s">
        <v>1569</v>
      </c>
      <c r="X975" s="2" t="s">
        <v>1570</v>
      </c>
      <c r="AB975" s="2" t="s">
        <v>1571</v>
      </c>
    </row>
    <row r="976">
      <c r="A976" s="2" t="s">
        <v>1820</v>
      </c>
      <c r="B976" s="2">
        <v>15.0</v>
      </c>
      <c r="C976" s="2" t="s">
        <v>6</v>
      </c>
      <c r="D976" s="2" t="s">
        <v>1821</v>
      </c>
      <c r="E976" s="2">
        <v>3.0</v>
      </c>
      <c r="F976" s="2" t="s">
        <v>4</v>
      </c>
      <c r="G976" s="5">
        <v>2664842.0</v>
      </c>
      <c r="H976" s="2" t="s">
        <v>1575</v>
      </c>
      <c r="I976" s="2" t="s">
        <v>1565</v>
      </c>
      <c r="J976" s="2">
        <v>10007.0</v>
      </c>
      <c r="K976" s="2" t="s">
        <v>1576</v>
      </c>
      <c r="L976" s="2"/>
      <c r="M976" s="2"/>
      <c r="N976" s="7">
        <v>2.0</v>
      </c>
      <c r="O976" s="12">
        <v>33810.0</v>
      </c>
      <c r="P976" s="11" t="s">
        <v>1649</v>
      </c>
      <c r="Q976" s="12">
        <v>33810.0</v>
      </c>
      <c r="R976" s="11" t="s">
        <v>1649</v>
      </c>
      <c r="S976" s="11" t="s">
        <v>1701</v>
      </c>
      <c r="T976" s="11" t="s">
        <v>1703</v>
      </c>
      <c r="U976" s="2" t="s">
        <v>1574</v>
      </c>
      <c r="V976" s="2" t="s">
        <v>1568</v>
      </c>
      <c r="W976" s="2" t="s">
        <v>1569</v>
      </c>
      <c r="X976" s="2" t="s">
        <v>1570</v>
      </c>
      <c r="AB976" s="2" t="s">
        <v>1571</v>
      </c>
    </row>
    <row r="977">
      <c r="A977" s="2" t="s">
        <v>1820</v>
      </c>
      <c r="B977" s="2">
        <v>15.0</v>
      </c>
      <c r="C977" s="2" t="s">
        <v>6</v>
      </c>
      <c r="D977" s="2" t="s">
        <v>1821</v>
      </c>
      <c r="E977" s="2">
        <v>3.0</v>
      </c>
      <c r="F977" s="2" t="s">
        <v>4</v>
      </c>
      <c r="G977" s="5">
        <v>2664842.0</v>
      </c>
      <c r="H977" s="2" t="s">
        <v>1575</v>
      </c>
      <c r="I977" s="2" t="s">
        <v>1565</v>
      </c>
      <c r="J977" s="2">
        <v>10055.0</v>
      </c>
      <c r="K977" s="2" t="s">
        <v>1595</v>
      </c>
      <c r="L977" s="2"/>
      <c r="M977" s="2"/>
      <c r="N977" s="7">
        <v>2.0</v>
      </c>
      <c r="O977" s="12">
        <v>34762.0</v>
      </c>
      <c r="P977" s="11" t="s">
        <v>1649</v>
      </c>
      <c r="Q977" s="12">
        <v>34762.0</v>
      </c>
      <c r="R977" s="11" t="s">
        <v>1649</v>
      </c>
      <c r="S977" s="11" t="s">
        <v>1670</v>
      </c>
      <c r="T977" s="11" t="s">
        <v>1671</v>
      </c>
      <c r="U977" s="2" t="s">
        <v>1574</v>
      </c>
      <c r="V977" s="2" t="s">
        <v>1568</v>
      </c>
      <c r="W977" s="2" t="s">
        <v>1569</v>
      </c>
      <c r="X977" s="2" t="s">
        <v>1570</v>
      </c>
      <c r="AB977" s="2" t="s">
        <v>1571</v>
      </c>
    </row>
    <row r="978">
      <c r="A978" s="2" t="s">
        <v>1820</v>
      </c>
      <c r="B978" s="2">
        <v>12.0</v>
      </c>
      <c r="C978" s="2" t="s">
        <v>6</v>
      </c>
      <c r="D978" s="2" t="s">
        <v>1821</v>
      </c>
      <c r="E978" s="2">
        <v>3.0</v>
      </c>
      <c r="F978" s="2" t="s">
        <v>4</v>
      </c>
      <c r="G978" s="5">
        <v>2664477.0</v>
      </c>
      <c r="H978" s="2" t="s">
        <v>1575</v>
      </c>
      <c r="I978" s="2" t="s">
        <v>1565</v>
      </c>
      <c r="J978" s="2">
        <v>10007.0</v>
      </c>
      <c r="K978" s="2" t="s">
        <v>1576</v>
      </c>
      <c r="L978" s="2"/>
      <c r="M978" s="2"/>
      <c r="N978" s="7">
        <v>2.0</v>
      </c>
      <c r="O978" s="12">
        <v>33810.0</v>
      </c>
      <c r="P978" s="11" t="s">
        <v>1649</v>
      </c>
      <c r="Q978" s="12">
        <v>33810.0</v>
      </c>
      <c r="R978" s="11" t="s">
        <v>1649</v>
      </c>
      <c r="S978" s="11" t="s">
        <v>1701</v>
      </c>
      <c r="T978" s="11" t="s">
        <v>1703</v>
      </c>
      <c r="U978" s="2" t="s">
        <v>1574</v>
      </c>
      <c r="V978" s="2" t="s">
        <v>1568</v>
      </c>
      <c r="W978" s="2" t="s">
        <v>1569</v>
      </c>
      <c r="X978" s="2" t="s">
        <v>1570</v>
      </c>
      <c r="AB978" s="2" t="s">
        <v>1571</v>
      </c>
    </row>
    <row r="979">
      <c r="A979" s="2" t="s">
        <v>1820</v>
      </c>
      <c r="B979" s="2">
        <v>11.0</v>
      </c>
      <c r="C979" s="2" t="s">
        <v>6</v>
      </c>
      <c r="D979" s="2" t="s">
        <v>1821</v>
      </c>
      <c r="E979" s="2">
        <v>3.0</v>
      </c>
      <c r="F979" s="2" t="s">
        <v>4</v>
      </c>
      <c r="G979" s="5">
        <v>2664112.0</v>
      </c>
      <c r="H979" s="2" t="s">
        <v>1575</v>
      </c>
      <c r="I979" s="2" t="s">
        <v>1565</v>
      </c>
      <c r="J979" s="2">
        <v>10002.0</v>
      </c>
      <c r="K979" s="2" t="s">
        <v>1576</v>
      </c>
      <c r="L979" s="2"/>
      <c r="M979" s="2"/>
      <c r="N979" s="7">
        <v>1.0</v>
      </c>
      <c r="O979" s="12">
        <v>18571.0</v>
      </c>
      <c r="P979" s="11" t="s">
        <v>1649</v>
      </c>
      <c r="Q979" s="12">
        <v>18571.0</v>
      </c>
      <c r="R979" s="11" t="s">
        <v>1649</v>
      </c>
      <c r="S979" s="11" t="s">
        <v>1656</v>
      </c>
      <c r="T979" s="11" t="s">
        <v>1657</v>
      </c>
      <c r="U979" s="2" t="s">
        <v>1574</v>
      </c>
      <c r="V979" s="2" t="s">
        <v>1568</v>
      </c>
      <c r="W979" s="2" t="s">
        <v>1569</v>
      </c>
      <c r="X979" s="2" t="s">
        <v>1570</v>
      </c>
      <c r="AB979" s="2" t="s">
        <v>1571</v>
      </c>
    </row>
    <row r="980">
      <c r="A980" s="2" t="s">
        <v>1822</v>
      </c>
      <c r="B980" s="2">
        <v>20.0</v>
      </c>
      <c r="C980" s="2" t="s">
        <v>5</v>
      </c>
      <c r="D980" s="2" t="s">
        <v>1823</v>
      </c>
      <c r="E980" s="2">
        <v>2.0</v>
      </c>
      <c r="F980" s="2" t="s">
        <v>4</v>
      </c>
      <c r="G980" s="5">
        <v>2663747.0</v>
      </c>
      <c r="H980" s="2" t="s">
        <v>1575</v>
      </c>
      <c r="I980" s="2" t="s">
        <v>1572</v>
      </c>
      <c r="J980" s="2">
        <v>10122.0</v>
      </c>
      <c r="K980" s="2" t="s">
        <v>1577</v>
      </c>
      <c r="L980" s="2"/>
      <c r="M980" s="2"/>
      <c r="N980" s="7">
        <v>1.0</v>
      </c>
      <c r="O980" s="12">
        <v>21905.0</v>
      </c>
      <c r="P980" s="11" t="s">
        <v>1649</v>
      </c>
      <c r="Q980" s="12">
        <v>21905.0</v>
      </c>
      <c r="R980" s="11" t="s">
        <v>1649</v>
      </c>
      <c r="S980" s="11" t="s">
        <v>1666</v>
      </c>
      <c r="T980" s="11" t="s">
        <v>1667</v>
      </c>
      <c r="U980" s="2" t="s">
        <v>1574</v>
      </c>
      <c r="V980" s="2" t="s">
        <v>1568</v>
      </c>
      <c r="W980" s="2" t="s">
        <v>1569</v>
      </c>
      <c r="X980" s="2" t="s">
        <v>1570</v>
      </c>
      <c r="AB980" s="2" t="s">
        <v>1571</v>
      </c>
    </row>
    <row r="981">
      <c r="A981" s="2" t="s">
        <v>1822</v>
      </c>
      <c r="B981" s="2">
        <v>19.0</v>
      </c>
      <c r="C981" s="2" t="s">
        <v>5</v>
      </c>
      <c r="D981" s="2" t="s">
        <v>1823</v>
      </c>
      <c r="E981" s="2">
        <v>2.0</v>
      </c>
      <c r="F981" s="2" t="s">
        <v>4</v>
      </c>
      <c r="G981" s="5">
        <v>2663381.0</v>
      </c>
      <c r="H981" s="2" t="s">
        <v>1575</v>
      </c>
      <c r="I981" s="2" t="s">
        <v>1578</v>
      </c>
      <c r="J981" s="2">
        <v>10011.0</v>
      </c>
      <c r="K981" s="2" t="s">
        <v>1605</v>
      </c>
      <c r="L981" s="2"/>
      <c r="M981" s="2"/>
      <c r="N981" s="7">
        <v>1.0</v>
      </c>
      <c r="O981" s="12">
        <v>25238.0</v>
      </c>
      <c r="P981" s="11" t="s">
        <v>1649</v>
      </c>
      <c r="Q981" s="12">
        <v>25238.0</v>
      </c>
      <c r="R981" s="11" t="s">
        <v>1649</v>
      </c>
      <c r="S981" s="11" t="s">
        <v>1660</v>
      </c>
      <c r="T981" s="11" t="s">
        <v>1680</v>
      </c>
      <c r="U981" s="2" t="s">
        <v>1574</v>
      </c>
      <c r="V981" s="2" t="s">
        <v>1568</v>
      </c>
      <c r="W981" s="2" t="s">
        <v>1569</v>
      </c>
      <c r="X981" s="2" t="s">
        <v>1570</v>
      </c>
      <c r="AB981" s="2" t="s">
        <v>1571</v>
      </c>
    </row>
    <row r="982">
      <c r="A982" s="2" t="s">
        <v>1822</v>
      </c>
      <c r="B982" s="2">
        <v>19.0</v>
      </c>
      <c r="C982" s="2" t="s">
        <v>5</v>
      </c>
      <c r="D982" s="2" t="s">
        <v>1823</v>
      </c>
      <c r="E982" s="2">
        <v>2.0</v>
      </c>
      <c r="F982" s="2" t="s">
        <v>4</v>
      </c>
      <c r="G982" s="5">
        <v>2663381.0</v>
      </c>
      <c r="H982" s="2" t="s">
        <v>1575</v>
      </c>
      <c r="I982" s="2" t="s">
        <v>1578</v>
      </c>
      <c r="J982" s="2">
        <v>10014.0</v>
      </c>
      <c r="K982" s="2" t="s">
        <v>1609</v>
      </c>
      <c r="L982" s="2"/>
      <c r="M982" s="2"/>
      <c r="N982" s="7">
        <v>1.0</v>
      </c>
      <c r="O982" s="12">
        <v>25238.0</v>
      </c>
      <c r="P982" s="11" t="s">
        <v>1649</v>
      </c>
      <c r="Q982" s="12">
        <v>25238.0</v>
      </c>
      <c r="R982" s="11" t="s">
        <v>1649</v>
      </c>
      <c r="S982" s="11" t="s">
        <v>1660</v>
      </c>
      <c r="T982" s="11" t="s">
        <v>1680</v>
      </c>
      <c r="U982" s="2" t="s">
        <v>1574</v>
      </c>
      <c r="V982" s="2" t="s">
        <v>1568</v>
      </c>
      <c r="W982" s="2" t="s">
        <v>1569</v>
      </c>
      <c r="X982" s="2" t="s">
        <v>1570</v>
      </c>
      <c r="AB982" s="2" t="s">
        <v>1571</v>
      </c>
    </row>
    <row r="983">
      <c r="A983" s="2" t="s">
        <v>1822</v>
      </c>
      <c r="B983" s="2">
        <v>19.0</v>
      </c>
      <c r="C983" s="2" t="s">
        <v>5</v>
      </c>
      <c r="D983" s="2" t="s">
        <v>1823</v>
      </c>
      <c r="E983" s="2">
        <v>2.0</v>
      </c>
      <c r="F983" s="2" t="s">
        <v>4</v>
      </c>
      <c r="G983" s="5">
        <v>2663381.0</v>
      </c>
      <c r="H983" s="2" t="s">
        <v>1575</v>
      </c>
      <c r="I983" s="2" t="s">
        <v>1578</v>
      </c>
      <c r="J983" s="2">
        <v>10009.0</v>
      </c>
      <c r="K983" s="2" t="s">
        <v>1586</v>
      </c>
      <c r="L983" s="2"/>
      <c r="M983" s="2"/>
      <c r="N983" s="7">
        <v>1.0</v>
      </c>
      <c r="O983" s="12">
        <v>26667.0</v>
      </c>
      <c r="P983" s="11" t="s">
        <v>1649</v>
      </c>
      <c r="Q983" s="12">
        <v>26667.0</v>
      </c>
      <c r="R983" s="11" t="s">
        <v>1649</v>
      </c>
      <c r="S983" s="11" t="s">
        <v>1674</v>
      </c>
      <c r="T983" s="11" t="s">
        <v>1679</v>
      </c>
      <c r="U983" s="2" t="s">
        <v>1574</v>
      </c>
      <c r="V983" s="2" t="s">
        <v>1568</v>
      </c>
      <c r="W983" s="2" t="s">
        <v>1569</v>
      </c>
      <c r="X983" s="2" t="s">
        <v>1570</v>
      </c>
      <c r="AB983" s="2" t="s">
        <v>1571</v>
      </c>
    </row>
    <row r="984">
      <c r="A984" s="2" t="s">
        <v>1822</v>
      </c>
      <c r="B984" s="2">
        <v>17.0</v>
      </c>
      <c r="C984" s="2" t="s">
        <v>5</v>
      </c>
      <c r="D984" s="2" t="s">
        <v>1823</v>
      </c>
      <c r="E984" s="2">
        <v>2.0</v>
      </c>
      <c r="F984" s="2" t="s">
        <v>4</v>
      </c>
      <c r="G984" s="5">
        <v>2663016.0</v>
      </c>
      <c r="H984" s="2" t="s">
        <v>1575</v>
      </c>
      <c r="I984" s="2" t="s">
        <v>1578</v>
      </c>
      <c r="J984" s="2">
        <v>10004.0</v>
      </c>
      <c r="K984" s="2" t="s">
        <v>1607</v>
      </c>
      <c r="L984" s="2"/>
      <c r="M984" s="2"/>
      <c r="N984" s="7">
        <v>1.0</v>
      </c>
      <c r="O984" s="12">
        <v>25238.0</v>
      </c>
      <c r="P984" s="11" t="s">
        <v>1649</v>
      </c>
      <c r="Q984" s="12">
        <v>25238.0</v>
      </c>
      <c r="R984" s="11" t="s">
        <v>1649</v>
      </c>
      <c r="S984" s="11" t="s">
        <v>1660</v>
      </c>
      <c r="T984" s="11" t="s">
        <v>1680</v>
      </c>
      <c r="U984" s="2" t="s">
        <v>1574</v>
      </c>
      <c r="V984" s="2" t="s">
        <v>1568</v>
      </c>
      <c r="W984" s="2" t="s">
        <v>1569</v>
      </c>
      <c r="X984" s="2" t="s">
        <v>1570</v>
      </c>
      <c r="AB984" s="2" t="s">
        <v>1571</v>
      </c>
    </row>
    <row r="985">
      <c r="A985" s="2" t="s">
        <v>1822</v>
      </c>
      <c r="B985" s="2">
        <v>17.0</v>
      </c>
      <c r="C985" s="2" t="s">
        <v>5</v>
      </c>
      <c r="D985" s="2" t="s">
        <v>1823</v>
      </c>
      <c r="E985" s="2">
        <v>2.0</v>
      </c>
      <c r="F985" s="2" t="s">
        <v>4</v>
      </c>
      <c r="G985" s="5">
        <v>2663016.0</v>
      </c>
      <c r="H985" s="2" t="s">
        <v>1575</v>
      </c>
      <c r="I985" s="2" t="s">
        <v>1572</v>
      </c>
      <c r="J985" s="2">
        <v>10122.0</v>
      </c>
      <c r="K985" s="2" t="s">
        <v>1577</v>
      </c>
      <c r="L985" s="2"/>
      <c r="M985" s="2"/>
      <c r="N985" s="7">
        <v>2.0</v>
      </c>
      <c r="O985" s="12">
        <v>43810.0</v>
      </c>
      <c r="P985" s="11" t="s">
        <v>1649</v>
      </c>
      <c r="Q985" s="12">
        <v>43810.0</v>
      </c>
      <c r="R985" s="11" t="s">
        <v>1649</v>
      </c>
      <c r="S985" s="11" t="s">
        <v>1658</v>
      </c>
      <c r="T985" s="11" t="s">
        <v>1800</v>
      </c>
      <c r="U985" s="2" t="s">
        <v>1574</v>
      </c>
      <c r="V985" s="2" t="s">
        <v>1568</v>
      </c>
      <c r="W985" s="2" t="s">
        <v>1569</v>
      </c>
      <c r="X985" s="2" t="s">
        <v>1570</v>
      </c>
      <c r="AB985" s="2" t="s">
        <v>1571</v>
      </c>
    </row>
    <row r="986">
      <c r="A986" s="2" t="s">
        <v>1822</v>
      </c>
      <c r="B986" s="2">
        <v>17.0</v>
      </c>
      <c r="C986" s="2" t="s">
        <v>5</v>
      </c>
      <c r="D986" s="2" t="s">
        <v>1823</v>
      </c>
      <c r="E986" s="2">
        <v>2.0</v>
      </c>
      <c r="F986" s="2" t="s">
        <v>4</v>
      </c>
      <c r="G986" s="5">
        <v>2663016.0</v>
      </c>
      <c r="H986" s="2" t="s">
        <v>1575</v>
      </c>
      <c r="I986" s="2" t="s">
        <v>1578</v>
      </c>
      <c r="J986" s="2">
        <v>10015.0</v>
      </c>
      <c r="K986" s="2" t="s">
        <v>1587</v>
      </c>
      <c r="L986" s="2"/>
      <c r="M986" s="2"/>
      <c r="N986" s="7">
        <v>1.0</v>
      </c>
      <c r="O986" s="12">
        <v>25238.0</v>
      </c>
      <c r="P986" s="11" t="s">
        <v>1649</v>
      </c>
      <c r="Q986" s="12">
        <v>25238.0</v>
      </c>
      <c r="R986" s="11" t="s">
        <v>1649</v>
      </c>
      <c r="S986" s="11" t="s">
        <v>1660</v>
      </c>
      <c r="T986" s="11" t="s">
        <v>1680</v>
      </c>
      <c r="U986" s="2" t="s">
        <v>1574</v>
      </c>
      <c r="V986" s="2" t="s">
        <v>1568</v>
      </c>
      <c r="W986" s="2" t="s">
        <v>1569</v>
      </c>
      <c r="X986" s="2" t="s">
        <v>1570</v>
      </c>
      <c r="AB986" s="2" t="s">
        <v>1571</v>
      </c>
    </row>
    <row r="987">
      <c r="A987" s="2" t="s">
        <v>1822</v>
      </c>
      <c r="B987" s="2">
        <v>17.0</v>
      </c>
      <c r="C987" s="2" t="s">
        <v>5</v>
      </c>
      <c r="D987" s="2" t="s">
        <v>1823</v>
      </c>
      <c r="E987" s="2">
        <v>2.0</v>
      </c>
      <c r="F987" s="2" t="s">
        <v>4</v>
      </c>
      <c r="G987" s="5">
        <v>2663016.0</v>
      </c>
      <c r="H987" s="2" t="s">
        <v>1575</v>
      </c>
      <c r="I987" s="2" t="s">
        <v>1572</v>
      </c>
      <c r="J987" s="2">
        <v>10107.0</v>
      </c>
      <c r="K987" s="2" t="s">
        <v>1584</v>
      </c>
      <c r="L987" s="2"/>
      <c r="M987" s="2"/>
      <c r="N987" s="7">
        <v>1.0</v>
      </c>
      <c r="O987" s="12">
        <v>26667.0</v>
      </c>
      <c r="P987" s="11" t="s">
        <v>1649</v>
      </c>
      <c r="Q987" s="12">
        <v>26667.0</v>
      </c>
      <c r="R987" s="11" t="s">
        <v>1649</v>
      </c>
      <c r="S987" s="11" t="s">
        <v>1674</v>
      </c>
      <c r="T987" s="11" t="s">
        <v>1675</v>
      </c>
      <c r="U987" s="2" t="s">
        <v>1574</v>
      </c>
      <c r="V987" s="2" t="s">
        <v>1568</v>
      </c>
      <c r="W987" s="2" t="s">
        <v>1569</v>
      </c>
      <c r="X987" s="2" t="s">
        <v>1570</v>
      </c>
      <c r="AB987" s="2" t="s">
        <v>1571</v>
      </c>
    </row>
    <row r="988">
      <c r="A988" s="2" t="s">
        <v>1822</v>
      </c>
      <c r="B988" s="2">
        <v>17.0</v>
      </c>
      <c r="C988" s="2" t="s">
        <v>5</v>
      </c>
      <c r="D988" s="2" t="s">
        <v>1823</v>
      </c>
      <c r="E988" s="2">
        <v>2.0</v>
      </c>
      <c r="F988" s="2" t="s">
        <v>4</v>
      </c>
      <c r="G988" s="5">
        <v>2662651.0</v>
      </c>
      <c r="H988" s="2" t="s">
        <v>1575</v>
      </c>
      <c r="I988" s="2" t="s">
        <v>1572</v>
      </c>
      <c r="J988" s="2">
        <v>10122.0</v>
      </c>
      <c r="K988" s="2" t="s">
        <v>1577</v>
      </c>
      <c r="L988" s="2"/>
      <c r="M988" s="2"/>
      <c r="N988" s="7">
        <v>1.0</v>
      </c>
      <c r="O988" s="12">
        <v>21905.0</v>
      </c>
      <c r="P988" s="11" t="s">
        <v>1649</v>
      </c>
      <c r="Q988" s="12">
        <v>21905.0</v>
      </c>
      <c r="R988" s="11" t="s">
        <v>1649</v>
      </c>
      <c r="S988" s="11" t="s">
        <v>1666</v>
      </c>
      <c r="T988" s="11" t="s">
        <v>1667</v>
      </c>
      <c r="U988" s="2" t="s">
        <v>1574</v>
      </c>
      <c r="V988" s="2" t="s">
        <v>1568</v>
      </c>
      <c r="W988" s="2" t="s">
        <v>1569</v>
      </c>
      <c r="X988" s="2" t="s">
        <v>1570</v>
      </c>
      <c r="AB988" s="2" t="s">
        <v>1571</v>
      </c>
    </row>
    <row r="989">
      <c r="A989" s="2" t="s">
        <v>1822</v>
      </c>
      <c r="B989" s="2">
        <v>17.0</v>
      </c>
      <c r="C989" s="2" t="s">
        <v>5</v>
      </c>
      <c r="D989" s="2" t="s">
        <v>1823</v>
      </c>
      <c r="E989" s="2">
        <v>2.0</v>
      </c>
      <c r="F989" s="2" t="s">
        <v>4</v>
      </c>
      <c r="G989" s="5">
        <v>2662651.0</v>
      </c>
      <c r="H989" s="2" t="s">
        <v>1575</v>
      </c>
      <c r="I989" s="2" t="s">
        <v>1578</v>
      </c>
      <c r="J989" s="2">
        <v>10011.0</v>
      </c>
      <c r="K989" s="2" t="s">
        <v>1605</v>
      </c>
      <c r="L989" s="2"/>
      <c r="M989" s="2"/>
      <c r="N989" s="7">
        <v>1.0</v>
      </c>
      <c r="O989" s="12">
        <v>25238.0</v>
      </c>
      <c r="P989" s="11" t="s">
        <v>1649</v>
      </c>
      <c r="Q989" s="12">
        <v>25238.0</v>
      </c>
      <c r="R989" s="11" t="s">
        <v>1649</v>
      </c>
      <c r="S989" s="11" t="s">
        <v>1660</v>
      </c>
      <c r="T989" s="11" t="s">
        <v>1680</v>
      </c>
      <c r="U989" s="2" t="s">
        <v>1574</v>
      </c>
      <c r="V989" s="2" t="s">
        <v>1568</v>
      </c>
      <c r="W989" s="2" t="s">
        <v>1569</v>
      </c>
      <c r="X989" s="2" t="s">
        <v>1570</v>
      </c>
      <c r="AB989" s="2" t="s">
        <v>1571</v>
      </c>
    </row>
    <row r="990">
      <c r="A990" s="2" t="s">
        <v>1822</v>
      </c>
      <c r="B990" s="2">
        <v>17.0</v>
      </c>
      <c r="C990" s="2" t="s">
        <v>5</v>
      </c>
      <c r="D990" s="2" t="s">
        <v>1823</v>
      </c>
      <c r="E990" s="2">
        <v>2.0</v>
      </c>
      <c r="F990" s="2" t="s">
        <v>4</v>
      </c>
      <c r="G990" s="5">
        <v>2662286.0</v>
      </c>
      <c r="H990" s="2" t="s">
        <v>1575</v>
      </c>
      <c r="I990" s="2" t="s">
        <v>1572</v>
      </c>
      <c r="J990" s="2">
        <v>10106.0</v>
      </c>
      <c r="K990" s="2" t="s">
        <v>1598</v>
      </c>
      <c r="L990" s="2"/>
      <c r="M990" s="2"/>
      <c r="N990" s="7">
        <v>1.0</v>
      </c>
      <c r="O990" s="12">
        <v>26667.0</v>
      </c>
      <c r="P990" s="11" t="s">
        <v>1649</v>
      </c>
      <c r="Q990" s="12">
        <v>26667.0</v>
      </c>
      <c r="R990" s="11" t="s">
        <v>1649</v>
      </c>
      <c r="S990" s="11" t="s">
        <v>1674</v>
      </c>
      <c r="T990" s="11" t="s">
        <v>1679</v>
      </c>
      <c r="U990" s="2" t="s">
        <v>1574</v>
      </c>
      <c r="V990" s="2" t="s">
        <v>1568</v>
      </c>
      <c r="W990" s="2" t="s">
        <v>1569</v>
      </c>
      <c r="X990" s="2" t="s">
        <v>1570</v>
      </c>
      <c r="AB990" s="2" t="s">
        <v>1571</v>
      </c>
    </row>
    <row r="991">
      <c r="A991" s="2" t="s">
        <v>1822</v>
      </c>
      <c r="B991" s="2">
        <v>16.0</v>
      </c>
      <c r="C991" s="2" t="s">
        <v>5</v>
      </c>
      <c r="D991" s="2" t="s">
        <v>1823</v>
      </c>
      <c r="E991" s="2">
        <v>2.0</v>
      </c>
      <c r="F991" s="2" t="s">
        <v>4</v>
      </c>
      <c r="G991" s="5">
        <v>2661920.0</v>
      </c>
      <c r="H991" s="2" t="s">
        <v>1575</v>
      </c>
      <c r="I991" s="2" t="s">
        <v>1565</v>
      </c>
      <c r="J991" s="2">
        <v>10000.0</v>
      </c>
      <c r="K991" s="2" t="s">
        <v>1566</v>
      </c>
      <c r="L991" s="2"/>
      <c r="M991" s="2"/>
      <c r="N991" s="7">
        <v>1.0</v>
      </c>
      <c r="O991" s="12">
        <v>29524.0</v>
      </c>
      <c r="P991" s="11" t="s">
        <v>1649</v>
      </c>
      <c r="Q991" s="12">
        <v>29524.0</v>
      </c>
      <c r="R991" s="11" t="s">
        <v>1649</v>
      </c>
      <c r="S991" s="11" t="s">
        <v>1683</v>
      </c>
      <c r="T991" s="11" t="s">
        <v>1684</v>
      </c>
      <c r="U991" s="2" t="s">
        <v>1574</v>
      </c>
      <c r="V991" s="2" t="s">
        <v>1568</v>
      </c>
      <c r="W991" s="2" t="s">
        <v>1569</v>
      </c>
      <c r="X991" s="2" t="s">
        <v>1570</v>
      </c>
      <c r="AB991" s="2" t="s">
        <v>1571</v>
      </c>
    </row>
    <row r="992">
      <c r="A992" s="2" t="s">
        <v>1822</v>
      </c>
      <c r="B992" s="2">
        <v>16.0</v>
      </c>
      <c r="C992" s="2" t="s">
        <v>5</v>
      </c>
      <c r="D992" s="2" t="s">
        <v>1823</v>
      </c>
      <c r="E992" s="2">
        <v>2.0</v>
      </c>
      <c r="F992" s="2" t="s">
        <v>4</v>
      </c>
      <c r="G992" s="5">
        <v>2661920.0</v>
      </c>
      <c r="H992" s="2" t="s">
        <v>1575</v>
      </c>
      <c r="I992" s="2" t="s">
        <v>1572</v>
      </c>
      <c r="J992" s="2">
        <v>10106.0</v>
      </c>
      <c r="K992" s="2" t="s">
        <v>1598</v>
      </c>
      <c r="L992" s="2"/>
      <c r="M992" s="2"/>
      <c r="N992" s="7">
        <v>2.0</v>
      </c>
      <c r="O992" s="12">
        <v>53334.0</v>
      </c>
      <c r="P992" s="11" t="s">
        <v>1649</v>
      </c>
      <c r="Q992" s="12">
        <v>53334.0</v>
      </c>
      <c r="R992" s="11" t="s">
        <v>1649</v>
      </c>
      <c r="S992" s="11" t="s">
        <v>1783</v>
      </c>
      <c r="T992" s="11" t="s">
        <v>1784</v>
      </c>
      <c r="U992" s="2" t="s">
        <v>1574</v>
      </c>
      <c r="V992" s="2" t="s">
        <v>1568</v>
      </c>
      <c r="W992" s="2" t="s">
        <v>1569</v>
      </c>
      <c r="X992" s="2" t="s">
        <v>1570</v>
      </c>
      <c r="AB992" s="2" t="s">
        <v>1571</v>
      </c>
    </row>
    <row r="993">
      <c r="A993" s="2" t="s">
        <v>1822</v>
      </c>
      <c r="B993" s="2">
        <v>16.0</v>
      </c>
      <c r="C993" s="2" t="s">
        <v>5</v>
      </c>
      <c r="D993" s="2" t="s">
        <v>1823</v>
      </c>
      <c r="E993" s="2">
        <v>2.0</v>
      </c>
      <c r="F993" s="2" t="s">
        <v>4</v>
      </c>
      <c r="G993" s="5">
        <v>2661920.0</v>
      </c>
      <c r="H993" s="2" t="s">
        <v>1575</v>
      </c>
      <c r="I993" s="2" t="s">
        <v>1578</v>
      </c>
      <c r="J993" s="2">
        <v>10015.0</v>
      </c>
      <c r="K993" s="2" t="s">
        <v>1587</v>
      </c>
      <c r="L993" s="2"/>
      <c r="M993" s="2"/>
      <c r="N993" s="7">
        <v>1.0</v>
      </c>
      <c r="O993" s="12">
        <v>25238.0</v>
      </c>
      <c r="P993" s="11" t="s">
        <v>1649</v>
      </c>
      <c r="Q993" s="12">
        <v>25238.0</v>
      </c>
      <c r="R993" s="11" t="s">
        <v>1649</v>
      </c>
      <c r="S993" s="11" t="s">
        <v>1660</v>
      </c>
      <c r="T993" s="11" t="s">
        <v>1680</v>
      </c>
      <c r="U993" s="2" t="s">
        <v>1574</v>
      </c>
      <c r="V993" s="2" t="s">
        <v>1568</v>
      </c>
      <c r="W993" s="2" t="s">
        <v>1569</v>
      </c>
      <c r="X993" s="2" t="s">
        <v>1570</v>
      </c>
      <c r="AB993" s="2" t="s">
        <v>1571</v>
      </c>
    </row>
    <row r="994">
      <c r="A994" s="2" t="s">
        <v>1822</v>
      </c>
      <c r="B994" s="2">
        <v>14.0</v>
      </c>
      <c r="C994" s="2" t="s">
        <v>5</v>
      </c>
      <c r="D994" s="2" t="s">
        <v>1823</v>
      </c>
      <c r="E994" s="2">
        <v>2.0</v>
      </c>
      <c r="F994" s="2" t="s">
        <v>4</v>
      </c>
      <c r="G994" s="5">
        <v>2661555.0</v>
      </c>
      <c r="H994" s="2" t="s">
        <v>1575</v>
      </c>
      <c r="I994" s="2" t="s">
        <v>1565</v>
      </c>
      <c r="J994" s="2">
        <v>10007.0</v>
      </c>
      <c r="K994" s="2" t="s">
        <v>1576</v>
      </c>
      <c r="L994" s="2"/>
      <c r="M994" s="2"/>
      <c r="N994" s="7">
        <v>2.0</v>
      </c>
      <c r="O994" s="12">
        <v>33810.0</v>
      </c>
      <c r="P994" s="11" t="s">
        <v>1649</v>
      </c>
      <c r="Q994" s="12">
        <v>33810.0</v>
      </c>
      <c r="R994" s="11" t="s">
        <v>1649</v>
      </c>
      <c r="S994" s="11" t="s">
        <v>1701</v>
      </c>
      <c r="T994" s="11" t="s">
        <v>1703</v>
      </c>
      <c r="U994" s="2" t="s">
        <v>1574</v>
      </c>
      <c r="V994" s="2" t="s">
        <v>1568</v>
      </c>
      <c r="W994" s="2" t="s">
        <v>1569</v>
      </c>
      <c r="X994" s="2" t="s">
        <v>1570</v>
      </c>
      <c r="AB994" s="2" t="s">
        <v>1571</v>
      </c>
    </row>
    <row r="995">
      <c r="A995" s="2" t="s">
        <v>1822</v>
      </c>
      <c r="B995" s="2">
        <v>14.0</v>
      </c>
      <c r="C995" s="2" t="s">
        <v>5</v>
      </c>
      <c r="D995" s="2" t="s">
        <v>1823</v>
      </c>
      <c r="E995" s="2">
        <v>2.0</v>
      </c>
      <c r="F995" s="2" t="s">
        <v>4</v>
      </c>
      <c r="G995" s="5">
        <v>2661555.0</v>
      </c>
      <c r="H995" s="2" t="s">
        <v>1575</v>
      </c>
      <c r="I995" s="2" t="s">
        <v>1572</v>
      </c>
      <c r="J995" s="2">
        <v>10125.0</v>
      </c>
      <c r="K995" s="2" t="s">
        <v>1601</v>
      </c>
      <c r="L995" s="2"/>
      <c r="M995" s="2"/>
      <c r="N995" s="7">
        <v>1.0</v>
      </c>
      <c r="O995" s="12">
        <v>20476.0</v>
      </c>
      <c r="P995" s="11" t="s">
        <v>1649</v>
      </c>
      <c r="Q995" s="12">
        <v>20476.0</v>
      </c>
      <c r="R995" s="11" t="s">
        <v>1649</v>
      </c>
      <c r="S995" s="11" t="s">
        <v>1716</v>
      </c>
      <c r="T995" s="11" t="s">
        <v>1722</v>
      </c>
      <c r="U995" s="2" t="s">
        <v>1574</v>
      </c>
      <c r="V995" s="2" t="s">
        <v>1568</v>
      </c>
      <c r="W995" s="2" t="s">
        <v>1569</v>
      </c>
      <c r="X995" s="2" t="s">
        <v>1570</v>
      </c>
      <c r="AB995" s="2" t="s">
        <v>1571</v>
      </c>
    </row>
    <row r="996">
      <c r="A996" s="2" t="s">
        <v>1822</v>
      </c>
      <c r="B996" s="2">
        <v>14.0</v>
      </c>
      <c r="C996" s="2" t="s">
        <v>5</v>
      </c>
      <c r="D996" s="2" t="s">
        <v>1823</v>
      </c>
      <c r="E996" s="2">
        <v>2.0</v>
      </c>
      <c r="F996" s="2" t="s">
        <v>4</v>
      </c>
      <c r="G996" s="5">
        <v>2661555.0</v>
      </c>
      <c r="H996" s="2" t="s">
        <v>1575</v>
      </c>
      <c r="I996" s="2" t="s">
        <v>1572</v>
      </c>
      <c r="J996" s="2">
        <v>10063.0</v>
      </c>
      <c r="K996" s="2" t="s">
        <v>1594</v>
      </c>
      <c r="L996" s="2"/>
      <c r="M996" s="2"/>
      <c r="N996" s="7">
        <v>2.0</v>
      </c>
      <c r="O996" s="12">
        <v>49524.0</v>
      </c>
      <c r="P996" s="11" t="s">
        <v>1649</v>
      </c>
      <c r="Q996" s="12">
        <v>49524.0</v>
      </c>
      <c r="R996" s="11" t="s">
        <v>1649</v>
      </c>
      <c r="S996" s="11" t="s">
        <v>1824</v>
      </c>
      <c r="T996" s="11" t="s">
        <v>1825</v>
      </c>
      <c r="U996" s="2" t="s">
        <v>1574</v>
      </c>
      <c r="V996" s="2" t="s">
        <v>1568</v>
      </c>
      <c r="W996" s="2" t="s">
        <v>1569</v>
      </c>
      <c r="X996" s="2" t="s">
        <v>1570</v>
      </c>
      <c r="AB996" s="2" t="s">
        <v>1571</v>
      </c>
    </row>
    <row r="997">
      <c r="A997" s="2" t="s">
        <v>1822</v>
      </c>
      <c r="B997" s="2">
        <v>14.0</v>
      </c>
      <c r="C997" s="2" t="s">
        <v>5</v>
      </c>
      <c r="D997" s="2" t="s">
        <v>1823</v>
      </c>
      <c r="E997" s="2">
        <v>2.0</v>
      </c>
      <c r="F997" s="2" t="s">
        <v>4</v>
      </c>
      <c r="G997" s="5">
        <v>2661555.0</v>
      </c>
      <c r="H997" s="2" t="s">
        <v>1575</v>
      </c>
      <c r="I997" s="2" t="s">
        <v>1572</v>
      </c>
      <c r="J997" s="2">
        <v>10119.0</v>
      </c>
      <c r="K997" s="2" t="s">
        <v>1582</v>
      </c>
      <c r="L997" s="2"/>
      <c r="M997" s="2"/>
      <c r="N997" s="7">
        <v>1.0</v>
      </c>
      <c r="O997" s="12">
        <v>7143.0</v>
      </c>
      <c r="P997" s="11" t="s">
        <v>1649</v>
      </c>
      <c r="Q997" s="12">
        <v>7143.0</v>
      </c>
      <c r="R997" s="11" t="s">
        <v>1649</v>
      </c>
      <c r="S997" s="11" t="s">
        <v>1672</v>
      </c>
      <c r="T997" s="11" t="s">
        <v>1673</v>
      </c>
      <c r="U997" s="2" t="s">
        <v>1574</v>
      </c>
      <c r="V997" s="2" t="s">
        <v>1568</v>
      </c>
      <c r="W997" s="2" t="s">
        <v>1569</v>
      </c>
      <c r="X997" s="2" t="s">
        <v>1570</v>
      </c>
      <c r="AB997" s="2" t="s">
        <v>1571</v>
      </c>
    </row>
    <row r="998">
      <c r="A998" s="2" t="s">
        <v>1822</v>
      </c>
      <c r="B998" s="2">
        <v>14.0</v>
      </c>
      <c r="C998" s="2" t="s">
        <v>5</v>
      </c>
      <c r="D998" s="2" t="s">
        <v>1823</v>
      </c>
      <c r="E998" s="2">
        <v>2.0</v>
      </c>
      <c r="F998" s="2" t="s">
        <v>4</v>
      </c>
      <c r="G998" s="5">
        <v>2661555.0</v>
      </c>
      <c r="H998" s="2" t="s">
        <v>1575</v>
      </c>
      <c r="I998" s="2" t="s">
        <v>1572</v>
      </c>
      <c r="J998" s="2">
        <v>10067.0</v>
      </c>
      <c r="K998" s="2" t="s">
        <v>1621</v>
      </c>
      <c r="L998" s="2"/>
      <c r="M998" s="2"/>
      <c r="N998" s="7">
        <v>1.0</v>
      </c>
      <c r="O998" s="12">
        <v>24762.0</v>
      </c>
      <c r="P998" s="11" t="s">
        <v>1649</v>
      </c>
      <c r="Q998" s="12">
        <v>24762.0</v>
      </c>
      <c r="R998" s="11" t="s">
        <v>1649</v>
      </c>
      <c r="S998" s="11" t="s">
        <v>1689</v>
      </c>
      <c r="T998" s="11" t="s">
        <v>1693</v>
      </c>
      <c r="U998" s="2" t="s">
        <v>1574</v>
      </c>
      <c r="V998" s="2" t="s">
        <v>1568</v>
      </c>
      <c r="W998" s="2" t="s">
        <v>1569</v>
      </c>
      <c r="X998" s="2" t="s">
        <v>1570</v>
      </c>
      <c r="AB998" s="2" t="s">
        <v>1571</v>
      </c>
    </row>
    <row r="999">
      <c r="A999" s="2" t="s">
        <v>1822</v>
      </c>
      <c r="B999" s="2">
        <v>14.0</v>
      </c>
      <c r="C999" s="2" t="s">
        <v>5</v>
      </c>
      <c r="D999" s="2" t="s">
        <v>1823</v>
      </c>
      <c r="E999" s="2">
        <v>2.0</v>
      </c>
      <c r="F999" s="2" t="s">
        <v>4</v>
      </c>
      <c r="G999" s="5">
        <v>2661555.0</v>
      </c>
      <c r="H999" s="2" t="s">
        <v>1575</v>
      </c>
      <c r="I999" s="2" t="s">
        <v>1578</v>
      </c>
      <c r="J999" s="2">
        <v>10009.0</v>
      </c>
      <c r="K999" s="2" t="s">
        <v>1586</v>
      </c>
      <c r="L999" s="2"/>
      <c r="M999" s="2"/>
      <c r="N999" s="7">
        <v>1.0</v>
      </c>
      <c r="O999" s="12">
        <v>26667.0</v>
      </c>
      <c r="P999" s="11" t="s">
        <v>1649</v>
      </c>
      <c r="Q999" s="12">
        <v>26667.0</v>
      </c>
      <c r="R999" s="11" t="s">
        <v>1649</v>
      </c>
      <c r="S999" s="11" t="s">
        <v>1674</v>
      </c>
      <c r="T999" s="11" t="s">
        <v>1679</v>
      </c>
      <c r="U999" s="2" t="s">
        <v>1574</v>
      </c>
      <c r="V999" s="2" t="s">
        <v>1568</v>
      </c>
      <c r="W999" s="2" t="s">
        <v>1569</v>
      </c>
      <c r="X999" s="2" t="s">
        <v>1570</v>
      </c>
      <c r="AB999" s="2" t="s">
        <v>1571</v>
      </c>
    </row>
    <row r="1000">
      <c r="A1000" s="2" t="s">
        <v>1822</v>
      </c>
      <c r="B1000" s="2">
        <v>14.0</v>
      </c>
      <c r="C1000" s="2" t="s">
        <v>5</v>
      </c>
      <c r="D1000" s="2" t="s">
        <v>1823</v>
      </c>
      <c r="E1000" s="2">
        <v>2.0</v>
      </c>
      <c r="F1000" s="2" t="s">
        <v>4</v>
      </c>
      <c r="G1000" s="5">
        <v>2661555.0</v>
      </c>
      <c r="H1000" s="2" t="s">
        <v>1575</v>
      </c>
      <c r="I1000" s="2" t="s">
        <v>1572</v>
      </c>
      <c r="J1000" s="2">
        <v>10107.0</v>
      </c>
      <c r="K1000" s="2" t="s">
        <v>1584</v>
      </c>
      <c r="L1000" s="2"/>
      <c r="M1000" s="2"/>
      <c r="N1000" s="7">
        <v>1.0</v>
      </c>
      <c r="O1000" s="12">
        <v>26667.0</v>
      </c>
      <c r="P1000" s="11" t="s">
        <v>1649</v>
      </c>
      <c r="Q1000" s="12">
        <v>26667.0</v>
      </c>
      <c r="R1000" s="11" t="s">
        <v>1649</v>
      </c>
      <c r="S1000" s="11" t="s">
        <v>1674</v>
      </c>
      <c r="T1000" s="11" t="s">
        <v>1679</v>
      </c>
      <c r="U1000" s="2" t="s">
        <v>1574</v>
      </c>
      <c r="V1000" s="2" t="s">
        <v>1568</v>
      </c>
      <c r="W1000" s="2" t="s">
        <v>1569</v>
      </c>
      <c r="X1000" s="2" t="s">
        <v>1570</v>
      </c>
      <c r="AB1000" s="2" t="s">
        <v>1571</v>
      </c>
    </row>
    <row r="1001">
      <c r="A1001" s="2" t="s">
        <v>1822</v>
      </c>
      <c r="B1001" s="2">
        <v>14.0</v>
      </c>
      <c r="C1001" s="2" t="s">
        <v>5</v>
      </c>
      <c r="D1001" s="2" t="s">
        <v>1823</v>
      </c>
      <c r="E1001" s="2">
        <v>2.0</v>
      </c>
      <c r="F1001" s="2" t="s">
        <v>4</v>
      </c>
      <c r="G1001" s="5">
        <v>2661555.0</v>
      </c>
      <c r="H1001" s="2" t="s">
        <v>1575</v>
      </c>
      <c r="I1001" s="2" t="s">
        <v>1578</v>
      </c>
      <c r="J1001" s="2">
        <v>10015.0</v>
      </c>
      <c r="K1001" s="2" t="s">
        <v>1587</v>
      </c>
      <c r="L1001" s="2"/>
      <c r="M1001" s="2"/>
      <c r="N1001" s="7">
        <v>1.0</v>
      </c>
      <c r="O1001" s="12">
        <v>25238.0</v>
      </c>
      <c r="P1001" s="11" t="s">
        <v>1649</v>
      </c>
      <c r="Q1001" s="12">
        <v>25238.0</v>
      </c>
      <c r="R1001" s="11" t="s">
        <v>1649</v>
      </c>
      <c r="S1001" s="11" t="s">
        <v>1660</v>
      </c>
      <c r="T1001" s="11" t="s">
        <v>1680</v>
      </c>
      <c r="U1001" s="2" t="s">
        <v>1574</v>
      </c>
      <c r="V1001" s="2" t="s">
        <v>1568</v>
      </c>
      <c r="W1001" s="2" t="s">
        <v>1569</v>
      </c>
      <c r="X1001" s="2" t="s">
        <v>1570</v>
      </c>
      <c r="AB1001" s="2" t="s">
        <v>1571</v>
      </c>
    </row>
    <row r="1002">
      <c r="A1002" s="2" t="s">
        <v>1822</v>
      </c>
      <c r="B1002" s="2">
        <v>14.0</v>
      </c>
      <c r="C1002" s="2" t="s">
        <v>5</v>
      </c>
      <c r="D1002" s="2" t="s">
        <v>1823</v>
      </c>
      <c r="E1002" s="2">
        <v>2.0</v>
      </c>
      <c r="F1002" s="2" t="s">
        <v>4</v>
      </c>
      <c r="G1002" s="5">
        <v>2661555.0</v>
      </c>
      <c r="H1002" s="2" t="s">
        <v>1575</v>
      </c>
      <c r="I1002" s="2" t="s">
        <v>1565</v>
      </c>
      <c r="J1002" s="2">
        <v>10000.0</v>
      </c>
      <c r="K1002" s="2" t="s">
        <v>1566</v>
      </c>
      <c r="L1002" s="2"/>
      <c r="M1002" s="2"/>
      <c r="N1002" s="7">
        <v>1.0</v>
      </c>
      <c r="O1002" s="12">
        <v>29524.0</v>
      </c>
      <c r="P1002" s="11" t="s">
        <v>1649</v>
      </c>
      <c r="Q1002" s="12">
        <v>29524.0</v>
      </c>
      <c r="R1002" s="11" t="s">
        <v>1649</v>
      </c>
      <c r="S1002" s="11" t="s">
        <v>1683</v>
      </c>
      <c r="T1002" s="11" t="s">
        <v>1745</v>
      </c>
      <c r="U1002" s="2" t="s">
        <v>1574</v>
      </c>
      <c r="V1002" s="2" t="s">
        <v>1568</v>
      </c>
      <c r="W1002" s="2" t="s">
        <v>1569</v>
      </c>
      <c r="X1002" s="2" t="s">
        <v>1570</v>
      </c>
      <c r="AB1002" s="2" t="s">
        <v>1571</v>
      </c>
    </row>
    <row r="1003">
      <c r="A1003" s="2" t="s">
        <v>1822</v>
      </c>
      <c r="B1003" s="2">
        <v>12.0</v>
      </c>
      <c r="C1003" s="2" t="s">
        <v>5</v>
      </c>
      <c r="D1003" s="2" t="s">
        <v>1823</v>
      </c>
      <c r="E1003" s="2">
        <v>2.0</v>
      </c>
      <c r="F1003" s="2" t="s">
        <v>4</v>
      </c>
      <c r="G1003" s="5">
        <v>2661190.0</v>
      </c>
      <c r="H1003" s="2" t="s">
        <v>1575</v>
      </c>
      <c r="I1003" s="2" t="s">
        <v>1578</v>
      </c>
      <c r="J1003" s="2">
        <v>10004.0</v>
      </c>
      <c r="K1003" s="2" t="s">
        <v>1607</v>
      </c>
      <c r="L1003" s="2"/>
      <c r="M1003" s="2"/>
      <c r="N1003" s="7">
        <v>1.0</v>
      </c>
      <c r="O1003" s="12">
        <v>25238.0</v>
      </c>
      <c r="P1003" s="11" t="s">
        <v>1649</v>
      </c>
      <c r="Q1003" s="12">
        <v>25238.0</v>
      </c>
      <c r="R1003" s="11" t="s">
        <v>1649</v>
      </c>
      <c r="S1003" s="11" t="s">
        <v>1660</v>
      </c>
      <c r="T1003" s="11" t="s">
        <v>1680</v>
      </c>
      <c r="U1003" s="2" t="s">
        <v>1574</v>
      </c>
      <c r="V1003" s="2" t="s">
        <v>1568</v>
      </c>
      <c r="W1003" s="2" t="s">
        <v>1569</v>
      </c>
      <c r="X1003" s="2" t="s">
        <v>1570</v>
      </c>
      <c r="AB1003" s="2" t="s">
        <v>1571</v>
      </c>
    </row>
    <row r="1004">
      <c r="A1004" s="2" t="s">
        <v>1822</v>
      </c>
      <c r="B1004" s="2">
        <v>12.0</v>
      </c>
      <c r="C1004" s="2" t="s">
        <v>5</v>
      </c>
      <c r="D1004" s="2" t="s">
        <v>1823</v>
      </c>
      <c r="E1004" s="2">
        <v>2.0</v>
      </c>
      <c r="F1004" s="2" t="s">
        <v>4</v>
      </c>
      <c r="G1004" s="5">
        <v>2661190.0</v>
      </c>
      <c r="H1004" s="2" t="s">
        <v>1575</v>
      </c>
      <c r="I1004" s="2" t="s">
        <v>1578</v>
      </c>
      <c r="J1004" s="2">
        <v>10014.0</v>
      </c>
      <c r="K1004" s="2" t="s">
        <v>1609</v>
      </c>
      <c r="L1004" s="2"/>
      <c r="M1004" s="2"/>
      <c r="N1004" s="7">
        <v>1.0</v>
      </c>
      <c r="O1004" s="12">
        <v>25238.0</v>
      </c>
      <c r="P1004" s="11" t="s">
        <v>1649</v>
      </c>
      <c r="Q1004" s="12">
        <v>25238.0</v>
      </c>
      <c r="R1004" s="11" t="s">
        <v>1649</v>
      </c>
      <c r="S1004" s="11" t="s">
        <v>1660</v>
      </c>
      <c r="T1004" s="11" t="s">
        <v>1680</v>
      </c>
      <c r="U1004" s="2" t="s">
        <v>1574</v>
      </c>
      <c r="V1004" s="2" t="s">
        <v>1568</v>
      </c>
      <c r="W1004" s="2" t="s">
        <v>1569</v>
      </c>
      <c r="X1004" s="2" t="s">
        <v>1570</v>
      </c>
      <c r="AB1004" s="2" t="s">
        <v>1571</v>
      </c>
    </row>
    <row r="1005">
      <c r="A1005" s="2" t="s">
        <v>1822</v>
      </c>
      <c r="B1005" s="2">
        <v>12.0</v>
      </c>
      <c r="C1005" s="2" t="s">
        <v>5</v>
      </c>
      <c r="D1005" s="2" t="s">
        <v>1823</v>
      </c>
      <c r="E1005" s="2">
        <v>2.0</v>
      </c>
      <c r="F1005" s="2" t="s">
        <v>4</v>
      </c>
      <c r="G1005" s="5">
        <v>2660825.0</v>
      </c>
      <c r="H1005" s="2" t="s">
        <v>1575</v>
      </c>
      <c r="I1005" s="2" t="s">
        <v>1565</v>
      </c>
      <c r="J1005" s="2">
        <v>10007.0</v>
      </c>
      <c r="K1005" s="2" t="s">
        <v>1576</v>
      </c>
      <c r="L1005" s="2"/>
      <c r="M1005" s="2"/>
      <c r="N1005" s="7">
        <v>2.0</v>
      </c>
      <c r="O1005" s="12">
        <v>33810.0</v>
      </c>
      <c r="P1005" s="11" t="s">
        <v>1649</v>
      </c>
      <c r="Q1005" s="12">
        <v>33810.0</v>
      </c>
      <c r="R1005" s="11" t="s">
        <v>1649</v>
      </c>
      <c r="S1005" s="11" t="s">
        <v>1701</v>
      </c>
      <c r="T1005" s="11" t="s">
        <v>1703</v>
      </c>
      <c r="U1005" s="2" t="s">
        <v>1567</v>
      </c>
      <c r="V1005" s="2" t="s">
        <v>1568</v>
      </c>
      <c r="W1005" s="2" t="s">
        <v>1569</v>
      </c>
      <c r="X1005" s="2" t="s">
        <v>1570</v>
      </c>
      <c r="AB1005" s="2" t="s">
        <v>1571</v>
      </c>
    </row>
    <row r="1006">
      <c r="A1006" s="2" t="s">
        <v>1822</v>
      </c>
      <c r="B1006" s="2">
        <v>9.0</v>
      </c>
      <c r="C1006" s="2" t="s">
        <v>5</v>
      </c>
      <c r="D1006" s="2" t="s">
        <v>1823</v>
      </c>
      <c r="E1006" s="2">
        <v>2.0</v>
      </c>
      <c r="F1006" s="2" t="s">
        <v>4</v>
      </c>
      <c r="G1006" s="5">
        <v>2660459.0</v>
      </c>
      <c r="H1006" s="2" t="s">
        <v>1575</v>
      </c>
      <c r="I1006" s="2" t="s">
        <v>1565</v>
      </c>
      <c r="J1006" s="2">
        <v>10007.0</v>
      </c>
      <c r="K1006" s="2" t="s">
        <v>1576</v>
      </c>
      <c r="L1006" s="2"/>
      <c r="M1006" s="2"/>
      <c r="N1006" s="7">
        <v>2.0</v>
      </c>
      <c r="O1006" s="12">
        <v>67620.0</v>
      </c>
      <c r="P1006" s="11" t="s">
        <v>1649</v>
      </c>
      <c r="Q1006" s="12">
        <v>67620.0</v>
      </c>
      <c r="R1006" s="11" t="s">
        <v>1649</v>
      </c>
      <c r="S1006" s="11" t="s">
        <v>1723</v>
      </c>
      <c r="T1006" s="11" t="s">
        <v>1724</v>
      </c>
      <c r="U1006" s="2" t="s">
        <v>1567</v>
      </c>
      <c r="V1006" s="2" t="s">
        <v>1568</v>
      </c>
      <c r="W1006" s="2" t="s">
        <v>1569</v>
      </c>
      <c r="X1006" s="2" t="s">
        <v>1570</v>
      </c>
      <c r="AB1006" s="2" t="s">
        <v>1571</v>
      </c>
    </row>
    <row r="1007">
      <c r="A1007" s="2" t="s">
        <v>1822</v>
      </c>
      <c r="B1007" s="2">
        <v>9.0</v>
      </c>
      <c r="C1007" s="2" t="s">
        <v>5</v>
      </c>
      <c r="D1007" s="2" t="s">
        <v>1823</v>
      </c>
      <c r="E1007" s="2">
        <v>2.0</v>
      </c>
      <c r="F1007" s="2" t="s">
        <v>4</v>
      </c>
      <c r="G1007" s="5">
        <v>2660459.0</v>
      </c>
      <c r="H1007" s="2" t="s">
        <v>1575</v>
      </c>
      <c r="I1007" s="2" t="s">
        <v>1565</v>
      </c>
      <c r="J1007" s="2">
        <v>10055.0</v>
      </c>
      <c r="K1007" s="2" t="s">
        <v>1595</v>
      </c>
      <c r="L1007" s="2"/>
      <c r="M1007" s="2"/>
      <c r="N1007" s="7">
        <v>2.0</v>
      </c>
      <c r="O1007" s="12">
        <v>34762.0</v>
      </c>
      <c r="P1007" s="11" t="s">
        <v>1649</v>
      </c>
      <c r="Q1007" s="12">
        <v>34762.0</v>
      </c>
      <c r="R1007" s="11" t="s">
        <v>1649</v>
      </c>
      <c r="S1007" s="11" t="s">
        <v>1670</v>
      </c>
      <c r="T1007" s="11" t="s">
        <v>1671</v>
      </c>
      <c r="U1007" s="2" t="s">
        <v>1567</v>
      </c>
      <c r="V1007" s="2" t="s">
        <v>1568</v>
      </c>
      <c r="W1007" s="2" t="s">
        <v>1569</v>
      </c>
      <c r="X1007" s="2" t="s">
        <v>1570</v>
      </c>
      <c r="AB1007" s="2" t="s">
        <v>1571</v>
      </c>
    </row>
    <row r="1008">
      <c r="A1008" s="2" t="s">
        <v>1822</v>
      </c>
      <c r="B1008" s="2">
        <v>9.0</v>
      </c>
      <c r="C1008" s="2" t="s">
        <v>5</v>
      </c>
      <c r="D1008" s="2" t="s">
        <v>1823</v>
      </c>
      <c r="E1008" s="2">
        <v>2.0</v>
      </c>
      <c r="F1008" s="2" t="s">
        <v>4</v>
      </c>
      <c r="G1008" s="5">
        <v>2660459.0</v>
      </c>
      <c r="H1008" s="2" t="s">
        <v>1575</v>
      </c>
      <c r="I1008" s="2" t="s">
        <v>1565</v>
      </c>
      <c r="J1008" s="2">
        <v>10005.0</v>
      </c>
      <c r="K1008" s="2" t="s">
        <v>1595</v>
      </c>
      <c r="L1008" s="2"/>
      <c r="M1008" s="2"/>
      <c r="N1008" s="7">
        <v>1.0</v>
      </c>
      <c r="O1008" s="12">
        <v>19524.0</v>
      </c>
      <c r="P1008" s="11" t="s">
        <v>1649</v>
      </c>
      <c r="Q1008" s="12">
        <v>19524.0</v>
      </c>
      <c r="R1008" s="11" t="s">
        <v>1649</v>
      </c>
      <c r="S1008" s="11" t="s">
        <v>1676</v>
      </c>
      <c r="T1008" s="11" t="s">
        <v>1677</v>
      </c>
      <c r="U1008" s="2" t="s">
        <v>1567</v>
      </c>
      <c r="V1008" s="2" t="s">
        <v>1568</v>
      </c>
      <c r="W1008" s="2" t="s">
        <v>1569</v>
      </c>
      <c r="X1008" s="2" t="s">
        <v>1570</v>
      </c>
      <c r="AB1008" s="2" t="s">
        <v>1571</v>
      </c>
    </row>
    <row r="1009">
      <c r="A1009" s="2" t="s">
        <v>1826</v>
      </c>
      <c r="B1009" s="2">
        <v>20.0</v>
      </c>
      <c r="C1009" s="2" t="s">
        <v>11</v>
      </c>
      <c r="D1009" s="2" t="s">
        <v>1827</v>
      </c>
      <c r="E1009" s="2">
        <v>7.0</v>
      </c>
      <c r="F1009" s="2" t="s">
        <v>10</v>
      </c>
      <c r="G1009" s="5">
        <v>2660094.0</v>
      </c>
      <c r="H1009" s="2" t="s">
        <v>1575</v>
      </c>
      <c r="I1009" s="2" t="s">
        <v>1572</v>
      </c>
      <c r="J1009" s="2">
        <v>10123.0</v>
      </c>
      <c r="K1009" s="2" t="s">
        <v>1599</v>
      </c>
      <c r="L1009" s="2"/>
      <c r="M1009" s="2"/>
      <c r="N1009" s="7">
        <v>1.0</v>
      </c>
      <c r="O1009" s="12">
        <v>21905.0</v>
      </c>
      <c r="P1009" s="11" t="s">
        <v>1649</v>
      </c>
      <c r="Q1009" s="12">
        <v>21905.0</v>
      </c>
      <c r="R1009" s="11" t="s">
        <v>1649</v>
      </c>
      <c r="S1009" s="11" t="s">
        <v>1666</v>
      </c>
      <c r="T1009" s="11" t="s">
        <v>1667</v>
      </c>
      <c r="U1009" s="2" t="s">
        <v>1574</v>
      </c>
      <c r="V1009" s="2" t="s">
        <v>1568</v>
      </c>
      <c r="W1009" s="2" t="s">
        <v>1569</v>
      </c>
      <c r="X1009" s="2" t="s">
        <v>1570</v>
      </c>
      <c r="AB1009" s="2" t="s">
        <v>1571</v>
      </c>
    </row>
    <row r="1010">
      <c r="A1010" s="2" t="s">
        <v>1826</v>
      </c>
      <c r="B1010" s="2">
        <v>20.0</v>
      </c>
      <c r="C1010" s="2" t="s">
        <v>11</v>
      </c>
      <c r="D1010" s="2" t="s">
        <v>1827</v>
      </c>
      <c r="E1010" s="2">
        <v>7.0</v>
      </c>
      <c r="F1010" s="2" t="s">
        <v>10</v>
      </c>
      <c r="G1010" s="5">
        <v>2660094.0</v>
      </c>
      <c r="H1010" s="2" t="s">
        <v>1575</v>
      </c>
      <c r="I1010" s="2" t="s">
        <v>1578</v>
      </c>
      <c r="J1010" s="2">
        <v>10010.0</v>
      </c>
      <c r="K1010" s="2" t="s">
        <v>1606</v>
      </c>
      <c r="L1010" s="2"/>
      <c r="M1010" s="2"/>
      <c r="N1010" s="7">
        <v>1.0</v>
      </c>
      <c r="O1010" s="12">
        <v>25238.0</v>
      </c>
      <c r="P1010" s="11" t="s">
        <v>1649</v>
      </c>
      <c r="Q1010" s="12">
        <v>25238.0</v>
      </c>
      <c r="R1010" s="11" t="s">
        <v>1649</v>
      </c>
      <c r="S1010" s="11" t="s">
        <v>1660</v>
      </c>
      <c r="T1010" s="11" t="s">
        <v>1680</v>
      </c>
      <c r="U1010" s="2" t="s">
        <v>1574</v>
      </c>
      <c r="V1010" s="2" t="s">
        <v>1568</v>
      </c>
      <c r="W1010" s="2" t="s">
        <v>1569</v>
      </c>
      <c r="X1010" s="2" t="s">
        <v>1570</v>
      </c>
      <c r="AB1010" s="2" t="s">
        <v>1571</v>
      </c>
    </row>
    <row r="1011">
      <c r="A1011" s="2" t="s">
        <v>1826</v>
      </c>
      <c r="B1011" s="2">
        <v>19.0</v>
      </c>
      <c r="C1011" s="2" t="s">
        <v>11</v>
      </c>
      <c r="D1011" s="2" t="s">
        <v>1827</v>
      </c>
      <c r="E1011" s="2">
        <v>7.0</v>
      </c>
      <c r="F1011" s="2" t="s">
        <v>10</v>
      </c>
      <c r="G1011" s="5">
        <v>2659729.0</v>
      </c>
      <c r="H1011" s="2" t="s">
        <v>1575</v>
      </c>
      <c r="I1011" s="2" t="s">
        <v>1572</v>
      </c>
      <c r="J1011" s="2">
        <v>10013.0</v>
      </c>
      <c r="K1011" s="2" t="s">
        <v>1591</v>
      </c>
      <c r="L1011" s="2"/>
      <c r="M1011" s="2"/>
      <c r="N1011" s="7">
        <v>1.0</v>
      </c>
      <c r="O1011" s="12">
        <v>23333.0</v>
      </c>
      <c r="P1011" s="11" t="s">
        <v>1649</v>
      </c>
      <c r="Q1011" s="12">
        <v>23333.0</v>
      </c>
      <c r="R1011" s="11" t="s">
        <v>1649</v>
      </c>
      <c r="S1011" s="11" t="s">
        <v>1681</v>
      </c>
      <c r="T1011" s="11" t="s">
        <v>1682</v>
      </c>
      <c r="U1011" s="2" t="s">
        <v>1574</v>
      </c>
      <c r="V1011" s="2" t="s">
        <v>1568</v>
      </c>
      <c r="W1011" s="2" t="s">
        <v>1569</v>
      </c>
      <c r="X1011" s="2" t="s">
        <v>1570</v>
      </c>
      <c r="AB1011" s="2" t="s">
        <v>1571</v>
      </c>
    </row>
    <row r="1012">
      <c r="A1012" s="2" t="s">
        <v>1826</v>
      </c>
      <c r="B1012" s="2">
        <v>19.0</v>
      </c>
      <c r="C1012" s="2" t="s">
        <v>11</v>
      </c>
      <c r="D1012" s="2" t="s">
        <v>1827</v>
      </c>
      <c r="E1012" s="2">
        <v>7.0</v>
      </c>
      <c r="F1012" s="2" t="s">
        <v>10</v>
      </c>
      <c r="G1012" s="5">
        <v>2659364.0</v>
      </c>
      <c r="H1012" s="2" t="s">
        <v>1575</v>
      </c>
      <c r="I1012" s="2" t="s">
        <v>1565</v>
      </c>
      <c r="J1012" s="2">
        <v>10000.0</v>
      </c>
      <c r="K1012" s="2" t="s">
        <v>1566</v>
      </c>
      <c r="L1012" s="2"/>
      <c r="M1012" s="2"/>
      <c r="N1012" s="7">
        <v>1.0</v>
      </c>
      <c r="O1012" s="12">
        <v>29524.0</v>
      </c>
      <c r="P1012" s="11" t="s">
        <v>1649</v>
      </c>
      <c r="Q1012" s="12">
        <v>29524.0</v>
      </c>
      <c r="R1012" s="11" t="s">
        <v>1649</v>
      </c>
      <c r="S1012" s="11" t="s">
        <v>1683</v>
      </c>
      <c r="T1012" s="11" t="s">
        <v>1684</v>
      </c>
      <c r="U1012" s="2" t="s">
        <v>1574</v>
      </c>
      <c r="V1012" s="2" t="s">
        <v>1568</v>
      </c>
      <c r="W1012" s="2" t="s">
        <v>1569</v>
      </c>
      <c r="X1012" s="2" t="s">
        <v>1570</v>
      </c>
      <c r="AB1012" s="2" t="s">
        <v>1571</v>
      </c>
    </row>
    <row r="1013">
      <c r="A1013" s="2" t="s">
        <v>1826</v>
      </c>
      <c r="B1013" s="2">
        <v>19.0</v>
      </c>
      <c r="C1013" s="2" t="s">
        <v>11</v>
      </c>
      <c r="D1013" s="2" t="s">
        <v>1827</v>
      </c>
      <c r="E1013" s="2">
        <v>7.0</v>
      </c>
      <c r="F1013" s="2" t="s">
        <v>10</v>
      </c>
      <c r="G1013" s="5">
        <v>2659364.0</v>
      </c>
      <c r="H1013" s="2" t="s">
        <v>1575</v>
      </c>
      <c r="I1013" s="2" t="s">
        <v>1565</v>
      </c>
      <c r="J1013" s="2">
        <v>10002.0</v>
      </c>
      <c r="K1013" s="2" t="s">
        <v>1576</v>
      </c>
      <c r="L1013" s="2"/>
      <c r="M1013" s="2"/>
      <c r="N1013" s="7">
        <v>1.0</v>
      </c>
      <c r="O1013" s="12">
        <v>18571.0</v>
      </c>
      <c r="P1013" s="11" t="s">
        <v>1649</v>
      </c>
      <c r="Q1013" s="12">
        <v>18571.0</v>
      </c>
      <c r="R1013" s="11" t="s">
        <v>1649</v>
      </c>
      <c r="S1013" s="11" t="s">
        <v>1656</v>
      </c>
      <c r="T1013" s="11" t="s">
        <v>1657</v>
      </c>
      <c r="U1013" s="2" t="s">
        <v>1574</v>
      </c>
      <c r="V1013" s="2" t="s">
        <v>1568</v>
      </c>
      <c r="W1013" s="2" t="s">
        <v>1569</v>
      </c>
      <c r="X1013" s="2" t="s">
        <v>1570</v>
      </c>
      <c r="AB1013" s="2" t="s">
        <v>1571</v>
      </c>
    </row>
    <row r="1014">
      <c r="A1014" s="2" t="s">
        <v>1826</v>
      </c>
      <c r="B1014" s="2">
        <v>18.0</v>
      </c>
      <c r="C1014" s="2" t="s">
        <v>11</v>
      </c>
      <c r="D1014" s="2" t="s">
        <v>1827</v>
      </c>
      <c r="E1014" s="2">
        <v>7.0</v>
      </c>
      <c r="F1014" s="2" t="s">
        <v>10</v>
      </c>
      <c r="G1014" s="5">
        <v>2658998.0</v>
      </c>
      <c r="H1014" s="2" t="s">
        <v>1575</v>
      </c>
      <c r="I1014" s="2" t="s">
        <v>1565</v>
      </c>
      <c r="J1014" s="2">
        <v>10000.0</v>
      </c>
      <c r="K1014" s="2" t="s">
        <v>1566</v>
      </c>
      <c r="L1014" s="2"/>
      <c r="M1014" s="2"/>
      <c r="N1014" s="7">
        <v>2.0</v>
      </c>
      <c r="O1014" s="12">
        <v>59048.0</v>
      </c>
      <c r="P1014" s="11" t="s">
        <v>1649</v>
      </c>
      <c r="Q1014" s="12">
        <v>59048.0</v>
      </c>
      <c r="R1014" s="11" t="s">
        <v>1649</v>
      </c>
      <c r="S1014" s="11" t="s">
        <v>1732</v>
      </c>
      <c r="T1014" s="11" t="s">
        <v>1733</v>
      </c>
      <c r="U1014" s="2" t="s">
        <v>1574</v>
      </c>
      <c r="V1014" s="2" t="s">
        <v>1568</v>
      </c>
      <c r="W1014" s="2" t="s">
        <v>1569</v>
      </c>
      <c r="X1014" s="2" t="s">
        <v>1570</v>
      </c>
      <c r="AB1014" s="2" t="s">
        <v>1571</v>
      </c>
    </row>
    <row r="1015">
      <c r="A1015" s="2" t="s">
        <v>1826</v>
      </c>
      <c r="B1015" s="2">
        <v>18.0</v>
      </c>
      <c r="C1015" s="2" t="s">
        <v>11</v>
      </c>
      <c r="D1015" s="2" t="s">
        <v>1827</v>
      </c>
      <c r="E1015" s="2">
        <v>7.0</v>
      </c>
      <c r="F1015" s="2" t="s">
        <v>10</v>
      </c>
      <c r="G1015" s="5">
        <v>2658633.0</v>
      </c>
      <c r="H1015" s="2" t="s">
        <v>1564</v>
      </c>
      <c r="I1015" s="2" t="s">
        <v>1565</v>
      </c>
      <c r="J1015" s="2">
        <v>10000.0</v>
      </c>
      <c r="K1015" s="2" t="s">
        <v>1566</v>
      </c>
      <c r="L1015" s="2"/>
      <c r="M1015" s="2"/>
      <c r="N1015" s="7">
        <v>-2.0</v>
      </c>
      <c r="O1015" s="12">
        <v>-59048.0</v>
      </c>
      <c r="P1015" s="11" t="s">
        <v>1649</v>
      </c>
      <c r="Q1015" s="12">
        <v>-59048.0</v>
      </c>
      <c r="R1015" s="11" t="s">
        <v>1650</v>
      </c>
      <c r="S1015" s="11" t="s">
        <v>1811</v>
      </c>
      <c r="T1015" s="11" t="s">
        <v>1812</v>
      </c>
      <c r="U1015" s="2" t="s">
        <v>1574</v>
      </c>
      <c r="V1015" s="2" t="s">
        <v>1568</v>
      </c>
      <c r="W1015" s="2" t="s">
        <v>1569</v>
      </c>
      <c r="X1015" s="2" t="s">
        <v>1570</v>
      </c>
      <c r="AB1015" s="2" t="s">
        <v>1571</v>
      </c>
    </row>
    <row r="1016">
      <c r="A1016" s="2" t="s">
        <v>1826</v>
      </c>
      <c r="B1016" s="2">
        <v>18.0</v>
      </c>
      <c r="C1016" s="2" t="s">
        <v>11</v>
      </c>
      <c r="D1016" s="2" t="s">
        <v>1827</v>
      </c>
      <c r="E1016" s="2">
        <v>7.0</v>
      </c>
      <c r="F1016" s="2" t="s">
        <v>10</v>
      </c>
      <c r="G1016" s="5">
        <v>2658268.0</v>
      </c>
      <c r="H1016" s="2" t="s">
        <v>1575</v>
      </c>
      <c r="I1016" s="2" t="s">
        <v>1565</v>
      </c>
      <c r="J1016" s="2">
        <v>10000.0</v>
      </c>
      <c r="K1016" s="2" t="s">
        <v>1566</v>
      </c>
      <c r="L1016" s="2"/>
      <c r="M1016" s="2"/>
      <c r="N1016" s="7">
        <v>2.0</v>
      </c>
      <c r="O1016" s="12">
        <v>59048.0</v>
      </c>
      <c r="P1016" s="11" t="s">
        <v>1649</v>
      </c>
      <c r="Q1016" s="12">
        <v>59048.0</v>
      </c>
      <c r="R1016" s="11" t="s">
        <v>1649</v>
      </c>
      <c r="S1016" s="11" t="s">
        <v>1732</v>
      </c>
      <c r="T1016" s="11" t="s">
        <v>1733</v>
      </c>
      <c r="U1016" s="2" t="s">
        <v>1574</v>
      </c>
      <c r="V1016" s="2" t="s">
        <v>1568</v>
      </c>
      <c r="W1016" s="2" t="s">
        <v>1569</v>
      </c>
      <c r="X1016" s="2" t="s">
        <v>1570</v>
      </c>
      <c r="AB1016" s="2" t="s">
        <v>1571</v>
      </c>
    </row>
    <row r="1017">
      <c r="A1017" s="2" t="s">
        <v>1826</v>
      </c>
      <c r="B1017" s="2">
        <v>17.0</v>
      </c>
      <c r="C1017" s="2" t="s">
        <v>11</v>
      </c>
      <c r="D1017" s="2" t="s">
        <v>1827</v>
      </c>
      <c r="E1017" s="2">
        <v>7.0</v>
      </c>
      <c r="F1017" s="2" t="s">
        <v>10</v>
      </c>
      <c r="G1017" s="5">
        <v>2657903.0</v>
      </c>
      <c r="H1017" s="2" t="s">
        <v>1575</v>
      </c>
      <c r="I1017" s="2" t="s">
        <v>1578</v>
      </c>
      <c r="J1017" s="2">
        <v>10010.0</v>
      </c>
      <c r="K1017" s="2" t="s">
        <v>1606</v>
      </c>
      <c r="L1017" s="2"/>
      <c r="M1017" s="2"/>
      <c r="N1017" s="7">
        <v>1.0</v>
      </c>
      <c r="O1017" s="12">
        <v>25238.0</v>
      </c>
      <c r="P1017" s="11" t="s">
        <v>1649</v>
      </c>
      <c r="Q1017" s="12">
        <v>25238.0</v>
      </c>
      <c r="R1017" s="11" t="s">
        <v>1649</v>
      </c>
      <c r="S1017" s="11" t="s">
        <v>1660</v>
      </c>
      <c r="T1017" s="11" t="s">
        <v>1680</v>
      </c>
      <c r="U1017" s="2" t="s">
        <v>1574</v>
      </c>
      <c r="V1017" s="2" t="s">
        <v>1568</v>
      </c>
      <c r="W1017" s="2" t="s">
        <v>1569</v>
      </c>
      <c r="X1017" s="2" t="s">
        <v>1570</v>
      </c>
      <c r="AB1017" s="2" t="s">
        <v>1571</v>
      </c>
    </row>
    <row r="1018">
      <c r="A1018" s="2" t="s">
        <v>1826</v>
      </c>
      <c r="B1018" s="2">
        <v>17.0</v>
      </c>
      <c r="C1018" s="2" t="s">
        <v>11</v>
      </c>
      <c r="D1018" s="2" t="s">
        <v>1827</v>
      </c>
      <c r="E1018" s="2">
        <v>7.0</v>
      </c>
      <c r="F1018" s="2" t="s">
        <v>10</v>
      </c>
      <c r="G1018" s="5">
        <v>2657903.0</v>
      </c>
      <c r="H1018" s="2" t="s">
        <v>1575</v>
      </c>
      <c r="I1018" s="2" t="s">
        <v>1578</v>
      </c>
      <c r="J1018" s="2">
        <v>10051.0</v>
      </c>
      <c r="K1018" s="2" t="s">
        <v>1579</v>
      </c>
      <c r="L1018" s="2"/>
      <c r="M1018" s="2"/>
      <c r="N1018" s="7">
        <v>1.0</v>
      </c>
      <c r="O1018" s="12">
        <v>25238.0</v>
      </c>
      <c r="P1018" s="11" t="s">
        <v>1649</v>
      </c>
      <c r="Q1018" s="12">
        <v>25238.0</v>
      </c>
      <c r="R1018" s="11" t="s">
        <v>1649</v>
      </c>
      <c r="S1018" s="11" t="s">
        <v>1660</v>
      </c>
      <c r="T1018" s="11" t="s">
        <v>1680</v>
      </c>
      <c r="U1018" s="2" t="s">
        <v>1574</v>
      </c>
      <c r="V1018" s="2" t="s">
        <v>1568</v>
      </c>
      <c r="W1018" s="2" t="s">
        <v>1569</v>
      </c>
      <c r="X1018" s="2" t="s">
        <v>1570</v>
      </c>
      <c r="AB1018" s="2" t="s">
        <v>1571</v>
      </c>
    </row>
    <row r="1019">
      <c r="A1019" s="2" t="s">
        <v>1826</v>
      </c>
      <c r="B1019" s="2">
        <v>17.0</v>
      </c>
      <c r="C1019" s="2" t="s">
        <v>11</v>
      </c>
      <c r="D1019" s="2" t="s">
        <v>1827</v>
      </c>
      <c r="E1019" s="2">
        <v>7.0</v>
      </c>
      <c r="F1019" s="2" t="s">
        <v>10</v>
      </c>
      <c r="G1019" s="5">
        <v>2657537.0</v>
      </c>
      <c r="H1019" s="2" t="s">
        <v>1575</v>
      </c>
      <c r="I1019" s="2" t="s">
        <v>1578</v>
      </c>
      <c r="J1019" s="2">
        <v>10004.0</v>
      </c>
      <c r="K1019" s="2" t="s">
        <v>1607</v>
      </c>
      <c r="L1019" s="2"/>
      <c r="M1019" s="2"/>
      <c r="N1019" s="7">
        <v>1.0</v>
      </c>
      <c r="O1019" s="12">
        <v>25238.0</v>
      </c>
      <c r="P1019" s="11" t="s">
        <v>1649</v>
      </c>
      <c r="Q1019" s="12">
        <v>25238.0</v>
      </c>
      <c r="R1019" s="11" t="s">
        <v>1649</v>
      </c>
      <c r="S1019" s="11" t="s">
        <v>1660</v>
      </c>
      <c r="T1019" s="11" t="s">
        <v>1680</v>
      </c>
      <c r="U1019" s="2" t="s">
        <v>1574</v>
      </c>
      <c r="V1019" s="2" t="s">
        <v>1568</v>
      </c>
      <c r="W1019" s="2" t="s">
        <v>1569</v>
      </c>
      <c r="X1019" s="2" t="s">
        <v>1570</v>
      </c>
      <c r="AB1019" s="2" t="s">
        <v>1571</v>
      </c>
    </row>
    <row r="1020">
      <c r="A1020" s="2" t="s">
        <v>1826</v>
      </c>
      <c r="B1020" s="2">
        <v>17.0</v>
      </c>
      <c r="C1020" s="2" t="s">
        <v>11</v>
      </c>
      <c r="D1020" s="2" t="s">
        <v>1827</v>
      </c>
      <c r="E1020" s="2">
        <v>7.0</v>
      </c>
      <c r="F1020" s="2" t="s">
        <v>10</v>
      </c>
      <c r="G1020" s="5">
        <v>2657172.0</v>
      </c>
      <c r="H1020" s="2" t="s">
        <v>1575</v>
      </c>
      <c r="I1020" s="2" t="s">
        <v>1580</v>
      </c>
      <c r="J1020" s="2">
        <v>10003.0</v>
      </c>
      <c r="K1020" s="2" t="s">
        <v>1603</v>
      </c>
      <c r="L1020" s="2"/>
      <c r="M1020" s="2"/>
      <c r="N1020" s="7">
        <v>1.0</v>
      </c>
      <c r="O1020" s="12">
        <v>29524.0</v>
      </c>
      <c r="P1020" s="11" t="s">
        <v>1649</v>
      </c>
      <c r="Q1020" s="12">
        <v>29524.0</v>
      </c>
      <c r="R1020" s="11" t="s">
        <v>1649</v>
      </c>
      <c r="S1020" s="11" t="s">
        <v>1683</v>
      </c>
      <c r="T1020" s="11" t="s">
        <v>1684</v>
      </c>
      <c r="U1020" s="2" t="s">
        <v>1574</v>
      </c>
      <c r="V1020" s="2" t="s">
        <v>1568</v>
      </c>
      <c r="W1020" s="2" t="s">
        <v>1569</v>
      </c>
      <c r="X1020" s="2" t="s">
        <v>1570</v>
      </c>
      <c r="AB1020" s="2" t="s">
        <v>1571</v>
      </c>
    </row>
    <row r="1021">
      <c r="A1021" s="2" t="s">
        <v>1826</v>
      </c>
      <c r="B1021" s="2">
        <v>17.0</v>
      </c>
      <c r="C1021" s="2" t="s">
        <v>11</v>
      </c>
      <c r="D1021" s="2" t="s">
        <v>1827</v>
      </c>
      <c r="E1021" s="2">
        <v>7.0</v>
      </c>
      <c r="F1021" s="2" t="s">
        <v>10</v>
      </c>
      <c r="G1021" s="5">
        <v>2656807.0</v>
      </c>
      <c r="H1021" s="2" t="s">
        <v>1575</v>
      </c>
      <c r="I1021" s="2" t="s">
        <v>1578</v>
      </c>
      <c r="J1021" s="2">
        <v>10051.0</v>
      </c>
      <c r="K1021" s="2" t="s">
        <v>1579</v>
      </c>
      <c r="L1021" s="2"/>
      <c r="M1021" s="2"/>
      <c r="N1021" s="7">
        <v>1.0</v>
      </c>
      <c r="O1021" s="12">
        <v>25238.0</v>
      </c>
      <c r="P1021" s="11" t="s">
        <v>1649</v>
      </c>
      <c r="Q1021" s="12">
        <v>25238.0</v>
      </c>
      <c r="R1021" s="11" t="s">
        <v>1649</v>
      </c>
      <c r="S1021" s="11" t="s">
        <v>1660</v>
      </c>
      <c r="T1021" s="11" t="s">
        <v>1680</v>
      </c>
      <c r="U1021" s="2" t="s">
        <v>1574</v>
      </c>
      <c r="V1021" s="2" t="s">
        <v>1568</v>
      </c>
      <c r="W1021" s="2" t="s">
        <v>1569</v>
      </c>
      <c r="X1021" s="2" t="s">
        <v>1570</v>
      </c>
      <c r="AB1021" s="2" t="s">
        <v>1571</v>
      </c>
    </row>
    <row r="1022">
      <c r="A1022" s="2" t="s">
        <v>1826</v>
      </c>
      <c r="B1022" s="2">
        <v>17.0</v>
      </c>
      <c r="C1022" s="2" t="s">
        <v>11</v>
      </c>
      <c r="D1022" s="2" t="s">
        <v>1827</v>
      </c>
      <c r="E1022" s="2">
        <v>7.0</v>
      </c>
      <c r="F1022" s="2" t="s">
        <v>10</v>
      </c>
      <c r="G1022" s="5">
        <v>2656442.0</v>
      </c>
      <c r="H1022" s="2" t="s">
        <v>1575</v>
      </c>
      <c r="I1022" s="2" t="s">
        <v>1572</v>
      </c>
      <c r="J1022" s="2">
        <v>10128.0</v>
      </c>
      <c r="K1022" s="2" t="s">
        <v>1588</v>
      </c>
      <c r="L1022" s="2"/>
      <c r="M1022" s="2"/>
      <c r="N1022" s="7">
        <v>1.0</v>
      </c>
      <c r="O1022" s="12">
        <v>23333.0</v>
      </c>
      <c r="P1022" s="11" t="s">
        <v>1649</v>
      </c>
      <c r="Q1022" s="12">
        <v>23333.0</v>
      </c>
      <c r="R1022" s="11" t="s">
        <v>1649</v>
      </c>
      <c r="S1022" s="11" t="s">
        <v>1681</v>
      </c>
      <c r="T1022" s="11" t="s">
        <v>1682</v>
      </c>
      <c r="U1022" s="2" t="s">
        <v>1574</v>
      </c>
      <c r="V1022" s="2" t="s">
        <v>1568</v>
      </c>
      <c r="W1022" s="2" t="s">
        <v>1569</v>
      </c>
      <c r="X1022" s="2" t="s">
        <v>1570</v>
      </c>
      <c r="AB1022" s="2" t="s">
        <v>1571</v>
      </c>
    </row>
    <row r="1023">
      <c r="A1023" s="2" t="s">
        <v>1826</v>
      </c>
      <c r="B1023" s="2">
        <v>17.0</v>
      </c>
      <c r="C1023" s="2" t="s">
        <v>11</v>
      </c>
      <c r="D1023" s="2" t="s">
        <v>1827</v>
      </c>
      <c r="E1023" s="2">
        <v>7.0</v>
      </c>
      <c r="F1023" s="2" t="s">
        <v>10</v>
      </c>
      <c r="G1023" s="5">
        <v>2656442.0</v>
      </c>
      <c r="H1023" s="2" t="s">
        <v>1575</v>
      </c>
      <c r="I1023" s="2" t="s">
        <v>1572</v>
      </c>
      <c r="J1023" s="2">
        <v>10106.0</v>
      </c>
      <c r="K1023" s="2" t="s">
        <v>1598</v>
      </c>
      <c r="L1023" s="2"/>
      <c r="M1023" s="2"/>
      <c r="N1023" s="7">
        <v>1.0</v>
      </c>
      <c r="O1023" s="12">
        <v>26667.0</v>
      </c>
      <c r="P1023" s="11" t="s">
        <v>1649</v>
      </c>
      <c r="Q1023" s="12">
        <v>26667.0</v>
      </c>
      <c r="R1023" s="11" t="s">
        <v>1649</v>
      </c>
      <c r="S1023" s="11" t="s">
        <v>1674</v>
      </c>
      <c r="T1023" s="11" t="s">
        <v>1679</v>
      </c>
      <c r="U1023" s="2" t="s">
        <v>1574</v>
      </c>
      <c r="V1023" s="2" t="s">
        <v>1568</v>
      </c>
      <c r="W1023" s="2" t="s">
        <v>1569</v>
      </c>
      <c r="X1023" s="2" t="s">
        <v>1570</v>
      </c>
      <c r="AB1023" s="2" t="s">
        <v>1571</v>
      </c>
    </row>
    <row r="1024">
      <c r="A1024" s="2" t="s">
        <v>1826</v>
      </c>
      <c r="B1024" s="2">
        <v>17.0</v>
      </c>
      <c r="C1024" s="2" t="s">
        <v>11</v>
      </c>
      <c r="D1024" s="2" t="s">
        <v>1827</v>
      </c>
      <c r="E1024" s="2">
        <v>7.0</v>
      </c>
      <c r="F1024" s="2" t="s">
        <v>10</v>
      </c>
      <c r="G1024" s="5">
        <v>2656442.0</v>
      </c>
      <c r="H1024" s="2" t="s">
        <v>1575</v>
      </c>
      <c r="I1024" s="2" t="s">
        <v>1578</v>
      </c>
      <c r="J1024" s="2">
        <v>10014.0</v>
      </c>
      <c r="K1024" s="2" t="s">
        <v>1609</v>
      </c>
      <c r="L1024" s="2"/>
      <c r="M1024" s="2"/>
      <c r="N1024" s="7">
        <v>1.0</v>
      </c>
      <c r="O1024" s="12">
        <v>25238.0</v>
      </c>
      <c r="P1024" s="11" t="s">
        <v>1649</v>
      </c>
      <c r="Q1024" s="12">
        <v>25238.0</v>
      </c>
      <c r="R1024" s="11" t="s">
        <v>1649</v>
      </c>
      <c r="S1024" s="11" t="s">
        <v>1660</v>
      </c>
      <c r="T1024" s="11" t="s">
        <v>1680</v>
      </c>
      <c r="U1024" s="2" t="s">
        <v>1574</v>
      </c>
      <c r="V1024" s="2" t="s">
        <v>1568</v>
      </c>
      <c r="W1024" s="2" t="s">
        <v>1569</v>
      </c>
      <c r="X1024" s="2" t="s">
        <v>1570</v>
      </c>
      <c r="AB1024" s="2" t="s">
        <v>1571</v>
      </c>
    </row>
    <row r="1025">
      <c r="A1025" s="2" t="s">
        <v>1826</v>
      </c>
      <c r="B1025" s="2">
        <v>17.0</v>
      </c>
      <c r="C1025" s="2" t="s">
        <v>11</v>
      </c>
      <c r="D1025" s="2" t="s">
        <v>1827</v>
      </c>
      <c r="E1025" s="2">
        <v>7.0</v>
      </c>
      <c r="F1025" s="2" t="s">
        <v>10</v>
      </c>
      <c r="G1025" s="5">
        <v>2656076.0</v>
      </c>
      <c r="H1025" s="2" t="s">
        <v>1575</v>
      </c>
      <c r="I1025" s="2" t="s">
        <v>1565</v>
      </c>
      <c r="J1025" s="2">
        <v>10025.0</v>
      </c>
      <c r="K1025" s="2" t="s">
        <v>1623</v>
      </c>
      <c r="L1025" s="2"/>
      <c r="M1025" s="2"/>
      <c r="N1025" s="7">
        <v>1.0</v>
      </c>
      <c r="O1025" s="12">
        <v>24762.0</v>
      </c>
      <c r="P1025" s="11" t="s">
        <v>1649</v>
      </c>
      <c r="Q1025" s="12">
        <v>24762.0</v>
      </c>
      <c r="R1025" s="11" t="s">
        <v>1649</v>
      </c>
      <c r="S1025" s="11" t="s">
        <v>1689</v>
      </c>
      <c r="T1025" s="11" t="s">
        <v>1693</v>
      </c>
      <c r="U1025" s="2" t="s">
        <v>1574</v>
      </c>
      <c r="V1025" s="2" t="s">
        <v>1568</v>
      </c>
      <c r="W1025" s="2" t="s">
        <v>1569</v>
      </c>
      <c r="X1025" s="2" t="s">
        <v>1570</v>
      </c>
      <c r="AB1025" s="2" t="s">
        <v>1571</v>
      </c>
    </row>
    <row r="1026">
      <c r="A1026" s="2" t="s">
        <v>1826</v>
      </c>
      <c r="B1026" s="2">
        <v>17.0</v>
      </c>
      <c r="C1026" s="2" t="s">
        <v>11</v>
      </c>
      <c r="D1026" s="2" t="s">
        <v>1827</v>
      </c>
      <c r="E1026" s="2">
        <v>7.0</v>
      </c>
      <c r="F1026" s="2" t="s">
        <v>10</v>
      </c>
      <c r="G1026" s="5">
        <v>2655711.0</v>
      </c>
      <c r="H1026" s="2" t="s">
        <v>1575</v>
      </c>
      <c r="I1026" s="2" t="s">
        <v>1578</v>
      </c>
      <c r="J1026" s="2">
        <v>10004.0</v>
      </c>
      <c r="K1026" s="2" t="s">
        <v>1607</v>
      </c>
      <c r="L1026" s="2"/>
      <c r="M1026" s="2"/>
      <c r="N1026" s="7">
        <v>1.0</v>
      </c>
      <c r="O1026" s="12">
        <v>25238.0</v>
      </c>
      <c r="P1026" s="11" t="s">
        <v>1649</v>
      </c>
      <c r="Q1026" s="12">
        <v>25238.0</v>
      </c>
      <c r="R1026" s="11" t="s">
        <v>1649</v>
      </c>
      <c r="S1026" s="11" t="s">
        <v>1660</v>
      </c>
      <c r="T1026" s="11" t="s">
        <v>1680</v>
      </c>
      <c r="U1026" s="2" t="s">
        <v>1574</v>
      </c>
      <c r="V1026" s="2" t="s">
        <v>1568</v>
      </c>
      <c r="W1026" s="2" t="s">
        <v>1569</v>
      </c>
      <c r="X1026" s="2" t="s">
        <v>1570</v>
      </c>
      <c r="AB1026" s="2" t="s">
        <v>1571</v>
      </c>
    </row>
    <row r="1027">
      <c r="A1027" s="2" t="s">
        <v>1826</v>
      </c>
      <c r="B1027" s="2">
        <v>17.0</v>
      </c>
      <c r="C1027" s="2" t="s">
        <v>11</v>
      </c>
      <c r="D1027" s="2" t="s">
        <v>1827</v>
      </c>
      <c r="E1027" s="2">
        <v>7.0</v>
      </c>
      <c r="F1027" s="2" t="s">
        <v>10</v>
      </c>
      <c r="G1027" s="5">
        <v>2655711.0</v>
      </c>
      <c r="H1027" s="2" t="s">
        <v>1575</v>
      </c>
      <c r="I1027" s="2" t="s">
        <v>1580</v>
      </c>
      <c r="J1027" s="2">
        <v>10003.0</v>
      </c>
      <c r="K1027" s="2" t="s">
        <v>1603</v>
      </c>
      <c r="L1027" s="2"/>
      <c r="M1027" s="2"/>
      <c r="N1027" s="7">
        <v>1.0</v>
      </c>
      <c r="O1027" s="12">
        <v>29524.0</v>
      </c>
      <c r="P1027" s="11" t="s">
        <v>1649</v>
      </c>
      <c r="Q1027" s="12">
        <v>29524.0</v>
      </c>
      <c r="R1027" s="11" t="s">
        <v>1649</v>
      </c>
      <c r="S1027" s="11" t="s">
        <v>1683</v>
      </c>
      <c r="T1027" s="11" t="s">
        <v>1684</v>
      </c>
      <c r="U1027" s="2" t="s">
        <v>1574</v>
      </c>
      <c r="V1027" s="2" t="s">
        <v>1568</v>
      </c>
      <c r="W1027" s="2" t="s">
        <v>1569</v>
      </c>
      <c r="X1027" s="2" t="s">
        <v>1570</v>
      </c>
      <c r="AB1027" s="2" t="s">
        <v>1571</v>
      </c>
    </row>
    <row r="1028">
      <c r="A1028" s="2" t="s">
        <v>1826</v>
      </c>
      <c r="B1028" s="2">
        <v>17.0</v>
      </c>
      <c r="C1028" s="2" t="s">
        <v>11</v>
      </c>
      <c r="D1028" s="2" t="s">
        <v>1827</v>
      </c>
      <c r="E1028" s="2">
        <v>7.0</v>
      </c>
      <c r="F1028" s="2" t="s">
        <v>10</v>
      </c>
      <c r="G1028" s="5">
        <v>2655711.0</v>
      </c>
      <c r="H1028" s="2" t="s">
        <v>1575</v>
      </c>
      <c r="I1028" s="2" t="s">
        <v>1572</v>
      </c>
      <c r="J1028" s="2">
        <v>10117.0</v>
      </c>
      <c r="K1028" s="2" t="s">
        <v>1589</v>
      </c>
      <c r="L1028" s="2"/>
      <c r="M1028" s="2"/>
      <c r="N1028" s="7">
        <v>1.0</v>
      </c>
      <c r="O1028" s="12">
        <v>14286.0</v>
      </c>
      <c r="P1028" s="11" t="s">
        <v>1649</v>
      </c>
      <c r="Q1028" s="12">
        <v>14286.0</v>
      </c>
      <c r="R1028" s="11" t="s">
        <v>1649</v>
      </c>
      <c r="S1028" s="11" t="s">
        <v>1685</v>
      </c>
      <c r="T1028" s="11" t="s">
        <v>1686</v>
      </c>
      <c r="U1028" s="2" t="s">
        <v>1574</v>
      </c>
      <c r="V1028" s="2" t="s">
        <v>1568</v>
      </c>
      <c r="W1028" s="2" t="s">
        <v>1569</v>
      </c>
      <c r="X1028" s="2" t="s">
        <v>1570</v>
      </c>
      <c r="AB1028" s="2" t="s">
        <v>1571</v>
      </c>
    </row>
    <row r="1029">
      <c r="A1029" s="2" t="s">
        <v>1826</v>
      </c>
      <c r="B1029" s="2">
        <v>17.0</v>
      </c>
      <c r="C1029" s="2" t="s">
        <v>11</v>
      </c>
      <c r="D1029" s="2" t="s">
        <v>1827</v>
      </c>
      <c r="E1029" s="2">
        <v>7.0</v>
      </c>
      <c r="F1029" s="2" t="s">
        <v>10</v>
      </c>
      <c r="G1029" s="5">
        <v>2655711.0</v>
      </c>
      <c r="H1029" s="2" t="s">
        <v>1575</v>
      </c>
      <c r="I1029" s="2" t="s">
        <v>1578</v>
      </c>
      <c r="J1029" s="2">
        <v>10051.0</v>
      </c>
      <c r="K1029" s="2" t="s">
        <v>1579</v>
      </c>
      <c r="L1029" s="2"/>
      <c r="M1029" s="2"/>
      <c r="N1029" s="7">
        <v>1.0</v>
      </c>
      <c r="O1029" s="12">
        <v>25238.0</v>
      </c>
      <c r="P1029" s="11" t="s">
        <v>1649</v>
      </c>
      <c r="Q1029" s="12">
        <v>25238.0</v>
      </c>
      <c r="R1029" s="11" t="s">
        <v>1649</v>
      </c>
      <c r="S1029" s="11" t="s">
        <v>1660</v>
      </c>
      <c r="T1029" s="11" t="s">
        <v>1680</v>
      </c>
      <c r="U1029" s="2" t="s">
        <v>1574</v>
      </c>
      <c r="V1029" s="2" t="s">
        <v>1568</v>
      </c>
      <c r="W1029" s="2" t="s">
        <v>1569</v>
      </c>
      <c r="X1029" s="2" t="s">
        <v>1570</v>
      </c>
      <c r="AB1029" s="2" t="s">
        <v>1571</v>
      </c>
    </row>
    <row r="1030">
      <c r="A1030" s="2" t="s">
        <v>1826</v>
      </c>
      <c r="B1030" s="2">
        <v>17.0</v>
      </c>
      <c r="C1030" s="2" t="s">
        <v>11</v>
      </c>
      <c r="D1030" s="2" t="s">
        <v>1827</v>
      </c>
      <c r="E1030" s="2">
        <v>7.0</v>
      </c>
      <c r="F1030" s="2" t="s">
        <v>10</v>
      </c>
      <c r="G1030" s="5">
        <v>2655711.0</v>
      </c>
      <c r="H1030" s="2" t="s">
        <v>1575</v>
      </c>
      <c r="I1030" s="2" t="s">
        <v>1572</v>
      </c>
      <c r="J1030" s="2">
        <v>10125.0</v>
      </c>
      <c r="K1030" s="2" t="s">
        <v>1601</v>
      </c>
      <c r="L1030" s="2"/>
      <c r="M1030" s="2"/>
      <c r="N1030" s="7">
        <v>1.0</v>
      </c>
      <c r="O1030" s="12">
        <v>20476.0</v>
      </c>
      <c r="P1030" s="11" t="s">
        <v>1649</v>
      </c>
      <c r="Q1030" s="12">
        <v>20476.0</v>
      </c>
      <c r="R1030" s="11" t="s">
        <v>1649</v>
      </c>
      <c r="S1030" s="11" t="s">
        <v>1716</v>
      </c>
      <c r="T1030" s="11" t="s">
        <v>1717</v>
      </c>
      <c r="U1030" s="2" t="s">
        <v>1574</v>
      </c>
      <c r="V1030" s="2" t="s">
        <v>1568</v>
      </c>
      <c r="W1030" s="2" t="s">
        <v>1569</v>
      </c>
      <c r="X1030" s="2" t="s">
        <v>1570</v>
      </c>
      <c r="AB1030" s="2" t="s">
        <v>1571</v>
      </c>
    </row>
    <row r="1031">
      <c r="A1031" s="2" t="s">
        <v>1826</v>
      </c>
      <c r="B1031" s="2">
        <v>17.0</v>
      </c>
      <c r="C1031" s="2" t="s">
        <v>11</v>
      </c>
      <c r="D1031" s="2" t="s">
        <v>1827</v>
      </c>
      <c r="E1031" s="2">
        <v>7.0</v>
      </c>
      <c r="F1031" s="2" t="s">
        <v>10</v>
      </c>
      <c r="G1031" s="5">
        <v>2655346.0</v>
      </c>
      <c r="H1031" s="2" t="s">
        <v>1575</v>
      </c>
      <c r="I1031" s="2" t="s">
        <v>1580</v>
      </c>
      <c r="J1031" s="2">
        <v>10053.0</v>
      </c>
      <c r="K1031" s="2" t="s">
        <v>1612</v>
      </c>
      <c r="L1031" s="2"/>
      <c r="M1031" s="2"/>
      <c r="N1031" s="7">
        <v>1.0</v>
      </c>
      <c r="O1031" s="12">
        <v>25238.0</v>
      </c>
      <c r="P1031" s="11" t="s">
        <v>1649</v>
      </c>
      <c r="Q1031" s="12">
        <v>25238.0</v>
      </c>
      <c r="R1031" s="11" t="s">
        <v>1649</v>
      </c>
      <c r="S1031" s="11" t="s">
        <v>1660</v>
      </c>
      <c r="T1031" s="11" t="s">
        <v>1680</v>
      </c>
      <c r="U1031" s="2" t="s">
        <v>1574</v>
      </c>
      <c r="V1031" s="2" t="s">
        <v>1568</v>
      </c>
      <c r="W1031" s="2" t="s">
        <v>1569</v>
      </c>
      <c r="X1031" s="2" t="s">
        <v>1570</v>
      </c>
      <c r="AB1031" s="2" t="s">
        <v>1571</v>
      </c>
    </row>
    <row r="1032">
      <c r="A1032" s="2" t="s">
        <v>1826</v>
      </c>
      <c r="B1032" s="2">
        <v>17.0</v>
      </c>
      <c r="C1032" s="2" t="s">
        <v>11</v>
      </c>
      <c r="D1032" s="2" t="s">
        <v>1827</v>
      </c>
      <c r="E1032" s="2">
        <v>7.0</v>
      </c>
      <c r="F1032" s="2" t="s">
        <v>10</v>
      </c>
      <c r="G1032" s="5">
        <v>2654981.0</v>
      </c>
      <c r="H1032" s="2" t="s">
        <v>1564</v>
      </c>
      <c r="I1032" s="2" t="s">
        <v>1565</v>
      </c>
      <c r="J1032" s="2">
        <v>10000.0</v>
      </c>
      <c r="K1032" s="2" t="s">
        <v>1566</v>
      </c>
      <c r="L1032" s="2"/>
      <c r="M1032" s="2"/>
      <c r="N1032" s="7">
        <v>-1.0</v>
      </c>
      <c r="O1032" s="12">
        <v>-29524.0</v>
      </c>
      <c r="P1032" s="11" t="s">
        <v>1649</v>
      </c>
      <c r="Q1032" s="12">
        <v>-29524.0</v>
      </c>
      <c r="R1032" s="11" t="s">
        <v>1650</v>
      </c>
      <c r="S1032" s="11" t="s">
        <v>1651</v>
      </c>
      <c r="T1032" s="11" t="s">
        <v>1652</v>
      </c>
      <c r="U1032" s="2" t="s">
        <v>1574</v>
      </c>
      <c r="V1032" s="2" t="s">
        <v>1568</v>
      </c>
      <c r="W1032" s="2" t="s">
        <v>1569</v>
      </c>
      <c r="X1032" s="2" t="s">
        <v>1570</v>
      </c>
      <c r="AB1032" s="2" t="s">
        <v>1571</v>
      </c>
    </row>
    <row r="1033">
      <c r="A1033" s="2" t="s">
        <v>1826</v>
      </c>
      <c r="B1033" s="2">
        <v>17.0</v>
      </c>
      <c r="C1033" s="2" t="s">
        <v>11</v>
      </c>
      <c r="D1033" s="2" t="s">
        <v>1827</v>
      </c>
      <c r="E1033" s="2">
        <v>7.0</v>
      </c>
      <c r="F1033" s="2" t="s">
        <v>10</v>
      </c>
      <c r="G1033" s="5">
        <v>2654981.0</v>
      </c>
      <c r="H1033" s="2" t="s">
        <v>1564</v>
      </c>
      <c r="I1033" s="2" t="s">
        <v>1565</v>
      </c>
      <c r="J1033" s="2">
        <v>10002.0</v>
      </c>
      <c r="K1033" s="2" t="s">
        <v>1576</v>
      </c>
      <c r="L1033" s="2"/>
      <c r="M1033" s="2"/>
      <c r="N1033" s="7">
        <v>-1.0</v>
      </c>
      <c r="O1033" s="12">
        <v>-18571.0</v>
      </c>
      <c r="P1033" s="11" t="s">
        <v>1649</v>
      </c>
      <c r="Q1033" s="12">
        <v>-18571.0</v>
      </c>
      <c r="R1033" s="11" t="s">
        <v>1650</v>
      </c>
      <c r="S1033" s="11" t="s">
        <v>1743</v>
      </c>
      <c r="T1033" s="11" t="s">
        <v>1744</v>
      </c>
      <c r="U1033" s="2" t="s">
        <v>1574</v>
      </c>
      <c r="V1033" s="2" t="s">
        <v>1568</v>
      </c>
      <c r="W1033" s="2" t="s">
        <v>1569</v>
      </c>
      <c r="X1033" s="2" t="s">
        <v>1570</v>
      </c>
      <c r="AB1033" s="2" t="s">
        <v>1571</v>
      </c>
    </row>
    <row r="1034">
      <c r="A1034" s="2" t="s">
        <v>1826</v>
      </c>
      <c r="B1034" s="2">
        <v>17.0</v>
      </c>
      <c r="C1034" s="2" t="s">
        <v>11</v>
      </c>
      <c r="D1034" s="2" t="s">
        <v>1827</v>
      </c>
      <c r="E1034" s="2">
        <v>7.0</v>
      </c>
      <c r="F1034" s="2" t="s">
        <v>10</v>
      </c>
      <c r="G1034" s="5">
        <v>2654615.0</v>
      </c>
      <c r="H1034" s="2" t="s">
        <v>1575</v>
      </c>
      <c r="I1034" s="2" t="s">
        <v>1572</v>
      </c>
      <c r="J1034" s="2">
        <v>10128.0</v>
      </c>
      <c r="K1034" s="2" t="s">
        <v>1588</v>
      </c>
      <c r="L1034" s="2"/>
      <c r="M1034" s="2"/>
      <c r="N1034" s="7">
        <v>1.0</v>
      </c>
      <c r="O1034" s="12">
        <v>23333.0</v>
      </c>
      <c r="P1034" s="11" t="s">
        <v>1649</v>
      </c>
      <c r="Q1034" s="12">
        <v>23333.0</v>
      </c>
      <c r="R1034" s="11" t="s">
        <v>1649</v>
      </c>
      <c r="S1034" s="11" t="s">
        <v>1681</v>
      </c>
      <c r="T1034" s="11" t="s">
        <v>1682</v>
      </c>
      <c r="U1034" s="2" t="s">
        <v>1574</v>
      </c>
      <c r="V1034" s="2" t="s">
        <v>1568</v>
      </c>
      <c r="W1034" s="2" t="s">
        <v>1569</v>
      </c>
      <c r="X1034" s="2" t="s">
        <v>1570</v>
      </c>
      <c r="AB1034" s="2" t="s">
        <v>1571</v>
      </c>
    </row>
    <row r="1035">
      <c r="A1035" s="2" t="s">
        <v>1826</v>
      </c>
      <c r="B1035" s="2">
        <v>17.0</v>
      </c>
      <c r="C1035" s="2" t="s">
        <v>11</v>
      </c>
      <c r="D1035" s="2" t="s">
        <v>1827</v>
      </c>
      <c r="E1035" s="2">
        <v>7.0</v>
      </c>
      <c r="F1035" s="2" t="s">
        <v>10</v>
      </c>
      <c r="G1035" s="5">
        <v>2654615.0</v>
      </c>
      <c r="H1035" s="2" t="s">
        <v>1575</v>
      </c>
      <c r="I1035" s="2" t="s">
        <v>1565</v>
      </c>
      <c r="J1035" s="2">
        <v>10033.0</v>
      </c>
      <c r="K1035" s="2" t="s">
        <v>1615</v>
      </c>
      <c r="L1035" s="2"/>
      <c r="M1035" s="2"/>
      <c r="N1035" s="7">
        <v>1.0</v>
      </c>
      <c r="O1035" s="12">
        <v>21905.0</v>
      </c>
      <c r="P1035" s="11" t="s">
        <v>1649</v>
      </c>
      <c r="Q1035" s="12">
        <v>21905.0</v>
      </c>
      <c r="R1035" s="11" t="s">
        <v>1649</v>
      </c>
      <c r="S1035" s="11" t="s">
        <v>1666</v>
      </c>
      <c r="T1035" s="11" t="s">
        <v>1667</v>
      </c>
      <c r="U1035" s="2" t="s">
        <v>1574</v>
      </c>
      <c r="V1035" s="2" t="s">
        <v>1568</v>
      </c>
      <c r="W1035" s="2" t="s">
        <v>1569</v>
      </c>
      <c r="X1035" s="2" t="s">
        <v>1570</v>
      </c>
      <c r="AB1035" s="2" t="s">
        <v>1571</v>
      </c>
    </row>
    <row r="1036">
      <c r="A1036" s="2" t="s">
        <v>1826</v>
      </c>
      <c r="B1036" s="2">
        <v>17.0</v>
      </c>
      <c r="C1036" s="2" t="s">
        <v>11</v>
      </c>
      <c r="D1036" s="2" t="s">
        <v>1827</v>
      </c>
      <c r="E1036" s="2">
        <v>7.0</v>
      </c>
      <c r="F1036" s="2" t="s">
        <v>10</v>
      </c>
      <c r="G1036" s="5">
        <v>2654615.0</v>
      </c>
      <c r="H1036" s="2" t="s">
        <v>1575</v>
      </c>
      <c r="I1036" s="2" t="s">
        <v>1578</v>
      </c>
      <c r="J1036" s="2">
        <v>10011.0</v>
      </c>
      <c r="K1036" s="2" t="s">
        <v>1605</v>
      </c>
      <c r="L1036" s="2"/>
      <c r="M1036" s="2"/>
      <c r="N1036" s="7">
        <v>1.0</v>
      </c>
      <c r="O1036" s="12">
        <v>25238.0</v>
      </c>
      <c r="P1036" s="11" t="s">
        <v>1649</v>
      </c>
      <c r="Q1036" s="12">
        <v>25238.0</v>
      </c>
      <c r="R1036" s="11" t="s">
        <v>1649</v>
      </c>
      <c r="S1036" s="11" t="s">
        <v>1660</v>
      </c>
      <c r="T1036" s="11" t="s">
        <v>1680</v>
      </c>
      <c r="U1036" s="2" t="s">
        <v>1574</v>
      </c>
      <c r="V1036" s="2" t="s">
        <v>1568</v>
      </c>
      <c r="W1036" s="2" t="s">
        <v>1569</v>
      </c>
      <c r="X1036" s="2" t="s">
        <v>1570</v>
      </c>
      <c r="AB1036" s="2" t="s">
        <v>1571</v>
      </c>
    </row>
    <row r="1037">
      <c r="A1037" s="2" t="s">
        <v>1826</v>
      </c>
      <c r="B1037" s="2">
        <v>17.0</v>
      </c>
      <c r="C1037" s="2" t="s">
        <v>11</v>
      </c>
      <c r="D1037" s="2" t="s">
        <v>1827</v>
      </c>
      <c r="E1037" s="2">
        <v>7.0</v>
      </c>
      <c r="F1037" s="2" t="s">
        <v>10</v>
      </c>
      <c r="G1037" s="5">
        <v>2654250.0</v>
      </c>
      <c r="H1037" s="2" t="s">
        <v>1575</v>
      </c>
      <c r="I1037" s="2" t="s">
        <v>1565</v>
      </c>
      <c r="J1037" s="2">
        <v>10034.0</v>
      </c>
      <c r="K1037" s="2" t="s">
        <v>1616</v>
      </c>
      <c r="L1037" s="2"/>
      <c r="M1037" s="2"/>
      <c r="N1037" s="7">
        <v>3.0</v>
      </c>
      <c r="O1037" s="12">
        <v>65715.0</v>
      </c>
      <c r="P1037" s="11" t="s">
        <v>1649</v>
      </c>
      <c r="Q1037" s="12">
        <v>65715.0</v>
      </c>
      <c r="R1037" s="11" t="s">
        <v>1649</v>
      </c>
      <c r="S1037" s="11" t="s">
        <v>1806</v>
      </c>
      <c r="T1037" s="11" t="s">
        <v>1807</v>
      </c>
      <c r="U1037" s="2" t="s">
        <v>1574</v>
      </c>
      <c r="V1037" s="2" t="s">
        <v>1568</v>
      </c>
      <c r="W1037" s="2" t="s">
        <v>1569</v>
      </c>
      <c r="X1037" s="2" t="s">
        <v>1570</v>
      </c>
      <c r="AB1037" s="2" t="s">
        <v>1571</v>
      </c>
    </row>
    <row r="1038">
      <c r="A1038" s="2" t="s">
        <v>1826</v>
      </c>
      <c r="B1038" s="2">
        <v>17.0</v>
      </c>
      <c r="C1038" s="2" t="s">
        <v>11</v>
      </c>
      <c r="D1038" s="2" t="s">
        <v>1827</v>
      </c>
      <c r="E1038" s="2">
        <v>7.0</v>
      </c>
      <c r="F1038" s="2" t="s">
        <v>10</v>
      </c>
      <c r="G1038" s="5">
        <v>2653885.0</v>
      </c>
      <c r="H1038" s="2" t="s">
        <v>1575</v>
      </c>
      <c r="I1038" s="2" t="s">
        <v>1565</v>
      </c>
      <c r="J1038" s="2">
        <v>10000.0</v>
      </c>
      <c r="K1038" s="2" t="s">
        <v>1566</v>
      </c>
      <c r="L1038" s="2"/>
      <c r="M1038" s="2"/>
      <c r="N1038" s="7">
        <v>1.0</v>
      </c>
      <c r="O1038" s="12">
        <v>29524.0</v>
      </c>
      <c r="P1038" s="11" t="s">
        <v>1649</v>
      </c>
      <c r="Q1038" s="12">
        <v>29524.0</v>
      </c>
      <c r="R1038" s="11" t="s">
        <v>1649</v>
      </c>
      <c r="S1038" s="11" t="s">
        <v>1683</v>
      </c>
      <c r="T1038" s="11" t="s">
        <v>1684</v>
      </c>
      <c r="U1038" s="2" t="s">
        <v>1574</v>
      </c>
      <c r="V1038" s="2" t="s">
        <v>1568</v>
      </c>
      <c r="W1038" s="2" t="s">
        <v>1569</v>
      </c>
      <c r="X1038" s="2" t="s">
        <v>1570</v>
      </c>
      <c r="AB1038" s="2" t="s">
        <v>1571</v>
      </c>
    </row>
    <row r="1039">
      <c r="A1039" s="2" t="s">
        <v>1826</v>
      </c>
      <c r="B1039" s="2">
        <v>17.0</v>
      </c>
      <c r="C1039" s="2" t="s">
        <v>11</v>
      </c>
      <c r="D1039" s="2" t="s">
        <v>1827</v>
      </c>
      <c r="E1039" s="2">
        <v>7.0</v>
      </c>
      <c r="F1039" s="2" t="s">
        <v>10</v>
      </c>
      <c r="G1039" s="5">
        <v>2653885.0</v>
      </c>
      <c r="H1039" s="2" t="s">
        <v>1575</v>
      </c>
      <c r="I1039" s="2" t="s">
        <v>1565</v>
      </c>
      <c r="J1039" s="2">
        <v>10002.0</v>
      </c>
      <c r="K1039" s="2" t="s">
        <v>1576</v>
      </c>
      <c r="L1039" s="2"/>
      <c r="M1039" s="2"/>
      <c r="N1039" s="7">
        <v>1.0</v>
      </c>
      <c r="O1039" s="12">
        <v>18571.0</v>
      </c>
      <c r="P1039" s="11" t="s">
        <v>1649</v>
      </c>
      <c r="Q1039" s="12">
        <v>18571.0</v>
      </c>
      <c r="R1039" s="11" t="s">
        <v>1649</v>
      </c>
      <c r="S1039" s="11" t="s">
        <v>1656</v>
      </c>
      <c r="T1039" s="11" t="s">
        <v>1657</v>
      </c>
      <c r="U1039" s="2" t="s">
        <v>1574</v>
      </c>
      <c r="V1039" s="2" t="s">
        <v>1568</v>
      </c>
      <c r="W1039" s="2" t="s">
        <v>1569</v>
      </c>
      <c r="X1039" s="2" t="s">
        <v>1570</v>
      </c>
      <c r="AB1039" s="2" t="s">
        <v>1571</v>
      </c>
    </row>
    <row r="1040">
      <c r="A1040" s="2" t="s">
        <v>1826</v>
      </c>
      <c r="B1040" s="2">
        <v>16.0</v>
      </c>
      <c r="C1040" s="2" t="s">
        <v>11</v>
      </c>
      <c r="D1040" s="2" t="s">
        <v>1827</v>
      </c>
      <c r="E1040" s="2">
        <v>7.0</v>
      </c>
      <c r="F1040" s="2" t="s">
        <v>10</v>
      </c>
      <c r="G1040" s="5">
        <v>2653520.0</v>
      </c>
      <c r="H1040" s="2" t="s">
        <v>1575</v>
      </c>
      <c r="I1040" s="2" t="s">
        <v>1572</v>
      </c>
      <c r="J1040" s="2">
        <v>10126.0</v>
      </c>
      <c r="K1040" s="2" t="s">
        <v>1600</v>
      </c>
      <c r="L1040" s="2"/>
      <c r="M1040" s="2"/>
      <c r="N1040" s="7">
        <v>1.0</v>
      </c>
      <c r="O1040" s="12">
        <v>23810.0</v>
      </c>
      <c r="P1040" s="11" t="s">
        <v>1649</v>
      </c>
      <c r="Q1040" s="12">
        <v>23810.0</v>
      </c>
      <c r="R1040" s="11" t="s">
        <v>1649</v>
      </c>
      <c r="S1040" s="11" t="s">
        <v>1709</v>
      </c>
      <c r="T1040" s="11" t="s">
        <v>1710</v>
      </c>
      <c r="U1040" s="2" t="s">
        <v>1574</v>
      </c>
      <c r="V1040" s="2" t="s">
        <v>1568</v>
      </c>
      <c r="W1040" s="2" t="s">
        <v>1569</v>
      </c>
      <c r="X1040" s="2" t="s">
        <v>1570</v>
      </c>
      <c r="AB1040" s="2" t="s">
        <v>1571</v>
      </c>
    </row>
    <row r="1041">
      <c r="A1041" s="2" t="s">
        <v>1826</v>
      </c>
      <c r="B1041" s="2">
        <v>16.0</v>
      </c>
      <c r="C1041" s="2" t="s">
        <v>11</v>
      </c>
      <c r="D1041" s="2" t="s">
        <v>1827</v>
      </c>
      <c r="E1041" s="2">
        <v>7.0</v>
      </c>
      <c r="F1041" s="2" t="s">
        <v>10</v>
      </c>
      <c r="G1041" s="5">
        <v>2653520.0</v>
      </c>
      <c r="H1041" s="2" t="s">
        <v>1575</v>
      </c>
      <c r="I1041" s="2" t="s">
        <v>1578</v>
      </c>
      <c r="J1041" s="2">
        <v>10004.0</v>
      </c>
      <c r="K1041" s="2" t="s">
        <v>1607</v>
      </c>
      <c r="L1041" s="2"/>
      <c r="M1041" s="2"/>
      <c r="N1041" s="7">
        <v>1.0</v>
      </c>
      <c r="O1041" s="12">
        <v>25238.0</v>
      </c>
      <c r="P1041" s="11" t="s">
        <v>1649</v>
      </c>
      <c r="Q1041" s="12">
        <v>25238.0</v>
      </c>
      <c r="R1041" s="11" t="s">
        <v>1649</v>
      </c>
      <c r="S1041" s="11" t="s">
        <v>1660</v>
      </c>
      <c r="T1041" s="11" t="s">
        <v>1661</v>
      </c>
      <c r="U1041" s="2" t="s">
        <v>1574</v>
      </c>
      <c r="V1041" s="2" t="s">
        <v>1568</v>
      </c>
      <c r="W1041" s="2" t="s">
        <v>1569</v>
      </c>
      <c r="X1041" s="2" t="s">
        <v>1570</v>
      </c>
      <c r="AB1041" s="2" t="s">
        <v>1571</v>
      </c>
    </row>
    <row r="1042">
      <c r="A1042" s="2" t="s">
        <v>1826</v>
      </c>
      <c r="B1042" s="2">
        <v>16.0</v>
      </c>
      <c r="C1042" s="2" t="s">
        <v>11</v>
      </c>
      <c r="D1042" s="2" t="s">
        <v>1827</v>
      </c>
      <c r="E1042" s="2">
        <v>7.0</v>
      </c>
      <c r="F1042" s="2" t="s">
        <v>10</v>
      </c>
      <c r="G1042" s="5">
        <v>2653154.0</v>
      </c>
      <c r="H1042" s="2" t="s">
        <v>1575</v>
      </c>
      <c r="I1042" s="2" t="s">
        <v>1565</v>
      </c>
      <c r="J1042" s="2">
        <v>10000.0</v>
      </c>
      <c r="K1042" s="2" t="s">
        <v>1566</v>
      </c>
      <c r="L1042" s="2"/>
      <c r="M1042" s="2"/>
      <c r="N1042" s="7">
        <v>1.0</v>
      </c>
      <c r="O1042" s="12">
        <v>29524.0</v>
      </c>
      <c r="P1042" s="11" t="s">
        <v>1649</v>
      </c>
      <c r="Q1042" s="12">
        <v>29524.0</v>
      </c>
      <c r="R1042" s="11" t="s">
        <v>1649</v>
      </c>
      <c r="S1042" s="11" t="s">
        <v>1683</v>
      </c>
      <c r="T1042" s="11" t="s">
        <v>1684</v>
      </c>
      <c r="U1042" s="2" t="s">
        <v>1574</v>
      </c>
      <c r="V1042" s="2" t="s">
        <v>1568</v>
      </c>
      <c r="W1042" s="2" t="s">
        <v>1569</v>
      </c>
      <c r="X1042" s="2" t="s">
        <v>1570</v>
      </c>
      <c r="AB1042" s="2" t="s">
        <v>1571</v>
      </c>
    </row>
    <row r="1043">
      <c r="A1043" s="2" t="s">
        <v>1826</v>
      </c>
      <c r="B1043" s="2">
        <v>16.0</v>
      </c>
      <c r="C1043" s="2" t="s">
        <v>11</v>
      </c>
      <c r="D1043" s="2" t="s">
        <v>1827</v>
      </c>
      <c r="E1043" s="2">
        <v>7.0</v>
      </c>
      <c r="F1043" s="2" t="s">
        <v>10</v>
      </c>
      <c r="G1043" s="5">
        <v>2653154.0</v>
      </c>
      <c r="H1043" s="2" t="s">
        <v>1575</v>
      </c>
      <c r="I1043" s="2" t="s">
        <v>1572</v>
      </c>
      <c r="J1043" s="2">
        <v>10128.0</v>
      </c>
      <c r="K1043" s="2" t="s">
        <v>1588</v>
      </c>
      <c r="L1043" s="2"/>
      <c r="M1043" s="2"/>
      <c r="N1043" s="7">
        <v>1.0</v>
      </c>
      <c r="O1043" s="12">
        <v>23333.0</v>
      </c>
      <c r="P1043" s="11" t="s">
        <v>1649</v>
      </c>
      <c r="Q1043" s="12">
        <v>23333.0</v>
      </c>
      <c r="R1043" s="11" t="s">
        <v>1649</v>
      </c>
      <c r="S1043" s="11" t="s">
        <v>1681</v>
      </c>
      <c r="T1043" s="11" t="s">
        <v>1682</v>
      </c>
      <c r="U1043" s="2" t="s">
        <v>1574</v>
      </c>
      <c r="V1043" s="2" t="s">
        <v>1568</v>
      </c>
      <c r="W1043" s="2" t="s">
        <v>1569</v>
      </c>
      <c r="X1043" s="2" t="s">
        <v>1570</v>
      </c>
      <c r="AB1043" s="2" t="s">
        <v>1571</v>
      </c>
    </row>
    <row r="1044">
      <c r="A1044" s="2" t="s">
        <v>1826</v>
      </c>
      <c r="B1044" s="2">
        <v>16.0</v>
      </c>
      <c r="C1044" s="2" t="s">
        <v>11</v>
      </c>
      <c r="D1044" s="2" t="s">
        <v>1827</v>
      </c>
      <c r="E1044" s="2">
        <v>7.0</v>
      </c>
      <c r="F1044" s="2" t="s">
        <v>10</v>
      </c>
      <c r="G1044" s="5">
        <v>2652789.0</v>
      </c>
      <c r="H1044" s="2" t="s">
        <v>1575</v>
      </c>
      <c r="I1044" s="2" t="s">
        <v>1572</v>
      </c>
      <c r="J1044" s="2">
        <v>10128.0</v>
      </c>
      <c r="K1044" s="2" t="s">
        <v>1588</v>
      </c>
      <c r="L1044" s="2"/>
      <c r="M1044" s="2"/>
      <c r="N1044" s="7">
        <v>1.0</v>
      </c>
      <c r="O1044" s="12">
        <v>23333.0</v>
      </c>
      <c r="P1044" s="11" t="s">
        <v>1649</v>
      </c>
      <c r="Q1044" s="12">
        <v>23333.0</v>
      </c>
      <c r="R1044" s="11" t="s">
        <v>1649</v>
      </c>
      <c r="S1044" s="11" t="s">
        <v>1681</v>
      </c>
      <c r="T1044" s="11" t="s">
        <v>1682</v>
      </c>
      <c r="U1044" s="2" t="s">
        <v>1574</v>
      </c>
      <c r="V1044" s="2" t="s">
        <v>1568</v>
      </c>
      <c r="W1044" s="2" t="s">
        <v>1569</v>
      </c>
      <c r="X1044" s="2" t="s">
        <v>1570</v>
      </c>
      <c r="AB1044" s="2" t="s">
        <v>1571</v>
      </c>
    </row>
    <row r="1045">
      <c r="A1045" s="2" t="s">
        <v>1826</v>
      </c>
      <c r="B1045" s="2">
        <v>16.0</v>
      </c>
      <c r="C1045" s="2" t="s">
        <v>11</v>
      </c>
      <c r="D1045" s="2" t="s">
        <v>1827</v>
      </c>
      <c r="E1045" s="2">
        <v>7.0</v>
      </c>
      <c r="F1045" s="2" t="s">
        <v>10</v>
      </c>
      <c r="G1045" s="5">
        <v>2652789.0</v>
      </c>
      <c r="H1045" s="2" t="s">
        <v>1575</v>
      </c>
      <c r="I1045" s="2" t="s">
        <v>1565</v>
      </c>
      <c r="J1045" s="2">
        <v>10002.0</v>
      </c>
      <c r="K1045" s="2" t="s">
        <v>1576</v>
      </c>
      <c r="L1045" s="2"/>
      <c r="M1045" s="2"/>
      <c r="N1045" s="7">
        <v>1.0</v>
      </c>
      <c r="O1045" s="12">
        <v>18571.0</v>
      </c>
      <c r="P1045" s="11" t="s">
        <v>1649</v>
      </c>
      <c r="Q1045" s="12">
        <v>18571.0</v>
      </c>
      <c r="R1045" s="11" t="s">
        <v>1649</v>
      </c>
      <c r="S1045" s="11" t="s">
        <v>1656</v>
      </c>
      <c r="T1045" s="11" t="s">
        <v>1688</v>
      </c>
      <c r="U1045" s="2" t="s">
        <v>1574</v>
      </c>
      <c r="V1045" s="2" t="s">
        <v>1568</v>
      </c>
      <c r="W1045" s="2" t="s">
        <v>1569</v>
      </c>
      <c r="X1045" s="2" t="s">
        <v>1570</v>
      </c>
      <c r="AB1045" s="2" t="s">
        <v>1571</v>
      </c>
    </row>
    <row r="1046">
      <c r="A1046" s="2" t="s">
        <v>1826</v>
      </c>
      <c r="B1046" s="2">
        <v>16.0</v>
      </c>
      <c r="C1046" s="2" t="s">
        <v>11</v>
      </c>
      <c r="D1046" s="2" t="s">
        <v>1827</v>
      </c>
      <c r="E1046" s="2">
        <v>7.0</v>
      </c>
      <c r="F1046" s="2" t="s">
        <v>10</v>
      </c>
      <c r="G1046" s="5">
        <v>2652424.0</v>
      </c>
      <c r="H1046" s="2" t="s">
        <v>1575</v>
      </c>
      <c r="I1046" s="2" t="s">
        <v>1572</v>
      </c>
      <c r="J1046" s="2">
        <v>10026.0</v>
      </c>
      <c r="K1046" s="2" t="s">
        <v>1583</v>
      </c>
      <c r="L1046" s="2"/>
      <c r="M1046" s="2"/>
      <c r="N1046" s="7">
        <v>1.0</v>
      </c>
      <c r="O1046" s="12">
        <v>21905.0</v>
      </c>
      <c r="P1046" s="11" t="s">
        <v>1649</v>
      </c>
      <c r="Q1046" s="12">
        <v>21905.0</v>
      </c>
      <c r="R1046" s="11" t="s">
        <v>1649</v>
      </c>
      <c r="S1046" s="11" t="s">
        <v>1666</v>
      </c>
      <c r="T1046" s="11" t="s">
        <v>1667</v>
      </c>
      <c r="U1046" s="2" t="s">
        <v>1574</v>
      </c>
      <c r="V1046" s="2" t="s">
        <v>1568</v>
      </c>
      <c r="W1046" s="2" t="s">
        <v>1569</v>
      </c>
      <c r="X1046" s="2" t="s">
        <v>1570</v>
      </c>
      <c r="AB1046" s="2" t="s">
        <v>1571</v>
      </c>
    </row>
    <row r="1047">
      <c r="A1047" s="2" t="s">
        <v>1826</v>
      </c>
      <c r="B1047" s="2">
        <v>16.0</v>
      </c>
      <c r="C1047" s="2" t="s">
        <v>11</v>
      </c>
      <c r="D1047" s="2" t="s">
        <v>1827</v>
      </c>
      <c r="E1047" s="2">
        <v>7.0</v>
      </c>
      <c r="F1047" s="2" t="s">
        <v>10</v>
      </c>
      <c r="G1047" s="5">
        <v>2652424.0</v>
      </c>
      <c r="H1047" s="2" t="s">
        <v>1575</v>
      </c>
      <c r="I1047" s="2" t="s">
        <v>1572</v>
      </c>
      <c r="J1047" s="2">
        <v>10070.0</v>
      </c>
      <c r="K1047" s="2" t="s">
        <v>1593</v>
      </c>
      <c r="L1047" s="2"/>
      <c r="M1047" s="2"/>
      <c r="N1047" s="7">
        <v>1.0</v>
      </c>
      <c r="O1047" s="12">
        <v>24762.0</v>
      </c>
      <c r="P1047" s="11" t="s">
        <v>1649</v>
      </c>
      <c r="Q1047" s="12">
        <v>24762.0</v>
      </c>
      <c r="R1047" s="11" t="s">
        <v>1649</v>
      </c>
      <c r="S1047" s="11" t="s">
        <v>1689</v>
      </c>
      <c r="T1047" s="11" t="s">
        <v>1693</v>
      </c>
      <c r="U1047" s="2" t="s">
        <v>1574</v>
      </c>
      <c r="V1047" s="2" t="s">
        <v>1568</v>
      </c>
      <c r="W1047" s="2" t="s">
        <v>1569</v>
      </c>
      <c r="X1047" s="2" t="s">
        <v>1570</v>
      </c>
      <c r="AB1047" s="2" t="s">
        <v>1571</v>
      </c>
    </row>
    <row r="1048">
      <c r="A1048" s="2" t="s">
        <v>1826</v>
      </c>
      <c r="B1048" s="2">
        <v>16.0</v>
      </c>
      <c r="C1048" s="2" t="s">
        <v>11</v>
      </c>
      <c r="D1048" s="2" t="s">
        <v>1827</v>
      </c>
      <c r="E1048" s="2">
        <v>7.0</v>
      </c>
      <c r="F1048" s="2" t="s">
        <v>10</v>
      </c>
      <c r="G1048" s="5">
        <v>2652424.0</v>
      </c>
      <c r="H1048" s="2" t="s">
        <v>1575</v>
      </c>
      <c r="I1048" s="2" t="s">
        <v>1578</v>
      </c>
      <c r="J1048" s="2">
        <v>10004.0</v>
      </c>
      <c r="K1048" s="2" t="s">
        <v>1607</v>
      </c>
      <c r="L1048" s="2"/>
      <c r="M1048" s="2"/>
      <c r="N1048" s="7">
        <v>1.0</v>
      </c>
      <c r="O1048" s="12">
        <v>25238.0</v>
      </c>
      <c r="P1048" s="11" t="s">
        <v>1649</v>
      </c>
      <c r="Q1048" s="12">
        <v>25238.0</v>
      </c>
      <c r="R1048" s="11" t="s">
        <v>1649</v>
      </c>
      <c r="S1048" s="11" t="s">
        <v>1660</v>
      </c>
      <c r="T1048" s="11" t="s">
        <v>1680</v>
      </c>
      <c r="U1048" s="2" t="s">
        <v>1574</v>
      </c>
      <c r="V1048" s="2" t="s">
        <v>1568</v>
      </c>
      <c r="W1048" s="2" t="s">
        <v>1569</v>
      </c>
      <c r="X1048" s="2" t="s">
        <v>1570</v>
      </c>
      <c r="AB1048" s="2" t="s">
        <v>1571</v>
      </c>
    </row>
    <row r="1049">
      <c r="A1049" s="2" t="s">
        <v>1826</v>
      </c>
      <c r="B1049" s="2">
        <v>16.0</v>
      </c>
      <c r="C1049" s="2" t="s">
        <v>11</v>
      </c>
      <c r="D1049" s="2" t="s">
        <v>1827</v>
      </c>
      <c r="E1049" s="2">
        <v>7.0</v>
      </c>
      <c r="F1049" s="2" t="s">
        <v>10</v>
      </c>
      <c r="G1049" s="5">
        <v>2652424.0</v>
      </c>
      <c r="H1049" s="2" t="s">
        <v>1575</v>
      </c>
      <c r="I1049" s="2" t="s">
        <v>1578</v>
      </c>
      <c r="J1049" s="2">
        <v>10014.0</v>
      </c>
      <c r="K1049" s="2" t="s">
        <v>1609</v>
      </c>
      <c r="L1049" s="2"/>
      <c r="M1049" s="2"/>
      <c r="N1049" s="7">
        <v>1.0</v>
      </c>
      <c r="O1049" s="12">
        <v>25238.0</v>
      </c>
      <c r="P1049" s="11" t="s">
        <v>1649</v>
      </c>
      <c r="Q1049" s="12">
        <v>25238.0</v>
      </c>
      <c r="R1049" s="11" t="s">
        <v>1649</v>
      </c>
      <c r="S1049" s="11" t="s">
        <v>1660</v>
      </c>
      <c r="T1049" s="11" t="s">
        <v>1680</v>
      </c>
      <c r="U1049" s="2" t="s">
        <v>1574</v>
      </c>
      <c r="V1049" s="2" t="s">
        <v>1568</v>
      </c>
      <c r="W1049" s="2" t="s">
        <v>1569</v>
      </c>
      <c r="X1049" s="2" t="s">
        <v>1570</v>
      </c>
      <c r="AB1049" s="2" t="s">
        <v>1571</v>
      </c>
    </row>
    <row r="1050">
      <c r="A1050" s="2" t="s">
        <v>1826</v>
      </c>
      <c r="B1050" s="2">
        <v>16.0</v>
      </c>
      <c r="C1050" s="2" t="s">
        <v>11</v>
      </c>
      <c r="D1050" s="2" t="s">
        <v>1827</v>
      </c>
      <c r="E1050" s="2">
        <v>7.0</v>
      </c>
      <c r="F1050" s="2" t="s">
        <v>10</v>
      </c>
      <c r="G1050" s="5">
        <v>2652424.0</v>
      </c>
      <c r="H1050" s="2" t="s">
        <v>1575</v>
      </c>
      <c r="I1050" s="2" t="s">
        <v>1578</v>
      </c>
      <c r="J1050" s="2">
        <v>10010.0</v>
      </c>
      <c r="K1050" s="2" t="s">
        <v>1606</v>
      </c>
      <c r="L1050" s="2"/>
      <c r="M1050" s="2"/>
      <c r="N1050" s="7">
        <v>1.0</v>
      </c>
      <c r="O1050" s="12">
        <v>25238.0</v>
      </c>
      <c r="P1050" s="11" t="s">
        <v>1649</v>
      </c>
      <c r="Q1050" s="12">
        <v>25238.0</v>
      </c>
      <c r="R1050" s="11" t="s">
        <v>1649</v>
      </c>
      <c r="S1050" s="11" t="s">
        <v>1660</v>
      </c>
      <c r="T1050" s="11" t="s">
        <v>1680</v>
      </c>
      <c r="U1050" s="2" t="s">
        <v>1574</v>
      </c>
      <c r="V1050" s="2" t="s">
        <v>1568</v>
      </c>
      <c r="W1050" s="2" t="s">
        <v>1569</v>
      </c>
      <c r="X1050" s="2" t="s">
        <v>1570</v>
      </c>
      <c r="AB1050" s="2" t="s">
        <v>1571</v>
      </c>
    </row>
    <row r="1051">
      <c r="A1051" s="2" t="s">
        <v>1826</v>
      </c>
      <c r="B1051" s="2">
        <v>16.0</v>
      </c>
      <c r="C1051" s="2" t="s">
        <v>11</v>
      </c>
      <c r="D1051" s="2" t="s">
        <v>1827</v>
      </c>
      <c r="E1051" s="2">
        <v>7.0</v>
      </c>
      <c r="F1051" s="2" t="s">
        <v>10</v>
      </c>
      <c r="G1051" s="5">
        <v>2652424.0</v>
      </c>
      <c r="H1051" s="2" t="s">
        <v>1575</v>
      </c>
      <c r="I1051" s="2" t="s">
        <v>1572</v>
      </c>
      <c r="J1051" s="2">
        <v>10106.0</v>
      </c>
      <c r="K1051" s="2" t="s">
        <v>1598</v>
      </c>
      <c r="L1051" s="2"/>
      <c r="M1051" s="2"/>
      <c r="N1051" s="7">
        <v>1.0</v>
      </c>
      <c r="O1051" s="12">
        <v>26667.0</v>
      </c>
      <c r="P1051" s="11" t="s">
        <v>1649</v>
      </c>
      <c r="Q1051" s="12">
        <v>26667.0</v>
      </c>
      <c r="R1051" s="11" t="s">
        <v>1649</v>
      </c>
      <c r="S1051" s="11" t="s">
        <v>1674</v>
      </c>
      <c r="T1051" s="11" t="s">
        <v>1679</v>
      </c>
      <c r="U1051" s="2" t="s">
        <v>1574</v>
      </c>
      <c r="V1051" s="2" t="s">
        <v>1568</v>
      </c>
      <c r="W1051" s="2" t="s">
        <v>1569</v>
      </c>
      <c r="X1051" s="2" t="s">
        <v>1570</v>
      </c>
      <c r="AB1051" s="2" t="s">
        <v>1571</v>
      </c>
    </row>
    <row r="1052">
      <c r="A1052" s="2" t="s">
        <v>1826</v>
      </c>
      <c r="B1052" s="2">
        <v>16.0</v>
      </c>
      <c r="C1052" s="2" t="s">
        <v>11</v>
      </c>
      <c r="D1052" s="2" t="s">
        <v>1827</v>
      </c>
      <c r="E1052" s="2">
        <v>7.0</v>
      </c>
      <c r="F1052" s="2" t="s">
        <v>10</v>
      </c>
      <c r="G1052" s="5">
        <v>2652424.0</v>
      </c>
      <c r="H1052" s="2" t="s">
        <v>1575</v>
      </c>
      <c r="I1052" s="2" t="s">
        <v>1572</v>
      </c>
      <c r="J1052" s="2">
        <v>10128.0</v>
      </c>
      <c r="K1052" s="2" t="s">
        <v>1588</v>
      </c>
      <c r="L1052" s="2"/>
      <c r="M1052" s="2"/>
      <c r="N1052" s="7">
        <v>1.0</v>
      </c>
      <c r="O1052" s="12">
        <v>23333.0</v>
      </c>
      <c r="P1052" s="11" t="s">
        <v>1649</v>
      </c>
      <c r="Q1052" s="12">
        <v>23333.0</v>
      </c>
      <c r="R1052" s="11" t="s">
        <v>1649</v>
      </c>
      <c r="S1052" s="11" t="s">
        <v>1681</v>
      </c>
      <c r="T1052" s="11" t="s">
        <v>1682</v>
      </c>
      <c r="U1052" s="2" t="s">
        <v>1574</v>
      </c>
      <c r="V1052" s="2" t="s">
        <v>1568</v>
      </c>
      <c r="W1052" s="2" t="s">
        <v>1569</v>
      </c>
      <c r="X1052" s="2" t="s">
        <v>1570</v>
      </c>
      <c r="AB1052" s="2" t="s">
        <v>1571</v>
      </c>
    </row>
    <row r="1053">
      <c r="A1053" s="2" t="s">
        <v>1826</v>
      </c>
      <c r="B1053" s="2">
        <v>16.0</v>
      </c>
      <c r="C1053" s="2" t="s">
        <v>11</v>
      </c>
      <c r="D1053" s="2" t="s">
        <v>1827</v>
      </c>
      <c r="E1053" s="2">
        <v>7.0</v>
      </c>
      <c r="F1053" s="2" t="s">
        <v>10</v>
      </c>
      <c r="G1053" s="5">
        <v>2652424.0</v>
      </c>
      <c r="H1053" s="2" t="s">
        <v>1575</v>
      </c>
      <c r="I1053" s="2" t="s">
        <v>1565</v>
      </c>
      <c r="J1053" s="2">
        <v>10002.0</v>
      </c>
      <c r="K1053" s="2" t="s">
        <v>1576</v>
      </c>
      <c r="L1053" s="2"/>
      <c r="M1053" s="2"/>
      <c r="N1053" s="7">
        <v>1.0</v>
      </c>
      <c r="O1053" s="12">
        <v>18571.0</v>
      </c>
      <c r="P1053" s="11" t="s">
        <v>1649</v>
      </c>
      <c r="Q1053" s="12">
        <v>18571.0</v>
      </c>
      <c r="R1053" s="11" t="s">
        <v>1649</v>
      </c>
      <c r="S1053" s="11" t="s">
        <v>1656</v>
      </c>
      <c r="T1053" s="11" t="s">
        <v>1657</v>
      </c>
      <c r="U1053" s="2" t="s">
        <v>1574</v>
      </c>
      <c r="V1053" s="2" t="s">
        <v>1568</v>
      </c>
      <c r="W1053" s="2" t="s">
        <v>1569</v>
      </c>
      <c r="X1053" s="2" t="s">
        <v>1570</v>
      </c>
      <c r="AB1053" s="2" t="s">
        <v>1571</v>
      </c>
    </row>
    <row r="1054">
      <c r="A1054" s="2" t="s">
        <v>1826</v>
      </c>
      <c r="B1054" s="2">
        <v>15.0</v>
      </c>
      <c r="C1054" s="2" t="s">
        <v>11</v>
      </c>
      <c r="D1054" s="2" t="s">
        <v>1827</v>
      </c>
      <c r="E1054" s="2">
        <v>7.0</v>
      </c>
      <c r="F1054" s="2" t="s">
        <v>10</v>
      </c>
      <c r="G1054" s="5">
        <v>2652059.0</v>
      </c>
      <c r="H1054" s="2" t="s">
        <v>1575</v>
      </c>
      <c r="I1054" s="2" t="s">
        <v>1572</v>
      </c>
      <c r="J1054" s="2">
        <v>10026.0</v>
      </c>
      <c r="K1054" s="2" t="s">
        <v>1583</v>
      </c>
      <c r="L1054" s="2"/>
      <c r="M1054" s="2"/>
      <c r="N1054" s="7">
        <v>1.0</v>
      </c>
      <c r="O1054" s="12">
        <v>21905.0</v>
      </c>
      <c r="P1054" s="11" t="s">
        <v>1649</v>
      </c>
      <c r="Q1054" s="12">
        <v>21905.0</v>
      </c>
      <c r="R1054" s="11" t="s">
        <v>1649</v>
      </c>
      <c r="S1054" s="11" t="s">
        <v>1666</v>
      </c>
      <c r="T1054" s="11" t="s">
        <v>1667</v>
      </c>
      <c r="U1054" s="2" t="s">
        <v>1574</v>
      </c>
      <c r="V1054" s="2" t="s">
        <v>1568</v>
      </c>
      <c r="W1054" s="2" t="s">
        <v>1569</v>
      </c>
      <c r="X1054" s="2" t="s">
        <v>1570</v>
      </c>
      <c r="AB1054" s="2" t="s">
        <v>1571</v>
      </c>
    </row>
    <row r="1055">
      <c r="A1055" s="2" t="s">
        <v>1826</v>
      </c>
      <c r="B1055" s="2">
        <v>15.0</v>
      </c>
      <c r="C1055" s="2" t="s">
        <v>11</v>
      </c>
      <c r="D1055" s="2" t="s">
        <v>1827</v>
      </c>
      <c r="E1055" s="2">
        <v>7.0</v>
      </c>
      <c r="F1055" s="2" t="s">
        <v>10</v>
      </c>
      <c r="G1055" s="5">
        <v>2652059.0</v>
      </c>
      <c r="H1055" s="2" t="s">
        <v>1575</v>
      </c>
      <c r="I1055" s="2" t="s">
        <v>1578</v>
      </c>
      <c r="J1055" s="2">
        <v>10011.0</v>
      </c>
      <c r="K1055" s="2" t="s">
        <v>1605</v>
      </c>
      <c r="L1055" s="2"/>
      <c r="M1055" s="2"/>
      <c r="N1055" s="7">
        <v>1.0</v>
      </c>
      <c r="O1055" s="12">
        <v>25238.0</v>
      </c>
      <c r="P1055" s="11" t="s">
        <v>1649</v>
      </c>
      <c r="Q1055" s="12">
        <v>25238.0</v>
      </c>
      <c r="R1055" s="11" t="s">
        <v>1649</v>
      </c>
      <c r="S1055" s="11" t="s">
        <v>1660</v>
      </c>
      <c r="T1055" s="11" t="s">
        <v>1680</v>
      </c>
      <c r="U1055" s="2" t="s">
        <v>1574</v>
      </c>
      <c r="V1055" s="2" t="s">
        <v>1568</v>
      </c>
      <c r="W1055" s="2" t="s">
        <v>1569</v>
      </c>
      <c r="X1055" s="2" t="s">
        <v>1570</v>
      </c>
      <c r="AB1055" s="2" t="s">
        <v>1571</v>
      </c>
    </row>
    <row r="1056">
      <c r="A1056" s="2" t="s">
        <v>1826</v>
      </c>
      <c r="B1056" s="2">
        <v>15.0</v>
      </c>
      <c r="C1056" s="2" t="s">
        <v>11</v>
      </c>
      <c r="D1056" s="2" t="s">
        <v>1827</v>
      </c>
      <c r="E1056" s="2">
        <v>7.0</v>
      </c>
      <c r="F1056" s="2" t="s">
        <v>10</v>
      </c>
      <c r="G1056" s="5">
        <v>2652059.0</v>
      </c>
      <c r="H1056" s="2" t="s">
        <v>1575</v>
      </c>
      <c r="I1056" s="2" t="s">
        <v>1572</v>
      </c>
      <c r="J1056" s="2">
        <v>10070.0</v>
      </c>
      <c r="K1056" s="2" t="s">
        <v>1593</v>
      </c>
      <c r="L1056" s="2"/>
      <c r="M1056" s="2"/>
      <c r="N1056" s="7">
        <v>1.0</v>
      </c>
      <c r="O1056" s="12">
        <v>24762.0</v>
      </c>
      <c r="P1056" s="11" t="s">
        <v>1649</v>
      </c>
      <c r="Q1056" s="12">
        <v>24762.0</v>
      </c>
      <c r="R1056" s="11" t="s">
        <v>1649</v>
      </c>
      <c r="S1056" s="11" t="s">
        <v>1689</v>
      </c>
      <c r="T1056" s="11" t="s">
        <v>1693</v>
      </c>
      <c r="U1056" s="2" t="s">
        <v>1574</v>
      </c>
      <c r="V1056" s="2" t="s">
        <v>1568</v>
      </c>
      <c r="W1056" s="2" t="s">
        <v>1569</v>
      </c>
      <c r="X1056" s="2" t="s">
        <v>1570</v>
      </c>
      <c r="AB1056" s="2" t="s">
        <v>1571</v>
      </c>
    </row>
    <row r="1057">
      <c r="A1057" s="2" t="s">
        <v>1826</v>
      </c>
      <c r="B1057" s="2">
        <v>15.0</v>
      </c>
      <c r="C1057" s="2" t="s">
        <v>11</v>
      </c>
      <c r="D1057" s="2" t="s">
        <v>1827</v>
      </c>
      <c r="E1057" s="2">
        <v>7.0</v>
      </c>
      <c r="F1057" s="2" t="s">
        <v>10</v>
      </c>
      <c r="G1057" s="5">
        <v>2651693.0</v>
      </c>
      <c r="H1057" s="2" t="s">
        <v>1575</v>
      </c>
      <c r="I1057" s="2" t="s">
        <v>1565</v>
      </c>
      <c r="J1057" s="2">
        <v>10000.0</v>
      </c>
      <c r="K1057" s="2" t="s">
        <v>1566</v>
      </c>
      <c r="L1057" s="2"/>
      <c r="M1057" s="2"/>
      <c r="N1057" s="7">
        <v>1.0</v>
      </c>
      <c r="O1057" s="12">
        <v>29524.0</v>
      </c>
      <c r="P1057" s="11" t="s">
        <v>1649</v>
      </c>
      <c r="Q1057" s="12">
        <v>29524.0</v>
      </c>
      <c r="R1057" s="11" t="s">
        <v>1649</v>
      </c>
      <c r="S1057" s="11" t="s">
        <v>1683</v>
      </c>
      <c r="T1057" s="11" t="s">
        <v>1684</v>
      </c>
      <c r="U1057" s="2" t="s">
        <v>1574</v>
      </c>
      <c r="V1057" s="2" t="s">
        <v>1568</v>
      </c>
      <c r="W1057" s="2" t="s">
        <v>1569</v>
      </c>
      <c r="X1057" s="2" t="s">
        <v>1570</v>
      </c>
      <c r="AB1057" s="2" t="s">
        <v>1571</v>
      </c>
    </row>
    <row r="1058">
      <c r="A1058" s="2" t="s">
        <v>1826</v>
      </c>
      <c r="B1058" s="2">
        <v>15.0</v>
      </c>
      <c r="C1058" s="2" t="s">
        <v>11</v>
      </c>
      <c r="D1058" s="2" t="s">
        <v>1827</v>
      </c>
      <c r="E1058" s="2">
        <v>7.0</v>
      </c>
      <c r="F1058" s="2" t="s">
        <v>10</v>
      </c>
      <c r="G1058" s="5">
        <v>2651693.0</v>
      </c>
      <c r="H1058" s="2" t="s">
        <v>1575</v>
      </c>
      <c r="I1058" s="2" t="s">
        <v>1572</v>
      </c>
      <c r="J1058" s="2">
        <v>10128.0</v>
      </c>
      <c r="K1058" s="2" t="s">
        <v>1588</v>
      </c>
      <c r="L1058" s="2"/>
      <c r="M1058" s="2"/>
      <c r="N1058" s="7">
        <v>3.0</v>
      </c>
      <c r="O1058" s="12">
        <v>69999.0</v>
      </c>
      <c r="P1058" s="11" t="s">
        <v>1649</v>
      </c>
      <c r="Q1058" s="12">
        <v>69999.0</v>
      </c>
      <c r="R1058" s="11" t="s">
        <v>1649</v>
      </c>
      <c r="S1058" s="11" t="s">
        <v>1828</v>
      </c>
      <c r="T1058" s="11" t="s">
        <v>1829</v>
      </c>
      <c r="U1058" s="2" t="s">
        <v>1574</v>
      </c>
      <c r="V1058" s="2" t="s">
        <v>1568</v>
      </c>
      <c r="W1058" s="2" t="s">
        <v>1569</v>
      </c>
      <c r="X1058" s="2" t="s">
        <v>1570</v>
      </c>
      <c r="AB1058" s="2" t="s">
        <v>1571</v>
      </c>
    </row>
    <row r="1059">
      <c r="A1059" s="2" t="s">
        <v>1826</v>
      </c>
      <c r="B1059" s="2">
        <v>15.0</v>
      </c>
      <c r="C1059" s="2" t="s">
        <v>11</v>
      </c>
      <c r="D1059" s="2" t="s">
        <v>1827</v>
      </c>
      <c r="E1059" s="2">
        <v>7.0</v>
      </c>
      <c r="F1059" s="2" t="s">
        <v>10</v>
      </c>
      <c r="G1059" s="5">
        <v>2651693.0</v>
      </c>
      <c r="H1059" s="2" t="s">
        <v>1575</v>
      </c>
      <c r="I1059" s="2" t="s">
        <v>1578</v>
      </c>
      <c r="J1059" s="2">
        <v>10010.0</v>
      </c>
      <c r="K1059" s="2" t="s">
        <v>1606</v>
      </c>
      <c r="L1059" s="2"/>
      <c r="M1059" s="2"/>
      <c r="N1059" s="7">
        <v>1.0</v>
      </c>
      <c r="O1059" s="12">
        <v>25238.0</v>
      </c>
      <c r="P1059" s="11" t="s">
        <v>1649</v>
      </c>
      <c r="Q1059" s="12">
        <v>25238.0</v>
      </c>
      <c r="R1059" s="11" t="s">
        <v>1649</v>
      </c>
      <c r="S1059" s="11" t="s">
        <v>1660</v>
      </c>
      <c r="T1059" s="11" t="s">
        <v>1680</v>
      </c>
      <c r="U1059" s="2" t="s">
        <v>1574</v>
      </c>
      <c r="V1059" s="2" t="s">
        <v>1568</v>
      </c>
      <c r="W1059" s="2" t="s">
        <v>1569</v>
      </c>
      <c r="X1059" s="2" t="s">
        <v>1570</v>
      </c>
      <c r="AB1059" s="2" t="s">
        <v>1571</v>
      </c>
    </row>
    <row r="1060">
      <c r="A1060" s="2" t="s">
        <v>1826</v>
      </c>
      <c r="B1060" s="2">
        <v>15.0</v>
      </c>
      <c r="C1060" s="2" t="s">
        <v>11</v>
      </c>
      <c r="D1060" s="2" t="s">
        <v>1827</v>
      </c>
      <c r="E1060" s="2">
        <v>7.0</v>
      </c>
      <c r="F1060" s="2" t="s">
        <v>10</v>
      </c>
      <c r="G1060" s="5">
        <v>2651693.0</v>
      </c>
      <c r="H1060" s="2" t="s">
        <v>1575</v>
      </c>
      <c r="I1060" s="2" t="s">
        <v>1578</v>
      </c>
      <c r="J1060" s="2">
        <v>10004.0</v>
      </c>
      <c r="K1060" s="2" t="s">
        <v>1607</v>
      </c>
      <c r="L1060" s="2"/>
      <c r="M1060" s="2"/>
      <c r="N1060" s="7">
        <v>1.0</v>
      </c>
      <c r="O1060" s="12">
        <v>25238.0</v>
      </c>
      <c r="P1060" s="11" t="s">
        <v>1649</v>
      </c>
      <c r="Q1060" s="12">
        <v>25238.0</v>
      </c>
      <c r="R1060" s="11" t="s">
        <v>1649</v>
      </c>
      <c r="S1060" s="11" t="s">
        <v>1660</v>
      </c>
      <c r="T1060" s="11" t="s">
        <v>1680</v>
      </c>
      <c r="U1060" s="2" t="s">
        <v>1574</v>
      </c>
      <c r="V1060" s="2" t="s">
        <v>1568</v>
      </c>
      <c r="W1060" s="2" t="s">
        <v>1569</v>
      </c>
      <c r="X1060" s="2" t="s">
        <v>1570</v>
      </c>
      <c r="AB1060" s="2" t="s">
        <v>1571</v>
      </c>
    </row>
    <row r="1061">
      <c r="A1061" s="2" t="s">
        <v>1826</v>
      </c>
      <c r="B1061" s="2">
        <v>14.0</v>
      </c>
      <c r="C1061" s="2" t="s">
        <v>11</v>
      </c>
      <c r="D1061" s="2" t="s">
        <v>1827</v>
      </c>
      <c r="E1061" s="2">
        <v>7.0</v>
      </c>
      <c r="F1061" s="2" t="s">
        <v>10</v>
      </c>
      <c r="G1061" s="5">
        <v>2651328.0</v>
      </c>
      <c r="H1061" s="2" t="s">
        <v>1575</v>
      </c>
      <c r="I1061" s="2" t="s">
        <v>1572</v>
      </c>
      <c r="J1061" s="2">
        <v>10128.0</v>
      </c>
      <c r="K1061" s="2" t="s">
        <v>1588</v>
      </c>
      <c r="L1061" s="2"/>
      <c r="M1061" s="2"/>
      <c r="N1061" s="7">
        <v>1.0</v>
      </c>
      <c r="O1061" s="12">
        <v>23333.0</v>
      </c>
      <c r="P1061" s="11" t="s">
        <v>1649</v>
      </c>
      <c r="Q1061" s="12">
        <v>23333.0</v>
      </c>
      <c r="R1061" s="11" t="s">
        <v>1649</v>
      </c>
      <c r="S1061" s="11" t="s">
        <v>1681</v>
      </c>
      <c r="T1061" s="11" t="s">
        <v>1682</v>
      </c>
      <c r="U1061" s="2" t="s">
        <v>1574</v>
      </c>
      <c r="V1061" s="2" t="s">
        <v>1568</v>
      </c>
      <c r="W1061" s="2" t="s">
        <v>1569</v>
      </c>
      <c r="X1061" s="2" t="s">
        <v>1570</v>
      </c>
      <c r="AB1061" s="2" t="s">
        <v>1571</v>
      </c>
    </row>
    <row r="1062">
      <c r="A1062" s="2" t="s">
        <v>1826</v>
      </c>
      <c r="B1062" s="2">
        <v>14.0</v>
      </c>
      <c r="C1062" s="2" t="s">
        <v>11</v>
      </c>
      <c r="D1062" s="2" t="s">
        <v>1827</v>
      </c>
      <c r="E1062" s="2">
        <v>7.0</v>
      </c>
      <c r="F1062" s="2" t="s">
        <v>10</v>
      </c>
      <c r="G1062" s="5">
        <v>2651328.0</v>
      </c>
      <c r="H1062" s="2" t="s">
        <v>1575</v>
      </c>
      <c r="I1062" s="2" t="s">
        <v>1565</v>
      </c>
      <c r="J1062" s="2">
        <v>10002.0</v>
      </c>
      <c r="K1062" s="2" t="s">
        <v>1576</v>
      </c>
      <c r="L1062" s="2"/>
      <c r="M1062" s="2"/>
      <c r="N1062" s="7">
        <v>1.0</v>
      </c>
      <c r="O1062" s="12">
        <v>18571.0</v>
      </c>
      <c r="P1062" s="11" t="s">
        <v>1649</v>
      </c>
      <c r="Q1062" s="12">
        <v>18571.0</v>
      </c>
      <c r="R1062" s="11" t="s">
        <v>1649</v>
      </c>
      <c r="S1062" s="11" t="s">
        <v>1656</v>
      </c>
      <c r="T1062" s="11" t="s">
        <v>1688</v>
      </c>
      <c r="U1062" s="2" t="s">
        <v>1574</v>
      </c>
      <c r="V1062" s="2" t="s">
        <v>1568</v>
      </c>
      <c r="W1062" s="2" t="s">
        <v>1569</v>
      </c>
      <c r="X1062" s="2" t="s">
        <v>1570</v>
      </c>
      <c r="AB1062" s="2" t="s">
        <v>1571</v>
      </c>
    </row>
    <row r="1063">
      <c r="A1063" s="2" t="s">
        <v>1826</v>
      </c>
      <c r="B1063" s="2">
        <v>14.0</v>
      </c>
      <c r="C1063" s="2" t="s">
        <v>11</v>
      </c>
      <c r="D1063" s="2" t="s">
        <v>1827</v>
      </c>
      <c r="E1063" s="2">
        <v>7.0</v>
      </c>
      <c r="F1063" s="2" t="s">
        <v>10</v>
      </c>
      <c r="G1063" s="5">
        <v>2650963.0</v>
      </c>
      <c r="H1063" s="2" t="s">
        <v>1564</v>
      </c>
      <c r="I1063" s="2" t="s">
        <v>1565</v>
      </c>
      <c r="J1063" s="2">
        <v>10002.0</v>
      </c>
      <c r="K1063" s="2" t="s">
        <v>1576</v>
      </c>
      <c r="L1063" s="2"/>
      <c r="M1063" s="2"/>
      <c r="N1063" s="7">
        <v>-1.0</v>
      </c>
      <c r="O1063" s="12">
        <v>-18571.0</v>
      </c>
      <c r="P1063" s="11" t="s">
        <v>1649</v>
      </c>
      <c r="Q1063" s="12">
        <v>-18571.0</v>
      </c>
      <c r="R1063" s="11" t="s">
        <v>1650</v>
      </c>
      <c r="S1063" s="11" t="s">
        <v>1743</v>
      </c>
      <c r="T1063" s="11" t="s">
        <v>1744</v>
      </c>
      <c r="U1063" s="2" t="s">
        <v>1574</v>
      </c>
      <c r="V1063" s="2" t="s">
        <v>1568</v>
      </c>
      <c r="W1063" s="2" t="s">
        <v>1569</v>
      </c>
      <c r="X1063" s="2" t="s">
        <v>1570</v>
      </c>
      <c r="AB1063" s="2" t="s">
        <v>1571</v>
      </c>
    </row>
    <row r="1064">
      <c r="A1064" s="2" t="s">
        <v>1826</v>
      </c>
      <c r="B1064" s="2">
        <v>14.0</v>
      </c>
      <c r="C1064" s="2" t="s">
        <v>11</v>
      </c>
      <c r="D1064" s="2" t="s">
        <v>1827</v>
      </c>
      <c r="E1064" s="2">
        <v>7.0</v>
      </c>
      <c r="F1064" s="2" t="s">
        <v>10</v>
      </c>
      <c r="G1064" s="5">
        <v>2650963.0</v>
      </c>
      <c r="H1064" s="2" t="s">
        <v>1564</v>
      </c>
      <c r="I1064" s="2" t="s">
        <v>1572</v>
      </c>
      <c r="J1064" s="2">
        <v>10128.0</v>
      </c>
      <c r="K1064" s="2" t="s">
        <v>1588</v>
      </c>
      <c r="L1064" s="2"/>
      <c r="M1064" s="2"/>
      <c r="N1064" s="7">
        <v>-1.0</v>
      </c>
      <c r="O1064" s="12">
        <v>-23333.0</v>
      </c>
      <c r="P1064" s="11" t="s">
        <v>1649</v>
      </c>
      <c r="Q1064" s="12">
        <v>-23333.0</v>
      </c>
      <c r="R1064" s="11" t="s">
        <v>1650</v>
      </c>
      <c r="S1064" s="11" t="s">
        <v>1706</v>
      </c>
      <c r="T1064" s="11" t="s">
        <v>1707</v>
      </c>
      <c r="U1064" s="2" t="s">
        <v>1574</v>
      </c>
      <c r="V1064" s="2" t="s">
        <v>1568</v>
      </c>
      <c r="W1064" s="2" t="s">
        <v>1569</v>
      </c>
      <c r="X1064" s="2" t="s">
        <v>1570</v>
      </c>
      <c r="AB1064" s="2" t="s">
        <v>1571</v>
      </c>
    </row>
    <row r="1065">
      <c r="A1065" s="2" t="s">
        <v>1826</v>
      </c>
      <c r="B1065" s="2">
        <v>14.0</v>
      </c>
      <c r="C1065" s="2" t="s">
        <v>11</v>
      </c>
      <c r="D1065" s="2" t="s">
        <v>1827</v>
      </c>
      <c r="E1065" s="2">
        <v>7.0</v>
      </c>
      <c r="F1065" s="2" t="s">
        <v>10</v>
      </c>
      <c r="G1065" s="5">
        <v>2650598.0</v>
      </c>
      <c r="H1065" s="2" t="s">
        <v>1575</v>
      </c>
      <c r="I1065" s="2" t="s">
        <v>1565</v>
      </c>
      <c r="J1065" s="2">
        <v>10002.0</v>
      </c>
      <c r="K1065" s="2" t="s">
        <v>1576</v>
      </c>
      <c r="L1065" s="2"/>
      <c r="M1065" s="2"/>
      <c r="N1065" s="7">
        <v>1.0</v>
      </c>
      <c r="O1065" s="12">
        <v>18571.0</v>
      </c>
      <c r="P1065" s="11" t="s">
        <v>1649</v>
      </c>
      <c r="Q1065" s="12">
        <v>18571.0</v>
      </c>
      <c r="R1065" s="11" t="s">
        <v>1649</v>
      </c>
      <c r="S1065" s="11" t="s">
        <v>1656</v>
      </c>
      <c r="T1065" s="11" t="s">
        <v>1657</v>
      </c>
      <c r="U1065" s="2" t="s">
        <v>1574</v>
      </c>
      <c r="V1065" s="2" t="s">
        <v>1568</v>
      </c>
      <c r="W1065" s="2" t="s">
        <v>1569</v>
      </c>
      <c r="X1065" s="2" t="s">
        <v>1570</v>
      </c>
      <c r="AB1065" s="2" t="s">
        <v>1571</v>
      </c>
    </row>
    <row r="1066">
      <c r="A1066" s="2" t="s">
        <v>1826</v>
      </c>
      <c r="B1066" s="2">
        <v>14.0</v>
      </c>
      <c r="C1066" s="2" t="s">
        <v>11</v>
      </c>
      <c r="D1066" s="2" t="s">
        <v>1827</v>
      </c>
      <c r="E1066" s="2">
        <v>7.0</v>
      </c>
      <c r="F1066" s="2" t="s">
        <v>10</v>
      </c>
      <c r="G1066" s="5">
        <v>2650598.0</v>
      </c>
      <c r="H1066" s="2" t="s">
        <v>1575</v>
      </c>
      <c r="I1066" s="2" t="s">
        <v>1572</v>
      </c>
      <c r="J1066" s="2">
        <v>10128.0</v>
      </c>
      <c r="K1066" s="2" t="s">
        <v>1588</v>
      </c>
      <c r="L1066" s="2"/>
      <c r="M1066" s="2"/>
      <c r="N1066" s="7">
        <v>1.0</v>
      </c>
      <c r="O1066" s="12">
        <v>23333.0</v>
      </c>
      <c r="P1066" s="11" t="s">
        <v>1649</v>
      </c>
      <c r="Q1066" s="12">
        <v>23333.0</v>
      </c>
      <c r="R1066" s="11" t="s">
        <v>1649</v>
      </c>
      <c r="S1066" s="11" t="s">
        <v>1681</v>
      </c>
      <c r="T1066" s="11" t="s">
        <v>1715</v>
      </c>
      <c r="U1066" s="2" t="s">
        <v>1574</v>
      </c>
      <c r="V1066" s="2" t="s">
        <v>1568</v>
      </c>
      <c r="W1066" s="2" t="s">
        <v>1569</v>
      </c>
      <c r="X1066" s="2" t="s">
        <v>1570</v>
      </c>
      <c r="AB1066" s="2" t="s">
        <v>1571</v>
      </c>
    </row>
    <row r="1067">
      <c r="A1067" s="2" t="s">
        <v>1826</v>
      </c>
      <c r="B1067" s="2">
        <v>14.0</v>
      </c>
      <c r="C1067" s="2" t="s">
        <v>11</v>
      </c>
      <c r="D1067" s="2" t="s">
        <v>1827</v>
      </c>
      <c r="E1067" s="2">
        <v>7.0</v>
      </c>
      <c r="F1067" s="2" t="s">
        <v>10</v>
      </c>
      <c r="G1067" s="5">
        <v>2650232.0</v>
      </c>
      <c r="H1067" s="2" t="s">
        <v>1575</v>
      </c>
      <c r="I1067" s="2" t="s">
        <v>1580</v>
      </c>
      <c r="J1067" s="2">
        <v>10003.0</v>
      </c>
      <c r="K1067" s="2" t="s">
        <v>1603</v>
      </c>
      <c r="L1067" s="2"/>
      <c r="M1067" s="2"/>
      <c r="N1067" s="7">
        <v>1.0</v>
      </c>
      <c r="O1067" s="12">
        <v>29524.0</v>
      </c>
      <c r="P1067" s="11" t="s">
        <v>1649</v>
      </c>
      <c r="Q1067" s="12">
        <v>29524.0</v>
      </c>
      <c r="R1067" s="11" t="s">
        <v>1649</v>
      </c>
      <c r="S1067" s="11" t="s">
        <v>1683</v>
      </c>
      <c r="T1067" s="11" t="s">
        <v>1684</v>
      </c>
      <c r="U1067" s="2" t="s">
        <v>1574</v>
      </c>
      <c r="V1067" s="2" t="s">
        <v>1568</v>
      </c>
      <c r="W1067" s="2" t="s">
        <v>1569</v>
      </c>
      <c r="X1067" s="2" t="s">
        <v>1570</v>
      </c>
      <c r="AB1067" s="2" t="s">
        <v>1571</v>
      </c>
    </row>
    <row r="1068">
      <c r="A1068" s="2" t="s">
        <v>1826</v>
      </c>
      <c r="B1068" s="2">
        <v>14.0</v>
      </c>
      <c r="C1068" s="2" t="s">
        <v>11</v>
      </c>
      <c r="D1068" s="2" t="s">
        <v>1827</v>
      </c>
      <c r="E1068" s="2">
        <v>7.0</v>
      </c>
      <c r="F1068" s="2" t="s">
        <v>10</v>
      </c>
      <c r="G1068" s="5">
        <v>2650232.0</v>
      </c>
      <c r="H1068" s="2" t="s">
        <v>1575</v>
      </c>
      <c r="I1068" s="2" t="s">
        <v>1572</v>
      </c>
      <c r="J1068" s="2">
        <v>10107.0</v>
      </c>
      <c r="K1068" s="2" t="s">
        <v>1584</v>
      </c>
      <c r="L1068" s="2"/>
      <c r="M1068" s="2"/>
      <c r="N1068" s="7">
        <v>1.0</v>
      </c>
      <c r="O1068" s="12">
        <v>26667.0</v>
      </c>
      <c r="P1068" s="11" t="s">
        <v>1649</v>
      </c>
      <c r="Q1068" s="12">
        <v>26667.0</v>
      </c>
      <c r="R1068" s="11" t="s">
        <v>1649</v>
      </c>
      <c r="S1068" s="11" t="s">
        <v>1674</v>
      </c>
      <c r="T1068" s="11" t="s">
        <v>1675</v>
      </c>
      <c r="U1068" s="2" t="s">
        <v>1574</v>
      </c>
      <c r="V1068" s="2" t="s">
        <v>1568</v>
      </c>
      <c r="W1068" s="2" t="s">
        <v>1569</v>
      </c>
      <c r="X1068" s="2" t="s">
        <v>1570</v>
      </c>
      <c r="AB1068" s="2" t="s">
        <v>1571</v>
      </c>
    </row>
    <row r="1069">
      <c r="A1069" s="2" t="s">
        <v>1826</v>
      </c>
      <c r="B1069" s="2">
        <v>14.0</v>
      </c>
      <c r="C1069" s="2" t="s">
        <v>11</v>
      </c>
      <c r="D1069" s="2" t="s">
        <v>1827</v>
      </c>
      <c r="E1069" s="2">
        <v>7.0</v>
      </c>
      <c r="F1069" s="2" t="s">
        <v>10</v>
      </c>
      <c r="G1069" s="5">
        <v>2650232.0</v>
      </c>
      <c r="H1069" s="2" t="s">
        <v>1575</v>
      </c>
      <c r="I1069" s="2" t="s">
        <v>1565</v>
      </c>
      <c r="J1069" s="2">
        <v>10005.0</v>
      </c>
      <c r="K1069" s="2" t="s">
        <v>1595</v>
      </c>
      <c r="L1069" s="2"/>
      <c r="M1069" s="2"/>
      <c r="N1069" s="7">
        <v>1.0</v>
      </c>
      <c r="O1069" s="12">
        <v>19524.0</v>
      </c>
      <c r="P1069" s="11" t="s">
        <v>1649</v>
      </c>
      <c r="Q1069" s="12">
        <v>19524.0</v>
      </c>
      <c r="R1069" s="11" t="s">
        <v>1649</v>
      </c>
      <c r="S1069" s="11" t="s">
        <v>1676</v>
      </c>
      <c r="T1069" s="11" t="s">
        <v>1677</v>
      </c>
      <c r="U1069" s="2" t="s">
        <v>1574</v>
      </c>
      <c r="V1069" s="2" t="s">
        <v>1568</v>
      </c>
      <c r="W1069" s="2" t="s">
        <v>1569</v>
      </c>
      <c r="X1069" s="2" t="s">
        <v>1570</v>
      </c>
      <c r="AB1069" s="2" t="s">
        <v>1571</v>
      </c>
    </row>
    <row r="1070">
      <c r="A1070" s="2" t="s">
        <v>1826</v>
      </c>
      <c r="B1070" s="2">
        <v>14.0</v>
      </c>
      <c r="C1070" s="2" t="s">
        <v>11</v>
      </c>
      <c r="D1070" s="2" t="s">
        <v>1827</v>
      </c>
      <c r="E1070" s="2">
        <v>7.0</v>
      </c>
      <c r="F1070" s="2" t="s">
        <v>10</v>
      </c>
      <c r="G1070" s="5">
        <v>2650232.0</v>
      </c>
      <c r="H1070" s="2" t="s">
        <v>1575</v>
      </c>
      <c r="I1070" s="2" t="s">
        <v>1572</v>
      </c>
      <c r="J1070" s="2">
        <v>10106.0</v>
      </c>
      <c r="K1070" s="2" t="s">
        <v>1598</v>
      </c>
      <c r="L1070" s="2"/>
      <c r="M1070" s="2"/>
      <c r="N1070" s="7">
        <v>1.0</v>
      </c>
      <c r="O1070" s="12">
        <v>26667.0</v>
      </c>
      <c r="P1070" s="11" t="s">
        <v>1649</v>
      </c>
      <c r="Q1070" s="12">
        <v>26667.0</v>
      </c>
      <c r="R1070" s="11" t="s">
        <v>1649</v>
      </c>
      <c r="S1070" s="11" t="s">
        <v>1674</v>
      </c>
      <c r="T1070" s="11" t="s">
        <v>1679</v>
      </c>
      <c r="U1070" s="2" t="s">
        <v>1574</v>
      </c>
      <c r="V1070" s="2" t="s">
        <v>1568</v>
      </c>
      <c r="W1070" s="2" t="s">
        <v>1569</v>
      </c>
      <c r="X1070" s="2" t="s">
        <v>1570</v>
      </c>
      <c r="AB1070" s="2" t="s">
        <v>1571</v>
      </c>
    </row>
    <row r="1071">
      <c r="A1071" s="2" t="s">
        <v>1826</v>
      </c>
      <c r="B1071" s="2">
        <v>13.0</v>
      </c>
      <c r="C1071" s="2" t="s">
        <v>11</v>
      </c>
      <c r="D1071" s="2" t="s">
        <v>1827</v>
      </c>
      <c r="E1071" s="2">
        <v>7.0</v>
      </c>
      <c r="F1071" s="2" t="s">
        <v>10</v>
      </c>
      <c r="G1071" s="5">
        <v>2649867.0</v>
      </c>
      <c r="H1071" s="2" t="s">
        <v>1575</v>
      </c>
      <c r="I1071" s="2" t="s">
        <v>1572</v>
      </c>
      <c r="J1071" s="2">
        <v>10128.0</v>
      </c>
      <c r="K1071" s="2" t="s">
        <v>1588</v>
      </c>
      <c r="L1071" s="2"/>
      <c r="M1071" s="2"/>
      <c r="N1071" s="7">
        <v>1.0</v>
      </c>
      <c r="O1071" s="12">
        <v>23333.0</v>
      </c>
      <c r="P1071" s="11" t="s">
        <v>1649</v>
      </c>
      <c r="Q1071" s="12">
        <v>23333.0</v>
      </c>
      <c r="R1071" s="11" t="s">
        <v>1649</v>
      </c>
      <c r="S1071" s="11" t="s">
        <v>1681</v>
      </c>
      <c r="T1071" s="11" t="s">
        <v>1682</v>
      </c>
      <c r="U1071" s="2" t="s">
        <v>1574</v>
      </c>
      <c r="V1071" s="2" t="s">
        <v>1568</v>
      </c>
      <c r="W1071" s="2" t="s">
        <v>1569</v>
      </c>
      <c r="X1071" s="2" t="s">
        <v>1570</v>
      </c>
      <c r="AB1071" s="2" t="s">
        <v>1571</v>
      </c>
    </row>
    <row r="1072">
      <c r="A1072" s="2" t="s">
        <v>1826</v>
      </c>
      <c r="B1072" s="2">
        <v>13.0</v>
      </c>
      <c r="C1072" s="2" t="s">
        <v>11</v>
      </c>
      <c r="D1072" s="2" t="s">
        <v>1827</v>
      </c>
      <c r="E1072" s="2">
        <v>7.0</v>
      </c>
      <c r="F1072" s="2" t="s">
        <v>10</v>
      </c>
      <c r="G1072" s="5">
        <v>2649867.0</v>
      </c>
      <c r="H1072" s="2" t="s">
        <v>1575</v>
      </c>
      <c r="I1072" s="2" t="s">
        <v>1565</v>
      </c>
      <c r="J1072" s="2">
        <v>10007.0</v>
      </c>
      <c r="K1072" s="2" t="s">
        <v>1576</v>
      </c>
      <c r="L1072" s="2"/>
      <c r="M1072" s="2"/>
      <c r="N1072" s="7">
        <v>2.0</v>
      </c>
      <c r="O1072" s="12">
        <v>33810.0</v>
      </c>
      <c r="P1072" s="11" t="s">
        <v>1649</v>
      </c>
      <c r="Q1072" s="12">
        <v>33810.0</v>
      </c>
      <c r="R1072" s="11" t="s">
        <v>1649</v>
      </c>
      <c r="S1072" s="11" t="s">
        <v>1701</v>
      </c>
      <c r="T1072" s="11" t="s">
        <v>1702</v>
      </c>
      <c r="U1072" s="2" t="s">
        <v>1574</v>
      </c>
      <c r="V1072" s="2" t="s">
        <v>1568</v>
      </c>
      <c r="W1072" s="2" t="s">
        <v>1569</v>
      </c>
      <c r="X1072" s="2" t="s">
        <v>1570</v>
      </c>
      <c r="AB1072" s="2" t="s">
        <v>1571</v>
      </c>
    </row>
    <row r="1073">
      <c r="A1073" s="2" t="s">
        <v>1826</v>
      </c>
      <c r="B1073" s="2">
        <v>13.0</v>
      </c>
      <c r="C1073" s="2" t="s">
        <v>11</v>
      </c>
      <c r="D1073" s="2" t="s">
        <v>1827</v>
      </c>
      <c r="E1073" s="2">
        <v>7.0</v>
      </c>
      <c r="F1073" s="2" t="s">
        <v>10</v>
      </c>
      <c r="G1073" s="5">
        <v>2649502.0</v>
      </c>
      <c r="H1073" s="2" t="s">
        <v>1575</v>
      </c>
      <c r="I1073" s="2" t="s">
        <v>1572</v>
      </c>
      <c r="J1073" s="2">
        <v>10107.0</v>
      </c>
      <c r="K1073" s="2" t="s">
        <v>1584</v>
      </c>
      <c r="L1073" s="2"/>
      <c r="M1073" s="2"/>
      <c r="N1073" s="7">
        <v>1.0</v>
      </c>
      <c r="O1073" s="12">
        <v>26667.0</v>
      </c>
      <c r="P1073" s="11" t="s">
        <v>1649</v>
      </c>
      <c r="Q1073" s="12">
        <v>26667.0</v>
      </c>
      <c r="R1073" s="11" t="s">
        <v>1649</v>
      </c>
      <c r="S1073" s="11" t="s">
        <v>1674</v>
      </c>
      <c r="T1073" s="11" t="s">
        <v>1679</v>
      </c>
      <c r="U1073" s="2" t="s">
        <v>1574</v>
      </c>
      <c r="V1073" s="2" t="s">
        <v>1568</v>
      </c>
      <c r="W1073" s="2" t="s">
        <v>1569</v>
      </c>
      <c r="X1073" s="2" t="s">
        <v>1570</v>
      </c>
      <c r="AB1073" s="2" t="s">
        <v>1571</v>
      </c>
    </row>
    <row r="1074">
      <c r="A1074" s="2" t="s">
        <v>1826</v>
      </c>
      <c r="B1074" s="2">
        <v>13.0</v>
      </c>
      <c r="C1074" s="2" t="s">
        <v>11</v>
      </c>
      <c r="D1074" s="2" t="s">
        <v>1827</v>
      </c>
      <c r="E1074" s="2">
        <v>7.0</v>
      </c>
      <c r="F1074" s="2" t="s">
        <v>10</v>
      </c>
      <c r="G1074" s="5">
        <v>2649137.0</v>
      </c>
      <c r="H1074" s="2" t="s">
        <v>1575</v>
      </c>
      <c r="I1074" s="2" t="s">
        <v>1572</v>
      </c>
      <c r="J1074" s="2">
        <v>10119.0</v>
      </c>
      <c r="K1074" s="2" t="s">
        <v>1582</v>
      </c>
      <c r="L1074" s="2"/>
      <c r="M1074" s="2"/>
      <c r="N1074" s="7">
        <v>2.0</v>
      </c>
      <c r="O1074" s="12">
        <v>14286.0</v>
      </c>
      <c r="P1074" s="11" t="s">
        <v>1649</v>
      </c>
      <c r="Q1074" s="12">
        <v>14286.0</v>
      </c>
      <c r="R1074" s="11" t="s">
        <v>1649</v>
      </c>
      <c r="S1074" s="11" t="s">
        <v>1685</v>
      </c>
      <c r="T1074" s="11" t="s">
        <v>1686</v>
      </c>
      <c r="U1074" s="2" t="s">
        <v>1574</v>
      </c>
      <c r="V1074" s="2" t="s">
        <v>1568</v>
      </c>
      <c r="W1074" s="2" t="s">
        <v>1569</v>
      </c>
      <c r="X1074" s="2" t="s">
        <v>1570</v>
      </c>
      <c r="AB1074" s="2" t="s">
        <v>1571</v>
      </c>
    </row>
    <row r="1075">
      <c r="A1075" s="2" t="s">
        <v>1826</v>
      </c>
      <c r="B1075" s="2">
        <v>13.0</v>
      </c>
      <c r="C1075" s="2" t="s">
        <v>11</v>
      </c>
      <c r="D1075" s="2" t="s">
        <v>1827</v>
      </c>
      <c r="E1075" s="2">
        <v>7.0</v>
      </c>
      <c r="F1075" s="2" t="s">
        <v>10</v>
      </c>
      <c r="G1075" s="5">
        <v>2649137.0</v>
      </c>
      <c r="H1075" s="2" t="s">
        <v>1575</v>
      </c>
      <c r="I1075" s="2" t="s">
        <v>1572</v>
      </c>
      <c r="J1075" s="2">
        <v>10117.0</v>
      </c>
      <c r="K1075" s="2" t="s">
        <v>1589</v>
      </c>
      <c r="L1075" s="2"/>
      <c r="M1075" s="2"/>
      <c r="N1075" s="7">
        <v>1.0</v>
      </c>
      <c r="O1075" s="12">
        <v>14286.0</v>
      </c>
      <c r="P1075" s="11" t="s">
        <v>1649</v>
      </c>
      <c r="Q1075" s="12">
        <v>14286.0</v>
      </c>
      <c r="R1075" s="11" t="s">
        <v>1649</v>
      </c>
      <c r="S1075" s="11" t="s">
        <v>1685</v>
      </c>
      <c r="T1075" s="11" t="s">
        <v>1708</v>
      </c>
      <c r="U1075" s="2" t="s">
        <v>1574</v>
      </c>
      <c r="V1075" s="2" t="s">
        <v>1568</v>
      </c>
      <c r="W1075" s="2" t="s">
        <v>1569</v>
      </c>
      <c r="X1075" s="2" t="s">
        <v>1570</v>
      </c>
      <c r="AB1075" s="2" t="s">
        <v>1571</v>
      </c>
    </row>
    <row r="1076">
      <c r="A1076" s="2" t="s">
        <v>1826</v>
      </c>
      <c r="B1076" s="2">
        <v>13.0</v>
      </c>
      <c r="C1076" s="2" t="s">
        <v>11</v>
      </c>
      <c r="D1076" s="2" t="s">
        <v>1827</v>
      </c>
      <c r="E1076" s="2">
        <v>7.0</v>
      </c>
      <c r="F1076" s="2" t="s">
        <v>10</v>
      </c>
      <c r="G1076" s="5">
        <v>2649137.0</v>
      </c>
      <c r="H1076" s="2" t="s">
        <v>1575</v>
      </c>
      <c r="I1076" s="2" t="s">
        <v>1572</v>
      </c>
      <c r="J1076" s="2">
        <v>10112.0</v>
      </c>
      <c r="K1076" s="2" t="s">
        <v>1573</v>
      </c>
      <c r="L1076" s="2"/>
      <c r="M1076" s="2"/>
      <c r="N1076" s="7">
        <v>1.0</v>
      </c>
      <c r="O1076" s="12">
        <v>6667.0</v>
      </c>
      <c r="P1076" s="11" t="s">
        <v>1649</v>
      </c>
      <c r="Q1076" s="12">
        <v>6667.0</v>
      </c>
      <c r="R1076" s="11" t="s">
        <v>1649</v>
      </c>
      <c r="S1076" s="11" t="s">
        <v>1734</v>
      </c>
      <c r="T1076" s="11" t="s">
        <v>1738</v>
      </c>
      <c r="U1076" s="2" t="s">
        <v>1574</v>
      </c>
      <c r="V1076" s="2" t="s">
        <v>1568</v>
      </c>
      <c r="W1076" s="2" t="s">
        <v>1569</v>
      </c>
      <c r="X1076" s="2" t="s">
        <v>1570</v>
      </c>
      <c r="AB1076" s="2" t="s">
        <v>1571</v>
      </c>
    </row>
    <row r="1077">
      <c r="A1077" s="2" t="s">
        <v>1826</v>
      </c>
      <c r="B1077" s="2">
        <v>13.0</v>
      </c>
      <c r="C1077" s="2" t="s">
        <v>11</v>
      </c>
      <c r="D1077" s="2" t="s">
        <v>1827</v>
      </c>
      <c r="E1077" s="2">
        <v>7.0</v>
      </c>
      <c r="F1077" s="2" t="s">
        <v>10</v>
      </c>
      <c r="G1077" s="5">
        <v>2648771.0</v>
      </c>
      <c r="H1077" s="2" t="s">
        <v>1575</v>
      </c>
      <c r="I1077" s="2" t="s">
        <v>1565</v>
      </c>
      <c r="J1077" s="2">
        <v>10007.0</v>
      </c>
      <c r="K1077" s="2" t="s">
        <v>1576</v>
      </c>
      <c r="L1077" s="2"/>
      <c r="M1077" s="2"/>
      <c r="N1077" s="7">
        <v>2.0</v>
      </c>
      <c r="O1077" s="12">
        <v>33810.0</v>
      </c>
      <c r="P1077" s="11" t="s">
        <v>1649</v>
      </c>
      <c r="Q1077" s="12">
        <v>33810.0</v>
      </c>
      <c r="R1077" s="11" t="s">
        <v>1649</v>
      </c>
      <c r="S1077" s="11" t="s">
        <v>1701</v>
      </c>
      <c r="T1077" s="11" t="s">
        <v>1703</v>
      </c>
      <c r="U1077" s="2" t="s">
        <v>1574</v>
      </c>
      <c r="V1077" s="2" t="s">
        <v>1568</v>
      </c>
      <c r="W1077" s="2" t="s">
        <v>1569</v>
      </c>
      <c r="X1077" s="2" t="s">
        <v>1570</v>
      </c>
      <c r="AB1077" s="2" t="s">
        <v>1571</v>
      </c>
    </row>
    <row r="1078">
      <c r="A1078" s="2" t="s">
        <v>1826</v>
      </c>
      <c r="B1078" s="2">
        <v>13.0</v>
      </c>
      <c r="C1078" s="2" t="s">
        <v>11</v>
      </c>
      <c r="D1078" s="2" t="s">
        <v>1827</v>
      </c>
      <c r="E1078" s="2">
        <v>7.0</v>
      </c>
      <c r="F1078" s="2" t="s">
        <v>10</v>
      </c>
      <c r="G1078" s="5">
        <v>2648771.0</v>
      </c>
      <c r="H1078" s="2" t="s">
        <v>1575</v>
      </c>
      <c r="I1078" s="2" t="s">
        <v>1565</v>
      </c>
      <c r="J1078" s="2">
        <v>10055.0</v>
      </c>
      <c r="K1078" s="2" t="s">
        <v>1595</v>
      </c>
      <c r="L1078" s="2"/>
      <c r="M1078" s="2"/>
      <c r="N1078" s="7">
        <v>2.0</v>
      </c>
      <c r="O1078" s="12">
        <v>34762.0</v>
      </c>
      <c r="P1078" s="11" t="s">
        <v>1649</v>
      </c>
      <c r="Q1078" s="12">
        <v>34762.0</v>
      </c>
      <c r="R1078" s="11" t="s">
        <v>1649</v>
      </c>
      <c r="S1078" s="11" t="s">
        <v>1670</v>
      </c>
      <c r="T1078" s="11" t="s">
        <v>1671</v>
      </c>
      <c r="U1078" s="2" t="s">
        <v>1574</v>
      </c>
      <c r="V1078" s="2" t="s">
        <v>1568</v>
      </c>
      <c r="W1078" s="2" t="s">
        <v>1569</v>
      </c>
      <c r="X1078" s="2" t="s">
        <v>1570</v>
      </c>
      <c r="AB1078" s="2" t="s">
        <v>1571</v>
      </c>
    </row>
    <row r="1079">
      <c r="A1079" s="2" t="s">
        <v>1826</v>
      </c>
      <c r="B1079" s="2">
        <v>13.0</v>
      </c>
      <c r="C1079" s="2" t="s">
        <v>11</v>
      </c>
      <c r="D1079" s="2" t="s">
        <v>1827</v>
      </c>
      <c r="E1079" s="2">
        <v>7.0</v>
      </c>
      <c r="F1079" s="2" t="s">
        <v>10</v>
      </c>
      <c r="G1079" s="5">
        <v>2648771.0</v>
      </c>
      <c r="H1079" s="2" t="s">
        <v>1575</v>
      </c>
      <c r="I1079" s="2" t="s">
        <v>1565</v>
      </c>
      <c r="J1079" s="2">
        <v>10005.0</v>
      </c>
      <c r="K1079" s="2" t="s">
        <v>1595</v>
      </c>
      <c r="L1079" s="2"/>
      <c r="M1079" s="2"/>
      <c r="N1079" s="7">
        <v>1.0</v>
      </c>
      <c r="O1079" s="12">
        <v>19524.0</v>
      </c>
      <c r="P1079" s="11" t="s">
        <v>1649</v>
      </c>
      <c r="Q1079" s="12">
        <v>19524.0</v>
      </c>
      <c r="R1079" s="11" t="s">
        <v>1649</v>
      </c>
      <c r="S1079" s="11" t="s">
        <v>1676</v>
      </c>
      <c r="T1079" s="11" t="s">
        <v>1677</v>
      </c>
      <c r="U1079" s="2" t="s">
        <v>1574</v>
      </c>
      <c r="V1079" s="2" t="s">
        <v>1568</v>
      </c>
      <c r="W1079" s="2" t="s">
        <v>1569</v>
      </c>
      <c r="X1079" s="2" t="s">
        <v>1570</v>
      </c>
      <c r="AB1079" s="2" t="s">
        <v>1571</v>
      </c>
    </row>
    <row r="1080">
      <c r="A1080" s="2" t="s">
        <v>1826</v>
      </c>
      <c r="B1080" s="2">
        <v>13.0</v>
      </c>
      <c r="C1080" s="2" t="s">
        <v>11</v>
      </c>
      <c r="D1080" s="2" t="s">
        <v>1827</v>
      </c>
      <c r="E1080" s="2">
        <v>7.0</v>
      </c>
      <c r="F1080" s="2" t="s">
        <v>10</v>
      </c>
      <c r="G1080" s="5">
        <v>2648406.0</v>
      </c>
      <c r="H1080" s="2" t="s">
        <v>1575</v>
      </c>
      <c r="I1080" s="2" t="s">
        <v>1565</v>
      </c>
      <c r="J1080" s="2">
        <v>10055.0</v>
      </c>
      <c r="K1080" s="2" t="s">
        <v>1595</v>
      </c>
      <c r="L1080" s="2"/>
      <c r="M1080" s="2"/>
      <c r="N1080" s="7">
        <v>2.0</v>
      </c>
      <c r="O1080" s="12">
        <v>34762.0</v>
      </c>
      <c r="P1080" s="11" t="s">
        <v>1649</v>
      </c>
      <c r="Q1080" s="12">
        <v>34762.0</v>
      </c>
      <c r="R1080" s="11" t="s">
        <v>1649</v>
      </c>
      <c r="S1080" s="11" t="s">
        <v>1670</v>
      </c>
      <c r="T1080" s="11" t="s">
        <v>1671</v>
      </c>
      <c r="U1080" s="2" t="s">
        <v>1574</v>
      </c>
      <c r="V1080" s="2" t="s">
        <v>1568</v>
      </c>
      <c r="W1080" s="2" t="s">
        <v>1569</v>
      </c>
      <c r="X1080" s="2" t="s">
        <v>1570</v>
      </c>
      <c r="AB1080" s="2" t="s">
        <v>1571</v>
      </c>
    </row>
    <row r="1081">
      <c r="A1081" s="2" t="s">
        <v>1826</v>
      </c>
      <c r="B1081" s="2">
        <v>13.0</v>
      </c>
      <c r="C1081" s="2" t="s">
        <v>11</v>
      </c>
      <c r="D1081" s="2" t="s">
        <v>1827</v>
      </c>
      <c r="E1081" s="2">
        <v>7.0</v>
      </c>
      <c r="F1081" s="2" t="s">
        <v>10</v>
      </c>
      <c r="G1081" s="5">
        <v>2648406.0</v>
      </c>
      <c r="H1081" s="2" t="s">
        <v>1575</v>
      </c>
      <c r="I1081" s="2" t="s">
        <v>1565</v>
      </c>
      <c r="J1081" s="2">
        <v>10007.0</v>
      </c>
      <c r="K1081" s="2" t="s">
        <v>1576</v>
      </c>
      <c r="L1081" s="2"/>
      <c r="M1081" s="2"/>
      <c r="N1081" s="7">
        <v>2.0</v>
      </c>
      <c r="O1081" s="12">
        <v>33810.0</v>
      </c>
      <c r="P1081" s="11" t="s">
        <v>1649</v>
      </c>
      <c r="Q1081" s="12">
        <v>33810.0</v>
      </c>
      <c r="R1081" s="11" t="s">
        <v>1649</v>
      </c>
      <c r="S1081" s="11" t="s">
        <v>1701</v>
      </c>
      <c r="T1081" s="11" t="s">
        <v>1703</v>
      </c>
      <c r="U1081" s="2" t="s">
        <v>1574</v>
      </c>
      <c r="V1081" s="2" t="s">
        <v>1568</v>
      </c>
      <c r="W1081" s="2" t="s">
        <v>1569</v>
      </c>
      <c r="X1081" s="2" t="s">
        <v>1570</v>
      </c>
      <c r="AB1081" s="2" t="s">
        <v>1571</v>
      </c>
    </row>
    <row r="1082">
      <c r="A1082" s="2" t="s">
        <v>1826</v>
      </c>
      <c r="B1082" s="2">
        <v>13.0</v>
      </c>
      <c r="C1082" s="2" t="s">
        <v>11</v>
      </c>
      <c r="D1082" s="2" t="s">
        <v>1827</v>
      </c>
      <c r="E1082" s="2">
        <v>7.0</v>
      </c>
      <c r="F1082" s="2" t="s">
        <v>10</v>
      </c>
      <c r="G1082" s="5">
        <v>2648406.0</v>
      </c>
      <c r="H1082" s="2" t="s">
        <v>1575</v>
      </c>
      <c r="I1082" s="2" t="s">
        <v>1565</v>
      </c>
      <c r="J1082" s="2">
        <v>10000.0</v>
      </c>
      <c r="K1082" s="2" t="s">
        <v>1566</v>
      </c>
      <c r="L1082" s="2"/>
      <c r="M1082" s="2"/>
      <c r="N1082" s="7">
        <v>1.0</v>
      </c>
      <c r="O1082" s="12">
        <v>29524.0</v>
      </c>
      <c r="P1082" s="11" t="s">
        <v>1649</v>
      </c>
      <c r="Q1082" s="12">
        <v>29524.0</v>
      </c>
      <c r="R1082" s="11" t="s">
        <v>1649</v>
      </c>
      <c r="S1082" s="11" t="s">
        <v>1683</v>
      </c>
      <c r="T1082" s="11" t="s">
        <v>1684</v>
      </c>
      <c r="U1082" s="2" t="s">
        <v>1574</v>
      </c>
      <c r="V1082" s="2" t="s">
        <v>1568</v>
      </c>
      <c r="W1082" s="2" t="s">
        <v>1569</v>
      </c>
      <c r="X1082" s="2" t="s">
        <v>1570</v>
      </c>
      <c r="AB1082" s="2" t="s">
        <v>1571</v>
      </c>
    </row>
    <row r="1083">
      <c r="A1083" s="2" t="s">
        <v>1826</v>
      </c>
      <c r="B1083" s="2">
        <v>13.0</v>
      </c>
      <c r="C1083" s="2" t="s">
        <v>11</v>
      </c>
      <c r="D1083" s="2" t="s">
        <v>1827</v>
      </c>
      <c r="E1083" s="2">
        <v>7.0</v>
      </c>
      <c r="F1083" s="2" t="s">
        <v>10</v>
      </c>
      <c r="G1083" s="5">
        <v>2648406.0</v>
      </c>
      <c r="H1083" s="2" t="s">
        <v>1575</v>
      </c>
      <c r="I1083" s="2" t="s">
        <v>1565</v>
      </c>
      <c r="J1083" s="2">
        <v>10055.0</v>
      </c>
      <c r="K1083" s="2" t="s">
        <v>1595</v>
      </c>
      <c r="L1083" s="2"/>
      <c r="M1083" s="2"/>
      <c r="N1083" s="7">
        <v>2.0</v>
      </c>
      <c r="O1083" s="12">
        <v>34762.0</v>
      </c>
      <c r="P1083" s="11" t="s">
        <v>1649</v>
      </c>
      <c r="Q1083" s="12">
        <v>34762.0</v>
      </c>
      <c r="R1083" s="11" t="s">
        <v>1649</v>
      </c>
      <c r="S1083" s="11" t="s">
        <v>1670</v>
      </c>
      <c r="T1083" s="11" t="s">
        <v>1671</v>
      </c>
      <c r="U1083" s="2" t="s">
        <v>1574</v>
      </c>
      <c r="V1083" s="2" t="s">
        <v>1568</v>
      </c>
      <c r="W1083" s="2" t="s">
        <v>1569</v>
      </c>
      <c r="X1083" s="2" t="s">
        <v>1570</v>
      </c>
      <c r="AB1083" s="2" t="s">
        <v>1571</v>
      </c>
    </row>
    <row r="1084">
      <c r="A1084" s="2" t="s">
        <v>1826</v>
      </c>
      <c r="B1084" s="2">
        <v>12.0</v>
      </c>
      <c r="C1084" s="2" t="s">
        <v>11</v>
      </c>
      <c r="D1084" s="2" t="s">
        <v>1827</v>
      </c>
      <c r="E1084" s="2">
        <v>7.0</v>
      </c>
      <c r="F1084" s="2" t="s">
        <v>10</v>
      </c>
      <c r="G1084" s="5">
        <v>2648041.0</v>
      </c>
      <c r="H1084" s="2" t="s">
        <v>1575</v>
      </c>
      <c r="I1084" s="2" t="s">
        <v>1565</v>
      </c>
      <c r="J1084" s="2">
        <v>10055.0</v>
      </c>
      <c r="K1084" s="2" t="s">
        <v>1595</v>
      </c>
      <c r="L1084" s="2"/>
      <c r="M1084" s="2"/>
      <c r="N1084" s="7">
        <v>2.0</v>
      </c>
      <c r="O1084" s="12">
        <v>34762.0</v>
      </c>
      <c r="P1084" s="11" t="s">
        <v>1649</v>
      </c>
      <c r="Q1084" s="12">
        <v>34762.0</v>
      </c>
      <c r="R1084" s="11" t="s">
        <v>1649</v>
      </c>
      <c r="S1084" s="11" t="s">
        <v>1670</v>
      </c>
      <c r="T1084" s="11" t="s">
        <v>1671</v>
      </c>
      <c r="U1084" s="2" t="s">
        <v>1574</v>
      </c>
      <c r="V1084" s="2" t="s">
        <v>1568</v>
      </c>
      <c r="W1084" s="2" t="s">
        <v>1569</v>
      </c>
      <c r="X1084" s="2" t="s">
        <v>1570</v>
      </c>
      <c r="AB1084" s="2" t="s">
        <v>1571</v>
      </c>
    </row>
    <row r="1085">
      <c r="A1085" s="2" t="s">
        <v>1826</v>
      </c>
      <c r="B1085" s="2">
        <v>12.0</v>
      </c>
      <c r="C1085" s="2" t="s">
        <v>11</v>
      </c>
      <c r="D1085" s="2" t="s">
        <v>1827</v>
      </c>
      <c r="E1085" s="2">
        <v>7.0</v>
      </c>
      <c r="F1085" s="2" t="s">
        <v>10</v>
      </c>
      <c r="G1085" s="5">
        <v>2647676.0</v>
      </c>
      <c r="H1085" s="2" t="s">
        <v>1575</v>
      </c>
      <c r="I1085" s="2" t="s">
        <v>1580</v>
      </c>
      <c r="J1085" s="2">
        <v>10003.0</v>
      </c>
      <c r="K1085" s="2" t="s">
        <v>1603</v>
      </c>
      <c r="L1085" s="2"/>
      <c r="M1085" s="2"/>
      <c r="N1085" s="7">
        <v>1.0</v>
      </c>
      <c r="O1085" s="12">
        <v>29524.0</v>
      </c>
      <c r="P1085" s="11" t="s">
        <v>1649</v>
      </c>
      <c r="Q1085" s="12">
        <v>29524.0</v>
      </c>
      <c r="R1085" s="11" t="s">
        <v>1649</v>
      </c>
      <c r="S1085" s="11" t="s">
        <v>1683</v>
      </c>
      <c r="T1085" s="11" t="s">
        <v>1684</v>
      </c>
      <c r="U1085" s="2" t="s">
        <v>1574</v>
      </c>
      <c r="V1085" s="2" t="s">
        <v>1568</v>
      </c>
      <c r="W1085" s="2" t="s">
        <v>1569</v>
      </c>
      <c r="X1085" s="2" t="s">
        <v>1570</v>
      </c>
      <c r="AB1085" s="2" t="s">
        <v>1571</v>
      </c>
    </row>
    <row r="1086">
      <c r="A1086" s="2" t="s">
        <v>1826</v>
      </c>
      <c r="B1086" s="2">
        <v>12.0</v>
      </c>
      <c r="C1086" s="2" t="s">
        <v>11</v>
      </c>
      <c r="D1086" s="2" t="s">
        <v>1827</v>
      </c>
      <c r="E1086" s="2">
        <v>7.0</v>
      </c>
      <c r="F1086" s="2" t="s">
        <v>10</v>
      </c>
      <c r="G1086" s="5">
        <v>2647676.0</v>
      </c>
      <c r="H1086" s="2" t="s">
        <v>1575</v>
      </c>
      <c r="I1086" s="2" t="s">
        <v>1578</v>
      </c>
      <c r="J1086" s="2">
        <v>10004.0</v>
      </c>
      <c r="K1086" s="2" t="s">
        <v>1607</v>
      </c>
      <c r="L1086" s="2"/>
      <c r="M1086" s="2"/>
      <c r="N1086" s="7">
        <v>1.0</v>
      </c>
      <c r="O1086" s="12">
        <v>25238.0</v>
      </c>
      <c r="P1086" s="11" t="s">
        <v>1649</v>
      </c>
      <c r="Q1086" s="12">
        <v>25238.0</v>
      </c>
      <c r="R1086" s="11" t="s">
        <v>1649</v>
      </c>
      <c r="S1086" s="11" t="s">
        <v>1660</v>
      </c>
      <c r="T1086" s="11" t="s">
        <v>1680</v>
      </c>
      <c r="U1086" s="2" t="s">
        <v>1574</v>
      </c>
      <c r="V1086" s="2" t="s">
        <v>1568</v>
      </c>
      <c r="W1086" s="2" t="s">
        <v>1569</v>
      </c>
      <c r="X1086" s="2" t="s">
        <v>1570</v>
      </c>
      <c r="AB1086" s="2" t="s">
        <v>1571</v>
      </c>
    </row>
    <row r="1087">
      <c r="A1087" s="2" t="s">
        <v>1826</v>
      </c>
      <c r="B1087" s="2">
        <v>12.0</v>
      </c>
      <c r="C1087" s="2" t="s">
        <v>11</v>
      </c>
      <c r="D1087" s="2" t="s">
        <v>1827</v>
      </c>
      <c r="E1087" s="2">
        <v>7.0</v>
      </c>
      <c r="F1087" s="2" t="s">
        <v>10</v>
      </c>
      <c r="G1087" s="5">
        <v>2647676.0</v>
      </c>
      <c r="H1087" s="2" t="s">
        <v>1575</v>
      </c>
      <c r="I1087" s="2" t="s">
        <v>1580</v>
      </c>
      <c r="J1087" s="2">
        <v>10104.0</v>
      </c>
      <c r="K1087" s="2" t="s">
        <v>1581</v>
      </c>
      <c r="L1087" s="2"/>
      <c r="M1087" s="2"/>
      <c r="N1087" s="7">
        <v>1.0</v>
      </c>
      <c r="O1087" s="12">
        <v>34762.0</v>
      </c>
      <c r="P1087" s="11" t="s">
        <v>1649</v>
      </c>
      <c r="Q1087" s="12">
        <v>34762.0</v>
      </c>
      <c r="R1087" s="11" t="s">
        <v>1649</v>
      </c>
      <c r="S1087" s="11" t="s">
        <v>1670</v>
      </c>
      <c r="T1087" s="11" t="s">
        <v>1671</v>
      </c>
      <c r="U1087" s="2" t="s">
        <v>1574</v>
      </c>
      <c r="V1087" s="2" t="s">
        <v>1568</v>
      </c>
      <c r="W1087" s="2" t="s">
        <v>1569</v>
      </c>
      <c r="X1087" s="2" t="s">
        <v>1570</v>
      </c>
      <c r="AB1087" s="2" t="s">
        <v>1571</v>
      </c>
    </row>
    <row r="1088">
      <c r="A1088" s="2" t="s">
        <v>1826</v>
      </c>
      <c r="B1088" s="2">
        <v>12.0</v>
      </c>
      <c r="C1088" s="2" t="s">
        <v>11</v>
      </c>
      <c r="D1088" s="2" t="s">
        <v>1827</v>
      </c>
      <c r="E1088" s="2">
        <v>7.0</v>
      </c>
      <c r="F1088" s="2" t="s">
        <v>10</v>
      </c>
      <c r="G1088" s="5">
        <v>2647676.0</v>
      </c>
      <c r="H1088" s="2" t="s">
        <v>1575</v>
      </c>
      <c r="I1088" s="2" t="s">
        <v>1572</v>
      </c>
      <c r="J1088" s="2">
        <v>10125.0</v>
      </c>
      <c r="K1088" s="2" t="s">
        <v>1601</v>
      </c>
      <c r="L1088" s="2"/>
      <c r="M1088" s="2"/>
      <c r="N1088" s="7">
        <v>1.0</v>
      </c>
      <c r="O1088" s="12">
        <v>20476.0</v>
      </c>
      <c r="P1088" s="11" t="s">
        <v>1649</v>
      </c>
      <c r="Q1088" s="12">
        <v>20476.0</v>
      </c>
      <c r="R1088" s="11" t="s">
        <v>1649</v>
      </c>
      <c r="S1088" s="11" t="s">
        <v>1716</v>
      </c>
      <c r="T1088" s="11" t="s">
        <v>1717</v>
      </c>
      <c r="U1088" s="2" t="s">
        <v>1574</v>
      </c>
      <c r="V1088" s="2" t="s">
        <v>1568</v>
      </c>
      <c r="W1088" s="2" t="s">
        <v>1569</v>
      </c>
      <c r="X1088" s="2" t="s">
        <v>1570</v>
      </c>
      <c r="AB1088" s="2" t="s">
        <v>1571</v>
      </c>
    </row>
    <row r="1089">
      <c r="A1089" s="2" t="s">
        <v>1826</v>
      </c>
      <c r="B1089" s="2">
        <v>10.0</v>
      </c>
      <c r="C1089" s="2" t="s">
        <v>11</v>
      </c>
      <c r="D1089" s="2" t="s">
        <v>1827</v>
      </c>
      <c r="E1089" s="2">
        <v>7.0</v>
      </c>
      <c r="F1089" s="2" t="s">
        <v>10</v>
      </c>
      <c r="G1089" s="5">
        <v>2647310.0</v>
      </c>
      <c r="H1089" s="2" t="s">
        <v>1575</v>
      </c>
      <c r="I1089" s="2" t="s">
        <v>1565</v>
      </c>
      <c r="J1089" s="2">
        <v>10007.0</v>
      </c>
      <c r="K1089" s="2" t="s">
        <v>1576</v>
      </c>
      <c r="L1089" s="2"/>
      <c r="M1089" s="2"/>
      <c r="N1089" s="7">
        <v>2.0</v>
      </c>
      <c r="O1089" s="12">
        <v>33810.0</v>
      </c>
      <c r="P1089" s="11" t="s">
        <v>1649</v>
      </c>
      <c r="Q1089" s="12">
        <v>33810.0</v>
      </c>
      <c r="R1089" s="11" t="s">
        <v>1649</v>
      </c>
      <c r="S1089" s="11" t="s">
        <v>1701</v>
      </c>
      <c r="T1089" s="11" t="s">
        <v>1703</v>
      </c>
      <c r="U1089" s="2" t="s">
        <v>1567</v>
      </c>
      <c r="V1089" s="2" t="s">
        <v>1568</v>
      </c>
      <c r="W1089" s="2" t="s">
        <v>1569</v>
      </c>
      <c r="X1089" s="2" t="s">
        <v>1570</v>
      </c>
      <c r="AB1089" s="2" t="s">
        <v>1571</v>
      </c>
    </row>
    <row r="1090">
      <c r="A1090" s="2" t="s">
        <v>1826</v>
      </c>
      <c r="B1090" s="2">
        <v>10.0</v>
      </c>
      <c r="C1090" s="2" t="s">
        <v>11</v>
      </c>
      <c r="D1090" s="2" t="s">
        <v>1827</v>
      </c>
      <c r="E1090" s="2">
        <v>7.0</v>
      </c>
      <c r="F1090" s="2" t="s">
        <v>10</v>
      </c>
      <c r="G1090" s="5">
        <v>2646945.0</v>
      </c>
      <c r="H1090" s="2" t="s">
        <v>1575</v>
      </c>
      <c r="I1090" s="2" t="s">
        <v>1565</v>
      </c>
      <c r="J1090" s="2">
        <v>10000.0</v>
      </c>
      <c r="K1090" s="2" t="s">
        <v>1566</v>
      </c>
      <c r="L1090" s="2"/>
      <c r="M1090" s="2"/>
      <c r="N1090" s="7">
        <v>1.0</v>
      </c>
      <c r="O1090" s="12">
        <v>29524.0</v>
      </c>
      <c r="P1090" s="11" t="s">
        <v>1649</v>
      </c>
      <c r="Q1090" s="12">
        <v>29524.0</v>
      </c>
      <c r="R1090" s="11" t="s">
        <v>1649</v>
      </c>
      <c r="S1090" s="11" t="s">
        <v>1683</v>
      </c>
      <c r="T1090" s="11" t="s">
        <v>1684</v>
      </c>
      <c r="U1090" s="2" t="s">
        <v>1574</v>
      </c>
      <c r="V1090" s="2" t="s">
        <v>1568</v>
      </c>
      <c r="W1090" s="2" t="s">
        <v>1569</v>
      </c>
      <c r="X1090" s="2" t="s">
        <v>1570</v>
      </c>
      <c r="AB1090" s="2" t="s">
        <v>1571</v>
      </c>
    </row>
    <row r="1091">
      <c r="A1091" s="2" t="s">
        <v>1826</v>
      </c>
      <c r="B1091" s="2">
        <v>10.0</v>
      </c>
      <c r="C1091" s="2" t="s">
        <v>11</v>
      </c>
      <c r="D1091" s="2" t="s">
        <v>1827</v>
      </c>
      <c r="E1091" s="2">
        <v>7.0</v>
      </c>
      <c r="F1091" s="2" t="s">
        <v>10</v>
      </c>
      <c r="G1091" s="5">
        <v>2646580.0</v>
      </c>
      <c r="H1091" s="2" t="s">
        <v>1575</v>
      </c>
      <c r="I1091" s="2" t="s">
        <v>1565</v>
      </c>
      <c r="J1091" s="2">
        <v>10007.0</v>
      </c>
      <c r="K1091" s="2" t="s">
        <v>1576</v>
      </c>
      <c r="L1091" s="2"/>
      <c r="M1091" s="2"/>
      <c r="N1091" s="7">
        <v>2.0</v>
      </c>
      <c r="O1091" s="12">
        <v>67620.0</v>
      </c>
      <c r="P1091" s="11" t="s">
        <v>1649</v>
      </c>
      <c r="Q1091" s="12">
        <v>67620.0</v>
      </c>
      <c r="R1091" s="11" t="s">
        <v>1649</v>
      </c>
      <c r="S1091" s="11" t="s">
        <v>1723</v>
      </c>
      <c r="T1091" s="11" t="s">
        <v>1724</v>
      </c>
      <c r="U1091" s="2" t="s">
        <v>1574</v>
      </c>
      <c r="V1091" s="2" t="s">
        <v>1568</v>
      </c>
      <c r="W1091" s="2" t="s">
        <v>1569</v>
      </c>
      <c r="X1091" s="2" t="s">
        <v>1570</v>
      </c>
      <c r="AB1091" s="2" t="s">
        <v>1571</v>
      </c>
    </row>
    <row r="1092">
      <c r="A1092" s="2" t="s">
        <v>1826</v>
      </c>
      <c r="B1092" s="2">
        <v>10.0</v>
      </c>
      <c r="C1092" s="2" t="s">
        <v>11</v>
      </c>
      <c r="D1092" s="2" t="s">
        <v>1827</v>
      </c>
      <c r="E1092" s="2">
        <v>7.0</v>
      </c>
      <c r="F1092" s="2" t="s">
        <v>10</v>
      </c>
      <c r="G1092" s="5">
        <v>2646580.0</v>
      </c>
      <c r="H1092" s="2" t="s">
        <v>1575</v>
      </c>
      <c r="I1092" s="2" t="s">
        <v>1565</v>
      </c>
      <c r="J1092" s="2">
        <v>10005.0</v>
      </c>
      <c r="K1092" s="2" t="s">
        <v>1595</v>
      </c>
      <c r="L1092" s="2"/>
      <c r="M1092" s="2"/>
      <c r="N1092" s="7">
        <v>1.0</v>
      </c>
      <c r="O1092" s="12">
        <v>19524.0</v>
      </c>
      <c r="P1092" s="11" t="s">
        <v>1649</v>
      </c>
      <c r="Q1092" s="12">
        <v>19524.0</v>
      </c>
      <c r="R1092" s="11" t="s">
        <v>1649</v>
      </c>
      <c r="S1092" s="11" t="s">
        <v>1676</v>
      </c>
      <c r="T1092" s="11" t="s">
        <v>1677</v>
      </c>
      <c r="U1092" s="2" t="s">
        <v>1574</v>
      </c>
      <c r="V1092" s="2" t="s">
        <v>1568</v>
      </c>
      <c r="W1092" s="2" t="s">
        <v>1569</v>
      </c>
      <c r="X1092" s="2" t="s">
        <v>1570</v>
      </c>
      <c r="AB1092" s="2" t="s">
        <v>1571</v>
      </c>
    </row>
    <row r="1093">
      <c r="A1093" s="2" t="s">
        <v>1826</v>
      </c>
      <c r="B1093" s="2">
        <v>10.0</v>
      </c>
      <c r="C1093" s="2" t="s">
        <v>11</v>
      </c>
      <c r="D1093" s="2" t="s">
        <v>1827</v>
      </c>
      <c r="E1093" s="2">
        <v>7.0</v>
      </c>
      <c r="F1093" s="2" t="s">
        <v>10</v>
      </c>
      <c r="G1093" s="5">
        <v>2646580.0</v>
      </c>
      <c r="H1093" s="2" t="s">
        <v>1575</v>
      </c>
      <c r="I1093" s="2" t="s">
        <v>1572</v>
      </c>
      <c r="J1093" s="2">
        <v>10128.0</v>
      </c>
      <c r="K1093" s="2" t="s">
        <v>1588</v>
      </c>
      <c r="L1093" s="2"/>
      <c r="M1093" s="2"/>
      <c r="N1093" s="7">
        <v>1.0</v>
      </c>
      <c r="O1093" s="12">
        <v>23333.0</v>
      </c>
      <c r="P1093" s="11" t="s">
        <v>1649</v>
      </c>
      <c r="Q1093" s="12">
        <v>23333.0</v>
      </c>
      <c r="R1093" s="11" t="s">
        <v>1649</v>
      </c>
      <c r="S1093" s="11" t="s">
        <v>1681</v>
      </c>
      <c r="T1093" s="11" t="s">
        <v>1682</v>
      </c>
      <c r="U1093" s="2" t="s">
        <v>1574</v>
      </c>
      <c r="V1093" s="2" t="s">
        <v>1568</v>
      </c>
      <c r="W1093" s="2" t="s">
        <v>1569</v>
      </c>
      <c r="X1093" s="2" t="s">
        <v>1570</v>
      </c>
      <c r="AB1093" s="2" t="s">
        <v>1571</v>
      </c>
    </row>
    <row r="1094">
      <c r="A1094" s="2" t="s">
        <v>1826</v>
      </c>
      <c r="B1094" s="2">
        <v>10.0</v>
      </c>
      <c r="C1094" s="2" t="s">
        <v>11</v>
      </c>
      <c r="D1094" s="2" t="s">
        <v>1827</v>
      </c>
      <c r="E1094" s="2">
        <v>7.0</v>
      </c>
      <c r="F1094" s="2" t="s">
        <v>10</v>
      </c>
      <c r="G1094" s="5">
        <v>2646580.0</v>
      </c>
      <c r="H1094" s="2" t="s">
        <v>1575</v>
      </c>
      <c r="I1094" s="2" t="s">
        <v>1572</v>
      </c>
      <c r="J1094" s="2">
        <v>10122.0</v>
      </c>
      <c r="K1094" s="2" t="s">
        <v>1577</v>
      </c>
      <c r="L1094" s="2"/>
      <c r="M1094" s="2"/>
      <c r="N1094" s="7">
        <v>1.0</v>
      </c>
      <c r="O1094" s="12">
        <v>21905.0</v>
      </c>
      <c r="P1094" s="11" t="s">
        <v>1649</v>
      </c>
      <c r="Q1094" s="12">
        <v>21905.0</v>
      </c>
      <c r="R1094" s="11" t="s">
        <v>1649</v>
      </c>
      <c r="S1094" s="11" t="s">
        <v>1666</v>
      </c>
      <c r="T1094" s="11" t="s">
        <v>1667</v>
      </c>
      <c r="U1094" s="2" t="s">
        <v>1574</v>
      </c>
      <c r="V1094" s="2" t="s">
        <v>1568</v>
      </c>
      <c r="W1094" s="2" t="s">
        <v>1569</v>
      </c>
      <c r="X1094" s="2" t="s">
        <v>1570</v>
      </c>
      <c r="AB1094" s="2" t="s">
        <v>1571</v>
      </c>
    </row>
    <row r="1095">
      <c r="A1095" s="2" t="s">
        <v>1826</v>
      </c>
      <c r="B1095" s="2">
        <v>10.0</v>
      </c>
      <c r="C1095" s="2" t="s">
        <v>11</v>
      </c>
      <c r="D1095" s="2" t="s">
        <v>1827</v>
      </c>
      <c r="E1095" s="2">
        <v>7.0</v>
      </c>
      <c r="F1095" s="2" t="s">
        <v>10</v>
      </c>
      <c r="G1095" s="5">
        <v>2646580.0</v>
      </c>
      <c r="H1095" s="2" t="s">
        <v>1575</v>
      </c>
      <c r="I1095" s="2" t="s">
        <v>1572</v>
      </c>
      <c r="J1095" s="2">
        <v>10128.0</v>
      </c>
      <c r="K1095" s="2" t="s">
        <v>1588</v>
      </c>
      <c r="L1095" s="2"/>
      <c r="M1095" s="2"/>
      <c r="N1095" s="7">
        <v>1.0</v>
      </c>
      <c r="O1095" s="12">
        <v>23333.0</v>
      </c>
      <c r="P1095" s="11" t="s">
        <v>1649</v>
      </c>
      <c r="Q1095" s="12">
        <v>23333.0</v>
      </c>
      <c r="R1095" s="11" t="s">
        <v>1649</v>
      </c>
      <c r="S1095" s="11" t="s">
        <v>1681</v>
      </c>
      <c r="T1095" s="11" t="s">
        <v>1682</v>
      </c>
      <c r="U1095" s="2" t="s">
        <v>1574</v>
      </c>
      <c r="V1095" s="2" t="s">
        <v>1568</v>
      </c>
      <c r="W1095" s="2" t="s">
        <v>1569</v>
      </c>
      <c r="X1095" s="2" t="s">
        <v>1570</v>
      </c>
      <c r="AB1095" s="2" t="s">
        <v>1571</v>
      </c>
    </row>
    <row r="1096">
      <c r="A1096" s="2" t="s">
        <v>1826</v>
      </c>
      <c r="B1096" s="2">
        <v>10.0</v>
      </c>
      <c r="C1096" s="2" t="s">
        <v>11</v>
      </c>
      <c r="D1096" s="2" t="s">
        <v>1827</v>
      </c>
      <c r="E1096" s="2">
        <v>7.0</v>
      </c>
      <c r="F1096" s="2" t="s">
        <v>10</v>
      </c>
      <c r="G1096" s="5">
        <v>2646580.0</v>
      </c>
      <c r="H1096" s="2" t="s">
        <v>1575</v>
      </c>
      <c r="I1096" s="2" t="s">
        <v>1572</v>
      </c>
      <c r="J1096" s="2">
        <v>10106.0</v>
      </c>
      <c r="K1096" s="2" t="s">
        <v>1598</v>
      </c>
      <c r="L1096" s="2"/>
      <c r="M1096" s="2"/>
      <c r="N1096" s="7">
        <v>1.0</v>
      </c>
      <c r="O1096" s="12">
        <v>26667.0</v>
      </c>
      <c r="P1096" s="11" t="s">
        <v>1649</v>
      </c>
      <c r="Q1096" s="12">
        <v>26667.0</v>
      </c>
      <c r="R1096" s="11" t="s">
        <v>1649</v>
      </c>
      <c r="S1096" s="11" t="s">
        <v>1674</v>
      </c>
      <c r="T1096" s="11" t="s">
        <v>1679</v>
      </c>
      <c r="U1096" s="2" t="s">
        <v>1574</v>
      </c>
      <c r="V1096" s="2" t="s">
        <v>1568</v>
      </c>
      <c r="W1096" s="2" t="s">
        <v>1569</v>
      </c>
      <c r="X1096" s="2" t="s">
        <v>1570</v>
      </c>
      <c r="AB1096" s="2" t="s">
        <v>1571</v>
      </c>
    </row>
    <row r="1097">
      <c r="A1097" s="2" t="s">
        <v>1826</v>
      </c>
      <c r="B1097" s="2">
        <v>10.0</v>
      </c>
      <c r="C1097" s="2" t="s">
        <v>11</v>
      </c>
      <c r="D1097" s="2" t="s">
        <v>1827</v>
      </c>
      <c r="E1097" s="2">
        <v>7.0</v>
      </c>
      <c r="F1097" s="2" t="s">
        <v>10</v>
      </c>
      <c r="G1097" s="5">
        <v>2646580.0</v>
      </c>
      <c r="H1097" s="2" t="s">
        <v>1575</v>
      </c>
      <c r="I1097" s="2" t="s">
        <v>1572</v>
      </c>
      <c r="J1097" s="2">
        <v>10112.0</v>
      </c>
      <c r="K1097" s="2" t="s">
        <v>1573</v>
      </c>
      <c r="L1097" s="2"/>
      <c r="M1097" s="2"/>
      <c r="N1097" s="7">
        <v>1.0</v>
      </c>
      <c r="O1097" s="12">
        <v>6667.0</v>
      </c>
      <c r="P1097" s="11" t="s">
        <v>1649</v>
      </c>
      <c r="Q1097" s="12">
        <v>6667.0</v>
      </c>
      <c r="R1097" s="11" t="s">
        <v>1649</v>
      </c>
      <c r="S1097" s="11" t="s">
        <v>1734</v>
      </c>
      <c r="T1097" s="11" t="s">
        <v>1738</v>
      </c>
      <c r="U1097" s="2" t="s">
        <v>1574</v>
      </c>
      <c r="V1097" s="2" t="s">
        <v>1568</v>
      </c>
      <c r="W1097" s="2" t="s">
        <v>1569</v>
      </c>
      <c r="X1097" s="2" t="s">
        <v>1570</v>
      </c>
      <c r="AB1097" s="2" t="s">
        <v>1571</v>
      </c>
    </row>
    <row r="1098">
      <c r="A1098" s="2" t="s">
        <v>1826</v>
      </c>
      <c r="B1098" s="2">
        <v>10.0</v>
      </c>
      <c r="C1098" s="2" t="s">
        <v>11</v>
      </c>
      <c r="D1098" s="2" t="s">
        <v>1827</v>
      </c>
      <c r="E1098" s="2">
        <v>7.0</v>
      </c>
      <c r="F1098" s="2" t="s">
        <v>10</v>
      </c>
      <c r="G1098" s="5">
        <v>2646580.0</v>
      </c>
      <c r="H1098" s="2" t="s">
        <v>1575</v>
      </c>
      <c r="I1098" s="2" t="s">
        <v>1578</v>
      </c>
      <c r="J1098" s="2">
        <v>10011.0</v>
      </c>
      <c r="K1098" s="2" t="s">
        <v>1605</v>
      </c>
      <c r="L1098" s="2"/>
      <c r="M1098" s="2"/>
      <c r="N1098" s="7">
        <v>1.0</v>
      </c>
      <c r="O1098" s="12">
        <v>25238.0</v>
      </c>
      <c r="P1098" s="11" t="s">
        <v>1649</v>
      </c>
      <c r="Q1098" s="12">
        <v>25238.0</v>
      </c>
      <c r="R1098" s="11" t="s">
        <v>1649</v>
      </c>
      <c r="S1098" s="11" t="s">
        <v>1660</v>
      </c>
      <c r="T1098" s="11" t="s">
        <v>1680</v>
      </c>
      <c r="U1098" s="2" t="s">
        <v>1574</v>
      </c>
      <c r="V1098" s="2" t="s">
        <v>1568</v>
      </c>
      <c r="W1098" s="2" t="s">
        <v>1569</v>
      </c>
      <c r="X1098" s="2" t="s">
        <v>1570</v>
      </c>
      <c r="AB1098" s="2" t="s">
        <v>1571</v>
      </c>
    </row>
    <row r="1099">
      <c r="A1099" s="2" t="s">
        <v>1826</v>
      </c>
      <c r="B1099" s="2">
        <v>10.0</v>
      </c>
      <c r="C1099" s="2" t="s">
        <v>11</v>
      </c>
      <c r="D1099" s="2" t="s">
        <v>1827</v>
      </c>
      <c r="E1099" s="2">
        <v>7.0</v>
      </c>
      <c r="F1099" s="2" t="s">
        <v>10</v>
      </c>
      <c r="G1099" s="5">
        <v>2646580.0</v>
      </c>
      <c r="H1099" s="2" t="s">
        <v>1575</v>
      </c>
      <c r="I1099" s="2" t="s">
        <v>1572</v>
      </c>
      <c r="J1099" s="2">
        <v>10122.0</v>
      </c>
      <c r="K1099" s="2" t="s">
        <v>1577</v>
      </c>
      <c r="L1099" s="2"/>
      <c r="M1099" s="2"/>
      <c r="N1099" s="7">
        <v>1.0</v>
      </c>
      <c r="O1099" s="12">
        <v>21905.0</v>
      </c>
      <c r="P1099" s="11" t="s">
        <v>1649</v>
      </c>
      <c r="Q1099" s="12">
        <v>21905.0</v>
      </c>
      <c r="R1099" s="11" t="s">
        <v>1649</v>
      </c>
      <c r="S1099" s="11" t="s">
        <v>1666</v>
      </c>
      <c r="T1099" s="11" t="s">
        <v>1687</v>
      </c>
      <c r="U1099" s="2" t="s">
        <v>1574</v>
      </c>
      <c r="V1099" s="2" t="s">
        <v>1568</v>
      </c>
      <c r="W1099" s="2" t="s">
        <v>1569</v>
      </c>
      <c r="X1099" s="2" t="s">
        <v>1570</v>
      </c>
      <c r="AB1099" s="2" t="s">
        <v>1571</v>
      </c>
    </row>
    <row r="1100">
      <c r="A1100" s="2" t="s">
        <v>1826</v>
      </c>
      <c r="B1100" s="2">
        <v>10.0</v>
      </c>
      <c r="C1100" s="2" t="s">
        <v>11</v>
      </c>
      <c r="D1100" s="2" t="s">
        <v>1827</v>
      </c>
      <c r="E1100" s="2">
        <v>7.0</v>
      </c>
      <c r="F1100" s="2" t="s">
        <v>10</v>
      </c>
      <c r="G1100" s="5">
        <v>2646580.0</v>
      </c>
      <c r="H1100" s="2" t="s">
        <v>1575</v>
      </c>
      <c r="I1100" s="2" t="s">
        <v>1572</v>
      </c>
      <c r="J1100" s="2">
        <v>10067.0</v>
      </c>
      <c r="K1100" s="2" t="s">
        <v>1621</v>
      </c>
      <c r="L1100" s="2"/>
      <c r="M1100" s="2"/>
      <c r="N1100" s="7">
        <v>1.0</v>
      </c>
      <c r="O1100" s="12">
        <v>24762.0</v>
      </c>
      <c r="P1100" s="11" t="s">
        <v>1649</v>
      </c>
      <c r="Q1100" s="12">
        <v>24762.0</v>
      </c>
      <c r="R1100" s="11" t="s">
        <v>1649</v>
      </c>
      <c r="S1100" s="11" t="s">
        <v>1689</v>
      </c>
      <c r="T1100" s="11" t="s">
        <v>1693</v>
      </c>
      <c r="U1100" s="2" t="s">
        <v>1574</v>
      </c>
      <c r="V1100" s="2" t="s">
        <v>1568</v>
      </c>
      <c r="W1100" s="2" t="s">
        <v>1569</v>
      </c>
      <c r="X1100" s="2" t="s">
        <v>1570</v>
      </c>
      <c r="AB1100" s="2" t="s">
        <v>1571</v>
      </c>
    </row>
    <row r="1101">
      <c r="A1101" s="2" t="s">
        <v>1826</v>
      </c>
      <c r="B1101" s="2">
        <v>10.0</v>
      </c>
      <c r="C1101" s="2" t="s">
        <v>11</v>
      </c>
      <c r="D1101" s="2" t="s">
        <v>1827</v>
      </c>
      <c r="E1101" s="2">
        <v>7.0</v>
      </c>
      <c r="F1101" s="2" t="s">
        <v>10</v>
      </c>
      <c r="G1101" s="5">
        <v>2646580.0</v>
      </c>
      <c r="H1101" s="2" t="s">
        <v>1575</v>
      </c>
      <c r="I1101" s="2" t="s">
        <v>1565</v>
      </c>
      <c r="J1101" s="2">
        <v>10002.0</v>
      </c>
      <c r="K1101" s="2" t="s">
        <v>1576</v>
      </c>
      <c r="L1101" s="2"/>
      <c r="M1101" s="2"/>
      <c r="N1101" s="7">
        <v>1.0</v>
      </c>
      <c r="O1101" s="12">
        <v>18571.0</v>
      </c>
      <c r="P1101" s="11" t="s">
        <v>1649</v>
      </c>
      <c r="Q1101" s="12">
        <v>18571.0</v>
      </c>
      <c r="R1101" s="11" t="s">
        <v>1649</v>
      </c>
      <c r="S1101" s="11" t="s">
        <v>1656</v>
      </c>
      <c r="T1101" s="11" t="s">
        <v>1688</v>
      </c>
      <c r="U1101" s="2" t="s">
        <v>1574</v>
      </c>
      <c r="V1101" s="2" t="s">
        <v>1568</v>
      </c>
      <c r="W1101" s="2" t="s">
        <v>1569</v>
      </c>
      <c r="X1101" s="2" t="s">
        <v>1570</v>
      </c>
      <c r="AB1101" s="2" t="s">
        <v>1571</v>
      </c>
    </row>
    <row r="1102">
      <c r="A1102" s="2" t="s">
        <v>1826</v>
      </c>
      <c r="B1102" s="2">
        <v>9.0</v>
      </c>
      <c r="C1102" s="2" t="s">
        <v>11</v>
      </c>
      <c r="D1102" s="2" t="s">
        <v>1827</v>
      </c>
      <c r="E1102" s="2">
        <v>7.0</v>
      </c>
      <c r="F1102" s="2" t="s">
        <v>10</v>
      </c>
      <c r="G1102" s="5">
        <v>2646215.0</v>
      </c>
      <c r="H1102" s="2" t="s">
        <v>1575</v>
      </c>
      <c r="I1102" s="2" t="s">
        <v>1565</v>
      </c>
      <c r="J1102" s="2">
        <v>10007.0</v>
      </c>
      <c r="K1102" s="2" t="s">
        <v>1576</v>
      </c>
      <c r="L1102" s="2"/>
      <c r="M1102" s="2"/>
      <c r="N1102" s="7">
        <v>2.0</v>
      </c>
      <c r="O1102" s="12">
        <v>33810.0</v>
      </c>
      <c r="P1102" s="11" t="s">
        <v>1649</v>
      </c>
      <c r="Q1102" s="12">
        <v>33810.0</v>
      </c>
      <c r="R1102" s="11" t="s">
        <v>1649</v>
      </c>
      <c r="S1102" s="11" t="s">
        <v>1701</v>
      </c>
      <c r="T1102" s="11" t="s">
        <v>1703</v>
      </c>
      <c r="U1102" s="2" t="s">
        <v>1574</v>
      </c>
      <c r="V1102" s="2" t="s">
        <v>1568</v>
      </c>
      <c r="W1102" s="2" t="s">
        <v>1569</v>
      </c>
      <c r="X1102" s="2" t="s">
        <v>1570</v>
      </c>
      <c r="AB1102" s="2" t="s">
        <v>1571</v>
      </c>
    </row>
    <row r="1103">
      <c r="A1103" s="2" t="s">
        <v>1826</v>
      </c>
      <c r="B1103" s="2">
        <v>9.0</v>
      </c>
      <c r="C1103" s="2" t="s">
        <v>11</v>
      </c>
      <c r="D1103" s="2" t="s">
        <v>1827</v>
      </c>
      <c r="E1103" s="2">
        <v>7.0</v>
      </c>
      <c r="F1103" s="2" t="s">
        <v>10</v>
      </c>
      <c r="G1103" s="5">
        <v>2646215.0</v>
      </c>
      <c r="H1103" s="2" t="s">
        <v>1575</v>
      </c>
      <c r="I1103" s="2" t="s">
        <v>1572</v>
      </c>
      <c r="J1103" s="2">
        <v>10120.0</v>
      </c>
      <c r="K1103" s="2" t="s">
        <v>1590</v>
      </c>
      <c r="L1103" s="2"/>
      <c r="M1103" s="2"/>
      <c r="N1103" s="7">
        <v>1.0</v>
      </c>
      <c r="O1103" s="12">
        <v>19524.0</v>
      </c>
      <c r="P1103" s="11" t="s">
        <v>1649</v>
      </c>
      <c r="Q1103" s="12">
        <v>19524.0</v>
      </c>
      <c r="R1103" s="11" t="s">
        <v>1649</v>
      </c>
      <c r="S1103" s="11" t="s">
        <v>1676</v>
      </c>
      <c r="T1103" s="11" t="s">
        <v>1677</v>
      </c>
      <c r="U1103" s="2" t="s">
        <v>1574</v>
      </c>
      <c r="V1103" s="2" t="s">
        <v>1568</v>
      </c>
      <c r="W1103" s="2" t="s">
        <v>1569</v>
      </c>
      <c r="X1103" s="2" t="s">
        <v>1570</v>
      </c>
      <c r="AB1103" s="2" t="s">
        <v>1571</v>
      </c>
    </row>
    <row r="1104">
      <c r="A1104" s="2" t="s">
        <v>1826</v>
      </c>
      <c r="B1104" s="2">
        <v>9.0</v>
      </c>
      <c r="C1104" s="2" t="s">
        <v>11</v>
      </c>
      <c r="D1104" s="2" t="s">
        <v>1827</v>
      </c>
      <c r="E1104" s="2">
        <v>7.0</v>
      </c>
      <c r="F1104" s="2" t="s">
        <v>10</v>
      </c>
      <c r="G1104" s="5">
        <v>2646215.0</v>
      </c>
      <c r="H1104" s="2" t="s">
        <v>1575</v>
      </c>
      <c r="I1104" s="2" t="s">
        <v>1572</v>
      </c>
      <c r="J1104" s="2">
        <v>10121.0</v>
      </c>
      <c r="K1104" s="2" t="s">
        <v>1617</v>
      </c>
      <c r="L1104" s="2"/>
      <c r="M1104" s="2"/>
      <c r="N1104" s="7">
        <v>1.0</v>
      </c>
      <c r="O1104" s="12">
        <v>19524.0</v>
      </c>
      <c r="P1104" s="11" t="s">
        <v>1649</v>
      </c>
      <c r="Q1104" s="12">
        <v>19524.0</v>
      </c>
      <c r="R1104" s="11" t="s">
        <v>1649</v>
      </c>
      <c r="S1104" s="11" t="s">
        <v>1676</v>
      </c>
      <c r="T1104" s="11" t="s">
        <v>1677</v>
      </c>
      <c r="U1104" s="2" t="s">
        <v>1574</v>
      </c>
      <c r="V1104" s="2" t="s">
        <v>1568</v>
      </c>
      <c r="W1104" s="2" t="s">
        <v>1569</v>
      </c>
      <c r="X1104" s="2" t="s">
        <v>1570</v>
      </c>
      <c r="AB1104" s="2" t="s">
        <v>1571</v>
      </c>
    </row>
    <row r="1105">
      <c r="A1105" s="2" t="s">
        <v>1826</v>
      </c>
      <c r="B1105" s="2">
        <v>9.0</v>
      </c>
      <c r="C1105" s="2" t="s">
        <v>11</v>
      </c>
      <c r="D1105" s="2" t="s">
        <v>1827</v>
      </c>
      <c r="E1105" s="2">
        <v>7.0</v>
      </c>
      <c r="F1105" s="2" t="s">
        <v>10</v>
      </c>
      <c r="G1105" s="5">
        <v>2645849.0</v>
      </c>
      <c r="H1105" s="2" t="s">
        <v>1575</v>
      </c>
      <c r="I1105" s="2" t="s">
        <v>1565</v>
      </c>
      <c r="J1105" s="2">
        <v>10002.0</v>
      </c>
      <c r="K1105" s="2" t="s">
        <v>1576</v>
      </c>
      <c r="L1105" s="2"/>
      <c r="M1105" s="2"/>
      <c r="N1105" s="7">
        <v>1.0</v>
      </c>
      <c r="O1105" s="12">
        <v>18571.0</v>
      </c>
      <c r="P1105" s="11" t="s">
        <v>1649</v>
      </c>
      <c r="Q1105" s="12">
        <v>18571.0</v>
      </c>
      <c r="R1105" s="11" t="s">
        <v>1649</v>
      </c>
      <c r="S1105" s="11" t="s">
        <v>1656</v>
      </c>
      <c r="T1105" s="11" t="s">
        <v>1657</v>
      </c>
      <c r="U1105" s="2" t="s">
        <v>1574</v>
      </c>
      <c r="V1105" s="2" t="s">
        <v>1568</v>
      </c>
      <c r="W1105" s="2" t="s">
        <v>1569</v>
      </c>
      <c r="X1105" s="2" t="s">
        <v>1570</v>
      </c>
      <c r="AB1105" s="2" t="s">
        <v>1571</v>
      </c>
    </row>
    <row r="1106">
      <c r="A1106" s="2" t="s">
        <v>1826</v>
      </c>
      <c r="B1106" s="2">
        <v>9.0</v>
      </c>
      <c r="C1106" s="2" t="s">
        <v>11</v>
      </c>
      <c r="D1106" s="2" t="s">
        <v>1827</v>
      </c>
      <c r="E1106" s="2">
        <v>7.0</v>
      </c>
      <c r="F1106" s="2" t="s">
        <v>10</v>
      </c>
      <c r="G1106" s="5">
        <v>2645849.0</v>
      </c>
      <c r="H1106" s="2" t="s">
        <v>1575</v>
      </c>
      <c r="I1106" s="2" t="s">
        <v>1565</v>
      </c>
      <c r="J1106" s="2">
        <v>10005.0</v>
      </c>
      <c r="K1106" s="2" t="s">
        <v>1595</v>
      </c>
      <c r="L1106" s="2"/>
      <c r="M1106" s="2"/>
      <c r="N1106" s="7">
        <v>1.0</v>
      </c>
      <c r="O1106" s="12">
        <v>19524.0</v>
      </c>
      <c r="P1106" s="11" t="s">
        <v>1649</v>
      </c>
      <c r="Q1106" s="12">
        <v>19524.0</v>
      </c>
      <c r="R1106" s="11" t="s">
        <v>1649</v>
      </c>
      <c r="S1106" s="11" t="s">
        <v>1676</v>
      </c>
      <c r="T1106" s="11" t="s">
        <v>1677</v>
      </c>
      <c r="U1106" s="2" t="s">
        <v>1574</v>
      </c>
      <c r="V1106" s="2" t="s">
        <v>1568</v>
      </c>
      <c r="W1106" s="2" t="s">
        <v>1569</v>
      </c>
      <c r="X1106" s="2" t="s">
        <v>1570</v>
      </c>
      <c r="AB1106" s="2" t="s">
        <v>1571</v>
      </c>
    </row>
    <row r="1107">
      <c r="A1107" s="2" t="s">
        <v>1826</v>
      </c>
      <c r="B1107" s="2">
        <v>9.0</v>
      </c>
      <c r="C1107" s="2" t="s">
        <v>11</v>
      </c>
      <c r="D1107" s="2" t="s">
        <v>1827</v>
      </c>
      <c r="E1107" s="2">
        <v>7.0</v>
      </c>
      <c r="F1107" s="2" t="s">
        <v>10</v>
      </c>
      <c r="G1107" s="5">
        <v>2645849.0</v>
      </c>
      <c r="H1107" s="2" t="s">
        <v>1575</v>
      </c>
      <c r="I1107" s="2" t="s">
        <v>1578</v>
      </c>
      <c r="J1107" s="2">
        <v>10014.0</v>
      </c>
      <c r="K1107" s="2" t="s">
        <v>1609</v>
      </c>
      <c r="L1107" s="2"/>
      <c r="M1107" s="2"/>
      <c r="N1107" s="7">
        <v>1.0</v>
      </c>
      <c r="O1107" s="12">
        <v>25238.0</v>
      </c>
      <c r="P1107" s="11" t="s">
        <v>1649</v>
      </c>
      <c r="Q1107" s="12">
        <v>25238.0</v>
      </c>
      <c r="R1107" s="11" t="s">
        <v>1649</v>
      </c>
      <c r="S1107" s="11" t="s">
        <v>1660</v>
      </c>
      <c r="T1107" s="11" t="s">
        <v>1680</v>
      </c>
      <c r="U1107" s="2" t="s">
        <v>1574</v>
      </c>
      <c r="V1107" s="2" t="s">
        <v>1568</v>
      </c>
      <c r="W1107" s="2" t="s">
        <v>1569</v>
      </c>
      <c r="X1107" s="2" t="s">
        <v>1570</v>
      </c>
      <c r="AB1107" s="2" t="s">
        <v>1571</v>
      </c>
    </row>
    <row r="1108">
      <c r="A1108" s="2" t="s">
        <v>1826</v>
      </c>
      <c r="B1108" s="2">
        <v>9.0</v>
      </c>
      <c r="C1108" s="2" t="s">
        <v>11</v>
      </c>
      <c r="D1108" s="2" t="s">
        <v>1827</v>
      </c>
      <c r="E1108" s="2">
        <v>7.0</v>
      </c>
      <c r="F1108" s="2" t="s">
        <v>10</v>
      </c>
      <c r="G1108" s="5">
        <v>2645849.0</v>
      </c>
      <c r="H1108" s="2" t="s">
        <v>1575</v>
      </c>
      <c r="I1108" s="2" t="s">
        <v>1572</v>
      </c>
      <c r="J1108" s="2">
        <v>10128.0</v>
      </c>
      <c r="K1108" s="2" t="s">
        <v>1588</v>
      </c>
      <c r="L1108" s="2"/>
      <c r="M1108" s="2"/>
      <c r="N1108" s="7">
        <v>2.0</v>
      </c>
      <c r="O1108" s="12">
        <v>46666.0</v>
      </c>
      <c r="P1108" s="11" t="s">
        <v>1649</v>
      </c>
      <c r="Q1108" s="12">
        <v>46666.0</v>
      </c>
      <c r="R1108" s="11" t="s">
        <v>1649</v>
      </c>
      <c r="S1108" s="11" t="s">
        <v>1691</v>
      </c>
      <c r="T1108" s="11" t="s">
        <v>1692</v>
      </c>
      <c r="U1108" s="2" t="s">
        <v>1574</v>
      </c>
      <c r="V1108" s="2" t="s">
        <v>1568</v>
      </c>
      <c r="W1108" s="2" t="s">
        <v>1569</v>
      </c>
      <c r="X1108" s="2" t="s">
        <v>1570</v>
      </c>
      <c r="AB1108" s="2" t="s">
        <v>1571</v>
      </c>
    </row>
    <row r="1109">
      <c r="A1109" s="2" t="s">
        <v>1826</v>
      </c>
      <c r="B1109" s="2">
        <v>9.0</v>
      </c>
      <c r="C1109" s="2" t="s">
        <v>11</v>
      </c>
      <c r="D1109" s="2" t="s">
        <v>1827</v>
      </c>
      <c r="E1109" s="2">
        <v>7.0</v>
      </c>
      <c r="F1109" s="2" t="s">
        <v>10</v>
      </c>
      <c r="G1109" s="5">
        <v>2645849.0</v>
      </c>
      <c r="H1109" s="2" t="s">
        <v>1575</v>
      </c>
      <c r="I1109" s="2" t="s">
        <v>1572</v>
      </c>
      <c r="J1109" s="2">
        <v>10013.0</v>
      </c>
      <c r="K1109" s="2" t="s">
        <v>1591</v>
      </c>
      <c r="L1109" s="2"/>
      <c r="M1109" s="2"/>
      <c r="N1109" s="7">
        <v>1.0</v>
      </c>
      <c r="O1109" s="12">
        <v>23333.0</v>
      </c>
      <c r="P1109" s="11" t="s">
        <v>1649</v>
      </c>
      <c r="Q1109" s="12">
        <v>23333.0</v>
      </c>
      <c r="R1109" s="11" t="s">
        <v>1649</v>
      </c>
      <c r="S1109" s="11" t="s">
        <v>1681</v>
      </c>
      <c r="T1109" s="11" t="s">
        <v>1682</v>
      </c>
      <c r="U1109" s="2" t="s">
        <v>1574</v>
      </c>
      <c r="V1109" s="2" t="s">
        <v>1568</v>
      </c>
      <c r="W1109" s="2" t="s">
        <v>1569</v>
      </c>
      <c r="X1109" s="2" t="s">
        <v>1570</v>
      </c>
      <c r="AB1109" s="2" t="s">
        <v>1571</v>
      </c>
    </row>
    <row r="1110">
      <c r="A1110" s="2" t="s">
        <v>1826</v>
      </c>
      <c r="B1110" s="2">
        <v>9.0</v>
      </c>
      <c r="C1110" s="2" t="s">
        <v>11</v>
      </c>
      <c r="D1110" s="2" t="s">
        <v>1827</v>
      </c>
      <c r="E1110" s="2">
        <v>7.0</v>
      </c>
      <c r="F1110" s="2" t="s">
        <v>10</v>
      </c>
      <c r="G1110" s="5">
        <v>2645849.0</v>
      </c>
      <c r="H1110" s="2" t="s">
        <v>1575</v>
      </c>
      <c r="I1110" s="2" t="s">
        <v>1572</v>
      </c>
      <c r="J1110" s="2">
        <v>10106.0</v>
      </c>
      <c r="K1110" s="2" t="s">
        <v>1598</v>
      </c>
      <c r="L1110" s="2"/>
      <c r="M1110" s="2"/>
      <c r="N1110" s="7">
        <v>1.0</v>
      </c>
      <c r="O1110" s="12">
        <v>26667.0</v>
      </c>
      <c r="P1110" s="11" t="s">
        <v>1649</v>
      </c>
      <c r="Q1110" s="12">
        <v>26667.0</v>
      </c>
      <c r="R1110" s="11" t="s">
        <v>1649</v>
      </c>
      <c r="S1110" s="11" t="s">
        <v>1674</v>
      </c>
      <c r="T1110" s="11" t="s">
        <v>1679</v>
      </c>
      <c r="U1110" s="2" t="s">
        <v>1574</v>
      </c>
      <c r="V1110" s="2" t="s">
        <v>1568</v>
      </c>
      <c r="W1110" s="2" t="s">
        <v>1569</v>
      </c>
      <c r="X1110" s="2" t="s">
        <v>1570</v>
      </c>
      <c r="AB1110" s="2" t="s">
        <v>1571</v>
      </c>
    </row>
    <row r="1111">
      <c r="A1111" s="2" t="s">
        <v>1826</v>
      </c>
      <c r="B1111" s="2">
        <v>9.0</v>
      </c>
      <c r="C1111" s="2" t="s">
        <v>11</v>
      </c>
      <c r="D1111" s="2" t="s">
        <v>1827</v>
      </c>
      <c r="E1111" s="2">
        <v>7.0</v>
      </c>
      <c r="F1111" s="2" t="s">
        <v>10</v>
      </c>
      <c r="G1111" s="5">
        <v>2645849.0</v>
      </c>
      <c r="H1111" s="2" t="s">
        <v>1575</v>
      </c>
      <c r="I1111" s="2" t="s">
        <v>1572</v>
      </c>
      <c r="J1111" s="2">
        <v>10056.0</v>
      </c>
      <c r="K1111" s="2" t="s">
        <v>1585</v>
      </c>
      <c r="L1111" s="2"/>
      <c r="M1111" s="2"/>
      <c r="N1111" s="7">
        <v>1.0</v>
      </c>
      <c r="O1111" s="12">
        <v>19524.0</v>
      </c>
      <c r="P1111" s="11" t="s">
        <v>1649</v>
      </c>
      <c r="Q1111" s="12">
        <v>19524.0</v>
      </c>
      <c r="R1111" s="11" t="s">
        <v>1649</v>
      </c>
      <c r="S1111" s="11" t="s">
        <v>1676</v>
      </c>
      <c r="T1111" s="11" t="s">
        <v>1677</v>
      </c>
      <c r="U1111" s="2" t="s">
        <v>1574</v>
      </c>
      <c r="V1111" s="2" t="s">
        <v>1568</v>
      </c>
      <c r="W1111" s="2" t="s">
        <v>1569</v>
      </c>
      <c r="X1111" s="2" t="s">
        <v>1570</v>
      </c>
      <c r="AB1111" s="2" t="s">
        <v>1571</v>
      </c>
    </row>
    <row r="1112">
      <c r="A1112" s="2" t="s">
        <v>1826</v>
      </c>
      <c r="B1112" s="2">
        <v>9.0</v>
      </c>
      <c r="C1112" s="2" t="s">
        <v>11</v>
      </c>
      <c r="D1112" s="2" t="s">
        <v>1827</v>
      </c>
      <c r="E1112" s="2">
        <v>7.0</v>
      </c>
      <c r="F1112" s="2" t="s">
        <v>10</v>
      </c>
      <c r="G1112" s="5">
        <v>2645849.0</v>
      </c>
      <c r="H1112" s="2" t="s">
        <v>1575</v>
      </c>
      <c r="I1112" s="2" t="s">
        <v>1578</v>
      </c>
      <c r="J1112" s="2">
        <v>10051.0</v>
      </c>
      <c r="K1112" s="2" t="s">
        <v>1579</v>
      </c>
      <c r="L1112" s="2"/>
      <c r="M1112" s="2"/>
      <c r="N1112" s="7">
        <v>1.0</v>
      </c>
      <c r="O1112" s="12">
        <v>25238.0</v>
      </c>
      <c r="P1112" s="11" t="s">
        <v>1649</v>
      </c>
      <c r="Q1112" s="12">
        <v>25238.0</v>
      </c>
      <c r="R1112" s="11" t="s">
        <v>1649</v>
      </c>
      <c r="S1112" s="11" t="s">
        <v>1660</v>
      </c>
      <c r="T1112" s="11" t="s">
        <v>1680</v>
      </c>
      <c r="U1112" s="2" t="s">
        <v>1574</v>
      </c>
      <c r="V1112" s="2" t="s">
        <v>1568</v>
      </c>
      <c r="W1112" s="2" t="s">
        <v>1569</v>
      </c>
      <c r="X1112" s="2" t="s">
        <v>1570</v>
      </c>
      <c r="AB1112" s="2" t="s">
        <v>1571</v>
      </c>
    </row>
    <row r="1113">
      <c r="A1113" s="2" t="s">
        <v>1826</v>
      </c>
      <c r="B1113" s="2">
        <v>9.0</v>
      </c>
      <c r="C1113" s="2" t="s">
        <v>11</v>
      </c>
      <c r="D1113" s="2" t="s">
        <v>1827</v>
      </c>
      <c r="E1113" s="2">
        <v>7.0</v>
      </c>
      <c r="F1113" s="2" t="s">
        <v>10</v>
      </c>
      <c r="G1113" s="5">
        <v>2645484.0</v>
      </c>
      <c r="H1113" s="2" t="s">
        <v>1575</v>
      </c>
      <c r="I1113" s="2" t="s">
        <v>1565</v>
      </c>
      <c r="J1113" s="2">
        <v>10005.0</v>
      </c>
      <c r="K1113" s="2" t="s">
        <v>1595</v>
      </c>
      <c r="L1113" s="2"/>
      <c r="M1113" s="2"/>
      <c r="N1113" s="7">
        <v>1.0</v>
      </c>
      <c r="O1113" s="12">
        <v>19524.0</v>
      </c>
      <c r="P1113" s="11" t="s">
        <v>1649</v>
      </c>
      <c r="Q1113" s="12">
        <v>19524.0</v>
      </c>
      <c r="R1113" s="11" t="s">
        <v>1649</v>
      </c>
      <c r="S1113" s="11" t="s">
        <v>1676</v>
      </c>
      <c r="T1113" s="11" t="s">
        <v>1677</v>
      </c>
      <c r="U1113" s="2" t="s">
        <v>1574</v>
      </c>
      <c r="V1113" s="2" t="s">
        <v>1568</v>
      </c>
      <c r="W1113" s="2" t="s">
        <v>1569</v>
      </c>
      <c r="X1113" s="2" t="s">
        <v>1570</v>
      </c>
      <c r="AB1113" s="2" t="s">
        <v>1571</v>
      </c>
    </row>
    <row r="1114">
      <c r="A1114" s="2" t="s">
        <v>1826</v>
      </c>
      <c r="B1114" s="2">
        <v>9.0</v>
      </c>
      <c r="C1114" s="2" t="s">
        <v>11</v>
      </c>
      <c r="D1114" s="2" t="s">
        <v>1827</v>
      </c>
      <c r="E1114" s="2">
        <v>7.0</v>
      </c>
      <c r="F1114" s="2" t="s">
        <v>10</v>
      </c>
      <c r="G1114" s="5">
        <v>2645484.0</v>
      </c>
      <c r="H1114" s="2" t="s">
        <v>1575</v>
      </c>
      <c r="I1114" s="2" t="s">
        <v>1565</v>
      </c>
      <c r="J1114" s="2">
        <v>10007.0</v>
      </c>
      <c r="K1114" s="2" t="s">
        <v>1576</v>
      </c>
      <c r="L1114" s="2"/>
      <c r="M1114" s="2"/>
      <c r="N1114" s="7">
        <v>2.0</v>
      </c>
      <c r="O1114" s="12">
        <v>33810.0</v>
      </c>
      <c r="P1114" s="11" t="s">
        <v>1649</v>
      </c>
      <c r="Q1114" s="12">
        <v>33810.0</v>
      </c>
      <c r="R1114" s="11" t="s">
        <v>1649</v>
      </c>
      <c r="S1114" s="11" t="s">
        <v>1701</v>
      </c>
      <c r="T1114" s="11" t="s">
        <v>1703</v>
      </c>
      <c r="U1114" s="2" t="s">
        <v>1574</v>
      </c>
      <c r="V1114" s="2" t="s">
        <v>1568</v>
      </c>
      <c r="W1114" s="2" t="s">
        <v>1569</v>
      </c>
      <c r="X1114" s="2" t="s">
        <v>1570</v>
      </c>
      <c r="AB1114" s="2" t="s">
        <v>1571</v>
      </c>
    </row>
    <row r="1115">
      <c r="A1115" s="2" t="s">
        <v>1826</v>
      </c>
      <c r="B1115" s="2">
        <v>9.0</v>
      </c>
      <c r="C1115" s="2" t="s">
        <v>11</v>
      </c>
      <c r="D1115" s="2" t="s">
        <v>1827</v>
      </c>
      <c r="E1115" s="2">
        <v>7.0</v>
      </c>
      <c r="F1115" s="2" t="s">
        <v>10</v>
      </c>
      <c r="G1115" s="5">
        <v>2645484.0</v>
      </c>
      <c r="H1115" s="2" t="s">
        <v>1575</v>
      </c>
      <c r="I1115" s="2" t="s">
        <v>1572</v>
      </c>
      <c r="J1115" s="2">
        <v>10026.0</v>
      </c>
      <c r="K1115" s="2" t="s">
        <v>1583</v>
      </c>
      <c r="L1115" s="2"/>
      <c r="M1115" s="2"/>
      <c r="N1115" s="7">
        <v>1.0</v>
      </c>
      <c r="O1115" s="12">
        <v>21905.0</v>
      </c>
      <c r="P1115" s="11" t="s">
        <v>1649</v>
      </c>
      <c r="Q1115" s="12">
        <v>21905.0</v>
      </c>
      <c r="R1115" s="11" t="s">
        <v>1649</v>
      </c>
      <c r="S1115" s="11" t="s">
        <v>1666</v>
      </c>
      <c r="T1115" s="11" t="s">
        <v>1667</v>
      </c>
      <c r="U1115" s="2" t="s">
        <v>1574</v>
      </c>
      <c r="V1115" s="2" t="s">
        <v>1568</v>
      </c>
      <c r="W1115" s="2" t="s">
        <v>1569</v>
      </c>
      <c r="X1115" s="2" t="s">
        <v>1570</v>
      </c>
      <c r="AB1115" s="2" t="s">
        <v>1571</v>
      </c>
    </row>
    <row r="1116">
      <c r="A1116" s="2" t="s">
        <v>1826</v>
      </c>
      <c r="B1116" s="2">
        <v>9.0</v>
      </c>
      <c r="C1116" s="2" t="s">
        <v>11</v>
      </c>
      <c r="D1116" s="2" t="s">
        <v>1827</v>
      </c>
      <c r="E1116" s="2">
        <v>7.0</v>
      </c>
      <c r="F1116" s="2" t="s">
        <v>10</v>
      </c>
      <c r="G1116" s="5">
        <v>2645484.0</v>
      </c>
      <c r="H1116" s="2" t="s">
        <v>1575</v>
      </c>
      <c r="I1116" s="2" t="s">
        <v>1578</v>
      </c>
      <c r="J1116" s="2">
        <v>10015.0</v>
      </c>
      <c r="K1116" s="2" t="s">
        <v>1587</v>
      </c>
      <c r="L1116" s="2"/>
      <c r="M1116" s="2"/>
      <c r="N1116" s="7">
        <v>1.0</v>
      </c>
      <c r="O1116" s="12">
        <v>25238.0</v>
      </c>
      <c r="P1116" s="11" t="s">
        <v>1649</v>
      </c>
      <c r="Q1116" s="12">
        <v>25238.0</v>
      </c>
      <c r="R1116" s="11" t="s">
        <v>1649</v>
      </c>
      <c r="S1116" s="11" t="s">
        <v>1660</v>
      </c>
      <c r="T1116" s="11" t="s">
        <v>1680</v>
      </c>
      <c r="U1116" s="2" t="s">
        <v>1574</v>
      </c>
      <c r="V1116" s="2" t="s">
        <v>1568</v>
      </c>
      <c r="W1116" s="2" t="s">
        <v>1569</v>
      </c>
      <c r="X1116" s="2" t="s">
        <v>1570</v>
      </c>
      <c r="AB1116" s="2" t="s">
        <v>1571</v>
      </c>
    </row>
    <row r="1117">
      <c r="A1117" s="2" t="s">
        <v>1826</v>
      </c>
      <c r="B1117" s="2">
        <v>9.0</v>
      </c>
      <c r="C1117" s="2" t="s">
        <v>11</v>
      </c>
      <c r="D1117" s="2" t="s">
        <v>1827</v>
      </c>
      <c r="E1117" s="2">
        <v>7.0</v>
      </c>
      <c r="F1117" s="2" t="s">
        <v>10</v>
      </c>
      <c r="G1117" s="5">
        <v>2645484.0</v>
      </c>
      <c r="H1117" s="2" t="s">
        <v>1575</v>
      </c>
      <c r="I1117" s="2" t="s">
        <v>1572</v>
      </c>
      <c r="J1117" s="2">
        <v>10121.0</v>
      </c>
      <c r="K1117" s="2" t="s">
        <v>1617</v>
      </c>
      <c r="L1117" s="2"/>
      <c r="M1117" s="2"/>
      <c r="N1117" s="7">
        <v>1.0</v>
      </c>
      <c r="O1117" s="12">
        <v>19524.0</v>
      </c>
      <c r="P1117" s="11" t="s">
        <v>1649</v>
      </c>
      <c r="Q1117" s="12">
        <v>19524.0</v>
      </c>
      <c r="R1117" s="11" t="s">
        <v>1649</v>
      </c>
      <c r="S1117" s="11" t="s">
        <v>1676</v>
      </c>
      <c r="T1117" s="11" t="s">
        <v>1677</v>
      </c>
      <c r="U1117" s="2" t="s">
        <v>1574</v>
      </c>
      <c r="V1117" s="2" t="s">
        <v>1568</v>
      </c>
      <c r="W1117" s="2" t="s">
        <v>1569</v>
      </c>
      <c r="X1117" s="2" t="s">
        <v>1570</v>
      </c>
      <c r="AB1117" s="2" t="s">
        <v>1571</v>
      </c>
    </row>
    <row r="1118">
      <c r="A1118" s="2" t="s">
        <v>1826</v>
      </c>
      <c r="B1118" s="2">
        <v>8.0</v>
      </c>
      <c r="C1118" s="2" t="s">
        <v>11</v>
      </c>
      <c r="D1118" s="2" t="s">
        <v>1827</v>
      </c>
      <c r="E1118" s="2">
        <v>7.0</v>
      </c>
      <c r="F1118" s="2" t="s">
        <v>10</v>
      </c>
      <c r="G1118" s="5">
        <v>2645119.0</v>
      </c>
      <c r="H1118" s="2" t="s">
        <v>1575</v>
      </c>
      <c r="I1118" s="2" t="s">
        <v>1565</v>
      </c>
      <c r="J1118" s="2">
        <v>10002.0</v>
      </c>
      <c r="K1118" s="2" t="s">
        <v>1576</v>
      </c>
      <c r="L1118" s="2"/>
      <c r="M1118" s="2"/>
      <c r="N1118" s="7">
        <v>1.0</v>
      </c>
      <c r="O1118" s="12">
        <v>18571.0</v>
      </c>
      <c r="P1118" s="11" t="s">
        <v>1649</v>
      </c>
      <c r="Q1118" s="12">
        <v>18571.0</v>
      </c>
      <c r="R1118" s="11" t="s">
        <v>1649</v>
      </c>
      <c r="S1118" s="11" t="s">
        <v>1656</v>
      </c>
      <c r="T1118" s="11" t="s">
        <v>1657</v>
      </c>
      <c r="U1118" s="2" t="s">
        <v>1574</v>
      </c>
      <c r="V1118" s="2" t="s">
        <v>1568</v>
      </c>
      <c r="W1118" s="2" t="s">
        <v>1569</v>
      </c>
      <c r="X1118" s="2" t="s">
        <v>1570</v>
      </c>
      <c r="AB1118" s="2" t="s">
        <v>1571</v>
      </c>
    </row>
    <row r="1119">
      <c r="A1119" s="2" t="s">
        <v>1826</v>
      </c>
      <c r="B1119" s="2">
        <v>8.0</v>
      </c>
      <c r="C1119" s="2" t="s">
        <v>11</v>
      </c>
      <c r="D1119" s="2" t="s">
        <v>1827</v>
      </c>
      <c r="E1119" s="2">
        <v>7.0</v>
      </c>
      <c r="F1119" s="2" t="s">
        <v>10</v>
      </c>
      <c r="G1119" s="5">
        <v>2645119.0</v>
      </c>
      <c r="H1119" s="2" t="s">
        <v>1575</v>
      </c>
      <c r="I1119" s="2" t="s">
        <v>1565</v>
      </c>
      <c r="J1119" s="2">
        <v>10005.0</v>
      </c>
      <c r="K1119" s="2" t="s">
        <v>1595</v>
      </c>
      <c r="L1119" s="2"/>
      <c r="M1119" s="2"/>
      <c r="N1119" s="7">
        <v>1.0</v>
      </c>
      <c r="O1119" s="12">
        <v>19524.0</v>
      </c>
      <c r="P1119" s="11" t="s">
        <v>1649</v>
      </c>
      <c r="Q1119" s="12">
        <v>19524.0</v>
      </c>
      <c r="R1119" s="11" t="s">
        <v>1649</v>
      </c>
      <c r="S1119" s="11" t="s">
        <v>1676</v>
      </c>
      <c r="T1119" s="11" t="s">
        <v>1677</v>
      </c>
      <c r="U1119" s="2" t="s">
        <v>1574</v>
      </c>
      <c r="V1119" s="2" t="s">
        <v>1568</v>
      </c>
      <c r="W1119" s="2" t="s">
        <v>1569</v>
      </c>
      <c r="X1119" s="2" t="s">
        <v>1570</v>
      </c>
      <c r="AB1119" s="2" t="s">
        <v>1571</v>
      </c>
    </row>
    <row r="1120">
      <c r="A1120" s="2" t="s">
        <v>1826</v>
      </c>
      <c r="B1120" s="2">
        <v>7.0</v>
      </c>
      <c r="C1120" s="2" t="s">
        <v>11</v>
      </c>
      <c r="D1120" s="2" t="s">
        <v>1827</v>
      </c>
      <c r="E1120" s="2">
        <v>7.0</v>
      </c>
      <c r="F1120" s="2" t="s">
        <v>10</v>
      </c>
      <c r="G1120" s="5">
        <v>2644754.0</v>
      </c>
      <c r="H1120" s="2" t="s">
        <v>1575</v>
      </c>
      <c r="I1120" s="2" t="s">
        <v>1565</v>
      </c>
      <c r="J1120" s="2">
        <v>10002.0</v>
      </c>
      <c r="K1120" s="2" t="s">
        <v>1576</v>
      </c>
      <c r="L1120" s="2"/>
      <c r="M1120" s="2"/>
      <c r="N1120" s="7">
        <v>1.0</v>
      </c>
      <c r="O1120" s="12">
        <v>18571.0</v>
      </c>
      <c r="P1120" s="11" t="s">
        <v>1649</v>
      </c>
      <c r="Q1120" s="12">
        <v>18571.0</v>
      </c>
      <c r="R1120" s="11" t="s">
        <v>1649</v>
      </c>
      <c r="S1120" s="11" t="s">
        <v>1656</v>
      </c>
      <c r="T1120" s="11" t="s">
        <v>1657</v>
      </c>
      <c r="U1120" s="2" t="s">
        <v>1574</v>
      </c>
      <c r="V1120" s="2" t="s">
        <v>1568</v>
      </c>
      <c r="W1120" s="2" t="s">
        <v>1569</v>
      </c>
      <c r="X1120" s="2" t="s">
        <v>1570</v>
      </c>
      <c r="AB1120" s="2" t="s">
        <v>1571</v>
      </c>
    </row>
    <row r="1121">
      <c r="A1121" s="2" t="s">
        <v>1826</v>
      </c>
      <c r="B1121" s="2">
        <v>7.0</v>
      </c>
      <c r="C1121" s="2" t="s">
        <v>11</v>
      </c>
      <c r="D1121" s="2" t="s">
        <v>1827</v>
      </c>
      <c r="E1121" s="2">
        <v>7.0</v>
      </c>
      <c r="F1121" s="2" t="s">
        <v>10</v>
      </c>
      <c r="G1121" s="5">
        <v>2644754.0</v>
      </c>
      <c r="H1121" s="2" t="s">
        <v>1575</v>
      </c>
      <c r="I1121" s="2" t="s">
        <v>1565</v>
      </c>
      <c r="J1121" s="2">
        <v>10000.0</v>
      </c>
      <c r="K1121" s="2" t="s">
        <v>1566</v>
      </c>
      <c r="L1121" s="2"/>
      <c r="M1121" s="2"/>
      <c r="N1121" s="7">
        <v>1.0</v>
      </c>
      <c r="O1121" s="12">
        <v>29524.0</v>
      </c>
      <c r="P1121" s="11" t="s">
        <v>1649</v>
      </c>
      <c r="Q1121" s="12">
        <v>29524.0</v>
      </c>
      <c r="R1121" s="11" t="s">
        <v>1649</v>
      </c>
      <c r="S1121" s="11" t="s">
        <v>1683</v>
      </c>
      <c r="T1121" s="11" t="s">
        <v>1684</v>
      </c>
      <c r="U1121" s="2" t="s">
        <v>1574</v>
      </c>
      <c r="V1121" s="2" t="s">
        <v>1568</v>
      </c>
      <c r="W1121" s="2" t="s">
        <v>1569</v>
      </c>
      <c r="X1121" s="2" t="s">
        <v>1570</v>
      </c>
      <c r="AB1121" s="2" t="s">
        <v>1571</v>
      </c>
    </row>
    <row r="1122">
      <c r="A1122" s="2" t="s">
        <v>1830</v>
      </c>
      <c r="B1122" s="2">
        <v>21.0</v>
      </c>
      <c r="C1122" s="2" t="s">
        <v>9</v>
      </c>
      <c r="D1122" s="2" t="s">
        <v>1831</v>
      </c>
      <c r="E1122" s="2">
        <v>6.0</v>
      </c>
      <c r="F1122" s="2" t="s">
        <v>10</v>
      </c>
      <c r="G1122" s="5">
        <v>2644388.0</v>
      </c>
      <c r="H1122" s="2" t="s">
        <v>1575</v>
      </c>
      <c r="I1122" s="2" t="s">
        <v>1572</v>
      </c>
      <c r="J1122" s="2">
        <v>10013.0</v>
      </c>
      <c r="K1122" s="2" t="s">
        <v>1591</v>
      </c>
      <c r="L1122" s="2"/>
      <c r="M1122" s="2"/>
      <c r="N1122" s="7">
        <v>1.0</v>
      </c>
      <c r="O1122" s="12">
        <v>23333.0</v>
      </c>
      <c r="P1122" s="11" t="s">
        <v>1649</v>
      </c>
      <c r="Q1122" s="12">
        <v>23333.0</v>
      </c>
      <c r="R1122" s="11" t="s">
        <v>1649</v>
      </c>
      <c r="S1122" s="11" t="s">
        <v>1681</v>
      </c>
      <c r="T1122" s="11" t="s">
        <v>1682</v>
      </c>
      <c r="U1122" s="2" t="s">
        <v>1574</v>
      </c>
      <c r="V1122" s="2" t="s">
        <v>1568</v>
      </c>
      <c r="W1122" s="2" t="s">
        <v>1569</v>
      </c>
      <c r="X1122" s="2" t="s">
        <v>1570</v>
      </c>
      <c r="AB1122" s="2" t="s">
        <v>1571</v>
      </c>
    </row>
    <row r="1123">
      <c r="A1123" s="2" t="s">
        <v>1830</v>
      </c>
      <c r="B1123" s="2">
        <v>21.0</v>
      </c>
      <c r="C1123" s="2" t="s">
        <v>9</v>
      </c>
      <c r="D1123" s="2" t="s">
        <v>1831</v>
      </c>
      <c r="E1123" s="2">
        <v>6.0</v>
      </c>
      <c r="F1123" s="2" t="s">
        <v>10</v>
      </c>
      <c r="G1123" s="5">
        <v>2644023.0</v>
      </c>
      <c r="H1123" s="2" t="s">
        <v>1575</v>
      </c>
      <c r="I1123" s="2" t="s">
        <v>1578</v>
      </c>
      <c r="J1123" s="2">
        <v>10051.0</v>
      </c>
      <c r="K1123" s="2" t="s">
        <v>1579</v>
      </c>
      <c r="L1123" s="2"/>
      <c r="M1123" s="2"/>
      <c r="N1123" s="7">
        <v>1.0</v>
      </c>
      <c r="O1123" s="12">
        <v>25238.0</v>
      </c>
      <c r="P1123" s="11" t="s">
        <v>1649</v>
      </c>
      <c r="Q1123" s="12">
        <v>25238.0</v>
      </c>
      <c r="R1123" s="11" t="s">
        <v>1649</v>
      </c>
      <c r="S1123" s="11" t="s">
        <v>1660</v>
      </c>
      <c r="T1123" s="11" t="s">
        <v>1680</v>
      </c>
      <c r="U1123" s="2" t="s">
        <v>1574</v>
      </c>
      <c r="V1123" s="2" t="s">
        <v>1568</v>
      </c>
      <c r="W1123" s="2" t="s">
        <v>1569</v>
      </c>
      <c r="X1123" s="2" t="s">
        <v>1570</v>
      </c>
      <c r="AB1123" s="2" t="s">
        <v>1571</v>
      </c>
    </row>
    <row r="1124">
      <c r="A1124" s="2" t="s">
        <v>1830</v>
      </c>
      <c r="B1124" s="2">
        <v>21.0</v>
      </c>
      <c r="C1124" s="2" t="s">
        <v>9</v>
      </c>
      <c r="D1124" s="2" t="s">
        <v>1831</v>
      </c>
      <c r="E1124" s="2">
        <v>6.0</v>
      </c>
      <c r="F1124" s="2" t="s">
        <v>10</v>
      </c>
      <c r="G1124" s="5">
        <v>2644023.0</v>
      </c>
      <c r="H1124" s="2" t="s">
        <v>1575</v>
      </c>
      <c r="I1124" s="2" t="s">
        <v>1565</v>
      </c>
      <c r="J1124" s="2">
        <v>10002.0</v>
      </c>
      <c r="K1124" s="2" t="s">
        <v>1576</v>
      </c>
      <c r="L1124" s="2"/>
      <c r="M1124" s="2"/>
      <c r="N1124" s="7">
        <v>1.0</v>
      </c>
      <c r="O1124" s="12">
        <v>18571.0</v>
      </c>
      <c r="P1124" s="11" t="s">
        <v>1649</v>
      </c>
      <c r="Q1124" s="12">
        <v>18571.0</v>
      </c>
      <c r="R1124" s="11" t="s">
        <v>1649</v>
      </c>
      <c r="S1124" s="11" t="s">
        <v>1656</v>
      </c>
      <c r="T1124" s="11" t="s">
        <v>1688</v>
      </c>
      <c r="U1124" s="2" t="s">
        <v>1574</v>
      </c>
      <c r="V1124" s="2" t="s">
        <v>1568</v>
      </c>
      <c r="W1124" s="2" t="s">
        <v>1569</v>
      </c>
      <c r="X1124" s="2" t="s">
        <v>1570</v>
      </c>
      <c r="AB1124" s="2" t="s">
        <v>1571</v>
      </c>
    </row>
    <row r="1125">
      <c r="A1125" s="2" t="s">
        <v>1830</v>
      </c>
      <c r="B1125" s="2">
        <v>21.0</v>
      </c>
      <c r="C1125" s="2" t="s">
        <v>9</v>
      </c>
      <c r="D1125" s="2" t="s">
        <v>1831</v>
      </c>
      <c r="E1125" s="2">
        <v>6.0</v>
      </c>
      <c r="F1125" s="2" t="s">
        <v>10</v>
      </c>
      <c r="G1125" s="5">
        <v>2644023.0</v>
      </c>
      <c r="H1125" s="2" t="s">
        <v>1575</v>
      </c>
      <c r="I1125" s="2" t="s">
        <v>1572</v>
      </c>
      <c r="J1125" s="2">
        <v>10122.0</v>
      </c>
      <c r="K1125" s="2" t="s">
        <v>1577</v>
      </c>
      <c r="L1125" s="2"/>
      <c r="M1125" s="2"/>
      <c r="N1125" s="7">
        <v>1.0</v>
      </c>
      <c r="O1125" s="12">
        <v>21905.0</v>
      </c>
      <c r="P1125" s="11" t="s">
        <v>1649</v>
      </c>
      <c r="Q1125" s="12">
        <v>21905.0</v>
      </c>
      <c r="R1125" s="11" t="s">
        <v>1649</v>
      </c>
      <c r="S1125" s="11" t="s">
        <v>1666</v>
      </c>
      <c r="T1125" s="11" t="s">
        <v>1687</v>
      </c>
      <c r="U1125" s="2" t="s">
        <v>1574</v>
      </c>
      <c r="V1125" s="2" t="s">
        <v>1568</v>
      </c>
      <c r="W1125" s="2" t="s">
        <v>1569</v>
      </c>
      <c r="X1125" s="2" t="s">
        <v>1570</v>
      </c>
      <c r="AB1125" s="2" t="s">
        <v>1571</v>
      </c>
    </row>
    <row r="1126">
      <c r="A1126" s="2" t="s">
        <v>1830</v>
      </c>
      <c r="B1126" s="2">
        <v>21.0</v>
      </c>
      <c r="C1126" s="2" t="s">
        <v>9</v>
      </c>
      <c r="D1126" s="2" t="s">
        <v>1831</v>
      </c>
      <c r="E1126" s="2">
        <v>6.0</v>
      </c>
      <c r="F1126" s="2" t="s">
        <v>10</v>
      </c>
      <c r="G1126" s="5">
        <v>2643658.0</v>
      </c>
      <c r="H1126" s="2" t="s">
        <v>1575</v>
      </c>
      <c r="I1126" s="2" t="s">
        <v>1572</v>
      </c>
      <c r="J1126" s="2">
        <v>10057.0</v>
      </c>
      <c r="K1126" s="2" t="s">
        <v>1608</v>
      </c>
      <c r="L1126" s="2"/>
      <c r="M1126" s="2"/>
      <c r="N1126" s="7">
        <v>1.0</v>
      </c>
      <c r="O1126" s="12">
        <v>19524.0</v>
      </c>
      <c r="P1126" s="11" t="s">
        <v>1649</v>
      </c>
      <c r="Q1126" s="12">
        <v>19524.0</v>
      </c>
      <c r="R1126" s="11" t="s">
        <v>1649</v>
      </c>
      <c r="S1126" s="11" t="s">
        <v>1676</v>
      </c>
      <c r="T1126" s="11" t="s">
        <v>1677</v>
      </c>
      <c r="U1126" s="2" t="s">
        <v>1574</v>
      </c>
      <c r="V1126" s="2" t="s">
        <v>1568</v>
      </c>
      <c r="W1126" s="2" t="s">
        <v>1569</v>
      </c>
      <c r="X1126" s="2" t="s">
        <v>1570</v>
      </c>
      <c r="AB1126" s="2" t="s">
        <v>1571</v>
      </c>
    </row>
    <row r="1127">
      <c r="A1127" s="2" t="s">
        <v>1830</v>
      </c>
      <c r="B1127" s="2">
        <v>20.0</v>
      </c>
      <c r="C1127" s="2" t="s">
        <v>9</v>
      </c>
      <c r="D1127" s="2" t="s">
        <v>1831</v>
      </c>
      <c r="E1127" s="2">
        <v>6.0</v>
      </c>
      <c r="F1127" s="2" t="s">
        <v>10</v>
      </c>
      <c r="G1127" s="5">
        <v>2643293.0</v>
      </c>
      <c r="H1127" s="2" t="s">
        <v>1575</v>
      </c>
      <c r="I1127" s="2" t="s">
        <v>1578</v>
      </c>
      <c r="J1127" s="2">
        <v>10051.0</v>
      </c>
      <c r="K1127" s="2" t="s">
        <v>1579</v>
      </c>
      <c r="L1127" s="2"/>
      <c r="M1127" s="2"/>
      <c r="N1127" s="7">
        <v>1.0</v>
      </c>
      <c r="O1127" s="12">
        <v>25238.0</v>
      </c>
      <c r="P1127" s="11" t="s">
        <v>1649</v>
      </c>
      <c r="Q1127" s="12">
        <v>25238.0</v>
      </c>
      <c r="R1127" s="11" t="s">
        <v>1649</v>
      </c>
      <c r="S1127" s="11" t="s">
        <v>1660</v>
      </c>
      <c r="T1127" s="11" t="s">
        <v>1680</v>
      </c>
      <c r="U1127" s="2" t="s">
        <v>1574</v>
      </c>
      <c r="V1127" s="2" t="s">
        <v>1568</v>
      </c>
      <c r="W1127" s="2" t="s">
        <v>1569</v>
      </c>
      <c r="X1127" s="2" t="s">
        <v>1570</v>
      </c>
      <c r="AB1127" s="2" t="s">
        <v>1571</v>
      </c>
    </row>
    <row r="1128">
      <c r="A1128" s="2" t="s">
        <v>1830</v>
      </c>
      <c r="B1128" s="2">
        <v>20.0</v>
      </c>
      <c r="C1128" s="2" t="s">
        <v>9</v>
      </c>
      <c r="D1128" s="2" t="s">
        <v>1831</v>
      </c>
      <c r="E1128" s="2">
        <v>6.0</v>
      </c>
      <c r="F1128" s="2" t="s">
        <v>10</v>
      </c>
      <c r="G1128" s="5">
        <v>2643293.0</v>
      </c>
      <c r="H1128" s="2" t="s">
        <v>1575</v>
      </c>
      <c r="I1128" s="2" t="s">
        <v>1565</v>
      </c>
      <c r="J1128" s="2">
        <v>10054.0</v>
      </c>
      <c r="K1128" s="2" t="s">
        <v>1610</v>
      </c>
      <c r="L1128" s="2"/>
      <c r="M1128" s="2"/>
      <c r="N1128" s="7">
        <v>1.0</v>
      </c>
      <c r="O1128" s="12">
        <v>25238.0</v>
      </c>
      <c r="P1128" s="11" t="s">
        <v>1649</v>
      </c>
      <c r="Q1128" s="12">
        <v>25238.0</v>
      </c>
      <c r="R1128" s="11" t="s">
        <v>1649</v>
      </c>
      <c r="S1128" s="11" t="s">
        <v>1660</v>
      </c>
      <c r="T1128" s="11" t="s">
        <v>1680</v>
      </c>
      <c r="U1128" s="2" t="s">
        <v>1574</v>
      </c>
      <c r="V1128" s="2" t="s">
        <v>1568</v>
      </c>
      <c r="W1128" s="2" t="s">
        <v>1569</v>
      </c>
      <c r="X1128" s="2" t="s">
        <v>1570</v>
      </c>
      <c r="AB1128" s="2" t="s">
        <v>1571</v>
      </c>
    </row>
    <row r="1129">
      <c r="A1129" s="2" t="s">
        <v>1830</v>
      </c>
      <c r="B1129" s="2">
        <v>20.0</v>
      </c>
      <c r="C1129" s="2" t="s">
        <v>9</v>
      </c>
      <c r="D1129" s="2" t="s">
        <v>1831</v>
      </c>
      <c r="E1129" s="2">
        <v>6.0</v>
      </c>
      <c r="F1129" s="2" t="s">
        <v>10</v>
      </c>
      <c r="G1129" s="5">
        <v>2642927.0</v>
      </c>
      <c r="H1129" s="2" t="s">
        <v>1575</v>
      </c>
      <c r="I1129" s="2" t="s">
        <v>1565</v>
      </c>
      <c r="J1129" s="2">
        <v>10007.0</v>
      </c>
      <c r="K1129" s="2" t="s">
        <v>1576</v>
      </c>
      <c r="L1129" s="2"/>
      <c r="M1129" s="2"/>
      <c r="N1129" s="7">
        <v>2.0</v>
      </c>
      <c r="O1129" s="12">
        <v>33810.0</v>
      </c>
      <c r="P1129" s="11" t="s">
        <v>1649</v>
      </c>
      <c r="Q1129" s="12">
        <v>33810.0</v>
      </c>
      <c r="R1129" s="11" t="s">
        <v>1649</v>
      </c>
      <c r="S1129" s="11" t="s">
        <v>1701</v>
      </c>
      <c r="T1129" s="11" t="s">
        <v>1703</v>
      </c>
      <c r="U1129" s="2" t="s">
        <v>1574</v>
      </c>
      <c r="V1129" s="2" t="s">
        <v>1568</v>
      </c>
      <c r="W1129" s="2" t="s">
        <v>1569</v>
      </c>
      <c r="X1129" s="2" t="s">
        <v>1570</v>
      </c>
      <c r="AB1129" s="2" t="s">
        <v>1571</v>
      </c>
    </row>
    <row r="1130">
      <c r="A1130" s="2" t="s">
        <v>1830</v>
      </c>
      <c r="B1130" s="2">
        <v>19.0</v>
      </c>
      <c r="C1130" s="2" t="s">
        <v>9</v>
      </c>
      <c r="D1130" s="2" t="s">
        <v>1831</v>
      </c>
      <c r="E1130" s="2">
        <v>6.0</v>
      </c>
      <c r="F1130" s="2" t="s">
        <v>10</v>
      </c>
      <c r="G1130" s="5">
        <v>2642562.0</v>
      </c>
      <c r="H1130" s="2" t="s">
        <v>1575</v>
      </c>
      <c r="I1130" s="2" t="s">
        <v>1572</v>
      </c>
      <c r="J1130" s="2">
        <v>10063.0</v>
      </c>
      <c r="K1130" s="2" t="s">
        <v>1594</v>
      </c>
      <c r="L1130" s="2"/>
      <c r="M1130" s="2"/>
      <c r="N1130" s="7">
        <v>1.0</v>
      </c>
      <c r="O1130" s="12">
        <v>24762.0</v>
      </c>
      <c r="P1130" s="11" t="s">
        <v>1649</v>
      </c>
      <c r="Q1130" s="12">
        <v>24762.0</v>
      </c>
      <c r="R1130" s="11" t="s">
        <v>1649</v>
      </c>
      <c r="S1130" s="11" t="s">
        <v>1689</v>
      </c>
      <c r="T1130" s="11" t="s">
        <v>1693</v>
      </c>
      <c r="U1130" s="2" t="s">
        <v>1574</v>
      </c>
      <c r="V1130" s="2" t="s">
        <v>1568</v>
      </c>
      <c r="W1130" s="2" t="s">
        <v>1569</v>
      </c>
      <c r="X1130" s="2" t="s">
        <v>1570</v>
      </c>
      <c r="AB1130" s="2" t="s">
        <v>1571</v>
      </c>
    </row>
    <row r="1131">
      <c r="A1131" s="2" t="s">
        <v>1830</v>
      </c>
      <c r="B1131" s="2">
        <v>19.0</v>
      </c>
      <c r="C1131" s="2" t="s">
        <v>9</v>
      </c>
      <c r="D1131" s="2" t="s">
        <v>1831</v>
      </c>
      <c r="E1131" s="2">
        <v>6.0</v>
      </c>
      <c r="F1131" s="2" t="s">
        <v>10</v>
      </c>
      <c r="G1131" s="5">
        <v>2642562.0</v>
      </c>
      <c r="H1131" s="2" t="s">
        <v>1575</v>
      </c>
      <c r="I1131" s="2" t="s">
        <v>1572</v>
      </c>
      <c r="J1131" s="2">
        <v>10057.0</v>
      </c>
      <c r="K1131" s="2" t="s">
        <v>1608</v>
      </c>
      <c r="L1131" s="2"/>
      <c r="M1131" s="2"/>
      <c r="N1131" s="7">
        <v>1.0</v>
      </c>
      <c r="O1131" s="12">
        <v>19524.0</v>
      </c>
      <c r="P1131" s="11" t="s">
        <v>1649</v>
      </c>
      <c r="Q1131" s="12">
        <v>19524.0</v>
      </c>
      <c r="R1131" s="11" t="s">
        <v>1649</v>
      </c>
      <c r="S1131" s="11" t="s">
        <v>1676</v>
      </c>
      <c r="T1131" s="11" t="s">
        <v>1677</v>
      </c>
      <c r="U1131" s="2" t="s">
        <v>1574</v>
      </c>
      <c r="V1131" s="2" t="s">
        <v>1568</v>
      </c>
      <c r="W1131" s="2" t="s">
        <v>1569</v>
      </c>
      <c r="X1131" s="2" t="s">
        <v>1570</v>
      </c>
      <c r="AB1131" s="2" t="s">
        <v>1571</v>
      </c>
    </row>
    <row r="1132">
      <c r="A1132" s="2" t="s">
        <v>1830</v>
      </c>
      <c r="B1132" s="2">
        <v>19.0</v>
      </c>
      <c r="C1132" s="2" t="s">
        <v>9</v>
      </c>
      <c r="D1132" s="2" t="s">
        <v>1831</v>
      </c>
      <c r="E1132" s="2">
        <v>6.0</v>
      </c>
      <c r="F1132" s="2" t="s">
        <v>10</v>
      </c>
      <c r="G1132" s="5">
        <v>2642562.0</v>
      </c>
      <c r="H1132" s="2" t="s">
        <v>1575</v>
      </c>
      <c r="I1132" s="2" t="s">
        <v>1580</v>
      </c>
      <c r="J1132" s="2">
        <v>10003.0</v>
      </c>
      <c r="K1132" s="2" t="s">
        <v>1603</v>
      </c>
      <c r="L1132" s="2"/>
      <c r="M1132" s="2"/>
      <c r="N1132" s="7">
        <v>1.0</v>
      </c>
      <c r="O1132" s="12">
        <v>29524.0</v>
      </c>
      <c r="P1132" s="11" t="s">
        <v>1649</v>
      </c>
      <c r="Q1132" s="12">
        <v>29524.0</v>
      </c>
      <c r="R1132" s="11" t="s">
        <v>1649</v>
      </c>
      <c r="S1132" s="11" t="s">
        <v>1683</v>
      </c>
      <c r="T1132" s="11" t="s">
        <v>1745</v>
      </c>
      <c r="U1132" s="2" t="s">
        <v>1574</v>
      </c>
      <c r="V1132" s="2" t="s">
        <v>1568</v>
      </c>
      <c r="W1132" s="2" t="s">
        <v>1569</v>
      </c>
      <c r="X1132" s="2" t="s">
        <v>1570</v>
      </c>
      <c r="AB1132" s="2" t="s">
        <v>1571</v>
      </c>
    </row>
    <row r="1133">
      <c r="A1133" s="2" t="s">
        <v>1830</v>
      </c>
      <c r="B1133" s="2">
        <v>19.0</v>
      </c>
      <c r="C1133" s="2" t="s">
        <v>9</v>
      </c>
      <c r="D1133" s="2" t="s">
        <v>1831</v>
      </c>
      <c r="E1133" s="2">
        <v>6.0</v>
      </c>
      <c r="F1133" s="2" t="s">
        <v>10</v>
      </c>
      <c r="G1133" s="5">
        <v>2642562.0</v>
      </c>
      <c r="H1133" s="2" t="s">
        <v>1575</v>
      </c>
      <c r="I1133" s="2" t="s">
        <v>1578</v>
      </c>
      <c r="J1133" s="2">
        <v>10014.0</v>
      </c>
      <c r="K1133" s="2" t="s">
        <v>1609</v>
      </c>
      <c r="L1133" s="2"/>
      <c r="M1133" s="2"/>
      <c r="N1133" s="7">
        <v>1.0</v>
      </c>
      <c r="O1133" s="12">
        <v>25238.0</v>
      </c>
      <c r="P1133" s="11" t="s">
        <v>1649</v>
      </c>
      <c r="Q1133" s="12">
        <v>25238.0</v>
      </c>
      <c r="R1133" s="11" t="s">
        <v>1649</v>
      </c>
      <c r="S1133" s="11" t="s">
        <v>1660</v>
      </c>
      <c r="T1133" s="11" t="s">
        <v>1661</v>
      </c>
      <c r="U1133" s="2" t="s">
        <v>1574</v>
      </c>
      <c r="V1133" s="2" t="s">
        <v>1568</v>
      </c>
      <c r="W1133" s="2" t="s">
        <v>1569</v>
      </c>
      <c r="X1133" s="2" t="s">
        <v>1570</v>
      </c>
      <c r="AB1133" s="2" t="s">
        <v>1571</v>
      </c>
    </row>
    <row r="1134">
      <c r="A1134" s="2" t="s">
        <v>1830</v>
      </c>
      <c r="B1134" s="2">
        <v>19.0</v>
      </c>
      <c r="C1134" s="2" t="s">
        <v>9</v>
      </c>
      <c r="D1134" s="2" t="s">
        <v>1831</v>
      </c>
      <c r="E1134" s="2">
        <v>6.0</v>
      </c>
      <c r="F1134" s="2" t="s">
        <v>10</v>
      </c>
      <c r="G1134" s="5">
        <v>2642197.0</v>
      </c>
      <c r="H1134" s="2" t="s">
        <v>1564</v>
      </c>
      <c r="I1134" s="2" t="s">
        <v>1565</v>
      </c>
      <c r="J1134" s="2">
        <v>10002.0</v>
      </c>
      <c r="K1134" s="2" t="s">
        <v>1576</v>
      </c>
      <c r="L1134" s="2"/>
      <c r="M1134" s="2"/>
      <c r="N1134" s="7">
        <v>-1.0</v>
      </c>
      <c r="O1134" s="12">
        <v>-18571.0</v>
      </c>
      <c r="P1134" s="11" t="s">
        <v>1649</v>
      </c>
      <c r="Q1134" s="12">
        <v>-18571.0</v>
      </c>
      <c r="R1134" s="11" t="s">
        <v>1650</v>
      </c>
      <c r="S1134" s="11" t="s">
        <v>1743</v>
      </c>
      <c r="T1134" s="11" t="s">
        <v>1744</v>
      </c>
      <c r="U1134" s="2" t="s">
        <v>1574</v>
      </c>
      <c r="V1134" s="2" t="s">
        <v>1568</v>
      </c>
      <c r="W1134" s="2" t="s">
        <v>1569</v>
      </c>
      <c r="X1134" s="2" t="s">
        <v>1570</v>
      </c>
      <c r="AB1134" s="2" t="s">
        <v>1571</v>
      </c>
    </row>
    <row r="1135">
      <c r="A1135" s="2" t="s">
        <v>1830</v>
      </c>
      <c r="B1135" s="2">
        <v>19.0</v>
      </c>
      <c r="C1135" s="2" t="s">
        <v>9</v>
      </c>
      <c r="D1135" s="2" t="s">
        <v>1831</v>
      </c>
      <c r="E1135" s="2">
        <v>6.0</v>
      </c>
      <c r="F1135" s="2" t="s">
        <v>10</v>
      </c>
      <c r="G1135" s="5">
        <v>2642197.0</v>
      </c>
      <c r="H1135" s="2" t="s">
        <v>1564</v>
      </c>
      <c r="I1135" s="2" t="s">
        <v>1572</v>
      </c>
      <c r="J1135" s="2">
        <v>10122.0</v>
      </c>
      <c r="K1135" s="2" t="s">
        <v>1577</v>
      </c>
      <c r="L1135" s="2"/>
      <c r="M1135" s="2"/>
      <c r="N1135" s="7">
        <v>-1.0</v>
      </c>
      <c r="O1135" s="12">
        <v>-21905.0</v>
      </c>
      <c r="P1135" s="11" t="s">
        <v>1649</v>
      </c>
      <c r="Q1135" s="12">
        <v>-21905.0</v>
      </c>
      <c r="R1135" s="11" t="s">
        <v>1650</v>
      </c>
      <c r="S1135" s="11" t="s">
        <v>1662</v>
      </c>
      <c r="T1135" s="11" t="s">
        <v>1663</v>
      </c>
      <c r="U1135" s="2" t="s">
        <v>1574</v>
      </c>
      <c r="V1135" s="2" t="s">
        <v>1568</v>
      </c>
      <c r="W1135" s="2" t="s">
        <v>1569</v>
      </c>
      <c r="X1135" s="2" t="s">
        <v>1570</v>
      </c>
      <c r="AB1135" s="2" t="s">
        <v>1571</v>
      </c>
    </row>
    <row r="1136">
      <c r="A1136" s="2" t="s">
        <v>1830</v>
      </c>
      <c r="B1136" s="2">
        <v>19.0</v>
      </c>
      <c r="C1136" s="2" t="s">
        <v>9</v>
      </c>
      <c r="D1136" s="2" t="s">
        <v>1831</v>
      </c>
      <c r="E1136" s="2">
        <v>6.0</v>
      </c>
      <c r="F1136" s="2" t="s">
        <v>10</v>
      </c>
      <c r="G1136" s="5">
        <v>2642197.0</v>
      </c>
      <c r="H1136" s="2" t="s">
        <v>1564</v>
      </c>
      <c r="I1136" s="2" t="s">
        <v>1578</v>
      </c>
      <c r="J1136" s="2">
        <v>10051.0</v>
      </c>
      <c r="K1136" s="2" t="s">
        <v>1579</v>
      </c>
      <c r="L1136" s="2"/>
      <c r="M1136" s="2"/>
      <c r="N1136" s="7">
        <v>-1.0</v>
      </c>
      <c r="O1136" s="12">
        <v>-25238.0</v>
      </c>
      <c r="P1136" s="11" t="s">
        <v>1649</v>
      </c>
      <c r="Q1136" s="12">
        <v>-25238.0</v>
      </c>
      <c r="R1136" s="11" t="s">
        <v>1650</v>
      </c>
      <c r="S1136" s="11" t="s">
        <v>1730</v>
      </c>
      <c r="T1136" s="11" t="s">
        <v>1731</v>
      </c>
      <c r="U1136" s="2" t="s">
        <v>1574</v>
      </c>
      <c r="V1136" s="2" t="s">
        <v>1568</v>
      </c>
      <c r="W1136" s="2" t="s">
        <v>1569</v>
      </c>
      <c r="X1136" s="2" t="s">
        <v>1570</v>
      </c>
      <c r="AB1136" s="2" t="s">
        <v>1571</v>
      </c>
    </row>
    <row r="1137">
      <c r="A1137" s="2" t="s">
        <v>1830</v>
      </c>
      <c r="B1137" s="2">
        <v>19.0</v>
      </c>
      <c r="C1137" s="2" t="s">
        <v>9</v>
      </c>
      <c r="D1137" s="2" t="s">
        <v>1831</v>
      </c>
      <c r="E1137" s="2">
        <v>6.0</v>
      </c>
      <c r="F1137" s="2" t="s">
        <v>10</v>
      </c>
      <c r="G1137" s="5">
        <v>2641832.0</v>
      </c>
      <c r="H1137" s="2" t="s">
        <v>1575</v>
      </c>
      <c r="I1137" s="2" t="s">
        <v>1565</v>
      </c>
      <c r="J1137" s="2">
        <v>10002.0</v>
      </c>
      <c r="K1137" s="2" t="s">
        <v>1576</v>
      </c>
      <c r="L1137" s="2"/>
      <c r="M1137" s="2"/>
      <c r="N1137" s="7">
        <v>1.0</v>
      </c>
      <c r="O1137" s="12">
        <v>18571.0</v>
      </c>
      <c r="P1137" s="11" t="s">
        <v>1649</v>
      </c>
      <c r="Q1137" s="12">
        <v>18571.0</v>
      </c>
      <c r="R1137" s="11" t="s">
        <v>1649</v>
      </c>
      <c r="S1137" s="11" t="s">
        <v>1656</v>
      </c>
      <c r="T1137" s="11" t="s">
        <v>1657</v>
      </c>
      <c r="U1137" s="2" t="s">
        <v>1574</v>
      </c>
      <c r="V1137" s="2" t="s">
        <v>1568</v>
      </c>
      <c r="W1137" s="2" t="s">
        <v>1569</v>
      </c>
      <c r="X1137" s="2" t="s">
        <v>1570</v>
      </c>
      <c r="AB1137" s="2" t="s">
        <v>1571</v>
      </c>
    </row>
    <row r="1138">
      <c r="A1138" s="2" t="s">
        <v>1830</v>
      </c>
      <c r="B1138" s="2">
        <v>19.0</v>
      </c>
      <c r="C1138" s="2" t="s">
        <v>9</v>
      </c>
      <c r="D1138" s="2" t="s">
        <v>1831</v>
      </c>
      <c r="E1138" s="2">
        <v>6.0</v>
      </c>
      <c r="F1138" s="2" t="s">
        <v>10</v>
      </c>
      <c r="G1138" s="5">
        <v>2641832.0</v>
      </c>
      <c r="H1138" s="2" t="s">
        <v>1575</v>
      </c>
      <c r="I1138" s="2" t="s">
        <v>1572</v>
      </c>
      <c r="J1138" s="2">
        <v>10122.0</v>
      </c>
      <c r="K1138" s="2" t="s">
        <v>1577</v>
      </c>
      <c r="L1138" s="2"/>
      <c r="M1138" s="2"/>
      <c r="N1138" s="7">
        <v>1.0</v>
      </c>
      <c r="O1138" s="12">
        <v>21905.0</v>
      </c>
      <c r="P1138" s="11" t="s">
        <v>1649</v>
      </c>
      <c r="Q1138" s="12">
        <v>21905.0</v>
      </c>
      <c r="R1138" s="11" t="s">
        <v>1649</v>
      </c>
      <c r="S1138" s="11" t="s">
        <v>1666</v>
      </c>
      <c r="T1138" s="11" t="s">
        <v>1667</v>
      </c>
      <c r="U1138" s="2" t="s">
        <v>1574</v>
      </c>
      <c r="V1138" s="2" t="s">
        <v>1568</v>
      </c>
      <c r="W1138" s="2" t="s">
        <v>1569</v>
      </c>
      <c r="X1138" s="2" t="s">
        <v>1570</v>
      </c>
      <c r="AB1138" s="2" t="s">
        <v>1571</v>
      </c>
    </row>
    <row r="1139">
      <c r="A1139" s="2" t="s">
        <v>1830</v>
      </c>
      <c r="B1139" s="2">
        <v>19.0</v>
      </c>
      <c r="C1139" s="2" t="s">
        <v>9</v>
      </c>
      <c r="D1139" s="2" t="s">
        <v>1831</v>
      </c>
      <c r="E1139" s="2">
        <v>6.0</v>
      </c>
      <c r="F1139" s="2" t="s">
        <v>10</v>
      </c>
      <c r="G1139" s="5">
        <v>2641832.0</v>
      </c>
      <c r="H1139" s="2" t="s">
        <v>1575</v>
      </c>
      <c r="I1139" s="2" t="s">
        <v>1578</v>
      </c>
      <c r="J1139" s="2">
        <v>10051.0</v>
      </c>
      <c r="K1139" s="2" t="s">
        <v>1579</v>
      </c>
      <c r="L1139" s="2"/>
      <c r="M1139" s="2"/>
      <c r="N1139" s="7">
        <v>1.0</v>
      </c>
      <c r="O1139" s="12">
        <v>25238.0</v>
      </c>
      <c r="P1139" s="11" t="s">
        <v>1649</v>
      </c>
      <c r="Q1139" s="12">
        <v>25238.0</v>
      </c>
      <c r="R1139" s="11" t="s">
        <v>1649</v>
      </c>
      <c r="S1139" s="11" t="s">
        <v>1660</v>
      </c>
      <c r="T1139" s="11" t="s">
        <v>1680</v>
      </c>
      <c r="U1139" s="2" t="s">
        <v>1574</v>
      </c>
      <c r="V1139" s="2" t="s">
        <v>1568</v>
      </c>
      <c r="W1139" s="2" t="s">
        <v>1569</v>
      </c>
      <c r="X1139" s="2" t="s">
        <v>1570</v>
      </c>
      <c r="AB1139" s="2" t="s">
        <v>1571</v>
      </c>
    </row>
    <row r="1140">
      <c r="A1140" s="2" t="s">
        <v>1830</v>
      </c>
      <c r="B1140" s="2">
        <v>19.0</v>
      </c>
      <c r="C1140" s="2" t="s">
        <v>9</v>
      </c>
      <c r="D1140" s="2" t="s">
        <v>1831</v>
      </c>
      <c r="E1140" s="2">
        <v>6.0</v>
      </c>
      <c r="F1140" s="2" t="s">
        <v>10</v>
      </c>
      <c r="G1140" s="5">
        <v>2641466.0</v>
      </c>
      <c r="H1140" s="2" t="s">
        <v>1575</v>
      </c>
      <c r="I1140" s="2" t="s">
        <v>1578</v>
      </c>
      <c r="J1140" s="2">
        <v>10010.0</v>
      </c>
      <c r="K1140" s="2" t="s">
        <v>1606</v>
      </c>
      <c r="L1140" s="2"/>
      <c r="M1140" s="2"/>
      <c r="N1140" s="7">
        <v>1.0</v>
      </c>
      <c r="O1140" s="12">
        <v>25238.0</v>
      </c>
      <c r="P1140" s="11" t="s">
        <v>1649</v>
      </c>
      <c r="Q1140" s="12">
        <v>25238.0</v>
      </c>
      <c r="R1140" s="11" t="s">
        <v>1649</v>
      </c>
      <c r="S1140" s="11" t="s">
        <v>1660</v>
      </c>
      <c r="T1140" s="11" t="s">
        <v>1680</v>
      </c>
      <c r="U1140" s="2" t="s">
        <v>1574</v>
      </c>
      <c r="V1140" s="2" t="s">
        <v>1568</v>
      </c>
      <c r="W1140" s="2" t="s">
        <v>1569</v>
      </c>
      <c r="X1140" s="2" t="s">
        <v>1570</v>
      </c>
      <c r="AB1140" s="2" t="s">
        <v>1571</v>
      </c>
    </row>
    <row r="1141">
      <c r="A1141" s="2" t="s">
        <v>1830</v>
      </c>
      <c r="B1141" s="2">
        <v>19.0</v>
      </c>
      <c r="C1141" s="2" t="s">
        <v>9</v>
      </c>
      <c r="D1141" s="2" t="s">
        <v>1831</v>
      </c>
      <c r="E1141" s="2">
        <v>6.0</v>
      </c>
      <c r="F1141" s="2" t="s">
        <v>10</v>
      </c>
      <c r="G1141" s="5">
        <v>2641101.0</v>
      </c>
      <c r="H1141" s="2" t="s">
        <v>1575</v>
      </c>
      <c r="I1141" s="2" t="s">
        <v>1578</v>
      </c>
      <c r="J1141" s="2">
        <v>10004.0</v>
      </c>
      <c r="K1141" s="2" t="s">
        <v>1607</v>
      </c>
      <c r="L1141" s="2"/>
      <c r="M1141" s="2"/>
      <c r="N1141" s="7">
        <v>1.0</v>
      </c>
      <c r="O1141" s="12">
        <v>25238.0</v>
      </c>
      <c r="P1141" s="11" t="s">
        <v>1649</v>
      </c>
      <c r="Q1141" s="12">
        <v>25238.0</v>
      </c>
      <c r="R1141" s="11" t="s">
        <v>1649</v>
      </c>
      <c r="S1141" s="11" t="s">
        <v>1660</v>
      </c>
      <c r="T1141" s="11" t="s">
        <v>1680</v>
      </c>
      <c r="U1141" s="2" t="s">
        <v>1574</v>
      </c>
      <c r="V1141" s="2" t="s">
        <v>1568</v>
      </c>
      <c r="W1141" s="2" t="s">
        <v>1569</v>
      </c>
      <c r="X1141" s="2" t="s">
        <v>1570</v>
      </c>
      <c r="AB1141" s="2" t="s">
        <v>1571</v>
      </c>
    </row>
    <row r="1142">
      <c r="A1142" s="2" t="s">
        <v>1830</v>
      </c>
      <c r="B1142" s="2">
        <v>19.0</v>
      </c>
      <c r="C1142" s="2" t="s">
        <v>9</v>
      </c>
      <c r="D1142" s="2" t="s">
        <v>1831</v>
      </c>
      <c r="E1142" s="2">
        <v>6.0</v>
      </c>
      <c r="F1142" s="2" t="s">
        <v>10</v>
      </c>
      <c r="G1142" s="5">
        <v>2640736.0</v>
      </c>
      <c r="H1142" s="2" t="s">
        <v>1575</v>
      </c>
      <c r="I1142" s="2" t="s">
        <v>1578</v>
      </c>
      <c r="J1142" s="2">
        <v>10014.0</v>
      </c>
      <c r="K1142" s="2" t="s">
        <v>1609</v>
      </c>
      <c r="L1142" s="2"/>
      <c r="M1142" s="2"/>
      <c r="N1142" s="7">
        <v>1.0</v>
      </c>
      <c r="O1142" s="12">
        <v>25238.0</v>
      </c>
      <c r="P1142" s="11" t="s">
        <v>1649</v>
      </c>
      <c r="Q1142" s="12">
        <v>25238.0</v>
      </c>
      <c r="R1142" s="11" t="s">
        <v>1649</v>
      </c>
      <c r="S1142" s="11" t="s">
        <v>1660</v>
      </c>
      <c r="T1142" s="11" t="s">
        <v>1680</v>
      </c>
      <c r="U1142" s="2" t="s">
        <v>1574</v>
      </c>
      <c r="V1142" s="2" t="s">
        <v>1568</v>
      </c>
      <c r="W1142" s="2" t="s">
        <v>1569</v>
      </c>
      <c r="X1142" s="2" t="s">
        <v>1570</v>
      </c>
      <c r="AB1142" s="2" t="s">
        <v>1571</v>
      </c>
    </row>
    <row r="1143">
      <c r="A1143" s="2" t="s">
        <v>1830</v>
      </c>
      <c r="B1143" s="2">
        <v>19.0</v>
      </c>
      <c r="C1143" s="2" t="s">
        <v>9</v>
      </c>
      <c r="D1143" s="2" t="s">
        <v>1831</v>
      </c>
      <c r="E1143" s="2">
        <v>6.0</v>
      </c>
      <c r="F1143" s="2" t="s">
        <v>10</v>
      </c>
      <c r="G1143" s="5">
        <v>2640371.0</v>
      </c>
      <c r="H1143" s="2" t="s">
        <v>1575</v>
      </c>
      <c r="I1143" s="2" t="s">
        <v>1580</v>
      </c>
      <c r="J1143" s="2">
        <v>10104.0</v>
      </c>
      <c r="K1143" s="2" t="s">
        <v>1581</v>
      </c>
      <c r="L1143" s="2"/>
      <c r="M1143" s="2"/>
      <c r="N1143" s="7">
        <v>2.0</v>
      </c>
      <c r="O1143" s="12">
        <v>69524.0</v>
      </c>
      <c r="P1143" s="11" t="s">
        <v>1649</v>
      </c>
      <c r="Q1143" s="12">
        <v>69524.0</v>
      </c>
      <c r="R1143" s="11" t="s">
        <v>1649</v>
      </c>
      <c r="S1143" s="11" t="s">
        <v>1718</v>
      </c>
      <c r="T1143" s="11" t="s">
        <v>1736</v>
      </c>
      <c r="U1143" s="2" t="s">
        <v>1574</v>
      </c>
      <c r="V1143" s="2" t="s">
        <v>1568</v>
      </c>
      <c r="W1143" s="2" t="s">
        <v>1569</v>
      </c>
      <c r="X1143" s="2" t="s">
        <v>1570</v>
      </c>
      <c r="AB1143" s="2" t="s">
        <v>1571</v>
      </c>
    </row>
    <row r="1144">
      <c r="A1144" s="2" t="s">
        <v>1830</v>
      </c>
      <c r="B1144" s="2">
        <v>19.0</v>
      </c>
      <c r="C1144" s="2" t="s">
        <v>9</v>
      </c>
      <c r="D1144" s="2" t="s">
        <v>1831</v>
      </c>
      <c r="E1144" s="2">
        <v>6.0</v>
      </c>
      <c r="F1144" s="2" t="s">
        <v>10</v>
      </c>
      <c r="G1144" s="5">
        <v>2640371.0</v>
      </c>
      <c r="H1144" s="2" t="s">
        <v>1575</v>
      </c>
      <c r="I1144" s="2" t="s">
        <v>1580</v>
      </c>
      <c r="J1144" s="2">
        <v>10012.0</v>
      </c>
      <c r="K1144" s="2" t="s">
        <v>1602</v>
      </c>
      <c r="L1144" s="2"/>
      <c r="M1144" s="2"/>
      <c r="N1144" s="7">
        <v>1.0</v>
      </c>
      <c r="O1144" s="12">
        <v>29524.0</v>
      </c>
      <c r="P1144" s="11" t="s">
        <v>1649</v>
      </c>
      <c r="Q1144" s="12">
        <v>29524.0</v>
      </c>
      <c r="R1144" s="11" t="s">
        <v>1649</v>
      </c>
      <c r="S1144" s="11" t="s">
        <v>1683</v>
      </c>
      <c r="T1144" s="11" t="s">
        <v>1684</v>
      </c>
      <c r="U1144" s="2" t="s">
        <v>1574</v>
      </c>
      <c r="V1144" s="2" t="s">
        <v>1568</v>
      </c>
      <c r="W1144" s="2" t="s">
        <v>1569</v>
      </c>
      <c r="X1144" s="2" t="s">
        <v>1570</v>
      </c>
      <c r="AB1144" s="2" t="s">
        <v>1571</v>
      </c>
    </row>
    <row r="1145">
      <c r="A1145" s="2" t="s">
        <v>1830</v>
      </c>
      <c r="B1145" s="2">
        <v>19.0</v>
      </c>
      <c r="C1145" s="2" t="s">
        <v>9</v>
      </c>
      <c r="D1145" s="2" t="s">
        <v>1831</v>
      </c>
      <c r="E1145" s="2">
        <v>6.0</v>
      </c>
      <c r="F1145" s="2" t="s">
        <v>10</v>
      </c>
      <c r="G1145" s="5">
        <v>2640371.0</v>
      </c>
      <c r="H1145" s="2" t="s">
        <v>1575</v>
      </c>
      <c r="I1145" s="2" t="s">
        <v>1572</v>
      </c>
      <c r="J1145" s="2">
        <v>10120.0</v>
      </c>
      <c r="K1145" s="2" t="s">
        <v>1590</v>
      </c>
      <c r="L1145" s="2"/>
      <c r="M1145" s="2"/>
      <c r="N1145" s="7">
        <v>2.0</v>
      </c>
      <c r="O1145" s="12">
        <v>39048.0</v>
      </c>
      <c r="P1145" s="11" t="s">
        <v>1649</v>
      </c>
      <c r="Q1145" s="12">
        <v>39048.0</v>
      </c>
      <c r="R1145" s="11" t="s">
        <v>1649</v>
      </c>
      <c r="S1145" s="11" t="s">
        <v>1748</v>
      </c>
      <c r="T1145" s="11" t="s">
        <v>1782</v>
      </c>
      <c r="U1145" s="2" t="s">
        <v>1574</v>
      </c>
      <c r="V1145" s="2" t="s">
        <v>1568</v>
      </c>
      <c r="W1145" s="2" t="s">
        <v>1569</v>
      </c>
      <c r="X1145" s="2" t="s">
        <v>1570</v>
      </c>
      <c r="AB1145" s="2" t="s">
        <v>1571</v>
      </c>
    </row>
    <row r="1146">
      <c r="A1146" s="2" t="s">
        <v>1830</v>
      </c>
      <c r="B1146" s="2">
        <v>19.0</v>
      </c>
      <c r="C1146" s="2" t="s">
        <v>9</v>
      </c>
      <c r="D1146" s="2" t="s">
        <v>1831</v>
      </c>
      <c r="E1146" s="2">
        <v>6.0</v>
      </c>
      <c r="F1146" s="2" t="s">
        <v>10</v>
      </c>
      <c r="G1146" s="5">
        <v>2640371.0</v>
      </c>
      <c r="H1146" s="2" t="s">
        <v>1575</v>
      </c>
      <c r="I1146" s="2" t="s">
        <v>1578</v>
      </c>
      <c r="J1146" s="2">
        <v>10009.0</v>
      </c>
      <c r="K1146" s="2" t="s">
        <v>1586</v>
      </c>
      <c r="L1146" s="2"/>
      <c r="M1146" s="2"/>
      <c r="N1146" s="7">
        <v>1.0</v>
      </c>
      <c r="O1146" s="12">
        <v>26667.0</v>
      </c>
      <c r="P1146" s="11" t="s">
        <v>1649</v>
      </c>
      <c r="Q1146" s="12">
        <v>26667.0</v>
      </c>
      <c r="R1146" s="11" t="s">
        <v>1649</v>
      </c>
      <c r="S1146" s="11" t="s">
        <v>1674</v>
      </c>
      <c r="T1146" s="11" t="s">
        <v>1679</v>
      </c>
      <c r="U1146" s="2" t="s">
        <v>1574</v>
      </c>
      <c r="V1146" s="2" t="s">
        <v>1568</v>
      </c>
      <c r="W1146" s="2" t="s">
        <v>1569</v>
      </c>
      <c r="X1146" s="2" t="s">
        <v>1570</v>
      </c>
      <c r="AB1146" s="2" t="s">
        <v>1571</v>
      </c>
    </row>
    <row r="1147">
      <c r="A1147" s="2" t="s">
        <v>1830</v>
      </c>
      <c r="B1147" s="2">
        <v>19.0</v>
      </c>
      <c r="C1147" s="2" t="s">
        <v>9</v>
      </c>
      <c r="D1147" s="2" t="s">
        <v>1831</v>
      </c>
      <c r="E1147" s="2">
        <v>6.0</v>
      </c>
      <c r="F1147" s="2" t="s">
        <v>10</v>
      </c>
      <c r="G1147" s="5">
        <v>2640371.0</v>
      </c>
      <c r="H1147" s="2" t="s">
        <v>1575</v>
      </c>
      <c r="I1147" s="2" t="s">
        <v>1572</v>
      </c>
      <c r="J1147" s="2">
        <v>10118.0</v>
      </c>
      <c r="K1147" s="2" t="s">
        <v>1604</v>
      </c>
      <c r="L1147" s="2"/>
      <c r="M1147" s="2"/>
      <c r="N1147" s="7">
        <v>1.0</v>
      </c>
      <c r="O1147" s="12">
        <v>7143.0</v>
      </c>
      <c r="P1147" s="11" t="s">
        <v>1649</v>
      </c>
      <c r="Q1147" s="12">
        <v>7143.0</v>
      </c>
      <c r="R1147" s="11" t="s">
        <v>1649</v>
      </c>
      <c r="S1147" s="11" t="s">
        <v>1672</v>
      </c>
      <c r="T1147" s="11" t="s">
        <v>1673</v>
      </c>
      <c r="U1147" s="2" t="s">
        <v>1574</v>
      </c>
      <c r="V1147" s="2" t="s">
        <v>1568</v>
      </c>
      <c r="W1147" s="2" t="s">
        <v>1569</v>
      </c>
      <c r="X1147" s="2" t="s">
        <v>1570</v>
      </c>
      <c r="AB1147" s="2" t="s">
        <v>1571</v>
      </c>
    </row>
    <row r="1148">
      <c r="A1148" s="2" t="s">
        <v>1830</v>
      </c>
      <c r="B1148" s="2">
        <v>19.0</v>
      </c>
      <c r="C1148" s="2" t="s">
        <v>9</v>
      </c>
      <c r="D1148" s="2" t="s">
        <v>1831</v>
      </c>
      <c r="E1148" s="2">
        <v>6.0</v>
      </c>
      <c r="F1148" s="2" t="s">
        <v>10</v>
      </c>
      <c r="G1148" s="5">
        <v>2640005.0</v>
      </c>
      <c r="H1148" s="2" t="s">
        <v>1575</v>
      </c>
      <c r="I1148" s="2" t="s">
        <v>1572</v>
      </c>
      <c r="J1148" s="2">
        <v>10106.0</v>
      </c>
      <c r="K1148" s="2" t="s">
        <v>1598</v>
      </c>
      <c r="L1148" s="2"/>
      <c r="M1148" s="2"/>
      <c r="N1148" s="7">
        <v>1.0</v>
      </c>
      <c r="O1148" s="12">
        <v>26667.0</v>
      </c>
      <c r="P1148" s="11" t="s">
        <v>1649</v>
      </c>
      <c r="Q1148" s="12">
        <v>26667.0</v>
      </c>
      <c r="R1148" s="11" t="s">
        <v>1649</v>
      </c>
      <c r="S1148" s="11" t="s">
        <v>1674</v>
      </c>
      <c r="T1148" s="11" t="s">
        <v>1679</v>
      </c>
      <c r="U1148" s="2" t="s">
        <v>1574</v>
      </c>
      <c r="V1148" s="2" t="s">
        <v>1568</v>
      </c>
      <c r="W1148" s="2" t="s">
        <v>1569</v>
      </c>
      <c r="X1148" s="2" t="s">
        <v>1570</v>
      </c>
      <c r="AB1148" s="2" t="s">
        <v>1571</v>
      </c>
    </row>
    <row r="1149">
      <c r="A1149" s="2" t="s">
        <v>1830</v>
      </c>
      <c r="B1149" s="2">
        <v>19.0</v>
      </c>
      <c r="C1149" s="2" t="s">
        <v>9</v>
      </c>
      <c r="D1149" s="2" t="s">
        <v>1831</v>
      </c>
      <c r="E1149" s="2">
        <v>6.0</v>
      </c>
      <c r="F1149" s="2" t="s">
        <v>10</v>
      </c>
      <c r="G1149" s="5">
        <v>2639640.0</v>
      </c>
      <c r="H1149" s="2" t="s">
        <v>1575</v>
      </c>
      <c r="I1149" s="2" t="s">
        <v>1580</v>
      </c>
      <c r="J1149" s="2">
        <v>10105.0</v>
      </c>
      <c r="K1149" s="2" t="s">
        <v>1611</v>
      </c>
      <c r="L1149" s="2"/>
      <c r="M1149" s="2"/>
      <c r="N1149" s="7">
        <v>1.0</v>
      </c>
      <c r="O1149" s="12">
        <v>38095.0</v>
      </c>
      <c r="P1149" s="11" t="s">
        <v>1649</v>
      </c>
      <c r="Q1149" s="12">
        <v>38095.0</v>
      </c>
      <c r="R1149" s="11" t="s">
        <v>1649</v>
      </c>
      <c r="S1149" s="11" t="s">
        <v>1727</v>
      </c>
      <c r="T1149" s="11" t="s">
        <v>1728</v>
      </c>
      <c r="U1149" s="2" t="s">
        <v>1574</v>
      </c>
      <c r="V1149" s="2" t="s">
        <v>1568</v>
      </c>
      <c r="W1149" s="2" t="s">
        <v>1569</v>
      </c>
      <c r="X1149" s="2" t="s">
        <v>1570</v>
      </c>
      <c r="AB1149" s="2" t="s">
        <v>1571</v>
      </c>
    </row>
    <row r="1150">
      <c r="A1150" s="2" t="s">
        <v>1830</v>
      </c>
      <c r="B1150" s="2">
        <v>19.0</v>
      </c>
      <c r="C1150" s="2" t="s">
        <v>9</v>
      </c>
      <c r="D1150" s="2" t="s">
        <v>1831</v>
      </c>
      <c r="E1150" s="2">
        <v>6.0</v>
      </c>
      <c r="F1150" s="2" t="s">
        <v>10</v>
      </c>
      <c r="G1150" s="5">
        <v>2639640.0</v>
      </c>
      <c r="H1150" s="2" t="s">
        <v>1575</v>
      </c>
      <c r="I1150" s="2" t="s">
        <v>1580</v>
      </c>
      <c r="J1150" s="2">
        <v>10104.0</v>
      </c>
      <c r="K1150" s="2" t="s">
        <v>1581</v>
      </c>
      <c r="L1150" s="2"/>
      <c r="M1150" s="2"/>
      <c r="N1150" s="7">
        <v>1.0</v>
      </c>
      <c r="O1150" s="12">
        <v>34762.0</v>
      </c>
      <c r="P1150" s="11" t="s">
        <v>1649</v>
      </c>
      <c r="Q1150" s="12">
        <v>34762.0</v>
      </c>
      <c r="R1150" s="11" t="s">
        <v>1649</v>
      </c>
      <c r="S1150" s="11" t="s">
        <v>1670</v>
      </c>
      <c r="T1150" s="11" t="s">
        <v>1671</v>
      </c>
      <c r="U1150" s="2" t="s">
        <v>1574</v>
      </c>
      <c r="V1150" s="2" t="s">
        <v>1568</v>
      </c>
      <c r="W1150" s="2" t="s">
        <v>1569</v>
      </c>
      <c r="X1150" s="2" t="s">
        <v>1570</v>
      </c>
      <c r="AB1150" s="2" t="s">
        <v>1571</v>
      </c>
    </row>
    <row r="1151">
      <c r="A1151" s="2" t="s">
        <v>1830</v>
      </c>
      <c r="B1151" s="2">
        <v>19.0</v>
      </c>
      <c r="C1151" s="2" t="s">
        <v>9</v>
      </c>
      <c r="D1151" s="2" t="s">
        <v>1831</v>
      </c>
      <c r="E1151" s="2">
        <v>6.0</v>
      </c>
      <c r="F1151" s="2" t="s">
        <v>10</v>
      </c>
      <c r="G1151" s="5">
        <v>2639275.0</v>
      </c>
      <c r="H1151" s="2" t="s">
        <v>1575</v>
      </c>
      <c r="I1151" s="2" t="s">
        <v>1565</v>
      </c>
      <c r="J1151" s="2">
        <v>10005.0</v>
      </c>
      <c r="K1151" s="2" t="s">
        <v>1595</v>
      </c>
      <c r="L1151" s="2"/>
      <c r="M1151" s="2"/>
      <c r="N1151" s="7">
        <v>1.0</v>
      </c>
      <c r="O1151" s="12">
        <v>19524.0</v>
      </c>
      <c r="P1151" s="11" t="s">
        <v>1649</v>
      </c>
      <c r="Q1151" s="12">
        <v>19524.0</v>
      </c>
      <c r="R1151" s="11" t="s">
        <v>1649</v>
      </c>
      <c r="S1151" s="11" t="s">
        <v>1676</v>
      </c>
      <c r="T1151" s="11" t="s">
        <v>1677</v>
      </c>
      <c r="U1151" s="2" t="s">
        <v>1574</v>
      </c>
      <c r="V1151" s="2" t="s">
        <v>1568</v>
      </c>
      <c r="W1151" s="2" t="s">
        <v>1569</v>
      </c>
      <c r="X1151" s="2" t="s">
        <v>1570</v>
      </c>
      <c r="AB1151" s="2" t="s">
        <v>1571</v>
      </c>
    </row>
    <row r="1152">
      <c r="A1152" s="2" t="s">
        <v>1830</v>
      </c>
      <c r="B1152" s="2">
        <v>19.0</v>
      </c>
      <c r="C1152" s="2" t="s">
        <v>9</v>
      </c>
      <c r="D1152" s="2" t="s">
        <v>1831</v>
      </c>
      <c r="E1152" s="2">
        <v>6.0</v>
      </c>
      <c r="F1152" s="2" t="s">
        <v>10</v>
      </c>
      <c r="G1152" s="5">
        <v>2639275.0</v>
      </c>
      <c r="H1152" s="2" t="s">
        <v>1575</v>
      </c>
      <c r="I1152" s="2" t="s">
        <v>1565</v>
      </c>
      <c r="J1152" s="2">
        <v>10002.0</v>
      </c>
      <c r="K1152" s="2" t="s">
        <v>1576</v>
      </c>
      <c r="L1152" s="2"/>
      <c r="M1152" s="2"/>
      <c r="N1152" s="7">
        <v>1.0</v>
      </c>
      <c r="O1152" s="12">
        <v>18571.0</v>
      </c>
      <c r="P1152" s="11" t="s">
        <v>1649</v>
      </c>
      <c r="Q1152" s="12">
        <v>18571.0</v>
      </c>
      <c r="R1152" s="11" t="s">
        <v>1649</v>
      </c>
      <c r="S1152" s="11" t="s">
        <v>1656</v>
      </c>
      <c r="T1152" s="11" t="s">
        <v>1657</v>
      </c>
      <c r="U1152" s="2" t="s">
        <v>1574</v>
      </c>
      <c r="V1152" s="2" t="s">
        <v>1568</v>
      </c>
      <c r="W1152" s="2" t="s">
        <v>1569</v>
      </c>
      <c r="X1152" s="2" t="s">
        <v>1570</v>
      </c>
      <c r="AB1152" s="2" t="s">
        <v>1571</v>
      </c>
    </row>
    <row r="1153">
      <c r="A1153" s="2" t="s">
        <v>1830</v>
      </c>
      <c r="B1153" s="2">
        <v>18.0</v>
      </c>
      <c r="C1153" s="2" t="s">
        <v>9</v>
      </c>
      <c r="D1153" s="2" t="s">
        <v>1831</v>
      </c>
      <c r="E1153" s="2">
        <v>6.0</v>
      </c>
      <c r="F1153" s="2" t="s">
        <v>10</v>
      </c>
      <c r="G1153" s="5">
        <v>2638910.0</v>
      </c>
      <c r="H1153" s="2" t="s">
        <v>1575</v>
      </c>
      <c r="I1153" s="2" t="s">
        <v>1572</v>
      </c>
      <c r="J1153" s="2">
        <v>10128.0</v>
      </c>
      <c r="K1153" s="2" t="s">
        <v>1588</v>
      </c>
      <c r="L1153" s="2"/>
      <c r="M1153" s="2"/>
      <c r="N1153" s="7">
        <v>1.0</v>
      </c>
      <c r="O1153" s="12">
        <v>23333.0</v>
      </c>
      <c r="P1153" s="11" t="s">
        <v>1649</v>
      </c>
      <c r="Q1153" s="12">
        <v>23333.0</v>
      </c>
      <c r="R1153" s="11" t="s">
        <v>1649</v>
      </c>
      <c r="S1153" s="11" t="s">
        <v>1681</v>
      </c>
      <c r="T1153" s="11" t="s">
        <v>1682</v>
      </c>
      <c r="U1153" s="2" t="s">
        <v>1574</v>
      </c>
      <c r="V1153" s="2" t="s">
        <v>1568</v>
      </c>
      <c r="W1153" s="2" t="s">
        <v>1569</v>
      </c>
      <c r="X1153" s="2" t="s">
        <v>1570</v>
      </c>
      <c r="AB1153" s="2" t="s">
        <v>1571</v>
      </c>
    </row>
    <row r="1154">
      <c r="A1154" s="2" t="s">
        <v>1830</v>
      </c>
      <c r="B1154" s="2">
        <v>18.0</v>
      </c>
      <c r="C1154" s="2" t="s">
        <v>9</v>
      </c>
      <c r="D1154" s="2" t="s">
        <v>1831</v>
      </c>
      <c r="E1154" s="2">
        <v>6.0</v>
      </c>
      <c r="F1154" s="2" t="s">
        <v>10</v>
      </c>
      <c r="G1154" s="5">
        <v>2638910.0</v>
      </c>
      <c r="H1154" s="2" t="s">
        <v>1575</v>
      </c>
      <c r="I1154" s="2" t="s">
        <v>1578</v>
      </c>
      <c r="J1154" s="2">
        <v>10014.0</v>
      </c>
      <c r="K1154" s="2" t="s">
        <v>1609</v>
      </c>
      <c r="L1154" s="2"/>
      <c r="M1154" s="2"/>
      <c r="N1154" s="7">
        <v>1.0</v>
      </c>
      <c r="O1154" s="12">
        <v>25238.0</v>
      </c>
      <c r="P1154" s="11" t="s">
        <v>1649</v>
      </c>
      <c r="Q1154" s="12">
        <v>25238.0</v>
      </c>
      <c r="R1154" s="11" t="s">
        <v>1649</v>
      </c>
      <c r="S1154" s="11" t="s">
        <v>1660</v>
      </c>
      <c r="T1154" s="11" t="s">
        <v>1680</v>
      </c>
      <c r="U1154" s="2" t="s">
        <v>1574</v>
      </c>
      <c r="V1154" s="2" t="s">
        <v>1568</v>
      </c>
      <c r="W1154" s="2" t="s">
        <v>1569</v>
      </c>
      <c r="X1154" s="2" t="s">
        <v>1570</v>
      </c>
      <c r="AB1154" s="2" t="s">
        <v>1571</v>
      </c>
    </row>
    <row r="1155">
      <c r="A1155" s="2" t="s">
        <v>1830</v>
      </c>
      <c r="B1155" s="2">
        <v>18.0</v>
      </c>
      <c r="C1155" s="2" t="s">
        <v>9</v>
      </c>
      <c r="D1155" s="2" t="s">
        <v>1831</v>
      </c>
      <c r="E1155" s="2">
        <v>6.0</v>
      </c>
      <c r="F1155" s="2" t="s">
        <v>10</v>
      </c>
      <c r="G1155" s="5">
        <v>2638910.0</v>
      </c>
      <c r="H1155" s="2" t="s">
        <v>1575</v>
      </c>
      <c r="I1155" s="2" t="s">
        <v>1565</v>
      </c>
      <c r="J1155" s="2">
        <v>10002.0</v>
      </c>
      <c r="K1155" s="2" t="s">
        <v>1576</v>
      </c>
      <c r="L1155" s="2"/>
      <c r="M1155" s="2"/>
      <c r="N1155" s="7">
        <v>1.0</v>
      </c>
      <c r="O1155" s="12">
        <v>18571.0</v>
      </c>
      <c r="P1155" s="11" t="s">
        <v>1649</v>
      </c>
      <c r="Q1155" s="12">
        <v>18571.0</v>
      </c>
      <c r="R1155" s="11" t="s">
        <v>1649</v>
      </c>
      <c r="S1155" s="11" t="s">
        <v>1656</v>
      </c>
      <c r="T1155" s="11" t="s">
        <v>1688</v>
      </c>
      <c r="U1155" s="2" t="s">
        <v>1574</v>
      </c>
      <c r="V1155" s="2" t="s">
        <v>1568</v>
      </c>
      <c r="W1155" s="2" t="s">
        <v>1569</v>
      </c>
      <c r="X1155" s="2" t="s">
        <v>1570</v>
      </c>
      <c r="AB1155" s="2" t="s">
        <v>1571</v>
      </c>
    </row>
    <row r="1156">
      <c r="A1156" s="2" t="s">
        <v>1830</v>
      </c>
      <c r="B1156" s="2">
        <v>18.0</v>
      </c>
      <c r="C1156" s="2" t="s">
        <v>9</v>
      </c>
      <c r="D1156" s="2" t="s">
        <v>1831</v>
      </c>
      <c r="E1156" s="2">
        <v>6.0</v>
      </c>
      <c r="F1156" s="2" t="s">
        <v>10</v>
      </c>
      <c r="G1156" s="5">
        <v>2638544.0</v>
      </c>
      <c r="H1156" s="2" t="s">
        <v>1575</v>
      </c>
      <c r="I1156" s="2" t="s">
        <v>1572</v>
      </c>
      <c r="J1156" s="2">
        <v>10026.0</v>
      </c>
      <c r="K1156" s="2" t="s">
        <v>1583</v>
      </c>
      <c r="L1156" s="2"/>
      <c r="M1156" s="2"/>
      <c r="N1156" s="7">
        <v>1.0</v>
      </c>
      <c r="O1156" s="12">
        <v>21905.0</v>
      </c>
      <c r="P1156" s="11" t="s">
        <v>1649</v>
      </c>
      <c r="Q1156" s="12">
        <v>21905.0</v>
      </c>
      <c r="R1156" s="11" t="s">
        <v>1649</v>
      </c>
      <c r="S1156" s="11" t="s">
        <v>1666</v>
      </c>
      <c r="T1156" s="11" t="s">
        <v>1667</v>
      </c>
      <c r="U1156" s="2" t="s">
        <v>1574</v>
      </c>
      <c r="V1156" s="2" t="s">
        <v>1568</v>
      </c>
      <c r="W1156" s="2" t="s">
        <v>1569</v>
      </c>
      <c r="X1156" s="2" t="s">
        <v>1570</v>
      </c>
      <c r="AB1156" s="2" t="s">
        <v>1571</v>
      </c>
    </row>
    <row r="1157">
      <c r="A1157" s="2" t="s">
        <v>1830</v>
      </c>
      <c r="B1157" s="2">
        <v>18.0</v>
      </c>
      <c r="C1157" s="2" t="s">
        <v>9</v>
      </c>
      <c r="D1157" s="2" t="s">
        <v>1831</v>
      </c>
      <c r="E1157" s="2">
        <v>6.0</v>
      </c>
      <c r="F1157" s="2" t="s">
        <v>10</v>
      </c>
      <c r="G1157" s="5">
        <v>2638544.0</v>
      </c>
      <c r="H1157" s="2" t="s">
        <v>1575</v>
      </c>
      <c r="I1157" s="2" t="s">
        <v>1572</v>
      </c>
      <c r="J1157" s="2">
        <v>10128.0</v>
      </c>
      <c r="K1157" s="2" t="s">
        <v>1588</v>
      </c>
      <c r="L1157" s="2"/>
      <c r="M1157" s="2"/>
      <c r="N1157" s="7">
        <v>1.0</v>
      </c>
      <c r="O1157" s="12">
        <v>23333.0</v>
      </c>
      <c r="P1157" s="11" t="s">
        <v>1649</v>
      </c>
      <c r="Q1157" s="12">
        <v>23333.0</v>
      </c>
      <c r="R1157" s="11" t="s">
        <v>1649</v>
      </c>
      <c r="S1157" s="11" t="s">
        <v>1681</v>
      </c>
      <c r="T1157" s="11" t="s">
        <v>1682</v>
      </c>
      <c r="U1157" s="2" t="s">
        <v>1574</v>
      </c>
      <c r="V1157" s="2" t="s">
        <v>1568</v>
      </c>
      <c r="W1157" s="2" t="s">
        <v>1569</v>
      </c>
      <c r="X1157" s="2" t="s">
        <v>1570</v>
      </c>
      <c r="AB1157" s="2" t="s">
        <v>1571</v>
      </c>
    </row>
    <row r="1158">
      <c r="A1158" s="2" t="s">
        <v>1830</v>
      </c>
      <c r="B1158" s="2">
        <v>18.0</v>
      </c>
      <c r="C1158" s="2" t="s">
        <v>9</v>
      </c>
      <c r="D1158" s="2" t="s">
        <v>1831</v>
      </c>
      <c r="E1158" s="2">
        <v>6.0</v>
      </c>
      <c r="F1158" s="2" t="s">
        <v>10</v>
      </c>
      <c r="G1158" s="5">
        <v>2638544.0</v>
      </c>
      <c r="H1158" s="2" t="s">
        <v>1575</v>
      </c>
      <c r="I1158" s="2" t="s">
        <v>1578</v>
      </c>
      <c r="J1158" s="2">
        <v>10004.0</v>
      </c>
      <c r="K1158" s="2" t="s">
        <v>1607</v>
      </c>
      <c r="L1158" s="2"/>
      <c r="M1158" s="2"/>
      <c r="N1158" s="7">
        <v>1.0</v>
      </c>
      <c r="O1158" s="12">
        <v>25238.0</v>
      </c>
      <c r="P1158" s="11" t="s">
        <v>1649</v>
      </c>
      <c r="Q1158" s="12">
        <v>25238.0</v>
      </c>
      <c r="R1158" s="11" t="s">
        <v>1649</v>
      </c>
      <c r="S1158" s="11" t="s">
        <v>1660</v>
      </c>
      <c r="T1158" s="11" t="s">
        <v>1680</v>
      </c>
      <c r="U1158" s="2" t="s">
        <v>1574</v>
      </c>
      <c r="V1158" s="2" t="s">
        <v>1568</v>
      </c>
      <c r="W1158" s="2" t="s">
        <v>1569</v>
      </c>
      <c r="X1158" s="2" t="s">
        <v>1570</v>
      </c>
      <c r="AB1158" s="2" t="s">
        <v>1571</v>
      </c>
    </row>
    <row r="1159">
      <c r="A1159" s="2" t="s">
        <v>1830</v>
      </c>
      <c r="B1159" s="2">
        <v>18.0</v>
      </c>
      <c r="C1159" s="2" t="s">
        <v>9</v>
      </c>
      <c r="D1159" s="2" t="s">
        <v>1831</v>
      </c>
      <c r="E1159" s="2">
        <v>6.0</v>
      </c>
      <c r="F1159" s="2" t="s">
        <v>10</v>
      </c>
      <c r="G1159" s="5">
        <v>2638179.0</v>
      </c>
      <c r="H1159" s="2" t="s">
        <v>1575</v>
      </c>
      <c r="I1159" s="2" t="s">
        <v>1565</v>
      </c>
      <c r="J1159" s="2">
        <v>10055.0</v>
      </c>
      <c r="K1159" s="2" t="s">
        <v>1595</v>
      </c>
      <c r="L1159" s="2"/>
      <c r="M1159" s="2"/>
      <c r="N1159" s="7">
        <v>2.0</v>
      </c>
      <c r="O1159" s="12">
        <v>34762.0</v>
      </c>
      <c r="P1159" s="11" t="s">
        <v>1649</v>
      </c>
      <c r="Q1159" s="12">
        <v>34762.0</v>
      </c>
      <c r="R1159" s="11" t="s">
        <v>1649</v>
      </c>
      <c r="S1159" s="11" t="s">
        <v>1670</v>
      </c>
      <c r="T1159" s="11" t="s">
        <v>1671</v>
      </c>
      <c r="U1159" s="2" t="s">
        <v>1574</v>
      </c>
      <c r="V1159" s="2" t="s">
        <v>1568</v>
      </c>
      <c r="W1159" s="2" t="s">
        <v>1569</v>
      </c>
      <c r="X1159" s="2" t="s">
        <v>1570</v>
      </c>
      <c r="AB1159" s="2" t="s">
        <v>1571</v>
      </c>
    </row>
    <row r="1160">
      <c r="A1160" s="2" t="s">
        <v>1830</v>
      </c>
      <c r="B1160" s="2">
        <v>18.0</v>
      </c>
      <c r="C1160" s="2" t="s">
        <v>9</v>
      </c>
      <c r="D1160" s="2" t="s">
        <v>1831</v>
      </c>
      <c r="E1160" s="2">
        <v>6.0</v>
      </c>
      <c r="F1160" s="2" t="s">
        <v>10</v>
      </c>
      <c r="G1160" s="5">
        <v>2638179.0</v>
      </c>
      <c r="H1160" s="2" t="s">
        <v>1575</v>
      </c>
      <c r="I1160" s="2" t="s">
        <v>1565</v>
      </c>
      <c r="J1160" s="2">
        <v>10007.0</v>
      </c>
      <c r="K1160" s="2" t="s">
        <v>1576</v>
      </c>
      <c r="L1160" s="2"/>
      <c r="M1160" s="2"/>
      <c r="N1160" s="7">
        <v>2.0</v>
      </c>
      <c r="O1160" s="12">
        <v>33810.0</v>
      </c>
      <c r="P1160" s="11" t="s">
        <v>1649</v>
      </c>
      <c r="Q1160" s="12">
        <v>33810.0</v>
      </c>
      <c r="R1160" s="11" t="s">
        <v>1649</v>
      </c>
      <c r="S1160" s="11" t="s">
        <v>1701</v>
      </c>
      <c r="T1160" s="11" t="s">
        <v>1703</v>
      </c>
      <c r="U1160" s="2" t="s">
        <v>1574</v>
      </c>
      <c r="V1160" s="2" t="s">
        <v>1568</v>
      </c>
      <c r="W1160" s="2" t="s">
        <v>1569</v>
      </c>
      <c r="X1160" s="2" t="s">
        <v>1570</v>
      </c>
      <c r="AB1160" s="2" t="s">
        <v>1571</v>
      </c>
    </row>
    <row r="1161">
      <c r="A1161" s="2" t="s">
        <v>1830</v>
      </c>
      <c r="B1161" s="2">
        <v>18.0</v>
      </c>
      <c r="C1161" s="2" t="s">
        <v>9</v>
      </c>
      <c r="D1161" s="2" t="s">
        <v>1831</v>
      </c>
      <c r="E1161" s="2">
        <v>6.0</v>
      </c>
      <c r="F1161" s="2" t="s">
        <v>10</v>
      </c>
      <c r="G1161" s="5">
        <v>2637814.0</v>
      </c>
      <c r="H1161" s="2" t="s">
        <v>1575</v>
      </c>
      <c r="I1161" s="2" t="s">
        <v>1565</v>
      </c>
      <c r="J1161" s="2">
        <v>10005.0</v>
      </c>
      <c r="K1161" s="2" t="s">
        <v>1595</v>
      </c>
      <c r="L1161" s="2"/>
      <c r="M1161" s="2"/>
      <c r="N1161" s="7">
        <v>1.0</v>
      </c>
      <c r="O1161" s="12">
        <v>19524.0</v>
      </c>
      <c r="P1161" s="11" t="s">
        <v>1649</v>
      </c>
      <c r="Q1161" s="12">
        <v>19524.0</v>
      </c>
      <c r="R1161" s="11" t="s">
        <v>1649</v>
      </c>
      <c r="S1161" s="11" t="s">
        <v>1676</v>
      </c>
      <c r="T1161" s="11" t="s">
        <v>1677</v>
      </c>
      <c r="U1161" s="2" t="s">
        <v>1574</v>
      </c>
      <c r="V1161" s="2" t="s">
        <v>1568</v>
      </c>
      <c r="W1161" s="2" t="s">
        <v>1569</v>
      </c>
      <c r="X1161" s="2" t="s">
        <v>1570</v>
      </c>
      <c r="AB1161" s="2" t="s">
        <v>1571</v>
      </c>
    </row>
    <row r="1162">
      <c r="A1162" s="2" t="s">
        <v>1830</v>
      </c>
      <c r="B1162" s="2">
        <v>18.0</v>
      </c>
      <c r="C1162" s="2" t="s">
        <v>9</v>
      </c>
      <c r="D1162" s="2" t="s">
        <v>1831</v>
      </c>
      <c r="E1162" s="2">
        <v>6.0</v>
      </c>
      <c r="F1162" s="2" t="s">
        <v>10</v>
      </c>
      <c r="G1162" s="5">
        <v>2637449.0</v>
      </c>
      <c r="H1162" s="2" t="s">
        <v>1575</v>
      </c>
      <c r="I1162" s="2" t="s">
        <v>1572</v>
      </c>
      <c r="J1162" s="2">
        <v>10125.0</v>
      </c>
      <c r="K1162" s="2" t="s">
        <v>1601</v>
      </c>
      <c r="L1162" s="2"/>
      <c r="M1162" s="2"/>
      <c r="N1162" s="7">
        <v>1.0</v>
      </c>
      <c r="O1162" s="12">
        <v>20476.0</v>
      </c>
      <c r="P1162" s="11" t="s">
        <v>1649</v>
      </c>
      <c r="Q1162" s="12">
        <v>20476.0</v>
      </c>
      <c r="R1162" s="11" t="s">
        <v>1649</v>
      </c>
      <c r="S1162" s="11" t="s">
        <v>1716</v>
      </c>
      <c r="T1162" s="11" t="s">
        <v>1717</v>
      </c>
      <c r="U1162" s="2" t="s">
        <v>1574</v>
      </c>
      <c r="V1162" s="2" t="s">
        <v>1568</v>
      </c>
      <c r="W1162" s="2" t="s">
        <v>1569</v>
      </c>
      <c r="X1162" s="2" t="s">
        <v>1570</v>
      </c>
      <c r="AB1162" s="2" t="s">
        <v>1571</v>
      </c>
    </row>
    <row r="1163">
      <c r="A1163" s="2" t="s">
        <v>1830</v>
      </c>
      <c r="B1163" s="2">
        <v>17.0</v>
      </c>
      <c r="C1163" s="2" t="s">
        <v>9</v>
      </c>
      <c r="D1163" s="2" t="s">
        <v>1831</v>
      </c>
      <c r="E1163" s="2">
        <v>6.0</v>
      </c>
      <c r="F1163" s="2" t="s">
        <v>10</v>
      </c>
      <c r="G1163" s="5">
        <v>2637083.0</v>
      </c>
      <c r="H1163" s="2" t="s">
        <v>1575</v>
      </c>
      <c r="I1163" s="2" t="s">
        <v>1572</v>
      </c>
      <c r="J1163" s="2">
        <v>10112.0</v>
      </c>
      <c r="K1163" s="2" t="s">
        <v>1573</v>
      </c>
      <c r="L1163" s="2"/>
      <c r="M1163" s="2"/>
      <c r="N1163" s="7">
        <v>1.0</v>
      </c>
      <c r="O1163" s="12">
        <v>6667.0</v>
      </c>
      <c r="P1163" s="11" t="s">
        <v>1649</v>
      </c>
      <c r="Q1163" s="12">
        <v>6667.0</v>
      </c>
      <c r="R1163" s="11" t="s">
        <v>1649</v>
      </c>
      <c r="S1163" s="11" t="s">
        <v>1734</v>
      </c>
      <c r="T1163" s="11" t="s">
        <v>1738</v>
      </c>
      <c r="U1163" s="2" t="s">
        <v>1574</v>
      </c>
      <c r="V1163" s="2" t="s">
        <v>1568</v>
      </c>
      <c r="W1163" s="2" t="s">
        <v>1569</v>
      </c>
      <c r="X1163" s="2" t="s">
        <v>1570</v>
      </c>
      <c r="AB1163" s="2" t="s">
        <v>1571</v>
      </c>
    </row>
    <row r="1164">
      <c r="A1164" s="2" t="s">
        <v>1830</v>
      </c>
      <c r="B1164" s="2">
        <v>17.0</v>
      </c>
      <c r="C1164" s="2" t="s">
        <v>9</v>
      </c>
      <c r="D1164" s="2" t="s">
        <v>1831</v>
      </c>
      <c r="E1164" s="2">
        <v>6.0</v>
      </c>
      <c r="F1164" s="2" t="s">
        <v>10</v>
      </c>
      <c r="G1164" s="5">
        <v>2637083.0</v>
      </c>
      <c r="H1164" s="2" t="s">
        <v>1575</v>
      </c>
      <c r="I1164" s="2" t="s">
        <v>1572</v>
      </c>
      <c r="J1164" s="2">
        <v>10026.0</v>
      </c>
      <c r="K1164" s="2" t="s">
        <v>1583</v>
      </c>
      <c r="L1164" s="2"/>
      <c r="M1164" s="2"/>
      <c r="N1164" s="7">
        <v>2.0</v>
      </c>
      <c r="O1164" s="12">
        <v>43810.0</v>
      </c>
      <c r="P1164" s="11" t="s">
        <v>1649</v>
      </c>
      <c r="Q1164" s="12">
        <v>43810.0</v>
      </c>
      <c r="R1164" s="11" t="s">
        <v>1649</v>
      </c>
      <c r="S1164" s="11" t="s">
        <v>1658</v>
      </c>
      <c r="T1164" s="11" t="s">
        <v>1659</v>
      </c>
      <c r="U1164" s="2" t="s">
        <v>1574</v>
      </c>
      <c r="V1164" s="2" t="s">
        <v>1568</v>
      </c>
      <c r="W1164" s="2" t="s">
        <v>1569</v>
      </c>
      <c r="X1164" s="2" t="s">
        <v>1570</v>
      </c>
      <c r="AB1164" s="2" t="s">
        <v>1571</v>
      </c>
    </row>
    <row r="1165">
      <c r="A1165" s="2" t="s">
        <v>1830</v>
      </c>
      <c r="B1165" s="2">
        <v>17.0</v>
      </c>
      <c r="C1165" s="2" t="s">
        <v>9</v>
      </c>
      <c r="D1165" s="2" t="s">
        <v>1831</v>
      </c>
      <c r="E1165" s="2">
        <v>6.0</v>
      </c>
      <c r="F1165" s="2" t="s">
        <v>10</v>
      </c>
      <c r="G1165" s="5">
        <v>2637083.0</v>
      </c>
      <c r="H1165" s="2" t="s">
        <v>1575</v>
      </c>
      <c r="I1165" s="2" t="s">
        <v>1565</v>
      </c>
      <c r="J1165" s="2">
        <v>10002.0</v>
      </c>
      <c r="K1165" s="2" t="s">
        <v>1576</v>
      </c>
      <c r="L1165" s="2"/>
      <c r="M1165" s="2"/>
      <c r="N1165" s="7">
        <v>1.0</v>
      </c>
      <c r="O1165" s="12">
        <v>18571.0</v>
      </c>
      <c r="P1165" s="11" t="s">
        <v>1649</v>
      </c>
      <c r="Q1165" s="12">
        <v>18571.0</v>
      </c>
      <c r="R1165" s="11" t="s">
        <v>1649</v>
      </c>
      <c r="S1165" s="11" t="s">
        <v>1656</v>
      </c>
      <c r="T1165" s="11" t="s">
        <v>1688</v>
      </c>
      <c r="U1165" s="2" t="s">
        <v>1574</v>
      </c>
      <c r="V1165" s="2" t="s">
        <v>1568</v>
      </c>
      <c r="W1165" s="2" t="s">
        <v>1569</v>
      </c>
      <c r="X1165" s="2" t="s">
        <v>1570</v>
      </c>
      <c r="AB1165" s="2" t="s">
        <v>1571</v>
      </c>
    </row>
    <row r="1166">
      <c r="A1166" s="2" t="s">
        <v>1830</v>
      </c>
      <c r="B1166" s="2">
        <v>17.0</v>
      </c>
      <c r="C1166" s="2" t="s">
        <v>9</v>
      </c>
      <c r="D1166" s="2" t="s">
        <v>1831</v>
      </c>
      <c r="E1166" s="2">
        <v>6.0</v>
      </c>
      <c r="F1166" s="2" t="s">
        <v>10</v>
      </c>
      <c r="G1166" s="5">
        <v>2637083.0</v>
      </c>
      <c r="H1166" s="2" t="s">
        <v>1575</v>
      </c>
      <c r="I1166" s="2" t="s">
        <v>1565</v>
      </c>
      <c r="J1166" s="2">
        <v>10005.0</v>
      </c>
      <c r="K1166" s="2" t="s">
        <v>1595</v>
      </c>
      <c r="L1166" s="2"/>
      <c r="M1166" s="2"/>
      <c r="N1166" s="7">
        <v>1.0</v>
      </c>
      <c r="O1166" s="12">
        <v>19524.0</v>
      </c>
      <c r="P1166" s="11" t="s">
        <v>1649</v>
      </c>
      <c r="Q1166" s="12">
        <v>19524.0</v>
      </c>
      <c r="R1166" s="11" t="s">
        <v>1649</v>
      </c>
      <c r="S1166" s="11" t="s">
        <v>1676</v>
      </c>
      <c r="T1166" s="11" t="s">
        <v>1694</v>
      </c>
      <c r="U1166" s="2" t="s">
        <v>1574</v>
      </c>
      <c r="V1166" s="2" t="s">
        <v>1568</v>
      </c>
      <c r="W1166" s="2" t="s">
        <v>1569</v>
      </c>
      <c r="X1166" s="2" t="s">
        <v>1570</v>
      </c>
      <c r="AB1166" s="2" t="s">
        <v>1571</v>
      </c>
    </row>
    <row r="1167">
      <c r="A1167" s="2" t="s">
        <v>1830</v>
      </c>
      <c r="B1167" s="2">
        <v>17.0</v>
      </c>
      <c r="C1167" s="2" t="s">
        <v>9</v>
      </c>
      <c r="D1167" s="2" t="s">
        <v>1831</v>
      </c>
      <c r="E1167" s="2">
        <v>6.0</v>
      </c>
      <c r="F1167" s="2" t="s">
        <v>10</v>
      </c>
      <c r="G1167" s="5">
        <v>2636718.0</v>
      </c>
      <c r="H1167" s="2" t="s">
        <v>1575</v>
      </c>
      <c r="I1167" s="2" t="s">
        <v>1565</v>
      </c>
      <c r="J1167" s="2">
        <v>10054.0</v>
      </c>
      <c r="K1167" s="2" t="s">
        <v>1610</v>
      </c>
      <c r="L1167" s="2"/>
      <c r="M1167" s="2"/>
      <c r="N1167" s="7">
        <v>1.0</v>
      </c>
      <c r="O1167" s="12">
        <v>25238.0</v>
      </c>
      <c r="P1167" s="11" t="s">
        <v>1649</v>
      </c>
      <c r="Q1167" s="12">
        <v>25238.0</v>
      </c>
      <c r="R1167" s="11" t="s">
        <v>1649</v>
      </c>
      <c r="S1167" s="11" t="s">
        <v>1660</v>
      </c>
      <c r="T1167" s="11" t="s">
        <v>1680</v>
      </c>
      <c r="U1167" s="2" t="s">
        <v>1574</v>
      </c>
      <c r="V1167" s="2" t="s">
        <v>1568</v>
      </c>
      <c r="W1167" s="2" t="s">
        <v>1569</v>
      </c>
      <c r="X1167" s="2" t="s">
        <v>1570</v>
      </c>
      <c r="AB1167" s="2" t="s">
        <v>1571</v>
      </c>
    </row>
    <row r="1168">
      <c r="A1168" s="2" t="s">
        <v>1830</v>
      </c>
      <c r="B1168" s="2">
        <v>17.0</v>
      </c>
      <c r="C1168" s="2" t="s">
        <v>9</v>
      </c>
      <c r="D1168" s="2" t="s">
        <v>1831</v>
      </c>
      <c r="E1168" s="2">
        <v>6.0</v>
      </c>
      <c r="F1168" s="2" t="s">
        <v>10</v>
      </c>
      <c r="G1168" s="5">
        <v>2636718.0</v>
      </c>
      <c r="H1168" s="2" t="s">
        <v>1575</v>
      </c>
      <c r="I1168" s="2" t="s">
        <v>1565</v>
      </c>
      <c r="J1168" s="2">
        <v>10002.0</v>
      </c>
      <c r="K1168" s="2" t="s">
        <v>1576</v>
      </c>
      <c r="L1168" s="2"/>
      <c r="M1168" s="2"/>
      <c r="N1168" s="7">
        <v>1.0</v>
      </c>
      <c r="O1168" s="12">
        <v>18571.0</v>
      </c>
      <c r="P1168" s="11" t="s">
        <v>1649</v>
      </c>
      <c r="Q1168" s="12">
        <v>18571.0</v>
      </c>
      <c r="R1168" s="11" t="s">
        <v>1649</v>
      </c>
      <c r="S1168" s="11" t="s">
        <v>1656</v>
      </c>
      <c r="T1168" s="11" t="s">
        <v>1688</v>
      </c>
      <c r="U1168" s="2" t="s">
        <v>1574</v>
      </c>
      <c r="V1168" s="2" t="s">
        <v>1568</v>
      </c>
      <c r="W1168" s="2" t="s">
        <v>1569</v>
      </c>
      <c r="X1168" s="2" t="s">
        <v>1570</v>
      </c>
      <c r="AB1168" s="2" t="s">
        <v>1571</v>
      </c>
    </row>
    <row r="1169">
      <c r="A1169" s="2" t="s">
        <v>1830</v>
      </c>
      <c r="B1169" s="2">
        <v>17.0</v>
      </c>
      <c r="C1169" s="2" t="s">
        <v>9</v>
      </c>
      <c r="D1169" s="2" t="s">
        <v>1831</v>
      </c>
      <c r="E1169" s="2">
        <v>6.0</v>
      </c>
      <c r="F1169" s="2" t="s">
        <v>10</v>
      </c>
      <c r="G1169" s="5">
        <v>2636718.0</v>
      </c>
      <c r="H1169" s="2" t="s">
        <v>1575</v>
      </c>
      <c r="I1169" s="2" t="s">
        <v>1565</v>
      </c>
      <c r="J1169" s="2">
        <v>10005.0</v>
      </c>
      <c r="K1169" s="2" t="s">
        <v>1595</v>
      </c>
      <c r="L1169" s="2"/>
      <c r="M1169" s="2"/>
      <c r="N1169" s="7">
        <v>1.0</v>
      </c>
      <c r="O1169" s="12">
        <v>19524.0</v>
      </c>
      <c r="P1169" s="11" t="s">
        <v>1649</v>
      </c>
      <c r="Q1169" s="12">
        <v>19524.0</v>
      </c>
      <c r="R1169" s="11" t="s">
        <v>1649</v>
      </c>
      <c r="S1169" s="11" t="s">
        <v>1676</v>
      </c>
      <c r="T1169" s="11" t="s">
        <v>1694</v>
      </c>
      <c r="U1169" s="2" t="s">
        <v>1574</v>
      </c>
      <c r="V1169" s="2" t="s">
        <v>1568</v>
      </c>
      <c r="W1169" s="2" t="s">
        <v>1569</v>
      </c>
      <c r="X1169" s="2" t="s">
        <v>1570</v>
      </c>
      <c r="AB1169" s="2" t="s">
        <v>1571</v>
      </c>
    </row>
    <row r="1170">
      <c r="A1170" s="2" t="s">
        <v>1830</v>
      </c>
      <c r="B1170" s="2">
        <v>17.0</v>
      </c>
      <c r="C1170" s="2" t="s">
        <v>9</v>
      </c>
      <c r="D1170" s="2" t="s">
        <v>1831</v>
      </c>
      <c r="E1170" s="2">
        <v>6.0</v>
      </c>
      <c r="F1170" s="2" t="s">
        <v>10</v>
      </c>
      <c r="G1170" s="5">
        <v>2636718.0</v>
      </c>
      <c r="H1170" s="2" t="s">
        <v>1575</v>
      </c>
      <c r="I1170" s="2" t="s">
        <v>1565</v>
      </c>
      <c r="J1170" s="2">
        <v>10000.0</v>
      </c>
      <c r="K1170" s="2" t="s">
        <v>1566</v>
      </c>
      <c r="L1170" s="2"/>
      <c r="M1170" s="2"/>
      <c r="N1170" s="7">
        <v>1.0</v>
      </c>
      <c r="O1170" s="12">
        <v>29524.0</v>
      </c>
      <c r="P1170" s="11" t="s">
        <v>1649</v>
      </c>
      <c r="Q1170" s="12">
        <v>29524.0</v>
      </c>
      <c r="R1170" s="11" t="s">
        <v>1649</v>
      </c>
      <c r="S1170" s="11" t="s">
        <v>1683</v>
      </c>
      <c r="T1170" s="11" t="s">
        <v>1684</v>
      </c>
      <c r="U1170" s="2" t="s">
        <v>1574</v>
      </c>
      <c r="V1170" s="2" t="s">
        <v>1568</v>
      </c>
      <c r="W1170" s="2" t="s">
        <v>1569</v>
      </c>
      <c r="X1170" s="2" t="s">
        <v>1570</v>
      </c>
      <c r="AB1170" s="2" t="s">
        <v>1571</v>
      </c>
    </row>
    <row r="1171">
      <c r="A1171" s="2" t="s">
        <v>1830</v>
      </c>
      <c r="B1171" s="2">
        <v>16.0</v>
      </c>
      <c r="C1171" s="2" t="s">
        <v>9</v>
      </c>
      <c r="D1171" s="2" t="s">
        <v>1831</v>
      </c>
      <c r="E1171" s="2">
        <v>6.0</v>
      </c>
      <c r="F1171" s="2" t="s">
        <v>10</v>
      </c>
      <c r="G1171" s="5">
        <v>2636353.0</v>
      </c>
      <c r="H1171" s="2" t="s">
        <v>1575</v>
      </c>
      <c r="I1171" s="2" t="s">
        <v>1572</v>
      </c>
      <c r="J1171" s="2">
        <v>10118.0</v>
      </c>
      <c r="K1171" s="2" t="s">
        <v>1604</v>
      </c>
      <c r="L1171" s="2"/>
      <c r="M1171" s="2"/>
      <c r="N1171" s="7">
        <v>1.0</v>
      </c>
      <c r="O1171" s="12">
        <v>7143.0</v>
      </c>
      <c r="P1171" s="11" t="s">
        <v>1649</v>
      </c>
      <c r="Q1171" s="12">
        <v>7143.0</v>
      </c>
      <c r="R1171" s="11" t="s">
        <v>1649</v>
      </c>
      <c r="S1171" s="11" t="s">
        <v>1672</v>
      </c>
      <c r="T1171" s="11" t="s">
        <v>1673</v>
      </c>
      <c r="U1171" s="2" t="s">
        <v>1574</v>
      </c>
      <c r="V1171" s="2" t="s">
        <v>1568</v>
      </c>
      <c r="W1171" s="2" t="s">
        <v>1569</v>
      </c>
      <c r="X1171" s="2" t="s">
        <v>1570</v>
      </c>
      <c r="AB1171" s="2" t="s">
        <v>1571</v>
      </c>
    </row>
    <row r="1172">
      <c r="A1172" s="2" t="s">
        <v>1830</v>
      </c>
      <c r="B1172" s="2">
        <v>16.0</v>
      </c>
      <c r="C1172" s="2" t="s">
        <v>9</v>
      </c>
      <c r="D1172" s="2" t="s">
        <v>1831</v>
      </c>
      <c r="E1172" s="2">
        <v>6.0</v>
      </c>
      <c r="F1172" s="2" t="s">
        <v>10</v>
      </c>
      <c r="G1172" s="5">
        <v>2636353.0</v>
      </c>
      <c r="H1172" s="2" t="s">
        <v>1575</v>
      </c>
      <c r="I1172" s="2" t="s">
        <v>1565</v>
      </c>
      <c r="J1172" s="2">
        <v>10002.0</v>
      </c>
      <c r="K1172" s="2" t="s">
        <v>1576</v>
      </c>
      <c r="L1172" s="2"/>
      <c r="M1172" s="2"/>
      <c r="N1172" s="7">
        <v>1.0</v>
      </c>
      <c r="O1172" s="12">
        <v>18571.0</v>
      </c>
      <c r="P1172" s="11" t="s">
        <v>1649</v>
      </c>
      <c r="Q1172" s="12">
        <v>18571.0</v>
      </c>
      <c r="R1172" s="11" t="s">
        <v>1649</v>
      </c>
      <c r="S1172" s="11" t="s">
        <v>1656</v>
      </c>
      <c r="T1172" s="11" t="s">
        <v>1657</v>
      </c>
      <c r="U1172" s="2" t="s">
        <v>1574</v>
      </c>
      <c r="V1172" s="2" t="s">
        <v>1568</v>
      </c>
      <c r="W1172" s="2" t="s">
        <v>1569</v>
      </c>
      <c r="X1172" s="2" t="s">
        <v>1570</v>
      </c>
      <c r="AB1172" s="2" t="s">
        <v>1571</v>
      </c>
    </row>
    <row r="1173">
      <c r="A1173" s="2" t="s">
        <v>1830</v>
      </c>
      <c r="B1173" s="2">
        <v>16.0</v>
      </c>
      <c r="C1173" s="2" t="s">
        <v>9</v>
      </c>
      <c r="D1173" s="2" t="s">
        <v>1831</v>
      </c>
      <c r="E1173" s="2">
        <v>6.0</v>
      </c>
      <c r="F1173" s="2" t="s">
        <v>10</v>
      </c>
      <c r="G1173" s="5">
        <v>2636353.0</v>
      </c>
      <c r="H1173" s="2" t="s">
        <v>1575</v>
      </c>
      <c r="I1173" s="2" t="s">
        <v>1578</v>
      </c>
      <c r="J1173" s="2">
        <v>10014.0</v>
      </c>
      <c r="K1173" s="2" t="s">
        <v>1609</v>
      </c>
      <c r="L1173" s="2"/>
      <c r="M1173" s="2"/>
      <c r="N1173" s="7">
        <v>1.0</v>
      </c>
      <c r="O1173" s="12">
        <v>25238.0</v>
      </c>
      <c r="P1173" s="11" t="s">
        <v>1649</v>
      </c>
      <c r="Q1173" s="12">
        <v>25238.0</v>
      </c>
      <c r="R1173" s="11" t="s">
        <v>1649</v>
      </c>
      <c r="S1173" s="11" t="s">
        <v>1660</v>
      </c>
      <c r="T1173" s="11" t="s">
        <v>1680</v>
      </c>
      <c r="U1173" s="2" t="s">
        <v>1574</v>
      </c>
      <c r="V1173" s="2" t="s">
        <v>1568</v>
      </c>
      <c r="W1173" s="2" t="s">
        <v>1569</v>
      </c>
      <c r="X1173" s="2" t="s">
        <v>1570</v>
      </c>
      <c r="AB1173" s="2" t="s">
        <v>1571</v>
      </c>
    </row>
    <row r="1174">
      <c r="A1174" s="2" t="s">
        <v>1830</v>
      </c>
      <c r="B1174" s="2">
        <v>16.0</v>
      </c>
      <c r="C1174" s="2" t="s">
        <v>9</v>
      </c>
      <c r="D1174" s="2" t="s">
        <v>1831</v>
      </c>
      <c r="E1174" s="2">
        <v>6.0</v>
      </c>
      <c r="F1174" s="2" t="s">
        <v>10</v>
      </c>
      <c r="G1174" s="5">
        <v>2636353.0</v>
      </c>
      <c r="H1174" s="2" t="s">
        <v>1575</v>
      </c>
      <c r="I1174" s="2" t="s">
        <v>1572</v>
      </c>
      <c r="J1174" s="2">
        <v>10107.0</v>
      </c>
      <c r="K1174" s="2" t="s">
        <v>1584</v>
      </c>
      <c r="L1174" s="2"/>
      <c r="M1174" s="2"/>
      <c r="N1174" s="7">
        <v>1.0</v>
      </c>
      <c r="O1174" s="12">
        <v>26667.0</v>
      </c>
      <c r="P1174" s="11" t="s">
        <v>1649</v>
      </c>
      <c r="Q1174" s="12">
        <v>26667.0</v>
      </c>
      <c r="R1174" s="11" t="s">
        <v>1649</v>
      </c>
      <c r="S1174" s="11" t="s">
        <v>1674</v>
      </c>
      <c r="T1174" s="11" t="s">
        <v>1679</v>
      </c>
      <c r="U1174" s="2" t="s">
        <v>1574</v>
      </c>
      <c r="V1174" s="2" t="s">
        <v>1568</v>
      </c>
      <c r="W1174" s="2" t="s">
        <v>1569</v>
      </c>
      <c r="X1174" s="2" t="s">
        <v>1570</v>
      </c>
      <c r="AB1174" s="2" t="s">
        <v>1571</v>
      </c>
    </row>
    <row r="1175">
      <c r="A1175" s="2" t="s">
        <v>1830</v>
      </c>
      <c r="B1175" s="2">
        <v>16.0</v>
      </c>
      <c r="C1175" s="2" t="s">
        <v>9</v>
      </c>
      <c r="D1175" s="2" t="s">
        <v>1831</v>
      </c>
      <c r="E1175" s="2">
        <v>6.0</v>
      </c>
      <c r="F1175" s="2" t="s">
        <v>10</v>
      </c>
      <c r="G1175" s="5">
        <v>2635988.0</v>
      </c>
      <c r="H1175" s="2" t="s">
        <v>1575</v>
      </c>
      <c r="I1175" s="2" t="s">
        <v>1578</v>
      </c>
      <c r="J1175" s="2">
        <v>10051.0</v>
      </c>
      <c r="K1175" s="2" t="s">
        <v>1579</v>
      </c>
      <c r="L1175" s="2"/>
      <c r="M1175" s="2"/>
      <c r="N1175" s="7">
        <v>1.0</v>
      </c>
      <c r="O1175" s="12">
        <v>25238.0</v>
      </c>
      <c r="P1175" s="11" t="s">
        <v>1649</v>
      </c>
      <c r="Q1175" s="12">
        <v>25238.0</v>
      </c>
      <c r="R1175" s="11" t="s">
        <v>1649</v>
      </c>
      <c r="S1175" s="11" t="s">
        <v>1660</v>
      </c>
      <c r="T1175" s="11" t="s">
        <v>1680</v>
      </c>
      <c r="U1175" s="2" t="s">
        <v>1574</v>
      </c>
      <c r="V1175" s="2" t="s">
        <v>1568</v>
      </c>
      <c r="W1175" s="2" t="s">
        <v>1569</v>
      </c>
      <c r="X1175" s="2" t="s">
        <v>1570</v>
      </c>
      <c r="AB1175" s="2" t="s">
        <v>1571</v>
      </c>
    </row>
    <row r="1176">
      <c r="A1176" s="2" t="s">
        <v>1830</v>
      </c>
      <c r="B1176" s="2">
        <v>16.0</v>
      </c>
      <c r="C1176" s="2" t="s">
        <v>9</v>
      </c>
      <c r="D1176" s="2" t="s">
        <v>1831</v>
      </c>
      <c r="E1176" s="2">
        <v>6.0</v>
      </c>
      <c r="F1176" s="2" t="s">
        <v>10</v>
      </c>
      <c r="G1176" s="5">
        <v>2635622.0</v>
      </c>
      <c r="H1176" s="2" t="s">
        <v>1575</v>
      </c>
      <c r="I1176" s="2" t="s">
        <v>1572</v>
      </c>
      <c r="J1176" s="2">
        <v>10128.0</v>
      </c>
      <c r="K1176" s="2" t="s">
        <v>1588</v>
      </c>
      <c r="L1176" s="2"/>
      <c r="M1176" s="2"/>
      <c r="N1176" s="7">
        <v>1.0</v>
      </c>
      <c r="O1176" s="12">
        <v>23333.0</v>
      </c>
      <c r="P1176" s="11" t="s">
        <v>1649</v>
      </c>
      <c r="Q1176" s="12">
        <v>23333.0</v>
      </c>
      <c r="R1176" s="11" t="s">
        <v>1649</v>
      </c>
      <c r="S1176" s="11" t="s">
        <v>1681</v>
      </c>
      <c r="T1176" s="11" t="s">
        <v>1682</v>
      </c>
      <c r="U1176" s="2" t="s">
        <v>1574</v>
      </c>
      <c r="V1176" s="2" t="s">
        <v>1568</v>
      </c>
      <c r="W1176" s="2" t="s">
        <v>1569</v>
      </c>
      <c r="X1176" s="2" t="s">
        <v>1570</v>
      </c>
      <c r="AB1176" s="2" t="s">
        <v>1571</v>
      </c>
    </row>
    <row r="1177">
      <c r="A1177" s="2" t="s">
        <v>1830</v>
      </c>
      <c r="B1177" s="2">
        <v>16.0</v>
      </c>
      <c r="C1177" s="2" t="s">
        <v>9</v>
      </c>
      <c r="D1177" s="2" t="s">
        <v>1831</v>
      </c>
      <c r="E1177" s="2">
        <v>6.0</v>
      </c>
      <c r="F1177" s="2" t="s">
        <v>10</v>
      </c>
      <c r="G1177" s="5">
        <v>2635622.0</v>
      </c>
      <c r="H1177" s="2" t="s">
        <v>1575</v>
      </c>
      <c r="I1177" s="2" t="s">
        <v>1580</v>
      </c>
      <c r="J1177" s="2">
        <v>10012.0</v>
      </c>
      <c r="K1177" s="2" t="s">
        <v>1602</v>
      </c>
      <c r="L1177" s="2"/>
      <c r="M1177" s="2"/>
      <c r="N1177" s="7">
        <v>1.0</v>
      </c>
      <c r="O1177" s="12">
        <v>29524.0</v>
      </c>
      <c r="P1177" s="11" t="s">
        <v>1649</v>
      </c>
      <c r="Q1177" s="12">
        <v>29524.0</v>
      </c>
      <c r="R1177" s="11" t="s">
        <v>1649</v>
      </c>
      <c r="S1177" s="11" t="s">
        <v>1683</v>
      </c>
      <c r="T1177" s="11" t="s">
        <v>1684</v>
      </c>
      <c r="U1177" s="2" t="s">
        <v>1574</v>
      </c>
      <c r="V1177" s="2" t="s">
        <v>1568</v>
      </c>
      <c r="W1177" s="2" t="s">
        <v>1569</v>
      </c>
      <c r="X1177" s="2" t="s">
        <v>1570</v>
      </c>
      <c r="AB1177" s="2" t="s">
        <v>1571</v>
      </c>
    </row>
    <row r="1178">
      <c r="A1178" s="2" t="s">
        <v>1830</v>
      </c>
      <c r="B1178" s="2">
        <v>16.0</v>
      </c>
      <c r="C1178" s="2" t="s">
        <v>9</v>
      </c>
      <c r="D1178" s="2" t="s">
        <v>1831</v>
      </c>
      <c r="E1178" s="2">
        <v>6.0</v>
      </c>
      <c r="F1178" s="2" t="s">
        <v>10</v>
      </c>
      <c r="G1178" s="5">
        <v>2635622.0</v>
      </c>
      <c r="H1178" s="2" t="s">
        <v>1575</v>
      </c>
      <c r="I1178" s="2" t="s">
        <v>1565</v>
      </c>
      <c r="J1178" s="2">
        <v>10002.0</v>
      </c>
      <c r="K1178" s="2" t="s">
        <v>1576</v>
      </c>
      <c r="L1178" s="2"/>
      <c r="M1178" s="2"/>
      <c r="N1178" s="7">
        <v>1.0</v>
      </c>
      <c r="O1178" s="12">
        <v>18571.0</v>
      </c>
      <c r="P1178" s="11" t="s">
        <v>1649</v>
      </c>
      <c r="Q1178" s="12">
        <v>18571.0</v>
      </c>
      <c r="R1178" s="11" t="s">
        <v>1649</v>
      </c>
      <c r="S1178" s="11" t="s">
        <v>1656</v>
      </c>
      <c r="T1178" s="11" t="s">
        <v>1688</v>
      </c>
      <c r="U1178" s="2" t="s">
        <v>1574</v>
      </c>
      <c r="V1178" s="2" t="s">
        <v>1568</v>
      </c>
      <c r="W1178" s="2" t="s">
        <v>1569</v>
      </c>
      <c r="X1178" s="2" t="s">
        <v>1570</v>
      </c>
      <c r="AB1178" s="2" t="s">
        <v>1571</v>
      </c>
    </row>
    <row r="1179">
      <c r="A1179" s="2" t="s">
        <v>1830</v>
      </c>
      <c r="B1179" s="2">
        <v>16.0</v>
      </c>
      <c r="C1179" s="2" t="s">
        <v>9</v>
      </c>
      <c r="D1179" s="2" t="s">
        <v>1831</v>
      </c>
      <c r="E1179" s="2">
        <v>6.0</v>
      </c>
      <c r="F1179" s="2" t="s">
        <v>10</v>
      </c>
      <c r="G1179" s="5">
        <v>2635622.0</v>
      </c>
      <c r="H1179" s="2" t="s">
        <v>1575</v>
      </c>
      <c r="I1179" s="2" t="s">
        <v>1565</v>
      </c>
      <c r="J1179" s="2">
        <v>10054.0</v>
      </c>
      <c r="K1179" s="2" t="s">
        <v>1610</v>
      </c>
      <c r="L1179" s="2"/>
      <c r="M1179" s="2"/>
      <c r="N1179" s="7">
        <v>1.0</v>
      </c>
      <c r="O1179" s="12">
        <v>25238.0</v>
      </c>
      <c r="P1179" s="11" t="s">
        <v>1649</v>
      </c>
      <c r="Q1179" s="12">
        <v>25238.0</v>
      </c>
      <c r="R1179" s="11" t="s">
        <v>1649</v>
      </c>
      <c r="S1179" s="11" t="s">
        <v>1660</v>
      </c>
      <c r="T1179" s="11" t="s">
        <v>1680</v>
      </c>
      <c r="U1179" s="2" t="s">
        <v>1574</v>
      </c>
      <c r="V1179" s="2" t="s">
        <v>1568</v>
      </c>
      <c r="W1179" s="2" t="s">
        <v>1569</v>
      </c>
      <c r="X1179" s="2" t="s">
        <v>1570</v>
      </c>
      <c r="AB1179" s="2" t="s">
        <v>1571</v>
      </c>
    </row>
    <row r="1180">
      <c r="A1180" s="2" t="s">
        <v>1830</v>
      </c>
      <c r="B1180" s="2">
        <v>16.0</v>
      </c>
      <c r="C1180" s="2" t="s">
        <v>9</v>
      </c>
      <c r="D1180" s="2" t="s">
        <v>1831</v>
      </c>
      <c r="E1180" s="2">
        <v>6.0</v>
      </c>
      <c r="F1180" s="2" t="s">
        <v>10</v>
      </c>
      <c r="G1180" s="5">
        <v>2635622.0</v>
      </c>
      <c r="H1180" s="2" t="s">
        <v>1575</v>
      </c>
      <c r="I1180" s="2" t="s">
        <v>1572</v>
      </c>
      <c r="J1180" s="2">
        <v>10128.0</v>
      </c>
      <c r="K1180" s="2" t="s">
        <v>1588</v>
      </c>
      <c r="L1180" s="2"/>
      <c r="M1180" s="2"/>
      <c r="N1180" s="7">
        <v>1.0</v>
      </c>
      <c r="O1180" s="12">
        <v>23333.0</v>
      </c>
      <c r="P1180" s="11" t="s">
        <v>1649</v>
      </c>
      <c r="Q1180" s="12">
        <v>23333.0</v>
      </c>
      <c r="R1180" s="11" t="s">
        <v>1649</v>
      </c>
      <c r="S1180" s="11" t="s">
        <v>1681</v>
      </c>
      <c r="T1180" s="11" t="s">
        <v>1682</v>
      </c>
      <c r="U1180" s="2" t="s">
        <v>1574</v>
      </c>
      <c r="V1180" s="2" t="s">
        <v>1568</v>
      </c>
      <c r="W1180" s="2" t="s">
        <v>1569</v>
      </c>
      <c r="X1180" s="2" t="s">
        <v>1570</v>
      </c>
      <c r="AB1180" s="2" t="s">
        <v>1571</v>
      </c>
    </row>
    <row r="1181">
      <c r="A1181" s="2" t="s">
        <v>1830</v>
      </c>
      <c r="B1181" s="2">
        <v>16.0</v>
      </c>
      <c r="C1181" s="2" t="s">
        <v>9</v>
      </c>
      <c r="D1181" s="2" t="s">
        <v>1831</v>
      </c>
      <c r="E1181" s="2">
        <v>6.0</v>
      </c>
      <c r="F1181" s="2" t="s">
        <v>10</v>
      </c>
      <c r="G1181" s="5">
        <v>2635257.0</v>
      </c>
      <c r="H1181" s="2" t="s">
        <v>1575</v>
      </c>
      <c r="I1181" s="2" t="s">
        <v>1565</v>
      </c>
      <c r="J1181" s="2">
        <v>10054.0</v>
      </c>
      <c r="K1181" s="2" t="s">
        <v>1610</v>
      </c>
      <c r="L1181" s="2"/>
      <c r="M1181" s="2"/>
      <c r="N1181" s="7">
        <v>1.0</v>
      </c>
      <c r="O1181" s="12">
        <v>25238.0</v>
      </c>
      <c r="P1181" s="11" t="s">
        <v>1649</v>
      </c>
      <c r="Q1181" s="12">
        <v>25238.0</v>
      </c>
      <c r="R1181" s="11" t="s">
        <v>1649</v>
      </c>
      <c r="S1181" s="11" t="s">
        <v>1660</v>
      </c>
      <c r="T1181" s="11" t="s">
        <v>1680</v>
      </c>
      <c r="U1181" s="2" t="s">
        <v>1574</v>
      </c>
      <c r="V1181" s="2" t="s">
        <v>1568</v>
      </c>
      <c r="W1181" s="2" t="s">
        <v>1569</v>
      </c>
      <c r="X1181" s="2" t="s">
        <v>1570</v>
      </c>
      <c r="AB1181" s="2" t="s">
        <v>1571</v>
      </c>
    </row>
    <row r="1182">
      <c r="A1182" s="2" t="s">
        <v>1830</v>
      </c>
      <c r="B1182" s="2">
        <v>16.0</v>
      </c>
      <c r="C1182" s="2" t="s">
        <v>9</v>
      </c>
      <c r="D1182" s="2" t="s">
        <v>1831</v>
      </c>
      <c r="E1182" s="2">
        <v>6.0</v>
      </c>
      <c r="F1182" s="2" t="s">
        <v>10</v>
      </c>
      <c r="G1182" s="5">
        <v>2634892.0</v>
      </c>
      <c r="H1182" s="2" t="s">
        <v>1575</v>
      </c>
      <c r="I1182" s="2" t="s">
        <v>1572</v>
      </c>
      <c r="J1182" s="2">
        <v>10070.0</v>
      </c>
      <c r="K1182" s="2" t="s">
        <v>1593</v>
      </c>
      <c r="L1182" s="2"/>
      <c r="M1182" s="2"/>
      <c r="N1182" s="7">
        <v>1.0</v>
      </c>
      <c r="O1182" s="12">
        <v>24762.0</v>
      </c>
      <c r="P1182" s="11" t="s">
        <v>1649</v>
      </c>
      <c r="Q1182" s="12">
        <v>24762.0</v>
      </c>
      <c r="R1182" s="11" t="s">
        <v>1649</v>
      </c>
      <c r="S1182" s="11" t="s">
        <v>1689</v>
      </c>
      <c r="T1182" s="11" t="s">
        <v>1693</v>
      </c>
      <c r="U1182" s="2" t="s">
        <v>1574</v>
      </c>
      <c r="V1182" s="2" t="s">
        <v>1568</v>
      </c>
      <c r="W1182" s="2" t="s">
        <v>1569</v>
      </c>
      <c r="X1182" s="2" t="s">
        <v>1570</v>
      </c>
      <c r="AB1182" s="2" t="s">
        <v>1571</v>
      </c>
    </row>
    <row r="1183">
      <c r="A1183" s="2" t="s">
        <v>1830</v>
      </c>
      <c r="B1183" s="2">
        <v>16.0</v>
      </c>
      <c r="C1183" s="2" t="s">
        <v>9</v>
      </c>
      <c r="D1183" s="2" t="s">
        <v>1831</v>
      </c>
      <c r="E1183" s="2">
        <v>6.0</v>
      </c>
      <c r="F1183" s="2" t="s">
        <v>10</v>
      </c>
      <c r="G1183" s="5">
        <v>2634527.0</v>
      </c>
      <c r="H1183" s="2" t="s">
        <v>1575</v>
      </c>
      <c r="I1183" s="2" t="s">
        <v>1572</v>
      </c>
      <c r="J1183" s="2">
        <v>10125.0</v>
      </c>
      <c r="K1183" s="2" t="s">
        <v>1601</v>
      </c>
      <c r="L1183" s="2"/>
      <c r="M1183" s="2"/>
      <c r="N1183" s="7">
        <v>1.0</v>
      </c>
      <c r="O1183" s="12">
        <v>20476.0</v>
      </c>
      <c r="P1183" s="11" t="s">
        <v>1649</v>
      </c>
      <c r="Q1183" s="12">
        <v>20476.0</v>
      </c>
      <c r="R1183" s="11" t="s">
        <v>1649</v>
      </c>
      <c r="S1183" s="11" t="s">
        <v>1716</v>
      </c>
      <c r="T1183" s="11" t="s">
        <v>1717</v>
      </c>
      <c r="U1183" s="2" t="s">
        <v>1574</v>
      </c>
      <c r="V1183" s="2" t="s">
        <v>1568</v>
      </c>
      <c r="W1183" s="2" t="s">
        <v>1569</v>
      </c>
      <c r="X1183" s="2" t="s">
        <v>1570</v>
      </c>
      <c r="AB1183" s="2" t="s">
        <v>1571</v>
      </c>
    </row>
    <row r="1184">
      <c r="A1184" s="2" t="s">
        <v>1830</v>
      </c>
      <c r="B1184" s="2">
        <v>16.0</v>
      </c>
      <c r="C1184" s="2" t="s">
        <v>9</v>
      </c>
      <c r="D1184" s="2" t="s">
        <v>1831</v>
      </c>
      <c r="E1184" s="2">
        <v>6.0</v>
      </c>
      <c r="F1184" s="2" t="s">
        <v>10</v>
      </c>
      <c r="G1184" s="5">
        <v>2634527.0</v>
      </c>
      <c r="H1184" s="2" t="s">
        <v>1575</v>
      </c>
      <c r="I1184" s="2" t="s">
        <v>1572</v>
      </c>
      <c r="J1184" s="2">
        <v>10121.0</v>
      </c>
      <c r="K1184" s="2" t="s">
        <v>1617</v>
      </c>
      <c r="L1184" s="2"/>
      <c r="M1184" s="2"/>
      <c r="N1184" s="7">
        <v>1.0</v>
      </c>
      <c r="O1184" s="12">
        <v>19524.0</v>
      </c>
      <c r="P1184" s="11" t="s">
        <v>1649</v>
      </c>
      <c r="Q1184" s="12">
        <v>19524.0</v>
      </c>
      <c r="R1184" s="11" t="s">
        <v>1649</v>
      </c>
      <c r="S1184" s="11" t="s">
        <v>1676</v>
      </c>
      <c r="T1184" s="11" t="s">
        <v>1677</v>
      </c>
      <c r="U1184" s="2" t="s">
        <v>1574</v>
      </c>
      <c r="V1184" s="2" t="s">
        <v>1568</v>
      </c>
      <c r="W1184" s="2" t="s">
        <v>1569</v>
      </c>
      <c r="X1184" s="2" t="s">
        <v>1570</v>
      </c>
      <c r="AB1184" s="2" t="s">
        <v>1571</v>
      </c>
    </row>
    <row r="1185">
      <c r="A1185" s="2" t="s">
        <v>1830</v>
      </c>
      <c r="B1185" s="2">
        <v>16.0</v>
      </c>
      <c r="C1185" s="2" t="s">
        <v>9</v>
      </c>
      <c r="D1185" s="2" t="s">
        <v>1831</v>
      </c>
      <c r="E1185" s="2">
        <v>6.0</v>
      </c>
      <c r="F1185" s="2" t="s">
        <v>10</v>
      </c>
      <c r="G1185" s="5">
        <v>2634527.0</v>
      </c>
      <c r="H1185" s="2" t="s">
        <v>1575</v>
      </c>
      <c r="I1185" s="2" t="s">
        <v>1580</v>
      </c>
      <c r="J1185" s="2">
        <v>10012.0</v>
      </c>
      <c r="K1185" s="2" t="s">
        <v>1602</v>
      </c>
      <c r="L1185" s="2"/>
      <c r="M1185" s="2"/>
      <c r="N1185" s="7">
        <v>1.0</v>
      </c>
      <c r="O1185" s="12">
        <v>29524.0</v>
      </c>
      <c r="P1185" s="11" t="s">
        <v>1649</v>
      </c>
      <c r="Q1185" s="12">
        <v>29524.0</v>
      </c>
      <c r="R1185" s="11" t="s">
        <v>1649</v>
      </c>
      <c r="S1185" s="11" t="s">
        <v>1683</v>
      </c>
      <c r="T1185" s="11" t="s">
        <v>1684</v>
      </c>
      <c r="U1185" s="2" t="s">
        <v>1574</v>
      </c>
      <c r="V1185" s="2" t="s">
        <v>1568</v>
      </c>
      <c r="W1185" s="2" t="s">
        <v>1569</v>
      </c>
      <c r="X1185" s="2" t="s">
        <v>1570</v>
      </c>
      <c r="AB1185" s="2" t="s">
        <v>1571</v>
      </c>
    </row>
    <row r="1186">
      <c r="A1186" s="2" t="s">
        <v>1830</v>
      </c>
      <c r="B1186" s="2">
        <v>16.0</v>
      </c>
      <c r="C1186" s="2" t="s">
        <v>9</v>
      </c>
      <c r="D1186" s="2" t="s">
        <v>1831</v>
      </c>
      <c r="E1186" s="2">
        <v>6.0</v>
      </c>
      <c r="F1186" s="2" t="s">
        <v>10</v>
      </c>
      <c r="G1186" s="5">
        <v>2634161.0</v>
      </c>
      <c r="H1186" s="2" t="s">
        <v>1575</v>
      </c>
      <c r="I1186" s="2" t="s">
        <v>1565</v>
      </c>
      <c r="J1186" s="2">
        <v>10034.0</v>
      </c>
      <c r="K1186" s="2" t="s">
        <v>1616</v>
      </c>
      <c r="L1186" s="2"/>
      <c r="M1186" s="2"/>
      <c r="N1186" s="7">
        <v>1.0</v>
      </c>
      <c r="O1186" s="12">
        <v>21905.0</v>
      </c>
      <c r="P1186" s="11" t="s">
        <v>1649</v>
      </c>
      <c r="Q1186" s="12">
        <v>21905.0</v>
      </c>
      <c r="R1186" s="11" t="s">
        <v>1649</v>
      </c>
      <c r="S1186" s="11" t="s">
        <v>1666</v>
      </c>
      <c r="T1186" s="11" t="s">
        <v>1667</v>
      </c>
      <c r="U1186" s="2" t="s">
        <v>1574</v>
      </c>
      <c r="V1186" s="2" t="s">
        <v>1568</v>
      </c>
      <c r="W1186" s="2" t="s">
        <v>1569</v>
      </c>
      <c r="X1186" s="2" t="s">
        <v>1570</v>
      </c>
      <c r="AB1186" s="2" t="s">
        <v>1571</v>
      </c>
    </row>
    <row r="1187">
      <c r="A1187" s="2" t="s">
        <v>1830</v>
      </c>
      <c r="B1187" s="2">
        <v>16.0</v>
      </c>
      <c r="C1187" s="2" t="s">
        <v>9</v>
      </c>
      <c r="D1187" s="2" t="s">
        <v>1831</v>
      </c>
      <c r="E1187" s="2">
        <v>6.0</v>
      </c>
      <c r="F1187" s="2" t="s">
        <v>10</v>
      </c>
      <c r="G1187" s="5">
        <v>2634161.0</v>
      </c>
      <c r="H1187" s="2" t="s">
        <v>1575</v>
      </c>
      <c r="I1187" s="2" t="s">
        <v>1565</v>
      </c>
      <c r="J1187" s="2">
        <v>10002.0</v>
      </c>
      <c r="K1187" s="2" t="s">
        <v>1576</v>
      </c>
      <c r="L1187" s="2"/>
      <c r="M1187" s="2"/>
      <c r="N1187" s="7">
        <v>1.0</v>
      </c>
      <c r="O1187" s="12">
        <v>18571.0</v>
      </c>
      <c r="P1187" s="11" t="s">
        <v>1649</v>
      </c>
      <c r="Q1187" s="12">
        <v>18571.0</v>
      </c>
      <c r="R1187" s="11" t="s">
        <v>1649</v>
      </c>
      <c r="S1187" s="11" t="s">
        <v>1656</v>
      </c>
      <c r="T1187" s="11" t="s">
        <v>1657</v>
      </c>
      <c r="U1187" s="2" t="s">
        <v>1574</v>
      </c>
      <c r="V1187" s="2" t="s">
        <v>1568</v>
      </c>
      <c r="W1187" s="2" t="s">
        <v>1569</v>
      </c>
      <c r="X1187" s="2" t="s">
        <v>1570</v>
      </c>
      <c r="AB1187" s="2" t="s">
        <v>1571</v>
      </c>
    </row>
    <row r="1188">
      <c r="A1188" s="2" t="s">
        <v>1830</v>
      </c>
      <c r="B1188" s="2">
        <v>16.0</v>
      </c>
      <c r="C1188" s="2" t="s">
        <v>9</v>
      </c>
      <c r="D1188" s="2" t="s">
        <v>1831</v>
      </c>
      <c r="E1188" s="2">
        <v>6.0</v>
      </c>
      <c r="F1188" s="2" t="s">
        <v>10</v>
      </c>
      <c r="G1188" s="5">
        <v>2633796.0</v>
      </c>
      <c r="H1188" s="2" t="s">
        <v>1575</v>
      </c>
      <c r="I1188" s="2" t="s">
        <v>1565</v>
      </c>
      <c r="J1188" s="2">
        <v>10007.0</v>
      </c>
      <c r="K1188" s="2" t="s">
        <v>1576</v>
      </c>
      <c r="L1188" s="2"/>
      <c r="M1188" s="2"/>
      <c r="N1188" s="7">
        <v>2.0</v>
      </c>
      <c r="O1188" s="12">
        <v>33810.0</v>
      </c>
      <c r="P1188" s="11" t="s">
        <v>1649</v>
      </c>
      <c r="Q1188" s="12">
        <v>33810.0</v>
      </c>
      <c r="R1188" s="11" t="s">
        <v>1649</v>
      </c>
      <c r="S1188" s="11" t="s">
        <v>1701</v>
      </c>
      <c r="T1188" s="11" t="s">
        <v>1703</v>
      </c>
      <c r="U1188" s="2" t="s">
        <v>1574</v>
      </c>
      <c r="V1188" s="2" t="s">
        <v>1568</v>
      </c>
      <c r="W1188" s="2" t="s">
        <v>1569</v>
      </c>
      <c r="X1188" s="2" t="s">
        <v>1570</v>
      </c>
      <c r="AB1188" s="2" t="s">
        <v>1571</v>
      </c>
    </row>
    <row r="1189">
      <c r="A1189" s="2" t="s">
        <v>1830</v>
      </c>
      <c r="B1189" s="2">
        <v>15.0</v>
      </c>
      <c r="C1189" s="2" t="s">
        <v>9</v>
      </c>
      <c r="D1189" s="2" t="s">
        <v>1831</v>
      </c>
      <c r="E1189" s="2">
        <v>6.0</v>
      </c>
      <c r="F1189" s="2" t="s">
        <v>10</v>
      </c>
      <c r="G1189" s="5">
        <v>2633431.0</v>
      </c>
      <c r="H1189" s="2" t="s">
        <v>1575</v>
      </c>
      <c r="I1189" s="2" t="s">
        <v>1565</v>
      </c>
      <c r="J1189" s="2">
        <v>10000.0</v>
      </c>
      <c r="K1189" s="2" t="s">
        <v>1566</v>
      </c>
      <c r="L1189" s="2"/>
      <c r="M1189" s="2"/>
      <c r="N1189" s="7">
        <v>1.0</v>
      </c>
      <c r="O1189" s="12">
        <v>29524.0</v>
      </c>
      <c r="P1189" s="11" t="s">
        <v>1649</v>
      </c>
      <c r="Q1189" s="12">
        <v>29524.0</v>
      </c>
      <c r="R1189" s="11" t="s">
        <v>1649</v>
      </c>
      <c r="S1189" s="11" t="s">
        <v>1683</v>
      </c>
      <c r="T1189" s="11" t="s">
        <v>1684</v>
      </c>
      <c r="U1189" s="2" t="s">
        <v>1574</v>
      </c>
      <c r="V1189" s="2" t="s">
        <v>1568</v>
      </c>
      <c r="W1189" s="2" t="s">
        <v>1569</v>
      </c>
      <c r="X1189" s="2" t="s">
        <v>1570</v>
      </c>
      <c r="AB1189" s="2" t="s">
        <v>1571</v>
      </c>
    </row>
    <row r="1190">
      <c r="A1190" s="2" t="s">
        <v>1830</v>
      </c>
      <c r="B1190" s="2">
        <v>15.0</v>
      </c>
      <c r="C1190" s="2" t="s">
        <v>9</v>
      </c>
      <c r="D1190" s="2" t="s">
        <v>1831</v>
      </c>
      <c r="E1190" s="2">
        <v>6.0</v>
      </c>
      <c r="F1190" s="2" t="s">
        <v>10</v>
      </c>
      <c r="G1190" s="5">
        <v>2633431.0</v>
      </c>
      <c r="H1190" s="2" t="s">
        <v>1575</v>
      </c>
      <c r="I1190" s="2" t="s">
        <v>1565</v>
      </c>
      <c r="J1190" s="2">
        <v>10002.0</v>
      </c>
      <c r="K1190" s="2" t="s">
        <v>1576</v>
      </c>
      <c r="L1190" s="2"/>
      <c r="M1190" s="2"/>
      <c r="N1190" s="7">
        <v>1.0</v>
      </c>
      <c r="O1190" s="12">
        <v>18571.0</v>
      </c>
      <c r="P1190" s="11" t="s">
        <v>1649</v>
      </c>
      <c r="Q1190" s="12">
        <v>18571.0</v>
      </c>
      <c r="R1190" s="11" t="s">
        <v>1649</v>
      </c>
      <c r="S1190" s="11" t="s">
        <v>1656</v>
      </c>
      <c r="T1190" s="11" t="s">
        <v>1657</v>
      </c>
      <c r="U1190" s="2" t="s">
        <v>1574</v>
      </c>
      <c r="V1190" s="2" t="s">
        <v>1568</v>
      </c>
      <c r="W1190" s="2" t="s">
        <v>1569</v>
      </c>
      <c r="X1190" s="2" t="s">
        <v>1570</v>
      </c>
      <c r="AB1190" s="2" t="s">
        <v>1571</v>
      </c>
    </row>
    <row r="1191">
      <c r="A1191" s="2" t="s">
        <v>1830</v>
      </c>
      <c r="B1191" s="2">
        <v>15.0</v>
      </c>
      <c r="C1191" s="2" t="s">
        <v>9</v>
      </c>
      <c r="D1191" s="2" t="s">
        <v>1831</v>
      </c>
      <c r="E1191" s="2">
        <v>6.0</v>
      </c>
      <c r="F1191" s="2" t="s">
        <v>10</v>
      </c>
      <c r="G1191" s="5">
        <v>2633431.0</v>
      </c>
      <c r="H1191" s="2" t="s">
        <v>1575</v>
      </c>
      <c r="I1191" s="2" t="s">
        <v>1565</v>
      </c>
      <c r="J1191" s="2">
        <v>10000.0</v>
      </c>
      <c r="K1191" s="2" t="s">
        <v>1566</v>
      </c>
      <c r="L1191" s="2"/>
      <c r="M1191" s="2"/>
      <c r="N1191" s="7">
        <v>1.0</v>
      </c>
      <c r="O1191" s="12">
        <v>29524.0</v>
      </c>
      <c r="P1191" s="11" t="s">
        <v>1649</v>
      </c>
      <c r="Q1191" s="12">
        <v>29524.0</v>
      </c>
      <c r="R1191" s="11" t="s">
        <v>1649</v>
      </c>
      <c r="S1191" s="11" t="s">
        <v>1683</v>
      </c>
      <c r="T1191" s="11" t="s">
        <v>1684</v>
      </c>
      <c r="U1191" s="2" t="s">
        <v>1574</v>
      </c>
      <c r="V1191" s="2" t="s">
        <v>1568</v>
      </c>
      <c r="W1191" s="2" t="s">
        <v>1569</v>
      </c>
      <c r="X1191" s="2" t="s">
        <v>1570</v>
      </c>
      <c r="AB1191" s="2" t="s">
        <v>1571</v>
      </c>
    </row>
    <row r="1192">
      <c r="A1192" s="2" t="s">
        <v>1830</v>
      </c>
      <c r="B1192" s="2">
        <v>15.0</v>
      </c>
      <c r="C1192" s="2" t="s">
        <v>9</v>
      </c>
      <c r="D1192" s="2" t="s">
        <v>1831</v>
      </c>
      <c r="E1192" s="2">
        <v>6.0</v>
      </c>
      <c r="F1192" s="2" t="s">
        <v>10</v>
      </c>
      <c r="G1192" s="5">
        <v>2633431.0</v>
      </c>
      <c r="H1192" s="2" t="s">
        <v>1575</v>
      </c>
      <c r="I1192" s="2" t="s">
        <v>1565</v>
      </c>
      <c r="J1192" s="2">
        <v>10005.0</v>
      </c>
      <c r="K1192" s="2" t="s">
        <v>1595</v>
      </c>
      <c r="L1192" s="2"/>
      <c r="M1192" s="2"/>
      <c r="N1192" s="7">
        <v>1.0</v>
      </c>
      <c r="O1192" s="12">
        <v>19524.0</v>
      </c>
      <c r="P1192" s="11" t="s">
        <v>1649</v>
      </c>
      <c r="Q1192" s="12">
        <v>19524.0</v>
      </c>
      <c r="R1192" s="11" t="s">
        <v>1649</v>
      </c>
      <c r="S1192" s="11" t="s">
        <v>1676</v>
      </c>
      <c r="T1192" s="11" t="s">
        <v>1677</v>
      </c>
      <c r="U1192" s="2" t="s">
        <v>1574</v>
      </c>
      <c r="V1192" s="2" t="s">
        <v>1568</v>
      </c>
      <c r="W1192" s="2" t="s">
        <v>1569</v>
      </c>
      <c r="X1192" s="2" t="s">
        <v>1570</v>
      </c>
      <c r="AB1192" s="2" t="s">
        <v>1571</v>
      </c>
    </row>
    <row r="1193">
      <c r="A1193" s="2" t="s">
        <v>1830</v>
      </c>
      <c r="B1193" s="2">
        <v>15.0</v>
      </c>
      <c r="C1193" s="2" t="s">
        <v>9</v>
      </c>
      <c r="D1193" s="2" t="s">
        <v>1831</v>
      </c>
      <c r="E1193" s="2">
        <v>6.0</v>
      </c>
      <c r="F1193" s="2" t="s">
        <v>10</v>
      </c>
      <c r="G1193" s="5">
        <v>2633066.0</v>
      </c>
      <c r="H1193" s="2" t="s">
        <v>1575</v>
      </c>
      <c r="I1193" s="2" t="s">
        <v>1565</v>
      </c>
      <c r="J1193" s="2">
        <v>10000.0</v>
      </c>
      <c r="K1193" s="2" t="s">
        <v>1566</v>
      </c>
      <c r="L1193" s="2"/>
      <c r="M1193" s="2"/>
      <c r="N1193" s="7">
        <v>1.0</v>
      </c>
      <c r="O1193" s="12">
        <v>29524.0</v>
      </c>
      <c r="P1193" s="11" t="s">
        <v>1649</v>
      </c>
      <c r="Q1193" s="12">
        <v>29524.0</v>
      </c>
      <c r="R1193" s="11" t="s">
        <v>1649</v>
      </c>
      <c r="S1193" s="11" t="s">
        <v>1683</v>
      </c>
      <c r="T1193" s="11" t="s">
        <v>1684</v>
      </c>
      <c r="U1193" s="2" t="s">
        <v>1574</v>
      </c>
      <c r="V1193" s="2" t="s">
        <v>1568</v>
      </c>
      <c r="W1193" s="2" t="s">
        <v>1569</v>
      </c>
      <c r="X1193" s="2" t="s">
        <v>1570</v>
      </c>
      <c r="AB1193" s="2" t="s">
        <v>1571</v>
      </c>
    </row>
    <row r="1194">
      <c r="A1194" s="2" t="s">
        <v>1830</v>
      </c>
      <c r="B1194" s="2">
        <v>15.0</v>
      </c>
      <c r="C1194" s="2" t="s">
        <v>9</v>
      </c>
      <c r="D1194" s="2" t="s">
        <v>1831</v>
      </c>
      <c r="E1194" s="2">
        <v>6.0</v>
      </c>
      <c r="F1194" s="2" t="s">
        <v>10</v>
      </c>
      <c r="G1194" s="5">
        <v>2633066.0</v>
      </c>
      <c r="H1194" s="2" t="s">
        <v>1575</v>
      </c>
      <c r="I1194" s="2" t="s">
        <v>1572</v>
      </c>
      <c r="J1194" s="2">
        <v>10128.0</v>
      </c>
      <c r="K1194" s="2" t="s">
        <v>1588</v>
      </c>
      <c r="L1194" s="2"/>
      <c r="M1194" s="2"/>
      <c r="N1194" s="7">
        <v>1.0</v>
      </c>
      <c r="O1194" s="12">
        <v>23333.0</v>
      </c>
      <c r="P1194" s="11" t="s">
        <v>1649</v>
      </c>
      <c r="Q1194" s="12">
        <v>23333.0</v>
      </c>
      <c r="R1194" s="11" t="s">
        <v>1649</v>
      </c>
      <c r="S1194" s="11" t="s">
        <v>1681</v>
      </c>
      <c r="T1194" s="11" t="s">
        <v>1682</v>
      </c>
      <c r="U1194" s="2" t="s">
        <v>1574</v>
      </c>
      <c r="V1194" s="2" t="s">
        <v>1568</v>
      </c>
      <c r="W1194" s="2" t="s">
        <v>1569</v>
      </c>
      <c r="X1194" s="2" t="s">
        <v>1570</v>
      </c>
      <c r="AB1194" s="2" t="s">
        <v>1571</v>
      </c>
    </row>
    <row r="1195">
      <c r="A1195" s="2" t="s">
        <v>1830</v>
      </c>
      <c r="B1195" s="2">
        <v>15.0</v>
      </c>
      <c r="C1195" s="2" t="s">
        <v>9</v>
      </c>
      <c r="D1195" s="2" t="s">
        <v>1831</v>
      </c>
      <c r="E1195" s="2">
        <v>6.0</v>
      </c>
      <c r="F1195" s="2" t="s">
        <v>10</v>
      </c>
      <c r="G1195" s="5">
        <v>2633066.0</v>
      </c>
      <c r="H1195" s="2" t="s">
        <v>1575</v>
      </c>
      <c r="I1195" s="2" t="s">
        <v>1572</v>
      </c>
      <c r="J1195" s="2">
        <v>10026.0</v>
      </c>
      <c r="K1195" s="2" t="s">
        <v>1583</v>
      </c>
      <c r="L1195" s="2"/>
      <c r="M1195" s="2"/>
      <c r="N1195" s="7">
        <v>1.0</v>
      </c>
      <c r="O1195" s="12">
        <v>21905.0</v>
      </c>
      <c r="P1195" s="11" t="s">
        <v>1649</v>
      </c>
      <c r="Q1195" s="12">
        <v>21905.0</v>
      </c>
      <c r="R1195" s="11" t="s">
        <v>1649</v>
      </c>
      <c r="S1195" s="11" t="s">
        <v>1666</v>
      </c>
      <c r="T1195" s="11" t="s">
        <v>1667</v>
      </c>
      <c r="U1195" s="2" t="s">
        <v>1574</v>
      </c>
      <c r="V1195" s="2" t="s">
        <v>1568</v>
      </c>
      <c r="W1195" s="2" t="s">
        <v>1569</v>
      </c>
      <c r="X1195" s="2" t="s">
        <v>1570</v>
      </c>
      <c r="AB1195" s="2" t="s">
        <v>1571</v>
      </c>
    </row>
    <row r="1196">
      <c r="A1196" s="2" t="s">
        <v>1830</v>
      </c>
      <c r="B1196" s="2">
        <v>15.0</v>
      </c>
      <c r="C1196" s="2" t="s">
        <v>9</v>
      </c>
      <c r="D1196" s="2" t="s">
        <v>1831</v>
      </c>
      <c r="E1196" s="2">
        <v>6.0</v>
      </c>
      <c r="F1196" s="2" t="s">
        <v>10</v>
      </c>
      <c r="G1196" s="5">
        <v>2632700.0</v>
      </c>
      <c r="H1196" s="2" t="s">
        <v>1575</v>
      </c>
      <c r="I1196" s="2" t="s">
        <v>1565</v>
      </c>
      <c r="J1196" s="2">
        <v>10002.0</v>
      </c>
      <c r="K1196" s="2" t="s">
        <v>1576</v>
      </c>
      <c r="L1196" s="2"/>
      <c r="M1196" s="2"/>
      <c r="N1196" s="7">
        <v>1.0</v>
      </c>
      <c r="O1196" s="12">
        <v>18571.0</v>
      </c>
      <c r="P1196" s="11" t="s">
        <v>1649</v>
      </c>
      <c r="Q1196" s="12">
        <v>18571.0</v>
      </c>
      <c r="R1196" s="11" t="s">
        <v>1649</v>
      </c>
      <c r="S1196" s="11" t="s">
        <v>1656</v>
      </c>
      <c r="T1196" s="11" t="s">
        <v>1657</v>
      </c>
      <c r="U1196" s="2" t="s">
        <v>1574</v>
      </c>
      <c r="V1196" s="2" t="s">
        <v>1568</v>
      </c>
      <c r="W1196" s="2" t="s">
        <v>1569</v>
      </c>
      <c r="X1196" s="2" t="s">
        <v>1570</v>
      </c>
      <c r="AB1196" s="2" t="s">
        <v>1571</v>
      </c>
    </row>
    <row r="1197">
      <c r="A1197" s="2" t="s">
        <v>1830</v>
      </c>
      <c r="B1197" s="2">
        <v>15.0</v>
      </c>
      <c r="C1197" s="2" t="s">
        <v>9</v>
      </c>
      <c r="D1197" s="2" t="s">
        <v>1831</v>
      </c>
      <c r="E1197" s="2">
        <v>6.0</v>
      </c>
      <c r="F1197" s="2" t="s">
        <v>10</v>
      </c>
      <c r="G1197" s="5">
        <v>2632700.0</v>
      </c>
      <c r="H1197" s="2" t="s">
        <v>1575</v>
      </c>
      <c r="I1197" s="2" t="s">
        <v>1565</v>
      </c>
      <c r="J1197" s="2">
        <v>10005.0</v>
      </c>
      <c r="K1197" s="2" t="s">
        <v>1595</v>
      </c>
      <c r="L1197" s="2"/>
      <c r="M1197" s="2"/>
      <c r="N1197" s="7">
        <v>1.0</v>
      </c>
      <c r="O1197" s="12">
        <v>19524.0</v>
      </c>
      <c r="P1197" s="11" t="s">
        <v>1649</v>
      </c>
      <c r="Q1197" s="12">
        <v>19524.0</v>
      </c>
      <c r="R1197" s="11" t="s">
        <v>1649</v>
      </c>
      <c r="S1197" s="11" t="s">
        <v>1676</v>
      </c>
      <c r="T1197" s="11" t="s">
        <v>1677</v>
      </c>
      <c r="U1197" s="2" t="s">
        <v>1574</v>
      </c>
      <c r="V1197" s="2" t="s">
        <v>1568</v>
      </c>
      <c r="W1197" s="2" t="s">
        <v>1569</v>
      </c>
      <c r="X1197" s="2" t="s">
        <v>1570</v>
      </c>
      <c r="AB1197" s="2" t="s">
        <v>1571</v>
      </c>
    </row>
    <row r="1198">
      <c r="A1198" s="2" t="s">
        <v>1830</v>
      </c>
      <c r="B1198" s="2">
        <v>15.0</v>
      </c>
      <c r="C1198" s="2" t="s">
        <v>9</v>
      </c>
      <c r="D1198" s="2" t="s">
        <v>1831</v>
      </c>
      <c r="E1198" s="2">
        <v>6.0</v>
      </c>
      <c r="F1198" s="2" t="s">
        <v>10</v>
      </c>
      <c r="G1198" s="5">
        <v>2632335.0</v>
      </c>
      <c r="H1198" s="2" t="s">
        <v>1575</v>
      </c>
      <c r="I1198" s="2" t="s">
        <v>1565</v>
      </c>
      <c r="J1198" s="2">
        <v>10002.0</v>
      </c>
      <c r="K1198" s="2" t="s">
        <v>1576</v>
      </c>
      <c r="L1198" s="2"/>
      <c r="M1198" s="2"/>
      <c r="N1198" s="7">
        <v>1.0</v>
      </c>
      <c r="O1198" s="12">
        <v>18571.0</v>
      </c>
      <c r="P1198" s="11" t="s">
        <v>1649</v>
      </c>
      <c r="Q1198" s="12">
        <v>18571.0</v>
      </c>
      <c r="R1198" s="11" t="s">
        <v>1649</v>
      </c>
      <c r="S1198" s="11" t="s">
        <v>1656</v>
      </c>
      <c r="T1198" s="11" t="s">
        <v>1657</v>
      </c>
      <c r="U1198" s="2" t="s">
        <v>1574</v>
      </c>
      <c r="V1198" s="2" t="s">
        <v>1568</v>
      </c>
      <c r="W1198" s="2" t="s">
        <v>1569</v>
      </c>
      <c r="X1198" s="2" t="s">
        <v>1570</v>
      </c>
      <c r="AB1198" s="2" t="s">
        <v>1571</v>
      </c>
    </row>
    <row r="1199">
      <c r="A1199" s="2" t="s">
        <v>1830</v>
      </c>
      <c r="B1199" s="2">
        <v>15.0</v>
      </c>
      <c r="C1199" s="2" t="s">
        <v>9</v>
      </c>
      <c r="D1199" s="2" t="s">
        <v>1831</v>
      </c>
      <c r="E1199" s="2">
        <v>6.0</v>
      </c>
      <c r="F1199" s="2" t="s">
        <v>10</v>
      </c>
      <c r="G1199" s="5">
        <v>2631970.0</v>
      </c>
      <c r="H1199" s="2" t="s">
        <v>1575</v>
      </c>
      <c r="I1199" s="2" t="s">
        <v>1565</v>
      </c>
      <c r="J1199" s="2">
        <v>10054.0</v>
      </c>
      <c r="K1199" s="2" t="s">
        <v>1610</v>
      </c>
      <c r="L1199" s="2"/>
      <c r="M1199" s="2"/>
      <c r="N1199" s="7">
        <v>1.0</v>
      </c>
      <c r="O1199" s="12">
        <v>25238.0</v>
      </c>
      <c r="P1199" s="11" t="s">
        <v>1649</v>
      </c>
      <c r="Q1199" s="12">
        <v>25238.0</v>
      </c>
      <c r="R1199" s="11" t="s">
        <v>1649</v>
      </c>
      <c r="S1199" s="11" t="s">
        <v>1660</v>
      </c>
      <c r="T1199" s="11" t="s">
        <v>1680</v>
      </c>
      <c r="U1199" s="2" t="s">
        <v>1574</v>
      </c>
      <c r="V1199" s="2" t="s">
        <v>1568</v>
      </c>
      <c r="W1199" s="2" t="s">
        <v>1569</v>
      </c>
      <c r="X1199" s="2" t="s">
        <v>1570</v>
      </c>
      <c r="AB1199" s="2" t="s">
        <v>1571</v>
      </c>
    </row>
    <row r="1200">
      <c r="A1200" s="2" t="s">
        <v>1830</v>
      </c>
      <c r="B1200" s="2">
        <v>15.0</v>
      </c>
      <c r="C1200" s="2" t="s">
        <v>9</v>
      </c>
      <c r="D1200" s="2" t="s">
        <v>1831</v>
      </c>
      <c r="E1200" s="2">
        <v>6.0</v>
      </c>
      <c r="F1200" s="2" t="s">
        <v>10</v>
      </c>
      <c r="G1200" s="5">
        <v>2631970.0</v>
      </c>
      <c r="H1200" s="2" t="s">
        <v>1575</v>
      </c>
      <c r="I1200" s="2" t="s">
        <v>1578</v>
      </c>
      <c r="J1200" s="2">
        <v>10015.0</v>
      </c>
      <c r="K1200" s="2" t="s">
        <v>1587</v>
      </c>
      <c r="L1200" s="2"/>
      <c r="M1200" s="2"/>
      <c r="N1200" s="7">
        <v>1.0</v>
      </c>
      <c r="O1200" s="12">
        <v>25238.0</v>
      </c>
      <c r="P1200" s="11" t="s">
        <v>1649</v>
      </c>
      <c r="Q1200" s="12">
        <v>25238.0</v>
      </c>
      <c r="R1200" s="11" t="s">
        <v>1649</v>
      </c>
      <c r="S1200" s="11" t="s">
        <v>1660</v>
      </c>
      <c r="T1200" s="11" t="s">
        <v>1680</v>
      </c>
      <c r="U1200" s="2" t="s">
        <v>1574</v>
      </c>
      <c r="V1200" s="2" t="s">
        <v>1568</v>
      </c>
      <c r="W1200" s="2" t="s">
        <v>1569</v>
      </c>
      <c r="X1200" s="2" t="s">
        <v>1570</v>
      </c>
      <c r="AB1200" s="2" t="s">
        <v>1571</v>
      </c>
    </row>
    <row r="1201">
      <c r="A1201" s="2" t="s">
        <v>1830</v>
      </c>
      <c r="B1201" s="2">
        <v>15.0</v>
      </c>
      <c r="C1201" s="2" t="s">
        <v>9</v>
      </c>
      <c r="D1201" s="2" t="s">
        <v>1831</v>
      </c>
      <c r="E1201" s="2">
        <v>6.0</v>
      </c>
      <c r="F1201" s="2" t="s">
        <v>10</v>
      </c>
      <c r="G1201" s="5">
        <v>2631970.0</v>
      </c>
      <c r="H1201" s="2" t="s">
        <v>1575</v>
      </c>
      <c r="I1201" s="2" t="s">
        <v>1572</v>
      </c>
      <c r="J1201" s="2">
        <v>10112.0</v>
      </c>
      <c r="K1201" s="2" t="s">
        <v>1573</v>
      </c>
      <c r="L1201" s="2"/>
      <c r="M1201" s="2"/>
      <c r="N1201" s="7">
        <v>1.0</v>
      </c>
      <c r="O1201" s="12">
        <v>6667.0</v>
      </c>
      <c r="P1201" s="11" t="s">
        <v>1649</v>
      </c>
      <c r="Q1201" s="12">
        <v>6667.0</v>
      </c>
      <c r="R1201" s="11" t="s">
        <v>1649</v>
      </c>
      <c r="S1201" s="11" t="s">
        <v>1734</v>
      </c>
      <c r="T1201" s="11" t="s">
        <v>1738</v>
      </c>
      <c r="U1201" s="2" t="s">
        <v>1574</v>
      </c>
      <c r="V1201" s="2" t="s">
        <v>1568</v>
      </c>
      <c r="W1201" s="2" t="s">
        <v>1569</v>
      </c>
      <c r="X1201" s="2" t="s">
        <v>1570</v>
      </c>
      <c r="AB1201" s="2" t="s">
        <v>1571</v>
      </c>
    </row>
    <row r="1202">
      <c r="A1202" s="2" t="s">
        <v>1830</v>
      </c>
      <c r="B1202" s="2">
        <v>15.0</v>
      </c>
      <c r="C1202" s="2" t="s">
        <v>9</v>
      </c>
      <c r="D1202" s="2" t="s">
        <v>1831</v>
      </c>
      <c r="E1202" s="2">
        <v>6.0</v>
      </c>
      <c r="F1202" s="2" t="s">
        <v>10</v>
      </c>
      <c r="G1202" s="5">
        <v>2631605.0</v>
      </c>
      <c r="H1202" s="2" t="s">
        <v>1575</v>
      </c>
      <c r="I1202" s="2" t="s">
        <v>1572</v>
      </c>
      <c r="J1202" s="2">
        <v>10128.0</v>
      </c>
      <c r="K1202" s="2" t="s">
        <v>1588</v>
      </c>
      <c r="L1202" s="2"/>
      <c r="M1202" s="2"/>
      <c r="N1202" s="7">
        <v>2.0</v>
      </c>
      <c r="O1202" s="12">
        <v>46666.0</v>
      </c>
      <c r="P1202" s="11" t="s">
        <v>1649</v>
      </c>
      <c r="Q1202" s="12">
        <v>46666.0</v>
      </c>
      <c r="R1202" s="11" t="s">
        <v>1649</v>
      </c>
      <c r="S1202" s="11" t="s">
        <v>1691</v>
      </c>
      <c r="T1202" s="11" t="s">
        <v>1692</v>
      </c>
      <c r="U1202" s="2" t="s">
        <v>1574</v>
      </c>
      <c r="V1202" s="2" t="s">
        <v>1568</v>
      </c>
      <c r="W1202" s="2" t="s">
        <v>1569</v>
      </c>
      <c r="X1202" s="2" t="s">
        <v>1570</v>
      </c>
      <c r="AB1202" s="2" t="s">
        <v>1571</v>
      </c>
    </row>
    <row r="1203">
      <c r="A1203" s="2" t="s">
        <v>1830</v>
      </c>
      <c r="B1203" s="2">
        <v>15.0</v>
      </c>
      <c r="C1203" s="2" t="s">
        <v>9</v>
      </c>
      <c r="D1203" s="2" t="s">
        <v>1831</v>
      </c>
      <c r="E1203" s="2">
        <v>6.0</v>
      </c>
      <c r="F1203" s="2" t="s">
        <v>10</v>
      </c>
      <c r="G1203" s="5">
        <v>2631605.0</v>
      </c>
      <c r="H1203" s="2" t="s">
        <v>1575</v>
      </c>
      <c r="I1203" s="2" t="s">
        <v>1572</v>
      </c>
      <c r="J1203" s="2">
        <v>10067.0</v>
      </c>
      <c r="K1203" s="2" t="s">
        <v>1621</v>
      </c>
      <c r="L1203" s="2"/>
      <c r="M1203" s="2"/>
      <c r="N1203" s="7">
        <v>1.0</v>
      </c>
      <c r="O1203" s="12">
        <v>24762.0</v>
      </c>
      <c r="P1203" s="11" t="s">
        <v>1649</v>
      </c>
      <c r="Q1203" s="12">
        <v>24762.0</v>
      </c>
      <c r="R1203" s="11" t="s">
        <v>1649</v>
      </c>
      <c r="S1203" s="11" t="s">
        <v>1689</v>
      </c>
      <c r="T1203" s="11" t="s">
        <v>1693</v>
      </c>
      <c r="U1203" s="2" t="s">
        <v>1574</v>
      </c>
      <c r="V1203" s="2" t="s">
        <v>1568</v>
      </c>
      <c r="W1203" s="2" t="s">
        <v>1569</v>
      </c>
      <c r="X1203" s="2" t="s">
        <v>1570</v>
      </c>
      <c r="AB1203" s="2" t="s">
        <v>1571</v>
      </c>
    </row>
    <row r="1204">
      <c r="A1204" s="2" t="s">
        <v>1830</v>
      </c>
      <c r="B1204" s="2">
        <v>15.0</v>
      </c>
      <c r="C1204" s="2" t="s">
        <v>9</v>
      </c>
      <c r="D1204" s="2" t="s">
        <v>1831</v>
      </c>
      <c r="E1204" s="2">
        <v>6.0</v>
      </c>
      <c r="F1204" s="2" t="s">
        <v>10</v>
      </c>
      <c r="G1204" s="5">
        <v>2631605.0</v>
      </c>
      <c r="H1204" s="2" t="s">
        <v>1575</v>
      </c>
      <c r="I1204" s="2" t="s">
        <v>1565</v>
      </c>
      <c r="J1204" s="2">
        <v>10007.0</v>
      </c>
      <c r="K1204" s="2" t="s">
        <v>1576</v>
      </c>
      <c r="L1204" s="2"/>
      <c r="M1204" s="2"/>
      <c r="N1204" s="7">
        <v>2.0</v>
      </c>
      <c r="O1204" s="12">
        <v>33810.0</v>
      </c>
      <c r="P1204" s="11" t="s">
        <v>1649</v>
      </c>
      <c r="Q1204" s="12">
        <v>33810.0</v>
      </c>
      <c r="R1204" s="11" t="s">
        <v>1649</v>
      </c>
      <c r="S1204" s="11" t="s">
        <v>1701</v>
      </c>
      <c r="T1204" s="11" t="s">
        <v>1703</v>
      </c>
      <c r="U1204" s="2" t="s">
        <v>1574</v>
      </c>
      <c r="V1204" s="2" t="s">
        <v>1568</v>
      </c>
      <c r="W1204" s="2" t="s">
        <v>1569</v>
      </c>
      <c r="X1204" s="2" t="s">
        <v>1570</v>
      </c>
      <c r="AB1204" s="2" t="s">
        <v>1571</v>
      </c>
    </row>
    <row r="1205">
      <c r="A1205" s="2" t="s">
        <v>1830</v>
      </c>
      <c r="B1205" s="2">
        <v>15.0</v>
      </c>
      <c r="C1205" s="2" t="s">
        <v>9</v>
      </c>
      <c r="D1205" s="2" t="s">
        <v>1831</v>
      </c>
      <c r="E1205" s="2">
        <v>6.0</v>
      </c>
      <c r="F1205" s="2" t="s">
        <v>10</v>
      </c>
      <c r="G1205" s="5">
        <v>2631605.0</v>
      </c>
      <c r="H1205" s="2" t="s">
        <v>1575</v>
      </c>
      <c r="I1205" s="2" t="s">
        <v>1565</v>
      </c>
      <c r="J1205" s="2">
        <v>10033.0</v>
      </c>
      <c r="K1205" s="2" t="s">
        <v>1615</v>
      </c>
      <c r="L1205" s="2"/>
      <c r="M1205" s="2"/>
      <c r="N1205" s="7">
        <v>1.0</v>
      </c>
      <c r="O1205" s="12">
        <v>21905.0</v>
      </c>
      <c r="P1205" s="11" t="s">
        <v>1649</v>
      </c>
      <c r="Q1205" s="12">
        <v>21905.0</v>
      </c>
      <c r="R1205" s="11" t="s">
        <v>1649</v>
      </c>
      <c r="S1205" s="11" t="s">
        <v>1666</v>
      </c>
      <c r="T1205" s="11" t="s">
        <v>1667</v>
      </c>
      <c r="U1205" s="2" t="s">
        <v>1574</v>
      </c>
      <c r="V1205" s="2" t="s">
        <v>1568</v>
      </c>
      <c r="W1205" s="2" t="s">
        <v>1569</v>
      </c>
      <c r="X1205" s="2" t="s">
        <v>1570</v>
      </c>
      <c r="AB1205" s="2" t="s">
        <v>1571</v>
      </c>
    </row>
    <row r="1206">
      <c r="A1206" s="2" t="s">
        <v>1830</v>
      </c>
      <c r="B1206" s="2">
        <v>13.0</v>
      </c>
      <c r="C1206" s="2" t="s">
        <v>9</v>
      </c>
      <c r="D1206" s="2" t="s">
        <v>1831</v>
      </c>
      <c r="E1206" s="2">
        <v>6.0</v>
      </c>
      <c r="F1206" s="2" t="s">
        <v>10</v>
      </c>
      <c r="G1206" s="5">
        <v>2631239.0</v>
      </c>
      <c r="H1206" s="2" t="s">
        <v>1575</v>
      </c>
      <c r="I1206" s="2" t="s">
        <v>1572</v>
      </c>
      <c r="J1206" s="2">
        <v>10112.0</v>
      </c>
      <c r="K1206" s="2" t="s">
        <v>1573</v>
      </c>
      <c r="L1206" s="2"/>
      <c r="M1206" s="2"/>
      <c r="N1206" s="7">
        <v>1.0</v>
      </c>
      <c r="O1206" s="12">
        <v>6667.0</v>
      </c>
      <c r="P1206" s="11" t="s">
        <v>1649</v>
      </c>
      <c r="Q1206" s="12">
        <v>6667.0</v>
      </c>
      <c r="R1206" s="11" t="s">
        <v>1649</v>
      </c>
      <c r="S1206" s="11" t="s">
        <v>1734</v>
      </c>
      <c r="T1206" s="11" t="s">
        <v>1738</v>
      </c>
      <c r="U1206" s="2" t="s">
        <v>1574</v>
      </c>
      <c r="V1206" s="2" t="s">
        <v>1568</v>
      </c>
      <c r="W1206" s="2" t="s">
        <v>1569</v>
      </c>
      <c r="X1206" s="2" t="s">
        <v>1570</v>
      </c>
      <c r="AB1206" s="2" t="s">
        <v>1571</v>
      </c>
    </row>
    <row r="1207">
      <c r="A1207" s="2" t="s">
        <v>1830</v>
      </c>
      <c r="B1207" s="2">
        <v>13.0</v>
      </c>
      <c r="C1207" s="2" t="s">
        <v>9</v>
      </c>
      <c r="D1207" s="2" t="s">
        <v>1831</v>
      </c>
      <c r="E1207" s="2">
        <v>6.0</v>
      </c>
      <c r="F1207" s="2" t="s">
        <v>10</v>
      </c>
      <c r="G1207" s="5">
        <v>2631239.0</v>
      </c>
      <c r="H1207" s="2" t="s">
        <v>1575</v>
      </c>
      <c r="I1207" s="2" t="s">
        <v>1578</v>
      </c>
      <c r="J1207" s="2">
        <v>10014.0</v>
      </c>
      <c r="K1207" s="2" t="s">
        <v>1609</v>
      </c>
      <c r="L1207" s="2"/>
      <c r="M1207" s="2"/>
      <c r="N1207" s="7">
        <v>1.0</v>
      </c>
      <c r="O1207" s="12">
        <v>25238.0</v>
      </c>
      <c r="P1207" s="11" t="s">
        <v>1649</v>
      </c>
      <c r="Q1207" s="12">
        <v>25238.0</v>
      </c>
      <c r="R1207" s="11" t="s">
        <v>1649</v>
      </c>
      <c r="S1207" s="11" t="s">
        <v>1660</v>
      </c>
      <c r="T1207" s="11" t="s">
        <v>1680</v>
      </c>
      <c r="U1207" s="2" t="s">
        <v>1574</v>
      </c>
      <c r="V1207" s="2" t="s">
        <v>1568</v>
      </c>
      <c r="W1207" s="2" t="s">
        <v>1569</v>
      </c>
      <c r="X1207" s="2" t="s">
        <v>1570</v>
      </c>
      <c r="AB1207" s="2" t="s">
        <v>1571</v>
      </c>
    </row>
    <row r="1208">
      <c r="A1208" s="2" t="s">
        <v>1830</v>
      </c>
      <c r="B1208" s="2">
        <v>12.0</v>
      </c>
      <c r="C1208" s="2" t="s">
        <v>9</v>
      </c>
      <c r="D1208" s="2" t="s">
        <v>1831</v>
      </c>
      <c r="E1208" s="2">
        <v>6.0</v>
      </c>
      <c r="F1208" s="2" t="s">
        <v>10</v>
      </c>
      <c r="G1208" s="5">
        <v>2630874.0</v>
      </c>
      <c r="H1208" s="2" t="s">
        <v>1575</v>
      </c>
      <c r="I1208" s="2" t="s">
        <v>1572</v>
      </c>
      <c r="J1208" s="2">
        <v>10107.0</v>
      </c>
      <c r="K1208" s="2" t="s">
        <v>1584</v>
      </c>
      <c r="L1208" s="2"/>
      <c r="M1208" s="2"/>
      <c r="N1208" s="7">
        <v>2.0</v>
      </c>
      <c r="O1208" s="12">
        <v>53334.0</v>
      </c>
      <c r="P1208" s="11" t="s">
        <v>1649</v>
      </c>
      <c r="Q1208" s="12">
        <v>53334.0</v>
      </c>
      <c r="R1208" s="11" t="s">
        <v>1649</v>
      </c>
      <c r="S1208" s="11" t="s">
        <v>1783</v>
      </c>
      <c r="T1208" s="11" t="s">
        <v>1784</v>
      </c>
      <c r="U1208" s="2" t="s">
        <v>1574</v>
      </c>
      <c r="V1208" s="2" t="s">
        <v>1568</v>
      </c>
      <c r="W1208" s="2" t="s">
        <v>1569</v>
      </c>
      <c r="X1208" s="2" t="s">
        <v>1570</v>
      </c>
      <c r="AB1208" s="2" t="s">
        <v>1571</v>
      </c>
    </row>
    <row r="1209">
      <c r="A1209" s="2" t="s">
        <v>1830</v>
      </c>
      <c r="B1209" s="2">
        <v>12.0</v>
      </c>
      <c r="C1209" s="2" t="s">
        <v>9</v>
      </c>
      <c r="D1209" s="2" t="s">
        <v>1831</v>
      </c>
      <c r="E1209" s="2">
        <v>6.0</v>
      </c>
      <c r="F1209" s="2" t="s">
        <v>10</v>
      </c>
      <c r="G1209" s="5">
        <v>2630874.0</v>
      </c>
      <c r="H1209" s="2" t="s">
        <v>1575</v>
      </c>
      <c r="I1209" s="2" t="s">
        <v>1578</v>
      </c>
      <c r="J1209" s="2">
        <v>10009.0</v>
      </c>
      <c r="K1209" s="2" t="s">
        <v>1586</v>
      </c>
      <c r="L1209" s="2"/>
      <c r="M1209" s="2"/>
      <c r="N1209" s="7">
        <v>1.0</v>
      </c>
      <c r="O1209" s="12">
        <v>26667.0</v>
      </c>
      <c r="P1209" s="11" t="s">
        <v>1649</v>
      </c>
      <c r="Q1209" s="12">
        <v>26667.0</v>
      </c>
      <c r="R1209" s="11" t="s">
        <v>1649</v>
      </c>
      <c r="S1209" s="11" t="s">
        <v>1674</v>
      </c>
      <c r="T1209" s="11" t="s">
        <v>1679</v>
      </c>
      <c r="U1209" s="2" t="s">
        <v>1574</v>
      </c>
      <c r="V1209" s="2" t="s">
        <v>1568</v>
      </c>
      <c r="W1209" s="2" t="s">
        <v>1569</v>
      </c>
      <c r="X1209" s="2" t="s">
        <v>1570</v>
      </c>
      <c r="AB1209" s="2" t="s">
        <v>1571</v>
      </c>
    </row>
    <row r="1210">
      <c r="A1210" s="2" t="s">
        <v>1830</v>
      </c>
      <c r="B1210" s="2">
        <v>9.0</v>
      </c>
      <c r="C1210" s="2" t="s">
        <v>9</v>
      </c>
      <c r="D1210" s="2" t="s">
        <v>1831</v>
      </c>
      <c r="E1210" s="2">
        <v>6.0</v>
      </c>
      <c r="F1210" s="2" t="s">
        <v>10</v>
      </c>
      <c r="G1210" s="5">
        <v>2630509.0</v>
      </c>
      <c r="H1210" s="2" t="s">
        <v>1575</v>
      </c>
      <c r="I1210" s="2" t="s">
        <v>1572</v>
      </c>
      <c r="J1210" s="2">
        <v>10128.0</v>
      </c>
      <c r="K1210" s="2" t="s">
        <v>1588</v>
      </c>
      <c r="L1210" s="2"/>
      <c r="M1210" s="2"/>
      <c r="N1210" s="7">
        <v>2.0</v>
      </c>
      <c r="O1210" s="12">
        <v>46666.0</v>
      </c>
      <c r="P1210" s="11" t="s">
        <v>1649</v>
      </c>
      <c r="Q1210" s="12">
        <v>46666.0</v>
      </c>
      <c r="R1210" s="11" t="s">
        <v>1649</v>
      </c>
      <c r="S1210" s="11" t="s">
        <v>1691</v>
      </c>
      <c r="T1210" s="11" t="s">
        <v>1692</v>
      </c>
      <c r="U1210" s="2" t="s">
        <v>1574</v>
      </c>
      <c r="V1210" s="2" t="s">
        <v>1568</v>
      </c>
      <c r="W1210" s="2" t="s">
        <v>1569</v>
      </c>
      <c r="X1210" s="2" t="s">
        <v>1570</v>
      </c>
      <c r="AB1210" s="2" t="s">
        <v>1571</v>
      </c>
    </row>
    <row r="1211">
      <c r="A1211" s="2" t="s">
        <v>1830</v>
      </c>
      <c r="B1211" s="2">
        <v>9.0</v>
      </c>
      <c r="C1211" s="2" t="s">
        <v>9</v>
      </c>
      <c r="D1211" s="2" t="s">
        <v>1831</v>
      </c>
      <c r="E1211" s="2">
        <v>6.0</v>
      </c>
      <c r="F1211" s="2" t="s">
        <v>10</v>
      </c>
      <c r="G1211" s="5">
        <v>2630509.0</v>
      </c>
      <c r="H1211" s="2" t="s">
        <v>1575</v>
      </c>
      <c r="I1211" s="2" t="s">
        <v>1565</v>
      </c>
      <c r="J1211" s="2">
        <v>10033.0</v>
      </c>
      <c r="K1211" s="2" t="s">
        <v>1615</v>
      </c>
      <c r="L1211" s="2"/>
      <c r="M1211" s="2"/>
      <c r="N1211" s="7">
        <v>1.0</v>
      </c>
      <c r="O1211" s="12">
        <v>21905.0</v>
      </c>
      <c r="P1211" s="11" t="s">
        <v>1649</v>
      </c>
      <c r="Q1211" s="12">
        <v>21905.0</v>
      </c>
      <c r="R1211" s="11" t="s">
        <v>1649</v>
      </c>
      <c r="S1211" s="11" t="s">
        <v>1666</v>
      </c>
      <c r="T1211" s="11" t="s">
        <v>1687</v>
      </c>
      <c r="U1211" s="2" t="s">
        <v>1574</v>
      </c>
      <c r="V1211" s="2" t="s">
        <v>1568</v>
      </c>
      <c r="W1211" s="2" t="s">
        <v>1569</v>
      </c>
      <c r="X1211" s="2" t="s">
        <v>1570</v>
      </c>
      <c r="AB1211" s="2" t="s">
        <v>1571</v>
      </c>
    </row>
    <row r="1212">
      <c r="A1212" s="2" t="s">
        <v>1830</v>
      </c>
      <c r="B1212" s="2">
        <v>9.0</v>
      </c>
      <c r="C1212" s="2" t="s">
        <v>9</v>
      </c>
      <c r="D1212" s="2" t="s">
        <v>1831</v>
      </c>
      <c r="E1212" s="2">
        <v>6.0</v>
      </c>
      <c r="F1212" s="2" t="s">
        <v>10</v>
      </c>
      <c r="G1212" s="5">
        <v>2630509.0</v>
      </c>
      <c r="H1212" s="2" t="s">
        <v>1575</v>
      </c>
      <c r="I1212" s="2" t="s">
        <v>1578</v>
      </c>
      <c r="J1212" s="2">
        <v>10051.0</v>
      </c>
      <c r="K1212" s="2" t="s">
        <v>1579</v>
      </c>
      <c r="L1212" s="2"/>
      <c r="M1212" s="2"/>
      <c r="N1212" s="7">
        <v>1.0</v>
      </c>
      <c r="O1212" s="12">
        <v>25238.0</v>
      </c>
      <c r="P1212" s="11" t="s">
        <v>1649</v>
      </c>
      <c r="Q1212" s="12">
        <v>25238.0</v>
      </c>
      <c r="R1212" s="11" t="s">
        <v>1649</v>
      </c>
      <c r="S1212" s="11" t="s">
        <v>1660</v>
      </c>
      <c r="T1212" s="11" t="s">
        <v>1661</v>
      </c>
      <c r="U1212" s="2" t="s">
        <v>1574</v>
      </c>
      <c r="V1212" s="2" t="s">
        <v>1568</v>
      </c>
      <c r="W1212" s="2" t="s">
        <v>1569</v>
      </c>
      <c r="X1212" s="2" t="s">
        <v>1570</v>
      </c>
      <c r="AB1212" s="2" t="s">
        <v>1571</v>
      </c>
    </row>
    <row r="1213">
      <c r="A1213" s="2" t="s">
        <v>1830</v>
      </c>
      <c r="B1213" s="2">
        <v>9.0</v>
      </c>
      <c r="C1213" s="2" t="s">
        <v>9</v>
      </c>
      <c r="D1213" s="2" t="s">
        <v>1831</v>
      </c>
      <c r="E1213" s="2">
        <v>6.0</v>
      </c>
      <c r="F1213" s="2" t="s">
        <v>10</v>
      </c>
      <c r="G1213" s="5">
        <v>2630509.0</v>
      </c>
      <c r="H1213" s="2" t="s">
        <v>1575</v>
      </c>
      <c r="I1213" s="2" t="s">
        <v>1565</v>
      </c>
      <c r="J1213" s="2">
        <v>10002.0</v>
      </c>
      <c r="K1213" s="2" t="s">
        <v>1576</v>
      </c>
      <c r="L1213" s="2"/>
      <c r="M1213" s="2"/>
      <c r="N1213" s="7">
        <v>1.0</v>
      </c>
      <c r="O1213" s="12">
        <v>18571.0</v>
      </c>
      <c r="P1213" s="11" t="s">
        <v>1649</v>
      </c>
      <c r="Q1213" s="12">
        <v>18571.0</v>
      </c>
      <c r="R1213" s="11" t="s">
        <v>1649</v>
      </c>
      <c r="S1213" s="11" t="s">
        <v>1656</v>
      </c>
      <c r="T1213" s="11" t="s">
        <v>1657</v>
      </c>
      <c r="U1213" s="2" t="s">
        <v>1574</v>
      </c>
      <c r="V1213" s="2" t="s">
        <v>1568</v>
      </c>
      <c r="W1213" s="2" t="s">
        <v>1569</v>
      </c>
      <c r="X1213" s="2" t="s">
        <v>1570</v>
      </c>
      <c r="AB1213" s="2" t="s">
        <v>1571</v>
      </c>
    </row>
    <row r="1214">
      <c r="A1214" s="2" t="s">
        <v>1832</v>
      </c>
      <c r="B1214" s="2">
        <v>19.0</v>
      </c>
      <c r="C1214" s="2" t="s">
        <v>8</v>
      </c>
      <c r="D1214" s="2" t="s">
        <v>1833</v>
      </c>
      <c r="E1214" s="2">
        <v>5.0</v>
      </c>
      <c r="F1214" s="2" t="s">
        <v>4</v>
      </c>
      <c r="G1214" s="5">
        <v>2630144.0</v>
      </c>
      <c r="H1214" s="2" t="s">
        <v>1575</v>
      </c>
      <c r="I1214" s="2" t="s">
        <v>1572</v>
      </c>
      <c r="J1214" s="2">
        <v>10112.0</v>
      </c>
      <c r="K1214" s="2" t="s">
        <v>1573</v>
      </c>
      <c r="L1214" s="2"/>
      <c r="M1214" s="2"/>
      <c r="N1214" s="7">
        <v>1.0</v>
      </c>
      <c r="O1214" s="12">
        <v>6667.0</v>
      </c>
      <c r="P1214" s="11" t="s">
        <v>1649</v>
      </c>
      <c r="Q1214" s="12">
        <v>6667.0</v>
      </c>
      <c r="R1214" s="11" t="s">
        <v>1649</v>
      </c>
      <c r="S1214" s="11" t="s">
        <v>1734</v>
      </c>
      <c r="T1214" s="11" t="s">
        <v>1738</v>
      </c>
      <c r="U1214" s="2" t="s">
        <v>1574</v>
      </c>
      <c r="V1214" s="2" t="s">
        <v>1568</v>
      </c>
      <c r="W1214" s="2" t="s">
        <v>1569</v>
      </c>
      <c r="X1214" s="2" t="s">
        <v>1570</v>
      </c>
      <c r="AB1214" s="2" t="s">
        <v>1571</v>
      </c>
    </row>
    <row r="1215">
      <c r="A1215" s="2" t="s">
        <v>1832</v>
      </c>
      <c r="B1215" s="2">
        <v>17.0</v>
      </c>
      <c r="C1215" s="2" t="s">
        <v>8</v>
      </c>
      <c r="D1215" s="2" t="s">
        <v>1833</v>
      </c>
      <c r="E1215" s="2">
        <v>5.0</v>
      </c>
      <c r="F1215" s="2" t="s">
        <v>4</v>
      </c>
      <c r="G1215" s="5">
        <v>2629779.0</v>
      </c>
      <c r="H1215" s="2" t="s">
        <v>1575</v>
      </c>
      <c r="I1215" s="2" t="s">
        <v>1578</v>
      </c>
      <c r="J1215" s="2">
        <v>10011.0</v>
      </c>
      <c r="K1215" s="2" t="s">
        <v>1605</v>
      </c>
      <c r="L1215" s="2"/>
      <c r="M1215" s="2"/>
      <c r="N1215" s="7">
        <v>1.0</v>
      </c>
      <c r="O1215" s="12">
        <v>25238.0</v>
      </c>
      <c r="P1215" s="11" t="s">
        <v>1649</v>
      </c>
      <c r="Q1215" s="12">
        <v>25238.0</v>
      </c>
      <c r="R1215" s="11" t="s">
        <v>1649</v>
      </c>
      <c r="S1215" s="11" t="s">
        <v>1660</v>
      </c>
      <c r="T1215" s="11" t="s">
        <v>1680</v>
      </c>
      <c r="U1215" s="2" t="s">
        <v>1574</v>
      </c>
      <c r="V1215" s="2" t="s">
        <v>1568</v>
      </c>
      <c r="W1215" s="2" t="s">
        <v>1569</v>
      </c>
      <c r="X1215" s="2" t="s">
        <v>1570</v>
      </c>
      <c r="AB1215" s="2" t="s">
        <v>1571</v>
      </c>
    </row>
    <row r="1216">
      <c r="A1216" s="2" t="s">
        <v>1832</v>
      </c>
      <c r="B1216" s="2">
        <v>17.0</v>
      </c>
      <c r="C1216" s="2" t="s">
        <v>8</v>
      </c>
      <c r="D1216" s="2" t="s">
        <v>1833</v>
      </c>
      <c r="E1216" s="2">
        <v>5.0</v>
      </c>
      <c r="F1216" s="2" t="s">
        <v>4</v>
      </c>
      <c r="G1216" s="5">
        <v>2629779.0</v>
      </c>
      <c r="H1216" s="2" t="s">
        <v>1575</v>
      </c>
      <c r="I1216" s="2" t="s">
        <v>1565</v>
      </c>
      <c r="J1216" s="2">
        <v>10002.0</v>
      </c>
      <c r="K1216" s="2" t="s">
        <v>1576</v>
      </c>
      <c r="L1216" s="2"/>
      <c r="M1216" s="2"/>
      <c r="N1216" s="7">
        <v>1.0</v>
      </c>
      <c r="O1216" s="12">
        <v>18571.0</v>
      </c>
      <c r="P1216" s="11" t="s">
        <v>1649</v>
      </c>
      <c r="Q1216" s="12">
        <v>18571.0</v>
      </c>
      <c r="R1216" s="11" t="s">
        <v>1649</v>
      </c>
      <c r="S1216" s="11" t="s">
        <v>1656</v>
      </c>
      <c r="T1216" s="11" t="s">
        <v>1688</v>
      </c>
      <c r="U1216" s="2" t="s">
        <v>1574</v>
      </c>
      <c r="V1216" s="2" t="s">
        <v>1568</v>
      </c>
      <c r="W1216" s="2" t="s">
        <v>1569</v>
      </c>
      <c r="X1216" s="2" t="s">
        <v>1570</v>
      </c>
      <c r="AB1216" s="2" t="s">
        <v>1571</v>
      </c>
    </row>
    <row r="1217">
      <c r="A1217" s="2" t="s">
        <v>1832</v>
      </c>
      <c r="B1217" s="2">
        <v>17.0</v>
      </c>
      <c r="C1217" s="2" t="s">
        <v>8</v>
      </c>
      <c r="D1217" s="2" t="s">
        <v>1833</v>
      </c>
      <c r="E1217" s="2">
        <v>5.0</v>
      </c>
      <c r="F1217" s="2" t="s">
        <v>4</v>
      </c>
      <c r="G1217" s="5">
        <v>2629414.0</v>
      </c>
      <c r="H1217" s="2" t="s">
        <v>1575</v>
      </c>
      <c r="I1217" s="2" t="s">
        <v>1565</v>
      </c>
      <c r="J1217" s="2">
        <v>10007.0</v>
      </c>
      <c r="K1217" s="2" t="s">
        <v>1576</v>
      </c>
      <c r="L1217" s="2"/>
      <c r="M1217" s="2"/>
      <c r="N1217" s="7">
        <v>2.0</v>
      </c>
      <c r="O1217" s="12">
        <v>33810.0</v>
      </c>
      <c r="P1217" s="11" t="s">
        <v>1649</v>
      </c>
      <c r="Q1217" s="12">
        <v>33810.0</v>
      </c>
      <c r="R1217" s="11" t="s">
        <v>1649</v>
      </c>
      <c r="S1217" s="11" t="s">
        <v>1701</v>
      </c>
      <c r="T1217" s="11" t="s">
        <v>1703</v>
      </c>
      <c r="U1217" s="2" t="s">
        <v>1574</v>
      </c>
      <c r="V1217" s="2" t="s">
        <v>1568</v>
      </c>
      <c r="W1217" s="2" t="s">
        <v>1569</v>
      </c>
      <c r="X1217" s="2" t="s">
        <v>1570</v>
      </c>
      <c r="AB1217" s="2" t="s">
        <v>1571</v>
      </c>
    </row>
    <row r="1218">
      <c r="A1218" s="2" t="s">
        <v>1832</v>
      </c>
      <c r="B1218" s="2">
        <v>17.0</v>
      </c>
      <c r="C1218" s="2" t="s">
        <v>8</v>
      </c>
      <c r="D1218" s="2" t="s">
        <v>1833</v>
      </c>
      <c r="E1218" s="2">
        <v>5.0</v>
      </c>
      <c r="F1218" s="2" t="s">
        <v>4</v>
      </c>
      <c r="G1218" s="5">
        <v>2629414.0</v>
      </c>
      <c r="H1218" s="2" t="s">
        <v>1575</v>
      </c>
      <c r="I1218" s="2" t="s">
        <v>1565</v>
      </c>
      <c r="J1218" s="2">
        <v>10055.0</v>
      </c>
      <c r="K1218" s="2" t="s">
        <v>1595</v>
      </c>
      <c r="L1218" s="2"/>
      <c r="M1218" s="2"/>
      <c r="N1218" s="7">
        <v>2.0</v>
      </c>
      <c r="O1218" s="12">
        <v>34762.0</v>
      </c>
      <c r="P1218" s="11" t="s">
        <v>1649</v>
      </c>
      <c r="Q1218" s="12">
        <v>34762.0</v>
      </c>
      <c r="R1218" s="11" t="s">
        <v>1649</v>
      </c>
      <c r="S1218" s="11" t="s">
        <v>1670</v>
      </c>
      <c r="T1218" s="11" t="s">
        <v>1671</v>
      </c>
      <c r="U1218" s="2" t="s">
        <v>1574</v>
      </c>
      <c r="V1218" s="2" t="s">
        <v>1568</v>
      </c>
      <c r="W1218" s="2" t="s">
        <v>1569</v>
      </c>
      <c r="X1218" s="2" t="s">
        <v>1570</v>
      </c>
      <c r="AB1218" s="2" t="s">
        <v>1571</v>
      </c>
    </row>
    <row r="1219">
      <c r="A1219" s="2" t="s">
        <v>1832</v>
      </c>
      <c r="B1219" s="2">
        <v>16.0</v>
      </c>
      <c r="C1219" s="2" t="s">
        <v>8</v>
      </c>
      <c r="D1219" s="2" t="s">
        <v>1833</v>
      </c>
      <c r="E1219" s="2">
        <v>5.0</v>
      </c>
      <c r="F1219" s="2" t="s">
        <v>4</v>
      </c>
      <c r="G1219" s="5">
        <v>2629049.0</v>
      </c>
      <c r="H1219" s="2" t="s">
        <v>1575</v>
      </c>
      <c r="I1219" s="2" t="s">
        <v>1572</v>
      </c>
      <c r="J1219" s="2">
        <v>10128.0</v>
      </c>
      <c r="K1219" s="2" t="s">
        <v>1588</v>
      </c>
      <c r="L1219" s="2"/>
      <c r="M1219" s="2"/>
      <c r="N1219" s="7">
        <v>1.0</v>
      </c>
      <c r="O1219" s="12">
        <v>23333.0</v>
      </c>
      <c r="P1219" s="11" t="s">
        <v>1649</v>
      </c>
      <c r="Q1219" s="12">
        <v>23333.0</v>
      </c>
      <c r="R1219" s="11" t="s">
        <v>1649</v>
      </c>
      <c r="S1219" s="11" t="s">
        <v>1681</v>
      </c>
      <c r="T1219" s="11" t="s">
        <v>1682</v>
      </c>
      <c r="U1219" s="2" t="s">
        <v>1574</v>
      </c>
      <c r="V1219" s="2" t="s">
        <v>1568</v>
      </c>
      <c r="W1219" s="2" t="s">
        <v>1569</v>
      </c>
      <c r="X1219" s="2" t="s">
        <v>1570</v>
      </c>
      <c r="AB1219" s="2" t="s">
        <v>1571</v>
      </c>
    </row>
    <row r="1220">
      <c r="A1220" s="2" t="s">
        <v>1832</v>
      </c>
      <c r="B1220" s="2">
        <v>16.0</v>
      </c>
      <c r="C1220" s="2" t="s">
        <v>8</v>
      </c>
      <c r="D1220" s="2" t="s">
        <v>1833</v>
      </c>
      <c r="E1220" s="2">
        <v>5.0</v>
      </c>
      <c r="F1220" s="2" t="s">
        <v>4</v>
      </c>
      <c r="G1220" s="5">
        <v>2628684.0</v>
      </c>
      <c r="H1220" s="2" t="s">
        <v>1575</v>
      </c>
      <c r="I1220" s="2" t="s">
        <v>1565</v>
      </c>
      <c r="J1220" s="2">
        <v>10002.0</v>
      </c>
      <c r="K1220" s="2" t="s">
        <v>1576</v>
      </c>
      <c r="L1220" s="2"/>
      <c r="M1220" s="2"/>
      <c r="N1220" s="7">
        <v>1.0</v>
      </c>
      <c r="O1220" s="12">
        <v>18571.0</v>
      </c>
      <c r="P1220" s="11" t="s">
        <v>1649</v>
      </c>
      <c r="Q1220" s="12">
        <v>18571.0</v>
      </c>
      <c r="R1220" s="11" t="s">
        <v>1649</v>
      </c>
      <c r="S1220" s="11" t="s">
        <v>1656</v>
      </c>
      <c r="T1220" s="11" t="s">
        <v>1657</v>
      </c>
      <c r="U1220" s="2" t="s">
        <v>1574</v>
      </c>
      <c r="V1220" s="2" t="s">
        <v>1568</v>
      </c>
      <c r="W1220" s="2" t="s">
        <v>1569</v>
      </c>
      <c r="X1220" s="2" t="s">
        <v>1570</v>
      </c>
      <c r="AB1220" s="2" t="s">
        <v>1571</v>
      </c>
    </row>
    <row r="1221">
      <c r="A1221" s="2" t="s">
        <v>1832</v>
      </c>
      <c r="B1221" s="2">
        <v>16.0</v>
      </c>
      <c r="C1221" s="2" t="s">
        <v>8</v>
      </c>
      <c r="D1221" s="2" t="s">
        <v>1833</v>
      </c>
      <c r="E1221" s="2">
        <v>5.0</v>
      </c>
      <c r="F1221" s="2" t="s">
        <v>4</v>
      </c>
      <c r="G1221" s="5">
        <v>2628684.0</v>
      </c>
      <c r="H1221" s="2" t="s">
        <v>1575</v>
      </c>
      <c r="I1221" s="2" t="s">
        <v>1572</v>
      </c>
      <c r="J1221" s="2">
        <v>10065.0</v>
      </c>
      <c r="K1221" s="2" t="s">
        <v>1633</v>
      </c>
      <c r="L1221" s="2"/>
      <c r="M1221" s="2"/>
      <c r="N1221" s="7">
        <v>1.0</v>
      </c>
      <c r="O1221" s="12">
        <v>23810.0</v>
      </c>
      <c r="P1221" s="11" t="s">
        <v>1649</v>
      </c>
      <c r="Q1221" s="12">
        <v>23810.0</v>
      </c>
      <c r="R1221" s="11" t="s">
        <v>1649</v>
      </c>
      <c r="S1221" s="11" t="s">
        <v>1709</v>
      </c>
      <c r="T1221" s="11" t="s">
        <v>1737</v>
      </c>
      <c r="U1221" s="2" t="s">
        <v>1574</v>
      </c>
      <c r="V1221" s="2" t="s">
        <v>1568</v>
      </c>
      <c r="W1221" s="2" t="s">
        <v>1569</v>
      </c>
      <c r="X1221" s="2" t="s">
        <v>1570</v>
      </c>
      <c r="AB1221" s="2" t="s">
        <v>1571</v>
      </c>
    </row>
    <row r="1222">
      <c r="A1222" s="2" t="s">
        <v>1832</v>
      </c>
      <c r="B1222" s="2">
        <v>16.0</v>
      </c>
      <c r="C1222" s="2" t="s">
        <v>8</v>
      </c>
      <c r="D1222" s="2" t="s">
        <v>1833</v>
      </c>
      <c r="E1222" s="2">
        <v>5.0</v>
      </c>
      <c r="F1222" s="2" t="s">
        <v>4</v>
      </c>
      <c r="G1222" s="5">
        <v>2628684.0</v>
      </c>
      <c r="H1222" s="2" t="s">
        <v>1575</v>
      </c>
      <c r="I1222" s="2" t="s">
        <v>1578</v>
      </c>
      <c r="J1222" s="2">
        <v>10014.0</v>
      </c>
      <c r="K1222" s="2" t="s">
        <v>1609</v>
      </c>
      <c r="L1222" s="2"/>
      <c r="M1222" s="2"/>
      <c r="N1222" s="7">
        <v>1.0</v>
      </c>
      <c r="O1222" s="12">
        <v>25238.0</v>
      </c>
      <c r="P1222" s="11" t="s">
        <v>1649</v>
      </c>
      <c r="Q1222" s="12">
        <v>25238.0</v>
      </c>
      <c r="R1222" s="11" t="s">
        <v>1649</v>
      </c>
      <c r="S1222" s="11" t="s">
        <v>1660</v>
      </c>
      <c r="T1222" s="11" t="s">
        <v>1680</v>
      </c>
      <c r="U1222" s="2" t="s">
        <v>1574</v>
      </c>
      <c r="V1222" s="2" t="s">
        <v>1568</v>
      </c>
      <c r="W1222" s="2" t="s">
        <v>1569</v>
      </c>
      <c r="X1222" s="2" t="s">
        <v>1570</v>
      </c>
      <c r="AB1222" s="2" t="s">
        <v>1571</v>
      </c>
    </row>
    <row r="1223">
      <c r="A1223" s="2" t="s">
        <v>1832</v>
      </c>
      <c r="B1223" s="2">
        <v>16.0</v>
      </c>
      <c r="C1223" s="2" t="s">
        <v>8</v>
      </c>
      <c r="D1223" s="2" t="s">
        <v>1833</v>
      </c>
      <c r="E1223" s="2">
        <v>5.0</v>
      </c>
      <c r="F1223" s="2" t="s">
        <v>4</v>
      </c>
      <c r="G1223" s="5">
        <v>2628318.0</v>
      </c>
      <c r="H1223" s="2" t="s">
        <v>1575</v>
      </c>
      <c r="I1223" s="2" t="s">
        <v>1565</v>
      </c>
      <c r="J1223" s="2">
        <v>10054.0</v>
      </c>
      <c r="K1223" s="2" t="s">
        <v>1610</v>
      </c>
      <c r="L1223" s="2"/>
      <c r="M1223" s="2"/>
      <c r="N1223" s="7">
        <v>1.0</v>
      </c>
      <c r="O1223" s="12">
        <v>25238.0</v>
      </c>
      <c r="P1223" s="11" t="s">
        <v>1649</v>
      </c>
      <c r="Q1223" s="12">
        <v>25238.0</v>
      </c>
      <c r="R1223" s="11" t="s">
        <v>1649</v>
      </c>
      <c r="S1223" s="11" t="s">
        <v>1660</v>
      </c>
      <c r="T1223" s="11" t="s">
        <v>1680</v>
      </c>
      <c r="U1223" s="2" t="s">
        <v>1574</v>
      </c>
      <c r="V1223" s="2" t="s">
        <v>1568</v>
      </c>
      <c r="W1223" s="2" t="s">
        <v>1569</v>
      </c>
      <c r="X1223" s="2" t="s">
        <v>1570</v>
      </c>
      <c r="AB1223" s="2" t="s">
        <v>1571</v>
      </c>
    </row>
    <row r="1224">
      <c r="A1224" s="2" t="s">
        <v>1832</v>
      </c>
      <c r="B1224" s="2">
        <v>16.0</v>
      </c>
      <c r="C1224" s="2" t="s">
        <v>8</v>
      </c>
      <c r="D1224" s="2" t="s">
        <v>1833</v>
      </c>
      <c r="E1224" s="2">
        <v>5.0</v>
      </c>
      <c r="F1224" s="2" t="s">
        <v>4</v>
      </c>
      <c r="G1224" s="5">
        <v>2628318.0</v>
      </c>
      <c r="H1224" s="2" t="s">
        <v>1575</v>
      </c>
      <c r="I1224" s="2" t="s">
        <v>1565</v>
      </c>
      <c r="J1224" s="2">
        <v>10042.0</v>
      </c>
      <c r="K1224" s="2" t="s">
        <v>1634</v>
      </c>
      <c r="L1224" s="2"/>
      <c r="M1224" s="2"/>
      <c r="N1224" s="7">
        <v>1.0</v>
      </c>
      <c r="O1224" s="12">
        <v>9524.0</v>
      </c>
      <c r="P1224" s="11" t="s">
        <v>1649</v>
      </c>
      <c r="Q1224" s="12">
        <v>9524.0</v>
      </c>
      <c r="R1224" s="11" t="s">
        <v>1649</v>
      </c>
      <c r="S1224" s="11" t="s">
        <v>1834</v>
      </c>
      <c r="T1224" s="11" t="s">
        <v>1835</v>
      </c>
      <c r="U1224" s="2" t="s">
        <v>1574</v>
      </c>
      <c r="V1224" s="2" t="s">
        <v>1568</v>
      </c>
      <c r="W1224" s="2" t="s">
        <v>1569</v>
      </c>
      <c r="X1224" s="2" t="s">
        <v>1570</v>
      </c>
      <c r="AB1224" s="2" t="s">
        <v>1571</v>
      </c>
    </row>
    <row r="1225">
      <c r="A1225" s="2" t="s">
        <v>1832</v>
      </c>
      <c r="B1225" s="2">
        <v>16.0</v>
      </c>
      <c r="C1225" s="2" t="s">
        <v>8</v>
      </c>
      <c r="D1225" s="2" t="s">
        <v>1833</v>
      </c>
      <c r="E1225" s="2">
        <v>5.0</v>
      </c>
      <c r="F1225" s="2" t="s">
        <v>4</v>
      </c>
      <c r="G1225" s="5">
        <v>2628318.0</v>
      </c>
      <c r="H1225" s="2" t="s">
        <v>1575</v>
      </c>
      <c r="I1225" s="2" t="s">
        <v>1572</v>
      </c>
      <c r="J1225" s="2">
        <v>10112.0</v>
      </c>
      <c r="K1225" s="2" t="s">
        <v>1573</v>
      </c>
      <c r="L1225" s="2"/>
      <c r="M1225" s="2"/>
      <c r="N1225" s="7">
        <v>1.0</v>
      </c>
      <c r="O1225" s="12">
        <v>6667.0</v>
      </c>
      <c r="P1225" s="11" t="s">
        <v>1649</v>
      </c>
      <c r="Q1225" s="12">
        <v>6667.0</v>
      </c>
      <c r="R1225" s="11" t="s">
        <v>1649</v>
      </c>
      <c r="S1225" s="11" t="s">
        <v>1734</v>
      </c>
      <c r="T1225" s="11" t="s">
        <v>1738</v>
      </c>
      <c r="U1225" s="2" t="s">
        <v>1574</v>
      </c>
      <c r="V1225" s="2" t="s">
        <v>1568</v>
      </c>
      <c r="W1225" s="2" t="s">
        <v>1569</v>
      </c>
      <c r="X1225" s="2" t="s">
        <v>1570</v>
      </c>
      <c r="AB1225" s="2" t="s">
        <v>1571</v>
      </c>
    </row>
    <row r="1226">
      <c r="A1226" s="2" t="s">
        <v>1832</v>
      </c>
      <c r="B1226" s="2">
        <v>16.0</v>
      </c>
      <c r="C1226" s="2" t="s">
        <v>8</v>
      </c>
      <c r="D1226" s="2" t="s">
        <v>1833</v>
      </c>
      <c r="E1226" s="2">
        <v>5.0</v>
      </c>
      <c r="F1226" s="2" t="s">
        <v>4</v>
      </c>
      <c r="G1226" s="5">
        <v>2628318.0</v>
      </c>
      <c r="H1226" s="2" t="s">
        <v>1575</v>
      </c>
      <c r="I1226" s="2" t="s">
        <v>1572</v>
      </c>
      <c r="J1226" s="2">
        <v>10117.0</v>
      </c>
      <c r="K1226" s="2" t="s">
        <v>1589</v>
      </c>
      <c r="L1226" s="2"/>
      <c r="M1226" s="2"/>
      <c r="N1226" s="7">
        <v>1.0</v>
      </c>
      <c r="O1226" s="12">
        <v>14286.0</v>
      </c>
      <c r="P1226" s="11" t="s">
        <v>1649</v>
      </c>
      <c r="Q1226" s="12">
        <v>14286.0</v>
      </c>
      <c r="R1226" s="11" t="s">
        <v>1649</v>
      </c>
      <c r="S1226" s="11" t="s">
        <v>1685</v>
      </c>
      <c r="T1226" s="11" t="s">
        <v>1708</v>
      </c>
      <c r="U1226" s="2" t="s">
        <v>1574</v>
      </c>
      <c r="V1226" s="2" t="s">
        <v>1568</v>
      </c>
      <c r="W1226" s="2" t="s">
        <v>1569</v>
      </c>
      <c r="X1226" s="2" t="s">
        <v>1570</v>
      </c>
      <c r="AB1226" s="2" t="s">
        <v>1571</v>
      </c>
    </row>
    <row r="1227">
      <c r="A1227" s="2" t="s">
        <v>1832</v>
      </c>
      <c r="B1227" s="2">
        <v>16.0</v>
      </c>
      <c r="C1227" s="2" t="s">
        <v>8</v>
      </c>
      <c r="D1227" s="2" t="s">
        <v>1833</v>
      </c>
      <c r="E1227" s="2">
        <v>5.0</v>
      </c>
      <c r="F1227" s="2" t="s">
        <v>4</v>
      </c>
      <c r="G1227" s="5">
        <v>2628318.0</v>
      </c>
      <c r="H1227" s="2" t="s">
        <v>1575</v>
      </c>
      <c r="I1227" s="2" t="s">
        <v>1572</v>
      </c>
      <c r="J1227" s="2">
        <v>10128.0</v>
      </c>
      <c r="K1227" s="2" t="s">
        <v>1588</v>
      </c>
      <c r="L1227" s="2"/>
      <c r="M1227" s="2"/>
      <c r="N1227" s="7">
        <v>1.0</v>
      </c>
      <c r="O1227" s="12">
        <v>23333.0</v>
      </c>
      <c r="P1227" s="11" t="s">
        <v>1649</v>
      </c>
      <c r="Q1227" s="12">
        <v>23333.0</v>
      </c>
      <c r="R1227" s="11" t="s">
        <v>1649</v>
      </c>
      <c r="S1227" s="11" t="s">
        <v>1681</v>
      </c>
      <c r="T1227" s="11" t="s">
        <v>1715</v>
      </c>
      <c r="U1227" s="2" t="s">
        <v>1574</v>
      </c>
      <c r="V1227" s="2" t="s">
        <v>1568</v>
      </c>
      <c r="W1227" s="2" t="s">
        <v>1569</v>
      </c>
      <c r="X1227" s="2" t="s">
        <v>1570</v>
      </c>
      <c r="AB1227" s="2" t="s">
        <v>1571</v>
      </c>
    </row>
    <row r="1228">
      <c r="A1228" s="2" t="s">
        <v>1832</v>
      </c>
      <c r="B1228" s="2">
        <v>16.0</v>
      </c>
      <c r="C1228" s="2" t="s">
        <v>8</v>
      </c>
      <c r="D1228" s="2" t="s">
        <v>1833</v>
      </c>
      <c r="E1228" s="2">
        <v>5.0</v>
      </c>
      <c r="F1228" s="2" t="s">
        <v>4</v>
      </c>
      <c r="G1228" s="5">
        <v>2627953.0</v>
      </c>
      <c r="H1228" s="2" t="s">
        <v>1575</v>
      </c>
      <c r="I1228" s="2" t="s">
        <v>1572</v>
      </c>
      <c r="J1228" s="2">
        <v>10128.0</v>
      </c>
      <c r="K1228" s="2" t="s">
        <v>1588</v>
      </c>
      <c r="L1228" s="2"/>
      <c r="M1228" s="2"/>
      <c r="N1228" s="7">
        <v>2.0</v>
      </c>
      <c r="O1228" s="12">
        <v>46666.0</v>
      </c>
      <c r="P1228" s="11" t="s">
        <v>1649</v>
      </c>
      <c r="Q1228" s="12">
        <v>46666.0</v>
      </c>
      <c r="R1228" s="11" t="s">
        <v>1649</v>
      </c>
      <c r="S1228" s="11" t="s">
        <v>1691</v>
      </c>
      <c r="T1228" s="11" t="s">
        <v>1692</v>
      </c>
      <c r="U1228" s="2" t="s">
        <v>1574</v>
      </c>
      <c r="V1228" s="2" t="s">
        <v>1568</v>
      </c>
      <c r="W1228" s="2" t="s">
        <v>1569</v>
      </c>
      <c r="X1228" s="2" t="s">
        <v>1570</v>
      </c>
      <c r="AB1228" s="2" t="s">
        <v>1571</v>
      </c>
    </row>
    <row r="1229">
      <c r="A1229" s="2" t="s">
        <v>1832</v>
      </c>
      <c r="B1229" s="2">
        <v>16.0</v>
      </c>
      <c r="C1229" s="2" t="s">
        <v>8</v>
      </c>
      <c r="D1229" s="2" t="s">
        <v>1833</v>
      </c>
      <c r="E1229" s="2">
        <v>5.0</v>
      </c>
      <c r="F1229" s="2" t="s">
        <v>4</v>
      </c>
      <c r="G1229" s="5">
        <v>2627953.0</v>
      </c>
      <c r="H1229" s="2" t="s">
        <v>1575</v>
      </c>
      <c r="I1229" s="2" t="s">
        <v>1565</v>
      </c>
      <c r="J1229" s="2">
        <v>10007.0</v>
      </c>
      <c r="K1229" s="2" t="s">
        <v>1576</v>
      </c>
      <c r="L1229" s="2"/>
      <c r="M1229" s="2"/>
      <c r="N1229" s="7">
        <v>2.0</v>
      </c>
      <c r="O1229" s="12">
        <v>33810.0</v>
      </c>
      <c r="P1229" s="11" t="s">
        <v>1649</v>
      </c>
      <c r="Q1229" s="12">
        <v>33810.0</v>
      </c>
      <c r="R1229" s="11" t="s">
        <v>1649</v>
      </c>
      <c r="S1229" s="11" t="s">
        <v>1701</v>
      </c>
      <c r="T1229" s="11" t="s">
        <v>1703</v>
      </c>
      <c r="U1229" s="2" t="s">
        <v>1574</v>
      </c>
      <c r="V1229" s="2" t="s">
        <v>1568</v>
      </c>
      <c r="W1229" s="2" t="s">
        <v>1569</v>
      </c>
      <c r="X1229" s="2" t="s">
        <v>1570</v>
      </c>
      <c r="AB1229" s="2" t="s">
        <v>1571</v>
      </c>
    </row>
    <row r="1230">
      <c r="A1230" s="2" t="s">
        <v>1832</v>
      </c>
      <c r="B1230" s="2">
        <v>16.0</v>
      </c>
      <c r="C1230" s="2" t="s">
        <v>8</v>
      </c>
      <c r="D1230" s="2" t="s">
        <v>1833</v>
      </c>
      <c r="E1230" s="2">
        <v>5.0</v>
      </c>
      <c r="F1230" s="2" t="s">
        <v>4</v>
      </c>
      <c r="G1230" s="5">
        <v>2627953.0</v>
      </c>
      <c r="H1230" s="2" t="s">
        <v>1575</v>
      </c>
      <c r="I1230" s="2" t="s">
        <v>1565</v>
      </c>
      <c r="J1230" s="2">
        <v>10002.0</v>
      </c>
      <c r="K1230" s="2" t="s">
        <v>1576</v>
      </c>
      <c r="L1230" s="2"/>
      <c r="M1230" s="2"/>
      <c r="N1230" s="7">
        <v>1.0</v>
      </c>
      <c r="O1230" s="12">
        <v>18571.0</v>
      </c>
      <c r="P1230" s="11" t="s">
        <v>1649</v>
      </c>
      <c r="Q1230" s="12">
        <v>18571.0</v>
      </c>
      <c r="R1230" s="11" t="s">
        <v>1649</v>
      </c>
      <c r="S1230" s="11" t="s">
        <v>1656</v>
      </c>
      <c r="T1230" s="11" t="s">
        <v>1688</v>
      </c>
      <c r="U1230" s="2" t="s">
        <v>1574</v>
      </c>
      <c r="V1230" s="2" t="s">
        <v>1568</v>
      </c>
      <c r="W1230" s="2" t="s">
        <v>1569</v>
      </c>
      <c r="X1230" s="2" t="s">
        <v>1570</v>
      </c>
      <c r="AB1230" s="2" t="s">
        <v>1571</v>
      </c>
    </row>
    <row r="1231">
      <c r="A1231" s="2" t="s">
        <v>1832</v>
      </c>
      <c r="B1231" s="2">
        <v>16.0</v>
      </c>
      <c r="C1231" s="2" t="s">
        <v>8</v>
      </c>
      <c r="D1231" s="2" t="s">
        <v>1833</v>
      </c>
      <c r="E1231" s="2">
        <v>5.0</v>
      </c>
      <c r="F1231" s="2" t="s">
        <v>4</v>
      </c>
      <c r="G1231" s="5">
        <v>2627953.0</v>
      </c>
      <c r="H1231" s="2" t="s">
        <v>1575</v>
      </c>
      <c r="I1231" s="2" t="s">
        <v>1580</v>
      </c>
      <c r="J1231" s="2">
        <v>10012.0</v>
      </c>
      <c r="K1231" s="2" t="s">
        <v>1602</v>
      </c>
      <c r="L1231" s="2"/>
      <c r="M1231" s="2"/>
      <c r="N1231" s="7">
        <v>1.0</v>
      </c>
      <c r="O1231" s="12">
        <v>29524.0</v>
      </c>
      <c r="P1231" s="11" t="s">
        <v>1649</v>
      </c>
      <c r="Q1231" s="12">
        <v>29524.0</v>
      </c>
      <c r="R1231" s="11" t="s">
        <v>1649</v>
      </c>
      <c r="S1231" s="11" t="s">
        <v>1683</v>
      </c>
      <c r="T1231" s="11" t="s">
        <v>1745</v>
      </c>
      <c r="U1231" s="2" t="s">
        <v>1574</v>
      </c>
      <c r="V1231" s="2" t="s">
        <v>1568</v>
      </c>
      <c r="W1231" s="2" t="s">
        <v>1569</v>
      </c>
      <c r="X1231" s="2" t="s">
        <v>1570</v>
      </c>
      <c r="AB1231" s="2" t="s">
        <v>1571</v>
      </c>
    </row>
    <row r="1232">
      <c r="A1232" s="2" t="s">
        <v>1832</v>
      </c>
      <c r="B1232" s="2">
        <v>16.0</v>
      </c>
      <c r="C1232" s="2" t="s">
        <v>8</v>
      </c>
      <c r="D1232" s="2" t="s">
        <v>1833</v>
      </c>
      <c r="E1232" s="2">
        <v>5.0</v>
      </c>
      <c r="F1232" s="2" t="s">
        <v>4</v>
      </c>
      <c r="G1232" s="5">
        <v>2627953.0</v>
      </c>
      <c r="H1232" s="2" t="s">
        <v>1575</v>
      </c>
      <c r="I1232" s="2" t="s">
        <v>1578</v>
      </c>
      <c r="J1232" s="2">
        <v>10051.0</v>
      </c>
      <c r="K1232" s="2" t="s">
        <v>1579</v>
      </c>
      <c r="L1232" s="2"/>
      <c r="M1232" s="2"/>
      <c r="N1232" s="7">
        <v>1.0</v>
      </c>
      <c r="O1232" s="12">
        <v>25238.0</v>
      </c>
      <c r="P1232" s="11" t="s">
        <v>1649</v>
      </c>
      <c r="Q1232" s="12">
        <v>25238.0</v>
      </c>
      <c r="R1232" s="11" t="s">
        <v>1649</v>
      </c>
      <c r="S1232" s="11" t="s">
        <v>1660</v>
      </c>
      <c r="T1232" s="11" t="s">
        <v>1661</v>
      </c>
      <c r="U1232" s="2" t="s">
        <v>1574</v>
      </c>
      <c r="V1232" s="2" t="s">
        <v>1568</v>
      </c>
      <c r="W1232" s="2" t="s">
        <v>1569</v>
      </c>
      <c r="X1232" s="2" t="s">
        <v>1570</v>
      </c>
      <c r="AB1232" s="2" t="s">
        <v>1571</v>
      </c>
    </row>
    <row r="1233">
      <c r="A1233" s="2" t="s">
        <v>1832</v>
      </c>
      <c r="B1233" s="2">
        <v>15.0</v>
      </c>
      <c r="C1233" s="2" t="s">
        <v>8</v>
      </c>
      <c r="D1233" s="2" t="s">
        <v>1833</v>
      </c>
      <c r="E1233" s="2">
        <v>5.0</v>
      </c>
      <c r="F1233" s="2" t="s">
        <v>4</v>
      </c>
      <c r="G1233" s="5">
        <v>2627588.0</v>
      </c>
      <c r="H1233" s="2" t="s">
        <v>1575</v>
      </c>
      <c r="I1233" s="2" t="s">
        <v>1572</v>
      </c>
      <c r="J1233" s="2">
        <v>10026.0</v>
      </c>
      <c r="K1233" s="2" t="s">
        <v>1583</v>
      </c>
      <c r="L1233" s="2"/>
      <c r="M1233" s="2"/>
      <c r="N1233" s="7">
        <v>1.0</v>
      </c>
      <c r="O1233" s="12">
        <v>21905.0</v>
      </c>
      <c r="P1233" s="11" t="s">
        <v>1649</v>
      </c>
      <c r="Q1233" s="12">
        <v>21905.0</v>
      </c>
      <c r="R1233" s="11" t="s">
        <v>1649</v>
      </c>
      <c r="S1233" s="11" t="s">
        <v>1666</v>
      </c>
      <c r="T1233" s="11" t="s">
        <v>1667</v>
      </c>
      <c r="U1233" s="2" t="s">
        <v>1574</v>
      </c>
      <c r="V1233" s="2" t="s">
        <v>1568</v>
      </c>
      <c r="W1233" s="2" t="s">
        <v>1569</v>
      </c>
      <c r="X1233" s="2" t="s">
        <v>1570</v>
      </c>
      <c r="AB1233" s="2" t="s">
        <v>1571</v>
      </c>
    </row>
    <row r="1234">
      <c r="A1234" s="2" t="s">
        <v>1832</v>
      </c>
      <c r="B1234" s="2">
        <v>15.0</v>
      </c>
      <c r="C1234" s="2" t="s">
        <v>8</v>
      </c>
      <c r="D1234" s="2" t="s">
        <v>1833</v>
      </c>
      <c r="E1234" s="2">
        <v>5.0</v>
      </c>
      <c r="F1234" s="2" t="s">
        <v>4</v>
      </c>
      <c r="G1234" s="5">
        <v>2627588.0</v>
      </c>
      <c r="H1234" s="2" t="s">
        <v>1575</v>
      </c>
      <c r="I1234" s="2" t="s">
        <v>1572</v>
      </c>
      <c r="J1234" s="2">
        <v>10128.0</v>
      </c>
      <c r="K1234" s="2" t="s">
        <v>1588</v>
      </c>
      <c r="L1234" s="2"/>
      <c r="M1234" s="2"/>
      <c r="N1234" s="7">
        <v>1.0</v>
      </c>
      <c r="O1234" s="12">
        <v>23333.0</v>
      </c>
      <c r="P1234" s="11" t="s">
        <v>1649</v>
      </c>
      <c r="Q1234" s="12">
        <v>23333.0</v>
      </c>
      <c r="R1234" s="11" t="s">
        <v>1649</v>
      </c>
      <c r="S1234" s="11" t="s">
        <v>1681</v>
      </c>
      <c r="T1234" s="11" t="s">
        <v>1682</v>
      </c>
      <c r="U1234" s="2" t="s">
        <v>1574</v>
      </c>
      <c r="V1234" s="2" t="s">
        <v>1568</v>
      </c>
      <c r="W1234" s="2" t="s">
        <v>1569</v>
      </c>
      <c r="X1234" s="2" t="s">
        <v>1570</v>
      </c>
      <c r="AB1234" s="2" t="s">
        <v>1571</v>
      </c>
    </row>
    <row r="1235">
      <c r="A1235" s="2" t="s">
        <v>1832</v>
      </c>
      <c r="B1235" s="2">
        <v>15.0</v>
      </c>
      <c r="C1235" s="2" t="s">
        <v>8</v>
      </c>
      <c r="D1235" s="2" t="s">
        <v>1833</v>
      </c>
      <c r="E1235" s="2">
        <v>5.0</v>
      </c>
      <c r="F1235" s="2" t="s">
        <v>4</v>
      </c>
      <c r="G1235" s="5">
        <v>2627588.0</v>
      </c>
      <c r="H1235" s="2" t="s">
        <v>1575</v>
      </c>
      <c r="I1235" s="2" t="s">
        <v>1578</v>
      </c>
      <c r="J1235" s="2">
        <v>10010.0</v>
      </c>
      <c r="K1235" s="2" t="s">
        <v>1606</v>
      </c>
      <c r="L1235" s="2"/>
      <c r="M1235" s="2"/>
      <c r="N1235" s="7">
        <v>1.0</v>
      </c>
      <c r="O1235" s="12">
        <v>25238.0</v>
      </c>
      <c r="P1235" s="11" t="s">
        <v>1649</v>
      </c>
      <c r="Q1235" s="12">
        <v>25238.0</v>
      </c>
      <c r="R1235" s="11" t="s">
        <v>1649</v>
      </c>
      <c r="S1235" s="11" t="s">
        <v>1660</v>
      </c>
      <c r="T1235" s="11" t="s">
        <v>1680</v>
      </c>
      <c r="U1235" s="2" t="s">
        <v>1574</v>
      </c>
      <c r="V1235" s="2" t="s">
        <v>1568</v>
      </c>
      <c r="W1235" s="2" t="s">
        <v>1569</v>
      </c>
      <c r="X1235" s="2" t="s">
        <v>1570</v>
      </c>
      <c r="AB1235" s="2" t="s">
        <v>1571</v>
      </c>
    </row>
    <row r="1236">
      <c r="A1236" s="2" t="s">
        <v>1832</v>
      </c>
      <c r="B1236" s="2">
        <v>15.0</v>
      </c>
      <c r="C1236" s="2" t="s">
        <v>8</v>
      </c>
      <c r="D1236" s="2" t="s">
        <v>1833</v>
      </c>
      <c r="E1236" s="2">
        <v>5.0</v>
      </c>
      <c r="F1236" s="2" t="s">
        <v>4</v>
      </c>
      <c r="G1236" s="5">
        <v>2627223.0</v>
      </c>
      <c r="H1236" s="2" t="s">
        <v>1575</v>
      </c>
      <c r="I1236" s="2" t="s">
        <v>1572</v>
      </c>
      <c r="J1236" s="2">
        <v>10128.0</v>
      </c>
      <c r="K1236" s="2" t="s">
        <v>1588</v>
      </c>
      <c r="L1236" s="2"/>
      <c r="M1236" s="2"/>
      <c r="N1236" s="7">
        <v>1.0</v>
      </c>
      <c r="O1236" s="12">
        <v>23333.0</v>
      </c>
      <c r="P1236" s="11" t="s">
        <v>1649</v>
      </c>
      <c r="Q1236" s="12">
        <v>23333.0</v>
      </c>
      <c r="R1236" s="11" t="s">
        <v>1649</v>
      </c>
      <c r="S1236" s="11" t="s">
        <v>1681</v>
      </c>
      <c r="T1236" s="11" t="s">
        <v>1682</v>
      </c>
      <c r="U1236" s="2" t="s">
        <v>1574</v>
      </c>
      <c r="V1236" s="2" t="s">
        <v>1568</v>
      </c>
      <c r="W1236" s="2" t="s">
        <v>1569</v>
      </c>
      <c r="X1236" s="2" t="s">
        <v>1570</v>
      </c>
      <c r="AB1236" s="2" t="s">
        <v>1571</v>
      </c>
    </row>
    <row r="1237">
      <c r="A1237" s="2" t="s">
        <v>1832</v>
      </c>
      <c r="B1237" s="2">
        <v>14.0</v>
      </c>
      <c r="C1237" s="2" t="s">
        <v>8</v>
      </c>
      <c r="D1237" s="2" t="s">
        <v>1833</v>
      </c>
      <c r="E1237" s="2">
        <v>5.0</v>
      </c>
      <c r="F1237" s="2" t="s">
        <v>4</v>
      </c>
      <c r="G1237" s="5">
        <v>2626857.0</v>
      </c>
      <c r="H1237" s="2" t="s">
        <v>1575</v>
      </c>
      <c r="I1237" s="2" t="s">
        <v>1572</v>
      </c>
      <c r="J1237" s="2">
        <v>10128.0</v>
      </c>
      <c r="K1237" s="2" t="s">
        <v>1588</v>
      </c>
      <c r="L1237" s="2"/>
      <c r="M1237" s="2"/>
      <c r="N1237" s="7">
        <v>1.0</v>
      </c>
      <c r="O1237" s="12">
        <v>23333.0</v>
      </c>
      <c r="P1237" s="11" t="s">
        <v>1649</v>
      </c>
      <c r="Q1237" s="12">
        <v>23333.0</v>
      </c>
      <c r="R1237" s="11" t="s">
        <v>1649</v>
      </c>
      <c r="S1237" s="11" t="s">
        <v>1681</v>
      </c>
      <c r="T1237" s="11" t="s">
        <v>1682</v>
      </c>
      <c r="U1237" s="2" t="s">
        <v>1574</v>
      </c>
      <c r="V1237" s="2" t="s">
        <v>1568</v>
      </c>
      <c r="W1237" s="2" t="s">
        <v>1569</v>
      </c>
      <c r="X1237" s="2" t="s">
        <v>1570</v>
      </c>
      <c r="AB1237" s="2" t="s">
        <v>1571</v>
      </c>
    </row>
    <row r="1238">
      <c r="A1238" s="2" t="s">
        <v>1832</v>
      </c>
      <c r="B1238" s="2">
        <v>13.0</v>
      </c>
      <c r="C1238" s="2" t="s">
        <v>8</v>
      </c>
      <c r="D1238" s="2" t="s">
        <v>1833</v>
      </c>
      <c r="E1238" s="2">
        <v>5.0</v>
      </c>
      <c r="F1238" s="2" t="s">
        <v>4</v>
      </c>
      <c r="G1238" s="5">
        <v>2626492.0</v>
      </c>
      <c r="H1238" s="2" t="s">
        <v>1575</v>
      </c>
      <c r="I1238" s="2" t="s">
        <v>1572</v>
      </c>
      <c r="J1238" s="2">
        <v>10058.0</v>
      </c>
      <c r="K1238" s="2" t="s">
        <v>1618</v>
      </c>
      <c r="L1238" s="2"/>
      <c r="M1238" s="2"/>
      <c r="N1238" s="7">
        <v>1.0</v>
      </c>
      <c r="O1238" s="12">
        <v>19524.0</v>
      </c>
      <c r="P1238" s="11" t="s">
        <v>1649</v>
      </c>
      <c r="Q1238" s="12">
        <v>19524.0</v>
      </c>
      <c r="R1238" s="11" t="s">
        <v>1649</v>
      </c>
      <c r="S1238" s="11" t="s">
        <v>1676</v>
      </c>
      <c r="T1238" s="11" t="s">
        <v>1677</v>
      </c>
      <c r="U1238" s="2" t="s">
        <v>1574</v>
      </c>
      <c r="V1238" s="2" t="s">
        <v>1568</v>
      </c>
      <c r="W1238" s="2" t="s">
        <v>1569</v>
      </c>
      <c r="X1238" s="2" t="s">
        <v>1570</v>
      </c>
      <c r="AB1238" s="2" t="s">
        <v>1571</v>
      </c>
    </row>
    <row r="1239">
      <c r="A1239" s="2" t="s">
        <v>1832</v>
      </c>
      <c r="B1239" s="2">
        <v>12.0</v>
      </c>
      <c r="C1239" s="2" t="s">
        <v>8</v>
      </c>
      <c r="D1239" s="2" t="s">
        <v>1833</v>
      </c>
      <c r="E1239" s="2">
        <v>5.0</v>
      </c>
      <c r="F1239" s="2" t="s">
        <v>4</v>
      </c>
      <c r="G1239" s="5">
        <v>2626127.0</v>
      </c>
      <c r="H1239" s="2" t="s">
        <v>1575</v>
      </c>
      <c r="I1239" s="2" t="s">
        <v>1565</v>
      </c>
      <c r="J1239" s="2">
        <v>10000.0</v>
      </c>
      <c r="K1239" s="2" t="s">
        <v>1566</v>
      </c>
      <c r="L1239" s="2"/>
      <c r="M1239" s="2"/>
      <c r="N1239" s="7">
        <v>1.0</v>
      </c>
      <c r="O1239" s="12">
        <v>29524.0</v>
      </c>
      <c r="P1239" s="11" t="s">
        <v>1649</v>
      </c>
      <c r="Q1239" s="12">
        <v>29524.0</v>
      </c>
      <c r="R1239" s="11" t="s">
        <v>1649</v>
      </c>
      <c r="S1239" s="11" t="s">
        <v>1683</v>
      </c>
      <c r="T1239" s="11" t="s">
        <v>1684</v>
      </c>
      <c r="U1239" s="2" t="s">
        <v>1574</v>
      </c>
      <c r="V1239" s="2" t="s">
        <v>1568</v>
      </c>
      <c r="W1239" s="2" t="s">
        <v>1569</v>
      </c>
      <c r="X1239" s="2" t="s">
        <v>1570</v>
      </c>
      <c r="AB1239" s="2" t="s">
        <v>1571</v>
      </c>
    </row>
    <row r="1240">
      <c r="A1240" s="2" t="s">
        <v>1832</v>
      </c>
      <c r="B1240" s="2">
        <v>12.0</v>
      </c>
      <c r="C1240" s="2" t="s">
        <v>8</v>
      </c>
      <c r="D1240" s="2" t="s">
        <v>1833</v>
      </c>
      <c r="E1240" s="2">
        <v>5.0</v>
      </c>
      <c r="F1240" s="2" t="s">
        <v>4</v>
      </c>
      <c r="G1240" s="5">
        <v>2626127.0</v>
      </c>
      <c r="H1240" s="2" t="s">
        <v>1575</v>
      </c>
      <c r="I1240" s="2" t="s">
        <v>1572</v>
      </c>
      <c r="J1240" s="2">
        <v>10013.0</v>
      </c>
      <c r="K1240" s="2" t="s">
        <v>1591</v>
      </c>
      <c r="L1240" s="2"/>
      <c r="M1240" s="2"/>
      <c r="N1240" s="7">
        <v>1.0</v>
      </c>
      <c r="O1240" s="12">
        <v>23333.0</v>
      </c>
      <c r="P1240" s="11" t="s">
        <v>1649</v>
      </c>
      <c r="Q1240" s="12">
        <v>23333.0</v>
      </c>
      <c r="R1240" s="11" t="s">
        <v>1649</v>
      </c>
      <c r="S1240" s="11" t="s">
        <v>1681</v>
      </c>
      <c r="T1240" s="11" t="s">
        <v>1682</v>
      </c>
      <c r="U1240" s="2" t="s">
        <v>1574</v>
      </c>
      <c r="V1240" s="2" t="s">
        <v>1568</v>
      </c>
      <c r="W1240" s="2" t="s">
        <v>1569</v>
      </c>
      <c r="X1240" s="2" t="s">
        <v>1570</v>
      </c>
      <c r="AB1240" s="2" t="s">
        <v>1571</v>
      </c>
    </row>
    <row r="1241">
      <c r="A1241" s="2" t="s">
        <v>1832</v>
      </c>
      <c r="B1241" s="2">
        <v>12.0</v>
      </c>
      <c r="C1241" s="2" t="s">
        <v>8</v>
      </c>
      <c r="D1241" s="2" t="s">
        <v>1833</v>
      </c>
      <c r="E1241" s="2">
        <v>5.0</v>
      </c>
      <c r="F1241" s="2" t="s">
        <v>4</v>
      </c>
      <c r="G1241" s="5">
        <v>2626127.0</v>
      </c>
      <c r="H1241" s="2" t="s">
        <v>1575</v>
      </c>
      <c r="I1241" s="2" t="s">
        <v>1572</v>
      </c>
      <c r="J1241" s="2">
        <v>10128.0</v>
      </c>
      <c r="K1241" s="2" t="s">
        <v>1588</v>
      </c>
      <c r="L1241" s="2"/>
      <c r="M1241" s="2"/>
      <c r="N1241" s="7">
        <v>1.0</v>
      </c>
      <c r="O1241" s="12">
        <v>23333.0</v>
      </c>
      <c r="P1241" s="11" t="s">
        <v>1649</v>
      </c>
      <c r="Q1241" s="12">
        <v>23333.0</v>
      </c>
      <c r="R1241" s="11" t="s">
        <v>1649</v>
      </c>
      <c r="S1241" s="11" t="s">
        <v>1681</v>
      </c>
      <c r="T1241" s="11" t="s">
        <v>1682</v>
      </c>
      <c r="U1241" s="2" t="s">
        <v>1574</v>
      </c>
      <c r="V1241" s="2" t="s">
        <v>1568</v>
      </c>
      <c r="W1241" s="2" t="s">
        <v>1569</v>
      </c>
      <c r="X1241" s="2" t="s">
        <v>1570</v>
      </c>
      <c r="AB1241" s="2" t="s">
        <v>1571</v>
      </c>
    </row>
    <row r="1242">
      <c r="A1242" s="2" t="s">
        <v>1832</v>
      </c>
      <c r="B1242" s="2">
        <v>11.0</v>
      </c>
      <c r="C1242" s="2" t="s">
        <v>8</v>
      </c>
      <c r="D1242" s="2" t="s">
        <v>1833</v>
      </c>
      <c r="E1242" s="2">
        <v>5.0</v>
      </c>
      <c r="F1242" s="2" t="s">
        <v>4</v>
      </c>
      <c r="G1242" s="5">
        <v>2625762.0</v>
      </c>
      <c r="H1242" s="2" t="s">
        <v>1575</v>
      </c>
      <c r="I1242" s="2" t="s">
        <v>1565</v>
      </c>
      <c r="J1242" s="2">
        <v>10042.0</v>
      </c>
      <c r="K1242" s="2" t="s">
        <v>1634</v>
      </c>
      <c r="L1242" s="2"/>
      <c r="M1242" s="2"/>
      <c r="N1242" s="7">
        <v>1.0</v>
      </c>
      <c r="O1242" s="12">
        <v>9524.0</v>
      </c>
      <c r="P1242" s="11" t="s">
        <v>1649</v>
      </c>
      <c r="Q1242" s="12">
        <v>9524.0</v>
      </c>
      <c r="R1242" s="11" t="s">
        <v>1649</v>
      </c>
      <c r="S1242" s="11" t="s">
        <v>1834</v>
      </c>
      <c r="T1242" s="11" t="s">
        <v>1835</v>
      </c>
      <c r="U1242" s="2" t="s">
        <v>1574</v>
      </c>
      <c r="V1242" s="2" t="s">
        <v>1568</v>
      </c>
      <c r="W1242" s="2" t="s">
        <v>1569</v>
      </c>
      <c r="X1242" s="2" t="s">
        <v>1570</v>
      </c>
      <c r="AB1242" s="2" t="s">
        <v>1571</v>
      </c>
    </row>
    <row r="1243">
      <c r="A1243" s="2" t="s">
        <v>1832</v>
      </c>
      <c r="B1243" s="2">
        <v>11.0</v>
      </c>
      <c r="C1243" s="2" t="s">
        <v>8</v>
      </c>
      <c r="D1243" s="2" t="s">
        <v>1833</v>
      </c>
      <c r="E1243" s="2">
        <v>5.0</v>
      </c>
      <c r="F1243" s="2" t="s">
        <v>4</v>
      </c>
      <c r="G1243" s="5">
        <v>2625762.0</v>
      </c>
      <c r="H1243" s="2" t="s">
        <v>1575</v>
      </c>
      <c r="I1243" s="2" t="s">
        <v>1572</v>
      </c>
      <c r="J1243" s="2">
        <v>10117.0</v>
      </c>
      <c r="K1243" s="2" t="s">
        <v>1589</v>
      </c>
      <c r="L1243" s="2"/>
      <c r="M1243" s="2"/>
      <c r="N1243" s="7">
        <v>1.0</v>
      </c>
      <c r="O1243" s="12">
        <v>14286.0</v>
      </c>
      <c r="P1243" s="11" t="s">
        <v>1649</v>
      </c>
      <c r="Q1243" s="12">
        <v>14286.0</v>
      </c>
      <c r="R1243" s="11" t="s">
        <v>1649</v>
      </c>
      <c r="S1243" s="11" t="s">
        <v>1685</v>
      </c>
      <c r="T1243" s="11" t="s">
        <v>1708</v>
      </c>
      <c r="U1243" s="2" t="s">
        <v>1574</v>
      </c>
      <c r="V1243" s="2" t="s">
        <v>1568</v>
      </c>
      <c r="W1243" s="2" t="s">
        <v>1569</v>
      </c>
      <c r="X1243" s="2" t="s">
        <v>1570</v>
      </c>
      <c r="AB1243" s="2" t="s">
        <v>1571</v>
      </c>
    </row>
    <row r="1244">
      <c r="A1244" s="2" t="s">
        <v>1832</v>
      </c>
      <c r="B1244" s="2">
        <v>10.0</v>
      </c>
      <c r="C1244" s="2" t="s">
        <v>8</v>
      </c>
      <c r="D1244" s="2" t="s">
        <v>1833</v>
      </c>
      <c r="E1244" s="2">
        <v>5.0</v>
      </c>
      <c r="F1244" s="2" t="s">
        <v>4</v>
      </c>
      <c r="G1244" s="5">
        <v>2625396.0</v>
      </c>
      <c r="H1244" s="2" t="s">
        <v>1575</v>
      </c>
      <c r="I1244" s="2" t="s">
        <v>1629</v>
      </c>
      <c r="J1244" s="2">
        <v>10023.0</v>
      </c>
      <c r="K1244" s="2" t="s">
        <v>1630</v>
      </c>
      <c r="L1244" s="2"/>
      <c r="M1244" s="2"/>
      <c r="N1244" s="7">
        <v>1.0</v>
      </c>
      <c r="O1244" s="12">
        <v>0.0</v>
      </c>
      <c r="P1244" s="11" t="s">
        <v>1649</v>
      </c>
      <c r="Q1244" s="12">
        <v>0.0</v>
      </c>
      <c r="R1244" s="11" t="s">
        <v>1649</v>
      </c>
      <c r="S1244" s="11" t="s">
        <v>1649</v>
      </c>
      <c r="T1244" s="11" t="s">
        <v>1649</v>
      </c>
      <c r="U1244" s="2" t="s">
        <v>1574</v>
      </c>
      <c r="V1244" s="2" t="s">
        <v>1568</v>
      </c>
      <c r="W1244" s="2" t="s">
        <v>1569</v>
      </c>
      <c r="X1244" s="2" t="s">
        <v>1570</v>
      </c>
      <c r="AB1244" s="2" t="s">
        <v>1571</v>
      </c>
    </row>
    <row r="1245">
      <c r="A1245" s="2" t="s">
        <v>1832</v>
      </c>
      <c r="B1245" s="2">
        <v>10.0</v>
      </c>
      <c r="C1245" s="2" t="s">
        <v>8</v>
      </c>
      <c r="D1245" s="2" t="s">
        <v>1833</v>
      </c>
      <c r="E1245" s="2">
        <v>5.0</v>
      </c>
      <c r="F1245" s="2" t="s">
        <v>4</v>
      </c>
      <c r="G1245" s="5">
        <v>2625396.0</v>
      </c>
      <c r="H1245" s="2" t="s">
        <v>1575</v>
      </c>
      <c r="I1245" s="2" t="s">
        <v>1629</v>
      </c>
      <c r="J1245" s="2">
        <v>10021.0</v>
      </c>
      <c r="K1245" s="2" t="s">
        <v>1631</v>
      </c>
      <c r="L1245" s="2"/>
      <c r="M1245" s="2"/>
      <c r="N1245" s="7">
        <v>1.0</v>
      </c>
      <c r="O1245" s="12">
        <v>0.0</v>
      </c>
      <c r="P1245" s="11" t="s">
        <v>1649</v>
      </c>
      <c r="Q1245" s="12">
        <v>0.0</v>
      </c>
      <c r="R1245" s="11" t="s">
        <v>1649</v>
      </c>
      <c r="S1245" s="11" t="s">
        <v>1649</v>
      </c>
      <c r="T1245" s="11" t="s">
        <v>1649</v>
      </c>
      <c r="U1245" s="2" t="s">
        <v>1574</v>
      </c>
      <c r="V1245" s="2" t="s">
        <v>1568</v>
      </c>
      <c r="W1245" s="2" t="s">
        <v>1569</v>
      </c>
      <c r="X1245" s="2" t="s">
        <v>1570</v>
      </c>
      <c r="AB1245" s="2" t="s">
        <v>1571</v>
      </c>
    </row>
    <row r="1246">
      <c r="A1246" s="2" t="s">
        <v>1832</v>
      </c>
      <c r="B1246" s="2">
        <v>10.0</v>
      </c>
      <c r="C1246" s="2" t="s">
        <v>8</v>
      </c>
      <c r="D1246" s="2" t="s">
        <v>1833</v>
      </c>
      <c r="E1246" s="2">
        <v>5.0</v>
      </c>
      <c r="F1246" s="2" t="s">
        <v>4</v>
      </c>
      <c r="G1246" s="5">
        <v>2625396.0</v>
      </c>
      <c r="H1246" s="2" t="s">
        <v>1575</v>
      </c>
      <c r="I1246" s="2" t="s">
        <v>1629</v>
      </c>
      <c r="J1246" s="2">
        <v>10023.0</v>
      </c>
      <c r="K1246" s="2" t="s">
        <v>1630</v>
      </c>
      <c r="L1246" s="2"/>
      <c r="M1246" s="2"/>
      <c r="N1246" s="7">
        <v>2.0</v>
      </c>
      <c r="O1246" s="12">
        <v>0.0</v>
      </c>
      <c r="P1246" s="11" t="s">
        <v>1649</v>
      </c>
      <c r="Q1246" s="12">
        <v>0.0</v>
      </c>
      <c r="R1246" s="11" t="s">
        <v>1649</v>
      </c>
      <c r="S1246" s="11" t="s">
        <v>1649</v>
      </c>
      <c r="T1246" s="11" t="s">
        <v>1649</v>
      </c>
      <c r="U1246" s="2" t="s">
        <v>1574</v>
      </c>
      <c r="V1246" s="2" t="s">
        <v>1568</v>
      </c>
      <c r="W1246" s="2" t="s">
        <v>1569</v>
      </c>
      <c r="X1246" s="2" t="s">
        <v>1570</v>
      </c>
      <c r="AB1246" s="2" t="s">
        <v>1571</v>
      </c>
    </row>
    <row r="1247">
      <c r="A1247" s="2" t="s">
        <v>1832</v>
      </c>
      <c r="B1247" s="2">
        <v>10.0</v>
      </c>
      <c r="C1247" s="2" t="s">
        <v>8</v>
      </c>
      <c r="D1247" s="2" t="s">
        <v>1833</v>
      </c>
      <c r="E1247" s="2">
        <v>5.0</v>
      </c>
      <c r="F1247" s="2" t="s">
        <v>4</v>
      </c>
      <c r="G1247" s="5">
        <v>2625396.0</v>
      </c>
      <c r="H1247" s="2" t="s">
        <v>1575</v>
      </c>
      <c r="I1247" s="2" t="s">
        <v>1629</v>
      </c>
      <c r="J1247" s="2">
        <v>10021.0</v>
      </c>
      <c r="K1247" s="2" t="s">
        <v>1631</v>
      </c>
      <c r="L1247" s="2"/>
      <c r="M1247" s="2"/>
      <c r="N1247" s="7">
        <v>2.0</v>
      </c>
      <c r="O1247" s="12">
        <v>0.0</v>
      </c>
      <c r="P1247" s="11" t="s">
        <v>1649</v>
      </c>
      <c r="Q1247" s="12">
        <v>0.0</v>
      </c>
      <c r="R1247" s="11" t="s">
        <v>1649</v>
      </c>
      <c r="S1247" s="11" t="s">
        <v>1649</v>
      </c>
      <c r="T1247" s="11" t="s">
        <v>1649</v>
      </c>
      <c r="U1247" s="2" t="s">
        <v>1574</v>
      </c>
      <c r="V1247" s="2" t="s">
        <v>1568</v>
      </c>
      <c r="W1247" s="2" t="s">
        <v>1569</v>
      </c>
      <c r="X1247" s="2" t="s">
        <v>1570</v>
      </c>
      <c r="AB1247" s="2" t="s">
        <v>1571</v>
      </c>
    </row>
    <row r="1248">
      <c r="A1248" s="2" t="s">
        <v>1832</v>
      </c>
      <c r="B1248" s="2">
        <v>10.0</v>
      </c>
      <c r="C1248" s="2" t="s">
        <v>8</v>
      </c>
      <c r="D1248" s="2" t="s">
        <v>1833</v>
      </c>
      <c r="E1248" s="2">
        <v>5.0</v>
      </c>
      <c r="F1248" s="2" t="s">
        <v>4</v>
      </c>
      <c r="G1248" s="5">
        <v>2625031.0</v>
      </c>
      <c r="H1248" s="2" t="s">
        <v>1575</v>
      </c>
      <c r="I1248" s="2" t="s">
        <v>1572</v>
      </c>
      <c r="J1248" s="2">
        <v>10112.0</v>
      </c>
      <c r="K1248" s="2" t="s">
        <v>1573</v>
      </c>
      <c r="L1248" s="2"/>
      <c r="M1248" s="2"/>
      <c r="N1248" s="7">
        <v>1.0</v>
      </c>
      <c r="O1248" s="12">
        <v>6667.0</v>
      </c>
      <c r="P1248" s="11" t="s">
        <v>1649</v>
      </c>
      <c r="Q1248" s="12">
        <v>6667.0</v>
      </c>
      <c r="R1248" s="11" t="s">
        <v>1649</v>
      </c>
      <c r="S1248" s="11" t="s">
        <v>1734</v>
      </c>
      <c r="T1248" s="11" t="s">
        <v>1738</v>
      </c>
      <c r="U1248" s="2" t="s">
        <v>1574</v>
      </c>
      <c r="V1248" s="2" t="s">
        <v>1568</v>
      </c>
      <c r="W1248" s="2" t="s">
        <v>1569</v>
      </c>
      <c r="X1248" s="2" t="s">
        <v>1570</v>
      </c>
      <c r="AB1248" s="2" t="s">
        <v>1571</v>
      </c>
    </row>
    <row r="1249">
      <c r="A1249" s="2" t="s">
        <v>1832</v>
      </c>
      <c r="B1249" s="2">
        <v>10.0</v>
      </c>
      <c r="C1249" s="2" t="s">
        <v>8</v>
      </c>
      <c r="D1249" s="2" t="s">
        <v>1833</v>
      </c>
      <c r="E1249" s="2">
        <v>5.0</v>
      </c>
      <c r="F1249" s="2" t="s">
        <v>4</v>
      </c>
      <c r="G1249" s="5">
        <v>2625031.0</v>
      </c>
      <c r="H1249" s="2" t="s">
        <v>1575</v>
      </c>
      <c r="I1249" s="2" t="s">
        <v>1565</v>
      </c>
      <c r="J1249" s="2">
        <v>10002.0</v>
      </c>
      <c r="K1249" s="2" t="s">
        <v>1576</v>
      </c>
      <c r="L1249" s="2"/>
      <c r="M1249" s="2"/>
      <c r="N1249" s="7">
        <v>1.0</v>
      </c>
      <c r="O1249" s="12">
        <v>18571.0</v>
      </c>
      <c r="P1249" s="11" t="s">
        <v>1649</v>
      </c>
      <c r="Q1249" s="12">
        <v>18571.0</v>
      </c>
      <c r="R1249" s="11" t="s">
        <v>1649</v>
      </c>
      <c r="S1249" s="11" t="s">
        <v>1656</v>
      </c>
      <c r="T1249" s="11" t="s">
        <v>1657</v>
      </c>
      <c r="U1249" s="2" t="s">
        <v>1574</v>
      </c>
      <c r="V1249" s="2" t="s">
        <v>1568</v>
      </c>
      <c r="W1249" s="2" t="s">
        <v>1569</v>
      </c>
      <c r="X1249" s="2" t="s">
        <v>1570</v>
      </c>
      <c r="AB1249" s="2" t="s">
        <v>1571</v>
      </c>
    </row>
    <row r="1250">
      <c r="A1250" s="2" t="s">
        <v>1832</v>
      </c>
      <c r="B1250" s="2">
        <v>10.0</v>
      </c>
      <c r="C1250" s="2" t="s">
        <v>8</v>
      </c>
      <c r="D1250" s="2" t="s">
        <v>1833</v>
      </c>
      <c r="E1250" s="2">
        <v>5.0</v>
      </c>
      <c r="F1250" s="2" t="s">
        <v>4</v>
      </c>
      <c r="G1250" s="5">
        <v>2625031.0</v>
      </c>
      <c r="H1250" s="2" t="s">
        <v>1575</v>
      </c>
      <c r="I1250" s="2" t="s">
        <v>1565</v>
      </c>
      <c r="J1250" s="2">
        <v>10005.0</v>
      </c>
      <c r="K1250" s="2" t="s">
        <v>1595</v>
      </c>
      <c r="L1250" s="2"/>
      <c r="M1250" s="2"/>
      <c r="N1250" s="7">
        <v>1.0</v>
      </c>
      <c r="O1250" s="12">
        <v>19524.0</v>
      </c>
      <c r="P1250" s="11" t="s">
        <v>1649</v>
      </c>
      <c r="Q1250" s="12">
        <v>19524.0</v>
      </c>
      <c r="R1250" s="11" t="s">
        <v>1649</v>
      </c>
      <c r="S1250" s="11" t="s">
        <v>1676</v>
      </c>
      <c r="T1250" s="11" t="s">
        <v>1677</v>
      </c>
      <c r="U1250" s="2" t="s">
        <v>1574</v>
      </c>
      <c r="V1250" s="2" t="s">
        <v>1568</v>
      </c>
      <c r="W1250" s="2" t="s">
        <v>1569</v>
      </c>
      <c r="X1250" s="2" t="s">
        <v>1570</v>
      </c>
      <c r="AB1250" s="2" t="s">
        <v>1571</v>
      </c>
    </row>
    <row r="1251">
      <c r="A1251" s="2" t="s">
        <v>1832</v>
      </c>
      <c r="B1251" s="2">
        <v>9.0</v>
      </c>
      <c r="C1251" s="2" t="s">
        <v>8</v>
      </c>
      <c r="D1251" s="2" t="s">
        <v>1833</v>
      </c>
      <c r="E1251" s="2">
        <v>5.0</v>
      </c>
      <c r="F1251" s="2" t="s">
        <v>4</v>
      </c>
      <c r="G1251" s="5">
        <v>2624666.0</v>
      </c>
      <c r="H1251" s="2" t="s">
        <v>1575</v>
      </c>
      <c r="I1251" s="2" t="s">
        <v>1572</v>
      </c>
      <c r="J1251" s="2">
        <v>10058.0</v>
      </c>
      <c r="K1251" s="2" t="s">
        <v>1618</v>
      </c>
      <c r="L1251" s="2"/>
      <c r="M1251" s="2"/>
      <c r="N1251" s="7">
        <v>1.0</v>
      </c>
      <c r="O1251" s="12">
        <v>19524.0</v>
      </c>
      <c r="P1251" s="11" t="s">
        <v>1649</v>
      </c>
      <c r="Q1251" s="12">
        <v>19524.0</v>
      </c>
      <c r="R1251" s="11" t="s">
        <v>1649</v>
      </c>
      <c r="S1251" s="11" t="s">
        <v>1676</v>
      </c>
      <c r="T1251" s="11" t="s">
        <v>1677</v>
      </c>
      <c r="U1251" s="2" t="s">
        <v>1574</v>
      </c>
      <c r="V1251" s="2" t="s">
        <v>1568</v>
      </c>
      <c r="W1251" s="2" t="s">
        <v>1569</v>
      </c>
      <c r="X1251" s="2" t="s">
        <v>1570</v>
      </c>
      <c r="AB1251" s="2" t="s">
        <v>1571</v>
      </c>
    </row>
    <row r="1252">
      <c r="A1252" s="2" t="s">
        <v>1832</v>
      </c>
      <c r="B1252" s="2">
        <v>9.0</v>
      </c>
      <c r="C1252" s="2" t="s">
        <v>8</v>
      </c>
      <c r="D1252" s="2" t="s">
        <v>1833</v>
      </c>
      <c r="E1252" s="2">
        <v>5.0</v>
      </c>
      <c r="F1252" s="2" t="s">
        <v>4</v>
      </c>
      <c r="G1252" s="5">
        <v>2624301.0</v>
      </c>
      <c r="H1252" s="2" t="s">
        <v>1575</v>
      </c>
      <c r="I1252" s="2" t="s">
        <v>1565</v>
      </c>
      <c r="J1252" s="2">
        <v>10005.0</v>
      </c>
      <c r="K1252" s="2" t="s">
        <v>1595</v>
      </c>
      <c r="L1252" s="2"/>
      <c r="M1252" s="2"/>
      <c r="N1252" s="7">
        <v>1.0</v>
      </c>
      <c r="O1252" s="12">
        <v>19524.0</v>
      </c>
      <c r="P1252" s="11" t="s">
        <v>1649</v>
      </c>
      <c r="Q1252" s="12">
        <v>19524.0</v>
      </c>
      <c r="R1252" s="11" t="s">
        <v>1649</v>
      </c>
      <c r="S1252" s="11" t="s">
        <v>1676</v>
      </c>
      <c r="T1252" s="11" t="s">
        <v>1677</v>
      </c>
      <c r="U1252" s="2" t="s">
        <v>1574</v>
      </c>
      <c r="V1252" s="2" t="s">
        <v>1568</v>
      </c>
      <c r="W1252" s="2" t="s">
        <v>1569</v>
      </c>
      <c r="X1252" s="2" t="s">
        <v>1570</v>
      </c>
      <c r="AB1252" s="2" t="s">
        <v>1571</v>
      </c>
    </row>
    <row r="1253">
      <c r="A1253" s="2" t="s">
        <v>1836</v>
      </c>
      <c r="B1253" s="2">
        <v>21.0</v>
      </c>
      <c r="C1253" s="2" t="s">
        <v>7</v>
      </c>
      <c r="D1253" s="2" t="s">
        <v>1837</v>
      </c>
      <c r="E1253" s="2">
        <v>4.0</v>
      </c>
      <c r="F1253" s="2" t="s">
        <v>4</v>
      </c>
      <c r="G1253" s="5">
        <v>2623935.0</v>
      </c>
      <c r="H1253" s="2" t="s">
        <v>1575</v>
      </c>
      <c r="I1253" s="2" t="s">
        <v>1578</v>
      </c>
      <c r="J1253" s="2">
        <v>10015.0</v>
      </c>
      <c r="K1253" s="2" t="s">
        <v>1587</v>
      </c>
      <c r="L1253" s="2"/>
      <c r="M1253" s="2"/>
      <c r="N1253" s="7">
        <v>1.0</v>
      </c>
      <c r="O1253" s="12">
        <v>25238.0</v>
      </c>
      <c r="P1253" s="11" t="s">
        <v>1649</v>
      </c>
      <c r="Q1253" s="12">
        <v>25238.0</v>
      </c>
      <c r="R1253" s="11" t="s">
        <v>1649</v>
      </c>
      <c r="S1253" s="11" t="s">
        <v>1660</v>
      </c>
      <c r="T1253" s="11" t="s">
        <v>1680</v>
      </c>
      <c r="U1253" s="2" t="s">
        <v>1574</v>
      </c>
      <c r="V1253" s="2" t="s">
        <v>1568</v>
      </c>
      <c r="W1253" s="2" t="s">
        <v>1569</v>
      </c>
      <c r="X1253" s="2" t="s">
        <v>1570</v>
      </c>
      <c r="AB1253" s="2" t="s">
        <v>1571</v>
      </c>
    </row>
    <row r="1254">
      <c r="A1254" s="2" t="s">
        <v>1836</v>
      </c>
      <c r="B1254" s="2">
        <v>21.0</v>
      </c>
      <c r="C1254" s="2" t="s">
        <v>7</v>
      </c>
      <c r="D1254" s="2" t="s">
        <v>1837</v>
      </c>
      <c r="E1254" s="2">
        <v>4.0</v>
      </c>
      <c r="F1254" s="2" t="s">
        <v>4</v>
      </c>
      <c r="G1254" s="5">
        <v>2623935.0</v>
      </c>
      <c r="H1254" s="2" t="s">
        <v>1575</v>
      </c>
      <c r="I1254" s="2" t="s">
        <v>1578</v>
      </c>
      <c r="J1254" s="2">
        <v>10014.0</v>
      </c>
      <c r="K1254" s="2" t="s">
        <v>1609</v>
      </c>
      <c r="L1254" s="2"/>
      <c r="M1254" s="2"/>
      <c r="N1254" s="7">
        <v>1.0</v>
      </c>
      <c r="O1254" s="12">
        <v>25238.0</v>
      </c>
      <c r="P1254" s="11" t="s">
        <v>1649</v>
      </c>
      <c r="Q1254" s="12">
        <v>25238.0</v>
      </c>
      <c r="R1254" s="11" t="s">
        <v>1649</v>
      </c>
      <c r="S1254" s="11" t="s">
        <v>1660</v>
      </c>
      <c r="T1254" s="11" t="s">
        <v>1680</v>
      </c>
      <c r="U1254" s="2" t="s">
        <v>1574</v>
      </c>
      <c r="V1254" s="2" t="s">
        <v>1568</v>
      </c>
      <c r="W1254" s="2" t="s">
        <v>1569</v>
      </c>
      <c r="X1254" s="2" t="s">
        <v>1570</v>
      </c>
      <c r="AB1254" s="2" t="s">
        <v>1571</v>
      </c>
    </row>
    <row r="1255">
      <c r="A1255" s="2" t="s">
        <v>1836</v>
      </c>
      <c r="B1255" s="2">
        <v>21.0</v>
      </c>
      <c r="C1255" s="2" t="s">
        <v>7</v>
      </c>
      <c r="D1255" s="2" t="s">
        <v>1837</v>
      </c>
      <c r="E1255" s="2">
        <v>4.0</v>
      </c>
      <c r="F1255" s="2" t="s">
        <v>4</v>
      </c>
      <c r="G1255" s="5">
        <v>2623935.0</v>
      </c>
      <c r="H1255" s="2" t="s">
        <v>1575</v>
      </c>
      <c r="I1255" s="2" t="s">
        <v>1578</v>
      </c>
      <c r="J1255" s="2">
        <v>10010.0</v>
      </c>
      <c r="K1255" s="2" t="s">
        <v>1606</v>
      </c>
      <c r="L1255" s="2"/>
      <c r="M1255" s="2"/>
      <c r="N1255" s="7">
        <v>1.0</v>
      </c>
      <c r="O1255" s="12">
        <v>25238.0</v>
      </c>
      <c r="P1255" s="11" t="s">
        <v>1649</v>
      </c>
      <c r="Q1255" s="12">
        <v>25238.0</v>
      </c>
      <c r="R1255" s="11" t="s">
        <v>1649</v>
      </c>
      <c r="S1255" s="11" t="s">
        <v>1660</v>
      </c>
      <c r="T1255" s="11" t="s">
        <v>1680</v>
      </c>
      <c r="U1255" s="2" t="s">
        <v>1574</v>
      </c>
      <c r="V1255" s="2" t="s">
        <v>1568</v>
      </c>
      <c r="W1255" s="2" t="s">
        <v>1569</v>
      </c>
      <c r="X1255" s="2" t="s">
        <v>1570</v>
      </c>
      <c r="AB1255" s="2" t="s">
        <v>1571</v>
      </c>
    </row>
    <row r="1256">
      <c r="A1256" s="2" t="s">
        <v>1836</v>
      </c>
      <c r="B1256" s="2">
        <v>21.0</v>
      </c>
      <c r="C1256" s="2" t="s">
        <v>7</v>
      </c>
      <c r="D1256" s="2" t="s">
        <v>1837</v>
      </c>
      <c r="E1256" s="2">
        <v>4.0</v>
      </c>
      <c r="F1256" s="2" t="s">
        <v>4</v>
      </c>
      <c r="G1256" s="5">
        <v>2623935.0</v>
      </c>
      <c r="H1256" s="2" t="s">
        <v>1575</v>
      </c>
      <c r="I1256" s="2" t="s">
        <v>1580</v>
      </c>
      <c r="J1256" s="2">
        <v>10003.0</v>
      </c>
      <c r="K1256" s="2" t="s">
        <v>1603</v>
      </c>
      <c r="L1256" s="2"/>
      <c r="M1256" s="2"/>
      <c r="N1256" s="7">
        <v>1.0</v>
      </c>
      <c r="O1256" s="12">
        <v>29524.0</v>
      </c>
      <c r="P1256" s="11" t="s">
        <v>1649</v>
      </c>
      <c r="Q1256" s="12">
        <v>29524.0</v>
      </c>
      <c r="R1256" s="11" t="s">
        <v>1649</v>
      </c>
      <c r="S1256" s="11" t="s">
        <v>1683</v>
      </c>
      <c r="T1256" s="11" t="s">
        <v>1684</v>
      </c>
      <c r="U1256" s="2" t="s">
        <v>1574</v>
      </c>
      <c r="V1256" s="2" t="s">
        <v>1568</v>
      </c>
      <c r="W1256" s="2" t="s">
        <v>1569</v>
      </c>
      <c r="X1256" s="2" t="s">
        <v>1570</v>
      </c>
      <c r="AB1256" s="2" t="s">
        <v>1571</v>
      </c>
    </row>
    <row r="1257">
      <c r="A1257" s="2" t="s">
        <v>1836</v>
      </c>
      <c r="B1257" s="2">
        <v>21.0</v>
      </c>
      <c r="C1257" s="2" t="s">
        <v>7</v>
      </c>
      <c r="D1257" s="2" t="s">
        <v>1837</v>
      </c>
      <c r="E1257" s="2">
        <v>4.0</v>
      </c>
      <c r="F1257" s="2" t="s">
        <v>4</v>
      </c>
      <c r="G1257" s="5">
        <v>2623935.0</v>
      </c>
      <c r="H1257" s="2" t="s">
        <v>1575</v>
      </c>
      <c r="I1257" s="2" t="s">
        <v>1580</v>
      </c>
      <c r="J1257" s="2">
        <v>10003.0</v>
      </c>
      <c r="K1257" s="2" t="s">
        <v>1603</v>
      </c>
      <c r="L1257" s="2"/>
      <c r="M1257" s="2"/>
      <c r="N1257" s="7">
        <v>1.0</v>
      </c>
      <c r="O1257" s="12">
        <v>29524.0</v>
      </c>
      <c r="P1257" s="11" t="s">
        <v>1649</v>
      </c>
      <c r="Q1257" s="12">
        <v>29524.0</v>
      </c>
      <c r="R1257" s="11" t="s">
        <v>1649</v>
      </c>
      <c r="S1257" s="11" t="s">
        <v>1683</v>
      </c>
      <c r="T1257" s="11" t="s">
        <v>1684</v>
      </c>
      <c r="U1257" s="2" t="s">
        <v>1574</v>
      </c>
      <c r="V1257" s="2" t="s">
        <v>1568</v>
      </c>
      <c r="W1257" s="2" t="s">
        <v>1569</v>
      </c>
      <c r="X1257" s="2" t="s">
        <v>1570</v>
      </c>
      <c r="AB1257" s="2" t="s">
        <v>1571</v>
      </c>
    </row>
    <row r="1258">
      <c r="A1258" s="2" t="s">
        <v>1836</v>
      </c>
      <c r="B1258" s="2">
        <v>21.0</v>
      </c>
      <c r="C1258" s="2" t="s">
        <v>7</v>
      </c>
      <c r="D1258" s="2" t="s">
        <v>1837</v>
      </c>
      <c r="E1258" s="2">
        <v>4.0</v>
      </c>
      <c r="F1258" s="2" t="s">
        <v>4</v>
      </c>
      <c r="G1258" s="5">
        <v>2623570.0</v>
      </c>
      <c r="H1258" s="2" t="s">
        <v>1575</v>
      </c>
      <c r="I1258" s="2" t="s">
        <v>1578</v>
      </c>
      <c r="J1258" s="2">
        <v>10051.0</v>
      </c>
      <c r="K1258" s="2" t="s">
        <v>1579</v>
      </c>
      <c r="L1258" s="2"/>
      <c r="M1258" s="2"/>
      <c r="N1258" s="7">
        <v>1.0</v>
      </c>
      <c r="O1258" s="12">
        <v>25238.0</v>
      </c>
      <c r="P1258" s="11" t="s">
        <v>1649</v>
      </c>
      <c r="Q1258" s="12">
        <v>25238.0</v>
      </c>
      <c r="R1258" s="11" t="s">
        <v>1649</v>
      </c>
      <c r="S1258" s="11" t="s">
        <v>1660</v>
      </c>
      <c r="T1258" s="11" t="s">
        <v>1680</v>
      </c>
      <c r="U1258" s="2" t="s">
        <v>1574</v>
      </c>
      <c r="V1258" s="2" t="s">
        <v>1568</v>
      </c>
      <c r="W1258" s="2" t="s">
        <v>1569</v>
      </c>
      <c r="X1258" s="2" t="s">
        <v>1570</v>
      </c>
      <c r="AB1258" s="2" t="s">
        <v>1571</v>
      </c>
    </row>
    <row r="1259">
      <c r="A1259" s="2" t="s">
        <v>1836</v>
      </c>
      <c r="B1259" s="2">
        <v>21.0</v>
      </c>
      <c r="C1259" s="2" t="s">
        <v>7</v>
      </c>
      <c r="D1259" s="2" t="s">
        <v>1837</v>
      </c>
      <c r="E1259" s="2">
        <v>4.0</v>
      </c>
      <c r="F1259" s="2" t="s">
        <v>4</v>
      </c>
      <c r="G1259" s="5">
        <v>2623570.0</v>
      </c>
      <c r="H1259" s="2" t="s">
        <v>1575</v>
      </c>
      <c r="I1259" s="2" t="s">
        <v>1565</v>
      </c>
      <c r="J1259" s="2">
        <v>10002.0</v>
      </c>
      <c r="K1259" s="2" t="s">
        <v>1576</v>
      </c>
      <c r="L1259" s="2"/>
      <c r="M1259" s="2"/>
      <c r="N1259" s="7">
        <v>1.0</v>
      </c>
      <c r="O1259" s="12">
        <v>18571.0</v>
      </c>
      <c r="P1259" s="11" t="s">
        <v>1649</v>
      </c>
      <c r="Q1259" s="12">
        <v>18571.0</v>
      </c>
      <c r="R1259" s="11" t="s">
        <v>1649</v>
      </c>
      <c r="S1259" s="11" t="s">
        <v>1656</v>
      </c>
      <c r="T1259" s="11" t="s">
        <v>1688</v>
      </c>
      <c r="U1259" s="2" t="s">
        <v>1574</v>
      </c>
      <c r="V1259" s="2" t="s">
        <v>1568</v>
      </c>
      <c r="W1259" s="2" t="s">
        <v>1569</v>
      </c>
      <c r="X1259" s="2" t="s">
        <v>1570</v>
      </c>
      <c r="AB1259" s="2" t="s">
        <v>1571</v>
      </c>
    </row>
    <row r="1260">
      <c r="A1260" s="2" t="s">
        <v>1836</v>
      </c>
      <c r="B1260" s="2">
        <v>19.0</v>
      </c>
      <c r="C1260" s="2" t="s">
        <v>7</v>
      </c>
      <c r="D1260" s="2" t="s">
        <v>1837</v>
      </c>
      <c r="E1260" s="2">
        <v>4.0</v>
      </c>
      <c r="F1260" s="2" t="s">
        <v>4</v>
      </c>
      <c r="G1260" s="5">
        <v>2623205.0</v>
      </c>
      <c r="H1260" s="2" t="s">
        <v>1575</v>
      </c>
      <c r="I1260" s="2" t="s">
        <v>1565</v>
      </c>
      <c r="J1260" s="2">
        <v>10002.0</v>
      </c>
      <c r="K1260" s="2" t="s">
        <v>1576</v>
      </c>
      <c r="L1260" s="2"/>
      <c r="M1260" s="2"/>
      <c r="N1260" s="7">
        <v>1.0</v>
      </c>
      <c r="O1260" s="12">
        <v>18571.0</v>
      </c>
      <c r="P1260" s="11" t="s">
        <v>1649</v>
      </c>
      <c r="Q1260" s="12">
        <v>18571.0</v>
      </c>
      <c r="R1260" s="11" t="s">
        <v>1649</v>
      </c>
      <c r="S1260" s="11" t="s">
        <v>1656</v>
      </c>
      <c r="T1260" s="11" t="s">
        <v>1657</v>
      </c>
      <c r="U1260" s="2" t="s">
        <v>1574</v>
      </c>
      <c r="V1260" s="2" t="s">
        <v>1568</v>
      </c>
      <c r="W1260" s="2" t="s">
        <v>1569</v>
      </c>
      <c r="X1260" s="2" t="s">
        <v>1570</v>
      </c>
      <c r="AB1260" s="2" t="s">
        <v>1571</v>
      </c>
    </row>
    <row r="1261">
      <c r="A1261" s="2" t="s">
        <v>1836</v>
      </c>
      <c r="B1261" s="2">
        <v>19.0</v>
      </c>
      <c r="C1261" s="2" t="s">
        <v>7</v>
      </c>
      <c r="D1261" s="2" t="s">
        <v>1837</v>
      </c>
      <c r="E1261" s="2">
        <v>4.0</v>
      </c>
      <c r="F1261" s="2" t="s">
        <v>4</v>
      </c>
      <c r="G1261" s="5">
        <v>2622840.0</v>
      </c>
      <c r="H1261" s="2" t="s">
        <v>1575</v>
      </c>
      <c r="I1261" s="2" t="s">
        <v>1572</v>
      </c>
      <c r="J1261" s="2">
        <v>10122.0</v>
      </c>
      <c r="K1261" s="2" t="s">
        <v>1577</v>
      </c>
      <c r="L1261" s="2"/>
      <c r="M1261" s="2"/>
      <c r="N1261" s="7">
        <v>1.0</v>
      </c>
      <c r="O1261" s="12">
        <v>21905.0</v>
      </c>
      <c r="P1261" s="11" t="s">
        <v>1649</v>
      </c>
      <c r="Q1261" s="12">
        <v>21905.0</v>
      </c>
      <c r="R1261" s="11" t="s">
        <v>1649</v>
      </c>
      <c r="S1261" s="11" t="s">
        <v>1666</v>
      </c>
      <c r="T1261" s="11" t="s">
        <v>1667</v>
      </c>
      <c r="U1261" s="2" t="s">
        <v>1574</v>
      </c>
      <c r="V1261" s="2" t="s">
        <v>1568</v>
      </c>
      <c r="W1261" s="2" t="s">
        <v>1569</v>
      </c>
      <c r="X1261" s="2" t="s">
        <v>1570</v>
      </c>
      <c r="AB1261" s="2" t="s">
        <v>1571</v>
      </c>
    </row>
    <row r="1262">
      <c r="A1262" s="2" t="s">
        <v>1836</v>
      </c>
      <c r="B1262" s="2">
        <v>19.0</v>
      </c>
      <c r="C1262" s="2" t="s">
        <v>7</v>
      </c>
      <c r="D1262" s="2" t="s">
        <v>1837</v>
      </c>
      <c r="E1262" s="2">
        <v>4.0</v>
      </c>
      <c r="F1262" s="2" t="s">
        <v>4</v>
      </c>
      <c r="G1262" s="5">
        <v>2622840.0</v>
      </c>
      <c r="H1262" s="2" t="s">
        <v>1575</v>
      </c>
      <c r="I1262" s="2" t="s">
        <v>1580</v>
      </c>
      <c r="J1262" s="2">
        <v>10003.0</v>
      </c>
      <c r="K1262" s="2" t="s">
        <v>1603</v>
      </c>
      <c r="L1262" s="2"/>
      <c r="M1262" s="2"/>
      <c r="N1262" s="7">
        <v>1.0</v>
      </c>
      <c r="O1262" s="12">
        <v>29524.0</v>
      </c>
      <c r="P1262" s="11" t="s">
        <v>1649</v>
      </c>
      <c r="Q1262" s="12">
        <v>29524.0</v>
      </c>
      <c r="R1262" s="11" t="s">
        <v>1649</v>
      </c>
      <c r="S1262" s="11" t="s">
        <v>1683</v>
      </c>
      <c r="T1262" s="11" t="s">
        <v>1684</v>
      </c>
      <c r="U1262" s="2" t="s">
        <v>1574</v>
      </c>
      <c r="V1262" s="2" t="s">
        <v>1568</v>
      </c>
      <c r="W1262" s="2" t="s">
        <v>1569</v>
      </c>
      <c r="X1262" s="2" t="s">
        <v>1570</v>
      </c>
      <c r="AB1262" s="2" t="s">
        <v>1571</v>
      </c>
    </row>
    <row r="1263">
      <c r="A1263" s="2" t="s">
        <v>1836</v>
      </c>
      <c r="B1263" s="2">
        <v>19.0</v>
      </c>
      <c r="C1263" s="2" t="s">
        <v>7</v>
      </c>
      <c r="D1263" s="2" t="s">
        <v>1837</v>
      </c>
      <c r="E1263" s="2">
        <v>4.0</v>
      </c>
      <c r="F1263" s="2" t="s">
        <v>4</v>
      </c>
      <c r="G1263" s="5">
        <v>2622840.0</v>
      </c>
      <c r="H1263" s="2" t="s">
        <v>1575</v>
      </c>
      <c r="I1263" s="2" t="s">
        <v>1578</v>
      </c>
      <c r="J1263" s="2">
        <v>10051.0</v>
      </c>
      <c r="K1263" s="2" t="s">
        <v>1579</v>
      </c>
      <c r="L1263" s="2"/>
      <c r="M1263" s="2"/>
      <c r="N1263" s="7">
        <v>1.0</v>
      </c>
      <c r="O1263" s="12">
        <v>25238.0</v>
      </c>
      <c r="P1263" s="11" t="s">
        <v>1649</v>
      </c>
      <c r="Q1263" s="12">
        <v>25238.0</v>
      </c>
      <c r="R1263" s="11" t="s">
        <v>1649</v>
      </c>
      <c r="S1263" s="11" t="s">
        <v>1660</v>
      </c>
      <c r="T1263" s="11" t="s">
        <v>1680</v>
      </c>
      <c r="U1263" s="2" t="s">
        <v>1574</v>
      </c>
      <c r="V1263" s="2" t="s">
        <v>1568</v>
      </c>
      <c r="W1263" s="2" t="s">
        <v>1569</v>
      </c>
      <c r="X1263" s="2" t="s">
        <v>1570</v>
      </c>
      <c r="AB1263" s="2" t="s">
        <v>1571</v>
      </c>
    </row>
    <row r="1264">
      <c r="A1264" s="2" t="s">
        <v>1836</v>
      </c>
      <c r="B1264" s="2">
        <v>19.0</v>
      </c>
      <c r="C1264" s="2" t="s">
        <v>7</v>
      </c>
      <c r="D1264" s="2" t="s">
        <v>1837</v>
      </c>
      <c r="E1264" s="2">
        <v>4.0</v>
      </c>
      <c r="F1264" s="2" t="s">
        <v>4</v>
      </c>
      <c r="G1264" s="5">
        <v>2622840.0</v>
      </c>
      <c r="H1264" s="2" t="s">
        <v>1575</v>
      </c>
      <c r="I1264" s="2" t="s">
        <v>1572</v>
      </c>
      <c r="J1264" s="2">
        <v>10112.0</v>
      </c>
      <c r="K1264" s="2" t="s">
        <v>1573</v>
      </c>
      <c r="L1264" s="2"/>
      <c r="M1264" s="2"/>
      <c r="N1264" s="7">
        <v>1.0</v>
      </c>
      <c r="O1264" s="12">
        <v>6667.0</v>
      </c>
      <c r="P1264" s="11" t="s">
        <v>1649</v>
      </c>
      <c r="Q1264" s="12">
        <v>6667.0</v>
      </c>
      <c r="R1264" s="11" t="s">
        <v>1649</v>
      </c>
      <c r="S1264" s="11" t="s">
        <v>1734</v>
      </c>
      <c r="T1264" s="11" t="s">
        <v>1735</v>
      </c>
      <c r="U1264" s="2" t="s">
        <v>1574</v>
      </c>
      <c r="V1264" s="2" t="s">
        <v>1568</v>
      </c>
      <c r="W1264" s="2" t="s">
        <v>1569</v>
      </c>
      <c r="X1264" s="2" t="s">
        <v>1570</v>
      </c>
      <c r="AB1264" s="2" t="s">
        <v>1571</v>
      </c>
    </row>
    <row r="1265">
      <c r="A1265" s="2" t="s">
        <v>1836</v>
      </c>
      <c r="B1265" s="2">
        <v>19.0</v>
      </c>
      <c r="C1265" s="2" t="s">
        <v>7</v>
      </c>
      <c r="D1265" s="2" t="s">
        <v>1837</v>
      </c>
      <c r="E1265" s="2">
        <v>4.0</v>
      </c>
      <c r="F1265" s="2" t="s">
        <v>4</v>
      </c>
      <c r="G1265" s="5">
        <v>2622840.0</v>
      </c>
      <c r="H1265" s="2" t="s">
        <v>1575</v>
      </c>
      <c r="I1265" s="2" t="s">
        <v>1565</v>
      </c>
      <c r="J1265" s="2">
        <v>10002.0</v>
      </c>
      <c r="K1265" s="2" t="s">
        <v>1576</v>
      </c>
      <c r="L1265" s="2"/>
      <c r="M1265" s="2"/>
      <c r="N1265" s="7">
        <v>1.0</v>
      </c>
      <c r="O1265" s="12">
        <v>18571.0</v>
      </c>
      <c r="P1265" s="11" t="s">
        <v>1649</v>
      </c>
      <c r="Q1265" s="12">
        <v>18571.0</v>
      </c>
      <c r="R1265" s="11" t="s">
        <v>1649</v>
      </c>
      <c r="S1265" s="11" t="s">
        <v>1656</v>
      </c>
      <c r="T1265" s="11" t="s">
        <v>1688</v>
      </c>
      <c r="U1265" s="2" t="s">
        <v>1574</v>
      </c>
      <c r="V1265" s="2" t="s">
        <v>1568</v>
      </c>
      <c r="W1265" s="2" t="s">
        <v>1569</v>
      </c>
      <c r="X1265" s="2" t="s">
        <v>1570</v>
      </c>
      <c r="AB1265" s="2" t="s">
        <v>1571</v>
      </c>
    </row>
    <row r="1266">
      <c r="A1266" s="2" t="s">
        <v>1836</v>
      </c>
      <c r="B1266" s="2">
        <v>19.0</v>
      </c>
      <c r="C1266" s="2" t="s">
        <v>7</v>
      </c>
      <c r="D1266" s="2" t="s">
        <v>1837</v>
      </c>
      <c r="E1266" s="2">
        <v>4.0</v>
      </c>
      <c r="F1266" s="2" t="s">
        <v>4</v>
      </c>
      <c r="G1266" s="5">
        <v>2622474.0</v>
      </c>
      <c r="H1266" s="2" t="s">
        <v>1575</v>
      </c>
      <c r="I1266" s="2" t="s">
        <v>1565</v>
      </c>
      <c r="J1266" s="2">
        <v>10000.0</v>
      </c>
      <c r="K1266" s="2" t="s">
        <v>1566</v>
      </c>
      <c r="L1266" s="2"/>
      <c r="M1266" s="2"/>
      <c r="N1266" s="7">
        <v>1.0</v>
      </c>
      <c r="O1266" s="12">
        <v>29524.0</v>
      </c>
      <c r="P1266" s="11" t="s">
        <v>1649</v>
      </c>
      <c r="Q1266" s="12">
        <v>29524.0</v>
      </c>
      <c r="R1266" s="11" t="s">
        <v>1649</v>
      </c>
      <c r="S1266" s="11" t="s">
        <v>1683</v>
      </c>
      <c r="T1266" s="11" t="s">
        <v>1684</v>
      </c>
      <c r="U1266" s="2" t="s">
        <v>1574</v>
      </c>
      <c r="V1266" s="2" t="s">
        <v>1568</v>
      </c>
      <c r="W1266" s="2" t="s">
        <v>1569</v>
      </c>
      <c r="X1266" s="2" t="s">
        <v>1570</v>
      </c>
      <c r="AB1266" s="2" t="s">
        <v>1571</v>
      </c>
    </row>
    <row r="1267">
      <c r="A1267" s="2" t="s">
        <v>1836</v>
      </c>
      <c r="B1267" s="2">
        <v>19.0</v>
      </c>
      <c r="C1267" s="2" t="s">
        <v>7</v>
      </c>
      <c r="D1267" s="2" t="s">
        <v>1837</v>
      </c>
      <c r="E1267" s="2">
        <v>4.0</v>
      </c>
      <c r="F1267" s="2" t="s">
        <v>4</v>
      </c>
      <c r="G1267" s="5">
        <v>2622474.0</v>
      </c>
      <c r="H1267" s="2" t="s">
        <v>1575</v>
      </c>
      <c r="I1267" s="2" t="s">
        <v>1572</v>
      </c>
      <c r="J1267" s="2">
        <v>10112.0</v>
      </c>
      <c r="K1267" s="2" t="s">
        <v>1573</v>
      </c>
      <c r="L1267" s="2"/>
      <c r="M1267" s="2"/>
      <c r="N1267" s="7">
        <v>1.0</v>
      </c>
      <c r="O1267" s="12">
        <v>6667.0</v>
      </c>
      <c r="P1267" s="11" t="s">
        <v>1649</v>
      </c>
      <c r="Q1267" s="12">
        <v>6667.0</v>
      </c>
      <c r="R1267" s="11" t="s">
        <v>1649</v>
      </c>
      <c r="S1267" s="11" t="s">
        <v>1734</v>
      </c>
      <c r="T1267" s="11" t="s">
        <v>1735</v>
      </c>
      <c r="U1267" s="2" t="s">
        <v>1574</v>
      </c>
      <c r="V1267" s="2" t="s">
        <v>1568</v>
      </c>
      <c r="W1267" s="2" t="s">
        <v>1569</v>
      </c>
      <c r="X1267" s="2" t="s">
        <v>1570</v>
      </c>
      <c r="AB1267" s="2" t="s">
        <v>1571</v>
      </c>
    </row>
    <row r="1268">
      <c r="A1268" s="2" t="s">
        <v>1836</v>
      </c>
      <c r="B1268" s="2">
        <v>19.0</v>
      </c>
      <c r="C1268" s="2" t="s">
        <v>7</v>
      </c>
      <c r="D1268" s="2" t="s">
        <v>1837</v>
      </c>
      <c r="E1268" s="2">
        <v>4.0</v>
      </c>
      <c r="F1268" s="2" t="s">
        <v>4</v>
      </c>
      <c r="G1268" s="5">
        <v>2622109.0</v>
      </c>
      <c r="H1268" s="2" t="s">
        <v>1575</v>
      </c>
      <c r="I1268" s="2" t="s">
        <v>1565</v>
      </c>
      <c r="J1268" s="2">
        <v>10005.0</v>
      </c>
      <c r="K1268" s="2" t="s">
        <v>1595</v>
      </c>
      <c r="L1268" s="2"/>
      <c r="M1268" s="2"/>
      <c r="N1268" s="7">
        <v>1.0</v>
      </c>
      <c r="O1268" s="12">
        <v>19524.0</v>
      </c>
      <c r="P1268" s="11" t="s">
        <v>1649</v>
      </c>
      <c r="Q1268" s="12">
        <v>19524.0</v>
      </c>
      <c r="R1268" s="11" t="s">
        <v>1649</v>
      </c>
      <c r="S1268" s="11" t="s">
        <v>1676</v>
      </c>
      <c r="T1268" s="11" t="s">
        <v>1677</v>
      </c>
      <c r="U1268" s="2" t="s">
        <v>1574</v>
      </c>
      <c r="V1268" s="2" t="s">
        <v>1568</v>
      </c>
      <c r="W1268" s="2" t="s">
        <v>1569</v>
      </c>
      <c r="X1268" s="2" t="s">
        <v>1570</v>
      </c>
      <c r="AB1268" s="2" t="s">
        <v>1571</v>
      </c>
    </row>
    <row r="1269">
      <c r="A1269" s="2" t="s">
        <v>1836</v>
      </c>
      <c r="B1269" s="2">
        <v>19.0</v>
      </c>
      <c r="C1269" s="2" t="s">
        <v>7</v>
      </c>
      <c r="D1269" s="2" t="s">
        <v>1837</v>
      </c>
      <c r="E1269" s="2">
        <v>4.0</v>
      </c>
      <c r="F1269" s="2" t="s">
        <v>4</v>
      </c>
      <c r="G1269" s="5">
        <v>2621744.0</v>
      </c>
      <c r="H1269" s="2" t="s">
        <v>1575</v>
      </c>
      <c r="I1269" s="2" t="s">
        <v>1565</v>
      </c>
      <c r="J1269" s="2">
        <v>10042.0</v>
      </c>
      <c r="K1269" s="2" t="s">
        <v>1634</v>
      </c>
      <c r="L1269" s="2"/>
      <c r="M1269" s="2"/>
      <c r="N1269" s="7">
        <v>1.0</v>
      </c>
      <c r="O1269" s="12">
        <v>9524.0</v>
      </c>
      <c r="P1269" s="11" t="s">
        <v>1649</v>
      </c>
      <c r="Q1269" s="12">
        <v>9524.0</v>
      </c>
      <c r="R1269" s="11" t="s">
        <v>1649</v>
      </c>
      <c r="S1269" s="11" t="s">
        <v>1834</v>
      </c>
      <c r="T1269" s="11" t="s">
        <v>1835</v>
      </c>
      <c r="U1269" s="2" t="s">
        <v>1574</v>
      </c>
      <c r="V1269" s="2" t="s">
        <v>1568</v>
      </c>
      <c r="W1269" s="2" t="s">
        <v>1569</v>
      </c>
      <c r="X1269" s="2" t="s">
        <v>1570</v>
      </c>
      <c r="AB1269" s="2" t="s">
        <v>1571</v>
      </c>
    </row>
    <row r="1270">
      <c r="A1270" s="2" t="s">
        <v>1836</v>
      </c>
      <c r="B1270" s="2">
        <v>19.0</v>
      </c>
      <c r="C1270" s="2" t="s">
        <v>7</v>
      </c>
      <c r="D1270" s="2" t="s">
        <v>1837</v>
      </c>
      <c r="E1270" s="2">
        <v>4.0</v>
      </c>
      <c r="F1270" s="2" t="s">
        <v>4</v>
      </c>
      <c r="G1270" s="5">
        <v>2621379.0</v>
      </c>
      <c r="H1270" s="2" t="s">
        <v>1575</v>
      </c>
      <c r="I1270" s="2" t="s">
        <v>1578</v>
      </c>
      <c r="J1270" s="2">
        <v>10010.0</v>
      </c>
      <c r="K1270" s="2" t="s">
        <v>1606</v>
      </c>
      <c r="L1270" s="2"/>
      <c r="M1270" s="2"/>
      <c r="N1270" s="7">
        <v>1.0</v>
      </c>
      <c r="O1270" s="12">
        <v>25238.0</v>
      </c>
      <c r="P1270" s="11" t="s">
        <v>1649</v>
      </c>
      <c r="Q1270" s="12">
        <v>25238.0</v>
      </c>
      <c r="R1270" s="11" t="s">
        <v>1649</v>
      </c>
      <c r="S1270" s="11" t="s">
        <v>1660</v>
      </c>
      <c r="T1270" s="11" t="s">
        <v>1680</v>
      </c>
      <c r="U1270" s="2" t="s">
        <v>1574</v>
      </c>
      <c r="V1270" s="2" t="s">
        <v>1568</v>
      </c>
      <c r="W1270" s="2" t="s">
        <v>1569</v>
      </c>
      <c r="X1270" s="2" t="s">
        <v>1570</v>
      </c>
      <c r="AB1270" s="2" t="s">
        <v>1571</v>
      </c>
    </row>
    <row r="1271">
      <c r="A1271" s="2" t="s">
        <v>1836</v>
      </c>
      <c r="B1271" s="2">
        <v>19.0</v>
      </c>
      <c r="C1271" s="2" t="s">
        <v>7</v>
      </c>
      <c r="D1271" s="2" t="s">
        <v>1837</v>
      </c>
      <c r="E1271" s="2">
        <v>4.0</v>
      </c>
      <c r="F1271" s="2" t="s">
        <v>4</v>
      </c>
      <c r="G1271" s="5">
        <v>2621379.0</v>
      </c>
      <c r="H1271" s="2" t="s">
        <v>1575</v>
      </c>
      <c r="I1271" s="2" t="s">
        <v>1578</v>
      </c>
      <c r="J1271" s="2">
        <v>10051.0</v>
      </c>
      <c r="K1271" s="2" t="s">
        <v>1579</v>
      </c>
      <c r="L1271" s="2"/>
      <c r="M1271" s="2"/>
      <c r="N1271" s="7">
        <v>1.0</v>
      </c>
      <c r="O1271" s="12">
        <v>25238.0</v>
      </c>
      <c r="P1271" s="11" t="s">
        <v>1649</v>
      </c>
      <c r="Q1271" s="12">
        <v>25238.0</v>
      </c>
      <c r="R1271" s="11" t="s">
        <v>1649</v>
      </c>
      <c r="S1271" s="11" t="s">
        <v>1660</v>
      </c>
      <c r="T1271" s="11" t="s">
        <v>1680</v>
      </c>
      <c r="U1271" s="2" t="s">
        <v>1574</v>
      </c>
      <c r="V1271" s="2" t="s">
        <v>1568</v>
      </c>
      <c r="W1271" s="2" t="s">
        <v>1569</v>
      </c>
      <c r="X1271" s="2" t="s">
        <v>1570</v>
      </c>
      <c r="AB1271" s="2" t="s">
        <v>1571</v>
      </c>
    </row>
    <row r="1272">
      <c r="A1272" s="2" t="s">
        <v>1836</v>
      </c>
      <c r="B1272" s="2">
        <v>19.0</v>
      </c>
      <c r="C1272" s="2" t="s">
        <v>7</v>
      </c>
      <c r="D1272" s="2" t="s">
        <v>1837</v>
      </c>
      <c r="E1272" s="2">
        <v>4.0</v>
      </c>
      <c r="F1272" s="2" t="s">
        <v>4</v>
      </c>
      <c r="G1272" s="5">
        <v>2621013.0</v>
      </c>
      <c r="H1272" s="2" t="s">
        <v>1564</v>
      </c>
      <c r="I1272" s="2" t="s">
        <v>1578</v>
      </c>
      <c r="J1272" s="2">
        <v>10051.0</v>
      </c>
      <c r="K1272" s="2" t="s">
        <v>1579</v>
      </c>
      <c r="L1272" s="2"/>
      <c r="M1272" s="2"/>
      <c r="N1272" s="7">
        <v>-1.0</v>
      </c>
      <c r="O1272" s="12">
        <v>-25238.0</v>
      </c>
      <c r="P1272" s="11" t="s">
        <v>1649</v>
      </c>
      <c r="Q1272" s="12">
        <v>-25238.0</v>
      </c>
      <c r="R1272" s="11" t="s">
        <v>1650</v>
      </c>
      <c r="S1272" s="11" t="s">
        <v>1730</v>
      </c>
      <c r="T1272" s="11" t="s">
        <v>1731</v>
      </c>
      <c r="U1272" s="2" t="s">
        <v>1574</v>
      </c>
      <c r="V1272" s="2" t="s">
        <v>1568</v>
      </c>
      <c r="W1272" s="2" t="s">
        <v>1569</v>
      </c>
      <c r="X1272" s="2" t="s">
        <v>1570</v>
      </c>
      <c r="AB1272" s="2" t="s">
        <v>1571</v>
      </c>
    </row>
    <row r="1273">
      <c r="A1273" s="2" t="s">
        <v>1836</v>
      </c>
      <c r="B1273" s="2">
        <v>19.0</v>
      </c>
      <c r="C1273" s="2" t="s">
        <v>7</v>
      </c>
      <c r="D1273" s="2" t="s">
        <v>1837</v>
      </c>
      <c r="E1273" s="2">
        <v>4.0</v>
      </c>
      <c r="F1273" s="2" t="s">
        <v>4</v>
      </c>
      <c r="G1273" s="5">
        <v>2621013.0</v>
      </c>
      <c r="H1273" s="2" t="s">
        <v>1564</v>
      </c>
      <c r="I1273" s="2" t="s">
        <v>1578</v>
      </c>
      <c r="J1273" s="2">
        <v>10010.0</v>
      </c>
      <c r="K1273" s="2" t="s">
        <v>1606</v>
      </c>
      <c r="L1273" s="2"/>
      <c r="M1273" s="2"/>
      <c r="N1273" s="7">
        <v>-1.0</v>
      </c>
      <c r="O1273" s="12">
        <v>-25238.0</v>
      </c>
      <c r="P1273" s="11" t="s">
        <v>1649</v>
      </c>
      <c r="Q1273" s="12">
        <v>-25238.0</v>
      </c>
      <c r="R1273" s="11" t="s">
        <v>1650</v>
      </c>
      <c r="S1273" s="11" t="s">
        <v>1730</v>
      </c>
      <c r="T1273" s="11" t="s">
        <v>1731</v>
      </c>
      <c r="U1273" s="2" t="s">
        <v>1574</v>
      </c>
      <c r="V1273" s="2" t="s">
        <v>1568</v>
      </c>
      <c r="W1273" s="2" t="s">
        <v>1569</v>
      </c>
      <c r="X1273" s="2" t="s">
        <v>1570</v>
      </c>
      <c r="AB1273" s="2" t="s">
        <v>1571</v>
      </c>
    </row>
    <row r="1274">
      <c r="A1274" s="2" t="s">
        <v>1836</v>
      </c>
      <c r="B1274" s="2">
        <v>19.0</v>
      </c>
      <c r="C1274" s="2" t="s">
        <v>7</v>
      </c>
      <c r="D1274" s="2" t="s">
        <v>1837</v>
      </c>
      <c r="E1274" s="2">
        <v>4.0</v>
      </c>
      <c r="F1274" s="2" t="s">
        <v>4</v>
      </c>
      <c r="G1274" s="5">
        <v>2620648.0</v>
      </c>
      <c r="H1274" s="2" t="s">
        <v>1575</v>
      </c>
      <c r="I1274" s="2" t="s">
        <v>1578</v>
      </c>
      <c r="J1274" s="2">
        <v>10051.0</v>
      </c>
      <c r="K1274" s="2" t="s">
        <v>1579</v>
      </c>
      <c r="L1274" s="2"/>
      <c r="M1274" s="2"/>
      <c r="N1274" s="7">
        <v>1.0</v>
      </c>
      <c r="O1274" s="12">
        <v>25238.0</v>
      </c>
      <c r="P1274" s="11" t="s">
        <v>1649</v>
      </c>
      <c r="Q1274" s="12">
        <v>25238.0</v>
      </c>
      <c r="R1274" s="11" t="s">
        <v>1649</v>
      </c>
      <c r="S1274" s="11" t="s">
        <v>1660</v>
      </c>
      <c r="T1274" s="11" t="s">
        <v>1680</v>
      </c>
      <c r="U1274" s="2" t="s">
        <v>1574</v>
      </c>
      <c r="V1274" s="2" t="s">
        <v>1568</v>
      </c>
      <c r="W1274" s="2" t="s">
        <v>1569</v>
      </c>
      <c r="X1274" s="2" t="s">
        <v>1570</v>
      </c>
      <c r="AB1274" s="2" t="s">
        <v>1571</v>
      </c>
    </row>
    <row r="1275">
      <c r="A1275" s="2" t="s">
        <v>1836</v>
      </c>
      <c r="B1275" s="2">
        <v>19.0</v>
      </c>
      <c r="C1275" s="2" t="s">
        <v>7</v>
      </c>
      <c r="D1275" s="2" t="s">
        <v>1837</v>
      </c>
      <c r="E1275" s="2">
        <v>4.0</v>
      </c>
      <c r="F1275" s="2" t="s">
        <v>4</v>
      </c>
      <c r="G1275" s="5">
        <v>2620648.0</v>
      </c>
      <c r="H1275" s="2" t="s">
        <v>1575</v>
      </c>
      <c r="I1275" s="2" t="s">
        <v>1578</v>
      </c>
      <c r="J1275" s="2">
        <v>10010.0</v>
      </c>
      <c r="K1275" s="2" t="s">
        <v>1606</v>
      </c>
      <c r="L1275" s="2"/>
      <c r="M1275" s="2"/>
      <c r="N1275" s="7">
        <v>1.0</v>
      </c>
      <c r="O1275" s="12">
        <v>25238.0</v>
      </c>
      <c r="P1275" s="11" t="s">
        <v>1649</v>
      </c>
      <c r="Q1275" s="12">
        <v>25238.0</v>
      </c>
      <c r="R1275" s="11" t="s">
        <v>1649</v>
      </c>
      <c r="S1275" s="11" t="s">
        <v>1660</v>
      </c>
      <c r="T1275" s="11" t="s">
        <v>1680</v>
      </c>
      <c r="U1275" s="2" t="s">
        <v>1574</v>
      </c>
      <c r="V1275" s="2" t="s">
        <v>1568</v>
      </c>
      <c r="W1275" s="2" t="s">
        <v>1569</v>
      </c>
      <c r="X1275" s="2" t="s">
        <v>1570</v>
      </c>
      <c r="AB1275" s="2" t="s">
        <v>1571</v>
      </c>
    </row>
    <row r="1276">
      <c r="A1276" s="2" t="s">
        <v>1836</v>
      </c>
      <c r="B1276" s="2">
        <v>19.0</v>
      </c>
      <c r="C1276" s="2" t="s">
        <v>7</v>
      </c>
      <c r="D1276" s="2" t="s">
        <v>1837</v>
      </c>
      <c r="E1276" s="2">
        <v>4.0</v>
      </c>
      <c r="F1276" s="2" t="s">
        <v>4</v>
      </c>
      <c r="G1276" s="5">
        <v>2620283.0</v>
      </c>
      <c r="H1276" s="2" t="s">
        <v>1575</v>
      </c>
      <c r="I1276" s="2" t="s">
        <v>1565</v>
      </c>
      <c r="J1276" s="2">
        <v>10007.0</v>
      </c>
      <c r="K1276" s="2" t="s">
        <v>1576</v>
      </c>
      <c r="L1276" s="2"/>
      <c r="M1276" s="2"/>
      <c r="N1276" s="7">
        <v>2.0</v>
      </c>
      <c r="O1276" s="12">
        <v>33810.0</v>
      </c>
      <c r="P1276" s="11" t="s">
        <v>1649</v>
      </c>
      <c r="Q1276" s="12">
        <v>33810.0</v>
      </c>
      <c r="R1276" s="11" t="s">
        <v>1649</v>
      </c>
      <c r="S1276" s="11" t="s">
        <v>1701</v>
      </c>
      <c r="T1276" s="11" t="s">
        <v>1703</v>
      </c>
      <c r="U1276" s="2" t="s">
        <v>1574</v>
      </c>
      <c r="V1276" s="2" t="s">
        <v>1568</v>
      </c>
      <c r="W1276" s="2" t="s">
        <v>1569</v>
      </c>
      <c r="X1276" s="2" t="s">
        <v>1570</v>
      </c>
      <c r="AB1276" s="2" t="s">
        <v>1571</v>
      </c>
    </row>
    <row r="1277">
      <c r="A1277" s="2" t="s">
        <v>1836</v>
      </c>
      <c r="B1277" s="2">
        <v>19.0</v>
      </c>
      <c r="C1277" s="2" t="s">
        <v>7</v>
      </c>
      <c r="D1277" s="2" t="s">
        <v>1837</v>
      </c>
      <c r="E1277" s="2">
        <v>4.0</v>
      </c>
      <c r="F1277" s="2" t="s">
        <v>4</v>
      </c>
      <c r="G1277" s="5">
        <v>2620283.0</v>
      </c>
      <c r="H1277" s="2" t="s">
        <v>1575</v>
      </c>
      <c r="I1277" s="2" t="s">
        <v>1572</v>
      </c>
      <c r="J1277" s="2">
        <v>10128.0</v>
      </c>
      <c r="K1277" s="2" t="s">
        <v>1588</v>
      </c>
      <c r="L1277" s="2"/>
      <c r="M1277" s="2"/>
      <c r="N1277" s="7">
        <v>1.0</v>
      </c>
      <c r="O1277" s="12">
        <v>23333.0</v>
      </c>
      <c r="P1277" s="11" t="s">
        <v>1649</v>
      </c>
      <c r="Q1277" s="12">
        <v>23333.0</v>
      </c>
      <c r="R1277" s="11" t="s">
        <v>1649</v>
      </c>
      <c r="S1277" s="11" t="s">
        <v>1681</v>
      </c>
      <c r="T1277" s="11" t="s">
        <v>1715</v>
      </c>
      <c r="U1277" s="2" t="s">
        <v>1574</v>
      </c>
      <c r="V1277" s="2" t="s">
        <v>1568</v>
      </c>
      <c r="W1277" s="2" t="s">
        <v>1569</v>
      </c>
      <c r="X1277" s="2" t="s">
        <v>1570</v>
      </c>
      <c r="AB1277" s="2" t="s">
        <v>1571</v>
      </c>
    </row>
    <row r="1278">
      <c r="A1278" s="2" t="s">
        <v>1836</v>
      </c>
      <c r="B1278" s="2">
        <v>19.0</v>
      </c>
      <c r="C1278" s="2" t="s">
        <v>7</v>
      </c>
      <c r="D1278" s="2" t="s">
        <v>1837</v>
      </c>
      <c r="E1278" s="2">
        <v>4.0</v>
      </c>
      <c r="F1278" s="2" t="s">
        <v>4</v>
      </c>
      <c r="G1278" s="5">
        <v>2620283.0</v>
      </c>
      <c r="H1278" s="2" t="s">
        <v>1575</v>
      </c>
      <c r="I1278" s="2" t="s">
        <v>1578</v>
      </c>
      <c r="J1278" s="2">
        <v>10051.0</v>
      </c>
      <c r="K1278" s="2" t="s">
        <v>1579</v>
      </c>
      <c r="L1278" s="2"/>
      <c r="M1278" s="2"/>
      <c r="N1278" s="7">
        <v>1.0</v>
      </c>
      <c r="O1278" s="12">
        <v>25238.0</v>
      </c>
      <c r="P1278" s="11" t="s">
        <v>1649</v>
      </c>
      <c r="Q1278" s="12">
        <v>25238.0</v>
      </c>
      <c r="R1278" s="11" t="s">
        <v>1649</v>
      </c>
      <c r="S1278" s="11" t="s">
        <v>1660</v>
      </c>
      <c r="T1278" s="11" t="s">
        <v>1680</v>
      </c>
      <c r="U1278" s="2" t="s">
        <v>1574</v>
      </c>
      <c r="V1278" s="2" t="s">
        <v>1568</v>
      </c>
      <c r="W1278" s="2" t="s">
        <v>1569</v>
      </c>
      <c r="X1278" s="2" t="s">
        <v>1570</v>
      </c>
      <c r="AB1278" s="2" t="s">
        <v>1571</v>
      </c>
    </row>
    <row r="1279">
      <c r="A1279" s="2" t="s">
        <v>1836</v>
      </c>
      <c r="B1279" s="2">
        <v>19.0</v>
      </c>
      <c r="C1279" s="2" t="s">
        <v>7</v>
      </c>
      <c r="D1279" s="2" t="s">
        <v>1837</v>
      </c>
      <c r="E1279" s="2">
        <v>4.0</v>
      </c>
      <c r="F1279" s="2" t="s">
        <v>4</v>
      </c>
      <c r="G1279" s="5">
        <v>2620283.0</v>
      </c>
      <c r="H1279" s="2" t="s">
        <v>1575</v>
      </c>
      <c r="I1279" s="2" t="s">
        <v>1572</v>
      </c>
      <c r="J1279" s="2">
        <v>10026.0</v>
      </c>
      <c r="K1279" s="2" t="s">
        <v>1583</v>
      </c>
      <c r="L1279" s="2"/>
      <c r="M1279" s="2"/>
      <c r="N1279" s="7">
        <v>1.0</v>
      </c>
      <c r="O1279" s="12">
        <v>21905.0</v>
      </c>
      <c r="P1279" s="11" t="s">
        <v>1649</v>
      </c>
      <c r="Q1279" s="12">
        <v>21905.0</v>
      </c>
      <c r="R1279" s="11" t="s">
        <v>1649</v>
      </c>
      <c r="S1279" s="11" t="s">
        <v>1666</v>
      </c>
      <c r="T1279" s="11" t="s">
        <v>1667</v>
      </c>
      <c r="U1279" s="2" t="s">
        <v>1574</v>
      </c>
      <c r="V1279" s="2" t="s">
        <v>1568</v>
      </c>
      <c r="W1279" s="2" t="s">
        <v>1569</v>
      </c>
      <c r="X1279" s="2" t="s">
        <v>1570</v>
      </c>
      <c r="AB1279" s="2" t="s">
        <v>1571</v>
      </c>
    </row>
    <row r="1280">
      <c r="A1280" s="2" t="s">
        <v>1836</v>
      </c>
      <c r="B1280" s="2">
        <v>18.0</v>
      </c>
      <c r="C1280" s="2" t="s">
        <v>7</v>
      </c>
      <c r="D1280" s="2" t="s">
        <v>1837</v>
      </c>
      <c r="E1280" s="2">
        <v>4.0</v>
      </c>
      <c r="F1280" s="2" t="s">
        <v>4</v>
      </c>
      <c r="G1280" s="5">
        <v>2619918.0</v>
      </c>
      <c r="H1280" s="2" t="s">
        <v>1575</v>
      </c>
      <c r="I1280" s="2" t="s">
        <v>1572</v>
      </c>
      <c r="J1280" s="2">
        <v>10026.0</v>
      </c>
      <c r="K1280" s="2" t="s">
        <v>1583</v>
      </c>
      <c r="L1280" s="2"/>
      <c r="M1280" s="2"/>
      <c r="N1280" s="7">
        <v>1.0</v>
      </c>
      <c r="O1280" s="12">
        <v>21905.0</v>
      </c>
      <c r="P1280" s="11" t="s">
        <v>1649</v>
      </c>
      <c r="Q1280" s="12">
        <v>21905.0</v>
      </c>
      <c r="R1280" s="11" t="s">
        <v>1649</v>
      </c>
      <c r="S1280" s="11" t="s">
        <v>1666</v>
      </c>
      <c r="T1280" s="11" t="s">
        <v>1667</v>
      </c>
      <c r="U1280" s="2" t="s">
        <v>1574</v>
      </c>
      <c r="V1280" s="2" t="s">
        <v>1568</v>
      </c>
      <c r="W1280" s="2" t="s">
        <v>1569</v>
      </c>
      <c r="X1280" s="2" t="s">
        <v>1570</v>
      </c>
      <c r="AB1280" s="2" t="s">
        <v>1571</v>
      </c>
    </row>
    <row r="1281">
      <c r="A1281" s="2" t="s">
        <v>1836</v>
      </c>
      <c r="B1281" s="2">
        <v>18.0</v>
      </c>
      <c r="C1281" s="2" t="s">
        <v>7</v>
      </c>
      <c r="D1281" s="2" t="s">
        <v>1837</v>
      </c>
      <c r="E1281" s="2">
        <v>4.0</v>
      </c>
      <c r="F1281" s="2" t="s">
        <v>4</v>
      </c>
      <c r="G1281" s="5">
        <v>2619918.0</v>
      </c>
      <c r="H1281" s="2" t="s">
        <v>1575</v>
      </c>
      <c r="I1281" s="2" t="s">
        <v>1578</v>
      </c>
      <c r="J1281" s="2">
        <v>10051.0</v>
      </c>
      <c r="K1281" s="2" t="s">
        <v>1579</v>
      </c>
      <c r="L1281" s="2"/>
      <c r="M1281" s="2"/>
      <c r="N1281" s="7">
        <v>1.0</v>
      </c>
      <c r="O1281" s="12">
        <v>25238.0</v>
      </c>
      <c r="P1281" s="11" t="s">
        <v>1649</v>
      </c>
      <c r="Q1281" s="12">
        <v>25238.0</v>
      </c>
      <c r="R1281" s="11" t="s">
        <v>1649</v>
      </c>
      <c r="S1281" s="11" t="s">
        <v>1660</v>
      </c>
      <c r="T1281" s="11" t="s">
        <v>1680</v>
      </c>
      <c r="U1281" s="2" t="s">
        <v>1574</v>
      </c>
      <c r="V1281" s="2" t="s">
        <v>1568</v>
      </c>
      <c r="W1281" s="2" t="s">
        <v>1569</v>
      </c>
      <c r="X1281" s="2" t="s">
        <v>1570</v>
      </c>
      <c r="AB1281" s="2" t="s">
        <v>1571</v>
      </c>
    </row>
    <row r="1282">
      <c r="A1282" s="2" t="s">
        <v>1836</v>
      </c>
      <c r="B1282" s="2">
        <v>18.0</v>
      </c>
      <c r="C1282" s="2" t="s">
        <v>7</v>
      </c>
      <c r="D1282" s="2" t="s">
        <v>1837</v>
      </c>
      <c r="E1282" s="2">
        <v>4.0</v>
      </c>
      <c r="F1282" s="2" t="s">
        <v>4</v>
      </c>
      <c r="G1282" s="5">
        <v>2619918.0</v>
      </c>
      <c r="H1282" s="2" t="s">
        <v>1575</v>
      </c>
      <c r="I1282" s="2" t="s">
        <v>1572</v>
      </c>
      <c r="J1282" s="2">
        <v>10128.0</v>
      </c>
      <c r="K1282" s="2" t="s">
        <v>1588</v>
      </c>
      <c r="L1282" s="2"/>
      <c r="M1282" s="2"/>
      <c r="N1282" s="7">
        <v>1.0</v>
      </c>
      <c r="O1282" s="12">
        <v>23333.0</v>
      </c>
      <c r="P1282" s="11" t="s">
        <v>1649</v>
      </c>
      <c r="Q1282" s="12">
        <v>23333.0</v>
      </c>
      <c r="R1282" s="11" t="s">
        <v>1649</v>
      </c>
      <c r="S1282" s="11" t="s">
        <v>1681</v>
      </c>
      <c r="T1282" s="11" t="s">
        <v>1682</v>
      </c>
      <c r="U1282" s="2" t="s">
        <v>1574</v>
      </c>
      <c r="V1282" s="2" t="s">
        <v>1568</v>
      </c>
      <c r="W1282" s="2" t="s">
        <v>1569</v>
      </c>
      <c r="X1282" s="2" t="s">
        <v>1570</v>
      </c>
      <c r="AB1282" s="2" t="s">
        <v>1571</v>
      </c>
    </row>
    <row r="1283">
      <c r="A1283" s="2" t="s">
        <v>1836</v>
      </c>
      <c r="B1283" s="2">
        <v>18.0</v>
      </c>
      <c r="C1283" s="2" t="s">
        <v>7</v>
      </c>
      <c r="D1283" s="2" t="s">
        <v>1837</v>
      </c>
      <c r="E1283" s="2">
        <v>4.0</v>
      </c>
      <c r="F1283" s="2" t="s">
        <v>4</v>
      </c>
      <c r="G1283" s="5">
        <v>2619552.0</v>
      </c>
      <c r="H1283" s="2" t="s">
        <v>1564</v>
      </c>
      <c r="I1283" s="2" t="s">
        <v>1565</v>
      </c>
      <c r="J1283" s="2">
        <v>10002.0</v>
      </c>
      <c r="K1283" s="2" t="s">
        <v>1576</v>
      </c>
      <c r="L1283" s="2"/>
      <c r="M1283" s="2"/>
      <c r="N1283" s="7">
        <v>-1.0</v>
      </c>
      <c r="O1283" s="12">
        <v>-18571.0</v>
      </c>
      <c r="P1283" s="11" t="s">
        <v>1649</v>
      </c>
      <c r="Q1283" s="12">
        <v>-18571.0</v>
      </c>
      <c r="R1283" s="11" t="s">
        <v>1650</v>
      </c>
      <c r="S1283" s="11" t="s">
        <v>1743</v>
      </c>
      <c r="T1283" s="11" t="s">
        <v>1744</v>
      </c>
      <c r="U1283" s="2" t="s">
        <v>1574</v>
      </c>
      <c r="V1283" s="2" t="s">
        <v>1568</v>
      </c>
      <c r="W1283" s="2" t="s">
        <v>1569</v>
      </c>
      <c r="X1283" s="2" t="s">
        <v>1570</v>
      </c>
      <c r="AB1283" s="2" t="s">
        <v>1571</v>
      </c>
    </row>
    <row r="1284">
      <c r="A1284" s="2" t="s">
        <v>1836</v>
      </c>
      <c r="B1284" s="2">
        <v>18.0</v>
      </c>
      <c r="C1284" s="2" t="s">
        <v>7</v>
      </c>
      <c r="D1284" s="2" t="s">
        <v>1837</v>
      </c>
      <c r="E1284" s="2">
        <v>4.0</v>
      </c>
      <c r="F1284" s="2" t="s">
        <v>4</v>
      </c>
      <c r="G1284" s="5">
        <v>2619552.0</v>
      </c>
      <c r="H1284" s="2" t="s">
        <v>1564</v>
      </c>
      <c r="I1284" s="2" t="s">
        <v>1565</v>
      </c>
      <c r="J1284" s="2">
        <v>10042.0</v>
      </c>
      <c r="K1284" s="2" t="s">
        <v>1634</v>
      </c>
      <c r="L1284" s="2"/>
      <c r="M1284" s="2"/>
      <c r="N1284" s="7">
        <v>-1.0</v>
      </c>
      <c r="O1284" s="12">
        <v>-9524.0</v>
      </c>
      <c r="P1284" s="11" t="s">
        <v>1649</v>
      </c>
      <c r="Q1284" s="12">
        <v>-9524.0</v>
      </c>
      <c r="R1284" s="11" t="s">
        <v>1650</v>
      </c>
      <c r="S1284" s="11" t="s">
        <v>1838</v>
      </c>
      <c r="T1284" s="11" t="s">
        <v>1839</v>
      </c>
      <c r="U1284" s="2" t="s">
        <v>1574</v>
      </c>
      <c r="V1284" s="2" t="s">
        <v>1568</v>
      </c>
      <c r="W1284" s="2" t="s">
        <v>1569</v>
      </c>
      <c r="X1284" s="2" t="s">
        <v>1570</v>
      </c>
      <c r="AB1284" s="2" t="s">
        <v>1571</v>
      </c>
    </row>
    <row r="1285">
      <c r="A1285" s="2" t="s">
        <v>1836</v>
      </c>
      <c r="B1285" s="2">
        <v>18.0</v>
      </c>
      <c r="C1285" s="2" t="s">
        <v>7</v>
      </c>
      <c r="D1285" s="2" t="s">
        <v>1837</v>
      </c>
      <c r="E1285" s="2">
        <v>4.0</v>
      </c>
      <c r="F1285" s="2" t="s">
        <v>4</v>
      </c>
      <c r="G1285" s="5">
        <v>2619187.0</v>
      </c>
      <c r="H1285" s="2" t="s">
        <v>1575</v>
      </c>
      <c r="I1285" s="2" t="s">
        <v>1565</v>
      </c>
      <c r="J1285" s="2">
        <v>10002.0</v>
      </c>
      <c r="K1285" s="2" t="s">
        <v>1576</v>
      </c>
      <c r="L1285" s="2"/>
      <c r="M1285" s="2"/>
      <c r="N1285" s="7">
        <v>1.0</v>
      </c>
      <c r="O1285" s="12">
        <v>18571.0</v>
      </c>
      <c r="P1285" s="11" t="s">
        <v>1649</v>
      </c>
      <c r="Q1285" s="12">
        <v>18571.0</v>
      </c>
      <c r="R1285" s="11" t="s">
        <v>1649</v>
      </c>
      <c r="S1285" s="11" t="s">
        <v>1656</v>
      </c>
      <c r="T1285" s="11" t="s">
        <v>1657</v>
      </c>
      <c r="U1285" s="2" t="s">
        <v>1574</v>
      </c>
      <c r="V1285" s="2" t="s">
        <v>1568</v>
      </c>
      <c r="W1285" s="2" t="s">
        <v>1569</v>
      </c>
      <c r="X1285" s="2" t="s">
        <v>1570</v>
      </c>
      <c r="AB1285" s="2" t="s">
        <v>1571</v>
      </c>
    </row>
    <row r="1286">
      <c r="A1286" s="2" t="s">
        <v>1836</v>
      </c>
      <c r="B1286" s="2">
        <v>18.0</v>
      </c>
      <c r="C1286" s="2" t="s">
        <v>7</v>
      </c>
      <c r="D1286" s="2" t="s">
        <v>1837</v>
      </c>
      <c r="E1286" s="2">
        <v>4.0</v>
      </c>
      <c r="F1286" s="2" t="s">
        <v>4</v>
      </c>
      <c r="G1286" s="5">
        <v>2619187.0</v>
      </c>
      <c r="H1286" s="2" t="s">
        <v>1575</v>
      </c>
      <c r="I1286" s="2" t="s">
        <v>1565</v>
      </c>
      <c r="J1286" s="2">
        <v>10042.0</v>
      </c>
      <c r="K1286" s="2" t="s">
        <v>1634</v>
      </c>
      <c r="L1286" s="2"/>
      <c r="M1286" s="2"/>
      <c r="N1286" s="7">
        <v>1.0</v>
      </c>
      <c r="O1286" s="12">
        <v>9524.0</v>
      </c>
      <c r="P1286" s="11" t="s">
        <v>1649</v>
      </c>
      <c r="Q1286" s="12">
        <v>9524.0</v>
      </c>
      <c r="R1286" s="11" t="s">
        <v>1649</v>
      </c>
      <c r="S1286" s="11" t="s">
        <v>1834</v>
      </c>
      <c r="T1286" s="11" t="s">
        <v>1835</v>
      </c>
      <c r="U1286" s="2" t="s">
        <v>1574</v>
      </c>
      <c r="V1286" s="2" t="s">
        <v>1568</v>
      </c>
      <c r="W1286" s="2" t="s">
        <v>1569</v>
      </c>
      <c r="X1286" s="2" t="s">
        <v>1570</v>
      </c>
      <c r="AB1286" s="2" t="s">
        <v>1571</v>
      </c>
    </row>
    <row r="1287">
      <c r="A1287" s="2" t="s">
        <v>1836</v>
      </c>
      <c r="B1287" s="2">
        <v>18.0</v>
      </c>
      <c r="C1287" s="2" t="s">
        <v>7</v>
      </c>
      <c r="D1287" s="2" t="s">
        <v>1837</v>
      </c>
      <c r="E1287" s="2">
        <v>4.0</v>
      </c>
      <c r="F1287" s="2" t="s">
        <v>4</v>
      </c>
      <c r="G1287" s="5">
        <v>2618822.0</v>
      </c>
      <c r="H1287" s="2" t="s">
        <v>1575</v>
      </c>
      <c r="I1287" s="2" t="s">
        <v>1565</v>
      </c>
      <c r="J1287" s="2">
        <v>10042.0</v>
      </c>
      <c r="K1287" s="2" t="s">
        <v>1634</v>
      </c>
      <c r="L1287" s="2"/>
      <c r="M1287" s="2"/>
      <c r="N1287" s="7">
        <v>1.0</v>
      </c>
      <c r="O1287" s="12">
        <v>9524.0</v>
      </c>
      <c r="P1287" s="11" t="s">
        <v>1649</v>
      </c>
      <c r="Q1287" s="12">
        <v>9524.0</v>
      </c>
      <c r="R1287" s="11" t="s">
        <v>1649</v>
      </c>
      <c r="S1287" s="11" t="s">
        <v>1834</v>
      </c>
      <c r="T1287" s="11" t="s">
        <v>1835</v>
      </c>
      <c r="U1287" s="2" t="s">
        <v>1574</v>
      </c>
      <c r="V1287" s="2" t="s">
        <v>1568</v>
      </c>
      <c r="W1287" s="2" t="s">
        <v>1569</v>
      </c>
      <c r="X1287" s="2" t="s">
        <v>1570</v>
      </c>
      <c r="AB1287" s="2" t="s">
        <v>1571</v>
      </c>
    </row>
    <row r="1288">
      <c r="A1288" s="2" t="s">
        <v>1836</v>
      </c>
      <c r="B1288" s="2">
        <v>18.0</v>
      </c>
      <c r="C1288" s="2" t="s">
        <v>7</v>
      </c>
      <c r="D1288" s="2" t="s">
        <v>1837</v>
      </c>
      <c r="E1288" s="2">
        <v>4.0</v>
      </c>
      <c r="F1288" s="2" t="s">
        <v>4</v>
      </c>
      <c r="G1288" s="5">
        <v>2618822.0</v>
      </c>
      <c r="H1288" s="2" t="s">
        <v>1575</v>
      </c>
      <c r="I1288" s="2" t="s">
        <v>1565</v>
      </c>
      <c r="J1288" s="2">
        <v>10002.0</v>
      </c>
      <c r="K1288" s="2" t="s">
        <v>1576</v>
      </c>
      <c r="L1288" s="2"/>
      <c r="M1288" s="2"/>
      <c r="N1288" s="7">
        <v>1.0</v>
      </c>
      <c r="O1288" s="12">
        <v>18571.0</v>
      </c>
      <c r="P1288" s="11" t="s">
        <v>1649</v>
      </c>
      <c r="Q1288" s="12">
        <v>18571.0</v>
      </c>
      <c r="R1288" s="11" t="s">
        <v>1649</v>
      </c>
      <c r="S1288" s="11" t="s">
        <v>1656</v>
      </c>
      <c r="T1288" s="11" t="s">
        <v>1657</v>
      </c>
      <c r="U1288" s="2" t="s">
        <v>1574</v>
      </c>
      <c r="V1288" s="2" t="s">
        <v>1568</v>
      </c>
      <c r="W1288" s="2" t="s">
        <v>1569</v>
      </c>
      <c r="X1288" s="2" t="s">
        <v>1570</v>
      </c>
      <c r="AB1288" s="2" t="s">
        <v>1571</v>
      </c>
    </row>
    <row r="1289">
      <c r="A1289" s="2" t="s">
        <v>1836</v>
      </c>
      <c r="B1289" s="2">
        <v>16.0</v>
      </c>
      <c r="C1289" s="2" t="s">
        <v>7</v>
      </c>
      <c r="D1289" s="2" t="s">
        <v>1837</v>
      </c>
      <c r="E1289" s="2">
        <v>4.0</v>
      </c>
      <c r="F1289" s="2" t="s">
        <v>4</v>
      </c>
      <c r="G1289" s="5">
        <v>2618457.0</v>
      </c>
      <c r="H1289" s="2" t="s">
        <v>1575</v>
      </c>
      <c r="I1289" s="2" t="s">
        <v>1565</v>
      </c>
      <c r="J1289" s="2">
        <v>10055.0</v>
      </c>
      <c r="K1289" s="2" t="s">
        <v>1595</v>
      </c>
      <c r="L1289" s="2"/>
      <c r="M1289" s="2"/>
      <c r="N1289" s="7">
        <v>2.0</v>
      </c>
      <c r="O1289" s="12">
        <v>34762.0</v>
      </c>
      <c r="P1289" s="11" t="s">
        <v>1649</v>
      </c>
      <c r="Q1289" s="12">
        <v>34762.0</v>
      </c>
      <c r="R1289" s="11" t="s">
        <v>1649</v>
      </c>
      <c r="S1289" s="11" t="s">
        <v>1670</v>
      </c>
      <c r="T1289" s="11" t="s">
        <v>1671</v>
      </c>
      <c r="U1289" s="2" t="s">
        <v>1574</v>
      </c>
      <c r="V1289" s="2" t="s">
        <v>1568</v>
      </c>
      <c r="W1289" s="2" t="s">
        <v>1569</v>
      </c>
      <c r="X1289" s="2" t="s">
        <v>1570</v>
      </c>
      <c r="AB1289" s="2" t="s">
        <v>1571</v>
      </c>
    </row>
    <row r="1290">
      <c r="A1290" s="2" t="s">
        <v>1836</v>
      </c>
      <c r="B1290" s="2">
        <v>16.0</v>
      </c>
      <c r="C1290" s="2" t="s">
        <v>7</v>
      </c>
      <c r="D1290" s="2" t="s">
        <v>1837</v>
      </c>
      <c r="E1290" s="2">
        <v>4.0</v>
      </c>
      <c r="F1290" s="2" t="s">
        <v>4</v>
      </c>
      <c r="G1290" s="5">
        <v>2618091.0</v>
      </c>
      <c r="H1290" s="2" t="s">
        <v>1575</v>
      </c>
      <c r="I1290" s="2" t="s">
        <v>1565</v>
      </c>
      <c r="J1290" s="2">
        <v>10000.0</v>
      </c>
      <c r="K1290" s="2" t="s">
        <v>1566</v>
      </c>
      <c r="L1290" s="2"/>
      <c r="M1290" s="2"/>
      <c r="N1290" s="7">
        <v>1.0</v>
      </c>
      <c r="O1290" s="12">
        <v>29524.0</v>
      </c>
      <c r="P1290" s="11" t="s">
        <v>1649</v>
      </c>
      <c r="Q1290" s="12">
        <v>29524.0</v>
      </c>
      <c r="R1290" s="11" t="s">
        <v>1649</v>
      </c>
      <c r="S1290" s="11" t="s">
        <v>1683</v>
      </c>
      <c r="T1290" s="11" t="s">
        <v>1684</v>
      </c>
      <c r="U1290" s="2" t="s">
        <v>1574</v>
      </c>
      <c r="V1290" s="2" t="s">
        <v>1568</v>
      </c>
      <c r="W1290" s="2" t="s">
        <v>1569</v>
      </c>
      <c r="X1290" s="2" t="s">
        <v>1570</v>
      </c>
      <c r="AB1290" s="2" t="s">
        <v>1571</v>
      </c>
    </row>
    <row r="1291">
      <c r="A1291" s="2" t="s">
        <v>1836</v>
      </c>
      <c r="B1291" s="2">
        <v>16.0</v>
      </c>
      <c r="C1291" s="2" t="s">
        <v>7</v>
      </c>
      <c r="D1291" s="2" t="s">
        <v>1837</v>
      </c>
      <c r="E1291" s="2">
        <v>4.0</v>
      </c>
      <c r="F1291" s="2" t="s">
        <v>4</v>
      </c>
      <c r="G1291" s="5">
        <v>2617726.0</v>
      </c>
      <c r="H1291" s="2" t="s">
        <v>1575</v>
      </c>
      <c r="I1291" s="2" t="s">
        <v>1565</v>
      </c>
      <c r="J1291" s="2">
        <v>10000.0</v>
      </c>
      <c r="K1291" s="2" t="s">
        <v>1566</v>
      </c>
      <c r="L1291" s="2"/>
      <c r="M1291" s="2"/>
      <c r="N1291" s="7">
        <v>1.0</v>
      </c>
      <c r="O1291" s="12">
        <v>29524.0</v>
      </c>
      <c r="P1291" s="11" t="s">
        <v>1649</v>
      </c>
      <c r="Q1291" s="12">
        <v>29524.0</v>
      </c>
      <c r="R1291" s="11" t="s">
        <v>1649</v>
      </c>
      <c r="S1291" s="11" t="s">
        <v>1683</v>
      </c>
      <c r="T1291" s="11" t="s">
        <v>1684</v>
      </c>
      <c r="U1291" s="2" t="s">
        <v>1574</v>
      </c>
      <c r="V1291" s="2" t="s">
        <v>1568</v>
      </c>
      <c r="W1291" s="2" t="s">
        <v>1569</v>
      </c>
      <c r="X1291" s="2" t="s">
        <v>1570</v>
      </c>
      <c r="AB1291" s="2" t="s">
        <v>1571</v>
      </c>
    </row>
    <row r="1292">
      <c r="A1292" s="2" t="s">
        <v>1836</v>
      </c>
      <c r="B1292" s="2">
        <v>16.0</v>
      </c>
      <c r="C1292" s="2" t="s">
        <v>7</v>
      </c>
      <c r="D1292" s="2" t="s">
        <v>1837</v>
      </c>
      <c r="E1292" s="2">
        <v>4.0</v>
      </c>
      <c r="F1292" s="2" t="s">
        <v>4</v>
      </c>
      <c r="G1292" s="5">
        <v>2617726.0</v>
      </c>
      <c r="H1292" s="2" t="s">
        <v>1575</v>
      </c>
      <c r="I1292" s="2" t="s">
        <v>1565</v>
      </c>
      <c r="J1292" s="2">
        <v>10007.0</v>
      </c>
      <c r="K1292" s="2" t="s">
        <v>1576</v>
      </c>
      <c r="L1292" s="2"/>
      <c r="M1292" s="2"/>
      <c r="N1292" s="7">
        <v>2.0</v>
      </c>
      <c r="O1292" s="12">
        <v>33810.0</v>
      </c>
      <c r="P1292" s="11" t="s">
        <v>1649</v>
      </c>
      <c r="Q1292" s="12">
        <v>33810.0</v>
      </c>
      <c r="R1292" s="11" t="s">
        <v>1649</v>
      </c>
      <c r="S1292" s="11" t="s">
        <v>1701</v>
      </c>
      <c r="T1292" s="11" t="s">
        <v>1703</v>
      </c>
      <c r="U1292" s="2" t="s">
        <v>1574</v>
      </c>
      <c r="V1292" s="2" t="s">
        <v>1568</v>
      </c>
      <c r="W1292" s="2" t="s">
        <v>1569</v>
      </c>
      <c r="X1292" s="2" t="s">
        <v>1570</v>
      </c>
      <c r="AB1292" s="2" t="s">
        <v>1571</v>
      </c>
    </row>
    <row r="1293">
      <c r="A1293" s="2" t="s">
        <v>1836</v>
      </c>
      <c r="B1293" s="2">
        <v>15.0</v>
      </c>
      <c r="C1293" s="2" t="s">
        <v>7</v>
      </c>
      <c r="D1293" s="2" t="s">
        <v>1837</v>
      </c>
      <c r="E1293" s="2">
        <v>4.0</v>
      </c>
      <c r="F1293" s="2" t="s">
        <v>4</v>
      </c>
      <c r="G1293" s="5">
        <v>2617361.0</v>
      </c>
      <c r="H1293" s="2" t="s">
        <v>1575</v>
      </c>
      <c r="I1293" s="2" t="s">
        <v>1565</v>
      </c>
      <c r="J1293" s="2">
        <v>10002.0</v>
      </c>
      <c r="K1293" s="2" t="s">
        <v>1576</v>
      </c>
      <c r="L1293" s="2"/>
      <c r="M1293" s="2"/>
      <c r="N1293" s="7">
        <v>1.0</v>
      </c>
      <c r="O1293" s="12">
        <v>18571.0</v>
      </c>
      <c r="P1293" s="11" t="s">
        <v>1649</v>
      </c>
      <c r="Q1293" s="12">
        <v>18571.0</v>
      </c>
      <c r="R1293" s="11" t="s">
        <v>1649</v>
      </c>
      <c r="S1293" s="11" t="s">
        <v>1656</v>
      </c>
      <c r="T1293" s="11" t="s">
        <v>1657</v>
      </c>
      <c r="U1293" s="2" t="s">
        <v>1574</v>
      </c>
      <c r="V1293" s="2" t="s">
        <v>1568</v>
      </c>
      <c r="W1293" s="2" t="s">
        <v>1569</v>
      </c>
      <c r="X1293" s="2" t="s">
        <v>1570</v>
      </c>
      <c r="AB1293" s="2" t="s">
        <v>1571</v>
      </c>
    </row>
    <row r="1294">
      <c r="A1294" s="2" t="s">
        <v>1836</v>
      </c>
      <c r="B1294" s="2">
        <v>15.0</v>
      </c>
      <c r="C1294" s="2" t="s">
        <v>7</v>
      </c>
      <c r="D1294" s="2" t="s">
        <v>1837</v>
      </c>
      <c r="E1294" s="2">
        <v>4.0</v>
      </c>
      <c r="F1294" s="2" t="s">
        <v>4</v>
      </c>
      <c r="G1294" s="5">
        <v>2616996.0</v>
      </c>
      <c r="H1294" s="2" t="s">
        <v>1575</v>
      </c>
      <c r="I1294" s="2" t="s">
        <v>1565</v>
      </c>
      <c r="J1294" s="2">
        <v>10000.0</v>
      </c>
      <c r="K1294" s="2" t="s">
        <v>1566</v>
      </c>
      <c r="L1294" s="2"/>
      <c r="M1294" s="2"/>
      <c r="N1294" s="7">
        <v>1.0</v>
      </c>
      <c r="O1294" s="12">
        <v>29524.0</v>
      </c>
      <c r="P1294" s="11" t="s">
        <v>1649</v>
      </c>
      <c r="Q1294" s="12">
        <v>29524.0</v>
      </c>
      <c r="R1294" s="11" t="s">
        <v>1649</v>
      </c>
      <c r="S1294" s="11" t="s">
        <v>1683</v>
      </c>
      <c r="T1294" s="11" t="s">
        <v>1684</v>
      </c>
      <c r="U1294" s="2" t="s">
        <v>1574</v>
      </c>
      <c r="V1294" s="2" t="s">
        <v>1568</v>
      </c>
      <c r="W1294" s="2" t="s">
        <v>1569</v>
      </c>
      <c r="X1294" s="2" t="s">
        <v>1570</v>
      </c>
      <c r="AB1294" s="2" t="s">
        <v>1571</v>
      </c>
    </row>
    <row r="1295">
      <c r="A1295" s="2" t="s">
        <v>1836</v>
      </c>
      <c r="B1295" s="2">
        <v>15.0</v>
      </c>
      <c r="C1295" s="2" t="s">
        <v>7</v>
      </c>
      <c r="D1295" s="2" t="s">
        <v>1837</v>
      </c>
      <c r="E1295" s="2">
        <v>4.0</v>
      </c>
      <c r="F1295" s="2" t="s">
        <v>4</v>
      </c>
      <c r="G1295" s="5">
        <v>2616996.0</v>
      </c>
      <c r="H1295" s="2" t="s">
        <v>1575</v>
      </c>
      <c r="I1295" s="2" t="s">
        <v>1565</v>
      </c>
      <c r="J1295" s="2">
        <v>10007.0</v>
      </c>
      <c r="K1295" s="2" t="s">
        <v>1576</v>
      </c>
      <c r="L1295" s="2"/>
      <c r="M1295" s="2"/>
      <c r="N1295" s="7">
        <v>2.0</v>
      </c>
      <c r="O1295" s="12">
        <v>67620.0</v>
      </c>
      <c r="P1295" s="11" t="s">
        <v>1649</v>
      </c>
      <c r="Q1295" s="12">
        <v>67620.0</v>
      </c>
      <c r="R1295" s="11" t="s">
        <v>1649</v>
      </c>
      <c r="S1295" s="11" t="s">
        <v>1723</v>
      </c>
      <c r="T1295" s="11" t="s">
        <v>1724</v>
      </c>
      <c r="U1295" s="2" t="s">
        <v>1574</v>
      </c>
      <c r="V1295" s="2" t="s">
        <v>1568</v>
      </c>
      <c r="W1295" s="2" t="s">
        <v>1569</v>
      </c>
      <c r="X1295" s="2" t="s">
        <v>1570</v>
      </c>
      <c r="AB1295" s="2" t="s">
        <v>1571</v>
      </c>
    </row>
    <row r="1296">
      <c r="A1296" s="2" t="s">
        <v>1836</v>
      </c>
      <c r="B1296" s="2">
        <v>15.0</v>
      </c>
      <c r="C1296" s="2" t="s">
        <v>7</v>
      </c>
      <c r="D1296" s="2" t="s">
        <v>1837</v>
      </c>
      <c r="E1296" s="2">
        <v>4.0</v>
      </c>
      <c r="F1296" s="2" t="s">
        <v>4</v>
      </c>
      <c r="G1296" s="5">
        <v>2616996.0</v>
      </c>
      <c r="H1296" s="2" t="s">
        <v>1575</v>
      </c>
      <c r="I1296" s="2" t="s">
        <v>1565</v>
      </c>
      <c r="J1296" s="2">
        <v>10043.0</v>
      </c>
      <c r="K1296" s="2" t="s">
        <v>1635</v>
      </c>
      <c r="L1296" s="2"/>
      <c r="M1296" s="2"/>
      <c r="N1296" s="7">
        <v>1.0</v>
      </c>
      <c r="O1296" s="12">
        <v>9524.0</v>
      </c>
      <c r="P1296" s="11" t="s">
        <v>1649</v>
      </c>
      <c r="Q1296" s="12">
        <v>9524.0</v>
      </c>
      <c r="R1296" s="11" t="s">
        <v>1649</v>
      </c>
      <c r="S1296" s="11" t="s">
        <v>1834</v>
      </c>
      <c r="T1296" s="11" t="s">
        <v>1835</v>
      </c>
      <c r="U1296" s="2" t="s">
        <v>1574</v>
      </c>
      <c r="V1296" s="2" t="s">
        <v>1568</v>
      </c>
      <c r="W1296" s="2" t="s">
        <v>1569</v>
      </c>
      <c r="X1296" s="2" t="s">
        <v>1570</v>
      </c>
      <c r="AB1296" s="2" t="s">
        <v>1571</v>
      </c>
    </row>
    <row r="1297">
      <c r="A1297" s="2" t="s">
        <v>1836</v>
      </c>
      <c r="B1297" s="2">
        <v>15.0</v>
      </c>
      <c r="C1297" s="2" t="s">
        <v>7</v>
      </c>
      <c r="D1297" s="2" t="s">
        <v>1837</v>
      </c>
      <c r="E1297" s="2">
        <v>4.0</v>
      </c>
      <c r="F1297" s="2" t="s">
        <v>4</v>
      </c>
      <c r="G1297" s="5">
        <v>2616630.0</v>
      </c>
      <c r="H1297" s="2" t="s">
        <v>1575</v>
      </c>
      <c r="I1297" s="2" t="s">
        <v>1565</v>
      </c>
      <c r="J1297" s="2">
        <v>10042.0</v>
      </c>
      <c r="K1297" s="2" t="s">
        <v>1634</v>
      </c>
      <c r="L1297" s="2"/>
      <c r="M1297" s="2"/>
      <c r="N1297" s="7">
        <v>1.0</v>
      </c>
      <c r="O1297" s="12">
        <v>9524.0</v>
      </c>
      <c r="P1297" s="11" t="s">
        <v>1649</v>
      </c>
      <c r="Q1297" s="12">
        <v>9524.0</v>
      </c>
      <c r="R1297" s="11" t="s">
        <v>1649</v>
      </c>
      <c r="S1297" s="11" t="s">
        <v>1834</v>
      </c>
      <c r="T1297" s="11" t="s">
        <v>1835</v>
      </c>
      <c r="U1297" s="2" t="s">
        <v>1574</v>
      </c>
      <c r="V1297" s="2" t="s">
        <v>1568</v>
      </c>
      <c r="W1297" s="2" t="s">
        <v>1569</v>
      </c>
      <c r="X1297" s="2" t="s">
        <v>1570</v>
      </c>
      <c r="AB1297" s="2" t="s">
        <v>1571</v>
      </c>
    </row>
    <row r="1298">
      <c r="A1298" s="2" t="s">
        <v>1836</v>
      </c>
      <c r="B1298" s="2">
        <v>14.0</v>
      </c>
      <c r="C1298" s="2" t="s">
        <v>7</v>
      </c>
      <c r="D1298" s="2" t="s">
        <v>1837</v>
      </c>
      <c r="E1298" s="2">
        <v>4.0</v>
      </c>
      <c r="F1298" s="2" t="s">
        <v>4</v>
      </c>
      <c r="G1298" s="5">
        <v>2616265.0</v>
      </c>
      <c r="H1298" s="2" t="s">
        <v>1575</v>
      </c>
      <c r="I1298" s="2" t="s">
        <v>1572</v>
      </c>
      <c r="J1298" s="2">
        <v>10063.0</v>
      </c>
      <c r="K1298" s="2" t="s">
        <v>1594</v>
      </c>
      <c r="L1298" s="2"/>
      <c r="M1298" s="2"/>
      <c r="N1298" s="7">
        <v>1.0</v>
      </c>
      <c r="O1298" s="12">
        <v>24762.0</v>
      </c>
      <c r="P1298" s="11" t="s">
        <v>1649</v>
      </c>
      <c r="Q1298" s="12">
        <v>24762.0</v>
      </c>
      <c r="R1298" s="11" t="s">
        <v>1649</v>
      </c>
      <c r="S1298" s="11" t="s">
        <v>1689</v>
      </c>
      <c r="T1298" s="11" t="s">
        <v>1693</v>
      </c>
      <c r="U1298" s="2" t="s">
        <v>1574</v>
      </c>
      <c r="V1298" s="2" t="s">
        <v>1568</v>
      </c>
      <c r="W1298" s="2" t="s">
        <v>1569</v>
      </c>
      <c r="X1298" s="2" t="s">
        <v>1570</v>
      </c>
      <c r="AB1298" s="2" t="s">
        <v>1571</v>
      </c>
    </row>
    <row r="1299">
      <c r="A1299" s="2" t="s">
        <v>1836</v>
      </c>
      <c r="B1299" s="2">
        <v>14.0</v>
      </c>
      <c r="C1299" s="2" t="s">
        <v>7</v>
      </c>
      <c r="D1299" s="2" t="s">
        <v>1837</v>
      </c>
      <c r="E1299" s="2">
        <v>4.0</v>
      </c>
      <c r="F1299" s="2" t="s">
        <v>4</v>
      </c>
      <c r="G1299" s="5">
        <v>2616265.0</v>
      </c>
      <c r="H1299" s="2" t="s">
        <v>1575</v>
      </c>
      <c r="I1299" s="2" t="s">
        <v>1565</v>
      </c>
      <c r="J1299" s="2">
        <v>10042.0</v>
      </c>
      <c r="K1299" s="2" t="s">
        <v>1634</v>
      </c>
      <c r="L1299" s="2"/>
      <c r="M1299" s="2"/>
      <c r="N1299" s="7">
        <v>1.0</v>
      </c>
      <c r="O1299" s="12">
        <v>9524.0</v>
      </c>
      <c r="P1299" s="11" t="s">
        <v>1649</v>
      </c>
      <c r="Q1299" s="12">
        <v>9524.0</v>
      </c>
      <c r="R1299" s="11" t="s">
        <v>1649</v>
      </c>
      <c r="S1299" s="11" t="s">
        <v>1834</v>
      </c>
      <c r="T1299" s="11" t="s">
        <v>1835</v>
      </c>
      <c r="U1299" s="2" t="s">
        <v>1574</v>
      </c>
      <c r="V1299" s="2" t="s">
        <v>1568</v>
      </c>
      <c r="W1299" s="2" t="s">
        <v>1569</v>
      </c>
      <c r="X1299" s="2" t="s">
        <v>1570</v>
      </c>
      <c r="AB1299" s="2" t="s">
        <v>1571</v>
      </c>
    </row>
    <row r="1300">
      <c r="A1300" s="2" t="s">
        <v>1836</v>
      </c>
      <c r="B1300" s="2">
        <v>14.0</v>
      </c>
      <c r="C1300" s="2" t="s">
        <v>7</v>
      </c>
      <c r="D1300" s="2" t="s">
        <v>1837</v>
      </c>
      <c r="E1300" s="2">
        <v>4.0</v>
      </c>
      <c r="F1300" s="2" t="s">
        <v>4</v>
      </c>
      <c r="G1300" s="5">
        <v>2615900.0</v>
      </c>
      <c r="H1300" s="2" t="s">
        <v>1575</v>
      </c>
      <c r="I1300" s="2" t="s">
        <v>1580</v>
      </c>
      <c r="J1300" s="2">
        <v>10053.0</v>
      </c>
      <c r="K1300" s="2" t="s">
        <v>1612</v>
      </c>
      <c r="L1300" s="2"/>
      <c r="M1300" s="2"/>
      <c r="N1300" s="7">
        <v>1.0</v>
      </c>
      <c r="O1300" s="12">
        <v>25238.0</v>
      </c>
      <c r="P1300" s="11" t="s">
        <v>1649</v>
      </c>
      <c r="Q1300" s="12">
        <v>25238.0</v>
      </c>
      <c r="R1300" s="11" t="s">
        <v>1649</v>
      </c>
      <c r="S1300" s="11" t="s">
        <v>1660</v>
      </c>
      <c r="T1300" s="11" t="s">
        <v>1680</v>
      </c>
      <c r="U1300" s="2" t="s">
        <v>1574</v>
      </c>
      <c r="V1300" s="2" t="s">
        <v>1568</v>
      </c>
      <c r="W1300" s="2" t="s">
        <v>1569</v>
      </c>
      <c r="X1300" s="2" t="s">
        <v>1570</v>
      </c>
      <c r="AB1300" s="2" t="s">
        <v>1571</v>
      </c>
    </row>
    <row r="1301">
      <c r="A1301" s="2" t="s">
        <v>1836</v>
      </c>
      <c r="B1301" s="2">
        <v>14.0</v>
      </c>
      <c r="C1301" s="2" t="s">
        <v>7</v>
      </c>
      <c r="D1301" s="2" t="s">
        <v>1837</v>
      </c>
      <c r="E1301" s="2">
        <v>4.0</v>
      </c>
      <c r="F1301" s="2" t="s">
        <v>4</v>
      </c>
      <c r="G1301" s="5">
        <v>2615900.0</v>
      </c>
      <c r="H1301" s="2" t="s">
        <v>1575</v>
      </c>
      <c r="I1301" s="2" t="s">
        <v>1565</v>
      </c>
      <c r="J1301" s="2">
        <v>10002.0</v>
      </c>
      <c r="K1301" s="2" t="s">
        <v>1576</v>
      </c>
      <c r="L1301" s="2"/>
      <c r="M1301" s="2"/>
      <c r="N1301" s="7">
        <v>1.0</v>
      </c>
      <c r="O1301" s="12">
        <v>18571.0</v>
      </c>
      <c r="P1301" s="11" t="s">
        <v>1649</v>
      </c>
      <c r="Q1301" s="12">
        <v>18571.0</v>
      </c>
      <c r="R1301" s="11" t="s">
        <v>1649</v>
      </c>
      <c r="S1301" s="11" t="s">
        <v>1656</v>
      </c>
      <c r="T1301" s="11" t="s">
        <v>1688</v>
      </c>
      <c r="U1301" s="2" t="s">
        <v>1574</v>
      </c>
      <c r="V1301" s="2" t="s">
        <v>1568</v>
      </c>
      <c r="W1301" s="2" t="s">
        <v>1569</v>
      </c>
      <c r="X1301" s="2" t="s">
        <v>1570</v>
      </c>
      <c r="AB1301" s="2" t="s">
        <v>1571</v>
      </c>
    </row>
    <row r="1302">
      <c r="A1302" s="2" t="s">
        <v>1836</v>
      </c>
      <c r="B1302" s="2">
        <v>13.0</v>
      </c>
      <c r="C1302" s="2" t="s">
        <v>7</v>
      </c>
      <c r="D1302" s="2" t="s">
        <v>1837</v>
      </c>
      <c r="E1302" s="2">
        <v>4.0</v>
      </c>
      <c r="F1302" s="2" t="s">
        <v>4</v>
      </c>
      <c r="G1302" s="5">
        <v>2615535.0</v>
      </c>
      <c r="H1302" s="2" t="s">
        <v>1575</v>
      </c>
      <c r="I1302" s="2" t="s">
        <v>1565</v>
      </c>
      <c r="J1302" s="2">
        <v>10007.0</v>
      </c>
      <c r="K1302" s="2" t="s">
        <v>1576</v>
      </c>
      <c r="L1302" s="2"/>
      <c r="M1302" s="2"/>
      <c r="N1302" s="7">
        <v>2.0</v>
      </c>
      <c r="O1302" s="12">
        <v>33810.0</v>
      </c>
      <c r="P1302" s="11" t="s">
        <v>1649</v>
      </c>
      <c r="Q1302" s="12">
        <v>33810.0</v>
      </c>
      <c r="R1302" s="11" t="s">
        <v>1649</v>
      </c>
      <c r="S1302" s="11" t="s">
        <v>1701</v>
      </c>
      <c r="T1302" s="11" t="s">
        <v>1703</v>
      </c>
      <c r="U1302" s="2" t="s">
        <v>1574</v>
      </c>
      <c r="V1302" s="2" t="s">
        <v>1568</v>
      </c>
      <c r="W1302" s="2" t="s">
        <v>1569</v>
      </c>
      <c r="X1302" s="2" t="s">
        <v>1570</v>
      </c>
      <c r="AB1302" s="2" t="s">
        <v>1571</v>
      </c>
    </row>
    <row r="1303">
      <c r="A1303" s="2" t="s">
        <v>1836</v>
      </c>
      <c r="B1303" s="2">
        <v>13.0</v>
      </c>
      <c r="C1303" s="2" t="s">
        <v>7</v>
      </c>
      <c r="D1303" s="2" t="s">
        <v>1837</v>
      </c>
      <c r="E1303" s="2">
        <v>4.0</v>
      </c>
      <c r="F1303" s="2" t="s">
        <v>4</v>
      </c>
      <c r="G1303" s="5">
        <v>2615535.0</v>
      </c>
      <c r="H1303" s="2" t="s">
        <v>1575</v>
      </c>
      <c r="I1303" s="2" t="s">
        <v>1565</v>
      </c>
      <c r="J1303" s="2">
        <v>10042.0</v>
      </c>
      <c r="K1303" s="2" t="s">
        <v>1634</v>
      </c>
      <c r="L1303" s="2"/>
      <c r="M1303" s="2"/>
      <c r="N1303" s="7">
        <v>2.0</v>
      </c>
      <c r="O1303" s="12">
        <v>19048.0</v>
      </c>
      <c r="P1303" s="11" t="s">
        <v>1649</v>
      </c>
      <c r="Q1303" s="12">
        <v>19048.0</v>
      </c>
      <c r="R1303" s="11" t="s">
        <v>1649</v>
      </c>
      <c r="S1303" s="11" t="s">
        <v>1840</v>
      </c>
      <c r="T1303" s="11" t="s">
        <v>1841</v>
      </c>
      <c r="U1303" s="2" t="s">
        <v>1574</v>
      </c>
      <c r="V1303" s="2" t="s">
        <v>1568</v>
      </c>
      <c r="W1303" s="2" t="s">
        <v>1569</v>
      </c>
      <c r="X1303" s="2" t="s">
        <v>1570</v>
      </c>
      <c r="AB1303" s="2" t="s">
        <v>1571</v>
      </c>
    </row>
    <row r="1304">
      <c r="A1304" s="2" t="s">
        <v>1836</v>
      </c>
      <c r="B1304" s="2">
        <v>13.0</v>
      </c>
      <c r="C1304" s="2" t="s">
        <v>7</v>
      </c>
      <c r="D1304" s="2" t="s">
        <v>1837</v>
      </c>
      <c r="E1304" s="2">
        <v>4.0</v>
      </c>
      <c r="F1304" s="2" t="s">
        <v>4</v>
      </c>
      <c r="G1304" s="5">
        <v>2615535.0</v>
      </c>
      <c r="H1304" s="2" t="s">
        <v>1575</v>
      </c>
      <c r="I1304" s="2" t="s">
        <v>1565</v>
      </c>
      <c r="J1304" s="2">
        <v>10043.0</v>
      </c>
      <c r="K1304" s="2" t="s">
        <v>1635</v>
      </c>
      <c r="L1304" s="2"/>
      <c r="M1304" s="2"/>
      <c r="N1304" s="7">
        <v>1.0</v>
      </c>
      <c r="O1304" s="12">
        <v>9524.0</v>
      </c>
      <c r="P1304" s="11" t="s">
        <v>1649</v>
      </c>
      <c r="Q1304" s="12">
        <v>9524.0</v>
      </c>
      <c r="R1304" s="11" t="s">
        <v>1649</v>
      </c>
      <c r="S1304" s="11" t="s">
        <v>1834</v>
      </c>
      <c r="T1304" s="11" t="s">
        <v>1835</v>
      </c>
      <c r="U1304" s="2" t="s">
        <v>1574</v>
      </c>
      <c r="V1304" s="2" t="s">
        <v>1568</v>
      </c>
      <c r="W1304" s="2" t="s">
        <v>1569</v>
      </c>
      <c r="X1304" s="2" t="s">
        <v>1570</v>
      </c>
      <c r="AB1304" s="2" t="s">
        <v>1571</v>
      </c>
    </row>
    <row r="1305">
      <c r="A1305" s="2" t="s">
        <v>1836</v>
      </c>
      <c r="B1305" s="2">
        <v>13.0</v>
      </c>
      <c r="C1305" s="2" t="s">
        <v>7</v>
      </c>
      <c r="D1305" s="2" t="s">
        <v>1837</v>
      </c>
      <c r="E1305" s="2">
        <v>4.0</v>
      </c>
      <c r="F1305" s="2" t="s">
        <v>4</v>
      </c>
      <c r="G1305" s="5">
        <v>2615169.0</v>
      </c>
      <c r="H1305" s="2" t="s">
        <v>1575</v>
      </c>
      <c r="I1305" s="2" t="s">
        <v>1580</v>
      </c>
      <c r="J1305" s="2">
        <v>10003.0</v>
      </c>
      <c r="K1305" s="2" t="s">
        <v>1603</v>
      </c>
      <c r="L1305" s="2"/>
      <c r="M1305" s="2"/>
      <c r="N1305" s="7">
        <v>3.0</v>
      </c>
      <c r="O1305" s="12">
        <v>88572.0</v>
      </c>
      <c r="P1305" s="11" t="s">
        <v>1649</v>
      </c>
      <c r="Q1305" s="12">
        <v>88572.0</v>
      </c>
      <c r="R1305" s="11" t="s">
        <v>1649</v>
      </c>
      <c r="S1305" s="11" t="s">
        <v>1786</v>
      </c>
      <c r="T1305" s="11" t="s">
        <v>1787</v>
      </c>
      <c r="U1305" s="2" t="s">
        <v>1574</v>
      </c>
      <c r="V1305" s="2" t="s">
        <v>1568</v>
      </c>
      <c r="W1305" s="2" t="s">
        <v>1569</v>
      </c>
      <c r="X1305" s="2" t="s">
        <v>1570</v>
      </c>
      <c r="AB1305" s="2" t="s">
        <v>1571</v>
      </c>
    </row>
    <row r="1306">
      <c r="A1306" s="2" t="s">
        <v>1836</v>
      </c>
      <c r="B1306" s="2">
        <v>12.0</v>
      </c>
      <c r="C1306" s="2" t="s">
        <v>7</v>
      </c>
      <c r="D1306" s="2" t="s">
        <v>1837</v>
      </c>
      <c r="E1306" s="2">
        <v>4.0</v>
      </c>
      <c r="F1306" s="2" t="s">
        <v>4</v>
      </c>
      <c r="G1306" s="5">
        <v>2614804.0</v>
      </c>
      <c r="H1306" s="2" t="s">
        <v>1575</v>
      </c>
      <c r="I1306" s="2" t="s">
        <v>1572</v>
      </c>
      <c r="J1306" s="2">
        <v>10026.0</v>
      </c>
      <c r="K1306" s="2" t="s">
        <v>1583</v>
      </c>
      <c r="L1306" s="2"/>
      <c r="M1306" s="2"/>
      <c r="N1306" s="7">
        <v>1.0</v>
      </c>
      <c r="O1306" s="12">
        <v>21905.0</v>
      </c>
      <c r="P1306" s="11" t="s">
        <v>1649</v>
      </c>
      <c r="Q1306" s="12">
        <v>21905.0</v>
      </c>
      <c r="R1306" s="11" t="s">
        <v>1649</v>
      </c>
      <c r="S1306" s="11" t="s">
        <v>1666</v>
      </c>
      <c r="T1306" s="11" t="s">
        <v>1667</v>
      </c>
      <c r="U1306" s="2" t="s">
        <v>1574</v>
      </c>
      <c r="V1306" s="2" t="s">
        <v>1568</v>
      </c>
      <c r="W1306" s="2" t="s">
        <v>1569</v>
      </c>
      <c r="X1306" s="2" t="s">
        <v>1570</v>
      </c>
      <c r="AB1306" s="2" t="s">
        <v>1571</v>
      </c>
    </row>
    <row r="1307">
      <c r="A1307" s="2" t="s">
        <v>1836</v>
      </c>
      <c r="B1307" s="2">
        <v>12.0</v>
      </c>
      <c r="C1307" s="2" t="s">
        <v>7</v>
      </c>
      <c r="D1307" s="2" t="s">
        <v>1837</v>
      </c>
      <c r="E1307" s="2">
        <v>4.0</v>
      </c>
      <c r="F1307" s="2" t="s">
        <v>4</v>
      </c>
      <c r="G1307" s="5">
        <v>2614804.0</v>
      </c>
      <c r="H1307" s="2" t="s">
        <v>1575</v>
      </c>
      <c r="I1307" s="2" t="s">
        <v>1580</v>
      </c>
      <c r="J1307" s="2">
        <v>10053.0</v>
      </c>
      <c r="K1307" s="2" t="s">
        <v>1612</v>
      </c>
      <c r="L1307" s="2"/>
      <c r="M1307" s="2"/>
      <c r="N1307" s="7">
        <v>1.0</v>
      </c>
      <c r="O1307" s="12">
        <v>25238.0</v>
      </c>
      <c r="P1307" s="11" t="s">
        <v>1649</v>
      </c>
      <c r="Q1307" s="12">
        <v>25238.0</v>
      </c>
      <c r="R1307" s="11" t="s">
        <v>1649</v>
      </c>
      <c r="S1307" s="11" t="s">
        <v>1660</v>
      </c>
      <c r="T1307" s="11" t="s">
        <v>1680</v>
      </c>
      <c r="U1307" s="2" t="s">
        <v>1574</v>
      </c>
      <c r="V1307" s="2" t="s">
        <v>1568</v>
      </c>
      <c r="W1307" s="2" t="s">
        <v>1569</v>
      </c>
      <c r="X1307" s="2" t="s">
        <v>1570</v>
      </c>
      <c r="AB1307" s="2" t="s">
        <v>1571</v>
      </c>
    </row>
    <row r="1308">
      <c r="A1308" s="2" t="s">
        <v>1842</v>
      </c>
      <c r="B1308" s="2">
        <v>18.0</v>
      </c>
      <c r="C1308" s="2" t="s">
        <v>6</v>
      </c>
      <c r="D1308" s="2" t="s">
        <v>1843</v>
      </c>
      <c r="E1308" s="2">
        <v>3.0</v>
      </c>
      <c r="F1308" s="2" t="s">
        <v>4</v>
      </c>
      <c r="G1308" s="5">
        <v>2614439.0</v>
      </c>
      <c r="H1308" s="2" t="s">
        <v>1575</v>
      </c>
      <c r="I1308" s="2" t="s">
        <v>1565</v>
      </c>
      <c r="J1308" s="2">
        <v>10054.0</v>
      </c>
      <c r="K1308" s="2" t="s">
        <v>1610</v>
      </c>
      <c r="L1308" s="2"/>
      <c r="M1308" s="2"/>
      <c r="N1308" s="7">
        <v>1.0</v>
      </c>
      <c r="O1308" s="12">
        <v>25238.0</v>
      </c>
      <c r="P1308" s="11" t="s">
        <v>1649</v>
      </c>
      <c r="Q1308" s="12">
        <v>25238.0</v>
      </c>
      <c r="R1308" s="11" t="s">
        <v>1649</v>
      </c>
      <c r="S1308" s="11" t="s">
        <v>1660</v>
      </c>
      <c r="T1308" s="11" t="s">
        <v>1680</v>
      </c>
      <c r="U1308" s="2" t="s">
        <v>1574</v>
      </c>
      <c r="V1308" s="2" t="s">
        <v>1568</v>
      </c>
      <c r="W1308" s="2" t="s">
        <v>1569</v>
      </c>
      <c r="X1308" s="2" t="s">
        <v>1570</v>
      </c>
      <c r="AB1308" s="2" t="s">
        <v>1571</v>
      </c>
    </row>
    <row r="1309">
      <c r="A1309" s="2" t="s">
        <v>1842</v>
      </c>
      <c r="B1309" s="2">
        <v>17.0</v>
      </c>
      <c r="C1309" s="2" t="s">
        <v>6</v>
      </c>
      <c r="D1309" s="2" t="s">
        <v>1843</v>
      </c>
      <c r="E1309" s="2">
        <v>3.0</v>
      </c>
      <c r="F1309" s="2" t="s">
        <v>4</v>
      </c>
      <c r="G1309" s="5">
        <v>2614074.0</v>
      </c>
      <c r="H1309" s="2" t="s">
        <v>1575</v>
      </c>
      <c r="I1309" s="2" t="s">
        <v>1580</v>
      </c>
      <c r="J1309" s="2">
        <v>10003.0</v>
      </c>
      <c r="K1309" s="2" t="s">
        <v>1603</v>
      </c>
      <c r="L1309" s="2"/>
      <c r="M1309" s="2"/>
      <c r="N1309" s="7">
        <v>1.0</v>
      </c>
      <c r="O1309" s="12">
        <v>29524.0</v>
      </c>
      <c r="P1309" s="11" t="s">
        <v>1649</v>
      </c>
      <c r="Q1309" s="12">
        <v>29524.0</v>
      </c>
      <c r="R1309" s="11" t="s">
        <v>1649</v>
      </c>
      <c r="S1309" s="11" t="s">
        <v>1683</v>
      </c>
      <c r="T1309" s="11" t="s">
        <v>1684</v>
      </c>
      <c r="U1309" s="2" t="s">
        <v>1574</v>
      </c>
      <c r="V1309" s="2" t="s">
        <v>1568</v>
      </c>
      <c r="W1309" s="2" t="s">
        <v>1569</v>
      </c>
      <c r="X1309" s="2" t="s">
        <v>1570</v>
      </c>
      <c r="AB1309" s="2" t="s">
        <v>1571</v>
      </c>
    </row>
    <row r="1310">
      <c r="A1310" s="2" t="s">
        <v>1842</v>
      </c>
      <c r="B1310" s="2">
        <v>17.0</v>
      </c>
      <c r="C1310" s="2" t="s">
        <v>6</v>
      </c>
      <c r="D1310" s="2" t="s">
        <v>1843</v>
      </c>
      <c r="E1310" s="2">
        <v>3.0</v>
      </c>
      <c r="F1310" s="2" t="s">
        <v>4</v>
      </c>
      <c r="G1310" s="5">
        <v>2613708.0</v>
      </c>
      <c r="H1310" s="2" t="s">
        <v>1575</v>
      </c>
      <c r="I1310" s="2" t="s">
        <v>1565</v>
      </c>
      <c r="J1310" s="2">
        <v>10005.0</v>
      </c>
      <c r="K1310" s="2" t="s">
        <v>1595</v>
      </c>
      <c r="L1310" s="2"/>
      <c r="M1310" s="2"/>
      <c r="N1310" s="7">
        <v>1.0</v>
      </c>
      <c r="O1310" s="12">
        <v>19524.0</v>
      </c>
      <c r="P1310" s="11" t="s">
        <v>1649</v>
      </c>
      <c r="Q1310" s="12">
        <v>19524.0</v>
      </c>
      <c r="R1310" s="11" t="s">
        <v>1649</v>
      </c>
      <c r="S1310" s="11" t="s">
        <v>1676</v>
      </c>
      <c r="T1310" s="11" t="s">
        <v>1677</v>
      </c>
      <c r="U1310" s="2" t="s">
        <v>1574</v>
      </c>
      <c r="V1310" s="2" t="s">
        <v>1568</v>
      </c>
      <c r="W1310" s="2" t="s">
        <v>1569</v>
      </c>
      <c r="X1310" s="2" t="s">
        <v>1570</v>
      </c>
      <c r="AB1310" s="2" t="s">
        <v>1571</v>
      </c>
    </row>
    <row r="1311">
      <c r="A1311" s="2" t="s">
        <v>1842</v>
      </c>
      <c r="B1311" s="2">
        <v>17.0</v>
      </c>
      <c r="C1311" s="2" t="s">
        <v>6</v>
      </c>
      <c r="D1311" s="2" t="s">
        <v>1843</v>
      </c>
      <c r="E1311" s="2">
        <v>3.0</v>
      </c>
      <c r="F1311" s="2" t="s">
        <v>4</v>
      </c>
      <c r="G1311" s="5">
        <v>2613343.0</v>
      </c>
      <c r="H1311" s="2" t="s">
        <v>1575</v>
      </c>
      <c r="I1311" s="2" t="s">
        <v>1580</v>
      </c>
      <c r="J1311" s="2">
        <v>10003.0</v>
      </c>
      <c r="K1311" s="2" t="s">
        <v>1603</v>
      </c>
      <c r="L1311" s="2"/>
      <c r="M1311" s="2"/>
      <c r="N1311" s="7">
        <v>1.0</v>
      </c>
      <c r="O1311" s="12">
        <v>29524.0</v>
      </c>
      <c r="P1311" s="11" t="s">
        <v>1649</v>
      </c>
      <c r="Q1311" s="12">
        <v>29524.0</v>
      </c>
      <c r="R1311" s="11" t="s">
        <v>1649</v>
      </c>
      <c r="S1311" s="11" t="s">
        <v>1683</v>
      </c>
      <c r="T1311" s="11" t="s">
        <v>1684</v>
      </c>
      <c r="U1311" s="2" t="s">
        <v>1574</v>
      </c>
      <c r="V1311" s="2" t="s">
        <v>1568</v>
      </c>
      <c r="W1311" s="2" t="s">
        <v>1569</v>
      </c>
      <c r="X1311" s="2" t="s">
        <v>1570</v>
      </c>
      <c r="AB1311" s="2" t="s">
        <v>1571</v>
      </c>
    </row>
    <row r="1312">
      <c r="A1312" s="2" t="s">
        <v>1842</v>
      </c>
      <c r="B1312" s="2">
        <v>17.0</v>
      </c>
      <c r="C1312" s="2" t="s">
        <v>6</v>
      </c>
      <c r="D1312" s="2" t="s">
        <v>1843</v>
      </c>
      <c r="E1312" s="2">
        <v>3.0</v>
      </c>
      <c r="F1312" s="2" t="s">
        <v>4</v>
      </c>
      <c r="G1312" s="5">
        <v>2613343.0</v>
      </c>
      <c r="H1312" s="2" t="s">
        <v>1575</v>
      </c>
      <c r="I1312" s="2" t="s">
        <v>1578</v>
      </c>
      <c r="J1312" s="2">
        <v>10015.0</v>
      </c>
      <c r="K1312" s="2" t="s">
        <v>1587</v>
      </c>
      <c r="L1312" s="2"/>
      <c r="M1312" s="2"/>
      <c r="N1312" s="7">
        <v>1.0</v>
      </c>
      <c r="O1312" s="12">
        <v>25238.0</v>
      </c>
      <c r="P1312" s="11" t="s">
        <v>1649</v>
      </c>
      <c r="Q1312" s="12">
        <v>25238.0</v>
      </c>
      <c r="R1312" s="11" t="s">
        <v>1649</v>
      </c>
      <c r="S1312" s="11" t="s">
        <v>1660</v>
      </c>
      <c r="T1312" s="11" t="s">
        <v>1680</v>
      </c>
      <c r="U1312" s="2" t="s">
        <v>1574</v>
      </c>
      <c r="V1312" s="2" t="s">
        <v>1568</v>
      </c>
      <c r="W1312" s="2" t="s">
        <v>1569</v>
      </c>
      <c r="X1312" s="2" t="s">
        <v>1570</v>
      </c>
      <c r="AB1312" s="2" t="s">
        <v>1571</v>
      </c>
    </row>
    <row r="1313">
      <c r="A1313" s="2" t="s">
        <v>1842</v>
      </c>
      <c r="B1313" s="2">
        <v>17.0</v>
      </c>
      <c r="C1313" s="2" t="s">
        <v>6</v>
      </c>
      <c r="D1313" s="2" t="s">
        <v>1843</v>
      </c>
      <c r="E1313" s="2">
        <v>3.0</v>
      </c>
      <c r="F1313" s="2" t="s">
        <v>4</v>
      </c>
      <c r="G1313" s="5">
        <v>2612978.0</v>
      </c>
      <c r="H1313" s="2" t="s">
        <v>1575</v>
      </c>
      <c r="I1313" s="2" t="s">
        <v>1565</v>
      </c>
      <c r="J1313" s="2">
        <v>10007.0</v>
      </c>
      <c r="K1313" s="2" t="s">
        <v>1576</v>
      </c>
      <c r="L1313" s="2"/>
      <c r="M1313" s="2"/>
      <c r="N1313" s="7">
        <v>2.0</v>
      </c>
      <c r="O1313" s="12">
        <v>101430.0</v>
      </c>
      <c r="P1313" s="11" t="s">
        <v>1649</v>
      </c>
      <c r="Q1313" s="12">
        <v>101430.0</v>
      </c>
      <c r="R1313" s="11" t="s">
        <v>1649</v>
      </c>
      <c r="S1313" s="11" t="s">
        <v>1844</v>
      </c>
      <c r="T1313" s="11" t="s">
        <v>1845</v>
      </c>
      <c r="U1313" s="2" t="s">
        <v>1574</v>
      </c>
      <c r="V1313" s="2" t="s">
        <v>1568</v>
      </c>
      <c r="W1313" s="2" t="s">
        <v>1569</v>
      </c>
      <c r="X1313" s="2" t="s">
        <v>1570</v>
      </c>
      <c r="AB1313" s="2" t="s">
        <v>1571</v>
      </c>
    </row>
    <row r="1314">
      <c r="A1314" s="2" t="s">
        <v>1842</v>
      </c>
      <c r="B1314" s="2">
        <v>17.0</v>
      </c>
      <c r="C1314" s="2" t="s">
        <v>6</v>
      </c>
      <c r="D1314" s="2" t="s">
        <v>1843</v>
      </c>
      <c r="E1314" s="2">
        <v>3.0</v>
      </c>
      <c r="F1314" s="2" t="s">
        <v>4</v>
      </c>
      <c r="G1314" s="5">
        <v>2612978.0</v>
      </c>
      <c r="H1314" s="2" t="s">
        <v>1575</v>
      </c>
      <c r="I1314" s="2" t="s">
        <v>1565</v>
      </c>
      <c r="J1314" s="2">
        <v>10002.0</v>
      </c>
      <c r="K1314" s="2" t="s">
        <v>1576</v>
      </c>
      <c r="L1314" s="2"/>
      <c r="M1314" s="2"/>
      <c r="N1314" s="7">
        <v>1.0</v>
      </c>
      <c r="O1314" s="12">
        <v>18571.0</v>
      </c>
      <c r="P1314" s="11" t="s">
        <v>1649</v>
      </c>
      <c r="Q1314" s="12">
        <v>18571.0</v>
      </c>
      <c r="R1314" s="11" t="s">
        <v>1649</v>
      </c>
      <c r="S1314" s="11" t="s">
        <v>1656</v>
      </c>
      <c r="T1314" s="11" t="s">
        <v>1688</v>
      </c>
      <c r="U1314" s="2" t="s">
        <v>1574</v>
      </c>
      <c r="V1314" s="2" t="s">
        <v>1568</v>
      </c>
      <c r="W1314" s="2" t="s">
        <v>1569</v>
      </c>
      <c r="X1314" s="2" t="s">
        <v>1570</v>
      </c>
      <c r="AB1314" s="2" t="s">
        <v>1571</v>
      </c>
    </row>
    <row r="1315">
      <c r="A1315" s="2" t="s">
        <v>1842</v>
      </c>
      <c r="B1315" s="2">
        <v>17.0</v>
      </c>
      <c r="C1315" s="2" t="s">
        <v>6</v>
      </c>
      <c r="D1315" s="2" t="s">
        <v>1843</v>
      </c>
      <c r="E1315" s="2">
        <v>3.0</v>
      </c>
      <c r="F1315" s="2" t="s">
        <v>4</v>
      </c>
      <c r="G1315" s="5">
        <v>2612978.0</v>
      </c>
      <c r="H1315" s="2" t="s">
        <v>1575</v>
      </c>
      <c r="I1315" s="2" t="s">
        <v>1565</v>
      </c>
      <c r="J1315" s="2">
        <v>10055.0</v>
      </c>
      <c r="K1315" s="2" t="s">
        <v>1595</v>
      </c>
      <c r="L1315" s="2"/>
      <c r="M1315" s="2"/>
      <c r="N1315" s="7">
        <v>2.0</v>
      </c>
      <c r="O1315" s="12">
        <v>69524.0</v>
      </c>
      <c r="P1315" s="11" t="s">
        <v>1649</v>
      </c>
      <c r="Q1315" s="12">
        <v>69524.0</v>
      </c>
      <c r="R1315" s="11" t="s">
        <v>1649</v>
      </c>
      <c r="S1315" s="11" t="s">
        <v>1718</v>
      </c>
      <c r="T1315" s="11" t="s">
        <v>1736</v>
      </c>
      <c r="U1315" s="2" t="s">
        <v>1574</v>
      </c>
      <c r="V1315" s="2" t="s">
        <v>1568</v>
      </c>
      <c r="W1315" s="2" t="s">
        <v>1569</v>
      </c>
      <c r="X1315" s="2" t="s">
        <v>1570</v>
      </c>
      <c r="AB1315" s="2" t="s">
        <v>1571</v>
      </c>
    </row>
    <row r="1316">
      <c r="A1316" s="2" t="s">
        <v>1842</v>
      </c>
      <c r="B1316" s="2">
        <v>17.0</v>
      </c>
      <c r="C1316" s="2" t="s">
        <v>6</v>
      </c>
      <c r="D1316" s="2" t="s">
        <v>1843</v>
      </c>
      <c r="E1316" s="2">
        <v>3.0</v>
      </c>
      <c r="F1316" s="2" t="s">
        <v>4</v>
      </c>
      <c r="G1316" s="5">
        <v>2612978.0</v>
      </c>
      <c r="H1316" s="2" t="s">
        <v>1575</v>
      </c>
      <c r="I1316" s="2" t="s">
        <v>1565</v>
      </c>
      <c r="J1316" s="2">
        <v>10005.0</v>
      </c>
      <c r="K1316" s="2" t="s">
        <v>1595</v>
      </c>
      <c r="L1316" s="2"/>
      <c r="M1316" s="2"/>
      <c r="N1316" s="7">
        <v>1.0</v>
      </c>
      <c r="O1316" s="12">
        <v>19524.0</v>
      </c>
      <c r="P1316" s="11" t="s">
        <v>1649</v>
      </c>
      <c r="Q1316" s="12">
        <v>19524.0</v>
      </c>
      <c r="R1316" s="11" t="s">
        <v>1649</v>
      </c>
      <c r="S1316" s="11" t="s">
        <v>1676</v>
      </c>
      <c r="T1316" s="11" t="s">
        <v>1677</v>
      </c>
      <c r="U1316" s="2" t="s">
        <v>1574</v>
      </c>
      <c r="V1316" s="2" t="s">
        <v>1568</v>
      </c>
      <c r="W1316" s="2" t="s">
        <v>1569</v>
      </c>
      <c r="X1316" s="2" t="s">
        <v>1570</v>
      </c>
      <c r="AB1316" s="2" t="s">
        <v>1571</v>
      </c>
    </row>
    <row r="1317">
      <c r="A1317" s="2" t="s">
        <v>1842</v>
      </c>
      <c r="B1317" s="2">
        <v>17.0</v>
      </c>
      <c r="C1317" s="2" t="s">
        <v>6</v>
      </c>
      <c r="D1317" s="2" t="s">
        <v>1843</v>
      </c>
      <c r="E1317" s="2">
        <v>3.0</v>
      </c>
      <c r="F1317" s="2" t="s">
        <v>4</v>
      </c>
      <c r="G1317" s="5">
        <v>2612978.0</v>
      </c>
      <c r="H1317" s="2" t="s">
        <v>1575</v>
      </c>
      <c r="I1317" s="2" t="s">
        <v>1565</v>
      </c>
      <c r="J1317" s="2">
        <v>10000.0</v>
      </c>
      <c r="K1317" s="2" t="s">
        <v>1566</v>
      </c>
      <c r="L1317" s="2"/>
      <c r="M1317" s="2"/>
      <c r="N1317" s="7">
        <v>2.0</v>
      </c>
      <c r="O1317" s="12">
        <v>59048.0</v>
      </c>
      <c r="P1317" s="11" t="s">
        <v>1649</v>
      </c>
      <c r="Q1317" s="12">
        <v>59048.0</v>
      </c>
      <c r="R1317" s="11" t="s">
        <v>1649</v>
      </c>
      <c r="S1317" s="11" t="s">
        <v>1732</v>
      </c>
      <c r="T1317" s="11" t="s">
        <v>1770</v>
      </c>
      <c r="U1317" s="2" t="s">
        <v>1574</v>
      </c>
      <c r="V1317" s="2" t="s">
        <v>1568</v>
      </c>
      <c r="W1317" s="2" t="s">
        <v>1569</v>
      </c>
      <c r="X1317" s="2" t="s">
        <v>1570</v>
      </c>
      <c r="AB1317" s="2" t="s">
        <v>1571</v>
      </c>
    </row>
    <row r="1318">
      <c r="A1318" s="2" t="s">
        <v>1842</v>
      </c>
      <c r="B1318" s="2">
        <v>17.0</v>
      </c>
      <c r="C1318" s="2" t="s">
        <v>6</v>
      </c>
      <c r="D1318" s="2" t="s">
        <v>1843</v>
      </c>
      <c r="E1318" s="2">
        <v>3.0</v>
      </c>
      <c r="F1318" s="2" t="s">
        <v>4</v>
      </c>
      <c r="G1318" s="5">
        <v>2612613.0</v>
      </c>
      <c r="H1318" s="2" t="s">
        <v>1575</v>
      </c>
      <c r="I1318" s="2" t="s">
        <v>1572</v>
      </c>
      <c r="J1318" s="2">
        <v>10128.0</v>
      </c>
      <c r="K1318" s="2" t="s">
        <v>1588</v>
      </c>
      <c r="L1318" s="2"/>
      <c r="M1318" s="2"/>
      <c r="N1318" s="7">
        <v>1.0</v>
      </c>
      <c r="O1318" s="12">
        <v>23333.0</v>
      </c>
      <c r="P1318" s="11" t="s">
        <v>1649</v>
      </c>
      <c r="Q1318" s="12">
        <v>23333.0</v>
      </c>
      <c r="R1318" s="11" t="s">
        <v>1649</v>
      </c>
      <c r="S1318" s="11" t="s">
        <v>1681</v>
      </c>
      <c r="T1318" s="11" t="s">
        <v>1682</v>
      </c>
      <c r="U1318" s="2" t="s">
        <v>1574</v>
      </c>
      <c r="V1318" s="2" t="s">
        <v>1568</v>
      </c>
      <c r="W1318" s="2" t="s">
        <v>1569</v>
      </c>
      <c r="X1318" s="2" t="s">
        <v>1570</v>
      </c>
      <c r="AB1318" s="2" t="s">
        <v>1571</v>
      </c>
    </row>
    <row r="1319">
      <c r="A1319" s="2" t="s">
        <v>1842</v>
      </c>
      <c r="B1319" s="2">
        <v>17.0</v>
      </c>
      <c r="C1319" s="2" t="s">
        <v>6</v>
      </c>
      <c r="D1319" s="2" t="s">
        <v>1843</v>
      </c>
      <c r="E1319" s="2">
        <v>3.0</v>
      </c>
      <c r="F1319" s="2" t="s">
        <v>4</v>
      </c>
      <c r="G1319" s="5">
        <v>2612613.0</v>
      </c>
      <c r="H1319" s="2" t="s">
        <v>1575</v>
      </c>
      <c r="I1319" s="2" t="s">
        <v>1578</v>
      </c>
      <c r="J1319" s="2">
        <v>10004.0</v>
      </c>
      <c r="K1319" s="2" t="s">
        <v>1607</v>
      </c>
      <c r="L1319" s="2"/>
      <c r="M1319" s="2"/>
      <c r="N1319" s="7">
        <v>1.0</v>
      </c>
      <c r="O1319" s="12">
        <v>25238.0</v>
      </c>
      <c r="P1319" s="11" t="s">
        <v>1649</v>
      </c>
      <c r="Q1319" s="12">
        <v>25238.0</v>
      </c>
      <c r="R1319" s="11" t="s">
        <v>1649</v>
      </c>
      <c r="S1319" s="11" t="s">
        <v>1660</v>
      </c>
      <c r="T1319" s="11" t="s">
        <v>1680</v>
      </c>
      <c r="U1319" s="2" t="s">
        <v>1574</v>
      </c>
      <c r="V1319" s="2" t="s">
        <v>1568</v>
      </c>
      <c r="W1319" s="2" t="s">
        <v>1569</v>
      </c>
      <c r="X1319" s="2" t="s">
        <v>1570</v>
      </c>
      <c r="AB1319" s="2" t="s">
        <v>1571</v>
      </c>
    </row>
    <row r="1320">
      <c r="A1320" s="2" t="s">
        <v>1842</v>
      </c>
      <c r="B1320" s="2">
        <v>16.0</v>
      </c>
      <c r="C1320" s="2" t="s">
        <v>6</v>
      </c>
      <c r="D1320" s="2" t="s">
        <v>1843</v>
      </c>
      <c r="E1320" s="2">
        <v>3.0</v>
      </c>
      <c r="F1320" s="2" t="s">
        <v>4</v>
      </c>
      <c r="G1320" s="5">
        <v>2612247.0</v>
      </c>
      <c r="H1320" s="2" t="s">
        <v>1575</v>
      </c>
      <c r="I1320" s="2" t="s">
        <v>1565</v>
      </c>
      <c r="J1320" s="2">
        <v>10005.0</v>
      </c>
      <c r="K1320" s="2" t="s">
        <v>1595</v>
      </c>
      <c r="L1320" s="2"/>
      <c r="M1320" s="2"/>
      <c r="N1320" s="7">
        <v>1.0</v>
      </c>
      <c r="O1320" s="12">
        <v>19524.0</v>
      </c>
      <c r="P1320" s="11" t="s">
        <v>1649</v>
      </c>
      <c r="Q1320" s="12">
        <v>19524.0</v>
      </c>
      <c r="R1320" s="11" t="s">
        <v>1649</v>
      </c>
      <c r="S1320" s="11" t="s">
        <v>1676</v>
      </c>
      <c r="T1320" s="11" t="s">
        <v>1677</v>
      </c>
      <c r="U1320" s="2" t="s">
        <v>1574</v>
      </c>
      <c r="V1320" s="2" t="s">
        <v>1568</v>
      </c>
      <c r="W1320" s="2" t="s">
        <v>1569</v>
      </c>
      <c r="X1320" s="2" t="s">
        <v>1570</v>
      </c>
      <c r="AB1320" s="2" t="s">
        <v>1571</v>
      </c>
    </row>
    <row r="1321">
      <c r="A1321" s="2" t="s">
        <v>1842</v>
      </c>
      <c r="B1321" s="2">
        <v>16.0</v>
      </c>
      <c r="C1321" s="2" t="s">
        <v>6</v>
      </c>
      <c r="D1321" s="2" t="s">
        <v>1843</v>
      </c>
      <c r="E1321" s="2">
        <v>3.0</v>
      </c>
      <c r="F1321" s="2" t="s">
        <v>4</v>
      </c>
      <c r="G1321" s="5">
        <v>2611882.0</v>
      </c>
      <c r="H1321" s="2" t="s">
        <v>1575</v>
      </c>
      <c r="I1321" s="2" t="s">
        <v>1565</v>
      </c>
      <c r="J1321" s="2">
        <v>10007.0</v>
      </c>
      <c r="K1321" s="2" t="s">
        <v>1576</v>
      </c>
      <c r="L1321" s="2"/>
      <c r="M1321" s="2"/>
      <c r="N1321" s="7">
        <v>2.0</v>
      </c>
      <c r="O1321" s="12">
        <v>33810.0</v>
      </c>
      <c r="P1321" s="11" t="s">
        <v>1649</v>
      </c>
      <c r="Q1321" s="12">
        <v>33810.0</v>
      </c>
      <c r="R1321" s="11" t="s">
        <v>1649</v>
      </c>
      <c r="S1321" s="11" t="s">
        <v>1701</v>
      </c>
      <c r="T1321" s="11" t="s">
        <v>1703</v>
      </c>
      <c r="U1321" s="2" t="s">
        <v>1574</v>
      </c>
      <c r="V1321" s="2" t="s">
        <v>1568</v>
      </c>
      <c r="W1321" s="2" t="s">
        <v>1569</v>
      </c>
      <c r="X1321" s="2" t="s">
        <v>1570</v>
      </c>
      <c r="AB1321" s="2" t="s">
        <v>1571</v>
      </c>
    </row>
    <row r="1322">
      <c r="A1322" s="2" t="s">
        <v>1842</v>
      </c>
      <c r="B1322" s="2">
        <v>15.0</v>
      </c>
      <c r="C1322" s="2" t="s">
        <v>6</v>
      </c>
      <c r="D1322" s="2" t="s">
        <v>1843</v>
      </c>
      <c r="E1322" s="2">
        <v>3.0</v>
      </c>
      <c r="F1322" s="2" t="s">
        <v>4</v>
      </c>
      <c r="G1322" s="5">
        <v>2611517.0</v>
      </c>
      <c r="H1322" s="2" t="s">
        <v>1575</v>
      </c>
      <c r="I1322" s="2" t="s">
        <v>1572</v>
      </c>
      <c r="J1322" s="2">
        <v>10107.0</v>
      </c>
      <c r="K1322" s="2" t="s">
        <v>1584</v>
      </c>
      <c r="L1322" s="2"/>
      <c r="M1322" s="2"/>
      <c r="N1322" s="7">
        <v>1.0</v>
      </c>
      <c r="O1322" s="12">
        <v>26667.0</v>
      </c>
      <c r="P1322" s="11" t="s">
        <v>1649</v>
      </c>
      <c r="Q1322" s="12">
        <v>26667.0</v>
      </c>
      <c r="R1322" s="11" t="s">
        <v>1649</v>
      </c>
      <c r="S1322" s="11" t="s">
        <v>1674</v>
      </c>
      <c r="T1322" s="11" t="s">
        <v>1679</v>
      </c>
      <c r="U1322" s="2" t="s">
        <v>1574</v>
      </c>
      <c r="V1322" s="2" t="s">
        <v>1568</v>
      </c>
      <c r="W1322" s="2" t="s">
        <v>1569</v>
      </c>
      <c r="X1322" s="2" t="s">
        <v>1570</v>
      </c>
      <c r="AB1322" s="2" t="s">
        <v>1571</v>
      </c>
    </row>
    <row r="1323">
      <c r="A1323" s="2" t="s">
        <v>1842</v>
      </c>
      <c r="B1323" s="2">
        <v>15.0</v>
      </c>
      <c r="C1323" s="2" t="s">
        <v>6</v>
      </c>
      <c r="D1323" s="2" t="s">
        <v>1843</v>
      </c>
      <c r="E1323" s="2">
        <v>3.0</v>
      </c>
      <c r="F1323" s="2" t="s">
        <v>4</v>
      </c>
      <c r="G1323" s="5">
        <v>2611517.0</v>
      </c>
      <c r="H1323" s="2" t="s">
        <v>1575</v>
      </c>
      <c r="I1323" s="2" t="s">
        <v>1572</v>
      </c>
      <c r="J1323" s="2">
        <v>10128.0</v>
      </c>
      <c r="K1323" s="2" t="s">
        <v>1588</v>
      </c>
      <c r="L1323" s="2"/>
      <c r="M1323" s="2"/>
      <c r="N1323" s="7">
        <v>1.0</v>
      </c>
      <c r="O1323" s="12">
        <v>23333.0</v>
      </c>
      <c r="P1323" s="11" t="s">
        <v>1649</v>
      </c>
      <c r="Q1323" s="12">
        <v>23333.0</v>
      </c>
      <c r="R1323" s="11" t="s">
        <v>1649</v>
      </c>
      <c r="S1323" s="11" t="s">
        <v>1681</v>
      </c>
      <c r="T1323" s="11" t="s">
        <v>1682</v>
      </c>
      <c r="U1323" s="2" t="s">
        <v>1574</v>
      </c>
      <c r="V1323" s="2" t="s">
        <v>1568</v>
      </c>
      <c r="W1323" s="2" t="s">
        <v>1569</v>
      </c>
      <c r="X1323" s="2" t="s">
        <v>1570</v>
      </c>
      <c r="AB1323" s="2" t="s">
        <v>1571</v>
      </c>
    </row>
    <row r="1324">
      <c r="A1324" s="2" t="s">
        <v>1842</v>
      </c>
      <c r="B1324" s="2">
        <v>15.0</v>
      </c>
      <c r="C1324" s="2" t="s">
        <v>6</v>
      </c>
      <c r="D1324" s="2" t="s">
        <v>1843</v>
      </c>
      <c r="E1324" s="2">
        <v>3.0</v>
      </c>
      <c r="F1324" s="2" t="s">
        <v>4</v>
      </c>
      <c r="G1324" s="5">
        <v>2611152.0</v>
      </c>
      <c r="H1324" s="2" t="s">
        <v>1575</v>
      </c>
      <c r="I1324" s="2" t="s">
        <v>1572</v>
      </c>
      <c r="J1324" s="2">
        <v>10119.0</v>
      </c>
      <c r="K1324" s="2" t="s">
        <v>1582</v>
      </c>
      <c r="L1324" s="2"/>
      <c r="M1324" s="2"/>
      <c r="N1324" s="7">
        <v>1.0</v>
      </c>
      <c r="O1324" s="12">
        <v>7143.0</v>
      </c>
      <c r="P1324" s="11" t="s">
        <v>1649</v>
      </c>
      <c r="Q1324" s="12">
        <v>7143.0</v>
      </c>
      <c r="R1324" s="11" t="s">
        <v>1649</v>
      </c>
      <c r="S1324" s="11" t="s">
        <v>1672</v>
      </c>
      <c r="T1324" s="11" t="s">
        <v>1673</v>
      </c>
      <c r="U1324" s="2" t="s">
        <v>1574</v>
      </c>
      <c r="V1324" s="2" t="s">
        <v>1568</v>
      </c>
      <c r="W1324" s="2" t="s">
        <v>1569</v>
      </c>
      <c r="X1324" s="2" t="s">
        <v>1570</v>
      </c>
      <c r="AB1324" s="2" t="s">
        <v>1571</v>
      </c>
    </row>
    <row r="1325">
      <c r="A1325" s="2" t="s">
        <v>1842</v>
      </c>
      <c r="B1325" s="2">
        <v>15.0</v>
      </c>
      <c r="C1325" s="2" t="s">
        <v>6</v>
      </c>
      <c r="D1325" s="2" t="s">
        <v>1843</v>
      </c>
      <c r="E1325" s="2">
        <v>3.0</v>
      </c>
      <c r="F1325" s="2" t="s">
        <v>4</v>
      </c>
      <c r="G1325" s="5">
        <v>2611152.0</v>
      </c>
      <c r="H1325" s="2" t="s">
        <v>1575</v>
      </c>
      <c r="I1325" s="2" t="s">
        <v>1572</v>
      </c>
      <c r="J1325" s="2">
        <v>10125.0</v>
      </c>
      <c r="K1325" s="2" t="s">
        <v>1601</v>
      </c>
      <c r="L1325" s="2"/>
      <c r="M1325" s="2"/>
      <c r="N1325" s="7">
        <v>1.0</v>
      </c>
      <c r="O1325" s="12">
        <v>20476.0</v>
      </c>
      <c r="P1325" s="11" t="s">
        <v>1649</v>
      </c>
      <c r="Q1325" s="12">
        <v>20476.0</v>
      </c>
      <c r="R1325" s="11" t="s">
        <v>1649</v>
      </c>
      <c r="S1325" s="11" t="s">
        <v>1716</v>
      </c>
      <c r="T1325" s="11" t="s">
        <v>1717</v>
      </c>
      <c r="U1325" s="2" t="s">
        <v>1574</v>
      </c>
      <c r="V1325" s="2" t="s">
        <v>1568</v>
      </c>
      <c r="W1325" s="2" t="s">
        <v>1569</v>
      </c>
      <c r="X1325" s="2" t="s">
        <v>1570</v>
      </c>
      <c r="AB1325" s="2" t="s">
        <v>1571</v>
      </c>
    </row>
    <row r="1326">
      <c r="A1326" s="2" t="s">
        <v>1842</v>
      </c>
      <c r="B1326" s="2">
        <v>15.0</v>
      </c>
      <c r="C1326" s="2" t="s">
        <v>6</v>
      </c>
      <c r="D1326" s="2" t="s">
        <v>1843</v>
      </c>
      <c r="E1326" s="2">
        <v>3.0</v>
      </c>
      <c r="F1326" s="2" t="s">
        <v>4</v>
      </c>
      <c r="G1326" s="5">
        <v>2611152.0</v>
      </c>
      <c r="H1326" s="2" t="s">
        <v>1575</v>
      </c>
      <c r="I1326" s="2" t="s">
        <v>1565</v>
      </c>
      <c r="J1326" s="2">
        <v>10033.0</v>
      </c>
      <c r="K1326" s="2" t="s">
        <v>1615</v>
      </c>
      <c r="L1326" s="2"/>
      <c r="M1326" s="2"/>
      <c r="N1326" s="7">
        <v>1.0</v>
      </c>
      <c r="O1326" s="12">
        <v>21905.0</v>
      </c>
      <c r="P1326" s="11" t="s">
        <v>1649</v>
      </c>
      <c r="Q1326" s="12">
        <v>21905.0</v>
      </c>
      <c r="R1326" s="11" t="s">
        <v>1649</v>
      </c>
      <c r="S1326" s="11" t="s">
        <v>1666</v>
      </c>
      <c r="T1326" s="11" t="s">
        <v>1667</v>
      </c>
      <c r="U1326" s="2" t="s">
        <v>1574</v>
      </c>
      <c r="V1326" s="2" t="s">
        <v>1568</v>
      </c>
      <c r="W1326" s="2" t="s">
        <v>1569</v>
      </c>
      <c r="X1326" s="2" t="s">
        <v>1570</v>
      </c>
      <c r="AB1326" s="2" t="s">
        <v>1571</v>
      </c>
    </row>
    <row r="1327">
      <c r="A1327" s="2" t="s">
        <v>1842</v>
      </c>
      <c r="B1327" s="2">
        <v>15.0</v>
      </c>
      <c r="C1327" s="2" t="s">
        <v>6</v>
      </c>
      <c r="D1327" s="2" t="s">
        <v>1843</v>
      </c>
      <c r="E1327" s="2">
        <v>3.0</v>
      </c>
      <c r="F1327" s="2" t="s">
        <v>4</v>
      </c>
      <c r="G1327" s="5">
        <v>2610786.0</v>
      </c>
      <c r="H1327" s="2" t="s">
        <v>1575</v>
      </c>
      <c r="I1327" s="2" t="s">
        <v>1565</v>
      </c>
      <c r="J1327" s="2">
        <v>10043.0</v>
      </c>
      <c r="K1327" s="2" t="s">
        <v>1635</v>
      </c>
      <c r="L1327" s="2"/>
      <c r="M1327" s="2"/>
      <c r="N1327" s="7">
        <v>2.0</v>
      </c>
      <c r="O1327" s="12">
        <v>19048.0</v>
      </c>
      <c r="P1327" s="11" t="s">
        <v>1649</v>
      </c>
      <c r="Q1327" s="12">
        <v>19048.0</v>
      </c>
      <c r="R1327" s="11" t="s">
        <v>1649</v>
      </c>
      <c r="S1327" s="11" t="s">
        <v>1840</v>
      </c>
      <c r="T1327" s="11" t="s">
        <v>1841</v>
      </c>
      <c r="U1327" s="2" t="s">
        <v>1574</v>
      </c>
      <c r="V1327" s="2" t="s">
        <v>1568</v>
      </c>
      <c r="W1327" s="2" t="s">
        <v>1569</v>
      </c>
      <c r="X1327" s="2" t="s">
        <v>1570</v>
      </c>
      <c r="AB1327" s="2" t="s">
        <v>1571</v>
      </c>
    </row>
    <row r="1328">
      <c r="A1328" s="2" t="s">
        <v>1842</v>
      </c>
      <c r="B1328" s="2">
        <v>15.0</v>
      </c>
      <c r="C1328" s="2" t="s">
        <v>6</v>
      </c>
      <c r="D1328" s="2" t="s">
        <v>1843</v>
      </c>
      <c r="E1328" s="2">
        <v>3.0</v>
      </c>
      <c r="F1328" s="2" t="s">
        <v>4</v>
      </c>
      <c r="G1328" s="5">
        <v>2610421.0</v>
      </c>
      <c r="H1328" s="2" t="s">
        <v>1575</v>
      </c>
      <c r="I1328" s="2" t="s">
        <v>1565</v>
      </c>
      <c r="J1328" s="2">
        <v>10007.0</v>
      </c>
      <c r="K1328" s="2" t="s">
        <v>1576</v>
      </c>
      <c r="L1328" s="2"/>
      <c r="M1328" s="2"/>
      <c r="N1328" s="7">
        <v>2.0</v>
      </c>
      <c r="O1328" s="12">
        <v>33810.0</v>
      </c>
      <c r="P1328" s="11" t="s">
        <v>1649</v>
      </c>
      <c r="Q1328" s="12">
        <v>33810.0</v>
      </c>
      <c r="R1328" s="11" t="s">
        <v>1649</v>
      </c>
      <c r="S1328" s="11" t="s">
        <v>1701</v>
      </c>
      <c r="T1328" s="11" t="s">
        <v>1703</v>
      </c>
      <c r="U1328" s="2" t="s">
        <v>1574</v>
      </c>
      <c r="V1328" s="2" t="s">
        <v>1568</v>
      </c>
      <c r="W1328" s="2" t="s">
        <v>1569</v>
      </c>
      <c r="X1328" s="2" t="s">
        <v>1570</v>
      </c>
      <c r="AB1328" s="2" t="s">
        <v>1571</v>
      </c>
    </row>
    <row r="1329">
      <c r="A1329" s="2" t="s">
        <v>1842</v>
      </c>
      <c r="B1329" s="2">
        <v>15.0</v>
      </c>
      <c r="C1329" s="2" t="s">
        <v>6</v>
      </c>
      <c r="D1329" s="2" t="s">
        <v>1843</v>
      </c>
      <c r="E1329" s="2">
        <v>3.0</v>
      </c>
      <c r="F1329" s="2" t="s">
        <v>4</v>
      </c>
      <c r="G1329" s="5">
        <v>2610421.0</v>
      </c>
      <c r="H1329" s="2" t="s">
        <v>1575</v>
      </c>
      <c r="I1329" s="2" t="s">
        <v>1565</v>
      </c>
      <c r="J1329" s="2">
        <v>10002.0</v>
      </c>
      <c r="K1329" s="2" t="s">
        <v>1576</v>
      </c>
      <c r="L1329" s="2"/>
      <c r="M1329" s="2"/>
      <c r="N1329" s="7">
        <v>1.0</v>
      </c>
      <c r="O1329" s="12">
        <v>18571.0</v>
      </c>
      <c r="P1329" s="11" t="s">
        <v>1649</v>
      </c>
      <c r="Q1329" s="12">
        <v>18571.0</v>
      </c>
      <c r="R1329" s="11" t="s">
        <v>1649</v>
      </c>
      <c r="S1329" s="11" t="s">
        <v>1656</v>
      </c>
      <c r="T1329" s="11" t="s">
        <v>1688</v>
      </c>
      <c r="U1329" s="2" t="s">
        <v>1574</v>
      </c>
      <c r="V1329" s="2" t="s">
        <v>1568</v>
      </c>
      <c r="W1329" s="2" t="s">
        <v>1569</v>
      </c>
      <c r="X1329" s="2" t="s">
        <v>1570</v>
      </c>
      <c r="AB1329" s="2" t="s">
        <v>1571</v>
      </c>
    </row>
    <row r="1330">
      <c r="A1330" s="2" t="s">
        <v>1842</v>
      </c>
      <c r="B1330" s="2">
        <v>15.0</v>
      </c>
      <c r="C1330" s="2" t="s">
        <v>6</v>
      </c>
      <c r="D1330" s="2" t="s">
        <v>1843</v>
      </c>
      <c r="E1330" s="2">
        <v>3.0</v>
      </c>
      <c r="F1330" s="2" t="s">
        <v>4</v>
      </c>
      <c r="G1330" s="5">
        <v>2610421.0</v>
      </c>
      <c r="H1330" s="2" t="s">
        <v>1575</v>
      </c>
      <c r="I1330" s="2" t="s">
        <v>1565</v>
      </c>
      <c r="J1330" s="2">
        <v>10055.0</v>
      </c>
      <c r="K1330" s="2" t="s">
        <v>1595</v>
      </c>
      <c r="L1330" s="2"/>
      <c r="M1330" s="2"/>
      <c r="N1330" s="7">
        <v>2.0</v>
      </c>
      <c r="O1330" s="12">
        <v>34762.0</v>
      </c>
      <c r="P1330" s="11" t="s">
        <v>1649</v>
      </c>
      <c r="Q1330" s="12">
        <v>34762.0</v>
      </c>
      <c r="R1330" s="11" t="s">
        <v>1649</v>
      </c>
      <c r="S1330" s="11" t="s">
        <v>1670</v>
      </c>
      <c r="T1330" s="11" t="s">
        <v>1671</v>
      </c>
      <c r="U1330" s="2" t="s">
        <v>1574</v>
      </c>
      <c r="V1330" s="2" t="s">
        <v>1568</v>
      </c>
      <c r="W1330" s="2" t="s">
        <v>1569</v>
      </c>
      <c r="X1330" s="2" t="s">
        <v>1570</v>
      </c>
      <c r="AB1330" s="2" t="s">
        <v>1571</v>
      </c>
    </row>
    <row r="1331">
      <c r="A1331" s="2" t="s">
        <v>1842</v>
      </c>
      <c r="B1331" s="2">
        <v>14.0</v>
      </c>
      <c r="C1331" s="2" t="s">
        <v>6</v>
      </c>
      <c r="D1331" s="2" t="s">
        <v>1843</v>
      </c>
      <c r="E1331" s="2">
        <v>3.0</v>
      </c>
      <c r="F1331" s="2" t="s">
        <v>4</v>
      </c>
      <c r="G1331" s="5">
        <v>2610056.0</v>
      </c>
      <c r="H1331" s="2" t="s">
        <v>1575</v>
      </c>
      <c r="I1331" s="2" t="s">
        <v>1565</v>
      </c>
      <c r="J1331" s="2">
        <v>10005.0</v>
      </c>
      <c r="K1331" s="2" t="s">
        <v>1595</v>
      </c>
      <c r="L1331" s="2"/>
      <c r="M1331" s="2"/>
      <c r="N1331" s="7">
        <v>1.0</v>
      </c>
      <c r="O1331" s="12">
        <v>19524.0</v>
      </c>
      <c r="P1331" s="11" t="s">
        <v>1649</v>
      </c>
      <c r="Q1331" s="12">
        <v>19524.0</v>
      </c>
      <c r="R1331" s="11" t="s">
        <v>1649</v>
      </c>
      <c r="S1331" s="11" t="s">
        <v>1676</v>
      </c>
      <c r="T1331" s="11" t="s">
        <v>1677</v>
      </c>
      <c r="U1331" s="2" t="s">
        <v>1574</v>
      </c>
      <c r="V1331" s="2" t="s">
        <v>1568</v>
      </c>
      <c r="W1331" s="2" t="s">
        <v>1569</v>
      </c>
      <c r="X1331" s="2" t="s">
        <v>1570</v>
      </c>
      <c r="AB1331" s="2" t="s">
        <v>1571</v>
      </c>
    </row>
    <row r="1332">
      <c r="A1332" s="2" t="s">
        <v>1842</v>
      </c>
      <c r="B1332" s="2">
        <v>14.0</v>
      </c>
      <c r="C1332" s="2" t="s">
        <v>6</v>
      </c>
      <c r="D1332" s="2" t="s">
        <v>1843</v>
      </c>
      <c r="E1332" s="2">
        <v>3.0</v>
      </c>
      <c r="F1332" s="2" t="s">
        <v>4</v>
      </c>
      <c r="G1332" s="5">
        <v>2610056.0</v>
      </c>
      <c r="H1332" s="2" t="s">
        <v>1575</v>
      </c>
      <c r="I1332" s="2" t="s">
        <v>1565</v>
      </c>
      <c r="J1332" s="2">
        <v>10002.0</v>
      </c>
      <c r="K1332" s="2" t="s">
        <v>1576</v>
      </c>
      <c r="L1332" s="2"/>
      <c r="M1332" s="2"/>
      <c r="N1332" s="7">
        <v>1.0</v>
      </c>
      <c r="O1332" s="12">
        <v>18571.0</v>
      </c>
      <c r="P1332" s="11" t="s">
        <v>1649</v>
      </c>
      <c r="Q1332" s="12">
        <v>18571.0</v>
      </c>
      <c r="R1332" s="11" t="s">
        <v>1649</v>
      </c>
      <c r="S1332" s="11" t="s">
        <v>1656</v>
      </c>
      <c r="T1332" s="11" t="s">
        <v>1657</v>
      </c>
      <c r="U1332" s="2" t="s">
        <v>1574</v>
      </c>
      <c r="V1332" s="2" t="s">
        <v>1568</v>
      </c>
      <c r="W1332" s="2" t="s">
        <v>1569</v>
      </c>
      <c r="X1332" s="2" t="s">
        <v>1570</v>
      </c>
      <c r="AB1332" s="2" t="s">
        <v>1571</v>
      </c>
    </row>
    <row r="1333">
      <c r="A1333" s="2" t="s">
        <v>1842</v>
      </c>
      <c r="B1333" s="2">
        <v>14.0</v>
      </c>
      <c r="C1333" s="2" t="s">
        <v>6</v>
      </c>
      <c r="D1333" s="2" t="s">
        <v>1843</v>
      </c>
      <c r="E1333" s="2">
        <v>3.0</v>
      </c>
      <c r="F1333" s="2" t="s">
        <v>4</v>
      </c>
      <c r="G1333" s="5">
        <v>2610056.0</v>
      </c>
      <c r="H1333" s="2" t="s">
        <v>1575</v>
      </c>
      <c r="I1333" s="2" t="s">
        <v>1572</v>
      </c>
      <c r="J1333" s="2">
        <v>10128.0</v>
      </c>
      <c r="K1333" s="2" t="s">
        <v>1588</v>
      </c>
      <c r="L1333" s="2"/>
      <c r="M1333" s="2"/>
      <c r="N1333" s="7">
        <v>1.0</v>
      </c>
      <c r="O1333" s="12">
        <v>23333.0</v>
      </c>
      <c r="P1333" s="11" t="s">
        <v>1649</v>
      </c>
      <c r="Q1333" s="12">
        <v>23333.0</v>
      </c>
      <c r="R1333" s="11" t="s">
        <v>1649</v>
      </c>
      <c r="S1333" s="11" t="s">
        <v>1681</v>
      </c>
      <c r="T1333" s="11" t="s">
        <v>1715</v>
      </c>
      <c r="U1333" s="2" t="s">
        <v>1574</v>
      </c>
      <c r="V1333" s="2" t="s">
        <v>1568</v>
      </c>
      <c r="W1333" s="2" t="s">
        <v>1569</v>
      </c>
      <c r="X1333" s="2" t="s">
        <v>1570</v>
      </c>
      <c r="AB1333" s="2" t="s">
        <v>1571</v>
      </c>
    </row>
    <row r="1334">
      <c r="A1334" s="2" t="s">
        <v>1842</v>
      </c>
      <c r="B1334" s="2">
        <v>14.0</v>
      </c>
      <c r="C1334" s="2" t="s">
        <v>6</v>
      </c>
      <c r="D1334" s="2" t="s">
        <v>1843</v>
      </c>
      <c r="E1334" s="2">
        <v>3.0</v>
      </c>
      <c r="F1334" s="2" t="s">
        <v>4</v>
      </c>
      <c r="G1334" s="5">
        <v>2610056.0</v>
      </c>
      <c r="H1334" s="2" t="s">
        <v>1575</v>
      </c>
      <c r="I1334" s="2" t="s">
        <v>1572</v>
      </c>
      <c r="J1334" s="2">
        <v>10107.0</v>
      </c>
      <c r="K1334" s="2" t="s">
        <v>1584</v>
      </c>
      <c r="L1334" s="2"/>
      <c r="M1334" s="2"/>
      <c r="N1334" s="7">
        <v>1.0</v>
      </c>
      <c r="O1334" s="12">
        <v>26667.0</v>
      </c>
      <c r="P1334" s="11" t="s">
        <v>1649</v>
      </c>
      <c r="Q1334" s="12">
        <v>26667.0</v>
      </c>
      <c r="R1334" s="11" t="s">
        <v>1649</v>
      </c>
      <c r="S1334" s="11" t="s">
        <v>1674</v>
      </c>
      <c r="T1334" s="11" t="s">
        <v>1675</v>
      </c>
      <c r="U1334" s="2" t="s">
        <v>1574</v>
      </c>
      <c r="V1334" s="2" t="s">
        <v>1568</v>
      </c>
      <c r="W1334" s="2" t="s">
        <v>1569</v>
      </c>
      <c r="X1334" s="2" t="s">
        <v>1570</v>
      </c>
      <c r="AB1334" s="2" t="s">
        <v>1571</v>
      </c>
    </row>
    <row r="1335">
      <c r="A1335" s="2" t="s">
        <v>1842</v>
      </c>
      <c r="B1335" s="2">
        <v>14.0</v>
      </c>
      <c r="C1335" s="2" t="s">
        <v>6</v>
      </c>
      <c r="D1335" s="2" t="s">
        <v>1843</v>
      </c>
      <c r="E1335" s="2">
        <v>3.0</v>
      </c>
      <c r="F1335" s="2" t="s">
        <v>4</v>
      </c>
      <c r="G1335" s="5">
        <v>2609691.0</v>
      </c>
      <c r="H1335" s="2" t="s">
        <v>1575</v>
      </c>
      <c r="I1335" s="2" t="s">
        <v>1578</v>
      </c>
      <c r="J1335" s="2">
        <v>10004.0</v>
      </c>
      <c r="K1335" s="2" t="s">
        <v>1607</v>
      </c>
      <c r="L1335" s="2"/>
      <c r="M1335" s="2"/>
      <c r="N1335" s="7">
        <v>1.0</v>
      </c>
      <c r="O1335" s="12">
        <v>25238.0</v>
      </c>
      <c r="P1335" s="11" t="s">
        <v>1649</v>
      </c>
      <c r="Q1335" s="12">
        <v>25238.0</v>
      </c>
      <c r="R1335" s="11" t="s">
        <v>1649</v>
      </c>
      <c r="S1335" s="11" t="s">
        <v>1660</v>
      </c>
      <c r="T1335" s="11" t="s">
        <v>1680</v>
      </c>
      <c r="U1335" s="2" t="s">
        <v>1574</v>
      </c>
      <c r="V1335" s="2" t="s">
        <v>1568</v>
      </c>
      <c r="W1335" s="2" t="s">
        <v>1569</v>
      </c>
      <c r="X1335" s="2" t="s">
        <v>1570</v>
      </c>
      <c r="AB1335" s="2" t="s">
        <v>1571</v>
      </c>
    </row>
    <row r="1336">
      <c r="A1336" s="2" t="s">
        <v>1842</v>
      </c>
      <c r="B1336" s="2">
        <v>14.0</v>
      </c>
      <c r="C1336" s="2" t="s">
        <v>6</v>
      </c>
      <c r="D1336" s="2" t="s">
        <v>1843</v>
      </c>
      <c r="E1336" s="2">
        <v>3.0</v>
      </c>
      <c r="F1336" s="2" t="s">
        <v>4</v>
      </c>
      <c r="G1336" s="5">
        <v>2609691.0</v>
      </c>
      <c r="H1336" s="2" t="s">
        <v>1575</v>
      </c>
      <c r="I1336" s="2" t="s">
        <v>1565</v>
      </c>
      <c r="J1336" s="2">
        <v>10007.0</v>
      </c>
      <c r="K1336" s="2" t="s">
        <v>1576</v>
      </c>
      <c r="L1336" s="2"/>
      <c r="M1336" s="2"/>
      <c r="N1336" s="7">
        <v>2.0</v>
      </c>
      <c r="O1336" s="12">
        <v>33810.0</v>
      </c>
      <c r="P1336" s="11" t="s">
        <v>1649</v>
      </c>
      <c r="Q1336" s="12">
        <v>33810.0</v>
      </c>
      <c r="R1336" s="11" t="s">
        <v>1649</v>
      </c>
      <c r="S1336" s="11" t="s">
        <v>1701</v>
      </c>
      <c r="T1336" s="11" t="s">
        <v>1702</v>
      </c>
      <c r="U1336" s="2" t="s">
        <v>1574</v>
      </c>
      <c r="V1336" s="2" t="s">
        <v>1568</v>
      </c>
      <c r="W1336" s="2" t="s">
        <v>1569</v>
      </c>
      <c r="X1336" s="2" t="s">
        <v>1570</v>
      </c>
      <c r="AB1336" s="2" t="s">
        <v>1571</v>
      </c>
    </row>
    <row r="1337">
      <c r="A1337" s="2" t="s">
        <v>1842</v>
      </c>
      <c r="B1337" s="2">
        <v>13.0</v>
      </c>
      <c r="C1337" s="2" t="s">
        <v>6</v>
      </c>
      <c r="D1337" s="2" t="s">
        <v>1843</v>
      </c>
      <c r="E1337" s="2">
        <v>3.0</v>
      </c>
      <c r="F1337" s="2" t="s">
        <v>4</v>
      </c>
      <c r="G1337" s="5">
        <v>2609325.0</v>
      </c>
      <c r="H1337" s="2" t="s">
        <v>1575</v>
      </c>
      <c r="I1337" s="2" t="s">
        <v>1572</v>
      </c>
      <c r="J1337" s="2">
        <v>10107.0</v>
      </c>
      <c r="K1337" s="2" t="s">
        <v>1584</v>
      </c>
      <c r="L1337" s="2"/>
      <c r="M1337" s="2"/>
      <c r="N1337" s="7">
        <v>1.0</v>
      </c>
      <c r="O1337" s="12">
        <v>26667.0</v>
      </c>
      <c r="P1337" s="11" t="s">
        <v>1649</v>
      </c>
      <c r="Q1337" s="12">
        <v>26667.0</v>
      </c>
      <c r="R1337" s="11" t="s">
        <v>1649</v>
      </c>
      <c r="S1337" s="11" t="s">
        <v>1674</v>
      </c>
      <c r="T1337" s="11" t="s">
        <v>1679</v>
      </c>
      <c r="U1337" s="2" t="s">
        <v>1574</v>
      </c>
      <c r="V1337" s="2" t="s">
        <v>1568</v>
      </c>
      <c r="W1337" s="2" t="s">
        <v>1569</v>
      </c>
      <c r="X1337" s="2" t="s">
        <v>1570</v>
      </c>
      <c r="AB1337" s="2" t="s">
        <v>1571</v>
      </c>
    </row>
    <row r="1338">
      <c r="A1338" s="2" t="s">
        <v>1842</v>
      </c>
      <c r="B1338" s="2">
        <v>13.0</v>
      </c>
      <c r="C1338" s="2" t="s">
        <v>6</v>
      </c>
      <c r="D1338" s="2" t="s">
        <v>1843</v>
      </c>
      <c r="E1338" s="2">
        <v>3.0</v>
      </c>
      <c r="F1338" s="2" t="s">
        <v>4</v>
      </c>
      <c r="G1338" s="5">
        <v>2608960.0</v>
      </c>
      <c r="H1338" s="2" t="s">
        <v>1575</v>
      </c>
      <c r="I1338" s="2" t="s">
        <v>1565</v>
      </c>
      <c r="J1338" s="2">
        <v>10000.0</v>
      </c>
      <c r="K1338" s="2" t="s">
        <v>1566</v>
      </c>
      <c r="L1338" s="2"/>
      <c r="M1338" s="2"/>
      <c r="N1338" s="7">
        <v>1.0</v>
      </c>
      <c r="O1338" s="12">
        <v>29524.0</v>
      </c>
      <c r="P1338" s="11" t="s">
        <v>1649</v>
      </c>
      <c r="Q1338" s="12">
        <v>29524.0</v>
      </c>
      <c r="R1338" s="11" t="s">
        <v>1649</v>
      </c>
      <c r="S1338" s="11" t="s">
        <v>1683</v>
      </c>
      <c r="T1338" s="11" t="s">
        <v>1684</v>
      </c>
      <c r="U1338" s="2" t="s">
        <v>1574</v>
      </c>
      <c r="V1338" s="2" t="s">
        <v>1568</v>
      </c>
      <c r="W1338" s="2" t="s">
        <v>1569</v>
      </c>
      <c r="X1338" s="2" t="s">
        <v>1570</v>
      </c>
      <c r="AB1338" s="2" t="s">
        <v>1571</v>
      </c>
    </row>
    <row r="1339">
      <c r="A1339" s="2" t="s">
        <v>1842</v>
      </c>
      <c r="B1339" s="2">
        <v>13.0</v>
      </c>
      <c r="C1339" s="2" t="s">
        <v>6</v>
      </c>
      <c r="D1339" s="2" t="s">
        <v>1843</v>
      </c>
      <c r="E1339" s="2">
        <v>3.0</v>
      </c>
      <c r="F1339" s="2" t="s">
        <v>4</v>
      </c>
      <c r="G1339" s="5">
        <v>2608960.0</v>
      </c>
      <c r="H1339" s="2" t="s">
        <v>1575</v>
      </c>
      <c r="I1339" s="2" t="s">
        <v>1572</v>
      </c>
      <c r="J1339" s="2">
        <v>10117.0</v>
      </c>
      <c r="K1339" s="2" t="s">
        <v>1589</v>
      </c>
      <c r="L1339" s="2"/>
      <c r="M1339" s="2"/>
      <c r="N1339" s="7">
        <v>1.0</v>
      </c>
      <c r="O1339" s="12">
        <v>14286.0</v>
      </c>
      <c r="P1339" s="11" t="s">
        <v>1649</v>
      </c>
      <c r="Q1339" s="12">
        <v>14286.0</v>
      </c>
      <c r="R1339" s="11" t="s">
        <v>1649</v>
      </c>
      <c r="S1339" s="11" t="s">
        <v>1685</v>
      </c>
      <c r="T1339" s="11" t="s">
        <v>1708</v>
      </c>
      <c r="U1339" s="2" t="s">
        <v>1574</v>
      </c>
      <c r="V1339" s="2" t="s">
        <v>1568</v>
      </c>
      <c r="W1339" s="2" t="s">
        <v>1569</v>
      </c>
      <c r="X1339" s="2" t="s">
        <v>1570</v>
      </c>
      <c r="AB1339" s="2" t="s">
        <v>1571</v>
      </c>
    </row>
    <row r="1340">
      <c r="A1340" s="2" t="s">
        <v>1842</v>
      </c>
      <c r="B1340" s="2">
        <v>13.0</v>
      </c>
      <c r="C1340" s="2" t="s">
        <v>6</v>
      </c>
      <c r="D1340" s="2" t="s">
        <v>1843</v>
      </c>
      <c r="E1340" s="2">
        <v>3.0</v>
      </c>
      <c r="F1340" s="2" t="s">
        <v>4</v>
      </c>
      <c r="G1340" s="5">
        <v>2608960.0</v>
      </c>
      <c r="H1340" s="2" t="s">
        <v>1575</v>
      </c>
      <c r="I1340" s="2" t="s">
        <v>1565</v>
      </c>
      <c r="J1340" s="2">
        <v>10002.0</v>
      </c>
      <c r="K1340" s="2" t="s">
        <v>1576</v>
      </c>
      <c r="L1340" s="2"/>
      <c r="M1340" s="2"/>
      <c r="N1340" s="7">
        <v>1.0</v>
      </c>
      <c r="O1340" s="12">
        <v>18571.0</v>
      </c>
      <c r="P1340" s="11" t="s">
        <v>1649</v>
      </c>
      <c r="Q1340" s="12">
        <v>18571.0</v>
      </c>
      <c r="R1340" s="11" t="s">
        <v>1649</v>
      </c>
      <c r="S1340" s="11" t="s">
        <v>1656</v>
      </c>
      <c r="T1340" s="11" t="s">
        <v>1688</v>
      </c>
      <c r="U1340" s="2" t="s">
        <v>1574</v>
      </c>
      <c r="V1340" s="2" t="s">
        <v>1568</v>
      </c>
      <c r="W1340" s="2" t="s">
        <v>1569</v>
      </c>
      <c r="X1340" s="2" t="s">
        <v>1570</v>
      </c>
      <c r="AB1340" s="2" t="s">
        <v>1571</v>
      </c>
    </row>
    <row r="1341">
      <c r="A1341" s="2" t="s">
        <v>1842</v>
      </c>
      <c r="B1341" s="2">
        <v>9.0</v>
      </c>
      <c r="C1341" s="2" t="s">
        <v>6</v>
      </c>
      <c r="D1341" s="2" t="s">
        <v>1843</v>
      </c>
      <c r="E1341" s="2">
        <v>3.0</v>
      </c>
      <c r="F1341" s="2" t="s">
        <v>4</v>
      </c>
      <c r="G1341" s="5">
        <v>2608595.0</v>
      </c>
      <c r="H1341" s="2" t="s">
        <v>1575</v>
      </c>
      <c r="I1341" s="2" t="s">
        <v>1565</v>
      </c>
      <c r="J1341" s="2">
        <v>10002.0</v>
      </c>
      <c r="K1341" s="2" t="s">
        <v>1576</v>
      </c>
      <c r="L1341" s="2"/>
      <c r="M1341" s="2"/>
      <c r="N1341" s="7">
        <v>1.0</v>
      </c>
      <c r="O1341" s="12">
        <v>18571.0</v>
      </c>
      <c r="P1341" s="11" t="s">
        <v>1649</v>
      </c>
      <c r="Q1341" s="12">
        <v>18571.0</v>
      </c>
      <c r="R1341" s="11" t="s">
        <v>1649</v>
      </c>
      <c r="S1341" s="11" t="s">
        <v>1656</v>
      </c>
      <c r="T1341" s="11" t="s">
        <v>1657</v>
      </c>
      <c r="U1341" s="2" t="s">
        <v>1574</v>
      </c>
      <c r="V1341" s="2" t="s">
        <v>1568</v>
      </c>
      <c r="W1341" s="2" t="s">
        <v>1569</v>
      </c>
      <c r="X1341" s="2" t="s">
        <v>1570</v>
      </c>
      <c r="AB1341" s="2" t="s">
        <v>1571</v>
      </c>
    </row>
    <row r="1342">
      <c r="A1342" s="2" t="s">
        <v>1842</v>
      </c>
      <c r="B1342" s="2">
        <v>9.0</v>
      </c>
      <c r="C1342" s="2" t="s">
        <v>6</v>
      </c>
      <c r="D1342" s="2" t="s">
        <v>1843</v>
      </c>
      <c r="E1342" s="2">
        <v>3.0</v>
      </c>
      <c r="F1342" s="2" t="s">
        <v>4</v>
      </c>
      <c r="G1342" s="5">
        <v>2608595.0</v>
      </c>
      <c r="H1342" s="2" t="s">
        <v>1575</v>
      </c>
      <c r="I1342" s="2" t="s">
        <v>1565</v>
      </c>
      <c r="J1342" s="2">
        <v>10043.0</v>
      </c>
      <c r="K1342" s="2" t="s">
        <v>1635</v>
      </c>
      <c r="L1342" s="2"/>
      <c r="M1342" s="2"/>
      <c r="N1342" s="7">
        <v>1.0</v>
      </c>
      <c r="O1342" s="12">
        <v>9524.0</v>
      </c>
      <c r="P1342" s="11" t="s">
        <v>1649</v>
      </c>
      <c r="Q1342" s="12">
        <v>9524.0</v>
      </c>
      <c r="R1342" s="11" t="s">
        <v>1649</v>
      </c>
      <c r="S1342" s="11" t="s">
        <v>1834</v>
      </c>
      <c r="T1342" s="11" t="s">
        <v>1835</v>
      </c>
      <c r="U1342" s="2" t="s">
        <v>1574</v>
      </c>
      <c r="V1342" s="2" t="s">
        <v>1568</v>
      </c>
      <c r="W1342" s="2" t="s">
        <v>1569</v>
      </c>
      <c r="X1342" s="2" t="s">
        <v>1570</v>
      </c>
      <c r="AB1342" s="2" t="s">
        <v>1571</v>
      </c>
    </row>
    <row r="1343">
      <c r="A1343" s="2" t="s">
        <v>1842</v>
      </c>
      <c r="B1343" s="2">
        <v>9.0</v>
      </c>
      <c r="C1343" s="2" t="s">
        <v>6</v>
      </c>
      <c r="D1343" s="2" t="s">
        <v>1843</v>
      </c>
      <c r="E1343" s="2">
        <v>3.0</v>
      </c>
      <c r="F1343" s="2" t="s">
        <v>4</v>
      </c>
      <c r="G1343" s="5">
        <v>2608230.0</v>
      </c>
      <c r="H1343" s="2" t="s">
        <v>1575</v>
      </c>
      <c r="I1343" s="2" t="s">
        <v>1572</v>
      </c>
      <c r="J1343" s="2">
        <v>10112.0</v>
      </c>
      <c r="K1343" s="2" t="s">
        <v>1573</v>
      </c>
      <c r="L1343" s="2"/>
      <c r="M1343" s="2"/>
      <c r="N1343" s="7">
        <v>1.0</v>
      </c>
      <c r="O1343" s="12">
        <v>6667.0</v>
      </c>
      <c r="P1343" s="11" t="s">
        <v>1649</v>
      </c>
      <c r="Q1343" s="12">
        <v>6667.0</v>
      </c>
      <c r="R1343" s="11" t="s">
        <v>1649</v>
      </c>
      <c r="S1343" s="11" t="s">
        <v>1734</v>
      </c>
      <c r="T1343" s="11" t="s">
        <v>1738</v>
      </c>
      <c r="U1343" s="2" t="s">
        <v>1574</v>
      </c>
      <c r="V1343" s="2" t="s">
        <v>1568</v>
      </c>
      <c r="W1343" s="2" t="s">
        <v>1569</v>
      </c>
      <c r="X1343" s="2" t="s">
        <v>1570</v>
      </c>
      <c r="AB1343" s="2" t="s">
        <v>1571</v>
      </c>
    </row>
    <row r="1344">
      <c r="A1344" s="2" t="s">
        <v>1842</v>
      </c>
      <c r="B1344" s="2">
        <v>9.0</v>
      </c>
      <c r="C1344" s="2" t="s">
        <v>6</v>
      </c>
      <c r="D1344" s="2" t="s">
        <v>1843</v>
      </c>
      <c r="E1344" s="2">
        <v>3.0</v>
      </c>
      <c r="F1344" s="2" t="s">
        <v>4</v>
      </c>
      <c r="G1344" s="5">
        <v>2607864.0</v>
      </c>
      <c r="H1344" s="2" t="s">
        <v>1575</v>
      </c>
      <c r="I1344" s="2" t="s">
        <v>1565</v>
      </c>
      <c r="J1344" s="2">
        <v>10002.0</v>
      </c>
      <c r="K1344" s="2" t="s">
        <v>1576</v>
      </c>
      <c r="L1344" s="2"/>
      <c r="M1344" s="2"/>
      <c r="N1344" s="7">
        <v>1.0</v>
      </c>
      <c r="O1344" s="12">
        <v>18571.0</v>
      </c>
      <c r="P1344" s="11" t="s">
        <v>1649</v>
      </c>
      <c r="Q1344" s="12">
        <v>18571.0</v>
      </c>
      <c r="R1344" s="11" t="s">
        <v>1649</v>
      </c>
      <c r="S1344" s="11" t="s">
        <v>1656</v>
      </c>
      <c r="T1344" s="11" t="s">
        <v>1657</v>
      </c>
      <c r="U1344" s="2" t="s">
        <v>1574</v>
      </c>
      <c r="V1344" s="2" t="s">
        <v>1568</v>
      </c>
      <c r="W1344" s="2" t="s">
        <v>1569</v>
      </c>
      <c r="X1344" s="2" t="s">
        <v>1570</v>
      </c>
      <c r="AB1344" s="2" t="s">
        <v>1571</v>
      </c>
    </row>
    <row r="1345">
      <c r="A1345" s="2" t="s">
        <v>1842</v>
      </c>
      <c r="B1345" s="2">
        <v>9.0</v>
      </c>
      <c r="C1345" s="2" t="s">
        <v>6</v>
      </c>
      <c r="D1345" s="2" t="s">
        <v>1843</v>
      </c>
      <c r="E1345" s="2">
        <v>3.0</v>
      </c>
      <c r="F1345" s="2" t="s">
        <v>4</v>
      </c>
      <c r="G1345" s="5">
        <v>2607864.0</v>
      </c>
      <c r="H1345" s="2" t="s">
        <v>1575</v>
      </c>
      <c r="I1345" s="2" t="s">
        <v>1572</v>
      </c>
      <c r="J1345" s="2">
        <v>10128.0</v>
      </c>
      <c r="K1345" s="2" t="s">
        <v>1588</v>
      </c>
      <c r="L1345" s="2"/>
      <c r="M1345" s="2"/>
      <c r="N1345" s="7">
        <v>1.0</v>
      </c>
      <c r="O1345" s="12">
        <v>23333.0</v>
      </c>
      <c r="P1345" s="11" t="s">
        <v>1649</v>
      </c>
      <c r="Q1345" s="12">
        <v>23333.0</v>
      </c>
      <c r="R1345" s="11" t="s">
        <v>1649</v>
      </c>
      <c r="S1345" s="11" t="s">
        <v>1681</v>
      </c>
      <c r="T1345" s="11" t="s">
        <v>1715</v>
      </c>
      <c r="U1345" s="2" t="s">
        <v>1574</v>
      </c>
      <c r="V1345" s="2" t="s">
        <v>1568</v>
      </c>
      <c r="W1345" s="2" t="s">
        <v>1569</v>
      </c>
      <c r="X1345" s="2" t="s">
        <v>1570</v>
      </c>
      <c r="AB1345" s="2" t="s">
        <v>1571</v>
      </c>
    </row>
    <row r="1346">
      <c r="A1346" s="2" t="s">
        <v>1842</v>
      </c>
      <c r="B1346" s="2">
        <v>9.0</v>
      </c>
      <c r="C1346" s="2" t="s">
        <v>6</v>
      </c>
      <c r="D1346" s="2" t="s">
        <v>1843</v>
      </c>
      <c r="E1346" s="2">
        <v>3.0</v>
      </c>
      <c r="F1346" s="2" t="s">
        <v>4</v>
      </c>
      <c r="G1346" s="5">
        <v>2607864.0</v>
      </c>
      <c r="H1346" s="2" t="s">
        <v>1575</v>
      </c>
      <c r="I1346" s="2" t="s">
        <v>1572</v>
      </c>
      <c r="J1346" s="2">
        <v>10026.0</v>
      </c>
      <c r="K1346" s="2" t="s">
        <v>1583</v>
      </c>
      <c r="L1346" s="2"/>
      <c r="M1346" s="2"/>
      <c r="N1346" s="7">
        <v>1.0</v>
      </c>
      <c r="O1346" s="12">
        <v>21905.0</v>
      </c>
      <c r="P1346" s="11" t="s">
        <v>1649</v>
      </c>
      <c r="Q1346" s="12">
        <v>21905.0</v>
      </c>
      <c r="R1346" s="11" t="s">
        <v>1649</v>
      </c>
      <c r="S1346" s="11" t="s">
        <v>1666</v>
      </c>
      <c r="T1346" s="11" t="s">
        <v>1667</v>
      </c>
      <c r="U1346" s="2" t="s">
        <v>1574</v>
      </c>
      <c r="V1346" s="2" t="s">
        <v>1568</v>
      </c>
      <c r="W1346" s="2" t="s">
        <v>1569</v>
      </c>
      <c r="X1346" s="2" t="s">
        <v>1570</v>
      </c>
      <c r="AB1346" s="2" t="s">
        <v>1571</v>
      </c>
    </row>
    <row r="1347">
      <c r="A1347" s="2" t="s">
        <v>1842</v>
      </c>
      <c r="B1347" s="2">
        <v>9.0</v>
      </c>
      <c r="C1347" s="2" t="s">
        <v>6</v>
      </c>
      <c r="D1347" s="2" t="s">
        <v>1843</v>
      </c>
      <c r="E1347" s="2">
        <v>3.0</v>
      </c>
      <c r="F1347" s="2" t="s">
        <v>4</v>
      </c>
      <c r="G1347" s="5">
        <v>2607864.0</v>
      </c>
      <c r="H1347" s="2" t="s">
        <v>1575</v>
      </c>
      <c r="I1347" s="2" t="s">
        <v>1578</v>
      </c>
      <c r="J1347" s="2">
        <v>10004.0</v>
      </c>
      <c r="K1347" s="2" t="s">
        <v>1607</v>
      </c>
      <c r="L1347" s="2"/>
      <c r="M1347" s="2"/>
      <c r="N1347" s="7">
        <v>1.0</v>
      </c>
      <c r="O1347" s="12">
        <v>25238.0</v>
      </c>
      <c r="P1347" s="11" t="s">
        <v>1649</v>
      </c>
      <c r="Q1347" s="12">
        <v>25238.0</v>
      </c>
      <c r="R1347" s="11" t="s">
        <v>1649</v>
      </c>
      <c r="S1347" s="11" t="s">
        <v>1660</v>
      </c>
      <c r="T1347" s="11" t="s">
        <v>1680</v>
      </c>
      <c r="U1347" s="2" t="s">
        <v>1574</v>
      </c>
      <c r="V1347" s="2" t="s">
        <v>1568</v>
      </c>
      <c r="W1347" s="2" t="s">
        <v>1569</v>
      </c>
      <c r="X1347" s="2" t="s">
        <v>1570</v>
      </c>
      <c r="AB1347" s="2" t="s">
        <v>1571</v>
      </c>
    </row>
    <row r="1348">
      <c r="A1348" s="2" t="s">
        <v>1842</v>
      </c>
      <c r="B1348" s="2">
        <v>9.0</v>
      </c>
      <c r="C1348" s="2" t="s">
        <v>6</v>
      </c>
      <c r="D1348" s="2" t="s">
        <v>1843</v>
      </c>
      <c r="E1348" s="2">
        <v>3.0</v>
      </c>
      <c r="F1348" s="2" t="s">
        <v>4</v>
      </c>
      <c r="G1348" s="5">
        <v>2607499.0</v>
      </c>
      <c r="H1348" s="2" t="s">
        <v>1575</v>
      </c>
      <c r="I1348" s="2" t="s">
        <v>1572</v>
      </c>
      <c r="J1348" s="2">
        <v>10112.0</v>
      </c>
      <c r="K1348" s="2" t="s">
        <v>1573</v>
      </c>
      <c r="L1348" s="2"/>
      <c r="M1348" s="2"/>
      <c r="N1348" s="7">
        <v>1.0</v>
      </c>
      <c r="O1348" s="12">
        <v>6667.0</v>
      </c>
      <c r="P1348" s="11" t="s">
        <v>1649</v>
      </c>
      <c r="Q1348" s="12">
        <v>6667.0</v>
      </c>
      <c r="R1348" s="11" t="s">
        <v>1649</v>
      </c>
      <c r="S1348" s="11" t="s">
        <v>1734</v>
      </c>
      <c r="T1348" s="11" t="s">
        <v>1738</v>
      </c>
      <c r="U1348" s="2" t="s">
        <v>1574</v>
      </c>
      <c r="V1348" s="2" t="s">
        <v>1568</v>
      </c>
      <c r="W1348" s="2" t="s">
        <v>1569</v>
      </c>
      <c r="X1348" s="2" t="s">
        <v>1570</v>
      </c>
      <c r="AB1348" s="2" t="s">
        <v>1571</v>
      </c>
    </row>
    <row r="1349">
      <c r="A1349" s="2" t="s">
        <v>1842</v>
      </c>
      <c r="B1349" s="2">
        <v>9.0</v>
      </c>
      <c r="C1349" s="2" t="s">
        <v>6</v>
      </c>
      <c r="D1349" s="2" t="s">
        <v>1843</v>
      </c>
      <c r="E1349" s="2">
        <v>3.0</v>
      </c>
      <c r="F1349" s="2" t="s">
        <v>4</v>
      </c>
      <c r="G1349" s="5">
        <v>2607499.0</v>
      </c>
      <c r="H1349" s="2" t="s">
        <v>1575</v>
      </c>
      <c r="I1349" s="2" t="s">
        <v>1578</v>
      </c>
      <c r="J1349" s="2">
        <v>10011.0</v>
      </c>
      <c r="K1349" s="2" t="s">
        <v>1605</v>
      </c>
      <c r="L1349" s="2"/>
      <c r="M1349" s="2"/>
      <c r="N1349" s="7">
        <v>1.0</v>
      </c>
      <c r="O1349" s="12">
        <v>25238.0</v>
      </c>
      <c r="P1349" s="11" t="s">
        <v>1649</v>
      </c>
      <c r="Q1349" s="12">
        <v>25238.0</v>
      </c>
      <c r="R1349" s="11" t="s">
        <v>1649</v>
      </c>
      <c r="S1349" s="11" t="s">
        <v>1660</v>
      </c>
      <c r="T1349" s="11" t="s">
        <v>1680</v>
      </c>
      <c r="U1349" s="2" t="s">
        <v>1574</v>
      </c>
      <c r="V1349" s="2" t="s">
        <v>1568</v>
      </c>
      <c r="W1349" s="2" t="s">
        <v>1569</v>
      </c>
      <c r="X1349" s="2" t="s">
        <v>1570</v>
      </c>
      <c r="AB1349" s="2" t="s">
        <v>1571</v>
      </c>
    </row>
    <row r="1350">
      <c r="A1350" s="2" t="s">
        <v>1846</v>
      </c>
      <c r="B1350" s="2">
        <v>21.0</v>
      </c>
      <c r="C1350" s="2" t="s">
        <v>5</v>
      </c>
      <c r="D1350" s="2" t="s">
        <v>1847</v>
      </c>
      <c r="E1350" s="2">
        <v>2.0</v>
      </c>
      <c r="F1350" s="2" t="s">
        <v>4</v>
      </c>
      <c r="G1350" s="5">
        <v>2607134.0</v>
      </c>
      <c r="H1350" s="2" t="s">
        <v>1575</v>
      </c>
      <c r="I1350" s="2" t="s">
        <v>1580</v>
      </c>
      <c r="J1350" s="2">
        <v>10012.0</v>
      </c>
      <c r="K1350" s="2" t="s">
        <v>1602</v>
      </c>
      <c r="L1350" s="2"/>
      <c r="M1350" s="2"/>
      <c r="N1350" s="7">
        <v>1.0</v>
      </c>
      <c r="O1350" s="12">
        <v>29524.0</v>
      </c>
      <c r="P1350" s="11" t="s">
        <v>1649</v>
      </c>
      <c r="Q1350" s="12">
        <v>29524.0</v>
      </c>
      <c r="R1350" s="11" t="s">
        <v>1649</v>
      </c>
      <c r="S1350" s="11" t="s">
        <v>1683</v>
      </c>
      <c r="T1350" s="11" t="s">
        <v>1684</v>
      </c>
      <c r="U1350" s="2" t="s">
        <v>1574</v>
      </c>
      <c r="V1350" s="2" t="s">
        <v>1568</v>
      </c>
      <c r="W1350" s="2" t="s">
        <v>1569</v>
      </c>
      <c r="X1350" s="2" t="s">
        <v>1570</v>
      </c>
      <c r="AB1350" s="2" t="s">
        <v>1571</v>
      </c>
    </row>
    <row r="1351">
      <c r="A1351" s="2" t="s">
        <v>1846</v>
      </c>
      <c r="B1351" s="2">
        <v>21.0</v>
      </c>
      <c r="C1351" s="2" t="s">
        <v>5</v>
      </c>
      <c r="D1351" s="2" t="s">
        <v>1847</v>
      </c>
      <c r="E1351" s="2">
        <v>2.0</v>
      </c>
      <c r="F1351" s="2" t="s">
        <v>4</v>
      </c>
      <c r="G1351" s="5">
        <v>2607134.0</v>
      </c>
      <c r="H1351" s="2" t="s">
        <v>1575</v>
      </c>
      <c r="I1351" s="2" t="s">
        <v>1578</v>
      </c>
      <c r="J1351" s="2">
        <v>10014.0</v>
      </c>
      <c r="K1351" s="2" t="s">
        <v>1609</v>
      </c>
      <c r="L1351" s="2"/>
      <c r="M1351" s="2"/>
      <c r="N1351" s="7">
        <v>1.0</v>
      </c>
      <c r="O1351" s="12">
        <v>25238.0</v>
      </c>
      <c r="P1351" s="11" t="s">
        <v>1649</v>
      </c>
      <c r="Q1351" s="12">
        <v>25238.0</v>
      </c>
      <c r="R1351" s="11" t="s">
        <v>1649</v>
      </c>
      <c r="S1351" s="11" t="s">
        <v>1660</v>
      </c>
      <c r="T1351" s="11" t="s">
        <v>1680</v>
      </c>
      <c r="U1351" s="2" t="s">
        <v>1574</v>
      </c>
      <c r="V1351" s="2" t="s">
        <v>1568</v>
      </c>
      <c r="W1351" s="2" t="s">
        <v>1569</v>
      </c>
      <c r="X1351" s="2" t="s">
        <v>1570</v>
      </c>
      <c r="AB1351" s="2" t="s">
        <v>1571</v>
      </c>
    </row>
    <row r="1352">
      <c r="A1352" s="2" t="s">
        <v>1846</v>
      </c>
      <c r="B1352" s="2">
        <v>20.0</v>
      </c>
      <c r="C1352" s="2" t="s">
        <v>5</v>
      </c>
      <c r="D1352" s="2" t="s">
        <v>1847</v>
      </c>
      <c r="E1352" s="2">
        <v>2.0</v>
      </c>
      <c r="F1352" s="2" t="s">
        <v>4</v>
      </c>
      <c r="G1352" s="5">
        <v>2606769.0</v>
      </c>
      <c r="H1352" s="2" t="s">
        <v>1575</v>
      </c>
      <c r="I1352" s="2" t="s">
        <v>1578</v>
      </c>
      <c r="J1352" s="2">
        <v>10004.0</v>
      </c>
      <c r="K1352" s="2" t="s">
        <v>1607</v>
      </c>
      <c r="L1352" s="2"/>
      <c r="M1352" s="2"/>
      <c r="N1352" s="7">
        <v>1.0</v>
      </c>
      <c r="O1352" s="12">
        <v>25238.0</v>
      </c>
      <c r="P1352" s="11" t="s">
        <v>1649</v>
      </c>
      <c r="Q1352" s="12">
        <v>25238.0</v>
      </c>
      <c r="R1352" s="11" t="s">
        <v>1649</v>
      </c>
      <c r="S1352" s="11" t="s">
        <v>1660</v>
      </c>
      <c r="T1352" s="11" t="s">
        <v>1680</v>
      </c>
      <c r="U1352" s="2" t="s">
        <v>1574</v>
      </c>
      <c r="V1352" s="2" t="s">
        <v>1568</v>
      </c>
      <c r="W1352" s="2" t="s">
        <v>1569</v>
      </c>
      <c r="X1352" s="2" t="s">
        <v>1570</v>
      </c>
      <c r="AB1352" s="2" t="s">
        <v>1571</v>
      </c>
    </row>
    <row r="1353">
      <c r="A1353" s="2" t="s">
        <v>1846</v>
      </c>
      <c r="B1353" s="2">
        <v>20.0</v>
      </c>
      <c r="C1353" s="2" t="s">
        <v>5</v>
      </c>
      <c r="D1353" s="2" t="s">
        <v>1847</v>
      </c>
      <c r="E1353" s="2">
        <v>2.0</v>
      </c>
      <c r="F1353" s="2" t="s">
        <v>4</v>
      </c>
      <c r="G1353" s="5">
        <v>2606769.0</v>
      </c>
      <c r="H1353" s="2" t="s">
        <v>1575</v>
      </c>
      <c r="I1353" s="2" t="s">
        <v>1565</v>
      </c>
      <c r="J1353" s="2">
        <v>10033.0</v>
      </c>
      <c r="K1353" s="2" t="s">
        <v>1615</v>
      </c>
      <c r="L1353" s="2"/>
      <c r="M1353" s="2"/>
      <c r="N1353" s="7">
        <v>1.0</v>
      </c>
      <c r="O1353" s="12">
        <v>21905.0</v>
      </c>
      <c r="P1353" s="11" t="s">
        <v>1649</v>
      </c>
      <c r="Q1353" s="12">
        <v>21905.0</v>
      </c>
      <c r="R1353" s="11" t="s">
        <v>1649</v>
      </c>
      <c r="S1353" s="11" t="s">
        <v>1666</v>
      </c>
      <c r="T1353" s="11" t="s">
        <v>1667</v>
      </c>
      <c r="U1353" s="2" t="s">
        <v>1574</v>
      </c>
      <c r="V1353" s="2" t="s">
        <v>1568</v>
      </c>
      <c r="W1353" s="2" t="s">
        <v>1569</v>
      </c>
      <c r="X1353" s="2" t="s">
        <v>1570</v>
      </c>
      <c r="AB1353" s="2" t="s">
        <v>1571</v>
      </c>
    </row>
    <row r="1354">
      <c r="A1354" s="2" t="s">
        <v>1846</v>
      </c>
      <c r="B1354" s="2">
        <v>20.0</v>
      </c>
      <c r="C1354" s="2" t="s">
        <v>5</v>
      </c>
      <c r="D1354" s="2" t="s">
        <v>1847</v>
      </c>
      <c r="E1354" s="2">
        <v>2.0</v>
      </c>
      <c r="F1354" s="2" t="s">
        <v>4</v>
      </c>
      <c r="G1354" s="5">
        <v>2606769.0</v>
      </c>
      <c r="H1354" s="2" t="s">
        <v>1575</v>
      </c>
      <c r="I1354" s="2" t="s">
        <v>1565</v>
      </c>
      <c r="J1354" s="2">
        <v>10007.0</v>
      </c>
      <c r="K1354" s="2" t="s">
        <v>1576</v>
      </c>
      <c r="L1354" s="2"/>
      <c r="M1354" s="2"/>
      <c r="N1354" s="7">
        <v>2.0</v>
      </c>
      <c r="O1354" s="12">
        <v>33810.0</v>
      </c>
      <c r="P1354" s="11" t="s">
        <v>1649</v>
      </c>
      <c r="Q1354" s="12">
        <v>33810.0</v>
      </c>
      <c r="R1354" s="11" t="s">
        <v>1649</v>
      </c>
      <c r="S1354" s="11" t="s">
        <v>1701</v>
      </c>
      <c r="T1354" s="11" t="s">
        <v>1703</v>
      </c>
      <c r="U1354" s="2" t="s">
        <v>1574</v>
      </c>
      <c r="V1354" s="2" t="s">
        <v>1568</v>
      </c>
      <c r="W1354" s="2" t="s">
        <v>1569</v>
      </c>
      <c r="X1354" s="2" t="s">
        <v>1570</v>
      </c>
      <c r="AB1354" s="2" t="s">
        <v>1571</v>
      </c>
    </row>
    <row r="1355">
      <c r="A1355" s="2" t="s">
        <v>1846</v>
      </c>
      <c r="B1355" s="2">
        <v>20.0</v>
      </c>
      <c r="C1355" s="2" t="s">
        <v>5</v>
      </c>
      <c r="D1355" s="2" t="s">
        <v>1847</v>
      </c>
      <c r="E1355" s="2">
        <v>2.0</v>
      </c>
      <c r="F1355" s="2" t="s">
        <v>4</v>
      </c>
      <c r="G1355" s="5">
        <v>2606769.0</v>
      </c>
      <c r="H1355" s="2" t="s">
        <v>1575</v>
      </c>
      <c r="I1355" s="2" t="s">
        <v>1580</v>
      </c>
      <c r="J1355" s="2">
        <v>10012.0</v>
      </c>
      <c r="K1355" s="2" t="s">
        <v>1602</v>
      </c>
      <c r="L1355" s="2"/>
      <c r="M1355" s="2"/>
      <c r="N1355" s="7">
        <v>1.0</v>
      </c>
      <c r="O1355" s="12">
        <v>29524.0</v>
      </c>
      <c r="P1355" s="11" t="s">
        <v>1649</v>
      </c>
      <c r="Q1355" s="12">
        <v>29524.0</v>
      </c>
      <c r="R1355" s="11" t="s">
        <v>1649</v>
      </c>
      <c r="S1355" s="11" t="s">
        <v>1683</v>
      </c>
      <c r="T1355" s="11" t="s">
        <v>1684</v>
      </c>
      <c r="U1355" s="2" t="s">
        <v>1574</v>
      </c>
      <c r="V1355" s="2" t="s">
        <v>1568</v>
      </c>
      <c r="W1355" s="2" t="s">
        <v>1569</v>
      </c>
      <c r="X1355" s="2" t="s">
        <v>1570</v>
      </c>
      <c r="AB1355" s="2" t="s">
        <v>1571</v>
      </c>
    </row>
    <row r="1356">
      <c r="A1356" s="2" t="s">
        <v>1846</v>
      </c>
      <c r="B1356" s="2">
        <v>20.0</v>
      </c>
      <c r="C1356" s="2" t="s">
        <v>5</v>
      </c>
      <c r="D1356" s="2" t="s">
        <v>1847</v>
      </c>
      <c r="E1356" s="2">
        <v>2.0</v>
      </c>
      <c r="F1356" s="2" t="s">
        <v>4</v>
      </c>
      <c r="G1356" s="5">
        <v>2606403.0</v>
      </c>
      <c r="H1356" s="2" t="s">
        <v>1564</v>
      </c>
      <c r="I1356" s="2" t="s">
        <v>1565</v>
      </c>
      <c r="J1356" s="2">
        <v>10033.0</v>
      </c>
      <c r="K1356" s="2" t="s">
        <v>1615</v>
      </c>
      <c r="L1356" s="2"/>
      <c r="M1356" s="2"/>
      <c r="N1356" s="7">
        <v>-1.0</v>
      </c>
      <c r="O1356" s="12">
        <v>-21905.0</v>
      </c>
      <c r="P1356" s="11" t="s">
        <v>1649</v>
      </c>
      <c r="Q1356" s="12">
        <v>-21905.0</v>
      </c>
      <c r="R1356" s="11" t="s">
        <v>1650</v>
      </c>
      <c r="S1356" s="11" t="s">
        <v>1662</v>
      </c>
      <c r="T1356" s="11" t="s">
        <v>1663</v>
      </c>
      <c r="U1356" s="2" t="s">
        <v>1574</v>
      </c>
      <c r="V1356" s="2" t="s">
        <v>1568</v>
      </c>
      <c r="W1356" s="2" t="s">
        <v>1569</v>
      </c>
      <c r="X1356" s="2" t="s">
        <v>1570</v>
      </c>
      <c r="AA1356" s="2" t="s">
        <v>1636</v>
      </c>
      <c r="AB1356" s="2" t="s">
        <v>1571</v>
      </c>
    </row>
    <row r="1357">
      <c r="A1357" s="2" t="s">
        <v>1846</v>
      </c>
      <c r="B1357" s="2">
        <v>20.0</v>
      </c>
      <c r="C1357" s="2" t="s">
        <v>5</v>
      </c>
      <c r="D1357" s="2" t="s">
        <v>1847</v>
      </c>
      <c r="E1357" s="2">
        <v>2.0</v>
      </c>
      <c r="F1357" s="2" t="s">
        <v>4</v>
      </c>
      <c r="G1357" s="5">
        <v>2606403.0</v>
      </c>
      <c r="H1357" s="2" t="s">
        <v>1564</v>
      </c>
      <c r="I1357" s="2" t="s">
        <v>1578</v>
      </c>
      <c r="J1357" s="2">
        <v>10004.0</v>
      </c>
      <c r="K1357" s="2" t="s">
        <v>1607</v>
      </c>
      <c r="L1357" s="2"/>
      <c r="M1357" s="2"/>
      <c r="N1357" s="7">
        <v>-1.0</v>
      </c>
      <c r="O1357" s="12">
        <v>-25238.0</v>
      </c>
      <c r="P1357" s="11" t="s">
        <v>1649</v>
      </c>
      <c r="Q1357" s="12">
        <v>-25238.0</v>
      </c>
      <c r="R1357" s="11" t="s">
        <v>1650</v>
      </c>
      <c r="S1357" s="11" t="s">
        <v>1730</v>
      </c>
      <c r="T1357" s="11" t="s">
        <v>1731</v>
      </c>
      <c r="U1357" s="2" t="s">
        <v>1574</v>
      </c>
      <c r="V1357" s="2" t="s">
        <v>1568</v>
      </c>
      <c r="W1357" s="2" t="s">
        <v>1569</v>
      </c>
      <c r="X1357" s="2" t="s">
        <v>1570</v>
      </c>
      <c r="AB1357" s="2" t="s">
        <v>1571</v>
      </c>
    </row>
    <row r="1358">
      <c r="A1358" s="2" t="s">
        <v>1846</v>
      </c>
      <c r="B1358" s="2">
        <v>20.0</v>
      </c>
      <c r="C1358" s="2" t="s">
        <v>5</v>
      </c>
      <c r="D1358" s="2" t="s">
        <v>1847</v>
      </c>
      <c r="E1358" s="2">
        <v>2.0</v>
      </c>
      <c r="F1358" s="2" t="s">
        <v>4</v>
      </c>
      <c r="G1358" s="5">
        <v>2606403.0</v>
      </c>
      <c r="H1358" s="2" t="s">
        <v>1564</v>
      </c>
      <c r="I1358" s="2" t="s">
        <v>1580</v>
      </c>
      <c r="J1358" s="2">
        <v>10012.0</v>
      </c>
      <c r="K1358" s="2" t="s">
        <v>1602</v>
      </c>
      <c r="L1358" s="2"/>
      <c r="M1358" s="2"/>
      <c r="N1358" s="7">
        <v>-1.0</v>
      </c>
      <c r="O1358" s="12">
        <v>-29524.0</v>
      </c>
      <c r="P1358" s="11" t="s">
        <v>1649</v>
      </c>
      <c r="Q1358" s="12">
        <v>-29524.0</v>
      </c>
      <c r="R1358" s="11" t="s">
        <v>1650</v>
      </c>
      <c r="S1358" s="11" t="s">
        <v>1651</v>
      </c>
      <c r="T1358" s="11" t="s">
        <v>1652</v>
      </c>
      <c r="U1358" s="2" t="s">
        <v>1574</v>
      </c>
      <c r="V1358" s="2" t="s">
        <v>1568</v>
      </c>
      <c r="W1358" s="2" t="s">
        <v>1569</v>
      </c>
      <c r="X1358" s="2" t="s">
        <v>1570</v>
      </c>
      <c r="AA1358" s="2" t="s">
        <v>1637</v>
      </c>
      <c r="AB1358" s="2" t="s">
        <v>1571</v>
      </c>
    </row>
    <row r="1359">
      <c r="A1359" s="2" t="s">
        <v>1846</v>
      </c>
      <c r="B1359" s="2">
        <v>20.0</v>
      </c>
      <c r="C1359" s="2" t="s">
        <v>5</v>
      </c>
      <c r="D1359" s="2" t="s">
        <v>1847</v>
      </c>
      <c r="E1359" s="2">
        <v>2.0</v>
      </c>
      <c r="F1359" s="2" t="s">
        <v>4</v>
      </c>
      <c r="G1359" s="5">
        <v>2606403.0</v>
      </c>
      <c r="H1359" s="2" t="s">
        <v>1564</v>
      </c>
      <c r="I1359" s="2" t="s">
        <v>1565</v>
      </c>
      <c r="J1359" s="2">
        <v>10007.0</v>
      </c>
      <c r="K1359" s="2" t="s">
        <v>1576</v>
      </c>
      <c r="L1359" s="2"/>
      <c r="M1359" s="2"/>
      <c r="N1359" s="7">
        <v>2.0</v>
      </c>
      <c r="O1359" s="12">
        <v>-33810.0</v>
      </c>
      <c r="P1359" s="11" t="s">
        <v>1649</v>
      </c>
      <c r="Q1359" s="12">
        <v>-33810.0</v>
      </c>
      <c r="R1359" s="11" t="s">
        <v>1650</v>
      </c>
      <c r="S1359" s="11" t="s">
        <v>1695</v>
      </c>
      <c r="T1359" s="11" t="s">
        <v>1696</v>
      </c>
      <c r="U1359" s="2" t="s">
        <v>1574</v>
      </c>
      <c r="V1359" s="2" t="s">
        <v>1568</v>
      </c>
      <c r="W1359" s="2" t="s">
        <v>1569</v>
      </c>
      <c r="X1359" s="2" t="s">
        <v>1570</v>
      </c>
      <c r="AB1359" s="2" t="s">
        <v>1571</v>
      </c>
    </row>
    <row r="1360">
      <c r="A1360" s="2" t="s">
        <v>1846</v>
      </c>
      <c r="B1360" s="2">
        <v>20.0</v>
      </c>
      <c r="C1360" s="2" t="s">
        <v>5</v>
      </c>
      <c r="D1360" s="2" t="s">
        <v>1847</v>
      </c>
      <c r="E1360" s="2">
        <v>2.0</v>
      </c>
      <c r="F1360" s="2" t="s">
        <v>4</v>
      </c>
      <c r="G1360" s="5">
        <v>2606038.0</v>
      </c>
      <c r="H1360" s="2" t="s">
        <v>1575</v>
      </c>
      <c r="I1360" s="2" t="s">
        <v>1565</v>
      </c>
      <c r="J1360" s="2">
        <v>10000.0</v>
      </c>
      <c r="K1360" s="2" t="s">
        <v>1566</v>
      </c>
      <c r="L1360" s="2"/>
      <c r="M1360" s="2"/>
      <c r="N1360" s="7">
        <v>1.0</v>
      </c>
      <c r="O1360" s="12">
        <v>29524.0</v>
      </c>
      <c r="P1360" s="11" t="s">
        <v>1649</v>
      </c>
      <c r="Q1360" s="12">
        <v>29524.0</v>
      </c>
      <c r="R1360" s="11" t="s">
        <v>1649</v>
      </c>
      <c r="S1360" s="11" t="s">
        <v>1683</v>
      </c>
      <c r="T1360" s="11" t="s">
        <v>1684</v>
      </c>
      <c r="U1360" s="2" t="s">
        <v>1574</v>
      </c>
      <c r="V1360" s="2" t="s">
        <v>1568</v>
      </c>
      <c r="W1360" s="2" t="s">
        <v>1569</v>
      </c>
      <c r="X1360" s="2" t="s">
        <v>1570</v>
      </c>
      <c r="AB1360" s="2" t="s">
        <v>1571</v>
      </c>
    </row>
    <row r="1361">
      <c r="A1361" s="2" t="s">
        <v>1846</v>
      </c>
      <c r="B1361" s="2">
        <v>20.0</v>
      </c>
      <c r="C1361" s="2" t="s">
        <v>5</v>
      </c>
      <c r="D1361" s="2" t="s">
        <v>1847</v>
      </c>
      <c r="E1361" s="2">
        <v>2.0</v>
      </c>
      <c r="F1361" s="2" t="s">
        <v>4</v>
      </c>
      <c r="G1361" s="5">
        <v>2606038.0</v>
      </c>
      <c r="H1361" s="2" t="s">
        <v>1575</v>
      </c>
      <c r="I1361" s="2" t="s">
        <v>1572</v>
      </c>
      <c r="J1361" s="2">
        <v>10128.0</v>
      </c>
      <c r="K1361" s="2" t="s">
        <v>1588</v>
      </c>
      <c r="L1361" s="2"/>
      <c r="M1361" s="2"/>
      <c r="N1361" s="7">
        <v>1.0</v>
      </c>
      <c r="O1361" s="12">
        <v>23333.0</v>
      </c>
      <c r="P1361" s="11" t="s">
        <v>1649</v>
      </c>
      <c r="Q1361" s="12">
        <v>23333.0</v>
      </c>
      <c r="R1361" s="11" t="s">
        <v>1649</v>
      </c>
      <c r="S1361" s="11" t="s">
        <v>1681</v>
      </c>
      <c r="T1361" s="11" t="s">
        <v>1682</v>
      </c>
      <c r="U1361" s="2" t="s">
        <v>1574</v>
      </c>
      <c r="V1361" s="2" t="s">
        <v>1568</v>
      </c>
      <c r="W1361" s="2" t="s">
        <v>1569</v>
      </c>
      <c r="X1361" s="2" t="s">
        <v>1570</v>
      </c>
      <c r="AB1361" s="2" t="s">
        <v>1571</v>
      </c>
    </row>
    <row r="1362">
      <c r="A1362" s="2" t="s">
        <v>1846</v>
      </c>
      <c r="B1362" s="2">
        <v>20.0</v>
      </c>
      <c r="C1362" s="2" t="s">
        <v>5</v>
      </c>
      <c r="D1362" s="2" t="s">
        <v>1847</v>
      </c>
      <c r="E1362" s="2">
        <v>2.0</v>
      </c>
      <c r="F1362" s="2" t="s">
        <v>4</v>
      </c>
      <c r="G1362" s="5">
        <v>2606038.0</v>
      </c>
      <c r="H1362" s="2" t="s">
        <v>1575</v>
      </c>
      <c r="I1362" s="2" t="s">
        <v>1578</v>
      </c>
      <c r="J1362" s="2">
        <v>10009.0</v>
      </c>
      <c r="K1362" s="2" t="s">
        <v>1586</v>
      </c>
      <c r="L1362" s="2"/>
      <c r="M1362" s="2"/>
      <c r="N1362" s="7">
        <v>1.0</v>
      </c>
      <c r="O1362" s="12">
        <v>26667.0</v>
      </c>
      <c r="P1362" s="11" t="s">
        <v>1649</v>
      </c>
      <c r="Q1362" s="12">
        <v>26667.0</v>
      </c>
      <c r="R1362" s="11" t="s">
        <v>1649</v>
      </c>
      <c r="S1362" s="11" t="s">
        <v>1674</v>
      </c>
      <c r="T1362" s="11" t="s">
        <v>1679</v>
      </c>
      <c r="U1362" s="2" t="s">
        <v>1574</v>
      </c>
      <c r="V1362" s="2" t="s">
        <v>1568</v>
      </c>
      <c r="W1362" s="2" t="s">
        <v>1569</v>
      </c>
      <c r="X1362" s="2" t="s">
        <v>1570</v>
      </c>
      <c r="AB1362" s="2" t="s">
        <v>1571</v>
      </c>
    </row>
    <row r="1363">
      <c r="A1363" s="2" t="s">
        <v>1846</v>
      </c>
      <c r="B1363" s="2">
        <v>20.0</v>
      </c>
      <c r="C1363" s="2" t="s">
        <v>5</v>
      </c>
      <c r="D1363" s="2" t="s">
        <v>1847</v>
      </c>
      <c r="E1363" s="2">
        <v>2.0</v>
      </c>
      <c r="F1363" s="2" t="s">
        <v>4</v>
      </c>
      <c r="G1363" s="5">
        <v>2605673.0</v>
      </c>
      <c r="H1363" s="2" t="s">
        <v>1564</v>
      </c>
      <c r="I1363" s="2" t="s">
        <v>1572</v>
      </c>
      <c r="J1363" s="2">
        <v>10128.0</v>
      </c>
      <c r="K1363" s="2" t="s">
        <v>1588</v>
      </c>
      <c r="L1363" s="2"/>
      <c r="M1363" s="2"/>
      <c r="N1363" s="7">
        <v>-1.0</v>
      </c>
      <c r="O1363" s="12">
        <v>-23333.0</v>
      </c>
      <c r="P1363" s="11" t="s">
        <v>1649</v>
      </c>
      <c r="Q1363" s="12">
        <v>-23333.0</v>
      </c>
      <c r="R1363" s="11" t="s">
        <v>1650</v>
      </c>
      <c r="S1363" s="11" t="s">
        <v>1706</v>
      </c>
      <c r="T1363" s="11" t="s">
        <v>1729</v>
      </c>
      <c r="U1363" s="2" t="s">
        <v>1574</v>
      </c>
      <c r="V1363" s="2" t="s">
        <v>1568</v>
      </c>
      <c r="W1363" s="2" t="s">
        <v>1569</v>
      </c>
      <c r="X1363" s="2" t="s">
        <v>1570</v>
      </c>
      <c r="AB1363" s="2" t="s">
        <v>1571</v>
      </c>
    </row>
    <row r="1364">
      <c r="A1364" s="2" t="s">
        <v>1846</v>
      </c>
      <c r="B1364" s="2">
        <v>20.0</v>
      </c>
      <c r="C1364" s="2" t="s">
        <v>5</v>
      </c>
      <c r="D1364" s="2" t="s">
        <v>1847</v>
      </c>
      <c r="E1364" s="2">
        <v>2.0</v>
      </c>
      <c r="F1364" s="2" t="s">
        <v>4</v>
      </c>
      <c r="G1364" s="5">
        <v>2605673.0</v>
      </c>
      <c r="H1364" s="2" t="s">
        <v>1564</v>
      </c>
      <c r="I1364" s="2" t="s">
        <v>1578</v>
      </c>
      <c r="J1364" s="2">
        <v>10009.0</v>
      </c>
      <c r="K1364" s="2" t="s">
        <v>1586</v>
      </c>
      <c r="L1364" s="2"/>
      <c r="M1364" s="2"/>
      <c r="N1364" s="7">
        <v>-1.0</v>
      </c>
      <c r="O1364" s="12">
        <v>-26667.0</v>
      </c>
      <c r="P1364" s="11" t="s">
        <v>1649</v>
      </c>
      <c r="Q1364" s="12">
        <v>-26667.0</v>
      </c>
      <c r="R1364" s="11" t="s">
        <v>1650</v>
      </c>
      <c r="S1364" s="11" t="s">
        <v>1699</v>
      </c>
      <c r="T1364" s="11" t="s">
        <v>1700</v>
      </c>
      <c r="U1364" s="2" t="s">
        <v>1574</v>
      </c>
      <c r="V1364" s="2" t="s">
        <v>1568</v>
      </c>
      <c r="W1364" s="2" t="s">
        <v>1569</v>
      </c>
      <c r="X1364" s="2" t="s">
        <v>1570</v>
      </c>
      <c r="AB1364" s="2" t="s">
        <v>1571</v>
      </c>
    </row>
    <row r="1365">
      <c r="A1365" s="2" t="s">
        <v>1846</v>
      </c>
      <c r="B1365" s="2">
        <v>20.0</v>
      </c>
      <c r="C1365" s="2" t="s">
        <v>5</v>
      </c>
      <c r="D1365" s="2" t="s">
        <v>1847</v>
      </c>
      <c r="E1365" s="2">
        <v>2.0</v>
      </c>
      <c r="F1365" s="2" t="s">
        <v>4</v>
      </c>
      <c r="G1365" s="5">
        <v>2605673.0</v>
      </c>
      <c r="H1365" s="2" t="s">
        <v>1564</v>
      </c>
      <c r="I1365" s="2" t="s">
        <v>1565</v>
      </c>
      <c r="J1365" s="2">
        <v>10000.0</v>
      </c>
      <c r="K1365" s="2" t="s">
        <v>1566</v>
      </c>
      <c r="L1365" s="2"/>
      <c r="M1365" s="2"/>
      <c r="N1365" s="7">
        <v>-1.0</v>
      </c>
      <c r="O1365" s="12">
        <v>-29524.0</v>
      </c>
      <c r="P1365" s="11" t="s">
        <v>1649</v>
      </c>
      <c r="Q1365" s="12">
        <v>-29524.0</v>
      </c>
      <c r="R1365" s="11" t="s">
        <v>1650</v>
      </c>
      <c r="S1365" s="11" t="s">
        <v>1651</v>
      </c>
      <c r="T1365" s="11" t="s">
        <v>1652</v>
      </c>
      <c r="U1365" s="2" t="s">
        <v>1574</v>
      </c>
      <c r="V1365" s="2" t="s">
        <v>1568</v>
      </c>
      <c r="W1365" s="2" t="s">
        <v>1569</v>
      </c>
      <c r="X1365" s="2" t="s">
        <v>1570</v>
      </c>
      <c r="AB1365" s="2" t="s">
        <v>1571</v>
      </c>
    </row>
    <row r="1366">
      <c r="A1366" s="2" t="s">
        <v>1846</v>
      </c>
      <c r="B1366" s="2">
        <v>20.0</v>
      </c>
      <c r="C1366" s="2" t="s">
        <v>5</v>
      </c>
      <c r="D1366" s="2" t="s">
        <v>1847</v>
      </c>
      <c r="E1366" s="2">
        <v>2.0</v>
      </c>
      <c r="F1366" s="2" t="s">
        <v>4</v>
      </c>
      <c r="G1366" s="5">
        <v>2605308.0</v>
      </c>
      <c r="H1366" s="2" t="s">
        <v>1575</v>
      </c>
      <c r="I1366" s="2" t="s">
        <v>1565</v>
      </c>
      <c r="J1366" s="2">
        <v>10007.0</v>
      </c>
      <c r="K1366" s="2" t="s">
        <v>1576</v>
      </c>
      <c r="L1366" s="2"/>
      <c r="M1366" s="2"/>
      <c r="N1366" s="7">
        <v>2.0</v>
      </c>
      <c r="O1366" s="12">
        <v>33810.0</v>
      </c>
      <c r="P1366" s="11" t="s">
        <v>1649</v>
      </c>
      <c r="Q1366" s="12">
        <v>33810.0</v>
      </c>
      <c r="R1366" s="11" t="s">
        <v>1649</v>
      </c>
      <c r="S1366" s="11" t="s">
        <v>1701</v>
      </c>
      <c r="T1366" s="11" t="s">
        <v>1703</v>
      </c>
      <c r="U1366" s="2" t="s">
        <v>1567</v>
      </c>
      <c r="V1366" s="2" t="s">
        <v>1568</v>
      </c>
      <c r="W1366" s="2" t="s">
        <v>1569</v>
      </c>
      <c r="X1366" s="2" t="s">
        <v>1570</v>
      </c>
      <c r="AB1366" s="2" t="s">
        <v>1571</v>
      </c>
    </row>
    <row r="1367">
      <c r="A1367" s="2" t="s">
        <v>1846</v>
      </c>
      <c r="B1367" s="2">
        <v>20.0</v>
      </c>
      <c r="C1367" s="2" t="s">
        <v>5</v>
      </c>
      <c r="D1367" s="2" t="s">
        <v>1847</v>
      </c>
      <c r="E1367" s="2">
        <v>2.0</v>
      </c>
      <c r="F1367" s="2" t="s">
        <v>4</v>
      </c>
      <c r="G1367" s="5">
        <v>2605308.0</v>
      </c>
      <c r="H1367" s="2" t="s">
        <v>1575</v>
      </c>
      <c r="I1367" s="2" t="s">
        <v>1565</v>
      </c>
      <c r="J1367" s="2">
        <v>10002.0</v>
      </c>
      <c r="K1367" s="2" t="s">
        <v>1576</v>
      </c>
      <c r="L1367" s="2"/>
      <c r="M1367" s="2"/>
      <c r="N1367" s="7">
        <v>1.0</v>
      </c>
      <c r="O1367" s="12">
        <v>18571.0</v>
      </c>
      <c r="P1367" s="11" t="s">
        <v>1649</v>
      </c>
      <c r="Q1367" s="12">
        <v>18571.0</v>
      </c>
      <c r="R1367" s="11" t="s">
        <v>1649</v>
      </c>
      <c r="S1367" s="11" t="s">
        <v>1656</v>
      </c>
      <c r="T1367" s="11" t="s">
        <v>1688</v>
      </c>
      <c r="U1367" s="2" t="s">
        <v>1567</v>
      </c>
      <c r="V1367" s="2" t="s">
        <v>1568</v>
      </c>
      <c r="W1367" s="2" t="s">
        <v>1569</v>
      </c>
      <c r="X1367" s="2" t="s">
        <v>1570</v>
      </c>
      <c r="AB1367" s="2" t="s">
        <v>1571</v>
      </c>
    </row>
    <row r="1368">
      <c r="A1368" s="2" t="s">
        <v>1846</v>
      </c>
      <c r="B1368" s="2">
        <v>20.0</v>
      </c>
      <c r="C1368" s="2" t="s">
        <v>5</v>
      </c>
      <c r="D1368" s="2" t="s">
        <v>1847</v>
      </c>
      <c r="E1368" s="2">
        <v>2.0</v>
      </c>
      <c r="F1368" s="2" t="s">
        <v>4</v>
      </c>
      <c r="G1368" s="5">
        <v>2605308.0</v>
      </c>
      <c r="H1368" s="2" t="s">
        <v>1575</v>
      </c>
      <c r="I1368" s="2" t="s">
        <v>1572</v>
      </c>
      <c r="J1368" s="2">
        <v>10107.0</v>
      </c>
      <c r="K1368" s="2" t="s">
        <v>1584</v>
      </c>
      <c r="L1368" s="2"/>
      <c r="M1368" s="2"/>
      <c r="N1368" s="7">
        <v>1.0</v>
      </c>
      <c r="O1368" s="12">
        <v>26667.0</v>
      </c>
      <c r="P1368" s="11" t="s">
        <v>1649</v>
      </c>
      <c r="Q1368" s="12">
        <v>26667.0</v>
      </c>
      <c r="R1368" s="11" t="s">
        <v>1649</v>
      </c>
      <c r="S1368" s="11" t="s">
        <v>1674</v>
      </c>
      <c r="T1368" s="11" t="s">
        <v>1679</v>
      </c>
      <c r="U1368" s="2" t="s">
        <v>1567</v>
      </c>
      <c r="V1368" s="2" t="s">
        <v>1568</v>
      </c>
      <c r="W1368" s="2" t="s">
        <v>1569</v>
      </c>
      <c r="X1368" s="2" t="s">
        <v>1570</v>
      </c>
      <c r="AB1368" s="2" t="s">
        <v>1571</v>
      </c>
    </row>
    <row r="1369">
      <c r="A1369" s="2" t="s">
        <v>1846</v>
      </c>
      <c r="B1369" s="2">
        <v>20.0</v>
      </c>
      <c r="C1369" s="2" t="s">
        <v>5</v>
      </c>
      <c r="D1369" s="2" t="s">
        <v>1847</v>
      </c>
      <c r="E1369" s="2">
        <v>2.0</v>
      </c>
      <c r="F1369" s="2" t="s">
        <v>4</v>
      </c>
      <c r="G1369" s="5">
        <v>2604942.0</v>
      </c>
      <c r="H1369" s="2" t="s">
        <v>1575</v>
      </c>
      <c r="I1369" s="2" t="s">
        <v>1565</v>
      </c>
      <c r="J1369" s="2">
        <v>10007.0</v>
      </c>
      <c r="K1369" s="2" t="s">
        <v>1576</v>
      </c>
      <c r="L1369" s="2"/>
      <c r="M1369" s="2"/>
      <c r="N1369" s="7">
        <v>2.0</v>
      </c>
      <c r="O1369" s="12">
        <v>33810.0</v>
      </c>
      <c r="P1369" s="11" t="s">
        <v>1649</v>
      </c>
      <c r="Q1369" s="12">
        <v>33810.0</v>
      </c>
      <c r="R1369" s="11" t="s">
        <v>1649</v>
      </c>
      <c r="S1369" s="11" t="s">
        <v>1701</v>
      </c>
      <c r="T1369" s="11" t="s">
        <v>1703</v>
      </c>
      <c r="U1369" s="2" t="s">
        <v>1574</v>
      </c>
      <c r="V1369" s="2" t="s">
        <v>1568</v>
      </c>
      <c r="W1369" s="2" t="s">
        <v>1569</v>
      </c>
      <c r="X1369" s="2" t="s">
        <v>1570</v>
      </c>
      <c r="AB1369" s="2" t="s">
        <v>1571</v>
      </c>
    </row>
    <row r="1370">
      <c r="A1370" s="2" t="s">
        <v>1846</v>
      </c>
      <c r="B1370" s="2">
        <v>19.0</v>
      </c>
      <c r="C1370" s="2" t="s">
        <v>5</v>
      </c>
      <c r="D1370" s="2" t="s">
        <v>1847</v>
      </c>
      <c r="E1370" s="2">
        <v>2.0</v>
      </c>
      <c r="F1370" s="2" t="s">
        <v>4</v>
      </c>
      <c r="G1370" s="5">
        <v>2604577.0</v>
      </c>
      <c r="H1370" s="2" t="s">
        <v>1575</v>
      </c>
      <c r="I1370" s="2" t="s">
        <v>1572</v>
      </c>
      <c r="J1370" s="2">
        <v>10128.0</v>
      </c>
      <c r="K1370" s="2" t="s">
        <v>1588</v>
      </c>
      <c r="L1370" s="2"/>
      <c r="M1370" s="2"/>
      <c r="N1370" s="7">
        <v>1.0</v>
      </c>
      <c r="O1370" s="12">
        <v>23333.0</v>
      </c>
      <c r="P1370" s="11" t="s">
        <v>1649</v>
      </c>
      <c r="Q1370" s="12">
        <v>23333.0</v>
      </c>
      <c r="R1370" s="11" t="s">
        <v>1649</v>
      </c>
      <c r="S1370" s="11" t="s">
        <v>1681</v>
      </c>
      <c r="T1370" s="11" t="s">
        <v>1682</v>
      </c>
      <c r="U1370" s="2" t="s">
        <v>1574</v>
      </c>
      <c r="V1370" s="2" t="s">
        <v>1568</v>
      </c>
      <c r="W1370" s="2" t="s">
        <v>1569</v>
      </c>
      <c r="X1370" s="2" t="s">
        <v>1570</v>
      </c>
      <c r="AB1370" s="2" t="s">
        <v>1571</v>
      </c>
    </row>
    <row r="1371">
      <c r="A1371" s="2" t="s">
        <v>1846</v>
      </c>
      <c r="B1371" s="2">
        <v>19.0</v>
      </c>
      <c r="C1371" s="2" t="s">
        <v>5</v>
      </c>
      <c r="D1371" s="2" t="s">
        <v>1847</v>
      </c>
      <c r="E1371" s="2">
        <v>2.0</v>
      </c>
      <c r="F1371" s="2" t="s">
        <v>4</v>
      </c>
      <c r="G1371" s="5">
        <v>2604577.0</v>
      </c>
      <c r="H1371" s="2" t="s">
        <v>1575</v>
      </c>
      <c r="I1371" s="2" t="s">
        <v>1578</v>
      </c>
      <c r="J1371" s="2">
        <v>10009.0</v>
      </c>
      <c r="K1371" s="2" t="s">
        <v>1586</v>
      </c>
      <c r="L1371" s="2"/>
      <c r="M1371" s="2"/>
      <c r="N1371" s="7">
        <v>1.0</v>
      </c>
      <c r="O1371" s="12">
        <v>26667.0</v>
      </c>
      <c r="P1371" s="11" t="s">
        <v>1649</v>
      </c>
      <c r="Q1371" s="12">
        <v>26667.0</v>
      </c>
      <c r="R1371" s="11" t="s">
        <v>1649</v>
      </c>
      <c r="S1371" s="11" t="s">
        <v>1674</v>
      </c>
      <c r="T1371" s="11" t="s">
        <v>1679</v>
      </c>
      <c r="U1371" s="2" t="s">
        <v>1574</v>
      </c>
      <c r="V1371" s="2" t="s">
        <v>1568</v>
      </c>
      <c r="W1371" s="2" t="s">
        <v>1569</v>
      </c>
      <c r="X1371" s="2" t="s">
        <v>1570</v>
      </c>
      <c r="AB1371" s="2" t="s">
        <v>1571</v>
      </c>
    </row>
    <row r="1372">
      <c r="A1372" s="2" t="s">
        <v>1846</v>
      </c>
      <c r="B1372" s="2">
        <v>19.0</v>
      </c>
      <c r="C1372" s="2" t="s">
        <v>5</v>
      </c>
      <c r="D1372" s="2" t="s">
        <v>1847</v>
      </c>
      <c r="E1372" s="2">
        <v>2.0</v>
      </c>
      <c r="F1372" s="2" t="s">
        <v>4</v>
      </c>
      <c r="G1372" s="5">
        <v>2604577.0</v>
      </c>
      <c r="H1372" s="2" t="s">
        <v>1575</v>
      </c>
      <c r="I1372" s="2" t="s">
        <v>1565</v>
      </c>
      <c r="J1372" s="2">
        <v>10000.0</v>
      </c>
      <c r="K1372" s="2" t="s">
        <v>1566</v>
      </c>
      <c r="L1372" s="2"/>
      <c r="M1372" s="2"/>
      <c r="N1372" s="7">
        <v>1.0</v>
      </c>
      <c r="O1372" s="12">
        <v>29524.0</v>
      </c>
      <c r="P1372" s="11" t="s">
        <v>1649</v>
      </c>
      <c r="Q1372" s="12">
        <v>29524.0</v>
      </c>
      <c r="R1372" s="11" t="s">
        <v>1649</v>
      </c>
      <c r="S1372" s="11" t="s">
        <v>1683</v>
      </c>
      <c r="T1372" s="11" t="s">
        <v>1684</v>
      </c>
      <c r="U1372" s="2" t="s">
        <v>1574</v>
      </c>
      <c r="V1372" s="2" t="s">
        <v>1568</v>
      </c>
      <c r="W1372" s="2" t="s">
        <v>1569</v>
      </c>
      <c r="X1372" s="2" t="s">
        <v>1570</v>
      </c>
      <c r="AB1372" s="2" t="s">
        <v>1571</v>
      </c>
    </row>
    <row r="1373">
      <c r="A1373" s="2" t="s">
        <v>1846</v>
      </c>
      <c r="B1373" s="2">
        <v>19.0</v>
      </c>
      <c r="C1373" s="2" t="s">
        <v>5</v>
      </c>
      <c r="D1373" s="2" t="s">
        <v>1847</v>
      </c>
      <c r="E1373" s="2">
        <v>2.0</v>
      </c>
      <c r="F1373" s="2" t="s">
        <v>4</v>
      </c>
      <c r="G1373" s="5">
        <v>2604212.0</v>
      </c>
      <c r="H1373" s="2" t="s">
        <v>1575</v>
      </c>
      <c r="I1373" s="2" t="s">
        <v>1565</v>
      </c>
      <c r="J1373" s="2">
        <v>10033.0</v>
      </c>
      <c r="K1373" s="2" t="s">
        <v>1615</v>
      </c>
      <c r="L1373" s="2"/>
      <c r="M1373" s="2"/>
      <c r="N1373" s="7">
        <v>1.0</v>
      </c>
      <c r="O1373" s="12">
        <v>21905.0</v>
      </c>
      <c r="P1373" s="11" t="s">
        <v>1649</v>
      </c>
      <c r="Q1373" s="12">
        <v>21905.0</v>
      </c>
      <c r="R1373" s="11" t="s">
        <v>1649</v>
      </c>
      <c r="S1373" s="11" t="s">
        <v>1666</v>
      </c>
      <c r="T1373" s="11" t="s">
        <v>1667</v>
      </c>
      <c r="U1373" s="2" t="s">
        <v>1574</v>
      </c>
      <c r="V1373" s="2" t="s">
        <v>1568</v>
      </c>
      <c r="W1373" s="2" t="s">
        <v>1569</v>
      </c>
      <c r="X1373" s="2" t="s">
        <v>1570</v>
      </c>
      <c r="AA1373" s="2" t="s">
        <v>1636</v>
      </c>
      <c r="AB1373" s="2" t="s">
        <v>1571</v>
      </c>
    </row>
    <row r="1374">
      <c r="A1374" s="2" t="s">
        <v>1846</v>
      </c>
      <c r="B1374" s="2">
        <v>19.0</v>
      </c>
      <c r="C1374" s="2" t="s">
        <v>5</v>
      </c>
      <c r="D1374" s="2" t="s">
        <v>1847</v>
      </c>
      <c r="E1374" s="2">
        <v>2.0</v>
      </c>
      <c r="F1374" s="2" t="s">
        <v>4</v>
      </c>
      <c r="G1374" s="5">
        <v>2604212.0</v>
      </c>
      <c r="H1374" s="2" t="s">
        <v>1575</v>
      </c>
      <c r="I1374" s="2" t="s">
        <v>1578</v>
      </c>
      <c r="J1374" s="2">
        <v>10004.0</v>
      </c>
      <c r="K1374" s="2" t="s">
        <v>1607</v>
      </c>
      <c r="L1374" s="2"/>
      <c r="M1374" s="2"/>
      <c r="N1374" s="7">
        <v>1.0</v>
      </c>
      <c r="O1374" s="12">
        <v>25238.0</v>
      </c>
      <c r="P1374" s="11" t="s">
        <v>1649</v>
      </c>
      <c r="Q1374" s="12">
        <v>25238.0</v>
      </c>
      <c r="R1374" s="11" t="s">
        <v>1649</v>
      </c>
      <c r="S1374" s="11" t="s">
        <v>1660</v>
      </c>
      <c r="T1374" s="11" t="s">
        <v>1680</v>
      </c>
      <c r="U1374" s="2" t="s">
        <v>1574</v>
      </c>
      <c r="V1374" s="2" t="s">
        <v>1568</v>
      </c>
      <c r="W1374" s="2" t="s">
        <v>1569</v>
      </c>
      <c r="X1374" s="2" t="s">
        <v>1570</v>
      </c>
      <c r="AB1374" s="2" t="s">
        <v>1571</v>
      </c>
    </row>
    <row r="1375">
      <c r="A1375" s="2" t="s">
        <v>1846</v>
      </c>
      <c r="B1375" s="2">
        <v>19.0</v>
      </c>
      <c r="C1375" s="2" t="s">
        <v>5</v>
      </c>
      <c r="D1375" s="2" t="s">
        <v>1847</v>
      </c>
      <c r="E1375" s="2">
        <v>2.0</v>
      </c>
      <c r="F1375" s="2" t="s">
        <v>4</v>
      </c>
      <c r="G1375" s="5">
        <v>2604212.0</v>
      </c>
      <c r="H1375" s="2" t="s">
        <v>1575</v>
      </c>
      <c r="I1375" s="2" t="s">
        <v>1580</v>
      </c>
      <c r="J1375" s="2">
        <v>10012.0</v>
      </c>
      <c r="K1375" s="2" t="s">
        <v>1602</v>
      </c>
      <c r="L1375" s="2"/>
      <c r="M1375" s="2"/>
      <c r="N1375" s="7">
        <v>1.0</v>
      </c>
      <c r="O1375" s="12">
        <v>29524.0</v>
      </c>
      <c r="P1375" s="11" t="s">
        <v>1649</v>
      </c>
      <c r="Q1375" s="12">
        <v>29524.0</v>
      </c>
      <c r="R1375" s="11" t="s">
        <v>1649</v>
      </c>
      <c r="S1375" s="11" t="s">
        <v>1683</v>
      </c>
      <c r="T1375" s="11" t="s">
        <v>1684</v>
      </c>
      <c r="U1375" s="2" t="s">
        <v>1574</v>
      </c>
      <c r="V1375" s="2" t="s">
        <v>1568</v>
      </c>
      <c r="W1375" s="2" t="s">
        <v>1569</v>
      </c>
      <c r="X1375" s="2" t="s">
        <v>1570</v>
      </c>
      <c r="AA1375" s="2" t="s">
        <v>1637</v>
      </c>
      <c r="AB1375" s="2" t="s">
        <v>1571</v>
      </c>
    </row>
    <row r="1376">
      <c r="A1376" s="2" t="s">
        <v>1846</v>
      </c>
      <c r="B1376" s="2">
        <v>19.0</v>
      </c>
      <c r="C1376" s="2" t="s">
        <v>5</v>
      </c>
      <c r="D1376" s="2" t="s">
        <v>1847</v>
      </c>
      <c r="E1376" s="2">
        <v>2.0</v>
      </c>
      <c r="F1376" s="2" t="s">
        <v>4</v>
      </c>
      <c r="G1376" s="5">
        <v>2604212.0</v>
      </c>
      <c r="H1376" s="2" t="s">
        <v>1575</v>
      </c>
      <c r="I1376" s="2" t="s">
        <v>1565</v>
      </c>
      <c r="J1376" s="2">
        <v>10007.0</v>
      </c>
      <c r="K1376" s="2" t="s">
        <v>1576</v>
      </c>
      <c r="L1376" s="2"/>
      <c r="M1376" s="2"/>
      <c r="N1376" s="7">
        <v>2.0</v>
      </c>
      <c r="O1376" s="12">
        <v>33810.0</v>
      </c>
      <c r="P1376" s="11" t="s">
        <v>1649</v>
      </c>
      <c r="Q1376" s="12">
        <v>33810.0</v>
      </c>
      <c r="R1376" s="11" t="s">
        <v>1649</v>
      </c>
      <c r="S1376" s="11" t="s">
        <v>1701</v>
      </c>
      <c r="T1376" s="11" t="s">
        <v>1703</v>
      </c>
      <c r="U1376" s="2" t="s">
        <v>1574</v>
      </c>
      <c r="V1376" s="2" t="s">
        <v>1568</v>
      </c>
      <c r="W1376" s="2" t="s">
        <v>1569</v>
      </c>
      <c r="X1376" s="2" t="s">
        <v>1570</v>
      </c>
      <c r="AB1376" s="2" t="s">
        <v>1571</v>
      </c>
    </row>
    <row r="1377">
      <c r="A1377" s="2" t="s">
        <v>1846</v>
      </c>
      <c r="B1377" s="2">
        <v>19.0</v>
      </c>
      <c r="C1377" s="2" t="s">
        <v>5</v>
      </c>
      <c r="D1377" s="2" t="s">
        <v>1847</v>
      </c>
      <c r="E1377" s="2">
        <v>2.0</v>
      </c>
      <c r="F1377" s="2" t="s">
        <v>4</v>
      </c>
      <c r="G1377" s="5">
        <v>2603847.0</v>
      </c>
      <c r="H1377" s="2" t="s">
        <v>1575</v>
      </c>
      <c r="I1377" s="2" t="s">
        <v>1578</v>
      </c>
      <c r="J1377" s="2">
        <v>10004.0</v>
      </c>
      <c r="K1377" s="2" t="s">
        <v>1607</v>
      </c>
      <c r="L1377" s="2"/>
      <c r="M1377" s="2"/>
      <c r="N1377" s="7">
        <v>1.0</v>
      </c>
      <c r="O1377" s="12">
        <v>25238.0</v>
      </c>
      <c r="P1377" s="11" t="s">
        <v>1649</v>
      </c>
      <c r="Q1377" s="12">
        <v>25238.0</v>
      </c>
      <c r="R1377" s="11" t="s">
        <v>1649</v>
      </c>
      <c r="S1377" s="11" t="s">
        <v>1660</v>
      </c>
      <c r="T1377" s="11" t="s">
        <v>1680</v>
      </c>
      <c r="U1377" s="2" t="s">
        <v>1574</v>
      </c>
      <c r="V1377" s="2" t="s">
        <v>1568</v>
      </c>
      <c r="W1377" s="2" t="s">
        <v>1569</v>
      </c>
      <c r="X1377" s="2" t="s">
        <v>1570</v>
      </c>
      <c r="AB1377" s="2" t="s">
        <v>1571</v>
      </c>
    </row>
    <row r="1378">
      <c r="A1378" s="2" t="s">
        <v>1846</v>
      </c>
      <c r="B1378" s="2">
        <v>19.0</v>
      </c>
      <c r="C1378" s="2" t="s">
        <v>5</v>
      </c>
      <c r="D1378" s="2" t="s">
        <v>1847</v>
      </c>
      <c r="E1378" s="2">
        <v>2.0</v>
      </c>
      <c r="F1378" s="2" t="s">
        <v>4</v>
      </c>
      <c r="G1378" s="5">
        <v>2603847.0</v>
      </c>
      <c r="H1378" s="2" t="s">
        <v>1575</v>
      </c>
      <c r="I1378" s="2" t="s">
        <v>1572</v>
      </c>
      <c r="J1378" s="2">
        <v>10112.0</v>
      </c>
      <c r="K1378" s="2" t="s">
        <v>1573</v>
      </c>
      <c r="L1378" s="2"/>
      <c r="M1378" s="2"/>
      <c r="N1378" s="7">
        <v>1.0</v>
      </c>
      <c r="O1378" s="12">
        <v>6667.0</v>
      </c>
      <c r="P1378" s="11" t="s">
        <v>1649</v>
      </c>
      <c r="Q1378" s="12">
        <v>6667.0</v>
      </c>
      <c r="R1378" s="11" t="s">
        <v>1649</v>
      </c>
      <c r="S1378" s="11" t="s">
        <v>1734</v>
      </c>
      <c r="T1378" s="11" t="s">
        <v>1738</v>
      </c>
      <c r="U1378" s="2" t="s">
        <v>1574</v>
      </c>
      <c r="V1378" s="2" t="s">
        <v>1568</v>
      </c>
      <c r="W1378" s="2" t="s">
        <v>1569</v>
      </c>
      <c r="X1378" s="2" t="s">
        <v>1570</v>
      </c>
      <c r="AB1378" s="2" t="s">
        <v>1571</v>
      </c>
    </row>
    <row r="1379">
      <c r="A1379" s="2" t="s">
        <v>1846</v>
      </c>
      <c r="B1379" s="2">
        <v>19.0</v>
      </c>
      <c r="C1379" s="2" t="s">
        <v>5</v>
      </c>
      <c r="D1379" s="2" t="s">
        <v>1847</v>
      </c>
      <c r="E1379" s="2">
        <v>2.0</v>
      </c>
      <c r="F1379" s="2" t="s">
        <v>4</v>
      </c>
      <c r="G1379" s="5">
        <v>2603847.0</v>
      </c>
      <c r="H1379" s="2" t="s">
        <v>1575</v>
      </c>
      <c r="I1379" s="2" t="s">
        <v>1578</v>
      </c>
      <c r="J1379" s="2">
        <v>10015.0</v>
      </c>
      <c r="K1379" s="2" t="s">
        <v>1587</v>
      </c>
      <c r="L1379" s="2"/>
      <c r="M1379" s="2"/>
      <c r="N1379" s="7">
        <v>1.0</v>
      </c>
      <c r="O1379" s="12">
        <v>25238.0</v>
      </c>
      <c r="P1379" s="11" t="s">
        <v>1649</v>
      </c>
      <c r="Q1379" s="12">
        <v>25238.0</v>
      </c>
      <c r="R1379" s="11" t="s">
        <v>1649</v>
      </c>
      <c r="S1379" s="11" t="s">
        <v>1660</v>
      </c>
      <c r="T1379" s="11" t="s">
        <v>1680</v>
      </c>
      <c r="U1379" s="2" t="s">
        <v>1574</v>
      </c>
      <c r="V1379" s="2" t="s">
        <v>1568</v>
      </c>
      <c r="W1379" s="2" t="s">
        <v>1569</v>
      </c>
      <c r="X1379" s="2" t="s">
        <v>1570</v>
      </c>
      <c r="AB1379" s="2" t="s">
        <v>1571</v>
      </c>
    </row>
    <row r="1380">
      <c r="A1380" s="2" t="s">
        <v>1846</v>
      </c>
      <c r="B1380" s="2">
        <v>19.0</v>
      </c>
      <c r="C1380" s="2" t="s">
        <v>5</v>
      </c>
      <c r="D1380" s="2" t="s">
        <v>1847</v>
      </c>
      <c r="E1380" s="2">
        <v>2.0</v>
      </c>
      <c r="F1380" s="2" t="s">
        <v>4</v>
      </c>
      <c r="G1380" s="5">
        <v>2603847.0</v>
      </c>
      <c r="H1380" s="2" t="s">
        <v>1575</v>
      </c>
      <c r="I1380" s="2" t="s">
        <v>1578</v>
      </c>
      <c r="J1380" s="2">
        <v>10051.0</v>
      </c>
      <c r="K1380" s="2" t="s">
        <v>1579</v>
      </c>
      <c r="L1380" s="2"/>
      <c r="M1380" s="2"/>
      <c r="N1380" s="7">
        <v>1.0</v>
      </c>
      <c r="O1380" s="12">
        <v>25238.0</v>
      </c>
      <c r="P1380" s="11" t="s">
        <v>1649</v>
      </c>
      <c r="Q1380" s="12">
        <v>25238.0</v>
      </c>
      <c r="R1380" s="11" t="s">
        <v>1649</v>
      </c>
      <c r="S1380" s="11" t="s">
        <v>1660</v>
      </c>
      <c r="T1380" s="11" t="s">
        <v>1680</v>
      </c>
      <c r="U1380" s="2" t="s">
        <v>1574</v>
      </c>
      <c r="V1380" s="2" t="s">
        <v>1568</v>
      </c>
      <c r="W1380" s="2" t="s">
        <v>1569</v>
      </c>
      <c r="X1380" s="2" t="s">
        <v>1570</v>
      </c>
      <c r="AB1380" s="2" t="s">
        <v>1571</v>
      </c>
    </row>
    <row r="1381">
      <c r="A1381" s="2" t="s">
        <v>1846</v>
      </c>
      <c r="B1381" s="2">
        <v>19.0</v>
      </c>
      <c r="C1381" s="2" t="s">
        <v>5</v>
      </c>
      <c r="D1381" s="2" t="s">
        <v>1847</v>
      </c>
      <c r="E1381" s="2">
        <v>2.0</v>
      </c>
      <c r="F1381" s="2" t="s">
        <v>4</v>
      </c>
      <c r="G1381" s="5">
        <v>2603481.0</v>
      </c>
      <c r="H1381" s="2" t="s">
        <v>1575</v>
      </c>
      <c r="I1381" s="2" t="s">
        <v>1565</v>
      </c>
      <c r="J1381" s="2">
        <v>10002.0</v>
      </c>
      <c r="K1381" s="2" t="s">
        <v>1576</v>
      </c>
      <c r="L1381" s="2"/>
      <c r="M1381" s="2"/>
      <c r="N1381" s="7">
        <v>1.0</v>
      </c>
      <c r="O1381" s="12">
        <v>18571.0</v>
      </c>
      <c r="P1381" s="11" t="s">
        <v>1649</v>
      </c>
      <c r="Q1381" s="12">
        <v>18571.0</v>
      </c>
      <c r="R1381" s="11" t="s">
        <v>1649</v>
      </c>
      <c r="S1381" s="11" t="s">
        <v>1656</v>
      </c>
      <c r="T1381" s="11" t="s">
        <v>1657</v>
      </c>
      <c r="U1381" s="2" t="s">
        <v>1574</v>
      </c>
      <c r="V1381" s="2" t="s">
        <v>1568</v>
      </c>
      <c r="W1381" s="2" t="s">
        <v>1569</v>
      </c>
      <c r="X1381" s="2" t="s">
        <v>1570</v>
      </c>
      <c r="AB1381" s="2" t="s">
        <v>1571</v>
      </c>
    </row>
    <row r="1382">
      <c r="A1382" s="2" t="s">
        <v>1846</v>
      </c>
      <c r="B1382" s="2">
        <v>19.0</v>
      </c>
      <c r="C1382" s="2" t="s">
        <v>5</v>
      </c>
      <c r="D1382" s="2" t="s">
        <v>1847</v>
      </c>
      <c r="E1382" s="2">
        <v>2.0</v>
      </c>
      <c r="F1382" s="2" t="s">
        <v>4</v>
      </c>
      <c r="G1382" s="5">
        <v>2603481.0</v>
      </c>
      <c r="H1382" s="2" t="s">
        <v>1575</v>
      </c>
      <c r="I1382" s="2" t="s">
        <v>1565</v>
      </c>
      <c r="J1382" s="2">
        <v>10005.0</v>
      </c>
      <c r="K1382" s="2" t="s">
        <v>1595</v>
      </c>
      <c r="L1382" s="2"/>
      <c r="M1382" s="2"/>
      <c r="N1382" s="7">
        <v>1.0</v>
      </c>
      <c r="O1382" s="12">
        <v>19524.0</v>
      </c>
      <c r="P1382" s="11" t="s">
        <v>1649</v>
      </c>
      <c r="Q1382" s="12">
        <v>19524.0</v>
      </c>
      <c r="R1382" s="11" t="s">
        <v>1649</v>
      </c>
      <c r="S1382" s="11" t="s">
        <v>1676</v>
      </c>
      <c r="T1382" s="11" t="s">
        <v>1677</v>
      </c>
      <c r="U1382" s="2" t="s">
        <v>1574</v>
      </c>
      <c r="V1382" s="2" t="s">
        <v>1568</v>
      </c>
      <c r="W1382" s="2" t="s">
        <v>1569</v>
      </c>
      <c r="X1382" s="2" t="s">
        <v>1570</v>
      </c>
      <c r="AB1382" s="2" t="s">
        <v>1571</v>
      </c>
    </row>
    <row r="1383">
      <c r="A1383" s="2" t="s">
        <v>1846</v>
      </c>
      <c r="B1383" s="2">
        <v>19.0</v>
      </c>
      <c r="C1383" s="2" t="s">
        <v>5</v>
      </c>
      <c r="D1383" s="2" t="s">
        <v>1847</v>
      </c>
      <c r="E1383" s="2">
        <v>2.0</v>
      </c>
      <c r="F1383" s="2" t="s">
        <v>4</v>
      </c>
      <c r="G1383" s="5">
        <v>2603116.0</v>
      </c>
      <c r="H1383" s="2" t="s">
        <v>1575</v>
      </c>
      <c r="I1383" s="2" t="s">
        <v>1565</v>
      </c>
      <c r="J1383" s="2">
        <v>10034.0</v>
      </c>
      <c r="K1383" s="2" t="s">
        <v>1616</v>
      </c>
      <c r="L1383" s="2"/>
      <c r="M1383" s="2"/>
      <c r="N1383" s="7">
        <v>1.0</v>
      </c>
      <c r="O1383" s="12">
        <v>21905.0</v>
      </c>
      <c r="P1383" s="11" t="s">
        <v>1649</v>
      </c>
      <c r="Q1383" s="12">
        <v>21905.0</v>
      </c>
      <c r="R1383" s="11" t="s">
        <v>1649</v>
      </c>
      <c r="S1383" s="11" t="s">
        <v>1666</v>
      </c>
      <c r="T1383" s="11" t="s">
        <v>1667</v>
      </c>
      <c r="U1383" s="2" t="s">
        <v>1574</v>
      </c>
      <c r="V1383" s="2" t="s">
        <v>1568</v>
      </c>
      <c r="W1383" s="2" t="s">
        <v>1569</v>
      </c>
      <c r="X1383" s="2" t="s">
        <v>1570</v>
      </c>
      <c r="AB1383" s="2" t="s">
        <v>1571</v>
      </c>
    </row>
    <row r="1384">
      <c r="A1384" s="2" t="s">
        <v>1846</v>
      </c>
      <c r="B1384" s="2">
        <v>19.0</v>
      </c>
      <c r="C1384" s="2" t="s">
        <v>5</v>
      </c>
      <c r="D1384" s="2" t="s">
        <v>1847</v>
      </c>
      <c r="E1384" s="2">
        <v>2.0</v>
      </c>
      <c r="F1384" s="2" t="s">
        <v>4</v>
      </c>
      <c r="G1384" s="5">
        <v>2603116.0</v>
      </c>
      <c r="H1384" s="2" t="s">
        <v>1575</v>
      </c>
      <c r="I1384" s="2" t="s">
        <v>1572</v>
      </c>
      <c r="J1384" s="2">
        <v>10122.0</v>
      </c>
      <c r="K1384" s="2" t="s">
        <v>1577</v>
      </c>
      <c r="L1384" s="2"/>
      <c r="M1384" s="2"/>
      <c r="N1384" s="7">
        <v>1.0</v>
      </c>
      <c r="O1384" s="12">
        <v>21905.0</v>
      </c>
      <c r="P1384" s="11" t="s">
        <v>1649</v>
      </c>
      <c r="Q1384" s="12">
        <v>21905.0</v>
      </c>
      <c r="R1384" s="11" t="s">
        <v>1649</v>
      </c>
      <c r="S1384" s="11" t="s">
        <v>1666</v>
      </c>
      <c r="T1384" s="11" t="s">
        <v>1687</v>
      </c>
      <c r="U1384" s="2" t="s">
        <v>1574</v>
      </c>
      <c r="V1384" s="2" t="s">
        <v>1568</v>
      </c>
      <c r="W1384" s="2" t="s">
        <v>1569</v>
      </c>
      <c r="X1384" s="2" t="s">
        <v>1570</v>
      </c>
      <c r="AB1384" s="2" t="s">
        <v>1571</v>
      </c>
    </row>
    <row r="1385">
      <c r="A1385" s="2" t="s">
        <v>1846</v>
      </c>
      <c r="B1385" s="2">
        <v>19.0</v>
      </c>
      <c r="C1385" s="2" t="s">
        <v>5</v>
      </c>
      <c r="D1385" s="2" t="s">
        <v>1847</v>
      </c>
      <c r="E1385" s="2">
        <v>2.0</v>
      </c>
      <c r="F1385" s="2" t="s">
        <v>4</v>
      </c>
      <c r="G1385" s="5">
        <v>2603116.0</v>
      </c>
      <c r="H1385" s="2" t="s">
        <v>1575</v>
      </c>
      <c r="I1385" s="2" t="s">
        <v>1578</v>
      </c>
      <c r="J1385" s="2">
        <v>10014.0</v>
      </c>
      <c r="K1385" s="2" t="s">
        <v>1609</v>
      </c>
      <c r="L1385" s="2"/>
      <c r="M1385" s="2"/>
      <c r="N1385" s="7">
        <v>1.0</v>
      </c>
      <c r="O1385" s="12">
        <v>25238.0</v>
      </c>
      <c r="P1385" s="11" t="s">
        <v>1649</v>
      </c>
      <c r="Q1385" s="12">
        <v>25238.0</v>
      </c>
      <c r="R1385" s="11" t="s">
        <v>1649</v>
      </c>
      <c r="S1385" s="11" t="s">
        <v>1660</v>
      </c>
      <c r="T1385" s="11" t="s">
        <v>1661</v>
      </c>
      <c r="U1385" s="2" t="s">
        <v>1574</v>
      </c>
      <c r="V1385" s="2" t="s">
        <v>1568</v>
      </c>
      <c r="W1385" s="2" t="s">
        <v>1569</v>
      </c>
      <c r="X1385" s="2" t="s">
        <v>1570</v>
      </c>
      <c r="AB1385" s="2" t="s">
        <v>1571</v>
      </c>
    </row>
    <row r="1386">
      <c r="A1386" s="2" t="s">
        <v>1846</v>
      </c>
      <c r="B1386" s="2">
        <v>19.0</v>
      </c>
      <c r="C1386" s="2" t="s">
        <v>5</v>
      </c>
      <c r="D1386" s="2" t="s">
        <v>1847</v>
      </c>
      <c r="E1386" s="2">
        <v>2.0</v>
      </c>
      <c r="F1386" s="2" t="s">
        <v>4</v>
      </c>
      <c r="G1386" s="5">
        <v>2603116.0</v>
      </c>
      <c r="H1386" s="2" t="s">
        <v>1575</v>
      </c>
      <c r="I1386" s="2" t="s">
        <v>1572</v>
      </c>
      <c r="J1386" s="2">
        <v>10112.0</v>
      </c>
      <c r="K1386" s="2" t="s">
        <v>1573</v>
      </c>
      <c r="L1386" s="2"/>
      <c r="M1386" s="2"/>
      <c r="N1386" s="7">
        <v>1.0</v>
      </c>
      <c r="O1386" s="12">
        <v>6667.0</v>
      </c>
      <c r="P1386" s="11" t="s">
        <v>1649</v>
      </c>
      <c r="Q1386" s="12">
        <v>6667.0</v>
      </c>
      <c r="R1386" s="11" t="s">
        <v>1649</v>
      </c>
      <c r="S1386" s="11" t="s">
        <v>1734</v>
      </c>
      <c r="T1386" s="11" t="s">
        <v>1735</v>
      </c>
      <c r="U1386" s="2" t="s">
        <v>1574</v>
      </c>
      <c r="V1386" s="2" t="s">
        <v>1568</v>
      </c>
      <c r="W1386" s="2" t="s">
        <v>1569</v>
      </c>
      <c r="X1386" s="2" t="s">
        <v>1570</v>
      </c>
      <c r="AB1386" s="2" t="s">
        <v>1571</v>
      </c>
    </row>
    <row r="1387">
      <c r="A1387" s="2" t="s">
        <v>1846</v>
      </c>
      <c r="B1387" s="2">
        <v>19.0</v>
      </c>
      <c r="C1387" s="2" t="s">
        <v>5</v>
      </c>
      <c r="D1387" s="2" t="s">
        <v>1847</v>
      </c>
      <c r="E1387" s="2">
        <v>2.0</v>
      </c>
      <c r="F1387" s="2" t="s">
        <v>4</v>
      </c>
      <c r="G1387" s="5">
        <v>2602751.0</v>
      </c>
      <c r="H1387" s="2" t="s">
        <v>1575</v>
      </c>
      <c r="I1387" s="2" t="s">
        <v>1572</v>
      </c>
      <c r="J1387" s="2">
        <v>10128.0</v>
      </c>
      <c r="K1387" s="2" t="s">
        <v>1588</v>
      </c>
      <c r="L1387" s="2"/>
      <c r="M1387" s="2"/>
      <c r="N1387" s="7">
        <v>1.0</v>
      </c>
      <c r="O1387" s="12">
        <v>23333.0</v>
      </c>
      <c r="P1387" s="11" t="s">
        <v>1649</v>
      </c>
      <c r="Q1387" s="12">
        <v>23333.0</v>
      </c>
      <c r="R1387" s="11" t="s">
        <v>1649</v>
      </c>
      <c r="S1387" s="11" t="s">
        <v>1681</v>
      </c>
      <c r="T1387" s="11" t="s">
        <v>1682</v>
      </c>
      <c r="U1387" s="2" t="s">
        <v>1574</v>
      </c>
      <c r="V1387" s="2" t="s">
        <v>1568</v>
      </c>
      <c r="W1387" s="2" t="s">
        <v>1569</v>
      </c>
      <c r="X1387" s="2" t="s">
        <v>1570</v>
      </c>
      <c r="AB1387" s="2" t="s">
        <v>1571</v>
      </c>
    </row>
    <row r="1388">
      <c r="A1388" s="2" t="s">
        <v>1846</v>
      </c>
      <c r="B1388" s="2">
        <v>19.0</v>
      </c>
      <c r="C1388" s="2" t="s">
        <v>5</v>
      </c>
      <c r="D1388" s="2" t="s">
        <v>1847</v>
      </c>
      <c r="E1388" s="2">
        <v>2.0</v>
      </c>
      <c r="F1388" s="2" t="s">
        <v>4</v>
      </c>
      <c r="G1388" s="5">
        <v>2602751.0</v>
      </c>
      <c r="H1388" s="2" t="s">
        <v>1575</v>
      </c>
      <c r="I1388" s="2" t="s">
        <v>1565</v>
      </c>
      <c r="J1388" s="2">
        <v>10002.0</v>
      </c>
      <c r="K1388" s="2" t="s">
        <v>1576</v>
      </c>
      <c r="L1388" s="2"/>
      <c r="M1388" s="2"/>
      <c r="N1388" s="7">
        <v>1.0</v>
      </c>
      <c r="O1388" s="12">
        <v>18571.0</v>
      </c>
      <c r="P1388" s="11" t="s">
        <v>1649</v>
      </c>
      <c r="Q1388" s="12">
        <v>18571.0</v>
      </c>
      <c r="R1388" s="11" t="s">
        <v>1649</v>
      </c>
      <c r="S1388" s="11" t="s">
        <v>1656</v>
      </c>
      <c r="T1388" s="11" t="s">
        <v>1688</v>
      </c>
      <c r="U1388" s="2" t="s">
        <v>1574</v>
      </c>
      <c r="V1388" s="2" t="s">
        <v>1568</v>
      </c>
      <c r="W1388" s="2" t="s">
        <v>1569</v>
      </c>
      <c r="X1388" s="2" t="s">
        <v>1570</v>
      </c>
      <c r="AB1388" s="2" t="s">
        <v>1571</v>
      </c>
    </row>
    <row r="1389">
      <c r="A1389" s="2" t="s">
        <v>1846</v>
      </c>
      <c r="B1389" s="2">
        <v>19.0</v>
      </c>
      <c r="C1389" s="2" t="s">
        <v>5</v>
      </c>
      <c r="D1389" s="2" t="s">
        <v>1847</v>
      </c>
      <c r="E1389" s="2">
        <v>2.0</v>
      </c>
      <c r="F1389" s="2" t="s">
        <v>4</v>
      </c>
      <c r="G1389" s="5">
        <v>2602751.0</v>
      </c>
      <c r="H1389" s="2" t="s">
        <v>1575</v>
      </c>
      <c r="I1389" s="2" t="s">
        <v>1565</v>
      </c>
      <c r="J1389" s="2">
        <v>10005.0</v>
      </c>
      <c r="K1389" s="2" t="s">
        <v>1595</v>
      </c>
      <c r="L1389" s="2"/>
      <c r="M1389" s="2"/>
      <c r="N1389" s="7">
        <v>1.0</v>
      </c>
      <c r="O1389" s="12">
        <v>19524.0</v>
      </c>
      <c r="P1389" s="11" t="s">
        <v>1649</v>
      </c>
      <c r="Q1389" s="12">
        <v>19524.0</v>
      </c>
      <c r="R1389" s="11" t="s">
        <v>1649</v>
      </c>
      <c r="S1389" s="11" t="s">
        <v>1676</v>
      </c>
      <c r="T1389" s="11" t="s">
        <v>1677</v>
      </c>
      <c r="U1389" s="2" t="s">
        <v>1574</v>
      </c>
      <c r="V1389" s="2" t="s">
        <v>1568</v>
      </c>
      <c r="W1389" s="2" t="s">
        <v>1569</v>
      </c>
      <c r="X1389" s="2" t="s">
        <v>1570</v>
      </c>
      <c r="AB1389" s="2" t="s">
        <v>1571</v>
      </c>
    </row>
    <row r="1390">
      <c r="A1390" s="2" t="s">
        <v>1846</v>
      </c>
      <c r="B1390" s="2">
        <v>19.0</v>
      </c>
      <c r="C1390" s="2" t="s">
        <v>5</v>
      </c>
      <c r="D1390" s="2" t="s">
        <v>1847</v>
      </c>
      <c r="E1390" s="2">
        <v>2.0</v>
      </c>
      <c r="F1390" s="2" t="s">
        <v>4</v>
      </c>
      <c r="G1390" s="5">
        <v>2602751.0</v>
      </c>
      <c r="H1390" s="2" t="s">
        <v>1575</v>
      </c>
      <c r="I1390" s="2" t="s">
        <v>1565</v>
      </c>
      <c r="J1390" s="2">
        <v>10043.0</v>
      </c>
      <c r="K1390" s="2" t="s">
        <v>1635</v>
      </c>
      <c r="L1390" s="2"/>
      <c r="M1390" s="2"/>
      <c r="N1390" s="7">
        <v>1.0</v>
      </c>
      <c r="O1390" s="12">
        <v>9524.0</v>
      </c>
      <c r="P1390" s="11" t="s">
        <v>1649</v>
      </c>
      <c r="Q1390" s="12">
        <v>9524.0</v>
      </c>
      <c r="R1390" s="11" t="s">
        <v>1649</v>
      </c>
      <c r="S1390" s="11" t="s">
        <v>1834</v>
      </c>
      <c r="T1390" s="11" t="s">
        <v>1848</v>
      </c>
      <c r="U1390" s="2" t="s">
        <v>1574</v>
      </c>
      <c r="V1390" s="2" t="s">
        <v>1568</v>
      </c>
      <c r="W1390" s="2" t="s">
        <v>1569</v>
      </c>
      <c r="X1390" s="2" t="s">
        <v>1570</v>
      </c>
      <c r="AB1390" s="2" t="s">
        <v>1571</v>
      </c>
    </row>
    <row r="1391">
      <c r="A1391" s="2" t="s">
        <v>1846</v>
      </c>
      <c r="B1391" s="2">
        <v>19.0</v>
      </c>
      <c r="C1391" s="2" t="s">
        <v>5</v>
      </c>
      <c r="D1391" s="2" t="s">
        <v>1847</v>
      </c>
      <c r="E1391" s="2">
        <v>2.0</v>
      </c>
      <c r="F1391" s="2" t="s">
        <v>4</v>
      </c>
      <c r="G1391" s="5">
        <v>2602386.0</v>
      </c>
      <c r="H1391" s="2" t="s">
        <v>1575</v>
      </c>
      <c r="I1391" s="2" t="s">
        <v>1565</v>
      </c>
      <c r="J1391" s="2">
        <v>10000.0</v>
      </c>
      <c r="K1391" s="2" t="s">
        <v>1566</v>
      </c>
      <c r="L1391" s="2"/>
      <c r="M1391" s="2"/>
      <c r="N1391" s="7">
        <v>1.0</v>
      </c>
      <c r="O1391" s="12">
        <v>29524.0</v>
      </c>
      <c r="P1391" s="11" t="s">
        <v>1649</v>
      </c>
      <c r="Q1391" s="12">
        <v>29524.0</v>
      </c>
      <c r="R1391" s="11" t="s">
        <v>1649</v>
      </c>
      <c r="S1391" s="11" t="s">
        <v>1683</v>
      </c>
      <c r="T1391" s="11" t="s">
        <v>1684</v>
      </c>
      <c r="U1391" s="2" t="s">
        <v>1574</v>
      </c>
      <c r="V1391" s="2" t="s">
        <v>1568</v>
      </c>
      <c r="W1391" s="2" t="s">
        <v>1569</v>
      </c>
      <c r="X1391" s="2" t="s">
        <v>1570</v>
      </c>
      <c r="AB1391" s="2" t="s">
        <v>1571</v>
      </c>
    </row>
    <row r="1392">
      <c r="A1392" s="2" t="s">
        <v>1846</v>
      </c>
      <c r="B1392" s="2">
        <v>19.0</v>
      </c>
      <c r="C1392" s="2" t="s">
        <v>5</v>
      </c>
      <c r="D1392" s="2" t="s">
        <v>1847</v>
      </c>
      <c r="E1392" s="2">
        <v>2.0</v>
      </c>
      <c r="F1392" s="2" t="s">
        <v>4</v>
      </c>
      <c r="G1392" s="5">
        <v>2602020.0</v>
      </c>
      <c r="H1392" s="2" t="s">
        <v>1575</v>
      </c>
      <c r="I1392" s="2" t="s">
        <v>1578</v>
      </c>
      <c r="J1392" s="2">
        <v>10004.0</v>
      </c>
      <c r="K1392" s="2" t="s">
        <v>1607</v>
      </c>
      <c r="L1392" s="2"/>
      <c r="M1392" s="2"/>
      <c r="N1392" s="7">
        <v>1.0</v>
      </c>
      <c r="O1392" s="12">
        <v>25238.0</v>
      </c>
      <c r="P1392" s="11" t="s">
        <v>1649</v>
      </c>
      <c r="Q1392" s="12">
        <v>25238.0</v>
      </c>
      <c r="R1392" s="11" t="s">
        <v>1649</v>
      </c>
      <c r="S1392" s="11" t="s">
        <v>1660</v>
      </c>
      <c r="T1392" s="11" t="s">
        <v>1680</v>
      </c>
      <c r="U1392" s="2" t="s">
        <v>1574</v>
      </c>
      <c r="V1392" s="2" t="s">
        <v>1568</v>
      </c>
      <c r="W1392" s="2" t="s">
        <v>1569</v>
      </c>
      <c r="X1392" s="2" t="s">
        <v>1570</v>
      </c>
      <c r="AB1392" s="2" t="s">
        <v>1571</v>
      </c>
    </row>
    <row r="1393">
      <c r="A1393" s="2" t="s">
        <v>1846</v>
      </c>
      <c r="B1393" s="2">
        <v>19.0</v>
      </c>
      <c r="C1393" s="2" t="s">
        <v>5</v>
      </c>
      <c r="D1393" s="2" t="s">
        <v>1847</v>
      </c>
      <c r="E1393" s="2">
        <v>2.0</v>
      </c>
      <c r="F1393" s="2" t="s">
        <v>4</v>
      </c>
      <c r="G1393" s="5">
        <v>2602020.0</v>
      </c>
      <c r="H1393" s="2" t="s">
        <v>1575</v>
      </c>
      <c r="I1393" s="2" t="s">
        <v>1572</v>
      </c>
      <c r="J1393" s="2">
        <v>10128.0</v>
      </c>
      <c r="K1393" s="2" t="s">
        <v>1588</v>
      </c>
      <c r="L1393" s="2"/>
      <c r="M1393" s="2"/>
      <c r="N1393" s="7">
        <v>1.0</v>
      </c>
      <c r="O1393" s="12">
        <v>23333.0</v>
      </c>
      <c r="P1393" s="11" t="s">
        <v>1649</v>
      </c>
      <c r="Q1393" s="12">
        <v>23333.0</v>
      </c>
      <c r="R1393" s="11" t="s">
        <v>1649</v>
      </c>
      <c r="S1393" s="11" t="s">
        <v>1681</v>
      </c>
      <c r="T1393" s="11" t="s">
        <v>1682</v>
      </c>
      <c r="U1393" s="2" t="s">
        <v>1574</v>
      </c>
      <c r="V1393" s="2" t="s">
        <v>1568</v>
      </c>
      <c r="W1393" s="2" t="s">
        <v>1569</v>
      </c>
      <c r="X1393" s="2" t="s">
        <v>1570</v>
      </c>
      <c r="AB1393" s="2" t="s">
        <v>1571</v>
      </c>
    </row>
    <row r="1394">
      <c r="A1394" s="2" t="s">
        <v>1846</v>
      </c>
      <c r="B1394" s="2">
        <v>19.0</v>
      </c>
      <c r="C1394" s="2" t="s">
        <v>5</v>
      </c>
      <c r="D1394" s="2" t="s">
        <v>1847</v>
      </c>
      <c r="E1394" s="2">
        <v>2.0</v>
      </c>
      <c r="F1394" s="2" t="s">
        <v>4</v>
      </c>
      <c r="G1394" s="5">
        <v>2602020.0</v>
      </c>
      <c r="H1394" s="2" t="s">
        <v>1575</v>
      </c>
      <c r="I1394" s="2" t="s">
        <v>1572</v>
      </c>
      <c r="J1394" s="2">
        <v>10067.0</v>
      </c>
      <c r="K1394" s="2" t="s">
        <v>1621</v>
      </c>
      <c r="L1394" s="2"/>
      <c r="M1394" s="2"/>
      <c r="N1394" s="7">
        <v>1.0</v>
      </c>
      <c r="O1394" s="12">
        <v>24762.0</v>
      </c>
      <c r="P1394" s="11" t="s">
        <v>1649</v>
      </c>
      <c r="Q1394" s="12">
        <v>24762.0</v>
      </c>
      <c r="R1394" s="11" t="s">
        <v>1649</v>
      </c>
      <c r="S1394" s="11" t="s">
        <v>1689</v>
      </c>
      <c r="T1394" s="11" t="s">
        <v>1693</v>
      </c>
      <c r="U1394" s="2" t="s">
        <v>1574</v>
      </c>
      <c r="V1394" s="2" t="s">
        <v>1568</v>
      </c>
      <c r="W1394" s="2" t="s">
        <v>1569</v>
      </c>
      <c r="X1394" s="2" t="s">
        <v>1570</v>
      </c>
      <c r="AB1394" s="2" t="s">
        <v>1571</v>
      </c>
    </row>
    <row r="1395">
      <c r="A1395" s="2" t="s">
        <v>1846</v>
      </c>
      <c r="B1395" s="2">
        <v>19.0</v>
      </c>
      <c r="C1395" s="2" t="s">
        <v>5</v>
      </c>
      <c r="D1395" s="2" t="s">
        <v>1847</v>
      </c>
      <c r="E1395" s="2">
        <v>2.0</v>
      </c>
      <c r="F1395" s="2" t="s">
        <v>4</v>
      </c>
      <c r="G1395" s="5">
        <v>2602020.0</v>
      </c>
      <c r="H1395" s="2" t="s">
        <v>1575</v>
      </c>
      <c r="I1395" s="2" t="s">
        <v>1572</v>
      </c>
      <c r="J1395" s="2">
        <v>10107.0</v>
      </c>
      <c r="K1395" s="2" t="s">
        <v>1584</v>
      </c>
      <c r="L1395" s="2"/>
      <c r="M1395" s="2"/>
      <c r="N1395" s="7">
        <v>1.0</v>
      </c>
      <c r="O1395" s="12">
        <v>26667.0</v>
      </c>
      <c r="P1395" s="11" t="s">
        <v>1649</v>
      </c>
      <c r="Q1395" s="12">
        <v>26667.0</v>
      </c>
      <c r="R1395" s="11" t="s">
        <v>1649</v>
      </c>
      <c r="S1395" s="11" t="s">
        <v>1674</v>
      </c>
      <c r="T1395" s="11" t="s">
        <v>1679</v>
      </c>
      <c r="U1395" s="2" t="s">
        <v>1574</v>
      </c>
      <c r="V1395" s="2" t="s">
        <v>1568</v>
      </c>
      <c r="W1395" s="2" t="s">
        <v>1569</v>
      </c>
      <c r="X1395" s="2" t="s">
        <v>1570</v>
      </c>
      <c r="AB1395" s="2" t="s">
        <v>1571</v>
      </c>
    </row>
    <row r="1396">
      <c r="A1396" s="2" t="s">
        <v>1846</v>
      </c>
      <c r="B1396" s="2">
        <v>19.0</v>
      </c>
      <c r="C1396" s="2" t="s">
        <v>5</v>
      </c>
      <c r="D1396" s="2" t="s">
        <v>1847</v>
      </c>
      <c r="E1396" s="2">
        <v>2.0</v>
      </c>
      <c r="F1396" s="2" t="s">
        <v>4</v>
      </c>
      <c r="G1396" s="5">
        <v>2602020.0</v>
      </c>
      <c r="H1396" s="2" t="s">
        <v>1575</v>
      </c>
      <c r="I1396" s="2" t="s">
        <v>1580</v>
      </c>
      <c r="J1396" s="2">
        <v>10012.0</v>
      </c>
      <c r="K1396" s="2" t="s">
        <v>1602</v>
      </c>
      <c r="L1396" s="2"/>
      <c r="M1396" s="2"/>
      <c r="N1396" s="7">
        <v>1.0</v>
      </c>
      <c r="O1396" s="12">
        <v>29524.0</v>
      </c>
      <c r="P1396" s="11" t="s">
        <v>1649</v>
      </c>
      <c r="Q1396" s="12">
        <v>29524.0</v>
      </c>
      <c r="R1396" s="11" t="s">
        <v>1649</v>
      </c>
      <c r="S1396" s="11" t="s">
        <v>1683</v>
      </c>
      <c r="T1396" s="11" t="s">
        <v>1684</v>
      </c>
      <c r="U1396" s="2" t="s">
        <v>1574</v>
      </c>
      <c r="V1396" s="2" t="s">
        <v>1568</v>
      </c>
      <c r="W1396" s="2" t="s">
        <v>1569</v>
      </c>
      <c r="X1396" s="2" t="s">
        <v>1570</v>
      </c>
      <c r="AB1396" s="2" t="s">
        <v>1571</v>
      </c>
    </row>
    <row r="1397">
      <c r="A1397" s="2" t="s">
        <v>1846</v>
      </c>
      <c r="B1397" s="2">
        <v>19.0</v>
      </c>
      <c r="C1397" s="2" t="s">
        <v>5</v>
      </c>
      <c r="D1397" s="2" t="s">
        <v>1847</v>
      </c>
      <c r="E1397" s="2">
        <v>2.0</v>
      </c>
      <c r="F1397" s="2" t="s">
        <v>4</v>
      </c>
      <c r="G1397" s="5">
        <v>2601655.0</v>
      </c>
      <c r="H1397" s="2" t="s">
        <v>1575</v>
      </c>
      <c r="I1397" s="2" t="s">
        <v>1565</v>
      </c>
      <c r="J1397" s="2">
        <v>10054.0</v>
      </c>
      <c r="K1397" s="2" t="s">
        <v>1610</v>
      </c>
      <c r="L1397" s="2"/>
      <c r="M1397" s="2"/>
      <c r="N1397" s="7">
        <v>1.0</v>
      </c>
      <c r="O1397" s="12">
        <v>25238.0</v>
      </c>
      <c r="P1397" s="11" t="s">
        <v>1649</v>
      </c>
      <c r="Q1397" s="12">
        <v>25238.0</v>
      </c>
      <c r="R1397" s="11" t="s">
        <v>1649</v>
      </c>
      <c r="S1397" s="11" t="s">
        <v>1660</v>
      </c>
      <c r="T1397" s="11" t="s">
        <v>1680</v>
      </c>
      <c r="U1397" s="2" t="s">
        <v>1574</v>
      </c>
      <c r="V1397" s="2" t="s">
        <v>1568</v>
      </c>
      <c r="W1397" s="2" t="s">
        <v>1569</v>
      </c>
      <c r="X1397" s="2" t="s">
        <v>1570</v>
      </c>
      <c r="AB1397" s="2" t="s">
        <v>1571</v>
      </c>
    </row>
    <row r="1398">
      <c r="A1398" s="2" t="s">
        <v>1846</v>
      </c>
      <c r="B1398" s="2">
        <v>19.0</v>
      </c>
      <c r="C1398" s="2" t="s">
        <v>5</v>
      </c>
      <c r="D1398" s="2" t="s">
        <v>1847</v>
      </c>
      <c r="E1398" s="2">
        <v>2.0</v>
      </c>
      <c r="F1398" s="2" t="s">
        <v>4</v>
      </c>
      <c r="G1398" s="5">
        <v>2601655.0</v>
      </c>
      <c r="H1398" s="2" t="s">
        <v>1575</v>
      </c>
      <c r="I1398" s="2" t="s">
        <v>1578</v>
      </c>
      <c r="J1398" s="2">
        <v>10014.0</v>
      </c>
      <c r="K1398" s="2" t="s">
        <v>1609</v>
      </c>
      <c r="L1398" s="2"/>
      <c r="M1398" s="2"/>
      <c r="N1398" s="7">
        <v>1.0</v>
      </c>
      <c r="O1398" s="12">
        <v>25238.0</v>
      </c>
      <c r="P1398" s="11" t="s">
        <v>1649</v>
      </c>
      <c r="Q1398" s="12">
        <v>25238.0</v>
      </c>
      <c r="R1398" s="11" t="s">
        <v>1649</v>
      </c>
      <c r="S1398" s="11" t="s">
        <v>1660</v>
      </c>
      <c r="T1398" s="11" t="s">
        <v>1680</v>
      </c>
      <c r="U1398" s="2" t="s">
        <v>1574</v>
      </c>
      <c r="V1398" s="2" t="s">
        <v>1568</v>
      </c>
      <c r="W1398" s="2" t="s">
        <v>1569</v>
      </c>
      <c r="X1398" s="2" t="s">
        <v>1570</v>
      </c>
      <c r="AB1398" s="2" t="s">
        <v>1571</v>
      </c>
    </row>
    <row r="1399">
      <c r="A1399" s="2" t="s">
        <v>1846</v>
      </c>
      <c r="B1399" s="2">
        <v>19.0</v>
      </c>
      <c r="C1399" s="2" t="s">
        <v>5</v>
      </c>
      <c r="D1399" s="2" t="s">
        <v>1847</v>
      </c>
      <c r="E1399" s="2">
        <v>2.0</v>
      </c>
      <c r="F1399" s="2" t="s">
        <v>4</v>
      </c>
      <c r="G1399" s="5">
        <v>2601655.0</v>
      </c>
      <c r="H1399" s="2" t="s">
        <v>1575</v>
      </c>
      <c r="I1399" s="2" t="s">
        <v>1578</v>
      </c>
      <c r="J1399" s="2">
        <v>10004.0</v>
      </c>
      <c r="K1399" s="2" t="s">
        <v>1607</v>
      </c>
      <c r="L1399" s="2"/>
      <c r="M1399" s="2"/>
      <c r="N1399" s="7">
        <v>1.0</v>
      </c>
      <c r="O1399" s="12">
        <v>25238.0</v>
      </c>
      <c r="P1399" s="11" t="s">
        <v>1649</v>
      </c>
      <c r="Q1399" s="12">
        <v>25238.0</v>
      </c>
      <c r="R1399" s="11" t="s">
        <v>1649</v>
      </c>
      <c r="S1399" s="11" t="s">
        <v>1660</v>
      </c>
      <c r="T1399" s="11" t="s">
        <v>1680</v>
      </c>
      <c r="U1399" s="2" t="s">
        <v>1574</v>
      </c>
      <c r="V1399" s="2" t="s">
        <v>1568</v>
      </c>
      <c r="W1399" s="2" t="s">
        <v>1569</v>
      </c>
      <c r="X1399" s="2" t="s">
        <v>1570</v>
      </c>
      <c r="AB1399" s="2" t="s">
        <v>1571</v>
      </c>
    </row>
    <row r="1400">
      <c r="A1400" s="2" t="s">
        <v>1846</v>
      </c>
      <c r="B1400" s="2">
        <v>19.0</v>
      </c>
      <c r="C1400" s="2" t="s">
        <v>5</v>
      </c>
      <c r="D1400" s="2" t="s">
        <v>1847</v>
      </c>
      <c r="E1400" s="2">
        <v>2.0</v>
      </c>
      <c r="F1400" s="2" t="s">
        <v>4</v>
      </c>
      <c r="G1400" s="5">
        <v>2601655.0</v>
      </c>
      <c r="H1400" s="2" t="s">
        <v>1575</v>
      </c>
      <c r="I1400" s="2" t="s">
        <v>1572</v>
      </c>
      <c r="J1400" s="2">
        <v>10107.0</v>
      </c>
      <c r="K1400" s="2" t="s">
        <v>1584</v>
      </c>
      <c r="L1400" s="2"/>
      <c r="M1400" s="2"/>
      <c r="N1400" s="7">
        <v>1.0</v>
      </c>
      <c r="O1400" s="12">
        <v>26667.0</v>
      </c>
      <c r="P1400" s="11" t="s">
        <v>1649</v>
      </c>
      <c r="Q1400" s="12">
        <v>26667.0</v>
      </c>
      <c r="R1400" s="11" t="s">
        <v>1649</v>
      </c>
      <c r="S1400" s="11" t="s">
        <v>1674</v>
      </c>
      <c r="T1400" s="11" t="s">
        <v>1679</v>
      </c>
      <c r="U1400" s="2" t="s">
        <v>1574</v>
      </c>
      <c r="V1400" s="2" t="s">
        <v>1568</v>
      </c>
      <c r="W1400" s="2" t="s">
        <v>1569</v>
      </c>
      <c r="X1400" s="2" t="s">
        <v>1570</v>
      </c>
      <c r="AB1400" s="2" t="s">
        <v>1571</v>
      </c>
    </row>
    <row r="1401">
      <c r="A1401" s="2" t="s">
        <v>1846</v>
      </c>
      <c r="B1401" s="2">
        <v>19.0</v>
      </c>
      <c r="C1401" s="2" t="s">
        <v>5</v>
      </c>
      <c r="D1401" s="2" t="s">
        <v>1847</v>
      </c>
      <c r="E1401" s="2">
        <v>2.0</v>
      </c>
      <c r="F1401" s="2" t="s">
        <v>4</v>
      </c>
      <c r="G1401" s="5">
        <v>2601655.0</v>
      </c>
      <c r="H1401" s="2" t="s">
        <v>1575</v>
      </c>
      <c r="I1401" s="2" t="s">
        <v>1572</v>
      </c>
      <c r="J1401" s="2">
        <v>10106.0</v>
      </c>
      <c r="K1401" s="2" t="s">
        <v>1598</v>
      </c>
      <c r="L1401" s="2"/>
      <c r="M1401" s="2"/>
      <c r="N1401" s="7">
        <v>1.0</v>
      </c>
      <c r="O1401" s="12">
        <v>26667.0</v>
      </c>
      <c r="P1401" s="11" t="s">
        <v>1649</v>
      </c>
      <c r="Q1401" s="12">
        <v>26667.0</v>
      </c>
      <c r="R1401" s="11" t="s">
        <v>1649</v>
      </c>
      <c r="S1401" s="11" t="s">
        <v>1674</v>
      </c>
      <c r="T1401" s="11" t="s">
        <v>1679</v>
      </c>
      <c r="U1401" s="2" t="s">
        <v>1574</v>
      </c>
      <c r="V1401" s="2" t="s">
        <v>1568</v>
      </c>
      <c r="W1401" s="2" t="s">
        <v>1569</v>
      </c>
      <c r="X1401" s="2" t="s">
        <v>1570</v>
      </c>
      <c r="AB1401" s="2" t="s">
        <v>1571</v>
      </c>
    </row>
    <row r="1402">
      <c r="A1402" s="2" t="s">
        <v>1846</v>
      </c>
      <c r="B1402" s="2">
        <v>19.0</v>
      </c>
      <c r="C1402" s="2" t="s">
        <v>5</v>
      </c>
      <c r="D1402" s="2" t="s">
        <v>1847</v>
      </c>
      <c r="E1402" s="2">
        <v>2.0</v>
      </c>
      <c r="F1402" s="2" t="s">
        <v>4</v>
      </c>
      <c r="G1402" s="5">
        <v>2601655.0</v>
      </c>
      <c r="H1402" s="2" t="s">
        <v>1575</v>
      </c>
      <c r="I1402" s="2" t="s">
        <v>1572</v>
      </c>
      <c r="J1402" s="2">
        <v>10128.0</v>
      </c>
      <c r="K1402" s="2" t="s">
        <v>1588</v>
      </c>
      <c r="L1402" s="2"/>
      <c r="M1402" s="2"/>
      <c r="N1402" s="7">
        <v>1.0</v>
      </c>
      <c r="O1402" s="12">
        <v>23333.0</v>
      </c>
      <c r="P1402" s="11" t="s">
        <v>1649</v>
      </c>
      <c r="Q1402" s="12">
        <v>23333.0</v>
      </c>
      <c r="R1402" s="11" t="s">
        <v>1649</v>
      </c>
      <c r="S1402" s="11" t="s">
        <v>1681</v>
      </c>
      <c r="T1402" s="11" t="s">
        <v>1682</v>
      </c>
      <c r="U1402" s="2" t="s">
        <v>1574</v>
      </c>
      <c r="V1402" s="2" t="s">
        <v>1568</v>
      </c>
      <c r="W1402" s="2" t="s">
        <v>1569</v>
      </c>
      <c r="X1402" s="2" t="s">
        <v>1570</v>
      </c>
      <c r="AB1402" s="2" t="s">
        <v>1571</v>
      </c>
    </row>
    <row r="1403">
      <c r="A1403" s="2" t="s">
        <v>1846</v>
      </c>
      <c r="B1403" s="2">
        <v>16.0</v>
      </c>
      <c r="C1403" s="2" t="s">
        <v>5</v>
      </c>
      <c r="D1403" s="2" t="s">
        <v>1847</v>
      </c>
      <c r="E1403" s="2">
        <v>2.0</v>
      </c>
      <c r="F1403" s="2" t="s">
        <v>4</v>
      </c>
      <c r="G1403" s="5">
        <v>2601290.0</v>
      </c>
      <c r="H1403" s="2" t="s">
        <v>1575</v>
      </c>
      <c r="I1403" s="2" t="s">
        <v>1572</v>
      </c>
      <c r="J1403" s="2">
        <v>10121.0</v>
      </c>
      <c r="K1403" s="2" t="s">
        <v>1617</v>
      </c>
      <c r="L1403" s="2"/>
      <c r="M1403" s="2"/>
      <c r="N1403" s="7">
        <v>1.0</v>
      </c>
      <c r="O1403" s="12">
        <v>19524.0</v>
      </c>
      <c r="P1403" s="11" t="s">
        <v>1649</v>
      </c>
      <c r="Q1403" s="12">
        <v>19524.0</v>
      </c>
      <c r="R1403" s="11" t="s">
        <v>1649</v>
      </c>
      <c r="S1403" s="11" t="s">
        <v>1676</v>
      </c>
      <c r="T1403" s="11" t="s">
        <v>1677</v>
      </c>
      <c r="U1403" s="2" t="s">
        <v>1574</v>
      </c>
      <c r="V1403" s="2" t="s">
        <v>1568</v>
      </c>
      <c r="W1403" s="2" t="s">
        <v>1569</v>
      </c>
      <c r="X1403" s="2" t="s">
        <v>1570</v>
      </c>
      <c r="AB1403" s="2" t="s">
        <v>1571</v>
      </c>
    </row>
    <row r="1404">
      <c r="A1404" s="2" t="s">
        <v>1846</v>
      </c>
      <c r="B1404" s="2">
        <v>15.0</v>
      </c>
      <c r="C1404" s="2" t="s">
        <v>5</v>
      </c>
      <c r="D1404" s="2" t="s">
        <v>1847</v>
      </c>
      <c r="E1404" s="2">
        <v>2.0</v>
      </c>
      <c r="F1404" s="2" t="s">
        <v>4</v>
      </c>
      <c r="G1404" s="5">
        <v>2600925.0</v>
      </c>
      <c r="H1404" s="2" t="s">
        <v>1575</v>
      </c>
      <c r="I1404" s="2" t="s">
        <v>1565</v>
      </c>
      <c r="J1404" s="2">
        <v>10002.0</v>
      </c>
      <c r="K1404" s="2" t="s">
        <v>1576</v>
      </c>
      <c r="L1404" s="2"/>
      <c r="M1404" s="2"/>
      <c r="N1404" s="7">
        <v>1.0</v>
      </c>
      <c r="O1404" s="12">
        <v>18571.0</v>
      </c>
      <c r="P1404" s="11" t="s">
        <v>1649</v>
      </c>
      <c r="Q1404" s="12">
        <v>18571.0</v>
      </c>
      <c r="R1404" s="11" t="s">
        <v>1649</v>
      </c>
      <c r="S1404" s="11" t="s">
        <v>1656</v>
      </c>
      <c r="T1404" s="11" t="s">
        <v>1657</v>
      </c>
      <c r="U1404" s="2" t="s">
        <v>1574</v>
      </c>
      <c r="V1404" s="2" t="s">
        <v>1568</v>
      </c>
      <c r="W1404" s="2" t="s">
        <v>1569</v>
      </c>
      <c r="X1404" s="2" t="s">
        <v>1570</v>
      </c>
      <c r="AB1404" s="2" t="s">
        <v>1571</v>
      </c>
    </row>
    <row r="1405">
      <c r="A1405" s="2" t="s">
        <v>1846</v>
      </c>
      <c r="B1405" s="2">
        <v>15.0</v>
      </c>
      <c r="C1405" s="2" t="s">
        <v>5</v>
      </c>
      <c r="D1405" s="2" t="s">
        <v>1847</v>
      </c>
      <c r="E1405" s="2">
        <v>2.0</v>
      </c>
      <c r="F1405" s="2" t="s">
        <v>4</v>
      </c>
      <c r="G1405" s="5">
        <v>2600559.0</v>
      </c>
      <c r="H1405" s="2" t="s">
        <v>1575</v>
      </c>
      <c r="I1405" s="2" t="s">
        <v>1565</v>
      </c>
      <c r="J1405" s="2">
        <v>10007.0</v>
      </c>
      <c r="K1405" s="2" t="s">
        <v>1576</v>
      </c>
      <c r="L1405" s="2"/>
      <c r="M1405" s="2"/>
      <c r="N1405" s="7">
        <v>2.0</v>
      </c>
      <c r="O1405" s="12">
        <v>33810.0</v>
      </c>
      <c r="P1405" s="11" t="s">
        <v>1649</v>
      </c>
      <c r="Q1405" s="12">
        <v>33810.0</v>
      </c>
      <c r="R1405" s="11" t="s">
        <v>1649</v>
      </c>
      <c r="S1405" s="11" t="s">
        <v>1701</v>
      </c>
      <c r="T1405" s="11" t="s">
        <v>1703</v>
      </c>
      <c r="U1405" s="2" t="s">
        <v>1574</v>
      </c>
      <c r="V1405" s="2" t="s">
        <v>1568</v>
      </c>
      <c r="W1405" s="2" t="s">
        <v>1569</v>
      </c>
      <c r="X1405" s="2" t="s">
        <v>1570</v>
      </c>
      <c r="AB1405" s="2" t="s">
        <v>1571</v>
      </c>
    </row>
    <row r="1406">
      <c r="A1406" s="2" t="s">
        <v>1846</v>
      </c>
      <c r="B1406" s="2">
        <v>15.0</v>
      </c>
      <c r="C1406" s="2" t="s">
        <v>5</v>
      </c>
      <c r="D1406" s="2" t="s">
        <v>1847</v>
      </c>
      <c r="E1406" s="2">
        <v>2.0</v>
      </c>
      <c r="F1406" s="2" t="s">
        <v>4</v>
      </c>
      <c r="G1406" s="5">
        <v>2600559.0</v>
      </c>
      <c r="H1406" s="2" t="s">
        <v>1575</v>
      </c>
      <c r="I1406" s="2" t="s">
        <v>1572</v>
      </c>
      <c r="J1406" s="2">
        <v>10128.0</v>
      </c>
      <c r="K1406" s="2" t="s">
        <v>1588</v>
      </c>
      <c r="L1406" s="2"/>
      <c r="M1406" s="2"/>
      <c r="N1406" s="7">
        <v>1.0</v>
      </c>
      <c r="O1406" s="12">
        <v>23333.0</v>
      </c>
      <c r="P1406" s="11" t="s">
        <v>1649</v>
      </c>
      <c r="Q1406" s="12">
        <v>23333.0</v>
      </c>
      <c r="R1406" s="11" t="s">
        <v>1649</v>
      </c>
      <c r="S1406" s="11" t="s">
        <v>1681</v>
      </c>
      <c r="T1406" s="11" t="s">
        <v>1715</v>
      </c>
      <c r="U1406" s="2" t="s">
        <v>1574</v>
      </c>
      <c r="V1406" s="2" t="s">
        <v>1568</v>
      </c>
      <c r="W1406" s="2" t="s">
        <v>1569</v>
      </c>
      <c r="X1406" s="2" t="s">
        <v>1570</v>
      </c>
      <c r="AB1406" s="2" t="s">
        <v>1571</v>
      </c>
    </row>
    <row r="1407">
      <c r="A1407" s="2" t="s">
        <v>1846</v>
      </c>
      <c r="B1407" s="2">
        <v>14.0</v>
      </c>
      <c r="C1407" s="2" t="s">
        <v>5</v>
      </c>
      <c r="D1407" s="2" t="s">
        <v>1847</v>
      </c>
      <c r="E1407" s="2">
        <v>2.0</v>
      </c>
      <c r="F1407" s="2" t="s">
        <v>4</v>
      </c>
      <c r="G1407" s="5">
        <v>2600194.0</v>
      </c>
      <c r="H1407" s="2" t="s">
        <v>1575</v>
      </c>
      <c r="I1407" s="2" t="s">
        <v>1565</v>
      </c>
      <c r="J1407" s="2">
        <v>10002.0</v>
      </c>
      <c r="K1407" s="2" t="s">
        <v>1576</v>
      </c>
      <c r="L1407" s="2"/>
      <c r="M1407" s="2"/>
      <c r="N1407" s="7">
        <v>1.0</v>
      </c>
      <c r="O1407" s="12">
        <v>18571.0</v>
      </c>
      <c r="P1407" s="11" t="s">
        <v>1649</v>
      </c>
      <c r="Q1407" s="12">
        <v>18571.0</v>
      </c>
      <c r="R1407" s="11" t="s">
        <v>1649</v>
      </c>
      <c r="S1407" s="11" t="s">
        <v>1656</v>
      </c>
      <c r="T1407" s="11" t="s">
        <v>1657</v>
      </c>
      <c r="U1407" s="2" t="s">
        <v>1574</v>
      </c>
      <c r="V1407" s="2" t="s">
        <v>1568</v>
      </c>
      <c r="W1407" s="2" t="s">
        <v>1569</v>
      </c>
      <c r="X1407" s="2" t="s">
        <v>1570</v>
      </c>
      <c r="AB1407" s="2" t="s">
        <v>1571</v>
      </c>
    </row>
    <row r="1408">
      <c r="A1408" s="2" t="s">
        <v>1846</v>
      </c>
      <c r="B1408" s="2">
        <v>14.0</v>
      </c>
      <c r="C1408" s="2" t="s">
        <v>5</v>
      </c>
      <c r="D1408" s="2" t="s">
        <v>1847</v>
      </c>
      <c r="E1408" s="2">
        <v>2.0</v>
      </c>
      <c r="F1408" s="2" t="s">
        <v>4</v>
      </c>
      <c r="G1408" s="5">
        <v>2599829.0</v>
      </c>
      <c r="H1408" s="2" t="s">
        <v>1575</v>
      </c>
      <c r="I1408" s="2" t="s">
        <v>1572</v>
      </c>
      <c r="J1408" s="2">
        <v>10128.0</v>
      </c>
      <c r="K1408" s="2" t="s">
        <v>1588</v>
      </c>
      <c r="L1408" s="2"/>
      <c r="M1408" s="2"/>
      <c r="N1408" s="7">
        <v>1.0</v>
      </c>
      <c r="O1408" s="12">
        <v>23333.0</v>
      </c>
      <c r="P1408" s="11" t="s">
        <v>1649</v>
      </c>
      <c r="Q1408" s="12">
        <v>23333.0</v>
      </c>
      <c r="R1408" s="11" t="s">
        <v>1649</v>
      </c>
      <c r="S1408" s="11" t="s">
        <v>1681</v>
      </c>
      <c r="T1408" s="11" t="s">
        <v>1682</v>
      </c>
      <c r="U1408" s="2" t="s">
        <v>1574</v>
      </c>
      <c r="V1408" s="2" t="s">
        <v>1568</v>
      </c>
      <c r="W1408" s="2" t="s">
        <v>1569</v>
      </c>
      <c r="X1408" s="2" t="s">
        <v>1570</v>
      </c>
      <c r="AB1408" s="2" t="s">
        <v>1571</v>
      </c>
    </row>
    <row r="1409">
      <c r="A1409" s="2" t="s">
        <v>1846</v>
      </c>
      <c r="B1409" s="2">
        <v>14.0</v>
      </c>
      <c r="C1409" s="2" t="s">
        <v>5</v>
      </c>
      <c r="D1409" s="2" t="s">
        <v>1847</v>
      </c>
      <c r="E1409" s="2">
        <v>2.0</v>
      </c>
      <c r="F1409" s="2" t="s">
        <v>4</v>
      </c>
      <c r="G1409" s="5">
        <v>2599464.0</v>
      </c>
      <c r="H1409" s="2" t="s">
        <v>1575</v>
      </c>
      <c r="I1409" s="2" t="s">
        <v>1578</v>
      </c>
      <c r="J1409" s="2">
        <v>10014.0</v>
      </c>
      <c r="K1409" s="2" t="s">
        <v>1609</v>
      </c>
      <c r="L1409" s="2"/>
      <c r="M1409" s="2"/>
      <c r="N1409" s="7">
        <v>1.0</v>
      </c>
      <c r="O1409" s="12">
        <v>25238.0</v>
      </c>
      <c r="P1409" s="11" t="s">
        <v>1649</v>
      </c>
      <c r="Q1409" s="12">
        <v>25238.0</v>
      </c>
      <c r="R1409" s="11" t="s">
        <v>1649</v>
      </c>
      <c r="S1409" s="11" t="s">
        <v>1660</v>
      </c>
      <c r="T1409" s="11" t="s">
        <v>1680</v>
      </c>
      <c r="U1409" s="2" t="s">
        <v>1574</v>
      </c>
      <c r="V1409" s="2" t="s">
        <v>1568</v>
      </c>
      <c r="W1409" s="2" t="s">
        <v>1569</v>
      </c>
      <c r="X1409" s="2" t="s">
        <v>1570</v>
      </c>
      <c r="AB1409" s="2" t="s">
        <v>1571</v>
      </c>
    </row>
    <row r="1410">
      <c r="A1410" s="2" t="s">
        <v>1846</v>
      </c>
      <c r="B1410" s="2">
        <v>13.0</v>
      </c>
      <c r="C1410" s="2" t="s">
        <v>5</v>
      </c>
      <c r="D1410" s="2" t="s">
        <v>1847</v>
      </c>
      <c r="E1410" s="2">
        <v>2.0</v>
      </c>
      <c r="F1410" s="2" t="s">
        <v>4</v>
      </c>
      <c r="G1410" s="5">
        <v>2599098.0</v>
      </c>
      <c r="H1410" s="2" t="s">
        <v>1575</v>
      </c>
      <c r="I1410" s="2" t="s">
        <v>1565</v>
      </c>
      <c r="J1410" s="2">
        <v>10034.0</v>
      </c>
      <c r="K1410" s="2" t="s">
        <v>1616</v>
      </c>
      <c r="L1410" s="2"/>
      <c r="M1410" s="2"/>
      <c r="N1410" s="7">
        <v>1.0</v>
      </c>
      <c r="O1410" s="12">
        <v>21905.0</v>
      </c>
      <c r="P1410" s="11" t="s">
        <v>1649</v>
      </c>
      <c r="Q1410" s="12">
        <v>21905.0</v>
      </c>
      <c r="R1410" s="11" t="s">
        <v>1649</v>
      </c>
      <c r="S1410" s="11" t="s">
        <v>1666</v>
      </c>
      <c r="T1410" s="11" t="s">
        <v>1667</v>
      </c>
      <c r="U1410" s="2" t="s">
        <v>1574</v>
      </c>
      <c r="V1410" s="2" t="s">
        <v>1568</v>
      </c>
      <c r="W1410" s="2" t="s">
        <v>1569</v>
      </c>
      <c r="X1410" s="2" t="s">
        <v>1570</v>
      </c>
      <c r="AB1410" s="2" t="s">
        <v>1571</v>
      </c>
    </row>
    <row r="1411">
      <c r="A1411" s="2" t="s">
        <v>1846</v>
      </c>
      <c r="B1411" s="2">
        <v>13.0</v>
      </c>
      <c r="C1411" s="2" t="s">
        <v>5</v>
      </c>
      <c r="D1411" s="2" t="s">
        <v>1847</v>
      </c>
      <c r="E1411" s="2">
        <v>2.0</v>
      </c>
      <c r="F1411" s="2" t="s">
        <v>4</v>
      </c>
      <c r="G1411" s="5">
        <v>2599098.0</v>
      </c>
      <c r="H1411" s="2" t="s">
        <v>1575</v>
      </c>
      <c r="I1411" s="2" t="s">
        <v>1572</v>
      </c>
      <c r="J1411" s="2">
        <v>10125.0</v>
      </c>
      <c r="K1411" s="2" t="s">
        <v>1601</v>
      </c>
      <c r="L1411" s="2"/>
      <c r="M1411" s="2"/>
      <c r="N1411" s="7">
        <v>1.0</v>
      </c>
      <c r="O1411" s="12">
        <v>20476.0</v>
      </c>
      <c r="P1411" s="11" t="s">
        <v>1649</v>
      </c>
      <c r="Q1411" s="12">
        <v>20476.0</v>
      </c>
      <c r="R1411" s="11" t="s">
        <v>1649</v>
      </c>
      <c r="S1411" s="11" t="s">
        <v>1716</v>
      </c>
      <c r="T1411" s="11" t="s">
        <v>1717</v>
      </c>
      <c r="U1411" s="2" t="s">
        <v>1574</v>
      </c>
      <c r="V1411" s="2" t="s">
        <v>1568</v>
      </c>
      <c r="W1411" s="2" t="s">
        <v>1569</v>
      </c>
      <c r="X1411" s="2" t="s">
        <v>1570</v>
      </c>
      <c r="AB1411" s="2" t="s">
        <v>1571</v>
      </c>
    </row>
    <row r="1412">
      <c r="A1412" s="2" t="s">
        <v>1846</v>
      </c>
      <c r="B1412" s="2">
        <v>13.0</v>
      </c>
      <c r="C1412" s="2" t="s">
        <v>5</v>
      </c>
      <c r="D1412" s="2" t="s">
        <v>1847</v>
      </c>
      <c r="E1412" s="2">
        <v>2.0</v>
      </c>
      <c r="F1412" s="2" t="s">
        <v>4</v>
      </c>
      <c r="G1412" s="5">
        <v>2598733.0</v>
      </c>
      <c r="H1412" s="2" t="s">
        <v>1575</v>
      </c>
      <c r="I1412" s="2" t="s">
        <v>1572</v>
      </c>
      <c r="J1412" s="2">
        <v>10128.0</v>
      </c>
      <c r="K1412" s="2" t="s">
        <v>1588</v>
      </c>
      <c r="L1412" s="2"/>
      <c r="M1412" s="2"/>
      <c r="N1412" s="7">
        <v>1.0</v>
      </c>
      <c r="O1412" s="12">
        <v>23333.0</v>
      </c>
      <c r="P1412" s="11" t="s">
        <v>1649</v>
      </c>
      <c r="Q1412" s="12">
        <v>23333.0</v>
      </c>
      <c r="R1412" s="11" t="s">
        <v>1649</v>
      </c>
      <c r="S1412" s="11" t="s">
        <v>1681</v>
      </c>
      <c r="T1412" s="11" t="s">
        <v>1682</v>
      </c>
      <c r="U1412" s="2" t="s">
        <v>1574</v>
      </c>
      <c r="V1412" s="2" t="s">
        <v>1568</v>
      </c>
      <c r="W1412" s="2" t="s">
        <v>1569</v>
      </c>
      <c r="X1412" s="2" t="s">
        <v>1570</v>
      </c>
      <c r="AB1412" s="2" t="s">
        <v>1571</v>
      </c>
    </row>
    <row r="1413">
      <c r="A1413" s="2" t="s">
        <v>1846</v>
      </c>
      <c r="B1413" s="2">
        <v>13.0</v>
      </c>
      <c r="C1413" s="2" t="s">
        <v>5</v>
      </c>
      <c r="D1413" s="2" t="s">
        <v>1847</v>
      </c>
      <c r="E1413" s="2">
        <v>2.0</v>
      </c>
      <c r="F1413" s="2" t="s">
        <v>4</v>
      </c>
      <c r="G1413" s="5">
        <v>2598368.0</v>
      </c>
      <c r="H1413" s="2" t="s">
        <v>1575</v>
      </c>
      <c r="I1413" s="2" t="s">
        <v>1572</v>
      </c>
      <c r="J1413" s="2">
        <v>10128.0</v>
      </c>
      <c r="K1413" s="2" t="s">
        <v>1588</v>
      </c>
      <c r="L1413" s="2"/>
      <c r="M1413" s="2"/>
      <c r="N1413" s="7">
        <v>1.0</v>
      </c>
      <c r="O1413" s="12">
        <v>23333.0</v>
      </c>
      <c r="P1413" s="11" t="s">
        <v>1649</v>
      </c>
      <c r="Q1413" s="12">
        <v>23333.0</v>
      </c>
      <c r="R1413" s="11" t="s">
        <v>1649</v>
      </c>
      <c r="S1413" s="11" t="s">
        <v>1681</v>
      </c>
      <c r="T1413" s="11" t="s">
        <v>1682</v>
      </c>
      <c r="U1413" s="2" t="s">
        <v>1574</v>
      </c>
      <c r="V1413" s="2" t="s">
        <v>1568</v>
      </c>
      <c r="W1413" s="2" t="s">
        <v>1569</v>
      </c>
      <c r="X1413" s="2" t="s">
        <v>1570</v>
      </c>
      <c r="AB1413" s="2" t="s">
        <v>1571</v>
      </c>
    </row>
    <row r="1414">
      <c r="A1414" s="2" t="s">
        <v>1846</v>
      </c>
      <c r="B1414" s="2">
        <v>13.0</v>
      </c>
      <c r="C1414" s="2" t="s">
        <v>5</v>
      </c>
      <c r="D1414" s="2" t="s">
        <v>1847</v>
      </c>
      <c r="E1414" s="2">
        <v>2.0</v>
      </c>
      <c r="F1414" s="2" t="s">
        <v>4</v>
      </c>
      <c r="G1414" s="5">
        <v>2598368.0</v>
      </c>
      <c r="H1414" s="2" t="s">
        <v>1575</v>
      </c>
      <c r="I1414" s="2" t="s">
        <v>1572</v>
      </c>
      <c r="J1414" s="2">
        <v>10057.0</v>
      </c>
      <c r="K1414" s="2" t="s">
        <v>1608</v>
      </c>
      <c r="L1414" s="2"/>
      <c r="M1414" s="2"/>
      <c r="N1414" s="7">
        <v>1.0</v>
      </c>
      <c r="O1414" s="12">
        <v>19524.0</v>
      </c>
      <c r="P1414" s="11" t="s">
        <v>1649</v>
      </c>
      <c r="Q1414" s="12">
        <v>19524.0</v>
      </c>
      <c r="R1414" s="11" t="s">
        <v>1649</v>
      </c>
      <c r="S1414" s="11" t="s">
        <v>1676</v>
      </c>
      <c r="T1414" s="11" t="s">
        <v>1677</v>
      </c>
      <c r="U1414" s="2" t="s">
        <v>1574</v>
      </c>
      <c r="V1414" s="2" t="s">
        <v>1568</v>
      </c>
      <c r="W1414" s="2" t="s">
        <v>1569</v>
      </c>
      <c r="X1414" s="2" t="s">
        <v>1570</v>
      </c>
      <c r="AB1414" s="2" t="s">
        <v>1571</v>
      </c>
    </row>
    <row r="1415">
      <c r="A1415" s="2" t="s">
        <v>1846</v>
      </c>
      <c r="B1415" s="2">
        <v>13.0</v>
      </c>
      <c r="C1415" s="2" t="s">
        <v>5</v>
      </c>
      <c r="D1415" s="2" t="s">
        <v>1847</v>
      </c>
      <c r="E1415" s="2">
        <v>2.0</v>
      </c>
      <c r="F1415" s="2" t="s">
        <v>4</v>
      </c>
      <c r="G1415" s="5">
        <v>2598368.0</v>
      </c>
      <c r="H1415" s="2" t="s">
        <v>1575</v>
      </c>
      <c r="I1415" s="2" t="s">
        <v>1578</v>
      </c>
      <c r="J1415" s="2">
        <v>10015.0</v>
      </c>
      <c r="K1415" s="2" t="s">
        <v>1587</v>
      </c>
      <c r="L1415" s="2"/>
      <c r="M1415" s="2"/>
      <c r="N1415" s="7">
        <v>1.0</v>
      </c>
      <c r="O1415" s="12">
        <v>25238.0</v>
      </c>
      <c r="P1415" s="11" t="s">
        <v>1649</v>
      </c>
      <c r="Q1415" s="12">
        <v>25238.0</v>
      </c>
      <c r="R1415" s="11" t="s">
        <v>1649</v>
      </c>
      <c r="S1415" s="11" t="s">
        <v>1660</v>
      </c>
      <c r="T1415" s="11" t="s">
        <v>1680</v>
      </c>
      <c r="U1415" s="2" t="s">
        <v>1574</v>
      </c>
      <c r="V1415" s="2" t="s">
        <v>1568</v>
      </c>
      <c r="W1415" s="2" t="s">
        <v>1569</v>
      </c>
      <c r="X1415" s="2" t="s">
        <v>1570</v>
      </c>
      <c r="AB1415" s="2" t="s">
        <v>1571</v>
      </c>
    </row>
    <row r="1416">
      <c r="A1416" s="2" t="s">
        <v>1846</v>
      </c>
      <c r="B1416" s="2">
        <v>13.0</v>
      </c>
      <c r="C1416" s="2" t="s">
        <v>5</v>
      </c>
      <c r="D1416" s="2" t="s">
        <v>1847</v>
      </c>
      <c r="E1416" s="2">
        <v>2.0</v>
      </c>
      <c r="F1416" s="2" t="s">
        <v>4</v>
      </c>
      <c r="G1416" s="5">
        <v>2598368.0</v>
      </c>
      <c r="H1416" s="2" t="s">
        <v>1575</v>
      </c>
      <c r="I1416" s="2" t="s">
        <v>1580</v>
      </c>
      <c r="J1416" s="2">
        <v>10003.0</v>
      </c>
      <c r="K1416" s="2" t="s">
        <v>1603</v>
      </c>
      <c r="L1416" s="2"/>
      <c r="M1416" s="2"/>
      <c r="N1416" s="7">
        <v>1.0</v>
      </c>
      <c r="O1416" s="12">
        <v>29524.0</v>
      </c>
      <c r="P1416" s="11" t="s">
        <v>1649</v>
      </c>
      <c r="Q1416" s="12">
        <v>29524.0</v>
      </c>
      <c r="R1416" s="11" t="s">
        <v>1649</v>
      </c>
      <c r="S1416" s="11" t="s">
        <v>1683</v>
      </c>
      <c r="T1416" s="11" t="s">
        <v>1684</v>
      </c>
      <c r="U1416" s="2" t="s">
        <v>1574</v>
      </c>
      <c r="V1416" s="2" t="s">
        <v>1568</v>
      </c>
      <c r="W1416" s="2" t="s">
        <v>1569</v>
      </c>
      <c r="X1416" s="2" t="s">
        <v>1570</v>
      </c>
      <c r="AB1416" s="2" t="s">
        <v>1571</v>
      </c>
    </row>
    <row r="1417">
      <c r="A1417" s="2" t="s">
        <v>1846</v>
      </c>
      <c r="B1417" s="2">
        <v>12.0</v>
      </c>
      <c r="C1417" s="2" t="s">
        <v>5</v>
      </c>
      <c r="D1417" s="2" t="s">
        <v>1847</v>
      </c>
      <c r="E1417" s="2">
        <v>2.0</v>
      </c>
      <c r="F1417" s="2" t="s">
        <v>4</v>
      </c>
      <c r="G1417" s="5">
        <v>2598003.0</v>
      </c>
      <c r="H1417" s="2" t="s">
        <v>1575</v>
      </c>
      <c r="I1417" s="2" t="s">
        <v>1578</v>
      </c>
      <c r="J1417" s="2">
        <v>10051.0</v>
      </c>
      <c r="K1417" s="2" t="s">
        <v>1579</v>
      </c>
      <c r="L1417" s="2"/>
      <c r="M1417" s="2"/>
      <c r="N1417" s="7">
        <v>1.0</v>
      </c>
      <c r="O1417" s="12">
        <v>25238.0</v>
      </c>
      <c r="P1417" s="11" t="s">
        <v>1649</v>
      </c>
      <c r="Q1417" s="12">
        <v>25238.0</v>
      </c>
      <c r="R1417" s="11" t="s">
        <v>1649</v>
      </c>
      <c r="S1417" s="11" t="s">
        <v>1660</v>
      </c>
      <c r="T1417" s="11" t="s">
        <v>1680</v>
      </c>
      <c r="U1417" s="2" t="s">
        <v>1574</v>
      </c>
      <c r="V1417" s="2" t="s">
        <v>1568</v>
      </c>
      <c r="W1417" s="2" t="s">
        <v>1569</v>
      </c>
      <c r="X1417" s="2" t="s">
        <v>1570</v>
      </c>
      <c r="AB1417" s="2" t="s">
        <v>1571</v>
      </c>
    </row>
    <row r="1418">
      <c r="A1418" s="2" t="s">
        <v>1846</v>
      </c>
      <c r="B1418" s="2">
        <v>12.0</v>
      </c>
      <c r="C1418" s="2" t="s">
        <v>5</v>
      </c>
      <c r="D1418" s="2" t="s">
        <v>1847</v>
      </c>
      <c r="E1418" s="2">
        <v>2.0</v>
      </c>
      <c r="F1418" s="2" t="s">
        <v>4</v>
      </c>
      <c r="G1418" s="5">
        <v>2598003.0</v>
      </c>
      <c r="H1418" s="2" t="s">
        <v>1575</v>
      </c>
      <c r="I1418" s="2" t="s">
        <v>1572</v>
      </c>
      <c r="J1418" s="2">
        <v>10112.0</v>
      </c>
      <c r="K1418" s="2" t="s">
        <v>1573</v>
      </c>
      <c r="L1418" s="2"/>
      <c r="M1418" s="2"/>
      <c r="N1418" s="7">
        <v>1.0</v>
      </c>
      <c r="O1418" s="12">
        <v>6667.0</v>
      </c>
      <c r="P1418" s="11" t="s">
        <v>1649</v>
      </c>
      <c r="Q1418" s="12">
        <v>6667.0</v>
      </c>
      <c r="R1418" s="11" t="s">
        <v>1649</v>
      </c>
      <c r="S1418" s="11" t="s">
        <v>1734</v>
      </c>
      <c r="T1418" s="11" t="s">
        <v>1738</v>
      </c>
      <c r="U1418" s="2" t="s">
        <v>1574</v>
      </c>
      <c r="V1418" s="2" t="s">
        <v>1568</v>
      </c>
      <c r="W1418" s="2" t="s">
        <v>1569</v>
      </c>
      <c r="X1418" s="2" t="s">
        <v>1570</v>
      </c>
      <c r="AB1418" s="2" t="s">
        <v>1571</v>
      </c>
    </row>
    <row r="1419">
      <c r="A1419" s="2" t="s">
        <v>1846</v>
      </c>
      <c r="B1419" s="2">
        <v>12.0</v>
      </c>
      <c r="C1419" s="2" t="s">
        <v>5</v>
      </c>
      <c r="D1419" s="2" t="s">
        <v>1847</v>
      </c>
      <c r="E1419" s="2">
        <v>2.0</v>
      </c>
      <c r="F1419" s="2" t="s">
        <v>4</v>
      </c>
      <c r="G1419" s="5">
        <v>2597637.0</v>
      </c>
      <c r="H1419" s="2" t="s">
        <v>1575</v>
      </c>
      <c r="I1419" s="2" t="s">
        <v>1572</v>
      </c>
      <c r="J1419" s="2">
        <v>10112.0</v>
      </c>
      <c r="K1419" s="2" t="s">
        <v>1573</v>
      </c>
      <c r="L1419" s="2"/>
      <c r="M1419" s="2"/>
      <c r="N1419" s="7">
        <v>1.0</v>
      </c>
      <c r="O1419" s="12">
        <v>6667.0</v>
      </c>
      <c r="P1419" s="11" t="s">
        <v>1649</v>
      </c>
      <c r="Q1419" s="12">
        <v>6667.0</v>
      </c>
      <c r="R1419" s="11" t="s">
        <v>1649</v>
      </c>
      <c r="S1419" s="11" t="s">
        <v>1734</v>
      </c>
      <c r="T1419" s="11" t="s">
        <v>1738</v>
      </c>
      <c r="U1419" s="2" t="s">
        <v>1574</v>
      </c>
      <c r="V1419" s="2" t="s">
        <v>1568</v>
      </c>
      <c r="W1419" s="2" t="s">
        <v>1569</v>
      </c>
      <c r="X1419" s="2" t="s">
        <v>1570</v>
      </c>
      <c r="AB1419" s="2" t="s">
        <v>1571</v>
      </c>
    </row>
    <row r="1420">
      <c r="A1420" s="2" t="s">
        <v>1846</v>
      </c>
      <c r="B1420" s="2">
        <v>12.0</v>
      </c>
      <c r="C1420" s="2" t="s">
        <v>5</v>
      </c>
      <c r="D1420" s="2" t="s">
        <v>1847</v>
      </c>
      <c r="E1420" s="2">
        <v>2.0</v>
      </c>
      <c r="F1420" s="2" t="s">
        <v>4</v>
      </c>
      <c r="G1420" s="5">
        <v>2597637.0</v>
      </c>
      <c r="H1420" s="2" t="s">
        <v>1575</v>
      </c>
      <c r="I1420" s="2" t="s">
        <v>1580</v>
      </c>
      <c r="J1420" s="2">
        <v>10012.0</v>
      </c>
      <c r="K1420" s="2" t="s">
        <v>1602</v>
      </c>
      <c r="L1420" s="2"/>
      <c r="M1420" s="2"/>
      <c r="N1420" s="7">
        <v>1.0</v>
      </c>
      <c r="O1420" s="12">
        <v>29524.0</v>
      </c>
      <c r="P1420" s="11" t="s">
        <v>1649</v>
      </c>
      <c r="Q1420" s="12">
        <v>29524.0</v>
      </c>
      <c r="R1420" s="11" t="s">
        <v>1649</v>
      </c>
      <c r="S1420" s="11" t="s">
        <v>1683</v>
      </c>
      <c r="T1420" s="11" t="s">
        <v>1745</v>
      </c>
      <c r="U1420" s="2" t="s">
        <v>1574</v>
      </c>
      <c r="V1420" s="2" t="s">
        <v>1568</v>
      </c>
      <c r="W1420" s="2" t="s">
        <v>1569</v>
      </c>
      <c r="X1420" s="2" t="s">
        <v>1570</v>
      </c>
      <c r="AB1420" s="2" t="s">
        <v>1571</v>
      </c>
    </row>
    <row r="1421">
      <c r="A1421" s="2" t="s">
        <v>1846</v>
      </c>
      <c r="B1421" s="2">
        <v>11.0</v>
      </c>
      <c r="C1421" s="2" t="s">
        <v>5</v>
      </c>
      <c r="D1421" s="2" t="s">
        <v>1847</v>
      </c>
      <c r="E1421" s="2">
        <v>2.0</v>
      </c>
      <c r="F1421" s="2" t="s">
        <v>4</v>
      </c>
      <c r="G1421" s="5">
        <v>2597272.0</v>
      </c>
      <c r="H1421" s="2" t="s">
        <v>1575</v>
      </c>
      <c r="I1421" s="2" t="s">
        <v>1565</v>
      </c>
      <c r="J1421" s="2">
        <v>10002.0</v>
      </c>
      <c r="K1421" s="2" t="s">
        <v>1576</v>
      </c>
      <c r="L1421" s="2"/>
      <c r="M1421" s="2"/>
      <c r="N1421" s="7">
        <v>1.0</v>
      </c>
      <c r="O1421" s="12">
        <v>18571.0</v>
      </c>
      <c r="P1421" s="11" t="s">
        <v>1649</v>
      </c>
      <c r="Q1421" s="12">
        <v>18571.0</v>
      </c>
      <c r="R1421" s="11" t="s">
        <v>1649</v>
      </c>
      <c r="S1421" s="11" t="s">
        <v>1656</v>
      </c>
      <c r="T1421" s="11" t="s">
        <v>1657</v>
      </c>
      <c r="U1421" s="2" t="s">
        <v>1574</v>
      </c>
      <c r="V1421" s="2" t="s">
        <v>1568</v>
      </c>
      <c r="W1421" s="2" t="s">
        <v>1569</v>
      </c>
      <c r="X1421" s="2" t="s">
        <v>1570</v>
      </c>
      <c r="AB1421" s="2" t="s">
        <v>1571</v>
      </c>
    </row>
    <row r="1422">
      <c r="A1422" s="2" t="s">
        <v>1846</v>
      </c>
      <c r="B1422" s="2">
        <v>11.0</v>
      </c>
      <c r="C1422" s="2" t="s">
        <v>5</v>
      </c>
      <c r="D1422" s="2" t="s">
        <v>1847</v>
      </c>
      <c r="E1422" s="2">
        <v>2.0</v>
      </c>
      <c r="F1422" s="2" t="s">
        <v>4</v>
      </c>
      <c r="G1422" s="5">
        <v>2597272.0</v>
      </c>
      <c r="H1422" s="2" t="s">
        <v>1575</v>
      </c>
      <c r="I1422" s="2" t="s">
        <v>1572</v>
      </c>
      <c r="J1422" s="2">
        <v>10118.0</v>
      </c>
      <c r="K1422" s="2" t="s">
        <v>1604</v>
      </c>
      <c r="L1422" s="2"/>
      <c r="M1422" s="2"/>
      <c r="N1422" s="7">
        <v>1.0</v>
      </c>
      <c r="O1422" s="12">
        <v>7143.0</v>
      </c>
      <c r="P1422" s="11" t="s">
        <v>1649</v>
      </c>
      <c r="Q1422" s="12">
        <v>7143.0</v>
      </c>
      <c r="R1422" s="11" t="s">
        <v>1649</v>
      </c>
      <c r="S1422" s="11" t="s">
        <v>1672</v>
      </c>
      <c r="T1422" s="11" t="s">
        <v>1673</v>
      </c>
      <c r="U1422" s="2" t="s">
        <v>1574</v>
      </c>
      <c r="V1422" s="2" t="s">
        <v>1568</v>
      </c>
      <c r="W1422" s="2" t="s">
        <v>1569</v>
      </c>
      <c r="X1422" s="2" t="s">
        <v>1570</v>
      </c>
      <c r="AB1422" s="2" t="s">
        <v>1571</v>
      </c>
    </row>
    <row r="1423">
      <c r="A1423" s="2" t="s">
        <v>1846</v>
      </c>
      <c r="B1423" s="2">
        <v>11.0</v>
      </c>
      <c r="C1423" s="2" t="s">
        <v>5</v>
      </c>
      <c r="D1423" s="2" t="s">
        <v>1847</v>
      </c>
      <c r="E1423" s="2">
        <v>2.0</v>
      </c>
      <c r="F1423" s="2" t="s">
        <v>4</v>
      </c>
      <c r="G1423" s="5">
        <v>2597272.0</v>
      </c>
      <c r="H1423" s="2" t="s">
        <v>1575</v>
      </c>
      <c r="I1423" s="2" t="s">
        <v>1565</v>
      </c>
      <c r="J1423" s="2">
        <v>10007.0</v>
      </c>
      <c r="K1423" s="2" t="s">
        <v>1576</v>
      </c>
      <c r="L1423" s="2"/>
      <c r="M1423" s="2"/>
      <c r="N1423" s="7">
        <v>2.0</v>
      </c>
      <c r="O1423" s="12">
        <v>33810.0</v>
      </c>
      <c r="P1423" s="11" t="s">
        <v>1649</v>
      </c>
      <c r="Q1423" s="12">
        <v>33810.0</v>
      </c>
      <c r="R1423" s="11" t="s">
        <v>1649</v>
      </c>
      <c r="S1423" s="11" t="s">
        <v>1701</v>
      </c>
      <c r="T1423" s="11" t="s">
        <v>1702</v>
      </c>
      <c r="U1423" s="2" t="s">
        <v>1574</v>
      </c>
      <c r="V1423" s="2" t="s">
        <v>1568</v>
      </c>
      <c r="W1423" s="2" t="s">
        <v>1569</v>
      </c>
      <c r="X1423" s="2" t="s">
        <v>1570</v>
      </c>
      <c r="AB1423" s="2" t="s">
        <v>1571</v>
      </c>
    </row>
    <row r="1424">
      <c r="A1424" s="2" t="s">
        <v>1846</v>
      </c>
      <c r="B1424" s="2">
        <v>11.0</v>
      </c>
      <c r="C1424" s="2" t="s">
        <v>5</v>
      </c>
      <c r="D1424" s="2" t="s">
        <v>1847</v>
      </c>
      <c r="E1424" s="2">
        <v>2.0</v>
      </c>
      <c r="F1424" s="2" t="s">
        <v>4</v>
      </c>
      <c r="G1424" s="5">
        <v>2597272.0</v>
      </c>
      <c r="H1424" s="2" t="s">
        <v>1575</v>
      </c>
      <c r="I1424" s="2" t="s">
        <v>1565</v>
      </c>
      <c r="J1424" s="2">
        <v>10055.0</v>
      </c>
      <c r="K1424" s="2" t="s">
        <v>1595</v>
      </c>
      <c r="L1424" s="2"/>
      <c r="M1424" s="2"/>
      <c r="N1424" s="7">
        <v>2.0</v>
      </c>
      <c r="O1424" s="12">
        <v>34762.0</v>
      </c>
      <c r="P1424" s="11" t="s">
        <v>1649</v>
      </c>
      <c r="Q1424" s="12">
        <v>34762.0</v>
      </c>
      <c r="R1424" s="11" t="s">
        <v>1649</v>
      </c>
      <c r="S1424" s="11" t="s">
        <v>1670</v>
      </c>
      <c r="T1424" s="11" t="s">
        <v>1671</v>
      </c>
      <c r="U1424" s="2" t="s">
        <v>1574</v>
      </c>
      <c r="V1424" s="2" t="s">
        <v>1568</v>
      </c>
      <c r="W1424" s="2" t="s">
        <v>1569</v>
      </c>
      <c r="X1424" s="2" t="s">
        <v>1570</v>
      </c>
      <c r="AB1424" s="2" t="s">
        <v>1571</v>
      </c>
    </row>
    <row r="1425">
      <c r="A1425" s="2" t="s">
        <v>1846</v>
      </c>
      <c r="B1425" s="2">
        <v>11.0</v>
      </c>
      <c r="C1425" s="2" t="s">
        <v>5</v>
      </c>
      <c r="D1425" s="2" t="s">
        <v>1847</v>
      </c>
      <c r="E1425" s="2">
        <v>2.0</v>
      </c>
      <c r="F1425" s="2" t="s">
        <v>4</v>
      </c>
      <c r="G1425" s="5">
        <v>2597272.0</v>
      </c>
      <c r="H1425" s="2" t="s">
        <v>1575</v>
      </c>
      <c r="I1425" s="2" t="s">
        <v>1565</v>
      </c>
      <c r="J1425" s="2">
        <v>10043.0</v>
      </c>
      <c r="K1425" s="2" t="s">
        <v>1635</v>
      </c>
      <c r="L1425" s="2"/>
      <c r="M1425" s="2"/>
      <c r="N1425" s="7">
        <v>1.0</v>
      </c>
      <c r="O1425" s="12">
        <v>9524.0</v>
      </c>
      <c r="P1425" s="11" t="s">
        <v>1649</v>
      </c>
      <c r="Q1425" s="12">
        <v>9524.0</v>
      </c>
      <c r="R1425" s="11" t="s">
        <v>1649</v>
      </c>
      <c r="S1425" s="11" t="s">
        <v>1834</v>
      </c>
      <c r="T1425" s="11" t="s">
        <v>1848</v>
      </c>
      <c r="U1425" s="2" t="s">
        <v>1574</v>
      </c>
      <c r="V1425" s="2" t="s">
        <v>1568</v>
      </c>
      <c r="W1425" s="2" t="s">
        <v>1569</v>
      </c>
      <c r="X1425" s="2" t="s">
        <v>1570</v>
      </c>
      <c r="AB1425" s="2" t="s">
        <v>1571</v>
      </c>
    </row>
    <row r="1426">
      <c r="A1426" s="2" t="s">
        <v>1846</v>
      </c>
      <c r="B1426" s="2">
        <v>10.0</v>
      </c>
      <c r="C1426" s="2" t="s">
        <v>5</v>
      </c>
      <c r="D1426" s="2" t="s">
        <v>1847</v>
      </c>
      <c r="E1426" s="2">
        <v>2.0</v>
      </c>
      <c r="F1426" s="2" t="s">
        <v>4</v>
      </c>
      <c r="G1426" s="5">
        <v>2596907.0</v>
      </c>
      <c r="H1426" s="2" t="s">
        <v>1575</v>
      </c>
      <c r="I1426" s="2" t="s">
        <v>1572</v>
      </c>
      <c r="J1426" s="2">
        <v>10056.0</v>
      </c>
      <c r="K1426" s="2" t="s">
        <v>1585</v>
      </c>
      <c r="L1426" s="2"/>
      <c r="M1426" s="2"/>
      <c r="N1426" s="7">
        <v>1.0</v>
      </c>
      <c r="O1426" s="12">
        <v>19524.0</v>
      </c>
      <c r="P1426" s="11" t="s">
        <v>1649</v>
      </c>
      <c r="Q1426" s="12">
        <v>19524.0</v>
      </c>
      <c r="R1426" s="11" t="s">
        <v>1649</v>
      </c>
      <c r="S1426" s="11" t="s">
        <v>1676</v>
      </c>
      <c r="T1426" s="11" t="s">
        <v>1677</v>
      </c>
      <c r="U1426" s="2" t="s">
        <v>1574</v>
      </c>
      <c r="V1426" s="2" t="s">
        <v>1568</v>
      </c>
      <c r="W1426" s="2" t="s">
        <v>1569</v>
      </c>
      <c r="X1426" s="2" t="s">
        <v>1570</v>
      </c>
      <c r="AB1426" s="2" t="s">
        <v>1571</v>
      </c>
    </row>
    <row r="1427">
      <c r="A1427" s="2" t="s">
        <v>1846</v>
      </c>
      <c r="B1427" s="2">
        <v>10.0</v>
      </c>
      <c r="C1427" s="2" t="s">
        <v>5</v>
      </c>
      <c r="D1427" s="2" t="s">
        <v>1847</v>
      </c>
      <c r="E1427" s="2">
        <v>2.0</v>
      </c>
      <c r="F1427" s="2" t="s">
        <v>4</v>
      </c>
      <c r="G1427" s="5">
        <v>2596907.0</v>
      </c>
      <c r="H1427" s="2" t="s">
        <v>1575</v>
      </c>
      <c r="I1427" s="2" t="s">
        <v>1572</v>
      </c>
      <c r="J1427" s="2">
        <v>10057.0</v>
      </c>
      <c r="K1427" s="2" t="s">
        <v>1608</v>
      </c>
      <c r="L1427" s="2"/>
      <c r="M1427" s="2"/>
      <c r="N1427" s="7">
        <v>1.0</v>
      </c>
      <c r="O1427" s="12">
        <v>19524.0</v>
      </c>
      <c r="P1427" s="11" t="s">
        <v>1649</v>
      </c>
      <c r="Q1427" s="12">
        <v>19524.0</v>
      </c>
      <c r="R1427" s="11" t="s">
        <v>1649</v>
      </c>
      <c r="S1427" s="11" t="s">
        <v>1676</v>
      </c>
      <c r="T1427" s="11" t="s">
        <v>1677</v>
      </c>
      <c r="U1427" s="2" t="s">
        <v>1574</v>
      </c>
      <c r="V1427" s="2" t="s">
        <v>1568</v>
      </c>
      <c r="W1427" s="2" t="s">
        <v>1569</v>
      </c>
      <c r="X1427" s="2" t="s">
        <v>1570</v>
      </c>
      <c r="AB1427" s="2" t="s">
        <v>1571</v>
      </c>
    </row>
    <row r="1428">
      <c r="A1428" s="2" t="s">
        <v>1846</v>
      </c>
      <c r="B1428" s="2">
        <v>10.0</v>
      </c>
      <c r="C1428" s="2" t="s">
        <v>5</v>
      </c>
      <c r="D1428" s="2" t="s">
        <v>1847</v>
      </c>
      <c r="E1428" s="2">
        <v>2.0</v>
      </c>
      <c r="F1428" s="2" t="s">
        <v>4</v>
      </c>
      <c r="G1428" s="5">
        <v>2596907.0</v>
      </c>
      <c r="H1428" s="2" t="s">
        <v>1575</v>
      </c>
      <c r="I1428" s="2" t="s">
        <v>1565</v>
      </c>
      <c r="J1428" s="2">
        <v>10043.0</v>
      </c>
      <c r="K1428" s="2" t="s">
        <v>1635</v>
      </c>
      <c r="L1428" s="2"/>
      <c r="M1428" s="2"/>
      <c r="N1428" s="7">
        <v>1.0</v>
      </c>
      <c r="O1428" s="12">
        <v>9524.0</v>
      </c>
      <c r="P1428" s="11" t="s">
        <v>1649</v>
      </c>
      <c r="Q1428" s="12">
        <v>9524.0</v>
      </c>
      <c r="R1428" s="11" t="s">
        <v>1649</v>
      </c>
      <c r="S1428" s="11" t="s">
        <v>1834</v>
      </c>
      <c r="T1428" s="11" t="s">
        <v>1848</v>
      </c>
      <c r="U1428" s="2" t="s">
        <v>1574</v>
      </c>
      <c r="V1428" s="2" t="s">
        <v>1568</v>
      </c>
      <c r="W1428" s="2" t="s">
        <v>1569</v>
      </c>
      <c r="X1428" s="2" t="s">
        <v>1570</v>
      </c>
      <c r="AB1428" s="2" t="s">
        <v>1571</v>
      </c>
    </row>
    <row r="1429">
      <c r="A1429" s="2" t="s">
        <v>1846</v>
      </c>
      <c r="B1429" s="2">
        <v>10.0</v>
      </c>
      <c r="C1429" s="2" t="s">
        <v>5</v>
      </c>
      <c r="D1429" s="2" t="s">
        <v>1847</v>
      </c>
      <c r="E1429" s="2">
        <v>2.0</v>
      </c>
      <c r="F1429" s="2" t="s">
        <v>4</v>
      </c>
      <c r="G1429" s="5">
        <v>2596907.0</v>
      </c>
      <c r="H1429" s="2" t="s">
        <v>1575</v>
      </c>
      <c r="I1429" s="2" t="s">
        <v>1572</v>
      </c>
      <c r="J1429" s="2">
        <v>10106.0</v>
      </c>
      <c r="K1429" s="2" t="s">
        <v>1598</v>
      </c>
      <c r="L1429" s="2"/>
      <c r="M1429" s="2"/>
      <c r="N1429" s="7">
        <v>1.0</v>
      </c>
      <c r="O1429" s="12">
        <v>26667.0</v>
      </c>
      <c r="P1429" s="11" t="s">
        <v>1649</v>
      </c>
      <c r="Q1429" s="12">
        <v>26667.0</v>
      </c>
      <c r="R1429" s="11" t="s">
        <v>1649</v>
      </c>
      <c r="S1429" s="11" t="s">
        <v>1674</v>
      </c>
      <c r="T1429" s="11" t="s">
        <v>1679</v>
      </c>
      <c r="U1429" s="2" t="s">
        <v>1574</v>
      </c>
      <c r="V1429" s="2" t="s">
        <v>1568</v>
      </c>
      <c r="W1429" s="2" t="s">
        <v>1569</v>
      </c>
      <c r="X1429" s="2" t="s">
        <v>1570</v>
      </c>
      <c r="AB1429" s="2" t="s">
        <v>1571</v>
      </c>
    </row>
    <row r="1430">
      <c r="A1430" s="2" t="s">
        <v>1846</v>
      </c>
      <c r="B1430" s="2">
        <v>10.0</v>
      </c>
      <c r="C1430" s="2" t="s">
        <v>5</v>
      </c>
      <c r="D1430" s="2" t="s">
        <v>1847</v>
      </c>
      <c r="E1430" s="2">
        <v>2.0</v>
      </c>
      <c r="F1430" s="2" t="s">
        <v>4</v>
      </c>
      <c r="G1430" s="5">
        <v>2596907.0</v>
      </c>
      <c r="H1430" s="2" t="s">
        <v>1575</v>
      </c>
      <c r="I1430" s="2" t="s">
        <v>1565</v>
      </c>
      <c r="J1430" s="2">
        <v>10007.0</v>
      </c>
      <c r="K1430" s="2" t="s">
        <v>1576</v>
      </c>
      <c r="L1430" s="2"/>
      <c r="M1430" s="2"/>
      <c r="N1430" s="7">
        <v>2.0</v>
      </c>
      <c r="O1430" s="12">
        <v>33810.0</v>
      </c>
      <c r="P1430" s="11" t="s">
        <v>1649</v>
      </c>
      <c r="Q1430" s="12">
        <v>33810.0</v>
      </c>
      <c r="R1430" s="11" t="s">
        <v>1649</v>
      </c>
      <c r="S1430" s="11" t="s">
        <v>1701</v>
      </c>
      <c r="T1430" s="11" t="s">
        <v>1702</v>
      </c>
      <c r="U1430" s="2" t="s">
        <v>1574</v>
      </c>
      <c r="V1430" s="2" t="s">
        <v>1568</v>
      </c>
      <c r="W1430" s="2" t="s">
        <v>1569</v>
      </c>
      <c r="X1430" s="2" t="s">
        <v>1570</v>
      </c>
      <c r="AB1430" s="2" t="s">
        <v>1571</v>
      </c>
    </row>
    <row r="1431">
      <c r="A1431" s="2" t="s">
        <v>1849</v>
      </c>
      <c r="B1431" s="2">
        <v>20.0</v>
      </c>
      <c r="C1431" s="2" t="s">
        <v>11</v>
      </c>
      <c r="D1431" s="2" t="s">
        <v>1850</v>
      </c>
      <c r="E1431" s="2">
        <v>7.0</v>
      </c>
      <c r="F1431" s="2" t="s">
        <v>10</v>
      </c>
      <c r="G1431" s="5">
        <v>2596542.0</v>
      </c>
      <c r="H1431" s="2" t="s">
        <v>1575</v>
      </c>
      <c r="I1431" s="2" t="s">
        <v>1572</v>
      </c>
      <c r="J1431" s="2">
        <v>10107.0</v>
      </c>
      <c r="K1431" s="2" t="s">
        <v>1584</v>
      </c>
      <c r="L1431" s="2"/>
      <c r="M1431" s="2"/>
      <c r="N1431" s="7">
        <v>1.0</v>
      </c>
      <c r="O1431" s="12">
        <v>26667.0</v>
      </c>
      <c r="P1431" s="11" t="s">
        <v>1649</v>
      </c>
      <c r="Q1431" s="12">
        <v>26667.0</v>
      </c>
      <c r="R1431" s="11" t="s">
        <v>1649</v>
      </c>
      <c r="S1431" s="11" t="s">
        <v>1674</v>
      </c>
      <c r="T1431" s="11" t="s">
        <v>1679</v>
      </c>
      <c r="U1431" s="2" t="s">
        <v>1574</v>
      </c>
      <c r="V1431" s="2" t="s">
        <v>1568</v>
      </c>
      <c r="W1431" s="2" t="s">
        <v>1569</v>
      </c>
      <c r="X1431" s="2" t="s">
        <v>1570</v>
      </c>
      <c r="AB1431" s="2" t="s">
        <v>1571</v>
      </c>
    </row>
    <row r="1432">
      <c r="A1432" s="2" t="s">
        <v>1849</v>
      </c>
      <c r="B1432" s="2">
        <v>20.0</v>
      </c>
      <c r="C1432" s="2" t="s">
        <v>11</v>
      </c>
      <c r="D1432" s="2" t="s">
        <v>1850</v>
      </c>
      <c r="E1432" s="2">
        <v>7.0</v>
      </c>
      <c r="F1432" s="2" t="s">
        <v>10</v>
      </c>
      <c r="G1432" s="5">
        <v>2596542.0</v>
      </c>
      <c r="H1432" s="2" t="s">
        <v>1575</v>
      </c>
      <c r="I1432" s="2" t="s">
        <v>1572</v>
      </c>
      <c r="J1432" s="2">
        <v>10120.0</v>
      </c>
      <c r="K1432" s="2" t="s">
        <v>1590</v>
      </c>
      <c r="L1432" s="2"/>
      <c r="M1432" s="2"/>
      <c r="N1432" s="7">
        <v>1.0</v>
      </c>
      <c r="O1432" s="12">
        <v>19524.0</v>
      </c>
      <c r="P1432" s="11" t="s">
        <v>1649</v>
      </c>
      <c r="Q1432" s="12">
        <v>19524.0</v>
      </c>
      <c r="R1432" s="11" t="s">
        <v>1649</v>
      </c>
      <c r="S1432" s="11" t="s">
        <v>1676</v>
      </c>
      <c r="T1432" s="11" t="s">
        <v>1694</v>
      </c>
      <c r="U1432" s="2" t="s">
        <v>1574</v>
      </c>
      <c r="V1432" s="2" t="s">
        <v>1568</v>
      </c>
      <c r="W1432" s="2" t="s">
        <v>1569</v>
      </c>
      <c r="X1432" s="2" t="s">
        <v>1570</v>
      </c>
      <c r="AB1432" s="2" t="s">
        <v>1571</v>
      </c>
    </row>
    <row r="1433">
      <c r="A1433" s="2" t="s">
        <v>1849</v>
      </c>
      <c r="B1433" s="2">
        <v>20.0</v>
      </c>
      <c r="C1433" s="2" t="s">
        <v>11</v>
      </c>
      <c r="D1433" s="2" t="s">
        <v>1850</v>
      </c>
      <c r="E1433" s="2">
        <v>7.0</v>
      </c>
      <c r="F1433" s="2" t="s">
        <v>10</v>
      </c>
      <c r="G1433" s="5">
        <v>2596542.0</v>
      </c>
      <c r="H1433" s="2" t="s">
        <v>1575</v>
      </c>
      <c r="I1433" s="2" t="s">
        <v>1572</v>
      </c>
      <c r="J1433" s="2">
        <v>10119.0</v>
      </c>
      <c r="K1433" s="2" t="s">
        <v>1582</v>
      </c>
      <c r="L1433" s="2"/>
      <c r="M1433" s="2"/>
      <c r="N1433" s="7">
        <v>2.0</v>
      </c>
      <c r="O1433" s="12">
        <v>14286.0</v>
      </c>
      <c r="P1433" s="11" t="s">
        <v>1649</v>
      </c>
      <c r="Q1433" s="12">
        <v>14286.0</v>
      </c>
      <c r="R1433" s="11" t="s">
        <v>1649</v>
      </c>
      <c r="S1433" s="11" t="s">
        <v>1685</v>
      </c>
      <c r="T1433" s="11" t="s">
        <v>1686</v>
      </c>
      <c r="U1433" s="2" t="s">
        <v>1574</v>
      </c>
      <c r="V1433" s="2" t="s">
        <v>1568</v>
      </c>
      <c r="W1433" s="2" t="s">
        <v>1569</v>
      </c>
      <c r="X1433" s="2" t="s">
        <v>1570</v>
      </c>
      <c r="AB1433" s="2" t="s">
        <v>1571</v>
      </c>
    </row>
    <row r="1434">
      <c r="A1434" s="2" t="s">
        <v>1849</v>
      </c>
      <c r="B1434" s="2">
        <v>20.0</v>
      </c>
      <c r="C1434" s="2" t="s">
        <v>11</v>
      </c>
      <c r="D1434" s="2" t="s">
        <v>1850</v>
      </c>
      <c r="E1434" s="2">
        <v>7.0</v>
      </c>
      <c r="F1434" s="2" t="s">
        <v>10</v>
      </c>
      <c r="G1434" s="5">
        <v>2596542.0</v>
      </c>
      <c r="H1434" s="2" t="s">
        <v>1575</v>
      </c>
      <c r="I1434" s="2" t="s">
        <v>1580</v>
      </c>
      <c r="J1434" s="2">
        <v>10003.0</v>
      </c>
      <c r="K1434" s="2" t="s">
        <v>1603</v>
      </c>
      <c r="L1434" s="2"/>
      <c r="M1434" s="2"/>
      <c r="N1434" s="7">
        <v>2.0</v>
      </c>
      <c r="O1434" s="12">
        <v>59048.0</v>
      </c>
      <c r="P1434" s="11" t="s">
        <v>1649</v>
      </c>
      <c r="Q1434" s="12">
        <v>59048.0</v>
      </c>
      <c r="R1434" s="11" t="s">
        <v>1649</v>
      </c>
      <c r="S1434" s="11" t="s">
        <v>1732</v>
      </c>
      <c r="T1434" s="11" t="s">
        <v>1733</v>
      </c>
      <c r="U1434" s="2" t="s">
        <v>1574</v>
      </c>
      <c r="V1434" s="2" t="s">
        <v>1568</v>
      </c>
      <c r="W1434" s="2" t="s">
        <v>1569</v>
      </c>
      <c r="X1434" s="2" t="s">
        <v>1570</v>
      </c>
      <c r="AB1434" s="2" t="s">
        <v>1571</v>
      </c>
    </row>
    <row r="1435">
      <c r="A1435" s="2" t="s">
        <v>1849</v>
      </c>
      <c r="B1435" s="2">
        <v>20.0</v>
      </c>
      <c r="C1435" s="2" t="s">
        <v>11</v>
      </c>
      <c r="D1435" s="2" t="s">
        <v>1850</v>
      </c>
      <c r="E1435" s="2">
        <v>7.0</v>
      </c>
      <c r="F1435" s="2" t="s">
        <v>10</v>
      </c>
      <c r="G1435" s="5">
        <v>2596542.0</v>
      </c>
      <c r="H1435" s="2" t="s">
        <v>1575</v>
      </c>
      <c r="I1435" s="2" t="s">
        <v>1572</v>
      </c>
      <c r="J1435" s="2">
        <v>10106.0</v>
      </c>
      <c r="K1435" s="2" t="s">
        <v>1598</v>
      </c>
      <c r="L1435" s="2"/>
      <c r="M1435" s="2"/>
      <c r="N1435" s="7">
        <v>2.0</v>
      </c>
      <c r="O1435" s="12">
        <v>53334.0</v>
      </c>
      <c r="P1435" s="11" t="s">
        <v>1649</v>
      </c>
      <c r="Q1435" s="12">
        <v>53334.0</v>
      </c>
      <c r="R1435" s="11" t="s">
        <v>1649</v>
      </c>
      <c r="S1435" s="11" t="s">
        <v>1783</v>
      </c>
      <c r="T1435" s="11" t="s">
        <v>1784</v>
      </c>
      <c r="U1435" s="2" t="s">
        <v>1574</v>
      </c>
      <c r="V1435" s="2" t="s">
        <v>1568</v>
      </c>
      <c r="W1435" s="2" t="s">
        <v>1569</v>
      </c>
      <c r="X1435" s="2" t="s">
        <v>1570</v>
      </c>
      <c r="AB1435" s="2" t="s">
        <v>1571</v>
      </c>
    </row>
    <row r="1436">
      <c r="A1436" s="2" t="s">
        <v>1849</v>
      </c>
      <c r="B1436" s="2">
        <v>20.0</v>
      </c>
      <c r="C1436" s="2" t="s">
        <v>11</v>
      </c>
      <c r="D1436" s="2" t="s">
        <v>1850</v>
      </c>
      <c r="E1436" s="2">
        <v>7.0</v>
      </c>
      <c r="F1436" s="2" t="s">
        <v>10</v>
      </c>
      <c r="G1436" s="5">
        <v>2596542.0</v>
      </c>
      <c r="H1436" s="2" t="s">
        <v>1575</v>
      </c>
      <c r="I1436" s="2" t="s">
        <v>1578</v>
      </c>
      <c r="J1436" s="2">
        <v>10015.0</v>
      </c>
      <c r="K1436" s="2" t="s">
        <v>1587</v>
      </c>
      <c r="L1436" s="2"/>
      <c r="M1436" s="2"/>
      <c r="N1436" s="7">
        <v>1.0</v>
      </c>
      <c r="O1436" s="12">
        <v>25238.0</v>
      </c>
      <c r="P1436" s="11" t="s">
        <v>1649</v>
      </c>
      <c r="Q1436" s="12">
        <v>25238.0</v>
      </c>
      <c r="R1436" s="11" t="s">
        <v>1649</v>
      </c>
      <c r="S1436" s="11" t="s">
        <v>1660</v>
      </c>
      <c r="T1436" s="11" t="s">
        <v>1680</v>
      </c>
      <c r="U1436" s="2" t="s">
        <v>1574</v>
      </c>
      <c r="V1436" s="2" t="s">
        <v>1568</v>
      </c>
      <c r="W1436" s="2" t="s">
        <v>1569</v>
      </c>
      <c r="X1436" s="2" t="s">
        <v>1570</v>
      </c>
      <c r="AB1436" s="2" t="s">
        <v>1571</v>
      </c>
    </row>
    <row r="1437">
      <c r="A1437" s="2" t="s">
        <v>1849</v>
      </c>
      <c r="B1437" s="2">
        <v>20.0</v>
      </c>
      <c r="C1437" s="2" t="s">
        <v>11</v>
      </c>
      <c r="D1437" s="2" t="s">
        <v>1850</v>
      </c>
      <c r="E1437" s="2">
        <v>7.0</v>
      </c>
      <c r="F1437" s="2" t="s">
        <v>10</v>
      </c>
      <c r="G1437" s="5">
        <v>2596542.0</v>
      </c>
      <c r="H1437" s="2" t="s">
        <v>1575</v>
      </c>
      <c r="I1437" s="2" t="s">
        <v>1565</v>
      </c>
      <c r="J1437" s="2">
        <v>10005.0</v>
      </c>
      <c r="K1437" s="2" t="s">
        <v>1595</v>
      </c>
      <c r="L1437" s="2"/>
      <c r="M1437" s="2"/>
      <c r="N1437" s="7">
        <v>1.0</v>
      </c>
      <c r="O1437" s="12">
        <v>19524.0</v>
      </c>
      <c r="P1437" s="11" t="s">
        <v>1649</v>
      </c>
      <c r="Q1437" s="12">
        <v>19524.0</v>
      </c>
      <c r="R1437" s="11" t="s">
        <v>1649</v>
      </c>
      <c r="S1437" s="11" t="s">
        <v>1676</v>
      </c>
      <c r="T1437" s="11" t="s">
        <v>1677</v>
      </c>
      <c r="U1437" s="2" t="s">
        <v>1574</v>
      </c>
      <c r="V1437" s="2" t="s">
        <v>1568</v>
      </c>
      <c r="W1437" s="2" t="s">
        <v>1569</v>
      </c>
      <c r="X1437" s="2" t="s">
        <v>1570</v>
      </c>
      <c r="AB1437" s="2" t="s">
        <v>1571</v>
      </c>
    </row>
    <row r="1438">
      <c r="A1438" s="2" t="s">
        <v>1849</v>
      </c>
      <c r="B1438" s="2">
        <v>20.0</v>
      </c>
      <c r="C1438" s="2" t="s">
        <v>11</v>
      </c>
      <c r="D1438" s="2" t="s">
        <v>1850</v>
      </c>
      <c r="E1438" s="2">
        <v>7.0</v>
      </c>
      <c r="F1438" s="2" t="s">
        <v>10</v>
      </c>
      <c r="G1438" s="5">
        <v>2596542.0</v>
      </c>
      <c r="H1438" s="2" t="s">
        <v>1575</v>
      </c>
      <c r="I1438" s="2" t="s">
        <v>1572</v>
      </c>
      <c r="J1438" s="2">
        <v>10121.0</v>
      </c>
      <c r="K1438" s="2" t="s">
        <v>1617</v>
      </c>
      <c r="L1438" s="2"/>
      <c r="M1438" s="2"/>
      <c r="N1438" s="7">
        <v>1.0</v>
      </c>
      <c r="O1438" s="12">
        <v>19524.0</v>
      </c>
      <c r="P1438" s="11" t="s">
        <v>1649</v>
      </c>
      <c r="Q1438" s="12">
        <v>19524.0</v>
      </c>
      <c r="R1438" s="11" t="s">
        <v>1649</v>
      </c>
      <c r="S1438" s="11" t="s">
        <v>1676</v>
      </c>
      <c r="T1438" s="11" t="s">
        <v>1677</v>
      </c>
      <c r="U1438" s="2" t="s">
        <v>1574</v>
      </c>
      <c r="V1438" s="2" t="s">
        <v>1568</v>
      </c>
      <c r="W1438" s="2" t="s">
        <v>1569</v>
      </c>
      <c r="X1438" s="2" t="s">
        <v>1570</v>
      </c>
      <c r="AB1438" s="2" t="s">
        <v>1571</v>
      </c>
    </row>
    <row r="1439">
      <c r="A1439" s="2" t="s">
        <v>1849</v>
      </c>
      <c r="B1439" s="2">
        <v>20.0</v>
      </c>
      <c r="C1439" s="2" t="s">
        <v>11</v>
      </c>
      <c r="D1439" s="2" t="s">
        <v>1850</v>
      </c>
      <c r="E1439" s="2">
        <v>7.0</v>
      </c>
      <c r="F1439" s="2" t="s">
        <v>10</v>
      </c>
      <c r="G1439" s="5">
        <v>2596176.0</v>
      </c>
      <c r="H1439" s="2" t="s">
        <v>1575</v>
      </c>
      <c r="I1439" s="2" t="s">
        <v>1565</v>
      </c>
      <c r="J1439" s="2">
        <v>10000.0</v>
      </c>
      <c r="K1439" s="2" t="s">
        <v>1566</v>
      </c>
      <c r="L1439" s="2"/>
      <c r="M1439" s="2"/>
      <c r="N1439" s="7">
        <v>1.0</v>
      </c>
      <c r="O1439" s="12">
        <v>29524.0</v>
      </c>
      <c r="P1439" s="11" t="s">
        <v>1649</v>
      </c>
      <c r="Q1439" s="12">
        <v>29524.0</v>
      </c>
      <c r="R1439" s="11" t="s">
        <v>1649</v>
      </c>
      <c r="S1439" s="11" t="s">
        <v>1683</v>
      </c>
      <c r="T1439" s="11" t="s">
        <v>1684</v>
      </c>
      <c r="U1439" s="2" t="s">
        <v>1574</v>
      </c>
      <c r="V1439" s="2" t="s">
        <v>1568</v>
      </c>
      <c r="W1439" s="2" t="s">
        <v>1569</v>
      </c>
      <c r="X1439" s="2" t="s">
        <v>1570</v>
      </c>
      <c r="AB1439" s="2" t="s">
        <v>1571</v>
      </c>
    </row>
    <row r="1440">
      <c r="A1440" s="2" t="s">
        <v>1849</v>
      </c>
      <c r="B1440" s="2">
        <v>20.0</v>
      </c>
      <c r="C1440" s="2" t="s">
        <v>11</v>
      </c>
      <c r="D1440" s="2" t="s">
        <v>1850</v>
      </c>
      <c r="E1440" s="2">
        <v>7.0</v>
      </c>
      <c r="F1440" s="2" t="s">
        <v>10</v>
      </c>
      <c r="G1440" s="5">
        <v>2596176.0</v>
      </c>
      <c r="H1440" s="2" t="s">
        <v>1575</v>
      </c>
      <c r="I1440" s="2" t="s">
        <v>1565</v>
      </c>
      <c r="J1440" s="2">
        <v>10002.0</v>
      </c>
      <c r="K1440" s="2" t="s">
        <v>1576</v>
      </c>
      <c r="L1440" s="2"/>
      <c r="M1440" s="2"/>
      <c r="N1440" s="7">
        <v>1.0</v>
      </c>
      <c r="O1440" s="12">
        <v>18571.0</v>
      </c>
      <c r="P1440" s="11" t="s">
        <v>1649</v>
      </c>
      <c r="Q1440" s="12">
        <v>18571.0</v>
      </c>
      <c r="R1440" s="11" t="s">
        <v>1649</v>
      </c>
      <c r="S1440" s="11" t="s">
        <v>1656</v>
      </c>
      <c r="T1440" s="11" t="s">
        <v>1657</v>
      </c>
      <c r="U1440" s="2" t="s">
        <v>1574</v>
      </c>
      <c r="V1440" s="2" t="s">
        <v>1568</v>
      </c>
      <c r="W1440" s="2" t="s">
        <v>1569</v>
      </c>
      <c r="X1440" s="2" t="s">
        <v>1570</v>
      </c>
      <c r="AB1440" s="2" t="s">
        <v>1571</v>
      </c>
    </row>
    <row r="1441">
      <c r="A1441" s="2" t="s">
        <v>1849</v>
      </c>
      <c r="B1441" s="2">
        <v>20.0</v>
      </c>
      <c r="C1441" s="2" t="s">
        <v>11</v>
      </c>
      <c r="D1441" s="2" t="s">
        <v>1850</v>
      </c>
      <c r="E1441" s="2">
        <v>7.0</v>
      </c>
      <c r="F1441" s="2" t="s">
        <v>10</v>
      </c>
      <c r="G1441" s="5">
        <v>2596176.0</v>
      </c>
      <c r="H1441" s="2" t="s">
        <v>1575</v>
      </c>
      <c r="I1441" s="2" t="s">
        <v>1572</v>
      </c>
      <c r="J1441" s="2">
        <v>10125.0</v>
      </c>
      <c r="K1441" s="2" t="s">
        <v>1601</v>
      </c>
      <c r="L1441" s="2"/>
      <c r="M1441" s="2"/>
      <c r="N1441" s="7">
        <v>1.0</v>
      </c>
      <c r="O1441" s="12">
        <v>20476.0</v>
      </c>
      <c r="P1441" s="11" t="s">
        <v>1649</v>
      </c>
      <c r="Q1441" s="12">
        <v>20476.0</v>
      </c>
      <c r="R1441" s="11" t="s">
        <v>1649</v>
      </c>
      <c r="S1441" s="11" t="s">
        <v>1716</v>
      </c>
      <c r="T1441" s="11" t="s">
        <v>1717</v>
      </c>
      <c r="U1441" s="2" t="s">
        <v>1574</v>
      </c>
      <c r="V1441" s="2" t="s">
        <v>1568</v>
      </c>
      <c r="W1441" s="2" t="s">
        <v>1569</v>
      </c>
      <c r="X1441" s="2" t="s">
        <v>1570</v>
      </c>
      <c r="AB1441" s="2" t="s">
        <v>1571</v>
      </c>
    </row>
    <row r="1442">
      <c r="A1442" s="2" t="s">
        <v>1849</v>
      </c>
      <c r="B1442" s="2">
        <v>20.0</v>
      </c>
      <c r="C1442" s="2" t="s">
        <v>11</v>
      </c>
      <c r="D1442" s="2" t="s">
        <v>1850</v>
      </c>
      <c r="E1442" s="2">
        <v>7.0</v>
      </c>
      <c r="F1442" s="2" t="s">
        <v>10</v>
      </c>
      <c r="G1442" s="5">
        <v>2596176.0</v>
      </c>
      <c r="H1442" s="2" t="s">
        <v>1575</v>
      </c>
      <c r="I1442" s="2" t="s">
        <v>1572</v>
      </c>
      <c r="J1442" s="2">
        <v>10117.0</v>
      </c>
      <c r="K1442" s="2" t="s">
        <v>1589</v>
      </c>
      <c r="L1442" s="2"/>
      <c r="M1442" s="2"/>
      <c r="N1442" s="7">
        <v>1.0</v>
      </c>
      <c r="O1442" s="12">
        <v>14286.0</v>
      </c>
      <c r="P1442" s="11" t="s">
        <v>1649</v>
      </c>
      <c r="Q1442" s="12">
        <v>14286.0</v>
      </c>
      <c r="R1442" s="11" t="s">
        <v>1649</v>
      </c>
      <c r="S1442" s="11" t="s">
        <v>1685</v>
      </c>
      <c r="T1442" s="11" t="s">
        <v>1686</v>
      </c>
      <c r="U1442" s="2" t="s">
        <v>1574</v>
      </c>
      <c r="V1442" s="2" t="s">
        <v>1568</v>
      </c>
      <c r="W1442" s="2" t="s">
        <v>1569</v>
      </c>
      <c r="X1442" s="2" t="s">
        <v>1570</v>
      </c>
      <c r="AB1442" s="2" t="s">
        <v>1571</v>
      </c>
    </row>
    <row r="1443">
      <c r="A1443" s="2" t="s">
        <v>1849</v>
      </c>
      <c r="B1443" s="2">
        <v>19.0</v>
      </c>
      <c r="C1443" s="2" t="s">
        <v>11</v>
      </c>
      <c r="D1443" s="2" t="s">
        <v>1850</v>
      </c>
      <c r="E1443" s="2">
        <v>7.0</v>
      </c>
      <c r="F1443" s="2" t="s">
        <v>10</v>
      </c>
      <c r="G1443" s="5">
        <v>2595811.0</v>
      </c>
      <c r="H1443" s="2" t="s">
        <v>1575</v>
      </c>
      <c r="I1443" s="2" t="s">
        <v>1565</v>
      </c>
      <c r="J1443" s="2">
        <v>10000.0</v>
      </c>
      <c r="K1443" s="2" t="s">
        <v>1566</v>
      </c>
      <c r="L1443" s="2"/>
      <c r="M1443" s="2"/>
      <c r="N1443" s="7">
        <v>1.0</v>
      </c>
      <c r="O1443" s="12">
        <v>29524.0</v>
      </c>
      <c r="P1443" s="11" t="s">
        <v>1649</v>
      </c>
      <c r="Q1443" s="12">
        <v>29524.0</v>
      </c>
      <c r="R1443" s="11" t="s">
        <v>1649</v>
      </c>
      <c r="S1443" s="11" t="s">
        <v>1683</v>
      </c>
      <c r="T1443" s="11" t="s">
        <v>1684</v>
      </c>
      <c r="U1443" s="2" t="s">
        <v>1574</v>
      </c>
      <c r="V1443" s="2" t="s">
        <v>1568</v>
      </c>
      <c r="W1443" s="2" t="s">
        <v>1569</v>
      </c>
      <c r="X1443" s="2" t="s">
        <v>1570</v>
      </c>
      <c r="AB1443" s="2" t="s">
        <v>1571</v>
      </c>
    </row>
    <row r="1444">
      <c r="A1444" s="2" t="s">
        <v>1849</v>
      </c>
      <c r="B1444" s="2">
        <v>19.0</v>
      </c>
      <c r="C1444" s="2" t="s">
        <v>11</v>
      </c>
      <c r="D1444" s="2" t="s">
        <v>1850</v>
      </c>
      <c r="E1444" s="2">
        <v>7.0</v>
      </c>
      <c r="F1444" s="2" t="s">
        <v>10</v>
      </c>
      <c r="G1444" s="5">
        <v>2595811.0</v>
      </c>
      <c r="H1444" s="2" t="s">
        <v>1575</v>
      </c>
      <c r="I1444" s="2" t="s">
        <v>1572</v>
      </c>
      <c r="J1444" s="2">
        <v>10128.0</v>
      </c>
      <c r="K1444" s="2" t="s">
        <v>1588</v>
      </c>
      <c r="L1444" s="2"/>
      <c r="M1444" s="2"/>
      <c r="N1444" s="7">
        <v>1.0</v>
      </c>
      <c r="O1444" s="12">
        <v>23333.0</v>
      </c>
      <c r="P1444" s="11" t="s">
        <v>1649</v>
      </c>
      <c r="Q1444" s="12">
        <v>23333.0</v>
      </c>
      <c r="R1444" s="11" t="s">
        <v>1649</v>
      </c>
      <c r="S1444" s="11" t="s">
        <v>1681</v>
      </c>
      <c r="T1444" s="11" t="s">
        <v>1682</v>
      </c>
      <c r="U1444" s="2" t="s">
        <v>1574</v>
      </c>
      <c r="V1444" s="2" t="s">
        <v>1568</v>
      </c>
      <c r="W1444" s="2" t="s">
        <v>1569</v>
      </c>
      <c r="X1444" s="2" t="s">
        <v>1570</v>
      </c>
      <c r="AB1444" s="2" t="s">
        <v>1571</v>
      </c>
    </row>
    <row r="1445">
      <c r="A1445" s="2" t="s">
        <v>1849</v>
      </c>
      <c r="B1445" s="2">
        <v>19.0</v>
      </c>
      <c r="C1445" s="2" t="s">
        <v>11</v>
      </c>
      <c r="D1445" s="2" t="s">
        <v>1850</v>
      </c>
      <c r="E1445" s="2">
        <v>7.0</v>
      </c>
      <c r="F1445" s="2" t="s">
        <v>10</v>
      </c>
      <c r="G1445" s="5">
        <v>2595446.0</v>
      </c>
      <c r="H1445" s="2" t="s">
        <v>1575</v>
      </c>
      <c r="I1445" s="2" t="s">
        <v>1578</v>
      </c>
      <c r="J1445" s="2">
        <v>10004.0</v>
      </c>
      <c r="K1445" s="2" t="s">
        <v>1607</v>
      </c>
      <c r="L1445" s="2"/>
      <c r="M1445" s="2"/>
      <c r="N1445" s="7">
        <v>1.0</v>
      </c>
      <c r="O1445" s="12">
        <v>25238.0</v>
      </c>
      <c r="P1445" s="11" t="s">
        <v>1649</v>
      </c>
      <c r="Q1445" s="12">
        <v>25238.0</v>
      </c>
      <c r="R1445" s="11" t="s">
        <v>1649</v>
      </c>
      <c r="S1445" s="11" t="s">
        <v>1660</v>
      </c>
      <c r="T1445" s="11" t="s">
        <v>1680</v>
      </c>
      <c r="U1445" s="2" t="s">
        <v>1574</v>
      </c>
      <c r="V1445" s="2" t="s">
        <v>1568</v>
      </c>
      <c r="W1445" s="2" t="s">
        <v>1569</v>
      </c>
      <c r="X1445" s="2" t="s">
        <v>1570</v>
      </c>
      <c r="AB1445" s="2" t="s">
        <v>1571</v>
      </c>
    </row>
    <row r="1446">
      <c r="A1446" s="2" t="s">
        <v>1849</v>
      </c>
      <c r="B1446" s="2">
        <v>18.0</v>
      </c>
      <c r="C1446" s="2" t="s">
        <v>11</v>
      </c>
      <c r="D1446" s="2" t="s">
        <v>1850</v>
      </c>
      <c r="E1446" s="2">
        <v>7.0</v>
      </c>
      <c r="F1446" s="2" t="s">
        <v>10</v>
      </c>
      <c r="G1446" s="5">
        <v>2595081.0</v>
      </c>
      <c r="H1446" s="2" t="s">
        <v>1575</v>
      </c>
      <c r="I1446" s="2" t="s">
        <v>1572</v>
      </c>
      <c r="J1446" s="2">
        <v>10128.0</v>
      </c>
      <c r="K1446" s="2" t="s">
        <v>1588</v>
      </c>
      <c r="L1446" s="2"/>
      <c r="M1446" s="2"/>
      <c r="N1446" s="7">
        <v>1.0</v>
      </c>
      <c r="O1446" s="12">
        <v>23333.0</v>
      </c>
      <c r="P1446" s="11" t="s">
        <v>1649</v>
      </c>
      <c r="Q1446" s="12">
        <v>23333.0</v>
      </c>
      <c r="R1446" s="11" t="s">
        <v>1649</v>
      </c>
      <c r="S1446" s="11" t="s">
        <v>1681</v>
      </c>
      <c r="T1446" s="11" t="s">
        <v>1682</v>
      </c>
      <c r="U1446" s="2" t="s">
        <v>1574</v>
      </c>
      <c r="V1446" s="2" t="s">
        <v>1568</v>
      </c>
      <c r="W1446" s="2" t="s">
        <v>1569</v>
      </c>
      <c r="X1446" s="2" t="s">
        <v>1570</v>
      </c>
      <c r="AB1446" s="2" t="s">
        <v>1571</v>
      </c>
    </row>
    <row r="1447">
      <c r="A1447" s="2" t="s">
        <v>1849</v>
      </c>
      <c r="B1447" s="2">
        <v>18.0</v>
      </c>
      <c r="C1447" s="2" t="s">
        <v>11</v>
      </c>
      <c r="D1447" s="2" t="s">
        <v>1850</v>
      </c>
      <c r="E1447" s="2">
        <v>7.0</v>
      </c>
      <c r="F1447" s="2" t="s">
        <v>10</v>
      </c>
      <c r="G1447" s="5">
        <v>2594715.0</v>
      </c>
      <c r="H1447" s="2" t="s">
        <v>1575</v>
      </c>
      <c r="I1447" s="2" t="s">
        <v>1572</v>
      </c>
      <c r="J1447" s="2">
        <v>10127.0</v>
      </c>
      <c r="K1447" s="2" t="s">
        <v>1592</v>
      </c>
      <c r="L1447" s="2"/>
      <c r="M1447" s="2"/>
      <c r="N1447" s="7">
        <v>1.0</v>
      </c>
      <c r="O1447" s="12">
        <v>18571.0</v>
      </c>
      <c r="P1447" s="11" t="s">
        <v>1649</v>
      </c>
      <c r="Q1447" s="12">
        <v>18571.0</v>
      </c>
      <c r="R1447" s="11" t="s">
        <v>1649</v>
      </c>
      <c r="S1447" s="11" t="s">
        <v>1656</v>
      </c>
      <c r="T1447" s="11" t="s">
        <v>1657</v>
      </c>
      <c r="U1447" s="2" t="s">
        <v>1574</v>
      </c>
      <c r="V1447" s="2" t="s">
        <v>1568</v>
      </c>
      <c r="W1447" s="2" t="s">
        <v>1569</v>
      </c>
      <c r="X1447" s="2" t="s">
        <v>1570</v>
      </c>
      <c r="AB1447" s="2" t="s">
        <v>1571</v>
      </c>
    </row>
    <row r="1448">
      <c r="A1448" s="2" t="s">
        <v>1849</v>
      </c>
      <c r="B1448" s="2">
        <v>18.0</v>
      </c>
      <c r="C1448" s="2" t="s">
        <v>11</v>
      </c>
      <c r="D1448" s="2" t="s">
        <v>1850</v>
      </c>
      <c r="E1448" s="2">
        <v>7.0</v>
      </c>
      <c r="F1448" s="2" t="s">
        <v>10</v>
      </c>
      <c r="G1448" s="5">
        <v>2594350.0</v>
      </c>
      <c r="H1448" s="2" t="s">
        <v>1575</v>
      </c>
      <c r="I1448" s="2" t="s">
        <v>1572</v>
      </c>
      <c r="J1448" s="2">
        <v>10013.0</v>
      </c>
      <c r="K1448" s="2" t="s">
        <v>1591</v>
      </c>
      <c r="L1448" s="2"/>
      <c r="M1448" s="2"/>
      <c r="N1448" s="7">
        <v>1.0</v>
      </c>
      <c r="O1448" s="12">
        <v>23333.0</v>
      </c>
      <c r="P1448" s="11" t="s">
        <v>1649</v>
      </c>
      <c r="Q1448" s="12">
        <v>23333.0</v>
      </c>
      <c r="R1448" s="11" t="s">
        <v>1649</v>
      </c>
      <c r="S1448" s="11" t="s">
        <v>1681</v>
      </c>
      <c r="T1448" s="11" t="s">
        <v>1682</v>
      </c>
      <c r="U1448" s="2" t="s">
        <v>1574</v>
      </c>
      <c r="V1448" s="2" t="s">
        <v>1568</v>
      </c>
      <c r="W1448" s="2" t="s">
        <v>1569</v>
      </c>
      <c r="X1448" s="2" t="s">
        <v>1570</v>
      </c>
      <c r="AB1448" s="2" t="s">
        <v>1571</v>
      </c>
    </row>
    <row r="1449">
      <c r="A1449" s="2" t="s">
        <v>1849</v>
      </c>
      <c r="B1449" s="2">
        <v>18.0</v>
      </c>
      <c r="C1449" s="2" t="s">
        <v>11</v>
      </c>
      <c r="D1449" s="2" t="s">
        <v>1850</v>
      </c>
      <c r="E1449" s="2">
        <v>7.0</v>
      </c>
      <c r="F1449" s="2" t="s">
        <v>10</v>
      </c>
      <c r="G1449" s="5">
        <v>2594350.0</v>
      </c>
      <c r="H1449" s="2" t="s">
        <v>1575</v>
      </c>
      <c r="I1449" s="2" t="s">
        <v>1578</v>
      </c>
      <c r="J1449" s="2">
        <v>10014.0</v>
      </c>
      <c r="K1449" s="2" t="s">
        <v>1609</v>
      </c>
      <c r="L1449" s="2"/>
      <c r="M1449" s="2"/>
      <c r="N1449" s="7">
        <v>1.0</v>
      </c>
      <c r="O1449" s="12">
        <v>25238.0</v>
      </c>
      <c r="P1449" s="11" t="s">
        <v>1649</v>
      </c>
      <c r="Q1449" s="12">
        <v>25238.0</v>
      </c>
      <c r="R1449" s="11" t="s">
        <v>1649</v>
      </c>
      <c r="S1449" s="11" t="s">
        <v>1660</v>
      </c>
      <c r="T1449" s="11" t="s">
        <v>1680</v>
      </c>
      <c r="U1449" s="2" t="s">
        <v>1574</v>
      </c>
      <c r="V1449" s="2" t="s">
        <v>1568</v>
      </c>
      <c r="W1449" s="2" t="s">
        <v>1569</v>
      </c>
      <c r="X1449" s="2" t="s">
        <v>1570</v>
      </c>
      <c r="AB1449" s="2" t="s">
        <v>1571</v>
      </c>
    </row>
    <row r="1450">
      <c r="A1450" s="2" t="s">
        <v>1849</v>
      </c>
      <c r="B1450" s="2">
        <v>17.0</v>
      </c>
      <c r="C1450" s="2" t="s">
        <v>11</v>
      </c>
      <c r="D1450" s="2" t="s">
        <v>1850</v>
      </c>
      <c r="E1450" s="2">
        <v>7.0</v>
      </c>
      <c r="F1450" s="2" t="s">
        <v>10</v>
      </c>
      <c r="G1450" s="5">
        <v>2593985.0</v>
      </c>
      <c r="H1450" s="2" t="s">
        <v>1575</v>
      </c>
      <c r="I1450" s="2" t="s">
        <v>1565</v>
      </c>
      <c r="J1450" s="2">
        <v>10005.0</v>
      </c>
      <c r="K1450" s="2" t="s">
        <v>1595</v>
      </c>
      <c r="L1450" s="2"/>
      <c r="M1450" s="2"/>
      <c r="N1450" s="7">
        <v>1.0</v>
      </c>
      <c r="O1450" s="12">
        <v>19524.0</v>
      </c>
      <c r="P1450" s="11" t="s">
        <v>1649</v>
      </c>
      <c r="Q1450" s="12">
        <v>19524.0</v>
      </c>
      <c r="R1450" s="11" t="s">
        <v>1649</v>
      </c>
      <c r="S1450" s="11" t="s">
        <v>1676</v>
      </c>
      <c r="T1450" s="11" t="s">
        <v>1677</v>
      </c>
      <c r="U1450" s="2" t="s">
        <v>1574</v>
      </c>
      <c r="V1450" s="2" t="s">
        <v>1568</v>
      </c>
      <c r="W1450" s="2" t="s">
        <v>1569</v>
      </c>
      <c r="X1450" s="2" t="s">
        <v>1570</v>
      </c>
      <c r="AB1450" s="2" t="s">
        <v>1571</v>
      </c>
    </row>
    <row r="1451">
      <c r="A1451" s="2" t="s">
        <v>1849</v>
      </c>
      <c r="B1451" s="2">
        <v>17.0</v>
      </c>
      <c r="C1451" s="2" t="s">
        <v>11</v>
      </c>
      <c r="D1451" s="2" t="s">
        <v>1850</v>
      </c>
      <c r="E1451" s="2">
        <v>7.0</v>
      </c>
      <c r="F1451" s="2" t="s">
        <v>10</v>
      </c>
      <c r="G1451" s="5">
        <v>2593985.0</v>
      </c>
      <c r="H1451" s="2" t="s">
        <v>1575</v>
      </c>
      <c r="I1451" s="2" t="s">
        <v>1565</v>
      </c>
      <c r="J1451" s="2">
        <v>10002.0</v>
      </c>
      <c r="K1451" s="2" t="s">
        <v>1576</v>
      </c>
      <c r="L1451" s="2"/>
      <c r="M1451" s="2"/>
      <c r="N1451" s="7">
        <v>1.0</v>
      </c>
      <c r="O1451" s="12">
        <v>18571.0</v>
      </c>
      <c r="P1451" s="11" t="s">
        <v>1649</v>
      </c>
      <c r="Q1451" s="12">
        <v>18571.0</v>
      </c>
      <c r="R1451" s="11" t="s">
        <v>1649</v>
      </c>
      <c r="S1451" s="11" t="s">
        <v>1656</v>
      </c>
      <c r="T1451" s="11" t="s">
        <v>1657</v>
      </c>
      <c r="U1451" s="2" t="s">
        <v>1574</v>
      </c>
      <c r="V1451" s="2" t="s">
        <v>1568</v>
      </c>
      <c r="W1451" s="2" t="s">
        <v>1569</v>
      </c>
      <c r="X1451" s="2" t="s">
        <v>1570</v>
      </c>
      <c r="AB1451" s="2" t="s">
        <v>1571</v>
      </c>
    </row>
    <row r="1452">
      <c r="A1452" s="2" t="s">
        <v>1849</v>
      </c>
      <c r="B1452" s="2">
        <v>17.0</v>
      </c>
      <c r="C1452" s="2" t="s">
        <v>11</v>
      </c>
      <c r="D1452" s="2" t="s">
        <v>1850</v>
      </c>
      <c r="E1452" s="2">
        <v>7.0</v>
      </c>
      <c r="F1452" s="2" t="s">
        <v>10</v>
      </c>
      <c r="G1452" s="5">
        <v>2593620.0</v>
      </c>
      <c r="H1452" s="2" t="s">
        <v>1575</v>
      </c>
      <c r="I1452" s="2" t="s">
        <v>1578</v>
      </c>
      <c r="J1452" s="2">
        <v>10004.0</v>
      </c>
      <c r="K1452" s="2" t="s">
        <v>1607</v>
      </c>
      <c r="L1452" s="2"/>
      <c r="M1452" s="2"/>
      <c r="N1452" s="7">
        <v>2.0</v>
      </c>
      <c r="O1452" s="12">
        <v>50476.0</v>
      </c>
      <c r="P1452" s="11" t="s">
        <v>1649</v>
      </c>
      <c r="Q1452" s="12">
        <v>50476.0</v>
      </c>
      <c r="R1452" s="11" t="s">
        <v>1649</v>
      </c>
      <c r="S1452" s="11" t="s">
        <v>1668</v>
      </c>
      <c r="T1452" s="11" t="s">
        <v>1669</v>
      </c>
      <c r="U1452" s="2" t="s">
        <v>1574</v>
      </c>
      <c r="V1452" s="2" t="s">
        <v>1568</v>
      </c>
      <c r="W1452" s="2" t="s">
        <v>1569</v>
      </c>
      <c r="X1452" s="2" t="s">
        <v>1570</v>
      </c>
      <c r="AB1452" s="2" t="s">
        <v>1571</v>
      </c>
    </row>
    <row r="1453">
      <c r="A1453" s="2" t="s">
        <v>1849</v>
      </c>
      <c r="B1453" s="2">
        <v>17.0</v>
      </c>
      <c r="C1453" s="2" t="s">
        <v>11</v>
      </c>
      <c r="D1453" s="2" t="s">
        <v>1850</v>
      </c>
      <c r="E1453" s="2">
        <v>7.0</v>
      </c>
      <c r="F1453" s="2" t="s">
        <v>10</v>
      </c>
      <c r="G1453" s="5">
        <v>2593620.0</v>
      </c>
      <c r="H1453" s="2" t="s">
        <v>1575</v>
      </c>
      <c r="I1453" s="2" t="s">
        <v>1578</v>
      </c>
      <c r="J1453" s="2">
        <v>10014.0</v>
      </c>
      <c r="K1453" s="2" t="s">
        <v>1609</v>
      </c>
      <c r="L1453" s="2"/>
      <c r="M1453" s="2"/>
      <c r="N1453" s="7">
        <v>2.0</v>
      </c>
      <c r="O1453" s="12">
        <v>50476.0</v>
      </c>
      <c r="P1453" s="11" t="s">
        <v>1649</v>
      </c>
      <c r="Q1453" s="12">
        <v>50476.0</v>
      </c>
      <c r="R1453" s="11" t="s">
        <v>1649</v>
      </c>
      <c r="S1453" s="11" t="s">
        <v>1668</v>
      </c>
      <c r="T1453" s="11" t="s">
        <v>1669</v>
      </c>
      <c r="U1453" s="2" t="s">
        <v>1574</v>
      </c>
      <c r="V1453" s="2" t="s">
        <v>1568</v>
      </c>
      <c r="W1453" s="2" t="s">
        <v>1569</v>
      </c>
      <c r="X1453" s="2" t="s">
        <v>1570</v>
      </c>
      <c r="AB1453" s="2" t="s">
        <v>1571</v>
      </c>
    </row>
    <row r="1454">
      <c r="A1454" s="2" t="s">
        <v>1849</v>
      </c>
      <c r="B1454" s="2">
        <v>17.0</v>
      </c>
      <c r="C1454" s="2" t="s">
        <v>11</v>
      </c>
      <c r="D1454" s="2" t="s">
        <v>1850</v>
      </c>
      <c r="E1454" s="2">
        <v>7.0</v>
      </c>
      <c r="F1454" s="2" t="s">
        <v>10</v>
      </c>
      <c r="G1454" s="5">
        <v>2593620.0</v>
      </c>
      <c r="H1454" s="2" t="s">
        <v>1575</v>
      </c>
      <c r="I1454" s="2" t="s">
        <v>1578</v>
      </c>
      <c r="J1454" s="2">
        <v>10010.0</v>
      </c>
      <c r="K1454" s="2" t="s">
        <v>1606</v>
      </c>
      <c r="L1454" s="2"/>
      <c r="M1454" s="2"/>
      <c r="N1454" s="7">
        <v>1.0</v>
      </c>
      <c r="O1454" s="12">
        <v>25238.0</v>
      </c>
      <c r="P1454" s="11" t="s">
        <v>1649</v>
      </c>
      <c r="Q1454" s="12">
        <v>25238.0</v>
      </c>
      <c r="R1454" s="11" t="s">
        <v>1649</v>
      </c>
      <c r="S1454" s="11" t="s">
        <v>1660</v>
      </c>
      <c r="T1454" s="11" t="s">
        <v>1680</v>
      </c>
      <c r="U1454" s="2" t="s">
        <v>1574</v>
      </c>
      <c r="V1454" s="2" t="s">
        <v>1568</v>
      </c>
      <c r="W1454" s="2" t="s">
        <v>1569</v>
      </c>
      <c r="X1454" s="2" t="s">
        <v>1570</v>
      </c>
      <c r="AB1454" s="2" t="s">
        <v>1571</v>
      </c>
    </row>
    <row r="1455">
      <c r="A1455" s="2" t="s">
        <v>1849</v>
      </c>
      <c r="B1455" s="2">
        <v>16.0</v>
      </c>
      <c r="C1455" s="2" t="s">
        <v>11</v>
      </c>
      <c r="D1455" s="2" t="s">
        <v>1850</v>
      </c>
      <c r="E1455" s="2">
        <v>7.0</v>
      </c>
      <c r="F1455" s="2" t="s">
        <v>10</v>
      </c>
      <c r="G1455" s="5">
        <v>2593255.0</v>
      </c>
      <c r="H1455" s="2" t="s">
        <v>1575</v>
      </c>
      <c r="I1455" s="2" t="s">
        <v>1572</v>
      </c>
      <c r="J1455" s="2">
        <v>10128.0</v>
      </c>
      <c r="K1455" s="2" t="s">
        <v>1588</v>
      </c>
      <c r="L1455" s="2"/>
      <c r="M1455" s="2"/>
      <c r="N1455" s="7">
        <v>1.0</v>
      </c>
      <c r="O1455" s="12">
        <v>23333.0</v>
      </c>
      <c r="P1455" s="11" t="s">
        <v>1649</v>
      </c>
      <c r="Q1455" s="12">
        <v>23333.0</v>
      </c>
      <c r="R1455" s="11" t="s">
        <v>1649</v>
      </c>
      <c r="S1455" s="11" t="s">
        <v>1681</v>
      </c>
      <c r="T1455" s="11" t="s">
        <v>1682</v>
      </c>
      <c r="U1455" s="2" t="s">
        <v>1574</v>
      </c>
      <c r="V1455" s="2" t="s">
        <v>1568</v>
      </c>
      <c r="W1455" s="2" t="s">
        <v>1569</v>
      </c>
      <c r="X1455" s="2" t="s">
        <v>1570</v>
      </c>
      <c r="AB1455" s="2" t="s">
        <v>1571</v>
      </c>
    </row>
    <row r="1456">
      <c r="A1456" s="2" t="s">
        <v>1849</v>
      </c>
      <c r="B1456" s="2">
        <v>16.0</v>
      </c>
      <c r="C1456" s="2" t="s">
        <v>11</v>
      </c>
      <c r="D1456" s="2" t="s">
        <v>1850</v>
      </c>
      <c r="E1456" s="2">
        <v>7.0</v>
      </c>
      <c r="F1456" s="2" t="s">
        <v>10</v>
      </c>
      <c r="G1456" s="5">
        <v>2593255.0</v>
      </c>
      <c r="H1456" s="2" t="s">
        <v>1575</v>
      </c>
      <c r="I1456" s="2" t="s">
        <v>1572</v>
      </c>
      <c r="J1456" s="2">
        <v>10063.0</v>
      </c>
      <c r="K1456" s="2" t="s">
        <v>1594</v>
      </c>
      <c r="L1456" s="2"/>
      <c r="M1456" s="2"/>
      <c r="N1456" s="7">
        <v>1.0</v>
      </c>
      <c r="O1456" s="12">
        <v>24762.0</v>
      </c>
      <c r="P1456" s="11" t="s">
        <v>1649</v>
      </c>
      <c r="Q1456" s="12">
        <v>24762.0</v>
      </c>
      <c r="R1456" s="11" t="s">
        <v>1649</v>
      </c>
      <c r="S1456" s="11" t="s">
        <v>1689</v>
      </c>
      <c r="T1456" s="11" t="s">
        <v>1693</v>
      </c>
      <c r="U1456" s="2" t="s">
        <v>1574</v>
      </c>
      <c r="V1456" s="2" t="s">
        <v>1568</v>
      </c>
      <c r="W1456" s="2" t="s">
        <v>1569</v>
      </c>
      <c r="X1456" s="2" t="s">
        <v>1570</v>
      </c>
      <c r="AB1456" s="2" t="s">
        <v>1571</v>
      </c>
    </row>
    <row r="1457">
      <c r="A1457" s="2" t="s">
        <v>1849</v>
      </c>
      <c r="B1457" s="2">
        <v>16.0</v>
      </c>
      <c r="C1457" s="2" t="s">
        <v>11</v>
      </c>
      <c r="D1457" s="2" t="s">
        <v>1850</v>
      </c>
      <c r="E1457" s="2">
        <v>7.0</v>
      </c>
      <c r="F1457" s="2" t="s">
        <v>10</v>
      </c>
      <c r="G1457" s="5">
        <v>2592890.0</v>
      </c>
      <c r="H1457" s="2" t="s">
        <v>1575</v>
      </c>
      <c r="I1457" s="2" t="s">
        <v>1572</v>
      </c>
      <c r="J1457" s="2">
        <v>10128.0</v>
      </c>
      <c r="K1457" s="2" t="s">
        <v>1588</v>
      </c>
      <c r="L1457" s="2"/>
      <c r="M1457" s="2"/>
      <c r="N1457" s="7">
        <v>1.0</v>
      </c>
      <c r="O1457" s="12">
        <v>23333.0</v>
      </c>
      <c r="P1457" s="11" t="s">
        <v>1649</v>
      </c>
      <c r="Q1457" s="12">
        <v>23333.0</v>
      </c>
      <c r="R1457" s="11" t="s">
        <v>1649</v>
      </c>
      <c r="S1457" s="11" t="s">
        <v>1681</v>
      </c>
      <c r="T1457" s="11" t="s">
        <v>1682</v>
      </c>
      <c r="U1457" s="2" t="s">
        <v>1574</v>
      </c>
      <c r="V1457" s="2" t="s">
        <v>1568</v>
      </c>
      <c r="W1457" s="2" t="s">
        <v>1569</v>
      </c>
      <c r="X1457" s="2" t="s">
        <v>1570</v>
      </c>
      <c r="AB1457" s="2" t="s">
        <v>1571</v>
      </c>
    </row>
    <row r="1458">
      <c r="A1458" s="2" t="s">
        <v>1849</v>
      </c>
      <c r="B1458" s="2">
        <v>15.0</v>
      </c>
      <c r="C1458" s="2" t="s">
        <v>11</v>
      </c>
      <c r="D1458" s="2" t="s">
        <v>1850</v>
      </c>
      <c r="E1458" s="2">
        <v>7.0</v>
      </c>
      <c r="F1458" s="2" t="s">
        <v>10</v>
      </c>
      <c r="G1458" s="5">
        <v>2592525.0</v>
      </c>
      <c r="H1458" s="2" t="s">
        <v>1575</v>
      </c>
      <c r="I1458" s="2" t="s">
        <v>1565</v>
      </c>
      <c r="J1458" s="2">
        <v>10002.0</v>
      </c>
      <c r="K1458" s="2" t="s">
        <v>1576</v>
      </c>
      <c r="L1458" s="2"/>
      <c r="M1458" s="2"/>
      <c r="N1458" s="7">
        <v>1.0</v>
      </c>
      <c r="O1458" s="12">
        <v>18571.0</v>
      </c>
      <c r="P1458" s="11" t="s">
        <v>1649</v>
      </c>
      <c r="Q1458" s="12">
        <v>18571.0</v>
      </c>
      <c r="R1458" s="11" t="s">
        <v>1649</v>
      </c>
      <c r="S1458" s="11" t="s">
        <v>1656</v>
      </c>
      <c r="T1458" s="11" t="s">
        <v>1657</v>
      </c>
      <c r="U1458" s="2" t="s">
        <v>1574</v>
      </c>
      <c r="V1458" s="2" t="s">
        <v>1568</v>
      </c>
      <c r="W1458" s="2" t="s">
        <v>1569</v>
      </c>
      <c r="X1458" s="2" t="s">
        <v>1570</v>
      </c>
      <c r="AB1458" s="2" t="s">
        <v>1571</v>
      </c>
    </row>
    <row r="1459">
      <c r="A1459" s="2" t="s">
        <v>1849</v>
      </c>
      <c r="B1459" s="2">
        <v>15.0</v>
      </c>
      <c r="C1459" s="2" t="s">
        <v>11</v>
      </c>
      <c r="D1459" s="2" t="s">
        <v>1850</v>
      </c>
      <c r="E1459" s="2">
        <v>7.0</v>
      </c>
      <c r="F1459" s="2" t="s">
        <v>10</v>
      </c>
      <c r="G1459" s="5">
        <v>2592525.0</v>
      </c>
      <c r="H1459" s="2" t="s">
        <v>1575</v>
      </c>
      <c r="I1459" s="2" t="s">
        <v>1572</v>
      </c>
      <c r="J1459" s="2">
        <v>10118.0</v>
      </c>
      <c r="K1459" s="2" t="s">
        <v>1604</v>
      </c>
      <c r="L1459" s="2"/>
      <c r="M1459" s="2"/>
      <c r="N1459" s="7">
        <v>1.0</v>
      </c>
      <c r="O1459" s="12">
        <v>7143.0</v>
      </c>
      <c r="P1459" s="11" t="s">
        <v>1649</v>
      </c>
      <c r="Q1459" s="12">
        <v>7143.0</v>
      </c>
      <c r="R1459" s="11" t="s">
        <v>1649</v>
      </c>
      <c r="S1459" s="11" t="s">
        <v>1672</v>
      </c>
      <c r="T1459" s="11" t="s">
        <v>1673</v>
      </c>
      <c r="U1459" s="2" t="s">
        <v>1574</v>
      </c>
      <c r="V1459" s="2" t="s">
        <v>1568</v>
      </c>
      <c r="W1459" s="2" t="s">
        <v>1569</v>
      </c>
      <c r="X1459" s="2" t="s">
        <v>1570</v>
      </c>
      <c r="AB1459" s="2" t="s">
        <v>1571</v>
      </c>
    </row>
    <row r="1460">
      <c r="A1460" s="2" t="s">
        <v>1849</v>
      </c>
      <c r="B1460" s="2">
        <v>15.0</v>
      </c>
      <c r="C1460" s="2" t="s">
        <v>11</v>
      </c>
      <c r="D1460" s="2" t="s">
        <v>1850</v>
      </c>
      <c r="E1460" s="2">
        <v>7.0</v>
      </c>
      <c r="F1460" s="2" t="s">
        <v>10</v>
      </c>
      <c r="G1460" s="5">
        <v>2592160.0</v>
      </c>
      <c r="H1460" s="2" t="s">
        <v>1575</v>
      </c>
      <c r="I1460" s="2" t="s">
        <v>1572</v>
      </c>
      <c r="J1460" s="2">
        <v>10128.0</v>
      </c>
      <c r="K1460" s="2" t="s">
        <v>1588</v>
      </c>
      <c r="L1460" s="2"/>
      <c r="M1460" s="2"/>
      <c r="N1460" s="7">
        <v>1.0</v>
      </c>
      <c r="O1460" s="12">
        <v>23333.0</v>
      </c>
      <c r="P1460" s="11" t="s">
        <v>1649</v>
      </c>
      <c r="Q1460" s="12">
        <v>23333.0</v>
      </c>
      <c r="R1460" s="11" t="s">
        <v>1649</v>
      </c>
      <c r="S1460" s="11" t="s">
        <v>1681</v>
      </c>
      <c r="T1460" s="11" t="s">
        <v>1682</v>
      </c>
      <c r="U1460" s="2" t="s">
        <v>1574</v>
      </c>
      <c r="V1460" s="2" t="s">
        <v>1568</v>
      </c>
      <c r="W1460" s="2" t="s">
        <v>1569</v>
      </c>
      <c r="X1460" s="2" t="s">
        <v>1570</v>
      </c>
      <c r="AB1460" s="2" t="s">
        <v>1571</v>
      </c>
    </row>
    <row r="1461">
      <c r="A1461" s="2" t="s">
        <v>1849</v>
      </c>
      <c r="B1461" s="2">
        <v>15.0</v>
      </c>
      <c r="C1461" s="2" t="s">
        <v>11</v>
      </c>
      <c r="D1461" s="2" t="s">
        <v>1850</v>
      </c>
      <c r="E1461" s="2">
        <v>7.0</v>
      </c>
      <c r="F1461" s="2" t="s">
        <v>10</v>
      </c>
      <c r="G1461" s="5">
        <v>2592160.0</v>
      </c>
      <c r="H1461" s="2" t="s">
        <v>1575</v>
      </c>
      <c r="I1461" s="2" t="s">
        <v>1580</v>
      </c>
      <c r="J1461" s="2">
        <v>10104.0</v>
      </c>
      <c r="K1461" s="2" t="s">
        <v>1581</v>
      </c>
      <c r="L1461" s="2"/>
      <c r="M1461" s="2"/>
      <c r="N1461" s="7">
        <v>1.0</v>
      </c>
      <c r="O1461" s="12">
        <v>34762.0</v>
      </c>
      <c r="P1461" s="11" t="s">
        <v>1649</v>
      </c>
      <c r="Q1461" s="12">
        <v>34762.0</v>
      </c>
      <c r="R1461" s="11" t="s">
        <v>1649</v>
      </c>
      <c r="S1461" s="11" t="s">
        <v>1670</v>
      </c>
      <c r="T1461" s="11" t="s">
        <v>1671</v>
      </c>
      <c r="U1461" s="2" t="s">
        <v>1574</v>
      </c>
      <c r="V1461" s="2" t="s">
        <v>1568</v>
      </c>
      <c r="W1461" s="2" t="s">
        <v>1569</v>
      </c>
      <c r="X1461" s="2" t="s">
        <v>1570</v>
      </c>
      <c r="AB1461" s="2" t="s">
        <v>1571</v>
      </c>
    </row>
    <row r="1462">
      <c r="A1462" s="2" t="s">
        <v>1849</v>
      </c>
      <c r="B1462" s="2">
        <v>15.0</v>
      </c>
      <c r="C1462" s="2" t="s">
        <v>11</v>
      </c>
      <c r="D1462" s="2" t="s">
        <v>1850</v>
      </c>
      <c r="E1462" s="2">
        <v>7.0</v>
      </c>
      <c r="F1462" s="2" t="s">
        <v>10</v>
      </c>
      <c r="G1462" s="5">
        <v>2592160.0</v>
      </c>
      <c r="H1462" s="2" t="s">
        <v>1575</v>
      </c>
      <c r="I1462" s="2" t="s">
        <v>1565</v>
      </c>
      <c r="J1462" s="2">
        <v>10002.0</v>
      </c>
      <c r="K1462" s="2" t="s">
        <v>1576</v>
      </c>
      <c r="L1462" s="2"/>
      <c r="M1462" s="2"/>
      <c r="N1462" s="7">
        <v>1.0</v>
      </c>
      <c r="O1462" s="12">
        <v>18571.0</v>
      </c>
      <c r="P1462" s="11" t="s">
        <v>1649</v>
      </c>
      <c r="Q1462" s="12">
        <v>18571.0</v>
      </c>
      <c r="R1462" s="11" t="s">
        <v>1649</v>
      </c>
      <c r="S1462" s="11" t="s">
        <v>1656</v>
      </c>
      <c r="T1462" s="11" t="s">
        <v>1688</v>
      </c>
      <c r="U1462" s="2" t="s">
        <v>1574</v>
      </c>
      <c r="V1462" s="2" t="s">
        <v>1568</v>
      </c>
      <c r="W1462" s="2" t="s">
        <v>1569</v>
      </c>
      <c r="X1462" s="2" t="s">
        <v>1570</v>
      </c>
      <c r="AB1462" s="2" t="s">
        <v>1571</v>
      </c>
    </row>
    <row r="1463">
      <c r="A1463" s="2" t="s">
        <v>1849</v>
      </c>
      <c r="B1463" s="2">
        <v>15.0</v>
      </c>
      <c r="C1463" s="2" t="s">
        <v>11</v>
      </c>
      <c r="D1463" s="2" t="s">
        <v>1850</v>
      </c>
      <c r="E1463" s="2">
        <v>7.0</v>
      </c>
      <c r="F1463" s="2" t="s">
        <v>10</v>
      </c>
      <c r="G1463" s="5">
        <v>2592160.0</v>
      </c>
      <c r="H1463" s="2" t="s">
        <v>1575</v>
      </c>
      <c r="I1463" s="2" t="s">
        <v>1578</v>
      </c>
      <c r="J1463" s="2">
        <v>10004.0</v>
      </c>
      <c r="K1463" s="2" t="s">
        <v>1607</v>
      </c>
      <c r="L1463" s="2"/>
      <c r="M1463" s="2"/>
      <c r="N1463" s="7">
        <v>1.0</v>
      </c>
      <c r="O1463" s="12">
        <v>25238.0</v>
      </c>
      <c r="P1463" s="11" t="s">
        <v>1649</v>
      </c>
      <c r="Q1463" s="12">
        <v>25238.0</v>
      </c>
      <c r="R1463" s="11" t="s">
        <v>1649</v>
      </c>
      <c r="S1463" s="11" t="s">
        <v>1660</v>
      </c>
      <c r="T1463" s="11" t="s">
        <v>1680</v>
      </c>
      <c r="U1463" s="2" t="s">
        <v>1574</v>
      </c>
      <c r="V1463" s="2" t="s">
        <v>1568</v>
      </c>
      <c r="W1463" s="2" t="s">
        <v>1569</v>
      </c>
      <c r="X1463" s="2" t="s">
        <v>1570</v>
      </c>
      <c r="AB1463" s="2" t="s">
        <v>1571</v>
      </c>
    </row>
    <row r="1464">
      <c r="A1464" s="2" t="s">
        <v>1849</v>
      </c>
      <c r="B1464" s="2">
        <v>15.0</v>
      </c>
      <c r="C1464" s="2" t="s">
        <v>11</v>
      </c>
      <c r="D1464" s="2" t="s">
        <v>1850</v>
      </c>
      <c r="E1464" s="2">
        <v>7.0</v>
      </c>
      <c r="F1464" s="2" t="s">
        <v>10</v>
      </c>
      <c r="G1464" s="5">
        <v>2591794.0</v>
      </c>
      <c r="H1464" s="2" t="s">
        <v>1575</v>
      </c>
      <c r="I1464" s="2" t="s">
        <v>1572</v>
      </c>
      <c r="J1464" s="2">
        <v>10121.0</v>
      </c>
      <c r="K1464" s="2" t="s">
        <v>1617</v>
      </c>
      <c r="L1464" s="2"/>
      <c r="M1464" s="2"/>
      <c r="N1464" s="7">
        <v>1.0</v>
      </c>
      <c r="O1464" s="12">
        <v>19524.0</v>
      </c>
      <c r="P1464" s="11" t="s">
        <v>1649</v>
      </c>
      <c r="Q1464" s="12">
        <v>19524.0</v>
      </c>
      <c r="R1464" s="11" t="s">
        <v>1649</v>
      </c>
      <c r="S1464" s="11" t="s">
        <v>1676</v>
      </c>
      <c r="T1464" s="11" t="s">
        <v>1677</v>
      </c>
      <c r="U1464" s="2" t="s">
        <v>1574</v>
      </c>
      <c r="V1464" s="2" t="s">
        <v>1568</v>
      </c>
      <c r="W1464" s="2" t="s">
        <v>1569</v>
      </c>
      <c r="X1464" s="2" t="s">
        <v>1570</v>
      </c>
      <c r="AB1464" s="2" t="s">
        <v>1571</v>
      </c>
    </row>
    <row r="1465">
      <c r="A1465" s="2" t="s">
        <v>1849</v>
      </c>
      <c r="B1465" s="2">
        <v>15.0</v>
      </c>
      <c r="C1465" s="2" t="s">
        <v>11</v>
      </c>
      <c r="D1465" s="2" t="s">
        <v>1850</v>
      </c>
      <c r="E1465" s="2">
        <v>7.0</v>
      </c>
      <c r="F1465" s="2" t="s">
        <v>10</v>
      </c>
      <c r="G1465" s="5">
        <v>2591429.0</v>
      </c>
      <c r="H1465" s="2" t="s">
        <v>1575</v>
      </c>
      <c r="I1465" s="2" t="s">
        <v>1572</v>
      </c>
      <c r="J1465" s="2">
        <v>10128.0</v>
      </c>
      <c r="K1465" s="2" t="s">
        <v>1588</v>
      </c>
      <c r="L1465" s="2"/>
      <c r="M1465" s="2"/>
      <c r="N1465" s="7">
        <v>1.0</v>
      </c>
      <c r="O1465" s="12">
        <v>23333.0</v>
      </c>
      <c r="P1465" s="11" t="s">
        <v>1649</v>
      </c>
      <c r="Q1465" s="12">
        <v>23333.0</v>
      </c>
      <c r="R1465" s="11" t="s">
        <v>1649</v>
      </c>
      <c r="S1465" s="11" t="s">
        <v>1681</v>
      </c>
      <c r="T1465" s="11" t="s">
        <v>1682</v>
      </c>
      <c r="U1465" s="2" t="s">
        <v>1574</v>
      </c>
      <c r="V1465" s="2" t="s">
        <v>1568</v>
      </c>
      <c r="W1465" s="2" t="s">
        <v>1569</v>
      </c>
      <c r="X1465" s="2" t="s">
        <v>1570</v>
      </c>
      <c r="AB1465" s="2" t="s">
        <v>1571</v>
      </c>
    </row>
    <row r="1466">
      <c r="A1466" s="2" t="s">
        <v>1849</v>
      </c>
      <c r="B1466" s="2">
        <v>15.0</v>
      </c>
      <c r="C1466" s="2" t="s">
        <v>11</v>
      </c>
      <c r="D1466" s="2" t="s">
        <v>1850</v>
      </c>
      <c r="E1466" s="2">
        <v>7.0</v>
      </c>
      <c r="F1466" s="2" t="s">
        <v>10</v>
      </c>
      <c r="G1466" s="5">
        <v>2591429.0</v>
      </c>
      <c r="H1466" s="2" t="s">
        <v>1575</v>
      </c>
      <c r="I1466" s="2" t="s">
        <v>1565</v>
      </c>
      <c r="J1466" s="2">
        <v>10007.0</v>
      </c>
      <c r="K1466" s="2" t="s">
        <v>1576</v>
      </c>
      <c r="L1466" s="2"/>
      <c r="M1466" s="2"/>
      <c r="N1466" s="7">
        <v>2.0</v>
      </c>
      <c r="O1466" s="12">
        <v>33810.0</v>
      </c>
      <c r="P1466" s="11" t="s">
        <v>1649</v>
      </c>
      <c r="Q1466" s="12">
        <v>33810.0</v>
      </c>
      <c r="R1466" s="11" t="s">
        <v>1649</v>
      </c>
      <c r="S1466" s="11" t="s">
        <v>1701</v>
      </c>
      <c r="T1466" s="11" t="s">
        <v>1702</v>
      </c>
      <c r="U1466" s="2" t="s">
        <v>1574</v>
      </c>
      <c r="V1466" s="2" t="s">
        <v>1568</v>
      </c>
      <c r="W1466" s="2" t="s">
        <v>1569</v>
      </c>
      <c r="X1466" s="2" t="s">
        <v>1570</v>
      </c>
      <c r="AB1466" s="2" t="s">
        <v>1571</v>
      </c>
    </row>
    <row r="1467">
      <c r="A1467" s="2" t="s">
        <v>1849</v>
      </c>
      <c r="B1467" s="2">
        <v>15.0</v>
      </c>
      <c r="C1467" s="2" t="s">
        <v>11</v>
      </c>
      <c r="D1467" s="2" t="s">
        <v>1850</v>
      </c>
      <c r="E1467" s="2">
        <v>7.0</v>
      </c>
      <c r="F1467" s="2" t="s">
        <v>10</v>
      </c>
      <c r="G1467" s="5">
        <v>2591064.0</v>
      </c>
      <c r="H1467" s="2" t="s">
        <v>1575</v>
      </c>
      <c r="I1467" s="2" t="s">
        <v>1580</v>
      </c>
      <c r="J1467" s="2">
        <v>10104.0</v>
      </c>
      <c r="K1467" s="2" t="s">
        <v>1581</v>
      </c>
      <c r="L1467" s="2"/>
      <c r="M1467" s="2"/>
      <c r="N1467" s="7">
        <v>2.0</v>
      </c>
      <c r="O1467" s="12">
        <v>69524.0</v>
      </c>
      <c r="P1467" s="11" t="s">
        <v>1649</v>
      </c>
      <c r="Q1467" s="12">
        <v>69524.0</v>
      </c>
      <c r="R1467" s="11" t="s">
        <v>1649</v>
      </c>
      <c r="S1467" s="11" t="s">
        <v>1718</v>
      </c>
      <c r="T1467" s="11" t="s">
        <v>1736</v>
      </c>
      <c r="U1467" s="2" t="s">
        <v>1574</v>
      </c>
      <c r="V1467" s="2" t="s">
        <v>1568</v>
      </c>
      <c r="W1467" s="2" t="s">
        <v>1569</v>
      </c>
      <c r="X1467" s="2" t="s">
        <v>1570</v>
      </c>
      <c r="AB1467" s="2" t="s">
        <v>1571</v>
      </c>
    </row>
    <row r="1468">
      <c r="A1468" s="2" t="s">
        <v>1849</v>
      </c>
      <c r="B1468" s="2">
        <v>15.0</v>
      </c>
      <c r="C1468" s="2" t="s">
        <v>11</v>
      </c>
      <c r="D1468" s="2" t="s">
        <v>1850</v>
      </c>
      <c r="E1468" s="2">
        <v>7.0</v>
      </c>
      <c r="F1468" s="2" t="s">
        <v>10</v>
      </c>
      <c r="G1468" s="5">
        <v>2591064.0</v>
      </c>
      <c r="H1468" s="2" t="s">
        <v>1575</v>
      </c>
      <c r="I1468" s="2" t="s">
        <v>1572</v>
      </c>
      <c r="J1468" s="2">
        <v>10107.0</v>
      </c>
      <c r="K1468" s="2" t="s">
        <v>1584</v>
      </c>
      <c r="L1468" s="2"/>
      <c r="M1468" s="2"/>
      <c r="N1468" s="7">
        <v>1.0</v>
      </c>
      <c r="O1468" s="12">
        <v>26667.0</v>
      </c>
      <c r="P1468" s="11" t="s">
        <v>1649</v>
      </c>
      <c r="Q1468" s="12">
        <v>26667.0</v>
      </c>
      <c r="R1468" s="11" t="s">
        <v>1649</v>
      </c>
      <c r="S1468" s="11" t="s">
        <v>1674</v>
      </c>
      <c r="T1468" s="11" t="s">
        <v>1675</v>
      </c>
      <c r="U1468" s="2" t="s">
        <v>1574</v>
      </c>
      <c r="V1468" s="2" t="s">
        <v>1568</v>
      </c>
      <c r="W1468" s="2" t="s">
        <v>1569</v>
      </c>
      <c r="X1468" s="2" t="s">
        <v>1570</v>
      </c>
      <c r="AB1468" s="2" t="s">
        <v>1571</v>
      </c>
    </row>
    <row r="1469">
      <c r="A1469" s="2" t="s">
        <v>1849</v>
      </c>
      <c r="B1469" s="2">
        <v>15.0</v>
      </c>
      <c r="C1469" s="2" t="s">
        <v>11</v>
      </c>
      <c r="D1469" s="2" t="s">
        <v>1850</v>
      </c>
      <c r="E1469" s="2">
        <v>7.0</v>
      </c>
      <c r="F1469" s="2" t="s">
        <v>10</v>
      </c>
      <c r="G1469" s="5">
        <v>2591064.0</v>
      </c>
      <c r="H1469" s="2" t="s">
        <v>1575</v>
      </c>
      <c r="I1469" s="2" t="s">
        <v>1572</v>
      </c>
      <c r="J1469" s="2">
        <v>10106.0</v>
      </c>
      <c r="K1469" s="2" t="s">
        <v>1598</v>
      </c>
      <c r="L1469" s="2"/>
      <c r="M1469" s="2"/>
      <c r="N1469" s="7">
        <v>1.0</v>
      </c>
      <c r="O1469" s="12">
        <v>26667.0</v>
      </c>
      <c r="P1469" s="11" t="s">
        <v>1649</v>
      </c>
      <c r="Q1469" s="12">
        <v>26667.0</v>
      </c>
      <c r="R1469" s="11" t="s">
        <v>1649</v>
      </c>
      <c r="S1469" s="11" t="s">
        <v>1674</v>
      </c>
      <c r="T1469" s="11" t="s">
        <v>1679</v>
      </c>
      <c r="U1469" s="2" t="s">
        <v>1574</v>
      </c>
      <c r="V1469" s="2" t="s">
        <v>1568</v>
      </c>
      <c r="W1469" s="2" t="s">
        <v>1569</v>
      </c>
      <c r="X1469" s="2" t="s">
        <v>1570</v>
      </c>
      <c r="AB1469" s="2" t="s">
        <v>1571</v>
      </c>
    </row>
    <row r="1470">
      <c r="A1470" s="2" t="s">
        <v>1849</v>
      </c>
      <c r="B1470" s="2">
        <v>15.0</v>
      </c>
      <c r="C1470" s="2" t="s">
        <v>11</v>
      </c>
      <c r="D1470" s="2" t="s">
        <v>1850</v>
      </c>
      <c r="E1470" s="2">
        <v>7.0</v>
      </c>
      <c r="F1470" s="2" t="s">
        <v>10</v>
      </c>
      <c r="G1470" s="5">
        <v>2590699.0</v>
      </c>
      <c r="H1470" s="2" t="s">
        <v>1575</v>
      </c>
      <c r="I1470" s="2" t="s">
        <v>1578</v>
      </c>
      <c r="J1470" s="2">
        <v>10004.0</v>
      </c>
      <c r="K1470" s="2" t="s">
        <v>1607</v>
      </c>
      <c r="L1470" s="2"/>
      <c r="M1470" s="2"/>
      <c r="N1470" s="7">
        <v>1.0</v>
      </c>
      <c r="O1470" s="12">
        <v>25238.0</v>
      </c>
      <c r="P1470" s="11" t="s">
        <v>1649</v>
      </c>
      <c r="Q1470" s="12">
        <v>25238.0</v>
      </c>
      <c r="R1470" s="11" t="s">
        <v>1649</v>
      </c>
      <c r="S1470" s="11" t="s">
        <v>1660</v>
      </c>
      <c r="T1470" s="11" t="s">
        <v>1680</v>
      </c>
      <c r="U1470" s="2" t="s">
        <v>1574</v>
      </c>
      <c r="V1470" s="2" t="s">
        <v>1568</v>
      </c>
      <c r="W1470" s="2" t="s">
        <v>1569</v>
      </c>
      <c r="X1470" s="2" t="s">
        <v>1570</v>
      </c>
      <c r="AB1470" s="2" t="s">
        <v>1571</v>
      </c>
    </row>
    <row r="1471">
      <c r="A1471" s="2" t="s">
        <v>1849</v>
      </c>
      <c r="B1471" s="2">
        <v>15.0</v>
      </c>
      <c r="C1471" s="2" t="s">
        <v>11</v>
      </c>
      <c r="D1471" s="2" t="s">
        <v>1850</v>
      </c>
      <c r="E1471" s="2">
        <v>7.0</v>
      </c>
      <c r="F1471" s="2" t="s">
        <v>10</v>
      </c>
      <c r="G1471" s="5">
        <v>2590333.0</v>
      </c>
      <c r="H1471" s="2" t="s">
        <v>1564</v>
      </c>
      <c r="I1471" s="2" t="s">
        <v>1578</v>
      </c>
      <c r="J1471" s="2">
        <v>10011.0</v>
      </c>
      <c r="K1471" s="2" t="s">
        <v>1605</v>
      </c>
      <c r="L1471" s="2"/>
      <c r="M1471" s="2"/>
      <c r="N1471" s="7">
        <v>-1.0</v>
      </c>
      <c r="O1471" s="12">
        <v>-25238.0</v>
      </c>
      <c r="P1471" s="11" t="s">
        <v>1649</v>
      </c>
      <c r="Q1471" s="12">
        <v>-25238.0</v>
      </c>
      <c r="R1471" s="11" t="s">
        <v>1650</v>
      </c>
      <c r="S1471" s="11" t="s">
        <v>1730</v>
      </c>
      <c r="T1471" s="11" t="s">
        <v>1731</v>
      </c>
      <c r="U1471" s="2" t="s">
        <v>1574</v>
      </c>
      <c r="V1471" s="2" t="s">
        <v>1568</v>
      </c>
      <c r="W1471" s="2" t="s">
        <v>1569</v>
      </c>
      <c r="X1471" s="2" t="s">
        <v>1570</v>
      </c>
      <c r="AB1471" s="2" t="s">
        <v>1571</v>
      </c>
    </row>
    <row r="1472">
      <c r="A1472" s="2" t="s">
        <v>1849</v>
      </c>
      <c r="B1472" s="2">
        <v>14.0</v>
      </c>
      <c r="C1472" s="2" t="s">
        <v>11</v>
      </c>
      <c r="D1472" s="2" t="s">
        <v>1850</v>
      </c>
      <c r="E1472" s="2">
        <v>7.0</v>
      </c>
      <c r="F1472" s="2" t="s">
        <v>10</v>
      </c>
      <c r="G1472" s="5">
        <v>2589968.0</v>
      </c>
      <c r="H1472" s="2" t="s">
        <v>1575</v>
      </c>
      <c r="I1472" s="2" t="s">
        <v>1565</v>
      </c>
      <c r="J1472" s="2">
        <v>10002.0</v>
      </c>
      <c r="K1472" s="2" t="s">
        <v>1576</v>
      </c>
      <c r="L1472" s="2"/>
      <c r="M1472" s="2"/>
      <c r="N1472" s="7">
        <v>1.0</v>
      </c>
      <c r="O1472" s="12">
        <v>18571.0</v>
      </c>
      <c r="P1472" s="11" t="s">
        <v>1649</v>
      </c>
      <c r="Q1472" s="12">
        <v>18571.0</v>
      </c>
      <c r="R1472" s="11" t="s">
        <v>1649</v>
      </c>
      <c r="S1472" s="11" t="s">
        <v>1656</v>
      </c>
      <c r="T1472" s="11" t="s">
        <v>1657</v>
      </c>
      <c r="U1472" s="2" t="s">
        <v>1574</v>
      </c>
      <c r="V1472" s="2" t="s">
        <v>1568</v>
      </c>
      <c r="W1472" s="2" t="s">
        <v>1569</v>
      </c>
      <c r="X1472" s="2" t="s">
        <v>1570</v>
      </c>
      <c r="AB1472" s="2" t="s">
        <v>1571</v>
      </c>
    </row>
    <row r="1473">
      <c r="A1473" s="2" t="s">
        <v>1849</v>
      </c>
      <c r="B1473" s="2">
        <v>14.0</v>
      </c>
      <c r="C1473" s="2" t="s">
        <v>11</v>
      </c>
      <c r="D1473" s="2" t="s">
        <v>1850</v>
      </c>
      <c r="E1473" s="2">
        <v>7.0</v>
      </c>
      <c r="F1473" s="2" t="s">
        <v>10</v>
      </c>
      <c r="G1473" s="5">
        <v>2589968.0</v>
      </c>
      <c r="H1473" s="2" t="s">
        <v>1575</v>
      </c>
      <c r="I1473" s="2" t="s">
        <v>1565</v>
      </c>
      <c r="J1473" s="2">
        <v>10000.0</v>
      </c>
      <c r="K1473" s="2" t="s">
        <v>1566</v>
      </c>
      <c r="L1473" s="2"/>
      <c r="M1473" s="2"/>
      <c r="N1473" s="7">
        <v>1.0</v>
      </c>
      <c r="O1473" s="12">
        <v>29524.0</v>
      </c>
      <c r="P1473" s="11" t="s">
        <v>1649</v>
      </c>
      <c r="Q1473" s="12">
        <v>29524.0</v>
      </c>
      <c r="R1473" s="11" t="s">
        <v>1649</v>
      </c>
      <c r="S1473" s="11" t="s">
        <v>1683</v>
      </c>
      <c r="T1473" s="11" t="s">
        <v>1684</v>
      </c>
      <c r="U1473" s="2" t="s">
        <v>1574</v>
      </c>
      <c r="V1473" s="2" t="s">
        <v>1568</v>
      </c>
      <c r="W1473" s="2" t="s">
        <v>1569</v>
      </c>
      <c r="X1473" s="2" t="s">
        <v>1570</v>
      </c>
      <c r="AB1473" s="2" t="s">
        <v>1571</v>
      </c>
    </row>
    <row r="1474">
      <c r="A1474" s="2" t="s">
        <v>1849</v>
      </c>
      <c r="B1474" s="2">
        <v>14.0</v>
      </c>
      <c r="C1474" s="2" t="s">
        <v>11</v>
      </c>
      <c r="D1474" s="2" t="s">
        <v>1850</v>
      </c>
      <c r="E1474" s="2">
        <v>7.0</v>
      </c>
      <c r="F1474" s="2" t="s">
        <v>10</v>
      </c>
      <c r="G1474" s="5">
        <v>2589603.0</v>
      </c>
      <c r="H1474" s="2" t="s">
        <v>1575</v>
      </c>
      <c r="I1474" s="2" t="s">
        <v>1572</v>
      </c>
      <c r="J1474" s="2">
        <v>10125.0</v>
      </c>
      <c r="K1474" s="2" t="s">
        <v>1601</v>
      </c>
      <c r="L1474" s="2"/>
      <c r="M1474" s="2"/>
      <c r="N1474" s="7">
        <v>1.0</v>
      </c>
      <c r="O1474" s="12">
        <v>20476.0</v>
      </c>
      <c r="P1474" s="11" t="s">
        <v>1649</v>
      </c>
      <c r="Q1474" s="12">
        <v>20476.0</v>
      </c>
      <c r="R1474" s="11" t="s">
        <v>1649</v>
      </c>
      <c r="S1474" s="11" t="s">
        <v>1716</v>
      </c>
      <c r="T1474" s="11" t="s">
        <v>1717</v>
      </c>
      <c r="U1474" s="2" t="s">
        <v>1574</v>
      </c>
      <c r="V1474" s="2" t="s">
        <v>1568</v>
      </c>
      <c r="W1474" s="2" t="s">
        <v>1569</v>
      </c>
      <c r="X1474" s="2" t="s">
        <v>1570</v>
      </c>
      <c r="AB1474" s="2" t="s">
        <v>1571</v>
      </c>
    </row>
    <row r="1475">
      <c r="A1475" s="2" t="s">
        <v>1849</v>
      </c>
      <c r="B1475" s="2">
        <v>14.0</v>
      </c>
      <c r="C1475" s="2" t="s">
        <v>11</v>
      </c>
      <c r="D1475" s="2" t="s">
        <v>1850</v>
      </c>
      <c r="E1475" s="2">
        <v>7.0</v>
      </c>
      <c r="F1475" s="2" t="s">
        <v>10</v>
      </c>
      <c r="G1475" s="5">
        <v>2589238.0</v>
      </c>
      <c r="H1475" s="2" t="s">
        <v>1575</v>
      </c>
      <c r="I1475" s="2" t="s">
        <v>1572</v>
      </c>
      <c r="J1475" s="2">
        <v>10128.0</v>
      </c>
      <c r="K1475" s="2" t="s">
        <v>1588</v>
      </c>
      <c r="L1475" s="2"/>
      <c r="M1475" s="2"/>
      <c r="N1475" s="7">
        <v>1.0</v>
      </c>
      <c r="O1475" s="12">
        <v>23333.0</v>
      </c>
      <c r="P1475" s="11" t="s">
        <v>1649</v>
      </c>
      <c r="Q1475" s="12">
        <v>23333.0</v>
      </c>
      <c r="R1475" s="11" t="s">
        <v>1649</v>
      </c>
      <c r="S1475" s="11" t="s">
        <v>1681</v>
      </c>
      <c r="T1475" s="11" t="s">
        <v>1682</v>
      </c>
      <c r="U1475" s="2" t="s">
        <v>1574</v>
      </c>
      <c r="V1475" s="2" t="s">
        <v>1568</v>
      </c>
      <c r="W1475" s="2" t="s">
        <v>1569</v>
      </c>
      <c r="X1475" s="2" t="s">
        <v>1570</v>
      </c>
      <c r="AB1475" s="2" t="s">
        <v>1571</v>
      </c>
    </row>
    <row r="1476">
      <c r="A1476" s="2" t="s">
        <v>1849</v>
      </c>
      <c r="B1476" s="2">
        <v>14.0</v>
      </c>
      <c r="C1476" s="2" t="s">
        <v>11</v>
      </c>
      <c r="D1476" s="2" t="s">
        <v>1850</v>
      </c>
      <c r="E1476" s="2">
        <v>7.0</v>
      </c>
      <c r="F1476" s="2" t="s">
        <v>10</v>
      </c>
      <c r="G1476" s="5">
        <v>2589238.0</v>
      </c>
      <c r="H1476" s="2" t="s">
        <v>1575</v>
      </c>
      <c r="I1476" s="2" t="s">
        <v>1578</v>
      </c>
      <c r="J1476" s="2">
        <v>10011.0</v>
      </c>
      <c r="K1476" s="2" t="s">
        <v>1605</v>
      </c>
      <c r="L1476" s="2"/>
      <c r="M1476" s="2"/>
      <c r="N1476" s="7">
        <v>1.0</v>
      </c>
      <c r="O1476" s="12">
        <v>25238.0</v>
      </c>
      <c r="P1476" s="11" t="s">
        <v>1649</v>
      </c>
      <c r="Q1476" s="12">
        <v>25238.0</v>
      </c>
      <c r="R1476" s="11" t="s">
        <v>1649</v>
      </c>
      <c r="S1476" s="11" t="s">
        <v>1660</v>
      </c>
      <c r="T1476" s="11" t="s">
        <v>1680</v>
      </c>
      <c r="U1476" s="2" t="s">
        <v>1574</v>
      </c>
      <c r="V1476" s="2" t="s">
        <v>1568</v>
      </c>
      <c r="W1476" s="2" t="s">
        <v>1569</v>
      </c>
      <c r="X1476" s="2" t="s">
        <v>1570</v>
      </c>
      <c r="AB1476" s="2" t="s">
        <v>1571</v>
      </c>
    </row>
    <row r="1477">
      <c r="A1477" s="2" t="s">
        <v>1849</v>
      </c>
      <c r="B1477" s="2">
        <v>14.0</v>
      </c>
      <c r="C1477" s="2" t="s">
        <v>11</v>
      </c>
      <c r="D1477" s="2" t="s">
        <v>1850</v>
      </c>
      <c r="E1477" s="2">
        <v>7.0</v>
      </c>
      <c r="F1477" s="2" t="s">
        <v>10</v>
      </c>
      <c r="G1477" s="5">
        <v>2588872.0</v>
      </c>
      <c r="H1477" s="2" t="s">
        <v>1575</v>
      </c>
      <c r="I1477" s="2" t="s">
        <v>1565</v>
      </c>
      <c r="J1477" s="2">
        <v>10034.0</v>
      </c>
      <c r="K1477" s="2" t="s">
        <v>1616</v>
      </c>
      <c r="L1477" s="2"/>
      <c r="M1477" s="2"/>
      <c r="N1477" s="7">
        <v>1.0</v>
      </c>
      <c r="O1477" s="12">
        <v>21905.0</v>
      </c>
      <c r="P1477" s="11" t="s">
        <v>1649</v>
      </c>
      <c r="Q1477" s="12">
        <v>21905.0</v>
      </c>
      <c r="R1477" s="11" t="s">
        <v>1649</v>
      </c>
      <c r="S1477" s="11" t="s">
        <v>1666</v>
      </c>
      <c r="T1477" s="11" t="s">
        <v>1667</v>
      </c>
      <c r="U1477" s="2" t="s">
        <v>1574</v>
      </c>
      <c r="V1477" s="2" t="s">
        <v>1568</v>
      </c>
      <c r="W1477" s="2" t="s">
        <v>1569</v>
      </c>
      <c r="X1477" s="2" t="s">
        <v>1570</v>
      </c>
      <c r="AB1477" s="2" t="s">
        <v>1571</v>
      </c>
    </row>
    <row r="1478">
      <c r="A1478" s="2" t="s">
        <v>1849</v>
      </c>
      <c r="B1478" s="2">
        <v>14.0</v>
      </c>
      <c r="C1478" s="2" t="s">
        <v>11</v>
      </c>
      <c r="D1478" s="2" t="s">
        <v>1850</v>
      </c>
      <c r="E1478" s="2">
        <v>7.0</v>
      </c>
      <c r="F1478" s="2" t="s">
        <v>10</v>
      </c>
      <c r="G1478" s="5">
        <v>2588872.0</v>
      </c>
      <c r="H1478" s="2" t="s">
        <v>1575</v>
      </c>
      <c r="I1478" s="2" t="s">
        <v>1572</v>
      </c>
      <c r="J1478" s="2">
        <v>10026.0</v>
      </c>
      <c r="K1478" s="2" t="s">
        <v>1583</v>
      </c>
      <c r="L1478" s="2"/>
      <c r="M1478" s="2"/>
      <c r="N1478" s="7">
        <v>1.0</v>
      </c>
      <c r="O1478" s="12">
        <v>21905.0</v>
      </c>
      <c r="P1478" s="11" t="s">
        <v>1649</v>
      </c>
      <c r="Q1478" s="12">
        <v>21905.0</v>
      </c>
      <c r="R1478" s="11" t="s">
        <v>1649</v>
      </c>
      <c r="S1478" s="11" t="s">
        <v>1666</v>
      </c>
      <c r="T1478" s="11" t="s">
        <v>1687</v>
      </c>
      <c r="U1478" s="2" t="s">
        <v>1574</v>
      </c>
      <c r="V1478" s="2" t="s">
        <v>1568</v>
      </c>
      <c r="W1478" s="2" t="s">
        <v>1569</v>
      </c>
      <c r="X1478" s="2" t="s">
        <v>1570</v>
      </c>
      <c r="AB1478" s="2" t="s">
        <v>1571</v>
      </c>
    </row>
    <row r="1479">
      <c r="A1479" s="2" t="s">
        <v>1849</v>
      </c>
      <c r="B1479" s="2">
        <v>14.0</v>
      </c>
      <c r="C1479" s="2" t="s">
        <v>11</v>
      </c>
      <c r="D1479" s="2" t="s">
        <v>1850</v>
      </c>
      <c r="E1479" s="2">
        <v>7.0</v>
      </c>
      <c r="F1479" s="2" t="s">
        <v>10</v>
      </c>
      <c r="G1479" s="5">
        <v>2588872.0</v>
      </c>
      <c r="H1479" s="2" t="s">
        <v>1575</v>
      </c>
      <c r="I1479" s="2" t="s">
        <v>1572</v>
      </c>
      <c r="J1479" s="2">
        <v>10128.0</v>
      </c>
      <c r="K1479" s="2" t="s">
        <v>1588</v>
      </c>
      <c r="L1479" s="2"/>
      <c r="M1479" s="2"/>
      <c r="N1479" s="7">
        <v>1.0</v>
      </c>
      <c r="O1479" s="12">
        <v>23333.0</v>
      </c>
      <c r="P1479" s="11" t="s">
        <v>1649</v>
      </c>
      <c r="Q1479" s="12">
        <v>23333.0</v>
      </c>
      <c r="R1479" s="11" t="s">
        <v>1649</v>
      </c>
      <c r="S1479" s="11" t="s">
        <v>1681</v>
      </c>
      <c r="T1479" s="11" t="s">
        <v>1715</v>
      </c>
      <c r="U1479" s="2" t="s">
        <v>1574</v>
      </c>
      <c r="V1479" s="2" t="s">
        <v>1568</v>
      </c>
      <c r="W1479" s="2" t="s">
        <v>1569</v>
      </c>
      <c r="X1479" s="2" t="s">
        <v>1570</v>
      </c>
      <c r="AB1479" s="2" t="s">
        <v>1571</v>
      </c>
    </row>
    <row r="1480">
      <c r="A1480" s="2" t="s">
        <v>1849</v>
      </c>
      <c r="B1480" s="2">
        <v>14.0</v>
      </c>
      <c r="C1480" s="2" t="s">
        <v>11</v>
      </c>
      <c r="D1480" s="2" t="s">
        <v>1850</v>
      </c>
      <c r="E1480" s="2">
        <v>7.0</v>
      </c>
      <c r="F1480" s="2" t="s">
        <v>10</v>
      </c>
      <c r="G1480" s="5">
        <v>2588507.0</v>
      </c>
      <c r="H1480" s="2" t="s">
        <v>1575</v>
      </c>
      <c r="I1480" s="2" t="s">
        <v>1565</v>
      </c>
      <c r="J1480" s="2">
        <v>10039.0</v>
      </c>
      <c r="K1480" s="2" t="s">
        <v>1622</v>
      </c>
      <c r="L1480" s="2"/>
      <c r="M1480" s="2"/>
      <c r="N1480" s="7">
        <v>1.0</v>
      </c>
      <c r="O1480" s="12">
        <v>21905.0</v>
      </c>
      <c r="P1480" s="11" t="s">
        <v>1649</v>
      </c>
      <c r="Q1480" s="12">
        <v>21905.0</v>
      </c>
      <c r="R1480" s="11" t="s">
        <v>1649</v>
      </c>
      <c r="S1480" s="11" t="s">
        <v>1666</v>
      </c>
      <c r="T1480" s="11" t="s">
        <v>1667</v>
      </c>
      <c r="U1480" s="2" t="s">
        <v>1574</v>
      </c>
      <c r="V1480" s="2" t="s">
        <v>1568</v>
      </c>
      <c r="W1480" s="2" t="s">
        <v>1569</v>
      </c>
      <c r="X1480" s="2" t="s">
        <v>1570</v>
      </c>
      <c r="AB1480" s="2" t="s">
        <v>1571</v>
      </c>
    </row>
    <row r="1481">
      <c r="A1481" s="2" t="s">
        <v>1849</v>
      </c>
      <c r="B1481" s="2">
        <v>14.0</v>
      </c>
      <c r="C1481" s="2" t="s">
        <v>11</v>
      </c>
      <c r="D1481" s="2" t="s">
        <v>1850</v>
      </c>
      <c r="E1481" s="2">
        <v>7.0</v>
      </c>
      <c r="F1481" s="2" t="s">
        <v>10</v>
      </c>
      <c r="G1481" s="5">
        <v>2588507.0</v>
      </c>
      <c r="H1481" s="2" t="s">
        <v>1575</v>
      </c>
      <c r="I1481" s="2" t="s">
        <v>1565</v>
      </c>
      <c r="J1481" s="2">
        <v>10000.0</v>
      </c>
      <c r="K1481" s="2" t="s">
        <v>1566</v>
      </c>
      <c r="L1481" s="2"/>
      <c r="M1481" s="2"/>
      <c r="N1481" s="7">
        <v>1.0</v>
      </c>
      <c r="O1481" s="12">
        <v>29524.0</v>
      </c>
      <c r="P1481" s="11" t="s">
        <v>1649</v>
      </c>
      <c r="Q1481" s="12">
        <v>29524.0</v>
      </c>
      <c r="R1481" s="11" t="s">
        <v>1649</v>
      </c>
      <c r="S1481" s="11" t="s">
        <v>1683</v>
      </c>
      <c r="T1481" s="11" t="s">
        <v>1684</v>
      </c>
      <c r="U1481" s="2" t="s">
        <v>1574</v>
      </c>
      <c r="V1481" s="2" t="s">
        <v>1568</v>
      </c>
      <c r="W1481" s="2" t="s">
        <v>1569</v>
      </c>
      <c r="X1481" s="2" t="s">
        <v>1570</v>
      </c>
      <c r="AB1481" s="2" t="s">
        <v>1571</v>
      </c>
    </row>
    <row r="1482">
      <c r="A1482" s="2" t="s">
        <v>1849</v>
      </c>
      <c r="B1482" s="2">
        <v>14.0</v>
      </c>
      <c r="C1482" s="2" t="s">
        <v>11</v>
      </c>
      <c r="D1482" s="2" t="s">
        <v>1850</v>
      </c>
      <c r="E1482" s="2">
        <v>7.0</v>
      </c>
      <c r="F1482" s="2" t="s">
        <v>10</v>
      </c>
      <c r="G1482" s="5">
        <v>2588507.0</v>
      </c>
      <c r="H1482" s="2" t="s">
        <v>1575</v>
      </c>
      <c r="I1482" s="2" t="s">
        <v>1572</v>
      </c>
      <c r="J1482" s="2">
        <v>10106.0</v>
      </c>
      <c r="K1482" s="2" t="s">
        <v>1598</v>
      </c>
      <c r="L1482" s="2"/>
      <c r="M1482" s="2"/>
      <c r="N1482" s="7">
        <v>1.0</v>
      </c>
      <c r="O1482" s="12">
        <v>26667.0</v>
      </c>
      <c r="P1482" s="11" t="s">
        <v>1649</v>
      </c>
      <c r="Q1482" s="12">
        <v>26667.0</v>
      </c>
      <c r="R1482" s="11" t="s">
        <v>1649</v>
      </c>
      <c r="S1482" s="11" t="s">
        <v>1674</v>
      </c>
      <c r="T1482" s="11" t="s">
        <v>1675</v>
      </c>
      <c r="U1482" s="2" t="s">
        <v>1574</v>
      </c>
      <c r="V1482" s="2" t="s">
        <v>1568</v>
      </c>
      <c r="W1482" s="2" t="s">
        <v>1569</v>
      </c>
      <c r="X1482" s="2" t="s">
        <v>1570</v>
      </c>
      <c r="AB1482" s="2" t="s">
        <v>1571</v>
      </c>
    </row>
    <row r="1483">
      <c r="A1483" s="2" t="s">
        <v>1849</v>
      </c>
      <c r="B1483" s="2">
        <v>14.0</v>
      </c>
      <c r="C1483" s="2" t="s">
        <v>11</v>
      </c>
      <c r="D1483" s="2" t="s">
        <v>1850</v>
      </c>
      <c r="E1483" s="2">
        <v>7.0</v>
      </c>
      <c r="F1483" s="2" t="s">
        <v>10</v>
      </c>
      <c r="G1483" s="5">
        <v>2588507.0</v>
      </c>
      <c r="H1483" s="2" t="s">
        <v>1575</v>
      </c>
      <c r="I1483" s="2" t="s">
        <v>1572</v>
      </c>
      <c r="J1483" s="2">
        <v>10069.0</v>
      </c>
      <c r="K1483" s="2" t="s">
        <v>1620</v>
      </c>
      <c r="L1483" s="2"/>
      <c r="M1483" s="2"/>
      <c r="N1483" s="7">
        <v>1.0</v>
      </c>
      <c r="O1483" s="12">
        <v>24762.0</v>
      </c>
      <c r="P1483" s="11" t="s">
        <v>1649</v>
      </c>
      <c r="Q1483" s="12">
        <v>24762.0</v>
      </c>
      <c r="R1483" s="11" t="s">
        <v>1649</v>
      </c>
      <c r="S1483" s="11" t="s">
        <v>1689</v>
      </c>
      <c r="T1483" s="11" t="s">
        <v>1693</v>
      </c>
      <c r="U1483" s="2" t="s">
        <v>1574</v>
      </c>
      <c r="V1483" s="2" t="s">
        <v>1568</v>
      </c>
      <c r="W1483" s="2" t="s">
        <v>1569</v>
      </c>
      <c r="X1483" s="2" t="s">
        <v>1570</v>
      </c>
      <c r="AB1483" s="2" t="s">
        <v>1571</v>
      </c>
    </row>
    <row r="1484">
      <c r="A1484" s="2" t="s">
        <v>1849</v>
      </c>
      <c r="B1484" s="2">
        <v>14.0</v>
      </c>
      <c r="C1484" s="2" t="s">
        <v>11</v>
      </c>
      <c r="D1484" s="2" t="s">
        <v>1850</v>
      </c>
      <c r="E1484" s="2">
        <v>7.0</v>
      </c>
      <c r="F1484" s="2" t="s">
        <v>10</v>
      </c>
      <c r="G1484" s="5">
        <v>2588142.0</v>
      </c>
      <c r="H1484" s="2" t="s">
        <v>1575</v>
      </c>
      <c r="I1484" s="2" t="s">
        <v>1565</v>
      </c>
      <c r="J1484" s="2">
        <v>10002.0</v>
      </c>
      <c r="K1484" s="2" t="s">
        <v>1576</v>
      </c>
      <c r="L1484" s="2"/>
      <c r="M1484" s="2"/>
      <c r="N1484" s="7">
        <v>1.0</v>
      </c>
      <c r="O1484" s="12">
        <v>18571.0</v>
      </c>
      <c r="P1484" s="11" t="s">
        <v>1649</v>
      </c>
      <c r="Q1484" s="12">
        <v>18571.0</v>
      </c>
      <c r="R1484" s="11" t="s">
        <v>1649</v>
      </c>
      <c r="S1484" s="11" t="s">
        <v>1656</v>
      </c>
      <c r="T1484" s="11" t="s">
        <v>1657</v>
      </c>
      <c r="U1484" s="2" t="s">
        <v>1574</v>
      </c>
      <c r="V1484" s="2" t="s">
        <v>1568</v>
      </c>
      <c r="W1484" s="2" t="s">
        <v>1569</v>
      </c>
      <c r="X1484" s="2" t="s">
        <v>1570</v>
      </c>
      <c r="AB1484" s="2" t="s">
        <v>1571</v>
      </c>
    </row>
    <row r="1485">
      <c r="A1485" s="2" t="s">
        <v>1849</v>
      </c>
      <c r="B1485" s="2">
        <v>14.0</v>
      </c>
      <c r="C1485" s="2" t="s">
        <v>11</v>
      </c>
      <c r="D1485" s="2" t="s">
        <v>1850</v>
      </c>
      <c r="E1485" s="2">
        <v>7.0</v>
      </c>
      <c r="F1485" s="2" t="s">
        <v>10</v>
      </c>
      <c r="G1485" s="5">
        <v>2588142.0</v>
      </c>
      <c r="H1485" s="2" t="s">
        <v>1575</v>
      </c>
      <c r="I1485" s="2" t="s">
        <v>1578</v>
      </c>
      <c r="J1485" s="2">
        <v>10009.0</v>
      </c>
      <c r="K1485" s="2" t="s">
        <v>1586</v>
      </c>
      <c r="L1485" s="2"/>
      <c r="M1485" s="2"/>
      <c r="N1485" s="7">
        <v>1.0</v>
      </c>
      <c r="O1485" s="12">
        <v>26667.0</v>
      </c>
      <c r="P1485" s="11" t="s">
        <v>1649</v>
      </c>
      <c r="Q1485" s="12">
        <v>26667.0</v>
      </c>
      <c r="R1485" s="11" t="s">
        <v>1649</v>
      </c>
      <c r="S1485" s="11" t="s">
        <v>1674</v>
      </c>
      <c r="T1485" s="11" t="s">
        <v>1679</v>
      </c>
      <c r="U1485" s="2" t="s">
        <v>1574</v>
      </c>
      <c r="V1485" s="2" t="s">
        <v>1568</v>
      </c>
      <c r="W1485" s="2" t="s">
        <v>1569</v>
      </c>
      <c r="X1485" s="2" t="s">
        <v>1570</v>
      </c>
      <c r="AB1485" s="2" t="s">
        <v>1571</v>
      </c>
    </row>
    <row r="1486">
      <c r="A1486" s="2" t="s">
        <v>1849</v>
      </c>
      <c r="B1486" s="2">
        <v>14.0</v>
      </c>
      <c r="C1486" s="2" t="s">
        <v>11</v>
      </c>
      <c r="D1486" s="2" t="s">
        <v>1850</v>
      </c>
      <c r="E1486" s="2">
        <v>7.0</v>
      </c>
      <c r="F1486" s="2" t="s">
        <v>10</v>
      </c>
      <c r="G1486" s="5">
        <v>2588142.0</v>
      </c>
      <c r="H1486" s="2" t="s">
        <v>1575</v>
      </c>
      <c r="I1486" s="2" t="s">
        <v>1572</v>
      </c>
      <c r="J1486" s="2">
        <v>10067.0</v>
      </c>
      <c r="K1486" s="2" t="s">
        <v>1621</v>
      </c>
      <c r="L1486" s="2"/>
      <c r="M1486" s="2"/>
      <c r="N1486" s="7">
        <v>1.0</v>
      </c>
      <c r="O1486" s="12">
        <v>24762.0</v>
      </c>
      <c r="P1486" s="11" t="s">
        <v>1649</v>
      </c>
      <c r="Q1486" s="12">
        <v>24762.0</v>
      </c>
      <c r="R1486" s="11" t="s">
        <v>1649</v>
      </c>
      <c r="S1486" s="11" t="s">
        <v>1689</v>
      </c>
      <c r="T1486" s="11" t="s">
        <v>1693</v>
      </c>
      <c r="U1486" s="2" t="s">
        <v>1574</v>
      </c>
      <c r="V1486" s="2" t="s">
        <v>1568</v>
      </c>
      <c r="W1486" s="2" t="s">
        <v>1569</v>
      </c>
      <c r="X1486" s="2" t="s">
        <v>1570</v>
      </c>
      <c r="AB1486" s="2" t="s">
        <v>1571</v>
      </c>
    </row>
    <row r="1487">
      <c r="A1487" s="2" t="s">
        <v>1849</v>
      </c>
      <c r="B1487" s="2">
        <v>14.0</v>
      </c>
      <c r="C1487" s="2" t="s">
        <v>11</v>
      </c>
      <c r="D1487" s="2" t="s">
        <v>1850</v>
      </c>
      <c r="E1487" s="2">
        <v>7.0</v>
      </c>
      <c r="F1487" s="2" t="s">
        <v>10</v>
      </c>
      <c r="G1487" s="5">
        <v>2588142.0</v>
      </c>
      <c r="H1487" s="2" t="s">
        <v>1575</v>
      </c>
      <c r="I1487" s="2" t="s">
        <v>1572</v>
      </c>
      <c r="J1487" s="2">
        <v>10026.0</v>
      </c>
      <c r="K1487" s="2" t="s">
        <v>1583</v>
      </c>
      <c r="L1487" s="2"/>
      <c r="M1487" s="2"/>
      <c r="N1487" s="7">
        <v>1.0</v>
      </c>
      <c r="O1487" s="12">
        <v>21905.0</v>
      </c>
      <c r="P1487" s="11" t="s">
        <v>1649</v>
      </c>
      <c r="Q1487" s="12">
        <v>21905.0</v>
      </c>
      <c r="R1487" s="11" t="s">
        <v>1649</v>
      </c>
      <c r="S1487" s="11" t="s">
        <v>1666</v>
      </c>
      <c r="T1487" s="11" t="s">
        <v>1667</v>
      </c>
      <c r="U1487" s="2" t="s">
        <v>1574</v>
      </c>
      <c r="V1487" s="2" t="s">
        <v>1568</v>
      </c>
      <c r="W1487" s="2" t="s">
        <v>1569</v>
      </c>
      <c r="X1487" s="2" t="s">
        <v>1570</v>
      </c>
      <c r="AB1487" s="2" t="s">
        <v>1571</v>
      </c>
    </row>
    <row r="1488">
      <c r="A1488" s="2" t="s">
        <v>1849</v>
      </c>
      <c r="B1488" s="2">
        <v>14.0</v>
      </c>
      <c r="C1488" s="2" t="s">
        <v>11</v>
      </c>
      <c r="D1488" s="2" t="s">
        <v>1850</v>
      </c>
      <c r="E1488" s="2">
        <v>7.0</v>
      </c>
      <c r="F1488" s="2" t="s">
        <v>10</v>
      </c>
      <c r="G1488" s="5">
        <v>2588142.0</v>
      </c>
      <c r="H1488" s="2" t="s">
        <v>1575</v>
      </c>
      <c r="I1488" s="2" t="s">
        <v>1578</v>
      </c>
      <c r="J1488" s="2">
        <v>10011.0</v>
      </c>
      <c r="K1488" s="2" t="s">
        <v>1605</v>
      </c>
      <c r="L1488" s="2"/>
      <c r="M1488" s="2"/>
      <c r="N1488" s="7">
        <v>1.0</v>
      </c>
      <c r="O1488" s="12">
        <v>25238.0</v>
      </c>
      <c r="P1488" s="11" t="s">
        <v>1649</v>
      </c>
      <c r="Q1488" s="12">
        <v>25238.0</v>
      </c>
      <c r="R1488" s="11" t="s">
        <v>1649</v>
      </c>
      <c r="S1488" s="11" t="s">
        <v>1660</v>
      </c>
      <c r="T1488" s="11" t="s">
        <v>1680</v>
      </c>
      <c r="U1488" s="2" t="s">
        <v>1574</v>
      </c>
      <c r="V1488" s="2" t="s">
        <v>1568</v>
      </c>
      <c r="W1488" s="2" t="s">
        <v>1569</v>
      </c>
      <c r="X1488" s="2" t="s">
        <v>1570</v>
      </c>
      <c r="AB1488" s="2" t="s">
        <v>1571</v>
      </c>
    </row>
    <row r="1489">
      <c r="A1489" s="2" t="s">
        <v>1849</v>
      </c>
      <c r="B1489" s="2">
        <v>14.0</v>
      </c>
      <c r="C1489" s="2" t="s">
        <v>11</v>
      </c>
      <c r="D1489" s="2" t="s">
        <v>1850</v>
      </c>
      <c r="E1489" s="2">
        <v>7.0</v>
      </c>
      <c r="F1489" s="2" t="s">
        <v>10</v>
      </c>
      <c r="G1489" s="5">
        <v>2588142.0</v>
      </c>
      <c r="H1489" s="2" t="s">
        <v>1575</v>
      </c>
      <c r="I1489" s="2" t="s">
        <v>1572</v>
      </c>
      <c r="J1489" s="2">
        <v>10128.0</v>
      </c>
      <c r="K1489" s="2" t="s">
        <v>1588</v>
      </c>
      <c r="L1489" s="2"/>
      <c r="M1489" s="2"/>
      <c r="N1489" s="7">
        <v>1.0</v>
      </c>
      <c r="O1489" s="12">
        <v>23333.0</v>
      </c>
      <c r="P1489" s="11" t="s">
        <v>1649</v>
      </c>
      <c r="Q1489" s="12">
        <v>23333.0</v>
      </c>
      <c r="R1489" s="11" t="s">
        <v>1649</v>
      </c>
      <c r="S1489" s="11" t="s">
        <v>1681</v>
      </c>
      <c r="T1489" s="11" t="s">
        <v>1682</v>
      </c>
      <c r="U1489" s="2" t="s">
        <v>1574</v>
      </c>
      <c r="V1489" s="2" t="s">
        <v>1568</v>
      </c>
      <c r="W1489" s="2" t="s">
        <v>1569</v>
      </c>
      <c r="X1489" s="2" t="s">
        <v>1570</v>
      </c>
      <c r="AB1489" s="2" t="s">
        <v>1571</v>
      </c>
    </row>
    <row r="1490">
      <c r="A1490" s="2" t="s">
        <v>1849</v>
      </c>
      <c r="B1490" s="2">
        <v>14.0</v>
      </c>
      <c r="C1490" s="2" t="s">
        <v>11</v>
      </c>
      <c r="D1490" s="2" t="s">
        <v>1850</v>
      </c>
      <c r="E1490" s="2">
        <v>7.0</v>
      </c>
      <c r="F1490" s="2" t="s">
        <v>10</v>
      </c>
      <c r="G1490" s="5">
        <v>2588142.0</v>
      </c>
      <c r="H1490" s="2" t="s">
        <v>1575</v>
      </c>
      <c r="I1490" s="2" t="s">
        <v>1572</v>
      </c>
      <c r="J1490" s="2">
        <v>10122.0</v>
      </c>
      <c r="K1490" s="2" t="s">
        <v>1577</v>
      </c>
      <c r="L1490" s="2"/>
      <c r="M1490" s="2"/>
      <c r="N1490" s="7">
        <v>1.0</v>
      </c>
      <c r="O1490" s="12">
        <v>21905.0</v>
      </c>
      <c r="P1490" s="11" t="s">
        <v>1649</v>
      </c>
      <c r="Q1490" s="12">
        <v>21905.0</v>
      </c>
      <c r="R1490" s="11" t="s">
        <v>1649</v>
      </c>
      <c r="S1490" s="11" t="s">
        <v>1666</v>
      </c>
      <c r="T1490" s="11" t="s">
        <v>1667</v>
      </c>
      <c r="U1490" s="2" t="s">
        <v>1574</v>
      </c>
      <c r="V1490" s="2" t="s">
        <v>1568</v>
      </c>
      <c r="W1490" s="2" t="s">
        <v>1569</v>
      </c>
      <c r="X1490" s="2" t="s">
        <v>1570</v>
      </c>
      <c r="AB1490" s="2" t="s">
        <v>1571</v>
      </c>
    </row>
    <row r="1491">
      <c r="A1491" s="2" t="s">
        <v>1849</v>
      </c>
      <c r="B1491" s="2">
        <v>13.0</v>
      </c>
      <c r="C1491" s="2" t="s">
        <v>11</v>
      </c>
      <c r="D1491" s="2" t="s">
        <v>1850</v>
      </c>
      <c r="E1491" s="2">
        <v>7.0</v>
      </c>
      <c r="F1491" s="2" t="s">
        <v>10</v>
      </c>
      <c r="G1491" s="5">
        <v>2587777.0</v>
      </c>
      <c r="H1491" s="2" t="s">
        <v>1575</v>
      </c>
      <c r="I1491" s="2" t="s">
        <v>1565</v>
      </c>
      <c r="J1491" s="2">
        <v>10002.0</v>
      </c>
      <c r="K1491" s="2" t="s">
        <v>1576</v>
      </c>
      <c r="L1491" s="2"/>
      <c r="M1491" s="2"/>
      <c r="N1491" s="7">
        <v>1.0</v>
      </c>
      <c r="O1491" s="12">
        <v>18571.0</v>
      </c>
      <c r="P1491" s="11" t="s">
        <v>1649</v>
      </c>
      <c r="Q1491" s="12">
        <v>18571.0</v>
      </c>
      <c r="R1491" s="11" t="s">
        <v>1649</v>
      </c>
      <c r="S1491" s="11" t="s">
        <v>1656</v>
      </c>
      <c r="T1491" s="11" t="s">
        <v>1657</v>
      </c>
      <c r="U1491" s="2" t="s">
        <v>1574</v>
      </c>
      <c r="V1491" s="2" t="s">
        <v>1568</v>
      </c>
      <c r="W1491" s="2" t="s">
        <v>1569</v>
      </c>
      <c r="X1491" s="2" t="s">
        <v>1570</v>
      </c>
      <c r="AB1491" s="2" t="s">
        <v>1571</v>
      </c>
    </row>
    <row r="1492">
      <c r="A1492" s="2" t="s">
        <v>1849</v>
      </c>
      <c r="B1492" s="2">
        <v>13.0</v>
      </c>
      <c r="C1492" s="2" t="s">
        <v>11</v>
      </c>
      <c r="D1492" s="2" t="s">
        <v>1850</v>
      </c>
      <c r="E1492" s="2">
        <v>7.0</v>
      </c>
      <c r="F1492" s="2" t="s">
        <v>10</v>
      </c>
      <c r="G1492" s="5">
        <v>2587411.0</v>
      </c>
      <c r="H1492" s="2" t="s">
        <v>1575</v>
      </c>
      <c r="I1492" s="2" t="s">
        <v>1565</v>
      </c>
      <c r="J1492" s="2">
        <v>10000.0</v>
      </c>
      <c r="K1492" s="2" t="s">
        <v>1566</v>
      </c>
      <c r="L1492" s="2"/>
      <c r="M1492" s="2"/>
      <c r="N1492" s="7">
        <v>1.0</v>
      </c>
      <c r="O1492" s="12">
        <v>29524.0</v>
      </c>
      <c r="P1492" s="11" t="s">
        <v>1649</v>
      </c>
      <c r="Q1492" s="12">
        <v>29524.0</v>
      </c>
      <c r="R1492" s="11" t="s">
        <v>1649</v>
      </c>
      <c r="S1492" s="11" t="s">
        <v>1683</v>
      </c>
      <c r="T1492" s="11" t="s">
        <v>1684</v>
      </c>
      <c r="U1492" s="2" t="s">
        <v>1574</v>
      </c>
      <c r="V1492" s="2" t="s">
        <v>1568</v>
      </c>
      <c r="W1492" s="2" t="s">
        <v>1569</v>
      </c>
      <c r="X1492" s="2" t="s">
        <v>1570</v>
      </c>
      <c r="AB1492" s="2" t="s">
        <v>1571</v>
      </c>
    </row>
    <row r="1493">
      <c r="A1493" s="2" t="s">
        <v>1849</v>
      </c>
      <c r="B1493" s="2">
        <v>13.0</v>
      </c>
      <c r="C1493" s="2" t="s">
        <v>11</v>
      </c>
      <c r="D1493" s="2" t="s">
        <v>1850</v>
      </c>
      <c r="E1493" s="2">
        <v>7.0</v>
      </c>
      <c r="F1493" s="2" t="s">
        <v>10</v>
      </c>
      <c r="G1493" s="5">
        <v>2587411.0</v>
      </c>
      <c r="H1493" s="2" t="s">
        <v>1575</v>
      </c>
      <c r="I1493" s="2" t="s">
        <v>1565</v>
      </c>
      <c r="J1493" s="2">
        <v>10002.0</v>
      </c>
      <c r="K1493" s="2" t="s">
        <v>1576</v>
      </c>
      <c r="L1493" s="2"/>
      <c r="M1493" s="2"/>
      <c r="N1493" s="7">
        <v>1.0</v>
      </c>
      <c r="O1493" s="12">
        <v>18571.0</v>
      </c>
      <c r="P1493" s="11" t="s">
        <v>1649</v>
      </c>
      <c r="Q1493" s="12">
        <v>18571.0</v>
      </c>
      <c r="R1493" s="11" t="s">
        <v>1649</v>
      </c>
      <c r="S1493" s="11" t="s">
        <v>1656</v>
      </c>
      <c r="T1493" s="11" t="s">
        <v>1657</v>
      </c>
      <c r="U1493" s="2" t="s">
        <v>1574</v>
      </c>
      <c r="V1493" s="2" t="s">
        <v>1568</v>
      </c>
      <c r="W1493" s="2" t="s">
        <v>1569</v>
      </c>
      <c r="X1493" s="2" t="s">
        <v>1570</v>
      </c>
      <c r="AB1493" s="2" t="s">
        <v>1571</v>
      </c>
    </row>
    <row r="1494">
      <c r="A1494" s="2" t="s">
        <v>1849</v>
      </c>
      <c r="B1494" s="2">
        <v>13.0</v>
      </c>
      <c r="C1494" s="2" t="s">
        <v>11</v>
      </c>
      <c r="D1494" s="2" t="s">
        <v>1850</v>
      </c>
      <c r="E1494" s="2">
        <v>7.0</v>
      </c>
      <c r="F1494" s="2" t="s">
        <v>10</v>
      </c>
      <c r="G1494" s="5">
        <v>2587411.0</v>
      </c>
      <c r="H1494" s="2" t="s">
        <v>1575</v>
      </c>
      <c r="I1494" s="2" t="s">
        <v>1565</v>
      </c>
      <c r="J1494" s="2">
        <v>10005.0</v>
      </c>
      <c r="K1494" s="2" t="s">
        <v>1595</v>
      </c>
      <c r="L1494" s="2"/>
      <c r="M1494" s="2"/>
      <c r="N1494" s="7">
        <v>1.0</v>
      </c>
      <c r="O1494" s="12">
        <v>19524.0</v>
      </c>
      <c r="P1494" s="11" t="s">
        <v>1649</v>
      </c>
      <c r="Q1494" s="12">
        <v>19524.0</v>
      </c>
      <c r="R1494" s="11" t="s">
        <v>1649</v>
      </c>
      <c r="S1494" s="11" t="s">
        <v>1676</v>
      </c>
      <c r="T1494" s="11" t="s">
        <v>1677</v>
      </c>
      <c r="U1494" s="2" t="s">
        <v>1574</v>
      </c>
      <c r="V1494" s="2" t="s">
        <v>1568</v>
      </c>
      <c r="W1494" s="2" t="s">
        <v>1569</v>
      </c>
      <c r="X1494" s="2" t="s">
        <v>1570</v>
      </c>
      <c r="AB1494" s="2" t="s">
        <v>1571</v>
      </c>
    </row>
    <row r="1495">
      <c r="A1495" s="2" t="s">
        <v>1849</v>
      </c>
      <c r="B1495" s="2">
        <v>13.0</v>
      </c>
      <c r="C1495" s="2" t="s">
        <v>11</v>
      </c>
      <c r="D1495" s="2" t="s">
        <v>1850</v>
      </c>
      <c r="E1495" s="2">
        <v>7.0</v>
      </c>
      <c r="F1495" s="2" t="s">
        <v>10</v>
      </c>
      <c r="G1495" s="5">
        <v>2587411.0</v>
      </c>
      <c r="H1495" s="2" t="s">
        <v>1575</v>
      </c>
      <c r="I1495" s="2" t="s">
        <v>1572</v>
      </c>
      <c r="J1495" s="2">
        <v>10126.0</v>
      </c>
      <c r="K1495" s="2" t="s">
        <v>1600</v>
      </c>
      <c r="L1495" s="2"/>
      <c r="M1495" s="2"/>
      <c r="N1495" s="7">
        <v>1.0</v>
      </c>
      <c r="O1495" s="12">
        <v>23810.0</v>
      </c>
      <c r="P1495" s="11" t="s">
        <v>1649</v>
      </c>
      <c r="Q1495" s="12">
        <v>23810.0</v>
      </c>
      <c r="R1495" s="11" t="s">
        <v>1649</v>
      </c>
      <c r="S1495" s="11" t="s">
        <v>1709</v>
      </c>
      <c r="T1495" s="11" t="s">
        <v>1737</v>
      </c>
      <c r="U1495" s="2" t="s">
        <v>1574</v>
      </c>
      <c r="V1495" s="2" t="s">
        <v>1568</v>
      </c>
      <c r="W1495" s="2" t="s">
        <v>1569</v>
      </c>
      <c r="X1495" s="2" t="s">
        <v>1570</v>
      </c>
      <c r="AB1495" s="2" t="s">
        <v>1571</v>
      </c>
    </row>
    <row r="1496">
      <c r="A1496" s="2" t="s">
        <v>1849</v>
      </c>
      <c r="B1496" s="2">
        <v>13.0</v>
      </c>
      <c r="C1496" s="2" t="s">
        <v>11</v>
      </c>
      <c r="D1496" s="2" t="s">
        <v>1850</v>
      </c>
      <c r="E1496" s="2">
        <v>7.0</v>
      </c>
      <c r="F1496" s="2" t="s">
        <v>10</v>
      </c>
      <c r="G1496" s="5">
        <v>2587411.0</v>
      </c>
      <c r="H1496" s="2" t="s">
        <v>1575</v>
      </c>
      <c r="I1496" s="2" t="s">
        <v>1565</v>
      </c>
      <c r="J1496" s="2">
        <v>10033.0</v>
      </c>
      <c r="K1496" s="2" t="s">
        <v>1615</v>
      </c>
      <c r="L1496" s="2"/>
      <c r="M1496" s="2"/>
      <c r="N1496" s="7">
        <v>1.0</v>
      </c>
      <c r="O1496" s="12">
        <v>21905.0</v>
      </c>
      <c r="P1496" s="11" t="s">
        <v>1649</v>
      </c>
      <c r="Q1496" s="12">
        <v>21905.0</v>
      </c>
      <c r="R1496" s="11" t="s">
        <v>1649</v>
      </c>
      <c r="S1496" s="11" t="s">
        <v>1666</v>
      </c>
      <c r="T1496" s="11" t="s">
        <v>1687</v>
      </c>
      <c r="U1496" s="2" t="s">
        <v>1574</v>
      </c>
      <c r="V1496" s="2" t="s">
        <v>1568</v>
      </c>
      <c r="W1496" s="2" t="s">
        <v>1569</v>
      </c>
      <c r="X1496" s="2" t="s">
        <v>1570</v>
      </c>
      <c r="AB1496" s="2" t="s">
        <v>1571</v>
      </c>
    </row>
    <row r="1497">
      <c r="A1497" s="2" t="s">
        <v>1849</v>
      </c>
      <c r="B1497" s="2">
        <v>13.0</v>
      </c>
      <c r="C1497" s="2" t="s">
        <v>11</v>
      </c>
      <c r="D1497" s="2" t="s">
        <v>1850</v>
      </c>
      <c r="E1497" s="2">
        <v>7.0</v>
      </c>
      <c r="F1497" s="2" t="s">
        <v>10</v>
      </c>
      <c r="G1497" s="5">
        <v>2587411.0</v>
      </c>
      <c r="H1497" s="2" t="s">
        <v>1575</v>
      </c>
      <c r="I1497" s="2" t="s">
        <v>1572</v>
      </c>
      <c r="J1497" s="2">
        <v>10107.0</v>
      </c>
      <c r="K1497" s="2" t="s">
        <v>1584</v>
      </c>
      <c r="L1497" s="2"/>
      <c r="M1497" s="2"/>
      <c r="N1497" s="7">
        <v>1.0</v>
      </c>
      <c r="O1497" s="12">
        <v>26667.0</v>
      </c>
      <c r="P1497" s="11" t="s">
        <v>1649</v>
      </c>
      <c r="Q1497" s="12">
        <v>26667.0</v>
      </c>
      <c r="R1497" s="11" t="s">
        <v>1649</v>
      </c>
      <c r="S1497" s="11" t="s">
        <v>1674</v>
      </c>
      <c r="T1497" s="11" t="s">
        <v>1679</v>
      </c>
      <c r="U1497" s="2" t="s">
        <v>1574</v>
      </c>
      <c r="V1497" s="2" t="s">
        <v>1568</v>
      </c>
      <c r="W1497" s="2" t="s">
        <v>1569</v>
      </c>
      <c r="X1497" s="2" t="s">
        <v>1570</v>
      </c>
      <c r="AB1497" s="2" t="s">
        <v>1571</v>
      </c>
    </row>
    <row r="1498">
      <c r="A1498" s="2" t="s">
        <v>1849</v>
      </c>
      <c r="B1498" s="2">
        <v>13.0</v>
      </c>
      <c r="C1498" s="2" t="s">
        <v>11</v>
      </c>
      <c r="D1498" s="2" t="s">
        <v>1850</v>
      </c>
      <c r="E1498" s="2">
        <v>7.0</v>
      </c>
      <c r="F1498" s="2" t="s">
        <v>10</v>
      </c>
      <c r="G1498" s="5">
        <v>2587411.0</v>
      </c>
      <c r="H1498" s="2" t="s">
        <v>1575</v>
      </c>
      <c r="I1498" s="2" t="s">
        <v>1572</v>
      </c>
      <c r="J1498" s="2">
        <v>10063.0</v>
      </c>
      <c r="K1498" s="2" t="s">
        <v>1594</v>
      </c>
      <c r="L1498" s="2"/>
      <c r="M1498" s="2"/>
      <c r="N1498" s="7">
        <v>1.0</v>
      </c>
      <c r="O1498" s="12">
        <v>24762.0</v>
      </c>
      <c r="P1498" s="11" t="s">
        <v>1649</v>
      </c>
      <c r="Q1498" s="12">
        <v>24762.0</v>
      </c>
      <c r="R1498" s="11" t="s">
        <v>1649</v>
      </c>
      <c r="S1498" s="11" t="s">
        <v>1689</v>
      </c>
      <c r="T1498" s="11" t="s">
        <v>1693</v>
      </c>
      <c r="U1498" s="2" t="s">
        <v>1574</v>
      </c>
      <c r="V1498" s="2" t="s">
        <v>1568</v>
      </c>
      <c r="W1498" s="2" t="s">
        <v>1569</v>
      </c>
      <c r="X1498" s="2" t="s">
        <v>1570</v>
      </c>
      <c r="AB1498" s="2" t="s">
        <v>1571</v>
      </c>
    </row>
    <row r="1499">
      <c r="A1499" s="2" t="s">
        <v>1849</v>
      </c>
      <c r="B1499" s="2">
        <v>13.0</v>
      </c>
      <c r="C1499" s="2" t="s">
        <v>11</v>
      </c>
      <c r="D1499" s="2" t="s">
        <v>1850</v>
      </c>
      <c r="E1499" s="2">
        <v>7.0</v>
      </c>
      <c r="F1499" s="2" t="s">
        <v>10</v>
      </c>
      <c r="G1499" s="5">
        <v>2587411.0</v>
      </c>
      <c r="H1499" s="2" t="s">
        <v>1575</v>
      </c>
      <c r="I1499" s="2" t="s">
        <v>1572</v>
      </c>
      <c r="J1499" s="2">
        <v>10058.0</v>
      </c>
      <c r="K1499" s="2" t="s">
        <v>1618</v>
      </c>
      <c r="L1499" s="2"/>
      <c r="M1499" s="2"/>
      <c r="N1499" s="7">
        <v>1.0</v>
      </c>
      <c r="O1499" s="12">
        <v>19524.0</v>
      </c>
      <c r="P1499" s="11" t="s">
        <v>1649</v>
      </c>
      <c r="Q1499" s="12">
        <v>19524.0</v>
      </c>
      <c r="R1499" s="11" t="s">
        <v>1649</v>
      </c>
      <c r="S1499" s="11" t="s">
        <v>1676</v>
      </c>
      <c r="T1499" s="11" t="s">
        <v>1677</v>
      </c>
      <c r="U1499" s="2" t="s">
        <v>1574</v>
      </c>
      <c r="V1499" s="2" t="s">
        <v>1568</v>
      </c>
      <c r="W1499" s="2" t="s">
        <v>1569</v>
      </c>
      <c r="X1499" s="2" t="s">
        <v>1570</v>
      </c>
      <c r="AB1499" s="2" t="s">
        <v>1571</v>
      </c>
    </row>
    <row r="1500">
      <c r="A1500" s="2" t="s">
        <v>1849</v>
      </c>
      <c r="B1500" s="2">
        <v>13.0</v>
      </c>
      <c r="C1500" s="2" t="s">
        <v>11</v>
      </c>
      <c r="D1500" s="2" t="s">
        <v>1850</v>
      </c>
      <c r="E1500" s="2">
        <v>7.0</v>
      </c>
      <c r="F1500" s="2" t="s">
        <v>10</v>
      </c>
      <c r="G1500" s="5">
        <v>2587046.0</v>
      </c>
      <c r="H1500" s="2" t="s">
        <v>1575</v>
      </c>
      <c r="I1500" s="2" t="s">
        <v>1572</v>
      </c>
      <c r="J1500" s="2">
        <v>10128.0</v>
      </c>
      <c r="K1500" s="2" t="s">
        <v>1588</v>
      </c>
      <c r="L1500" s="2"/>
      <c r="M1500" s="2"/>
      <c r="N1500" s="7">
        <v>1.0</v>
      </c>
      <c r="O1500" s="12">
        <v>23333.0</v>
      </c>
      <c r="P1500" s="11" t="s">
        <v>1649</v>
      </c>
      <c r="Q1500" s="12">
        <v>23333.0</v>
      </c>
      <c r="R1500" s="11" t="s">
        <v>1649</v>
      </c>
      <c r="S1500" s="11" t="s">
        <v>1681</v>
      </c>
      <c r="T1500" s="11" t="s">
        <v>1682</v>
      </c>
      <c r="U1500" s="2" t="s">
        <v>1574</v>
      </c>
      <c r="V1500" s="2" t="s">
        <v>1568</v>
      </c>
      <c r="W1500" s="2" t="s">
        <v>1569</v>
      </c>
      <c r="X1500" s="2" t="s">
        <v>1570</v>
      </c>
      <c r="AB1500" s="2" t="s">
        <v>1571</v>
      </c>
    </row>
    <row r="1501">
      <c r="A1501" s="2" t="s">
        <v>1849</v>
      </c>
      <c r="B1501" s="2">
        <v>13.0</v>
      </c>
      <c r="C1501" s="2" t="s">
        <v>11</v>
      </c>
      <c r="D1501" s="2" t="s">
        <v>1850</v>
      </c>
      <c r="E1501" s="2">
        <v>7.0</v>
      </c>
      <c r="F1501" s="2" t="s">
        <v>10</v>
      </c>
      <c r="G1501" s="5">
        <v>2587046.0</v>
      </c>
      <c r="H1501" s="2" t="s">
        <v>1575</v>
      </c>
      <c r="I1501" s="2" t="s">
        <v>1572</v>
      </c>
      <c r="J1501" s="2">
        <v>10106.0</v>
      </c>
      <c r="K1501" s="2" t="s">
        <v>1598</v>
      </c>
      <c r="L1501" s="2"/>
      <c r="M1501" s="2"/>
      <c r="N1501" s="7">
        <v>1.0</v>
      </c>
      <c r="O1501" s="12">
        <v>26667.0</v>
      </c>
      <c r="P1501" s="11" t="s">
        <v>1649</v>
      </c>
      <c r="Q1501" s="12">
        <v>26667.0</v>
      </c>
      <c r="R1501" s="11" t="s">
        <v>1649</v>
      </c>
      <c r="S1501" s="11" t="s">
        <v>1674</v>
      </c>
      <c r="T1501" s="11" t="s">
        <v>1679</v>
      </c>
      <c r="U1501" s="2" t="s">
        <v>1574</v>
      </c>
      <c r="V1501" s="2" t="s">
        <v>1568</v>
      </c>
      <c r="W1501" s="2" t="s">
        <v>1569</v>
      </c>
      <c r="X1501" s="2" t="s">
        <v>1570</v>
      </c>
      <c r="AB1501" s="2" t="s">
        <v>1571</v>
      </c>
    </row>
    <row r="1502">
      <c r="A1502" s="2" t="s">
        <v>1849</v>
      </c>
      <c r="B1502" s="2">
        <v>13.0</v>
      </c>
      <c r="C1502" s="2" t="s">
        <v>11</v>
      </c>
      <c r="D1502" s="2" t="s">
        <v>1850</v>
      </c>
      <c r="E1502" s="2">
        <v>7.0</v>
      </c>
      <c r="F1502" s="2" t="s">
        <v>10</v>
      </c>
      <c r="G1502" s="5">
        <v>2587046.0</v>
      </c>
      <c r="H1502" s="2" t="s">
        <v>1575</v>
      </c>
      <c r="I1502" s="2" t="s">
        <v>1565</v>
      </c>
      <c r="J1502" s="2">
        <v>10002.0</v>
      </c>
      <c r="K1502" s="2" t="s">
        <v>1576</v>
      </c>
      <c r="L1502" s="2"/>
      <c r="M1502" s="2"/>
      <c r="N1502" s="7">
        <v>1.0</v>
      </c>
      <c r="O1502" s="12">
        <v>18571.0</v>
      </c>
      <c r="P1502" s="11" t="s">
        <v>1649</v>
      </c>
      <c r="Q1502" s="12">
        <v>18571.0</v>
      </c>
      <c r="R1502" s="11" t="s">
        <v>1649</v>
      </c>
      <c r="S1502" s="11" t="s">
        <v>1656</v>
      </c>
      <c r="T1502" s="11" t="s">
        <v>1657</v>
      </c>
      <c r="U1502" s="2" t="s">
        <v>1574</v>
      </c>
      <c r="V1502" s="2" t="s">
        <v>1568</v>
      </c>
      <c r="W1502" s="2" t="s">
        <v>1569</v>
      </c>
      <c r="X1502" s="2" t="s">
        <v>1570</v>
      </c>
      <c r="AB1502" s="2" t="s">
        <v>1571</v>
      </c>
    </row>
    <row r="1503">
      <c r="A1503" s="2" t="s">
        <v>1849</v>
      </c>
      <c r="B1503" s="2">
        <v>13.0</v>
      </c>
      <c r="C1503" s="2" t="s">
        <v>11</v>
      </c>
      <c r="D1503" s="2" t="s">
        <v>1850</v>
      </c>
      <c r="E1503" s="2">
        <v>7.0</v>
      </c>
      <c r="F1503" s="2" t="s">
        <v>10</v>
      </c>
      <c r="G1503" s="5">
        <v>2586681.0</v>
      </c>
      <c r="H1503" s="2" t="s">
        <v>1575</v>
      </c>
      <c r="I1503" s="2" t="s">
        <v>1572</v>
      </c>
      <c r="J1503" s="2">
        <v>10107.0</v>
      </c>
      <c r="K1503" s="2" t="s">
        <v>1584</v>
      </c>
      <c r="L1503" s="2"/>
      <c r="M1503" s="2"/>
      <c r="N1503" s="7">
        <v>1.0</v>
      </c>
      <c r="O1503" s="12">
        <v>26667.0</v>
      </c>
      <c r="P1503" s="11" t="s">
        <v>1649</v>
      </c>
      <c r="Q1503" s="12">
        <v>26667.0</v>
      </c>
      <c r="R1503" s="11" t="s">
        <v>1649</v>
      </c>
      <c r="S1503" s="11" t="s">
        <v>1674</v>
      </c>
      <c r="T1503" s="11" t="s">
        <v>1679</v>
      </c>
      <c r="U1503" s="2" t="s">
        <v>1574</v>
      </c>
      <c r="V1503" s="2" t="s">
        <v>1568</v>
      </c>
      <c r="W1503" s="2" t="s">
        <v>1569</v>
      </c>
      <c r="X1503" s="2" t="s">
        <v>1570</v>
      </c>
      <c r="AB1503" s="2" t="s">
        <v>1571</v>
      </c>
    </row>
    <row r="1504">
      <c r="A1504" s="2" t="s">
        <v>1849</v>
      </c>
      <c r="B1504" s="2">
        <v>13.0</v>
      </c>
      <c r="C1504" s="2" t="s">
        <v>11</v>
      </c>
      <c r="D1504" s="2" t="s">
        <v>1850</v>
      </c>
      <c r="E1504" s="2">
        <v>7.0</v>
      </c>
      <c r="F1504" s="2" t="s">
        <v>10</v>
      </c>
      <c r="G1504" s="5">
        <v>2586316.0</v>
      </c>
      <c r="H1504" s="2" t="s">
        <v>1575</v>
      </c>
      <c r="I1504" s="2" t="s">
        <v>1580</v>
      </c>
      <c r="J1504" s="2">
        <v>10012.0</v>
      </c>
      <c r="K1504" s="2" t="s">
        <v>1602</v>
      </c>
      <c r="L1504" s="2"/>
      <c r="M1504" s="2"/>
      <c r="N1504" s="7">
        <v>1.0</v>
      </c>
      <c r="O1504" s="12">
        <v>29524.0</v>
      </c>
      <c r="P1504" s="11" t="s">
        <v>1649</v>
      </c>
      <c r="Q1504" s="12">
        <v>29524.0</v>
      </c>
      <c r="R1504" s="11" t="s">
        <v>1649</v>
      </c>
      <c r="S1504" s="11" t="s">
        <v>1683</v>
      </c>
      <c r="T1504" s="11" t="s">
        <v>1684</v>
      </c>
      <c r="U1504" s="2" t="s">
        <v>1574</v>
      </c>
      <c r="V1504" s="2" t="s">
        <v>1568</v>
      </c>
      <c r="W1504" s="2" t="s">
        <v>1569</v>
      </c>
      <c r="X1504" s="2" t="s">
        <v>1570</v>
      </c>
      <c r="AB1504" s="2" t="s">
        <v>1571</v>
      </c>
    </row>
    <row r="1505">
      <c r="A1505" s="2" t="s">
        <v>1849</v>
      </c>
      <c r="B1505" s="2">
        <v>13.0</v>
      </c>
      <c r="C1505" s="2" t="s">
        <v>11</v>
      </c>
      <c r="D1505" s="2" t="s">
        <v>1850</v>
      </c>
      <c r="E1505" s="2">
        <v>7.0</v>
      </c>
      <c r="F1505" s="2" t="s">
        <v>10</v>
      </c>
      <c r="G1505" s="5">
        <v>2586316.0</v>
      </c>
      <c r="H1505" s="2" t="s">
        <v>1575</v>
      </c>
      <c r="I1505" s="2" t="s">
        <v>1572</v>
      </c>
      <c r="J1505" s="2">
        <v>10106.0</v>
      </c>
      <c r="K1505" s="2" t="s">
        <v>1598</v>
      </c>
      <c r="L1505" s="2"/>
      <c r="M1505" s="2"/>
      <c r="N1505" s="7">
        <v>1.0</v>
      </c>
      <c r="O1505" s="12">
        <v>26667.0</v>
      </c>
      <c r="P1505" s="11" t="s">
        <v>1649</v>
      </c>
      <c r="Q1505" s="12">
        <v>26667.0</v>
      </c>
      <c r="R1505" s="11" t="s">
        <v>1649</v>
      </c>
      <c r="S1505" s="11" t="s">
        <v>1674</v>
      </c>
      <c r="T1505" s="11" t="s">
        <v>1675</v>
      </c>
      <c r="U1505" s="2" t="s">
        <v>1574</v>
      </c>
      <c r="V1505" s="2" t="s">
        <v>1568</v>
      </c>
      <c r="W1505" s="2" t="s">
        <v>1569</v>
      </c>
      <c r="X1505" s="2" t="s">
        <v>1570</v>
      </c>
      <c r="AB1505" s="2" t="s">
        <v>1571</v>
      </c>
    </row>
    <row r="1506">
      <c r="A1506" s="2" t="s">
        <v>1849</v>
      </c>
      <c r="B1506" s="2">
        <v>13.0</v>
      </c>
      <c r="C1506" s="2" t="s">
        <v>11</v>
      </c>
      <c r="D1506" s="2" t="s">
        <v>1850</v>
      </c>
      <c r="E1506" s="2">
        <v>7.0</v>
      </c>
      <c r="F1506" s="2" t="s">
        <v>10</v>
      </c>
      <c r="G1506" s="5">
        <v>2585950.0</v>
      </c>
      <c r="H1506" s="2" t="s">
        <v>1575</v>
      </c>
      <c r="I1506" s="2" t="s">
        <v>1565</v>
      </c>
      <c r="J1506" s="2">
        <v>10002.0</v>
      </c>
      <c r="K1506" s="2" t="s">
        <v>1576</v>
      </c>
      <c r="L1506" s="2"/>
      <c r="M1506" s="2"/>
      <c r="N1506" s="7">
        <v>1.0</v>
      </c>
      <c r="O1506" s="12">
        <v>18571.0</v>
      </c>
      <c r="P1506" s="11" t="s">
        <v>1649</v>
      </c>
      <c r="Q1506" s="12">
        <v>18571.0</v>
      </c>
      <c r="R1506" s="11" t="s">
        <v>1649</v>
      </c>
      <c r="S1506" s="11" t="s">
        <v>1656</v>
      </c>
      <c r="T1506" s="11" t="s">
        <v>1657</v>
      </c>
      <c r="U1506" s="2" t="s">
        <v>1574</v>
      </c>
      <c r="V1506" s="2" t="s">
        <v>1568</v>
      </c>
      <c r="W1506" s="2" t="s">
        <v>1569</v>
      </c>
      <c r="X1506" s="2" t="s">
        <v>1570</v>
      </c>
      <c r="AB1506" s="2" t="s">
        <v>1571</v>
      </c>
    </row>
    <row r="1507">
      <c r="A1507" s="2" t="s">
        <v>1849</v>
      </c>
      <c r="B1507" s="2">
        <v>13.0</v>
      </c>
      <c r="C1507" s="2" t="s">
        <v>11</v>
      </c>
      <c r="D1507" s="2" t="s">
        <v>1850</v>
      </c>
      <c r="E1507" s="2">
        <v>7.0</v>
      </c>
      <c r="F1507" s="2" t="s">
        <v>10</v>
      </c>
      <c r="G1507" s="5">
        <v>2585950.0</v>
      </c>
      <c r="H1507" s="2" t="s">
        <v>1575</v>
      </c>
      <c r="I1507" s="2" t="s">
        <v>1565</v>
      </c>
      <c r="J1507" s="2">
        <v>10005.0</v>
      </c>
      <c r="K1507" s="2" t="s">
        <v>1595</v>
      </c>
      <c r="L1507" s="2"/>
      <c r="M1507" s="2"/>
      <c r="N1507" s="7">
        <v>1.0</v>
      </c>
      <c r="O1507" s="12">
        <v>19524.0</v>
      </c>
      <c r="P1507" s="11" t="s">
        <v>1649</v>
      </c>
      <c r="Q1507" s="12">
        <v>19524.0</v>
      </c>
      <c r="R1507" s="11" t="s">
        <v>1649</v>
      </c>
      <c r="S1507" s="11" t="s">
        <v>1676</v>
      </c>
      <c r="T1507" s="11" t="s">
        <v>1677</v>
      </c>
      <c r="U1507" s="2" t="s">
        <v>1574</v>
      </c>
      <c r="V1507" s="2" t="s">
        <v>1568</v>
      </c>
      <c r="W1507" s="2" t="s">
        <v>1569</v>
      </c>
      <c r="X1507" s="2" t="s">
        <v>1570</v>
      </c>
      <c r="AB1507" s="2" t="s">
        <v>1571</v>
      </c>
    </row>
    <row r="1508">
      <c r="A1508" s="2" t="s">
        <v>1849</v>
      </c>
      <c r="B1508" s="2">
        <v>13.0</v>
      </c>
      <c r="C1508" s="2" t="s">
        <v>11</v>
      </c>
      <c r="D1508" s="2" t="s">
        <v>1850</v>
      </c>
      <c r="E1508" s="2">
        <v>7.0</v>
      </c>
      <c r="F1508" s="2" t="s">
        <v>10</v>
      </c>
      <c r="G1508" s="5">
        <v>2585950.0</v>
      </c>
      <c r="H1508" s="2" t="s">
        <v>1575</v>
      </c>
      <c r="I1508" s="2" t="s">
        <v>1572</v>
      </c>
      <c r="J1508" s="2">
        <v>10026.0</v>
      </c>
      <c r="K1508" s="2" t="s">
        <v>1583</v>
      </c>
      <c r="L1508" s="2"/>
      <c r="M1508" s="2"/>
      <c r="N1508" s="7">
        <v>1.0</v>
      </c>
      <c r="O1508" s="12">
        <v>21905.0</v>
      </c>
      <c r="P1508" s="11" t="s">
        <v>1649</v>
      </c>
      <c r="Q1508" s="12">
        <v>21905.0</v>
      </c>
      <c r="R1508" s="11" t="s">
        <v>1649</v>
      </c>
      <c r="S1508" s="11" t="s">
        <v>1666</v>
      </c>
      <c r="T1508" s="11" t="s">
        <v>1667</v>
      </c>
      <c r="U1508" s="2" t="s">
        <v>1574</v>
      </c>
      <c r="V1508" s="2" t="s">
        <v>1568</v>
      </c>
      <c r="W1508" s="2" t="s">
        <v>1569</v>
      </c>
      <c r="X1508" s="2" t="s">
        <v>1570</v>
      </c>
      <c r="AB1508" s="2" t="s">
        <v>1571</v>
      </c>
    </row>
    <row r="1509">
      <c r="A1509" s="2" t="s">
        <v>1849</v>
      </c>
      <c r="B1509" s="2">
        <v>13.0</v>
      </c>
      <c r="C1509" s="2" t="s">
        <v>11</v>
      </c>
      <c r="D1509" s="2" t="s">
        <v>1850</v>
      </c>
      <c r="E1509" s="2">
        <v>7.0</v>
      </c>
      <c r="F1509" s="2" t="s">
        <v>10</v>
      </c>
      <c r="G1509" s="5">
        <v>2585950.0</v>
      </c>
      <c r="H1509" s="2" t="s">
        <v>1575</v>
      </c>
      <c r="I1509" s="2" t="s">
        <v>1572</v>
      </c>
      <c r="J1509" s="2">
        <v>10128.0</v>
      </c>
      <c r="K1509" s="2" t="s">
        <v>1588</v>
      </c>
      <c r="L1509" s="2"/>
      <c r="M1509" s="2"/>
      <c r="N1509" s="7">
        <v>1.0</v>
      </c>
      <c r="O1509" s="12">
        <v>23333.0</v>
      </c>
      <c r="P1509" s="11" t="s">
        <v>1649</v>
      </c>
      <c r="Q1509" s="12">
        <v>23333.0</v>
      </c>
      <c r="R1509" s="11" t="s">
        <v>1649</v>
      </c>
      <c r="S1509" s="11" t="s">
        <v>1681</v>
      </c>
      <c r="T1509" s="11" t="s">
        <v>1682</v>
      </c>
      <c r="U1509" s="2" t="s">
        <v>1574</v>
      </c>
      <c r="V1509" s="2" t="s">
        <v>1568</v>
      </c>
      <c r="W1509" s="2" t="s">
        <v>1569</v>
      </c>
      <c r="X1509" s="2" t="s">
        <v>1570</v>
      </c>
      <c r="AB1509" s="2" t="s">
        <v>1571</v>
      </c>
    </row>
    <row r="1510">
      <c r="A1510" s="2" t="s">
        <v>1849</v>
      </c>
      <c r="B1510" s="2">
        <v>12.0</v>
      </c>
      <c r="C1510" s="2" t="s">
        <v>11</v>
      </c>
      <c r="D1510" s="2" t="s">
        <v>1850</v>
      </c>
      <c r="E1510" s="2">
        <v>7.0</v>
      </c>
      <c r="F1510" s="2" t="s">
        <v>10</v>
      </c>
      <c r="G1510" s="5">
        <v>2585585.0</v>
      </c>
      <c r="H1510" s="2" t="s">
        <v>1575</v>
      </c>
      <c r="I1510" s="2" t="s">
        <v>1565</v>
      </c>
      <c r="J1510" s="2">
        <v>10054.0</v>
      </c>
      <c r="K1510" s="2" t="s">
        <v>1610</v>
      </c>
      <c r="L1510" s="2"/>
      <c r="M1510" s="2"/>
      <c r="N1510" s="7">
        <v>1.0</v>
      </c>
      <c r="O1510" s="12">
        <v>25238.0</v>
      </c>
      <c r="P1510" s="11" t="s">
        <v>1649</v>
      </c>
      <c r="Q1510" s="12">
        <v>25238.0</v>
      </c>
      <c r="R1510" s="11" t="s">
        <v>1649</v>
      </c>
      <c r="S1510" s="11" t="s">
        <v>1660</v>
      </c>
      <c r="T1510" s="11" t="s">
        <v>1680</v>
      </c>
      <c r="U1510" s="2" t="s">
        <v>1574</v>
      </c>
      <c r="V1510" s="2" t="s">
        <v>1568</v>
      </c>
      <c r="W1510" s="2" t="s">
        <v>1569</v>
      </c>
      <c r="X1510" s="2" t="s">
        <v>1570</v>
      </c>
      <c r="AB1510" s="2" t="s">
        <v>1571</v>
      </c>
    </row>
    <row r="1511">
      <c r="A1511" s="2" t="s">
        <v>1849</v>
      </c>
      <c r="B1511" s="2">
        <v>12.0</v>
      </c>
      <c r="C1511" s="2" t="s">
        <v>11</v>
      </c>
      <c r="D1511" s="2" t="s">
        <v>1850</v>
      </c>
      <c r="E1511" s="2">
        <v>7.0</v>
      </c>
      <c r="F1511" s="2" t="s">
        <v>10</v>
      </c>
      <c r="G1511" s="5">
        <v>2585585.0</v>
      </c>
      <c r="H1511" s="2" t="s">
        <v>1575</v>
      </c>
      <c r="I1511" s="2" t="s">
        <v>1578</v>
      </c>
      <c r="J1511" s="2">
        <v>10015.0</v>
      </c>
      <c r="K1511" s="2" t="s">
        <v>1587</v>
      </c>
      <c r="L1511" s="2"/>
      <c r="M1511" s="2"/>
      <c r="N1511" s="7">
        <v>1.0</v>
      </c>
      <c r="O1511" s="12">
        <v>25238.0</v>
      </c>
      <c r="P1511" s="11" t="s">
        <v>1649</v>
      </c>
      <c r="Q1511" s="12">
        <v>25238.0</v>
      </c>
      <c r="R1511" s="11" t="s">
        <v>1649</v>
      </c>
      <c r="S1511" s="11" t="s">
        <v>1660</v>
      </c>
      <c r="T1511" s="11" t="s">
        <v>1680</v>
      </c>
      <c r="U1511" s="2" t="s">
        <v>1574</v>
      </c>
      <c r="V1511" s="2" t="s">
        <v>1568</v>
      </c>
      <c r="W1511" s="2" t="s">
        <v>1569</v>
      </c>
      <c r="X1511" s="2" t="s">
        <v>1570</v>
      </c>
      <c r="AB1511" s="2" t="s">
        <v>1571</v>
      </c>
    </row>
    <row r="1512">
      <c r="A1512" s="2" t="s">
        <v>1849</v>
      </c>
      <c r="B1512" s="2">
        <v>12.0</v>
      </c>
      <c r="C1512" s="2" t="s">
        <v>11</v>
      </c>
      <c r="D1512" s="2" t="s">
        <v>1850</v>
      </c>
      <c r="E1512" s="2">
        <v>7.0</v>
      </c>
      <c r="F1512" s="2" t="s">
        <v>10</v>
      </c>
      <c r="G1512" s="5">
        <v>2585220.0</v>
      </c>
      <c r="H1512" s="2" t="s">
        <v>1575</v>
      </c>
      <c r="I1512" s="2" t="s">
        <v>1565</v>
      </c>
      <c r="J1512" s="2">
        <v>10007.0</v>
      </c>
      <c r="K1512" s="2" t="s">
        <v>1576</v>
      </c>
      <c r="L1512" s="2"/>
      <c r="M1512" s="2"/>
      <c r="N1512" s="7">
        <v>2.0</v>
      </c>
      <c r="O1512" s="12">
        <v>33810.0</v>
      </c>
      <c r="P1512" s="11" t="s">
        <v>1649</v>
      </c>
      <c r="Q1512" s="12">
        <v>33810.0</v>
      </c>
      <c r="R1512" s="11" t="s">
        <v>1649</v>
      </c>
      <c r="S1512" s="11" t="s">
        <v>1701</v>
      </c>
      <c r="T1512" s="11" t="s">
        <v>1703</v>
      </c>
      <c r="U1512" s="2" t="s">
        <v>1567</v>
      </c>
      <c r="V1512" s="2" t="s">
        <v>1568</v>
      </c>
      <c r="W1512" s="2" t="s">
        <v>1569</v>
      </c>
      <c r="X1512" s="2" t="s">
        <v>1570</v>
      </c>
      <c r="AB1512" s="2" t="s">
        <v>1571</v>
      </c>
    </row>
    <row r="1513">
      <c r="A1513" s="2" t="s">
        <v>1849</v>
      </c>
      <c r="B1513" s="2">
        <v>12.0</v>
      </c>
      <c r="C1513" s="2" t="s">
        <v>11</v>
      </c>
      <c r="D1513" s="2" t="s">
        <v>1850</v>
      </c>
      <c r="E1513" s="2">
        <v>7.0</v>
      </c>
      <c r="F1513" s="2" t="s">
        <v>10</v>
      </c>
      <c r="G1513" s="5">
        <v>2585220.0</v>
      </c>
      <c r="H1513" s="2" t="s">
        <v>1575</v>
      </c>
      <c r="I1513" s="2" t="s">
        <v>1565</v>
      </c>
      <c r="J1513" s="2">
        <v>10055.0</v>
      </c>
      <c r="K1513" s="2" t="s">
        <v>1595</v>
      </c>
      <c r="L1513" s="2"/>
      <c r="M1513" s="2"/>
      <c r="N1513" s="7">
        <v>2.0</v>
      </c>
      <c r="O1513" s="12">
        <v>34762.0</v>
      </c>
      <c r="P1513" s="11" t="s">
        <v>1649</v>
      </c>
      <c r="Q1513" s="12">
        <v>34762.0</v>
      </c>
      <c r="R1513" s="11" t="s">
        <v>1649</v>
      </c>
      <c r="S1513" s="11" t="s">
        <v>1670</v>
      </c>
      <c r="T1513" s="11" t="s">
        <v>1671</v>
      </c>
      <c r="U1513" s="2" t="s">
        <v>1567</v>
      </c>
      <c r="V1513" s="2" t="s">
        <v>1568</v>
      </c>
      <c r="W1513" s="2" t="s">
        <v>1569</v>
      </c>
      <c r="X1513" s="2" t="s">
        <v>1570</v>
      </c>
      <c r="AB1513" s="2" t="s">
        <v>1571</v>
      </c>
    </row>
    <row r="1514">
      <c r="A1514" s="2" t="s">
        <v>1849</v>
      </c>
      <c r="B1514" s="2">
        <v>12.0</v>
      </c>
      <c r="C1514" s="2" t="s">
        <v>11</v>
      </c>
      <c r="D1514" s="2" t="s">
        <v>1850</v>
      </c>
      <c r="E1514" s="2">
        <v>7.0</v>
      </c>
      <c r="F1514" s="2" t="s">
        <v>10</v>
      </c>
      <c r="G1514" s="5">
        <v>2585220.0</v>
      </c>
      <c r="H1514" s="2" t="s">
        <v>1575</v>
      </c>
      <c r="I1514" s="2" t="s">
        <v>1565</v>
      </c>
      <c r="J1514" s="2">
        <v>10005.0</v>
      </c>
      <c r="K1514" s="2" t="s">
        <v>1595</v>
      </c>
      <c r="L1514" s="2"/>
      <c r="M1514" s="2"/>
      <c r="N1514" s="7">
        <v>1.0</v>
      </c>
      <c r="O1514" s="12">
        <v>19524.0</v>
      </c>
      <c r="P1514" s="11" t="s">
        <v>1649</v>
      </c>
      <c r="Q1514" s="12">
        <v>19524.0</v>
      </c>
      <c r="R1514" s="11" t="s">
        <v>1649</v>
      </c>
      <c r="S1514" s="11" t="s">
        <v>1676</v>
      </c>
      <c r="T1514" s="11" t="s">
        <v>1677</v>
      </c>
      <c r="U1514" s="2" t="s">
        <v>1567</v>
      </c>
      <c r="V1514" s="2" t="s">
        <v>1568</v>
      </c>
      <c r="W1514" s="2" t="s">
        <v>1569</v>
      </c>
      <c r="X1514" s="2" t="s">
        <v>1570</v>
      </c>
      <c r="AB1514" s="2" t="s">
        <v>1571</v>
      </c>
    </row>
    <row r="1515">
      <c r="A1515" s="2" t="s">
        <v>1849</v>
      </c>
      <c r="B1515" s="2">
        <v>11.0</v>
      </c>
      <c r="C1515" s="2" t="s">
        <v>11</v>
      </c>
      <c r="D1515" s="2" t="s">
        <v>1850</v>
      </c>
      <c r="E1515" s="2">
        <v>7.0</v>
      </c>
      <c r="F1515" s="2" t="s">
        <v>10</v>
      </c>
      <c r="G1515" s="5">
        <v>2584855.0</v>
      </c>
      <c r="H1515" s="2" t="s">
        <v>1575</v>
      </c>
      <c r="I1515" s="2" t="s">
        <v>1572</v>
      </c>
      <c r="J1515" s="2">
        <v>10128.0</v>
      </c>
      <c r="K1515" s="2" t="s">
        <v>1588</v>
      </c>
      <c r="L1515" s="2"/>
      <c r="M1515" s="2"/>
      <c r="N1515" s="7">
        <v>1.0</v>
      </c>
      <c r="O1515" s="12">
        <v>23333.0</v>
      </c>
      <c r="P1515" s="11" t="s">
        <v>1649</v>
      </c>
      <c r="Q1515" s="12">
        <v>23333.0</v>
      </c>
      <c r="R1515" s="11" t="s">
        <v>1649</v>
      </c>
      <c r="S1515" s="11" t="s">
        <v>1681</v>
      </c>
      <c r="T1515" s="11" t="s">
        <v>1682</v>
      </c>
      <c r="U1515" s="2" t="s">
        <v>1574</v>
      </c>
      <c r="V1515" s="2" t="s">
        <v>1568</v>
      </c>
      <c r="W1515" s="2" t="s">
        <v>1569</v>
      </c>
      <c r="X1515" s="2" t="s">
        <v>1570</v>
      </c>
      <c r="AB1515" s="2" t="s">
        <v>1571</v>
      </c>
    </row>
    <row r="1516">
      <c r="A1516" s="2" t="s">
        <v>1849</v>
      </c>
      <c r="B1516" s="2">
        <v>11.0</v>
      </c>
      <c r="C1516" s="2" t="s">
        <v>11</v>
      </c>
      <c r="D1516" s="2" t="s">
        <v>1850</v>
      </c>
      <c r="E1516" s="2">
        <v>7.0</v>
      </c>
      <c r="F1516" s="2" t="s">
        <v>10</v>
      </c>
      <c r="G1516" s="5">
        <v>2584855.0</v>
      </c>
      <c r="H1516" s="2" t="s">
        <v>1575</v>
      </c>
      <c r="I1516" s="2" t="s">
        <v>1580</v>
      </c>
      <c r="J1516" s="2">
        <v>10012.0</v>
      </c>
      <c r="K1516" s="2" t="s">
        <v>1602</v>
      </c>
      <c r="L1516" s="2"/>
      <c r="M1516" s="2"/>
      <c r="N1516" s="7">
        <v>1.0</v>
      </c>
      <c r="O1516" s="12">
        <v>29524.0</v>
      </c>
      <c r="P1516" s="11" t="s">
        <v>1649</v>
      </c>
      <c r="Q1516" s="12">
        <v>29524.0</v>
      </c>
      <c r="R1516" s="11" t="s">
        <v>1649</v>
      </c>
      <c r="S1516" s="11" t="s">
        <v>1683</v>
      </c>
      <c r="T1516" s="11" t="s">
        <v>1684</v>
      </c>
      <c r="U1516" s="2" t="s">
        <v>1574</v>
      </c>
      <c r="V1516" s="2" t="s">
        <v>1568</v>
      </c>
      <c r="W1516" s="2" t="s">
        <v>1569</v>
      </c>
      <c r="X1516" s="2" t="s">
        <v>1570</v>
      </c>
      <c r="AB1516" s="2" t="s">
        <v>1571</v>
      </c>
    </row>
    <row r="1517">
      <c r="A1517" s="2" t="s">
        <v>1849</v>
      </c>
      <c r="B1517" s="2">
        <v>11.0</v>
      </c>
      <c r="C1517" s="2" t="s">
        <v>11</v>
      </c>
      <c r="D1517" s="2" t="s">
        <v>1850</v>
      </c>
      <c r="E1517" s="2">
        <v>7.0</v>
      </c>
      <c r="F1517" s="2" t="s">
        <v>10</v>
      </c>
      <c r="G1517" s="5">
        <v>2584489.0</v>
      </c>
      <c r="H1517" s="2" t="s">
        <v>1575</v>
      </c>
      <c r="I1517" s="2" t="s">
        <v>1565</v>
      </c>
      <c r="J1517" s="2">
        <v>10002.0</v>
      </c>
      <c r="K1517" s="2" t="s">
        <v>1576</v>
      </c>
      <c r="L1517" s="2"/>
      <c r="M1517" s="2"/>
      <c r="N1517" s="7">
        <v>1.0</v>
      </c>
      <c r="O1517" s="12">
        <v>18571.0</v>
      </c>
      <c r="P1517" s="11" t="s">
        <v>1649</v>
      </c>
      <c r="Q1517" s="12">
        <v>18571.0</v>
      </c>
      <c r="R1517" s="11" t="s">
        <v>1649</v>
      </c>
      <c r="S1517" s="11" t="s">
        <v>1656</v>
      </c>
      <c r="T1517" s="11" t="s">
        <v>1657</v>
      </c>
      <c r="U1517" s="2" t="s">
        <v>1574</v>
      </c>
      <c r="V1517" s="2" t="s">
        <v>1568</v>
      </c>
      <c r="W1517" s="2" t="s">
        <v>1569</v>
      </c>
      <c r="X1517" s="2" t="s">
        <v>1570</v>
      </c>
      <c r="AB1517" s="2" t="s">
        <v>1571</v>
      </c>
    </row>
    <row r="1518">
      <c r="A1518" s="2" t="s">
        <v>1849</v>
      </c>
      <c r="B1518" s="2">
        <v>11.0</v>
      </c>
      <c r="C1518" s="2" t="s">
        <v>11</v>
      </c>
      <c r="D1518" s="2" t="s">
        <v>1850</v>
      </c>
      <c r="E1518" s="2">
        <v>7.0</v>
      </c>
      <c r="F1518" s="2" t="s">
        <v>10</v>
      </c>
      <c r="G1518" s="5">
        <v>2584489.0</v>
      </c>
      <c r="H1518" s="2" t="s">
        <v>1575</v>
      </c>
      <c r="I1518" s="2" t="s">
        <v>1565</v>
      </c>
      <c r="J1518" s="2">
        <v>10042.0</v>
      </c>
      <c r="K1518" s="2" t="s">
        <v>1634</v>
      </c>
      <c r="L1518" s="2"/>
      <c r="M1518" s="2"/>
      <c r="N1518" s="7">
        <v>1.0</v>
      </c>
      <c r="O1518" s="12">
        <v>9524.0</v>
      </c>
      <c r="P1518" s="11" t="s">
        <v>1649</v>
      </c>
      <c r="Q1518" s="12">
        <v>9524.0</v>
      </c>
      <c r="R1518" s="11" t="s">
        <v>1649</v>
      </c>
      <c r="S1518" s="11" t="s">
        <v>1834</v>
      </c>
      <c r="T1518" s="11" t="s">
        <v>1835</v>
      </c>
      <c r="U1518" s="2" t="s">
        <v>1574</v>
      </c>
      <c r="V1518" s="2" t="s">
        <v>1568</v>
      </c>
      <c r="W1518" s="2" t="s">
        <v>1569</v>
      </c>
      <c r="X1518" s="2" t="s">
        <v>1570</v>
      </c>
      <c r="AB1518" s="2" t="s">
        <v>1571</v>
      </c>
    </row>
    <row r="1519">
      <c r="A1519" s="2" t="s">
        <v>1849</v>
      </c>
      <c r="B1519" s="2">
        <v>11.0</v>
      </c>
      <c r="C1519" s="2" t="s">
        <v>11</v>
      </c>
      <c r="D1519" s="2" t="s">
        <v>1850</v>
      </c>
      <c r="E1519" s="2">
        <v>7.0</v>
      </c>
      <c r="F1519" s="2" t="s">
        <v>10</v>
      </c>
      <c r="G1519" s="5">
        <v>2584489.0</v>
      </c>
      <c r="H1519" s="2" t="s">
        <v>1575</v>
      </c>
      <c r="I1519" s="2" t="s">
        <v>1572</v>
      </c>
      <c r="J1519" s="2">
        <v>10106.0</v>
      </c>
      <c r="K1519" s="2" t="s">
        <v>1598</v>
      </c>
      <c r="L1519" s="2"/>
      <c r="M1519" s="2"/>
      <c r="N1519" s="7">
        <v>1.0</v>
      </c>
      <c r="O1519" s="12">
        <v>26667.0</v>
      </c>
      <c r="P1519" s="11" t="s">
        <v>1649</v>
      </c>
      <c r="Q1519" s="12">
        <v>26667.0</v>
      </c>
      <c r="R1519" s="11" t="s">
        <v>1649</v>
      </c>
      <c r="S1519" s="11" t="s">
        <v>1674</v>
      </c>
      <c r="T1519" s="11" t="s">
        <v>1679</v>
      </c>
      <c r="U1519" s="2" t="s">
        <v>1574</v>
      </c>
      <c r="V1519" s="2" t="s">
        <v>1568</v>
      </c>
      <c r="W1519" s="2" t="s">
        <v>1569</v>
      </c>
      <c r="X1519" s="2" t="s">
        <v>1570</v>
      </c>
      <c r="AB1519" s="2" t="s">
        <v>1571</v>
      </c>
    </row>
    <row r="1520">
      <c r="A1520" s="2" t="s">
        <v>1849</v>
      </c>
      <c r="B1520" s="2">
        <v>11.0</v>
      </c>
      <c r="C1520" s="2" t="s">
        <v>11</v>
      </c>
      <c r="D1520" s="2" t="s">
        <v>1850</v>
      </c>
      <c r="E1520" s="2">
        <v>7.0</v>
      </c>
      <c r="F1520" s="2" t="s">
        <v>10</v>
      </c>
      <c r="G1520" s="5">
        <v>2584489.0</v>
      </c>
      <c r="H1520" s="2" t="s">
        <v>1575</v>
      </c>
      <c r="I1520" s="2" t="s">
        <v>1572</v>
      </c>
      <c r="J1520" s="2">
        <v>10118.0</v>
      </c>
      <c r="K1520" s="2" t="s">
        <v>1604</v>
      </c>
      <c r="L1520" s="2"/>
      <c r="M1520" s="2"/>
      <c r="N1520" s="7">
        <v>1.0</v>
      </c>
      <c r="O1520" s="12">
        <v>7143.0</v>
      </c>
      <c r="P1520" s="11" t="s">
        <v>1649</v>
      </c>
      <c r="Q1520" s="12">
        <v>7143.0</v>
      </c>
      <c r="R1520" s="11" t="s">
        <v>1649</v>
      </c>
      <c r="S1520" s="11" t="s">
        <v>1672</v>
      </c>
      <c r="T1520" s="11" t="s">
        <v>1673</v>
      </c>
      <c r="U1520" s="2" t="s">
        <v>1574</v>
      </c>
      <c r="V1520" s="2" t="s">
        <v>1568</v>
      </c>
      <c r="W1520" s="2" t="s">
        <v>1569</v>
      </c>
      <c r="X1520" s="2" t="s">
        <v>1570</v>
      </c>
      <c r="AB1520" s="2" t="s">
        <v>1571</v>
      </c>
    </row>
    <row r="1521">
      <c r="A1521" s="2" t="s">
        <v>1849</v>
      </c>
      <c r="B1521" s="2">
        <v>11.0</v>
      </c>
      <c r="C1521" s="2" t="s">
        <v>11</v>
      </c>
      <c r="D1521" s="2" t="s">
        <v>1850</v>
      </c>
      <c r="E1521" s="2">
        <v>7.0</v>
      </c>
      <c r="F1521" s="2" t="s">
        <v>10</v>
      </c>
      <c r="G1521" s="5">
        <v>2584489.0</v>
      </c>
      <c r="H1521" s="2" t="s">
        <v>1575</v>
      </c>
      <c r="I1521" s="2" t="s">
        <v>1580</v>
      </c>
      <c r="J1521" s="2">
        <v>10003.0</v>
      </c>
      <c r="K1521" s="2" t="s">
        <v>1603</v>
      </c>
      <c r="L1521" s="2"/>
      <c r="M1521" s="2"/>
      <c r="N1521" s="7">
        <v>1.0</v>
      </c>
      <c r="O1521" s="12">
        <v>29524.0</v>
      </c>
      <c r="P1521" s="11" t="s">
        <v>1649</v>
      </c>
      <c r="Q1521" s="12">
        <v>29524.0</v>
      </c>
      <c r="R1521" s="11" t="s">
        <v>1649</v>
      </c>
      <c r="S1521" s="11" t="s">
        <v>1683</v>
      </c>
      <c r="T1521" s="11" t="s">
        <v>1684</v>
      </c>
      <c r="U1521" s="2" t="s">
        <v>1574</v>
      </c>
      <c r="V1521" s="2" t="s">
        <v>1568</v>
      </c>
      <c r="W1521" s="2" t="s">
        <v>1569</v>
      </c>
      <c r="X1521" s="2" t="s">
        <v>1570</v>
      </c>
      <c r="AB1521" s="2" t="s">
        <v>1571</v>
      </c>
    </row>
    <row r="1522">
      <c r="A1522" s="2" t="s">
        <v>1849</v>
      </c>
      <c r="B1522" s="2">
        <v>11.0</v>
      </c>
      <c r="C1522" s="2" t="s">
        <v>11</v>
      </c>
      <c r="D1522" s="2" t="s">
        <v>1850</v>
      </c>
      <c r="E1522" s="2">
        <v>7.0</v>
      </c>
      <c r="F1522" s="2" t="s">
        <v>10</v>
      </c>
      <c r="G1522" s="5">
        <v>2584124.0</v>
      </c>
      <c r="H1522" s="2" t="s">
        <v>1575</v>
      </c>
      <c r="I1522" s="2" t="s">
        <v>1565</v>
      </c>
      <c r="J1522" s="2">
        <v>10007.0</v>
      </c>
      <c r="K1522" s="2" t="s">
        <v>1576</v>
      </c>
      <c r="L1522" s="2"/>
      <c r="M1522" s="2"/>
      <c r="N1522" s="7">
        <v>2.0</v>
      </c>
      <c r="O1522" s="12">
        <v>33810.0</v>
      </c>
      <c r="P1522" s="11" t="s">
        <v>1649</v>
      </c>
      <c r="Q1522" s="12">
        <v>33810.0</v>
      </c>
      <c r="R1522" s="11" t="s">
        <v>1649</v>
      </c>
      <c r="S1522" s="11" t="s">
        <v>1701</v>
      </c>
      <c r="T1522" s="11" t="s">
        <v>1703</v>
      </c>
      <c r="U1522" s="2" t="s">
        <v>1574</v>
      </c>
      <c r="V1522" s="2" t="s">
        <v>1568</v>
      </c>
      <c r="W1522" s="2" t="s">
        <v>1569</v>
      </c>
      <c r="X1522" s="2" t="s">
        <v>1570</v>
      </c>
      <c r="AB1522" s="2" t="s">
        <v>1571</v>
      </c>
    </row>
    <row r="1523">
      <c r="A1523" s="2" t="s">
        <v>1849</v>
      </c>
      <c r="B1523" s="2">
        <v>11.0</v>
      </c>
      <c r="C1523" s="2" t="s">
        <v>11</v>
      </c>
      <c r="D1523" s="2" t="s">
        <v>1850</v>
      </c>
      <c r="E1523" s="2">
        <v>7.0</v>
      </c>
      <c r="F1523" s="2" t="s">
        <v>10</v>
      </c>
      <c r="G1523" s="5">
        <v>2584124.0</v>
      </c>
      <c r="H1523" s="2" t="s">
        <v>1575</v>
      </c>
      <c r="I1523" s="2" t="s">
        <v>1565</v>
      </c>
      <c r="J1523" s="2">
        <v>10054.0</v>
      </c>
      <c r="K1523" s="2" t="s">
        <v>1610</v>
      </c>
      <c r="L1523" s="2"/>
      <c r="M1523" s="2"/>
      <c r="N1523" s="7">
        <v>1.0</v>
      </c>
      <c r="O1523" s="12">
        <v>25238.0</v>
      </c>
      <c r="P1523" s="11" t="s">
        <v>1649</v>
      </c>
      <c r="Q1523" s="12">
        <v>25238.0</v>
      </c>
      <c r="R1523" s="11" t="s">
        <v>1649</v>
      </c>
      <c r="S1523" s="11" t="s">
        <v>1660</v>
      </c>
      <c r="T1523" s="11" t="s">
        <v>1661</v>
      </c>
      <c r="U1523" s="2" t="s">
        <v>1574</v>
      </c>
      <c r="V1523" s="2" t="s">
        <v>1568</v>
      </c>
      <c r="W1523" s="2" t="s">
        <v>1569</v>
      </c>
      <c r="X1523" s="2" t="s">
        <v>1570</v>
      </c>
      <c r="AB1523" s="2" t="s">
        <v>1571</v>
      </c>
    </row>
    <row r="1524">
      <c r="A1524" s="2" t="s">
        <v>1849</v>
      </c>
      <c r="B1524" s="2">
        <v>11.0</v>
      </c>
      <c r="C1524" s="2" t="s">
        <v>11</v>
      </c>
      <c r="D1524" s="2" t="s">
        <v>1850</v>
      </c>
      <c r="E1524" s="2">
        <v>7.0</v>
      </c>
      <c r="F1524" s="2" t="s">
        <v>10</v>
      </c>
      <c r="G1524" s="5">
        <v>2584124.0</v>
      </c>
      <c r="H1524" s="2" t="s">
        <v>1575</v>
      </c>
      <c r="I1524" s="2" t="s">
        <v>1572</v>
      </c>
      <c r="J1524" s="2">
        <v>10026.0</v>
      </c>
      <c r="K1524" s="2" t="s">
        <v>1583</v>
      </c>
      <c r="L1524" s="2"/>
      <c r="M1524" s="2"/>
      <c r="N1524" s="7">
        <v>1.0</v>
      </c>
      <c r="O1524" s="12">
        <v>21905.0</v>
      </c>
      <c r="P1524" s="11" t="s">
        <v>1649</v>
      </c>
      <c r="Q1524" s="12">
        <v>21905.0</v>
      </c>
      <c r="R1524" s="11" t="s">
        <v>1649</v>
      </c>
      <c r="S1524" s="11" t="s">
        <v>1666</v>
      </c>
      <c r="T1524" s="11" t="s">
        <v>1687</v>
      </c>
      <c r="U1524" s="2" t="s">
        <v>1574</v>
      </c>
      <c r="V1524" s="2" t="s">
        <v>1568</v>
      </c>
      <c r="W1524" s="2" t="s">
        <v>1569</v>
      </c>
      <c r="X1524" s="2" t="s">
        <v>1570</v>
      </c>
      <c r="AB1524" s="2" t="s">
        <v>1571</v>
      </c>
    </row>
    <row r="1525">
      <c r="A1525" s="2" t="s">
        <v>1849</v>
      </c>
      <c r="B1525" s="2">
        <v>11.0</v>
      </c>
      <c r="C1525" s="2" t="s">
        <v>11</v>
      </c>
      <c r="D1525" s="2" t="s">
        <v>1850</v>
      </c>
      <c r="E1525" s="2">
        <v>7.0</v>
      </c>
      <c r="F1525" s="2" t="s">
        <v>10</v>
      </c>
      <c r="G1525" s="5">
        <v>2584124.0</v>
      </c>
      <c r="H1525" s="2" t="s">
        <v>1575</v>
      </c>
      <c r="I1525" s="2" t="s">
        <v>1572</v>
      </c>
      <c r="J1525" s="2">
        <v>10128.0</v>
      </c>
      <c r="K1525" s="2" t="s">
        <v>1588</v>
      </c>
      <c r="L1525" s="2"/>
      <c r="M1525" s="2"/>
      <c r="N1525" s="7">
        <v>1.0</v>
      </c>
      <c r="O1525" s="12">
        <v>23333.0</v>
      </c>
      <c r="P1525" s="11" t="s">
        <v>1649</v>
      </c>
      <c r="Q1525" s="12">
        <v>23333.0</v>
      </c>
      <c r="R1525" s="11" t="s">
        <v>1649</v>
      </c>
      <c r="S1525" s="11" t="s">
        <v>1681</v>
      </c>
      <c r="T1525" s="11" t="s">
        <v>1715</v>
      </c>
      <c r="U1525" s="2" t="s">
        <v>1574</v>
      </c>
      <c r="V1525" s="2" t="s">
        <v>1568</v>
      </c>
      <c r="W1525" s="2" t="s">
        <v>1569</v>
      </c>
      <c r="X1525" s="2" t="s">
        <v>1570</v>
      </c>
      <c r="AB1525" s="2" t="s">
        <v>1571</v>
      </c>
    </row>
    <row r="1526">
      <c r="A1526" s="2" t="s">
        <v>1849</v>
      </c>
      <c r="B1526" s="2">
        <v>10.0</v>
      </c>
      <c r="C1526" s="2" t="s">
        <v>11</v>
      </c>
      <c r="D1526" s="2" t="s">
        <v>1850</v>
      </c>
      <c r="E1526" s="2">
        <v>7.0</v>
      </c>
      <c r="F1526" s="2" t="s">
        <v>10</v>
      </c>
      <c r="G1526" s="5">
        <v>2583759.0</v>
      </c>
      <c r="H1526" s="2" t="s">
        <v>1575</v>
      </c>
      <c r="I1526" s="2" t="s">
        <v>1565</v>
      </c>
      <c r="J1526" s="2">
        <v>10007.0</v>
      </c>
      <c r="K1526" s="2" t="s">
        <v>1576</v>
      </c>
      <c r="L1526" s="2"/>
      <c r="M1526" s="2"/>
      <c r="N1526" s="7">
        <v>2.0</v>
      </c>
      <c r="O1526" s="12">
        <v>33810.0</v>
      </c>
      <c r="P1526" s="11" t="s">
        <v>1649</v>
      </c>
      <c r="Q1526" s="12">
        <v>33810.0</v>
      </c>
      <c r="R1526" s="11" t="s">
        <v>1649</v>
      </c>
      <c r="S1526" s="11" t="s">
        <v>1701</v>
      </c>
      <c r="T1526" s="11" t="s">
        <v>1703</v>
      </c>
      <c r="U1526" s="2" t="s">
        <v>1574</v>
      </c>
      <c r="V1526" s="2" t="s">
        <v>1568</v>
      </c>
      <c r="W1526" s="2" t="s">
        <v>1569</v>
      </c>
      <c r="X1526" s="2" t="s">
        <v>1570</v>
      </c>
      <c r="AB1526" s="2" t="s">
        <v>1571</v>
      </c>
    </row>
    <row r="1527">
      <c r="A1527" s="2" t="s">
        <v>1849</v>
      </c>
      <c r="B1527" s="2">
        <v>10.0</v>
      </c>
      <c r="C1527" s="2" t="s">
        <v>11</v>
      </c>
      <c r="D1527" s="2" t="s">
        <v>1850</v>
      </c>
      <c r="E1527" s="2">
        <v>7.0</v>
      </c>
      <c r="F1527" s="2" t="s">
        <v>10</v>
      </c>
      <c r="G1527" s="5">
        <v>2583394.0</v>
      </c>
      <c r="H1527" s="2" t="s">
        <v>1575</v>
      </c>
      <c r="I1527" s="2" t="s">
        <v>1565</v>
      </c>
      <c r="J1527" s="2">
        <v>10042.0</v>
      </c>
      <c r="K1527" s="2" t="s">
        <v>1634</v>
      </c>
      <c r="L1527" s="2"/>
      <c r="M1527" s="2"/>
      <c r="N1527" s="7">
        <v>1.0</v>
      </c>
      <c r="O1527" s="12">
        <v>9524.0</v>
      </c>
      <c r="P1527" s="11" t="s">
        <v>1649</v>
      </c>
      <c r="Q1527" s="12">
        <v>9524.0</v>
      </c>
      <c r="R1527" s="11" t="s">
        <v>1649</v>
      </c>
      <c r="S1527" s="11" t="s">
        <v>1834</v>
      </c>
      <c r="T1527" s="11" t="s">
        <v>1835</v>
      </c>
      <c r="U1527" s="2" t="s">
        <v>1567</v>
      </c>
      <c r="V1527" s="2" t="s">
        <v>1568</v>
      </c>
      <c r="W1527" s="2" t="s">
        <v>1569</v>
      </c>
      <c r="X1527" s="2" t="s">
        <v>1570</v>
      </c>
      <c r="AB1527" s="2" t="s">
        <v>1571</v>
      </c>
    </row>
    <row r="1528">
      <c r="A1528" s="2" t="s">
        <v>1849</v>
      </c>
      <c r="B1528" s="2">
        <v>10.0</v>
      </c>
      <c r="C1528" s="2" t="s">
        <v>11</v>
      </c>
      <c r="D1528" s="2" t="s">
        <v>1850</v>
      </c>
      <c r="E1528" s="2">
        <v>7.0</v>
      </c>
      <c r="F1528" s="2" t="s">
        <v>10</v>
      </c>
      <c r="G1528" s="5">
        <v>2583394.0</v>
      </c>
      <c r="H1528" s="2" t="s">
        <v>1575</v>
      </c>
      <c r="I1528" s="2" t="s">
        <v>1565</v>
      </c>
      <c r="J1528" s="2">
        <v>10002.0</v>
      </c>
      <c r="K1528" s="2" t="s">
        <v>1576</v>
      </c>
      <c r="L1528" s="2"/>
      <c r="M1528" s="2"/>
      <c r="N1528" s="7">
        <v>1.0</v>
      </c>
      <c r="O1528" s="12">
        <v>18571.0</v>
      </c>
      <c r="P1528" s="11" t="s">
        <v>1649</v>
      </c>
      <c r="Q1528" s="12">
        <v>18571.0</v>
      </c>
      <c r="R1528" s="11" t="s">
        <v>1649</v>
      </c>
      <c r="S1528" s="11" t="s">
        <v>1656</v>
      </c>
      <c r="T1528" s="11" t="s">
        <v>1657</v>
      </c>
      <c r="U1528" s="2" t="s">
        <v>1567</v>
      </c>
      <c r="V1528" s="2" t="s">
        <v>1568</v>
      </c>
      <c r="W1528" s="2" t="s">
        <v>1569</v>
      </c>
      <c r="X1528" s="2" t="s">
        <v>1570</v>
      </c>
      <c r="AB1528" s="2" t="s">
        <v>1571</v>
      </c>
    </row>
    <row r="1529">
      <c r="A1529" s="2" t="s">
        <v>1849</v>
      </c>
      <c r="B1529" s="2">
        <v>9.0</v>
      </c>
      <c r="C1529" s="2" t="s">
        <v>11</v>
      </c>
      <c r="D1529" s="2" t="s">
        <v>1850</v>
      </c>
      <c r="E1529" s="2">
        <v>7.0</v>
      </c>
      <c r="F1529" s="2" t="s">
        <v>10</v>
      </c>
      <c r="G1529" s="5">
        <v>2583028.0</v>
      </c>
      <c r="H1529" s="2" t="s">
        <v>1575</v>
      </c>
      <c r="I1529" s="2" t="s">
        <v>1572</v>
      </c>
      <c r="J1529" s="2">
        <v>10065.0</v>
      </c>
      <c r="K1529" s="2" t="s">
        <v>1633</v>
      </c>
      <c r="L1529" s="2"/>
      <c r="M1529" s="2"/>
      <c r="N1529" s="7">
        <v>1.0</v>
      </c>
      <c r="O1529" s="12">
        <v>23810.0</v>
      </c>
      <c r="P1529" s="11" t="s">
        <v>1649</v>
      </c>
      <c r="Q1529" s="12">
        <v>23810.0</v>
      </c>
      <c r="R1529" s="11" t="s">
        <v>1649</v>
      </c>
      <c r="S1529" s="11" t="s">
        <v>1709</v>
      </c>
      <c r="T1529" s="11" t="s">
        <v>1710</v>
      </c>
      <c r="U1529" s="2" t="s">
        <v>1574</v>
      </c>
      <c r="V1529" s="2" t="s">
        <v>1568</v>
      </c>
      <c r="W1529" s="2" t="s">
        <v>1569</v>
      </c>
      <c r="X1529" s="2" t="s">
        <v>1570</v>
      </c>
      <c r="AB1529" s="2" t="s">
        <v>1571</v>
      </c>
    </row>
    <row r="1530">
      <c r="A1530" s="2" t="s">
        <v>1849</v>
      </c>
      <c r="B1530" s="2">
        <v>9.0</v>
      </c>
      <c r="C1530" s="2" t="s">
        <v>11</v>
      </c>
      <c r="D1530" s="2" t="s">
        <v>1850</v>
      </c>
      <c r="E1530" s="2">
        <v>7.0</v>
      </c>
      <c r="F1530" s="2" t="s">
        <v>10</v>
      </c>
      <c r="G1530" s="5">
        <v>2583028.0</v>
      </c>
      <c r="H1530" s="2" t="s">
        <v>1575</v>
      </c>
      <c r="I1530" s="2" t="s">
        <v>1565</v>
      </c>
      <c r="J1530" s="2">
        <v>10033.0</v>
      </c>
      <c r="K1530" s="2" t="s">
        <v>1615</v>
      </c>
      <c r="L1530" s="2"/>
      <c r="M1530" s="2"/>
      <c r="N1530" s="7">
        <v>1.0</v>
      </c>
      <c r="O1530" s="12">
        <v>21905.0</v>
      </c>
      <c r="P1530" s="11" t="s">
        <v>1649</v>
      </c>
      <c r="Q1530" s="12">
        <v>21905.0</v>
      </c>
      <c r="R1530" s="11" t="s">
        <v>1649</v>
      </c>
      <c r="S1530" s="11" t="s">
        <v>1666</v>
      </c>
      <c r="T1530" s="11" t="s">
        <v>1667</v>
      </c>
      <c r="U1530" s="2" t="s">
        <v>1574</v>
      </c>
      <c r="V1530" s="2" t="s">
        <v>1568</v>
      </c>
      <c r="W1530" s="2" t="s">
        <v>1569</v>
      </c>
      <c r="X1530" s="2" t="s">
        <v>1570</v>
      </c>
      <c r="AB1530" s="2" t="s">
        <v>1571</v>
      </c>
    </row>
    <row r="1531">
      <c r="A1531" s="2"/>
      <c r="B1531" s="2"/>
      <c r="C1531" s="2"/>
      <c r="D1531" s="2"/>
      <c r="E1531" s="2"/>
      <c r="F1531" s="2"/>
      <c r="K1531" s="2"/>
      <c r="N1531" s="7"/>
      <c r="O1531" s="12"/>
      <c r="P1531" s="11"/>
      <c r="Q1531" s="12"/>
      <c r="R1531" s="11"/>
      <c r="S1531" s="11"/>
      <c r="T1531" s="11"/>
    </row>
    <row r="1532">
      <c r="A1532" s="2"/>
      <c r="B1532" s="2"/>
      <c r="C1532" s="2"/>
      <c r="D1532" s="2"/>
      <c r="E1532" s="2"/>
      <c r="F1532" s="2"/>
      <c r="K1532" s="2"/>
      <c r="N1532" s="7"/>
      <c r="O1532" s="12"/>
      <c r="P1532" s="11"/>
      <c r="Q1532" s="12"/>
      <c r="R1532" s="11"/>
      <c r="S1532" s="11"/>
      <c r="T1532" s="11"/>
    </row>
    <row r="1533">
      <c r="A1533" s="2"/>
      <c r="B1533" s="2"/>
      <c r="C1533" s="2"/>
      <c r="D1533" s="2"/>
      <c r="E1533" s="2"/>
      <c r="F1533" s="2"/>
      <c r="K1533" s="2"/>
      <c r="N1533" s="7"/>
      <c r="O1533" s="12"/>
      <c r="P1533" s="11"/>
      <c r="Q1533" s="12"/>
      <c r="R1533" s="11"/>
      <c r="S1533" s="11"/>
      <c r="T1533" s="11"/>
    </row>
    <row r="1534">
      <c r="A1534" s="2"/>
      <c r="B1534" s="2"/>
      <c r="C1534" s="2"/>
      <c r="D1534" s="2"/>
      <c r="E1534" s="2"/>
      <c r="F1534" s="2"/>
      <c r="K1534" s="2"/>
      <c r="N1534" s="7"/>
      <c r="O1534" s="12"/>
      <c r="P1534" s="11"/>
      <c r="Q1534" s="12"/>
      <c r="R1534" s="11"/>
      <c r="S1534" s="11"/>
      <c r="T1534" s="11"/>
    </row>
    <row r="1535">
      <c r="A1535" s="2"/>
      <c r="B1535" s="2"/>
      <c r="C1535" s="2"/>
      <c r="D1535" s="2"/>
      <c r="E1535" s="2"/>
      <c r="F1535" s="2"/>
      <c r="K1535" s="2"/>
      <c r="N1535" s="7"/>
      <c r="O1535" s="12"/>
      <c r="P1535" s="11"/>
      <c r="Q1535" s="12"/>
      <c r="R1535" s="11"/>
      <c r="S1535" s="11"/>
      <c r="T1535" s="11"/>
    </row>
    <row r="1536">
      <c r="A1536" s="2"/>
      <c r="B1536" s="2"/>
      <c r="C1536" s="2"/>
      <c r="D1536" s="2"/>
      <c r="E1536" s="2"/>
      <c r="F1536" s="2"/>
      <c r="K1536" s="2"/>
      <c r="N1536" s="7"/>
      <c r="O1536" s="12"/>
      <c r="P1536" s="11"/>
      <c r="Q1536" s="12"/>
      <c r="R1536" s="11"/>
      <c r="S1536" s="11"/>
      <c r="T1536" s="11"/>
    </row>
    <row r="1537">
      <c r="A1537" s="2"/>
      <c r="B1537" s="2"/>
      <c r="C1537" s="2"/>
      <c r="D1537" s="2"/>
      <c r="E1537" s="2"/>
      <c r="F1537" s="2"/>
      <c r="K1537" s="2"/>
      <c r="N1537" s="7"/>
      <c r="O1537" s="12"/>
      <c r="P1537" s="11"/>
      <c r="Q1537" s="12"/>
      <c r="R1537" s="11"/>
      <c r="S1537" s="11"/>
      <c r="T1537" s="11"/>
    </row>
    <row r="1538">
      <c r="A1538" s="2"/>
      <c r="B1538" s="2"/>
      <c r="C1538" s="2"/>
      <c r="D1538" s="2"/>
      <c r="E1538" s="2"/>
      <c r="F1538" s="2"/>
      <c r="K1538" s="2"/>
      <c r="N1538" s="7"/>
      <c r="O1538" s="12"/>
      <c r="P1538" s="11"/>
      <c r="Q1538" s="12"/>
      <c r="R1538" s="11"/>
      <c r="S1538" s="11"/>
      <c r="T1538" s="11"/>
    </row>
    <row r="1539">
      <c r="A1539" s="2"/>
      <c r="B1539" s="2"/>
      <c r="C1539" s="2"/>
      <c r="D1539" s="2"/>
      <c r="E1539" s="2"/>
      <c r="F1539" s="2"/>
      <c r="K1539" s="2"/>
      <c r="N1539" s="7"/>
      <c r="O1539" s="12"/>
      <c r="P1539" s="11"/>
      <c r="Q1539" s="12"/>
      <c r="R1539" s="11"/>
      <c r="S1539" s="11"/>
      <c r="T1539" s="11"/>
    </row>
    <row r="1540">
      <c r="A1540" s="2"/>
      <c r="B1540" s="2"/>
      <c r="C1540" s="2"/>
      <c r="D1540" s="2"/>
      <c r="E1540" s="2"/>
      <c r="F1540" s="2"/>
      <c r="K1540" s="2"/>
      <c r="N1540" s="7"/>
      <c r="O1540" s="12"/>
      <c r="P1540" s="11"/>
      <c r="Q1540" s="12"/>
      <c r="R1540" s="11"/>
      <c r="S1540" s="11"/>
      <c r="T1540" s="11"/>
    </row>
    <row r="1541">
      <c r="A1541" s="2"/>
      <c r="B1541" s="2"/>
      <c r="C1541" s="2"/>
      <c r="D1541" s="2"/>
      <c r="E1541" s="2"/>
      <c r="F1541" s="2"/>
      <c r="K1541" s="2"/>
      <c r="N1541" s="7"/>
      <c r="O1541" s="12"/>
      <c r="P1541" s="11"/>
      <c r="Q1541" s="12"/>
      <c r="R1541" s="11"/>
      <c r="S1541" s="11"/>
      <c r="T1541" s="11"/>
    </row>
    <row r="1542">
      <c r="A1542" s="2"/>
      <c r="B1542" s="2"/>
      <c r="C1542" s="2"/>
      <c r="D1542" s="2"/>
      <c r="E1542" s="2"/>
      <c r="F1542" s="2"/>
      <c r="K1542" s="2"/>
      <c r="N1542" s="7"/>
      <c r="O1542" s="12"/>
      <c r="P1542" s="11"/>
      <c r="Q1542" s="12"/>
      <c r="R1542" s="11"/>
      <c r="S1542" s="11"/>
      <c r="T1542" s="11"/>
    </row>
    <row r="1543">
      <c r="A1543" s="2"/>
      <c r="B1543" s="2"/>
      <c r="C1543" s="2"/>
      <c r="D1543" s="2"/>
      <c r="E1543" s="2"/>
      <c r="F1543" s="2"/>
      <c r="K1543" s="2"/>
      <c r="N1543" s="7"/>
      <c r="O1543" s="12"/>
      <c r="P1543" s="11"/>
      <c r="Q1543" s="12"/>
      <c r="R1543" s="11"/>
      <c r="S1543" s="11"/>
      <c r="T1543" s="11"/>
    </row>
    <row r="1544">
      <c r="A1544" s="2"/>
      <c r="B1544" s="2"/>
      <c r="C1544" s="2"/>
      <c r="D1544" s="2"/>
      <c r="E1544" s="2"/>
      <c r="F1544" s="2"/>
      <c r="K1544" s="2"/>
      <c r="N1544" s="7"/>
      <c r="O1544" s="12"/>
      <c r="P1544" s="11"/>
      <c r="Q1544" s="12"/>
      <c r="R1544" s="11"/>
      <c r="S1544" s="11"/>
      <c r="T1544" s="11"/>
    </row>
    <row r="1545">
      <c r="A1545" s="2"/>
      <c r="B1545" s="2"/>
      <c r="C1545" s="2"/>
      <c r="D1545" s="2"/>
      <c r="E1545" s="2"/>
      <c r="F1545" s="2"/>
      <c r="K1545" s="2"/>
      <c r="N1545" s="7"/>
      <c r="O1545" s="12"/>
      <c r="P1545" s="11"/>
      <c r="Q1545" s="12"/>
      <c r="R1545" s="11"/>
      <c r="S1545" s="11"/>
      <c r="T1545" s="11"/>
    </row>
    <row r="1546">
      <c r="A1546" s="2"/>
      <c r="B1546" s="2"/>
      <c r="C1546" s="2"/>
      <c r="D1546" s="2"/>
      <c r="E1546" s="2"/>
      <c r="F1546" s="2"/>
      <c r="K1546" s="2"/>
      <c r="N1546" s="7"/>
      <c r="O1546" s="12"/>
      <c r="P1546" s="11"/>
      <c r="Q1546" s="12"/>
      <c r="R1546" s="11"/>
      <c r="S1546" s="11"/>
      <c r="T1546" s="11"/>
    </row>
    <row r="1547">
      <c r="A1547" s="2"/>
      <c r="B1547" s="2"/>
      <c r="C1547" s="2"/>
      <c r="D1547" s="2"/>
      <c r="E1547" s="2"/>
      <c r="F1547" s="2"/>
      <c r="K1547" s="2"/>
      <c r="N1547" s="7"/>
      <c r="O1547" s="12"/>
      <c r="P1547" s="11"/>
      <c r="Q1547" s="12"/>
      <c r="R1547" s="11"/>
      <c r="S1547" s="11"/>
      <c r="T1547" s="11"/>
    </row>
    <row r="1548">
      <c r="A1548" s="2"/>
      <c r="B1548" s="2"/>
      <c r="C1548" s="2"/>
      <c r="D1548" s="2"/>
      <c r="E1548" s="2"/>
      <c r="F1548" s="2"/>
      <c r="K1548" s="2"/>
      <c r="N1548" s="7"/>
      <c r="O1548" s="12"/>
      <c r="P1548" s="11"/>
      <c r="Q1548" s="12"/>
      <c r="R1548" s="11"/>
      <c r="S1548" s="11"/>
      <c r="T1548" s="11"/>
    </row>
    <row r="1549">
      <c r="A1549" s="2"/>
      <c r="B1549" s="2"/>
      <c r="C1549" s="2"/>
      <c r="D1549" s="2"/>
      <c r="E1549" s="2"/>
      <c r="F1549" s="2"/>
      <c r="K1549" s="2"/>
      <c r="N1549" s="7"/>
      <c r="O1549" s="12"/>
      <c r="P1549" s="11"/>
      <c r="Q1549" s="12"/>
      <c r="R1549" s="11"/>
      <c r="S1549" s="11"/>
      <c r="T1549" s="11"/>
    </row>
    <row r="1550">
      <c r="A1550" s="2"/>
      <c r="B1550" s="2"/>
      <c r="C1550" s="2"/>
      <c r="D1550" s="2"/>
      <c r="E1550" s="2"/>
      <c r="F1550" s="2"/>
      <c r="K1550" s="2"/>
      <c r="N1550" s="7"/>
      <c r="O1550" s="12"/>
      <c r="P1550" s="11"/>
      <c r="Q1550" s="12"/>
      <c r="R1550" s="11"/>
      <c r="S1550" s="11"/>
      <c r="T1550" s="11"/>
    </row>
    <row r="1551">
      <c r="A1551" s="2"/>
      <c r="B1551" s="2"/>
      <c r="C1551" s="2"/>
      <c r="D1551" s="2"/>
      <c r="E1551" s="2"/>
      <c r="F1551" s="2"/>
      <c r="K1551" s="2"/>
      <c r="N1551" s="7"/>
      <c r="O1551" s="12"/>
      <c r="P1551" s="11"/>
      <c r="Q1551" s="12"/>
      <c r="R1551" s="11"/>
      <c r="S1551" s="11"/>
      <c r="T1551" s="11"/>
    </row>
    <row r="1552">
      <c r="A1552" s="2"/>
      <c r="B1552" s="2"/>
      <c r="C1552" s="2"/>
      <c r="D1552" s="2"/>
      <c r="E1552" s="2"/>
      <c r="F1552" s="2"/>
      <c r="K1552" s="2"/>
      <c r="N1552" s="7"/>
      <c r="O1552" s="12"/>
      <c r="P1552" s="11"/>
      <c r="Q1552" s="12"/>
      <c r="R1552" s="11"/>
      <c r="S1552" s="11"/>
      <c r="T1552" s="11"/>
    </row>
    <row r="1553">
      <c r="A1553" s="2"/>
      <c r="B1553" s="2"/>
      <c r="C1553" s="2"/>
      <c r="D1553" s="2"/>
      <c r="E1553" s="2"/>
      <c r="F1553" s="2"/>
      <c r="K1553" s="2"/>
      <c r="N1553" s="7"/>
      <c r="O1553" s="12"/>
      <c r="P1553" s="11"/>
      <c r="Q1553" s="12"/>
      <c r="R1553" s="11"/>
      <c r="S1553" s="11"/>
      <c r="T1553" s="11"/>
    </row>
    <row r="1554">
      <c r="A1554" s="2"/>
      <c r="B1554" s="2"/>
      <c r="C1554" s="2"/>
      <c r="D1554" s="2"/>
      <c r="E1554" s="2"/>
      <c r="F1554" s="2"/>
      <c r="K1554" s="2"/>
      <c r="N1554" s="7"/>
      <c r="O1554" s="12"/>
      <c r="P1554" s="11"/>
      <c r="Q1554" s="12"/>
      <c r="R1554" s="11"/>
      <c r="S1554" s="11"/>
      <c r="T1554" s="11"/>
    </row>
    <row r="1555">
      <c r="A1555" s="2"/>
      <c r="B1555" s="2"/>
      <c r="C1555" s="2"/>
      <c r="D1555" s="2"/>
      <c r="E1555" s="2"/>
      <c r="F1555" s="2"/>
      <c r="K1555" s="2"/>
      <c r="N1555" s="7"/>
      <c r="O1555" s="12"/>
      <c r="P1555" s="11"/>
      <c r="Q1555" s="12"/>
      <c r="R1555" s="11"/>
      <c r="S1555" s="11"/>
      <c r="T1555" s="11"/>
    </row>
    <row r="1556">
      <c r="A1556" s="2"/>
      <c r="B1556" s="2"/>
      <c r="C1556" s="2"/>
      <c r="D1556" s="2"/>
      <c r="E1556" s="2"/>
      <c r="F1556" s="2"/>
      <c r="K1556" s="2"/>
      <c r="N1556" s="7"/>
      <c r="O1556" s="12"/>
      <c r="P1556" s="11"/>
      <c r="Q1556" s="12"/>
      <c r="R1556" s="11"/>
      <c r="S1556" s="11"/>
      <c r="T1556" s="11"/>
    </row>
    <row r="1557">
      <c r="A1557" s="2"/>
      <c r="B1557" s="2"/>
      <c r="C1557" s="2"/>
      <c r="D1557" s="2"/>
      <c r="E1557" s="2"/>
      <c r="F1557" s="2"/>
      <c r="K1557" s="2"/>
      <c r="N1557" s="7"/>
      <c r="O1557" s="12"/>
      <c r="P1557" s="11"/>
      <c r="Q1557" s="12"/>
      <c r="R1557" s="11"/>
      <c r="S1557" s="11"/>
      <c r="T1557" s="11"/>
    </row>
    <row r="1558">
      <c r="A1558" s="2"/>
      <c r="B1558" s="2"/>
      <c r="C1558" s="2"/>
      <c r="D1558" s="2"/>
      <c r="E1558" s="2"/>
      <c r="F1558" s="2"/>
      <c r="K1558" s="2"/>
      <c r="N1558" s="7"/>
      <c r="O1558" s="12"/>
      <c r="P1558" s="11"/>
      <c r="Q1558" s="12"/>
      <c r="R1558" s="11"/>
      <c r="S1558" s="11"/>
      <c r="T1558" s="11"/>
    </row>
    <row r="1559">
      <c r="A1559" s="2"/>
      <c r="B1559" s="2"/>
      <c r="C1559" s="2"/>
      <c r="D1559" s="2"/>
      <c r="E1559" s="2"/>
      <c r="F1559" s="2"/>
      <c r="K1559" s="2"/>
      <c r="N1559" s="7"/>
      <c r="O1559" s="12"/>
      <c r="P1559" s="11"/>
      <c r="Q1559" s="12"/>
      <c r="R1559" s="11"/>
      <c r="S1559" s="11"/>
      <c r="T1559" s="11"/>
    </row>
    <row r="1560">
      <c r="A1560" s="2"/>
      <c r="B1560" s="2"/>
      <c r="C1560" s="2"/>
      <c r="D1560" s="2"/>
      <c r="E1560" s="2"/>
      <c r="F1560" s="2"/>
      <c r="K1560" s="2"/>
      <c r="N1560" s="7"/>
      <c r="O1560" s="12"/>
      <c r="P1560" s="11"/>
      <c r="Q1560" s="12"/>
      <c r="R1560" s="11"/>
      <c r="S1560" s="11"/>
      <c r="T1560" s="11"/>
    </row>
    <row r="1561">
      <c r="A1561" s="2"/>
      <c r="B1561" s="2"/>
      <c r="C1561" s="2"/>
      <c r="D1561" s="2"/>
      <c r="E1561" s="2"/>
      <c r="F1561" s="2"/>
      <c r="K1561" s="2"/>
      <c r="N1561" s="7"/>
      <c r="O1561" s="12"/>
      <c r="P1561" s="11"/>
      <c r="Q1561" s="12"/>
      <c r="R1561" s="11"/>
      <c r="S1561" s="11"/>
      <c r="T1561" s="11"/>
    </row>
    <row r="1562">
      <c r="A1562" s="2"/>
      <c r="B1562" s="2"/>
      <c r="C1562" s="2"/>
      <c r="D1562" s="2"/>
      <c r="E1562" s="2"/>
      <c r="F1562" s="2"/>
      <c r="K1562" s="2"/>
      <c r="N1562" s="7"/>
      <c r="O1562" s="12"/>
      <c r="P1562" s="11"/>
      <c r="Q1562" s="12"/>
      <c r="R1562" s="11"/>
      <c r="S1562" s="11"/>
      <c r="T1562" s="11"/>
    </row>
    <row r="1563">
      <c r="A1563" s="2"/>
      <c r="B1563" s="2"/>
      <c r="C1563" s="2"/>
      <c r="D1563" s="2"/>
      <c r="E1563" s="2"/>
      <c r="F1563" s="2"/>
      <c r="K1563" s="2"/>
      <c r="N1563" s="7"/>
      <c r="O1563" s="12"/>
      <c r="P1563" s="11"/>
      <c r="Q1563" s="12"/>
      <c r="R1563" s="11"/>
      <c r="S1563" s="11"/>
      <c r="T1563" s="11"/>
    </row>
    <row r="1564">
      <c r="A1564" s="2"/>
      <c r="B1564" s="2"/>
      <c r="C1564" s="2"/>
      <c r="D1564" s="2"/>
      <c r="E1564" s="2"/>
      <c r="F1564" s="2"/>
      <c r="K1564" s="2"/>
      <c r="N1564" s="7"/>
      <c r="O1564" s="12"/>
      <c r="P1564" s="11"/>
      <c r="Q1564" s="12"/>
      <c r="R1564" s="11"/>
      <c r="S1564" s="11"/>
      <c r="T1564" s="11"/>
    </row>
    <row r="1565">
      <c r="A1565" s="2"/>
      <c r="B1565" s="2"/>
      <c r="C1565" s="2"/>
      <c r="D1565" s="2"/>
      <c r="E1565" s="2"/>
      <c r="F1565" s="2"/>
      <c r="K1565" s="2"/>
      <c r="N1565" s="7"/>
      <c r="O1565" s="12"/>
      <c r="P1565" s="11"/>
      <c r="Q1565" s="12"/>
      <c r="R1565" s="11"/>
      <c r="S1565" s="11"/>
      <c r="T1565" s="11"/>
    </row>
    <row r="1566">
      <c r="A1566" s="2"/>
      <c r="B1566" s="2"/>
      <c r="C1566" s="2"/>
      <c r="D1566" s="2"/>
      <c r="E1566" s="2"/>
      <c r="F1566" s="2"/>
      <c r="K1566" s="2"/>
      <c r="N1566" s="7"/>
      <c r="O1566" s="12"/>
      <c r="P1566" s="11"/>
      <c r="Q1566" s="12"/>
      <c r="R1566" s="11"/>
      <c r="S1566" s="11"/>
      <c r="T1566" s="11"/>
    </row>
    <row r="1567">
      <c r="A1567" s="2"/>
      <c r="B1567" s="2"/>
      <c r="C1567" s="2"/>
      <c r="D1567" s="2"/>
      <c r="E1567" s="2"/>
      <c r="F1567" s="2"/>
      <c r="K1567" s="2"/>
      <c r="N1567" s="7"/>
      <c r="O1567" s="12"/>
      <c r="P1567" s="11"/>
      <c r="Q1567" s="12"/>
      <c r="R1567" s="11"/>
      <c r="S1567" s="11"/>
      <c r="T1567" s="11"/>
    </row>
    <row r="1568">
      <c r="A1568" s="2"/>
      <c r="B1568" s="2"/>
      <c r="C1568" s="2"/>
      <c r="D1568" s="2"/>
      <c r="E1568" s="2"/>
      <c r="F1568" s="2"/>
      <c r="K1568" s="2"/>
      <c r="N1568" s="7"/>
      <c r="O1568" s="12"/>
      <c r="P1568" s="11"/>
      <c r="Q1568" s="12"/>
      <c r="R1568" s="11"/>
      <c r="S1568" s="11"/>
      <c r="T1568" s="11"/>
    </row>
    <row r="1569">
      <c r="A1569" s="2"/>
      <c r="B1569" s="2"/>
      <c r="C1569" s="2"/>
      <c r="D1569" s="2"/>
      <c r="E1569" s="2"/>
      <c r="F1569" s="2"/>
      <c r="K1569" s="2"/>
      <c r="N1569" s="7"/>
      <c r="O1569" s="12"/>
      <c r="P1569" s="11"/>
      <c r="Q1569" s="12"/>
      <c r="R1569" s="11"/>
      <c r="S1569" s="11"/>
      <c r="T1569" s="11"/>
    </row>
    <row r="1570">
      <c r="A1570" s="2"/>
      <c r="B1570" s="2"/>
      <c r="C1570" s="2"/>
      <c r="D1570" s="2"/>
      <c r="E1570" s="2"/>
      <c r="F1570" s="2"/>
      <c r="K1570" s="2"/>
      <c r="N1570" s="7"/>
      <c r="O1570" s="12"/>
      <c r="P1570" s="11"/>
      <c r="Q1570" s="12"/>
      <c r="R1570" s="11"/>
      <c r="S1570" s="11"/>
      <c r="T1570" s="11"/>
    </row>
    <row r="1571">
      <c r="A1571" s="2"/>
      <c r="B1571" s="2"/>
      <c r="C1571" s="2"/>
      <c r="D1571" s="2"/>
      <c r="E1571" s="2"/>
      <c r="F1571" s="2"/>
      <c r="K1571" s="2"/>
      <c r="N1571" s="7"/>
      <c r="O1571" s="12"/>
      <c r="P1571" s="11"/>
      <c r="Q1571" s="12"/>
      <c r="R1571" s="11"/>
      <c r="S1571" s="11"/>
      <c r="T1571" s="11"/>
    </row>
    <row r="1572">
      <c r="A1572" s="2"/>
      <c r="B1572" s="2"/>
      <c r="C1572" s="2"/>
      <c r="D1572" s="2"/>
      <c r="E1572" s="2"/>
      <c r="F1572" s="2"/>
      <c r="K1572" s="2"/>
      <c r="N1572" s="7"/>
      <c r="O1572" s="12"/>
      <c r="P1572" s="11"/>
      <c r="Q1572" s="12"/>
      <c r="R1572" s="11"/>
      <c r="S1572" s="11"/>
      <c r="T1572" s="11"/>
    </row>
    <row r="1573">
      <c r="A1573" s="2"/>
      <c r="B1573" s="2"/>
      <c r="C1573" s="2"/>
      <c r="D1573" s="2"/>
      <c r="E1573" s="2"/>
      <c r="F1573" s="2"/>
      <c r="K1573" s="2"/>
      <c r="N1573" s="7"/>
      <c r="O1573" s="12"/>
      <c r="P1573" s="11"/>
      <c r="Q1573" s="12"/>
      <c r="R1573" s="11"/>
      <c r="S1573" s="11"/>
      <c r="T1573" s="11"/>
    </row>
    <row r="1574">
      <c r="A1574" s="2"/>
      <c r="B1574" s="2"/>
      <c r="C1574" s="2"/>
      <c r="D1574" s="2"/>
      <c r="E1574" s="2"/>
      <c r="F1574" s="2"/>
      <c r="K1574" s="2"/>
      <c r="N1574" s="7"/>
      <c r="O1574" s="12"/>
      <c r="P1574" s="11"/>
      <c r="Q1574" s="12"/>
      <c r="R1574" s="11"/>
      <c r="S1574" s="11"/>
      <c r="T1574" s="11"/>
    </row>
    <row r="1575">
      <c r="A1575" s="2"/>
      <c r="B1575" s="2"/>
      <c r="C1575" s="2"/>
      <c r="D1575" s="2"/>
      <c r="E1575" s="2"/>
      <c r="F1575" s="2"/>
      <c r="K1575" s="2"/>
      <c r="N1575" s="7"/>
      <c r="O1575" s="12"/>
      <c r="P1575" s="11"/>
      <c r="Q1575" s="12"/>
      <c r="R1575" s="11"/>
      <c r="S1575" s="11"/>
      <c r="T1575" s="11"/>
    </row>
    <row r="1576">
      <c r="A1576" s="2"/>
      <c r="B1576" s="2"/>
      <c r="C1576" s="2"/>
      <c r="D1576" s="2"/>
      <c r="E1576" s="2"/>
      <c r="F1576" s="2"/>
      <c r="K1576" s="2"/>
      <c r="N1576" s="7"/>
      <c r="O1576" s="12"/>
      <c r="P1576" s="11"/>
      <c r="Q1576" s="12"/>
      <c r="R1576" s="11"/>
      <c r="S1576" s="11"/>
      <c r="T1576" s="11"/>
    </row>
    <row r="1577">
      <c r="A1577" s="2"/>
      <c r="B1577" s="2"/>
      <c r="C1577" s="2"/>
      <c r="D1577" s="2"/>
      <c r="E1577" s="2"/>
      <c r="F1577" s="2"/>
      <c r="K1577" s="2"/>
      <c r="N1577" s="7"/>
      <c r="O1577" s="12"/>
      <c r="P1577" s="11"/>
      <c r="Q1577" s="12"/>
      <c r="R1577" s="11"/>
      <c r="S1577" s="11"/>
      <c r="T1577" s="11"/>
    </row>
    <row r="1578">
      <c r="A1578" s="2"/>
      <c r="B1578" s="2"/>
      <c r="C1578" s="2"/>
      <c r="D1578" s="2"/>
      <c r="E1578" s="2"/>
      <c r="F1578" s="2"/>
      <c r="K1578" s="2"/>
      <c r="N1578" s="7"/>
      <c r="O1578" s="12"/>
      <c r="P1578" s="11"/>
      <c r="Q1578" s="12"/>
      <c r="R1578" s="11"/>
      <c r="S1578" s="11"/>
      <c r="T1578" s="11"/>
    </row>
    <row r="1579">
      <c r="A1579" s="2"/>
      <c r="B1579" s="2"/>
      <c r="C1579" s="2"/>
      <c r="D1579" s="2"/>
      <c r="E1579" s="2"/>
      <c r="F1579" s="2"/>
      <c r="K1579" s="2"/>
      <c r="N1579" s="7"/>
      <c r="O1579" s="12"/>
      <c r="P1579" s="11"/>
      <c r="Q1579" s="12"/>
      <c r="R1579" s="11"/>
      <c r="S1579" s="11"/>
      <c r="T1579" s="11"/>
    </row>
    <row r="1580">
      <c r="A1580" s="2"/>
      <c r="B1580" s="2"/>
      <c r="C1580" s="2"/>
      <c r="D1580" s="2"/>
      <c r="E1580" s="2"/>
      <c r="F1580" s="2"/>
      <c r="K1580" s="2"/>
      <c r="N1580" s="7"/>
      <c r="O1580" s="12"/>
      <c r="P1580" s="11"/>
      <c r="Q1580" s="12"/>
      <c r="R1580" s="11"/>
      <c r="S1580" s="11"/>
      <c r="T1580" s="11"/>
    </row>
    <row r="1581">
      <c r="A1581" s="2"/>
      <c r="B1581" s="2"/>
      <c r="C1581" s="2"/>
      <c r="D1581" s="2"/>
      <c r="E1581" s="2"/>
      <c r="F1581" s="2"/>
      <c r="K1581" s="2"/>
      <c r="N1581" s="7"/>
      <c r="O1581" s="12"/>
      <c r="P1581" s="11"/>
      <c r="Q1581" s="12"/>
      <c r="R1581" s="11"/>
      <c r="S1581" s="11"/>
      <c r="T1581" s="11"/>
    </row>
    <row r="1582">
      <c r="A1582" s="2"/>
      <c r="B1582" s="2"/>
      <c r="C1582" s="2"/>
      <c r="D1582" s="2"/>
      <c r="E1582" s="2"/>
      <c r="F1582" s="2"/>
      <c r="K1582" s="2"/>
      <c r="N1582" s="7"/>
      <c r="O1582" s="12"/>
      <c r="P1582" s="11"/>
      <c r="Q1582" s="12"/>
      <c r="R1582" s="11"/>
      <c r="S1582" s="11"/>
      <c r="T1582" s="11"/>
    </row>
    <row r="1583">
      <c r="A1583" s="2"/>
      <c r="B1583" s="2"/>
      <c r="C1583" s="2"/>
      <c r="D1583" s="2"/>
      <c r="E1583" s="2"/>
      <c r="F1583" s="2"/>
      <c r="K1583" s="2"/>
      <c r="N1583" s="7"/>
      <c r="O1583" s="12"/>
      <c r="P1583" s="11"/>
      <c r="Q1583" s="12"/>
      <c r="R1583" s="11"/>
      <c r="S1583" s="11"/>
      <c r="T1583" s="11"/>
    </row>
    <row r="1584">
      <c r="A1584" s="2"/>
      <c r="B1584" s="2"/>
      <c r="C1584" s="2"/>
      <c r="D1584" s="2"/>
      <c r="E1584" s="2"/>
      <c r="F1584" s="2"/>
      <c r="K1584" s="2"/>
      <c r="N1584" s="7"/>
      <c r="O1584" s="12"/>
      <c r="P1584" s="11"/>
      <c r="Q1584" s="12"/>
      <c r="R1584" s="11"/>
      <c r="S1584" s="11"/>
      <c r="T1584" s="11"/>
    </row>
    <row r="1585">
      <c r="A1585" s="2"/>
      <c r="B1585" s="2"/>
      <c r="C1585" s="2"/>
      <c r="D1585" s="2"/>
      <c r="E1585" s="2"/>
      <c r="F1585" s="2"/>
      <c r="K1585" s="2"/>
      <c r="N1585" s="7"/>
      <c r="O1585" s="12"/>
      <c r="P1585" s="11"/>
      <c r="Q1585" s="12"/>
      <c r="R1585" s="11"/>
      <c r="S1585" s="11"/>
      <c r="T1585" s="11"/>
    </row>
    <row r="1586">
      <c r="A1586" s="2"/>
      <c r="B1586" s="2"/>
      <c r="C1586" s="2"/>
      <c r="D1586" s="2"/>
      <c r="E1586" s="2"/>
      <c r="F1586" s="2"/>
      <c r="K1586" s="2"/>
      <c r="N1586" s="7"/>
      <c r="O1586" s="12"/>
      <c r="P1586" s="11"/>
      <c r="Q1586" s="12"/>
      <c r="R1586" s="11"/>
      <c r="S1586" s="11"/>
      <c r="T1586" s="11"/>
    </row>
    <row r="1587">
      <c r="A1587" s="2"/>
      <c r="B1587" s="2"/>
      <c r="C1587" s="2"/>
      <c r="D1587" s="2"/>
      <c r="E1587" s="2"/>
      <c r="F1587" s="2"/>
      <c r="K1587" s="2"/>
      <c r="N1587" s="7"/>
      <c r="O1587" s="12"/>
      <c r="P1587" s="11"/>
      <c r="Q1587" s="12"/>
      <c r="R1587" s="11"/>
      <c r="S1587" s="11"/>
      <c r="T1587" s="11"/>
    </row>
    <row r="1588">
      <c r="A1588" s="2"/>
      <c r="B1588" s="2"/>
      <c r="C1588" s="2"/>
      <c r="D1588" s="2"/>
      <c r="E1588" s="2"/>
      <c r="F1588" s="2"/>
      <c r="K1588" s="2"/>
      <c r="N1588" s="7"/>
      <c r="O1588" s="12"/>
      <c r="P1588" s="11"/>
      <c r="Q1588" s="12"/>
      <c r="R1588" s="11"/>
      <c r="S1588" s="11"/>
      <c r="T1588" s="11"/>
    </row>
    <row r="1589">
      <c r="A1589" s="2"/>
      <c r="B1589" s="2"/>
      <c r="C1589" s="2"/>
      <c r="D1589" s="2"/>
      <c r="E1589" s="2"/>
      <c r="F1589" s="2"/>
      <c r="K1589" s="2"/>
      <c r="N1589" s="7"/>
      <c r="O1589" s="12"/>
      <c r="P1589" s="11"/>
      <c r="Q1589" s="12"/>
      <c r="R1589" s="11"/>
      <c r="S1589" s="11"/>
      <c r="T1589" s="11"/>
    </row>
    <row r="1590">
      <c r="A1590" s="2"/>
      <c r="B1590" s="2"/>
      <c r="C1590" s="2"/>
      <c r="D1590" s="2"/>
      <c r="E1590" s="2"/>
      <c r="F1590" s="2"/>
      <c r="K1590" s="2"/>
      <c r="N1590" s="7"/>
      <c r="O1590" s="12"/>
      <c r="P1590" s="11"/>
      <c r="Q1590" s="12"/>
      <c r="R1590" s="11"/>
      <c r="S1590" s="11"/>
      <c r="T1590" s="11"/>
    </row>
    <row r="1591">
      <c r="A1591" s="2"/>
      <c r="B1591" s="2"/>
      <c r="C1591" s="2"/>
      <c r="D1591" s="2"/>
      <c r="E1591" s="2"/>
      <c r="F1591" s="2"/>
      <c r="K1591" s="2"/>
      <c r="N1591" s="7"/>
      <c r="O1591" s="12"/>
      <c r="P1591" s="11"/>
      <c r="Q1591" s="12"/>
      <c r="R1591" s="11"/>
      <c r="S1591" s="11"/>
      <c r="T1591" s="11"/>
    </row>
    <row r="1592">
      <c r="A1592" s="2"/>
      <c r="B1592" s="2"/>
      <c r="C1592" s="2"/>
      <c r="D1592" s="2"/>
      <c r="E1592" s="2"/>
      <c r="F1592" s="2"/>
      <c r="K1592" s="2"/>
      <c r="N1592" s="7"/>
      <c r="O1592" s="12"/>
      <c r="P1592" s="11"/>
      <c r="Q1592" s="12"/>
      <c r="R1592" s="11"/>
      <c r="S1592" s="11"/>
      <c r="T1592" s="11"/>
    </row>
    <row r="1593">
      <c r="A1593" s="2"/>
      <c r="B1593" s="2"/>
      <c r="C1593" s="2"/>
      <c r="D1593" s="2"/>
      <c r="E1593" s="2"/>
      <c r="F1593" s="2"/>
      <c r="K1593" s="2"/>
      <c r="N1593" s="7"/>
      <c r="O1593" s="12"/>
      <c r="P1593" s="11"/>
      <c r="Q1593" s="12"/>
      <c r="R1593" s="11"/>
      <c r="S1593" s="11"/>
      <c r="T1593" s="11"/>
    </row>
    <row r="1594">
      <c r="A1594" s="2"/>
      <c r="B1594" s="2"/>
      <c r="C1594" s="2"/>
      <c r="D1594" s="2"/>
      <c r="E1594" s="2"/>
      <c r="F1594" s="2"/>
      <c r="K1594" s="2"/>
      <c r="N1594" s="7"/>
      <c r="O1594" s="12"/>
      <c r="P1594" s="11"/>
      <c r="Q1594" s="12"/>
      <c r="R1594" s="11"/>
      <c r="S1594" s="11"/>
      <c r="T1594" s="11"/>
    </row>
    <row r="1595">
      <c r="A1595" s="2"/>
      <c r="B1595" s="2"/>
      <c r="C1595" s="2"/>
      <c r="D1595" s="2"/>
      <c r="E1595" s="2"/>
      <c r="F1595" s="2"/>
      <c r="K1595" s="2"/>
      <c r="N1595" s="7"/>
      <c r="O1595" s="12"/>
      <c r="P1595" s="11"/>
      <c r="Q1595" s="12"/>
      <c r="R1595" s="11"/>
      <c r="S1595" s="11"/>
      <c r="T1595" s="11"/>
    </row>
    <row r="1596">
      <c r="A1596" s="2"/>
      <c r="B1596" s="2"/>
      <c r="C1596" s="2"/>
      <c r="D1596" s="2"/>
      <c r="E1596" s="2"/>
      <c r="F1596" s="2"/>
      <c r="K1596" s="2"/>
      <c r="N1596" s="7"/>
      <c r="O1596" s="12"/>
      <c r="P1596" s="11"/>
      <c r="Q1596" s="12"/>
      <c r="R1596" s="11"/>
      <c r="S1596" s="11"/>
      <c r="T1596" s="11"/>
    </row>
    <row r="1597">
      <c r="A1597" s="2"/>
      <c r="B1597" s="2"/>
      <c r="C1597" s="2"/>
      <c r="D1597" s="2"/>
      <c r="E1597" s="2"/>
      <c r="F1597" s="2"/>
      <c r="K1597" s="2"/>
      <c r="N1597" s="7"/>
      <c r="O1597" s="12"/>
      <c r="P1597" s="11"/>
      <c r="Q1597" s="12"/>
      <c r="R1597" s="11"/>
      <c r="S1597" s="11"/>
      <c r="T1597" s="11"/>
    </row>
    <row r="1598">
      <c r="A1598" s="2"/>
      <c r="B1598" s="2"/>
      <c r="C1598" s="2"/>
      <c r="D1598" s="2"/>
      <c r="E1598" s="2"/>
      <c r="F1598" s="2"/>
      <c r="K1598" s="2"/>
      <c r="N1598" s="7"/>
      <c r="O1598" s="12"/>
      <c r="P1598" s="11"/>
      <c r="Q1598" s="12"/>
      <c r="R1598" s="11"/>
      <c r="S1598" s="11"/>
      <c r="T1598" s="11"/>
    </row>
    <row r="1599">
      <c r="A1599" s="2"/>
      <c r="B1599" s="2"/>
      <c r="C1599" s="2"/>
      <c r="D1599" s="2"/>
      <c r="E1599" s="2"/>
      <c r="F1599" s="2"/>
      <c r="K1599" s="2"/>
      <c r="N1599" s="7"/>
      <c r="O1599" s="12"/>
      <c r="P1599" s="11"/>
      <c r="Q1599" s="12"/>
      <c r="R1599" s="11"/>
      <c r="S1599" s="11"/>
      <c r="T1599" s="11"/>
    </row>
    <row r="1600">
      <c r="A1600" s="2"/>
      <c r="B1600" s="2"/>
      <c r="C1600" s="2"/>
      <c r="D1600" s="2"/>
      <c r="E1600" s="2"/>
      <c r="F1600" s="2"/>
      <c r="K1600" s="2"/>
      <c r="N1600" s="7"/>
      <c r="O1600" s="12"/>
      <c r="P1600" s="11"/>
      <c r="Q1600" s="12"/>
      <c r="R1600" s="11"/>
      <c r="S1600" s="11"/>
      <c r="T1600" s="11"/>
    </row>
    <row r="1601">
      <c r="A1601" s="2"/>
      <c r="B1601" s="2"/>
      <c r="C1601" s="2"/>
      <c r="D1601" s="2"/>
      <c r="E1601" s="2"/>
      <c r="F1601" s="2"/>
      <c r="K1601" s="2"/>
      <c r="N1601" s="7"/>
      <c r="O1601" s="12"/>
      <c r="P1601" s="11"/>
      <c r="Q1601" s="12"/>
      <c r="R1601" s="11"/>
      <c r="S1601" s="11"/>
      <c r="T1601" s="11"/>
    </row>
    <row r="1602">
      <c r="A1602" s="2"/>
      <c r="B1602" s="2"/>
      <c r="C1602" s="2"/>
      <c r="D1602" s="2"/>
      <c r="E1602" s="2"/>
      <c r="F1602" s="2"/>
      <c r="K1602" s="2"/>
      <c r="N1602" s="7"/>
      <c r="O1602" s="12"/>
      <c r="P1602" s="11"/>
      <c r="Q1602" s="12"/>
      <c r="R1602" s="11"/>
      <c r="S1602" s="11"/>
      <c r="T1602" s="11"/>
    </row>
    <row r="1603">
      <c r="A1603" s="2"/>
      <c r="B1603" s="2"/>
      <c r="C1603" s="2"/>
      <c r="D1603" s="2"/>
      <c r="E1603" s="2"/>
      <c r="F1603" s="2"/>
      <c r="K1603" s="2"/>
      <c r="N1603" s="7"/>
      <c r="O1603" s="12"/>
      <c r="P1603" s="11"/>
      <c r="Q1603" s="12"/>
      <c r="R1603" s="11"/>
      <c r="S1603" s="11"/>
      <c r="T1603" s="11"/>
    </row>
    <row r="1604">
      <c r="A1604" s="2"/>
      <c r="B1604" s="2"/>
      <c r="C1604" s="2"/>
      <c r="D1604" s="2"/>
      <c r="E1604" s="2"/>
      <c r="F1604" s="2"/>
      <c r="K1604" s="2"/>
      <c r="N1604" s="7"/>
      <c r="O1604" s="12"/>
      <c r="P1604" s="11"/>
      <c r="Q1604" s="12"/>
      <c r="R1604" s="11"/>
      <c r="S1604" s="11"/>
      <c r="T1604" s="11"/>
    </row>
    <row r="1605">
      <c r="A1605" s="2"/>
      <c r="B1605" s="2"/>
      <c r="C1605" s="2"/>
      <c r="D1605" s="2"/>
      <c r="E1605" s="2"/>
      <c r="F1605" s="2"/>
      <c r="K1605" s="2"/>
      <c r="N1605" s="7"/>
      <c r="O1605" s="12"/>
      <c r="P1605" s="11"/>
      <c r="Q1605" s="12"/>
      <c r="R1605" s="11"/>
      <c r="S1605" s="11"/>
      <c r="T1605" s="11"/>
    </row>
    <row r="1606">
      <c r="A1606" s="2"/>
      <c r="B1606" s="2"/>
      <c r="C1606" s="2"/>
      <c r="D1606" s="2"/>
      <c r="E1606" s="2"/>
      <c r="F1606" s="2"/>
      <c r="K1606" s="2"/>
      <c r="N1606" s="7"/>
      <c r="O1606" s="12"/>
      <c r="P1606" s="11"/>
      <c r="Q1606" s="12"/>
      <c r="R1606" s="11"/>
      <c r="S1606" s="11"/>
      <c r="T1606" s="11"/>
    </row>
    <row r="1607">
      <c r="A1607" s="2"/>
      <c r="B1607" s="2"/>
      <c r="C1607" s="2"/>
      <c r="D1607" s="2"/>
      <c r="E1607" s="2"/>
      <c r="F1607" s="2"/>
      <c r="K1607" s="2"/>
      <c r="N1607" s="7"/>
      <c r="O1607" s="12"/>
      <c r="P1607" s="11"/>
      <c r="Q1607" s="12"/>
      <c r="R1607" s="11"/>
      <c r="S1607" s="11"/>
      <c r="T1607" s="11"/>
    </row>
    <row r="1608">
      <c r="A1608" s="2"/>
      <c r="B1608" s="2"/>
      <c r="C1608" s="2"/>
      <c r="D1608" s="2"/>
      <c r="E1608" s="2"/>
      <c r="F1608" s="2"/>
      <c r="K1608" s="2"/>
      <c r="N1608" s="7"/>
      <c r="O1608" s="12"/>
      <c r="P1608" s="11"/>
      <c r="Q1608" s="12"/>
      <c r="R1608" s="11"/>
      <c r="S1608" s="11"/>
      <c r="T1608" s="11"/>
    </row>
    <row r="1609">
      <c r="A1609" s="2"/>
      <c r="B1609" s="2"/>
      <c r="C1609" s="2"/>
      <c r="D1609" s="2"/>
      <c r="E1609" s="2"/>
      <c r="F1609" s="2"/>
      <c r="K1609" s="2"/>
      <c r="N1609" s="7"/>
      <c r="O1609" s="12"/>
      <c r="P1609" s="11"/>
      <c r="Q1609" s="12"/>
      <c r="R1609" s="11"/>
      <c r="S1609" s="11"/>
      <c r="T1609" s="11"/>
    </row>
    <row r="1610">
      <c r="A1610" s="2"/>
      <c r="B1610" s="2"/>
      <c r="C1610" s="2"/>
      <c r="D1610" s="2"/>
      <c r="E1610" s="2"/>
      <c r="F1610" s="2"/>
      <c r="K1610" s="2"/>
      <c r="N1610" s="7"/>
      <c r="O1610" s="12"/>
      <c r="P1610" s="11"/>
      <c r="Q1610" s="12"/>
      <c r="R1610" s="11"/>
      <c r="S1610" s="11"/>
      <c r="T1610" s="11"/>
    </row>
    <row r="1611">
      <c r="A1611" s="2"/>
      <c r="B1611" s="2"/>
      <c r="C1611" s="2"/>
      <c r="D1611" s="2"/>
      <c r="E1611" s="2"/>
      <c r="F1611" s="2"/>
      <c r="K1611" s="2"/>
      <c r="N1611" s="7"/>
      <c r="O1611" s="12"/>
      <c r="P1611" s="11"/>
      <c r="Q1611" s="12"/>
      <c r="R1611" s="11"/>
      <c r="S1611" s="11"/>
      <c r="T1611" s="11"/>
    </row>
    <row r="1612">
      <c r="A1612" s="2"/>
      <c r="B1612" s="2"/>
      <c r="C1612" s="2"/>
      <c r="D1612" s="2"/>
      <c r="E1612" s="2"/>
      <c r="F1612" s="2"/>
      <c r="K1612" s="2"/>
      <c r="N1612" s="7"/>
      <c r="O1612" s="12"/>
      <c r="P1612" s="11"/>
      <c r="Q1612" s="12"/>
      <c r="R1612" s="11"/>
      <c r="S1612" s="11"/>
      <c r="T1612" s="11"/>
    </row>
    <row r="1613">
      <c r="A1613" s="2"/>
      <c r="B1613" s="2"/>
      <c r="C1613" s="2"/>
      <c r="D1613" s="2"/>
      <c r="E1613" s="2"/>
      <c r="F1613" s="2"/>
      <c r="K1613" s="2"/>
      <c r="N1613" s="7"/>
      <c r="O1613" s="12"/>
      <c r="P1613" s="11"/>
      <c r="Q1613" s="12"/>
      <c r="R1613" s="11"/>
      <c r="S1613" s="11"/>
      <c r="T1613" s="11"/>
    </row>
    <row r="1614">
      <c r="A1614" s="2"/>
      <c r="B1614" s="2"/>
      <c r="C1614" s="2"/>
      <c r="D1614" s="2"/>
      <c r="E1614" s="2"/>
      <c r="F1614" s="2"/>
      <c r="K1614" s="2"/>
      <c r="N1614" s="7"/>
      <c r="O1614" s="12"/>
      <c r="P1614" s="11"/>
      <c r="Q1614" s="12"/>
      <c r="R1614" s="11"/>
      <c r="S1614" s="11"/>
      <c r="T1614" s="11"/>
    </row>
    <row r="1615">
      <c r="A1615" s="2"/>
      <c r="B1615" s="2"/>
      <c r="C1615" s="2"/>
      <c r="D1615" s="2"/>
      <c r="E1615" s="2"/>
      <c r="F1615" s="2"/>
      <c r="K1615" s="2"/>
      <c r="N1615" s="7"/>
      <c r="O1615" s="12"/>
      <c r="P1615" s="11"/>
      <c r="Q1615" s="12"/>
      <c r="R1615" s="11"/>
      <c r="S1615" s="11"/>
      <c r="T1615" s="11"/>
    </row>
    <row r="1616">
      <c r="A1616" s="2"/>
      <c r="B1616" s="2"/>
      <c r="C1616" s="2"/>
      <c r="D1616" s="2"/>
      <c r="E1616" s="2"/>
      <c r="F1616" s="2"/>
      <c r="K1616" s="2"/>
      <c r="N1616" s="7"/>
      <c r="O1616" s="12"/>
      <c r="P1616" s="11"/>
      <c r="Q1616" s="12"/>
      <c r="R1616" s="11"/>
      <c r="S1616" s="11"/>
      <c r="T1616" s="11"/>
    </row>
    <row r="1617">
      <c r="A1617" s="2"/>
      <c r="B1617" s="2"/>
      <c r="C1617" s="2"/>
      <c r="D1617" s="2"/>
      <c r="E1617" s="2"/>
      <c r="F1617" s="2"/>
      <c r="K1617" s="2"/>
      <c r="N1617" s="7"/>
      <c r="O1617" s="12"/>
      <c r="P1617" s="11"/>
      <c r="Q1617" s="12"/>
      <c r="R1617" s="11"/>
      <c r="S1617" s="11"/>
      <c r="T1617" s="11"/>
    </row>
    <row r="1618">
      <c r="A1618" s="2"/>
      <c r="B1618" s="2"/>
      <c r="C1618" s="2"/>
      <c r="D1618" s="2"/>
      <c r="E1618" s="2"/>
      <c r="F1618" s="2"/>
      <c r="K1618" s="2"/>
      <c r="N1618" s="7"/>
      <c r="O1618" s="12"/>
      <c r="P1618" s="11"/>
      <c r="Q1618" s="12"/>
      <c r="R1618" s="11"/>
      <c r="S1618" s="11"/>
      <c r="T1618" s="11"/>
    </row>
    <row r="1619">
      <c r="A1619" s="2"/>
      <c r="B1619" s="2"/>
      <c r="C1619" s="2"/>
      <c r="D1619" s="2"/>
      <c r="E1619" s="2"/>
      <c r="F1619" s="2"/>
      <c r="K1619" s="2"/>
      <c r="N1619" s="7"/>
      <c r="O1619" s="12"/>
      <c r="P1619" s="11"/>
      <c r="Q1619" s="12"/>
      <c r="R1619" s="11"/>
      <c r="S1619" s="11"/>
      <c r="T1619" s="11"/>
    </row>
    <row r="1620">
      <c r="A1620" s="2"/>
      <c r="B1620" s="2"/>
      <c r="C1620" s="2"/>
      <c r="D1620" s="2"/>
      <c r="E1620" s="2"/>
      <c r="F1620" s="2"/>
      <c r="K1620" s="2"/>
      <c r="N1620" s="7"/>
      <c r="O1620" s="12"/>
      <c r="P1620" s="11"/>
      <c r="Q1620" s="12"/>
      <c r="R1620" s="11"/>
      <c r="S1620" s="11"/>
      <c r="T1620" s="11"/>
    </row>
    <row r="1621">
      <c r="A1621" s="2"/>
      <c r="B1621" s="2"/>
      <c r="C1621" s="2"/>
      <c r="D1621" s="2"/>
      <c r="E1621" s="2"/>
      <c r="F1621" s="2"/>
      <c r="K1621" s="2"/>
      <c r="N1621" s="7"/>
      <c r="O1621" s="12"/>
      <c r="P1621" s="11"/>
      <c r="Q1621" s="12"/>
      <c r="R1621" s="11"/>
      <c r="S1621" s="11"/>
      <c r="T1621" s="11"/>
    </row>
    <row r="1622">
      <c r="A1622" s="2"/>
      <c r="B1622" s="2"/>
      <c r="C1622" s="2"/>
      <c r="D1622" s="2"/>
      <c r="E1622" s="2"/>
      <c r="F1622" s="2"/>
      <c r="K1622" s="2"/>
      <c r="N1622" s="7"/>
      <c r="O1622" s="12"/>
      <c r="P1622" s="11"/>
      <c r="Q1622" s="12"/>
      <c r="R1622" s="11"/>
      <c r="S1622" s="11"/>
      <c r="T1622" s="11"/>
    </row>
    <row r="1623">
      <c r="A1623" s="2"/>
      <c r="B1623" s="2"/>
      <c r="C1623" s="2"/>
      <c r="D1623" s="2"/>
      <c r="E1623" s="2"/>
      <c r="F1623" s="2"/>
      <c r="K1623" s="2"/>
      <c r="N1623" s="7"/>
      <c r="O1623" s="12"/>
      <c r="P1623" s="11"/>
      <c r="Q1623" s="12"/>
      <c r="R1623" s="11"/>
      <c r="S1623" s="11"/>
      <c r="T1623" s="11"/>
    </row>
    <row r="1624">
      <c r="A1624" s="2"/>
      <c r="B1624" s="2"/>
      <c r="C1624" s="2"/>
      <c r="D1624" s="2"/>
      <c r="E1624" s="2"/>
      <c r="F1624" s="2"/>
      <c r="K1624" s="2"/>
      <c r="N1624" s="7"/>
      <c r="O1624" s="12"/>
      <c r="P1624" s="11"/>
      <c r="Q1624" s="12"/>
      <c r="R1624" s="11"/>
      <c r="S1624" s="11"/>
      <c r="T1624" s="11"/>
    </row>
    <row r="1625">
      <c r="A1625" s="2"/>
      <c r="B1625" s="2"/>
      <c r="C1625" s="2"/>
      <c r="D1625" s="2"/>
      <c r="E1625" s="2"/>
      <c r="F1625" s="2"/>
      <c r="K1625" s="2"/>
      <c r="N1625" s="7"/>
      <c r="O1625" s="12"/>
      <c r="P1625" s="11"/>
      <c r="Q1625" s="12"/>
      <c r="R1625" s="11"/>
      <c r="S1625" s="11"/>
      <c r="T1625" s="11"/>
    </row>
    <row r="1626">
      <c r="A1626" s="2"/>
      <c r="B1626" s="2"/>
      <c r="C1626" s="2"/>
      <c r="D1626" s="2"/>
      <c r="E1626" s="2"/>
      <c r="F1626" s="2"/>
      <c r="K1626" s="2"/>
      <c r="N1626" s="7"/>
      <c r="O1626" s="12"/>
      <c r="P1626" s="11"/>
      <c r="Q1626" s="12"/>
      <c r="R1626" s="11"/>
      <c r="S1626" s="11"/>
      <c r="T1626" s="11"/>
    </row>
    <row r="1627">
      <c r="A1627" s="2"/>
      <c r="B1627" s="2"/>
      <c r="C1627" s="2"/>
      <c r="D1627" s="2"/>
      <c r="E1627" s="2"/>
      <c r="F1627" s="2"/>
      <c r="K1627" s="2"/>
      <c r="N1627" s="7"/>
      <c r="O1627" s="12"/>
      <c r="P1627" s="11"/>
      <c r="Q1627" s="12"/>
      <c r="R1627" s="11"/>
      <c r="S1627" s="11"/>
      <c r="T1627" s="11"/>
    </row>
    <row r="1628">
      <c r="A1628" s="2"/>
      <c r="B1628" s="2"/>
      <c r="C1628" s="2"/>
      <c r="D1628" s="2"/>
      <c r="E1628" s="2"/>
      <c r="F1628" s="2"/>
      <c r="K1628" s="2"/>
      <c r="N1628" s="7"/>
      <c r="O1628" s="12"/>
      <c r="P1628" s="11"/>
      <c r="Q1628" s="12"/>
      <c r="R1628" s="11"/>
      <c r="S1628" s="11"/>
      <c r="T1628" s="11"/>
    </row>
    <row r="1629">
      <c r="A1629" s="2"/>
      <c r="B1629" s="2"/>
      <c r="C1629" s="2"/>
      <c r="D1629" s="2"/>
      <c r="E1629" s="2"/>
      <c r="F1629" s="2"/>
      <c r="K1629" s="2"/>
      <c r="N1629" s="7"/>
      <c r="O1629" s="12"/>
      <c r="P1629" s="11"/>
      <c r="Q1629" s="12"/>
      <c r="R1629" s="11"/>
      <c r="S1629" s="11"/>
      <c r="T1629" s="11"/>
    </row>
    <row r="1630">
      <c r="A1630" s="2"/>
      <c r="B1630" s="2"/>
      <c r="C1630" s="2"/>
      <c r="D1630" s="2"/>
      <c r="E1630" s="2"/>
      <c r="F1630" s="2"/>
      <c r="K1630" s="2"/>
      <c r="N1630" s="7"/>
      <c r="O1630" s="12"/>
      <c r="P1630" s="11"/>
      <c r="Q1630" s="12"/>
      <c r="R1630" s="11"/>
      <c r="S1630" s="11"/>
      <c r="T1630" s="11"/>
    </row>
    <row r="1631">
      <c r="A1631" s="2"/>
      <c r="B1631" s="2"/>
      <c r="C1631" s="2"/>
      <c r="D1631" s="2"/>
      <c r="E1631" s="2"/>
      <c r="F1631" s="2"/>
      <c r="K1631" s="2"/>
      <c r="N1631" s="7"/>
      <c r="O1631" s="12"/>
      <c r="P1631" s="11"/>
      <c r="Q1631" s="12"/>
      <c r="R1631" s="11"/>
      <c r="S1631" s="11"/>
      <c r="T1631" s="11"/>
    </row>
    <row r="1632">
      <c r="A1632" s="2"/>
      <c r="B1632" s="2"/>
      <c r="C1632" s="2"/>
      <c r="D1632" s="2"/>
      <c r="E1632" s="2"/>
      <c r="F1632" s="2"/>
      <c r="K1632" s="2"/>
      <c r="N1632" s="7"/>
      <c r="O1632" s="12"/>
      <c r="P1632" s="11"/>
      <c r="Q1632" s="12"/>
      <c r="R1632" s="11"/>
      <c r="S1632" s="11"/>
      <c r="T1632" s="11"/>
    </row>
    <row r="1633">
      <c r="A1633" s="2"/>
      <c r="B1633" s="2"/>
      <c r="C1633" s="2"/>
      <c r="D1633" s="2"/>
      <c r="E1633" s="2"/>
      <c r="F1633" s="2"/>
      <c r="K1633" s="2"/>
      <c r="N1633" s="7"/>
      <c r="O1633" s="12"/>
      <c r="P1633" s="11"/>
      <c r="Q1633" s="12"/>
      <c r="R1633" s="11"/>
      <c r="S1633" s="11"/>
      <c r="T1633" s="11"/>
    </row>
    <row r="1634">
      <c r="A1634" s="2"/>
      <c r="B1634" s="2"/>
      <c r="C1634" s="2"/>
      <c r="D1634" s="2"/>
      <c r="E1634" s="2"/>
      <c r="F1634" s="2"/>
      <c r="K1634" s="2"/>
      <c r="N1634" s="7"/>
      <c r="O1634" s="12"/>
      <c r="P1634" s="11"/>
      <c r="Q1634" s="12"/>
      <c r="R1634" s="11"/>
      <c r="S1634" s="11"/>
      <c r="T1634" s="11"/>
    </row>
    <row r="1635">
      <c r="A1635" s="2"/>
      <c r="B1635" s="2"/>
      <c r="C1635" s="2"/>
      <c r="D1635" s="2"/>
      <c r="E1635" s="2"/>
      <c r="F1635" s="2"/>
      <c r="K1635" s="2"/>
      <c r="N1635" s="7"/>
      <c r="O1635" s="12"/>
      <c r="P1635" s="11"/>
      <c r="Q1635" s="12"/>
      <c r="R1635" s="11"/>
      <c r="S1635" s="11"/>
      <c r="T1635" s="11"/>
    </row>
    <row r="1636">
      <c r="A1636" s="2"/>
      <c r="B1636" s="2"/>
      <c r="C1636" s="2"/>
      <c r="D1636" s="2"/>
      <c r="E1636" s="2"/>
      <c r="F1636" s="2"/>
      <c r="K1636" s="2"/>
      <c r="N1636" s="7"/>
      <c r="O1636" s="12"/>
      <c r="P1636" s="11"/>
      <c r="Q1636" s="12"/>
      <c r="R1636" s="11"/>
      <c r="S1636" s="11"/>
      <c r="T1636" s="11"/>
    </row>
    <row r="1637">
      <c r="A1637" s="2"/>
      <c r="B1637" s="2"/>
      <c r="C1637" s="2"/>
      <c r="D1637" s="2"/>
      <c r="E1637" s="2"/>
      <c r="F1637" s="2"/>
      <c r="K1637" s="2"/>
      <c r="N1637" s="7"/>
      <c r="O1637" s="12"/>
      <c r="P1637" s="11"/>
      <c r="Q1637" s="12"/>
      <c r="R1637" s="11"/>
      <c r="S1637" s="11"/>
      <c r="T1637" s="11"/>
    </row>
    <row r="1638">
      <c r="A1638" s="2"/>
      <c r="B1638" s="2"/>
      <c r="C1638" s="2"/>
      <c r="D1638" s="2"/>
      <c r="E1638" s="2"/>
      <c r="F1638" s="2"/>
      <c r="K1638" s="2"/>
      <c r="N1638" s="7"/>
      <c r="O1638" s="12"/>
      <c r="P1638" s="11"/>
      <c r="Q1638" s="12"/>
      <c r="R1638" s="11"/>
      <c r="S1638" s="11"/>
      <c r="T1638" s="11"/>
    </row>
    <row r="1639">
      <c r="A1639" s="2"/>
      <c r="B1639" s="2"/>
      <c r="C1639" s="2"/>
      <c r="D1639" s="2"/>
      <c r="E1639" s="2"/>
      <c r="F1639" s="2"/>
      <c r="K1639" s="2"/>
      <c r="N1639" s="7"/>
      <c r="O1639" s="12"/>
      <c r="P1639" s="11"/>
      <c r="Q1639" s="12"/>
      <c r="R1639" s="11"/>
      <c r="S1639" s="11"/>
      <c r="T1639" s="11"/>
    </row>
    <row r="1640">
      <c r="A1640" s="2"/>
      <c r="B1640" s="2"/>
      <c r="C1640" s="2"/>
      <c r="D1640" s="2"/>
      <c r="E1640" s="2"/>
      <c r="F1640" s="2"/>
      <c r="K1640" s="2"/>
      <c r="N1640" s="7"/>
      <c r="O1640" s="12"/>
      <c r="P1640" s="11"/>
      <c r="Q1640" s="12"/>
      <c r="R1640" s="11"/>
      <c r="S1640" s="11"/>
      <c r="T1640" s="11"/>
    </row>
    <row r="1641">
      <c r="A1641" s="2"/>
      <c r="B1641" s="2"/>
      <c r="C1641" s="2"/>
      <c r="D1641" s="2"/>
      <c r="E1641" s="2"/>
      <c r="F1641" s="2"/>
      <c r="K1641" s="2"/>
      <c r="N1641" s="7"/>
      <c r="O1641" s="12"/>
      <c r="P1641" s="11"/>
      <c r="Q1641" s="12"/>
      <c r="R1641" s="11"/>
      <c r="S1641" s="11"/>
      <c r="T1641" s="11"/>
    </row>
    <row r="1642">
      <c r="A1642" s="2"/>
      <c r="B1642" s="2"/>
      <c r="C1642" s="2"/>
      <c r="D1642" s="2"/>
      <c r="E1642" s="2"/>
      <c r="F1642" s="2"/>
      <c r="K1642" s="2"/>
      <c r="N1642" s="7"/>
      <c r="O1642" s="12"/>
      <c r="P1642" s="11"/>
      <c r="Q1642" s="12"/>
      <c r="R1642" s="11"/>
      <c r="S1642" s="11"/>
      <c r="T1642" s="11"/>
    </row>
    <row r="1643">
      <c r="A1643" s="2"/>
      <c r="B1643" s="2"/>
      <c r="C1643" s="2"/>
      <c r="D1643" s="2"/>
      <c r="E1643" s="2"/>
      <c r="F1643" s="2"/>
      <c r="K1643" s="2"/>
      <c r="N1643" s="7"/>
      <c r="O1643" s="12"/>
      <c r="P1643" s="11"/>
      <c r="Q1643" s="12"/>
      <c r="R1643" s="11"/>
      <c r="S1643" s="11"/>
      <c r="T1643" s="11"/>
    </row>
    <row r="1644">
      <c r="A1644" s="2"/>
      <c r="B1644" s="2"/>
      <c r="C1644" s="2"/>
      <c r="D1644" s="2"/>
      <c r="E1644" s="2"/>
      <c r="F1644" s="2"/>
      <c r="K1644" s="2"/>
      <c r="N1644" s="7"/>
      <c r="O1644" s="12"/>
      <c r="P1644" s="11"/>
      <c r="Q1644" s="12"/>
      <c r="R1644" s="11"/>
      <c r="S1644" s="11"/>
      <c r="T1644" s="11"/>
    </row>
    <row r="1645">
      <c r="A1645" s="2"/>
      <c r="B1645" s="2"/>
      <c r="C1645" s="2"/>
      <c r="D1645" s="2"/>
      <c r="E1645" s="2"/>
      <c r="F1645" s="2"/>
      <c r="K1645" s="2"/>
      <c r="N1645" s="7"/>
      <c r="O1645" s="12"/>
      <c r="P1645" s="11"/>
      <c r="Q1645" s="12"/>
      <c r="R1645" s="11"/>
      <c r="S1645" s="11"/>
      <c r="T1645" s="11"/>
    </row>
    <row r="1646">
      <c r="A1646" s="2"/>
      <c r="B1646" s="2"/>
      <c r="C1646" s="2"/>
      <c r="D1646" s="2"/>
      <c r="E1646" s="2"/>
      <c r="F1646" s="2"/>
      <c r="K1646" s="2"/>
      <c r="N1646" s="7"/>
      <c r="O1646" s="12"/>
      <c r="P1646" s="11"/>
      <c r="Q1646" s="12"/>
      <c r="R1646" s="11"/>
      <c r="S1646" s="11"/>
      <c r="T1646" s="11"/>
    </row>
    <row r="1647">
      <c r="A1647" s="2"/>
      <c r="B1647" s="2"/>
      <c r="C1647" s="2"/>
      <c r="D1647" s="2"/>
      <c r="E1647" s="2"/>
      <c r="F1647" s="2"/>
      <c r="K1647" s="2"/>
      <c r="N1647" s="7"/>
      <c r="O1647" s="12"/>
      <c r="P1647" s="11"/>
      <c r="Q1647" s="12"/>
      <c r="R1647" s="11"/>
      <c r="S1647" s="11"/>
      <c r="T1647" s="11"/>
    </row>
    <row r="1648">
      <c r="A1648" s="2"/>
      <c r="B1648" s="2"/>
      <c r="C1648" s="2"/>
      <c r="D1648" s="2"/>
      <c r="E1648" s="2"/>
      <c r="F1648" s="2"/>
      <c r="K1648" s="2"/>
      <c r="N1648" s="7"/>
      <c r="O1648" s="12"/>
      <c r="P1648" s="11"/>
      <c r="Q1648" s="12"/>
      <c r="R1648" s="11"/>
      <c r="S1648" s="11"/>
      <c r="T1648" s="11"/>
    </row>
    <row r="1649">
      <c r="A1649" s="2"/>
      <c r="B1649" s="2"/>
      <c r="C1649" s="2"/>
      <c r="D1649" s="2"/>
      <c r="E1649" s="2"/>
      <c r="F1649" s="2"/>
      <c r="K1649" s="2"/>
      <c r="N1649" s="7"/>
      <c r="O1649" s="12"/>
      <c r="P1649" s="11"/>
      <c r="Q1649" s="12"/>
      <c r="R1649" s="11"/>
      <c r="S1649" s="11"/>
      <c r="T1649" s="11"/>
    </row>
    <row r="1650">
      <c r="A1650" s="2"/>
      <c r="B1650" s="2"/>
      <c r="C1650" s="2"/>
      <c r="D1650" s="2"/>
      <c r="E1650" s="2"/>
      <c r="F1650" s="2"/>
      <c r="K1650" s="2"/>
      <c r="N1650" s="7"/>
      <c r="O1650" s="12"/>
      <c r="P1650" s="11"/>
      <c r="Q1650" s="12"/>
      <c r="R1650" s="11"/>
      <c r="S1650" s="11"/>
      <c r="T1650" s="11"/>
    </row>
    <row r="1651">
      <c r="A1651" s="2"/>
      <c r="B1651" s="2"/>
      <c r="C1651" s="2"/>
      <c r="D1651" s="2"/>
      <c r="E1651" s="2"/>
      <c r="F1651" s="2"/>
      <c r="K1651" s="2"/>
      <c r="N1651" s="7"/>
      <c r="O1651" s="12"/>
      <c r="P1651" s="11"/>
      <c r="Q1651" s="12"/>
      <c r="R1651" s="11"/>
      <c r="S1651" s="11"/>
      <c r="T1651" s="11"/>
    </row>
    <row r="1652">
      <c r="A1652" s="2"/>
      <c r="B1652" s="2"/>
      <c r="C1652" s="2"/>
      <c r="D1652" s="2"/>
      <c r="E1652" s="2"/>
      <c r="F1652" s="2"/>
      <c r="K1652" s="2"/>
      <c r="N1652" s="7"/>
      <c r="O1652" s="12"/>
      <c r="P1652" s="11"/>
      <c r="Q1652" s="12"/>
      <c r="R1652" s="11"/>
      <c r="S1652" s="11"/>
      <c r="T1652" s="11"/>
    </row>
    <row r="1653">
      <c r="A1653" s="2"/>
      <c r="B1653" s="2"/>
      <c r="C1653" s="2"/>
      <c r="D1653" s="2"/>
      <c r="E1653" s="2"/>
      <c r="F1653" s="2"/>
      <c r="K1653" s="2"/>
      <c r="N1653" s="7"/>
      <c r="O1653" s="12"/>
      <c r="P1653" s="11"/>
      <c r="Q1653" s="12"/>
      <c r="R1653" s="11"/>
      <c r="S1653" s="11"/>
      <c r="T1653" s="11"/>
    </row>
    <row r="1654">
      <c r="A1654" s="2"/>
      <c r="B1654" s="2"/>
      <c r="C1654" s="2"/>
      <c r="D1654" s="2"/>
      <c r="E1654" s="2"/>
      <c r="F1654" s="2"/>
      <c r="K1654" s="2"/>
      <c r="N1654" s="7"/>
      <c r="O1654" s="12"/>
      <c r="P1654" s="11"/>
      <c r="Q1654" s="12"/>
      <c r="R1654" s="11"/>
      <c r="S1654" s="11"/>
      <c r="T1654" s="11"/>
    </row>
    <row r="1655">
      <c r="A1655" s="2"/>
      <c r="B1655" s="2"/>
      <c r="C1655" s="2"/>
      <c r="D1655" s="2"/>
      <c r="E1655" s="2"/>
      <c r="F1655" s="2"/>
      <c r="K1655" s="2"/>
      <c r="N1655" s="7"/>
      <c r="O1655" s="12"/>
      <c r="P1655" s="11"/>
      <c r="Q1655" s="12"/>
      <c r="R1655" s="11"/>
      <c r="S1655" s="11"/>
      <c r="T1655" s="11"/>
    </row>
    <row r="1656">
      <c r="A1656" s="2"/>
      <c r="B1656" s="2"/>
      <c r="C1656" s="2"/>
      <c r="D1656" s="2"/>
      <c r="E1656" s="2"/>
      <c r="F1656" s="2"/>
      <c r="K1656" s="2"/>
      <c r="N1656" s="7"/>
      <c r="O1656" s="12"/>
      <c r="P1656" s="11"/>
      <c r="Q1656" s="12"/>
      <c r="R1656" s="11"/>
      <c r="S1656" s="11"/>
      <c r="T1656" s="11"/>
    </row>
    <row r="1657">
      <c r="A1657" s="2"/>
      <c r="B1657" s="2"/>
      <c r="C1657" s="2"/>
      <c r="D1657" s="2"/>
      <c r="E1657" s="2"/>
      <c r="F1657" s="2"/>
      <c r="K1657" s="2"/>
      <c r="N1657" s="7"/>
      <c r="O1657" s="12"/>
      <c r="P1657" s="11"/>
      <c r="Q1657" s="12"/>
      <c r="R1657" s="11"/>
      <c r="S1657" s="11"/>
      <c r="T1657" s="11"/>
    </row>
    <row r="1658">
      <c r="A1658" s="2"/>
      <c r="B1658" s="2"/>
      <c r="C1658" s="2"/>
      <c r="D1658" s="2"/>
      <c r="E1658" s="2"/>
      <c r="F1658" s="2"/>
      <c r="K1658" s="2"/>
      <c r="N1658" s="7"/>
      <c r="O1658" s="12"/>
      <c r="P1658" s="11"/>
      <c r="Q1658" s="12"/>
      <c r="R1658" s="11"/>
      <c r="S1658" s="11"/>
      <c r="T1658" s="11"/>
    </row>
    <row r="1659">
      <c r="A1659" s="2"/>
      <c r="B1659" s="2"/>
      <c r="C1659" s="2"/>
      <c r="D1659" s="2"/>
      <c r="E1659" s="2"/>
      <c r="F1659" s="2"/>
      <c r="K1659" s="2"/>
      <c r="N1659" s="7"/>
      <c r="O1659" s="12"/>
      <c r="P1659" s="11"/>
      <c r="Q1659" s="12"/>
      <c r="R1659" s="11"/>
      <c r="S1659" s="11"/>
      <c r="T1659" s="11"/>
    </row>
    <row r="1660">
      <c r="A1660" s="2"/>
      <c r="B1660" s="2"/>
      <c r="C1660" s="2"/>
      <c r="D1660" s="2"/>
      <c r="E1660" s="2"/>
      <c r="F1660" s="2"/>
      <c r="K1660" s="2"/>
      <c r="N1660" s="7"/>
      <c r="O1660" s="12"/>
      <c r="P1660" s="11"/>
      <c r="Q1660" s="12"/>
      <c r="R1660" s="11"/>
      <c r="S1660" s="11"/>
      <c r="T1660" s="11"/>
    </row>
    <row r="1661">
      <c r="A1661" s="2"/>
      <c r="B1661" s="2"/>
      <c r="C1661" s="2"/>
      <c r="D1661" s="2"/>
      <c r="E1661" s="2"/>
      <c r="F1661" s="2"/>
      <c r="K1661" s="2"/>
      <c r="N1661" s="7"/>
      <c r="O1661" s="12"/>
      <c r="P1661" s="11"/>
      <c r="Q1661" s="12"/>
      <c r="R1661" s="11"/>
      <c r="S1661" s="11"/>
      <c r="T1661" s="11"/>
    </row>
    <row r="1662">
      <c r="A1662" s="2"/>
      <c r="B1662" s="2"/>
      <c r="C1662" s="2"/>
      <c r="D1662" s="2"/>
      <c r="E1662" s="2"/>
      <c r="F1662" s="2"/>
      <c r="K1662" s="2"/>
      <c r="N1662" s="7"/>
      <c r="O1662" s="12"/>
      <c r="P1662" s="11"/>
      <c r="Q1662" s="12"/>
      <c r="R1662" s="11"/>
      <c r="S1662" s="11"/>
      <c r="T1662" s="11"/>
    </row>
    <row r="1663">
      <c r="A1663" s="2"/>
      <c r="B1663" s="2"/>
      <c r="C1663" s="2"/>
      <c r="D1663" s="2"/>
      <c r="E1663" s="2"/>
      <c r="F1663" s="2"/>
      <c r="K1663" s="2"/>
      <c r="N1663" s="7"/>
      <c r="O1663" s="12"/>
      <c r="P1663" s="11"/>
      <c r="Q1663" s="12"/>
      <c r="R1663" s="11"/>
      <c r="S1663" s="11"/>
      <c r="T1663" s="11"/>
    </row>
    <row r="1664">
      <c r="A1664" s="2"/>
      <c r="B1664" s="2"/>
      <c r="C1664" s="2"/>
      <c r="D1664" s="2"/>
      <c r="E1664" s="2"/>
      <c r="F1664" s="2"/>
      <c r="K1664" s="2"/>
      <c r="N1664" s="7"/>
      <c r="O1664" s="12"/>
      <c r="P1664" s="11"/>
      <c r="Q1664" s="12"/>
      <c r="R1664" s="11"/>
      <c r="S1664" s="11"/>
      <c r="T1664" s="11"/>
    </row>
    <row r="1665">
      <c r="A1665" s="2"/>
      <c r="B1665" s="2"/>
      <c r="C1665" s="2"/>
      <c r="D1665" s="2"/>
      <c r="E1665" s="2"/>
      <c r="F1665" s="2"/>
      <c r="K1665" s="2"/>
      <c r="N1665" s="7"/>
      <c r="O1665" s="12"/>
      <c r="P1665" s="11"/>
      <c r="Q1665" s="12"/>
      <c r="R1665" s="11"/>
      <c r="S1665" s="11"/>
      <c r="T1665" s="11"/>
    </row>
    <row r="1666">
      <c r="A1666" s="2"/>
      <c r="B1666" s="2"/>
      <c r="C1666" s="2"/>
      <c r="D1666" s="2"/>
      <c r="E1666" s="2"/>
      <c r="F1666" s="2"/>
      <c r="K1666" s="2"/>
      <c r="N1666" s="7"/>
      <c r="O1666" s="12"/>
      <c r="P1666" s="11"/>
      <c r="Q1666" s="12"/>
      <c r="R1666" s="11"/>
      <c r="S1666" s="11"/>
      <c r="T1666" s="11"/>
    </row>
    <row r="1667">
      <c r="A1667" s="2"/>
      <c r="B1667" s="2"/>
      <c r="C1667" s="2"/>
      <c r="D1667" s="2"/>
      <c r="E1667" s="2"/>
      <c r="F1667" s="2"/>
      <c r="K1667" s="2"/>
      <c r="N1667" s="7"/>
      <c r="O1667" s="12"/>
      <c r="P1667" s="11"/>
      <c r="Q1667" s="12"/>
      <c r="R1667" s="11"/>
      <c r="S1667" s="11"/>
      <c r="T1667" s="11"/>
    </row>
    <row r="1668">
      <c r="A1668" s="2"/>
      <c r="B1668" s="2"/>
      <c r="C1668" s="2"/>
      <c r="D1668" s="2"/>
      <c r="E1668" s="2"/>
      <c r="F1668" s="2"/>
      <c r="K1668" s="2"/>
      <c r="N1668" s="7"/>
      <c r="O1668" s="12"/>
      <c r="P1668" s="11"/>
      <c r="Q1668" s="12"/>
      <c r="R1668" s="11"/>
      <c r="S1668" s="11"/>
      <c r="T1668" s="11"/>
    </row>
    <row r="1669">
      <c r="A1669" s="2"/>
      <c r="B1669" s="2"/>
      <c r="C1669" s="2"/>
      <c r="D1669" s="2"/>
      <c r="E1669" s="2"/>
      <c r="F1669" s="2"/>
      <c r="K1669" s="2"/>
      <c r="N1669" s="7"/>
      <c r="O1669" s="12"/>
      <c r="P1669" s="11"/>
      <c r="Q1669" s="12"/>
      <c r="R1669" s="11"/>
      <c r="S1669" s="11"/>
      <c r="T1669" s="11"/>
    </row>
    <row r="1670">
      <c r="A1670" s="2"/>
      <c r="B1670" s="2"/>
      <c r="C1670" s="2"/>
      <c r="D1670" s="2"/>
      <c r="E1670" s="2"/>
      <c r="F1670" s="2"/>
      <c r="K1670" s="2"/>
      <c r="N1670" s="7"/>
      <c r="O1670" s="12"/>
      <c r="P1670" s="11"/>
      <c r="Q1670" s="12"/>
      <c r="R1670" s="11"/>
      <c r="S1670" s="11"/>
      <c r="T1670" s="11"/>
    </row>
    <row r="1671">
      <c r="A1671" s="2"/>
      <c r="B1671" s="2"/>
      <c r="C1671" s="2"/>
      <c r="D1671" s="2"/>
      <c r="E1671" s="2"/>
      <c r="F1671" s="2"/>
      <c r="K1671" s="2"/>
      <c r="N1671" s="7"/>
      <c r="O1671" s="12"/>
      <c r="P1671" s="11"/>
      <c r="Q1671" s="12"/>
      <c r="R1671" s="11"/>
      <c r="S1671" s="11"/>
      <c r="T1671" s="11"/>
    </row>
    <row r="1672">
      <c r="A1672" s="2"/>
      <c r="B1672" s="2"/>
      <c r="C1672" s="2"/>
      <c r="D1672" s="2"/>
      <c r="E1672" s="2"/>
      <c r="F1672" s="2"/>
      <c r="K1672" s="2"/>
      <c r="N1672" s="7"/>
      <c r="O1672" s="12"/>
      <c r="P1672" s="11"/>
      <c r="Q1672" s="12"/>
      <c r="R1672" s="11"/>
      <c r="S1672" s="11"/>
      <c r="T1672" s="11"/>
    </row>
    <row r="1673">
      <c r="A1673" s="2"/>
      <c r="B1673" s="2"/>
      <c r="C1673" s="2"/>
      <c r="D1673" s="2"/>
      <c r="E1673" s="2"/>
      <c r="F1673" s="2"/>
      <c r="K1673" s="2"/>
      <c r="N1673" s="7"/>
      <c r="O1673" s="12"/>
      <c r="P1673" s="11"/>
      <c r="Q1673" s="12"/>
      <c r="R1673" s="11"/>
      <c r="S1673" s="11"/>
      <c r="T1673" s="11"/>
    </row>
    <row r="1674">
      <c r="A1674" s="2"/>
      <c r="B1674" s="2"/>
      <c r="C1674" s="2"/>
      <c r="D1674" s="2"/>
      <c r="E1674" s="2"/>
      <c r="F1674" s="2"/>
      <c r="K1674" s="2"/>
      <c r="N1674" s="7"/>
      <c r="O1674" s="12"/>
      <c r="P1674" s="11"/>
      <c r="Q1674" s="12"/>
      <c r="R1674" s="11"/>
      <c r="S1674" s="11"/>
      <c r="T1674" s="11"/>
    </row>
    <row r="1675">
      <c r="A1675" s="2"/>
      <c r="B1675" s="2"/>
      <c r="C1675" s="2"/>
      <c r="D1675" s="2"/>
      <c r="E1675" s="2"/>
      <c r="F1675" s="2"/>
      <c r="K1675" s="2"/>
      <c r="N1675" s="7"/>
      <c r="O1675" s="12"/>
      <c r="P1675" s="11"/>
      <c r="Q1675" s="12"/>
      <c r="R1675" s="11"/>
      <c r="S1675" s="11"/>
      <c r="T1675" s="11"/>
    </row>
    <row r="1676">
      <c r="A1676" s="2"/>
      <c r="B1676" s="2"/>
      <c r="C1676" s="2"/>
      <c r="D1676" s="2"/>
      <c r="E1676" s="2"/>
      <c r="F1676" s="2"/>
      <c r="K1676" s="2"/>
      <c r="N1676" s="7"/>
      <c r="O1676" s="12"/>
      <c r="P1676" s="11"/>
      <c r="Q1676" s="12"/>
      <c r="R1676" s="11"/>
      <c r="S1676" s="11"/>
      <c r="T1676" s="11"/>
    </row>
    <row r="1677">
      <c r="A1677" s="2"/>
      <c r="B1677" s="2"/>
      <c r="C1677" s="2"/>
      <c r="D1677" s="2"/>
      <c r="E1677" s="2"/>
      <c r="F1677" s="2"/>
      <c r="K1677" s="2"/>
      <c r="N1677" s="7"/>
      <c r="O1677" s="12"/>
      <c r="P1677" s="11"/>
      <c r="Q1677" s="12"/>
      <c r="R1677" s="11"/>
      <c r="S1677" s="11"/>
      <c r="T1677" s="11"/>
    </row>
    <row r="1678">
      <c r="A1678" s="2"/>
      <c r="B1678" s="2"/>
      <c r="C1678" s="2"/>
      <c r="D1678" s="2"/>
      <c r="E1678" s="2"/>
      <c r="F1678" s="2"/>
      <c r="K1678" s="2"/>
      <c r="N1678" s="7"/>
      <c r="O1678" s="12"/>
      <c r="P1678" s="11"/>
      <c r="Q1678" s="12"/>
      <c r="R1678" s="11"/>
      <c r="S1678" s="11"/>
      <c r="T1678" s="11"/>
    </row>
    <row r="1679">
      <c r="A1679" s="2"/>
      <c r="B1679" s="2"/>
      <c r="C1679" s="2"/>
      <c r="D1679" s="2"/>
      <c r="E1679" s="2"/>
      <c r="F1679" s="2"/>
      <c r="K1679" s="2"/>
      <c r="N1679" s="7"/>
      <c r="O1679" s="12"/>
      <c r="P1679" s="11"/>
      <c r="Q1679" s="12"/>
      <c r="R1679" s="11"/>
      <c r="S1679" s="11"/>
      <c r="T1679" s="11"/>
    </row>
    <row r="1680">
      <c r="A1680" s="2"/>
      <c r="B1680" s="2"/>
      <c r="C1680" s="2"/>
      <c r="D1680" s="2"/>
      <c r="E1680" s="2"/>
      <c r="F1680" s="2"/>
      <c r="K1680" s="2"/>
      <c r="N1680" s="7"/>
      <c r="O1680" s="12"/>
      <c r="P1680" s="11"/>
      <c r="Q1680" s="12"/>
      <c r="R1680" s="11"/>
      <c r="S1680" s="11"/>
      <c r="T1680" s="11"/>
    </row>
    <row r="1681">
      <c r="A1681" s="2"/>
      <c r="B1681" s="2"/>
      <c r="C1681" s="2"/>
      <c r="D1681" s="2"/>
      <c r="E1681" s="2"/>
      <c r="F1681" s="2"/>
      <c r="K1681" s="2"/>
      <c r="N1681" s="7"/>
      <c r="O1681" s="12"/>
      <c r="P1681" s="11"/>
      <c r="Q1681" s="12"/>
      <c r="R1681" s="11"/>
      <c r="S1681" s="11"/>
      <c r="T1681" s="11"/>
    </row>
    <row r="1682">
      <c r="A1682" s="2"/>
      <c r="B1682" s="2"/>
      <c r="C1682" s="2"/>
      <c r="D1682" s="2"/>
      <c r="E1682" s="2"/>
      <c r="F1682" s="2"/>
      <c r="K1682" s="2"/>
      <c r="N1682" s="7"/>
      <c r="O1682" s="12"/>
      <c r="P1682" s="11"/>
      <c r="Q1682" s="12"/>
      <c r="R1682" s="11"/>
      <c r="S1682" s="11"/>
      <c r="T1682" s="11"/>
    </row>
    <row r="1683">
      <c r="A1683" s="2"/>
      <c r="B1683" s="2"/>
      <c r="C1683" s="2"/>
      <c r="D1683" s="2"/>
      <c r="E1683" s="2"/>
      <c r="F1683" s="2"/>
      <c r="K1683" s="2"/>
      <c r="N1683" s="7"/>
      <c r="O1683" s="12"/>
      <c r="P1683" s="11"/>
      <c r="Q1683" s="12"/>
      <c r="R1683" s="11"/>
      <c r="S1683" s="11"/>
      <c r="T1683" s="11"/>
    </row>
    <row r="1684">
      <c r="A1684" s="2"/>
      <c r="B1684" s="2"/>
      <c r="C1684" s="2"/>
      <c r="D1684" s="2"/>
      <c r="E1684" s="2"/>
      <c r="F1684" s="2"/>
      <c r="K1684" s="2"/>
      <c r="N1684" s="7"/>
      <c r="O1684" s="12"/>
      <c r="P1684" s="11"/>
      <c r="Q1684" s="12"/>
      <c r="R1684" s="11"/>
      <c r="S1684" s="11"/>
      <c r="T1684" s="11"/>
    </row>
    <row r="1685">
      <c r="A1685" s="2"/>
      <c r="B1685" s="2"/>
      <c r="C1685" s="2"/>
      <c r="D1685" s="2"/>
      <c r="E1685" s="2"/>
      <c r="F1685" s="2"/>
      <c r="K1685" s="2"/>
      <c r="N1685" s="7"/>
      <c r="O1685" s="12"/>
      <c r="P1685" s="11"/>
      <c r="Q1685" s="12"/>
      <c r="R1685" s="11"/>
      <c r="S1685" s="11"/>
      <c r="T1685" s="11"/>
    </row>
    <row r="1686">
      <c r="A1686" s="2"/>
      <c r="B1686" s="2"/>
      <c r="C1686" s="2"/>
      <c r="D1686" s="2"/>
      <c r="E1686" s="2"/>
      <c r="F1686" s="2"/>
      <c r="K1686" s="2"/>
      <c r="N1686" s="7"/>
      <c r="O1686" s="12"/>
      <c r="P1686" s="11"/>
      <c r="Q1686" s="12"/>
      <c r="R1686" s="11"/>
      <c r="S1686" s="11"/>
      <c r="T1686" s="11"/>
    </row>
    <row r="1687">
      <c r="A1687" s="2"/>
      <c r="B1687" s="2"/>
      <c r="C1687" s="2"/>
      <c r="D1687" s="2"/>
      <c r="E1687" s="2"/>
      <c r="F1687" s="2"/>
      <c r="K1687" s="2"/>
      <c r="N1687" s="7"/>
      <c r="O1687" s="12"/>
      <c r="P1687" s="11"/>
      <c r="Q1687" s="12"/>
      <c r="R1687" s="11"/>
      <c r="S1687" s="11"/>
      <c r="T1687" s="11"/>
    </row>
    <row r="1688">
      <c r="A1688" s="2"/>
      <c r="B1688" s="2"/>
      <c r="C1688" s="2"/>
      <c r="D1688" s="2"/>
      <c r="E1688" s="2"/>
      <c r="F1688" s="2"/>
      <c r="K1688" s="2"/>
      <c r="N1688" s="7"/>
      <c r="O1688" s="12"/>
      <c r="P1688" s="11"/>
      <c r="Q1688" s="12"/>
      <c r="R1688" s="11"/>
      <c r="S1688" s="11"/>
      <c r="T1688" s="11"/>
    </row>
    <row r="1689">
      <c r="A1689" s="2"/>
      <c r="B1689" s="2"/>
      <c r="C1689" s="2"/>
      <c r="D1689" s="2"/>
      <c r="E1689" s="2"/>
      <c r="F1689" s="2"/>
      <c r="K1689" s="2"/>
      <c r="N1689" s="7"/>
      <c r="O1689" s="12"/>
      <c r="P1689" s="11"/>
      <c r="Q1689" s="12"/>
      <c r="R1689" s="11"/>
      <c r="S1689" s="11"/>
      <c r="T1689" s="11"/>
    </row>
    <row r="1690">
      <c r="A1690" s="2"/>
      <c r="B1690" s="2"/>
      <c r="C1690" s="2"/>
      <c r="D1690" s="2"/>
      <c r="E1690" s="2"/>
      <c r="F1690" s="2"/>
      <c r="K1690" s="2"/>
      <c r="N1690" s="7"/>
      <c r="O1690" s="12"/>
      <c r="P1690" s="11"/>
      <c r="Q1690" s="12"/>
      <c r="R1690" s="11"/>
      <c r="S1690" s="11"/>
      <c r="T1690" s="11"/>
    </row>
    <row r="1691">
      <c r="A1691" s="2"/>
      <c r="B1691" s="2"/>
      <c r="C1691" s="2"/>
      <c r="D1691" s="2"/>
      <c r="E1691" s="2"/>
      <c r="F1691" s="2"/>
      <c r="K1691" s="2"/>
      <c r="N1691" s="7"/>
      <c r="O1691" s="12"/>
      <c r="P1691" s="11"/>
      <c r="Q1691" s="12"/>
      <c r="R1691" s="11"/>
      <c r="S1691" s="11"/>
      <c r="T1691" s="11"/>
    </row>
    <row r="1692">
      <c r="A1692" s="2"/>
      <c r="B1692" s="2"/>
      <c r="C1692" s="2"/>
      <c r="D1692" s="2"/>
      <c r="E1692" s="2"/>
      <c r="F1692" s="2"/>
      <c r="K1692" s="2"/>
      <c r="N1692" s="7"/>
      <c r="O1692" s="12"/>
      <c r="P1692" s="11"/>
      <c r="Q1692" s="12"/>
      <c r="R1692" s="11"/>
      <c r="S1692" s="11"/>
      <c r="T1692" s="11"/>
    </row>
    <row r="1693">
      <c r="A1693" s="2"/>
      <c r="B1693" s="2"/>
      <c r="C1693" s="2"/>
      <c r="D1693" s="2"/>
      <c r="E1693" s="2"/>
      <c r="F1693" s="2"/>
      <c r="K1693" s="2"/>
      <c r="N1693" s="7"/>
      <c r="O1693" s="12"/>
      <c r="P1693" s="11"/>
      <c r="Q1693" s="12"/>
      <c r="R1693" s="11"/>
      <c r="S1693" s="11"/>
      <c r="T1693" s="11"/>
    </row>
    <row r="1694">
      <c r="A1694" s="2"/>
      <c r="B1694" s="2"/>
      <c r="C1694" s="2"/>
      <c r="D1694" s="2"/>
      <c r="E1694" s="2"/>
      <c r="F1694" s="2"/>
      <c r="K1694" s="2"/>
      <c r="N1694" s="7"/>
      <c r="O1694" s="12"/>
      <c r="P1694" s="11"/>
      <c r="Q1694" s="12"/>
      <c r="R1694" s="11"/>
      <c r="S1694" s="11"/>
      <c r="T1694" s="11"/>
    </row>
    <row r="1695">
      <c r="A1695" s="2"/>
      <c r="B1695" s="2"/>
      <c r="C1695" s="2"/>
      <c r="D1695" s="2"/>
      <c r="E1695" s="2"/>
      <c r="F1695" s="2"/>
      <c r="K1695" s="2"/>
      <c r="N1695" s="7"/>
      <c r="O1695" s="12"/>
      <c r="P1695" s="11"/>
      <c r="Q1695" s="12"/>
      <c r="R1695" s="11"/>
      <c r="S1695" s="11"/>
      <c r="T1695" s="11"/>
    </row>
    <row r="1696">
      <c r="A1696" s="2"/>
      <c r="B1696" s="2"/>
      <c r="C1696" s="2"/>
      <c r="D1696" s="2"/>
      <c r="E1696" s="2"/>
      <c r="F1696" s="2"/>
      <c r="K1696" s="2"/>
      <c r="N1696" s="7"/>
      <c r="O1696" s="12"/>
      <c r="P1696" s="11"/>
      <c r="Q1696" s="12"/>
      <c r="R1696" s="11"/>
      <c r="S1696" s="11"/>
      <c r="T1696" s="11"/>
    </row>
    <row r="1697">
      <c r="A1697" s="2"/>
      <c r="B1697" s="2"/>
      <c r="C1697" s="2"/>
      <c r="D1697" s="2"/>
      <c r="E1697" s="2"/>
      <c r="F1697" s="2"/>
      <c r="K1697" s="2"/>
      <c r="N1697" s="7"/>
      <c r="O1697" s="12"/>
      <c r="P1697" s="11"/>
      <c r="Q1697" s="12"/>
      <c r="R1697" s="11"/>
      <c r="S1697" s="11"/>
      <c r="T1697" s="11"/>
    </row>
    <row r="1698">
      <c r="A1698" s="2"/>
      <c r="B1698" s="2"/>
      <c r="C1698" s="2"/>
      <c r="D1698" s="2"/>
      <c r="E1698" s="2"/>
      <c r="F1698" s="2"/>
      <c r="K1698" s="2"/>
      <c r="N1698" s="7"/>
      <c r="O1698" s="12"/>
      <c r="P1698" s="11"/>
      <c r="Q1698" s="12"/>
      <c r="R1698" s="11"/>
      <c r="S1698" s="11"/>
      <c r="T1698" s="11"/>
    </row>
    <row r="1699">
      <c r="A1699" s="2"/>
      <c r="B1699" s="2"/>
      <c r="C1699" s="2"/>
      <c r="D1699" s="2"/>
      <c r="E1699" s="2"/>
      <c r="F1699" s="2"/>
      <c r="K1699" s="2"/>
      <c r="N1699" s="7"/>
      <c r="O1699" s="12"/>
      <c r="P1699" s="11"/>
      <c r="Q1699" s="12"/>
      <c r="R1699" s="11"/>
      <c r="S1699" s="11"/>
      <c r="T1699" s="11"/>
    </row>
    <row r="1700">
      <c r="A1700" s="2"/>
      <c r="B1700" s="2"/>
      <c r="C1700" s="2"/>
      <c r="D1700" s="2"/>
      <c r="E1700" s="2"/>
      <c r="F1700" s="2"/>
      <c r="K1700" s="2"/>
      <c r="N1700" s="7"/>
      <c r="O1700" s="12"/>
      <c r="P1700" s="11"/>
      <c r="Q1700" s="12"/>
      <c r="R1700" s="11"/>
      <c r="S1700" s="11"/>
      <c r="T1700" s="11"/>
    </row>
    <row r="1701">
      <c r="A1701" s="2"/>
      <c r="B1701" s="2"/>
      <c r="C1701" s="2"/>
      <c r="D1701" s="2"/>
      <c r="E1701" s="2"/>
      <c r="F1701" s="2"/>
      <c r="K1701" s="2"/>
      <c r="N1701" s="7"/>
      <c r="O1701" s="12"/>
      <c r="P1701" s="11"/>
      <c r="Q1701" s="12"/>
      <c r="R1701" s="11"/>
      <c r="S1701" s="11"/>
      <c r="T1701" s="11"/>
    </row>
    <row r="1702">
      <c r="A1702" s="2"/>
      <c r="B1702" s="2"/>
      <c r="C1702" s="2"/>
      <c r="D1702" s="2"/>
      <c r="E1702" s="2"/>
      <c r="F1702" s="2"/>
      <c r="K1702" s="2"/>
      <c r="N1702" s="7"/>
      <c r="O1702" s="12"/>
      <c r="P1702" s="11"/>
      <c r="Q1702" s="12"/>
      <c r="R1702" s="11"/>
      <c r="S1702" s="11"/>
      <c r="T1702" s="11"/>
    </row>
    <row r="1703">
      <c r="A1703" s="2"/>
      <c r="B1703" s="2"/>
      <c r="C1703" s="2"/>
      <c r="D1703" s="2"/>
      <c r="E1703" s="2"/>
      <c r="F1703" s="2"/>
      <c r="K1703" s="2"/>
      <c r="N1703" s="7"/>
      <c r="O1703" s="12"/>
      <c r="P1703" s="11"/>
      <c r="Q1703" s="12"/>
      <c r="R1703" s="11"/>
      <c r="S1703" s="11"/>
      <c r="T1703" s="11"/>
    </row>
    <row r="1704">
      <c r="A1704" s="2"/>
      <c r="B1704" s="2"/>
      <c r="C1704" s="2"/>
      <c r="D1704" s="2"/>
      <c r="E1704" s="2"/>
      <c r="F1704" s="2"/>
      <c r="K1704" s="2"/>
      <c r="N1704" s="7"/>
      <c r="O1704" s="12"/>
      <c r="P1704" s="11"/>
      <c r="Q1704" s="12"/>
      <c r="R1704" s="11"/>
      <c r="S1704" s="11"/>
      <c r="T1704" s="11"/>
    </row>
    <row r="1705">
      <c r="A1705" s="2"/>
      <c r="B1705" s="2"/>
      <c r="C1705" s="2"/>
      <c r="D1705" s="2"/>
      <c r="E1705" s="2"/>
      <c r="F1705" s="2"/>
      <c r="K1705" s="2"/>
      <c r="N1705" s="7"/>
      <c r="O1705" s="12"/>
      <c r="P1705" s="11"/>
      <c r="Q1705" s="12"/>
      <c r="R1705" s="11"/>
      <c r="S1705" s="11"/>
      <c r="T1705" s="11"/>
    </row>
    <row r="1706">
      <c r="A1706" s="2"/>
      <c r="B1706" s="2"/>
      <c r="C1706" s="2"/>
      <c r="D1706" s="2"/>
      <c r="E1706" s="2"/>
      <c r="F1706" s="2"/>
      <c r="K1706" s="2"/>
      <c r="N1706" s="7"/>
      <c r="O1706" s="12"/>
      <c r="P1706" s="11"/>
      <c r="Q1706" s="12"/>
      <c r="R1706" s="11"/>
      <c r="S1706" s="11"/>
      <c r="T1706" s="11"/>
    </row>
    <row r="1707">
      <c r="A1707" s="2"/>
      <c r="B1707" s="2"/>
      <c r="C1707" s="2"/>
      <c r="D1707" s="2"/>
      <c r="E1707" s="2"/>
      <c r="F1707" s="2"/>
      <c r="K1707" s="2"/>
      <c r="N1707" s="7"/>
      <c r="O1707" s="12"/>
      <c r="P1707" s="11"/>
      <c r="Q1707" s="12"/>
      <c r="R1707" s="11"/>
      <c r="S1707" s="11"/>
      <c r="T1707" s="11"/>
    </row>
    <row r="1708">
      <c r="A1708" s="2"/>
      <c r="B1708" s="2"/>
      <c r="C1708" s="2"/>
      <c r="D1708" s="2"/>
      <c r="E1708" s="2"/>
      <c r="F1708" s="2"/>
      <c r="K1708" s="2"/>
      <c r="N1708" s="7"/>
      <c r="O1708" s="12"/>
      <c r="P1708" s="11"/>
      <c r="Q1708" s="12"/>
      <c r="R1708" s="11"/>
      <c r="S1708" s="11"/>
      <c r="T1708" s="11"/>
    </row>
    <row r="1709">
      <c r="A1709" s="2"/>
      <c r="B1709" s="2"/>
      <c r="C1709" s="2"/>
      <c r="D1709" s="2"/>
      <c r="E1709" s="2"/>
      <c r="F1709" s="2"/>
      <c r="K1709" s="2"/>
      <c r="N1709" s="7"/>
      <c r="O1709" s="12"/>
      <c r="P1709" s="11"/>
      <c r="Q1709" s="12"/>
      <c r="R1709" s="11"/>
      <c r="S1709" s="11"/>
      <c r="T1709" s="11"/>
    </row>
    <row r="1710">
      <c r="A1710" s="2"/>
      <c r="B1710" s="2"/>
      <c r="C1710" s="2"/>
      <c r="D1710" s="2"/>
      <c r="E1710" s="2"/>
      <c r="F1710" s="2"/>
      <c r="K1710" s="2"/>
      <c r="N1710" s="7"/>
      <c r="O1710" s="12"/>
      <c r="P1710" s="11"/>
      <c r="Q1710" s="12"/>
      <c r="R1710" s="11"/>
      <c r="S1710" s="11"/>
      <c r="T1710" s="11"/>
    </row>
    <row r="1711">
      <c r="A1711" s="2"/>
      <c r="B1711" s="2"/>
      <c r="C1711" s="2"/>
      <c r="D1711" s="2"/>
      <c r="E1711" s="2"/>
      <c r="F1711" s="2"/>
      <c r="K1711" s="2"/>
      <c r="N1711" s="7"/>
      <c r="O1711" s="12"/>
      <c r="P1711" s="11"/>
      <c r="Q1711" s="12"/>
      <c r="R1711" s="11"/>
      <c r="S1711" s="11"/>
      <c r="T1711" s="11"/>
    </row>
    <row r="1712">
      <c r="A1712" s="2"/>
      <c r="B1712" s="2"/>
      <c r="C1712" s="2"/>
      <c r="D1712" s="2"/>
      <c r="E1712" s="2"/>
      <c r="F1712" s="2"/>
      <c r="K1712" s="2"/>
      <c r="N1712" s="7"/>
      <c r="O1712" s="12"/>
      <c r="P1712" s="11"/>
      <c r="Q1712" s="12"/>
      <c r="R1712" s="11"/>
      <c r="S1712" s="11"/>
      <c r="T1712" s="11"/>
    </row>
    <row r="1713">
      <c r="A1713" s="2"/>
      <c r="B1713" s="2"/>
      <c r="C1713" s="2"/>
      <c r="D1713" s="2"/>
      <c r="E1713" s="2"/>
      <c r="F1713" s="2"/>
      <c r="K1713" s="2"/>
      <c r="N1713" s="7"/>
      <c r="O1713" s="12"/>
      <c r="P1713" s="11"/>
      <c r="Q1713" s="12"/>
      <c r="R1713" s="11"/>
      <c r="S1713" s="11"/>
      <c r="T1713" s="11"/>
    </row>
    <row r="1714">
      <c r="A1714" s="2"/>
      <c r="B1714" s="2"/>
      <c r="C1714" s="2"/>
      <c r="D1714" s="2"/>
      <c r="E1714" s="2"/>
      <c r="F1714" s="2"/>
      <c r="K1714" s="2"/>
      <c r="N1714" s="7"/>
      <c r="O1714" s="12"/>
      <c r="P1714" s="11"/>
      <c r="Q1714" s="12"/>
      <c r="R1714" s="11"/>
      <c r="S1714" s="11"/>
      <c r="T1714" s="11"/>
    </row>
    <row r="1715">
      <c r="A1715" s="2"/>
      <c r="B1715" s="2"/>
      <c r="C1715" s="2"/>
      <c r="D1715" s="2"/>
      <c r="E1715" s="2"/>
      <c r="F1715" s="2"/>
      <c r="K1715" s="2"/>
      <c r="N1715" s="7"/>
      <c r="O1715" s="12"/>
      <c r="P1715" s="11"/>
      <c r="Q1715" s="12"/>
      <c r="R1715" s="11"/>
      <c r="S1715" s="11"/>
      <c r="T1715" s="11"/>
    </row>
    <row r="1716">
      <c r="A1716" s="2"/>
      <c r="B1716" s="2"/>
      <c r="C1716" s="2"/>
      <c r="D1716" s="2"/>
      <c r="E1716" s="2"/>
      <c r="F1716" s="2"/>
      <c r="K1716" s="2"/>
      <c r="N1716" s="7"/>
      <c r="O1716" s="12"/>
      <c r="P1716" s="11"/>
      <c r="Q1716" s="12"/>
      <c r="R1716" s="11"/>
      <c r="S1716" s="11"/>
      <c r="T1716" s="11"/>
    </row>
    <row r="1717">
      <c r="A1717" s="2"/>
      <c r="B1717" s="2"/>
      <c r="C1717" s="2"/>
      <c r="D1717" s="2"/>
      <c r="E1717" s="2"/>
      <c r="F1717" s="2"/>
      <c r="K1717" s="2"/>
      <c r="N1717" s="7"/>
      <c r="O1717" s="12"/>
      <c r="P1717" s="11"/>
      <c r="Q1717" s="12"/>
      <c r="R1717" s="11"/>
      <c r="S1717" s="11"/>
      <c r="T1717" s="11"/>
    </row>
    <row r="1718">
      <c r="A1718" s="2"/>
      <c r="B1718" s="2"/>
      <c r="C1718" s="2"/>
      <c r="D1718" s="2"/>
      <c r="E1718" s="2"/>
      <c r="F1718" s="2"/>
      <c r="K1718" s="2"/>
      <c r="N1718" s="7"/>
      <c r="O1718" s="12"/>
      <c r="P1718" s="11"/>
      <c r="Q1718" s="12"/>
      <c r="R1718" s="11"/>
      <c r="S1718" s="11"/>
      <c r="T1718" s="11"/>
    </row>
    <row r="1719">
      <c r="A1719" s="2"/>
      <c r="B1719" s="2"/>
      <c r="C1719" s="2"/>
      <c r="D1719" s="2"/>
      <c r="E1719" s="2"/>
      <c r="F1719" s="2"/>
      <c r="K1719" s="2"/>
      <c r="N1719" s="7"/>
      <c r="O1719" s="12"/>
      <c r="P1719" s="11"/>
      <c r="Q1719" s="12"/>
      <c r="R1719" s="11"/>
      <c r="S1719" s="11"/>
      <c r="T1719" s="11"/>
    </row>
    <row r="1720">
      <c r="A1720" s="2"/>
      <c r="B1720" s="2"/>
      <c r="C1720" s="2"/>
      <c r="D1720" s="2"/>
      <c r="E1720" s="2"/>
      <c r="F1720" s="2"/>
      <c r="K1720" s="2"/>
      <c r="N1720" s="7"/>
      <c r="O1720" s="12"/>
      <c r="P1720" s="11"/>
      <c r="Q1720" s="12"/>
      <c r="R1720" s="11"/>
      <c r="S1720" s="11"/>
      <c r="T1720" s="11"/>
    </row>
    <row r="1721">
      <c r="A1721" s="2"/>
      <c r="B1721" s="2"/>
      <c r="C1721" s="2"/>
      <c r="D1721" s="2"/>
      <c r="E1721" s="2"/>
      <c r="F1721" s="2"/>
      <c r="K1721" s="2"/>
      <c r="N1721" s="7"/>
      <c r="O1721" s="12"/>
      <c r="P1721" s="11"/>
      <c r="Q1721" s="12"/>
      <c r="R1721" s="11"/>
      <c r="S1721" s="11"/>
      <c r="T1721" s="11"/>
    </row>
    <row r="1722">
      <c r="A1722" s="2"/>
      <c r="B1722" s="2"/>
      <c r="C1722" s="2"/>
      <c r="D1722" s="2"/>
      <c r="E1722" s="2"/>
      <c r="F1722" s="2"/>
      <c r="K1722" s="2"/>
      <c r="N1722" s="7"/>
      <c r="O1722" s="12"/>
      <c r="P1722" s="11"/>
      <c r="Q1722" s="12"/>
      <c r="R1722" s="11"/>
      <c r="S1722" s="11"/>
      <c r="T1722" s="11"/>
    </row>
    <row r="1723">
      <c r="A1723" s="2"/>
      <c r="B1723" s="2"/>
      <c r="C1723" s="2"/>
      <c r="D1723" s="2"/>
      <c r="E1723" s="2"/>
      <c r="F1723" s="2"/>
      <c r="K1723" s="2"/>
      <c r="N1723" s="7"/>
      <c r="O1723" s="12"/>
      <c r="P1723" s="11"/>
      <c r="Q1723" s="12"/>
      <c r="R1723" s="11"/>
      <c r="S1723" s="11"/>
      <c r="T1723" s="11"/>
    </row>
    <row r="1724">
      <c r="A1724" s="2"/>
      <c r="B1724" s="2"/>
      <c r="C1724" s="2"/>
      <c r="D1724" s="2"/>
      <c r="E1724" s="2"/>
      <c r="F1724" s="2"/>
      <c r="K1724" s="2"/>
      <c r="N1724" s="7"/>
      <c r="O1724" s="12"/>
      <c r="P1724" s="11"/>
      <c r="Q1724" s="12"/>
      <c r="R1724" s="11"/>
      <c r="S1724" s="11"/>
      <c r="T1724" s="11"/>
    </row>
    <row r="1725">
      <c r="A1725" s="2"/>
      <c r="B1725" s="2"/>
      <c r="C1725" s="2"/>
      <c r="D1725" s="2"/>
      <c r="E1725" s="2"/>
      <c r="F1725" s="2"/>
      <c r="K1725" s="2"/>
      <c r="N1725" s="7"/>
      <c r="O1725" s="12"/>
      <c r="P1725" s="11"/>
      <c r="Q1725" s="12"/>
      <c r="R1725" s="11"/>
      <c r="S1725" s="11"/>
      <c r="T1725" s="11"/>
    </row>
    <row r="1726">
      <c r="A1726" s="2"/>
      <c r="B1726" s="2"/>
      <c r="C1726" s="2"/>
      <c r="D1726" s="2"/>
      <c r="E1726" s="2"/>
      <c r="F1726" s="2"/>
      <c r="K1726" s="2"/>
      <c r="N1726" s="7"/>
      <c r="O1726" s="12"/>
      <c r="P1726" s="11"/>
      <c r="Q1726" s="12"/>
      <c r="R1726" s="11"/>
      <c r="S1726" s="11"/>
      <c r="T1726" s="11"/>
    </row>
    <row r="1727">
      <c r="A1727" s="2"/>
      <c r="B1727" s="2"/>
      <c r="C1727" s="2"/>
      <c r="D1727" s="2"/>
      <c r="E1727" s="2"/>
      <c r="F1727" s="2"/>
      <c r="K1727" s="2"/>
      <c r="N1727" s="7"/>
      <c r="O1727" s="12"/>
      <c r="P1727" s="11"/>
      <c r="Q1727" s="12"/>
      <c r="R1727" s="11"/>
      <c r="S1727" s="11"/>
      <c r="T1727" s="11"/>
    </row>
    <row r="1728">
      <c r="A1728" s="2"/>
      <c r="B1728" s="2"/>
      <c r="C1728" s="2"/>
      <c r="D1728" s="2"/>
      <c r="E1728" s="2"/>
      <c r="F1728" s="2"/>
      <c r="K1728" s="2"/>
      <c r="N1728" s="7"/>
      <c r="O1728" s="12"/>
      <c r="P1728" s="11"/>
      <c r="Q1728" s="12"/>
      <c r="R1728" s="11"/>
      <c r="S1728" s="11"/>
      <c r="T1728" s="11"/>
    </row>
    <row r="1729">
      <c r="A1729" s="2"/>
      <c r="B1729" s="2"/>
      <c r="C1729" s="2"/>
      <c r="D1729" s="2"/>
      <c r="E1729" s="2"/>
      <c r="F1729" s="2"/>
      <c r="K1729" s="2"/>
      <c r="N1729" s="7"/>
      <c r="O1729" s="12"/>
      <c r="P1729" s="11"/>
      <c r="Q1729" s="12"/>
      <c r="R1729" s="11"/>
      <c r="S1729" s="11"/>
      <c r="T1729" s="11"/>
    </row>
    <row r="1730">
      <c r="A1730" s="2"/>
      <c r="B1730" s="2"/>
      <c r="C1730" s="2"/>
      <c r="D1730" s="2"/>
      <c r="E1730" s="2"/>
      <c r="F1730" s="2"/>
      <c r="K1730" s="2"/>
      <c r="N1730" s="7"/>
      <c r="O1730" s="12"/>
      <c r="P1730" s="11"/>
      <c r="Q1730" s="12"/>
      <c r="R1730" s="11"/>
      <c r="S1730" s="11"/>
      <c r="T1730" s="11"/>
    </row>
    <row r="1731">
      <c r="A1731" s="2"/>
      <c r="B1731" s="2"/>
      <c r="C1731" s="2"/>
      <c r="D1731" s="2"/>
      <c r="E1731" s="2"/>
      <c r="F1731" s="2"/>
      <c r="K1731" s="2"/>
      <c r="N1731" s="7"/>
      <c r="O1731" s="12"/>
      <c r="P1731" s="11"/>
      <c r="Q1731" s="12"/>
      <c r="R1731" s="11"/>
      <c r="S1731" s="11"/>
      <c r="T1731" s="11"/>
    </row>
    <row r="1732">
      <c r="A1732" s="2"/>
      <c r="B1732" s="2"/>
      <c r="C1732" s="2"/>
      <c r="D1732" s="2"/>
      <c r="E1732" s="2"/>
      <c r="F1732" s="2"/>
      <c r="K1732" s="2"/>
      <c r="N1732" s="7"/>
      <c r="O1732" s="12"/>
      <c r="P1732" s="11"/>
      <c r="Q1732" s="12"/>
      <c r="R1732" s="11"/>
      <c r="S1732" s="11"/>
      <c r="T1732" s="11"/>
    </row>
    <row r="1733">
      <c r="A1733" s="2"/>
      <c r="B1733" s="2"/>
      <c r="C1733" s="2"/>
      <c r="D1733" s="2"/>
      <c r="E1733" s="2"/>
      <c r="F1733" s="2"/>
      <c r="K1733" s="2"/>
      <c r="N1733" s="7"/>
      <c r="O1733" s="12"/>
      <c r="P1733" s="11"/>
      <c r="Q1733" s="12"/>
      <c r="R1733" s="11"/>
      <c r="S1733" s="11"/>
      <c r="T1733" s="11"/>
    </row>
    <row r="1734">
      <c r="A1734" s="2"/>
      <c r="B1734" s="2"/>
      <c r="C1734" s="2"/>
      <c r="D1734" s="2"/>
      <c r="E1734" s="2"/>
      <c r="F1734" s="2"/>
      <c r="K1734" s="2"/>
      <c r="N1734" s="7"/>
      <c r="O1734" s="12"/>
      <c r="P1734" s="11"/>
      <c r="Q1734" s="12"/>
      <c r="R1734" s="11"/>
      <c r="S1734" s="11"/>
      <c r="T1734" s="11"/>
    </row>
    <row r="1735">
      <c r="A1735" s="2"/>
      <c r="B1735" s="2"/>
      <c r="C1735" s="2"/>
      <c r="D1735" s="2"/>
      <c r="E1735" s="2"/>
      <c r="F1735" s="2"/>
      <c r="K1735" s="2"/>
      <c r="N1735" s="7"/>
      <c r="O1735" s="12"/>
      <c r="P1735" s="11"/>
      <c r="Q1735" s="12"/>
      <c r="R1735" s="11"/>
      <c r="S1735" s="11"/>
      <c r="T1735" s="11"/>
    </row>
    <row r="1736">
      <c r="A1736" s="2"/>
      <c r="B1736" s="2"/>
      <c r="C1736" s="2"/>
      <c r="D1736" s="2"/>
      <c r="E1736" s="2"/>
      <c r="F1736" s="2"/>
      <c r="K1736" s="2"/>
      <c r="N1736" s="7"/>
      <c r="O1736" s="12"/>
      <c r="P1736" s="11"/>
      <c r="Q1736" s="12"/>
      <c r="R1736" s="11"/>
      <c r="S1736" s="11"/>
      <c r="T1736" s="11"/>
    </row>
    <row r="1737">
      <c r="A1737" s="2"/>
      <c r="B1737" s="2"/>
      <c r="C1737" s="2"/>
      <c r="D1737" s="2"/>
      <c r="E1737" s="2"/>
      <c r="F1737" s="2"/>
      <c r="K1737" s="2"/>
      <c r="N1737" s="7"/>
      <c r="O1737" s="12"/>
      <c r="P1737" s="11"/>
      <c r="Q1737" s="12"/>
      <c r="R1737" s="11"/>
      <c r="S1737" s="11"/>
      <c r="T1737" s="11"/>
    </row>
    <row r="1738">
      <c r="A1738" s="2"/>
      <c r="B1738" s="2"/>
      <c r="C1738" s="2"/>
      <c r="D1738" s="2"/>
      <c r="E1738" s="2"/>
      <c r="F1738" s="2"/>
      <c r="K1738" s="2"/>
      <c r="N1738" s="7"/>
      <c r="O1738" s="12"/>
      <c r="P1738" s="11"/>
      <c r="Q1738" s="12"/>
      <c r="R1738" s="11"/>
      <c r="S1738" s="11"/>
      <c r="T1738" s="11"/>
    </row>
    <row r="1739">
      <c r="A1739" s="2"/>
      <c r="B1739" s="2"/>
      <c r="C1739" s="2"/>
      <c r="D1739" s="2"/>
      <c r="E1739" s="2"/>
      <c r="F1739" s="2"/>
      <c r="K1739" s="2"/>
      <c r="N1739" s="7"/>
      <c r="O1739" s="12"/>
      <c r="P1739" s="11"/>
      <c r="Q1739" s="12"/>
      <c r="R1739" s="11"/>
      <c r="S1739" s="11"/>
      <c r="T1739" s="11"/>
    </row>
    <row r="1740">
      <c r="A1740" s="2"/>
      <c r="B1740" s="2"/>
      <c r="C1740" s="2"/>
      <c r="D1740" s="2"/>
      <c r="E1740" s="2"/>
      <c r="F1740" s="2"/>
      <c r="K1740" s="2"/>
      <c r="N1740" s="7"/>
      <c r="O1740" s="12"/>
      <c r="P1740" s="11"/>
      <c r="Q1740" s="12"/>
      <c r="R1740" s="11"/>
      <c r="S1740" s="11"/>
      <c r="T1740" s="11"/>
    </row>
    <row r="1741">
      <c r="A1741" s="2"/>
      <c r="B1741" s="2"/>
      <c r="C1741" s="2"/>
      <c r="D1741" s="2"/>
      <c r="E1741" s="2"/>
      <c r="F1741" s="2"/>
      <c r="K1741" s="2"/>
      <c r="N1741" s="7"/>
      <c r="O1741" s="12"/>
      <c r="P1741" s="11"/>
      <c r="Q1741" s="12"/>
      <c r="R1741" s="11"/>
      <c r="S1741" s="11"/>
      <c r="T1741" s="11"/>
    </row>
    <row r="1742">
      <c r="A1742" s="2"/>
      <c r="B1742" s="2"/>
      <c r="C1742" s="2"/>
      <c r="D1742" s="2"/>
      <c r="E1742" s="2"/>
      <c r="F1742" s="2"/>
      <c r="K1742" s="2"/>
      <c r="N1742" s="7"/>
      <c r="O1742" s="12"/>
      <c r="P1742" s="11"/>
      <c r="Q1742" s="12"/>
      <c r="R1742" s="11"/>
      <c r="S1742" s="11"/>
      <c r="T1742" s="11"/>
    </row>
    <row r="1743">
      <c r="A1743" s="2"/>
      <c r="B1743" s="2"/>
      <c r="C1743" s="2"/>
      <c r="D1743" s="2"/>
      <c r="E1743" s="2"/>
      <c r="F1743" s="2"/>
      <c r="K1743" s="2"/>
      <c r="N1743" s="7"/>
      <c r="O1743" s="12"/>
      <c r="P1743" s="11"/>
      <c r="Q1743" s="12"/>
      <c r="R1743" s="11"/>
      <c r="S1743" s="11"/>
      <c r="T1743" s="11"/>
    </row>
    <row r="1744">
      <c r="A1744" s="2"/>
      <c r="B1744" s="2"/>
      <c r="C1744" s="2"/>
      <c r="D1744" s="2"/>
      <c r="E1744" s="2"/>
      <c r="F1744" s="2"/>
      <c r="K1744" s="2"/>
      <c r="N1744" s="7"/>
      <c r="O1744" s="12"/>
      <c r="P1744" s="11"/>
      <c r="Q1744" s="12"/>
      <c r="R1744" s="11"/>
      <c r="S1744" s="11"/>
      <c r="T1744" s="11"/>
    </row>
    <row r="1745">
      <c r="A1745" s="2"/>
      <c r="B1745" s="2"/>
      <c r="C1745" s="2"/>
      <c r="D1745" s="2"/>
      <c r="E1745" s="2"/>
      <c r="F1745" s="2"/>
      <c r="K1745" s="2"/>
      <c r="N1745" s="7"/>
      <c r="O1745" s="12"/>
      <c r="P1745" s="11"/>
      <c r="Q1745" s="12"/>
      <c r="R1745" s="11"/>
      <c r="S1745" s="11"/>
      <c r="T1745" s="11"/>
    </row>
    <row r="1746">
      <c r="A1746" s="2"/>
      <c r="B1746" s="2"/>
      <c r="C1746" s="2"/>
      <c r="D1746" s="2"/>
      <c r="E1746" s="2"/>
      <c r="F1746" s="2"/>
      <c r="K1746" s="2"/>
      <c r="N1746" s="7"/>
      <c r="O1746" s="12"/>
      <c r="P1746" s="11"/>
      <c r="Q1746" s="12"/>
      <c r="R1746" s="11"/>
      <c r="S1746" s="11"/>
      <c r="T1746" s="11"/>
    </row>
    <row r="1747">
      <c r="A1747" s="2"/>
      <c r="B1747" s="2"/>
      <c r="C1747" s="2"/>
      <c r="D1747" s="2"/>
      <c r="E1747" s="2"/>
      <c r="F1747" s="2"/>
      <c r="K1747" s="2"/>
      <c r="N1747" s="7"/>
      <c r="O1747" s="12"/>
      <c r="P1747" s="11"/>
      <c r="Q1747" s="12"/>
      <c r="R1747" s="11"/>
      <c r="S1747" s="11"/>
      <c r="T1747" s="11"/>
    </row>
    <row r="1748">
      <c r="A1748" s="2"/>
      <c r="B1748" s="2"/>
      <c r="C1748" s="2"/>
      <c r="D1748" s="2"/>
      <c r="E1748" s="2"/>
      <c r="F1748" s="2"/>
      <c r="K1748" s="2"/>
      <c r="N1748" s="7"/>
      <c r="O1748" s="12"/>
      <c r="P1748" s="11"/>
      <c r="Q1748" s="12"/>
      <c r="R1748" s="11"/>
      <c r="S1748" s="11"/>
      <c r="T1748" s="11"/>
    </row>
    <row r="1749">
      <c r="A1749" s="2"/>
      <c r="B1749" s="2"/>
      <c r="C1749" s="2"/>
      <c r="D1749" s="2"/>
      <c r="E1749" s="2"/>
      <c r="F1749" s="2"/>
      <c r="K1749" s="2"/>
      <c r="N1749" s="7"/>
      <c r="O1749" s="12"/>
      <c r="P1749" s="11"/>
      <c r="Q1749" s="12"/>
      <c r="R1749" s="11"/>
      <c r="S1749" s="11"/>
      <c r="T1749" s="11"/>
    </row>
    <row r="1750">
      <c r="A1750" s="2"/>
      <c r="B1750" s="2"/>
      <c r="C1750" s="2"/>
      <c r="D1750" s="2"/>
      <c r="E1750" s="2"/>
      <c r="F1750" s="2"/>
      <c r="K1750" s="2"/>
      <c r="N1750" s="7"/>
      <c r="O1750" s="12"/>
      <c r="P1750" s="11"/>
      <c r="Q1750" s="12"/>
      <c r="R1750" s="11"/>
      <c r="S1750" s="11"/>
      <c r="T1750" s="11"/>
    </row>
    <row r="1751">
      <c r="A1751" s="2"/>
      <c r="B1751" s="2"/>
      <c r="C1751" s="2"/>
      <c r="D1751" s="2"/>
      <c r="E1751" s="2"/>
      <c r="F1751" s="2"/>
      <c r="K1751" s="2"/>
      <c r="N1751" s="7"/>
      <c r="O1751" s="12"/>
      <c r="P1751" s="11"/>
      <c r="Q1751" s="12"/>
      <c r="R1751" s="11"/>
      <c r="S1751" s="11"/>
      <c r="T1751" s="11"/>
    </row>
    <row r="1752">
      <c r="A1752" s="2"/>
      <c r="B1752" s="2"/>
      <c r="C1752" s="2"/>
      <c r="D1752" s="2"/>
      <c r="E1752" s="2"/>
      <c r="F1752" s="2"/>
      <c r="K1752" s="2"/>
      <c r="N1752" s="7"/>
      <c r="O1752" s="12"/>
      <c r="P1752" s="11"/>
      <c r="Q1752" s="12"/>
      <c r="R1752" s="11"/>
      <c r="S1752" s="11"/>
      <c r="T1752" s="11"/>
    </row>
    <row r="1753">
      <c r="A1753" s="2"/>
      <c r="B1753" s="2"/>
      <c r="C1753" s="2"/>
      <c r="D1753" s="2"/>
      <c r="E1753" s="2"/>
      <c r="F1753" s="2"/>
      <c r="K1753" s="2"/>
      <c r="N1753" s="7"/>
      <c r="O1753" s="12"/>
      <c r="P1753" s="11"/>
      <c r="Q1753" s="12"/>
      <c r="R1753" s="11"/>
      <c r="S1753" s="11"/>
      <c r="T1753" s="11"/>
    </row>
    <row r="1754">
      <c r="A1754" s="2"/>
      <c r="B1754" s="2"/>
      <c r="C1754" s="2"/>
      <c r="D1754" s="2"/>
      <c r="E1754" s="2"/>
      <c r="F1754" s="2"/>
      <c r="K1754" s="2"/>
      <c r="N1754" s="7"/>
      <c r="O1754" s="12"/>
      <c r="P1754" s="11"/>
      <c r="Q1754" s="12"/>
      <c r="R1754" s="11"/>
      <c r="S1754" s="11"/>
      <c r="T1754" s="11"/>
    </row>
    <row r="1755">
      <c r="A1755" s="2"/>
      <c r="B1755" s="2"/>
      <c r="C1755" s="2"/>
      <c r="D1755" s="2"/>
      <c r="E1755" s="2"/>
      <c r="F1755" s="2"/>
      <c r="K1755" s="2"/>
      <c r="N1755" s="7"/>
      <c r="O1755" s="12"/>
      <c r="P1755" s="11"/>
      <c r="Q1755" s="12"/>
      <c r="R1755" s="11"/>
      <c r="S1755" s="11"/>
      <c r="T1755" s="11"/>
    </row>
    <row r="1756">
      <c r="A1756" s="2"/>
      <c r="B1756" s="2"/>
      <c r="C1756" s="2"/>
      <c r="D1756" s="2"/>
      <c r="E1756" s="2"/>
      <c r="F1756" s="2"/>
      <c r="K1756" s="2"/>
      <c r="N1756" s="7"/>
      <c r="O1756" s="12"/>
      <c r="P1756" s="11"/>
      <c r="Q1756" s="12"/>
      <c r="R1756" s="11"/>
      <c r="S1756" s="11"/>
      <c r="T1756" s="11"/>
    </row>
    <row r="1757">
      <c r="A1757" s="2"/>
      <c r="B1757" s="2"/>
      <c r="C1757" s="2"/>
      <c r="D1757" s="2"/>
      <c r="E1757" s="2"/>
      <c r="F1757" s="2"/>
      <c r="K1757" s="2"/>
      <c r="N1757" s="7"/>
      <c r="O1757" s="12"/>
      <c r="P1757" s="11"/>
      <c r="Q1757" s="12"/>
      <c r="R1757" s="11"/>
      <c r="S1757" s="11"/>
      <c r="T1757" s="11"/>
    </row>
    <row r="1758">
      <c r="A1758" s="2"/>
      <c r="B1758" s="2"/>
      <c r="C1758" s="2"/>
      <c r="D1758" s="2"/>
      <c r="E1758" s="2"/>
      <c r="F1758" s="2"/>
      <c r="K1758" s="2"/>
      <c r="N1758" s="7"/>
      <c r="O1758" s="12"/>
      <c r="P1758" s="11"/>
      <c r="Q1758" s="12"/>
      <c r="R1758" s="11"/>
      <c r="S1758" s="11"/>
      <c r="T1758" s="11"/>
    </row>
    <row r="1759">
      <c r="A1759" s="2"/>
      <c r="B1759" s="2"/>
      <c r="C1759" s="2"/>
      <c r="D1759" s="2"/>
      <c r="E1759" s="2"/>
      <c r="F1759" s="2"/>
      <c r="K1759" s="2"/>
      <c r="N1759" s="7"/>
      <c r="O1759" s="12"/>
      <c r="P1759" s="11"/>
      <c r="Q1759" s="12"/>
      <c r="R1759" s="11"/>
      <c r="S1759" s="11"/>
      <c r="T1759" s="11"/>
    </row>
    <row r="1760">
      <c r="A1760" s="2"/>
      <c r="B1760" s="2"/>
      <c r="C1760" s="2"/>
      <c r="D1760" s="2"/>
      <c r="E1760" s="2"/>
      <c r="F1760" s="2"/>
      <c r="K1760" s="2"/>
      <c r="N1760" s="7"/>
      <c r="O1760" s="12"/>
      <c r="P1760" s="11"/>
      <c r="Q1760" s="12"/>
      <c r="R1760" s="11"/>
      <c r="S1760" s="11"/>
      <c r="T1760" s="11"/>
    </row>
    <row r="1761">
      <c r="A1761" s="2"/>
      <c r="B1761" s="2"/>
      <c r="C1761" s="2"/>
      <c r="D1761" s="2"/>
      <c r="E1761" s="2"/>
      <c r="F1761" s="2"/>
      <c r="K1761" s="2"/>
      <c r="N1761" s="7"/>
      <c r="O1761" s="12"/>
      <c r="P1761" s="11"/>
      <c r="Q1761" s="12"/>
      <c r="R1761" s="11"/>
      <c r="S1761" s="11"/>
      <c r="T1761" s="11"/>
    </row>
    <row r="1762">
      <c r="A1762" s="2"/>
      <c r="B1762" s="2"/>
      <c r="C1762" s="2"/>
      <c r="D1762" s="2"/>
      <c r="E1762" s="2"/>
      <c r="F1762" s="2"/>
      <c r="K1762" s="2"/>
      <c r="N1762" s="7"/>
      <c r="O1762" s="12"/>
      <c r="P1762" s="11"/>
      <c r="Q1762" s="12"/>
      <c r="R1762" s="11"/>
      <c r="S1762" s="11"/>
      <c r="T1762" s="11"/>
    </row>
    <row r="1763">
      <c r="A1763" s="2"/>
      <c r="B1763" s="2"/>
      <c r="C1763" s="2"/>
      <c r="D1763" s="2"/>
      <c r="E1763" s="2"/>
      <c r="F1763" s="2"/>
      <c r="K1763" s="2"/>
      <c r="N1763" s="7"/>
      <c r="O1763" s="12"/>
      <c r="P1763" s="11"/>
      <c r="Q1763" s="12"/>
      <c r="R1763" s="11"/>
      <c r="S1763" s="11"/>
      <c r="T1763" s="11"/>
    </row>
    <row r="1764">
      <c r="A1764" s="2"/>
      <c r="B1764" s="2"/>
      <c r="C1764" s="2"/>
      <c r="D1764" s="2"/>
      <c r="E1764" s="2"/>
      <c r="F1764" s="2"/>
      <c r="K1764" s="2"/>
      <c r="N1764" s="7"/>
      <c r="O1764" s="12"/>
      <c r="P1764" s="11"/>
      <c r="Q1764" s="12"/>
      <c r="R1764" s="11"/>
      <c r="S1764" s="11"/>
      <c r="T1764" s="11"/>
    </row>
    <row r="1765">
      <c r="A1765" s="2"/>
      <c r="B1765" s="2"/>
      <c r="C1765" s="2"/>
      <c r="D1765" s="2"/>
      <c r="E1765" s="2"/>
      <c r="F1765" s="2"/>
      <c r="K1765" s="2"/>
      <c r="N1765" s="7"/>
      <c r="O1765" s="12"/>
      <c r="P1765" s="11"/>
      <c r="Q1765" s="12"/>
      <c r="R1765" s="11"/>
      <c r="S1765" s="11"/>
      <c r="T1765" s="11"/>
    </row>
    <row r="1766">
      <c r="A1766" s="2"/>
      <c r="B1766" s="2"/>
      <c r="C1766" s="2"/>
      <c r="D1766" s="2"/>
      <c r="E1766" s="2"/>
      <c r="F1766" s="2"/>
      <c r="K1766" s="2"/>
      <c r="N1766" s="7"/>
      <c r="O1766" s="12"/>
      <c r="P1766" s="11"/>
      <c r="Q1766" s="12"/>
      <c r="R1766" s="11"/>
      <c r="S1766" s="11"/>
      <c r="T1766" s="11"/>
    </row>
    <row r="1767">
      <c r="A1767" s="2"/>
      <c r="B1767" s="2"/>
      <c r="C1767" s="2"/>
      <c r="D1767" s="2"/>
      <c r="E1767" s="2"/>
      <c r="F1767" s="2"/>
      <c r="K1767" s="2"/>
      <c r="N1767" s="7"/>
      <c r="O1767" s="12"/>
      <c r="P1767" s="11"/>
      <c r="Q1767" s="12"/>
      <c r="R1767" s="11"/>
      <c r="S1767" s="11"/>
      <c r="T1767" s="11"/>
    </row>
    <row r="1768">
      <c r="A1768" s="2"/>
      <c r="B1768" s="2"/>
      <c r="C1768" s="2"/>
      <c r="D1768" s="2"/>
      <c r="E1768" s="2"/>
      <c r="F1768" s="2"/>
      <c r="K1768" s="2"/>
      <c r="N1768" s="7"/>
      <c r="O1768" s="12"/>
      <c r="P1768" s="11"/>
      <c r="Q1768" s="12"/>
      <c r="R1768" s="11"/>
      <c r="S1768" s="11"/>
      <c r="T1768" s="11"/>
    </row>
    <row r="1769">
      <c r="A1769" s="2"/>
      <c r="B1769" s="2"/>
      <c r="C1769" s="2"/>
      <c r="D1769" s="2"/>
      <c r="E1769" s="2"/>
      <c r="F1769" s="2"/>
      <c r="K1769" s="2"/>
      <c r="N1769" s="7"/>
      <c r="O1769" s="12"/>
      <c r="P1769" s="11"/>
      <c r="Q1769" s="12"/>
      <c r="R1769" s="11"/>
      <c r="S1769" s="11"/>
      <c r="T1769" s="11"/>
    </row>
    <row r="1770">
      <c r="A1770" s="2"/>
      <c r="B1770" s="2"/>
      <c r="C1770" s="2"/>
      <c r="D1770" s="2"/>
      <c r="E1770" s="2"/>
      <c r="F1770" s="2"/>
      <c r="K1770" s="2"/>
      <c r="N1770" s="7"/>
      <c r="O1770" s="12"/>
      <c r="P1770" s="11"/>
      <c r="Q1770" s="12"/>
      <c r="R1770" s="11"/>
      <c r="S1770" s="11"/>
      <c r="T1770" s="11"/>
    </row>
    <row r="1771">
      <c r="A1771" s="2"/>
      <c r="B1771" s="2"/>
      <c r="C1771" s="2"/>
      <c r="D1771" s="2"/>
      <c r="E1771" s="2"/>
      <c r="F1771" s="2"/>
      <c r="K1771" s="2"/>
      <c r="N1771" s="7"/>
      <c r="O1771" s="12"/>
      <c r="P1771" s="11"/>
      <c r="Q1771" s="12"/>
      <c r="R1771" s="11"/>
      <c r="S1771" s="11"/>
      <c r="T1771" s="11"/>
    </row>
    <row r="1772">
      <c r="A1772" s="2"/>
      <c r="B1772" s="2"/>
      <c r="C1772" s="2"/>
      <c r="D1772" s="2"/>
      <c r="E1772" s="2"/>
      <c r="F1772" s="2"/>
      <c r="K1772" s="2"/>
      <c r="N1772" s="7"/>
      <c r="O1772" s="12"/>
      <c r="P1772" s="11"/>
      <c r="Q1772" s="12"/>
      <c r="R1772" s="11"/>
      <c r="S1772" s="11"/>
      <c r="T1772" s="11"/>
    </row>
    <row r="1773">
      <c r="A1773" s="2"/>
      <c r="B1773" s="2"/>
      <c r="C1773" s="2"/>
      <c r="D1773" s="2"/>
      <c r="E1773" s="2"/>
      <c r="F1773" s="2"/>
      <c r="K1773" s="2"/>
      <c r="N1773" s="7"/>
      <c r="O1773" s="12"/>
      <c r="P1773" s="11"/>
      <c r="Q1773" s="12"/>
      <c r="R1773" s="11"/>
      <c r="S1773" s="11"/>
      <c r="T1773" s="11"/>
    </row>
    <row r="1774">
      <c r="A1774" s="2"/>
      <c r="B1774" s="2"/>
      <c r="C1774" s="2"/>
      <c r="D1774" s="2"/>
      <c r="E1774" s="2"/>
      <c r="F1774" s="2"/>
      <c r="K1774" s="2"/>
      <c r="N1774" s="7"/>
      <c r="O1774" s="12"/>
      <c r="P1774" s="11"/>
      <c r="Q1774" s="12"/>
      <c r="R1774" s="11"/>
      <c r="S1774" s="11"/>
      <c r="T1774" s="11"/>
    </row>
    <row r="1775">
      <c r="A1775" s="2"/>
      <c r="B1775" s="2"/>
      <c r="C1775" s="2"/>
      <c r="D1775" s="2"/>
      <c r="E1775" s="2"/>
      <c r="F1775" s="2"/>
      <c r="K1775" s="2"/>
      <c r="N1775" s="7"/>
      <c r="O1775" s="12"/>
      <c r="P1775" s="11"/>
      <c r="Q1775" s="12"/>
      <c r="R1775" s="11"/>
      <c r="S1775" s="11"/>
      <c r="T1775" s="11"/>
    </row>
    <row r="1776">
      <c r="A1776" s="2"/>
      <c r="B1776" s="2"/>
      <c r="C1776" s="2"/>
      <c r="D1776" s="2"/>
      <c r="E1776" s="2"/>
      <c r="F1776" s="2"/>
      <c r="K1776" s="2"/>
      <c r="N1776" s="7"/>
      <c r="O1776" s="12"/>
      <c r="P1776" s="11"/>
      <c r="Q1776" s="12"/>
      <c r="R1776" s="11"/>
      <c r="S1776" s="11"/>
      <c r="T1776" s="11"/>
    </row>
    <row r="1777">
      <c r="A1777" s="2"/>
      <c r="B1777" s="2"/>
      <c r="C1777" s="2"/>
      <c r="D1777" s="2"/>
      <c r="E1777" s="2"/>
      <c r="F1777" s="2"/>
      <c r="K1777" s="2"/>
      <c r="N1777" s="7"/>
      <c r="O1777" s="12"/>
      <c r="P1777" s="11"/>
      <c r="Q1777" s="12"/>
      <c r="R1777" s="11"/>
      <c r="S1777" s="11"/>
      <c r="T1777" s="11"/>
    </row>
    <row r="1778">
      <c r="A1778" s="2"/>
      <c r="B1778" s="2"/>
      <c r="C1778" s="2"/>
      <c r="D1778" s="2"/>
      <c r="E1778" s="2"/>
      <c r="F1778" s="2"/>
      <c r="K1778" s="2"/>
      <c r="N1778" s="7"/>
      <c r="O1778" s="12"/>
      <c r="P1778" s="11"/>
      <c r="Q1778" s="12"/>
      <c r="R1778" s="11"/>
      <c r="S1778" s="11"/>
      <c r="T1778" s="11"/>
    </row>
    <row r="1779">
      <c r="A1779" s="2"/>
      <c r="B1779" s="2"/>
      <c r="C1779" s="2"/>
      <c r="D1779" s="2"/>
      <c r="E1779" s="2"/>
      <c r="F1779" s="2"/>
      <c r="K1779" s="2"/>
      <c r="N1779" s="7"/>
      <c r="O1779" s="12"/>
      <c r="P1779" s="11"/>
      <c r="Q1779" s="12"/>
      <c r="R1779" s="11"/>
      <c r="S1779" s="11"/>
      <c r="T1779" s="11"/>
    </row>
    <row r="1780">
      <c r="A1780" s="2"/>
      <c r="B1780" s="2"/>
      <c r="C1780" s="2"/>
      <c r="D1780" s="2"/>
      <c r="E1780" s="2"/>
      <c r="F1780" s="2"/>
      <c r="K1780" s="2"/>
      <c r="N1780" s="7"/>
      <c r="O1780" s="12"/>
      <c r="P1780" s="11"/>
      <c r="Q1780" s="12"/>
      <c r="R1780" s="11"/>
      <c r="S1780" s="11"/>
      <c r="T1780" s="11"/>
    </row>
    <row r="1781">
      <c r="A1781" s="2"/>
      <c r="B1781" s="2"/>
      <c r="C1781" s="2"/>
      <c r="D1781" s="2"/>
      <c r="E1781" s="2"/>
      <c r="F1781" s="2"/>
      <c r="K1781" s="2"/>
      <c r="N1781" s="7"/>
      <c r="O1781" s="12"/>
      <c r="P1781" s="11"/>
      <c r="Q1781" s="12"/>
      <c r="R1781" s="11"/>
      <c r="S1781" s="11"/>
      <c r="T1781" s="11"/>
    </row>
    <row r="1782">
      <c r="A1782" s="2"/>
      <c r="B1782" s="2"/>
      <c r="C1782" s="2"/>
      <c r="D1782" s="2"/>
      <c r="E1782" s="2"/>
      <c r="F1782" s="2"/>
      <c r="K1782" s="2"/>
      <c r="N1782" s="7"/>
      <c r="O1782" s="12"/>
      <c r="P1782" s="11"/>
      <c r="Q1782" s="12"/>
      <c r="R1782" s="11"/>
      <c r="S1782" s="11"/>
      <c r="T1782" s="11"/>
    </row>
    <row r="1783">
      <c r="A1783" s="2"/>
      <c r="B1783" s="2"/>
      <c r="C1783" s="2"/>
      <c r="D1783" s="2"/>
      <c r="E1783" s="2"/>
      <c r="F1783" s="2"/>
      <c r="K1783" s="2"/>
      <c r="N1783" s="7"/>
      <c r="O1783" s="12"/>
      <c r="P1783" s="11"/>
      <c r="Q1783" s="12"/>
      <c r="R1783" s="11"/>
      <c r="S1783" s="11"/>
      <c r="T1783" s="11"/>
    </row>
    <row r="1784">
      <c r="A1784" s="2"/>
      <c r="B1784" s="2"/>
      <c r="C1784" s="2"/>
      <c r="D1784" s="2"/>
      <c r="E1784" s="2"/>
      <c r="F1784" s="2"/>
      <c r="K1784" s="2"/>
      <c r="N1784" s="7"/>
      <c r="O1784" s="12"/>
      <c r="P1784" s="11"/>
      <c r="Q1784" s="12"/>
      <c r="R1784" s="11"/>
      <c r="S1784" s="11"/>
      <c r="T1784" s="11"/>
    </row>
    <row r="1785">
      <c r="A1785" s="2"/>
      <c r="B1785" s="2"/>
      <c r="C1785" s="2"/>
      <c r="D1785" s="2"/>
      <c r="E1785" s="2"/>
      <c r="F1785" s="2"/>
      <c r="K1785" s="2"/>
      <c r="N1785" s="7"/>
      <c r="O1785" s="12"/>
      <c r="P1785" s="11"/>
      <c r="Q1785" s="12"/>
      <c r="R1785" s="11"/>
      <c r="S1785" s="11"/>
      <c r="T1785" s="11"/>
    </row>
    <row r="1786">
      <c r="A1786" s="2"/>
      <c r="B1786" s="2"/>
      <c r="C1786" s="2"/>
      <c r="D1786" s="2"/>
      <c r="E1786" s="2"/>
      <c r="F1786" s="2"/>
      <c r="K1786" s="2"/>
      <c r="N1786" s="7"/>
      <c r="O1786" s="12"/>
      <c r="P1786" s="11"/>
      <c r="Q1786" s="12"/>
      <c r="R1786" s="11"/>
      <c r="S1786" s="11"/>
      <c r="T1786" s="11"/>
    </row>
    <row r="1787">
      <c r="A1787" s="2"/>
      <c r="B1787" s="2"/>
      <c r="C1787" s="2"/>
      <c r="D1787" s="2"/>
      <c r="E1787" s="2"/>
      <c r="F1787" s="2"/>
      <c r="K1787" s="2"/>
      <c r="N1787" s="7"/>
      <c r="O1787" s="12"/>
      <c r="P1787" s="11"/>
      <c r="Q1787" s="12"/>
      <c r="R1787" s="11"/>
      <c r="S1787" s="11"/>
      <c r="T1787" s="11"/>
    </row>
    <row r="1788">
      <c r="A1788" s="2"/>
      <c r="B1788" s="2"/>
      <c r="C1788" s="2"/>
      <c r="D1788" s="2"/>
      <c r="E1788" s="2"/>
      <c r="F1788" s="2"/>
      <c r="K1788" s="2"/>
      <c r="N1788" s="7"/>
      <c r="O1788" s="12"/>
      <c r="P1788" s="11"/>
      <c r="Q1788" s="12"/>
      <c r="R1788" s="11"/>
      <c r="S1788" s="11"/>
      <c r="T1788" s="11"/>
    </row>
    <row r="1789">
      <c r="A1789" s="2"/>
      <c r="B1789" s="2"/>
      <c r="C1789" s="2"/>
      <c r="D1789" s="2"/>
      <c r="E1789" s="2"/>
      <c r="F1789" s="2"/>
      <c r="K1789" s="2"/>
      <c r="N1789" s="7"/>
      <c r="O1789" s="12"/>
      <c r="P1789" s="11"/>
      <c r="Q1789" s="12"/>
      <c r="R1789" s="11"/>
      <c r="S1789" s="11"/>
      <c r="T1789" s="11"/>
    </row>
    <row r="1790">
      <c r="A1790" s="2"/>
      <c r="B1790" s="2"/>
      <c r="C1790" s="2"/>
      <c r="D1790" s="2"/>
      <c r="E1790" s="2"/>
      <c r="F1790" s="2"/>
      <c r="K1790" s="2"/>
      <c r="N1790" s="7"/>
      <c r="O1790" s="12"/>
      <c r="P1790" s="11"/>
      <c r="Q1790" s="12"/>
      <c r="R1790" s="11"/>
      <c r="S1790" s="11"/>
      <c r="T1790" s="11"/>
    </row>
    <row r="1791">
      <c r="A1791" s="2"/>
      <c r="B1791" s="2"/>
      <c r="C1791" s="2"/>
      <c r="D1791" s="2"/>
      <c r="E1791" s="2"/>
      <c r="F1791" s="2"/>
      <c r="K1791" s="2"/>
      <c r="N1791" s="7"/>
      <c r="O1791" s="12"/>
      <c r="P1791" s="11"/>
      <c r="Q1791" s="12"/>
      <c r="R1791" s="11"/>
      <c r="S1791" s="11"/>
      <c r="T1791" s="11"/>
    </row>
    <row r="1792">
      <c r="A1792" s="2"/>
      <c r="B1792" s="2"/>
      <c r="C1792" s="2"/>
      <c r="D1792" s="2"/>
      <c r="E1792" s="2"/>
      <c r="F1792" s="2"/>
      <c r="K1792" s="2"/>
      <c r="N1792" s="7"/>
      <c r="O1792" s="12"/>
      <c r="P1792" s="11"/>
      <c r="Q1792" s="12"/>
      <c r="R1792" s="11"/>
      <c r="S1792" s="11"/>
      <c r="T1792" s="11"/>
    </row>
    <row r="1793">
      <c r="A1793" s="2"/>
      <c r="B1793" s="2"/>
      <c r="C1793" s="2"/>
      <c r="D1793" s="2"/>
      <c r="E1793" s="2"/>
      <c r="F1793" s="2"/>
      <c r="K1793" s="2"/>
      <c r="N1793" s="7"/>
      <c r="O1793" s="12"/>
      <c r="P1793" s="11"/>
      <c r="Q1793" s="12"/>
      <c r="R1793" s="11"/>
      <c r="S1793" s="11"/>
      <c r="T1793" s="11"/>
    </row>
    <row r="1794">
      <c r="A1794" s="2"/>
      <c r="B1794" s="2"/>
      <c r="C1794" s="2"/>
      <c r="D1794" s="2"/>
      <c r="E1794" s="2"/>
      <c r="F1794" s="2"/>
      <c r="K1794" s="2"/>
      <c r="N1794" s="7"/>
      <c r="O1794" s="12"/>
      <c r="P1794" s="11"/>
      <c r="Q1794" s="12"/>
      <c r="R1794" s="11"/>
      <c r="S1794" s="11"/>
      <c r="T1794" s="11"/>
    </row>
    <row r="1795">
      <c r="A1795" s="2"/>
      <c r="B1795" s="2"/>
      <c r="C1795" s="2"/>
      <c r="D1795" s="2"/>
      <c r="E1795" s="2"/>
      <c r="F1795" s="2"/>
      <c r="K1795" s="2"/>
      <c r="N1795" s="7"/>
      <c r="O1795" s="12"/>
      <c r="P1795" s="11"/>
      <c r="Q1795" s="12"/>
      <c r="R1795" s="11"/>
      <c r="S1795" s="11"/>
      <c r="T1795" s="11"/>
    </row>
    <row r="1796">
      <c r="A1796" s="2"/>
      <c r="B1796" s="2"/>
      <c r="C1796" s="2"/>
      <c r="D1796" s="2"/>
      <c r="E1796" s="2"/>
      <c r="F1796" s="2"/>
      <c r="K1796" s="2"/>
      <c r="N1796" s="7"/>
      <c r="O1796" s="12"/>
      <c r="P1796" s="11"/>
      <c r="Q1796" s="12"/>
      <c r="R1796" s="11"/>
      <c r="S1796" s="11"/>
      <c r="T1796" s="11"/>
    </row>
    <row r="1797">
      <c r="A1797" s="2"/>
      <c r="B1797" s="2"/>
      <c r="C1797" s="2"/>
      <c r="D1797" s="2"/>
      <c r="E1797" s="2"/>
      <c r="F1797" s="2"/>
      <c r="K1797" s="2"/>
      <c r="N1797" s="7"/>
      <c r="O1797" s="12"/>
      <c r="P1797" s="11"/>
      <c r="Q1797" s="12"/>
      <c r="R1797" s="11"/>
      <c r="S1797" s="11"/>
      <c r="T1797" s="11"/>
    </row>
    <row r="1798">
      <c r="A1798" s="2"/>
      <c r="B1798" s="2"/>
      <c r="C1798" s="2"/>
      <c r="D1798" s="2"/>
      <c r="E1798" s="2"/>
      <c r="F1798" s="2"/>
      <c r="K1798" s="2"/>
      <c r="N1798" s="7"/>
      <c r="O1798" s="12"/>
      <c r="P1798" s="11"/>
      <c r="Q1798" s="12"/>
      <c r="R1798" s="11"/>
      <c r="S1798" s="11"/>
      <c r="T1798" s="11"/>
    </row>
    <row r="1799">
      <c r="A1799" s="2"/>
      <c r="B1799" s="2"/>
      <c r="C1799" s="2"/>
      <c r="D1799" s="2"/>
      <c r="E1799" s="2"/>
      <c r="F1799" s="2"/>
      <c r="K1799" s="2"/>
      <c r="N1799" s="7"/>
      <c r="O1799" s="12"/>
      <c r="P1799" s="11"/>
      <c r="Q1799" s="12"/>
      <c r="R1799" s="11"/>
      <c r="S1799" s="11"/>
      <c r="T1799" s="11"/>
    </row>
    <row r="1800">
      <c r="A1800" s="2"/>
      <c r="B1800" s="2"/>
      <c r="C1800" s="2"/>
      <c r="D1800" s="2"/>
      <c r="E1800" s="2"/>
      <c r="F1800" s="2"/>
      <c r="K1800" s="2"/>
      <c r="N1800" s="7"/>
      <c r="O1800" s="12"/>
      <c r="P1800" s="11"/>
      <c r="Q1800" s="12"/>
      <c r="R1800" s="11"/>
      <c r="S1800" s="11"/>
      <c r="T1800" s="11"/>
    </row>
    <row r="1801">
      <c r="A1801" s="2"/>
      <c r="B1801" s="2"/>
      <c r="C1801" s="2"/>
      <c r="D1801" s="2"/>
      <c r="E1801" s="2"/>
      <c r="F1801" s="2"/>
      <c r="K1801" s="2"/>
      <c r="N1801" s="7"/>
      <c r="O1801" s="12"/>
      <c r="P1801" s="11"/>
      <c r="Q1801" s="12"/>
      <c r="R1801" s="11"/>
      <c r="S1801" s="11"/>
      <c r="T1801" s="11"/>
    </row>
    <row r="1802">
      <c r="A1802" s="2"/>
      <c r="B1802" s="2"/>
      <c r="C1802" s="2"/>
      <c r="D1802" s="2"/>
      <c r="E1802" s="2"/>
      <c r="F1802" s="2"/>
      <c r="K1802" s="2"/>
      <c r="N1802" s="7"/>
      <c r="O1802" s="12"/>
      <c r="P1802" s="11"/>
      <c r="Q1802" s="12"/>
      <c r="R1802" s="11"/>
      <c r="S1802" s="11"/>
      <c r="T1802" s="11"/>
    </row>
    <row r="1803">
      <c r="A1803" s="2"/>
      <c r="B1803" s="2"/>
      <c r="C1803" s="2"/>
      <c r="D1803" s="2"/>
      <c r="E1803" s="2"/>
      <c r="F1803" s="2"/>
      <c r="K1803" s="2"/>
      <c r="N1803" s="7"/>
      <c r="O1803" s="12"/>
      <c r="P1803" s="11"/>
      <c r="Q1803" s="12"/>
      <c r="R1803" s="11"/>
      <c r="S1803" s="11"/>
      <c r="T1803" s="11"/>
    </row>
    <row r="1804">
      <c r="A1804" s="2"/>
      <c r="B1804" s="2"/>
      <c r="C1804" s="2"/>
      <c r="D1804" s="2"/>
      <c r="E1804" s="2"/>
      <c r="F1804" s="2"/>
      <c r="K1804" s="2"/>
      <c r="N1804" s="7"/>
      <c r="O1804" s="12"/>
      <c r="P1804" s="11"/>
      <c r="Q1804" s="12"/>
      <c r="R1804" s="11"/>
      <c r="S1804" s="11"/>
      <c r="T1804" s="11"/>
    </row>
    <row r="1805">
      <c r="A1805" s="2"/>
      <c r="B1805" s="2"/>
      <c r="C1805" s="2"/>
      <c r="D1805" s="2"/>
      <c r="E1805" s="2"/>
      <c r="F1805" s="2"/>
      <c r="K1805" s="2"/>
      <c r="N1805" s="7"/>
      <c r="O1805" s="12"/>
      <c r="P1805" s="11"/>
      <c r="Q1805" s="12"/>
      <c r="R1805" s="11"/>
      <c r="S1805" s="11"/>
      <c r="T1805" s="11"/>
    </row>
    <row r="1806">
      <c r="A1806" s="2"/>
      <c r="B1806" s="2"/>
      <c r="C1806" s="2"/>
      <c r="D1806" s="2"/>
      <c r="E1806" s="2"/>
      <c r="F1806" s="2"/>
      <c r="K1806" s="2"/>
      <c r="N1806" s="7"/>
      <c r="O1806" s="12"/>
      <c r="P1806" s="11"/>
      <c r="Q1806" s="12"/>
      <c r="R1806" s="11"/>
      <c r="S1806" s="11"/>
      <c r="T1806" s="11"/>
    </row>
    <row r="1807">
      <c r="A1807" s="2"/>
      <c r="B1807" s="2"/>
      <c r="C1807" s="2"/>
      <c r="D1807" s="2"/>
      <c r="E1807" s="2"/>
      <c r="F1807" s="2"/>
      <c r="K1807" s="2"/>
      <c r="N1807" s="7"/>
      <c r="O1807" s="12"/>
      <c r="P1807" s="11"/>
      <c r="Q1807" s="12"/>
      <c r="R1807" s="11"/>
      <c r="S1807" s="11"/>
      <c r="T1807" s="11"/>
    </row>
    <row r="1808">
      <c r="A1808" s="2"/>
      <c r="B1808" s="2"/>
      <c r="C1808" s="2"/>
      <c r="D1808" s="2"/>
      <c r="E1808" s="2"/>
      <c r="F1808" s="2"/>
      <c r="K1808" s="2"/>
      <c r="N1808" s="7"/>
      <c r="O1808" s="12"/>
      <c r="P1808" s="11"/>
      <c r="Q1808" s="12"/>
      <c r="R1808" s="11"/>
      <c r="S1808" s="11"/>
      <c r="T1808" s="11"/>
    </row>
    <row r="1809">
      <c r="A1809" s="2"/>
      <c r="B1809" s="2"/>
      <c r="C1809" s="2"/>
      <c r="D1809" s="2"/>
      <c r="E1809" s="2"/>
      <c r="F1809" s="2"/>
      <c r="K1809" s="2"/>
      <c r="N1809" s="7"/>
      <c r="O1809" s="12"/>
      <c r="P1809" s="11"/>
      <c r="Q1809" s="12"/>
      <c r="R1809" s="11"/>
      <c r="S1809" s="11"/>
      <c r="T1809" s="11"/>
    </row>
    <row r="1810">
      <c r="A1810" s="2"/>
      <c r="B1810" s="2"/>
      <c r="C1810" s="2"/>
      <c r="D1810" s="2"/>
      <c r="E1810" s="2"/>
      <c r="F1810" s="2"/>
      <c r="K1810" s="2"/>
      <c r="N1810" s="7"/>
      <c r="O1810" s="12"/>
      <c r="P1810" s="11"/>
      <c r="Q1810" s="12"/>
      <c r="R1810" s="11"/>
      <c r="S1810" s="11"/>
      <c r="T1810" s="11"/>
    </row>
    <row r="1811">
      <c r="A1811" s="2"/>
      <c r="B1811" s="2"/>
      <c r="C1811" s="2"/>
      <c r="D1811" s="2"/>
      <c r="E1811" s="2"/>
      <c r="F1811" s="2"/>
      <c r="K1811" s="2"/>
      <c r="N1811" s="7"/>
      <c r="O1811" s="12"/>
      <c r="P1811" s="11"/>
      <c r="Q1811" s="12"/>
      <c r="R1811" s="11"/>
      <c r="S1811" s="11"/>
      <c r="T1811" s="11"/>
    </row>
    <row r="1812">
      <c r="A1812" s="2"/>
      <c r="B1812" s="2"/>
      <c r="C1812" s="2"/>
      <c r="D1812" s="2"/>
      <c r="E1812" s="2"/>
      <c r="F1812" s="2"/>
      <c r="K1812" s="2"/>
      <c r="N1812" s="7"/>
      <c r="O1812" s="12"/>
      <c r="P1812" s="11"/>
      <c r="Q1812" s="12"/>
      <c r="R1812" s="11"/>
      <c r="S1812" s="11"/>
      <c r="T1812" s="11"/>
    </row>
    <row r="1813">
      <c r="A1813" s="2"/>
      <c r="B1813" s="2"/>
      <c r="C1813" s="2"/>
      <c r="D1813" s="2"/>
      <c r="E1813" s="2"/>
      <c r="F1813" s="2"/>
      <c r="K1813" s="2"/>
      <c r="N1813" s="7"/>
      <c r="O1813" s="12"/>
      <c r="P1813" s="11"/>
      <c r="Q1813" s="12"/>
      <c r="R1813" s="11"/>
      <c r="S1813" s="11"/>
      <c r="T1813" s="11"/>
    </row>
    <row r="1814">
      <c r="A1814" s="2"/>
      <c r="B1814" s="2"/>
      <c r="C1814" s="2"/>
      <c r="D1814" s="2"/>
      <c r="E1814" s="2"/>
      <c r="F1814" s="2"/>
      <c r="K1814" s="2"/>
      <c r="N1814" s="7"/>
      <c r="O1814" s="12"/>
      <c r="P1814" s="11"/>
      <c r="Q1814" s="12"/>
      <c r="R1814" s="11"/>
      <c r="S1814" s="11"/>
      <c r="T1814" s="11"/>
    </row>
    <row r="1815">
      <c r="A1815" s="2"/>
      <c r="B1815" s="2"/>
      <c r="C1815" s="2"/>
      <c r="D1815" s="2"/>
      <c r="E1815" s="2"/>
      <c r="F1815" s="2"/>
      <c r="K1815" s="2"/>
      <c r="N1815" s="7"/>
      <c r="O1815" s="12"/>
      <c r="P1815" s="11"/>
      <c r="Q1815" s="12"/>
      <c r="R1815" s="11"/>
      <c r="S1815" s="11"/>
      <c r="T1815" s="11"/>
    </row>
    <row r="1816">
      <c r="A1816" s="2"/>
      <c r="B1816" s="2"/>
      <c r="C1816" s="2"/>
      <c r="D1816" s="2"/>
      <c r="E1816" s="2"/>
      <c r="F1816" s="2"/>
      <c r="K1816" s="2"/>
      <c r="N1816" s="7"/>
      <c r="O1816" s="12"/>
      <c r="P1816" s="11"/>
      <c r="Q1816" s="12"/>
      <c r="R1816" s="11"/>
      <c r="S1816" s="11"/>
      <c r="T1816" s="11"/>
    </row>
    <row r="1817">
      <c r="A1817" s="2"/>
      <c r="B1817" s="2"/>
      <c r="C1817" s="2"/>
      <c r="D1817" s="2"/>
      <c r="E1817" s="2"/>
      <c r="F1817" s="2"/>
      <c r="K1817" s="2"/>
      <c r="N1817" s="7"/>
      <c r="O1817" s="12"/>
      <c r="P1817" s="11"/>
      <c r="Q1817" s="12"/>
      <c r="R1817" s="11"/>
      <c r="S1817" s="11"/>
      <c r="T1817" s="11"/>
    </row>
    <row r="1818">
      <c r="A1818" s="2"/>
      <c r="B1818" s="2"/>
      <c r="C1818" s="2"/>
      <c r="D1818" s="2"/>
      <c r="E1818" s="2"/>
      <c r="F1818" s="2"/>
      <c r="K1818" s="2"/>
      <c r="N1818" s="7"/>
      <c r="O1818" s="12"/>
      <c r="P1818" s="11"/>
      <c r="Q1818" s="12"/>
      <c r="R1818" s="11"/>
      <c r="S1818" s="11"/>
      <c r="T1818" s="11"/>
    </row>
    <row r="1819">
      <c r="A1819" s="2"/>
      <c r="B1819" s="2"/>
      <c r="C1819" s="2"/>
      <c r="D1819" s="2"/>
      <c r="E1819" s="2"/>
      <c r="F1819" s="2"/>
      <c r="K1819" s="2"/>
      <c r="N1819" s="7"/>
      <c r="O1819" s="12"/>
      <c r="P1819" s="11"/>
      <c r="Q1819" s="12"/>
      <c r="R1819" s="11"/>
      <c r="S1819" s="11"/>
      <c r="T1819" s="11"/>
    </row>
    <row r="1820">
      <c r="A1820" s="2"/>
      <c r="B1820" s="2"/>
      <c r="C1820" s="2"/>
      <c r="D1820" s="2"/>
      <c r="E1820" s="2"/>
      <c r="F1820" s="2"/>
      <c r="K1820" s="2"/>
      <c r="N1820" s="7"/>
      <c r="O1820" s="12"/>
      <c r="P1820" s="11"/>
      <c r="Q1820" s="12"/>
      <c r="R1820" s="11"/>
      <c r="S1820" s="11"/>
      <c r="T1820" s="11"/>
    </row>
    <row r="1821">
      <c r="A1821" s="2"/>
      <c r="B1821" s="2"/>
      <c r="C1821" s="2"/>
      <c r="D1821" s="2"/>
      <c r="E1821" s="2"/>
      <c r="F1821" s="2"/>
      <c r="K1821" s="2"/>
      <c r="N1821" s="7"/>
      <c r="O1821" s="12"/>
      <c r="P1821" s="11"/>
      <c r="Q1821" s="12"/>
      <c r="R1821" s="11"/>
      <c r="S1821" s="11"/>
      <c r="T1821" s="11"/>
    </row>
    <row r="1822">
      <c r="A1822" s="2"/>
      <c r="B1822" s="2"/>
      <c r="C1822" s="2"/>
      <c r="D1822" s="2"/>
      <c r="E1822" s="2"/>
      <c r="F1822" s="2"/>
      <c r="K1822" s="2"/>
      <c r="N1822" s="7"/>
      <c r="O1822" s="12"/>
      <c r="P1822" s="11"/>
      <c r="Q1822" s="12"/>
      <c r="R1822" s="11"/>
      <c r="S1822" s="11"/>
      <c r="T1822" s="11"/>
    </row>
    <row r="1823">
      <c r="A1823" s="2"/>
      <c r="B1823" s="2"/>
      <c r="C1823" s="2"/>
      <c r="D1823" s="2"/>
      <c r="E1823" s="2"/>
      <c r="F1823" s="2"/>
      <c r="K1823" s="2"/>
      <c r="N1823" s="7"/>
      <c r="O1823" s="12"/>
      <c r="P1823" s="11"/>
      <c r="Q1823" s="12"/>
      <c r="R1823" s="11"/>
      <c r="S1823" s="11"/>
      <c r="T1823" s="11"/>
    </row>
    <row r="1824">
      <c r="A1824" s="2"/>
      <c r="B1824" s="2"/>
      <c r="C1824" s="2"/>
      <c r="D1824" s="2"/>
      <c r="E1824" s="2"/>
      <c r="F1824" s="2"/>
      <c r="K1824" s="2"/>
      <c r="N1824" s="7"/>
      <c r="O1824" s="12"/>
      <c r="P1824" s="11"/>
      <c r="Q1824" s="12"/>
      <c r="R1824" s="11"/>
      <c r="S1824" s="11"/>
      <c r="T1824" s="11"/>
    </row>
    <row r="1825">
      <c r="A1825" s="2"/>
      <c r="B1825" s="2"/>
      <c r="C1825" s="2"/>
      <c r="D1825" s="2"/>
      <c r="E1825" s="2"/>
      <c r="F1825" s="2"/>
      <c r="K1825" s="2"/>
      <c r="N1825" s="7"/>
      <c r="O1825" s="12"/>
      <c r="P1825" s="11"/>
      <c r="Q1825" s="12"/>
      <c r="R1825" s="11"/>
      <c r="S1825" s="11"/>
      <c r="T1825" s="11"/>
    </row>
    <row r="1826">
      <c r="A1826" s="2"/>
      <c r="B1826" s="2"/>
      <c r="C1826" s="2"/>
      <c r="D1826" s="2"/>
      <c r="E1826" s="2"/>
      <c r="F1826" s="2"/>
      <c r="K1826" s="2"/>
      <c r="N1826" s="7"/>
      <c r="O1826" s="12"/>
      <c r="P1826" s="11"/>
      <c r="Q1826" s="12"/>
      <c r="R1826" s="11"/>
      <c r="S1826" s="11"/>
      <c r="T1826" s="11"/>
    </row>
    <row r="1827">
      <c r="A1827" s="2"/>
      <c r="B1827" s="2"/>
      <c r="C1827" s="2"/>
      <c r="D1827" s="2"/>
      <c r="E1827" s="2"/>
      <c r="F1827" s="2"/>
      <c r="K1827" s="2"/>
      <c r="N1827" s="7"/>
      <c r="O1827" s="12"/>
      <c r="P1827" s="11"/>
      <c r="Q1827" s="12"/>
      <c r="R1827" s="11"/>
      <c r="S1827" s="11"/>
      <c r="T1827" s="11"/>
    </row>
    <row r="1828">
      <c r="A1828" s="2"/>
      <c r="B1828" s="2"/>
      <c r="C1828" s="2"/>
      <c r="D1828" s="2"/>
      <c r="E1828" s="2"/>
      <c r="F1828" s="2"/>
      <c r="K1828" s="2"/>
      <c r="N1828" s="7"/>
      <c r="O1828" s="12"/>
      <c r="P1828" s="11"/>
      <c r="Q1828" s="12"/>
      <c r="R1828" s="11"/>
      <c r="S1828" s="11"/>
      <c r="T1828" s="11"/>
    </row>
    <row r="1829">
      <c r="A1829" s="2"/>
      <c r="B1829" s="2"/>
      <c r="C1829" s="2"/>
      <c r="D1829" s="2"/>
      <c r="E1829" s="2"/>
      <c r="F1829" s="2"/>
      <c r="K1829" s="2"/>
      <c r="N1829" s="7"/>
      <c r="O1829" s="12"/>
      <c r="P1829" s="11"/>
      <c r="Q1829" s="12"/>
      <c r="R1829" s="11"/>
      <c r="S1829" s="11"/>
      <c r="T1829" s="11"/>
    </row>
    <row r="1830">
      <c r="A1830" s="2"/>
      <c r="B1830" s="2"/>
      <c r="C1830" s="2"/>
      <c r="D1830" s="2"/>
      <c r="E1830" s="2"/>
      <c r="F1830" s="2"/>
      <c r="K1830" s="2"/>
      <c r="N1830" s="7"/>
      <c r="O1830" s="12"/>
      <c r="P1830" s="11"/>
      <c r="Q1830" s="12"/>
      <c r="R1830" s="11"/>
      <c r="S1830" s="11"/>
      <c r="T1830" s="11"/>
    </row>
    <row r="1831">
      <c r="A1831" s="2"/>
      <c r="B1831" s="2"/>
      <c r="C1831" s="2"/>
      <c r="D1831" s="2"/>
      <c r="E1831" s="2"/>
      <c r="F1831" s="2"/>
      <c r="K1831" s="2"/>
      <c r="N1831" s="7"/>
      <c r="O1831" s="12"/>
      <c r="P1831" s="11"/>
      <c r="Q1831" s="12"/>
      <c r="R1831" s="11"/>
      <c r="S1831" s="11"/>
      <c r="T1831" s="11"/>
    </row>
    <row r="1832">
      <c r="A1832" s="2"/>
      <c r="B1832" s="2"/>
      <c r="C1832" s="2"/>
      <c r="D1832" s="2"/>
      <c r="E1832" s="2"/>
      <c r="F1832" s="2"/>
      <c r="K1832" s="2"/>
      <c r="N1832" s="7"/>
      <c r="O1832" s="12"/>
      <c r="P1832" s="11"/>
      <c r="Q1832" s="12"/>
      <c r="R1832" s="11"/>
      <c r="S1832" s="11"/>
      <c r="T1832" s="11"/>
    </row>
    <row r="1833">
      <c r="A1833" s="2"/>
      <c r="B1833" s="2"/>
      <c r="C1833" s="2"/>
      <c r="D1833" s="2"/>
      <c r="E1833" s="2"/>
      <c r="F1833" s="2"/>
      <c r="K1833" s="2"/>
      <c r="N1833" s="7"/>
      <c r="O1833" s="12"/>
      <c r="P1833" s="11"/>
      <c r="Q1833" s="12"/>
      <c r="R1833" s="11"/>
      <c r="S1833" s="11"/>
      <c r="T1833" s="11"/>
    </row>
    <row r="1834">
      <c r="A1834" s="2"/>
      <c r="B1834" s="2"/>
      <c r="C1834" s="2"/>
      <c r="D1834" s="2"/>
      <c r="E1834" s="2"/>
      <c r="F1834" s="2"/>
      <c r="K1834" s="2"/>
      <c r="N1834" s="7"/>
      <c r="O1834" s="12"/>
      <c r="P1834" s="11"/>
      <c r="Q1834" s="12"/>
      <c r="R1834" s="11"/>
      <c r="S1834" s="11"/>
      <c r="T1834" s="11"/>
    </row>
    <row r="1835">
      <c r="A1835" s="2"/>
      <c r="B1835" s="2"/>
      <c r="C1835" s="2"/>
      <c r="D1835" s="2"/>
      <c r="E1835" s="2"/>
      <c r="F1835" s="2"/>
      <c r="K1835" s="2"/>
      <c r="N1835" s="7"/>
      <c r="O1835" s="12"/>
      <c r="P1835" s="11"/>
      <c r="Q1835" s="12"/>
      <c r="R1835" s="11"/>
      <c r="S1835" s="11"/>
      <c r="T1835" s="11"/>
    </row>
    <row r="1836">
      <c r="A1836" s="2"/>
      <c r="B1836" s="2"/>
      <c r="C1836" s="2"/>
      <c r="D1836" s="2"/>
      <c r="E1836" s="2"/>
      <c r="F1836" s="2"/>
      <c r="K1836" s="2"/>
      <c r="N1836" s="7"/>
      <c r="O1836" s="12"/>
      <c r="P1836" s="11"/>
      <c r="Q1836" s="12"/>
      <c r="R1836" s="11"/>
      <c r="S1836" s="11"/>
      <c r="T1836" s="11"/>
    </row>
    <row r="1837">
      <c r="A1837" s="2"/>
      <c r="B1837" s="2"/>
      <c r="C1837" s="2"/>
      <c r="D1837" s="2"/>
      <c r="E1837" s="2"/>
      <c r="F1837" s="2"/>
      <c r="K1837" s="2"/>
      <c r="N1837" s="7"/>
      <c r="O1837" s="12"/>
      <c r="P1837" s="11"/>
      <c r="Q1837" s="12"/>
      <c r="R1837" s="11"/>
      <c r="S1837" s="11"/>
      <c r="T1837" s="11"/>
    </row>
    <row r="1838">
      <c r="A1838" s="2"/>
      <c r="B1838" s="2"/>
      <c r="C1838" s="2"/>
      <c r="D1838" s="2"/>
      <c r="E1838" s="2"/>
      <c r="F1838" s="2"/>
      <c r="K1838" s="2"/>
      <c r="N1838" s="7"/>
      <c r="O1838" s="12"/>
      <c r="P1838" s="11"/>
      <c r="Q1838" s="12"/>
      <c r="R1838" s="11"/>
      <c r="S1838" s="11"/>
      <c r="T1838" s="11"/>
    </row>
    <row r="1839">
      <c r="A1839" s="2"/>
      <c r="B1839" s="2"/>
      <c r="C1839" s="2"/>
      <c r="D1839" s="2"/>
      <c r="E1839" s="2"/>
      <c r="F1839" s="2"/>
      <c r="K1839" s="2"/>
      <c r="N1839" s="7"/>
      <c r="O1839" s="12"/>
      <c r="P1839" s="11"/>
      <c r="Q1839" s="12"/>
      <c r="R1839" s="11"/>
      <c r="S1839" s="11"/>
      <c r="T1839" s="11"/>
    </row>
    <row r="1840">
      <c r="A1840" s="2"/>
      <c r="B1840" s="2"/>
      <c r="C1840" s="2"/>
      <c r="D1840" s="2"/>
      <c r="E1840" s="2"/>
      <c r="F1840" s="2"/>
      <c r="K1840" s="2"/>
      <c r="N1840" s="7"/>
      <c r="O1840" s="12"/>
      <c r="P1840" s="11"/>
      <c r="Q1840" s="12"/>
      <c r="R1840" s="11"/>
      <c r="S1840" s="11"/>
      <c r="T1840" s="11"/>
    </row>
    <row r="1841">
      <c r="A1841" s="2"/>
      <c r="B1841" s="2"/>
      <c r="C1841" s="2"/>
      <c r="D1841" s="2"/>
      <c r="E1841" s="2"/>
      <c r="F1841" s="2"/>
      <c r="K1841" s="2"/>
      <c r="N1841" s="7"/>
      <c r="O1841" s="12"/>
      <c r="P1841" s="11"/>
      <c r="Q1841" s="12"/>
      <c r="R1841" s="11"/>
      <c r="S1841" s="11"/>
      <c r="T1841" s="11"/>
    </row>
    <row r="1842">
      <c r="A1842" s="2"/>
      <c r="B1842" s="2"/>
      <c r="C1842" s="2"/>
      <c r="D1842" s="2"/>
      <c r="E1842" s="2"/>
      <c r="F1842" s="2"/>
      <c r="K1842" s="2"/>
      <c r="N1842" s="7"/>
      <c r="O1842" s="12"/>
      <c r="P1842" s="11"/>
      <c r="Q1842" s="12"/>
      <c r="R1842" s="11"/>
      <c r="S1842" s="11"/>
      <c r="T1842" s="11"/>
    </row>
    <row r="1843">
      <c r="A1843" s="2"/>
      <c r="B1843" s="2"/>
      <c r="C1843" s="2"/>
      <c r="D1843" s="2"/>
      <c r="E1843" s="2"/>
      <c r="F1843" s="2"/>
      <c r="K1843" s="2"/>
      <c r="N1843" s="7"/>
      <c r="O1843" s="12"/>
      <c r="P1843" s="11"/>
      <c r="Q1843" s="12"/>
      <c r="R1843" s="11"/>
      <c r="S1843" s="11"/>
      <c r="T1843" s="11"/>
    </row>
    <row r="1844">
      <c r="A1844" s="2"/>
      <c r="B1844" s="2"/>
      <c r="C1844" s="2"/>
      <c r="D1844" s="2"/>
      <c r="E1844" s="2"/>
      <c r="F1844" s="2"/>
      <c r="K1844" s="2"/>
      <c r="N1844" s="7"/>
      <c r="O1844" s="12"/>
      <c r="P1844" s="11"/>
      <c r="Q1844" s="12"/>
      <c r="R1844" s="11"/>
      <c r="S1844" s="11"/>
      <c r="T1844" s="11"/>
    </row>
    <row r="1845">
      <c r="A1845" s="2"/>
      <c r="B1845" s="2"/>
      <c r="C1845" s="2"/>
      <c r="D1845" s="2"/>
      <c r="E1845" s="2"/>
      <c r="F1845" s="2"/>
      <c r="K1845" s="2"/>
      <c r="N1845" s="7"/>
      <c r="O1845" s="12"/>
      <c r="P1845" s="11"/>
      <c r="Q1845" s="12"/>
      <c r="R1845" s="11"/>
      <c r="S1845" s="11"/>
      <c r="T1845" s="11"/>
    </row>
    <row r="1846">
      <c r="A1846" s="2"/>
      <c r="B1846" s="2"/>
      <c r="C1846" s="2"/>
      <c r="D1846" s="2"/>
      <c r="E1846" s="2"/>
      <c r="F1846" s="2"/>
      <c r="K1846" s="2"/>
      <c r="N1846" s="7"/>
      <c r="O1846" s="12"/>
      <c r="P1846" s="11"/>
      <c r="Q1846" s="12"/>
      <c r="R1846" s="11"/>
      <c r="S1846" s="11"/>
      <c r="T1846" s="11"/>
    </row>
    <row r="1847">
      <c r="A1847" s="2"/>
      <c r="B1847" s="2"/>
      <c r="C1847" s="2"/>
      <c r="D1847" s="2"/>
      <c r="E1847" s="2"/>
      <c r="F1847" s="2"/>
      <c r="K1847" s="2"/>
      <c r="N1847" s="7"/>
      <c r="O1847" s="12"/>
      <c r="P1847" s="11"/>
      <c r="Q1847" s="12"/>
      <c r="R1847" s="11"/>
      <c r="S1847" s="11"/>
      <c r="T1847" s="11"/>
    </row>
    <row r="1848">
      <c r="A1848" s="2"/>
      <c r="B1848" s="2"/>
      <c r="C1848" s="2"/>
      <c r="D1848" s="2"/>
      <c r="E1848" s="2"/>
      <c r="F1848" s="2"/>
      <c r="K1848" s="2"/>
      <c r="N1848" s="7"/>
      <c r="O1848" s="12"/>
      <c r="P1848" s="11"/>
      <c r="Q1848" s="12"/>
      <c r="R1848" s="11"/>
      <c r="S1848" s="11"/>
      <c r="T1848" s="11"/>
    </row>
    <row r="1849">
      <c r="A1849" s="2"/>
      <c r="B1849" s="2"/>
      <c r="C1849" s="2"/>
      <c r="D1849" s="2"/>
      <c r="E1849" s="2"/>
      <c r="F1849" s="2"/>
      <c r="K1849" s="2"/>
      <c r="N1849" s="7"/>
      <c r="O1849" s="12"/>
      <c r="P1849" s="11"/>
      <c r="Q1849" s="12"/>
      <c r="R1849" s="11"/>
      <c r="S1849" s="11"/>
      <c r="T1849" s="11"/>
    </row>
    <row r="1850">
      <c r="A1850" s="2"/>
      <c r="B1850" s="2"/>
      <c r="C1850" s="2"/>
      <c r="D1850" s="2"/>
      <c r="E1850" s="2"/>
      <c r="F1850" s="2"/>
      <c r="K1850" s="2"/>
      <c r="N1850" s="7"/>
      <c r="O1850" s="12"/>
      <c r="P1850" s="11"/>
      <c r="Q1850" s="12"/>
      <c r="R1850" s="11"/>
      <c r="S1850" s="11"/>
      <c r="T1850" s="11"/>
    </row>
    <row r="1851">
      <c r="A1851" s="2"/>
      <c r="B1851" s="2"/>
      <c r="C1851" s="2"/>
      <c r="D1851" s="2"/>
      <c r="E1851" s="2"/>
      <c r="F1851" s="2"/>
      <c r="K1851" s="2"/>
      <c r="N1851" s="7"/>
      <c r="O1851" s="12"/>
      <c r="P1851" s="11"/>
      <c r="Q1851" s="12"/>
      <c r="R1851" s="11"/>
      <c r="S1851" s="11"/>
      <c r="T1851" s="11"/>
    </row>
    <row r="1852">
      <c r="A1852" s="2"/>
      <c r="B1852" s="2"/>
      <c r="C1852" s="2"/>
      <c r="D1852" s="2"/>
      <c r="E1852" s="2"/>
      <c r="F1852" s="2"/>
      <c r="K1852" s="2"/>
      <c r="N1852" s="7"/>
      <c r="O1852" s="12"/>
      <c r="P1852" s="11"/>
      <c r="Q1852" s="12"/>
      <c r="R1852" s="11"/>
      <c r="S1852" s="11"/>
      <c r="T1852" s="11"/>
    </row>
    <row r="1853">
      <c r="A1853" s="2"/>
      <c r="B1853" s="2"/>
      <c r="C1853" s="2"/>
      <c r="D1853" s="2"/>
      <c r="E1853" s="2"/>
      <c r="F1853" s="2"/>
      <c r="K1853" s="2"/>
      <c r="N1853" s="7"/>
      <c r="O1853" s="12"/>
      <c r="P1853" s="11"/>
      <c r="Q1853" s="12"/>
      <c r="R1853" s="11"/>
      <c r="S1853" s="11"/>
      <c r="T1853" s="11"/>
    </row>
    <row r="1854">
      <c r="A1854" s="2"/>
      <c r="B1854" s="2"/>
      <c r="C1854" s="2"/>
      <c r="D1854" s="2"/>
      <c r="E1854" s="2"/>
      <c r="F1854" s="2"/>
      <c r="K1854" s="2"/>
      <c r="N1854" s="7"/>
      <c r="O1854" s="12"/>
      <c r="P1854" s="11"/>
      <c r="Q1854" s="12"/>
      <c r="R1854" s="11"/>
      <c r="S1854" s="11"/>
      <c r="T1854" s="11"/>
    </row>
    <row r="1855">
      <c r="A1855" s="2"/>
      <c r="B1855" s="2"/>
      <c r="C1855" s="2"/>
      <c r="D1855" s="2"/>
      <c r="E1855" s="2"/>
      <c r="F1855" s="2"/>
      <c r="K1855" s="2"/>
      <c r="N1855" s="7"/>
      <c r="O1855" s="12"/>
      <c r="P1855" s="11"/>
      <c r="Q1855" s="12"/>
      <c r="R1855" s="11"/>
      <c r="S1855" s="11"/>
      <c r="T1855" s="11"/>
    </row>
    <row r="1856">
      <c r="A1856" s="2"/>
      <c r="B1856" s="2"/>
      <c r="C1856" s="2"/>
      <c r="D1856" s="2"/>
      <c r="E1856" s="2"/>
      <c r="F1856" s="2"/>
      <c r="K1856" s="2"/>
      <c r="N1856" s="7"/>
      <c r="O1856" s="12"/>
      <c r="P1856" s="11"/>
      <c r="Q1856" s="12"/>
      <c r="R1856" s="11"/>
      <c r="S1856" s="11"/>
      <c r="T1856" s="11"/>
    </row>
    <row r="1857">
      <c r="A1857" s="2"/>
      <c r="B1857" s="2"/>
      <c r="C1857" s="2"/>
      <c r="D1857" s="2"/>
      <c r="E1857" s="2"/>
      <c r="F1857" s="2"/>
      <c r="K1857" s="2"/>
      <c r="N1857" s="7"/>
      <c r="O1857" s="12"/>
      <c r="P1857" s="11"/>
      <c r="Q1857" s="12"/>
      <c r="R1857" s="11"/>
      <c r="S1857" s="11"/>
      <c r="T1857" s="11"/>
    </row>
    <row r="1858">
      <c r="A1858" s="2"/>
      <c r="B1858" s="2"/>
      <c r="C1858" s="2"/>
      <c r="D1858" s="2"/>
      <c r="E1858" s="2"/>
      <c r="F1858" s="2"/>
      <c r="K1858" s="2"/>
      <c r="N1858" s="7"/>
      <c r="O1858" s="12"/>
      <c r="P1858" s="11"/>
      <c r="Q1858" s="12"/>
      <c r="R1858" s="11"/>
      <c r="S1858" s="11"/>
      <c r="T1858" s="11"/>
    </row>
    <row r="1859">
      <c r="A1859" s="2"/>
      <c r="B1859" s="2"/>
      <c r="C1859" s="2"/>
      <c r="D1859" s="2"/>
      <c r="E1859" s="2"/>
      <c r="F1859" s="2"/>
      <c r="K1859" s="2"/>
      <c r="N1859" s="7"/>
      <c r="O1859" s="12"/>
      <c r="P1859" s="11"/>
      <c r="Q1859" s="12"/>
      <c r="R1859" s="11"/>
      <c r="S1859" s="11"/>
      <c r="T1859" s="11"/>
    </row>
    <row r="1860">
      <c r="A1860" s="2"/>
      <c r="B1860" s="2"/>
      <c r="C1860" s="2"/>
      <c r="D1860" s="2"/>
      <c r="E1860" s="2"/>
      <c r="F1860" s="2"/>
      <c r="K1860" s="2"/>
      <c r="N1860" s="7"/>
      <c r="O1860" s="12"/>
      <c r="P1860" s="11"/>
      <c r="Q1860" s="12"/>
      <c r="R1860" s="11"/>
      <c r="S1860" s="11"/>
      <c r="T1860" s="11"/>
    </row>
    <row r="1861">
      <c r="A1861" s="2"/>
      <c r="B1861" s="2"/>
      <c r="C1861" s="2"/>
      <c r="D1861" s="2"/>
      <c r="E1861" s="2"/>
      <c r="F1861" s="2"/>
      <c r="K1861" s="2"/>
      <c r="N1861" s="7"/>
      <c r="O1861" s="12"/>
      <c r="P1861" s="11"/>
      <c r="Q1861" s="12"/>
      <c r="R1861" s="11"/>
      <c r="S1861" s="11"/>
      <c r="T1861" s="11"/>
    </row>
    <row r="1862">
      <c r="A1862" s="2"/>
      <c r="B1862" s="2"/>
      <c r="C1862" s="2"/>
      <c r="D1862" s="2"/>
      <c r="E1862" s="2"/>
      <c r="F1862" s="2"/>
      <c r="K1862" s="2"/>
      <c r="N1862" s="7"/>
      <c r="O1862" s="12"/>
      <c r="P1862" s="11"/>
      <c r="Q1862" s="12"/>
      <c r="R1862" s="11"/>
      <c r="S1862" s="11"/>
      <c r="T1862" s="11"/>
    </row>
    <row r="1863">
      <c r="A1863" s="2"/>
      <c r="B1863" s="2"/>
      <c r="C1863" s="2"/>
      <c r="D1863" s="2"/>
      <c r="E1863" s="2"/>
      <c r="F1863" s="2"/>
      <c r="K1863" s="2"/>
      <c r="N1863" s="7"/>
      <c r="O1863" s="12"/>
      <c r="P1863" s="11"/>
      <c r="Q1863" s="12"/>
      <c r="R1863" s="11"/>
      <c r="S1863" s="11"/>
      <c r="T1863" s="11"/>
    </row>
    <row r="1864">
      <c r="A1864" s="2"/>
      <c r="B1864" s="2"/>
      <c r="C1864" s="2"/>
      <c r="D1864" s="2"/>
      <c r="E1864" s="2"/>
      <c r="F1864" s="2"/>
      <c r="K1864" s="2"/>
      <c r="N1864" s="7"/>
      <c r="O1864" s="12"/>
      <c r="P1864" s="11"/>
      <c r="Q1864" s="12"/>
      <c r="R1864" s="11"/>
      <c r="S1864" s="11"/>
      <c r="T1864" s="11"/>
    </row>
    <row r="1865">
      <c r="A1865" s="2"/>
      <c r="B1865" s="2"/>
      <c r="C1865" s="2"/>
      <c r="D1865" s="2"/>
      <c r="E1865" s="2"/>
      <c r="F1865" s="2"/>
      <c r="K1865" s="2"/>
      <c r="N1865" s="7"/>
      <c r="O1865" s="12"/>
      <c r="P1865" s="11"/>
      <c r="Q1865" s="12"/>
      <c r="R1865" s="11"/>
      <c r="S1865" s="11"/>
      <c r="T1865" s="11"/>
    </row>
    <row r="1866">
      <c r="A1866" s="2"/>
      <c r="B1866" s="2"/>
      <c r="C1866" s="2"/>
      <c r="D1866" s="2"/>
      <c r="E1866" s="2"/>
      <c r="F1866" s="2"/>
      <c r="K1866" s="2"/>
      <c r="N1866" s="7"/>
      <c r="O1866" s="12"/>
      <c r="P1866" s="11"/>
      <c r="Q1866" s="12"/>
      <c r="R1866" s="11"/>
      <c r="S1866" s="11"/>
      <c r="T1866" s="11"/>
    </row>
    <row r="1867">
      <c r="A1867" s="2"/>
      <c r="B1867" s="2"/>
      <c r="C1867" s="2"/>
      <c r="D1867" s="2"/>
      <c r="E1867" s="2"/>
      <c r="F1867" s="2"/>
      <c r="K1867" s="2"/>
      <c r="N1867" s="7"/>
      <c r="O1867" s="12"/>
      <c r="P1867" s="11"/>
      <c r="Q1867" s="12"/>
      <c r="R1867" s="11"/>
      <c r="S1867" s="11"/>
      <c r="T1867" s="11"/>
    </row>
    <row r="1868">
      <c r="A1868" s="2"/>
      <c r="B1868" s="2"/>
      <c r="C1868" s="2"/>
      <c r="D1868" s="2"/>
      <c r="E1868" s="2"/>
      <c r="F1868" s="2"/>
      <c r="K1868" s="2"/>
      <c r="N1868" s="7"/>
      <c r="O1868" s="12"/>
      <c r="P1868" s="11"/>
      <c r="Q1868" s="12"/>
      <c r="R1868" s="11"/>
      <c r="S1868" s="11"/>
      <c r="T1868" s="11"/>
    </row>
    <row r="1869">
      <c r="A1869" s="2"/>
      <c r="B1869" s="2"/>
      <c r="C1869" s="2"/>
      <c r="D1869" s="2"/>
      <c r="E1869" s="2"/>
      <c r="F1869" s="2"/>
      <c r="K1869" s="2"/>
      <c r="N1869" s="7"/>
      <c r="O1869" s="12"/>
      <c r="P1869" s="11"/>
      <c r="Q1869" s="12"/>
      <c r="R1869" s="11"/>
      <c r="S1869" s="11"/>
      <c r="T1869" s="11"/>
    </row>
    <row r="1870">
      <c r="A1870" s="2"/>
      <c r="B1870" s="2"/>
      <c r="C1870" s="2"/>
      <c r="D1870" s="2"/>
      <c r="E1870" s="2"/>
      <c r="F1870" s="2"/>
      <c r="K1870" s="2"/>
      <c r="N1870" s="7"/>
      <c r="O1870" s="12"/>
      <c r="P1870" s="11"/>
      <c r="Q1870" s="12"/>
      <c r="R1870" s="11"/>
      <c r="S1870" s="11"/>
      <c r="T1870" s="11"/>
    </row>
    <row r="1871">
      <c r="A1871" s="2"/>
      <c r="B1871" s="2"/>
      <c r="C1871" s="2"/>
      <c r="D1871" s="2"/>
      <c r="E1871" s="2"/>
      <c r="F1871" s="2"/>
      <c r="K1871" s="2"/>
      <c r="N1871" s="7"/>
      <c r="O1871" s="12"/>
      <c r="P1871" s="11"/>
      <c r="Q1871" s="12"/>
      <c r="R1871" s="11"/>
      <c r="S1871" s="11"/>
      <c r="T1871" s="11"/>
    </row>
    <row r="1872">
      <c r="A1872" s="2"/>
      <c r="B1872" s="2"/>
      <c r="C1872" s="2"/>
      <c r="D1872" s="2"/>
      <c r="E1872" s="2"/>
      <c r="F1872" s="2"/>
      <c r="K1872" s="2"/>
      <c r="N1872" s="7"/>
      <c r="O1872" s="12"/>
      <c r="P1872" s="11"/>
      <c r="Q1872" s="12"/>
      <c r="R1872" s="11"/>
      <c r="S1872" s="11"/>
      <c r="T1872" s="11"/>
    </row>
    <row r="1873">
      <c r="A1873" s="2"/>
      <c r="B1873" s="2"/>
      <c r="C1873" s="2"/>
      <c r="D1873" s="2"/>
      <c r="E1873" s="2"/>
      <c r="F1873" s="2"/>
      <c r="K1873" s="2"/>
      <c r="N1873" s="7"/>
      <c r="O1873" s="12"/>
      <c r="P1873" s="11"/>
      <c r="Q1873" s="12"/>
      <c r="R1873" s="11"/>
      <c r="S1873" s="11"/>
      <c r="T1873" s="11"/>
    </row>
    <row r="1874">
      <c r="A1874" s="2"/>
      <c r="B1874" s="2"/>
      <c r="C1874" s="2"/>
      <c r="D1874" s="2"/>
      <c r="E1874" s="2"/>
      <c r="F1874" s="2"/>
      <c r="K1874" s="2"/>
      <c r="N1874" s="7"/>
      <c r="O1874" s="12"/>
      <c r="P1874" s="11"/>
      <c r="Q1874" s="12"/>
      <c r="R1874" s="11"/>
      <c r="S1874" s="11"/>
      <c r="T1874" s="11"/>
    </row>
    <row r="1875">
      <c r="A1875" s="2"/>
      <c r="B1875" s="2"/>
      <c r="C1875" s="2"/>
      <c r="D1875" s="2"/>
      <c r="E1875" s="2"/>
      <c r="F1875" s="2"/>
      <c r="K1875" s="2"/>
      <c r="N1875" s="7"/>
      <c r="O1875" s="12"/>
      <c r="P1875" s="11"/>
      <c r="Q1875" s="12"/>
      <c r="R1875" s="11"/>
      <c r="S1875" s="11"/>
      <c r="T1875" s="11"/>
    </row>
    <row r="1876">
      <c r="A1876" s="2"/>
      <c r="B1876" s="2"/>
      <c r="C1876" s="2"/>
      <c r="D1876" s="2"/>
      <c r="E1876" s="2"/>
      <c r="F1876" s="2"/>
      <c r="K1876" s="2"/>
      <c r="N1876" s="7"/>
      <c r="O1876" s="12"/>
      <c r="P1876" s="11"/>
      <c r="Q1876" s="12"/>
      <c r="R1876" s="11"/>
      <c r="S1876" s="11"/>
      <c r="T1876" s="11"/>
    </row>
    <row r="1877">
      <c r="A1877" s="2"/>
      <c r="B1877" s="2"/>
      <c r="C1877" s="2"/>
      <c r="D1877" s="2"/>
      <c r="E1877" s="2"/>
      <c r="F1877" s="2"/>
      <c r="K1877" s="2"/>
      <c r="N1877" s="7"/>
      <c r="O1877" s="12"/>
      <c r="P1877" s="11"/>
      <c r="Q1877" s="12"/>
      <c r="R1877" s="11"/>
      <c r="S1877" s="11"/>
      <c r="T1877" s="11"/>
    </row>
    <row r="1878">
      <c r="A1878" s="2"/>
      <c r="B1878" s="2"/>
      <c r="C1878" s="2"/>
      <c r="D1878" s="2"/>
      <c r="E1878" s="2"/>
      <c r="F1878" s="2"/>
      <c r="K1878" s="2"/>
      <c r="N1878" s="7"/>
      <c r="O1878" s="12"/>
      <c r="P1878" s="11"/>
      <c r="Q1878" s="12"/>
      <c r="R1878" s="11"/>
      <c r="S1878" s="11"/>
      <c r="T1878" s="11"/>
    </row>
    <row r="1879">
      <c r="A1879" s="2"/>
      <c r="B1879" s="2"/>
      <c r="C1879" s="2"/>
      <c r="D1879" s="2"/>
      <c r="E1879" s="2"/>
      <c r="F1879" s="2"/>
      <c r="K1879" s="2"/>
      <c r="N1879" s="7"/>
      <c r="O1879" s="12"/>
      <c r="P1879" s="11"/>
      <c r="Q1879" s="12"/>
      <c r="R1879" s="11"/>
      <c r="S1879" s="11"/>
      <c r="T1879" s="11"/>
    </row>
    <row r="1880">
      <c r="A1880" s="2"/>
      <c r="B1880" s="2"/>
      <c r="C1880" s="2"/>
      <c r="D1880" s="2"/>
      <c r="E1880" s="2"/>
      <c r="F1880" s="2"/>
      <c r="K1880" s="2"/>
      <c r="N1880" s="7"/>
      <c r="O1880" s="12"/>
      <c r="P1880" s="11"/>
      <c r="Q1880" s="12"/>
      <c r="R1880" s="11"/>
      <c r="S1880" s="11"/>
      <c r="T1880" s="11"/>
    </row>
    <row r="1881">
      <c r="A1881" s="2"/>
      <c r="B1881" s="2"/>
      <c r="C1881" s="2"/>
      <c r="D1881" s="2"/>
      <c r="E1881" s="2"/>
      <c r="F1881" s="2"/>
      <c r="K1881" s="2"/>
      <c r="N1881" s="7"/>
      <c r="O1881" s="12"/>
      <c r="P1881" s="11"/>
      <c r="Q1881" s="12"/>
      <c r="R1881" s="11"/>
      <c r="S1881" s="11"/>
      <c r="T1881" s="11"/>
    </row>
    <row r="1882">
      <c r="A1882" s="2"/>
      <c r="B1882" s="2"/>
      <c r="C1882" s="2"/>
      <c r="D1882" s="2"/>
      <c r="E1882" s="2"/>
      <c r="F1882" s="2"/>
      <c r="K1882" s="2"/>
      <c r="N1882" s="7"/>
      <c r="O1882" s="12"/>
      <c r="P1882" s="11"/>
      <c r="Q1882" s="12"/>
      <c r="R1882" s="11"/>
      <c r="S1882" s="11"/>
      <c r="T1882" s="11"/>
    </row>
    <row r="1883">
      <c r="A1883" s="2"/>
      <c r="B1883" s="2"/>
      <c r="C1883" s="2"/>
      <c r="D1883" s="2"/>
      <c r="E1883" s="2"/>
      <c r="F1883" s="2"/>
      <c r="K1883" s="2"/>
      <c r="N1883" s="7"/>
      <c r="O1883" s="12"/>
      <c r="P1883" s="11"/>
      <c r="Q1883" s="12"/>
      <c r="R1883" s="11"/>
      <c r="S1883" s="11"/>
      <c r="T1883" s="11"/>
    </row>
    <row r="1884">
      <c r="A1884" s="2"/>
      <c r="B1884" s="2"/>
      <c r="C1884" s="2"/>
      <c r="D1884" s="2"/>
      <c r="E1884" s="2"/>
      <c r="F1884" s="2"/>
      <c r="K1884" s="2"/>
      <c r="N1884" s="7"/>
      <c r="O1884" s="12"/>
      <c r="P1884" s="11"/>
      <c r="Q1884" s="12"/>
      <c r="R1884" s="11"/>
      <c r="S1884" s="11"/>
      <c r="T1884" s="11"/>
    </row>
    <row r="1885">
      <c r="A1885" s="2"/>
      <c r="B1885" s="2"/>
      <c r="C1885" s="2"/>
      <c r="D1885" s="2"/>
      <c r="E1885" s="2"/>
      <c r="F1885" s="2"/>
      <c r="K1885" s="2"/>
      <c r="N1885" s="7"/>
      <c r="O1885" s="12"/>
      <c r="P1885" s="11"/>
      <c r="Q1885" s="12"/>
      <c r="R1885" s="11"/>
      <c r="S1885" s="11"/>
      <c r="T1885" s="11"/>
    </row>
    <row r="1886">
      <c r="A1886" s="2"/>
      <c r="B1886" s="2"/>
      <c r="C1886" s="2"/>
      <c r="D1886" s="2"/>
      <c r="E1886" s="2"/>
      <c r="F1886" s="2"/>
      <c r="K1886" s="2"/>
      <c r="N1886" s="7"/>
      <c r="O1886" s="12"/>
      <c r="P1886" s="11"/>
      <c r="Q1886" s="12"/>
      <c r="R1886" s="11"/>
      <c r="S1886" s="11"/>
      <c r="T1886" s="11"/>
    </row>
    <row r="1887">
      <c r="A1887" s="2"/>
      <c r="B1887" s="2"/>
      <c r="C1887" s="2"/>
      <c r="D1887" s="2"/>
      <c r="E1887" s="2"/>
      <c r="F1887" s="2"/>
      <c r="K1887" s="2"/>
      <c r="N1887" s="7"/>
      <c r="O1887" s="12"/>
      <c r="P1887" s="11"/>
      <c r="Q1887" s="12"/>
      <c r="R1887" s="11"/>
      <c r="S1887" s="11"/>
      <c r="T1887" s="11"/>
    </row>
    <row r="1888">
      <c r="A1888" s="2"/>
      <c r="B1888" s="2"/>
      <c r="C1888" s="2"/>
      <c r="D1888" s="2"/>
      <c r="E1888" s="2"/>
      <c r="F1888" s="2"/>
      <c r="K1888" s="2"/>
      <c r="N1888" s="7"/>
      <c r="O1888" s="12"/>
      <c r="P1888" s="11"/>
      <c r="Q1888" s="12"/>
      <c r="R1888" s="11"/>
      <c r="S1888" s="11"/>
      <c r="T1888" s="11"/>
    </row>
    <row r="1889">
      <c r="A1889" s="2"/>
      <c r="B1889" s="2"/>
      <c r="C1889" s="2"/>
      <c r="D1889" s="2"/>
      <c r="E1889" s="2"/>
      <c r="F1889" s="2"/>
      <c r="K1889" s="2"/>
      <c r="N1889" s="7"/>
      <c r="O1889" s="12"/>
      <c r="P1889" s="11"/>
      <c r="Q1889" s="12"/>
      <c r="R1889" s="11"/>
      <c r="S1889" s="11"/>
      <c r="T1889" s="11"/>
    </row>
    <row r="1890">
      <c r="A1890" s="2"/>
      <c r="B1890" s="2"/>
      <c r="C1890" s="2"/>
      <c r="D1890" s="2"/>
      <c r="E1890" s="2"/>
      <c r="F1890" s="2"/>
      <c r="K1890" s="2"/>
      <c r="N1890" s="7"/>
      <c r="O1890" s="12"/>
      <c r="P1890" s="11"/>
      <c r="Q1890" s="12"/>
      <c r="R1890" s="11"/>
      <c r="S1890" s="11"/>
      <c r="T1890" s="11"/>
    </row>
    <row r="1891">
      <c r="A1891" s="2"/>
      <c r="B1891" s="2"/>
      <c r="C1891" s="2"/>
      <c r="D1891" s="2"/>
      <c r="E1891" s="2"/>
      <c r="F1891" s="2"/>
      <c r="K1891" s="2"/>
      <c r="N1891" s="7"/>
      <c r="O1891" s="12"/>
      <c r="P1891" s="11"/>
      <c r="Q1891" s="12"/>
      <c r="R1891" s="11"/>
      <c r="S1891" s="11"/>
      <c r="T1891" s="11"/>
    </row>
    <row r="1892">
      <c r="A1892" s="2"/>
      <c r="B1892" s="2"/>
      <c r="C1892" s="2"/>
      <c r="D1892" s="2"/>
      <c r="E1892" s="2"/>
      <c r="F1892" s="2"/>
      <c r="K1892" s="2"/>
      <c r="N1892" s="7"/>
      <c r="O1892" s="12"/>
      <c r="P1892" s="11"/>
      <c r="Q1892" s="12"/>
      <c r="R1892" s="11"/>
      <c r="S1892" s="11"/>
      <c r="T1892" s="11"/>
    </row>
    <row r="1893">
      <c r="A1893" s="2"/>
      <c r="B1893" s="2"/>
      <c r="C1893" s="2"/>
      <c r="D1893" s="2"/>
      <c r="E1893" s="2"/>
      <c r="F1893" s="2"/>
      <c r="K1893" s="2"/>
      <c r="N1893" s="7"/>
      <c r="O1893" s="12"/>
      <c r="P1893" s="11"/>
      <c r="Q1893" s="12"/>
      <c r="R1893" s="11"/>
      <c r="S1893" s="11"/>
      <c r="T1893" s="11"/>
    </row>
    <row r="1894">
      <c r="A1894" s="2"/>
      <c r="B1894" s="2"/>
      <c r="C1894" s="2"/>
      <c r="D1894" s="2"/>
      <c r="E1894" s="2"/>
      <c r="F1894" s="2"/>
      <c r="K1894" s="2"/>
      <c r="N1894" s="7"/>
      <c r="O1894" s="12"/>
      <c r="P1894" s="11"/>
      <c r="Q1894" s="12"/>
      <c r="R1894" s="11"/>
      <c r="S1894" s="11"/>
      <c r="T1894" s="11"/>
    </row>
    <row r="1895">
      <c r="A1895" s="2"/>
      <c r="B1895" s="2"/>
      <c r="C1895" s="2"/>
      <c r="D1895" s="2"/>
      <c r="E1895" s="2"/>
      <c r="F1895" s="2"/>
      <c r="K1895" s="2"/>
      <c r="N1895" s="7"/>
      <c r="O1895" s="12"/>
      <c r="P1895" s="11"/>
      <c r="Q1895" s="12"/>
      <c r="R1895" s="11"/>
      <c r="S1895" s="11"/>
      <c r="T1895" s="11"/>
    </row>
    <row r="1896">
      <c r="A1896" s="2"/>
      <c r="B1896" s="2"/>
      <c r="C1896" s="2"/>
      <c r="D1896" s="2"/>
      <c r="E1896" s="2"/>
      <c r="F1896" s="2"/>
      <c r="K1896" s="2"/>
      <c r="N1896" s="7"/>
      <c r="O1896" s="12"/>
      <c r="P1896" s="11"/>
      <c r="Q1896" s="12"/>
      <c r="R1896" s="11"/>
      <c r="S1896" s="11"/>
      <c r="T1896" s="11"/>
    </row>
    <row r="1897">
      <c r="A1897" s="2"/>
      <c r="B1897" s="2"/>
      <c r="C1897" s="2"/>
      <c r="D1897" s="2"/>
      <c r="E1897" s="2"/>
      <c r="F1897" s="2"/>
      <c r="K1897" s="2"/>
      <c r="N1897" s="7"/>
      <c r="O1897" s="12"/>
      <c r="P1897" s="11"/>
      <c r="Q1897" s="12"/>
      <c r="R1897" s="11"/>
      <c r="S1897" s="11"/>
      <c r="T1897" s="11"/>
    </row>
    <row r="1898">
      <c r="A1898" s="2"/>
      <c r="B1898" s="2"/>
      <c r="C1898" s="2"/>
      <c r="D1898" s="2"/>
      <c r="E1898" s="2"/>
      <c r="F1898" s="2"/>
      <c r="K1898" s="2"/>
      <c r="N1898" s="7"/>
      <c r="O1898" s="12"/>
      <c r="P1898" s="11"/>
      <c r="Q1898" s="12"/>
      <c r="R1898" s="11"/>
      <c r="S1898" s="11"/>
      <c r="T1898" s="11"/>
    </row>
    <row r="1899">
      <c r="A1899" s="2"/>
      <c r="B1899" s="2"/>
      <c r="C1899" s="2"/>
      <c r="D1899" s="2"/>
      <c r="E1899" s="2"/>
      <c r="F1899" s="2"/>
      <c r="K1899" s="2"/>
      <c r="N1899" s="7"/>
      <c r="O1899" s="12"/>
      <c r="P1899" s="11"/>
      <c r="Q1899" s="12"/>
      <c r="R1899" s="11"/>
      <c r="S1899" s="11"/>
      <c r="T1899" s="11"/>
    </row>
    <row r="1900">
      <c r="A1900" s="2"/>
      <c r="B1900" s="2"/>
      <c r="C1900" s="2"/>
      <c r="D1900" s="2"/>
      <c r="E1900" s="2"/>
      <c r="F1900" s="2"/>
      <c r="K1900" s="2"/>
      <c r="N1900" s="7"/>
      <c r="O1900" s="12"/>
      <c r="P1900" s="11"/>
      <c r="Q1900" s="12"/>
      <c r="R1900" s="11"/>
      <c r="S1900" s="11"/>
      <c r="T1900" s="11"/>
    </row>
    <row r="1901">
      <c r="A1901" s="2"/>
      <c r="B1901" s="2"/>
      <c r="C1901" s="2"/>
      <c r="D1901" s="2"/>
      <c r="E1901" s="2"/>
      <c r="F1901" s="2"/>
      <c r="K1901" s="2"/>
      <c r="N1901" s="7"/>
      <c r="O1901" s="12"/>
      <c r="P1901" s="11"/>
      <c r="Q1901" s="12"/>
      <c r="R1901" s="11"/>
      <c r="S1901" s="11"/>
      <c r="T1901" s="11"/>
    </row>
    <row r="1902">
      <c r="A1902" s="2"/>
      <c r="B1902" s="2"/>
      <c r="C1902" s="2"/>
      <c r="D1902" s="2"/>
      <c r="E1902" s="2"/>
      <c r="F1902" s="2"/>
      <c r="K1902" s="2"/>
      <c r="N1902" s="7"/>
      <c r="O1902" s="12"/>
      <c r="P1902" s="11"/>
      <c r="Q1902" s="12"/>
      <c r="R1902" s="11"/>
      <c r="S1902" s="11"/>
      <c r="T1902" s="11"/>
    </row>
    <row r="1903">
      <c r="A1903" s="2"/>
      <c r="B1903" s="2"/>
      <c r="C1903" s="2"/>
      <c r="D1903" s="2"/>
      <c r="E1903" s="2"/>
      <c r="F1903" s="2"/>
      <c r="K1903" s="2"/>
      <c r="N1903" s="7"/>
      <c r="O1903" s="12"/>
      <c r="P1903" s="11"/>
      <c r="Q1903" s="12"/>
      <c r="R1903" s="11"/>
      <c r="S1903" s="11"/>
      <c r="T1903" s="11"/>
    </row>
    <row r="1904">
      <c r="A1904" s="2"/>
      <c r="B1904" s="2"/>
      <c r="C1904" s="2"/>
      <c r="D1904" s="2"/>
      <c r="E1904" s="2"/>
      <c r="F1904" s="2"/>
      <c r="K1904" s="2"/>
      <c r="N1904" s="7"/>
      <c r="O1904" s="12"/>
      <c r="P1904" s="11"/>
      <c r="Q1904" s="12"/>
      <c r="R1904" s="11"/>
      <c r="S1904" s="11"/>
      <c r="T1904" s="11"/>
    </row>
    <row r="1905">
      <c r="A1905" s="2"/>
      <c r="B1905" s="2"/>
      <c r="C1905" s="2"/>
      <c r="D1905" s="2"/>
      <c r="E1905" s="2"/>
      <c r="F1905" s="2"/>
      <c r="K1905" s="2"/>
      <c r="N1905" s="7"/>
      <c r="O1905" s="12"/>
      <c r="P1905" s="11"/>
      <c r="Q1905" s="12"/>
      <c r="R1905" s="11"/>
      <c r="S1905" s="11"/>
      <c r="T1905" s="11"/>
    </row>
    <row r="1906">
      <c r="A1906" s="2"/>
      <c r="B1906" s="2"/>
      <c r="C1906" s="2"/>
      <c r="D1906" s="2"/>
      <c r="E1906" s="2"/>
      <c r="F1906" s="2"/>
      <c r="K1906" s="2"/>
      <c r="N1906" s="7"/>
      <c r="O1906" s="12"/>
      <c r="P1906" s="11"/>
      <c r="Q1906" s="12"/>
      <c r="R1906" s="11"/>
      <c r="S1906" s="11"/>
      <c r="T1906" s="11"/>
    </row>
    <row r="1907">
      <c r="A1907" s="2"/>
      <c r="B1907" s="2"/>
      <c r="C1907" s="2"/>
      <c r="D1907" s="2"/>
      <c r="E1907" s="2"/>
      <c r="F1907" s="2"/>
      <c r="K1907" s="2"/>
      <c r="N1907" s="7"/>
      <c r="O1907" s="12"/>
      <c r="P1907" s="11"/>
      <c r="Q1907" s="12"/>
      <c r="R1907" s="11"/>
      <c r="S1907" s="11"/>
      <c r="T1907" s="11"/>
    </row>
    <row r="1908">
      <c r="A1908" s="2"/>
      <c r="B1908" s="2"/>
      <c r="C1908" s="2"/>
      <c r="D1908" s="2"/>
      <c r="E1908" s="2"/>
      <c r="F1908" s="2"/>
      <c r="K1908" s="2"/>
      <c r="N1908" s="7"/>
      <c r="O1908" s="12"/>
      <c r="P1908" s="11"/>
      <c r="Q1908" s="12"/>
      <c r="R1908" s="11"/>
      <c r="S1908" s="11"/>
      <c r="T1908" s="11"/>
    </row>
    <row r="1909">
      <c r="A1909" s="2"/>
      <c r="B1909" s="2"/>
      <c r="C1909" s="2"/>
      <c r="D1909" s="2"/>
      <c r="E1909" s="2"/>
      <c r="F1909" s="2"/>
      <c r="K1909" s="2"/>
      <c r="N1909" s="7"/>
      <c r="O1909" s="12"/>
      <c r="P1909" s="11"/>
      <c r="Q1909" s="12"/>
      <c r="R1909" s="11"/>
      <c r="S1909" s="11"/>
      <c r="T1909" s="11"/>
    </row>
    <row r="1910">
      <c r="A1910" s="2"/>
      <c r="B1910" s="2"/>
      <c r="C1910" s="2"/>
      <c r="D1910" s="2"/>
      <c r="E1910" s="2"/>
      <c r="F1910" s="2"/>
      <c r="K1910" s="2"/>
      <c r="N1910" s="7"/>
      <c r="O1910" s="12"/>
      <c r="P1910" s="11"/>
      <c r="Q1910" s="12"/>
      <c r="R1910" s="11"/>
      <c r="S1910" s="11"/>
      <c r="T1910" s="11"/>
    </row>
    <row r="1911">
      <c r="A1911" s="2"/>
      <c r="B1911" s="2"/>
      <c r="C1911" s="2"/>
      <c r="D1911" s="2"/>
      <c r="E1911" s="2"/>
      <c r="F1911" s="2"/>
      <c r="K1911" s="2"/>
      <c r="N1911" s="7"/>
      <c r="O1911" s="12"/>
      <c r="P1911" s="11"/>
      <c r="Q1911" s="12"/>
      <c r="R1911" s="11"/>
      <c r="S1911" s="11"/>
      <c r="T1911" s="11"/>
    </row>
    <row r="1912">
      <c r="A1912" s="2"/>
      <c r="B1912" s="2"/>
      <c r="C1912" s="2"/>
      <c r="D1912" s="2"/>
      <c r="E1912" s="2"/>
      <c r="F1912" s="2"/>
      <c r="K1912" s="2"/>
      <c r="N1912" s="7"/>
      <c r="O1912" s="12"/>
      <c r="P1912" s="11"/>
      <c r="Q1912" s="12"/>
      <c r="R1912" s="11"/>
      <c r="S1912" s="11"/>
      <c r="T1912" s="11"/>
    </row>
    <row r="1913">
      <c r="A1913" s="2"/>
      <c r="B1913" s="2"/>
      <c r="C1913" s="2"/>
      <c r="D1913" s="2"/>
      <c r="E1913" s="2"/>
      <c r="F1913" s="2"/>
      <c r="K1913" s="2"/>
      <c r="N1913" s="7"/>
      <c r="O1913" s="12"/>
      <c r="P1913" s="11"/>
      <c r="Q1913" s="12"/>
      <c r="R1913" s="11"/>
      <c r="S1913" s="11"/>
      <c r="T1913" s="11"/>
    </row>
    <row r="1914">
      <c r="A1914" s="2"/>
      <c r="B1914" s="2"/>
      <c r="C1914" s="2"/>
      <c r="D1914" s="2"/>
      <c r="E1914" s="2"/>
      <c r="F1914" s="2"/>
      <c r="K1914" s="2"/>
      <c r="N1914" s="7"/>
      <c r="O1914" s="12"/>
      <c r="P1914" s="11"/>
      <c r="Q1914" s="12"/>
      <c r="R1914" s="11"/>
      <c r="S1914" s="11"/>
      <c r="T1914" s="11"/>
    </row>
    <row r="1915">
      <c r="A1915" s="2"/>
      <c r="B1915" s="2"/>
      <c r="C1915" s="2"/>
      <c r="D1915" s="2"/>
      <c r="E1915" s="2"/>
      <c r="F1915" s="2"/>
      <c r="K1915" s="2"/>
      <c r="N1915" s="7"/>
      <c r="O1915" s="12"/>
      <c r="P1915" s="11"/>
      <c r="Q1915" s="12"/>
      <c r="R1915" s="11"/>
      <c r="S1915" s="11"/>
      <c r="T1915" s="11"/>
    </row>
    <row r="1916">
      <c r="A1916" s="2"/>
      <c r="B1916" s="2"/>
      <c r="C1916" s="2"/>
      <c r="D1916" s="2"/>
      <c r="E1916" s="2"/>
      <c r="F1916" s="2"/>
      <c r="K1916" s="2"/>
      <c r="N1916" s="7"/>
      <c r="O1916" s="12"/>
      <c r="P1916" s="11"/>
      <c r="Q1916" s="12"/>
      <c r="R1916" s="11"/>
      <c r="S1916" s="11"/>
      <c r="T1916" s="11"/>
    </row>
    <row r="1917">
      <c r="A1917" s="2"/>
      <c r="B1917" s="2"/>
      <c r="C1917" s="2"/>
      <c r="D1917" s="2"/>
      <c r="E1917" s="2"/>
      <c r="F1917" s="2"/>
      <c r="K1917" s="2"/>
      <c r="N1917" s="7"/>
      <c r="O1917" s="12"/>
      <c r="P1917" s="11"/>
      <c r="Q1917" s="12"/>
      <c r="R1917" s="11"/>
      <c r="S1917" s="11"/>
      <c r="T1917" s="11"/>
    </row>
    <row r="1918">
      <c r="A1918" s="2"/>
      <c r="B1918" s="2"/>
      <c r="C1918" s="2"/>
      <c r="D1918" s="2"/>
      <c r="E1918" s="2"/>
      <c r="F1918" s="2"/>
      <c r="K1918" s="2"/>
      <c r="N1918" s="7"/>
      <c r="O1918" s="12"/>
      <c r="P1918" s="11"/>
      <c r="Q1918" s="12"/>
      <c r="R1918" s="11"/>
      <c r="S1918" s="11"/>
      <c r="T1918" s="11"/>
    </row>
    <row r="1919">
      <c r="A1919" s="2"/>
      <c r="B1919" s="2"/>
      <c r="C1919" s="2"/>
      <c r="D1919" s="2"/>
      <c r="E1919" s="2"/>
      <c r="F1919" s="2"/>
      <c r="K1919" s="2"/>
      <c r="N1919" s="7"/>
      <c r="O1919" s="12"/>
      <c r="P1919" s="11"/>
      <c r="Q1919" s="12"/>
      <c r="R1919" s="11"/>
      <c r="S1919" s="11"/>
      <c r="T1919" s="11"/>
    </row>
    <row r="1920">
      <c r="A1920" s="2"/>
      <c r="B1920" s="2"/>
      <c r="C1920" s="2"/>
      <c r="D1920" s="2"/>
      <c r="E1920" s="2"/>
      <c r="F1920" s="2"/>
      <c r="K1920" s="2"/>
      <c r="N1920" s="7"/>
      <c r="O1920" s="12"/>
      <c r="P1920" s="11"/>
      <c r="Q1920" s="12"/>
      <c r="R1920" s="11"/>
      <c r="S1920" s="11"/>
      <c r="T1920" s="11"/>
    </row>
    <row r="1921">
      <c r="A1921" s="2"/>
      <c r="B1921" s="2"/>
      <c r="C1921" s="2"/>
      <c r="D1921" s="2"/>
      <c r="E1921" s="2"/>
      <c r="F1921" s="2"/>
      <c r="K1921" s="2"/>
      <c r="N1921" s="7"/>
      <c r="O1921" s="12"/>
      <c r="P1921" s="11"/>
      <c r="Q1921" s="12"/>
      <c r="R1921" s="11"/>
      <c r="S1921" s="11"/>
      <c r="T1921" s="11"/>
    </row>
    <row r="1922">
      <c r="A1922" s="2"/>
      <c r="B1922" s="2"/>
      <c r="C1922" s="2"/>
      <c r="D1922" s="2"/>
      <c r="E1922" s="2"/>
      <c r="F1922" s="2"/>
      <c r="K1922" s="2"/>
      <c r="N1922" s="7"/>
      <c r="O1922" s="12"/>
      <c r="P1922" s="11"/>
      <c r="Q1922" s="12"/>
      <c r="R1922" s="11"/>
      <c r="S1922" s="11"/>
      <c r="T1922" s="11"/>
    </row>
    <row r="1923">
      <c r="A1923" s="2"/>
      <c r="B1923" s="2"/>
      <c r="C1923" s="2"/>
      <c r="D1923" s="2"/>
      <c r="E1923" s="2"/>
      <c r="F1923" s="2"/>
      <c r="K1923" s="2"/>
      <c r="N1923" s="7"/>
      <c r="O1923" s="12"/>
      <c r="P1923" s="11"/>
      <c r="Q1923" s="12"/>
      <c r="R1923" s="11"/>
      <c r="S1923" s="11"/>
      <c r="T1923" s="11"/>
    </row>
    <row r="1924">
      <c r="A1924" s="2"/>
      <c r="B1924" s="2"/>
      <c r="C1924" s="2"/>
      <c r="D1924" s="2"/>
      <c r="E1924" s="2"/>
      <c r="F1924" s="2"/>
      <c r="K1924" s="2"/>
      <c r="N1924" s="7"/>
      <c r="O1924" s="12"/>
      <c r="P1924" s="11"/>
      <c r="Q1924" s="12"/>
      <c r="R1924" s="11"/>
      <c r="S1924" s="11"/>
      <c r="T1924" s="11"/>
    </row>
    <row r="1925">
      <c r="A1925" s="2"/>
      <c r="B1925" s="2"/>
      <c r="C1925" s="2"/>
      <c r="D1925" s="2"/>
      <c r="E1925" s="2"/>
      <c r="F1925" s="2"/>
      <c r="K1925" s="2"/>
      <c r="N1925" s="7"/>
      <c r="O1925" s="12"/>
      <c r="P1925" s="11"/>
      <c r="Q1925" s="12"/>
      <c r="R1925" s="11"/>
      <c r="S1925" s="11"/>
      <c r="T1925" s="11"/>
    </row>
    <row r="1926">
      <c r="A1926" s="2"/>
      <c r="B1926" s="2"/>
      <c r="C1926" s="2"/>
      <c r="D1926" s="2"/>
      <c r="E1926" s="2"/>
      <c r="F1926" s="2"/>
      <c r="K1926" s="2"/>
      <c r="N1926" s="7"/>
      <c r="O1926" s="12"/>
      <c r="P1926" s="11"/>
      <c r="Q1926" s="12"/>
      <c r="R1926" s="11"/>
      <c r="S1926" s="11"/>
      <c r="T1926" s="11"/>
    </row>
    <row r="1927">
      <c r="A1927" s="2"/>
      <c r="B1927" s="2"/>
      <c r="C1927" s="2"/>
      <c r="D1927" s="2"/>
      <c r="E1927" s="2"/>
      <c r="F1927" s="2"/>
      <c r="K1927" s="2"/>
      <c r="N1927" s="7"/>
      <c r="O1927" s="12"/>
      <c r="P1927" s="11"/>
      <c r="Q1927" s="12"/>
      <c r="R1927" s="11"/>
      <c r="S1927" s="11"/>
      <c r="T1927" s="11"/>
    </row>
    <row r="1928">
      <c r="A1928" s="2"/>
      <c r="B1928" s="2"/>
      <c r="C1928" s="2"/>
      <c r="D1928" s="2"/>
      <c r="E1928" s="2"/>
      <c r="F1928" s="2"/>
      <c r="K1928" s="2"/>
      <c r="N1928" s="7"/>
      <c r="O1928" s="12"/>
      <c r="P1928" s="11"/>
      <c r="Q1928" s="12"/>
      <c r="R1928" s="11"/>
      <c r="S1928" s="11"/>
      <c r="T1928" s="11"/>
    </row>
    <row r="1929">
      <c r="A1929" s="2"/>
      <c r="B1929" s="2"/>
      <c r="C1929" s="2"/>
      <c r="D1929" s="2"/>
      <c r="E1929" s="2"/>
      <c r="F1929" s="2"/>
      <c r="K1929" s="2"/>
      <c r="N1929" s="7"/>
      <c r="O1929" s="12"/>
      <c r="P1929" s="11"/>
      <c r="Q1929" s="12"/>
      <c r="R1929" s="11"/>
      <c r="S1929" s="11"/>
      <c r="T1929" s="11"/>
    </row>
    <row r="1930">
      <c r="A1930" s="2"/>
      <c r="B1930" s="2"/>
      <c r="C1930" s="2"/>
      <c r="D1930" s="2"/>
      <c r="E1930" s="2"/>
      <c r="F1930" s="2"/>
      <c r="K1930" s="2"/>
      <c r="N1930" s="7"/>
      <c r="O1930" s="12"/>
      <c r="P1930" s="11"/>
      <c r="Q1930" s="12"/>
      <c r="R1930" s="11"/>
      <c r="S1930" s="11"/>
      <c r="T1930" s="11"/>
    </row>
    <row r="1931">
      <c r="A1931" s="2"/>
      <c r="B1931" s="2"/>
      <c r="C1931" s="2"/>
      <c r="D1931" s="2"/>
      <c r="E1931" s="2"/>
      <c r="F1931" s="2"/>
      <c r="K1931" s="2"/>
      <c r="N1931" s="7"/>
      <c r="O1931" s="12"/>
      <c r="P1931" s="11"/>
      <c r="Q1931" s="12"/>
      <c r="R1931" s="11"/>
      <c r="S1931" s="11"/>
      <c r="T1931" s="11"/>
    </row>
    <row r="1932">
      <c r="A1932" s="2"/>
      <c r="B1932" s="2"/>
      <c r="C1932" s="2"/>
      <c r="D1932" s="2"/>
      <c r="E1932" s="2"/>
      <c r="F1932" s="2"/>
      <c r="K1932" s="2"/>
      <c r="N1932" s="7"/>
      <c r="O1932" s="12"/>
      <c r="P1932" s="11"/>
      <c r="Q1932" s="12"/>
      <c r="R1932" s="11"/>
      <c r="S1932" s="11"/>
      <c r="T1932" s="11"/>
    </row>
    <row r="1933">
      <c r="A1933" s="2"/>
      <c r="B1933" s="2"/>
      <c r="C1933" s="2"/>
      <c r="D1933" s="2"/>
      <c r="E1933" s="2"/>
      <c r="F1933" s="2"/>
      <c r="K1933" s="2"/>
      <c r="N1933" s="7"/>
      <c r="O1933" s="12"/>
      <c r="P1933" s="11"/>
      <c r="Q1933" s="12"/>
      <c r="R1933" s="11"/>
      <c r="S1933" s="11"/>
      <c r="T1933" s="11"/>
    </row>
    <row r="1934">
      <c r="A1934" s="2"/>
      <c r="B1934" s="2"/>
      <c r="C1934" s="2"/>
      <c r="D1934" s="2"/>
      <c r="E1934" s="2"/>
      <c r="F1934" s="2"/>
      <c r="K1934" s="2"/>
      <c r="N1934" s="7"/>
      <c r="O1934" s="12"/>
      <c r="P1934" s="11"/>
      <c r="Q1934" s="12"/>
      <c r="R1934" s="11"/>
      <c r="S1934" s="11"/>
      <c r="T1934" s="11"/>
    </row>
    <row r="1935">
      <c r="A1935" s="2"/>
      <c r="B1935" s="2"/>
      <c r="C1935" s="2"/>
      <c r="D1935" s="2"/>
      <c r="E1935" s="2"/>
      <c r="F1935" s="2"/>
      <c r="K1935" s="2"/>
      <c r="N1935" s="7"/>
      <c r="O1935" s="12"/>
      <c r="P1935" s="11"/>
      <c r="Q1935" s="12"/>
      <c r="R1935" s="11"/>
      <c r="S1935" s="11"/>
      <c r="T1935" s="11"/>
    </row>
    <row r="1936">
      <c r="A1936" s="2"/>
      <c r="B1936" s="2"/>
      <c r="C1936" s="2"/>
      <c r="D1936" s="2"/>
      <c r="E1936" s="2"/>
      <c r="F1936" s="2"/>
      <c r="K1936" s="2"/>
      <c r="N1936" s="7"/>
      <c r="O1936" s="12"/>
      <c r="P1936" s="11"/>
      <c r="Q1936" s="12"/>
      <c r="R1936" s="11"/>
      <c r="S1936" s="11"/>
      <c r="T1936" s="11"/>
    </row>
    <row r="1937">
      <c r="A1937" s="2"/>
      <c r="B1937" s="2"/>
      <c r="C1937" s="2"/>
      <c r="D1937" s="2"/>
      <c r="E1937" s="2"/>
      <c r="F1937" s="2"/>
      <c r="K1937" s="2"/>
      <c r="N1937" s="7"/>
      <c r="O1937" s="12"/>
      <c r="P1937" s="11"/>
      <c r="Q1937" s="12"/>
      <c r="R1937" s="11"/>
      <c r="S1937" s="11"/>
      <c r="T1937" s="11"/>
    </row>
    <row r="1938">
      <c r="A1938" s="2"/>
      <c r="B1938" s="2"/>
      <c r="C1938" s="2"/>
      <c r="D1938" s="2"/>
      <c r="E1938" s="2"/>
      <c r="F1938" s="2"/>
      <c r="K1938" s="2"/>
      <c r="N1938" s="7"/>
      <c r="O1938" s="12"/>
      <c r="P1938" s="11"/>
      <c r="Q1938" s="12"/>
      <c r="R1938" s="11"/>
      <c r="S1938" s="11"/>
      <c r="T1938" s="11"/>
    </row>
    <row r="1939">
      <c r="A1939" s="2"/>
      <c r="B1939" s="2"/>
      <c r="C1939" s="2"/>
      <c r="D1939" s="2"/>
      <c r="E1939" s="2"/>
      <c r="F1939" s="2"/>
      <c r="K1939" s="2"/>
      <c r="N1939" s="7"/>
      <c r="O1939" s="12"/>
      <c r="P1939" s="11"/>
      <c r="Q1939" s="12"/>
      <c r="R1939" s="11"/>
      <c r="S1939" s="11"/>
      <c r="T1939" s="11"/>
    </row>
    <row r="1940">
      <c r="A1940" s="2"/>
      <c r="B1940" s="2"/>
      <c r="C1940" s="2"/>
      <c r="D1940" s="2"/>
      <c r="E1940" s="2"/>
      <c r="F1940" s="2"/>
      <c r="K1940" s="2"/>
      <c r="N1940" s="7"/>
      <c r="O1940" s="12"/>
      <c r="P1940" s="11"/>
      <c r="Q1940" s="12"/>
      <c r="R1940" s="11"/>
      <c r="S1940" s="11"/>
      <c r="T1940" s="11"/>
    </row>
    <row r="1941">
      <c r="A1941" s="2"/>
      <c r="B1941" s="2"/>
      <c r="C1941" s="2"/>
      <c r="D1941" s="2"/>
      <c r="E1941" s="2"/>
      <c r="F1941" s="2"/>
      <c r="K1941" s="2"/>
      <c r="N1941" s="7"/>
      <c r="O1941" s="12"/>
      <c r="P1941" s="11"/>
      <c r="Q1941" s="12"/>
      <c r="R1941" s="11"/>
      <c r="S1941" s="11"/>
      <c r="T1941" s="11"/>
    </row>
    <row r="1942">
      <c r="A1942" s="2"/>
      <c r="B1942" s="2"/>
      <c r="C1942" s="2"/>
      <c r="D1942" s="2"/>
      <c r="E1942" s="2"/>
      <c r="F1942" s="2"/>
      <c r="K1942" s="2"/>
      <c r="N1942" s="7"/>
      <c r="O1942" s="12"/>
      <c r="P1942" s="11"/>
      <c r="Q1942" s="12"/>
      <c r="R1942" s="11"/>
      <c r="S1942" s="11"/>
      <c r="T1942" s="11"/>
    </row>
    <row r="1943">
      <c r="A1943" s="2"/>
      <c r="B1943" s="2"/>
      <c r="C1943" s="2"/>
      <c r="D1943" s="2"/>
      <c r="E1943" s="2"/>
      <c r="F1943" s="2"/>
      <c r="K1943" s="2"/>
      <c r="N1943" s="7"/>
      <c r="O1943" s="12"/>
      <c r="P1943" s="11"/>
      <c r="Q1943" s="12"/>
      <c r="R1943" s="11"/>
      <c r="S1943" s="11"/>
      <c r="T1943" s="11"/>
    </row>
    <row r="1944">
      <c r="A1944" s="2"/>
      <c r="B1944" s="2"/>
      <c r="C1944" s="2"/>
      <c r="D1944" s="2"/>
      <c r="E1944" s="2"/>
      <c r="F1944" s="2"/>
      <c r="K1944" s="2"/>
      <c r="N1944" s="7"/>
      <c r="O1944" s="12"/>
      <c r="P1944" s="11"/>
      <c r="Q1944" s="12"/>
      <c r="R1944" s="11"/>
      <c r="S1944" s="11"/>
      <c r="T1944" s="11"/>
    </row>
    <row r="1945">
      <c r="A1945" s="2"/>
      <c r="B1945" s="2"/>
      <c r="C1945" s="2"/>
      <c r="D1945" s="2"/>
      <c r="E1945" s="2"/>
      <c r="F1945" s="2"/>
      <c r="K1945" s="2"/>
      <c r="N1945" s="7"/>
      <c r="O1945" s="12"/>
      <c r="P1945" s="11"/>
      <c r="Q1945" s="12"/>
      <c r="R1945" s="11"/>
      <c r="S1945" s="11"/>
      <c r="T1945" s="11"/>
    </row>
    <row r="1946">
      <c r="A1946" s="2"/>
      <c r="B1946" s="2"/>
      <c r="C1946" s="2"/>
      <c r="D1946" s="2"/>
      <c r="E1946" s="2"/>
      <c r="F1946" s="2"/>
      <c r="K1946" s="2"/>
      <c r="N1946" s="7"/>
      <c r="O1946" s="12"/>
      <c r="P1946" s="11"/>
      <c r="Q1946" s="12"/>
      <c r="R1946" s="11"/>
      <c r="S1946" s="11"/>
      <c r="T1946" s="11"/>
    </row>
    <row r="1947">
      <c r="A1947" s="2"/>
      <c r="B1947" s="2"/>
      <c r="C1947" s="2"/>
      <c r="D1947" s="2"/>
      <c r="E1947" s="2"/>
      <c r="F1947" s="2"/>
      <c r="K1947" s="2"/>
      <c r="N1947" s="7"/>
      <c r="O1947" s="12"/>
      <c r="P1947" s="11"/>
      <c r="Q1947" s="12"/>
      <c r="R1947" s="11"/>
      <c r="S1947" s="11"/>
      <c r="T1947" s="11"/>
    </row>
    <row r="1948">
      <c r="A1948" s="2"/>
      <c r="B1948" s="2"/>
      <c r="C1948" s="2"/>
      <c r="D1948" s="2"/>
      <c r="E1948" s="2"/>
      <c r="F1948" s="2"/>
      <c r="K1948" s="2"/>
      <c r="N1948" s="7"/>
      <c r="O1948" s="12"/>
      <c r="P1948" s="11"/>
      <c r="Q1948" s="12"/>
      <c r="R1948" s="11"/>
      <c r="S1948" s="11"/>
      <c r="T1948" s="11"/>
    </row>
    <row r="1949">
      <c r="A1949" s="2"/>
      <c r="B1949" s="2"/>
      <c r="C1949" s="2"/>
      <c r="D1949" s="2"/>
      <c r="E1949" s="2"/>
      <c r="F1949" s="2"/>
      <c r="K1949" s="2"/>
      <c r="N1949" s="7"/>
      <c r="O1949" s="12"/>
      <c r="P1949" s="11"/>
      <c r="Q1949" s="12"/>
      <c r="R1949" s="11"/>
      <c r="S1949" s="11"/>
      <c r="T1949" s="11"/>
    </row>
    <row r="1950">
      <c r="A1950" s="2"/>
      <c r="B1950" s="2"/>
      <c r="C1950" s="2"/>
      <c r="D1950" s="2"/>
      <c r="E1950" s="2"/>
      <c r="F1950" s="2"/>
      <c r="K1950" s="2"/>
      <c r="N1950" s="7"/>
      <c r="O1950" s="12"/>
      <c r="P1950" s="11"/>
      <c r="Q1950" s="12"/>
      <c r="R1950" s="11"/>
      <c r="S1950" s="11"/>
      <c r="T1950" s="11"/>
    </row>
    <row r="1951">
      <c r="A1951" s="2"/>
      <c r="B1951" s="2"/>
      <c r="C1951" s="2"/>
      <c r="D1951" s="2"/>
      <c r="E1951" s="2"/>
      <c r="F1951" s="2"/>
      <c r="K1951" s="2"/>
      <c r="N1951" s="7"/>
      <c r="O1951" s="12"/>
      <c r="P1951" s="11"/>
      <c r="Q1951" s="12"/>
      <c r="R1951" s="11"/>
      <c r="S1951" s="11"/>
      <c r="T1951" s="11"/>
    </row>
    <row r="1952">
      <c r="A1952" s="2"/>
      <c r="B1952" s="2"/>
      <c r="C1952" s="2"/>
      <c r="D1952" s="2"/>
      <c r="E1952" s="2"/>
      <c r="F1952" s="2"/>
      <c r="K1952" s="2"/>
      <c r="N1952" s="7"/>
      <c r="O1952" s="12"/>
      <c r="P1952" s="11"/>
      <c r="Q1952" s="12"/>
      <c r="R1952" s="11"/>
      <c r="S1952" s="11"/>
      <c r="T1952" s="11"/>
    </row>
    <row r="1953">
      <c r="A1953" s="2"/>
      <c r="B1953" s="2"/>
      <c r="C1953" s="2"/>
      <c r="D1953" s="2"/>
      <c r="E1953" s="2"/>
      <c r="F1953" s="2"/>
      <c r="K1953" s="2"/>
      <c r="N1953" s="7"/>
      <c r="O1953" s="12"/>
      <c r="P1953" s="11"/>
      <c r="Q1953" s="12"/>
      <c r="R1953" s="11"/>
      <c r="S1953" s="11"/>
      <c r="T1953" s="11"/>
    </row>
    <row r="1954">
      <c r="A1954" s="2"/>
      <c r="B1954" s="2"/>
      <c r="C1954" s="2"/>
      <c r="D1954" s="2"/>
      <c r="E1954" s="2"/>
      <c r="F1954" s="2"/>
      <c r="K1954" s="2"/>
      <c r="N1954" s="7"/>
      <c r="O1954" s="12"/>
      <c r="P1954" s="11"/>
      <c r="Q1954" s="12"/>
      <c r="R1954" s="11"/>
      <c r="S1954" s="11"/>
      <c r="T1954" s="11"/>
    </row>
    <row r="1955">
      <c r="A1955" s="2"/>
      <c r="B1955" s="2"/>
      <c r="C1955" s="2"/>
      <c r="D1955" s="2"/>
      <c r="E1955" s="2"/>
      <c r="F1955" s="2"/>
      <c r="K1955" s="2"/>
      <c r="N1955" s="7"/>
      <c r="O1955" s="12"/>
      <c r="P1955" s="11"/>
      <c r="Q1955" s="12"/>
      <c r="R1955" s="11"/>
      <c r="S1955" s="11"/>
      <c r="T1955" s="11"/>
    </row>
    <row r="1956">
      <c r="A1956" s="2"/>
      <c r="B1956" s="2"/>
      <c r="C1956" s="2"/>
      <c r="D1956" s="2"/>
      <c r="E1956" s="2"/>
      <c r="F1956" s="2"/>
      <c r="K1956" s="2"/>
      <c r="N1956" s="7"/>
      <c r="O1956" s="12"/>
      <c r="P1956" s="11"/>
      <c r="Q1956" s="12"/>
      <c r="R1956" s="11"/>
      <c r="S1956" s="11"/>
      <c r="T1956" s="11"/>
    </row>
    <row r="1957">
      <c r="A1957" s="2"/>
      <c r="B1957" s="2"/>
      <c r="C1957" s="2"/>
      <c r="D1957" s="2"/>
      <c r="E1957" s="2"/>
      <c r="F1957" s="2"/>
      <c r="K1957" s="2"/>
      <c r="N1957" s="7"/>
      <c r="O1957" s="12"/>
      <c r="P1957" s="11"/>
      <c r="Q1957" s="12"/>
      <c r="R1957" s="11"/>
      <c r="S1957" s="11"/>
      <c r="T1957" s="11"/>
    </row>
    <row r="1958">
      <c r="A1958" s="2"/>
      <c r="B1958" s="2"/>
      <c r="C1958" s="2"/>
      <c r="D1958" s="2"/>
      <c r="E1958" s="2"/>
      <c r="F1958" s="2"/>
      <c r="K1958" s="2"/>
      <c r="N1958" s="7"/>
      <c r="O1958" s="12"/>
      <c r="P1958" s="11"/>
      <c r="Q1958" s="12"/>
      <c r="R1958" s="11"/>
      <c r="S1958" s="11"/>
      <c r="T1958" s="11"/>
    </row>
    <row r="1959">
      <c r="A1959" s="2"/>
      <c r="B1959" s="2"/>
      <c r="C1959" s="2"/>
      <c r="D1959" s="2"/>
      <c r="E1959" s="2"/>
      <c r="F1959" s="2"/>
      <c r="K1959" s="2"/>
      <c r="N1959" s="7"/>
      <c r="O1959" s="12"/>
      <c r="P1959" s="11"/>
      <c r="Q1959" s="12"/>
      <c r="R1959" s="11"/>
      <c r="S1959" s="11"/>
      <c r="T1959" s="11"/>
    </row>
    <row r="1960">
      <c r="A1960" s="2"/>
      <c r="B1960" s="2"/>
      <c r="C1960" s="2"/>
      <c r="D1960" s="2"/>
      <c r="E1960" s="2"/>
      <c r="F1960" s="2"/>
      <c r="K1960" s="2"/>
      <c r="N1960" s="7"/>
      <c r="O1960" s="12"/>
      <c r="P1960" s="11"/>
      <c r="Q1960" s="12"/>
      <c r="R1960" s="11"/>
      <c r="S1960" s="11"/>
      <c r="T1960" s="11"/>
    </row>
    <row r="1961">
      <c r="A1961" s="2"/>
      <c r="B1961" s="2"/>
      <c r="C1961" s="2"/>
      <c r="D1961" s="2"/>
      <c r="E1961" s="2"/>
      <c r="F1961" s="2"/>
      <c r="K1961" s="2"/>
      <c r="N1961" s="7"/>
      <c r="O1961" s="12"/>
      <c r="P1961" s="11"/>
      <c r="Q1961" s="12"/>
      <c r="R1961" s="11"/>
      <c r="S1961" s="11"/>
      <c r="T1961" s="11"/>
    </row>
    <row r="1962">
      <c r="A1962" s="2"/>
      <c r="B1962" s="2"/>
      <c r="C1962" s="2"/>
      <c r="D1962" s="2"/>
      <c r="E1962" s="2"/>
      <c r="F1962" s="2"/>
      <c r="K1962" s="2"/>
      <c r="N1962" s="7"/>
      <c r="O1962" s="12"/>
      <c r="P1962" s="11"/>
      <c r="Q1962" s="12"/>
      <c r="R1962" s="11"/>
      <c r="S1962" s="11"/>
      <c r="T1962" s="11"/>
    </row>
    <row r="1963">
      <c r="A1963" s="2"/>
      <c r="B1963" s="2"/>
      <c r="C1963" s="2"/>
      <c r="D1963" s="2"/>
      <c r="E1963" s="2"/>
      <c r="F1963" s="2"/>
      <c r="K1963" s="2"/>
      <c r="N1963" s="7"/>
      <c r="O1963" s="12"/>
      <c r="P1963" s="11"/>
      <c r="Q1963" s="12"/>
      <c r="R1963" s="11"/>
      <c r="S1963" s="11"/>
      <c r="T1963" s="11"/>
    </row>
    <row r="1964">
      <c r="A1964" s="2"/>
      <c r="B1964" s="2"/>
      <c r="C1964" s="2"/>
      <c r="D1964" s="2"/>
      <c r="E1964" s="2"/>
      <c r="F1964" s="2"/>
      <c r="K1964" s="2"/>
      <c r="N1964" s="7"/>
      <c r="O1964" s="12"/>
      <c r="P1964" s="11"/>
      <c r="Q1964" s="12"/>
      <c r="R1964" s="11"/>
      <c r="S1964" s="11"/>
      <c r="T1964" s="11"/>
    </row>
    <row r="1965">
      <c r="A1965" s="2"/>
      <c r="B1965" s="2"/>
      <c r="C1965" s="2"/>
      <c r="D1965" s="2"/>
      <c r="E1965" s="2"/>
      <c r="F1965" s="2"/>
      <c r="K1965" s="2"/>
      <c r="N1965" s="7"/>
      <c r="O1965" s="12"/>
      <c r="P1965" s="11"/>
      <c r="Q1965" s="12"/>
      <c r="R1965" s="11"/>
      <c r="S1965" s="11"/>
      <c r="T1965" s="11"/>
    </row>
    <row r="1966">
      <c r="A1966" s="2"/>
      <c r="B1966" s="2"/>
      <c r="C1966" s="2"/>
      <c r="D1966" s="2"/>
      <c r="E1966" s="2"/>
      <c r="F1966" s="2"/>
      <c r="K1966" s="2"/>
      <c r="N1966" s="7"/>
      <c r="O1966" s="12"/>
      <c r="P1966" s="11"/>
      <c r="Q1966" s="12"/>
      <c r="R1966" s="11"/>
      <c r="S1966" s="11"/>
      <c r="T1966" s="11"/>
    </row>
    <row r="1967">
      <c r="A1967" s="2"/>
      <c r="B1967" s="2"/>
      <c r="C1967" s="2"/>
      <c r="D1967" s="2"/>
      <c r="E1967" s="2"/>
      <c r="F1967" s="2"/>
      <c r="K1967" s="2"/>
      <c r="N1967" s="7"/>
      <c r="O1967" s="12"/>
      <c r="P1967" s="11"/>
      <c r="Q1967" s="12"/>
      <c r="R1967" s="11"/>
      <c r="S1967" s="11"/>
      <c r="T1967" s="11"/>
    </row>
    <row r="1968">
      <c r="A1968" s="2"/>
      <c r="B1968" s="2"/>
      <c r="C1968" s="2"/>
      <c r="D1968" s="2"/>
      <c r="E1968" s="2"/>
      <c r="F1968" s="2"/>
      <c r="K1968" s="2"/>
      <c r="N1968" s="7"/>
      <c r="O1968" s="12"/>
      <c r="P1968" s="11"/>
      <c r="Q1968" s="12"/>
      <c r="R1968" s="11"/>
      <c r="S1968" s="11"/>
      <c r="T1968" s="11"/>
    </row>
    <row r="1969">
      <c r="A1969" s="2"/>
      <c r="B1969" s="2"/>
      <c r="C1969" s="2"/>
      <c r="D1969" s="2"/>
      <c r="E1969" s="2"/>
      <c r="F1969" s="2"/>
      <c r="K1969" s="2"/>
      <c r="N1969" s="7"/>
      <c r="O1969" s="12"/>
      <c r="P1969" s="11"/>
      <c r="Q1969" s="12"/>
      <c r="R1969" s="11"/>
      <c r="S1969" s="11"/>
      <c r="T1969" s="11"/>
    </row>
    <row r="1970">
      <c r="A1970" s="2"/>
      <c r="B1970" s="2"/>
      <c r="C1970" s="2"/>
      <c r="D1970" s="2"/>
      <c r="E1970" s="2"/>
      <c r="F1970" s="2"/>
      <c r="K1970" s="2"/>
      <c r="N1970" s="7"/>
      <c r="O1970" s="12"/>
      <c r="P1970" s="11"/>
      <c r="Q1970" s="12"/>
      <c r="R1970" s="11"/>
      <c r="S1970" s="11"/>
      <c r="T1970" s="11"/>
    </row>
    <row r="1971">
      <c r="A1971" s="2"/>
      <c r="B1971" s="2"/>
      <c r="C1971" s="2"/>
      <c r="D1971" s="2"/>
      <c r="E1971" s="2"/>
      <c r="F1971" s="2"/>
      <c r="K1971" s="2"/>
      <c r="N1971" s="7"/>
      <c r="O1971" s="12"/>
      <c r="P1971" s="11"/>
      <c r="Q1971" s="12"/>
      <c r="R1971" s="11"/>
      <c r="S1971" s="11"/>
      <c r="T1971" s="11"/>
    </row>
    <row r="1972">
      <c r="A1972" s="2"/>
      <c r="B1972" s="2"/>
      <c r="C1972" s="2"/>
      <c r="D1972" s="2"/>
      <c r="E1972" s="2"/>
      <c r="F1972" s="2"/>
      <c r="K1972" s="2"/>
      <c r="N1972" s="7"/>
      <c r="O1972" s="12"/>
      <c r="P1972" s="11"/>
      <c r="Q1972" s="12"/>
      <c r="R1972" s="11"/>
      <c r="S1972" s="11"/>
      <c r="T1972" s="11"/>
    </row>
    <row r="1973">
      <c r="A1973" s="2"/>
      <c r="B1973" s="2"/>
      <c r="C1973" s="2"/>
      <c r="D1973" s="2"/>
      <c r="E1973" s="2"/>
      <c r="F1973" s="2"/>
      <c r="K1973" s="2"/>
      <c r="N1973" s="7"/>
      <c r="O1973" s="12"/>
      <c r="P1973" s="11"/>
      <c r="Q1973" s="12"/>
      <c r="R1973" s="11"/>
      <c r="S1973" s="11"/>
      <c r="T1973" s="11"/>
    </row>
    <row r="1974">
      <c r="A1974" s="2"/>
      <c r="B1974" s="2"/>
      <c r="C1974" s="2"/>
      <c r="D1974" s="2"/>
      <c r="E1974" s="2"/>
      <c r="F1974" s="2"/>
      <c r="K1974" s="2"/>
      <c r="N1974" s="7"/>
      <c r="O1974" s="12"/>
      <c r="P1974" s="11"/>
      <c r="Q1974" s="12"/>
      <c r="R1974" s="11"/>
      <c r="S1974" s="11"/>
      <c r="T1974" s="11"/>
    </row>
    <row r="1975">
      <c r="A1975" s="2"/>
      <c r="B1975" s="2"/>
      <c r="C1975" s="2"/>
      <c r="D1975" s="2"/>
      <c r="E1975" s="2"/>
      <c r="F1975" s="2"/>
      <c r="K1975" s="2"/>
      <c r="N1975" s="7"/>
      <c r="O1975" s="12"/>
      <c r="P1975" s="11"/>
      <c r="Q1975" s="12"/>
      <c r="R1975" s="11"/>
      <c r="S1975" s="11"/>
      <c r="T1975" s="11"/>
    </row>
    <row r="1976">
      <c r="A1976" s="2"/>
      <c r="B1976" s="2"/>
      <c r="C1976" s="2"/>
      <c r="D1976" s="2"/>
      <c r="E1976" s="2"/>
      <c r="F1976" s="2"/>
      <c r="K1976" s="2"/>
      <c r="N1976" s="7"/>
      <c r="O1976" s="12"/>
      <c r="P1976" s="11"/>
      <c r="Q1976" s="12"/>
      <c r="R1976" s="11"/>
      <c r="S1976" s="11"/>
      <c r="T1976" s="11"/>
    </row>
    <row r="1977">
      <c r="A1977" s="2"/>
      <c r="B1977" s="2"/>
      <c r="C1977" s="2"/>
      <c r="D1977" s="2"/>
      <c r="E1977" s="2"/>
      <c r="F1977" s="2"/>
      <c r="K1977" s="2"/>
      <c r="N1977" s="7"/>
      <c r="O1977" s="12"/>
      <c r="P1977" s="11"/>
      <c r="Q1977" s="12"/>
      <c r="R1977" s="11"/>
      <c r="S1977" s="11"/>
      <c r="T1977" s="11"/>
    </row>
    <row r="1978">
      <c r="A1978" s="2"/>
      <c r="B1978" s="2"/>
      <c r="C1978" s="2"/>
      <c r="D1978" s="2"/>
      <c r="E1978" s="2"/>
      <c r="F1978" s="2"/>
      <c r="K1978" s="2"/>
      <c r="N1978" s="7"/>
      <c r="O1978" s="12"/>
      <c r="P1978" s="11"/>
      <c r="Q1978" s="12"/>
      <c r="R1978" s="11"/>
      <c r="S1978" s="11"/>
      <c r="T1978" s="11"/>
    </row>
    <row r="1979">
      <c r="A1979" s="2"/>
      <c r="B1979" s="2"/>
      <c r="C1979" s="2"/>
      <c r="D1979" s="2"/>
      <c r="E1979" s="2"/>
      <c r="F1979" s="2"/>
      <c r="K1979" s="2"/>
      <c r="N1979" s="7"/>
      <c r="O1979" s="12"/>
      <c r="P1979" s="11"/>
      <c r="Q1979" s="12"/>
      <c r="R1979" s="11"/>
      <c r="S1979" s="11"/>
      <c r="T1979" s="11"/>
    </row>
    <row r="1980">
      <c r="A1980" s="2"/>
      <c r="B1980" s="2"/>
      <c r="C1980" s="2"/>
      <c r="D1980" s="2"/>
      <c r="E1980" s="2"/>
      <c r="F1980" s="2"/>
      <c r="K1980" s="2"/>
      <c r="N1980" s="7"/>
      <c r="O1980" s="12"/>
      <c r="P1980" s="11"/>
      <c r="Q1980" s="12"/>
      <c r="R1980" s="11"/>
      <c r="S1980" s="11"/>
      <c r="T1980" s="11"/>
    </row>
    <row r="1981">
      <c r="A1981" s="2"/>
      <c r="B1981" s="2"/>
      <c r="C1981" s="2"/>
      <c r="D1981" s="2"/>
      <c r="E1981" s="2"/>
      <c r="F1981" s="2"/>
      <c r="K1981" s="2"/>
      <c r="N1981" s="7"/>
      <c r="O1981" s="12"/>
      <c r="P1981" s="11"/>
      <c r="Q1981" s="12"/>
      <c r="R1981" s="11"/>
      <c r="S1981" s="11"/>
      <c r="T1981" s="11"/>
    </row>
    <row r="1982">
      <c r="A1982" s="2"/>
      <c r="B1982" s="2"/>
      <c r="C1982" s="2"/>
      <c r="D1982" s="2"/>
      <c r="E1982" s="2"/>
      <c r="F1982" s="2"/>
      <c r="K1982" s="2"/>
      <c r="N1982" s="7"/>
      <c r="O1982" s="12"/>
      <c r="P1982" s="11"/>
      <c r="Q1982" s="12"/>
      <c r="R1982" s="11"/>
      <c r="S1982" s="11"/>
      <c r="T1982" s="11"/>
    </row>
    <row r="1983">
      <c r="A1983" s="2"/>
      <c r="B1983" s="2"/>
      <c r="C1983" s="2"/>
      <c r="D1983" s="2"/>
      <c r="E1983" s="2"/>
      <c r="F1983" s="2"/>
      <c r="K1983" s="2"/>
      <c r="N1983" s="7"/>
      <c r="O1983" s="12"/>
      <c r="P1983" s="11"/>
      <c r="Q1983" s="12"/>
      <c r="R1983" s="11"/>
      <c r="S1983" s="11"/>
      <c r="T1983" s="11"/>
    </row>
    <row r="1984">
      <c r="A1984" s="2"/>
      <c r="B1984" s="2"/>
      <c r="C1984" s="2"/>
      <c r="D1984" s="2"/>
      <c r="E1984" s="2"/>
      <c r="F1984" s="2"/>
      <c r="K1984" s="2"/>
      <c r="N1984" s="7"/>
      <c r="O1984" s="12"/>
      <c r="P1984" s="11"/>
      <c r="Q1984" s="12"/>
      <c r="R1984" s="11"/>
      <c r="S1984" s="11"/>
      <c r="T1984" s="11"/>
    </row>
    <row r="1985">
      <c r="A1985" s="2"/>
      <c r="B1985" s="2"/>
      <c r="C1985" s="2"/>
      <c r="D1985" s="2"/>
      <c r="E1985" s="2"/>
      <c r="F1985" s="2"/>
      <c r="K1985" s="2"/>
      <c r="N1985" s="7"/>
      <c r="O1985" s="12"/>
      <c r="P1985" s="11"/>
      <c r="Q1985" s="12"/>
      <c r="R1985" s="11"/>
      <c r="S1985" s="11"/>
      <c r="T1985" s="11"/>
    </row>
    <row r="1986">
      <c r="A1986" s="2"/>
      <c r="B1986" s="2"/>
      <c r="C1986" s="2"/>
      <c r="D1986" s="2"/>
      <c r="E1986" s="2"/>
      <c r="F1986" s="2"/>
      <c r="K1986" s="2"/>
      <c r="N1986" s="7"/>
      <c r="O1986" s="12"/>
      <c r="P1986" s="11"/>
      <c r="Q1986" s="12"/>
      <c r="R1986" s="11"/>
      <c r="S1986" s="11"/>
      <c r="T1986" s="11"/>
    </row>
    <row r="1987">
      <c r="A1987" s="2"/>
      <c r="B1987" s="2"/>
      <c r="C1987" s="2"/>
      <c r="D1987" s="2"/>
      <c r="E1987" s="2"/>
      <c r="F1987" s="2"/>
      <c r="K1987" s="2"/>
      <c r="N1987" s="7"/>
      <c r="O1987" s="12"/>
      <c r="P1987" s="11"/>
      <c r="Q1987" s="12"/>
      <c r="R1987" s="11"/>
      <c r="S1987" s="11"/>
      <c r="T1987" s="11"/>
    </row>
    <row r="1988">
      <c r="A1988" s="2"/>
      <c r="B1988" s="2"/>
      <c r="C1988" s="2"/>
      <c r="D1988" s="2"/>
      <c r="E1988" s="2"/>
      <c r="F1988" s="2"/>
      <c r="K1988" s="2"/>
      <c r="N1988" s="7"/>
      <c r="O1988" s="12"/>
      <c r="P1988" s="11"/>
      <c r="Q1988" s="12"/>
      <c r="R1988" s="11"/>
      <c r="S1988" s="11"/>
      <c r="T1988" s="11"/>
    </row>
    <row r="1989">
      <c r="A1989" s="2"/>
      <c r="B1989" s="2"/>
      <c r="C1989" s="2"/>
      <c r="D1989" s="2"/>
      <c r="E1989" s="2"/>
      <c r="F1989" s="2"/>
      <c r="K1989" s="2"/>
      <c r="N1989" s="7"/>
      <c r="O1989" s="12"/>
      <c r="P1989" s="11"/>
      <c r="Q1989" s="12"/>
      <c r="R1989" s="11"/>
      <c r="S1989" s="11"/>
      <c r="T1989" s="11"/>
    </row>
    <row r="1990">
      <c r="A1990" s="2"/>
      <c r="B1990" s="2"/>
      <c r="C1990" s="2"/>
      <c r="D1990" s="2"/>
      <c r="E1990" s="2"/>
      <c r="F1990" s="2"/>
      <c r="K1990" s="2"/>
      <c r="N1990" s="7"/>
      <c r="O1990" s="12"/>
      <c r="P1990" s="11"/>
      <c r="Q1990" s="12"/>
      <c r="R1990" s="11"/>
      <c r="S1990" s="11"/>
      <c r="T1990" s="11"/>
    </row>
    <row r="1991">
      <c r="A1991" s="2"/>
      <c r="B1991" s="2"/>
      <c r="C1991" s="2"/>
      <c r="D1991" s="2"/>
      <c r="E1991" s="2"/>
      <c r="F1991" s="2"/>
      <c r="K1991" s="2"/>
      <c r="N1991" s="7"/>
      <c r="O1991" s="12"/>
      <c r="P1991" s="11"/>
      <c r="Q1991" s="12"/>
      <c r="R1991" s="11"/>
      <c r="S1991" s="11"/>
      <c r="T1991" s="11"/>
    </row>
    <row r="1992">
      <c r="A1992" s="2"/>
      <c r="B1992" s="2"/>
      <c r="C1992" s="2"/>
      <c r="D1992" s="2"/>
      <c r="E1992" s="2"/>
      <c r="F1992" s="2"/>
      <c r="K1992" s="2"/>
      <c r="N1992" s="7"/>
      <c r="O1992" s="12"/>
      <c r="P1992" s="11"/>
      <c r="Q1992" s="12"/>
      <c r="R1992" s="11"/>
      <c r="S1992" s="11"/>
      <c r="T1992" s="11"/>
    </row>
    <row r="1993">
      <c r="A1993" s="2"/>
      <c r="B1993" s="2"/>
      <c r="C1993" s="2"/>
      <c r="D1993" s="2"/>
      <c r="E1993" s="2"/>
      <c r="F1993" s="2"/>
      <c r="K1993" s="2"/>
      <c r="N1993" s="7"/>
      <c r="O1993" s="12"/>
      <c r="P1993" s="11"/>
      <c r="Q1993" s="12"/>
      <c r="R1993" s="11"/>
      <c r="S1993" s="11"/>
      <c r="T1993" s="11"/>
    </row>
    <row r="1994">
      <c r="A1994" s="2"/>
      <c r="B1994" s="2"/>
      <c r="C1994" s="2"/>
      <c r="D1994" s="2"/>
      <c r="E1994" s="2"/>
      <c r="F1994" s="2"/>
      <c r="K1994" s="2"/>
      <c r="N1994" s="7"/>
      <c r="O1994" s="12"/>
      <c r="P1994" s="11"/>
      <c r="Q1994" s="12"/>
      <c r="R1994" s="11"/>
      <c r="S1994" s="11"/>
      <c r="T1994" s="11"/>
    </row>
    <row r="1995">
      <c r="A1995" s="2"/>
      <c r="B1995" s="2"/>
      <c r="C1995" s="2"/>
      <c r="D1995" s="2"/>
      <c r="E1995" s="2"/>
      <c r="F1995" s="2"/>
      <c r="K1995" s="2"/>
      <c r="N1995" s="7"/>
      <c r="O1995" s="12"/>
      <c r="P1995" s="11"/>
      <c r="Q1995" s="12"/>
      <c r="R1995" s="11"/>
      <c r="S1995" s="11"/>
      <c r="T1995" s="11"/>
    </row>
    <row r="1996">
      <c r="A1996" s="2"/>
      <c r="B1996" s="2"/>
      <c r="C1996" s="2"/>
      <c r="D1996" s="2"/>
      <c r="E1996" s="2"/>
      <c r="F1996" s="2"/>
      <c r="K1996" s="2"/>
      <c r="N1996" s="7"/>
      <c r="O1996" s="12"/>
      <c r="P1996" s="11"/>
      <c r="Q1996" s="12"/>
      <c r="R1996" s="11"/>
      <c r="S1996" s="11"/>
      <c r="T1996" s="11"/>
    </row>
    <row r="1997">
      <c r="A1997" s="2"/>
      <c r="B1997" s="2"/>
      <c r="C1997" s="2"/>
      <c r="D1997" s="2"/>
      <c r="E1997" s="2"/>
      <c r="F1997" s="2"/>
      <c r="K1997" s="2"/>
      <c r="N1997" s="7"/>
      <c r="O1997" s="12"/>
      <c r="P1997" s="11"/>
      <c r="Q1997" s="12"/>
      <c r="R1997" s="11"/>
      <c r="S1997" s="11"/>
      <c r="T1997" s="11"/>
    </row>
    <row r="1998">
      <c r="A1998" s="2"/>
      <c r="B1998" s="2"/>
      <c r="C1998" s="2"/>
      <c r="D1998" s="2"/>
      <c r="E1998" s="2"/>
      <c r="F1998" s="2"/>
      <c r="K1998" s="2"/>
      <c r="N1998" s="7"/>
      <c r="O1998" s="12"/>
      <c r="P1998" s="11"/>
      <c r="Q1998" s="12"/>
      <c r="R1998" s="11"/>
      <c r="S1998" s="11"/>
      <c r="T1998" s="11"/>
    </row>
    <row r="1999">
      <c r="A1999" s="2"/>
      <c r="B1999" s="2"/>
      <c r="C1999" s="2"/>
      <c r="D1999" s="2"/>
      <c r="E1999" s="2"/>
      <c r="F1999" s="2"/>
      <c r="K1999" s="2"/>
      <c r="N1999" s="7"/>
      <c r="O1999" s="12"/>
      <c r="P1999" s="11"/>
      <c r="Q1999" s="12"/>
      <c r="R1999" s="11"/>
      <c r="S1999" s="11"/>
      <c r="T1999" s="11"/>
    </row>
    <row r="2000">
      <c r="A2000" s="2"/>
      <c r="B2000" s="2"/>
      <c r="C2000" s="2"/>
      <c r="D2000" s="2"/>
      <c r="E2000" s="2"/>
      <c r="F2000" s="2"/>
      <c r="K2000" s="2"/>
      <c r="N2000" s="7"/>
      <c r="O2000" s="12"/>
      <c r="P2000" s="11"/>
      <c r="Q2000" s="12"/>
      <c r="R2000" s="11"/>
      <c r="S2000" s="11"/>
      <c r="T2000" s="11"/>
    </row>
    <row r="2001">
      <c r="A2001" s="2"/>
      <c r="B2001" s="2"/>
      <c r="C2001" s="2"/>
      <c r="D2001" s="2"/>
      <c r="E2001" s="2"/>
      <c r="F2001" s="2"/>
      <c r="K2001" s="2"/>
      <c r="N2001" s="7"/>
      <c r="O2001" s="12"/>
      <c r="P2001" s="11"/>
      <c r="Q2001" s="12"/>
      <c r="R2001" s="11"/>
      <c r="S2001" s="11"/>
      <c r="T2001" s="11"/>
    </row>
    <row r="2002">
      <c r="A2002" s="2"/>
      <c r="B2002" s="2"/>
      <c r="C2002" s="2"/>
      <c r="D2002" s="2"/>
      <c r="E2002" s="2"/>
      <c r="F2002" s="2"/>
      <c r="K2002" s="2"/>
      <c r="N2002" s="7"/>
      <c r="O2002" s="12"/>
      <c r="P2002" s="11"/>
      <c r="Q2002" s="12"/>
      <c r="R2002" s="11"/>
      <c r="S2002" s="11"/>
      <c r="T2002" s="11"/>
    </row>
    <row r="2003">
      <c r="A2003" s="2"/>
      <c r="B2003" s="2"/>
      <c r="C2003" s="2"/>
      <c r="D2003" s="2"/>
      <c r="E2003" s="2"/>
      <c r="F2003" s="2"/>
      <c r="K2003" s="2"/>
      <c r="N2003" s="7"/>
      <c r="O2003" s="12"/>
      <c r="P2003" s="11"/>
      <c r="Q2003" s="12"/>
      <c r="R2003" s="11"/>
      <c r="S2003" s="11"/>
      <c r="T2003" s="11"/>
    </row>
    <row r="2004">
      <c r="A2004" s="2"/>
      <c r="B2004" s="2"/>
      <c r="C2004" s="2"/>
      <c r="D2004" s="2"/>
      <c r="E2004" s="2"/>
      <c r="F2004" s="2"/>
      <c r="K2004" s="2"/>
      <c r="N2004" s="7"/>
      <c r="O2004" s="12"/>
      <c r="P2004" s="11"/>
      <c r="Q2004" s="12"/>
      <c r="R2004" s="11"/>
      <c r="S2004" s="11"/>
      <c r="T2004" s="11"/>
    </row>
    <row r="2005">
      <c r="A2005" s="2"/>
      <c r="B2005" s="2"/>
      <c r="C2005" s="2"/>
      <c r="D2005" s="2"/>
      <c r="E2005" s="2"/>
      <c r="F2005" s="2"/>
      <c r="K2005" s="2"/>
      <c r="N2005" s="7"/>
      <c r="O2005" s="12"/>
      <c r="P2005" s="11"/>
      <c r="Q2005" s="12"/>
      <c r="R2005" s="11"/>
      <c r="S2005" s="11"/>
      <c r="T2005" s="11"/>
    </row>
    <row r="2006">
      <c r="A2006" s="2"/>
      <c r="B2006" s="2"/>
      <c r="C2006" s="2"/>
      <c r="D2006" s="2"/>
      <c r="E2006" s="2"/>
      <c r="F2006" s="2"/>
      <c r="K2006" s="2"/>
      <c r="N2006" s="7"/>
      <c r="O2006" s="12"/>
      <c r="P2006" s="11"/>
      <c r="Q2006" s="12"/>
      <c r="R2006" s="11"/>
      <c r="S2006" s="11"/>
      <c r="T2006" s="11"/>
    </row>
    <row r="2007">
      <c r="A2007" s="2"/>
      <c r="B2007" s="2"/>
      <c r="C2007" s="2"/>
      <c r="D2007" s="2"/>
      <c r="E2007" s="2"/>
      <c r="F2007" s="2"/>
      <c r="K2007" s="2"/>
      <c r="N2007" s="7"/>
      <c r="O2007" s="12"/>
      <c r="P2007" s="11"/>
      <c r="Q2007" s="12"/>
      <c r="R2007" s="11"/>
      <c r="S2007" s="11"/>
      <c r="T2007" s="11"/>
    </row>
    <row r="2008">
      <c r="A2008" s="2"/>
      <c r="B2008" s="2"/>
      <c r="C2008" s="2"/>
      <c r="D2008" s="2"/>
      <c r="E2008" s="2"/>
      <c r="F2008" s="2"/>
      <c r="K2008" s="2"/>
      <c r="N2008" s="7"/>
      <c r="O2008" s="12"/>
      <c r="P2008" s="11"/>
      <c r="Q2008" s="12"/>
      <c r="R2008" s="11"/>
      <c r="S2008" s="11"/>
      <c r="T2008" s="11"/>
    </row>
    <row r="2009">
      <c r="A2009" s="2"/>
      <c r="B2009" s="2"/>
      <c r="C2009" s="2"/>
      <c r="D2009" s="2"/>
      <c r="E2009" s="2"/>
      <c r="F2009" s="2"/>
      <c r="K2009" s="2"/>
      <c r="N2009" s="7"/>
      <c r="O2009" s="12"/>
      <c r="P2009" s="11"/>
      <c r="Q2009" s="12"/>
      <c r="R2009" s="11"/>
      <c r="S2009" s="11"/>
      <c r="T2009" s="11"/>
    </row>
    <row r="2010">
      <c r="A2010" s="2"/>
      <c r="B2010" s="2"/>
      <c r="C2010" s="2"/>
      <c r="D2010" s="2"/>
      <c r="E2010" s="2"/>
      <c r="F2010" s="2"/>
      <c r="K2010" s="2"/>
      <c r="N2010" s="7"/>
      <c r="O2010" s="12"/>
      <c r="P2010" s="11"/>
      <c r="Q2010" s="12"/>
      <c r="R2010" s="11"/>
      <c r="S2010" s="11"/>
      <c r="T2010" s="11"/>
    </row>
    <row r="2011">
      <c r="A2011" s="2"/>
      <c r="B2011" s="2"/>
      <c r="C2011" s="2"/>
      <c r="D2011" s="2"/>
      <c r="E2011" s="2"/>
      <c r="F2011" s="2"/>
      <c r="K2011" s="2"/>
      <c r="N2011" s="7"/>
      <c r="O2011" s="12"/>
      <c r="P2011" s="11"/>
      <c r="Q2011" s="12"/>
      <c r="R2011" s="11"/>
      <c r="S2011" s="11"/>
      <c r="T2011" s="11"/>
    </row>
    <row r="2012">
      <c r="A2012" s="2"/>
      <c r="B2012" s="2"/>
      <c r="C2012" s="2"/>
      <c r="D2012" s="2"/>
      <c r="E2012" s="2"/>
      <c r="F2012" s="2"/>
      <c r="K2012" s="2"/>
      <c r="N2012" s="7"/>
      <c r="O2012" s="12"/>
      <c r="P2012" s="11"/>
      <c r="Q2012" s="12"/>
      <c r="R2012" s="11"/>
      <c r="S2012" s="11"/>
      <c r="T2012" s="11"/>
    </row>
    <row r="2013">
      <c r="A2013" s="2"/>
      <c r="B2013" s="2"/>
      <c r="C2013" s="2"/>
      <c r="D2013" s="2"/>
      <c r="E2013" s="2"/>
      <c r="F2013" s="2"/>
      <c r="K2013" s="2"/>
      <c r="N2013" s="7"/>
      <c r="O2013" s="12"/>
      <c r="P2013" s="11"/>
      <c r="Q2013" s="12"/>
      <c r="R2013" s="11"/>
      <c r="S2013" s="11"/>
      <c r="T2013" s="11"/>
    </row>
    <row r="2014">
      <c r="A2014" s="2"/>
      <c r="B2014" s="2"/>
      <c r="C2014" s="2"/>
      <c r="D2014" s="2"/>
      <c r="E2014" s="2"/>
      <c r="F2014" s="2"/>
      <c r="K2014" s="2"/>
      <c r="N2014" s="7"/>
      <c r="O2014" s="12"/>
      <c r="P2014" s="11"/>
      <c r="Q2014" s="12"/>
      <c r="R2014" s="11"/>
      <c r="S2014" s="11"/>
      <c r="T2014" s="11"/>
    </row>
    <row r="2015">
      <c r="A2015" s="2"/>
      <c r="B2015" s="2"/>
      <c r="C2015" s="2"/>
      <c r="D2015" s="2"/>
      <c r="E2015" s="2"/>
      <c r="F2015" s="2"/>
      <c r="K2015" s="2"/>
      <c r="N2015" s="7"/>
      <c r="O2015" s="12"/>
      <c r="P2015" s="11"/>
      <c r="Q2015" s="12"/>
      <c r="R2015" s="11"/>
      <c r="S2015" s="11"/>
      <c r="T2015" s="11"/>
    </row>
    <row r="2016">
      <c r="A2016" s="2"/>
      <c r="B2016" s="2"/>
      <c r="C2016" s="2"/>
      <c r="D2016" s="2"/>
      <c r="E2016" s="2"/>
      <c r="F2016" s="2"/>
      <c r="K2016" s="2"/>
      <c r="N2016" s="7"/>
      <c r="O2016" s="12"/>
      <c r="P2016" s="11"/>
      <c r="Q2016" s="12"/>
      <c r="R2016" s="11"/>
      <c r="S2016" s="11"/>
      <c r="T2016" s="11"/>
    </row>
    <row r="2017">
      <c r="A2017" s="2"/>
      <c r="B2017" s="2"/>
      <c r="C2017" s="2"/>
      <c r="D2017" s="2"/>
      <c r="E2017" s="2"/>
      <c r="F2017" s="2"/>
      <c r="K2017" s="2"/>
      <c r="N2017" s="7"/>
      <c r="O2017" s="12"/>
      <c r="P2017" s="11"/>
      <c r="Q2017" s="12"/>
      <c r="R2017" s="11"/>
      <c r="S2017" s="11"/>
      <c r="T2017" s="11"/>
    </row>
    <row r="2018">
      <c r="A2018" s="2"/>
      <c r="B2018" s="2"/>
      <c r="C2018" s="2"/>
      <c r="D2018" s="2"/>
      <c r="E2018" s="2"/>
      <c r="F2018" s="2"/>
      <c r="K2018" s="2"/>
      <c r="N2018" s="7"/>
      <c r="O2018" s="12"/>
      <c r="P2018" s="11"/>
      <c r="Q2018" s="12"/>
      <c r="R2018" s="11"/>
      <c r="S2018" s="11"/>
      <c r="T2018" s="11"/>
    </row>
    <row r="2019">
      <c r="A2019" s="2"/>
      <c r="B2019" s="2"/>
      <c r="C2019" s="2"/>
      <c r="D2019" s="2"/>
      <c r="E2019" s="2"/>
      <c r="F2019" s="2"/>
      <c r="K2019" s="2"/>
      <c r="N2019" s="7"/>
      <c r="O2019" s="12"/>
      <c r="P2019" s="11"/>
      <c r="Q2019" s="12"/>
      <c r="R2019" s="11"/>
      <c r="S2019" s="11"/>
      <c r="T2019" s="11"/>
    </row>
    <row r="2020">
      <c r="A2020" s="2"/>
      <c r="B2020" s="2"/>
      <c r="C2020" s="2"/>
      <c r="D2020" s="2"/>
      <c r="E2020" s="2"/>
      <c r="F2020" s="2"/>
      <c r="K2020" s="2"/>
      <c r="N2020" s="7"/>
      <c r="O2020" s="12"/>
      <c r="P2020" s="11"/>
      <c r="Q2020" s="12"/>
      <c r="R2020" s="11"/>
      <c r="S2020" s="11"/>
      <c r="T2020" s="11"/>
    </row>
    <row r="2021">
      <c r="A2021" s="2"/>
      <c r="B2021" s="2"/>
      <c r="C2021" s="2"/>
      <c r="D2021" s="2"/>
      <c r="E2021" s="2"/>
      <c r="F2021" s="2"/>
      <c r="K2021" s="2"/>
      <c r="N2021" s="7"/>
      <c r="O2021" s="12"/>
      <c r="P2021" s="11"/>
      <c r="Q2021" s="12"/>
      <c r="R2021" s="11"/>
      <c r="S2021" s="11"/>
      <c r="T2021" s="11"/>
    </row>
    <row r="2022">
      <c r="A2022" s="2"/>
      <c r="B2022" s="2"/>
      <c r="C2022" s="2"/>
      <c r="D2022" s="2"/>
      <c r="E2022" s="2"/>
      <c r="F2022" s="2"/>
      <c r="K2022" s="2"/>
      <c r="N2022" s="7"/>
      <c r="O2022" s="12"/>
      <c r="P2022" s="11"/>
      <c r="Q2022" s="12"/>
      <c r="R2022" s="11"/>
      <c r="S2022" s="11"/>
      <c r="T2022" s="11"/>
    </row>
    <row r="2023">
      <c r="A2023" s="2"/>
      <c r="B2023" s="2"/>
      <c r="C2023" s="2"/>
      <c r="D2023" s="2"/>
      <c r="E2023" s="2"/>
      <c r="F2023" s="2"/>
      <c r="K2023" s="2"/>
      <c r="N2023" s="7"/>
      <c r="O2023" s="12"/>
      <c r="P2023" s="11"/>
      <c r="Q2023" s="12"/>
      <c r="R2023" s="11"/>
      <c r="S2023" s="11"/>
      <c r="T2023" s="11"/>
    </row>
    <row r="2024">
      <c r="A2024" s="2"/>
      <c r="B2024" s="2"/>
      <c r="C2024" s="2"/>
      <c r="D2024" s="2"/>
      <c r="E2024" s="2"/>
      <c r="F2024" s="2"/>
      <c r="K2024" s="2"/>
      <c r="N2024" s="7"/>
      <c r="O2024" s="12"/>
      <c r="P2024" s="11"/>
      <c r="Q2024" s="12"/>
      <c r="R2024" s="11"/>
      <c r="S2024" s="11"/>
      <c r="T2024" s="11"/>
    </row>
    <row r="2025">
      <c r="A2025" s="2"/>
      <c r="B2025" s="2"/>
      <c r="C2025" s="2"/>
      <c r="D2025" s="2"/>
      <c r="E2025" s="2"/>
      <c r="F2025" s="2"/>
      <c r="K2025" s="2"/>
      <c r="N2025" s="7"/>
      <c r="O2025" s="12"/>
      <c r="P2025" s="11"/>
      <c r="Q2025" s="12"/>
      <c r="R2025" s="11"/>
      <c r="S2025" s="11"/>
      <c r="T2025" s="11"/>
    </row>
    <row r="2026">
      <c r="A2026" s="2"/>
      <c r="B2026" s="2"/>
      <c r="C2026" s="2"/>
      <c r="D2026" s="2"/>
      <c r="E2026" s="2"/>
      <c r="F2026" s="2"/>
      <c r="K2026" s="2"/>
      <c r="N2026" s="7"/>
      <c r="O2026" s="12"/>
      <c r="P2026" s="11"/>
      <c r="Q2026" s="12"/>
      <c r="R2026" s="11"/>
      <c r="S2026" s="11"/>
      <c r="T2026" s="11"/>
    </row>
    <row r="2027">
      <c r="A2027" s="2"/>
      <c r="B2027" s="2"/>
      <c r="C2027" s="2"/>
      <c r="D2027" s="2"/>
      <c r="E2027" s="2"/>
      <c r="F2027" s="2"/>
      <c r="K2027" s="2"/>
      <c r="N2027" s="7"/>
      <c r="O2027" s="12"/>
      <c r="P2027" s="11"/>
      <c r="Q2027" s="12"/>
      <c r="R2027" s="11"/>
      <c r="S2027" s="11"/>
      <c r="T2027" s="11"/>
    </row>
    <row r="2028">
      <c r="A2028" s="2"/>
      <c r="B2028" s="2"/>
      <c r="C2028" s="2"/>
      <c r="D2028" s="2"/>
      <c r="E2028" s="2"/>
      <c r="F2028" s="2"/>
      <c r="K2028" s="2"/>
      <c r="N2028" s="7"/>
      <c r="O2028" s="12"/>
      <c r="P2028" s="11"/>
      <c r="Q2028" s="12"/>
      <c r="R2028" s="11"/>
      <c r="S2028" s="11"/>
      <c r="T2028" s="11"/>
    </row>
    <row r="2029">
      <c r="A2029" s="2"/>
      <c r="B2029" s="2"/>
      <c r="C2029" s="2"/>
      <c r="D2029" s="2"/>
      <c r="E2029" s="2"/>
      <c r="F2029" s="2"/>
      <c r="K2029" s="2"/>
      <c r="N2029" s="7"/>
      <c r="O2029" s="12"/>
      <c r="P2029" s="11"/>
      <c r="Q2029" s="12"/>
      <c r="R2029" s="11"/>
      <c r="S2029" s="11"/>
      <c r="T2029" s="11"/>
    </row>
    <row r="2030">
      <c r="A2030" s="2"/>
      <c r="B2030" s="2"/>
      <c r="C2030" s="2"/>
      <c r="D2030" s="2"/>
      <c r="E2030" s="2"/>
      <c r="F2030" s="2"/>
      <c r="K2030" s="2"/>
      <c r="N2030" s="7"/>
      <c r="O2030" s="12"/>
      <c r="P2030" s="11"/>
      <c r="Q2030" s="12"/>
      <c r="R2030" s="11"/>
      <c r="S2030" s="11"/>
      <c r="T203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39" max="39" width="31.75"/>
  </cols>
  <sheetData>
    <row r="1">
      <c r="A1" s="14" t="s">
        <v>1851</v>
      </c>
      <c r="B1" s="14"/>
      <c r="C1" s="14"/>
      <c r="D1" s="15" t="s">
        <v>1852</v>
      </c>
      <c r="E1" s="14"/>
      <c r="F1" s="14"/>
      <c r="G1" s="15" t="s">
        <v>1853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5" t="s">
        <v>1854</v>
      </c>
      <c r="S1" s="14"/>
      <c r="T1" s="14"/>
      <c r="U1" s="14"/>
      <c r="V1" s="14"/>
      <c r="W1" s="14"/>
      <c r="X1" s="14"/>
      <c r="Y1" s="14"/>
      <c r="Z1" s="14"/>
      <c r="AA1" s="15" t="s">
        <v>1855</v>
      </c>
      <c r="AB1" s="14"/>
      <c r="AC1" s="14"/>
      <c r="AD1" s="14"/>
      <c r="AE1" s="14"/>
      <c r="AF1" s="14"/>
      <c r="AG1" s="14"/>
      <c r="AH1" s="14"/>
      <c r="AI1" s="15" t="s">
        <v>1856</v>
      </c>
      <c r="AJ1" s="14"/>
      <c r="AK1" s="14"/>
      <c r="AL1" s="14"/>
      <c r="AM1" s="15" t="s">
        <v>1857</v>
      </c>
      <c r="AN1" s="14"/>
      <c r="AO1" s="14"/>
      <c r="AP1" s="14"/>
      <c r="AQ1" s="14"/>
      <c r="AR1" s="14"/>
      <c r="AS1" s="14"/>
      <c r="AT1" s="14"/>
      <c r="AU1" s="16"/>
      <c r="AV1" s="16"/>
      <c r="AW1" s="16"/>
      <c r="AX1" s="16"/>
      <c r="AY1" s="16"/>
      <c r="AZ1" s="16"/>
      <c r="BA1" s="16"/>
      <c r="BB1" s="16"/>
      <c r="BC1" s="14"/>
      <c r="BD1" s="14"/>
      <c r="BE1" s="14"/>
      <c r="BF1" s="15" t="s">
        <v>1858</v>
      </c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5" t="s">
        <v>1859</v>
      </c>
      <c r="BZ1" s="14"/>
      <c r="CA1" s="14"/>
      <c r="CB1" s="14"/>
      <c r="CC1" s="14"/>
      <c r="CD1" s="15" t="s">
        <v>1860</v>
      </c>
      <c r="CE1" s="14"/>
      <c r="CF1" s="14"/>
      <c r="CG1" s="14"/>
      <c r="CH1" s="15" t="s">
        <v>1861</v>
      </c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>
      <c r="A2" s="14" t="s">
        <v>1862</v>
      </c>
      <c r="B2" s="14"/>
      <c r="C2" s="14"/>
      <c r="D2" s="15"/>
      <c r="E2" s="14"/>
      <c r="F2" s="14"/>
      <c r="G2" s="15" t="s">
        <v>1863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  <c r="S2" s="14"/>
      <c r="T2" s="14"/>
      <c r="U2" s="14"/>
      <c r="V2" s="14"/>
      <c r="W2" s="14"/>
      <c r="X2" s="14"/>
      <c r="Y2" s="14"/>
      <c r="Z2" s="14"/>
      <c r="AA2" s="15" t="s">
        <v>1864</v>
      </c>
      <c r="AB2" s="14"/>
      <c r="AC2" s="14"/>
      <c r="AD2" s="14"/>
      <c r="AE2" s="14"/>
      <c r="AF2" s="14"/>
      <c r="AG2" s="14"/>
      <c r="AH2" s="14"/>
      <c r="AI2" s="15"/>
      <c r="AJ2" s="14"/>
      <c r="AK2" s="14"/>
      <c r="AL2" s="14"/>
      <c r="AM2" s="15"/>
      <c r="AN2" s="14"/>
      <c r="AO2" s="14"/>
      <c r="AP2" s="14"/>
      <c r="AQ2" s="14"/>
      <c r="AR2" s="14"/>
      <c r="AS2" s="14"/>
      <c r="AT2" s="14"/>
      <c r="AU2" s="16"/>
      <c r="AV2" s="16"/>
      <c r="AW2" s="16"/>
      <c r="AX2" s="16"/>
      <c r="AY2" s="16"/>
      <c r="AZ2" s="16"/>
      <c r="BA2" s="16"/>
      <c r="BB2" s="16"/>
      <c r="BC2" s="14"/>
      <c r="BD2" s="14"/>
      <c r="BE2" s="14"/>
      <c r="BF2" s="15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5" t="s">
        <v>1865</v>
      </c>
      <c r="BZ2" s="14"/>
      <c r="CA2" s="14"/>
      <c r="CB2" s="14"/>
      <c r="CC2" s="14"/>
      <c r="CD2" s="15" t="s">
        <v>1866</v>
      </c>
      <c r="CE2" s="14"/>
      <c r="CF2" s="14"/>
      <c r="CG2" s="14"/>
      <c r="CH2" s="15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</row>
    <row r="3">
      <c r="A3" s="14"/>
      <c r="B3" s="14"/>
      <c r="C3" s="14"/>
      <c r="D3" s="15"/>
      <c r="E3" s="14"/>
      <c r="F3" s="14"/>
      <c r="G3" s="15" t="s">
        <v>1867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  <c r="S3" s="14"/>
      <c r="T3" s="14"/>
      <c r="U3" s="14"/>
      <c r="V3" s="14"/>
      <c r="W3" s="14"/>
      <c r="X3" s="14"/>
      <c r="Y3" s="14"/>
      <c r="Z3" s="14"/>
      <c r="AA3" s="15" t="s">
        <v>1868</v>
      </c>
      <c r="AB3" s="14"/>
      <c r="AC3" s="14"/>
      <c r="AD3" s="14"/>
      <c r="AE3" s="14"/>
      <c r="AF3" s="14"/>
      <c r="AG3" s="14"/>
      <c r="AH3" s="14"/>
      <c r="AI3" s="15"/>
      <c r="AJ3" s="14"/>
      <c r="AK3" s="14"/>
      <c r="AL3" s="14"/>
      <c r="AM3" s="15"/>
      <c r="AN3" s="14"/>
      <c r="AO3" s="14"/>
      <c r="AP3" s="14"/>
      <c r="AQ3" s="14"/>
      <c r="AR3" s="14"/>
      <c r="AS3" s="14"/>
      <c r="AT3" s="14"/>
      <c r="AU3" s="16"/>
      <c r="AV3" s="16"/>
      <c r="AW3" s="16"/>
      <c r="AX3" s="16"/>
      <c r="AY3" s="16"/>
      <c r="AZ3" s="16"/>
      <c r="BA3" s="16"/>
      <c r="BB3" s="16"/>
      <c r="BC3" s="14"/>
      <c r="BD3" s="14"/>
      <c r="BE3" s="14"/>
      <c r="BF3" s="15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5"/>
      <c r="BZ3" s="14"/>
      <c r="CA3" s="14"/>
      <c r="CB3" s="14"/>
      <c r="CC3" s="14"/>
      <c r="CD3" s="15"/>
      <c r="CE3" s="14"/>
      <c r="CF3" s="14"/>
      <c r="CG3" s="14"/>
      <c r="CH3" s="15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</row>
    <row r="4">
      <c r="A4" s="14"/>
      <c r="B4" s="14"/>
      <c r="C4" s="14"/>
      <c r="D4" s="15"/>
      <c r="E4" s="14"/>
      <c r="F4" s="14"/>
      <c r="G4" s="15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  <c r="S4" s="14"/>
      <c r="T4" s="14"/>
      <c r="U4" s="14"/>
      <c r="V4" s="14"/>
      <c r="W4" s="14"/>
      <c r="X4" s="14"/>
      <c r="Y4" s="14"/>
      <c r="Z4" s="14"/>
      <c r="AA4" s="15"/>
      <c r="AB4" s="14"/>
      <c r="AC4" s="14"/>
      <c r="AD4" s="14"/>
      <c r="AE4" s="14"/>
      <c r="AF4" s="14"/>
      <c r="AG4" s="14"/>
      <c r="AH4" s="14"/>
      <c r="AI4" s="15"/>
      <c r="AJ4" s="14"/>
      <c r="AK4" s="14"/>
      <c r="AL4" s="14"/>
      <c r="AM4" s="15"/>
      <c r="AN4" s="14"/>
      <c r="AO4" s="14"/>
      <c r="AP4" s="14"/>
      <c r="AQ4" s="14"/>
      <c r="AR4" s="14"/>
      <c r="AS4" s="14"/>
      <c r="AT4" s="14"/>
      <c r="AU4" s="16"/>
      <c r="AV4" s="16"/>
      <c r="AW4" s="16"/>
      <c r="AX4" s="16"/>
      <c r="AY4" s="16"/>
      <c r="AZ4" s="16"/>
      <c r="BA4" s="16"/>
      <c r="BB4" s="16"/>
      <c r="BC4" s="14"/>
      <c r="BD4" s="14"/>
      <c r="BE4" s="14"/>
      <c r="BF4" s="15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5"/>
      <c r="BZ4" s="14"/>
      <c r="CA4" s="14"/>
      <c r="CB4" s="14"/>
      <c r="CC4" s="14"/>
      <c r="CD4" s="15"/>
      <c r="CE4" s="14"/>
      <c r="CF4" s="14"/>
      <c r="CG4" s="14"/>
      <c r="CH4" s="15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</row>
    <row r="5">
      <c r="A5" s="14"/>
      <c r="B5" s="14"/>
      <c r="C5" s="14"/>
      <c r="D5" s="15"/>
      <c r="E5" s="14"/>
      <c r="F5" s="14"/>
      <c r="G5" s="15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4"/>
      <c r="T5" s="14"/>
      <c r="U5" s="14"/>
      <c r="V5" s="14"/>
      <c r="W5" s="14"/>
      <c r="X5" s="14"/>
      <c r="Y5" s="14"/>
      <c r="Z5" s="14"/>
      <c r="AA5" s="15"/>
      <c r="AB5" s="14"/>
      <c r="AC5" s="14"/>
      <c r="AD5" s="14"/>
      <c r="AE5" s="14"/>
      <c r="AF5" s="14"/>
      <c r="AG5" s="14"/>
      <c r="AH5" s="14"/>
      <c r="AI5" s="15"/>
      <c r="AJ5" s="14"/>
      <c r="AK5" s="14"/>
      <c r="AL5" s="14"/>
      <c r="AM5" s="15"/>
      <c r="AN5" s="14"/>
      <c r="AO5" s="14"/>
      <c r="AP5" s="14"/>
      <c r="AQ5" s="14"/>
      <c r="AR5" s="14"/>
      <c r="AS5" s="14"/>
      <c r="AT5" s="14"/>
      <c r="AU5" s="16"/>
      <c r="AV5" s="16"/>
      <c r="AW5" s="16"/>
      <c r="AX5" s="16"/>
      <c r="AY5" s="16"/>
      <c r="AZ5" s="16"/>
      <c r="BA5" s="16"/>
      <c r="BB5" s="16"/>
      <c r="BC5" s="14"/>
      <c r="BD5" s="14"/>
      <c r="BE5" s="14"/>
      <c r="BF5" s="15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5"/>
      <c r="BZ5" s="14"/>
      <c r="CA5" s="14"/>
      <c r="CB5" s="14"/>
      <c r="CC5" s="14"/>
      <c r="CD5" s="15"/>
      <c r="CE5" s="14"/>
      <c r="CF5" s="14"/>
      <c r="CG5" s="14"/>
      <c r="CH5" s="15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</row>
    <row r="6">
      <c r="A6" s="17"/>
      <c r="B6" s="17"/>
      <c r="C6" s="17"/>
      <c r="D6" s="18"/>
      <c r="E6" s="17"/>
      <c r="F6" s="17"/>
      <c r="G6" s="18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7"/>
      <c r="U6" s="17"/>
      <c r="V6" s="17"/>
      <c r="W6" s="17"/>
      <c r="X6" s="17"/>
      <c r="Y6" s="17"/>
      <c r="Z6" s="17"/>
      <c r="AA6" s="18"/>
      <c r="AB6" s="17"/>
      <c r="AC6" s="17"/>
      <c r="AD6" s="17"/>
      <c r="AE6" s="17"/>
      <c r="AF6" s="17"/>
      <c r="AG6" s="17"/>
      <c r="AH6" s="17"/>
      <c r="AI6" s="18"/>
      <c r="AJ6" s="17"/>
      <c r="AK6" s="17"/>
      <c r="AL6" s="17"/>
      <c r="AM6" s="18"/>
      <c r="AN6" s="17"/>
      <c r="AO6" s="17"/>
      <c r="AP6" s="17"/>
      <c r="AQ6" s="17"/>
      <c r="AR6" s="17"/>
      <c r="AS6" s="17"/>
      <c r="AT6" s="17"/>
      <c r="AU6" s="19"/>
      <c r="AV6" s="19"/>
      <c r="AW6" s="19"/>
      <c r="AX6" s="19"/>
      <c r="AY6" s="19"/>
      <c r="AZ6" s="19"/>
      <c r="BA6" s="19"/>
      <c r="BB6" s="19"/>
      <c r="BC6" s="17"/>
      <c r="BD6" s="17"/>
      <c r="BE6" s="17"/>
      <c r="BF6" s="18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8"/>
      <c r="BZ6" s="17"/>
      <c r="CA6" s="17"/>
      <c r="CB6" s="17"/>
      <c r="CC6" s="17"/>
      <c r="CD6" s="18"/>
      <c r="CE6" s="17"/>
      <c r="CF6" s="17"/>
      <c r="CG6" s="17"/>
      <c r="CH6" s="18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</row>
    <row r="7">
      <c r="A7" s="2" t="str">
        <f t="array" ref="A7:A33">UNIQUE('Data Result'!A:A)</f>
        <v>Date</v>
      </c>
      <c r="B7" s="1" t="s">
        <v>0</v>
      </c>
      <c r="D7" s="1" t="str">
        <f t="array" ref="D7:D13">UNIQUE(B7:B32)</f>
        <v>Days</v>
      </c>
      <c r="E7" s="1" t="s">
        <v>1869</v>
      </c>
      <c r="BY7" s="2" t="s">
        <v>1556</v>
      </c>
      <c r="BZ7" s="2" t="s">
        <v>1870</v>
      </c>
      <c r="CA7" s="2" t="s">
        <v>1873</v>
      </c>
      <c r="CB7" s="1" t="s">
        <v>1874</v>
      </c>
      <c r="CD7" s="2" t="s">
        <v>1646</v>
      </c>
      <c r="CE7" s="2" t="s">
        <v>1645</v>
      </c>
      <c r="CF7" s="2" t="s">
        <v>1873</v>
      </c>
    </row>
    <row r="8">
      <c r="A8" s="2" t="s">
        <v>1653</v>
      </c>
      <c r="B8" s="2" t="str">
        <f t="shared" ref="B8:B32" si="1">TEXT(A8,"dddd")</f>
        <v>Sunday</v>
      </c>
      <c r="D8" s="2" t="s">
        <v>11</v>
      </c>
      <c r="E8" s="2">
        <f t="shared" ref="E8:E13" si="2">COUNTIF($B$8:$B$32,D8)</f>
        <v>5</v>
      </c>
      <c r="BE8" s="14"/>
      <c r="BX8" s="20"/>
      <c r="BY8" s="2" t="s">
        <v>1574</v>
      </c>
      <c r="BZ8" s="6">
        <v>3.4373093E7</v>
      </c>
      <c r="CA8" s="2">
        <v>570.0</v>
      </c>
      <c r="CB8" s="21">
        <f t="shared" ref="CB8:CB9" si="3">BZ8/CA8</f>
        <v>60303.67193</v>
      </c>
      <c r="CD8" s="2" t="s">
        <v>4</v>
      </c>
      <c r="CE8" s="2" t="s">
        <v>8</v>
      </c>
      <c r="CF8" s="2">
        <v>70.0</v>
      </c>
    </row>
    <row r="9">
      <c r="A9" s="2" t="s">
        <v>1725</v>
      </c>
      <c r="B9" s="2" t="str">
        <f t="shared" si="1"/>
        <v>Saturday</v>
      </c>
      <c r="D9" s="2" t="s">
        <v>9</v>
      </c>
      <c r="E9" s="2">
        <f t="shared" si="2"/>
        <v>4</v>
      </c>
      <c r="BY9" s="2" t="s">
        <v>1567</v>
      </c>
      <c r="BZ9" s="6">
        <v>1706677.0</v>
      </c>
      <c r="CA9" s="2">
        <v>29.0</v>
      </c>
      <c r="CB9" s="21">
        <f t="shared" si="3"/>
        <v>58850.93103</v>
      </c>
      <c r="CD9" s="2"/>
      <c r="CE9" s="2" t="s">
        <v>7</v>
      </c>
      <c r="CF9" s="2">
        <v>74.0</v>
      </c>
    </row>
    <row r="10">
      <c r="A10" s="2" t="s">
        <v>1739</v>
      </c>
      <c r="B10" s="2" t="str">
        <f t="shared" si="1"/>
        <v>Friday</v>
      </c>
      <c r="D10" s="2" t="s">
        <v>8</v>
      </c>
      <c r="E10" s="2">
        <f t="shared" si="2"/>
        <v>4</v>
      </c>
      <c r="AU10" s="2" t="str">
        <f t="array" ref="AU10:BA10">TRANSPOSE('Data Info'!A2:A8)</f>
        <v>Monday</v>
      </c>
      <c r="AV10" s="2" t="s">
        <v>5</v>
      </c>
      <c r="AW10" s="2" t="s">
        <v>6</v>
      </c>
      <c r="AX10" s="2" t="s">
        <v>7</v>
      </c>
      <c r="AY10" s="2" t="s">
        <v>8</v>
      </c>
      <c r="AZ10" s="2" t="s">
        <v>9</v>
      </c>
      <c r="BA10" s="2" t="s">
        <v>11</v>
      </c>
      <c r="BB10" s="16" t="s">
        <v>4</v>
      </c>
      <c r="BC10" s="16" t="s">
        <v>10</v>
      </c>
      <c r="BD10" s="14"/>
      <c r="BN10" s="2" t="s">
        <v>3</v>
      </c>
      <c r="BO10" s="2" t="s">
        <v>5</v>
      </c>
      <c r="BP10" s="2" t="s">
        <v>6</v>
      </c>
      <c r="BQ10" s="2" t="s">
        <v>7</v>
      </c>
      <c r="BR10" s="2" t="s">
        <v>8</v>
      </c>
      <c r="BS10" s="2" t="s">
        <v>9</v>
      </c>
      <c r="BT10" s="2" t="s">
        <v>11</v>
      </c>
      <c r="BU10" s="20" t="s">
        <v>4</v>
      </c>
      <c r="BV10" s="20" t="s">
        <v>10</v>
      </c>
      <c r="BW10" s="2" t="s">
        <v>1875</v>
      </c>
      <c r="BY10" s="2" t="s">
        <v>1875</v>
      </c>
      <c r="BZ10" s="6">
        <v>3.607977E7</v>
      </c>
      <c r="CA10" s="2">
        <v>599.0</v>
      </c>
      <c r="CD10" s="2"/>
      <c r="CE10" s="2" t="s">
        <v>5</v>
      </c>
      <c r="CF10" s="2">
        <v>72.0</v>
      </c>
    </row>
    <row r="11">
      <c r="A11" s="2" t="s">
        <v>1741</v>
      </c>
      <c r="B11" s="2" t="str">
        <f t="shared" si="1"/>
        <v>Thursday</v>
      </c>
      <c r="D11" s="2" t="s">
        <v>7</v>
      </c>
      <c r="E11" s="2">
        <f t="shared" si="2"/>
        <v>4</v>
      </c>
      <c r="AV11" s="2">
        <f t="shared" ref="AV11:BA11" si="4">roundup(AN11/VLOOKUP(AV$10,$D$7:$E$13,2,0),0)</f>
        <v>12</v>
      </c>
      <c r="AW11" s="2">
        <f t="shared" si="4"/>
        <v>10</v>
      </c>
      <c r="AX11" s="2">
        <f t="shared" si="4"/>
        <v>11</v>
      </c>
      <c r="AY11" s="2">
        <f t="shared" si="4"/>
        <v>8</v>
      </c>
      <c r="AZ11" s="2">
        <f t="shared" si="4"/>
        <v>22</v>
      </c>
      <c r="BA11" s="2">
        <f t="shared" si="4"/>
        <v>23</v>
      </c>
      <c r="BB11" s="2">
        <f t="shared" ref="BB11:BB63" si="7">roundup(SUM(AN11:AQ11)/SUM($E$10:$E$13),0)</f>
        <v>10</v>
      </c>
      <c r="BC11" s="2">
        <f t="shared" ref="BC11:BC63" si="8">roundup(SUM(AR11:AS11)/SUM($E$8:$E$9),0)</f>
        <v>23</v>
      </c>
      <c r="BO11" s="2">
        <f t="shared" ref="BO11:BT11" si="5">roundup(BG11/VLOOKUP(BO$10,$D$8:$E$13,2,0),0)</f>
        <v>0</v>
      </c>
      <c r="BP11" s="2">
        <f t="shared" si="5"/>
        <v>0</v>
      </c>
      <c r="BQ11" s="2">
        <f t="shared" si="5"/>
        <v>0</v>
      </c>
      <c r="BR11" s="2">
        <f t="shared" si="5"/>
        <v>0</v>
      </c>
      <c r="BS11" s="2">
        <f t="shared" si="5"/>
        <v>0</v>
      </c>
      <c r="BT11" s="2">
        <f t="shared" si="5"/>
        <v>1</v>
      </c>
      <c r="BU11" s="2">
        <f t="shared" ref="BU11:BU25" si="10">roundup(SUM(BG11:BK11)/SUM($E$10:$E$13),0)</f>
        <v>0</v>
      </c>
      <c r="BV11" s="2">
        <f t="shared" ref="BV11:BV25" si="11">roundup(SUM(BK11:BL11)/SUM($E$8:$E$9),0)</f>
        <v>1</v>
      </c>
      <c r="CD11" s="2"/>
      <c r="CE11" s="2" t="s">
        <v>6</v>
      </c>
      <c r="CF11" s="2">
        <v>59.0</v>
      </c>
    </row>
    <row r="12">
      <c r="A12" s="2" t="s">
        <v>1746</v>
      </c>
      <c r="B12" s="2" t="str">
        <f t="shared" si="1"/>
        <v>Wednesday</v>
      </c>
      <c r="D12" s="2" t="s">
        <v>6</v>
      </c>
      <c r="E12" s="2">
        <f t="shared" si="2"/>
        <v>4</v>
      </c>
      <c r="AV12" s="2">
        <f t="shared" ref="AV12:AV63" si="12">roundup(AN12/VLOOKUP($AV$10,$D$7:$E$13,2,0),0)</f>
        <v>5</v>
      </c>
      <c r="AW12" s="2">
        <f t="shared" ref="AW12:BA12" si="6">roundup(AO12/VLOOKUP(AW$10,$D$7:$E$13,2,0),0)</f>
        <v>6</v>
      </c>
      <c r="AX12" s="2">
        <f t="shared" si="6"/>
        <v>7</v>
      </c>
      <c r="AY12" s="2">
        <f t="shared" si="6"/>
        <v>6</v>
      </c>
      <c r="AZ12" s="2">
        <f t="shared" si="6"/>
        <v>12</v>
      </c>
      <c r="BA12" s="2">
        <f t="shared" si="6"/>
        <v>13</v>
      </c>
      <c r="BB12" s="2">
        <f t="shared" si="7"/>
        <v>6</v>
      </c>
      <c r="BC12" s="2">
        <f t="shared" si="8"/>
        <v>13</v>
      </c>
      <c r="BO12" s="2">
        <f t="shared" ref="BO12:BT12" si="9">roundup(BG12/VLOOKUP(BO$10,$D$8:$E$13,2,0),0)</f>
        <v>0</v>
      </c>
      <c r="BP12" s="2">
        <f t="shared" si="9"/>
        <v>0</v>
      </c>
      <c r="BQ12" s="2">
        <f t="shared" si="9"/>
        <v>0</v>
      </c>
      <c r="BR12" s="2">
        <f t="shared" si="9"/>
        <v>0</v>
      </c>
      <c r="BS12" s="2">
        <f t="shared" si="9"/>
        <v>0</v>
      </c>
      <c r="BT12" s="2">
        <f t="shared" si="9"/>
        <v>2</v>
      </c>
      <c r="BU12" s="2">
        <f t="shared" si="10"/>
        <v>0</v>
      </c>
      <c r="BV12" s="2">
        <f t="shared" si="11"/>
        <v>1</v>
      </c>
      <c r="CD12" s="2" t="s">
        <v>10</v>
      </c>
      <c r="CE12" s="2" t="s">
        <v>9</v>
      </c>
      <c r="CF12" s="2">
        <v>142.0</v>
      </c>
    </row>
    <row r="13">
      <c r="A13" s="2" t="s">
        <v>1750</v>
      </c>
      <c r="B13" s="2" t="str">
        <f t="shared" si="1"/>
        <v>Tuesday</v>
      </c>
      <c r="D13" s="2" t="s">
        <v>5</v>
      </c>
      <c r="E13" s="2">
        <f t="shared" si="2"/>
        <v>4</v>
      </c>
      <c r="AV13" s="2">
        <f t="shared" si="12"/>
        <v>4</v>
      </c>
      <c r="AW13" s="2">
        <f t="shared" ref="AW13:BA13" si="13">roundup(AO13/VLOOKUP(AW$10,$D$7:$E$13,2,0),0)</f>
        <v>4</v>
      </c>
      <c r="AX13" s="2">
        <f t="shared" si="13"/>
        <v>7</v>
      </c>
      <c r="AY13" s="2">
        <f t="shared" si="13"/>
        <v>6</v>
      </c>
      <c r="AZ13" s="2">
        <f t="shared" si="13"/>
        <v>10</v>
      </c>
      <c r="BA13" s="2">
        <f t="shared" si="13"/>
        <v>12</v>
      </c>
      <c r="BB13" s="2">
        <f t="shared" si="7"/>
        <v>5</v>
      </c>
      <c r="BC13" s="2">
        <f t="shared" si="8"/>
        <v>11</v>
      </c>
      <c r="BO13" s="2">
        <f t="shared" ref="BO13:BT13" si="14">roundup(BG13/VLOOKUP(BO$10,$D$8:$E$13,2,0),0)</f>
        <v>3</v>
      </c>
      <c r="BP13" s="2">
        <f t="shared" si="14"/>
        <v>4</v>
      </c>
      <c r="BQ13" s="2">
        <f t="shared" si="14"/>
        <v>5</v>
      </c>
      <c r="BR13" s="2">
        <f t="shared" si="14"/>
        <v>1</v>
      </c>
      <c r="BS13" s="2">
        <f t="shared" si="14"/>
        <v>3</v>
      </c>
      <c r="BT13" s="2">
        <f t="shared" si="14"/>
        <v>8</v>
      </c>
      <c r="BU13" s="2">
        <f t="shared" si="10"/>
        <v>4</v>
      </c>
      <c r="BV13" s="2">
        <f t="shared" si="11"/>
        <v>6</v>
      </c>
      <c r="CD13" s="2"/>
      <c r="CE13" s="2" t="s">
        <v>11</v>
      </c>
      <c r="CF13" s="2">
        <v>182.0</v>
      </c>
    </row>
    <row r="14">
      <c r="A14" s="2" t="s">
        <v>1752</v>
      </c>
      <c r="B14" s="2" t="str">
        <f t="shared" si="1"/>
        <v>Sunday</v>
      </c>
      <c r="AV14" s="2">
        <f t="shared" si="12"/>
        <v>3</v>
      </c>
      <c r="AW14" s="2">
        <f t="shared" ref="AW14:BA14" si="15">roundup(AO14/VLOOKUP(AW$10,$D$7:$E$13,2,0),0)</f>
        <v>3</v>
      </c>
      <c r="AX14" s="2">
        <f t="shared" si="15"/>
        <v>5</v>
      </c>
      <c r="AY14" s="2">
        <f t="shared" si="15"/>
        <v>3</v>
      </c>
      <c r="AZ14" s="2">
        <f t="shared" si="15"/>
        <v>6</v>
      </c>
      <c r="BA14" s="2">
        <f t="shared" si="15"/>
        <v>6</v>
      </c>
      <c r="BB14" s="2">
        <f t="shared" si="7"/>
        <v>3</v>
      </c>
      <c r="BC14" s="2">
        <f t="shared" si="8"/>
        <v>6</v>
      </c>
      <c r="BO14" s="2">
        <f t="shared" ref="BO14:BT14" si="16">roundup(BG14/VLOOKUP(BO$10,$D$8:$E$13,2,0),0)</f>
        <v>4</v>
      </c>
      <c r="BP14" s="2">
        <f t="shared" si="16"/>
        <v>1</v>
      </c>
      <c r="BQ14" s="2">
        <f t="shared" si="16"/>
        <v>2</v>
      </c>
      <c r="BR14" s="2">
        <f t="shared" si="16"/>
        <v>4</v>
      </c>
      <c r="BS14" s="2">
        <f t="shared" si="16"/>
        <v>9</v>
      </c>
      <c r="BT14" s="2">
        <f t="shared" si="16"/>
        <v>9</v>
      </c>
      <c r="BU14" s="2">
        <f t="shared" si="10"/>
        <v>5</v>
      </c>
      <c r="BV14" s="2">
        <f t="shared" si="11"/>
        <v>9</v>
      </c>
      <c r="CD14" s="2" t="s">
        <v>1875</v>
      </c>
      <c r="CE14" s="2"/>
      <c r="CF14" s="2">
        <v>599.0</v>
      </c>
    </row>
    <row r="15">
      <c r="A15" s="2" t="s">
        <v>1755</v>
      </c>
      <c r="B15" s="2" t="str">
        <f t="shared" si="1"/>
        <v>Saturday</v>
      </c>
      <c r="AV15" s="2">
        <f t="shared" si="12"/>
        <v>2</v>
      </c>
      <c r="AW15" s="2">
        <f t="shared" ref="AW15:BA15" si="17">roundup(AO15/VLOOKUP(AW$10,$D$7:$E$13,2,0),0)</f>
        <v>1</v>
      </c>
      <c r="AX15" s="2">
        <f t="shared" si="17"/>
        <v>2</v>
      </c>
      <c r="AY15" s="2">
        <f t="shared" si="17"/>
        <v>4</v>
      </c>
      <c r="AZ15" s="2">
        <f t="shared" si="17"/>
        <v>4</v>
      </c>
      <c r="BA15" s="2">
        <f t="shared" si="17"/>
        <v>2</v>
      </c>
      <c r="BB15" s="2">
        <f t="shared" si="7"/>
        <v>3</v>
      </c>
      <c r="BC15" s="2">
        <f t="shared" si="8"/>
        <v>3</v>
      </c>
      <c r="BO15" s="2">
        <f t="shared" ref="BO15:BT15" si="18">roundup(BG15/VLOOKUP(BO$10,$D$8:$E$13,2,0),0)</f>
        <v>3</v>
      </c>
      <c r="BP15" s="2">
        <f t="shared" si="18"/>
        <v>1</v>
      </c>
      <c r="BQ15" s="2">
        <f t="shared" si="18"/>
        <v>4</v>
      </c>
      <c r="BR15" s="2">
        <f t="shared" si="18"/>
        <v>2</v>
      </c>
      <c r="BS15" s="2">
        <f t="shared" si="18"/>
        <v>13</v>
      </c>
      <c r="BT15" s="2">
        <f t="shared" si="18"/>
        <v>10</v>
      </c>
      <c r="BU15" s="2">
        <f t="shared" si="10"/>
        <v>6</v>
      </c>
      <c r="BV15" s="2">
        <f t="shared" si="11"/>
        <v>11</v>
      </c>
    </row>
    <row r="16">
      <c r="A16" s="2" t="s">
        <v>1773</v>
      </c>
      <c r="B16" s="2" t="str">
        <f t="shared" si="1"/>
        <v>Friday</v>
      </c>
      <c r="AV16" s="2">
        <f t="shared" si="12"/>
        <v>2</v>
      </c>
      <c r="AW16" s="2">
        <f t="shared" ref="AW16:BA16" si="19">roundup(AO16/VLOOKUP(AW$10,$D$7:$E$13,2,0),0)</f>
        <v>1</v>
      </c>
      <c r="AX16" s="2">
        <f t="shared" si="19"/>
        <v>1</v>
      </c>
      <c r="AY16" s="2">
        <f t="shared" si="19"/>
        <v>2</v>
      </c>
      <c r="AZ16" s="2">
        <f t="shared" si="19"/>
        <v>4</v>
      </c>
      <c r="BA16" s="2">
        <f t="shared" si="19"/>
        <v>3</v>
      </c>
      <c r="BB16" s="2">
        <f t="shared" si="7"/>
        <v>2</v>
      </c>
      <c r="BC16" s="2">
        <f t="shared" si="8"/>
        <v>3</v>
      </c>
      <c r="BO16" s="2">
        <f t="shared" ref="BO16:BT16" si="20">roundup(BG16/VLOOKUP(BO$10,$D$8:$E$13,2,0),0)</f>
        <v>3</v>
      </c>
      <c r="BP16" s="2">
        <f t="shared" si="20"/>
        <v>2</v>
      </c>
      <c r="BQ16" s="2">
        <f t="shared" si="20"/>
        <v>4</v>
      </c>
      <c r="BR16" s="2">
        <f t="shared" si="20"/>
        <v>4</v>
      </c>
      <c r="BS16" s="2">
        <f t="shared" si="20"/>
        <v>7</v>
      </c>
      <c r="BT16" s="2">
        <f t="shared" si="20"/>
        <v>7</v>
      </c>
      <c r="BU16" s="2">
        <f t="shared" si="10"/>
        <v>5</v>
      </c>
      <c r="BV16" s="2">
        <f t="shared" si="11"/>
        <v>7</v>
      </c>
    </row>
    <row r="17">
      <c r="A17" s="2" t="s">
        <v>1780</v>
      </c>
      <c r="B17" s="2" t="str">
        <f t="shared" si="1"/>
        <v>Thursday</v>
      </c>
      <c r="AV17" s="2">
        <f t="shared" si="12"/>
        <v>2</v>
      </c>
      <c r="AW17" s="2">
        <f t="shared" ref="AW17:BA17" si="21">roundup(AO17/VLOOKUP(AW$10,$D$7:$E$13,2,0),0)</f>
        <v>1</v>
      </c>
      <c r="AX17" s="2">
        <f t="shared" si="21"/>
        <v>2</v>
      </c>
      <c r="AY17" s="2">
        <f t="shared" si="21"/>
        <v>2</v>
      </c>
      <c r="AZ17" s="2">
        <f t="shared" si="21"/>
        <v>3</v>
      </c>
      <c r="BA17" s="2">
        <f t="shared" si="21"/>
        <v>2</v>
      </c>
      <c r="BB17" s="2">
        <f t="shared" si="7"/>
        <v>2</v>
      </c>
      <c r="BC17" s="2">
        <f t="shared" si="8"/>
        <v>3</v>
      </c>
      <c r="BO17" s="2">
        <f t="shared" ref="BO17:BT17" si="22">roundup(BG17/VLOOKUP(BO$10,$D$8:$E$13,2,0),0)</f>
        <v>5</v>
      </c>
      <c r="BP17" s="2">
        <f t="shared" si="22"/>
        <v>5</v>
      </c>
      <c r="BQ17" s="2">
        <f t="shared" si="22"/>
        <v>9</v>
      </c>
      <c r="BR17" s="2">
        <f t="shared" si="22"/>
        <v>2</v>
      </c>
      <c r="BS17" s="2">
        <f t="shared" si="22"/>
        <v>15</v>
      </c>
      <c r="BT17" s="2">
        <f t="shared" si="22"/>
        <v>15</v>
      </c>
      <c r="BU17" s="2">
        <f t="shared" si="10"/>
        <v>9</v>
      </c>
      <c r="BV17" s="2">
        <f t="shared" si="11"/>
        <v>15</v>
      </c>
    </row>
    <row r="18">
      <c r="A18" s="2" t="s">
        <v>1790</v>
      </c>
      <c r="B18" s="2" t="str">
        <f t="shared" si="1"/>
        <v>Wednesday</v>
      </c>
      <c r="H18" s="2" t="str">
        <f t="array" ref="H18:N18">TRANSPOSE('Data Info'!A2:A8)</f>
        <v>Monday</v>
      </c>
      <c r="I18" s="2" t="s">
        <v>5</v>
      </c>
      <c r="J18" s="2" t="s">
        <v>6</v>
      </c>
      <c r="K18" s="2" t="s">
        <v>7</v>
      </c>
      <c r="L18" s="2" t="s">
        <v>8</v>
      </c>
      <c r="M18" s="2" t="s">
        <v>9</v>
      </c>
      <c r="N18" s="2" t="s">
        <v>11</v>
      </c>
      <c r="O18" s="1" t="s">
        <v>4</v>
      </c>
      <c r="P18" s="1" t="s">
        <v>10</v>
      </c>
      <c r="Q18" s="1"/>
      <c r="AV18" s="2">
        <f t="shared" si="12"/>
        <v>1</v>
      </c>
      <c r="AW18" s="2">
        <f t="shared" ref="AW18:BA18" si="23">roundup(AO18/VLOOKUP(AW$10,$D$7:$E$13,2,0),0)</f>
        <v>1</v>
      </c>
      <c r="AX18" s="2">
        <f t="shared" si="23"/>
        <v>3</v>
      </c>
      <c r="AY18" s="2">
        <f t="shared" si="23"/>
        <v>2</v>
      </c>
      <c r="AZ18" s="2">
        <f t="shared" si="23"/>
        <v>2</v>
      </c>
      <c r="BA18" s="2">
        <f t="shared" si="23"/>
        <v>3</v>
      </c>
      <c r="BB18" s="2">
        <f t="shared" si="7"/>
        <v>2</v>
      </c>
      <c r="BC18" s="2">
        <f t="shared" si="8"/>
        <v>3</v>
      </c>
      <c r="BO18" s="2">
        <f t="shared" ref="BO18:BT18" si="24">roundup(BG18/VLOOKUP(BO$10,$D$8:$E$13,2,0),0)</f>
        <v>5</v>
      </c>
      <c r="BP18" s="2">
        <f t="shared" si="24"/>
        <v>3</v>
      </c>
      <c r="BQ18" s="2">
        <f t="shared" si="24"/>
        <v>4</v>
      </c>
      <c r="BR18" s="2">
        <f t="shared" si="24"/>
        <v>14</v>
      </c>
      <c r="BS18" s="2">
        <f t="shared" si="24"/>
        <v>3</v>
      </c>
      <c r="BT18" s="2">
        <f t="shared" si="24"/>
        <v>10</v>
      </c>
      <c r="BU18" s="2">
        <f t="shared" si="10"/>
        <v>7</v>
      </c>
      <c r="BV18" s="2">
        <f t="shared" si="11"/>
        <v>7</v>
      </c>
    </row>
    <row r="19">
      <c r="A19" s="2" t="s">
        <v>1792</v>
      </c>
      <c r="B19" s="2" t="str">
        <f t="shared" si="1"/>
        <v>Tuesday</v>
      </c>
      <c r="G19" s="2" t="str">
        <f t="shared" ref="G19:G24" si="27">G10</f>
        <v>Hidangan Utama</v>
      </c>
      <c r="I19" s="2">
        <f t="shared" ref="I19:I23" si="28">L10/VLOOKUP($I$18,$D$8:$E$13,2,0)</f>
        <v>45595.5</v>
      </c>
      <c r="J19" s="2">
        <f t="shared" ref="J19:J24" si="29">N11/VLOOKUP($J$18,$D$8:$E$13,2,0)</f>
        <v>0</v>
      </c>
      <c r="K19" s="2">
        <f t="shared" ref="K19:K24" si="30">L11/VLOOKUP($K$18,$D$8:$E$13,2,0)</f>
        <v>184047.25</v>
      </c>
      <c r="L19" s="2">
        <f t="shared" ref="L19:L24" si="31">I11/VLOOKUP($L$18,$D$8:$E$13,2,0)</f>
        <v>323213.5</v>
      </c>
      <c r="M19" s="2">
        <f t="shared" ref="M19:M24" si="32">J11/VLOOKUP($M$18,$D$8:$E$13,2,0)</f>
        <v>417856</v>
      </c>
      <c r="N19" s="2">
        <f t="shared" ref="N19:N24" si="33">K11/VLOOKUP($N$18,$D$8:$E$13,2,0)</f>
        <v>91428.4</v>
      </c>
      <c r="O19" s="2">
        <f t="shared" ref="O19:O23" si="34">SUM(I19:L19)</f>
        <v>552856.25</v>
      </c>
      <c r="P19" s="2">
        <f t="shared" ref="P19:P23" si="35">SUM(M19:N19)</f>
        <v>509284.4</v>
      </c>
      <c r="AV19" s="2">
        <f t="shared" si="12"/>
        <v>3</v>
      </c>
      <c r="AW19" s="2">
        <f t="shared" ref="AW19:BA19" si="25">roundup(AO19/VLOOKUP(AW$10,$D$7:$E$13,2,0),0)</f>
        <v>2</v>
      </c>
      <c r="AX19" s="2">
        <f t="shared" si="25"/>
        <v>1</v>
      </c>
      <c r="AY19" s="2">
        <f t="shared" si="25"/>
        <v>1</v>
      </c>
      <c r="AZ19" s="2">
        <f t="shared" si="25"/>
        <v>2</v>
      </c>
      <c r="BA19" s="2">
        <f t="shared" si="25"/>
        <v>4</v>
      </c>
      <c r="BB19" s="2">
        <f t="shared" si="7"/>
        <v>2</v>
      </c>
      <c r="BC19" s="2">
        <f t="shared" si="8"/>
        <v>3</v>
      </c>
      <c r="BO19" s="2">
        <f t="shared" ref="BO19:BT19" si="26">roundup(BG19/VLOOKUP(BO$10,$D$8:$E$13,2,0),0)</f>
        <v>1</v>
      </c>
      <c r="BP19" s="2">
        <f t="shared" si="26"/>
        <v>5</v>
      </c>
      <c r="BQ19" s="2">
        <f t="shared" si="26"/>
        <v>3</v>
      </c>
      <c r="BR19" s="2">
        <f t="shared" si="26"/>
        <v>3</v>
      </c>
      <c r="BS19" s="2">
        <f t="shared" si="26"/>
        <v>19</v>
      </c>
      <c r="BT19" s="2">
        <f t="shared" si="26"/>
        <v>12</v>
      </c>
      <c r="BU19" s="2">
        <f t="shared" si="10"/>
        <v>8</v>
      </c>
      <c r="BV19" s="2">
        <f t="shared" si="11"/>
        <v>15</v>
      </c>
    </row>
    <row r="20">
      <c r="A20" s="2" t="s">
        <v>1797</v>
      </c>
      <c r="B20" s="2" t="str">
        <f t="shared" si="1"/>
        <v>Sunday</v>
      </c>
      <c r="G20" s="2" t="str">
        <f t="shared" si="27"/>
        <v>Kudapan</v>
      </c>
      <c r="I20" s="2">
        <f t="shared" si="28"/>
        <v>184047.25</v>
      </c>
      <c r="J20" s="2">
        <f t="shared" si="29"/>
        <v>0</v>
      </c>
      <c r="K20" s="2">
        <f t="shared" si="30"/>
        <v>316430</v>
      </c>
      <c r="L20" s="2">
        <f t="shared" si="31"/>
        <v>840356.75</v>
      </c>
      <c r="M20" s="2">
        <f t="shared" si="32"/>
        <v>1126072.5</v>
      </c>
      <c r="N20" s="2">
        <f t="shared" si="33"/>
        <v>255904.6</v>
      </c>
      <c r="O20" s="2">
        <f t="shared" si="34"/>
        <v>1340834</v>
      </c>
      <c r="P20" s="2">
        <f t="shared" si="35"/>
        <v>1381977.1</v>
      </c>
      <c r="AV20" s="2">
        <f t="shared" si="12"/>
        <v>2</v>
      </c>
      <c r="AW20" s="2">
        <f t="shared" ref="AW20:BA20" si="36">roundup(AO20/VLOOKUP(AW$10,$D$7:$E$13,2,0),0)</f>
        <v>1</v>
      </c>
      <c r="AX20" s="2">
        <f t="shared" si="36"/>
        <v>2</v>
      </c>
      <c r="AY20" s="2">
        <f t="shared" si="36"/>
        <v>1</v>
      </c>
      <c r="AZ20" s="2">
        <f t="shared" si="36"/>
        <v>2</v>
      </c>
      <c r="BA20" s="2">
        <f t="shared" si="36"/>
        <v>4</v>
      </c>
      <c r="BB20" s="2">
        <f t="shared" si="7"/>
        <v>1</v>
      </c>
      <c r="BC20" s="2">
        <f t="shared" si="8"/>
        <v>3</v>
      </c>
      <c r="BO20" s="2">
        <f t="shared" ref="BO20:BT20" si="37">roundup(BG20/VLOOKUP(BO$10,$D$8:$E$13,2,0),0)</f>
        <v>5</v>
      </c>
      <c r="BP20" s="2">
        <f t="shared" si="37"/>
        <v>5</v>
      </c>
      <c r="BQ20" s="2">
        <f t="shared" si="37"/>
        <v>3</v>
      </c>
      <c r="BR20" s="2">
        <f t="shared" si="37"/>
        <v>8</v>
      </c>
      <c r="BS20" s="2">
        <f t="shared" si="37"/>
        <v>16</v>
      </c>
      <c r="BT20" s="2">
        <f t="shared" si="37"/>
        <v>11</v>
      </c>
      <c r="BU20" s="2">
        <f t="shared" si="10"/>
        <v>9</v>
      </c>
      <c r="BV20" s="2">
        <f t="shared" si="11"/>
        <v>13</v>
      </c>
    </row>
    <row r="21">
      <c r="A21" s="2" t="s">
        <v>1802</v>
      </c>
      <c r="B21" s="2" t="str">
        <f t="shared" si="1"/>
        <v>Saturday</v>
      </c>
      <c r="G21" s="2" t="str">
        <f t="shared" si="27"/>
        <v>Minuman</v>
      </c>
      <c r="I21" s="2">
        <f t="shared" si="28"/>
        <v>316430</v>
      </c>
      <c r="J21" s="2">
        <f t="shared" si="29"/>
        <v>0</v>
      </c>
      <c r="K21" s="2">
        <f t="shared" si="30"/>
        <v>0</v>
      </c>
      <c r="L21" s="2">
        <f t="shared" si="31"/>
        <v>0</v>
      </c>
      <c r="M21" s="2">
        <f t="shared" si="32"/>
        <v>0</v>
      </c>
      <c r="N21" s="2">
        <f t="shared" si="33"/>
        <v>0</v>
      </c>
      <c r="O21" s="2">
        <f t="shared" si="34"/>
        <v>316430</v>
      </c>
      <c r="P21" s="2">
        <f t="shared" si="35"/>
        <v>0</v>
      </c>
      <c r="AV21" s="2">
        <f t="shared" si="12"/>
        <v>2</v>
      </c>
      <c r="AW21" s="2">
        <f t="shared" ref="AW21:BA21" si="38">roundup(AO21/VLOOKUP(AW$10,$D$7:$E$13,2,0),0)</f>
        <v>2</v>
      </c>
      <c r="AX21" s="2">
        <f t="shared" si="38"/>
        <v>0</v>
      </c>
      <c r="AY21" s="2">
        <f t="shared" si="38"/>
        <v>1</v>
      </c>
      <c r="AZ21" s="2">
        <f t="shared" si="38"/>
        <v>3</v>
      </c>
      <c r="BA21" s="2">
        <f t="shared" si="38"/>
        <v>3</v>
      </c>
      <c r="BB21" s="2">
        <f t="shared" si="7"/>
        <v>1</v>
      </c>
      <c r="BC21" s="2">
        <f t="shared" si="8"/>
        <v>3</v>
      </c>
      <c r="BO21" s="2">
        <f t="shared" ref="BO21:BT21" si="39">roundup(BG21/VLOOKUP(BO$10,$D$8:$E$13,2,0),0)</f>
        <v>4</v>
      </c>
      <c r="BP21" s="2">
        <f t="shared" si="39"/>
        <v>9</v>
      </c>
      <c r="BQ21" s="2">
        <f t="shared" si="39"/>
        <v>4</v>
      </c>
      <c r="BR21" s="2">
        <f t="shared" si="39"/>
        <v>3</v>
      </c>
      <c r="BS21" s="2">
        <f t="shared" si="39"/>
        <v>7</v>
      </c>
      <c r="BT21" s="2">
        <f t="shared" si="39"/>
        <v>14</v>
      </c>
      <c r="BU21" s="2">
        <f t="shared" si="10"/>
        <v>6</v>
      </c>
      <c r="BV21" s="2">
        <f t="shared" si="11"/>
        <v>11</v>
      </c>
    </row>
    <row r="22">
      <c r="A22" s="2" t="s">
        <v>1808</v>
      </c>
      <c r="B22" s="2" t="str">
        <f t="shared" si="1"/>
        <v>Friday</v>
      </c>
      <c r="G22" s="2" t="str">
        <f t="shared" si="27"/>
        <v>Promo</v>
      </c>
      <c r="I22" s="2">
        <f t="shared" si="28"/>
        <v>0</v>
      </c>
      <c r="J22" s="2">
        <f t="shared" si="29"/>
        <v>0</v>
      </c>
      <c r="K22" s="2">
        <f t="shared" si="30"/>
        <v>414371</v>
      </c>
      <c r="L22" s="2">
        <f t="shared" si="31"/>
        <v>922501.75</v>
      </c>
      <c r="M22" s="2">
        <f t="shared" si="32"/>
        <v>1016908</v>
      </c>
      <c r="N22" s="2">
        <f t="shared" si="33"/>
        <v>396287.2</v>
      </c>
      <c r="O22" s="2">
        <f t="shared" si="34"/>
        <v>1336872.75</v>
      </c>
      <c r="P22" s="2">
        <f t="shared" si="35"/>
        <v>1413195.2</v>
      </c>
      <c r="AV22" s="2">
        <f t="shared" si="12"/>
        <v>1</v>
      </c>
      <c r="AW22" s="2">
        <f t="shared" ref="AW22:BA22" si="40">roundup(AO22/VLOOKUP(AW$10,$D$7:$E$13,2,0),0)</f>
        <v>1</v>
      </c>
      <c r="AX22" s="2">
        <f t="shared" si="40"/>
        <v>2</v>
      </c>
      <c r="AY22" s="2">
        <f t="shared" si="40"/>
        <v>1</v>
      </c>
      <c r="AZ22" s="2">
        <f t="shared" si="40"/>
        <v>3</v>
      </c>
      <c r="BA22" s="2">
        <f t="shared" si="40"/>
        <v>2</v>
      </c>
      <c r="BB22" s="2">
        <f t="shared" si="7"/>
        <v>1</v>
      </c>
      <c r="BC22" s="2">
        <f t="shared" si="8"/>
        <v>2</v>
      </c>
      <c r="BO22" s="2">
        <f t="shared" ref="BO22:BT22" si="41">roundup(BG22/VLOOKUP(BO$10,$D$8:$E$13,2,0),0)</f>
        <v>2</v>
      </c>
      <c r="BP22" s="2">
        <f t="shared" si="41"/>
        <v>4</v>
      </c>
      <c r="BQ22" s="2">
        <f t="shared" si="41"/>
        <v>4</v>
      </c>
      <c r="BR22" s="2">
        <f t="shared" si="41"/>
        <v>6</v>
      </c>
      <c r="BS22" s="2">
        <f t="shared" si="41"/>
        <v>8</v>
      </c>
      <c r="BT22" s="2">
        <f t="shared" si="41"/>
        <v>4</v>
      </c>
      <c r="BU22" s="2">
        <f t="shared" si="10"/>
        <v>6</v>
      </c>
      <c r="BV22" s="2">
        <f t="shared" si="11"/>
        <v>6</v>
      </c>
    </row>
    <row r="23">
      <c r="A23" s="2" t="s">
        <v>1818</v>
      </c>
      <c r="B23" s="2" t="str">
        <f t="shared" si="1"/>
        <v>Thursday</v>
      </c>
      <c r="G23" s="2" t="str">
        <f t="shared" si="27"/>
        <v>Roti</v>
      </c>
      <c r="I23" s="2">
        <f t="shared" si="28"/>
        <v>414371</v>
      </c>
      <c r="J23" s="2">
        <f t="shared" si="29"/>
        <v>0</v>
      </c>
      <c r="K23" s="2">
        <f t="shared" si="30"/>
        <v>960443.75</v>
      </c>
      <c r="L23" s="2">
        <f t="shared" si="31"/>
        <v>2355441.5</v>
      </c>
      <c r="M23" s="2">
        <f t="shared" si="32"/>
        <v>2791551.5</v>
      </c>
      <c r="N23" s="2">
        <f t="shared" si="33"/>
        <v>884287.4</v>
      </c>
      <c r="O23" s="2">
        <f t="shared" si="34"/>
        <v>3730256.25</v>
      </c>
      <c r="P23" s="2">
        <f t="shared" si="35"/>
        <v>3675838.9</v>
      </c>
      <c r="AV23" s="2">
        <f t="shared" si="12"/>
        <v>2</v>
      </c>
      <c r="AW23" s="2">
        <f t="shared" ref="AW23:BA23" si="42">roundup(AO23/VLOOKUP(AW$10,$D$7:$E$13,2,0),0)</f>
        <v>1</v>
      </c>
      <c r="AX23" s="2">
        <f t="shared" si="42"/>
        <v>1</v>
      </c>
      <c r="AY23" s="2">
        <f t="shared" si="42"/>
        <v>1</v>
      </c>
      <c r="AZ23" s="2">
        <f t="shared" si="42"/>
        <v>2</v>
      </c>
      <c r="BA23" s="2">
        <f t="shared" si="42"/>
        <v>2</v>
      </c>
      <c r="BB23" s="2">
        <f t="shared" si="7"/>
        <v>1</v>
      </c>
      <c r="BC23" s="2">
        <f t="shared" si="8"/>
        <v>2</v>
      </c>
      <c r="BO23" s="2">
        <f t="shared" ref="BO23:BT23" si="43">roundup(BG23/VLOOKUP(BO$10,$D$8:$E$13,2,0),0)</f>
        <v>11</v>
      </c>
      <c r="BP23" s="2">
        <f t="shared" si="43"/>
        <v>3</v>
      </c>
      <c r="BQ23" s="2">
        <f t="shared" si="43"/>
        <v>6</v>
      </c>
      <c r="BR23" s="2">
        <f t="shared" si="43"/>
        <v>4</v>
      </c>
      <c r="BS23" s="2">
        <f t="shared" si="43"/>
        <v>8</v>
      </c>
      <c r="BT23" s="2">
        <f t="shared" si="43"/>
        <v>2</v>
      </c>
      <c r="BU23" s="2">
        <f t="shared" si="10"/>
        <v>8</v>
      </c>
      <c r="BV23" s="2">
        <f t="shared" si="11"/>
        <v>5</v>
      </c>
    </row>
    <row r="24">
      <c r="A24" s="2" t="s">
        <v>1820</v>
      </c>
      <c r="B24" s="2" t="str">
        <f t="shared" si="1"/>
        <v>Wednesday</v>
      </c>
      <c r="G24" s="2" t="str">
        <f t="shared" si="27"/>
        <v>Grand Total</v>
      </c>
      <c r="J24" s="2">
        <f t="shared" si="29"/>
        <v>0</v>
      </c>
      <c r="K24" s="2">
        <f t="shared" si="30"/>
        <v>0</v>
      </c>
      <c r="L24" s="2">
        <f t="shared" si="31"/>
        <v>0</v>
      </c>
      <c r="M24" s="2">
        <f t="shared" si="32"/>
        <v>0</v>
      </c>
      <c r="N24" s="2">
        <f t="shared" si="33"/>
        <v>0</v>
      </c>
      <c r="O24" s="2">
        <f t="shared" ref="O24:P24" si="44">AVERAGE(O19:O23)</f>
        <v>1455449.85</v>
      </c>
      <c r="P24" s="2">
        <f t="shared" si="44"/>
        <v>1396059.12</v>
      </c>
      <c r="AV24" s="2">
        <f t="shared" si="12"/>
        <v>1</v>
      </c>
      <c r="AW24" s="2">
        <f t="shared" ref="AW24:BA24" si="45">roundup(AO24/VLOOKUP(AW$10,$D$7:$E$13,2,0),0)</f>
        <v>1</v>
      </c>
      <c r="AX24" s="2">
        <f t="shared" si="45"/>
        <v>1</v>
      </c>
      <c r="AY24" s="2">
        <f t="shared" si="45"/>
        <v>1</v>
      </c>
      <c r="AZ24" s="2">
        <f t="shared" si="45"/>
        <v>2</v>
      </c>
      <c r="BA24" s="2">
        <f t="shared" si="45"/>
        <v>3</v>
      </c>
      <c r="BB24" s="2">
        <f t="shared" si="7"/>
        <v>1</v>
      </c>
      <c r="BC24" s="2">
        <f t="shared" si="8"/>
        <v>3</v>
      </c>
      <c r="BO24" s="2">
        <f t="shared" ref="BO24:BT24" si="46">roundup(BG24/VLOOKUP(BO$10,$D$8:$E$13,2,0),0)</f>
        <v>4</v>
      </c>
      <c r="BP24" s="2">
        <f t="shared" si="46"/>
        <v>0</v>
      </c>
      <c r="BQ24" s="2">
        <f t="shared" si="46"/>
        <v>2</v>
      </c>
      <c r="BR24" s="2">
        <f t="shared" si="46"/>
        <v>0</v>
      </c>
      <c r="BS24" s="2">
        <f t="shared" si="46"/>
        <v>4</v>
      </c>
      <c r="BT24" s="2">
        <f t="shared" si="46"/>
        <v>4</v>
      </c>
      <c r="BU24" s="2">
        <f t="shared" si="10"/>
        <v>3</v>
      </c>
      <c r="BV24" s="2">
        <f t="shared" si="11"/>
        <v>4</v>
      </c>
    </row>
    <row r="25">
      <c r="A25" s="2" t="s">
        <v>1822</v>
      </c>
      <c r="B25" s="2" t="str">
        <f t="shared" si="1"/>
        <v>Tuesday</v>
      </c>
      <c r="AV25" s="2">
        <f t="shared" si="12"/>
        <v>1</v>
      </c>
      <c r="AW25" s="2">
        <f t="shared" ref="AW25:BA25" si="47">roundup(AO25/VLOOKUP(AW$10,$D$7:$E$13,2,0),0)</f>
        <v>1</v>
      </c>
      <c r="AX25" s="2">
        <f t="shared" si="47"/>
        <v>0</v>
      </c>
      <c r="AY25" s="2">
        <f t="shared" si="47"/>
        <v>1</v>
      </c>
      <c r="AZ25" s="2">
        <f t="shared" si="47"/>
        <v>3</v>
      </c>
      <c r="BA25" s="2">
        <f t="shared" si="47"/>
        <v>2</v>
      </c>
      <c r="BB25" s="2">
        <f t="shared" si="7"/>
        <v>1</v>
      </c>
      <c r="BC25" s="2">
        <f t="shared" si="8"/>
        <v>2</v>
      </c>
      <c r="BO25" s="2">
        <f t="shared" ref="BO25:BT25" si="48">roundup(BG25/VLOOKUP(BO$10,$D$8:$E$13,2,0),0)</f>
        <v>1</v>
      </c>
      <c r="BP25" s="2">
        <f t="shared" si="48"/>
        <v>1</v>
      </c>
      <c r="BQ25" s="2">
        <f t="shared" si="48"/>
        <v>5</v>
      </c>
      <c r="BR25" s="2">
        <f t="shared" si="48"/>
        <v>4</v>
      </c>
      <c r="BS25" s="2">
        <f t="shared" si="48"/>
        <v>2</v>
      </c>
      <c r="BT25" s="2">
        <f t="shared" si="48"/>
        <v>2</v>
      </c>
      <c r="BU25" s="2">
        <f t="shared" si="10"/>
        <v>3</v>
      </c>
      <c r="BV25" s="2">
        <f t="shared" si="11"/>
        <v>2</v>
      </c>
    </row>
    <row r="26">
      <c r="A26" s="2" t="s">
        <v>1826</v>
      </c>
      <c r="B26" s="2" t="str">
        <f t="shared" si="1"/>
        <v>Sunday</v>
      </c>
      <c r="AV26" s="2">
        <f t="shared" si="12"/>
        <v>1</v>
      </c>
      <c r="AW26" s="2">
        <f t="shared" ref="AW26:BA26" si="49">roundup(AO26/VLOOKUP(AW$10,$D$7:$E$13,2,0),0)</f>
        <v>1</v>
      </c>
      <c r="AX26" s="2">
        <f t="shared" si="49"/>
        <v>1</v>
      </c>
      <c r="AY26" s="2">
        <f t="shared" si="49"/>
        <v>1</v>
      </c>
      <c r="AZ26" s="2">
        <f t="shared" si="49"/>
        <v>3</v>
      </c>
      <c r="BA26" s="2">
        <f t="shared" si="49"/>
        <v>1</v>
      </c>
      <c r="BB26" s="2">
        <f t="shared" si="7"/>
        <v>1</v>
      </c>
      <c r="BC26" s="2">
        <f t="shared" si="8"/>
        <v>2</v>
      </c>
    </row>
    <row r="27">
      <c r="A27" s="2" t="s">
        <v>1830</v>
      </c>
      <c r="B27" s="2" t="str">
        <f t="shared" si="1"/>
        <v>Saturday</v>
      </c>
      <c r="AV27" s="2">
        <f t="shared" si="12"/>
        <v>0</v>
      </c>
      <c r="AW27" s="2">
        <f t="shared" ref="AW27:BA27" si="50">roundup(AO27/VLOOKUP(AW$10,$D$7:$E$13,2,0),0)</f>
        <v>1</v>
      </c>
      <c r="AX27" s="2">
        <f t="shared" si="50"/>
        <v>1</v>
      </c>
      <c r="AY27" s="2">
        <f t="shared" si="50"/>
        <v>1</v>
      </c>
      <c r="AZ27" s="2">
        <f t="shared" si="50"/>
        <v>2</v>
      </c>
      <c r="BA27" s="2">
        <f t="shared" si="50"/>
        <v>2</v>
      </c>
      <c r="BB27" s="2">
        <f t="shared" si="7"/>
        <v>1</v>
      </c>
      <c r="BC27" s="2">
        <f t="shared" si="8"/>
        <v>2</v>
      </c>
    </row>
    <row r="28">
      <c r="A28" s="2" t="s">
        <v>1832</v>
      </c>
      <c r="B28" s="2" t="str">
        <f t="shared" si="1"/>
        <v>Friday</v>
      </c>
      <c r="AV28" s="2">
        <f t="shared" si="12"/>
        <v>1</v>
      </c>
      <c r="AW28" s="2">
        <f t="shared" ref="AW28:BA28" si="51">roundup(AO28/VLOOKUP(AW$10,$D$7:$E$13,2,0),0)</f>
        <v>1</v>
      </c>
      <c r="AX28" s="2">
        <f t="shared" si="51"/>
        <v>1</v>
      </c>
      <c r="AY28" s="2">
        <f t="shared" si="51"/>
        <v>1</v>
      </c>
      <c r="AZ28" s="2">
        <f t="shared" si="51"/>
        <v>3</v>
      </c>
      <c r="BA28" s="2">
        <f t="shared" si="51"/>
        <v>1</v>
      </c>
      <c r="BB28" s="2">
        <f t="shared" si="7"/>
        <v>1</v>
      </c>
      <c r="BC28" s="2">
        <f t="shared" si="8"/>
        <v>2</v>
      </c>
    </row>
    <row r="29">
      <c r="A29" s="2" t="s">
        <v>1836</v>
      </c>
      <c r="B29" s="2" t="str">
        <f t="shared" si="1"/>
        <v>Thursday</v>
      </c>
      <c r="AV29" s="2">
        <f t="shared" si="12"/>
        <v>1</v>
      </c>
      <c r="AW29" s="2">
        <f t="shared" ref="AW29:BA29" si="52">roundup(AO29/VLOOKUP(AW$10,$D$7:$E$13,2,0),0)</f>
        <v>1</v>
      </c>
      <c r="AX29" s="2">
        <f t="shared" si="52"/>
        <v>1</v>
      </c>
      <c r="AY29" s="2">
        <f t="shared" si="52"/>
        <v>1</v>
      </c>
      <c r="AZ29" s="2">
        <f t="shared" si="52"/>
        <v>2</v>
      </c>
      <c r="BA29" s="2">
        <f t="shared" si="52"/>
        <v>2</v>
      </c>
      <c r="BB29" s="2">
        <f t="shared" si="7"/>
        <v>1</v>
      </c>
      <c r="BC29" s="2">
        <f t="shared" si="8"/>
        <v>2</v>
      </c>
    </row>
    <row r="30">
      <c r="A30" s="2" t="s">
        <v>1842</v>
      </c>
      <c r="B30" s="2" t="str">
        <f t="shared" si="1"/>
        <v>Wednesday</v>
      </c>
      <c r="AV30" s="2">
        <f t="shared" si="12"/>
        <v>0</v>
      </c>
      <c r="AW30" s="2">
        <f t="shared" ref="AW30:BA30" si="53">roundup(AO30/VLOOKUP(AW$10,$D$7:$E$13,2,0),0)</f>
        <v>0</v>
      </c>
      <c r="AX30" s="2">
        <f t="shared" si="53"/>
        <v>0</v>
      </c>
      <c r="AY30" s="2">
        <f t="shared" si="53"/>
        <v>1</v>
      </c>
      <c r="AZ30" s="2">
        <f t="shared" si="53"/>
        <v>2</v>
      </c>
      <c r="BA30" s="2">
        <f t="shared" si="53"/>
        <v>3</v>
      </c>
      <c r="BB30" s="2">
        <f t="shared" si="7"/>
        <v>1</v>
      </c>
      <c r="BC30" s="2">
        <f t="shared" si="8"/>
        <v>2</v>
      </c>
    </row>
    <row r="31">
      <c r="A31" s="2" t="s">
        <v>1846</v>
      </c>
      <c r="B31" s="2" t="str">
        <f t="shared" si="1"/>
        <v>Tuesday</v>
      </c>
      <c r="AV31" s="2">
        <f t="shared" si="12"/>
        <v>1</v>
      </c>
      <c r="AW31" s="2">
        <f t="shared" ref="AW31:BA31" si="54">roundup(AO31/VLOOKUP(AW$10,$D$7:$E$13,2,0),0)</f>
        <v>1</v>
      </c>
      <c r="AX31" s="2">
        <f t="shared" si="54"/>
        <v>0</v>
      </c>
      <c r="AY31" s="2">
        <f t="shared" si="54"/>
        <v>1</v>
      </c>
      <c r="AZ31" s="2">
        <f t="shared" si="54"/>
        <v>2</v>
      </c>
      <c r="BA31" s="2">
        <f t="shared" si="54"/>
        <v>2</v>
      </c>
      <c r="BB31" s="2">
        <f t="shared" si="7"/>
        <v>1</v>
      </c>
      <c r="BC31" s="2">
        <f t="shared" si="8"/>
        <v>2</v>
      </c>
    </row>
    <row r="32">
      <c r="A32" s="2" t="s">
        <v>1849</v>
      </c>
      <c r="B32" s="2" t="str">
        <f t="shared" si="1"/>
        <v>Sunday</v>
      </c>
      <c r="AV32" s="2">
        <f t="shared" si="12"/>
        <v>1</v>
      </c>
      <c r="AW32" s="2">
        <f t="shared" ref="AW32:BA32" si="55">roundup(AO32/VLOOKUP(AW$10,$D$7:$E$13,2,0),0)</f>
        <v>0</v>
      </c>
      <c r="AX32" s="2">
        <f t="shared" si="55"/>
        <v>1</v>
      </c>
      <c r="AY32" s="2">
        <f t="shared" si="55"/>
        <v>1</v>
      </c>
      <c r="AZ32" s="2">
        <f t="shared" si="55"/>
        <v>2</v>
      </c>
      <c r="BA32" s="2">
        <f t="shared" si="55"/>
        <v>2</v>
      </c>
      <c r="BB32" s="2">
        <f t="shared" si="7"/>
        <v>1</v>
      </c>
      <c r="BC32" s="2">
        <f t="shared" si="8"/>
        <v>2</v>
      </c>
    </row>
    <row r="33">
      <c r="A33" s="2"/>
      <c r="AV33" s="2">
        <f t="shared" si="12"/>
        <v>1</v>
      </c>
      <c r="AW33" s="2">
        <f t="shared" ref="AW33:BA33" si="56">roundup(AO33/VLOOKUP(AW$10,$D$7:$E$13,2,0),0)</f>
        <v>1</v>
      </c>
      <c r="AX33" s="2">
        <f t="shared" si="56"/>
        <v>0</v>
      </c>
      <c r="AY33" s="2">
        <f t="shared" si="56"/>
        <v>1</v>
      </c>
      <c r="AZ33" s="2">
        <f t="shared" si="56"/>
        <v>3</v>
      </c>
      <c r="BA33" s="2">
        <f t="shared" si="56"/>
        <v>1</v>
      </c>
      <c r="BB33" s="2">
        <f t="shared" si="7"/>
        <v>1</v>
      </c>
      <c r="BC33" s="2">
        <f t="shared" si="8"/>
        <v>2</v>
      </c>
    </row>
    <row r="34">
      <c r="AV34" s="2">
        <f t="shared" si="12"/>
        <v>1</v>
      </c>
      <c r="AW34" s="2">
        <f t="shared" ref="AW34:BA34" si="57">roundup(AO34/VLOOKUP(AW$10,$D$7:$E$13,2,0),0)</f>
        <v>0</v>
      </c>
      <c r="AX34" s="2">
        <f t="shared" si="57"/>
        <v>1</v>
      </c>
      <c r="AY34" s="2">
        <f t="shared" si="57"/>
        <v>1</v>
      </c>
      <c r="AZ34" s="2">
        <f t="shared" si="57"/>
        <v>2</v>
      </c>
      <c r="BA34" s="2">
        <f t="shared" si="57"/>
        <v>2</v>
      </c>
      <c r="BB34" s="2">
        <f t="shared" si="7"/>
        <v>1</v>
      </c>
      <c r="BC34" s="2">
        <f t="shared" si="8"/>
        <v>2</v>
      </c>
    </row>
    <row r="35">
      <c r="AV35" s="2">
        <f t="shared" si="12"/>
        <v>0</v>
      </c>
      <c r="AW35" s="2">
        <f t="shared" ref="AW35:BA35" si="58">roundup(AO35/VLOOKUP(AW$10,$D$7:$E$13,2,0),0)</f>
        <v>1</v>
      </c>
      <c r="AX35" s="2">
        <f t="shared" si="58"/>
        <v>1</v>
      </c>
      <c r="AY35" s="2">
        <f t="shared" si="58"/>
        <v>2</v>
      </c>
      <c r="AZ35" s="2">
        <f t="shared" si="58"/>
        <v>1</v>
      </c>
      <c r="BA35" s="2">
        <f t="shared" si="58"/>
        <v>1</v>
      </c>
      <c r="BB35" s="2">
        <f t="shared" si="7"/>
        <v>1</v>
      </c>
      <c r="BC35" s="2">
        <f t="shared" si="8"/>
        <v>1</v>
      </c>
    </row>
    <row r="36">
      <c r="AV36" s="2">
        <f t="shared" si="12"/>
        <v>0</v>
      </c>
      <c r="AW36" s="2">
        <f t="shared" ref="AW36:BA36" si="59">roundup(AO36/VLOOKUP(AW$10,$D$7:$E$13,2,0),0)</f>
        <v>0</v>
      </c>
      <c r="AX36" s="2">
        <f t="shared" si="59"/>
        <v>1</v>
      </c>
      <c r="AY36" s="2">
        <f t="shared" si="59"/>
        <v>1</v>
      </c>
      <c r="AZ36" s="2">
        <f t="shared" si="59"/>
        <v>2</v>
      </c>
      <c r="BA36" s="2">
        <f t="shared" si="59"/>
        <v>1</v>
      </c>
      <c r="BB36" s="2">
        <f t="shared" si="7"/>
        <v>1</v>
      </c>
      <c r="BC36" s="2">
        <f t="shared" si="8"/>
        <v>2</v>
      </c>
    </row>
    <row r="37">
      <c r="AV37" s="2">
        <f t="shared" si="12"/>
        <v>1</v>
      </c>
      <c r="AW37" s="2">
        <f t="shared" ref="AW37:BA37" si="60">roundup(AO37/VLOOKUP(AW$10,$D$7:$E$13,2,0),0)</f>
        <v>1</v>
      </c>
      <c r="AX37" s="2">
        <f t="shared" si="60"/>
        <v>1</v>
      </c>
      <c r="AY37" s="2">
        <f t="shared" si="60"/>
        <v>1</v>
      </c>
      <c r="AZ37" s="2">
        <f t="shared" si="60"/>
        <v>1</v>
      </c>
      <c r="BA37" s="2">
        <f t="shared" si="60"/>
        <v>1</v>
      </c>
      <c r="BB37" s="2">
        <f t="shared" si="7"/>
        <v>1</v>
      </c>
      <c r="BC37" s="2">
        <f t="shared" si="8"/>
        <v>1</v>
      </c>
    </row>
    <row r="38">
      <c r="AV38" s="2">
        <f t="shared" si="12"/>
        <v>1</v>
      </c>
      <c r="AW38" s="2">
        <f t="shared" ref="AW38:BA38" si="61">roundup(AO38/VLOOKUP(AW$10,$D$7:$E$13,2,0),0)</f>
        <v>1</v>
      </c>
      <c r="AX38" s="2">
        <f t="shared" si="61"/>
        <v>0</v>
      </c>
      <c r="AY38" s="2">
        <f t="shared" si="61"/>
        <v>0</v>
      </c>
      <c r="AZ38" s="2">
        <f t="shared" si="61"/>
        <v>1</v>
      </c>
      <c r="BA38" s="2">
        <f t="shared" si="61"/>
        <v>2</v>
      </c>
      <c r="BB38" s="2">
        <f t="shared" si="7"/>
        <v>1</v>
      </c>
      <c r="BC38" s="2">
        <f t="shared" si="8"/>
        <v>2</v>
      </c>
    </row>
    <row r="39">
      <c r="AV39" s="2">
        <f t="shared" si="12"/>
        <v>1</v>
      </c>
      <c r="AW39" s="2">
        <f t="shared" ref="AW39:BA39" si="62">roundup(AO39/VLOOKUP(AW$10,$D$7:$E$13,2,0),0)</f>
        <v>1</v>
      </c>
      <c r="AX39" s="2">
        <f t="shared" si="62"/>
        <v>1</v>
      </c>
      <c r="AY39" s="2">
        <f t="shared" si="62"/>
        <v>1</v>
      </c>
      <c r="AZ39" s="2">
        <f t="shared" si="62"/>
        <v>2</v>
      </c>
      <c r="BA39" s="2">
        <f t="shared" si="62"/>
        <v>1</v>
      </c>
      <c r="BB39" s="2">
        <f t="shared" si="7"/>
        <v>1</v>
      </c>
      <c r="BC39" s="2">
        <f t="shared" si="8"/>
        <v>2</v>
      </c>
    </row>
    <row r="40">
      <c r="AV40" s="2">
        <f t="shared" si="12"/>
        <v>0</v>
      </c>
      <c r="AW40" s="2">
        <f t="shared" ref="AW40:BA40" si="63">roundup(AO40/VLOOKUP(AW$10,$D$7:$E$13,2,0),0)</f>
        <v>1</v>
      </c>
      <c r="AX40" s="2">
        <f t="shared" si="63"/>
        <v>0</v>
      </c>
      <c r="AY40" s="2">
        <f t="shared" si="63"/>
        <v>1</v>
      </c>
      <c r="AZ40" s="2">
        <f t="shared" si="63"/>
        <v>1</v>
      </c>
      <c r="BA40" s="2">
        <f t="shared" si="63"/>
        <v>2</v>
      </c>
      <c r="BB40" s="2">
        <f t="shared" si="7"/>
        <v>1</v>
      </c>
      <c r="BC40" s="2">
        <f t="shared" si="8"/>
        <v>2</v>
      </c>
    </row>
    <row r="41">
      <c r="AV41" s="2">
        <f t="shared" si="12"/>
        <v>1</v>
      </c>
      <c r="AW41" s="2">
        <f t="shared" ref="AW41:BA41" si="64">roundup(AO41/VLOOKUP(AW$10,$D$7:$E$13,2,0),0)</f>
        <v>1</v>
      </c>
      <c r="AX41" s="2">
        <f t="shared" si="64"/>
        <v>1</v>
      </c>
      <c r="AY41" s="2">
        <f t="shared" si="64"/>
        <v>0</v>
      </c>
      <c r="AZ41" s="2">
        <f t="shared" si="64"/>
        <v>1</v>
      </c>
      <c r="BA41" s="2">
        <f t="shared" si="64"/>
        <v>1</v>
      </c>
      <c r="BB41" s="2">
        <f t="shared" si="7"/>
        <v>1</v>
      </c>
      <c r="BC41" s="2">
        <f t="shared" si="8"/>
        <v>1</v>
      </c>
    </row>
    <row r="42">
      <c r="AV42" s="2">
        <f t="shared" si="12"/>
        <v>1</v>
      </c>
      <c r="AW42" s="2">
        <f t="shared" ref="AW42:BA42" si="65">roundup(AO42/VLOOKUP(AW$10,$D$7:$E$13,2,0),0)</f>
        <v>1</v>
      </c>
      <c r="AX42" s="2">
        <f t="shared" si="65"/>
        <v>1</v>
      </c>
      <c r="AY42" s="2">
        <f t="shared" si="65"/>
        <v>1</v>
      </c>
      <c r="AZ42" s="2">
        <f t="shared" si="65"/>
        <v>1</v>
      </c>
      <c r="BA42" s="2">
        <f t="shared" si="65"/>
        <v>1</v>
      </c>
      <c r="BB42" s="2">
        <f t="shared" si="7"/>
        <v>1</v>
      </c>
      <c r="BC42" s="2">
        <f t="shared" si="8"/>
        <v>1</v>
      </c>
    </row>
    <row r="43">
      <c r="AV43" s="2">
        <f t="shared" si="12"/>
        <v>1</v>
      </c>
      <c r="AW43" s="2">
        <f t="shared" ref="AW43:BA43" si="66">roundup(AO43/VLOOKUP(AW$10,$D$7:$E$13,2,0),0)</f>
        <v>1</v>
      </c>
      <c r="AX43" s="2">
        <f t="shared" si="66"/>
        <v>1</v>
      </c>
      <c r="AY43" s="2">
        <f t="shared" si="66"/>
        <v>1</v>
      </c>
      <c r="AZ43" s="2">
        <f t="shared" si="66"/>
        <v>2</v>
      </c>
      <c r="BA43" s="2">
        <f t="shared" si="66"/>
        <v>1</v>
      </c>
      <c r="BB43" s="2">
        <f t="shared" si="7"/>
        <v>1</v>
      </c>
      <c r="BC43" s="2">
        <f t="shared" si="8"/>
        <v>1</v>
      </c>
    </row>
    <row r="44">
      <c r="AV44" s="2">
        <f t="shared" si="12"/>
        <v>1</v>
      </c>
      <c r="AW44" s="2">
        <f t="shared" ref="AW44:BA44" si="67">roundup(AO44/VLOOKUP(AW$10,$D$7:$E$13,2,0),0)</f>
        <v>0</v>
      </c>
      <c r="AX44" s="2">
        <f t="shared" si="67"/>
        <v>1</v>
      </c>
      <c r="AY44" s="2">
        <f t="shared" si="67"/>
        <v>0</v>
      </c>
      <c r="AZ44" s="2">
        <f t="shared" si="67"/>
        <v>1</v>
      </c>
      <c r="BA44" s="2">
        <f t="shared" si="67"/>
        <v>1</v>
      </c>
      <c r="BB44" s="2">
        <f t="shared" si="7"/>
        <v>1</v>
      </c>
      <c r="BC44" s="2">
        <f t="shared" si="8"/>
        <v>1</v>
      </c>
    </row>
    <row r="45">
      <c r="AV45" s="2">
        <f t="shared" si="12"/>
        <v>1</v>
      </c>
      <c r="AW45" s="2">
        <f t="shared" ref="AW45:BA45" si="68">roundup(AO45/VLOOKUP(AW$10,$D$7:$E$13,2,0),0)</f>
        <v>1</v>
      </c>
      <c r="AX45" s="2">
        <f t="shared" si="68"/>
        <v>1</v>
      </c>
      <c r="AY45" s="2">
        <f t="shared" si="68"/>
        <v>0</v>
      </c>
      <c r="AZ45" s="2">
        <f t="shared" si="68"/>
        <v>1</v>
      </c>
      <c r="BA45" s="2">
        <f t="shared" si="68"/>
        <v>1</v>
      </c>
      <c r="BB45" s="2">
        <f t="shared" si="7"/>
        <v>1</v>
      </c>
      <c r="BC45" s="2">
        <f t="shared" si="8"/>
        <v>1</v>
      </c>
    </row>
    <row r="46">
      <c r="AV46" s="2">
        <f t="shared" si="12"/>
        <v>0</v>
      </c>
      <c r="AW46" s="2">
        <f t="shared" ref="AW46:BA46" si="69">roundup(AO46/VLOOKUP(AW$10,$D$7:$E$13,2,0),0)</f>
        <v>1</v>
      </c>
      <c r="AX46" s="2">
        <f t="shared" si="69"/>
        <v>1</v>
      </c>
      <c r="AY46" s="2">
        <f t="shared" si="69"/>
        <v>2</v>
      </c>
      <c r="AZ46" s="2">
        <f t="shared" si="69"/>
        <v>1</v>
      </c>
      <c r="BA46" s="2">
        <f t="shared" si="69"/>
        <v>1</v>
      </c>
      <c r="BB46" s="2">
        <f t="shared" si="7"/>
        <v>1</v>
      </c>
      <c r="BC46" s="2">
        <f t="shared" si="8"/>
        <v>1</v>
      </c>
    </row>
    <row r="47">
      <c r="AV47" s="2">
        <f t="shared" si="12"/>
        <v>0</v>
      </c>
      <c r="AW47" s="2">
        <f t="shared" ref="AW47:BA47" si="70">roundup(AO47/VLOOKUP(AW$10,$D$7:$E$13,2,0),0)</f>
        <v>0</v>
      </c>
      <c r="AX47" s="2">
        <f t="shared" si="70"/>
        <v>1</v>
      </c>
      <c r="AY47" s="2">
        <f t="shared" si="70"/>
        <v>1</v>
      </c>
      <c r="AZ47" s="2">
        <f t="shared" si="70"/>
        <v>1</v>
      </c>
      <c r="BA47" s="2">
        <f t="shared" si="70"/>
        <v>1</v>
      </c>
      <c r="BB47" s="2">
        <f t="shared" si="7"/>
        <v>1</v>
      </c>
      <c r="BC47" s="2">
        <f t="shared" si="8"/>
        <v>1</v>
      </c>
    </row>
    <row r="48">
      <c r="AV48" s="2">
        <f t="shared" si="12"/>
        <v>1</v>
      </c>
      <c r="AW48" s="2">
        <f t="shared" ref="AW48:BA48" si="71">roundup(AO48/VLOOKUP(AW$10,$D$7:$E$13,2,0),0)</f>
        <v>1</v>
      </c>
      <c r="AX48" s="2">
        <f t="shared" si="71"/>
        <v>1</v>
      </c>
      <c r="AY48" s="2">
        <f t="shared" si="71"/>
        <v>0</v>
      </c>
      <c r="AZ48" s="2">
        <f t="shared" si="71"/>
        <v>1</v>
      </c>
      <c r="BA48" s="2">
        <f t="shared" si="71"/>
        <v>1</v>
      </c>
      <c r="BB48" s="2">
        <f t="shared" si="7"/>
        <v>1</v>
      </c>
      <c r="BC48" s="2">
        <f t="shared" si="8"/>
        <v>1</v>
      </c>
    </row>
    <row r="49">
      <c r="AV49" s="2">
        <f t="shared" si="12"/>
        <v>0</v>
      </c>
      <c r="AW49" s="2">
        <f t="shared" ref="AW49:BA49" si="72">roundup(AO49/VLOOKUP(AW$10,$D$7:$E$13,2,0),0)</f>
        <v>0</v>
      </c>
      <c r="AX49" s="2">
        <f t="shared" si="72"/>
        <v>2</v>
      </c>
      <c r="AY49" s="2">
        <f t="shared" si="72"/>
        <v>1</v>
      </c>
      <c r="AZ49" s="2">
        <f t="shared" si="72"/>
        <v>0</v>
      </c>
      <c r="BA49" s="2">
        <f t="shared" si="72"/>
        <v>1</v>
      </c>
      <c r="BB49" s="2">
        <f t="shared" si="7"/>
        <v>1</v>
      </c>
      <c r="BC49" s="2">
        <f t="shared" si="8"/>
        <v>1</v>
      </c>
    </row>
    <row r="50">
      <c r="AV50" s="2">
        <f t="shared" si="12"/>
        <v>1</v>
      </c>
      <c r="AW50" s="2">
        <f t="shared" ref="AW50:BA50" si="73">roundup(AO50/VLOOKUP(AW$10,$D$7:$E$13,2,0),0)</f>
        <v>1</v>
      </c>
      <c r="AX50" s="2">
        <f t="shared" si="73"/>
        <v>1</v>
      </c>
      <c r="AY50" s="2">
        <f t="shared" si="73"/>
        <v>0</v>
      </c>
      <c r="AZ50" s="2">
        <f t="shared" si="73"/>
        <v>1</v>
      </c>
      <c r="BA50" s="2">
        <f t="shared" si="73"/>
        <v>1</v>
      </c>
      <c r="BB50" s="2">
        <f t="shared" si="7"/>
        <v>1</v>
      </c>
      <c r="BC50" s="2">
        <f t="shared" si="8"/>
        <v>1</v>
      </c>
    </row>
    <row r="51">
      <c r="AV51" s="2">
        <f t="shared" si="12"/>
        <v>0</v>
      </c>
      <c r="AW51" s="2">
        <f t="shared" ref="AW51:BA51" si="74">roundup(AO51/VLOOKUP(AW$10,$D$7:$E$13,2,0),0)</f>
        <v>0</v>
      </c>
      <c r="AX51" s="2">
        <f t="shared" si="74"/>
        <v>1</v>
      </c>
      <c r="AY51" s="2">
        <f t="shared" si="74"/>
        <v>1</v>
      </c>
      <c r="AZ51" s="2">
        <f t="shared" si="74"/>
        <v>2</v>
      </c>
      <c r="BA51" s="2">
        <f t="shared" si="74"/>
        <v>1</v>
      </c>
      <c r="BB51" s="2">
        <f t="shared" si="7"/>
        <v>1</v>
      </c>
      <c r="BC51" s="2">
        <f t="shared" si="8"/>
        <v>1</v>
      </c>
    </row>
    <row r="52">
      <c r="AV52" s="2">
        <f t="shared" si="12"/>
        <v>0</v>
      </c>
      <c r="AW52" s="2">
        <f t="shared" ref="AW52:BA52" si="75">roundup(AO52/VLOOKUP(AW$10,$D$7:$E$13,2,0),0)</f>
        <v>0</v>
      </c>
      <c r="AX52" s="2">
        <f t="shared" si="75"/>
        <v>0</v>
      </c>
      <c r="AY52" s="2">
        <f t="shared" si="75"/>
        <v>0</v>
      </c>
      <c r="AZ52" s="2">
        <f t="shared" si="75"/>
        <v>2</v>
      </c>
      <c r="BA52" s="2">
        <f t="shared" si="75"/>
        <v>0</v>
      </c>
      <c r="BB52" s="2">
        <f t="shared" si="7"/>
        <v>0</v>
      </c>
      <c r="BC52" s="2">
        <f t="shared" si="8"/>
        <v>1</v>
      </c>
    </row>
    <row r="53">
      <c r="AV53" s="2">
        <f t="shared" si="12"/>
        <v>1</v>
      </c>
      <c r="AW53" s="2">
        <f t="shared" ref="AW53:BA53" si="76">roundup(AO53/VLOOKUP(AW$10,$D$7:$E$13,2,0),0)</f>
        <v>1</v>
      </c>
      <c r="AX53" s="2">
        <f t="shared" si="76"/>
        <v>1</v>
      </c>
      <c r="AY53" s="2">
        <f t="shared" si="76"/>
        <v>0</v>
      </c>
      <c r="AZ53" s="2">
        <f t="shared" si="76"/>
        <v>0</v>
      </c>
      <c r="BA53" s="2">
        <f t="shared" si="76"/>
        <v>0</v>
      </c>
      <c r="BB53" s="2">
        <f t="shared" si="7"/>
        <v>1</v>
      </c>
      <c r="BC53" s="2">
        <f t="shared" si="8"/>
        <v>0</v>
      </c>
    </row>
    <row r="54">
      <c r="AV54" s="2">
        <f t="shared" si="12"/>
        <v>0</v>
      </c>
      <c r="AW54" s="2">
        <f t="shared" ref="AW54:BA54" si="77">roundup(AO54/VLOOKUP(AW$10,$D$7:$E$13,2,0),0)</f>
        <v>1</v>
      </c>
      <c r="AX54" s="2">
        <f t="shared" si="77"/>
        <v>1</v>
      </c>
      <c r="AY54" s="2">
        <f t="shared" si="77"/>
        <v>0</v>
      </c>
      <c r="AZ54" s="2">
        <f t="shared" si="77"/>
        <v>0</v>
      </c>
      <c r="BA54" s="2">
        <f t="shared" si="77"/>
        <v>1</v>
      </c>
      <c r="BB54" s="2">
        <f t="shared" si="7"/>
        <v>1</v>
      </c>
      <c r="BC54" s="2">
        <f t="shared" si="8"/>
        <v>1</v>
      </c>
    </row>
    <row r="55">
      <c r="AV55" s="2">
        <f t="shared" si="12"/>
        <v>0</v>
      </c>
      <c r="AW55" s="2">
        <f t="shared" ref="AW55:BA55" si="78">roundup(AO55/VLOOKUP(AW$10,$D$7:$E$13,2,0),0)</f>
        <v>0</v>
      </c>
      <c r="AX55" s="2">
        <f t="shared" si="78"/>
        <v>0</v>
      </c>
      <c r="AY55" s="2">
        <f t="shared" si="78"/>
        <v>0</v>
      </c>
      <c r="AZ55" s="2">
        <f t="shared" si="78"/>
        <v>1</v>
      </c>
      <c r="BA55" s="2">
        <f t="shared" si="78"/>
        <v>1</v>
      </c>
      <c r="BB55" s="2">
        <f t="shared" si="7"/>
        <v>0</v>
      </c>
      <c r="BC55" s="2">
        <f t="shared" si="8"/>
        <v>1</v>
      </c>
    </row>
    <row r="56">
      <c r="AV56" s="2">
        <f t="shared" si="12"/>
        <v>1</v>
      </c>
      <c r="AW56" s="2">
        <f t="shared" ref="AW56:BA56" si="79">roundup(AO56/VLOOKUP(AW$10,$D$7:$E$13,2,0),0)</f>
        <v>0</v>
      </c>
      <c r="AX56" s="2">
        <f t="shared" si="79"/>
        <v>0</v>
      </c>
      <c r="AY56" s="2">
        <f t="shared" si="79"/>
        <v>1</v>
      </c>
      <c r="AZ56" s="2">
        <f t="shared" si="79"/>
        <v>1</v>
      </c>
      <c r="BA56" s="2">
        <f t="shared" si="79"/>
        <v>0</v>
      </c>
      <c r="BB56" s="2">
        <f t="shared" si="7"/>
        <v>1</v>
      </c>
      <c r="BC56" s="2">
        <f t="shared" si="8"/>
        <v>1</v>
      </c>
    </row>
    <row r="57">
      <c r="AV57" s="2">
        <f t="shared" si="12"/>
        <v>1</v>
      </c>
      <c r="AW57" s="2">
        <f t="shared" ref="AW57:BA57" si="80">roundup(AO57/VLOOKUP(AW$10,$D$7:$E$13,2,0),0)</f>
        <v>0</v>
      </c>
      <c r="AX57" s="2">
        <f t="shared" si="80"/>
        <v>0</v>
      </c>
      <c r="AY57" s="2">
        <f t="shared" si="80"/>
        <v>0</v>
      </c>
      <c r="AZ57" s="2">
        <f t="shared" si="80"/>
        <v>0</v>
      </c>
      <c r="BA57" s="2">
        <f t="shared" si="80"/>
        <v>1</v>
      </c>
      <c r="BB57" s="2">
        <f t="shared" si="7"/>
        <v>1</v>
      </c>
      <c r="BC57" s="2">
        <f t="shared" si="8"/>
        <v>1</v>
      </c>
    </row>
    <row r="58">
      <c r="AV58" s="2">
        <f t="shared" si="12"/>
        <v>0</v>
      </c>
      <c r="AW58" s="2">
        <f t="shared" ref="AW58:BA58" si="81">roundup(AO58/VLOOKUP(AW$10,$D$7:$E$13,2,0),0)</f>
        <v>0</v>
      </c>
      <c r="AX58" s="2">
        <f t="shared" si="81"/>
        <v>0</v>
      </c>
      <c r="AY58" s="2">
        <f t="shared" si="81"/>
        <v>1</v>
      </c>
      <c r="AZ58" s="2">
        <f t="shared" si="81"/>
        <v>1</v>
      </c>
      <c r="BA58" s="2">
        <f t="shared" si="81"/>
        <v>0</v>
      </c>
      <c r="BB58" s="2">
        <f t="shared" si="7"/>
        <v>1</v>
      </c>
      <c r="BC58" s="2">
        <f t="shared" si="8"/>
        <v>1</v>
      </c>
    </row>
    <row r="59">
      <c r="AV59" s="2">
        <f t="shared" si="12"/>
        <v>0</v>
      </c>
      <c r="AW59" s="2">
        <f t="shared" ref="AW59:BA59" si="82">roundup(AO59/VLOOKUP(AW$10,$D$7:$E$13,2,0),0)</f>
        <v>0</v>
      </c>
      <c r="AX59" s="2">
        <f t="shared" si="82"/>
        <v>0</v>
      </c>
      <c r="AY59" s="2">
        <f t="shared" si="82"/>
        <v>1</v>
      </c>
      <c r="AZ59" s="2">
        <f t="shared" si="82"/>
        <v>1</v>
      </c>
      <c r="BA59" s="2">
        <f t="shared" si="82"/>
        <v>0</v>
      </c>
      <c r="BB59" s="2">
        <f t="shared" si="7"/>
        <v>1</v>
      </c>
      <c r="BC59" s="2">
        <f t="shared" si="8"/>
        <v>1</v>
      </c>
    </row>
    <row r="60">
      <c r="AV60" s="2">
        <f t="shared" si="12"/>
        <v>0</v>
      </c>
      <c r="AW60" s="2">
        <f t="shared" ref="AW60:BA60" si="83">roundup(AO60/VLOOKUP(AW$10,$D$7:$E$13,2,0),0)</f>
        <v>0</v>
      </c>
      <c r="AX60" s="2">
        <f t="shared" si="83"/>
        <v>0</v>
      </c>
      <c r="AY60" s="2">
        <f t="shared" si="83"/>
        <v>1</v>
      </c>
      <c r="AZ60" s="2">
        <f t="shared" si="83"/>
        <v>0</v>
      </c>
      <c r="BA60" s="2">
        <f t="shared" si="83"/>
        <v>1</v>
      </c>
      <c r="BB60" s="2">
        <f t="shared" si="7"/>
        <v>1</v>
      </c>
      <c r="BC60" s="2">
        <f t="shared" si="8"/>
        <v>1</v>
      </c>
    </row>
    <row r="61">
      <c r="AV61" s="2">
        <f t="shared" si="12"/>
        <v>0</v>
      </c>
      <c r="AW61" s="2">
        <f t="shared" ref="AW61:BA61" si="84">roundup(AO61/VLOOKUP(AW$10,$D$7:$E$13,2,0),0)</f>
        <v>0</v>
      </c>
      <c r="AX61" s="2">
        <f t="shared" si="84"/>
        <v>0</v>
      </c>
      <c r="AY61" s="2">
        <f t="shared" si="84"/>
        <v>0</v>
      </c>
      <c r="AZ61" s="2">
        <f t="shared" si="84"/>
        <v>0</v>
      </c>
      <c r="BA61" s="2">
        <f t="shared" si="84"/>
        <v>1</v>
      </c>
      <c r="BB61" s="2">
        <f t="shared" si="7"/>
        <v>0</v>
      </c>
      <c r="BC61" s="2">
        <f t="shared" si="8"/>
        <v>1</v>
      </c>
    </row>
    <row r="62">
      <c r="AV62" s="2">
        <f t="shared" si="12"/>
        <v>0</v>
      </c>
      <c r="AW62" s="2">
        <f t="shared" ref="AW62:BA62" si="85">roundup(AO62/VLOOKUP(AW$10,$D$7:$E$13,2,0),0)</f>
        <v>0</v>
      </c>
      <c r="AX62" s="2">
        <f t="shared" si="85"/>
        <v>0</v>
      </c>
      <c r="AY62" s="2">
        <f t="shared" si="85"/>
        <v>0</v>
      </c>
      <c r="AZ62" s="2">
        <f t="shared" si="85"/>
        <v>1</v>
      </c>
      <c r="BA62" s="2">
        <f t="shared" si="85"/>
        <v>0</v>
      </c>
      <c r="BB62" s="2">
        <f t="shared" si="7"/>
        <v>0</v>
      </c>
      <c r="BC62" s="2">
        <f t="shared" si="8"/>
        <v>1</v>
      </c>
    </row>
    <row r="63">
      <c r="AV63" s="2">
        <f t="shared" si="12"/>
        <v>0</v>
      </c>
      <c r="AW63" s="2">
        <f t="shared" ref="AW63:BA63" si="86">roundup(AO63/VLOOKUP(AW$10,$D$7:$E$13,2,0),0)</f>
        <v>0</v>
      </c>
      <c r="AX63" s="2">
        <f t="shared" si="86"/>
        <v>0</v>
      </c>
      <c r="AY63" s="2">
        <f t="shared" si="86"/>
        <v>0</v>
      </c>
      <c r="AZ63" s="2">
        <f t="shared" si="86"/>
        <v>0</v>
      </c>
      <c r="BA63" s="2">
        <f t="shared" si="86"/>
        <v>1</v>
      </c>
      <c r="BB63" s="2">
        <f t="shared" si="7"/>
        <v>0</v>
      </c>
      <c r="BC63" s="2">
        <f t="shared" si="8"/>
        <v>1</v>
      </c>
    </row>
    <row r="64"/>
  </sheetData>
  <drawing r:id="rId7"/>
</worksheet>
</file>